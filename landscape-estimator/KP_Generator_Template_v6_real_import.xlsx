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CRITIQUE_AND_GAPS" sheetId="2" r:id="rId6"/>
    <sheet state="visible" name="CALC_PRECEDENCE" sheetId="3" r:id="rId7"/>
    <sheet state="visible" name="DICTIONARIES" sheetId="4" r:id="rId8"/>
    <sheet state="visible" name="WORK_MASTER" sheetId="5" r:id="rId9"/>
    <sheet state="visible" name="WORK_VARIANTS" sheetId="6" r:id="rId10"/>
    <sheet state="visible" name="MATERIAL_MASTER" sheetId="7" r:id="rId11"/>
    <sheet state="visible" name="MATERIAL_VARIANTS" sheetId="8" r:id="rId12"/>
    <sheet state="visible" name="RAW_MAPPING" sheetId="9" r:id="rId13"/>
    <sheet state="visible" name="VALIDATION_RULES" sheetId="10" r:id="rId14"/>
    <sheet state="visible" name="VALIDATION_EXAMPLE" sheetId="11" r:id="rId15"/>
    <sheet state="visible" name="OBJECT_CONDITIONS" sheetId="12" r:id="rId16"/>
    <sheet state="visible" name="SITE_COEFFS" sheetId="13" r:id="rId17"/>
    <sheet state="visible" name="OPERATING_COEFFS" sheetId="14" r:id="rId18"/>
    <sheet state="visible" name="TAX_MODES" sheetId="15" r:id="rId19"/>
    <sheet state="visible" name="WORK_FACTOR_APPLICABILITY" sheetId="16" r:id="rId20"/>
    <sheet state="visible" name="CONDITION_RULES" sheetId="17" r:id="rId21"/>
    <sheet state="visible" name="DEPENDENCY_RULES" sheetId="18" r:id="rId22"/>
    <sheet state="visible" name="MATERIAL_ALLOWANCES" sheetId="19" r:id="rId23"/>
    <sheet state="visible" name="PROCUREMENT_RULES" sheetId="20" r:id="rId24"/>
    <sheet state="visible" name="MATERIAL_FACTOR_APPLICABILITY" sheetId="21" r:id="rId25"/>
    <sheet state="visible" name="MATERIAL_QUANTITY_EXAMPLE" sheetId="22" r:id="rId26"/>
    <sheet state="visible" name="TARIFF_PROFILES" sheetId="23" r:id="rId27"/>
    <sheet state="visible" name="COMMERCIAL_POLICY" sheetId="24" r:id="rId28"/>
    <sheet state="visible" name="WORK_TARIFF_RULES" sheetId="25" r:id="rId29"/>
    <sheet state="visible" name="MATERIAL_TARIFF_RULES" sheetId="26" r:id="rId30"/>
    <sheet state="visible" name="TARIFF_COMPOSITION_RULES" sheetId="27" r:id="rId31"/>
    <sheet state="visible" name="OUTPUT_RULES" sheetId="28" r:id="rId32"/>
    <sheet state="visible" name="EXCLUSIONS_LIBRARY" sheetId="29" r:id="rId33"/>
    <sheet state="visible" name="TARIFF_KP_EXAMPLE" sheetId="30" r:id="rId34"/>
    <sheet state="visible" name="KP_ENGINE_V5_EXAMPLE" sheetId="31" r:id="rId35"/>
    <sheet state="visible" name="IMPORT_SUMMARY" sheetId="32" r:id="rId36"/>
    <sheet state="visible" name="PRICE_MASTER_REAL" sheetId="33" r:id="rId37"/>
    <sheet state="visible" name="WORK_MASTER_REAL" sheetId="34" r:id="rId38"/>
    <sheet state="visible" name="MATERIAL_MASTER_REAL" sheetId="35" r:id="rId39"/>
    <sheet state="visible" name="WORK_VARIANTS_REAL" sheetId="36" r:id="rId40"/>
    <sheet state="visible" name="MATERIAL_VARIANTS_REAL" sheetId="37" r:id="rId41"/>
    <sheet state="visible" name="RAW_MAPPING_REAL" sheetId="38" r:id="rId42"/>
    <sheet state="visible" name="REAL_TARIFF_DEFAULTS_WORK" sheetId="39" r:id="rId43"/>
    <sheet state="visible" name="REAL_TARIFF_DEFAULTS_MATERIAL" sheetId="40" r:id="rId44"/>
    <sheet state="visible" name="REAL_NORMALIZATION_REVIEW" sheetId="41" r:id="rId45"/>
    <sheet state="visible" name="REAL_GAPS" sheetId="42" r:id="rId46"/>
  </sheets>
  <definedNames>
    <definedName hidden="1" localSheetId="1" name="_xlnm._FilterDatabase">CRITIQUE_AND_GAPS!$A$1:$F$13</definedName>
    <definedName hidden="1" localSheetId="2" name="_xlnm._FilterDatabase">CALC_PRECEDENCE!$A$1:$I$11</definedName>
    <definedName hidden="1" localSheetId="4" name="_xlnm._FilterDatabase">WORK_MASTER!$A$1:$V$1000</definedName>
    <definedName hidden="1" localSheetId="7" name="_xlnm._FilterDatabase">MATERIAL_VARIANTS!$A$1:$Y$150</definedName>
    <definedName hidden="1" localSheetId="9" name="_xlnm._FilterDatabase">VALIDATION_RULES!$A$1:$I$8</definedName>
    <definedName hidden="1" localSheetId="10" name="_xlnm._FilterDatabase">VALIDATION_EXAMPLE!$A$1:$I$5</definedName>
    <definedName hidden="1" localSheetId="11" name="_xlnm._FilterDatabase">OBJECT_CONDITIONS!$A$1:$AP$1000</definedName>
    <definedName hidden="1" localSheetId="13" name="_xlnm._FilterDatabase">OPERATING_COEFFS!$A$1:$F$12</definedName>
    <definedName hidden="1" localSheetId="14" name="_xlnm._FilterDatabase">TAX_MODES!$A$1:$D$4</definedName>
    <definedName hidden="1" localSheetId="17" name="_xlnm._FilterDatabase">DEPENDENCY_RULES!$A$1:$L$6</definedName>
    <definedName hidden="1" localSheetId="19" name="_xlnm._FilterDatabase">PROCUREMENT_RULES!$A$1:$N$6</definedName>
    <definedName hidden="1" localSheetId="22" name="_xlnm._FilterDatabase">TARIFF_PROFILES!$A$1:$K$150</definedName>
    <definedName hidden="1" localSheetId="23" name="_xlnm._FilterDatabase">COMMERCIAL_POLICY!$A$1:$L$4</definedName>
    <definedName hidden="1" localSheetId="24" name="_xlnm._FilterDatabase">WORK_TARIFF_RULES!$A$1:$J$150</definedName>
    <definedName hidden="1" localSheetId="25" name="_xlnm._FilterDatabase">MATERIAL_TARIFF_RULES!$A$1:$J$150</definedName>
    <definedName hidden="1" localSheetId="26" name="_xlnm._FilterDatabase">TARIFF_COMPOSITION_RULES!$A$1:$H$150</definedName>
    <definedName hidden="1" localSheetId="27" name="_xlnm._FilterDatabase">OUTPUT_RULES!$A$1:$L$7</definedName>
    <definedName hidden="1" localSheetId="28" name="_xlnm._FilterDatabase">EXCLUSIONS_LIBRARY!$A$1:$G$6</definedName>
    <definedName hidden="1" localSheetId="29" name="_xlnm._FilterDatabase">TARIFF_KP_EXAMPLE!$A$1:$O$150</definedName>
    <definedName hidden="1" localSheetId="30" name="_xlnm._FilterDatabase">KP_ENGINE_V5_EXAMPLE!$A$1:$U$60</definedName>
    <definedName hidden="1" localSheetId="31" name="_xlnm._FilterDatabase">IMPORT_SUMMARY!$A$1:$C$9</definedName>
    <definedName hidden="1" localSheetId="32" name="_xlnm._FilterDatabase">PRICE_MASTER_REAL!$A$1:$S$280</definedName>
    <definedName hidden="1" localSheetId="33" name="_xlnm._FilterDatabase">WORK_MASTER_REAL!$A$1:$T$168</definedName>
    <definedName hidden="1" localSheetId="34" name="_xlnm._FilterDatabase">MATERIAL_MASTER_REAL!$A$1:$R$128</definedName>
    <definedName hidden="1" localSheetId="35" name="_xlnm._FilterDatabase">WORK_VARIANTS_REAL!$A$1:$K$168</definedName>
    <definedName hidden="1" localSheetId="36" name="_xlnm._FilterDatabase">MATERIAL_VARIANTS_REAL!$A$1:$AA$122</definedName>
    <definedName hidden="1" localSheetId="37" name="_xlnm._FilterDatabase">RAW_MAPPING_REAL!$A$1:$L$280</definedName>
    <definedName hidden="1" localSheetId="38" name="_xlnm._FilterDatabase">REAL_TARIFF_DEFAULTS_WORK!$A$1:$J$472</definedName>
    <definedName hidden="1" localSheetId="39" name="_xlnm._FilterDatabase">REAL_TARIFF_DEFAULTS_MATERIAL!$A$1:$J$364</definedName>
    <definedName hidden="1" localSheetId="40" name="_xlnm._FilterDatabase">REAL_NORMALIZATION_REVIEW!$A$1:$G$23</definedName>
    <definedName hidden="1" localSheetId="41" name="_xlnm._FilterDatabase">REAL_GAPS!$A$1:$H$18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 канонической работы. Не зависит от старого RowNumber.</t>
      </text>
    </comment>
    <comment authorId="0" ref="B1">
      <text>
        <t xml:space="preserve">Единая нормализованная сущность. Например: «Выборка ложа».</t>
      </text>
    </comment>
    <comment authorId="0" ref="C1">
      <text>
        <t xml:space="preserve">Название, которое клиент увидит в КП.</t>
      </text>
    </comment>
    <comment authorId="0" ref="D1">
      <text>
        <t xml:space="preserve">Главный раздел КП.</t>
      </text>
    </comment>
    <comment authorId="0" ref="F1">
      <text>
        <t xml:space="preserve">Для этого листа обычно = Работа, но поле оставлено явным.</t>
      </text>
    </comment>
    <comment authorId="0" ref="I1">
      <text>
        <t xml:space="preserve">Базовая цена за единицу. Если метод расчета вариативный — можно оставить 0 и считать по вариантам.</t>
      </text>
    </comment>
    <comment authorId="0" ref="J1">
      <text>
        <t xml:space="preserve">Базовый способ выполнения, от которого считаются коэффициенты.</t>
      </text>
    </comment>
    <comment authorId="0" ref="M1">
      <text>
        <t xml:space="preserve">Можно ли включать позицию в шаблонные наборы/комплекты.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Коэффициент способа выполнения. Не считать его фактом — это рабочая гипотеза до калибровки.</t>
      </text>
    </comment>
    <comment authorId="0" ref="F1">
      <text>
        <t xml:space="preserve">Коэффициент условий объекта: стесненность, уклон, малый объем и т.д.</t>
      </text>
    </comment>
    <comment authorId="0" ref="G1">
      <text>
        <t xml:space="preserve">Если заполняется — имеет приоритет над расчетом через коэффициенты.</t>
      </text>
    </comment>
    <comment authorId="0" ref="H1">
      <text>
        <t xml:space="preserve">Опционально: итоговая цена за единицу, если хочешь хранить ее прямо в варианте.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Семейство материала: например «Брусчатка бетонная».</t>
      </text>
    </comment>
    <comment authorId="0" ref="C1">
      <text>
        <t xml:space="preserve">Каноническая сущность. Не плодить по одной строке на каждую толщину.</t>
      </text>
    </comment>
    <comment authorId="0" ref="D1">
      <text>
        <t xml:space="preserve">Базовое имя для клиента; точная версия может собираться из варианта.</t>
      </text>
    </comment>
    <comment authorId="0" ref="K1">
      <text>
        <t xml:space="preserve">Категория материала для фильтрации и правил.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Толщина — полноценный вариант материала, если влияет на цену и применимость.</t>
      </text>
    </comment>
    <comment authorId="0" ref="G1">
      <text>
        <t xml:space="preserve">Полезно для правил подбора: дорожка / въезд / повышенная нагрузка.</t>
      </text>
    </comment>
    <comment authorId="0" ref="I1">
      <text>
        <t xml:space="preserve">Цена за единицу материала именно для этого варианта.</t>
      </text>
    </comment>
    <comment authorId="0" ref="J1">
      <text>
        <t xml:space="preserve">Как вариант будет показан клиенту в КП.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Оригинальная строка из старого прайса/файла. Ее не нужно нормализовать вручную.</t>
      </text>
    </comment>
    <comment authorId="0" ref="D1">
      <text>
        <t xml:space="preserve">Старый RowNumber или иной идентификатор источника. Не ключ новой сущности.</t>
      </text>
    </comment>
    <comment authorId="0" ref="G1">
      <text>
        <t xml:space="preserve">WorkID или MaterialID в зависимости от EntityType.</t>
      </text>
    </comment>
    <comment authorId="0" ref="H1">
      <text>
        <t xml:space="preserve">Заполняется, если исходная строка относится к конкретному варианту.</t>
      </text>
    </comment>
  </commentList>
</comments>
</file>

<file path=xl/sharedStrings.xml><?xml version="1.0" encoding="utf-8"?>
<sst xmlns="http://schemas.openxmlformats.org/spreadsheetml/2006/main" count="25053" uniqueCount="2808">
  <si>
    <t>README / START</t>
  </si>
  <si>
    <t>Добавлены реальные импортированные позиции из PRICE_MASTER</t>
  </si>
  <si>
    <t>Смотри листы: IMPORT_SUMMARY, PRICE_MASTER_REAL, WORK_MASTER_REAL, MATERIAL_MASTER_REAL, MATERIAL_VARIANTS_REAL, RAW_MAPPING_REAL</t>
  </si>
  <si>
    <t>Листы REAL_TARIFF_DEFAULTS_* содержат только безопасные стартовые правила 1:1 и требуют ручной настройки.</t>
  </si>
  <si>
    <t>Листы REAL_NORMALIZATION_REVIEW и REAL_GAPS показывают, где ещё нужна ручная доработка.</t>
  </si>
  <si>
    <t>3) MATERIAL_MASTER — канонические материалы/семейства.</t>
  </si>
  <si>
    <t>4) MATERIAL_VARIANTS — варианты материала (толщина, цвет, фаска, класс нагрузки, цена).</t>
  </si>
  <si>
    <t>5) RAW_MAPPING — связь сырых строк из старых прайсов с каноническими сущностями и вариантами.</t>
  </si>
  <si>
    <t>Базовые правила:</t>
  </si>
  <si>
    <t>• RawName хранить как пришло из исходника; не делать его универсальным.</t>
  </si>
  <si>
    <t>• CanonicalWork / CanonicalMaterial — единая нормализованная сущность.</t>
  </si>
  <si>
    <t>• RowNumber использовать только как след старой структуры, а не как ключ новой базы.</t>
  </si>
  <si>
    <t>• Ручной / механизированный способ — это вариант работы, а не новая сущность.</t>
  </si>
  <si>
    <t>• Толщина, цвет, фаска и т.п. у материалов — это вариант материала.</t>
  </si>
  <si>
    <t>Как добавлять новые позиции:</t>
  </si>
  <si>
    <t>1) Сначала ищи дубль по каноническому названию и синонимам.</t>
  </si>
  <si>
    <t>2) Если смысл тот же, добавляй вариант, а не новую сущность.</t>
  </si>
  <si>
    <t>3) Если смысл другой — создавай новый WorkID / MaterialID.</t>
  </si>
  <si>
    <t>4) Не добавляй составные позиции вроде «дренаж под ключ» как одну строку.</t>
  </si>
  <si>
    <t>Важно:</t>
  </si>
  <si>
    <t>• Значения коэффициентов и цен в примерах условные — это только демонстрация структуры.</t>
  </si>
  <si>
    <t>• Перед реальным запуском откалибруй коэффициенты на закрытых сметах.</t>
  </si>
  <si>
    <t>Новые листы для учёта условий объекта:</t>
  </si>
  <si>
    <t>6) OBJECT_CONDITIONS — карточка объекта: грунт, влажность, уклон, доступ, близость построек. Коэффициенты подтягиваются автоматически из SITE_COEFFS.</t>
  </si>
  <si>
    <t>7) WORK_FACTOR_APPLICABILITY — веса чувствительности каждой работы к условиям объекта. Формула SiteCoeffExample считает пример итогового коэффициента по выбранному ObjectID.</t>
  </si>
  <si>
    <t>8) SITE_COEFFS — справочник стартовых коэффициентов по грунту, влажности, уклону, стеснённости и механизации. Это гипотезы для калибровки на закрытых сметах.</t>
  </si>
  <si>
    <t>9) CONDITION_RULES — правила для генератора: принудительный выбор метода, предпочтительный метод, заметки и будущие автодобавления строк.</t>
  </si>
  <si>
    <t>Логика расчёта:</t>
  </si>
  <si>
    <t>• Сначала задаётся карточка объекта в OBJECT_CONDITIONS.</t>
  </si>
  <si>
    <t>• Затем для каждой работы в WORK_FACTOR_APPLICABILITY указываются веса влияния факторов от 0.0 до 1.0.</t>
  </si>
  <si>
    <t>• Итоговый SiteCoeff считается по взвешенной добавочной формуле, а не простым перемножением всех коэффициентов.</t>
  </si>
  <si>
    <t>• CONDITION_RULES нужны там, где условия меняют не только цену, но и состав решения.</t>
  </si>
  <si>
    <t>10) MATERIAL_ALLOWANCES — библиотека коэффициентов запаса по материалам: разрыхление, нахлест, подрезка, торцовка, техзапас.</t>
  </si>
  <si>
    <t>11) MATERIAL_FACTOR_APPLICABILITY — веса влияния геометрии, уклона, неровностей и доступа на перерасход материалов.</t>
  </si>
  <si>
    <t>12) MATERIAL_QUANTITY_EXAMPLE — пример расчёта итогового количества материала: чистый объем/площадь → запас → закупка.</t>
  </si>
  <si>
    <t>Логика по материалам:</t>
  </si>
  <si>
    <t>• Не смешивай коэффициент разрыхления с коэффициентом подрезки: это разные механики.</t>
  </si>
  <si>
    <t>• Для сыпучих материалов база часто считается от проектного уплотненного объема к закупке.</t>
  </si>
  <si>
    <t>• Для рулонных и листовых материалов запас складывается из нахлеста, подрезки и геометрии участка.</t>
  </si>
  <si>
    <t>• Для досок и погонажа нужен отдельный запас на раскрой/торцовку.</t>
  </si>
  <si>
    <t>Новый слой: тарифы сметы</t>
  </si>
  <si>
    <t>1) Тариф = не просто наценка. Он влияет на коэффициенты продаж, предпочтительные варианты материалов и режим показа строк.</t>
  </si>
  <si>
    <t>2) Используй лист TARIFF_PROFILES для профилей Эконом / Стандарт / Премиум.</t>
  </si>
  <si>
    <t>3) WORK_TARIFF_RULES задает предпочтительный способ выполнения и переименование работ по тарифу.</t>
  </si>
  <si>
    <t>4) MATERIAL_TARIFF_RULES задает предпочтительный вариант материала, поправку к цене и поправку к запасу по тарифу.</t>
  </si>
  <si>
    <t>5) TARIFF_COMPOSITION_RULES хранит замены и укрупнение/детализацию состава под тариф.</t>
  </si>
  <si>
    <t>6) TARIFF_KP_EXAMPLE показывает, как тариф влияет на работу и материал в расчете.</t>
  </si>
  <si>
    <t>V5 — критическая пересборка архитектуры</t>
  </si>
  <si>
    <t>Что было слабым: не хватало порядка применения правил, коммерческих floors, округления закупки, distance/season/urgency, tax/VAT, validation и libraries inclusions/exclusions.</t>
  </si>
  <si>
    <t>Что добавлено: CRITIQUE_AND_GAPS, CALC_PRECEDENCE, OPERATING_COEFFS, TAX_MODES, COMMERCIAL_POLICY, PROCUREMENT_RULES, DEPENDENCY_RULES, OUTPUT_RULES, VALIDATION_RULES, VALIDATION_EXAMPLE, EXCLUSIONS_LIBRARY, KP_ENGINE_V5_EXAMPLE.</t>
  </si>
  <si>
    <t>Смысл: шаблон перестроен из «набора примеров» в более полный каркас движка генератора КП.</t>
  </si>
  <si>
    <t>Layer</t>
  </si>
  <si>
    <t>CurrentWeakness</t>
  </si>
  <si>
    <t>WhyItBreaksTheGenerator</t>
  </si>
  <si>
    <t>WhatWasAddedInV5</t>
  </si>
  <si>
    <t>Priority</t>
  </si>
  <si>
    <t>Status</t>
  </si>
  <si>
    <t>1. Архитектура расчета</t>
  </si>
  <si>
    <t>Не была явно зафиксирована очередность применения правил и коэффициентов</t>
  </si>
  <si>
    <t>Без порядка приоритета модель начинает по-разному считать одну и ту же строку</t>
  </si>
  <si>
    <t>Добавлен лист CALC_PRECEDENCE с порядком применения: override → variant → site → tariff → reserve → rounding → min charges → VAT</t>
  </si>
  <si>
    <t>Critical</t>
  </si>
  <si>
    <t>Added</t>
  </si>
  <si>
    <t>2. Условия объекта</t>
  </si>
  <si>
    <t>Были грунт/рельеф, но не было расстояния, сезона, срочности и налогового режима</t>
  </si>
  <si>
    <t>Коммерческая цена и логистика поедут даже при верных работах и материалах</t>
  </si>
  <si>
    <t>OBJECT_CONDITIONS расширен: distance, season, urgency, tax, VAT</t>
  </si>
  <si>
    <t>3. Логистика и операционные коэффициенты</t>
  </si>
  <si>
    <t>Отсутствовали distance/season/urgency коэффициенты</t>
  </si>
  <si>
    <t>Занижение маленьких, дальних и срочных объектов</t>
  </si>
  <si>
    <t>Добавлен OPERATING_COEFFS</t>
  </si>
  <si>
    <t>High</t>
  </si>
  <si>
    <t>4. Закупка материалов</t>
  </si>
  <si>
    <t>Был запас, но не было правил округления закупки, MOQ и шагов заказа</t>
  </si>
  <si>
    <t>Генератор может посчитать правильный расход и все равно неверно заказать</t>
  </si>
  <si>
    <t>Добавлен PROCUREMENT_RULES</t>
  </si>
  <si>
    <t>5. Минимальные коммерческие пороги</t>
  </si>
  <si>
    <t>Не было minimum charge, mobilization, visit charge, floor для маленьких объектов</t>
  </si>
  <si>
    <t>Мелкие заказы будут системно недооценены</t>
  </si>
  <si>
    <t>Добавлен COMMERCIAL_POLICY</t>
  </si>
  <si>
    <t>6. Совместимость и автодобавления</t>
  </si>
  <si>
    <t>Не было явного слоя dependency/compatibility</t>
  </si>
  <si>
    <t>Смета может собрать невозможную комбинацию</t>
  </si>
  <si>
    <t>Добавлен DEPENDENCY_RULES</t>
  </si>
  <si>
    <t>7. Вывод клиенту</t>
  </si>
  <si>
    <t>Не было отдельной политики вывода по разделам и типам строк</t>
  </si>
  <si>
    <t>КП может быть либо перегружено, либо слишком пусто</t>
  </si>
  <si>
    <t>Добавлен OUTPUT_RULES</t>
  </si>
  <si>
    <t>Medium</t>
  </si>
  <si>
    <t>8. Контроль качества данных</t>
  </si>
  <si>
    <t>Не было валидации обязательных полей и конфликтов</t>
  </si>
  <si>
    <t>Ошибки останутся тихими до момента отправки КП</t>
  </si>
  <si>
    <t>Добавлены VALIDATION_RULES и VALIDATION_EXAMPLE</t>
  </si>
  <si>
    <t>9. Юридические и коммерческие оговорки</t>
  </si>
  <si>
    <t>Не было библиотеки стандартных inclusion/exclusion/assumption</t>
  </si>
  <si>
    <t>Даже верная цифра без условий порождает спор с клиентом</t>
  </si>
  <si>
    <t>Добавлен EXCLUSIONS_LIBRARY</t>
  </si>
  <si>
    <t>10. Управление ценами</t>
  </si>
  <si>
    <t>В каталогах не хватало price source/validity/tax/lead time</t>
  </si>
  <si>
    <t>Нельзя контролировать устаревшие цены и происхождение цифры</t>
  </si>
  <si>
    <t>Расширены WORK_MASTER и MATERIAL_VARIANTS</t>
  </si>
  <si>
    <t>11. Внутренний и клиентский контур</t>
  </si>
  <si>
    <t>Не были разделены коммерческие коэффициенты и налоговый режим</t>
  </si>
  <si>
    <t>Смешивание sell-logic и tax приводит к двойному/нулевому НДС</t>
  </si>
  <si>
    <t>Добавлены TAX_MODES и логика VAT в примерах</t>
  </si>
  <si>
    <t>12. Итоговый пример расчета</t>
  </si>
  <si>
    <t>Пример был полезным, но не отражал полный расчетный стек</t>
  </si>
  <si>
    <t>Пользователь не видит, как сходятся все правила вместе</t>
  </si>
  <si>
    <t>Добавлен KP_ENGINE_V5_EXAMPLE</t>
  </si>
  <si>
    <t>StepNo</t>
  </si>
  <si>
    <t>AppliedWhen</t>
  </si>
  <si>
    <t>RuleSource</t>
  </si>
  <si>
    <t>OutputField</t>
  </si>
  <si>
    <t>PriorityLogic</t>
  </si>
  <si>
    <t>FormulaSkeleton</t>
  </si>
  <si>
    <t>WhyNeeded</t>
  </si>
  <si>
    <t>Notes</t>
  </si>
  <si>
    <t>Direct override</t>
  </si>
  <si>
    <t>Если задан ManualOverridePrice или explicit PreferredVariantID</t>
  </si>
  <si>
    <t>WORK_VARIANTS / ручной ввод</t>
  </si>
  <si>
    <t>BaseUnitPrice / Variant</t>
  </si>
  <si>
    <t>Override всегда бьет базу</t>
  </si>
  <si>
    <t>Price = ManualOverridePrice</t>
  </si>
  <si>
    <t>Позволяет не ломать модель там, где коэффициентами не описать</t>
  </si>
  <si>
    <t>Для rare cases</t>
  </si>
  <si>
    <t>Variant resolution</t>
  </si>
  <si>
    <t>Когда есть Method/Variant/Tariff rules</t>
  </si>
  <si>
    <t>WORK_VARIANTS / MATERIAL_VARIANTS / *_TARIFF_RULES</t>
  </si>
  <si>
    <t>ResolvedVariantID / MethodCoeff</t>
  </si>
  <si>
    <t>Выбрать прямую цену варианта до общих коэффициентов</t>
  </si>
  <si>
    <t>Base = VariantPrice or MasterBasePrice</t>
  </si>
  <si>
    <t>Иначе база и вариант конфликтуют</t>
  </si>
  <si>
    <t>Site factors</t>
  </si>
  <si>
    <t>Когда строка чувствительна к условиям участка</t>
  </si>
  <si>
    <t>WORK_FACTOR_APPLICABILITY / MATERIAL_FACTOR_APPLICABILITY / OBJECT_CONDITIONS</t>
  </si>
  <si>
    <t>SiteCoeff</t>
  </si>
  <si>
    <t>Только для чувствительных позиций</t>
  </si>
  <si>
    <t>Adj = 1 + Σ(weight*(coeff-1))</t>
  </si>
  <si>
    <t>Иначе будет двойной учет</t>
  </si>
  <si>
    <t>Operating factors</t>
  </si>
  <si>
    <t>Дальность, сезон, срочность</t>
  </si>
  <si>
    <t>OPERATING_COEFFS / OBJECT_CONDITIONS</t>
  </si>
  <si>
    <t>OperatingCoeff</t>
  </si>
  <si>
    <t>Применять только к work/logistics и частично к material delivery</t>
  </si>
  <si>
    <t>Adj = Distance*Season*Urgency</t>
  </si>
  <si>
    <t>Учитывает эксплуатационную реальность</t>
  </si>
  <si>
    <t>Tariff rules</t>
  </si>
  <si>
    <t>Всегда при выбранном тарифе</t>
  </si>
  <si>
    <t>TARIFF_PROFILES / *_TARIFF_RULES</t>
  </si>
  <si>
    <t>TariffCoeff / display</t>
  </si>
  <si>
    <t>Override строки сильнее профиля тарифа</t>
  </si>
  <si>
    <t>Adj = TariffOverride or TariffProfile</t>
  </si>
  <si>
    <t>Тариф меняет не только цену, но и вывод</t>
  </si>
  <si>
    <t>Reserve / waste</t>
  </si>
  <si>
    <t>Только для материалов</t>
  </si>
  <si>
    <t>MATERIAL_ALLOWANCES + тариф bias</t>
  </si>
  <si>
    <t>ReserveCoeff</t>
  </si>
  <si>
    <t>Сначала физический расход, затем bias тарифа</t>
  </si>
  <si>
    <t>PurchaseNet = NetQty * ReserveCoeff</t>
  </si>
  <si>
    <t>Разных причин потерь нельзя смешивать</t>
  </si>
  <si>
    <t>Procurement rounding</t>
  </si>
  <si>
    <t>Только для материалов/логистики</t>
  </si>
  <si>
    <t>PROCUREMENT_RULES</t>
  </si>
  <si>
    <t>PurchaseQty</t>
  </si>
  <si>
    <t>Округление после запаса</t>
  </si>
  <si>
    <t>PurchaseQty = ROUNDUP(...)</t>
  </si>
  <si>
    <t>Иначе расход верный, закупка неверная</t>
  </si>
  <si>
    <t>Commercial floors</t>
  </si>
  <si>
    <t>Малые объекты, выезды, мобилизация</t>
  </si>
  <si>
    <t>COMMERCIAL_POLICY</t>
  </si>
  <si>
    <t>MinCharge / Mobilization</t>
  </si>
  <si>
    <t>После построчного расчета и до НДС</t>
  </si>
  <si>
    <t>Subtotal = MAX(sum, MinQuoteValue)+charges</t>
  </si>
  <si>
    <t>Иначе маленькие объекты убыточны</t>
  </si>
  <si>
    <t>VAT / tax</t>
  </si>
  <si>
    <t>В конце</t>
  </si>
  <si>
    <t>TAX_MODES / OBJECT_CONDITIONS</t>
  </si>
  <si>
    <t>PriceIncVAT</t>
  </si>
  <si>
    <t>НДС последним слоем поверх ex VAT</t>
  </si>
  <si>
    <t>IncVAT = ExVAT*(1+VATRate)</t>
  </si>
  <si>
    <t>Иначе высокий риск двойного учета</t>
  </si>
  <si>
    <t>Output assembly</t>
  </si>
  <si>
    <t>После расчета</t>
  </si>
  <si>
    <t>OUTPUT_RULES / EXCLUSIONS_LIBRARY</t>
  </si>
  <si>
    <t>Client lines and notes</t>
  </si>
  <si>
    <t>Не меняет математику, меняет упаковку</t>
  </si>
  <si>
    <t>Bundle, hide, reorder, append notes</t>
  </si>
  <si>
    <t>Иначе хороший расчет плохо продается</t>
  </si>
  <si>
    <t>Sections</t>
  </si>
  <si>
    <t>PositionTypes</t>
  </si>
  <si>
    <t>Units</t>
  </si>
  <si>
    <t>DisplayModes</t>
  </si>
  <si>
    <t>ExecutionMethods</t>
  </si>
  <si>
    <t>PricingModels</t>
  </si>
  <si>
    <t>YesNo</t>
  </si>
  <si>
    <t>EntityTypes</t>
  </si>
  <si>
    <t>MappingConfidence</t>
  </si>
  <si>
    <t>MappingStatus</t>
  </si>
  <si>
    <t>LoadClass</t>
  </si>
  <si>
    <t>Surface</t>
  </si>
  <si>
    <t>EdgeType</t>
  </si>
  <si>
    <t>Colors</t>
  </si>
  <si>
    <t>MaterialTypes</t>
  </si>
  <si>
    <t>SoilWorkability</t>
  </si>
  <si>
    <t>SoilMoisture</t>
  </si>
  <si>
    <t>DebrisLevel</t>
  </si>
  <si>
    <t>SlopeClass</t>
  </si>
  <si>
    <t>UnevennessClass</t>
  </si>
  <si>
    <t>AccessClass</t>
  </si>
  <si>
    <t>TurnSpace</t>
  </si>
  <si>
    <t>ProximityClass</t>
  </si>
  <si>
    <t>MachineryAllowed</t>
  </si>
  <si>
    <t>RuleAction</t>
  </si>
  <si>
    <t>RuleScope</t>
  </si>
  <si>
    <t>ConditionFields</t>
  </si>
  <si>
    <t>AllowanceGroups</t>
  </si>
  <si>
    <t>AllowanceTypes</t>
  </si>
  <si>
    <t>MaterialCalcModes</t>
  </si>
  <si>
    <t>GeometryComplexity</t>
  </si>
  <si>
    <t>PurchaseUnits</t>
  </si>
  <si>
    <t>MaterialScopeType</t>
  </si>
  <si>
    <t>MaterialConditionFields</t>
  </si>
  <si>
    <t>Tariffs</t>
  </si>
  <si>
    <t>TariffScope</t>
  </si>
  <si>
    <t>TariffDisplayMode</t>
  </si>
  <si>
    <t>SeasonClass</t>
  </si>
  <si>
    <t>UrgencyClass</t>
  </si>
  <si>
    <t>DistanceClass</t>
  </si>
  <si>
    <t>TaxModes</t>
  </si>
  <si>
    <t>RoundingModes</t>
  </si>
  <si>
    <t>PurchaseRoundBasis</t>
  </si>
  <si>
    <t>Severity</t>
  </si>
  <si>
    <t>ValidationRuleType</t>
  </si>
  <si>
    <t>KPLineTypes</t>
  </si>
  <si>
    <t>BundleModes</t>
  </si>
  <si>
    <t>InclusionType</t>
  </si>
  <si>
    <t>ApprovalLevel</t>
  </si>
  <si>
    <t>PriceSourceType</t>
  </si>
  <si>
    <t>SortProfile</t>
  </si>
  <si>
    <t>Мощение</t>
  </si>
  <si>
    <t>Работа</t>
  </si>
  <si>
    <t>м2</t>
  </si>
  <si>
    <t>Показать строкой</t>
  </si>
  <si>
    <t>Стандарт</t>
  </si>
  <si>
    <t>за м2</t>
  </si>
  <si>
    <t>Да</t>
  </si>
  <si>
    <t>Work</t>
  </si>
  <si>
    <t>Approved</t>
  </si>
  <si>
    <t>Пешеходная</t>
  </si>
  <si>
    <t>Гладкая</t>
  </si>
  <si>
    <t>Без фаски</t>
  </si>
  <si>
    <t>Серый</t>
  </si>
  <si>
    <t>Покрытие</t>
  </si>
  <si>
    <t>Лёгкая</t>
  </si>
  <si>
    <t>Сухая</t>
  </si>
  <si>
    <t>Нет</t>
  </si>
  <si>
    <t>0-3%</t>
  </si>
  <si>
    <t>Низкая</t>
  </si>
  <si>
    <t>Свободный</t>
  </si>
  <si>
    <t>Достаточно</t>
  </si>
  <si>
    <t>Нет влияния</t>
  </si>
  <si>
    <t>ForceMethod</t>
  </si>
  <si>
    <t>Сыпучие с уплотнением</t>
  </si>
  <si>
    <t>Разрыхление/уплотнение</t>
  </si>
  <si>
    <t>NetQty x BaseReserveCoeff</t>
  </si>
  <si>
    <t>Простая</t>
  </si>
  <si>
    <t>MaterialType</t>
  </si>
  <si>
    <t>Эконом</t>
  </si>
  <si>
    <t>Свернуть в раздел</t>
  </si>
  <si>
    <t>Низкий сезон</t>
  </si>
  <si>
    <t>Планово</t>
  </si>
  <si>
    <t>До 10 км</t>
  </si>
  <si>
    <t>Без НДС</t>
  </si>
  <si>
    <t>UP</t>
  </si>
  <si>
    <t>По упаковке</t>
  </si>
  <si>
    <t>Info</t>
  </si>
  <si>
    <t>Required</t>
  </si>
  <si>
    <t>Минимум</t>
  </si>
  <si>
    <t>Inclusion</t>
  </si>
  <si>
    <t>Менеджер</t>
  </si>
  <si>
    <t>Прайс поставщика</t>
  </si>
  <si>
    <t>Газон</t>
  </si>
  <si>
    <t>Материал</t>
  </si>
  <si>
    <t>м.п.</t>
  </si>
  <si>
    <t>Ручной</t>
  </si>
  <si>
    <t>за м.п.</t>
  </si>
  <si>
    <t>Material</t>
  </si>
  <si>
    <t>Review</t>
  </si>
  <si>
    <t>Легковой транспорт</t>
  </si>
  <si>
    <t>Фактурная</t>
  </si>
  <si>
    <t>С фаской</t>
  </si>
  <si>
    <t>Красный</t>
  </si>
  <si>
    <t>Сыпучий материал</t>
  </si>
  <si>
    <t>Средняя</t>
  </si>
  <si>
    <t>Нормальная</t>
  </si>
  <si>
    <t>Умеренно</t>
  </si>
  <si>
    <t>3-8%</t>
  </si>
  <si>
    <t>Ограниченный</t>
  </si>
  <si>
    <t>Ограниченно</t>
  </si>
  <si>
    <t>Близко</t>
  </si>
  <si>
    <t>Частично</t>
  </si>
  <si>
    <t>PreferMethod</t>
  </si>
  <si>
    <t>Section</t>
  </si>
  <si>
    <t>Сыпучие без уплотнения</t>
  </si>
  <si>
    <t>Запас на подрезку</t>
  </si>
  <si>
    <t>NetQty x BaseReserveCoeff x SiteReserveCoeff</t>
  </si>
  <si>
    <t>шт</t>
  </si>
  <si>
    <t>MaterialFamily</t>
  </si>
  <si>
    <t>Базовый сезон</t>
  </si>
  <si>
    <t>Ускоренно</t>
  </si>
  <si>
    <t>10-30 км</t>
  </si>
  <si>
    <t>С НДС 20%</t>
  </si>
  <si>
    <t>NEAREST</t>
  </si>
  <si>
    <t>По паллете</t>
  </si>
  <si>
    <t>Warn</t>
  </si>
  <si>
    <t>AllowedList</t>
  </si>
  <si>
    <t>База</t>
  </si>
  <si>
    <t>Exclusion</t>
  </si>
  <si>
    <t>Прораб</t>
  </si>
  <si>
    <t>Историческая цена</t>
  </si>
  <si>
    <t>Дренаж</t>
  </si>
  <si>
    <t>Техника</t>
  </si>
  <si>
    <t>Скрыть из клиентской версии</t>
  </si>
  <si>
    <t>Механизированный</t>
  </si>
  <si>
    <t>за шт</t>
  </si>
  <si>
    <t>Low</t>
  </si>
  <si>
    <t>Draft</t>
  </si>
  <si>
    <t>Повышенная нагрузка</t>
  </si>
  <si>
    <t>Не задано</t>
  </si>
  <si>
    <t>Коричневый</t>
  </si>
  <si>
    <t>Бортовой элемент</t>
  </si>
  <si>
    <t>Тяжёлая</t>
  </si>
  <si>
    <t>Влажная</t>
  </si>
  <si>
    <t>Высоко</t>
  </si>
  <si>
    <t>8-15%</t>
  </si>
  <si>
    <t>Высокая</t>
  </si>
  <si>
    <t>Очень стеснённый</t>
  </si>
  <si>
    <t>Очень близко</t>
  </si>
  <si>
    <t>AddNote</t>
  </si>
  <si>
    <t>Штучное покрытие</t>
  </si>
  <si>
    <t>Запас на нахлест</t>
  </si>
  <si>
    <t>DesignCompactedVolume x BaseReserveCoeff</t>
  </si>
  <si>
    <t>Сложная</t>
  </si>
  <si>
    <t>рулон</t>
  </si>
  <si>
    <t>MaterialID</t>
  </si>
  <si>
    <t>SurfaceUnevenness</t>
  </si>
  <si>
    <t>Премиум</t>
  </si>
  <si>
    <t>Высокий сезон</t>
  </si>
  <si>
    <t>Срочно</t>
  </si>
  <si>
    <t>30-60 км</t>
  </si>
  <si>
    <t>С НДС 10%</t>
  </si>
  <si>
    <t>DOWN</t>
  </si>
  <si>
    <t>По рулону/листу</t>
  </si>
  <si>
    <t>Block</t>
  </si>
  <si>
    <t>NonNegative</t>
  </si>
  <si>
    <t>Logistics</t>
  </si>
  <si>
    <t>Детально</t>
  </si>
  <si>
    <t>Assumption</t>
  </si>
  <si>
    <t>Финдир</t>
  </si>
  <si>
    <t>Ручной ввод</t>
  </si>
  <si>
    <t>Ливневая канализация</t>
  </si>
  <si>
    <t>Логистика</t>
  </si>
  <si>
    <t>м3</t>
  </si>
  <si>
    <t>Смешанный</t>
  </si>
  <si>
    <t>за м3</t>
  </si>
  <si>
    <t>Не задан</t>
  </si>
  <si>
    <t>Черный</t>
  </si>
  <si>
    <t>Сетка / текстиль</t>
  </si>
  <si>
    <t>Очень тяжёлая</t>
  </si>
  <si>
    <t>Переувлажнённая</t>
  </si>
  <si>
    <t>&gt;15%</t>
  </si>
  <si>
    <t>AddWork</t>
  </si>
  <si>
    <t>Рулонный текстиль</t>
  </si>
  <si>
    <t>Запас на стыковку/подгонку</t>
  </si>
  <si>
    <t>DesignCompactedVolume x BaseReserveCoeff x SiteReserveCoeff</t>
  </si>
  <si>
    <t>Очень сложная</t>
  </si>
  <si>
    <t>лист</t>
  </si>
  <si>
    <t>AllowanceGroup</t>
  </si>
  <si>
    <t>Зимние условия</t>
  </si>
  <si>
    <t>60+ км</t>
  </si>
  <si>
    <t>По рейсу</t>
  </si>
  <si>
    <t>Compatibility</t>
  </si>
  <si>
    <t>Overhead</t>
  </si>
  <si>
    <t>Руководитель</t>
  </si>
  <si>
    <t>Расчетная</t>
  </si>
  <si>
    <t>Внутренний</t>
  </si>
  <si>
    <t>Освещение</t>
  </si>
  <si>
    <t>Накладные</t>
  </si>
  <si>
    <t>компл</t>
  </si>
  <si>
    <t>фикс</t>
  </si>
  <si>
    <t>Прочее</t>
  </si>
  <si>
    <t>AddMaterial</t>
  </si>
  <si>
    <t>Рулонный газон / турф</t>
  </si>
  <si>
    <t>Бой/технологический запас</t>
  </si>
  <si>
    <t>пачка</t>
  </si>
  <si>
    <t>ProximityToBuildings</t>
  </si>
  <si>
    <t>Без округления</t>
  </si>
  <si>
    <t>Flag</t>
  </si>
  <si>
    <t>Service</t>
  </si>
  <si>
    <t>Земляные и планировочные работы</t>
  </si>
  <si>
    <t>Услуга</t>
  </si>
  <si>
    <t>смена</t>
  </si>
  <si>
    <t>%</t>
  </si>
  <si>
    <t>Пленка / мембрана</t>
  </si>
  <si>
    <t>Торцовка/раскрой</t>
  </si>
  <si>
    <t>Ступени / пандусы / бетонные элементы</t>
  </si>
  <si>
    <t>по запросу</t>
  </si>
  <si>
    <t>Погонаж / доска</t>
  </si>
  <si>
    <t>Технологический запас</t>
  </si>
  <si>
    <t>Закладные / коммуникации</t>
  </si>
  <si>
    <t>усл.</t>
  </si>
  <si>
    <t>Рулонный газон</t>
  </si>
  <si>
    <t>Линейный / штучный без существенной подрезки</t>
  </si>
  <si>
    <t>Демонтаж и расчистка</t>
  </si>
  <si>
    <t>м</t>
  </si>
  <si>
    <t>Посадки и уход</t>
  </si>
  <si>
    <t>т</t>
  </si>
  <si>
    <t>Полив</t>
  </si>
  <si>
    <t>кг</t>
  </si>
  <si>
    <t>Вывоз и утилизация</t>
  </si>
  <si>
    <t>Временные сооружения и обеспечение</t>
  </si>
  <si>
    <t>Логистика и снабжение</t>
  </si>
  <si>
    <t>Накладные / коэффициенты</t>
  </si>
  <si>
    <t>Сопровождение проекта / услуги</t>
  </si>
  <si>
    <t>WorkID</t>
  </si>
  <si>
    <t>CanonicalWork</t>
  </si>
  <si>
    <t>CommercialName</t>
  </si>
  <si>
    <t>Subsection</t>
  </si>
  <si>
    <t>PositionType</t>
  </si>
  <si>
    <t>Unit</t>
  </si>
  <si>
    <t>PricingModel</t>
  </si>
  <si>
    <t>BasePrice</t>
  </si>
  <si>
    <t>BaseMethod</t>
  </si>
  <si>
    <t>ClientDisplayMode</t>
  </si>
  <si>
    <t>Keywords</t>
  </si>
  <si>
    <t>BundleEligible</t>
  </si>
  <si>
    <t>IsActive</t>
  </si>
  <si>
    <t>TariffSensitive</t>
  </si>
  <si>
    <t>PriceSource</t>
  </si>
  <si>
    <t>PriceValidFrom</t>
  </si>
  <si>
    <t>PriceValidTo</t>
  </si>
  <si>
    <t>TaxMode</t>
  </si>
  <si>
    <t>CrewType</t>
  </si>
  <si>
    <t>MinCrewDays</t>
  </si>
  <si>
    <t>WORK-0001</t>
  </si>
  <si>
    <t>Выборка ложа</t>
  </si>
  <si>
    <t>Подготовка ложа</t>
  </si>
  <si>
    <t>Подготовка основания</t>
  </si>
  <si>
    <t>выборка, ложе, основание</t>
  </si>
  <si>
    <t>Пример канонической работы</t>
  </si>
  <si>
    <t>Бригада мощения</t>
  </si>
  <si>
    <t>WORK-0002</t>
  </si>
  <si>
    <t>Устройство газонного ложа</t>
  </si>
  <si>
    <t>Устройство газонного основания</t>
  </si>
  <si>
    <t>газонное ложе, основание газона</t>
  </si>
  <si>
    <t>Пример для работы с вариантами метода</t>
  </si>
  <si>
    <t>WORK-0003</t>
  </si>
  <si>
    <t>Копка траншеи</t>
  </si>
  <si>
    <t>Разработка траншеи</t>
  </si>
  <si>
    <t>Траншеи</t>
  </si>
  <si>
    <t>траншея, кабель, копка</t>
  </si>
  <si>
    <t>Базовую цену заполнить</t>
  </si>
  <si>
    <t>WORK-0004</t>
  </si>
  <si>
    <t>Монтаж бордюра бетонного</t>
  </si>
  <si>
    <t>Монтаж бордюра</t>
  </si>
  <si>
    <t>Бордюры</t>
  </si>
  <si>
    <t>бордюр, монтаж</t>
  </si>
  <si>
    <t>VariantID</t>
  </si>
  <si>
    <t>ExecutionMethod</t>
  </si>
  <si>
    <t>ConditionTag</t>
  </si>
  <si>
    <t>MethodCoeff</t>
  </si>
  <si>
    <t>ConditionCoeff</t>
  </si>
  <si>
    <t>ManualOverridePrice</t>
  </si>
  <si>
    <t>EffectiveUnitPrice</t>
  </si>
  <si>
    <t>IsDefault</t>
  </si>
  <si>
    <t>WV-0001</t>
  </si>
  <si>
    <t>Пример: коэффициент только для демонстрации</t>
  </si>
  <si>
    <t>WV-0002</t>
  </si>
  <si>
    <t>WV-0003</t>
  </si>
  <si>
    <t>WV-0004</t>
  </si>
  <si>
    <t>Пример, который нужно калибровать</t>
  </si>
  <si>
    <t>WV-0005</t>
  </si>
  <si>
    <t>WV-0006</t>
  </si>
  <si>
    <t>Стесненные условия</t>
  </si>
  <si>
    <t>Пример 2-го слоя коэффициентов</t>
  </si>
  <si>
    <t>CanonicalMaterial</t>
  </si>
  <si>
    <t>CommercialBaseName</t>
  </si>
  <si>
    <t>BaseUnit</t>
  </si>
  <si>
    <t>LengthMM</t>
  </si>
  <si>
    <t>WidthMM</t>
  </si>
  <si>
    <t>DefaultClientDisplayMode</t>
  </si>
  <si>
    <t>BaseReserveCoeff</t>
  </si>
  <si>
    <t>AllowanceCalcMode</t>
  </si>
  <si>
    <t>MAT-0001</t>
  </si>
  <si>
    <t>Брусчатка бетонная</t>
  </si>
  <si>
    <t>Брусчатка бетонная 200x100</t>
  </si>
  <si>
    <t>Одна сущность, а толщина/цвет/фаска идут в варианты</t>
  </si>
  <si>
    <t>MAT-0002</t>
  </si>
  <si>
    <t>Бордюр бетонный</t>
  </si>
  <si>
    <t>Бордюр бетонный 1000x200x80</t>
  </si>
  <si>
    <t>Размеры можно хранить по бизнес-логике</t>
  </si>
  <si>
    <t>MAT-0003</t>
  </si>
  <si>
    <t>Геотекстиль</t>
  </si>
  <si>
    <t>Геотекстиль 200 г/м2</t>
  </si>
  <si>
    <t>Разделительный слой</t>
  </si>
  <si>
    <t>Базовый пример рулонного материала с нахлестом и подрезкой</t>
  </si>
  <si>
    <t>MAT-0004</t>
  </si>
  <si>
    <t>Газон рулонный</t>
  </si>
  <si>
    <t>Газон рулонный стандарт</t>
  </si>
  <si>
    <t>Запас нужен на подрезку и подгонку по геометрии</t>
  </si>
  <si>
    <t>MAT-0005</t>
  </si>
  <si>
    <t>Пленка / мембрана защитная</t>
  </si>
  <si>
    <t>Изоляция</t>
  </si>
  <si>
    <t>Обычно есть нахлест и подрезка</t>
  </si>
  <si>
    <t>MAT-0006</t>
  </si>
  <si>
    <t>Террасная доска</t>
  </si>
  <si>
    <t>Террасная доска стандарт</t>
  </si>
  <si>
    <t>Деревянные покрытия</t>
  </si>
  <si>
    <t>Нужен запас на торцовку и раскрой</t>
  </si>
  <si>
    <t>MAT-0007</t>
  </si>
  <si>
    <t>Щебень фр. 20-40</t>
  </si>
  <si>
    <t>Щебень</t>
  </si>
  <si>
    <t>Основание</t>
  </si>
  <si>
    <t>От проектного уплотненного объема к закупке через коэффициент</t>
  </si>
  <si>
    <t>ThicknessMM</t>
  </si>
  <si>
    <t>Color</t>
  </si>
  <si>
    <t>Manufacturer</t>
  </si>
  <si>
    <t>PricePerUnit</t>
  </si>
  <si>
    <t>ClientName</t>
  </si>
  <si>
    <t>PurchaseUnit</t>
  </si>
  <si>
    <t>CoveragePerPurchaseUnit</t>
  </si>
  <si>
    <t>CoverageUnit</t>
  </si>
  <si>
    <t>Supplier</t>
  </si>
  <si>
    <t>LeadTimeDays</t>
  </si>
  <si>
    <t>MOQ</t>
  </si>
  <si>
    <t>OrderStepQty</t>
  </si>
  <si>
    <t>MV-0001</t>
  </si>
  <si>
    <t>Брусчатка бетонная 200x100x40 мм</t>
  </si>
  <si>
    <t>Пример варианта; цену заполнить</t>
  </si>
  <si>
    <t>Поставщик A</t>
  </si>
  <si>
    <t>MV-0002</t>
  </si>
  <si>
    <t>Брусчатка бетонная 200x100x60 мм</t>
  </si>
  <si>
    <t>Базовый вариант для частного участка</t>
  </si>
  <si>
    <t>MV-0003</t>
  </si>
  <si>
    <t>Брусчатка бетонная 200x100x80 мм</t>
  </si>
  <si>
    <t>MV-0004</t>
  </si>
  <si>
    <t>Площадь рулона заполни по поставщику</t>
  </si>
  <si>
    <t>MV-0005</t>
  </si>
  <si>
    <t>Размер рулона заполни по поставщику</t>
  </si>
  <si>
    <t>MV-0006</t>
  </si>
  <si>
    <t>Ширину рулона и покрытие укажи по поставщику</t>
  </si>
  <si>
    <t>MV-0007</t>
  </si>
  <si>
    <t>Укажи покрытие одной пачки или одной доски</t>
  </si>
  <si>
    <t>MV-0008</t>
  </si>
  <si>
    <t>Закупка обычно в м3 или т; приведи к своей схеме</t>
  </si>
  <si>
    <t>SourceRowID</t>
  </si>
  <si>
    <t>RawName</t>
  </si>
  <si>
    <t>SourceSheet</t>
  </si>
  <si>
    <t>SourceRowNumber</t>
  </si>
  <si>
    <t>SourceSection</t>
  </si>
  <si>
    <t>EntityType</t>
  </si>
  <si>
    <t>MasterID</t>
  </si>
  <si>
    <t>NeedsReview</t>
  </si>
  <si>
    <t>SRC-0001</t>
  </si>
  <si>
    <t>PRICE_MASTER</t>
  </si>
  <si>
    <t>Прямое сопоставление</t>
  </si>
  <si>
    <t>SRC-0002</t>
  </si>
  <si>
    <t>SRC-0003</t>
  </si>
  <si>
    <t>Брусчатка 200*100*60 серая</t>
  </si>
  <si>
    <t>Материал связан и с Master, и с Variant</t>
  </si>
  <si>
    <t>RuleID</t>
  </si>
  <si>
    <t>Scope</t>
  </si>
  <si>
    <t>RuleType</t>
  </si>
  <si>
    <t>FieldName</t>
  </si>
  <si>
    <t>Condition</t>
  </si>
  <si>
    <t>UserMessage</t>
  </si>
  <si>
    <t>SuggestedFix</t>
  </si>
  <si>
    <t>VR-0001</t>
  </si>
  <si>
    <t>OBJECT</t>
  </si>
  <si>
    <t>SelectedTariff</t>
  </si>
  <si>
    <t>Всегда</t>
  </si>
  <si>
    <t>Не выбран тариф объекта</t>
  </si>
  <si>
    <t>Заполнить SelectedTariff в OBJECT_CONDITIONS</t>
  </si>
  <si>
    <t>VR-0002</t>
  </si>
  <si>
    <t>Не указан налоговый режим</t>
  </si>
  <si>
    <t>Выбрать TaxMode</t>
  </si>
  <si>
    <t>VR-0003</t>
  </si>
  <si>
    <t>Когда есть логистика/доставка</t>
  </si>
  <si>
    <t>Не указан класс расстояния</t>
  </si>
  <si>
    <t>Заполнить DistanceClass</t>
  </si>
  <si>
    <t>VR-0004</t>
  </si>
  <si>
    <t>WORK</t>
  </si>
  <si>
    <t>У работы отрицательная или пустая базовая цена</t>
  </si>
  <si>
    <t>Заполнить BasePrice &gt;= 0</t>
  </si>
  <si>
    <t>VR-0005</t>
  </si>
  <si>
    <t>MATERIAL</t>
  </si>
  <si>
    <t>PurchaseUnit vs CoveragePerPurchaseUnit</t>
  </si>
  <si>
    <t>Если материал активен</t>
  </si>
  <si>
    <t>Не заполнены единицы закупки/покрытия</t>
  </si>
  <si>
    <t>Заполнить PurchaseUnit и CoveragePerPurchaseUnit</t>
  </si>
  <si>
    <t>VR-0006</t>
  </si>
  <si>
    <t>AllowanceGroup vs ProcurementRule</t>
  </si>
  <si>
    <t>Нет правила закупки для AllowanceGroup</t>
  </si>
  <si>
    <t>Добавить PROCUREMENT_RULES</t>
  </si>
  <si>
    <t>VR-0007</t>
  </si>
  <si>
    <t>QUOTE</t>
  </si>
  <si>
    <t>MinQuoteValue</t>
  </si>
  <si>
    <t>Если итог &lt; порога</t>
  </si>
  <si>
    <t>Итог ниже минимальной коммерческой планки</t>
  </si>
  <si>
    <t>Применить floor/mobilization</t>
  </si>
  <si>
    <t>ObjectID</t>
  </si>
  <si>
    <t>QuoteTariff</t>
  </si>
  <si>
    <t>CheckName</t>
  </si>
  <si>
    <t>IsTriggered</t>
  </si>
  <si>
    <t>CheckValue</t>
  </si>
  <si>
    <t>ThresholdOrRule</t>
  </si>
  <si>
    <t>Comment</t>
  </si>
  <si>
    <t>OBJ-0001</t>
  </si>
  <si>
    <t>Тариф выбран</t>
  </si>
  <si>
    <t>SelectedTariff not blank</t>
  </si>
  <si>
    <t>Должен быть выбран тариф объекта</t>
  </si>
  <si>
    <t>Налоговый режим выбран</t>
  </si>
  <si>
    <t>TaxMode not blank</t>
  </si>
  <si>
    <t>Должен быть указан налоговый режим</t>
  </si>
  <si>
    <t>Класс расстояния заполнен</t>
  </si>
  <si>
    <t>DistanceClass not blank</t>
  </si>
  <si>
    <t>Для логистики нужен класс расстояния</t>
  </si>
  <si>
    <t>Итог КП &gt;= min quote floor</t>
  </si>
  <si>
    <t>Итог ниже минимальной планки</t>
  </si>
  <si>
    <t>ObjectName</t>
  </si>
  <si>
    <t>SoilCoeff</t>
  </si>
  <si>
    <t>MoistureCoeff</t>
  </si>
  <si>
    <t>DebrisCoeff</t>
  </si>
  <si>
    <t>SlopeCoeff</t>
  </si>
  <si>
    <t>UnevennessCoeff</t>
  </si>
  <si>
    <t>AccessCoeff</t>
  </si>
  <si>
    <t>TurnSpaceCoeff</t>
  </si>
  <si>
    <t>ProximityCoeff</t>
  </si>
  <si>
    <t>MachineryCoeff</t>
  </si>
  <si>
    <t>GeometryCoeff</t>
  </si>
  <si>
    <t>TariffWorkCoeff</t>
  </si>
  <si>
    <t>TariffMaterialCoeff</t>
  </si>
  <si>
    <t>TariffLogisticsCoeff</t>
  </si>
  <si>
    <t>TariffOverheadCoeff</t>
  </si>
  <si>
    <t>TariffReserveBiasCoeff</t>
  </si>
  <si>
    <t>TariffNotes</t>
  </si>
  <si>
    <t>DistanceFromBaseKM</t>
  </si>
  <si>
    <t>DistanceCoeff</t>
  </si>
  <si>
    <t>SeasonCoeff</t>
  </si>
  <si>
    <t>UrgencyCoeff</t>
  </si>
  <si>
    <t>VATRate</t>
  </si>
  <si>
    <t>LogisticsTrips</t>
  </si>
  <si>
    <t>DisposalDistanceKM</t>
  </si>
  <si>
    <t>Частный участок — базовый сложный кейс</t>
  </si>
  <si>
    <t>Пример объекта для проверки формул</t>
  </si>
  <si>
    <t>OBJ-0002</t>
  </si>
  <si>
    <t>Частный участок — лёгкие условия</t>
  </si>
  <si>
    <t>Ровный участок с нормальным доступом</t>
  </si>
  <si>
    <t>FactorType</t>
  </si>
  <si>
    <t>FactorClass</t>
  </si>
  <si>
    <t>Coefficient</t>
  </si>
  <si>
    <t>UseCase</t>
  </si>
  <si>
    <t>Песок, лёгкая супесь</t>
  </si>
  <si>
    <t>Стартовая гипотеза; обычно работать легче</t>
  </si>
  <si>
    <t>Супесь / суглинок средней плотности</t>
  </si>
  <si>
    <t>Базовый класс участка</t>
  </si>
  <si>
    <t>Тяжёлый суглинок / глина</t>
  </si>
  <si>
    <t>Ожидаемое снижение производительности</t>
  </si>
  <si>
    <t>Плотная глина, смешанный грунт, камни</t>
  </si>
  <si>
    <t>Требует ручной доработки и/или спецтехники</t>
  </si>
  <si>
    <t>Подсушенный грунт</t>
  </si>
  <si>
    <t>Часто работать чуть легче</t>
  </si>
  <si>
    <t>Нормальные условия</t>
  </si>
  <si>
    <t>Базовый класс</t>
  </si>
  <si>
    <t>Повышенная влажность</t>
  </si>
  <si>
    <t>Риск замедления и налипания</t>
  </si>
  <si>
    <t>Очень мокрый грунт</t>
  </si>
  <si>
    <t>Часто меняет и цену, и состав решения</t>
  </si>
  <si>
    <t>Чистый грунт</t>
  </si>
  <si>
    <t>Местами корни, мусор, камни</t>
  </si>
  <si>
    <t>Умеренное усложнение разработки</t>
  </si>
  <si>
    <t>Строительный мусор, много корней, камни</t>
  </si>
  <si>
    <t>Сильное удорожание ручных операций</t>
  </si>
  <si>
    <t>Почти ровно</t>
  </si>
  <si>
    <t>Умеренный уклон</t>
  </si>
  <si>
    <t>Частичное снижение темпа</t>
  </si>
  <si>
    <t>Сложный уклон</t>
  </si>
  <si>
    <t>Нужна точная планировка и контроль геометрии</t>
  </si>
  <si>
    <t>Крутой уклон</t>
  </si>
  <si>
    <t>Риск ручной доработки и удерживающих решений</t>
  </si>
  <si>
    <t>Почти ровная поверхность</t>
  </si>
  <si>
    <t>Заметные неровности</t>
  </si>
  <si>
    <t>Потери на выравнивание и геометрию</t>
  </si>
  <si>
    <t>Сильные перепады</t>
  </si>
  <si>
    <t>Часто требует доп. планировки</t>
  </si>
  <si>
    <t>Нормальный подъезд и манёвр</t>
  </si>
  <si>
    <t>Частично стеснённый доступ</t>
  </si>
  <si>
    <t>Потери времени на подачу и развороты</t>
  </si>
  <si>
    <t>Проходы узкие, техника ограничена</t>
  </si>
  <si>
    <t>Часть операций становится ручной</t>
  </si>
  <si>
    <t>Есть место для разворота</t>
  </si>
  <si>
    <t>Разворот затруднён</t>
  </si>
  <si>
    <t>Доп. потери времени</t>
  </si>
  <si>
    <t>Разворот почти невозможен</t>
  </si>
  <si>
    <t>Риск мелкой техники и ручной логистики</t>
  </si>
  <si>
    <t>Постройки не мешают</t>
  </si>
  <si>
    <t>Работа рядом со строениями</t>
  </si>
  <si>
    <t>Требуется аккуратная подработка</t>
  </si>
  <si>
    <t>Деликатная зона рядом с фундаментом/отделкой</t>
  </si>
  <si>
    <t>Часто нужна ручная доработка и защита</t>
  </si>
  <si>
    <t>Техника допустима</t>
  </si>
  <si>
    <t>Техника допустима не везде</t>
  </si>
  <si>
    <t>Смешанный сценарий работ</t>
  </si>
  <si>
    <t>Механизация невозможна</t>
  </si>
  <si>
    <t>Сильный сдвиг в сторону ручного труда</t>
  </si>
  <si>
    <t>Прямые и простые контуры</t>
  </si>
  <si>
    <t>Базовый класс для материалов с подрезкой</t>
  </si>
  <si>
    <t>Есть отдельные подрезки и повороты</t>
  </si>
  <si>
    <t>Умеренный рост запаса</t>
  </si>
  <si>
    <t>Много примыканий, радиусов и подрезок</t>
  </si>
  <si>
    <t>Запас по рулонным и штучным материалам заметно растёт</t>
  </si>
  <si>
    <t>Ломаная геометрия, много обходов и узлов</t>
  </si>
  <si>
    <t>Высокий риск перерасхода на подгонку</t>
  </si>
  <si>
    <t>AppliesTo</t>
  </si>
  <si>
    <t>Логистика/выезд</t>
  </si>
  <si>
    <t>Базовая зона</t>
  </si>
  <si>
    <t>Умеренное плечо</t>
  </si>
  <si>
    <t>Дальняя доставка</t>
  </si>
  <si>
    <t>Очень дальняя зона</t>
  </si>
  <si>
    <t>Работы</t>
  </si>
  <si>
    <t>Типовой период</t>
  </si>
  <si>
    <t>Стимулирующий период</t>
  </si>
  <si>
    <t>Пиковая загрузка</t>
  </si>
  <si>
    <t>Сложность производства</t>
  </si>
  <si>
    <t>Работы/логистика</t>
  </si>
  <si>
    <t>Нормальное планирование</t>
  </si>
  <si>
    <t>Сжатые сроки</t>
  </si>
  <si>
    <t>Срочная мобилизация</t>
  </si>
  <si>
    <t>PricePresentation</t>
  </si>
  <si>
    <t>Цена без НДС = цена для клиента</t>
  </si>
  <si>
    <t>УСН/без НДС</t>
  </si>
  <si>
    <t>Показывать цену с НДС 20%</t>
  </si>
  <si>
    <t>Стандартный режим</t>
  </si>
  <si>
    <t>Показывать цену с НДС 10%</t>
  </si>
  <si>
    <t>Редкий кейс для отдельных товаров/услуг</t>
  </si>
  <si>
    <t>SoilWeight</t>
  </si>
  <si>
    <t>MoistureWeight</t>
  </si>
  <si>
    <t>DebrisWeight</t>
  </si>
  <si>
    <t>SlopeWeight</t>
  </si>
  <si>
    <t>UnevennessWeight</t>
  </si>
  <si>
    <t>AccessWeight</t>
  </si>
  <si>
    <t>TurnSpaceWeight</t>
  </si>
  <si>
    <t>ProximityWeight</t>
  </si>
  <si>
    <t>MachineryWeight</t>
  </si>
  <si>
    <t>PriceRuleEnabled</t>
  </si>
  <si>
    <t>CompositionRuleEnabled</t>
  </si>
  <si>
    <t>SampleObjectID</t>
  </si>
  <si>
    <t>SiteCoeffExample</t>
  </si>
  <si>
    <t>Высокая чувствительность к грунту и механизации</t>
  </si>
  <si>
    <t>Сильнее реагирует на грунт и рельеф, чем на близость построек</t>
  </si>
  <si>
    <t>Очень чувствительна к доступу, грунту и близости построек</t>
  </si>
  <si>
    <t>Больше зависит от геометрии и рельефа, чем от типа грунта</t>
  </si>
  <si>
    <t>ScopeType</t>
  </si>
  <si>
    <t>ScopeValue</t>
  </si>
  <si>
    <t>ConditionField1</t>
  </si>
  <si>
    <t>ConditionValue1</t>
  </si>
  <si>
    <t>ConditionField2</t>
  </si>
  <si>
    <t>ConditionValue2</t>
  </si>
  <si>
    <t>ActionType</t>
  </si>
  <si>
    <t>ActionValue</t>
  </si>
  <si>
    <t>TargetEntityType</t>
  </si>
  <si>
    <t>TargetID</t>
  </si>
  <si>
    <t>CR-0001</t>
  </si>
  <si>
    <t>Если механизация невозможна, вариант принудительно становится ручным</t>
  </si>
  <si>
    <t>CR-0002</t>
  </si>
  <si>
    <t>При хорошем доступе механизированный способ предпочтителен</t>
  </si>
  <si>
    <t>CR-0003</t>
  </si>
  <si>
    <t>Проверить усиление основания, геотекстиль и дренаж</t>
  </si>
  <si>
    <t>Не только цена, но и состав решения требуют пересмотра</t>
  </si>
  <si>
    <t>CR-0004</t>
  </si>
  <si>
    <t>Проверить ручную подработку, удержание кромки и геометрию покрытия</t>
  </si>
  <si>
    <t>Уклон выше стандартного часто меняет трудоёмкость</t>
  </si>
  <si>
    <t>CR-0005</t>
  </si>
  <si>
    <t>Уточнить деликатную разработку и ручные подрезки вдоль построек</t>
  </si>
  <si>
    <t>Близость построек повышает риск повреждений и снижает темп</t>
  </si>
  <si>
    <t>TriggerType</t>
  </si>
  <si>
    <t>TriggerID</t>
  </si>
  <si>
    <t>ConditionField</t>
  </si>
  <si>
    <t>ConditionValue</t>
  </si>
  <si>
    <t>TargetType</t>
  </si>
  <si>
    <t>QtyLogic</t>
  </si>
  <si>
    <t>DR-0001</t>
  </si>
  <si>
    <t>1:1</t>
  </si>
  <si>
    <t>Если механизация невозможна, ручной способ обязателен</t>
  </si>
  <si>
    <t>DR-0002</t>
  </si>
  <si>
    <t>PreferVariant</t>
  </si>
  <si>
    <t>Премиум чаще тянет лучший вариант покрытия</t>
  </si>
  <si>
    <t>DR-0003</t>
  </si>
  <si>
    <t>FlagIfBelow</t>
  </si>
  <si>
    <t>Thickness&gt;=60</t>
  </si>
  <si>
    <t>-</t>
  </si>
  <si>
    <t>Не позволять пешеходный вариант на въезде</t>
  </si>
  <si>
    <t>DR-0004</t>
  </si>
  <si>
    <t>0.15 x area</t>
  </si>
  <si>
    <t>При уклоне усиливаем подготовку</t>
  </si>
  <si>
    <t>DR-0005</t>
  </si>
  <si>
    <t>0.03 x area</t>
  </si>
  <si>
    <t>Пример добавления вспомогательного материала</t>
  </si>
  <si>
    <t>AllowanceType</t>
  </si>
  <si>
    <t>ComponentCoeff</t>
  </si>
  <si>
    <t>IncludedInBaseCoeff</t>
  </si>
  <si>
    <t>ExampleUse</t>
  </si>
  <si>
    <t>MA-0001</t>
  </si>
  <si>
    <t>Щебень, песок, отсев от проектного уплотненного объема</t>
  </si>
  <si>
    <t>Коэффициент уже включает переход от проектного объема к закупке</t>
  </si>
  <si>
    <t>MA-0002</t>
  </si>
  <si>
    <t>Брусчатка и схожие штучные покрытия</t>
  </si>
  <si>
    <t>Стартовая гипотеза; для сложной геометрии доп. запас даёт SiteReserveCoeff</t>
  </si>
  <si>
    <t>MA-0003</t>
  </si>
  <si>
    <t>Геотекстиль, геосетка</t>
  </si>
  <si>
    <t>Отдельный компонент базового коэффициента</t>
  </si>
  <si>
    <t>MA-0004</t>
  </si>
  <si>
    <t>В сумме с нахлестом даёт базовый коэффициент 1.133</t>
  </si>
  <si>
    <t>MA-0005</t>
  </si>
  <si>
    <t>Рулонный газон / turf</t>
  </si>
  <si>
    <t>Обычно зависит от геометрии участка и примыканий</t>
  </si>
  <si>
    <t>MA-0006</t>
  </si>
  <si>
    <t>Пленки, мембраны, изоляция</t>
  </si>
  <si>
    <t>Ширина нахлеста зависит от материала и производителя</t>
  </si>
  <si>
    <t>MA-0007</t>
  </si>
  <si>
    <t>В сумме с нахлестом даёт базовый коэффициент 1.154</t>
  </si>
  <si>
    <t>MA-0008</t>
  </si>
  <si>
    <t>Террасная доска, доска настила</t>
  </si>
  <si>
    <t>На узких и ломаных зонах запас растёт</t>
  </si>
  <si>
    <t>MA-0009</t>
  </si>
  <si>
    <t>Бордюр, некоторые линейные элементы</t>
  </si>
  <si>
    <t>Минимальный запас на бой/добор</t>
  </si>
  <si>
    <t>RoundMode</t>
  </si>
  <si>
    <t>RoundBasis</t>
  </si>
  <si>
    <t>PackSize</t>
  </si>
  <si>
    <t>MinOrderQty</t>
  </si>
  <si>
    <t>PalletQty</t>
  </si>
  <si>
    <t>ReserveAppliedBeforeRounding</t>
  </si>
  <si>
    <t>FreeSpareCoeff</t>
  </si>
  <si>
    <t>PR-0001</t>
  </si>
  <si>
    <t>Сыпучие / с разрыхлением</t>
  </si>
  <si>
    <t>Закупка по м3 с округлением вверх до 0,1 м3</t>
  </si>
  <si>
    <t>PR-0002</t>
  </si>
  <si>
    <t>Рулон / лист / нахлест</t>
  </si>
  <si>
    <t>Сначала площадь с запасом, потом округление в целые рулоны</t>
  </si>
  <si>
    <t>PR-0003</t>
  </si>
  <si>
    <t>Штучный материал / подрезка</t>
  </si>
  <si>
    <t>Подрезка + технологический запас + округление к паллете</t>
  </si>
  <si>
    <t>PR-0004</t>
  </si>
  <si>
    <t>Погонаж / доска / раскрой</t>
  </si>
  <si>
    <t>Запас на раскрой и торцовку</t>
  </si>
  <si>
    <t>PR-0005</t>
  </si>
  <si>
    <t>Пример точечного правила на конкретный вариант</t>
  </si>
  <si>
    <t>GeometryWeight</t>
  </si>
  <si>
    <t>ExampleObjectID</t>
  </si>
  <si>
    <t>SiteReserveCoeffExample</t>
  </si>
  <si>
    <t>Подрезка зависит в первую очередь от геометрии рисунка и контуров</t>
  </si>
  <si>
    <t>Небольшой рост запаса на ломаных контурах и доборах</t>
  </si>
  <si>
    <t>Сильная зависимость от геометрии, нахлестов и неровностей</t>
  </si>
  <si>
    <t>Сложные контуры и уклон заметно увеличивают подрезку</t>
  </si>
  <si>
    <t>Рост нахлестов и подрезки на сложных зонах</t>
  </si>
  <si>
    <t>Торцовка и доборы сильнее зависят от контуров, чем от уклона</t>
  </si>
  <si>
    <t>Для сыпучих важнее уклон, потери на подачу и условия разгрузки</t>
  </si>
  <si>
    <t>CalcID</t>
  </si>
  <si>
    <t>NetQty</t>
  </si>
  <si>
    <t>NetUnit</t>
  </si>
  <si>
    <t>SiteReserveCoeff</t>
  </si>
  <si>
    <t>ManualAdjCoeff</t>
  </si>
  <si>
    <t>FinalReserveCoeff</t>
  </si>
  <si>
    <t>FinalQty</t>
  </si>
  <si>
    <t>MC-0001</t>
  </si>
  <si>
    <t>Геотекстиль на сложном участке</t>
  </si>
  <si>
    <t>MC-0002</t>
  </si>
  <si>
    <t>Рулонный газон на сложном участке</t>
  </si>
  <si>
    <t>MC-0003</t>
  </si>
  <si>
    <t>Брусчатка с подрезкой по контурам</t>
  </si>
  <si>
    <t>MC-0004</t>
  </si>
  <si>
    <t>Щебень от проектного уплотненного объема</t>
  </si>
  <si>
    <t>Tariff</t>
  </si>
  <si>
    <t>ClientLabel</t>
  </si>
  <si>
    <t>Description</t>
  </si>
  <si>
    <t>WorkSellCoeff</t>
  </si>
  <si>
    <t>MaterialSellCoeff</t>
  </si>
  <si>
    <t>LogisticsSellCoeff</t>
  </si>
  <si>
    <t>OverheadCoeff</t>
  </si>
  <si>
    <t>ReserveBiasCoeff</t>
  </si>
  <si>
    <t>PreferredQualityIntent</t>
  </si>
  <si>
    <t>DefaultDisplayMode</t>
  </si>
  <si>
    <t>Минимально достаточная комплектация без излишеств; упор на цену и укрупнение показа</t>
  </si>
  <si>
    <t>Не считать это автоматической скидкой на всё подряд; состав и замены задаются в правилах</t>
  </si>
  <si>
    <t>Базовый рекомендуемый уровень для большинства частных объектов</t>
  </si>
  <si>
    <t>Отправная точка модели</t>
  </si>
  <si>
    <t>Улучшенные материалы, больше прозрачности в КП, выше допуски по запасам и качеству</t>
  </si>
  <si>
    <t>Премиум меняет не только цену, но и набор/качество материалов</t>
  </si>
  <si>
    <t>MinQuoteValueExVAT</t>
  </si>
  <si>
    <t>MinCrewDayChargeExVAT</t>
  </si>
  <si>
    <t>MobilizationChargeExVAT</t>
  </si>
  <si>
    <t>SiteVisitChargeExVAT</t>
  </si>
  <si>
    <t>SmallJobFloorCoeff</t>
  </si>
  <si>
    <t>DefaultDiscountCap</t>
  </si>
  <si>
    <t>PriceValidityDays</t>
  </si>
  <si>
    <t>DefaultWarrantyMonths</t>
  </si>
  <si>
    <t>DefaultPaymentTerms</t>
  </si>
  <si>
    <t>70% аванс / 30% по факту</t>
  </si>
  <si>
    <t>Сильнее укрупнять и следить за floor для малых объектов</t>
  </si>
  <si>
    <t>50% аванс / 40% по этапу / 10% закрытие</t>
  </si>
  <si>
    <t>Базовая коммерческая политика</t>
  </si>
  <si>
    <t>50% аванс / 50% по этапам</t>
  </si>
  <si>
    <t>Больше точности, качества и гарантий</t>
  </si>
  <si>
    <t>IsIncluded</t>
  </si>
  <si>
    <t>PreferredExecutionMethod</t>
  </si>
  <si>
    <t>WorkSellCoeffOverride</t>
  </si>
  <si>
    <t>CommercialNameOverride</t>
  </si>
  <si>
    <t>DisplayModeOverride</t>
  </si>
  <si>
    <t>BundleMode</t>
  </si>
  <si>
    <t>Для эконома чаще укрупнять и предпочитать механизацию при доступе</t>
  </si>
  <si>
    <t>1.08</t>
  </si>
  <si>
    <t>Точная подготовка ложа</t>
  </si>
  <si>
    <t>Ручная доработка и более деликатное исполнение при сложной геометрии</t>
  </si>
  <si>
    <t>1.10</t>
  </si>
  <si>
    <t>Подготовка премиального газонного основания</t>
  </si>
  <si>
    <t>1.05</t>
  </si>
  <si>
    <t>Точный монтаж бордюра</t>
  </si>
  <si>
    <t>Более аккуратная геометрия и контроль</t>
  </si>
  <si>
    <t>PreferredVariantID</t>
  </si>
  <si>
    <t>MaterialSellCoeffOverride</t>
  </si>
  <si>
    <t>ReserveBiasOverride</t>
  </si>
  <si>
    <t>ClientNameOverride</t>
  </si>
  <si>
    <t>QualityIntent</t>
  </si>
  <si>
    <t>0.98</t>
  </si>
  <si>
    <t>Пешеходный вариант</t>
  </si>
  <si>
    <t>1.00</t>
  </si>
  <si>
    <t>Базовый частный участок</t>
  </si>
  <si>
    <t>1.02</t>
  </si>
  <si>
    <t>Если по задаче уместно усиленное решение</t>
  </si>
  <si>
    <t>0.97</t>
  </si>
  <si>
    <t>0.99</t>
  </si>
  <si>
    <t>Без премиальной селекции</t>
  </si>
  <si>
    <t>Газон рулонный премиального отбора</t>
  </si>
  <si>
    <t>Нужен отдельный прайс поставщика</t>
  </si>
  <si>
    <t>1.03</t>
  </si>
  <si>
    <t>1.01</t>
  </si>
  <si>
    <t>Можно раскрывать материал в клиентской версии</t>
  </si>
  <si>
    <t>Action</t>
  </si>
  <si>
    <t>ReplacementID</t>
  </si>
  <si>
    <t>ClientImpact</t>
  </si>
  <si>
    <t>Снизить толщину/класс материала, если позволяет нагрузка</t>
  </si>
  <si>
    <t>Проверять по реальной зоне применения</t>
  </si>
  <si>
    <t>Базовый вариант</t>
  </si>
  <si>
    <t>Усиленный или визуально более качественный вариант</t>
  </si>
  <si>
    <t>Не применять автоматически без проверки нагрузки</t>
  </si>
  <si>
    <t>Удешевление за счёт механизации при доступе</t>
  </si>
  <si>
    <t>Более аккуратная доводка сложных зон</t>
  </si>
  <si>
    <t>DisplayMode</t>
  </si>
  <si>
    <t>Меньше детализации в КП</t>
  </si>
  <si>
    <t>Больше прозрачности в составе решения</t>
  </si>
  <si>
    <t>SortOrder</t>
  </si>
  <si>
    <t>ClientSectionName</t>
  </si>
  <si>
    <t>ShowSectionSubtotal</t>
  </si>
  <si>
    <t>DefaultBundleMode</t>
  </si>
  <si>
    <t>ShowMaterials</t>
  </si>
  <si>
    <t>ShowLogistics</t>
  </si>
  <si>
    <t>ShowOverheads</t>
  </si>
  <si>
    <t>ShowAssumptionsBlock</t>
  </si>
  <si>
    <t>ShowExclusionsBlock</t>
  </si>
  <si>
    <t>Свернуть</t>
  </si>
  <si>
    <t>Скрыть</t>
  </si>
  <si>
    <t>Эконом сильнее укрупняет логистику и накладные</t>
  </si>
  <si>
    <t>Показать</t>
  </si>
  <si>
    <t>Базовый клиентский вывод</t>
  </si>
  <si>
    <t>Премиальное мощение</t>
  </si>
  <si>
    <t>Более подробное описание состава</t>
  </si>
  <si>
    <t>Внутренняя версия сметы</t>
  </si>
  <si>
    <t>ClientText</t>
  </si>
  <si>
    <t>DefaultForClient</t>
  </si>
  <si>
    <t>Общие</t>
  </si>
  <si>
    <t>Геология, скрытые инженерные сети и непредвиденные подземные препятствия не включены</t>
  </si>
  <si>
    <t>Классическая защита от скрытых факторов</t>
  </si>
  <si>
    <t>Стоимость рассчитана при доступе техники и складировании материалов в пределах участка</t>
  </si>
  <si>
    <t>Связь с условиями объекта</t>
  </si>
  <si>
    <t>Включено более точное сопряжение покрытий, геометрии и финишного контроля</t>
  </si>
  <si>
    <t>Подчеркивает отличие премиума</t>
  </si>
  <si>
    <t>Подсев/восстановление после эксплуатации третьими лицами не входит в гарантию</t>
  </si>
  <si>
    <t>Уточнение гарантийного контура</t>
  </si>
  <si>
    <t>Основание и нагрузки приняты по исходным данным заказчика, без статического расчета</t>
  </si>
  <si>
    <t>LineType</t>
  </si>
  <si>
    <t>RefID</t>
  </si>
  <si>
    <t>BaseUnitPrice</t>
  </si>
  <si>
    <t>TariffCoeff</t>
  </si>
  <si>
    <t>FinalUnitPrice</t>
  </si>
  <si>
    <t>LineTotal</t>
  </si>
  <si>
    <t>Comments</t>
  </si>
  <si>
    <t>BaseUnitPriceExVAT</t>
  </si>
  <si>
    <t>MethodOrVariantCoeff</t>
  </si>
  <si>
    <t>RoundedPurchaseQty</t>
  </si>
  <si>
    <t>CommercialFloorAdj</t>
  </si>
  <si>
    <t>LineTotalExVAT</t>
  </si>
  <si>
    <t>LineTotalIncVAT</t>
  </si>
  <si>
    <t>CalcComment</t>
  </si>
  <si>
    <t>LOG-BASE</t>
  </si>
  <si>
    <t>Metric</t>
  </si>
  <si>
    <t>Value</t>
  </si>
  <si>
    <t>Rows in PRICE_MASTER</t>
  </si>
  <si>
    <t>Все строки источника</t>
  </si>
  <si>
    <t>Imported non-material master rows</t>
  </si>
  <si>
    <t>Работы, техника, логистика, накладные, услуги</t>
  </si>
  <si>
    <t>Imported material master rows</t>
  </si>
  <si>
    <t>Материалы</t>
  </si>
  <si>
    <t>Imported material variants</t>
  </si>
  <si>
    <t>Пока 1:1 на каждую material row</t>
  </si>
  <si>
    <t>Raw rows needing review</t>
  </si>
  <si>
    <t>Средняя уверенность или накладные</t>
  </si>
  <si>
    <t>Unique sections</t>
  </si>
  <si>
    <t>После нормализации столбца 6</t>
  </si>
  <si>
    <t>Unique position types</t>
  </si>
  <si>
    <t>Работа/Материал/Техника/Логистика/Накладные/Услуга</t>
  </si>
  <si>
    <t>Potential normalization groups</t>
  </si>
  <si>
    <t>См. лист REAL_NORMALIZATION_REVIEW</t>
  </si>
  <si>
    <t>RawUnit</t>
  </si>
  <si>
    <t>RawPriceRaw</t>
  </si>
  <si>
    <t>RawPriceNum</t>
  </si>
  <si>
    <t>SourceFile</t>
  </si>
  <si>
    <t>LegacySectionName</t>
  </si>
  <si>
    <t>LegacyRowNumber</t>
  </si>
  <si>
    <t>LegacyRawCode</t>
  </si>
  <si>
    <t>RecommendedSection</t>
  </si>
  <si>
    <t>KPBlock</t>
  </si>
  <si>
    <t>ImportedMasterID</t>
  </si>
  <si>
    <t>ImportedVariantID</t>
  </si>
  <si>
    <t>ImportComment</t>
  </si>
  <si>
    <t>Авторское сопровождение</t>
  </si>
  <si>
    <t>0.03</t>
  </si>
  <si>
    <t>Услуги и сопровождение</t>
  </si>
  <si>
    <t>RWORK-0001</t>
  </si>
  <si>
    <t>Это продаваемая услуга, можно показывать отдельной строкой</t>
  </si>
  <si>
    <t>Амфиболит колотый 50*100*100мм</t>
  </si>
  <si>
    <t>3480</t>
  </si>
  <si>
    <t>материалы</t>
  </si>
  <si>
    <t>RMAT-0001</t>
  </si>
  <si>
    <t>Нормализовано под генератор КП</t>
  </si>
  <si>
    <t>Анкер крепящий для ландшафтного бордюра (количество для установки по дуге 5шт. на 1м.п.)</t>
  </si>
  <si>
    <t>48</t>
  </si>
  <si>
    <t>Устройство газона</t>
  </si>
  <si>
    <t>газон</t>
  </si>
  <si>
    <t>Бордюры и ограничения</t>
  </si>
  <si>
    <t>RMAT-0002</t>
  </si>
  <si>
    <t>SRC-0004</t>
  </si>
  <si>
    <t>Антисептик Pinotex Base</t>
  </si>
  <si>
    <t>л</t>
  </si>
  <si>
    <t>580</t>
  </si>
  <si>
    <t>2 мощ-е - подг-ка осн-я</t>
  </si>
  <si>
    <t>Конструкции и отделка</t>
  </si>
  <si>
    <t>RMAT-0003</t>
  </si>
  <si>
    <t>SRC-0005</t>
  </si>
  <si>
    <t>Антисептирование пиломатериалов с обеих сторон</t>
  </si>
  <si>
    <t>250</t>
  </si>
  <si>
    <t>работа</t>
  </si>
  <si>
    <t>Прочее по мощению</t>
  </si>
  <si>
    <t>Основные работы</t>
  </si>
  <si>
    <t>RWORK-0002</t>
  </si>
  <si>
    <t>SRC-0006</t>
  </si>
  <si>
    <t>Аренда вагончика</t>
  </si>
  <si>
    <t>мес.</t>
  </si>
  <si>
    <t>8000</t>
  </si>
  <si>
    <t>вагончик</t>
  </si>
  <si>
    <t>Бытовые условия стройплощадки</t>
  </si>
  <si>
    <t>Логистика и обеспечение</t>
  </si>
  <si>
    <t>RWORK-0003</t>
  </si>
  <si>
    <t>Для клиентского КП лучше сворачивать в раздел "Организация стройплощадки"</t>
  </si>
  <si>
    <t>SRC-0007</t>
  </si>
  <si>
    <t>Аренда виброплиты 140кг</t>
  </si>
  <si>
    <t>сут.</t>
  </si>
  <si>
    <t>2300</t>
  </si>
  <si>
    <t>техника</t>
  </si>
  <si>
    <t>Покрытия</t>
  </si>
  <si>
    <t>Техника и механизмы</t>
  </si>
  <si>
    <t>RWORK-0004</t>
  </si>
  <si>
    <t>Из отдельного столбца 6 это нужно убирать: для КП это тип позиции, а не раздел</t>
  </si>
  <si>
    <t>SRC-0008</t>
  </si>
  <si>
    <t>Аренда виброплиты 70кг</t>
  </si>
  <si>
    <t>800</t>
  </si>
  <si>
    <t>дренаж</t>
  </si>
  <si>
    <t>RWORK-0005</t>
  </si>
  <si>
    <t>SRC-0009</t>
  </si>
  <si>
    <t>Аренда мотобура</t>
  </si>
  <si>
    <t>5500</t>
  </si>
  <si>
    <t>RWORK-0006</t>
  </si>
  <si>
    <t>SRC-0010</t>
  </si>
  <si>
    <t>Аренда обслуживание (2 раза в месяц) туалетной кабины</t>
  </si>
  <si>
    <t>11700</t>
  </si>
  <si>
    <t>туалет</t>
  </si>
  <si>
    <t>RWORK-0007</t>
  </si>
  <si>
    <t>SRC-0011</t>
  </si>
  <si>
    <t>Аренда торцовочной пилы</t>
  </si>
  <si>
    <t>770</t>
  </si>
  <si>
    <t>RWORK-0008</t>
  </si>
  <si>
    <t>SRC-0012</t>
  </si>
  <si>
    <t>арматура рифленая, 10мм</t>
  </si>
  <si>
    <t>м.пог.</t>
  </si>
  <si>
    <t>63</t>
  </si>
  <si>
    <t>RMAT-0004</t>
  </si>
  <si>
    <t>SRC-0013</t>
  </si>
  <si>
    <t>Арматура рифленая, 12мм</t>
  </si>
  <si>
    <t>85</t>
  </si>
  <si>
    <t>RMAT-0005</t>
  </si>
  <si>
    <t>SRC-0014</t>
  </si>
  <si>
    <t>Армирование</t>
  </si>
  <si>
    <t>350</t>
  </si>
  <si>
    <t>Бетон и конструктив</t>
  </si>
  <si>
    <t>RWORK-0009</t>
  </si>
  <si>
    <t>SRC-0015</t>
  </si>
  <si>
    <t>Бетон, миксер</t>
  </si>
  <si>
    <t>15000</t>
  </si>
  <si>
    <t>Ступени-пандусы из бетона</t>
  </si>
  <si>
    <t>ступени</t>
  </si>
  <si>
    <t>Бетон и армирование</t>
  </si>
  <si>
    <t>RMAT-0006</t>
  </si>
  <si>
    <t>SRC-0016</t>
  </si>
  <si>
    <t>Бетононасос</t>
  </si>
  <si>
    <t>маш./смена</t>
  </si>
  <si>
    <t>24000</t>
  </si>
  <si>
    <t>RWORK-0010</t>
  </si>
  <si>
    <t>SRC-0017</t>
  </si>
  <si>
    <t>Блок питания 100Вт</t>
  </si>
  <si>
    <t>6000</t>
  </si>
  <si>
    <t>Оборудование и комплектующие</t>
  </si>
  <si>
    <t>RMAT-0007</t>
  </si>
  <si>
    <t>SRC-0018</t>
  </si>
  <si>
    <t>Бордюр металлический</t>
  </si>
  <si>
    <t>0</t>
  </si>
  <si>
    <t>1. Подготовка основания для пешеходных дорожек и площадок под мощение тротуарной плиткой.</t>
  </si>
  <si>
    <t>RMAT-0008</t>
  </si>
  <si>
    <t>SRC-0019</t>
  </si>
  <si>
    <t>Бордюр пластиковый Plastbort с крепежом</t>
  </si>
  <si>
    <t>320</t>
  </si>
  <si>
    <t>RMAT-0009</t>
  </si>
  <si>
    <t>MV-0009</t>
  </si>
  <si>
    <t>SRC-0020</t>
  </si>
  <si>
    <t>Бордюр пластиковый, 100х8х4.5см</t>
  </si>
  <si>
    <t>430</t>
  </si>
  <si>
    <t>RMAT-0010</t>
  </si>
  <si>
    <t>MV-0010</t>
  </si>
  <si>
    <t>SRC-0021</t>
  </si>
  <si>
    <t>Брус 50х50х3000мм</t>
  </si>
  <si>
    <t>280</t>
  </si>
  <si>
    <t>Прочее по бетонным элементам</t>
  </si>
  <si>
    <t>RMAT-0011</t>
  </si>
  <si>
    <t>MV-0011</t>
  </si>
  <si>
    <t>SRC-0022</t>
  </si>
  <si>
    <t>Брусок сухой сосна 30х45х3000 мм сорт АВ</t>
  </si>
  <si>
    <t>245</t>
  </si>
  <si>
    <t>RMAT-0012</t>
  </si>
  <si>
    <t>MV-0012</t>
  </si>
  <si>
    <t>SRC-0023</t>
  </si>
  <si>
    <t>Брусчатка гранитная, 100х100х100мм</t>
  </si>
  <si>
    <t>2500</t>
  </si>
  <si>
    <t>RMAT-0013</t>
  </si>
  <si>
    <t>MV-0013</t>
  </si>
  <si>
    <t>SRC-0024</t>
  </si>
  <si>
    <t>Брусчатка гранитная, 100х100х50мм</t>
  </si>
  <si>
    <t>RMAT-0014</t>
  </si>
  <si>
    <t>MV-0014</t>
  </si>
  <si>
    <t>SRC-0025</t>
  </si>
  <si>
    <t>Брусчатка пиленная, шунгитный сланец</t>
  </si>
  <si>
    <t>4730</t>
  </si>
  <si>
    <t>RMAT-0015</t>
  </si>
  <si>
    <t>MV-0015</t>
  </si>
  <si>
    <t>SRC-0026</t>
  </si>
  <si>
    <t>Брусчатка пилено-колотая, гранит 100х100х50мм</t>
  </si>
  <si>
    <t>4630</t>
  </si>
  <si>
    <t>RMAT-0016</t>
  </si>
  <si>
    <t>MV-0016</t>
  </si>
  <si>
    <t>SRC-0027</t>
  </si>
  <si>
    <t>Брусчатка ТБП (простая), 60мм</t>
  </si>
  <si>
    <t>840</t>
  </si>
  <si>
    <t>RMAT-0017</t>
  </si>
  <si>
    <t>MV-0017</t>
  </si>
  <si>
    <t>SRC-0028</t>
  </si>
  <si>
    <t>Брусчатка ТБП Антик, 197x97x60мм</t>
  </si>
  <si>
    <t>1100</t>
  </si>
  <si>
    <t>RMAT-0018</t>
  </si>
  <si>
    <t>MV-0018</t>
  </si>
  <si>
    <t>SRC-0029</t>
  </si>
  <si>
    <t>Брусчатка ТБП Классико Б.3.КО.6</t>
  </si>
  <si>
    <t>3025</t>
  </si>
  <si>
    <t>RMAT-0019</t>
  </si>
  <si>
    <t>MV-0019</t>
  </si>
  <si>
    <t>SRC-0030</t>
  </si>
  <si>
    <t>Вертикальная планировка (геопластика)</t>
  </si>
  <si>
    <t>360</t>
  </si>
  <si>
    <t>Планировочные работы.</t>
  </si>
  <si>
    <t>Планировка и подготовка грунта</t>
  </si>
  <si>
    <t>RWORK-0011</t>
  </si>
  <si>
    <t>SRC-0031</t>
  </si>
  <si>
    <t>Вертикальная планировка, выемка и подсыпка</t>
  </si>
  <si>
    <t>Земельные работы</t>
  </si>
  <si>
    <t>RWORK-0012</t>
  </si>
  <si>
    <t>SRC-0032</t>
  </si>
  <si>
    <t>Восстановление бетонной отмостки</t>
  </si>
  <si>
    <t>6500</t>
  </si>
  <si>
    <t>RWORK-0013</t>
  </si>
  <si>
    <t>SRC-0033</t>
  </si>
  <si>
    <t>Восстановление дернины после устройства дренажа</t>
  </si>
  <si>
    <t>260</t>
  </si>
  <si>
    <t>Земляные и восстановительные работы</t>
  </si>
  <si>
    <t>RWORK-0014</t>
  </si>
  <si>
    <t>SRC-0034</t>
  </si>
  <si>
    <t>Временные бытовые условия (+ спецодежда, связь, ТО туал.кабины)</t>
  </si>
  <si>
    <t>0.015</t>
  </si>
  <si>
    <t>Накладные и скрытые расходы</t>
  </si>
  <si>
    <t>RWORK-0015</t>
  </si>
  <si>
    <t>Лучше включать коэффициентом или свернутым разделом</t>
  </si>
  <si>
    <t>SRC-0035</t>
  </si>
  <si>
    <t>Выборка ложа от чистовой отметки (вручную)</t>
  </si>
  <si>
    <t>2000</t>
  </si>
  <si>
    <t>RWORK-0016</t>
  </si>
  <si>
    <t>SRC-0036</t>
  </si>
  <si>
    <t>Выборка ложа от чистовой отметки в отвал (механическая)</t>
  </si>
  <si>
    <t>850</t>
  </si>
  <si>
    <t>RWORK-0017</t>
  </si>
  <si>
    <t>SRC-0037</t>
  </si>
  <si>
    <t>Вывоз мусора (грунт)</t>
  </si>
  <si>
    <t>1200</t>
  </si>
  <si>
    <t>вывоз мусора</t>
  </si>
  <si>
    <t>Вывоз и погрузка</t>
  </si>
  <si>
    <t>RWORK-0018</t>
  </si>
  <si>
    <t>Для генератора КП лучше собирать в отдельный логистический блок</t>
  </si>
  <si>
    <t>SRC-0038</t>
  </si>
  <si>
    <t>Вывоз мусора (пухто 27м.куб.)</t>
  </si>
  <si>
    <t>кол-во раз</t>
  </si>
  <si>
    <t>32000</t>
  </si>
  <si>
    <t>Вывоз мусора (по факту)</t>
  </si>
  <si>
    <t>RWORK-0019</t>
  </si>
  <si>
    <t>SRC-0039</t>
  </si>
  <si>
    <t>Выезд электрика для подключения в вагончике</t>
  </si>
  <si>
    <t>5000</t>
  </si>
  <si>
    <t>RWORK-0020</t>
  </si>
  <si>
    <t>SRC-0040</t>
  </si>
  <si>
    <t>Выемка грунта (вручную)</t>
  </si>
  <si>
    <t>Подготовка и демонтаж</t>
  </si>
  <si>
    <t>RWORK-0021</t>
  </si>
  <si>
    <t>SRC-0041</t>
  </si>
  <si>
    <t>Выемка грунта (механическая)</t>
  </si>
  <si>
    <t>RWORK-0022</t>
  </si>
  <si>
    <t>SRC-0042</t>
  </si>
  <si>
    <t>Выемка кирпича и бетона (с наружной стороны забора) с упаковкой в мешки</t>
  </si>
  <si>
    <t>Дополнительные работы.</t>
  </si>
  <si>
    <t>Демонтаж</t>
  </si>
  <si>
    <t>RWORK-0023</t>
  </si>
  <si>
    <t>Перенесено из мусорной категории "Дополнительные работы."</t>
  </si>
  <si>
    <t>SRC-0043</t>
  </si>
  <si>
    <t>Выемка строительного мусора из почвы</t>
  </si>
  <si>
    <t>3500</t>
  </si>
  <si>
    <t>RWORK-0024</t>
  </si>
  <si>
    <t>SRC-0044</t>
  </si>
  <si>
    <t>Выкопка елей 1-1,5м</t>
  </si>
  <si>
    <t>1800</t>
  </si>
  <si>
    <t>Пересадка / удаление растений</t>
  </si>
  <si>
    <t>RWORK-0025</t>
  </si>
  <si>
    <t>Лучше держать вместе с работами по растениям</t>
  </si>
  <si>
    <t>SRC-0045</t>
  </si>
  <si>
    <t>Выкопка шиповника</t>
  </si>
  <si>
    <t>950</t>
  </si>
  <si>
    <t>Удаление кустарников</t>
  </si>
  <si>
    <t>RWORK-0026</t>
  </si>
  <si>
    <t>Можно перенести в "Посадки и уход", если в КП это уход за участком</t>
  </si>
  <si>
    <t>SRC-0046</t>
  </si>
  <si>
    <t>Вынос проекта с корректировкой по месту</t>
  </si>
  <si>
    <t>40</t>
  </si>
  <si>
    <t>Геодезия и разбивка</t>
  </si>
  <si>
    <t>RWORK-0027</t>
  </si>
  <si>
    <t>SRC-0047</t>
  </si>
  <si>
    <t>Габбро-диабаз 100*80*50мм</t>
  </si>
  <si>
    <t>3850</t>
  </si>
  <si>
    <t>RMAT-0020</t>
  </si>
  <si>
    <t>MV-0020</t>
  </si>
  <si>
    <t>SRC-0048</t>
  </si>
  <si>
    <t>Габбро-диабаз 80*80*80мм</t>
  </si>
  <si>
    <t>4620</t>
  </si>
  <si>
    <t>RMAT-0021</t>
  </si>
  <si>
    <t>MV-0021</t>
  </si>
  <si>
    <t>SRC-0049</t>
  </si>
  <si>
    <t>Газон рулонный "Универсальный", 0.8м.кв.</t>
  </si>
  <si>
    <t>рул.</t>
  </si>
  <si>
    <t>330</t>
  </si>
  <si>
    <t>Газон и укладка</t>
  </si>
  <si>
    <t>RMAT-0022</t>
  </si>
  <si>
    <t>MV-0022</t>
  </si>
  <si>
    <t>SRC-0050</t>
  </si>
  <si>
    <t>Газон рулонный бюджетный, 0.8м.кв.</t>
  </si>
  <si>
    <t>115</t>
  </si>
  <si>
    <t>RMAT-0023</t>
  </si>
  <si>
    <t>MV-0023</t>
  </si>
  <si>
    <t>SRC-0051</t>
  </si>
  <si>
    <t>Газон рулонный бюджетный, 1м.кв.</t>
  </si>
  <si>
    <t>145</t>
  </si>
  <si>
    <t>RMAT-0024</t>
  </si>
  <si>
    <t>MV-0024</t>
  </si>
  <si>
    <t>SRC-0052</t>
  </si>
  <si>
    <t>Геотекстиль, 200г/м2</t>
  </si>
  <si>
    <t>75</t>
  </si>
  <si>
    <t>RMAT-0025</t>
  </si>
  <si>
    <t>MV-0025</t>
  </si>
  <si>
    <t>SRC-0053</t>
  </si>
  <si>
    <t>Геотекстиль, 300г/м2</t>
  </si>
  <si>
    <t>105</t>
  </si>
  <si>
    <t>RMAT-0026</t>
  </si>
  <si>
    <t>MV-0026</t>
  </si>
  <si>
    <t>SRC-0054</t>
  </si>
  <si>
    <t>Герметик</t>
  </si>
  <si>
    <t>650</t>
  </si>
  <si>
    <t>Материалы и комплектующие</t>
  </si>
  <si>
    <t>RMAT-0027</t>
  </si>
  <si>
    <t>MV-0027</t>
  </si>
  <si>
    <t>SRC-0055</t>
  </si>
  <si>
    <t>Гидроизоляция гряд и стенок фундамента теплицы</t>
  </si>
  <si>
    <t>150</t>
  </si>
  <si>
    <t>RMAT-0028</t>
  </si>
  <si>
    <t>MV-0028</t>
  </si>
  <si>
    <t>SRC-0056</t>
  </si>
  <si>
    <t>Гравий (щебень гр. 20-40мм)</t>
  </si>
  <si>
    <t>1880</t>
  </si>
  <si>
    <t>RMAT-0029</t>
  </si>
  <si>
    <t>MV-0029</t>
  </si>
  <si>
    <t>SRC-0057</t>
  </si>
  <si>
    <t>Гравий карьерный 5-20мм</t>
  </si>
  <si>
    <t>RMAT-0030</t>
  </si>
  <si>
    <t>MV-0030</t>
  </si>
  <si>
    <t>SRC-0058</t>
  </si>
  <si>
    <t>Гравий колотый</t>
  </si>
  <si>
    <t>18700</t>
  </si>
  <si>
    <t>RMAT-0031</t>
  </si>
  <si>
    <t>MV-0031</t>
  </si>
  <si>
    <t>SRC-0059</t>
  </si>
  <si>
    <t>Грунт дерновый /просеивание местного грунта</t>
  </si>
  <si>
    <t>RMAT-0032</t>
  </si>
  <si>
    <t>MV-0032</t>
  </si>
  <si>
    <t>SRC-0060</t>
  </si>
  <si>
    <t>Грунт плодородный</t>
  </si>
  <si>
    <t>RMAT-0033</t>
  </si>
  <si>
    <t>MV-0033</t>
  </si>
  <si>
    <t>SRC-0061</t>
  </si>
  <si>
    <t>Грунтование бетонной отмостки в 2 слоя</t>
  </si>
  <si>
    <t>60</t>
  </si>
  <si>
    <t>RWORK-0028</t>
  </si>
  <si>
    <t>SRC-0062</t>
  </si>
  <si>
    <t>Грунтовка концентрат</t>
  </si>
  <si>
    <t>400</t>
  </si>
  <si>
    <t>RMAT-0034</t>
  </si>
  <si>
    <t>MV-0034</t>
  </si>
  <si>
    <t>SRC-0063</t>
  </si>
  <si>
    <t>Демонтаж бетона подпорных стенок</t>
  </si>
  <si>
    <t>3900</t>
  </si>
  <si>
    <t>RWORK-0029</t>
  </si>
  <si>
    <t>SRC-0064</t>
  </si>
  <si>
    <t>Демонтаж бетонной стяжки с упаковкой в мешки</t>
  </si>
  <si>
    <t>RWORK-0030</t>
  </si>
  <si>
    <t>SRC-0065</t>
  </si>
  <si>
    <t>Демонтаж гряд</t>
  </si>
  <si>
    <t>RWORK-0031</t>
  </si>
  <si>
    <t>SRC-0066</t>
  </si>
  <si>
    <t>Демонтаж дождеприемников</t>
  </si>
  <si>
    <t>1500</t>
  </si>
  <si>
    <t>Ливневая система</t>
  </si>
  <si>
    <t>ливневка</t>
  </si>
  <si>
    <t>RWORK-0032</t>
  </si>
  <si>
    <t>SRC-0067</t>
  </si>
  <si>
    <t>Диск алмазный по камню d=230ммхМ14 (гранит)</t>
  </si>
  <si>
    <t>5700</t>
  </si>
  <si>
    <t>RMAT-0035</t>
  </si>
  <si>
    <t>MV-0035</t>
  </si>
  <si>
    <t>SRC-0068</t>
  </si>
  <si>
    <t>Диск по металлу</t>
  </si>
  <si>
    <t>72</t>
  </si>
  <si>
    <t>RMAT-0036</t>
  </si>
  <si>
    <t>MV-0036</t>
  </si>
  <si>
    <t>SRC-0069</t>
  </si>
  <si>
    <t>Дождеприемник ДП–30.30-ПП с комплектующими и чугунной решеткой, фасонные элементы</t>
  </si>
  <si>
    <t>3300</t>
  </si>
  <si>
    <t>Приемные и линейные элементы</t>
  </si>
  <si>
    <t>RMAT-0037</t>
  </si>
  <si>
    <t>MV-0037</t>
  </si>
  <si>
    <t>SRC-0070</t>
  </si>
  <si>
    <t>Дождеприемник пластик. 300х300х300 мм в сборе с решеткой чугунной</t>
  </si>
  <si>
    <t>1400</t>
  </si>
  <si>
    <t>Водоотвод в зоне мощения</t>
  </si>
  <si>
    <t>RMAT-0038</t>
  </si>
  <si>
    <t>MV-0038</t>
  </si>
  <si>
    <t>В текущем прайсе позиция сидит в мощении; для генератора можно оставить, если это локальный узел в зоне мощения</t>
  </si>
  <si>
    <t>SRC-0071</t>
  </si>
  <si>
    <t>доска для опалубки, 25*100*3000мм</t>
  </si>
  <si>
    <t>70</t>
  </si>
  <si>
    <t>RMAT-0039</t>
  </si>
  <si>
    <t>MV-0039</t>
  </si>
  <si>
    <t>SRC-0072</t>
  </si>
  <si>
    <t>Доска импрегнированная 45*145*6000мм, строганая</t>
  </si>
  <si>
    <t>1680</t>
  </si>
  <si>
    <t>RMAT-0040</t>
  </si>
  <si>
    <t>MV-0040</t>
  </si>
  <si>
    <t>SRC-0073</t>
  </si>
  <si>
    <t>Доска импрегнированная 50*100*6000мм, обрезная</t>
  </si>
  <si>
    <t>1025</t>
  </si>
  <si>
    <t>RMAT-0041</t>
  </si>
  <si>
    <t>MV-0041</t>
  </si>
  <si>
    <t>SRC-0074</t>
  </si>
  <si>
    <t>Доска обрезн., сосна, 20х125х3000мм</t>
  </si>
  <si>
    <t>410</t>
  </si>
  <si>
    <t>RMAT-0042</t>
  </si>
  <si>
    <t>MV-0042</t>
  </si>
  <si>
    <t>SRC-0075</t>
  </si>
  <si>
    <t>Доска обрезн., сосна, 20х145х3000мм</t>
  </si>
  <si>
    <t>560</t>
  </si>
  <si>
    <t>RMAT-0043</t>
  </si>
  <si>
    <t>MV-0043</t>
  </si>
  <si>
    <t>SRC-0076</t>
  </si>
  <si>
    <t>Доска террасная негофрированная, термообработанная сосна 145*28*6000мм</t>
  </si>
  <si>
    <t>1465</t>
  </si>
  <si>
    <t>RMAT-0044</t>
  </si>
  <si>
    <t>MV-0044</t>
  </si>
  <si>
    <t>SRC-0077</t>
  </si>
  <si>
    <t>Доска хвойная сырая, нестроганая 150*25*6000мм (для опалубки)</t>
  </si>
  <si>
    <t>570</t>
  </si>
  <si>
    <t>RMAT-0045</t>
  </si>
  <si>
    <t>MV-0045</t>
  </si>
  <si>
    <t>SRC-0078</t>
  </si>
  <si>
    <t>Доставка/вывоз туалетной кабины</t>
  </si>
  <si>
    <t>3600</t>
  </si>
  <si>
    <t>RWORK-0033</t>
  </si>
  <si>
    <t>SRC-0079</t>
  </si>
  <si>
    <t>Доставки материалов и оборудования, погрузочно-разгрузочные работы</t>
  </si>
  <si>
    <t>0.056</t>
  </si>
  <si>
    <t>Доставка и ПРР</t>
  </si>
  <si>
    <t>RWORK-0034</t>
  </si>
  <si>
    <t>Для генератора лучше сворачивать в логистический блок</t>
  </si>
  <si>
    <t>SRC-0080</t>
  </si>
  <si>
    <t>Дюбель-гвоздь 8x100мм</t>
  </si>
  <si>
    <t>уп.</t>
  </si>
  <si>
    <t>RMAT-0046</t>
  </si>
  <si>
    <t>MV-0046</t>
  </si>
  <si>
    <t>SRC-0081</t>
  </si>
  <si>
    <t>Завоз-вывоз вагончика</t>
  </si>
  <si>
    <t>17900</t>
  </si>
  <si>
    <t>RWORK-0035</t>
  </si>
  <si>
    <t>SRC-0082</t>
  </si>
  <si>
    <t>Заливка бетона</t>
  </si>
  <si>
    <t>9500</t>
  </si>
  <si>
    <t>RWORK-0036</t>
  </si>
  <si>
    <t>SRC-0083</t>
  </si>
  <si>
    <t>9900</t>
  </si>
  <si>
    <t>RWORK-0037</t>
  </si>
  <si>
    <t>SRC-0084</t>
  </si>
  <si>
    <t>Затирка для широких швов Camonica, 25кг</t>
  </si>
  <si>
    <t>1420</t>
  </si>
  <si>
    <t>RMAT-0047</t>
  </si>
  <si>
    <t>MV-0047</t>
  </si>
  <si>
    <t>SRC-0085</t>
  </si>
  <si>
    <t>Изготовление и монтаж грядок в теплице</t>
  </si>
  <si>
    <t>RWORK-0038</t>
  </si>
  <si>
    <t>SRC-0086</t>
  </si>
  <si>
    <t>Изготовление и монтаж уличных грядок</t>
  </si>
  <si>
    <t>RWORK-0039</t>
  </si>
  <si>
    <t>SRC-0087</t>
  </si>
  <si>
    <t>Кабель силовой ВБШв нг(А)LS 3*1,5 0,66кВ броня</t>
  </si>
  <si>
    <t>170</t>
  </si>
  <si>
    <t>Кабельная инфраструктура</t>
  </si>
  <si>
    <t>RMAT-0048</t>
  </si>
  <si>
    <t>MV-0048</t>
  </si>
  <si>
    <t>SRC-0088</t>
  </si>
  <si>
    <t>Кабель силовой ВБШв нг(А)LS 3*2,5 0,66кВ броня</t>
  </si>
  <si>
    <t>190</t>
  </si>
  <si>
    <t>RMAT-0049</t>
  </si>
  <si>
    <t>MV-0049</t>
  </si>
  <si>
    <t>SRC-0089</t>
  </si>
  <si>
    <t>Клей по дереву, 0,5л</t>
  </si>
  <si>
    <t>340</t>
  </si>
  <si>
    <t>RMAT-0050</t>
  </si>
  <si>
    <t>MV-0050</t>
  </si>
  <si>
    <t>SRC-0090</t>
  </si>
  <si>
    <t>Колодец дренажный смотровой 315/276х1000 с дном и крышкой</t>
  </si>
  <si>
    <t>1520</t>
  </si>
  <si>
    <t>Колодцы</t>
  </si>
  <si>
    <t>RMAT-0051</t>
  </si>
  <si>
    <t>MV-0051</t>
  </si>
  <si>
    <t>SRC-0091</t>
  </si>
  <si>
    <t>Колодец дренажный смотровой 315/276х1500 с дном и крышкой</t>
  </si>
  <si>
    <t>2070</t>
  </si>
  <si>
    <t>RMAT-0052</t>
  </si>
  <si>
    <t>MV-0052</t>
  </si>
  <si>
    <t>SRC-0092</t>
  </si>
  <si>
    <t>Колодец дренажный смотровой 460/400х2000мм с дном и крышкой</t>
  </si>
  <si>
    <t>5400</t>
  </si>
  <si>
    <t>RMAT-0053</t>
  </si>
  <si>
    <t>MV-0053</t>
  </si>
  <si>
    <t>SRC-0093</t>
  </si>
  <si>
    <t>Кольцо железобетонное паз/гребень КС10.9 d1000мм</t>
  </si>
  <si>
    <t>5566</t>
  </si>
  <si>
    <t>Колодцы и перекрытия</t>
  </si>
  <si>
    <t>RMAT-0054</t>
  </si>
  <si>
    <t>MV-0054</t>
  </si>
  <si>
    <t>SRC-0094</t>
  </si>
  <si>
    <t>Кольцо железобетонное регулировочное КО-6 d840мм</t>
  </si>
  <si>
    <t>810</t>
  </si>
  <si>
    <t>RMAT-0055</t>
  </si>
  <si>
    <t>MV-0055</t>
  </si>
  <si>
    <t>SRC-0095</t>
  </si>
  <si>
    <t>Кольцо железобетонное с днищем ДК-10.9 d1000мм</t>
  </si>
  <si>
    <t>8165</t>
  </si>
  <si>
    <t>RMAT-0056</t>
  </si>
  <si>
    <t>MV-0056</t>
  </si>
  <si>
    <t>SRC-0096</t>
  </si>
  <si>
    <t>Консервация системы полива на зиму</t>
  </si>
  <si>
    <t>36000</t>
  </si>
  <si>
    <t>Консервация / сервис</t>
  </si>
  <si>
    <t>RWORK-0040</t>
  </si>
  <si>
    <t>SRC-0097</t>
  </si>
  <si>
    <t>Копка траншеи под кабель в песчаном грунте</t>
  </si>
  <si>
    <t>50</t>
  </si>
  <si>
    <t>Кабельная траншея</t>
  </si>
  <si>
    <t>RWORK-0041</t>
  </si>
  <si>
    <t>SRC-0098</t>
  </si>
  <si>
    <t>Короб метал. для подвода кабеля к щиту 100*100мм оцинк., неперфорированный, h=1,5м</t>
  </si>
  <si>
    <t>1000</t>
  </si>
  <si>
    <t>RMAT-0057</t>
  </si>
  <si>
    <t>MV-0057</t>
  </si>
  <si>
    <t>SRC-0099</t>
  </si>
  <si>
    <t>Корчевка поросли механическая и ручная очистка участка от выкорчеванной поросли</t>
  </si>
  <si>
    <t>300</t>
  </si>
  <si>
    <t>Корчевка и расчистка</t>
  </si>
  <si>
    <t>RWORK-0042</t>
  </si>
  <si>
    <t>SRC-0100</t>
  </si>
  <si>
    <t>Краска Pinotex Extreme One. Колеровка утренний туман 005</t>
  </si>
  <si>
    <t>1300</t>
  </si>
  <si>
    <t>RMAT-0058</t>
  </si>
  <si>
    <t>MV-0058</t>
  </si>
  <si>
    <t>SRC-0101</t>
  </si>
  <si>
    <t>Крышка для железобетонного кольца ПП10 d1000мм</t>
  </si>
  <si>
    <t>4115</t>
  </si>
  <si>
    <t>RMAT-0059</t>
  </si>
  <si>
    <t>MV-0059</t>
  </si>
  <si>
    <t>SRC-0102</t>
  </si>
  <si>
    <t>Лента диодная влагозащищенная, профиль</t>
  </si>
  <si>
    <t>10000</t>
  </si>
  <si>
    <t>RMAT-0060</t>
  </si>
  <si>
    <t>MV-0060</t>
  </si>
  <si>
    <t>SRC-0103</t>
  </si>
  <si>
    <t>Лента сигнальная 100м</t>
  </si>
  <si>
    <t>RMAT-0061</t>
  </si>
  <si>
    <t>MV-0061</t>
  </si>
  <si>
    <t>SRC-0104</t>
  </si>
  <si>
    <t>линия подвязки</t>
  </si>
  <si>
    <t>4000</t>
  </si>
  <si>
    <t>RMAT-0062</t>
  </si>
  <si>
    <t>MV-0062</t>
  </si>
  <si>
    <t>SRC-0105</t>
  </si>
  <si>
    <t>Лоток пластиковый ЛВ-10.16.12-ПП с решетками ячеистыми чугунными</t>
  </si>
  <si>
    <t>4010</t>
  </si>
  <si>
    <t>RMAT-0063</t>
  </si>
  <si>
    <t>MV-0063</t>
  </si>
  <si>
    <t>SRC-0106</t>
  </si>
  <si>
    <t>Люк садовый пластиковый черный «ДОМИК» d800мм</t>
  </si>
  <si>
    <t>3640</t>
  </si>
  <si>
    <t>RMAT-0064</t>
  </si>
  <si>
    <t>MV-0064</t>
  </si>
  <si>
    <t>SRC-0107</t>
  </si>
  <si>
    <t>Мастика битумная</t>
  </si>
  <si>
    <t>RMAT-0065</t>
  </si>
  <si>
    <t>MV-0065</t>
  </si>
  <si>
    <t>SRC-0108</t>
  </si>
  <si>
    <t>Мастика битумная, 20л</t>
  </si>
  <si>
    <t>3910</t>
  </si>
  <si>
    <t>RMAT-0066</t>
  </si>
  <si>
    <t>MV-0066</t>
  </si>
  <si>
    <t>SRC-0109</t>
  </si>
  <si>
    <t>Материалы для разметки</t>
  </si>
  <si>
    <t>9000</t>
  </si>
  <si>
    <t>RMAT-0067</t>
  </si>
  <si>
    <t>MV-0067</t>
  </si>
  <si>
    <t>SRC-0110</t>
  </si>
  <si>
    <t>Метизы</t>
  </si>
  <si>
    <t>RMAT-0068</t>
  </si>
  <si>
    <t>MV-0068</t>
  </si>
  <si>
    <t>SRC-0111</t>
  </si>
  <si>
    <t>Механическая планировка участка: выемка грунта</t>
  </si>
  <si>
    <t>500</t>
  </si>
  <si>
    <t>RWORK-0043</t>
  </si>
  <si>
    <t>SRC-0112</t>
  </si>
  <si>
    <t>Механическая планировка участка: снятие и подсыпка грунта</t>
  </si>
  <si>
    <t>RWORK-0044</t>
  </si>
  <si>
    <t>SRC-0113</t>
  </si>
  <si>
    <t>Мини-геопластика: создание рельефа в лесной зоне</t>
  </si>
  <si>
    <t>RWORK-0045</t>
  </si>
  <si>
    <t>SRC-0114</t>
  </si>
  <si>
    <t>монтаж алюминиевого каркаса с остеклением</t>
  </si>
  <si>
    <t>30000</t>
  </si>
  <si>
    <t>RWORK-0046</t>
  </si>
  <si>
    <t>SRC-0115</t>
  </si>
  <si>
    <t>Монтаж блоков питания</t>
  </si>
  <si>
    <t>Монтаж</t>
  </si>
  <si>
    <t>RWORK-0047</t>
  </si>
  <si>
    <t>SRC-0116</t>
  </si>
  <si>
    <t>Монтаж водоприемных колодцев 923мм с выемкой</t>
  </si>
  <si>
    <t>RWORK-0048</t>
  </si>
  <si>
    <t>SRC-0117</t>
  </si>
  <si>
    <t>Монтаж встроенных в настил светильников с устройством отверстий в облицовке</t>
  </si>
  <si>
    <t>RWORK-0049</t>
  </si>
  <si>
    <t>SRC-0118</t>
  </si>
  <si>
    <t>Монтаж грунтовых светильников</t>
  </si>
  <si>
    <t>RWORK-0050</t>
  </si>
  <si>
    <t>SRC-0119</t>
  </si>
  <si>
    <t>Монтаж диодной ленты подсветки</t>
  </si>
  <si>
    <t>3000</t>
  </si>
  <si>
    <t>RWORK-0051</t>
  </si>
  <si>
    <t>SRC-0120</t>
  </si>
  <si>
    <t>Монтаж дождеприемника</t>
  </si>
  <si>
    <t>RWORK-0052</t>
  </si>
  <si>
    <t>SRC-0121</t>
  </si>
  <si>
    <t>Монтаж дождеприемников со встройкой в террасный настил</t>
  </si>
  <si>
    <t>2200</t>
  </si>
  <si>
    <t>RWORK-0053</t>
  </si>
  <si>
    <t>SRC-0122</t>
  </si>
  <si>
    <t>Монтаж доски</t>
  </si>
  <si>
    <t>RWORK-0054</t>
  </si>
  <si>
    <t>SRC-0123</t>
  </si>
  <si>
    <t>Монтаж дренажного колодца h=1,7-2м</t>
  </si>
  <si>
    <t>Монтаж системы</t>
  </si>
  <si>
    <t>RWORK-0055</t>
  </si>
  <si>
    <t>SRC-0124</t>
  </si>
  <si>
    <t>Монтаж дренажного колодца h=1-1,5м</t>
  </si>
  <si>
    <t>3800</t>
  </si>
  <si>
    <t>RWORK-0056</t>
  </si>
  <si>
    <t>SRC-0125</t>
  </si>
  <si>
    <t>Монтаж и сборка щита</t>
  </si>
  <si>
    <t>20000</t>
  </si>
  <si>
    <t>RWORK-0057</t>
  </si>
  <si>
    <t>SRC-0126</t>
  </si>
  <si>
    <t>Монтаж каркаса на бетонную стенку</t>
  </si>
  <si>
    <t>450</t>
  </si>
  <si>
    <t>RWORK-0058</t>
  </si>
  <si>
    <t>SRC-0127</t>
  </si>
  <si>
    <t>Монтаж колодцев инспекционных d315мм</t>
  </si>
  <si>
    <t>RWORK-0059</t>
  </si>
  <si>
    <t>SRC-0128</t>
  </si>
  <si>
    <t>Монтаж лотков дождеприемных с решетками и отводами к ливневой канализации на раствор</t>
  </si>
  <si>
    <t>1350</t>
  </si>
  <si>
    <t>RWORK-0060</t>
  </si>
  <si>
    <t>SRC-0129</t>
  </si>
  <si>
    <t>Монтаж пескоуловителей на раствор</t>
  </si>
  <si>
    <t>RWORK-0061</t>
  </si>
  <si>
    <t>SRC-0130</t>
  </si>
  <si>
    <t>Монтаж светильников накладных на столбы - въездная зона</t>
  </si>
  <si>
    <t>RWORK-0062</t>
  </si>
  <si>
    <t>SRC-0131</t>
  </si>
  <si>
    <t>Монтаж светильников столбиков, розеток</t>
  </si>
  <si>
    <t>RWORK-0063</t>
  </si>
  <si>
    <t>SRC-0132</t>
  </si>
  <si>
    <t>Монтаж/демонтаж опалубки</t>
  </si>
  <si>
    <t>RWORK-0064</t>
  </si>
  <si>
    <t>SRC-0133</t>
  </si>
  <si>
    <t>990</t>
  </si>
  <si>
    <t>RWORK-0065</t>
  </si>
  <si>
    <t>SRC-0134</t>
  </si>
  <si>
    <t>Мощение брусчаткой габбро 100*80*50мм на отсев (пешеходная часть)</t>
  </si>
  <si>
    <t>3400</t>
  </si>
  <si>
    <t>RWORK-0066</t>
  </si>
  <si>
    <t>SRC-0135</t>
  </si>
  <si>
    <t>Мощение брусчаткой габбро 80*80*80мм на отсев (проезжая часть)</t>
  </si>
  <si>
    <t>3700</t>
  </si>
  <si>
    <t>RWORK-0067</t>
  </si>
  <si>
    <t>SRC-0136</t>
  </si>
  <si>
    <t>Мощение брусчаткой пиленной из шунгитного сланца на отсев</t>
  </si>
  <si>
    <t>2700</t>
  </si>
  <si>
    <t>RWORK-0068</t>
  </si>
  <si>
    <t>SRC-0137</t>
  </si>
  <si>
    <t>Мощение гранитной брусчаткой (без рисунка)</t>
  </si>
  <si>
    <t>RWORK-0069</t>
  </si>
  <si>
    <t>SRC-0138</t>
  </si>
  <si>
    <t>Мощение колотым амфиболитом</t>
  </si>
  <si>
    <t>RWORK-0070</t>
  </si>
  <si>
    <t>SRC-0139</t>
  </si>
  <si>
    <t>Мощение пилено-колотрой гранитной брусчаткой 100х100х50мм</t>
  </si>
  <si>
    <t>1980</t>
  </si>
  <si>
    <t>RWORK-0071</t>
  </si>
  <si>
    <t>SRC-0140</t>
  </si>
  <si>
    <t>Мощение плитами</t>
  </si>
  <si>
    <t>RWORK-0072</t>
  </si>
  <si>
    <t>SRC-0141</t>
  </si>
  <si>
    <t>Мощение плитами согласно схеме раскладки</t>
  </si>
  <si>
    <t>2900</t>
  </si>
  <si>
    <t>RWORK-0073</t>
  </si>
  <si>
    <t>SRC-0142</t>
  </si>
  <si>
    <t>Мощение ТБП</t>
  </si>
  <si>
    <t>1600</t>
  </si>
  <si>
    <t>RWORK-0074</t>
  </si>
  <si>
    <t>SRC-0143</t>
  </si>
  <si>
    <t>SRC-0144</t>
  </si>
  <si>
    <t>Мощение ТБП 60мм</t>
  </si>
  <si>
    <t>RWORK-0075</t>
  </si>
  <si>
    <t>SRC-0145</t>
  </si>
  <si>
    <t>Мощение шунгитным сланцем, рваным</t>
  </si>
  <si>
    <t>RWORK-0076</t>
  </si>
  <si>
    <t>SRC-0146</t>
  </si>
  <si>
    <t>Муфта d110мм для врезки в колодец</t>
  </si>
  <si>
    <t>630</t>
  </si>
  <si>
    <t>RMAT-0069</t>
  </si>
  <si>
    <t>MV-0069</t>
  </si>
  <si>
    <t>SRC-0147</t>
  </si>
  <si>
    <t>Муфта d160мм для врезки в колодец</t>
  </si>
  <si>
    <t>RMAT-0070</t>
  </si>
  <si>
    <t>MV-0070</t>
  </si>
  <si>
    <t>SRC-0148</t>
  </si>
  <si>
    <t>Накладные расходы (расходные материалы, комплектация заказов, зарплата АУП и пр.)</t>
  </si>
  <si>
    <t>0.05</t>
  </si>
  <si>
    <t>Накладные расходы</t>
  </si>
  <si>
    <t>RWORK-0077</t>
  </si>
  <si>
    <t>Для клиентской версии КП не выводить отдельной строкой</t>
  </si>
  <si>
    <t>SRC-0149</t>
  </si>
  <si>
    <t>Обратная засыпка грунта</t>
  </si>
  <si>
    <t>900</t>
  </si>
  <si>
    <t>Устройство закладных.</t>
  </si>
  <si>
    <t>Закладные</t>
  </si>
  <si>
    <t>Обратная засыпка</t>
  </si>
  <si>
    <t>RWORK-0078</t>
  </si>
  <si>
    <t>SRC-0150</t>
  </si>
  <si>
    <t>Обратная засыпка с послойной трамбовкой вручную</t>
  </si>
  <si>
    <t>RWORK-0079</t>
  </si>
  <si>
    <t>SRC-0151</t>
  </si>
  <si>
    <t>Обратная засыпка траншеи после прокладки кабеля</t>
  </si>
  <si>
    <t>RWORK-0080</t>
  </si>
  <si>
    <t>SRC-0152</t>
  </si>
  <si>
    <t>Обрезка краев газона криволинейная</t>
  </si>
  <si>
    <t>220</t>
  </si>
  <si>
    <t>RWORK-0081</t>
  </si>
  <si>
    <t>SRC-0153</t>
  </si>
  <si>
    <t>Обрезка плодовых деревьев (май и сентябрь)</t>
  </si>
  <si>
    <t>Уход и посадка</t>
  </si>
  <si>
    <t>RWORK-0082</t>
  </si>
  <si>
    <t>SRC-0154</t>
  </si>
  <si>
    <t>окраска в цвет по RAL</t>
  </si>
  <si>
    <t>26400</t>
  </si>
  <si>
    <t>RWORK-0083</t>
  </si>
  <si>
    <t>SRC-0155</t>
  </si>
  <si>
    <t>Окраска доски в один слой с фасадной стороны и торцов</t>
  </si>
  <si>
    <t>RWORK-0084</t>
  </si>
  <si>
    <t>SRC-0156</t>
  </si>
  <si>
    <t>Опора ландшафтная для установки светильников в бетон</t>
  </si>
  <si>
    <t>2150</t>
  </si>
  <si>
    <t>RMAT-0071</t>
  </si>
  <si>
    <t>MV-0071</t>
  </si>
  <si>
    <t>SRC-0157</t>
  </si>
  <si>
    <t>Отсев гранитный</t>
  </si>
  <si>
    <t>3100</t>
  </si>
  <si>
    <t>RMAT-0072</t>
  </si>
  <si>
    <t>MV-0072</t>
  </si>
  <si>
    <t>SRC-0158</t>
  </si>
  <si>
    <t>Отсев гранитный 2-5мм</t>
  </si>
  <si>
    <t>RMAT-0073</t>
  </si>
  <si>
    <t>MV-0073</t>
  </si>
  <si>
    <t>SRC-0159</t>
  </si>
  <si>
    <t>Отсев розовый 0-5мм, 50кг</t>
  </si>
  <si>
    <t>RMAT-0074</t>
  </si>
  <si>
    <t>MV-0074</t>
  </si>
  <si>
    <t>SRC-0160</t>
  </si>
  <si>
    <t>Перекопка верхнего слоя почвы с выбором корневищ и мусора, внесением грунта и песка</t>
  </si>
  <si>
    <t>RWORK-0085</t>
  </si>
  <si>
    <t>SRC-0161</t>
  </si>
  <si>
    <t>Перекопка с внесением крупного песка и с дальнейшим выравниванием, выведением уклонов и уплотнением</t>
  </si>
  <si>
    <t>470</t>
  </si>
  <si>
    <t>RWORK-0086</t>
  </si>
  <si>
    <t>SRC-0162</t>
  </si>
  <si>
    <t>Перемещение камня по участку</t>
  </si>
  <si>
    <t>RWORK-0087</t>
  </si>
  <si>
    <t>SRC-0163</t>
  </si>
  <si>
    <t>Перемещение песка по участку</t>
  </si>
  <si>
    <t>600</t>
  </si>
  <si>
    <t>RWORK-0088</t>
  </si>
  <si>
    <t>SRC-0164</t>
  </si>
  <si>
    <t>Перемещение щебня по участку</t>
  </si>
  <si>
    <t>RWORK-0089</t>
  </si>
  <si>
    <t>SRC-0165</t>
  </si>
  <si>
    <t>Пескоуловители пластиковые 500х160х420мм с решетками ячеистыми чугунными</t>
  </si>
  <si>
    <t>RMAT-0075</t>
  </si>
  <si>
    <t>MV-0075</t>
  </si>
  <si>
    <t>SRC-0166</t>
  </si>
  <si>
    <t>Песок крупнозернистый намывной</t>
  </si>
  <si>
    <t>2600</t>
  </si>
  <si>
    <t>RMAT-0076</t>
  </si>
  <si>
    <t>MV-0076</t>
  </si>
  <si>
    <t>SRC-0167</t>
  </si>
  <si>
    <t>Песок мелкий сеяный для швов, 50кг</t>
  </si>
  <si>
    <t>399</t>
  </si>
  <si>
    <t>RMAT-0077</t>
  </si>
  <si>
    <t>MV-0077</t>
  </si>
  <si>
    <t>SRC-0168</t>
  </si>
  <si>
    <t>Песок строительный, 50кг</t>
  </si>
  <si>
    <t>RMAT-0078</t>
  </si>
  <si>
    <t>MV-0078</t>
  </si>
  <si>
    <t>SRC-0169</t>
  </si>
  <si>
    <t>пленка техническая 150мк</t>
  </si>
  <si>
    <t>30</t>
  </si>
  <si>
    <t>RMAT-0079</t>
  </si>
  <si>
    <t>MV-0079</t>
  </si>
  <si>
    <t>SRC-0170</t>
  </si>
  <si>
    <t>Плита бетонная, 40мм</t>
  </si>
  <si>
    <t>RMAT-0080</t>
  </si>
  <si>
    <t>MV-0080</t>
  </si>
  <si>
    <t>SRC-0171</t>
  </si>
  <si>
    <t>Плита бетонная: толщина 50мм, ширина 0,36м, длина от 1 до 1,8м</t>
  </si>
  <si>
    <t>8500</t>
  </si>
  <si>
    <t>RMAT-0081</t>
  </si>
  <si>
    <t>MV-0081</t>
  </si>
  <si>
    <t>SRC-0172</t>
  </si>
  <si>
    <t>Погрузка мусора (механическая)</t>
  </si>
  <si>
    <t>RWORK-0090</t>
  </si>
  <si>
    <t>SRC-0173</t>
  </si>
  <si>
    <t>Подготовка оснований лестниц и пандусов</t>
  </si>
  <si>
    <t>RWORK-0091</t>
  </si>
  <si>
    <t>SRC-0174</t>
  </si>
  <si>
    <t>Подпиливание бетона подпорных стенок</t>
  </si>
  <si>
    <t>RWORK-0092</t>
  </si>
  <si>
    <t>SRC-0175</t>
  </si>
  <si>
    <t>Подрезка плитки</t>
  </si>
  <si>
    <t>700</t>
  </si>
  <si>
    <t>RWORK-0093</t>
  </si>
  <si>
    <t>SRC-0176</t>
  </si>
  <si>
    <t>Покраска щита и коробов в цвет дома</t>
  </si>
  <si>
    <t>RWORK-0094</t>
  </si>
  <si>
    <t>SRC-0177</t>
  </si>
  <si>
    <t>Покрытие спортивное (однослойное ударопоглощающее резиновое на однокомпонентном полиуретановом связующем толщиной 15мм )</t>
  </si>
  <si>
    <t>RMAT-0082</t>
  </si>
  <si>
    <t>MV-0082</t>
  </si>
  <si>
    <t>SRC-0178</t>
  </si>
  <si>
    <t>Портландцемент М400, 50кг</t>
  </si>
  <si>
    <t>605</t>
  </si>
  <si>
    <t>RMAT-0083</t>
  </si>
  <si>
    <t>MV-0083</t>
  </si>
  <si>
    <t>SRC-0179</t>
  </si>
  <si>
    <t>Посадка розы</t>
  </si>
  <si>
    <t>RWORK-0095</t>
  </si>
  <si>
    <t>SRC-0180</t>
  </si>
  <si>
    <t>Проволока вязальная</t>
  </si>
  <si>
    <t>RMAT-0084</t>
  </si>
  <si>
    <t>MV-0084</t>
  </si>
  <si>
    <t>SRC-0181</t>
  </si>
  <si>
    <t>Прометание мощения отсевом/ песком</t>
  </si>
  <si>
    <t>RWORK-0096</t>
  </si>
  <si>
    <t>SRC-0182</t>
  </si>
  <si>
    <t>Просеивание местного грунта</t>
  </si>
  <si>
    <t>1700</t>
  </si>
  <si>
    <t>RMAT-0085</t>
  </si>
  <si>
    <t>MV-0085</t>
  </si>
  <si>
    <t>SRC-0183</t>
  </si>
  <si>
    <t>Профиль алюминиевый</t>
  </si>
  <si>
    <t>131400</t>
  </si>
  <si>
    <t>RMAT-0086</t>
  </si>
  <si>
    <t>MV-0086</t>
  </si>
  <si>
    <t>SRC-0184</t>
  </si>
  <si>
    <t>Работа трактора</t>
  </si>
  <si>
    <t>26000</t>
  </si>
  <si>
    <t>RWORK-0097</t>
  </si>
  <si>
    <t>SRC-0185</t>
  </si>
  <si>
    <t>Работы по проверке цепей, параметрированию и настройке оборудования</t>
  </si>
  <si>
    <t>Пусконаладка</t>
  </si>
  <si>
    <t>RWORK-0098</t>
  </si>
  <si>
    <t>SRC-0186</t>
  </si>
  <si>
    <t>Разборка существующего покрытия</t>
  </si>
  <si>
    <t>RWORK-0099</t>
  </si>
  <si>
    <t>SRC-0187</t>
  </si>
  <si>
    <t>Разметка и нивелировка площадей, задание вертикальных уровней и уклона (геодезическая разбивка)</t>
  </si>
  <si>
    <t>RWORK-0100</t>
  </si>
  <si>
    <t>SRC-0188</t>
  </si>
  <si>
    <t>Расходные материалы</t>
  </si>
  <si>
    <t>RMAT-0087</t>
  </si>
  <si>
    <t>MV-0087</t>
  </si>
  <si>
    <t>Расходники лучше не показывать клиенту отдельной строкой</t>
  </si>
  <si>
    <t>SRC-0189</t>
  </si>
  <si>
    <t>Ровнитель для бетона Plitonit, 25кг</t>
  </si>
  <si>
    <t>645</t>
  </si>
  <si>
    <t>RMAT-0088</t>
  </si>
  <si>
    <t>MV-0088</t>
  </si>
  <si>
    <t>SRC-0190</t>
  </si>
  <si>
    <t>Розетка двойная наружная с заземлением с крышкой ФОРС IP54 ERS22-K03-16-54-DC IEK</t>
  </si>
  <si>
    <t>RMAT-0089</t>
  </si>
  <si>
    <t>MV-0089</t>
  </si>
  <si>
    <t>SRC-0191</t>
  </si>
  <si>
    <t>Розетка садовая Paulmann Rio 94657, столб с двумя розетками</t>
  </si>
  <si>
    <t>7900</t>
  </si>
  <si>
    <t>RMAT-0090</t>
  </si>
  <si>
    <t>MV-0090</t>
  </si>
  <si>
    <t>SRC-0192</t>
  </si>
  <si>
    <t>Ручная перекопка участка с удалением корней и корневищ</t>
  </si>
  <si>
    <t>Подготовка грунта</t>
  </si>
  <si>
    <t>RWORK-0101</t>
  </si>
  <si>
    <t>SRC-0193</t>
  </si>
  <si>
    <t>Саморезы нержавеющие, 5см (1500шт.)</t>
  </si>
  <si>
    <t>1470</t>
  </si>
  <si>
    <t>RMAT-0091</t>
  </si>
  <si>
    <t>MV-0091</t>
  </si>
  <si>
    <t>SRC-0194</t>
  </si>
  <si>
    <t>Саморезы по дереву</t>
  </si>
  <si>
    <t>680</t>
  </si>
  <si>
    <t>RMAT-0092</t>
  </si>
  <si>
    <t>MV-0092</t>
  </si>
  <si>
    <t>SRC-0195</t>
  </si>
  <si>
    <t>Сверло по дереву 8*100мм</t>
  </si>
  <si>
    <t>540</t>
  </si>
  <si>
    <t>RMAT-0093</t>
  </si>
  <si>
    <t>MV-0093</t>
  </si>
  <si>
    <t>SRC-0196</t>
  </si>
  <si>
    <t>Светильник</t>
  </si>
  <si>
    <t>12000</t>
  </si>
  <si>
    <t>RMAT-0094</t>
  </si>
  <si>
    <t>MV-0094</t>
  </si>
  <si>
    <t>SRC-0197</t>
  </si>
  <si>
    <t>Светильник h=1000</t>
  </si>
  <si>
    <t>RMAT-0095</t>
  </si>
  <si>
    <t>MV-0095</t>
  </si>
  <si>
    <t>SRC-0198</t>
  </si>
  <si>
    <t>Светильник h=600</t>
  </si>
  <si>
    <t>18000</t>
  </si>
  <si>
    <t>RMAT-0096</t>
  </si>
  <si>
    <t>MV-0096</t>
  </si>
  <si>
    <t>SRC-0199</t>
  </si>
  <si>
    <t>Сетка кладочная яч. 50х50мм d3,5-3,8мм, 0,51х2м</t>
  </si>
  <si>
    <t>225</t>
  </si>
  <si>
    <t>RMAT-0097</t>
  </si>
  <si>
    <t>MV-0097</t>
  </si>
  <si>
    <t>SRC-0200</t>
  </si>
  <si>
    <t>Сланец шунгитный (рваный), 40мм</t>
  </si>
  <si>
    <t>RMAT-0098</t>
  </si>
  <si>
    <t>MV-0098</t>
  </si>
  <si>
    <t>SRC-0201</t>
  </si>
  <si>
    <t>Снятие дернины</t>
  </si>
  <si>
    <t>RWORK-0102</t>
  </si>
  <si>
    <t>SRC-0202</t>
  </si>
  <si>
    <t>Снятие утрамбованного щебня (бывшая дорожка перед баней)</t>
  </si>
  <si>
    <t>3650</t>
  </si>
  <si>
    <t>RWORK-0103</t>
  </si>
  <si>
    <t>SRC-0203</t>
  </si>
  <si>
    <t>Соединитель CON T3 PIN IP68</t>
  </si>
  <si>
    <t>RMAT-0099</t>
  </si>
  <si>
    <t>MV-0099</t>
  </si>
  <si>
    <t>SRC-0204</t>
  </si>
  <si>
    <t>Спил березы</t>
  </si>
  <si>
    <t>Удаление деревьев</t>
  </si>
  <si>
    <t>RWORK-0104</t>
  </si>
  <si>
    <t>SRC-0205</t>
  </si>
  <si>
    <t>Торф нейтрализованный, 300л</t>
  </si>
  <si>
    <t>кипа</t>
  </si>
  <si>
    <t>RMAT-0100</t>
  </si>
  <si>
    <t>MV-0100</t>
  </si>
  <si>
    <t>SRC-0206</t>
  </si>
  <si>
    <t>Торфогрунт питательный, 300л</t>
  </si>
  <si>
    <t>RMAT-0101</t>
  </si>
  <si>
    <t>MV-0101</t>
  </si>
  <si>
    <t>SRC-0207</t>
  </si>
  <si>
    <t>Транспортные расходы</t>
  </si>
  <si>
    <t>0.01</t>
  </si>
  <si>
    <t>Транспорт</t>
  </si>
  <si>
    <t>RWORK-0105</t>
  </si>
  <si>
    <t>Лучше прятать в коэффициент или логистический пакет</t>
  </si>
  <si>
    <t>SRC-0208</t>
  </si>
  <si>
    <t>Труба двустенная гофрированная d=110мм SN8</t>
  </si>
  <si>
    <t>480</t>
  </si>
  <si>
    <t>Трубопровод и фасонные части</t>
  </si>
  <si>
    <t>RMAT-0102</t>
  </si>
  <si>
    <t>MV-0102</t>
  </si>
  <si>
    <t>SRC-0209</t>
  </si>
  <si>
    <t>Труба дренажная d110 SN6</t>
  </si>
  <si>
    <t>185</t>
  </si>
  <si>
    <t>Трубопровод</t>
  </si>
  <si>
    <t>RMAT-0103</t>
  </si>
  <si>
    <t>MV-0103</t>
  </si>
  <si>
    <t>SRC-0210</t>
  </si>
  <si>
    <t>Труба наружной канализации d110мм SN4</t>
  </si>
  <si>
    <t>305</t>
  </si>
  <si>
    <t>RMAT-0104</t>
  </si>
  <si>
    <t>MV-0104</t>
  </si>
  <si>
    <t>SRC-0211</t>
  </si>
  <si>
    <t>Труба наружной канализации d110мм SN8</t>
  </si>
  <si>
    <t>710</t>
  </si>
  <si>
    <t>RMAT-0105</t>
  </si>
  <si>
    <t>MV-0105</t>
  </si>
  <si>
    <t>SRC-0212</t>
  </si>
  <si>
    <t>Уголок металл., 50*50*5мм</t>
  </si>
  <si>
    <t>460</t>
  </si>
  <si>
    <t>RMAT-0106</t>
  </si>
  <si>
    <t>MV-0106</t>
  </si>
  <si>
    <t>SRC-0213</t>
  </si>
  <si>
    <t>Удобрение минеральное длительного действия</t>
  </si>
  <si>
    <t>615</t>
  </si>
  <si>
    <t>RMAT-0107</t>
  </si>
  <si>
    <t>MV-0107</t>
  </si>
  <si>
    <t>SRC-0214</t>
  </si>
  <si>
    <t>Удобрение универсальн., газонное</t>
  </si>
  <si>
    <t>RMAT-0108</t>
  </si>
  <si>
    <t>MV-0108</t>
  </si>
  <si>
    <t>SRC-0215</t>
  </si>
  <si>
    <t>Укладка силового бронированного кабеля с сигнальной лентой</t>
  </si>
  <si>
    <t>RWORK-0106</t>
  </si>
  <si>
    <t>SRC-0216</t>
  </si>
  <si>
    <t>Укладка геотекстиля</t>
  </si>
  <si>
    <t>RWORK-0107</t>
  </si>
  <si>
    <t>SRC-0217</t>
  </si>
  <si>
    <t>Укладка кабеля с креплением - под настилом, для освещения подпорных стенок, в стойках ограждения</t>
  </si>
  <si>
    <t>180</t>
  </si>
  <si>
    <t>RWORK-0108</t>
  </si>
  <si>
    <t>SRC-0218</t>
  </si>
  <si>
    <t>Укрепление крайнего ряда мощения</t>
  </si>
  <si>
    <t>RWORK-0109</t>
  </si>
  <si>
    <t>SRC-0219</t>
  </si>
  <si>
    <t>Уплотнение основания виброплитой</t>
  </si>
  <si>
    <t>80</t>
  </si>
  <si>
    <t>RWORK-0110</t>
  </si>
  <si>
    <t>SRC-0220</t>
  </si>
  <si>
    <t>Установка бордюра (криволинейная)</t>
  </si>
  <si>
    <t>240</t>
  </si>
  <si>
    <t>RMAT-0109</t>
  </si>
  <si>
    <t>MV-0109</t>
  </si>
  <si>
    <t>SRC-0221</t>
  </si>
  <si>
    <t>Установка бордюра металлического</t>
  </si>
  <si>
    <t>RMAT-0110</t>
  </si>
  <si>
    <t>MV-0110</t>
  </si>
  <si>
    <t>SRC-0222</t>
  </si>
  <si>
    <t>Установка бордюра ограничивающего (доска, брусок)</t>
  </si>
  <si>
    <t>RMAT-0111</t>
  </si>
  <si>
    <t>MV-0111</t>
  </si>
  <si>
    <t>SRC-0223</t>
  </si>
  <si>
    <t>Установка бордюра пластикового</t>
  </si>
  <si>
    <t>120</t>
  </si>
  <si>
    <t>RMAT-0112</t>
  </si>
  <si>
    <t>MV-0112</t>
  </si>
  <si>
    <t>SRC-0224</t>
  </si>
  <si>
    <t>Устройство армокаркасов</t>
  </si>
  <si>
    <t>RWORK-0111</t>
  </si>
  <si>
    <t>SRC-0225</t>
  </si>
  <si>
    <t>Устройство бесшовного покрытия отмостки из резиновой крошки, 10мм (с материалами)</t>
  </si>
  <si>
    <t>1150</t>
  </si>
  <si>
    <t>RWORK-0112</t>
  </si>
  <si>
    <t>SRC-0226</t>
  </si>
  <si>
    <t>Устройство бордюра из габбро-диабаза в два ряда на бетон 80*80*80мм</t>
  </si>
  <si>
    <t>1900</t>
  </si>
  <si>
    <t>RWORK-0113</t>
  </si>
  <si>
    <t>SRC-0227</t>
  </si>
  <si>
    <t>Устройство бордюра из габбро-диабаза в один ряд на бетон 80*80*80мм</t>
  </si>
  <si>
    <t>RWORK-0114</t>
  </si>
  <si>
    <t>SRC-0228</t>
  </si>
  <si>
    <t>Устройство врезок в бетонный колодец d110мм</t>
  </si>
  <si>
    <t>RWORK-0115</t>
  </si>
  <si>
    <t>SRC-0229</t>
  </si>
  <si>
    <t>Устройство врезок в бетонный колодец d160мм</t>
  </si>
  <si>
    <t>RWORK-0116</t>
  </si>
  <si>
    <t>SRC-0230</t>
  </si>
  <si>
    <t>Устройство врезок в колодец</t>
  </si>
  <si>
    <t>RWORK-0117</t>
  </si>
  <si>
    <t>SRC-0231</t>
  </si>
  <si>
    <t>Устройство временной съемной опалубки</t>
  </si>
  <si>
    <t>100</t>
  </si>
  <si>
    <t>RWORK-0118</t>
  </si>
  <si>
    <t>SRC-0232</t>
  </si>
  <si>
    <t>Устройство выравнивающего слоя (5-20мм)</t>
  </si>
  <si>
    <t>RWORK-0119</t>
  </si>
  <si>
    <t>SRC-0233</t>
  </si>
  <si>
    <t>RWORK-0120</t>
  </si>
  <si>
    <t>SRC-0234</t>
  </si>
  <si>
    <t>Устройство газонного ложа для обыкновенного газона: грунт плодородный (торфогрунт:песок:дерновая земля - 1:2:3), 150мм</t>
  </si>
  <si>
    <t>195</t>
  </si>
  <si>
    <t>RWORK-0121</t>
  </si>
  <si>
    <t>SRC-0235</t>
  </si>
  <si>
    <t>Устройство газонного ложа для обыкновенного газона: грунт плодородный (торфогрунт:песок:дерновая земля - 1:2:3), 160мм</t>
  </si>
  <si>
    <t>208</t>
  </si>
  <si>
    <t>RWORK-0122</t>
  </si>
  <si>
    <t>SRC-0236</t>
  </si>
  <si>
    <t>Устройство гравийного покрытия</t>
  </si>
  <si>
    <t>RWORK-0123</t>
  </si>
  <si>
    <t>SRC-0237</t>
  </si>
  <si>
    <t>Устройство декинга</t>
  </si>
  <si>
    <t>RWORK-0124</t>
  </si>
  <si>
    <t>SRC-0238</t>
  </si>
  <si>
    <t>Устройство деревянной опалубки</t>
  </si>
  <si>
    <t>Прочее по дренажу</t>
  </si>
  <si>
    <t>RWORK-0125</t>
  </si>
  <si>
    <t>SRC-0239</t>
  </si>
  <si>
    <t>Устройство дорожных одежд в парковочной зоне с расклинцовкой, трамбовкой и проливом водой</t>
  </si>
  <si>
    <t>860</t>
  </si>
  <si>
    <t>RWORK-0126</t>
  </si>
  <si>
    <t>SRC-0240</t>
  </si>
  <si>
    <t>Устройство дорожных одежд в пешеходной зоне с расклинцовкой, трамбовкой и проливом водой</t>
  </si>
  <si>
    <t>640</t>
  </si>
  <si>
    <t>RWORK-0127</t>
  </si>
  <si>
    <t>SRC-0241</t>
  </si>
  <si>
    <t>Устройство дренажа на глубине 80-130см</t>
  </si>
  <si>
    <t>920</t>
  </si>
  <si>
    <t>RWORK-0128</t>
  </si>
  <si>
    <t>SRC-0242</t>
  </si>
  <si>
    <t>Устройство закладных из 3-х труб d=110 мм</t>
  </si>
  <si>
    <t>Закладные и проходки</t>
  </si>
  <si>
    <t>RWORK-0129</t>
  </si>
  <si>
    <t>SRC-0243</t>
  </si>
  <si>
    <t>Устройство закладных из 3-х труб d=110мм</t>
  </si>
  <si>
    <t>RWORK-0130</t>
  </si>
  <si>
    <t>SRC-0244</t>
  </si>
  <si>
    <t>Устройство закладных под мощением</t>
  </si>
  <si>
    <t>750</t>
  </si>
  <si>
    <t>RWORK-0131</t>
  </si>
  <si>
    <t>SRC-0245</t>
  </si>
  <si>
    <t>Устройство ливневой системы (монтаж трубы d110мм с уклоном, средняя глубина 700мм), копка и обратная засыпка траншеи</t>
  </si>
  <si>
    <t>RWORK-0132</t>
  </si>
  <si>
    <t>SRC-0246</t>
  </si>
  <si>
    <t>Устройство ливневой системы водоотвода (глубина 700мм)</t>
  </si>
  <si>
    <t>RWORK-0133</t>
  </si>
  <si>
    <t>SRC-0247</t>
  </si>
  <si>
    <t>Устройство монтажного слоя из отсева (4см)</t>
  </si>
  <si>
    <t>RWORK-0134</t>
  </si>
  <si>
    <t>SRC-0248</t>
  </si>
  <si>
    <t>Устройство монтажного слоя из отсева (70мм)</t>
  </si>
  <si>
    <t>230</t>
  </si>
  <si>
    <t>RWORK-0135</t>
  </si>
  <si>
    <t>SRC-0249</t>
  </si>
  <si>
    <t>Устройство монтажного слоя из отсева с добавлением цемента (40мм)</t>
  </si>
  <si>
    <t>RWORK-0136</t>
  </si>
  <si>
    <t>SRC-0250</t>
  </si>
  <si>
    <t>Устройство набивного финишного покрытия из гравия (40мм) с мытьем</t>
  </si>
  <si>
    <t>200</t>
  </si>
  <si>
    <t>RWORK-0137</t>
  </si>
  <si>
    <t>SRC-0251</t>
  </si>
  <si>
    <t>Устройство набивного финишного покрытия из отсева (40мм)</t>
  </si>
  <si>
    <t>130</t>
  </si>
  <si>
    <t>RWORK-0138</t>
  </si>
  <si>
    <t>SRC-0252</t>
  </si>
  <si>
    <t>Устройство несущего щебнистого слоя (120мм) из щебня 20-40мм с проливом водой и трамбовкой с расклинцовкой щебнем 5-20мм</t>
  </si>
  <si>
    <t>289</t>
  </si>
  <si>
    <t>RWORK-0139</t>
  </si>
  <si>
    <t>SRC-0253</t>
  </si>
  <si>
    <t>Устройство несущего щебнистого слоя (150мм) из щебня 20-40мм с проливом водой и трамбовкой с расклинцовкой щебнем 5-20мм</t>
  </si>
  <si>
    <t>RWORK-0140</t>
  </si>
  <si>
    <t>SRC-0254</t>
  </si>
  <si>
    <t>Устройство несущего щебнистого слоя (150мм) из щебня 20-40мм с проливом водой и трамбовкой с расклинцовкой щебнем 5-20мм (пешеходная зона)</t>
  </si>
  <si>
    <t>RWORK-0141</t>
  </si>
  <si>
    <t>SRC-0255</t>
  </si>
  <si>
    <t>Устройство несущего щебнистого слоя (250мм) под пешеходное мощение из щебня 20-40мм с проливом водой и трамбовкой с расклинцовкой щебнем 5-20мм</t>
  </si>
  <si>
    <t>510</t>
  </si>
  <si>
    <t>RWORK-0142</t>
  </si>
  <si>
    <t>SRC-0256</t>
  </si>
  <si>
    <t>Устройство ограничительного бордюра из металлического уголка 50*50мм</t>
  </si>
  <si>
    <t>RWORK-0143</t>
  </si>
  <si>
    <t>SRC-0257</t>
  </si>
  <si>
    <t>Устройство песчаного слоя (100мм)</t>
  </si>
  <si>
    <t>RWORK-0144</t>
  </si>
  <si>
    <t>SRC-0258</t>
  </si>
  <si>
    <t>Устройство песчаного слоя (150мм)</t>
  </si>
  <si>
    <t>165</t>
  </si>
  <si>
    <t>RWORK-0145</t>
  </si>
  <si>
    <t>SRC-0259</t>
  </si>
  <si>
    <t>Устройство песчаного слоя (180мм)</t>
  </si>
  <si>
    <t>198</t>
  </si>
  <si>
    <t>RWORK-0146</t>
  </si>
  <si>
    <t>SRC-0260</t>
  </si>
  <si>
    <t>Устройство песчаного слоя (230мм)</t>
  </si>
  <si>
    <t>253</t>
  </si>
  <si>
    <t>RWORK-0147</t>
  </si>
  <si>
    <t>SRC-0261</t>
  </si>
  <si>
    <t>Устройство песчаного слоя (250мм)</t>
  </si>
  <si>
    <t>275</t>
  </si>
  <si>
    <t>RWORK-0148</t>
  </si>
  <si>
    <t>SRC-0262</t>
  </si>
  <si>
    <t>Устройство песчаного слоя (300мм)</t>
  </si>
  <si>
    <t>RWORK-0149</t>
  </si>
  <si>
    <t>SRC-0263</t>
  </si>
  <si>
    <t>Устройство песчаного слоя (600мм)</t>
  </si>
  <si>
    <t>660</t>
  </si>
  <si>
    <t>RWORK-0150</t>
  </si>
  <si>
    <t>SRC-0264</t>
  </si>
  <si>
    <t>Устройство поверхностного дренажного слоя из песка с прикаткой, 2см</t>
  </si>
  <si>
    <t>RWORK-0151</t>
  </si>
  <si>
    <t>SRC-0265</t>
  </si>
  <si>
    <t>Устройство рулонного газона на подготовленном основании</t>
  </si>
  <si>
    <t>RWORK-0152</t>
  </si>
  <si>
    <t>SRC-0266</t>
  </si>
  <si>
    <t>Устройство спортивного ударопоглощающего покрытия из резиновой крошки</t>
  </si>
  <si>
    <t>2550</t>
  </si>
  <si>
    <t>RWORK-0153</t>
  </si>
  <si>
    <t>SRC-0267</t>
  </si>
  <si>
    <t>Устройство траншеи 0,7м с песчаным основанием для кабеля</t>
  </si>
  <si>
    <t>RWORK-0154</t>
  </si>
  <si>
    <t>SRC-0268</t>
  </si>
  <si>
    <t>Устройство фундаментов светильников столбиков, розеток</t>
  </si>
  <si>
    <t>RWORK-0155</t>
  </si>
  <si>
    <t>SRC-0269</t>
  </si>
  <si>
    <t>фанера 12х1220*2440мм (для опалубки)</t>
  </si>
  <si>
    <t>2880</t>
  </si>
  <si>
    <t>RMAT-0113</t>
  </si>
  <si>
    <t>MV-0113</t>
  </si>
  <si>
    <t>SRC-0270</t>
  </si>
  <si>
    <t>Фасонные элементы - тройники, соединения, заглушки</t>
  </si>
  <si>
    <t>RMAT-0114</t>
  </si>
  <si>
    <t>MV-0114</t>
  </si>
  <si>
    <t>SRC-0271</t>
  </si>
  <si>
    <t>Цемент М400, 50кг</t>
  </si>
  <si>
    <t>RMAT-0115</t>
  </si>
  <si>
    <t>MV-0115</t>
  </si>
  <si>
    <t>SRC-0272</t>
  </si>
  <si>
    <t>ЦПС М300, 25кг</t>
  </si>
  <si>
    <t>265</t>
  </si>
  <si>
    <t>Основания и расходники</t>
  </si>
  <si>
    <t>RMAT-0116</t>
  </si>
  <si>
    <t>MV-0116</t>
  </si>
  <si>
    <t>SRC-0273</t>
  </si>
  <si>
    <t>Частичный демонтаж мощения</t>
  </si>
  <si>
    <t>RWORK-0156</t>
  </si>
  <si>
    <t>SRC-0274</t>
  </si>
  <si>
    <t>Чистка бетонной отмостки</t>
  </si>
  <si>
    <t>RWORK-0157</t>
  </si>
  <si>
    <t>SRC-0275</t>
  </si>
  <si>
    <t>Щебень гранитный фр. 20-40мм</t>
  </si>
  <si>
    <t>2060</t>
  </si>
  <si>
    <t>RMAT-0117</t>
  </si>
  <si>
    <t>MV-0117</t>
  </si>
  <si>
    <t>SRC-0276</t>
  </si>
  <si>
    <t>Щебень гранитный фр. 5-20мм</t>
  </si>
  <si>
    <t>2840</t>
  </si>
  <si>
    <t>RMAT-0118</t>
  </si>
  <si>
    <t>MV-0118</t>
  </si>
  <si>
    <t>SRC-0277</t>
  </si>
  <si>
    <t>Щебень гранитный фр. 5-20мм, 50кг</t>
  </si>
  <si>
    <t>RMAT-0119</t>
  </si>
  <si>
    <t>MV-0119</t>
  </si>
  <si>
    <t>SRC-0278</t>
  </si>
  <si>
    <t>Щит управления ландшафтным освещением (щит DKC 500*600*200мм IP65, кол-во модулей 72 элементы на базе ИЕК, 3 фазы 32А, 8 выходов под защитой УЗО)</t>
  </si>
  <si>
    <t>35000</t>
  </si>
  <si>
    <t>RMAT-0120</t>
  </si>
  <si>
    <t>MV-0120</t>
  </si>
  <si>
    <t>SRC-0279</t>
  </si>
  <si>
    <t>Электроды</t>
  </si>
  <si>
    <t>690</t>
  </si>
  <si>
    <t>RMAT-0121</t>
  </si>
  <si>
    <t>MV-0121</t>
  </si>
  <si>
    <t>SourceRowsCount</t>
  </si>
  <si>
    <t>ExampleSourceRowID</t>
  </si>
  <si>
    <t>авторское, сопровождение</t>
  </si>
  <si>
    <t>Импортировано из PRICE_MASTER; строк-источников: 1</t>
  </si>
  <si>
    <t>Импорт из PRICE_MASTER</t>
  </si>
  <si>
    <t>антисептирование, пиломатериалов, обеих, сторон</t>
  </si>
  <si>
    <t>за ед.</t>
  </si>
  <si>
    <t>аренда, вагончика</t>
  </si>
  <si>
    <t>аренда, виброплиты, 140кг</t>
  </si>
  <si>
    <t>аренда, виброплиты, 70кг</t>
  </si>
  <si>
    <t>аренда, мотобура</t>
  </si>
  <si>
    <t>аренда, обслуживание, раза, месяц, туалетной, кабины</t>
  </si>
  <si>
    <t>аренда, торцовочной, пилы</t>
  </si>
  <si>
    <t>армирование</t>
  </si>
  <si>
    <t>бетононасос</t>
  </si>
  <si>
    <t>вертикальная, планировка, геопластика</t>
  </si>
  <si>
    <t>вертикальная, планировка, выемка, подсыпка</t>
  </si>
  <si>
    <t>восстановление, бетонной, отмостки</t>
  </si>
  <si>
    <t>восстановление, дернины, после, устройства, дренажа</t>
  </si>
  <si>
    <t>временные, бытовые, условия, спецодежда, связь, туал, кабины</t>
  </si>
  <si>
    <t>выборка, ложа, чистовой, отметки, вручную</t>
  </si>
  <si>
    <t>выборка, ложа, чистовой, отметки, отвал, механическая</t>
  </si>
  <si>
    <t>вывоз, мусора, грунт</t>
  </si>
  <si>
    <t>вывоз, мусора, пухто, 27м, куб</t>
  </si>
  <si>
    <t>выезд, электрика, подключения, вагончике</t>
  </si>
  <si>
    <t>выемка, грунта, вручную</t>
  </si>
  <si>
    <t>выемка, грунта, механическая</t>
  </si>
  <si>
    <t>выемка, кирпича, бетона, наружной, стороны, забора, упаковкой, мешки</t>
  </si>
  <si>
    <t>выемка, строительного, мусора, почвы</t>
  </si>
  <si>
    <t>выкопка, елей</t>
  </si>
  <si>
    <t>выкопка, шиповника</t>
  </si>
  <si>
    <t>вынос, проекта, корректировкой, месту</t>
  </si>
  <si>
    <t>грунтование, бетонной, отмостки</t>
  </si>
  <si>
    <t>демонтаж, бетона, подпорных, стенок</t>
  </si>
  <si>
    <t>демонтаж, бетонной, стяжки, упаковкой, мешки</t>
  </si>
  <si>
    <t>демонтаж, гряд</t>
  </si>
  <si>
    <t>демонтаж, дождеприемников</t>
  </si>
  <si>
    <t>доставка, вывоз, туалетной, кабины</t>
  </si>
  <si>
    <t>доставки, оборудования, погрузочно, разгрузочные, работы</t>
  </si>
  <si>
    <t>завоз, вывоз, вагончика</t>
  </si>
  <si>
    <t>заливка, бетона</t>
  </si>
  <si>
    <t>изготовление, грядок, теплице</t>
  </si>
  <si>
    <t>изготовление, уличных, грядок</t>
  </si>
  <si>
    <t>за компл</t>
  </si>
  <si>
    <t>консервация, полива, зиму</t>
  </si>
  <si>
    <t>копка, траншеи, кабель, песчаном, грунте</t>
  </si>
  <si>
    <t>корчевка, поросли, механическая, ручная, очистка, участка, выкорчеванной</t>
  </si>
  <si>
    <t>механическая, планировка, участка, выемка, грунта</t>
  </si>
  <si>
    <t>механическая, планировка, участка, снятие, подсыпка, грунта</t>
  </si>
  <si>
    <t>мини, геопластика, создание, рельефа, лесной, зоне</t>
  </si>
  <si>
    <t>алюминиевого, каркаса, остеклением</t>
  </si>
  <si>
    <t>блоков, питания</t>
  </si>
  <si>
    <t>водоприемных, колодцев, 923мм, выемкой</t>
  </si>
  <si>
    <t>встроенных, настил, светильников, устройством, отверстий, облицовке</t>
  </si>
  <si>
    <t>грунтовых, светильников</t>
  </si>
  <si>
    <t>диодной, ленты, подсветки</t>
  </si>
  <si>
    <t>дождеприемника</t>
  </si>
  <si>
    <t>дождеприемников, встройкой, террасный, настил</t>
  </si>
  <si>
    <t>доски</t>
  </si>
  <si>
    <t>дренажного, колодца</t>
  </si>
  <si>
    <t>сборка, щита</t>
  </si>
  <si>
    <t>каркаса, бетонную, стенку</t>
  </si>
  <si>
    <t>колодцев, инспекционных, d315мм</t>
  </si>
  <si>
    <t>лотков, дождеприемных, решетками, отводами, ливневой, канализации, раствор</t>
  </si>
  <si>
    <t>пескоуловителей, раствор</t>
  </si>
  <si>
    <t>светильников, накладных, столбы, въездная, зона</t>
  </si>
  <si>
    <t>светильников, столбиков, розеток</t>
  </si>
  <si>
    <t>демонтаж, опалубки</t>
  </si>
  <si>
    <t>мощение, брусчаткой, габбро, 100, 50мм, отсев, пешеходная, часть</t>
  </si>
  <si>
    <t>мощение, брусчаткой, габбро, 80мм, отсев, проезжая, часть</t>
  </si>
  <si>
    <t>мощение, брусчаткой, пиленной, шунгитного, сланца, отсев</t>
  </si>
  <si>
    <t>мощение, гранитной, брусчаткой, рисунка</t>
  </si>
  <si>
    <t>мощение, колотым, амфиболитом</t>
  </si>
  <si>
    <t>мощение, пилено, колотрой, гранитной, брусчаткой, 100х100х50мм</t>
  </si>
  <si>
    <t>мощение, плитами</t>
  </si>
  <si>
    <t>мощение, плитами, согласно, схеме, раскладки</t>
  </si>
  <si>
    <t>мощение, тбп</t>
  </si>
  <si>
    <t>Импортировано из PRICE_MASTER; строк-источников: 2</t>
  </si>
  <si>
    <t>мощение, тбп, 60мм</t>
  </si>
  <si>
    <t>мощение, шунгитным, сланцем, рваным</t>
  </si>
  <si>
    <t>накладные, расходы, расходные, материалы, комплектация, заказов, зарплата, ауп</t>
  </si>
  <si>
    <t>обратная, засыпка, грунта</t>
  </si>
  <si>
    <t>обратная, засыпка, послойной, трамбовкой, вручную</t>
  </si>
  <si>
    <t>обратная, засыпка, траншеи, после, прокладки, кабеля</t>
  </si>
  <si>
    <t>обрезка, краев, газона, криволинейная</t>
  </si>
  <si>
    <t>обрезка, плодовых, деревьев, май, сентябрь</t>
  </si>
  <si>
    <t>окраска, цвет, ral</t>
  </si>
  <si>
    <t>окраска, доски, один, фасадной, стороны, торцов</t>
  </si>
  <si>
    <t>перекопка, верхнего, почвы, выбором, корневищ, мусора, внесением, грунта</t>
  </si>
  <si>
    <t>перекопка, внесением, крупного, песка, дальнейшим, выравниванием, выведением, уклонов</t>
  </si>
  <si>
    <t>перемещение, камня, участку</t>
  </si>
  <si>
    <t>перемещение, песка, участку</t>
  </si>
  <si>
    <t>перемещение, щебня, участку</t>
  </si>
  <si>
    <t>погрузка, мусора, механическая</t>
  </si>
  <si>
    <t>оснований, лестниц, пандусов</t>
  </si>
  <si>
    <t>подпиливание, бетона, подпорных, стенок</t>
  </si>
  <si>
    <t>подрезка, плитки</t>
  </si>
  <si>
    <t>покраска, щита, коробов, цвет, дома</t>
  </si>
  <si>
    <t>посадка, розы</t>
  </si>
  <si>
    <t>прометание, мощения, отсевом, песком</t>
  </si>
  <si>
    <t>трактора</t>
  </si>
  <si>
    <t>работы, проверке, цепей, параметрированию, настройке, оборудования</t>
  </si>
  <si>
    <t>разборка, существующего, покрытия</t>
  </si>
  <si>
    <t>разметка, нивелировка, площадей, задание, вертикальных, уровней, уклона, геодезическая</t>
  </si>
  <si>
    <t>ручная, перекопка, участка, удалением, корней, корневищ</t>
  </si>
  <si>
    <t>снятие, дернины</t>
  </si>
  <si>
    <t>снятие, утрамбованного, щебня, бывшая, дорожка, перед, баней</t>
  </si>
  <si>
    <t>спил, березы</t>
  </si>
  <si>
    <t>транспортные, расходы</t>
  </si>
  <si>
    <t>силового, бронированного, кабеля, сигнальной, лентой</t>
  </si>
  <si>
    <t>геотекстиля</t>
  </si>
  <si>
    <t>кабеля, креплением, настилом, освещения, подпорных, стенок, стойках, ограждения</t>
  </si>
  <si>
    <t>укрепление, крайнего, ряда, мощения</t>
  </si>
  <si>
    <t>уплотнение, основания, виброплитой</t>
  </si>
  <si>
    <t>армокаркасов</t>
  </si>
  <si>
    <t>бесшовного, покрытия, отмостки, резиновой, крошки, 10мм, материалами</t>
  </si>
  <si>
    <t>бордюра, габбро, диабаза, два, ряда, бетон, 80мм</t>
  </si>
  <si>
    <t>бордюра, габбро, диабаза, один, ряд, бетон, 80мм</t>
  </si>
  <si>
    <t>врезок, бетонный, колодец, d110мм</t>
  </si>
  <si>
    <t>врезок, бетонный, колодец, d160мм</t>
  </si>
  <si>
    <t>врезок, колодец</t>
  </si>
  <si>
    <t>временной, съемной, опалубки</t>
  </si>
  <si>
    <t>выравнивающего, 20мм</t>
  </si>
  <si>
    <t>газонного, ложа</t>
  </si>
  <si>
    <t>газонного, ложа, обыкновенного, газона, грунт, плодородный, торфогрунт, песок</t>
  </si>
  <si>
    <t>гравийного, покрытия</t>
  </si>
  <si>
    <t>декинга</t>
  </si>
  <si>
    <t>деревянной, опалубки</t>
  </si>
  <si>
    <t>дорожных, одежд, парковочной, зоне, расклинцовкой, трамбовкой, проливом, водой</t>
  </si>
  <si>
    <t>дорожных, одежд, пешеходной, зоне, расклинцовкой, трамбовкой, проливом, водой</t>
  </si>
  <si>
    <t>дренажа, глубине, 130см</t>
  </si>
  <si>
    <t>закладных, труб, 110</t>
  </si>
  <si>
    <t>закладных, труб, 110мм</t>
  </si>
  <si>
    <t>закладных, мощением</t>
  </si>
  <si>
    <t>ливневой, трубы, d110мм, уклоном, средняя, глубина, 700мм, копка</t>
  </si>
  <si>
    <t>ливневой, водоотвода, глубина, 700мм</t>
  </si>
  <si>
    <t>монтажного, отсева, 4см</t>
  </si>
  <si>
    <t>монтажного, отсева, 70мм</t>
  </si>
  <si>
    <t>монтажного, отсева, добавлением, цемента, 40мм</t>
  </si>
  <si>
    <t>набивного, финишного, покрытия, гравия, 40мм, мытьем</t>
  </si>
  <si>
    <t>набивного, финишного, покрытия, отсева, 40мм</t>
  </si>
  <si>
    <t>несущего, щебнистого, 120мм, щебня, 40мм, проливом, водой, трамбовкой</t>
  </si>
  <si>
    <t>несущего, щебнистого, 150мм, щебня, 40мм, проливом, водой, трамбовкой</t>
  </si>
  <si>
    <t>несущего, щебнистого, 250мм, пешеходное, мощение, щебня, 40мм, проливом</t>
  </si>
  <si>
    <t>ограничительного, бордюра, металлического, уголка, 50мм</t>
  </si>
  <si>
    <t>песчаного, 100мм</t>
  </si>
  <si>
    <t>песчаного, 150мм</t>
  </si>
  <si>
    <t>песчаного, 180мм</t>
  </si>
  <si>
    <t>песчаного, 230мм</t>
  </si>
  <si>
    <t>песчаного, 250мм</t>
  </si>
  <si>
    <t>песчаного, 300мм</t>
  </si>
  <si>
    <t>песчаного, 600мм</t>
  </si>
  <si>
    <t>поверхностного, дренажного, песка, прикаткой, 2см</t>
  </si>
  <si>
    <t>рулонного, газона, подготовленном, основании</t>
  </si>
  <si>
    <t>спортивного, ударопоглощающего, покрытия, резиновой, крошки</t>
  </si>
  <si>
    <t>траншеи, песчаным, основанием, кабеля</t>
  </si>
  <si>
    <t>фундаментов, светильников, столбиков, розеток</t>
  </si>
  <si>
    <t>частичный, демонтаж, мощения</t>
  </si>
  <si>
    <t>чистка, бетонной, отмостки</t>
  </si>
  <si>
    <t>RWORK-0158</t>
  </si>
  <si>
    <t>Установка пластикового бордюра</t>
  </si>
  <si>
    <t>пог.м</t>
  </si>
  <si>
    <t>за пог.м</t>
  </si>
  <si>
    <t>пластиковый, бордюр</t>
  </si>
  <si>
    <t>BACKFILL</t>
  </si>
  <si>
    <t>Backfill</t>
  </si>
  <si>
    <t>RWORK-0159</t>
  </si>
  <si>
    <t>Посадка кустарника</t>
  </si>
  <si>
    <t>посадка, кустарник</t>
  </si>
  <si>
    <t>RWORK-0160</t>
  </si>
  <si>
    <t>Посадка дерева (до 2м)</t>
  </si>
  <si>
    <t>посадка, дерево, малое</t>
  </si>
  <si>
    <t>RWORK-0161</t>
  </si>
  <si>
    <t>Посадка дерева (от 2м)</t>
  </si>
  <si>
    <t>посадка, дерево, крупное</t>
  </si>
  <si>
    <t>RWORK-0162</t>
  </si>
  <si>
    <t>Посадка многолетников</t>
  </si>
  <si>
    <t>посадка, многолетники</t>
  </si>
  <si>
    <t>RWORK-0163</t>
  </si>
  <si>
    <t>Посадка однолетников</t>
  </si>
  <si>
    <t>посадка, однолетники</t>
  </si>
  <si>
    <t>RWORK-0164</t>
  </si>
  <si>
    <t>Монтаж зоны полива (базовый)</t>
  </si>
  <si>
    <t>Монтаж системы полива</t>
  </si>
  <si>
    <t>зон</t>
  </si>
  <si>
    <t>за зон</t>
  </si>
  <si>
    <t>монтаж, зона, полив, базовый</t>
  </si>
  <si>
    <t>RWORK-0165</t>
  </si>
  <si>
    <t>Монтаж зоны полива (премиум)</t>
  </si>
  <si>
    <t>монтаж, зона, полив, премиум</t>
  </si>
  <si>
    <t>RWORK-0166</t>
  </si>
  <si>
    <t>Монтаж капельного полива</t>
  </si>
  <si>
    <t>монтаж, капельный, полив</t>
  </si>
  <si>
    <t>RWORK-0167</t>
  </si>
  <si>
    <t>Монтаж фасадного освещения</t>
  </si>
  <si>
    <t>точек</t>
  </si>
  <si>
    <t>за точку</t>
  </si>
  <si>
    <t>монтаж, фасадное, освещение</t>
  </si>
  <si>
    <t>амфиболит колотый мм</t>
  </si>
  <si>
    <t>Импортировано из PRICE_MASTER</t>
  </si>
  <si>
    <t>Штучные / покрытия</t>
  </si>
  <si>
    <t>NetArea/Length x reserve coeff</t>
  </si>
  <si>
    <t>анкер крепящий для ландшафтного бордюра количество для установки по дуге на п</t>
  </si>
  <si>
    <t>Погонаж / доски / борта</t>
  </si>
  <si>
    <t>антисептик pinotex base</t>
  </si>
  <si>
    <t>Прочий материал</t>
  </si>
  <si>
    <t>Без доп. запаса</t>
  </si>
  <si>
    <t>Direct</t>
  </si>
  <si>
    <t>арматура рифленая</t>
  </si>
  <si>
    <t>бетон миксер</t>
  </si>
  <si>
    <t>Сыпучий / объёмный</t>
  </si>
  <si>
    <t>Сыпучие / объёмные</t>
  </si>
  <si>
    <t>NetQty x reserve coeff</t>
  </si>
  <si>
    <t>блок питания 100вт</t>
  </si>
  <si>
    <t>Штучный материал</t>
  </si>
  <si>
    <t>бордюр металлический</t>
  </si>
  <si>
    <t>бордюр пластиковый plastbort с крепежом</t>
  </si>
  <si>
    <t>бордюр пластиковый</t>
  </si>
  <si>
    <t>брус мм</t>
  </si>
  <si>
    <t>Погонаж / дерево</t>
  </si>
  <si>
    <t>брусок сухой сосна мм сорт ав</t>
  </si>
  <si>
    <t>брусчатка гранитная мм</t>
  </si>
  <si>
    <t>брусчатка пиленная шунгитный сланец</t>
  </si>
  <si>
    <t>брусчатка пилено колотая гранит мм</t>
  </si>
  <si>
    <t>брусчатка тбп простая</t>
  </si>
  <si>
    <t>брусчатка тбп антик мм</t>
  </si>
  <si>
    <t>брусчатка тбп классико б 3 ко 6</t>
  </si>
  <si>
    <t>габбро диабаз мм</t>
  </si>
  <si>
    <t>газон рулонный универсальный кв</t>
  </si>
  <si>
    <t>Рулонный материал</t>
  </si>
  <si>
    <t>Рулонные / листовые</t>
  </si>
  <si>
    <t>газон рулонный бюджетный кв</t>
  </si>
  <si>
    <t>геотекстиль</t>
  </si>
  <si>
    <t>герметик</t>
  </si>
  <si>
    <t>гидроизоляция гряд и стенок фундамента теплицы</t>
  </si>
  <si>
    <t>гравий щебень гр 20</t>
  </si>
  <si>
    <t>гравий карьерный 5</t>
  </si>
  <si>
    <t>гравий колотый</t>
  </si>
  <si>
    <t>грунт дерновый просеивание местного грунта</t>
  </si>
  <si>
    <t>грунт плодородный</t>
  </si>
  <si>
    <t>грунтовка концентрат</t>
  </si>
  <si>
    <t>диск алмазный по камню d 230ммхм14 гранит</t>
  </si>
  <si>
    <t>диск по металлу</t>
  </si>
  <si>
    <t>дождеприемник дп 30 30 пп с комплектующими и чугунной решеткой фасонные элементы</t>
  </si>
  <si>
    <t>Инженерный материал</t>
  </si>
  <si>
    <t>дождеприемник пластик мм в сборе с решеткой чугунной</t>
  </si>
  <si>
    <t>доска для опалубки мм</t>
  </si>
  <si>
    <t>доска импрегнированная мм строганая</t>
  </si>
  <si>
    <t>доска импрегнированная мм обрезная</t>
  </si>
  <si>
    <t>доска обрезн сосна мм</t>
  </si>
  <si>
    <t>доска террасная негофрированная термообработанная сосна мм</t>
  </si>
  <si>
    <t>доска хвойная сырая нестроганая мм для опалубки</t>
  </si>
  <si>
    <t>дюбель гвоздь мм</t>
  </si>
  <si>
    <t>затирка для широких швов camonica</t>
  </si>
  <si>
    <t>кабель силовой вбшв нг а ls 5 0 66кв броня</t>
  </si>
  <si>
    <t>клей по дереву</t>
  </si>
  <si>
    <t>колодец дренажный смотровой 315 с дном и крышкой</t>
  </si>
  <si>
    <t>колодец дренажный смотровой 460 мм с дном и крышкой</t>
  </si>
  <si>
    <t>кольцо железобетонное паз гребень кс10 9 d1000мм</t>
  </si>
  <si>
    <t>кольцо железобетонное регулировочное ко 6 d840мм</t>
  </si>
  <si>
    <t>кольцо железобетонное с днищем дк 10 9 d1000мм</t>
  </si>
  <si>
    <t>короб метал для подвода кабеля к щиту мм оцинк неперфорированный h</t>
  </si>
  <si>
    <t>краска pinotex extreme one колеровка утренний туман 005</t>
  </si>
  <si>
    <t>крышка для железобетонного кольца пп10 d1000мм</t>
  </si>
  <si>
    <t>лента диодная влагозащищенная профиль</t>
  </si>
  <si>
    <t>лента сигнальная</t>
  </si>
  <si>
    <t>лоток пластиковый лв 10 16 12 пп с решетками ячеистыми чугунными</t>
  </si>
  <si>
    <t>люк садовый пластиковый домик d800мм</t>
  </si>
  <si>
    <t>мастика битумная</t>
  </si>
  <si>
    <t>материалы для разметки</t>
  </si>
  <si>
    <t>метизы</t>
  </si>
  <si>
    <t>муфта d110мм для врезки в колодец</t>
  </si>
  <si>
    <t>муфта d160мм для врезки в колодец</t>
  </si>
  <si>
    <t>опора ландшафтная для установки светильников в бетон</t>
  </si>
  <si>
    <t>отсев гранитный</t>
  </si>
  <si>
    <t>отсев гранитный 2</t>
  </si>
  <si>
    <t>отсев розовый 0</t>
  </si>
  <si>
    <t>пескоуловители пластиковые мм с решетками ячеистыми чугунными</t>
  </si>
  <si>
    <t>песок крупнозернистый намывной</t>
  </si>
  <si>
    <t>песок мелкий сеяный для швов</t>
  </si>
  <si>
    <t>песок строительный</t>
  </si>
  <si>
    <t>плита бетонная</t>
  </si>
  <si>
    <t>плита бетонная толщина ширина длина от 1 до</t>
  </si>
  <si>
    <t>покрытие спортивное однослойное ударопоглощающее резиновое на однокомпонентном полиуретановом связующем толщиной</t>
  </si>
  <si>
    <t>портландцемент м400</t>
  </si>
  <si>
    <t>проволока вязальная</t>
  </si>
  <si>
    <t>просеивание местного грунта</t>
  </si>
  <si>
    <t>профиль алюминиевый</t>
  </si>
  <si>
    <t>расходные материалы</t>
  </si>
  <si>
    <t>ровнитель для бетона plitonit</t>
  </si>
  <si>
    <t>розетка двойная наружная с заземлением с крышкой форс ip54 ers22 k03 16 54 dc iek</t>
  </si>
  <si>
    <t>розетка садовая paulmann rio 94657 столб с двумя розетками</t>
  </si>
  <si>
    <t>саморезы нержавеющие</t>
  </si>
  <si>
    <t>саморезы по дереву</t>
  </si>
  <si>
    <t>сверло по дереву мм</t>
  </si>
  <si>
    <t>светильник</t>
  </si>
  <si>
    <t>светильник h 1000</t>
  </si>
  <si>
    <t>светильник h 600</t>
  </si>
  <si>
    <t>сетка кладочная яч мм d3 5 0 м</t>
  </si>
  <si>
    <t>сланец шунгитный рваный</t>
  </si>
  <si>
    <t>соединитель con t3 pin ip68</t>
  </si>
  <si>
    <t>торф нейтрализованный</t>
  </si>
  <si>
    <t>торфогрунт питательный</t>
  </si>
  <si>
    <t>труба двустенная гофрированная d sn8</t>
  </si>
  <si>
    <t>труба дренажная d110 sn6</t>
  </si>
  <si>
    <t>труба наружной канализации d110мм sn4</t>
  </si>
  <si>
    <t>труба наружной канализации d110мм sn8</t>
  </si>
  <si>
    <t>уголок металл мм</t>
  </si>
  <si>
    <t>удобрение минеральное длительного действия</t>
  </si>
  <si>
    <t>удобрение универсальн газонное</t>
  </si>
  <si>
    <t>установка бордюра криволинейная</t>
  </si>
  <si>
    <t>установка бордюра металлического</t>
  </si>
  <si>
    <t>установка бордюра ограничивающего доска брусок</t>
  </si>
  <si>
    <t>установка бордюра пластикового</t>
  </si>
  <si>
    <t>фанера мм для опалубки</t>
  </si>
  <si>
    <t>фасонные элементы тройники соединения заглушки</t>
  </si>
  <si>
    <t>цемент м400</t>
  </si>
  <si>
    <t>цпс м300</t>
  </si>
  <si>
    <t>щебень гранитный фр 20</t>
  </si>
  <si>
    <t>щебень гранитный фр 5</t>
  </si>
  <si>
    <t>щит управления ландшафтным освещением щит dkc мм ip65 кол во модулей 72 элементы на базе иек 3 фазы 32а 8 выходов под защитой узо</t>
  </si>
  <si>
    <t>электроды</t>
  </si>
  <si>
    <t>RMAT-0122</t>
  </si>
  <si>
    <t>песок строительный м3</t>
  </si>
  <si>
    <t>Песок строительный, м³</t>
  </si>
  <si>
    <t>RMAT-0123</t>
  </si>
  <si>
    <t>бордюрный камень бетонный</t>
  </si>
  <si>
    <t>Бордюрный камень бетонный</t>
  </si>
  <si>
    <t>Бордюрный камень</t>
  </si>
  <si>
    <t>RMAT-0124</t>
  </si>
  <si>
    <t>семена газонные</t>
  </si>
  <si>
    <t>Семена газонные</t>
  </si>
  <si>
    <t>RMAT-0125</t>
  </si>
  <si>
    <t>труба пнд 32</t>
  </si>
  <si>
    <t>Труба ПНД Ø32</t>
  </si>
  <si>
    <t>Трубы ПНД Ø32</t>
  </si>
  <si>
    <t>RMAT-0126</t>
  </si>
  <si>
    <t>спринклер роторный</t>
  </si>
  <si>
    <t>Спринклер роторный</t>
  </si>
  <si>
    <t>Спринклеры роторные</t>
  </si>
  <si>
    <t>Оборудование</t>
  </si>
  <si>
    <t>RMAT-0127</t>
  </si>
  <si>
    <t>светильник грунтовый</t>
  </si>
  <si>
    <t>Светильник грунтовый</t>
  </si>
  <si>
    <t>Автосозданный базовый вариант из реального прайса</t>
  </si>
  <si>
    <t>WV-0007</t>
  </si>
  <si>
    <t>WV-0008</t>
  </si>
  <si>
    <t>WV-0009</t>
  </si>
  <si>
    <t>WV-0010</t>
  </si>
  <si>
    <t>WV-0011</t>
  </si>
  <si>
    <t>WV-0012</t>
  </si>
  <si>
    <t>WV-0013</t>
  </si>
  <si>
    <t>WV-0014</t>
  </si>
  <si>
    <t>WV-0015</t>
  </si>
  <si>
    <t>WV-0016</t>
  </si>
  <si>
    <t>WV-0017</t>
  </si>
  <si>
    <t>WV-0018</t>
  </si>
  <si>
    <t>WV-0019</t>
  </si>
  <si>
    <t>WV-0020</t>
  </si>
  <si>
    <t>WV-0021</t>
  </si>
  <si>
    <t>WV-0022</t>
  </si>
  <si>
    <t>WV-0023</t>
  </si>
  <si>
    <t>WV-0024</t>
  </si>
  <si>
    <t>WV-0025</t>
  </si>
  <si>
    <t>WV-0026</t>
  </si>
  <si>
    <t>WV-0027</t>
  </si>
  <si>
    <t>WV-0028</t>
  </si>
  <si>
    <t>WV-0029</t>
  </si>
  <si>
    <t>WV-0030</t>
  </si>
  <si>
    <t>WV-0031</t>
  </si>
  <si>
    <t>WV-0032</t>
  </si>
  <si>
    <t>WV-0033</t>
  </si>
  <si>
    <t>WV-0034</t>
  </si>
  <si>
    <t>WV-0035</t>
  </si>
  <si>
    <t>WV-0036</t>
  </si>
  <si>
    <t>WV-0037</t>
  </si>
  <si>
    <t>WV-0038</t>
  </si>
  <si>
    <t>WV-0039</t>
  </si>
  <si>
    <t>WV-0040</t>
  </si>
  <si>
    <t>WV-0041</t>
  </si>
  <si>
    <t>WV-0042</t>
  </si>
  <si>
    <t>WV-0043</t>
  </si>
  <si>
    <t>WV-0044</t>
  </si>
  <si>
    <t>WV-0045</t>
  </si>
  <si>
    <t>WV-0046</t>
  </si>
  <si>
    <t>WV-0047</t>
  </si>
  <si>
    <t>WV-0048</t>
  </si>
  <si>
    <t>WV-0049</t>
  </si>
  <si>
    <t>WV-0050</t>
  </si>
  <si>
    <t>WV-0051</t>
  </si>
  <si>
    <t>WV-0052</t>
  </si>
  <si>
    <t>WV-0053</t>
  </si>
  <si>
    <t>WV-0054</t>
  </si>
  <si>
    <t>WV-0055</t>
  </si>
  <si>
    <t>WV-0056</t>
  </si>
  <si>
    <t>WV-0057</t>
  </si>
  <si>
    <t>WV-0058</t>
  </si>
  <si>
    <t>WV-0059</t>
  </si>
  <si>
    <t>WV-0060</t>
  </si>
  <si>
    <t>WV-0061</t>
  </si>
  <si>
    <t>WV-0062</t>
  </si>
  <si>
    <t>WV-0063</t>
  </si>
  <si>
    <t>WV-0064</t>
  </si>
  <si>
    <t>WV-0065</t>
  </si>
  <si>
    <t>WV-0066</t>
  </si>
  <si>
    <t>WV-0067</t>
  </si>
  <si>
    <t>WV-0068</t>
  </si>
  <si>
    <t>WV-0069</t>
  </si>
  <si>
    <t>WV-0070</t>
  </si>
  <si>
    <t>WV-0071</t>
  </si>
  <si>
    <t>WV-0072</t>
  </si>
  <si>
    <t>WV-0073</t>
  </si>
  <si>
    <t>WV-0074</t>
  </si>
  <si>
    <t>WV-0075</t>
  </si>
  <si>
    <t>WV-0076</t>
  </si>
  <si>
    <t>WV-0077</t>
  </si>
  <si>
    <t>WV-0078</t>
  </si>
  <si>
    <t>WV-0079</t>
  </si>
  <si>
    <t>WV-0080</t>
  </si>
  <si>
    <t>WV-0081</t>
  </si>
  <si>
    <t>WV-0082</t>
  </si>
  <si>
    <t>WV-0083</t>
  </si>
  <si>
    <t>WV-0084</t>
  </si>
  <si>
    <t>WV-0085</t>
  </si>
  <si>
    <t>WV-0086</t>
  </si>
  <si>
    <t>WV-0087</t>
  </si>
  <si>
    <t>WV-0088</t>
  </si>
  <si>
    <t>WV-0089</t>
  </si>
  <si>
    <t>WV-0090</t>
  </si>
  <si>
    <t>WV-0091</t>
  </si>
  <si>
    <t>WV-0092</t>
  </si>
  <si>
    <t>WV-0093</t>
  </si>
  <si>
    <t>WV-0094</t>
  </si>
  <si>
    <t>WV-0095</t>
  </si>
  <si>
    <t>WV-0096</t>
  </si>
  <si>
    <t>WV-0097</t>
  </si>
  <si>
    <t>WV-0098</t>
  </si>
  <si>
    <t>WV-0099</t>
  </si>
  <si>
    <t>WV-0100</t>
  </si>
  <si>
    <t>WV-0101</t>
  </si>
  <si>
    <t>WV-0102</t>
  </si>
  <si>
    <t>WV-0103</t>
  </si>
  <si>
    <t>WV-0104</t>
  </si>
  <si>
    <t>WV-0105</t>
  </si>
  <si>
    <t>WV-0106</t>
  </si>
  <si>
    <t>WV-0107</t>
  </si>
  <si>
    <t>WV-0108</t>
  </si>
  <si>
    <t>WV-0109</t>
  </si>
  <si>
    <t>WV-0110</t>
  </si>
  <si>
    <t>WV-0111</t>
  </si>
  <si>
    <t>WV-0112</t>
  </si>
  <si>
    <t>WV-0113</t>
  </si>
  <si>
    <t>WV-0114</t>
  </si>
  <si>
    <t>WV-0115</t>
  </si>
  <si>
    <t>WV-0116</t>
  </si>
  <si>
    <t>WV-0117</t>
  </si>
  <si>
    <t>WV-0118</t>
  </si>
  <si>
    <t>WV-0119</t>
  </si>
  <si>
    <t>WV-0120</t>
  </si>
  <si>
    <t>WV-0121</t>
  </si>
  <si>
    <t>WV-0122</t>
  </si>
  <si>
    <t>WV-0123</t>
  </si>
  <si>
    <t>WV-0124</t>
  </si>
  <si>
    <t>WV-0125</t>
  </si>
  <si>
    <t>WV-0126</t>
  </si>
  <si>
    <t>WV-0127</t>
  </si>
  <si>
    <t>WV-0128</t>
  </si>
  <si>
    <t>WV-0129</t>
  </si>
  <si>
    <t>WV-0130</t>
  </si>
  <si>
    <t>WV-0131</t>
  </si>
  <si>
    <t>WV-0132</t>
  </si>
  <si>
    <t>WV-0133</t>
  </si>
  <si>
    <t>WV-0134</t>
  </si>
  <si>
    <t>WV-0135</t>
  </si>
  <si>
    <t>WV-0136</t>
  </si>
  <si>
    <t>WV-0137</t>
  </si>
  <si>
    <t>WV-0138</t>
  </si>
  <si>
    <t>WV-0139</t>
  </si>
  <si>
    <t>WV-0140</t>
  </si>
  <si>
    <t>WV-0141</t>
  </si>
  <si>
    <t>WV-0142</t>
  </si>
  <si>
    <t>WV-0143</t>
  </si>
  <si>
    <t>WV-0144</t>
  </si>
  <si>
    <t>WV-0145</t>
  </si>
  <si>
    <t>WV-0146</t>
  </si>
  <si>
    <t>WV-0147</t>
  </si>
  <si>
    <t>WV-0148</t>
  </si>
  <si>
    <t>WV-0149</t>
  </si>
  <si>
    <t>WV-0150</t>
  </si>
  <si>
    <t>WV-0151</t>
  </si>
  <si>
    <t>WV-0152</t>
  </si>
  <si>
    <t>WV-0153</t>
  </si>
  <si>
    <t>WV-0154</t>
  </si>
  <si>
    <t>WV-0155</t>
  </si>
  <si>
    <t>WV-0156</t>
  </si>
  <si>
    <t>WV-0157</t>
  </si>
  <si>
    <t>WV-0158</t>
  </si>
  <si>
    <t>WV-0159</t>
  </si>
  <si>
    <t>WV-0160</t>
  </si>
  <si>
    <t>WV-0161</t>
  </si>
  <si>
    <t>WV-0162</t>
  </si>
  <si>
    <t>WV-0163</t>
  </si>
  <si>
    <t>WV-0164</t>
  </si>
  <si>
    <t>WV-0165</t>
  </si>
  <si>
    <t>WV-0166</t>
  </si>
  <si>
    <t>WV-0167</t>
  </si>
  <si>
    <t>Автосозданный вариант 1:1 из реального прайса</t>
  </si>
  <si>
    <t>MV-0122</t>
  </si>
  <si>
    <t>MV-0123</t>
  </si>
  <si>
    <t>MV-0124</t>
  </si>
  <si>
    <t>MV-0125</t>
  </si>
  <si>
    <t>MV-0126</t>
  </si>
  <si>
    <t>MV-0127</t>
  </si>
  <si>
    <t>PRICE_MASTER/RAW_LINES</t>
  </si>
  <si>
    <t>Imported</t>
  </si>
  <si>
    <t>Автогенерация из реального прайса; проверить вручную</t>
  </si>
  <si>
    <t>Автогенерация 1:1; тарифные различия ещё не настроены</t>
  </si>
  <si>
    <t>NormalizedRoot</t>
  </si>
  <si>
    <t>CandidatesCount</t>
  </si>
  <si>
    <t>CandidateIDs</t>
  </si>
  <si>
    <t>ExampleNames</t>
  </si>
  <si>
    <t>SuggestedAction</t>
  </si>
  <si>
    <t>RiskComment</t>
  </si>
  <si>
    <t>аренда виброплиты</t>
  </si>
  <si>
    <t>RWORK-0004, RWORK-0005</t>
  </si>
  <si>
    <t>Аренда виброплиты 140кг | Аренда виброплиты 70кг</t>
  </si>
  <si>
    <t>Проверить на объединение в одну каноническую сущность / семейство</t>
  </si>
  <si>
    <t>Автоимпорт оставил строки раздельно, чтобы не потерять смысл и цену</t>
  </si>
  <si>
    <t>устройство газонного ложа для обыкновенного газона грунт плодородный торфогрунт песок дерновая земля 1 2 3</t>
  </si>
  <si>
    <t>RWORK-0121, RWORK-0122</t>
  </si>
  <si>
    <t>Устройство газонного ложа для обыкновенного газона: грунт плодородный (торфогрунт:песок:дерновая земля - 1:2:3), 150мм | Устройство газонного ложа для обыкновенного газона: грунт плодородный (торфогрунт:песок:дерновая земля - 1:2:3), 160мм</t>
  </si>
  <si>
    <t>устройство закладных из 3 х труб d</t>
  </si>
  <si>
    <t>RWORK-0129, RWORK-0130</t>
  </si>
  <si>
    <t>Устройство закладных из 3-х труб d=110 мм | Устройство закладных из 3-х труб d=110мм</t>
  </si>
  <si>
    <t>устройство монтажного слоя из отсева</t>
  </si>
  <si>
    <t>RWORK-0134, RWORK-0135</t>
  </si>
  <si>
    <t>Устройство монтажного слоя из отсева (4см) | Устройство монтажного слоя из отсева (70мм)</t>
  </si>
  <si>
    <t>устройство несущего щебнистого слоя из щебня 20 с проливом водой и трамбовкой с расклинцовкой щебнем 5</t>
  </si>
  <si>
    <t>RWORK-0139, RWORK-0140</t>
  </si>
  <si>
    <t>Устройство несущего щебнистого слоя (120мм) из щебня 20-40мм с проливом водой и трамбовкой с расклинцовкой щебнем 5-20мм | Устройство несущего щебнистого слоя (150мм) из щебня 20-40мм с проливом водой и трамбовкой с расклинцовкой щебнем 5-20мм</t>
  </si>
  <si>
    <t>устройство песчаного слоя</t>
  </si>
  <si>
    <t>RWORK-0144, RWORK-0145, RWORK-0146, RWORK-0147, RWORK-0148, RWORK-0149, RWORK-0150</t>
  </si>
  <si>
    <t>Устройство песчаного слоя (100мм) | Устройство песчаного слоя (150мм) | Устройство песчаного слоя (180мм) | Устройство песчаного слоя (230мм) | Устройство песчаного слоя (250мм)</t>
  </si>
  <si>
    <t>RMAT-0004, RMAT-0005</t>
  </si>
  <si>
    <t>арматура рифленая, 10мм | Арматура рифленая, 12мм</t>
  </si>
  <si>
    <t>RMAT-0013, RMAT-0014</t>
  </si>
  <si>
    <t>Брусчатка гранитная, 100х100х100мм | Брусчатка гранитная, 100х100х50мм</t>
  </si>
  <si>
    <t>RMAT-0020, RMAT-0021</t>
  </si>
  <si>
    <t>Габбро-диабаз 100*80*50мм | Габбро-диабаз 80*80*80мм</t>
  </si>
  <si>
    <t>RMAT-0023, RMAT-0024</t>
  </si>
  <si>
    <t>Газон рулонный бюджетный, 0.8м.кв. | Газон рулонный бюджетный, 1м.кв.</t>
  </si>
  <si>
    <t>RMAT-0025, RMAT-0026</t>
  </si>
  <si>
    <t>Геотекстиль, 200г/м2 | Геотекстиль, 300г/м2</t>
  </si>
  <si>
    <t>RMAT-0042, RMAT-0043</t>
  </si>
  <si>
    <t>Доска обрезн., сосна, 20х125х3000мм | Доска обрезн., сосна, 20х145х3000мм</t>
  </si>
  <si>
    <t>RMAT-0048, RMAT-0049</t>
  </si>
  <si>
    <t>Кабель силовой ВБШв нг(А)LS 3*1,5 0,66кВ броня | Кабель силовой ВБШв нг(А)LS 3*2,5 0,66кВ броня</t>
  </si>
  <si>
    <t>RMAT-0051, RMAT-0052</t>
  </si>
  <si>
    <t>Колодец дренажный смотровой 315/276х1000 с дном и крышкой | Колодец дренажный смотровой 315/276х1500 с дном и крышкой</t>
  </si>
  <si>
    <t>RMAT-0118, RMAT-0119</t>
  </si>
  <si>
    <t>Щебень гранитный фр. 5-20мм | Щебень гранитный фр. 5-20мм, 50кг</t>
  </si>
  <si>
    <t>RowReview</t>
  </si>
  <si>
    <t>Проверить вручную классификацию/объединение</t>
  </si>
  <si>
    <t>WhyReview</t>
  </si>
  <si>
    <t>процент/коммерческая логика</t>
  </si>
  <si>
    <t>накладная строка; процент/коммерческая логика</t>
  </si>
  <si>
    <t>средняя уверенность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</si>
</sst>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\.mm\.yyyy"/>
    <numFmt numFmtId="165" formatCode="0.000"/>
    <numFmt numFmtId="166" formatCode="0.0%"/>
    <numFmt numFmtId="167" formatCode="0.0"/>
    <numFmt numFmtId="168" formatCode="dd.mm"/>
  </numFmts>
  <fonts count="11">
    <font>
      <sz val="11.0"/>
      <color theme="1"/>
      <name val="Calibri"/>
      <scheme val="minor"/>
    </font>
    <font>
      <b/>
      <sz val="14.0"/>
      <color theme="1"/>
      <name val="Calibri"/>
    </font>
    <font>
      <b/>
      <sz val="11.0"/>
      <color rgb="FFC00000"/>
      <name val="Calibri"/>
    </font>
    <font>
      <sz val="11.0"/>
      <color rgb="FF000000"/>
      <name val="Calibri"/>
    </font>
    <font>
      <sz val="11.0"/>
      <color theme="1"/>
      <name val="Calibri"/>
    </font>
    <font>
      <b/>
      <sz val="11.0"/>
      <color rgb="FFFFFFFF"/>
      <name val="Calibri"/>
    </font>
    <font>
      <b/>
      <sz val="12.0"/>
      <color theme="1"/>
      <name val="Calibri"/>
    </font>
    <font>
      <color theme="1"/>
      <name val="Calibri"/>
      <scheme val="minor"/>
    </font>
    <font>
      <sz val="11.0"/>
      <color rgb="FF0000FF"/>
      <name val="Calibri"/>
    </font>
    <font>
      <sz val="11.0"/>
      <color rgb="FF008000"/>
      <name val="Calibri"/>
    </font>
    <font>
      <sz val="11.0"/>
      <color rgb="FF66666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7FBFF"/>
        <bgColor rgb="FFF7FBFF"/>
      </patternFill>
    </fill>
    <fill>
      <patternFill patternType="solid">
        <fgColor rgb="FFFCE4D6"/>
        <bgColor rgb="FFFCE4D6"/>
      </patternFill>
    </fill>
  </fills>
  <borders count="5">
    <border/>
    <border>
      <left/>
      <right/>
      <top/>
      <bottom style="thin">
        <color rgb="FFD9D9D9"/>
      </bottom>
    </border>
    <border>
      <left/>
      <right/>
      <top/>
      <bottom/>
    </border>
    <border>
      <left/>
      <right/>
      <top/>
      <bottom style="thin">
        <color rgb="FFD9E1F2"/>
      </bottom>
    </border>
    <border>
      <bottom style="thin">
        <color rgb="FFD9E1F2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1" fillId="2" fontId="5" numFmtId="0" xfId="0" applyAlignment="1" applyBorder="1" applyFill="1" applyFont="1">
      <alignment shrinkToFit="0" vertical="top" wrapText="1"/>
    </xf>
    <xf borderId="2" fillId="3" fontId="4" numFmtId="0" xfId="0" applyAlignment="1" applyBorder="1" applyFill="1" applyFont="1">
      <alignment shrinkToFit="0" vertical="top" wrapText="1"/>
    </xf>
    <xf borderId="0" fillId="0" fontId="6" numFmtId="0" xfId="0" applyFont="1"/>
    <xf borderId="0" fillId="0" fontId="7" numFmtId="0" xfId="0" applyFont="1"/>
    <xf borderId="1" fillId="2" fontId="5" numFmtId="0" xfId="0" applyAlignment="1" applyBorder="1" applyFont="1">
      <alignment horizontal="center" shrinkToFit="0" vertical="center" wrapText="1"/>
    </xf>
    <xf borderId="2" fillId="2" fontId="5" numFmtId="0" xfId="0" applyBorder="1" applyFont="1"/>
    <xf borderId="2" fillId="3" fontId="4" numFmtId="0" xfId="0" applyAlignment="1" applyBorder="1" applyFont="1">
      <alignment horizontal="left" shrinkToFit="0" vertical="top" wrapText="1"/>
    </xf>
    <xf borderId="2" fillId="3" fontId="8" numFmtId="0" xfId="0" applyAlignment="1" applyBorder="1" applyFont="1">
      <alignment shrinkToFit="0" vertical="top" wrapText="1"/>
    </xf>
    <xf borderId="2" fillId="3" fontId="8" numFmtId="4" xfId="0" applyAlignment="1" applyBorder="1" applyFont="1" applyNumberFormat="1">
      <alignment shrinkToFit="0" vertical="top" wrapText="1"/>
    </xf>
    <xf borderId="0" fillId="0" fontId="4" numFmtId="164" xfId="0" applyAlignment="1" applyFont="1" applyNumberFormat="1">
      <alignment shrinkToFit="0" vertical="top" wrapText="1"/>
    </xf>
    <xf borderId="0" fillId="0" fontId="4" numFmtId="4" xfId="0" applyAlignment="1" applyFont="1" applyNumberFormat="1">
      <alignment shrinkToFit="0" vertical="top" wrapText="1"/>
    </xf>
    <xf borderId="0" fillId="0" fontId="4" numFmtId="0" xfId="0" applyAlignment="1" applyFont="1">
      <alignment horizontal="left" shrinkToFit="0" vertical="top" wrapText="1"/>
    </xf>
    <xf borderId="0" fillId="0" fontId="4" numFmtId="4" xfId="0" applyAlignment="1" applyFont="1" applyNumberFormat="1">
      <alignment horizontal="left" shrinkToFit="0" vertical="top" wrapText="1"/>
    </xf>
    <xf borderId="2" fillId="3" fontId="8" numFmtId="0" xfId="0" applyAlignment="1" applyBorder="1" applyFont="1">
      <alignment horizontal="left" shrinkToFit="0" vertical="top" wrapText="1"/>
    </xf>
    <xf borderId="2" fillId="3" fontId="8" numFmtId="2" xfId="0" applyAlignment="1" applyBorder="1" applyFont="1" applyNumberFormat="1">
      <alignment horizontal="left" shrinkToFit="0" vertical="top" wrapText="1"/>
    </xf>
    <xf borderId="2" fillId="3" fontId="8" numFmtId="4" xfId="0" applyAlignment="1" applyBorder="1" applyFont="1" applyNumberFormat="1">
      <alignment horizontal="left" shrinkToFit="0" vertical="top" wrapText="1"/>
    </xf>
    <xf borderId="2" fillId="3" fontId="3" numFmtId="4" xfId="0" applyAlignment="1" applyBorder="1" applyFont="1" applyNumberFormat="1">
      <alignment horizontal="left" shrinkToFit="0" vertical="top" wrapText="1"/>
    </xf>
    <xf borderId="0" fillId="0" fontId="4" numFmtId="2" xfId="0" applyAlignment="1" applyFont="1" applyNumberFormat="1">
      <alignment horizontal="left" shrinkToFit="0" vertical="top" wrapText="1"/>
    </xf>
    <xf borderId="2" fillId="3" fontId="8" numFmtId="1" xfId="0" applyAlignment="1" applyBorder="1" applyFont="1" applyNumberFormat="1">
      <alignment horizontal="left" shrinkToFit="0" vertical="top" wrapText="1"/>
    </xf>
    <xf borderId="2" fillId="3" fontId="8" numFmtId="165" xfId="0" applyAlignment="1" applyBorder="1" applyFont="1" applyNumberFormat="1">
      <alignment horizontal="left" shrinkToFit="0" vertical="top" wrapText="1"/>
    </xf>
    <xf borderId="0" fillId="0" fontId="4" numFmtId="1" xfId="0" applyAlignment="1" applyFont="1" applyNumberFormat="1">
      <alignment horizontal="left" shrinkToFit="0" vertical="top" wrapText="1"/>
    </xf>
    <xf borderId="2" fillId="3" fontId="8" numFmtId="1" xfId="0" applyAlignment="1" applyBorder="1" applyFont="1" applyNumberFormat="1">
      <alignment shrinkToFit="0" vertical="top" wrapText="1"/>
    </xf>
    <xf borderId="0" fillId="0" fontId="4" numFmtId="1" xfId="0" applyAlignment="1" applyFont="1" applyNumberFormat="1">
      <alignment shrinkToFit="0" vertical="top" wrapText="1"/>
    </xf>
    <xf borderId="0" fillId="0" fontId="4" numFmtId="3" xfId="0" applyAlignment="1" applyFont="1" applyNumberFormat="1">
      <alignment shrinkToFit="0" vertical="top" wrapText="1"/>
    </xf>
    <xf borderId="2" fillId="3" fontId="4" numFmtId="165" xfId="0" applyAlignment="1" applyBorder="1" applyFont="1" applyNumberFormat="1">
      <alignment shrinkToFit="0" vertical="top" wrapText="1"/>
    </xf>
    <xf borderId="0" fillId="0" fontId="4" numFmtId="166" xfId="0" applyAlignment="1" applyFont="1" applyNumberFormat="1">
      <alignment shrinkToFit="0" vertical="top" wrapText="1"/>
    </xf>
    <xf borderId="2" fillId="3" fontId="4" numFmtId="0" xfId="0" applyAlignment="1" applyBorder="1" applyFont="1">
      <alignment shrinkToFit="0" vertical="center" wrapText="1"/>
    </xf>
    <xf borderId="2" fillId="3" fontId="4" numFmtId="165" xfId="0" applyAlignment="1" applyBorder="1" applyFont="1" applyNumberFormat="1">
      <alignment shrinkToFit="0" vertical="center" wrapText="1"/>
    </xf>
    <xf borderId="0" fillId="0" fontId="4" numFmtId="2" xfId="0" applyAlignment="1" applyFont="1" applyNumberFormat="1">
      <alignment shrinkToFit="0" vertical="top" wrapText="1"/>
    </xf>
    <xf borderId="2" fillId="3" fontId="4" numFmtId="167" xfId="0" applyAlignment="1" applyBorder="1" applyFont="1" applyNumberFormat="1">
      <alignment shrinkToFit="0" vertical="center" wrapText="1"/>
    </xf>
    <xf borderId="2" fillId="3" fontId="4" numFmtId="2" xfId="0" applyAlignment="1" applyBorder="1" applyFont="1" applyNumberFormat="1">
      <alignment shrinkToFit="0" vertical="center" wrapText="1"/>
    </xf>
    <xf borderId="2" fillId="3" fontId="4" numFmtId="165" xfId="0" applyAlignment="1" applyBorder="1" applyFont="1" applyNumberFormat="1">
      <alignment horizontal="left" shrinkToFit="0" vertical="top" wrapText="1"/>
    </xf>
    <xf borderId="3" fillId="2" fontId="5" numFmtId="0" xfId="0" applyAlignment="1" applyBorder="1" applyFont="1">
      <alignment horizontal="center" shrinkToFit="0" vertical="center" wrapText="1"/>
    </xf>
    <xf borderId="3" fillId="4" fontId="4" numFmtId="0" xfId="0" applyAlignment="1" applyBorder="1" applyFill="1" applyFont="1">
      <alignment shrinkToFit="0" vertical="top" wrapText="1"/>
    </xf>
    <xf borderId="4" fillId="0" fontId="4" numFmtId="0" xfId="0" applyAlignment="1" applyBorder="1" applyFont="1">
      <alignment shrinkToFit="0" vertical="top" wrapText="1"/>
    </xf>
    <xf borderId="3" fillId="4" fontId="8" numFmtId="4" xfId="0" applyAlignment="1" applyBorder="1" applyFont="1" applyNumberFormat="1">
      <alignment shrinkToFit="0" vertical="top" wrapText="1"/>
    </xf>
    <xf borderId="3" fillId="4" fontId="9" numFmtId="0" xfId="0" applyAlignment="1" applyBorder="1" applyFont="1">
      <alignment shrinkToFit="0" vertical="top" wrapText="1"/>
    </xf>
    <xf borderId="3" fillId="4" fontId="10" numFmtId="0" xfId="0" applyAlignment="1" applyBorder="1" applyFont="1">
      <alignment shrinkToFit="0" vertical="top" wrapText="1"/>
    </xf>
    <xf borderId="4" fillId="0" fontId="8" numFmtId="4" xfId="0" applyAlignment="1" applyBorder="1" applyFont="1" applyNumberFormat="1">
      <alignment shrinkToFit="0" vertical="top" wrapText="1"/>
    </xf>
    <xf borderId="4" fillId="0" fontId="9" numFmtId="0" xfId="0" applyAlignment="1" applyBorder="1" applyFont="1">
      <alignment shrinkToFit="0" vertical="top" wrapText="1"/>
    </xf>
    <xf borderId="4" fillId="0" fontId="10" numFmtId="0" xfId="0" applyAlignment="1" applyBorder="1" applyFont="1">
      <alignment shrinkToFit="0" vertical="top" wrapText="1"/>
    </xf>
    <xf borderId="3" fillId="5" fontId="4" numFmtId="0" xfId="0" applyAlignment="1" applyBorder="1" applyFill="1" applyFont="1">
      <alignment shrinkToFit="0" vertical="top" wrapText="1"/>
    </xf>
    <xf borderId="3" fillId="5" fontId="8" numFmtId="4" xfId="0" applyAlignment="1" applyBorder="1" applyFont="1" applyNumberFormat="1">
      <alignment shrinkToFit="0" vertical="top" wrapText="1"/>
    </xf>
    <xf borderId="3" fillId="5" fontId="9" numFmtId="0" xfId="0" applyAlignment="1" applyBorder="1" applyFont="1">
      <alignment shrinkToFit="0" vertical="top" wrapText="1"/>
    </xf>
    <xf borderId="3" fillId="5" fontId="10" numFmtId="0" xfId="0" applyAlignment="1" applyBorder="1" applyFont="1">
      <alignment shrinkToFit="0" vertical="top" wrapText="1"/>
    </xf>
    <xf borderId="0" fillId="0" fontId="7" numFmtId="0" xfId="0" applyAlignment="1" applyFont="1">
      <alignment readingOrder="0"/>
    </xf>
    <xf borderId="3" fillId="4" fontId="4" numFmtId="1" xfId="0" applyAlignment="1" applyBorder="1" applyFont="1" applyNumberFormat="1">
      <alignment shrinkToFit="0" vertical="top" wrapText="1"/>
    </xf>
    <xf borderId="3" fillId="4" fontId="8" numFmtId="2" xfId="0" applyAlignment="1" applyBorder="1" applyFont="1" applyNumberFormat="1">
      <alignment shrinkToFit="0" vertical="top" wrapText="1"/>
    </xf>
    <xf borderId="4" fillId="0" fontId="4" numFmtId="1" xfId="0" applyAlignment="1" applyBorder="1" applyFont="1" applyNumberFormat="1">
      <alignment shrinkToFit="0" vertical="top" wrapText="1"/>
    </xf>
    <xf borderId="4" fillId="0" fontId="8" numFmtId="2" xfId="0" applyAlignment="1" applyBorder="1" applyFont="1" applyNumberFormat="1">
      <alignment shrinkToFit="0" vertical="top" wrapText="1"/>
    </xf>
    <xf borderId="0" fillId="0" fontId="7" numFmtId="168" xfId="0" applyAlignment="1" applyFont="1" applyNumberFormat="1">
      <alignment readingOrder="0"/>
    </xf>
    <xf borderId="3" fillId="4" fontId="4" numFmtId="4" xfId="0" applyAlignment="1" applyBorder="1" applyFont="1" applyNumberFormat="1">
      <alignment shrinkToFit="0" vertical="top" wrapText="1"/>
    </xf>
    <xf borderId="4" fillId="0" fontId="4" numFmtId="4" xfId="0" applyAlignment="1" applyBorder="1" applyFont="1" applyNumberFormat="1">
      <alignment shrinkToFit="0" vertical="top" wrapText="1"/>
    </xf>
    <xf borderId="3" fillId="4" fontId="4" numFmtId="2" xfId="0" applyAlignment="1" applyBorder="1" applyFont="1" applyNumberFormat="1">
      <alignment shrinkToFit="0" vertical="top" wrapText="1"/>
    </xf>
    <xf borderId="4" fillId="0" fontId="4" numFmtId="2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worksheet" Target="worksheets/sheet42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5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0.0"/>
    <col customWidth="1" min="2" max="26" width="8.71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3" t="s">
        <v>2</v>
      </c>
    </row>
    <row r="4" ht="14.25" customHeight="1">
      <c r="A4" s="3" t="s">
        <v>3</v>
      </c>
    </row>
    <row r="5" ht="14.25" customHeight="1">
      <c r="A5" s="3" t="s">
        <v>4</v>
      </c>
    </row>
    <row r="6" ht="14.25" customHeight="1">
      <c r="A6" s="4" t="s">
        <v>5</v>
      </c>
    </row>
    <row r="7" ht="14.25" customHeight="1">
      <c r="A7" s="4" t="s">
        <v>6</v>
      </c>
    </row>
    <row r="8" ht="14.25" customHeight="1">
      <c r="A8" s="4" t="s">
        <v>7</v>
      </c>
    </row>
    <row r="9" ht="14.25" customHeight="1">
      <c r="A9" s="4"/>
    </row>
    <row r="10" ht="14.25" customHeight="1">
      <c r="A10" s="4" t="s">
        <v>8</v>
      </c>
    </row>
    <row r="11" ht="14.25" customHeight="1">
      <c r="A11" s="4" t="s">
        <v>9</v>
      </c>
    </row>
    <row r="12" ht="14.25" customHeight="1">
      <c r="A12" s="4" t="s">
        <v>10</v>
      </c>
    </row>
    <row r="13" ht="14.25" customHeight="1">
      <c r="A13" s="4" t="s">
        <v>11</v>
      </c>
    </row>
    <row r="14" ht="14.25" customHeight="1">
      <c r="A14" s="4" t="s">
        <v>12</v>
      </c>
    </row>
    <row r="15" ht="14.25" customHeight="1">
      <c r="A15" s="4" t="s">
        <v>13</v>
      </c>
    </row>
    <row r="16" ht="14.25" customHeight="1">
      <c r="A16" s="4"/>
    </row>
    <row r="17" ht="14.25" customHeight="1">
      <c r="A17" s="4" t="s">
        <v>14</v>
      </c>
    </row>
    <row r="18" ht="14.25" customHeight="1">
      <c r="A18" s="4" t="s">
        <v>15</v>
      </c>
    </row>
    <row r="19" ht="14.25" customHeight="1">
      <c r="A19" s="4" t="s">
        <v>16</v>
      </c>
    </row>
    <row r="20" ht="14.25" customHeight="1">
      <c r="A20" s="4" t="s">
        <v>17</v>
      </c>
    </row>
    <row r="21" ht="14.25" customHeight="1">
      <c r="A21" s="4" t="s">
        <v>18</v>
      </c>
    </row>
    <row r="22" ht="14.25" customHeight="1">
      <c r="A22" s="4"/>
    </row>
    <row r="23" ht="14.25" customHeight="1">
      <c r="A23" s="4" t="s">
        <v>19</v>
      </c>
    </row>
    <row r="24" ht="14.25" customHeight="1">
      <c r="A24" s="4" t="s">
        <v>20</v>
      </c>
    </row>
    <row r="25" ht="14.25" customHeight="1">
      <c r="A25" s="4" t="s">
        <v>21</v>
      </c>
    </row>
    <row r="26" ht="14.25" customHeight="1">
      <c r="A26" s="5" t="s">
        <v>22</v>
      </c>
    </row>
    <row r="27" ht="14.25" customHeight="1">
      <c r="A27" s="6" t="s">
        <v>23</v>
      </c>
    </row>
    <row r="28" ht="14.25" customHeight="1">
      <c r="A28" s="6" t="s">
        <v>24</v>
      </c>
    </row>
    <row r="29" ht="14.25" customHeight="1">
      <c r="A29" s="6" t="s">
        <v>25</v>
      </c>
    </row>
    <row r="30" ht="14.25" customHeight="1">
      <c r="A30" s="6" t="s">
        <v>26</v>
      </c>
    </row>
    <row r="31" ht="14.25" customHeight="1">
      <c r="A31" s="6" t="s">
        <v>27</v>
      </c>
    </row>
    <row r="32" ht="14.25" customHeight="1">
      <c r="A32" s="6" t="s">
        <v>28</v>
      </c>
    </row>
    <row r="33" ht="14.25" customHeight="1">
      <c r="A33" s="6" t="s">
        <v>29</v>
      </c>
    </row>
    <row r="34" ht="14.25" customHeight="1">
      <c r="A34" s="6" t="s">
        <v>30</v>
      </c>
    </row>
    <row r="35" ht="14.25" customHeight="1">
      <c r="A35" s="6" t="s">
        <v>31</v>
      </c>
    </row>
    <row r="36" ht="19.5" customHeight="1">
      <c r="A36" s="4" t="s">
        <v>32</v>
      </c>
    </row>
    <row r="37" ht="19.5" customHeight="1">
      <c r="A37" s="4" t="s">
        <v>33</v>
      </c>
    </row>
    <row r="38" ht="19.5" customHeight="1">
      <c r="A38" s="4" t="s">
        <v>34</v>
      </c>
    </row>
    <row r="39" ht="19.5" customHeight="1">
      <c r="A39" s="4" t="s">
        <v>35</v>
      </c>
    </row>
    <row r="40" ht="19.5" customHeight="1">
      <c r="A40" s="4" t="s">
        <v>36</v>
      </c>
    </row>
    <row r="41" ht="19.5" customHeight="1">
      <c r="A41" s="4" t="s">
        <v>37</v>
      </c>
    </row>
    <row r="42" ht="19.5" customHeight="1">
      <c r="A42" s="4" t="s">
        <v>38</v>
      </c>
    </row>
    <row r="43" ht="19.5" customHeight="1">
      <c r="A43" s="4" t="s">
        <v>39</v>
      </c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/>
    <row r="51" ht="14.25" customHeight="1">
      <c r="A51" s="1" t="s">
        <v>40</v>
      </c>
    </row>
    <row r="52" ht="14.25" customHeight="1">
      <c r="A52" s="4" t="s">
        <v>41</v>
      </c>
    </row>
    <row r="53" ht="14.25" customHeight="1">
      <c r="A53" s="4" t="s">
        <v>42</v>
      </c>
    </row>
    <row r="54" ht="14.25" customHeight="1">
      <c r="A54" s="4" t="s">
        <v>43</v>
      </c>
    </row>
    <row r="55" ht="14.25" customHeight="1">
      <c r="A55" s="4" t="s">
        <v>44</v>
      </c>
    </row>
    <row r="56" ht="14.25" customHeight="1">
      <c r="A56" s="4" t="s">
        <v>45</v>
      </c>
    </row>
    <row r="57" ht="14.25" customHeight="1">
      <c r="A57" s="4" t="s">
        <v>46</v>
      </c>
    </row>
    <row r="58" ht="14.25" customHeight="1"/>
    <row r="59" ht="14.25" customHeight="1">
      <c r="A59" s="7" t="s">
        <v>47</v>
      </c>
    </row>
    <row r="60" ht="14.25" customHeight="1">
      <c r="A60" s="8" t="s">
        <v>48</v>
      </c>
    </row>
    <row r="61" ht="14.25" customHeight="1">
      <c r="A61" s="8" t="s">
        <v>49</v>
      </c>
    </row>
    <row r="62" ht="14.25" customHeight="1">
      <c r="A62" s="8" t="s">
        <v>50</v>
      </c>
    </row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34.0"/>
    <col customWidth="1" min="3" max="3" width="38.0"/>
    <col customWidth="1" min="4" max="4" width="42.0"/>
    <col customWidth="1" min="5" max="6" width="10.0"/>
    <col customWidth="1" min="7" max="26" width="8.71"/>
  </cols>
  <sheetData>
    <row r="1" ht="14.25" customHeight="1">
      <c r="A1" s="9" t="s">
        <v>51</v>
      </c>
      <c r="B1" s="9" t="s">
        <v>52</v>
      </c>
      <c r="C1" s="9" t="s">
        <v>53</v>
      </c>
      <c r="D1" s="9" t="s">
        <v>54</v>
      </c>
      <c r="E1" s="9" t="s">
        <v>55</v>
      </c>
      <c r="F1" s="9" t="s">
        <v>56</v>
      </c>
    </row>
    <row r="2" ht="14.25" customHeight="1">
      <c r="A2" s="4" t="s">
        <v>57</v>
      </c>
      <c r="B2" s="4" t="s">
        <v>58</v>
      </c>
      <c r="C2" s="4" t="s">
        <v>59</v>
      </c>
      <c r="D2" s="4" t="s">
        <v>60</v>
      </c>
      <c r="E2" s="6" t="s">
        <v>61</v>
      </c>
      <c r="F2" s="4" t="s">
        <v>62</v>
      </c>
    </row>
    <row r="3" ht="14.25" customHeight="1">
      <c r="A3" s="4" t="s">
        <v>63</v>
      </c>
      <c r="B3" s="4" t="s">
        <v>64</v>
      </c>
      <c r="C3" s="4" t="s">
        <v>65</v>
      </c>
      <c r="D3" s="4" t="s">
        <v>66</v>
      </c>
      <c r="E3" s="6" t="s">
        <v>61</v>
      </c>
      <c r="F3" s="4" t="s">
        <v>62</v>
      </c>
    </row>
    <row r="4" ht="14.25" customHeight="1">
      <c r="A4" s="4" t="s">
        <v>67</v>
      </c>
      <c r="B4" s="4" t="s">
        <v>68</v>
      </c>
      <c r="C4" s="4" t="s">
        <v>69</v>
      </c>
      <c r="D4" s="4" t="s">
        <v>70</v>
      </c>
      <c r="E4" s="6" t="s">
        <v>71</v>
      </c>
      <c r="F4" s="4" t="s">
        <v>62</v>
      </c>
    </row>
    <row r="5" ht="14.25" customHeight="1">
      <c r="A5" s="4" t="s">
        <v>72</v>
      </c>
      <c r="B5" s="4" t="s">
        <v>73</v>
      </c>
      <c r="C5" s="4" t="s">
        <v>74</v>
      </c>
      <c r="D5" s="4" t="s">
        <v>75</v>
      </c>
      <c r="E5" s="6" t="s">
        <v>61</v>
      </c>
      <c r="F5" s="4" t="s">
        <v>62</v>
      </c>
    </row>
    <row r="6" ht="14.25" customHeight="1">
      <c r="A6" s="4" t="s">
        <v>76</v>
      </c>
      <c r="B6" s="4" t="s">
        <v>77</v>
      </c>
      <c r="C6" s="4" t="s">
        <v>78</v>
      </c>
      <c r="D6" s="4" t="s">
        <v>79</v>
      </c>
      <c r="E6" s="6" t="s">
        <v>61</v>
      </c>
      <c r="F6" s="4" t="s">
        <v>62</v>
      </c>
    </row>
    <row r="7" ht="14.25" customHeight="1">
      <c r="A7" s="4" t="s">
        <v>80</v>
      </c>
      <c r="B7" s="4" t="s">
        <v>81</v>
      </c>
      <c r="C7" s="4" t="s">
        <v>82</v>
      </c>
      <c r="D7" s="4" t="s">
        <v>83</v>
      </c>
      <c r="E7" s="6" t="s">
        <v>71</v>
      </c>
      <c r="F7" s="4" t="s">
        <v>62</v>
      </c>
    </row>
    <row r="8" ht="14.25" customHeight="1">
      <c r="A8" s="4" t="s">
        <v>84</v>
      </c>
      <c r="B8" s="4" t="s">
        <v>85</v>
      </c>
      <c r="C8" s="4" t="s">
        <v>86</v>
      </c>
      <c r="D8" s="4" t="s">
        <v>87</v>
      </c>
      <c r="E8" s="6" t="s">
        <v>88</v>
      </c>
      <c r="F8" s="4" t="s">
        <v>62</v>
      </c>
    </row>
    <row r="9" ht="14.25" customHeight="1">
      <c r="A9" s="4" t="s">
        <v>89</v>
      </c>
      <c r="B9" s="4" t="s">
        <v>90</v>
      </c>
      <c r="C9" s="4" t="s">
        <v>91</v>
      </c>
      <c r="D9" s="4" t="s">
        <v>92</v>
      </c>
      <c r="E9" s="6" t="s">
        <v>61</v>
      </c>
      <c r="F9" s="4" t="s">
        <v>62</v>
      </c>
    </row>
    <row r="10" ht="14.25" customHeight="1">
      <c r="A10" s="4" t="s">
        <v>93</v>
      </c>
      <c r="B10" s="4" t="s">
        <v>94</v>
      </c>
      <c r="C10" s="4" t="s">
        <v>95</v>
      </c>
      <c r="D10" s="4" t="s">
        <v>96</v>
      </c>
      <c r="E10" s="6" t="s">
        <v>71</v>
      </c>
      <c r="F10" s="4" t="s">
        <v>62</v>
      </c>
    </row>
    <row r="11" ht="14.25" customHeight="1">
      <c r="A11" s="4" t="s">
        <v>97</v>
      </c>
      <c r="B11" s="4" t="s">
        <v>98</v>
      </c>
      <c r="C11" s="4" t="s">
        <v>99</v>
      </c>
      <c r="D11" s="4" t="s">
        <v>100</v>
      </c>
      <c r="E11" s="6" t="s">
        <v>71</v>
      </c>
      <c r="F11" s="4" t="s">
        <v>62</v>
      </c>
    </row>
    <row r="12" ht="14.25" customHeight="1">
      <c r="A12" s="4" t="s">
        <v>101</v>
      </c>
      <c r="B12" s="4" t="s">
        <v>102</v>
      </c>
      <c r="C12" s="4" t="s">
        <v>103</v>
      </c>
      <c r="D12" s="4" t="s">
        <v>104</v>
      </c>
      <c r="E12" s="6" t="s">
        <v>71</v>
      </c>
      <c r="F12" s="4" t="s">
        <v>62</v>
      </c>
    </row>
    <row r="13" ht="14.25" customHeight="1">
      <c r="A13" s="4" t="s">
        <v>105</v>
      </c>
      <c r="B13" s="4" t="s">
        <v>106</v>
      </c>
      <c r="C13" s="4" t="s">
        <v>107</v>
      </c>
      <c r="D13" s="4" t="s">
        <v>108</v>
      </c>
      <c r="E13" s="6" t="s">
        <v>61</v>
      </c>
      <c r="F13" s="4" t="s">
        <v>62</v>
      </c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F$13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8.0"/>
    <col customWidth="1" min="3" max="3" width="24.0"/>
    <col customWidth="1" min="4" max="4" width="28.0"/>
    <col customWidth="1" min="5" max="5" width="18.0"/>
    <col customWidth="1" min="6" max="6" width="22.0"/>
    <col customWidth="1" min="7" max="7" width="28.0"/>
    <col customWidth="1" min="8" max="8" width="24.0"/>
    <col customWidth="1" min="9" max="9" width="20.0"/>
    <col customWidth="1" min="10" max="26" width="8.71"/>
  </cols>
  <sheetData>
    <row r="1" ht="14.25" customHeight="1">
      <c r="A1" s="9" t="s">
        <v>109</v>
      </c>
      <c r="B1" s="9" t="s">
        <v>51</v>
      </c>
      <c r="C1" s="9" t="s">
        <v>110</v>
      </c>
      <c r="D1" s="9" t="s">
        <v>111</v>
      </c>
      <c r="E1" s="9" t="s">
        <v>112</v>
      </c>
      <c r="F1" s="9" t="s">
        <v>113</v>
      </c>
      <c r="G1" s="9" t="s">
        <v>114</v>
      </c>
      <c r="H1" s="9" t="s">
        <v>115</v>
      </c>
      <c r="I1" s="9" t="s">
        <v>116</v>
      </c>
    </row>
    <row r="2" ht="14.25" customHeight="1">
      <c r="A2" s="4">
        <v>1.0</v>
      </c>
      <c r="B2" s="4" t="s">
        <v>117</v>
      </c>
      <c r="C2" s="4" t="s">
        <v>118</v>
      </c>
      <c r="D2" s="4" t="s">
        <v>119</v>
      </c>
      <c r="E2" s="4" t="s">
        <v>120</v>
      </c>
      <c r="F2" s="4" t="s">
        <v>121</v>
      </c>
      <c r="G2" s="4" t="s">
        <v>122</v>
      </c>
      <c r="H2" s="4" t="s">
        <v>123</v>
      </c>
      <c r="I2" s="4" t="s">
        <v>124</v>
      </c>
    </row>
    <row r="3" ht="14.25" customHeight="1">
      <c r="A3" s="4">
        <v>2.0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  <c r="H3" s="4" t="s">
        <v>131</v>
      </c>
      <c r="I3" s="4"/>
    </row>
    <row r="4" ht="14.25" customHeight="1">
      <c r="A4" s="4">
        <v>3.0</v>
      </c>
      <c r="B4" s="4" t="s">
        <v>132</v>
      </c>
      <c r="C4" s="4" t="s">
        <v>133</v>
      </c>
      <c r="D4" s="4" t="s">
        <v>134</v>
      </c>
      <c r="E4" s="4" t="s">
        <v>135</v>
      </c>
      <c r="F4" s="4" t="s">
        <v>136</v>
      </c>
      <c r="G4" s="4" t="s">
        <v>137</v>
      </c>
      <c r="H4" s="4" t="s">
        <v>138</v>
      </c>
      <c r="I4" s="4"/>
    </row>
    <row r="5" ht="14.25" customHeight="1">
      <c r="A5" s="4">
        <v>4.0</v>
      </c>
      <c r="B5" s="4" t="s">
        <v>139</v>
      </c>
      <c r="C5" s="4" t="s">
        <v>140</v>
      </c>
      <c r="D5" s="4" t="s">
        <v>141</v>
      </c>
      <c r="E5" s="4" t="s">
        <v>142</v>
      </c>
      <c r="F5" s="4" t="s">
        <v>143</v>
      </c>
      <c r="G5" s="4" t="s">
        <v>144</v>
      </c>
      <c r="H5" s="4" t="s">
        <v>145</v>
      </c>
      <c r="I5" s="4"/>
    </row>
    <row r="6" ht="14.25" customHeight="1">
      <c r="A6" s="4">
        <v>5.0</v>
      </c>
      <c r="B6" s="4" t="s">
        <v>146</v>
      </c>
      <c r="C6" s="4" t="s">
        <v>147</v>
      </c>
      <c r="D6" s="4" t="s">
        <v>148</v>
      </c>
      <c r="E6" s="4" t="s">
        <v>149</v>
      </c>
      <c r="F6" s="4" t="s">
        <v>150</v>
      </c>
      <c r="G6" s="4" t="s">
        <v>151</v>
      </c>
      <c r="H6" s="4" t="s">
        <v>152</v>
      </c>
      <c r="I6" s="4"/>
    </row>
    <row r="7" ht="14.25" customHeight="1">
      <c r="A7" s="4">
        <v>6.0</v>
      </c>
      <c r="B7" s="4" t="s">
        <v>153</v>
      </c>
      <c r="C7" s="4" t="s">
        <v>154</v>
      </c>
      <c r="D7" s="4" t="s">
        <v>155</v>
      </c>
      <c r="E7" s="4" t="s">
        <v>156</v>
      </c>
      <c r="F7" s="4" t="s">
        <v>157</v>
      </c>
      <c r="G7" s="4" t="s">
        <v>158</v>
      </c>
      <c r="H7" s="4" t="s">
        <v>159</v>
      </c>
      <c r="I7" s="4"/>
    </row>
    <row r="8" ht="14.25" customHeight="1">
      <c r="A8" s="4">
        <v>7.0</v>
      </c>
      <c r="B8" s="4" t="s">
        <v>160</v>
      </c>
      <c r="C8" s="4" t="s">
        <v>161</v>
      </c>
      <c r="D8" s="4" t="s">
        <v>162</v>
      </c>
      <c r="E8" s="4" t="s">
        <v>163</v>
      </c>
      <c r="F8" s="4" t="s">
        <v>164</v>
      </c>
      <c r="G8" s="4" t="s">
        <v>165</v>
      </c>
      <c r="H8" s="4" t="s">
        <v>166</v>
      </c>
      <c r="I8" s="4"/>
    </row>
    <row r="9" ht="14.25" customHeight="1">
      <c r="A9" s="4">
        <v>8.0</v>
      </c>
      <c r="B9" s="4" t="s">
        <v>167</v>
      </c>
      <c r="C9" s="4" t="s">
        <v>168</v>
      </c>
      <c r="D9" s="4" t="s">
        <v>169</v>
      </c>
      <c r="E9" s="4" t="s">
        <v>170</v>
      </c>
      <c r="F9" s="4" t="s">
        <v>171</v>
      </c>
      <c r="G9" s="4" t="s">
        <v>172</v>
      </c>
      <c r="H9" s="4" t="s">
        <v>173</v>
      </c>
      <c r="I9" s="4"/>
    </row>
    <row r="10" ht="14.25" customHeight="1">
      <c r="A10" s="4">
        <v>9.0</v>
      </c>
      <c r="B10" s="4" t="s">
        <v>174</v>
      </c>
      <c r="C10" s="4" t="s">
        <v>175</v>
      </c>
      <c r="D10" s="4" t="s">
        <v>176</v>
      </c>
      <c r="E10" s="4" t="s">
        <v>177</v>
      </c>
      <c r="F10" s="4" t="s">
        <v>178</v>
      </c>
      <c r="G10" s="4" t="s">
        <v>179</v>
      </c>
      <c r="H10" s="4" t="s">
        <v>180</v>
      </c>
      <c r="I10" s="4"/>
    </row>
    <row r="11" ht="14.25" customHeight="1">
      <c r="A11" s="4">
        <v>10.0</v>
      </c>
      <c r="B11" s="4" t="s">
        <v>181</v>
      </c>
      <c r="C11" s="4" t="s">
        <v>182</v>
      </c>
      <c r="D11" s="4" t="s">
        <v>183</v>
      </c>
      <c r="E11" s="4" t="s">
        <v>184</v>
      </c>
      <c r="F11" s="4" t="s">
        <v>185</v>
      </c>
      <c r="G11" s="4" t="s">
        <v>186</v>
      </c>
      <c r="H11" s="4" t="s">
        <v>187</v>
      </c>
      <c r="I11" s="4"/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I$11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28.0"/>
    <col customWidth="1" min="27" max="27" width="8.71"/>
    <col customWidth="1" min="28" max="28" width="22.0"/>
    <col customWidth="1" min="29" max="30" width="18.0"/>
    <col customWidth="1" min="31" max="31" width="19.0"/>
    <col customWidth="1" min="32" max="32" width="20.0"/>
    <col customWidth="1" min="33" max="33" width="18.0"/>
    <col customWidth="1" min="34" max="34" width="19.0"/>
    <col customWidth="1" min="35" max="35" width="25.0"/>
    <col customWidth="1" min="36" max="38" width="18.0"/>
    <col customWidth="1" min="39" max="52" width="8.71"/>
  </cols>
  <sheetData>
    <row r="1" ht="14.25" customHeight="1">
      <c r="A1" s="10" t="s">
        <v>188</v>
      </c>
      <c r="B1" s="10" t="s">
        <v>189</v>
      </c>
      <c r="C1" s="10" t="s">
        <v>190</v>
      </c>
      <c r="D1" s="10" t="s">
        <v>191</v>
      </c>
      <c r="E1" s="10" t="s">
        <v>192</v>
      </c>
      <c r="F1" s="10" t="s">
        <v>193</v>
      </c>
      <c r="G1" s="10" t="s">
        <v>194</v>
      </c>
      <c r="H1" s="10" t="s">
        <v>195</v>
      </c>
      <c r="I1" s="10" t="s">
        <v>196</v>
      </c>
      <c r="J1" s="10" t="s">
        <v>197</v>
      </c>
      <c r="K1" s="10" t="s">
        <v>198</v>
      </c>
      <c r="L1" s="10" t="s">
        <v>199</v>
      </c>
      <c r="M1" s="10" t="s">
        <v>200</v>
      </c>
      <c r="N1" s="10" t="s">
        <v>201</v>
      </c>
      <c r="O1" s="10" t="s">
        <v>202</v>
      </c>
      <c r="P1" s="9" t="s">
        <v>203</v>
      </c>
      <c r="Q1" s="9" t="s">
        <v>204</v>
      </c>
      <c r="R1" s="9" t="s">
        <v>205</v>
      </c>
      <c r="S1" s="9" t="s">
        <v>206</v>
      </c>
      <c r="T1" s="9" t="s">
        <v>207</v>
      </c>
      <c r="U1" s="9" t="s">
        <v>208</v>
      </c>
      <c r="V1" s="9" t="s">
        <v>209</v>
      </c>
      <c r="W1" s="9" t="s">
        <v>210</v>
      </c>
      <c r="X1" s="9" t="s">
        <v>211</v>
      </c>
      <c r="Y1" s="9" t="s">
        <v>212</v>
      </c>
      <c r="Z1" s="9" t="s">
        <v>213</v>
      </c>
      <c r="AB1" s="9" t="s">
        <v>214</v>
      </c>
      <c r="AC1" s="10" t="s">
        <v>215</v>
      </c>
      <c r="AD1" s="10" t="s">
        <v>216</v>
      </c>
      <c r="AE1" s="10" t="s">
        <v>217</v>
      </c>
      <c r="AF1" s="10" t="s">
        <v>218</v>
      </c>
      <c r="AG1" s="10" t="s">
        <v>219</v>
      </c>
      <c r="AH1" s="10" t="s">
        <v>220</v>
      </c>
      <c r="AI1" s="10" t="s">
        <v>221</v>
      </c>
      <c r="AJ1" s="10" t="s">
        <v>222</v>
      </c>
      <c r="AK1" s="10" t="s">
        <v>223</v>
      </c>
      <c r="AL1" s="10" t="s">
        <v>224</v>
      </c>
      <c r="AM1" s="8" t="s">
        <v>225</v>
      </c>
      <c r="AN1" s="8" t="s">
        <v>226</v>
      </c>
      <c r="AO1" s="8" t="s">
        <v>227</v>
      </c>
      <c r="AP1" s="8" t="s">
        <v>228</v>
      </c>
      <c r="AQ1" s="8" t="s">
        <v>229</v>
      </c>
      <c r="AR1" s="8" t="s">
        <v>230</v>
      </c>
      <c r="AS1" s="8" t="s">
        <v>231</v>
      </c>
      <c r="AT1" s="8" t="s">
        <v>232</v>
      </c>
      <c r="AU1" s="8" t="s">
        <v>233</v>
      </c>
      <c r="AV1" s="8" t="s">
        <v>234</v>
      </c>
      <c r="AW1" s="8" t="s">
        <v>235</v>
      </c>
      <c r="AX1" s="8" t="s">
        <v>236</v>
      </c>
      <c r="AY1" s="8" t="s">
        <v>237</v>
      </c>
      <c r="AZ1" s="8" t="s">
        <v>238</v>
      </c>
    </row>
    <row r="2" ht="14.25" customHeight="1">
      <c r="A2" s="8" t="s">
        <v>239</v>
      </c>
      <c r="B2" s="8" t="s">
        <v>240</v>
      </c>
      <c r="C2" s="8" t="s">
        <v>241</v>
      </c>
      <c r="D2" s="8" t="s">
        <v>242</v>
      </c>
      <c r="E2" s="8" t="s">
        <v>243</v>
      </c>
      <c r="F2" s="8" t="s">
        <v>244</v>
      </c>
      <c r="G2" s="8" t="s">
        <v>245</v>
      </c>
      <c r="H2" s="8" t="s">
        <v>246</v>
      </c>
      <c r="I2" s="8" t="s">
        <v>71</v>
      </c>
      <c r="J2" s="8" t="s">
        <v>247</v>
      </c>
      <c r="K2" s="8" t="s">
        <v>248</v>
      </c>
      <c r="L2" s="8" t="s">
        <v>249</v>
      </c>
      <c r="M2" s="8" t="s">
        <v>250</v>
      </c>
      <c r="N2" s="8" t="s">
        <v>251</v>
      </c>
      <c r="O2" s="8" t="s">
        <v>252</v>
      </c>
      <c r="P2" s="11" t="s">
        <v>253</v>
      </c>
      <c r="Q2" s="11" t="s">
        <v>254</v>
      </c>
      <c r="R2" s="11" t="s">
        <v>255</v>
      </c>
      <c r="S2" s="11" t="s">
        <v>256</v>
      </c>
      <c r="T2" s="11" t="s">
        <v>257</v>
      </c>
      <c r="U2" s="11" t="s">
        <v>258</v>
      </c>
      <c r="V2" s="11" t="s">
        <v>259</v>
      </c>
      <c r="W2" s="11" t="s">
        <v>260</v>
      </c>
      <c r="X2" s="11" t="s">
        <v>245</v>
      </c>
      <c r="Y2" s="11" t="s">
        <v>261</v>
      </c>
      <c r="Z2" s="11" t="s">
        <v>246</v>
      </c>
      <c r="AB2" s="11" t="s">
        <v>203</v>
      </c>
      <c r="AC2" s="8" t="s">
        <v>262</v>
      </c>
      <c r="AD2" s="8" t="s">
        <v>263</v>
      </c>
      <c r="AE2" s="8" t="s">
        <v>264</v>
      </c>
      <c r="AF2" s="8" t="s">
        <v>265</v>
      </c>
      <c r="AG2" s="8" t="s">
        <v>241</v>
      </c>
      <c r="AH2" s="8" t="s">
        <v>266</v>
      </c>
      <c r="AI2" s="8" t="s">
        <v>218</v>
      </c>
      <c r="AJ2" s="8" t="s">
        <v>267</v>
      </c>
      <c r="AK2" s="8" t="s">
        <v>246</v>
      </c>
      <c r="AL2" s="8" t="s">
        <v>268</v>
      </c>
      <c r="AM2" s="8" t="s">
        <v>269</v>
      </c>
      <c r="AN2" s="8" t="s">
        <v>270</v>
      </c>
      <c r="AO2" s="8" t="s">
        <v>271</v>
      </c>
      <c r="AP2" s="8" t="s">
        <v>272</v>
      </c>
      <c r="AQ2" s="8" t="s">
        <v>273</v>
      </c>
      <c r="AR2" s="8" t="s">
        <v>274</v>
      </c>
      <c r="AS2" s="8" t="s">
        <v>275</v>
      </c>
      <c r="AT2" s="8" t="s">
        <v>276</v>
      </c>
      <c r="AU2" s="8" t="s">
        <v>246</v>
      </c>
      <c r="AV2" s="8" t="s">
        <v>277</v>
      </c>
      <c r="AW2" s="8" t="s">
        <v>278</v>
      </c>
      <c r="AX2" s="8" t="s">
        <v>279</v>
      </c>
      <c r="AY2" s="8" t="s">
        <v>280</v>
      </c>
      <c r="AZ2" s="8" t="s">
        <v>267</v>
      </c>
    </row>
    <row r="3" ht="14.25" customHeight="1">
      <c r="A3" s="8" t="s">
        <v>281</v>
      </c>
      <c r="B3" s="8" t="s">
        <v>282</v>
      </c>
      <c r="C3" s="8" t="s">
        <v>283</v>
      </c>
      <c r="D3" s="8" t="s">
        <v>268</v>
      </c>
      <c r="E3" s="8" t="s">
        <v>284</v>
      </c>
      <c r="F3" s="8" t="s">
        <v>285</v>
      </c>
      <c r="G3" s="8" t="s">
        <v>255</v>
      </c>
      <c r="H3" s="8" t="s">
        <v>286</v>
      </c>
      <c r="I3" s="8" t="s">
        <v>88</v>
      </c>
      <c r="J3" s="8" t="s">
        <v>287</v>
      </c>
      <c r="K3" s="8" t="s">
        <v>288</v>
      </c>
      <c r="L3" s="8" t="s">
        <v>289</v>
      </c>
      <c r="M3" s="8" t="s">
        <v>290</v>
      </c>
      <c r="N3" s="8" t="s">
        <v>291</v>
      </c>
      <c r="O3" s="8" t="s">
        <v>292</v>
      </c>
      <c r="P3" s="11" t="s">
        <v>293</v>
      </c>
      <c r="Q3" s="11" t="s">
        <v>294</v>
      </c>
      <c r="R3" s="11" t="s">
        <v>295</v>
      </c>
      <c r="S3" s="11" t="s">
        <v>296</v>
      </c>
      <c r="T3" s="11" t="s">
        <v>293</v>
      </c>
      <c r="U3" s="11" t="s">
        <v>297</v>
      </c>
      <c r="V3" s="11" t="s">
        <v>298</v>
      </c>
      <c r="W3" s="11" t="s">
        <v>299</v>
      </c>
      <c r="X3" s="11" t="s">
        <v>300</v>
      </c>
      <c r="Y3" s="11" t="s">
        <v>301</v>
      </c>
      <c r="Z3" s="11" t="s">
        <v>302</v>
      </c>
      <c r="AB3" s="11" t="s">
        <v>204</v>
      </c>
      <c r="AC3" s="8" t="s">
        <v>303</v>
      </c>
      <c r="AD3" s="8" t="s">
        <v>304</v>
      </c>
      <c r="AE3" s="8" t="s">
        <v>305</v>
      </c>
      <c r="AF3" s="8" t="s">
        <v>293</v>
      </c>
      <c r="AG3" s="8" t="s">
        <v>306</v>
      </c>
      <c r="AH3" s="8" t="s">
        <v>307</v>
      </c>
      <c r="AI3" s="8" t="s">
        <v>206</v>
      </c>
      <c r="AJ3" s="8" t="s">
        <v>243</v>
      </c>
      <c r="AK3" s="8" t="s">
        <v>286</v>
      </c>
      <c r="AL3" s="8" t="s">
        <v>242</v>
      </c>
      <c r="AM3" s="8" t="s">
        <v>308</v>
      </c>
      <c r="AN3" s="8" t="s">
        <v>309</v>
      </c>
      <c r="AO3" s="8" t="s">
        <v>310</v>
      </c>
      <c r="AP3" s="8" t="s">
        <v>311</v>
      </c>
      <c r="AQ3" s="8" t="s">
        <v>312</v>
      </c>
      <c r="AR3" s="8" t="s">
        <v>313</v>
      </c>
      <c r="AS3" s="8" t="s">
        <v>314</v>
      </c>
      <c r="AT3" s="8" t="s">
        <v>315</v>
      </c>
      <c r="AU3" s="8" t="s">
        <v>286</v>
      </c>
      <c r="AV3" s="8" t="s">
        <v>316</v>
      </c>
      <c r="AW3" s="8" t="s">
        <v>317</v>
      </c>
      <c r="AX3" s="8" t="s">
        <v>318</v>
      </c>
      <c r="AY3" s="8" t="s">
        <v>319</v>
      </c>
      <c r="AZ3" s="8" t="s">
        <v>243</v>
      </c>
    </row>
    <row r="4" ht="14.25" customHeight="1">
      <c r="A4" s="8" t="s">
        <v>320</v>
      </c>
      <c r="B4" s="8" t="s">
        <v>321</v>
      </c>
      <c r="C4" s="8" t="s">
        <v>306</v>
      </c>
      <c r="D4" s="8" t="s">
        <v>322</v>
      </c>
      <c r="E4" s="8" t="s">
        <v>323</v>
      </c>
      <c r="F4" s="8" t="s">
        <v>324</v>
      </c>
      <c r="I4" s="8" t="s">
        <v>325</v>
      </c>
      <c r="J4" s="8" t="s">
        <v>326</v>
      </c>
      <c r="K4" s="8" t="s">
        <v>327</v>
      </c>
      <c r="L4" s="8" t="s">
        <v>328</v>
      </c>
      <c r="M4" s="8" t="s">
        <v>328</v>
      </c>
      <c r="N4" s="8" t="s">
        <v>329</v>
      </c>
      <c r="O4" s="8" t="s">
        <v>330</v>
      </c>
      <c r="P4" s="11" t="s">
        <v>331</v>
      </c>
      <c r="Q4" s="11" t="s">
        <v>332</v>
      </c>
      <c r="R4" s="11" t="s">
        <v>333</v>
      </c>
      <c r="S4" s="11" t="s">
        <v>334</v>
      </c>
      <c r="T4" s="11" t="s">
        <v>335</v>
      </c>
      <c r="U4" s="11" t="s">
        <v>336</v>
      </c>
      <c r="V4" s="11" t="s">
        <v>255</v>
      </c>
      <c r="W4" s="11" t="s">
        <v>337</v>
      </c>
      <c r="X4" s="11" t="s">
        <v>255</v>
      </c>
      <c r="Y4" s="11" t="s">
        <v>338</v>
      </c>
      <c r="Z4" s="11" t="s">
        <v>286</v>
      </c>
      <c r="AB4" s="11" t="s">
        <v>205</v>
      </c>
      <c r="AC4" s="8" t="s">
        <v>339</v>
      </c>
      <c r="AD4" s="8" t="s">
        <v>340</v>
      </c>
      <c r="AE4" s="8" t="s">
        <v>341</v>
      </c>
      <c r="AF4" s="8" t="s">
        <v>342</v>
      </c>
      <c r="AG4" s="8" t="s">
        <v>343</v>
      </c>
      <c r="AH4" s="8" t="s">
        <v>344</v>
      </c>
      <c r="AI4" s="8" t="s">
        <v>345</v>
      </c>
      <c r="AJ4" s="8" t="s">
        <v>346</v>
      </c>
      <c r="AK4" s="8" t="s">
        <v>302</v>
      </c>
      <c r="AL4" s="8" t="s">
        <v>242</v>
      </c>
      <c r="AM4" s="8" t="s">
        <v>347</v>
      </c>
      <c r="AN4" s="8" t="s">
        <v>348</v>
      </c>
      <c r="AO4" s="8" t="s">
        <v>349</v>
      </c>
      <c r="AP4" s="8" t="s">
        <v>350</v>
      </c>
      <c r="AQ4" s="8" t="s">
        <v>351</v>
      </c>
      <c r="AR4" s="8" t="s">
        <v>352</v>
      </c>
      <c r="AS4" s="8" t="s">
        <v>353</v>
      </c>
      <c r="AT4" s="8" t="s">
        <v>354</v>
      </c>
      <c r="AU4" s="8" t="s">
        <v>355</v>
      </c>
      <c r="AV4" s="8" t="s">
        <v>356</v>
      </c>
      <c r="AW4" s="8" t="s">
        <v>357</v>
      </c>
      <c r="AX4" s="8" t="s">
        <v>358</v>
      </c>
      <c r="AY4" s="8" t="s">
        <v>359</v>
      </c>
      <c r="AZ4" s="8" t="s">
        <v>346</v>
      </c>
    </row>
    <row r="5" ht="14.25" customHeight="1">
      <c r="A5" s="8" t="s">
        <v>360</v>
      </c>
      <c r="B5" s="8" t="s">
        <v>361</v>
      </c>
      <c r="C5" s="8" t="s">
        <v>362</v>
      </c>
      <c r="E5" s="8" t="s">
        <v>363</v>
      </c>
      <c r="F5" s="8" t="s">
        <v>364</v>
      </c>
      <c r="K5" s="8" t="s">
        <v>365</v>
      </c>
      <c r="N5" s="8" t="s">
        <v>366</v>
      </c>
      <c r="O5" s="8" t="s">
        <v>367</v>
      </c>
      <c r="P5" s="11" t="s">
        <v>368</v>
      </c>
      <c r="Q5" s="11" t="s">
        <v>369</v>
      </c>
      <c r="S5" s="11" t="s">
        <v>370</v>
      </c>
      <c r="Y5" s="11" t="s">
        <v>371</v>
      </c>
      <c r="AB5" s="11" t="s">
        <v>206</v>
      </c>
      <c r="AC5" s="8" t="s">
        <v>372</v>
      </c>
      <c r="AD5" s="8" t="s">
        <v>373</v>
      </c>
      <c r="AE5" s="8" t="s">
        <v>374</v>
      </c>
      <c r="AF5" s="8" t="s">
        <v>375</v>
      </c>
      <c r="AG5" s="8" t="s">
        <v>376</v>
      </c>
      <c r="AH5" s="8" t="s">
        <v>377</v>
      </c>
      <c r="AI5" s="8" t="s">
        <v>208</v>
      </c>
      <c r="AM5" s="8" t="s">
        <v>378</v>
      </c>
      <c r="AO5" s="8" t="s">
        <v>379</v>
      </c>
      <c r="AR5" s="8" t="s">
        <v>380</v>
      </c>
      <c r="AT5" s="8" t="s">
        <v>381</v>
      </c>
      <c r="AU5" s="8" t="s">
        <v>382</v>
      </c>
      <c r="AX5" s="8" t="s">
        <v>383</v>
      </c>
      <c r="AY5" s="8" t="s">
        <v>384</v>
      </c>
      <c r="AZ5" s="8" t="s">
        <v>385</v>
      </c>
    </row>
    <row r="6" ht="14.25" customHeight="1">
      <c r="A6" s="8" t="s">
        <v>386</v>
      </c>
      <c r="B6" s="8" t="s">
        <v>387</v>
      </c>
      <c r="C6" s="8" t="s">
        <v>388</v>
      </c>
      <c r="F6" s="8" t="s">
        <v>389</v>
      </c>
      <c r="N6" s="8" t="s">
        <v>328</v>
      </c>
      <c r="O6" s="8" t="s">
        <v>390</v>
      </c>
      <c r="Y6" s="11" t="s">
        <v>391</v>
      </c>
      <c r="AB6" s="11" t="s">
        <v>345</v>
      </c>
      <c r="AC6" s="8" t="s">
        <v>392</v>
      </c>
      <c r="AD6" s="8" t="s">
        <v>393</v>
      </c>
      <c r="AG6" s="8" t="s">
        <v>394</v>
      </c>
      <c r="AI6" s="8" t="s">
        <v>395</v>
      </c>
      <c r="AR6" s="8" t="s">
        <v>396</v>
      </c>
      <c r="AT6" s="8" t="s">
        <v>397</v>
      </c>
      <c r="AU6" s="8" t="s">
        <v>398</v>
      </c>
    </row>
    <row r="7" ht="14.25" customHeight="1">
      <c r="A7" s="8" t="s">
        <v>399</v>
      </c>
      <c r="B7" s="8" t="s">
        <v>400</v>
      </c>
      <c r="C7" s="8" t="s">
        <v>401</v>
      </c>
      <c r="F7" s="8" t="s">
        <v>402</v>
      </c>
      <c r="O7" s="8" t="s">
        <v>403</v>
      </c>
      <c r="AB7" s="11" t="s">
        <v>208</v>
      </c>
      <c r="AC7" s="8" t="s">
        <v>403</v>
      </c>
      <c r="AD7" s="8" t="s">
        <v>404</v>
      </c>
      <c r="AG7" s="8" t="s">
        <v>362</v>
      </c>
    </row>
    <row r="8" ht="14.25" customHeight="1">
      <c r="A8" s="8" t="s">
        <v>405</v>
      </c>
      <c r="C8" s="8" t="s">
        <v>402</v>
      </c>
      <c r="F8" s="8" t="s">
        <v>406</v>
      </c>
      <c r="O8" s="8" t="s">
        <v>407</v>
      </c>
      <c r="AB8" s="11" t="s">
        <v>209</v>
      </c>
      <c r="AC8" s="8" t="s">
        <v>407</v>
      </c>
      <c r="AD8" s="8" t="s">
        <v>408</v>
      </c>
      <c r="AG8" s="8" t="s">
        <v>283</v>
      </c>
    </row>
    <row r="9" ht="14.25" customHeight="1">
      <c r="A9" s="8" t="s">
        <v>409</v>
      </c>
      <c r="C9" s="8" t="s">
        <v>410</v>
      </c>
      <c r="O9" s="8" t="s">
        <v>411</v>
      </c>
      <c r="AB9" s="11" t="s">
        <v>395</v>
      </c>
      <c r="AC9" s="8" t="s">
        <v>412</v>
      </c>
    </row>
    <row r="10" ht="14.25" customHeight="1">
      <c r="A10" s="8" t="s">
        <v>413</v>
      </c>
      <c r="C10" s="8" t="s">
        <v>414</v>
      </c>
      <c r="AB10" s="11" t="s">
        <v>211</v>
      </c>
    </row>
    <row r="11" ht="14.25" customHeight="1">
      <c r="A11" s="8" t="s">
        <v>415</v>
      </c>
      <c r="C11" s="8" t="s">
        <v>416</v>
      </c>
    </row>
    <row r="12" ht="14.25" customHeight="1">
      <c r="A12" s="8" t="s">
        <v>417</v>
      </c>
      <c r="C12" s="8" t="s">
        <v>418</v>
      </c>
    </row>
    <row r="13" ht="14.25" customHeight="1">
      <c r="A13" s="8" t="s">
        <v>419</v>
      </c>
      <c r="C13" s="8" t="s">
        <v>343</v>
      </c>
    </row>
    <row r="14" ht="14.25" customHeight="1">
      <c r="A14" s="8" t="s">
        <v>420</v>
      </c>
      <c r="C14" s="8" t="s">
        <v>376</v>
      </c>
    </row>
    <row r="15" ht="14.25" customHeight="1">
      <c r="A15" s="8" t="s">
        <v>421</v>
      </c>
      <c r="C15" s="8" t="s">
        <v>394</v>
      </c>
    </row>
    <row r="16" ht="14.25" customHeight="1">
      <c r="A16" s="8" t="s">
        <v>422</v>
      </c>
    </row>
    <row r="17" ht="14.25" customHeight="1">
      <c r="A17" s="8" t="s">
        <v>423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28.0"/>
    <col customWidth="1" min="3" max="3" width="30.0"/>
    <col customWidth="1" min="4" max="4" width="28.0"/>
    <col customWidth="1" min="5" max="5" width="24.0"/>
    <col customWidth="1" min="6" max="6" width="16.0"/>
    <col customWidth="1" min="7" max="7" width="10.0"/>
    <col customWidth="1" min="8" max="8" width="14.0"/>
    <col customWidth="1" min="9" max="9" width="12.0"/>
    <col customWidth="1" min="10" max="10" width="16.0"/>
    <col customWidth="1" min="11" max="11" width="24.0"/>
    <col customWidth="1" min="12" max="12" width="28.0"/>
    <col customWidth="1" min="13" max="13" width="16.0"/>
    <col customWidth="1" min="14" max="14" width="10.0"/>
    <col customWidth="1" min="15" max="15" width="30.0"/>
    <col customWidth="1" min="16" max="16" width="14.0"/>
    <col customWidth="1" min="17" max="17" width="16.0"/>
    <col customWidth="1" min="18" max="19" width="14.0"/>
    <col customWidth="1" min="20" max="20" width="12.0"/>
    <col customWidth="1" min="21" max="21" width="14.0"/>
    <col customWidth="1" min="22" max="22" width="12.0"/>
    <col customWidth="1" min="23" max="26" width="8.71"/>
  </cols>
  <sheetData>
    <row r="1" ht="14.25" customHeight="1">
      <c r="A1" s="9" t="s">
        <v>424</v>
      </c>
      <c r="B1" s="9" t="s">
        <v>425</v>
      </c>
      <c r="C1" s="9" t="s">
        <v>426</v>
      </c>
      <c r="D1" s="9" t="s">
        <v>302</v>
      </c>
      <c r="E1" s="9" t="s">
        <v>427</v>
      </c>
      <c r="F1" s="9" t="s">
        <v>428</v>
      </c>
      <c r="G1" s="9" t="s">
        <v>429</v>
      </c>
      <c r="H1" s="9" t="s">
        <v>430</v>
      </c>
      <c r="I1" s="9" t="s">
        <v>431</v>
      </c>
      <c r="J1" s="9" t="s">
        <v>432</v>
      </c>
      <c r="K1" s="9" t="s">
        <v>433</v>
      </c>
      <c r="L1" s="9" t="s">
        <v>434</v>
      </c>
      <c r="M1" s="9" t="s">
        <v>435</v>
      </c>
      <c r="N1" s="9" t="s">
        <v>436</v>
      </c>
      <c r="O1" s="9" t="s">
        <v>116</v>
      </c>
      <c r="P1" s="9" t="s">
        <v>437</v>
      </c>
      <c r="Q1" s="9" t="s">
        <v>438</v>
      </c>
      <c r="R1" s="9" t="s">
        <v>439</v>
      </c>
      <c r="S1" s="9" t="s">
        <v>440</v>
      </c>
      <c r="T1" s="9" t="s">
        <v>441</v>
      </c>
      <c r="U1" s="9" t="s">
        <v>442</v>
      </c>
      <c r="V1" s="9" t="s">
        <v>443</v>
      </c>
    </row>
    <row r="2" ht="14.25" customHeight="1">
      <c r="A2" s="6" t="s">
        <v>444</v>
      </c>
      <c r="B2" s="12" t="s">
        <v>445</v>
      </c>
      <c r="C2" s="12" t="s">
        <v>446</v>
      </c>
      <c r="D2" s="12" t="s">
        <v>239</v>
      </c>
      <c r="E2" s="12" t="s">
        <v>447</v>
      </c>
      <c r="F2" s="12" t="s">
        <v>240</v>
      </c>
      <c r="G2" s="12" t="s">
        <v>241</v>
      </c>
      <c r="H2" s="12" t="s">
        <v>244</v>
      </c>
      <c r="I2" s="13">
        <v>350.0</v>
      </c>
      <c r="J2" s="12" t="s">
        <v>243</v>
      </c>
      <c r="K2" s="12" t="s">
        <v>242</v>
      </c>
      <c r="L2" s="12" t="s">
        <v>448</v>
      </c>
      <c r="M2" s="12" t="s">
        <v>245</v>
      </c>
      <c r="N2" s="12" t="s">
        <v>245</v>
      </c>
      <c r="O2" s="12" t="s">
        <v>449</v>
      </c>
      <c r="P2" s="6" t="s">
        <v>245</v>
      </c>
      <c r="Q2" s="4" t="s">
        <v>319</v>
      </c>
      <c r="R2" s="14">
        <v>46023.0</v>
      </c>
      <c r="S2" s="14">
        <v>46387.0</v>
      </c>
      <c r="T2" s="4" t="s">
        <v>272</v>
      </c>
      <c r="U2" s="4" t="s">
        <v>450</v>
      </c>
      <c r="V2" s="4">
        <v>1.0</v>
      </c>
    </row>
    <row r="3" ht="14.25" customHeight="1">
      <c r="A3" s="6" t="s">
        <v>451</v>
      </c>
      <c r="B3" s="12" t="s">
        <v>452</v>
      </c>
      <c r="C3" s="12" t="s">
        <v>453</v>
      </c>
      <c r="D3" s="12" t="s">
        <v>281</v>
      </c>
      <c r="E3" s="12" t="s">
        <v>447</v>
      </c>
      <c r="F3" s="12" t="s">
        <v>240</v>
      </c>
      <c r="G3" s="12" t="s">
        <v>241</v>
      </c>
      <c r="H3" s="12" t="s">
        <v>244</v>
      </c>
      <c r="I3" s="13">
        <v>320.0</v>
      </c>
      <c r="J3" s="12" t="s">
        <v>243</v>
      </c>
      <c r="K3" s="12" t="s">
        <v>242</v>
      </c>
      <c r="L3" s="12" t="s">
        <v>454</v>
      </c>
      <c r="M3" s="12" t="s">
        <v>245</v>
      </c>
      <c r="N3" s="12" t="s">
        <v>245</v>
      </c>
      <c r="O3" s="12" t="s">
        <v>455</v>
      </c>
      <c r="P3" s="6" t="s">
        <v>245</v>
      </c>
      <c r="Q3" s="4"/>
      <c r="R3" s="14"/>
      <c r="S3" s="14"/>
      <c r="T3" s="4"/>
      <c r="U3" s="4"/>
      <c r="V3" s="4"/>
    </row>
    <row r="4" ht="14.25" customHeight="1">
      <c r="A4" s="6" t="s">
        <v>456</v>
      </c>
      <c r="B4" s="12" t="s">
        <v>457</v>
      </c>
      <c r="C4" s="12" t="s">
        <v>458</v>
      </c>
      <c r="D4" s="12" t="s">
        <v>409</v>
      </c>
      <c r="E4" s="12" t="s">
        <v>459</v>
      </c>
      <c r="F4" s="12" t="s">
        <v>240</v>
      </c>
      <c r="G4" s="12" t="s">
        <v>283</v>
      </c>
      <c r="H4" s="12" t="s">
        <v>285</v>
      </c>
      <c r="I4" s="13">
        <v>0.0</v>
      </c>
      <c r="J4" s="12" t="s">
        <v>243</v>
      </c>
      <c r="K4" s="12" t="s">
        <v>242</v>
      </c>
      <c r="L4" s="12" t="s">
        <v>460</v>
      </c>
      <c r="M4" s="12" t="s">
        <v>245</v>
      </c>
      <c r="N4" s="12" t="s">
        <v>245</v>
      </c>
      <c r="O4" s="12" t="s">
        <v>461</v>
      </c>
      <c r="P4" s="6" t="s">
        <v>245</v>
      </c>
      <c r="Q4" s="4"/>
      <c r="R4" s="14"/>
      <c r="S4" s="14"/>
      <c r="T4" s="4"/>
      <c r="U4" s="4"/>
      <c r="V4" s="4"/>
    </row>
    <row r="5" ht="14.25" customHeight="1">
      <c r="A5" s="6" t="s">
        <v>462</v>
      </c>
      <c r="B5" s="12" t="s">
        <v>463</v>
      </c>
      <c r="C5" s="12" t="s">
        <v>464</v>
      </c>
      <c r="D5" s="12" t="s">
        <v>239</v>
      </c>
      <c r="E5" s="12" t="s">
        <v>465</v>
      </c>
      <c r="F5" s="12" t="s">
        <v>240</v>
      </c>
      <c r="G5" s="12" t="s">
        <v>283</v>
      </c>
      <c r="H5" s="12" t="s">
        <v>285</v>
      </c>
      <c r="I5" s="13">
        <v>0.0</v>
      </c>
      <c r="J5" s="12" t="s">
        <v>243</v>
      </c>
      <c r="K5" s="12" t="s">
        <v>242</v>
      </c>
      <c r="L5" s="12" t="s">
        <v>466</v>
      </c>
      <c r="M5" s="12" t="s">
        <v>245</v>
      </c>
      <c r="N5" s="12" t="s">
        <v>245</v>
      </c>
      <c r="O5" s="12"/>
      <c r="P5" s="6" t="s">
        <v>245</v>
      </c>
      <c r="Q5" s="4"/>
      <c r="R5" s="14"/>
      <c r="S5" s="14"/>
      <c r="T5" s="4"/>
      <c r="U5" s="4"/>
      <c r="V5" s="4"/>
    </row>
    <row r="6" ht="14.25" customHeight="1">
      <c r="A6" s="4"/>
      <c r="B6" s="4"/>
      <c r="C6" s="4"/>
      <c r="D6" s="4"/>
      <c r="E6" s="4"/>
      <c r="F6" s="4"/>
      <c r="G6" s="4"/>
      <c r="H6" s="4"/>
      <c r="I6" s="15"/>
      <c r="J6" s="4"/>
      <c r="K6" s="4"/>
      <c r="L6" s="4"/>
      <c r="M6" s="4"/>
      <c r="N6" s="4"/>
      <c r="O6" s="4"/>
      <c r="P6" s="6"/>
      <c r="Q6" s="4"/>
      <c r="R6" s="14"/>
      <c r="S6" s="14"/>
      <c r="T6" s="4"/>
      <c r="U6" s="4"/>
      <c r="V6" s="4"/>
    </row>
    <row r="7" ht="14.25" customHeight="1">
      <c r="A7" s="4"/>
      <c r="B7" s="4"/>
      <c r="C7" s="4"/>
      <c r="D7" s="4"/>
      <c r="E7" s="4"/>
      <c r="F7" s="4"/>
      <c r="G7" s="4"/>
      <c r="H7" s="4"/>
      <c r="I7" s="15"/>
      <c r="J7" s="4"/>
      <c r="K7" s="4"/>
      <c r="L7" s="4"/>
      <c r="M7" s="4"/>
      <c r="N7" s="4"/>
      <c r="O7" s="4"/>
      <c r="P7" s="6"/>
      <c r="Q7" s="4"/>
      <c r="R7" s="14"/>
      <c r="S7" s="14"/>
      <c r="T7" s="4"/>
      <c r="U7" s="4"/>
      <c r="V7" s="4"/>
    </row>
    <row r="8" ht="14.25" customHeight="1">
      <c r="A8" s="4"/>
      <c r="B8" s="4"/>
      <c r="C8" s="4"/>
      <c r="D8" s="4"/>
      <c r="E8" s="4"/>
      <c r="F8" s="4"/>
      <c r="G8" s="4"/>
      <c r="H8" s="4"/>
      <c r="I8" s="15"/>
      <c r="J8" s="4"/>
      <c r="K8" s="4"/>
      <c r="L8" s="4"/>
      <c r="M8" s="4"/>
      <c r="N8" s="4"/>
      <c r="O8" s="4"/>
      <c r="P8" s="6"/>
      <c r="Q8" s="4"/>
      <c r="R8" s="14"/>
      <c r="S8" s="14"/>
      <c r="T8" s="4"/>
      <c r="U8" s="4"/>
      <c r="V8" s="4"/>
    </row>
    <row r="9" ht="14.25" customHeight="1">
      <c r="A9" s="4"/>
      <c r="B9" s="4"/>
      <c r="C9" s="4"/>
      <c r="D9" s="4"/>
      <c r="E9" s="4"/>
      <c r="F9" s="4"/>
      <c r="G9" s="4"/>
      <c r="H9" s="4"/>
      <c r="I9" s="15"/>
      <c r="J9" s="4"/>
      <c r="K9" s="4"/>
      <c r="L9" s="4"/>
      <c r="M9" s="4"/>
      <c r="N9" s="4"/>
      <c r="O9" s="4"/>
      <c r="P9" s="6"/>
      <c r="Q9" s="4"/>
      <c r="R9" s="14"/>
      <c r="S9" s="14"/>
      <c r="T9" s="4"/>
      <c r="U9" s="4"/>
      <c r="V9" s="4"/>
    </row>
    <row r="10" ht="14.25" customHeight="1">
      <c r="A10" s="4"/>
      <c r="B10" s="4"/>
      <c r="C10" s="4"/>
      <c r="D10" s="4"/>
      <c r="E10" s="4"/>
      <c r="F10" s="4"/>
      <c r="G10" s="4"/>
      <c r="H10" s="4"/>
      <c r="I10" s="15"/>
      <c r="J10" s="4"/>
      <c r="K10" s="4"/>
      <c r="L10" s="4"/>
      <c r="M10" s="4"/>
      <c r="N10" s="4"/>
      <c r="O10" s="4"/>
      <c r="P10" s="6"/>
      <c r="Q10" s="4"/>
      <c r="R10" s="4"/>
      <c r="S10" s="4"/>
      <c r="T10" s="4"/>
      <c r="U10" s="4"/>
      <c r="V10" s="4"/>
    </row>
    <row r="11" ht="14.25" customHeight="1">
      <c r="A11" s="4"/>
      <c r="B11" s="4"/>
      <c r="C11" s="4"/>
      <c r="D11" s="4"/>
      <c r="E11" s="4"/>
      <c r="F11" s="4"/>
      <c r="G11" s="4"/>
      <c r="H11" s="4"/>
      <c r="I11" s="15"/>
      <c r="J11" s="4"/>
      <c r="K11" s="4"/>
      <c r="L11" s="4"/>
      <c r="M11" s="4"/>
      <c r="N11" s="4"/>
      <c r="O11" s="4"/>
      <c r="P11" s="6"/>
      <c r="Q11" s="4"/>
      <c r="R11" s="4"/>
      <c r="S11" s="4"/>
      <c r="T11" s="4"/>
      <c r="U11" s="4"/>
      <c r="V11" s="4"/>
    </row>
    <row r="12" ht="14.25" customHeight="1">
      <c r="A12" s="4"/>
      <c r="B12" s="4"/>
      <c r="C12" s="4"/>
      <c r="D12" s="4"/>
      <c r="E12" s="4"/>
      <c r="F12" s="4"/>
      <c r="G12" s="4"/>
      <c r="H12" s="4"/>
      <c r="I12" s="15"/>
      <c r="J12" s="4"/>
      <c r="K12" s="4"/>
      <c r="L12" s="4"/>
      <c r="M12" s="4"/>
      <c r="N12" s="4"/>
      <c r="O12" s="4"/>
      <c r="P12" s="6"/>
      <c r="Q12" s="4"/>
      <c r="R12" s="4"/>
      <c r="S12" s="4"/>
      <c r="T12" s="4"/>
      <c r="U12" s="4"/>
      <c r="V12" s="4"/>
    </row>
    <row r="13" ht="14.25" customHeight="1">
      <c r="A13" s="4"/>
      <c r="B13" s="4"/>
      <c r="C13" s="4"/>
      <c r="D13" s="4"/>
      <c r="E13" s="4"/>
      <c r="F13" s="4"/>
      <c r="G13" s="4"/>
      <c r="H13" s="4"/>
      <c r="I13" s="15"/>
      <c r="J13" s="4"/>
      <c r="K13" s="4"/>
      <c r="L13" s="4"/>
      <c r="M13" s="4"/>
      <c r="N13" s="4"/>
      <c r="O13" s="4"/>
      <c r="P13" s="6"/>
      <c r="Q13" s="4"/>
      <c r="R13" s="4"/>
      <c r="S13" s="4"/>
      <c r="T13" s="4"/>
      <c r="U13" s="4"/>
      <c r="V13" s="4"/>
    </row>
    <row r="14" ht="14.25" customHeight="1">
      <c r="A14" s="4"/>
      <c r="B14" s="4"/>
      <c r="C14" s="4"/>
      <c r="D14" s="4"/>
      <c r="E14" s="4"/>
      <c r="F14" s="4"/>
      <c r="G14" s="4"/>
      <c r="H14" s="4"/>
      <c r="I14" s="15"/>
      <c r="J14" s="4"/>
      <c r="K14" s="4"/>
      <c r="L14" s="4"/>
      <c r="M14" s="4"/>
      <c r="N14" s="4"/>
      <c r="O14" s="4"/>
      <c r="P14" s="6"/>
      <c r="Q14" s="4"/>
      <c r="R14" s="4"/>
      <c r="S14" s="4"/>
      <c r="T14" s="4"/>
      <c r="U14" s="4"/>
      <c r="V14" s="4"/>
    </row>
    <row r="15" ht="14.25" customHeight="1">
      <c r="A15" s="4"/>
      <c r="B15" s="4"/>
      <c r="C15" s="4"/>
      <c r="D15" s="4"/>
      <c r="E15" s="4"/>
      <c r="F15" s="4"/>
      <c r="G15" s="4"/>
      <c r="H15" s="4"/>
      <c r="I15" s="15"/>
      <c r="J15" s="4"/>
      <c r="K15" s="4"/>
      <c r="L15" s="4"/>
      <c r="M15" s="4"/>
      <c r="N15" s="4"/>
      <c r="O15" s="4"/>
      <c r="P15" s="6"/>
      <c r="Q15" s="4"/>
      <c r="R15" s="4"/>
      <c r="S15" s="4"/>
      <c r="T15" s="4"/>
      <c r="U15" s="4"/>
      <c r="V15" s="4"/>
    </row>
    <row r="16" ht="14.25" customHeight="1">
      <c r="A16" s="4"/>
      <c r="B16" s="4"/>
      <c r="C16" s="4"/>
      <c r="D16" s="4"/>
      <c r="E16" s="4"/>
      <c r="F16" s="4"/>
      <c r="G16" s="4"/>
      <c r="H16" s="4"/>
      <c r="I16" s="15"/>
      <c r="J16" s="4"/>
      <c r="K16" s="4"/>
      <c r="L16" s="4"/>
      <c r="M16" s="4"/>
      <c r="N16" s="4"/>
      <c r="O16" s="4"/>
      <c r="P16" s="6"/>
      <c r="Q16" s="4"/>
      <c r="R16" s="4"/>
      <c r="S16" s="4"/>
      <c r="T16" s="4"/>
      <c r="U16" s="4"/>
      <c r="V16" s="4"/>
    </row>
    <row r="17" ht="14.25" customHeight="1">
      <c r="A17" s="4"/>
      <c r="B17" s="4"/>
      <c r="C17" s="4"/>
      <c r="D17" s="4"/>
      <c r="E17" s="4"/>
      <c r="F17" s="4"/>
      <c r="G17" s="4"/>
      <c r="H17" s="4"/>
      <c r="I17" s="15"/>
      <c r="J17" s="4"/>
      <c r="K17" s="4"/>
      <c r="L17" s="4"/>
      <c r="M17" s="4"/>
      <c r="N17" s="4"/>
      <c r="O17" s="4"/>
      <c r="P17" s="6"/>
      <c r="Q17" s="4"/>
      <c r="R17" s="4"/>
      <c r="S17" s="4"/>
      <c r="T17" s="4"/>
      <c r="U17" s="4"/>
      <c r="V17" s="4"/>
    </row>
    <row r="18" ht="14.25" customHeight="1">
      <c r="A18" s="4"/>
      <c r="B18" s="4"/>
      <c r="C18" s="4"/>
      <c r="D18" s="4"/>
      <c r="E18" s="4"/>
      <c r="F18" s="4"/>
      <c r="G18" s="4"/>
      <c r="H18" s="4"/>
      <c r="I18" s="15"/>
      <c r="J18" s="4"/>
      <c r="K18" s="4"/>
      <c r="L18" s="4"/>
      <c r="M18" s="4"/>
      <c r="N18" s="4"/>
      <c r="O18" s="4"/>
      <c r="P18" s="6"/>
      <c r="Q18" s="4"/>
      <c r="R18" s="4"/>
      <c r="S18" s="4"/>
      <c r="T18" s="4"/>
      <c r="U18" s="4"/>
      <c r="V18" s="4"/>
    </row>
    <row r="19" ht="14.25" customHeight="1">
      <c r="A19" s="4"/>
      <c r="B19" s="4"/>
      <c r="C19" s="4"/>
      <c r="D19" s="4"/>
      <c r="E19" s="4"/>
      <c r="F19" s="4"/>
      <c r="G19" s="4"/>
      <c r="H19" s="4"/>
      <c r="I19" s="15"/>
      <c r="J19" s="4"/>
      <c r="K19" s="4"/>
      <c r="L19" s="4"/>
      <c r="M19" s="4"/>
      <c r="N19" s="4"/>
      <c r="O19" s="4"/>
      <c r="P19" s="6"/>
      <c r="Q19" s="4"/>
      <c r="R19" s="4"/>
      <c r="S19" s="4"/>
      <c r="T19" s="4"/>
      <c r="U19" s="4"/>
      <c r="V19" s="4"/>
    </row>
    <row r="20" ht="14.25" customHeight="1">
      <c r="A20" s="4"/>
      <c r="B20" s="4"/>
      <c r="C20" s="4"/>
      <c r="D20" s="4"/>
      <c r="E20" s="4"/>
      <c r="F20" s="4"/>
      <c r="G20" s="4"/>
      <c r="H20" s="4"/>
      <c r="I20" s="15"/>
      <c r="J20" s="4"/>
      <c r="K20" s="4"/>
      <c r="L20" s="4"/>
      <c r="M20" s="4"/>
      <c r="N20" s="4"/>
      <c r="O20" s="4"/>
      <c r="P20" s="6"/>
      <c r="Q20" s="4"/>
      <c r="R20" s="4"/>
      <c r="S20" s="4"/>
      <c r="T20" s="4"/>
      <c r="U20" s="4"/>
      <c r="V20" s="4"/>
    </row>
    <row r="21" ht="14.25" customHeight="1">
      <c r="A21" s="4"/>
      <c r="B21" s="4"/>
      <c r="C21" s="4"/>
      <c r="D21" s="4"/>
      <c r="E21" s="4"/>
      <c r="F21" s="4"/>
      <c r="G21" s="4"/>
      <c r="H21" s="4"/>
      <c r="I21" s="15"/>
      <c r="J21" s="4"/>
      <c r="K21" s="4"/>
      <c r="L21" s="4"/>
      <c r="M21" s="4"/>
      <c r="N21" s="4"/>
      <c r="O21" s="4"/>
      <c r="P21" s="6"/>
      <c r="Q21" s="4"/>
      <c r="R21" s="4"/>
      <c r="S21" s="4"/>
      <c r="T21" s="4"/>
      <c r="U21" s="4"/>
      <c r="V21" s="4"/>
    </row>
    <row r="22" ht="14.25" customHeight="1">
      <c r="A22" s="4"/>
      <c r="B22" s="4"/>
      <c r="C22" s="4"/>
      <c r="D22" s="4"/>
      <c r="E22" s="4"/>
      <c r="F22" s="4"/>
      <c r="G22" s="4"/>
      <c r="H22" s="4"/>
      <c r="I22" s="15"/>
      <c r="J22" s="4"/>
      <c r="K22" s="4"/>
      <c r="L22" s="4"/>
      <c r="M22" s="4"/>
      <c r="N22" s="4"/>
      <c r="O22" s="4"/>
      <c r="P22" s="6"/>
      <c r="Q22" s="4"/>
      <c r="R22" s="4"/>
      <c r="S22" s="4"/>
      <c r="T22" s="4"/>
      <c r="U22" s="4"/>
      <c r="V22" s="4"/>
    </row>
    <row r="23" ht="14.25" customHeight="1">
      <c r="A23" s="4"/>
      <c r="B23" s="4"/>
      <c r="C23" s="4"/>
      <c r="D23" s="4"/>
      <c r="E23" s="4"/>
      <c r="F23" s="4"/>
      <c r="G23" s="4"/>
      <c r="H23" s="4"/>
      <c r="I23" s="15"/>
      <c r="J23" s="4"/>
      <c r="K23" s="4"/>
      <c r="L23" s="4"/>
      <c r="M23" s="4"/>
      <c r="N23" s="4"/>
      <c r="O23" s="4"/>
      <c r="P23" s="6"/>
      <c r="Q23" s="4"/>
      <c r="R23" s="4"/>
      <c r="S23" s="4"/>
      <c r="T23" s="4"/>
      <c r="U23" s="4"/>
      <c r="V23" s="4"/>
    </row>
    <row r="24" ht="14.25" customHeight="1">
      <c r="A24" s="4"/>
      <c r="B24" s="4"/>
      <c r="C24" s="4"/>
      <c r="D24" s="4"/>
      <c r="E24" s="4"/>
      <c r="F24" s="4"/>
      <c r="G24" s="4"/>
      <c r="H24" s="4"/>
      <c r="I24" s="15"/>
      <c r="J24" s="4"/>
      <c r="K24" s="4"/>
      <c r="L24" s="4"/>
      <c r="M24" s="4"/>
      <c r="N24" s="4"/>
      <c r="O24" s="4"/>
      <c r="P24" s="6"/>
      <c r="Q24" s="4"/>
      <c r="R24" s="4"/>
      <c r="S24" s="4"/>
      <c r="T24" s="4"/>
      <c r="U24" s="4"/>
      <c r="V24" s="4"/>
    </row>
    <row r="25" ht="14.25" customHeight="1">
      <c r="A25" s="4"/>
      <c r="B25" s="4"/>
      <c r="C25" s="4"/>
      <c r="D25" s="4"/>
      <c r="E25" s="4"/>
      <c r="F25" s="4"/>
      <c r="G25" s="4"/>
      <c r="H25" s="4"/>
      <c r="I25" s="15"/>
      <c r="J25" s="4"/>
      <c r="K25" s="4"/>
      <c r="L25" s="4"/>
      <c r="M25" s="4"/>
      <c r="N25" s="4"/>
      <c r="O25" s="4"/>
      <c r="P25" s="6"/>
      <c r="Q25" s="4"/>
      <c r="R25" s="4"/>
      <c r="S25" s="4"/>
      <c r="T25" s="4"/>
      <c r="U25" s="4"/>
      <c r="V25" s="4"/>
    </row>
    <row r="26" ht="14.25" customHeight="1">
      <c r="A26" s="4"/>
      <c r="B26" s="4"/>
      <c r="C26" s="4"/>
      <c r="D26" s="4"/>
      <c r="E26" s="4"/>
      <c r="F26" s="4"/>
      <c r="G26" s="4"/>
      <c r="H26" s="4"/>
      <c r="I26" s="15"/>
      <c r="J26" s="4"/>
      <c r="K26" s="4"/>
      <c r="L26" s="4"/>
      <c r="M26" s="4"/>
      <c r="N26" s="4"/>
      <c r="O26" s="4"/>
      <c r="P26" s="6"/>
      <c r="Q26" s="4"/>
      <c r="R26" s="4"/>
      <c r="S26" s="4"/>
      <c r="T26" s="4"/>
      <c r="U26" s="4"/>
      <c r="V26" s="4"/>
    </row>
    <row r="27" ht="14.25" customHeight="1">
      <c r="A27" s="4"/>
      <c r="B27" s="4"/>
      <c r="C27" s="4"/>
      <c r="D27" s="4"/>
      <c r="E27" s="4"/>
      <c r="F27" s="4"/>
      <c r="G27" s="4"/>
      <c r="H27" s="4"/>
      <c r="I27" s="15"/>
      <c r="J27" s="4"/>
      <c r="K27" s="4"/>
      <c r="L27" s="4"/>
      <c r="M27" s="4"/>
      <c r="N27" s="4"/>
      <c r="O27" s="4"/>
      <c r="P27" s="6"/>
      <c r="Q27" s="4"/>
      <c r="R27" s="4"/>
      <c r="S27" s="4"/>
      <c r="T27" s="4"/>
      <c r="U27" s="4"/>
      <c r="V27" s="4"/>
    </row>
    <row r="28" ht="14.25" customHeight="1">
      <c r="A28" s="4"/>
      <c r="B28" s="4"/>
      <c r="C28" s="4"/>
      <c r="D28" s="4"/>
      <c r="E28" s="4"/>
      <c r="F28" s="4"/>
      <c r="G28" s="4"/>
      <c r="H28" s="4"/>
      <c r="I28" s="15"/>
      <c r="J28" s="4"/>
      <c r="K28" s="4"/>
      <c r="L28" s="4"/>
      <c r="M28" s="4"/>
      <c r="N28" s="4"/>
      <c r="O28" s="4"/>
      <c r="P28" s="6"/>
      <c r="Q28" s="4"/>
      <c r="R28" s="4"/>
      <c r="S28" s="4"/>
      <c r="T28" s="4"/>
      <c r="U28" s="4"/>
      <c r="V28" s="4"/>
    </row>
    <row r="29" ht="14.25" customHeight="1">
      <c r="A29" s="4"/>
      <c r="B29" s="4"/>
      <c r="C29" s="4"/>
      <c r="D29" s="4"/>
      <c r="E29" s="4"/>
      <c r="F29" s="4"/>
      <c r="G29" s="4"/>
      <c r="H29" s="4"/>
      <c r="I29" s="15"/>
      <c r="J29" s="4"/>
      <c r="K29" s="4"/>
      <c r="L29" s="4"/>
      <c r="M29" s="4"/>
      <c r="N29" s="4"/>
      <c r="O29" s="4"/>
      <c r="P29" s="6"/>
      <c r="Q29" s="4"/>
      <c r="R29" s="4"/>
      <c r="S29" s="4"/>
      <c r="T29" s="4"/>
      <c r="U29" s="4"/>
      <c r="V29" s="4"/>
    </row>
    <row r="30" ht="14.25" customHeight="1">
      <c r="A30" s="4"/>
      <c r="B30" s="4"/>
      <c r="C30" s="4"/>
      <c r="D30" s="4"/>
      <c r="E30" s="4"/>
      <c r="F30" s="4"/>
      <c r="G30" s="4"/>
      <c r="H30" s="4"/>
      <c r="I30" s="15"/>
      <c r="J30" s="4"/>
      <c r="K30" s="4"/>
      <c r="L30" s="4"/>
      <c r="M30" s="4"/>
      <c r="N30" s="4"/>
      <c r="O30" s="4"/>
      <c r="P30" s="6"/>
      <c r="Q30" s="4"/>
      <c r="R30" s="4"/>
      <c r="S30" s="4"/>
      <c r="T30" s="4"/>
      <c r="U30" s="4"/>
      <c r="V30" s="4"/>
    </row>
    <row r="31" ht="14.25" customHeight="1">
      <c r="A31" s="4"/>
      <c r="B31" s="4"/>
      <c r="C31" s="4"/>
      <c r="D31" s="4"/>
      <c r="E31" s="4"/>
      <c r="F31" s="4"/>
      <c r="G31" s="4"/>
      <c r="H31" s="4"/>
      <c r="I31" s="15"/>
      <c r="J31" s="4"/>
      <c r="K31" s="4"/>
      <c r="L31" s="4"/>
      <c r="M31" s="4"/>
      <c r="N31" s="4"/>
      <c r="O31" s="4"/>
      <c r="P31" s="6"/>
      <c r="Q31" s="4"/>
      <c r="R31" s="4"/>
      <c r="S31" s="4"/>
      <c r="T31" s="4"/>
      <c r="U31" s="4"/>
      <c r="V31" s="4"/>
    </row>
    <row r="32" ht="14.25" customHeight="1">
      <c r="A32" s="4"/>
      <c r="B32" s="4"/>
      <c r="C32" s="4"/>
      <c r="D32" s="4"/>
      <c r="E32" s="4"/>
      <c r="F32" s="4"/>
      <c r="G32" s="4"/>
      <c r="H32" s="4"/>
      <c r="I32" s="15"/>
      <c r="J32" s="4"/>
      <c r="K32" s="4"/>
      <c r="L32" s="4"/>
      <c r="M32" s="4"/>
      <c r="N32" s="4"/>
      <c r="O32" s="4"/>
      <c r="P32" s="6"/>
      <c r="Q32" s="4"/>
      <c r="R32" s="4"/>
      <c r="S32" s="4"/>
      <c r="T32" s="4"/>
      <c r="U32" s="4"/>
      <c r="V32" s="4"/>
    </row>
    <row r="33" ht="14.25" customHeight="1">
      <c r="A33" s="4"/>
      <c r="B33" s="4"/>
      <c r="C33" s="4"/>
      <c r="D33" s="4"/>
      <c r="E33" s="4"/>
      <c r="F33" s="4"/>
      <c r="G33" s="4"/>
      <c r="H33" s="4"/>
      <c r="I33" s="15"/>
      <c r="J33" s="4"/>
      <c r="K33" s="4"/>
      <c r="L33" s="4"/>
      <c r="M33" s="4"/>
      <c r="N33" s="4"/>
      <c r="O33" s="4"/>
      <c r="P33" s="6"/>
      <c r="Q33" s="4"/>
      <c r="R33" s="4"/>
      <c r="S33" s="4"/>
      <c r="T33" s="4"/>
      <c r="U33" s="4"/>
      <c r="V33" s="4"/>
    </row>
    <row r="34" ht="14.25" customHeight="1">
      <c r="A34" s="4"/>
      <c r="B34" s="4"/>
      <c r="C34" s="4"/>
      <c r="D34" s="4"/>
      <c r="E34" s="4"/>
      <c r="F34" s="4"/>
      <c r="G34" s="4"/>
      <c r="H34" s="4"/>
      <c r="I34" s="15"/>
      <c r="J34" s="4"/>
      <c r="K34" s="4"/>
      <c r="L34" s="4"/>
      <c r="M34" s="4"/>
      <c r="N34" s="4"/>
      <c r="O34" s="4"/>
      <c r="P34" s="6"/>
      <c r="Q34" s="4"/>
      <c r="R34" s="4"/>
      <c r="S34" s="4"/>
      <c r="T34" s="4"/>
      <c r="U34" s="4"/>
      <c r="V34" s="4"/>
    </row>
    <row r="35" ht="14.25" customHeight="1">
      <c r="A35" s="4"/>
      <c r="B35" s="4"/>
      <c r="C35" s="4"/>
      <c r="D35" s="4"/>
      <c r="E35" s="4"/>
      <c r="F35" s="4"/>
      <c r="G35" s="4"/>
      <c r="H35" s="4"/>
      <c r="I35" s="15"/>
      <c r="J35" s="4"/>
      <c r="K35" s="4"/>
      <c r="L35" s="4"/>
      <c r="M35" s="4"/>
      <c r="N35" s="4"/>
      <c r="O35" s="4"/>
      <c r="P35" s="6"/>
      <c r="Q35" s="4"/>
      <c r="R35" s="4"/>
      <c r="S35" s="4"/>
      <c r="T35" s="4"/>
      <c r="U35" s="4"/>
      <c r="V35" s="4"/>
    </row>
    <row r="36" ht="14.25" customHeight="1">
      <c r="A36" s="4"/>
      <c r="B36" s="4"/>
      <c r="C36" s="4"/>
      <c r="D36" s="4"/>
      <c r="E36" s="4"/>
      <c r="F36" s="4"/>
      <c r="G36" s="4"/>
      <c r="H36" s="4"/>
      <c r="I36" s="15"/>
      <c r="J36" s="4"/>
      <c r="K36" s="4"/>
      <c r="L36" s="4"/>
      <c r="M36" s="4"/>
      <c r="N36" s="4"/>
      <c r="O36" s="4"/>
      <c r="P36" s="6"/>
      <c r="Q36" s="4"/>
      <c r="R36" s="4"/>
      <c r="S36" s="4"/>
      <c r="T36" s="4"/>
      <c r="U36" s="4"/>
      <c r="V36" s="4"/>
    </row>
    <row r="37" ht="14.25" customHeight="1">
      <c r="A37" s="4"/>
      <c r="B37" s="4"/>
      <c r="C37" s="4"/>
      <c r="D37" s="4"/>
      <c r="E37" s="4"/>
      <c r="F37" s="4"/>
      <c r="G37" s="4"/>
      <c r="H37" s="4"/>
      <c r="I37" s="15"/>
      <c r="J37" s="4"/>
      <c r="K37" s="4"/>
      <c r="L37" s="4"/>
      <c r="M37" s="4"/>
      <c r="N37" s="4"/>
      <c r="O37" s="4"/>
      <c r="P37" s="6"/>
      <c r="Q37" s="4"/>
      <c r="R37" s="4"/>
      <c r="S37" s="4"/>
      <c r="T37" s="4"/>
      <c r="U37" s="4"/>
      <c r="V37" s="4"/>
    </row>
    <row r="38" ht="14.25" customHeight="1">
      <c r="A38" s="4"/>
      <c r="B38" s="4"/>
      <c r="C38" s="4"/>
      <c r="D38" s="4"/>
      <c r="E38" s="4"/>
      <c r="F38" s="4"/>
      <c r="G38" s="4"/>
      <c r="H38" s="4"/>
      <c r="I38" s="15"/>
      <c r="J38" s="4"/>
      <c r="K38" s="4"/>
      <c r="L38" s="4"/>
      <c r="M38" s="4"/>
      <c r="N38" s="4"/>
      <c r="O38" s="4"/>
      <c r="P38" s="6"/>
      <c r="Q38" s="4"/>
      <c r="R38" s="4"/>
      <c r="S38" s="4"/>
      <c r="T38" s="4"/>
      <c r="U38" s="4"/>
      <c r="V38" s="4"/>
    </row>
    <row r="39" ht="14.25" customHeight="1">
      <c r="A39" s="4"/>
      <c r="B39" s="4"/>
      <c r="C39" s="4"/>
      <c r="D39" s="4"/>
      <c r="E39" s="4"/>
      <c r="F39" s="4"/>
      <c r="G39" s="4"/>
      <c r="H39" s="4"/>
      <c r="I39" s="15"/>
      <c r="J39" s="4"/>
      <c r="K39" s="4"/>
      <c r="L39" s="4"/>
      <c r="M39" s="4"/>
      <c r="N39" s="4"/>
      <c r="O39" s="4"/>
      <c r="P39" s="6"/>
      <c r="Q39" s="4"/>
      <c r="R39" s="4"/>
      <c r="S39" s="4"/>
      <c r="T39" s="4"/>
      <c r="U39" s="4"/>
      <c r="V39" s="4"/>
    </row>
    <row r="40" ht="14.25" customHeight="1">
      <c r="A40" s="4"/>
      <c r="B40" s="4"/>
      <c r="C40" s="4"/>
      <c r="D40" s="4"/>
      <c r="E40" s="4"/>
      <c r="F40" s="4"/>
      <c r="G40" s="4"/>
      <c r="H40" s="4"/>
      <c r="I40" s="15"/>
      <c r="J40" s="4"/>
      <c r="K40" s="4"/>
      <c r="L40" s="4"/>
      <c r="M40" s="4"/>
      <c r="N40" s="4"/>
      <c r="O40" s="4"/>
      <c r="P40" s="6"/>
      <c r="Q40" s="4"/>
      <c r="R40" s="4"/>
      <c r="S40" s="4"/>
      <c r="T40" s="4"/>
      <c r="U40" s="4"/>
      <c r="V40" s="4"/>
    </row>
    <row r="41" ht="14.25" customHeight="1">
      <c r="A41" s="4"/>
      <c r="B41" s="4"/>
      <c r="C41" s="4"/>
      <c r="D41" s="4"/>
      <c r="E41" s="4"/>
      <c r="F41" s="4"/>
      <c r="G41" s="4"/>
      <c r="H41" s="4"/>
      <c r="I41" s="15"/>
      <c r="J41" s="4"/>
      <c r="K41" s="4"/>
      <c r="L41" s="4"/>
      <c r="M41" s="4"/>
      <c r="N41" s="4"/>
      <c r="O41" s="4"/>
      <c r="P41" s="6"/>
      <c r="Q41" s="4"/>
      <c r="R41" s="4"/>
      <c r="S41" s="4"/>
      <c r="T41" s="4"/>
      <c r="U41" s="4"/>
      <c r="V41" s="4"/>
    </row>
    <row r="42" ht="14.25" customHeight="1">
      <c r="A42" s="4"/>
      <c r="B42" s="4"/>
      <c r="C42" s="4"/>
      <c r="D42" s="4"/>
      <c r="E42" s="4"/>
      <c r="F42" s="4"/>
      <c r="G42" s="4"/>
      <c r="H42" s="4"/>
      <c r="I42" s="15"/>
      <c r="J42" s="4"/>
      <c r="K42" s="4"/>
      <c r="L42" s="4"/>
      <c r="M42" s="4"/>
      <c r="N42" s="4"/>
      <c r="O42" s="4"/>
      <c r="P42" s="6"/>
      <c r="Q42" s="4"/>
      <c r="R42" s="4"/>
      <c r="S42" s="4"/>
      <c r="T42" s="4"/>
      <c r="U42" s="4"/>
      <c r="V42" s="4"/>
    </row>
    <row r="43" ht="14.25" customHeight="1">
      <c r="A43" s="4"/>
      <c r="B43" s="4"/>
      <c r="C43" s="4"/>
      <c r="D43" s="4"/>
      <c r="E43" s="4"/>
      <c r="F43" s="4"/>
      <c r="G43" s="4"/>
      <c r="H43" s="4"/>
      <c r="I43" s="15"/>
      <c r="J43" s="4"/>
      <c r="K43" s="4"/>
      <c r="L43" s="4"/>
      <c r="M43" s="4"/>
      <c r="N43" s="4"/>
      <c r="O43" s="4"/>
      <c r="P43" s="6"/>
      <c r="Q43" s="4"/>
      <c r="R43" s="4"/>
      <c r="S43" s="4"/>
      <c r="T43" s="4"/>
      <c r="U43" s="4"/>
      <c r="V43" s="4"/>
    </row>
    <row r="44" ht="14.25" customHeight="1">
      <c r="A44" s="4"/>
      <c r="B44" s="4"/>
      <c r="C44" s="4"/>
      <c r="D44" s="4"/>
      <c r="E44" s="4"/>
      <c r="F44" s="4"/>
      <c r="G44" s="4"/>
      <c r="H44" s="4"/>
      <c r="I44" s="15"/>
      <c r="J44" s="4"/>
      <c r="K44" s="4"/>
      <c r="L44" s="4"/>
      <c r="M44" s="4"/>
      <c r="N44" s="4"/>
      <c r="O44" s="4"/>
      <c r="P44" s="6"/>
      <c r="Q44" s="4"/>
      <c r="R44" s="4"/>
      <c r="S44" s="4"/>
      <c r="T44" s="4"/>
      <c r="U44" s="4"/>
      <c r="V44" s="4"/>
    </row>
    <row r="45" ht="14.25" customHeight="1">
      <c r="A45" s="4"/>
      <c r="B45" s="4"/>
      <c r="C45" s="4"/>
      <c r="D45" s="4"/>
      <c r="E45" s="4"/>
      <c r="F45" s="4"/>
      <c r="G45" s="4"/>
      <c r="H45" s="4"/>
      <c r="I45" s="15"/>
      <c r="J45" s="4"/>
      <c r="K45" s="4"/>
      <c r="L45" s="4"/>
      <c r="M45" s="4"/>
      <c r="N45" s="4"/>
      <c r="O45" s="4"/>
      <c r="P45" s="6"/>
      <c r="Q45" s="4"/>
      <c r="R45" s="4"/>
      <c r="S45" s="4"/>
      <c r="T45" s="4"/>
      <c r="U45" s="4"/>
      <c r="V45" s="4"/>
    </row>
    <row r="46" ht="14.25" customHeight="1">
      <c r="A46" s="4"/>
      <c r="B46" s="4"/>
      <c r="C46" s="4"/>
      <c r="D46" s="4"/>
      <c r="E46" s="4"/>
      <c r="F46" s="4"/>
      <c r="G46" s="4"/>
      <c r="H46" s="4"/>
      <c r="I46" s="15"/>
      <c r="J46" s="4"/>
      <c r="K46" s="4"/>
      <c r="L46" s="4"/>
      <c r="M46" s="4"/>
      <c r="N46" s="4"/>
      <c r="O46" s="4"/>
      <c r="P46" s="6"/>
      <c r="Q46" s="4"/>
      <c r="R46" s="4"/>
      <c r="S46" s="4"/>
      <c r="T46" s="4"/>
      <c r="U46" s="4"/>
      <c r="V46" s="4"/>
    </row>
    <row r="47" ht="14.25" customHeight="1">
      <c r="A47" s="4"/>
      <c r="B47" s="4"/>
      <c r="C47" s="4"/>
      <c r="D47" s="4"/>
      <c r="E47" s="4"/>
      <c r="F47" s="4"/>
      <c r="G47" s="4"/>
      <c r="H47" s="4"/>
      <c r="I47" s="15"/>
      <c r="J47" s="4"/>
      <c r="K47" s="4"/>
      <c r="L47" s="4"/>
      <c r="M47" s="4"/>
      <c r="N47" s="4"/>
      <c r="O47" s="4"/>
      <c r="P47" s="6"/>
      <c r="Q47" s="4"/>
      <c r="R47" s="4"/>
      <c r="S47" s="4"/>
      <c r="T47" s="4"/>
      <c r="U47" s="4"/>
      <c r="V47" s="4"/>
    </row>
    <row r="48" ht="14.25" customHeight="1">
      <c r="A48" s="4"/>
      <c r="B48" s="4"/>
      <c r="C48" s="4"/>
      <c r="D48" s="4"/>
      <c r="E48" s="4"/>
      <c r="F48" s="4"/>
      <c r="G48" s="4"/>
      <c r="H48" s="4"/>
      <c r="I48" s="15"/>
      <c r="J48" s="4"/>
      <c r="K48" s="4"/>
      <c r="L48" s="4"/>
      <c r="M48" s="4"/>
      <c r="N48" s="4"/>
      <c r="O48" s="4"/>
      <c r="P48" s="6"/>
      <c r="Q48" s="4"/>
      <c r="R48" s="4"/>
      <c r="S48" s="4"/>
      <c r="T48" s="4"/>
      <c r="U48" s="4"/>
      <c r="V48" s="4"/>
    </row>
    <row r="49" ht="14.25" customHeight="1">
      <c r="A49" s="4"/>
      <c r="B49" s="4"/>
      <c r="C49" s="4"/>
      <c r="D49" s="4"/>
      <c r="E49" s="4"/>
      <c r="F49" s="4"/>
      <c r="G49" s="4"/>
      <c r="H49" s="4"/>
      <c r="I49" s="15"/>
      <c r="J49" s="4"/>
      <c r="K49" s="4"/>
      <c r="L49" s="4"/>
      <c r="M49" s="4"/>
      <c r="N49" s="4"/>
      <c r="O49" s="4"/>
      <c r="P49" s="6"/>
      <c r="Q49" s="4"/>
      <c r="R49" s="4"/>
      <c r="S49" s="4"/>
      <c r="T49" s="4"/>
      <c r="U49" s="4"/>
      <c r="V49" s="4"/>
    </row>
    <row r="50" ht="14.25" customHeight="1">
      <c r="A50" s="4"/>
      <c r="B50" s="4"/>
      <c r="C50" s="4"/>
      <c r="D50" s="4"/>
      <c r="E50" s="4"/>
      <c r="F50" s="4"/>
      <c r="G50" s="4"/>
      <c r="H50" s="4"/>
      <c r="I50" s="15"/>
      <c r="J50" s="4"/>
      <c r="K50" s="4"/>
      <c r="L50" s="4"/>
      <c r="M50" s="4"/>
      <c r="N50" s="4"/>
      <c r="O50" s="4"/>
      <c r="P50" s="6"/>
      <c r="Q50" s="4"/>
      <c r="R50" s="4"/>
      <c r="S50" s="4"/>
      <c r="T50" s="4"/>
      <c r="U50" s="4"/>
      <c r="V50" s="4"/>
    </row>
    <row r="51" ht="14.25" customHeight="1">
      <c r="A51" s="4"/>
      <c r="B51" s="4"/>
      <c r="C51" s="4"/>
      <c r="D51" s="4"/>
      <c r="E51" s="4"/>
      <c r="F51" s="4"/>
      <c r="G51" s="4"/>
      <c r="H51" s="4"/>
      <c r="I51" s="15"/>
      <c r="J51" s="4"/>
      <c r="K51" s="4"/>
      <c r="L51" s="4"/>
      <c r="M51" s="4"/>
      <c r="N51" s="4"/>
      <c r="O51" s="4"/>
      <c r="P51" s="6"/>
      <c r="Q51" s="4"/>
      <c r="R51" s="4"/>
      <c r="S51" s="4"/>
      <c r="T51" s="4"/>
      <c r="U51" s="4"/>
      <c r="V51" s="4"/>
    </row>
    <row r="52" ht="14.25" customHeight="1">
      <c r="A52" s="4"/>
      <c r="B52" s="4"/>
      <c r="C52" s="4"/>
      <c r="D52" s="4"/>
      <c r="E52" s="4"/>
      <c r="F52" s="4"/>
      <c r="G52" s="4"/>
      <c r="H52" s="4"/>
      <c r="I52" s="15"/>
      <c r="J52" s="4"/>
      <c r="K52" s="4"/>
      <c r="L52" s="4"/>
      <c r="M52" s="4"/>
      <c r="N52" s="4"/>
      <c r="O52" s="4"/>
      <c r="P52" s="6"/>
      <c r="Q52" s="4"/>
      <c r="R52" s="4"/>
      <c r="S52" s="4"/>
      <c r="T52" s="4"/>
      <c r="U52" s="4"/>
      <c r="V52" s="4"/>
    </row>
    <row r="53" ht="14.25" customHeight="1">
      <c r="A53" s="4"/>
      <c r="B53" s="4"/>
      <c r="C53" s="4"/>
      <c r="D53" s="4"/>
      <c r="E53" s="4"/>
      <c r="F53" s="4"/>
      <c r="G53" s="4"/>
      <c r="H53" s="4"/>
      <c r="I53" s="15"/>
      <c r="J53" s="4"/>
      <c r="K53" s="4"/>
      <c r="L53" s="4"/>
      <c r="M53" s="4"/>
      <c r="N53" s="4"/>
      <c r="O53" s="4"/>
      <c r="P53" s="6"/>
      <c r="Q53" s="4"/>
      <c r="R53" s="4"/>
      <c r="S53" s="4"/>
      <c r="T53" s="4"/>
      <c r="U53" s="4"/>
      <c r="V53" s="4"/>
    </row>
    <row r="54" ht="14.25" customHeight="1">
      <c r="A54" s="4"/>
      <c r="B54" s="4"/>
      <c r="C54" s="4"/>
      <c r="D54" s="4"/>
      <c r="E54" s="4"/>
      <c r="F54" s="4"/>
      <c r="G54" s="4"/>
      <c r="H54" s="4"/>
      <c r="I54" s="15"/>
      <c r="J54" s="4"/>
      <c r="K54" s="4"/>
      <c r="L54" s="4"/>
      <c r="M54" s="4"/>
      <c r="N54" s="4"/>
      <c r="O54" s="4"/>
      <c r="P54" s="6"/>
      <c r="Q54" s="4"/>
      <c r="R54" s="4"/>
      <c r="S54" s="4"/>
      <c r="T54" s="4"/>
      <c r="U54" s="4"/>
      <c r="V54" s="4"/>
    </row>
    <row r="55" ht="14.25" customHeight="1">
      <c r="A55" s="4"/>
      <c r="B55" s="4"/>
      <c r="C55" s="4"/>
      <c r="D55" s="4"/>
      <c r="E55" s="4"/>
      <c r="F55" s="4"/>
      <c r="G55" s="4"/>
      <c r="H55" s="4"/>
      <c r="I55" s="15"/>
      <c r="J55" s="4"/>
      <c r="K55" s="4"/>
      <c r="L55" s="4"/>
      <c r="M55" s="4"/>
      <c r="N55" s="4"/>
      <c r="O55" s="4"/>
      <c r="P55" s="6"/>
      <c r="Q55" s="4"/>
      <c r="R55" s="4"/>
      <c r="S55" s="4"/>
      <c r="T55" s="4"/>
      <c r="U55" s="4"/>
      <c r="V55" s="4"/>
    </row>
    <row r="56" ht="14.25" customHeight="1">
      <c r="A56" s="4"/>
      <c r="B56" s="4"/>
      <c r="C56" s="4"/>
      <c r="D56" s="4"/>
      <c r="E56" s="4"/>
      <c r="F56" s="4"/>
      <c r="G56" s="4"/>
      <c r="H56" s="4"/>
      <c r="I56" s="15"/>
      <c r="J56" s="4"/>
      <c r="K56" s="4"/>
      <c r="L56" s="4"/>
      <c r="M56" s="4"/>
      <c r="N56" s="4"/>
      <c r="O56" s="4"/>
      <c r="P56" s="6"/>
      <c r="Q56" s="4"/>
      <c r="R56" s="4"/>
      <c r="S56" s="4"/>
      <c r="T56" s="4"/>
      <c r="U56" s="4"/>
      <c r="V56" s="4"/>
    </row>
    <row r="57" ht="14.25" customHeight="1">
      <c r="A57" s="4"/>
      <c r="B57" s="4"/>
      <c r="C57" s="4"/>
      <c r="D57" s="4"/>
      <c r="E57" s="4"/>
      <c r="F57" s="4"/>
      <c r="G57" s="4"/>
      <c r="H57" s="4"/>
      <c r="I57" s="15"/>
      <c r="J57" s="4"/>
      <c r="K57" s="4"/>
      <c r="L57" s="4"/>
      <c r="M57" s="4"/>
      <c r="N57" s="4"/>
      <c r="O57" s="4"/>
      <c r="P57" s="6"/>
      <c r="Q57" s="4"/>
      <c r="R57" s="4"/>
      <c r="S57" s="4"/>
      <c r="T57" s="4"/>
      <c r="U57" s="4"/>
      <c r="V57" s="4"/>
    </row>
    <row r="58" ht="14.25" customHeight="1">
      <c r="A58" s="4"/>
      <c r="B58" s="4"/>
      <c r="C58" s="4"/>
      <c r="D58" s="4"/>
      <c r="E58" s="4"/>
      <c r="F58" s="4"/>
      <c r="G58" s="4"/>
      <c r="H58" s="4"/>
      <c r="I58" s="15"/>
      <c r="J58" s="4"/>
      <c r="K58" s="4"/>
      <c r="L58" s="4"/>
      <c r="M58" s="4"/>
      <c r="N58" s="4"/>
      <c r="O58" s="4"/>
      <c r="P58" s="6"/>
      <c r="Q58" s="4"/>
      <c r="R58" s="4"/>
      <c r="S58" s="4"/>
      <c r="T58" s="4"/>
      <c r="U58" s="4"/>
      <c r="V58" s="4"/>
    </row>
    <row r="59" ht="14.25" customHeight="1">
      <c r="A59" s="4"/>
      <c r="B59" s="4"/>
      <c r="C59" s="4"/>
      <c r="D59" s="4"/>
      <c r="E59" s="4"/>
      <c r="F59" s="4"/>
      <c r="G59" s="4"/>
      <c r="H59" s="4"/>
      <c r="I59" s="15"/>
      <c r="J59" s="4"/>
      <c r="K59" s="4"/>
      <c r="L59" s="4"/>
      <c r="M59" s="4"/>
      <c r="N59" s="4"/>
      <c r="O59" s="4"/>
      <c r="P59" s="6"/>
      <c r="Q59" s="4"/>
      <c r="R59" s="4"/>
      <c r="S59" s="4"/>
      <c r="T59" s="4"/>
      <c r="U59" s="4"/>
      <c r="V59" s="4"/>
    </row>
    <row r="60" ht="14.25" customHeight="1">
      <c r="A60" s="4"/>
      <c r="B60" s="4"/>
      <c r="C60" s="4"/>
      <c r="D60" s="4"/>
      <c r="E60" s="4"/>
      <c r="F60" s="4"/>
      <c r="G60" s="4"/>
      <c r="H60" s="4"/>
      <c r="I60" s="15"/>
      <c r="J60" s="4"/>
      <c r="K60" s="4"/>
      <c r="L60" s="4"/>
      <c r="M60" s="4"/>
      <c r="N60" s="4"/>
      <c r="O60" s="4"/>
      <c r="P60" s="6"/>
      <c r="Q60" s="4"/>
      <c r="R60" s="4"/>
      <c r="S60" s="4"/>
      <c r="T60" s="4"/>
      <c r="U60" s="4"/>
      <c r="V60" s="4"/>
    </row>
    <row r="61" ht="14.25" customHeight="1">
      <c r="A61" s="16"/>
      <c r="B61" s="16"/>
      <c r="C61" s="16"/>
      <c r="D61" s="16"/>
      <c r="E61" s="16"/>
      <c r="F61" s="16"/>
      <c r="G61" s="16"/>
      <c r="H61" s="16"/>
      <c r="I61" s="17"/>
      <c r="J61" s="16"/>
      <c r="K61" s="16"/>
      <c r="L61" s="16"/>
      <c r="M61" s="16"/>
      <c r="N61" s="16"/>
      <c r="O61" s="16"/>
      <c r="P61" s="11"/>
      <c r="Q61" s="8"/>
      <c r="T61" s="8"/>
    </row>
    <row r="62" ht="14.25" customHeight="1">
      <c r="A62" s="16"/>
      <c r="B62" s="16"/>
      <c r="C62" s="16"/>
      <c r="D62" s="16"/>
      <c r="E62" s="16"/>
      <c r="F62" s="16"/>
      <c r="G62" s="16"/>
      <c r="H62" s="16"/>
      <c r="I62" s="17"/>
      <c r="J62" s="16"/>
      <c r="K62" s="16"/>
      <c r="L62" s="16"/>
      <c r="M62" s="16"/>
      <c r="N62" s="16"/>
      <c r="O62" s="16"/>
      <c r="P62" s="11"/>
      <c r="Q62" s="8"/>
      <c r="T62" s="8"/>
    </row>
    <row r="63" ht="14.25" customHeight="1">
      <c r="A63" s="16"/>
      <c r="B63" s="16"/>
      <c r="C63" s="16"/>
      <c r="D63" s="16"/>
      <c r="E63" s="16"/>
      <c r="F63" s="16"/>
      <c r="G63" s="16"/>
      <c r="H63" s="16"/>
      <c r="I63" s="17"/>
      <c r="J63" s="16"/>
      <c r="K63" s="16"/>
      <c r="L63" s="16"/>
      <c r="M63" s="16"/>
      <c r="N63" s="16"/>
      <c r="O63" s="16"/>
      <c r="P63" s="11"/>
      <c r="Q63" s="8"/>
      <c r="T63" s="8"/>
    </row>
    <row r="64" ht="14.25" customHeight="1">
      <c r="A64" s="16"/>
      <c r="B64" s="16"/>
      <c r="C64" s="16"/>
      <c r="D64" s="16"/>
      <c r="E64" s="16"/>
      <c r="F64" s="16"/>
      <c r="G64" s="16"/>
      <c r="H64" s="16"/>
      <c r="I64" s="17"/>
      <c r="J64" s="16"/>
      <c r="K64" s="16"/>
      <c r="L64" s="16"/>
      <c r="M64" s="16"/>
      <c r="N64" s="16"/>
      <c r="O64" s="16"/>
      <c r="P64" s="11"/>
      <c r="Q64" s="8"/>
      <c r="T64" s="8"/>
    </row>
    <row r="65" ht="14.25" customHeight="1">
      <c r="A65" s="16"/>
      <c r="B65" s="16"/>
      <c r="C65" s="16"/>
      <c r="D65" s="16"/>
      <c r="E65" s="16"/>
      <c r="F65" s="16"/>
      <c r="G65" s="16"/>
      <c r="H65" s="16"/>
      <c r="I65" s="17"/>
      <c r="J65" s="16"/>
      <c r="K65" s="16"/>
      <c r="L65" s="16"/>
      <c r="M65" s="16"/>
      <c r="N65" s="16"/>
      <c r="O65" s="16"/>
      <c r="P65" s="11"/>
      <c r="Q65" s="8"/>
      <c r="T65" s="8"/>
    </row>
    <row r="66" ht="14.25" customHeight="1">
      <c r="A66" s="16"/>
      <c r="B66" s="16"/>
      <c r="C66" s="16"/>
      <c r="D66" s="16"/>
      <c r="E66" s="16"/>
      <c r="F66" s="16"/>
      <c r="G66" s="16"/>
      <c r="H66" s="16"/>
      <c r="I66" s="17"/>
      <c r="J66" s="16"/>
      <c r="K66" s="16"/>
      <c r="L66" s="16"/>
      <c r="M66" s="16"/>
      <c r="N66" s="16"/>
      <c r="O66" s="16"/>
      <c r="P66" s="11"/>
      <c r="Q66" s="8"/>
      <c r="T66" s="8"/>
    </row>
    <row r="67" ht="14.25" customHeight="1">
      <c r="A67" s="16"/>
      <c r="B67" s="16"/>
      <c r="C67" s="16"/>
      <c r="D67" s="16"/>
      <c r="E67" s="16"/>
      <c r="F67" s="16"/>
      <c r="G67" s="16"/>
      <c r="H67" s="16"/>
      <c r="I67" s="17"/>
      <c r="J67" s="16"/>
      <c r="K67" s="16"/>
      <c r="L67" s="16"/>
      <c r="M67" s="16"/>
      <c r="N67" s="16"/>
      <c r="O67" s="16"/>
      <c r="P67" s="11"/>
      <c r="Q67" s="8"/>
      <c r="T67" s="8"/>
    </row>
    <row r="68" ht="14.25" customHeight="1">
      <c r="A68" s="16"/>
      <c r="B68" s="16"/>
      <c r="C68" s="16"/>
      <c r="D68" s="16"/>
      <c r="E68" s="16"/>
      <c r="F68" s="16"/>
      <c r="G68" s="16"/>
      <c r="H68" s="16"/>
      <c r="I68" s="17"/>
      <c r="J68" s="16"/>
      <c r="K68" s="16"/>
      <c r="L68" s="16"/>
      <c r="M68" s="16"/>
      <c r="N68" s="16"/>
      <c r="O68" s="16"/>
      <c r="P68" s="11"/>
      <c r="Q68" s="8"/>
      <c r="T68" s="8"/>
    </row>
    <row r="69" ht="14.25" customHeight="1">
      <c r="A69" s="16"/>
      <c r="B69" s="16"/>
      <c r="C69" s="16"/>
      <c r="D69" s="16"/>
      <c r="E69" s="16"/>
      <c r="F69" s="16"/>
      <c r="G69" s="16"/>
      <c r="H69" s="16"/>
      <c r="I69" s="17"/>
      <c r="J69" s="16"/>
      <c r="K69" s="16"/>
      <c r="L69" s="16"/>
      <c r="M69" s="16"/>
      <c r="N69" s="16"/>
      <c r="O69" s="16"/>
      <c r="P69" s="11"/>
      <c r="Q69" s="8"/>
      <c r="T69" s="8"/>
    </row>
    <row r="70" ht="14.25" customHeight="1">
      <c r="A70" s="16"/>
      <c r="B70" s="16"/>
      <c r="C70" s="16"/>
      <c r="D70" s="16"/>
      <c r="E70" s="16"/>
      <c r="F70" s="16"/>
      <c r="G70" s="16"/>
      <c r="H70" s="16"/>
      <c r="I70" s="17"/>
      <c r="J70" s="16"/>
      <c r="K70" s="16"/>
      <c r="L70" s="16"/>
      <c r="M70" s="16"/>
      <c r="N70" s="16"/>
      <c r="O70" s="16"/>
      <c r="P70" s="11"/>
      <c r="Q70" s="8"/>
      <c r="T70" s="8"/>
    </row>
    <row r="71" ht="14.25" customHeight="1">
      <c r="A71" s="16"/>
      <c r="B71" s="16"/>
      <c r="C71" s="16"/>
      <c r="D71" s="16"/>
      <c r="E71" s="16"/>
      <c r="F71" s="16"/>
      <c r="G71" s="16"/>
      <c r="H71" s="16"/>
      <c r="I71" s="17"/>
      <c r="J71" s="16"/>
      <c r="K71" s="16"/>
      <c r="L71" s="16"/>
      <c r="M71" s="16"/>
      <c r="N71" s="16"/>
      <c r="O71" s="16"/>
      <c r="P71" s="11"/>
      <c r="Q71" s="8"/>
      <c r="T71" s="8"/>
    </row>
    <row r="72" ht="14.25" customHeight="1">
      <c r="A72" s="16"/>
      <c r="B72" s="16"/>
      <c r="C72" s="16"/>
      <c r="D72" s="16"/>
      <c r="E72" s="16"/>
      <c r="F72" s="16"/>
      <c r="G72" s="16"/>
      <c r="H72" s="16"/>
      <c r="I72" s="17"/>
      <c r="J72" s="16"/>
      <c r="K72" s="16"/>
      <c r="L72" s="16"/>
      <c r="M72" s="16"/>
      <c r="N72" s="16"/>
      <c r="O72" s="16"/>
      <c r="P72" s="11"/>
      <c r="Q72" s="8"/>
      <c r="T72" s="8"/>
    </row>
    <row r="73" ht="14.25" customHeight="1">
      <c r="A73" s="16"/>
      <c r="B73" s="16"/>
      <c r="C73" s="16"/>
      <c r="D73" s="16"/>
      <c r="E73" s="16"/>
      <c r="F73" s="16"/>
      <c r="G73" s="16"/>
      <c r="H73" s="16"/>
      <c r="I73" s="17"/>
      <c r="J73" s="16"/>
      <c r="K73" s="16"/>
      <c r="L73" s="16"/>
      <c r="M73" s="16"/>
      <c r="N73" s="16"/>
      <c r="O73" s="16"/>
      <c r="P73" s="11"/>
      <c r="Q73" s="8"/>
      <c r="T73" s="8"/>
    </row>
    <row r="74" ht="14.25" customHeight="1">
      <c r="A74" s="16"/>
      <c r="B74" s="16"/>
      <c r="C74" s="16"/>
      <c r="D74" s="16"/>
      <c r="E74" s="16"/>
      <c r="F74" s="16"/>
      <c r="G74" s="16"/>
      <c r="H74" s="16"/>
      <c r="I74" s="17"/>
      <c r="J74" s="16"/>
      <c r="K74" s="16"/>
      <c r="L74" s="16"/>
      <c r="M74" s="16"/>
      <c r="N74" s="16"/>
      <c r="O74" s="16"/>
      <c r="P74" s="11"/>
      <c r="Q74" s="8"/>
      <c r="T74" s="8"/>
    </row>
    <row r="75" ht="14.25" customHeight="1">
      <c r="A75" s="16"/>
      <c r="B75" s="16"/>
      <c r="C75" s="16"/>
      <c r="D75" s="16"/>
      <c r="E75" s="16"/>
      <c r="F75" s="16"/>
      <c r="G75" s="16"/>
      <c r="H75" s="16"/>
      <c r="I75" s="17"/>
      <c r="J75" s="16"/>
      <c r="K75" s="16"/>
      <c r="L75" s="16"/>
      <c r="M75" s="16"/>
      <c r="N75" s="16"/>
      <c r="O75" s="16"/>
      <c r="P75" s="11"/>
      <c r="Q75" s="8"/>
      <c r="T75" s="8"/>
    </row>
    <row r="76" ht="14.25" customHeight="1">
      <c r="A76" s="16"/>
      <c r="B76" s="16"/>
      <c r="C76" s="16"/>
      <c r="D76" s="16"/>
      <c r="E76" s="16"/>
      <c r="F76" s="16"/>
      <c r="G76" s="16"/>
      <c r="H76" s="16"/>
      <c r="I76" s="17"/>
      <c r="J76" s="16"/>
      <c r="K76" s="16"/>
      <c r="L76" s="16"/>
      <c r="M76" s="16"/>
      <c r="N76" s="16"/>
      <c r="O76" s="16"/>
      <c r="P76" s="11"/>
      <c r="Q76" s="8"/>
      <c r="T76" s="8"/>
    </row>
    <row r="77" ht="14.25" customHeight="1">
      <c r="A77" s="16"/>
      <c r="B77" s="16"/>
      <c r="C77" s="16"/>
      <c r="D77" s="16"/>
      <c r="E77" s="16"/>
      <c r="F77" s="16"/>
      <c r="G77" s="16"/>
      <c r="H77" s="16"/>
      <c r="I77" s="17"/>
      <c r="J77" s="16"/>
      <c r="K77" s="16"/>
      <c r="L77" s="16"/>
      <c r="M77" s="16"/>
      <c r="N77" s="16"/>
      <c r="O77" s="16"/>
      <c r="P77" s="11"/>
      <c r="Q77" s="8"/>
      <c r="T77" s="8"/>
    </row>
    <row r="78" ht="14.25" customHeight="1">
      <c r="A78" s="16"/>
      <c r="B78" s="16"/>
      <c r="C78" s="16"/>
      <c r="D78" s="16"/>
      <c r="E78" s="16"/>
      <c r="F78" s="16"/>
      <c r="G78" s="16"/>
      <c r="H78" s="16"/>
      <c r="I78" s="17"/>
      <c r="J78" s="16"/>
      <c r="K78" s="16"/>
      <c r="L78" s="16"/>
      <c r="M78" s="16"/>
      <c r="N78" s="16"/>
      <c r="O78" s="16"/>
      <c r="P78" s="11"/>
      <c r="Q78" s="8"/>
      <c r="T78" s="8"/>
    </row>
    <row r="79" ht="14.25" customHeight="1">
      <c r="A79" s="16"/>
      <c r="B79" s="16"/>
      <c r="C79" s="16"/>
      <c r="D79" s="16"/>
      <c r="E79" s="16"/>
      <c r="F79" s="16"/>
      <c r="G79" s="16"/>
      <c r="H79" s="16"/>
      <c r="I79" s="17"/>
      <c r="J79" s="16"/>
      <c r="K79" s="16"/>
      <c r="L79" s="16"/>
      <c r="M79" s="16"/>
      <c r="N79" s="16"/>
      <c r="O79" s="16"/>
      <c r="P79" s="11"/>
      <c r="Q79" s="8"/>
      <c r="T79" s="8"/>
    </row>
    <row r="80" ht="14.25" customHeight="1">
      <c r="A80" s="16"/>
      <c r="B80" s="16"/>
      <c r="C80" s="16"/>
      <c r="D80" s="16"/>
      <c r="E80" s="16"/>
      <c r="F80" s="16"/>
      <c r="G80" s="16"/>
      <c r="H80" s="16"/>
      <c r="I80" s="17"/>
      <c r="J80" s="16"/>
      <c r="K80" s="16"/>
      <c r="L80" s="16"/>
      <c r="M80" s="16"/>
      <c r="N80" s="16"/>
      <c r="O80" s="16"/>
      <c r="P80" s="11"/>
      <c r="Q80" s="8"/>
      <c r="T80" s="8"/>
    </row>
    <row r="81" ht="14.25" customHeight="1">
      <c r="A81" s="16"/>
      <c r="B81" s="16"/>
      <c r="C81" s="16"/>
      <c r="D81" s="16"/>
      <c r="E81" s="16"/>
      <c r="F81" s="16"/>
      <c r="G81" s="16"/>
      <c r="H81" s="16"/>
      <c r="I81" s="17"/>
      <c r="J81" s="16"/>
      <c r="K81" s="16"/>
      <c r="L81" s="16"/>
      <c r="M81" s="16"/>
      <c r="N81" s="16"/>
      <c r="O81" s="16"/>
      <c r="P81" s="11"/>
      <c r="Q81" s="8"/>
      <c r="T81" s="8"/>
    </row>
    <row r="82" ht="14.25" customHeight="1">
      <c r="A82" s="16"/>
      <c r="B82" s="16"/>
      <c r="C82" s="16"/>
      <c r="D82" s="16"/>
      <c r="E82" s="16"/>
      <c r="F82" s="16"/>
      <c r="G82" s="16"/>
      <c r="H82" s="16"/>
      <c r="I82" s="17"/>
      <c r="J82" s="16"/>
      <c r="K82" s="16"/>
      <c r="L82" s="16"/>
      <c r="M82" s="16"/>
      <c r="N82" s="16"/>
      <c r="O82" s="16"/>
      <c r="P82" s="11"/>
      <c r="Q82" s="8"/>
      <c r="T82" s="8"/>
    </row>
    <row r="83" ht="14.25" customHeight="1">
      <c r="A83" s="16"/>
      <c r="B83" s="16"/>
      <c r="C83" s="16"/>
      <c r="D83" s="16"/>
      <c r="E83" s="16"/>
      <c r="F83" s="16"/>
      <c r="G83" s="16"/>
      <c r="H83" s="16"/>
      <c r="I83" s="17"/>
      <c r="J83" s="16"/>
      <c r="K83" s="16"/>
      <c r="L83" s="16"/>
      <c r="M83" s="16"/>
      <c r="N83" s="16"/>
      <c r="O83" s="16"/>
      <c r="P83" s="11"/>
      <c r="Q83" s="8"/>
      <c r="T83" s="8"/>
    </row>
    <row r="84" ht="14.25" customHeight="1">
      <c r="A84" s="16"/>
      <c r="B84" s="16"/>
      <c r="C84" s="16"/>
      <c r="D84" s="16"/>
      <c r="E84" s="16"/>
      <c r="F84" s="16"/>
      <c r="G84" s="16"/>
      <c r="H84" s="16"/>
      <c r="I84" s="17"/>
      <c r="J84" s="16"/>
      <c r="K84" s="16"/>
      <c r="L84" s="16"/>
      <c r="M84" s="16"/>
      <c r="N84" s="16"/>
      <c r="O84" s="16"/>
      <c r="P84" s="11"/>
      <c r="Q84" s="8"/>
      <c r="T84" s="8"/>
    </row>
    <row r="85" ht="14.25" customHeight="1">
      <c r="A85" s="16"/>
      <c r="B85" s="16"/>
      <c r="C85" s="16"/>
      <c r="D85" s="16"/>
      <c r="E85" s="16"/>
      <c r="F85" s="16"/>
      <c r="G85" s="16"/>
      <c r="H85" s="16"/>
      <c r="I85" s="17"/>
      <c r="J85" s="16"/>
      <c r="K85" s="16"/>
      <c r="L85" s="16"/>
      <c r="M85" s="16"/>
      <c r="N85" s="16"/>
      <c r="O85" s="16"/>
      <c r="P85" s="11"/>
      <c r="Q85" s="8"/>
      <c r="T85" s="8"/>
    </row>
    <row r="86" ht="14.25" customHeight="1">
      <c r="A86" s="16"/>
      <c r="B86" s="16"/>
      <c r="C86" s="16"/>
      <c r="D86" s="16"/>
      <c r="E86" s="16"/>
      <c r="F86" s="16"/>
      <c r="G86" s="16"/>
      <c r="H86" s="16"/>
      <c r="I86" s="17"/>
      <c r="J86" s="16"/>
      <c r="K86" s="16"/>
      <c r="L86" s="16"/>
      <c r="M86" s="16"/>
      <c r="N86" s="16"/>
      <c r="O86" s="16"/>
      <c r="P86" s="11"/>
      <c r="Q86" s="8"/>
      <c r="T86" s="8"/>
    </row>
    <row r="87" ht="14.25" customHeight="1">
      <c r="A87" s="16"/>
      <c r="B87" s="16"/>
      <c r="C87" s="16"/>
      <c r="D87" s="16"/>
      <c r="E87" s="16"/>
      <c r="F87" s="16"/>
      <c r="G87" s="16"/>
      <c r="H87" s="16"/>
      <c r="I87" s="17"/>
      <c r="J87" s="16"/>
      <c r="K87" s="16"/>
      <c r="L87" s="16"/>
      <c r="M87" s="16"/>
      <c r="N87" s="16"/>
      <c r="O87" s="16"/>
      <c r="P87" s="11"/>
      <c r="Q87" s="8"/>
      <c r="T87" s="8"/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17"/>
      <c r="J88" s="16"/>
      <c r="K88" s="16"/>
      <c r="L88" s="16"/>
      <c r="M88" s="16"/>
      <c r="N88" s="16"/>
      <c r="O88" s="16"/>
      <c r="P88" s="11"/>
      <c r="Q88" s="8"/>
      <c r="T88" s="8"/>
    </row>
    <row r="89" ht="14.25" customHeight="1">
      <c r="A89" s="16"/>
      <c r="B89" s="16"/>
      <c r="C89" s="16"/>
      <c r="D89" s="16"/>
      <c r="E89" s="16"/>
      <c r="F89" s="16"/>
      <c r="G89" s="16"/>
      <c r="H89" s="16"/>
      <c r="I89" s="17"/>
      <c r="J89" s="16"/>
      <c r="K89" s="16"/>
      <c r="L89" s="16"/>
      <c r="M89" s="16"/>
      <c r="N89" s="16"/>
      <c r="O89" s="16"/>
      <c r="P89" s="11"/>
      <c r="Q89" s="8"/>
      <c r="T89" s="8"/>
    </row>
    <row r="90" ht="14.25" customHeight="1">
      <c r="A90" s="16"/>
      <c r="B90" s="16"/>
      <c r="C90" s="16"/>
      <c r="D90" s="16"/>
      <c r="E90" s="16"/>
      <c r="F90" s="16"/>
      <c r="G90" s="16"/>
      <c r="H90" s="16"/>
      <c r="I90" s="17"/>
      <c r="J90" s="16"/>
      <c r="K90" s="16"/>
      <c r="L90" s="16"/>
      <c r="M90" s="16"/>
      <c r="N90" s="16"/>
      <c r="O90" s="16"/>
      <c r="P90" s="11"/>
      <c r="Q90" s="8"/>
      <c r="T90" s="8"/>
    </row>
    <row r="91" ht="14.25" customHeight="1">
      <c r="A91" s="16"/>
      <c r="B91" s="16"/>
      <c r="C91" s="16"/>
      <c r="D91" s="16"/>
      <c r="E91" s="16"/>
      <c r="F91" s="16"/>
      <c r="G91" s="16"/>
      <c r="H91" s="16"/>
      <c r="I91" s="17"/>
      <c r="J91" s="16"/>
      <c r="K91" s="16"/>
      <c r="L91" s="16"/>
      <c r="M91" s="16"/>
      <c r="N91" s="16"/>
      <c r="O91" s="16"/>
      <c r="P91" s="11"/>
      <c r="Q91" s="8"/>
      <c r="T91" s="8"/>
    </row>
    <row r="92" ht="14.25" customHeight="1">
      <c r="A92" s="16"/>
      <c r="B92" s="16"/>
      <c r="C92" s="16"/>
      <c r="D92" s="16"/>
      <c r="E92" s="16"/>
      <c r="F92" s="16"/>
      <c r="G92" s="16"/>
      <c r="H92" s="16"/>
      <c r="I92" s="17"/>
      <c r="J92" s="16"/>
      <c r="K92" s="16"/>
      <c r="L92" s="16"/>
      <c r="M92" s="16"/>
      <c r="N92" s="16"/>
      <c r="O92" s="16"/>
      <c r="P92" s="11"/>
      <c r="Q92" s="8"/>
      <c r="T92" s="8"/>
    </row>
    <row r="93" ht="14.25" customHeight="1">
      <c r="A93" s="16"/>
      <c r="B93" s="16"/>
      <c r="C93" s="16"/>
      <c r="D93" s="16"/>
      <c r="E93" s="16"/>
      <c r="F93" s="16"/>
      <c r="G93" s="16"/>
      <c r="H93" s="16"/>
      <c r="I93" s="17"/>
      <c r="J93" s="16"/>
      <c r="K93" s="16"/>
      <c r="L93" s="16"/>
      <c r="M93" s="16"/>
      <c r="N93" s="16"/>
      <c r="O93" s="16"/>
      <c r="P93" s="11"/>
      <c r="Q93" s="8"/>
      <c r="T93" s="8"/>
    </row>
    <row r="94" ht="14.25" customHeight="1">
      <c r="A94" s="16"/>
      <c r="B94" s="16"/>
      <c r="C94" s="16"/>
      <c r="D94" s="16"/>
      <c r="E94" s="16"/>
      <c r="F94" s="16"/>
      <c r="G94" s="16"/>
      <c r="H94" s="16"/>
      <c r="I94" s="17"/>
      <c r="J94" s="16"/>
      <c r="K94" s="16"/>
      <c r="L94" s="16"/>
      <c r="M94" s="16"/>
      <c r="N94" s="16"/>
      <c r="O94" s="16"/>
      <c r="P94" s="11"/>
      <c r="Q94" s="8"/>
      <c r="T94" s="8"/>
    </row>
    <row r="95" ht="14.25" customHeight="1">
      <c r="A95" s="16"/>
      <c r="B95" s="16"/>
      <c r="C95" s="16"/>
      <c r="D95" s="16"/>
      <c r="E95" s="16"/>
      <c r="F95" s="16"/>
      <c r="G95" s="16"/>
      <c r="H95" s="16"/>
      <c r="I95" s="17"/>
      <c r="J95" s="16"/>
      <c r="K95" s="16"/>
      <c r="L95" s="16"/>
      <c r="M95" s="16"/>
      <c r="N95" s="16"/>
      <c r="O95" s="16"/>
      <c r="P95" s="11"/>
      <c r="Q95" s="8"/>
      <c r="T95" s="8"/>
    </row>
    <row r="96" ht="14.25" customHeight="1">
      <c r="A96" s="16"/>
      <c r="B96" s="16"/>
      <c r="C96" s="16"/>
      <c r="D96" s="16"/>
      <c r="E96" s="16"/>
      <c r="F96" s="16"/>
      <c r="G96" s="16"/>
      <c r="H96" s="16"/>
      <c r="I96" s="17"/>
      <c r="J96" s="16"/>
      <c r="K96" s="16"/>
      <c r="L96" s="16"/>
      <c r="M96" s="16"/>
      <c r="N96" s="16"/>
      <c r="O96" s="16"/>
      <c r="P96" s="11"/>
      <c r="Q96" s="8"/>
      <c r="T96" s="8"/>
    </row>
    <row r="97" ht="14.25" customHeight="1">
      <c r="A97" s="16"/>
      <c r="B97" s="16"/>
      <c r="C97" s="16"/>
      <c r="D97" s="16"/>
      <c r="E97" s="16"/>
      <c r="F97" s="16"/>
      <c r="G97" s="16"/>
      <c r="H97" s="16"/>
      <c r="I97" s="17"/>
      <c r="J97" s="16"/>
      <c r="K97" s="16"/>
      <c r="L97" s="16"/>
      <c r="M97" s="16"/>
      <c r="N97" s="16"/>
      <c r="O97" s="16"/>
      <c r="P97" s="11"/>
      <c r="Q97" s="8"/>
      <c r="T97" s="8"/>
    </row>
    <row r="98" ht="14.25" customHeight="1">
      <c r="A98" s="16"/>
      <c r="B98" s="16"/>
      <c r="C98" s="16"/>
      <c r="D98" s="16"/>
      <c r="E98" s="16"/>
      <c r="F98" s="16"/>
      <c r="G98" s="16"/>
      <c r="H98" s="16"/>
      <c r="I98" s="17"/>
      <c r="J98" s="16"/>
      <c r="K98" s="16"/>
      <c r="L98" s="16"/>
      <c r="M98" s="16"/>
      <c r="N98" s="16"/>
      <c r="O98" s="16"/>
      <c r="P98" s="11"/>
      <c r="Q98" s="8"/>
      <c r="T98" s="8"/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17"/>
      <c r="J99" s="16"/>
      <c r="K99" s="16"/>
      <c r="L99" s="16"/>
      <c r="M99" s="16"/>
      <c r="N99" s="16"/>
      <c r="O99" s="16"/>
      <c r="P99" s="11"/>
      <c r="Q99" s="8"/>
      <c r="T99" s="8"/>
    </row>
    <row r="100" ht="14.25" customHeight="1">
      <c r="A100" s="16"/>
      <c r="B100" s="16"/>
      <c r="C100" s="16"/>
      <c r="D100" s="16"/>
      <c r="E100" s="16"/>
      <c r="F100" s="16"/>
      <c r="G100" s="16"/>
      <c r="H100" s="16"/>
      <c r="I100" s="17"/>
      <c r="J100" s="16"/>
      <c r="K100" s="16"/>
      <c r="L100" s="16"/>
      <c r="M100" s="16"/>
      <c r="N100" s="16"/>
      <c r="O100" s="16"/>
      <c r="P100" s="11"/>
      <c r="Q100" s="8"/>
      <c r="T100" s="8"/>
    </row>
    <row r="101" ht="14.25" customHeight="1">
      <c r="A101" s="16"/>
      <c r="B101" s="16"/>
      <c r="C101" s="16"/>
      <c r="D101" s="16"/>
      <c r="E101" s="16"/>
      <c r="F101" s="16"/>
      <c r="G101" s="16"/>
      <c r="H101" s="16"/>
      <c r="I101" s="17"/>
      <c r="J101" s="16"/>
      <c r="K101" s="16"/>
      <c r="L101" s="16"/>
      <c r="M101" s="16"/>
      <c r="N101" s="16"/>
      <c r="O101" s="16"/>
      <c r="P101" s="11"/>
      <c r="Q101" s="8"/>
      <c r="T101" s="8"/>
    </row>
    <row r="102" ht="14.25" customHeight="1">
      <c r="A102" s="16"/>
      <c r="B102" s="16"/>
      <c r="C102" s="16"/>
      <c r="D102" s="16"/>
      <c r="E102" s="16"/>
      <c r="F102" s="16"/>
      <c r="G102" s="16"/>
      <c r="H102" s="16"/>
      <c r="I102" s="17"/>
      <c r="J102" s="16"/>
      <c r="K102" s="16"/>
      <c r="L102" s="16"/>
      <c r="M102" s="16"/>
      <c r="N102" s="16"/>
      <c r="O102" s="16"/>
      <c r="P102" s="11"/>
      <c r="Q102" s="8"/>
      <c r="T102" s="8"/>
    </row>
    <row r="103" ht="14.25" customHeight="1">
      <c r="A103" s="16"/>
      <c r="B103" s="16"/>
      <c r="C103" s="16"/>
      <c r="D103" s="16"/>
      <c r="E103" s="16"/>
      <c r="F103" s="16"/>
      <c r="G103" s="16"/>
      <c r="H103" s="16"/>
      <c r="I103" s="17"/>
      <c r="J103" s="16"/>
      <c r="K103" s="16"/>
      <c r="L103" s="16"/>
      <c r="M103" s="16"/>
      <c r="N103" s="16"/>
      <c r="O103" s="16"/>
      <c r="P103" s="11"/>
      <c r="Q103" s="8"/>
      <c r="T103" s="8"/>
    </row>
    <row r="104" ht="14.25" customHeight="1">
      <c r="A104" s="16"/>
      <c r="B104" s="16"/>
      <c r="C104" s="16"/>
      <c r="D104" s="16"/>
      <c r="E104" s="16"/>
      <c r="F104" s="16"/>
      <c r="G104" s="16"/>
      <c r="H104" s="16"/>
      <c r="I104" s="17"/>
      <c r="J104" s="16"/>
      <c r="K104" s="16"/>
      <c r="L104" s="16"/>
      <c r="M104" s="16"/>
      <c r="N104" s="16"/>
      <c r="O104" s="16"/>
      <c r="P104" s="11"/>
      <c r="Q104" s="8"/>
      <c r="T104" s="8"/>
    </row>
    <row r="105" ht="14.25" customHeight="1">
      <c r="A105" s="16"/>
      <c r="B105" s="16"/>
      <c r="C105" s="16"/>
      <c r="D105" s="16"/>
      <c r="E105" s="16"/>
      <c r="F105" s="16"/>
      <c r="G105" s="16"/>
      <c r="H105" s="16"/>
      <c r="I105" s="17"/>
      <c r="J105" s="16"/>
      <c r="K105" s="16"/>
      <c r="L105" s="16"/>
      <c r="M105" s="16"/>
      <c r="N105" s="16"/>
      <c r="O105" s="16"/>
      <c r="P105" s="11"/>
      <c r="Q105" s="8"/>
      <c r="T105" s="8"/>
    </row>
    <row r="106" ht="14.25" customHeight="1">
      <c r="A106" s="16"/>
      <c r="B106" s="16"/>
      <c r="C106" s="16"/>
      <c r="D106" s="16"/>
      <c r="E106" s="16"/>
      <c r="F106" s="16"/>
      <c r="G106" s="16"/>
      <c r="H106" s="16"/>
      <c r="I106" s="17"/>
      <c r="J106" s="16"/>
      <c r="K106" s="16"/>
      <c r="L106" s="16"/>
      <c r="M106" s="16"/>
      <c r="N106" s="16"/>
      <c r="O106" s="16"/>
      <c r="P106" s="11"/>
      <c r="Q106" s="8"/>
      <c r="T106" s="8"/>
    </row>
    <row r="107" ht="14.25" customHeight="1">
      <c r="A107" s="16"/>
      <c r="B107" s="16"/>
      <c r="C107" s="16"/>
      <c r="D107" s="16"/>
      <c r="E107" s="16"/>
      <c r="F107" s="16"/>
      <c r="G107" s="16"/>
      <c r="H107" s="16"/>
      <c r="I107" s="17"/>
      <c r="J107" s="16"/>
      <c r="K107" s="16"/>
      <c r="L107" s="16"/>
      <c r="M107" s="16"/>
      <c r="N107" s="16"/>
      <c r="O107" s="16"/>
      <c r="P107" s="11"/>
      <c r="Q107" s="8"/>
      <c r="T107" s="8"/>
    </row>
    <row r="108" ht="14.25" customHeight="1">
      <c r="A108" s="16"/>
      <c r="B108" s="16"/>
      <c r="C108" s="16"/>
      <c r="D108" s="16"/>
      <c r="E108" s="16"/>
      <c r="F108" s="16"/>
      <c r="G108" s="16"/>
      <c r="H108" s="16"/>
      <c r="I108" s="17"/>
      <c r="J108" s="16"/>
      <c r="K108" s="16"/>
      <c r="L108" s="16"/>
      <c r="M108" s="16"/>
      <c r="N108" s="16"/>
      <c r="O108" s="16"/>
      <c r="P108" s="11"/>
      <c r="Q108" s="8"/>
      <c r="T108" s="8"/>
    </row>
    <row r="109" ht="14.25" customHeight="1">
      <c r="A109" s="16"/>
      <c r="B109" s="16"/>
      <c r="C109" s="16"/>
      <c r="D109" s="16"/>
      <c r="E109" s="16"/>
      <c r="F109" s="16"/>
      <c r="G109" s="16"/>
      <c r="H109" s="16"/>
      <c r="I109" s="17"/>
      <c r="J109" s="16"/>
      <c r="K109" s="16"/>
      <c r="L109" s="16"/>
      <c r="M109" s="16"/>
      <c r="N109" s="16"/>
      <c r="O109" s="16"/>
      <c r="P109" s="11"/>
      <c r="Q109" s="8"/>
      <c r="T109" s="8"/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17"/>
      <c r="J110" s="16"/>
      <c r="K110" s="16"/>
      <c r="L110" s="16"/>
      <c r="M110" s="16"/>
      <c r="N110" s="16"/>
      <c r="O110" s="16"/>
      <c r="P110" s="11"/>
      <c r="Q110" s="8"/>
      <c r="T110" s="8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17"/>
      <c r="J111" s="16"/>
      <c r="K111" s="16"/>
      <c r="L111" s="16"/>
      <c r="M111" s="16"/>
      <c r="N111" s="16"/>
      <c r="O111" s="16"/>
      <c r="P111" s="11"/>
      <c r="Q111" s="8"/>
      <c r="T111" s="8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7"/>
      <c r="J112" s="16"/>
      <c r="K112" s="16"/>
      <c r="L112" s="16"/>
      <c r="M112" s="16"/>
      <c r="N112" s="16"/>
      <c r="O112" s="16"/>
      <c r="P112" s="11"/>
      <c r="Q112" s="8"/>
      <c r="T112" s="8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17"/>
      <c r="J113" s="16"/>
      <c r="K113" s="16"/>
      <c r="L113" s="16"/>
      <c r="M113" s="16"/>
      <c r="N113" s="16"/>
      <c r="O113" s="16"/>
      <c r="P113" s="11"/>
      <c r="Q113" s="8"/>
      <c r="T113" s="8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17"/>
      <c r="J114" s="16"/>
      <c r="K114" s="16"/>
      <c r="L114" s="16"/>
      <c r="M114" s="16"/>
      <c r="N114" s="16"/>
      <c r="O114" s="16"/>
      <c r="P114" s="11"/>
      <c r="Q114" s="8"/>
      <c r="T114" s="8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17"/>
      <c r="J115" s="16"/>
      <c r="K115" s="16"/>
      <c r="L115" s="16"/>
      <c r="M115" s="16"/>
      <c r="N115" s="16"/>
      <c r="O115" s="16"/>
      <c r="P115" s="11"/>
      <c r="Q115" s="8"/>
      <c r="T115" s="8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17"/>
      <c r="J116" s="16"/>
      <c r="K116" s="16"/>
      <c r="L116" s="16"/>
      <c r="M116" s="16"/>
      <c r="N116" s="16"/>
      <c r="O116" s="16"/>
      <c r="P116" s="11"/>
      <c r="Q116" s="8"/>
      <c r="T116" s="8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17"/>
      <c r="J117" s="16"/>
      <c r="K117" s="16"/>
      <c r="L117" s="16"/>
      <c r="M117" s="16"/>
      <c r="N117" s="16"/>
      <c r="O117" s="16"/>
      <c r="P117" s="11"/>
      <c r="Q117" s="8"/>
      <c r="T117" s="8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17"/>
      <c r="J118" s="16"/>
      <c r="K118" s="16"/>
      <c r="L118" s="16"/>
      <c r="M118" s="16"/>
      <c r="N118" s="16"/>
      <c r="O118" s="16"/>
      <c r="P118" s="11"/>
      <c r="Q118" s="8"/>
      <c r="T118" s="8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17"/>
      <c r="J119" s="16"/>
      <c r="K119" s="16"/>
      <c r="L119" s="16"/>
      <c r="M119" s="16"/>
      <c r="N119" s="16"/>
      <c r="O119" s="16"/>
      <c r="P119" s="11"/>
      <c r="Q119" s="8"/>
      <c r="T119" s="8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17"/>
      <c r="J120" s="16"/>
      <c r="K120" s="16"/>
      <c r="L120" s="16"/>
      <c r="M120" s="16"/>
      <c r="N120" s="16"/>
      <c r="O120" s="16"/>
      <c r="P120" s="11"/>
      <c r="Q120" s="8"/>
      <c r="T120" s="8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17"/>
      <c r="J121" s="16"/>
      <c r="K121" s="16"/>
      <c r="L121" s="16"/>
      <c r="M121" s="16"/>
      <c r="N121" s="16"/>
      <c r="O121" s="16"/>
      <c r="P121" s="11"/>
      <c r="Q121" s="8"/>
      <c r="T121" s="8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17"/>
      <c r="J122" s="16"/>
      <c r="K122" s="16"/>
      <c r="L122" s="16"/>
      <c r="M122" s="16"/>
      <c r="N122" s="16"/>
      <c r="O122" s="16"/>
      <c r="P122" s="11"/>
      <c r="Q122" s="8"/>
      <c r="T122" s="8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17"/>
      <c r="J123" s="16"/>
      <c r="K123" s="16"/>
      <c r="L123" s="16"/>
      <c r="M123" s="16"/>
      <c r="N123" s="16"/>
      <c r="O123" s="16"/>
      <c r="P123" s="11"/>
      <c r="Q123" s="8"/>
      <c r="T123" s="8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17"/>
      <c r="J124" s="16"/>
      <c r="K124" s="16"/>
      <c r="L124" s="16"/>
      <c r="M124" s="16"/>
      <c r="N124" s="16"/>
      <c r="O124" s="16"/>
      <c r="P124" s="11"/>
      <c r="Q124" s="8"/>
      <c r="T124" s="8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17"/>
      <c r="J125" s="16"/>
      <c r="K125" s="16"/>
      <c r="L125" s="16"/>
      <c r="M125" s="16"/>
      <c r="N125" s="16"/>
      <c r="O125" s="16"/>
      <c r="P125" s="11"/>
      <c r="Q125" s="8"/>
      <c r="T125" s="8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17"/>
      <c r="J126" s="16"/>
      <c r="K126" s="16"/>
      <c r="L126" s="16"/>
      <c r="M126" s="16"/>
      <c r="N126" s="16"/>
      <c r="O126" s="16"/>
      <c r="P126" s="11"/>
      <c r="Q126" s="8"/>
      <c r="T126" s="8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17"/>
      <c r="J127" s="16"/>
      <c r="K127" s="16"/>
      <c r="L127" s="16"/>
      <c r="M127" s="16"/>
      <c r="N127" s="16"/>
      <c r="O127" s="16"/>
      <c r="P127" s="11"/>
      <c r="Q127" s="8"/>
      <c r="T127" s="8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17"/>
      <c r="J128" s="16"/>
      <c r="K128" s="16"/>
      <c r="L128" s="16"/>
      <c r="M128" s="16"/>
      <c r="N128" s="16"/>
      <c r="O128" s="16"/>
      <c r="P128" s="11"/>
      <c r="Q128" s="8"/>
      <c r="T128" s="8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17"/>
      <c r="J129" s="16"/>
      <c r="K129" s="16"/>
      <c r="L129" s="16"/>
      <c r="M129" s="16"/>
      <c r="N129" s="16"/>
      <c r="O129" s="16"/>
      <c r="P129" s="11"/>
      <c r="Q129" s="8"/>
      <c r="T129" s="8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17"/>
      <c r="J130" s="16"/>
      <c r="K130" s="16"/>
      <c r="L130" s="16"/>
      <c r="M130" s="16"/>
      <c r="N130" s="16"/>
      <c r="O130" s="16"/>
      <c r="P130" s="11"/>
      <c r="Q130" s="8"/>
      <c r="T130" s="8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17"/>
      <c r="J131" s="16"/>
      <c r="K131" s="16"/>
      <c r="L131" s="16"/>
      <c r="M131" s="16"/>
      <c r="N131" s="16"/>
      <c r="O131" s="16"/>
      <c r="P131" s="11"/>
      <c r="Q131" s="8"/>
      <c r="T131" s="8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17"/>
      <c r="J132" s="16"/>
      <c r="K132" s="16"/>
      <c r="L132" s="16"/>
      <c r="M132" s="16"/>
      <c r="N132" s="16"/>
      <c r="O132" s="16"/>
      <c r="P132" s="11"/>
      <c r="Q132" s="8"/>
      <c r="T132" s="8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17"/>
      <c r="J133" s="16"/>
      <c r="K133" s="16"/>
      <c r="L133" s="16"/>
      <c r="M133" s="16"/>
      <c r="N133" s="16"/>
      <c r="O133" s="16"/>
      <c r="P133" s="11"/>
      <c r="Q133" s="8"/>
      <c r="T133" s="8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17"/>
      <c r="J134" s="16"/>
      <c r="K134" s="16"/>
      <c r="L134" s="16"/>
      <c r="M134" s="16"/>
      <c r="N134" s="16"/>
      <c r="O134" s="16"/>
      <c r="P134" s="11"/>
      <c r="Q134" s="8"/>
      <c r="T134" s="8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17"/>
      <c r="J135" s="16"/>
      <c r="K135" s="16"/>
      <c r="L135" s="16"/>
      <c r="M135" s="16"/>
      <c r="N135" s="16"/>
      <c r="O135" s="16"/>
      <c r="P135" s="11"/>
      <c r="Q135" s="8"/>
      <c r="T135" s="8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17"/>
      <c r="J136" s="16"/>
      <c r="K136" s="16"/>
      <c r="L136" s="16"/>
      <c r="M136" s="16"/>
      <c r="N136" s="16"/>
      <c r="O136" s="16"/>
      <c r="P136" s="11"/>
      <c r="Q136" s="8"/>
      <c r="T136" s="8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17"/>
      <c r="J137" s="16"/>
      <c r="K137" s="16"/>
      <c r="L137" s="16"/>
      <c r="M137" s="16"/>
      <c r="N137" s="16"/>
      <c r="O137" s="16"/>
      <c r="P137" s="11"/>
      <c r="Q137" s="8"/>
      <c r="T137" s="8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17"/>
      <c r="J138" s="16"/>
      <c r="K138" s="16"/>
      <c r="L138" s="16"/>
      <c r="M138" s="16"/>
      <c r="N138" s="16"/>
      <c r="O138" s="16"/>
      <c r="P138" s="11"/>
      <c r="Q138" s="8"/>
      <c r="T138" s="8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17"/>
      <c r="J139" s="16"/>
      <c r="K139" s="16"/>
      <c r="L139" s="16"/>
      <c r="M139" s="16"/>
      <c r="N139" s="16"/>
      <c r="O139" s="16"/>
      <c r="P139" s="11"/>
      <c r="Q139" s="8"/>
      <c r="T139" s="8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7"/>
      <c r="J140" s="16"/>
      <c r="K140" s="16"/>
      <c r="L140" s="16"/>
      <c r="M140" s="16"/>
      <c r="N140" s="16"/>
      <c r="O140" s="16"/>
      <c r="P140" s="11"/>
      <c r="Q140" s="8"/>
      <c r="T140" s="8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17"/>
      <c r="J141" s="16"/>
      <c r="K141" s="16"/>
      <c r="L141" s="16"/>
      <c r="M141" s="16"/>
      <c r="N141" s="16"/>
      <c r="O141" s="16"/>
      <c r="P141" s="11"/>
      <c r="Q141" s="8"/>
      <c r="T141" s="8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17"/>
      <c r="J142" s="16"/>
      <c r="K142" s="16"/>
      <c r="L142" s="16"/>
      <c r="M142" s="16"/>
      <c r="N142" s="16"/>
      <c r="O142" s="16"/>
      <c r="P142" s="11"/>
      <c r="Q142" s="8"/>
      <c r="T142" s="8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17"/>
      <c r="J143" s="16"/>
      <c r="K143" s="16"/>
      <c r="L143" s="16"/>
      <c r="M143" s="16"/>
      <c r="N143" s="16"/>
      <c r="O143" s="16"/>
      <c r="P143" s="11"/>
      <c r="Q143" s="8"/>
      <c r="T143" s="8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17"/>
      <c r="J144" s="16"/>
      <c r="K144" s="16"/>
      <c r="L144" s="16"/>
      <c r="M144" s="16"/>
      <c r="N144" s="16"/>
      <c r="O144" s="16"/>
      <c r="P144" s="11"/>
      <c r="Q144" s="8"/>
      <c r="T144" s="8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17"/>
      <c r="J145" s="16"/>
      <c r="K145" s="16"/>
      <c r="L145" s="16"/>
      <c r="M145" s="16"/>
      <c r="N145" s="16"/>
      <c r="O145" s="16"/>
      <c r="P145" s="11"/>
      <c r="Q145" s="8"/>
      <c r="T145" s="8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17"/>
      <c r="J146" s="16"/>
      <c r="K146" s="16"/>
      <c r="L146" s="16"/>
      <c r="M146" s="16"/>
      <c r="N146" s="16"/>
      <c r="O146" s="16"/>
      <c r="P146" s="11"/>
      <c r="Q146" s="8"/>
      <c r="T146" s="8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17"/>
      <c r="J147" s="16"/>
      <c r="K147" s="16"/>
      <c r="L147" s="16"/>
      <c r="M147" s="16"/>
      <c r="N147" s="16"/>
      <c r="O147" s="16"/>
      <c r="P147" s="11"/>
      <c r="Q147" s="8"/>
      <c r="T147" s="8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17"/>
      <c r="J148" s="16"/>
      <c r="K148" s="16"/>
      <c r="L148" s="16"/>
      <c r="M148" s="16"/>
      <c r="N148" s="16"/>
      <c r="O148" s="16"/>
      <c r="P148" s="11"/>
      <c r="Q148" s="8"/>
      <c r="T148" s="8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17"/>
      <c r="J149" s="16"/>
      <c r="K149" s="16"/>
      <c r="L149" s="16"/>
      <c r="M149" s="16"/>
      <c r="N149" s="16"/>
      <c r="O149" s="16"/>
      <c r="P149" s="11"/>
      <c r="Q149" s="8"/>
      <c r="T149" s="8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17"/>
      <c r="J150" s="16"/>
      <c r="K150" s="16"/>
      <c r="L150" s="16"/>
      <c r="M150" s="16"/>
      <c r="N150" s="16"/>
      <c r="O150" s="16"/>
      <c r="P150" s="11"/>
      <c r="Q150" s="8"/>
      <c r="T150" s="8"/>
    </row>
    <row r="151" ht="14.25" customHeight="1">
      <c r="D151" s="8"/>
      <c r="F151" s="8"/>
      <c r="G151" s="8"/>
      <c r="H151" s="8"/>
      <c r="J151" s="8"/>
      <c r="K151" s="8"/>
      <c r="M151" s="8"/>
      <c r="N151" s="8"/>
      <c r="P151" s="11"/>
      <c r="Q151" s="8"/>
      <c r="T151" s="8"/>
    </row>
    <row r="152" ht="14.25" customHeight="1">
      <c r="D152" s="8"/>
      <c r="F152" s="8"/>
      <c r="G152" s="8"/>
      <c r="H152" s="8"/>
      <c r="J152" s="8"/>
      <c r="K152" s="8"/>
      <c r="M152" s="8"/>
      <c r="N152" s="8"/>
      <c r="P152" s="11"/>
      <c r="Q152" s="8"/>
      <c r="T152" s="8"/>
    </row>
    <row r="153" ht="14.25" customHeight="1">
      <c r="D153" s="8"/>
      <c r="F153" s="8"/>
      <c r="G153" s="8"/>
      <c r="H153" s="8"/>
      <c r="J153" s="8"/>
      <c r="K153" s="8"/>
      <c r="M153" s="8"/>
      <c r="N153" s="8"/>
      <c r="P153" s="11"/>
      <c r="Q153" s="8"/>
      <c r="T153" s="8"/>
    </row>
    <row r="154" ht="14.25" customHeight="1">
      <c r="D154" s="8"/>
      <c r="F154" s="8"/>
      <c r="G154" s="8"/>
      <c r="H154" s="8"/>
      <c r="J154" s="8"/>
      <c r="K154" s="8"/>
      <c r="M154" s="8"/>
      <c r="N154" s="8"/>
      <c r="P154" s="11"/>
      <c r="Q154" s="8"/>
      <c r="T154" s="8"/>
    </row>
    <row r="155" ht="14.25" customHeight="1">
      <c r="D155" s="8"/>
      <c r="F155" s="8"/>
      <c r="G155" s="8"/>
      <c r="H155" s="8"/>
      <c r="J155" s="8"/>
      <c r="K155" s="8"/>
      <c r="M155" s="8"/>
      <c r="N155" s="8"/>
      <c r="P155" s="11"/>
      <c r="Q155" s="8"/>
      <c r="T155" s="8"/>
    </row>
    <row r="156" ht="14.25" customHeight="1">
      <c r="D156" s="8"/>
      <c r="F156" s="8"/>
      <c r="G156" s="8"/>
      <c r="H156" s="8"/>
      <c r="J156" s="8"/>
      <c r="K156" s="8"/>
      <c r="M156" s="8"/>
      <c r="N156" s="8"/>
      <c r="P156" s="11"/>
      <c r="Q156" s="8"/>
      <c r="T156" s="8"/>
    </row>
    <row r="157" ht="14.25" customHeight="1">
      <c r="D157" s="8"/>
      <c r="F157" s="8"/>
      <c r="G157" s="8"/>
      <c r="H157" s="8"/>
      <c r="J157" s="8"/>
      <c r="K157" s="8"/>
      <c r="M157" s="8"/>
      <c r="N157" s="8"/>
      <c r="P157" s="11"/>
      <c r="Q157" s="8"/>
      <c r="T157" s="8"/>
    </row>
    <row r="158" ht="14.25" customHeight="1">
      <c r="D158" s="8"/>
      <c r="F158" s="8"/>
      <c r="G158" s="8"/>
      <c r="H158" s="8"/>
      <c r="J158" s="8"/>
      <c r="K158" s="8"/>
      <c r="M158" s="8"/>
      <c r="N158" s="8"/>
      <c r="P158" s="11"/>
      <c r="Q158" s="8"/>
      <c r="T158" s="8"/>
    </row>
    <row r="159" ht="14.25" customHeight="1">
      <c r="D159" s="8"/>
      <c r="F159" s="8"/>
      <c r="G159" s="8"/>
      <c r="H159" s="8"/>
      <c r="J159" s="8"/>
      <c r="K159" s="8"/>
      <c r="M159" s="8"/>
      <c r="N159" s="8"/>
      <c r="P159" s="11"/>
      <c r="Q159" s="8"/>
      <c r="T159" s="8"/>
    </row>
    <row r="160" ht="14.25" customHeight="1">
      <c r="D160" s="8"/>
      <c r="F160" s="8"/>
      <c r="G160" s="8"/>
      <c r="H160" s="8"/>
      <c r="J160" s="8"/>
      <c r="K160" s="8"/>
      <c r="M160" s="8"/>
      <c r="N160" s="8"/>
      <c r="P160" s="11"/>
      <c r="Q160" s="8"/>
      <c r="T160" s="8"/>
    </row>
    <row r="161" ht="14.25" customHeight="1">
      <c r="D161" s="8"/>
      <c r="F161" s="8"/>
      <c r="G161" s="8"/>
      <c r="H161" s="8"/>
      <c r="J161" s="8"/>
      <c r="K161" s="8"/>
      <c r="M161" s="8"/>
      <c r="N161" s="8"/>
      <c r="P161" s="11"/>
      <c r="Q161" s="8"/>
      <c r="T161" s="8"/>
    </row>
    <row r="162" ht="14.25" customHeight="1">
      <c r="D162" s="8"/>
      <c r="F162" s="8"/>
      <c r="G162" s="8"/>
      <c r="H162" s="8"/>
      <c r="J162" s="8"/>
      <c r="K162" s="8"/>
      <c r="M162" s="8"/>
      <c r="N162" s="8"/>
      <c r="P162" s="11"/>
      <c r="Q162" s="8"/>
      <c r="T162" s="8"/>
    </row>
    <row r="163" ht="14.25" customHeight="1">
      <c r="D163" s="8"/>
      <c r="F163" s="8"/>
      <c r="G163" s="8"/>
      <c r="H163" s="8"/>
      <c r="J163" s="8"/>
      <c r="K163" s="8"/>
      <c r="M163" s="8"/>
      <c r="N163" s="8"/>
      <c r="P163" s="11"/>
      <c r="Q163" s="8"/>
      <c r="T163" s="8"/>
    </row>
    <row r="164" ht="14.25" customHeight="1">
      <c r="D164" s="8"/>
      <c r="F164" s="8"/>
      <c r="G164" s="8"/>
      <c r="H164" s="8"/>
      <c r="J164" s="8"/>
      <c r="K164" s="8"/>
      <c r="M164" s="8"/>
      <c r="N164" s="8"/>
      <c r="P164" s="11"/>
      <c r="Q164" s="8"/>
      <c r="T164" s="8"/>
    </row>
    <row r="165" ht="14.25" customHeight="1">
      <c r="D165" s="8"/>
      <c r="F165" s="8"/>
      <c r="G165" s="8"/>
      <c r="H165" s="8"/>
      <c r="J165" s="8"/>
      <c r="K165" s="8"/>
      <c r="M165" s="8"/>
      <c r="N165" s="8"/>
      <c r="P165" s="11"/>
      <c r="Q165" s="8"/>
      <c r="T165" s="8"/>
    </row>
    <row r="166" ht="14.25" customHeight="1">
      <c r="D166" s="8"/>
      <c r="F166" s="8"/>
      <c r="G166" s="8"/>
      <c r="H166" s="8"/>
      <c r="J166" s="8"/>
      <c r="K166" s="8"/>
      <c r="M166" s="8"/>
      <c r="N166" s="8"/>
      <c r="P166" s="11"/>
      <c r="Q166" s="8"/>
      <c r="T166" s="8"/>
    </row>
    <row r="167" ht="14.25" customHeight="1">
      <c r="D167" s="8"/>
      <c r="F167" s="8"/>
      <c r="G167" s="8"/>
      <c r="H167" s="8"/>
      <c r="J167" s="8"/>
      <c r="K167" s="8"/>
      <c r="M167" s="8"/>
      <c r="N167" s="8"/>
      <c r="P167" s="11"/>
      <c r="Q167" s="8"/>
      <c r="T167" s="8"/>
    </row>
    <row r="168" ht="14.25" customHeight="1">
      <c r="D168" s="8"/>
      <c r="F168" s="8"/>
      <c r="G168" s="8"/>
      <c r="H168" s="8"/>
      <c r="J168" s="8"/>
      <c r="K168" s="8"/>
      <c r="M168" s="8"/>
      <c r="N168" s="8"/>
      <c r="P168" s="11"/>
      <c r="Q168" s="8"/>
      <c r="T168" s="8"/>
    </row>
    <row r="169" ht="14.25" customHeight="1">
      <c r="D169" s="8"/>
      <c r="F169" s="8"/>
      <c r="G169" s="8"/>
      <c r="H169" s="8"/>
      <c r="J169" s="8"/>
      <c r="K169" s="8"/>
      <c r="M169" s="8"/>
      <c r="N169" s="8"/>
      <c r="P169" s="11"/>
      <c r="Q169" s="8"/>
      <c r="T169" s="8"/>
    </row>
    <row r="170" ht="14.25" customHeight="1">
      <c r="D170" s="8"/>
      <c r="F170" s="8"/>
      <c r="G170" s="8"/>
      <c r="H170" s="8"/>
      <c r="J170" s="8"/>
      <c r="K170" s="8"/>
      <c r="M170" s="8"/>
      <c r="N170" s="8"/>
      <c r="P170" s="11"/>
      <c r="Q170" s="8"/>
      <c r="T170" s="8"/>
    </row>
    <row r="171" ht="14.25" customHeight="1">
      <c r="D171" s="8"/>
      <c r="F171" s="8"/>
      <c r="G171" s="8"/>
      <c r="H171" s="8"/>
      <c r="J171" s="8"/>
      <c r="K171" s="8"/>
      <c r="M171" s="8"/>
      <c r="N171" s="8"/>
      <c r="P171" s="11"/>
      <c r="Q171" s="8"/>
      <c r="T171" s="8"/>
    </row>
    <row r="172" ht="14.25" customHeight="1">
      <c r="D172" s="8"/>
      <c r="F172" s="8"/>
      <c r="G172" s="8"/>
      <c r="H172" s="8"/>
      <c r="J172" s="8"/>
      <c r="K172" s="8"/>
      <c r="M172" s="8"/>
      <c r="N172" s="8"/>
      <c r="P172" s="11"/>
      <c r="Q172" s="8"/>
      <c r="T172" s="8"/>
    </row>
    <row r="173" ht="14.25" customHeight="1">
      <c r="D173" s="8"/>
      <c r="F173" s="8"/>
      <c r="G173" s="8"/>
      <c r="H173" s="8"/>
      <c r="J173" s="8"/>
      <c r="K173" s="8"/>
      <c r="M173" s="8"/>
      <c r="N173" s="8"/>
      <c r="P173" s="11"/>
      <c r="Q173" s="8"/>
      <c r="T173" s="8"/>
    </row>
    <row r="174" ht="14.25" customHeight="1">
      <c r="D174" s="8"/>
      <c r="F174" s="8"/>
      <c r="G174" s="8"/>
      <c r="H174" s="8"/>
      <c r="J174" s="8"/>
      <c r="K174" s="8"/>
      <c r="M174" s="8"/>
      <c r="N174" s="8"/>
      <c r="P174" s="11"/>
      <c r="Q174" s="8"/>
      <c r="T174" s="8"/>
    </row>
    <row r="175" ht="14.25" customHeight="1">
      <c r="D175" s="8"/>
      <c r="F175" s="8"/>
      <c r="G175" s="8"/>
      <c r="H175" s="8"/>
      <c r="J175" s="8"/>
      <c r="K175" s="8"/>
      <c r="M175" s="8"/>
      <c r="N175" s="8"/>
      <c r="P175" s="11"/>
      <c r="Q175" s="8"/>
      <c r="T175" s="8"/>
    </row>
    <row r="176" ht="14.25" customHeight="1">
      <c r="D176" s="8"/>
      <c r="F176" s="8"/>
      <c r="G176" s="8"/>
      <c r="H176" s="8"/>
      <c r="J176" s="8"/>
      <c r="K176" s="8"/>
      <c r="M176" s="8"/>
      <c r="N176" s="8"/>
      <c r="P176" s="11"/>
      <c r="Q176" s="8"/>
      <c r="T176" s="8"/>
    </row>
    <row r="177" ht="14.25" customHeight="1">
      <c r="D177" s="8"/>
      <c r="F177" s="8"/>
      <c r="G177" s="8"/>
      <c r="H177" s="8"/>
      <c r="J177" s="8"/>
      <c r="K177" s="8"/>
      <c r="M177" s="8"/>
      <c r="N177" s="8"/>
      <c r="P177" s="11"/>
      <c r="Q177" s="8"/>
      <c r="T177" s="8"/>
    </row>
    <row r="178" ht="14.25" customHeight="1">
      <c r="D178" s="8"/>
      <c r="F178" s="8"/>
      <c r="G178" s="8"/>
      <c r="H178" s="8"/>
      <c r="J178" s="8"/>
      <c r="K178" s="8"/>
      <c r="M178" s="8"/>
      <c r="N178" s="8"/>
      <c r="P178" s="11"/>
      <c r="Q178" s="8"/>
      <c r="T178" s="8"/>
    </row>
    <row r="179" ht="14.25" customHeight="1">
      <c r="D179" s="8"/>
      <c r="F179" s="8"/>
      <c r="G179" s="8"/>
      <c r="H179" s="8"/>
      <c r="J179" s="8"/>
      <c r="K179" s="8"/>
      <c r="M179" s="8"/>
      <c r="N179" s="8"/>
      <c r="P179" s="11"/>
      <c r="Q179" s="8"/>
      <c r="T179" s="8"/>
    </row>
    <row r="180" ht="14.25" customHeight="1">
      <c r="D180" s="8"/>
      <c r="F180" s="8"/>
      <c r="G180" s="8"/>
      <c r="H180" s="8"/>
      <c r="J180" s="8"/>
      <c r="K180" s="8"/>
      <c r="M180" s="8"/>
      <c r="N180" s="8"/>
      <c r="P180" s="11"/>
      <c r="Q180" s="8"/>
      <c r="T180" s="8"/>
    </row>
    <row r="181" ht="14.25" customHeight="1">
      <c r="D181" s="8"/>
      <c r="F181" s="8"/>
      <c r="G181" s="8"/>
      <c r="H181" s="8"/>
      <c r="J181" s="8"/>
      <c r="K181" s="8"/>
      <c r="M181" s="8"/>
      <c r="N181" s="8"/>
      <c r="P181" s="11"/>
      <c r="Q181" s="8"/>
      <c r="T181" s="8"/>
    </row>
    <row r="182" ht="14.25" customHeight="1">
      <c r="D182" s="8"/>
      <c r="F182" s="8"/>
      <c r="G182" s="8"/>
      <c r="H182" s="8"/>
      <c r="J182" s="8"/>
      <c r="K182" s="8"/>
      <c r="M182" s="8"/>
      <c r="N182" s="8"/>
      <c r="P182" s="11"/>
      <c r="Q182" s="8"/>
      <c r="T182" s="8"/>
    </row>
    <row r="183" ht="14.25" customHeight="1">
      <c r="D183" s="8"/>
      <c r="F183" s="8"/>
      <c r="G183" s="8"/>
      <c r="H183" s="8"/>
      <c r="J183" s="8"/>
      <c r="K183" s="8"/>
      <c r="M183" s="8"/>
      <c r="N183" s="8"/>
      <c r="P183" s="11"/>
      <c r="Q183" s="8"/>
      <c r="T183" s="8"/>
    </row>
    <row r="184" ht="14.25" customHeight="1">
      <c r="D184" s="8"/>
      <c r="F184" s="8"/>
      <c r="G184" s="8"/>
      <c r="H184" s="8"/>
      <c r="J184" s="8"/>
      <c r="K184" s="8"/>
      <c r="M184" s="8"/>
      <c r="N184" s="8"/>
      <c r="P184" s="11"/>
      <c r="Q184" s="8"/>
      <c r="T184" s="8"/>
    </row>
    <row r="185" ht="14.25" customHeight="1">
      <c r="D185" s="8"/>
      <c r="F185" s="8"/>
      <c r="G185" s="8"/>
      <c r="H185" s="8"/>
      <c r="J185" s="8"/>
      <c r="K185" s="8"/>
      <c r="M185" s="8"/>
      <c r="N185" s="8"/>
      <c r="P185" s="11"/>
      <c r="Q185" s="8"/>
      <c r="T185" s="8"/>
    </row>
    <row r="186" ht="14.25" customHeight="1">
      <c r="D186" s="8"/>
      <c r="F186" s="8"/>
      <c r="G186" s="8"/>
      <c r="H186" s="8"/>
      <c r="J186" s="8"/>
      <c r="K186" s="8"/>
      <c r="M186" s="8"/>
      <c r="N186" s="8"/>
      <c r="P186" s="11"/>
      <c r="Q186" s="8"/>
      <c r="T186" s="8"/>
    </row>
    <row r="187" ht="14.25" customHeight="1">
      <c r="D187" s="8"/>
      <c r="F187" s="8"/>
      <c r="G187" s="8"/>
      <c r="H187" s="8"/>
      <c r="J187" s="8"/>
      <c r="K187" s="8"/>
      <c r="M187" s="8"/>
      <c r="N187" s="8"/>
      <c r="P187" s="11"/>
      <c r="Q187" s="8"/>
      <c r="T187" s="8"/>
    </row>
    <row r="188" ht="14.25" customHeight="1">
      <c r="D188" s="8"/>
      <c r="F188" s="8"/>
      <c r="G188" s="8"/>
      <c r="H188" s="8"/>
      <c r="J188" s="8"/>
      <c r="K188" s="8"/>
      <c r="M188" s="8"/>
      <c r="N188" s="8"/>
      <c r="P188" s="11"/>
      <c r="Q188" s="8"/>
      <c r="T188" s="8"/>
    </row>
    <row r="189" ht="14.25" customHeight="1">
      <c r="D189" s="8"/>
      <c r="F189" s="8"/>
      <c r="G189" s="8"/>
      <c r="H189" s="8"/>
      <c r="J189" s="8"/>
      <c r="K189" s="8"/>
      <c r="M189" s="8"/>
      <c r="N189" s="8"/>
      <c r="P189" s="11"/>
      <c r="Q189" s="8"/>
      <c r="T189" s="8"/>
    </row>
    <row r="190" ht="14.25" customHeight="1">
      <c r="D190" s="8"/>
      <c r="F190" s="8"/>
      <c r="G190" s="8"/>
      <c r="H190" s="8"/>
      <c r="J190" s="8"/>
      <c r="K190" s="8"/>
      <c r="M190" s="8"/>
      <c r="N190" s="8"/>
      <c r="P190" s="11"/>
      <c r="Q190" s="8"/>
      <c r="T190" s="8"/>
    </row>
    <row r="191" ht="14.25" customHeight="1">
      <c r="D191" s="8"/>
      <c r="F191" s="8"/>
      <c r="G191" s="8"/>
      <c r="H191" s="8"/>
      <c r="J191" s="8"/>
      <c r="K191" s="8"/>
      <c r="M191" s="8"/>
      <c r="N191" s="8"/>
      <c r="P191" s="11"/>
      <c r="Q191" s="8"/>
      <c r="T191" s="8"/>
    </row>
    <row r="192" ht="14.25" customHeight="1">
      <c r="D192" s="8"/>
      <c r="F192" s="8"/>
      <c r="G192" s="8"/>
      <c r="H192" s="8"/>
      <c r="J192" s="8"/>
      <c r="K192" s="8"/>
      <c r="M192" s="8"/>
      <c r="N192" s="8"/>
      <c r="P192" s="11"/>
      <c r="Q192" s="8"/>
      <c r="T192" s="8"/>
    </row>
    <row r="193" ht="14.25" customHeight="1">
      <c r="D193" s="8"/>
      <c r="F193" s="8"/>
      <c r="G193" s="8"/>
      <c r="H193" s="8"/>
      <c r="J193" s="8"/>
      <c r="K193" s="8"/>
      <c r="M193" s="8"/>
      <c r="N193" s="8"/>
      <c r="P193" s="11"/>
      <c r="Q193" s="8"/>
      <c r="T193" s="8"/>
    </row>
    <row r="194" ht="14.25" customHeight="1">
      <c r="D194" s="8"/>
      <c r="F194" s="8"/>
      <c r="G194" s="8"/>
      <c r="H194" s="8"/>
      <c r="J194" s="8"/>
      <c r="K194" s="8"/>
      <c r="M194" s="8"/>
      <c r="N194" s="8"/>
      <c r="P194" s="11"/>
      <c r="Q194" s="8"/>
      <c r="T194" s="8"/>
    </row>
    <row r="195" ht="14.25" customHeight="1">
      <c r="D195" s="8"/>
      <c r="F195" s="8"/>
      <c r="G195" s="8"/>
      <c r="H195" s="8"/>
      <c r="J195" s="8"/>
      <c r="K195" s="8"/>
      <c r="M195" s="8"/>
      <c r="N195" s="8"/>
      <c r="P195" s="11"/>
      <c r="Q195" s="8"/>
      <c r="T195" s="8"/>
    </row>
    <row r="196" ht="14.25" customHeight="1">
      <c r="D196" s="8"/>
      <c r="F196" s="8"/>
      <c r="G196" s="8"/>
      <c r="H196" s="8"/>
      <c r="J196" s="8"/>
      <c r="K196" s="8"/>
      <c r="M196" s="8"/>
      <c r="N196" s="8"/>
      <c r="P196" s="11"/>
      <c r="Q196" s="8"/>
      <c r="T196" s="8"/>
    </row>
    <row r="197" ht="14.25" customHeight="1">
      <c r="D197" s="8"/>
      <c r="F197" s="8"/>
      <c r="G197" s="8"/>
      <c r="H197" s="8"/>
      <c r="J197" s="8"/>
      <c r="K197" s="8"/>
      <c r="M197" s="8"/>
      <c r="N197" s="8"/>
      <c r="P197" s="11"/>
      <c r="Q197" s="8"/>
      <c r="T197" s="8"/>
    </row>
    <row r="198" ht="14.25" customHeight="1">
      <c r="D198" s="8"/>
      <c r="F198" s="8"/>
      <c r="G198" s="8"/>
      <c r="H198" s="8"/>
      <c r="J198" s="8"/>
      <c r="K198" s="8"/>
      <c r="M198" s="8"/>
      <c r="N198" s="8"/>
      <c r="P198" s="11"/>
      <c r="Q198" s="8"/>
      <c r="T198" s="8"/>
    </row>
    <row r="199" ht="14.25" customHeight="1">
      <c r="D199" s="8"/>
      <c r="F199" s="8"/>
      <c r="G199" s="8"/>
      <c r="H199" s="8"/>
      <c r="J199" s="8"/>
      <c r="K199" s="8"/>
      <c r="M199" s="8"/>
      <c r="N199" s="8"/>
      <c r="P199" s="11"/>
      <c r="Q199" s="8"/>
      <c r="T199" s="8"/>
    </row>
    <row r="200" ht="14.25" customHeight="1">
      <c r="D200" s="8"/>
      <c r="F200" s="8"/>
      <c r="G200" s="8"/>
      <c r="H200" s="8"/>
      <c r="J200" s="8"/>
      <c r="K200" s="8"/>
      <c r="M200" s="8"/>
      <c r="N200" s="8"/>
      <c r="P200" s="11"/>
      <c r="Q200" s="8"/>
      <c r="T200" s="8"/>
    </row>
    <row r="201" ht="14.25" customHeight="1">
      <c r="D201" s="8"/>
      <c r="F201" s="8"/>
      <c r="G201" s="8"/>
      <c r="H201" s="8"/>
      <c r="J201" s="8"/>
      <c r="K201" s="8"/>
      <c r="M201" s="8"/>
      <c r="N201" s="8"/>
      <c r="P201" s="11"/>
      <c r="Q201" s="8"/>
      <c r="T201" s="8"/>
    </row>
    <row r="202" ht="14.25" customHeight="1">
      <c r="D202" s="8"/>
      <c r="F202" s="8"/>
      <c r="G202" s="8"/>
      <c r="H202" s="8"/>
      <c r="J202" s="8"/>
      <c r="K202" s="8"/>
      <c r="M202" s="8"/>
      <c r="N202" s="8"/>
      <c r="P202" s="11"/>
      <c r="Q202" s="8"/>
      <c r="T202" s="8"/>
    </row>
    <row r="203" ht="14.25" customHeight="1">
      <c r="D203" s="8"/>
      <c r="F203" s="8"/>
      <c r="G203" s="8"/>
      <c r="H203" s="8"/>
      <c r="J203" s="8"/>
      <c r="K203" s="8"/>
      <c r="M203" s="8"/>
      <c r="N203" s="8"/>
      <c r="P203" s="11"/>
      <c r="Q203" s="8"/>
      <c r="T203" s="8"/>
    </row>
    <row r="204" ht="14.25" customHeight="1">
      <c r="D204" s="8"/>
      <c r="F204" s="8"/>
      <c r="G204" s="8"/>
      <c r="H204" s="8"/>
      <c r="J204" s="8"/>
      <c r="K204" s="8"/>
      <c r="M204" s="8"/>
      <c r="N204" s="8"/>
      <c r="P204" s="11"/>
      <c r="Q204" s="8"/>
      <c r="T204" s="8"/>
    </row>
    <row r="205" ht="14.25" customHeight="1">
      <c r="D205" s="8"/>
      <c r="F205" s="8"/>
      <c r="G205" s="8"/>
      <c r="H205" s="8"/>
      <c r="J205" s="8"/>
      <c r="K205" s="8"/>
      <c r="M205" s="8"/>
      <c r="N205" s="8"/>
      <c r="P205" s="11"/>
      <c r="Q205" s="8"/>
      <c r="T205" s="8"/>
    </row>
    <row r="206" ht="14.25" customHeight="1">
      <c r="D206" s="8"/>
      <c r="F206" s="8"/>
      <c r="G206" s="8"/>
      <c r="H206" s="8"/>
      <c r="J206" s="8"/>
      <c r="K206" s="8"/>
      <c r="M206" s="8"/>
      <c r="N206" s="8"/>
      <c r="P206" s="11"/>
      <c r="Q206" s="8"/>
      <c r="T206" s="8"/>
    </row>
    <row r="207" ht="14.25" customHeight="1">
      <c r="D207" s="8"/>
      <c r="F207" s="8"/>
      <c r="G207" s="8"/>
      <c r="H207" s="8"/>
      <c r="J207" s="8"/>
      <c r="K207" s="8"/>
      <c r="M207" s="8"/>
      <c r="N207" s="8"/>
      <c r="P207" s="11"/>
      <c r="Q207" s="8"/>
      <c r="T207" s="8"/>
    </row>
    <row r="208" ht="14.25" customHeight="1">
      <c r="D208" s="8"/>
      <c r="F208" s="8"/>
      <c r="G208" s="8"/>
      <c r="H208" s="8"/>
      <c r="J208" s="8"/>
      <c r="K208" s="8"/>
      <c r="M208" s="8"/>
      <c r="N208" s="8"/>
      <c r="P208" s="11"/>
      <c r="Q208" s="8"/>
      <c r="T208" s="8"/>
    </row>
    <row r="209" ht="14.25" customHeight="1">
      <c r="D209" s="8"/>
      <c r="F209" s="8"/>
      <c r="G209" s="8"/>
      <c r="H209" s="8"/>
      <c r="J209" s="8"/>
      <c r="K209" s="8"/>
      <c r="M209" s="8"/>
      <c r="N209" s="8"/>
      <c r="P209" s="11"/>
      <c r="Q209" s="8"/>
      <c r="T209" s="8"/>
    </row>
    <row r="210" ht="14.25" customHeight="1">
      <c r="D210" s="8"/>
      <c r="F210" s="8"/>
      <c r="G210" s="8"/>
      <c r="H210" s="8"/>
      <c r="J210" s="8"/>
      <c r="K210" s="8"/>
      <c r="M210" s="8"/>
      <c r="N210" s="8"/>
      <c r="P210" s="11"/>
      <c r="Q210" s="8"/>
      <c r="T210" s="8"/>
    </row>
    <row r="211" ht="14.25" customHeight="1">
      <c r="D211" s="8"/>
      <c r="F211" s="8"/>
      <c r="G211" s="8"/>
      <c r="H211" s="8"/>
      <c r="J211" s="8"/>
      <c r="K211" s="8"/>
      <c r="M211" s="8"/>
      <c r="N211" s="8"/>
      <c r="P211" s="11"/>
      <c r="Q211" s="8"/>
      <c r="T211" s="8"/>
    </row>
    <row r="212" ht="14.25" customHeight="1">
      <c r="D212" s="8"/>
      <c r="F212" s="8"/>
      <c r="G212" s="8"/>
      <c r="H212" s="8"/>
      <c r="J212" s="8"/>
      <c r="K212" s="8"/>
      <c r="M212" s="8"/>
      <c r="N212" s="8"/>
      <c r="P212" s="11"/>
      <c r="Q212" s="8"/>
      <c r="T212" s="8"/>
    </row>
    <row r="213" ht="14.25" customHeight="1">
      <c r="D213" s="8"/>
      <c r="F213" s="8"/>
      <c r="G213" s="8"/>
      <c r="H213" s="8"/>
      <c r="J213" s="8"/>
      <c r="K213" s="8"/>
      <c r="M213" s="8"/>
      <c r="N213" s="8"/>
      <c r="P213" s="11"/>
      <c r="Q213" s="8"/>
      <c r="T213" s="8"/>
    </row>
    <row r="214" ht="14.25" customHeight="1">
      <c r="D214" s="8"/>
      <c r="F214" s="8"/>
      <c r="G214" s="8"/>
      <c r="H214" s="8"/>
      <c r="J214" s="8"/>
      <c r="K214" s="8"/>
      <c r="M214" s="8"/>
      <c r="N214" s="8"/>
      <c r="P214" s="11"/>
      <c r="Q214" s="8"/>
      <c r="T214" s="8"/>
    </row>
    <row r="215" ht="14.25" customHeight="1">
      <c r="D215" s="8"/>
      <c r="F215" s="8"/>
      <c r="G215" s="8"/>
      <c r="H215" s="8"/>
      <c r="J215" s="8"/>
      <c r="K215" s="8"/>
      <c r="M215" s="8"/>
      <c r="N215" s="8"/>
      <c r="P215" s="11"/>
      <c r="Q215" s="8"/>
      <c r="T215" s="8"/>
    </row>
    <row r="216" ht="14.25" customHeight="1">
      <c r="D216" s="8"/>
      <c r="F216" s="8"/>
      <c r="G216" s="8"/>
      <c r="H216" s="8"/>
      <c r="J216" s="8"/>
      <c r="K216" s="8"/>
      <c r="M216" s="8"/>
      <c r="N216" s="8"/>
      <c r="P216" s="11"/>
      <c r="Q216" s="8"/>
      <c r="T216" s="8"/>
    </row>
    <row r="217" ht="14.25" customHeight="1">
      <c r="D217" s="8"/>
      <c r="F217" s="8"/>
      <c r="G217" s="8"/>
      <c r="H217" s="8"/>
      <c r="J217" s="8"/>
      <c r="K217" s="8"/>
      <c r="M217" s="8"/>
      <c r="N217" s="8"/>
      <c r="P217" s="11"/>
      <c r="Q217" s="8"/>
      <c r="T217" s="8"/>
    </row>
    <row r="218" ht="14.25" customHeight="1">
      <c r="D218" s="8"/>
      <c r="F218" s="8"/>
      <c r="G218" s="8"/>
      <c r="H218" s="8"/>
      <c r="J218" s="8"/>
      <c r="K218" s="8"/>
      <c r="M218" s="8"/>
      <c r="N218" s="8"/>
      <c r="P218" s="11"/>
      <c r="Q218" s="8"/>
      <c r="T218" s="8"/>
    </row>
    <row r="219" ht="14.25" customHeight="1">
      <c r="D219" s="8"/>
      <c r="F219" s="8"/>
      <c r="G219" s="8"/>
      <c r="H219" s="8"/>
      <c r="J219" s="8"/>
      <c r="K219" s="8"/>
      <c r="M219" s="8"/>
      <c r="N219" s="8"/>
      <c r="P219" s="11"/>
      <c r="Q219" s="8"/>
      <c r="T219" s="8"/>
    </row>
    <row r="220" ht="14.25" customHeight="1">
      <c r="D220" s="8"/>
      <c r="F220" s="8"/>
      <c r="G220" s="8"/>
      <c r="H220" s="8"/>
      <c r="J220" s="8"/>
      <c r="K220" s="8"/>
      <c r="M220" s="8"/>
      <c r="N220" s="8"/>
      <c r="P220" s="11"/>
      <c r="Q220" s="8"/>
      <c r="T220" s="8"/>
    </row>
    <row r="221" ht="14.25" customHeight="1">
      <c r="D221" s="8"/>
      <c r="F221" s="8"/>
      <c r="G221" s="8"/>
      <c r="H221" s="8"/>
      <c r="J221" s="8"/>
      <c r="K221" s="8"/>
      <c r="M221" s="8"/>
      <c r="N221" s="8"/>
      <c r="P221" s="8"/>
      <c r="Q221" s="8"/>
      <c r="T221" s="8"/>
    </row>
    <row r="222" ht="14.25" customHeight="1">
      <c r="D222" s="8"/>
      <c r="F222" s="8"/>
      <c r="G222" s="8"/>
      <c r="H222" s="8"/>
      <c r="J222" s="8"/>
      <c r="K222" s="8"/>
      <c r="M222" s="8"/>
      <c r="N222" s="8"/>
      <c r="P222" s="8"/>
      <c r="Q222" s="8"/>
      <c r="T222" s="8"/>
    </row>
    <row r="223" ht="14.25" customHeight="1">
      <c r="D223" s="8"/>
      <c r="F223" s="8"/>
      <c r="G223" s="8"/>
      <c r="H223" s="8"/>
      <c r="J223" s="8"/>
      <c r="K223" s="8"/>
      <c r="M223" s="8"/>
      <c r="N223" s="8"/>
      <c r="P223" s="8"/>
      <c r="Q223" s="8"/>
      <c r="T223" s="8"/>
    </row>
    <row r="224" ht="14.25" customHeight="1">
      <c r="D224" s="8"/>
      <c r="F224" s="8"/>
      <c r="G224" s="8"/>
      <c r="H224" s="8"/>
      <c r="J224" s="8"/>
      <c r="K224" s="8"/>
      <c r="M224" s="8"/>
      <c r="N224" s="8"/>
      <c r="P224" s="8"/>
      <c r="Q224" s="8"/>
      <c r="T224" s="8"/>
    </row>
    <row r="225" ht="14.25" customHeight="1">
      <c r="D225" s="8"/>
      <c r="F225" s="8"/>
      <c r="G225" s="8"/>
      <c r="H225" s="8"/>
      <c r="J225" s="8"/>
      <c r="K225" s="8"/>
      <c r="M225" s="8"/>
      <c r="N225" s="8"/>
      <c r="P225" s="8"/>
      <c r="Q225" s="8"/>
      <c r="T225" s="8"/>
    </row>
    <row r="226" ht="14.25" customHeight="1">
      <c r="D226" s="8"/>
      <c r="F226" s="8"/>
      <c r="G226" s="8"/>
      <c r="H226" s="8"/>
      <c r="J226" s="8"/>
      <c r="K226" s="8"/>
      <c r="M226" s="8"/>
      <c r="N226" s="8"/>
      <c r="P226" s="8"/>
      <c r="Q226" s="8"/>
      <c r="T226" s="8"/>
    </row>
    <row r="227" ht="14.25" customHeight="1">
      <c r="D227" s="8"/>
      <c r="F227" s="8"/>
      <c r="G227" s="8"/>
      <c r="H227" s="8"/>
      <c r="J227" s="8"/>
      <c r="K227" s="8"/>
      <c r="M227" s="8"/>
      <c r="N227" s="8"/>
      <c r="P227" s="8"/>
      <c r="Q227" s="8"/>
      <c r="T227" s="8"/>
    </row>
    <row r="228" ht="14.25" customHeight="1">
      <c r="D228" s="8"/>
      <c r="F228" s="8"/>
      <c r="G228" s="8"/>
      <c r="H228" s="8"/>
      <c r="J228" s="8"/>
      <c r="K228" s="8"/>
      <c r="M228" s="8"/>
      <c r="N228" s="8"/>
      <c r="P228" s="8"/>
      <c r="Q228" s="8"/>
      <c r="T228" s="8"/>
    </row>
    <row r="229" ht="14.25" customHeight="1">
      <c r="D229" s="8"/>
      <c r="F229" s="8"/>
      <c r="G229" s="8"/>
      <c r="H229" s="8"/>
      <c r="J229" s="8"/>
      <c r="K229" s="8"/>
      <c r="M229" s="8"/>
      <c r="N229" s="8"/>
      <c r="P229" s="8"/>
      <c r="Q229" s="8"/>
      <c r="T229" s="8"/>
    </row>
    <row r="230" ht="14.25" customHeight="1">
      <c r="D230" s="8"/>
      <c r="F230" s="8"/>
      <c r="G230" s="8"/>
      <c r="H230" s="8"/>
      <c r="J230" s="8"/>
      <c r="K230" s="8"/>
      <c r="M230" s="8"/>
      <c r="N230" s="8"/>
      <c r="P230" s="8"/>
      <c r="Q230" s="8"/>
      <c r="T230" s="8"/>
    </row>
    <row r="231" ht="14.25" customHeight="1">
      <c r="D231" s="8"/>
      <c r="F231" s="8"/>
      <c r="G231" s="8"/>
      <c r="H231" s="8"/>
      <c r="J231" s="8"/>
      <c r="K231" s="8"/>
      <c r="M231" s="8"/>
      <c r="N231" s="8"/>
      <c r="P231" s="8"/>
      <c r="Q231" s="8"/>
      <c r="T231" s="8"/>
    </row>
    <row r="232" ht="14.25" customHeight="1">
      <c r="D232" s="8"/>
      <c r="F232" s="8"/>
      <c r="G232" s="8"/>
      <c r="H232" s="8"/>
      <c r="J232" s="8"/>
      <c r="K232" s="8"/>
      <c r="M232" s="8"/>
      <c r="N232" s="8"/>
      <c r="P232" s="8"/>
      <c r="Q232" s="8"/>
      <c r="T232" s="8"/>
    </row>
    <row r="233" ht="14.25" customHeight="1">
      <c r="D233" s="8"/>
      <c r="F233" s="8"/>
      <c r="G233" s="8"/>
      <c r="H233" s="8"/>
      <c r="J233" s="8"/>
      <c r="K233" s="8"/>
      <c r="M233" s="8"/>
      <c r="N233" s="8"/>
      <c r="P233" s="8"/>
      <c r="Q233" s="8"/>
      <c r="T233" s="8"/>
    </row>
    <row r="234" ht="14.25" customHeight="1">
      <c r="D234" s="8"/>
      <c r="F234" s="8"/>
      <c r="G234" s="8"/>
      <c r="H234" s="8"/>
      <c r="J234" s="8"/>
      <c r="K234" s="8"/>
      <c r="M234" s="8"/>
      <c r="N234" s="8"/>
      <c r="P234" s="8"/>
      <c r="Q234" s="8"/>
      <c r="T234" s="8"/>
    </row>
    <row r="235" ht="14.25" customHeight="1">
      <c r="D235" s="8"/>
      <c r="F235" s="8"/>
      <c r="G235" s="8"/>
      <c r="H235" s="8"/>
      <c r="J235" s="8"/>
      <c r="K235" s="8"/>
      <c r="M235" s="8"/>
      <c r="N235" s="8"/>
      <c r="P235" s="8"/>
      <c r="Q235" s="8"/>
      <c r="T235" s="8"/>
    </row>
    <row r="236" ht="14.25" customHeight="1">
      <c r="D236" s="8"/>
      <c r="F236" s="8"/>
      <c r="G236" s="8"/>
      <c r="H236" s="8"/>
      <c r="J236" s="8"/>
      <c r="K236" s="8"/>
      <c r="M236" s="8"/>
      <c r="N236" s="8"/>
      <c r="P236" s="8"/>
      <c r="Q236" s="8"/>
      <c r="T236" s="8"/>
    </row>
    <row r="237" ht="14.25" customHeight="1">
      <c r="D237" s="8"/>
      <c r="F237" s="8"/>
      <c r="G237" s="8"/>
      <c r="H237" s="8"/>
      <c r="J237" s="8"/>
      <c r="K237" s="8"/>
      <c r="M237" s="8"/>
      <c r="N237" s="8"/>
      <c r="P237" s="8"/>
      <c r="Q237" s="8"/>
      <c r="T237" s="8"/>
    </row>
    <row r="238" ht="14.25" customHeight="1">
      <c r="D238" s="8"/>
      <c r="F238" s="8"/>
      <c r="G238" s="8"/>
      <c r="H238" s="8"/>
      <c r="J238" s="8"/>
      <c r="K238" s="8"/>
      <c r="M238" s="8"/>
      <c r="N238" s="8"/>
      <c r="P238" s="8"/>
      <c r="Q238" s="8"/>
      <c r="T238" s="8"/>
    </row>
    <row r="239" ht="14.25" customHeight="1">
      <c r="D239" s="8"/>
      <c r="F239" s="8"/>
      <c r="G239" s="8"/>
      <c r="H239" s="8"/>
      <c r="J239" s="8"/>
      <c r="K239" s="8"/>
      <c r="M239" s="8"/>
      <c r="N239" s="8"/>
      <c r="P239" s="8"/>
      <c r="Q239" s="8"/>
      <c r="T239" s="8"/>
    </row>
    <row r="240" ht="14.25" customHeight="1">
      <c r="D240" s="8"/>
      <c r="F240" s="8"/>
      <c r="G240" s="8"/>
      <c r="H240" s="8"/>
      <c r="J240" s="8"/>
      <c r="K240" s="8"/>
      <c r="M240" s="8"/>
      <c r="N240" s="8"/>
      <c r="P240" s="8"/>
      <c r="Q240" s="8"/>
      <c r="T240" s="8"/>
    </row>
    <row r="241" ht="14.25" customHeight="1">
      <c r="D241" s="8"/>
      <c r="F241" s="8"/>
      <c r="G241" s="8"/>
      <c r="H241" s="8"/>
      <c r="J241" s="8"/>
      <c r="K241" s="8"/>
      <c r="M241" s="8"/>
      <c r="N241" s="8"/>
      <c r="P241" s="8"/>
      <c r="Q241" s="8"/>
      <c r="T241" s="8"/>
    </row>
    <row r="242" ht="14.25" customHeight="1">
      <c r="D242" s="8"/>
      <c r="F242" s="8"/>
      <c r="G242" s="8"/>
      <c r="H242" s="8"/>
      <c r="J242" s="8"/>
      <c r="K242" s="8"/>
      <c r="M242" s="8"/>
      <c r="N242" s="8"/>
      <c r="P242" s="8"/>
      <c r="Q242" s="8"/>
      <c r="T242" s="8"/>
    </row>
    <row r="243" ht="14.25" customHeight="1">
      <c r="D243" s="8"/>
      <c r="F243" s="8"/>
      <c r="G243" s="8"/>
      <c r="H243" s="8"/>
      <c r="J243" s="8"/>
      <c r="K243" s="8"/>
      <c r="M243" s="8"/>
      <c r="N243" s="8"/>
      <c r="P243" s="8"/>
      <c r="Q243" s="8"/>
      <c r="T243" s="8"/>
    </row>
    <row r="244" ht="14.25" customHeight="1">
      <c r="D244" s="8"/>
      <c r="F244" s="8"/>
      <c r="G244" s="8"/>
      <c r="H244" s="8"/>
      <c r="J244" s="8"/>
      <c r="K244" s="8"/>
      <c r="M244" s="8"/>
      <c r="N244" s="8"/>
      <c r="P244" s="8"/>
      <c r="Q244" s="8"/>
      <c r="T244" s="8"/>
    </row>
    <row r="245" ht="14.25" customHeight="1">
      <c r="D245" s="8"/>
      <c r="F245" s="8"/>
      <c r="G245" s="8"/>
      <c r="H245" s="8"/>
      <c r="J245" s="8"/>
      <c r="K245" s="8"/>
      <c r="M245" s="8"/>
      <c r="N245" s="8"/>
      <c r="P245" s="8"/>
      <c r="Q245" s="8"/>
      <c r="T245" s="8"/>
    </row>
    <row r="246" ht="14.25" customHeight="1">
      <c r="D246" s="8"/>
      <c r="F246" s="8"/>
      <c r="G246" s="8"/>
      <c r="H246" s="8"/>
      <c r="J246" s="8"/>
      <c r="K246" s="8"/>
      <c r="M246" s="8"/>
      <c r="N246" s="8"/>
      <c r="P246" s="8"/>
      <c r="Q246" s="8"/>
      <c r="T246" s="8"/>
    </row>
    <row r="247" ht="14.25" customHeight="1">
      <c r="D247" s="8"/>
      <c r="F247" s="8"/>
      <c r="G247" s="8"/>
      <c r="H247" s="8"/>
      <c r="J247" s="8"/>
      <c r="K247" s="8"/>
      <c r="M247" s="8"/>
      <c r="N247" s="8"/>
      <c r="P247" s="8"/>
      <c r="Q247" s="8"/>
      <c r="T247" s="8"/>
    </row>
    <row r="248" ht="14.25" customHeight="1">
      <c r="D248" s="8"/>
      <c r="F248" s="8"/>
      <c r="G248" s="8"/>
      <c r="H248" s="8"/>
      <c r="J248" s="8"/>
      <c r="K248" s="8"/>
      <c r="M248" s="8"/>
      <c r="N248" s="8"/>
      <c r="P248" s="8"/>
      <c r="Q248" s="8"/>
      <c r="T248" s="8"/>
    </row>
    <row r="249" ht="14.25" customHeight="1">
      <c r="D249" s="8"/>
      <c r="F249" s="8"/>
      <c r="G249" s="8"/>
      <c r="H249" s="8"/>
      <c r="J249" s="8"/>
      <c r="K249" s="8"/>
      <c r="M249" s="8"/>
      <c r="N249" s="8"/>
      <c r="P249" s="8"/>
      <c r="Q249" s="8"/>
      <c r="T249" s="8"/>
    </row>
    <row r="250" ht="14.25" customHeight="1">
      <c r="D250" s="8"/>
      <c r="F250" s="8"/>
      <c r="G250" s="8"/>
      <c r="H250" s="8"/>
      <c r="J250" s="8"/>
      <c r="K250" s="8"/>
      <c r="M250" s="8"/>
      <c r="N250" s="8"/>
      <c r="P250" s="8"/>
      <c r="Q250" s="8"/>
      <c r="T250" s="8"/>
    </row>
    <row r="251" ht="14.25" customHeight="1">
      <c r="D251" s="8"/>
      <c r="F251" s="8"/>
      <c r="G251" s="8"/>
      <c r="H251" s="8"/>
      <c r="J251" s="8"/>
      <c r="K251" s="8"/>
      <c r="M251" s="8"/>
      <c r="N251" s="8"/>
      <c r="P251" s="8"/>
      <c r="Q251" s="8"/>
      <c r="T251" s="8"/>
    </row>
    <row r="252" ht="14.25" customHeight="1">
      <c r="D252" s="8"/>
      <c r="F252" s="8"/>
      <c r="G252" s="8"/>
      <c r="H252" s="8"/>
      <c r="J252" s="8"/>
      <c r="K252" s="8"/>
      <c r="M252" s="8"/>
      <c r="N252" s="8"/>
      <c r="P252" s="8"/>
      <c r="Q252" s="8"/>
      <c r="T252" s="8"/>
    </row>
    <row r="253" ht="14.25" customHeight="1">
      <c r="D253" s="8"/>
      <c r="F253" s="8"/>
      <c r="G253" s="8"/>
      <c r="H253" s="8"/>
      <c r="J253" s="8"/>
      <c r="K253" s="8"/>
      <c r="M253" s="8"/>
      <c r="N253" s="8"/>
      <c r="P253" s="8"/>
      <c r="Q253" s="8"/>
      <c r="T253" s="8"/>
    </row>
    <row r="254" ht="14.25" customHeight="1">
      <c r="D254" s="8"/>
      <c r="F254" s="8"/>
      <c r="G254" s="8"/>
      <c r="H254" s="8"/>
      <c r="J254" s="8"/>
      <c r="K254" s="8"/>
      <c r="M254" s="8"/>
      <c r="N254" s="8"/>
      <c r="P254" s="8"/>
      <c r="Q254" s="8"/>
      <c r="T254" s="8"/>
    </row>
    <row r="255" ht="14.25" customHeight="1">
      <c r="D255" s="8"/>
      <c r="F255" s="8"/>
      <c r="G255" s="8"/>
      <c r="H255" s="8"/>
      <c r="J255" s="8"/>
      <c r="K255" s="8"/>
      <c r="M255" s="8"/>
      <c r="N255" s="8"/>
      <c r="P255" s="8"/>
      <c r="Q255" s="8"/>
      <c r="T255" s="8"/>
    </row>
    <row r="256" ht="14.25" customHeight="1">
      <c r="D256" s="8"/>
      <c r="F256" s="8"/>
      <c r="G256" s="8"/>
      <c r="H256" s="8"/>
      <c r="J256" s="8"/>
      <c r="K256" s="8"/>
      <c r="M256" s="8"/>
      <c r="N256" s="8"/>
      <c r="P256" s="8"/>
      <c r="Q256" s="8"/>
      <c r="T256" s="8"/>
    </row>
    <row r="257" ht="14.25" customHeight="1">
      <c r="D257" s="8"/>
      <c r="F257" s="8"/>
      <c r="G257" s="8"/>
      <c r="H257" s="8"/>
      <c r="J257" s="8"/>
      <c r="K257" s="8"/>
      <c r="M257" s="8"/>
      <c r="N257" s="8"/>
      <c r="P257" s="8"/>
      <c r="Q257" s="8"/>
      <c r="T257" s="8"/>
    </row>
    <row r="258" ht="14.25" customHeight="1">
      <c r="D258" s="8"/>
      <c r="F258" s="8"/>
      <c r="G258" s="8"/>
      <c r="H258" s="8"/>
      <c r="J258" s="8"/>
      <c r="K258" s="8"/>
      <c r="M258" s="8"/>
      <c r="N258" s="8"/>
      <c r="P258" s="8"/>
      <c r="Q258" s="8"/>
      <c r="T258" s="8"/>
    </row>
    <row r="259" ht="14.25" customHeight="1">
      <c r="D259" s="8"/>
      <c r="F259" s="8"/>
      <c r="G259" s="8"/>
      <c r="H259" s="8"/>
      <c r="J259" s="8"/>
      <c r="K259" s="8"/>
      <c r="M259" s="8"/>
      <c r="N259" s="8"/>
      <c r="P259" s="8"/>
      <c r="Q259" s="8"/>
      <c r="T259" s="8"/>
    </row>
    <row r="260" ht="14.25" customHeight="1">
      <c r="D260" s="8"/>
      <c r="F260" s="8"/>
      <c r="G260" s="8"/>
      <c r="H260" s="8"/>
      <c r="J260" s="8"/>
      <c r="K260" s="8"/>
      <c r="M260" s="8"/>
      <c r="N260" s="8"/>
      <c r="P260" s="8"/>
      <c r="Q260" s="8"/>
      <c r="T260" s="8"/>
    </row>
    <row r="261" ht="14.25" customHeight="1">
      <c r="D261" s="8"/>
      <c r="F261" s="8"/>
      <c r="G261" s="8"/>
      <c r="H261" s="8"/>
      <c r="J261" s="8"/>
      <c r="K261" s="8"/>
      <c r="M261" s="8"/>
      <c r="N261" s="8"/>
      <c r="P261" s="8"/>
      <c r="Q261" s="8"/>
      <c r="T261" s="8"/>
    </row>
    <row r="262" ht="14.25" customHeight="1">
      <c r="D262" s="8"/>
      <c r="F262" s="8"/>
      <c r="G262" s="8"/>
      <c r="H262" s="8"/>
      <c r="J262" s="8"/>
      <c r="K262" s="8"/>
      <c r="M262" s="8"/>
      <c r="N262" s="8"/>
      <c r="P262" s="8"/>
      <c r="Q262" s="8"/>
      <c r="T262" s="8"/>
    </row>
    <row r="263" ht="14.25" customHeight="1">
      <c r="D263" s="8"/>
      <c r="F263" s="8"/>
      <c r="G263" s="8"/>
      <c r="H263" s="8"/>
      <c r="J263" s="8"/>
      <c r="K263" s="8"/>
      <c r="M263" s="8"/>
      <c r="N263" s="8"/>
      <c r="P263" s="8"/>
      <c r="Q263" s="8"/>
      <c r="T263" s="8"/>
    </row>
    <row r="264" ht="14.25" customHeight="1">
      <c r="D264" s="8"/>
      <c r="F264" s="8"/>
      <c r="G264" s="8"/>
      <c r="H264" s="8"/>
      <c r="J264" s="8"/>
      <c r="K264" s="8"/>
      <c r="M264" s="8"/>
      <c r="N264" s="8"/>
      <c r="P264" s="8"/>
      <c r="Q264" s="8"/>
      <c r="T264" s="8"/>
    </row>
    <row r="265" ht="14.25" customHeight="1">
      <c r="D265" s="8"/>
      <c r="F265" s="8"/>
      <c r="G265" s="8"/>
      <c r="H265" s="8"/>
      <c r="J265" s="8"/>
      <c r="K265" s="8"/>
      <c r="M265" s="8"/>
      <c r="N265" s="8"/>
      <c r="P265" s="8"/>
      <c r="Q265" s="8"/>
      <c r="T265" s="8"/>
    </row>
    <row r="266" ht="14.25" customHeight="1">
      <c r="D266" s="8"/>
      <c r="F266" s="8"/>
      <c r="G266" s="8"/>
      <c r="H266" s="8"/>
      <c r="J266" s="8"/>
      <c r="K266" s="8"/>
      <c r="M266" s="8"/>
      <c r="N266" s="8"/>
      <c r="P266" s="8"/>
      <c r="Q266" s="8"/>
      <c r="T266" s="8"/>
    </row>
    <row r="267" ht="14.25" customHeight="1">
      <c r="D267" s="8"/>
      <c r="F267" s="8"/>
      <c r="G267" s="8"/>
      <c r="H267" s="8"/>
      <c r="J267" s="8"/>
      <c r="K267" s="8"/>
      <c r="M267" s="8"/>
      <c r="N267" s="8"/>
      <c r="P267" s="8"/>
      <c r="Q267" s="8"/>
      <c r="T267" s="8"/>
    </row>
    <row r="268" ht="14.25" customHeight="1">
      <c r="D268" s="8"/>
      <c r="F268" s="8"/>
      <c r="G268" s="8"/>
      <c r="H268" s="8"/>
      <c r="J268" s="8"/>
      <c r="K268" s="8"/>
      <c r="M268" s="8"/>
      <c r="N268" s="8"/>
      <c r="P268" s="8"/>
      <c r="Q268" s="8"/>
      <c r="T268" s="8"/>
    </row>
    <row r="269" ht="14.25" customHeight="1">
      <c r="D269" s="8"/>
      <c r="F269" s="8"/>
      <c r="G269" s="8"/>
      <c r="H269" s="8"/>
      <c r="J269" s="8"/>
      <c r="K269" s="8"/>
      <c r="M269" s="8"/>
      <c r="N269" s="8"/>
      <c r="P269" s="8"/>
      <c r="Q269" s="8"/>
      <c r="T269" s="8"/>
    </row>
    <row r="270" ht="14.25" customHeight="1">
      <c r="D270" s="8"/>
      <c r="F270" s="8"/>
      <c r="G270" s="8"/>
      <c r="H270" s="8"/>
      <c r="J270" s="8"/>
      <c r="K270" s="8"/>
      <c r="M270" s="8"/>
      <c r="N270" s="8"/>
      <c r="P270" s="8"/>
      <c r="Q270" s="8"/>
      <c r="T270" s="8"/>
    </row>
    <row r="271" ht="14.25" customHeight="1">
      <c r="D271" s="8"/>
      <c r="F271" s="8"/>
      <c r="G271" s="8"/>
      <c r="H271" s="8"/>
      <c r="J271" s="8"/>
      <c r="K271" s="8"/>
      <c r="M271" s="8"/>
      <c r="N271" s="8"/>
      <c r="P271" s="8"/>
      <c r="Q271" s="8"/>
      <c r="T271" s="8"/>
    </row>
    <row r="272" ht="14.25" customHeight="1">
      <c r="D272" s="8"/>
      <c r="F272" s="8"/>
      <c r="G272" s="8"/>
      <c r="H272" s="8"/>
      <c r="J272" s="8"/>
      <c r="K272" s="8"/>
      <c r="M272" s="8"/>
      <c r="N272" s="8"/>
      <c r="P272" s="8"/>
      <c r="Q272" s="8"/>
      <c r="T272" s="8"/>
    </row>
    <row r="273" ht="14.25" customHeight="1">
      <c r="D273" s="8"/>
      <c r="F273" s="8"/>
      <c r="G273" s="8"/>
      <c r="H273" s="8"/>
      <c r="J273" s="8"/>
      <c r="K273" s="8"/>
      <c r="M273" s="8"/>
      <c r="N273" s="8"/>
      <c r="P273" s="8"/>
      <c r="Q273" s="8"/>
      <c r="T273" s="8"/>
    </row>
    <row r="274" ht="14.25" customHeight="1">
      <c r="D274" s="8"/>
      <c r="F274" s="8"/>
      <c r="G274" s="8"/>
      <c r="H274" s="8"/>
      <c r="J274" s="8"/>
      <c r="K274" s="8"/>
      <c r="M274" s="8"/>
      <c r="N274" s="8"/>
      <c r="P274" s="8"/>
      <c r="Q274" s="8"/>
      <c r="T274" s="8"/>
    </row>
    <row r="275" ht="14.25" customHeight="1">
      <c r="D275" s="8"/>
      <c r="F275" s="8"/>
      <c r="G275" s="8"/>
      <c r="H275" s="8"/>
      <c r="J275" s="8"/>
      <c r="K275" s="8"/>
      <c r="M275" s="8"/>
      <c r="N275" s="8"/>
      <c r="P275" s="8"/>
      <c r="Q275" s="8"/>
      <c r="T275" s="8"/>
    </row>
    <row r="276" ht="14.25" customHeight="1">
      <c r="D276" s="8"/>
      <c r="F276" s="8"/>
      <c r="G276" s="8"/>
      <c r="H276" s="8"/>
      <c r="J276" s="8"/>
      <c r="K276" s="8"/>
      <c r="M276" s="8"/>
      <c r="N276" s="8"/>
      <c r="P276" s="8"/>
      <c r="Q276" s="8"/>
      <c r="T276" s="8"/>
    </row>
    <row r="277" ht="14.25" customHeight="1">
      <c r="D277" s="8"/>
      <c r="F277" s="8"/>
      <c r="G277" s="8"/>
      <c r="H277" s="8"/>
      <c r="J277" s="8"/>
      <c r="K277" s="8"/>
      <c r="M277" s="8"/>
      <c r="N277" s="8"/>
      <c r="P277" s="8"/>
      <c r="Q277" s="8"/>
      <c r="T277" s="8"/>
    </row>
    <row r="278" ht="14.25" customHeight="1">
      <c r="D278" s="8"/>
      <c r="F278" s="8"/>
      <c r="G278" s="8"/>
      <c r="H278" s="8"/>
      <c r="J278" s="8"/>
      <c r="K278" s="8"/>
      <c r="M278" s="8"/>
      <c r="N278" s="8"/>
      <c r="P278" s="8"/>
      <c r="Q278" s="8"/>
      <c r="T278" s="8"/>
    </row>
    <row r="279" ht="14.25" customHeight="1">
      <c r="D279" s="8"/>
      <c r="F279" s="8"/>
      <c r="G279" s="8"/>
      <c r="H279" s="8"/>
      <c r="J279" s="8"/>
      <c r="K279" s="8"/>
      <c r="M279" s="8"/>
      <c r="N279" s="8"/>
      <c r="P279" s="8"/>
      <c r="Q279" s="8"/>
      <c r="T279" s="8"/>
    </row>
    <row r="280" ht="14.25" customHeight="1">
      <c r="D280" s="8"/>
      <c r="F280" s="8"/>
      <c r="G280" s="8"/>
      <c r="H280" s="8"/>
      <c r="J280" s="8"/>
      <c r="K280" s="8"/>
      <c r="M280" s="8"/>
      <c r="N280" s="8"/>
      <c r="P280" s="8"/>
      <c r="Q280" s="8"/>
      <c r="T280" s="8"/>
    </row>
    <row r="281" ht="14.25" customHeight="1">
      <c r="D281" s="8"/>
      <c r="F281" s="8"/>
      <c r="G281" s="8"/>
      <c r="H281" s="8"/>
      <c r="J281" s="8"/>
      <c r="K281" s="8"/>
      <c r="M281" s="8"/>
      <c r="N281" s="8"/>
      <c r="P281" s="8"/>
      <c r="Q281" s="8"/>
      <c r="T281" s="8"/>
    </row>
    <row r="282" ht="14.25" customHeight="1">
      <c r="D282" s="8"/>
      <c r="F282" s="8"/>
      <c r="G282" s="8"/>
      <c r="H282" s="8"/>
      <c r="J282" s="8"/>
      <c r="K282" s="8"/>
      <c r="M282" s="8"/>
      <c r="N282" s="8"/>
      <c r="P282" s="8"/>
      <c r="Q282" s="8"/>
      <c r="T282" s="8"/>
    </row>
    <row r="283" ht="14.25" customHeight="1">
      <c r="D283" s="8"/>
      <c r="F283" s="8"/>
      <c r="G283" s="8"/>
      <c r="H283" s="8"/>
      <c r="J283" s="8"/>
      <c r="K283" s="8"/>
      <c r="M283" s="8"/>
      <c r="N283" s="8"/>
      <c r="P283" s="8"/>
      <c r="Q283" s="8"/>
      <c r="T283" s="8"/>
    </row>
    <row r="284" ht="14.25" customHeight="1">
      <c r="D284" s="8"/>
      <c r="F284" s="8"/>
      <c r="G284" s="8"/>
      <c r="H284" s="8"/>
      <c r="J284" s="8"/>
      <c r="K284" s="8"/>
      <c r="M284" s="8"/>
      <c r="N284" s="8"/>
      <c r="P284" s="8"/>
      <c r="Q284" s="8"/>
      <c r="T284" s="8"/>
    </row>
    <row r="285" ht="14.25" customHeight="1">
      <c r="D285" s="8"/>
      <c r="F285" s="8"/>
      <c r="G285" s="8"/>
      <c r="H285" s="8"/>
      <c r="J285" s="8"/>
      <c r="K285" s="8"/>
      <c r="M285" s="8"/>
      <c r="N285" s="8"/>
      <c r="P285" s="8"/>
      <c r="Q285" s="8"/>
      <c r="T285" s="8"/>
    </row>
    <row r="286" ht="14.25" customHeight="1">
      <c r="D286" s="8"/>
      <c r="F286" s="8"/>
      <c r="G286" s="8"/>
      <c r="H286" s="8"/>
      <c r="J286" s="8"/>
      <c r="K286" s="8"/>
      <c r="M286" s="8"/>
      <c r="N286" s="8"/>
      <c r="P286" s="8"/>
      <c r="Q286" s="8"/>
      <c r="T286" s="8"/>
    </row>
    <row r="287" ht="14.25" customHeight="1">
      <c r="D287" s="8"/>
      <c r="F287" s="8"/>
      <c r="G287" s="8"/>
      <c r="H287" s="8"/>
      <c r="J287" s="8"/>
      <c r="K287" s="8"/>
      <c r="M287" s="8"/>
      <c r="N287" s="8"/>
      <c r="P287" s="8"/>
      <c r="Q287" s="8"/>
      <c r="T287" s="8"/>
    </row>
    <row r="288" ht="14.25" customHeight="1">
      <c r="D288" s="8"/>
      <c r="F288" s="8"/>
      <c r="G288" s="8"/>
      <c r="H288" s="8"/>
      <c r="J288" s="8"/>
      <c r="K288" s="8"/>
      <c r="M288" s="8"/>
      <c r="N288" s="8"/>
      <c r="P288" s="8"/>
      <c r="Q288" s="8"/>
      <c r="T288" s="8"/>
    </row>
    <row r="289" ht="14.25" customHeight="1">
      <c r="D289" s="8"/>
      <c r="F289" s="8"/>
      <c r="G289" s="8"/>
      <c r="H289" s="8"/>
      <c r="J289" s="8"/>
      <c r="K289" s="8"/>
      <c r="M289" s="8"/>
      <c r="N289" s="8"/>
      <c r="P289" s="8"/>
      <c r="Q289" s="8"/>
      <c r="T289" s="8"/>
    </row>
    <row r="290" ht="14.25" customHeight="1">
      <c r="D290" s="8"/>
      <c r="F290" s="8"/>
      <c r="G290" s="8"/>
      <c r="H290" s="8"/>
      <c r="J290" s="8"/>
      <c r="K290" s="8"/>
      <c r="M290" s="8"/>
      <c r="N290" s="8"/>
      <c r="P290" s="8"/>
      <c r="Q290" s="8"/>
      <c r="T290" s="8"/>
    </row>
    <row r="291" ht="14.25" customHeight="1">
      <c r="D291" s="8"/>
      <c r="F291" s="8"/>
      <c r="G291" s="8"/>
      <c r="H291" s="8"/>
      <c r="J291" s="8"/>
      <c r="K291" s="8"/>
      <c r="M291" s="8"/>
      <c r="N291" s="8"/>
      <c r="P291" s="8"/>
      <c r="Q291" s="8"/>
      <c r="T291" s="8"/>
    </row>
    <row r="292" ht="14.25" customHeight="1">
      <c r="D292" s="8"/>
      <c r="F292" s="8"/>
      <c r="G292" s="8"/>
      <c r="H292" s="8"/>
      <c r="J292" s="8"/>
      <c r="K292" s="8"/>
      <c r="M292" s="8"/>
      <c r="N292" s="8"/>
      <c r="P292" s="8"/>
      <c r="Q292" s="8"/>
      <c r="T292" s="8"/>
    </row>
    <row r="293" ht="14.25" customHeight="1">
      <c r="D293" s="8"/>
      <c r="F293" s="8"/>
      <c r="G293" s="8"/>
      <c r="H293" s="8"/>
      <c r="J293" s="8"/>
      <c r="K293" s="8"/>
      <c r="M293" s="8"/>
      <c r="N293" s="8"/>
      <c r="P293" s="8"/>
      <c r="Q293" s="8"/>
      <c r="T293" s="8"/>
    </row>
    <row r="294" ht="14.25" customHeight="1">
      <c r="D294" s="8"/>
      <c r="F294" s="8"/>
      <c r="G294" s="8"/>
      <c r="H294" s="8"/>
      <c r="J294" s="8"/>
      <c r="K294" s="8"/>
      <c r="M294" s="8"/>
      <c r="N294" s="8"/>
      <c r="P294" s="8"/>
      <c r="Q294" s="8"/>
      <c r="T294" s="8"/>
    </row>
    <row r="295" ht="14.25" customHeight="1">
      <c r="D295" s="8"/>
      <c r="F295" s="8"/>
      <c r="G295" s="8"/>
      <c r="H295" s="8"/>
      <c r="J295" s="8"/>
      <c r="K295" s="8"/>
      <c r="M295" s="8"/>
      <c r="N295" s="8"/>
      <c r="P295" s="8"/>
      <c r="Q295" s="8"/>
      <c r="T295" s="8"/>
    </row>
    <row r="296" ht="14.25" customHeight="1">
      <c r="D296" s="8"/>
      <c r="F296" s="8"/>
      <c r="G296" s="8"/>
      <c r="H296" s="8"/>
      <c r="J296" s="8"/>
      <c r="K296" s="8"/>
      <c r="M296" s="8"/>
      <c r="N296" s="8"/>
      <c r="P296" s="8"/>
      <c r="Q296" s="8"/>
      <c r="T296" s="8"/>
    </row>
    <row r="297" ht="14.25" customHeight="1">
      <c r="D297" s="8"/>
      <c r="F297" s="8"/>
      <c r="G297" s="8"/>
      <c r="H297" s="8"/>
      <c r="J297" s="8"/>
      <c r="K297" s="8"/>
      <c r="M297" s="8"/>
      <c r="N297" s="8"/>
      <c r="P297" s="8"/>
      <c r="Q297" s="8"/>
      <c r="T297" s="8"/>
    </row>
    <row r="298" ht="14.25" customHeight="1">
      <c r="D298" s="8"/>
      <c r="F298" s="8"/>
      <c r="G298" s="8"/>
      <c r="H298" s="8"/>
      <c r="J298" s="8"/>
      <c r="K298" s="8"/>
      <c r="M298" s="8"/>
      <c r="N298" s="8"/>
      <c r="P298" s="8"/>
      <c r="Q298" s="8"/>
      <c r="T298" s="8"/>
    </row>
    <row r="299" ht="14.25" customHeight="1">
      <c r="D299" s="8"/>
      <c r="F299" s="8"/>
      <c r="G299" s="8"/>
      <c r="H299" s="8"/>
      <c r="J299" s="8"/>
      <c r="K299" s="8"/>
      <c r="M299" s="8"/>
      <c r="N299" s="8"/>
      <c r="P299" s="8"/>
      <c r="Q299" s="8"/>
      <c r="T299" s="8"/>
    </row>
    <row r="300" ht="14.25" customHeight="1">
      <c r="D300" s="8"/>
      <c r="F300" s="8"/>
      <c r="G300" s="8"/>
      <c r="H300" s="8"/>
      <c r="J300" s="8"/>
      <c r="K300" s="8"/>
      <c r="M300" s="8"/>
      <c r="N300" s="8"/>
      <c r="P300" s="8"/>
      <c r="Q300" s="8"/>
      <c r="T300" s="8"/>
    </row>
    <row r="301" ht="14.25" customHeight="1">
      <c r="D301" s="8"/>
      <c r="F301" s="8"/>
      <c r="G301" s="8"/>
      <c r="H301" s="8"/>
      <c r="J301" s="8"/>
      <c r="K301" s="8"/>
      <c r="M301" s="8"/>
      <c r="N301" s="8"/>
      <c r="P301" s="8"/>
      <c r="Q301" s="8"/>
      <c r="T301" s="8"/>
    </row>
    <row r="302" ht="14.25" customHeight="1">
      <c r="D302" s="8"/>
      <c r="F302" s="8"/>
      <c r="G302" s="8"/>
      <c r="H302" s="8"/>
      <c r="J302" s="8"/>
      <c r="K302" s="8"/>
      <c r="M302" s="8"/>
      <c r="N302" s="8"/>
      <c r="P302" s="8"/>
      <c r="Q302" s="8"/>
      <c r="T302" s="8"/>
    </row>
    <row r="303" ht="14.25" customHeight="1">
      <c r="D303" s="8"/>
      <c r="F303" s="8"/>
      <c r="G303" s="8"/>
      <c r="H303" s="8"/>
      <c r="J303" s="8"/>
      <c r="K303" s="8"/>
      <c r="M303" s="8"/>
      <c r="N303" s="8"/>
      <c r="P303" s="8"/>
      <c r="Q303" s="8"/>
      <c r="T303" s="8"/>
    </row>
    <row r="304" ht="14.25" customHeight="1">
      <c r="D304" s="8"/>
      <c r="F304" s="8"/>
      <c r="G304" s="8"/>
      <c r="H304" s="8"/>
      <c r="J304" s="8"/>
      <c r="K304" s="8"/>
      <c r="M304" s="8"/>
      <c r="N304" s="8"/>
      <c r="P304" s="8"/>
      <c r="Q304" s="8"/>
      <c r="T304" s="8"/>
    </row>
    <row r="305" ht="14.25" customHeight="1">
      <c r="D305" s="8"/>
      <c r="F305" s="8"/>
      <c r="G305" s="8"/>
      <c r="H305" s="8"/>
      <c r="J305" s="8"/>
      <c r="K305" s="8"/>
      <c r="M305" s="8"/>
      <c r="N305" s="8"/>
      <c r="P305" s="8"/>
      <c r="Q305" s="8"/>
      <c r="T305" s="8"/>
    </row>
    <row r="306" ht="14.25" customHeight="1">
      <c r="D306" s="8"/>
      <c r="F306" s="8"/>
      <c r="G306" s="8"/>
      <c r="H306" s="8"/>
      <c r="J306" s="8"/>
      <c r="K306" s="8"/>
      <c r="M306" s="8"/>
      <c r="N306" s="8"/>
      <c r="P306" s="8"/>
      <c r="Q306" s="8"/>
      <c r="T306" s="8"/>
    </row>
    <row r="307" ht="14.25" customHeight="1">
      <c r="D307" s="8"/>
      <c r="F307" s="8"/>
      <c r="G307" s="8"/>
      <c r="H307" s="8"/>
      <c r="J307" s="8"/>
      <c r="K307" s="8"/>
      <c r="M307" s="8"/>
      <c r="N307" s="8"/>
      <c r="P307" s="8"/>
      <c r="Q307" s="8"/>
      <c r="T307" s="8"/>
    </row>
    <row r="308" ht="14.25" customHeight="1">
      <c r="D308" s="8"/>
      <c r="F308" s="8"/>
      <c r="G308" s="8"/>
      <c r="H308" s="8"/>
      <c r="J308" s="8"/>
      <c r="K308" s="8"/>
      <c r="M308" s="8"/>
      <c r="N308" s="8"/>
      <c r="P308" s="8"/>
      <c r="Q308" s="8"/>
      <c r="T308" s="8"/>
    </row>
    <row r="309" ht="14.25" customHeight="1">
      <c r="D309" s="8"/>
      <c r="F309" s="8"/>
      <c r="G309" s="8"/>
      <c r="H309" s="8"/>
      <c r="J309" s="8"/>
      <c r="K309" s="8"/>
      <c r="M309" s="8"/>
      <c r="N309" s="8"/>
      <c r="P309" s="8"/>
      <c r="Q309" s="8"/>
      <c r="T309" s="8"/>
    </row>
    <row r="310" ht="14.25" customHeight="1">
      <c r="D310" s="8"/>
      <c r="F310" s="8"/>
      <c r="G310" s="8"/>
      <c r="H310" s="8"/>
      <c r="J310" s="8"/>
      <c r="K310" s="8"/>
      <c r="M310" s="8"/>
      <c r="N310" s="8"/>
      <c r="P310" s="8"/>
      <c r="Q310" s="8"/>
      <c r="T310" s="8"/>
    </row>
    <row r="311" ht="14.25" customHeight="1">
      <c r="D311" s="8"/>
      <c r="F311" s="8"/>
      <c r="G311" s="8"/>
      <c r="H311" s="8"/>
      <c r="J311" s="8"/>
      <c r="K311" s="8"/>
      <c r="M311" s="8"/>
      <c r="N311" s="8"/>
      <c r="P311" s="8"/>
      <c r="Q311" s="8"/>
      <c r="T311" s="8"/>
    </row>
    <row r="312" ht="14.25" customHeight="1">
      <c r="D312" s="8"/>
      <c r="F312" s="8"/>
      <c r="G312" s="8"/>
      <c r="H312" s="8"/>
      <c r="J312" s="8"/>
      <c r="K312" s="8"/>
      <c r="M312" s="8"/>
      <c r="N312" s="8"/>
      <c r="P312" s="8"/>
      <c r="Q312" s="8"/>
      <c r="T312" s="8"/>
    </row>
    <row r="313" ht="14.25" customHeight="1">
      <c r="D313" s="8"/>
      <c r="F313" s="8"/>
      <c r="G313" s="8"/>
      <c r="H313" s="8"/>
      <c r="J313" s="8"/>
      <c r="K313" s="8"/>
      <c r="M313" s="8"/>
      <c r="N313" s="8"/>
      <c r="P313" s="8"/>
      <c r="Q313" s="8"/>
      <c r="T313" s="8"/>
    </row>
    <row r="314" ht="14.25" customHeight="1">
      <c r="D314" s="8"/>
      <c r="F314" s="8"/>
      <c r="G314" s="8"/>
      <c r="H314" s="8"/>
      <c r="J314" s="8"/>
      <c r="K314" s="8"/>
      <c r="M314" s="8"/>
      <c r="N314" s="8"/>
      <c r="P314" s="8"/>
      <c r="Q314" s="8"/>
      <c r="T314" s="8"/>
    </row>
    <row r="315" ht="14.25" customHeight="1">
      <c r="D315" s="8"/>
      <c r="F315" s="8"/>
      <c r="G315" s="8"/>
      <c r="H315" s="8"/>
      <c r="J315" s="8"/>
      <c r="K315" s="8"/>
      <c r="M315" s="8"/>
      <c r="N315" s="8"/>
      <c r="P315" s="8"/>
      <c r="Q315" s="8"/>
      <c r="T315" s="8"/>
    </row>
    <row r="316" ht="14.25" customHeight="1">
      <c r="D316" s="8"/>
      <c r="F316" s="8"/>
      <c r="G316" s="8"/>
      <c r="H316" s="8"/>
      <c r="J316" s="8"/>
      <c r="K316" s="8"/>
      <c r="M316" s="8"/>
      <c r="N316" s="8"/>
      <c r="P316" s="8"/>
      <c r="Q316" s="8"/>
      <c r="T316" s="8"/>
    </row>
    <row r="317" ht="14.25" customHeight="1">
      <c r="D317" s="8"/>
      <c r="F317" s="8"/>
      <c r="G317" s="8"/>
      <c r="H317" s="8"/>
      <c r="J317" s="8"/>
      <c r="K317" s="8"/>
      <c r="M317" s="8"/>
      <c r="N317" s="8"/>
      <c r="P317" s="8"/>
      <c r="Q317" s="8"/>
      <c r="T317" s="8"/>
    </row>
    <row r="318" ht="14.25" customHeight="1">
      <c r="D318" s="8"/>
      <c r="F318" s="8"/>
      <c r="G318" s="8"/>
      <c r="H318" s="8"/>
      <c r="J318" s="8"/>
      <c r="K318" s="8"/>
      <c r="M318" s="8"/>
      <c r="N318" s="8"/>
      <c r="P318" s="8"/>
      <c r="Q318" s="8"/>
      <c r="T318" s="8"/>
    </row>
    <row r="319" ht="14.25" customHeight="1">
      <c r="D319" s="8"/>
      <c r="F319" s="8"/>
      <c r="G319" s="8"/>
      <c r="H319" s="8"/>
      <c r="J319" s="8"/>
      <c r="K319" s="8"/>
      <c r="M319" s="8"/>
      <c r="N319" s="8"/>
      <c r="P319" s="8"/>
      <c r="Q319" s="8"/>
      <c r="T319" s="8"/>
    </row>
    <row r="320" ht="14.25" customHeight="1">
      <c r="D320" s="8"/>
      <c r="F320" s="8"/>
      <c r="G320" s="8"/>
      <c r="H320" s="8"/>
      <c r="J320" s="8"/>
      <c r="K320" s="8"/>
      <c r="M320" s="8"/>
      <c r="N320" s="8"/>
      <c r="P320" s="8"/>
      <c r="Q320" s="8"/>
      <c r="T320" s="8"/>
    </row>
    <row r="321" ht="14.25" customHeight="1">
      <c r="D321" s="8"/>
      <c r="F321" s="8"/>
      <c r="G321" s="8"/>
      <c r="H321" s="8"/>
      <c r="J321" s="8"/>
      <c r="K321" s="8"/>
      <c r="M321" s="8"/>
      <c r="N321" s="8"/>
      <c r="P321" s="8"/>
      <c r="Q321" s="8"/>
      <c r="T321" s="8"/>
    </row>
    <row r="322" ht="14.25" customHeight="1">
      <c r="D322" s="8"/>
      <c r="F322" s="8"/>
      <c r="G322" s="8"/>
      <c r="H322" s="8"/>
      <c r="J322" s="8"/>
      <c r="K322" s="8"/>
      <c r="M322" s="8"/>
      <c r="N322" s="8"/>
      <c r="P322" s="8"/>
      <c r="Q322" s="8"/>
      <c r="T322" s="8"/>
    </row>
    <row r="323" ht="14.25" customHeight="1">
      <c r="D323" s="8"/>
      <c r="F323" s="8"/>
      <c r="G323" s="8"/>
      <c r="H323" s="8"/>
      <c r="J323" s="8"/>
      <c r="K323" s="8"/>
      <c r="M323" s="8"/>
      <c r="N323" s="8"/>
      <c r="P323" s="8"/>
      <c r="Q323" s="8"/>
      <c r="T323" s="8"/>
    </row>
    <row r="324" ht="14.25" customHeight="1">
      <c r="D324" s="8"/>
      <c r="F324" s="8"/>
      <c r="G324" s="8"/>
      <c r="H324" s="8"/>
      <c r="J324" s="8"/>
      <c r="K324" s="8"/>
      <c r="M324" s="8"/>
      <c r="N324" s="8"/>
      <c r="P324" s="8"/>
      <c r="Q324" s="8"/>
      <c r="T324" s="8"/>
    </row>
    <row r="325" ht="14.25" customHeight="1">
      <c r="D325" s="8"/>
      <c r="F325" s="8"/>
      <c r="G325" s="8"/>
      <c r="H325" s="8"/>
      <c r="J325" s="8"/>
      <c r="K325" s="8"/>
      <c r="M325" s="8"/>
      <c r="N325" s="8"/>
      <c r="P325" s="8"/>
      <c r="Q325" s="8"/>
      <c r="T325" s="8"/>
    </row>
    <row r="326" ht="14.25" customHeight="1">
      <c r="D326" s="8"/>
      <c r="F326" s="8"/>
      <c r="G326" s="8"/>
      <c r="H326" s="8"/>
      <c r="J326" s="8"/>
      <c r="K326" s="8"/>
      <c r="M326" s="8"/>
      <c r="N326" s="8"/>
      <c r="P326" s="8"/>
      <c r="Q326" s="8"/>
      <c r="T326" s="8"/>
    </row>
    <row r="327" ht="14.25" customHeight="1">
      <c r="D327" s="8"/>
      <c r="F327" s="8"/>
      <c r="G327" s="8"/>
      <c r="H327" s="8"/>
      <c r="J327" s="8"/>
      <c r="K327" s="8"/>
      <c r="M327" s="8"/>
      <c r="N327" s="8"/>
      <c r="P327" s="8"/>
      <c r="Q327" s="8"/>
      <c r="T327" s="8"/>
    </row>
    <row r="328" ht="14.25" customHeight="1">
      <c r="D328" s="8"/>
      <c r="F328" s="8"/>
      <c r="G328" s="8"/>
      <c r="H328" s="8"/>
      <c r="J328" s="8"/>
      <c r="K328" s="8"/>
      <c r="M328" s="8"/>
      <c r="N328" s="8"/>
      <c r="P328" s="8"/>
      <c r="Q328" s="8"/>
      <c r="T328" s="8"/>
    </row>
    <row r="329" ht="14.25" customHeight="1">
      <c r="D329" s="8"/>
      <c r="F329" s="8"/>
      <c r="G329" s="8"/>
      <c r="H329" s="8"/>
      <c r="J329" s="8"/>
      <c r="K329" s="8"/>
      <c r="M329" s="8"/>
      <c r="N329" s="8"/>
      <c r="P329" s="8"/>
      <c r="Q329" s="8"/>
      <c r="T329" s="8"/>
    </row>
    <row r="330" ht="14.25" customHeight="1">
      <c r="D330" s="8"/>
      <c r="F330" s="8"/>
      <c r="G330" s="8"/>
      <c r="H330" s="8"/>
      <c r="J330" s="8"/>
      <c r="K330" s="8"/>
      <c r="M330" s="8"/>
      <c r="N330" s="8"/>
      <c r="P330" s="8"/>
      <c r="Q330" s="8"/>
      <c r="T330" s="8"/>
    </row>
    <row r="331" ht="14.25" customHeight="1">
      <c r="D331" s="8"/>
      <c r="F331" s="8"/>
      <c r="G331" s="8"/>
      <c r="H331" s="8"/>
      <c r="J331" s="8"/>
      <c r="K331" s="8"/>
      <c r="M331" s="8"/>
      <c r="N331" s="8"/>
      <c r="P331" s="8"/>
      <c r="Q331" s="8"/>
      <c r="T331" s="8"/>
    </row>
    <row r="332" ht="14.25" customHeight="1">
      <c r="D332" s="8"/>
      <c r="F332" s="8"/>
      <c r="G332" s="8"/>
      <c r="H332" s="8"/>
      <c r="J332" s="8"/>
      <c r="K332" s="8"/>
      <c r="M332" s="8"/>
      <c r="N332" s="8"/>
      <c r="P332" s="8"/>
      <c r="Q332" s="8"/>
      <c r="T332" s="8"/>
    </row>
    <row r="333" ht="14.25" customHeight="1">
      <c r="D333" s="8"/>
      <c r="F333" s="8"/>
      <c r="G333" s="8"/>
      <c r="H333" s="8"/>
      <c r="J333" s="8"/>
      <c r="K333" s="8"/>
      <c r="M333" s="8"/>
      <c r="N333" s="8"/>
      <c r="P333" s="8"/>
      <c r="Q333" s="8"/>
      <c r="T333" s="8"/>
    </row>
    <row r="334" ht="14.25" customHeight="1">
      <c r="D334" s="8"/>
      <c r="F334" s="8"/>
      <c r="G334" s="8"/>
      <c r="H334" s="8"/>
      <c r="J334" s="8"/>
      <c r="K334" s="8"/>
      <c r="M334" s="8"/>
      <c r="N334" s="8"/>
      <c r="P334" s="8"/>
      <c r="Q334" s="8"/>
      <c r="T334" s="8"/>
    </row>
    <row r="335" ht="14.25" customHeight="1">
      <c r="D335" s="8"/>
      <c r="F335" s="8"/>
      <c r="G335" s="8"/>
      <c r="H335" s="8"/>
      <c r="J335" s="8"/>
      <c r="K335" s="8"/>
      <c r="M335" s="8"/>
      <c r="N335" s="8"/>
      <c r="P335" s="8"/>
      <c r="Q335" s="8"/>
      <c r="T335" s="8"/>
    </row>
    <row r="336" ht="14.25" customHeight="1">
      <c r="D336" s="8"/>
      <c r="F336" s="8"/>
      <c r="G336" s="8"/>
      <c r="H336" s="8"/>
      <c r="J336" s="8"/>
      <c r="K336" s="8"/>
      <c r="M336" s="8"/>
      <c r="N336" s="8"/>
      <c r="P336" s="8"/>
      <c r="Q336" s="8"/>
      <c r="T336" s="8"/>
    </row>
    <row r="337" ht="14.25" customHeight="1">
      <c r="D337" s="8"/>
      <c r="F337" s="8"/>
      <c r="G337" s="8"/>
      <c r="H337" s="8"/>
      <c r="J337" s="8"/>
      <c r="K337" s="8"/>
      <c r="M337" s="8"/>
      <c r="N337" s="8"/>
      <c r="P337" s="8"/>
      <c r="Q337" s="8"/>
      <c r="T337" s="8"/>
    </row>
    <row r="338" ht="14.25" customHeight="1">
      <c r="D338" s="8"/>
      <c r="F338" s="8"/>
      <c r="G338" s="8"/>
      <c r="H338" s="8"/>
      <c r="J338" s="8"/>
      <c r="K338" s="8"/>
      <c r="M338" s="8"/>
      <c r="N338" s="8"/>
      <c r="P338" s="8"/>
      <c r="Q338" s="8"/>
      <c r="T338" s="8"/>
    </row>
    <row r="339" ht="14.25" customHeight="1">
      <c r="D339" s="8"/>
      <c r="F339" s="8"/>
      <c r="G339" s="8"/>
      <c r="H339" s="8"/>
      <c r="J339" s="8"/>
      <c r="K339" s="8"/>
      <c r="M339" s="8"/>
      <c r="N339" s="8"/>
      <c r="P339" s="8"/>
      <c r="Q339" s="8"/>
      <c r="T339" s="8"/>
    </row>
    <row r="340" ht="14.25" customHeight="1">
      <c r="D340" s="8"/>
      <c r="F340" s="8"/>
      <c r="G340" s="8"/>
      <c r="H340" s="8"/>
      <c r="J340" s="8"/>
      <c r="K340" s="8"/>
      <c r="M340" s="8"/>
      <c r="N340" s="8"/>
      <c r="P340" s="8"/>
      <c r="Q340" s="8"/>
      <c r="T340" s="8"/>
    </row>
    <row r="341" ht="14.25" customHeight="1">
      <c r="D341" s="8"/>
      <c r="F341" s="8"/>
      <c r="G341" s="8"/>
      <c r="H341" s="8"/>
      <c r="J341" s="8"/>
      <c r="K341" s="8"/>
      <c r="M341" s="8"/>
      <c r="N341" s="8"/>
      <c r="P341" s="8"/>
      <c r="Q341" s="8"/>
      <c r="T341" s="8"/>
    </row>
    <row r="342" ht="14.25" customHeight="1">
      <c r="D342" s="8"/>
      <c r="F342" s="8"/>
      <c r="G342" s="8"/>
      <c r="H342" s="8"/>
      <c r="J342" s="8"/>
      <c r="K342" s="8"/>
      <c r="M342" s="8"/>
      <c r="N342" s="8"/>
      <c r="P342" s="8"/>
      <c r="Q342" s="8"/>
      <c r="T342" s="8"/>
    </row>
    <row r="343" ht="14.25" customHeight="1">
      <c r="D343" s="8"/>
      <c r="F343" s="8"/>
      <c r="G343" s="8"/>
      <c r="H343" s="8"/>
      <c r="J343" s="8"/>
      <c r="K343" s="8"/>
      <c r="M343" s="8"/>
      <c r="N343" s="8"/>
      <c r="P343" s="8"/>
      <c r="Q343" s="8"/>
      <c r="T343" s="8"/>
    </row>
    <row r="344" ht="14.25" customHeight="1">
      <c r="D344" s="8"/>
      <c r="F344" s="8"/>
      <c r="G344" s="8"/>
      <c r="H344" s="8"/>
      <c r="J344" s="8"/>
      <c r="K344" s="8"/>
      <c r="M344" s="8"/>
      <c r="N344" s="8"/>
      <c r="P344" s="8"/>
      <c r="Q344" s="8"/>
      <c r="T344" s="8"/>
    </row>
    <row r="345" ht="14.25" customHeight="1">
      <c r="D345" s="8"/>
      <c r="F345" s="8"/>
      <c r="G345" s="8"/>
      <c r="H345" s="8"/>
      <c r="J345" s="8"/>
      <c r="K345" s="8"/>
      <c r="M345" s="8"/>
      <c r="N345" s="8"/>
      <c r="P345" s="8"/>
      <c r="Q345" s="8"/>
      <c r="T345" s="8"/>
    </row>
    <row r="346" ht="14.25" customHeight="1">
      <c r="D346" s="8"/>
      <c r="F346" s="8"/>
      <c r="G346" s="8"/>
      <c r="H346" s="8"/>
      <c r="J346" s="8"/>
      <c r="K346" s="8"/>
      <c r="M346" s="8"/>
      <c r="N346" s="8"/>
      <c r="P346" s="8"/>
      <c r="Q346" s="8"/>
      <c r="T346" s="8"/>
    </row>
    <row r="347" ht="14.25" customHeight="1">
      <c r="D347" s="8"/>
      <c r="F347" s="8"/>
      <c r="G347" s="8"/>
      <c r="H347" s="8"/>
      <c r="J347" s="8"/>
      <c r="K347" s="8"/>
      <c r="M347" s="8"/>
      <c r="N347" s="8"/>
      <c r="P347" s="8"/>
      <c r="Q347" s="8"/>
      <c r="T347" s="8"/>
    </row>
    <row r="348" ht="14.25" customHeight="1">
      <c r="D348" s="8"/>
      <c r="F348" s="8"/>
      <c r="G348" s="8"/>
      <c r="H348" s="8"/>
      <c r="J348" s="8"/>
      <c r="K348" s="8"/>
      <c r="M348" s="8"/>
      <c r="N348" s="8"/>
      <c r="P348" s="8"/>
      <c r="Q348" s="8"/>
      <c r="T348" s="8"/>
    </row>
    <row r="349" ht="14.25" customHeight="1">
      <c r="D349" s="8"/>
      <c r="F349" s="8"/>
      <c r="G349" s="8"/>
      <c r="H349" s="8"/>
      <c r="J349" s="8"/>
      <c r="K349" s="8"/>
      <c r="M349" s="8"/>
      <c r="N349" s="8"/>
      <c r="P349" s="8"/>
      <c r="Q349" s="8"/>
      <c r="T349" s="8"/>
    </row>
    <row r="350" ht="14.25" customHeight="1">
      <c r="D350" s="8"/>
      <c r="F350" s="8"/>
      <c r="G350" s="8"/>
      <c r="H350" s="8"/>
      <c r="J350" s="8"/>
      <c r="K350" s="8"/>
      <c r="M350" s="8"/>
      <c r="N350" s="8"/>
      <c r="P350" s="8"/>
      <c r="Q350" s="8"/>
      <c r="T350" s="8"/>
    </row>
    <row r="351" ht="14.25" customHeight="1">
      <c r="D351" s="8"/>
      <c r="F351" s="8"/>
      <c r="G351" s="8"/>
      <c r="H351" s="8"/>
      <c r="J351" s="8"/>
      <c r="K351" s="8"/>
      <c r="M351" s="8"/>
      <c r="N351" s="8"/>
      <c r="P351" s="8"/>
      <c r="Q351" s="8"/>
      <c r="T351" s="8"/>
    </row>
    <row r="352" ht="14.25" customHeight="1">
      <c r="D352" s="8"/>
      <c r="F352" s="8"/>
      <c r="G352" s="8"/>
      <c r="H352" s="8"/>
      <c r="J352" s="8"/>
      <c r="K352" s="8"/>
      <c r="M352" s="8"/>
      <c r="N352" s="8"/>
      <c r="P352" s="8"/>
      <c r="Q352" s="8"/>
      <c r="T352" s="8"/>
    </row>
    <row r="353" ht="14.25" customHeight="1">
      <c r="D353" s="8"/>
      <c r="F353" s="8"/>
      <c r="G353" s="8"/>
      <c r="H353" s="8"/>
      <c r="J353" s="8"/>
      <c r="K353" s="8"/>
      <c r="M353" s="8"/>
      <c r="N353" s="8"/>
      <c r="P353" s="8"/>
      <c r="Q353" s="8"/>
      <c r="T353" s="8"/>
    </row>
    <row r="354" ht="14.25" customHeight="1">
      <c r="D354" s="8"/>
      <c r="F354" s="8"/>
      <c r="G354" s="8"/>
      <c r="H354" s="8"/>
      <c r="J354" s="8"/>
      <c r="K354" s="8"/>
      <c r="M354" s="8"/>
      <c r="N354" s="8"/>
      <c r="P354" s="8"/>
      <c r="Q354" s="8"/>
      <c r="T354" s="8"/>
    </row>
    <row r="355" ht="14.25" customHeight="1">
      <c r="D355" s="8"/>
      <c r="F355" s="8"/>
      <c r="G355" s="8"/>
      <c r="H355" s="8"/>
      <c r="J355" s="8"/>
      <c r="K355" s="8"/>
      <c r="M355" s="8"/>
      <c r="N355" s="8"/>
      <c r="P355" s="8"/>
      <c r="Q355" s="8"/>
      <c r="T355" s="8"/>
    </row>
    <row r="356" ht="14.25" customHeight="1">
      <c r="D356" s="8"/>
      <c r="F356" s="8"/>
      <c r="G356" s="8"/>
      <c r="H356" s="8"/>
      <c r="J356" s="8"/>
      <c r="K356" s="8"/>
      <c r="M356" s="8"/>
      <c r="N356" s="8"/>
      <c r="P356" s="8"/>
      <c r="Q356" s="8"/>
      <c r="T356" s="8"/>
    </row>
    <row r="357" ht="14.25" customHeight="1">
      <c r="D357" s="8"/>
      <c r="F357" s="8"/>
      <c r="G357" s="8"/>
      <c r="H357" s="8"/>
      <c r="J357" s="8"/>
      <c r="K357" s="8"/>
      <c r="M357" s="8"/>
      <c r="N357" s="8"/>
      <c r="P357" s="8"/>
      <c r="Q357" s="8"/>
      <c r="T357" s="8"/>
    </row>
    <row r="358" ht="14.25" customHeight="1">
      <c r="D358" s="8"/>
      <c r="F358" s="8"/>
      <c r="G358" s="8"/>
      <c r="H358" s="8"/>
      <c r="J358" s="8"/>
      <c r="K358" s="8"/>
      <c r="M358" s="8"/>
      <c r="N358" s="8"/>
      <c r="P358" s="8"/>
      <c r="Q358" s="8"/>
      <c r="T358" s="8"/>
    </row>
    <row r="359" ht="14.25" customHeight="1">
      <c r="D359" s="8"/>
      <c r="F359" s="8"/>
      <c r="G359" s="8"/>
      <c r="H359" s="8"/>
      <c r="J359" s="8"/>
      <c r="K359" s="8"/>
      <c r="M359" s="8"/>
      <c r="N359" s="8"/>
      <c r="P359" s="8"/>
      <c r="Q359" s="8"/>
      <c r="T359" s="8"/>
    </row>
    <row r="360" ht="14.25" customHeight="1">
      <c r="D360" s="8"/>
      <c r="F360" s="8"/>
      <c r="G360" s="8"/>
      <c r="H360" s="8"/>
      <c r="J360" s="8"/>
      <c r="K360" s="8"/>
      <c r="M360" s="8"/>
      <c r="N360" s="8"/>
      <c r="P360" s="8"/>
      <c r="Q360" s="8"/>
      <c r="T360" s="8"/>
    </row>
    <row r="361" ht="14.25" customHeight="1">
      <c r="D361" s="8"/>
      <c r="F361" s="8"/>
      <c r="G361" s="8"/>
      <c r="H361" s="8"/>
      <c r="J361" s="8"/>
      <c r="K361" s="8"/>
      <c r="M361" s="8"/>
      <c r="N361" s="8"/>
      <c r="P361" s="8"/>
      <c r="Q361" s="8"/>
      <c r="T361" s="8"/>
    </row>
    <row r="362" ht="14.25" customHeight="1">
      <c r="D362" s="8"/>
      <c r="F362" s="8"/>
      <c r="G362" s="8"/>
      <c r="H362" s="8"/>
      <c r="J362" s="8"/>
      <c r="K362" s="8"/>
      <c r="M362" s="8"/>
      <c r="N362" s="8"/>
      <c r="P362" s="8"/>
      <c r="Q362" s="8"/>
      <c r="T362" s="8"/>
    </row>
    <row r="363" ht="14.25" customHeight="1">
      <c r="D363" s="8"/>
      <c r="F363" s="8"/>
      <c r="G363" s="8"/>
      <c r="H363" s="8"/>
      <c r="J363" s="8"/>
      <c r="K363" s="8"/>
      <c r="M363" s="8"/>
      <c r="N363" s="8"/>
      <c r="P363" s="8"/>
      <c r="Q363" s="8"/>
      <c r="T363" s="8"/>
    </row>
    <row r="364" ht="14.25" customHeight="1">
      <c r="D364" s="8"/>
      <c r="F364" s="8"/>
      <c r="G364" s="8"/>
      <c r="H364" s="8"/>
      <c r="J364" s="8"/>
      <c r="K364" s="8"/>
      <c r="M364" s="8"/>
      <c r="N364" s="8"/>
      <c r="P364" s="8"/>
      <c r="Q364" s="8"/>
      <c r="T364" s="8"/>
    </row>
    <row r="365" ht="14.25" customHeight="1">
      <c r="D365" s="8"/>
      <c r="F365" s="8"/>
      <c r="G365" s="8"/>
      <c r="H365" s="8"/>
      <c r="J365" s="8"/>
      <c r="K365" s="8"/>
      <c r="M365" s="8"/>
      <c r="N365" s="8"/>
      <c r="P365" s="8"/>
      <c r="Q365" s="8"/>
      <c r="T365" s="8"/>
    </row>
    <row r="366" ht="14.25" customHeight="1">
      <c r="D366" s="8"/>
      <c r="F366" s="8"/>
      <c r="G366" s="8"/>
      <c r="H366" s="8"/>
      <c r="J366" s="8"/>
      <c r="K366" s="8"/>
      <c r="M366" s="8"/>
      <c r="N366" s="8"/>
      <c r="P366" s="8"/>
      <c r="Q366" s="8"/>
      <c r="T366" s="8"/>
    </row>
    <row r="367" ht="14.25" customHeight="1">
      <c r="D367" s="8"/>
      <c r="F367" s="8"/>
      <c r="G367" s="8"/>
      <c r="H367" s="8"/>
      <c r="J367" s="8"/>
      <c r="K367" s="8"/>
      <c r="M367" s="8"/>
      <c r="N367" s="8"/>
      <c r="P367" s="8"/>
      <c r="Q367" s="8"/>
      <c r="T367" s="8"/>
    </row>
    <row r="368" ht="14.25" customHeight="1">
      <c r="D368" s="8"/>
      <c r="F368" s="8"/>
      <c r="G368" s="8"/>
      <c r="H368" s="8"/>
      <c r="J368" s="8"/>
      <c r="K368" s="8"/>
      <c r="M368" s="8"/>
      <c r="N368" s="8"/>
      <c r="P368" s="8"/>
      <c r="Q368" s="8"/>
      <c r="T368" s="8"/>
    </row>
    <row r="369" ht="14.25" customHeight="1">
      <c r="D369" s="8"/>
      <c r="F369" s="8"/>
      <c r="G369" s="8"/>
      <c r="H369" s="8"/>
      <c r="J369" s="8"/>
      <c r="K369" s="8"/>
      <c r="M369" s="8"/>
      <c r="N369" s="8"/>
      <c r="P369" s="8"/>
      <c r="Q369" s="8"/>
      <c r="T369" s="8"/>
    </row>
    <row r="370" ht="14.25" customHeight="1">
      <c r="D370" s="8"/>
      <c r="F370" s="8"/>
      <c r="G370" s="8"/>
      <c r="H370" s="8"/>
      <c r="J370" s="8"/>
      <c r="K370" s="8"/>
      <c r="M370" s="8"/>
      <c r="N370" s="8"/>
      <c r="P370" s="8"/>
      <c r="Q370" s="8"/>
      <c r="T370" s="8"/>
    </row>
    <row r="371" ht="14.25" customHeight="1">
      <c r="D371" s="8"/>
      <c r="F371" s="8"/>
      <c r="G371" s="8"/>
      <c r="H371" s="8"/>
      <c r="J371" s="8"/>
      <c r="K371" s="8"/>
      <c r="M371" s="8"/>
      <c r="N371" s="8"/>
      <c r="P371" s="8"/>
      <c r="Q371" s="8"/>
      <c r="T371" s="8"/>
    </row>
    <row r="372" ht="14.25" customHeight="1">
      <c r="D372" s="8"/>
      <c r="F372" s="8"/>
      <c r="G372" s="8"/>
      <c r="H372" s="8"/>
      <c r="J372" s="8"/>
      <c r="K372" s="8"/>
      <c r="M372" s="8"/>
      <c r="N372" s="8"/>
      <c r="P372" s="8"/>
      <c r="Q372" s="8"/>
      <c r="T372" s="8"/>
    </row>
    <row r="373" ht="14.25" customHeight="1">
      <c r="D373" s="8"/>
      <c r="F373" s="8"/>
      <c r="G373" s="8"/>
      <c r="H373" s="8"/>
      <c r="J373" s="8"/>
      <c r="K373" s="8"/>
      <c r="M373" s="8"/>
      <c r="N373" s="8"/>
      <c r="P373" s="8"/>
      <c r="Q373" s="8"/>
      <c r="T373" s="8"/>
    </row>
    <row r="374" ht="14.25" customHeight="1">
      <c r="D374" s="8"/>
      <c r="F374" s="8"/>
      <c r="G374" s="8"/>
      <c r="H374" s="8"/>
      <c r="J374" s="8"/>
      <c r="K374" s="8"/>
      <c r="M374" s="8"/>
      <c r="N374" s="8"/>
      <c r="P374" s="8"/>
      <c r="Q374" s="8"/>
      <c r="T374" s="8"/>
    </row>
    <row r="375" ht="14.25" customHeight="1">
      <c r="D375" s="8"/>
      <c r="F375" s="8"/>
      <c r="G375" s="8"/>
      <c r="H375" s="8"/>
      <c r="J375" s="8"/>
      <c r="K375" s="8"/>
      <c r="M375" s="8"/>
      <c r="N375" s="8"/>
      <c r="P375" s="8"/>
      <c r="Q375" s="8"/>
      <c r="T375" s="8"/>
    </row>
    <row r="376" ht="14.25" customHeight="1">
      <c r="D376" s="8"/>
      <c r="F376" s="8"/>
      <c r="G376" s="8"/>
      <c r="H376" s="8"/>
      <c r="J376" s="8"/>
      <c r="K376" s="8"/>
      <c r="M376" s="8"/>
      <c r="N376" s="8"/>
      <c r="P376" s="8"/>
      <c r="Q376" s="8"/>
      <c r="T376" s="8"/>
    </row>
    <row r="377" ht="14.25" customHeight="1">
      <c r="D377" s="8"/>
      <c r="F377" s="8"/>
      <c r="G377" s="8"/>
      <c r="H377" s="8"/>
      <c r="J377" s="8"/>
      <c r="K377" s="8"/>
      <c r="M377" s="8"/>
      <c r="N377" s="8"/>
      <c r="P377" s="8"/>
      <c r="Q377" s="8"/>
      <c r="T377" s="8"/>
    </row>
    <row r="378" ht="14.25" customHeight="1">
      <c r="D378" s="8"/>
      <c r="F378" s="8"/>
      <c r="G378" s="8"/>
      <c r="H378" s="8"/>
      <c r="J378" s="8"/>
      <c r="K378" s="8"/>
      <c r="M378" s="8"/>
      <c r="N378" s="8"/>
      <c r="P378" s="8"/>
      <c r="Q378" s="8"/>
      <c r="T378" s="8"/>
    </row>
    <row r="379" ht="14.25" customHeight="1">
      <c r="D379" s="8"/>
      <c r="F379" s="8"/>
      <c r="G379" s="8"/>
      <c r="H379" s="8"/>
      <c r="J379" s="8"/>
      <c r="K379" s="8"/>
      <c r="M379" s="8"/>
      <c r="N379" s="8"/>
      <c r="P379" s="8"/>
      <c r="Q379" s="8"/>
      <c r="T379" s="8"/>
    </row>
    <row r="380" ht="14.25" customHeight="1">
      <c r="D380" s="8"/>
      <c r="F380" s="8"/>
      <c r="G380" s="8"/>
      <c r="H380" s="8"/>
      <c r="J380" s="8"/>
      <c r="K380" s="8"/>
      <c r="M380" s="8"/>
      <c r="N380" s="8"/>
      <c r="P380" s="8"/>
      <c r="Q380" s="8"/>
      <c r="T380" s="8"/>
    </row>
    <row r="381" ht="14.25" customHeight="1">
      <c r="D381" s="8"/>
      <c r="F381" s="8"/>
      <c r="G381" s="8"/>
      <c r="H381" s="8"/>
      <c r="J381" s="8"/>
      <c r="K381" s="8"/>
      <c r="M381" s="8"/>
      <c r="N381" s="8"/>
      <c r="P381" s="8"/>
      <c r="Q381" s="8"/>
      <c r="T381" s="8"/>
    </row>
    <row r="382" ht="14.25" customHeight="1">
      <c r="D382" s="8"/>
      <c r="F382" s="8"/>
      <c r="G382" s="8"/>
      <c r="H382" s="8"/>
      <c r="J382" s="8"/>
      <c r="K382" s="8"/>
      <c r="M382" s="8"/>
      <c r="N382" s="8"/>
      <c r="P382" s="8"/>
      <c r="Q382" s="8"/>
      <c r="T382" s="8"/>
    </row>
    <row r="383" ht="14.25" customHeight="1">
      <c r="D383" s="8"/>
      <c r="F383" s="8"/>
      <c r="G383" s="8"/>
      <c r="H383" s="8"/>
      <c r="J383" s="8"/>
      <c r="K383" s="8"/>
      <c r="M383" s="8"/>
      <c r="N383" s="8"/>
      <c r="P383" s="8"/>
      <c r="Q383" s="8"/>
      <c r="T383" s="8"/>
    </row>
    <row r="384" ht="14.25" customHeight="1">
      <c r="D384" s="8"/>
      <c r="F384" s="8"/>
      <c r="G384" s="8"/>
      <c r="H384" s="8"/>
      <c r="J384" s="8"/>
      <c r="K384" s="8"/>
      <c r="M384" s="8"/>
      <c r="N384" s="8"/>
      <c r="P384" s="8"/>
      <c r="Q384" s="8"/>
      <c r="T384" s="8"/>
    </row>
    <row r="385" ht="14.25" customHeight="1">
      <c r="D385" s="8"/>
      <c r="F385" s="8"/>
      <c r="G385" s="8"/>
      <c r="H385" s="8"/>
      <c r="J385" s="8"/>
      <c r="K385" s="8"/>
      <c r="M385" s="8"/>
      <c r="N385" s="8"/>
      <c r="P385" s="8"/>
      <c r="Q385" s="8"/>
      <c r="T385" s="8"/>
    </row>
    <row r="386" ht="14.25" customHeight="1">
      <c r="D386" s="8"/>
      <c r="F386" s="8"/>
      <c r="G386" s="8"/>
      <c r="H386" s="8"/>
      <c r="J386" s="8"/>
      <c r="K386" s="8"/>
      <c r="M386" s="8"/>
      <c r="N386" s="8"/>
      <c r="P386" s="8"/>
      <c r="Q386" s="8"/>
      <c r="T386" s="8"/>
    </row>
    <row r="387" ht="14.25" customHeight="1">
      <c r="D387" s="8"/>
      <c r="F387" s="8"/>
      <c r="G387" s="8"/>
      <c r="H387" s="8"/>
      <c r="J387" s="8"/>
      <c r="K387" s="8"/>
      <c r="M387" s="8"/>
      <c r="N387" s="8"/>
      <c r="P387" s="8"/>
      <c r="Q387" s="8"/>
      <c r="T387" s="8"/>
    </row>
    <row r="388" ht="14.25" customHeight="1">
      <c r="D388" s="8"/>
      <c r="F388" s="8"/>
      <c r="G388" s="8"/>
      <c r="H388" s="8"/>
      <c r="J388" s="8"/>
      <c r="K388" s="8"/>
      <c r="M388" s="8"/>
      <c r="N388" s="8"/>
      <c r="P388" s="8"/>
      <c r="Q388" s="8"/>
      <c r="T388" s="8"/>
    </row>
    <row r="389" ht="14.25" customHeight="1">
      <c r="D389" s="8"/>
      <c r="F389" s="8"/>
      <c r="G389" s="8"/>
      <c r="H389" s="8"/>
      <c r="J389" s="8"/>
      <c r="K389" s="8"/>
      <c r="M389" s="8"/>
      <c r="N389" s="8"/>
      <c r="P389" s="8"/>
      <c r="Q389" s="8"/>
      <c r="T389" s="8"/>
    </row>
    <row r="390" ht="14.25" customHeight="1">
      <c r="D390" s="8"/>
      <c r="F390" s="8"/>
      <c r="G390" s="8"/>
      <c r="H390" s="8"/>
      <c r="J390" s="8"/>
      <c r="K390" s="8"/>
      <c r="M390" s="8"/>
      <c r="N390" s="8"/>
      <c r="P390" s="8"/>
      <c r="Q390" s="8"/>
      <c r="T390" s="8"/>
    </row>
    <row r="391" ht="14.25" customHeight="1">
      <c r="D391" s="8"/>
      <c r="F391" s="8"/>
      <c r="G391" s="8"/>
      <c r="H391" s="8"/>
      <c r="J391" s="8"/>
      <c r="K391" s="8"/>
      <c r="M391" s="8"/>
      <c r="N391" s="8"/>
      <c r="P391" s="8"/>
      <c r="Q391" s="8"/>
      <c r="T391" s="8"/>
    </row>
    <row r="392" ht="14.25" customHeight="1">
      <c r="D392" s="8"/>
      <c r="F392" s="8"/>
      <c r="G392" s="8"/>
      <c r="H392" s="8"/>
      <c r="J392" s="8"/>
      <c r="K392" s="8"/>
      <c r="M392" s="8"/>
      <c r="N392" s="8"/>
      <c r="P392" s="8"/>
      <c r="Q392" s="8"/>
      <c r="T392" s="8"/>
    </row>
    <row r="393" ht="14.25" customHeight="1">
      <c r="D393" s="8"/>
      <c r="F393" s="8"/>
      <c r="G393" s="8"/>
      <c r="H393" s="8"/>
      <c r="J393" s="8"/>
      <c r="K393" s="8"/>
      <c r="M393" s="8"/>
      <c r="N393" s="8"/>
      <c r="P393" s="8"/>
      <c r="Q393" s="8"/>
      <c r="T393" s="8"/>
    </row>
    <row r="394" ht="14.25" customHeight="1">
      <c r="D394" s="8"/>
      <c r="F394" s="8"/>
      <c r="G394" s="8"/>
      <c r="H394" s="8"/>
      <c r="J394" s="8"/>
      <c r="K394" s="8"/>
      <c r="M394" s="8"/>
      <c r="N394" s="8"/>
      <c r="P394" s="8"/>
      <c r="Q394" s="8"/>
      <c r="T394" s="8"/>
    </row>
    <row r="395" ht="14.25" customHeight="1">
      <c r="D395" s="8"/>
      <c r="F395" s="8"/>
      <c r="G395" s="8"/>
      <c r="H395" s="8"/>
      <c r="J395" s="8"/>
      <c r="K395" s="8"/>
      <c r="M395" s="8"/>
      <c r="N395" s="8"/>
      <c r="P395" s="8"/>
      <c r="Q395" s="8"/>
      <c r="T395" s="8"/>
    </row>
    <row r="396" ht="14.25" customHeight="1">
      <c r="D396" s="8"/>
      <c r="F396" s="8"/>
      <c r="G396" s="8"/>
      <c r="H396" s="8"/>
      <c r="J396" s="8"/>
      <c r="K396" s="8"/>
      <c r="M396" s="8"/>
      <c r="N396" s="8"/>
      <c r="P396" s="8"/>
      <c r="Q396" s="8"/>
      <c r="T396" s="8"/>
    </row>
    <row r="397" ht="14.25" customHeight="1">
      <c r="D397" s="8"/>
      <c r="F397" s="8"/>
      <c r="G397" s="8"/>
      <c r="H397" s="8"/>
      <c r="J397" s="8"/>
      <c r="K397" s="8"/>
      <c r="M397" s="8"/>
      <c r="N397" s="8"/>
      <c r="P397" s="8"/>
      <c r="Q397" s="8"/>
      <c r="T397" s="8"/>
    </row>
    <row r="398" ht="14.25" customHeight="1">
      <c r="D398" s="8"/>
      <c r="F398" s="8"/>
      <c r="G398" s="8"/>
      <c r="H398" s="8"/>
      <c r="J398" s="8"/>
      <c r="K398" s="8"/>
      <c r="M398" s="8"/>
      <c r="N398" s="8"/>
      <c r="P398" s="8"/>
      <c r="Q398" s="8"/>
      <c r="T398" s="8"/>
    </row>
    <row r="399" ht="14.25" customHeight="1">
      <c r="D399" s="8"/>
      <c r="F399" s="8"/>
      <c r="G399" s="8"/>
      <c r="H399" s="8"/>
      <c r="J399" s="8"/>
      <c r="K399" s="8"/>
      <c r="M399" s="8"/>
      <c r="N399" s="8"/>
      <c r="P399" s="8"/>
      <c r="Q399" s="8"/>
      <c r="T399" s="8"/>
    </row>
    <row r="400" ht="14.25" customHeight="1">
      <c r="D400" s="8"/>
      <c r="F400" s="8"/>
      <c r="G400" s="8"/>
      <c r="H400" s="8"/>
      <c r="J400" s="8"/>
      <c r="K400" s="8"/>
      <c r="M400" s="8"/>
      <c r="N400" s="8"/>
      <c r="P400" s="8"/>
      <c r="Q400" s="8"/>
      <c r="T400" s="8"/>
    </row>
    <row r="401" ht="14.25" customHeight="1">
      <c r="D401" s="8"/>
      <c r="F401" s="8"/>
      <c r="G401" s="8"/>
      <c r="H401" s="8"/>
      <c r="J401" s="8"/>
      <c r="K401" s="8"/>
      <c r="M401" s="8"/>
      <c r="N401" s="8"/>
      <c r="P401" s="8"/>
      <c r="Q401" s="8"/>
      <c r="T401" s="8"/>
    </row>
    <row r="402" ht="14.25" customHeight="1">
      <c r="D402" s="8"/>
      <c r="F402" s="8"/>
      <c r="G402" s="8"/>
      <c r="H402" s="8"/>
      <c r="J402" s="8"/>
      <c r="K402" s="8"/>
      <c r="M402" s="8"/>
      <c r="N402" s="8"/>
      <c r="P402" s="8"/>
      <c r="Q402" s="8"/>
      <c r="T402" s="8"/>
    </row>
    <row r="403" ht="14.25" customHeight="1">
      <c r="D403" s="8"/>
      <c r="F403" s="8"/>
      <c r="G403" s="8"/>
      <c r="H403" s="8"/>
      <c r="J403" s="8"/>
      <c r="K403" s="8"/>
      <c r="M403" s="8"/>
      <c r="N403" s="8"/>
      <c r="P403" s="8"/>
      <c r="Q403" s="8"/>
      <c r="T403" s="8"/>
    </row>
    <row r="404" ht="14.25" customHeight="1">
      <c r="D404" s="8"/>
      <c r="F404" s="8"/>
      <c r="G404" s="8"/>
      <c r="H404" s="8"/>
      <c r="J404" s="8"/>
      <c r="K404" s="8"/>
      <c r="M404" s="8"/>
      <c r="N404" s="8"/>
      <c r="P404" s="8"/>
      <c r="Q404" s="8"/>
      <c r="T404" s="8"/>
    </row>
    <row r="405" ht="14.25" customHeight="1">
      <c r="D405" s="8"/>
      <c r="F405" s="8"/>
      <c r="G405" s="8"/>
      <c r="H405" s="8"/>
      <c r="J405" s="8"/>
      <c r="K405" s="8"/>
      <c r="M405" s="8"/>
      <c r="N405" s="8"/>
      <c r="P405" s="8"/>
      <c r="Q405" s="8"/>
      <c r="T405" s="8"/>
    </row>
    <row r="406" ht="14.25" customHeight="1">
      <c r="D406" s="8"/>
      <c r="F406" s="8"/>
      <c r="G406" s="8"/>
      <c r="H406" s="8"/>
      <c r="J406" s="8"/>
      <c r="K406" s="8"/>
      <c r="M406" s="8"/>
      <c r="N406" s="8"/>
      <c r="P406" s="8"/>
      <c r="Q406" s="8"/>
      <c r="T406" s="8"/>
    </row>
    <row r="407" ht="14.25" customHeight="1">
      <c r="D407" s="8"/>
      <c r="F407" s="8"/>
      <c r="G407" s="8"/>
      <c r="H407" s="8"/>
      <c r="J407" s="8"/>
      <c r="K407" s="8"/>
      <c r="M407" s="8"/>
      <c r="N407" s="8"/>
      <c r="P407" s="8"/>
      <c r="Q407" s="8"/>
      <c r="T407" s="8"/>
    </row>
    <row r="408" ht="14.25" customHeight="1">
      <c r="D408" s="8"/>
      <c r="F408" s="8"/>
      <c r="G408" s="8"/>
      <c r="H408" s="8"/>
      <c r="J408" s="8"/>
      <c r="K408" s="8"/>
      <c r="M408" s="8"/>
      <c r="N408" s="8"/>
      <c r="P408" s="8"/>
      <c r="Q408" s="8"/>
      <c r="T408" s="8"/>
    </row>
    <row r="409" ht="14.25" customHeight="1">
      <c r="D409" s="8"/>
      <c r="F409" s="8"/>
      <c r="G409" s="8"/>
      <c r="H409" s="8"/>
      <c r="J409" s="8"/>
      <c r="K409" s="8"/>
      <c r="M409" s="8"/>
      <c r="N409" s="8"/>
      <c r="P409" s="8"/>
      <c r="Q409" s="8"/>
      <c r="T409" s="8"/>
    </row>
    <row r="410" ht="14.25" customHeight="1">
      <c r="D410" s="8"/>
      <c r="F410" s="8"/>
      <c r="G410" s="8"/>
      <c r="H410" s="8"/>
      <c r="J410" s="8"/>
      <c r="K410" s="8"/>
      <c r="M410" s="8"/>
      <c r="N410" s="8"/>
      <c r="P410" s="8"/>
      <c r="Q410" s="8"/>
      <c r="T410" s="8"/>
    </row>
    <row r="411" ht="14.25" customHeight="1">
      <c r="D411" s="8"/>
      <c r="F411" s="8"/>
      <c r="G411" s="8"/>
      <c r="H411" s="8"/>
      <c r="J411" s="8"/>
      <c r="K411" s="8"/>
      <c r="M411" s="8"/>
      <c r="N411" s="8"/>
      <c r="P411" s="8"/>
      <c r="Q411" s="8"/>
      <c r="T411" s="8"/>
    </row>
    <row r="412" ht="14.25" customHeight="1">
      <c r="D412" s="8"/>
      <c r="F412" s="8"/>
      <c r="G412" s="8"/>
      <c r="H412" s="8"/>
      <c r="J412" s="8"/>
      <c r="K412" s="8"/>
      <c r="M412" s="8"/>
      <c r="N412" s="8"/>
      <c r="P412" s="8"/>
      <c r="Q412" s="8"/>
      <c r="T412" s="8"/>
    </row>
    <row r="413" ht="14.25" customHeight="1">
      <c r="D413" s="8"/>
      <c r="F413" s="8"/>
      <c r="G413" s="8"/>
      <c r="H413" s="8"/>
      <c r="J413" s="8"/>
      <c r="K413" s="8"/>
      <c r="M413" s="8"/>
      <c r="N413" s="8"/>
      <c r="P413" s="8"/>
      <c r="Q413" s="8"/>
      <c r="T413" s="8"/>
    </row>
    <row r="414" ht="14.25" customHeight="1">
      <c r="D414" s="8"/>
      <c r="F414" s="8"/>
      <c r="G414" s="8"/>
      <c r="H414" s="8"/>
      <c r="J414" s="8"/>
      <c r="K414" s="8"/>
      <c r="M414" s="8"/>
      <c r="N414" s="8"/>
      <c r="P414" s="8"/>
      <c r="Q414" s="8"/>
      <c r="T414" s="8"/>
    </row>
    <row r="415" ht="14.25" customHeight="1">
      <c r="D415" s="8"/>
      <c r="F415" s="8"/>
      <c r="G415" s="8"/>
      <c r="H415" s="8"/>
      <c r="J415" s="8"/>
      <c r="K415" s="8"/>
      <c r="M415" s="8"/>
      <c r="N415" s="8"/>
      <c r="P415" s="8"/>
      <c r="Q415" s="8"/>
      <c r="T415" s="8"/>
    </row>
    <row r="416" ht="14.25" customHeight="1">
      <c r="D416" s="8"/>
      <c r="F416" s="8"/>
      <c r="G416" s="8"/>
      <c r="H416" s="8"/>
      <c r="J416" s="8"/>
      <c r="K416" s="8"/>
      <c r="M416" s="8"/>
      <c r="N416" s="8"/>
      <c r="P416" s="8"/>
      <c r="Q416" s="8"/>
      <c r="T416" s="8"/>
    </row>
    <row r="417" ht="14.25" customHeight="1">
      <c r="D417" s="8"/>
      <c r="F417" s="8"/>
      <c r="G417" s="8"/>
      <c r="H417" s="8"/>
      <c r="J417" s="8"/>
      <c r="K417" s="8"/>
      <c r="M417" s="8"/>
      <c r="N417" s="8"/>
      <c r="P417" s="8"/>
      <c r="Q417" s="8"/>
      <c r="T417" s="8"/>
    </row>
    <row r="418" ht="14.25" customHeight="1">
      <c r="D418" s="8"/>
      <c r="F418" s="8"/>
      <c r="G418" s="8"/>
      <c r="H418" s="8"/>
      <c r="J418" s="8"/>
      <c r="K418" s="8"/>
      <c r="M418" s="8"/>
      <c r="N418" s="8"/>
      <c r="P418" s="8"/>
      <c r="Q418" s="8"/>
      <c r="T418" s="8"/>
    </row>
    <row r="419" ht="14.25" customHeight="1">
      <c r="D419" s="8"/>
      <c r="F419" s="8"/>
      <c r="G419" s="8"/>
      <c r="H419" s="8"/>
      <c r="J419" s="8"/>
      <c r="K419" s="8"/>
      <c r="M419" s="8"/>
      <c r="N419" s="8"/>
      <c r="P419" s="8"/>
      <c r="Q419" s="8"/>
      <c r="T419" s="8"/>
    </row>
    <row r="420" ht="14.25" customHeight="1">
      <c r="D420" s="8"/>
      <c r="F420" s="8"/>
      <c r="G420" s="8"/>
      <c r="H420" s="8"/>
      <c r="J420" s="8"/>
      <c r="K420" s="8"/>
      <c r="M420" s="8"/>
      <c r="N420" s="8"/>
      <c r="P420" s="8"/>
      <c r="Q420" s="8"/>
      <c r="T420" s="8"/>
    </row>
    <row r="421" ht="14.25" customHeight="1">
      <c r="D421" s="8"/>
      <c r="F421" s="8"/>
      <c r="G421" s="8"/>
      <c r="H421" s="8"/>
      <c r="J421" s="8"/>
      <c r="K421" s="8"/>
      <c r="M421" s="8"/>
      <c r="N421" s="8"/>
      <c r="P421" s="8"/>
      <c r="Q421" s="8"/>
      <c r="T421" s="8"/>
    </row>
    <row r="422" ht="14.25" customHeight="1">
      <c r="D422" s="8"/>
      <c r="F422" s="8"/>
      <c r="G422" s="8"/>
      <c r="H422" s="8"/>
      <c r="J422" s="8"/>
      <c r="K422" s="8"/>
      <c r="M422" s="8"/>
      <c r="N422" s="8"/>
      <c r="P422" s="8"/>
      <c r="Q422" s="8"/>
      <c r="T422" s="8"/>
    </row>
    <row r="423" ht="14.25" customHeight="1">
      <c r="D423" s="8"/>
      <c r="F423" s="8"/>
      <c r="G423" s="8"/>
      <c r="H423" s="8"/>
      <c r="J423" s="8"/>
      <c r="K423" s="8"/>
      <c r="M423" s="8"/>
      <c r="N423" s="8"/>
      <c r="P423" s="8"/>
      <c r="Q423" s="8"/>
      <c r="T423" s="8"/>
    </row>
    <row r="424" ht="14.25" customHeight="1">
      <c r="D424" s="8"/>
      <c r="F424" s="8"/>
      <c r="G424" s="8"/>
      <c r="H424" s="8"/>
      <c r="J424" s="8"/>
      <c r="K424" s="8"/>
      <c r="M424" s="8"/>
      <c r="N424" s="8"/>
      <c r="P424" s="8"/>
      <c r="Q424" s="8"/>
      <c r="T424" s="8"/>
    </row>
    <row r="425" ht="14.25" customHeight="1">
      <c r="D425" s="8"/>
      <c r="F425" s="8"/>
      <c r="G425" s="8"/>
      <c r="H425" s="8"/>
      <c r="J425" s="8"/>
      <c r="K425" s="8"/>
      <c r="M425" s="8"/>
      <c r="N425" s="8"/>
      <c r="P425" s="8"/>
      <c r="Q425" s="8"/>
      <c r="T425" s="8"/>
    </row>
    <row r="426" ht="14.25" customHeight="1">
      <c r="D426" s="8"/>
      <c r="F426" s="8"/>
      <c r="G426" s="8"/>
      <c r="H426" s="8"/>
      <c r="J426" s="8"/>
      <c r="K426" s="8"/>
      <c r="M426" s="8"/>
      <c r="N426" s="8"/>
      <c r="P426" s="8"/>
      <c r="Q426" s="8"/>
      <c r="T426" s="8"/>
    </row>
    <row r="427" ht="14.25" customHeight="1">
      <c r="D427" s="8"/>
      <c r="F427" s="8"/>
      <c r="G427" s="8"/>
      <c r="H427" s="8"/>
      <c r="J427" s="8"/>
      <c r="K427" s="8"/>
      <c r="M427" s="8"/>
      <c r="N427" s="8"/>
      <c r="P427" s="8"/>
      <c r="Q427" s="8"/>
      <c r="T427" s="8"/>
    </row>
    <row r="428" ht="14.25" customHeight="1">
      <c r="D428" s="8"/>
      <c r="F428" s="8"/>
      <c r="G428" s="8"/>
      <c r="H428" s="8"/>
      <c r="J428" s="8"/>
      <c r="K428" s="8"/>
      <c r="M428" s="8"/>
      <c r="N428" s="8"/>
      <c r="P428" s="8"/>
      <c r="Q428" s="8"/>
      <c r="T428" s="8"/>
    </row>
    <row r="429" ht="14.25" customHeight="1">
      <c r="D429" s="8"/>
      <c r="F429" s="8"/>
      <c r="G429" s="8"/>
      <c r="H429" s="8"/>
      <c r="J429" s="8"/>
      <c r="K429" s="8"/>
      <c r="M429" s="8"/>
      <c r="N429" s="8"/>
      <c r="P429" s="8"/>
      <c r="Q429" s="8"/>
      <c r="T429" s="8"/>
    </row>
    <row r="430" ht="14.25" customHeight="1">
      <c r="D430" s="8"/>
      <c r="F430" s="8"/>
      <c r="G430" s="8"/>
      <c r="H430" s="8"/>
      <c r="J430" s="8"/>
      <c r="K430" s="8"/>
      <c r="M430" s="8"/>
      <c r="N430" s="8"/>
      <c r="P430" s="8"/>
      <c r="Q430" s="8"/>
      <c r="T430" s="8"/>
    </row>
    <row r="431" ht="14.25" customHeight="1">
      <c r="D431" s="8"/>
      <c r="F431" s="8"/>
      <c r="G431" s="8"/>
      <c r="H431" s="8"/>
      <c r="J431" s="8"/>
      <c r="K431" s="8"/>
      <c r="M431" s="8"/>
      <c r="N431" s="8"/>
      <c r="P431" s="8"/>
      <c r="Q431" s="8"/>
      <c r="T431" s="8"/>
    </row>
    <row r="432" ht="14.25" customHeight="1">
      <c r="D432" s="8"/>
      <c r="F432" s="8"/>
      <c r="G432" s="8"/>
      <c r="H432" s="8"/>
      <c r="J432" s="8"/>
      <c r="K432" s="8"/>
      <c r="M432" s="8"/>
      <c r="N432" s="8"/>
      <c r="P432" s="8"/>
      <c r="Q432" s="8"/>
      <c r="T432" s="8"/>
    </row>
    <row r="433" ht="14.25" customHeight="1">
      <c r="D433" s="8"/>
      <c r="F433" s="8"/>
      <c r="G433" s="8"/>
      <c r="H433" s="8"/>
      <c r="J433" s="8"/>
      <c r="K433" s="8"/>
      <c r="M433" s="8"/>
      <c r="N433" s="8"/>
      <c r="P433" s="8"/>
      <c r="Q433" s="8"/>
      <c r="T433" s="8"/>
    </row>
    <row r="434" ht="14.25" customHeight="1">
      <c r="D434" s="8"/>
      <c r="F434" s="8"/>
      <c r="G434" s="8"/>
      <c r="H434" s="8"/>
      <c r="J434" s="8"/>
      <c r="K434" s="8"/>
      <c r="M434" s="8"/>
      <c r="N434" s="8"/>
      <c r="P434" s="8"/>
      <c r="Q434" s="8"/>
      <c r="T434" s="8"/>
    </row>
    <row r="435" ht="14.25" customHeight="1">
      <c r="D435" s="8"/>
      <c r="F435" s="8"/>
      <c r="G435" s="8"/>
      <c r="H435" s="8"/>
      <c r="J435" s="8"/>
      <c r="K435" s="8"/>
      <c r="M435" s="8"/>
      <c r="N435" s="8"/>
      <c r="P435" s="8"/>
      <c r="Q435" s="8"/>
      <c r="T435" s="8"/>
    </row>
    <row r="436" ht="14.25" customHeight="1">
      <c r="D436" s="8"/>
      <c r="F436" s="8"/>
      <c r="G436" s="8"/>
      <c r="H436" s="8"/>
      <c r="J436" s="8"/>
      <c r="K436" s="8"/>
      <c r="M436" s="8"/>
      <c r="N436" s="8"/>
      <c r="P436" s="8"/>
      <c r="Q436" s="8"/>
      <c r="T436" s="8"/>
    </row>
    <row r="437" ht="14.25" customHeight="1">
      <c r="D437" s="8"/>
      <c r="F437" s="8"/>
      <c r="G437" s="8"/>
      <c r="H437" s="8"/>
      <c r="J437" s="8"/>
      <c r="K437" s="8"/>
      <c r="M437" s="8"/>
      <c r="N437" s="8"/>
      <c r="P437" s="8"/>
      <c r="Q437" s="8"/>
      <c r="T437" s="8"/>
    </row>
    <row r="438" ht="14.25" customHeight="1">
      <c r="D438" s="8"/>
      <c r="F438" s="8"/>
      <c r="G438" s="8"/>
      <c r="H438" s="8"/>
      <c r="J438" s="8"/>
      <c r="K438" s="8"/>
      <c r="M438" s="8"/>
      <c r="N438" s="8"/>
      <c r="P438" s="8"/>
      <c r="Q438" s="8"/>
      <c r="T438" s="8"/>
    </row>
    <row r="439" ht="14.25" customHeight="1">
      <c r="D439" s="8"/>
      <c r="F439" s="8"/>
      <c r="G439" s="8"/>
      <c r="H439" s="8"/>
      <c r="J439" s="8"/>
      <c r="K439" s="8"/>
      <c r="M439" s="8"/>
      <c r="N439" s="8"/>
      <c r="P439" s="8"/>
      <c r="Q439" s="8"/>
      <c r="T439" s="8"/>
    </row>
    <row r="440" ht="14.25" customHeight="1">
      <c r="D440" s="8"/>
      <c r="F440" s="8"/>
      <c r="G440" s="8"/>
      <c r="H440" s="8"/>
      <c r="J440" s="8"/>
      <c r="K440" s="8"/>
      <c r="M440" s="8"/>
      <c r="N440" s="8"/>
      <c r="P440" s="8"/>
      <c r="Q440" s="8"/>
      <c r="T440" s="8"/>
    </row>
    <row r="441" ht="14.25" customHeight="1">
      <c r="D441" s="8"/>
      <c r="F441" s="8"/>
      <c r="G441" s="8"/>
      <c r="H441" s="8"/>
      <c r="J441" s="8"/>
      <c r="K441" s="8"/>
      <c r="M441" s="8"/>
      <c r="N441" s="8"/>
      <c r="P441" s="8"/>
      <c r="Q441" s="8"/>
      <c r="T441" s="8"/>
    </row>
    <row r="442" ht="14.25" customHeight="1">
      <c r="D442" s="8"/>
      <c r="F442" s="8"/>
      <c r="G442" s="8"/>
      <c r="H442" s="8"/>
      <c r="J442" s="8"/>
      <c r="K442" s="8"/>
      <c r="M442" s="8"/>
      <c r="N442" s="8"/>
      <c r="P442" s="8"/>
      <c r="Q442" s="8"/>
      <c r="T442" s="8"/>
    </row>
    <row r="443" ht="14.25" customHeight="1">
      <c r="D443" s="8"/>
      <c r="F443" s="8"/>
      <c r="G443" s="8"/>
      <c r="H443" s="8"/>
      <c r="J443" s="8"/>
      <c r="K443" s="8"/>
      <c r="M443" s="8"/>
      <c r="N443" s="8"/>
      <c r="P443" s="8"/>
      <c r="Q443" s="8"/>
      <c r="T443" s="8"/>
    </row>
    <row r="444" ht="14.25" customHeight="1">
      <c r="D444" s="8"/>
      <c r="F444" s="8"/>
      <c r="G444" s="8"/>
      <c r="H444" s="8"/>
      <c r="J444" s="8"/>
      <c r="K444" s="8"/>
      <c r="M444" s="8"/>
      <c r="N444" s="8"/>
      <c r="P444" s="8"/>
      <c r="Q444" s="8"/>
      <c r="T444" s="8"/>
    </row>
    <row r="445" ht="14.25" customHeight="1">
      <c r="D445" s="8"/>
      <c r="F445" s="8"/>
      <c r="G445" s="8"/>
      <c r="H445" s="8"/>
      <c r="J445" s="8"/>
      <c r="K445" s="8"/>
      <c r="M445" s="8"/>
      <c r="N445" s="8"/>
      <c r="P445" s="8"/>
      <c r="Q445" s="8"/>
      <c r="T445" s="8"/>
    </row>
    <row r="446" ht="14.25" customHeight="1">
      <c r="D446" s="8"/>
      <c r="F446" s="8"/>
      <c r="G446" s="8"/>
      <c r="H446" s="8"/>
      <c r="J446" s="8"/>
      <c r="K446" s="8"/>
      <c r="M446" s="8"/>
      <c r="N446" s="8"/>
      <c r="P446" s="8"/>
      <c r="Q446" s="8"/>
      <c r="T446" s="8"/>
    </row>
    <row r="447" ht="14.25" customHeight="1">
      <c r="D447" s="8"/>
      <c r="F447" s="8"/>
      <c r="G447" s="8"/>
      <c r="H447" s="8"/>
      <c r="J447" s="8"/>
      <c r="K447" s="8"/>
      <c r="M447" s="8"/>
      <c r="N447" s="8"/>
      <c r="P447" s="8"/>
      <c r="Q447" s="8"/>
      <c r="T447" s="8"/>
    </row>
    <row r="448" ht="14.25" customHeight="1">
      <c r="D448" s="8"/>
      <c r="F448" s="8"/>
      <c r="G448" s="8"/>
      <c r="H448" s="8"/>
      <c r="J448" s="8"/>
      <c r="K448" s="8"/>
      <c r="M448" s="8"/>
      <c r="N448" s="8"/>
      <c r="P448" s="8"/>
      <c r="Q448" s="8"/>
      <c r="T448" s="8"/>
    </row>
    <row r="449" ht="14.25" customHeight="1">
      <c r="D449" s="8"/>
      <c r="F449" s="8"/>
      <c r="G449" s="8"/>
      <c r="H449" s="8"/>
      <c r="J449" s="8"/>
      <c r="K449" s="8"/>
      <c r="M449" s="8"/>
      <c r="N449" s="8"/>
      <c r="P449" s="8"/>
      <c r="Q449" s="8"/>
      <c r="T449" s="8"/>
    </row>
    <row r="450" ht="14.25" customHeight="1">
      <c r="D450" s="8"/>
      <c r="F450" s="8"/>
      <c r="G450" s="8"/>
      <c r="H450" s="8"/>
      <c r="J450" s="8"/>
      <c r="K450" s="8"/>
      <c r="M450" s="8"/>
      <c r="N450" s="8"/>
      <c r="P450" s="8"/>
      <c r="Q450" s="8"/>
      <c r="T450" s="8"/>
    </row>
    <row r="451" ht="14.25" customHeight="1">
      <c r="D451" s="8"/>
      <c r="F451" s="8"/>
      <c r="G451" s="8"/>
      <c r="H451" s="8"/>
      <c r="J451" s="8"/>
      <c r="K451" s="8"/>
      <c r="M451" s="8"/>
      <c r="N451" s="8"/>
      <c r="P451" s="8"/>
      <c r="Q451" s="8"/>
      <c r="T451" s="8"/>
    </row>
    <row r="452" ht="14.25" customHeight="1">
      <c r="D452" s="8"/>
      <c r="F452" s="8"/>
      <c r="G452" s="8"/>
      <c r="H452" s="8"/>
      <c r="J452" s="8"/>
      <c r="K452" s="8"/>
      <c r="M452" s="8"/>
      <c r="N452" s="8"/>
      <c r="P452" s="8"/>
      <c r="Q452" s="8"/>
      <c r="T452" s="8"/>
    </row>
    <row r="453" ht="14.25" customHeight="1">
      <c r="D453" s="8"/>
      <c r="F453" s="8"/>
      <c r="G453" s="8"/>
      <c r="H453" s="8"/>
      <c r="J453" s="8"/>
      <c r="K453" s="8"/>
      <c r="M453" s="8"/>
      <c r="N453" s="8"/>
      <c r="P453" s="8"/>
      <c r="Q453" s="8"/>
      <c r="T453" s="8"/>
    </row>
    <row r="454" ht="14.25" customHeight="1">
      <c r="D454" s="8"/>
      <c r="F454" s="8"/>
      <c r="G454" s="8"/>
      <c r="H454" s="8"/>
      <c r="J454" s="8"/>
      <c r="K454" s="8"/>
      <c r="M454" s="8"/>
      <c r="N454" s="8"/>
      <c r="P454" s="8"/>
      <c r="Q454" s="8"/>
      <c r="T454" s="8"/>
    </row>
    <row r="455" ht="14.25" customHeight="1">
      <c r="D455" s="8"/>
      <c r="F455" s="8"/>
      <c r="G455" s="8"/>
      <c r="H455" s="8"/>
      <c r="J455" s="8"/>
      <c r="K455" s="8"/>
      <c r="M455" s="8"/>
      <c r="N455" s="8"/>
      <c r="P455" s="8"/>
      <c r="Q455" s="8"/>
      <c r="T455" s="8"/>
    </row>
    <row r="456" ht="14.25" customHeight="1">
      <c r="D456" s="8"/>
      <c r="F456" s="8"/>
      <c r="G456" s="8"/>
      <c r="H456" s="8"/>
      <c r="J456" s="8"/>
      <c r="K456" s="8"/>
      <c r="M456" s="8"/>
      <c r="N456" s="8"/>
      <c r="P456" s="8"/>
      <c r="Q456" s="8"/>
      <c r="T456" s="8"/>
    </row>
    <row r="457" ht="14.25" customHeight="1">
      <c r="D457" s="8"/>
      <c r="F457" s="8"/>
      <c r="G457" s="8"/>
      <c r="H457" s="8"/>
      <c r="J457" s="8"/>
      <c r="K457" s="8"/>
      <c r="M457" s="8"/>
      <c r="N457" s="8"/>
      <c r="P457" s="8"/>
      <c r="Q457" s="8"/>
      <c r="T457" s="8"/>
    </row>
    <row r="458" ht="14.25" customHeight="1">
      <c r="D458" s="8"/>
      <c r="F458" s="8"/>
      <c r="G458" s="8"/>
      <c r="H458" s="8"/>
      <c r="J458" s="8"/>
      <c r="K458" s="8"/>
      <c r="M458" s="8"/>
      <c r="N458" s="8"/>
      <c r="P458" s="8"/>
      <c r="Q458" s="8"/>
      <c r="T458" s="8"/>
    </row>
    <row r="459" ht="14.25" customHeight="1">
      <c r="D459" s="8"/>
      <c r="F459" s="8"/>
      <c r="G459" s="8"/>
      <c r="H459" s="8"/>
      <c r="J459" s="8"/>
      <c r="K459" s="8"/>
      <c r="M459" s="8"/>
      <c r="N459" s="8"/>
      <c r="P459" s="8"/>
      <c r="Q459" s="8"/>
      <c r="T459" s="8"/>
    </row>
    <row r="460" ht="14.25" customHeight="1">
      <c r="D460" s="8"/>
      <c r="F460" s="8"/>
      <c r="G460" s="8"/>
      <c r="H460" s="8"/>
      <c r="J460" s="8"/>
      <c r="K460" s="8"/>
      <c r="M460" s="8"/>
      <c r="N460" s="8"/>
      <c r="P460" s="8"/>
      <c r="Q460" s="8"/>
      <c r="T460" s="8"/>
    </row>
    <row r="461" ht="14.25" customHeight="1">
      <c r="D461" s="8"/>
      <c r="F461" s="8"/>
      <c r="G461" s="8"/>
      <c r="H461" s="8"/>
      <c r="J461" s="8"/>
      <c r="K461" s="8"/>
      <c r="M461" s="8"/>
      <c r="N461" s="8"/>
      <c r="P461" s="8"/>
      <c r="Q461" s="8"/>
      <c r="T461" s="8"/>
    </row>
    <row r="462" ht="14.25" customHeight="1">
      <c r="D462" s="8"/>
      <c r="F462" s="8"/>
      <c r="G462" s="8"/>
      <c r="H462" s="8"/>
      <c r="J462" s="8"/>
      <c r="K462" s="8"/>
      <c r="M462" s="8"/>
      <c r="N462" s="8"/>
      <c r="P462" s="8"/>
      <c r="Q462" s="8"/>
      <c r="T462" s="8"/>
    </row>
    <row r="463" ht="14.25" customHeight="1">
      <c r="D463" s="8"/>
      <c r="F463" s="8"/>
      <c r="G463" s="8"/>
      <c r="H463" s="8"/>
      <c r="J463" s="8"/>
      <c r="K463" s="8"/>
      <c r="M463" s="8"/>
      <c r="N463" s="8"/>
      <c r="P463" s="8"/>
      <c r="Q463" s="8"/>
      <c r="T463" s="8"/>
    </row>
    <row r="464" ht="14.25" customHeight="1">
      <c r="D464" s="8"/>
      <c r="F464" s="8"/>
      <c r="G464" s="8"/>
      <c r="H464" s="8"/>
      <c r="J464" s="8"/>
      <c r="K464" s="8"/>
      <c r="M464" s="8"/>
      <c r="N464" s="8"/>
      <c r="P464" s="8"/>
      <c r="Q464" s="8"/>
      <c r="T464" s="8"/>
    </row>
    <row r="465" ht="14.25" customHeight="1">
      <c r="D465" s="8"/>
      <c r="F465" s="8"/>
      <c r="G465" s="8"/>
      <c r="H465" s="8"/>
      <c r="J465" s="8"/>
      <c r="K465" s="8"/>
      <c r="M465" s="8"/>
      <c r="N465" s="8"/>
      <c r="P465" s="8"/>
      <c r="Q465" s="8"/>
      <c r="T465" s="8"/>
    </row>
    <row r="466" ht="14.25" customHeight="1">
      <c r="D466" s="8"/>
      <c r="F466" s="8"/>
      <c r="G466" s="8"/>
      <c r="H466" s="8"/>
      <c r="J466" s="8"/>
      <c r="K466" s="8"/>
      <c r="M466" s="8"/>
      <c r="N466" s="8"/>
      <c r="P466" s="8"/>
      <c r="Q466" s="8"/>
      <c r="T466" s="8"/>
    </row>
    <row r="467" ht="14.25" customHeight="1">
      <c r="D467" s="8"/>
      <c r="F467" s="8"/>
      <c r="G467" s="8"/>
      <c r="H467" s="8"/>
      <c r="J467" s="8"/>
      <c r="K467" s="8"/>
      <c r="M467" s="8"/>
      <c r="N467" s="8"/>
      <c r="P467" s="8"/>
      <c r="Q467" s="8"/>
      <c r="T467" s="8"/>
    </row>
    <row r="468" ht="14.25" customHeight="1">
      <c r="D468" s="8"/>
      <c r="F468" s="8"/>
      <c r="G468" s="8"/>
      <c r="H468" s="8"/>
      <c r="J468" s="8"/>
      <c r="K468" s="8"/>
      <c r="M468" s="8"/>
      <c r="N468" s="8"/>
      <c r="P468" s="8"/>
      <c r="Q468" s="8"/>
      <c r="T468" s="8"/>
    </row>
    <row r="469" ht="14.25" customHeight="1">
      <c r="D469" s="8"/>
      <c r="F469" s="8"/>
      <c r="G469" s="8"/>
      <c r="H469" s="8"/>
      <c r="J469" s="8"/>
      <c r="K469" s="8"/>
      <c r="M469" s="8"/>
      <c r="N469" s="8"/>
      <c r="P469" s="8"/>
      <c r="Q469" s="8"/>
      <c r="T469" s="8"/>
    </row>
    <row r="470" ht="14.25" customHeight="1">
      <c r="D470" s="8"/>
      <c r="F470" s="8"/>
      <c r="G470" s="8"/>
      <c r="H470" s="8"/>
      <c r="J470" s="8"/>
      <c r="K470" s="8"/>
      <c r="M470" s="8"/>
      <c r="N470" s="8"/>
      <c r="P470" s="8"/>
      <c r="Q470" s="8"/>
      <c r="T470" s="8"/>
    </row>
    <row r="471" ht="14.25" customHeight="1">
      <c r="D471" s="8"/>
      <c r="F471" s="8"/>
      <c r="G471" s="8"/>
      <c r="H471" s="8"/>
      <c r="J471" s="8"/>
      <c r="K471" s="8"/>
      <c r="M471" s="8"/>
      <c r="N471" s="8"/>
      <c r="P471" s="8"/>
      <c r="Q471" s="8"/>
      <c r="T471" s="8"/>
    </row>
    <row r="472" ht="14.25" customHeight="1">
      <c r="D472" s="8"/>
      <c r="F472" s="8"/>
      <c r="G472" s="8"/>
      <c r="H472" s="8"/>
      <c r="J472" s="8"/>
      <c r="K472" s="8"/>
      <c r="M472" s="8"/>
      <c r="N472" s="8"/>
      <c r="P472" s="8"/>
      <c r="Q472" s="8"/>
      <c r="T472" s="8"/>
    </row>
    <row r="473" ht="14.25" customHeight="1">
      <c r="D473" s="8"/>
      <c r="F473" s="8"/>
      <c r="G473" s="8"/>
      <c r="H473" s="8"/>
      <c r="J473" s="8"/>
      <c r="K473" s="8"/>
      <c r="M473" s="8"/>
      <c r="N473" s="8"/>
      <c r="P473" s="8"/>
      <c r="Q473" s="8"/>
      <c r="T473" s="8"/>
    </row>
    <row r="474" ht="14.25" customHeight="1">
      <c r="D474" s="8"/>
      <c r="F474" s="8"/>
      <c r="G474" s="8"/>
      <c r="H474" s="8"/>
      <c r="J474" s="8"/>
      <c r="K474" s="8"/>
      <c r="M474" s="8"/>
      <c r="N474" s="8"/>
      <c r="P474" s="8"/>
      <c r="Q474" s="8"/>
      <c r="T474" s="8"/>
    </row>
    <row r="475" ht="14.25" customHeight="1">
      <c r="D475" s="8"/>
      <c r="F475" s="8"/>
      <c r="G475" s="8"/>
      <c r="H475" s="8"/>
      <c r="J475" s="8"/>
      <c r="K475" s="8"/>
      <c r="M475" s="8"/>
      <c r="N475" s="8"/>
      <c r="P475" s="8"/>
      <c r="Q475" s="8"/>
      <c r="T475" s="8"/>
    </row>
    <row r="476" ht="14.25" customHeight="1">
      <c r="D476" s="8"/>
      <c r="F476" s="8"/>
      <c r="G476" s="8"/>
      <c r="H476" s="8"/>
      <c r="J476" s="8"/>
      <c r="K476" s="8"/>
      <c r="M476" s="8"/>
      <c r="N476" s="8"/>
      <c r="P476" s="8"/>
      <c r="Q476" s="8"/>
      <c r="T476" s="8"/>
    </row>
    <row r="477" ht="14.25" customHeight="1">
      <c r="D477" s="8"/>
      <c r="F477" s="8"/>
      <c r="G477" s="8"/>
      <c r="H477" s="8"/>
      <c r="J477" s="8"/>
      <c r="K477" s="8"/>
      <c r="M477" s="8"/>
      <c r="N477" s="8"/>
      <c r="P477" s="8"/>
      <c r="Q477" s="8"/>
      <c r="T477" s="8"/>
    </row>
    <row r="478" ht="14.25" customHeight="1">
      <c r="D478" s="8"/>
      <c r="F478" s="8"/>
      <c r="G478" s="8"/>
      <c r="H478" s="8"/>
      <c r="J478" s="8"/>
      <c r="K478" s="8"/>
      <c r="M478" s="8"/>
      <c r="N478" s="8"/>
      <c r="P478" s="8"/>
      <c r="Q478" s="8"/>
      <c r="T478" s="8"/>
    </row>
    <row r="479" ht="14.25" customHeight="1">
      <c r="D479" s="8"/>
      <c r="F479" s="8"/>
      <c r="G479" s="8"/>
      <c r="H479" s="8"/>
      <c r="J479" s="8"/>
      <c r="K479" s="8"/>
      <c r="M479" s="8"/>
      <c r="N479" s="8"/>
      <c r="P479" s="8"/>
      <c r="Q479" s="8"/>
      <c r="T479" s="8"/>
    </row>
    <row r="480" ht="14.25" customHeight="1">
      <c r="D480" s="8"/>
      <c r="F480" s="8"/>
      <c r="G480" s="8"/>
      <c r="H480" s="8"/>
      <c r="J480" s="8"/>
      <c r="K480" s="8"/>
      <c r="M480" s="8"/>
      <c r="N480" s="8"/>
      <c r="P480" s="8"/>
      <c r="Q480" s="8"/>
      <c r="T480" s="8"/>
    </row>
    <row r="481" ht="14.25" customHeight="1">
      <c r="D481" s="8"/>
      <c r="F481" s="8"/>
      <c r="G481" s="8"/>
      <c r="H481" s="8"/>
      <c r="J481" s="8"/>
      <c r="K481" s="8"/>
      <c r="M481" s="8"/>
      <c r="N481" s="8"/>
      <c r="P481" s="8"/>
      <c r="Q481" s="8"/>
      <c r="T481" s="8"/>
    </row>
    <row r="482" ht="14.25" customHeight="1">
      <c r="D482" s="8"/>
      <c r="F482" s="8"/>
      <c r="G482" s="8"/>
      <c r="H482" s="8"/>
      <c r="J482" s="8"/>
      <c r="K482" s="8"/>
      <c r="M482" s="8"/>
      <c r="N482" s="8"/>
      <c r="P482" s="8"/>
      <c r="Q482" s="8"/>
      <c r="T482" s="8"/>
    </row>
    <row r="483" ht="14.25" customHeight="1">
      <c r="D483" s="8"/>
      <c r="F483" s="8"/>
      <c r="G483" s="8"/>
      <c r="H483" s="8"/>
      <c r="J483" s="8"/>
      <c r="K483" s="8"/>
      <c r="M483" s="8"/>
      <c r="N483" s="8"/>
      <c r="P483" s="8"/>
      <c r="Q483" s="8"/>
      <c r="T483" s="8"/>
    </row>
    <row r="484" ht="14.25" customHeight="1">
      <c r="D484" s="8"/>
      <c r="F484" s="8"/>
      <c r="G484" s="8"/>
      <c r="H484" s="8"/>
      <c r="J484" s="8"/>
      <c r="K484" s="8"/>
      <c r="M484" s="8"/>
      <c r="N484" s="8"/>
      <c r="P484" s="8"/>
      <c r="Q484" s="8"/>
      <c r="T484" s="8"/>
    </row>
    <row r="485" ht="14.25" customHeight="1">
      <c r="D485" s="8"/>
      <c r="F485" s="8"/>
      <c r="G485" s="8"/>
      <c r="H485" s="8"/>
      <c r="J485" s="8"/>
      <c r="K485" s="8"/>
      <c r="M485" s="8"/>
      <c r="N485" s="8"/>
      <c r="P485" s="8"/>
      <c r="Q485" s="8"/>
      <c r="T485" s="8"/>
    </row>
    <row r="486" ht="14.25" customHeight="1">
      <c r="D486" s="8"/>
      <c r="F486" s="8"/>
      <c r="G486" s="8"/>
      <c r="H486" s="8"/>
      <c r="J486" s="8"/>
      <c r="K486" s="8"/>
      <c r="M486" s="8"/>
      <c r="N486" s="8"/>
      <c r="P486" s="8"/>
      <c r="Q486" s="8"/>
      <c r="T486" s="8"/>
    </row>
    <row r="487" ht="14.25" customHeight="1">
      <c r="D487" s="8"/>
      <c r="F487" s="8"/>
      <c r="G487" s="8"/>
      <c r="H487" s="8"/>
      <c r="J487" s="8"/>
      <c r="K487" s="8"/>
      <c r="M487" s="8"/>
      <c r="N487" s="8"/>
      <c r="P487" s="8"/>
      <c r="Q487" s="8"/>
      <c r="T487" s="8"/>
    </row>
    <row r="488" ht="14.25" customHeight="1">
      <c r="D488" s="8"/>
      <c r="F488" s="8"/>
      <c r="G488" s="8"/>
      <c r="H488" s="8"/>
      <c r="J488" s="8"/>
      <c r="K488" s="8"/>
      <c r="M488" s="8"/>
      <c r="N488" s="8"/>
      <c r="P488" s="8"/>
      <c r="Q488" s="8"/>
      <c r="T488" s="8"/>
    </row>
    <row r="489" ht="14.25" customHeight="1">
      <c r="D489" s="8"/>
      <c r="F489" s="8"/>
      <c r="G489" s="8"/>
      <c r="H489" s="8"/>
      <c r="J489" s="8"/>
      <c r="K489" s="8"/>
      <c r="M489" s="8"/>
      <c r="N489" s="8"/>
      <c r="P489" s="8"/>
      <c r="Q489" s="8"/>
      <c r="T489" s="8"/>
    </row>
    <row r="490" ht="14.25" customHeight="1">
      <c r="D490" s="8"/>
      <c r="F490" s="8"/>
      <c r="G490" s="8"/>
      <c r="H490" s="8"/>
      <c r="J490" s="8"/>
      <c r="K490" s="8"/>
      <c r="M490" s="8"/>
      <c r="N490" s="8"/>
      <c r="P490" s="8"/>
      <c r="Q490" s="8"/>
      <c r="T490" s="8"/>
    </row>
    <row r="491" ht="14.25" customHeight="1">
      <c r="D491" s="8"/>
      <c r="F491" s="8"/>
      <c r="G491" s="8"/>
      <c r="H491" s="8"/>
      <c r="J491" s="8"/>
      <c r="K491" s="8"/>
      <c r="M491" s="8"/>
      <c r="N491" s="8"/>
      <c r="P491" s="8"/>
      <c r="Q491" s="8"/>
      <c r="T491" s="8"/>
    </row>
    <row r="492" ht="14.25" customHeight="1">
      <c r="D492" s="8"/>
      <c r="F492" s="8"/>
      <c r="G492" s="8"/>
      <c r="H492" s="8"/>
      <c r="J492" s="8"/>
      <c r="K492" s="8"/>
      <c r="M492" s="8"/>
      <c r="N492" s="8"/>
      <c r="P492" s="8"/>
      <c r="Q492" s="8"/>
      <c r="T492" s="8"/>
    </row>
    <row r="493" ht="14.25" customHeight="1">
      <c r="D493" s="8"/>
      <c r="F493" s="8"/>
      <c r="G493" s="8"/>
      <c r="H493" s="8"/>
      <c r="J493" s="8"/>
      <c r="K493" s="8"/>
      <c r="M493" s="8"/>
      <c r="N493" s="8"/>
      <c r="P493" s="8"/>
      <c r="Q493" s="8"/>
      <c r="T493" s="8"/>
    </row>
    <row r="494" ht="14.25" customHeight="1">
      <c r="D494" s="8"/>
      <c r="F494" s="8"/>
      <c r="G494" s="8"/>
      <c r="H494" s="8"/>
      <c r="J494" s="8"/>
      <c r="K494" s="8"/>
      <c r="M494" s="8"/>
      <c r="N494" s="8"/>
      <c r="P494" s="8"/>
      <c r="Q494" s="8"/>
      <c r="T494" s="8"/>
    </row>
    <row r="495" ht="14.25" customHeight="1">
      <c r="D495" s="8"/>
      <c r="F495" s="8"/>
      <c r="G495" s="8"/>
      <c r="H495" s="8"/>
      <c r="J495" s="8"/>
      <c r="K495" s="8"/>
      <c r="M495" s="8"/>
      <c r="N495" s="8"/>
      <c r="P495" s="8"/>
      <c r="Q495" s="8"/>
      <c r="T495" s="8"/>
    </row>
    <row r="496" ht="14.25" customHeight="1">
      <c r="D496" s="8"/>
      <c r="F496" s="8"/>
      <c r="G496" s="8"/>
      <c r="H496" s="8"/>
      <c r="J496" s="8"/>
      <c r="K496" s="8"/>
      <c r="M496" s="8"/>
      <c r="N496" s="8"/>
      <c r="P496" s="8"/>
      <c r="Q496" s="8"/>
      <c r="T496" s="8"/>
    </row>
    <row r="497" ht="14.25" customHeight="1">
      <c r="D497" s="8"/>
      <c r="F497" s="8"/>
      <c r="G497" s="8"/>
      <c r="H497" s="8"/>
      <c r="J497" s="8"/>
      <c r="K497" s="8"/>
      <c r="M497" s="8"/>
      <c r="N497" s="8"/>
      <c r="P497" s="8"/>
      <c r="Q497" s="8"/>
      <c r="T497" s="8"/>
    </row>
    <row r="498" ht="14.25" customHeight="1">
      <c r="D498" s="8"/>
      <c r="F498" s="8"/>
      <c r="G498" s="8"/>
      <c r="H498" s="8"/>
      <c r="J498" s="8"/>
      <c r="K498" s="8"/>
      <c r="M498" s="8"/>
      <c r="N498" s="8"/>
      <c r="P498" s="8"/>
      <c r="Q498" s="8"/>
      <c r="T498" s="8"/>
    </row>
    <row r="499" ht="14.25" customHeight="1">
      <c r="D499" s="8"/>
      <c r="F499" s="8"/>
      <c r="G499" s="8"/>
      <c r="H499" s="8"/>
      <c r="J499" s="8"/>
      <c r="K499" s="8"/>
      <c r="M499" s="8"/>
      <c r="N499" s="8"/>
      <c r="P499" s="8"/>
      <c r="Q499" s="8"/>
      <c r="T499" s="8"/>
    </row>
    <row r="500" ht="14.25" customHeight="1">
      <c r="D500" s="8"/>
      <c r="F500" s="8"/>
      <c r="G500" s="8"/>
      <c r="H500" s="8"/>
      <c r="J500" s="8"/>
      <c r="K500" s="8"/>
      <c r="M500" s="8"/>
      <c r="N500" s="8"/>
      <c r="P500" s="8"/>
      <c r="Q500" s="8"/>
      <c r="T500" s="8"/>
    </row>
    <row r="501" ht="14.25" customHeight="1">
      <c r="D501" s="8"/>
      <c r="F501" s="8"/>
      <c r="G501" s="8"/>
      <c r="H501" s="8"/>
      <c r="J501" s="8"/>
      <c r="K501" s="8"/>
      <c r="M501" s="8"/>
      <c r="N501" s="8"/>
      <c r="P501" s="8"/>
      <c r="Q501" s="8"/>
      <c r="T501" s="8"/>
    </row>
    <row r="502" ht="14.25" customHeight="1">
      <c r="D502" s="8"/>
      <c r="F502" s="8"/>
      <c r="G502" s="8"/>
      <c r="H502" s="8"/>
      <c r="J502" s="8"/>
      <c r="K502" s="8"/>
      <c r="M502" s="8"/>
      <c r="N502" s="8"/>
      <c r="P502" s="8"/>
      <c r="Q502" s="8"/>
      <c r="T502" s="8"/>
    </row>
    <row r="503" ht="14.25" customHeight="1">
      <c r="D503" s="8"/>
      <c r="F503" s="8"/>
      <c r="G503" s="8"/>
      <c r="H503" s="8"/>
      <c r="J503" s="8"/>
      <c r="K503" s="8"/>
      <c r="M503" s="8"/>
      <c r="N503" s="8"/>
      <c r="P503" s="8"/>
      <c r="Q503" s="8"/>
      <c r="T503" s="8"/>
    </row>
    <row r="504" ht="14.25" customHeight="1">
      <c r="D504" s="8"/>
      <c r="F504" s="8"/>
      <c r="G504" s="8"/>
      <c r="H504" s="8"/>
      <c r="J504" s="8"/>
      <c r="K504" s="8"/>
      <c r="M504" s="8"/>
      <c r="N504" s="8"/>
      <c r="P504" s="8"/>
      <c r="Q504" s="8"/>
      <c r="T504" s="8"/>
    </row>
    <row r="505" ht="14.25" customHeight="1">
      <c r="D505" s="8"/>
      <c r="F505" s="8"/>
      <c r="G505" s="8"/>
      <c r="H505" s="8"/>
      <c r="J505" s="8"/>
      <c r="K505" s="8"/>
      <c r="M505" s="8"/>
      <c r="N505" s="8"/>
      <c r="P505" s="8"/>
      <c r="Q505" s="8"/>
      <c r="T505" s="8"/>
    </row>
    <row r="506" ht="14.25" customHeight="1">
      <c r="D506" s="8"/>
      <c r="F506" s="8"/>
      <c r="G506" s="8"/>
      <c r="H506" s="8"/>
      <c r="J506" s="8"/>
      <c r="K506" s="8"/>
      <c r="M506" s="8"/>
      <c r="N506" s="8"/>
      <c r="P506" s="8"/>
      <c r="Q506" s="8"/>
      <c r="T506" s="8"/>
    </row>
    <row r="507" ht="14.25" customHeight="1">
      <c r="D507" s="8"/>
      <c r="F507" s="8"/>
      <c r="G507" s="8"/>
      <c r="H507" s="8"/>
      <c r="J507" s="8"/>
      <c r="K507" s="8"/>
      <c r="M507" s="8"/>
      <c r="N507" s="8"/>
      <c r="P507" s="8"/>
      <c r="Q507" s="8"/>
      <c r="T507" s="8"/>
    </row>
    <row r="508" ht="14.25" customHeight="1">
      <c r="D508" s="8"/>
      <c r="F508" s="8"/>
      <c r="G508" s="8"/>
      <c r="H508" s="8"/>
      <c r="J508" s="8"/>
      <c r="K508" s="8"/>
      <c r="M508" s="8"/>
      <c r="N508" s="8"/>
      <c r="P508" s="8"/>
      <c r="Q508" s="8"/>
      <c r="T508" s="8"/>
    </row>
    <row r="509" ht="14.25" customHeight="1">
      <c r="D509" s="8"/>
      <c r="F509" s="8"/>
      <c r="G509" s="8"/>
      <c r="H509" s="8"/>
      <c r="J509" s="8"/>
      <c r="K509" s="8"/>
      <c r="M509" s="8"/>
      <c r="N509" s="8"/>
      <c r="P509" s="8"/>
      <c r="Q509" s="8"/>
      <c r="T509" s="8"/>
    </row>
    <row r="510" ht="14.25" customHeight="1">
      <c r="D510" s="8"/>
      <c r="F510" s="8"/>
      <c r="G510" s="8"/>
      <c r="H510" s="8"/>
      <c r="J510" s="8"/>
      <c r="K510" s="8"/>
      <c r="M510" s="8"/>
      <c r="N510" s="8"/>
      <c r="P510" s="8"/>
      <c r="Q510" s="8"/>
      <c r="T510" s="8"/>
    </row>
    <row r="511" ht="14.25" customHeight="1">
      <c r="D511" s="8"/>
      <c r="F511" s="8"/>
      <c r="G511" s="8"/>
      <c r="H511" s="8"/>
      <c r="J511" s="8"/>
      <c r="K511" s="8"/>
      <c r="M511" s="8"/>
      <c r="N511" s="8"/>
      <c r="P511" s="8"/>
      <c r="Q511" s="8"/>
      <c r="T511" s="8"/>
    </row>
    <row r="512" ht="14.25" customHeight="1">
      <c r="D512" s="8"/>
      <c r="F512" s="8"/>
      <c r="G512" s="8"/>
      <c r="H512" s="8"/>
      <c r="J512" s="8"/>
      <c r="K512" s="8"/>
      <c r="M512" s="8"/>
      <c r="N512" s="8"/>
      <c r="P512" s="8"/>
      <c r="Q512" s="8"/>
      <c r="T512" s="8"/>
    </row>
    <row r="513" ht="14.25" customHeight="1">
      <c r="D513" s="8"/>
      <c r="F513" s="8"/>
      <c r="G513" s="8"/>
      <c r="H513" s="8"/>
      <c r="J513" s="8"/>
      <c r="K513" s="8"/>
      <c r="M513" s="8"/>
      <c r="N513" s="8"/>
      <c r="P513" s="8"/>
      <c r="Q513" s="8"/>
      <c r="T513" s="8"/>
    </row>
    <row r="514" ht="14.25" customHeight="1">
      <c r="D514" s="8"/>
      <c r="F514" s="8"/>
      <c r="G514" s="8"/>
      <c r="H514" s="8"/>
      <c r="J514" s="8"/>
      <c r="K514" s="8"/>
      <c r="M514" s="8"/>
      <c r="N514" s="8"/>
      <c r="P514" s="8"/>
      <c r="Q514" s="8"/>
      <c r="T514" s="8"/>
    </row>
    <row r="515" ht="14.25" customHeight="1">
      <c r="D515" s="8"/>
      <c r="F515" s="8"/>
      <c r="G515" s="8"/>
      <c r="H515" s="8"/>
      <c r="J515" s="8"/>
      <c r="K515" s="8"/>
      <c r="M515" s="8"/>
      <c r="N515" s="8"/>
      <c r="P515" s="8"/>
      <c r="Q515" s="8"/>
      <c r="T515" s="8"/>
    </row>
    <row r="516" ht="14.25" customHeight="1">
      <c r="D516" s="8"/>
      <c r="F516" s="8"/>
      <c r="G516" s="8"/>
      <c r="H516" s="8"/>
      <c r="J516" s="8"/>
      <c r="K516" s="8"/>
      <c r="M516" s="8"/>
      <c r="N516" s="8"/>
      <c r="P516" s="8"/>
      <c r="Q516" s="8"/>
      <c r="T516" s="8"/>
    </row>
    <row r="517" ht="14.25" customHeight="1">
      <c r="D517" s="8"/>
      <c r="F517" s="8"/>
      <c r="G517" s="8"/>
      <c r="H517" s="8"/>
      <c r="J517" s="8"/>
      <c r="K517" s="8"/>
      <c r="M517" s="8"/>
      <c r="N517" s="8"/>
      <c r="P517" s="8"/>
      <c r="Q517" s="8"/>
      <c r="T517" s="8"/>
    </row>
    <row r="518" ht="14.25" customHeight="1">
      <c r="D518" s="8"/>
      <c r="F518" s="8"/>
      <c r="G518" s="8"/>
      <c r="H518" s="8"/>
      <c r="J518" s="8"/>
      <c r="K518" s="8"/>
      <c r="M518" s="8"/>
      <c r="N518" s="8"/>
      <c r="P518" s="8"/>
      <c r="Q518" s="8"/>
      <c r="T518" s="8"/>
    </row>
    <row r="519" ht="14.25" customHeight="1">
      <c r="D519" s="8"/>
      <c r="F519" s="8"/>
      <c r="G519" s="8"/>
      <c r="H519" s="8"/>
      <c r="J519" s="8"/>
      <c r="K519" s="8"/>
      <c r="M519" s="8"/>
      <c r="N519" s="8"/>
      <c r="P519" s="8"/>
      <c r="Q519" s="8"/>
      <c r="T519" s="8"/>
    </row>
    <row r="520" ht="14.25" customHeight="1">
      <c r="D520" s="8"/>
      <c r="F520" s="8"/>
      <c r="G520" s="8"/>
      <c r="H520" s="8"/>
      <c r="J520" s="8"/>
      <c r="K520" s="8"/>
      <c r="M520" s="8"/>
      <c r="N520" s="8"/>
      <c r="P520" s="8"/>
      <c r="Q520" s="8"/>
      <c r="T520" s="8"/>
    </row>
    <row r="521" ht="14.25" customHeight="1">
      <c r="D521" s="8"/>
      <c r="F521" s="8"/>
      <c r="G521" s="8"/>
      <c r="H521" s="8"/>
      <c r="J521" s="8"/>
      <c r="K521" s="8"/>
      <c r="M521" s="8"/>
      <c r="N521" s="8"/>
      <c r="P521" s="8"/>
      <c r="Q521" s="8"/>
      <c r="T521" s="8"/>
    </row>
    <row r="522" ht="14.25" customHeight="1">
      <c r="D522" s="8"/>
      <c r="F522" s="8"/>
      <c r="G522" s="8"/>
      <c r="H522" s="8"/>
      <c r="J522" s="8"/>
      <c r="K522" s="8"/>
      <c r="M522" s="8"/>
      <c r="N522" s="8"/>
      <c r="P522" s="8"/>
      <c r="Q522" s="8"/>
      <c r="T522" s="8"/>
    </row>
    <row r="523" ht="14.25" customHeight="1">
      <c r="D523" s="8"/>
      <c r="F523" s="8"/>
      <c r="G523" s="8"/>
      <c r="H523" s="8"/>
      <c r="J523" s="8"/>
      <c r="K523" s="8"/>
      <c r="M523" s="8"/>
      <c r="N523" s="8"/>
      <c r="P523" s="8"/>
      <c r="Q523" s="8"/>
      <c r="T523" s="8"/>
    </row>
    <row r="524" ht="14.25" customHeight="1">
      <c r="D524" s="8"/>
      <c r="F524" s="8"/>
      <c r="G524" s="8"/>
      <c r="H524" s="8"/>
      <c r="J524" s="8"/>
      <c r="K524" s="8"/>
      <c r="M524" s="8"/>
      <c r="N524" s="8"/>
      <c r="P524" s="8"/>
      <c r="Q524" s="8"/>
      <c r="T524" s="8"/>
    </row>
    <row r="525" ht="14.25" customHeight="1">
      <c r="D525" s="8"/>
      <c r="F525" s="8"/>
      <c r="G525" s="8"/>
      <c r="H525" s="8"/>
      <c r="J525" s="8"/>
      <c r="K525" s="8"/>
      <c r="M525" s="8"/>
      <c r="N525" s="8"/>
      <c r="P525" s="8"/>
      <c r="Q525" s="8"/>
      <c r="T525" s="8"/>
    </row>
    <row r="526" ht="14.25" customHeight="1">
      <c r="D526" s="8"/>
      <c r="F526" s="8"/>
      <c r="G526" s="8"/>
      <c r="H526" s="8"/>
      <c r="J526" s="8"/>
      <c r="K526" s="8"/>
      <c r="M526" s="8"/>
      <c r="N526" s="8"/>
      <c r="P526" s="8"/>
      <c r="Q526" s="8"/>
      <c r="T526" s="8"/>
    </row>
    <row r="527" ht="14.25" customHeight="1">
      <c r="D527" s="8"/>
      <c r="F527" s="8"/>
      <c r="G527" s="8"/>
      <c r="H527" s="8"/>
      <c r="J527" s="8"/>
      <c r="K527" s="8"/>
      <c r="M527" s="8"/>
      <c r="N527" s="8"/>
      <c r="P527" s="8"/>
      <c r="Q527" s="8"/>
      <c r="T527" s="8"/>
    </row>
    <row r="528" ht="14.25" customHeight="1">
      <c r="D528" s="8"/>
      <c r="F528" s="8"/>
      <c r="G528" s="8"/>
      <c r="H528" s="8"/>
      <c r="J528" s="8"/>
      <c r="K528" s="8"/>
      <c r="M528" s="8"/>
      <c r="N528" s="8"/>
      <c r="P528" s="8"/>
      <c r="Q528" s="8"/>
      <c r="T528" s="8"/>
    </row>
    <row r="529" ht="14.25" customHeight="1">
      <c r="D529" s="8"/>
      <c r="F529" s="8"/>
      <c r="G529" s="8"/>
      <c r="H529" s="8"/>
      <c r="J529" s="8"/>
      <c r="K529" s="8"/>
      <c r="M529" s="8"/>
      <c r="N529" s="8"/>
      <c r="P529" s="8"/>
      <c r="Q529" s="8"/>
      <c r="T529" s="8"/>
    </row>
    <row r="530" ht="14.25" customHeight="1">
      <c r="D530" s="8"/>
      <c r="F530" s="8"/>
      <c r="G530" s="8"/>
      <c r="H530" s="8"/>
      <c r="J530" s="8"/>
      <c r="K530" s="8"/>
      <c r="M530" s="8"/>
      <c r="N530" s="8"/>
      <c r="P530" s="8"/>
      <c r="Q530" s="8"/>
      <c r="T530" s="8"/>
    </row>
    <row r="531" ht="14.25" customHeight="1">
      <c r="D531" s="8"/>
      <c r="F531" s="8"/>
      <c r="G531" s="8"/>
      <c r="H531" s="8"/>
      <c r="J531" s="8"/>
      <c r="K531" s="8"/>
      <c r="M531" s="8"/>
      <c r="N531" s="8"/>
      <c r="P531" s="8"/>
      <c r="Q531" s="8"/>
      <c r="T531" s="8"/>
    </row>
    <row r="532" ht="14.25" customHeight="1">
      <c r="D532" s="8"/>
      <c r="F532" s="8"/>
      <c r="G532" s="8"/>
      <c r="H532" s="8"/>
      <c r="J532" s="8"/>
      <c r="K532" s="8"/>
      <c r="M532" s="8"/>
      <c r="N532" s="8"/>
      <c r="P532" s="8"/>
      <c r="Q532" s="8"/>
      <c r="T532" s="8"/>
    </row>
    <row r="533" ht="14.25" customHeight="1">
      <c r="D533" s="8"/>
      <c r="F533" s="8"/>
      <c r="G533" s="8"/>
      <c r="H533" s="8"/>
      <c r="J533" s="8"/>
      <c r="K533" s="8"/>
      <c r="M533" s="8"/>
      <c r="N533" s="8"/>
      <c r="P533" s="8"/>
      <c r="Q533" s="8"/>
      <c r="T533" s="8"/>
    </row>
    <row r="534" ht="14.25" customHeight="1">
      <c r="D534" s="8"/>
      <c r="F534" s="8"/>
      <c r="G534" s="8"/>
      <c r="H534" s="8"/>
      <c r="J534" s="8"/>
      <c r="K534" s="8"/>
      <c r="M534" s="8"/>
      <c r="N534" s="8"/>
      <c r="P534" s="8"/>
      <c r="Q534" s="8"/>
      <c r="T534" s="8"/>
    </row>
    <row r="535" ht="14.25" customHeight="1">
      <c r="D535" s="8"/>
      <c r="F535" s="8"/>
      <c r="G535" s="8"/>
      <c r="H535" s="8"/>
      <c r="J535" s="8"/>
      <c r="K535" s="8"/>
      <c r="M535" s="8"/>
      <c r="N535" s="8"/>
      <c r="P535" s="8"/>
      <c r="Q535" s="8"/>
      <c r="T535" s="8"/>
    </row>
    <row r="536" ht="14.25" customHeight="1">
      <c r="D536" s="8"/>
      <c r="F536" s="8"/>
      <c r="G536" s="8"/>
      <c r="H536" s="8"/>
      <c r="J536" s="8"/>
      <c r="K536" s="8"/>
      <c r="M536" s="8"/>
      <c r="N536" s="8"/>
      <c r="P536" s="8"/>
      <c r="Q536" s="8"/>
      <c r="T536" s="8"/>
    </row>
    <row r="537" ht="14.25" customHeight="1">
      <c r="D537" s="8"/>
      <c r="F537" s="8"/>
      <c r="G537" s="8"/>
      <c r="H537" s="8"/>
      <c r="J537" s="8"/>
      <c r="K537" s="8"/>
      <c r="M537" s="8"/>
      <c r="N537" s="8"/>
      <c r="P537" s="8"/>
      <c r="Q537" s="8"/>
      <c r="T537" s="8"/>
    </row>
    <row r="538" ht="14.25" customHeight="1">
      <c r="D538" s="8"/>
      <c r="F538" s="8"/>
      <c r="G538" s="8"/>
      <c r="H538" s="8"/>
      <c r="J538" s="8"/>
      <c r="K538" s="8"/>
      <c r="M538" s="8"/>
      <c r="N538" s="8"/>
      <c r="P538" s="8"/>
      <c r="Q538" s="8"/>
      <c r="T538" s="8"/>
    </row>
    <row r="539" ht="14.25" customHeight="1">
      <c r="D539" s="8"/>
      <c r="F539" s="8"/>
      <c r="G539" s="8"/>
      <c r="H539" s="8"/>
      <c r="J539" s="8"/>
      <c r="K539" s="8"/>
      <c r="M539" s="8"/>
      <c r="N539" s="8"/>
      <c r="P539" s="8"/>
      <c r="Q539" s="8"/>
      <c r="T539" s="8"/>
    </row>
    <row r="540" ht="14.25" customHeight="1">
      <c r="D540" s="8"/>
      <c r="F540" s="8"/>
      <c r="G540" s="8"/>
      <c r="H540" s="8"/>
      <c r="J540" s="8"/>
      <c r="K540" s="8"/>
      <c r="M540" s="8"/>
      <c r="N540" s="8"/>
      <c r="P540" s="8"/>
      <c r="Q540" s="8"/>
      <c r="T540" s="8"/>
    </row>
    <row r="541" ht="14.25" customHeight="1">
      <c r="D541" s="8"/>
      <c r="F541" s="8"/>
      <c r="G541" s="8"/>
      <c r="H541" s="8"/>
      <c r="J541" s="8"/>
      <c r="K541" s="8"/>
      <c r="M541" s="8"/>
      <c r="N541" s="8"/>
      <c r="P541" s="8"/>
      <c r="Q541" s="8"/>
      <c r="T541" s="8"/>
    </row>
    <row r="542" ht="14.25" customHeight="1">
      <c r="D542" s="8"/>
      <c r="F542" s="8"/>
      <c r="G542" s="8"/>
      <c r="H542" s="8"/>
      <c r="J542" s="8"/>
      <c r="K542" s="8"/>
      <c r="M542" s="8"/>
      <c r="N542" s="8"/>
      <c r="P542" s="8"/>
      <c r="Q542" s="8"/>
      <c r="T542" s="8"/>
    </row>
    <row r="543" ht="14.25" customHeight="1">
      <c r="D543" s="8"/>
      <c r="F543" s="8"/>
      <c r="G543" s="8"/>
      <c r="H543" s="8"/>
      <c r="J543" s="8"/>
      <c r="K543" s="8"/>
      <c r="M543" s="8"/>
      <c r="N543" s="8"/>
      <c r="P543" s="8"/>
      <c r="Q543" s="8"/>
      <c r="T543" s="8"/>
    </row>
    <row r="544" ht="14.25" customHeight="1">
      <c r="D544" s="8"/>
      <c r="F544" s="8"/>
      <c r="G544" s="8"/>
      <c r="H544" s="8"/>
      <c r="J544" s="8"/>
      <c r="K544" s="8"/>
      <c r="M544" s="8"/>
      <c r="N544" s="8"/>
      <c r="P544" s="8"/>
      <c r="Q544" s="8"/>
      <c r="T544" s="8"/>
    </row>
    <row r="545" ht="14.25" customHeight="1">
      <c r="D545" s="8"/>
      <c r="F545" s="8"/>
      <c r="G545" s="8"/>
      <c r="H545" s="8"/>
      <c r="J545" s="8"/>
      <c r="K545" s="8"/>
      <c r="M545" s="8"/>
      <c r="N545" s="8"/>
      <c r="P545" s="8"/>
      <c r="Q545" s="8"/>
      <c r="T545" s="8"/>
    </row>
    <row r="546" ht="14.25" customHeight="1">
      <c r="D546" s="8"/>
      <c r="F546" s="8"/>
      <c r="G546" s="8"/>
      <c r="H546" s="8"/>
      <c r="J546" s="8"/>
      <c r="K546" s="8"/>
      <c r="M546" s="8"/>
      <c r="N546" s="8"/>
      <c r="P546" s="8"/>
      <c r="Q546" s="8"/>
      <c r="T546" s="8"/>
    </row>
    <row r="547" ht="14.25" customHeight="1">
      <c r="D547" s="8"/>
      <c r="F547" s="8"/>
      <c r="G547" s="8"/>
      <c r="H547" s="8"/>
      <c r="J547" s="8"/>
      <c r="K547" s="8"/>
      <c r="M547" s="8"/>
      <c r="N547" s="8"/>
      <c r="P547" s="8"/>
      <c r="Q547" s="8"/>
      <c r="T547" s="8"/>
    </row>
    <row r="548" ht="14.25" customHeight="1">
      <c r="D548" s="8"/>
      <c r="F548" s="8"/>
      <c r="G548" s="8"/>
      <c r="H548" s="8"/>
      <c r="J548" s="8"/>
      <c r="K548" s="8"/>
      <c r="M548" s="8"/>
      <c r="N548" s="8"/>
      <c r="P548" s="8"/>
      <c r="Q548" s="8"/>
      <c r="T548" s="8"/>
    </row>
    <row r="549" ht="14.25" customHeight="1">
      <c r="D549" s="8"/>
      <c r="F549" s="8"/>
      <c r="G549" s="8"/>
      <c r="H549" s="8"/>
      <c r="J549" s="8"/>
      <c r="K549" s="8"/>
      <c r="M549" s="8"/>
      <c r="N549" s="8"/>
      <c r="P549" s="8"/>
      <c r="Q549" s="8"/>
      <c r="T549" s="8"/>
    </row>
    <row r="550" ht="14.25" customHeight="1">
      <c r="D550" s="8"/>
      <c r="F550" s="8"/>
      <c r="G550" s="8"/>
      <c r="H550" s="8"/>
      <c r="J550" s="8"/>
      <c r="K550" s="8"/>
      <c r="M550" s="8"/>
      <c r="N550" s="8"/>
      <c r="P550" s="8"/>
      <c r="Q550" s="8"/>
      <c r="T550" s="8"/>
    </row>
    <row r="551" ht="14.25" customHeight="1">
      <c r="D551" s="8"/>
      <c r="F551" s="8"/>
      <c r="G551" s="8"/>
      <c r="H551" s="8"/>
      <c r="J551" s="8"/>
      <c r="K551" s="8"/>
      <c r="M551" s="8"/>
      <c r="N551" s="8"/>
      <c r="P551" s="8"/>
      <c r="Q551" s="8"/>
      <c r="T551" s="8"/>
    </row>
    <row r="552" ht="14.25" customHeight="1">
      <c r="D552" s="8"/>
      <c r="F552" s="8"/>
      <c r="G552" s="8"/>
      <c r="H552" s="8"/>
      <c r="J552" s="8"/>
      <c r="K552" s="8"/>
      <c r="M552" s="8"/>
      <c r="N552" s="8"/>
      <c r="P552" s="8"/>
      <c r="Q552" s="8"/>
      <c r="T552" s="8"/>
    </row>
    <row r="553" ht="14.25" customHeight="1">
      <c r="D553" s="8"/>
      <c r="F553" s="8"/>
      <c r="G553" s="8"/>
      <c r="H553" s="8"/>
      <c r="J553" s="8"/>
      <c r="K553" s="8"/>
      <c r="M553" s="8"/>
      <c r="N553" s="8"/>
      <c r="P553" s="8"/>
      <c r="Q553" s="8"/>
      <c r="T553" s="8"/>
    </row>
    <row r="554" ht="14.25" customHeight="1">
      <c r="D554" s="8"/>
      <c r="F554" s="8"/>
      <c r="G554" s="8"/>
      <c r="H554" s="8"/>
      <c r="J554" s="8"/>
      <c r="K554" s="8"/>
      <c r="M554" s="8"/>
      <c r="N554" s="8"/>
      <c r="P554" s="8"/>
      <c r="Q554" s="8"/>
      <c r="T554" s="8"/>
    </row>
    <row r="555" ht="14.25" customHeight="1">
      <c r="D555" s="8"/>
      <c r="F555" s="8"/>
      <c r="G555" s="8"/>
      <c r="H555" s="8"/>
      <c r="J555" s="8"/>
      <c r="K555" s="8"/>
      <c r="M555" s="8"/>
      <c r="N555" s="8"/>
      <c r="P555" s="8"/>
      <c r="Q555" s="8"/>
      <c r="T555" s="8"/>
    </row>
    <row r="556" ht="14.25" customHeight="1">
      <c r="D556" s="8"/>
      <c r="F556" s="8"/>
      <c r="G556" s="8"/>
      <c r="H556" s="8"/>
      <c r="J556" s="8"/>
      <c r="K556" s="8"/>
      <c r="M556" s="8"/>
      <c r="N556" s="8"/>
      <c r="P556" s="8"/>
      <c r="Q556" s="8"/>
      <c r="T556" s="8"/>
    </row>
    <row r="557" ht="14.25" customHeight="1">
      <c r="D557" s="8"/>
      <c r="F557" s="8"/>
      <c r="G557" s="8"/>
      <c r="H557" s="8"/>
      <c r="J557" s="8"/>
      <c r="K557" s="8"/>
      <c r="M557" s="8"/>
      <c r="N557" s="8"/>
      <c r="P557" s="8"/>
      <c r="Q557" s="8"/>
      <c r="T557" s="8"/>
    </row>
    <row r="558" ht="14.25" customHeight="1">
      <c r="D558" s="8"/>
      <c r="F558" s="8"/>
      <c r="G558" s="8"/>
      <c r="H558" s="8"/>
      <c r="J558" s="8"/>
      <c r="K558" s="8"/>
      <c r="M558" s="8"/>
      <c r="N558" s="8"/>
      <c r="P558" s="8"/>
      <c r="Q558" s="8"/>
      <c r="T558" s="8"/>
    </row>
    <row r="559" ht="14.25" customHeight="1">
      <c r="D559" s="8"/>
      <c r="F559" s="8"/>
      <c r="G559" s="8"/>
      <c r="H559" s="8"/>
      <c r="J559" s="8"/>
      <c r="K559" s="8"/>
      <c r="M559" s="8"/>
      <c r="N559" s="8"/>
      <c r="P559" s="8"/>
      <c r="Q559" s="8"/>
      <c r="T559" s="8"/>
    </row>
    <row r="560" ht="14.25" customHeight="1">
      <c r="D560" s="8"/>
      <c r="F560" s="8"/>
      <c r="G560" s="8"/>
      <c r="H560" s="8"/>
      <c r="J560" s="8"/>
      <c r="K560" s="8"/>
      <c r="M560" s="8"/>
      <c r="N560" s="8"/>
      <c r="P560" s="8"/>
      <c r="Q560" s="8"/>
      <c r="T560" s="8"/>
    </row>
    <row r="561" ht="14.25" customHeight="1">
      <c r="D561" s="8"/>
      <c r="F561" s="8"/>
      <c r="G561" s="8"/>
      <c r="H561" s="8"/>
      <c r="J561" s="8"/>
      <c r="K561" s="8"/>
      <c r="M561" s="8"/>
      <c r="N561" s="8"/>
      <c r="P561" s="8"/>
      <c r="Q561" s="8"/>
      <c r="T561" s="8"/>
    </row>
    <row r="562" ht="14.25" customHeight="1">
      <c r="D562" s="8"/>
      <c r="F562" s="8"/>
      <c r="G562" s="8"/>
      <c r="H562" s="8"/>
      <c r="J562" s="8"/>
      <c r="K562" s="8"/>
      <c r="M562" s="8"/>
      <c r="N562" s="8"/>
      <c r="P562" s="8"/>
      <c r="Q562" s="8"/>
      <c r="T562" s="8"/>
    </row>
    <row r="563" ht="14.25" customHeight="1">
      <c r="D563" s="8"/>
      <c r="F563" s="8"/>
      <c r="G563" s="8"/>
      <c r="H563" s="8"/>
      <c r="J563" s="8"/>
      <c r="K563" s="8"/>
      <c r="M563" s="8"/>
      <c r="N563" s="8"/>
      <c r="P563" s="8"/>
      <c r="Q563" s="8"/>
      <c r="T563" s="8"/>
    </row>
    <row r="564" ht="14.25" customHeight="1">
      <c r="D564" s="8"/>
      <c r="F564" s="8"/>
      <c r="G564" s="8"/>
      <c r="H564" s="8"/>
      <c r="J564" s="8"/>
      <c r="K564" s="8"/>
      <c r="M564" s="8"/>
      <c r="N564" s="8"/>
      <c r="P564" s="8"/>
      <c r="Q564" s="8"/>
      <c r="T564" s="8"/>
    </row>
    <row r="565" ht="14.25" customHeight="1">
      <c r="D565" s="8"/>
      <c r="F565" s="8"/>
      <c r="G565" s="8"/>
      <c r="H565" s="8"/>
      <c r="J565" s="8"/>
      <c r="K565" s="8"/>
      <c r="M565" s="8"/>
      <c r="N565" s="8"/>
      <c r="P565" s="8"/>
      <c r="Q565" s="8"/>
      <c r="T565" s="8"/>
    </row>
    <row r="566" ht="14.25" customHeight="1">
      <c r="D566" s="8"/>
      <c r="F566" s="8"/>
      <c r="G566" s="8"/>
      <c r="H566" s="8"/>
      <c r="J566" s="8"/>
      <c r="K566" s="8"/>
      <c r="M566" s="8"/>
      <c r="N566" s="8"/>
      <c r="P566" s="8"/>
      <c r="Q566" s="8"/>
      <c r="T566" s="8"/>
    </row>
    <row r="567" ht="14.25" customHeight="1">
      <c r="D567" s="8"/>
      <c r="F567" s="8"/>
      <c r="G567" s="8"/>
      <c r="H567" s="8"/>
      <c r="J567" s="8"/>
      <c r="K567" s="8"/>
      <c r="M567" s="8"/>
      <c r="N567" s="8"/>
      <c r="P567" s="8"/>
      <c r="Q567" s="8"/>
      <c r="T567" s="8"/>
    </row>
    <row r="568" ht="14.25" customHeight="1">
      <c r="D568" s="8"/>
      <c r="F568" s="8"/>
      <c r="G568" s="8"/>
      <c r="H568" s="8"/>
      <c r="J568" s="8"/>
      <c r="K568" s="8"/>
      <c r="M568" s="8"/>
      <c r="N568" s="8"/>
      <c r="P568" s="8"/>
      <c r="Q568" s="8"/>
      <c r="T568" s="8"/>
    </row>
    <row r="569" ht="14.25" customHeight="1">
      <c r="D569" s="8"/>
      <c r="F569" s="8"/>
      <c r="G569" s="8"/>
      <c r="H569" s="8"/>
      <c r="J569" s="8"/>
      <c r="K569" s="8"/>
      <c r="M569" s="8"/>
      <c r="N569" s="8"/>
      <c r="P569" s="8"/>
      <c r="Q569" s="8"/>
      <c r="T569" s="8"/>
    </row>
    <row r="570" ht="14.25" customHeight="1">
      <c r="D570" s="8"/>
      <c r="F570" s="8"/>
      <c r="G570" s="8"/>
      <c r="H570" s="8"/>
      <c r="J570" s="8"/>
      <c r="K570" s="8"/>
      <c r="M570" s="8"/>
      <c r="N570" s="8"/>
      <c r="P570" s="8"/>
      <c r="Q570" s="8"/>
      <c r="T570" s="8"/>
    </row>
    <row r="571" ht="14.25" customHeight="1">
      <c r="D571" s="8"/>
      <c r="F571" s="8"/>
      <c r="G571" s="8"/>
      <c r="H571" s="8"/>
      <c r="J571" s="8"/>
      <c r="K571" s="8"/>
      <c r="M571" s="8"/>
      <c r="N571" s="8"/>
      <c r="P571" s="8"/>
      <c r="Q571" s="8"/>
      <c r="T571" s="8"/>
    </row>
    <row r="572" ht="14.25" customHeight="1">
      <c r="D572" s="8"/>
      <c r="F572" s="8"/>
      <c r="G572" s="8"/>
      <c r="H572" s="8"/>
      <c r="J572" s="8"/>
      <c r="K572" s="8"/>
      <c r="M572" s="8"/>
      <c r="N572" s="8"/>
      <c r="P572" s="8"/>
      <c r="Q572" s="8"/>
      <c r="T572" s="8"/>
    </row>
    <row r="573" ht="14.25" customHeight="1">
      <c r="D573" s="8"/>
      <c r="F573" s="8"/>
      <c r="G573" s="8"/>
      <c r="H573" s="8"/>
      <c r="J573" s="8"/>
      <c r="K573" s="8"/>
      <c r="M573" s="8"/>
      <c r="N573" s="8"/>
      <c r="P573" s="8"/>
      <c r="Q573" s="8"/>
      <c r="T573" s="8"/>
    </row>
    <row r="574" ht="14.25" customHeight="1">
      <c r="D574" s="8"/>
      <c r="F574" s="8"/>
      <c r="G574" s="8"/>
      <c r="H574" s="8"/>
      <c r="J574" s="8"/>
      <c r="K574" s="8"/>
      <c r="M574" s="8"/>
      <c r="N574" s="8"/>
      <c r="P574" s="8"/>
      <c r="Q574" s="8"/>
      <c r="T574" s="8"/>
    </row>
    <row r="575" ht="14.25" customHeight="1">
      <c r="D575" s="8"/>
      <c r="F575" s="8"/>
      <c r="G575" s="8"/>
      <c r="H575" s="8"/>
      <c r="J575" s="8"/>
      <c r="K575" s="8"/>
      <c r="M575" s="8"/>
      <c r="N575" s="8"/>
      <c r="P575" s="8"/>
      <c r="Q575" s="8"/>
      <c r="T575" s="8"/>
    </row>
    <row r="576" ht="14.25" customHeight="1">
      <c r="D576" s="8"/>
      <c r="F576" s="8"/>
      <c r="G576" s="8"/>
      <c r="H576" s="8"/>
      <c r="J576" s="8"/>
      <c r="K576" s="8"/>
      <c r="M576" s="8"/>
      <c r="N576" s="8"/>
      <c r="P576" s="8"/>
      <c r="Q576" s="8"/>
      <c r="T576" s="8"/>
    </row>
    <row r="577" ht="14.25" customHeight="1">
      <c r="D577" s="8"/>
      <c r="F577" s="8"/>
      <c r="G577" s="8"/>
      <c r="H577" s="8"/>
      <c r="J577" s="8"/>
      <c r="K577" s="8"/>
      <c r="M577" s="8"/>
      <c r="N577" s="8"/>
      <c r="P577" s="8"/>
      <c r="Q577" s="8"/>
      <c r="T577" s="8"/>
    </row>
    <row r="578" ht="14.25" customHeight="1">
      <c r="D578" s="8"/>
      <c r="F578" s="8"/>
      <c r="G578" s="8"/>
      <c r="H578" s="8"/>
      <c r="J578" s="8"/>
      <c r="K578" s="8"/>
      <c r="M578" s="8"/>
      <c r="N578" s="8"/>
      <c r="P578" s="8"/>
      <c r="Q578" s="8"/>
      <c r="T578" s="8"/>
    </row>
    <row r="579" ht="14.25" customHeight="1">
      <c r="D579" s="8"/>
      <c r="F579" s="8"/>
      <c r="G579" s="8"/>
      <c r="H579" s="8"/>
      <c r="J579" s="8"/>
      <c r="K579" s="8"/>
      <c r="M579" s="8"/>
      <c r="N579" s="8"/>
      <c r="P579" s="8"/>
      <c r="Q579" s="8"/>
      <c r="T579" s="8"/>
    </row>
    <row r="580" ht="14.25" customHeight="1">
      <c r="D580" s="8"/>
      <c r="F580" s="8"/>
      <c r="G580" s="8"/>
      <c r="H580" s="8"/>
      <c r="J580" s="8"/>
      <c r="K580" s="8"/>
      <c r="M580" s="8"/>
      <c r="N580" s="8"/>
      <c r="P580" s="8"/>
      <c r="Q580" s="8"/>
      <c r="T580" s="8"/>
    </row>
    <row r="581" ht="14.25" customHeight="1">
      <c r="D581" s="8"/>
      <c r="F581" s="8"/>
      <c r="G581" s="8"/>
      <c r="H581" s="8"/>
      <c r="J581" s="8"/>
      <c r="K581" s="8"/>
      <c r="M581" s="8"/>
      <c r="N581" s="8"/>
      <c r="P581" s="8"/>
      <c r="Q581" s="8"/>
      <c r="T581" s="8"/>
    </row>
    <row r="582" ht="14.25" customHeight="1">
      <c r="D582" s="8"/>
      <c r="F582" s="8"/>
      <c r="G582" s="8"/>
      <c r="H582" s="8"/>
      <c r="J582" s="8"/>
      <c r="K582" s="8"/>
      <c r="M582" s="8"/>
      <c r="N582" s="8"/>
      <c r="P582" s="8"/>
      <c r="Q582" s="8"/>
      <c r="T582" s="8"/>
    </row>
    <row r="583" ht="14.25" customHeight="1">
      <c r="D583" s="8"/>
      <c r="F583" s="8"/>
      <c r="G583" s="8"/>
      <c r="H583" s="8"/>
      <c r="J583" s="8"/>
      <c r="K583" s="8"/>
      <c r="M583" s="8"/>
      <c r="N583" s="8"/>
      <c r="P583" s="8"/>
      <c r="Q583" s="8"/>
      <c r="T583" s="8"/>
    </row>
    <row r="584" ht="14.25" customHeight="1">
      <c r="D584" s="8"/>
      <c r="F584" s="8"/>
      <c r="G584" s="8"/>
      <c r="H584" s="8"/>
      <c r="J584" s="8"/>
      <c r="K584" s="8"/>
      <c r="M584" s="8"/>
      <c r="N584" s="8"/>
      <c r="P584" s="8"/>
      <c r="Q584" s="8"/>
      <c r="T584" s="8"/>
    </row>
    <row r="585" ht="14.25" customHeight="1">
      <c r="D585" s="8"/>
      <c r="F585" s="8"/>
      <c r="G585" s="8"/>
      <c r="H585" s="8"/>
      <c r="J585" s="8"/>
      <c r="K585" s="8"/>
      <c r="M585" s="8"/>
      <c r="N585" s="8"/>
      <c r="P585" s="8"/>
      <c r="Q585" s="8"/>
      <c r="T585" s="8"/>
    </row>
    <row r="586" ht="14.25" customHeight="1">
      <c r="D586" s="8"/>
      <c r="F586" s="8"/>
      <c r="G586" s="8"/>
      <c r="H586" s="8"/>
      <c r="J586" s="8"/>
      <c r="K586" s="8"/>
      <c r="M586" s="8"/>
      <c r="N586" s="8"/>
      <c r="P586" s="8"/>
      <c r="Q586" s="8"/>
      <c r="T586" s="8"/>
    </row>
    <row r="587" ht="14.25" customHeight="1">
      <c r="D587" s="8"/>
      <c r="F587" s="8"/>
      <c r="G587" s="8"/>
      <c r="H587" s="8"/>
      <c r="J587" s="8"/>
      <c r="K587" s="8"/>
      <c r="M587" s="8"/>
      <c r="N587" s="8"/>
      <c r="P587" s="8"/>
      <c r="Q587" s="8"/>
      <c r="T587" s="8"/>
    </row>
    <row r="588" ht="14.25" customHeight="1">
      <c r="D588" s="8"/>
      <c r="F588" s="8"/>
      <c r="G588" s="8"/>
      <c r="H588" s="8"/>
      <c r="J588" s="8"/>
      <c r="K588" s="8"/>
      <c r="M588" s="8"/>
      <c r="N588" s="8"/>
      <c r="P588" s="8"/>
      <c r="Q588" s="8"/>
      <c r="T588" s="8"/>
    </row>
    <row r="589" ht="14.25" customHeight="1">
      <c r="D589" s="8"/>
      <c r="F589" s="8"/>
      <c r="G589" s="8"/>
      <c r="H589" s="8"/>
      <c r="J589" s="8"/>
      <c r="K589" s="8"/>
      <c r="M589" s="8"/>
      <c r="N589" s="8"/>
      <c r="P589" s="8"/>
      <c r="Q589" s="8"/>
      <c r="T589" s="8"/>
    </row>
    <row r="590" ht="14.25" customHeight="1">
      <c r="D590" s="8"/>
      <c r="F590" s="8"/>
      <c r="G590" s="8"/>
      <c r="H590" s="8"/>
      <c r="J590" s="8"/>
      <c r="K590" s="8"/>
      <c r="M590" s="8"/>
      <c r="N590" s="8"/>
      <c r="P590" s="8"/>
      <c r="Q590" s="8"/>
      <c r="T590" s="8"/>
    </row>
    <row r="591" ht="14.25" customHeight="1">
      <c r="D591" s="8"/>
      <c r="F591" s="8"/>
      <c r="G591" s="8"/>
      <c r="H591" s="8"/>
      <c r="J591" s="8"/>
      <c r="K591" s="8"/>
      <c r="M591" s="8"/>
      <c r="N591" s="8"/>
      <c r="P591" s="8"/>
      <c r="Q591" s="8"/>
      <c r="T591" s="8"/>
    </row>
    <row r="592" ht="14.25" customHeight="1">
      <c r="D592" s="8"/>
      <c r="F592" s="8"/>
      <c r="G592" s="8"/>
      <c r="H592" s="8"/>
      <c r="J592" s="8"/>
      <c r="K592" s="8"/>
      <c r="M592" s="8"/>
      <c r="N592" s="8"/>
      <c r="P592" s="8"/>
      <c r="Q592" s="8"/>
      <c r="T592" s="8"/>
    </row>
    <row r="593" ht="14.25" customHeight="1">
      <c r="D593" s="8"/>
      <c r="F593" s="8"/>
      <c r="G593" s="8"/>
      <c r="H593" s="8"/>
      <c r="J593" s="8"/>
      <c r="K593" s="8"/>
      <c r="M593" s="8"/>
      <c r="N593" s="8"/>
      <c r="P593" s="8"/>
      <c r="Q593" s="8"/>
      <c r="T593" s="8"/>
    </row>
    <row r="594" ht="14.25" customHeight="1">
      <c r="D594" s="8"/>
      <c r="F594" s="8"/>
      <c r="G594" s="8"/>
      <c r="H594" s="8"/>
      <c r="J594" s="8"/>
      <c r="K594" s="8"/>
      <c r="M594" s="8"/>
      <c r="N594" s="8"/>
      <c r="P594" s="8"/>
      <c r="Q594" s="8"/>
      <c r="T594" s="8"/>
    </row>
    <row r="595" ht="14.25" customHeight="1">
      <c r="D595" s="8"/>
      <c r="F595" s="8"/>
      <c r="G595" s="8"/>
      <c r="H595" s="8"/>
      <c r="J595" s="8"/>
      <c r="K595" s="8"/>
      <c r="M595" s="8"/>
      <c r="N595" s="8"/>
      <c r="P595" s="8"/>
      <c r="Q595" s="8"/>
      <c r="T595" s="8"/>
    </row>
    <row r="596" ht="14.25" customHeight="1">
      <c r="D596" s="8"/>
      <c r="F596" s="8"/>
      <c r="G596" s="8"/>
      <c r="H596" s="8"/>
      <c r="J596" s="8"/>
      <c r="K596" s="8"/>
      <c r="M596" s="8"/>
      <c r="N596" s="8"/>
      <c r="P596" s="8"/>
      <c r="Q596" s="8"/>
      <c r="T596" s="8"/>
    </row>
    <row r="597" ht="14.25" customHeight="1">
      <c r="D597" s="8"/>
      <c r="F597" s="8"/>
      <c r="G597" s="8"/>
      <c r="H597" s="8"/>
      <c r="J597" s="8"/>
      <c r="K597" s="8"/>
      <c r="M597" s="8"/>
      <c r="N597" s="8"/>
      <c r="P597" s="8"/>
      <c r="Q597" s="8"/>
      <c r="T597" s="8"/>
    </row>
    <row r="598" ht="14.25" customHeight="1">
      <c r="D598" s="8"/>
      <c r="F598" s="8"/>
      <c r="G598" s="8"/>
      <c r="H598" s="8"/>
      <c r="J598" s="8"/>
      <c r="K598" s="8"/>
      <c r="M598" s="8"/>
      <c r="N598" s="8"/>
      <c r="P598" s="8"/>
      <c r="Q598" s="8"/>
      <c r="T598" s="8"/>
    </row>
    <row r="599" ht="14.25" customHeight="1">
      <c r="D599" s="8"/>
      <c r="F599" s="8"/>
      <c r="G599" s="8"/>
      <c r="H599" s="8"/>
      <c r="J599" s="8"/>
      <c r="K599" s="8"/>
      <c r="M599" s="8"/>
      <c r="N599" s="8"/>
      <c r="P599" s="8"/>
      <c r="Q599" s="8"/>
      <c r="T599" s="8"/>
    </row>
    <row r="600" ht="14.25" customHeight="1">
      <c r="D600" s="8"/>
      <c r="F600" s="8"/>
      <c r="G600" s="8"/>
      <c r="H600" s="8"/>
      <c r="J600" s="8"/>
      <c r="K600" s="8"/>
      <c r="M600" s="8"/>
      <c r="N600" s="8"/>
      <c r="P600" s="8"/>
      <c r="Q600" s="8"/>
      <c r="T600" s="8"/>
    </row>
    <row r="601" ht="14.25" customHeight="1">
      <c r="D601" s="8"/>
      <c r="F601" s="8"/>
      <c r="G601" s="8"/>
      <c r="H601" s="8"/>
      <c r="J601" s="8"/>
      <c r="K601" s="8"/>
      <c r="M601" s="8"/>
      <c r="N601" s="8"/>
      <c r="P601" s="8"/>
      <c r="Q601" s="8"/>
      <c r="T601" s="8"/>
    </row>
    <row r="602" ht="14.25" customHeight="1">
      <c r="D602" s="8"/>
      <c r="F602" s="8"/>
      <c r="G602" s="8"/>
      <c r="H602" s="8"/>
      <c r="J602" s="8"/>
      <c r="K602" s="8"/>
      <c r="M602" s="8"/>
      <c r="N602" s="8"/>
      <c r="P602" s="8"/>
      <c r="Q602" s="8"/>
      <c r="T602" s="8"/>
    </row>
    <row r="603" ht="14.25" customHeight="1">
      <c r="D603" s="8"/>
      <c r="F603" s="8"/>
      <c r="G603" s="8"/>
      <c r="H603" s="8"/>
      <c r="J603" s="8"/>
      <c r="K603" s="8"/>
      <c r="M603" s="8"/>
      <c r="N603" s="8"/>
      <c r="P603" s="8"/>
      <c r="Q603" s="8"/>
      <c r="T603" s="8"/>
    </row>
    <row r="604" ht="14.25" customHeight="1">
      <c r="D604" s="8"/>
      <c r="F604" s="8"/>
      <c r="G604" s="8"/>
      <c r="H604" s="8"/>
      <c r="J604" s="8"/>
      <c r="K604" s="8"/>
      <c r="M604" s="8"/>
      <c r="N604" s="8"/>
      <c r="P604" s="8"/>
      <c r="Q604" s="8"/>
      <c r="T604" s="8"/>
    </row>
    <row r="605" ht="14.25" customHeight="1">
      <c r="D605" s="8"/>
      <c r="F605" s="8"/>
      <c r="G605" s="8"/>
      <c r="H605" s="8"/>
      <c r="J605" s="8"/>
      <c r="K605" s="8"/>
      <c r="M605" s="8"/>
      <c r="N605" s="8"/>
      <c r="P605" s="8"/>
      <c r="Q605" s="8"/>
      <c r="T605" s="8"/>
    </row>
    <row r="606" ht="14.25" customHeight="1">
      <c r="D606" s="8"/>
      <c r="F606" s="8"/>
      <c r="G606" s="8"/>
      <c r="H606" s="8"/>
      <c r="J606" s="8"/>
      <c r="K606" s="8"/>
      <c r="M606" s="8"/>
      <c r="N606" s="8"/>
      <c r="P606" s="8"/>
      <c r="Q606" s="8"/>
      <c r="T606" s="8"/>
    </row>
    <row r="607" ht="14.25" customHeight="1">
      <c r="D607" s="8"/>
      <c r="F607" s="8"/>
      <c r="G607" s="8"/>
      <c r="H607" s="8"/>
      <c r="J607" s="8"/>
      <c r="K607" s="8"/>
      <c r="M607" s="8"/>
      <c r="N607" s="8"/>
      <c r="P607" s="8"/>
      <c r="Q607" s="8"/>
      <c r="T607" s="8"/>
    </row>
    <row r="608" ht="14.25" customHeight="1">
      <c r="D608" s="8"/>
      <c r="F608" s="8"/>
      <c r="G608" s="8"/>
      <c r="H608" s="8"/>
      <c r="J608" s="8"/>
      <c r="K608" s="8"/>
      <c r="M608" s="8"/>
      <c r="N608" s="8"/>
      <c r="P608" s="8"/>
      <c r="Q608" s="8"/>
      <c r="T608" s="8"/>
    </row>
    <row r="609" ht="14.25" customHeight="1">
      <c r="D609" s="8"/>
      <c r="F609" s="8"/>
      <c r="G609" s="8"/>
      <c r="H609" s="8"/>
      <c r="J609" s="8"/>
      <c r="K609" s="8"/>
      <c r="M609" s="8"/>
      <c r="N609" s="8"/>
      <c r="P609" s="8"/>
      <c r="Q609" s="8"/>
      <c r="T609" s="8"/>
    </row>
    <row r="610" ht="14.25" customHeight="1">
      <c r="D610" s="8"/>
      <c r="F610" s="8"/>
      <c r="G610" s="8"/>
      <c r="H610" s="8"/>
      <c r="J610" s="8"/>
      <c r="K610" s="8"/>
      <c r="M610" s="8"/>
      <c r="N610" s="8"/>
      <c r="P610" s="8"/>
      <c r="Q610" s="8"/>
      <c r="T610" s="8"/>
    </row>
    <row r="611" ht="14.25" customHeight="1">
      <c r="D611" s="8"/>
      <c r="F611" s="8"/>
      <c r="G611" s="8"/>
      <c r="H611" s="8"/>
      <c r="J611" s="8"/>
      <c r="K611" s="8"/>
      <c r="M611" s="8"/>
      <c r="N611" s="8"/>
      <c r="P611" s="8"/>
      <c r="Q611" s="8"/>
      <c r="T611" s="8"/>
    </row>
    <row r="612" ht="14.25" customHeight="1">
      <c r="D612" s="8"/>
      <c r="F612" s="8"/>
      <c r="G612" s="8"/>
      <c r="H612" s="8"/>
      <c r="J612" s="8"/>
      <c r="K612" s="8"/>
      <c r="M612" s="8"/>
      <c r="N612" s="8"/>
      <c r="P612" s="8"/>
      <c r="Q612" s="8"/>
      <c r="T612" s="8"/>
    </row>
    <row r="613" ht="14.25" customHeight="1">
      <c r="D613" s="8"/>
      <c r="F613" s="8"/>
      <c r="G613" s="8"/>
      <c r="H613" s="8"/>
      <c r="J613" s="8"/>
      <c r="K613" s="8"/>
      <c r="M613" s="8"/>
      <c r="N613" s="8"/>
      <c r="P613" s="8"/>
      <c r="Q613" s="8"/>
      <c r="T613" s="8"/>
    </row>
    <row r="614" ht="14.25" customHeight="1">
      <c r="D614" s="8"/>
      <c r="F614" s="8"/>
      <c r="G614" s="8"/>
      <c r="H614" s="8"/>
      <c r="J614" s="8"/>
      <c r="K614" s="8"/>
      <c r="M614" s="8"/>
      <c r="N614" s="8"/>
      <c r="P614" s="8"/>
      <c r="Q614" s="8"/>
      <c r="T614" s="8"/>
    </row>
    <row r="615" ht="14.25" customHeight="1">
      <c r="D615" s="8"/>
      <c r="F615" s="8"/>
      <c r="G615" s="8"/>
      <c r="H615" s="8"/>
      <c r="J615" s="8"/>
      <c r="K615" s="8"/>
      <c r="M615" s="8"/>
      <c r="N615" s="8"/>
      <c r="P615" s="8"/>
      <c r="Q615" s="8"/>
      <c r="T615" s="8"/>
    </row>
    <row r="616" ht="14.25" customHeight="1">
      <c r="D616" s="8"/>
      <c r="F616" s="8"/>
      <c r="G616" s="8"/>
      <c r="H616" s="8"/>
      <c r="J616" s="8"/>
      <c r="K616" s="8"/>
      <c r="M616" s="8"/>
      <c r="N616" s="8"/>
      <c r="P616" s="8"/>
      <c r="Q616" s="8"/>
      <c r="T616" s="8"/>
    </row>
    <row r="617" ht="14.25" customHeight="1">
      <c r="D617" s="8"/>
      <c r="F617" s="8"/>
      <c r="G617" s="8"/>
      <c r="H617" s="8"/>
      <c r="J617" s="8"/>
      <c r="K617" s="8"/>
      <c r="M617" s="8"/>
      <c r="N617" s="8"/>
      <c r="P617" s="8"/>
      <c r="Q617" s="8"/>
      <c r="T617" s="8"/>
    </row>
    <row r="618" ht="14.25" customHeight="1">
      <c r="D618" s="8"/>
      <c r="F618" s="8"/>
      <c r="G618" s="8"/>
      <c r="H618" s="8"/>
      <c r="J618" s="8"/>
      <c r="K618" s="8"/>
      <c r="M618" s="8"/>
      <c r="N618" s="8"/>
      <c r="P618" s="8"/>
      <c r="Q618" s="8"/>
      <c r="T618" s="8"/>
    </row>
    <row r="619" ht="14.25" customHeight="1">
      <c r="D619" s="8"/>
      <c r="F619" s="8"/>
      <c r="G619" s="8"/>
      <c r="H619" s="8"/>
      <c r="J619" s="8"/>
      <c r="K619" s="8"/>
      <c r="M619" s="8"/>
      <c r="N619" s="8"/>
      <c r="P619" s="8"/>
      <c r="Q619" s="8"/>
      <c r="T619" s="8"/>
    </row>
    <row r="620" ht="14.25" customHeight="1">
      <c r="D620" s="8"/>
      <c r="F620" s="8"/>
      <c r="G620" s="8"/>
      <c r="H620" s="8"/>
      <c r="J620" s="8"/>
      <c r="K620" s="8"/>
      <c r="M620" s="8"/>
      <c r="N620" s="8"/>
      <c r="P620" s="8"/>
      <c r="Q620" s="8"/>
      <c r="T620" s="8"/>
    </row>
    <row r="621" ht="14.25" customHeight="1">
      <c r="D621" s="8"/>
      <c r="F621" s="8"/>
      <c r="G621" s="8"/>
      <c r="H621" s="8"/>
      <c r="J621" s="8"/>
      <c r="K621" s="8"/>
      <c r="M621" s="8"/>
      <c r="N621" s="8"/>
      <c r="P621" s="8"/>
      <c r="Q621" s="8"/>
      <c r="T621" s="8"/>
    </row>
    <row r="622" ht="14.25" customHeight="1">
      <c r="D622" s="8"/>
      <c r="F622" s="8"/>
      <c r="G622" s="8"/>
      <c r="H622" s="8"/>
      <c r="J622" s="8"/>
      <c r="K622" s="8"/>
      <c r="M622" s="8"/>
      <c r="N622" s="8"/>
      <c r="P622" s="8"/>
      <c r="Q622" s="8"/>
      <c r="T622" s="8"/>
    </row>
    <row r="623" ht="14.25" customHeight="1">
      <c r="D623" s="8"/>
      <c r="F623" s="8"/>
      <c r="G623" s="8"/>
      <c r="H623" s="8"/>
      <c r="J623" s="8"/>
      <c r="K623" s="8"/>
      <c r="M623" s="8"/>
      <c r="N623" s="8"/>
      <c r="P623" s="8"/>
      <c r="Q623" s="8"/>
      <c r="T623" s="8"/>
    </row>
    <row r="624" ht="14.25" customHeight="1">
      <c r="D624" s="8"/>
      <c r="F624" s="8"/>
      <c r="G624" s="8"/>
      <c r="H624" s="8"/>
      <c r="J624" s="8"/>
      <c r="K624" s="8"/>
      <c r="M624" s="8"/>
      <c r="N624" s="8"/>
      <c r="P624" s="8"/>
      <c r="Q624" s="8"/>
      <c r="T624" s="8"/>
    </row>
    <row r="625" ht="14.25" customHeight="1">
      <c r="D625" s="8"/>
      <c r="F625" s="8"/>
      <c r="G625" s="8"/>
      <c r="H625" s="8"/>
      <c r="J625" s="8"/>
      <c r="K625" s="8"/>
      <c r="M625" s="8"/>
      <c r="N625" s="8"/>
      <c r="P625" s="8"/>
      <c r="Q625" s="8"/>
      <c r="T625" s="8"/>
    </row>
    <row r="626" ht="14.25" customHeight="1">
      <c r="D626" s="8"/>
      <c r="F626" s="8"/>
      <c r="G626" s="8"/>
      <c r="H626" s="8"/>
      <c r="J626" s="8"/>
      <c r="K626" s="8"/>
      <c r="M626" s="8"/>
      <c r="N626" s="8"/>
      <c r="P626" s="8"/>
      <c r="Q626" s="8"/>
      <c r="T626" s="8"/>
    </row>
    <row r="627" ht="14.25" customHeight="1">
      <c r="D627" s="8"/>
      <c r="F627" s="8"/>
      <c r="G627" s="8"/>
      <c r="H627" s="8"/>
      <c r="J627" s="8"/>
      <c r="K627" s="8"/>
      <c r="M627" s="8"/>
      <c r="N627" s="8"/>
      <c r="P627" s="8"/>
      <c r="Q627" s="8"/>
      <c r="T627" s="8"/>
    </row>
    <row r="628" ht="14.25" customHeight="1">
      <c r="D628" s="8"/>
      <c r="F628" s="8"/>
      <c r="G628" s="8"/>
      <c r="H628" s="8"/>
      <c r="J628" s="8"/>
      <c r="K628" s="8"/>
      <c r="M628" s="8"/>
      <c r="N628" s="8"/>
      <c r="P628" s="8"/>
      <c r="Q628" s="8"/>
      <c r="T628" s="8"/>
    </row>
    <row r="629" ht="14.25" customHeight="1">
      <c r="D629" s="8"/>
      <c r="F629" s="8"/>
      <c r="G629" s="8"/>
      <c r="H629" s="8"/>
      <c r="J629" s="8"/>
      <c r="K629" s="8"/>
      <c r="M629" s="8"/>
      <c r="N629" s="8"/>
      <c r="P629" s="8"/>
      <c r="Q629" s="8"/>
      <c r="T629" s="8"/>
    </row>
    <row r="630" ht="14.25" customHeight="1">
      <c r="D630" s="8"/>
      <c r="F630" s="8"/>
      <c r="G630" s="8"/>
      <c r="H630" s="8"/>
      <c r="J630" s="8"/>
      <c r="K630" s="8"/>
      <c r="M630" s="8"/>
      <c r="N630" s="8"/>
      <c r="P630" s="8"/>
      <c r="Q630" s="8"/>
      <c r="T630" s="8"/>
    </row>
    <row r="631" ht="14.25" customHeight="1">
      <c r="D631" s="8"/>
      <c r="F631" s="8"/>
      <c r="G631" s="8"/>
      <c r="H631" s="8"/>
      <c r="J631" s="8"/>
      <c r="K631" s="8"/>
      <c r="M631" s="8"/>
      <c r="N631" s="8"/>
      <c r="P631" s="8"/>
      <c r="Q631" s="8"/>
      <c r="T631" s="8"/>
    </row>
    <row r="632" ht="14.25" customHeight="1">
      <c r="D632" s="8"/>
      <c r="F632" s="8"/>
      <c r="G632" s="8"/>
      <c r="H632" s="8"/>
      <c r="J632" s="8"/>
      <c r="K632" s="8"/>
      <c r="M632" s="8"/>
      <c r="N632" s="8"/>
      <c r="P632" s="8"/>
      <c r="Q632" s="8"/>
      <c r="T632" s="8"/>
    </row>
    <row r="633" ht="14.25" customHeight="1">
      <c r="D633" s="8"/>
      <c r="F633" s="8"/>
      <c r="G633" s="8"/>
      <c r="H633" s="8"/>
      <c r="J633" s="8"/>
      <c r="K633" s="8"/>
      <c r="M633" s="8"/>
      <c r="N633" s="8"/>
      <c r="P633" s="8"/>
      <c r="Q633" s="8"/>
      <c r="T633" s="8"/>
    </row>
    <row r="634" ht="14.25" customHeight="1">
      <c r="D634" s="8"/>
      <c r="F634" s="8"/>
      <c r="G634" s="8"/>
      <c r="H634" s="8"/>
      <c r="J634" s="8"/>
      <c r="K634" s="8"/>
      <c r="M634" s="8"/>
      <c r="N634" s="8"/>
      <c r="P634" s="8"/>
      <c r="Q634" s="8"/>
      <c r="T634" s="8"/>
    </row>
    <row r="635" ht="14.25" customHeight="1">
      <c r="D635" s="8"/>
      <c r="F635" s="8"/>
      <c r="G635" s="8"/>
      <c r="H635" s="8"/>
      <c r="J635" s="8"/>
      <c r="K635" s="8"/>
      <c r="M635" s="8"/>
      <c r="N635" s="8"/>
      <c r="P635" s="8"/>
      <c r="Q635" s="8"/>
      <c r="T635" s="8"/>
    </row>
    <row r="636" ht="14.25" customHeight="1">
      <c r="D636" s="8"/>
      <c r="F636" s="8"/>
      <c r="G636" s="8"/>
      <c r="H636" s="8"/>
      <c r="J636" s="8"/>
      <c r="K636" s="8"/>
      <c r="M636" s="8"/>
      <c r="N636" s="8"/>
      <c r="P636" s="8"/>
      <c r="Q636" s="8"/>
      <c r="T636" s="8"/>
    </row>
    <row r="637" ht="14.25" customHeight="1">
      <c r="D637" s="8"/>
      <c r="F637" s="8"/>
      <c r="G637" s="8"/>
      <c r="H637" s="8"/>
      <c r="J637" s="8"/>
      <c r="K637" s="8"/>
      <c r="M637" s="8"/>
      <c r="N637" s="8"/>
      <c r="P637" s="8"/>
      <c r="Q637" s="8"/>
      <c r="T637" s="8"/>
    </row>
    <row r="638" ht="14.25" customHeight="1">
      <c r="D638" s="8"/>
      <c r="F638" s="8"/>
      <c r="G638" s="8"/>
      <c r="H638" s="8"/>
      <c r="J638" s="8"/>
      <c r="K638" s="8"/>
      <c r="M638" s="8"/>
      <c r="N638" s="8"/>
      <c r="P638" s="8"/>
      <c r="Q638" s="8"/>
      <c r="T638" s="8"/>
    </row>
    <row r="639" ht="14.25" customHeight="1">
      <c r="D639" s="8"/>
      <c r="F639" s="8"/>
      <c r="G639" s="8"/>
      <c r="H639" s="8"/>
      <c r="J639" s="8"/>
      <c r="K639" s="8"/>
      <c r="M639" s="8"/>
      <c r="N639" s="8"/>
      <c r="P639" s="8"/>
      <c r="Q639" s="8"/>
      <c r="T639" s="8"/>
    </row>
    <row r="640" ht="14.25" customHeight="1">
      <c r="D640" s="8"/>
      <c r="F640" s="8"/>
      <c r="G640" s="8"/>
      <c r="H640" s="8"/>
      <c r="J640" s="8"/>
      <c r="K640" s="8"/>
      <c r="M640" s="8"/>
      <c r="N640" s="8"/>
      <c r="P640" s="8"/>
      <c r="Q640" s="8"/>
      <c r="T640" s="8"/>
    </row>
    <row r="641" ht="14.25" customHeight="1">
      <c r="D641" s="8"/>
      <c r="F641" s="8"/>
      <c r="G641" s="8"/>
      <c r="H641" s="8"/>
      <c r="J641" s="8"/>
      <c r="K641" s="8"/>
      <c r="M641" s="8"/>
      <c r="N641" s="8"/>
      <c r="P641" s="8"/>
      <c r="Q641" s="8"/>
      <c r="T641" s="8"/>
    </row>
    <row r="642" ht="14.25" customHeight="1">
      <c r="D642" s="8"/>
      <c r="F642" s="8"/>
      <c r="G642" s="8"/>
      <c r="H642" s="8"/>
      <c r="J642" s="8"/>
      <c r="K642" s="8"/>
      <c r="M642" s="8"/>
      <c r="N642" s="8"/>
      <c r="P642" s="8"/>
      <c r="Q642" s="8"/>
      <c r="T642" s="8"/>
    </row>
    <row r="643" ht="14.25" customHeight="1">
      <c r="D643" s="8"/>
      <c r="F643" s="8"/>
      <c r="G643" s="8"/>
      <c r="H643" s="8"/>
      <c r="J643" s="8"/>
      <c r="K643" s="8"/>
      <c r="M643" s="8"/>
      <c r="N643" s="8"/>
      <c r="P643" s="8"/>
      <c r="Q643" s="8"/>
      <c r="T643" s="8"/>
    </row>
    <row r="644" ht="14.25" customHeight="1">
      <c r="D644" s="8"/>
      <c r="F644" s="8"/>
      <c r="G644" s="8"/>
      <c r="H644" s="8"/>
      <c r="J644" s="8"/>
      <c r="K644" s="8"/>
      <c r="M644" s="8"/>
      <c r="N644" s="8"/>
      <c r="P644" s="8"/>
      <c r="Q644" s="8"/>
      <c r="T644" s="8"/>
    </row>
    <row r="645" ht="14.25" customHeight="1">
      <c r="D645" s="8"/>
      <c r="F645" s="8"/>
      <c r="G645" s="8"/>
      <c r="H645" s="8"/>
      <c r="J645" s="8"/>
      <c r="K645" s="8"/>
      <c r="M645" s="8"/>
      <c r="N645" s="8"/>
      <c r="P645" s="8"/>
      <c r="Q645" s="8"/>
      <c r="T645" s="8"/>
    </row>
    <row r="646" ht="14.25" customHeight="1">
      <c r="D646" s="8"/>
      <c r="F646" s="8"/>
      <c r="G646" s="8"/>
      <c r="H646" s="8"/>
      <c r="J646" s="8"/>
      <c r="K646" s="8"/>
      <c r="M646" s="8"/>
      <c r="N646" s="8"/>
      <c r="P646" s="8"/>
      <c r="Q646" s="8"/>
      <c r="T646" s="8"/>
    </row>
    <row r="647" ht="14.25" customHeight="1">
      <c r="D647" s="8"/>
      <c r="F647" s="8"/>
      <c r="G647" s="8"/>
      <c r="H647" s="8"/>
      <c r="J647" s="8"/>
      <c r="K647" s="8"/>
      <c r="M647" s="8"/>
      <c r="N647" s="8"/>
      <c r="P647" s="8"/>
      <c r="Q647" s="8"/>
      <c r="T647" s="8"/>
    </row>
    <row r="648" ht="14.25" customHeight="1">
      <c r="D648" s="8"/>
      <c r="F648" s="8"/>
      <c r="G648" s="8"/>
      <c r="H648" s="8"/>
      <c r="J648" s="8"/>
      <c r="K648" s="8"/>
      <c r="M648" s="8"/>
      <c r="N648" s="8"/>
      <c r="P648" s="8"/>
      <c r="Q648" s="8"/>
      <c r="T648" s="8"/>
    </row>
    <row r="649" ht="14.25" customHeight="1">
      <c r="D649" s="8"/>
      <c r="F649" s="8"/>
      <c r="G649" s="8"/>
      <c r="H649" s="8"/>
      <c r="J649" s="8"/>
      <c r="K649" s="8"/>
      <c r="M649" s="8"/>
      <c r="N649" s="8"/>
      <c r="P649" s="8"/>
      <c r="Q649" s="8"/>
      <c r="T649" s="8"/>
    </row>
    <row r="650" ht="14.25" customHeight="1">
      <c r="D650" s="8"/>
      <c r="F650" s="8"/>
      <c r="G650" s="8"/>
      <c r="H650" s="8"/>
      <c r="J650" s="8"/>
      <c r="K650" s="8"/>
      <c r="M650" s="8"/>
      <c r="N650" s="8"/>
      <c r="P650" s="8"/>
      <c r="Q650" s="8"/>
      <c r="T650" s="8"/>
    </row>
    <row r="651" ht="14.25" customHeight="1">
      <c r="D651" s="8"/>
      <c r="F651" s="8"/>
      <c r="G651" s="8"/>
      <c r="H651" s="8"/>
      <c r="J651" s="8"/>
      <c r="K651" s="8"/>
      <c r="M651" s="8"/>
      <c r="N651" s="8"/>
      <c r="P651" s="8"/>
      <c r="Q651" s="8"/>
      <c r="T651" s="8"/>
    </row>
    <row r="652" ht="14.25" customHeight="1">
      <c r="D652" s="8"/>
      <c r="F652" s="8"/>
      <c r="G652" s="8"/>
      <c r="H652" s="8"/>
      <c r="J652" s="8"/>
      <c r="K652" s="8"/>
      <c r="M652" s="8"/>
      <c r="N652" s="8"/>
      <c r="P652" s="8"/>
      <c r="Q652" s="8"/>
      <c r="T652" s="8"/>
    </row>
    <row r="653" ht="14.25" customHeight="1">
      <c r="D653" s="8"/>
      <c r="F653" s="8"/>
      <c r="G653" s="8"/>
      <c r="H653" s="8"/>
      <c r="J653" s="8"/>
      <c r="K653" s="8"/>
      <c r="M653" s="8"/>
      <c r="N653" s="8"/>
      <c r="P653" s="8"/>
      <c r="Q653" s="8"/>
      <c r="T653" s="8"/>
    </row>
    <row r="654" ht="14.25" customHeight="1">
      <c r="D654" s="8"/>
      <c r="F654" s="8"/>
      <c r="G654" s="8"/>
      <c r="H654" s="8"/>
      <c r="J654" s="8"/>
      <c r="K654" s="8"/>
      <c r="M654" s="8"/>
      <c r="N654" s="8"/>
      <c r="P654" s="8"/>
      <c r="Q654" s="8"/>
      <c r="T654" s="8"/>
    </row>
    <row r="655" ht="14.25" customHeight="1">
      <c r="D655" s="8"/>
      <c r="F655" s="8"/>
      <c r="G655" s="8"/>
      <c r="H655" s="8"/>
      <c r="J655" s="8"/>
      <c r="K655" s="8"/>
      <c r="M655" s="8"/>
      <c r="N655" s="8"/>
      <c r="P655" s="8"/>
      <c r="Q655" s="8"/>
      <c r="T655" s="8"/>
    </row>
    <row r="656" ht="14.25" customHeight="1">
      <c r="D656" s="8"/>
      <c r="F656" s="8"/>
      <c r="G656" s="8"/>
      <c r="H656" s="8"/>
      <c r="J656" s="8"/>
      <c r="K656" s="8"/>
      <c r="M656" s="8"/>
      <c r="N656" s="8"/>
      <c r="P656" s="8"/>
      <c r="Q656" s="8"/>
      <c r="T656" s="8"/>
    </row>
    <row r="657" ht="14.25" customHeight="1">
      <c r="D657" s="8"/>
      <c r="F657" s="8"/>
      <c r="G657" s="8"/>
      <c r="H657" s="8"/>
      <c r="J657" s="8"/>
      <c r="K657" s="8"/>
      <c r="M657" s="8"/>
      <c r="N657" s="8"/>
      <c r="P657" s="8"/>
      <c r="Q657" s="8"/>
      <c r="T657" s="8"/>
    </row>
    <row r="658" ht="14.25" customHeight="1">
      <c r="D658" s="8"/>
      <c r="F658" s="8"/>
      <c r="G658" s="8"/>
      <c r="H658" s="8"/>
      <c r="J658" s="8"/>
      <c r="K658" s="8"/>
      <c r="M658" s="8"/>
      <c r="N658" s="8"/>
      <c r="P658" s="8"/>
      <c r="Q658" s="8"/>
      <c r="T658" s="8"/>
    </row>
    <row r="659" ht="14.25" customHeight="1">
      <c r="D659" s="8"/>
      <c r="F659" s="8"/>
      <c r="G659" s="8"/>
      <c r="H659" s="8"/>
      <c r="J659" s="8"/>
      <c r="K659" s="8"/>
      <c r="M659" s="8"/>
      <c r="N659" s="8"/>
      <c r="P659" s="8"/>
      <c r="Q659" s="8"/>
      <c r="T659" s="8"/>
    </row>
    <row r="660" ht="14.25" customHeight="1">
      <c r="D660" s="8"/>
      <c r="F660" s="8"/>
      <c r="G660" s="8"/>
      <c r="H660" s="8"/>
      <c r="J660" s="8"/>
      <c r="K660" s="8"/>
      <c r="M660" s="8"/>
      <c r="N660" s="8"/>
      <c r="P660" s="8"/>
      <c r="Q660" s="8"/>
      <c r="T660" s="8"/>
    </row>
    <row r="661" ht="14.25" customHeight="1">
      <c r="D661" s="8"/>
      <c r="F661" s="8"/>
      <c r="G661" s="8"/>
      <c r="H661" s="8"/>
      <c r="J661" s="8"/>
      <c r="K661" s="8"/>
      <c r="M661" s="8"/>
      <c r="N661" s="8"/>
      <c r="P661" s="8"/>
      <c r="Q661" s="8"/>
      <c r="T661" s="8"/>
    </row>
    <row r="662" ht="14.25" customHeight="1">
      <c r="D662" s="8"/>
      <c r="F662" s="8"/>
      <c r="G662" s="8"/>
      <c r="H662" s="8"/>
      <c r="J662" s="8"/>
      <c r="K662" s="8"/>
      <c r="M662" s="8"/>
      <c r="N662" s="8"/>
      <c r="P662" s="8"/>
      <c r="Q662" s="8"/>
      <c r="T662" s="8"/>
    </row>
    <row r="663" ht="14.25" customHeight="1">
      <c r="D663" s="8"/>
      <c r="F663" s="8"/>
      <c r="G663" s="8"/>
      <c r="H663" s="8"/>
      <c r="J663" s="8"/>
      <c r="K663" s="8"/>
      <c r="M663" s="8"/>
      <c r="N663" s="8"/>
      <c r="P663" s="8"/>
      <c r="Q663" s="8"/>
      <c r="T663" s="8"/>
    </row>
    <row r="664" ht="14.25" customHeight="1">
      <c r="D664" s="8"/>
      <c r="F664" s="8"/>
      <c r="G664" s="8"/>
      <c r="H664" s="8"/>
      <c r="J664" s="8"/>
      <c r="K664" s="8"/>
      <c r="M664" s="8"/>
      <c r="N664" s="8"/>
      <c r="P664" s="8"/>
      <c r="Q664" s="8"/>
      <c r="T664" s="8"/>
    </row>
    <row r="665" ht="14.25" customHeight="1">
      <c r="D665" s="8"/>
      <c r="F665" s="8"/>
      <c r="G665" s="8"/>
      <c r="H665" s="8"/>
      <c r="J665" s="8"/>
      <c r="K665" s="8"/>
      <c r="M665" s="8"/>
      <c r="N665" s="8"/>
      <c r="P665" s="8"/>
      <c r="Q665" s="8"/>
      <c r="T665" s="8"/>
    </row>
    <row r="666" ht="14.25" customHeight="1">
      <c r="D666" s="8"/>
      <c r="F666" s="8"/>
      <c r="G666" s="8"/>
      <c r="H666" s="8"/>
      <c r="J666" s="8"/>
      <c r="K666" s="8"/>
      <c r="M666" s="8"/>
      <c r="N666" s="8"/>
      <c r="P666" s="8"/>
      <c r="Q666" s="8"/>
      <c r="T666" s="8"/>
    </row>
    <row r="667" ht="14.25" customHeight="1">
      <c r="D667" s="8"/>
      <c r="F667" s="8"/>
      <c r="G667" s="8"/>
      <c r="H667" s="8"/>
      <c r="J667" s="8"/>
      <c r="K667" s="8"/>
      <c r="M667" s="8"/>
      <c r="N667" s="8"/>
      <c r="P667" s="8"/>
      <c r="Q667" s="8"/>
      <c r="T667" s="8"/>
    </row>
    <row r="668" ht="14.25" customHeight="1">
      <c r="D668" s="8"/>
      <c r="F668" s="8"/>
      <c r="G668" s="8"/>
      <c r="H668" s="8"/>
      <c r="J668" s="8"/>
      <c r="K668" s="8"/>
      <c r="M668" s="8"/>
      <c r="N668" s="8"/>
      <c r="P668" s="8"/>
      <c r="Q668" s="8"/>
      <c r="T668" s="8"/>
    </row>
    <row r="669" ht="14.25" customHeight="1">
      <c r="D669" s="8"/>
      <c r="F669" s="8"/>
      <c r="G669" s="8"/>
      <c r="H669" s="8"/>
      <c r="J669" s="8"/>
      <c r="K669" s="8"/>
      <c r="M669" s="8"/>
      <c r="N669" s="8"/>
      <c r="P669" s="8"/>
      <c r="Q669" s="8"/>
      <c r="T669" s="8"/>
    </row>
    <row r="670" ht="14.25" customHeight="1">
      <c r="D670" s="8"/>
      <c r="F670" s="8"/>
      <c r="G670" s="8"/>
      <c r="H670" s="8"/>
      <c r="J670" s="8"/>
      <c r="K670" s="8"/>
      <c r="M670" s="8"/>
      <c r="N670" s="8"/>
      <c r="P670" s="8"/>
      <c r="Q670" s="8"/>
      <c r="T670" s="8"/>
    </row>
    <row r="671" ht="14.25" customHeight="1">
      <c r="D671" s="8"/>
      <c r="F671" s="8"/>
      <c r="G671" s="8"/>
      <c r="H671" s="8"/>
      <c r="J671" s="8"/>
      <c r="K671" s="8"/>
      <c r="M671" s="8"/>
      <c r="N671" s="8"/>
      <c r="P671" s="8"/>
      <c r="Q671" s="8"/>
      <c r="T671" s="8"/>
    </row>
    <row r="672" ht="14.25" customHeight="1">
      <c r="D672" s="8"/>
      <c r="F672" s="8"/>
      <c r="G672" s="8"/>
      <c r="H672" s="8"/>
      <c r="J672" s="8"/>
      <c r="K672" s="8"/>
      <c r="M672" s="8"/>
      <c r="N672" s="8"/>
      <c r="P672" s="8"/>
      <c r="Q672" s="8"/>
      <c r="T672" s="8"/>
    </row>
    <row r="673" ht="14.25" customHeight="1">
      <c r="D673" s="8"/>
      <c r="F673" s="8"/>
      <c r="G673" s="8"/>
      <c r="H673" s="8"/>
      <c r="J673" s="8"/>
      <c r="K673" s="8"/>
      <c r="M673" s="8"/>
      <c r="N673" s="8"/>
      <c r="P673" s="8"/>
      <c r="Q673" s="8"/>
      <c r="T673" s="8"/>
    </row>
    <row r="674" ht="14.25" customHeight="1">
      <c r="D674" s="8"/>
      <c r="F674" s="8"/>
      <c r="G674" s="8"/>
      <c r="H674" s="8"/>
      <c r="J674" s="8"/>
      <c r="K674" s="8"/>
      <c r="M674" s="8"/>
      <c r="N674" s="8"/>
      <c r="P674" s="8"/>
      <c r="Q674" s="8"/>
      <c r="T674" s="8"/>
    </row>
    <row r="675" ht="14.25" customHeight="1">
      <c r="D675" s="8"/>
      <c r="F675" s="8"/>
      <c r="G675" s="8"/>
      <c r="H675" s="8"/>
      <c r="J675" s="8"/>
      <c r="K675" s="8"/>
      <c r="M675" s="8"/>
      <c r="N675" s="8"/>
      <c r="P675" s="8"/>
      <c r="Q675" s="8"/>
      <c r="T675" s="8"/>
    </row>
    <row r="676" ht="14.25" customHeight="1">
      <c r="D676" s="8"/>
      <c r="F676" s="8"/>
      <c r="G676" s="8"/>
      <c r="H676" s="8"/>
      <c r="J676" s="8"/>
      <c r="K676" s="8"/>
      <c r="M676" s="8"/>
      <c r="N676" s="8"/>
      <c r="P676" s="8"/>
      <c r="Q676" s="8"/>
      <c r="T676" s="8"/>
    </row>
    <row r="677" ht="14.25" customHeight="1">
      <c r="D677" s="8"/>
      <c r="F677" s="8"/>
      <c r="G677" s="8"/>
      <c r="H677" s="8"/>
      <c r="J677" s="8"/>
      <c r="K677" s="8"/>
      <c r="M677" s="8"/>
      <c r="N677" s="8"/>
      <c r="P677" s="8"/>
      <c r="Q677" s="8"/>
      <c r="T677" s="8"/>
    </row>
    <row r="678" ht="14.25" customHeight="1">
      <c r="D678" s="8"/>
      <c r="F678" s="8"/>
      <c r="G678" s="8"/>
      <c r="H678" s="8"/>
      <c r="J678" s="8"/>
      <c r="K678" s="8"/>
      <c r="M678" s="8"/>
      <c r="N678" s="8"/>
      <c r="P678" s="8"/>
      <c r="Q678" s="8"/>
      <c r="T678" s="8"/>
    </row>
    <row r="679" ht="14.25" customHeight="1">
      <c r="D679" s="8"/>
      <c r="F679" s="8"/>
      <c r="G679" s="8"/>
      <c r="H679" s="8"/>
      <c r="J679" s="8"/>
      <c r="K679" s="8"/>
      <c r="M679" s="8"/>
      <c r="N679" s="8"/>
      <c r="P679" s="8"/>
      <c r="Q679" s="8"/>
      <c r="T679" s="8"/>
    </row>
    <row r="680" ht="14.25" customHeight="1">
      <c r="D680" s="8"/>
      <c r="F680" s="8"/>
      <c r="G680" s="8"/>
      <c r="H680" s="8"/>
      <c r="J680" s="8"/>
      <c r="K680" s="8"/>
      <c r="M680" s="8"/>
      <c r="N680" s="8"/>
      <c r="P680" s="8"/>
      <c r="Q680" s="8"/>
      <c r="T680" s="8"/>
    </row>
    <row r="681" ht="14.25" customHeight="1">
      <c r="D681" s="8"/>
      <c r="F681" s="8"/>
      <c r="G681" s="8"/>
      <c r="H681" s="8"/>
      <c r="J681" s="8"/>
      <c r="K681" s="8"/>
      <c r="M681" s="8"/>
      <c r="N681" s="8"/>
      <c r="P681" s="8"/>
      <c r="Q681" s="8"/>
      <c r="T681" s="8"/>
    </row>
    <row r="682" ht="14.25" customHeight="1">
      <c r="D682" s="8"/>
      <c r="F682" s="8"/>
      <c r="G682" s="8"/>
      <c r="H682" s="8"/>
      <c r="J682" s="8"/>
      <c r="K682" s="8"/>
      <c r="M682" s="8"/>
      <c r="N682" s="8"/>
      <c r="P682" s="8"/>
      <c r="Q682" s="8"/>
      <c r="T682" s="8"/>
    </row>
    <row r="683" ht="14.25" customHeight="1">
      <c r="D683" s="8"/>
      <c r="F683" s="8"/>
      <c r="G683" s="8"/>
      <c r="H683" s="8"/>
      <c r="J683" s="8"/>
      <c r="K683" s="8"/>
      <c r="M683" s="8"/>
      <c r="N683" s="8"/>
      <c r="P683" s="8"/>
      <c r="Q683" s="8"/>
      <c r="T683" s="8"/>
    </row>
    <row r="684" ht="14.25" customHeight="1">
      <c r="D684" s="8"/>
      <c r="F684" s="8"/>
      <c r="G684" s="8"/>
      <c r="H684" s="8"/>
      <c r="J684" s="8"/>
      <c r="K684" s="8"/>
      <c r="M684" s="8"/>
      <c r="N684" s="8"/>
      <c r="P684" s="8"/>
      <c r="Q684" s="8"/>
      <c r="T684" s="8"/>
    </row>
    <row r="685" ht="14.25" customHeight="1">
      <c r="D685" s="8"/>
      <c r="F685" s="8"/>
      <c r="G685" s="8"/>
      <c r="H685" s="8"/>
      <c r="J685" s="8"/>
      <c r="K685" s="8"/>
      <c r="M685" s="8"/>
      <c r="N685" s="8"/>
      <c r="P685" s="8"/>
      <c r="Q685" s="8"/>
      <c r="T685" s="8"/>
    </row>
    <row r="686" ht="14.25" customHeight="1">
      <c r="D686" s="8"/>
      <c r="F686" s="8"/>
      <c r="G686" s="8"/>
      <c r="H686" s="8"/>
      <c r="J686" s="8"/>
      <c r="K686" s="8"/>
      <c r="M686" s="8"/>
      <c r="N686" s="8"/>
      <c r="P686" s="8"/>
      <c r="Q686" s="8"/>
      <c r="T686" s="8"/>
    </row>
    <row r="687" ht="14.25" customHeight="1">
      <c r="D687" s="8"/>
      <c r="F687" s="8"/>
      <c r="G687" s="8"/>
      <c r="H687" s="8"/>
      <c r="J687" s="8"/>
      <c r="K687" s="8"/>
      <c r="M687" s="8"/>
      <c r="N687" s="8"/>
      <c r="P687" s="8"/>
      <c r="Q687" s="8"/>
      <c r="T687" s="8"/>
    </row>
    <row r="688" ht="14.25" customHeight="1">
      <c r="D688" s="8"/>
      <c r="F688" s="8"/>
      <c r="G688" s="8"/>
      <c r="H688" s="8"/>
      <c r="J688" s="8"/>
      <c r="K688" s="8"/>
      <c r="M688" s="8"/>
      <c r="N688" s="8"/>
      <c r="P688" s="8"/>
      <c r="Q688" s="8"/>
      <c r="T688" s="8"/>
    </row>
    <row r="689" ht="14.25" customHeight="1">
      <c r="D689" s="8"/>
      <c r="F689" s="8"/>
      <c r="G689" s="8"/>
      <c r="H689" s="8"/>
      <c r="J689" s="8"/>
      <c r="K689" s="8"/>
      <c r="M689" s="8"/>
      <c r="N689" s="8"/>
      <c r="P689" s="8"/>
      <c r="Q689" s="8"/>
      <c r="T689" s="8"/>
    </row>
    <row r="690" ht="14.25" customHeight="1">
      <c r="D690" s="8"/>
      <c r="F690" s="8"/>
      <c r="G690" s="8"/>
      <c r="H690" s="8"/>
      <c r="J690" s="8"/>
      <c r="K690" s="8"/>
      <c r="M690" s="8"/>
      <c r="N690" s="8"/>
      <c r="P690" s="8"/>
      <c r="Q690" s="8"/>
      <c r="T690" s="8"/>
    </row>
    <row r="691" ht="14.25" customHeight="1">
      <c r="D691" s="8"/>
      <c r="F691" s="8"/>
      <c r="G691" s="8"/>
      <c r="H691" s="8"/>
      <c r="J691" s="8"/>
      <c r="K691" s="8"/>
      <c r="M691" s="8"/>
      <c r="N691" s="8"/>
      <c r="P691" s="8"/>
      <c r="Q691" s="8"/>
      <c r="T691" s="8"/>
    </row>
    <row r="692" ht="14.25" customHeight="1">
      <c r="D692" s="8"/>
      <c r="F692" s="8"/>
      <c r="G692" s="8"/>
      <c r="H692" s="8"/>
      <c r="J692" s="8"/>
      <c r="K692" s="8"/>
      <c r="M692" s="8"/>
      <c r="N692" s="8"/>
      <c r="P692" s="8"/>
      <c r="Q692" s="8"/>
      <c r="T692" s="8"/>
    </row>
    <row r="693" ht="14.25" customHeight="1">
      <c r="D693" s="8"/>
      <c r="F693" s="8"/>
      <c r="G693" s="8"/>
      <c r="H693" s="8"/>
      <c r="J693" s="8"/>
      <c r="K693" s="8"/>
      <c r="M693" s="8"/>
      <c r="N693" s="8"/>
      <c r="P693" s="8"/>
      <c r="Q693" s="8"/>
      <c r="T693" s="8"/>
    </row>
    <row r="694" ht="14.25" customHeight="1">
      <c r="D694" s="8"/>
      <c r="F694" s="8"/>
      <c r="G694" s="8"/>
      <c r="H694" s="8"/>
      <c r="J694" s="8"/>
      <c r="K694" s="8"/>
      <c r="M694" s="8"/>
      <c r="N694" s="8"/>
      <c r="P694" s="8"/>
      <c r="Q694" s="8"/>
      <c r="T694" s="8"/>
    </row>
    <row r="695" ht="14.25" customHeight="1">
      <c r="D695" s="8"/>
      <c r="F695" s="8"/>
      <c r="G695" s="8"/>
      <c r="H695" s="8"/>
      <c r="J695" s="8"/>
      <c r="K695" s="8"/>
      <c r="M695" s="8"/>
      <c r="N695" s="8"/>
      <c r="P695" s="8"/>
      <c r="Q695" s="8"/>
      <c r="T695" s="8"/>
    </row>
    <row r="696" ht="14.25" customHeight="1">
      <c r="D696" s="8"/>
      <c r="F696" s="8"/>
      <c r="G696" s="8"/>
      <c r="H696" s="8"/>
      <c r="J696" s="8"/>
      <c r="K696" s="8"/>
      <c r="M696" s="8"/>
      <c r="N696" s="8"/>
      <c r="P696" s="8"/>
      <c r="Q696" s="8"/>
      <c r="T696" s="8"/>
    </row>
    <row r="697" ht="14.25" customHeight="1">
      <c r="D697" s="8"/>
      <c r="F697" s="8"/>
      <c r="G697" s="8"/>
      <c r="H697" s="8"/>
      <c r="J697" s="8"/>
      <c r="K697" s="8"/>
      <c r="M697" s="8"/>
      <c r="N697" s="8"/>
      <c r="P697" s="8"/>
      <c r="Q697" s="8"/>
      <c r="T697" s="8"/>
    </row>
    <row r="698" ht="14.25" customHeight="1">
      <c r="D698" s="8"/>
      <c r="F698" s="8"/>
      <c r="G698" s="8"/>
      <c r="H698" s="8"/>
      <c r="J698" s="8"/>
      <c r="K698" s="8"/>
      <c r="M698" s="8"/>
      <c r="N698" s="8"/>
      <c r="P698" s="8"/>
      <c r="Q698" s="8"/>
      <c r="T698" s="8"/>
    </row>
    <row r="699" ht="14.25" customHeight="1">
      <c r="D699" s="8"/>
      <c r="F699" s="8"/>
      <c r="G699" s="8"/>
      <c r="H699" s="8"/>
      <c r="J699" s="8"/>
      <c r="K699" s="8"/>
      <c r="M699" s="8"/>
      <c r="N699" s="8"/>
      <c r="P699" s="8"/>
      <c r="Q699" s="8"/>
      <c r="T699" s="8"/>
    </row>
    <row r="700" ht="14.25" customHeight="1">
      <c r="D700" s="8"/>
      <c r="F700" s="8"/>
      <c r="G700" s="8"/>
      <c r="H700" s="8"/>
      <c r="J700" s="8"/>
      <c r="K700" s="8"/>
      <c r="M700" s="8"/>
      <c r="N700" s="8"/>
      <c r="P700" s="8"/>
      <c r="Q700" s="8"/>
      <c r="T700" s="8"/>
    </row>
    <row r="701" ht="14.25" customHeight="1">
      <c r="D701" s="8"/>
      <c r="F701" s="8"/>
      <c r="G701" s="8"/>
      <c r="H701" s="8"/>
      <c r="J701" s="8"/>
      <c r="K701" s="8"/>
      <c r="M701" s="8"/>
      <c r="N701" s="8"/>
      <c r="P701" s="8"/>
      <c r="Q701" s="8"/>
      <c r="T701" s="8"/>
    </row>
    <row r="702" ht="14.25" customHeight="1">
      <c r="D702" s="8"/>
      <c r="F702" s="8"/>
      <c r="G702" s="8"/>
      <c r="H702" s="8"/>
      <c r="J702" s="8"/>
      <c r="K702" s="8"/>
      <c r="M702" s="8"/>
      <c r="N702" s="8"/>
      <c r="P702" s="8"/>
      <c r="Q702" s="8"/>
      <c r="T702" s="8"/>
    </row>
    <row r="703" ht="14.25" customHeight="1">
      <c r="D703" s="8"/>
      <c r="F703" s="8"/>
      <c r="G703" s="8"/>
      <c r="H703" s="8"/>
      <c r="J703" s="8"/>
      <c r="K703" s="8"/>
      <c r="M703" s="8"/>
      <c r="N703" s="8"/>
      <c r="P703" s="8"/>
      <c r="Q703" s="8"/>
      <c r="T703" s="8"/>
    </row>
    <row r="704" ht="14.25" customHeight="1">
      <c r="D704" s="8"/>
      <c r="F704" s="8"/>
      <c r="G704" s="8"/>
      <c r="H704" s="8"/>
      <c r="J704" s="8"/>
      <c r="K704" s="8"/>
      <c r="M704" s="8"/>
      <c r="N704" s="8"/>
      <c r="P704" s="8"/>
      <c r="Q704" s="8"/>
      <c r="T704" s="8"/>
    </row>
    <row r="705" ht="14.25" customHeight="1">
      <c r="D705" s="8"/>
      <c r="F705" s="8"/>
      <c r="G705" s="8"/>
      <c r="H705" s="8"/>
      <c r="J705" s="8"/>
      <c r="K705" s="8"/>
      <c r="M705" s="8"/>
      <c r="N705" s="8"/>
      <c r="P705" s="8"/>
      <c r="Q705" s="8"/>
      <c r="T705" s="8"/>
    </row>
    <row r="706" ht="14.25" customHeight="1">
      <c r="D706" s="8"/>
      <c r="F706" s="8"/>
      <c r="G706" s="8"/>
      <c r="H706" s="8"/>
      <c r="J706" s="8"/>
      <c r="K706" s="8"/>
      <c r="M706" s="8"/>
      <c r="N706" s="8"/>
      <c r="P706" s="8"/>
      <c r="Q706" s="8"/>
      <c r="T706" s="8"/>
    </row>
    <row r="707" ht="14.25" customHeight="1">
      <c r="D707" s="8"/>
      <c r="F707" s="8"/>
      <c r="G707" s="8"/>
      <c r="H707" s="8"/>
      <c r="J707" s="8"/>
      <c r="K707" s="8"/>
      <c r="M707" s="8"/>
      <c r="N707" s="8"/>
      <c r="P707" s="8"/>
      <c r="Q707" s="8"/>
      <c r="T707" s="8"/>
    </row>
    <row r="708" ht="14.25" customHeight="1">
      <c r="D708" s="8"/>
      <c r="F708" s="8"/>
      <c r="G708" s="8"/>
      <c r="H708" s="8"/>
      <c r="J708" s="8"/>
      <c r="K708" s="8"/>
      <c r="M708" s="8"/>
      <c r="N708" s="8"/>
      <c r="P708" s="8"/>
      <c r="Q708" s="8"/>
      <c r="T708" s="8"/>
    </row>
    <row r="709" ht="14.25" customHeight="1">
      <c r="D709" s="8"/>
      <c r="F709" s="8"/>
      <c r="G709" s="8"/>
      <c r="H709" s="8"/>
      <c r="J709" s="8"/>
      <c r="K709" s="8"/>
      <c r="M709" s="8"/>
      <c r="N709" s="8"/>
      <c r="P709" s="8"/>
      <c r="Q709" s="8"/>
      <c r="T709" s="8"/>
    </row>
    <row r="710" ht="14.25" customHeight="1">
      <c r="D710" s="8"/>
      <c r="F710" s="8"/>
      <c r="G710" s="8"/>
      <c r="H710" s="8"/>
      <c r="J710" s="8"/>
      <c r="K710" s="8"/>
      <c r="M710" s="8"/>
      <c r="N710" s="8"/>
      <c r="P710" s="8"/>
      <c r="Q710" s="8"/>
      <c r="T710" s="8"/>
    </row>
    <row r="711" ht="14.25" customHeight="1">
      <c r="D711" s="8"/>
      <c r="F711" s="8"/>
      <c r="G711" s="8"/>
      <c r="H711" s="8"/>
      <c r="J711" s="8"/>
      <c r="K711" s="8"/>
      <c r="M711" s="8"/>
      <c r="N711" s="8"/>
      <c r="P711" s="8"/>
      <c r="Q711" s="8"/>
      <c r="T711" s="8"/>
    </row>
    <row r="712" ht="14.25" customHeight="1">
      <c r="D712" s="8"/>
      <c r="F712" s="8"/>
      <c r="G712" s="8"/>
      <c r="H712" s="8"/>
      <c r="J712" s="8"/>
      <c r="K712" s="8"/>
      <c r="M712" s="8"/>
      <c r="N712" s="8"/>
      <c r="P712" s="8"/>
      <c r="Q712" s="8"/>
      <c r="T712" s="8"/>
    </row>
    <row r="713" ht="14.25" customHeight="1">
      <c r="D713" s="8"/>
      <c r="F713" s="8"/>
      <c r="G713" s="8"/>
      <c r="H713" s="8"/>
      <c r="J713" s="8"/>
      <c r="K713" s="8"/>
      <c r="M713" s="8"/>
      <c r="N713" s="8"/>
      <c r="P713" s="8"/>
      <c r="Q713" s="8"/>
      <c r="T713" s="8"/>
    </row>
    <row r="714" ht="14.25" customHeight="1">
      <c r="D714" s="8"/>
      <c r="F714" s="8"/>
      <c r="G714" s="8"/>
      <c r="H714" s="8"/>
      <c r="J714" s="8"/>
      <c r="K714" s="8"/>
      <c r="M714" s="8"/>
      <c r="N714" s="8"/>
      <c r="P714" s="8"/>
      <c r="Q714" s="8"/>
      <c r="T714" s="8"/>
    </row>
    <row r="715" ht="14.25" customHeight="1">
      <c r="D715" s="8"/>
      <c r="F715" s="8"/>
      <c r="G715" s="8"/>
      <c r="H715" s="8"/>
      <c r="J715" s="8"/>
      <c r="K715" s="8"/>
      <c r="M715" s="8"/>
      <c r="N715" s="8"/>
      <c r="P715" s="8"/>
      <c r="Q715" s="8"/>
      <c r="T715" s="8"/>
    </row>
    <row r="716" ht="14.25" customHeight="1">
      <c r="D716" s="8"/>
      <c r="F716" s="8"/>
      <c r="G716" s="8"/>
      <c r="H716" s="8"/>
      <c r="J716" s="8"/>
      <c r="K716" s="8"/>
      <c r="M716" s="8"/>
      <c r="N716" s="8"/>
      <c r="P716" s="8"/>
      <c r="Q716" s="8"/>
      <c r="T716" s="8"/>
    </row>
    <row r="717" ht="14.25" customHeight="1">
      <c r="D717" s="8"/>
      <c r="F717" s="8"/>
      <c r="G717" s="8"/>
      <c r="H717" s="8"/>
      <c r="J717" s="8"/>
      <c r="K717" s="8"/>
      <c r="M717" s="8"/>
      <c r="N717" s="8"/>
      <c r="P717" s="8"/>
      <c r="Q717" s="8"/>
      <c r="T717" s="8"/>
    </row>
    <row r="718" ht="14.25" customHeight="1">
      <c r="D718" s="8"/>
      <c r="F718" s="8"/>
      <c r="G718" s="8"/>
      <c r="H718" s="8"/>
      <c r="J718" s="8"/>
      <c r="K718" s="8"/>
      <c r="M718" s="8"/>
      <c r="N718" s="8"/>
      <c r="P718" s="8"/>
      <c r="Q718" s="8"/>
      <c r="T718" s="8"/>
    </row>
    <row r="719" ht="14.25" customHeight="1">
      <c r="D719" s="8"/>
      <c r="F719" s="8"/>
      <c r="G719" s="8"/>
      <c r="H719" s="8"/>
      <c r="J719" s="8"/>
      <c r="K719" s="8"/>
      <c r="M719" s="8"/>
      <c r="N719" s="8"/>
      <c r="P719" s="8"/>
      <c r="Q719" s="8"/>
      <c r="T719" s="8"/>
    </row>
    <row r="720" ht="14.25" customHeight="1">
      <c r="D720" s="8"/>
      <c r="F720" s="8"/>
      <c r="G720" s="8"/>
      <c r="H720" s="8"/>
      <c r="J720" s="8"/>
      <c r="K720" s="8"/>
      <c r="M720" s="8"/>
      <c r="N720" s="8"/>
      <c r="P720" s="8"/>
      <c r="Q720" s="8"/>
      <c r="T720" s="8"/>
    </row>
    <row r="721" ht="14.25" customHeight="1">
      <c r="D721" s="8"/>
      <c r="F721" s="8"/>
      <c r="G721" s="8"/>
      <c r="H721" s="8"/>
      <c r="J721" s="8"/>
      <c r="K721" s="8"/>
      <c r="M721" s="8"/>
      <c r="N721" s="8"/>
      <c r="P721" s="8"/>
      <c r="Q721" s="8"/>
      <c r="T721" s="8"/>
    </row>
    <row r="722" ht="14.25" customHeight="1">
      <c r="D722" s="8"/>
      <c r="F722" s="8"/>
      <c r="G722" s="8"/>
      <c r="H722" s="8"/>
      <c r="J722" s="8"/>
      <c r="K722" s="8"/>
      <c r="M722" s="8"/>
      <c r="N722" s="8"/>
      <c r="P722" s="8"/>
      <c r="Q722" s="8"/>
      <c r="T722" s="8"/>
    </row>
    <row r="723" ht="14.25" customHeight="1">
      <c r="D723" s="8"/>
      <c r="F723" s="8"/>
      <c r="G723" s="8"/>
      <c r="H723" s="8"/>
      <c r="J723" s="8"/>
      <c r="K723" s="8"/>
      <c r="M723" s="8"/>
      <c r="N723" s="8"/>
      <c r="P723" s="8"/>
      <c r="Q723" s="8"/>
      <c r="T723" s="8"/>
    </row>
    <row r="724" ht="14.25" customHeight="1">
      <c r="D724" s="8"/>
      <c r="F724" s="8"/>
      <c r="G724" s="8"/>
      <c r="H724" s="8"/>
      <c r="J724" s="8"/>
      <c r="K724" s="8"/>
      <c r="M724" s="8"/>
      <c r="N724" s="8"/>
      <c r="P724" s="8"/>
      <c r="Q724" s="8"/>
      <c r="T724" s="8"/>
    </row>
    <row r="725" ht="14.25" customHeight="1">
      <c r="D725" s="8"/>
      <c r="F725" s="8"/>
      <c r="G725" s="8"/>
      <c r="H725" s="8"/>
      <c r="J725" s="8"/>
      <c r="K725" s="8"/>
      <c r="M725" s="8"/>
      <c r="N725" s="8"/>
      <c r="P725" s="8"/>
      <c r="Q725" s="8"/>
      <c r="T725" s="8"/>
    </row>
    <row r="726" ht="14.25" customHeight="1">
      <c r="D726" s="8"/>
      <c r="F726" s="8"/>
      <c r="G726" s="8"/>
      <c r="H726" s="8"/>
      <c r="J726" s="8"/>
      <c r="K726" s="8"/>
      <c r="M726" s="8"/>
      <c r="N726" s="8"/>
      <c r="P726" s="8"/>
      <c r="Q726" s="8"/>
      <c r="T726" s="8"/>
    </row>
    <row r="727" ht="14.25" customHeight="1">
      <c r="D727" s="8"/>
      <c r="F727" s="8"/>
      <c r="G727" s="8"/>
      <c r="H727" s="8"/>
      <c r="J727" s="8"/>
      <c r="K727" s="8"/>
      <c r="M727" s="8"/>
      <c r="N727" s="8"/>
      <c r="P727" s="8"/>
      <c r="Q727" s="8"/>
      <c r="T727" s="8"/>
    </row>
    <row r="728" ht="14.25" customHeight="1">
      <c r="D728" s="8"/>
      <c r="F728" s="8"/>
      <c r="G728" s="8"/>
      <c r="H728" s="8"/>
      <c r="J728" s="8"/>
      <c r="K728" s="8"/>
      <c r="M728" s="8"/>
      <c r="N728" s="8"/>
      <c r="P728" s="8"/>
      <c r="Q728" s="8"/>
      <c r="T728" s="8"/>
    </row>
    <row r="729" ht="14.25" customHeight="1">
      <c r="D729" s="8"/>
      <c r="F729" s="8"/>
      <c r="G729" s="8"/>
      <c r="H729" s="8"/>
      <c r="J729" s="8"/>
      <c r="K729" s="8"/>
      <c r="M729" s="8"/>
      <c r="N729" s="8"/>
      <c r="P729" s="8"/>
      <c r="Q729" s="8"/>
      <c r="T729" s="8"/>
    </row>
    <row r="730" ht="14.25" customHeight="1">
      <c r="D730" s="8"/>
      <c r="F730" s="8"/>
      <c r="G730" s="8"/>
      <c r="H730" s="8"/>
      <c r="J730" s="8"/>
      <c r="K730" s="8"/>
      <c r="M730" s="8"/>
      <c r="N730" s="8"/>
      <c r="P730" s="8"/>
      <c r="Q730" s="8"/>
      <c r="T730" s="8"/>
    </row>
    <row r="731" ht="14.25" customHeight="1">
      <c r="D731" s="8"/>
      <c r="F731" s="8"/>
      <c r="G731" s="8"/>
      <c r="H731" s="8"/>
      <c r="J731" s="8"/>
      <c r="K731" s="8"/>
      <c r="M731" s="8"/>
      <c r="N731" s="8"/>
      <c r="P731" s="8"/>
      <c r="Q731" s="8"/>
      <c r="T731" s="8"/>
    </row>
    <row r="732" ht="14.25" customHeight="1">
      <c r="D732" s="8"/>
      <c r="F732" s="8"/>
      <c r="G732" s="8"/>
      <c r="H732" s="8"/>
      <c r="J732" s="8"/>
      <c r="K732" s="8"/>
      <c r="M732" s="8"/>
      <c r="N732" s="8"/>
      <c r="P732" s="8"/>
      <c r="Q732" s="8"/>
      <c r="T732" s="8"/>
    </row>
    <row r="733" ht="14.25" customHeight="1">
      <c r="D733" s="8"/>
      <c r="F733" s="8"/>
      <c r="G733" s="8"/>
      <c r="H733" s="8"/>
      <c r="J733" s="8"/>
      <c r="K733" s="8"/>
      <c r="M733" s="8"/>
      <c r="N733" s="8"/>
      <c r="P733" s="8"/>
      <c r="Q733" s="8"/>
      <c r="T733" s="8"/>
    </row>
    <row r="734" ht="14.25" customHeight="1">
      <c r="D734" s="8"/>
      <c r="F734" s="8"/>
      <c r="G734" s="8"/>
      <c r="H734" s="8"/>
      <c r="J734" s="8"/>
      <c r="K734" s="8"/>
      <c r="M734" s="8"/>
      <c r="N734" s="8"/>
      <c r="P734" s="8"/>
      <c r="Q734" s="8"/>
      <c r="T734" s="8"/>
    </row>
    <row r="735" ht="14.25" customHeight="1">
      <c r="D735" s="8"/>
      <c r="F735" s="8"/>
      <c r="G735" s="8"/>
      <c r="H735" s="8"/>
      <c r="J735" s="8"/>
      <c r="K735" s="8"/>
      <c r="M735" s="8"/>
      <c r="N735" s="8"/>
      <c r="P735" s="8"/>
      <c r="Q735" s="8"/>
      <c r="T735" s="8"/>
    </row>
    <row r="736" ht="14.25" customHeight="1">
      <c r="D736" s="8"/>
      <c r="F736" s="8"/>
      <c r="G736" s="8"/>
      <c r="H736" s="8"/>
      <c r="J736" s="8"/>
      <c r="K736" s="8"/>
      <c r="M736" s="8"/>
      <c r="N736" s="8"/>
      <c r="P736" s="8"/>
      <c r="Q736" s="8"/>
      <c r="T736" s="8"/>
    </row>
    <row r="737" ht="14.25" customHeight="1">
      <c r="D737" s="8"/>
      <c r="F737" s="8"/>
      <c r="G737" s="8"/>
      <c r="H737" s="8"/>
      <c r="J737" s="8"/>
      <c r="K737" s="8"/>
      <c r="M737" s="8"/>
      <c r="N737" s="8"/>
      <c r="P737" s="8"/>
      <c r="Q737" s="8"/>
      <c r="T737" s="8"/>
    </row>
    <row r="738" ht="14.25" customHeight="1">
      <c r="D738" s="8"/>
      <c r="F738" s="8"/>
      <c r="G738" s="8"/>
      <c r="H738" s="8"/>
      <c r="J738" s="8"/>
      <c r="K738" s="8"/>
      <c r="M738" s="8"/>
      <c r="N738" s="8"/>
      <c r="P738" s="8"/>
      <c r="Q738" s="8"/>
      <c r="T738" s="8"/>
    </row>
    <row r="739" ht="14.25" customHeight="1">
      <c r="D739" s="8"/>
      <c r="F739" s="8"/>
      <c r="G739" s="8"/>
      <c r="H739" s="8"/>
      <c r="J739" s="8"/>
      <c r="K739" s="8"/>
      <c r="M739" s="8"/>
      <c r="N739" s="8"/>
      <c r="P739" s="8"/>
      <c r="Q739" s="8"/>
      <c r="T739" s="8"/>
    </row>
    <row r="740" ht="14.25" customHeight="1">
      <c r="D740" s="8"/>
      <c r="F740" s="8"/>
      <c r="G740" s="8"/>
      <c r="H740" s="8"/>
      <c r="J740" s="8"/>
      <c r="K740" s="8"/>
      <c r="M740" s="8"/>
      <c r="N740" s="8"/>
      <c r="P740" s="8"/>
      <c r="Q740" s="8"/>
      <c r="T740" s="8"/>
    </row>
    <row r="741" ht="14.25" customHeight="1">
      <c r="D741" s="8"/>
      <c r="F741" s="8"/>
      <c r="G741" s="8"/>
      <c r="H741" s="8"/>
      <c r="J741" s="8"/>
      <c r="K741" s="8"/>
      <c r="M741" s="8"/>
      <c r="N741" s="8"/>
      <c r="P741" s="8"/>
      <c r="Q741" s="8"/>
      <c r="T741" s="8"/>
    </row>
    <row r="742" ht="14.25" customHeight="1">
      <c r="D742" s="8"/>
      <c r="F742" s="8"/>
      <c r="G742" s="8"/>
      <c r="H742" s="8"/>
      <c r="J742" s="8"/>
      <c r="K742" s="8"/>
      <c r="M742" s="8"/>
      <c r="N742" s="8"/>
      <c r="P742" s="8"/>
      <c r="Q742" s="8"/>
      <c r="T742" s="8"/>
    </row>
    <row r="743" ht="14.25" customHeight="1">
      <c r="D743" s="8"/>
      <c r="F743" s="8"/>
      <c r="G743" s="8"/>
      <c r="H743" s="8"/>
      <c r="J743" s="8"/>
      <c r="K743" s="8"/>
      <c r="M743" s="8"/>
      <c r="N743" s="8"/>
      <c r="P743" s="8"/>
      <c r="Q743" s="8"/>
      <c r="T743" s="8"/>
    </row>
    <row r="744" ht="14.25" customHeight="1">
      <c r="D744" s="8"/>
      <c r="F744" s="8"/>
      <c r="G744" s="8"/>
      <c r="H744" s="8"/>
      <c r="J744" s="8"/>
      <c r="K744" s="8"/>
      <c r="M744" s="8"/>
      <c r="N744" s="8"/>
      <c r="P744" s="8"/>
      <c r="Q744" s="8"/>
      <c r="T744" s="8"/>
    </row>
    <row r="745" ht="14.25" customHeight="1">
      <c r="D745" s="8"/>
      <c r="F745" s="8"/>
      <c r="G745" s="8"/>
      <c r="H745" s="8"/>
      <c r="J745" s="8"/>
      <c r="K745" s="8"/>
      <c r="M745" s="8"/>
      <c r="N745" s="8"/>
      <c r="P745" s="8"/>
      <c r="Q745" s="8"/>
      <c r="T745" s="8"/>
    </row>
    <row r="746" ht="14.25" customHeight="1">
      <c r="D746" s="8"/>
      <c r="F746" s="8"/>
      <c r="G746" s="8"/>
      <c r="H746" s="8"/>
      <c r="J746" s="8"/>
      <c r="K746" s="8"/>
      <c r="M746" s="8"/>
      <c r="N746" s="8"/>
      <c r="P746" s="8"/>
      <c r="Q746" s="8"/>
      <c r="T746" s="8"/>
    </row>
    <row r="747" ht="14.25" customHeight="1">
      <c r="D747" s="8"/>
      <c r="F747" s="8"/>
      <c r="G747" s="8"/>
      <c r="H747" s="8"/>
      <c r="J747" s="8"/>
      <c r="K747" s="8"/>
      <c r="M747" s="8"/>
      <c r="N747" s="8"/>
      <c r="P747" s="8"/>
      <c r="Q747" s="8"/>
      <c r="T747" s="8"/>
    </row>
    <row r="748" ht="14.25" customHeight="1">
      <c r="D748" s="8"/>
      <c r="F748" s="8"/>
      <c r="G748" s="8"/>
      <c r="H748" s="8"/>
      <c r="J748" s="8"/>
      <c r="K748" s="8"/>
      <c r="M748" s="8"/>
      <c r="N748" s="8"/>
      <c r="P748" s="8"/>
      <c r="Q748" s="8"/>
      <c r="T748" s="8"/>
    </row>
    <row r="749" ht="14.25" customHeight="1">
      <c r="D749" s="8"/>
      <c r="F749" s="8"/>
      <c r="G749" s="8"/>
      <c r="H749" s="8"/>
      <c r="J749" s="8"/>
      <c r="K749" s="8"/>
      <c r="M749" s="8"/>
      <c r="N749" s="8"/>
      <c r="P749" s="8"/>
      <c r="Q749" s="8"/>
      <c r="T749" s="8"/>
    </row>
    <row r="750" ht="14.25" customHeight="1">
      <c r="D750" s="8"/>
      <c r="F750" s="8"/>
      <c r="G750" s="8"/>
      <c r="H750" s="8"/>
      <c r="J750" s="8"/>
      <c r="K750" s="8"/>
      <c r="M750" s="8"/>
      <c r="N750" s="8"/>
      <c r="P750" s="8"/>
      <c r="Q750" s="8"/>
      <c r="T750" s="8"/>
    </row>
    <row r="751" ht="14.25" customHeight="1">
      <c r="D751" s="8"/>
      <c r="F751" s="8"/>
      <c r="G751" s="8"/>
      <c r="H751" s="8"/>
      <c r="J751" s="8"/>
      <c r="K751" s="8"/>
      <c r="M751" s="8"/>
      <c r="N751" s="8"/>
      <c r="P751" s="8"/>
      <c r="Q751" s="8"/>
      <c r="T751" s="8"/>
    </row>
    <row r="752" ht="14.25" customHeight="1">
      <c r="D752" s="8"/>
      <c r="F752" s="8"/>
      <c r="G752" s="8"/>
      <c r="H752" s="8"/>
      <c r="J752" s="8"/>
      <c r="K752" s="8"/>
      <c r="M752" s="8"/>
      <c r="N752" s="8"/>
      <c r="P752" s="8"/>
      <c r="Q752" s="8"/>
      <c r="T752" s="8"/>
    </row>
    <row r="753" ht="14.25" customHeight="1">
      <c r="D753" s="8"/>
      <c r="F753" s="8"/>
      <c r="G753" s="8"/>
      <c r="H753" s="8"/>
      <c r="J753" s="8"/>
      <c r="K753" s="8"/>
      <c r="M753" s="8"/>
      <c r="N753" s="8"/>
      <c r="P753" s="8"/>
      <c r="Q753" s="8"/>
      <c r="T753" s="8"/>
    </row>
    <row r="754" ht="14.25" customHeight="1">
      <c r="D754" s="8"/>
      <c r="F754" s="8"/>
      <c r="G754" s="8"/>
      <c r="H754" s="8"/>
      <c r="J754" s="8"/>
      <c r="K754" s="8"/>
      <c r="M754" s="8"/>
      <c r="N754" s="8"/>
      <c r="P754" s="8"/>
      <c r="Q754" s="8"/>
      <c r="T754" s="8"/>
    </row>
    <row r="755" ht="14.25" customHeight="1">
      <c r="D755" s="8"/>
      <c r="F755" s="8"/>
      <c r="G755" s="8"/>
      <c r="H755" s="8"/>
      <c r="J755" s="8"/>
      <c r="K755" s="8"/>
      <c r="M755" s="8"/>
      <c r="N755" s="8"/>
      <c r="P755" s="8"/>
      <c r="Q755" s="8"/>
      <c r="T755" s="8"/>
    </row>
    <row r="756" ht="14.25" customHeight="1">
      <c r="D756" s="8"/>
      <c r="F756" s="8"/>
      <c r="G756" s="8"/>
      <c r="H756" s="8"/>
      <c r="J756" s="8"/>
      <c r="K756" s="8"/>
      <c r="M756" s="8"/>
      <c r="N756" s="8"/>
      <c r="P756" s="8"/>
      <c r="Q756" s="8"/>
      <c r="T756" s="8"/>
    </row>
    <row r="757" ht="14.25" customHeight="1">
      <c r="D757" s="8"/>
      <c r="F757" s="8"/>
      <c r="G757" s="8"/>
      <c r="H757" s="8"/>
      <c r="J757" s="8"/>
      <c r="K757" s="8"/>
      <c r="M757" s="8"/>
      <c r="N757" s="8"/>
      <c r="P757" s="8"/>
      <c r="Q757" s="8"/>
      <c r="T757" s="8"/>
    </row>
    <row r="758" ht="14.25" customHeight="1">
      <c r="D758" s="8"/>
      <c r="F758" s="8"/>
      <c r="G758" s="8"/>
      <c r="H758" s="8"/>
      <c r="J758" s="8"/>
      <c r="K758" s="8"/>
      <c r="M758" s="8"/>
      <c r="N758" s="8"/>
      <c r="P758" s="8"/>
      <c r="Q758" s="8"/>
      <c r="T758" s="8"/>
    </row>
    <row r="759" ht="14.25" customHeight="1">
      <c r="D759" s="8"/>
      <c r="F759" s="8"/>
      <c r="G759" s="8"/>
      <c r="H759" s="8"/>
      <c r="J759" s="8"/>
      <c r="K759" s="8"/>
      <c r="M759" s="8"/>
      <c r="N759" s="8"/>
      <c r="P759" s="8"/>
      <c r="Q759" s="8"/>
      <c r="T759" s="8"/>
    </row>
    <row r="760" ht="14.25" customHeight="1">
      <c r="D760" s="8"/>
      <c r="F760" s="8"/>
      <c r="G760" s="8"/>
      <c r="H760" s="8"/>
      <c r="J760" s="8"/>
      <c r="K760" s="8"/>
      <c r="M760" s="8"/>
      <c r="N760" s="8"/>
      <c r="P760" s="8"/>
      <c r="Q760" s="8"/>
      <c r="T760" s="8"/>
    </row>
    <row r="761" ht="14.25" customHeight="1">
      <c r="D761" s="8"/>
      <c r="F761" s="8"/>
      <c r="G761" s="8"/>
      <c r="H761" s="8"/>
      <c r="J761" s="8"/>
      <c r="K761" s="8"/>
      <c r="M761" s="8"/>
      <c r="N761" s="8"/>
      <c r="P761" s="8"/>
      <c r="Q761" s="8"/>
      <c r="T761" s="8"/>
    </row>
    <row r="762" ht="14.25" customHeight="1">
      <c r="D762" s="8"/>
      <c r="F762" s="8"/>
      <c r="G762" s="8"/>
      <c r="H762" s="8"/>
      <c r="J762" s="8"/>
      <c r="K762" s="8"/>
      <c r="M762" s="8"/>
      <c r="N762" s="8"/>
      <c r="P762" s="8"/>
      <c r="Q762" s="8"/>
      <c r="T762" s="8"/>
    </row>
    <row r="763" ht="14.25" customHeight="1">
      <c r="D763" s="8"/>
      <c r="F763" s="8"/>
      <c r="G763" s="8"/>
      <c r="H763" s="8"/>
      <c r="J763" s="8"/>
      <c r="K763" s="8"/>
      <c r="M763" s="8"/>
      <c r="N763" s="8"/>
      <c r="P763" s="8"/>
      <c r="Q763" s="8"/>
      <c r="T763" s="8"/>
    </row>
    <row r="764" ht="14.25" customHeight="1">
      <c r="D764" s="8"/>
      <c r="F764" s="8"/>
      <c r="G764" s="8"/>
      <c r="H764" s="8"/>
      <c r="J764" s="8"/>
      <c r="K764" s="8"/>
      <c r="M764" s="8"/>
      <c r="N764" s="8"/>
      <c r="P764" s="8"/>
      <c r="Q764" s="8"/>
      <c r="T764" s="8"/>
    </row>
    <row r="765" ht="14.25" customHeight="1">
      <c r="D765" s="8"/>
      <c r="F765" s="8"/>
      <c r="G765" s="8"/>
      <c r="H765" s="8"/>
      <c r="J765" s="8"/>
      <c r="K765" s="8"/>
      <c r="M765" s="8"/>
      <c r="N765" s="8"/>
      <c r="P765" s="8"/>
      <c r="Q765" s="8"/>
      <c r="T765" s="8"/>
    </row>
    <row r="766" ht="14.25" customHeight="1">
      <c r="D766" s="8"/>
      <c r="F766" s="8"/>
      <c r="G766" s="8"/>
      <c r="H766" s="8"/>
      <c r="J766" s="8"/>
      <c r="K766" s="8"/>
      <c r="M766" s="8"/>
      <c r="N766" s="8"/>
      <c r="P766" s="8"/>
      <c r="Q766" s="8"/>
      <c r="T766" s="8"/>
    </row>
    <row r="767" ht="14.25" customHeight="1">
      <c r="D767" s="8"/>
      <c r="F767" s="8"/>
      <c r="G767" s="8"/>
      <c r="H767" s="8"/>
      <c r="J767" s="8"/>
      <c r="K767" s="8"/>
      <c r="M767" s="8"/>
      <c r="N767" s="8"/>
      <c r="P767" s="8"/>
      <c r="Q767" s="8"/>
      <c r="T767" s="8"/>
    </row>
    <row r="768" ht="14.25" customHeight="1">
      <c r="D768" s="8"/>
      <c r="F768" s="8"/>
      <c r="G768" s="8"/>
      <c r="H768" s="8"/>
      <c r="J768" s="8"/>
      <c r="K768" s="8"/>
      <c r="M768" s="8"/>
      <c r="N768" s="8"/>
      <c r="P768" s="8"/>
      <c r="Q768" s="8"/>
      <c r="T768" s="8"/>
    </row>
    <row r="769" ht="14.25" customHeight="1">
      <c r="D769" s="8"/>
      <c r="F769" s="8"/>
      <c r="G769" s="8"/>
      <c r="H769" s="8"/>
      <c r="J769" s="8"/>
      <c r="K769" s="8"/>
      <c r="M769" s="8"/>
      <c r="N769" s="8"/>
      <c r="P769" s="8"/>
      <c r="Q769" s="8"/>
      <c r="T769" s="8"/>
    </row>
    <row r="770" ht="14.25" customHeight="1">
      <c r="D770" s="8"/>
      <c r="F770" s="8"/>
      <c r="G770" s="8"/>
      <c r="H770" s="8"/>
      <c r="J770" s="8"/>
      <c r="K770" s="8"/>
      <c r="M770" s="8"/>
      <c r="N770" s="8"/>
      <c r="P770" s="8"/>
      <c r="Q770" s="8"/>
      <c r="T770" s="8"/>
    </row>
    <row r="771" ht="14.25" customHeight="1">
      <c r="D771" s="8"/>
      <c r="F771" s="8"/>
      <c r="G771" s="8"/>
      <c r="H771" s="8"/>
      <c r="J771" s="8"/>
      <c r="K771" s="8"/>
      <c r="M771" s="8"/>
      <c r="N771" s="8"/>
      <c r="P771" s="8"/>
      <c r="Q771" s="8"/>
      <c r="T771" s="8"/>
    </row>
    <row r="772" ht="14.25" customHeight="1">
      <c r="D772" s="8"/>
      <c r="F772" s="8"/>
      <c r="G772" s="8"/>
      <c r="H772" s="8"/>
      <c r="J772" s="8"/>
      <c r="K772" s="8"/>
      <c r="M772" s="8"/>
      <c r="N772" s="8"/>
      <c r="P772" s="8"/>
      <c r="Q772" s="8"/>
      <c r="T772" s="8"/>
    </row>
    <row r="773" ht="14.25" customHeight="1">
      <c r="D773" s="8"/>
      <c r="F773" s="8"/>
      <c r="G773" s="8"/>
      <c r="H773" s="8"/>
      <c r="J773" s="8"/>
      <c r="K773" s="8"/>
      <c r="M773" s="8"/>
      <c r="N773" s="8"/>
      <c r="P773" s="8"/>
      <c r="Q773" s="8"/>
      <c r="T773" s="8"/>
    </row>
    <row r="774" ht="14.25" customHeight="1">
      <c r="D774" s="8"/>
      <c r="F774" s="8"/>
      <c r="G774" s="8"/>
      <c r="H774" s="8"/>
      <c r="J774" s="8"/>
      <c r="K774" s="8"/>
      <c r="M774" s="8"/>
      <c r="N774" s="8"/>
      <c r="P774" s="8"/>
      <c r="Q774" s="8"/>
      <c r="T774" s="8"/>
    </row>
    <row r="775" ht="14.25" customHeight="1">
      <c r="D775" s="8"/>
      <c r="F775" s="8"/>
      <c r="G775" s="8"/>
      <c r="H775" s="8"/>
      <c r="J775" s="8"/>
      <c r="K775" s="8"/>
      <c r="M775" s="8"/>
      <c r="N775" s="8"/>
      <c r="P775" s="8"/>
      <c r="Q775" s="8"/>
      <c r="T775" s="8"/>
    </row>
    <row r="776" ht="14.25" customHeight="1">
      <c r="D776" s="8"/>
      <c r="F776" s="8"/>
      <c r="G776" s="8"/>
      <c r="H776" s="8"/>
      <c r="J776" s="8"/>
      <c r="K776" s="8"/>
      <c r="M776" s="8"/>
      <c r="N776" s="8"/>
      <c r="P776" s="8"/>
      <c r="Q776" s="8"/>
      <c r="T776" s="8"/>
    </row>
    <row r="777" ht="14.25" customHeight="1">
      <c r="D777" s="8"/>
      <c r="F777" s="8"/>
      <c r="G777" s="8"/>
      <c r="H777" s="8"/>
      <c r="J777" s="8"/>
      <c r="K777" s="8"/>
      <c r="M777" s="8"/>
      <c r="N777" s="8"/>
      <c r="P777" s="8"/>
      <c r="Q777" s="8"/>
      <c r="T777" s="8"/>
    </row>
    <row r="778" ht="14.25" customHeight="1">
      <c r="D778" s="8"/>
      <c r="F778" s="8"/>
      <c r="G778" s="8"/>
      <c r="H778" s="8"/>
      <c r="J778" s="8"/>
      <c r="K778" s="8"/>
      <c r="M778" s="8"/>
      <c r="N778" s="8"/>
      <c r="P778" s="8"/>
      <c r="Q778" s="8"/>
      <c r="T778" s="8"/>
    </row>
    <row r="779" ht="14.25" customHeight="1">
      <c r="D779" s="8"/>
      <c r="F779" s="8"/>
      <c r="G779" s="8"/>
      <c r="H779" s="8"/>
      <c r="J779" s="8"/>
      <c r="K779" s="8"/>
      <c r="M779" s="8"/>
      <c r="N779" s="8"/>
      <c r="P779" s="8"/>
      <c r="Q779" s="8"/>
      <c r="T779" s="8"/>
    </row>
    <row r="780" ht="14.25" customHeight="1">
      <c r="D780" s="8"/>
      <c r="F780" s="8"/>
      <c r="G780" s="8"/>
      <c r="H780" s="8"/>
      <c r="J780" s="8"/>
      <c r="K780" s="8"/>
      <c r="M780" s="8"/>
      <c r="N780" s="8"/>
      <c r="P780" s="8"/>
      <c r="Q780" s="8"/>
      <c r="T780" s="8"/>
    </row>
    <row r="781" ht="14.25" customHeight="1">
      <c r="D781" s="8"/>
      <c r="F781" s="8"/>
      <c r="G781" s="8"/>
      <c r="H781" s="8"/>
      <c r="J781" s="8"/>
      <c r="K781" s="8"/>
      <c r="M781" s="8"/>
      <c r="N781" s="8"/>
      <c r="P781" s="8"/>
      <c r="Q781" s="8"/>
      <c r="T781" s="8"/>
    </row>
    <row r="782" ht="14.25" customHeight="1">
      <c r="D782" s="8"/>
      <c r="F782" s="8"/>
      <c r="G782" s="8"/>
      <c r="H782" s="8"/>
      <c r="J782" s="8"/>
      <c r="K782" s="8"/>
      <c r="M782" s="8"/>
      <c r="N782" s="8"/>
      <c r="P782" s="8"/>
      <c r="Q782" s="8"/>
      <c r="T782" s="8"/>
    </row>
    <row r="783" ht="14.25" customHeight="1">
      <c r="D783" s="8"/>
      <c r="F783" s="8"/>
      <c r="G783" s="8"/>
      <c r="H783" s="8"/>
      <c r="J783" s="8"/>
      <c r="K783" s="8"/>
      <c r="M783" s="8"/>
      <c r="N783" s="8"/>
      <c r="P783" s="8"/>
      <c r="Q783" s="8"/>
      <c r="T783" s="8"/>
    </row>
    <row r="784" ht="14.25" customHeight="1">
      <c r="D784" s="8"/>
      <c r="F784" s="8"/>
      <c r="G784" s="8"/>
      <c r="H784" s="8"/>
      <c r="J784" s="8"/>
      <c r="K784" s="8"/>
      <c r="M784" s="8"/>
      <c r="N784" s="8"/>
      <c r="P784" s="8"/>
      <c r="Q784" s="8"/>
      <c r="T784" s="8"/>
    </row>
    <row r="785" ht="14.25" customHeight="1">
      <c r="D785" s="8"/>
      <c r="F785" s="8"/>
      <c r="G785" s="8"/>
      <c r="H785" s="8"/>
      <c r="J785" s="8"/>
      <c r="K785" s="8"/>
      <c r="M785" s="8"/>
      <c r="N785" s="8"/>
      <c r="P785" s="8"/>
      <c r="Q785" s="8"/>
      <c r="T785" s="8"/>
    </row>
    <row r="786" ht="14.25" customHeight="1">
      <c r="D786" s="8"/>
      <c r="F786" s="8"/>
      <c r="G786" s="8"/>
      <c r="H786" s="8"/>
      <c r="J786" s="8"/>
      <c r="K786" s="8"/>
      <c r="M786" s="8"/>
      <c r="N786" s="8"/>
      <c r="P786" s="8"/>
      <c r="Q786" s="8"/>
      <c r="T786" s="8"/>
    </row>
    <row r="787" ht="14.25" customHeight="1">
      <c r="D787" s="8"/>
      <c r="F787" s="8"/>
      <c r="G787" s="8"/>
      <c r="H787" s="8"/>
      <c r="J787" s="8"/>
      <c r="K787" s="8"/>
      <c r="M787" s="8"/>
      <c r="N787" s="8"/>
      <c r="P787" s="8"/>
      <c r="Q787" s="8"/>
      <c r="T787" s="8"/>
    </row>
    <row r="788" ht="14.25" customHeight="1">
      <c r="D788" s="8"/>
      <c r="F788" s="8"/>
      <c r="G788" s="8"/>
      <c r="H788" s="8"/>
      <c r="J788" s="8"/>
      <c r="K788" s="8"/>
      <c r="M788" s="8"/>
      <c r="N788" s="8"/>
      <c r="P788" s="8"/>
      <c r="Q788" s="8"/>
      <c r="T788" s="8"/>
    </row>
    <row r="789" ht="14.25" customHeight="1">
      <c r="D789" s="8"/>
      <c r="F789" s="8"/>
      <c r="G789" s="8"/>
      <c r="H789" s="8"/>
      <c r="J789" s="8"/>
      <c r="K789" s="8"/>
      <c r="M789" s="8"/>
      <c r="N789" s="8"/>
      <c r="P789" s="8"/>
      <c r="Q789" s="8"/>
      <c r="T789" s="8"/>
    </row>
    <row r="790" ht="14.25" customHeight="1">
      <c r="D790" s="8"/>
      <c r="F790" s="8"/>
      <c r="G790" s="8"/>
      <c r="H790" s="8"/>
      <c r="J790" s="8"/>
      <c r="K790" s="8"/>
      <c r="M790" s="8"/>
      <c r="N790" s="8"/>
      <c r="P790" s="8"/>
      <c r="Q790" s="8"/>
      <c r="T790" s="8"/>
    </row>
    <row r="791" ht="14.25" customHeight="1">
      <c r="D791" s="8"/>
      <c r="F791" s="8"/>
      <c r="G791" s="8"/>
      <c r="H791" s="8"/>
      <c r="J791" s="8"/>
      <c r="K791" s="8"/>
      <c r="M791" s="8"/>
      <c r="N791" s="8"/>
      <c r="P791" s="8"/>
      <c r="Q791" s="8"/>
      <c r="T791" s="8"/>
    </row>
    <row r="792" ht="14.25" customHeight="1">
      <c r="D792" s="8"/>
      <c r="F792" s="8"/>
      <c r="G792" s="8"/>
      <c r="H792" s="8"/>
      <c r="J792" s="8"/>
      <c r="K792" s="8"/>
      <c r="M792" s="8"/>
      <c r="N792" s="8"/>
      <c r="P792" s="8"/>
      <c r="Q792" s="8"/>
      <c r="T792" s="8"/>
    </row>
    <row r="793" ht="14.25" customHeight="1">
      <c r="D793" s="8"/>
      <c r="F793" s="8"/>
      <c r="G793" s="8"/>
      <c r="H793" s="8"/>
      <c r="J793" s="8"/>
      <c r="K793" s="8"/>
      <c r="M793" s="8"/>
      <c r="N793" s="8"/>
      <c r="P793" s="8"/>
      <c r="Q793" s="8"/>
      <c r="T793" s="8"/>
    </row>
    <row r="794" ht="14.25" customHeight="1">
      <c r="D794" s="8"/>
      <c r="F794" s="8"/>
      <c r="G794" s="8"/>
      <c r="H794" s="8"/>
      <c r="J794" s="8"/>
      <c r="K794" s="8"/>
      <c r="M794" s="8"/>
      <c r="N794" s="8"/>
      <c r="P794" s="8"/>
      <c r="Q794" s="8"/>
      <c r="T794" s="8"/>
    </row>
    <row r="795" ht="14.25" customHeight="1">
      <c r="D795" s="8"/>
      <c r="F795" s="8"/>
      <c r="G795" s="8"/>
      <c r="H795" s="8"/>
      <c r="J795" s="8"/>
      <c r="K795" s="8"/>
      <c r="M795" s="8"/>
      <c r="N795" s="8"/>
      <c r="P795" s="8"/>
      <c r="Q795" s="8"/>
      <c r="T795" s="8"/>
    </row>
    <row r="796" ht="14.25" customHeight="1">
      <c r="D796" s="8"/>
      <c r="F796" s="8"/>
      <c r="G796" s="8"/>
      <c r="H796" s="8"/>
      <c r="J796" s="8"/>
      <c r="K796" s="8"/>
      <c r="M796" s="8"/>
      <c r="N796" s="8"/>
      <c r="P796" s="8"/>
      <c r="Q796" s="8"/>
      <c r="T796" s="8"/>
    </row>
    <row r="797" ht="14.25" customHeight="1">
      <c r="D797" s="8"/>
      <c r="F797" s="8"/>
      <c r="G797" s="8"/>
      <c r="H797" s="8"/>
      <c r="J797" s="8"/>
      <c r="K797" s="8"/>
      <c r="M797" s="8"/>
      <c r="N797" s="8"/>
      <c r="P797" s="8"/>
      <c r="Q797" s="8"/>
      <c r="T797" s="8"/>
    </row>
    <row r="798" ht="14.25" customHeight="1">
      <c r="D798" s="8"/>
      <c r="F798" s="8"/>
      <c r="G798" s="8"/>
      <c r="H798" s="8"/>
      <c r="J798" s="8"/>
      <c r="K798" s="8"/>
      <c r="M798" s="8"/>
      <c r="N798" s="8"/>
      <c r="P798" s="8"/>
      <c r="Q798" s="8"/>
      <c r="T798" s="8"/>
    </row>
    <row r="799" ht="14.25" customHeight="1">
      <c r="D799" s="8"/>
      <c r="F799" s="8"/>
      <c r="G799" s="8"/>
      <c r="H799" s="8"/>
      <c r="J799" s="8"/>
      <c r="K799" s="8"/>
      <c r="M799" s="8"/>
      <c r="N799" s="8"/>
      <c r="P799" s="8"/>
      <c r="Q799" s="8"/>
      <c r="T799" s="8"/>
    </row>
    <row r="800" ht="14.25" customHeight="1">
      <c r="D800" s="8"/>
      <c r="F800" s="8"/>
      <c r="G800" s="8"/>
      <c r="H800" s="8"/>
      <c r="J800" s="8"/>
      <c r="K800" s="8"/>
      <c r="M800" s="8"/>
      <c r="N800" s="8"/>
      <c r="P800" s="8"/>
      <c r="Q800" s="8"/>
      <c r="T800" s="8"/>
    </row>
    <row r="801" ht="14.25" customHeight="1">
      <c r="D801" s="8"/>
      <c r="F801" s="8"/>
      <c r="G801" s="8"/>
      <c r="H801" s="8"/>
      <c r="J801" s="8"/>
      <c r="K801" s="8"/>
      <c r="M801" s="8"/>
      <c r="N801" s="8"/>
      <c r="P801" s="8"/>
      <c r="Q801" s="8"/>
      <c r="T801" s="8"/>
    </row>
    <row r="802" ht="14.25" customHeight="1">
      <c r="D802" s="8"/>
      <c r="F802" s="8"/>
      <c r="G802" s="8"/>
      <c r="H802" s="8"/>
      <c r="J802" s="8"/>
      <c r="K802" s="8"/>
      <c r="M802" s="8"/>
      <c r="N802" s="8"/>
      <c r="P802" s="8"/>
      <c r="Q802" s="8"/>
      <c r="T802" s="8"/>
    </row>
    <row r="803" ht="14.25" customHeight="1">
      <c r="D803" s="8"/>
      <c r="F803" s="8"/>
      <c r="G803" s="8"/>
      <c r="H803" s="8"/>
      <c r="J803" s="8"/>
      <c r="K803" s="8"/>
      <c r="M803" s="8"/>
      <c r="N803" s="8"/>
      <c r="P803" s="8"/>
      <c r="Q803" s="8"/>
      <c r="T803" s="8"/>
    </row>
    <row r="804" ht="14.25" customHeight="1">
      <c r="D804" s="8"/>
      <c r="F804" s="8"/>
      <c r="G804" s="8"/>
      <c r="H804" s="8"/>
      <c r="J804" s="8"/>
      <c r="K804" s="8"/>
      <c r="M804" s="8"/>
      <c r="N804" s="8"/>
      <c r="P804" s="8"/>
      <c r="Q804" s="8"/>
      <c r="T804" s="8"/>
    </row>
    <row r="805" ht="14.25" customHeight="1">
      <c r="D805" s="8"/>
      <c r="F805" s="8"/>
      <c r="G805" s="8"/>
      <c r="H805" s="8"/>
      <c r="J805" s="8"/>
      <c r="K805" s="8"/>
      <c r="M805" s="8"/>
      <c r="N805" s="8"/>
      <c r="P805" s="8"/>
      <c r="Q805" s="8"/>
      <c r="T805" s="8"/>
    </row>
    <row r="806" ht="14.25" customHeight="1">
      <c r="D806" s="8"/>
      <c r="F806" s="8"/>
      <c r="G806" s="8"/>
      <c r="H806" s="8"/>
      <c r="J806" s="8"/>
      <c r="K806" s="8"/>
      <c r="M806" s="8"/>
      <c r="N806" s="8"/>
      <c r="P806" s="8"/>
      <c r="Q806" s="8"/>
      <c r="T806" s="8"/>
    </row>
    <row r="807" ht="14.25" customHeight="1">
      <c r="D807" s="8"/>
      <c r="F807" s="8"/>
      <c r="G807" s="8"/>
      <c r="H807" s="8"/>
      <c r="J807" s="8"/>
      <c r="K807" s="8"/>
      <c r="M807" s="8"/>
      <c r="N807" s="8"/>
      <c r="P807" s="8"/>
      <c r="Q807" s="8"/>
      <c r="T807" s="8"/>
    </row>
    <row r="808" ht="14.25" customHeight="1">
      <c r="D808" s="8"/>
      <c r="F808" s="8"/>
      <c r="G808" s="8"/>
      <c r="H808" s="8"/>
      <c r="J808" s="8"/>
      <c r="K808" s="8"/>
      <c r="M808" s="8"/>
      <c r="N808" s="8"/>
      <c r="P808" s="8"/>
      <c r="Q808" s="8"/>
      <c r="T808" s="8"/>
    </row>
    <row r="809" ht="14.25" customHeight="1">
      <c r="D809" s="8"/>
      <c r="F809" s="8"/>
      <c r="G809" s="8"/>
      <c r="H809" s="8"/>
      <c r="J809" s="8"/>
      <c r="K809" s="8"/>
      <c r="M809" s="8"/>
      <c r="N809" s="8"/>
      <c r="P809" s="8"/>
      <c r="Q809" s="8"/>
      <c r="T809" s="8"/>
    </row>
    <row r="810" ht="14.25" customHeight="1">
      <c r="D810" s="8"/>
      <c r="F810" s="8"/>
      <c r="G810" s="8"/>
      <c r="H810" s="8"/>
      <c r="J810" s="8"/>
      <c r="K810" s="8"/>
      <c r="M810" s="8"/>
      <c r="N810" s="8"/>
      <c r="P810" s="8"/>
      <c r="Q810" s="8"/>
      <c r="T810" s="8"/>
    </row>
    <row r="811" ht="14.25" customHeight="1">
      <c r="D811" s="8"/>
      <c r="F811" s="8"/>
      <c r="G811" s="8"/>
      <c r="H811" s="8"/>
      <c r="J811" s="8"/>
      <c r="K811" s="8"/>
      <c r="M811" s="8"/>
      <c r="N811" s="8"/>
      <c r="P811" s="8"/>
      <c r="Q811" s="8"/>
      <c r="T811" s="8"/>
    </row>
    <row r="812" ht="14.25" customHeight="1">
      <c r="D812" s="8"/>
      <c r="F812" s="8"/>
      <c r="G812" s="8"/>
      <c r="H812" s="8"/>
      <c r="J812" s="8"/>
      <c r="K812" s="8"/>
      <c r="M812" s="8"/>
      <c r="N812" s="8"/>
      <c r="P812" s="8"/>
      <c r="Q812" s="8"/>
      <c r="T812" s="8"/>
    </row>
    <row r="813" ht="14.25" customHeight="1">
      <c r="D813" s="8"/>
      <c r="F813" s="8"/>
      <c r="G813" s="8"/>
      <c r="H813" s="8"/>
      <c r="J813" s="8"/>
      <c r="K813" s="8"/>
      <c r="M813" s="8"/>
      <c r="N813" s="8"/>
      <c r="P813" s="8"/>
      <c r="Q813" s="8"/>
      <c r="T813" s="8"/>
    </row>
    <row r="814" ht="14.25" customHeight="1">
      <c r="D814" s="8"/>
      <c r="F814" s="8"/>
      <c r="G814" s="8"/>
      <c r="H814" s="8"/>
      <c r="J814" s="8"/>
      <c r="K814" s="8"/>
      <c r="M814" s="8"/>
      <c r="N814" s="8"/>
      <c r="P814" s="8"/>
      <c r="Q814" s="8"/>
      <c r="T814" s="8"/>
    </row>
    <row r="815" ht="14.25" customHeight="1">
      <c r="D815" s="8"/>
      <c r="F815" s="8"/>
      <c r="G815" s="8"/>
      <c r="H815" s="8"/>
      <c r="J815" s="8"/>
      <c r="K815" s="8"/>
      <c r="M815" s="8"/>
      <c r="N815" s="8"/>
      <c r="P815" s="8"/>
      <c r="Q815" s="8"/>
      <c r="T815" s="8"/>
    </row>
    <row r="816" ht="14.25" customHeight="1">
      <c r="D816" s="8"/>
      <c r="F816" s="8"/>
      <c r="G816" s="8"/>
      <c r="H816" s="8"/>
      <c r="J816" s="8"/>
      <c r="K816" s="8"/>
      <c r="M816" s="8"/>
      <c r="N816" s="8"/>
      <c r="P816" s="8"/>
      <c r="Q816" s="8"/>
      <c r="T816" s="8"/>
    </row>
    <row r="817" ht="14.25" customHeight="1">
      <c r="D817" s="8"/>
      <c r="F817" s="8"/>
      <c r="G817" s="8"/>
      <c r="H817" s="8"/>
      <c r="J817" s="8"/>
      <c r="K817" s="8"/>
      <c r="M817" s="8"/>
      <c r="N817" s="8"/>
      <c r="P817" s="8"/>
      <c r="Q817" s="8"/>
      <c r="T817" s="8"/>
    </row>
    <row r="818" ht="14.25" customHeight="1">
      <c r="D818" s="8"/>
      <c r="F818" s="8"/>
      <c r="G818" s="8"/>
      <c r="H818" s="8"/>
      <c r="J818" s="8"/>
      <c r="K818" s="8"/>
      <c r="M818" s="8"/>
      <c r="N818" s="8"/>
      <c r="P818" s="8"/>
      <c r="Q818" s="8"/>
      <c r="T818" s="8"/>
    </row>
    <row r="819" ht="14.25" customHeight="1">
      <c r="D819" s="8"/>
      <c r="F819" s="8"/>
      <c r="G819" s="8"/>
      <c r="H819" s="8"/>
      <c r="J819" s="8"/>
      <c r="K819" s="8"/>
      <c r="M819" s="8"/>
      <c r="N819" s="8"/>
      <c r="P819" s="8"/>
      <c r="Q819" s="8"/>
      <c r="T819" s="8"/>
    </row>
    <row r="820" ht="14.25" customHeight="1">
      <c r="D820" s="8"/>
      <c r="F820" s="8"/>
      <c r="G820" s="8"/>
      <c r="H820" s="8"/>
      <c r="J820" s="8"/>
      <c r="K820" s="8"/>
      <c r="M820" s="8"/>
      <c r="N820" s="8"/>
      <c r="P820" s="8"/>
      <c r="Q820" s="8"/>
      <c r="T820" s="8"/>
    </row>
    <row r="821" ht="14.25" customHeight="1">
      <c r="D821" s="8"/>
      <c r="F821" s="8"/>
      <c r="G821" s="8"/>
      <c r="H821" s="8"/>
      <c r="J821" s="8"/>
      <c r="K821" s="8"/>
      <c r="M821" s="8"/>
      <c r="N821" s="8"/>
      <c r="P821" s="8"/>
      <c r="Q821" s="8"/>
      <c r="T821" s="8"/>
    </row>
    <row r="822" ht="14.25" customHeight="1">
      <c r="D822" s="8"/>
      <c r="F822" s="8"/>
      <c r="G822" s="8"/>
      <c r="H822" s="8"/>
      <c r="J822" s="8"/>
      <c r="K822" s="8"/>
      <c r="M822" s="8"/>
      <c r="N822" s="8"/>
      <c r="P822" s="8"/>
      <c r="Q822" s="8"/>
      <c r="T822" s="8"/>
    </row>
    <row r="823" ht="14.25" customHeight="1">
      <c r="D823" s="8"/>
      <c r="F823" s="8"/>
      <c r="G823" s="8"/>
      <c r="H823" s="8"/>
      <c r="J823" s="8"/>
      <c r="K823" s="8"/>
      <c r="M823" s="8"/>
      <c r="N823" s="8"/>
      <c r="P823" s="8"/>
      <c r="Q823" s="8"/>
      <c r="T823" s="8"/>
    </row>
    <row r="824" ht="14.25" customHeight="1">
      <c r="D824" s="8"/>
      <c r="F824" s="8"/>
      <c r="G824" s="8"/>
      <c r="H824" s="8"/>
      <c r="J824" s="8"/>
      <c r="K824" s="8"/>
      <c r="M824" s="8"/>
      <c r="N824" s="8"/>
      <c r="P824" s="8"/>
      <c r="Q824" s="8"/>
      <c r="T824" s="8"/>
    </row>
    <row r="825" ht="14.25" customHeight="1">
      <c r="D825" s="8"/>
      <c r="F825" s="8"/>
      <c r="G825" s="8"/>
      <c r="H825" s="8"/>
      <c r="J825" s="8"/>
      <c r="K825" s="8"/>
      <c r="M825" s="8"/>
      <c r="N825" s="8"/>
      <c r="P825" s="8"/>
      <c r="Q825" s="8"/>
      <c r="T825" s="8"/>
    </row>
    <row r="826" ht="14.25" customHeight="1">
      <c r="D826" s="8"/>
      <c r="F826" s="8"/>
      <c r="G826" s="8"/>
      <c r="H826" s="8"/>
      <c r="J826" s="8"/>
      <c r="K826" s="8"/>
      <c r="M826" s="8"/>
      <c r="N826" s="8"/>
      <c r="P826" s="8"/>
      <c r="Q826" s="8"/>
      <c r="T826" s="8"/>
    </row>
    <row r="827" ht="14.25" customHeight="1">
      <c r="D827" s="8"/>
      <c r="F827" s="8"/>
      <c r="G827" s="8"/>
      <c r="H827" s="8"/>
      <c r="J827" s="8"/>
      <c r="K827" s="8"/>
      <c r="M827" s="8"/>
      <c r="N827" s="8"/>
      <c r="P827" s="8"/>
      <c r="Q827" s="8"/>
      <c r="T827" s="8"/>
    </row>
    <row r="828" ht="14.25" customHeight="1">
      <c r="D828" s="8"/>
      <c r="F828" s="8"/>
      <c r="G828" s="8"/>
      <c r="H828" s="8"/>
      <c r="J828" s="8"/>
      <c r="K828" s="8"/>
      <c r="M828" s="8"/>
      <c r="N828" s="8"/>
      <c r="P828" s="8"/>
      <c r="Q828" s="8"/>
      <c r="T828" s="8"/>
    </row>
    <row r="829" ht="14.25" customHeight="1">
      <c r="D829" s="8"/>
      <c r="F829" s="8"/>
      <c r="G829" s="8"/>
      <c r="H829" s="8"/>
      <c r="J829" s="8"/>
      <c r="K829" s="8"/>
      <c r="M829" s="8"/>
      <c r="N829" s="8"/>
      <c r="P829" s="8"/>
      <c r="Q829" s="8"/>
      <c r="T829" s="8"/>
    </row>
    <row r="830" ht="14.25" customHeight="1">
      <c r="D830" s="8"/>
      <c r="F830" s="8"/>
      <c r="G830" s="8"/>
      <c r="H830" s="8"/>
      <c r="J830" s="8"/>
      <c r="K830" s="8"/>
      <c r="M830" s="8"/>
      <c r="N830" s="8"/>
      <c r="P830" s="8"/>
      <c r="Q830" s="8"/>
      <c r="T830" s="8"/>
    </row>
    <row r="831" ht="14.25" customHeight="1">
      <c r="D831" s="8"/>
      <c r="F831" s="8"/>
      <c r="G831" s="8"/>
      <c r="H831" s="8"/>
      <c r="J831" s="8"/>
      <c r="K831" s="8"/>
      <c r="M831" s="8"/>
      <c r="N831" s="8"/>
      <c r="P831" s="8"/>
      <c r="Q831" s="8"/>
      <c r="T831" s="8"/>
    </row>
    <row r="832" ht="14.25" customHeight="1">
      <c r="D832" s="8"/>
      <c r="F832" s="8"/>
      <c r="G832" s="8"/>
      <c r="H832" s="8"/>
      <c r="J832" s="8"/>
      <c r="K832" s="8"/>
      <c r="M832" s="8"/>
      <c r="N832" s="8"/>
      <c r="P832" s="8"/>
      <c r="Q832" s="8"/>
      <c r="T832" s="8"/>
    </row>
    <row r="833" ht="14.25" customHeight="1">
      <c r="D833" s="8"/>
      <c r="F833" s="8"/>
      <c r="G833" s="8"/>
      <c r="H833" s="8"/>
      <c r="J833" s="8"/>
      <c r="K833" s="8"/>
      <c r="M833" s="8"/>
      <c r="N833" s="8"/>
      <c r="P833" s="8"/>
      <c r="Q833" s="8"/>
      <c r="T833" s="8"/>
    </row>
    <row r="834" ht="14.25" customHeight="1">
      <c r="D834" s="8"/>
      <c r="F834" s="8"/>
      <c r="G834" s="8"/>
      <c r="H834" s="8"/>
      <c r="J834" s="8"/>
      <c r="K834" s="8"/>
      <c r="M834" s="8"/>
      <c r="N834" s="8"/>
      <c r="P834" s="8"/>
      <c r="Q834" s="8"/>
      <c r="T834" s="8"/>
    </row>
    <row r="835" ht="14.25" customHeight="1">
      <c r="D835" s="8"/>
      <c r="F835" s="8"/>
      <c r="G835" s="8"/>
      <c r="H835" s="8"/>
      <c r="J835" s="8"/>
      <c r="K835" s="8"/>
      <c r="M835" s="8"/>
      <c r="N835" s="8"/>
      <c r="P835" s="8"/>
      <c r="Q835" s="8"/>
      <c r="T835" s="8"/>
    </row>
    <row r="836" ht="14.25" customHeight="1">
      <c r="D836" s="8"/>
      <c r="F836" s="8"/>
      <c r="G836" s="8"/>
      <c r="H836" s="8"/>
      <c r="J836" s="8"/>
      <c r="K836" s="8"/>
      <c r="M836" s="8"/>
      <c r="N836" s="8"/>
      <c r="P836" s="8"/>
      <c r="Q836" s="8"/>
      <c r="T836" s="8"/>
    </row>
    <row r="837" ht="14.25" customHeight="1">
      <c r="D837" s="8"/>
      <c r="F837" s="8"/>
      <c r="G837" s="8"/>
      <c r="H837" s="8"/>
      <c r="J837" s="8"/>
      <c r="K837" s="8"/>
      <c r="M837" s="8"/>
      <c r="N837" s="8"/>
      <c r="P837" s="8"/>
      <c r="Q837" s="8"/>
      <c r="T837" s="8"/>
    </row>
    <row r="838" ht="14.25" customHeight="1">
      <c r="D838" s="8"/>
      <c r="F838" s="8"/>
      <c r="G838" s="8"/>
      <c r="H838" s="8"/>
      <c r="J838" s="8"/>
      <c r="K838" s="8"/>
      <c r="M838" s="8"/>
      <c r="N838" s="8"/>
      <c r="P838" s="8"/>
      <c r="Q838" s="8"/>
      <c r="T838" s="8"/>
    </row>
    <row r="839" ht="14.25" customHeight="1">
      <c r="D839" s="8"/>
      <c r="F839" s="8"/>
      <c r="G839" s="8"/>
      <c r="H839" s="8"/>
      <c r="J839" s="8"/>
      <c r="K839" s="8"/>
      <c r="M839" s="8"/>
      <c r="N839" s="8"/>
      <c r="P839" s="8"/>
      <c r="Q839" s="8"/>
      <c r="T839" s="8"/>
    </row>
    <row r="840" ht="14.25" customHeight="1">
      <c r="D840" s="8"/>
      <c r="F840" s="8"/>
      <c r="G840" s="8"/>
      <c r="H840" s="8"/>
      <c r="J840" s="8"/>
      <c r="K840" s="8"/>
      <c r="M840" s="8"/>
      <c r="N840" s="8"/>
      <c r="P840" s="8"/>
      <c r="Q840" s="8"/>
      <c r="T840" s="8"/>
    </row>
    <row r="841" ht="14.25" customHeight="1">
      <c r="D841" s="8"/>
      <c r="F841" s="8"/>
      <c r="G841" s="8"/>
      <c r="H841" s="8"/>
      <c r="J841" s="8"/>
      <c r="K841" s="8"/>
      <c r="M841" s="8"/>
      <c r="N841" s="8"/>
      <c r="P841" s="8"/>
      <c r="Q841" s="8"/>
      <c r="T841" s="8"/>
    </row>
    <row r="842" ht="14.25" customHeight="1">
      <c r="D842" s="8"/>
      <c r="F842" s="8"/>
      <c r="G842" s="8"/>
      <c r="H842" s="8"/>
      <c r="J842" s="8"/>
      <c r="K842" s="8"/>
      <c r="M842" s="8"/>
      <c r="N842" s="8"/>
      <c r="P842" s="8"/>
      <c r="Q842" s="8"/>
      <c r="T842" s="8"/>
    </row>
    <row r="843" ht="14.25" customHeight="1">
      <c r="D843" s="8"/>
      <c r="F843" s="8"/>
      <c r="G843" s="8"/>
      <c r="H843" s="8"/>
      <c r="J843" s="8"/>
      <c r="K843" s="8"/>
      <c r="M843" s="8"/>
      <c r="N843" s="8"/>
      <c r="P843" s="8"/>
      <c r="Q843" s="8"/>
      <c r="T843" s="8"/>
    </row>
    <row r="844" ht="14.25" customHeight="1">
      <c r="D844" s="8"/>
      <c r="F844" s="8"/>
      <c r="G844" s="8"/>
      <c r="H844" s="8"/>
      <c r="J844" s="8"/>
      <c r="K844" s="8"/>
      <c r="M844" s="8"/>
      <c r="N844" s="8"/>
      <c r="P844" s="8"/>
      <c r="Q844" s="8"/>
      <c r="T844" s="8"/>
    </row>
    <row r="845" ht="14.25" customHeight="1">
      <c r="D845" s="8"/>
      <c r="F845" s="8"/>
      <c r="G845" s="8"/>
      <c r="H845" s="8"/>
      <c r="J845" s="8"/>
      <c r="K845" s="8"/>
      <c r="M845" s="8"/>
      <c r="N845" s="8"/>
      <c r="P845" s="8"/>
      <c r="Q845" s="8"/>
      <c r="T845" s="8"/>
    </row>
    <row r="846" ht="14.25" customHeight="1">
      <c r="D846" s="8"/>
      <c r="F846" s="8"/>
      <c r="G846" s="8"/>
      <c r="H846" s="8"/>
      <c r="J846" s="8"/>
      <c r="K846" s="8"/>
      <c r="M846" s="8"/>
      <c r="N846" s="8"/>
      <c r="P846" s="8"/>
      <c r="Q846" s="8"/>
      <c r="T846" s="8"/>
    </row>
    <row r="847" ht="14.25" customHeight="1">
      <c r="D847" s="8"/>
      <c r="F847" s="8"/>
      <c r="G847" s="8"/>
      <c r="H847" s="8"/>
      <c r="J847" s="8"/>
      <c r="K847" s="8"/>
      <c r="M847" s="8"/>
      <c r="N847" s="8"/>
      <c r="P847" s="8"/>
      <c r="Q847" s="8"/>
      <c r="T847" s="8"/>
    </row>
    <row r="848" ht="14.25" customHeight="1">
      <c r="D848" s="8"/>
      <c r="F848" s="8"/>
      <c r="G848" s="8"/>
      <c r="H848" s="8"/>
      <c r="J848" s="8"/>
      <c r="K848" s="8"/>
      <c r="M848" s="8"/>
      <c r="N848" s="8"/>
      <c r="P848" s="8"/>
      <c r="Q848" s="8"/>
      <c r="T848" s="8"/>
    </row>
    <row r="849" ht="14.25" customHeight="1">
      <c r="D849" s="8"/>
      <c r="F849" s="8"/>
      <c r="G849" s="8"/>
      <c r="H849" s="8"/>
      <c r="J849" s="8"/>
      <c r="K849" s="8"/>
      <c r="M849" s="8"/>
      <c r="N849" s="8"/>
      <c r="P849" s="8"/>
      <c r="Q849" s="8"/>
      <c r="T849" s="8"/>
    </row>
    <row r="850" ht="14.25" customHeight="1">
      <c r="D850" s="8"/>
      <c r="F850" s="8"/>
      <c r="G850" s="8"/>
      <c r="H850" s="8"/>
      <c r="J850" s="8"/>
      <c r="K850" s="8"/>
      <c r="M850" s="8"/>
      <c r="N850" s="8"/>
      <c r="P850" s="8"/>
      <c r="Q850" s="8"/>
      <c r="T850" s="8"/>
    </row>
    <row r="851" ht="14.25" customHeight="1">
      <c r="D851" s="8"/>
      <c r="F851" s="8"/>
      <c r="G851" s="8"/>
      <c r="H851" s="8"/>
      <c r="J851" s="8"/>
      <c r="K851" s="8"/>
      <c r="M851" s="8"/>
      <c r="N851" s="8"/>
      <c r="P851" s="8"/>
      <c r="Q851" s="8"/>
      <c r="T851" s="8"/>
    </row>
    <row r="852" ht="14.25" customHeight="1">
      <c r="D852" s="8"/>
      <c r="F852" s="8"/>
      <c r="G852" s="8"/>
      <c r="H852" s="8"/>
      <c r="J852" s="8"/>
      <c r="K852" s="8"/>
      <c r="M852" s="8"/>
      <c r="N852" s="8"/>
      <c r="P852" s="8"/>
      <c r="Q852" s="8"/>
      <c r="T852" s="8"/>
    </row>
    <row r="853" ht="14.25" customHeight="1">
      <c r="D853" s="8"/>
      <c r="F853" s="8"/>
      <c r="G853" s="8"/>
      <c r="H853" s="8"/>
      <c r="J853" s="8"/>
      <c r="K853" s="8"/>
      <c r="M853" s="8"/>
      <c r="N853" s="8"/>
      <c r="P853" s="8"/>
      <c r="Q853" s="8"/>
      <c r="T853" s="8"/>
    </row>
    <row r="854" ht="14.25" customHeight="1">
      <c r="D854" s="8"/>
      <c r="F854" s="8"/>
      <c r="G854" s="8"/>
      <c r="H854" s="8"/>
      <c r="J854" s="8"/>
      <c r="K854" s="8"/>
      <c r="M854" s="8"/>
      <c r="N854" s="8"/>
      <c r="P854" s="8"/>
      <c r="Q854" s="8"/>
      <c r="T854" s="8"/>
    </row>
    <row r="855" ht="14.25" customHeight="1">
      <c r="D855" s="8"/>
      <c r="F855" s="8"/>
      <c r="G855" s="8"/>
      <c r="H855" s="8"/>
      <c r="J855" s="8"/>
      <c r="K855" s="8"/>
      <c r="M855" s="8"/>
      <c r="N855" s="8"/>
      <c r="P855" s="8"/>
      <c r="Q855" s="8"/>
      <c r="T855" s="8"/>
    </row>
    <row r="856" ht="14.25" customHeight="1">
      <c r="D856" s="8"/>
      <c r="F856" s="8"/>
      <c r="G856" s="8"/>
      <c r="H856" s="8"/>
      <c r="J856" s="8"/>
      <c r="K856" s="8"/>
      <c r="M856" s="8"/>
      <c r="N856" s="8"/>
      <c r="P856" s="8"/>
      <c r="Q856" s="8"/>
      <c r="T856" s="8"/>
    </row>
    <row r="857" ht="14.25" customHeight="1">
      <c r="D857" s="8"/>
      <c r="F857" s="8"/>
      <c r="G857" s="8"/>
      <c r="H857" s="8"/>
      <c r="J857" s="8"/>
      <c r="K857" s="8"/>
      <c r="M857" s="8"/>
      <c r="N857" s="8"/>
      <c r="P857" s="8"/>
      <c r="Q857" s="8"/>
      <c r="T857" s="8"/>
    </row>
    <row r="858" ht="14.25" customHeight="1">
      <c r="D858" s="8"/>
      <c r="F858" s="8"/>
      <c r="G858" s="8"/>
      <c r="H858" s="8"/>
      <c r="J858" s="8"/>
      <c r="K858" s="8"/>
      <c r="M858" s="8"/>
      <c r="N858" s="8"/>
      <c r="P858" s="8"/>
      <c r="Q858" s="8"/>
      <c r="T858" s="8"/>
    </row>
    <row r="859" ht="14.25" customHeight="1">
      <c r="D859" s="8"/>
      <c r="F859" s="8"/>
      <c r="G859" s="8"/>
      <c r="H859" s="8"/>
      <c r="J859" s="8"/>
      <c r="K859" s="8"/>
      <c r="M859" s="8"/>
      <c r="N859" s="8"/>
      <c r="P859" s="8"/>
      <c r="Q859" s="8"/>
      <c r="T859" s="8"/>
    </row>
    <row r="860" ht="14.25" customHeight="1">
      <c r="D860" s="8"/>
      <c r="F860" s="8"/>
      <c r="G860" s="8"/>
      <c r="H860" s="8"/>
      <c r="J860" s="8"/>
      <c r="K860" s="8"/>
      <c r="M860" s="8"/>
      <c r="N860" s="8"/>
      <c r="P860" s="8"/>
      <c r="Q860" s="8"/>
      <c r="T860" s="8"/>
    </row>
    <row r="861" ht="14.25" customHeight="1">
      <c r="D861" s="8"/>
      <c r="F861" s="8"/>
      <c r="G861" s="8"/>
      <c r="H861" s="8"/>
      <c r="J861" s="8"/>
      <c r="K861" s="8"/>
      <c r="M861" s="8"/>
      <c r="N861" s="8"/>
      <c r="P861" s="8"/>
      <c r="Q861" s="8"/>
      <c r="T861" s="8"/>
    </row>
    <row r="862" ht="14.25" customHeight="1">
      <c r="D862" s="8"/>
      <c r="F862" s="8"/>
      <c r="G862" s="8"/>
      <c r="H862" s="8"/>
      <c r="J862" s="8"/>
      <c r="K862" s="8"/>
      <c r="M862" s="8"/>
      <c r="N862" s="8"/>
      <c r="P862" s="8"/>
      <c r="Q862" s="8"/>
      <c r="T862" s="8"/>
    </row>
    <row r="863" ht="14.25" customHeight="1">
      <c r="D863" s="8"/>
      <c r="F863" s="8"/>
      <c r="G863" s="8"/>
      <c r="H863" s="8"/>
      <c r="J863" s="8"/>
      <c r="K863" s="8"/>
      <c r="M863" s="8"/>
      <c r="N863" s="8"/>
      <c r="P863" s="8"/>
      <c r="Q863" s="8"/>
      <c r="T863" s="8"/>
    </row>
    <row r="864" ht="14.25" customHeight="1">
      <c r="D864" s="8"/>
      <c r="F864" s="8"/>
      <c r="G864" s="8"/>
      <c r="H864" s="8"/>
      <c r="J864" s="8"/>
      <c r="K864" s="8"/>
      <c r="M864" s="8"/>
      <c r="N864" s="8"/>
      <c r="P864" s="8"/>
      <c r="Q864" s="8"/>
      <c r="T864" s="8"/>
    </row>
    <row r="865" ht="14.25" customHeight="1">
      <c r="D865" s="8"/>
      <c r="F865" s="8"/>
      <c r="G865" s="8"/>
      <c r="H865" s="8"/>
      <c r="J865" s="8"/>
      <c r="K865" s="8"/>
      <c r="M865" s="8"/>
      <c r="N865" s="8"/>
      <c r="P865" s="8"/>
      <c r="Q865" s="8"/>
      <c r="T865" s="8"/>
    </row>
    <row r="866" ht="14.25" customHeight="1">
      <c r="D866" s="8"/>
      <c r="F866" s="8"/>
      <c r="G866" s="8"/>
      <c r="H866" s="8"/>
      <c r="J866" s="8"/>
      <c r="K866" s="8"/>
      <c r="M866" s="8"/>
      <c r="N866" s="8"/>
      <c r="P866" s="8"/>
      <c r="Q866" s="8"/>
      <c r="T866" s="8"/>
    </row>
    <row r="867" ht="14.25" customHeight="1">
      <c r="D867" s="8"/>
      <c r="F867" s="8"/>
      <c r="G867" s="8"/>
      <c r="H867" s="8"/>
      <c r="J867" s="8"/>
      <c r="K867" s="8"/>
      <c r="M867" s="8"/>
      <c r="N867" s="8"/>
      <c r="P867" s="8"/>
      <c r="Q867" s="8"/>
      <c r="T867" s="8"/>
    </row>
    <row r="868" ht="14.25" customHeight="1">
      <c r="D868" s="8"/>
      <c r="F868" s="8"/>
      <c r="G868" s="8"/>
      <c r="H868" s="8"/>
      <c r="J868" s="8"/>
      <c r="K868" s="8"/>
      <c r="M868" s="8"/>
      <c r="N868" s="8"/>
      <c r="P868" s="8"/>
      <c r="Q868" s="8"/>
      <c r="T868" s="8"/>
    </row>
    <row r="869" ht="14.25" customHeight="1">
      <c r="D869" s="8"/>
      <c r="F869" s="8"/>
      <c r="G869" s="8"/>
      <c r="H869" s="8"/>
      <c r="J869" s="8"/>
      <c r="K869" s="8"/>
      <c r="M869" s="8"/>
      <c r="N869" s="8"/>
      <c r="P869" s="8"/>
      <c r="Q869" s="8"/>
      <c r="T869" s="8"/>
    </row>
    <row r="870" ht="14.25" customHeight="1">
      <c r="D870" s="8"/>
      <c r="F870" s="8"/>
      <c r="G870" s="8"/>
      <c r="H870" s="8"/>
      <c r="J870" s="8"/>
      <c r="K870" s="8"/>
      <c r="M870" s="8"/>
      <c r="N870" s="8"/>
      <c r="P870" s="8"/>
      <c r="Q870" s="8"/>
      <c r="T870" s="8"/>
    </row>
    <row r="871" ht="14.25" customHeight="1">
      <c r="D871" s="8"/>
      <c r="F871" s="8"/>
      <c r="G871" s="8"/>
      <c r="H871" s="8"/>
      <c r="J871" s="8"/>
      <c r="K871" s="8"/>
      <c r="M871" s="8"/>
      <c r="N871" s="8"/>
      <c r="P871" s="8"/>
      <c r="Q871" s="8"/>
      <c r="T871" s="8"/>
    </row>
    <row r="872" ht="14.25" customHeight="1">
      <c r="D872" s="8"/>
      <c r="F872" s="8"/>
      <c r="G872" s="8"/>
      <c r="H872" s="8"/>
      <c r="J872" s="8"/>
      <c r="K872" s="8"/>
      <c r="M872" s="8"/>
      <c r="N872" s="8"/>
      <c r="P872" s="8"/>
      <c r="Q872" s="8"/>
      <c r="T872" s="8"/>
    </row>
    <row r="873" ht="14.25" customHeight="1">
      <c r="D873" s="8"/>
      <c r="F873" s="8"/>
      <c r="G873" s="8"/>
      <c r="H873" s="8"/>
      <c r="J873" s="8"/>
      <c r="K873" s="8"/>
      <c r="M873" s="8"/>
      <c r="N873" s="8"/>
      <c r="P873" s="8"/>
      <c r="Q873" s="8"/>
      <c r="T873" s="8"/>
    </row>
    <row r="874" ht="14.25" customHeight="1">
      <c r="D874" s="8"/>
      <c r="F874" s="8"/>
      <c r="G874" s="8"/>
      <c r="H874" s="8"/>
      <c r="J874" s="8"/>
      <c r="K874" s="8"/>
      <c r="M874" s="8"/>
      <c r="N874" s="8"/>
      <c r="P874" s="8"/>
      <c r="Q874" s="8"/>
      <c r="T874" s="8"/>
    </row>
    <row r="875" ht="14.25" customHeight="1">
      <c r="D875" s="8"/>
      <c r="F875" s="8"/>
      <c r="G875" s="8"/>
      <c r="H875" s="8"/>
      <c r="J875" s="8"/>
      <c r="K875" s="8"/>
      <c r="M875" s="8"/>
      <c r="N875" s="8"/>
      <c r="P875" s="8"/>
      <c r="Q875" s="8"/>
      <c r="T875" s="8"/>
    </row>
    <row r="876" ht="14.25" customHeight="1">
      <c r="D876" s="8"/>
      <c r="F876" s="8"/>
      <c r="G876" s="8"/>
      <c r="H876" s="8"/>
      <c r="J876" s="8"/>
      <c r="K876" s="8"/>
      <c r="M876" s="8"/>
      <c r="N876" s="8"/>
      <c r="P876" s="8"/>
      <c r="Q876" s="8"/>
      <c r="T876" s="8"/>
    </row>
    <row r="877" ht="14.25" customHeight="1">
      <c r="D877" s="8"/>
      <c r="F877" s="8"/>
      <c r="G877" s="8"/>
      <c r="H877" s="8"/>
      <c r="J877" s="8"/>
      <c r="K877" s="8"/>
      <c r="M877" s="8"/>
      <c r="N877" s="8"/>
      <c r="P877" s="8"/>
      <c r="Q877" s="8"/>
      <c r="T877" s="8"/>
    </row>
    <row r="878" ht="14.25" customHeight="1">
      <c r="D878" s="8"/>
      <c r="F878" s="8"/>
      <c r="G878" s="8"/>
      <c r="H878" s="8"/>
      <c r="J878" s="8"/>
      <c r="K878" s="8"/>
      <c r="M878" s="8"/>
      <c r="N878" s="8"/>
      <c r="P878" s="8"/>
      <c r="Q878" s="8"/>
      <c r="T878" s="8"/>
    </row>
    <row r="879" ht="14.25" customHeight="1">
      <c r="D879" s="8"/>
      <c r="F879" s="8"/>
      <c r="G879" s="8"/>
      <c r="H879" s="8"/>
      <c r="J879" s="8"/>
      <c r="K879" s="8"/>
      <c r="M879" s="8"/>
      <c r="N879" s="8"/>
      <c r="P879" s="8"/>
      <c r="Q879" s="8"/>
      <c r="T879" s="8"/>
    </row>
    <row r="880" ht="14.25" customHeight="1">
      <c r="D880" s="8"/>
      <c r="F880" s="8"/>
      <c r="G880" s="8"/>
      <c r="H880" s="8"/>
      <c r="J880" s="8"/>
      <c r="K880" s="8"/>
      <c r="M880" s="8"/>
      <c r="N880" s="8"/>
      <c r="P880" s="8"/>
      <c r="Q880" s="8"/>
      <c r="T880" s="8"/>
    </row>
    <row r="881" ht="14.25" customHeight="1">
      <c r="D881" s="8"/>
      <c r="F881" s="8"/>
      <c r="G881" s="8"/>
      <c r="H881" s="8"/>
      <c r="J881" s="8"/>
      <c r="K881" s="8"/>
      <c r="M881" s="8"/>
      <c r="N881" s="8"/>
      <c r="P881" s="8"/>
      <c r="Q881" s="8"/>
      <c r="T881" s="8"/>
    </row>
    <row r="882" ht="14.25" customHeight="1">
      <c r="D882" s="8"/>
      <c r="F882" s="8"/>
      <c r="G882" s="8"/>
      <c r="H882" s="8"/>
      <c r="J882" s="8"/>
      <c r="K882" s="8"/>
      <c r="M882" s="8"/>
      <c r="N882" s="8"/>
      <c r="P882" s="8"/>
      <c r="Q882" s="8"/>
      <c r="T882" s="8"/>
    </row>
    <row r="883" ht="14.25" customHeight="1">
      <c r="D883" s="8"/>
      <c r="F883" s="8"/>
      <c r="G883" s="8"/>
      <c r="H883" s="8"/>
      <c r="J883" s="8"/>
      <c r="K883" s="8"/>
      <c r="M883" s="8"/>
      <c r="N883" s="8"/>
      <c r="P883" s="8"/>
      <c r="Q883" s="8"/>
      <c r="T883" s="8"/>
    </row>
    <row r="884" ht="14.25" customHeight="1">
      <c r="D884" s="8"/>
      <c r="F884" s="8"/>
      <c r="G884" s="8"/>
      <c r="H884" s="8"/>
      <c r="J884" s="8"/>
      <c r="K884" s="8"/>
      <c r="M884" s="8"/>
      <c r="N884" s="8"/>
      <c r="P884" s="8"/>
      <c r="Q884" s="8"/>
      <c r="T884" s="8"/>
    </row>
    <row r="885" ht="14.25" customHeight="1">
      <c r="D885" s="8"/>
      <c r="F885" s="8"/>
      <c r="G885" s="8"/>
      <c r="H885" s="8"/>
      <c r="J885" s="8"/>
      <c r="K885" s="8"/>
      <c r="M885" s="8"/>
      <c r="N885" s="8"/>
      <c r="P885" s="8"/>
      <c r="Q885" s="8"/>
      <c r="T885" s="8"/>
    </row>
    <row r="886" ht="14.25" customHeight="1">
      <c r="D886" s="8"/>
      <c r="F886" s="8"/>
      <c r="G886" s="8"/>
      <c r="H886" s="8"/>
      <c r="J886" s="8"/>
      <c r="K886" s="8"/>
      <c r="M886" s="8"/>
      <c r="N886" s="8"/>
      <c r="P886" s="8"/>
      <c r="Q886" s="8"/>
      <c r="T886" s="8"/>
    </row>
    <row r="887" ht="14.25" customHeight="1">
      <c r="D887" s="8"/>
      <c r="F887" s="8"/>
      <c r="G887" s="8"/>
      <c r="H887" s="8"/>
      <c r="J887" s="8"/>
      <c r="K887" s="8"/>
      <c r="M887" s="8"/>
      <c r="N887" s="8"/>
      <c r="P887" s="8"/>
      <c r="Q887" s="8"/>
      <c r="T887" s="8"/>
    </row>
    <row r="888" ht="14.25" customHeight="1">
      <c r="D888" s="8"/>
      <c r="F888" s="8"/>
      <c r="G888" s="8"/>
      <c r="H888" s="8"/>
      <c r="J888" s="8"/>
      <c r="K888" s="8"/>
      <c r="M888" s="8"/>
      <c r="N888" s="8"/>
      <c r="P888" s="8"/>
      <c r="Q888" s="8"/>
      <c r="T888" s="8"/>
    </row>
    <row r="889" ht="14.25" customHeight="1">
      <c r="D889" s="8"/>
      <c r="F889" s="8"/>
      <c r="G889" s="8"/>
      <c r="H889" s="8"/>
      <c r="J889" s="8"/>
      <c r="K889" s="8"/>
      <c r="M889" s="8"/>
      <c r="N889" s="8"/>
      <c r="P889" s="8"/>
      <c r="Q889" s="8"/>
      <c r="T889" s="8"/>
    </row>
    <row r="890" ht="14.25" customHeight="1">
      <c r="D890" s="8"/>
      <c r="F890" s="8"/>
      <c r="G890" s="8"/>
      <c r="H890" s="8"/>
      <c r="J890" s="8"/>
      <c r="K890" s="8"/>
      <c r="M890" s="8"/>
      <c r="N890" s="8"/>
      <c r="P890" s="8"/>
      <c r="Q890" s="8"/>
      <c r="T890" s="8"/>
    </row>
    <row r="891" ht="14.25" customHeight="1">
      <c r="D891" s="8"/>
      <c r="F891" s="8"/>
      <c r="G891" s="8"/>
      <c r="H891" s="8"/>
      <c r="J891" s="8"/>
      <c r="K891" s="8"/>
      <c r="M891" s="8"/>
      <c r="N891" s="8"/>
      <c r="P891" s="8"/>
      <c r="Q891" s="8"/>
      <c r="T891" s="8"/>
    </row>
    <row r="892" ht="14.25" customHeight="1">
      <c r="D892" s="8"/>
      <c r="F892" s="8"/>
      <c r="G892" s="8"/>
      <c r="H892" s="8"/>
      <c r="J892" s="8"/>
      <c r="K892" s="8"/>
      <c r="M892" s="8"/>
      <c r="N892" s="8"/>
      <c r="P892" s="8"/>
      <c r="Q892" s="8"/>
      <c r="T892" s="8"/>
    </row>
    <row r="893" ht="14.25" customHeight="1">
      <c r="D893" s="8"/>
      <c r="F893" s="8"/>
      <c r="G893" s="8"/>
      <c r="H893" s="8"/>
      <c r="J893" s="8"/>
      <c r="K893" s="8"/>
      <c r="M893" s="8"/>
      <c r="N893" s="8"/>
      <c r="P893" s="8"/>
      <c r="Q893" s="8"/>
      <c r="T893" s="8"/>
    </row>
    <row r="894" ht="14.25" customHeight="1">
      <c r="D894" s="8"/>
      <c r="F894" s="8"/>
      <c r="G894" s="8"/>
      <c r="H894" s="8"/>
      <c r="J894" s="8"/>
      <c r="K894" s="8"/>
      <c r="M894" s="8"/>
      <c r="N894" s="8"/>
      <c r="P894" s="8"/>
      <c r="Q894" s="8"/>
      <c r="T894" s="8"/>
    </row>
    <row r="895" ht="14.25" customHeight="1">
      <c r="D895" s="8"/>
      <c r="F895" s="8"/>
      <c r="G895" s="8"/>
      <c r="H895" s="8"/>
      <c r="J895" s="8"/>
      <c r="K895" s="8"/>
      <c r="M895" s="8"/>
      <c r="N895" s="8"/>
      <c r="P895" s="8"/>
      <c r="Q895" s="8"/>
      <c r="T895" s="8"/>
    </row>
    <row r="896" ht="14.25" customHeight="1">
      <c r="D896" s="8"/>
      <c r="F896" s="8"/>
      <c r="G896" s="8"/>
      <c r="H896" s="8"/>
      <c r="J896" s="8"/>
      <c r="K896" s="8"/>
      <c r="M896" s="8"/>
      <c r="N896" s="8"/>
      <c r="P896" s="8"/>
      <c r="Q896" s="8"/>
      <c r="T896" s="8"/>
    </row>
    <row r="897" ht="14.25" customHeight="1">
      <c r="D897" s="8"/>
      <c r="F897" s="8"/>
      <c r="G897" s="8"/>
      <c r="H897" s="8"/>
      <c r="J897" s="8"/>
      <c r="K897" s="8"/>
      <c r="M897" s="8"/>
      <c r="N897" s="8"/>
      <c r="P897" s="8"/>
      <c r="Q897" s="8"/>
      <c r="T897" s="8"/>
    </row>
    <row r="898" ht="14.25" customHeight="1">
      <c r="D898" s="8"/>
      <c r="F898" s="8"/>
      <c r="G898" s="8"/>
      <c r="H898" s="8"/>
      <c r="J898" s="8"/>
      <c r="K898" s="8"/>
      <c r="M898" s="8"/>
      <c r="N898" s="8"/>
      <c r="P898" s="8"/>
      <c r="Q898" s="8"/>
      <c r="T898" s="8"/>
    </row>
    <row r="899" ht="14.25" customHeight="1">
      <c r="D899" s="8"/>
      <c r="F899" s="8"/>
      <c r="G899" s="8"/>
      <c r="H899" s="8"/>
      <c r="J899" s="8"/>
      <c r="K899" s="8"/>
      <c r="M899" s="8"/>
      <c r="N899" s="8"/>
      <c r="P899" s="8"/>
      <c r="Q899" s="8"/>
      <c r="T899" s="8"/>
    </row>
    <row r="900" ht="14.25" customHeight="1">
      <c r="D900" s="8"/>
      <c r="F900" s="8"/>
      <c r="G900" s="8"/>
      <c r="H900" s="8"/>
      <c r="J900" s="8"/>
      <c r="K900" s="8"/>
      <c r="M900" s="8"/>
      <c r="N900" s="8"/>
      <c r="P900" s="8"/>
      <c r="Q900" s="8"/>
      <c r="T900" s="8"/>
    </row>
    <row r="901" ht="14.25" customHeight="1">
      <c r="D901" s="8"/>
      <c r="F901" s="8"/>
      <c r="G901" s="8"/>
      <c r="H901" s="8"/>
      <c r="J901" s="8"/>
      <c r="K901" s="8"/>
      <c r="M901" s="8"/>
      <c r="N901" s="8"/>
      <c r="P901" s="8"/>
      <c r="Q901" s="8"/>
      <c r="T901" s="8"/>
    </row>
    <row r="902" ht="14.25" customHeight="1">
      <c r="D902" s="8"/>
      <c r="F902" s="8"/>
      <c r="G902" s="8"/>
      <c r="H902" s="8"/>
      <c r="J902" s="8"/>
      <c r="K902" s="8"/>
      <c r="M902" s="8"/>
      <c r="N902" s="8"/>
      <c r="P902" s="8"/>
      <c r="Q902" s="8"/>
      <c r="T902" s="8"/>
    </row>
    <row r="903" ht="14.25" customHeight="1">
      <c r="D903" s="8"/>
      <c r="F903" s="8"/>
      <c r="G903" s="8"/>
      <c r="H903" s="8"/>
      <c r="J903" s="8"/>
      <c r="K903" s="8"/>
      <c r="M903" s="8"/>
      <c r="N903" s="8"/>
      <c r="P903" s="8"/>
      <c r="Q903" s="8"/>
      <c r="T903" s="8"/>
    </row>
    <row r="904" ht="14.25" customHeight="1">
      <c r="D904" s="8"/>
      <c r="F904" s="8"/>
      <c r="G904" s="8"/>
      <c r="H904" s="8"/>
      <c r="J904" s="8"/>
      <c r="K904" s="8"/>
      <c r="M904" s="8"/>
      <c r="N904" s="8"/>
      <c r="P904" s="8"/>
      <c r="Q904" s="8"/>
      <c r="T904" s="8"/>
    </row>
    <row r="905" ht="14.25" customHeight="1">
      <c r="D905" s="8"/>
      <c r="F905" s="8"/>
      <c r="G905" s="8"/>
      <c r="H905" s="8"/>
      <c r="J905" s="8"/>
      <c r="K905" s="8"/>
      <c r="M905" s="8"/>
      <c r="N905" s="8"/>
      <c r="P905" s="8"/>
      <c r="Q905" s="8"/>
      <c r="T905" s="8"/>
    </row>
    <row r="906" ht="14.25" customHeight="1">
      <c r="D906" s="8"/>
      <c r="F906" s="8"/>
      <c r="G906" s="8"/>
      <c r="H906" s="8"/>
      <c r="J906" s="8"/>
      <c r="K906" s="8"/>
      <c r="M906" s="8"/>
      <c r="N906" s="8"/>
      <c r="P906" s="8"/>
      <c r="Q906" s="8"/>
      <c r="T906" s="8"/>
    </row>
    <row r="907" ht="14.25" customHeight="1">
      <c r="D907" s="8"/>
      <c r="F907" s="8"/>
      <c r="G907" s="8"/>
      <c r="H907" s="8"/>
      <c r="J907" s="8"/>
      <c r="K907" s="8"/>
      <c r="M907" s="8"/>
      <c r="N907" s="8"/>
      <c r="P907" s="8"/>
      <c r="Q907" s="8"/>
      <c r="T907" s="8"/>
    </row>
    <row r="908" ht="14.25" customHeight="1">
      <c r="D908" s="8"/>
      <c r="F908" s="8"/>
      <c r="G908" s="8"/>
      <c r="H908" s="8"/>
      <c r="J908" s="8"/>
      <c r="K908" s="8"/>
      <c r="M908" s="8"/>
      <c r="N908" s="8"/>
      <c r="P908" s="8"/>
      <c r="Q908" s="8"/>
      <c r="T908" s="8"/>
    </row>
    <row r="909" ht="14.25" customHeight="1">
      <c r="D909" s="8"/>
      <c r="F909" s="8"/>
      <c r="G909" s="8"/>
      <c r="H909" s="8"/>
      <c r="J909" s="8"/>
      <c r="K909" s="8"/>
      <c r="M909" s="8"/>
      <c r="N909" s="8"/>
      <c r="P909" s="8"/>
      <c r="Q909" s="8"/>
      <c r="T909" s="8"/>
    </row>
    <row r="910" ht="14.25" customHeight="1">
      <c r="D910" s="8"/>
      <c r="F910" s="8"/>
      <c r="G910" s="8"/>
      <c r="H910" s="8"/>
      <c r="J910" s="8"/>
      <c r="K910" s="8"/>
      <c r="M910" s="8"/>
      <c r="N910" s="8"/>
      <c r="P910" s="8"/>
      <c r="Q910" s="8"/>
      <c r="T910" s="8"/>
    </row>
    <row r="911" ht="14.25" customHeight="1">
      <c r="D911" s="8"/>
      <c r="F911" s="8"/>
      <c r="G911" s="8"/>
      <c r="H911" s="8"/>
      <c r="J911" s="8"/>
      <c r="K911" s="8"/>
      <c r="M911" s="8"/>
      <c r="N911" s="8"/>
      <c r="P911" s="8"/>
      <c r="Q911" s="8"/>
      <c r="T911" s="8"/>
    </row>
    <row r="912" ht="14.25" customHeight="1">
      <c r="D912" s="8"/>
      <c r="F912" s="8"/>
      <c r="G912" s="8"/>
      <c r="H912" s="8"/>
      <c r="J912" s="8"/>
      <c r="K912" s="8"/>
      <c r="M912" s="8"/>
      <c r="N912" s="8"/>
      <c r="P912" s="8"/>
      <c r="Q912" s="8"/>
      <c r="T912" s="8"/>
    </row>
    <row r="913" ht="14.25" customHeight="1">
      <c r="D913" s="8"/>
      <c r="F913" s="8"/>
      <c r="G913" s="8"/>
      <c r="H913" s="8"/>
      <c r="J913" s="8"/>
      <c r="K913" s="8"/>
      <c r="M913" s="8"/>
      <c r="N913" s="8"/>
      <c r="P913" s="8"/>
      <c r="Q913" s="8"/>
      <c r="T913" s="8"/>
    </row>
    <row r="914" ht="14.25" customHeight="1">
      <c r="D914" s="8"/>
      <c r="F914" s="8"/>
      <c r="G914" s="8"/>
      <c r="H914" s="8"/>
      <c r="J914" s="8"/>
      <c r="K914" s="8"/>
      <c r="M914" s="8"/>
      <c r="N914" s="8"/>
      <c r="P914" s="8"/>
      <c r="Q914" s="8"/>
      <c r="T914" s="8"/>
    </row>
    <row r="915" ht="14.25" customHeight="1">
      <c r="D915" s="8"/>
      <c r="F915" s="8"/>
      <c r="G915" s="8"/>
      <c r="H915" s="8"/>
      <c r="J915" s="8"/>
      <c r="K915" s="8"/>
      <c r="M915" s="8"/>
      <c r="N915" s="8"/>
      <c r="P915" s="8"/>
      <c r="Q915" s="8"/>
      <c r="T915" s="8"/>
    </row>
    <row r="916" ht="14.25" customHeight="1">
      <c r="D916" s="8"/>
      <c r="F916" s="8"/>
      <c r="G916" s="8"/>
      <c r="H916" s="8"/>
      <c r="J916" s="8"/>
      <c r="K916" s="8"/>
      <c r="M916" s="8"/>
      <c r="N916" s="8"/>
      <c r="P916" s="8"/>
      <c r="Q916" s="8"/>
      <c r="T916" s="8"/>
    </row>
    <row r="917" ht="14.25" customHeight="1">
      <c r="D917" s="8"/>
      <c r="F917" s="8"/>
      <c r="G917" s="8"/>
      <c r="H917" s="8"/>
      <c r="J917" s="8"/>
      <c r="K917" s="8"/>
      <c r="M917" s="8"/>
      <c r="N917" s="8"/>
      <c r="P917" s="8"/>
      <c r="Q917" s="8"/>
      <c r="T917" s="8"/>
    </row>
    <row r="918" ht="14.25" customHeight="1">
      <c r="D918" s="8"/>
      <c r="F918" s="8"/>
      <c r="G918" s="8"/>
      <c r="H918" s="8"/>
      <c r="J918" s="8"/>
      <c r="K918" s="8"/>
      <c r="M918" s="8"/>
      <c r="N918" s="8"/>
      <c r="P918" s="8"/>
      <c r="Q918" s="8"/>
      <c r="T918" s="8"/>
    </row>
    <row r="919" ht="14.25" customHeight="1">
      <c r="D919" s="8"/>
      <c r="F919" s="8"/>
      <c r="G919" s="8"/>
      <c r="H919" s="8"/>
      <c r="J919" s="8"/>
      <c r="K919" s="8"/>
      <c r="M919" s="8"/>
      <c r="N919" s="8"/>
      <c r="P919" s="8"/>
      <c r="Q919" s="8"/>
      <c r="T919" s="8"/>
    </row>
    <row r="920" ht="14.25" customHeight="1">
      <c r="D920" s="8"/>
      <c r="F920" s="8"/>
      <c r="G920" s="8"/>
      <c r="H920" s="8"/>
      <c r="J920" s="8"/>
      <c r="K920" s="8"/>
      <c r="M920" s="8"/>
      <c r="N920" s="8"/>
      <c r="P920" s="8"/>
      <c r="Q920" s="8"/>
      <c r="T920" s="8"/>
    </row>
    <row r="921" ht="14.25" customHeight="1">
      <c r="D921" s="8"/>
      <c r="F921" s="8"/>
      <c r="G921" s="8"/>
      <c r="H921" s="8"/>
      <c r="J921" s="8"/>
      <c r="K921" s="8"/>
      <c r="M921" s="8"/>
      <c r="N921" s="8"/>
      <c r="P921" s="8"/>
      <c r="Q921" s="8"/>
      <c r="T921" s="8"/>
    </row>
    <row r="922" ht="14.25" customHeight="1">
      <c r="D922" s="8"/>
      <c r="F922" s="8"/>
      <c r="G922" s="8"/>
      <c r="H922" s="8"/>
      <c r="J922" s="8"/>
      <c r="K922" s="8"/>
      <c r="M922" s="8"/>
      <c r="N922" s="8"/>
      <c r="P922" s="8"/>
      <c r="Q922" s="8"/>
      <c r="T922" s="8"/>
    </row>
    <row r="923" ht="14.25" customHeight="1">
      <c r="D923" s="8"/>
      <c r="F923" s="8"/>
      <c r="G923" s="8"/>
      <c r="H923" s="8"/>
      <c r="J923" s="8"/>
      <c r="K923" s="8"/>
      <c r="M923" s="8"/>
      <c r="N923" s="8"/>
      <c r="P923" s="8"/>
      <c r="Q923" s="8"/>
      <c r="T923" s="8"/>
    </row>
    <row r="924" ht="14.25" customHeight="1">
      <c r="D924" s="8"/>
      <c r="F924" s="8"/>
      <c r="G924" s="8"/>
      <c r="H924" s="8"/>
      <c r="J924" s="8"/>
      <c r="K924" s="8"/>
      <c r="M924" s="8"/>
      <c r="N924" s="8"/>
      <c r="P924" s="8"/>
      <c r="Q924" s="8"/>
      <c r="T924" s="8"/>
    </row>
    <row r="925" ht="14.25" customHeight="1">
      <c r="D925" s="8"/>
      <c r="F925" s="8"/>
      <c r="G925" s="8"/>
      <c r="H925" s="8"/>
      <c r="J925" s="8"/>
      <c r="K925" s="8"/>
      <c r="M925" s="8"/>
      <c r="N925" s="8"/>
      <c r="P925" s="8"/>
      <c r="Q925" s="8"/>
      <c r="T925" s="8"/>
    </row>
    <row r="926" ht="14.25" customHeight="1">
      <c r="D926" s="8"/>
      <c r="F926" s="8"/>
      <c r="G926" s="8"/>
      <c r="H926" s="8"/>
      <c r="J926" s="8"/>
      <c r="K926" s="8"/>
      <c r="M926" s="8"/>
      <c r="N926" s="8"/>
      <c r="P926" s="8"/>
      <c r="Q926" s="8"/>
      <c r="T926" s="8"/>
    </row>
    <row r="927" ht="14.25" customHeight="1">
      <c r="D927" s="8"/>
      <c r="F927" s="8"/>
      <c r="G927" s="8"/>
      <c r="H927" s="8"/>
      <c r="J927" s="8"/>
      <c r="K927" s="8"/>
      <c r="M927" s="8"/>
      <c r="N927" s="8"/>
      <c r="P927" s="8"/>
      <c r="Q927" s="8"/>
      <c r="T927" s="8"/>
    </row>
    <row r="928" ht="14.25" customHeight="1">
      <c r="D928" s="8"/>
      <c r="F928" s="8"/>
      <c r="G928" s="8"/>
      <c r="H928" s="8"/>
      <c r="J928" s="8"/>
      <c r="K928" s="8"/>
      <c r="M928" s="8"/>
      <c r="N928" s="8"/>
      <c r="P928" s="8"/>
      <c r="Q928" s="8"/>
      <c r="T928" s="8"/>
    </row>
    <row r="929" ht="14.25" customHeight="1">
      <c r="D929" s="8"/>
      <c r="F929" s="8"/>
      <c r="G929" s="8"/>
      <c r="H929" s="8"/>
      <c r="J929" s="8"/>
      <c r="K929" s="8"/>
      <c r="M929" s="8"/>
      <c r="N929" s="8"/>
      <c r="P929" s="8"/>
      <c r="Q929" s="8"/>
      <c r="T929" s="8"/>
    </row>
    <row r="930" ht="14.25" customHeight="1">
      <c r="D930" s="8"/>
      <c r="F930" s="8"/>
      <c r="G930" s="8"/>
      <c r="H930" s="8"/>
      <c r="J930" s="8"/>
      <c r="K930" s="8"/>
      <c r="M930" s="8"/>
      <c r="N930" s="8"/>
      <c r="P930" s="8"/>
      <c r="Q930" s="8"/>
      <c r="T930" s="8"/>
    </row>
    <row r="931" ht="14.25" customHeight="1">
      <c r="D931" s="8"/>
      <c r="F931" s="8"/>
      <c r="G931" s="8"/>
      <c r="H931" s="8"/>
      <c r="J931" s="8"/>
      <c r="K931" s="8"/>
      <c r="M931" s="8"/>
      <c r="N931" s="8"/>
      <c r="P931" s="8"/>
      <c r="Q931" s="8"/>
      <c r="T931" s="8"/>
    </row>
    <row r="932" ht="14.25" customHeight="1">
      <c r="D932" s="8"/>
      <c r="F932" s="8"/>
      <c r="G932" s="8"/>
      <c r="H932" s="8"/>
      <c r="J932" s="8"/>
      <c r="K932" s="8"/>
      <c r="M932" s="8"/>
      <c r="N932" s="8"/>
      <c r="P932" s="8"/>
      <c r="Q932" s="8"/>
      <c r="T932" s="8"/>
    </row>
    <row r="933" ht="14.25" customHeight="1">
      <c r="D933" s="8"/>
      <c r="F933" s="8"/>
      <c r="G933" s="8"/>
      <c r="H933" s="8"/>
      <c r="J933" s="8"/>
      <c r="K933" s="8"/>
      <c r="M933" s="8"/>
      <c r="N933" s="8"/>
      <c r="P933" s="8"/>
      <c r="Q933" s="8"/>
      <c r="T933" s="8"/>
    </row>
    <row r="934" ht="14.25" customHeight="1">
      <c r="D934" s="8"/>
      <c r="F934" s="8"/>
      <c r="G934" s="8"/>
      <c r="H934" s="8"/>
      <c r="J934" s="8"/>
      <c r="K934" s="8"/>
      <c r="M934" s="8"/>
      <c r="N934" s="8"/>
      <c r="P934" s="8"/>
      <c r="Q934" s="8"/>
      <c r="T934" s="8"/>
    </row>
    <row r="935" ht="14.25" customHeight="1">
      <c r="D935" s="8"/>
      <c r="F935" s="8"/>
      <c r="G935" s="8"/>
      <c r="H935" s="8"/>
      <c r="J935" s="8"/>
      <c r="K935" s="8"/>
      <c r="M935" s="8"/>
      <c r="N935" s="8"/>
      <c r="P935" s="8"/>
      <c r="Q935" s="8"/>
      <c r="T935" s="8"/>
    </row>
    <row r="936" ht="14.25" customHeight="1">
      <c r="D936" s="8"/>
      <c r="F936" s="8"/>
      <c r="G936" s="8"/>
      <c r="H936" s="8"/>
      <c r="J936" s="8"/>
      <c r="K936" s="8"/>
      <c r="M936" s="8"/>
      <c r="N936" s="8"/>
      <c r="P936" s="8"/>
      <c r="Q936" s="8"/>
      <c r="T936" s="8"/>
    </row>
    <row r="937" ht="14.25" customHeight="1">
      <c r="D937" s="8"/>
      <c r="F937" s="8"/>
      <c r="G937" s="8"/>
      <c r="H937" s="8"/>
      <c r="J937" s="8"/>
      <c r="K937" s="8"/>
      <c r="M937" s="8"/>
      <c r="N937" s="8"/>
      <c r="P937" s="8"/>
      <c r="Q937" s="8"/>
      <c r="T937" s="8"/>
    </row>
    <row r="938" ht="14.25" customHeight="1">
      <c r="D938" s="8"/>
      <c r="F938" s="8"/>
      <c r="G938" s="8"/>
      <c r="H938" s="8"/>
      <c r="J938" s="8"/>
      <c r="K938" s="8"/>
      <c r="M938" s="8"/>
      <c r="N938" s="8"/>
      <c r="P938" s="8"/>
      <c r="Q938" s="8"/>
      <c r="T938" s="8"/>
    </row>
    <row r="939" ht="14.25" customHeight="1">
      <c r="D939" s="8"/>
      <c r="F939" s="8"/>
      <c r="G939" s="8"/>
      <c r="H939" s="8"/>
      <c r="J939" s="8"/>
      <c r="K939" s="8"/>
      <c r="M939" s="8"/>
      <c r="N939" s="8"/>
      <c r="P939" s="8"/>
      <c r="Q939" s="8"/>
      <c r="T939" s="8"/>
    </row>
    <row r="940" ht="14.25" customHeight="1">
      <c r="D940" s="8"/>
      <c r="F940" s="8"/>
      <c r="G940" s="8"/>
      <c r="H940" s="8"/>
      <c r="J940" s="8"/>
      <c r="K940" s="8"/>
      <c r="M940" s="8"/>
      <c r="N940" s="8"/>
      <c r="P940" s="8"/>
      <c r="Q940" s="8"/>
      <c r="T940" s="8"/>
    </row>
    <row r="941" ht="14.25" customHeight="1">
      <c r="D941" s="8"/>
      <c r="F941" s="8"/>
      <c r="G941" s="8"/>
      <c r="H941" s="8"/>
      <c r="J941" s="8"/>
      <c r="K941" s="8"/>
      <c r="M941" s="8"/>
      <c r="N941" s="8"/>
      <c r="P941" s="8"/>
      <c r="Q941" s="8"/>
      <c r="T941" s="8"/>
    </row>
    <row r="942" ht="14.25" customHeight="1">
      <c r="D942" s="8"/>
      <c r="F942" s="8"/>
      <c r="G942" s="8"/>
      <c r="H942" s="8"/>
      <c r="J942" s="8"/>
      <c r="K942" s="8"/>
      <c r="M942" s="8"/>
      <c r="N942" s="8"/>
      <c r="P942" s="8"/>
      <c r="Q942" s="8"/>
      <c r="T942" s="8"/>
    </row>
    <row r="943" ht="14.25" customHeight="1">
      <c r="D943" s="8"/>
      <c r="F943" s="8"/>
      <c r="G943" s="8"/>
      <c r="H943" s="8"/>
      <c r="J943" s="8"/>
      <c r="K943" s="8"/>
      <c r="M943" s="8"/>
      <c r="N943" s="8"/>
      <c r="P943" s="8"/>
      <c r="Q943" s="8"/>
      <c r="T943" s="8"/>
    </row>
    <row r="944" ht="14.25" customHeight="1">
      <c r="D944" s="8"/>
      <c r="F944" s="8"/>
      <c r="G944" s="8"/>
      <c r="H944" s="8"/>
      <c r="J944" s="8"/>
      <c r="K944" s="8"/>
      <c r="M944" s="8"/>
      <c r="N944" s="8"/>
      <c r="P944" s="8"/>
      <c r="Q944" s="8"/>
      <c r="T944" s="8"/>
    </row>
    <row r="945" ht="14.25" customHeight="1">
      <c r="D945" s="8"/>
      <c r="F945" s="8"/>
      <c r="G945" s="8"/>
      <c r="H945" s="8"/>
      <c r="J945" s="8"/>
      <c r="K945" s="8"/>
      <c r="M945" s="8"/>
      <c r="N945" s="8"/>
      <c r="P945" s="8"/>
      <c r="Q945" s="8"/>
      <c r="T945" s="8"/>
    </row>
    <row r="946" ht="14.25" customHeight="1">
      <c r="D946" s="8"/>
      <c r="F946" s="8"/>
      <c r="G946" s="8"/>
      <c r="H946" s="8"/>
      <c r="J946" s="8"/>
      <c r="K946" s="8"/>
      <c r="M946" s="8"/>
      <c r="N946" s="8"/>
      <c r="P946" s="8"/>
      <c r="Q946" s="8"/>
      <c r="T946" s="8"/>
    </row>
    <row r="947" ht="14.25" customHeight="1">
      <c r="D947" s="8"/>
      <c r="F947" s="8"/>
      <c r="G947" s="8"/>
      <c r="H947" s="8"/>
      <c r="J947" s="8"/>
      <c r="K947" s="8"/>
      <c r="M947" s="8"/>
      <c r="N947" s="8"/>
      <c r="P947" s="8"/>
      <c r="Q947" s="8"/>
      <c r="T947" s="8"/>
    </row>
    <row r="948" ht="14.25" customHeight="1">
      <c r="D948" s="8"/>
      <c r="F948" s="8"/>
      <c r="G948" s="8"/>
      <c r="H948" s="8"/>
      <c r="J948" s="8"/>
      <c r="K948" s="8"/>
      <c r="M948" s="8"/>
      <c r="N948" s="8"/>
      <c r="P948" s="8"/>
      <c r="Q948" s="8"/>
      <c r="T948" s="8"/>
    </row>
    <row r="949" ht="14.25" customHeight="1">
      <c r="D949" s="8"/>
      <c r="F949" s="8"/>
      <c r="G949" s="8"/>
      <c r="H949" s="8"/>
      <c r="J949" s="8"/>
      <c r="K949" s="8"/>
      <c r="M949" s="8"/>
      <c r="N949" s="8"/>
      <c r="P949" s="8"/>
      <c r="Q949" s="8"/>
      <c r="T949" s="8"/>
    </row>
    <row r="950" ht="14.25" customHeight="1">
      <c r="D950" s="8"/>
      <c r="F950" s="8"/>
      <c r="G950" s="8"/>
      <c r="H950" s="8"/>
      <c r="J950" s="8"/>
      <c r="K950" s="8"/>
      <c r="M950" s="8"/>
      <c r="N950" s="8"/>
      <c r="P950" s="8"/>
      <c r="Q950" s="8"/>
      <c r="T950" s="8"/>
    </row>
    <row r="951" ht="14.25" customHeight="1">
      <c r="D951" s="8"/>
      <c r="F951" s="8"/>
      <c r="G951" s="8"/>
      <c r="H951" s="8"/>
      <c r="J951" s="8"/>
      <c r="K951" s="8"/>
      <c r="M951" s="8"/>
      <c r="N951" s="8"/>
      <c r="P951" s="8"/>
      <c r="Q951" s="8"/>
      <c r="T951" s="8"/>
    </row>
    <row r="952" ht="14.25" customHeight="1">
      <c r="D952" s="8"/>
      <c r="F952" s="8"/>
      <c r="G952" s="8"/>
      <c r="H952" s="8"/>
      <c r="J952" s="8"/>
      <c r="K952" s="8"/>
      <c r="M952" s="8"/>
      <c r="N952" s="8"/>
      <c r="P952" s="8"/>
      <c r="Q952" s="8"/>
      <c r="T952" s="8"/>
    </row>
    <row r="953" ht="14.25" customHeight="1">
      <c r="D953" s="8"/>
      <c r="F953" s="8"/>
      <c r="G953" s="8"/>
      <c r="H953" s="8"/>
      <c r="J953" s="8"/>
      <c r="K953" s="8"/>
      <c r="M953" s="8"/>
      <c r="N953" s="8"/>
      <c r="P953" s="8"/>
      <c r="Q953" s="8"/>
      <c r="T953" s="8"/>
    </row>
    <row r="954" ht="14.25" customHeight="1">
      <c r="D954" s="8"/>
      <c r="F954" s="8"/>
      <c r="G954" s="8"/>
      <c r="H954" s="8"/>
      <c r="J954" s="8"/>
      <c r="K954" s="8"/>
      <c r="M954" s="8"/>
      <c r="N954" s="8"/>
      <c r="P954" s="8"/>
      <c r="Q954" s="8"/>
      <c r="T954" s="8"/>
    </row>
    <row r="955" ht="14.25" customHeight="1">
      <c r="D955" s="8"/>
      <c r="F955" s="8"/>
      <c r="G955" s="8"/>
      <c r="H955" s="8"/>
      <c r="J955" s="8"/>
      <c r="K955" s="8"/>
      <c r="M955" s="8"/>
      <c r="N955" s="8"/>
      <c r="P955" s="8"/>
      <c r="Q955" s="8"/>
      <c r="T955" s="8"/>
    </row>
    <row r="956" ht="14.25" customHeight="1">
      <c r="D956" s="8"/>
      <c r="F956" s="8"/>
      <c r="G956" s="8"/>
      <c r="H956" s="8"/>
      <c r="J956" s="8"/>
      <c r="K956" s="8"/>
      <c r="M956" s="8"/>
      <c r="N956" s="8"/>
      <c r="P956" s="8"/>
      <c r="Q956" s="8"/>
      <c r="T956" s="8"/>
    </row>
    <row r="957" ht="14.25" customHeight="1">
      <c r="D957" s="8"/>
      <c r="F957" s="8"/>
      <c r="G957" s="8"/>
      <c r="H957" s="8"/>
      <c r="J957" s="8"/>
      <c r="K957" s="8"/>
      <c r="M957" s="8"/>
      <c r="N957" s="8"/>
      <c r="P957" s="8"/>
      <c r="Q957" s="8"/>
      <c r="T957" s="8"/>
    </row>
    <row r="958" ht="14.25" customHeight="1">
      <c r="D958" s="8"/>
      <c r="F958" s="8"/>
      <c r="G958" s="8"/>
      <c r="H958" s="8"/>
      <c r="J958" s="8"/>
      <c r="K958" s="8"/>
      <c r="M958" s="8"/>
      <c r="N958" s="8"/>
      <c r="P958" s="8"/>
      <c r="Q958" s="8"/>
      <c r="T958" s="8"/>
    </row>
    <row r="959" ht="14.25" customHeight="1">
      <c r="D959" s="8"/>
      <c r="F959" s="8"/>
      <c r="G959" s="8"/>
      <c r="H959" s="8"/>
      <c r="J959" s="8"/>
      <c r="K959" s="8"/>
      <c r="M959" s="8"/>
      <c r="N959" s="8"/>
      <c r="P959" s="8"/>
      <c r="Q959" s="8"/>
      <c r="T959" s="8"/>
    </row>
    <row r="960" ht="14.25" customHeight="1">
      <c r="D960" s="8"/>
      <c r="F960" s="8"/>
      <c r="G960" s="8"/>
      <c r="H960" s="8"/>
      <c r="J960" s="8"/>
      <c r="K960" s="8"/>
      <c r="M960" s="8"/>
      <c r="N960" s="8"/>
      <c r="P960" s="8"/>
      <c r="Q960" s="8"/>
      <c r="T960" s="8"/>
    </row>
    <row r="961" ht="14.25" customHeight="1">
      <c r="D961" s="8"/>
      <c r="F961" s="8"/>
      <c r="G961" s="8"/>
      <c r="H961" s="8"/>
      <c r="J961" s="8"/>
      <c r="K961" s="8"/>
      <c r="M961" s="8"/>
      <c r="N961" s="8"/>
      <c r="P961" s="8"/>
      <c r="Q961" s="8"/>
      <c r="T961" s="8"/>
    </row>
    <row r="962" ht="14.25" customHeight="1">
      <c r="D962" s="8"/>
      <c r="F962" s="8"/>
      <c r="G962" s="8"/>
      <c r="H962" s="8"/>
      <c r="J962" s="8"/>
      <c r="K962" s="8"/>
      <c r="M962" s="8"/>
      <c r="N962" s="8"/>
      <c r="P962" s="8"/>
      <c r="Q962" s="8"/>
      <c r="T962" s="8"/>
    </row>
    <row r="963" ht="14.25" customHeight="1">
      <c r="D963" s="8"/>
      <c r="F963" s="8"/>
      <c r="G963" s="8"/>
      <c r="H963" s="8"/>
      <c r="J963" s="8"/>
      <c r="K963" s="8"/>
      <c r="M963" s="8"/>
      <c r="N963" s="8"/>
      <c r="P963" s="8"/>
      <c r="Q963" s="8"/>
      <c r="T963" s="8"/>
    </row>
    <row r="964" ht="14.25" customHeight="1">
      <c r="D964" s="8"/>
      <c r="F964" s="8"/>
      <c r="G964" s="8"/>
      <c r="H964" s="8"/>
      <c r="J964" s="8"/>
      <c r="K964" s="8"/>
      <c r="M964" s="8"/>
      <c r="N964" s="8"/>
      <c r="P964" s="8"/>
      <c r="Q964" s="8"/>
      <c r="T964" s="8"/>
    </row>
    <row r="965" ht="14.25" customHeight="1">
      <c r="D965" s="8"/>
      <c r="F965" s="8"/>
      <c r="G965" s="8"/>
      <c r="H965" s="8"/>
      <c r="J965" s="8"/>
      <c r="K965" s="8"/>
      <c r="M965" s="8"/>
      <c r="N965" s="8"/>
      <c r="P965" s="8"/>
      <c r="Q965" s="8"/>
      <c r="T965" s="8"/>
    </row>
    <row r="966" ht="14.25" customHeight="1">
      <c r="D966" s="8"/>
      <c r="F966" s="8"/>
      <c r="G966" s="8"/>
      <c r="H966" s="8"/>
      <c r="J966" s="8"/>
      <c r="K966" s="8"/>
      <c r="M966" s="8"/>
      <c r="N966" s="8"/>
      <c r="P966" s="8"/>
      <c r="Q966" s="8"/>
      <c r="T966" s="8"/>
    </row>
    <row r="967" ht="14.25" customHeight="1">
      <c r="D967" s="8"/>
      <c r="F967" s="8"/>
      <c r="G967" s="8"/>
      <c r="H967" s="8"/>
      <c r="J967" s="8"/>
      <c r="K967" s="8"/>
      <c r="M967" s="8"/>
      <c r="N967" s="8"/>
      <c r="P967" s="8"/>
      <c r="Q967" s="8"/>
      <c r="T967" s="8"/>
    </row>
    <row r="968" ht="14.25" customHeight="1">
      <c r="D968" s="8"/>
      <c r="F968" s="8"/>
      <c r="G968" s="8"/>
      <c r="H968" s="8"/>
      <c r="J968" s="8"/>
      <c r="K968" s="8"/>
      <c r="M968" s="8"/>
      <c r="N968" s="8"/>
      <c r="P968" s="8"/>
      <c r="Q968" s="8"/>
      <c r="T968" s="8"/>
    </row>
    <row r="969" ht="14.25" customHeight="1">
      <c r="D969" s="8"/>
      <c r="F969" s="8"/>
      <c r="G969" s="8"/>
      <c r="H969" s="8"/>
      <c r="J969" s="8"/>
      <c r="K969" s="8"/>
      <c r="M969" s="8"/>
      <c r="N969" s="8"/>
      <c r="P969" s="8"/>
      <c r="Q969" s="8"/>
      <c r="T969" s="8"/>
    </row>
    <row r="970" ht="14.25" customHeight="1">
      <c r="D970" s="8"/>
      <c r="F970" s="8"/>
      <c r="G970" s="8"/>
      <c r="H970" s="8"/>
      <c r="J970" s="8"/>
      <c r="K970" s="8"/>
      <c r="M970" s="8"/>
      <c r="N970" s="8"/>
      <c r="P970" s="8"/>
      <c r="Q970" s="8"/>
      <c r="T970" s="8"/>
    </row>
    <row r="971" ht="14.25" customHeight="1">
      <c r="D971" s="8"/>
      <c r="F971" s="8"/>
      <c r="G971" s="8"/>
      <c r="H971" s="8"/>
      <c r="J971" s="8"/>
      <c r="K971" s="8"/>
      <c r="M971" s="8"/>
      <c r="N971" s="8"/>
      <c r="P971" s="8"/>
      <c r="Q971" s="8"/>
      <c r="T971" s="8"/>
    </row>
    <row r="972" ht="14.25" customHeight="1">
      <c r="D972" s="8"/>
      <c r="F972" s="8"/>
      <c r="G972" s="8"/>
      <c r="H972" s="8"/>
      <c r="J972" s="8"/>
      <c r="K972" s="8"/>
      <c r="M972" s="8"/>
      <c r="N972" s="8"/>
      <c r="P972" s="8"/>
      <c r="Q972" s="8"/>
      <c r="T972" s="8"/>
    </row>
    <row r="973" ht="14.25" customHeight="1">
      <c r="D973" s="8"/>
      <c r="F973" s="8"/>
      <c r="G973" s="8"/>
      <c r="H973" s="8"/>
      <c r="J973" s="8"/>
      <c r="K973" s="8"/>
      <c r="M973" s="8"/>
      <c r="N973" s="8"/>
      <c r="P973" s="8"/>
      <c r="Q973" s="8"/>
      <c r="T973" s="8"/>
    </row>
    <row r="974" ht="14.25" customHeight="1">
      <c r="D974" s="8"/>
      <c r="F974" s="8"/>
      <c r="G974" s="8"/>
      <c r="H974" s="8"/>
      <c r="J974" s="8"/>
      <c r="K974" s="8"/>
      <c r="M974" s="8"/>
      <c r="N974" s="8"/>
      <c r="P974" s="8"/>
      <c r="Q974" s="8"/>
      <c r="T974" s="8"/>
    </row>
    <row r="975" ht="14.25" customHeight="1">
      <c r="D975" s="8"/>
      <c r="F975" s="8"/>
      <c r="G975" s="8"/>
      <c r="H975" s="8"/>
      <c r="J975" s="8"/>
      <c r="K975" s="8"/>
      <c r="M975" s="8"/>
      <c r="N975" s="8"/>
      <c r="P975" s="8"/>
      <c r="Q975" s="8"/>
      <c r="T975" s="8"/>
    </row>
    <row r="976" ht="14.25" customHeight="1">
      <c r="D976" s="8"/>
      <c r="F976" s="8"/>
      <c r="G976" s="8"/>
      <c r="H976" s="8"/>
      <c r="J976" s="8"/>
      <c r="K976" s="8"/>
      <c r="M976" s="8"/>
      <c r="N976" s="8"/>
      <c r="P976" s="8"/>
      <c r="Q976" s="8"/>
      <c r="T976" s="8"/>
    </row>
    <row r="977" ht="14.25" customHeight="1">
      <c r="D977" s="8"/>
      <c r="F977" s="8"/>
      <c r="G977" s="8"/>
      <c r="H977" s="8"/>
      <c r="J977" s="8"/>
      <c r="K977" s="8"/>
      <c r="M977" s="8"/>
      <c r="N977" s="8"/>
      <c r="P977" s="8"/>
      <c r="Q977" s="8"/>
      <c r="T977" s="8"/>
    </row>
    <row r="978" ht="14.25" customHeight="1">
      <c r="D978" s="8"/>
      <c r="F978" s="8"/>
      <c r="G978" s="8"/>
      <c r="H978" s="8"/>
      <c r="J978" s="8"/>
      <c r="K978" s="8"/>
      <c r="M978" s="8"/>
      <c r="N978" s="8"/>
      <c r="P978" s="8"/>
      <c r="Q978" s="8"/>
      <c r="T978" s="8"/>
    </row>
    <row r="979" ht="14.25" customHeight="1">
      <c r="D979" s="8"/>
      <c r="F979" s="8"/>
      <c r="G979" s="8"/>
      <c r="H979" s="8"/>
      <c r="J979" s="8"/>
      <c r="K979" s="8"/>
      <c r="M979" s="8"/>
      <c r="N979" s="8"/>
      <c r="P979" s="8"/>
      <c r="Q979" s="8"/>
      <c r="T979" s="8"/>
    </row>
    <row r="980" ht="14.25" customHeight="1">
      <c r="D980" s="8"/>
      <c r="F980" s="8"/>
      <c r="G980" s="8"/>
      <c r="H980" s="8"/>
      <c r="J980" s="8"/>
      <c r="K980" s="8"/>
      <c r="M980" s="8"/>
      <c r="N980" s="8"/>
      <c r="P980" s="8"/>
      <c r="Q980" s="8"/>
      <c r="T980" s="8"/>
    </row>
    <row r="981" ht="14.25" customHeight="1">
      <c r="D981" s="8"/>
      <c r="F981" s="8"/>
      <c r="G981" s="8"/>
      <c r="H981" s="8"/>
      <c r="J981" s="8"/>
      <c r="K981" s="8"/>
      <c r="M981" s="8"/>
      <c r="N981" s="8"/>
      <c r="P981" s="8"/>
      <c r="Q981" s="8"/>
      <c r="T981" s="8"/>
    </row>
    <row r="982" ht="14.25" customHeight="1">
      <c r="D982" s="8"/>
      <c r="F982" s="8"/>
      <c r="G982" s="8"/>
      <c r="H982" s="8"/>
      <c r="J982" s="8"/>
      <c r="K982" s="8"/>
      <c r="M982" s="8"/>
      <c r="N982" s="8"/>
      <c r="P982" s="8"/>
      <c r="Q982" s="8"/>
      <c r="T982" s="8"/>
    </row>
    <row r="983" ht="14.25" customHeight="1">
      <c r="D983" s="8"/>
      <c r="F983" s="8"/>
      <c r="G983" s="8"/>
      <c r="H983" s="8"/>
      <c r="J983" s="8"/>
      <c r="K983" s="8"/>
      <c r="M983" s="8"/>
      <c r="N983" s="8"/>
      <c r="P983" s="8"/>
      <c r="Q983" s="8"/>
      <c r="T983" s="8"/>
    </row>
    <row r="984" ht="14.25" customHeight="1">
      <c r="D984" s="8"/>
      <c r="F984" s="8"/>
      <c r="G984" s="8"/>
      <c r="H984" s="8"/>
      <c r="J984" s="8"/>
      <c r="K984" s="8"/>
      <c r="M984" s="8"/>
      <c r="N984" s="8"/>
      <c r="P984" s="8"/>
      <c r="Q984" s="8"/>
      <c r="T984" s="8"/>
    </row>
    <row r="985" ht="14.25" customHeight="1">
      <c r="D985" s="8"/>
      <c r="F985" s="8"/>
      <c r="G985" s="8"/>
      <c r="H985" s="8"/>
      <c r="J985" s="8"/>
      <c r="K985" s="8"/>
      <c r="M985" s="8"/>
      <c r="N985" s="8"/>
      <c r="P985" s="8"/>
      <c r="Q985" s="8"/>
      <c r="T985" s="8"/>
    </row>
    <row r="986" ht="14.25" customHeight="1">
      <c r="D986" s="8"/>
      <c r="F986" s="8"/>
      <c r="G986" s="8"/>
      <c r="H986" s="8"/>
      <c r="J986" s="8"/>
      <c r="K986" s="8"/>
      <c r="M986" s="8"/>
      <c r="N986" s="8"/>
      <c r="P986" s="8"/>
      <c r="Q986" s="8"/>
      <c r="T986" s="8"/>
    </row>
    <row r="987" ht="14.25" customHeight="1">
      <c r="D987" s="8"/>
      <c r="F987" s="8"/>
      <c r="G987" s="8"/>
      <c r="H987" s="8"/>
      <c r="J987" s="8"/>
      <c r="K987" s="8"/>
      <c r="M987" s="8"/>
      <c r="N987" s="8"/>
      <c r="P987" s="8"/>
      <c r="Q987" s="8"/>
      <c r="T987" s="8"/>
    </row>
    <row r="988" ht="14.25" customHeight="1">
      <c r="D988" s="8"/>
      <c r="F988" s="8"/>
      <c r="G988" s="8"/>
      <c r="H988" s="8"/>
      <c r="J988" s="8"/>
      <c r="K988" s="8"/>
      <c r="M988" s="8"/>
      <c r="N988" s="8"/>
      <c r="P988" s="8"/>
      <c r="Q988" s="8"/>
      <c r="T988" s="8"/>
    </row>
    <row r="989" ht="14.25" customHeight="1">
      <c r="D989" s="8"/>
      <c r="F989" s="8"/>
      <c r="G989" s="8"/>
      <c r="H989" s="8"/>
      <c r="J989" s="8"/>
      <c r="K989" s="8"/>
      <c r="M989" s="8"/>
      <c r="N989" s="8"/>
      <c r="P989" s="8"/>
      <c r="Q989" s="8"/>
      <c r="T989" s="8"/>
    </row>
    <row r="990" ht="14.25" customHeight="1">
      <c r="D990" s="8"/>
      <c r="F990" s="8"/>
      <c r="G990" s="8"/>
      <c r="H990" s="8"/>
      <c r="J990" s="8"/>
      <c r="K990" s="8"/>
      <c r="M990" s="8"/>
      <c r="N990" s="8"/>
      <c r="P990" s="8"/>
      <c r="Q990" s="8"/>
      <c r="T990" s="8"/>
    </row>
    <row r="991" ht="14.25" customHeight="1">
      <c r="D991" s="8"/>
      <c r="F991" s="8"/>
      <c r="G991" s="8"/>
      <c r="H991" s="8"/>
      <c r="J991" s="8"/>
      <c r="K991" s="8"/>
      <c r="M991" s="8"/>
      <c r="N991" s="8"/>
      <c r="P991" s="8"/>
      <c r="Q991" s="8"/>
      <c r="T991" s="8"/>
    </row>
    <row r="992" ht="14.25" customHeight="1">
      <c r="D992" s="8"/>
      <c r="F992" s="8"/>
      <c r="G992" s="8"/>
      <c r="H992" s="8"/>
      <c r="J992" s="8"/>
      <c r="K992" s="8"/>
      <c r="M992" s="8"/>
      <c r="N992" s="8"/>
      <c r="P992" s="8"/>
      <c r="Q992" s="8"/>
      <c r="T992" s="8"/>
    </row>
    <row r="993" ht="14.25" customHeight="1">
      <c r="D993" s="8"/>
      <c r="F993" s="8"/>
      <c r="G993" s="8"/>
      <c r="H993" s="8"/>
      <c r="J993" s="8"/>
      <c r="K993" s="8"/>
      <c r="M993" s="8"/>
      <c r="N993" s="8"/>
      <c r="P993" s="8"/>
      <c r="Q993" s="8"/>
      <c r="T993" s="8"/>
    </row>
    <row r="994" ht="14.25" customHeight="1">
      <c r="D994" s="8"/>
      <c r="F994" s="8"/>
      <c r="G994" s="8"/>
      <c r="H994" s="8"/>
      <c r="J994" s="8"/>
      <c r="K994" s="8"/>
      <c r="M994" s="8"/>
      <c r="N994" s="8"/>
      <c r="P994" s="8"/>
      <c r="Q994" s="8"/>
      <c r="T994" s="8"/>
    </row>
    <row r="995" ht="14.25" customHeight="1">
      <c r="D995" s="8"/>
      <c r="F995" s="8"/>
      <c r="G995" s="8"/>
      <c r="H995" s="8"/>
      <c r="J995" s="8"/>
      <c r="K995" s="8"/>
      <c r="M995" s="8"/>
      <c r="N995" s="8"/>
      <c r="P995" s="8"/>
      <c r="Q995" s="8"/>
      <c r="T995" s="8"/>
    </row>
    <row r="996" ht="14.25" customHeight="1">
      <c r="D996" s="8"/>
      <c r="F996" s="8"/>
      <c r="G996" s="8"/>
      <c r="H996" s="8"/>
      <c r="J996" s="8"/>
      <c r="K996" s="8"/>
      <c r="M996" s="8"/>
      <c r="N996" s="8"/>
      <c r="P996" s="8"/>
      <c r="Q996" s="8"/>
      <c r="T996" s="8"/>
    </row>
    <row r="997" ht="14.25" customHeight="1">
      <c r="D997" s="8"/>
      <c r="F997" s="8"/>
      <c r="G997" s="8"/>
      <c r="H997" s="8"/>
      <c r="J997" s="8"/>
      <c r="K997" s="8"/>
      <c r="M997" s="8"/>
      <c r="N997" s="8"/>
      <c r="P997" s="8"/>
      <c r="Q997" s="8"/>
      <c r="T997" s="8"/>
    </row>
    <row r="998" ht="14.25" customHeight="1">
      <c r="D998" s="8"/>
      <c r="F998" s="8"/>
      <c r="G998" s="8"/>
      <c r="H998" s="8"/>
      <c r="J998" s="8"/>
      <c r="K998" s="8"/>
      <c r="M998" s="8"/>
      <c r="N998" s="8"/>
      <c r="P998" s="8"/>
      <c r="Q998" s="8"/>
      <c r="T998" s="8"/>
    </row>
    <row r="999" ht="14.25" customHeight="1">
      <c r="D999" s="8"/>
      <c r="F999" s="8"/>
      <c r="G999" s="8"/>
      <c r="H999" s="8"/>
      <c r="J999" s="8"/>
      <c r="K999" s="8"/>
      <c r="M999" s="8"/>
      <c r="N999" s="8"/>
      <c r="P999" s="8"/>
      <c r="Q999" s="8"/>
      <c r="T999" s="8"/>
    </row>
    <row r="1000" ht="14.25" customHeight="1">
      <c r="D1000" s="8"/>
      <c r="F1000" s="8"/>
      <c r="G1000" s="8"/>
      <c r="H1000" s="8"/>
      <c r="J1000" s="8"/>
      <c r="K1000" s="8"/>
      <c r="M1000" s="8"/>
      <c r="N1000" s="8"/>
      <c r="P1000" s="8"/>
      <c r="Q1000" s="8"/>
      <c r="T1000" s="8"/>
    </row>
  </sheetData>
  <autoFilter ref="$A$1:$V$1000"/>
  <dataValidations>
    <dataValidation type="list" allowBlank="1" sqref="K2:K1000">
      <formula1>DICTIONARIES!$D$2:$D$4</formula1>
    </dataValidation>
    <dataValidation type="list" allowBlank="1" sqref="M2:N1000 P2:P1000">
      <formula1>DICTIONARIES!$G$2:$G$3</formula1>
    </dataValidation>
    <dataValidation type="list" allowBlank="1" sqref="Q2:Q1000">
      <formula1>DICTIONARIES!$AY$2:$AY$5</formula1>
    </dataValidation>
    <dataValidation type="list" allowBlank="1" sqref="H2:H1000">
      <formula1>DICTIONARIES!$F$2:$F$8</formula1>
    </dataValidation>
    <dataValidation type="list" allowBlank="1" sqref="F2:F1000">
      <formula1>DICTIONARIES!$B$2:$B$7</formula1>
    </dataValidation>
    <dataValidation type="list" allowBlank="1" sqref="T2:T1000">
      <formula1>DICTIONARIES!$AP$2:$AP$4</formula1>
    </dataValidation>
    <dataValidation type="list" allowBlank="1" sqref="D2:D1000">
      <formula1>DICTIONARIES!$A$2:$A$17</formula1>
    </dataValidation>
    <dataValidation type="list" allowBlank="1" sqref="G2:G1000">
      <formula1>DICTIONARIES!$C$2:$C$15</formula1>
    </dataValidation>
    <dataValidation type="list" allowBlank="1" sqref="J2:J1000">
      <formula1>DICTIONARIES!$E$2:$E$5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0"/>
    <col customWidth="1" min="3" max="3" width="18.0"/>
    <col customWidth="1" min="4" max="4" width="20.0"/>
    <col customWidth="1" min="5" max="5" width="12.0"/>
    <col customWidth="1" min="6" max="6" width="14.0"/>
    <col customWidth="1" min="7" max="8" width="18.0"/>
    <col customWidth="1" min="9" max="10" width="10.0"/>
    <col customWidth="1" min="11" max="11" width="36.0"/>
    <col customWidth="1" min="12" max="26" width="8.71"/>
  </cols>
  <sheetData>
    <row r="1" ht="14.25" customHeight="1">
      <c r="A1" s="9" t="s">
        <v>467</v>
      </c>
      <c r="B1" s="9" t="s">
        <v>424</v>
      </c>
      <c r="C1" s="9" t="s">
        <v>468</v>
      </c>
      <c r="D1" s="9" t="s">
        <v>469</v>
      </c>
      <c r="E1" s="9" t="s">
        <v>470</v>
      </c>
      <c r="F1" s="9" t="s">
        <v>471</v>
      </c>
      <c r="G1" s="9" t="s">
        <v>472</v>
      </c>
      <c r="H1" s="9" t="s">
        <v>473</v>
      </c>
      <c r="I1" s="9" t="s">
        <v>474</v>
      </c>
      <c r="J1" s="9" t="s">
        <v>436</v>
      </c>
      <c r="K1" s="9" t="s">
        <v>116</v>
      </c>
    </row>
    <row r="2" ht="14.25" customHeight="1">
      <c r="A2" s="18" t="s">
        <v>475</v>
      </c>
      <c r="B2" s="18" t="s">
        <v>444</v>
      </c>
      <c r="C2" s="18" t="s">
        <v>284</v>
      </c>
      <c r="D2" s="18" t="s">
        <v>243</v>
      </c>
      <c r="E2" s="19">
        <v>1.2</v>
      </c>
      <c r="F2" s="19">
        <v>1.0</v>
      </c>
      <c r="G2" s="20"/>
      <c r="H2" s="21"/>
      <c r="I2" s="18" t="s">
        <v>255</v>
      </c>
      <c r="J2" s="18" t="s">
        <v>245</v>
      </c>
      <c r="K2" s="18" t="s">
        <v>476</v>
      </c>
    </row>
    <row r="3" ht="14.25" customHeight="1">
      <c r="A3" s="18" t="s">
        <v>477</v>
      </c>
      <c r="B3" s="18" t="s">
        <v>444</v>
      </c>
      <c r="C3" s="18" t="s">
        <v>323</v>
      </c>
      <c r="D3" s="18" t="s">
        <v>243</v>
      </c>
      <c r="E3" s="19">
        <v>0.9</v>
      </c>
      <c r="F3" s="19">
        <v>1.0</v>
      </c>
      <c r="G3" s="20"/>
      <c r="H3" s="21"/>
      <c r="I3" s="18" t="s">
        <v>255</v>
      </c>
      <c r="J3" s="18" t="s">
        <v>245</v>
      </c>
      <c r="K3" s="18"/>
    </row>
    <row r="4" ht="14.25" customHeight="1">
      <c r="A4" s="18" t="s">
        <v>478</v>
      </c>
      <c r="B4" s="18" t="s">
        <v>451</v>
      </c>
      <c r="C4" s="18" t="s">
        <v>243</v>
      </c>
      <c r="D4" s="18" t="s">
        <v>243</v>
      </c>
      <c r="E4" s="19">
        <v>1.0</v>
      </c>
      <c r="F4" s="19">
        <v>1.0</v>
      </c>
      <c r="G4" s="20"/>
      <c r="H4" s="21"/>
      <c r="I4" s="18" t="s">
        <v>245</v>
      </c>
      <c r="J4" s="18" t="s">
        <v>245</v>
      </c>
      <c r="K4" s="18" t="s">
        <v>316</v>
      </c>
    </row>
    <row r="5" ht="14.25" customHeight="1">
      <c r="A5" s="18" t="s">
        <v>479</v>
      </c>
      <c r="B5" s="18" t="s">
        <v>451</v>
      </c>
      <c r="C5" s="18" t="s">
        <v>284</v>
      </c>
      <c r="D5" s="18" t="s">
        <v>243</v>
      </c>
      <c r="E5" s="19">
        <v>1.25</v>
      </c>
      <c r="F5" s="19">
        <v>1.0</v>
      </c>
      <c r="G5" s="20"/>
      <c r="H5" s="21"/>
      <c r="I5" s="18" t="s">
        <v>255</v>
      </c>
      <c r="J5" s="18" t="s">
        <v>245</v>
      </c>
      <c r="K5" s="18" t="s">
        <v>480</v>
      </c>
    </row>
    <row r="6" ht="14.25" customHeight="1">
      <c r="A6" s="18" t="s">
        <v>481</v>
      </c>
      <c r="B6" s="18" t="s">
        <v>451</v>
      </c>
      <c r="C6" s="18" t="s">
        <v>323</v>
      </c>
      <c r="D6" s="18" t="s">
        <v>243</v>
      </c>
      <c r="E6" s="19">
        <v>0.85</v>
      </c>
      <c r="F6" s="19">
        <v>1.0</v>
      </c>
      <c r="G6" s="20"/>
      <c r="H6" s="21"/>
      <c r="I6" s="18" t="s">
        <v>255</v>
      </c>
      <c r="J6" s="18" t="s">
        <v>245</v>
      </c>
      <c r="K6" s="18" t="s">
        <v>480</v>
      </c>
    </row>
    <row r="7" ht="14.25" customHeight="1">
      <c r="A7" s="18" t="s">
        <v>482</v>
      </c>
      <c r="B7" s="18" t="s">
        <v>451</v>
      </c>
      <c r="C7" s="18" t="s">
        <v>284</v>
      </c>
      <c r="D7" s="18" t="s">
        <v>483</v>
      </c>
      <c r="E7" s="19">
        <v>1.25</v>
      </c>
      <c r="F7" s="19">
        <v>1.15</v>
      </c>
      <c r="G7" s="20"/>
      <c r="H7" s="21"/>
      <c r="I7" s="18" t="s">
        <v>255</v>
      </c>
      <c r="J7" s="18" t="s">
        <v>245</v>
      </c>
      <c r="K7" s="18" t="s">
        <v>484</v>
      </c>
    </row>
    <row r="8" ht="14.25" customHeight="1">
      <c r="A8" s="16"/>
      <c r="B8" s="16"/>
      <c r="C8" s="16"/>
      <c r="D8" s="16"/>
      <c r="E8" s="22"/>
      <c r="F8" s="22"/>
      <c r="G8" s="17"/>
      <c r="H8" s="17"/>
      <c r="I8" s="16"/>
      <c r="J8" s="16"/>
      <c r="K8" s="16"/>
    </row>
    <row r="9" ht="14.25" customHeight="1">
      <c r="A9" s="16"/>
      <c r="B9" s="16"/>
      <c r="C9" s="16"/>
      <c r="D9" s="16"/>
      <c r="E9" s="22"/>
      <c r="F9" s="22"/>
      <c r="G9" s="17"/>
      <c r="H9" s="17"/>
      <c r="I9" s="16"/>
      <c r="J9" s="16"/>
      <c r="K9" s="16"/>
    </row>
    <row r="10" ht="14.25" customHeight="1">
      <c r="A10" s="16"/>
      <c r="B10" s="16"/>
      <c r="C10" s="16"/>
      <c r="D10" s="16"/>
      <c r="E10" s="22"/>
      <c r="F10" s="22"/>
      <c r="G10" s="17"/>
      <c r="H10" s="17"/>
      <c r="I10" s="16"/>
      <c r="J10" s="16"/>
      <c r="K10" s="16"/>
    </row>
    <row r="11" ht="14.25" customHeight="1">
      <c r="A11" s="16"/>
      <c r="B11" s="16"/>
      <c r="C11" s="16"/>
      <c r="D11" s="16"/>
      <c r="E11" s="22"/>
      <c r="F11" s="22"/>
      <c r="G11" s="17"/>
      <c r="H11" s="17"/>
      <c r="I11" s="16"/>
      <c r="J11" s="16"/>
      <c r="K11" s="16"/>
    </row>
    <row r="12" ht="14.25" customHeight="1">
      <c r="A12" s="16"/>
      <c r="B12" s="16"/>
      <c r="C12" s="16"/>
      <c r="D12" s="16"/>
      <c r="E12" s="22"/>
      <c r="F12" s="22"/>
      <c r="G12" s="17"/>
      <c r="H12" s="17"/>
      <c r="I12" s="16"/>
      <c r="J12" s="16"/>
      <c r="K12" s="16"/>
    </row>
    <row r="13" ht="14.25" customHeight="1">
      <c r="A13" s="16"/>
      <c r="B13" s="16"/>
      <c r="C13" s="16"/>
      <c r="D13" s="16"/>
      <c r="E13" s="22"/>
      <c r="F13" s="22"/>
      <c r="G13" s="17"/>
      <c r="H13" s="17"/>
      <c r="I13" s="16"/>
      <c r="J13" s="16"/>
      <c r="K13" s="16"/>
    </row>
    <row r="14" ht="14.25" customHeight="1">
      <c r="A14" s="16"/>
      <c r="B14" s="16"/>
      <c r="C14" s="16"/>
      <c r="D14" s="16"/>
      <c r="E14" s="22"/>
      <c r="F14" s="22"/>
      <c r="G14" s="17"/>
      <c r="H14" s="17"/>
      <c r="I14" s="16"/>
      <c r="J14" s="16"/>
      <c r="K14" s="16"/>
    </row>
    <row r="15" ht="14.25" customHeight="1">
      <c r="A15" s="16"/>
      <c r="B15" s="16"/>
      <c r="C15" s="16"/>
      <c r="D15" s="16"/>
      <c r="E15" s="22"/>
      <c r="F15" s="22"/>
      <c r="G15" s="17"/>
      <c r="H15" s="17"/>
      <c r="I15" s="16"/>
      <c r="J15" s="16"/>
      <c r="K15" s="16"/>
    </row>
    <row r="16" ht="14.25" customHeight="1">
      <c r="A16" s="16"/>
      <c r="B16" s="16"/>
      <c r="C16" s="16"/>
      <c r="D16" s="16"/>
      <c r="E16" s="22"/>
      <c r="F16" s="22"/>
      <c r="G16" s="17"/>
      <c r="H16" s="17"/>
      <c r="I16" s="16"/>
      <c r="J16" s="16"/>
      <c r="K16" s="16"/>
    </row>
    <row r="17" ht="14.25" customHeight="1">
      <c r="A17" s="16"/>
      <c r="B17" s="16"/>
      <c r="C17" s="16"/>
      <c r="D17" s="16"/>
      <c r="E17" s="22"/>
      <c r="F17" s="22"/>
      <c r="G17" s="17"/>
      <c r="H17" s="17"/>
      <c r="I17" s="16"/>
      <c r="J17" s="16"/>
      <c r="K17" s="16"/>
    </row>
    <row r="18" ht="14.25" customHeight="1">
      <c r="A18" s="16"/>
      <c r="B18" s="16"/>
      <c r="C18" s="16"/>
      <c r="D18" s="16"/>
      <c r="E18" s="22"/>
      <c r="F18" s="22"/>
      <c r="G18" s="17"/>
      <c r="H18" s="17"/>
      <c r="I18" s="16"/>
      <c r="J18" s="16"/>
      <c r="K18" s="16"/>
    </row>
    <row r="19" ht="14.25" customHeight="1">
      <c r="A19" s="16"/>
      <c r="B19" s="16"/>
      <c r="C19" s="16"/>
      <c r="D19" s="16"/>
      <c r="E19" s="22"/>
      <c r="F19" s="22"/>
      <c r="G19" s="17"/>
      <c r="H19" s="17"/>
      <c r="I19" s="16"/>
      <c r="J19" s="16"/>
      <c r="K19" s="16"/>
    </row>
    <row r="20" ht="14.25" customHeight="1">
      <c r="A20" s="16"/>
      <c r="B20" s="16"/>
      <c r="C20" s="16"/>
      <c r="D20" s="16"/>
      <c r="E20" s="22"/>
      <c r="F20" s="22"/>
      <c r="G20" s="17"/>
      <c r="H20" s="17"/>
      <c r="I20" s="16"/>
      <c r="J20" s="16"/>
      <c r="K20" s="16"/>
    </row>
    <row r="21" ht="14.25" customHeight="1">
      <c r="A21" s="16"/>
      <c r="B21" s="16"/>
      <c r="C21" s="16"/>
      <c r="D21" s="16"/>
      <c r="E21" s="22"/>
      <c r="F21" s="22"/>
      <c r="G21" s="17"/>
      <c r="H21" s="17"/>
      <c r="I21" s="16"/>
      <c r="J21" s="16"/>
      <c r="K21" s="16"/>
    </row>
    <row r="22" ht="14.25" customHeight="1">
      <c r="A22" s="16"/>
      <c r="B22" s="16"/>
      <c r="C22" s="16"/>
      <c r="D22" s="16"/>
      <c r="E22" s="22"/>
      <c r="F22" s="22"/>
      <c r="G22" s="17"/>
      <c r="H22" s="17"/>
      <c r="I22" s="16"/>
      <c r="J22" s="16"/>
      <c r="K22" s="16"/>
    </row>
    <row r="23" ht="14.25" customHeight="1">
      <c r="A23" s="16"/>
      <c r="B23" s="16"/>
      <c r="C23" s="16"/>
      <c r="D23" s="16"/>
      <c r="E23" s="22"/>
      <c r="F23" s="22"/>
      <c r="G23" s="17"/>
      <c r="H23" s="17"/>
      <c r="I23" s="16"/>
      <c r="J23" s="16"/>
      <c r="K23" s="16"/>
    </row>
    <row r="24" ht="14.25" customHeight="1">
      <c r="A24" s="16"/>
      <c r="B24" s="16"/>
      <c r="C24" s="16"/>
      <c r="D24" s="16"/>
      <c r="E24" s="22"/>
      <c r="F24" s="22"/>
      <c r="G24" s="17"/>
      <c r="H24" s="17"/>
      <c r="I24" s="16"/>
      <c r="J24" s="16"/>
      <c r="K24" s="16"/>
    </row>
    <row r="25" ht="14.25" customHeight="1">
      <c r="A25" s="16"/>
      <c r="B25" s="16"/>
      <c r="C25" s="16"/>
      <c r="D25" s="16"/>
      <c r="E25" s="22"/>
      <c r="F25" s="22"/>
      <c r="G25" s="17"/>
      <c r="H25" s="17"/>
      <c r="I25" s="16"/>
      <c r="J25" s="16"/>
      <c r="K25" s="16"/>
    </row>
    <row r="26" ht="14.25" customHeight="1">
      <c r="A26" s="16"/>
      <c r="B26" s="16"/>
      <c r="C26" s="16"/>
      <c r="D26" s="16"/>
      <c r="E26" s="22"/>
      <c r="F26" s="22"/>
      <c r="G26" s="17"/>
      <c r="H26" s="17"/>
      <c r="I26" s="16"/>
      <c r="J26" s="16"/>
      <c r="K26" s="16"/>
    </row>
    <row r="27" ht="14.25" customHeight="1">
      <c r="A27" s="16"/>
      <c r="B27" s="16"/>
      <c r="C27" s="16"/>
      <c r="D27" s="16"/>
      <c r="E27" s="22"/>
      <c r="F27" s="22"/>
      <c r="G27" s="17"/>
      <c r="H27" s="17"/>
      <c r="I27" s="16"/>
      <c r="J27" s="16"/>
      <c r="K27" s="16"/>
    </row>
    <row r="28" ht="14.25" customHeight="1">
      <c r="A28" s="16"/>
      <c r="B28" s="16"/>
      <c r="C28" s="16"/>
      <c r="D28" s="16"/>
      <c r="E28" s="22"/>
      <c r="F28" s="22"/>
      <c r="G28" s="17"/>
      <c r="H28" s="17"/>
      <c r="I28" s="16"/>
      <c r="J28" s="16"/>
      <c r="K28" s="16"/>
    </row>
    <row r="29" ht="14.25" customHeight="1">
      <c r="A29" s="16"/>
      <c r="B29" s="16"/>
      <c r="C29" s="16"/>
      <c r="D29" s="16"/>
      <c r="E29" s="22"/>
      <c r="F29" s="22"/>
      <c r="G29" s="17"/>
      <c r="H29" s="17"/>
      <c r="I29" s="16"/>
      <c r="J29" s="16"/>
      <c r="K29" s="16"/>
    </row>
    <row r="30" ht="14.25" customHeight="1">
      <c r="A30" s="16"/>
      <c r="B30" s="16"/>
      <c r="C30" s="16"/>
      <c r="D30" s="16"/>
      <c r="E30" s="22"/>
      <c r="F30" s="22"/>
      <c r="G30" s="17"/>
      <c r="H30" s="17"/>
      <c r="I30" s="16"/>
      <c r="J30" s="16"/>
      <c r="K30" s="16"/>
    </row>
    <row r="31" ht="14.25" customHeight="1">
      <c r="A31" s="16"/>
      <c r="B31" s="16"/>
      <c r="C31" s="16"/>
      <c r="D31" s="16"/>
      <c r="E31" s="22"/>
      <c r="F31" s="22"/>
      <c r="G31" s="17"/>
      <c r="H31" s="17"/>
      <c r="I31" s="16"/>
      <c r="J31" s="16"/>
      <c r="K31" s="16"/>
    </row>
    <row r="32" ht="14.25" customHeight="1">
      <c r="A32" s="16"/>
      <c r="B32" s="16"/>
      <c r="C32" s="16"/>
      <c r="D32" s="16"/>
      <c r="E32" s="22"/>
      <c r="F32" s="22"/>
      <c r="G32" s="17"/>
      <c r="H32" s="17"/>
      <c r="I32" s="16"/>
      <c r="J32" s="16"/>
      <c r="K32" s="16"/>
    </row>
    <row r="33" ht="14.25" customHeight="1">
      <c r="A33" s="16"/>
      <c r="B33" s="16"/>
      <c r="C33" s="16"/>
      <c r="D33" s="16"/>
      <c r="E33" s="22"/>
      <c r="F33" s="22"/>
      <c r="G33" s="17"/>
      <c r="H33" s="17"/>
      <c r="I33" s="16"/>
      <c r="J33" s="16"/>
      <c r="K33" s="16"/>
    </row>
    <row r="34" ht="14.25" customHeight="1">
      <c r="A34" s="16"/>
      <c r="B34" s="16"/>
      <c r="C34" s="16"/>
      <c r="D34" s="16"/>
      <c r="E34" s="22"/>
      <c r="F34" s="22"/>
      <c r="G34" s="17"/>
      <c r="H34" s="17"/>
      <c r="I34" s="16"/>
      <c r="J34" s="16"/>
      <c r="K34" s="16"/>
    </row>
    <row r="35" ht="14.25" customHeight="1">
      <c r="A35" s="16"/>
      <c r="B35" s="16"/>
      <c r="C35" s="16"/>
      <c r="D35" s="16"/>
      <c r="E35" s="22"/>
      <c r="F35" s="22"/>
      <c r="G35" s="17"/>
      <c r="H35" s="17"/>
      <c r="I35" s="16"/>
      <c r="J35" s="16"/>
      <c r="K35" s="16"/>
    </row>
    <row r="36" ht="14.25" customHeight="1">
      <c r="A36" s="16"/>
      <c r="B36" s="16"/>
      <c r="C36" s="16"/>
      <c r="D36" s="16"/>
      <c r="E36" s="22"/>
      <c r="F36" s="22"/>
      <c r="G36" s="17"/>
      <c r="H36" s="17"/>
      <c r="I36" s="16"/>
      <c r="J36" s="16"/>
      <c r="K36" s="16"/>
    </row>
    <row r="37" ht="14.25" customHeight="1">
      <c r="A37" s="16"/>
      <c r="B37" s="16"/>
      <c r="C37" s="16"/>
      <c r="D37" s="16"/>
      <c r="E37" s="22"/>
      <c r="F37" s="22"/>
      <c r="G37" s="17"/>
      <c r="H37" s="17"/>
      <c r="I37" s="16"/>
      <c r="J37" s="16"/>
      <c r="K37" s="16"/>
    </row>
    <row r="38" ht="14.25" customHeight="1">
      <c r="A38" s="16"/>
      <c r="B38" s="16"/>
      <c r="C38" s="16"/>
      <c r="D38" s="16"/>
      <c r="E38" s="22"/>
      <c r="F38" s="22"/>
      <c r="G38" s="17"/>
      <c r="H38" s="17"/>
      <c r="I38" s="16"/>
      <c r="J38" s="16"/>
      <c r="K38" s="16"/>
    </row>
    <row r="39" ht="14.25" customHeight="1">
      <c r="A39" s="16"/>
      <c r="B39" s="16"/>
      <c r="C39" s="16"/>
      <c r="D39" s="16"/>
      <c r="E39" s="22"/>
      <c r="F39" s="22"/>
      <c r="G39" s="17"/>
      <c r="H39" s="17"/>
      <c r="I39" s="16"/>
      <c r="J39" s="16"/>
      <c r="K39" s="16"/>
    </row>
    <row r="40" ht="14.25" customHeight="1">
      <c r="A40" s="16"/>
      <c r="B40" s="16"/>
      <c r="C40" s="16"/>
      <c r="D40" s="16"/>
      <c r="E40" s="22"/>
      <c r="F40" s="22"/>
      <c r="G40" s="17"/>
      <c r="H40" s="17"/>
      <c r="I40" s="16"/>
      <c r="J40" s="16"/>
      <c r="K40" s="16"/>
    </row>
    <row r="41" ht="14.25" customHeight="1">
      <c r="A41" s="16"/>
      <c r="B41" s="16"/>
      <c r="C41" s="16"/>
      <c r="D41" s="16"/>
      <c r="E41" s="22"/>
      <c r="F41" s="22"/>
      <c r="G41" s="17"/>
      <c r="H41" s="17"/>
      <c r="I41" s="16"/>
      <c r="J41" s="16"/>
      <c r="K41" s="16"/>
    </row>
    <row r="42" ht="14.25" customHeight="1">
      <c r="A42" s="16"/>
      <c r="B42" s="16"/>
      <c r="C42" s="16"/>
      <c r="D42" s="16"/>
      <c r="E42" s="22"/>
      <c r="F42" s="22"/>
      <c r="G42" s="17"/>
      <c r="H42" s="17"/>
      <c r="I42" s="16"/>
      <c r="J42" s="16"/>
      <c r="K42" s="16"/>
    </row>
    <row r="43" ht="14.25" customHeight="1">
      <c r="A43" s="16"/>
      <c r="B43" s="16"/>
      <c r="C43" s="16"/>
      <c r="D43" s="16"/>
      <c r="E43" s="22"/>
      <c r="F43" s="22"/>
      <c r="G43" s="17"/>
      <c r="H43" s="17"/>
      <c r="I43" s="16"/>
      <c r="J43" s="16"/>
      <c r="K43" s="16"/>
    </row>
    <row r="44" ht="14.25" customHeight="1">
      <c r="A44" s="16"/>
      <c r="B44" s="16"/>
      <c r="C44" s="16"/>
      <c r="D44" s="16"/>
      <c r="E44" s="22"/>
      <c r="F44" s="22"/>
      <c r="G44" s="17"/>
      <c r="H44" s="17"/>
      <c r="I44" s="16"/>
      <c r="J44" s="16"/>
      <c r="K44" s="16"/>
    </row>
    <row r="45" ht="14.25" customHeight="1">
      <c r="A45" s="16"/>
      <c r="B45" s="16"/>
      <c r="C45" s="16"/>
      <c r="D45" s="16"/>
      <c r="E45" s="22"/>
      <c r="F45" s="22"/>
      <c r="G45" s="17"/>
      <c r="H45" s="17"/>
      <c r="I45" s="16"/>
      <c r="J45" s="16"/>
      <c r="K45" s="16"/>
    </row>
    <row r="46" ht="14.25" customHeight="1">
      <c r="A46" s="16"/>
      <c r="B46" s="16"/>
      <c r="C46" s="16"/>
      <c r="D46" s="16"/>
      <c r="E46" s="22"/>
      <c r="F46" s="22"/>
      <c r="G46" s="17"/>
      <c r="H46" s="17"/>
      <c r="I46" s="16"/>
      <c r="J46" s="16"/>
      <c r="K46" s="16"/>
    </row>
    <row r="47" ht="14.25" customHeight="1">
      <c r="A47" s="16"/>
      <c r="B47" s="16"/>
      <c r="C47" s="16"/>
      <c r="D47" s="16"/>
      <c r="E47" s="22"/>
      <c r="F47" s="22"/>
      <c r="G47" s="17"/>
      <c r="H47" s="17"/>
      <c r="I47" s="16"/>
      <c r="J47" s="16"/>
      <c r="K47" s="16"/>
    </row>
    <row r="48" ht="14.25" customHeight="1">
      <c r="A48" s="16"/>
      <c r="B48" s="16"/>
      <c r="C48" s="16"/>
      <c r="D48" s="16"/>
      <c r="E48" s="22"/>
      <c r="F48" s="22"/>
      <c r="G48" s="17"/>
      <c r="H48" s="17"/>
      <c r="I48" s="16"/>
      <c r="J48" s="16"/>
      <c r="K48" s="16"/>
    </row>
    <row r="49" ht="14.25" customHeight="1">
      <c r="A49" s="16"/>
      <c r="B49" s="16"/>
      <c r="C49" s="16"/>
      <c r="D49" s="16"/>
      <c r="E49" s="22"/>
      <c r="F49" s="22"/>
      <c r="G49" s="17"/>
      <c r="H49" s="17"/>
      <c r="I49" s="16"/>
      <c r="J49" s="16"/>
      <c r="K49" s="16"/>
    </row>
    <row r="50" ht="14.25" customHeight="1">
      <c r="A50" s="16"/>
      <c r="B50" s="16"/>
      <c r="C50" s="16"/>
      <c r="D50" s="16"/>
      <c r="E50" s="22"/>
      <c r="F50" s="22"/>
      <c r="G50" s="17"/>
      <c r="H50" s="17"/>
      <c r="I50" s="16"/>
      <c r="J50" s="16"/>
      <c r="K50" s="16"/>
    </row>
    <row r="51" ht="14.25" customHeight="1">
      <c r="A51" s="16"/>
      <c r="B51" s="16"/>
      <c r="C51" s="16"/>
      <c r="D51" s="16"/>
      <c r="E51" s="22"/>
      <c r="F51" s="22"/>
      <c r="G51" s="17"/>
      <c r="H51" s="17"/>
      <c r="I51" s="16"/>
      <c r="J51" s="16"/>
      <c r="K51" s="16"/>
    </row>
    <row r="52" ht="14.25" customHeight="1">
      <c r="A52" s="16"/>
      <c r="B52" s="16"/>
      <c r="C52" s="16"/>
      <c r="D52" s="16"/>
      <c r="E52" s="22"/>
      <c r="F52" s="22"/>
      <c r="G52" s="17"/>
      <c r="H52" s="17"/>
      <c r="I52" s="16"/>
      <c r="J52" s="16"/>
      <c r="K52" s="16"/>
    </row>
    <row r="53" ht="14.25" customHeight="1">
      <c r="A53" s="16"/>
      <c r="B53" s="16"/>
      <c r="C53" s="16"/>
      <c r="D53" s="16"/>
      <c r="E53" s="22"/>
      <c r="F53" s="22"/>
      <c r="G53" s="17"/>
      <c r="H53" s="17"/>
      <c r="I53" s="16"/>
      <c r="J53" s="16"/>
      <c r="K53" s="16"/>
    </row>
    <row r="54" ht="14.25" customHeight="1">
      <c r="A54" s="16"/>
      <c r="B54" s="16"/>
      <c r="C54" s="16"/>
      <c r="D54" s="16"/>
      <c r="E54" s="22"/>
      <c r="F54" s="22"/>
      <c r="G54" s="17"/>
      <c r="H54" s="17"/>
      <c r="I54" s="16"/>
      <c r="J54" s="16"/>
      <c r="K54" s="16"/>
    </row>
    <row r="55" ht="14.25" customHeight="1">
      <c r="A55" s="16"/>
      <c r="B55" s="16"/>
      <c r="C55" s="16"/>
      <c r="D55" s="16"/>
      <c r="E55" s="22"/>
      <c r="F55" s="22"/>
      <c r="G55" s="17"/>
      <c r="H55" s="17"/>
      <c r="I55" s="16"/>
      <c r="J55" s="16"/>
      <c r="K55" s="16"/>
    </row>
    <row r="56" ht="14.25" customHeight="1">
      <c r="A56" s="16"/>
      <c r="B56" s="16"/>
      <c r="C56" s="16"/>
      <c r="D56" s="16"/>
      <c r="E56" s="22"/>
      <c r="F56" s="22"/>
      <c r="G56" s="17"/>
      <c r="H56" s="17"/>
      <c r="I56" s="16"/>
      <c r="J56" s="16"/>
      <c r="K56" s="16"/>
    </row>
    <row r="57" ht="14.25" customHeight="1">
      <c r="A57" s="16"/>
      <c r="B57" s="16"/>
      <c r="C57" s="16"/>
      <c r="D57" s="16"/>
      <c r="E57" s="22"/>
      <c r="F57" s="22"/>
      <c r="G57" s="17"/>
      <c r="H57" s="17"/>
      <c r="I57" s="16"/>
      <c r="J57" s="16"/>
      <c r="K57" s="16"/>
    </row>
    <row r="58" ht="14.25" customHeight="1">
      <c r="A58" s="16"/>
      <c r="B58" s="16"/>
      <c r="C58" s="16"/>
      <c r="D58" s="16"/>
      <c r="E58" s="22"/>
      <c r="F58" s="22"/>
      <c r="G58" s="17"/>
      <c r="H58" s="17"/>
      <c r="I58" s="16"/>
      <c r="J58" s="16"/>
      <c r="K58" s="16"/>
    </row>
    <row r="59" ht="14.25" customHeight="1">
      <c r="A59" s="16"/>
      <c r="B59" s="16"/>
      <c r="C59" s="16"/>
      <c r="D59" s="16"/>
      <c r="E59" s="22"/>
      <c r="F59" s="22"/>
      <c r="G59" s="17"/>
      <c r="H59" s="17"/>
      <c r="I59" s="16"/>
      <c r="J59" s="16"/>
      <c r="K59" s="16"/>
    </row>
    <row r="60" ht="14.25" customHeight="1">
      <c r="A60" s="16"/>
      <c r="B60" s="16"/>
      <c r="C60" s="16"/>
      <c r="D60" s="16"/>
      <c r="E60" s="22"/>
      <c r="F60" s="22"/>
      <c r="G60" s="17"/>
      <c r="H60" s="17"/>
      <c r="I60" s="16"/>
      <c r="J60" s="16"/>
      <c r="K60" s="16"/>
    </row>
    <row r="61" ht="14.25" customHeight="1">
      <c r="A61" s="16"/>
      <c r="B61" s="16"/>
      <c r="C61" s="16"/>
      <c r="D61" s="16"/>
      <c r="E61" s="22"/>
      <c r="F61" s="22"/>
      <c r="G61" s="17"/>
      <c r="H61" s="17"/>
      <c r="I61" s="16"/>
      <c r="J61" s="16"/>
      <c r="K61" s="16"/>
    </row>
    <row r="62" ht="14.25" customHeight="1">
      <c r="A62" s="16"/>
      <c r="B62" s="16"/>
      <c r="C62" s="16"/>
      <c r="D62" s="16"/>
      <c r="E62" s="22"/>
      <c r="F62" s="22"/>
      <c r="G62" s="17"/>
      <c r="H62" s="17"/>
      <c r="I62" s="16"/>
      <c r="J62" s="16"/>
      <c r="K62" s="16"/>
    </row>
    <row r="63" ht="14.25" customHeight="1">
      <c r="A63" s="16"/>
      <c r="B63" s="16"/>
      <c r="C63" s="16"/>
      <c r="D63" s="16"/>
      <c r="E63" s="22"/>
      <c r="F63" s="22"/>
      <c r="G63" s="17"/>
      <c r="H63" s="17"/>
      <c r="I63" s="16"/>
      <c r="J63" s="16"/>
      <c r="K63" s="16"/>
    </row>
    <row r="64" ht="14.25" customHeight="1">
      <c r="A64" s="16"/>
      <c r="B64" s="16"/>
      <c r="C64" s="16"/>
      <c r="D64" s="16"/>
      <c r="E64" s="22"/>
      <c r="F64" s="22"/>
      <c r="G64" s="17"/>
      <c r="H64" s="17"/>
      <c r="I64" s="16"/>
      <c r="J64" s="16"/>
      <c r="K64" s="16"/>
    </row>
    <row r="65" ht="14.25" customHeight="1">
      <c r="A65" s="16"/>
      <c r="B65" s="16"/>
      <c r="C65" s="16"/>
      <c r="D65" s="16"/>
      <c r="E65" s="22"/>
      <c r="F65" s="22"/>
      <c r="G65" s="17"/>
      <c r="H65" s="17"/>
      <c r="I65" s="16"/>
      <c r="J65" s="16"/>
      <c r="K65" s="16"/>
    </row>
    <row r="66" ht="14.25" customHeight="1">
      <c r="A66" s="16"/>
      <c r="B66" s="16"/>
      <c r="C66" s="16"/>
      <c r="D66" s="16"/>
      <c r="E66" s="22"/>
      <c r="F66" s="22"/>
      <c r="G66" s="17"/>
      <c r="H66" s="17"/>
      <c r="I66" s="16"/>
      <c r="J66" s="16"/>
      <c r="K66" s="16"/>
    </row>
    <row r="67" ht="14.25" customHeight="1">
      <c r="A67" s="16"/>
      <c r="B67" s="16"/>
      <c r="C67" s="16"/>
      <c r="D67" s="16"/>
      <c r="E67" s="22"/>
      <c r="F67" s="22"/>
      <c r="G67" s="17"/>
      <c r="H67" s="17"/>
      <c r="I67" s="16"/>
      <c r="J67" s="16"/>
      <c r="K67" s="16"/>
    </row>
    <row r="68" ht="14.25" customHeight="1">
      <c r="A68" s="16"/>
      <c r="B68" s="16"/>
      <c r="C68" s="16"/>
      <c r="D68" s="16"/>
      <c r="E68" s="22"/>
      <c r="F68" s="22"/>
      <c r="G68" s="17"/>
      <c r="H68" s="17"/>
      <c r="I68" s="16"/>
      <c r="J68" s="16"/>
      <c r="K68" s="16"/>
    </row>
    <row r="69" ht="14.25" customHeight="1">
      <c r="A69" s="16"/>
      <c r="B69" s="16"/>
      <c r="C69" s="16"/>
      <c r="D69" s="16"/>
      <c r="E69" s="22"/>
      <c r="F69" s="22"/>
      <c r="G69" s="17"/>
      <c r="H69" s="17"/>
      <c r="I69" s="16"/>
      <c r="J69" s="16"/>
      <c r="K69" s="16"/>
    </row>
    <row r="70" ht="14.25" customHeight="1">
      <c r="A70" s="16"/>
      <c r="B70" s="16"/>
      <c r="C70" s="16"/>
      <c r="D70" s="16"/>
      <c r="E70" s="22"/>
      <c r="F70" s="22"/>
      <c r="G70" s="17"/>
      <c r="H70" s="17"/>
      <c r="I70" s="16"/>
      <c r="J70" s="16"/>
      <c r="K70" s="16"/>
    </row>
    <row r="71" ht="14.25" customHeight="1">
      <c r="A71" s="16"/>
      <c r="B71" s="16"/>
      <c r="C71" s="16"/>
      <c r="D71" s="16"/>
      <c r="E71" s="22"/>
      <c r="F71" s="22"/>
      <c r="G71" s="17"/>
      <c r="H71" s="17"/>
      <c r="I71" s="16"/>
      <c r="J71" s="16"/>
      <c r="K71" s="16"/>
    </row>
    <row r="72" ht="14.25" customHeight="1">
      <c r="A72" s="16"/>
      <c r="B72" s="16"/>
      <c r="C72" s="16"/>
      <c r="D72" s="16"/>
      <c r="E72" s="22"/>
      <c r="F72" s="22"/>
      <c r="G72" s="17"/>
      <c r="H72" s="17"/>
      <c r="I72" s="16"/>
      <c r="J72" s="16"/>
      <c r="K72" s="16"/>
    </row>
    <row r="73" ht="14.25" customHeight="1">
      <c r="A73" s="16"/>
      <c r="B73" s="16"/>
      <c r="C73" s="16"/>
      <c r="D73" s="16"/>
      <c r="E73" s="22"/>
      <c r="F73" s="22"/>
      <c r="G73" s="17"/>
      <c r="H73" s="17"/>
      <c r="I73" s="16"/>
      <c r="J73" s="16"/>
      <c r="K73" s="16"/>
    </row>
    <row r="74" ht="14.25" customHeight="1">
      <c r="A74" s="16"/>
      <c r="B74" s="16"/>
      <c r="C74" s="16"/>
      <c r="D74" s="16"/>
      <c r="E74" s="22"/>
      <c r="F74" s="22"/>
      <c r="G74" s="17"/>
      <c r="H74" s="17"/>
      <c r="I74" s="16"/>
      <c r="J74" s="16"/>
      <c r="K74" s="16"/>
    </row>
    <row r="75" ht="14.25" customHeight="1">
      <c r="A75" s="16"/>
      <c r="B75" s="16"/>
      <c r="C75" s="16"/>
      <c r="D75" s="16"/>
      <c r="E75" s="22"/>
      <c r="F75" s="22"/>
      <c r="G75" s="17"/>
      <c r="H75" s="17"/>
      <c r="I75" s="16"/>
      <c r="J75" s="16"/>
      <c r="K75" s="16"/>
    </row>
    <row r="76" ht="14.25" customHeight="1">
      <c r="A76" s="16"/>
      <c r="B76" s="16"/>
      <c r="C76" s="16"/>
      <c r="D76" s="16"/>
      <c r="E76" s="22"/>
      <c r="F76" s="22"/>
      <c r="G76" s="17"/>
      <c r="H76" s="17"/>
      <c r="I76" s="16"/>
      <c r="J76" s="16"/>
      <c r="K76" s="16"/>
    </row>
    <row r="77" ht="14.25" customHeight="1">
      <c r="A77" s="16"/>
      <c r="B77" s="16"/>
      <c r="C77" s="16"/>
      <c r="D77" s="16"/>
      <c r="E77" s="22"/>
      <c r="F77" s="22"/>
      <c r="G77" s="17"/>
      <c r="H77" s="17"/>
      <c r="I77" s="16"/>
      <c r="J77" s="16"/>
      <c r="K77" s="16"/>
    </row>
    <row r="78" ht="14.25" customHeight="1">
      <c r="A78" s="16"/>
      <c r="B78" s="16"/>
      <c r="C78" s="16"/>
      <c r="D78" s="16"/>
      <c r="E78" s="22"/>
      <c r="F78" s="22"/>
      <c r="G78" s="17"/>
      <c r="H78" s="17"/>
      <c r="I78" s="16"/>
      <c r="J78" s="16"/>
      <c r="K78" s="16"/>
    </row>
    <row r="79" ht="14.25" customHeight="1">
      <c r="A79" s="16"/>
      <c r="B79" s="16"/>
      <c r="C79" s="16"/>
      <c r="D79" s="16"/>
      <c r="E79" s="22"/>
      <c r="F79" s="22"/>
      <c r="G79" s="17"/>
      <c r="H79" s="17"/>
      <c r="I79" s="16"/>
      <c r="J79" s="16"/>
      <c r="K79" s="16"/>
    </row>
    <row r="80" ht="14.25" customHeight="1">
      <c r="A80" s="16"/>
      <c r="B80" s="16"/>
      <c r="C80" s="16"/>
      <c r="D80" s="16"/>
      <c r="E80" s="22"/>
      <c r="F80" s="22"/>
      <c r="G80" s="17"/>
      <c r="H80" s="17"/>
      <c r="I80" s="16"/>
      <c r="J80" s="16"/>
      <c r="K80" s="16"/>
    </row>
    <row r="81" ht="14.25" customHeight="1">
      <c r="A81" s="16"/>
      <c r="B81" s="16"/>
      <c r="C81" s="16"/>
      <c r="D81" s="16"/>
      <c r="E81" s="22"/>
      <c r="F81" s="22"/>
      <c r="G81" s="17"/>
      <c r="H81" s="17"/>
      <c r="I81" s="16"/>
      <c r="J81" s="16"/>
      <c r="K81" s="16"/>
    </row>
    <row r="82" ht="14.25" customHeight="1">
      <c r="A82" s="16"/>
      <c r="B82" s="16"/>
      <c r="C82" s="16"/>
      <c r="D82" s="16"/>
      <c r="E82" s="22"/>
      <c r="F82" s="22"/>
      <c r="G82" s="17"/>
      <c r="H82" s="17"/>
      <c r="I82" s="16"/>
      <c r="J82" s="16"/>
      <c r="K82" s="16"/>
    </row>
    <row r="83" ht="14.25" customHeight="1">
      <c r="A83" s="16"/>
      <c r="B83" s="16"/>
      <c r="C83" s="16"/>
      <c r="D83" s="16"/>
      <c r="E83" s="22"/>
      <c r="F83" s="22"/>
      <c r="G83" s="17"/>
      <c r="H83" s="17"/>
      <c r="I83" s="16"/>
      <c r="J83" s="16"/>
      <c r="K83" s="16"/>
    </row>
    <row r="84" ht="14.25" customHeight="1">
      <c r="A84" s="16"/>
      <c r="B84" s="16"/>
      <c r="C84" s="16"/>
      <c r="D84" s="16"/>
      <c r="E84" s="22"/>
      <c r="F84" s="22"/>
      <c r="G84" s="17"/>
      <c r="H84" s="17"/>
      <c r="I84" s="16"/>
      <c r="J84" s="16"/>
      <c r="K84" s="16"/>
    </row>
    <row r="85" ht="14.25" customHeight="1">
      <c r="A85" s="16"/>
      <c r="B85" s="16"/>
      <c r="C85" s="16"/>
      <c r="D85" s="16"/>
      <c r="E85" s="22"/>
      <c r="F85" s="22"/>
      <c r="G85" s="17"/>
      <c r="H85" s="17"/>
      <c r="I85" s="16"/>
      <c r="J85" s="16"/>
      <c r="K85" s="16"/>
    </row>
    <row r="86" ht="14.25" customHeight="1">
      <c r="A86" s="16"/>
      <c r="B86" s="16"/>
      <c r="C86" s="16"/>
      <c r="D86" s="16"/>
      <c r="E86" s="22"/>
      <c r="F86" s="22"/>
      <c r="G86" s="17"/>
      <c r="H86" s="17"/>
      <c r="I86" s="16"/>
      <c r="J86" s="16"/>
      <c r="K86" s="16"/>
    </row>
    <row r="87" ht="14.25" customHeight="1">
      <c r="A87" s="16"/>
      <c r="B87" s="16"/>
      <c r="C87" s="16"/>
      <c r="D87" s="16"/>
      <c r="E87" s="22"/>
      <c r="F87" s="22"/>
      <c r="G87" s="17"/>
      <c r="H87" s="17"/>
      <c r="I87" s="16"/>
      <c r="J87" s="16"/>
      <c r="K87" s="16"/>
    </row>
    <row r="88" ht="14.25" customHeight="1">
      <c r="A88" s="16"/>
      <c r="B88" s="16"/>
      <c r="C88" s="16"/>
      <c r="D88" s="16"/>
      <c r="E88" s="22"/>
      <c r="F88" s="22"/>
      <c r="G88" s="17"/>
      <c r="H88" s="17"/>
      <c r="I88" s="16"/>
      <c r="J88" s="16"/>
      <c r="K88" s="16"/>
    </row>
    <row r="89" ht="14.25" customHeight="1">
      <c r="A89" s="16"/>
      <c r="B89" s="16"/>
      <c r="C89" s="16"/>
      <c r="D89" s="16"/>
      <c r="E89" s="22"/>
      <c r="F89" s="22"/>
      <c r="G89" s="17"/>
      <c r="H89" s="17"/>
      <c r="I89" s="16"/>
      <c r="J89" s="16"/>
      <c r="K89" s="16"/>
    </row>
    <row r="90" ht="14.25" customHeight="1">
      <c r="A90" s="16"/>
      <c r="B90" s="16"/>
      <c r="C90" s="16"/>
      <c r="D90" s="16"/>
      <c r="E90" s="22"/>
      <c r="F90" s="22"/>
      <c r="G90" s="17"/>
      <c r="H90" s="17"/>
      <c r="I90" s="16"/>
      <c r="J90" s="16"/>
      <c r="K90" s="16"/>
    </row>
    <row r="91" ht="14.25" customHeight="1">
      <c r="A91" s="16"/>
      <c r="B91" s="16"/>
      <c r="C91" s="16"/>
      <c r="D91" s="16"/>
      <c r="E91" s="22"/>
      <c r="F91" s="22"/>
      <c r="G91" s="17"/>
      <c r="H91" s="17"/>
      <c r="I91" s="16"/>
      <c r="J91" s="16"/>
      <c r="K91" s="16"/>
    </row>
    <row r="92" ht="14.25" customHeight="1">
      <c r="A92" s="16"/>
      <c r="B92" s="16"/>
      <c r="C92" s="16"/>
      <c r="D92" s="16"/>
      <c r="E92" s="22"/>
      <c r="F92" s="22"/>
      <c r="G92" s="17"/>
      <c r="H92" s="17"/>
      <c r="I92" s="16"/>
      <c r="J92" s="16"/>
      <c r="K92" s="16"/>
    </row>
    <row r="93" ht="14.25" customHeight="1">
      <c r="A93" s="16"/>
      <c r="B93" s="16"/>
      <c r="C93" s="16"/>
      <c r="D93" s="16"/>
      <c r="E93" s="22"/>
      <c r="F93" s="22"/>
      <c r="G93" s="17"/>
      <c r="H93" s="17"/>
      <c r="I93" s="16"/>
      <c r="J93" s="16"/>
      <c r="K93" s="16"/>
    </row>
    <row r="94" ht="14.25" customHeight="1">
      <c r="A94" s="16"/>
      <c r="B94" s="16"/>
      <c r="C94" s="16"/>
      <c r="D94" s="16"/>
      <c r="E94" s="22"/>
      <c r="F94" s="22"/>
      <c r="G94" s="17"/>
      <c r="H94" s="17"/>
      <c r="I94" s="16"/>
      <c r="J94" s="16"/>
      <c r="K94" s="16"/>
    </row>
    <row r="95" ht="14.25" customHeight="1">
      <c r="A95" s="16"/>
      <c r="B95" s="16"/>
      <c r="C95" s="16"/>
      <c r="D95" s="16"/>
      <c r="E95" s="22"/>
      <c r="F95" s="22"/>
      <c r="G95" s="17"/>
      <c r="H95" s="17"/>
      <c r="I95" s="16"/>
      <c r="J95" s="16"/>
      <c r="K95" s="16"/>
    </row>
    <row r="96" ht="14.25" customHeight="1">
      <c r="A96" s="16"/>
      <c r="B96" s="16"/>
      <c r="C96" s="16"/>
      <c r="D96" s="16"/>
      <c r="E96" s="22"/>
      <c r="F96" s="22"/>
      <c r="G96" s="17"/>
      <c r="H96" s="17"/>
      <c r="I96" s="16"/>
      <c r="J96" s="16"/>
      <c r="K96" s="16"/>
    </row>
    <row r="97" ht="14.25" customHeight="1">
      <c r="A97" s="16"/>
      <c r="B97" s="16"/>
      <c r="C97" s="16"/>
      <c r="D97" s="16"/>
      <c r="E97" s="22"/>
      <c r="F97" s="22"/>
      <c r="G97" s="17"/>
      <c r="H97" s="17"/>
      <c r="I97" s="16"/>
      <c r="J97" s="16"/>
      <c r="K97" s="16"/>
    </row>
    <row r="98" ht="14.25" customHeight="1">
      <c r="A98" s="16"/>
      <c r="B98" s="16"/>
      <c r="C98" s="16"/>
      <c r="D98" s="16"/>
      <c r="E98" s="22"/>
      <c r="F98" s="22"/>
      <c r="G98" s="17"/>
      <c r="H98" s="17"/>
      <c r="I98" s="16"/>
      <c r="J98" s="16"/>
      <c r="K98" s="16"/>
    </row>
    <row r="99" ht="14.25" customHeight="1">
      <c r="A99" s="16"/>
      <c r="B99" s="16"/>
      <c r="C99" s="16"/>
      <c r="D99" s="16"/>
      <c r="E99" s="22"/>
      <c r="F99" s="22"/>
      <c r="G99" s="17"/>
      <c r="H99" s="17"/>
      <c r="I99" s="16"/>
      <c r="J99" s="16"/>
      <c r="K99" s="16"/>
    </row>
    <row r="100" ht="14.25" customHeight="1">
      <c r="A100" s="16"/>
      <c r="B100" s="16"/>
      <c r="C100" s="16"/>
      <c r="D100" s="16"/>
      <c r="E100" s="22"/>
      <c r="F100" s="22"/>
      <c r="G100" s="17"/>
      <c r="H100" s="17"/>
      <c r="I100" s="16"/>
      <c r="J100" s="16"/>
      <c r="K100" s="16"/>
    </row>
    <row r="101" ht="14.25" customHeight="1">
      <c r="A101" s="16"/>
      <c r="B101" s="16"/>
      <c r="C101" s="16"/>
      <c r="D101" s="16"/>
      <c r="E101" s="22"/>
      <c r="F101" s="22"/>
      <c r="G101" s="17"/>
      <c r="H101" s="17"/>
      <c r="I101" s="16"/>
      <c r="J101" s="16"/>
      <c r="K101" s="16"/>
    </row>
    <row r="102" ht="14.25" customHeight="1">
      <c r="A102" s="16"/>
      <c r="B102" s="16"/>
      <c r="C102" s="16"/>
      <c r="D102" s="16"/>
      <c r="E102" s="22"/>
      <c r="F102" s="22"/>
      <c r="G102" s="17"/>
      <c r="H102" s="17"/>
      <c r="I102" s="16"/>
      <c r="J102" s="16"/>
      <c r="K102" s="16"/>
    </row>
    <row r="103" ht="14.25" customHeight="1">
      <c r="A103" s="16"/>
      <c r="B103" s="16"/>
      <c r="C103" s="16"/>
      <c r="D103" s="16"/>
      <c r="E103" s="22"/>
      <c r="F103" s="22"/>
      <c r="G103" s="17"/>
      <c r="H103" s="17"/>
      <c r="I103" s="16"/>
      <c r="J103" s="16"/>
      <c r="K103" s="16"/>
    </row>
    <row r="104" ht="14.25" customHeight="1">
      <c r="A104" s="16"/>
      <c r="B104" s="16"/>
      <c r="C104" s="16"/>
      <c r="D104" s="16"/>
      <c r="E104" s="22"/>
      <c r="F104" s="22"/>
      <c r="G104" s="17"/>
      <c r="H104" s="17"/>
      <c r="I104" s="16"/>
      <c r="J104" s="16"/>
      <c r="K104" s="16"/>
    </row>
    <row r="105" ht="14.25" customHeight="1">
      <c r="A105" s="16"/>
      <c r="B105" s="16"/>
      <c r="C105" s="16"/>
      <c r="D105" s="16"/>
      <c r="E105" s="22"/>
      <c r="F105" s="22"/>
      <c r="G105" s="17"/>
      <c r="H105" s="17"/>
      <c r="I105" s="16"/>
      <c r="J105" s="16"/>
      <c r="K105" s="16"/>
    </row>
    <row r="106" ht="14.25" customHeight="1">
      <c r="A106" s="16"/>
      <c r="B106" s="16"/>
      <c r="C106" s="16"/>
      <c r="D106" s="16"/>
      <c r="E106" s="22"/>
      <c r="F106" s="22"/>
      <c r="G106" s="17"/>
      <c r="H106" s="17"/>
      <c r="I106" s="16"/>
      <c r="J106" s="16"/>
      <c r="K106" s="16"/>
    </row>
    <row r="107" ht="14.25" customHeight="1">
      <c r="A107" s="16"/>
      <c r="B107" s="16"/>
      <c r="C107" s="16"/>
      <c r="D107" s="16"/>
      <c r="E107" s="22"/>
      <c r="F107" s="22"/>
      <c r="G107" s="17"/>
      <c r="H107" s="17"/>
      <c r="I107" s="16"/>
      <c r="J107" s="16"/>
      <c r="K107" s="16"/>
    </row>
    <row r="108" ht="14.25" customHeight="1">
      <c r="A108" s="16"/>
      <c r="B108" s="16"/>
      <c r="C108" s="16"/>
      <c r="D108" s="16"/>
      <c r="E108" s="22"/>
      <c r="F108" s="22"/>
      <c r="G108" s="17"/>
      <c r="H108" s="17"/>
      <c r="I108" s="16"/>
      <c r="J108" s="16"/>
      <c r="K108" s="16"/>
    </row>
    <row r="109" ht="14.25" customHeight="1">
      <c r="A109" s="16"/>
      <c r="B109" s="16"/>
      <c r="C109" s="16"/>
      <c r="D109" s="16"/>
      <c r="E109" s="22"/>
      <c r="F109" s="22"/>
      <c r="G109" s="17"/>
      <c r="H109" s="17"/>
      <c r="I109" s="16"/>
      <c r="J109" s="16"/>
      <c r="K109" s="16"/>
    </row>
    <row r="110" ht="14.25" customHeight="1">
      <c r="A110" s="16"/>
      <c r="B110" s="16"/>
      <c r="C110" s="16"/>
      <c r="D110" s="16"/>
      <c r="E110" s="22"/>
      <c r="F110" s="22"/>
      <c r="G110" s="17"/>
      <c r="H110" s="17"/>
      <c r="I110" s="16"/>
      <c r="J110" s="16"/>
      <c r="K110" s="16"/>
    </row>
    <row r="111" ht="14.25" customHeight="1">
      <c r="A111" s="16"/>
      <c r="B111" s="16"/>
      <c r="C111" s="16"/>
      <c r="D111" s="16"/>
      <c r="E111" s="22"/>
      <c r="F111" s="22"/>
      <c r="G111" s="17"/>
      <c r="H111" s="17"/>
      <c r="I111" s="16"/>
      <c r="J111" s="16"/>
      <c r="K111" s="16"/>
    </row>
    <row r="112" ht="14.25" customHeight="1">
      <c r="A112" s="16"/>
      <c r="B112" s="16"/>
      <c r="C112" s="16"/>
      <c r="D112" s="16"/>
      <c r="E112" s="22"/>
      <c r="F112" s="22"/>
      <c r="G112" s="17"/>
      <c r="H112" s="17"/>
      <c r="I112" s="16"/>
      <c r="J112" s="16"/>
      <c r="K112" s="16"/>
    </row>
    <row r="113" ht="14.25" customHeight="1">
      <c r="A113" s="16"/>
      <c r="B113" s="16"/>
      <c r="C113" s="16"/>
      <c r="D113" s="16"/>
      <c r="E113" s="22"/>
      <c r="F113" s="22"/>
      <c r="G113" s="17"/>
      <c r="H113" s="17"/>
      <c r="I113" s="16"/>
      <c r="J113" s="16"/>
      <c r="K113" s="16"/>
    </row>
    <row r="114" ht="14.25" customHeight="1">
      <c r="A114" s="16"/>
      <c r="B114" s="16"/>
      <c r="C114" s="16"/>
      <c r="D114" s="16"/>
      <c r="E114" s="22"/>
      <c r="F114" s="22"/>
      <c r="G114" s="17"/>
      <c r="H114" s="17"/>
      <c r="I114" s="16"/>
      <c r="J114" s="16"/>
      <c r="K114" s="16"/>
    </row>
    <row r="115" ht="14.25" customHeight="1">
      <c r="A115" s="16"/>
      <c r="B115" s="16"/>
      <c r="C115" s="16"/>
      <c r="D115" s="16"/>
      <c r="E115" s="22"/>
      <c r="F115" s="22"/>
      <c r="G115" s="17"/>
      <c r="H115" s="17"/>
      <c r="I115" s="16"/>
      <c r="J115" s="16"/>
      <c r="K115" s="16"/>
    </row>
    <row r="116" ht="14.25" customHeight="1">
      <c r="A116" s="16"/>
      <c r="B116" s="16"/>
      <c r="C116" s="16"/>
      <c r="D116" s="16"/>
      <c r="E116" s="22"/>
      <c r="F116" s="22"/>
      <c r="G116" s="17"/>
      <c r="H116" s="17"/>
      <c r="I116" s="16"/>
      <c r="J116" s="16"/>
      <c r="K116" s="16"/>
    </row>
    <row r="117" ht="14.25" customHeight="1">
      <c r="A117" s="16"/>
      <c r="B117" s="16"/>
      <c r="C117" s="16"/>
      <c r="D117" s="16"/>
      <c r="E117" s="22"/>
      <c r="F117" s="22"/>
      <c r="G117" s="17"/>
      <c r="H117" s="17"/>
      <c r="I117" s="16"/>
      <c r="J117" s="16"/>
      <c r="K117" s="16"/>
    </row>
    <row r="118" ht="14.25" customHeight="1">
      <c r="A118" s="16"/>
      <c r="B118" s="16"/>
      <c r="C118" s="16"/>
      <c r="D118" s="16"/>
      <c r="E118" s="22"/>
      <c r="F118" s="22"/>
      <c r="G118" s="17"/>
      <c r="H118" s="17"/>
      <c r="I118" s="16"/>
      <c r="J118" s="16"/>
      <c r="K118" s="16"/>
    </row>
    <row r="119" ht="14.25" customHeight="1">
      <c r="A119" s="16"/>
      <c r="B119" s="16"/>
      <c r="C119" s="16"/>
      <c r="D119" s="16"/>
      <c r="E119" s="22"/>
      <c r="F119" s="22"/>
      <c r="G119" s="17"/>
      <c r="H119" s="17"/>
      <c r="I119" s="16"/>
      <c r="J119" s="16"/>
      <c r="K119" s="16"/>
    </row>
    <row r="120" ht="14.25" customHeight="1">
      <c r="A120" s="16"/>
      <c r="B120" s="16"/>
      <c r="C120" s="16"/>
      <c r="D120" s="16"/>
      <c r="E120" s="22"/>
      <c r="F120" s="22"/>
      <c r="G120" s="17"/>
      <c r="H120" s="17"/>
      <c r="I120" s="16"/>
      <c r="J120" s="16"/>
      <c r="K120" s="16"/>
    </row>
    <row r="121" ht="14.25" customHeight="1">
      <c r="A121" s="16"/>
      <c r="B121" s="16"/>
      <c r="C121" s="16"/>
      <c r="D121" s="16"/>
      <c r="E121" s="22"/>
      <c r="F121" s="22"/>
      <c r="G121" s="17"/>
      <c r="H121" s="17"/>
      <c r="I121" s="16"/>
      <c r="J121" s="16"/>
      <c r="K121" s="16"/>
    </row>
    <row r="122" ht="14.25" customHeight="1">
      <c r="A122" s="16"/>
      <c r="B122" s="16"/>
      <c r="C122" s="16"/>
      <c r="D122" s="16"/>
      <c r="E122" s="22"/>
      <c r="F122" s="22"/>
      <c r="G122" s="17"/>
      <c r="H122" s="17"/>
      <c r="I122" s="16"/>
      <c r="J122" s="16"/>
      <c r="K122" s="16"/>
    </row>
    <row r="123" ht="14.25" customHeight="1">
      <c r="A123" s="16"/>
      <c r="B123" s="16"/>
      <c r="C123" s="16"/>
      <c r="D123" s="16"/>
      <c r="E123" s="22"/>
      <c r="F123" s="22"/>
      <c r="G123" s="17"/>
      <c r="H123" s="17"/>
      <c r="I123" s="16"/>
      <c r="J123" s="16"/>
      <c r="K123" s="16"/>
    </row>
    <row r="124" ht="14.25" customHeight="1">
      <c r="A124" s="16"/>
      <c r="B124" s="16"/>
      <c r="C124" s="16"/>
      <c r="D124" s="16"/>
      <c r="E124" s="22"/>
      <c r="F124" s="22"/>
      <c r="G124" s="17"/>
      <c r="H124" s="17"/>
      <c r="I124" s="16"/>
      <c r="J124" s="16"/>
      <c r="K124" s="16"/>
    </row>
    <row r="125" ht="14.25" customHeight="1">
      <c r="A125" s="16"/>
      <c r="B125" s="16"/>
      <c r="C125" s="16"/>
      <c r="D125" s="16"/>
      <c r="E125" s="22"/>
      <c r="F125" s="22"/>
      <c r="G125" s="17"/>
      <c r="H125" s="17"/>
      <c r="I125" s="16"/>
      <c r="J125" s="16"/>
      <c r="K125" s="16"/>
    </row>
    <row r="126" ht="14.25" customHeight="1">
      <c r="A126" s="16"/>
      <c r="B126" s="16"/>
      <c r="C126" s="16"/>
      <c r="D126" s="16"/>
      <c r="E126" s="22"/>
      <c r="F126" s="22"/>
      <c r="G126" s="17"/>
      <c r="H126" s="17"/>
      <c r="I126" s="16"/>
      <c r="J126" s="16"/>
      <c r="K126" s="16"/>
    </row>
    <row r="127" ht="14.25" customHeight="1">
      <c r="A127" s="16"/>
      <c r="B127" s="16"/>
      <c r="C127" s="16"/>
      <c r="D127" s="16"/>
      <c r="E127" s="22"/>
      <c r="F127" s="22"/>
      <c r="G127" s="17"/>
      <c r="H127" s="17"/>
      <c r="I127" s="16"/>
      <c r="J127" s="16"/>
      <c r="K127" s="16"/>
    </row>
    <row r="128" ht="14.25" customHeight="1">
      <c r="A128" s="16"/>
      <c r="B128" s="16"/>
      <c r="C128" s="16"/>
      <c r="D128" s="16"/>
      <c r="E128" s="22"/>
      <c r="F128" s="22"/>
      <c r="G128" s="17"/>
      <c r="H128" s="17"/>
      <c r="I128" s="16"/>
      <c r="J128" s="16"/>
      <c r="K128" s="16"/>
    </row>
    <row r="129" ht="14.25" customHeight="1">
      <c r="A129" s="16"/>
      <c r="B129" s="16"/>
      <c r="C129" s="16"/>
      <c r="D129" s="16"/>
      <c r="E129" s="22"/>
      <c r="F129" s="22"/>
      <c r="G129" s="17"/>
      <c r="H129" s="17"/>
      <c r="I129" s="16"/>
      <c r="J129" s="16"/>
      <c r="K129" s="16"/>
    </row>
    <row r="130" ht="14.25" customHeight="1">
      <c r="A130" s="16"/>
      <c r="B130" s="16"/>
      <c r="C130" s="16"/>
      <c r="D130" s="16"/>
      <c r="E130" s="22"/>
      <c r="F130" s="22"/>
      <c r="G130" s="17"/>
      <c r="H130" s="17"/>
      <c r="I130" s="16"/>
      <c r="J130" s="16"/>
      <c r="K130" s="16"/>
    </row>
    <row r="131" ht="14.25" customHeight="1">
      <c r="A131" s="16"/>
      <c r="B131" s="16"/>
      <c r="C131" s="16"/>
      <c r="D131" s="16"/>
      <c r="E131" s="22"/>
      <c r="F131" s="22"/>
      <c r="G131" s="17"/>
      <c r="H131" s="17"/>
      <c r="I131" s="16"/>
      <c r="J131" s="16"/>
      <c r="K131" s="16"/>
    </row>
    <row r="132" ht="14.25" customHeight="1">
      <c r="A132" s="16"/>
      <c r="B132" s="16"/>
      <c r="C132" s="16"/>
      <c r="D132" s="16"/>
      <c r="E132" s="22"/>
      <c r="F132" s="22"/>
      <c r="G132" s="17"/>
      <c r="H132" s="17"/>
      <c r="I132" s="16"/>
      <c r="J132" s="16"/>
      <c r="K132" s="16"/>
    </row>
    <row r="133" ht="14.25" customHeight="1">
      <c r="A133" s="16"/>
      <c r="B133" s="16"/>
      <c r="C133" s="16"/>
      <c r="D133" s="16"/>
      <c r="E133" s="22"/>
      <c r="F133" s="22"/>
      <c r="G133" s="17"/>
      <c r="H133" s="17"/>
      <c r="I133" s="16"/>
      <c r="J133" s="16"/>
      <c r="K133" s="16"/>
    </row>
    <row r="134" ht="14.25" customHeight="1">
      <c r="A134" s="16"/>
      <c r="B134" s="16"/>
      <c r="C134" s="16"/>
      <c r="D134" s="16"/>
      <c r="E134" s="22"/>
      <c r="F134" s="22"/>
      <c r="G134" s="17"/>
      <c r="H134" s="17"/>
      <c r="I134" s="16"/>
      <c r="J134" s="16"/>
      <c r="K134" s="16"/>
    </row>
    <row r="135" ht="14.25" customHeight="1">
      <c r="A135" s="16"/>
      <c r="B135" s="16"/>
      <c r="C135" s="16"/>
      <c r="D135" s="16"/>
      <c r="E135" s="22"/>
      <c r="F135" s="22"/>
      <c r="G135" s="17"/>
      <c r="H135" s="17"/>
      <c r="I135" s="16"/>
      <c r="J135" s="16"/>
      <c r="K135" s="16"/>
    </row>
    <row r="136" ht="14.25" customHeight="1">
      <c r="A136" s="16"/>
      <c r="B136" s="16"/>
      <c r="C136" s="16"/>
      <c r="D136" s="16"/>
      <c r="E136" s="22"/>
      <c r="F136" s="22"/>
      <c r="G136" s="17"/>
      <c r="H136" s="17"/>
      <c r="I136" s="16"/>
      <c r="J136" s="16"/>
      <c r="K136" s="16"/>
    </row>
    <row r="137" ht="14.25" customHeight="1">
      <c r="A137" s="16"/>
      <c r="B137" s="16"/>
      <c r="C137" s="16"/>
      <c r="D137" s="16"/>
      <c r="E137" s="22"/>
      <c r="F137" s="22"/>
      <c r="G137" s="17"/>
      <c r="H137" s="17"/>
      <c r="I137" s="16"/>
      <c r="J137" s="16"/>
      <c r="K137" s="16"/>
    </row>
    <row r="138" ht="14.25" customHeight="1">
      <c r="A138" s="16"/>
      <c r="B138" s="16"/>
      <c r="C138" s="16"/>
      <c r="D138" s="16"/>
      <c r="E138" s="22"/>
      <c r="F138" s="22"/>
      <c r="G138" s="17"/>
      <c r="H138" s="17"/>
      <c r="I138" s="16"/>
      <c r="J138" s="16"/>
      <c r="K138" s="16"/>
    </row>
    <row r="139" ht="14.25" customHeight="1">
      <c r="A139" s="16"/>
      <c r="B139" s="16"/>
      <c r="C139" s="16"/>
      <c r="D139" s="16"/>
      <c r="E139" s="22"/>
      <c r="F139" s="22"/>
      <c r="G139" s="17"/>
      <c r="H139" s="17"/>
      <c r="I139" s="16"/>
      <c r="J139" s="16"/>
      <c r="K139" s="16"/>
    </row>
    <row r="140" ht="14.25" customHeight="1">
      <c r="A140" s="16"/>
      <c r="B140" s="16"/>
      <c r="C140" s="16"/>
      <c r="D140" s="16"/>
      <c r="E140" s="22"/>
      <c r="F140" s="22"/>
      <c r="G140" s="17"/>
      <c r="H140" s="17"/>
      <c r="I140" s="16"/>
      <c r="J140" s="16"/>
      <c r="K140" s="16"/>
    </row>
    <row r="141" ht="14.25" customHeight="1">
      <c r="A141" s="16"/>
      <c r="B141" s="16"/>
      <c r="C141" s="16"/>
      <c r="D141" s="16"/>
      <c r="E141" s="22"/>
      <c r="F141" s="22"/>
      <c r="G141" s="17"/>
      <c r="H141" s="17"/>
      <c r="I141" s="16"/>
      <c r="J141" s="16"/>
      <c r="K141" s="16"/>
    </row>
    <row r="142" ht="14.25" customHeight="1">
      <c r="A142" s="16"/>
      <c r="B142" s="16"/>
      <c r="C142" s="16"/>
      <c r="D142" s="16"/>
      <c r="E142" s="22"/>
      <c r="F142" s="22"/>
      <c r="G142" s="17"/>
      <c r="H142" s="17"/>
      <c r="I142" s="16"/>
      <c r="J142" s="16"/>
      <c r="K142" s="16"/>
    </row>
    <row r="143" ht="14.25" customHeight="1">
      <c r="A143" s="16"/>
      <c r="B143" s="16"/>
      <c r="C143" s="16"/>
      <c r="D143" s="16"/>
      <c r="E143" s="22"/>
      <c r="F143" s="22"/>
      <c r="G143" s="17"/>
      <c r="H143" s="17"/>
      <c r="I143" s="16"/>
      <c r="J143" s="16"/>
      <c r="K143" s="16"/>
    </row>
    <row r="144" ht="14.25" customHeight="1">
      <c r="A144" s="16"/>
      <c r="B144" s="16"/>
      <c r="C144" s="16"/>
      <c r="D144" s="16"/>
      <c r="E144" s="22"/>
      <c r="F144" s="22"/>
      <c r="G144" s="17"/>
      <c r="H144" s="17"/>
      <c r="I144" s="16"/>
      <c r="J144" s="16"/>
      <c r="K144" s="16"/>
    </row>
    <row r="145" ht="14.25" customHeight="1">
      <c r="A145" s="16"/>
      <c r="B145" s="16"/>
      <c r="C145" s="16"/>
      <c r="D145" s="16"/>
      <c r="E145" s="22"/>
      <c r="F145" s="22"/>
      <c r="G145" s="17"/>
      <c r="H145" s="17"/>
      <c r="I145" s="16"/>
      <c r="J145" s="16"/>
      <c r="K145" s="16"/>
    </row>
    <row r="146" ht="14.25" customHeight="1">
      <c r="A146" s="16"/>
      <c r="B146" s="16"/>
      <c r="C146" s="16"/>
      <c r="D146" s="16"/>
      <c r="E146" s="22"/>
      <c r="F146" s="22"/>
      <c r="G146" s="17"/>
      <c r="H146" s="17"/>
      <c r="I146" s="16"/>
      <c r="J146" s="16"/>
      <c r="K146" s="16"/>
    </row>
    <row r="147" ht="14.25" customHeight="1">
      <c r="A147" s="16"/>
      <c r="B147" s="16"/>
      <c r="C147" s="16"/>
      <c r="D147" s="16"/>
      <c r="E147" s="22"/>
      <c r="F147" s="22"/>
      <c r="G147" s="17"/>
      <c r="H147" s="17"/>
      <c r="I147" s="16"/>
      <c r="J147" s="16"/>
      <c r="K147" s="16"/>
    </row>
    <row r="148" ht="14.25" customHeight="1">
      <c r="A148" s="16"/>
      <c r="B148" s="16"/>
      <c r="C148" s="16"/>
      <c r="D148" s="16"/>
      <c r="E148" s="22"/>
      <c r="F148" s="22"/>
      <c r="G148" s="17"/>
      <c r="H148" s="17"/>
      <c r="I148" s="16"/>
      <c r="J148" s="16"/>
      <c r="K148" s="16"/>
    </row>
    <row r="149" ht="14.25" customHeight="1">
      <c r="A149" s="16"/>
      <c r="B149" s="16"/>
      <c r="C149" s="16"/>
      <c r="D149" s="16"/>
      <c r="E149" s="22"/>
      <c r="F149" s="22"/>
      <c r="G149" s="17"/>
      <c r="H149" s="17"/>
      <c r="I149" s="16"/>
      <c r="J149" s="16"/>
      <c r="K149" s="16"/>
    </row>
    <row r="150" ht="14.25" customHeight="1">
      <c r="A150" s="16"/>
      <c r="B150" s="16"/>
      <c r="C150" s="16"/>
      <c r="D150" s="16"/>
      <c r="E150" s="22"/>
      <c r="F150" s="22"/>
      <c r="G150" s="17"/>
      <c r="H150" s="17"/>
      <c r="I150" s="16"/>
      <c r="J150" s="16"/>
      <c r="K150" s="16"/>
    </row>
    <row r="151" ht="14.25" customHeight="1">
      <c r="C151" s="8"/>
      <c r="I151" s="8"/>
      <c r="J151" s="8"/>
    </row>
    <row r="152" ht="14.25" customHeight="1">
      <c r="C152" s="8"/>
      <c r="I152" s="8"/>
      <c r="J152" s="8"/>
    </row>
    <row r="153" ht="14.25" customHeight="1">
      <c r="C153" s="8"/>
      <c r="I153" s="8"/>
      <c r="J153" s="8"/>
    </row>
    <row r="154" ht="14.25" customHeight="1">
      <c r="C154" s="8"/>
      <c r="I154" s="8"/>
      <c r="J154" s="8"/>
    </row>
    <row r="155" ht="14.25" customHeight="1">
      <c r="C155" s="8"/>
      <c r="I155" s="8"/>
      <c r="J155" s="8"/>
    </row>
    <row r="156" ht="14.25" customHeight="1">
      <c r="C156" s="8"/>
      <c r="I156" s="8"/>
      <c r="J156" s="8"/>
    </row>
    <row r="157" ht="14.25" customHeight="1">
      <c r="C157" s="8"/>
      <c r="I157" s="8"/>
      <c r="J157" s="8"/>
    </row>
    <row r="158" ht="14.25" customHeight="1">
      <c r="C158" s="8"/>
      <c r="I158" s="8"/>
      <c r="J158" s="8"/>
    </row>
    <row r="159" ht="14.25" customHeight="1">
      <c r="C159" s="8"/>
      <c r="I159" s="8"/>
      <c r="J159" s="8"/>
    </row>
    <row r="160" ht="14.25" customHeight="1">
      <c r="C160" s="8"/>
      <c r="I160" s="8"/>
      <c r="J160" s="8"/>
    </row>
    <row r="161" ht="14.25" customHeight="1">
      <c r="C161" s="8"/>
      <c r="I161" s="8"/>
      <c r="J161" s="8"/>
    </row>
    <row r="162" ht="14.25" customHeight="1">
      <c r="C162" s="8"/>
      <c r="I162" s="8"/>
      <c r="J162" s="8"/>
    </row>
    <row r="163" ht="14.25" customHeight="1">
      <c r="C163" s="8"/>
      <c r="I163" s="8"/>
      <c r="J163" s="8"/>
    </row>
    <row r="164" ht="14.25" customHeight="1">
      <c r="C164" s="8"/>
      <c r="I164" s="8"/>
      <c r="J164" s="8"/>
    </row>
    <row r="165" ht="14.25" customHeight="1">
      <c r="C165" s="8"/>
      <c r="I165" s="8"/>
      <c r="J165" s="8"/>
    </row>
    <row r="166" ht="14.25" customHeight="1">
      <c r="C166" s="8"/>
      <c r="I166" s="8"/>
      <c r="J166" s="8"/>
    </row>
    <row r="167" ht="14.25" customHeight="1">
      <c r="C167" s="8"/>
      <c r="I167" s="8"/>
      <c r="J167" s="8"/>
    </row>
    <row r="168" ht="14.25" customHeight="1">
      <c r="C168" s="8"/>
      <c r="I168" s="8"/>
      <c r="J168" s="8"/>
    </row>
    <row r="169" ht="14.25" customHeight="1">
      <c r="C169" s="8"/>
      <c r="I169" s="8"/>
      <c r="J169" s="8"/>
    </row>
    <row r="170" ht="14.25" customHeight="1">
      <c r="C170" s="8"/>
      <c r="I170" s="8"/>
      <c r="J170" s="8"/>
    </row>
    <row r="171" ht="14.25" customHeight="1">
      <c r="C171" s="8"/>
      <c r="I171" s="8"/>
      <c r="J171" s="8"/>
    </row>
    <row r="172" ht="14.25" customHeight="1">
      <c r="C172" s="8"/>
      <c r="I172" s="8"/>
      <c r="J172" s="8"/>
    </row>
    <row r="173" ht="14.25" customHeight="1">
      <c r="C173" s="8"/>
      <c r="I173" s="8"/>
      <c r="J173" s="8"/>
    </row>
    <row r="174" ht="14.25" customHeight="1">
      <c r="C174" s="8"/>
      <c r="I174" s="8"/>
      <c r="J174" s="8"/>
    </row>
    <row r="175" ht="14.25" customHeight="1">
      <c r="C175" s="8"/>
      <c r="I175" s="8"/>
      <c r="J175" s="8"/>
    </row>
    <row r="176" ht="14.25" customHeight="1">
      <c r="C176" s="8"/>
      <c r="I176" s="8"/>
      <c r="J176" s="8"/>
    </row>
    <row r="177" ht="14.25" customHeight="1">
      <c r="C177" s="8"/>
      <c r="I177" s="8"/>
      <c r="J177" s="8"/>
    </row>
    <row r="178" ht="14.25" customHeight="1">
      <c r="C178" s="8"/>
      <c r="I178" s="8"/>
      <c r="J178" s="8"/>
    </row>
    <row r="179" ht="14.25" customHeight="1">
      <c r="C179" s="8"/>
      <c r="I179" s="8"/>
      <c r="J179" s="8"/>
    </row>
    <row r="180" ht="14.25" customHeight="1">
      <c r="C180" s="8"/>
      <c r="I180" s="8"/>
      <c r="J180" s="8"/>
    </row>
    <row r="181" ht="14.25" customHeight="1">
      <c r="C181" s="8"/>
      <c r="I181" s="8"/>
      <c r="J181" s="8"/>
    </row>
    <row r="182" ht="14.25" customHeight="1">
      <c r="C182" s="8"/>
      <c r="I182" s="8"/>
      <c r="J182" s="8"/>
    </row>
    <row r="183" ht="14.25" customHeight="1">
      <c r="C183" s="8"/>
      <c r="I183" s="8"/>
      <c r="J183" s="8"/>
    </row>
    <row r="184" ht="14.25" customHeight="1">
      <c r="C184" s="8"/>
      <c r="I184" s="8"/>
      <c r="J184" s="8"/>
    </row>
    <row r="185" ht="14.25" customHeight="1">
      <c r="C185" s="8"/>
      <c r="I185" s="8"/>
      <c r="J185" s="8"/>
    </row>
    <row r="186" ht="14.25" customHeight="1">
      <c r="C186" s="8"/>
      <c r="I186" s="8"/>
      <c r="J186" s="8"/>
    </row>
    <row r="187" ht="14.25" customHeight="1">
      <c r="C187" s="8"/>
      <c r="I187" s="8"/>
      <c r="J187" s="8"/>
    </row>
    <row r="188" ht="14.25" customHeight="1">
      <c r="C188" s="8"/>
      <c r="I188" s="8"/>
      <c r="J188" s="8"/>
    </row>
    <row r="189" ht="14.25" customHeight="1">
      <c r="C189" s="8"/>
      <c r="I189" s="8"/>
      <c r="J189" s="8"/>
    </row>
    <row r="190" ht="14.25" customHeight="1">
      <c r="C190" s="8"/>
      <c r="I190" s="8"/>
      <c r="J190" s="8"/>
    </row>
    <row r="191" ht="14.25" customHeight="1">
      <c r="C191" s="8"/>
      <c r="I191" s="8"/>
      <c r="J191" s="8"/>
    </row>
    <row r="192" ht="14.25" customHeight="1">
      <c r="C192" s="8"/>
      <c r="I192" s="8"/>
      <c r="J192" s="8"/>
    </row>
    <row r="193" ht="14.25" customHeight="1">
      <c r="C193" s="8"/>
      <c r="I193" s="8"/>
      <c r="J193" s="8"/>
    </row>
    <row r="194" ht="14.25" customHeight="1">
      <c r="C194" s="8"/>
      <c r="I194" s="8"/>
      <c r="J194" s="8"/>
    </row>
    <row r="195" ht="14.25" customHeight="1">
      <c r="C195" s="8"/>
      <c r="I195" s="8"/>
      <c r="J195" s="8"/>
    </row>
    <row r="196" ht="14.25" customHeight="1">
      <c r="C196" s="8"/>
      <c r="I196" s="8"/>
      <c r="J196" s="8"/>
    </row>
    <row r="197" ht="14.25" customHeight="1">
      <c r="C197" s="8"/>
      <c r="I197" s="8"/>
      <c r="J197" s="8"/>
    </row>
    <row r="198" ht="14.25" customHeight="1">
      <c r="C198" s="8"/>
      <c r="I198" s="8"/>
      <c r="J198" s="8"/>
    </row>
    <row r="199" ht="14.25" customHeight="1">
      <c r="C199" s="8"/>
      <c r="I199" s="8"/>
      <c r="J199" s="8"/>
    </row>
    <row r="200" ht="14.25" customHeight="1">
      <c r="C200" s="8"/>
      <c r="I200" s="8"/>
      <c r="J200" s="8"/>
    </row>
    <row r="201" ht="14.25" customHeight="1">
      <c r="C201" s="8"/>
      <c r="I201" s="8"/>
      <c r="J201" s="8"/>
    </row>
    <row r="202" ht="14.25" customHeight="1">
      <c r="C202" s="8"/>
      <c r="I202" s="8"/>
      <c r="J202" s="8"/>
    </row>
    <row r="203" ht="14.25" customHeight="1">
      <c r="C203" s="8"/>
      <c r="I203" s="8"/>
      <c r="J203" s="8"/>
    </row>
    <row r="204" ht="14.25" customHeight="1">
      <c r="C204" s="8"/>
      <c r="I204" s="8"/>
      <c r="J204" s="8"/>
    </row>
    <row r="205" ht="14.25" customHeight="1">
      <c r="C205" s="8"/>
      <c r="I205" s="8"/>
      <c r="J205" s="8"/>
    </row>
    <row r="206" ht="14.25" customHeight="1">
      <c r="C206" s="8"/>
      <c r="I206" s="8"/>
      <c r="J206" s="8"/>
    </row>
    <row r="207" ht="14.25" customHeight="1">
      <c r="C207" s="8"/>
      <c r="I207" s="8"/>
      <c r="J207" s="8"/>
    </row>
    <row r="208" ht="14.25" customHeight="1">
      <c r="C208" s="8"/>
      <c r="I208" s="8"/>
      <c r="J208" s="8"/>
    </row>
    <row r="209" ht="14.25" customHeight="1">
      <c r="C209" s="8"/>
      <c r="I209" s="8"/>
      <c r="J209" s="8"/>
    </row>
    <row r="210" ht="14.25" customHeight="1">
      <c r="C210" s="8"/>
      <c r="I210" s="8"/>
      <c r="J210" s="8"/>
    </row>
    <row r="211" ht="14.25" customHeight="1">
      <c r="C211" s="8"/>
      <c r="I211" s="8"/>
      <c r="J211" s="8"/>
    </row>
    <row r="212" ht="14.25" customHeight="1">
      <c r="C212" s="8"/>
      <c r="I212" s="8"/>
      <c r="J212" s="8"/>
    </row>
    <row r="213" ht="14.25" customHeight="1">
      <c r="C213" s="8"/>
      <c r="I213" s="8"/>
      <c r="J213" s="8"/>
    </row>
    <row r="214" ht="14.25" customHeight="1">
      <c r="C214" s="8"/>
      <c r="I214" s="8"/>
      <c r="J214" s="8"/>
    </row>
    <row r="215" ht="14.25" customHeight="1">
      <c r="C215" s="8"/>
      <c r="I215" s="8"/>
      <c r="J215" s="8"/>
    </row>
    <row r="216" ht="14.25" customHeight="1">
      <c r="C216" s="8"/>
      <c r="I216" s="8"/>
      <c r="J216" s="8"/>
    </row>
    <row r="217" ht="14.25" customHeight="1">
      <c r="C217" s="8"/>
      <c r="I217" s="8"/>
      <c r="J217" s="8"/>
    </row>
    <row r="218" ht="14.25" customHeight="1">
      <c r="C218" s="8"/>
      <c r="I218" s="8"/>
      <c r="J218" s="8"/>
    </row>
    <row r="219" ht="14.25" customHeight="1">
      <c r="C219" s="8"/>
      <c r="I219" s="8"/>
      <c r="J219" s="8"/>
    </row>
    <row r="220" ht="14.25" customHeight="1">
      <c r="C220" s="8"/>
      <c r="I220" s="8"/>
      <c r="J220" s="8"/>
    </row>
    <row r="221" ht="14.25" customHeight="1">
      <c r="C221" s="8"/>
      <c r="I221" s="8"/>
      <c r="J221" s="8"/>
    </row>
    <row r="222" ht="14.25" customHeight="1">
      <c r="C222" s="8"/>
      <c r="I222" s="8"/>
      <c r="J222" s="8"/>
    </row>
    <row r="223" ht="14.25" customHeight="1">
      <c r="C223" s="8"/>
      <c r="I223" s="8"/>
      <c r="J223" s="8"/>
    </row>
    <row r="224" ht="14.25" customHeight="1">
      <c r="C224" s="8"/>
      <c r="I224" s="8"/>
      <c r="J224" s="8"/>
    </row>
    <row r="225" ht="14.25" customHeight="1">
      <c r="C225" s="8"/>
      <c r="I225" s="8"/>
      <c r="J225" s="8"/>
    </row>
    <row r="226" ht="14.25" customHeight="1">
      <c r="C226" s="8"/>
      <c r="I226" s="8"/>
      <c r="J226" s="8"/>
    </row>
    <row r="227" ht="14.25" customHeight="1">
      <c r="C227" s="8"/>
      <c r="I227" s="8"/>
      <c r="J227" s="8"/>
    </row>
    <row r="228" ht="14.25" customHeight="1">
      <c r="C228" s="8"/>
      <c r="I228" s="8"/>
      <c r="J228" s="8"/>
    </row>
    <row r="229" ht="14.25" customHeight="1">
      <c r="C229" s="8"/>
      <c r="I229" s="8"/>
      <c r="J229" s="8"/>
    </row>
    <row r="230" ht="14.25" customHeight="1">
      <c r="C230" s="8"/>
      <c r="I230" s="8"/>
      <c r="J230" s="8"/>
    </row>
    <row r="231" ht="14.25" customHeight="1">
      <c r="C231" s="8"/>
      <c r="I231" s="8"/>
      <c r="J231" s="8"/>
    </row>
    <row r="232" ht="14.25" customHeight="1">
      <c r="C232" s="8"/>
      <c r="I232" s="8"/>
      <c r="J232" s="8"/>
    </row>
    <row r="233" ht="14.25" customHeight="1">
      <c r="C233" s="8"/>
      <c r="I233" s="8"/>
      <c r="J233" s="8"/>
    </row>
    <row r="234" ht="14.25" customHeight="1">
      <c r="C234" s="8"/>
      <c r="I234" s="8"/>
      <c r="J234" s="8"/>
    </row>
    <row r="235" ht="14.25" customHeight="1">
      <c r="C235" s="8"/>
      <c r="I235" s="8"/>
      <c r="J235" s="8"/>
    </row>
    <row r="236" ht="14.25" customHeight="1">
      <c r="C236" s="8"/>
      <c r="I236" s="8"/>
      <c r="J236" s="8"/>
    </row>
    <row r="237" ht="14.25" customHeight="1">
      <c r="C237" s="8"/>
      <c r="I237" s="8"/>
      <c r="J237" s="8"/>
    </row>
    <row r="238" ht="14.25" customHeight="1">
      <c r="C238" s="8"/>
      <c r="I238" s="8"/>
      <c r="J238" s="8"/>
    </row>
    <row r="239" ht="14.25" customHeight="1">
      <c r="C239" s="8"/>
      <c r="I239" s="8"/>
      <c r="J239" s="8"/>
    </row>
    <row r="240" ht="14.25" customHeight="1">
      <c r="C240" s="8"/>
      <c r="I240" s="8"/>
      <c r="J240" s="8"/>
    </row>
    <row r="241" ht="14.25" customHeight="1">
      <c r="C241" s="8"/>
      <c r="I241" s="8"/>
      <c r="J241" s="8"/>
    </row>
    <row r="242" ht="14.25" customHeight="1">
      <c r="C242" s="8"/>
      <c r="I242" s="8"/>
      <c r="J242" s="8"/>
    </row>
    <row r="243" ht="14.25" customHeight="1">
      <c r="C243" s="8"/>
      <c r="I243" s="8"/>
      <c r="J243" s="8"/>
    </row>
    <row r="244" ht="14.25" customHeight="1">
      <c r="C244" s="8"/>
      <c r="I244" s="8"/>
      <c r="J244" s="8"/>
    </row>
    <row r="245" ht="14.25" customHeight="1">
      <c r="C245" s="8"/>
      <c r="I245" s="8"/>
      <c r="J245" s="8"/>
    </row>
    <row r="246" ht="14.25" customHeight="1">
      <c r="C246" s="8"/>
      <c r="I246" s="8"/>
      <c r="J246" s="8"/>
    </row>
    <row r="247" ht="14.25" customHeight="1">
      <c r="C247" s="8"/>
      <c r="I247" s="8"/>
      <c r="J247" s="8"/>
    </row>
    <row r="248" ht="14.25" customHeight="1">
      <c r="C248" s="8"/>
      <c r="I248" s="8"/>
      <c r="J248" s="8"/>
    </row>
    <row r="249" ht="14.25" customHeight="1">
      <c r="C249" s="8"/>
      <c r="I249" s="8"/>
      <c r="J249" s="8"/>
    </row>
    <row r="250" ht="14.25" customHeight="1">
      <c r="C250" s="8"/>
      <c r="I250" s="8"/>
      <c r="J250" s="8"/>
    </row>
    <row r="251" ht="14.25" customHeight="1">
      <c r="C251" s="8"/>
      <c r="I251" s="8"/>
      <c r="J251" s="8"/>
    </row>
    <row r="252" ht="14.25" customHeight="1">
      <c r="C252" s="8"/>
      <c r="I252" s="8"/>
      <c r="J252" s="8"/>
    </row>
    <row r="253" ht="14.25" customHeight="1">
      <c r="C253" s="8"/>
      <c r="I253" s="8"/>
      <c r="J253" s="8"/>
    </row>
    <row r="254" ht="14.25" customHeight="1">
      <c r="C254" s="8"/>
      <c r="I254" s="8"/>
      <c r="J254" s="8"/>
    </row>
    <row r="255" ht="14.25" customHeight="1">
      <c r="C255" s="8"/>
      <c r="I255" s="8"/>
      <c r="J255" s="8"/>
    </row>
    <row r="256" ht="14.25" customHeight="1">
      <c r="C256" s="8"/>
      <c r="I256" s="8"/>
      <c r="J256" s="8"/>
    </row>
    <row r="257" ht="14.25" customHeight="1">
      <c r="C257" s="8"/>
      <c r="I257" s="8"/>
      <c r="J257" s="8"/>
    </row>
    <row r="258" ht="14.25" customHeight="1">
      <c r="C258" s="8"/>
      <c r="I258" s="8"/>
      <c r="J258" s="8"/>
    </row>
    <row r="259" ht="14.25" customHeight="1">
      <c r="C259" s="8"/>
      <c r="I259" s="8"/>
      <c r="J259" s="8"/>
    </row>
    <row r="260" ht="14.25" customHeight="1">
      <c r="C260" s="8"/>
      <c r="I260" s="8"/>
      <c r="J260" s="8"/>
    </row>
    <row r="261" ht="14.25" customHeight="1">
      <c r="C261" s="8"/>
      <c r="I261" s="8"/>
      <c r="J261" s="8"/>
    </row>
    <row r="262" ht="14.25" customHeight="1">
      <c r="C262" s="8"/>
      <c r="I262" s="8"/>
      <c r="J262" s="8"/>
    </row>
    <row r="263" ht="14.25" customHeight="1">
      <c r="C263" s="8"/>
      <c r="I263" s="8"/>
      <c r="J263" s="8"/>
    </row>
    <row r="264" ht="14.25" customHeight="1">
      <c r="C264" s="8"/>
      <c r="I264" s="8"/>
      <c r="J264" s="8"/>
    </row>
    <row r="265" ht="14.25" customHeight="1">
      <c r="C265" s="8"/>
      <c r="I265" s="8"/>
      <c r="J265" s="8"/>
    </row>
    <row r="266" ht="14.25" customHeight="1">
      <c r="C266" s="8"/>
      <c r="I266" s="8"/>
      <c r="J266" s="8"/>
    </row>
    <row r="267" ht="14.25" customHeight="1">
      <c r="C267" s="8"/>
      <c r="I267" s="8"/>
      <c r="J267" s="8"/>
    </row>
    <row r="268" ht="14.25" customHeight="1">
      <c r="C268" s="8"/>
      <c r="I268" s="8"/>
      <c r="J268" s="8"/>
    </row>
    <row r="269" ht="14.25" customHeight="1">
      <c r="C269" s="8"/>
      <c r="I269" s="8"/>
      <c r="J269" s="8"/>
    </row>
    <row r="270" ht="14.25" customHeight="1">
      <c r="C270" s="8"/>
      <c r="I270" s="8"/>
      <c r="J270" s="8"/>
    </row>
    <row r="271" ht="14.25" customHeight="1">
      <c r="C271" s="8"/>
      <c r="I271" s="8"/>
      <c r="J271" s="8"/>
    </row>
    <row r="272" ht="14.25" customHeight="1">
      <c r="C272" s="8"/>
      <c r="I272" s="8"/>
      <c r="J272" s="8"/>
    </row>
    <row r="273" ht="14.25" customHeight="1">
      <c r="C273" s="8"/>
      <c r="I273" s="8"/>
      <c r="J273" s="8"/>
    </row>
    <row r="274" ht="14.25" customHeight="1">
      <c r="C274" s="8"/>
      <c r="I274" s="8"/>
      <c r="J274" s="8"/>
    </row>
    <row r="275" ht="14.25" customHeight="1">
      <c r="C275" s="8"/>
      <c r="I275" s="8"/>
      <c r="J275" s="8"/>
    </row>
    <row r="276" ht="14.25" customHeight="1">
      <c r="C276" s="8"/>
      <c r="I276" s="8"/>
      <c r="J276" s="8"/>
    </row>
    <row r="277" ht="14.25" customHeight="1">
      <c r="C277" s="8"/>
      <c r="I277" s="8"/>
      <c r="J277" s="8"/>
    </row>
    <row r="278" ht="14.25" customHeight="1">
      <c r="C278" s="8"/>
      <c r="I278" s="8"/>
      <c r="J278" s="8"/>
    </row>
    <row r="279" ht="14.25" customHeight="1">
      <c r="C279" s="8"/>
      <c r="I279" s="8"/>
      <c r="J279" s="8"/>
    </row>
    <row r="280" ht="14.25" customHeight="1">
      <c r="C280" s="8"/>
      <c r="I280" s="8"/>
      <c r="J280" s="8"/>
    </row>
    <row r="281" ht="14.25" customHeight="1">
      <c r="C281" s="8"/>
      <c r="I281" s="8"/>
      <c r="J281" s="8"/>
    </row>
    <row r="282" ht="14.25" customHeight="1">
      <c r="C282" s="8"/>
      <c r="I282" s="8"/>
      <c r="J282" s="8"/>
    </row>
    <row r="283" ht="14.25" customHeight="1">
      <c r="C283" s="8"/>
      <c r="I283" s="8"/>
      <c r="J283" s="8"/>
    </row>
    <row r="284" ht="14.25" customHeight="1">
      <c r="C284" s="8"/>
      <c r="I284" s="8"/>
      <c r="J284" s="8"/>
    </row>
    <row r="285" ht="14.25" customHeight="1">
      <c r="C285" s="8"/>
      <c r="I285" s="8"/>
      <c r="J285" s="8"/>
    </row>
    <row r="286" ht="14.25" customHeight="1">
      <c r="C286" s="8"/>
      <c r="I286" s="8"/>
      <c r="J286" s="8"/>
    </row>
    <row r="287" ht="14.25" customHeight="1">
      <c r="C287" s="8"/>
      <c r="I287" s="8"/>
      <c r="J287" s="8"/>
    </row>
    <row r="288" ht="14.25" customHeight="1">
      <c r="C288" s="8"/>
      <c r="I288" s="8"/>
      <c r="J288" s="8"/>
    </row>
    <row r="289" ht="14.25" customHeight="1">
      <c r="C289" s="8"/>
      <c r="I289" s="8"/>
      <c r="J289" s="8"/>
    </row>
    <row r="290" ht="14.25" customHeight="1">
      <c r="C290" s="8"/>
      <c r="I290" s="8"/>
      <c r="J290" s="8"/>
    </row>
    <row r="291" ht="14.25" customHeight="1">
      <c r="C291" s="8"/>
      <c r="I291" s="8"/>
      <c r="J291" s="8"/>
    </row>
    <row r="292" ht="14.25" customHeight="1">
      <c r="C292" s="8"/>
      <c r="I292" s="8"/>
      <c r="J292" s="8"/>
    </row>
    <row r="293" ht="14.25" customHeight="1">
      <c r="C293" s="8"/>
      <c r="I293" s="8"/>
      <c r="J293" s="8"/>
    </row>
    <row r="294" ht="14.25" customHeight="1">
      <c r="C294" s="8"/>
      <c r="I294" s="8"/>
      <c r="J294" s="8"/>
    </row>
    <row r="295" ht="14.25" customHeight="1">
      <c r="C295" s="8"/>
      <c r="I295" s="8"/>
      <c r="J295" s="8"/>
    </row>
    <row r="296" ht="14.25" customHeight="1">
      <c r="C296" s="8"/>
      <c r="I296" s="8"/>
      <c r="J296" s="8"/>
    </row>
    <row r="297" ht="14.25" customHeight="1">
      <c r="C297" s="8"/>
      <c r="I297" s="8"/>
      <c r="J297" s="8"/>
    </row>
    <row r="298" ht="14.25" customHeight="1">
      <c r="C298" s="8"/>
      <c r="I298" s="8"/>
      <c r="J298" s="8"/>
    </row>
    <row r="299" ht="14.25" customHeight="1">
      <c r="C299" s="8"/>
      <c r="I299" s="8"/>
      <c r="J299" s="8"/>
    </row>
    <row r="300" ht="14.25" customHeight="1">
      <c r="C300" s="8"/>
      <c r="I300" s="8"/>
      <c r="J300" s="8"/>
    </row>
    <row r="301" ht="14.25" customHeight="1">
      <c r="C301" s="8"/>
      <c r="I301" s="8"/>
      <c r="J301" s="8"/>
    </row>
    <row r="302" ht="14.25" customHeight="1">
      <c r="C302" s="8"/>
      <c r="I302" s="8"/>
      <c r="J302" s="8"/>
    </row>
    <row r="303" ht="14.25" customHeight="1">
      <c r="C303" s="8"/>
      <c r="I303" s="8"/>
      <c r="J303" s="8"/>
    </row>
    <row r="304" ht="14.25" customHeight="1">
      <c r="C304" s="8"/>
      <c r="I304" s="8"/>
      <c r="J304" s="8"/>
    </row>
    <row r="305" ht="14.25" customHeight="1">
      <c r="C305" s="8"/>
      <c r="I305" s="8"/>
      <c r="J305" s="8"/>
    </row>
    <row r="306" ht="14.25" customHeight="1">
      <c r="C306" s="8"/>
      <c r="I306" s="8"/>
      <c r="J306" s="8"/>
    </row>
    <row r="307" ht="14.25" customHeight="1">
      <c r="C307" s="8"/>
      <c r="I307" s="8"/>
      <c r="J307" s="8"/>
    </row>
    <row r="308" ht="14.25" customHeight="1">
      <c r="C308" s="8"/>
      <c r="I308" s="8"/>
      <c r="J308" s="8"/>
    </row>
    <row r="309" ht="14.25" customHeight="1">
      <c r="C309" s="8"/>
      <c r="I309" s="8"/>
      <c r="J309" s="8"/>
    </row>
    <row r="310" ht="14.25" customHeight="1">
      <c r="C310" s="8"/>
      <c r="I310" s="8"/>
      <c r="J310" s="8"/>
    </row>
    <row r="311" ht="14.25" customHeight="1">
      <c r="C311" s="8"/>
      <c r="I311" s="8"/>
      <c r="J311" s="8"/>
    </row>
    <row r="312" ht="14.25" customHeight="1">
      <c r="C312" s="8"/>
      <c r="I312" s="8"/>
      <c r="J312" s="8"/>
    </row>
    <row r="313" ht="14.25" customHeight="1">
      <c r="C313" s="8"/>
      <c r="I313" s="8"/>
      <c r="J313" s="8"/>
    </row>
    <row r="314" ht="14.25" customHeight="1">
      <c r="C314" s="8"/>
      <c r="I314" s="8"/>
      <c r="J314" s="8"/>
    </row>
    <row r="315" ht="14.25" customHeight="1">
      <c r="C315" s="8"/>
      <c r="I315" s="8"/>
      <c r="J315" s="8"/>
    </row>
    <row r="316" ht="14.25" customHeight="1">
      <c r="C316" s="8"/>
      <c r="I316" s="8"/>
      <c r="J316" s="8"/>
    </row>
    <row r="317" ht="14.25" customHeight="1">
      <c r="C317" s="8"/>
      <c r="I317" s="8"/>
      <c r="J317" s="8"/>
    </row>
    <row r="318" ht="14.25" customHeight="1">
      <c r="C318" s="8"/>
      <c r="I318" s="8"/>
      <c r="J318" s="8"/>
    </row>
    <row r="319" ht="14.25" customHeight="1">
      <c r="C319" s="8"/>
      <c r="I319" s="8"/>
      <c r="J319" s="8"/>
    </row>
    <row r="320" ht="14.25" customHeight="1">
      <c r="C320" s="8"/>
      <c r="I320" s="8"/>
      <c r="J320" s="8"/>
    </row>
    <row r="321" ht="14.25" customHeight="1">
      <c r="C321" s="8"/>
      <c r="I321" s="8"/>
      <c r="J321" s="8"/>
    </row>
    <row r="322" ht="14.25" customHeight="1">
      <c r="C322" s="8"/>
      <c r="I322" s="8"/>
      <c r="J322" s="8"/>
    </row>
    <row r="323" ht="14.25" customHeight="1">
      <c r="C323" s="8"/>
      <c r="I323" s="8"/>
      <c r="J323" s="8"/>
    </row>
    <row r="324" ht="14.25" customHeight="1">
      <c r="C324" s="8"/>
      <c r="I324" s="8"/>
      <c r="J324" s="8"/>
    </row>
    <row r="325" ht="14.25" customHeight="1">
      <c r="C325" s="8"/>
      <c r="I325" s="8"/>
      <c r="J325" s="8"/>
    </row>
    <row r="326" ht="14.25" customHeight="1">
      <c r="C326" s="8"/>
      <c r="I326" s="8"/>
      <c r="J326" s="8"/>
    </row>
    <row r="327" ht="14.25" customHeight="1">
      <c r="C327" s="8"/>
      <c r="I327" s="8"/>
      <c r="J327" s="8"/>
    </row>
    <row r="328" ht="14.25" customHeight="1">
      <c r="C328" s="8"/>
      <c r="I328" s="8"/>
      <c r="J328" s="8"/>
    </row>
    <row r="329" ht="14.25" customHeight="1">
      <c r="C329" s="8"/>
      <c r="I329" s="8"/>
      <c r="J329" s="8"/>
    </row>
    <row r="330" ht="14.25" customHeight="1">
      <c r="C330" s="8"/>
      <c r="I330" s="8"/>
      <c r="J330" s="8"/>
    </row>
    <row r="331" ht="14.25" customHeight="1">
      <c r="C331" s="8"/>
      <c r="I331" s="8"/>
      <c r="J331" s="8"/>
    </row>
    <row r="332" ht="14.25" customHeight="1">
      <c r="C332" s="8"/>
      <c r="I332" s="8"/>
      <c r="J332" s="8"/>
    </row>
    <row r="333" ht="14.25" customHeight="1">
      <c r="C333" s="8"/>
      <c r="I333" s="8"/>
      <c r="J333" s="8"/>
    </row>
    <row r="334" ht="14.25" customHeight="1">
      <c r="C334" s="8"/>
      <c r="I334" s="8"/>
      <c r="J334" s="8"/>
    </row>
    <row r="335" ht="14.25" customHeight="1">
      <c r="C335" s="8"/>
      <c r="I335" s="8"/>
      <c r="J335" s="8"/>
    </row>
    <row r="336" ht="14.25" customHeight="1">
      <c r="C336" s="8"/>
      <c r="I336" s="8"/>
      <c r="J336" s="8"/>
    </row>
    <row r="337" ht="14.25" customHeight="1">
      <c r="C337" s="8"/>
      <c r="I337" s="8"/>
      <c r="J337" s="8"/>
    </row>
    <row r="338" ht="14.25" customHeight="1">
      <c r="C338" s="8"/>
      <c r="I338" s="8"/>
      <c r="J338" s="8"/>
    </row>
    <row r="339" ht="14.25" customHeight="1">
      <c r="C339" s="8"/>
      <c r="I339" s="8"/>
      <c r="J339" s="8"/>
    </row>
    <row r="340" ht="14.25" customHeight="1">
      <c r="C340" s="8"/>
      <c r="I340" s="8"/>
      <c r="J340" s="8"/>
    </row>
    <row r="341" ht="14.25" customHeight="1">
      <c r="C341" s="8"/>
      <c r="I341" s="8"/>
      <c r="J341" s="8"/>
    </row>
    <row r="342" ht="14.25" customHeight="1">
      <c r="C342" s="8"/>
      <c r="I342" s="8"/>
      <c r="J342" s="8"/>
    </row>
    <row r="343" ht="14.25" customHeight="1">
      <c r="C343" s="8"/>
      <c r="I343" s="8"/>
      <c r="J343" s="8"/>
    </row>
    <row r="344" ht="14.25" customHeight="1">
      <c r="C344" s="8"/>
      <c r="I344" s="8"/>
      <c r="J344" s="8"/>
    </row>
    <row r="345" ht="14.25" customHeight="1">
      <c r="C345" s="8"/>
      <c r="I345" s="8"/>
      <c r="J345" s="8"/>
    </row>
    <row r="346" ht="14.25" customHeight="1">
      <c r="C346" s="8"/>
      <c r="I346" s="8"/>
      <c r="J346" s="8"/>
    </row>
    <row r="347" ht="14.25" customHeight="1">
      <c r="C347" s="8"/>
      <c r="I347" s="8"/>
      <c r="J347" s="8"/>
    </row>
    <row r="348" ht="14.25" customHeight="1">
      <c r="C348" s="8"/>
      <c r="I348" s="8"/>
      <c r="J348" s="8"/>
    </row>
    <row r="349" ht="14.25" customHeight="1">
      <c r="C349" s="8"/>
      <c r="I349" s="8"/>
      <c r="J349" s="8"/>
    </row>
    <row r="350" ht="14.25" customHeight="1">
      <c r="C350" s="8"/>
      <c r="I350" s="8"/>
      <c r="J350" s="8"/>
    </row>
    <row r="351" ht="14.25" customHeight="1">
      <c r="C351" s="8"/>
      <c r="I351" s="8"/>
      <c r="J351" s="8"/>
    </row>
    <row r="352" ht="14.25" customHeight="1">
      <c r="C352" s="8"/>
      <c r="I352" s="8"/>
      <c r="J352" s="8"/>
    </row>
    <row r="353" ht="14.25" customHeight="1">
      <c r="C353" s="8"/>
      <c r="I353" s="8"/>
      <c r="J353" s="8"/>
    </row>
    <row r="354" ht="14.25" customHeight="1">
      <c r="C354" s="8"/>
      <c r="I354" s="8"/>
      <c r="J354" s="8"/>
    </row>
    <row r="355" ht="14.25" customHeight="1">
      <c r="C355" s="8"/>
      <c r="I355" s="8"/>
      <c r="J355" s="8"/>
    </row>
    <row r="356" ht="14.25" customHeight="1">
      <c r="C356" s="8"/>
      <c r="I356" s="8"/>
      <c r="J356" s="8"/>
    </row>
    <row r="357" ht="14.25" customHeight="1">
      <c r="C357" s="8"/>
      <c r="I357" s="8"/>
      <c r="J357" s="8"/>
    </row>
    <row r="358" ht="14.25" customHeight="1">
      <c r="C358" s="8"/>
      <c r="I358" s="8"/>
      <c r="J358" s="8"/>
    </row>
    <row r="359" ht="14.25" customHeight="1">
      <c r="C359" s="8"/>
      <c r="I359" s="8"/>
      <c r="J359" s="8"/>
    </row>
    <row r="360" ht="14.25" customHeight="1">
      <c r="C360" s="8"/>
      <c r="I360" s="8"/>
      <c r="J360" s="8"/>
    </row>
    <row r="361" ht="14.25" customHeight="1">
      <c r="C361" s="8"/>
      <c r="I361" s="8"/>
      <c r="J361" s="8"/>
    </row>
    <row r="362" ht="14.25" customHeight="1">
      <c r="C362" s="8"/>
      <c r="I362" s="8"/>
      <c r="J362" s="8"/>
    </row>
    <row r="363" ht="14.25" customHeight="1">
      <c r="C363" s="8"/>
      <c r="I363" s="8"/>
      <c r="J363" s="8"/>
    </row>
    <row r="364" ht="14.25" customHeight="1">
      <c r="C364" s="8"/>
      <c r="I364" s="8"/>
      <c r="J364" s="8"/>
    </row>
    <row r="365" ht="14.25" customHeight="1">
      <c r="C365" s="8"/>
      <c r="I365" s="8"/>
      <c r="J365" s="8"/>
    </row>
    <row r="366" ht="14.25" customHeight="1">
      <c r="C366" s="8"/>
      <c r="I366" s="8"/>
      <c r="J366" s="8"/>
    </row>
    <row r="367" ht="14.25" customHeight="1">
      <c r="C367" s="8"/>
      <c r="I367" s="8"/>
      <c r="J367" s="8"/>
    </row>
    <row r="368" ht="14.25" customHeight="1">
      <c r="C368" s="8"/>
      <c r="I368" s="8"/>
      <c r="J368" s="8"/>
    </row>
    <row r="369" ht="14.25" customHeight="1">
      <c r="C369" s="8"/>
      <c r="I369" s="8"/>
      <c r="J369" s="8"/>
    </row>
    <row r="370" ht="14.25" customHeight="1">
      <c r="C370" s="8"/>
      <c r="I370" s="8"/>
      <c r="J370" s="8"/>
    </row>
    <row r="371" ht="14.25" customHeight="1">
      <c r="C371" s="8"/>
      <c r="I371" s="8"/>
      <c r="J371" s="8"/>
    </row>
    <row r="372" ht="14.25" customHeight="1">
      <c r="C372" s="8"/>
      <c r="I372" s="8"/>
      <c r="J372" s="8"/>
    </row>
    <row r="373" ht="14.25" customHeight="1">
      <c r="C373" s="8"/>
      <c r="I373" s="8"/>
      <c r="J373" s="8"/>
    </row>
    <row r="374" ht="14.25" customHeight="1">
      <c r="C374" s="8"/>
      <c r="I374" s="8"/>
      <c r="J374" s="8"/>
    </row>
    <row r="375" ht="14.25" customHeight="1">
      <c r="C375" s="8"/>
      <c r="I375" s="8"/>
      <c r="J375" s="8"/>
    </row>
    <row r="376" ht="14.25" customHeight="1">
      <c r="C376" s="8"/>
      <c r="I376" s="8"/>
      <c r="J376" s="8"/>
    </row>
    <row r="377" ht="14.25" customHeight="1">
      <c r="C377" s="8"/>
      <c r="I377" s="8"/>
      <c r="J377" s="8"/>
    </row>
    <row r="378" ht="14.25" customHeight="1">
      <c r="C378" s="8"/>
      <c r="I378" s="8"/>
      <c r="J378" s="8"/>
    </row>
    <row r="379" ht="14.25" customHeight="1">
      <c r="C379" s="8"/>
      <c r="I379" s="8"/>
      <c r="J379" s="8"/>
    </row>
    <row r="380" ht="14.25" customHeight="1">
      <c r="C380" s="8"/>
      <c r="I380" s="8"/>
      <c r="J380" s="8"/>
    </row>
    <row r="381" ht="14.25" customHeight="1">
      <c r="C381" s="8"/>
      <c r="I381" s="8"/>
      <c r="J381" s="8"/>
    </row>
    <row r="382" ht="14.25" customHeight="1">
      <c r="C382" s="8"/>
      <c r="I382" s="8"/>
      <c r="J382" s="8"/>
    </row>
    <row r="383" ht="14.25" customHeight="1">
      <c r="C383" s="8"/>
      <c r="I383" s="8"/>
      <c r="J383" s="8"/>
    </row>
    <row r="384" ht="14.25" customHeight="1">
      <c r="C384" s="8"/>
      <c r="I384" s="8"/>
      <c r="J384" s="8"/>
    </row>
    <row r="385" ht="14.25" customHeight="1">
      <c r="C385" s="8"/>
      <c r="I385" s="8"/>
      <c r="J385" s="8"/>
    </row>
    <row r="386" ht="14.25" customHeight="1">
      <c r="C386" s="8"/>
      <c r="I386" s="8"/>
      <c r="J386" s="8"/>
    </row>
    <row r="387" ht="14.25" customHeight="1">
      <c r="C387" s="8"/>
      <c r="I387" s="8"/>
      <c r="J387" s="8"/>
    </row>
    <row r="388" ht="14.25" customHeight="1">
      <c r="C388" s="8"/>
      <c r="I388" s="8"/>
      <c r="J388" s="8"/>
    </row>
    <row r="389" ht="14.25" customHeight="1">
      <c r="C389" s="8"/>
      <c r="I389" s="8"/>
      <c r="J389" s="8"/>
    </row>
    <row r="390" ht="14.25" customHeight="1">
      <c r="C390" s="8"/>
      <c r="I390" s="8"/>
      <c r="J390" s="8"/>
    </row>
    <row r="391" ht="14.25" customHeight="1">
      <c r="C391" s="8"/>
      <c r="I391" s="8"/>
      <c r="J391" s="8"/>
    </row>
    <row r="392" ht="14.25" customHeight="1">
      <c r="C392" s="8"/>
      <c r="I392" s="8"/>
      <c r="J392" s="8"/>
    </row>
    <row r="393" ht="14.25" customHeight="1">
      <c r="C393" s="8"/>
      <c r="I393" s="8"/>
      <c r="J393" s="8"/>
    </row>
    <row r="394" ht="14.25" customHeight="1">
      <c r="C394" s="8"/>
      <c r="I394" s="8"/>
      <c r="J394" s="8"/>
    </row>
    <row r="395" ht="14.25" customHeight="1">
      <c r="C395" s="8"/>
      <c r="I395" s="8"/>
      <c r="J395" s="8"/>
    </row>
    <row r="396" ht="14.25" customHeight="1">
      <c r="C396" s="8"/>
      <c r="I396" s="8"/>
      <c r="J396" s="8"/>
    </row>
    <row r="397" ht="14.25" customHeight="1">
      <c r="C397" s="8"/>
      <c r="I397" s="8"/>
      <c r="J397" s="8"/>
    </row>
    <row r="398" ht="14.25" customHeight="1">
      <c r="C398" s="8"/>
      <c r="I398" s="8"/>
      <c r="J398" s="8"/>
    </row>
    <row r="399" ht="14.25" customHeight="1">
      <c r="C399" s="8"/>
      <c r="I399" s="8"/>
      <c r="J399" s="8"/>
    </row>
    <row r="400" ht="14.25" customHeight="1">
      <c r="C400" s="8"/>
      <c r="I400" s="8"/>
      <c r="J400" s="8"/>
    </row>
    <row r="401" ht="14.25" customHeight="1">
      <c r="C401" s="8"/>
      <c r="I401" s="8"/>
      <c r="J401" s="8"/>
    </row>
    <row r="402" ht="14.25" customHeight="1">
      <c r="C402" s="8"/>
      <c r="I402" s="8"/>
      <c r="J402" s="8"/>
    </row>
    <row r="403" ht="14.25" customHeight="1">
      <c r="C403" s="8"/>
      <c r="I403" s="8"/>
      <c r="J403" s="8"/>
    </row>
    <row r="404" ht="14.25" customHeight="1">
      <c r="C404" s="8"/>
      <c r="I404" s="8"/>
      <c r="J404" s="8"/>
    </row>
    <row r="405" ht="14.25" customHeight="1">
      <c r="C405" s="8"/>
      <c r="I405" s="8"/>
      <c r="J405" s="8"/>
    </row>
    <row r="406" ht="14.25" customHeight="1">
      <c r="C406" s="8"/>
      <c r="I406" s="8"/>
      <c r="J406" s="8"/>
    </row>
    <row r="407" ht="14.25" customHeight="1">
      <c r="C407" s="8"/>
      <c r="I407" s="8"/>
      <c r="J407" s="8"/>
    </row>
    <row r="408" ht="14.25" customHeight="1">
      <c r="C408" s="8"/>
      <c r="I408" s="8"/>
      <c r="J408" s="8"/>
    </row>
    <row r="409" ht="14.25" customHeight="1">
      <c r="C409" s="8"/>
      <c r="I409" s="8"/>
      <c r="J409" s="8"/>
    </row>
    <row r="410" ht="14.25" customHeight="1">
      <c r="C410" s="8"/>
      <c r="I410" s="8"/>
      <c r="J410" s="8"/>
    </row>
    <row r="411" ht="14.25" customHeight="1">
      <c r="C411" s="8"/>
      <c r="I411" s="8"/>
      <c r="J411" s="8"/>
    </row>
    <row r="412" ht="14.25" customHeight="1">
      <c r="C412" s="8"/>
      <c r="I412" s="8"/>
      <c r="J412" s="8"/>
    </row>
    <row r="413" ht="14.25" customHeight="1">
      <c r="C413" s="8"/>
      <c r="I413" s="8"/>
      <c r="J413" s="8"/>
    </row>
    <row r="414" ht="14.25" customHeight="1">
      <c r="C414" s="8"/>
      <c r="I414" s="8"/>
      <c r="J414" s="8"/>
    </row>
    <row r="415" ht="14.25" customHeight="1">
      <c r="C415" s="8"/>
      <c r="I415" s="8"/>
      <c r="J415" s="8"/>
    </row>
    <row r="416" ht="14.25" customHeight="1">
      <c r="C416" s="8"/>
      <c r="I416" s="8"/>
      <c r="J416" s="8"/>
    </row>
    <row r="417" ht="14.25" customHeight="1">
      <c r="C417" s="8"/>
      <c r="I417" s="8"/>
      <c r="J417" s="8"/>
    </row>
    <row r="418" ht="14.25" customHeight="1">
      <c r="C418" s="8"/>
      <c r="I418" s="8"/>
      <c r="J418" s="8"/>
    </row>
    <row r="419" ht="14.25" customHeight="1">
      <c r="C419" s="8"/>
      <c r="I419" s="8"/>
      <c r="J419" s="8"/>
    </row>
    <row r="420" ht="14.25" customHeight="1">
      <c r="C420" s="8"/>
      <c r="I420" s="8"/>
      <c r="J420" s="8"/>
    </row>
    <row r="421" ht="14.25" customHeight="1">
      <c r="C421" s="8"/>
      <c r="I421" s="8"/>
      <c r="J421" s="8"/>
    </row>
    <row r="422" ht="14.25" customHeight="1">
      <c r="C422" s="8"/>
      <c r="I422" s="8"/>
      <c r="J422" s="8"/>
    </row>
    <row r="423" ht="14.25" customHeight="1">
      <c r="C423" s="8"/>
      <c r="I423" s="8"/>
      <c r="J423" s="8"/>
    </row>
    <row r="424" ht="14.25" customHeight="1">
      <c r="C424" s="8"/>
      <c r="I424" s="8"/>
      <c r="J424" s="8"/>
    </row>
    <row r="425" ht="14.25" customHeight="1">
      <c r="C425" s="8"/>
      <c r="I425" s="8"/>
      <c r="J425" s="8"/>
    </row>
    <row r="426" ht="14.25" customHeight="1">
      <c r="C426" s="8"/>
      <c r="I426" s="8"/>
      <c r="J426" s="8"/>
    </row>
    <row r="427" ht="14.25" customHeight="1">
      <c r="C427" s="8"/>
      <c r="I427" s="8"/>
      <c r="J427" s="8"/>
    </row>
    <row r="428" ht="14.25" customHeight="1">
      <c r="C428" s="8"/>
      <c r="I428" s="8"/>
      <c r="J428" s="8"/>
    </row>
    <row r="429" ht="14.25" customHeight="1">
      <c r="C429" s="8"/>
      <c r="I429" s="8"/>
      <c r="J429" s="8"/>
    </row>
    <row r="430" ht="14.25" customHeight="1">
      <c r="C430" s="8"/>
      <c r="I430" s="8"/>
      <c r="J430" s="8"/>
    </row>
    <row r="431" ht="14.25" customHeight="1">
      <c r="C431" s="8"/>
      <c r="I431" s="8"/>
      <c r="J431" s="8"/>
    </row>
    <row r="432" ht="14.25" customHeight="1">
      <c r="C432" s="8"/>
      <c r="I432" s="8"/>
      <c r="J432" s="8"/>
    </row>
    <row r="433" ht="14.25" customHeight="1">
      <c r="C433" s="8"/>
      <c r="I433" s="8"/>
      <c r="J433" s="8"/>
    </row>
    <row r="434" ht="14.25" customHeight="1">
      <c r="C434" s="8"/>
      <c r="I434" s="8"/>
      <c r="J434" s="8"/>
    </row>
    <row r="435" ht="14.25" customHeight="1">
      <c r="C435" s="8"/>
      <c r="I435" s="8"/>
      <c r="J435" s="8"/>
    </row>
    <row r="436" ht="14.25" customHeight="1">
      <c r="C436" s="8"/>
      <c r="I436" s="8"/>
      <c r="J436" s="8"/>
    </row>
    <row r="437" ht="14.25" customHeight="1">
      <c r="C437" s="8"/>
      <c r="I437" s="8"/>
      <c r="J437" s="8"/>
    </row>
    <row r="438" ht="14.25" customHeight="1">
      <c r="C438" s="8"/>
      <c r="I438" s="8"/>
      <c r="J438" s="8"/>
    </row>
    <row r="439" ht="14.25" customHeight="1">
      <c r="C439" s="8"/>
      <c r="I439" s="8"/>
      <c r="J439" s="8"/>
    </row>
    <row r="440" ht="14.25" customHeight="1">
      <c r="C440" s="8"/>
      <c r="I440" s="8"/>
      <c r="J440" s="8"/>
    </row>
    <row r="441" ht="14.25" customHeight="1">
      <c r="C441" s="8"/>
      <c r="I441" s="8"/>
      <c r="J441" s="8"/>
    </row>
    <row r="442" ht="14.25" customHeight="1">
      <c r="C442" s="8"/>
      <c r="I442" s="8"/>
      <c r="J442" s="8"/>
    </row>
    <row r="443" ht="14.25" customHeight="1">
      <c r="C443" s="8"/>
      <c r="I443" s="8"/>
      <c r="J443" s="8"/>
    </row>
    <row r="444" ht="14.25" customHeight="1">
      <c r="C444" s="8"/>
      <c r="I444" s="8"/>
      <c r="J444" s="8"/>
    </row>
    <row r="445" ht="14.25" customHeight="1">
      <c r="C445" s="8"/>
      <c r="I445" s="8"/>
      <c r="J445" s="8"/>
    </row>
    <row r="446" ht="14.25" customHeight="1">
      <c r="C446" s="8"/>
      <c r="I446" s="8"/>
      <c r="J446" s="8"/>
    </row>
    <row r="447" ht="14.25" customHeight="1">
      <c r="C447" s="8"/>
      <c r="I447" s="8"/>
      <c r="J447" s="8"/>
    </row>
    <row r="448" ht="14.25" customHeight="1">
      <c r="C448" s="8"/>
      <c r="I448" s="8"/>
      <c r="J448" s="8"/>
    </row>
    <row r="449" ht="14.25" customHeight="1">
      <c r="C449" s="8"/>
      <c r="I449" s="8"/>
      <c r="J449" s="8"/>
    </row>
    <row r="450" ht="14.25" customHeight="1">
      <c r="C450" s="8"/>
      <c r="I450" s="8"/>
      <c r="J450" s="8"/>
    </row>
    <row r="451" ht="14.25" customHeight="1">
      <c r="C451" s="8"/>
      <c r="I451" s="8"/>
      <c r="J451" s="8"/>
    </row>
    <row r="452" ht="14.25" customHeight="1">
      <c r="C452" s="8"/>
      <c r="I452" s="8"/>
      <c r="J452" s="8"/>
    </row>
    <row r="453" ht="14.25" customHeight="1">
      <c r="C453" s="8"/>
      <c r="I453" s="8"/>
      <c r="J453" s="8"/>
    </row>
    <row r="454" ht="14.25" customHeight="1">
      <c r="C454" s="8"/>
      <c r="I454" s="8"/>
      <c r="J454" s="8"/>
    </row>
    <row r="455" ht="14.25" customHeight="1">
      <c r="C455" s="8"/>
      <c r="I455" s="8"/>
      <c r="J455" s="8"/>
    </row>
    <row r="456" ht="14.25" customHeight="1">
      <c r="C456" s="8"/>
      <c r="I456" s="8"/>
      <c r="J456" s="8"/>
    </row>
    <row r="457" ht="14.25" customHeight="1">
      <c r="C457" s="8"/>
      <c r="I457" s="8"/>
      <c r="J457" s="8"/>
    </row>
    <row r="458" ht="14.25" customHeight="1">
      <c r="C458" s="8"/>
      <c r="I458" s="8"/>
      <c r="J458" s="8"/>
    </row>
    <row r="459" ht="14.25" customHeight="1">
      <c r="C459" s="8"/>
      <c r="I459" s="8"/>
      <c r="J459" s="8"/>
    </row>
    <row r="460" ht="14.25" customHeight="1">
      <c r="C460" s="8"/>
      <c r="I460" s="8"/>
      <c r="J460" s="8"/>
    </row>
    <row r="461" ht="14.25" customHeight="1">
      <c r="C461" s="8"/>
      <c r="I461" s="8"/>
      <c r="J461" s="8"/>
    </row>
    <row r="462" ht="14.25" customHeight="1">
      <c r="C462" s="8"/>
      <c r="I462" s="8"/>
      <c r="J462" s="8"/>
    </row>
    <row r="463" ht="14.25" customHeight="1">
      <c r="C463" s="8"/>
      <c r="I463" s="8"/>
      <c r="J463" s="8"/>
    </row>
    <row r="464" ht="14.25" customHeight="1">
      <c r="C464" s="8"/>
      <c r="I464" s="8"/>
      <c r="J464" s="8"/>
    </row>
    <row r="465" ht="14.25" customHeight="1">
      <c r="C465" s="8"/>
      <c r="I465" s="8"/>
      <c r="J465" s="8"/>
    </row>
    <row r="466" ht="14.25" customHeight="1">
      <c r="C466" s="8"/>
      <c r="I466" s="8"/>
      <c r="J466" s="8"/>
    </row>
    <row r="467" ht="14.25" customHeight="1">
      <c r="C467" s="8"/>
      <c r="I467" s="8"/>
      <c r="J467" s="8"/>
    </row>
    <row r="468" ht="14.25" customHeight="1">
      <c r="C468" s="8"/>
      <c r="I468" s="8"/>
      <c r="J468" s="8"/>
    </row>
    <row r="469" ht="14.25" customHeight="1">
      <c r="C469" s="8"/>
      <c r="I469" s="8"/>
      <c r="J469" s="8"/>
    </row>
    <row r="470" ht="14.25" customHeight="1">
      <c r="C470" s="8"/>
      <c r="I470" s="8"/>
      <c r="J470" s="8"/>
    </row>
    <row r="471" ht="14.25" customHeight="1">
      <c r="C471" s="8"/>
      <c r="I471" s="8"/>
      <c r="J471" s="8"/>
    </row>
    <row r="472" ht="14.25" customHeight="1">
      <c r="C472" s="8"/>
      <c r="I472" s="8"/>
      <c r="J472" s="8"/>
    </row>
    <row r="473" ht="14.25" customHeight="1">
      <c r="C473" s="8"/>
      <c r="I473" s="8"/>
      <c r="J473" s="8"/>
    </row>
    <row r="474" ht="14.25" customHeight="1">
      <c r="C474" s="8"/>
      <c r="I474" s="8"/>
      <c r="J474" s="8"/>
    </row>
    <row r="475" ht="14.25" customHeight="1">
      <c r="C475" s="8"/>
      <c r="I475" s="8"/>
      <c r="J475" s="8"/>
    </row>
    <row r="476" ht="14.25" customHeight="1">
      <c r="C476" s="8"/>
      <c r="I476" s="8"/>
      <c r="J476" s="8"/>
    </row>
    <row r="477" ht="14.25" customHeight="1">
      <c r="C477" s="8"/>
      <c r="I477" s="8"/>
      <c r="J477" s="8"/>
    </row>
    <row r="478" ht="14.25" customHeight="1">
      <c r="C478" s="8"/>
      <c r="I478" s="8"/>
      <c r="J478" s="8"/>
    </row>
    <row r="479" ht="14.25" customHeight="1">
      <c r="C479" s="8"/>
      <c r="I479" s="8"/>
      <c r="J479" s="8"/>
    </row>
    <row r="480" ht="14.25" customHeight="1">
      <c r="C480" s="8"/>
      <c r="I480" s="8"/>
      <c r="J480" s="8"/>
    </row>
    <row r="481" ht="14.25" customHeight="1">
      <c r="C481" s="8"/>
      <c r="I481" s="8"/>
      <c r="J481" s="8"/>
    </row>
    <row r="482" ht="14.25" customHeight="1">
      <c r="C482" s="8"/>
      <c r="I482" s="8"/>
      <c r="J482" s="8"/>
    </row>
    <row r="483" ht="14.25" customHeight="1">
      <c r="C483" s="8"/>
      <c r="I483" s="8"/>
      <c r="J483" s="8"/>
    </row>
    <row r="484" ht="14.25" customHeight="1">
      <c r="C484" s="8"/>
      <c r="I484" s="8"/>
      <c r="J484" s="8"/>
    </row>
    <row r="485" ht="14.25" customHeight="1">
      <c r="C485" s="8"/>
      <c r="I485" s="8"/>
      <c r="J485" s="8"/>
    </row>
    <row r="486" ht="14.25" customHeight="1">
      <c r="C486" s="8"/>
      <c r="I486" s="8"/>
      <c r="J486" s="8"/>
    </row>
    <row r="487" ht="14.25" customHeight="1">
      <c r="C487" s="8"/>
      <c r="I487" s="8"/>
      <c r="J487" s="8"/>
    </row>
    <row r="488" ht="14.25" customHeight="1">
      <c r="C488" s="8"/>
      <c r="I488" s="8"/>
      <c r="J488" s="8"/>
    </row>
    <row r="489" ht="14.25" customHeight="1">
      <c r="C489" s="8"/>
      <c r="I489" s="8"/>
      <c r="J489" s="8"/>
    </row>
    <row r="490" ht="14.25" customHeight="1">
      <c r="C490" s="8"/>
      <c r="I490" s="8"/>
      <c r="J490" s="8"/>
    </row>
    <row r="491" ht="14.25" customHeight="1">
      <c r="C491" s="8"/>
      <c r="I491" s="8"/>
      <c r="J491" s="8"/>
    </row>
    <row r="492" ht="14.25" customHeight="1">
      <c r="C492" s="8"/>
      <c r="I492" s="8"/>
      <c r="J492" s="8"/>
    </row>
    <row r="493" ht="14.25" customHeight="1">
      <c r="C493" s="8"/>
      <c r="I493" s="8"/>
      <c r="J493" s="8"/>
    </row>
    <row r="494" ht="14.25" customHeight="1">
      <c r="C494" s="8"/>
      <c r="I494" s="8"/>
      <c r="J494" s="8"/>
    </row>
    <row r="495" ht="14.25" customHeight="1">
      <c r="C495" s="8"/>
      <c r="I495" s="8"/>
      <c r="J495" s="8"/>
    </row>
    <row r="496" ht="14.25" customHeight="1">
      <c r="C496" s="8"/>
      <c r="I496" s="8"/>
      <c r="J496" s="8"/>
    </row>
    <row r="497" ht="14.25" customHeight="1">
      <c r="C497" s="8"/>
      <c r="I497" s="8"/>
      <c r="J497" s="8"/>
    </row>
    <row r="498" ht="14.25" customHeight="1">
      <c r="C498" s="8"/>
      <c r="I498" s="8"/>
      <c r="J498" s="8"/>
    </row>
    <row r="499" ht="14.25" customHeight="1">
      <c r="C499" s="8"/>
      <c r="I499" s="8"/>
      <c r="J499" s="8"/>
    </row>
    <row r="500" ht="14.25" customHeight="1">
      <c r="C500" s="8"/>
      <c r="I500" s="8"/>
      <c r="J500" s="8"/>
    </row>
    <row r="501" ht="14.25" customHeight="1">
      <c r="C501" s="8"/>
      <c r="I501" s="8"/>
      <c r="J501" s="8"/>
    </row>
    <row r="502" ht="14.25" customHeight="1">
      <c r="C502" s="8"/>
      <c r="I502" s="8"/>
      <c r="J502" s="8"/>
    </row>
    <row r="503" ht="14.25" customHeight="1">
      <c r="C503" s="8"/>
      <c r="I503" s="8"/>
      <c r="J503" s="8"/>
    </row>
    <row r="504" ht="14.25" customHeight="1">
      <c r="C504" s="8"/>
      <c r="I504" s="8"/>
      <c r="J504" s="8"/>
    </row>
    <row r="505" ht="14.25" customHeight="1">
      <c r="C505" s="8"/>
      <c r="I505" s="8"/>
      <c r="J505" s="8"/>
    </row>
    <row r="506" ht="14.25" customHeight="1">
      <c r="C506" s="8"/>
      <c r="I506" s="8"/>
      <c r="J506" s="8"/>
    </row>
    <row r="507" ht="14.25" customHeight="1">
      <c r="C507" s="8"/>
      <c r="I507" s="8"/>
      <c r="J507" s="8"/>
    </row>
    <row r="508" ht="14.25" customHeight="1">
      <c r="C508" s="8"/>
      <c r="I508" s="8"/>
      <c r="J508" s="8"/>
    </row>
    <row r="509" ht="14.25" customHeight="1">
      <c r="C509" s="8"/>
      <c r="I509" s="8"/>
      <c r="J509" s="8"/>
    </row>
    <row r="510" ht="14.25" customHeight="1">
      <c r="C510" s="8"/>
      <c r="I510" s="8"/>
      <c r="J510" s="8"/>
    </row>
    <row r="511" ht="14.25" customHeight="1">
      <c r="C511" s="8"/>
      <c r="I511" s="8"/>
      <c r="J511" s="8"/>
    </row>
    <row r="512" ht="14.25" customHeight="1">
      <c r="C512" s="8"/>
      <c r="I512" s="8"/>
      <c r="J512" s="8"/>
    </row>
    <row r="513" ht="14.25" customHeight="1">
      <c r="C513" s="8"/>
      <c r="I513" s="8"/>
      <c r="J513" s="8"/>
    </row>
    <row r="514" ht="14.25" customHeight="1">
      <c r="C514" s="8"/>
      <c r="I514" s="8"/>
      <c r="J514" s="8"/>
    </row>
    <row r="515" ht="14.25" customHeight="1">
      <c r="C515" s="8"/>
      <c r="I515" s="8"/>
      <c r="J515" s="8"/>
    </row>
    <row r="516" ht="14.25" customHeight="1">
      <c r="C516" s="8"/>
      <c r="I516" s="8"/>
      <c r="J516" s="8"/>
    </row>
    <row r="517" ht="14.25" customHeight="1">
      <c r="C517" s="8"/>
      <c r="I517" s="8"/>
      <c r="J517" s="8"/>
    </row>
    <row r="518" ht="14.25" customHeight="1">
      <c r="C518" s="8"/>
      <c r="I518" s="8"/>
      <c r="J518" s="8"/>
    </row>
    <row r="519" ht="14.25" customHeight="1">
      <c r="C519" s="8"/>
      <c r="I519" s="8"/>
      <c r="J519" s="8"/>
    </row>
    <row r="520" ht="14.25" customHeight="1">
      <c r="C520" s="8"/>
      <c r="I520" s="8"/>
      <c r="J520" s="8"/>
    </row>
    <row r="521" ht="14.25" customHeight="1">
      <c r="C521" s="8"/>
      <c r="I521" s="8"/>
      <c r="J521" s="8"/>
    </row>
    <row r="522" ht="14.25" customHeight="1">
      <c r="C522" s="8"/>
      <c r="I522" s="8"/>
      <c r="J522" s="8"/>
    </row>
    <row r="523" ht="14.25" customHeight="1">
      <c r="C523" s="8"/>
      <c r="I523" s="8"/>
      <c r="J523" s="8"/>
    </row>
    <row r="524" ht="14.25" customHeight="1">
      <c r="C524" s="8"/>
      <c r="I524" s="8"/>
      <c r="J524" s="8"/>
    </row>
    <row r="525" ht="14.25" customHeight="1">
      <c r="C525" s="8"/>
      <c r="I525" s="8"/>
      <c r="J525" s="8"/>
    </row>
    <row r="526" ht="14.25" customHeight="1">
      <c r="C526" s="8"/>
      <c r="I526" s="8"/>
      <c r="J526" s="8"/>
    </row>
    <row r="527" ht="14.25" customHeight="1">
      <c r="C527" s="8"/>
      <c r="I527" s="8"/>
      <c r="J527" s="8"/>
    </row>
    <row r="528" ht="14.25" customHeight="1">
      <c r="C528" s="8"/>
      <c r="I528" s="8"/>
      <c r="J528" s="8"/>
    </row>
    <row r="529" ht="14.25" customHeight="1">
      <c r="C529" s="8"/>
      <c r="I529" s="8"/>
      <c r="J529" s="8"/>
    </row>
    <row r="530" ht="14.25" customHeight="1">
      <c r="C530" s="8"/>
      <c r="I530" s="8"/>
      <c r="J530" s="8"/>
    </row>
    <row r="531" ht="14.25" customHeight="1">
      <c r="C531" s="8"/>
      <c r="I531" s="8"/>
      <c r="J531" s="8"/>
    </row>
    <row r="532" ht="14.25" customHeight="1">
      <c r="C532" s="8"/>
      <c r="I532" s="8"/>
      <c r="J532" s="8"/>
    </row>
    <row r="533" ht="14.25" customHeight="1">
      <c r="C533" s="8"/>
      <c r="I533" s="8"/>
      <c r="J533" s="8"/>
    </row>
    <row r="534" ht="14.25" customHeight="1">
      <c r="C534" s="8"/>
      <c r="I534" s="8"/>
      <c r="J534" s="8"/>
    </row>
    <row r="535" ht="14.25" customHeight="1">
      <c r="C535" s="8"/>
      <c r="I535" s="8"/>
      <c r="J535" s="8"/>
    </row>
    <row r="536" ht="14.25" customHeight="1">
      <c r="C536" s="8"/>
      <c r="I536" s="8"/>
      <c r="J536" s="8"/>
    </row>
    <row r="537" ht="14.25" customHeight="1">
      <c r="C537" s="8"/>
      <c r="I537" s="8"/>
      <c r="J537" s="8"/>
    </row>
    <row r="538" ht="14.25" customHeight="1">
      <c r="C538" s="8"/>
      <c r="I538" s="8"/>
      <c r="J538" s="8"/>
    </row>
    <row r="539" ht="14.25" customHeight="1">
      <c r="C539" s="8"/>
      <c r="I539" s="8"/>
      <c r="J539" s="8"/>
    </row>
    <row r="540" ht="14.25" customHeight="1">
      <c r="C540" s="8"/>
      <c r="I540" s="8"/>
      <c r="J540" s="8"/>
    </row>
    <row r="541" ht="14.25" customHeight="1">
      <c r="C541" s="8"/>
      <c r="I541" s="8"/>
      <c r="J541" s="8"/>
    </row>
    <row r="542" ht="14.25" customHeight="1">
      <c r="C542" s="8"/>
      <c r="I542" s="8"/>
      <c r="J542" s="8"/>
    </row>
    <row r="543" ht="14.25" customHeight="1">
      <c r="C543" s="8"/>
      <c r="I543" s="8"/>
      <c r="J543" s="8"/>
    </row>
    <row r="544" ht="14.25" customHeight="1">
      <c r="C544" s="8"/>
      <c r="I544" s="8"/>
      <c r="J544" s="8"/>
    </row>
    <row r="545" ht="14.25" customHeight="1">
      <c r="C545" s="8"/>
      <c r="I545" s="8"/>
      <c r="J545" s="8"/>
    </row>
    <row r="546" ht="14.25" customHeight="1">
      <c r="C546" s="8"/>
      <c r="I546" s="8"/>
      <c r="J546" s="8"/>
    </row>
    <row r="547" ht="14.25" customHeight="1">
      <c r="C547" s="8"/>
      <c r="I547" s="8"/>
      <c r="J547" s="8"/>
    </row>
    <row r="548" ht="14.25" customHeight="1">
      <c r="C548" s="8"/>
      <c r="I548" s="8"/>
      <c r="J548" s="8"/>
    </row>
    <row r="549" ht="14.25" customHeight="1">
      <c r="C549" s="8"/>
      <c r="I549" s="8"/>
      <c r="J549" s="8"/>
    </row>
    <row r="550" ht="14.25" customHeight="1">
      <c r="C550" s="8"/>
      <c r="I550" s="8"/>
      <c r="J550" s="8"/>
    </row>
    <row r="551" ht="14.25" customHeight="1">
      <c r="C551" s="8"/>
      <c r="I551" s="8"/>
      <c r="J551" s="8"/>
    </row>
    <row r="552" ht="14.25" customHeight="1">
      <c r="C552" s="8"/>
      <c r="I552" s="8"/>
      <c r="J552" s="8"/>
    </row>
    <row r="553" ht="14.25" customHeight="1">
      <c r="C553" s="8"/>
      <c r="I553" s="8"/>
      <c r="J553" s="8"/>
    </row>
    <row r="554" ht="14.25" customHeight="1">
      <c r="C554" s="8"/>
      <c r="I554" s="8"/>
      <c r="J554" s="8"/>
    </row>
    <row r="555" ht="14.25" customHeight="1">
      <c r="C555" s="8"/>
      <c r="I555" s="8"/>
      <c r="J555" s="8"/>
    </row>
    <row r="556" ht="14.25" customHeight="1">
      <c r="C556" s="8"/>
      <c r="I556" s="8"/>
      <c r="J556" s="8"/>
    </row>
    <row r="557" ht="14.25" customHeight="1">
      <c r="C557" s="8"/>
      <c r="I557" s="8"/>
      <c r="J557" s="8"/>
    </row>
    <row r="558" ht="14.25" customHeight="1">
      <c r="C558" s="8"/>
      <c r="I558" s="8"/>
      <c r="J558" s="8"/>
    </row>
    <row r="559" ht="14.25" customHeight="1">
      <c r="C559" s="8"/>
      <c r="I559" s="8"/>
      <c r="J559" s="8"/>
    </row>
    <row r="560" ht="14.25" customHeight="1">
      <c r="C560" s="8"/>
      <c r="I560" s="8"/>
      <c r="J560" s="8"/>
    </row>
    <row r="561" ht="14.25" customHeight="1">
      <c r="C561" s="8"/>
      <c r="I561" s="8"/>
      <c r="J561" s="8"/>
    </row>
    <row r="562" ht="14.25" customHeight="1">
      <c r="C562" s="8"/>
      <c r="I562" s="8"/>
      <c r="J562" s="8"/>
    </row>
    <row r="563" ht="14.25" customHeight="1">
      <c r="C563" s="8"/>
      <c r="I563" s="8"/>
      <c r="J563" s="8"/>
    </row>
    <row r="564" ht="14.25" customHeight="1">
      <c r="C564" s="8"/>
      <c r="I564" s="8"/>
      <c r="J564" s="8"/>
    </row>
    <row r="565" ht="14.25" customHeight="1">
      <c r="C565" s="8"/>
      <c r="I565" s="8"/>
      <c r="J565" s="8"/>
    </row>
    <row r="566" ht="14.25" customHeight="1">
      <c r="C566" s="8"/>
      <c r="I566" s="8"/>
      <c r="J566" s="8"/>
    </row>
    <row r="567" ht="14.25" customHeight="1">
      <c r="C567" s="8"/>
      <c r="I567" s="8"/>
      <c r="J567" s="8"/>
    </row>
    <row r="568" ht="14.25" customHeight="1">
      <c r="C568" s="8"/>
      <c r="I568" s="8"/>
      <c r="J568" s="8"/>
    </row>
    <row r="569" ht="14.25" customHeight="1">
      <c r="C569" s="8"/>
      <c r="I569" s="8"/>
      <c r="J569" s="8"/>
    </row>
    <row r="570" ht="14.25" customHeight="1">
      <c r="C570" s="8"/>
      <c r="I570" s="8"/>
      <c r="J570" s="8"/>
    </row>
    <row r="571" ht="14.25" customHeight="1">
      <c r="C571" s="8"/>
      <c r="I571" s="8"/>
      <c r="J571" s="8"/>
    </row>
    <row r="572" ht="14.25" customHeight="1">
      <c r="C572" s="8"/>
      <c r="I572" s="8"/>
      <c r="J572" s="8"/>
    </row>
    <row r="573" ht="14.25" customHeight="1">
      <c r="C573" s="8"/>
      <c r="I573" s="8"/>
      <c r="J573" s="8"/>
    </row>
    <row r="574" ht="14.25" customHeight="1">
      <c r="C574" s="8"/>
      <c r="I574" s="8"/>
      <c r="J574" s="8"/>
    </row>
    <row r="575" ht="14.25" customHeight="1">
      <c r="C575" s="8"/>
      <c r="I575" s="8"/>
      <c r="J575" s="8"/>
    </row>
    <row r="576" ht="14.25" customHeight="1">
      <c r="C576" s="8"/>
      <c r="I576" s="8"/>
      <c r="J576" s="8"/>
    </row>
    <row r="577" ht="14.25" customHeight="1">
      <c r="C577" s="8"/>
      <c r="I577" s="8"/>
      <c r="J577" s="8"/>
    </row>
    <row r="578" ht="14.25" customHeight="1">
      <c r="C578" s="8"/>
      <c r="I578" s="8"/>
      <c r="J578" s="8"/>
    </row>
    <row r="579" ht="14.25" customHeight="1">
      <c r="C579" s="8"/>
      <c r="I579" s="8"/>
      <c r="J579" s="8"/>
    </row>
    <row r="580" ht="14.25" customHeight="1">
      <c r="C580" s="8"/>
      <c r="I580" s="8"/>
      <c r="J580" s="8"/>
    </row>
    <row r="581" ht="14.25" customHeight="1">
      <c r="C581" s="8"/>
      <c r="I581" s="8"/>
      <c r="J581" s="8"/>
    </row>
    <row r="582" ht="14.25" customHeight="1">
      <c r="C582" s="8"/>
      <c r="I582" s="8"/>
      <c r="J582" s="8"/>
    </row>
    <row r="583" ht="14.25" customHeight="1">
      <c r="C583" s="8"/>
      <c r="I583" s="8"/>
      <c r="J583" s="8"/>
    </row>
    <row r="584" ht="14.25" customHeight="1">
      <c r="C584" s="8"/>
      <c r="I584" s="8"/>
      <c r="J584" s="8"/>
    </row>
    <row r="585" ht="14.25" customHeight="1">
      <c r="C585" s="8"/>
      <c r="I585" s="8"/>
      <c r="J585" s="8"/>
    </row>
    <row r="586" ht="14.25" customHeight="1">
      <c r="C586" s="8"/>
      <c r="I586" s="8"/>
      <c r="J586" s="8"/>
    </row>
    <row r="587" ht="14.25" customHeight="1">
      <c r="C587" s="8"/>
      <c r="I587" s="8"/>
      <c r="J587" s="8"/>
    </row>
    <row r="588" ht="14.25" customHeight="1">
      <c r="C588" s="8"/>
      <c r="I588" s="8"/>
      <c r="J588" s="8"/>
    </row>
    <row r="589" ht="14.25" customHeight="1">
      <c r="C589" s="8"/>
      <c r="I589" s="8"/>
      <c r="J589" s="8"/>
    </row>
    <row r="590" ht="14.25" customHeight="1">
      <c r="C590" s="8"/>
      <c r="I590" s="8"/>
      <c r="J590" s="8"/>
    </row>
    <row r="591" ht="14.25" customHeight="1">
      <c r="C591" s="8"/>
      <c r="I591" s="8"/>
      <c r="J591" s="8"/>
    </row>
    <row r="592" ht="14.25" customHeight="1">
      <c r="C592" s="8"/>
      <c r="I592" s="8"/>
      <c r="J592" s="8"/>
    </row>
    <row r="593" ht="14.25" customHeight="1">
      <c r="C593" s="8"/>
      <c r="I593" s="8"/>
      <c r="J593" s="8"/>
    </row>
    <row r="594" ht="14.25" customHeight="1">
      <c r="C594" s="8"/>
      <c r="I594" s="8"/>
      <c r="J594" s="8"/>
    </row>
    <row r="595" ht="14.25" customHeight="1">
      <c r="C595" s="8"/>
      <c r="I595" s="8"/>
      <c r="J595" s="8"/>
    </row>
    <row r="596" ht="14.25" customHeight="1">
      <c r="C596" s="8"/>
      <c r="I596" s="8"/>
      <c r="J596" s="8"/>
    </row>
    <row r="597" ht="14.25" customHeight="1">
      <c r="C597" s="8"/>
      <c r="I597" s="8"/>
      <c r="J597" s="8"/>
    </row>
    <row r="598" ht="14.25" customHeight="1">
      <c r="C598" s="8"/>
      <c r="I598" s="8"/>
      <c r="J598" s="8"/>
    </row>
    <row r="599" ht="14.25" customHeight="1">
      <c r="C599" s="8"/>
      <c r="I599" s="8"/>
      <c r="J599" s="8"/>
    </row>
    <row r="600" ht="14.25" customHeight="1">
      <c r="C600" s="8"/>
      <c r="I600" s="8"/>
      <c r="J600" s="8"/>
    </row>
    <row r="601" ht="14.25" customHeight="1">
      <c r="C601" s="8"/>
      <c r="I601" s="8"/>
      <c r="J601" s="8"/>
    </row>
    <row r="602" ht="14.25" customHeight="1">
      <c r="C602" s="8"/>
      <c r="I602" s="8"/>
      <c r="J602" s="8"/>
    </row>
    <row r="603" ht="14.25" customHeight="1">
      <c r="C603" s="8"/>
      <c r="I603" s="8"/>
      <c r="J603" s="8"/>
    </row>
    <row r="604" ht="14.25" customHeight="1">
      <c r="C604" s="8"/>
      <c r="I604" s="8"/>
      <c r="J604" s="8"/>
    </row>
    <row r="605" ht="14.25" customHeight="1">
      <c r="C605" s="8"/>
      <c r="I605" s="8"/>
      <c r="J605" s="8"/>
    </row>
    <row r="606" ht="14.25" customHeight="1">
      <c r="C606" s="8"/>
      <c r="I606" s="8"/>
      <c r="J606" s="8"/>
    </row>
    <row r="607" ht="14.25" customHeight="1">
      <c r="C607" s="8"/>
      <c r="I607" s="8"/>
      <c r="J607" s="8"/>
    </row>
    <row r="608" ht="14.25" customHeight="1">
      <c r="C608" s="8"/>
      <c r="I608" s="8"/>
      <c r="J608" s="8"/>
    </row>
    <row r="609" ht="14.25" customHeight="1">
      <c r="C609" s="8"/>
      <c r="I609" s="8"/>
      <c r="J609" s="8"/>
    </row>
    <row r="610" ht="14.25" customHeight="1">
      <c r="C610" s="8"/>
      <c r="I610" s="8"/>
      <c r="J610" s="8"/>
    </row>
    <row r="611" ht="14.25" customHeight="1">
      <c r="C611" s="8"/>
      <c r="I611" s="8"/>
      <c r="J611" s="8"/>
    </row>
    <row r="612" ht="14.25" customHeight="1">
      <c r="C612" s="8"/>
      <c r="I612" s="8"/>
      <c r="J612" s="8"/>
    </row>
    <row r="613" ht="14.25" customHeight="1">
      <c r="C613" s="8"/>
      <c r="I613" s="8"/>
      <c r="J613" s="8"/>
    </row>
    <row r="614" ht="14.25" customHeight="1">
      <c r="C614" s="8"/>
      <c r="I614" s="8"/>
      <c r="J614" s="8"/>
    </row>
    <row r="615" ht="14.25" customHeight="1">
      <c r="C615" s="8"/>
      <c r="I615" s="8"/>
      <c r="J615" s="8"/>
    </row>
    <row r="616" ht="14.25" customHeight="1">
      <c r="C616" s="8"/>
      <c r="I616" s="8"/>
      <c r="J616" s="8"/>
    </row>
    <row r="617" ht="14.25" customHeight="1">
      <c r="C617" s="8"/>
      <c r="I617" s="8"/>
      <c r="J617" s="8"/>
    </row>
    <row r="618" ht="14.25" customHeight="1">
      <c r="C618" s="8"/>
      <c r="I618" s="8"/>
      <c r="J618" s="8"/>
    </row>
    <row r="619" ht="14.25" customHeight="1">
      <c r="C619" s="8"/>
      <c r="I619" s="8"/>
      <c r="J619" s="8"/>
    </row>
    <row r="620" ht="14.25" customHeight="1">
      <c r="C620" s="8"/>
      <c r="I620" s="8"/>
      <c r="J620" s="8"/>
    </row>
    <row r="621" ht="14.25" customHeight="1">
      <c r="C621" s="8"/>
      <c r="I621" s="8"/>
      <c r="J621" s="8"/>
    </row>
    <row r="622" ht="14.25" customHeight="1">
      <c r="C622" s="8"/>
      <c r="I622" s="8"/>
      <c r="J622" s="8"/>
    </row>
    <row r="623" ht="14.25" customHeight="1">
      <c r="C623" s="8"/>
      <c r="I623" s="8"/>
      <c r="J623" s="8"/>
    </row>
    <row r="624" ht="14.25" customHeight="1">
      <c r="C624" s="8"/>
      <c r="I624" s="8"/>
      <c r="J624" s="8"/>
    </row>
    <row r="625" ht="14.25" customHeight="1">
      <c r="C625" s="8"/>
      <c r="I625" s="8"/>
      <c r="J625" s="8"/>
    </row>
    <row r="626" ht="14.25" customHeight="1">
      <c r="C626" s="8"/>
      <c r="I626" s="8"/>
      <c r="J626" s="8"/>
    </row>
    <row r="627" ht="14.25" customHeight="1">
      <c r="C627" s="8"/>
      <c r="I627" s="8"/>
      <c r="J627" s="8"/>
    </row>
    <row r="628" ht="14.25" customHeight="1">
      <c r="C628" s="8"/>
      <c r="I628" s="8"/>
      <c r="J628" s="8"/>
    </row>
    <row r="629" ht="14.25" customHeight="1">
      <c r="C629" s="8"/>
      <c r="I629" s="8"/>
      <c r="J629" s="8"/>
    </row>
    <row r="630" ht="14.25" customHeight="1">
      <c r="C630" s="8"/>
      <c r="I630" s="8"/>
      <c r="J630" s="8"/>
    </row>
    <row r="631" ht="14.25" customHeight="1">
      <c r="C631" s="8"/>
      <c r="I631" s="8"/>
      <c r="J631" s="8"/>
    </row>
    <row r="632" ht="14.25" customHeight="1">
      <c r="C632" s="8"/>
      <c r="I632" s="8"/>
      <c r="J632" s="8"/>
    </row>
    <row r="633" ht="14.25" customHeight="1">
      <c r="C633" s="8"/>
      <c r="I633" s="8"/>
      <c r="J633" s="8"/>
    </row>
    <row r="634" ht="14.25" customHeight="1">
      <c r="C634" s="8"/>
      <c r="I634" s="8"/>
      <c r="J634" s="8"/>
    </row>
    <row r="635" ht="14.25" customHeight="1">
      <c r="C635" s="8"/>
      <c r="I635" s="8"/>
      <c r="J635" s="8"/>
    </row>
    <row r="636" ht="14.25" customHeight="1">
      <c r="C636" s="8"/>
      <c r="I636" s="8"/>
      <c r="J636" s="8"/>
    </row>
    <row r="637" ht="14.25" customHeight="1">
      <c r="C637" s="8"/>
      <c r="I637" s="8"/>
      <c r="J637" s="8"/>
    </row>
    <row r="638" ht="14.25" customHeight="1">
      <c r="C638" s="8"/>
      <c r="I638" s="8"/>
      <c r="J638" s="8"/>
    </row>
    <row r="639" ht="14.25" customHeight="1">
      <c r="C639" s="8"/>
      <c r="I639" s="8"/>
      <c r="J639" s="8"/>
    </row>
    <row r="640" ht="14.25" customHeight="1">
      <c r="C640" s="8"/>
      <c r="I640" s="8"/>
      <c r="J640" s="8"/>
    </row>
    <row r="641" ht="14.25" customHeight="1">
      <c r="C641" s="8"/>
      <c r="I641" s="8"/>
      <c r="J641" s="8"/>
    </row>
    <row r="642" ht="14.25" customHeight="1">
      <c r="C642" s="8"/>
      <c r="I642" s="8"/>
      <c r="J642" s="8"/>
    </row>
    <row r="643" ht="14.25" customHeight="1">
      <c r="C643" s="8"/>
      <c r="I643" s="8"/>
      <c r="J643" s="8"/>
    </row>
    <row r="644" ht="14.25" customHeight="1">
      <c r="C644" s="8"/>
      <c r="I644" s="8"/>
      <c r="J644" s="8"/>
    </row>
    <row r="645" ht="14.25" customHeight="1">
      <c r="C645" s="8"/>
      <c r="I645" s="8"/>
      <c r="J645" s="8"/>
    </row>
    <row r="646" ht="14.25" customHeight="1">
      <c r="C646" s="8"/>
      <c r="I646" s="8"/>
      <c r="J646" s="8"/>
    </row>
    <row r="647" ht="14.25" customHeight="1">
      <c r="C647" s="8"/>
      <c r="I647" s="8"/>
      <c r="J647" s="8"/>
    </row>
    <row r="648" ht="14.25" customHeight="1">
      <c r="C648" s="8"/>
      <c r="I648" s="8"/>
      <c r="J648" s="8"/>
    </row>
    <row r="649" ht="14.25" customHeight="1">
      <c r="C649" s="8"/>
      <c r="I649" s="8"/>
      <c r="J649" s="8"/>
    </row>
    <row r="650" ht="14.25" customHeight="1">
      <c r="C650" s="8"/>
      <c r="I650" s="8"/>
      <c r="J650" s="8"/>
    </row>
    <row r="651" ht="14.25" customHeight="1">
      <c r="C651" s="8"/>
      <c r="I651" s="8"/>
      <c r="J651" s="8"/>
    </row>
    <row r="652" ht="14.25" customHeight="1">
      <c r="C652" s="8"/>
      <c r="I652" s="8"/>
      <c r="J652" s="8"/>
    </row>
    <row r="653" ht="14.25" customHeight="1">
      <c r="C653" s="8"/>
      <c r="I653" s="8"/>
      <c r="J653" s="8"/>
    </row>
    <row r="654" ht="14.25" customHeight="1">
      <c r="C654" s="8"/>
      <c r="I654" s="8"/>
      <c r="J654" s="8"/>
    </row>
    <row r="655" ht="14.25" customHeight="1">
      <c r="C655" s="8"/>
      <c r="I655" s="8"/>
      <c r="J655" s="8"/>
    </row>
    <row r="656" ht="14.25" customHeight="1">
      <c r="C656" s="8"/>
      <c r="I656" s="8"/>
      <c r="J656" s="8"/>
    </row>
    <row r="657" ht="14.25" customHeight="1">
      <c r="C657" s="8"/>
      <c r="I657" s="8"/>
      <c r="J657" s="8"/>
    </row>
    <row r="658" ht="14.25" customHeight="1">
      <c r="C658" s="8"/>
      <c r="I658" s="8"/>
      <c r="J658" s="8"/>
    </row>
    <row r="659" ht="14.25" customHeight="1">
      <c r="C659" s="8"/>
      <c r="I659" s="8"/>
      <c r="J659" s="8"/>
    </row>
    <row r="660" ht="14.25" customHeight="1">
      <c r="C660" s="8"/>
      <c r="I660" s="8"/>
      <c r="J660" s="8"/>
    </row>
    <row r="661" ht="14.25" customHeight="1">
      <c r="C661" s="8"/>
      <c r="I661" s="8"/>
      <c r="J661" s="8"/>
    </row>
    <row r="662" ht="14.25" customHeight="1">
      <c r="C662" s="8"/>
      <c r="I662" s="8"/>
      <c r="J662" s="8"/>
    </row>
    <row r="663" ht="14.25" customHeight="1">
      <c r="C663" s="8"/>
      <c r="I663" s="8"/>
      <c r="J663" s="8"/>
    </row>
    <row r="664" ht="14.25" customHeight="1">
      <c r="C664" s="8"/>
      <c r="I664" s="8"/>
      <c r="J664" s="8"/>
    </row>
    <row r="665" ht="14.25" customHeight="1">
      <c r="C665" s="8"/>
      <c r="I665" s="8"/>
      <c r="J665" s="8"/>
    </row>
    <row r="666" ht="14.25" customHeight="1">
      <c r="C666" s="8"/>
      <c r="I666" s="8"/>
      <c r="J666" s="8"/>
    </row>
    <row r="667" ht="14.25" customHeight="1">
      <c r="C667" s="8"/>
      <c r="I667" s="8"/>
      <c r="J667" s="8"/>
    </row>
    <row r="668" ht="14.25" customHeight="1">
      <c r="C668" s="8"/>
      <c r="I668" s="8"/>
      <c r="J668" s="8"/>
    </row>
    <row r="669" ht="14.25" customHeight="1">
      <c r="C669" s="8"/>
      <c r="I669" s="8"/>
      <c r="J669" s="8"/>
    </row>
    <row r="670" ht="14.25" customHeight="1">
      <c r="C670" s="8"/>
      <c r="I670" s="8"/>
      <c r="J670" s="8"/>
    </row>
    <row r="671" ht="14.25" customHeight="1">
      <c r="C671" s="8"/>
      <c r="I671" s="8"/>
      <c r="J671" s="8"/>
    </row>
    <row r="672" ht="14.25" customHeight="1">
      <c r="C672" s="8"/>
      <c r="I672" s="8"/>
      <c r="J672" s="8"/>
    </row>
    <row r="673" ht="14.25" customHeight="1">
      <c r="C673" s="8"/>
      <c r="I673" s="8"/>
      <c r="J673" s="8"/>
    </row>
    <row r="674" ht="14.25" customHeight="1">
      <c r="C674" s="8"/>
      <c r="I674" s="8"/>
      <c r="J674" s="8"/>
    </row>
    <row r="675" ht="14.25" customHeight="1">
      <c r="C675" s="8"/>
      <c r="I675" s="8"/>
      <c r="J675" s="8"/>
    </row>
    <row r="676" ht="14.25" customHeight="1">
      <c r="C676" s="8"/>
      <c r="I676" s="8"/>
      <c r="J676" s="8"/>
    </row>
    <row r="677" ht="14.25" customHeight="1">
      <c r="C677" s="8"/>
      <c r="I677" s="8"/>
      <c r="J677" s="8"/>
    </row>
    <row r="678" ht="14.25" customHeight="1">
      <c r="C678" s="8"/>
      <c r="I678" s="8"/>
      <c r="J678" s="8"/>
    </row>
    <row r="679" ht="14.25" customHeight="1">
      <c r="C679" s="8"/>
      <c r="I679" s="8"/>
      <c r="J679" s="8"/>
    </row>
    <row r="680" ht="14.25" customHeight="1">
      <c r="C680" s="8"/>
      <c r="I680" s="8"/>
      <c r="J680" s="8"/>
    </row>
    <row r="681" ht="14.25" customHeight="1">
      <c r="C681" s="8"/>
      <c r="I681" s="8"/>
      <c r="J681" s="8"/>
    </row>
    <row r="682" ht="14.25" customHeight="1">
      <c r="C682" s="8"/>
      <c r="I682" s="8"/>
      <c r="J682" s="8"/>
    </row>
    <row r="683" ht="14.25" customHeight="1">
      <c r="C683" s="8"/>
      <c r="I683" s="8"/>
      <c r="J683" s="8"/>
    </row>
    <row r="684" ht="14.25" customHeight="1">
      <c r="C684" s="8"/>
      <c r="I684" s="8"/>
      <c r="J684" s="8"/>
    </row>
    <row r="685" ht="14.25" customHeight="1">
      <c r="C685" s="8"/>
      <c r="I685" s="8"/>
      <c r="J685" s="8"/>
    </row>
    <row r="686" ht="14.25" customHeight="1">
      <c r="C686" s="8"/>
      <c r="I686" s="8"/>
      <c r="J686" s="8"/>
    </row>
    <row r="687" ht="14.25" customHeight="1">
      <c r="C687" s="8"/>
      <c r="I687" s="8"/>
      <c r="J687" s="8"/>
    </row>
    <row r="688" ht="14.25" customHeight="1">
      <c r="C688" s="8"/>
      <c r="I688" s="8"/>
      <c r="J688" s="8"/>
    </row>
    <row r="689" ht="14.25" customHeight="1">
      <c r="C689" s="8"/>
      <c r="I689" s="8"/>
      <c r="J689" s="8"/>
    </row>
    <row r="690" ht="14.25" customHeight="1">
      <c r="C690" s="8"/>
      <c r="I690" s="8"/>
      <c r="J690" s="8"/>
    </row>
    <row r="691" ht="14.25" customHeight="1">
      <c r="C691" s="8"/>
      <c r="I691" s="8"/>
      <c r="J691" s="8"/>
    </row>
    <row r="692" ht="14.25" customHeight="1">
      <c r="C692" s="8"/>
      <c r="I692" s="8"/>
      <c r="J692" s="8"/>
    </row>
    <row r="693" ht="14.25" customHeight="1">
      <c r="C693" s="8"/>
      <c r="I693" s="8"/>
      <c r="J693" s="8"/>
    </row>
    <row r="694" ht="14.25" customHeight="1">
      <c r="C694" s="8"/>
      <c r="I694" s="8"/>
      <c r="J694" s="8"/>
    </row>
    <row r="695" ht="14.25" customHeight="1">
      <c r="C695" s="8"/>
      <c r="I695" s="8"/>
      <c r="J695" s="8"/>
    </row>
    <row r="696" ht="14.25" customHeight="1">
      <c r="C696" s="8"/>
      <c r="I696" s="8"/>
      <c r="J696" s="8"/>
    </row>
    <row r="697" ht="14.25" customHeight="1">
      <c r="C697" s="8"/>
      <c r="I697" s="8"/>
      <c r="J697" s="8"/>
    </row>
    <row r="698" ht="14.25" customHeight="1">
      <c r="C698" s="8"/>
      <c r="I698" s="8"/>
      <c r="J698" s="8"/>
    </row>
    <row r="699" ht="14.25" customHeight="1">
      <c r="C699" s="8"/>
      <c r="I699" s="8"/>
      <c r="J699" s="8"/>
    </row>
    <row r="700" ht="14.25" customHeight="1">
      <c r="C700" s="8"/>
      <c r="I700" s="8"/>
      <c r="J700" s="8"/>
    </row>
    <row r="701" ht="14.25" customHeight="1">
      <c r="C701" s="8"/>
      <c r="I701" s="8"/>
      <c r="J701" s="8"/>
    </row>
    <row r="702" ht="14.25" customHeight="1">
      <c r="C702" s="8"/>
      <c r="I702" s="8"/>
      <c r="J702" s="8"/>
    </row>
    <row r="703" ht="14.25" customHeight="1">
      <c r="C703" s="8"/>
      <c r="I703" s="8"/>
      <c r="J703" s="8"/>
    </row>
    <row r="704" ht="14.25" customHeight="1">
      <c r="C704" s="8"/>
      <c r="I704" s="8"/>
      <c r="J704" s="8"/>
    </row>
    <row r="705" ht="14.25" customHeight="1">
      <c r="C705" s="8"/>
      <c r="I705" s="8"/>
      <c r="J705" s="8"/>
    </row>
    <row r="706" ht="14.25" customHeight="1">
      <c r="C706" s="8"/>
      <c r="I706" s="8"/>
      <c r="J706" s="8"/>
    </row>
    <row r="707" ht="14.25" customHeight="1">
      <c r="C707" s="8"/>
      <c r="I707" s="8"/>
      <c r="J707" s="8"/>
    </row>
    <row r="708" ht="14.25" customHeight="1">
      <c r="C708" s="8"/>
      <c r="I708" s="8"/>
      <c r="J708" s="8"/>
    </row>
    <row r="709" ht="14.25" customHeight="1">
      <c r="C709" s="8"/>
      <c r="I709" s="8"/>
      <c r="J709" s="8"/>
    </row>
    <row r="710" ht="14.25" customHeight="1">
      <c r="C710" s="8"/>
      <c r="I710" s="8"/>
      <c r="J710" s="8"/>
    </row>
    <row r="711" ht="14.25" customHeight="1">
      <c r="C711" s="8"/>
      <c r="I711" s="8"/>
      <c r="J711" s="8"/>
    </row>
    <row r="712" ht="14.25" customHeight="1">
      <c r="C712" s="8"/>
      <c r="I712" s="8"/>
      <c r="J712" s="8"/>
    </row>
    <row r="713" ht="14.25" customHeight="1">
      <c r="C713" s="8"/>
      <c r="I713" s="8"/>
      <c r="J713" s="8"/>
    </row>
    <row r="714" ht="14.25" customHeight="1">
      <c r="C714" s="8"/>
      <c r="I714" s="8"/>
      <c r="J714" s="8"/>
    </row>
    <row r="715" ht="14.25" customHeight="1">
      <c r="C715" s="8"/>
      <c r="I715" s="8"/>
      <c r="J715" s="8"/>
    </row>
    <row r="716" ht="14.25" customHeight="1">
      <c r="C716" s="8"/>
      <c r="I716" s="8"/>
      <c r="J716" s="8"/>
    </row>
    <row r="717" ht="14.25" customHeight="1">
      <c r="C717" s="8"/>
      <c r="I717" s="8"/>
      <c r="J717" s="8"/>
    </row>
    <row r="718" ht="14.25" customHeight="1">
      <c r="C718" s="8"/>
      <c r="I718" s="8"/>
      <c r="J718" s="8"/>
    </row>
    <row r="719" ht="14.25" customHeight="1">
      <c r="C719" s="8"/>
      <c r="I719" s="8"/>
      <c r="J719" s="8"/>
    </row>
    <row r="720" ht="14.25" customHeight="1">
      <c r="C720" s="8"/>
      <c r="I720" s="8"/>
      <c r="J720" s="8"/>
    </row>
    <row r="721" ht="14.25" customHeight="1">
      <c r="C721" s="8"/>
      <c r="I721" s="8"/>
      <c r="J721" s="8"/>
    </row>
    <row r="722" ht="14.25" customHeight="1">
      <c r="C722" s="8"/>
      <c r="I722" s="8"/>
      <c r="J722" s="8"/>
    </row>
    <row r="723" ht="14.25" customHeight="1">
      <c r="C723" s="8"/>
      <c r="I723" s="8"/>
      <c r="J723" s="8"/>
    </row>
    <row r="724" ht="14.25" customHeight="1">
      <c r="C724" s="8"/>
      <c r="I724" s="8"/>
      <c r="J724" s="8"/>
    </row>
    <row r="725" ht="14.25" customHeight="1">
      <c r="C725" s="8"/>
      <c r="I725" s="8"/>
      <c r="J725" s="8"/>
    </row>
    <row r="726" ht="14.25" customHeight="1">
      <c r="C726" s="8"/>
      <c r="I726" s="8"/>
      <c r="J726" s="8"/>
    </row>
    <row r="727" ht="14.25" customHeight="1">
      <c r="C727" s="8"/>
      <c r="I727" s="8"/>
      <c r="J727" s="8"/>
    </row>
    <row r="728" ht="14.25" customHeight="1">
      <c r="C728" s="8"/>
      <c r="I728" s="8"/>
      <c r="J728" s="8"/>
    </row>
    <row r="729" ht="14.25" customHeight="1">
      <c r="C729" s="8"/>
      <c r="I729" s="8"/>
      <c r="J729" s="8"/>
    </row>
    <row r="730" ht="14.25" customHeight="1">
      <c r="C730" s="8"/>
      <c r="I730" s="8"/>
      <c r="J730" s="8"/>
    </row>
    <row r="731" ht="14.25" customHeight="1">
      <c r="C731" s="8"/>
      <c r="I731" s="8"/>
      <c r="J731" s="8"/>
    </row>
    <row r="732" ht="14.25" customHeight="1">
      <c r="C732" s="8"/>
      <c r="I732" s="8"/>
      <c r="J732" s="8"/>
    </row>
    <row r="733" ht="14.25" customHeight="1">
      <c r="C733" s="8"/>
      <c r="I733" s="8"/>
      <c r="J733" s="8"/>
    </row>
    <row r="734" ht="14.25" customHeight="1">
      <c r="C734" s="8"/>
      <c r="I734" s="8"/>
      <c r="J734" s="8"/>
    </row>
    <row r="735" ht="14.25" customHeight="1">
      <c r="C735" s="8"/>
      <c r="I735" s="8"/>
      <c r="J735" s="8"/>
    </row>
    <row r="736" ht="14.25" customHeight="1">
      <c r="C736" s="8"/>
      <c r="I736" s="8"/>
      <c r="J736" s="8"/>
    </row>
    <row r="737" ht="14.25" customHeight="1">
      <c r="C737" s="8"/>
      <c r="I737" s="8"/>
      <c r="J737" s="8"/>
    </row>
    <row r="738" ht="14.25" customHeight="1">
      <c r="C738" s="8"/>
      <c r="I738" s="8"/>
      <c r="J738" s="8"/>
    </row>
    <row r="739" ht="14.25" customHeight="1">
      <c r="C739" s="8"/>
      <c r="I739" s="8"/>
      <c r="J739" s="8"/>
    </row>
    <row r="740" ht="14.25" customHeight="1">
      <c r="C740" s="8"/>
      <c r="I740" s="8"/>
      <c r="J740" s="8"/>
    </row>
    <row r="741" ht="14.25" customHeight="1">
      <c r="C741" s="8"/>
      <c r="I741" s="8"/>
      <c r="J741" s="8"/>
    </row>
    <row r="742" ht="14.25" customHeight="1">
      <c r="C742" s="8"/>
      <c r="I742" s="8"/>
      <c r="J742" s="8"/>
    </row>
    <row r="743" ht="14.25" customHeight="1">
      <c r="C743" s="8"/>
      <c r="I743" s="8"/>
      <c r="J743" s="8"/>
    </row>
    <row r="744" ht="14.25" customHeight="1">
      <c r="C744" s="8"/>
      <c r="I744" s="8"/>
      <c r="J744" s="8"/>
    </row>
    <row r="745" ht="14.25" customHeight="1">
      <c r="C745" s="8"/>
      <c r="I745" s="8"/>
      <c r="J745" s="8"/>
    </row>
    <row r="746" ht="14.25" customHeight="1">
      <c r="C746" s="8"/>
      <c r="I746" s="8"/>
      <c r="J746" s="8"/>
    </row>
    <row r="747" ht="14.25" customHeight="1">
      <c r="C747" s="8"/>
      <c r="I747" s="8"/>
      <c r="J747" s="8"/>
    </row>
    <row r="748" ht="14.25" customHeight="1">
      <c r="C748" s="8"/>
      <c r="I748" s="8"/>
      <c r="J748" s="8"/>
    </row>
    <row r="749" ht="14.25" customHeight="1">
      <c r="C749" s="8"/>
      <c r="I749" s="8"/>
      <c r="J749" s="8"/>
    </row>
    <row r="750" ht="14.25" customHeight="1">
      <c r="C750" s="8"/>
      <c r="I750" s="8"/>
      <c r="J750" s="8"/>
    </row>
    <row r="751" ht="14.25" customHeight="1">
      <c r="C751" s="8"/>
      <c r="I751" s="8"/>
      <c r="J751" s="8"/>
    </row>
    <row r="752" ht="14.25" customHeight="1">
      <c r="C752" s="8"/>
      <c r="I752" s="8"/>
      <c r="J752" s="8"/>
    </row>
    <row r="753" ht="14.25" customHeight="1">
      <c r="C753" s="8"/>
      <c r="I753" s="8"/>
      <c r="J753" s="8"/>
    </row>
    <row r="754" ht="14.25" customHeight="1">
      <c r="C754" s="8"/>
      <c r="I754" s="8"/>
      <c r="J754" s="8"/>
    </row>
    <row r="755" ht="14.25" customHeight="1">
      <c r="C755" s="8"/>
      <c r="I755" s="8"/>
      <c r="J755" s="8"/>
    </row>
    <row r="756" ht="14.25" customHeight="1">
      <c r="C756" s="8"/>
      <c r="I756" s="8"/>
      <c r="J756" s="8"/>
    </row>
    <row r="757" ht="14.25" customHeight="1">
      <c r="C757" s="8"/>
      <c r="I757" s="8"/>
      <c r="J757" s="8"/>
    </row>
    <row r="758" ht="14.25" customHeight="1">
      <c r="C758" s="8"/>
      <c r="I758" s="8"/>
      <c r="J758" s="8"/>
    </row>
    <row r="759" ht="14.25" customHeight="1">
      <c r="C759" s="8"/>
      <c r="I759" s="8"/>
      <c r="J759" s="8"/>
    </row>
    <row r="760" ht="14.25" customHeight="1">
      <c r="C760" s="8"/>
      <c r="I760" s="8"/>
      <c r="J760" s="8"/>
    </row>
    <row r="761" ht="14.25" customHeight="1">
      <c r="C761" s="8"/>
      <c r="I761" s="8"/>
      <c r="J761" s="8"/>
    </row>
    <row r="762" ht="14.25" customHeight="1">
      <c r="C762" s="8"/>
      <c r="I762" s="8"/>
      <c r="J762" s="8"/>
    </row>
    <row r="763" ht="14.25" customHeight="1">
      <c r="C763" s="8"/>
      <c r="I763" s="8"/>
      <c r="J763" s="8"/>
    </row>
    <row r="764" ht="14.25" customHeight="1">
      <c r="C764" s="8"/>
      <c r="I764" s="8"/>
      <c r="J764" s="8"/>
    </row>
    <row r="765" ht="14.25" customHeight="1">
      <c r="C765" s="8"/>
      <c r="I765" s="8"/>
      <c r="J765" s="8"/>
    </row>
    <row r="766" ht="14.25" customHeight="1">
      <c r="C766" s="8"/>
      <c r="I766" s="8"/>
      <c r="J766" s="8"/>
    </row>
    <row r="767" ht="14.25" customHeight="1">
      <c r="C767" s="8"/>
      <c r="I767" s="8"/>
      <c r="J767" s="8"/>
    </row>
    <row r="768" ht="14.25" customHeight="1">
      <c r="C768" s="8"/>
      <c r="I768" s="8"/>
      <c r="J768" s="8"/>
    </row>
    <row r="769" ht="14.25" customHeight="1">
      <c r="C769" s="8"/>
      <c r="I769" s="8"/>
      <c r="J769" s="8"/>
    </row>
    <row r="770" ht="14.25" customHeight="1">
      <c r="C770" s="8"/>
      <c r="I770" s="8"/>
      <c r="J770" s="8"/>
    </row>
    <row r="771" ht="14.25" customHeight="1">
      <c r="C771" s="8"/>
      <c r="I771" s="8"/>
      <c r="J771" s="8"/>
    </row>
    <row r="772" ht="14.25" customHeight="1">
      <c r="C772" s="8"/>
      <c r="I772" s="8"/>
      <c r="J772" s="8"/>
    </row>
    <row r="773" ht="14.25" customHeight="1">
      <c r="C773" s="8"/>
      <c r="I773" s="8"/>
      <c r="J773" s="8"/>
    </row>
    <row r="774" ht="14.25" customHeight="1">
      <c r="C774" s="8"/>
      <c r="I774" s="8"/>
      <c r="J774" s="8"/>
    </row>
    <row r="775" ht="14.25" customHeight="1">
      <c r="C775" s="8"/>
      <c r="I775" s="8"/>
      <c r="J775" s="8"/>
    </row>
    <row r="776" ht="14.25" customHeight="1">
      <c r="C776" s="8"/>
      <c r="I776" s="8"/>
      <c r="J776" s="8"/>
    </row>
    <row r="777" ht="14.25" customHeight="1">
      <c r="C777" s="8"/>
      <c r="I777" s="8"/>
      <c r="J777" s="8"/>
    </row>
    <row r="778" ht="14.25" customHeight="1">
      <c r="C778" s="8"/>
      <c r="I778" s="8"/>
      <c r="J778" s="8"/>
    </row>
    <row r="779" ht="14.25" customHeight="1">
      <c r="C779" s="8"/>
      <c r="I779" s="8"/>
      <c r="J779" s="8"/>
    </row>
    <row r="780" ht="14.25" customHeight="1">
      <c r="C780" s="8"/>
      <c r="I780" s="8"/>
      <c r="J780" s="8"/>
    </row>
    <row r="781" ht="14.25" customHeight="1">
      <c r="C781" s="8"/>
      <c r="I781" s="8"/>
      <c r="J781" s="8"/>
    </row>
    <row r="782" ht="14.25" customHeight="1">
      <c r="C782" s="8"/>
      <c r="I782" s="8"/>
      <c r="J782" s="8"/>
    </row>
    <row r="783" ht="14.25" customHeight="1">
      <c r="C783" s="8"/>
      <c r="I783" s="8"/>
      <c r="J783" s="8"/>
    </row>
    <row r="784" ht="14.25" customHeight="1">
      <c r="C784" s="8"/>
      <c r="I784" s="8"/>
      <c r="J784" s="8"/>
    </row>
    <row r="785" ht="14.25" customHeight="1">
      <c r="C785" s="8"/>
      <c r="I785" s="8"/>
      <c r="J785" s="8"/>
    </row>
    <row r="786" ht="14.25" customHeight="1">
      <c r="C786" s="8"/>
      <c r="I786" s="8"/>
      <c r="J786" s="8"/>
    </row>
    <row r="787" ht="14.25" customHeight="1">
      <c r="C787" s="8"/>
      <c r="I787" s="8"/>
      <c r="J787" s="8"/>
    </row>
    <row r="788" ht="14.25" customHeight="1">
      <c r="C788" s="8"/>
      <c r="I788" s="8"/>
      <c r="J788" s="8"/>
    </row>
    <row r="789" ht="14.25" customHeight="1">
      <c r="C789" s="8"/>
      <c r="I789" s="8"/>
      <c r="J789" s="8"/>
    </row>
    <row r="790" ht="14.25" customHeight="1">
      <c r="C790" s="8"/>
      <c r="I790" s="8"/>
      <c r="J790" s="8"/>
    </row>
    <row r="791" ht="14.25" customHeight="1">
      <c r="C791" s="8"/>
      <c r="I791" s="8"/>
      <c r="J791" s="8"/>
    </row>
    <row r="792" ht="14.25" customHeight="1">
      <c r="C792" s="8"/>
      <c r="I792" s="8"/>
      <c r="J792" s="8"/>
    </row>
    <row r="793" ht="14.25" customHeight="1">
      <c r="C793" s="8"/>
      <c r="I793" s="8"/>
      <c r="J793" s="8"/>
    </row>
    <row r="794" ht="14.25" customHeight="1">
      <c r="C794" s="8"/>
      <c r="I794" s="8"/>
      <c r="J794" s="8"/>
    </row>
    <row r="795" ht="14.25" customHeight="1">
      <c r="C795" s="8"/>
      <c r="I795" s="8"/>
      <c r="J795" s="8"/>
    </row>
    <row r="796" ht="14.25" customHeight="1">
      <c r="C796" s="8"/>
      <c r="I796" s="8"/>
      <c r="J796" s="8"/>
    </row>
    <row r="797" ht="14.25" customHeight="1">
      <c r="C797" s="8"/>
      <c r="I797" s="8"/>
      <c r="J797" s="8"/>
    </row>
    <row r="798" ht="14.25" customHeight="1">
      <c r="C798" s="8"/>
      <c r="I798" s="8"/>
      <c r="J798" s="8"/>
    </row>
    <row r="799" ht="14.25" customHeight="1">
      <c r="C799" s="8"/>
      <c r="I799" s="8"/>
      <c r="J799" s="8"/>
    </row>
    <row r="800" ht="14.25" customHeight="1">
      <c r="C800" s="8"/>
      <c r="I800" s="8"/>
      <c r="J800" s="8"/>
    </row>
    <row r="801" ht="14.25" customHeight="1">
      <c r="C801" s="8"/>
      <c r="I801" s="8"/>
      <c r="J801" s="8"/>
    </row>
    <row r="802" ht="14.25" customHeight="1">
      <c r="C802" s="8"/>
      <c r="I802" s="8"/>
      <c r="J802" s="8"/>
    </row>
    <row r="803" ht="14.25" customHeight="1">
      <c r="C803" s="8"/>
      <c r="I803" s="8"/>
      <c r="J803" s="8"/>
    </row>
    <row r="804" ht="14.25" customHeight="1">
      <c r="C804" s="8"/>
      <c r="I804" s="8"/>
      <c r="J804" s="8"/>
    </row>
    <row r="805" ht="14.25" customHeight="1">
      <c r="C805" s="8"/>
      <c r="I805" s="8"/>
      <c r="J805" s="8"/>
    </row>
    <row r="806" ht="14.25" customHeight="1">
      <c r="C806" s="8"/>
      <c r="I806" s="8"/>
      <c r="J806" s="8"/>
    </row>
    <row r="807" ht="14.25" customHeight="1">
      <c r="C807" s="8"/>
      <c r="I807" s="8"/>
      <c r="J807" s="8"/>
    </row>
    <row r="808" ht="14.25" customHeight="1">
      <c r="C808" s="8"/>
      <c r="I808" s="8"/>
      <c r="J808" s="8"/>
    </row>
    <row r="809" ht="14.25" customHeight="1">
      <c r="C809" s="8"/>
      <c r="I809" s="8"/>
      <c r="J809" s="8"/>
    </row>
    <row r="810" ht="14.25" customHeight="1">
      <c r="C810" s="8"/>
      <c r="I810" s="8"/>
      <c r="J810" s="8"/>
    </row>
    <row r="811" ht="14.25" customHeight="1">
      <c r="C811" s="8"/>
      <c r="I811" s="8"/>
      <c r="J811" s="8"/>
    </row>
    <row r="812" ht="14.25" customHeight="1">
      <c r="C812" s="8"/>
      <c r="I812" s="8"/>
      <c r="J812" s="8"/>
    </row>
    <row r="813" ht="14.25" customHeight="1">
      <c r="C813" s="8"/>
      <c r="I813" s="8"/>
      <c r="J813" s="8"/>
    </row>
    <row r="814" ht="14.25" customHeight="1">
      <c r="C814" s="8"/>
      <c r="I814" s="8"/>
      <c r="J814" s="8"/>
    </row>
    <row r="815" ht="14.25" customHeight="1">
      <c r="C815" s="8"/>
      <c r="I815" s="8"/>
      <c r="J815" s="8"/>
    </row>
    <row r="816" ht="14.25" customHeight="1">
      <c r="C816" s="8"/>
      <c r="I816" s="8"/>
      <c r="J816" s="8"/>
    </row>
    <row r="817" ht="14.25" customHeight="1">
      <c r="C817" s="8"/>
      <c r="I817" s="8"/>
      <c r="J817" s="8"/>
    </row>
    <row r="818" ht="14.25" customHeight="1">
      <c r="C818" s="8"/>
      <c r="I818" s="8"/>
      <c r="J818" s="8"/>
    </row>
    <row r="819" ht="14.25" customHeight="1">
      <c r="C819" s="8"/>
      <c r="I819" s="8"/>
      <c r="J819" s="8"/>
    </row>
    <row r="820" ht="14.25" customHeight="1">
      <c r="C820" s="8"/>
      <c r="I820" s="8"/>
      <c r="J820" s="8"/>
    </row>
    <row r="821" ht="14.25" customHeight="1">
      <c r="C821" s="8"/>
      <c r="I821" s="8"/>
      <c r="J821" s="8"/>
    </row>
    <row r="822" ht="14.25" customHeight="1">
      <c r="C822" s="8"/>
      <c r="I822" s="8"/>
      <c r="J822" s="8"/>
    </row>
    <row r="823" ht="14.25" customHeight="1">
      <c r="C823" s="8"/>
      <c r="I823" s="8"/>
      <c r="J823" s="8"/>
    </row>
    <row r="824" ht="14.25" customHeight="1">
      <c r="C824" s="8"/>
      <c r="I824" s="8"/>
      <c r="J824" s="8"/>
    </row>
    <row r="825" ht="14.25" customHeight="1">
      <c r="C825" s="8"/>
      <c r="I825" s="8"/>
      <c r="J825" s="8"/>
    </row>
    <row r="826" ht="14.25" customHeight="1">
      <c r="C826" s="8"/>
      <c r="I826" s="8"/>
      <c r="J826" s="8"/>
    </row>
    <row r="827" ht="14.25" customHeight="1">
      <c r="C827" s="8"/>
      <c r="I827" s="8"/>
      <c r="J827" s="8"/>
    </row>
    <row r="828" ht="14.25" customHeight="1">
      <c r="C828" s="8"/>
      <c r="I828" s="8"/>
      <c r="J828" s="8"/>
    </row>
    <row r="829" ht="14.25" customHeight="1">
      <c r="C829" s="8"/>
      <c r="I829" s="8"/>
      <c r="J829" s="8"/>
    </row>
    <row r="830" ht="14.25" customHeight="1">
      <c r="C830" s="8"/>
      <c r="I830" s="8"/>
      <c r="J830" s="8"/>
    </row>
    <row r="831" ht="14.25" customHeight="1">
      <c r="C831" s="8"/>
      <c r="I831" s="8"/>
      <c r="J831" s="8"/>
    </row>
    <row r="832" ht="14.25" customHeight="1">
      <c r="C832" s="8"/>
      <c r="I832" s="8"/>
      <c r="J832" s="8"/>
    </row>
    <row r="833" ht="14.25" customHeight="1">
      <c r="C833" s="8"/>
      <c r="I833" s="8"/>
      <c r="J833" s="8"/>
    </row>
    <row r="834" ht="14.25" customHeight="1">
      <c r="C834" s="8"/>
      <c r="I834" s="8"/>
      <c r="J834" s="8"/>
    </row>
    <row r="835" ht="14.25" customHeight="1">
      <c r="C835" s="8"/>
      <c r="I835" s="8"/>
      <c r="J835" s="8"/>
    </row>
    <row r="836" ht="14.25" customHeight="1">
      <c r="C836" s="8"/>
      <c r="I836" s="8"/>
      <c r="J836" s="8"/>
    </row>
    <row r="837" ht="14.25" customHeight="1">
      <c r="C837" s="8"/>
      <c r="I837" s="8"/>
      <c r="J837" s="8"/>
    </row>
    <row r="838" ht="14.25" customHeight="1">
      <c r="C838" s="8"/>
      <c r="I838" s="8"/>
      <c r="J838" s="8"/>
    </row>
    <row r="839" ht="14.25" customHeight="1">
      <c r="C839" s="8"/>
      <c r="I839" s="8"/>
      <c r="J839" s="8"/>
    </row>
    <row r="840" ht="14.25" customHeight="1">
      <c r="C840" s="8"/>
      <c r="I840" s="8"/>
      <c r="J840" s="8"/>
    </row>
    <row r="841" ht="14.25" customHeight="1">
      <c r="C841" s="8"/>
      <c r="I841" s="8"/>
      <c r="J841" s="8"/>
    </row>
    <row r="842" ht="14.25" customHeight="1">
      <c r="C842" s="8"/>
      <c r="I842" s="8"/>
      <c r="J842" s="8"/>
    </row>
    <row r="843" ht="14.25" customHeight="1">
      <c r="C843" s="8"/>
      <c r="I843" s="8"/>
      <c r="J843" s="8"/>
    </row>
    <row r="844" ht="14.25" customHeight="1">
      <c r="C844" s="8"/>
      <c r="I844" s="8"/>
      <c r="J844" s="8"/>
    </row>
    <row r="845" ht="14.25" customHeight="1">
      <c r="C845" s="8"/>
      <c r="I845" s="8"/>
      <c r="J845" s="8"/>
    </row>
    <row r="846" ht="14.25" customHeight="1">
      <c r="C846" s="8"/>
      <c r="I846" s="8"/>
      <c r="J846" s="8"/>
    </row>
    <row r="847" ht="14.25" customHeight="1">
      <c r="C847" s="8"/>
      <c r="I847" s="8"/>
      <c r="J847" s="8"/>
    </row>
    <row r="848" ht="14.25" customHeight="1">
      <c r="C848" s="8"/>
      <c r="I848" s="8"/>
      <c r="J848" s="8"/>
    </row>
    <row r="849" ht="14.25" customHeight="1">
      <c r="C849" s="8"/>
      <c r="I849" s="8"/>
      <c r="J849" s="8"/>
    </row>
    <row r="850" ht="14.25" customHeight="1">
      <c r="C850" s="8"/>
      <c r="I850" s="8"/>
      <c r="J850" s="8"/>
    </row>
    <row r="851" ht="14.25" customHeight="1">
      <c r="C851" s="8"/>
      <c r="I851" s="8"/>
      <c r="J851" s="8"/>
    </row>
    <row r="852" ht="14.25" customHeight="1">
      <c r="C852" s="8"/>
      <c r="I852" s="8"/>
      <c r="J852" s="8"/>
    </row>
    <row r="853" ht="14.25" customHeight="1">
      <c r="C853" s="8"/>
      <c r="I853" s="8"/>
      <c r="J853" s="8"/>
    </row>
    <row r="854" ht="14.25" customHeight="1">
      <c r="C854" s="8"/>
      <c r="I854" s="8"/>
      <c r="J854" s="8"/>
    </row>
    <row r="855" ht="14.25" customHeight="1">
      <c r="C855" s="8"/>
      <c r="I855" s="8"/>
      <c r="J855" s="8"/>
    </row>
    <row r="856" ht="14.25" customHeight="1">
      <c r="C856" s="8"/>
      <c r="I856" s="8"/>
      <c r="J856" s="8"/>
    </row>
    <row r="857" ht="14.25" customHeight="1">
      <c r="C857" s="8"/>
      <c r="I857" s="8"/>
      <c r="J857" s="8"/>
    </row>
    <row r="858" ht="14.25" customHeight="1">
      <c r="C858" s="8"/>
      <c r="I858" s="8"/>
      <c r="J858" s="8"/>
    </row>
    <row r="859" ht="14.25" customHeight="1">
      <c r="C859" s="8"/>
      <c r="I859" s="8"/>
      <c r="J859" s="8"/>
    </row>
    <row r="860" ht="14.25" customHeight="1">
      <c r="C860" s="8"/>
      <c r="I860" s="8"/>
      <c r="J860" s="8"/>
    </row>
    <row r="861" ht="14.25" customHeight="1">
      <c r="C861" s="8"/>
      <c r="I861" s="8"/>
      <c r="J861" s="8"/>
    </row>
    <row r="862" ht="14.25" customHeight="1">
      <c r="C862" s="8"/>
      <c r="I862" s="8"/>
      <c r="J862" s="8"/>
    </row>
    <row r="863" ht="14.25" customHeight="1">
      <c r="C863" s="8"/>
      <c r="I863" s="8"/>
      <c r="J863" s="8"/>
    </row>
    <row r="864" ht="14.25" customHeight="1">
      <c r="C864" s="8"/>
      <c r="I864" s="8"/>
      <c r="J864" s="8"/>
    </row>
    <row r="865" ht="14.25" customHeight="1">
      <c r="C865" s="8"/>
      <c r="I865" s="8"/>
      <c r="J865" s="8"/>
    </row>
    <row r="866" ht="14.25" customHeight="1">
      <c r="C866" s="8"/>
      <c r="I866" s="8"/>
      <c r="J866" s="8"/>
    </row>
    <row r="867" ht="14.25" customHeight="1">
      <c r="C867" s="8"/>
      <c r="I867" s="8"/>
      <c r="J867" s="8"/>
    </row>
    <row r="868" ht="14.25" customHeight="1">
      <c r="C868" s="8"/>
      <c r="I868" s="8"/>
      <c r="J868" s="8"/>
    </row>
    <row r="869" ht="14.25" customHeight="1">
      <c r="C869" s="8"/>
      <c r="I869" s="8"/>
      <c r="J869" s="8"/>
    </row>
    <row r="870" ht="14.25" customHeight="1">
      <c r="C870" s="8"/>
      <c r="I870" s="8"/>
      <c r="J870" s="8"/>
    </row>
    <row r="871" ht="14.25" customHeight="1">
      <c r="C871" s="8"/>
      <c r="I871" s="8"/>
      <c r="J871" s="8"/>
    </row>
    <row r="872" ht="14.25" customHeight="1">
      <c r="C872" s="8"/>
      <c r="I872" s="8"/>
      <c r="J872" s="8"/>
    </row>
    <row r="873" ht="14.25" customHeight="1">
      <c r="C873" s="8"/>
      <c r="I873" s="8"/>
      <c r="J873" s="8"/>
    </row>
    <row r="874" ht="14.25" customHeight="1">
      <c r="C874" s="8"/>
      <c r="I874" s="8"/>
      <c r="J874" s="8"/>
    </row>
    <row r="875" ht="14.25" customHeight="1">
      <c r="C875" s="8"/>
      <c r="I875" s="8"/>
      <c r="J875" s="8"/>
    </row>
    <row r="876" ht="14.25" customHeight="1">
      <c r="C876" s="8"/>
      <c r="I876" s="8"/>
      <c r="J876" s="8"/>
    </row>
    <row r="877" ht="14.25" customHeight="1">
      <c r="C877" s="8"/>
      <c r="I877" s="8"/>
      <c r="J877" s="8"/>
    </row>
    <row r="878" ht="14.25" customHeight="1">
      <c r="C878" s="8"/>
      <c r="I878" s="8"/>
      <c r="J878" s="8"/>
    </row>
    <row r="879" ht="14.25" customHeight="1">
      <c r="C879" s="8"/>
      <c r="I879" s="8"/>
      <c r="J879" s="8"/>
    </row>
    <row r="880" ht="14.25" customHeight="1">
      <c r="C880" s="8"/>
      <c r="I880" s="8"/>
      <c r="J880" s="8"/>
    </row>
    <row r="881" ht="14.25" customHeight="1">
      <c r="C881" s="8"/>
      <c r="I881" s="8"/>
      <c r="J881" s="8"/>
    </row>
    <row r="882" ht="14.25" customHeight="1">
      <c r="C882" s="8"/>
      <c r="I882" s="8"/>
      <c r="J882" s="8"/>
    </row>
    <row r="883" ht="14.25" customHeight="1">
      <c r="C883" s="8"/>
      <c r="I883" s="8"/>
      <c r="J883" s="8"/>
    </row>
    <row r="884" ht="14.25" customHeight="1">
      <c r="C884" s="8"/>
      <c r="I884" s="8"/>
      <c r="J884" s="8"/>
    </row>
    <row r="885" ht="14.25" customHeight="1">
      <c r="C885" s="8"/>
      <c r="I885" s="8"/>
      <c r="J885" s="8"/>
    </row>
    <row r="886" ht="14.25" customHeight="1">
      <c r="C886" s="8"/>
      <c r="I886" s="8"/>
      <c r="J886" s="8"/>
    </row>
    <row r="887" ht="14.25" customHeight="1">
      <c r="C887" s="8"/>
      <c r="I887" s="8"/>
      <c r="J887" s="8"/>
    </row>
    <row r="888" ht="14.25" customHeight="1">
      <c r="C888" s="8"/>
      <c r="I888" s="8"/>
      <c r="J888" s="8"/>
    </row>
    <row r="889" ht="14.25" customHeight="1">
      <c r="C889" s="8"/>
      <c r="I889" s="8"/>
      <c r="J889" s="8"/>
    </row>
    <row r="890" ht="14.25" customHeight="1">
      <c r="C890" s="8"/>
      <c r="I890" s="8"/>
      <c r="J890" s="8"/>
    </row>
    <row r="891" ht="14.25" customHeight="1">
      <c r="C891" s="8"/>
      <c r="I891" s="8"/>
      <c r="J891" s="8"/>
    </row>
    <row r="892" ht="14.25" customHeight="1">
      <c r="C892" s="8"/>
      <c r="I892" s="8"/>
      <c r="J892" s="8"/>
    </row>
    <row r="893" ht="14.25" customHeight="1">
      <c r="C893" s="8"/>
      <c r="I893" s="8"/>
      <c r="J893" s="8"/>
    </row>
    <row r="894" ht="14.25" customHeight="1">
      <c r="C894" s="8"/>
      <c r="I894" s="8"/>
      <c r="J894" s="8"/>
    </row>
    <row r="895" ht="14.25" customHeight="1">
      <c r="C895" s="8"/>
      <c r="I895" s="8"/>
      <c r="J895" s="8"/>
    </row>
    <row r="896" ht="14.25" customHeight="1">
      <c r="C896" s="8"/>
      <c r="I896" s="8"/>
      <c r="J896" s="8"/>
    </row>
    <row r="897" ht="14.25" customHeight="1">
      <c r="C897" s="8"/>
      <c r="I897" s="8"/>
      <c r="J897" s="8"/>
    </row>
    <row r="898" ht="14.25" customHeight="1">
      <c r="C898" s="8"/>
      <c r="I898" s="8"/>
      <c r="J898" s="8"/>
    </row>
    <row r="899" ht="14.25" customHeight="1">
      <c r="C899" s="8"/>
      <c r="I899" s="8"/>
      <c r="J899" s="8"/>
    </row>
    <row r="900" ht="14.25" customHeight="1">
      <c r="C900" s="8"/>
      <c r="I900" s="8"/>
      <c r="J900" s="8"/>
    </row>
    <row r="901" ht="14.25" customHeight="1">
      <c r="C901" s="8"/>
      <c r="I901" s="8"/>
      <c r="J901" s="8"/>
    </row>
    <row r="902" ht="14.25" customHeight="1">
      <c r="C902" s="8"/>
      <c r="I902" s="8"/>
      <c r="J902" s="8"/>
    </row>
    <row r="903" ht="14.25" customHeight="1">
      <c r="C903" s="8"/>
      <c r="I903" s="8"/>
      <c r="J903" s="8"/>
    </row>
    <row r="904" ht="14.25" customHeight="1">
      <c r="C904" s="8"/>
      <c r="I904" s="8"/>
      <c r="J904" s="8"/>
    </row>
    <row r="905" ht="14.25" customHeight="1">
      <c r="C905" s="8"/>
      <c r="I905" s="8"/>
      <c r="J905" s="8"/>
    </row>
    <row r="906" ht="14.25" customHeight="1">
      <c r="C906" s="8"/>
      <c r="I906" s="8"/>
      <c r="J906" s="8"/>
    </row>
    <row r="907" ht="14.25" customHeight="1">
      <c r="C907" s="8"/>
      <c r="I907" s="8"/>
      <c r="J907" s="8"/>
    </row>
    <row r="908" ht="14.25" customHeight="1">
      <c r="C908" s="8"/>
      <c r="I908" s="8"/>
      <c r="J908" s="8"/>
    </row>
    <row r="909" ht="14.25" customHeight="1">
      <c r="C909" s="8"/>
      <c r="I909" s="8"/>
      <c r="J909" s="8"/>
    </row>
    <row r="910" ht="14.25" customHeight="1">
      <c r="C910" s="8"/>
      <c r="I910" s="8"/>
      <c r="J910" s="8"/>
    </row>
    <row r="911" ht="14.25" customHeight="1">
      <c r="C911" s="8"/>
      <c r="I911" s="8"/>
      <c r="J911" s="8"/>
    </row>
    <row r="912" ht="14.25" customHeight="1">
      <c r="C912" s="8"/>
      <c r="I912" s="8"/>
      <c r="J912" s="8"/>
    </row>
    <row r="913" ht="14.25" customHeight="1">
      <c r="C913" s="8"/>
      <c r="I913" s="8"/>
      <c r="J913" s="8"/>
    </row>
    <row r="914" ht="14.25" customHeight="1">
      <c r="C914" s="8"/>
      <c r="I914" s="8"/>
      <c r="J914" s="8"/>
    </row>
    <row r="915" ht="14.25" customHeight="1">
      <c r="C915" s="8"/>
      <c r="I915" s="8"/>
      <c r="J915" s="8"/>
    </row>
    <row r="916" ht="14.25" customHeight="1">
      <c r="C916" s="8"/>
      <c r="I916" s="8"/>
      <c r="J916" s="8"/>
    </row>
    <row r="917" ht="14.25" customHeight="1">
      <c r="C917" s="8"/>
      <c r="I917" s="8"/>
      <c r="J917" s="8"/>
    </row>
    <row r="918" ht="14.25" customHeight="1">
      <c r="C918" s="8"/>
      <c r="I918" s="8"/>
      <c r="J918" s="8"/>
    </row>
    <row r="919" ht="14.25" customHeight="1">
      <c r="C919" s="8"/>
      <c r="I919" s="8"/>
      <c r="J919" s="8"/>
    </row>
    <row r="920" ht="14.25" customHeight="1">
      <c r="C920" s="8"/>
      <c r="I920" s="8"/>
      <c r="J920" s="8"/>
    </row>
    <row r="921" ht="14.25" customHeight="1">
      <c r="C921" s="8"/>
      <c r="I921" s="8"/>
      <c r="J921" s="8"/>
    </row>
    <row r="922" ht="14.25" customHeight="1">
      <c r="C922" s="8"/>
      <c r="I922" s="8"/>
      <c r="J922" s="8"/>
    </row>
    <row r="923" ht="14.25" customHeight="1">
      <c r="C923" s="8"/>
      <c r="I923" s="8"/>
      <c r="J923" s="8"/>
    </row>
    <row r="924" ht="14.25" customHeight="1">
      <c r="C924" s="8"/>
      <c r="I924" s="8"/>
      <c r="J924" s="8"/>
    </row>
    <row r="925" ht="14.25" customHeight="1">
      <c r="C925" s="8"/>
      <c r="I925" s="8"/>
      <c r="J925" s="8"/>
    </row>
    <row r="926" ht="14.25" customHeight="1">
      <c r="C926" s="8"/>
      <c r="I926" s="8"/>
      <c r="J926" s="8"/>
    </row>
    <row r="927" ht="14.25" customHeight="1">
      <c r="C927" s="8"/>
      <c r="I927" s="8"/>
      <c r="J927" s="8"/>
    </row>
    <row r="928" ht="14.25" customHeight="1">
      <c r="C928" s="8"/>
      <c r="I928" s="8"/>
      <c r="J928" s="8"/>
    </row>
    <row r="929" ht="14.25" customHeight="1">
      <c r="C929" s="8"/>
      <c r="I929" s="8"/>
      <c r="J929" s="8"/>
    </row>
    <row r="930" ht="14.25" customHeight="1">
      <c r="C930" s="8"/>
      <c r="I930" s="8"/>
      <c r="J930" s="8"/>
    </row>
    <row r="931" ht="14.25" customHeight="1">
      <c r="C931" s="8"/>
      <c r="I931" s="8"/>
      <c r="J931" s="8"/>
    </row>
    <row r="932" ht="14.25" customHeight="1">
      <c r="C932" s="8"/>
      <c r="I932" s="8"/>
      <c r="J932" s="8"/>
    </row>
    <row r="933" ht="14.25" customHeight="1">
      <c r="C933" s="8"/>
      <c r="I933" s="8"/>
      <c r="J933" s="8"/>
    </row>
    <row r="934" ht="14.25" customHeight="1">
      <c r="C934" s="8"/>
      <c r="I934" s="8"/>
      <c r="J934" s="8"/>
    </row>
    <row r="935" ht="14.25" customHeight="1">
      <c r="C935" s="8"/>
      <c r="I935" s="8"/>
      <c r="J935" s="8"/>
    </row>
    <row r="936" ht="14.25" customHeight="1">
      <c r="C936" s="8"/>
      <c r="I936" s="8"/>
      <c r="J936" s="8"/>
    </row>
    <row r="937" ht="14.25" customHeight="1">
      <c r="C937" s="8"/>
      <c r="I937" s="8"/>
      <c r="J937" s="8"/>
    </row>
    <row r="938" ht="14.25" customHeight="1">
      <c r="C938" s="8"/>
      <c r="I938" s="8"/>
      <c r="J938" s="8"/>
    </row>
    <row r="939" ht="14.25" customHeight="1">
      <c r="C939" s="8"/>
      <c r="I939" s="8"/>
      <c r="J939" s="8"/>
    </row>
    <row r="940" ht="14.25" customHeight="1">
      <c r="C940" s="8"/>
      <c r="I940" s="8"/>
      <c r="J940" s="8"/>
    </row>
    <row r="941" ht="14.25" customHeight="1">
      <c r="C941" s="8"/>
      <c r="I941" s="8"/>
      <c r="J941" s="8"/>
    </row>
    <row r="942" ht="14.25" customHeight="1">
      <c r="C942" s="8"/>
      <c r="I942" s="8"/>
      <c r="J942" s="8"/>
    </row>
    <row r="943" ht="14.25" customHeight="1">
      <c r="C943" s="8"/>
      <c r="I943" s="8"/>
      <c r="J943" s="8"/>
    </row>
    <row r="944" ht="14.25" customHeight="1">
      <c r="C944" s="8"/>
      <c r="I944" s="8"/>
      <c r="J944" s="8"/>
    </row>
    <row r="945" ht="14.25" customHeight="1">
      <c r="C945" s="8"/>
      <c r="I945" s="8"/>
      <c r="J945" s="8"/>
    </row>
    <row r="946" ht="14.25" customHeight="1">
      <c r="C946" s="8"/>
      <c r="I946" s="8"/>
      <c r="J946" s="8"/>
    </row>
    <row r="947" ht="14.25" customHeight="1">
      <c r="C947" s="8"/>
      <c r="I947" s="8"/>
      <c r="J947" s="8"/>
    </row>
    <row r="948" ht="14.25" customHeight="1">
      <c r="C948" s="8"/>
      <c r="I948" s="8"/>
      <c r="J948" s="8"/>
    </row>
    <row r="949" ht="14.25" customHeight="1">
      <c r="C949" s="8"/>
      <c r="I949" s="8"/>
      <c r="J949" s="8"/>
    </row>
    <row r="950" ht="14.25" customHeight="1">
      <c r="C950" s="8"/>
      <c r="I950" s="8"/>
      <c r="J950" s="8"/>
    </row>
    <row r="951" ht="14.25" customHeight="1">
      <c r="C951" s="8"/>
      <c r="I951" s="8"/>
      <c r="J951" s="8"/>
    </row>
    <row r="952" ht="14.25" customHeight="1">
      <c r="C952" s="8"/>
      <c r="I952" s="8"/>
      <c r="J952" s="8"/>
    </row>
    <row r="953" ht="14.25" customHeight="1">
      <c r="C953" s="8"/>
      <c r="I953" s="8"/>
      <c r="J953" s="8"/>
    </row>
    <row r="954" ht="14.25" customHeight="1">
      <c r="C954" s="8"/>
      <c r="I954" s="8"/>
      <c r="J954" s="8"/>
    </row>
    <row r="955" ht="14.25" customHeight="1">
      <c r="C955" s="8"/>
      <c r="I955" s="8"/>
      <c r="J955" s="8"/>
    </row>
    <row r="956" ht="14.25" customHeight="1">
      <c r="C956" s="8"/>
      <c r="I956" s="8"/>
      <c r="J956" s="8"/>
    </row>
    <row r="957" ht="14.25" customHeight="1">
      <c r="C957" s="8"/>
      <c r="I957" s="8"/>
      <c r="J957" s="8"/>
    </row>
    <row r="958" ht="14.25" customHeight="1">
      <c r="C958" s="8"/>
      <c r="I958" s="8"/>
      <c r="J958" s="8"/>
    </row>
    <row r="959" ht="14.25" customHeight="1">
      <c r="C959" s="8"/>
      <c r="I959" s="8"/>
      <c r="J959" s="8"/>
    </row>
    <row r="960" ht="14.25" customHeight="1">
      <c r="C960" s="8"/>
      <c r="I960" s="8"/>
      <c r="J960" s="8"/>
    </row>
    <row r="961" ht="14.25" customHeight="1">
      <c r="C961" s="8"/>
      <c r="I961" s="8"/>
      <c r="J961" s="8"/>
    </row>
    <row r="962" ht="14.25" customHeight="1">
      <c r="C962" s="8"/>
      <c r="I962" s="8"/>
      <c r="J962" s="8"/>
    </row>
    <row r="963" ht="14.25" customHeight="1">
      <c r="C963" s="8"/>
      <c r="I963" s="8"/>
      <c r="J963" s="8"/>
    </row>
    <row r="964" ht="14.25" customHeight="1">
      <c r="C964" s="8"/>
      <c r="I964" s="8"/>
      <c r="J964" s="8"/>
    </row>
    <row r="965" ht="14.25" customHeight="1">
      <c r="C965" s="8"/>
      <c r="I965" s="8"/>
      <c r="J965" s="8"/>
    </row>
    <row r="966" ht="14.25" customHeight="1">
      <c r="C966" s="8"/>
      <c r="I966" s="8"/>
      <c r="J966" s="8"/>
    </row>
    <row r="967" ht="14.25" customHeight="1">
      <c r="C967" s="8"/>
      <c r="I967" s="8"/>
      <c r="J967" s="8"/>
    </row>
    <row r="968" ht="14.25" customHeight="1">
      <c r="C968" s="8"/>
      <c r="I968" s="8"/>
      <c r="J968" s="8"/>
    </row>
    <row r="969" ht="14.25" customHeight="1">
      <c r="C969" s="8"/>
      <c r="I969" s="8"/>
      <c r="J969" s="8"/>
    </row>
    <row r="970" ht="14.25" customHeight="1">
      <c r="C970" s="8"/>
      <c r="I970" s="8"/>
      <c r="J970" s="8"/>
    </row>
    <row r="971" ht="14.25" customHeight="1">
      <c r="C971" s="8"/>
      <c r="I971" s="8"/>
      <c r="J971" s="8"/>
    </row>
    <row r="972" ht="14.25" customHeight="1">
      <c r="C972" s="8"/>
      <c r="I972" s="8"/>
      <c r="J972" s="8"/>
    </row>
    <row r="973" ht="14.25" customHeight="1">
      <c r="C973" s="8"/>
      <c r="I973" s="8"/>
      <c r="J973" s="8"/>
    </row>
    <row r="974" ht="14.25" customHeight="1">
      <c r="C974" s="8"/>
      <c r="I974" s="8"/>
      <c r="J974" s="8"/>
    </row>
    <row r="975" ht="14.25" customHeight="1">
      <c r="C975" s="8"/>
      <c r="I975" s="8"/>
      <c r="J975" s="8"/>
    </row>
    <row r="976" ht="14.25" customHeight="1">
      <c r="C976" s="8"/>
      <c r="I976" s="8"/>
      <c r="J976" s="8"/>
    </row>
    <row r="977" ht="14.25" customHeight="1">
      <c r="C977" s="8"/>
      <c r="I977" s="8"/>
      <c r="J977" s="8"/>
    </row>
    <row r="978" ht="14.25" customHeight="1">
      <c r="C978" s="8"/>
      <c r="I978" s="8"/>
      <c r="J978" s="8"/>
    </row>
    <row r="979" ht="14.25" customHeight="1">
      <c r="C979" s="8"/>
      <c r="I979" s="8"/>
      <c r="J979" s="8"/>
    </row>
    <row r="980" ht="14.25" customHeight="1">
      <c r="C980" s="8"/>
      <c r="I980" s="8"/>
      <c r="J980" s="8"/>
    </row>
    <row r="981" ht="14.25" customHeight="1">
      <c r="C981" s="8"/>
      <c r="I981" s="8"/>
      <c r="J981" s="8"/>
    </row>
    <row r="982" ht="14.25" customHeight="1">
      <c r="C982" s="8"/>
      <c r="I982" s="8"/>
      <c r="J982" s="8"/>
    </row>
    <row r="983" ht="14.25" customHeight="1">
      <c r="C983" s="8"/>
      <c r="I983" s="8"/>
      <c r="J983" s="8"/>
    </row>
    <row r="984" ht="14.25" customHeight="1">
      <c r="C984" s="8"/>
      <c r="I984" s="8"/>
      <c r="J984" s="8"/>
    </row>
    <row r="985" ht="14.25" customHeight="1">
      <c r="C985" s="8"/>
      <c r="I985" s="8"/>
      <c r="J985" s="8"/>
    </row>
    <row r="986" ht="14.25" customHeight="1">
      <c r="C986" s="8"/>
      <c r="I986" s="8"/>
      <c r="J986" s="8"/>
    </row>
    <row r="987" ht="14.25" customHeight="1">
      <c r="C987" s="8"/>
      <c r="I987" s="8"/>
      <c r="J987" s="8"/>
    </row>
    <row r="988" ht="14.25" customHeight="1">
      <c r="C988" s="8"/>
      <c r="I988" s="8"/>
      <c r="J988" s="8"/>
    </row>
    <row r="989" ht="14.25" customHeight="1">
      <c r="C989" s="8"/>
      <c r="I989" s="8"/>
      <c r="J989" s="8"/>
    </row>
    <row r="990" ht="14.25" customHeight="1">
      <c r="C990" s="8"/>
      <c r="I990" s="8"/>
      <c r="J990" s="8"/>
    </row>
    <row r="991" ht="14.25" customHeight="1">
      <c r="C991" s="8"/>
      <c r="I991" s="8"/>
      <c r="J991" s="8"/>
    </row>
    <row r="992" ht="14.25" customHeight="1">
      <c r="C992" s="8"/>
      <c r="I992" s="8"/>
      <c r="J992" s="8"/>
    </row>
    <row r="993" ht="14.25" customHeight="1">
      <c r="C993" s="8"/>
      <c r="I993" s="8"/>
      <c r="J993" s="8"/>
    </row>
    <row r="994" ht="14.25" customHeight="1">
      <c r="C994" s="8"/>
      <c r="I994" s="8"/>
      <c r="J994" s="8"/>
    </row>
    <row r="995" ht="14.25" customHeight="1">
      <c r="C995" s="8"/>
      <c r="I995" s="8"/>
      <c r="J995" s="8"/>
    </row>
    <row r="996" ht="14.25" customHeight="1">
      <c r="C996" s="8"/>
      <c r="I996" s="8"/>
      <c r="J996" s="8"/>
    </row>
    <row r="997" ht="14.25" customHeight="1">
      <c r="C997" s="8"/>
      <c r="I997" s="8"/>
      <c r="J997" s="8"/>
    </row>
    <row r="998" ht="14.25" customHeight="1">
      <c r="C998" s="8"/>
      <c r="I998" s="8"/>
      <c r="J998" s="8"/>
    </row>
    <row r="999" ht="14.25" customHeight="1">
      <c r="C999" s="8"/>
      <c r="I999" s="8"/>
      <c r="J999" s="8"/>
    </row>
    <row r="1000" ht="14.25" customHeight="1">
      <c r="C1000" s="8"/>
      <c r="I1000" s="8"/>
      <c r="J1000" s="8"/>
    </row>
  </sheetData>
  <dataValidations>
    <dataValidation type="list" allowBlank="1" sqref="I2:J1000">
      <formula1>DICTIONARIES!$G$2:$G$3</formula1>
    </dataValidation>
    <dataValidation type="list" allowBlank="1" sqref="C2:C1000">
      <formula1>DICTIONARIES!$E$2:$E$5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24.0"/>
    <col customWidth="1" min="3" max="5" width="28.0"/>
    <col customWidth="1" min="6" max="6" width="22.0"/>
    <col customWidth="1" min="7" max="7" width="14.0"/>
    <col customWidth="1" min="8" max="10" width="10.0"/>
    <col customWidth="1" min="11" max="11" width="18.0"/>
    <col customWidth="1" min="12" max="12" width="26.0"/>
    <col customWidth="1" min="13" max="13" width="10.0"/>
    <col customWidth="1" min="14" max="14" width="30.0"/>
    <col customWidth="1" min="15" max="15" width="28.0"/>
    <col customWidth="1" min="16" max="16" width="16.0"/>
    <col customWidth="1" min="17" max="17" width="40.0"/>
    <col customWidth="1" min="18" max="18" width="14.0"/>
    <col customWidth="1" min="19" max="26" width="8.71"/>
  </cols>
  <sheetData>
    <row r="1" ht="14.25" customHeight="1">
      <c r="A1" s="9" t="s">
        <v>344</v>
      </c>
      <c r="B1" s="9" t="s">
        <v>307</v>
      </c>
      <c r="C1" s="9" t="s">
        <v>485</v>
      </c>
      <c r="D1" s="9" t="s">
        <v>486</v>
      </c>
      <c r="E1" s="9" t="s">
        <v>302</v>
      </c>
      <c r="F1" s="9" t="s">
        <v>427</v>
      </c>
      <c r="G1" s="9" t="s">
        <v>428</v>
      </c>
      <c r="H1" s="9" t="s">
        <v>487</v>
      </c>
      <c r="I1" s="9" t="s">
        <v>488</v>
      </c>
      <c r="J1" s="9" t="s">
        <v>489</v>
      </c>
      <c r="K1" s="9" t="s">
        <v>266</v>
      </c>
      <c r="L1" s="9" t="s">
        <v>490</v>
      </c>
      <c r="M1" s="9" t="s">
        <v>436</v>
      </c>
      <c r="N1" s="9" t="s">
        <v>116</v>
      </c>
      <c r="O1" s="9" t="s">
        <v>377</v>
      </c>
      <c r="P1" s="9" t="s">
        <v>491</v>
      </c>
      <c r="Q1" s="9" t="s">
        <v>492</v>
      </c>
      <c r="R1" s="9" t="s">
        <v>437</v>
      </c>
    </row>
    <row r="2" ht="14.25" customHeight="1">
      <c r="A2" s="18" t="s">
        <v>493</v>
      </c>
      <c r="B2" s="18" t="s">
        <v>494</v>
      </c>
      <c r="C2" s="18" t="s">
        <v>495</v>
      </c>
      <c r="D2" s="18" t="s">
        <v>494</v>
      </c>
      <c r="E2" s="18" t="s">
        <v>239</v>
      </c>
      <c r="F2" s="18" t="s">
        <v>252</v>
      </c>
      <c r="G2" s="18" t="s">
        <v>282</v>
      </c>
      <c r="H2" s="18" t="s">
        <v>241</v>
      </c>
      <c r="I2" s="23">
        <v>200.0</v>
      </c>
      <c r="J2" s="23">
        <v>100.0</v>
      </c>
      <c r="K2" s="18" t="s">
        <v>252</v>
      </c>
      <c r="L2" s="18" t="s">
        <v>242</v>
      </c>
      <c r="M2" s="18" t="s">
        <v>245</v>
      </c>
      <c r="N2" s="18" t="s">
        <v>496</v>
      </c>
      <c r="O2" s="18" t="s">
        <v>339</v>
      </c>
      <c r="P2" s="24">
        <v>1.05</v>
      </c>
      <c r="Q2" s="18" t="s">
        <v>305</v>
      </c>
      <c r="R2" s="18" t="s">
        <v>245</v>
      </c>
    </row>
    <row r="3" ht="14.25" customHeight="1">
      <c r="A3" s="18" t="s">
        <v>497</v>
      </c>
      <c r="B3" s="18" t="s">
        <v>498</v>
      </c>
      <c r="C3" s="18" t="s">
        <v>499</v>
      </c>
      <c r="D3" s="18" t="s">
        <v>498</v>
      </c>
      <c r="E3" s="18" t="s">
        <v>239</v>
      </c>
      <c r="F3" s="18" t="s">
        <v>465</v>
      </c>
      <c r="G3" s="18" t="s">
        <v>282</v>
      </c>
      <c r="H3" s="18" t="s">
        <v>306</v>
      </c>
      <c r="I3" s="23">
        <v>1000.0</v>
      </c>
      <c r="J3" s="23">
        <v>200.0</v>
      </c>
      <c r="K3" s="18" t="s">
        <v>330</v>
      </c>
      <c r="L3" s="18" t="s">
        <v>242</v>
      </c>
      <c r="M3" s="18" t="s">
        <v>245</v>
      </c>
      <c r="N3" s="18" t="s">
        <v>500</v>
      </c>
      <c r="O3" s="18" t="s">
        <v>412</v>
      </c>
      <c r="P3" s="24">
        <v>1.02</v>
      </c>
      <c r="Q3" s="18" t="s">
        <v>264</v>
      </c>
      <c r="R3" s="18" t="s">
        <v>245</v>
      </c>
    </row>
    <row r="4" ht="14.25" customHeight="1">
      <c r="A4" s="16" t="s">
        <v>501</v>
      </c>
      <c r="B4" s="16" t="s">
        <v>502</v>
      </c>
      <c r="C4" s="16" t="s">
        <v>503</v>
      </c>
      <c r="D4" s="16" t="s">
        <v>502</v>
      </c>
      <c r="E4" s="16" t="s">
        <v>320</v>
      </c>
      <c r="F4" s="16" t="s">
        <v>504</v>
      </c>
      <c r="G4" s="16" t="s">
        <v>282</v>
      </c>
      <c r="H4" s="16" t="s">
        <v>241</v>
      </c>
      <c r="I4" s="25"/>
      <c r="J4" s="25"/>
      <c r="K4" s="16" t="s">
        <v>367</v>
      </c>
      <c r="L4" s="16" t="s">
        <v>268</v>
      </c>
      <c r="M4" s="16" t="s">
        <v>245</v>
      </c>
      <c r="N4" s="16" t="s">
        <v>505</v>
      </c>
      <c r="O4" s="18" t="s">
        <v>372</v>
      </c>
      <c r="P4" s="24">
        <v>1.133</v>
      </c>
      <c r="Q4" s="18" t="s">
        <v>305</v>
      </c>
      <c r="R4" s="18" t="s">
        <v>245</v>
      </c>
    </row>
    <row r="5" ht="14.25" customHeight="1">
      <c r="A5" s="16" t="s">
        <v>506</v>
      </c>
      <c r="B5" s="16" t="s">
        <v>507</v>
      </c>
      <c r="C5" s="16" t="s">
        <v>508</v>
      </c>
      <c r="D5" s="16" t="s">
        <v>507</v>
      </c>
      <c r="E5" s="16" t="s">
        <v>281</v>
      </c>
      <c r="F5" s="16" t="s">
        <v>252</v>
      </c>
      <c r="G5" s="16" t="s">
        <v>282</v>
      </c>
      <c r="H5" s="16" t="s">
        <v>241</v>
      </c>
      <c r="I5" s="25"/>
      <c r="J5" s="25"/>
      <c r="K5" s="16" t="s">
        <v>411</v>
      </c>
      <c r="L5" s="16" t="s">
        <v>242</v>
      </c>
      <c r="M5" s="16" t="s">
        <v>245</v>
      </c>
      <c r="N5" s="16" t="s">
        <v>509</v>
      </c>
      <c r="O5" s="18" t="s">
        <v>392</v>
      </c>
      <c r="P5" s="24">
        <v>1.05</v>
      </c>
      <c r="Q5" s="18" t="s">
        <v>305</v>
      </c>
      <c r="R5" s="18" t="s">
        <v>245</v>
      </c>
    </row>
    <row r="6" ht="14.25" customHeight="1">
      <c r="A6" s="16" t="s">
        <v>510</v>
      </c>
      <c r="B6" s="16" t="s">
        <v>403</v>
      </c>
      <c r="C6" s="16" t="s">
        <v>511</v>
      </c>
      <c r="D6" s="16" t="s">
        <v>403</v>
      </c>
      <c r="E6" s="16" t="s">
        <v>320</v>
      </c>
      <c r="F6" s="16" t="s">
        <v>512</v>
      </c>
      <c r="G6" s="16" t="s">
        <v>282</v>
      </c>
      <c r="H6" s="16" t="s">
        <v>241</v>
      </c>
      <c r="I6" s="25"/>
      <c r="J6" s="25"/>
      <c r="K6" s="16" t="s">
        <v>403</v>
      </c>
      <c r="L6" s="16" t="s">
        <v>268</v>
      </c>
      <c r="M6" s="16" t="s">
        <v>245</v>
      </c>
      <c r="N6" s="16" t="s">
        <v>513</v>
      </c>
      <c r="O6" s="18" t="s">
        <v>403</v>
      </c>
      <c r="P6" s="24">
        <v>1.154</v>
      </c>
      <c r="Q6" s="18" t="s">
        <v>305</v>
      </c>
      <c r="R6" s="18" t="s">
        <v>245</v>
      </c>
    </row>
    <row r="7" ht="14.25" customHeight="1">
      <c r="A7" s="16" t="s">
        <v>514</v>
      </c>
      <c r="B7" s="16" t="s">
        <v>515</v>
      </c>
      <c r="C7" s="16" t="s">
        <v>516</v>
      </c>
      <c r="D7" s="16" t="s">
        <v>515</v>
      </c>
      <c r="E7" s="16" t="s">
        <v>239</v>
      </c>
      <c r="F7" s="16" t="s">
        <v>517</v>
      </c>
      <c r="G7" s="16" t="s">
        <v>282</v>
      </c>
      <c r="H7" s="16" t="s">
        <v>241</v>
      </c>
      <c r="I7" s="25"/>
      <c r="J7" s="25"/>
      <c r="K7" s="16" t="s">
        <v>407</v>
      </c>
      <c r="L7" s="16" t="s">
        <v>242</v>
      </c>
      <c r="M7" s="16" t="s">
        <v>245</v>
      </c>
      <c r="N7" s="16" t="s">
        <v>518</v>
      </c>
      <c r="O7" s="18" t="s">
        <v>407</v>
      </c>
      <c r="P7" s="24">
        <v>1.1</v>
      </c>
      <c r="Q7" s="18" t="s">
        <v>305</v>
      </c>
      <c r="R7" s="18" t="s">
        <v>245</v>
      </c>
    </row>
    <row r="8" ht="14.25" customHeight="1">
      <c r="A8" s="16" t="s">
        <v>519</v>
      </c>
      <c r="B8" s="16" t="s">
        <v>520</v>
      </c>
      <c r="C8" s="16" t="s">
        <v>520</v>
      </c>
      <c r="D8" s="16" t="s">
        <v>521</v>
      </c>
      <c r="E8" s="16" t="s">
        <v>239</v>
      </c>
      <c r="F8" s="16" t="s">
        <v>522</v>
      </c>
      <c r="G8" s="16" t="s">
        <v>282</v>
      </c>
      <c r="H8" s="16" t="s">
        <v>362</v>
      </c>
      <c r="I8" s="25"/>
      <c r="J8" s="25"/>
      <c r="K8" s="16" t="s">
        <v>292</v>
      </c>
      <c r="L8" s="16" t="s">
        <v>268</v>
      </c>
      <c r="M8" s="16" t="s">
        <v>245</v>
      </c>
      <c r="N8" s="16" t="s">
        <v>523</v>
      </c>
      <c r="O8" s="18" t="s">
        <v>262</v>
      </c>
      <c r="P8" s="24">
        <v>1.18</v>
      </c>
      <c r="Q8" s="18" t="s">
        <v>374</v>
      </c>
      <c r="R8" s="18" t="s">
        <v>245</v>
      </c>
    </row>
    <row r="9" ht="14.25" customHeight="1">
      <c r="A9" s="16"/>
      <c r="B9" s="16"/>
      <c r="C9" s="16"/>
      <c r="D9" s="16"/>
      <c r="E9" s="16"/>
      <c r="F9" s="16"/>
      <c r="G9" s="16"/>
      <c r="H9" s="16"/>
      <c r="I9" s="25"/>
      <c r="J9" s="25"/>
      <c r="K9" s="16"/>
      <c r="L9" s="16"/>
      <c r="M9" s="16"/>
      <c r="N9" s="16"/>
      <c r="O9" s="18"/>
      <c r="P9" s="24"/>
      <c r="Q9" s="18"/>
      <c r="R9" s="18"/>
    </row>
    <row r="10" ht="14.25" customHeight="1">
      <c r="A10" s="16"/>
      <c r="B10" s="16"/>
      <c r="C10" s="16"/>
      <c r="D10" s="16"/>
      <c r="E10" s="16"/>
      <c r="F10" s="16"/>
      <c r="G10" s="16"/>
      <c r="H10" s="16"/>
      <c r="I10" s="25"/>
      <c r="J10" s="25"/>
      <c r="K10" s="16"/>
      <c r="L10" s="16"/>
      <c r="M10" s="16"/>
      <c r="N10" s="16"/>
      <c r="O10" s="18"/>
      <c r="P10" s="24"/>
      <c r="Q10" s="18"/>
      <c r="R10" s="18"/>
    </row>
    <row r="11" ht="14.25" customHeight="1">
      <c r="A11" s="16"/>
      <c r="B11" s="16"/>
      <c r="C11" s="16"/>
      <c r="D11" s="16"/>
      <c r="E11" s="16"/>
      <c r="F11" s="16"/>
      <c r="G11" s="16"/>
      <c r="H11" s="16"/>
      <c r="I11" s="25"/>
      <c r="J11" s="25"/>
      <c r="K11" s="16"/>
      <c r="L11" s="16"/>
      <c r="M11" s="16"/>
      <c r="N11" s="16"/>
      <c r="O11" s="18"/>
      <c r="P11" s="24"/>
      <c r="Q11" s="18"/>
      <c r="R11" s="18"/>
    </row>
    <row r="12" ht="14.25" customHeight="1">
      <c r="A12" s="16"/>
      <c r="B12" s="16"/>
      <c r="C12" s="16"/>
      <c r="D12" s="16"/>
      <c r="E12" s="16"/>
      <c r="F12" s="16"/>
      <c r="G12" s="16"/>
      <c r="H12" s="16"/>
      <c r="I12" s="25"/>
      <c r="J12" s="25"/>
      <c r="K12" s="16"/>
      <c r="L12" s="16"/>
      <c r="M12" s="16"/>
      <c r="N12" s="16"/>
      <c r="O12" s="18"/>
      <c r="P12" s="24"/>
      <c r="Q12" s="18"/>
      <c r="R12" s="18"/>
    </row>
    <row r="13" ht="14.25" customHeight="1">
      <c r="A13" s="16"/>
      <c r="B13" s="16"/>
      <c r="C13" s="16"/>
      <c r="D13" s="16"/>
      <c r="E13" s="16"/>
      <c r="F13" s="16"/>
      <c r="G13" s="16"/>
      <c r="H13" s="16"/>
      <c r="I13" s="25"/>
      <c r="J13" s="25"/>
      <c r="K13" s="16"/>
      <c r="L13" s="16"/>
      <c r="M13" s="16"/>
      <c r="N13" s="16"/>
      <c r="O13" s="18"/>
      <c r="P13" s="24"/>
      <c r="Q13" s="18"/>
      <c r="R13" s="18"/>
    </row>
    <row r="14" ht="14.25" customHeight="1">
      <c r="A14" s="16"/>
      <c r="B14" s="16"/>
      <c r="C14" s="16"/>
      <c r="D14" s="16"/>
      <c r="E14" s="16"/>
      <c r="F14" s="16"/>
      <c r="G14" s="16"/>
      <c r="H14" s="16"/>
      <c r="I14" s="25"/>
      <c r="J14" s="25"/>
      <c r="K14" s="16"/>
      <c r="L14" s="16"/>
      <c r="M14" s="16"/>
      <c r="N14" s="16"/>
      <c r="O14" s="18"/>
      <c r="P14" s="24"/>
      <c r="Q14" s="18"/>
      <c r="R14" s="18"/>
    </row>
    <row r="15" ht="14.25" customHeight="1">
      <c r="A15" s="16"/>
      <c r="B15" s="16"/>
      <c r="C15" s="16"/>
      <c r="D15" s="16"/>
      <c r="E15" s="16"/>
      <c r="F15" s="16"/>
      <c r="G15" s="16"/>
      <c r="H15" s="16"/>
      <c r="I15" s="25"/>
      <c r="J15" s="25"/>
      <c r="K15" s="16"/>
      <c r="L15" s="16"/>
      <c r="M15" s="16"/>
      <c r="N15" s="16"/>
      <c r="O15" s="18"/>
      <c r="P15" s="24"/>
      <c r="Q15" s="18"/>
      <c r="R15" s="18"/>
    </row>
    <row r="16" ht="14.25" customHeight="1">
      <c r="A16" s="16"/>
      <c r="B16" s="16"/>
      <c r="C16" s="16"/>
      <c r="D16" s="16"/>
      <c r="E16" s="16"/>
      <c r="F16" s="16"/>
      <c r="G16" s="16"/>
      <c r="H16" s="16"/>
      <c r="I16" s="25"/>
      <c r="J16" s="25"/>
      <c r="K16" s="16"/>
      <c r="L16" s="16"/>
      <c r="M16" s="16"/>
      <c r="N16" s="16"/>
      <c r="O16" s="18"/>
      <c r="P16" s="24"/>
      <c r="Q16" s="18"/>
      <c r="R16" s="18"/>
    </row>
    <row r="17" ht="14.25" customHeight="1">
      <c r="A17" s="16"/>
      <c r="B17" s="16"/>
      <c r="C17" s="16"/>
      <c r="D17" s="16"/>
      <c r="E17" s="16"/>
      <c r="F17" s="16"/>
      <c r="G17" s="16"/>
      <c r="H17" s="16"/>
      <c r="I17" s="25"/>
      <c r="J17" s="25"/>
      <c r="K17" s="16"/>
      <c r="L17" s="16"/>
      <c r="M17" s="16"/>
      <c r="N17" s="16"/>
      <c r="O17" s="18"/>
      <c r="P17" s="24"/>
      <c r="Q17" s="18"/>
      <c r="R17" s="18"/>
    </row>
    <row r="18" ht="14.25" customHeight="1">
      <c r="A18" s="16"/>
      <c r="B18" s="16"/>
      <c r="C18" s="16"/>
      <c r="D18" s="16"/>
      <c r="E18" s="16"/>
      <c r="F18" s="16"/>
      <c r="G18" s="16"/>
      <c r="H18" s="16"/>
      <c r="I18" s="25"/>
      <c r="J18" s="25"/>
      <c r="K18" s="16"/>
      <c r="L18" s="16"/>
      <c r="M18" s="16"/>
      <c r="N18" s="16"/>
      <c r="O18" s="18"/>
      <c r="P18" s="24"/>
      <c r="Q18" s="18"/>
      <c r="R18" s="18"/>
    </row>
    <row r="19" ht="14.25" customHeight="1">
      <c r="A19" s="16"/>
      <c r="B19" s="16"/>
      <c r="C19" s="16"/>
      <c r="D19" s="16"/>
      <c r="E19" s="16"/>
      <c r="F19" s="16"/>
      <c r="G19" s="16"/>
      <c r="H19" s="16"/>
      <c r="I19" s="25"/>
      <c r="J19" s="25"/>
      <c r="K19" s="16"/>
      <c r="L19" s="16"/>
      <c r="M19" s="16"/>
      <c r="N19" s="16"/>
      <c r="O19" s="18"/>
      <c r="P19" s="24"/>
      <c r="Q19" s="18"/>
      <c r="R19" s="18"/>
    </row>
    <row r="20" ht="14.25" customHeight="1">
      <c r="A20" s="16"/>
      <c r="B20" s="16"/>
      <c r="C20" s="16"/>
      <c r="D20" s="16"/>
      <c r="E20" s="16"/>
      <c r="F20" s="16"/>
      <c r="G20" s="16"/>
      <c r="H20" s="16"/>
      <c r="I20" s="25"/>
      <c r="J20" s="25"/>
      <c r="K20" s="16"/>
      <c r="L20" s="16"/>
      <c r="M20" s="16"/>
      <c r="N20" s="16"/>
      <c r="O20" s="18"/>
      <c r="P20" s="24"/>
      <c r="Q20" s="18"/>
      <c r="R20" s="18"/>
    </row>
    <row r="21" ht="14.25" customHeight="1">
      <c r="A21" s="16"/>
      <c r="B21" s="16"/>
      <c r="C21" s="16"/>
      <c r="D21" s="16"/>
      <c r="E21" s="16"/>
      <c r="F21" s="16"/>
      <c r="G21" s="16"/>
      <c r="H21" s="16"/>
      <c r="I21" s="25"/>
      <c r="J21" s="25"/>
      <c r="K21" s="16"/>
      <c r="L21" s="16"/>
      <c r="M21" s="16"/>
      <c r="N21" s="16"/>
      <c r="O21" s="18"/>
      <c r="P21" s="24"/>
      <c r="Q21" s="18"/>
      <c r="R21" s="18"/>
    </row>
    <row r="22" ht="14.25" customHeight="1">
      <c r="A22" s="16"/>
      <c r="B22" s="16"/>
      <c r="C22" s="16"/>
      <c r="D22" s="16"/>
      <c r="E22" s="16"/>
      <c r="F22" s="16"/>
      <c r="G22" s="16"/>
      <c r="H22" s="16"/>
      <c r="I22" s="25"/>
      <c r="J22" s="25"/>
      <c r="K22" s="16"/>
      <c r="L22" s="16"/>
      <c r="M22" s="16"/>
      <c r="N22" s="16"/>
      <c r="O22" s="18"/>
      <c r="P22" s="24"/>
      <c r="Q22" s="18"/>
      <c r="R22" s="18"/>
    </row>
    <row r="23" ht="14.25" customHeight="1">
      <c r="A23" s="16"/>
      <c r="B23" s="16"/>
      <c r="C23" s="16"/>
      <c r="D23" s="16"/>
      <c r="E23" s="16"/>
      <c r="F23" s="16"/>
      <c r="G23" s="16"/>
      <c r="H23" s="16"/>
      <c r="I23" s="25"/>
      <c r="J23" s="25"/>
      <c r="K23" s="16"/>
      <c r="L23" s="16"/>
      <c r="M23" s="16"/>
      <c r="N23" s="16"/>
      <c r="O23" s="18"/>
      <c r="P23" s="24"/>
      <c r="Q23" s="18"/>
      <c r="R23" s="18"/>
    </row>
    <row r="24" ht="14.25" customHeight="1">
      <c r="A24" s="16"/>
      <c r="B24" s="16"/>
      <c r="C24" s="16"/>
      <c r="D24" s="16"/>
      <c r="E24" s="16"/>
      <c r="F24" s="16"/>
      <c r="G24" s="16"/>
      <c r="H24" s="16"/>
      <c r="I24" s="25"/>
      <c r="J24" s="25"/>
      <c r="K24" s="16"/>
      <c r="L24" s="16"/>
      <c r="M24" s="16"/>
      <c r="N24" s="16"/>
      <c r="O24" s="18"/>
      <c r="P24" s="24"/>
      <c r="Q24" s="18"/>
      <c r="R24" s="18"/>
    </row>
    <row r="25" ht="14.25" customHeight="1">
      <c r="A25" s="16"/>
      <c r="B25" s="16"/>
      <c r="C25" s="16"/>
      <c r="D25" s="16"/>
      <c r="E25" s="16"/>
      <c r="F25" s="16"/>
      <c r="G25" s="16"/>
      <c r="H25" s="16"/>
      <c r="I25" s="25"/>
      <c r="J25" s="25"/>
      <c r="K25" s="16"/>
      <c r="L25" s="16"/>
      <c r="M25" s="16"/>
      <c r="N25" s="16"/>
      <c r="O25" s="18"/>
      <c r="P25" s="24"/>
      <c r="Q25" s="18"/>
      <c r="R25" s="18"/>
    </row>
    <row r="26" ht="14.25" customHeight="1">
      <c r="A26" s="16"/>
      <c r="B26" s="16"/>
      <c r="C26" s="16"/>
      <c r="D26" s="16"/>
      <c r="E26" s="16"/>
      <c r="F26" s="16"/>
      <c r="G26" s="16"/>
      <c r="H26" s="16"/>
      <c r="I26" s="25"/>
      <c r="J26" s="25"/>
      <c r="K26" s="16"/>
      <c r="L26" s="16"/>
      <c r="M26" s="16"/>
      <c r="N26" s="16"/>
      <c r="O26" s="18"/>
      <c r="P26" s="24"/>
      <c r="Q26" s="18"/>
      <c r="R26" s="18"/>
    </row>
    <row r="27" ht="14.25" customHeight="1">
      <c r="A27" s="16"/>
      <c r="B27" s="16"/>
      <c r="C27" s="16"/>
      <c r="D27" s="16"/>
      <c r="E27" s="16"/>
      <c r="F27" s="16"/>
      <c r="G27" s="16"/>
      <c r="H27" s="16"/>
      <c r="I27" s="25"/>
      <c r="J27" s="25"/>
      <c r="K27" s="16"/>
      <c r="L27" s="16"/>
      <c r="M27" s="16"/>
      <c r="N27" s="16"/>
      <c r="O27" s="18"/>
      <c r="P27" s="24"/>
      <c r="Q27" s="18"/>
      <c r="R27" s="18"/>
    </row>
    <row r="28" ht="14.25" customHeight="1">
      <c r="A28" s="16"/>
      <c r="B28" s="16"/>
      <c r="C28" s="16"/>
      <c r="D28" s="16"/>
      <c r="E28" s="16"/>
      <c r="F28" s="16"/>
      <c r="G28" s="16"/>
      <c r="H28" s="16"/>
      <c r="I28" s="25"/>
      <c r="J28" s="25"/>
      <c r="K28" s="16"/>
      <c r="L28" s="16"/>
      <c r="M28" s="16"/>
      <c r="N28" s="16"/>
      <c r="O28" s="18"/>
      <c r="P28" s="24"/>
      <c r="Q28" s="18"/>
      <c r="R28" s="18"/>
    </row>
    <row r="29" ht="14.25" customHeight="1">
      <c r="A29" s="16"/>
      <c r="B29" s="16"/>
      <c r="C29" s="16"/>
      <c r="D29" s="16"/>
      <c r="E29" s="16"/>
      <c r="F29" s="16"/>
      <c r="G29" s="16"/>
      <c r="H29" s="16"/>
      <c r="I29" s="25"/>
      <c r="J29" s="25"/>
      <c r="K29" s="16"/>
      <c r="L29" s="16"/>
      <c r="M29" s="16"/>
      <c r="N29" s="16"/>
      <c r="O29" s="18"/>
      <c r="P29" s="24"/>
      <c r="Q29" s="18"/>
      <c r="R29" s="18"/>
    </row>
    <row r="30" ht="14.25" customHeight="1">
      <c r="A30" s="16"/>
      <c r="B30" s="16"/>
      <c r="C30" s="16"/>
      <c r="D30" s="16"/>
      <c r="E30" s="16"/>
      <c r="F30" s="16"/>
      <c r="G30" s="16"/>
      <c r="H30" s="16"/>
      <c r="I30" s="25"/>
      <c r="J30" s="25"/>
      <c r="K30" s="16"/>
      <c r="L30" s="16"/>
      <c r="M30" s="16"/>
      <c r="N30" s="16"/>
      <c r="O30" s="18"/>
      <c r="P30" s="24"/>
      <c r="Q30" s="18"/>
      <c r="R30" s="18"/>
    </row>
    <row r="31" ht="14.25" customHeight="1">
      <c r="A31" s="16"/>
      <c r="B31" s="16"/>
      <c r="C31" s="16"/>
      <c r="D31" s="16"/>
      <c r="E31" s="16"/>
      <c r="F31" s="16"/>
      <c r="G31" s="16"/>
      <c r="H31" s="16"/>
      <c r="I31" s="25"/>
      <c r="J31" s="25"/>
      <c r="K31" s="16"/>
      <c r="L31" s="16"/>
      <c r="M31" s="16"/>
      <c r="N31" s="16"/>
      <c r="O31" s="18"/>
      <c r="P31" s="24"/>
      <c r="Q31" s="18"/>
      <c r="R31" s="18"/>
    </row>
    <row r="32" ht="14.25" customHeight="1">
      <c r="A32" s="16"/>
      <c r="B32" s="16"/>
      <c r="C32" s="16"/>
      <c r="D32" s="16"/>
      <c r="E32" s="16"/>
      <c r="F32" s="16"/>
      <c r="G32" s="16"/>
      <c r="H32" s="16"/>
      <c r="I32" s="25"/>
      <c r="J32" s="25"/>
      <c r="K32" s="16"/>
      <c r="L32" s="16"/>
      <c r="M32" s="16"/>
      <c r="N32" s="16"/>
      <c r="O32" s="18"/>
      <c r="P32" s="24"/>
      <c r="Q32" s="18"/>
      <c r="R32" s="18"/>
    </row>
    <row r="33" ht="14.25" customHeight="1">
      <c r="A33" s="16"/>
      <c r="B33" s="16"/>
      <c r="C33" s="16"/>
      <c r="D33" s="16"/>
      <c r="E33" s="16"/>
      <c r="F33" s="16"/>
      <c r="G33" s="16"/>
      <c r="H33" s="16"/>
      <c r="I33" s="25"/>
      <c r="J33" s="25"/>
      <c r="K33" s="16"/>
      <c r="L33" s="16"/>
      <c r="M33" s="16"/>
      <c r="N33" s="16"/>
      <c r="O33" s="18"/>
      <c r="P33" s="24"/>
      <c r="Q33" s="18"/>
      <c r="R33" s="18"/>
    </row>
    <row r="34" ht="14.25" customHeight="1">
      <c r="A34" s="16"/>
      <c r="B34" s="16"/>
      <c r="C34" s="16"/>
      <c r="D34" s="16"/>
      <c r="E34" s="16"/>
      <c r="F34" s="16"/>
      <c r="G34" s="16"/>
      <c r="H34" s="16"/>
      <c r="I34" s="25"/>
      <c r="J34" s="25"/>
      <c r="K34" s="16"/>
      <c r="L34" s="16"/>
      <c r="M34" s="16"/>
      <c r="N34" s="16"/>
      <c r="O34" s="18"/>
      <c r="P34" s="24"/>
      <c r="Q34" s="18"/>
      <c r="R34" s="18"/>
    </row>
    <row r="35" ht="14.25" customHeight="1">
      <c r="A35" s="16"/>
      <c r="B35" s="16"/>
      <c r="C35" s="16"/>
      <c r="D35" s="16"/>
      <c r="E35" s="16"/>
      <c r="F35" s="16"/>
      <c r="G35" s="16"/>
      <c r="H35" s="16"/>
      <c r="I35" s="25"/>
      <c r="J35" s="25"/>
      <c r="K35" s="16"/>
      <c r="L35" s="16"/>
      <c r="M35" s="16"/>
      <c r="N35" s="16"/>
      <c r="O35" s="18"/>
      <c r="P35" s="24"/>
      <c r="Q35" s="18"/>
      <c r="R35" s="18"/>
    </row>
    <row r="36" ht="14.25" customHeight="1">
      <c r="A36" s="16"/>
      <c r="B36" s="16"/>
      <c r="C36" s="16"/>
      <c r="D36" s="16"/>
      <c r="E36" s="16"/>
      <c r="F36" s="16"/>
      <c r="G36" s="16"/>
      <c r="H36" s="16"/>
      <c r="I36" s="25"/>
      <c r="J36" s="25"/>
      <c r="K36" s="16"/>
      <c r="L36" s="16"/>
      <c r="M36" s="16"/>
      <c r="N36" s="16"/>
      <c r="O36" s="18"/>
      <c r="P36" s="24"/>
      <c r="Q36" s="18"/>
      <c r="R36" s="18"/>
    </row>
    <row r="37" ht="14.25" customHeight="1">
      <c r="A37" s="16"/>
      <c r="B37" s="16"/>
      <c r="C37" s="16"/>
      <c r="D37" s="16"/>
      <c r="E37" s="16"/>
      <c r="F37" s="16"/>
      <c r="G37" s="16"/>
      <c r="H37" s="16"/>
      <c r="I37" s="25"/>
      <c r="J37" s="25"/>
      <c r="K37" s="16"/>
      <c r="L37" s="16"/>
      <c r="M37" s="16"/>
      <c r="N37" s="16"/>
      <c r="O37" s="18"/>
      <c r="P37" s="24"/>
      <c r="Q37" s="18"/>
      <c r="R37" s="18"/>
    </row>
    <row r="38" ht="14.25" customHeight="1">
      <c r="A38" s="16"/>
      <c r="B38" s="16"/>
      <c r="C38" s="16"/>
      <c r="D38" s="16"/>
      <c r="E38" s="16"/>
      <c r="F38" s="16"/>
      <c r="G38" s="16"/>
      <c r="H38" s="16"/>
      <c r="I38" s="25"/>
      <c r="J38" s="25"/>
      <c r="K38" s="16"/>
      <c r="L38" s="16"/>
      <c r="M38" s="16"/>
      <c r="N38" s="16"/>
      <c r="O38" s="18"/>
      <c r="P38" s="24"/>
      <c r="Q38" s="18"/>
      <c r="R38" s="18"/>
    </row>
    <row r="39" ht="14.25" customHeight="1">
      <c r="A39" s="16"/>
      <c r="B39" s="16"/>
      <c r="C39" s="16"/>
      <c r="D39" s="16"/>
      <c r="E39" s="16"/>
      <c r="F39" s="16"/>
      <c r="G39" s="16"/>
      <c r="H39" s="16"/>
      <c r="I39" s="25"/>
      <c r="J39" s="25"/>
      <c r="K39" s="16"/>
      <c r="L39" s="16"/>
      <c r="M39" s="16"/>
      <c r="N39" s="16"/>
      <c r="O39" s="18"/>
      <c r="P39" s="24"/>
      <c r="Q39" s="18"/>
      <c r="R39" s="18"/>
    </row>
    <row r="40" ht="14.25" customHeight="1">
      <c r="A40" s="16"/>
      <c r="B40" s="16"/>
      <c r="C40" s="16"/>
      <c r="D40" s="16"/>
      <c r="E40" s="16"/>
      <c r="F40" s="16"/>
      <c r="G40" s="16"/>
      <c r="H40" s="16"/>
      <c r="I40" s="25"/>
      <c r="J40" s="25"/>
      <c r="K40" s="16"/>
      <c r="L40" s="16"/>
      <c r="M40" s="16"/>
      <c r="N40" s="16"/>
      <c r="O40" s="18"/>
      <c r="P40" s="24"/>
      <c r="Q40" s="18"/>
      <c r="R40" s="18"/>
    </row>
    <row r="41" ht="14.25" customHeight="1">
      <c r="A41" s="16"/>
      <c r="B41" s="16"/>
      <c r="C41" s="16"/>
      <c r="D41" s="16"/>
      <c r="E41" s="16"/>
      <c r="F41" s="16"/>
      <c r="G41" s="16"/>
      <c r="H41" s="16"/>
      <c r="I41" s="25"/>
      <c r="J41" s="25"/>
      <c r="K41" s="16"/>
      <c r="L41" s="16"/>
      <c r="M41" s="16"/>
      <c r="N41" s="16"/>
      <c r="O41" s="18"/>
      <c r="P41" s="24"/>
      <c r="Q41" s="18"/>
      <c r="R41" s="18"/>
    </row>
    <row r="42" ht="14.25" customHeight="1">
      <c r="A42" s="16"/>
      <c r="B42" s="16"/>
      <c r="C42" s="16"/>
      <c r="D42" s="16"/>
      <c r="E42" s="16"/>
      <c r="F42" s="16"/>
      <c r="G42" s="16"/>
      <c r="H42" s="16"/>
      <c r="I42" s="25"/>
      <c r="J42" s="25"/>
      <c r="K42" s="16"/>
      <c r="L42" s="16"/>
      <c r="M42" s="16"/>
      <c r="N42" s="16"/>
      <c r="O42" s="18"/>
      <c r="P42" s="24"/>
      <c r="Q42" s="18"/>
      <c r="R42" s="18"/>
    </row>
    <row r="43" ht="14.25" customHeight="1">
      <c r="A43" s="16"/>
      <c r="B43" s="16"/>
      <c r="C43" s="16"/>
      <c r="D43" s="16"/>
      <c r="E43" s="16"/>
      <c r="F43" s="16"/>
      <c r="G43" s="16"/>
      <c r="H43" s="16"/>
      <c r="I43" s="25"/>
      <c r="J43" s="25"/>
      <c r="K43" s="16"/>
      <c r="L43" s="16"/>
      <c r="M43" s="16"/>
      <c r="N43" s="16"/>
      <c r="O43" s="18"/>
      <c r="P43" s="24"/>
      <c r="Q43" s="18"/>
      <c r="R43" s="18"/>
    </row>
    <row r="44" ht="14.25" customHeight="1">
      <c r="A44" s="16"/>
      <c r="B44" s="16"/>
      <c r="C44" s="16"/>
      <c r="D44" s="16"/>
      <c r="E44" s="16"/>
      <c r="F44" s="16"/>
      <c r="G44" s="16"/>
      <c r="H44" s="16"/>
      <c r="I44" s="25"/>
      <c r="J44" s="25"/>
      <c r="K44" s="16"/>
      <c r="L44" s="16"/>
      <c r="M44" s="16"/>
      <c r="N44" s="16"/>
      <c r="O44" s="18"/>
      <c r="P44" s="24"/>
      <c r="Q44" s="18"/>
      <c r="R44" s="18"/>
    </row>
    <row r="45" ht="14.25" customHeight="1">
      <c r="A45" s="16"/>
      <c r="B45" s="16"/>
      <c r="C45" s="16"/>
      <c r="D45" s="16"/>
      <c r="E45" s="16"/>
      <c r="F45" s="16"/>
      <c r="G45" s="16"/>
      <c r="H45" s="16"/>
      <c r="I45" s="25"/>
      <c r="J45" s="25"/>
      <c r="K45" s="16"/>
      <c r="L45" s="16"/>
      <c r="M45" s="16"/>
      <c r="N45" s="16"/>
      <c r="O45" s="18"/>
      <c r="P45" s="24"/>
      <c r="Q45" s="18"/>
      <c r="R45" s="18"/>
    </row>
    <row r="46" ht="14.25" customHeight="1">
      <c r="A46" s="16"/>
      <c r="B46" s="16"/>
      <c r="C46" s="16"/>
      <c r="D46" s="16"/>
      <c r="E46" s="16"/>
      <c r="F46" s="16"/>
      <c r="G46" s="16"/>
      <c r="H46" s="16"/>
      <c r="I46" s="25"/>
      <c r="J46" s="25"/>
      <c r="K46" s="16"/>
      <c r="L46" s="16"/>
      <c r="M46" s="16"/>
      <c r="N46" s="16"/>
      <c r="O46" s="18"/>
      <c r="P46" s="24"/>
      <c r="Q46" s="18"/>
      <c r="R46" s="18"/>
    </row>
    <row r="47" ht="14.25" customHeight="1">
      <c r="A47" s="16"/>
      <c r="B47" s="16"/>
      <c r="C47" s="16"/>
      <c r="D47" s="16"/>
      <c r="E47" s="16"/>
      <c r="F47" s="16"/>
      <c r="G47" s="16"/>
      <c r="H47" s="16"/>
      <c r="I47" s="25"/>
      <c r="J47" s="25"/>
      <c r="K47" s="16"/>
      <c r="L47" s="16"/>
      <c r="M47" s="16"/>
      <c r="N47" s="16"/>
      <c r="O47" s="18"/>
      <c r="P47" s="24"/>
      <c r="Q47" s="18"/>
      <c r="R47" s="18"/>
    </row>
    <row r="48" ht="14.25" customHeight="1">
      <c r="A48" s="16"/>
      <c r="B48" s="16"/>
      <c r="C48" s="16"/>
      <c r="D48" s="16"/>
      <c r="E48" s="16"/>
      <c r="F48" s="16"/>
      <c r="G48" s="16"/>
      <c r="H48" s="16"/>
      <c r="I48" s="25"/>
      <c r="J48" s="25"/>
      <c r="K48" s="16"/>
      <c r="L48" s="16"/>
      <c r="M48" s="16"/>
      <c r="N48" s="16"/>
      <c r="O48" s="18"/>
      <c r="P48" s="24"/>
      <c r="Q48" s="18"/>
      <c r="R48" s="18"/>
    </row>
    <row r="49" ht="14.25" customHeight="1">
      <c r="A49" s="16"/>
      <c r="B49" s="16"/>
      <c r="C49" s="16"/>
      <c r="D49" s="16"/>
      <c r="E49" s="16"/>
      <c r="F49" s="16"/>
      <c r="G49" s="16"/>
      <c r="H49" s="16"/>
      <c r="I49" s="25"/>
      <c r="J49" s="25"/>
      <c r="K49" s="16"/>
      <c r="L49" s="16"/>
      <c r="M49" s="16"/>
      <c r="N49" s="16"/>
      <c r="O49" s="18"/>
      <c r="P49" s="24"/>
      <c r="Q49" s="18"/>
      <c r="R49" s="18"/>
    </row>
    <row r="50" ht="14.25" customHeight="1">
      <c r="A50" s="16"/>
      <c r="B50" s="16"/>
      <c r="C50" s="16"/>
      <c r="D50" s="16"/>
      <c r="E50" s="16"/>
      <c r="F50" s="16"/>
      <c r="G50" s="16"/>
      <c r="H50" s="16"/>
      <c r="I50" s="25"/>
      <c r="J50" s="25"/>
      <c r="K50" s="16"/>
      <c r="L50" s="16"/>
      <c r="M50" s="16"/>
      <c r="N50" s="16"/>
      <c r="O50" s="18"/>
      <c r="P50" s="24"/>
      <c r="Q50" s="18"/>
      <c r="R50" s="18"/>
    </row>
    <row r="51" ht="14.25" customHeight="1">
      <c r="A51" s="16"/>
      <c r="B51" s="16"/>
      <c r="C51" s="16"/>
      <c r="D51" s="16"/>
      <c r="E51" s="16"/>
      <c r="F51" s="16"/>
      <c r="G51" s="16"/>
      <c r="H51" s="16"/>
      <c r="I51" s="25"/>
      <c r="J51" s="25"/>
      <c r="K51" s="16"/>
      <c r="L51" s="16"/>
      <c r="M51" s="16"/>
      <c r="N51" s="16"/>
      <c r="O51" s="18"/>
      <c r="P51" s="24"/>
      <c r="Q51" s="18"/>
      <c r="R51" s="18"/>
    </row>
    <row r="52" ht="14.25" customHeight="1">
      <c r="A52" s="16"/>
      <c r="B52" s="16"/>
      <c r="C52" s="16"/>
      <c r="D52" s="16"/>
      <c r="E52" s="16"/>
      <c r="F52" s="16"/>
      <c r="G52" s="16"/>
      <c r="H52" s="16"/>
      <c r="I52" s="25"/>
      <c r="J52" s="25"/>
      <c r="K52" s="16"/>
      <c r="L52" s="16"/>
      <c r="M52" s="16"/>
      <c r="N52" s="16"/>
      <c r="O52" s="18"/>
      <c r="P52" s="24"/>
      <c r="Q52" s="18"/>
      <c r="R52" s="18"/>
    </row>
    <row r="53" ht="14.25" customHeight="1">
      <c r="A53" s="16"/>
      <c r="B53" s="16"/>
      <c r="C53" s="16"/>
      <c r="D53" s="16"/>
      <c r="E53" s="16"/>
      <c r="F53" s="16"/>
      <c r="G53" s="16"/>
      <c r="H53" s="16"/>
      <c r="I53" s="25"/>
      <c r="J53" s="25"/>
      <c r="K53" s="16"/>
      <c r="L53" s="16"/>
      <c r="M53" s="16"/>
      <c r="N53" s="16"/>
      <c r="O53" s="18"/>
      <c r="P53" s="24"/>
      <c r="Q53" s="18"/>
      <c r="R53" s="18"/>
    </row>
    <row r="54" ht="14.25" customHeight="1">
      <c r="A54" s="16"/>
      <c r="B54" s="16"/>
      <c r="C54" s="16"/>
      <c r="D54" s="16"/>
      <c r="E54" s="16"/>
      <c r="F54" s="16"/>
      <c r="G54" s="16"/>
      <c r="H54" s="16"/>
      <c r="I54" s="25"/>
      <c r="J54" s="25"/>
      <c r="K54" s="16"/>
      <c r="L54" s="16"/>
      <c r="M54" s="16"/>
      <c r="N54" s="16"/>
      <c r="O54" s="18"/>
      <c r="P54" s="24"/>
      <c r="Q54" s="18"/>
      <c r="R54" s="18"/>
    </row>
    <row r="55" ht="14.25" customHeight="1">
      <c r="A55" s="16"/>
      <c r="B55" s="16"/>
      <c r="C55" s="16"/>
      <c r="D55" s="16"/>
      <c r="E55" s="16"/>
      <c r="F55" s="16"/>
      <c r="G55" s="16"/>
      <c r="H55" s="16"/>
      <c r="I55" s="25"/>
      <c r="J55" s="25"/>
      <c r="K55" s="16"/>
      <c r="L55" s="16"/>
      <c r="M55" s="16"/>
      <c r="N55" s="16"/>
      <c r="O55" s="18"/>
      <c r="P55" s="24"/>
      <c r="Q55" s="18"/>
      <c r="R55" s="18"/>
    </row>
    <row r="56" ht="14.25" customHeight="1">
      <c r="A56" s="16"/>
      <c r="B56" s="16"/>
      <c r="C56" s="16"/>
      <c r="D56" s="16"/>
      <c r="E56" s="16"/>
      <c r="F56" s="16"/>
      <c r="G56" s="16"/>
      <c r="H56" s="16"/>
      <c r="I56" s="25"/>
      <c r="J56" s="25"/>
      <c r="K56" s="16"/>
      <c r="L56" s="16"/>
      <c r="M56" s="16"/>
      <c r="N56" s="16"/>
      <c r="O56" s="18"/>
      <c r="P56" s="24"/>
      <c r="Q56" s="18"/>
      <c r="R56" s="18"/>
    </row>
    <row r="57" ht="14.25" customHeight="1">
      <c r="A57" s="16"/>
      <c r="B57" s="16"/>
      <c r="C57" s="16"/>
      <c r="D57" s="16"/>
      <c r="E57" s="16"/>
      <c r="F57" s="16"/>
      <c r="G57" s="16"/>
      <c r="H57" s="16"/>
      <c r="I57" s="25"/>
      <c r="J57" s="25"/>
      <c r="K57" s="16"/>
      <c r="L57" s="16"/>
      <c r="M57" s="16"/>
      <c r="N57" s="16"/>
      <c r="O57" s="18"/>
      <c r="P57" s="24"/>
      <c r="Q57" s="18"/>
      <c r="R57" s="18"/>
    </row>
    <row r="58" ht="14.25" customHeight="1">
      <c r="A58" s="16"/>
      <c r="B58" s="16"/>
      <c r="C58" s="16"/>
      <c r="D58" s="16"/>
      <c r="E58" s="16"/>
      <c r="F58" s="16"/>
      <c r="G58" s="16"/>
      <c r="H58" s="16"/>
      <c r="I58" s="25"/>
      <c r="J58" s="25"/>
      <c r="K58" s="16"/>
      <c r="L58" s="16"/>
      <c r="M58" s="16"/>
      <c r="N58" s="16"/>
      <c r="O58" s="18"/>
      <c r="P58" s="24"/>
      <c r="Q58" s="18"/>
      <c r="R58" s="18"/>
    </row>
    <row r="59" ht="14.25" customHeight="1">
      <c r="A59" s="16"/>
      <c r="B59" s="16"/>
      <c r="C59" s="16"/>
      <c r="D59" s="16"/>
      <c r="E59" s="16"/>
      <c r="F59" s="16"/>
      <c r="G59" s="16"/>
      <c r="H59" s="16"/>
      <c r="I59" s="25"/>
      <c r="J59" s="25"/>
      <c r="K59" s="16"/>
      <c r="L59" s="16"/>
      <c r="M59" s="16"/>
      <c r="N59" s="16"/>
      <c r="O59" s="18"/>
      <c r="P59" s="24"/>
      <c r="Q59" s="18"/>
      <c r="R59" s="18"/>
    </row>
    <row r="60" ht="14.25" customHeight="1">
      <c r="A60" s="16"/>
      <c r="B60" s="16"/>
      <c r="C60" s="16"/>
      <c r="D60" s="16"/>
      <c r="E60" s="16"/>
      <c r="F60" s="16"/>
      <c r="G60" s="16"/>
      <c r="H60" s="16"/>
      <c r="I60" s="25"/>
      <c r="J60" s="25"/>
      <c r="K60" s="16"/>
      <c r="L60" s="16"/>
      <c r="M60" s="16"/>
      <c r="N60" s="16"/>
      <c r="O60" s="18"/>
      <c r="P60" s="24"/>
      <c r="Q60" s="18"/>
      <c r="R60" s="18"/>
    </row>
    <row r="61" ht="14.25" customHeight="1">
      <c r="A61" s="16"/>
      <c r="B61" s="16"/>
      <c r="C61" s="16"/>
      <c r="D61" s="16"/>
      <c r="E61" s="16"/>
      <c r="F61" s="16"/>
      <c r="G61" s="16"/>
      <c r="H61" s="16"/>
      <c r="I61" s="25"/>
      <c r="J61" s="25"/>
      <c r="K61" s="16"/>
      <c r="L61" s="16"/>
      <c r="M61" s="16"/>
      <c r="N61" s="16"/>
      <c r="O61" s="18"/>
      <c r="P61" s="24"/>
      <c r="Q61" s="18"/>
      <c r="R61" s="18"/>
    </row>
    <row r="62" ht="14.25" customHeight="1">
      <c r="A62" s="16"/>
      <c r="B62" s="16"/>
      <c r="C62" s="16"/>
      <c r="D62" s="16"/>
      <c r="E62" s="16"/>
      <c r="F62" s="16"/>
      <c r="G62" s="16"/>
      <c r="H62" s="16"/>
      <c r="I62" s="25"/>
      <c r="J62" s="25"/>
      <c r="K62" s="16"/>
      <c r="L62" s="16"/>
      <c r="M62" s="16"/>
      <c r="N62" s="16"/>
      <c r="O62" s="18"/>
      <c r="P62" s="24"/>
      <c r="Q62" s="18"/>
      <c r="R62" s="18"/>
    </row>
    <row r="63" ht="14.25" customHeight="1">
      <c r="A63" s="16"/>
      <c r="B63" s="16"/>
      <c r="C63" s="16"/>
      <c r="D63" s="16"/>
      <c r="E63" s="16"/>
      <c r="F63" s="16"/>
      <c r="G63" s="16"/>
      <c r="H63" s="16"/>
      <c r="I63" s="25"/>
      <c r="J63" s="25"/>
      <c r="K63" s="16"/>
      <c r="L63" s="16"/>
      <c r="M63" s="16"/>
      <c r="N63" s="16"/>
      <c r="O63" s="18"/>
      <c r="P63" s="24"/>
      <c r="Q63" s="18"/>
      <c r="R63" s="18"/>
    </row>
    <row r="64" ht="14.25" customHeight="1">
      <c r="A64" s="16"/>
      <c r="B64" s="16"/>
      <c r="C64" s="16"/>
      <c r="D64" s="16"/>
      <c r="E64" s="16"/>
      <c r="F64" s="16"/>
      <c r="G64" s="16"/>
      <c r="H64" s="16"/>
      <c r="I64" s="25"/>
      <c r="J64" s="25"/>
      <c r="K64" s="16"/>
      <c r="L64" s="16"/>
      <c r="M64" s="16"/>
      <c r="N64" s="16"/>
      <c r="O64" s="18"/>
      <c r="P64" s="24"/>
      <c r="Q64" s="18"/>
      <c r="R64" s="18"/>
    </row>
    <row r="65" ht="14.25" customHeight="1">
      <c r="A65" s="16"/>
      <c r="B65" s="16"/>
      <c r="C65" s="16"/>
      <c r="D65" s="16"/>
      <c r="E65" s="16"/>
      <c r="F65" s="16"/>
      <c r="G65" s="16"/>
      <c r="H65" s="16"/>
      <c r="I65" s="25"/>
      <c r="J65" s="25"/>
      <c r="K65" s="16"/>
      <c r="L65" s="16"/>
      <c r="M65" s="16"/>
      <c r="N65" s="16"/>
      <c r="O65" s="18"/>
      <c r="P65" s="24"/>
      <c r="Q65" s="18"/>
      <c r="R65" s="18"/>
    </row>
    <row r="66" ht="14.25" customHeight="1">
      <c r="A66" s="16"/>
      <c r="B66" s="16"/>
      <c r="C66" s="16"/>
      <c r="D66" s="16"/>
      <c r="E66" s="16"/>
      <c r="F66" s="16"/>
      <c r="G66" s="16"/>
      <c r="H66" s="16"/>
      <c r="I66" s="25"/>
      <c r="J66" s="25"/>
      <c r="K66" s="16"/>
      <c r="L66" s="16"/>
      <c r="M66" s="16"/>
      <c r="N66" s="16"/>
      <c r="O66" s="18"/>
      <c r="P66" s="24"/>
      <c r="Q66" s="18"/>
      <c r="R66" s="18"/>
    </row>
    <row r="67" ht="14.25" customHeight="1">
      <c r="A67" s="16"/>
      <c r="B67" s="16"/>
      <c r="C67" s="16"/>
      <c r="D67" s="16"/>
      <c r="E67" s="16"/>
      <c r="F67" s="16"/>
      <c r="G67" s="16"/>
      <c r="H67" s="16"/>
      <c r="I67" s="25"/>
      <c r="J67" s="25"/>
      <c r="K67" s="16"/>
      <c r="L67" s="16"/>
      <c r="M67" s="16"/>
      <c r="N67" s="16"/>
      <c r="O67" s="18"/>
      <c r="P67" s="24"/>
      <c r="Q67" s="18"/>
      <c r="R67" s="18"/>
    </row>
    <row r="68" ht="14.25" customHeight="1">
      <c r="A68" s="16"/>
      <c r="B68" s="16"/>
      <c r="C68" s="16"/>
      <c r="D68" s="16"/>
      <c r="E68" s="16"/>
      <c r="F68" s="16"/>
      <c r="G68" s="16"/>
      <c r="H68" s="16"/>
      <c r="I68" s="25"/>
      <c r="J68" s="25"/>
      <c r="K68" s="16"/>
      <c r="L68" s="16"/>
      <c r="M68" s="16"/>
      <c r="N68" s="16"/>
      <c r="O68" s="18"/>
      <c r="P68" s="24"/>
      <c r="Q68" s="18"/>
      <c r="R68" s="18"/>
    </row>
    <row r="69" ht="14.25" customHeight="1">
      <c r="A69" s="16"/>
      <c r="B69" s="16"/>
      <c r="C69" s="16"/>
      <c r="D69" s="16"/>
      <c r="E69" s="16"/>
      <c r="F69" s="16"/>
      <c r="G69" s="16"/>
      <c r="H69" s="16"/>
      <c r="I69" s="25"/>
      <c r="J69" s="25"/>
      <c r="K69" s="16"/>
      <c r="L69" s="16"/>
      <c r="M69" s="16"/>
      <c r="N69" s="16"/>
      <c r="O69" s="18"/>
      <c r="P69" s="24"/>
      <c r="Q69" s="18"/>
      <c r="R69" s="18"/>
    </row>
    <row r="70" ht="14.25" customHeight="1">
      <c r="A70" s="16"/>
      <c r="B70" s="16"/>
      <c r="C70" s="16"/>
      <c r="D70" s="16"/>
      <c r="E70" s="16"/>
      <c r="F70" s="16"/>
      <c r="G70" s="16"/>
      <c r="H70" s="16"/>
      <c r="I70" s="25"/>
      <c r="J70" s="25"/>
      <c r="K70" s="16"/>
      <c r="L70" s="16"/>
      <c r="M70" s="16"/>
      <c r="N70" s="16"/>
      <c r="O70" s="18"/>
      <c r="P70" s="24"/>
      <c r="Q70" s="18"/>
      <c r="R70" s="18"/>
    </row>
    <row r="71" ht="14.25" customHeight="1">
      <c r="A71" s="16"/>
      <c r="B71" s="16"/>
      <c r="C71" s="16"/>
      <c r="D71" s="16"/>
      <c r="E71" s="16"/>
      <c r="F71" s="16"/>
      <c r="G71" s="16"/>
      <c r="H71" s="16"/>
      <c r="I71" s="25"/>
      <c r="J71" s="25"/>
      <c r="K71" s="16"/>
      <c r="L71" s="16"/>
      <c r="M71" s="16"/>
      <c r="N71" s="16"/>
      <c r="O71" s="18"/>
      <c r="P71" s="24"/>
      <c r="Q71" s="18"/>
      <c r="R71" s="18"/>
    </row>
    <row r="72" ht="14.25" customHeight="1">
      <c r="A72" s="16"/>
      <c r="B72" s="16"/>
      <c r="C72" s="16"/>
      <c r="D72" s="16"/>
      <c r="E72" s="16"/>
      <c r="F72" s="16"/>
      <c r="G72" s="16"/>
      <c r="H72" s="16"/>
      <c r="I72" s="25"/>
      <c r="J72" s="25"/>
      <c r="K72" s="16"/>
      <c r="L72" s="16"/>
      <c r="M72" s="16"/>
      <c r="N72" s="16"/>
      <c r="O72" s="18"/>
      <c r="P72" s="24"/>
      <c r="Q72" s="18"/>
      <c r="R72" s="18"/>
    </row>
    <row r="73" ht="14.25" customHeight="1">
      <c r="A73" s="16"/>
      <c r="B73" s="16"/>
      <c r="C73" s="16"/>
      <c r="D73" s="16"/>
      <c r="E73" s="16"/>
      <c r="F73" s="16"/>
      <c r="G73" s="16"/>
      <c r="H73" s="16"/>
      <c r="I73" s="25"/>
      <c r="J73" s="25"/>
      <c r="K73" s="16"/>
      <c r="L73" s="16"/>
      <c r="M73" s="16"/>
      <c r="N73" s="16"/>
      <c r="O73" s="18"/>
      <c r="P73" s="24"/>
      <c r="Q73" s="18"/>
      <c r="R73" s="18"/>
    </row>
    <row r="74" ht="14.25" customHeight="1">
      <c r="A74" s="16"/>
      <c r="B74" s="16"/>
      <c r="C74" s="16"/>
      <c r="D74" s="16"/>
      <c r="E74" s="16"/>
      <c r="F74" s="16"/>
      <c r="G74" s="16"/>
      <c r="H74" s="16"/>
      <c r="I74" s="25"/>
      <c r="J74" s="25"/>
      <c r="K74" s="16"/>
      <c r="L74" s="16"/>
      <c r="M74" s="16"/>
      <c r="N74" s="16"/>
      <c r="O74" s="18"/>
      <c r="P74" s="24"/>
      <c r="Q74" s="18"/>
      <c r="R74" s="18"/>
    </row>
    <row r="75" ht="14.25" customHeight="1">
      <c r="A75" s="16"/>
      <c r="B75" s="16"/>
      <c r="C75" s="16"/>
      <c r="D75" s="16"/>
      <c r="E75" s="16"/>
      <c r="F75" s="16"/>
      <c r="G75" s="16"/>
      <c r="H75" s="16"/>
      <c r="I75" s="25"/>
      <c r="J75" s="25"/>
      <c r="K75" s="16"/>
      <c r="L75" s="16"/>
      <c r="M75" s="16"/>
      <c r="N75" s="16"/>
      <c r="O75" s="18"/>
      <c r="P75" s="24"/>
      <c r="Q75" s="18"/>
      <c r="R75" s="18"/>
    </row>
    <row r="76" ht="14.25" customHeight="1">
      <c r="A76" s="16"/>
      <c r="B76" s="16"/>
      <c r="C76" s="16"/>
      <c r="D76" s="16"/>
      <c r="E76" s="16"/>
      <c r="F76" s="16"/>
      <c r="G76" s="16"/>
      <c r="H76" s="16"/>
      <c r="I76" s="25"/>
      <c r="J76" s="25"/>
      <c r="K76" s="16"/>
      <c r="L76" s="16"/>
      <c r="M76" s="16"/>
      <c r="N76" s="16"/>
      <c r="O76" s="18"/>
      <c r="P76" s="24"/>
      <c r="Q76" s="18"/>
      <c r="R76" s="18"/>
    </row>
    <row r="77" ht="14.25" customHeight="1">
      <c r="A77" s="16"/>
      <c r="B77" s="16"/>
      <c r="C77" s="16"/>
      <c r="D77" s="16"/>
      <c r="E77" s="16"/>
      <c r="F77" s="16"/>
      <c r="G77" s="16"/>
      <c r="H77" s="16"/>
      <c r="I77" s="25"/>
      <c r="J77" s="25"/>
      <c r="K77" s="16"/>
      <c r="L77" s="16"/>
      <c r="M77" s="16"/>
      <c r="N77" s="16"/>
      <c r="O77" s="18"/>
      <c r="P77" s="24"/>
      <c r="Q77" s="18"/>
      <c r="R77" s="18"/>
    </row>
    <row r="78" ht="14.25" customHeight="1">
      <c r="A78" s="16"/>
      <c r="B78" s="16"/>
      <c r="C78" s="16"/>
      <c r="D78" s="16"/>
      <c r="E78" s="16"/>
      <c r="F78" s="16"/>
      <c r="G78" s="16"/>
      <c r="H78" s="16"/>
      <c r="I78" s="25"/>
      <c r="J78" s="25"/>
      <c r="K78" s="16"/>
      <c r="L78" s="16"/>
      <c r="M78" s="16"/>
      <c r="N78" s="16"/>
      <c r="O78" s="18"/>
      <c r="P78" s="24"/>
      <c r="Q78" s="18"/>
      <c r="R78" s="18"/>
    </row>
    <row r="79" ht="14.25" customHeight="1">
      <c r="A79" s="16"/>
      <c r="B79" s="16"/>
      <c r="C79" s="16"/>
      <c r="D79" s="16"/>
      <c r="E79" s="16"/>
      <c r="F79" s="16"/>
      <c r="G79" s="16"/>
      <c r="H79" s="16"/>
      <c r="I79" s="25"/>
      <c r="J79" s="25"/>
      <c r="K79" s="16"/>
      <c r="L79" s="16"/>
      <c r="M79" s="16"/>
      <c r="N79" s="16"/>
      <c r="O79" s="18"/>
      <c r="P79" s="24"/>
      <c r="Q79" s="18"/>
      <c r="R79" s="18"/>
    </row>
    <row r="80" ht="14.25" customHeight="1">
      <c r="A80" s="16"/>
      <c r="B80" s="16"/>
      <c r="C80" s="16"/>
      <c r="D80" s="16"/>
      <c r="E80" s="16"/>
      <c r="F80" s="16"/>
      <c r="G80" s="16"/>
      <c r="H80" s="16"/>
      <c r="I80" s="25"/>
      <c r="J80" s="25"/>
      <c r="K80" s="16"/>
      <c r="L80" s="16"/>
      <c r="M80" s="16"/>
      <c r="N80" s="16"/>
      <c r="O80" s="18"/>
      <c r="P80" s="24"/>
      <c r="Q80" s="18"/>
      <c r="R80" s="18"/>
    </row>
    <row r="81" ht="14.25" customHeight="1">
      <c r="A81" s="16"/>
      <c r="B81" s="16"/>
      <c r="C81" s="16"/>
      <c r="D81" s="16"/>
      <c r="E81" s="16"/>
      <c r="F81" s="16"/>
      <c r="G81" s="16"/>
      <c r="H81" s="16"/>
      <c r="I81" s="25"/>
      <c r="J81" s="25"/>
      <c r="K81" s="16"/>
      <c r="L81" s="16"/>
      <c r="M81" s="16"/>
      <c r="N81" s="16"/>
      <c r="O81" s="18"/>
      <c r="P81" s="24"/>
      <c r="Q81" s="18"/>
      <c r="R81" s="18"/>
    </row>
    <row r="82" ht="14.25" customHeight="1">
      <c r="A82" s="16"/>
      <c r="B82" s="16"/>
      <c r="C82" s="16"/>
      <c r="D82" s="16"/>
      <c r="E82" s="16"/>
      <c r="F82" s="16"/>
      <c r="G82" s="16"/>
      <c r="H82" s="16"/>
      <c r="I82" s="25"/>
      <c r="J82" s="25"/>
      <c r="K82" s="16"/>
      <c r="L82" s="16"/>
      <c r="M82" s="16"/>
      <c r="N82" s="16"/>
      <c r="O82" s="18"/>
      <c r="P82" s="24"/>
      <c r="Q82" s="18"/>
      <c r="R82" s="18"/>
    </row>
    <row r="83" ht="14.25" customHeight="1">
      <c r="A83" s="16"/>
      <c r="B83" s="16"/>
      <c r="C83" s="16"/>
      <c r="D83" s="16"/>
      <c r="E83" s="16"/>
      <c r="F83" s="16"/>
      <c r="G83" s="16"/>
      <c r="H83" s="16"/>
      <c r="I83" s="25"/>
      <c r="J83" s="25"/>
      <c r="K83" s="16"/>
      <c r="L83" s="16"/>
      <c r="M83" s="16"/>
      <c r="N83" s="16"/>
      <c r="O83" s="18"/>
      <c r="P83" s="24"/>
      <c r="Q83" s="18"/>
      <c r="R83" s="18"/>
    </row>
    <row r="84" ht="14.25" customHeight="1">
      <c r="A84" s="16"/>
      <c r="B84" s="16"/>
      <c r="C84" s="16"/>
      <c r="D84" s="16"/>
      <c r="E84" s="16"/>
      <c r="F84" s="16"/>
      <c r="G84" s="16"/>
      <c r="H84" s="16"/>
      <c r="I84" s="25"/>
      <c r="J84" s="25"/>
      <c r="K84" s="16"/>
      <c r="L84" s="16"/>
      <c r="M84" s="16"/>
      <c r="N84" s="16"/>
      <c r="O84" s="18"/>
      <c r="P84" s="24"/>
      <c r="Q84" s="18"/>
      <c r="R84" s="18"/>
    </row>
    <row r="85" ht="14.25" customHeight="1">
      <c r="A85" s="16"/>
      <c r="B85" s="16"/>
      <c r="C85" s="16"/>
      <c r="D85" s="16"/>
      <c r="E85" s="16"/>
      <c r="F85" s="16"/>
      <c r="G85" s="16"/>
      <c r="H85" s="16"/>
      <c r="I85" s="25"/>
      <c r="J85" s="25"/>
      <c r="K85" s="16"/>
      <c r="L85" s="16"/>
      <c r="M85" s="16"/>
      <c r="N85" s="16"/>
      <c r="O85" s="18"/>
      <c r="P85" s="24"/>
      <c r="Q85" s="18"/>
      <c r="R85" s="18"/>
    </row>
    <row r="86" ht="14.25" customHeight="1">
      <c r="A86" s="16"/>
      <c r="B86" s="16"/>
      <c r="C86" s="16"/>
      <c r="D86" s="16"/>
      <c r="E86" s="16"/>
      <c r="F86" s="16"/>
      <c r="G86" s="16"/>
      <c r="H86" s="16"/>
      <c r="I86" s="25"/>
      <c r="J86" s="25"/>
      <c r="K86" s="16"/>
      <c r="L86" s="16"/>
      <c r="M86" s="16"/>
      <c r="N86" s="16"/>
      <c r="O86" s="18"/>
      <c r="P86" s="24"/>
      <c r="Q86" s="18"/>
      <c r="R86" s="18"/>
    </row>
    <row r="87" ht="14.25" customHeight="1">
      <c r="A87" s="16"/>
      <c r="B87" s="16"/>
      <c r="C87" s="16"/>
      <c r="D87" s="16"/>
      <c r="E87" s="16"/>
      <c r="F87" s="16"/>
      <c r="G87" s="16"/>
      <c r="H87" s="16"/>
      <c r="I87" s="25"/>
      <c r="J87" s="25"/>
      <c r="K87" s="16"/>
      <c r="L87" s="16"/>
      <c r="M87" s="16"/>
      <c r="N87" s="16"/>
      <c r="O87" s="18"/>
      <c r="P87" s="24"/>
      <c r="Q87" s="18"/>
      <c r="R87" s="18"/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25"/>
      <c r="J88" s="25"/>
      <c r="K88" s="16"/>
      <c r="L88" s="16"/>
      <c r="M88" s="16"/>
      <c r="N88" s="16"/>
      <c r="O88" s="18"/>
      <c r="P88" s="24"/>
      <c r="Q88" s="18"/>
      <c r="R88" s="18"/>
    </row>
    <row r="89" ht="14.25" customHeight="1">
      <c r="A89" s="16"/>
      <c r="B89" s="16"/>
      <c r="C89" s="16"/>
      <c r="D89" s="16"/>
      <c r="E89" s="16"/>
      <c r="F89" s="16"/>
      <c r="G89" s="16"/>
      <c r="H89" s="16"/>
      <c r="I89" s="25"/>
      <c r="J89" s="25"/>
      <c r="K89" s="16"/>
      <c r="L89" s="16"/>
      <c r="M89" s="16"/>
      <c r="N89" s="16"/>
      <c r="O89" s="18"/>
      <c r="P89" s="24"/>
      <c r="Q89" s="18"/>
      <c r="R89" s="18"/>
    </row>
    <row r="90" ht="14.25" customHeight="1">
      <c r="A90" s="16"/>
      <c r="B90" s="16"/>
      <c r="C90" s="16"/>
      <c r="D90" s="16"/>
      <c r="E90" s="16"/>
      <c r="F90" s="16"/>
      <c r="G90" s="16"/>
      <c r="H90" s="16"/>
      <c r="I90" s="25"/>
      <c r="J90" s="25"/>
      <c r="K90" s="16"/>
      <c r="L90" s="16"/>
      <c r="M90" s="16"/>
      <c r="N90" s="16"/>
      <c r="O90" s="18"/>
      <c r="P90" s="24"/>
      <c r="Q90" s="18"/>
      <c r="R90" s="18"/>
    </row>
    <row r="91" ht="14.25" customHeight="1">
      <c r="A91" s="16"/>
      <c r="B91" s="16"/>
      <c r="C91" s="16"/>
      <c r="D91" s="16"/>
      <c r="E91" s="16"/>
      <c r="F91" s="16"/>
      <c r="G91" s="16"/>
      <c r="H91" s="16"/>
      <c r="I91" s="25"/>
      <c r="J91" s="25"/>
      <c r="K91" s="16"/>
      <c r="L91" s="16"/>
      <c r="M91" s="16"/>
      <c r="N91" s="16"/>
      <c r="O91" s="18"/>
      <c r="P91" s="24"/>
      <c r="Q91" s="18"/>
      <c r="R91" s="18"/>
    </row>
    <row r="92" ht="14.25" customHeight="1">
      <c r="A92" s="16"/>
      <c r="B92" s="16"/>
      <c r="C92" s="16"/>
      <c r="D92" s="16"/>
      <c r="E92" s="16"/>
      <c r="F92" s="16"/>
      <c r="G92" s="16"/>
      <c r="H92" s="16"/>
      <c r="I92" s="25"/>
      <c r="J92" s="25"/>
      <c r="K92" s="16"/>
      <c r="L92" s="16"/>
      <c r="M92" s="16"/>
      <c r="N92" s="16"/>
      <c r="O92" s="18"/>
      <c r="P92" s="24"/>
      <c r="Q92" s="18"/>
      <c r="R92" s="18"/>
    </row>
    <row r="93" ht="14.25" customHeight="1">
      <c r="A93" s="16"/>
      <c r="B93" s="16"/>
      <c r="C93" s="16"/>
      <c r="D93" s="16"/>
      <c r="E93" s="16"/>
      <c r="F93" s="16"/>
      <c r="G93" s="16"/>
      <c r="H93" s="16"/>
      <c r="I93" s="25"/>
      <c r="J93" s="25"/>
      <c r="K93" s="16"/>
      <c r="L93" s="16"/>
      <c r="M93" s="16"/>
      <c r="N93" s="16"/>
      <c r="O93" s="18"/>
      <c r="P93" s="24"/>
      <c r="Q93" s="18"/>
      <c r="R93" s="18"/>
    </row>
    <row r="94" ht="14.25" customHeight="1">
      <c r="A94" s="16"/>
      <c r="B94" s="16"/>
      <c r="C94" s="16"/>
      <c r="D94" s="16"/>
      <c r="E94" s="16"/>
      <c r="F94" s="16"/>
      <c r="G94" s="16"/>
      <c r="H94" s="16"/>
      <c r="I94" s="25"/>
      <c r="J94" s="25"/>
      <c r="K94" s="16"/>
      <c r="L94" s="16"/>
      <c r="M94" s="16"/>
      <c r="N94" s="16"/>
      <c r="O94" s="18"/>
      <c r="P94" s="24"/>
      <c r="Q94" s="18"/>
      <c r="R94" s="18"/>
    </row>
    <row r="95" ht="14.25" customHeight="1">
      <c r="A95" s="16"/>
      <c r="B95" s="16"/>
      <c r="C95" s="16"/>
      <c r="D95" s="16"/>
      <c r="E95" s="16"/>
      <c r="F95" s="16"/>
      <c r="G95" s="16"/>
      <c r="H95" s="16"/>
      <c r="I95" s="25"/>
      <c r="J95" s="25"/>
      <c r="K95" s="16"/>
      <c r="L95" s="16"/>
      <c r="M95" s="16"/>
      <c r="N95" s="16"/>
      <c r="O95" s="18"/>
      <c r="P95" s="24"/>
      <c r="Q95" s="18"/>
      <c r="R95" s="18"/>
    </row>
    <row r="96" ht="14.25" customHeight="1">
      <c r="A96" s="16"/>
      <c r="B96" s="16"/>
      <c r="C96" s="16"/>
      <c r="D96" s="16"/>
      <c r="E96" s="16"/>
      <c r="F96" s="16"/>
      <c r="G96" s="16"/>
      <c r="H96" s="16"/>
      <c r="I96" s="25"/>
      <c r="J96" s="25"/>
      <c r="K96" s="16"/>
      <c r="L96" s="16"/>
      <c r="M96" s="16"/>
      <c r="N96" s="16"/>
      <c r="O96" s="18"/>
      <c r="P96" s="24"/>
      <c r="Q96" s="18"/>
      <c r="R96" s="18"/>
    </row>
    <row r="97" ht="14.25" customHeight="1">
      <c r="A97" s="16"/>
      <c r="B97" s="16"/>
      <c r="C97" s="16"/>
      <c r="D97" s="16"/>
      <c r="E97" s="16"/>
      <c r="F97" s="16"/>
      <c r="G97" s="16"/>
      <c r="H97" s="16"/>
      <c r="I97" s="25"/>
      <c r="J97" s="25"/>
      <c r="K97" s="16"/>
      <c r="L97" s="16"/>
      <c r="M97" s="16"/>
      <c r="N97" s="16"/>
      <c r="O97" s="18"/>
      <c r="P97" s="24"/>
      <c r="Q97" s="18"/>
      <c r="R97" s="18"/>
    </row>
    <row r="98" ht="14.25" customHeight="1">
      <c r="A98" s="16"/>
      <c r="B98" s="16"/>
      <c r="C98" s="16"/>
      <c r="D98" s="16"/>
      <c r="E98" s="16"/>
      <c r="F98" s="16"/>
      <c r="G98" s="16"/>
      <c r="H98" s="16"/>
      <c r="I98" s="25"/>
      <c r="J98" s="25"/>
      <c r="K98" s="16"/>
      <c r="L98" s="16"/>
      <c r="M98" s="16"/>
      <c r="N98" s="16"/>
      <c r="O98" s="18"/>
      <c r="P98" s="24"/>
      <c r="Q98" s="18"/>
      <c r="R98" s="18"/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25"/>
      <c r="J99" s="25"/>
      <c r="K99" s="16"/>
      <c r="L99" s="16"/>
      <c r="M99" s="16"/>
      <c r="N99" s="16"/>
      <c r="O99" s="18"/>
      <c r="P99" s="24"/>
      <c r="Q99" s="18"/>
      <c r="R99" s="18"/>
    </row>
    <row r="100" ht="14.25" customHeight="1">
      <c r="A100" s="16"/>
      <c r="B100" s="16"/>
      <c r="C100" s="16"/>
      <c r="D100" s="16"/>
      <c r="E100" s="16"/>
      <c r="F100" s="16"/>
      <c r="G100" s="16"/>
      <c r="H100" s="16"/>
      <c r="I100" s="25"/>
      <c r="J100" s="25"/>
      <c r="K100" s="16"/>
      <c r="L100" s="16"/>
      <c r="M100" s="16"/>
      <c r="N100" s="16"/>
      <c r="O100" s="18"/>
      <c r="P100" s="24"/>
      <c r="Q100" s="18"/>
      <c r="R100" s="18"/>
    </row>
    <row r="101" ht="14.25" customHeight="1">
      <c r="A101" s="16"/>
      <c r="B101" s="16"/>
      <c r="C101" s="16"/>
      <c r="D101" s="16"/>
      <c r="E101" s="16"/>
      <c r="F101" s="16"/>
      <c r="G101" s="16"/>
      <c r="H101" s="16"/>
      <c r="I101" s="25"/>
      <c r="J101" s="25"/>
      <c r="K101" s="16"/>
      <c r="L101" s="16"/>
      <c r="M101" s="16"/>
      <c r="N101" s="16"/>
      <c r="O101" s="18"/>
      <c r="P101" s="24"/>
      <c r="Q101" s="18"/>
      <c r="R101" s="18"/>
    </row>
    <row r="102" ht="14.25" customHeight="1">
      <c r="A102" s="16"/>
      <c r="B102" s="16"/>
      <c r="C102" s="16"/>
      <c r="D102" s="16"/>
      <c r="E102" s="16"/>
      <c r="F102" s="16"/>
      <c r="G102" s="16"/>
      <c r="H102" s="16"/>
      <c r="I102" s="25"/>
      <c r="J102" s="25"/>
      <c r="K102" s="16"/>
      <c r="L102" s="16"/>
      <c r="M102" s="16"/>
      <c r="N102" s="16"/>
      <c r="O102" s="18"/>
      <c r="P102" s="24"/>
      <c r="Q102" s="18"/>
      <c r="R102" s="18"/>
    </row>
    <row r="103" ht="14.25" customHeight="1">
      <c r="A103" s="16"/>
      <c r="B103" s="16"/>
      <c r="C103" s="16"/>
      <c r="D103" s="16"/>
      <c r="E103" s="16"/>
      <c r="F103" s="16"/>
      <c r="G103" s="16"/>
      <c r="H103" s="16"/>
      <c r="I103" s="25"/>
      <c r="J103" s="25"/>
      <c r="K103" s="16"/>
      <c r="L103" s="16"/>
      <c r="M103" s="16"/>
      <c r="N103" s="16"/>
      <c r="O103" s="18"/>
      <c r="P103" s="24"/>
      <c r="Q103" s="18"/>
      <c r="R103" s="18"/>
    </row>
    <row r="104" ht="14.25" customHeight="1">
      <c r="A104" s="16"/>
      <c r="B104" s="16"/>
      <c r="C104" s="16"/>
      <c r="D104" s="16"/>
      <c r="E104" s="16"/>
      <c r="F104" s="16"/>
      <c r="G104" s="16"/>
      <c r="H104" s="16"/>
      <c r="I104" s="25"/>
      <c r="J104" s="25"/>
      <c r="K104" s="16"/>
      <c r="L104" s="16"/>
      <c r="M104" s="16"/>
      <c r="N104" s="16"/>
      <c r="O104" s="18"/>
      <c r="P104" s="24"/>
      <c r="Q104" s="18"/>
      <c r="R104" s="18"/>
    </row>
    <row r="105" ht="14.25" customHeight="1">
      <c r="A105" s="16"/>
      <c r="B105" s="16"/>
      <c r="C105" s="16"/>
      <c r="D105" s="16"/>
      <c r="E105" s="16"/>
      <c r="F105" s="16"/>
      <c r="G105" s="16"/>
      <c r="H105" s="16"/>
      <c r="I105" s="25"/>
      <c r="J105" s="25"/>
      <c r="K105" s="16"/>
      <c r="L105" s="16"/>
      <c r="M105" s="16"/>
      <c r="N105" s="16"/>
      <c r="O105" s="18"/>
      <c r="P105" s="24"/>
      <c r="Q105" s="18"/>
      <c r="R105" s="18"/>
    </row>
    <row r="106" ht="14.25" customHeight="1">
      <c r="A106" s="16"/>
      <c r="B106" s="16"/>
      <c r="C106" s="16"/>
      <c r="D106" s="16"/>
      <c r="E106" s="16"/>
      <c r="F106" s="16"/>
      <c r="G106" s="16"/>
      <c r="H106" s="16"/>
      <c r="I106" s="25"/>
      <c r="J106" s="25"/>
      <c r="K106" s="16"/>
      <c r="L106" s="16"/>
      <c r="M106" s="16"/>
      <c r="N106" s="16"/>
      <c r="O106" s="18"/>
      <c r="P106" s="24"/>
      <c r="Q106" s="18"/>
      <c r="R106" s="18"/>
    </row>
    <row r="107" ht="14.25" customHeight="1">
      <c r="A107" s="16"/>
      <c r="B107" s="16"/>
      <c r="C107" s="16"/>
      <c r="D107" s="16"/>
      <c r="E107" s="16"/>
      <c r="F107" s="16"/>
      <c r="G107" s="16"/>
      <c r="H107" s="16"/>
      <c r="I107" s="25"/>
      <c r="J107" s="25"/>
      <c r="K107" s="16"/>
      <c r="L107" s="16"/>
      <c r="M107" s="16"/>
      <c r="N107" s="16"/>
      <c r="O107" s="18"/>
      <c r="P107" s="24"/>
      <c r="Q107" s="18"/>
      <c r="R107" s="18"/>
    </row>
    <row r="108" ht="14.25" customHeight="1">
      <c r="A108" s="16"/>
      <c r="B108" s="16"/>
      <c r="C108" s="16"/>
      <c r="D108" s="16"/>
      <c r="E108" s="16"/>
      <c r="F108" s="16"/>
      <c r="G108" s="16"/>
      <c r="H108" s="16"/>
      <c r="I108" s="25"/>
      <c r="J108" s="25"/>
      <c r="K108" s="16"/>
      <c r="L108" s="16"/>
      <c r="M108" s="16"/>
      <c r="N108" s="16"/>
      <c r="O108" s="18"/>
      <c r="P108" s="24"/>
      <c r="Q108" s="18"/>
      <c r="R108" s="18"/>
    </row>
    <row r="109" ht="14.25" customHeight="1">
      <c r="A109" s="16"/>
      <c r="B109" s="16"/>
      <c r="C109" s="16"/>
      <c r="D109" s="16"/>
      <c r="E109" s="16"/>
      <c r="F109" s="16"/>
      <c r="G109" s="16"/>
      <c r="H109" s="16"/>
      <c r="I109" s="25"/>
      <c r="J109" s="25"/>
      <c r="K109" s="16"/>
      <c r="L109" s="16"/>
      <c r="M109" s="16"/>
      <c r="N109" s="16"/>
      <c r="O109" s="18"/>
      <c r="P109" s="24"/>
      <c r="Q109" s="18"/>
      <c r="R109" s="18"/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25"/>
      <c r="J110" s="25"/>
      <c r="K110" s="16"/>
      <c r="L110" s="16"/>
      <c r="M110" s="16"/>
      <c r="N110" s="16"/>
      <c r="O110" s="18"/>
      <c r="P110" s="24"/>
      <c r="Q110" s="18"/>
      <c r="R110" s="18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25"/>
      <c r="J111" s="25"/>
      <c r="K111" s="16"/>
      <c r="L111" s="16"/>
      <c r="M111" s="16"/>
      <c r="N111" s="16"/>
      <c r="O111" s="18"/>
      <c r="P111" s="24"/>
      <c r="Q111" s="18"/>
      <c r="R111" s="18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25"/>
      <c r="J112" s="25"/>
      <c r="K112" s="16"/>
      <c r="L112" s="16"/>
      <c r="M112" s="16"/>
      <c r="N112" s="16"/>
      <c r="O112" s="18"/>
      <c r="P112" s="24"/>
      <c r="Q112" s="18"/>
      <c r="R112" s="18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25"/>
      <c r="J113" s="25"/>
      <c r="K113" s="16"/>
      <c r="L113" s="16"/>
      <c r="M113" s="16"/>
      <c r="N113" s="16"/>
      <c r="O113" s="18"/>
      <c r="P113" s="24"/>
      <c r="Q113" s="18"/>
      <c r="R113" s="18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25"/>
      <c r="J114" s="25"/>
      <c r="K114" s="16"/>
      <c r="L114" s="16"/>
      <c r="M114" s="16"/>
      <c r="N114" s="16"/>
      <c r="O114" s="18"/>
      <c r="P114" s="24"/>
      <c r="Q114" s="18"/>
      <c r="R114" s="18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25"/>
      <c r="J115" s="25"/>
      <c r="K115" s="16"/>
      <c r="L115" s="16"/>
      <c r="M115" s="16"/>
      <c r="N115" s="16"/>
      <c r="O115" s="18"/>
      <c r="P115" s="24"/>
      <c r="Q115" s="18"/>
      <c r="R115" s="18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25"/>
      <c r="J116" s="25"/>
      <c r="K116" s="16"/>
      <c r="L116" s="16"/>
      <c r="M116" s="16"/>
      <c r="N116" s="16"/>
      <c r="O116" s="18"/>
      <c r="P116" s="24"/>
      <c r="Q116" s="18"/>
      <c r="R116" s="18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25"/>
      <c r="J117" s="25"/>
      <c r="K117" s="16"/>
      <c r="L117" s="16"/>
      <c r="M117" s="16"/>
      <c r="N117" s="16"/>
      <c r="O117" s="18"/>
      <c r="P117" s="24"/>
      <c r="Q117" s="18"/>
      <c r="R117" s="18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25"/>
      <c r="J118" s="25"/>
      <c r="K118" s="16"/>
      <c r="L118" s="16"/>
      <c r="M118" s="16"/>
      <c r="N118" s="16"/>
      <c r="O118" s="18"/>
      <c r="P118" s="24"/>
      <c r="Q118" s="18"/>
      <c r="R118" s="18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25"/>
      <c r="J119" s="25"/>
      <c r="K119" s="16"/>
      <c r="L119" s="16"/>
      <c r="M119" s="16"/>
      <c r="N119" s="16"/>
      <c r="O119" s="18"/>
      <c r="P119" s="24"/>
      <c r="Q119" s="18"/>
      <c r="R119" s="18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25"/>
      <c r="J120" s="25"/>
      <c r="K120" s="16"/>
      <c r="L120" s="16"/>
      <c r="M120" s="16"/>
      <c r="N120" s="16"/>
      <c r="O120" s="18"/>
      <c r="P120" s="24"/>
      <c r="Q120" s="18"/>
      <c r="R120" s="18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25"/>
      <c r="J121" s="25"/>
      <c r="K121" s="16"/>
      <c r="L121" s="16"/>
      <c r="M121" s="16"/>
      <c r="N121" s="16"/>
      <c r="O121" s="18"/>
      <c r="P121" s="24"/>
      <c r="Q121" s="18"/>
      <c r="R121" s="18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25"/>
      <c r="J122" s="25"/>
      <c r="K122" s="16"/>
      <c r="L122" s="16"/>
      <c r="M122" s="16"/>
      <c r="N122" s="16"/>
      <c r="O122" s="18"/>
      <c r="P122" s="24"/>
      <c r="Q122" s="18"/>
      <c r="R122" s="18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25"/>
      <c r="J123" s="25"/>
      <c r="K123" s="16"/>
      <c r="L123" s="16"/>
      <c r="M123" s="16"/>
      <c r="N123" s="16"/>
      <c r="O123" s="18"/>
      <c r="P123" s="24"/>
      <c r="Q123" s="18"/>
      <c r="R123" s="18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25"/>
      <c r="J124" s="25"/>
      <c r="K124" s="16"/>
      <c r="L124" s="16"/>
      <c r="M124" s="16"/>
      <c r="N124" s="16"/>
      <c r="O124" s="18"/>
      <c r="P124" s="24"/>
      <c r="Q124" s="18"/>
      <c r="R124" s="18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25"/>
      <c r="J125" s="25"/>
      <c r="K125" s="16"/>
      <c r="L125" s="16"/>
      <c r="M125" s="16"/>
      <c r="N125" s="16"/>
      <c r="O125" s="18"/>
      <c r="P125" s="24"/>
      <c r="Q125" s="18"/>
      <c r="R125" s="18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25"/>
      <c r="J126" s="25"/>
      <c r="K126" s="16"/>
      <c r="L126" s="16"/>
      <c r="M126" s="16"/>
      <c r="N126" s="16"/>
      <c r="O126" s="18"/>
      <c r="P126" s="24"/>
      <c r="Q126" s="18"/>
      <c r="R126" s="18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25"/>
      <c r="J127" s="25"/>
      <c r="K127" s="16"/>
      <c r="L127" s="16"/>
      <c r="M127" s="16"/>
      <c r="N127" s="16"/>
      <c r="O127" s="18"/>
      <c r="P127" s="24"/>
      <c r="Q127" s="18"/>
      <c r="R127" s="18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25"/>
      <c r="J128" s="25"/>
      <c r="K128" s="16"/>
      <c r="L128" s="16"/>
      <c r="M128" s="16"/>
      <c r="N128" s="16"/>
      <c r="O128" s="18"/>
      <c r="P128" s="24"/>
      <c r="Q128" s="18"/>
      <c r="R128" s="18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25"/>
      <c r="J129" s="25"/>
      <c r="K129" s="16"/>
      <c r="L129" s="16"/>
      <c r="M129" s="16"/>
      <c r="N129" s="16"/>
      <c r="O129" s="18"/>
      <c r="P129" s="24"/>
      <c r="Q129" s="18"/>
      <c r="R129" s="18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25"/>
      <c r="J130" s="25"/>
      <c r="K130" s="16"/>
      <c r="L130" s="16"/>
      <c r="M130" s="16"/>
      <c r="N130" s="16"/>
      <c r="O130" s="18"/>
      <c r="P130" s="24"/>
      <c r="Q130" s="18"/>
      <c r="R130" s="18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25"/>
      <c r="J131" s="25"/>
      <c r="K131" s="16"/>
      <c r="L131" s="16"/>
      <c r="M131" s="16"/>
      <c r="N131" s="16"/>
      <c r="O131" s="18"/>
      <c r="P131" s="24"/>
      <c r="Q131" s="18"/>
      <c r="R131" s="18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25"/>
      <c r="J132" s="25"/>
      <c r="K132" s="16"/>
      <c r="L132" s="16"/>
      <c r="M132" s="16"/>
      <c r="N132" s="16"/>
      <c r="O132" s="18"/>
      <c r="P132" s="24"/>
      <c r="Q132" s="18"/>
      <c r="R132" s="18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25"/>
      <c r="J133" s="25"/>
      <c r="K133" s="16"/>
      <c r="L133" s="16"/>
      <c r="M133" s="16"/>
      <c r="N133" s="16"/>
      <c r="O133" s="18"/>
      <c r="P133" s="24"/>
      <c r="Q133" s="18"/>
      <c r="R133" s="18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25"/>
      <c r="J134" s="25"/>
      <c r="K134" s="16"/>
      <c r="L134" s="16"/>
      <c r="M134" s="16"/>
      <c r="N134" s="16"/>
      <c r="O134" s="18"/>
      <c r="P134" s="24"/>
      <c r="Q134" s="18"/>
      <c r="R134" s="18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25"/>
      <c r="J135" s="25"/>
      <c r="K135" s="16"/>
      <c r="L135" s="16"/>
      <c r="M135" s="16"/>
      <c r="N135" s="16"/>
      <c r="O135" s="18"/>
      <c r="P135" s="24"/>
      <c r="Q135" s="18"/>
      <c r="R135" s="18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25"/>
      <c r="J136" s="25"/>
      <c r="K136" s="16"/>
      <c r="L136" s="16"/>
      <c r="M136" s="16"/>
      <c r="N136" s="16"/>
      <c r="O136" s="18"/>
      <c r="P136" s="24"/>
      <c r="Q136" s="18"/>
      <c r="R136" s="18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25"/>
      <c r="J137" s="25"/>
      <c r="K137" s="16"/>
      <c r="L137" s="16"/>
      <c r="M137" s="16"/>
      <c r="N137" s="16"/>
      <c r="O137" s="18"/>
      <c r="P137" s="24"/>
      <c r="Q137" s="18"/>
      <c r="R137" s="18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25"/>
      <c r="J138" s="25"/>
      <c r="K138" s="16"/>
      <c r="L138" s="16"/>
      <c r="M138" s="16"/>
      <c r="N138" s="16"/>
      <c r="O138" s="18"/>
      <c r="P138" s="24"/>
      <c r="Q138" s="18"/>
      <c r="R138" s="18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25"/>
      <c r="J139" s="25"/>
      <c r="K139" s="16"/>
      <c r="L139" s="16"/>
      <c r="M139" s="16"/>
      <c r="N139" s="16"/>
      <c r="O139" s="18"/>
      <c r="P139" s="24"/>
      <c r="Q139" s="18"/>
      <c r="R139" s="18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25"/>
      <c r="J140" s="25"/>
      <c r="K140" s="16"/>
      <c r="L140" s="16"/>
      <c r="M140" s="16"/>
      <c r="N140" s="16"/>
      <c r="O140" s="18"/>
      <c r="P140" s="24"/>
      <c r="Q140" s="18"/>
      <c r="R140" s="18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25"/>
      <c r="J141" s="25"/>
      <c r="K141" s="16"/>
      <c r="L141" s="16"/>
      <c r="M141" s="16"/>
      <c r="N141" s="16"/>
      <c r="O141" s="18"/>
      <c r="P141" s="24"/>
      <c r="Q141" s="18"/>
      <c r="R141" s="18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25"/>
      <c r="J142" s="25"/>
      <c r="K142" s="16"/>
      <c r="L142" s="16"/>
      <c r="M142" s="16"/>
      <c r="N142" s="16"/>
      <c r="O142" s="18"/>
      <c r="P142" s="24"/>
      <c r="Q142" s="18"/>
      <c r="R142" s="18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25"/>
      <c r="J143" s="25"/>
      <c r="K143" s="16"/>
      <c r="L143" s="16"/>
      <c r="M143" s="16"/>
      <c r="N143" s="16"/>
      <c r="O143" s="18"/>
      <c r="P143" s="24"/>
      <c r="Q143" s="18"/>
      <c r="R143" s="18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25"/>
      <c r="J144" s="25"/>
      <c r="K144" s="16"/>
      <c r="L144" s="16"/>
      <c r="M144" s="16"/>
      <c r="N144" s="16"/>
      <c r="O144" s="18"/>
      <c r="P144" s="24"/>
      <c r="Q144" s="18"/>
      <c r="R144" s="18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25"/>
      <c r="J145" s="25"/>
      <c r="K145" s="16"/>
      <c r="L145" s="16"/>
      <c r="M145" s="16"/>
      <c r="N145" s="16"/>
      <c r="O145" s="18"/>
      <c r="P145" s="24"/>
      <c r="Q145" s="18"/>
      <c r="R145" s="18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25"/>
      <c r="J146" s="25"/>
      <c r="K146" s="16"/>
      <c r="L146" s="16"/>
      <c r="M146" s="16"/>
      <c r="N146" s="16"/>
      <c r="O146" s="18"/>
      <c r="P146" s="24"/>
      <c r="Q146" s="18"/>
      <c r="R146" s="18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25"/>
      <c r="J147" s="25"/>
      <c r="K147" s="16"/>
      <c r="L147" s="16"/>
      <c r="M147" s="16"/>
      <c r="N147" s="16"/>
      <c r="O147" s="18"/>
      <c r="P147" s="24"/>
      <c r="Q147" s="18"/>
      <c r="R147" s="18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25"/>
      <c r="J148" s="25"/>
      <c r="K148" s="16"/>
      <c r="L148" s="16"/>
      <c r="M148" s="16"/>
      <c r="N148" s="16"/>
      <c r="O148" s="18"/>
      <c r="P148" s="24"/>
      <c r="Q148" s="18"/>
      <c r="R148" s="18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25"/>
      <c r="J149" s="25"/>
      <c r="K149" s="16"/>
      <c r="L149" s="16"/>
      <c r="M149" s="16"/>
      <c r="N149" s="16"/>
      <c r="O149" s="18"/>
      <c r="P149" s="24"/>
      <c r="Q149" s="18"/>
      <c r="R149" s="18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25"/>
      <c r="J150" s="25"/>
      <c r="K150" s="16"/>
      <c r="L150" s="16"/>
      <c r="M150" s="16"/>
      <c r="N150" s="16"/>
      <c r="O150" s="18"/>
      <c r="P150" s="24"/>
      <c r="Q150" s="18"/>
      <c r="R150" s="18"/>
    </row>
    <row r="151" ht="14.25" customHeight="1">
      <c r="E151" s="8"/>
      <c r="G151" s="8"/>
      <c r="H151" s="8"/>
      <c r="K151" s="8"/>
      <c r="L151" s="8"/>
      <c r="M151" s="8"/>
      <c r="O151" s="8"/>
      <c r="Q151" s="8"/>
      <c r="R151" s="18"/>
    </row>
    <row r="152" ht="14.25" customHeight="1">
      <c r="E152" s="8"/>
      <c r="G152" s="8"/>
      <c r="H152" s="8"/>
      <c r="K152" s="8"/>
      <c r="L152" s="8"/>
      <c r="M152" s="8"/>
      <c r="O152" s="8"/>
      <c r="Q152" s="8"/>
      <c r="R152" s="18"/>
    </row>
    <row r="153" ht="14.25" customHeight="1">
      <c r="E153" s="8"/>
      <c r="G153" s="8"/>
      <c r="H153" s="8"/>
      <c r="K153" s="8"/>
      <c r="L153" s="8"/>
      <c r="M153" s="8"/>
      <c r="O153" s="8"/>
      <c r="Q153" s="8"/>
      <c r="R153" s="18"/>
    </row>
    <row r="154" ht="14.25" customHeight="1">
      <c r="E154" s="8"/>
      <c r="G154" s="8"/>
      <c r="H154" s="8"/>
      <c r="K154" s="8"/>
      <c r="L154" s="8"/>
      <c r="M154" s="8"/>
      <c r="O154" s="8"/>
      <c r="Q154" s="8"/>
      <c r="R154" s="18"/>
    </row>
    <row r="155" ht="14.25" customHeight="1">
      <c r="E155" s="8"/>
      <c r="G155" s="8"/>
      <c r="H155" s="8"/>
      <c r="K155" s="8"/>
      <c r="L155" s="8"/>
      <c r="M155" s="8"/>
      <c r="O155" s="8"/>
      <c r="Q155" s="8"/>
      <c r="R155" s="18"/>
    </row>
    <row r="156" ht="14.25" customHeight="1">
      <c r="E156" s="8"/>
      <c r="G156" s="8"/>
      <c r="H156" s="8"/>
      <c r="K156" s="8"/>
      <c r="L156" s="8"/>
      <c r="M156" s="8"/>
      <c r="O156" s="8"/>
      <c r="Q156" s="8"/>
      <c r="R156" s="18"/>
    </row>
    <row r="157" ht="14.25" customHeight="1">
      <c r="E157" s="8"/>
      <c r="G157" s="8"/>
      <c r="H157" s="8"/>
      <c r="K157" s="8"/>
      <c r="L157" s="8"/>
      <c r="M157" s="8"/>
      <c r="O157" s="8"/>
      <c r="Q157" s="8"/>
      <c r="R157" s="18"/>
    </row>
    <row r="158" ht="14.25" customHeight="1">
      <c r="E158" s="8"/>
      <c r="G158" s="8"/>
      <c r="H158" s="8"/>
      <c r="K158" s="8"/>
      <c r="L158" s="8"/>
      <c r="M158" s="8"/>
      <c r="O158" s="8"/>
      <c r="Q158" s="8"/>
      <c r="R158" s="18"/>
    </row>
    <row r="159" ht="14.25" customHeight="1">
      <c r="E159" s="8"/>
      <c r="G159" s="8"/>
      <c r="H159" s="8"/>
      <c r="K159" s="8"/>
      <c r="L159" s="8"/>
      <c r="M159" s="8"/>
      <c r="O159" s="8"/>
      <c r="Q159" s="8"/>
      <c r="R159" s="18"/>
    </row>
    <row r="160" ht="14.25" customHeight="1">
      <c r="E160" s="8"/>
      <c r="G160" s="8"/>
      <c r="H160" s="8"/>
      <c r="K160" s="8"/>
      <c r="L160" s="8"/>
      <c r="M160" s="8"/>
      <c r="O160" s="8"/>
      <c r="Q160" s="8"/>
      <c r="R160" s="18"/>
    </row>
    <row r="161" ht="14.25" customHeight="1">
      <c r="E161" s="8"/>
      <c r="G161" s="8"/>
      <c r="H161" s="8"/>
      <c r="K161" s="8"/>
      <c r="L161" s="8"/>
      <c r="M161" s="8"/>
      <c r="O161" s="8"/>
      <c r="Q161" s="8"/>
      <c r="R161" s="18"/>
    </row>
    <row r="162" ht="14.25" customHeight="1">
      <c r="E162" s="8"/>
      <c r="G162" s="8"/>
      <c r="H162" s="8"/>
      <c r="K162" s="8"/>
      <c r="L162" s="8"/>
      <c r="M162" s="8"/>
      <c r="O162" s="8"/>
      <c r="Q162" s="8"/>
      <c r="R162" s="18"/>
    </row>
    <row r="163" ht="14.25" customHeight="1">
      <c r="E163" s="8"/>
      <c r="G163" s="8"/>
      <c r="H163" s="8"/>
      <c r="K163" s="8"/>
      <c r="L163" s="8"/>
      <c r="M163" s="8"/>
      <c r="O163" s="8"/>
      <c r="Q163" s="8"/>
      <c r="R163" s="18"/>
    </row>
    <row r="164" ht="14.25" customHeight="1">
      <c r="E164" s="8"/>
      <c r="G164" s="8"/>
      <c r="H164" s="8"/>
      <c r="K164" s="8"/>
      <c r="L164" s="8"/>
      <c r="M164" s="8"/>
      <c r="O164" s="8"/>
      <c r="Q164" s="8"/>
      <c r="R164" s="18"/>
    </row>
    <row r="165" ht="14.25" customHeight="1">
      <c r="E165" s="8"/>
      <c r="G165" s="8"/>
      <c r="H165" s="8"/>
      <c r="K165" s="8"/>
      <c r="L165" s="8"/>
      <c r="M165" s="8"/>
      <c r="O165" s="8"/>
      <c r="Q165" s="8"/>
      <c r="R165" s="18"/>
    </row>
    <row r="166" ht="14.25" customHeight="1">
      <c r="E166" s="8"/>
      <c r="G166" s="8"/>
      <c r="H166" s="8"/>
      <c r="K166" s="8"/>
      <c r="L166" s="8"/>
      <c r="M166" s="8"/>
      <c r="O166" s="8"/>
      <c r="Q166" s="8"/>
      <c r="R166" s="18"/>
    </row>
    <row r="167" ht="14.25" customHeight="1">
      <c r="E167" s="8"/>
      <c r="G167" s="8"/>
      <c r="H167" s="8"/>
      <c r="K167" s="8"/>
      <c r="L167" s="8"/>
      <c r="M167" s="8"/>
      <c r="O167" s="8"/>
      <c r="Q167" s="8"/>
      <c r="R167" s="18"/>
    </row>
    <row r="168" ht="14.25" customHeight="1">
      <c r="E168" s="8"/>
      <c r="G168" s="8"/>
      <c r="H168" s="8"/>
      <c r="K168" s="8"/>
      <c r="L168" s="8"/>
      <c r="M168" s="8"/>
      <c r="O168" s="8"/>
      <c r="Q168" s="8"/>
      <c r="R168" s="18"/>
    </row>
    <row r="169" ht="14.25" customHeight="1">
      <c r="E169" s="8"/>
      <c r="G169" s="8"/>
      <c r="H169" s="8"/>
      <c r="K169" s="8"/>
      <c r="L169" s="8"/>
      <c r="M169" s="8"/>
      <c r="O169" s="8"/>
      <c r="Q169" s="8"/>
      <c r="R169" s="18"/>
    </row>
    <row r="170" ht="14.25" customHeight="1">
      <c r="E170" s="8"/>
      <c r="G170" s="8"/>
      <c r="H170" s="8"/>
      <c r="K170" s="8"/>
      <c r="L170" s="8"/>
      <c r="M170" s="8"/>
      <c r="O170" s="8"/>
      <c r="Q170" s="8"/>
      <c r="R170" s="18"/>
    </row>
    <row r="171" ht="14.25" customHeight="1">
      <c r="E171" s="8"/>
      <c r="G171" s="8"/>
      <c r="H171" s="8"/>
      <c r="K171" s="8"/>
      <c r="L171" s="8"/>
      <c r="M171" s="8"/>
      <c r="O171" s="8"/>
      <c r="Q171" s="8"/>
      <c r="R171" s="18"/>
    </row>
    <row r="172" ht="14.25" customHeight="1">
      <c r="E172" s="8"/>
      <c r="G172" s="8"/>
      <c r="H172" s="8"/>
      <c r="K172" s="8"/>
      <c r="L172" s="8"/>
      <c r="M172" s="8"/>
      <c r="O172" s="8"/>
      <c r="Q172" s="8"/>
      <c r="R172" s="18"/>
    </row>
    <row r="173" ht="14.25" customHeight="1">
      <c r="E173" s="8"/>
      <c r="G173" s="8"/>
      <c r="H173" s="8"/>
      <c r="K173" s="8"/>
      <c r="L173" s="8"/>
      <c r="M173" s="8"/>
      <c r="O173" s="8"/>
      <c r="Q173" s="8"/>
      <c r="R173" s="18"/>
    </row>
    <row r="174" ht="14.25" customHeight="1">
      <c r="E174" s="8"/>
      <c r="G174" s="8"/>
      <c r="H174" s="8"/>
      <c r="K174" s="8"/>
      <c r="L174" s="8"/>
      <c r="M174" s="8"/>
      <c r="O174" s="8"/>
      <c r="Q174" s="8"/>
      <c r="R174" s="18"/>
    </row>
    <row r="175" ht="14.25" customHeight="1">
      <c r="E175" s="8"/>
      <c r="G175" s="8"/>
      <c r="H175" s="8"/>
      <c r="K175" s="8"/>
      <c r="L175" s="8"/>
      <c r="M175" s="8"/>
      <c r="O175" s="8"/>
      <c r="Q175" s="8"/>
      <c r="R175" s="18"/>
    </row>
    <row r="176" ht="14.25" customHeight="1">
      <c r="E176" s="8"/>
      <c r="G176" s="8"/>
      <c r="H176" s="8"/>
      <c r="K176" s="8"/>
      <c r="L176" s="8"/>
      <c r="M176" s="8"/>
      <c r="O176" s="8"/>
      <c r="Q176" s="8"/>
      <c r="R176" s="18"/>
    </row>
    <row r="177" ht="14.25" customHeight="1">
      <c r="E177" s="8"/>
      <c r="G177" s="8"/>
      <c r="H177" s="8"/>
      <c r="K177" s="8"/>
      <c r="L177" s="8"/>
      <c r="M177" s="8"/>
      <c r="O177" s="8"/>
      <c r="Q177" s="8"/>
      <c r="R177" s="18"/>
    </row>
    <row r="178" ht="14.25" customHeight="1">
      <c r="E178" s="8"/>
      <c r="G178" s="8"/>
      <c r="H178" s="8"/>
      <c r="K178" s="8"/>
      <c r="L178" s="8"/>
      <c r="M178" s="8"/>
      <c r="O178" s="8"/>
      <c r="Q178" s="8"/>
      <c r="R178" s="18"/>
    </row>
    <row r="179" ht="14.25" customHeight="1">
      <c r="E179" s="8"/>
      <c r="G179" s="8"/>
      <c r="H179" s="8"/>
      <c r="K179" s="8"/>
      <c r="L179" s="8"/>
      <c r="M179" s="8"/>
      <c r="O179" s="8"/>
      <c r="Q179" s="8"/>
      <c r="R179" s="18"/>
    </row>
    <row r="180" ht="14.25" customHeight="1">
      <c r="E180" s="8"/>
      <c r="G180" s="8"/>
      <c r="H180" s="8"/>
      <c r="K180" s="8"/>
      <c r="L180" s="8"/>
      <c r="M180" s="8"/>
      <c r="O180" s="8"/>
      <c r="Q180" s="8"/>
      <c r="R180" s="18"/>
    </row>
    <row r="181" ht="14.25" customHeight="1">
      <c r="E181" s="8"/>
      <c r="G181" s="8"/>
      <c r="H181" s="8"/>
      <c r="K181" s="8"/>
      <c r="L181" s="8"/>
      <c r="M181" s="8"/>
      <c r="O181" s="8"/>
      <c r="Q181" s="8"/>
      <c r="R181" s="18"/>
    </row>
    <row r="182" ht="14.25" customHeight="1">
      <c r="E182" s="8"/>
      <c r="G182" s="8"/>
      <c r="H182" s="8"/>
      <c r="K182" s="8"/>
      <c r="L182" s="8"/>
      <c r="M182" s="8"/>
      <c r="O182" s="8"/>
      <c r="Q182" s="8"/>
      <c r="R182" s="18"/>
    </row>
    <row r="183" ht="14.25" customHeight="1">
      <c r="E183" s="8"/>
      <c r="G183" s="8"/>
      <c r="H183" s="8"/>
      <c r="K183" s="8"/>
      <c r="L183" s="8"/>
      <c r="M183" s="8"/>
      <c r="O183" s="8"/>
      <c r="Q183" s="8"/>
      <c r="R183" s="18"/>
    </row>
    <row r="184" ht="14.25" customHeight="1">
      <c r="E184" s="8"/>
      <c r="G184" s="8"/>
      <c r="H184" s="8"/>
      <c r="K184" s="8"/>
      <c r="L184" s="8"/>
      <c r="M184" s="8"/>
      <c r="O184" s="8"/>
      <c r="Q184" s="8"/>
      <c r="R184" s="18"/>
    </row>
    <row r="185" ht="14.25" customHeight="1">
      <c r="E185" s="8"/>
      <c r="G185" s="8"/>
      <c r="H185" s="8"/>
      <c r="K185" s="8"/>
      <c r="L185" s="8"/>
      <c r="M185" s="8"/>
      <c r="O185" s="8"/>
      <c r="Q185" s="8"/>
      <c r="R185" s="18"/>
    </row>
    <row r="186" ht="14.25" customHeight="1">
      <c r="E186" s="8"/>
      <c r="G186" s="8"/>
      <c r="H186" s="8"/>
      <c r="K186" s="8"/>
      <c r="L186" s="8"/>
      <c r="M186" s="8"/>
      <c r="O186" s="8"/>
      <c r="Q186" s="8"/>
      <c r="R186" s="18"/>
    </row>
    <row r="187" ht="14.25" customHeight="1">
      <c r="E187" s="8"/>
      <c r="G187" s="8"/>
      <c r="H187" s="8"/>
      <c r="K187" s="8"/>
      <c r="L187" s="8"/>
      <c r="M187" s="8"/>
      <c r="O187" s="8"/>
      <c r="Q187" s="8"/>
      <c r="R187" s="18"/>
    </row>
    <row r="188" ht="14.25" customHeight="1">
      <c r="E188" s="8"/>
      <c r="G188" s="8"/>
      <c r="H188" s="8"/>
      <c r="K188" s="8"/>
      <c r="L188" s="8"/>
      <c r="M188" s="8"/>
      <c r="O188" s="8"/>
      <c r="Q188" s="8"/>
      <c r="R188" s="18"/>
    </row>
    <row r="189" ht="14.25" customHeight="1">
      <c r="E189" s="8"/>
      <c r="G189" s="8"/>
      <c r="H189" s="8"/>
      <c r="K189" s="8"/>
      <c r="L189" s="8"/>
      <c r="M189" s="8"/>
      <c r="O189" s="8"/>
      <c r="Q189" s="8"/>
      <c r="R189" s="18"/>
    </row>
    <row r="190" ht="14.25" customHeight="1">
      <c r="E190" s="8"/>
      <c r="G190" s="8"/>
      <c r="H190" s="8"/>
      <c r="K190" s="8"/>
      <c r="L190" s="8"/>
      <c r="M190" s="8"/>
      <c r="O190" s="8"/>
      <c r="Q190" s="8"/>
      <c r="R190" s="18"/>
    </row>
    <row r="191" ht="14.25" customHeight="1">
      <c r="E191" s="8"/>
      <c r="G191" s="8"/>
      <c r="H191" s="8"/>
      <c r="K191" s="8"/>
      <c r="L191" s="8"/>
      <c r="M191" s="8"/>
      <c r="O191" s="8"/>
      <c r="Q191" s="8"/>
      <c r="R191" s="18"/>
    </row>
    <row r="192" ht="14.25" customHeight="1">
      <c r="E192" s="8"/>
      <c r="G192" s="8"/>
      <c r="H192" s="8"/>
      <c r="K192" s="8"/>
      <c r="L192" s="8"/>
      <c r="M192" s="8"/>
      <c r="O192" s="8"/>
      <c r="Q192" s="8"/>
      <c r="R192" s="18"/>
    </row>
    <row r="193" ht="14.25" customHeight="1">
      <c r="E193" s="8"/>
      <c r="G193" s="8"/>
      <c r="H193" s="8"/>
      <c r="K193" s="8"/>
      <c r="L193" s="8"/>
      <c r="M193" s="8"/>
      <c r="O193" s="8"/>
      <c r="Q193" s="8"/>
      <c r="R193" s="18"/>
    </row>
    <row r="194" ht="14.25" customHeight="1">
      <c r="E194" s="8"/>
      <c r="G194" s="8"/>
      <c r="H194" s="8"/>
      <c r="K194" s="8"/>
      <c r="L194" s="8"/>
      <c r="M194" s="8"/>
      <c r="O194" s="8"/>
      <c r="Q194" s="8"/>
      <c r="R194" s="18"/>
    </row>
    <row r="195" ht="14.25" customHeight="1">
      <c r="E195" s="8"/>
      <c r="G195" s="8"/>
      <c r="H195" s="8"/>
      <c r="K195" s="8"/>
      <c r="L195" s="8"/>
      <c r="M195" s="8"/>
      <c r="O195" s="8"/>
      <c r="Q195" s="8"/>
      <c r="R195" s="18"/>
    </row>
    <row r="196" ht="14.25" customHeight="1">
      <c r="E196" s="8"/>
      <c r="G196" s="8"/>
      <c r="H196" s="8"/>
      <c r="K196" s="8"/>
      <c r="L196" s="8"/>
      <c r="M196" s="8"/>
      <c r="O196" s="8"/>
      <c r="Q196" s="8"/>
      <c r="R196" s="18"/>
    </row>
    <row r="197" ht="14.25" customHeight="1">
      <c r="E197" s="8"/>
      <c r="G197" s="8"/>
      <c r="H197" s="8"/>
      <c r="K197" s="8"/>
      <c r="L197" s="8"/>
      <c r="M197" s="8"/>
      <c r="O197" s="8"/>
      <c r="Q197" s="8"/>
      <c r="R197" s="18"/>
    </row>
    <row r="198" ht="14.25" customHeight="1">
      <c r="E198" s="8"/>
      <c r="G198" s="8"/>
      <c r="H198" s="8"/>
      <c r="K198" s="8"/>
      <c r="L198" s="8"/>
      <c r="M198" s="8"/>
      <c r="O198" s="8"/>
      <c r="Q198" s="8"/>
      <c r="R198" s="18"/>
    </row>
    <row r="199" ht="14.25" customHeight="1">
      <c r="E199" s="8"/>
      <c r="G199" s="8"/>
      <c r="H199" s="8"/>
      <c r="K199" s="8"/>
      <c r="L199" s="8"/>
      <c r="M199" s="8"/>
      <c r="O199" s="8"/>
      <c r="Q199" s="8"/>
      <c r="R199" s="18"/>
    </row>
    <row r="200" ht="14.25" customHeight="1">
      <c r="E200" s="8"/>
      <c r="G200" s="8"/>
      <c r="H200" s="8"/>
      <c r="K200" s="8"/>
      <c r="L200" s="8"/>
      <c r="M200" s="8"/>
      <c r="O200" s="8"/>
      <c r="Q200" s="8"/>
      <c r="R200" s="18"/>
    </row>
    <row r="201" ht="14.25" customHeight="1">
      <c r="E201" s="8"/>
      <c r="G201" s="8"/>
      <c r="H201" s="8"/>
      <c r="K201" s="8"/>
      <c r="L201" s="8"/>
      <c r="M201" s="8"/>
      <c r="O201" s="8"/>
      <c r="Q201" s="8"/>
      <c r="R201" s="18"/>
    </row>
    <row r="202" ht="14.25" customHeight="1">
      <c r="E202" s="8"/>
      <c r="G202" s="8"/>
      <c r="H202" s="8"/>
      <c r="K202" s="8"/>
      <c r="L202" s="8"/>
      <c r="M202" s="8"/>
      <c r="O202" s="8"/>
      <c r="Q202" s="8"/>
      <c r="R202" s="18"/>
    </row>
    <row r="203" ht="14.25" customHeight="1">
      <c r="E203" s="8"/>
      <c r="G203" s="8"/>
      <c r="H203" s="8"/>
      <c r="K203" s="8"/>
      <c r="L203" s="8"/>
      <c r="M203" s="8"/>
      <c r="O203" s="8"/>
      <c r="Q203" s="8"/>
      <c r="R203" s="18"/>
    </row>
    <row r="204" ht="14.25" customHeight="1">
      <c r="E204" s="8"/>
      <c r="G204" s="8"/>
      <c r="H204" s="8"/>
      <c r="K204" s="8"/>
      <c r="L204" s="8"/>
      <c r="M204" s="8"/>
      <c r="O204" s="8"/>
      <c r="Q204" s="8"/>
      <c r="R204" s="18"/>
    </row>
    <row r="205" ht="14.25" customHeight="1">
      <c r="E205" s="8"/>
      <c r="G205" s="8"/>
      <c r="H205" s="8"/>
      <c r="K205" s="8"/>
      <c r="L205" s="8"/>
      <c r="M205" s="8"/>
      <c r="O205" s="8"/>
      <c r="Q205" s="8"/>
      <c r="R205" s="18"/>
    </row>
    <row r="206" ht="14.25" customHeight="1">
      <c r="E206" s="8"/>
      <c r="G206" s="8"/>
      <c r="H206" s="8"/>
      <c r="K206" s="8"/>
      <c r="L206" s="8"/>
      <c r="M206" s="8"/>
      <c r="O206" s="8"/>
      <c r="Q206" s="8"/>
      <c r="R206" s="18"/>
    </row>
    <row r="207" ht="14.25" customHeight="1">
      <c r="E207" s="8"/>
      <c r="G207" s="8"/>
      <c r="H207" s="8"/>
      <c r="K207" s="8"/>
      <c r="L207" s="8"/>
      <c r="M207" s="8"/>
      <c r="O207" s="8"/>
      <c r="Q207" s="8"/>
      <c r="R207" s="18"/>
    </row>
    <row r="208" ht="14.25" customHeight="1">
      <c r="E208" s="8"/>
      <c r="G208" s="8"/>
      <c r="H208" s="8"/>
      <c r="K208" s="8"/>
      <c r="L208" s="8"/>
      <c r="M208" s="8"/>
      <c r="O208" s="8"/>
      <c r="Q208" s="8"/>
      <c r="R208" s="18"/>
    </row>
    <row r="209" ht="14.25" customHeight="1">
      <c r="E209" s="8"/>
      <c r="G209" s="8"/>
      <c r="H209" s="8"/>
      <c r="K209" s="8"/>
      <c r="L209" s="8"/>
      <c r="M209" s="8"/>
      <c r="O209" s="8"/>
      <c r="Q209" s="8"/>
      <c r="R209" s="18"/>
    </row>
    <row r="210" ht="14.25" customHeight="1">
      <c r="E210" s="8"/>
      <c r="G210" s="8"/>
      <c r="H210" s="8"/>
      <c r="K210" s="8"/>
      <c r="L210" s="8"/>
      <c r="M210" s="8"/>
      <c r="O210" s="8"/>
      <c r="Q210" s="8"/>
      <c r="R210" s="18"/>
    </row>
    <row r="211" ht="14.25" customHeight="1">
      <c r="E211" s="8"/>
      <c r="G211" s="8"/>
      <c r="H211" s="8"/>
      <c r="K211" s="8"/>
      <c r="L211" s="8"/>
      <c r="M211" s="8"/>
      <c r="O211" s="8"/>
      <c r="Q211" s="8"/>
      <c r="R211" s="18"/>
    </row>
    <row r="212" ht="14.25" customHeight="1">
      <c r="E212" s="8"/>
      <c r="G212" s="8"/>
      <c r="H212" s="8"/>
      <c r="K212" s="8"/>
      <c r="L212" s="8"/>
      <c r="M212" s="8"/>
      <c r="O212" s="8"/>
      <c r="Q212" s="8"/>
      <c r="R212" s="18"/>
    </row>
    <row r="213" ht="14.25" customHeight="1">
      <c r="E213" s="8"/>
      <c r="G213" s="8"/>
      <c r="H213" s="8"/>
      <c r="K213" s="8"/>
      <c r="L213" s="8"/>
      <c r="M213" s="8"/>
      <c r="O213" s="8"/>
      <c r="Q213" s="8"/>
      <c r="R213" s="18"/>
    </row>
    <row r="214" ht="14.25" customHeight="1">
      <c r="E214" s="8"/>
      <c r="G214" s="8"/>
      <c r="H214" s="8"/>
      <c r="K214" s="8"/>
      <c r="L214" s="8"/>
      <c r="M214" s="8"/>
      <c r="O214" s="8"/>
      <c r="Q214" s="8"/>
      <c r="R214" s="18"/>
    </row>
    <row r="215" ht="14.25" customHeight="1">
      <c r="E215" s="8"/>
      <c r="G215" s="8"/>
      <c r="H215" s="8"/>
      <c r="K215" s="8"/>
      <c r="L215" s="8"/>
      <c r="M215" s="8"/>
      <c r="O215" s="8"/>
      <c r="Q215" s="8"/>
      <c r="R215" s="18"/>
    </row>
    <row r="216" ht="14.25" customHeight="1">
      <c r="E216" s="8"/>
      <c r="G216" s="8"/>
      <c r="H216" s="8"/>
      <c r="K216" s="8"/>
      <c r="L216" s="8"/>
      <c r="M216" s="8"/>
      <c r="O216" s="8"/>
      <c r="Q216" s="8"/>
      <c r="R216" s="18"/>
    </row>
    <row r="217" ht="14.25" customHeight="1">
      <c r="E217" s="8"/>
      <c r="G217" s="8"/>
      <c r="H217" s="8"/>
      <c r="K217" s="8"/>
      <c r="L217" s="8"/>
      <c r="M217" s="8"/>
      <c r="O217" s="8"/>
      <c r="Q217" s="8"/>
      <c r="R217" s="18"/>
    </row>
    <row r="218" ht="14.25" customHeight="1">
      <c r="E218" s="8"/>
      <c r="G218" s="8"/>
      <c r="H218" s="8"/>
      <c r="K218" s="8"/>
      <c r="L218" s="8"/>
      <c r="M218" s="8"/>
      <c r="O218" s="8"/>
      <c r="Q218" s="8"/>
      <c r="R218" s="18"/>
    </row>
    <row r="219" ht="14.25" customHeight="1">
      <c r="E219" s="8"/>
      <c r="G219" s="8"/>
      <c r="H219" s="8"/>
      <c r="K219" s="8"/>
      <c r="L219" s="8"/>
      <c r="M219" s="8"/>
      <c r="O219" s="8"/>
      <c r="Q219" s="8"/>
      <c r="R219" s="18"/>
    </row>
    <row r="220" ht="14.25" customHeight="1">
      <c r="E220" s="8"/>
      <c r="G220" s="8"/>
      <c r="H220" s="8"/>
      <c r="K220" s="8"/>
      <c r="L220" s="8"/>
      <c r="M220" s="8"/>
      <c r="O220" s="8"/>
      <c r="Q220" s="8"/>
      <c r="R220" s="18"/>
    </row>
    <row r="221" ht="14.25" customHeight="1">
      <c r="E221" s="8"/>
      <c r="G221" s="8"/>
      <c r="H221" s="8"/>
      <c r="K221" s="8"/>
      <c r="L221" s="8"/>
      <c r="M221" s="8"/>
      <c r="O221" s="8"/>
      <c r="Q221" s="8"/>
      <c r="R221" s="8"/>
    </row>
    <row r="222" ht="14.25" customHeight="1">
      <c r="E222" s="8"/>
      <c r="G222" s="8"/>
      <c r="H222" s="8"/>
      <c r="K222" s="8"/>
      <c r="L222" s="8"/>
      <c r="M222" s="8"/>
      <c r="O222" s="8"/>
      <c r="Q222" s="8"/>
      <c r="R222" s="8"/>
    </row>
    <row r="223" ht="14.25" customHeight="1">
      <c r="E223" s="8"/>
      <c r="G223" s="8"/>
      <c r="H223" s="8"/>
      <c r="K223" s="8"/>
      <c r="L223" s="8"/>
      <c r="M223" s="8"/>
      <c r="O223" s="8"/>
      <c r="Q223" s="8"/>
      <c r="R223" s="8"/>
    </row>
    <row r="224" ht="14.25" customHeight="1">
      <c r="E224" s="8"/>
      <c r="G224" s="8"/>
      <c r="H224" s="8"/>
      <c r="K224" s="8"/>
      <c r="L224" s="8"/>
      <c r="M224" s="8"/>
      <c r="O224" s="8"/>
      <c r="Q224" s="8"/>
      <c r="R224" s="8"/>
    </row>
    <row r="225" ht="14.25" customHeight="1">
      <c r="E225" s="8"/>
      <c r="G225" s="8"/>
      <c r="H225" s="8"/>
      <c r="K225" s="8"/>
      <c r="L225" s="8"/>
      <c r="M225" s="8"/>
      <c r="O225" s="8"/>
      <c r="Q225" s="8"/>
      <c r="R225" s="8"/>
    </row>
    <row r="226" ht="14.25" customHeight="1">
      <c r="E226" s="8"/>
      <c r="G226" s="8"/>
      <c r="H226" s="8"/>
      <c r="K226" s="8"/>
      <c r="L226" s="8"/>
      <c r="M226" s="8"/>
      <c r="O226" s="8"/>
      <c r="Q226" s="8"/>
      <c r="R226" s="8"/>
    </row>
    <row r="227" ht="14.25" customHeight="1">
      <c r="E227" s="8"/>
      <c r="G227" s="8"/>
      <c r="H227" s="8"/>
      <c r="K227" s="8"/>
      <c r="L227" s="8"/>
      <c r="M227" s="8"/>
      <c r="O227" s="8"/>
      <c r="Q227" s="8"/>
      <c r="R227" s="8"/>
    </row>
    <row r="228" ht="14.25" customHeight="1">
      <c r="E228" s="8"/>
      <c r="G228" s="8"/>
      <c r="H228" s="8"/>
      <c r="K228" s="8"/>
      <c r="L228" s="8"/>
      <c r="M228" s="8"/>
      <c r="O228" s="8"/>
      <c r="Q228" s="8"/>
      <c r="R228" s="8"/>
    </row>
    <row r="229" ht="14.25" customHeight="1">
      <c r="E229" s="8"/>
      <c r="G229" s="8"/>
      <c r="H229" s="8"/>
      <c r="K229" s="8"/>
      <c r="L229" s="8"/>
      <c r="M229" s="8"/>
      <c r="O229" s="8"/>
      <c r="Q229" s="8"/>
      <c r="R229" s="8"/>
    </row>
    <row r="230" ht="14.25" customHeight="1">
      <c r="E230" s="8"/>
      <c r="G230" s="8"/>
      <c r="H230" s="8"/>
      <c r="K230" s="8"/>
      <c r="L230" s="8"/>
      <c r="M230" s="8"/>
      <c r="O230" s="8"/>
      <c r="Q230" s="8"/>
      <c r="R230" s="8"/>
    </row>
    <row r="231" ht="14.25" customHeight="1">
      <c r="E231" s="8"/>
      <c r="G231" s="8"/>
      <c r="H231" s="8"/>
      <c r="K231" s="8"/>
      <c r="L231" s="8"/>
      <c r="M231" s="8"/>
      <c r="O231" s="8"/>
      <c r="Q231" s="8"/>
      <c r="R231" s="8"/>
    </row>
    <row r="232" ht="14.25" customHeight="1">
      <c r="E232" s="8"/>
      <c r="G232" s="8"/>
      <c r="H232" s="8"/>
      <c r="K232" s="8"/>
      <c r="L232" s="8"/>
      <c r="M232" s="8"/>
      <c r="O232" s="8"/>
      <c r="Q232" s="8"/>
      <c r="R232" s="8"/>
    </row>
    <row r="233" ht="14.25" customHeight="1">
      <c r="E233" s="8"/>
      <c r="G233" s="8"/>
      <c r="H233" s="8"/>
      <c r="K233" s="8"/>
      <c r="L233" s="8"/>
      <c r="M233" s="8"/>
      <c r="O233" s="8"/>
      <c r="Q233" s="8"/>
      <c r="R233" s="8"/>
    </row>
    <row r="234" ht="14.25" customHeight="1">
      <c r="E234" s="8"/>
      <c r="G234" s="8"/>
      <c r="H234" s="8"/>
      <c r="K234" s="8"/>
      <c r="L234" s="8"/>
      <c r="M234" s="8"/>
      <c r="O234" s="8"/>
      <c r="Q234" s="8"/>
      <c r="R234" s="8"/>
    </row>
    <row r="235" ht="14.25" customHeight="1">
      <c r="E235" s="8"/>
      <c r="G235" s="8"/>
      <c r="H235" s="8"/>
      <c r="K235" s="8"/>
      <c r="L235" s="8"/>
      <c r="M235" s="8"/>
      <c r="O235" s="8"/>
      <c r="Q235" s="8"/>
      <c r="R235" s="8"/>
    </row>
    <row r="236" ht="14.25" customHeight="1">
      <c r="E236" s="8"/>
      <c r="G236" s="8"/>
      <c r="H236" s="8"/>
      <c r="K236" s="8"/>
      <c r="L236" s="8"/>
      <c r="M236" s="8"/>
      <c r="O236" s="8"/>
      <c r="Q236" s="8"/>
      <c r="R236" s="8"/>
    </row>
    <row r="237" ht="14.25" customHeight="1">
      <c r="E237" s="8"/>
      <c r="G237" s="8"/>
      <c r="H237" s="8"/>
      <c r="K237" s="8"/>
      <c r="L237" s="8"/>
      <c r="M237" s="8"/>
      <c r="O237" s="8"/>
      <c r="Q237" s="8"/>
      <c r="R237" s="8"/>
    </row>
    <row r="238" ht="14.25" customHeight="1">
      <c r="E238" s="8"/>
      <c r="G238" s="8"/>
      <c r="H238" s="8"/>
      <c r="K238" s="8"/>
      <c r="L238" s="8"/>
      <c r="M238" s="8"/>
      <c r="O238" s="8"/>
      <c r="Q238" s="8"/>
      <c r="R238" s="8"/>
    </row>
    <row r="239" ht="14.25" customHeight="1">
      <c r="E239" s="8"/>
      <c r="G239" s="8"/>
      <c r="H239" s="8"/>
      <c r="K239" s="8"/>
      <c r="L239" s="8"/>
      <c r="M239" s="8"/>
      <c r="O239" s="8"/>
      <c r="Q239" s="8"/>
      <c r="R239" s="8"/>
    </row>
    <row r="240" ht="14.25" customHeight="1">
      <c r="E240" s="8"/>
      <c r="G240" s="8"/>
      <c r="H240" s="8"/>
      <c r="K240" s="8"/>
      <c r="L240" s="8"/>
      <c r="M240" s="8"/>
      <c r="O240" s="8"/>
      <c r="Q240" s="8"/>
      <c r="R240" s="8"/>
    </row>
    <row r="241" ht="14.25" customHeight="1">
      <c r="E241" s="8"/>
      <c r="G241" s="8"/>
      <c r="H241" s="8"/>
      <c r="K241" s="8"/>
      <c r="L241" s="8"/>
      <c r="M241" s="8"/>
      <c r="O241" s="8"/>
      <c r="Q241" s="8"/>
      <c r="R241" s="8"/>
    </row>
    <row r="242" ht="14.25" customHeight="1">
      <c r="E242" s="8"/>
      <c r="G242" s="8"/>
      <c r="H242" s="8"/>
      <c r="K242" s="8"/>
      <c r="L242" s="8"/>
      <c r="M242" s="8"/>
      <c r="O242" s="8"/>
      <c r="Q242" s="8"/>
      <c r="R242" s="8"/>
    </row>
    <row r="243" ht="14.25" customHeight="1">
      <c r="E243" s="8"/>
      <c r="G243" s="8"/>
      <c r="H243" s="8"/>
      <c r="K243" s="8"/>
      <c r="L243" s="8"/>
      <c r="M243" s="8"/>
      <c r="O243" s="8"/>
      <c r="Q243" s="8"/>
      <c r="R243" s="8"/>
    </row>
    <row r="244" ht="14.25" customHeight="1">
      <c r="E244" s="8"/>
      <c r="G244" s="8"/>
      <c r="H244" s="8"/>
      <c r="K244" s="8"/>
      <c r="L244" s="8"/>
      <c r="M244" s="8"/>
      <c r="O244" s="8"/>
      <c r="Q244" s="8"/>
      <c r="R244" s="8"/>
    </row>
    <row r="245" ht="14.25" customHeight="1">
      <c r="E245" s="8"/>
      <c r="G245" s="8"/>
      <c r="H245" s="8"/>
      <c r="K245" s="8"/>
      <c r="L245" s="8"/>
      <c r="M245" s="8"/>
      <c r="O245" s="8"/>
      <c r="Q245" s="8"/>
      <c r="R245" s="8"/>
    </row>
    <row r="246" ht="14.25" customHeight="1">
      <c r="E246" s="8"/>
      <c r="G246" s="8"/>
      <c r="H246" s="8"/>
      <c r="K246" s="8"/>
      <c r="L246" s="8"/>
      <c r="M246" s="8"/>
      <c r="O246" s="8"/>
      <c r="Q246" s="8"/>
      <c r="R246" s="8"/>
    </row>
    <row r="247" ht="14.25" customHeight="1">
      <c r="E247" s="8"/>
      <c r="G247" s="8"/>
      <c r="H247" s="8"/>
      <c r="K247" s="8"/>
      <c r="L247" s="8"/>
      <c r="M247" s="8"/>
      <c r="O247" s="8"/>
      <c r="Q247" s="8"/>
      <c r="R247" s="8"/>
    </row>
    <row r="248" ht="14.25" customHeight="1">
      <c r="E248" s="8"/>
      <c r="G248" s="8"/>
      <c r="H248" s="8"/>
      <c r="K248" s="8"/>
      <c r="L248" s="8"/>
      <c r="M248" s="8"/>
      <c r="O248" s="8"/>
      <c r="Q248" s="8"/>
      <c r="R248" s="8"/>
    </row>
    <row r="249" ht="14.25" customHeight="1">
      <c r="E249" s="8"/>
      <c r="G249" s="8"/>
      <c r="H249" s="8"/>
      <c r="K249" s="8"/>
      <c r="L249" s="8"/>
      <c r="M249" s="8"/>
      <c r="O249" s="8"/>
      <c r="Q249" s="8"/>
      <c r="R249" s="8"/>
    </row>
    <row r="250" ht="14.25" customHeight="1">
      <c r="E250" s="8"/>
      <c r="G250" s="8"/>
      <c r="H250" s="8"/>
      <c r="K250" s="8"/>
      <c r="L250" s="8"/>
      <c r="M250" s="8"/>
      <c r="O250" s="8"/>
      <c r="Q250" s="8"/>
      <c r="R250" s="8"/>
    </row>
    <row r="251" ht="14.25" customHeight="1">
      <c r="E251" s="8"/>
      <c r="G251" s="8"/>
      <c r="H251" s="8"/>
      <c r="K251" s="8"/>
      <c r="L251" s="8"/>
      <c r="M251" s="8"/>
      <c r="O251" s="8"/>
      <c r="Q251" s="8"/>
      <c r="R251" s="8"/>
    </row>
    <row r="252" ht="14.25" customHeight="1">
      <c r="E252" s="8"/>
      <c r="G252" s="8"/>
      <c r="H252" s="8"/>
      <c r="K252" s="8"/>
      <c r="L252" s="8"/>
      <c r="M252" s="8"/>
      <c r="O252" s="8"/>
      <c r="Q252" s="8"/>
      <c r="R252" s="8"/>
    </row>
    <row r="253" ht="14.25" customHeight="1">
      <c r="E253" s="8"/>
      <c r="G253" s="8"/>
      <c r="H253" s="8"/>
      <c r="K253" s="8"/>
      <c r="L253" s="8"/>
      <c r="M253" s="8"/>
      <c r="O253" s="8"/>
      <c r="Q253" s="8"/>
      <c r="R253" s="8"/>
    </row>
    <row r="254" ht="14.25" customHeight="1">
      <c r="E254" s="8"/>
      <c r="G254" s="8"/>
      <c r="H254" s="8"/>
      <c r="K254" s="8"/>
      <c r="L254" s="8"/>
      <c r="M254" s="8"/>
      <c r="O254" s="8"/>
      <c r="Q254" s="8"/>
      <c r="R254" s="8"/>
    </row>
    <row r="255" ht="14.25" customHeight="1">
      <c r="E255" s="8"/>
      <c r="G255" s="8"/>
      <c r="H255" s="8"/>
      <c r="K255" s="8"/>
      <c r="L255" s="8"/>
      <c r="M255" s="8"/>
      <c r="O255" s="8"/>
      <c r="Q255" s="8"/>
      <c r="R255" s="8"/>
    </row>
    <row r="256" ht="14.25" customHeight="1">
      <c r="E256" s="8"/>
      <c r="G256" s="8"/>
      <c r="H256" s="8"/>
      <c r="K256" s="8"/>
      <c r="L256" s="8"/>
      <c r="M256" s="8"/>
      <c r="O256" s="8"/>
      <c r="Q256" s="8"/>
      <c r="R256" s="8"/>
    </row>
    <row r="257" ht="14.25" customHeight="1">
      <c r="E257" s="8"/>
      <c r="G257" s="8"/>
      <c r="H257" s="8"/>
      <c r="K257" s="8"/>
      <c r="L257" s="8"/>
      <c r="M257" s="8"/>
      <c r="O257" s="8"/>
      <c r="Q257" s="8"/>
      <c r="R257" s="8"/>
    </row>
    <row r="258" ht="14.25" customHeight="1">
      <c r="E258" s="8"/>
      <c r="G258" s="8"/>
      <c r="H258" s="8"/>
      <c r="K258" s="8"/>
      <c r="L258" s="8"/>
      <c r="M258" s="8"/>
      <c r="O258" s="8"/>
      <c r="Q258" s="8"/>
      <c r="R258" s="8"/>
    </row>
    <row r="259" ht="14.25" customHeight="1">
      <c r="E259" s="8"/>
      <c r="G259" s="8"/>
      <c r="H259" s="8"/>
      <c r="K259" s="8"/>
      <c r="L259" s="8"/>
      <c r="M259" s="8"/>
      <c r="O259" s="8"/>
      <c r="Q259" s="8"/>
      <c r="R259" s="8"/>
    </row>
    <row r="260" ht="14.25" customHeight="1">
      <c r="E260" s="8"/>
      <c r="G260" s="8"/>
      <c r="H260" s="8"/>
      <c r="K260" s="8"/>
      <c r="L260" s="8"/>
      <c r="M260" s="8"/>
      <c r="O260" s="8"/>
      <c r="Q260" s="8"/>
      <c r="R260" s="8"/>
    </row>
    <row r="261" ht="14.25" customHeight="1">
      <c r="E261" s="8"/>
      <c r="G261" s="8"/>
      <c r="H261" s="8"/>
      <c r="K261" s="8"/>
      <c r="L261" s="8"/>
      <c r="M261" s="8"/>
      <c r="O261" s="8"/>
      <c r="Q261" s="8"/>
      <c r="R261" s="8"/>
    </row>
    <row r="262" ht="14.25" customHeight="1">
      <c r="E262" s="8"/>
      <c r="G262" s="8"/>
      <c r="H262" s="8"/>
      <c r="K262" s="8"/>
      <c r="L262" s="8"/>
      <c r="M262" s="8"/>
      <c r="O262" s="8"/>
      <c r="Q262" s="8"/>
      <c r="R262" s="8"/>
    </row>
    <row r="263" ht="14.25" customHeight="1">
      <c r="E263" s="8"/>
      <c r="G263" s="8"/>
      <c r="H263" s="8"/>
      <c r="K263" s="8"/>
      <c r="L263" s="8"/>
      <c r="M263" s="8"/>
      <c r="O263" s="8"/>
      <c r="Q263" s="8"/>
      <c r="R263" s="8"/>
    </row>
    <row r="264" ht="14.25" customHeight="1">
      <c r="E264" s="8"/>
      <c r="G264" s="8"/>
      <c r="H264" s="8"/>
      <c r="K264" s="8"/>
      <c r="L264" s="8"/>
      <c r="M264" s="8"/>
      <c r="O264" s="8"/>
      <c r="Q264" s="8"/>
      <c r="R264" s="8"/>
    </row>
    <row r="265" ht="14.25" customHeight="1">
      <c r="E265" s="8"/>
      <c r="G265" s="8"/>
      <c r="H265" s="8"/>
      <c r="K265" s="8"/>
      <c r="L265" s="8"/>
      <c r="M265" s="8"/>
      <c r="O265" s="8"/>
      <c r="Q265" s="8"/>
      <c r="R265" s="8"/>
    </row>
    <row r="266" ht="14.25" customHeight="1">
      <c r="E266" s="8"/>
      <c r="G266" s="8"/>
      <c r="H266" s="8"/>
      <c r="K266" s="8"/>
      <c r="L266" s="8"/>
      <c r="M266" s="8"/>
      <c r="O266" s="8"/>
      <c r="Q266" s="8"/>
      <c r="R266" s="8"/>
    </row>
    <row r="267" ht="14.25" customHeight="1">
      <c r="E267" s="8"/>
      <c r="G267" s="8"/>
      <c r="H267" s="8"/>
      <c r="K267" s="8"/>
      <c r="L267" s="8"/>
      <c r="M267" s="8"/>
      <c r="O267" s="8"/>
      <c r="Q267" s="8"/>
      <c r="R267" s="8"/>
    </row>
    <row r="268" ht="14.25" customHeight="1">
      <c r="E268" s="8"/>
      <c r="G268" s="8"/>
      <c r="H268" s="8"/>
      <c r="K268" s="8"/>
      <c r="L268" s="8"/>
      <c r="M268" s="8"/>
      <c r="O268" s="8"/>
      <c r="Q268" s="8"/>
      <c r="R268" s="8"/>
    </row>
    <row r="269" ht="14.25" customHeight="1">
      <c r="E269" s="8"/>
      <c r="G269" s="8"/>
      <c r="H269" s="8"/>
      <c r="K269" s="8"/>
      <c r="L269" s="8"/>
      <c r="M269" s="8"/>
      <c r="O269" s="8"/>
      <c r="Q269" s="8"/>
      <c r="R269" s="8"/>
    </row>
    <row r="270" ht="14.25" customHeight="1">
      <c r="E270" s="8"/>
      <c r="G270" s="8"/>
      <c r="H270" s="8"/>
      <c r="K270" s="8"/>
      <c r="L270" s="8"/>
      <c r="M270" s="8"/>
      <c r="O270" s="8"/>
      <c r="Q270" s="8"/>
      <c r="R270" s="8"/>
    </row>
    <row r="271" ht="14.25" customHeight="1">
      <c r="E271" s="8"/>
      <c r="G271" s="8"/>
      <c r="H271" s="8"/>
      <c r="K271" s="8"/>
      <c r="L271" s="8"/>
      <c r="M271" s="8"/>
      <c r="O271" s="8"/>
      <c r="Q271" s="8"/>
      <c r="R271" s="8"/>
    </row>
    <row r="272" ht="14.25" customHeight="1">
      <c r="E272" s="8"/>
      <c r="G272" s="8"/>
      <c r="H272" s="8"/>
      <c r="K272" s="8"/>
      <c r="L272" s="8"/>
      <c r="M272" s="8"/>
      <c r="O272" s="8"/>
      <c r="Q272" s="8"/>
      <c r="R272" s="8"/>
    </row>
    <row r="273" ht="14.25" customHeight="1">
      <c r="E273" s="8"/>
      <c r="G273" s="8"/>
      <c r="H273" s="8"/>
      <c r="K273" s="8"/>
      <c r="L273" s="8"/>
      <c r="M273" s="8"/>
      <c r="O273" s="8"/>
      <c r="Q273" s="8"/>
      <c r="R273" s="8"/>
    </row>
    <row r="274" ht="14.25" customHeight="1">
      <c r="E274" s="8"/>
      <c r="G274" s="8"/>
      <c r="H274" s="8"/>
      <c r="K274" s="8"/>
      <c r="L274" s="8"/>
      <c r="M274" s="8"/>
      <c r="O274" s="8"/>
      <c r="Q274" s="8"/>
      <c r="R274" s="8"/>
    </row>
    <row r="275" ht="14.25" customHeight="1">
      <c r="E275" s="8"/>
      <c r="G275" s="8"/>
      <c r="H275" s="8"/>
      <c r="K275" s="8"/>
      <c r="L275" s="8"/>
      <c r="M275" s="8"/>
      <c r="O275" s="8"/>
      <c r="Q275" s="8"/>
      <c r="R275" s="8"/>
    </row>
    <row r="276" ht="14.25" customHeight="1">
      <c r="E276" s="8"/>
      <c r="G276" s="8"/>
      <c r="H276" s="8"/>
      <c r="K276" s="8"/>
      <c r="L276" s="8"/>
      <c r="M276" s="8"/>
      <c r="O276" s="8"/>
      <c r="Q276" s="8"/>
      <c r="R276" s="8"/>
    </row>
    <row r="277" ht="14.25" customHeight="1">
      <c r="E277" s="8"/>
      <c r="G277" s="8"/>
      <c r="H277" s="8"/>
      <c r="K277" s="8"/>
      <c r="L277" s="8"/>
      <c r="M277" s="8"/>
      <c r="O277" s="8"/>
      <c r="Q277" s="8"/>
      <c r="R277" s="8"/>
    </row>
    <row r="278" ht="14.25" customHeight="1">
      <c r="E278" s="8"/>
      <c r="G278" s="8"/>
      <c r="H278" s="8"/>
      <c r="K278" s="8"/>
      <c r="L278" s="8"/>
      <c r="M278" s="8"/>
      <c r="O278" s="8"/>
      <c r="Q278" s="8"/>
      <c r="R278" s="8"/>
    </row>
    <row r="279" ht="14.25" customHeight="1">
      <c r="E279" s="8"/>
      <c r="G279" s="8"/>
      <c r="H279" s="8"/>
      <c r="K279" s="8"/>
      <c r="L279" s="8"/>
      <c r="M279" s="8"/>
      <c r="O279" s="8"/>
      <c r="Q279" s="8"/>
      <c r="R279" s="8"/>
    </row>
    <row r="280" ht="14.25" customHeight="1">
      <c r="E280" s="8"/>
      <c r="G280" s="8"/>
      <c r="H280" s="8"/>
      <c r="K280" s="8"/>
      <c r="L280" s="8"/>
      <c r="M280" s="8"/>
      <c r="O280" s="8"/>
      <c r="Q280" s="8"/>
      <c r="R280" s="8"/>
    </row>
    <row r="281" ht="14.25" customHeight="1">
      <c r="E281" s="8"/>
      <c r="G281" s="8"/>
      <c r="H281" s="8"/>
      <c r="K281" s="8"/>
      <c r="L281" s="8"/>
      <c r="M281" s="8"/>
      <c r="O281" s="8"/>
      <c r="Q281" s="8"/>
      <c r="R281" s="8"/>
    </row>
    <row r="282" ht="14.25" customHeight="1">
      <c r="E282" s="8"/>
      <c r="G282" s="8"/>
      <c r="H282" s="8"/>
      <c r="K282" s="8"/>
      <c r="L282" s="8"/>
      <c r="M282" s="8"/>
      <c r="O282" s="8"/>
      <c r="Q282" s="8"/>
      <c r="R282" s="8"/>
    </row>
    <row r="283" ht="14.25" customHeight="1">
      <c r="E283" s="8"/>
      <c r="G283" s="8"/>
      <c r="H283" s="8"/>
      <c r="K283" s="8"/>
      <c r="L283" s="8"/>
      <c r="M283" s="8"/>
      <c r="O283" s="8"/>
      <c r="Q283" s="8"/>
      <c r="R283" s="8"/>
    </row>
    <row r="284" ht="14.25" customHeight="1">
      <c r="E284" s="8"/>
      <c r="G284" s="8"/>
      <c r="H284" s="8"/>
      <c r="K284" s="8"/>
      <c r="L284" s="8"/>
      <c r="M284" s="8"/>
      <c r="O284" s="8"/>
      <c r="Q284" s="8"/>
      <c r="R284" s="8"/>
    </row>
    <row r="285" ht="14.25" customHeight="1">
      <c r="E285" s="8"/>
      <c r="G285" s="8"/>
      <c r="H285" s="8"/>
      <c r="K285" s="8"/>
      <c r="L285" s="8"/>
      <c r="M285" s="8"/>
      <c r="O285" s="8"/>
      <c r="Q285" s="8"/>
      <c r="R285" s="8"/>
    </row>
    <row r="286" ht="14.25" customHeight="1">
      <c r="E286" s="8"/>
      <c r="G286" s="8"/>
      <c r="H286" s="8"/>
      <c r="K286" s="8"/>
      <c r="L286" s="8"/>
      <c r="M286" s="8"/>
      <c r="O286" s="8"/>
      <c r="Q286" s="8"/>
      <c r="R286" s="8"/>
    </row>
    <row r="287" ht="14.25" customHeight="1">
      <c r="E287" s="8"/>
      <c r="G287" s="8"/>
      <c r="H287" s="8"/>
      <c r="K287" s="8"/>
      <c r="L287" s="8"/>
      <c r="M287" s="8"/>
      <c r="O287" s="8"/>
      <c r="Q287" s="8"/>
      <c r="R287" s="8"/>
    </row>
    <row r="288" ht="14.25" customHeight="1">
      <c r="E288" s="8"/>
      <c r="G288" s="8"/>
      <c r="H288" s="8"/>
      <c r="K288" s="8"/>
      <c r="L288" s="8"/>
      <c r="M288" s="8"/>
      <c r="O288" s="8"/>
      <c r="Q288" s="8"/>
      <c r="R288" s="8"/>
    </row>
    <row r="289" ht="14.25" customHeight="1">
      <c r="E289" s="8"/>
      <c r="G289" s="8"/>
      <c r="H289" s="8"/>
      <c r="K289" s="8"/>
      <c r="L289" s="8"/>
      <c r="M289" s="8"/>
      <c r="O289" s="8"/>
      <c r="Q289" s="8"/>
      <c r="R289" s="8"/>
    </row>
    <row r="290" ht="14.25" customHeight="1">
      <c r="E290" s="8"/>
      <c r="G290" s="8"/>
      <c r="H290" s="8"/>
      <c r="K290" s="8"/>
      <c r="L290" s="8"/>
      <c r="M290" s="8"/>
      <c r="O290" s="8"/>
      <c r="Q290" s="8"/>
      <c r="R290" s="8"/>
    </row>
    <row r="291" ht="14.25" customHeight="1">
      <c r="E291" s="8"/>
      <c r="G291" s="8"/>
      <c r="H291" s="8"/>
      <c r="K291" s="8"/>
      <c r="L291" s="8"/>
      <c r="M291" s="8"/>
      <c r="O291" s="8"/>
      <c r="Q291" s="8"/>
      <c r="R291" s="8"/>
    </row>
    <row r="292" ht="14.25" customHeight="1">
      <c r="E292" s="8"/>
      <c r="G292" s="8"/>
      <c r="H292" s="8"/>
      <c r="K292" s="8"/>
      <c r="L292" s="8"/>
      <c r="M292" s="8"/>
      <c r="O292" s="8"/>
      <c r="Q292" s="8"/>
      <c r="R292" s="8"/>
    </row>
    <row r="293" ht="14.25" customHeight="1">
      <c r="E293" s="8"/>
      <c r="G293" s="8"/>
      <c r="H293" s="8"/>
      <c r="K293" s="8"/>
      <c r="L293" s="8"/>
      <c r="M293" s="8"/>
      <c r="O293" s="8"/>
      <c r="Q293" s="8"/>
      <c r="R293" s="8"/>
    </row>
    <row r="294" ht="14.25" customHeight="1">
      <c r="E294" s="8"/>
      <c r="G294" s="8"/>
      <c r="H294" s="8"/>
      <c r="K294" s="8"/>
      <c r="L294" s="8"/>
      <c r="M294" s="8"/>
      <c r="O294" s="8"/>
      <c r="Q294" s="8"/>
      <c r="R294" s="8"/>
    </row>
    <row r="295" ht="14.25" customHeight="1">
      <c r="E295" s="8"/>
      <c r="G295" s="8"/>
      <c r="H295" s="8"/>
      <c r="K295" s="8"/>
      <c r="L295" s="8"/>
      <c r="M295" s="8"/>
      <c r="O295" s="8"/>
      <c r="Q295" s="8"/>
      <c r="R295" s="8"/>
    </row>
    <row r="296" ht="14.25" customHeight="1">
      <c r="E296" s="8"/>
      <c r="G296" s="8"/>
      <c r="H296" s="8"/>
      <c r="K296" s="8"/>
      <c r="L296" s="8"/>
      <c r="M296" s="8"/>
      <c r="O296" s="8"/>
      <c r="Q296" s="8"/>
      <c r="R296" s="8"/>
    </row>
    <row r="297" ht="14.25" customHeight="1">
      <c r="E297" s="8"/>
      <c r="G297" s="8"/>
      <c r="H297" s="8"/>
      <c r="K297" s="8"/>
      <c r="L297" s="8"/>
      <c r="M297" s="8"/>
      <c r="O297" s="8"/>
      <c r="Q297" s="8"/>
      <c r="R297" s="8"/>
    </row>
    <row r="298" ht="14.25" customHeight="1">
      <c r="E298" s="8"/>
      <c r="G298" s="8"/>
      <c r="H298" s="8"/>
      <c r="K298" s="8"/>
      <c r="L298" s="8"/>
      <c r="M298" s="8"/>
      <c r="O298" s="8"/>
      <c r="Q298" s="8"/>
      <c r="R298" s="8"/>
    </row>
    <row r="299" ht="14.25" customHeight="1">
      <c r="E299" s="8"/>
      <c r="G299" s="8"/>
      <c r="H299" s="8"/>
      <c r="K299" s="8"/>
      <c r="L299" s="8"/>
      <c r="M299" s="8"/>
      <c r="O299" s="8"/>
      <c r="Q299" s="8"/>
      <c r="R299" s="8"/>
    </row>
    <row r="300" ht="14.25" customHeight="1">
      <c r="E300" s="8"/>
      <c r="G300" s="8"/>
      <c r="H300" s="8"/>
      <c r="K300" s="8"/>
      <c r="L300" s="8"/>
      <c r="M300" s="8"/>
      <c r="O300" s="8"/>
      <c r="Q300" s="8"/>
      <c r="R300" s="8"/>
    </row>
    <row r="301" ht="14.25" customHeight="1">
      <c r="E301" s="8"/>
      <c r="G301" s="8"/>
      <c r="H301" s="8"/>
      <c r="K301" s="8"/>
      <c r="L301" s="8"/>
      <c r="M301" s="8"/>
      <c r="O301" s="8"/>
      <c r="Q301" s="8"/>
      <c r="R301" s="8"/>
    </row>
    <row r="302" ht="14.25" customHeight="1">
      <c r="E302" s="8"/>
      <c r="G302" s="8"/>
      <c r="H302" s="8"/>
      <c r="K302" s="8"/>
      <c r="L302" s="8"/>
      <c r="M302" s="8"/>
      <c r="O302" s="8"/>
      <c r="Q302" s="8"/>
      <c r="R302" s="8"/>
    </row>
    <row r="303" ht="14.25" customHeight="1">
      <c r="E303" s="8"/>
      <c r="G303" s="8"/>
      <c r="H303" s="8"/>
      <c r="K303" s="8"/>
      <c r="L303" s="8"/>
      <c r="M303" s="8"/>
      <c r="O303" s="8"/>
      <c r="Q303" s="8"/>
      <c r="R303" s="8"/>
    </row>
    <row r="304" ht="14.25" customHeight="1">
      <c r="E304" s="8"/>
      <c r="G304" s="8"/>
      <c r="H304" s="8"/>
      <c r="K304" s="8"/>
      <c r="L304" s="8"/>
      <c r="M304" s="8"/>
      <c r="O304" s="8"/>
      <c r="Q304" s="8"/>
      <c r="R304" s="8"/>
    </row>
    <row r="305" ht="14.25" customHeight="1">
      <c r="E305" s="8"/>
      <c r="G305" s="8"/>
      <c r="H305" s="8"/>
      <c r="K305" s="8"/>
      <c r="L305" s="8"/>
      <c r="M305" s="8"/>
      <c r="O305" s="8"/>
      <c r="Q305" s="8"/>
      <c r="R305" s="8"/>
    </row>
    <row r="306" ht="14.25" customHeight="1">
      <c r="E306" s="8"/>
      <c r="G306" s="8"/>
      <c r="H306" s="8"/>
      <c r="K306" s="8"/>
      <c r="L306" s="8"/>
      <c r="M306" s="8"/>
      <c r="O306" s="8"/>
      <c r="Q306" s="8"/>
      <c r="R306" s="8"/>
    </row>
    <row r="307" ht="14.25" customHeight="1">
      <c r="E307" s="8"/>
      <c r="G307" s="8"/>
      <c r="H307" s="8"/>
      <c r="K307" s="8"/>
      <c r="L307" s="8"/>
      <c r="M307" s="8"/>
      <c r="O307" s="8"/>
      <c r="Q307" s="8"/>
      <c r="R307" s="8"/>
    </row>
    <row r="308" ht="14.25" customHeight="1">
      <c r="E308" s="8"/>
      <c r="G308" s="8"/>
      <c r="H308" s="8"/>
      <c r="K308" s="8"/>
      <c r="L308" s="8"/>
      <c r="M308" s="8"/>
      <c r="O308" s="8"/>
      <c r="Q308" s="8"/>
      <c r="R308" s="8"/>
    </row>
    <row r="309" ht="14.25" customHeight="1">
      <c r="E309" s="8"/>
      <c r="G309" s="8"/>
      <c r="H309" s="8"/>
      <c r="K309" s="8"/>
      <c r="L309" s="8"/>
      <c r="M309" s="8"/>
      <c r="O309" s="8"/>
      <c r="Q309" s="8"/>
      <c r="R309" s="8"/>
    </row>
    <row r="310" ht="14.25" customHeight="1">
      <c r="E310" s="8"/>
      <c r="G310" s="8"/>
      <c r="H310" s="8"/>
      <c r="K310" s="8"/>
      <c r="L310" s="8"/>
      <c r="M310" s="8"/>
      <c r="O310" s="8"/>
      <c r="Q310" s="8"/>
      <c r="R310" s="8"/>
    </row>
    <row r="311" ht="14.25" customHeight="1">
      <c r="E311" s="8"/>
      <c r="G311" s="8"/>
      <c r="H311" s="8"/>
      <c r="K311" s="8"/>
      <c r="L311" s="8"/>
      <c r="M311" s="8"/>
      <c r="O311" s="8"/>
      <c r="Q311" s="8"/>
      <c r="R311" s="8"/>
    </row>
    <row r="312" ht="14.25" customHeight="1">
      <c r="E312" s="8"/>
      <c r="G312" s="8"/>
      <c r="H312" s="8"/>
      <c r="K312" s="8"/>
      <c r="L312" s="8"/>
      <c r="M312" s="8"/>
      <c r="O312" s="8"/>
      <c r="Q312" s="8"/>
      <c r="R312" s="8"/>
    </row>
    <row r="313" ht="14.25" customHeight="1">
      <c r="E313" s="8"/>
      <c r="G313" s="8"/>
      <c r="H313" s="8"/>
      <c r="K313" s="8"/>
      <c r="L313" s="8"/>
      <c r="M313" s="8"/>
      <c r="O313" s="8"/>
      <c r="Q313" s="8"/>
      <c r="R313" s="8"/>
    </row>
    <row r="314" ht="14.25" customHeight="1">
      <c r="E314" s="8"/>
      <c r="G314" s="8"/>
      <c r="H314" s="8"/>
      <c r="K314" s="8"/>
      <c r="L314" s="8"/>
      <c r="M314" s="8"/>
      <c r="O314" s="8"/>
      <c r="Q314" s="8"/>
      <c r="R314" s="8"/>
    </row>
    <row r="315" ht="14.25" customHeight="1">
      <c r="E315" s="8"/>
      <c r="G315" s="8"/>
      <c r="H315" s="8"/>
      <c r="K315" s="8"/>
      <c r="L315" s="8"/>
      <c r="M315" s="8"/>
      <c r="O315" s="8"/>
      <c r="Q315" s="8"/>
      <c r="R315" s="8"/>
    </row>
    <row r="316" ht="14.25" customHeight="1">
      <c r="E316" s="8"/>
      <c r="G316" s="8"/>
      <c r="H316" s="8"/>
      <c r="K316" s="8"/>
      <c r="L316" s="8"/>
      <c r="M316" s="8"/>
      <c r="O316" s="8"/>
      <c r="Q316" s="8"/>
      <c r="R316" s="8"/>
    </row>
    <row r="317" ht="14.25" customHeight="1">
      <c r="E317" s="8"/>
      <c r="G317" s="8"/>
      <c r="H317" s="8"/>
      <c r="K317" s="8"/>
      <c r="L317" s="8"/>
      <c r="M317" s="8"/>
      <c r="O317" s="8"/>
      <c r="Q317" s="8"/>
      <c r="R317" s="8"/>
    </row>
    <row r="318" ht="14.25" customHeight="1">
      <c r="E318" s="8"/>
      <c r="G318" s="8"/>
      <c r="H318" s="8"/>
      <c r="K318" s="8"/>
      <c r="L318" s="8"/>
      <c r="M318" s="8"/>
      <c r="O318" s="8"/>
      <c r="Q318" s="8"/>
      <c r="R318" s="8"/>
    </row>
    <row r="319" ht="14.25" customHeight="1">
      <c r="E319" s="8"/>
      <c r="G319" s="8"/>
      <c r="H319" s="8"/>
      <c r="K319" s="8"/>
      <c r="L319" s="8"/>
      <c r="M319" s="8"/>
      <c r="O319" s="8"/>
      <c r="Q319" s="8"/>
      <c r="R319" s="8"/>
    </row>
    <row r="320" ht="14.25" customHeight="1">
      <c r="E320" s="8"/>
      <c r="G320" s="8"/>
      <c r="H320" s="8"/>
      <c r="K320" s="8"/>
      <c r="L320" s="8"/>
      <c r="M320" s="8"/>
      <c r="O320" s="8"/>
      <c r="Q320" s="8"/>
      <c r="R320" s="8"/>
    </row>
    <row r="321" ht="14.25" customHeight="1">
      <c r="E321" s="8"/>
      <c r="G321" s="8"/>
      <c r="H321" s="8"/>
      <c r="K321" s="8"/>
      <c r="L321" s="8"/>
      <c r="M321" s="8"/>
      <c r="O321" s="8"/>
      <c r="Q321" s="8"/>
      <c r="R321" s="8"/>
    </row>
    <row r="322" ht="14.25" customHeight="1">
      <c r="E322" s="8"/>
      <c r="G322" s="8"/>
      <c r="H322" s="8"/>
      <c r="K322" s="8"/>
      <c r="L322" s="8"/>
      <c r="M322" s="8"/>
      <c r="O322" s="8"/>
      <c r="Q322" s="8"/>
      <c r="R322" s="8"/>
    </row>
    <row r="323" ht="14.25" customHeight="1">
      <c r="E323" s="8"/>
      <c r="G323" s="8"/>
      <c r="H323" s="8"/>
      <c r="K323" s="8"/>
      <c r="L323" s="8"/>
      <c r="M323" s="8"/>
      <c r="O323" s="8"/>
      <c r="Q323" s="8"/>
      <c r="R323" s="8"/>
    </row>
    <row r="324" ht="14.25" customHeight="1">
      <c r="E324" s="8"/>
      <c r="G324" s="8"/>
      <c r="H324" s="8"/>
      <c r="K324" s="8"/>
      <c r="L324" s="8"/>
      <c r="M324" s="8"/>
      <c r="O324" s="8"/>
      <c r="Q324" s="8"/>
      <c r="R324" s="8"/>
    </row>
    <row r="325" ht="14.25" customHeight="1">
      <c r="E325" s="8"/>
      <c r="G325" s="8"/>
      <c r="H325" s="8"/>
      <c r="K325" s="8"/>
      <c r="L325" s="8"/>
      <c r="M325" s="8"/>
      <c r="O325" s="8"/>
      <c r="Q325" s="8"/>
      <c r="R325" s="8"/>
    </row>
    <row r="326" ht="14.25" customHeight="1">
      <c r="E326" s="8"/>
      <c r="G326" s="8"/>
      <c r="H326" s="8"/>
      <c r="K326" s="8"/>
      <c r="L326" s="8"/>
      <c r="M326" s="8"/>
      <c r="O326" s="8"/>
      <c r="Q326" s="8"/>
      <c r="R326" s="8"/>
    </row>
    <row r="327" ht="14.25" customHeight="1">
      <c r="E327" s="8"/>
      <c r="G327" s="8"/>
      <c r="H327" s="8"/>
      <c r="K327" s="8"/>
      <c r="L327" s="8"/>
      <c r="M327" s="8"/>
      <c r="O327" s="8"/>
      <c r="Q327" s="8"/>
      <c r="R327" s="8"/>
    </row>
    <row r="328" ht="14.25" customHeight="1">
      <c r="E328" s="8"/>
      <c r="G328" s="8"/>
      <c r="H328" s="8"/>
      <c r="K328" s="8"/>
      <c r="L328" s="8"/>
      <c r="M328" s="8"/>
      <c r="O328" s="8"/>
      <c r="Q328" s="8"/>
      <c r="R328" s="8"/>
    </row>
    <row r="329" ht="14.25" customHeight="1">
      <c r="E329" s="8"/>
      <c r="G329" s="8"/>
      <c r="H329" s="8"/>
      <c r="K329" s="8"/>
      <c r="L329" s="8"/>
      <c r="M329" s="8"/>
      <c r="O329" s="8"/>
      <c r="Q329" s="8"/>
      <c r="R329" s="8"/>
    </row>
    <row r="330" ht="14.25" customHeight="1">
      <c r="E330" s="8"/>
      <c r="G330" s="8"/>
      <c r="H330" s="8"/>
      <c r="K330" s="8"/>
      <c r="L330" s="8"/>
      <c r="M330" s="8"/>
      <c r="O330" s="8"/>
      <c r="Q330" s="8"/>
      <c r="R330" s="8"/>
    </row>
    <row r="331" ht="14.25" customHeight="1">
      <c r="E331" s="8"/>
      <c r="G331" s="8"/>
      <c r="H331" s="8"/>
      <c r="K331" s="8"/>
      <c r="L331" s="8"/>
      <c r="M331" s="8"/>
      <c r="O331" s="8"/>
      <c r="Q331" s="8"/>
      <c r="R331" s="8"/>
    </row>
    <row r="332" ht="14.25" customHeight="1">
      <c r="E332" s="8"/>
      <c r="G332" s="8"/>
      <c r="H332" s="8"/>
      <c r="K332" s="8"/>
      <c r="L332" s="8"/>
      <c r="M332" s="8"/>
      <c r="O332" s="8"/>
      <c r="Q332" s="8"/>
      <c r="R332" s="8"/>
    </row>
    <row r="333" ht="14.25" customHeight="1">
      <c r="E333" s="8"/>
      <c r="G333" s="8"/>
      <c r="H333" s="8"/>
      <c r="K333" s="8"/>
      <c r="L333" s="8"/>
      <c r="M333" s="8"/>
      <c r="O333" s="8"/>
      <c r="Q333" s="8"/>
      <c r="R333" s="8"/>
    </row>
    <row r="334" ht="14.25" customHeight="1">
      <c r="E334" s="8"/>
      <c r="G334" s="8"/>
      <c r="H334" s="8"/>
      <c r="K334" s="8"/>
      <c r="L334" s="8"/>
      <c r="M334" s="8"/>
      <c r="O334" s="8"/>
      <c r="Q334" s="8"/>
      <c r="R334" s="8"/>
    </row>
    <row r="335" ht="14.25" customHeight="1">
      <c r="E335" s="8"/>
      <c r="G335" s="8"/>
      <c r="H335" s="8"/>
      <c r="K335" s="8"/>
      <c r="L335" s="8"/>
      <c r="M335" s="8"/>
      <c r="O335" s="8"/>
      <c r="Q335" s="8"/>
      <c r="R335" s="8"/>
    </row>
    <row r="336" ht="14.25" customHeight="1">
      <c r="E336" s="8"/>
      <c r="G336" s="8"/>
      <c r="H336" s="8"/>
      <c r="K336" s="8"/>
      <c r="L336" s="8"/>
      <c r="M336" s="8"/>
      <c r="O336" s="8"/>
      <c r="Q336" s="8"/>
      <c r="R336" s="8"/>
    </row>
    <row r="337" ht="14.25" customHeight="1">
      <c r="E337" s="8"/>
      <c r="G337" s="8"/>
      <c r="H337" s="8"/>
      <c r="K337" s="8"/>
      <c r="L337" s="8"/>
      <c r="M337" s="8"/>
      <c r="O337" s="8"/>
      <c r="Q337" s="8"/>
      <c r="R337" s="8"/>
    </row>
    <row r="338" ht="14.25" customHeight="1">
      <c r="E338" s="8"/>
      <c r="G338" s="8"/>
      <c r="H338" s="8"/>
      <c r="K338" s="8"/>
      <c r="L338" s="8"/>
      <c r="M338" s="8"/>
      <c r="O338" s="8"/>
      <c r="Q338" s="8"/>
      <c r="R338" s="8"/>
    </row>
    <row r="339" ht="14.25" customHeight="1">
      <c r="E339" s="8"/>
      <c r="G339" s="8"/>
      <c r="H339" s="8"/>
      <c r="K339" s="8"/>
      <c r="L339" s="8"/>
      <c r="M339" s="8"/>
      <c r="O339" s="8"/>
      <c r="Q339" s="8"/>
      <c r="R339" s="8"/>
    </row>
    <row r="340" ht="14.25" customHeight="1">
      <c r="E340" s="8"/>
      <c r="G340" s="8"/>
      <c r="H340" s="8"/>
      <c r="K340" s="8"/>
      <c r="L340" s="8"/>
      <c r="M340" s="8"/>
      <c r="O340" s="8"/>
      <c r="Q340" s="8"/>
      <c r="R340" s="8"/>
    </row>
    <row r="341" ht="14.25" customHeight="1">
      <c r="E341" s="8"/>
      <c r="G341" s="8"/>
      <c r="H341" s="8"/>
      <c r="K341" s="8"/>
      <c r="L341" s="8"/>
      <c r="M341" s="8"/>
      <c r="O341" s="8"/>
      <c r="Q341" s="8"/>
      <c r="R341" s="8"/>
    </row>
    <row r="342" ht="14.25" customHeight="1">
      <c r="E342" s="8"/>
      <c r="G342" s="8"/>
      <c r="H342" s="8"/>
      <c r="K342" s="8"/>
      <c r="L342" s="8"/>
      <c r="M342" s="8"/>
      <c r="O342" s="8"/>
      <c r="Q342" s="8"/>
      <c r="R342" s="8"/>
    </row>
    <row r="343" ht="14.25" customHeight="1">
      <c r="E343" s="8"/>
      <c r="G343" s="8"/>
      <c r="H343" s="8"/>
      <c r="K343" s="8"/>
      <c r="L343" s="8"/>
      <c r="M343" s="8"/>
      <c r="O343" s="8"/>
      <c r="Q343" s="8"/>
      <c r="R343" s="8"/>
    </row>
    <row r="344" ht="14.25" customHeight="1">
      <c r="E344" s="8"/>
      <c r="G344" s="8"/>
      <c r="H344" s="8"/>
      <c r="K344" s="8"/>
      <c r="L344" s="8"/>
      <c r="M344" s="8"/>
      <c r="O344" s="8"/>
      <c r="Q344" s="8"/>
      <c r="R344" s="8"/>
    </row>
    <row r="345" ht="14.25" customHeight="1">
      <c r="E345" s="8"/>
      <c r="G345" s="8"/>
      <c r="H345" s="8"/>
      <c r="K345" s="8"/>
      <c r="L345" s="8"/>
      <c r="M345" s="8"/>
      <c r="O345" s="8"/>
      <c r="Q345" s="8"/>
      <c r="R345" s="8"/>
    </row>
    <row r="346" ht="14.25" customHeight="1">
      <c r="E346" s="8"/>
      <c r="G346" s="8"/>
      <c r="H346" s="8"/>
      <c r="K346" s="8"/>
      <c r="L346" s="8"/>
      <c r="M346" s="8"/>
      <c r="O346" s="8"/>
      <c r="Q346" s="8"/>
      <c r="R346" s="8"/>
    </row>
    <row r="347" ht="14.25" customHeight="1">
      <c r="E347" s="8"/>
      <c r="G347" s="8"/>
      <c r="H347" s="8"/>
      <c r="K347" s="8"/>
      <c r="L347" s="8"/>
      <c r="M347" s="8"/>
      <c r="O347" s="8"/>
      <c r="Q347" s="8"/>
      <c r="R347" s="8"/>
    </row>
    <row r="348" ht="14.25" customHeight="1">
      <c r="E348" s="8"/>
      <c r="G348" s="8"/>
      <c r="H348" s="8"/>
      <c r="K348" s="8"/>
      <c r="L348" s="8"/>
      <c r="M348" s="8"/>
      <c r="O348" s="8"/>
      <c r="Q348" s="8"/>
      <c r="R348" s="8"/>
    </row>
    <row r="349" ht="14.25" customHeight="1">
      <c r="E349" s="8"/>
      <c r="G349" s="8"/>
      <c r="H349" s="8"/>
      <c r="K349" s="8"/>
      <c r="L349" s="8"/>
      <c r="M349" s="8"/>
      <c r="O349" s="8"/>
      <c r="Q349" s="8"/>
      <c r="R349" s="8"/>
    </row>
    <row r="350" ht="14.25" customHeight="1">
      <c r="E350" s="8"/>
      <c r="G350" s="8"/>
      <c r="H350" s="8"/>
      <c r="K350" s="8"/>
      <c r="L350" s="8"/>
      <c r="M350" s="8"/>
      <c r="O350" s="8"/>
      <c r="Q350" s="8"/>
      <c r="R350" s="8"/>
    </row>
    <row r="351" ht="14.25" customHeight="1">
      <c r="E351" s="8"/>
      <c r="G351" s="8"/>
      <c r="H351" s="8"/>
      <c r="K351" s="8"/>
      <c r="L351" s="8"/>
      <c r="M351" s="8"/>
      <c r="O351" s="8"/>
      <c r="Q351" s="8"/>
      <c r="R351" s="8"/>
    </row>
    <row r="352" ht="14.25" customHeight="1">
      <c r="E352" s="8"/>
      <c r="G352" s="8"/>
      <c r="H352" s="8"/>
      <c r="K352" s="8"/>
      <c r="L352" s="8"/>
      <c r="M352" s="8"/>
      <c r="O352" s="8"/>
      <c r="Q352" s="8"/>
      <c r="R352" s="8"/>
    </row>
    <row r="353" ht="14.25" customHeight="1">
      <c r="E353" s="8"/>
      <c r="G353" s="8"/>
      <c r="H353" s="8"/>
      <c r="K353" s="8"/>
      <c r="L353" s="8"/>
      <c r="M353" s="8"/>
      <c r="O353" s="8"/>
      <c r="Q353" s="8"/>
      <c r="R353" s="8"/>
    </row>
    <row r="354" ht="14.25" customHeight="1">
      <c r="E354" s="8"/>
      <c r="G354" s="8"/>
      <c r="H354" s="8"/>
      <c r="K354" s="8"/>
      <c r="L354" s="8"/>
      <c r="M354" s="8"/>
      <c r="O354" s="8"/>
      <c r="Q354" s="8"/>
      <c r="R354" s="8"/>
    </row>
    <row r="355" ht="14.25" customHeight="1">
      <c r="E355" s="8"/>
      <c r="G355" s="8"/>
      <c r="H355" s="8"/>
      <c r="K355" s="8"/>
      <c r="L355" s="8"/>
      <c r="M355" s="8"/>
      <c r="O355" s="8"/>
      <c r="Q355" s="8"/>
      <c r="R355" s="8"/>
    </row>
    <row r="356" ht="14.25" customHeight="1">
      <c r="E356" s="8"/>
      <c r="G356" s="8"/>
      <c r="H356" s="8"/>
      <c r="K356" s="8"/>
      <c r="L356" s="8"/>
      <c r="M356" s="8"/>
      <c r="O356" s="8"/>
      <c r="Q356" s="8"/>
      <c r="R356" s="8"/>
    </row>
    <row r="357" ht="14.25" customHeight="1">
      <c r="E357" s="8"/>
      <c r="G357" s="8"/>
      <c r="H357" s="8"/>
      <c r="K357" s="8"/>
      <c r="L357" s="8"/>
      <c r="M357" s="8"/>
      <c r="O357" s="8"/>
      <c r="Q357" s="8"/>
      <c r="R357" s="8"/>
    </row>
    <row r="358" ht="14.25" customHeight="1">
      <c r="E358" s="8"/>
      <c r="G358" s="8"/>
      <c r="H358" s="8"/>
      <c r="K358" s="8"/>
      <c r="L358" s="8"/>
      <c r="M358" s="8"/>
      <c r="O358" s="8"/>
      <c r="Q358" s="8"/>
      <c r="R358" s="8"/>
    </row>
    <row r="359" ht="14.25" customHeight="1">
      <c r="E359" s="8"/>
      <c r="G359" s="8"/>
      <c r="H359" s="8"/>
      <c r="K359" s="8"/>
      <c r="L359" s="8"/>
      <c r="M359" s="8"/>
      <c r="O359" s="8"/>
      <c r="Q359" s="8"/>
      <c r="R359" s="8"/>
    </row>
    <row r="360" ht="14.25" customHeight="1">
      <c r="E360" s="8"/>
      <c r="G360" s="8"/>
      <c r="H360" s="8"/>
      <c r="K360" s="8"/>
      <c r="L360" s="8"/>
      <c r="M360" s="8"/>
      <c r="O360" s="8"/>
      <c r="Q360" s="8"/>
      <c r="R360" s="8"/>
    </row>
    <row r="361" ht="14.25" customHeight="1">
      <c r="E361" s="8"/>
      <c r="G361" s="8"/>
      <c r="H361" s="8"/>
      <c r="K361" s="8"/>
      <c r="L361" s="8"/>
      <c r="M361" s="8"/>
      <c r="O361" s="8"/>
      <c r="Q361" s="8"/>
      <c r="R361" s="8"/>
    </row>
    <row r="362" ht="14.25" customHeight="1">
      <c r="E362" s="8"/>
      <c r="G362" s="8"/>
      <c r="H362" s="8"/>
      <c r="K362" s="8"/>
      <c r="L362" s="8"/>
      <c r="M362" s="8"/>
      <c r="O362" s="8"/>
      <c r="Q362" s="8"/>
      <c r="R362" s="8"/>
    </row>
    <row r="363" ht="14.25" customHeight="1">
      <c r="E363" s="8"/>
      <c r="G363" s="8"/>
      <c r="H363" s="8"/>
      <c r="K363" s="8"/>
      <c r="L363" s="8"/>
      <c r="M363" s="8"/>
      <c r="O363" s="8"/>
      <c r="Q363" s="8"/>
      <c r="R363" s="8"/>
    </row>
    <row r="364" ht="14.25" customHeight="1">
      <c r="E364" s="8"/>
      <c r="G364" s="8"/>
      <c r="H364" s="8"/>
      <c r="K364" s="8"/>
      <c r="L364" s="8"/>
      <c r="M364" s="8"/>
      <c r="O364" s="8"/>
      <c r="Q364" s="8"/>
      <c r="R364" s="8"/>
    </row>
    <row r="365" ht="14.25" customHeight="1">
      <c r="E365" s="8"/>
      <c r="G365" s="8"/>
      <c r="H365" s="8"/>
      <c r="K365" s="8"/>
      <c r="L365" s="8"/>
      <c r="M365" s="8"/>
      <c r="O365" s="8"/>
      <c r="Q365" s="8"/>
      <c r="R365" s="8"/>
    </row>
    <row r="366" ht="14.25" customHeight="1">
      <c r="E366" s="8"/>
      <c r="G366" s="8"/>
      <c r="H366" s="8"/>
      <c r="K366" s="8"/>
      <c r="L366" s="8"/>
      <c r="M366" s="8"/>
      <c r="O366" s="8"/>
      <c r="Q366" s="8"/>
      <c r="R366" s="8"/>
    </row>
    <row r="367" ht="14.25" customHeight="1">
      <c r="E367" s="8"/>
      <c r="G367" s="8"/>
      <c r="H367" s="8"/>
      <c r="K367" s="8"/>
      <c r="L367" s="8"/>
      <c r="M367" s="8"/>
      <c r="O367" s="8"/>
      <c r="Q367" s="8"/>
      <c r="R367" s="8"/>
    </row>
    <row r="368" ht="14.25" customHeight="1">
      <c r="E368" s="8"/>
      <c r="G368" s="8"/>
      <c r="H368" s="8"/>
      <c r="K368" s="8"/>
      <c r="L368" s="8"/>
      <c r="M368" s="8"/>
      <c r="O368" s="8"/>
      <c r="Q368" s="8"/>
      <c r="R368" s="8"/>
    </row>
    <row r="369" ht="14.25" customHeight="1">
      <c r="E369" s="8"/>
      <c r="G369" s="8"/>
      <c r="H369" s="8"/>
      <c r="K369" s="8"/>
      <c r="L369" s="8"/>
      <c r="M369" s="8"/>
      <c r="O369" s="8"/>
      <c r="Q369" s="8"/>
      <c r="R369" s="8"/>
    </row>
    <row r="370" ht="14.25" customHeight="1">
      <c r="E370" s="8"/>
      <c r="G370" s="8"/>
      <c r="H370" s="8"/>
      <c r="K370" s="8"/>
      <c r="L370" s="8"/>
      <c r="M370" s="8"/>
      <c r="O370" s="8"/>
      <c r="Q370" s="8"/>
      <c r="R370" s="8"/>
    </row>
    <row r="371" ht="14.25" customHeight="1">
      <c r="E371" s="8"/>
      <c r="G371" s="8"/>
      <c r="H371" s="8"/>
      <c r="K371" s="8"/>
      <c r="L371" s="8"/>
      <c r="M371" s="8"/>
      <c r="O371" s="8"/>
      <c r="Q371" s="8"/>
      <c r="R371" s="8"/>
    </row>
    <row r="372" ht="14.25" customHeight="1">
      <c r="E372" s="8"/>
      <c r="G372" s="8"/>
      <c r="H372" s="8"/>
      <c r="K372" s="8"/>
      <c r="L372" s="8"/>
      <c r="M372" s="8"/>
      <c r="O372" s="8"/>
      <c r="Q372" s="8"/>
      <c r="R372" s="8"/>
    </row>
    <row r="373" ht="14.25" customHeight="1">
      <c r="E373" s="8"/>
      <c r="G373" s="8"/>
      <c r="H373" s="8"/>
      <c r="K373" s="8"/>
      <c r="L373" s="8"/>
      <c r="M373" s="8"/>
      <c r="O373" s="8"/>
      <c r="Q373" s="8"/>
      <c r="R373" s="8"/>
    </row>
    <row r="374" ht="14.25" customHeight="1">
      <c r="E374" s="8"/>
      <c r="G374" s="8"/>
      <c r="H374" s="8"/>
      <c r="K374" s="8"/>
      <c r="L374" s="8"/>
      <c r="M374" s="8"/>
      <c r="O374" s="8"/>
      <c r="Q374" s="8"/>
      <c r="R374" s="8"/>
    </row>
    <row r="375" ht="14.25" customHeight="1">
      <c r="E375" s="8"/>
      <c r="G375" s="8"/>
      <c r="H375" s="8"/>
      <c r="K375" s="8"/>
      <c r="L375" s="8"/>
      <c r="M375" s="8"/>
      <c r="O375" s="8"/>
      <c r="Q375" s="8"/>
      <c r="R375" s="8"/>
    </row>
    <row r="376" ht="14.25" customHeight="1">
      <c r="E376" s="8"/>
      <c r="G376" s="8"/>
      <c r="H376" s="8"/>
      <c r="K376" s="8"/>
      <c r="L376" s="8"/>
      <c r="M376" s="8"/>
      <c r="O376" s="8"/>
      <c r="Q376" s="8"/>
      <c r="R376" s="8"/>
    </row>
    <row r="377" ht="14.25" customHeight="1">
      <c r="E377" s="8"/>
      <c r="G377" s="8"/>
      <c r="H377" s="8"/>
      <c r="K377" s="8"/>
      <c r="L377" s="8"/>
      <c r="M377" s="8"/>
      <c r="O377" s="8"/>
      <c r="Q377" s="8"/>
      <c r="R377" s="8"/>
    </row>
    <row r="378" ht="14.25" customHeight="1">
      <c r="E378" s="8"/>
      <c r="G378" s="8"/>
      <c r="H378" s="8"/>
      <c r="K378" s="8"/>
      <c r="L378" s="8"/>
      <c r="M378" s="8"/>
      <c r="O378" s="8"/>
      <c r="Q378" s="8"/>
      <c r="R378" s="8"/>
    </row>
    <row r="379" ht="14.25" customHeight="1">
      <c r="E379" s="8"/>
      <c r="G379" s="8"/>
      <c r="H379" s="8"/>
      <c r="K379" s="8"/>
      <c r="L379" s="8"/>
      <c r="M379" s="8"/>
      <c r="O379" s="8"/>
      <c r="Q379" s="8"/>
      <c r="R379" s="8"/>
    </row>
    <row r="380" ht="14.25" customHeight="1">
      <c r="E380" s="8"/>
      <c r="G380" s="8"/>
      <c r="H380" s="8"/>
      <c r="K380" s="8"/>
      <c r="L380" s="8"/>
      <c r="M380" s="8"/>
      <c r="O380" s="8"/>
      <c r="Q380" s="8"/>
      <c r="R380" s="8"/>
    </row>
    <row r="381" ht="14.25" customHeight="1">
      <c r="E381" s="8"/>
      <c r="G381" s="8"/>
      <c r="H381" s="8"/>
      <c r="K381" s="8"/>
      <c r="L381" s="8"/>
      <c r="M381" s="8"/>
      <c r="O381" s="8"/>
      <c r="Q381" s="8"/>
      <c r="R381" s="8"/>
    </row>
    <row r="382" ht="14.25" customHeight="1">
      <c r="E382" s="8"/>
      <c r="G382" s="8"/>
      <c r="H382" s="8"/>
      <c r="K382" s="8"/>
      <c r="L382" s="8"/>
      <c r="M382" s="8"/>
      <c r="O382" s="8"/>
      <c r="Q382" s="8"/>
      <c r="R382" s="8"/>
    </row>
    <row r="383" ht="14.25" customHeight="1">
      <c r="E383" s="8"/>
      <c r="G383" s="8"/>
      <c r="H383" s="8"/>
      <c r="K383" s="8"/>
      <c r="L383" s="8"/>
      <c r="M383" s="8"/>
      <c r="O383" s="8"/>
      <c r="Q383" s="8"/>
      <c r="R383" s="8"/>
    </row>
    <row r="384" ht="14.25" customHeight="1">
      <c r="E384" s="8"/>
      <c r="G384" s="8"/>
      <c r="H384" s="8"/>
      <c r="K384" s="8"/>
      <c r="L384" s="8"/>
      <c r="M384" s="8"/>
      <c r="O384" s="8"/>
      <c r="Q384" s="8"/>
      <c r="R384" s="8"/>
    </row>
    <row r="385" ht="14.25" customHeight="1">
      <c r="E385" s="8"/>
      <c r="G385" s="8"/>
      <c r="H385" s="8"/>
      <c r="K385" s="8"/>
      <c r="L385" s="8"/>
      <c r="M385" s="8"/>
      <c r="O385" s="8"/>
      <c r="Q385" s="8"/>
      <c r="R385" s="8"/>
    </row>
    <row r="386" ht="14.25" customHeight="1">
      <c r="E386" s="8"/>
      <c r="G386" s="8"/>
      <c r="H386" s="8"/>
      <c r="K386" s="8"/>
      <c r="L386" s="8"/>
      <c r="M386" s="8"/>
      <c r="O386" s="8"/>
      <c r="Q386" s="8"/>
      <c r="R386" s="8"/>
    </row>
    <row r="387" ht="14.25" customHeight="1">
      <c r="E387" s="8"/>
      <c r="G387" s="8"/>
      <c r="H387" s="8"/>
      <c r="K387" s="8"/>
      <c r="L387" s="8"/>
      <c r="M387" s="8"/>
      <c r="O387" s="8"/>
      <c r="Q387" s="8"/>
      <c r="R387" s="8"/>
    </row>
    <row r="388" ht="14.25" customHeight="1">
      <c r="E388" s="8"/>
      <c r="G388" s="8"/>
      <c r="H388" s="8"/>
      <c r="K388" s="8"/>
      <c r="L388" s="8"/>
      <c r="M388" s="8"/>
      <c r="O388" s="8"/>
      <c r="Q388" s="8"/>
      <c r="R388" s="8"/>
    </row>
    <row r="389" ht="14.25" customHeight="1">
      <c r="E389" s="8"/>
      <c r="G389" s="8"/>
      <c r="H389" s="8"/>
      <c r="K389" s="8"/>
      <c r="L389" s="8"/>
      <c r="M389" s="8"/>
      <c r="O389" s="8"/>
      <c r="Q389" s="8"/>
      <c r="R389" s="8"/>
    </row>
    <row r="390" ht="14.25" customHeight="1">
      <c r="E390" s="8"/>
      <c r="G390" s="8"/>
      <c r="H390" s="8"/>
      <c r="K390" s="8"/>
      <c r="L390" s="8"/>
      <c r="M390" s="8"/>
      <c r="O390" s="8"/>
      <c r="Q390" s="8"/>
      <c r="R390" s="8"/>
    </row>
    <row r="391" ht="14.25" customHeight="1">
      <c r="E391" s="8"/>
      <c r="G391" s="8"/>
      <c r="H391" s="8"/>
      <c r="K391" s="8"/>
      <c r="L391" s="8"/>
      <c r="M391" s="8"/>
      <c r="O391" s="8"/>
      <c r="Q391" s="8"/>
      <c r="R391" s="8"/>
    </row>
    <row r="392" ht="14.25" customHeight="1">
      <c r="E392" s="8"/>
      <c r="G392" s="8"/>
      <c r="H392" s="8"/>
      <c r="K392" s="8"/>
      <c r="L392" s="8"/>
      <c r="M392" s="8"/>
      <c r="O392" s="8"/>
      <c r="Q392" s="8"/>
      <c r="R392" s="8"/>
    </row>
    <row r="393" ht="14.25" customHeight="1">
      <c r="E393" s="8"/>
      <c r="G393" s="8"/>
      <c r="H393" s="8"/>
      <c r="K393" s="8"/>
      <c r="L393" s="8"/>
      <c r="M393" s="8"/>
      <c r="O393" s="8"/>
      <c r="Q393" s="8"/>
      <c r="R393" s="8"/>
    </row>
    <row r="394" ht="14.25" customHeight="1">
      <c r="E394" s="8"/>
      <c r="G394" s="8"/>
      <c r="H394" s="8"/>
      <c r="K394" s="8"/>
      <c r="L394" s="8"/>
      <c r="M394" s="8"/>
      <c r="O394" s="8"/>
      <c r="Q394" s="8"/>
      <c r="R394" s="8"/>
    </row>
    <row r="395" ht="14.25" customHeight="1">
      <c r="E395" s="8"/>
      <c r="G395" s="8"/>
      <c r="H395" s="8"/>
      <c r="K395" s="8"/>
      <c r="L395" s="8"/>
      <c r="M395" s="8"/>
      <c r="O395" s="8"/>
      <c r="Q395" s="8"/>
      <c r="R395" s="8"/>
    </row>
    <row r="396" ht="14.25" customHeight="1">
      <c r="E396" s="8"/>
      <c r="G396" s="8"/>
      <c r="H396" s="8"/>
      <c r="K396" s="8"/>
      <c r="L396" s="8"/>
      <c r="M396" s="8"/>
      <c r="O396" s="8"/>
      <c r="Q396" s="8"/>
      <c r="R396" s="8"/>
    </row>
    <row r="397" ht="14.25" customHeight="1">
      <c r="E397" s="8"/>
      <c r="G397" s="8"/>
      <c r="H397" s="8"/>
      <c r="K397" s="8"/>
      <c r="L397" s="8"/>
      <c r="M397" s="8"/>
      <c r="O397" s="8"/>
      <c r="Q397" s="8"/>
      <c r="R397" s="8"/>
    </row>
    <row r="398" ht="14.25" customHeight="1">
      <c r="E398" s="8"/>
      <c r="G398" s="8"/>
      <c r="H398" s="8"/>
      <c r="K398" s="8"/>
      <c r="L398" s="8"/>
      <c r="M398" s="8"/>
      <c r="O398" s="8"/>
      <c r="Q398" s="8"/>
      <c r="R398" s="8"/>
    </row>
    <row r="399" ht="14.25" customHeight="1">
      <c r="E399" s="8"/>
      <c r="G399" s="8"/>
      <c r="H399" s="8"/>
      <c r="K399" s="8"/>
      <c r="L399" s="8"/>
      <c r="M399" s="8"/>
      <c r="O399" s="8"/>
      <c r="Q399" s="8"/>
      <c r="R399" s="8"/>
    </row>
    <row r="400" ht="14.25" customHeight="1">
      <c r="E400" s="8"/>
      <c r="G400" s="8"/>
      <c r="H400" s="8"/>
      <c r="K400" s="8"/>
      <c r="L400" s="8"/>
      <c r="M400" s="8"/>
      <c r="O400" s="8"/>
      <c r="Q400" s="8"/>
      <c r="R400" s="8"/>
    </row>
    <row r="401" ht="14.25" customHeight="1">
      <c r="E401" s="8"/>
      <c r="G401" s="8"/>
      <c r="H401" s="8"/>
      <c r="K401" s="8"/>
      <c r="L401" s="8"/>
      <c r="M401" s="8"/>
      <c r="O401" s="8"/>
      <c r="Q401" s="8"/>
      <c r="R401" s="8"/>
    </row>
    <row r="402" ht="14.25" customHeight="1">
      <c r="E402" s="8"/>
      <c r="G402" s="8"/>
      <c r="H402" s="8"/>
      <c r="K402" s="8"/>
      <c r="L402" s="8"/>
      <c r="M402" s="8"/>
      <c r="O402" s="8"/>
      <c r="Q402" s="8"/>
      <c r="R402" s="8"/>
    </row>
    <row r="403" ht="14.25" customHeight="1">
      <c r="E403" s="8"/>
      <c r="G403" s="8"/>
      <c r="H403" s="8"/>
      <c r="K403" s="8"/>
      <c r="L403" s="8"/>
      <c r="M403" s="8"/>
      <c r="O403" s="8"/>
      <c r="Q403" s="8"/>
      <c r="R403" s="8"/>
    </row>
    <row r="404" ht="14.25" customHeight="1">
      <c r="E404" s="8"/>
      <c r="G404" s="8"/>
      <c r="H404" s="8"/>
      <c r="K404" s="8"/>
      <c r="L404" s="8"/>
      <c r="M404" s="8"/>
      <c r="O404" s="8"/>
      <c r="Q404" s="8"/>
      <c r="R404" s="8"/>
    </row>
    <row r="405" ht="14.25" customHeight="1">
      <c r="E405" s="8"/>
      <c r="G405" s="8"/>
      <c r="H405" s="8"/>
      <c r="K405" s="8"/>
      <c r="L405" s="8"/>
      <c r="M405" s="8"/>
      <c r="O405" s="8"/>
      <c r="Q405" s="8"/>
      <c r="R405" s="8"/>
    </row>
    <row r="406" ht="14.25" customHeight="1">
      <c r="E406" s="8"/>
      <c r="G406" s="8"/>
      <c r="H406" s="8"/>
      <c r="K406" s="8"/>
      <c r="L406" s="8"/>
      <c r="M406" s="8"/>
      <c r="O406" s="8"/>
      <c r="Q406" s="8"/>
      <c r="R406" s="8"/>
    </row>
    <row r="407" ht="14.25" customHeight="1">
      <c r="E407" s="8"/>
      <c r="G407" s="8"/>
      <c r="H407" s="8"/>
      <c r="K407" s="8"/>
      <c r="L407" s="8"/>
      <c r="M407" s="8"/>
      <c r="O407" s="8"/>
      <c r="Q407" s="8"/>
      <c r="R407" s="8"/>
    </row>
    <row r="408" ht="14.25" customHeight="1">
      <c r="E408" s="8"/>
      <c r="G408" s="8"/>
      <c r="H408" s="8"/>
      <c r="K408" s="8"/>
      <c r="L408" s="8"/>
      <c r="M408" s="8"/>
      <c r="O408" s="8"/>
      <c r="Q408" s="8"/>
      <c r="R408" s="8"/>
    </row>
    <row r="409" ht="14.25" customHeight="1">
      <c r="E409" s="8"/>
      <c r="G409" s="8"/>
      <c r="H409" s="8"/>
      <c r="K409" s="8"/>
      <c r="L409" s="8"/>
      <c r="M409" s="8"/>
      <c r="O409" s="8"/>
      <c r="Q409" s="8"/>
      <c r="R409" s="8"/>
    </row>
    <row r="410" ht="14.25" customHeight="1">
      <c r="E410" s="8"/>
      <c r="G410" s="8"/>
      <c r="H410" s="8"/>
      <c r="K410" s="8"/>
      <c r="L410" s="8"/>
      <c r="M410" s="8"/>
      <c r="O410" s="8"/>
      <c r="Q410" s="8"/>
      <c r="R410" s="8"/>
    </row>
    <row r="411" ht="14.25" customHeight="1">
      <c r="E411" s="8"/>
      <c r="G411" s="8"/>
      <c r="H411" s="8"/>
      <c r="K411" s="8"/>
      <c r="L411" s="8"/>
      <c r="M411" s="8"/>
      <c r="O411" s="8"/>
      <c r="Q411" s="8"/>
      <c r="R411" s="8"/>
    </row>
    <row r="412" ht="14.25" customHeight="1">
      <c r="E412" s="8"/>
      <c r="G412" s="8"/>
      <c r="H412" s="8"/>
      <c r="K412" s="8"/>
      <c r="L412" s="8"/>
      <c r="M412" s="8"/>
      <c r="O412" s="8"/>
      <c r="Q412" s="8"/>
      <c r="R412" s="8"/>
    </row>
    <row r="413" ht="14.25" customHeight="1">
      <c r="E413" s="8"/>
      <c r="G413" s="8"/>
      <c r="H413" s="8"/>
      <c r="K413" s="8"/>
      <c r="L413" s="8"/>
      <c r="M413" s="8"/>
      <c r="O413" s="8"/>
      <c r="Q413" s="8"/>
      <c r="R413" s="8"/>
    </row>
    <row r="414" ht="14.25" customHeight="1">
      <c r="E414" s="8"/>
      <c r="G414" s="8"/>
      <c r="H414" s="8"/>
      <c r="K414" s="8"/>
      <c r="L414" s="8"/>
      <c r="M414" s="8"/>
      <c r="O414" s="8"/>
      <c r="Q414" s="8"/>
      <c r="R414" s="8"/>
    </row>
    <row r="415" ht="14.25" customHeight="1">
      <c r="E415" s="8"/>
      <c r="G415" s="8"/>
      <c r="H415" s="8"/>
      <c r="K415" s="8"/>
      <c r="L415" s="8"/>
      <c r="M415" s="8"/>
      <c r="O415" s="8"/>
      <c r="Q415" s="8"/>
      <c r="R415" s="8"/>
    </row>
    <row r="416" ht="14.25" customHeight="1">
      <c r="E416" s="8"/>
      <c r="G416" s="8"/>
      <c r="H416" s="8"/>
      <c r="K416" s="8"/>
      <c r="L416" s="8"/>
      <c r="M416" s="8"/>
      <c r="O416" s="8"/>
      <c r="Q416" s="8"/>
      <c r="R416" s="8"/>
    </row>
    <row r="417" ht="14.25" customHeight="1">
      <c r="E417" s="8"/>
      <c r="G417" s="8"/>
      <c r="H417" s="8"/>
      <c r="K417" s="8"/>
      <c r="L417" s="8"/>
      <c r="M417" s="8"/>
      <c r="O417" s="8"/>
      <c r="Q417" s="8"/>
      <c r="R417" s="8"/>
    </row>
    <row r="418" ht="14.25" customHeight="1">
      <c r="E418" s="8"/>
      <c r="G418" s="8"/>
      <c r="H418" s="8"/>
      <c r="K418" s="8"/>
      <c r="L418" s="8"/>
      <c r="M418" s="8"/>
      <c r="O418" s="8"/>
      <c r="Q418" s="8"/>
      <c r="R418" s="8"/>
    </row>
    <row r="419" ht="14.25" customHeight="1">
      <c r="E419" s="8"/>
      <c r="G419" s="8"/>
      <c r="H419" s="8"/>
      <c r="K419" s="8"/>
      <c r="L419" s="8"/>
      <c r="M419" s="8"/>
      <c r="O419" s="8"/>
      <c r="Q419" s="8"/>
      <c r="R419" s="8"/>
    </row>
    <row r="420" ht="14.25" customHeight="1">
      <c r="E420" s="8"/>
      <c r="G420" s="8"/>
      <c r="H420" s="8"/>
      <c r="K420" s="8"/>
      <c r="L420" s="8"/>
      <c r="M420" s="8"/>
      <c r="O420" s="8"/>
      <c r="Q420" s="8"/>
      <c r="R420" s="8"/>
    </row>
    <row r="421" ht="14.25" customHeight="1">
      <c r="E421" s="8"/>
      <c r="G421" s="8"/>
      <c r="H421" s="8"/>
      <c r="K421" s="8"/>
      <c r="L421" s="8"/>
      <c r="M421" s="8"/>
      <c r="O421" s="8"/>
      <c r="Q421" s="8"/>
      <c r="R421" s="8"/>
    </row>
    <row r="422" ht="14.25" customHeight="1">
      <c r="E422" s="8"/>
      <c r="G422" s="8"/>
      <c r="H422" s="8"/>
      <c r="K422" s="8"/>
      <c r="L422" s="8"/>
      <c r="M422" s="8"/>
      <c r="O422" s="8"/>
      <c r="Q422" s="8"/>
      <c r="R422" s="8"/>
    </row>
    <row r="423" ht="14.25" customHeight="1">
      <c r="E423" s="8"/>
      <c r="G423" s="8"/>
      <c r="H423" s="8"/>
      <c r="K423" s="8"/>
      <c r="L423" s="8"/>
      <c r="M423" s="8"/>
      <c r="O423" s="8"/>
      <c r="Q423" s="8"/>
      <c r="R423" s="8"/>
    </row>
    <row r="424" ht="14.25" customHeight="1">
      <c r="E424" s="8"/>
      <c r="G424" s="8"/>
      <c r="H424" s="8"/>
      <c r="K424" s="8"/>
      <c r="L424" s="8"/>
      <c r="M424" s="8"/>
      <c r="O424" s="8"/>
      <c r="Q424" s="8"/>
      <c r="R424" s="8"/>
    </row>
    <row r="425" ht="14.25" customHeight="1">
      <c r="E425" s="8"/>
      <c r="G425" s="8"/>
      <c r="H425" s="8"/>
      <c r="K425" s="8"/>
      <c r="L425" s="8"/>
      <c r="M425" s="8"/>
      <c r="O425" s="8"/>
      <c r="Q425" s="8"/>
      <c r="R425" s="8"/>
    </row>
    <row r="426" ht="14.25" customHeight="1">
      <c r="E426" s="8"/>
      <c r="G426" s="8"/>
      <c r="H426" s="8"/>
      <c r="K426" s="8"/>
      <c r="L426" s="8"/>
      <c r="M426" s="8"/>
      <c r="O426" s="8"/>
      <c r="Q426" s="8"/>
      <c r="R426" s="8"/>
    </row>
    <row r="427" ht="14.25" customHeight="1">
      <c r="E427" s="8"/>
      <c r="G427" s="8"/>
      <c r="H427" s="8"/>
      <c r="K427" s="8"/>
      <c r="L427" s="8"/>
      <c r="M427" s="8"/>
      <c r="O427" s="8"/>
      <c r="Q427" s="8"/>
      <c r="R427" s="8"/>
    </row>
    <row r="428" ht="14.25" customHeight="1">
      <c r="E428" s="8"/>
      <c r="G428" s="8"/>
      <c r="H428" s="8"/>
      <c r="K428" s="8"/>
      <c r="L428" s="8"/>
      <c r="M428" s="8"/>
      <c r="O428" s="8"/>
      <c r="Q428" s="8"/>
      <c r="R428" s="8"/>
    </row>
    <row r="429" ht="14.25" customHeight="1">
      <c r="E429" s="8"/>
      <c r="G429" s="8"/>
      <c r="H429" s="8"/>
      <c r="K429" s="8"/>
      <c r="L429" s="8"/>
      <c r="M429" s="8"/>
      <c r="O429" s="8"/>
      <c r="Q429" s="8"/>
      <c r="R429" s="8"/>
    </row>
    <row r="430" ht="14.25" customHeight="1">
      <c r="E430" s="8"/>
      <c r="G430" s="8"/>
      <c r="H430" s="8"/>
      <c r="K430" s="8"/>
      <c r="L430" s="8"/>
      <c r="M430" s="8"/>
      <c r="O430" s="8"/>
      <c r="Q430" s="8"/>
      <c r="R430" s="8"/>
    </row>
    <row r="431" ht="14.25" customHeight="1">
      <c r="E431" s="8"/>
      <c r="G431" s="8"/>
      <c r="H431" s="8"/>
      <c r="K431" s="8"/>
      <c r="L431" s="8"/>
      <c r="M431" s="8"/>
      <c r="O431" s="8"/>
      <c r="Q431" s="8"/>
      <c r="R431" s="8"/>
    </row>
    <row r="432" ht="14.25" customHeight="1">
      <c r="E432" s="8"/>
      <c r="G432" s="8"/>
      <c r="H432" s="8"/>
      <c r="K432" s="8"/>
      <c r="L432" s="8"/>
      <c r="M432" s="8"/>
      <c r="O432" s="8"/>
      <c r="Q432" s="8"/>
      <c r="R432" s="8"/>
    </row>
    <row r="433" ht="14.25" customHeight="1">
      <c r="E433" s="8"/>
      <c r="G433" s="8"/>
      <c r="H433" s="8"/>
      <c r="K433" s="8"/>
      <c r="L433" s="8"/>
      <c r="M433" s="8"/>
      <c r="O433" s="8"/>
      <c r="Q433" s="8"/>
      <c r="R433" s="8"/>
    </row>
    <row r="434" ht="14.25" customHeight="1">
      <c r="E434" s="8"/>
      <c r="G434" s="8"/>
      <c r="H434" s="8"/>
      <c r="K434" s="8"/>
      <c r="L434" s="8"/>
      <c r="M434" s="8"/>
      <c r="O434" s="8"/>
      <c r="Q434" s="8"/>
      <c r="R434" s="8"/>
    </row>
    <row r="435" ht="14.25" customHeight="1">
      <c r="E435" s="8"/>
      <c r="G435" s="8"/>
      <c r="H435" s="8"/>
      <c r="K435" s="8"/>
      <c r="L435" s="8"/>
      <c r="M435" s="8"/>
      <c r="O435" s="8"/>
      <c r="Q435" s="8"/>
      <c r="R435" s="8"/>
    </row>
    <row r="436" ht="14.25" customHeight="1">
      <c r="E436" s="8"/>
      <c r="G436" s="8"/>
      <c r="H436" s="8"/>
      <c r="K436" s="8"/>
      <c r="L436" s="8"/>
      <c r="M436" s="8"/>
      <c r="O436" s="8"/>
      <c r="Q436" s="8"/>
      <c r="R436" s="8"/>
    </row>
    <row r="437" ht="14.25" customHeight="1">
      <c r="E437" s="8"/>
      <c r="G437" s="8"/>
      <c r="H437" s="8"/>
      <c r="K437" s="8"/>
      <c r="L437" s="8"/>
      <c r="M437" s="8"/>
      <c r="O437" s="8"/>
      <c r="Q437" s="8"/>
      <c r="R437" s="8"/>
    </row>
    <row r="438" ht="14.25" customHeight="1">
      <c r="E438" s="8"/>
      <c r="G438" s="8"/>
      <c r="H438" s="8"/>
      <c r="K438" s="8"/>
      <c r="L438" s="8"/>
      <c r="M438" s="8"/>
      <c r="O438" s="8"/>
      <c r="Q438" s="8"/>
      <c r="R438" s="8"/>
    </row>
    <row r="439" ht="14.25" customHeight="1">
      <c r="E439" s="8"/>
      <c r="G439" s="8"/>
      <c r="H439" s="8"/>
      <c r="K439" s="8"/>
      <c r="L439" s="8"/>
      <c r="M439" s="8"/>
      <c r="O439" s="8"/>
      <c r="Q439" s="8"/>
      <c r="R439" s="8"/>
    </row>
    <row r="440" ht="14.25" customHeight="1">
      <c r="E440" s="8"/>
      <c r="G440" s="8"/>
      <c r="H440" s="8"/>
      <c r="K440" s="8"/>
      <c r="L440" s="8"/>
      <c r="M440" s="8"/>
      <c r="O440" s="8"/>
      <c r="Q440" s="8"/>
      <c r="R440" s="8"/>
    </row>
    <row r="441" ht="14.25" customHeight="1">
      <c r="E441" s="8"/>
      <c r="G441" s="8"/>
      <c r="H441" s="8"/>
      <c r="K441" s="8"/>
      <c r="L441" s="8"/>
      <c r="M441" s="8"/>
      <c r="O441" s="8"/>
      <c r="Q441" s="8"/>
      <c r="R441" s="8"/>
    </row>
    <row r="442" ht="14.25" customHeight="1">
      <c r="E442" s="8"/>
      <c r="G442" s="8"/>
      <c r="H442" s="8"/>
      <c r="K442" s="8"/>
      <c r="L442" s="8"/>
      <c r="M442" s="8"/>
      <c r="O442" s="8"/>
      <c r="Q442" s="8"/>
      <c r="R442" s="8"/>
    </row>
    <row r="443" ht="14.25" customHeight="1">
      <c r="E443" s="8"/>
      <c r="G443" s="8"/>
      <c r="H443" s="8"/>
      <c r="K443" s="8"/>
      <c r="L443" s="8"/>
      <c r="M443" s="8"/>
      <c r="O443" s="8"/>
      <c r="Q443" s="8"/>
      <c r="R443" s="8"/>
    </row>
    <row r="444" ht="14.25" customHeight="1">
      <c r="E444" s="8"/>
      <c r="G444" s="8"/>
      <c r="H444" s="8"/>
      <c r="K444" s="8"/>
      <c r="L444" s="8"/>
      <c r="M444" s="8"/>
      <c r="O444" s="8"/>
      <c r="Q444" s="8"/>
      <c r="R444" s="8"/>
    </row>
    <row r="445" ht="14.25" customHeight="1">
      <c r="E445" s="8"/>
      <c r="G445" s="8"/>
      <c r="H445" s="8"/>
      <c r="K445" s="8"/>
      <c r="L445" s="8"/>
      <c r="M445" s="8"/>
      <c r="O445" s="8"/>
      <c r="Q445" s="8"/>
      <c r="R445" s="8"/>
    </row>
    <row r="446" ht="14.25" customHeight="1">
      <c r="E446" s="8"/>
      <c r="G446" s="8"/>
      <c r="H446" s="8"/>
      <c r="K446" s="8"/>
      <c r="L446" s="8"/>
      <c r="M446" s="8"/>
      <c r="O446" s="8"/>
      <c r="Q446" s="8"/>
      <c r="R446" s="8"/>
    </row>
    <row r="447" ht="14.25" customHeight="1">
      <c r="E447" s="8"/>
      <c r="G447" s="8"/>
      <c r="H447" s="8"/>
      <c r="K447" s="8"/>
      <c r="L447" s="8"/>
      <c r="M447" s="8"/>
      <c r="O447" s="8"/>
      <c r="Q447" s="8"/>
      <c r="R447" s="8"/>
    </row>
    <row r="448" ht="14.25" customHeight="1">
      <c r="E448" s="8"/>
      <c r="G448" s="8"/>
      <c r="H448" s="8"/>
      <c r="K448" s="8"/>
      <c r="L448" s="8"/>
      <c r="M448" s="8"/>
      <c r="O448" s="8"/>
      <c r="Q448" s="8"/>
      <c r="R448" s="8"/>
    </row>
    <row r="449" ht="14.25" customHeight="1">
      <c r="E449" s="8"/>
      <c r="G449" s="8"/>
      <c r="H449" s="8"/>
      <c r="K449" s="8"/>
      <c r="L449" s="8"/>
      <c r="M449" s="8"/>
      <c r="O449" s="8"/>
      <c r="Q449" s="8"/>
      <c r="R449" s="8"/>
    </row>
    <row r="450" ht="14.25" customHeight="1">
      <c r="E450" s="8"/>
      <c r="G450" s="8"/>
      <c r="H450" s="8"/>
      <c r="K450" s="8"/>
      <c r="L450" s="8"/>
      <c r="M450" s="8"/>
      <c r="O450" s="8"/>
      <c r="Q450" s="8"/>
      <c r="R450" s="8"/>
    </row>
    <row r="451" ht="14.25" customHeight="1">
      <c r="E451" s="8"/>
      <c r="G451" s="8"/>
      <c r="H451" s="8"/>
      <c r="K451" s="8"/>
      <c r="L451" s="8"/>
      <c r="M451" s="8"/>
      <c r="O451" s="8"/>
      <c r="Q451" s="8"/>
      <c r="R451" s="8"/>
    </row>
    <row r="452" ht="14.25" customHeight="1">
      <c r="E452" s="8"/>
      <c r="G452" s="8"/>
      <c r="H452" s="8"/>
      <c r="K452" s="8"/>
      <c r="L452" s="8"/>
      <c r="M452" s="8"/>
      <c r="O452" s="8"/>
      <c r="Q452" s="8"/>
      <c r="R452" s="8"/>
    </row>
    <row r="453" ht="14.25" customHeight="1">
      <c r="E453" s="8"/>
      <c r="G453" s="8"/>
      <c r="H453" s="8"/>
      <c r="K453" s="8"/>
      <c r="L453" s="8"/>
      <c r="M453" s="8"/>
      <c r="O453" s="8"/>
      <c r="Q453" s="8"/>
      <c r="R453" s="8"/>
    </row>
    <row r="454" ht="14.25" customHeight="1">
      <c r="E454" s="8"/>
      <c r="G454" s="8"/>
      <c r="H454" s="8"/>
      <c r="K454" s="8"/>
      <c r="L454" s="8"/>
      <c r="M454" s="8"/>
      <c r="O454" s="8"/>
      <c r="Q454" s="8"/>
      <c r="R454" s="8"/>
    </row>
    <row r="455" ht="14.25" customHeight="1">
      <c r="E455" s="8"/>
      <c r="G455" s="8"/>
      <c r="H455" s="8"/>
      <c r="K455" s="8"/>
      <c r="L455" s="8"/>
      <c r="M455" s="8"/>
      <c r="O455" s="8"/>
      <c r="Q455" s="8"/>
      <c r="R455" s="8"/>
    </row>
    <row r="456" ht="14.25" customHeight="1">
      <c r="E456" s="8"/>
      <c r="G456" s="8"/>
      <c r="H456" s="8"/>
      <c r="K456" s="8"/>
      <c r="L456" s="8"/>
      <c r="M456" s="8"/>
      <c r="O456" s="8"/>
      <c r="Q456" s="8"/>
      <c r="R456" s="8"/>
    </row>
    <row r="457" ht="14.25" customHeight="1">
      <c r="E457" s="8"/>
      <c r="G457" s="8"/>
      <c r="H457" s="8"/>
      <c r="K457" s="8"/>
      <c r="L457" s="8"/>
      <c r="M457" s="8"/>
      <c r="O457" s="8"/>
      <c r="Q457" s="8"/>
      <c r="R457" s="8"/>
    </row>
    <row r="458" ht="14.25" customHeight="1">
      <c r="E458" s="8"/>
      <c r="G458" s="8"/>
      <c r="H458" s="8"/>
      <c r="K458" s="8"/>
      <c r="L458" s="8"/>
      <c r="M458" s="8"/>
      <c r="O458" s="8"/>
      <c r="Q458" s="8"/>
      <c r="R458" s="8"/>
    </row>
    <row r="459" ht="14.25" customHeight="1">
      <c r="E459" s="8"/>
      <c r="G459" s="8"/>
      <c r="H459" s="8"/>
      <c r="K459" s="8"/>
      <c r="L459" s="8"/>
      <c r="M459" s="8"/>
      <c r="O459" s="8"/>
      <c r="Q459" s="8"/>
      <c r="R459" s="8"/>
    </row>
    <row r="460" ht="14.25" customHeight="1">
      <c r="E460" s="8"/>
      <c r="G460" s="8"/>
      <c r="H460" s="8"/>
      <c r="K460" s="8"/>
      <c r="L460" s="8"/>
      <c r="M460" s="8"/>
      <c r="O460" s="8"/>
      <c r="Q460" s="8"/>
      <c r="R460" s="8"/>
    </row>
    <row r="461" ht="14.25" customHeight="1">
      <c r="E461" s="8"/>
      <c r="G461" s="8"/>
      <c r="H461" s="8"/>
      <c r="K461" s="8"/>
      <c r="L461" s="8"/>
      <c r="M461" s="8"/>
      <c r="O461" s="8"/>
      <c r="Q461" s="8"/>
      <c r="R461" s="8"/>
    </row>
    <row r="462" ht="14.25" customHeight="1">
      <c r="E462" s="8"/>
      <c r="G462" s="8"/>
      <c r="H462" s="8"/>
      <c r="K462" s="8"/>
      <c r="L462" s="8"/>
      <c r="M462" s="8"/>
      <c r="O462" s="8"/>
      <c r="Q462" s="8"/>
      <c r="R462" s="8"/>
    </row>
    <row r="463" ht="14.25" customHeight="1">
      <c r="E463" s="8"/>
      <c r="G463" s="8"/>
      <c r="H463" s="8"/>
      <c r="K463" s="8"/>
      <c r="L463" s="8"/>
      <c r="M463" s="8"/>
      <c r="O463" s="8"/>
      <c r="Q463" s="8"/>
      <c r="R463" s="8"/>
    </row>
    <row r="464" ht="14.25" customHeight="1">
      <c r="E464" s="8"/>
      <c r="G464" s="8"/>
      <c r="H464" s="8"/>
      <c r="K464" s="8"/>
      <c r="L464" s="8"/>
      <c r="M464" s="8"/>
      <c r="O464" s="8"/>
      <c r="Q464" s="8"/>
      <c r="R464" s="8"/>
    </row>
    <row r="465" ht="14.25" customHeight="1">
      <c r="E465" s="8"/>
      <c r="G465" s="8"/>
      <c r="H465" s="8"/>
      <c r="K465" s="8"/>
      <c r="L465" s="8"/>
      <c r="M465" s="8"/>
      <c r="O465" s="8"/>
      <c r="Q465" s="8"/>
      <c r="R465" s="8"/>
    </row>
    <row r="466" ht="14.25" customHeight="1">
      <c r="E466" s="8"/>
      <c r="G466" s="8"/>
      <c r="H466" s="8"/>
      <c r="K466" s="8"/>
      <c r="L466" s="8"/>
      <c r="M466" s="8"/>
      <c r="O466" s="8"/>
      <c r="Q466" s="8"/>
      <c r="R466" s="8"/>
    </row>
    <row r="467" ht="14.25" customHeight="1">
      <c r="E467" s="8"/>
      <c r="G467" s="8"/>
      <c r="H467" s="8"/>
      <c r="K467" s="8"/>
      <c r="L467" s="8"/>
      <c r="M467" s="8"/>
      <c r="O467" s="8"/>
      <c r="Q467" s="8"/>
      <c r="R467" s="8"/>
    </row>
    <row r="468" ht="14.25" customHeight="1">
      <c r="E468" s="8"/>
      <c r="G468" s="8"/>
      <c r="H468" s="8"/>
      <c r="K468" s="8"/>
      <c r="L468" s="8"/>
      <c r="M468" s="8"/>
      <c r="O468" s="8"/>
      <c r="Q468" s="8"/>
      <c r="R468" s="8"/>
    </row>
    <row r="469" ht="14.25" customHeight="1">
      <c r="E469" s="8"/>
      <c r="G469" s="8"/>
      <c r="H469" s="8"/>
      <c r="K469" s="8"/>
      <c r="L469" s="8"/>
      <c r="M469" s="8"/>
      <c r="O469" s="8"/>
      <c r="Q469" s="8"/>
      <c r="R469" s="8"/>
    </row>
    <row r="470" ht="14.25" customHeight="1">
      <c r="E470" s="8"/>
      <c r="G470" s="8"/>
      <c r="H470" s="8"/>
      <c r="K470" s="8"/>
      <c r="L470" s="8"/>
      <c r="M470" s="8"/>
      <c r="O470" s="8"/>
      <c r="Q470" s="8"/>
      <c r="R470" s="8"/>
    </row>
    <row r="471" ht="14.25" customHeight="1">
      <c r="E471" s="8"/>
      <c r="G471" s="8"/>
      <c r="H471" s="8"/>
      <c r="K471" s="8"/>
      <c r="L471" s="8"/>
      <c r="M471" s="8"/>
      <c r="O471" s="8"/>
      <c r="Q471" s="8"/>
      <c r="R471" s="8"/>
    </row>
    <row r="472" ht="14.25" customHeight="1">
      <c r="E472" s="8"/>
      <c r="G472" s="8"/>
      <c r="H472" s="8"/>
      <c r="K472" s="8"/>
      <c r="L472" s="8"/>
      <c r="M472" s="8"/>
      <c r="O472" s="8"/>
      <c r="Q472" s="8"/>
      <c r="R472" s="8"/>
    </row>
    <row r="473" ht="14.25" customHeight="1">
      <c r="E473" s="8"/>
      <c r="G473" s="8"/>
      <c r="H473" s="8"/>
      <c r="K473" s="8"/>
      <c r="L473" s="8"/>
      <c r="M473" s="8"/>
      <c r="O473" s="8"/>
      <c r="Q473" s="8"/>
      <c r="R473" s="8"/>
    </row>
    <row r="474" ht="14.25" customHeight="1">
      <c r="E474" s="8"/>
      <c r="G474" s="8"/>
      <c r="H474" s="8"/>
      <c r="K474" s="8"/>
      <c r="L474" s="8"/>
      <c r="M474" s="8"/>
      <c r="O474" s="8"/>
      <c r="Q474" s="8"/>
      <c r="R474" s="8"/>
    </row>
    <row r="475" ht="14.25" customHeight="1">
      <c r="E475" s="8"/>
      <c r="G475" s="8"/>
      <c r="H475" s="8"/>
      <c r="K475" s="8"/>
      <c r="L475" s="8"/>
      <c r="M475" s="8"/>
      <c r="O475" s="8"/>
      <c r="Q475" s="8"/>
      <c r="R475" s="8"/>
    </row>
    <row r="476" ht="14.25" customHeight="1">
      <c r="E476" s="8"/>
      <c r="G476" s="8"/>
      <c r="H476" s="8"/>
      <c r="K476" s="8"/>
      <c r="L476" s="8"/>
      <c r="M476" s="8"/>
      <c r="O476" s="8"/>
      <c r="Q476" s="8"/>
      <c r="R476" s="8"/>
    </row>
    <row r="477" ht="14.25" customHeight="1">
      <c r="E477" s="8"/>
      <c r="G477" s="8"/>
      <c r="H477" s="8"/>
      <c r="K477" s="8"/>
      <c r="L477" s="8"/>
      <c r="M477" s="8"/>
      <c r="O477" s="8"/>
      <c r="Q477" s="8"/>
      <c r="R477" s="8"/>
    </row>
    <row r="478" ht="14.25" customHeight="1">
      <c r="E478" s="8"/>
      <c r="G478" s="8"/>
      <c r="H478" s="8"/>
      <c r="K478" s="8"/>
      <c r="L478" s="8"/>
      <c r="M478" s="8"/>
      <c r="O478" s="8"/>
      <c r="Q478" s="8"/>
      <c r="R478" s="8"/>
    </row>
    <row r="479" ht="14.25" customHeight="1">
      <c r="E479" s="8"/>
      <c r="G479" s="8"/>
      <c r="H479" s="8"/>
      <c r="K479" s="8"/>
      <c r="L479" s="8"/>
      <c r="M479" s="8"/>
      <c r="O479" s="8"/>
      <c r="Q479" s="8"/>
      <c r="R479" s="8"/>
    </row>
    <row r="480" ht="14.25" customHeight="1">
      <c r="E480" s="8"/>
      <c r="G480" s="8"/>
      <c r="H480" s="8"/>
      <c r="K480" s="8"/>
      <c r="L480" s="8"/>
      <c r="M480" s="8"/>
      <c r="O480" s="8"/>
      <c r="Q480" s="8"/>
      <c r="R480" s="8"/>
    </row>
    <row r="481" ht="14.25" customHeight="1">
      <c r="E481" s="8"/>
      <c r="G481" s="8"/>
      <c r="H481" s="8"/>
      <c r="K481" s="8"/>
      <c r="L481" s="8"/>
      <c r="M481" s="8"/>
      <c r="O481" s="8"/>
      <c r="Q481" s="8"/>
      <c r="R481" s="8"/>
    </row>
    <row r="482" ht="14.25" customHeight="1">
      <c r="E482" s="8"/>
      <c r="G482" s="8"/>
      <c r="H482" s="8"/>
      <c r="K482" s="8"/>
      <c r="L482" s="8"/>
      <c r="M482" s="8"/>
      <c r="O482" s="8"/>
      <c r="Q482" s="8"/>
      <c r="R482" s="8"/>
    </row>
    <row r="483" ht="14.25" customHeight="1">
      <c r="E483" s="8"/>
      <c r="G483" s="8"/>
      <c r="H483" s="8"/>
      <c r="K483" s="8"/>
      <c r="L483" s="8"/>
      <c r="M483" s="8"/>
      <c r="O483" s="8"/>
      <c r="Q483" s="8"/>
      <c r="R483" s="8"/>
    </row>
    <row r="484" ht="14.25" customHeight="1">
      <c r="E484" s="8"/>
      <c r="G484" s="8"/>
      <c r="H484" s="8"/>
      <c r="K484" s="8"/>
      <c r="L484" s="8"/>
      <c r="M484" s="8"/>
      <c r="O484" s="8"/>
      <c r="Q484" s="8"/>
      <c r="R484" s="8"/>
    </row>
    <row r="485" ht="14.25" customHeight="1">
      <c r="E485" s="8"/>
      <c r="G485" s="8"/>
      <c r="H485" s="8"/>
      <c r="K485" s="8"/>
      <c r="L485" s="8"/>
      <c r="M485" s="8"/>
      <c r="O485" s="8"/>
      <c r="Q485" s="8"/>
      <c r="R485" s="8"/>
    </row>
    <row r="486" ht="14.25" customHeight="1">
      <c r="E486" s="8"/>
      <c r="G486" s="8"/>
      <c r="H486" s="8"/>
      <c r="K486" s="8"/>
      <c r="L486" s="8"/>
      <c r="M486" s="8"/>
      <c r="O486" s="8"/>
      <c r="Q486" s="8"/>
      <c r="R486" s="8"/>
    </row>
    <row r="487" ht="14.25" customHeight="1">
      <c r="E487" s="8"/>
      <c r="G487" s="8"/>
      <c r="H487" s="8"/>
      <c r="K487" s="8"/>
      <c r="L487" s="8"/>
      <c r="M487" s="8"/>
      <c r="O487" s="8"/>
      <c r="Q487" s="8"/>
      <c r="R487" s="8"/>
    </row>
    <row r="488" ht="14.25" customHeight="1">
      <c r="E488" s="8"/>
      <c r="G488" s="8"/>
      <c r="H488" s="8"/>
      <c r="K488" s="8"/>
      <c r="L488" s="8"/>
      <c r="M488" s="8"/>
      <c r="O488" s="8"/>
      <c r="Q488" s="8"/>
      <c r="R488" s="8"/>
    </row>
    <row r="489" ht="14.25" customHeight="1">
      <c r="E489" s="8"/>
      <c r="G489" s="8"/>
      <c r="H489" s="8"/>
      <c r="K489" s="8"/>
      <c r="L489" s="8"/>
      <c r="M489" s="8"/>
      <c r="O489" s="8"/>
      <c r="Q489" s="8"/>
      <c r="R489" s="8"/>
    </row>
    <row r="490" ht="14.25" customHeight="1">
      <c r="E490" s="8"/>
      <c r="G490" s="8"/>
      <c r="H490" s="8"/>
      <c r="K490" s="8"/>
      <c r="L490" s="8"/>
      <c r="M490" s="8"/>
      <c r="O490" s="8"/>
      <c r="Q490" s="8"/>
      <c r="R490" s="8"/>
    </row>
    <row r="491" ht="14.25" customHeight="1">
      <c r="E491" s="8"/>
      <c r="G491" s="8"/>
      <c r="H491" s="8"/>
      <c r="K491" s="8"/>
      <c r="L491" s="8"/>
      <c r="M491" s="8"/>
      <c r="O491" s="8"/>
      <c r="Q491" s="8"/>
      <c r="R491" s="8"/>
    </row>
    <row r="492" ht="14.25" customHeight="1">
      <c r="E492" s="8"/>
      <c r="G492" s="8"/>
      <c r="H492" s="8"/>
      <c r="K492" s="8"/>
      <c r="L492" s="8"/>
      <c r="M492" s="8"/>
      <c r="O492" s="8"/>
      <c r="Q492" s="8"/>
      <c r="R492" s="8"/>
    </row>
    <row r="493" ht="14.25" customHeight="1">
      <c r="E493" s="8"/>
      <c r="G493" s="8"/>
      <c r="H493" s="8"/>
      <c r="K493" s="8"/>
      <c r="L493" s="8"/>
      <c r="M493" s="8"/>
      <c r="O493" s="8"/>
      <c r="Q493" s="8"/>
      <c r="R493" s="8"/>
    </row>
    <row r="494" ht="14.25" customHeight="1">
      <c r="E494" s="8"/>
      <c r="G494" s="8"/>
      <c r="H494" s="8"/>
      <c r="K494" s="8"/>
      <c r="L494" s="8"/>
      <c r="M494" s="8"/>
      <c r="O494" s="8"/>
      <c r="Q494" s="8"/>
      <c r="R494" s="8"/>
    </row>
    <row r="495" ht="14.25" customHeight="1">
      <c r="E495" s="8"/>
      <c r="G495" s="8"/>
      <c r="H495" s="8"/>
      <c r="K495" s="8"/>
      <c r="L495" s="8"/>
      <c r="M495" s="8"/>
      <c r="O495" s="8"/>
      <c r="Q495" s="8"/>
      <c r="R495" s="8"/>
    </row>
    <row r="496" ht="14.25" customHeight="1">
      <c r="E496" s="8"/>
      <c r="G496" s="8"/>
      <c r="H496" s="8"/>
      <c r="K496" s="8"/>
      <c r="L496" s="8"/>
      <c r="M496" s="8"/>
      <c r="O496" s="8"/>
      <c r="Q496" s="8"/>
      <c r="R496" s="8"/>
    </row>
    <row r="497" ht="14.25" customHeight="1">
      <c r="E497" s="8"/>
      <c r="G497" s="8"/>
      <c r="H497" s="8"/>
      <c r="K497" s="8"/>
      <c r="L497" s="8"/>
      <c r="M497" s="8"/>
      <c r="O497" s="8"/>
      <c r="Q497" s="8"/>
      <c r="R497" s="8"/>
    </row>
    <row r="498" ht="14.25" customHeight="1">
      <c r="E498" s="8"/>
      <c r="G498" s="8"/>
      <c r="H498" s="8"/>
      <c r="K498" s="8"/>
      <c r="L498" s="8"/>
      <c r="M498" s="8"/>
      <c r="O498" s="8"/>
      <c r="Q498" s="8"/>
      <c r="R498" s="8"/>
    </row>
    <row r="499" ht="14.25" customHeight="1">
      <c r="E499" s="8"/>
      <c r="G499" s="8"/>
      <c r="H499" s="8"/>
      <c r="K499" s="8"/>
      <c r="L499" s="8"/>
      <c r="M499" s="8"/>
      <c r="O499" s="8"/>
      <c r="Q499" s="8"/>
      <c r="R499" s="8"/>
    </row>
    <row r="500" ht="14.25" customHeight="1">
      <c r="E500" s="8"/>
      <c r="G500" s="8"/>
      <c r="H500" s="8"/>
      <c r="K500" s="8"/>
      <c r="L500" s="8"/>
      <c r="M500" s="8"/>
      <c r="O500" s="8"/>
      <c r="Q500" s="8"/>
      <c r="R500" s="8"/>
    </row>
    <row r="501" ht="14.25" customHeight="1">
      <c r="E501" s="8"/>
      <c r="G501" s="8"/>
      <c r="H501" s="8"/>
      <c r="K501" s="8"/>
      <c r="L501" s="8"/>
      <c r="M501" s="8"/>
      <c r="O501" s="8"/>
      <c r="Q501" s="8"/>
      <c r="R501" s="8"/>
    </row>
    <row r="502" ht="14.25" customHeight="1">
      <c r="E502" s="8"/>
      <c r="G502" s="8"/>
      <c r="H502" s="8"/>
      <c r="K502" s="8"/>
      <c r="L502" s="8"/>
      <c r="M502" s="8"/>
      <c r="O502" s="8"/>
      <c r="Q502" s="8"/>
      <c r="R502" s="8"/>
    </row>
    <row r="503" ht="14.25" customHeight="1">
      <c r="E503" s="8"/>
      <c r="G503" s="8"/>
      <c r="H503" s="8"/>
      <c r="K503" s="8"/>
      <c r="L503" s="8"/>
      <c r="M503" s="8"/>
      <c r="O503" s="8"/>
      <c r="Q503" s="8"/>
      <c r="R503" s="8"/>
    </row>
    <row r="504" ht="14.25" customHeight="1">
      <c r="E504" s="8"/>
      <c r="G504" s="8"/>
      <c r="H504" s="8"/>
      <c r="K504" s="8"/>
      <c r="L504" s="8"/>
      <c r="M504" s="8"/>
      <c r="O504" s="8"/>
      <c r="Q504" s="8"/>
      <c r="R504" s="8"/>
    </row>
    <row r="505" ht="14.25" customHeight="1">
      <c r="E505" s="8"/>
      <c r="G505" s="8"/>
      <c r="H505" s="8"/>
      <c r="K505" s="8"/>
      <c r="L505" s="8"/>
      <c r="M505" s="8"/>
      <c r="O505" s="8"/>
      <c r="Q505" s="8"/>
      <c r="R505" s="8"/>
    </row>
    <row r="506" ht="14.25" customHeight="1">
      <c r="E506" s="8"/>
      <c r="G506" s="8"/>
      <c r="H506" s="8"/>
      <c r="K506" s="8"/>
      <c r="L506" s="8"/>
      <c r="M506" s="8"/>
      <c r="O506" s="8"/>
      <c r="Q506" s="8"/>
      <c r="R506" s="8"/>
    </row>
    <row r="507" ht="14.25" customHeight="1">
      <c r="E507" s="8"/>
      <c r="G507" s="8"/>
      <c r="H507" s="8"/>
      <c r="K507" s="8"/>
      <c r="L507" s="8"/>
      <c r="M507" s="8"/>
      <c r="O507" s="8"/>
      <c r="Q507" s="8"/>
      <c r="R507" s="8"/>
    </row>
    <row r="508" ht="14.25" customHeight="1">
      <c r="E508" s="8"/>
      <c r="G508" s="8"/>
      <c r="H508" s="8"/>
      <c r="K508" s="8"/>
      <c r="L508" s="8"/>
      <c r="M508" s="8"/>
      <c r="O508" s="8"/>
      <c r="Q508" s="8"/>
      <c r="R508" s="8"/>
    </row>
    <row r="509" ht="14.25" customHeight="1">
      <c r="E509" s="8"/>
      <c r="G509" s="8"/>
      <c r="H509" s="8"/>
      <c r="K509" s="8"/>
      <c r="L509" s="8"/>
      <c r="M509" s="8"/>
      <c r="O509" s="8"/>
      <c r="Q509" s="8"/>
      <c r="R509" s="8"/>
    </row>
    <row r="510" ht="14.25" customHeight="1">
      <c r="E510" s="8"/>
      <c r="G510" s="8"/>
      <c r="H510" s="8"/>
      <c r="K510" s="8"/>
      <c r="L510" s="8"/>
      <c r="M510" s="8"/>
      <c r="O510" s="8"/>
      <c r="Q510" s="8"/>
      <c r="R510" s="8"/>
    </row>
    <row r="511" ht="14.25" customHeight="1">
      <c r="E511" s="8"/>
      <c r="G511" s="8"/>
      <c r="H511" s="8"/>
      <c r="K511" s="8"/>
      <c r="L511" s="8"/>
      <c r="M511" s="8"/>
      <c r="O511" s="8"/>
      <c r="Q511" s="8"/>
      <c r="R511" s="8"/>
    </row>
    <row r="512" ht="14.25" customHeight="1">
      <c r="E512" s="8"/>
      <c r="G512" s="8"/>
      <c r="H512" s="8"/>
      <c r="K512" s="8"/>
      <c r="L512" s="8"/>
      <c r="M512" s="8"/>
      <c r="O512" s="8"/>
      <c r="Q512" s="8"/>
      <c r="R512" s="8"/>
    </row>
    <row r="513" ht="14.25" customHeight="1">
      <c r="E513" s="8"/>
      <c r="G513" s="8"/>
      <c r="H513" s="8"/>
      <c r="K513" s="8"/>
      <c r="L513" s="8"/>
      <c r="M513" s="8"/>
      <c r="O513" s="8"/>
      <c r="Q513" s="8"/>
      <c r="R513" s="8"/>
    </row>
    <row r="514" ht="14.25" customHeight="1">
      <c r="E514" s="8"/>
      <c r="G514" s="8"/>
      <c r="H514" s="8"/>
      <c r="K514" s="8"/>
      <c r="L514" s="8"/>
      <c r="M514" s="8"/>
      <c r="O514" s="8"/>
      <c r="Q514" s="8"/>
      <c r="R514" s="8"/>
    </row>
    <row r="515" ht="14.25" customHeight="1">
      <c r="E515" s="8"/>
      <c r="G515" s="8"/>
      <c r="H515" s="8"/>
      <c r="K515" s="8"/>
      <c r="L515" s="8"/>
      <c r="M515" s="8"/>
      <c r="O515" s="8"/>
      <c r="Q515" s="8"/>
      <c r="R515" s="8"/>
    </row>
    <row r="516" ht="14.25" customHeight="1">
      <c r="E516" s="8"/>
      <c r="G516" s="8"/>
      <c r="H516" s="8"/>
      <c r="K516" s="8"/>
      <c r="L516" s="8"/>
      <c r="M516" s="8"/>
      <c r="O516" s="8"/>
      <c r="Q516" s="8"/>
      <c r="R516" s="8"/>
    </row>
    <row r="517" ht="14.25" customHeight="1">
      <c r="E517" s="8"/>
      <c r="G517" s="8"/>
      <c r="H517" s="8"/>
      <c r="K517" s="8"/>
      <c r="L517" s="8"/>
      <c r="M517" s="8"/>
      <c r="O517" s="8"/>
      <c r="Q517" s="8"/>
      <c r="R517" s="8"/>
    </row>
    <row r="518" ht="14.25" customHeight="1">
      <c r="E518" s="8"/>
      <c r="G518" s="8"/>
      <c r="H518" s="8"/>
      <c r="K518" s="8"/>
      <c r="L518" s="8"/>
      <c r="M518" s="8"/>
      <c r="O518" s="8"/>
      <c r="Q518" s="8"/>
      <c r="R518" s="8"/>
    </row>
    <row r="519" ht="14.25" customHeight="1">
      <c r="E519" s="8"/>
      <c r="G519" s="8"/>
      <c r="H519" s="8"/>
      <c r="K519" s="8"/>
      <c r="L519" s="8"/>
      <c r="M519" s="8"/>
      <c r="O519" s="8"/>
      <c r="Q519" s="8"/>
      <c r="R519" s="8"/>
    </row>
    <row r="520" ht="14.25" customHeight="1">
      <c r="E520" s="8"/>
      <c r="G520" s="8"/>
      <c r="H520" s="8"/>
      <c r="K520" s="8"/>
      <c r="L520" s="8"/>
      <c r="M520" s="8"/>
      <c r="O520" s="8"/>
      <c r="Q520" s="8"/>
      <c r="R520" s="8"/>
    </row>
    <row r="521" ht="14.25" customHeight="1">
      <c r="E521" s="8"/>
      <c r="G521" s="8"/>
      <c r="H521" s="8"/>
      <c r="K521" s="8"/>
      <c r="L521" s="8"/>
      <c r="M521" s="8"/>
      <c r="O521" s="8"/>
      <c r="Q521" s="8"/>
      <c r="R521" s="8"/>
    </row>
    <row r="522" ht="14.25" customHeight="1">
      <c r="E522" s="8"/>
      <c r="G522" s="8"/>
      <c r="H522" s="8"/>
      <c r="K522" s="8"/>
      <c r="L522" s="8"/>
      <c r="M522" s="8"/>
      <c r="O522" s="8"/>
      <c r="Q522" s="8"/>
      <c r="R522" s="8"/>
    </row>
    <row r="523" ht="14.25" customHeight="1">
      <c r="E523" s="8"/>
      <c r="G523" s="8"/>
      <c r="H523" s="8"/>
      <c r="K523" s="8"/>
      <c r="L523" s="8"/>
      <c r="M523" s="8"/>
      <c r="O523" s="8"/>
      <c r="Q523" s="8"/>
      <c r="R523" s="8"/>
    </row>
    <row r="524" ht="14.25" customHeight="1">
      <c r="E524" s="8"/>
      <c r="G524" s="8"/>
      <c r="H524" s="8"/>
      <c r="K524" s="8"/>
      <c r="L524" s="8"/>
      <c r="M524" s="8"/>
      <c r="O524" s="8"/>
      <c r="Q524" s="8"/>
      <c r="R524" s="8"/>
    </row>
    <row r="525" ht="14.25" customHeight="1">
      <c r="E525" s="8"/>
      <c r="G525" s="8"/>
      <c r="H525" s="8"/>
      <c r="K525" s="8"/>
      <c r="L525" s="8"/>
      <c r="M525" s="8"/>
      <c r="O525" s="8"/>
      <c r="Q525" s="8"/>
      <c r="R525" s="8"/>
    </row>
    <row r="526" ht="14.25" customHeight="1">
      <c r="E526" s="8"/>
      <c r="G526" s="8"/>
      <c r="H526" s="8"/>
      <c r="K526" s="8"/>
      <c r="L526" s="8"/>
      <c r="M526" s="8"/>
      <c r="O526" s="8"/>
      <c r="Q526" s="8"/>
      <c r="R526" s="8"/>
    </row>
    <row r="527" ht="14.25" customHeight="1">
      <c r="E527" s="8"/>
      <c r="G527" s="8"/>
      <c r="H527" s="8"/>
      <c r="K527" s="8"/>
      <c r="L527" s="8"/>
      <c r="M527" s="8"/>
      <c r="O527" s="8"/>
      <c r="Q527" s="8"/>
      <c r="R527" s="8"/>
    </row>
    <row r="528" ht="14.25" customHeight="1">
      <c r="E528" s="8"/>
      <c r="G528" s="8"/>
      <c r="H528" s="8"/>
      <c r="K528" s="8"/>
      <c r="L528" s="8"/>
      <c r="M528" s="8"/>
      <c r="O528" s="8"/>
      <c r="Q528" s="8"/>
      <c r="R528" s="8"/>
    </row>
    <row r="529" ht="14.25" customHeight="1">
      <c r="E529" s="8"/>
      <c r="G529" s="8"/>
      <c r="H529" s="8"/>
      <c r="K529" s="8"/>
      <c r="L529" s="8"/>
      <c r="M529" s="8"/>
      <c r="O529" s="8"/>
      <c r="Q529" s="8"/>
      <c r="R529" s="8"/>
    </row>
    <row r="530" ht="14.25" customHeight="1">
      <c r="E530" s="8"/>
      <c r="G530" s="8"/>
      <c r="H530" s="8"/>
      <c r="K530" s="8"/>
      <c r="L530" s="8"/>
      <c r="M530" s="8"/>
      <c r="O530" s="8"/>
      <c r="Q530" s="8"/>
      <c r="R530" s="8"/>
    </row>
    <row r="531" ht="14.25" customHeight="1">
      <c r="E531" s="8"/>
      <c r="G531" s="8"/>
      <c r="H531" s="8"/>
      <c r="K531" s="8"/>
      <c r="L531" s="8"/>
      <c r="M531" s="8"/>
      <c r="O531" s="8"/>
      <c r="Q531" s="8"/>
      <c r="R531" s="8"/>
    </row>
    <row r="532" ht="14.25" customHeight="1">
      <c r="E532" s="8"/>
      <c r="G532" s="8"/>
      <c r="H532" s="8"/>
      <c r="K532" s="8"/>
      <c r="L532" s="8"/>
      <c r="M532" s="8"/>
      <c r="O532" s="8"/>
      <c r="Q532" s="8"/>
      <c r="R532" s="8"/>
    </row>
    <row r="533" ht="14.25" customHeight="1">
      <c r="E533" s="8"/>
      <c r="G533" s="8"/>
      <c r="H533" s="8"/>
      <c r="K533" s="8"/>
      <c r="L533" s="8"/>
      <c r="M533" s="8"/>
      <c r="O533" s="8"/>
      <c r="Q533" s="8"/>
      <c r="R533" s="8"/>
    </row>
    <row r="534" ht="14.25" customHeight="1">
      <c r="E534" s="8"/>
      <c r="G534" s="8"/>
      <c r="H534" s="8"/>
      <c r="K534" s="8"/>
      <c r="L534" s="8"/>
      <c r="M534" s="8"/>
      <c r="O534" s="8"/>
      <c r="Q534" s="8"/>
      <c r="R534" s="8"/>
    </row>
    <row r="535" ht="14.25" customHeight="1">
      <c r="E535" s="8"/>
      <c r="G535" s="8"/>
      <c r="H535" s="8"/>
      <c r="K535" s="8"/>
      <c r="L535" s="8"/>
      <c r="M535" s="8"/>
      <c r="O535" s="8"/>
      <c r="Q535" s="8"/>
      <c r="R535" s="8"/>
    </row>
    <row r="536" ht="14.25" customHeight="1">
      <c r="E536" s="8"/>
      <c r="G536" s="8"/>
      <c r="H536" s="8"/>
      <c r="K536" s="8"/>
      <c r="L536" s="8"/>
      <c r="M536" s="8"/>
      <c r="O536" s="8"/>
      <c r="Q536" s="8"/>
      <c r="R536" s="8"/>
    </row>
    <row r="537" ht="14.25" customHeight="1">
      <c r="E537" s="8"/>
      <c r="G537" s="8"/>
      <c r="H537" s="8"/>
      <c r="K537" s="8"/>
      <c r="L537" s="8"/>
      <c r="M537" s="8"/>
      <c r="O537" s="8"/>
      <c r="Q537" s="8"/>
      <c r="R537" s="8"/>
    </row>
    <row r="538" ht="14.25" customHeight="1">
      <c r="E538" s="8"/>
      <c r="G538" s="8"/>
      <c r="H538" s="8"/>
      <c r="K538" s="8"/>
      <c r="L538" s="8"/>
      <c r="M538" s="8"/>
      <c r="O538" s="8"/>
      <c r="Q538" s="8"/>
      <c r="R538" s="8"/>
    </row>
    <row r="539" ht="14.25" customHeight="1">
      <c r="E539" s="8"/>
      <c r="G539" s="8"/>
      <c r="H539" s="8"/>
      <c r="K539" s="8"/>
      <c r="L539" s="8"/>
      <c r="M539" s="8"/>
      <c r="O539" s="8"/>
      <c r="Q539" s="8"/>
      <c r="R539" s="8"/>
    </row>
    <row r="540" ht="14.25" customHeight="1">
      <c r="E540" s="8"/>
      <c r="G540" s="8"/>
      <c r="H540" s="8"/>
      <c r="K540" s="8"/>
      <c r="L540" s="8"/>
      <c r="M540" s="8"/>
      <c r="O540" s="8"/>
      <c r="Q540" s="8"/>
      <c r="R540" s="8"/>
    </row>
    <row r="541" ht="14.25" customHeight="1">
      <c r="E541" s="8"/>
      <c r="G541" s="8"/>
      <c r="H541" s="8"/>
      <c r="K541" s="8"/>
      <c r="L541" s="8"/>
      <c r="M541" s="8"/>
      <c r="O541" s="8"/>
      <c r="Q541" s="8"/>
      <c r="R541" s="8"/>
    </row>
    <row r="542" ht="14.25" customHeight="1">
      <c r="E542" s="8"/>
      <c r="G542" s="8"/>
      <c r="H542" s="8"/>
      <c r="K542" s="8"/>
      <c r="L542" s="8"/>
      <c r="M542" s="8"/>
      <c r="O542" s="8"/>
      <c r="Q542" s="8"/>
      <c r="R542" s="8"/>
    </row>
    <row r="543" ht="14.25" customHeight="1">
      <c r="E543" s="8"/>
      <c r="G543" s="8"/>
      <c r="H543" s="8"/>
      <c r="K543" s="8"/>
      <c r="L543" s="8"/>
      <c r="M543" s="8"/>
      <c r="O543" s="8"/>
      <c r="Q543" s="8"/>
      <c r="R543" s="8"/>
    </row>
    <row r="544" ht="14.25" customHeight="1">
      <c r="E544" s="8"/>
      <c r="G544" s="8"/>
      <c r="H544" s="8"/>
      <c r="K544" s="8"/>
      <c r="L544" s="8"/>
      <c r="M544" s="8"/>
      <c r="O544" s="8"/>
      <c r="Q544" s="8"/>
      <c r="R544" s="8"/>
    </row>
    <row r="545" ht="14.25" customHeight="1">
      <c r="E545" s="8"/>
      <c r="G545" s="8"/>
      <c r="H545" s="8"/>
      <c r="K545" s="8"/>
      <c r="L545" s="8"/>
      <c r="M545" s="8"/>
      <c r="O545" s="8"/>
      <c r="Q545" s="8"/>
      <c r="R545" s="8"/>
    </row>
    <row r="546" ht="14.25" customHeight="1">
      <c r="E546" s="8"/>
      <c r="G546" s="8"/>
      <c r="H546" s="8"/>
      <c r="K546" s="8"/>
      <c r="L546" s="8"/>
      <c r="M546" s="8"/>
      <c r="O546" s="8"/>
      <c r="Q546" s="8"/>
      <c r="R546" s="8"/>
    </row>
    <row r="547" ht="14.25" customHeight="1">
      <c r="E547" s="8"/>
      <c r="G547" s="8"/>
      <c r="H547" s="8"/>
      <c r="K547" s="8"/>
      <c r="L547" s="8"/>
      <c r="M547" s="8"/>
      <c r="O547" s="8"/>
      <c r="Q547" s="8"/>
      <c r="R547" s="8"/>
    </row>
    <row r="548" ht="14.25" customHeight="1">
      <c r="E548" s="8"/>
      <c r="G548" s="8"/>
      <c r="H548" s="8"/>
      <c r="K548" s="8"/>
      <c r="L548" s="8"/>
      <c r="M548" s="8"/>
      <c r="O548" s="8"/>
      <c r="Q548" s="8"/>
      <c r="R548" s="8"/>
    </row>
    <row r="549" ht="14.25" customHeight="1">
      <c r="E549" s="8"/>
      <c r="G549" s="8"/>
      <c r="H549" s="8"/>
      <c r="K549" s="8"/>
      <c r="L549" s="8"/>
      <c r="M549" s="8"/>
      <c r="O549" s="8"/>
      <c r="Q549" s="8"/>
      <c r="R549" s="8"/>
    </row>
    <row r="550" ht="14.25" customHeight="1">
      <c r="E550" s="8"/>
      <c r="G550" s="8"/>
      <c r="H550" s="8"/>
      <c r="K550" s="8"/>
      <c r="L550" s="8"/>
      <c r="M550" s="8"/>
      <c r="O550" s="8"/>
      <c r="Q550" s="8"/>
      <c r="R550" s="8"/>
    </row>
    <row r="551" ht="14.25" customHeight="1">
      <c r="E551" s="8"/>
      <c r="G551" s="8"/>
      <c r="H551" s="8"/>
      <c r="K551" s="8"/>
      <c r="L551" s="8"/>
      <c r="M551" s="8"/>
      <c r="O551" s="8"/>
      <c r="Q551" s="8"/>
      <c r="R551" s="8"/>
    </row>
    <row r="552" ht="14.25" customHeight="1">
      <c r="E552" s="8"/>
      <c r="G552" s="8"/>
      <c r="H552" s="8"/>
      <c r="K552" s="8"/>
      <c r="L552" s="8"/>
      <c r="M552" s="8"/>
      <c r="O552" s="8"/>
      <c r="Q552" s="8"/>
      <c r="R552" s="8"/>
    </row>
    <row r="553" ht="14.25" customHeight="1">
      <c r="E553" s="8"/>
      <c r="G553" s="8"/>
      <c r="H553" s="8"/>
      <c r="K553" s="8"/>
      <c r="L553" s="8"/>
      <c r="M553" s="8"/>
      <c r="O553" s="8"/>
      <c r="Q553" s="8"/>
      <c r="R553" s="8"/>
    </row>
    <row r="554" ht="14.25" customHeight="1">
      <c r="E554" s="8"/>
      <c r="G554" s="8"/>
      <c r="H554" s="8"/>
      <c r="K554" s="8"/>
      <c r="L554" s="8"/>
      <c r="M554" s="8"/>
      <c r="O554" s="8"/>
      <c r="Q554" s="8"/>
      <c r="R554" s="8"/>
    </row>
    <row r="555" ht="14.25" customHeight="1">
      <c r="E555" s="8"/>
      <c r="G555" s="8"/>
      <c r="H555" s="8"/>
      <c r="K555" s="8"/>
      <c r="L555" s="8"/>
      <c r="M555" s="8"/>
      <c r="O555" s="8"/>
      <c r="Q555" s="8"/>
      <c r="R555" s="8"/>
    </row>
    <row r="556" ht="14.25" customHeight="1">
      <c r="E556" s="8"/>
      <c r="G556" s="8"/>
      <c r="H556" s="8"/>
      <c r="K556" s="8"/>
      <c r="L556" s="8"/>
      <c r="M556" s="8"/>
      <c r="O556" s="8"/>
      <c r="Q556" s="8"/>
      <c r="R556" s="8"/>
    </row>
    <row r="557" ht="14.25" customHeight="1">
      <c r="E557" s="8"/>
      <c r="G557" s="8"/>
      <c r="H557" s="8"/>
      <c r="K557" s="8"/>
      <c r="L557" s="8"/>
      <c r="M557" s="8"/>
      <c r="O557" s="8"/>
      <c r="Q557" s="8"/>
      <c r="R557" s="8"/>
    </row>
    <row r="558" ht="14.25" customHeight="1">
      <c r="E558" s="8"/>
      <c r="G558" s="8"/>
      <c r="H558" s="8"/>
      <c r="K558" s="8"/>
      <c r="L558" s="8"/>
      <c r="M558" s="8"/>
      <c r="O558" s="8"/>
      <c r="Q558" s="8"/>
      <c r="R558" s="8"/>
    </row>
    <row r="559" ht="14.25" customHeight="1">
      <c r="E559" s="8"/>
      <c r="G559" s="8"/>
      <c r="H559" s="8"/>
      <c r="K559" s="8"/>
      <c r="L559" s="8"/>
      <c r="M559" s="8"/>
      <c r="O559" s="8"/>
      <c r="Q559" s="8"/>
      <c r="R559" s="8"/>
    </row>
    <row r="560" ht="14.25" customHeight="1">
      <c r="E560" s="8"/>
      <c r="G560" s="8"/>
      <c r="H560" s="8"/>
      <c r="K560" s="8"/>
      <c r="L560" s="8"/>
      <c r="M560" s="8"/>
      <c r="O560" s="8"/>
      <c r="Q560" s="8"/>
      <c r="R560" s="8"/>
    </row>
    <row r="561" ht="14.25" customHeight="1">
      <c r="E561" s="8"/>
      <c r="G561" s="8"/>
      <c r="H561" s="8"/>
      <c r="K561" s="8"/>
      <c r="L561" s="8"/>
      <c r="M561" s="8"/>
      <c r="O561" s="8"/>
      <c r="Q561" s="8"/>
      <c r="R561" s="8"/>
    </row>
    <row r="562" ht="14.25" customHeight="1">
      <c r="E562" s="8"/>
      <c r="G562" s="8"/>
      <c r="H562" s="8"/>
      <c r="K562" s="8"/>
      <c r="L562" s="8"/>
      <c r="M562" s="8"/>
      <c r="O562" s="8"/>
      <c r="Q562" s="8"/>
      <c r="R562" s="8"/>
    </row>
    <row r="563" ht="14.25" customHeight="1">
      <c r="E563" s="8"/>
      <c r="G563" s="8"/>
      <c r="H563" s="8"/>
      <c r="K563" s="8"/>
      <c r="L563" s="8"/>
      <c r="M563" s="8"/>
      <c r="O563" s="8"/>
      <c r="Q563" s="8"/>
      <c r="R563" s="8"/>
    </row>
    <row r="564" ht="14.25" customHeight="1">
      <c r="E564" s="8"/>
      <c r="G564" s="8"/>
      <c r="H564" s="8"/>
      <c r="K564" s="8"/>
      <c r="L564" s="8"/>
      <c r="M564" s="8"/>
      <c r="O564" s="8"/>
      <c r="Q564" s="8"/>
      <c r="R564" s="8"/>
    </row>
    <row r="565" ht="14.25" customHeight="1">
      <c r="E565" s="8"/>
      <c r="G565" s="8"/>
      <c r="H565" s="8"/>
      <c r="K565" s="8"/>
      <c r="L565" s="8"/>
      <c r="M565" s="8"/>
      <c r="O565" s="8"/>
      <c r="Q565" s="8"/>
      <c r="R565" s="8"/>
    </row>
    <row r="566" ht="14.25" customHeight="1">
      <c r="E566" s="8"/>
      <c r="G566" s="8"/>
      <c r="H566" s="8"/>
      <c r="K566" s="8"/>
      <c r="L566" s="8"/>
      <c r="M566" s="8"/>
      <c r="O566" s="8"/>
      <c r="Q566" s="8"/>
      <c r="R566" s="8"/>
    </row>
    <row r="567" ht="14.25" customHeight="1">
      <c r="E567" s="8"/>
      <c r="G567" s="8"/>
      <c r="H567" s="8"/>
      <c r="K567" s="8"/>
      <c r="L567" s="8"/>
      <c r="M567" s="8"/>
      <c r="O567" s="8"/>
      <c r="Q567" s="8"/>
      <c r="R567" s="8"/>
    </row>
    <row r="568" ht="14.25" customHeight="1">
      <c r="E568" s="8"/>
      <c r="G568" s="8"/>
      <c r="H568" s="8"/>
      <c r="K568" s="8"/>
      <c r="L568" s="8"/>
      <c r="M568" s="8"/>
      <c r="O568" s="8"/>
      <c r="Q568" s="8"/>
      <c r="R568" s="8"/>
    </row>
    <row r="569" ht="14.25" customHeight="1">
      <c r="E569" s="8"/>
      <c r="G569" s="8"/>
      <c r="H569" s="8"/>
      <c r="K569" s="8"/>
      <c r="L569" s="8"/>
      <c r="M569" s="8"/>
      <c r="O569" s="8"/>
      <c r="Q569" s="8"/>
      <c r="R569" s="8"/>
    </row>
    <row r="570" ht="14.25" customHeight="1">
      <c r="E570" s="8"/>
      <c r="G570" s="8"/>
      <c r="H570" s="8"/>
      <c r="K570" s="8"/>
      <c r="L570" s="8"/>
      <c r="M570" s="8"/>
      <c r="O570" s="8"/>
      <c r="Q570" s="8"/>
      <c r="R570" s="8"/>
    </row>
    <row r="571" ht="14.25" customHeight="1">
      <c r="E571" s="8"/>
      <c r="G571" s="8"/>
      <c r="H571" s="8"/>
      <c r="K571" s="8"/>
      <c r="L571" s="8"/>
      <c r="M571" s="8"/>
      <c r="O571" s="8"/>
      <c r="Q571" s="8"/>
      <c r="R571" s="8"/>
    </row>
    <row r="572" ht="14.25" customHeight="1">
      <c r="E572" s="8"/>
      <c r="G572" s="8"/>
      <c r="H572" s="8"/>
      <c r="K572" s="8"/>
      <c r="L572" s="8"/>
      <c r="M572" s="8"/>
      <c r="O572" s="8"/>
      <c r="Q572" s="8"/>
      <c r="R572" s="8"/>
    </row>
    <row r="573" ht="14.25" customHeight="1">
      <c r="E573" s="8"/>
      <c r="G573" s="8"/>
      <c r="H573" s="8"/>
      <c r="K573" s="8"/>
      <c r="L573" s="8"/>
      <c r="M573" s="8"/>
      <c r="O573" s="8"/>
      <c r="Q573" s="8"/>
      <c r="R573" s="8"/>
    </row>
    <row r="574" ht="14.25" customHeight="1">
      <c r="E574" s="8"/>
      <c r="G574" s="8"/>
      <c r="H574" s="8"/>
      <c r="K574" s="8"/>
      <c r="L574" s="8"/>
      <c r="M574" s="8"/>
      <c r="O574" s="8"/>
      <c r="Q574" s="8"/>
      <c r="R574" s="8"/>
    </row>
    <row r="575" ht="14.25" customHeight="1">
      <c r="E575" s="8"/>
      <c r="G575" s="8"/>
      <c r="H575" s="8"/>
      <c r="K575" s="8"/>
      <c r="L575" s="8"/>
      <c r="M575" s="8"/>
      <c r="O575" s="8"/>
      <c r="Q575" s="8"/>
      <c r="R575" s="8"/>
    </row>
    <row r="576" ht="14.25" customHeight="1">
      <c r="E576" s="8"/>
      <c r="G576" s="8"/>
      <c r="H576" s="8"/>
      <c r="K576" s="8"/>
      <c r="L576" s="8"/>
      <c r="M576" s="8"/>
      <c r="O576" s="8"/>
      <c r="Q576" s="8"/>
      <c r="R576" s="8"/>
    </row>
    <row r="577" ht="14.25" customHeight="1">
      <c r="E577" s="8"/>
      <c r="G577" s="8"/>
      <c r="H577" s="8"/>
      <c r="K577" s="8"/>
      <c r="L577" s="8"/>
      <c r="M577" s="8"/>
      <c r="O577" s="8"/>
      <c r="Q577" s="8"/>
      <c r="R577" s="8"/>
    </row>
    <row r="578" ht="14.25" customHeight="1">
      <c r="E578" s="8"/>
      <c r="G578" s="8"/>
      <c r="H578" s="8"/>
      <c r="K578" s="8"/>
      <c r="L578" s="8"/>
      <c r="M578" s="8"/>
      <c r="O578" s="8"/>
      <c r="Q578" s="8"/>
      <c r="R578" s="8"/>
    </row>
    <row r="579" ht="14.25" customHeight="1">
      <c r="E579" s="8"/>
      <c r="G579" s="8"/>
      <c r="H579" s="8"/>
      <c r="K579" s="8"/>
      <c r="L579" s="8"/>
      <c r="M579" s="8"/>
      <c r="O579" s="8"/>
      <c r="Q579" s="8"/>
      <c r="R579" s="8"/>
    </row>
    <row r="580" ht="14.25" customHeight="1">
      <c r="E580" s="8"/>
      <c r="G580" s="8"/>
      <c r="H580" s="8"/>
      <c r="K580" s="8"/>
      <c r="L580" s="8"/>
      <c r="M580" s="8"/>
      <c r="O580" s="8"/>
      <c r="Q580" s="8"/>
      <c r="R580" s="8"/>
    </row>
    <row r="581" ht="14.25" customHeight="1">
      <c r="E581" s="8"/>
      <c r="G581" s="8"/>
      <c r="H581" s="8"/>
      <c r="K581" s="8"/>
      <c r="L581" s="8"/>
      <c r="M581" s="8"/>
      <c r="O581" s="8"/>
      <c r="Q581" s="8"/>
      <c r="R581" s="8"/>
    </row>
    <row r="582" ht="14.25" customHeight="1">
      <c r="E582" s="8"/>
      <c r="G582" s="8"/>
      <c r="H582" s="8"/>
      <c r="K582" s="8"/>
      <c r="L582" s="8"/>
      <c r="M582" s="8"/>
      <c r="O582" s="8"/>
      <c r="Q582" s="8"/>
      <c r="R582" s="8"/>
    </row>
    <row r="583" ht="14.25" customHeight="1">
      <c r="E583" s="8"/>
      <c r="G583" s="8"/>
      <c r="H583" s="8"/>
      <c r="K583" s="8"/>
      <c r="L583" s="8"/>
      <c r="M583" s="8"/>
      <c r="O583" s="8"/>
      <c r="Q583" s="8"/>
      <c r="R583" s="8"/>
    </row>
    <row r="584" ht="14.25" customHeight="1">
      <c r="E584" s="8"/>
      <c r="G584" s="8"/>
      <c r="H584" s="8"/>
      <c r="K584" s="8"/>
      <c r="L584" s="8"/>
      <c r="M584" s="8"/>
      <c r="O584" s="8"/>
      <c r="Q584" s="8"/>
      <c r="R584" s="8"/>
    </row>
    <row r="585" ht="14.25" customHeight="1">
      <c r="E585" s="8"/>
      <c r="G585" s="8"/>
      <c r="H585" s="8"/>
      <c r="K585" s="8"/>
      <c r="L585" s="8"/>
      <c r="M585" s="8"/>
      <c r="O585" s="8"/>
      <c r="Q585" s="8"/>
      <c r="R585" s="8"/>
    </row>
    <row r="586" ht="14.25" customHeight="1">
      <c r="E586" s="8"/>
      <c r="G586" s="8"/>
      <c r="H586" s="8"/>
      <c r="K586" s="8"/>
      <c r="L586" s="8"/>
      <c r="M586" s="8"/>
      <c r="O586" s="8"/>
      <c r="Q586" s="8"/>
      <c r="R586" s="8"/>
    </row>
    <row r="587" ht="14.25" customHeight="1">
      <c r="E587" s="8"/>
      <c r="G587" s="8"/>
      <c r="H587" s="8"/>
      <c r="K587" s="8"/>
      <c r="L587" s="8"/>
      <c r="M587" s="8"/>
      <c r="O587" s="8"/>
      <c r="Q587" s="8"/>
      <c r="R587" s="8"/>
    </row>
    <row r="588" ht="14.25" customHeight="1">
      <c r="E588" s="8"/>
      <c r="G588" s="8"/>
      <c r="H588" s="8"/>
      <c r="K588" s="8"/>
      <c r="L588" s="8"/>
      <c r="M588" s="8"/>
      <c r="O588" s="8"/>
      <c r="Q588" s="8"/>
      <c r="R588" s="8"/>
    </row>
    <row r="589" ht="14.25" customHeight="1">
      <c r="E589" s="8"/>
      <c r="G589" s="8"/>
      <c r="H589" s="8"/>
      <c r="K589" s="8"/>
      <c r="L589" s="8"/>
      <c r="M589" s="8"/>
      <c r="O589" s="8"/>
      <c r="Q589" s="8"/>
      <c r="R589" s="8"/>
    </row>
    <row r="590" ht="14.25" customHeight="1">
      <c r="E590" s="8"/>
      <c r="G590" s="8"/>
      <c r="H590" s="8"/>
      <c r="K590" s="8"/>
      <c r="L590" s="8"/>
      <c r="M590" s="8"/>
      <c r="O590" s="8"/>
      <c r="Q590" s="8"/>
      <c r="R590" s="8"/>
    </row>
    <row r="591" ht="14.25" customHeight="1">
      <c r="E591" s="8"/>
      <c r="G591" s="8"/>
      <c r="H591" s="8"/>
      <c r="K591" s="8"/>
      <c r="L591" s="8"/>
      <c r="M591" s="8"/>
      <c r="O591" s="8"/>
      <c r="Q591" s="8"/>
      <c r="R591" s="8"/>
    </row>
    <row r="592" ht="14.25" customHeight="1">
      <c r="E592" s="8"/>
      <c r="G592" s="8"/>
      <c r="H592" s="8"/>
      <c r="K592" s="8"/>
      <c r="L592" s="8"/>
      <c r="M592" s="8"/>
      <c r="O592" s="8"/>
      <c r="Q592" s="8"/>
      <c r="R592" s="8"/>
    </row>
    <row r="593" ht="14.25" customHeight="1">
      <c r="E593" s="8"/>
      <c r="G593" s="8"/>
      <c r="H593" s="8"/>
      <c r="K593" s="8"/>
      <c r="L593" s="8"/>
      <c r="M593" s="8"/>
      <c r="O593" s="8"/>
      <c r="Q593" s="8"/>
      <c r="R593" s="8"/>
    </row>
    <row r="594" ht="14.25" customHeight="1">
      <c r="E594" s="8"/>
      <c r="G594" s="8"/>
      <c r="H594" s="8"/>
      <c r="K594" s="8"/>
      <c r="L594" s="8"/>
      <c r="M594" s="8"/>
      <c r="O594" s="8"/>
      <c r="Q594" s="8"/>
      <c r="R594" s="8"/>
    </row>
    <row r="595" ht="14.25" customHeight="1">
      <c r="E595" s="8"/>
      <c r="G595" s="8"/>
      <c r="H595" s="8"/>
      <c r="K595" s="8"/>
      <c r="L595" s="8"/>
      <c r="M595" s="8"/>
      <c r="O595" s="8"/>
      <c r="Q595" s="8"/>
      <c r="R595" s="8"/>
    </row>
    <row r="596" ht="14.25" customHeight="1">
      <c r="E596" s="8"/>
      <c r="G596" s="8"/>
      <c r="H596" s="8"/>
      <c r="K596" s="8"/>
      <c r="L596" s="8"/>
      <c r="M596" s="8"/>
      <c r="O596" s="8"/>
      <c r="Q596" s="8"/>
      <c r="R596" s="8"/>
    </row>
    <row r="597" ht="14.25" customHeight="1">
      <c r="E597" s="8"/>
      <c r="G597" s="8"/>
      <c r="H597" s="8"/>
      <c r="K597" s="8"/>
      <c r="L597" s="8"/>
      <c r="M597" s="8"/>
      <c r="O597" s="8"/>
      <c r="Q597" s="8"/>
      <c r="R597" s="8"/>
    </row>
    <row r="598" ht="14.25" customHeight="1">
      <c r="E598" s="8"/>
      <c r="G598" s="8"/>
      <c r="H598" s="8"/>
      <c r="K598" s="8"/>
      <c r="L598" s="8"/>
      <c r="M598" s="8"/>
      <c r="O598" s="8"/>
      <c r="Q598" s="8"/>
      <c r="R598" s="8"/>
    </row>
    <row r="599" ht="14.25" customHeight="1">
      <c r="E599" s="8"/>
      <c r="G599" s="8"/>
      <c r="H599" s="8"/>
      <c r="K599" s="8"/>
      <c r="L599" s="8"/>
      <c r="M599" s="8"/>
      <c r="O599" s="8"/>
      <c r="Q599" s="8"/>
      <c r="R599" s="8"/>
    </row>
    <row r="600" ht="14.25" customHeight="1">
      <c r="E600" s="8"/>
      <c r="G600" s="8"/>
      <c r="H600" s="8"/>
      <c r="K600" s="8"/>
      <c r="L600" s="8"/>
      <c r="M600" s="8"/>
      <c r="O600" s="8"/>
      <c r="Q600" s="8"/>
      <c r="R600" s="8"/>
    </row>
    <row r="601" ht="14.25" customHeight="1">
      <c r="E601" s="8"/>
      <c r="G601" s="8"/>
      <c r="H601" s="8"/>
      <c r="K601" s="8"/>
      <c r="L601" s="8"/>
      <c r="M601" s="8"/>
      <c r="O601" s="8"/>
      <c r="Q601" s="8"/>
      <c r="R601" s="8"/>
    </row>
    <row r="602" ht="14.25" customHeight="1">
      <c r="E602" s="8"/>
      <c r="G602" s="8"/>
      <c r="H602" s="8"/>
      <c r="K602" s="8"/>
      <c r="L602" s="8"/>
      <c r="M602" s="8"/>
      <c r="O602" s="8"/>
      <c r="Q602" s="8"/>
      <c r="R602" s="8"/>
    </row>
    <row r="603" ht="14.25" customHeight="1">
      <c r="E603" s="8"/>
      <c r="G603" s="8"/>
      <c r="H603" s="8"/>
      <c r="K603" s="8"/>
      <c r="L603" s="8"/>
      <c r="M603" s="8"/>
      <c r="O603" s="8"/>
      <c r="Q603" s="8"/>
      <c r="R603" s="8"/>
    </row>
    <row r="604" ht="14.25" customHeight="1">
      <c r="E604" s="8"/>
      <c r="G604" s="8"/>
      <c r="H604" s="8"/>
      <c r="K604" s="8"/>
      <c r="L604" s="8"/>
      <c r="M604" s="8"/>
      <c r="O604" s="8"/>
      <c r="Q604" s="8"/>
      <c r="R604" s="8"/>
    </row>
    <row r="605" ht="14.25" customHeight="1">
      <c r="E605" s="8"/>
      <c r="G605" s="8"/>
      <c r="H605" s="8"/>
      <c r="K605" s="8"/>
      <c r="L605" s="8"/>
      <c r="M605" s="8"/>
      <c r="O605" s="8"/>
      <c r="Q605" s="8"/>
      <c r="R605" s="8"/>
    </row>
    <row r="606" ht="14.25" customHeight="1">
      <c r="E606" s="8"/>
      <c r="G606" s="8"/>
      <c r="H606" s="8"/>
      <c r="K606" s="8"/>
      <c r="L606" s="8"/>
      <c r="M606" s="8"/>
      <c r="O606" s="8"/>
      <c r="Q606" s="8"/>
      <c r="R606" s="8"/>
    </row>
    <row r="607" ht="14.25" customHeight="1">
      <c r="E607" s="8"/>
      <c r="G607" s="8"/>
      <c r="H607" s="8"/>
      <c r="K607" s="8"/>
      <c r="L607" s="8"/>
      <c r="M607" s="8"/>
      <c r="O607" s="8"/>
      <c r="Q607" s="8"/>
      <c r="R607" s="8"/>
    </row>
    <row r="608" ht="14.25" customHeight="1">
      <c r="E608" s="8"/>
      <c r="G608" s="8"/>
      <c r="H608" s="8"/>
      <c r="K608" s="8"/>
      <c r="L608" s="8"/>
      <c r="M608" s="8"/>
      <c r="O608" s="8"/>
      <c r="Q608" s="8"/>
      <c r="R608" s="8"/>
    </row>
    <row r="609" ht="14.25" customHeight="1">
      <c r="E609" s="8"/>
      <c r="G609" s="8"/>
      <c r="H609" s="8"/>
      <c r="K609" s="8"/>
      <c r="L609" s="8"/>
      <c r="M609" s="8"/>
      <c r="O609" s="8"/>
      <c r="Q609" s="8"/>
      <c r="R609" s="8"/>
    </row>
    <row r="610" ht="14.25" customHeight="1">
      <c r="E610" s="8"/>
      <c r="G610" s="8"/>
      <c r="H610" s="8"/>
      <c r="K610" s="8"/>
      <c r="L610" s="8"/>
      <c r="M610" s="8"/>
      <c r="O610" s="8"/>
      <c r="Q610" s="8"/>
      <c r="R610" s="8"/>
    </row>
    <row r="611" ht="14.25" customHeight="1">
      <c r="E611" s="8"/>
      <c r="G611" s="8"/>
      <c r="H611" s="8"/>
      <c r="K611" s="8"/>
      <c r="L611" s="8"/>
      <c r="M611" s="8"/>
      <c r="O611" s="8"/>
      <c r="Q611" s="8"/>
      <c r="R611" s="8"/>
    </row>
    <row r="612" ht="14.25" customHeight="1">
      <c r="E612" s="8"/>
      <c r="G612" s="8"/>
      <c r="H612" s="8"/>
      <c r="K612" s="8"/>
      <c r="L612" s="8"/>
      <c r="M612" s="8"/>
      <c r="O612" s="8"/>
      <c r="Q612" s="8"/>
      <c r="R612" s="8"/>
    </row>
    <row r="613" ht="14.25" customHeight="1">
      <c r="E613" s="8"/>
      <c r="G613" s="8"/>
      <c r="H613" s="8"/>
      <c r="K613" s="8"/>
      <c r="L613" s="8"/>
      <c r="M613" s="8"/>
      <c r="O613" s="8"/>
      <c r="Q613" s="8"/>
      <c r="R613" s="8"/>
    </row>
    <row r="614" ht="14.25" customHeight="1">
      <c r="E614" s="8"/>
      <c r="G614" s="8"/>
      <c r="H614" s="8"/>
      <c r="K614" s="8"/>
      <c r="L614" s="8"/>
      <c r="M614" s="8"/>
      <c r="O614" s="8"/>
      <c r="Q614" s="8"/>
      <c r="R614" s="8"/>
    </row>
    <row r="615" ht="14.25" customHeight="1">
      <c r="E615" s="8"/>
      <c r="G615" s="8"/>
      <c r="H615" s="8"/>
      <c r="K615" s="8"/>
      <c r="L615" s="8"/>
      <c r="M615" s="8"/>
      <c r="O615" s="8"/>
      <c r="Q615" s="8"/>
      <c r="R615" s="8"/>
    </row>
    <row r="616" ht="14.25" customHeight="1">
      <c r="E616" s="8"/>
      <c r="G616" s="8"/>
      <c r="H616" s="8"/>
      <c r="K616" s="8"/>
      <c r="L616" s="8"/>
      <c r="M616" s="8"/>
      <c r="O616" s="8"/>
      <c r="Q616" s="8"/>
      <c r="R616" s="8"/>
    </row>
    <row r="617" ht="14.25" customHeight="1">
      <c r="E617" s="8"/>
      <c r="G617" s="8"/>
      <c r="H617" s="8"/>
      <c r="K617" s="8"/>
      <c r="L617" s="8"/>
      <c r="M617" s="8"/>
      <c r="O617" s="8"/>
      <c r="Q617" s="8"/>
      <c r="R617" s="8"/>
    </row>
    <row r="618" ht="14.25" customHeight="1">
      <c r="E618" s="8"/>
      <c r="G618" s="8"/>
      <c r="H618" s="8"/>
      <c r="K618" s="8"/>
      <c r="L618" s="8"/>
      <c r="M618" s="8"/>
      <c r="O618" s="8"/>
      <c r="Q618" s="8"/>
      <c r="R618" s="8"/>
    </row>
    <row r="619" ht="14.25" customHeight="1">
      <c r="E619" s="8"/>
      <c r="G619" s="8"/>
      <c r="H619" s="8"/>
      <c r="K619" s="8"/>
      <c r="L619" s="8"/>
      <c r="M619" s="8"/>
      <c r="O619" s="8"/>
      <c r="Q619" s="8"/>
      <c r="R619" s="8"/>
    </row>
    <row r="620" ht="14.25" customHeight="1">
      <c r="E620" s="8"/>
      <c r="G620" s="8"/>
      <c r="H620" s="8"/>
      <c r="K620" s="8"/>
      <c r="L620" s="8"/>
      <c r="M620" s="8"/>
      <c r="O620" s="8"/>
      <c r="Q620" s="8"/>
      <c r="R620" s="8"/>
    </row>
    <row r="621" ht="14.25" customHeight="1">
      <c r="E621" s="8"/>
      <c r="G621" s="8"/>
      <c r="H621" s="8"/>
      <c r="K621" s="8"/>
      <c r="L621" s="8"/>
      <c r="M621" s="8"/>
      <c r="O621" s="8"/>
      <c r="Q621" s="8"/>
      <c r="R621" s="8"/>
    </row>
    <row r="622" ht="14.25" customHeight="1">
      <c r="E622" s="8"/>
      <c r="G622" s="8"/>
      <c r="H622" s="8"/>
      <c r="K622" s="8"/>
      <c r="L622" s="8"/>
      <c r="M622" s="8"/>
      <c r="O622" s="8"/>
      <c r="Q622" s="8"/>
      <c r="R622" s="8"/>
    </row>
    <row r="623" ht="14.25" customHeight="1">
      <c r="E623" s="8"/>
      <c r="G623" s="8"/>
      <c r="H623" s="8"/>
      <c r="K623" s="8"/>
      <c r="L623" s="8"/>
      <c r="M623" s="8"/>
      <c r="O623" s="8"/>
      <c r="Q623" s="8"/>
      <c r="R623" s="8"/>
    </row>
    <row r="624" ht="14.25" customHeight="1">
      <c r="E624" s="8"/>
      <c r="G624" s="8"/>
      <c r="H624" s="8"/>
      <c r="K624" s="8"/>
      <c r="L624" s="8"/>
      <c r="M624" s="8"/>
      <c r="O624" s="8"/>
      <c r="Q624" s="8"/>
      <c r="R624" s="8"/>
    </row>
    <row r="625" ht="14.25" customHeight="1">
      <c r="E625" s="8"/>
      <c r="G625" s="8"/>
      <c r="H625" s="8"/>
      <c r="K625" s="8"/>
      <c r="L625" s="8"/>
      <c r="M625" s="8"/>
      <c r="O625" s="8"/>
      <c r="Q625" s="8"/>
      <c r="R625" s="8"/>
    </row>
    <row r="626" ht="14.25" customHeight="1">
      <c r="E626" s="8"/>
      <c r="G626" s="8"/>
      <c r="H626" s="8"/>
      <c r="K626" s="8"/>
      <c r="L626" s="8"/>
      <c r="M626" s="8"/>
      <c r="O626" s="8"/>
      <c r="Q626" s="8"/>
      <c r="R626" s="8"/>
    </row>
    <row r="627" ht="14.25" customHeight="1">
      <c r="E627" s="8"/>
      <c r="G627" s="8"/>
      <c r="H627" s="8"/>
      <c r="K627" s="8"/>
      <c r="L627" s="8"/>
      <c r="M627" s="8"/>
      <c r="O627" s="8"/>
      <c r="Q627" s="8"/>
      <c r="R627" s="8"/>
    </row>
    <row r="628" ht="14.25" customHeight="1">
      <c r="E628" s="8"/>
      <c r="G628" s="8"/>
      <c r="H628" s="8"/>
      <c r="K628" s="8"/>
      <c r="L628" s="8"/>
      <c r="M628" s="8"/>
      <c r="O628" s="8"/>
      <c r="Q628" s="8"/>
      <c r="R628" s="8"/>
    </row>
    <row r="629" ht="14.25" customHeight="1">
      <c r="E629" s="8"/>
      <c r="G629" s="8"/>
      <c r="H629" s="8"/>
      <c r="K629" s="8"/>
      <c r="L629" s="8"/>
      <c r="M629" s="8"/>
      <c r="O629" s="8"/>
      <c r="Q629" s="8"/>
      <c r="R629" s="8"/>
    </row>
    <row r="630" ht="14.25" customHeight="1">
      <c r="E630" s="8"/>
      <c r="G630" s="8"/>
      <c r="H630" s="8"/>
      <c r="K630" s="8"/>
      <c r="L630" s="8"/>
      <c r="M630" s="8"/>
      <c r="O630" s="8"/>
      <c r="Q630" s="8"/>
      <c r="R630" s="8"/>
    </row>
    <row r="631" ht="14.25" customHeight="1">
      <c r="E631" s="8"/>
      <c r="G631" s="8"/>
      <c r="H631" s="8"/>
      <c r="K631" s="8"/>
      <c r="L631" s="8"/>
      <c r="M631" s="8"/>
      <c r="O631" s="8"/>
      <c r="Q631" s="8"/>
      <c r="R631" s="8"/>
    </row>
    <row r="632" ht="14.25" customHeight="1">
      <c r="E632" s="8"/>
      <c r="G632" s="8"/>
      <c r="H632" s="8"/>
      <c r="K632" s="8"/>
      <c r="L632" s="8"/>
      <c r="M632" s="8"/>
      <c r="O632" s="8"/>
      <c r="Q632" s="8"/>
      <c r="R632" s="8"/>
    </row>
    <row r="633" ht="14.25" customHeight="1">
      <c r="E633" s="8"/>
      <c r="G633" s="8"/>
      <c r="H633" s="8"/>
      <c r="K633" s="8"/>
      <c r="L633" s="8"/>
      <c r="M633" s="8"/>
      <c r="O633" s="8"/>
      <c r="Q633" s="8"/>
      <c r="R633" s="8"/>
    </row>
    <row r="634" ht="14.25" customHeight="1">
      <c r="E634" s="8"/>
      <c r="G634" s="8"/>
      <c r="H634" s="8"/>
      <c r="K634" s="8"/>
      <c r="L634" s="8"/>
      <c r="M634" s="8"/>
      <c r="O634" s="8"/>
      <c r="Q634" s="8"/>
      <c r="R634" s="8"/>
    </row>
    <row r="635" ht="14.25" customHeight="1">
      <c r="E635" s="8"/>
      <c r="G635" s="8"/>
      <c r="H635" s="8"/>
      <c r="K635" s="8"/>
      <c r="L635" s="8"/>
      <c r="M635" s="8"/>
      <c r="O635" s="8"/>
      <c r="Q635" s="8"/>
      <c r="R635" s="8"/>
    </row>
    <row r="636" ht="14.25" customHeight="1">
      <c r="E636" s="8"/>
      <c r="G636" s="8"/>
      <c r="H636" s="8"/>
      <c r="K636" s="8"/>
      <c r="L636" s="8"/>
      <c r="M636" s="8"/>
      <c r="O636" s="8"/>
      <c r="Q636" s="8"/>
      <c r="R636" s="8"/>
    </row>
    <row r="637" ht="14.25" customHeight="1">
      <c r="E637" s="8"/>
      <c r="G637" s="8"/>
      <c r="H637" s="8"/>
      <c r="K637" s="8"/>
      <c r="L637" s="8"/>
      <c r="M637" s="8"/>
      <c r="O637" s="8"/>
      <c r="Q637" s="8"/>
      <c r="R637" s="8"/>
    </row>
    <row r="638" ht="14.25" customHeight="1">
      <c r="E638" s="8"/>
      <c r="G638" s="8"/>
      <c r="H638" s="8"/>
      <c r="K638" s="8"/>
      <c r="L638" s="8"/>
      <c r="M638" s="8"/>
      <c r="O638" s="8"/>
      <c r="Q638" s="8"/>
      <c r="R638" s="8"/>
    </row>
    <row r="639" ht="14.25" customHeight="1">
      <c r="E639" s="8"/>
      <c r="G639" s="8"/>
      <c r="H639" s="8"/>
      <c r="K639" s="8"/>
      <c r="L639" s="8"/>
      <c r="M639" s="8"/>
      <c r="O639" s="8"/>
      <c r="Q639" s="8"/>
      <c r="R639" s="8"/>
    </row>
    <row r="640" ht="14.25" customHeight="1">
      <c r="E640" s="8"/>
      <c r="G640" s="8"/>
      <c r="H640" s="8"/>
      <c r="K640" s="8"/>
      <c r="L640" s="8"/>
      <c r="M640" s="8"/>
      <c r="O640" s="8"/>
      <c r="Q640" s="8"/>
      <c r="R640" s="8"/>
    </row>
    <row r="641" ht="14.25" customHeight="1">
      <c r="E641" s="8"/>
      <c r="G641" s="8"/>
      <c r="H641" s="8"/>
      <c r="K641" s="8"/>
      <c r="L641" s="8"/>
      <c r="M641" s="8"/>
      <c r="O641" s="8"/>
      <c r="Q641" s="8"/>
      <c r="R641" s="8"/>
    </row>
    <row r="642" ht="14.25" customHeight="1">
      <c r="E642" s="8"/>
      <c r="G642" s="8"/>
      <c r="H642" s="8"/>
      <c r="K642" s="8"/>
      <c r="L642" s="8"/>
      <c r="M642" s="8"/>
      <c r="O642" s="8"/>
      <c r="Q642" s="8"/>
      <c r="R642" s="8"/>
    </row>
    <row r="643" ht="14.25" customHeight="1">
      <c r="E643" s="8"/>
      <c r="G643" s="8"/>
      <c r="H643" s="8"/>
      <c r="K643" s="8"/>
      <c r="L643" s="8"/>
      <c r="M643" s="8"/>
      <c r="O643" s="8"/>
      <c r="Q643" s="8"/>
      <c r="R643" s="8"/>
    </row>
    <row r="644" ht="14.25" customHeight="1">
      <c r="E644" s="8"/>
      <c r="G644" s="8"/>
      <c r="H644" s="8"/>
      <c r="K644" s="8"/>
      <c r="L644" s="8"/>
      <c r="M644" s="8"/>
      <c r="O644" s="8"/>
      <c r="Q644" s="8"/>
      <c r="R644" s="8"/>
    </row>
    <row r="645" ht="14.25" customHeight="1">
      <c r="E645" s="8"/>
      <c r="G645" s="8"/>
      <c r="H645" s="8"/>
      <c r="K645" s="8"/>
      <c r="L645" s="8"/>
      <c r="M645" s="8"/>
      <c r="O645" s="8"/>
      <c r="Q645" s="8"/>
      <c r="R645" s="8"/>
    </row>
    <row r="646" ht="14.25" customHeight="1">
      <c r="E646" s="8"/>
      <c r="G646" s="8"/>
      <c r="H646" s="8"/>
      <c r="K646" s="8"/>
      <c r="L646" s="8"/>
      <c r="M646" s="8"/>
      <c r="O646" s="8"/>
      <c r="Q646" s="8"/>
      <c r="R646" s="8"/>
    </row>
    <row r="647" ht="14.25" customHeight="1">
      <c r="E647" s="8"/>
      <c r="G647" s="8"/>
      <c r="H647" s="8"/>
      <c r="K647" s="8"/>
      <c r="L647" s="8"/>
      <c r="M647" s="8"/>
      <c r="O647" s="8"/>
      <c r="Q647" s="8"/>
      <c r="R647" s="8"/>
    </row>
    <row r="648" ht="14.25" customHeight="1">
      <c r="E648" s="8"/>
      <c r="G648" s="8"/>
      <c r="H648" s="8"/>
      <c r="K648" s="8"/>
      <c r="L648" s="8"/>
      <c r="M648" s="8"/>
      <c r="O648" s="8"/>
      <c r="Q648" s="8"/>
      <c r="R648" s="8"/>
    </row>
    <row r="649" ht="14.25" customHeight="1">
      <c r="E649" s="8"/>
      <c r="G649" s="8"/>
      <c r="H649" s="8"/>
      <c r="K649" s="8"/>
      <c r="L649" s="8"/>
      <c r="M649" s="8"/>
      <c r="O649" s="8"/>
      <c r="Q649" s="8"/>
      <c r="R649" s="8"/>
    </row>
    <row r="650" ht="14.25" customHeight="1">
      <c r="E650" s="8"/>
      <c r="G650" s="8"/>
      <c r="H650" s="8"/>
      <c r="K650" s="8"/>
      <c r="L650" s="8"/>
      <c r="M650" s="8"/>
      <c r="O650" s="8"/>
      <c r="Q650" s="8"/>
      <c r="R650" s="8"/>
    </row>
    <row r="651" ht="14.25" customHeight="1">
      <c r="E651" s="8"/>
      <c r="G651" s="8"/>
      <c r="H651" s="8"/>
      <c r="K651" s="8"/>
      <c r="L651" s="8"/>
      <c r="M651" s="8"/>
      <c r="O651" s="8"/>
      <c r="Q651" s="8"/>
      <c r="R651" s="8"/>
    </row>
    <row r="652" ht="14.25" customHeight="1">
      <c r="E652" s="8"/>
      <c r="G652" s="8"/>
      <c r="H652" s="8"/>
      <c r="K652" s="8"/>
      <c r="L652" s="8"/>
      <c r="M652" s="8"/>
      <c r="O652" s="8"/>
      <c r="Q652" s="8"/>
      <c r="R652" s="8"/>
    </row>
    <row r="653" ht="14.25" customHeight="1">
      <c r="E653" s="8"/>
      <c r="G653" s="8"/>
      <c r="H653" s="8"/>
      <c r="K653" s="8"/>
      <c r="L653" s="8"/>
      <c r="M653" s="8"/>
      <c r="O653" s="8"/>
      <c r="Q653" s="8"/>
      <c r="R653" s="8"/>
    </row>
    <row r="654" ht="14.25" customHeight="1">
      <c r="E654" s="8"/>
      <c r="G654" s="8"/>
      <c r="H654" s="8"/>
      <c r="K654" s="8"/>
      <c r="L654" s="8"/>
      <c r="M654" s="8"/>
      <c r="O654" s="8"/>
      <c r="Q654" s="8"/>
      <c r="R654" s="8"/>
    </row>
    <row r="655" ht="14.25" customHeight="1">
      <c r="E655" s="8"/>
      <c r="G655" s="8"/>
      <c r="H655" s="8"/>
      <c r="K655" s="8"/>
      <c r="L655" s="8"/>
      <c r="M655" s="8"/>
      <c r="O655" s="8"/>
      <c r="Q655" s="8"/>
      <c r="R655" s="8"/>
    </row>
    <row r="656" ht="14.25" customHeight="1">
      <c r="E656" s="8"/>
      <c r="G656" s="8"/>
      <c r="H656" s="8"/>
      <c r="K656" s="8"/>
      <c r="L656" s="8"/>
      <c r="M656" s="8"/>
      <c r="O656" s="8"/>
      <c r="Q656" s="8"/>
      <c r="R656" s="8"/>
    </row>
    <row r="657" ht="14.25" customHeight="1">
      <c r="E657" s="8"/>
      <c r="G657" s="8"/>
      <c r="H657" s="8"/>
      <c r="K657" s="8"/>
      <c r="L657" s="8"/>
      <c r="M657" s="8"/>
      <c r="O657" s="8"/>
      <c r="Q657" s="8"/>
      <c r="R657" s="8"/>
    </row>
    <row r="658" ht="14.25" customHeight="1">
      <c r="E658" s="8"/>
      <c r="G658" s="8"/>
      <c r="H658" s="8"/>
      <c r="K658" s="8"/>
      <c r="L658" s="8"/>
      <c r="M658" s="8"/>
      <c r="O658" s="8"/>
      <c r="Q658" s="8"/>
      <c r="R658" s="8"/>
    </row>
    <row r="659" ht="14.25" customHeight="1">
      <c r="E659" s="8"/>
      <c r="G659" s="8"/>
      <c r="H659" s="8"/>
      <c r="K659" s="8"/>
      <c r="L659" s="8"/>
      <c r="M659" s="8"/>
      <c r="O659" s="8"/>
      <c r="Q659" s="8"/>
      <c r="R659" s="8"/>
    </row>
    <row r="660" ht="14.25" customHeight="1">
      <c r="E660" s="8"/>
      <c r="G660" s="8"/>
      <c r="H660" s="8"/>
      <c r="K660" s="8"/>
      <c r="L660" s="8"/>
      <c r="M660" s="8"/>
      <c r="O660" s="8"/>
      <c r="Q660" s="8"/>
      <c r="R660" s="8"/>
    </row>
    <row r="661" ht="14.25" customHeight="1">
      <c r="E661" s="8"/>
      <c r="G661" s="8"/>
      <c r="H661" s="8"/>
      <c r="K661" s="8"/>
      <c r="L661" s="8"/>
      <c r="M661" s="8"/>
      <c r="O661" s="8"/>
      <c r="Q661" s="8"/>
      <c r="R661" s="8"/>
    </row>
    <row r="662" ht="14.25" customHeight="1">
      <c r="E662" s="8"/>
      <c r="G662" s="8"/>
      <c r="H662" s="8"/>
      <c r="K662" s="8"/>
      <c r="L662" s="8"/>
      <c r="M662" s="8"/>
      <c r="O662" s="8"/>
      <c r="Q662" s="8"/>
      <c r="R662" s="8"/>
    </row>
    <row r="663" ht="14.25" customHeight="1">
      <c r="E663" s="8"/>
      <c r="G663" s="8"/>
      <c r="H663" s="8"/>
      <c r="K663" s="8"/>
      <c r="L663" s="8"/>
      <c r="M663" s="8"/>
      <c r="O663" s="8"/>
      <c r="Q663" s="8"/>
      <c r="R663" s="8"/>
    </row>
    <row r="664" ht="14.25" customHeight="1">
      <c r="E664" s="8"/>
      <c r="G664" s="8"/>
      <c r="H664" s="8"/>
      <c r="K664" s="8"/>
      <c r="L664" s="8"/>
      <c r="M664" s="8"/>
      <c r="O664" s="8"/>
      <c r="Q664" s="8"/>
      <c r="R664" s="8"/>
    </row>
    <row r="665" ht="14.25" customHeight="1">
      <c r="E665" s="8"/>
      <c r="G665" s="8"/>
      <c r="H665" s="8"/>
      <c r="K665" s="8"/>
      <c r="L665" s="8"/>
      <c r="M665" s="8"/>
      <c r="O665" s="8"/>
      <c r="Q665" s="8"/>
      <c r="R665" s="8"/>
    </row>
    <row r="666" ht="14.25" customHeight="1">
      <c r="E666" s="8"/>
      <c r="G666" s="8"/>
      <c r="H666" s="8"/>
      <c r="K666" s="8"/>
      <c r="L666" s="8"/>
      <c r="M666" s="8"/>
      <c r="O666" s="8"/>
      <c r="Q666" s="8"/>
      <c r="R666" s="8"/>
    </row>
    <row r="667" ht="14.25" customHeight="1">
      <c r="E667" s="8"/>
      <c r="G667" s="8"/>
      <c r="H667" s="8"/>
      <c r="K667" s="8"/>
      <c r="L667" s="8"/>
      <c r="M667" s="8"/>
      <c r="O667" s="8"/>
      <c r="Q667" s="8"/>
      <c r="R667" s="8"/>
    </row>
    <row r="668" ht="14.25" customHeight="1">
      <c r="E668" s="8"/>
      <c r="G668" s="8"/>
      <c r="H668" s="8"/>
      <c r="K668" s="8"/>
      <c r="L668" s="8"/>
      <c r="M668" s="8"/>
      <c r="O668" s="8"/>
      <c r="Q668" s="8"/>
      <c r="R668" s="8"/>
    </row>
    <row r="669" ht="14.25" customHeight="1">
      <c r="E669" s="8"/>
      <c r="G669" s="8"/>
      <c r="H669" s="8"/>
      <c r="K669" s="8"/>
      <c r="L669" s="8"/>
      <c r="M669" s="8"/>
      <c r="O669" s="8"/>
      <c r="Q669" s="8"/>
      <c r="R669" s="8"/>
    </row>
    <row r="670" ht="14.25" customHeight="1">
      <c r="E670" s="8"/>
      <c r="G670" s="8"/>
      <c r="H670" s="8"/>
      <c r="K670" s="8"/>
      <c r="L670" s="8"/>
      <c r="M670" s="8"/>
      <c r="O670" s="8"/>
      <c r="Q670" s="8"/>
      <c r="R670" s="8"/>
    </row>
    <row r="671" ht="14.25" customHeight="1">
      <c r="E671" s="8"/>
      <c r="G671" s="8"/>
      <c r="H671" s="8"/>
      <c r="K671" s="8"/>
      <c r="L671" s="8"/>
      <c r="M671" s="8"/>
      <c r="O671" s="8"/>
      <c r="Q671" s="8"/>
      <c r="R671" s="8"/>
    </row>
    <row r="672" ht="14.25" customHeight="1">
      <c r="E672" s="8"/>
      <c r="G672" s="8"/>
      <c r="H672" s="8"/>
      <c r="K672" s="8"/>
      <c r="L672" s="8"/>
      <c r="M672" s="8"/>
      <c r="O672" s="8"/>
      <c r="Q672" s="8"/>
      <c r="R672" s="8"/>
    </row>
    <row r="673" ht="14.25" customHeight="1">
      <c r="E673" s="8"/>
      <c r="G673" s="8"/>
      <c r="H673" s="8"/>
      <c r="K673" s="8"/>
      <c r="L673" s="8"/>
      <c r="M673" s="8"/>
      <c r="O673" s="8"/>
      <c r="Q673" s="8"/>
      <c r="R673" s="8"/>
    </row>
    <row r="674" ht="14.25" customHeight="1">
      <c r="E674" s="8"/>
      <c r="G674" s="8"/>
      <c r="H674" s="8"/>
      <c r="K674" s="8"/>
      <c r="L674" s="8"/>
      <c r="M674" s="8"/>
      <c r="O674" s="8"/>
      <c r="Q674" s="8"/>
      <c r="R674" s="8"/>
    </row>
    <row r="675" ht="14.25" customHeight="1">
      <c r="E675" s="8"/>
      <c r="G675" s="8"/>
      <c r="H675" s="8"/>
      <c r="K675" s="8"/>
      <c r="L675" s="8"/>
      <c r="M675" s="8"/>
      <c r="O675" s="8"/>
      <c r="Q675" s="8"/>
      <c r="R675" s="8"/>
    </row>
    <row r="676" ht="14.25" customHeight="1">
      <c r="E676" s="8"/>
      <c r="G676" s="8"/>
      <c r="H676" s="8"/>
      <c r="K676" s="8"/>
      <c r="L676" s="8"/>
      <c r="M676" s="8"/>
      <c r="O676" s="8"/>
      <c r="Q676" s="8"/>
      <c r="R676" s="8"/>
    </row>
    <row r="677" ht="14.25" customHeight="1">
      <c r="E677" s="8"/>
      <c r="G677" s="8"/>
      <c r="H677" s="8"/>
      <c r="K677" s="8"/>
      <c r="L677" s="8"/>
      <c r="M677" s="8"/>
      <c r="O677" s="8"/>
      <c r="Q677" s="8"/>
      <c r="R677" s="8"/>
    </row>
    <row r="678" ht="14.25" customHeight="1">
      <c r="E678" s="8"/>
      <c r="G678" s="8"/>
      <c r="H678" s="8"/>
      <c r="K678" s="8"/>
      <c r="L678" s="8"/>
      <c r="M678" s="8"/>
      <c r="O678" s="8"/>
      <c r="Q678" s="8"/>
      <c r="R678" s="8"/>
    </row>
    <row r="679" ht="14.25" customHeight="1">
      <c r="E679" s="8"/>
      <c r="G679" s="8"/>
      <c r="H679" s="8"/>
      <c r="K679" s="8"/>
      <c r="L679" s="8"/>
      <c r="M679" s="8"/>
      <c r="O679" s="8"/>
      <c r="Q679" s="8"/>
      <c r="R679" s="8"/>
    </row>
    <row r="680" ht="14.25" customHeight="1">
      <c r="E680" s="8"/>
      <c r="G680" s="8"/>
      <c r="H680" s="8"/>
      <c r="K680" s="8"/>
      <c r="L680" s="8"/>
      <c r="M680" s="8"/>
      <c r="O680" s="8"/>
      <c r="Q680" s="8"/>
      <c r="R680" s="8"/>
    </row>
    <row r="681" ht="14.25" customHeight="1">
      <c r="E681" s="8"/>
      <c r="G681" s="8"/>
      <c r="H681" s="8"/>
      <c r="K681" s="8"/>
      <c r="L681" s="8"/>
      <c r="M681" s="8"/>
      <c r="O681" s="8"/>
      <c r="Q681" s="8"/>
      <c r="R681" s="8"/>
    </row>
    <row r="682" ht="14.25" customHeight="1">
      <c r="E682" s="8"/>
      <c r="G682" s="8"/>
      <c r="H682" s="8"/>
      <c r="K682" s="8"/>
      <c r="L682" s="8"/>
      <c r="M682" s="8"/>
      <c r="O682" s="8"/>
      <c r="Q682" s="8"/>
      <c r="R682" s="8"/>
    </row>
    <row r="683" ht="14.25" customHeight="1">
      <c r="E683" s="8"/>
      <c r="G683" s="8"/>
      <c r="H683" s="8"/>
      <c r="K683" s="8"/>
      <c r="L683" s="8"/>
      <c r="M683" s="8"/>
      <c r="O683" s="8"/>
      <c r="Q683" s="8"/>
      <c r="R683" s="8"/>
    </row>
    <row r="684" ht="14.25" customHeight="1">
      <c r="E684" s="8"/>
      <c r="G684" s="8"/>
      <c r="H684" s="8"/>
      <c r="K684" s="8"/>
      <c r="L684" s="8"/>
      <c r="M684" s="8"/>
      <c r="O684" s="8"/>
      <c r="Q684" s="8"/>
      <c r="R684" s="8"/>
    </row>
    <row r="685" ht="14.25" customHeight="1">
      <c r="E685" s="8"/>
      <c r="G685" s="8"/>
      <c r="H685" s="8"/>
      <c r="K685" s="8"/>
      <c r="L685" s="8"/>
      <c r="M685" s="8"/>
      <c r="O685" s="8"/>
      <c r="Q685" s="8"/>
      <c r="R685" s="8"/>
    </row>
    <row r="686" ht="14.25" customHeight="1">
      <c r="E686" s="8"/>
      <c r="G686" s="8"/>
      <c r="H686" s="8"/>
      <c r="K686" s="8"/>
      <c r="L686" s="8"/>
      <c r="M686" s="8"/>
      <c r="O686" s="8"/>
      <c r="Q686" s="8"/>
      <c r="R686" s="8"/>
    </row>
    <row r="687" ht="14.25" customHeight="1">
      <c r="E687" s="8"/>
      <c r="G687" s="8"/>
      <c r="H687" s="8"/>
      <c r="K687" s="8"/>
      <c r="L687" s="8"/>
      <c r="M687" s="8"/>
      <c r="O687" s="8"/>
      <c r="Q687" s="8"/>
      <c r="R687" s="8"/>
    </row>
    <row r="688" ht="14.25" customHeight="1">
      <c r="E688" s="8"/>
      <c r="G688" s="8"/>
      <c r="H688" s="8"/>
      <c r="K688" s="8"/>
      <c r="L688" s="8"/>
      <c r="M688" s="8"/>
      <c r="O688" s="8"/>
      <c r="Q688" s="8"/>
      <c r="R688" s="8"/>
    </row>
    <row r="689" ht="14.25" customHeight="1">
      <c r="E689" s="8"/>
      <c r="G689" s="8"/>
      <c r="H689" s="8"/>
      <c r="K689" s="8"/>
      <c r="L689" s="8"/>
      <c r="M689" s="8"/>
      <c r="O689" s="8"/>
      <c r="Q689" s="8"/>
      <c r="R689" s="8"/>
    </row>
    <row r="690" ht="14.25" customHeight="1">
      <c r="E690" s="8"/>
      <c r="G690" s="8"/>
      <c r="H690" s="8"/>
      <c r="K690" s="8"/>
      <c r="L690" s="8"/>
      <c r="M690" s="8"/>
      <c r="O690" s="8"/>
      <c r="Q690" s="8"/>
      <c r="R690" s="8"/>
    </row>
    <row r="691" ht="14.25" customHeight="1">
      <c r="E691" s="8"/>
      <c r="G691" s="8"/>
      <c r="H691" s="8"/>
      <c r="K691" s="8"/>
      <c r="L691" s="8"/>
      <c r="M691" s="8"/>
      <c r="O691" s="8"/>
      <c r="Q691" s="8"/>
      <c r="R691" s="8"/>
    </row>
    <row r="692" ht="14.25" customHeight="1">
      <c r="E692" s="8"/>
      <c r="G692" s="8"/>
      <c r="H692" s="8"/>
      <c r="K692" s="8"/>
      <c r="L692" s="8"/>
      <c r="M692" s="8"/>
      <c r="O692" s="8"/>
      <c r="Q692" s="8"/>
      <c r="R692" s="8"/>
    </row>
    <row r="693" ht="14.25" customHeight="1">
      <c r="E693" s="8"/>
      <c r="G693" s="8"/>
      <c r="H693" s="8"/>
      <c r="K693" s="8"/>
      <c r="L693" s="8"/>
      <c r="M693" s="8"/>
      <c r="O693" s="8"/>
      <c r="Q693" s="8"/>
      <c r="R693" s="8"/>
    </row>
    <row r="694" ht="14.25" customHeight="1">
      <c r="E694" s="8"/>
      <c r="G694" s="8"/>
      <c r="H694" s="8"/>
      <c r="K694" s="8"/>
      <c r="L694" s="8"/>
      <c r="M694" s="8"/>
      <c r="O694" s="8"/>
      <c r="Q694" s="8"/>
      <c r="R694" s="8"/>
    </row>
    <row r="695" ht="14.25" customHeight="1">
      <c r="E695" s="8"/>
      <c r="G695" s="8"/>
      <c r="H695" s="8"/>
      <c r="K695" s="8"/>
      <c r="L695" s="8"/>
      <c r="M695" s="8"/>
      <c r="O695" s="8"/>
      <c r="Q695" s="8"/>
      <c r="R695" s="8"/>
    </row>
    <row r="696" ht="14.25" customHeight="1">
      <c r="E696" s="8"/>
      <c r="G696" s="8"/>
      <c r="H696" s="8"/>
      <c r="K696" s="8"/>
      <c r="L696" s="8"/>
      <c r="M696" s="8"/>
      <c r="O696" s="8"/>
      <c r="Q696" s="8"/>
      <c r="R696" s="8"/>
    </row>
    <row r="697" ht="14.25" customHeight="1">
      <c r="E697" s="8"/>
      <c r="G697" s="8"/>
      <c r="H697" s="8"/>
      <c r="K697" s="8"/>
      <c r="L697" s="8"/>
      <c r="M697" s="8"/>
      <c r="O697" s="8"/>
      <c r="Q697" s="8"/>
      <c r="R697" s="8"/>
    </row>
    <row r="698" ht="14.25" customHeight="1">
      <c r="E698" s="8"/>
      <c r="G698" s="8"/>
      <c r="H698" s="8"/>
      <c r="K698" s="8"/>
      <c r="L698" s="8"/>
      <c r="M698" s="8"/>
      <c r="O698" s="8"/>
      <c r="Q698" s="8"/>
      <c r="R698" s="8"/>
    </row>
    <row r="699" ht="14.25" customHeight="1">
      <c r="E699" s="8"/>
      <c r="G699" s="8"/>
      <c r="H699" s="8"/>
      <c r="K699" s="8"/>
      <c r="L699" s="8"/>
      <c r="M699" s="8"/>
      <c r="O699" s="8"/>
      <c r="Q699" s="8"/>
      <c r="R699" s="8"/>
    </row>
    <row r="700" ht="14.25" customHeight="1">
      <c r="E700" s="8"/>
      <c r="G700" s="8"/>
      <c r="H700" s="8"/>
      <c r="K700" s="8"/>
      <c r="L700" s="8"/>
      <c r="M700" s="8"/>
      <c r="O700" s="8"/>
      <c r="Q700" s="8"/>
      <c r="R700" s="8"/>
    </row>
    <row r="701" ht="14.25" customHeight="1">
      <c r="E701" s="8"/>
      <c r="G701" s="8"/>
      <c r="H701" s="8"/>
      <c r="K701" s="8"/>
      <c r="L701" s="8"/>
      <c r="M701" s="8"/>
      <c r="O701" s="8"/>
      <c r="Q701" s="8"/>
      <c r="R701" s="8"/>
    </row>
    <row r="702" ht="14.25" customHeight="1">
      <c r="E702" s="8"/>
      <c r="G702" s="8"/>
      <c r="H702" s="8"/>
      <c r="K702" s="8"/>
      <c r="L702" s="8"/>
      <c r="M702" s="8"/>
      <c r="O702" s="8"/>
      <c r="Q702" s="8"/>
      <c r="R702" s="8"/>
    </row>
    <row r="703" ht="14.25" customHeight="1">
      <c r="E703" s="8"/>
      <c r="G703" s="8"/>
      <c r="H703" s="8"/>
      <c r="K703" s="8"/>
      <c r="L703" s="8"/>
      <c r="M703" s="8"/>
      <c r="O703" s="8"/>
      <c r="Q703" s="8"/>
      <c r="R703" s="8"/>
    </row>
    <row r="704" ht="14.25" customHeight="1">
      <c r="E704" s="8"/>
      <c r="G704" s="8"/>
      <c r="H704" s="8"/>
      <c r="K704" s="8"/>
      <c r="L704" s="8"/>
      <c r="M704" s="8"/>
      <c r="O704" s="8"/>
      <c r="Q704" s="8"/>
      <c r="R704" s="8"/>
    </row>
    <row r="705" ht="14.25" customHeight="1">
      <c r="E705" s="8"/>
      <c r="G705" s="8"/>
      <c r="H705" s="8"/>
      <c r="K705" s="8"/>
      <c r="L705" s="8"/>
      <c r="M705" s="8"/>
      <c r="O705" s="8"/>
      <c r="Q705" s="8"/>
      <c r="R705" s="8"/>
    </row>
    <row r="706" ht="14.25" customHeight="1">
      <c r="E706" s="8"/>
      <c r="G706" s="8"/>
      <c r="H706" s="8"/>
      <c r="K706" s="8"/>
      <c r="L706" s="8"/>
      <c r="M706" s="8"/>
      <c r="O706" s="8"/>
      <c r="Q706" s="8"/>
      <c r="R706" s="8"/>
    </row>
    <row r="707" ht="14.25" customHeight="1">
      <c r="E707" s="8"/>
      <c r="G707" s="8"/>
      <c r="H707" s="8"/>
      <c r="K707" s="8"/>
      <c r="L707" s="8"/>
      <c r="M707" s="8"/>
      <c r="O707" s="8"/>
      <c r="Q707" s="8"/>
      <c r="R707" s="8"/>
    </row>
    <row r="708" ht="14.25" customHeight="1">
      <c r="E708" s="8"/>
      <c r="G708" s="8"/>
      <c r="H708" s="8"/>
      <c r="K708" s="8"/>
      <c r="L708" s="8"/>
      <c r="M708" s="8"/>
      <c r="O708" s="8"/>
      <c r="Q708" s="8"/>
      <c r="R708" s="8"/>
    </row>
    <row r="709" ht="14.25" customHeight="1">
      <c r="E709" s="8"/>
      <c r="G709" s="8"/>
      <c r="H709" s="8"/>
      <c r="K709" s="8"/>
      <c r="L709" s="8"/>
      <c r="M709" s="8"/>
      <c r="O709" s="8"/>
      <c r="Q709" s="8"/>
      <c r="R709" s="8"/>
    </row>
    <row r="710" ht="14.25" customHeight="1">
      <c r="E710" s="8"/>
      <c r="G710" s="8"/>
      <c r="H710" s="8"/>
      <c r="K710" s="8"/>
      <c r="L710" s="8"/>
      <c r="M710" s="8"/>
      <c r="O710" s="8"/>
      <c r="Q710" s="8"/>
      <c r="R710" s="8"/>
    </row>
    <row r="711" ht="14.25" customHeight="1">
      <c r="E711" s="8"/>
      <c r="G711" s="8"/>
      <c r="H711" s="8"/>
      <c r="K711" s="8"/>
      <c r="L711" s="8"/>
      <c r="M711" s="8"/>
      <c r="O711" s="8"/>
      <c r="Q711" s="8"/>
      <c r="R711" s="8"/>
    </row>
    <row r="712" ht="14.25" customHeight="1">
      <c r="E712" s="8"/>
      <c r="G712" s="8"/>
      <c r="H712" s="8"/>
      <c r="K712" s="8"/>
      <c r="L712" s="8"/>
      <c r="M712" s="8"/>
      <c r="O712" s="8"/>
      <c r="Q712" s="8"/>
      <c r="R712" s="8"/>
    </row>
    <row r="713" ht="14.25" customHeight="1">
      <c r="E713" s="8"/>
      <c r="G713" s="8"/>
      <c r="H713" s="8"/>
      <c r="K713" s="8"/>
      <c r="L713" s="8"/>
      <c r="M713" s="8"/>
      <c r="O713" s="8"/>
      <c r="Q713" s="8"/>
      <c r="R713" s="8"/>
    </row>
    <row r="714" ht="14.25" customHeight="1">
      <c r="E714" s="8"/>
      <c r="G714" s="8"/>
      <c r="H714" s="8"/>
      <c r="K714" s="8"/>
      <c r="L714" s="8"/>
      <c r="M714" s="8"/>
      <c r="O714" s="8"/>
      <c r="Q714" s="8"/>
      <c r="R714" s="8"/>
    </row>
    <row r="715" ht="14.25" customHeight="1">
      <c r="E715" s="8"/>
      <c r="G715" s="8"/>
      <c r="H715" s="8"/>
      <c r="K715" s="8"/>
      <c r="L715" s="8"/>
      <c r="M715" s="8"/>
      <c r="O715" s="8"/>
      <c r="Q715" s="8"/>
      <c r="R715" s="8"/>
    </row>
    <row r="716" ht="14.25" customHeight="1">
      <c r="E716" s="8"/>
      <c r="G716" s="8"/>
      <c r="H716" s="8"/>
      <c r="K716" s="8"/>
      <c r="L716" s="8"/>
      <c r="M716" s="8"/>
      <c r="O716" s="8"/>
      <c r="Q716" s="8"/>
      <c r="R716" s="8"/>
    </row>
    <row r="717" ht="14.25" customHeight="1">
      <c r="E717" s="8"/>
      <c r="G717" s="8"/>
      <c r="H717" s="8"/>
      <c r="K717" s="8"/>
      <c r="L717" s="8"/>
      <c r="M717" s="8"/>
      <c r="O717" s="8"/>
      <c r="Q717" s="8"/>
      <c r="R717" s="8"/>
    </row>
    <row r="718" ht="14.25" customHeight="1">
      <c r="E718" s="8"/>
      <c r="G718" s="8"/>
      <c r="H718" s="8"/>
      <c r="K718" s="8"/>
      <c r="L718" s="8"/>
      <c r="M718" s="8"/>
      <c r="O718" s="8"/>
      <c r="Q718" s="8"/>
      <c r="R718" s="8"/>
    </row>
    <row r="719" ht="14.25" customHeight="1">
      <c r="E719" s="8"/>
      <c r="G719" s="8"/>
      <c r="H719" s="8"/>
      <c r="K719" s="8"/>
      <c r="L719" s="8"/>
      <c r="M719" s="8"/>
      <c r="O719" s="8"/>
      <c r="Q719" s="8"/>
      <c r="R719" s="8"/>
    </row>
    <row r="720" ht="14.25" customHeight="1">
      <c r="E720" s="8"/>
      <c r="G720" s="8"/>
      <c r="H720" s="8"/>
      <c r="K720" s="8"/>
      <c r="L720" s="8"/>
      <c r="M720" s="8"/>
      <c r="O720" s="8"/>
      <c r="Q720" s="8"/>
      <c r="R720" s="8"/>
    </row>
    <row r="721" ht="14.25" customHeight="1">
      <c r="E721" s="8"/>
      <c r="G721" s="8"/>
      <c r="H721" s="8"/>
      <c r="K721" s="8"/>
      <c r="L721" s="8"/>
      <c r="M721" s="8"/>
      <c r="O721" s="8"/>
      <c r="Q721" s="8"/>
      <c r="R721" s="8"/>
    </row>
    <row r="722" ht="14.25" customHeight="1">
      <c r="E722" s="8"/>
      <c r="G722" s="8"/>
      <c r="H722" s="8"/>
      <c r="K722" s="8"/>
      <c r="L722" s="8"/>
      <c r="M722" s="8"/>
      <c r="O722" s="8"/>
      <c r="Q722" s="8"/>
      <c r="R722" s="8"/>
    </row>
    <row r="723" ht="14.25" customHeight="1">
      <c r="E723" s="8"/>
      <c r="G723" s="8"/>
      <c r="H723" s="8"/>
      <c r="K723" s="8"/>
      <c r="L723" s="8"/>
      <c r="M723" s="8"/>
      <c r="O723" s="8"/>
      <c r="Q723" s="8"/>
      <c r="R723" s="8"/>
    </row>
    <row r="724" ht="14.25" customHeight="1">
      <c r="E724" s="8"/>
      <c r="G724" s="8"/>
      <c r="H724" s="8"/>
      <c r="K724" s="8"/>
      <c r="L724" s="8"/>
      <c r="M724" s="8"/>
      <c r="O724" s="8"/>
      <c r="Q724" s="8"/>
      <c r="R724" s="8"/>
    </row>
    <row r="725" ht="14.25" customHeight="1">
      <c r="E725" s="8"/>
      <c r="G725" s="8"/>
      <c r="H725" s="8"/>
      <c r="K725" s="8"/>
      <c r="L725" s="8"/>
      <c r="M725" s="8"/>
      <c r="O725" s="8"/>
      <c r="Q725" s="8"/>
      <c r="R725" s="8"/>
    </row>
    <row r="726" ht="14.25" customHeight="1">
      <c r="E726" s="8"/>
      <c r="G726" s="8"/>
      <c r="H726" s="8"/>
      <c r="K726" s="8"/>
      <c r="L726" s="8"/>
      <c r="M726" s="8"/>
      <c r="O726" s="8"/>
      <c r="Q726" s="8"/>
      <c r="R726" s="8"/>
    </row>
    <row r="727" ht="14.25" customHeight="1">
      <c r="E727" s="8"/>
      <c r="G727" s="8"/>
      <c r="H727" s="8"/>
      <c r="K727" s="8"/>
      <c r="L727" s="8"/>
      <c r="M727" s="8"/>
      <c r="O727" s="8"/>
      <c r="Q727" s="8"/>
      <c r="R727" s="8"/>
    </row>
    <row r="728" ht="14.25" customHeight="1">
      <c r="E728" s="8"/>
      <c r="G728" s="8"/>
      <c r="H728" s="8"/>
      <c r="K728" s="8"/>
      <c r="L728" s="8"/>
      <c r="M728" s="8"/>
      <c r="O728" s="8"/>
      <c r="Q728" s="8"/>
      <c r="R728" s="8"/>
    </row>
    <row r="729" ht="14.25" customHeight="1">
      <c r="E729" s="8"/>
      <c r="G729" s="8"/>
      <c r="H729" s="8"/>
      <c r="K729" s="8"/>
      <c r="L729" s="8"/>
      <c r="M729" s="8"/>
      <c r="O729" s="8"/>
      <c r="Q729" s="8"/>
      <c r="R729" s="8"/>
    </row>
    <row r="730" ht="14.25" customHeight="1">
      <c r="E730" s="8"/>
      <c r="G730" s="8"/>
      <c r="H730" s="8"/>
      <c r="K730" s="8"/>
      <c r="L730" s="8"/>
      <c r="M730" s="8"/>
      <c r="O730" s="8"/>
      <c r="Q730" s="8"/>
      <c r="R730" s="8"/>
    </row>
    <row r="731" ht="14.25" customHeight="1">
      <c r="E731" s="8"/>
      <c r="G731" s="8"/>
      <c r="H731" s="8"/>
      <c r="K731" s="8"/>
      <c r="L731" s="8"/>
      <c r="M731" s="8"/>
      <c r="O731" s="8"/>
      <c r="Q731" s="8"/>
      <c r="R731" s="8"/>
    </row>
    <row r="732" ht="14.25" customHeight="1">
      <c r="E732" s="8"/>
      <c r="G732" s="8"/>
      <c r="H732" s="8"/>
      <c r="K732" s="8"/>
      <c r="L732" s="8"/>
      <c r="M732" s="8"/>
      <c r="O732" s="8"/>
      <c r="Q732" s="8"/>
      <c r="R732" s="8"/>
    </row>
    <row r="733" ht="14.25" customHeight="1">
      <c r="E733" s="8"/>
      <c r="G733" s="8"/>
      <c r="H733" s="8"/>
      <c r="K733" s="8"/>
      <c r="L733" s="8"/>
      <c r="M733" s="8"/>
      <c r="O733" s="8"/>
      <c r="Q733" s="8"/>
      <c r="R733" s="8"/>
    </row>
    <row r="734" ht="14.25" customHeight="1">
      <c r="E734" s="8"/>
      <c r="G734" s="8"/>
      <c r="H734" s="8"/>
      <c r="K734" s="8"/>
      <c r="L734" s="8"/>
      <c r="M734" s="8"/>
      <c r="O734" s="8"/>
      <c r="Q734" s="8"/>
      <c r="R734" s="8"/>
    </row>
    <row r="735" ht="14.25" customHeight="1">
      <c r="E735" s="8"/>
      <c r="G735" s="8"/>
      <c r="H735" s="8"/>
      <c r="K735" s="8"/>
      <c r="L735" s="8"/>
      <c r="M735" s="8"/>
      <c r="O735" s="8"/>
      <c r="Q735" s="8"/>
      <c r="R735" s="8"/>
    </row>
    <row r="736" ht="14.25" customHeight="1">
      <c r="E736" s="8"/>
      <c r="G736" s="8"/>
      <c r="H736" s="8"/>
      <c r="K736" s="8"/>
      <c r="L736" s="8"/>
      <c r="M736" s="8"/>
      <c r="O736" s="8"/>
      <c r="Q736" s="8"/>
      <c r="R736" s="8"/>
    </row>
    <row r="737" ht="14.25" customHeight="1">
      <c r="E737" s="8"/>
      <c r="G737" s="8"/>
      <c r="H737" s="8"/>
      <c r="K737" s="8"/>
      <c r="L737" s="8"/>
      <c r="M737" s="8"/>
      <c r="O737" s="8"/>
      <c r="Q737" s="8"/>
      <c r="R737" s="8"/>
    </row>
    <row r="738" ht="14.25" customHeight="1">
      <c r="E738" s="8"/>
      <c r="G738" s="8"/>
      <c r="H738" s="8"/>
      <c r="K738" s="8"/>
      <c r="L738" s="8"/>
      <c r="M738" s="8"/>
      <c r="O738" s="8"/>
      <c r="Q738" s="8"/>
      <c r="R738" s="8"/>
    </row>
    <row r="739" ht="14.25" customHeight="1">
      <c r="E739" s="8"/>
      <c r="G739" s="8"/>
      <c r="H739" s="8"/>
      <c r="K739" s="8"/>
      <c r="L739" s="8"/>
      <c r="M739" s="8"/>
      <c r="O739" s="8"/>
      <c r="Q739" s="8"/>
      <c r="R739" s="8"/>
    </row>
    <row r="740" ht="14.25" customHeight="1">
      <c r="E740" s="8"/>
      <c r="G740" s="8"/>
      <c r="H740" s="8"/>
      <c r="K740" s="8"/>
      <c r="L740" s="8"/>
      <c r="M740" s="8"/>
      <c r="O740" s="8"/>
      <c r="Q740" s="8"/>
      <c r="R740" s="8"/>
    </row>
    <row r="741" ht="14.25" customHeight="1">
      <c r="E741" s="8"/>
      <c r="G741" s="8"/>
      <c r="H741" s="8"/>
      <c r="K741" s="8"/>
      <c r="L741" s="8"/>
      <c r="M741" s="8"/>
      <c r="O741" s="8"/>
      <c r="Q741" s="8"/>
      <c r="R741" s="8"/>
    </row>
    <row r="742" ht="14.25" customHeight="1">
      <c r="E742" s="8"/>
      <c r="G742" s="8"/>
      <c r="H742" s="8"/>
      <c r="K742" s="8"/>
      <c r="L742" s="8"/>
      <c r="M742" s="8"/>
      <c r="O742" s="8"/>
      <c r="Q742" s="8"/>
      <c r="R742" s="8"/>
    </row>
    <row r="743" ht="14.25" customHeight="1">
      <c r="E743" s="8"/>
      <c r="G743" s="8"/>
      <c r="H743" s="8"/>
      <c r="K743" s="8"/>
      <c r="L743" s="8"/>
      <c r="M743" s="8"/>
      <c r="O743" s="8"/>
      <c r="Q743" s="8"/>
      <c r="R743" s="8"/>
    </row>
    <row r="744" ht="14.25" customHeight="1">
      <c r="E744" s="8"/>
      <c r="G744" s="8"/>
      <c r="H744" s="8"/>
      <c r="K744" s="8"/>
      <c r="L744" s="8"/>
      <c r="M744" s="8"/>
      <c r="O744" s="8"/>
      <c r="Q744" s="8"/>
      <c r="R744" s="8"/>
    </row>
    <row r="745" ht="14.25" customHeight="1">
      <c r="E745" s="8"/>
      <c r="G745" s="8"/>
      <c r="H745" s="8"/>
      <c r="K745" s="8"/>
      <c r="L745" s="8"/>
      <c r="M745" s="8"/>
      <c r="O745" s="8"/>
      <c r="Q745" s="8"/>
      <c r="R745" s="8"/>
    </row>
    <row r="746" ht="14.25" customHeight="1">
      <c r="E746" s="8"/>
      <c r="G746" s="8"/>
      <c r="H746" s="8"/>
      <c r="K746" s="8"/>
      <c r="L746" s="8"/>
      <c r="M746" s="8"/>
      <c r="O746" s="8"/>
      <c r="Q746" s="8"/>
      <c r="R746" s="8"/>
    </row>
    <row r="747" ht="14.25" customHeight="1">
      <c r="E747" s="8"/>
      <c r="G747" s="8"/>
      <c r="H747" s="8"/>
      <c r="K747" s="8"/>
      <c r="L747" s="8"/>
      <c r="M747" s="8"/>
      <c r="O747" s="8"/>
      <c r="Q747" s="8"/>
      <c r="R747" s="8"/>
    </row>
    <row r="748" ht="14.25" customHeight="1">
      <c r="E748" s="8"/>
      <c r="G748" s="8"/>
      <c r="H748" s="8"/>
      <c r="K748" s="8"/>
      <c r="L748" s="8"/>
      <c r="M748" s="8"/>
      <c r="O748" s="8"/>
      <c r="Q748" s="8"/>
      <c r="R748" s="8"/>
    </row>
    <row r="749" ht="14.25" customHeight="1">
      <c r="E749" s="8"/>
      <c r="G749" s="8"/>
      <c r="H749" s="8"/>
      <c r="K749" s="8"/>
      <c r="L749" s="8"/>
      <c r="M749" s="8"/>
      <c r="O749" s="8"/>
      <c r="Q749" s="8"/>
      <c r="R749" s="8"/>
    </row>
    <row r="750" ht="14.25" customHeight="1">
      <c r="E750" s="8"/>
      <c r="G750" s="8"/>
      <c r="H750" s="8"/>
      <c r="K750" s="8"/>
      <c r="L750" s="8"/>
      <c r="M750" s="8"/>
      <c r="O750" s="8"/>
      <c r="Q750" s="8"/>
      <c r="R750" s="8"/>
    </row>
    <row r="751" ht="14.25" customHeight="1">
      <c r="E751" s="8"/>
      <c r="G751" s="8"/>
      <c r="H751" s="8"/>
      <c r="K751" s="8"/>
      <c r="L751" s="8"/>
      <c r="M751" s="8"/>
      <c r="O751" s="8"/>
      <c r="Q751" s="8"/>
      <c r="R751" s="8"/>
    </row>
    <row r="752" ht="14.25" customHeight="1">
      <c r="E752" s="8"/>
      <c r="G752" s="8"/>
      <c r="H752" s="8"/>
      <c r="K752" s="8"/>
      <c r="L752" s="8"/>
      <c r="M752" s="8"/>
      <c r="O752" s="8"/>
      <c r="Q752" s="8"/>
      <c r="R752" s="8"/>
    </row>
    <row r="753" ht="14.25" customHeight="1">
      <c r="E753" s="8"/>
      <c r="G753" s="8"/>
      <c r="H753" s="8"/>
      <c r="K753" s="8"/>
      <c r="L753" s="8"/>
      <c r="M753" s="8"/>
      <c r="O753" s="8"/>
      <c r="Q753" s="8"/>
      <c r="R753" s="8"/>
    </row>
    <row r="754" ht="14.25" customHeight="1">
      <c r="E754" s="8"/>
      <c r="G754" s="8"/>
      <c r="H754" s="8"/>
      <c r="K754" s="8"/>
      <c r="L754" s="8"/>
      <c r="M754" s="8"/>
      <c r="O754" s="8"/>
      <c r="Q754" s="8"/>
      <c r="R754" s="8"/>
    </row>
    <row r="755" ht="14.25" customHeight="1">
      <c r="E755" s="8"/>
      <c r="G755" s="8"/>
      <c r="H755" s="8"/>
      <c r="K755" s="8"/>
      <c r="L755" s="8"/>
      <c r="M755" s="8"/>
      <c r="O755" s="8"/>
      <c r="Q755" s="8"/>
      <c r="R755" s="8"/>
    </row>
    <row r="756" ht="14.25" customHeight="1">
      <c r="E756" s="8"/>
      <c r="G756" s="8"/>
      <c r="H756" s="8"/>
      <c r="K756" s="8"/>
      <c r="L756" s="8"/>
      <c r="M756" s="8"/>
      <c r="O756" s="8"/>
      <c r="Q756" s="8"/>
      <c r="R756" s="8"/>
    </row>
    <row r="757" ht="14.25" customHeight="1">
      <c r="E757" s="8"/>
      <c r="G757" s="8"/>
      <c r="H757" s="8"/>
      <c r="K757" s="8"/>
      <c r="L757" s="8"/>
      <c r="M757" s="8"/>
      <c r="O757" s="8"/>
      <c r="Q757" s="8"/>
      <c r="R757" s="8"/>
    </row>
    <row r="758" ht="14.25" customHeight="1">
      <c r="E758" s="8"/>
      <c r="G758" s="8"/>
      <c r="H758" s="8"/>
      <c r="K758" s="8"/>
      <c r="L758" s="8"/>
      <c r="M758" s="8"/>
      <c r="O758" s="8"/>
      <c r="Q758" s="8"/>
      <c r="R758" s="8"/>
    </row>
    <row r="759" ht="14.25" customHeight="1">
      <c r="E759" s="8"/>
      <c r="G759" s="8"/>
      <c r="H759" s="8"/>
      <c r="K759" s="8"/>
      <c r="L759" s="8"/>
      <c r="M759" s="8"/>
      <c r="O759" s="8"/>
      <c r="Q759" s="8"/>
      <c r="R759" s="8"/>
    </row>
    <row r="760" ht="14.25" customHeight="1">
      <c r="E760" s="8"/>
      <c r="G760" s="8"/>
      <c r="H760" s="8"/>
      <c r="K760" s="8"/>
      <c r="L760" s="8"/>
      <c r="M760" s="8"/>
      <c r="O760" s="8"/>
      <c r="Q760" s="8"/>
      <c r="R760" s="8"/>
    </row>
    <row r="761" ht="14.25" customHeight="1">
      <c r="E761" s="8"/>
      <c r="G761" s="8"/>
      <c r="H761" s="8"/>
      <c r="K761" s="8"/>
      <c r="L761" s="8"/>
      <c r="M761" s="8"/>
      <c r="O761" s="8"/>
      <c r="Q761" s="8"/>
      <c r="R761" s="8"/>
    </row>
    <row r="762" ht="14.25" customHeight="1">
      <c r="E762" s="8"/>
      <c r="G762" s="8"/>
      <c r="H762" s="8"/>
      <c r="K762" s="8"/>
      <c r="L762" s="8"/>
      <c r="M762" s="8"/>
      <c r="O762" s="8"/>
      <c r="Q762" s="8"/>
      <c r="R762" s="8"/>
    </row>
    <row r="763" ht="14.25" customHeight="1">
      <c r="E763" s="8"/>
      <c r="G763" s="8"/>
      <c r="H763" s="8"/>
      <c r="K763" s="8"/>
      <c r="L763" s="8"/>
      <c r="M763" s="8"/>
      <c r="O763" s="8"/>
      <c r="Q763" s="8"/>
      <c r="R763" s="8"/>
    </row>
    <row r="764" ht="14.25" customHeight="1">
      <c r="E764" s="8"/>
      <c r="G764" s="8"/>
      <c r="H764" s="8"/>
      <c r="K764" s="8"/>
      <c r="L764" s="8"/>
      <c r="M764" s="8"/>
      <c r="O764" s="8"/>
      <c r="Q764" s="8"/>
      <c r="R764" s="8"/>
    </row>
    <row r="765" ht="14.25" customHeight="1">
      <c r="E765" s="8"/>
      <c r="G765" s="8"/>
      <c r="H765" s="8"/>
      <c r="K765" s="8"/>
      <c r="L765" s="8"/>
      <c r="M765" s="8"/>
      <c r="O765" s="8"/>
      <c r="Q765" s="8"/>
      <c r="R765" s="8"/>
    </row>
    <row r="766" ht="14.25" customHeight="1">
      <c r="E766" s="8"/>
      <c r="G766" s="8"/>
      <c r="H766" s="8"/>
      <c r="K766" s="8"/>
      <c r="L766" s="8"/>
      <c r="M766" s="8"/>
      <c r="O766" s="8"/>
      <c r="Q766" s="8"/>
      <c r="R766" s="8"/>
    </row>
    <row r="767" ht="14.25" customHeight="1">
      <c r="E767" s="8"/>
      <c r="G767" s="8"/>
      <c r="H767" s="8"/>
      <c r="K767" s="8"/>
      <c r="L767" s="8"/>
      <c r="M767" s="8"/>
      <c r="O767" s="8"/>
      <c r="Q767" s="8"/>
      <c r="R767" s="8"/>
    </row>
    <row r="768" ht="14.25" customHeight="1">
      <c r="E768" s="8"/>
      <c r="G768" s="8"/>
      <c r="H768" s="8"/>
      <c r="K768" s="8"/>
      <c r="L768" s="8"/>
      <c r="M768" s="8"/>
      <c r="O768" s="8"/>
      <c r="Q768" s="8"/>
      <c r="R768" s="8"/>
    </row>
    <row r="769" ht="14.25" customHeight="1">
      <c r="E769" s="8"/>
      <c r="G769" s="8"/>
      <c r="H769" s="8"/>
      <c r="K769" s="8"/>
      <c r="L769" s="8"/>
      <c r="M769" s="8"/>
      <c r="O769" s="8"/>
      <c r="Q769" s="8"/>
      <c r="R769" s="8"/>
    </row>
    <row r="770" ht="14.25" customHeight="1">
      <c r="E770" s="8"/>
      <c r="G770" s="8"/>
      <c r="H770" s="8"/>
      <c r="K770" s="8"/>
      <c r="L770" s="8"/>
      <c r="M770" s="8"/>
      <c r="O770" s="8"/>
      <c r="Q770" s="8"/>
      <c r="R770" s="8"/>
    </row>
    <row r="771" ht="14.25" customHeight="1">
      <c r="E771" s="8"/>
      <c r="G771" s="8"/>
      <c r="H771" s="8"/>
      <c r="K771" s="8"/>
      <c r="L771" s="8"/>
      <c r="M771" s="8"/>
      <c r="O771" s="8"/>
      <c r="Q771" s="8"/>
      <c r="R771" s="8"/>
    </row>
    <row r="772" ht="14.25" customHeight="1">
      <c r="E772" s="8"/>
      <c r="G772" s="8"/>
      <c r="H772" s="8"/>
      <c r="K772" s="8"/>
      <c r="L772" s="8"/>
      <c r="M772" s="8"/>
      <c r="O772" s="8"/>
      <c r="Q772" s="8"/>
      <c r="R772" s="8"/>
    </row>
    <row r="773" ht="14.25" customHeight="1">
      <c r="E773" s="8"/>
      <c r="G773" s="8"/>
      <c r="H773" s="8"/>
      <c r="K773" s="8"/>
      <c r="L773" s="8"/>
      <c r="M773" s="8"/>
      <c r="O773" s="8"/>
      <c r="Q773" s="8"/>
      <c r="R773" s="8"/>
    </row>
    <row r="774" ht="14.25" customHeight="1">
      <c r="E774" s="8"/>
      <c r="G774" s="8"/>
      <c r="H774" s="8"/>
      <c r="K774" s="8"/>
      <c r="L774" s="8"/>
      <c r="M774" s="8"/>
      <c r="O774" s="8"/>
      <c r="Q774" s="8"/>
      <c r="R774" s="8"/>
    </row>
    <row r="775" ht="14.25" customHeight="1">
      <c r="E775" s="8"/>
      <c r="G775" s="8"/>
      <c r="H775" s="8"/>
      <c r="K775" s="8"/>
      <c r="L775" s="8"/>
      <c r="M775" s="8"/>
      <c r="O775" s="8"/>
      <c r="Q775" s="8"/>
      <c r="R775" s="8"/>
    </row>
    <row r="776" ht="14.25" customHeight="1">
      <c r="E776" s="8"/>
      <c r="G776" s="8"/>
      <c r="H776" s="8"/>
      <c r="K776" s="8"/>
      <c r="L776" s="8"/>
      <c r="M776" s="8"/>
      <c r="O776" s="8"/>
      <c r="Q776" s="8"/>
      <c r="R776" s="8"/>
    </row>
    <row r="777" ht="14.25" customHeight="1">
      <c r="E777" s="8"/>
      <c r="G777" s="8"/>
      <c r="H777" s="8"/>
      <c r="K777" s="8"/>
      <c r="L777" s="8"/>
      <c r="M777" s="8"/>
      <c r="O777" s="8"/>
      <c r="Q777" s="8"/>
      <c r="R777" s="8"/>
    </row>
    <row r="778" ht="14.25" customHeight="1">
      <c r="E778" s="8"/>
      <c r="G778" s="8"/>
      <c r="H778" s="8"/>
      <c r="K778" s="8"/>
      <c r="L778" s="8"/>
      <c r="M778" s="8"/>
      <c r="O778" s="8"/>
      <c r="Q778" s="8"/>
      <c r="R778" s="8"/>
    </row>
    <row r="779" ht="14.25" customHeight="1">
      <c r="E779" s="8"/>
      <c r="G779" s="8"/>
      <c r="H779" s="8"/>
      <c r="K779" s="8"/>
      <c r="L779" s="8"/>
      <c r="M779" s="8"/>
      <c r="O779" s="8"/>
      <c r="Q779" s="8"/>
      <c r="R779" s="8"/>
    </row>
    <row r="780" ht="14.25" customHeight="1">
      <c r="E780" s="8"/>
      <c r="G780" s="8"/>
      <c r="H780" s="8"/>
      <c r="K780" s="8"/>
      <c r="L780" s="8"/>
      <c r="M780" s="8"/>
      <c r="O780" s="8"/>
      <c r="Q780" s="8"/>
      <c r="R780" s="8"/>
    </row>
    <row r="781" ht="14.25" customHeight="1">
      <c r="E781" s="8"/>
      <c r="G781" s="8"/>
      <c r="H781" s="8"/>
      <c r="K781" s="8"/>
      <c r="L781" s="8"/>
      <c r="M781" s="8"/>
      <c r="O781" s="8"/>
      <c r="Q781" s="8"/>
      <c r="R781" s="8"/>
    </row>
    <row r="782" ht="14.25" customHeight="1">
      <c r="E782" s="8"/>
      <c r="G782" s="8"/>
      <c r="H782" s="8"/>
      <c r="K782" s="8"/>
      <c r="L782" s="8"/>
      <c r="M782" s="8"/>
      <c r="O782" s="8"/>
      <c r="Q782" s="8"/>
      <c r="R782" s="8"/>
    </row>
    <row r="783" ht="14.25" customHeight="1">
      <c r="E783" s="8"/>
      <c r="G783" s="8"/>
      <c r="H783" s="8"/>
      <c r="K783" s="8"/>
      <c r="L783" s="8"/>
      <c r="M783" s="8"/>
      <c r="O783" s="8"/>
      <c r="Q783" s="8"/>
      <c r="R783" s="8"/>
    </row>
    <row r="784" ht="14.25" customHeight="1">
      <c r="E784" s="8"/>
      <c r="G784" s="8"/>
      <c r="H784" s="8"/>
      <c r="K784" s="8"/>
      <c r="L784" s="8"/>
      <c r="M784" s="8"/>
      <c r="O784" s="8"/>
      <c r="Q784" s="8"/>
      <c r="R784" s="8"/>
    </row>
    <row r="785" ht="14.25" customHeight="1">
      <c r="E785" s="8"/>
      <c r="G785" s="8"/>
      <c r="H785" s="8"/>
      <c r="K785" s="8"/>
      <c r="L785" s="8"/>
      <c r="M785" s="8"/>
      <c r="O785" s="8"/>
      <c r="Q785" s="8"/>
      <c r="R785" s="8"/>
    </row>
    <row r="786" ht="14.25" customHeight="1">
      <c r="E786" s="8"/>
      <c r="G786" s="8"/>
      <c r="H786" s="8"/>
      <c r="K786" s="8"/>
      <c r="L786" s="8"/>
      <c r="M786" s="8"/>
      <c r="O786" s="8"/>
      <c r="Q786" s="8"/>
      <c r="R786" s="8"/>
    </row>
    <row r="787" ht="14.25" customHeight="1">
      <c r="E787" s="8"/>
      <c r="G787" s="8"/>
      <c r="H787" s="8"/>
      <c r="K787" s="8"/>
      <c r="L787" s="8"/>
      <c r="M787" s="8"/>
      <c r="O787" s="8"/>
      <c r="Q787" s="8"/>
      <c r="R787" s="8"/>
    </row>
    <row r="788" ht="14.25" customHeight="1">
      <c r="E788" s="8"/>
      <c r="G788" s="8"/>
      <c r="H788" s="8"/>
      <c r="K788" s="8"/>
      <c r="L788" s="8"/>
      <c r="M788" s="8"/>
      <c r="O788" s="8"/>
      <c r="Q788" s="8"/>
      <c r="R788" s="8"/>
    </row>
    <row r="789" ht="14.25" customHeight="1">
      <c r="E789" s="8"/>
      <c r="G789" s="8"/>
      <c r="H789" s="8"/>
      <c r="K789" s="8"/>
      <c r="L789" s="8"/>
      <c r="M789" s="8"/>
      <c r="O789" s="8"/>
      <c r="Q789" s="8"/>
      <c r="R789" s="8"/>
    </row>
    <row r="790" ht="14.25" customHeight="1">
      <c r="E790" s="8"/>
      <c r="G790" s="8"/>
      <c r="H790" s="8"/>
      <c r="K790" s="8"/>
      <c r="L790" s="8"/>
      <c r="M790" s="8"/>
      <c r="O790" s="8"/>
      <c r="Q790" s="8"/>
      <c r="R790" s="8"/>
    </row>
    <row r="791" ht="14.25" customHeight="1">
      <c r="E791" s="8"/>
      <c r="G791" s="8"/>
      <c r="H791" s="8"/>
      <c r="K791" s="8"/>
      <c r="L791" s="8"/>
      <c r="M791" s="8"/>
      <c r="O791" s="8"/>
      <c r="Q791" s="8"/>
      <c r="R791" s="8"/>
    </row>
    <row r="792" ht="14.25" customHeight="1">
      <c r="E792" s="8"/>
      <c r="G792" s="8"/>
      <c r="H792" s="8"/>
      <c r="K792" s="8"/>
      <c r="L792" s="8"/>
      <c r="M792" s="8"/>
      <c r="O792" s="8"/>
      <c r="Q792" s="8"/>
      <c r="R792" s="8"/>
    </row>
    <row r="793" ht="14.25" customHeight="1">
      <c r="E793" s="8"/>
      <c r="G793" s="8"/>
      <c r="H793" s="8"/>
      <c r="K793" s="8"/>
      <c r="L793" s="8"/>
      <c r="M793" s="8"/>
      <c r="O793" s="8"/>
      <c r="Q793" s="8"/>
      <c r="R793" s="8"/>
    </row>
    <row r="794" ht="14.25" customHeight="1">
      <c r="E794" s="8"/>
      <c r="G794" s="8"/>
      <c r="H794" s="8"/>
      <c r="K794" s="8"/>
      <c r="L794" s="8"/>
      <c r="M794" s="8"/>
      <c r="O794" s="8"/>
      <c r="Q794" s="8"/>
      <c r="R794" s="8"/>
    </row>
    <row r="795" ht="14.25" customHeight="1">
      <c r="E795" s="8"/>
      <c r="G795" s="8"/>
      <c r="H795" s="8"/>
      <c r="K795" s="8"/>
      <c r="L795" s="8"/>
      <c r="M795" s="8"/>
      <c r="O795" s="8"/>
      <c r="Q795" s="8"/>
      <c r="R795" s="8"/>
    </row>
    <row r="796" ht="14.25" customHeight="1">
      <c r="E796" s="8"/>
      <c r="G796" s="8"/>
      <c r="H796" s="8"/>
      <c r="K796" s="8"/>
      <c r="L796" s="8"/>
      <c r="M796" s="8"/>
      <c r="O796" s="8"/>
      <c r="Q796" s="8"/>
      <c r="R796" s="8"/>
    </row>
    <row r="797" ht="14.25" customHeight="1">
      <c r="E797" s="8"/>
      <c r="G797" s="8"/>
      <c r="H797" s="8"/>
      <c r="K797" s="8"/>
      <c r="L797" s="8"/>
      <c r="M797" s="8"/>
      <c r="O797" s="8"/>
      <c r="Q797" s="8"/>
      <c r="R797" s="8"/>
    </row>
    <row r="798" ht="14.25" customHeight="1">
      <c r="E798" s="8"/>
      <c r="G798" s="8"/>
      <c r="H798" s="8"/>
      <c r="K798" s="8"/>
      <c r="L798" s="8"/>
      <c r="M798" s="8"/>
      <c r="O798" s="8"/>
      <c r="Q798" s="8"/>
      <c r="R798" s="8"/>
    </row>
    <row r="799" ht="14.25" customHeight="1">
      <c r="E799" s="8"/>
      <c r="G799" s="8"/>
      <c r="H799" s="8"/>
      <c r="K799" s="8"/>
      <c r="L799" s="8"/>
      <c r="M799" s="8"/>
      <c r="O799" s="8"/>
      <c r="Q799" s="8"/>
      <c r="R799" s="8"/>
    </row>
    <row r="800" ht="14.25" customHeight="1">
      <c r="E800" s="8"/>
      <c r="G800" s="8"/>
      <c r="H800" s="8"/>
      <c r="K800" s="8"/>
      <c r="L800" s="8"/>
      <c r="M800" s="8"/>
      <c r="O800" s="8"/>
      <c r="Q800" s="8"/>
      <c r="R800" s="8"/>
    </row>
    <row r="801" ht="14.25" customHeight="1">
      <c r="E801" s="8"/>
      <c r="G801" s="8"/>
      <c r="H801" s="8"/>
      <c r="K801" s="8"/>
      <c r="L801" s="8"/>
      <c r="M801" s="8"/>
      <c r="O801" s="8"/>
      <c r="Q801" s="8"/>
      <c r="R801" s="8"/>
    </row>
    <row r="802" ht="14.25" customHeight="1">
      <c r="E802" s="8"/>
      <c r="G802" s="8"/>
      <c r="H802" s="8"/>
      <c r="K802" s="8"/>
      <c r="L802" s="8"/>
      <c r="M802" s="8"/>
      <c r="O802" s="8"/>
      <c r="Q802" s="8"/>
      <c r="R802" s="8"/>
    </row>
    <row r="803" ht="14.25" customHeight="1">
      <c r="E803" s="8"/>
      <c r="G803" s="8"/>
      <c r="H803" s="8"/>
      <c r="K803" s="8"/>
      <c r="L803" s="8"/>
      <c r="M803" s="8"/>
      <c r="O803" s="8"/>
      <c r="Q803" s="8"/>
      <c r="R803" s="8"/>
    </row>
    <row r="804" ht="14.25" customHeight="1">
      <c r="E804" s="8"/>
      <c r="G804" s="8"/>
      <c r="H804" s="8"/>
      <c r="K804" s="8"/>
      <c r="L804" s="8"/>
      <c r="M804" s="8"/>
      <c r="O804" s="8"/>
      <c r="Q804" s="8"/>
      <c r="R804" s="8"/>
    </row>
    <row r="805" ht="14.25" customHeight="1">
      <c r="E805" s="8"/>
      <c r="G805" s="8"/>
      <c r="H805" s="8"/>
      <c r="K805" s="8"/>
      <c r="L805" s="8"/>
      <c r="M805" s="8"/>
      <c r="O805" s="8"/>
      <c r="Q805" s="8"/>
      <c r="R805" s="8"/>
    </row>
    <row r="806" ht="14.25" customHeight="1">
      <c r="E806" s="8"/>
      <c r="G806" s="8"/>
      <c r="H806" s="8"/>
      <c r="K806" s="8"/>
      <c r="L806" s="8"/>
      <c r="M806" s="8"/>
      <c r="O806" s="8"/>
      <c r="Q806" s="8"/>
      <c r="R806" s="8"/>
    </row>
    <row r="807" ht="14.25" customHeight="1">
      <c r="E807" s="8"/>
      <c r="G807" s="8"/>
      <c r="H807" s="8"/>
      <c r="K807" s="8"/>
      <c r="L807" s="8"/>
      <c r="M807" s="8"/>
      <c r="O807" s="8"/>
      <c r="Q807" s="8"/>
      <c r="R807" s="8"/>
    </row>
    <row r="808" ht="14.25" customHeight="1">
      <c r="E808" s="8"/>
      <c r="G808" s="8"/>
      <c r="H808" s="8"/>
      <c r="K808" s="8"/>
      <c r="L808" s="8"/>
      <c r="M808" s="8"/>
      <c r="O808" s="8"/>
      <c r="Q808" s="8"/>
      <c r="R808" s="8"/>
    </row>
    <row r="809" ht="14.25" customHeight="1">
      <c r="E809" s="8"/>
      <c r="G809" s="8"/>
      <c r="H809" s="8"/>
      <c r="K809" s="8"/>
      <c r="L809" s="8"/>
      <c r="M809" s="8"/>
      <c r="O809" s="8"/>
      <c r="Q809" s="8"/>
      <c r="R809" s="8"/>
    </row>
    <row r="810" ht="14.25" customHeight="1">
      <c r="E810" s="8"/>
      <c r="G810" s="8"/>
      <c r="H810" s="8"/>
      <c r="K810" s="8"/>
      <c r="L810" s="8"/>
      <c r="M810" s="8"/>
      <c r="O810" s="8"/>
      <c r="Q810" s="8"/>
      <c r="R810" s="8"/>
    </row>
    <row r="811" ht="14.25" customHeight="1">
      <c r="E811" s="8"/>
      <c r="G811" s="8"/>
      <c r="H811" s="8"/>
      <c r="K811" s="8"/>
      <c r="L811" s="8"/>
      <c r="M811" s="8"/>
      <c r="O811" s="8"/>
      <c r="Q811" s="8"/>
      <c r="R811" s="8"/>
    </row>
    <row r="812" ht="14.25" customHeight="1">
      <c r="E812" s="8"/>
      <c r="G812" s="8"/>
      <c r="H812" s="8"/>
      <c r="K812" s="8"/>
      <c r="L812" s="8"/>
      <c r="M812" s="8"/>
      <c r="O812" s="8"/>
      <c r="Q812" s="8"/>
      <c r="R812" s="8"/>
    </row>
    <row r="813" ht="14.25" customHeight="1">
      <c r="E813" s="8"/>
      <c r="G813" s="8"/>
      <c r="H813" s="8"/>
      <c r="K813" s="8"/>
      <c r="L813" s="8"/>
      <c r="M813" s="8"/>
      <c r="O813" s="8"/>
      <c r="Q813" s="8"/>
      <c r="R813" s="8"/>
    </row>
    <row r="814" ht="14.25" customHeight="1">
      <c r="E814" s="8"/>
      <c r="G814" s="8"/>
      <c r="H814" s="8"/>
      <c r="K814" s="8"/>
      <c r="L814" s="8"/>
      <c r="M814" s="8"/>
      <c r="O814" s="8"/>
      <c r="Q814" s="8"/>
      <c r="R814" s="8"/>
    </row>
    <row r="815" ht="14.25" customHeight="1">
      <c r="E815" s="8"/>
      <c r="G815" s="8"/>
      <c r="H815" s="8"/>
      <c r="K815" s="8"/>
      <c r="L815" s="8"/>
      <c r="M815" s="8"/>
      <c r="O815" s="8"/>
      <c r="Q815" s="8"/>
      <c r="R815" s="8"/>
    </row>
    <row r="816" ht="14.25" customHeight="1">
      <c r="E816" s="8"/>
      <c r="G816" s="8"/>
      <c r="H816" s="8"/>
      <c r="K816" s="8"/>
      <c r="L816" s="8"/>
      <c r="M816" s="8"/>
      <c r="O816" s="8"/>
      <c r="Q816" s="8"/>
      <c r="R816" s="8"/>
    </row>
    <row r="817" ht="14.25" customHeight="1">
      <c r="E817" s="8"/>
      <c r="G817" s="8"/>
      <c r="H817" s="8"/>
      <c r="K817" s="8"/>
      <c r="L817" s="8"/>
      <c r="M817" s="8"/>
      <c r="O817" s="8"/>
      <c r="Q817" s="8"/>
      <c r="R817" s="8"/>
    </row>
    <row r="818" ht="14.25" customHeight="1">
      <c r="E818" s="8"/>
      <c r="G818" s="8"/>
      <c r="H818" s="8"/>
      <c r="K818" s="8"/>
      <c r="L818" s="8"/>
      <c r="M818" s="8"/>
      <c r="O818" s="8"/>
      <c r="Q818" s="8"/>
      <c r="R818" s="8"/>
    </row>
    <row r="819" ht="14.25" customHeight="1">
      <c r="E819" s="8"/>
      <c r="G819" s="8"/>
      <c r="H819" s="8"/>
      <c r="K819" s="8"/>
      <c r="L819" s="8"/>
      <c r="M819" s="8"/>
      <c r="O819" s="8"/>
      <c r="Q819" s="8"/>
      <c r="R819" s="8"/>
    </row>
    <row r="820" ht="14.25" customHeight="1">
      <c r="E820" s="8"/>
      <c r="G820" s="8"/>
      <c r="H820" s="8"/>
      <c r="K820" s="8"/>
      <c r="L820" s="8"/>
      <c r="M820" s="8"/>
      <c r="O820" s="8"/>
      <c r="Q820" s="8"/>
      <c r="R820" s="8"/>
    </row>
    <row r="821" ht="14.25" customHeight="1">
      <c r="E821" s="8"/>
      <c r="G821" s="8"/>
      <c r="H821" s="8"/>
      <c r="K821" s="8"/>
      <c r="L821" s="8"/>
      <c r="M821" s="8"/>
      <c r="O821" s="8"/>
      <c r="Q821" s="8"/>
      <c r="R821" s="8"/>
    </row>
    <row r="822" ht="14.25" customHeight="1">
      <c r="E822" s="8"/>
      <c r="G822" s="8"/>
      <c r="H822" s="8"/>
      <c r="K822" s="8"/>
      <c r="L822" s="8"/>
      <c r="M822" s="8"/>
      <c r="O822" s="8"/>
      <c r="Q822" s="8"/>
      <c r="R822" s="8"/>
    </row>
    <row r="823" ht="14.25" customHeight="1">
      <c r="E823" s="8"/>
      <c r="G823" s="8"/>
      <c r="H823" s="8"/>
      <c r="K823" s="8"/>
      <c r="L823" s="8"/>
      <c r="M823" s="8"/>
      <c r="O823" s="8"/>
      <c r="Q823" s="8"/>
      <c r="R823" s="8"/>
    </row>
    <row r="824" ht="14.25" customHeight="1">
      <c r="E824" s="8"/>
      <c r="G824" s="8"/>
      <c r="H824" s="8"/>
      <c r="K824" s="8"/>
      <c r="L824" s="8"/>
      <c r="M824" s="8"/>
      <c r="O824" s="8"/>
      <c r="Q824" s="8"/>
      <c r="R824" s="8"/>
    </row>
    <row r="825" ht="14.25" customHeight="1">
      <c r="E825" s="8"/>
      <c r="G825" s="8"/>
      <c r="H825" s="8"/>
      <c r="K825" s="8"/>
      <c r="L825" s="8"/>
      <c r="M825" s="8"/>
      <c r="O825" s="8"/>
      <c r="Q825" s="8"/>
      <c r="R825" s="8"/>
    </row>
    <row r="826" ht="14.25" customHeight="1">
      <c r="E826" s="8"/>
      <c r="G826" s="8"/>
      <c r="H826" s="8"/>
      <c r="K826" s="8"/>
      <c r="L826" s="8"/>
      <c r="M826" s="8"/>
      <c r="O826" s="8"/>
      <c r="Q826" s="8"/>
      <c r="R826" s="8"/>
    </row>
    <row r="827" ht="14.25" customHeight="1">
      <c r="E827" s="8"/>
      <c r="G827" s="8"/>
      <c r="H827" s="8"/>
      <c r="K827" s="8"/>
      <c r="L827" s="8"/>
      <c r="M827" s="8"/>
      <c r="O827" s="8"/>
      <c r="Q827" s="8"/>
      <c r="R827" s="8"/>
    </row>
    <row r="828" ht="14.25" customHeight="1">
      <c r="E828" s="8"/>
      <c r="G828" s="8"/>
      <c r="H828" s="8"/>
      <c r="K828" s="8"/>
      <c r="L828" s="8"/>
      <c r="M828" s="8"/>
      <c r="O828" s="8"/>
      <c r="Q828" s="8"/>
      <c r="R828" s="8"/>
    </row>
    <row r="829" ht="14.25" customHeight="1">
      <c r="E829" s="8"/>
      <c r="G829" s="8"/>
      <c r="H829" s="8"/>
      <c r="K829" s="8"/>
      <c r="L829" s="8"/>
      <c r="M829" s="8"/>
      <c r="O829" s="8"/>
      <c r="Q829" s="8"/>
      <c r="R829" s="8"/>
    </row>
    <row r="830" ht="14.25" customHeight="1">
      <c r="E830" s="8"/>
      <c r="G830" s="8"/>
      <c r="H830" s="8"/>
      <c r="K830" s="8"/>
      <c r="L830" s="8"/>
      <c r="M830" s="8"/>
      <c r="O830" s="8"/>
      <c r="Q830" s="8"/>
      <c r="R830" s="8"/>
    </row>
    <row r="831" ht="14.25" customHeight="1">
      <c r="E831" s="8"/>
      <c r="G831" s="8"/>
      <c r="H831" s="8"/>
      <c r="K831" s="8"/>
      <c r="L831" s="8"/>
      <c r="M831" s="8"/>
      <c r="O831" s="8"/>
      <c r="Q831" s="8"/>
      <c r="R831" s="8"/>
    </row>
    <row r="832" ht="14.25" customHeight="1">
      <c r="E832" s="8"/>
      <c r="G832" s="8"/>
      <c r="H832" s="8"/>
      <c r="K832" s="8"/>
      <c r="L832" s="8"/>
      <c r="M832" s="8"/>
      <c r="O832" s="8"/>
      <c r="Q832" s="8"/>
      <c r="R832" s="8"/>
    </row>
    <row r="833" ht="14.25" customHeight="1">
      <c r="E833" s="8"/>
      <c r="G833" s="8"/>
      <c r="H833" s="8"/>
      <c r="K833" s="8"/>
      <c r="L833" s="8"/>
      <c r="M833" s="8"/>
      <c r="O833" s="8"/>
      <c r="Q833" s="8"/>
      <c r="R833" s="8"/>
    </row>
    <row r="834" ht="14.25" customHeight="1">
      <c r="E834" s="8"/>
      <c r="G834" s="8"/>
      <c r="H834" s="8"/>
      <c r="K834" s="8"/>
      <c r="L834" s="8"/>
      <c r="M834" s="8"/>
      <c r="O834" s="8"/>
      <c r="Q834" s="8"/>
      <c r="R834" s="8"/>
    </row>
    <row r="835" ht="14.25" customHeight="1">
      <c r="E835" s="8"/>
      <c r="G835" s="8"/>
      <c r="H835" s="8"/>
      <c r="K835" s="8"/>
      <c r="L835" s="8"/>
      <c r="M835" s="8"/>
      <c r="O835" s="8"/>
      <c r="Q835" s="8"/>
      <c r="R835" s="8"/>
    </row>
    <row r="836" ht="14.25" customHeight="1">
      <c r="E836" s="8"/>
      <c r="G836" s="8"/>
      <c r="H836" s="8"/>
      <c r="K836" s="8"/>
      <c r="L836" s="8"/>
      <c r="M836" s="8"/>
      <c r="O836" s="8"/>
      <c r="Q836" s="8"/>
      <c r="R836" s="8"/>
    </row>
    <row r="837" ht="14.25" customHeight="1">
      <c r="E837" s="8"/>
      <c r="G837" s="8"/>
      <c r="H837" s="8"/>
      <c r="K837" s="8"/>
      <c r="L837" s="8"/>
      <c r="M837" s="8"/>
      <c r="O837" s="8"/>
      <c r="Q837" s="8"/>
      <c r="R837" s="8"/>
    </row>
    <row r="838" ht="14.25" customHeight="1">
      <c r="E838" s="8"/>
      <c r="G838" s="8"/>
      <c r="H838" s="8"/>
      <c r="K838" s="8"/>
      <c r="L838" s="8"/>
      <c r="M838" s="8"/>
      <c r="O838" s="8"/>
      <c r="Q838" s="8"/>
      <c r="R838" s="8"/>
    </row>
    <row r="839" ht="14.25" customHeight="1">
      <c r="E839" s="8"/>
      <c r="G839" s="8"/>
      <c r="H839" s="8"/>
      <c r="K839" s="8"/>
      <c r="L839" s="8"/>
      <c r="M839" s="8"/>
      <c r="O839" s="8"/>
      <c r="Q839" s="8"/>
      <c r="R839" s="8"/>
    </row>
    <row r="840" ht="14.25" customHeight="1">
      <c r="E840" s="8"/>
      <c r="G840" s="8"/>
      <c r="H840" s="8"/>
      <c r="K840" s="8"/>
      <c r="L840" s="8"/>
      <c r="M840" s="8"/>
      <c r="O840" s="8"/>
      <c r="Q840" s="8"/>
      <c r="R840" s="8"/>
    </row>
    <row r="841" ht="14.25" customHeight="1">
      <c r="E841" s="8"/>
      <c r="G841" s="8"/>
      <c r="H841" s="8"/>
      <c r="K841" s="8"/>
      <c r="L841" s="8"/>
      <c r="M841" s="8"/>
      <c r="O841" s="8"/>
      <c r="Q841" s="8"/>
      <c r="R841" s="8"/>
    </row>
    <row r="842" ht="14.25" customHeight="1">
      <c r="E842" s="8"/>
      <c r="G842" s="8"/>
      <c r="H842" s="8"/>
      <c r="K842" s="8"/>
      <c r="L842" s="8"/>
      <c r="M842" s="8"/>
      <c r="O842" s="8"/>
      <c r="Q842" s="8"/>
      <c r="R842" s="8"/>
    </row>
    <row r="843" ht="14.25" customHeight="1">
      <c r="E843" s="8"/>
      <c r="G843" s="8"/>
      <c r="H843" s="8"/>
      <c r="K843" s="8"/>
      <c r="L843" s="8"/>
      <c r="M843" s="8"/>
      <c r="O843" s="8"/>
      <c r="Q843" s="8"/>
      <c r="R843" s="8"/>
    </row>
    <row r="844" ht="14.25" customHeight="1">
      <c r="E844" s="8"/>
      <c r="G844" s="8"/>
      <c r="H844" s="8"/>
      <c r="K844" s="8"/>
      <c r="L844" s="8"/>
      <c r="M844" s="8"/>
      <c r="O844" s="8"/>
      <c r="Q844" s="8"/>
      <c r="R844" s="8"/>
    </row>
    <row r="845" ht="14.25" customHeight="1">
      <c r="E845" s="8"/>
      <c r="G845" s="8"/>
      <c r="H845" s="8"/>
      <c r="K845" s="8"/>
      <c r="L845" s="8"/>
      <c r="M845" s="8"/>
      <c r="O845" s="8"/>
      <c r="Q845" s="8"/>
      <c r="R845" s="8"/>
    </row>
    <row r="846" ht="14.25" customHeight="1">
      <c r="E846" s="8"/>
      <c r="G846" s="8"/>
      <c r="H846" s="8"/>
      <c r="K846" s="8"/>
      <c r="L846" s="8"/>
      <c r="M846" s="8"/>
      <c r="O846" s="8"/>
      <c r="Q846" s="8"/>
      <c r="R846" s="8"/>
    </row>
    <row r="847" ht="14.25" customHeight="1">
      <c r="E847" s="8"/>
      <c r="G847" s="8"/>
      <c r="H847" s="8"/>
      <c r="K847" s="8"/>
      <c r="L847" s="8"/>
      <c r="M847" s="8"/>
      <c r="O847" s="8"/>
      <c r="Q847" s="8"/>
      <c r="R847" s="8"/>
    </row>
    <row r="848" ht="14.25" customHeight="1">
      <c r="E848" s="8"/>
      <c r="G848" s="8"/>
      <c r="H848" s="8"/>
      <c r="K848" s="8"/>
      <c r="L848" s="8"/>
      <c r="M848" s="8"/>
      <c r="O848" s="8"/>
      <c r="Q848" s="8"/>
      <c r="R848" s="8"/>
    </row>
    <row r="849" ht="14.25" customHeight="1">
      <c r="E849" s="8"/>
      <c r="G849" s="8"/>
      <c r="H849" s="8"/>
      <c r="K849" s="8"/>
      <c r="L849" s="8"/>
      <c r="M849" s="8"/>
      <c r="O849" s="8"/>
      <c r="Q849" s="8"/>
      <c r="R849" s="8"/>
    </row>
    <row r="850" ht="14.25" customHeight="1">
      <c r="E850" s="8"/>
      <c r="G850" s="8"/>
      <c r="H850" s="8"/>
      <c r="K850" s="8"/>
      <c r="L850" s="8"/>
      <c r="M850" s="8"/>
      <c r="O850" s="8"/>
      <c r="Q850" s="8"/>
      <c r="R850" s="8"/>
    </row>
    <row r="851" ht="14.25" customHeight="1">
      <c r="E851" s="8"/>
      <c r="G851" s="8"/>
      <c r="H851" s="8"/>
      <c r="K851" s="8"/>
      <c r="L851" s="8"/>
      <c r="M851" s="8"/>
      <c r="O851" s="8"/>
      <c r="Q851" s="8"/>
      <c r="R851" s="8"/>
    </row>
    <row r="852" ht="14.25" customHeight="1">
      <c r="E852" s="8"/>
      <c r="G852" s="8"/>
      <c r="H852" s="8"/>
      <c r="K852" s="8"/>
      <c r="L852" s="8"/>
      <c r="M852" s="8"/>
      <c r="O852" s="8"/>
      <c r="Q852" s="8"/>
      <c r="R852" s="8"/>
    </row>
    <row r="853" ht="14.25" customHeight="1">
      <c r="E853" s="8"/>
      <c r="G853" s="8"/>
      <c r="H853" s="8"/>
      <c r="K853" s="8"/>
      <c r="L853" s="8"/>
      <c r="M853" s="8"/>
      <c r="O853" s="8"/>
      <c r="Q853" s="8"/>
      <c r="R853" s="8"/>
    </row>
    <row r="854" ht="14.25" customHeight="1">
      <c r="E854" s="8"/>
      <c r="G854" s="8"/>
      <c r="H854" s="8"/>
      <c r="K854" s="8"/>
      <c r="L854" s="8"/>
      <c r="M854" s="8"/>
      <c r="O854" s="8"/>
      <c r="Q854" s="8"/>
      <c r="R854" s="8"/>
    </row>
    <row r="855" ht="14.25" customHeight="1">
      <c r="E855" s="8"/>
      <c r="G855" s="8"/>
      <c r="H855" s="8"/>
      <c r="K855" s="8"/>
      <c r="L855" s="8"/>
      <c r="M855" s="8"/>
      <c r="O855" s="8"/>
      <c r="Q855" s="8"/>
      <c r="R855" s="8"/>
    </row>
    <row r="856" ht="14.25" customHeight="1">
      <c r="E856" s="8"/>
      <c r="G856" s="8"/>
      <c r="H856" s="8"/>
      <c r="K856" s="8"/>
      <c r="L856" s="8"/>
      <c r="M856" s="8"/>
      <c r="O856" s="8"/>
      <c r="Q856" s="8"/>
      <c r="R856" s="8"/>
    </row>
    <row r="857" ht="14.25" customHeight="1">
      <c r="E857" s="8"/>
      <c r="G857" s="8"/>
      <c r="H857" s="8"/>
      <c r="K857" s="8"/>
      <c r="L857" s="8"/>
      <c r="M857" s="8"/>
      <c r="O857" s="8"/>
      <c r="Q857" s="8"/>
      <c r="R857" s="8"/>
    </row>
    <row r="858" ht="14.25" customHeight="1">
      <c r="E858" s="8"/>
      <c r="G858" s="8"/>
      <c r="H858" s="8"/>
      <c r="K858" s="8"/>
      <c r="L858" s="8"/>
      <c r="M858" s="8"/>
      <c r="O858" s="8"/>
      <c r="Q858" s="8"/>
      <c r="R858" s="8"/>
    </row>
    <row r="859" ht="14.25" customHeight="1">
      <c r="E859" s="8"/>
      <c r="G859" s="8"/>
      <c r="H859" s="8"/>
      <c r="K859" s="8"/>
      <c r="L859" s="8"/>
      <c r="M859" s="8"/>
      <c r="O859" s="8"/>
      <c r="Q859" s="8"/>
      <c r="R859" s="8"/>
    </row>
    <row r="860" ht="14.25" customHeight="1">
      <c r="E860" s="8"/>
      <c r="G860" s="8"/>
      <c r="H860" s="8"/>
      <c r="K860" s="8"/>
      <c r="L860" s="8"/>
      <c r="M860" s="8"/>
      <c r="O860" s="8"/>
      <c r="Q860" s="8"/>
      <c r="R860" s="8"/>
    </row>
    <row r="861" ht="14.25" customHeight="1">
      <c r="E861" s="8"/>
      <c r="G861" s="8"/>
      <c r="H861" s="8"/>
      <c r="K861" s="8"/>
      <c r="L861" s="8"/>
      <c r="M861" s="8"/>
      <c r="O861" s="8"/>
      <c r="Q861" s="8"/>
      <c r="R861" s="8"/>
    </row>
    <row r="862" ht="14.25" customHeight="1">
      <c r="E862" s="8"/>
      <c r="G862" s="8"/>
      <c r="H862" s="8"/>
      <c r="K862" s="8"/>
      <c r="L862" s="8"/>
      <c r="M862" s="8"/>
      <c r="O862" s="8"/>
      <c r="Q862" s="8"/>
      <c r="R862" s="8"/>
    </row>
    <row r="863" ht="14.25" customHeight="1">
      <c r="E863" s="8"/>
      <c r="G863" s="8"/>
      <c r="H863" s="8"/>
      <c r="K863" s="8"/>
      <c r="L863" s="8"/>
      <c r="M863" s="8"/>
      <c r="O863" s="8"/>
      <c r="Q863" s="8"/>
      <c r="R863" s="8"/>
    </row>
    <row r="864" ht="14.25" customHeight="1">
      <c r="E864" s="8"/>
      <c r="G864" s="8"/>
      <c r="H864" s="8"/>
      <c r="K864" s="8"/>
      <c r="L864" s="8"/>
      <c r="M864" s="8"/>
      <c r="O864" s="8"/>
      <c r="Q864" s="8"/>
      <c r="R864" s="8"/>
    </row>
    <row r="865" ht="14.25" customHeight="1">
      <c r="E865" s="8"/>
      <c r="G865" s="8"/>
      <c r="H865" s="8"/>
      <c r="K865" s="8"/>
      <c r="L865" s="8"/>
      <c r="M865" s="8"/>
      <c r="O865" s="8"/>
      <c r="Q865" s="8"/>
      <c r="R865" s="8"/>
    </row>
    <row r="866" ht="14.25" customHeight="1">
      <c r="E866" s="8"/>
      <c r="G866" s="8"/>
      <c r="H866" s="8"/>
      <c r="K866" s="8"/>
      <c r="L866" s="8"/>
      <c r="M866" s="8"/>
      <c r="O866" s="8"/>
      <c r="Q866" s="8"/>
      <c r="R866" s="8"/>
    </row>
    <row r="867" ht="14.25" customHeight="1">
      <c r="E867" s="8"/>
      <c r="G867" s="8"/>
      <c r="H867" s="8"/>
      <c r="K867" s="8"/>
      <c r="L867" s="8"/>
      <c r="M867" s="8"/>
      <c r="O867" s="8"/>
      <c r="Q867" s="8"/>
      <c r="R867" s="8"/>
    </row>
    <row r="868" ht="14.25" customHeight="1">
      <c r="E868" s="8"/>
      <c r="G868" s="8"/>
      <c r="H868" s="8"/>
      <c r="K868" s="8"/>
      <c r="L868" s="8"/>
      <c r="M868" s="8"/>
      <c r="O868" s="8"/>
      <c r="Q868" s="8"/>
      <c r="R868" s="8"/>
    </row>
    <row r="869" ht="14.25" customHeight="1">
      <c r="E869" s="8"/>
      <c r="G869" s="8"/>
      <c r="H869" s="8"/>
      <c r="K869" s="8"/>
      <c r="L869" s="8"/>
      <c r="M869" s="8"/>
      <c r="O869" s="8"/>
      <c r="Q869" s="8"/>
      <c r="R869" s="8"/>
    </row>
    <row r="870" ht="14.25" customHeight="1">
      <c r="E870" s="8"/>
      <c r="G870" s="8"/>
      <c r="H870" s="8"/>
      <c r="K870" s="8"/>
      <c r="L870" s="8"/>
      <c r="M870" s="8"/>
      <c r="O870" s="8"/>
      <c r="Q870" s="8"/>
      <c r="R870" s="8"/>
    </row>
    <row r="871" ht="14.25" customHeight="1">
      <c r="E871" s="8"/>
      <c r="G871" s="8"/>
      <c r="H871" s="8"/>
      <c r="K871" s="8"/>
      <c r="L871" s="8"/>
      <c r="M871" s="8"/>
      <c r="O871" s="8"/>
      <c r="Q871" s="8"/>
      <c r="R871" s="8"/>
    </row>
    <row r="872" ht="14.25" customHeight="1">
      <c r="E872" s="8"/>
      <c r="G872" s="8"/>
      <c r="H872" s="8"/>
      <c r="K872" s="8"/>
      <c r="L872" s="8"/>
      <c r="M872" s="8"/>
      <c r="O872" s="8"/>
      <c r="Q872" s="8"/>
      <c r="R872" s="8"/>
    </row>
    <row r="873" ht="14.25" customHeight="1">
      <c r="E873" s="8"/>
      <c r="G873" s="8"/>
      <c r="H873" s="8"/>
      <c r="K873" s="8"/>
      <c r="L873" s="8"/>
      <c r="M873" s="8"/>
      <c r="O873" s="8"/>
      <c r="Q873" s="8"/>
      <c r="R873" s="8"/>
    </row>
    <row r="874" ht="14.25" customHeight="1">
      <c r="E874" s="8"/>
      <c r="G874" s="8"/>
      <c r="H874" s="8"/>
      <c r="K874" s="8"/>
      <c r="L874" s="8"/>
      <c r="M874" s="8"/>
      <c r="O874" s="8"/>
      <c r="Q874" s="8"/>
      <c r="R874" s="8"/>
    </row>
    <row r="875" ht="14.25" customHeight="1">
      <c r="E875" s="8"/>
      <c r="G875" s="8"/>
      <c r="H875" s="8"/>
      <c r="K875" s="8"/>
      <c r="L875" s="8"/>
      <c r="M875" s="8"/>
      <c r="O875" s="8"/>
      <c r="Q875" s="8"/>
      <c r="R875" s="8"/>
    </row>
    <row r="876" ht="14.25" customHeight="1">
      <c r="E876" s="8"/>
      <c r="G876" s="8"/>
      <c r="H876" s="8"/>
      <c r="K876" s="8"/>
      <c r="L876" s="8"/>
      <c r="M876" s="8"/>
      <c r="O876" s="8"/>
      <c r="Q876" s="8"/>
      <c r="R876" s="8"/>
    </row>
    <row r="877" ht="14.25" customHeight="1">
      <c r="E877" s="8"/>
      <c r="G877" s="8"/>
      <c r="H877" s="8"/>
      <c r="K877" s="8"/>
      <c r="L877" s="8"/>
      <c r="M877" s="8"/>
      <c r="O877" s="8"/>
      <c r="Q877" s="8"/>
      <c r="R877" s="8"/>
    </row>
    <row r="878" ht="14.25" customHeight="1">
      <c r="E878" s="8"/>
      <c r="G878" s="8"/>
      <c r="H878" s="8"/>
      <c r="K878" s="8"/>
      <c r="L878" s="8"/>
      <c r="M878" s="8"/>
      <c r="O878" s="8"/>
      <c r="Q878" s="8"/>
      <c r="R878" s="8"/>
    </row>
    <row r="879" ht="14.25" customHeight="1">
      <c r="E879" s="8"/>
      <c r="G879" s="8"/>
      <c r="H879" s="8"/>
      <c r="K879" s="8"/>
      <c r="L879" s="8"/>
      <c r="M879" s="8"/>
      <c r="O879" s="8"/>
      <c r="Q879" s="8"/>
      <c r="R879" s="8"/>
    </row>
    <row r="880" ht="14.25" customHeight="1">
      <c r="E880" s="8"/>
      <c r="G880" s="8"/>
      <c r="H880" s="8"/>
      <c r="K880" s="8"/>
      <c r="L880" s="8"/>
      <c r="M880" s="8"/>
      <c r="O880" s="8"/>
      <c r="Q880" s="8"/>
      <c r="R880" s="8"/>
    </row>
    <row r="881" ht="14.25" customHeight="1">
      <c r="E881" s="8"/>
      <c r="G881" s="8"/>
      <c r="H881" s="8"/>
      <c r="K881" s="8"/>
      <c r="L881" s="8"/>
      <c r="M881" s="8"/>
      <c r="O881" s="8"/>
      <c r="Q881" s="8"/>
      <c r="R881" s="8"/>
    </row>
    <row r="882" ht="14.25" customHeight="1">
      <c r="E882" s="8"/>
      <c r="G882" s="8"/>
      <c r="H882" s="8"/>
      <c r="K882" s="8"/>
      <c r="L882" s="8"/>
      <c r="M882" s="8"/>
      <c r="O882" s="8"/>
      <c r="Q882" s="8"/>
      <c r="R882" s="8"/>
    </row>
    <row r="883" ht="14.25" customHeight="1">
      <c r="E883" s="8"/>
      <c r="G883" s="8"/>
      <c r="H883" s="8"/>
      <c r="K883" s="8"/>
      <c r="L883" s="8"/>
      <c r="M883" s="8"/>
      <c r="O883" s="8"/>
      <c r="Q883" s="8"/>
      <c r="R883" s="8"/>
    </row>
    <row r="884" ht="14.25" customHeight="1">
      <c r="E884" s="8"/>
      <c r="G884" s="8"/>
      <c r="H884" s="8"/>
      <c r="K884" s="8"/>
      <c r="L884" s="8"/>
      <c r="M884" s="8"/>
      <c r="O884" s="8"/>
      <c r="Q884" s="8"/>
      <c r="R884" s="8"/>
    </row>
    <row r="885" ht="14.25" customHeight="1">
      <c r="E885" s="8"/>
      <c r="G885" s="8"/>
      <c r="H885" s="8"/>
      <c r="K885" s="8"/>
      <c r="L885" s="8"/>
      <c r="M885" s="8"/>
      <c r="O885" s="8"/>
      <c r="Q885" s="8"/>
      <c r="R885" s="8"/>
    </row>
    <row r="886" ht="14.25" customHeight="1">
      <c r="E886" s="8"/>
      <c r="G886" s="8"/>
      <c r="H886" s="8"/>
      <c r="K886" s="8"/>
      <c r="L886" s="8"/>
      <c r="M886" s="8"/>
      <c r="O886" s="8"/>
      <c r="Q886" s="8"/>
      <c r="R886" s="8"/>
    </row>
    <row r="887" ht="14.25" customHeight="1">
      <c r="E887" s="8"/>
      <c r="G887" s="8"/>
      <c r="H887" s="8"/>
      <c r="K887" s="8"/>
      <c r="L887" s="8"/>
      <c r="M887" s="8"/>
      <c r="O887" s="8"/>
      <c r="Q887" s="8"/>
      <c r="R887" s="8"/>
    </row>
    <row r="888" ht="14.25" customHeight="1">
      <c r="E888" s="8"/>
      <c r="G888" s="8"/>
      <c r="H888" s="8"/>
      <c r="K888" s="8"/>
      <c r="L888" s="8"/>
      <c r="M888" s="8"/>
      <c r="O888" s="8"/>
      <c r="Q888" s="8"/>
      <c r="R888" s="8"/>
    </row>
    <row r="889" ht="14.25" customHeight="1">
      <c r="E889" s="8"/>
      <c r="G889" s="8"/>
      <c r="H889" s="8"/>
      <c r="K889" s="8"/>
      <c r="L889" s="8"/>
      <c r="M889" s="8"/>
      <c r="O889" s="8"/>
      <c r="Q889" s="8"/>
      <c r="R889" s="8"/>
    </row>
    <row r="890" ht="14.25" customHeight="1">
      <c r="E890" s="8"/>
      <c r="G890" s="8"/>
      <c r="H890" s="8"/>
      <c r="K890" s="8"/>
      <c r="L890" s="8"/>
      <c r="M890" s="8"/>
      <c r="O890" s="8"/>
      <c r="Q890" s="8"/>
      <c r="R890" s="8"/>
    </row>
    <row r="891" ht="14.25" customHeight="1">
      <c r="E891" s="8"/>
      <c r="G891" s="8"/>
      <c r="H891" s="8"/>
      <c r="K891" s="8"/>
      <c r="L891" s="8"/>
      <c r="M891" s="8"/>
      <c r="O891" s="8"/>
      <c r="Q891" s="8"/>
      <c r="R891" s="8"/>
    </row>
    <row r="892" ht="14.25" customHeight="1">
      <c r="E892" s="8"/>
      <c r="G892" s="8"/>
      <c r="H892" s="8"/>
      <c r="K892" s="8"/>
      <c r="L892" s="8"/>
      <c r="M892" s="8"/>
      <c r="O892" s="8"/>
      <c r="Q892" s="8"/>
      <c r="R892" s="8"/>
    </row>
    <row r="893" ht="14.25" customHeight="1">
      <c r="E893" s="8"/>
      <c r="G893" s="8"/>
      <c r="H893" s="8"/>
      <c r="K893" s="8"/>
      <c r="L893" s="8"/>
      <c r="M893" s="8"/>
      <c r="O893" s="8"/>
      <c r="Q893" s="8"/>
      <c r="R893" s="8"/>
    </row>
    <row r="894" ht="14.25" customHeight="1">
      <c r="E894" s="8"/>
      <c r="G894" s="8"/>
      <c r="H894" s="8"/>
      <c r="K894" s="8"/>
      <c r="L894" s="8"/>
      <c r="M894" s="8"/>
      <c r="O894" s="8"/>
      <c r="Q894" s="8"/>
      <c r="R894" s="8"/>
    </row>
    <row r="895" ht="14.25" customHeight="1">
      <c r="E895" s="8"/>
      <c r="G895" s="8"/>
      <c r="H895" s="8"/>
      <c r="K895" s="8"/>
      <c r="L895" s="8"/>
      <c r="M895" s="8"/>
      <c r="O895" s="8"/>
      <c r="Q895" s="8"/>
      <c r="R895" s="8"/>
    </row>
    <row r="896" ht="14.25" customHeight="1">
      <c r="E896" s="8"/>
      <c r="G896" s="8"/>
      <c r="H896" s="8"/>
      <c r="K896" s="8"/>
      <c r="L896" s="8"/>
      <c r="M896" s="8"/>
      <c r="O896" s="8"/>
      <c r="Q896" s="8"/>
      <c r="R896" s="8"/>
    </row>
    <row r="897" ht="14.25" customHeight="1">
      <c r="E897" s="8"/>
      <c r="G897" s="8"/>
      <c r="H897" s="8"/>
      <c r="K897" s="8"/>
      <c r="L897" s="8"/>
      <c r="M897" s="8"/>
      <c r="O897" s="8"/>
      <c r="Q897" s="8"/>
      <c r="R897" s="8"/>
    </row>
    <row r="898" ht="14.25" customHeight="1">
      <c r="E898" s="8"/>
      <c r="G898" s="8"/>
      <c r="H898" s="8"/>
      <c r="K898" s="8"/>
      <c r="L898" s="8"/>
      <c r="M898" s="8"/>
      <c r="O898" s="8"/>
      <c r="Q898" s="8"/>
      <c r="R898" s="8"/>
    </row>
    <row r="899" ht="14.25" customHeight="1">
      <c r="E899" s="8"/>
      <c r="G899" s="8"/>
      <c r="H899" s="8"/>
      <c r="K899" s="8"/>
      <c r="L899" s="8"/>
      <c r="M899" s="8"/>
      <c r="O899" s="8"/>
      <c r="Q899" s="8"/>
      <c r="R899" s="8"/>
    </row>
    <row r="900" ht="14.25" customHeight="1">
      <c r="E900" s="8"/>
      <c r="G900" s="8"/>
      <c r="H900" s="8"/>
      <c r="K900" s="8"/>
      <c r="L900" s="8"/>
      <c r="M900" s="8"/>
      <c r="O900" s="8"/>
      <c r="Q900" s="8"/>
      <c r="R900" s="8"/>
    </row>
    <row r="901" ht="14.25" customHeight="1">
      <c r="E901" s="8"/>
      <c r="G901" s="8"/>
      <c r="H901" s="8"/>
      <c r="K901" s="8"/>
      <c r="L901" s="8"/>
      <c r="M901" s="8"/>
      <c r="O901" s="8"/>
      <c r="Q901" s="8"/>
      <c r="R901" s="8"/>
    </row>
    <row r="902" ht="14.25" customHeight="1">
      <c r="E902" s="8"/>
      <c r="G902" s="8"/>
      <c r="H902" s="8"/>
      <c r="K902" s="8"/>
      <c r="L902" s="8"/>
      <c r="M902" s="8"/>
      <c r="O902" s="8"/>
      <c r="Q902" s="8"/>
      <c r="R902" s="8"/>
    </row>
    <row r="903" ht="14.25" customHeight="1">
      <c r="E903" s="8"/>
      <c r="G903" s="8"/>
      <c r="H903" s="8"/>
      <c r="K903" s="8"/>
      <c r="L903" s="8"/>
      <c r="M903" s="8"/>
      <c r="O903" s="8"/>
      <c r="Q903" s="8"/>
      <c r="R903" s="8"/>
    </row>
    <row r="904" ht="14.25" customHeight="1">
      <c r="E904" s="8"/>
      <c r="G904" s="8"/>
      <c r="H904" s="8"/>
      <c r="K904" s="8"/>
      <c r="L904" s="8"/>
      <c r="M904" s="8"/>
      <c r="O904" s="8"/>
      <c r="Q904" s="8"/>
      <c r="R904" s="8"/>
    </row>
    <row r="905" ht="14.25" customHeight="1">
      <c r="E905" s="8"/>
      <c r="G905" s="8"/>
      <c r="H905" s="8"/>
      <c r="K905" s="8"/>
      <c r="L905" s="8"/>
      <c r="M905" s="8"/>
      <c r="O905" s="8"/>
      <c r="Q905" s="8"/>
      <c r="R905" s="8"/>
    </row>
    <row r="906" ht="14.25" customHeight="1">
      <c r="E906" s="8"/>
      <c r="G906" s="8"/>
      <c r="H906" s="8"/>
      <c r="K906" s="8"/>
      <c r="L906" s="8"/>
      <c r="M906" s="8"/>
      <c r="O906" s="8"/>
      <c r="Q906" s="8"/>
      <c r="R906" s="8"/>
    </row>
    <row r="907" ht="14.25" customHeight="1">
      <c r="E907" s="8"/>
      <c r="G907" s="8"/>
      <c r="H907" s="8"/>
      <c r="K907" s="8"/>
      <c r="L907" s="8"/>
      <c r="M907" s="8"/>
      <c r="O907" s="8"/>
      <c r="Q907" s="8"/>
      <c r="R907" s="8"/>
    </row>
    <row r="908" ht="14.25" customHeight="1">
      <c r="E908" s="8"/>
      <c r="G908" s="8"/>
      <c r="H908" s="8"/>
      <c r="K908" s="8"/>
      <c r="L908" s="8"/>
      <c r="M908" s="8"/>
      <c r="O908" s="8"/>
      <c r="Q908" s="8"/>
      <c r="R908" s="8"/>
    </row>
    <row r="909" ht="14.25" customHeight="1">
      <c r="E909" s="8"/>
      <c r="G909" s="8"/>
      <c r="H909" s="8"/>
      <c r="K909" s="8"/>
      <c r="L909" s="8"/>
      <c r="M909" s="8"/>
      <c r="O909" s="8"/>
      <c r="Q909" s="8"/>
      <c r="R909" s="8"/>
    </row>
    <row r="910" ht="14.25" customHeight="1">
      <c r="E910" s="8"/>
      <c r="G910" s="8"/>
      <c r="H910" s="8"/>
      <c r="K910" s="8"/>
      <c r="L910" s="8"/>
      <c r="M910" s="8"/>
      <c r="O910" s="8"/>
      <c r="Q910" s="8"/>
      <c r="R910" s="8"/>
    </row>
    <row r="911" ht="14.25" customHeight="1">
      <c r="E911" s="8"/>
      <c r="G911" s="8"/>
      <c r="H911" s="8"/>
      <c r="K911" s="8"/>
      <c r="L911" s="8"/>
      <c r="M911" s="8"/>
      <c r="O911" s="8"/>
      <c r="Q911" s="8"/>
      <c r="R911" s="8"/>
    </row>
    <row r="912" ht="14.25" customHeight="1">
      <c r="E912" s="8"/>
      <c r="G912" s="8"/>
      <c r="H912" s="8"/>
      <c r="K912" s="8"/>
      <c r="L912" s="8"/>
      <c r="M912" s="8"/>
      <c r="O912" s="8"/>
      <c r="Q912" s="8"/>
      <c r="R912" s="8"/>
    </row>
    <row r="913" ht="14.25" customHeight="1">
      <c r="E913" s="8"/>
      <c r="G913" s="8"/>
      <c r="H913" s="8"/>
      <c r="K913" s="8"/>
      <c r="L913" s="8"/>
      <c r="M913" s="8"/>
      <c r="O913" s="8"/>
      <c r="Q913" s="8"/>
      <c r="R913" s="8"/>
    </row>
    <row r="914" ht="14.25" customHeight="1">
      <c r="E914" s="8"/>
      <c r="G914" s="8"/>
      <c r="H914" s="8"/>
      <c r="K914" s="8"/>
      <c r="L914" s="8"/>
      <c r="M914" s="8"/>
      <c r="O914" s="8"/>
      <c r="Q914" s="8"/>
      <c r="R914" s="8"/>
    </row>
    <row r="915" ht="14.25" customHeight="1">
      <c r="E915" s="8"/>
      <c r="G915" s="8"/>
      <c r="H915" s="8"/>
      <c r="K915" s="8"/>
      <c r="L915" s="8"/>
      <c r="M915" s="8"/>
      <c r="O915" s="8"/>
      <c r="Q915" s="8"/>
      <c r="R915" s="8"/>
    </row>
    <row r="916" ht="14.25" customHeight="1">
      <c r="E916" s="8"/>
      <c r="G916" s="8"/>
      <c r="H916" s="8"/>
      <c r="K916" s="8"/>
      <c r="L916" s="8"/>
      <c r="M916" s="8"/>
      <c r="O916" s="8"/>
      <c r="Q916" s="8"/>
      <c r="R916" s="8"/>
    </row>
    <row r="917" ht="14.25" customHeight="1">
      <c r="E917" s="8"/>
      <c r="G917" s="8"/>
      <c r="H917" s="8"/>
      <c r="K917" s="8"/>
      <c r="L917" s="8"/>
      <c r="M917" s="8"/>
      <c r="O917" s="8"/>
      <c r="Q917" s="8"/>
      <c r="R917" s="8"/>
    </row>
    <row r="918" ht="14.25" customHeight="1">
      <c r="E918" s="8"/>
      <c r="G918" s="8"/>
      <c r="H918" s="8"/>
      <c r="K918" s="8"/>
      <c r="L918" s="8"/>
      <c r="M918" s="8"/>
      <c r="O918" s="8"/>
      <c r="Q918" s="8"/>
      <c r="R918" s="8"/>
    </row>
    <row r="919" ht="14.25" customHeight="1">
      <c r="E919" s="8"/>
      <c r="G919" s="8"/>
      <c r="H919" s="8"/>
      <c r="K919" s="8"/>
      <c r="L919" s="8"/>
      <c r="M919" s="8"/>
      <c r="O919" s="8"/>
      <c r="Q919" s="8"/>
      <c r="R919" s="8"/>
    </row>
    <row r="920" ht="14.25" customHeight="1">
      <c r="E920" s="8"/>
      <c r="G920" s="8"/>
      <c r="H920" s="8"/>
      <c r="K920" s="8"/>
      <c r="L920" s="8"/>
      <c r="M920" s="8"/>
      <c r="O920" s="8"/>
      <c r="Q920" s="8"/>
      <c r="R920" s="8"/>
    </row>
    <row r="921" ht="14.25" customHeight="1">
      <c r="E921" s="8"/>
      <c r="G921" s="8"/>
      <c r="H921" s="8"/>
      <c r="K921" s="8"/>
      <c r="L921" s="8"/>
      <c r="M921" s="8"/>
      <c r="O921" s="8"/>
      <c r="Q921" s="8"/>
      <c r="R921" s="8"/>
    </row>
    <row r="922" ht="14.25" customHeight="1">
      <c r="E922" s="8"/>
      <c r="G922" s="8"/>
      <c r="H922" s="8"/>
      <c r="K922" s="8"/>
      <c r="L922" s="8"/>
      <c r="M922" s="8"/>
      <c r="O922" s="8"/>
      <c r="Q922" s="8"/>
      <c r="R922" s="8"/>
    </row>
    <row r="923" ht="14.25" customHeight="1">
      <c r="E923" s="8"/>
      <c r="G923" s="8"/>
      <c r="H923" s="8"/>
      <c r="K923" s="8"/>
      <c r="L923" s="8"/>
      <c r="M923" s="8"/>
      <c r="O923" s="8"/>
      <c r="Q923" s="8"/>
      <c r="R923" s="8"/>
    </row>
    <row r="924" ht="14.25" customHeight="1">
      <c r="E924" s="8"/>
      <c r="G924" s="8"/>
      <c r="H924" s="8"/>
      <c r="K924" s="8"/>
      <c r="L924" s="8"/>
      <c r="M924" s="8"/>
      <c r="O924" s="8"/>
      <c r="Q924" s="8"/>
      <c r="R924" s="8"/>
    </row>
    <row r="925" ht="14.25" customHeight="1">
      <c r="E925" s="8"/>
      <c r="G925" s="8"/>
      <c r="H925" s="8"/>
      <c r="K925" s="8"/>
      <c r="L925" s="8"/>
      <c r="M925" s="8"/>
      <c r="O925" s="8"/>
      <c r="Q925" s="8"/>
      <c r="R925" s="8"/>
    </row>
    <row r="926" ht="14.25" customHeight="1">
      <c r="E926" s="8"/>
      <c r="G926" s="8"/>
      <c r="H926" s="8"/>
      <c r="K926" s="8"/>
      <c r="L926" s="8"/>
      <c r="M926" s="8"/>
      <c r="O926" s="8"/>
      <c r="Q926" s="8"/>
      <c r="R926" s="8"/>
    </row>
    <row r="927" ht="14.25" customHeight="1">
      <c r="E927" s="8"/>
      <c r="G927" s="8"/>
      <c r="H927" s="8"/>
      <c r="K927" s="8"/>
      <c r="L927" s="8"/>
      <c r="M927" s="8"/>
      <c r="O927" s="8"/>
      <c r="Q927" s="8"/>
      <c r="R927" s="8"/>
    </row>
    <row r="928" ht="14.25" customHeight="1">
      <c r="E928" s="8"/>
      <c r="G928" s="8"/>
      <c r="H928" s="8"/>
      <c r="K928" s="8"/>
      <c r="L928" s="8"/>
      <c r="M928" s="8"/>
      <c r="O928" s="8"/>
      <c r="Q928" s="8"/>
      <c r="R928" s="8"/>
    </row>
    <row r="929" ht="14.25" customHeight="1">
      <c r="E929" s="8"/>
      <c r="G929" s="8"/>
      <c r="H929" s="8"/>
      <c r="K929" s="8"/>
      <c r="L929" s="8"/>
      <c r="M929" s="8"/>
      <c r="O929" s="8"/>
      <c r="Q929" s="8"/>
      <c r="R929" s="8"/>
    </row>
    <row r="930" ht="14.25" customHeight="1">
      <c r="E930" s="8"/>
      <c r="G930" s="8"/>
      <c r="H930" s="8"/>
      <c r="K930" s="8"/>
      <c r="L930" s="8"/>
      <c r="M930" s="8"/>
      <c r="O930" s="8"/>
      <c r="Q930" s="8"/>
      <c r="R930" s="8"/>
    </row>
    <row r="931" ht="14.25" customHeight="1">
      <c r="E931" s="8"/>
      <c r="G931" s="8"/>
      <c r="H931" s="8"/>
      <c r="K931" s="8"/>
      <c r="L931" s="8"/>
      <c r="M931" s="8"/>
      <c r="O931" s="8"/>
      <c r="Q931" s="8"/>
      <c r="R931" s="8"/>
    </row>
    <row r="932" ht="14.25" customHeight="1">
      <c r="E932" s="8"/>
      <c r="G932" s="8"/>
      <c r="H932" s="8"/>
      <c r="K932" s="8"/>
      <c r="L932" s="8"/>
      <c r="M932" s="8"/>
      <c r="O932" s="8"/>
      <c r="Q932" s="8"/>
      <c r="R932" s="8"/>
    </row>
    <row r="933" ht="14.25" customHeight="1">
      <c r="E933" s="8"/>
      <c r="G933" s="8"/>
      <c r="H933" s="8"/>
      <c r="K933" s="8"/>
      <c r="L933" s="8"/>
      <c r="M933" s="8"/>
      <c r="O933" s="8"/>
      <c r="Q933" s="8"/>
      <c r="R933" s="8"/>
    </row>
    <row r="934" ht="14.25" customHeight="1">
      <c r="E934" s="8"/>
      <c r="G934" s="8"/>
      <c r="H934" s="8"/>
      <c r="K934" s="8"/>
      <c r="L934" s="8"/>
      <c r="M934" s="8"/>
      <c r="O934" s="8"/>
      <c r="Q934" s="8"/>
      <c r="R934" s="8"/>
    </row>
    <row r="935" ht="14.25" customHeight="1">
      <c r="E935" s="8"/>
      <c r="G935" s="8"/>
      <c r="H935" s="8"/>
      <c r="K935" s="8"/>
      <c r="L935" s="8"/>
      <c r="M935" s="8"/>
      <c r="O935" s="8"/>
      <c r="Q935" s="8"/>
      <c r="R935" s="8"/>
    </row>
    <row r="936" ht="14.25" customHeight="1">
      <c r="E936" s="8"/>
      <c r="G936" s="8"/>
      <c r="H936" s="8"/>
      <c r="K936" s="8"/>
      <c r="L936" s="8"/>
      <c r="M936" s="8"/>
      <c r="O936" s="8"/>
      <c r="Q936" s="8"/>
      <c r="R936" s="8"/>
    </row>
    <row r="937" ht="14.25" customHeight="1">
      <c r="E937" s="8"/>
      <c r="G937" s="8"/>
      <c r="H937" s="8"/>
      <c r="K937" s="8"/>
      <c r="L937" s="8"/>
      <c r="M937" s="8"/>
      <c r="O937" s="8"/>
      <c r="Q937" s="8"/>
      <c r="R937" s="8"/>
    </row>
    <row r="938" ht="14.25" customHeight="1">
      <c r="E938" s="8"/>
      <c r="G938" s="8"/>
      <c r="H938" s="8"/>
      <c r="K938" s="8"/>
      <c r="L938" s="8"/>
      <c r="M938" s="8"/>
      <c r="O938" s="8"/>
      <c r="Q938" s="8"/>
      <c r="R938" s="8"/>
    </row>
    <row r="939" ht="14.25" customHeight="1">
      <c r="E939" s="8"/>
      <c r="G939" s="8"/>
      <c r="H939" s="8"/>
      <c r="K939" s="8"/>
      <c r="L939" s="8"/>
      <c r="M939" s="8"/>
      <c r="O939" s="8"/>
      <c r="Q939" s="8"/>
      <c r="R939" s="8"/>
    </row>
    <row r="940" ht="14.25" customHeight="1">
      <c r="E940" s="8"/>
      <c r="G940" s="8"/>
      <c r="H940" s="8"/>
      <c r="K940" s="8"/>
      <c r="L940" s="8"/>
      <c r="M940" s="8"/>
      <c r="O940" s="8"/>
      <c r="Q940" s="8"/>
      <c r="R940" s="8"/>
    </row>
    <row r="941" ht="14.25" customHeight="1">
      <c r="E941" s="8"/>
      <c r="G941" s="8"/>
      <c r="H941" s="8"/>
      <c r="K941" s="8"/>
      <c r="L941" s="8"/>
      <c r="M941" s="8"/>
      <c r="O941" s="8"/>
      <c r="Q941" s="8"/>
      <c r="R941" s="8"/>
    </row>
    <row r="942" ht="14.25" customHeight="1">
      <c r="E942" s="8"/>
      <c r="G942" s="8"/>
      <c r="H942" s="8"/>
      <c r="K942" s="8"/>
      <c r="L942" s="8"/>
      <c r="M942" s="8"/>
      <c r="O942" s="8"/>
      <c r="Q942" s="8"/>
      <c r="R942" s="8"/>
    </row>
    <row r="943" ht="14.25" customHeight="1">
      <c r="E943" s="8"/>
      <c r="G943" s="8"/>
      <c r="H943" s="8"/>
      <c r="K943" s="8"/>
      <c r="L943" s="8"/>
      <c r="M943" s="8"/>
      <c r="O943" s="8"/>
      <c r="Q943" s="8"/>
      <c r="R943" s="8"/>
    </row>
    <row r="944" ht="14.25" customHeight="1">
      <c r="E944" s="8"/>
      <c r="G944" s="8"/>
      <c r="H944" s="8"/>
      <c r="K944" s="8"/>
      <c r="L944" s="8"/>
      <c r="M944" s="8"/>
      <c r="O944" s="8"/>
      <c r="Q944" s="8"/>
      <c r="R944" s="8"/>
    </row>
    <row r="945" ht="14.25" customHeight="1">
      <c r="E945" s="8"/>
      <c r="G945" s="8"/>
      <c r="H945" s="8"/>
      <c r="K945" s="8"/>
      <c r="L945" s="8"/>
      <c r="M945" s="8"/>
      <c r="O945" s="8"/>
      <c r="Q945" s="8"/>
      <c r="R945" s="8"/>
    </row>
    <row r="946" ht="14.25" customHeight="1">
      <c r="E946" s="8"/>
      <c r="G946" s="8"/>
      <c r="H946" s="8"/>
      <c r="K946" s="8"/>
      <c r="L946" s="8"/>
      <c r="M946" s="8"/>
      <c r="O946" s="8"/>
      <c r="Q946" s="8"/>
      <c r="R946" s="8"/>
    </row>
    <row r="947" ht="14.25" customHeight="1">
      <c r="E947" s="8"/>
      <c r="G947" s="8"/>
      <c r="H947" s="8"/>
      <c r="K947" s="8"/>
      <c r="L947" s="8"/>
      <c r="M947" s="8"/>
      <c r="O947" s="8"/>
      <c r="Q947" s="8"/>
      <c r="R947" s="8"/>
    </row>
    <row r="948" ht="14.25" customHeight="1">
      <c r="E948" s="8"/>
      <c r="G948" s="8"/>
      <c r="H948" s="8"/>
      <c r="K948" s="8"/>
      <c r="L948" s="8"/>
      <c r="M948" s="8"/>
      <c r="O948" s="8"/>
      <c r="Q948" s="8"/>
      <c r="R948" s="8"/>
    </row>
    <row r="949" ht="14.25" customHeight="1">
      <c r="E949" s="8"/>
      <c r="G949" s="8"/>
      <c r="H949" s="8"/>
      <c r="K949" s="8"/>
      <c r="L949" s="8"/>
      <c r="M949" s="8"/>
      <c r="O949" s="8"/>
      <c r="Q949" s="8"/>
      <c r="R949" s="8"/>
    </row>
    <row r="950" ht="14.25" customHeight="1">
      <c r="E950" s="8"/>
      <c r="G950" s="8"/>
      <c r="H950" s="8"/>
      <c r="K950" s="8"/>
      <c r="L950" s="8"/>
      <c r="M950" s="8"/>
      <c r="O950" s="8"/>
      <c r="Q950" s="8"/>
      <c r="R950" s="8"/>
    </row>
    <row r="951" ht="14.25" customHeight="1">
      <c r="E951" s="8"/>
      <c r="G951" s="8"/>
      <c r="H951" s="8"/>
      <c r="K951" s="8"/>
      <c r="L951" s="8"/>
      <c r="M951" s="8"/>
      <c r="O951" s="8"/>
      <c r="Q951" s="8"/>
      <c r="R951" s="8"/>
    </row>
    <row r="952" ht="14.25" customHeight="1">
      <c r="E952" s="8"/>
      <c r="G952" s="8"/>
      <c r="H952" s="8"/>
      <c r="K952" s="8"/>
      <c r="L952" s="8"/>
      <c r="M952" s="8"/>
      <c r="O952" s="8"/>
      <c r="Q952" s="8"/>
      <c r="R952" s="8"/>
    </row>
    <row r="953" ht="14.25" customHeight="1">
      <c r="E953" s="8"/>
      <c r="G953" s="8"/>
      <c r="H953" s="8"/>
      <c r="K953" s="8"/>
      <c r="L953" s="8"/>
      <c r="M953" s="8"/>
      <c r="O953" s="8"/>
      <c r="Q953" s="8"/>
      <c r="R953" s="8"/>
    </row>
    <row r="954" ht="14.25" customHeight="1">
      <c r="E954" s="8"/>
      <c r="G954" s="8"/>
      <c r="H954" s="8"/>
      <c r="K954" s="8"/>
      <c r="L954" s="8"/>
      <c r="M954" s="8"/>
      <c r="O954" s="8"/>
      <c r="Q954" s="8"/>
      <c r="R954" s="8"/>
    </row>
    <row r="955" ht="14.25" customHeight="1">
      <c r="E955" s="8"/>
      <c r="G955" s="8"/>
      <c r="H955" s="8"/>
      <c r="K955" s="8"/>
      <c r="L955" s="8"/>
      <c r="M955" s="8"/>
      <c r="O955" s="8"/>
      <c r="Q955" s="8"/>
      <c r="R955" s="8"/>
    </row>
    <row r="956" ht="14.25" customHeight="1">
      <c r="E956" s="8"/>
      <c r="G956" s="8"/>
      <c r="H956" s="8"/>
      <c r="K956" s="8"/>
      <c r="L956" s="8"/>
      <c r="M956" s="8"/>
      <c r="O956" s="8"/>
      <c r="Q956" s="8"/>
      <c r="R956" s="8"/>
    </row>
    <row r="957" ht="14.25" customHeight="1">
      <c r="E957" s="8"/>
      <c r="G957" s="8"/>
      <c r="H957" s="8"/>
      <c r="K957" s="8"/>
      <c r="L957" s="8"/>
      <c r="M957" s="8"/>
      <c r="O957" s="8"/>
      <c r="Q957" s="8"/>
      <c r="R957" s="8"/>
    </row>
    <row r="958" ht="14.25" customHeight="1">
      <c r="E958" s="8"/>
      <c r="G958" s="8"/>
      <c r="H958" s="8"/>
      <c r="K958" s="8"/>
      <c r="L958" s="8"/>
      <c r="M958" s="8"/>
      <c r="O958" s="8"/>
      <c r="Q958" s="8"/>
      <c r="R958" s="8"/>
    </row>
    <row r="959" ht="14.25" customHeight="1">
      <c r="E959" s="8"/>
      <c r="G959" s="8"/>
      <c r="H959" s="8"/>
      <c r="K959" s="8"/>
      <c r="L959" s="8"/>
      <c r="M959" s="8"/>
      <c r="O959" s="8"/>
      <c r="Q959" s="8"/>
      <c r="R959" s="8"/>
    </row>
    <row r="960" ht="14.25" customHeight="1">
      <c r="E960" s="8"/>
      <c r="G960" s="8"/>
      <c r="H960" s="8"/>
      <c r="K960" s="8"/>
      <c r="L960" s="8"/>
      <c r="M960" s="8"/>
      <c r="O960" s="8"/>
      <c r="Q960" s="8"/>
      <c r="R960" s="8"/>
    </row>
    <row r="961" ht="14.25" customHeight="1">
      <c r="E961" s="8"/>
      <c r="G961" s="8"/>
      <c r="H961" s="8"/>
      <c r="K961" s="8"/>
      <c r="L961" s="8"/>
      <c r="M961" s="8"/>
      <c r="O961" s="8"/>
      <c r="Q961" s="8"/>
      <c r="R961" s="8"/>
    </row>
    <row r="962" ht="14.25" customHeight="1">
      <c r="E962" s="8"/>
      <c r="G962" s="8"/>
      <c r="H962" s="8"/>
      <c r="K962" s="8"/>
      <c r="L962" s="8"/>
      <c r="M962" s="8"/>
      <c r="O962" s="8"/>
      <c r="Q962" s="8"/>
      <c r="R962" s="8"/>
    </row>
    <row r="963" ht="14.25" customHeight="1">
      <c r="E963" s="8"/>
      <c r="G963" s="8"/>
      <c r="H963" s="8"/>
      <c r="K963" s="8"/>
      <c r="L963" s="8"/>
      <c r="M963" s="8"/>
      <c r="O963" s="8"/>
      <c r="Q963" s="8"/>
      <c r="R963" s="8"/>
    </row>
    <row r="964" ht="14.25" customHeight="1">
      <c r="E964" s="8"/>
      <c r="G964" s="8"/>
      <c r="H964" s="8"/>
      <c r="K964" s="8"/>
      <c r="L964" s="8"/>
      <c r="M964" s="8"/>
      <c r="O964" s="8"/>
      <c r="Q964" s="8"/>
      <c r="R964" s="8"/>
    </row>
    <row r="965" ht="14.25" customHeight="1">
      <c r="E965" s="8"/>
      <c r="G965" s="8"/>
      <c r="H965" s="8"/>
      <c r="K965" s="8"/>
      <c r="L965" s="8"/>
      <c r="M965" s="8"/>
      <c r="O965" s="8"/>
      <c r="Q965" s="8"/>
      <c r="R965" s="8"/>
    </row>
    <row r="966" ht="14.25" customHeight="1">
      <c r="E966" s="8"/>
      <c r="G966" s="8"/>
      <c r="H966" s="8"/>
      <c r="K966" s="8"/>
      <c r="L966" s="8"/>
      <c r="M966" s="8"/>
      <c r="O966" s="8"/>
      <c r="Q966" s="8"/>
      <c r="R966" s="8"/>
    </row>
    <row r="967" ht="14.25" customHeight="1">
      <c r="E967" s="8"/>
      <c r="G967" s="8"/>
      <c r="H967" s="8"/>
      <c r="K967" s="8"/>
      <c r="L967" s="8"/>
      <c r="M967" s="8"/>
      <c r="O967" s="8"/>
      <c r="Q967" s="8"/>
      <c r="R967" s="8"/>
    </row>
    <row r="968" ht="14.25" customHeight="1">
      <c r="E968" s="8"/>
      <c r="G968" s="8"/>
      <c r="H968" s="8"/>
      <c r="K968" s="8"/>
      <c r="L968" s="8"/>
      <c r="M968" s="8"/>
      <c r="O968" s="8"/>
      <c r="Q968" s="8"/>
      <c r="R968" s="8"/>
    </row>
    <row r="969" ht="14.25" customHeight="1">
      <c r="E969" s="8"/>
      <c r="G969" s="8"/>
      <c r="H969" s="8"/>
      <c r="K969" s="8"/>
      <c r="L969" s="8"/>
      <c r="M969" s="8"/>
      <c r="O969" s="8"/>
      <c r="Q969" s="8"/>
      <c r="R969" s="8"/>
    </row>
    <row r="970" ht="14.25" customHeight="1">
      <c r="E970" s="8"/>
      <c r="G970" s="8"/>
      <c r="H970" s="8"/>
      <c r="K970" s="8"/>
      <c r="L970" s="8"/>
      <c r="M970" s="8"/>
      <c r="O970" s="8"/>
      <c r="Q970" s="8"/>
      <c r="R970" s="8"/>
    </row>
    <row r="971" ht="14.25" customHeight="1">
      <c r="E971" s="8"/>
      <c r="G971" s="8"/>
      <c r="H971" s="8"/>
      <c r="K971" s="8"/>
      <c r="L971" s="8"/>
      <c r="M971" s="8"/>
      <c r="O971" s="8"/>
      <c r="Q971" s="8"/>
      <c r="R971" s="8"/>
    </row>
    <row r="972" ht="14.25" customHeight="1">
      <c r="E972" s="8"/>
      <c r="G972" s="8"/>
      <c r="H972" s="8"/>
      <c r="K972" s="8"/>
      <c r="L972" s="8"/>
      <c r="M972" s="8"/>
      <c r="O972" s="8"/>
      <c r="Q972" s="8"/>
      <c r="R972" s="8"/>
    </row>
    <row r="973" ht="14.25" customHeight="1">
      <c r="E973" s="8"/>
      <c r="G973" s="8"/>
      <c r="H973" s="8"/>
      <c r="K973" s="8"/>
      <c r="L973" s="8"/>
      <c r="M973" s="8"/>
      <c r="O973" s="8"/>
      <c r="Q973" s="8"/>
      <c r="R973" s="8"/>
    </row>
    <row r="974" ht="14.25" customHeight="1">
      <c r="E974" s="8"/>
      <c r="G974" s="8"/>
      <c r="H974" s="8"/>
      <c r="K974" s="8"/>
      <c r="L974" s="8"/>
      <c r="M974" s="8"/>
      <c r="O974" s="8"/>
      <c r="Q974" s="8"/>
      <c r="R974" s="8"/>
    </row>
    <row r="975" ht="14.25" customHeight="1">
      <c r="E975" s="8"/>
      <c r="G975" s="8"/>
      <c r="H975" s="8"/>
      <c r="K975" s="8"/>
      <c r="L975" s="8"/>
      <c r="M975" s="8"/>
      <c r="O975" s="8"/>
      <c r="Q975" s="8"/>
      <c r="R975" s="8"/>
    </row>
    <row r="976" ht="14.25" customHeight="1">
      <c r="E976" s="8"/>
      <c r="G976" s="8"/>
      <c r="H976" s="8"/>
      <c r="K976" s="8"/>
      <c r="L976" s="8"/>
      <c r="M976" s="8"/>
      <c r="O976" s="8"/>
      <c r="Q976" s="8"/>
      <c r="R976" s="8"/>
    </row>
    <row r="977" ht="14.25" customHeight="1">
      <c r="E977" s="8"/>
      <c r="G977" s="8"/>
      <c r="H977" s="8"/>
      <c r="K977" s="8"/>
      <c r="L977" s="8"/>
      <c r="M977" s="8"/>
      <c r="O977" s="8"/>
      <c r="Q977" s="8"/>
      <c r="R977" s="8"/>
    </row>
    <row r="978" ht="14.25" customHeight="1">
      <c r="E978" s="8"/>
      <c r="G978" s="8"/>
      <c r="H978" s="8"/>
      <c r="K978" s="8"/>
      <c r="L978" s="8"/>
      <c r="M978" s="8"/>
      <c r="O978" s="8"/>
      <c r="Q978" s="8"/>
      <c r="R978" s="8"/>
    </row>
    <row r="979" ht="14.25" customHeight="1">
      <c r="E979" s="8"/>
      <c r="G979" s="8"/>
      <c r="H979" s="8"/>
      <c r="K979" s="8"/>
      <c r="L979" s="8"/>
      <c r="M979" s="8"/>
      <c r="O979" s="8"/>
      <c r="Q979" s="8"/>
      <c r="R979" s="8"/>
    </row>
    <row r="980" ht="14.25" customHeight="1">
      <c r="E980" s="8"/>
      <c r="G980" s="8"/>
      <c r="H980" s="8"/>
      <c r="K980" s="8"/>
      <c r="L980" s="8"/>
      <c r="M980" s="8"/>
      <c r="O980" s="8"/>
      <c r="Q980" s="8"/>
      <c r="R980" s="8"/>
    </row>
    <row r="981" ht="14.25" customHeight="1">
      <c r="E981" s="8"/>
      <c r="G981" s="8"/>
      <c r="H981" s="8"/>
      <c r="K981" s="8"/>
      <c r="L981" s="8"/>
      <c r="M981" s="8"/>
      <c r="O981" s="8"/>
      <c r="Q981" s="8"/>
      <c r="R981" s="8"/>
    </row>
    <row r="982" ht="14.25" customHeight="1">
      <c r="E982" s="8"/>
      <c r="G982" s="8"/>
      <c r="H982" s="8"/>
      <c r="K982" s="8"/>
      <c r="L982" s="8"/>
      <c r="M982" s="8"/>
      <c r="O982" s="8"/>
      <c r="Q982" s="8"/>
      <c r="R982" s="8"/>
    </row>
    <row r="983" ht="14.25" customHeight="1">
      <c r="E983" s="8"/>
      <c r="G983" s="8"/>
      <c r="H983" s="8"/>
      <c r="K983" s="8"/>
      <c r="L983" s="8"/>
      <c r="M983" s="8"/>
      <c r="O983" s="8"/>
      <c r="Q983" s="8"/>
      <c r="R983" s="8"/>
    </row>
    <row r="984" ht="14.25" customHeight="1">
      <c r="E984" s="8"/>
      <c r="G984" s="8"/>
      <c r="H984" s="8"/>
      <c r="K984" s="8"/>
      <c r="L984" s="8"/>
      <c r="M984" s="8"/>
      <c r="O984" s="8"/>
      <c r="Q984" s="8"/>
      <c r="R984" s="8"/>
    </row>
    <row r="985" ht="14.25" customHeight="1">
      <c r="E985" s="8"/>
      <c r="G985" s="8"/>
      <c r="H985" s="8"/>
      <c r="K985" s="8"/>
      <c r="L985" s="8"/>
      <c r="M985" s="8"/>
      <c r="O985" s="8"/>
      <c r="Q985" s="8"/>
      <c r="R985" s="8"/>
    </row>
    <row r="986" ht="14.25" customHeight="1">
      <c r="E986" s="8"/>
      <c r="G986" s="8"/>
      <c r="H986" s="8"/>
      <c r="K986" s="8"/>
      <c r="L986" s="8"/>
      <c r="M986" s="8"/>
      <c r="O986" s="8"/>
      <c r="Q986" s="8"/>
      <c r="R986" s="8"/>
    </row>
    <row r="987" ht="14.25" customHeight="1">
      <c r="E987" s="8"/>
      <c r="G987" s="8"/>
      <c r="H987" s="8"/>
      <c r="K987" s="8"/>
      <c r="L987" s="8"/>
      <c r="M987" s="8"/>
      <c r="O987" s="8"/>
      <c r="Q987" s="8"/>
      <c r="R987" s="8"/>
    </row>
    <row r="988" ht="14.25" customHeight="1">
      <c r="E988" s="8"/>
      <c r="G988" s="8"/>
      <c r="H988" s="8"/>
      <c r="K988" s="8"/>
      <c r="L988" s="8"/>
      <c r="M988" s="8"/>
      <c r="O988" s="8"/>
      <c r="Q988" s="8"/>
      <c r="R988" s="8"/>
    </row>
    <row r="989" ht="14.25" customHeight="1">
      <c r="E989" s="8"/>
      <c r="G989" s="8"/>
      <c r="H989" s="8"/>
      <c r="K989" s="8"/>
      <c r="L989" s="8"/>
      <c r="M989" s="8"/>
      <c r="O989" s="8"/>
      <c r="Q989" s="8"/>
      <c r="R989" s="8"/>
    </row>
    <row r="990" ht="14.25" customHeight="1">
      <c r="E990" s="8"/>
      <c r="G990" s="8"/>
      <c r="H990" s="8"/>
      <c r="K990" s="8"/>
      <c r="L990" s="8"/>
      <c r="M990" s="8"/>
      <c r="O990" s="8"/>
      <c r="Q990" s="8"/>
      <c r="R990" s="8"/>
    </row>
    <row r="991" ht="14.25" customHeight="1">
      <c r="E991" s="8"/>
      <c r="G991" s="8"/>
      <c r="H991" s="8"/>
      <c r="K991" s="8"/>
      <c r="L991" s="8"/>
      <c r="M991" s="8"/>
      <c r="O991" s="8"/>
      <c r="Q991" s="8"/>
      <c r="R991" s="8"/>
    </row>
    <row r="992" ht="14.25" customHeight="1">
      <c r="E992" s="8"/>
      <c r="G992" s="8"/>
      <c r="H992" s="8"/>
      <c r="K992" s="8"/>
      <c r="L992" s="8"/>
      <c r="M992" s="8"/>
      <c r="O992" s="8"/>
      <c r="Q992" s="8"/>
      <c r="R992" s="8"/>
    </row>
    <row r="993" ht="14.25" customHeight="1">
      <c r="E993" s="8"/>
      <c r="G993" s="8"/>
      <c r="H993" s="8"/>
      <c r="K993" s="8"/>
      <c r="L993" s="8"/>
      <c r="M993" s="8"/>
      <c r="O993" s="8"/>
      <c r="Q993" s="8"/>
      <c r="R993" s="8"/>
    </row>
    <row r="994" ht="14.25" customHeight="1">
      <c r="E994" s="8"/>
      <c r="G994" s="8"/>
      <c r="H994" s="8"/>
      <c r="K994" s="8"/>
      <c r="L994" s="8"/>
      <c r="M994" s="8"/>
      <c r="O994" s="8"/>
      <c r="Q994" s="8"/>
      <c r="R994" s="8"/>
    </row>
    <row r="995" ht="14.25" customHeight="1">
      <c r="E995" s="8"/>
      <c r="G995" s="8"/>
      <c r="H995" s="8"/>
      <c r="K995" s="8"/>
      <c r="L995" s="8"/>
      <c r="M995" s="8"/>
      <c r="O995" s="8"/>
      <c r="Q995" s="8"/>
      <c r="R995" s="8"/>
    </row>
    <row r="996" ht="14.25" customHeight="1">
      <c r="E996" s="8"/>
      <c r="G996" s="8"/>
      <c r="H996" s="8"/>
      <c r="K996" s="8"/>
      <c r="L996" s="8"/>
      <c r="M996" s="8"/>
      <c r="O996" s="8"/>
      <c r="Q996" s="8"/>
      <c r="R996" s="8"/>
    </row>
    <row r="997" ht="14.25" customHeight="1">
      <c r="E997" s="8"/>
      <c r="G997" s="8"/>
      <c r="H997" s="8"/>
      <c r="K997" s="8"/>
      <c r="L997" s="8"/>
      <c r="M997" s="8"/>
      <c r="O997" s="8"/>
      <c r="Q997" s="8"/>
      <c r="R997" s="8"/>
    </row>
    <row r="998" ht="14.25" customHeight="1">
      <c r="E998" s="8"/>
      <c r="G998" s="8"/>
      <c r="H998" s="8"/>
      <c r="K998" s="8"/>
      <c r="L998" s="8"/>
      <c r="M998" s="8"/>
      <c r="O998" s="8"/>
      <c r="Q998" s="8"/>
      <c r="R998" s="8"/>
    </row>
    <row r="999" ht="14.25" customHeight="1">
      <c r="E999" s="8"/>
      <c r="G999" s="8"/>
      <c r="H999" s="8"/>
      <c r="K999" s="8"/>
      <c r="L999" s="8"/>
      <c r="M999" s="8"/>
      <c r="O999" s="8"/>
      <c r="Q999" s="8"/>
      <c r="R999" s="8"/>
    </row>
    <row r="1000" ht="14.25" customHeight="1">
      <c r="E1000" s="8"/>
      <c r="G1000" s="8"/>
      <c r="H1000" s="8"/>
      <c r="K1000" s="8"/>
      <c r="L1000" s="8"/>
      <c r="M1000" s="8"/>
      <c r="O1000" s="8"/>
      <c r="Q1000" s="8"/>
      <c r="R1000" s="8"/>
    </row>
  </sheetData>
  <dataValidations>
    <dataValidation type="list" allowBlank="1" sqref="K2:K1000">
      <formula1>DICTIONARIES!$O$2:$O$9</formula1>
    </dataValidation>
    <dataValidation type="list" allowBlank="1" sqref="L2:L1000">
      <formula1>DICTIONARIES!$D$2:$D$4</formula1>
    </dataValidation>
    <dataValidation type="list" allowBlank="1" sqref="M2:M1000 R2:R1000">
      <formula1>DICTIONARIES!$G$2:$G$3</formula1>
    </dataValidation>
    <dataValidation type="list" allowBlank="1" sqref="G2:G1000">
      <formula1>DICTIONARIES!$B$2:$B$7</formula1>
    </dataValidation>
    <dataValidation type="list" allowBlank="1" sqref="E2:E1000">
      <formula1>DICTIONARIES!$A$2:$A$17</formula1>
    </dataValidation>
    <dataValidation type="list" allowBlank="1" sqref="H2:H1000">
      <formula1>DICTIONARIES!$C$2:$C$15</formula1>
    </dataValidation>
    <dataValidation type="list" allowBlank="1" sqref="Q2:Q1000">
      <formula1>DICTIONARIES!$AE$2:$AE$5</formula1>
    </dataValidation>
    <dataValidation type="list" allowBlank="1" sqref="O2:O1000">
      <formula1>DICTIONARIES!$AC$2:$AC$9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0"/>
    <col customWidth="1" min="3" max="4" width="12.0"/>
    <col customWidth="1" min="5" max="6" width="14.0"/>
    <col customWidth="1" min="7" max="7" width="20.0"/>
    <col customWidth="1" min="8" max="8" width="18.0"/>
    <col customWidth="1" min="9" max="9" width="14.0"/>
    <col customWidth="1" min="10" max="10" width="30.0"/>
    <col customWidth="1" min="11" max="11" width="24.0"/>
    <col customWidth="1" min="12" max="13" width="10.0"/>
    <col customWidth="1" min="14" max="14" width="32.0"/>
    <col customWidth="1" min="15" max="15" width="14.0"/>
    <col customWidth="1" min="16" max="16" width="22.0"/>
    <col customWidth="1" min="17" max="17" width="12.0"/>
    <col customWidth="1" min="18" max="18" width="18.0"/>
    <col customWidth="1" min="19" max="19" width="12.0"/>
    <col customWidth="1" min="20" max="20" width="16.0"/>
    <col customWidth="1" min="21" max="22" width="14.0"/>
    <col customWidth="1" min="23" max="23" width="12.0"/>
    <col customWidth="1" min="24" max="24" width="10.0"/>
    <col customWidth="1" min="25" max="25" width="12.0"/>
    <col customWidth="1" min="26" max="26" width="8.71"/>
  </cols>
  <sheetData>
    <row r="1" ht="14.25" customHeight="1">
      <c r="A1" s="9" t="s">
        <v>467</v>
      </c>
      <c r="B1" s="9" t="s">
        <v>344</v>
      </c>
      <c r="C1" s="9" t="s">
        <v>524</v>
      </c>
      <c r="D1" s="9" t="s">
        <v>525</v>
      </c>
      <c r="E1" s="9" t="s">
        <v>199</v>
      </c>
      <c r="F1" s="9" t="s">
        <v>200</v>
      </c>
      <c r="G1" s="9" t="s">
        <v>198</v>
      </c>
      <c r="H1" s="9" t="s">
        <v>526</v>
      </c>
      <c r="I1" s="9" t="s">
        <v>527</v>
      </c>
      <c r="J1" s="9" t="s">
        <v>528</v>
      </c>
      <c r="K1" s="9" t="s">
        <v>433</v>
      </c>
      <c r="L1" s="9" t="s">
        <v>474</v>
      </c>
      <c r="M1" s="9" t="s">
        <v>436</v>
      </c>
      <c r="N1" s="9" t="s">
        <v>116</v>
      </c>
      <c r="O1" s="9" t="s">
        <v>529</v>
      </c>
      <c r="P1" s="9" t="s">
        <v>530</v>
      </c>
      <c r="Q1" s="9" t="s">
        <v>531</v>
      </c>
      <c r="R1" s="9" t="s">
        <v>532</v>
      </c>
      <c r="S1" s="9" t="s">
        <v>533</v>
      </c>
      <c r="T1" s="9" t="s">
        <v>438</v>
      </c>
      <c r="U1" s="9" t="s">
        <v>439</v>
      </c>
      <c r="V1" s="9" t="s">
        <v>440</v>
      </c>
      <c r="W1" s="9" t="s">
        <v>441</v>
      </c>
      <c r="X1" s="9" t="s">
        <v>534</v>
      </c>
      <c r="Y1" s="9" t="s">
        <v>535</v>
      </c>
    </row>
    <row r="2" ht="14.25" customHeight="1">
      <c r="A2" s="12" t="s">
        <v>536</v>
      </c>
      <c r="B2" s="12" t="s">
        <v>493</v>
      </c>
      <c r="C2" s="26">
        <v>40.0</v>
      </c>
      <c r="D2" s="12" t="s">
        <v>251</v>
      </c>
      <c r="E2" s="12" t="s">
        <v>249</v>
      </c>
      <c r="F2" s="12" t="s">
        <v>250</v>
      </c>
      <c r="G2" s="12" t="s">
        <v>248</v>
      </c>
      <c r="H2" s="12"/>
      <c r="I2" s="13">
        <v>0.0</v>
      </c>
      <c r="J2" s="12" t="s">
        <v>537</v>
      </c>
      <c r="K2" s="12" t="s">
        <v>242</v>
      </c>
      <c r="L2" s="12" t="s">
        <v>255</v>
      </c>
      <c r="M2" s="12" t="s">
        <v>245</v>
      </c>
      <c r="N2" s="12" t="s">
        <v>538</v>
      </c>
      <c r="O2" s="12" t="s">
        <v>241</v>
      </c>
      <c r="P2" s="12">
        <v>1.0</v>
      </c>
      <c r="Q2" s="12" t="s">
        <v>241</v>
      </c>
      <c r="R2" s="4" t="s">
        <v>539</v>
      </c>
      <c r="S2" s="4">
        <v>5.0</v>
      </c>
      <c r="T2" s="4" t="s">
        <v>280</v>
      </c>
      <c r="U2" s="14">
        <v>46082.0</v>
      </c>
      <c r="V2" s="14">
        <v>46112.0</v>
      </c>
      <c r="W2" s="4" t="s">
        <v>311</v>
      </c>
      <c r="X2" s="4">
        <v>10.0</v>
      </c>
      <c r="Y2" s="4">
        <v>10.0</v>
      </c>
    </row>
    <row r="3" ht="14.25" customHeight="1">
      <c r="A3" s="12" t="s">
        <v>540</v>
      </c>
      <c r="B3" s="12" t="s">
        <v>493</v>
      </c>
      <c r="C3" s="26">
        <v>60.0</v>
      </c>
      <c r="D3" s="12" t="s">
        <v>251</v>
      </c>
      <c r="E3" s="12" t="s">
        <v>249</v>
      </c>
      <c r="F3" s="12" t="s">
        <v>250</v>
      </c>
      <c r="G3" s="12" t="s">
        <v>288</v>
      </c>
      <c r="H3" s="12"/>
      <c r="I3" s="13">
        <v>0.0</v>
      </c>
      <c r="J3" s="12" t="s">
        <v>541</v>
      </c>
      <c r="K3" s="12" t="s">
        <v>242</v>
      </c>
      <c r="L3" s="12" t="s">
        <v>245</v>
      </c>
      <c r="M3" s="12" t="s">
        <v>245</v>
      </c>
      <c r="N3" s="12" t="s">
        <v>542</v>
      </c>
      <c r="O3" s="12" t="s">
        <v>241</v>
      </c>
      <c r="P3" s="12">
        <v>1.0</v>
      </c>
      <c r="Q3" s="12" t="s">
        <v>241</v>
      </c>
      <c r="R3" s="4"/>
      <c r="S3" s="4"/>
      <c r="T3" s="4"/>
      <c r="U3" s="14"/>
      <c r="V3" s="14"/>
      <c r="W3" s="4"/>
      <c r="X3" s="4"/>
      <c r="Y3" s="4"/>
    </row>
    <row r="4" ht="14.25" customHeight="1">
      <c r="A4" s="12" t="s">
        <v>543</v>
      </c>
      <c r="B4" s="12" t="s">
        <v>493</v>
      </c>
      <c r="C4" s="26">
        <v>80.0</v>
      </c>
      <c r="D4" s="12" t="s">
        <v>251</v>
      </c>
      <c r="E4" s="12" t="s">
        <v>249</v>
      </c>
      <c r="F4" s="12" t="s">
        <v>250</v>
      </c>
      <c r="G4" s="12" t="s">
        <v>327</v>
      </c>
      <c r="H4" s="12"/>
      <c r="I4" s="13">
        <v>0.0</v>
      </c>
      <c r="J4" s="12" t="s">
        <v>544</v>
      </c>
      <c r="K4" s="12" t="s">
        <v>242</v>
      </c>
      <c r="L4" s="12" t="s">
        <v>255</v>
      </c>
      <c r="M4" s="12" t="s">
        <v>245</v>
      </c>
      <c r="N4" s="12"/>
      <c r="O4" s="12" t="s">
        <v>241</v>
      </c>
      <c r="P4" s="12">
        <v>1.0</v>
      </c>
      <c r="Q4" s="12" t="s">
        <v>241</v>
      </c>
      <c r="R4" s="4"/>
      <c r="S4" s="4"/>
      <c r="T4" s="4"/>
      <c r="U4" s="14"/>
      <c r="V4" s="14"/>
      <c r="W4" s="4"/>
      <c r="X4" s="4"/>
      <c r="Y4" s="4"/>
    </row>
    <row r="5" ht="14.25" customHeight="1">
      <c r="A5" s="4" t="s">
        <v>545</v>
      </c>
      <c r="B5" s="4" t="s">
        <v>501</v>
      </c>
      <c r="C5" s="27"/>
      <c r="D5" s="4"/>
      <c r="E5" s="4"/>
      <c r="F5" s="4"/>
      <c r="G5" s="4"/>
      <c r="H5" s="4"/>
      <c r="I5" s="15">
        <v>0.0</v>
      </c>
      <c r="J5" s="4" t="s">
        <v>503</v>
      </c>
      <c r="K5" s="4" t="s">
        <v>268</v>
      </c>
      <c r="L5" s="4" t="s">
        <v>245</v>
      </c>
      <c r="M5" s="4" t="s">
        <v>245</v>
      </c>
      <c r="N5" s="4" t="s">
        <v>546</v>
      </c>
      <c r="O5" s="12" t="s">
        <v>343</v>
      </c>
      <c r="P5" s="12">
        <v>0.0</v>
      </c>
      <c r="Q5" s="12" t="s">
        <v>241</v>
      </c>
      <c r="R5" s="4"/>
      <c r="S5" s="4"/>
      <c r="T5" s="4"/>
      <c r="U5" s="14"/>
      <c r="V5" s="14"/>
      <c r="W5" s="4"/>
      <c r="X5" s="4"/>
      <c r="Y5" s="4"/>
    </row>
    <row r="6" ht="14.25" customHeight="1">
      <c r="A6" s="4" t="s">
        <v>547</v>
      </c>
      <c r="B6" s="4" t="s">
        <v>506</v>
      </c>
      <c r="C6" s="27"/>
      <c r="D6" s="4"/>
      <c r="E6" s="4"/>
      <c r="F6" s="4"/>
      <c r="G6" s="4"/>
      <c r="H6" s="4"/>
      <c r="I6" s="15">
        <v>0.0</v>
      </c>
      <c r="J6" s="4" t="s">
        <v>508</v>
      </c>
      <c r="K6" s="4" t="s">
        <v>242</v>
      </c>
      <c r="L6" s="4" t="s">
        <v>245</v>
      </c>
      <c r="M6" s="4" t="s">
        <v>245</v>
      </c>
      <c r="N6" s="4" t="s">
        <v>548</v>
      </c>
      <c r="O6" s="12" t="s">
        <v>343</v>
      </c>
      <c r="P6" s="12">
        <v>0.0</v>
      </c>
      <c r="Q6" s="12" t="s">
        <v>241</v>
      </c>
      <c r="R6" s="4"/>
      <c r="S6" s="4"/>
      <c r="T6" s="4"/>
      <c r="U6" s="14"/>
      <c r="V6" s="14"/>
      <c r="W6" s="4"/>
      <c r="X6" s="4"/>
      <c r="Y6" s="4"/>
    </row>
    <row r="7" ht="14.25" customHeight="1">
      <c r="A7" s="4" t="s">
        <v>549</v>
      </c>
      <c r="B7" s="4" t="s">
        <v>510</v>
      </c>
      <c r="C7" s="27"/>
      <c r="D7" s="4"/>
      <c r="E7" s="4"/>
      <c r="F7" s="4"/>
      <c r="G7" s="4"/>
      <c r="H7" s="4"/>
      <c r="I7" s="15">
        <v>0.0</v>
      </c>
      <c r="J7" s="4" t="s">
        <v>511</v>
      </c>
      <c r="K7" s="4" t="s">
        <v>268</v>
      </c>
      <c r="L7" s="4" t="s">
        <v>245</v>
      </c>
      <c r="M7" s="4" t="s">
        <v>245</v>
      </c>
      <c r="N7" s="4" t="s">
        <v>550</v>
      </c>
      <c r="O7" s="12" t="s">
        <v>343</v>
      </c>
      <c r="P7" s="12">
        <v>0.0</v>
      </c>
      <c r="Q7" s="12" t="s">
        <v>241</v>
      </c>
      <c r="R7" s="4"/>
      <c r="S7" s="4"/>
      <c r="T7" s="4"/>
      <c r="U7" s="14"/>
      <c r="V7" s="14"/>
      <c r="W7" s="4"/>
      <c r="X7" s="4"/>
      <c r="Y7" s="4"/>
    </row>
    <row r="8" ht="14.25" customHeight="1">
      <c r="A8" s="4" t="s">
        <v>551</v>
      </c>
      <c r="B8" s="4" t="s">
        <v>514</v>
      </c>
      <c r="C8" s="27"/>
      <c r="D8" s="4"/>
      <c r="E8" s="4"/>
      <c r="F8" s="4"/>
      <c r="G8" s="4"/>
      <c r="H8" s="4"/>
      <c r="I8" s="15">
        <v>0.0</v>
      </c>
      <c r="J8" s="4" t="s">
        <v>516</v>
      </c>
      <c r="K8" s="4" t="s">
        <v>242</v>
      </c>
      <c r="L8" s="4" t="s">
        <v>245</v>
      </c>
      <c r="M8" s="4" t="s">
        <v>245</v>
      </c>
      <c r="N8" s="4" t="s">
        <v>552</v>
      </c>
      <c r="O8" s="12" t="s">
        <v>394</v>
      </c>
      <c r="P8" s="12">
        <v>0.0</v>
      </c>
      <c r="Q8" s="12" t="s">
        <v>241</v>
      </c>
      <c r="R8" s="4"/>
      <c r="S8" s="4"/>
      <c r="T8" s="4"/>
      <c r="U8" s="14"/>
      <c r="V8" s="14"/>
      <c r="W8" s="4"/>
      <c r="X8" s="4"/>
      <c r="Y8" s="4"/>
    </row>
    <row r="9" ht="14.25" customHeight="1">
      <c r="A9" s="4" t="s">
        <v>553</v>
      </c>
      <c r="B9" s="4" t="s">
        <v>519</v>
      </c>
      <c r="C9" s="27"/>
      <c r="D9" s="4"/>
      <c r="E9" s="4"/>
      <c r="F9" s="4"/>
      <c r="G9" s="4"/>
      <c r="H9" s="4"/>
      <c r="I9" s="15">
        <v>0.0</v>
      </c>
      <c r="J9" s="4" t="s">
        <v>520</v>
      </c>
      <c r="K9" s="4" t="s">
        <v>268</v>
      </c>
      <c r="L9" s="4" t="s">
        <v>245</v>
      </c>
      <c r="M9" s="4" t="s">
        <v>245</v>
      </c>
      <c r="N9" s="4" t="s">
        <v>554</v>
      </c>
      <c r="O9" s="12" t="s">
        <v>362</v>
      </c>
      <c r="P9" s="12">
        <v>1.0</v>
      </c>
      <c r="Q9" s="12" t="s">
        <v>362</v>
      </c>
      <c r="R9" s="4"/>
      <c r="S9" s="4"/>
      <c r="T9" s="4"/>
      <c r="U9" s="14"/>
      <c r="V9" s="14"/>
      <c r="W9" s="4"/>
      <c r="X9" s="4"/>
      <c r="Y9" s="4"/>
    </row>
    <row r="10" ht="14.25" customHeight="1">
      <c r="A10" s="4"/>
      <c r="B10" s="4"/>
      <c r="C10" s="27"/>
      <c r="D10" s="4"/>
      <c r="E10" s="4"/>
      <c r="F10" s="4"/>
      <c r="G10" s="4"/>
      <c r="H10" s="4"/>
      <c r="I10" s="15"/>
      <c r="J10" s="4"/>
      <c r="K10" s="4"/>
      <c r="L10" s="4"/>
      <c r="M10" s="4"/>
      <c r="N10" s="4"/>
      <c r="O10" s="12"/>
      <c r="P10" s="12"/>
      <c r="Q10" s="12"/>
      <c r="R10" s="4"/>
      <c r="S10" s="4"/>
      <c r="T10" s="4"/>
      <c r="U10" s="4"/>
      <c r="V10" s="4"/>
      <c r="W10" s="4"/>
      <c r="X10" s="4"/>
      <c r="Y10" s="4"/>
    </row>
    <row r="11" ht="14.25" customHeight="1">
      <c r="A11" s="4"/>
      <c r="B11" s="4"/>
      <c r="C11" s="27"/>
      <c r="D11" s="4"/>
      <c r="E11" s="4"/>
      <c r="F11" s="4"/>
      <c r="G11" s="4"/>
      <c r="H11" s="4"/>
      <c r="I11" s="15"/>
      <c r="J11" s="4"/>
      <c r="K11" s="4"/>
      <c r="L11" s="4"/>
      <c r="M11" s="4"/>
      <c r="N11" s="4"/>
      <c r="O11" s="12"/>
      <c r="P11" s="12"/>
      <c r="Q11" s="12"/>
      <c r="R11" s="4"/>
      <c r="S11" s="4"/>
      <c r="T11" s="4"/>
      <c r="U11" s="4"/>
      <c r="V11" s="4"/>
      <c r="W11" s="4"/>
      <c r="X11" s="4"/>
      <c r="Y11" s="4"/>
    </row>
    <row r="12" ht="14.25" customHeight="1">
      <c r="A12" s="4"/>
      <c r="B12" s="4"/>
      <c r="C12" s="27"/>
      <c r="D12" s="4"/>
      <c r="E12" s="4"/>
      <c r="F12" s="4"/>
      <c r="G12" s="4"/>
      <c r="H12" s="4"/>
      <c r="I12" s="15"/>
      <c r="J12" s="4"/>
      <c r="K12" s="4"/>
      <c r="L12" s="4"/>
      <c r="M12" s="4"/>
      <c r="N12" s="4"/>
      <c r="O12" s="12"/>
      <c r="P12" s="12"/>
      <c r="Q12" s="12"/>
      <c r="R12" s="4"/>
      <c r="S12" s="4"/>
      <c r="T12" s="4"/>
      <c r="U12" s="4"/>
      <c r="V12" s="4"/>
      <c r="W12" s="4"/>
      <c r="X12" s="4"/>
      <c r="Y12" s="4"/>
    </row>
    <row r="13" ht="14.25" customHeight="1">
      <c r="A13" s="4"/>
      <c r="B13" s="4"/>
      <c r="C13" s="27"/>
      <c r="D13" s="4"/>
      <c r="E13" s="4"/>
      <c r="F13" s="4"/>
      <c r="G13" s="4"/>
      <c r="H13" s="4"/>
      <c r="I13" s="15"/>
      <c r="J13" s="4"/>
      <c r="K13" s="4"/>
      <c r="L13" s="4"/>
      <c r="M13" s="4"/>
      <c r="N13" s="4"/>
      <c r="O13" s="12"/>
      <c r="P13" s="12"/>
      <c r="Q13" s="12"/>
      <c r="R13" s="4"/>
      <c r="S13" s="4"/>
      <c r="T13" s="4"/>
      <c r="U13" s="4"/>
      <c r="V13" s="4"/>
      <c r="W13" s="4"/>
      <c r="X13" s="4"/>
      <c r="Y13" s="4"/>
    </row>
    <row r="14" ht="14.25" customHeight="1">
      <c r="A14" s="4"/>
      <c r="B14" s="4"/>
      <c r="C14" s="27"/>
      <c r="D14" s="4"/>
      <c r="E14" s="4"/>
      <c r="F14" s="4"/>
      <c r="G14" s="4"/>
      <c r="H14" s="4"/>
      <c r="I14" s="15"/>
      <c r="J14" s="4"/>
      <c r="K14" s="4"/>
      <c r="L14" s="4"/>
      <c r="M14" s="4"/>
      <c r="N14" s="4"/>
      <c r="O14" s="12"/>
      <c r="P14" s="12"/>
      <c r="Q14" s="12"/>
      <c r="R14" s="4"/>
      <c r="S14" s="4"/>
      <c r="T14" s="4"/>
      <c r="U14" s="4"/>
      <c r="V14" s="4"/>
      <c r="W14" s="4"/>
      <c r="X14" s="4"/>
      <c r="Y14" s="4"/>
    </row>
    <row r="15" ht="14.25" customHeight="1">
      <c r="A15" s="4"/>
      <c r="B15" s="4"/>
      <c r="C15" s="27"/>
      <c r="D15" s="4"/>
      <c r="E15" s="4"/>
      <c r="F15" s="4"/>
      <c r="G15" s="4"/>
      <c r="H15" s="4"/>
      <c r="I15" s="15"/>
      <c r="J15" s="4"/>
      <c r="K15" s="4"/>
      <c r="L15" s="4"/>
      <c r="M15" s="4"/>
      <c r="N15" s="4"/>
      <c r="O15" s="12"/>
      <c r="P15" s="12"/>
      <c r="Q15" s="12"/>
      <c r="R15" s="4"/>
      <c r="S15" s="4"/>
      <c r="T15" s="4"/>
      <c r="U15" s="4"/>
      <c r="V15" s="4"/>
      <c r="W15" s="4"/>
      <c r="X15" s="4"/>
      <c r="Y15" s="4"/>
    </row>
    <row r="16" ht="14.25" customHeight="1">
      <c r="A16" s="4"/>
      <c r="B16" s="4"/>
      <c r="C16" s="27"/>
      <c r="D16" s="4"/>
      <c r="E16" s="4"/>
      <c r="F16" s="4"/>
      <c r="G16" s="4"/>
      <c r="H16" s="4"/>
      <c r="I16" s="15"/>
      <c r="J16" s="4"/>
      <c r="K16" s="4"/>
      <c r="L16" s="4"/>
      <c r="M16" s="4"/>
      <c r="N16" s="4"/>
      <c r="O16" s="12"/>
      <c r="P16" s="12"/>
      <c r="Q16" s="12"/>
      <c r="R16" s="4"/>
      <c r="S16" s="4"/>
      <c r="T16" s="4"/>
      <c r="U16" s="4"/>
      <c r="V16" s="4"/>
      <c r="W16" s="4"/>
      <c r="X16" s="4"/>
      <c r="Y16" s="4"/>
    </row>
    <row r="17" ht="14.25" customHeight="1">
      <c r="A17" s="4"/>
      <c r="B17" s="4"/>
      <c r="C17" s="27"/>
      <c r="D17" s="4"/>
      <c r="E17" s="4"/>
      <c r="F17" s="4"/>
      <c r="G17" s="4"/>
      <c r="H17" s="4"/>
      <c r="I17" s="15"/>
      <c r="J17" s="4"/>
      <c r="K17" s="4"/>
      <c r="L17" s="4"/>
      <c r="M17" s="4"/>
      <c r="N17" s="4"/>
      <c r="O17" s="12"/>
      <c r="P17" s="12"/>
      <c r="Q17" s="12"/>
      <c r="R17" s="4"/>
      <c r="S17" s="4"/>
      <c r="T17" s="4"/>
      <c r="U17" s="4"/>
      <c r="V17" s="4"/>
      <c r="W17" s="4"/>
      <c r="X17" s="4"/>
      <c r="Y17" s="4"/>
    </row>
    <row r="18" ht="14.25" customHeight="1">
      <c r="A18" s="4"/>
      <c r="B18" s="4"/>
      <c r="C18" s="27"/>
      <c r="D18" s="4"/>
      <c r="E18" s="4"/>
      <c r="F18" s="4"/>
      <c r="G18" s="4"/>
      <c r="H18" s="4"/>
      <c r="I18" s="15"/>
      <c r="J18" s="4"/>
      <c r="K18" s="4"/>
      <c r="L18" s="4"/>
      <c r="M18" s="4"/>
      <c r="N18" s="4"/>
      <c r="O18" s="12"/>
      <c r="P18" s="12"/>
      <c r="Q18" s="12"/>
      <c r="R18" s="4"/>
      <c r="S18" s="4"/>
      <c r="T18" s="4"/>
      <c r="U18" s="4"/>
      <c r="V18" s="4"/>
      <c r="W18" s="4"/>
      <c r="X18" s="4"/>
      <c r="Y18" s="4"/>
    </row>
    <row r="19" ht="14.25" customHeight="1">
      <c r="A19" s="4"/>
      <c r="B19" s="4"/>
      <c r="C19" s="27"/>
      <c r="D19" s="4"/>
      <c r="E19" s="4"/>
      <c r="F19" s="4"/>
      <c r="G19" s="4"/>
      <c r="H19" s="4"/>
      <c r="I19" s="15"/>
      <c r="J19" s="4"/>
      <c r="K19" s="4"/>
      <c r="L19" s="4"/>
      <c r="M19" s="4"/>
      <c r="N19" s="4"/>
      <c r="O19" s="12"/>
      <c r="P19" s="12"/>
      <c r="Q19" s="12"/>
      <c r="R19" s="4"/>
      <c r="S19" s="4"/>
      <c r="T19" s="4"/>
      <c r="U19" s="4"/>
      <c r="V19" s="4"/>
      <c r="W19" s="4"/>
      <c r="X19" s="4"/>
      <c r="Y19" s="4"/>
    </row>
    <row r="20" ht="14.25" customHeight="1">
      <c r="A20" s="4"/>
      <c r="B20" s="4"/>
      <c r="C20" s="27"/>
      <c r="D20" s="4"/>
      <c r="E20" s="4"/>
      <c r="F20" s="4"/>
      <c r="G20" s="4"/>
      <c r="H20" s="4"/>
      <c r="I20" s="15"/>
      <c r="J20" s="4"/>
      <c r="K20" s="4"/>
      <c r="L20" s="4"/>
      <c r="M20" s="4"/>
      <c r="N20" s="4"/>
      <c r="O20" s="12"/>
      <c r="P20" s="12"/>
      <c r="Q20" s="12"/>
      <c r="R20" s="4"/>
      <c r="S20" s="4"/>
      <c r="T20" s="4"/>
      <c r="U20" s="4"/>
      <c r="V20" s="4"/>
      <c r="W20" s="4"/>
      <c r="X20" s="4"/>
      <c r="Y20" s="4"/>
    </row>
    <row r="21" ht="14.25" customHeight="1">
      <c r="A21" s="4"/>
      <c r="B21" s="4"/>
      <c r="C21" s="27"/>
      <c r="D21" s="4"/>
      <c r="E21" s="4"/>
      <c r="F21" s="4"/>
      <c r="G21" s="4"/>
      <c r="H21" s="4"/>
      <c r="I21" s="15"/>
      <c r="J21" s="4"/>
      <c r="K21" s="4"/>
      <c r="L21" s="4"/>
      <c r="M21" s="4"/>
      <c r="N21" s="4"/>
      <c r="O21" s="12"/>
      <c r="P21" s="12"/>
      <c r="Q21" s="12"/>
      <c r="R21" s="4"/>
      <c r="S21" s="4"/>
      <c r="T21" s="4"/>
      <c r="U21" s="4"/>
      <c r="V21" s="4"/>
      <c r="W21" s="4"/>
      <c r="X21" s="4"/>
      <c r="Y21" s="4"/>
    </row>
    <row r="22" ht="14.25" customHeight="1">
      <c r="A22" s="4"/>
      <c r="B22" s="4"/>
      <c r="C22" s="27"/>
      <c r="D22" s="4"/>
      <c r="E22" s="4"/>
      <c r="F22" s="4"/>
      <c r="G22" s="4"/>
      <c r="H22" s="4"/>
      <c r="I22" s="15"/>
      <c r="J22" s="4"/>
      <c r="K22" s="4"/>
      <c r="L22" s="4"/>
      <c r="M22" s="4"/>
      <c r="N22" s="4"/>
      <c r="O22" s="12"/>
      <c r="P22" s="12"/>
      <c r="Q22" s="12"/>
      <c r="R22" s="4"/>
      <c r="S22" s="4"/>
      <c r="T22" s="4"/>
      <c r="U22" s="4"/>
      <c r="V22" s="4"/>
      <c r="W22" s="4"/>
      <c r="X22" s="4"/>
      <c r="Y22" s="4"/>
    </row>
    <row r="23" ht="14.25" customHeight="1">
      <c r="A23" s="4"/>
      <c r="B23" s="4"/>
      <c r="C23" s="27"/>
      <c r="D23" s="4"/>
      <c r="E23" s="4"/>
      <c r="F23" s="4"/>
      <c r="G23" s="4"/>
      <c r="H23" s="4"/>
      <c r="I23" s="15"/>
      <c r="J23" s="4"/>
      <c r="K23" s="4"/>
      <c r="L23" s="4"/>
      <c r="M23" s="4"/>
      <c r="N23" s="4"/>
      <c r="O23" s="12"/>
      <c r="P23" s="12"/>
      <c r="Q23" s="12"/>
      <c r="R23" s="4"/>
      <c r="S23" s="4"/>
      <c r="T23" s="4"/>
      <c r="U23" s="4"/>
      <c r="V23" s="4"/>
      <c r="W23" s="4"/>
      <c r="X23" s="4"/>
      <c r="Y23" s="4"/>
    </row>
    <row r="24" ht="14.25" customHeight="1">
      <c r="A24" s="4"/>
      <c r="B24" s="4"/>
      <c r="C24" s="27"/>
      <c r="D24" s="4"/>
      <c r="E24" s="4"/>
      <c r="F24" s="4"/>
      <c r="G24" s="4"/>
      <c r="H24" s="4"/>
      <c r="I24" s="15"/>
      <c r="J24" s="4"/>
      <c r="K24" s="4"/>
      <c r="L24" s="4"/>
      <c r="M24" s="4"/>
      <c r="N24" s="4"/>
      <c r="O24" s="12"/>
      <c r="P24" s="12"/>
      <c r="Q24" s="12"/>
      <c r="R24" s="4"/>
      <c r="S24" s="4"/>
      <c r="T24" s="4"/>
      <c r="U24" s="4"/>
      <c r="V24" s="4"/>
      <c r="W24" s="4"/>
      <c r="X24" s="4"/>
      <c r="Y24" s="4"/>
    </row>
    <row r="25" ht="14.25" customHeight="1">
      <c r="A25" s="4"/>
      <c r="B25" s="4"/>
      <c r="C25" s="27"/>
      <c r="D25" s="4"/>
      <c r="E25" s="4"/>
      <c r="F25" s="4"/>
      <c r="G25" s="4"/>
      <c r="H25" s="4"/>
      <c r="I25" s="15"/>
      <c r="J25" s="4"/>
      <c r="K25" s="4"/>
      <c r="L25" s="4"/>
      <c r="M25" s="4"/>
      <c r="N25" s="4"/>
      <c r="O25" s="12"/>
      <c r="P25" s="12"/>
      <c r="Q25" s="12"/>
      <c r="R25" s="4"/>
      <c r="S25" s="4"/>
      <c r="T25" s="4"/>
      <c r="U25" s="4"/>
      <c r="V25" s="4"/>
      <c r="W25" s="4"/>
      <c r="X25" s="4"/>
      <c r="Y25" s="4"/>
    </row>
    <row r="26" ht="14.25" customHeight="1">
      <c r="A26" s="4"/>
      <c r="B26" s="4"/>
      <c r="C26" s="27"/>
      <c r="D26" s="4"/>
      <c r="E26" s="4"/>
      <c r="F26" s="4"/>
      <c r="G26" s="4"/>
      <c r="H26" s="4"/>
      <c r="I26" s="15"/>
      <c r="J26" s="4"/>
      <c r="K26" s="4"/>
      <c r="L26" s="4"/>
      <c r="M26" s="4"/>
      <c r="N26" s="4"/>
      <c r="O26" s="12"/>
      <c r="P26" s="12"/>
      <c r="Q26" s="12"/>
      <c r="R26" s="4"/>
      <c r="S26" s="4"/>
      <c r="T26" s="4"/>
      <c r="U26" s="4"/>
      <c r="V26" s="4"/>
      <c r="W26" s="4"/>
      <c r="X26" s="4"/>
      <c r="Y26" s="4"/>
    </row>
    <row r="27" ht="14.25" customHeight="1">
      <c r="A27" s="4"/>
      <c r="B27" s="4"/>
      <c r="C27" s="27"/>
      <c r="D27" s="4"/>
      <c r="E27" s="4"/>
      <c r="F27" s="4"/>
      <c r="G27" s="4"/>
      <c r="H27" s="4"/>
      <c r="I27" s="15"/>
      <c r="J27" s="4"/>
      <c r="K27" s="4"/>
      <c r="L27" s="4"/>
      <c r="M27" s="4"/>
      <c r="N27" s="4"/>
      <c r="O27" s="12"/>
      <c r="P27" s="12"/>
      <c r="Q27" s="12"/>
      <c r="R27" s="4"/>
      <c r="S27" s="4"/>
      <c r="T27" s="4"/>
      <c r="U27" s="4"/>
      <c r="V27" s="4"/>
      <c r="W27" s="4"/>
      <c r="X27" s="4"/>
      <c r="Y27" s="4"/>
    </row>
    <row r="28" ht="14.25" customHeight="1">
      <c r="A28" s="4"/>
      <c r="B28" s="4"/>
      <c r="C28" s="27"/>
      <c r="D28" s="4"/>
      <c r="E28" s="4"/>
      <c r="F28" s="4"/>
      <c r="G28" s="4"/>
      <c r="H28" s="4"/>
      <c r="I28" s="15"/>
      <c r="J28" s="4"/>
      <c r="K28" s="4"/>
      <c r="L28" s="4"/>
      <c r="M28" s="4"/>
      <c r="N28" s="4"/>
      <c r="O28" s="12"/>
      <c r="P28" s="12"/>
      <c r="Q28" s="12"/>
      <c r="R28" s="4"/>
      <c r="S28" s="4"/>
      <c r="T28" s="4"/>
      <c r="U28" s="4"/>
      <c r="V28" s="4"/>
      <c r="W28" s="4"/>
      <c r="X28" s="4"/>
      <c r="Y28" s="4"/>
    </row>
    <row r="29" ht="14.25" customHeight="1">
      <c r="A29" s="4"/>
      <c r="B29" s="4"/>
      <c r="C29" s="27"/>
      <c r="D29" s="4"/>
      <c r="E29" s="4"/>
      <c r="F29" s="4"/>
      <c r="G29" s="4"/>
      <c r="H29" s="4"/>
      <c r="I29" s="15"/>
      <c r="J29" s="4"/>
      <c r="K29" s="4"/>
      <c r="L29" s="4"/>
      <c r="M29" s="4"/>
      <c r="N29" s="4"/>
      <c r="O29" s="12"/>
      <c r="P29" s="12"/>
      <c r="Q29" s="12"/>
      <c r="R29" s="4"/>
      <c r="S29" s="4"/>
      <c r="T29" s="4"/>
      <c r="U29" s="4"/>
      <c r="V29" s="4"/>
      <c r="W29" s="4"/>
      <c r="X29" s="4"/>
      <c r="Y29" s="4"/>
    </row>
    <row r="30" ht="14.25" customHeight="1">
      <c r="A30" s="4"/>
      <c r="B30" s="4"/>
      <c r="C30" s="27"/>
      <c r="D30" s="4"/>
      <c r="E30" s="4"/>
      <c r="F30" s="4"/>
      <c r="G30" s="4"/>
      <c r="H30" s="4"/>
      <c r="I30" s="15"/>
      <c r="J30" s="4"/>
      <c r="K30" s="4"/>
      <c r="L30" s="4"/>
      <c r="M30" s="4"/>
      <c r="N30" s="4"/>
      <c r="O30" s="12"/>
      <c r="P30" s="12"/>
      <c r="Q30" s="12"/>
      <c r="R30" s="4"/>
      <c r="S30" s="4"/>
      <c r="T30" s="4"/>
      <c r="U30" s="4"/>
      <c r="V30" s="4"/>
      <c r="W30" s="4"/>
      <c r="X30" s="4"/>
      <c r="Y30" s="4"/>
    </row>
    <row r="31" ht="14.25" customHeight="1">
      <c r="A31" s="4"/>
      <c r="B31" s="4"/>
      <c r="C31" s="27"/>
      <c r="D31" s="4"/>
      <c r="E31" s="4"/>
      <c r="F31" s="4"/>
      <c r="G31" s="4"/>
      <c r="H31" s="4"/>
      <c r="I31" s="15"/>
      <c r="J31" s="4"/>
      <c r="K31" s="4"/>
      <c r="L31" s="4"/>
      <c r="M31" s="4"/>
      <c r="N31" s="4"/>
      <c r="O31" s="12"/>
      <c r="P31" s="12"/>
      <c r="Q31" s="12"/>
      <c r="R31" s="4"/>
      <c r="S31" s="4"/>
      <c r="T31" s="4"/>
      <c r="U31" s="4"/>
      <c r="V31" s="4"/>
      <c r="W31" s="4"/>
      <c r="X31" s="4"/>
      <c r="Y31" s="4"/>
    </row>
    <row r="32" ht="14.25" customHeight="1">
      <c r="A32" s="4"/>
      <c r="B32" s="4"/>
      <c r="C32" s="27"/>
      <c r="D32" s="4"/>
      <c r="E32" s="4"/>
      <c r="F32" s="4"/>
      <c r="G32" s="4"/>
      <c r="H32" s="4"/>
      <c r="I32" s="15"/>
      <c r="J32" s="4"/>
      <c r="K32" s="4"/>
      <c r="L32" s="4"/>
      <c r="M32" s="4"/>
      <c r="N32" s="4"/>
      <c r="O32" s="12"/>
      <c r="P32" s="12"/>
      <c r="Q32" s="12"/>
      <c r="R32" s="4"/>
      <c r="S32" s="4"/>
      <c r="T32" s="4"/>
      <c r="U32" s="4"/>
      <c r="V32" s="4"/>
      <c r="W32" s="4"/>
      <c r="X32" s="4"/>
      <c r="Y32" s="4"/>
    </row>
    <row r="33" ht="14.25" customHeight="1">
      <c r="A33" s="4"/>
      <c r="B33" s="4"/>
      <c r="C33" s="27"/>
      <c r="D33" s="4"/>
      <c r="E33" s="4"/>
      <c r="F33" s="4"/>
      <c r="G33" s="4"/>
      <c r="H33" s="4"/>
      <c r="I33" s="15"/>
      <c r="J33" s="4"/>
      <c r="K33" s="4"/>
      <c r="L33" s="4"/>
      <c r="M33" s="4"/>
      <c r="N33" s="4"/>
      <c r="O33" s="12"/>
      <c r="P33" s="12"/>
      <c r="Q33" s="12"/>
      <c r="R33" s="4"/>
      <c r="S33" s="4"/>
      <c r="T33" s="4"/>
      <c r="U33" s="4"/>
      <c r="V33" s="4"/>
      <c r="W33" s="4"/>
      <c r="X33" s="4"/>
      <c r="Y33" s="4"/>
    </row>
    <row r="34" ht="14.25" customHeight="1">
      <c r="A34" s="4"/>
      <c r="B34" s="4"/>
      <c r="C34" s="27"/>
      <c r="D34" s="4"/>
      <c r="E34" s="4"/>
      <c r="F34" s="4"/>
      <c r="G34" s="4"/>
      <c r="H34" s="4"/>
      <c r="I34" s="15"/>
      <c r="J34" s="4"/>
      <c r="K34" s="4"/>
      <c r="L34" s="4"/>
      <c r="M34" s="4"/>
      <c r="N34" s="4"/>
      <c r="O34" s="12"/>
      <c r="P34" s="12"/>
      <c r="Q34" s="12"/>
      <c r="R34" s="4"/>
      <c r="S34" s="4"/>
      <c r="T34" s="4"/>
      <c r="U34" s="4"/>
      <c r="V34" s="4"/>
      <c r="W34" s="4"/>
      <c r="X34" s="4"/>
      <c r="Y34" s="4"/>
    </row>
    <row r="35" ht="14.25" customHeight="1">
      <c r="A35" s="4"/>
      <c r="B35" s="4"/>
      <c r="C35" s="27"/>
      <c r="D35" s="4"/>
      <c r="E35" s="4"/>
      <c r="F35" s="4"/>
      <c r="G35" s="4"/>
      <c r="H35" s="4"/>
      <c r="I35" s="15"/>
      <c r="J35" s="4"/>
      <c r="K35" s="4"/>
      <c r="L35" s="4"/>
      <c r="M35" s="4"/>
      <c r="N35" s="4"/>
      <c r="O35" s="12"/>
      <c r="P35" s="12"/>
      <c r="Q35" s="12"/>
      <c r="R35" s="4"/>
      <c r="S35" s="4"/>
      <c r="T35" s="4"/>
      <c r="U35" s="4"/>
      <c r="V35" s="4"/>
      <c r="W35" s="4"/>
      <c r="X35" s="4"/>
      <c r="Y35" s="4"/>
    </row>
    <row r="36" ht="14.25" customHeight="1">
      <c r="A36" s="4"/>
      <c r="B36" s="4"/>
      <c r="C36" s="27"/>
      <c r="D36" s="4"/>
      <c r="E36" s="4"/>
      <c r="F36" s="4"/>
      <c r="G36" s="4"/>
      <c r="H36" s="4"/>
      <c r="I36" s="15"/>
      <c r="J36" s="4"/>
      <c r="K36" s="4"/>
      <c r="L36" s="4"/>
      <c r="M36" s="4"/>
      <c r="N36" s="4"/>
      <c r="O36" s="12"/>
      <c r="P36" s="12"/>
      <c r="Q36" s="12"/>
      <c r="R36" s="4"/>
      <c r="S36" s="4"/>
      <c r="T36" s="4"/>
      <c r="U36" s="4"/>
      <c r="V36" s="4"/>
      <c r="W36" s="4"/>
      <c r="X36" s="4"/>
      <c r="Y36" s="4"/>
    </row>
    <row r="37" ht="14.25" customHeight="1">
      <c r="A37" s="4"/>
      <c r="B37" s="4"/>
      <c r="C37" s="27"/>
      <c r="D37" s="4"/>
      <c r="E37" s="4"/>
      <c r="F37" s="4"/>
      <c r="G37" s="4"/>
      <c r="H37" s="4"/>
      <c r="I37" s="15"/>
      <c r="J37" s="4"/>
      <c r="K37" s="4"/>
      <c r="L37" s="4"/>
      <c r="M37" s="4"/>
      <c r="N37" s="4"/>
      <c r="O37" s="12"/>
      <c r="P37" s="12"/>
      <c r="Q37" s="12"/>
      <c r="R37" s="4"/>
      <c r="S37" s="4"/>
      <c r="T37" s="4"/>
      <c r="U37" s="4"/>
      <c r="V37" s="4"/>
      <c r="W37" s="4"/>
      <c r="X37" s="4"/>
      <c r="Y37" s="4"/>
    </row>
    <row r="38" ht="14.25" customHeight="1">
      <c r="A38" s="4"/>
      <c r="B38" s="4"/>
      <c r="C38" s="27"/>
      <c r="D38" s="4"/>
      <c r="E38" s="4"/>
      <c r="F38" s="4"/>
      <c r="G38" s="4"/>
      <c r="H38" s="4"/>
      <c r="I38" s="15"/>
      <c r="J38" s="4"/>
      <c r="K38" s="4"/>
      <c r="L38" s="4"/>
      <c r="M38" s="4"/>
      <c r="N38" s="4"/>
      <c r="O38" s="12"/>
      <c r="P38" s="12"/>
      <c r="Q38" s="12"/>
      <c r="R38" s="4"/>
      <c r="S38" s="4"/>
      <c r="T38" s="4"/>
      <c r="U38" s="4"/>
      <c r="V38" s="4"/>
      <c r="W38" s="4"/>
      <c r="X38" s="4"/>
      <c r="Y38" s="4"/>
    </row>
    <row r="39" ht="14.25" customHeight="1">
      <c r="A39" s="4"/>
      <c r="B39" s="4"/>
      <c r="C39" s="27"/>
      <c r="D39" s="4"/>
      <c r="E39" s="4"/>
      <c r="F39" s="4"/>
      <c r="G39" s="4"/>
      <c r="H39" s="4"/>
      <c r="I39" s="15"/>
      <c r="J39" s="4"/>
      <c r="K39" s="4"/>
      <c r="L39" s="4"/>
      <c r="M39" s="4"/>
      <c r="N39" s="4"/>
      <c r="O39" s="12"/>
      <c r="P39" s="12"/>
      <c r="Q39" s="12"/>
      <c r="R39" s="4"/>
      <c r="S39" s="4"/>
      <c r="T39" s="4"/>
      <c r="U39" s="4"/>
      <c r="V39" s="4"/>
      <c r="W39" s="4"/>
      <c r="X39" s="4"/>
      <c r="Y39" s="4"/>
    </row>
    <row r="40" ht="14.25" customHeight="1">
      <c r="A40" s="4"/>
      <c r="B40" s="4"/>
      <c r="C40" s="27"/>
      <c r="D40" s="4"/>
      <c r="E40" s="4"/>
      <c r="F40" s="4"/>
      <c r="G40" s="4"/>
      <c r="H40" s="4"/>
      <c r="I40" s="15"/>
      <c r="J40" s="4"/>
      <c r="K40" s="4"/>
      <c r="L40" s="4"/>
      <c r="M40" s="4"/>
      <c r="N40" s="4"/>
      <c r="O40" s="12"/>
      <c r="P40" s="12"/>
      <c r="Q40" s="12"/>
      <c r="R40" s="4"/>
      <c r="S40" s="4"/>
      <c r="T40" s="4"/>
      <c r="U40" s="4"/>
      <c r="V40" s="4"/>
      <c r="W40" s="4"/>
      <c r="X40" s="4"/>
      <c r="Y40" s="4"/>
    </row>
    <row r="41" ht="14.25" customHeight="1">
      <c r="A41" s="4"/>
      <c r="B41" s="4"/>
      <c r="C41" s="27"/>
      <c r="D41" s="4"/>
      <c r="E41" s="4"/>
      <c r="F41" s="4"/>
      <c r="G41" s="4"/>
      <c r="H41" s="4"/>
      <c r="I41" s="15"/>
      <c r="J41" s="4"/>
      <c r="K41" s="4"/>
      <c r="L41" s="4"/>
      <c r="M41" s="4"/>
      <c r="N41" s="4"/>
      <c r="O41" s="12"/>
      <c r="P41" s="12"/>
      <c r="Q41" s="12"/>
      <c r="R41" s="4"/>
      <c r="S41" s="4"/>
      <c r="T41" s="4"/>
      <c r="U41" s="4"/>
      <c r="V41" s="4"/>
      <c r="W41" s="4"/>
      <c r="X41" s="4"/>
      <c r="Y41" s="4"/>
    </row>
    <row r="42" ht="14.25" customHeight="1">
      <c r="A42" s="4"/>
      <c r="B42" s="4"/>
      <c r="C42" s="27"/>
      <c r="D42" s="4"/>
      <c r="E42" s="4"/>
      <c r="F42" s="4"/>
      <c r="G42" s="4"/>
      <c r="H42" s="4"/>
      <c r="I42" s="15"/>
      <c r="J42" s="4"/>
      <c r="K42" s="4"/>
      <c r="L42" s="4"/>
      <c r="M42" s="4"/>
      <c r="N42" s="4"/>
      <c r="O42" s="12"/>
      <c r="P42" s="12"/>
      <c r="Q42" s="12"/>
      <c r="R42" s="4"/>
      <c r="S42" s="4"/>
      <c r="T42" s="4"/>
      <c r="U42" s="4"/>
      <c r="V42" s="4"/>
      <c r="W42" s="4"/>
      <c r="X42" s="4"/>
      <c r="Y42" s="4"/>
    </row>
    <row r="43" ht="14.25" customHeight="1">
      <c r="A43" s="4"/>
      <c r="B43" s="4"/>
      <c r="C43" s="27"/>
      <c r="D43" s="4"/>
      <c r="E43" s="4"/>
      <c r="F43" s="4"/>
      <c r="G43" s="4"/>
      <c r="H43" s="4"/>
      <c r="I43" s="15"/>
      <c r="J43" s="4"/>
      <c r="K43" s="4"/>
      <c r="L43" s="4"/>
      <c r="M43" s="4"/>
      <c r="N43" s="4"/>
      <c r="O43" s="12"/>
      <c r="P43" s="12"/>
      <c r="Q43" s="12"/>
      <c r="R43" s="4"/>
      <c r="S43" s="4"/>
      <c r="T43" s="4"/>
      <c r="U43" s="4"/>
      <c r="V43" s="4"/>
      <c r="W43" s="4"/>
      <c r="X43" s="4"/>
      <c r="Y43" s="4"/>
    </row>
    <row r="44" ht="14.25" customHeight="1">
      <c r="A44" s="4"/>
      <c r="B44" s="4"/>
      <c r="C44" s="27"/>
      <c r="D44" s="4"/>
      <c r="E44" s="4"/>
      <c r="F44" s="4"/>
      <c r="G44" s="4"/>
      <c r="H44" s="4"/>
      <c r="I44" s="15"/>
      <c r="J44" s="4"/>
      <c r="K44" s="4"/>
      <c r="L44" s="4"/>
      <c r="M44" s="4"/>
      <c r="N44" s="4"/>
      <c r="O44" s="12"/>
      <c r="P44" s="12"/>
      <c r="Q44" s="12"/>
      <c r="R44" s="4"/>
      <c r="S44" s="4"/>
      <c r="T44" s="4"/>
      <c r="U44" s="4"/>
      <c r="V44" s="4"/>
      <c r="W44" s="4"/>
      <c r="X44" s="4"/>
      <c r="Y44" s="4"/>
    </row>
    <row r="45" ht="14.25" customHeight="1">
      <c r="A45" s="4"/>
      <c r="B45" s="4"/>
      <c r="C45" s="27"/>
      <c r="D45" s="4"/>
      <c r="E45" s="4"/>
      <c r="F45" s="4"/>
      <c r="G45" s="4"/>
      <c r="H45" s="4"/>
      <c r="I45" s="15"/>
      <c r="J45" s="4"/>
      <c r="K45" s="4"/>
      <c r="L45" s="4"/>
      <c r="M45" s="4"/>
      <c r="N45" s="4"/>
      <c r="O45" s="12"/>
      <c r="P45" s="12"/>
      <c r="Q45" s="12"/>
      <c r="R45" s="4"/>
      <c r="S45" s="4"/>
      <c r="T45" s="4"/>
      <c r="U45" s="4"/>
      <c r="V45" s="4"/>
      <c r="W45" s="4"/>
      <c r="X45" s="4"/>
      <c r="Y45" s="4"/>
    </row>
    <row r="46" ht="14.25" customHeight="1">
      <c r="A46" s="4"/>
      <c r="B46" s="4"/>
      <c r="C46" s="27"/>
      <c r="D46" s="4"/>
      <c r="E46" s="4"/>
      <c r="F46" s="4"/>
      <c r="G46" s="4"/>
      <c r="H46" s="4"/>
      <c r="I46" s="15"/>
      <c r="J46" s="4"/>
      <c r="K46" s="4"/>
      <c r="L46" s="4"/>
      <c r="M46" s="4"/>
      <c r="N46" s="4"/>
      <c r="O46" s="12"/>
      <c r="P46" s="12"/>
      <c r="Q46" s="12"/>
      <c r="R46" s="4"/>
      <c r="S46" s="4"/>
      <c r="T46" s="4"/>
      <c r="U46" s="4"/>
      <c r="V46" s="4"/>
      <c r="W46" s="4"/>
      <c r="X46" s="4"/>
      <c r="Y46" s="4"/>
    </row>
    <row r="47" ht="14.25" customHeight="1">
      <c r="A47" s="4"/>
      <c r="B47" s="4"/>
      <c r="C47" s="27"/>
      <c r="D47" s="4"/>
      <c r="E47" s="4"/>
      <c r="F47" s="4"/>
      <c r="G47" s="4"/>
      <c r="H47" s="4"/>
      <c r="I47" s="15"/>
      <c r="J47" s="4"/>
      <c r="K47" s="4"/>
      <c r="L47" s="4"/>
      <c r="M47" s="4"/>
      <c r="N47" s="4"/>
      <c r="O47" s="12"/>
      <c r="P47" s="12"/>
      <c r="Q47" s="12"/>
      <c r="R47" s="4"/>
      <c r="S47" s="4"/>
      <c r="T47" s="4"/>
      <c r="U47" s="4"/>
      <c r="V47" s="4"/>
      <c r="W47" s="4"/>
      <c r="X47" s="4"/>
      <c r="Y47" s="4"/>
    </row>
    <row r="48" ht="14.25" customHeight="1">
      <c r="A48" s="4"/>
      <c r="B48" s="4"/>
      <c r="C48" s="27"/>
      <c r="D48" s="4"/>
      <c r="E48" s="4"/>
      <c r="F48" s="4"/>
      <c r="G48" s="4"/>
      <c r="H48" s="4"/>
      <c r="I48" s="15"/>
      <c r="J48" s="4"/>
      <c r="K48" s="4"/>
      <c r="L48" s="4"/>
      <c r="M48" s="4"/>
      <c r="N48" s="4"/>
      <c r="O48" s="12"/>
      <c r="P48" s="12"/>
      <c r="Q48" s="12"/>
      <c r="R48" s="4"/>
      <c r="S48" s="4"/>
      <c r="T48" s="4"/>
      <c r="U48" s="4"/>
      <c r="V48" s="4"/>
      <c r="W48" s="4"/>
      <c r="X48" s="4"/>
      <c r="Y48" s="4"/>
    </row>
    <row r="49" ht="14.25" customHeight="1">
      <c r="A49" s="4"/>
      <c r="B49" s="4"/>
      <c r="C49" s="27"/>
      <c r="D49" s="4"/>
      <c r="E49" s="4"/>
      <c r="F49" s="4"/>
      <c r="G49" s="4"/>
      <c r="H49" s="4"/>
      <c r="I49" s="15"/>
      <c r="J49" s="4"/>
      <c r="K49" s="4"/>
      <c r="L49" s="4"/>
      <c r="M49" s="4"/>
      <c r="N49" s="4"/>
      <c r="O49" s="12"/>
      <c r="P49" s="12"/>
      <c r="Q49" s="12"/>
      <c r="R49" s="4"/>
      <c r="S49" s="4"/>
      <c r="T49" s="4"/>
      <c r="U49" s="4"/>
      <c r="V49" s="4"/>
      <c r="W49" s="4"/>
      <c r="X49" s="4"/>
      <c r="Y49" s="4"/>
    </row>
    <row r="50" ht="14.25" customHeight="1">
      <c r="A50" s="4"/>
      <c r="B50" s="4"/>
      <c r="C50" s="27"/>
      <c r="D50" s="4"/>
      <c r="E50" s="4"/>
      <c r="F50" s="4"/>
      <c r="G50" s="4"/>
      <c r="H50" s="4"/>
      <c r="I50" s="15"/>
      <c r="J50" s="4"/>
      <c r="K50" s="4"/>
      <c r="L50" s="4"/>
      <c r="M50" s="4"/>
      <c r="N50" s="4"/>
      <c r="O50" s="12"/>
      <c r="P50" s="12"/>
      <c r="Q50" s="12"/>
      <c r="R50" s="4"/>
      <c r="S50" s="4"/>
      <c r="T50" s="4"/>
      <c r="U50" s="4"/>
      <c r="V50" s="4"/>
      <c r="W50" s="4"/>
      <c r="X50" s="4"/>
      <c r="Y50" s="4"/>
    </row>
    <row r="51" ht="14.25" customHeight="1">
      <c r="A51" s="4"/>
      <c r="B51" s="4"/>
      <c r="C51" s="27"/>
      <c r="D51" s="4"/>
      <c r="E51" s="4"/>
      <c r="F51" s="4"/>
      <c r="G51" s="4"/>
      <c r="H51" s="4"/>
      <c r="I51" s="15"/>
      <c r="J51" s="4"/>
      <c r="K51" s="4"/>
      <c r="L51" s="4"/>
      <c r="M51" s="4"/>
      <c r="N51" s="4"/>
      <c r="O51" s="12"/>
      <c r="P51" s="12"/>
      <c r="Q51" s="12"/>
      <c r="R51" s="4"/>
      <c r="S51" s="4"/>
      <c r="T51" s="4"/>
      <c r="U51" s="4"/>
      <c r="V51" s="4"/>
      <c r="W51" s="4"/>
      <c r="X51" s="4"/>
      <c r="Y51" s="4"/>
    </row>
    <row r="52" ht="14.25" customHeight="1">
      <c r="A52" s="4"/>
      <c r="B52" s="4"/>
      <c r="C52" s="27"/>
      <c r="D52" s="4"/>
      <c r="E52" s="4"/>
      <c r="F52" s="4"/>
      <c r="G52" s="4"/>
      <c r="H52" s="4"/>
      <c r="I52" s="15"/>
      <c r="J52" s="4"/>
      <c r="K52" s="4"/>
      <c r="L52" s="4"/>
      <c r="M52" s="4"/>
      <c r="N52" s="4"/>
      <c r="O52" s="12"/>
      <c r="P52" s="12"/>
      <c r="Q52" s="12"/>
      <c r="R52" s="4"/>
      <c r="S52" s="4"/>
      <c r="T52" s="4"/>
      <c r="U52" s="4"/>
      <c r="V52" s="4"/>
      <c r="W52" s="4"/>
      <c r="X52" s="4"/>
      <c r="Y52" s="4"/>
    </row>
    <row r="53" ht="14.25" customHeight="1">
      <c r="A53" s="4"/>
      <c r="B53" s="4"/>
      <c r="C53" s="27"/>
      <c r="D53" s="4"/>
      <c r="E53" s="4"/>
      <c r="F53" s="4"/>
      <c r="G53" s="4"/>
      <c r="H53" s="4"/>
      <c r="I53" s="15"/>
      <c r="J53" s="4"/>
      <c r="K53" s="4"/>
      <c r="L53" s="4"/>
      <c r="M53" s="4"/>
      <c r="N53" s="4"/>
      <c r="O53" s="12"/>
      <c r="P53" s="12"/>
      <c r="Q53" s="12"/>
      <c r="R53" s="4"/>
      <c r="S53" s="4"/>
      <c r="T53" s="4"/>
      <c r="U53" s="4"/>
      <c r="V53" s="4"/>
      <c r="W53" s="4"/>
      <c r="X53" s="4"/>
      <c r="Y53" s="4"/>
    </row>
    <row r="54" ht="14.25" customHeight="1">
      <c r="A54" s="4"/>
      <c r="B54" s="4"/>
      <c r="C54" s="27"/>
      <c r="D54" s="4"/>
      <c r="E54" s="4"/>
      <c r="F54" s="4"/>
      <c r="G54" s="4"/>
      <c r="H54" s="4"/>
      <c r="I54" s="15"/>
      <c r="J54" s="4"/>
      <c r="K54" s="4"/>
      <c r="L54" s="4"/>
      <c r="M54" s="4"/>
      <c r="N54" s="4"/>
      <c r="O54" s="12"/>
      <c r="P54" s="12"/>
      <c r="Q54" s="12"/>
      <c r="R54" s="4"/>
      <c r="S54" s="4"/>
      <c r="T54" s="4"/>
      <c r="U54" s="4"/>
      <c r="V54" s="4"/>
      <c r="W54" s="4"/>
      <c r="X54" s="4"/>
      <c r="Y54" s="4"/>
    </row>
    <row r="55" ht="14.25" customHeight="1">
      <c r="A55" s="4"/>
      <c r="B55" s="4"/>
      <c r="C55" s="27"/>
      <c r="D55" s="4"/>
      <c r="E55" s="4"/>
      <c r="F55" s="4"/>
      <c r="G55" s="4"/>
      <c r="H55" s="4"/>
      <c r="I55" s="15"/>
      <c r="J55" s="4"/>
      <c r="K55" s="4"/>
      <c r="L55" s="4"/>
      <c r="M55" s="4"/>
      <c r="N55" s="4"/>
      <c r="O55" s="12"/>
      <c r="P55" s="12"/>
      <c r="Q55" s="12"/>
      <c r="R55" s="4"/>
      <c r="S55" s="4"/>
      <c r="T55" s="4"/>
      <c r="U55" s="4"/>
      <c r="V55" s="4"/>
      <c r="W55" s="4"/>
      <c r="X55" s="4"/>
      <c r="Y55" s="4"/>
    </row>
    <row r="56" ht="14.25" customHeight="1">
      <c r="A56" s="4"/>
      <c r="B56" s="4"/>
      <c r="C56" s="27"/>
      <c r="D56" s="4"/>
      <c r="E56" s="4"/>
      <c r="F56" s="4"/>
      <c r="G56" s="4"/>
      <c r="H56" s="4"/>
      <c r="I56" s="15"/>
      <c r="J56" s="4"/>
      <c r="K56" s="4"/>
      <c r="L56" s="4"/>
      <c r="M56" s="4"/>
      <c r="N56" s="4"/>
      <c r="O56" s="12"/>
      <c r="P56" s="12"/>
      <c r="Q56" s="12"/>
      <c r="R56" s="4"/>
      <c r="S56" s="4"/>
      <c r="T56" s="4"/>
      <c r="U56" s="4"/>
      <c r="V56" s="4"/>
      <c r="W56" s="4"/>
      <c r="X56" s="4"/>
      <c r="Y56" s="4"/>
    </row>
    <row r="57" ht="14.25" customHeight="1">
      <c r="A57" s="4"/>
      <c r="B57" s="4"/>
      <c r="C57" s="27"/>
      <c r="D57" s="4"/>
      <c r="E57" s="4"/>
      <c r="F57" s="4"/>
      <c r="G57" s="4"/>
      <c r="H57" s="4"/>
      <c r="I57" s="15"/>
      <c r="J57" s="4"/>
      <c r="K57" s="4"/>
      <c r="L57" s="4"/>
      <c r="M57" s="4"/>
      <c r="N57" s="4"/>
      <c r="O57" s="12"/>
      <c r="P57" s="12"/>
      <c r="Q57" s="12"/>
      <c r="R57" s="4"/>
      <c r="S57" s="4"/>
      <c r="T57" s="4"/>
      <c r="U57" s="4"/>
      <c r="V57" s="4"/>
      <c r="W57" s="4"/>
      <c r="X57" s="4"/>
      <c r="Y57" s="4"/>
    </row>
    <row r="58" ht="14.25" customHeight="1">
      <c r="A58" s="4"/>
      <c r="B58" s="4"/>
      <c r="C58" s="27"/>
      <c r="D58" s="4"/>
      <c r="E58" s="4"/>
      <c r="F58" s="4"/>
      <c r="G58" s="4"/>
      <c r="H58" s="4"/>
      <c r="I58" s="15"/>
      <c r="J58" s="4"/>
      <c r="K58" s="4"/>
      <c r="L58" s="4"/>
      <c r="M58" s="4"/>
      <c r="N58" s="4"/>
      <c r="O58" s="12"/>
      <c r="P58" s="12"/>
      <c r="Q58" s="12"/>
      <c r="R58" s="4"/>
      <c r="S58" s="4"/>
      <c r="T58" s="4"/>
      <c r="U58" s="4"/>
      <c r="V58" s="4"/>
      <c r="W58" s="4"/>
      <c r="X58" s="4"/>
      <c r="Y58" s="4"/>
    </row>
    <row r="59" ht="14.25" customHeight="1">
      <c r="A59" s="4"/>
      <c r="B59" s="4"/>
      <c r="C59" s="27"/>
      <c r="D59" s="4"/>
      <c r="E59" s="4"/>
      <c r="F59" s="4"/>
      <c r="G59" s="4"/>
      <c r="H59" s="4"/>
      <c r="I59" s="15"/>
      <c r="J59" s="4"/>
      <c r="K59" s="4"/>
      <c r="L59" s="4"/>
      <c r="M59" s="4"/>
      <c r="N59" s="4"/>
      <c r="O59" s="12"/>
      <c r="P59" s="12"/>
      <c r="Q59" s="12"/>
      <c r="R59" s="4"/>
      <c r="S59" s="4"/>
      <c r="T59" s="4"/>
      <c r="U59" s="4"/>
      <c r="V59" s="4"/>
      <c r="W59" s="4"/>
      <c r="X59" s="4"/>
      <c r="Y59" s="4"/>
    </row>
    <row r="60" ht="14.25" customHeight="1">
      <c r="A60" s="4"/>
      <c r="B60" s="4"/>
      <c r="C60" s="27"/>
      <c r="D60" s="4"/>
      <c r="E60" s="4"/>
      <c r="F60" s="4"/>
      <c r="G60" s="4"/>
      <c r="H60" s="4"/>
      <c r="I60" s="15"/>
      <c r="J60" s="4"/>
      <c r="K60" s="4"/>
      <c r="L60" s="4"/>
      <c r="M60" s="4"/>
      <c r="N60" s="4"/>
      <c r="O60" s="12"/>
      <c r="P60" s="12"/>
      <c r="Q60" s="12"/>
      <c r="R60" s="4"/>
      <c r="S60" s="4"/>
      <c r="T60" s="4"/>
      <c r="U60" s="4"/>
      <c r="V60" s="4"/>
      <c r="W60" s="4"/>
      <c r="X60" s="4"/>
      <c r="Y60" s="4"/>
    </row>
    <row r="61" ht="14.25" customHeight="1">
      <c r="A61" s="16"/>
      <c r="B61" s="16"/>
      <c r="C61" s="25"/>
      <c r="D61" s="16"/>
      <c r="E61" s="16"/>
      <c r="F61" s="16"/>
      <c r="G61" s="16"/>
      <c r="H61" s="16"/>
      <c r="I61" s="17"/>
      <c r="J61" s="16"/>
      <c r="K61" s="16"/>
      <c r="L61" s="16"/>
      <c r="M61" s="16"/>
      <c r="N61" s="16"/>
      <c r="O61" s="18"/>
      <c r="P61" s="18"/>
      <c r="Q61" s="18"/>
      <c r="T61" s="8"/>
      <c r="W61" s="8"/>
    </row>
    <row r="62" ht="14.25" customHeight="1">
      <c r="A62" s="16"/>
      <c r="B62" s="16"/>
      <c r="C62" s="25"/>
      <c r="D62" s="16"/>
      <c r="E62" s="16"/>
      <c r="F62" s="16"/>
      <c r="G62" s="16"/>
      <c r="H62" s="16"/>
      <c r="I62" s="17"/>
      <c r="J62" s="16"/>
      <c r="K62" s="16"/>
      <c r="L62" s="16"/>
      <c r="M62" s="16"/>
      <c r="N62" s="16"/>
      <c r="O62" s="18"/>
      <c r="P62" s="18"/>
      <c r="Q62" s="18"/>
      <c r="T62" s="8"/>
      <c r="W62" s="8"/>
    </row>
    <row r="63" ht="14.25" customHeight="1">
      <c r="A63" s="16"/>
      <c r="B63" s="16"/>
      <c r="C63" s="25"/>
      <c r="D63" s="16"/>
      <c r="E63" s="16"/>
      <c r="F63" s="16"/>
      <c r="G63" s="16"/>
      <c r="H63" s="16"/>
      <c r="I63" s="17"/>
      <c r="J63" s="16"/>
      <c r="K63" s="16"/>
      <c r="L63" s="16"/>
      <c r="M63" s="16"/>
      <c r="N63" s="16"/>
      <c r="O63" s="18"/>
      <c r="P63" s="18"/>
      <c r="Q63" s="18"/>
      <c r="T63" s="8"/>
      <c r="W63" s="8"/>
    </row>
    <row r="64" ht="14.25" customHeight="1">
      <c r="A64" s="16"/>
      <c r="B64" s="16"/>
      <c r="C64" s="25"/>
      <c r="D64" s="16"/>
      <c r="E64" s="16"/>
      <c r="F64" s="16"/>
      <c r="G64" s="16"/>
      <c r="H64" s="16"/>
      <c r="I64" s="17"/>
      <c r="J64" s="16"/>
      <c r="K64" s="16"/>
      <c r="L64" s="16"/>
      <c r="M64" s="16"/>
      <c r="N64" s="16"/>
      <c r="O64" s="18"/>
      <c r="P64" s="18"/>
      <c r="Q64" s="18"/>
      <c r="T64" s="8"/>
      <c r="W64" s="8"/>
    </row>
    <row r="65" ht="14.25" customHeight="1">
      <c r="A65" s="16"/>
      <c r="B65" s="16"/>
      <c r="C65" s="25"/>
      <c r="D65" s="16"/>
      <c r="E65" s="16"/>
      <c r="F65" s="16"/>
      <c r="G65" s="16"/>
      <c r="H65" s="16"/>
      <c r="I65" s="17"/>
      <c r="J65" s="16"/>
      <c r="K65" s="16"/>
      <c r="L65" s="16"/>
      <c r="M65" s="16"/>
      <c r="N65" s="16"/>
      <c r="O65" s="18"/>
      <c r="P65" s="18"/>
      <c r="Q65" s="18"/>
      <c r="T65" s="8"/>
      <c r="W65" s="8"/>
    </row>
    <row r="66" ht="14.25" customHeight="1">
      <c r="A66" s="16"/>
      <c r="B66" s="16"/>
      <c r="C66" s="25"/>
      <c r="D66" s="16"/>
      <c r="E66" s="16"/>
      <c r="F66" s="16"/>
      <c r="G66" s="16"/>
      <c r="H66" s="16"/>
      <c r="I66" s="17"/>
      <c r="J66" s="16"/>
      <c r="K66" s="16"/>
      <c r="L66" s="16"/>
      <c r="M66" s="16"/>
      <c r="N66" s="16"/>
      <c r="O66" s="18"/>
      <c r="P66" s="18"/>
      <c r="Q66" s="18"/>
      <c r="T66" s="8"/>
      <c r="W66" s="8"/>
    </row>
    <row r="67" ht="14.25" customHeight="1">
      <c r="A67" s="16"/>
      <c r="B67" s="16"/>
      <c r="C67" s="25"/>
      <c r="D67" s="16"/>
      <c r="E67" s="16"/>
      <c r="F67" s="16"/>
      <c r="G67" s="16"/>
      <c r="H67" s="16"/>
      <c r="I67" s="17"/>
      <c r="J67" s="16"/>
      <c r="K67" s="16"/>
      <c r="L67" s="16"/>
      <c r="M67" s="16"/>
      <c r="N67" s="16"/>
      <c r="O67" s="18"/>
      <c r="P67" s="18"/>
      <c r="Q67" s="18"/>
      <c r="T67" s="8"/>
      <c r="W67" s="8"/>
    </row>
    <row r="68" ht="14.25" customHeight="1">
      <c r="A68" s="16"/>
      <c r="B68" s="16"/>
      <c r="C68" s="25"/>
      <c r="D68" s="16"/>
      <c r="E68" s="16"/>
      <c r="F68" s="16"/>
      <c r="G68" s="16"/>
      <c r="H68" s="16"/>
      <c r="I68" s="17"/>
      <c r="J68" s="16"/>
      <c r="K68" s="16"/>
      <c r="L68" s="16"/>
      <c r="M68" s="16"/>
      <c r="N68" s="16"/>
      <c r="O68" s="18"/>
      <c r="P68" s="18"/>
      <c r="Q68" s="18"/>
      <c r="T68" s="8"/>
      <c r="W68" s="8"/>
    </row>
    <row r="69" ht="14.25" customHeight="1">
      <c r="A69" s="16"/>
      <c r="B69" s="16"/>
      <c r="C69" s="25"/>
      <c r="D69" s="16"/>
      <c r="E69" s="16"/>
      <c r="F69" s="16"/>
      <c r="G69" s="16"/>
      <c r="H69" s="16"/>
      <c r="I69" s="17"/>
      <c r="J69" s="16"/>
      <c r="K69" s="16"/>
      <c r="L69" s="16"/>
      <c r="M69" s="16"/>
      <c r="N69" s="16"/>
      <c r="O69" s="18"/>
      <c r="P69" s="18"/>
      <c r="Q69" s="18"/>
      <c r="T69" s="8"/>
      <c r="W69" s="8"/>
    </row>
    <row r="70" ht="14.25" customHeight="1">
      <c r="A70" s="16"/>
      <c r="B70" s="16"/>
      <c r="C70" s="25"/>
      <c r="D70" s="16"/>
      <c r="E70" s="16"/>
      <c r="F70" s="16"/>
      <c r="G70" s="16"/>
      <c r="H70" s="16"/>
      <c r="I70" s="17"/>
      <c r="J70" s="16"/>
      <c r="K70" s="16"/>
      <c r="L70" s="16"/>
      <c r="M70" s="16"/>
      <c r="N70" s="16"/>
      <c r="O70" s="18"/>
      <c r="P70" s="18"/>
      <c r="Q70" s="18"/>
      <c r="T70" s="8"/>
      <c r="W70" s="8"/>
    </row>
    <row r="71" ht="14.25" customHeight="1">
      <c r="A71" s="16"/>
      <c r="B71" s="16"/>
      <c r="C71" s="25"/>
      <c r="D71" s="16"/>
      <c r="E71" s="16"/>
      <c r="F71" s="16"/>
      <c r="G71" s="16"/>
      <c r="H71" s="16"/>
      <c r="I71" s="17"/>
      <c r="J71" s="16"/>
      <c r="K71" s="16"/>
      <c r="L71" s="16"/>
      <c r="M71" s="16"/>
      <c r="N71" s="16"/>
      <c r="O71" s="18"/>
      <c r="P71" s="18"/>
      <c r="Q71" s="18"/>
      <c r="T71" s="8"/>
      <c r="W71" s="8"/>
    </row>
    <row r="72" ht="14.25" customHeight="1">
      <c r="A72" s="16"/>
      <c r="B72" s="16"/>
      <c r="C72" s="25"/>
      <c r="D72" s="16"/>
      <c r="E72" s="16"/>
      <c r="F72" s="16"/>
      <c r="G72" s="16"/>
      <c r="H72" s="16"/>
      <c r="I72" s="17"/>
      <c r="J72" s="16"/>
      <c r="K72" s="16"/>
      <c r="L72" s="16"/>
      <c r="M72" s="16"/>
      <c r="N72" s="16"/>
      <c r="O72" s="18"/>
      <c r="P72" s="18"/>
      <c r="Q72" s="18"/>
      <c r="T72" s="8"/>
      <c r="W72" s="8"/>
    </row>
    <row r="73" ht="14.25" customHeight="1">
      <c r="A73" s="16"/>
      <c r="B73" s="16"/>
      <c r="C73" s="25"/>
      <c r="D73" s="16"/>
      <c r="E73" s="16"/>
      <c r="F73" s="16"/>
      <c r="G73" s="16"/>
      <c r="H73" s="16"/>
      <c r="I73" s="17"/>
      <c r="J73" s="16"/>
      <c r="K73" s="16"/>
      <c r="L73" s="16"/>
      <c r="M73" s="16"/>
      <c r="N73" s="16"/>
      <c r="O73" s="18"/>
      <c r="P73" s="18"/>
      <c r="Q73" s="18"/>
      <c r="T73" s="8"/>
      <c r="W73" s="8"/>
    </row>
    <row r="74" ht="14.25" customHeight="1">
      <c r="A74" s="16"/>
      <c r="B74" s="16"/>
      <c r="C74" s="25"/>
      <c r="D74" s="16"/>
      <c r="E74" s="16"/>
      <c r="F74" s="16"/>
      <c r="G74" s="16"/>
      <c r="H74" s="16"/>
      <c r="I74" s="17"/>
      <c r="J74" s="16"/>
      <c r="K74" s="16"/>
      <c r="L74" s="16"/>
      <c r="M74" s="16"/>
      <c r="N74" s="16"/>
      <c r="O74" s="18"/>
      <c r="P74" s="18"/>
      <c r="Q74" s="18"/>
      <c r="T74" s="8"/>
      <c r="W74" s="8"/>
    </row>
    <row r="75" ht="14.25" customHeight="1">
      <c r="A75" s="16"/>
      <c r="B75" s="16"/>
      <c r="C75" s="25"/>
      <c r="D75" s="16"/>
      <c r="E75" s="16"/>
      <c r="F75" s="16"/>
      <c r="G75" s="16"/>
      <c r="H75" s="16"/>
      <c r="I75" s="17"/>
      <c r="J75" s="16"/>
      <c r="K75" s="16"/>
      <c r="L75" s="16"/>
      <c r="M75" s="16"/>
      <c r="N75" s="16"/>
      <c r="O75" s="18"/>
      <c r="P75" s="18"/>
      <c r="Q75" s="18"/>
      <c r="T75" s="8"/>
      <c r="W75" s="8"/>
    </row>
    <row r="76" ht="14.25" customHeight="1">
      <c r="A76" s="16"/>
      <c r="B76" s="16"/>
      <c r="C76" s="25"/>
      <c r="D76" s="16"/>
      <c r="E76" s="16"/>
      <c r="F76" s="16"/>
      <c r="G76" s="16"/>
      <c r="H76" s="16"/>
      <c r="I76" s="17"/>
      <c r="J76" s="16"/>
      <c r="K76" s="16"/>
      <c r="L76" s="16"/>
      <c r="M76" s="16"/>
      <c r="N76" s="16"/>
      <c r="O76" s="18"/>
      <c r="P76" s="18"/>
      <c r="Q76" s="18"/>
      <c r="T76" s="8"/>
      <c r="W76" s="8"/>
    </row>
    <row r="77" ht="14.25" customHeight="1">
      <c r="A77" s="16"/>
      <c r="B77" s="16"/>
      <c r="C77" s="25"/>
      <c r="D77" s="16"/>
      <c r="E77" s="16"/>
      <c r="F77" s="16"/>
      <c r="G77" s="16"/>
      <c r="H77" s="16"/>
      <c r="I77" s="17"/>
      <c r="J77" s="16"/>
      <c r="K77" s="16"/>
      <c r="L77" s="16"/>
      <c r="M77" s="16"/>
      <c r="N77" s="16"/>
      <c r="O77" s="18"/>
      <c r="P77" s="18"/>
      <c r="Q77" s="18"/>
      <c r="T77" s="8"/>
      <c r="W77" s="8"/>
    </row>
    <row r="78" ht="14.25" customHeight="1">
      <c r="A78" s="16"/>
      <c r="B78" s="16"/>
      <c r="C78" s="25"/>
      <c r="D78" s="16"/>
      <c r="E78" s="16"/>
      <c r="F78" s="16"/>
      <c r="G78" s="16"/>
      <c r="H78" s="16"/>
      <c r="I78" s="17"/>
      <c r="J78" s="16"/>
      <c r="K78" s="16"/>
      <c r="L78" s="16"/>
      <c r="M78" s="16"/>
      <c r="N78" s="16"/>
      <c r="O78" s="18"/>
      <c r="P78" s="18"/>
      <c r="Q78" s="18"/>
      <c r="T78" s="8"/>
      <c r="W78" s="8"/>
    </row>
    <row r="79" ht="14.25" customHeight="1">
      <c r="A79" s="16"/>
      <c r="B79" s="16"/>
      <c r="C79" s="25"/>
      <c r="D79" s="16"/>
      <c r="E79" s="16"/>
      <c r="F79" s="16"/>
      <c r="G79" s="16"/>
      <c r="H79" s="16"/>
      <c r="I79" s="17"/>
      <c r="J79" s="16"/>
      <c r="K79" s="16"/>
      <c r="L79" s="16"/>
      <c r="M79" s="16"/>
      <c r="N79" s="16"/>
      <c r="O79" s="18"/>
      <c r="P79" s="18"/>
      <c r="Q79" s="18"/>
      <c r="T79" s="8"/>
      <c r="W79" s="8"/>
    </row>
    <row r="80" ht="14.25" customHeight="1">
      <c r="A80" s="16"/>
      <c r="B80" s="16"/>
      <c r="C80" s="25"/>
      <c r="D80" s="16"/>
      <c r="E80" s="16"/>
      <c r="F80" s="16"/>
      <c r="G80" s="16"/>
      <c r="H80" s="16"/>
      <c r="I80" s="17"/>
      <c r="J80" s="16"/>
      <c r="K80" s="16"/>
      <c r="L80" s="16"/>
      <c r="M80" s="16"/>
      <c r="N80" s="16"/>
      <c r="O80" s="18"/>
      <c r="P80" s="18"/>
      <c r="Q80" s="18"/>
      <c r="T80" s="8"/>
      <c r="W80" s="8"/>
    </row>
    <row r="81" ht="14.25" customHeight="1">
      <c r="A81" s="16"/>
      <c r="B81" s="16"/>
      <c r="C81" s="25"/>
      <c r="D81" s="16"/>
      <c r="E81" s="16"/>
      <c r="F81" s="16"/>
      <c r="G81" s="16"/>
      <c r="H81" s="16"/>
      <c r="I81" s="17"/>
      <c r="J81" s="16"/>
      <c r="K81" s="16"/>
      <c r="L81" s="16"/>
      <c r="M81" s="16"/>
      <c r="N81" s="16"/>
      <c r="O81" s="18"/>
      <c r="P81" s="18"/>
      <c r="Q81" s="18"/>
      <c r="T81" s="8"/>
      <c r="W81" s="8"/>
    </row>
    <row r="82" ht="14.25" customHeight="1">
      <c r="A82" s="16"/>
      <c r="B82" s="16"/>
      <c r="C82" s="25"/>
      <c r="D82" s="16"/>
      <c r="E82" s="16"/>
      <c r="F82" s="16"/>
      <c r="G82" s="16"/>
      <c r="H82" s="16"/>
      <c r="I82" s="17"/>
      <c r="J82" s="16"/>
      <c r="K82" s="16"/>
      <c r="L82" s="16"/>
      <c r="M82" s="16"/>
      <c r="N82" s="16"/>
      <c r="O82" s="18"/>
      <c r="P82" s="18"/>
      <c r="Q82" s="18"/>
      <c r="T82" s="8"/>
      <c r="W82" s="8"/>
    </row>
    <row r="83" ht="14.25" customHeight="1">
      <c r="A83" s="16"/>
      <c r="B83" s="16"/>
      <c r="C83" s="25"/>
      <c r="D83" s="16"/>
      <c r="E83" s="16"/>
      <c r="F83" s="16"/>
      <c r="G83" s="16"/>
      <c r="H83" s="16"/>
      <c r="I83" s="17"/>
      <c r="J83" s="16"/>
      <c r="K83" s="16"/>
      <c r="L83" s="16"/>
      <c r="M83" s="16"/>
      <c r="N83" s="16"/>
      <c r="O83" s="18"/>
      <c r="P83" s="18"/>
      <c r="Q83" s="18"/>
      <c r="T83" s="8"/>
      <c r="W83" s="8"/>
    </row>
    <row r="84" ht="14.25" customHeight="1">
      <c r="A84" s="16"/>
      <c r="B84" s="16"/>
      <c r="C84" s="25"/>
      <c r="D84" s="16"/>
      <c r="E84" s="16"/>
      <c r="F84" s="16"/>
      <c r="G84" s="16"/>
      <c r="H84" s="16"/>
      <c r="I84" s="17"/>
      <c r="J84" s="16"/>
      <c r="K84" s="16"/>
      <c r="L84" s="16"/>
      <c r="M84" s="16"/>
      <c r="N84" s="16"/>
      <c r="O84" s="18"/>
      <c r="P84" s="18"/>
      <c r="Q84" s="18"/>
      <c r="T84" s="8"/>
      <c r="W84" s="8"/>
    </row>
    <row r="85" ht="14.25" customHeight="1">
      <c r="A85" s="16"/>
      <c r="B85" s="16"/>
      <c r="C85" s="25"/>
      <c r="D85" s="16"/>
      <c r="E85" s="16"/>
      <c r="F85" s="16"/>
      <c r="G85" s="16"/>
      <c r="H85" s="16"/>
      <c r="I85" s="17"/>
      <c r="J85" s="16"/>
      <c r="K85" s="16"/>
      <c r="L85" s="16"/>
      <c r="M85" s="16"/>
      <c r="N85" s="16"/>
      <c r="O85" s="18"/>
      <c r="P85" s="18"/>
      <c r="Q85" s="18"/>
      <c r="T85" s="8"/>
      <c r="W85" s="8"/>
    </row>
    <row r="86" ht="14.25" customHeight="1">
      <c r="A86" s="16"/>
      <c r="B86" s="16"/>
      <c r="C86" s="25"/>
      <c r="D86" s="16"/>
      <c r="E86" s="16"/>
      <c r="F86" s="16"/>
      <c r="G86" s="16"/>
      <c r="H86" s="16"/>
      <c r="I86" s="17"/>
      <c r="J86" s="16"/>
      <c r="K86" s="16"/>
      <c r="L86" s="16"/>
      <c r="M86" s="16"/>
      <c r="N86" s="16"/>
      <c r="O86" s="18"/>
      <c r="P86" s="18"/>
      <c r="Q86" s="18"/>
      <c r="T86" s="8"/>
      <c r="W86" s="8"/>
    </row>
    <row r="87" ht="14.25" customHeight="1">
      <c r="A87" s="16"/>
      <c r="B87" s="16"/>
      <c r="C87" s="25"/>
      <c r="D87" s="16"/>
      <c r="E87" s="16"/>
      <c r="F87" s="16"/>
      <c r="G87" s="16"/>
      <c r="H87" s="16"/>
      <c r="I87" s="17"/>
      <c r="J87" s="16"/>
      <c r="K87" s="16"/>
      <c r="L87" s="16"/>
      <c r="M87" s="16"/>
      <c r="N87" s="16"/>
      <c r="O87" s="18"/>
      <c r="P87" s="18"/>
      <c r="Q87" s="18"/>
      <c r="T87" s="8"/>
      <c r="W87" s="8"/>
    </row>
    <row r="88" ht="14.25" customHeight="1">
      <c r="A88" s="16"/>
      <c r="B88" s="16"/>
      <c r="C88" s="25"/>
      <c r="D88" s="16"/>
      <c r="E88" s="16"/>
      <c r="F88" s="16"/>
      <c r="G88" s="16"/>
      <c r="H88" s="16"/>
      <c r="I88" s="17"/>
      <c r="J88" s="16"/>
      <c r="K88" s="16"/>
      <c r="L88" s="16"/>
      <c r="M88" s="16"/>
      <c r="N88" s="16"/>
      <c r="O88" s="18"/>
      <c r="P88" s="18"/>
      <c r="Q88" s="18"/>
      <c r="T88" s="8"/>
      <c r="W88" s="8"/>
    </row>
    <row r="89" ht="14.25" customHeight="1">
      <c r="A89" s="16"/>
      <c r="B89" s="16"/>
      <c r="C89" s="25"/>
      <c r="D89" s="16"/>
      <c r="E89" s="16"/>
      <c r="F89" s="16"/>
      <c r="G89" s="16"/>
      <c r="H89" s="16"/>
      <c r="I89" s="17"/>
      <c r="J89" s="16"/>
      <c r="K89" s="16"/>
      <c r="L89" s="16"/>
      <c r="M89" s="16"/>
      <c r="N89" s="16"/>
      <c r="O89" s="18"/>
      <c r="P89" s="18"/>
      <c r="Q89" s="18"/>
      <c r="T89" s="8"/>
      <c r="W89" s="8"/>
    </row>
    <row r="90" ht="14.25" customHeight="1">
      <c r="A90" s="16"/>
      <c r="B90" s="16"/>
      <c r="C90" s="25"/>
      <c r="D90" s="16"/>
      <c r="E90" s="16"/>
      <c r="F90" s="16"/>
      <c r="G90" s="16"/>
      <c r="H90" s="16"/>
      <c r="I90" s="17"/>
      <c r="J90" s="16"/>
      <c r="K90" s="16"/>
      <c r="L90" s="16"/>
      <c r="M90" s="16"/>
      <c r="N90" s="16"/>
      <c r="O90" s="18"/>
      <c r="P90" s="18"/>
      <c r="Q90" s="18"/>
      <c r="T90" s="8"/>
      <c r="W90" s="8"/>
    </row>
    <row r="91" ht="14.25" customHeight="1">
      <c r="A91" s="16"/>
      <c r="B91" s="16"/>
      <c r="C91" s="25"/>
      <c r="D91" s="16"/>
      <c r="E91" s="16"/>
      <c r="F91" s="16"/>
      <c r="G91" s="16"/>
      <c r="H91" s="16"/>
      <c r="I91" s="17"/>
      <c r="J91" s="16"/>
      <c r="K91" s="16"/>
      <c r="L91" s="16"/>
      <c r="M91" s="16"/>
      <c r="N91" s="16"/>
      <c r="O91" s="18"/>
      <c r="P91" s="18"/>
      <c r="Q91" s="18"/>
      <c r="T91" s="8"/>
      <c r="W91" s="8"/>
    </row>
    <row r="92" ht="14.25" customHeight="1">
      <c r="A92" s="16"/>
      <c r="B92" s="16"/>
      <c r="C92" s="25"/>
      <c r="D92" s="16"/>
      <c r="E92" s="16"/>
      <c r="F92" s="16"/>
      <c r="G92" s="16"/>
      <c r="H92" s="16"/>
      <c r="I92" s="17"/>
      <c r="J92" s="16"/>
      <c r="K92" s="16"/>
      <c r="L92" s="16"/>
      <c r="M92" s="16"/>
      <c r="N92" s="16"/>
      <c r="O92" s="18"/>
      <c r="P92" s="18"/>
      <c r="Q92" s="18"/>
      <c r="T92" s="8"/>
      <c r="W92" s="8"/>
    </row>
    <row r="93" ht="14.25" customHeight="1">
      <c r="A93" s="16"/>
      <c r="B93" s="16"/>
      <c r="C93" s="25"/>
      <c r="D93" s="16"/>
      <c r="E93" s="16"/>
      <c r="F93" s="16"/>
      <c r="G93" s="16"/>
      <c r="H93" s="16"/>
      <c r="I93" s="17"/>
      <c r="J93" s="16"/>
      <c r="K93" s="16"/>
      <c r="L93" s="16"/>
      <c r="M93" s="16"/>
      <c r="N93" s="16"/>
      <c r="O93" s="18"/>
      <c r="P93" s="18"/>
      <c r="Q93" s="18"/>
      <c r="T93" s="8"/>
      <c r="W93" s="8"/>
    </row>
    <row r="94" ht="14.25" customHeight="1">
      <c r="A94" s="16"/>
      <c r="B94" s="16"/>
      <c r="C94" s="25"/>
      <c r="D94" s="16"/>
      <c r="E94" s="16"/>
      <c r="F94" s="16"/>
      <c r="G94" s="16"/>
      <c r="H94" s="16"/>
      <c r="I94" s="17"/>
      <c r="J94" s="16"/>
      <c r="K94" s="16"/>
      <c r="L94" s="16"/>
      <c r="M94" s="16"/>
      <c r="N94" s="16"/>
      <c r="O94" s="18"/>
      <c r="P94" s="18"/>
      <c r="Q94" s="18"/>
      <c r="T94" s="8"/>
      <c r="W94" s="8"/>
    </row>
    <row r="95" ht="14.25" customHeight="1">
      <c r="A95" s="16"/>
      <c r="B95" s="16"/>
      <c r="C95" s="25"/>
      <c r="D95" s="16"/>
      <c r="E95" s="16"/>
      <c r="F95" s="16"/>
      <c r="G95" s="16"/>
      <c r="H95" s="16"/>
      <c r="I95" s="17"/>
      <c r="J95" s="16"/>
      <c r="K95" s="16"/>
      <c r="L95" s="16"/>
      <c r="M95" s="16"/>
      <c r="N95" s="16"/>
      <c r="O95" s="18"/>
      <c r="P95" s="18"/>
      <c r="Q95" s="18"/>
      <c r="T95" s="8"/>
      <c r="W95" s="8"/>
    </row>
    <row r="96" ht="14.25" customHeight="1">
      <c r="A96" s="16"/>
      <c r="B96" s="16"/>
      <c r="C96" s="25"/>
      <c r="D96" s="16"/>
      <c r="E96" s="16"/>
      <c r="F96" s="16"/>
      <c r="G96" s="16"/>
      <c r="H96" s="16"/>
      <c r="I96" s="17"/>
      <c r="J96" s="16"/>
      <c r="K96" s="16"/>
      <c r="L96" s="16"/>
      <c r="M96" s="16"/>
      <c r="N96" s="16"/>
      <c r="O96" s="18"/>
      <c r="P96" s="18"/>
      <c r="Q96" s="18"/>
      <c r="T96" s="8"/>
      <c r="W96" s="8"/>
    </row>
    <row r="97" ht="14.25" customHeight="1">
      <c r="A97" s="16"/>
      <c r="B97" s="16"/>
      <c r="C97" s="25"/>
      <c r="D97" s="16"/>
      <c r="E97" s="16"/>
      <c r="F97" s="16"/>
      <c r="G97" s="16"/>
      <c r="H97" s="16"/>
      <c r="I97" s="17"/>
      <c r="J97" s="16"/>
      <c r="K97" s="16"/>
      <c r="L97" s="16"/>
      <c r="M97" s="16"/>
      <c r="N97" s="16"/>
      <c r="O97" s="18"/>
      <c r="P97" s="18"/>
      <c r="Q97" s="18"/>
      <c r="T97" s="8"/>
      <c r="W97" s="8"/>
    </row>
    <row r="98" ht="14.25" customHeight="1">
      <c r="A98" s="16"/>
      <c r="B98" s="16"/>
      <c r="C98" s="25"/>
      <c r="D98" s="16"/>
      <c r="E98" s="16"/>
      <c r="F98" s="16"/>
      <c r="G98" s="16"/>
      <c r="H98" s="16"/>
      <c r="I98" s="17"/>
      <c r="J98" s="16"/>
      <c r="K98" s="16"/>
      <c r="L98" s="16"/>
      <c r="M98" s="16"/>
      <c r="N98" s="16"/>
      <c r="O98" s="18"/>
      <c r="P98" s="18"/>
      <c r="Q98" s="18"/>
      <c r="T98" s="8"/>
      <c r="W98" s="8"/>
    </row>
    <row r="99" ht="14.25" customHeight="1">
      <c r="A99" s="16"/>
      <c r="B99" s="16"/>
      <c r="C99" s="25"/>
      <c r="D99" s="16"/>
      <c r="E99" s="16"/>
      <c r="F99" s="16"/>
      <c r="G99" s="16"/>
      <c r="H99" s="16"/>
      <c r="I99" s="17"/>
      <c r="J99" s="16"/>
      <c r="K99" s="16"/>
      <c r="L99" s="16"/>
      <c r="M99" s="16"/>
      <c r="N99" s="16"/>
      <c r="O99" s="18"/>
      <c r="P99" s="18"/>
      <c r="Q99" s="18"/>
      <c r="T99" s="8"/>
      <c r="W99" s="8"/>
    </row>
    <row r="100" ht="14.25" customHeight="1">
      <c r="A100" s="16"/>
      <c r="B100" s="16"/>
      <c r="C100" s="25"/>
      <c r="D100" s="16"/>
      <c r="E100" s="16"/>
      <c r="F100" s="16"/>
      <c r="G100" s="16"/>
      <c r="H100" s="16"/>
      <c r="I100" s="17"/>
      <c r="J100" s="16"/>
      <c r="K100" s="16"/>
      <c r="L100" s="16"/>
      <c r="M100" s="16"/>
      <c r="N100" s="16"/>
      <c r="O100" s="18"/>
      <c r="P100" s="18"/>
      <c r="Q100" s="18"/>
      <c r="T100" s="8"/>
      <c r="W100" s="8"/>
    </row>
    <row r="101" ht="14.25" customHeight="1">
      <c r="A101" s="16"/>
      <c r="B101" s="16"/>
      <c r="C101" s="25"/>
      <c r="D101" s="16"/>
      <c r="E101" s="16"/>
      <c r="F101" s="16"/>
      <c r="G101" s="16"/>
      <c r="H101" s="16"/>
      <c r="I101" s="17"/>
      <c r="J101" s="16"/>
      <c r="K101" s="16"/>
      <c r="L101" s="16"/>
      <c r="M101" s="16"/>
      <c r="N101" s="16"/>
      <c r="O101" s="18"/>
      <c r="P101" s="18"/>
      <c r="Q101" s="18"/>
      <c r="T101" s="8"/>
      <c r="W101" s="8"/>
    </row>
    <row r="102" ht="14.25" customHeight="1">
      <c r="A102" s="16"/>
      <c r="B102" s="16"/>
      <c r="C102" s="25"/>
      <c r="D102" s="16"/>
      <c r="E102" s="16"/>
      <c r="F102" s="16"/>
      <c r="G102" s="16"/>
      <c r="H102" s="16"/>
      <c r="I102" s="17"/>
      <c r="J102" s="16"/>
      <c r="K102" s="16"/>
      <c r="L102" s="16"/>
      <c r="M102" s="16"/>
      <c r="N102" s="16"/>
      <c r="O102" s="18"/>
      <c r="P102" s="18"/>
      <c r="Q102" s="18"/>
      <c r="T102" s="8"/>
      <c r="W102" s="8"/>
    </row>
    <row r="103" ht="14.25" customHeight="1">
      <c r="A103" s="16"/>
      <c r="B103" s="16"/>
      <c r="C103" s="25"/>
      <c r="D103" s="16"/>
      <c r="E103" s="16"/>
      <c r="F103" s="16"/>
      <c r="G103" s="16"/>
      <c r="H103" s="16"/>
      <c r="I103" s="17"/>
      <c r="J103" s="16"/>
      <c r="K103" s="16"/>
      <c r="L103" s="16"/>
      <c r="M103" s="16"/>
      <c r="N103" s="16"/>
      <c r="O103" s="18"/>
      <c r="P103" s="18"/>
      <c r="Q103" s="18"/>
      <c r="T103" s="8"/>
      <c r="W103" s="8"/>
    </row>
    <row r="104" ht="14.25" customHeight="1">
      <c r="A104" s="16"/>
      <c r="B104" s="16"/>
      <c r="C104" s="25"/>
      <c r="D104" s="16"/>
      <c r="E104" s="16"/>
      <c r="F104" s="16"/>
      <c r="G104" s="16"/>
      <c r="H104" s="16"/>
      <c r="I104" s="17"/>
      <c r="J104" s="16"/>
      <c r="K104" s="16"/>
      <c r="L104" s="16"/>
      <c r="M104" s="16"/>
      <c r="N104" s="16"/>
      <c r="O104" s="18"/>
      <c r="P104" s="18"/>
      <c r="Q104" s="18"/>
      <c r="T104" s="8"/>
      <c r="W104" s="8"/>
    </row>
    <row r="105" ht="14.25" customHeight="1">
      <c r="A105" s="16"/>
      <c r="B105" s="16"/>
      <c r="C105" s="25"/>
      <c r="D105" s="16"/>
      <c r="E105" s="16"/>
      <c r="F105" s="16"/>
      <c r="G105" s="16"/>
      <c r="H105" s="16"/>
      <c r="I105" s="17"/>
      <c r="J105" s="16"/>
      <c r="K105" s="16"/>
      <c r="L105" s="16"/>
      <c r="M105" s="16"/>
      <c r="N105" s="16"/>
      <c r="O105" s="18"/>
      <c r="P105" s="18"/>
      <c r="Q105" s="18"/>
      <c r="T105" s="8"/>
      <c r="W105" s="8"/>
    </row>
    <row r="106" ht="14.25" customHeight="1">
      <c r="A106" s="16"/>
      <c r="B106" s="16"/>
      <c r="C106" s="25"/>
      <c r="D106" s="16"/>
      <c r="E106" s="16"/>
      <c r="F106" s="16"/>
      <c r="G106" s="16"/>
      <c r="H106" s="16"/>
      <c r="I106" s="17"/>
      <c r="J106" s="16"/>
      <c r="K106" s="16"/>
      <c r="L106" s="16"/>
      <c r="M106" s="16"/>
      <c r="N106" s="16"/>
      <c r="O106" s="18"/>
      <c r="P106" s="18"/>
      <c r="Q106" s="18"/>
      <c r="T106" s="8"/>
      <c r="W106" s="8"/>
    </row>
    <row r="107" ht="14.25" customHeight="1">
      <c r="A107" s="16"/>
      <c r="B107" s="16"/>
      <c r="C107" s="25"/>
      <c r="D107" s="16"/>
      <c r="E107" s="16"/>
      <c r="F107" s="16"/>
      <c r="G107" s="16"/>
      <c r="H107" s="16"/>
      <c r="I107" s="17"/>
      <c r="J107" s="16"/>
      <c r="K107" s="16"/>
      <c r="L107" s="16"/>
      <c r="M107" s="16"/>
      <c r="N107" s="16"/>
      <c r="O107" s="18"/>
      <c r="P107" s="18"/>
      <c r="Q107" s="18"/>
      <c r="T107" s="8"/>
      <c r="W107" s="8"/>
    </row>
    <row r="108" ht="14.25" customHeight="1">
      <c r="A108" s="16"/>
      <c r="B108" s="16"/>
      <c r="C108" s="25"/>
      <c r="D108" s="16"/>
      <c r="E108" s="16"/>
      <c r="F108" s="16"/>
      <c r="G108" s="16"/>
      <c r="H108" s="16"/>
      <c r="I108" s="17"/>
      <c r="J108" s="16"/>
      <c r="K108" s="16"/>
      <c r="L108" s="16"/>
      <c r="M108" s="16"/>
      <c r="N108" s="16"/>
      <c r="O108" s="18"/>
      <c r="P108" s="18"/>
      <c r="Q108" s="18"/>
      <c r="T108" s="8"/>
      <c r="W108" s="8"/>
    </row>
    <row r="109" ht="14.25" customHeight="1">
      <c r="A109" s="16"/>
      <c r="B109" s="16"/>
      <c r="C109" s="25"/>
      <c r="D109" s="16"/>
      <c r="E109" s="16"/>
      <c r="F109" s="16"/>
      <c r="G109" s="16"/>
      <c r="H109" s="16"/>
      <c r="I109" s="17"/>
      <c r="J109" s="16"/>
      <c r="K109" s="16"/>
      <c r="L109" s="16"/>
      <c r="M109" s="16"/>
      <c r="N109" s="16"/>
      <c r="O109" s="18"/>
      <c r="P109" s="18"/>
      <c r="Q109" s="18"/>
      <c r="T109" s="8"/>
      <c r="W109" s="8"/>
    </row>
    <row r="110" ht="14.25" customHeight="1">
      <c r="A110" s="16"/>
      <c r="B110" s="16"/>
      <c r="C110" s="25"/>
      <c r="D110" s="16"/>
      <c r="E110" s="16"/>
      <c r="F110" s="16"/>
      <c r="G110" s="16"/>
      <c r="H110" s="16"/>
      <c r="I110" s="17"/>
      <c r="J110" s="16"/>
      <c r="K110" s="16"/>
      <c r="L110" s="16"/>
      <c r="M110" s="16"/>
      <c r="N110" s="16"/>
      <c r="O110" s="18"/>
      <c r="P110" s="18"/>
      <c r="Q110" s="18"/>
      <c r="T110" s="8"/>
      <c r="W110" s="8"/>
    </row>
    <row r="111" ht="14.25" customHeight="1">
      <c r="A111" s="16"/>
      <c r="B111" s="16"/>
      <c r="C111" s="25"/>
      <c r="D111" s="16"/>
      <c r="E111" s="16"/>
      <c r="F111" s="16"/>
      <c r="G111" s="16"/>
      <c r="H111" s="16"/>
      <c r="I111" s="17"/>
      <c r="J111" s="16"/>
      <c r="K111" s="16"/>
      <c r="L111" s="16"/>
      <c r="M111" s="16"/>
      <c r="N111" s="16"/>
      <c r="O111" s="18"/>
      <c r="P111" s="18"/>
      <c r="Q111" s="18"/>
      <c r="T111" s="8"/>
      <c r="W111" s="8"/>
    </row>
    <row r="112" ht="14.25" customHeight="1">
      <c r="A112" s="16"/>
      <c r="B112" s="16"/>
      <c r="C112" s="25"/>
      <c r="D112" s="16"/>
      <c r="E112" s="16"/>
      <c r="F112" s="16"/>
      <c r="G112" s="16"/>
      <c r="H112" s="16"/>
      <c r="I112" s="17"/>
      <c r="J112" s="16"/>
      <c r="K112" s="16"/>
      <c r="L112" s="16"/>
      <c r="M112" s="16"/>
      <c r="N112" s="16"/>
      <c r="O112" s="18"/>
      <c r="P112" s="18"/>
      <c r="Q112" s="18"/>
      <c r="T112" s="8"/>
      <c r="W112" s="8"/>
    </row>
    <row r="113" ht="14.25" customHeight="1">
      <c r="A113" s="16"/>
      <c r="B113" s="16"/>
      <c r="C113" s="25"/>
      <c r="D113" s="16"/>
      <c r="E113" s="16"/>
      <c r="F113" s="16"/>
      <c r="G113" s="16"/>
      <c r="H113" s="16"/>
      <c r="I113" s="17"/>
      <c r="J113" s="16"/>
      <c r="K113" s="16"/>
      <c r="L113" s="16"/>
      <c r="M113" s="16"/>
      <c r="N113" s="16"/>
      <c r="O113" s="18"/>
      <c r="P113" s="18"/>
      <c r="Q113" s="18"/>
      <c r="T113" s="8"/>
      <c r="W113" s="8"/>
    </row>
    <row r="114" ht="14.25" customHeight="1">
      <c r="A114" s="16"/>
      <c r="B114" s="16"/>
      <c r="C114" s="25"/>
      <c r="D114" s="16"/>
      <c r="E114" s="16"/>
      <c r="F114" s="16"/>
      <c r="G114" s="16"/>
      <c r="H114" s="16"/>
      <c r="I114" s="17"/>
      <c r="J114" s="16"/>
      <c r="K114" s="16"/>
      <c r="L114" s="16"/>
      <c r="M114" s="16"/>
      <c r="N114" s="16"/>
      <c r="O114" s="18"/>
      <c r="P114" s="18"/>
      <c r="Q114" s="18"/>
      <c r="T114" s="8"/>
      <c r="W114" s="8"/>
    </row>
    <row r="115" ht="14.25" customHeight="1">
      <c r="A115" s="16"/>
      <c r="B115" s="16"/>
      <c r="C115" s="25"/>
      <c r="D115" s="16"/>
      <c r="E115" s="16"/>
      <c r="F115" s="16"/>
      <c r="G115" s="16"/>
      <c r="H115" s="16"/>
      <c r="I115" s="17"/>
      <c r="J115" s="16"/>
      <c r="K115" s="16"/>
      <c r="L115" s="16"/>
      <c r="M115" s="16"/>
      <c r="N115" s="16"/>
      <c r="O115" s="18"/>
      <c r="P115" s="18"/>
      <c r="Q115" s="18"/>
      <c r="T115" s="8"/>
      <c r="W115" s="8"/>
    </row>
    <row r="116" ht="14.25" customHeight="1">
      <c r="A116" s="16"/>
      <c r="B116" s="16"/>
      <c r="C116" s="25"/>
      <c r="D116" s="16"/>
      <c r="E116" s="16"/>
      <c r="F116" s="16"/>
      <c r="G116" s="16"/>
      <c r="H116" s="16"/>
      <c r="I116" s="17"/>
      <c r="J116" s="16"/>
      <c r="K116" s="16"/>
      <c r="L116" s="16"/>
      <c r="M116" s="16"/>
      <c r="N116" s="16"/>
      <c r="O116" s="18"/>
      <c r="P116" s="18"/>
      <c r="Q116" s="18"/>
      <c r="T116" s="8"/>
      <c r="W116" s="8"/>
    </row>
    <row r="117" ht="14.25" customHeight="1">
      <c r="A117" s="16"/>
      <c r="B117" s="16"/>
      <c r="C117" s="25"/>
      <c r="D117" s="16"/>
      <c r="E117" s="16"/>
      <c r="F117" s="16"/>
      <c r="G117" s="16"/>
      <c r="H117" s="16"/>
      <c r="I117" s="17"/>
      <c r="J117" s="16"/>
      <c r="K117" s="16"/>
      <c r="L117" s="16"/>
      <c r="M117" s="16"/>
      <c r="N117" s="16"/>
      <c r="O117" s="18"/>
      <c r="P117" s="18"/>
      <c r="Q117" s="18"/>
      <c r="T117" s="8"/>
      <c r="W117" s="8"/>
    </row>
    <row r="118" ht="14.25" customHeight="1">
      <c r="A118" s="16"/>
      <c r="B118" s="16"/>
      <c r="C118" s="25"/>
      <c r="D118" s="16"/>
      <c r="E118" s="16"/>
      <c r="F118" s="16"/>
      <c r="G118" s="16"/>
      <c r="H118" s="16"/>
      <c r="I118" s="17"/>
      <c r="J118" s="16"/>
      <c r="K118" s="16"/>
      <c r="L118" s="16"/>
      <c r="M118" s="16"/>
      <c r="N118" s="16"/>
      <c r="O118" s="18"/>
      <c r="P118" s="18"/>
      <c r="Q118" s="18"/>
      <c r="T118" s="8"/>
      <c r="W118" s="8"/>
    </row>
    <row r="119" ht="14.25" customHeight="1">
      <c r="A119" s="16"/>
      <c r="B119" s="16"/>
      <c r="C119" s="25"/>
      <c r="D119" s="16"/>
      <c r="E119" s="16"/>
      <c r="F119" s="16"/>
      <c r="G119" s="16"/>
      <c r="H119" s="16"/>
      <c r="I119" s="17"/>
      <c r="J119" s="16"/>
      <c r="K119" s="16"/>
      <c r="L119" s="16"/>
      <c r="M119" s="16"/>
      <c r="N119" s="16"/>
      <c r="O119" s="18"/>
      <c r="P119" s="18"/>
      <c r="Q119" s="18"/>
      <c r="T119" s="8"/>
      <c r="W119" s="8"/>
    </row>
    <row r="120" ht="14.25" customHeight="1">
      <c r="A120" s="16"/>
      <c r="B120" s="16"/>
      <c r="C120" s="25"/>
      <c r="D120" s="16"/>
      <c r="E120" s="16"/>
      <c r="F120" s="16"/>
      <c r="G120" s="16"/>
      <c r="H120" s="16"/>
      <c r="I120" s="17"/>
      <c r="J120" s="16"/>
      <c r="K120" s="16"/>
      <c r="L120" s="16"/>
      <c r="M120" s="16"/>
      <c r="N120" s="16"/>
      <c r="O120" s="18"/>
      <c r="P120" s="18"/>
      <c r="Q120" s="18"/>
      <c r="T120" s="8"/>
      <c r="W120" s="8"/>
    </row>
    <row r="121" ht="14.25" customHeight="1">
      <c r="A121" s="16"/>
      <c r="B121" s="16"/>
      <c r="C121" s="25"/>
      <c r="D121" s="16"/>
      <c r="E121" s="16"/>
      <c r="F121" s="16"/>
      <c r="G121" s="16"/>
      <c r="H121" s="16"/>
      <c r="I121" s="17"/>
      <c r="J121" s="16"/>
      <c r="K121" s="16"/>
      <c r="L121" s="16"/>
      <c r="M121" s="16"/>
      <c r="N121" s="16"/>
      <c r="O121" s="18"/>
      <c r="P121" s="18"/>
      <c r="Q121" s="18"/>
      <c r="T121" s="8"/>
      <c r="W121" s="8"/>
    </row>
    <row r="122" ht="14.25" customHeight="1">
      <c r="A122" s="16"/>
      <c r="B122" s="16"/>
      <c r="C122" s="25"/>
      <c r="D122" s="16"/>
      <c r="E122" s="16"/>
      <c r="F122" s="16"/>
      <c r="G122" s="16"/>
      <c r="H122" s="16"/>
      <c r="I122" s="17"/>
      <c r="J122" s="16"/>
      <c r="K122" s="16"/>
      <c r="L122" s="16"/>
      <c r="M122" s="16"/>
      <c r="N122" s="16"/>
      <c r="O122" s="18"/>
      <c r="P122" s="18"/>
      <c r="Q122" s="18"/>
      <c r="T122" s="8"/>
      <c r="W122" s="8"/>
    </row>
    <row r="123" ht="14.25" customHeight="1">
      <c r="A123" s="16"/>
      <c r="B123" s="16"/>
      <c r="C123" s="25"/>
      <c r="D123" s="16"/>
      <c r="E123" s="16"/>
      <c r="F123" s="16"/>
      <c r="G123" s="16"/>
      <c r="H123" s="16"/>
      <c r="I123" s="17"/>
      <c r="J123" s="16"/>
      <c r="K123" s="16"/>
      <c r="L123" s="16"/>
      <c r="M123" s="16"/>
      <c r="N123" s="16"/>
      <c r="O123" s="18"/>
      <c r="P123" s="18"/>
      <c r="Q123" s="18"/>
      <c r="T123" s="8"/>
      <c r="W123" s="8"/>
    </row>
    <row r="124" ht="14.25" customHeight="1">
      <c r="A124" s="16"/>
      <c r="B124" s="16"/>
      <c r="C124" s="25"/>
      <c r="D124" s="16"/>
      <c r="E124" s="16"/>
      <c r="F124" s="16"/>
      <c r="G124" s="16"/>
      <c r="H124" s="16"/>
      <c r="I124" s="17"/>
      <c r="J124" s="16"/>
      <c r="K124" s="16"/>
      <c r="L124" s="16"/>
      <c r="M124" s="16"/>
      <c r="N124" s="16"/>
      <c r="O124" s="18"/>
      <c r="P124" s="18"/>
      <c r="Q124" s="18"/>
      <c r="T124" s="8"/>
      <c r="W124" s="8"/>
    </row>
    <row r="125" ht="14.25" customHeight="1">
      <c r="A125" s="16"/>
      <c r="B125" s="16"/>
      <c r="C125" s="25"/>
      <c r="D125" s="16"/>
      <c r="E125" s="16"/>
      <c r="F125" s="16"/>
      <c r="G125" s="16"/>
      <c r="H125" s="16"/>
      <c r="I125" s="17"/>
      <c r="J125" s="16"/>
      <c r="K125" s="16"/>
      <c r="L125" s="16"/>
      <c r="M125" s="16"/>
      <c r="N125" s="16"/>
      <c r="O125" s="18"/>
      <c r="P125" s="18"/>
      <c r="Q125" s="18"/>
      <c r="T125" s="8"/>
      <c r="W125" s="8"/>
    </row>
    <row r="126" ht="14.25" customHeight="1">
      <c r="A126" s="16"/>
      <c r="B126" s="16"/>
      <c r="C126" s="25"/>
      <c r="D126" s="16"/>
      <c r="E126" s="16"/>
      <c r="F126" s="16"/>
      <c r="G126" s="16"/>
      <c r="H126" s="16"/>
      <c r="I126" s="17"/>
      <c r="J126" s="16"/>
      <c r="K126" s="16"/>
      <c r="L126" s="16"/>
      <c r="M126" s="16"/>
      <c r="N126" s="16"/>
      <c r="O126" s="18"/>
      <c r="P126" s="18"/>
      <c r="Q126" s="18"/>
      <c r="T126" s="8"/>
      <c r="W126" s="8"/>
    </row>
    <row r="127" ht="14.25" customHeight="1">
      <c r="A127" s="16"/>
      <c r="B127" s="16"/>
      <c r="C127" s="25"/>
      <c r="D127" s="16"/>
      <c r="E127" s="16"/>
      <c r="F127" s="16"/>
      <c r="G127" s="16"/>
      <c r="H127" s="16"/>
      <c r="I127" s="17"/>
      <c r="J127" s="16"/>
      <c r="K127" s="16"/>
      <c r="L127" s="16"/>
      <c r="M127" s="16"/>
      <c r="N127" s="16"/>
      <c r="O127" s="18"/>
      <c r="P127" s="18"/>
      <c r="Q127" s="18"/>
      <c r="T127" s="8"/>
      <c r="W127" s="8"/>
    </row>
    <row r="128" ht="14.25" customHeight="1">
      <c r="A128" s="16"/>
      <c r="B128" s="16"/>
      <c r="C128" s="25"/>
      <c r="D128" s="16"/>
      <c r="E128" s="16"/>
      <c r="F128" s="16"/>
      <c r="G128" s="16"/>
      <c r="H128" s="16"/>
      <c r="I128" s="17"/>
      <c r="J128" s="16"/>
      <c r="K128" s="16"/>
      <c r="L128" s="16"/>
      <c r="M128" s="16"/>
      <c r="N128" s="16"/>
      <c r="O128" s="18"/>
      <c r="P128" s="18"/>
      <c r="Q128" s="18"/>
      <c r="T128" s="8"/>
      <c r="W128" s="8"/>
    </row>
    <row r="129" ht="14.25" customHeight="1">
      <c r="A129" s="16"/>
      <c r="B129" s="16"/>
      <c r="C129" s="25"/>
      <c r="D129" s="16"/>
      <c r="E129" s="16"/>
      <c r="F129" s="16"/>
      <c r="G129" s="16"/>
      <c r="H129" s="16"/>
      <c r="I129" s="17"/>
      <c r="J129" s="16"/>
      <c r="K129" s="16"/>
      <c r="L129" s="16"/>
      <c r="M129" s="16"/>
      <c r="N129" s="16"/>
      <c r="O129" s="18"/>
      <c r="P129" s="18"/>
      <c r="Q129" s="18"/>
      <c r="T129" s="8"/>
      <c r="W129" s="8"/>
    </row>
    <row r="130" ht="14.25" customHeight="1">
      <c r="A130" s="16"/>
      <c r="B130" s="16"/>
      <c r="C130" s="25"/>
      <c r="D130" s="16"/>
      <c r="E130" s="16"/>
      <c r="F130" s="16"/>
      <c r="G130" s="16"/>
      <c r="H130" s="16"/>
      <c r="I130" s="17"/>
      <c r="J130" s="16"/>
      <c r="K130" s="16"/>
      <c r="L130" s="16"/>
      <c r="M130" s="16"/>
      <c r="N130" s="16"/>
      <c r="O130" s="18"/>
      <c r="P130" s="18"/>
      <c r="Q130" s="18"/>
      <c r="T130" s="8"/>
      <c r="W130" s="8"/>
    </row>
    <row r="131" ht="14.25" customHeight="1">
      <c r="A131" s="16"/>
      <c r="B131" s="16"/>
      <c r="C131" s="25"/>
      <c r="D131" s="16"/>
      <c r="E131" s="16"/>
      <c r="F131" s="16"/>
      <c r="G131" s="16"/>
      <c r="H131" s="16"/>
      <c r="I131" s="17"/>
      <c r="J131" s="16"/>
      <c r="K131" s="16"/>
      <c r="L131" s="16"/>
      <c r="M131" s="16"/>
      <c r="N131" s="16"/>
      <c r="O131" s="18"/>
      <c r="P131" s="18"/>
      <c r="Q131" s="18"/>
      <c r="T131" s="8"/>
      <c r="W131" s="8"/>
    </row>
    <row r="132" ht="14.25" customHeight="1">
      <c r="A132" s="16"/>
      <c r="B132" s="16"/>
      <c r="C132" s="25"/>
      <c r="D132" s="16"/>
      <c r="E132" s="16"/>
      <c r="F132" s="16"/>
      <c r="G132" s="16"/>
      <c r="H132" s="16"/>
      <c r="I132" s="17"/>
      <c r="J132" s="16"/>
      <c r="K132" s="16"/>
      <c r="L132" s="16"/>
      <c r="M132" s="16"/>
      <c r="N132" s="16"/>
      <c r="O132" s="18"/>
      <c r="P132" s="18"/>
      <c r="Q132" s="18"/>
      <c r="T132" s="8"/>
      <c r="W132" s="8"/>
    </row>
    <row r="133" ht="14.25" customHeight="1">
      <c r="A133" s="16"/>
      <c r="B133" s="16"/>
      <c r="C133" s="25"/>
      <c r="D133" s="16"/>
      <c r="E133" s="16"/>
      <c r="F133" s="16"/>
      <c r="G133" s="16"/>
      <c r="H133" s="16"/>
      <c r="I133" s="17"/>
      <c r="J133" s="16"/>
      <c r="K133" s="16"/>
      <c r="L133" s="16"/>
      <c r="M133" s="16"/>
      <c r="N133" s="16"/>
      <c r="O133" s="18"/>
      <c r="P133" s="18"/>
      <c r="Q133" s="18"/>
      <c r="T133" s="8"/>
      <c r="W133" s="8"/>
    </row>
    <row r="134" ht="14.25" customHeight="1">
      <c r="A134" s="16"/>
      <c r="B134" s="16"/>
      <c r="C134" s="25"/>
      <c r="D134" s="16"/>
      <c r="E134" s="16"/>
      <c r="F134" s="16"/>
      <c r="G134" s="16"/>
      <c r="H134" s="16"/>
      <c r="I134" s="17"/>
      <c r="J134" s="16"/>
      <c r="K134" s="16"/>
      <c r="L134" s="16"/>
      <c r="M134" s="16"/>
      <c r="N134" s="16"/>
      <c r="O134" s="18"/>
      <c r="P134" s="18"/>
      <c r="Q134" s="18"/>
      <c r="T134" s="8"/>
      <c r="W134" s="8"/>
    </row>
    <row r="135" ht="14.25" customHeight="1">
      <c r="A135" s="16"/>
      <c r="B135" s="16"/>
      <c r="C135" s="25"/>
      <c r="D135" s="16"/>
      <c r="E135" s="16"/>
      <c r="F135" s="16"/>
      <c r="G135" s="16"/>
      <c r="H135" s="16"/>
      <c r="I135" s="17"/>
      <c r="J135" s="16"/>
      <c r="K135" s="16"/>
      <c r="L135" s="16"/>
      <c r="M135" s="16"/>
      <c r="N135" s="16"/>
      <c r="O135" s="18"/>
      <c r="P135" s="18"/>
      <c r="Q135" s="18"/>
      <c r="T135" s="8"/>
      <c r="W135" s="8"/>
    </row>
    <row r="136" ht="14.25" customHeight="1">
      <c r="A136" s="16"/>
      <c r="B136" s="16"/>
      <c r="C136" s="25"/>
      <c r="D136" s="16"/>
      <c r="E136" s="16"/>
      <c r="F136" s="16"/>
      <c r="G136" s="16"/>
      <c r="H136" s="16"/>
      <c r="I136" s="17"/>
      <c r="J136" s="16"/>
      <c r="K136" s="16"/>
      <c r="L136" s="16"/>
      <c r="M136" s="16"/>
      <c r="N136" s="16"/>
      <c r="O136" s="18"/>
      <c r="P136" s="18"/>
      <c r="Q136" s="18"/>
      <c r="T136" s="8"/>
      <c r="W136" s="8"/>
    </row>
    <row r="137" ht="14.25" customHeight="1">
      <c r="A137" s="16"/>
      <c r="B137" s="16"/>
      <c r="C137" s="25"/>
      <c r="D137" s="16"/>
      <c r="E137" s="16"/>
      <c r="F137" s="16"/>
      <c r="G137" s="16"/>
      <c r="H137" s="16"/>
      <c r="I137" s="17"/>
      <c r="J137" s="16"/>
      <c r="K137" s="16"/>
      <c r="L137" s="16"/>
      <c r="M137" s="16"/>
      <c r="N137" s="16"/>
      <c r="O137" s="18"/>
      <c r="P137" s="18"/>
      <c r="Q137" s="18"/>
      <c r="T137" s="8"/>
      <c r="W137" s="8"/>
    </row>
    <row r="138" ht="14.25" customHeight="1">
      <c r="A138" s="16"/>
      <c r="B138" s="16"/>
      <c r="C138" s="25"/>
      <c r="D138" s="16"/>
      <c r="E138" s="16"/>
      <c r="F138" s="16"/>
      <c r="G138" s="16"/>
      <c r="H138" s="16"/>
      <c r="I138" s="17"/>
      <c r="J138" s="16"/>
      <c r="K138" s="16"/>
      <c r="L138" s="16"/>
      <c r="M138" s="16"/>
      <c r="N138" s="16"/>
      <c r="O138" s="18"/>
      <c r="P138" s="18"/>
      <c r="Q138" s="18"/>
      <c r="T138" s="8"/>
      <c r="W138" s="8"/>
    </row>
    <row r="139" ht="14.25" customHeight="1">
      <c r="A139" s="16"/>
      <c r="B139" s="16"/>
      <c r="C139" s="25"/>
      <c r="D139" s="16"/>
      <c r="E139" s="16"/>
      <c r="F139" s="16"/>
      <c r="G139" s="16"/>
      <c r="H139" s="16"/>
      <c r="I139" s="17"/>
      <c r="J139" s="16"/>
      <c r="K139" s="16"/>
      <c r="L139" s="16"/>
      <c r="M139" s="16"/>
      <c r="N139" s="16"/>
      <c r="O139" s="18"/>
      <c r="P139" s="18"/>
      <c r="Q139" s="18"/>
      <c r="T139" s="8"/>
      <c r="W139" s="8"/>
    </row>
    <row r="140" ht="14.25" customHeight="1">
      <c r="A140" s="16"/>
      <c r="B140" s="16"/>
      <c r="C140" s="25"/>
      <c r="D140" s="16"/>
      <c r="E140" s="16"/>
      <c r="F140" s="16"/>
      <c r="G140" s="16"/>
      <c r="H140" s="16"/>
      <c r="I140" s="17"/>
      <c r="J140" s="16"/>
      <c r="K140" s="16"/>
      <c r="L140" s="16"/>
      <c r="M140" s="16"/>
      <c r="N140" s="16"/>
      <c r="O140" s="18"/>
      <c r="P140" s="18"/>
      <c r="Q140" s="18"/>
      <c r="T140" s="8"/>
      <c r="W140" s="8"/>
    </row>
    <row r="141" ht="14.25" customHeight="1">
      <c r="A141" s="16"/>
      <c r="B141" s="16"/>
      <c r="C141" s="25"/>
      <c r="D141" s="16"/>
      <c r="E141" s="16"/>
      <c r="F141" s="16"/>
      <c r="G141" s="16"/>
      <c r="H141" s="16"/>
      <c r="I141" s="17"/>
      <c r="J141" s="16"/>
      <c r="K141" s="16"/>
      <c r="L141" s="16"/>
      <c r="M141" s="16"/>
      <c r="N141" s="16"/>
      <c r="O141" s="18"/>
      <c r="P141" s="18"/>
      <c r="Q141" s="18"/>
      <c r="T141" s="8"/>
      <c r="W141" s="8"/>
    </row>
    <row r="142" ht="14.25" customHeight="1">
      <c r="A142" s="16"/>
      <c r="B142" s="16"/>
      <c r="C142" s="25"/>
      <c r="D142" s="16"/>
      <c r="E142" s="16"/>
      <c r="F142" s="16"/>
      <c r="G142" s="16"/>
      <c r="H142" s="16"/>
      <c r="I142" s="17"/>
      <c r="J142" s="16"/>
      <c r="K142" s="16"/>
      <c r="L142" s="16"/>
      <c r="M142" s="16"/>
      <c r="N142" s="16"/>
      <c r="O142" s="18"/>
      <c r="P142" s="18"/>
      <c r="Q142" s="18"/>
      <c r="T142" s="8"/>
      <c r="W142" s="8"/>
    </row>
    <row r="143" ht="14.25" customHeight="1">
      <c r="A143" s="16"/>
      <c r="B143" s="16"/>
      <c r="C143" s="25"/>
      <c r="D143" s="16"/>
      <c r="E143" s="16"/>
      <c r="F143" s="16"/>
      <c r="G143" s="16"/>
      <c r="H143" s="16"/>
      <c r="I143" s="17"/>
      <c r="J143" s="16"/>
      <c r="K143" s="16"/>
      <c r="L143" s="16"/>
      <c r="M143" s="16"/>
      <c r="N143" s="16"/>
      <c r="O143" s="18"/>
      <c r="P143" s="18"/>
      <c r="Q143" s="18"/>
      <c r="T143" s="8"/>
      <c r="W143" s="8"/>
    </row>
    <row r="144" ht="14.25" customHeight="1">
      <c r="A144" s="16"/>
      <c r="B144" s="16"/>
      <c r="C144" s="25"/>
      <c r="D144" s="16"/>
      <c r="E144" s="16"/>
      <c r="F144" s="16"/>
      <c r="G144" s="16"/>
      <c r="H144" s="16"/>
      <c r="I144" s="17"/>
      <c r="J144" s="16"/>
      <c r="K144" s="16"/>
      <c r="L144" s="16"/>
      <c r="M144" s="16"/>
      <c r="N144" s="16"/>
      <c r="O144" s="18"/>
      <c r="P144" s="18"/>
      <c r="Q144" s="18"/>
      <c r="T144" s="8"/>
      <c r="W144" s="8"/>
    </row>
    <row r="145" ht="14.25" customHeight="1">
      <c r="A145" s="16"/>
      <c r="B145" s="16"/>
      <c r="C145" s="25"/>
      <c r="D145" s="16"/>
      <c r="E145" s="16"/>
      <c r="F145" s="16"/>
      <c r="G145" s="16"/>
      <c r="H145" s="16"/>
      <c r="I145" s="17"/>
      <c r="J145" s="16"/>
      <c r="K145" s="16"/>
      <c r="L145" s="16"/>
      <c r="M145" s="16"/>
      <c r="N145" s="16"/>
      <c r="O145" s="18"/>
      <c r="P145" s="18"/>
      <c r="Q145" s="18"/>
      <c r="T145" s="8"/>
      <c r="W145" s="8"/>
    </row>
    <row r="146" ht="14.25" customHeight="1">
      <c r="A146" s="16"/>
      <c r="B146" s="16"/>
      <c r="C146" s="25"/>
      <c r="D146" s="16"/>
      <c r="E146" s="16"/>
      <c r="F146" s="16"/>
      <c r="G146" s="16"/>
      <c r="H146" s="16"/>
      <c r="I146" s="17"/>
      <c r="J146" s="16"/>
      <c r="K146" s="16"/>
      <c r="L146" s="16"/>
      <c r="M146" s="16"/>
      <c r="N146" s="16"/>
      <c r="O146" s="18"/>
      <c r="P146" s="18"/>
      <c r="Q146" s="18"/>
      <c r="T146" s="8"/>
      <c r="W146" s="8"/>
    </row>
    <row r="147" ht="14.25" customHeight="1">
      <c r="A147" s="16"/>
      <c r="B147" s="16"/>
      <c r="C147" s="25"/>
      <c r="D147" s="16"/>
      <c r="E147" s="16"/>
      <c r="F147" s="16"/>
      <c r="G147" s="16"/>
      <c r="H147" s="16"/>
      <c r="I147" s="17"/>
      <c r="J147" s="16"/>
      <c r="K147" s="16"/>
      <c r="L147" s="16"/>
      <c r="M147" s="16"/>
      <c r="N147" s="16"/>
      <c r="O147" s="18"/>
      <c r="P147" s="18"/>
      <c r="Q147" s="18"/>
      <c r="T147" s="8"/>
      <c r="W147" s="8"/>
    </row>
    <row r="148" ht="14.25" customHeight="1">
      <c r="A148" s="16"/>
      <c r="B148" s="16"/>
      <c r="C148" s="25"/>
      <c r="D148" s="16"/>
      <c r="E148" s="16"/>
      <c r="F148" s="16"/>
      <c r="G148" s="16"/>
      <c r="H148" s="16"/>
      <c r="I148" s="17"/>
      <c r="J148" s="16"/>
      <c r="K148" s="16"/>
      <c r="L148" s="16"/>
      <c r="M148" s="16"/>
      <c r="N148" s="16"/>
      <c r="O148" s="18"/>
      <c r="P148" s="18"/>
      <c r="Q148" s="18"/>
      <c r="T148" s="8"/>
      <c r="W148" s="8"/>
    </row>
    <row r="149" ht="14.25" customHeight="1">
      <c r="A149" s="16"/>
      <c r="B149" s="16"/>
      <c r="C149" s="25"/>
      <c r="D149" s="16"/>
      <c r="E149" s="16"/>
      <c r="F149" s="16"/>
      <c r="G149" s="16"/>
      <c r="H149" s="16"/>
      <c r="I149" s="17"/>
      <c r="J149" s="16"/>
      <c r="K149" s="16"/>
      <c r="L149" s="16"/>
      <c r="M149" s="16"/>
      <c r="N149" s="16"/>
      <c r="O149" s="18"/>
      <c r="P149" s="18"/>
      <c r="Q149" s="18"/>
      <c r="T149" s="8"/>
      <c r="W149" s="8"/>
    </row>
    <row r="150" ht="14.25" customHeight="1">
      <c r="A150" s="16"/>
      <c r="B150" s="16"/>
      <c r="C150" s="25"/>
      <c r="D150" s="16"/>
      <c r="E150" s="16"/>
      <c r="F150" s="16"/>
      <c r="G150" s="16"/>
      <c r="H150" s="16"/>
      <c r="I150" s="17"/>
      <c r="J150" s="16"/>
      <c r="K150" s="16"/>
      <c r="L150" s="16"/>
      <c r="M150" s="16"/>
      <c r="N150" s="16"/>
      <c r="O150" s="18"/>
      <c r="P150" s="18"/>
      <c r="Q150" s="18"/>
      <c r="T150" s="8"/>
      <c r="W150" s="8"/>
    </row>
    <row r="151" ht="14.25" customHeight="1">
      <c r="D151" s="8"/>
      <c r="E151" s="8"/>
      <c r="F151" s="8"/>
      <c r="G151" s="8"/>
      <c r="K151" s="8"/>
      <c r="L151" s="8"/>
      <c r="M151" s="8"/>
      <c r="O151" s="8"/>
      <c r="Q151" s="8"/>
      <c r="T151" s="8"/>
      <c r="W151" s="8"/>
    </row>
    <row r="152" ht="14.25" customHeight="1">
      <c r="D152" s="8"/>
      <c r="E152" s="8"/>
      <c r="F152" s="8"/>
      <c r="G152" s="8"/>
      <c r="K152" s="8"/>
      <c r="L152" s="8"/>
      <c r="M152" s="8"/>
      <c r="O152" s="8"/>
      <c r="Q152" s="8"/>
      <c r="T152" s="8"/>
      <c r="W152" s="8"/>
    </row>
    <row r="153" ht="14.25" customHeight="1">
      <c r="D153" s="8"/>
      <c r="E153" s="8"/>
      <c r="F153" s="8"/>
      <c r="G153" s="8"/>
      <c r="K153" s="8"/>
      <c r="L153" s="8"/>
      <c r="M153" s="8"/>
      <c r="O153" s="8"/>
      <c r="Q153" s="8"/>
      <c r="T153" s="8"/>
      <c r="W153" s="8"/>
    </row>
    <row r="154" ht="14.25" customHeight="1">
      <c r="D154" s="8"/>
      <c r="E154" s="8"/>
      <c r="F154" s="8"/>
      <c r="G154" s="8"/>
      <c r="K154" s="8"/>
      <c r="L154" s="8"/>
      <c r="M154" s="8"/>
      <c r="O154" s="8"/>
      <c r="Q154" s="8"/>
      <c r="T154" s="8"/>
      <c r="W154" s="8"/>
    </row>
    <row r="155" ht="14.25" customHeight="1">
      <c r="D155" s="8"/>
      <c r="E155" s="8"/>
      <c r="F155" s="8"/>
      <c r="G155" s="8"/>
      <c r="K155" s="8"/>
      <c r="L155" s="8"/>
      <c r="M155" s="8"/>
      <c r="O155" s="8"/>
      <c r="Q155" s="8"/>
      <c r="T155" s="8"/>
      <c r="W155" s="8"/>
    </row>
    <row r="156" ht="14.25" customHeight="1">
      <c r="D156" s="8"/>
      <c r="E156" s="8"/>
      <c r="F156" s="8"/>
      <c r="G156" s="8"/>
      <c r="K156" s="8"/>
      <c r="L156" s="8"/>
      <c r="M156" s="8"/>
      <c r="O156" s="8"/>
      <c r="Q156" s="8"/>
      <c r="T156" s="8"/>
      <c r="W156" s="8"/>
    </row>
    <row r="157" ht="14.25" customHeight="1">
      <c r="D157" s="8"/>
      <c r="E157" s="8"/>
      <c r="F157" s="8"/>
      <c r="G157" s="8"/>
      <c r="K157" s="8"/>
      <c r="L157" s="8"/>
      <c r="M157" s="8"/>
      <c r="O157" s="8"/>
      <c r="Q157" s="8"/>
      <c r="T157" s="8"/>
      <c r="W157" s="8"/>
    </row>
    <row r="158" ht="14.25" customHeight="1">
      <c r="D158" s="8"/>
      <c r="E158" s="8"/>
      <c r="F158" s="8"/>
      <c r="G158" s="8"/>
      <c r="K158" s="8"/>
      <c r="L158" s="8"/>
      <c r="M158" s="8"/>
      <c r="O158" s="8"/>
      <c r="Q158" s="8"/>
      <c r="T158" s="8"/>
      <c r="W158" s="8"/>
    </row>
    <row r="159" ht="14.25" customHeight="1">
      <c r="D159" s="8"/>
      <c r="E159" s="8"/>
      <c r="F159" s="8"/>
      <c r="G159" s="8"/>
      <c r="K159" s="8"/>
      <c r="L159" s="8"/>
      <c r="M159" s="8"/>
      <c r="O159" s="8"/>
      <c r="Q159" s="8"/>
      <c r="T159" s="8"/>
      <c r="W159" s="8"/>
    </row>
    <row r="160" ht="14.25" customHeight="1">
      <c r="D160" s="8"/>
      <c r="E160" s="8"/>
      <c r="F160" s="8"/>
      <c r="G160" s="8"/>
      <c r="K160" s="8"/>
      <c r="L160" s="8"/>
      <c r="M160" s="8"/>
      <c r="O160" s="8"/>
      <c r="Q160" s="8"/>
      <c r="T160" s="8"/>
      <c r="W160" s="8"/>
    </row>
    <row r="161" ht="14.25" customHeight="1">
      <c r="D161" s="8"/>
      <c r="E161" s="8"/>
      <c r="F161" s="8"/>
      <c r="G161" s="8"/>
      <c r="K161" s="8"/>
      <c r="L161" s="8"/>
      <c r="M161" s="8"/>
      <c r="O161" s="8"/>
      <c r="Q161" s="8"/>
      <c r="T161" s="8"/>
      <c r="W161" s="8"/>
    </row>
    <row r="162" ht="14.25" customHeight="1">
      <c r="D162" s="8"/>
      <c r="E162" s="8"/>
      <c r="F162" s="8"/>
      <c r="G162" s="8"/>
      <c r="K162" s="8"/>
      <c r="L162" s="8"/>
      <c r="M162" s="8"/>
      <c r="O162" s="8"/>
      <c r="Q162" s="8"/>
      <c r="T162" s="8"/>
      <c r="W162" s="8"/>
    </row>
    <row r="163" ht="14.25" customHeight="1">
      <c r="D163" s="8"/>
      <c r="E163" s="8"/>
      <c r="F163" s="8"/>
      <c r="G163" s="8"/>
      <c r="K163" s="8"/>
      <c r="L163" s="8"/>
      <c r="M163" s="8"/>
      <c r="O163" s="8"/>
      <c r="Q163" s="8"/>
      <c r="T163" s="8"/>
      <c r="W163" s="8"/>
    </row>
    <row r="164" ht="14.25" customHeight="1">
      <c r="D164" s="8"/>
      <c r="E164" s="8"/>
      <c r="F164" s="8"/>
      <c r="G164" s="8"/>
      <c r="K164" s="8"/>
      <c r="L164" s="8"/>
      <c r="M164" s="8"/>
      <c r="O164" s="8"/>
      <c r="Q164" s="8"/>
      <c r="T164" s="8"/>
      <c r="W164" s="8"/>
    </row>
    <row r="165" ht="14.25" customHeight="1">
      <c r="D165" s="8"/>
      <c r="E165" s="8"/>
      <c r="F165" s="8"/>
      <c r="G165" s="8"/>
      <c r="K165" s="8"/>
      <c r="L165" s="8"/>
      <c r="M165" s="8"/>
      <c r="O165" s="8"/>
      <c r="Q165" s="8"/>
      <c r="T165" s="8"/>
      <c r="W165" s="8"/>
    </row>
    <row r="166" ht="14.25" customHeight="1">
      <c r="D166" s="8"/>
      <c r="E166" s="8"/>
      <c r="F166" s="8"/>
      <c r="G166" s="8"/>
      <c r="K166" s="8"/>
      <c r="L166" s="8"/>
      <c r="M166" s="8"/>
      <c r="O166" s="8"/>
      <c r="Q166" s="8"/>
      <c r="T166" s="8"/>
      <c r="W166" s="8"/>
    </row>
    <row r="167" ht="14.25" customHeight="1">
      <c r="D167" s="8"/>
      <c r="E167" s="8"/>
      <c r="F167" s="8"/>
      <c r="G167" s="8"/>
      <c r="K167" s="8"/>
      <c r="L167" s="8"/>
      <c r="M167" s="8"/>
      <c r="O167" s="8"/>
      <c r="Q167" s="8"/>
      <c r="T167" s="8"/>
      <c r="W167" s="8"/>
    </row>
    <row r="168" ht="14.25" customHeight="1">
      <c r="D168" s="8"/>
      <c r="E168" s="8"/>
      <c r="F168" s="8"/>
      <c r="G168" s="8"/>
      <c r="K168" s="8"/>
      <c r="L168" s="8"/>
      <c r="M168" s="8"/>
      <c r="O168" s="8"/>
      <c r="Q168" s="8"/>
      <c r="T168" s="8"/>
      <c r="W168" s="8"/>
    </row>
    <row r="169" ht="14.25" customHeight="1">
      <c r="D169" s="8"/>
      <c r="E169" s="8"/>
      <c r="F169" s="8"/>
      <c r="G169" s="8"/>
      <c r="K169" s="8"/>
      <c r="L169" s="8"/>
      <c r="M169" s="8"/>
      <c r="O169" s="8"/>
      <c r="Q169" s="8"/>
      <c r="T169" s="8"/>
      <c r="W169" s="8"/>
    </row>
    <row r="170" ht="14.25" customHeight="1">
      <c r="D170" s="8"/>
      <c r="E170" s="8"/>
      <c r="F170" s="8"/>
      <c r="G170" s="8"/>
      <c r="K170" s="8"/>
      <c r="L170" s="8"/>
      <c r="M170" s="8"/>
      <c r="O170" s="8"/>
      <c r="Q170" s="8"/>
      <c r="T170" s="8"/>
      <c r="W170" s="8"/>
    </row>
    <row r="171" ht="14.25" customHeight="1">
      <c r="D171" s="8"/>
      <c r="E171" s="8"/>
      <c r="F171" s="8"/>
      <c r="G171" s="8"/>
      <c r="K171" s="8"/>
      <c r="L171" s="8"/>
      <c r="M171" s="8"/>
      <c r="O171" s="8"/>
      <c r="Q171" s="8"/>
      <c r="T171" s="8"/>
      <c r="W171" s="8"/>
    </row>
    <row r="172" ht="14.25" customHeight="1">
      <c r="D172" s="8"/>
      <c r="E172" s="8"/>
      <c r="F172" s="8"/>
      <c r="G172" s="8"/>
      <c r="K172" s="8"/>
      <c r="L172" s="8"/>
      <c r="M172" s="8"/>
      <c r="O172" s="8"/>
      <c r="Q172" s="8"/>
      <c r="T172" s="8"/>
      <c r="W172" s="8"/>
    </row>
    <row r="173" ht="14.25" customHeight="1">
      <c r="D173" s="8"/>
      <c r="E173" s="8"/>
      <c r="F173" s="8"/>
      <c r="G173" s="8"/>
      <c r="K173" s="8"/>
      <c r="L173" s="8"/>
      <c r="M173" s="8"/>
      <c r="O173" s="8"/>
      <c r="Q173" s="8"/>
      <c r="T173" s="8"/>
      <c r="W173" s="8"/>
    </row>
    <row r="174" ht="14.25" customHeight="1">
      <c r="D174" s="8"/>
      <c r="E174" s="8"/>
      <c r="F174" s="8"/>
      <c r="G174" s="8"/>
      <c r="K174" s="8"/>
      <c r="L174" s="8"/>
      <c r="M174" s="8"/>
      <c r="O174" s="8"/>
      <c r="Q174" s="8"/>
      <c r="T174" s="8"/>
      <c r="W174" s="8"/>
    </row>
    <row r="175" ht="14.25" customHeight="1">
      <c r="D175" s="8"/>
      <c r="E175" s="8"/>
      <c r="F175" s="8"/>
      <c r="G175" s="8"/>
      <c r="K175" s="8"/>
      <c r="L175" s="8"/>
      <c r="M175" s="8"/>
      <c r="O175" s="8"/>
      <c r="Q175" s="8"/>
      <c r="T175" s="8"/>
      <c r="W175" s="8"/>
    </row>
    <row r="176" ht="14.25" customHeight="1">
      <c r="D176" s="8"/>
      <c r="E176" s="8"/>
      <c r="F176" s="8"/>
      <c r="G176" s="8"/>
      <c r="K176" s="8"/>
      <c r="L176" s="8"/>
      <c r="M176" s="8"/>
      <c r="O176" s="8"/>
      <c r="Q176" s="8"/>
      <c r="T176" s="8"/>
      <c r="W176" s="8"/>
    </row>
    <row r="177" ht="14.25" customHeight="1">
      <c r="D177" s="8"/>
      <c r="E177" s="8"/>
      <c r="F177" s="8"/>
      <c r="G177" s="8"/>
      <c r="K177" s="8"/>
      <c r="L177" s="8"/>
      <c r="M177" s="8"/>
      <c r="O177" s="8"/>
      <c r="Q177" s="8"/>
      <c r="T177" s="8"/>
      <c r="W177" s="8"/>
    </row>
    <row r="178" ht="14.25" customHeight="1">
      <c r="D178" s="8"/>
      <c r="E178" s="8"/>
      <c r="F178" s="8"/>
      <c r="G178" s="8"/>
      <c r="K178" s="8"/>
      <c r="L178" s="8"/>
      <c r="M178" s="8"/>
      <c r="O178" s="8"/>
      <c r="Q178" s="8"/>
      <c r="T178" s="8"/>
      <c r="W178" s="8"/>
    </row>
    <row r="179" ht="14.25" customHeight="1">
      <c r="D179" s="8"/>
      <c r="E179" s="8"/>
      <c r="F179" s="8"/>
      <c r="G179" s="8"/>
      <c r="K179" s="8"/>
      <c r="L179" s="8"/>
      <c r="M179" s="8"/>
      <c r="O179" s="8"/>
      <c r="Q179" s="8"/>
      <c r="T179" s="8"/>
      <c r="W179" s="8"/>
    </row>
    <row r="180" ht="14.25" customHeight="1">
      <c r="D180" s="8"/>
      <c r="E180" s="8"/>
      <c r="F180" s="8"/>
      <c r="G180" s="8"/>
      <c r="K180" s="8"/>
      <c r="L180" s="8"/>
      <c r="M180" s="8"/>
      <c r="O180" s="8"/>
      <c r="Q180" s="8"/>
      <c r="T180" s="8"/>
      <c r="W180" s="8"/>
    </row>
    <row r="181" ht="14.25" customHeight="1">
      <c r="D181" s="8"/>
      <c r="E181" s="8"/>
      <c r="F181" s="8"/>
      <c r="G181" s="8"/>
      <c r="K181" s="8"/>
      <c r="L181" s="8"/>
      <c r="M181" s="8"/>
      <c r="O181" s="8"/>
      <c r="Q181" s="8"/>
      <c r="T181" s="8"/>
      <c r="W181" s="8"/>
    </row>
    <row r="182" ht="14.25" customHeight="1">
      <c r="D182" s="8"/>
      <c r="E182" s="8"/>
      <c r="F182" s="8"/>
      <c r="G182" s="8"/>
      <c r="K182" s="8"/>
      <c r="L182" s="8"/>
      <c r="M182" s="8"/>
      <c r="O182" s="8"/>
      <c r="Q182" s="8"/>
      <c r="T182" s="8"/>
      <c r="W182" s="8"/>
    </row>
    <row r="183" ht="14.25" customHeight="1">
      <c r="D183" s="8"/>
      <c r="E183" s="8"/>
      <c r="F183" s="8"/>
      <c r="G183" s="8"/>
      <c r="K183" s="8"/>
      <c r="L183" s="8"/>
      <c r="M183" s="8"/>
      <c r="O183" s="8"/>
      <c r="Q183" s="8"/>
      <c r="T183" s="8"/>
      <c r="W183" s="8"/>
    </row>
    <row r="184" ht="14.25" customHeight="1">
      <c r="D184" s="8"/>
      <c r="E184" s="8"/>
      <c r="F184" s="8"/>
      <c r="G184" s="8"/>
      <c r="K184" s="8"/>
      <c r="L184" s="8"/>
      <c r="M184" s="8"/>
      <c r="O184" s="8"/>
      <c r="Q184" s="8"/>
      <c r="T184" s="8"/>
      <c r="W184" s="8"/>
    </row>
    <row r="185" ht="14.25" customHeight="1">
      <c r="D185" s="8"/>
      <c r="E185" s="8"/>
      <c r="F185" s="8"/>
      <c r="G185" s="8"/>
      <c r="K185" s="8"/>
      <c r="L185" s="8"/>
      <c r="M185" s="8"/>
      <c r="O185" s="8"/>
      <c r="Q185" s="8"/>
      <c r="T185" s="8"/>
      <c r="W185" s="8"/>
    </row>
    <row r="186" ht="14.25" customHeight="1">
      <c r="D186" s="8"/>
      <c r="E186" s="8"/>
      <c r="F186" s="8"/>
      <c r="G186" s="8"/>
      <c r="K186" s="8"/>
      <c r="L186" s="8"/>
      <c r="M186" s="8"/>
      <c r="O186" s="8"/>
      <c r="Q186" s="8"/>
      <c r="T186" s="8"/>
      <c r="W186" s="8"/>
    </row>
    <row r="187" ht="14.25" customHeight="1">
      <c r="D187" s="8"/>
      <c r="E187" s="8"/>
      <c r="F187" s="8"/>
      <c r="G187" s="8"/>
      <c r="K187" s="8"/>
      <c r="L187" s="8"/>
      <c r="M187" s="8"/>
      <c r="O187" s="8"/>
      <c r="Q187" s="8"/>
      <c r="T187" s="8"/>
      <c r="W187" s="8"/>
    </row>
    <row r="188" ht="14.25" customHeight="1">
      <c r="D188" s="8"/>
      <c r="E188" s="8"/>
      <c r="F188" s="8"/>
      <c r="G188" s="8"/>
      <c r="K188" s="8"/>
      <c r="L188" s="8"/>
      <c r="M188" s="8"/>
      <c r="O188" s="8"/>
      <c r="Q188" s="8"/>
      <c r="T188" s="8"/>
      <c r="W188" s="8"/>
    </row>
    <row r="189" ht="14.25" customHeight="1">
      <c r="D189" s="8"/>
      <c r="E189" s="8"/>
      <c r="F189" s="8"/>
      <c r="G189" s="8"/>
      <c r="K189" s="8"/>
      <c r="L189" s="8"/>
      <c r="M189" s="8"/>
      <c r="O189" s="8"/>
      <c r="Q189" s="8"/>
      <c r="T189" s="8"/>
      <c r="W189" s="8"/>
    </row>
    <row r="190" ht="14.25" customHeight="1">
      <c r="D190" s="8"/>
      <c r="E190" s="8"/>
      <c r="F190" s="8"/>
      <c r="G190" s="8"/>
      <c r="K190" s="8"/>
      <c r="L190" s="8"/>
      <c r="M190" s="8"/>
      <c r="O190" s="8"/>
      <c r="Q190" s="8"/>
      <c r="T190" s="8"/>
      <c r="W190" s="8"/>
    </row>
    <row r="191" ht="14.25" customHeight="1">
      <c r="D191" s="8"/>
      <c r="E191" s="8"/>
      <c r="F191" s="8"/>
      <c r="G191" s="8"/>
      <c r="K191" s="8"/>
      <c r="L191" s="8"/>
      <c r="M191" s="8"/>
      <c r="O191" s="8"/>
      <c r="Q191" s="8"/>
      <c r="T191" s="8"/>
      <c r="W191" s="8"/>
    </row>
    <row r="192" ht="14.25" customHeight="1">
      <c r="D192" s="8"/>
      <c r="E192" s="8"/>
      <c r="F192" s="8"/>
      <c r="G192" s="8"/>
      <c r="K192" s="8"/>
      <c r="L192" s="8"/>
      <c r="M192" s="8"/>
      <c r="O192" s="8"/>
      <c r="Q192" s="8"/>
      <c r="T192" s="8"/>
      <c r="W192" s="8"/>
    </row>
    <row r="193" ht="14.25" customHeight="1">
      <c r="D193" s="8"/>
      <c r="E193" s="8"/>
      <c r="F193" s="8"/>
      <c r="G193" s="8"/>
      <c r="K193" s="8"/>
      <c r="L193" s="8"/>
      <c r="M193" s="8"/>
      <c r="O193" s="8"/>
      <c r="Q193" s="8"/>
      <c r="T193" s="8"/>
      <c r="W193" s="8"/>
    </row>
    <row r="194" ht="14.25" customHeight="1">
      <c r="D194" s="8"/>
      <c r="E194" s="8"/>
      <c r="F194" s="8"/>
      <c r="G194" s="8"/>
      <c r="K194" s="8"/>
      <c r="L194" s="8"/>
      <c r="M194" s="8"/>
      <c r="O194" s="8"/>
      <c r="Q194" s="8"/>
      <c r="T194" s="8"/>
      <c r="W194" s="8"/>
    </row>
    <row r="195" ht="14.25" customHeight="1">
      <c r="D195" s="8"/>
      <c r="E195" s="8"/>
      <c r="F195" s="8"/>
      <c r="G195" s="8"/>
      <c r="K195" s="8"/>
      <c r="L195" s="8"/>
      <c r="M195" s="8"/>
      <c r="O195" s="8"/>
      <c r="Q195" s="8"/>
      <c r="T195" s="8"/>
      <c r="W195" s="8"/>
    </row>
    <row r="196" ht="14.25" customHeight="1">
      <c r="D196" s="8"/>
      <c r="E196" s="8"/>
      <c r="F196" s="8"/>
      <c r="G196" s="8"/>
      <c r="K196" s="8"/>
      <c r="L196" s="8"/>
      <c r="M196" s="8"/>
      <c r="O196" s="8"/>
      <c r="Q196" s="8"/>
      <c r="T196" s="8"/>
      <c r="W196" s="8"/>
    </row>
    <row r="197" ht="14.25" customHeight="1">
      <c r="D197" s="8"/>
      <c r="E197" s="8"/>
      <c r="F197" s="8"/>
      <c r="G197" s="8"/>
      <c r="K197" s="8"/>
      <c r="L197" s="8"/>
      <c r="M197" s="8"/>
      <c r="O197" s="8"/>
      <c r="Q197" s="8"/>
      <c r="T197" s="8"/>
      <c r="W197" s="8"/>
    </row>
    <row r="198" ht="14.25" customHeight="1">
      <c r="D198" s="8"/>
      <c r="E198" s="8"/>
      <c r="F198" s="8"/>
      <c r="G198" s="8"/>
      <c r="K198" s="8"/>
      <c r="L198" s="8"/>
      <c r="M198" s="8"/>
      <c r="O198" s="8"/>
      <c r="Q198" s="8"/>
      <c r="T198" s="8"/>
      <c r="W198" s="8"/>
    </row>
    <row r="199" ht="14.25" customHeight="1">
      <c r="D199" s="8"/>
      <c r="E199" s="8"/>
      <c r="F199" s="8"/>
      <c r="G199" s="8"/>
      <c r="K199" s="8"/>
      <c r="L199" s="8"/>
      <c r="M199" s="8"/>
      <c r="O199" s="8"/>
      <c r="Q199" s="8"/>
      <c r="T199" s="8"/>
      <c r="W199" s="8"/>
    </row>
    <row r="200" ht="14.25" customHeight="1">
      <c r="D200" s="8"/>
      <c r="E200" s="8"/>
      <c r="F200" s="8"/>
      <c r="G200" s="8"/>
      <c r="K200" s="8"/>
      <c r="L200" s="8"/>
      <c r="M200" s="8"/>
      <c r="O200" s="8"/>
      <c r="Q200" s="8"/>
      <c r="T200" s="8"/>
      <c r="W200" s="8"/>
    </row>
    <row r="201" ht="14.25" customHeight="1">
      <c r="D201" s="8"/>
      <c r="E201" s="8"/>
      <c r="F201" s="8"/>
      <c r="G201" s="8"/>
      <c r="K201" s="8"/>
      <c r="L201" s="8"/>
      <c r="M201" s="8"/>
      <c r="O201" s="8"/>
      <c r="Q201" s="8"/>
      <c r="T201" s="8"/>
      <c r="W201" s="8"/>
    </row>
    <row r="202" ht="14.25" customHeight="1">
      <c r="D202" s="8"/>
      <c r="E202" s="8"/>
      <c r="F202" s="8"/>
      <c r="G202" s="8"/>
      <c r="K202" s="8"/>
      <c r="L202" s="8"/>
      <c r="M202" s="8"/>
      <c r="O202" s="8"/>
      <c r="Q202" s="8"/>
      <c r="T202" s="8"/>
      <c r="W202" s="8"/>
    </row>
    <row r="203" ht="14.25" customHeight="1">
      <c r="D203" s="8"/>
      <c r="E203" s="8"/>
      <c r="F203" s="8"/>
      <c r="G203" s="8"/>
      <c r="K203" s="8"/>
      <c r="L203" s="8"/>
      <c r="M203" s="8"/>
      <c r="O203" s="8"/>
      <c r="Q203" s="8"/>
      <c r="T203" s="8"/>
      <c r="W203" s="8"/>
    </row>
    <row r="204" ht="14.25" customHeight="1">
      <c r="D204" s="8"/>
      <c r="E204" s="8"/>
      <c r="F204" s="8"/>
      <c r="G204" s="8"/>
      <c r="K204" s="8"/>
      <c r="L204" s="8"/>
      <c r="M204" s="8"/>
      <c r="O204" s="8"/>
      <c r="Q204" s="8"/>
      <c r="T204" s="8"/>
      <c r="W204" s="8"/>
    </row>
    <row r="205" ht="14.25" customHeight="1">
      <c r="D205" s="8"/>
      <c r="E205" s="8"/>
      <c r="F205" s="8"/>
      <c r="G205" s="8"/>
      <c r="K205" s="8"/>
      <c r="L205" s="8"/>
      <c r="M205" s="8"/>
      <c r="O205" s="8"/>
      <c r="Q205" s="8"/>
      <c r="T205" s="8"/>
      <c r="W205" s="8"/>
    </row>
    <row r="206" ht="14.25" customHeight="1">
      <c r="D206" s="8"/>
      <c r="E206" s="8"/>
      <c r="F206" s="8"/>
      <c r="G206" s="8"/>
      <c r="K206" s="8"/>
      <c r="L206" s="8"/>
      <c r="M206" s="8"/>
      <c r="O206" s="8"/>
      <c r="Q206" s="8"/>
      <c r="T206" s="8"/>
      <c r="W206" s="8"/>
    </row>
    <row r="207" ht="14.25" customHeight="1">
      <c r="D207" s="8"/>
      <c r="E207" s="8"/>
      <c r="F207" s="8"/>
      <c r="G207" s="8"/>
      <c r="K207" s="8"/>
      <c r="L207" s="8"/>
      <c r="M207" s="8"/>
      <c r="O207" s="8"/>
      <c r="Q207" s="8"/>
      <c r="T207" s="8"/>
      <c r="W207" s="8"/>
    </row>
    <row r="208" ht="14.25" customHeight="1">
      <c r="D208" s="8"/>
      <c r="E208" s="8"/>
      <c r="F208" s="8"/>
      <c r="G208" s="8"/>
      <c r="K208" s="8"/>
      <c r="L208" s="8"/>
      <c r="M208" s="8"/>
      <c r="O208" s="8"/>
      <c r="Q208" s="8"/>
      <c r="T208" s="8"/>
      <c r="W208" s="8"/>
    </row>
    <row r="209" ht="14.25" customHeight="1">
      <c r="D209" s="8"/>
      <c r="E209" s="8"/>
      <c r="F209" s="8"/>
      <c r="G209" s="8"/>
      <c r="K209" s="8"/>
      <c r="L209" s="8"/>
      <c r="M209" s="8"/>
      <c r="O209" s="8"/>
      <c r="Q209" s="8"/>
      <c r="T209" s="8"/>
      <c r="W209" s="8"/>
    </row>
    <row r="210" ht="14.25" customHeight="1">
      <c r="D210" s="8"/>
      <c r="E210" s="8"/>
      <c r="F210" s="8"/>
      <c r="G210" s="8"/>
      <c r="K210" s="8"/>
      <c r="L210" s="8"/>
      <c r="M210" s="8"/>
      <c r="O210" s="8"/>
      <c r="Q210" s="8"/>
      <c r="T210" s="8"/>
      <c r="W210" s="8"/>
    </row>
    <row r="211" ht="14.25" customHeight="1">
      <c r="D211" s="8"/>
      <c r="E211" s="8"/>
      <c r="F211" s="8"/>
      <c r="G211" s="8"/>
      <c r="K211" s="8"/>
      <c r="L211" s="8"/>
      <c r="M211" s="8"/>
      <c r="O211" s="8"/>
      <c r="Q211" s="8"/>
      <c r="T211" s="8"/>
      <c r="W211" s="8"/>
    </row>
    <row r="212" ht="14.25" customHeight="1">
      <c r="D212" s="8"/>
      <c r="E212" s="8"/>
      <c r="F212" s="8"/>
      <c r="G212" s="8"/>
      <c r="K212" s="8"/>
      <c r="L212" s="8"/>
      <c r="M212" s="8"/>
      <c r="O212" s="8"/>
      <c r="Q212" s="8"/>
      <c r="T212" s="8"/>
      <c r="W212" s="8"/>
    </row>
    <row r="213" ht="14.25" customHeight="1">
      <c r="D213" s="8"/>
      <c r="E213" s="8"/>
      <c r="F213" s="8"/>
      <c r="G213" s="8"/>
      <c r="K213" s="8"/>
      <c r="L213" s="8"/>
      <c r="M213" s="8"/>
      <c r="O213" s="8"/>
      <c r="Q213" s="8"/>
      <c r="T213" s="8"/>
      <c r="W213" s="8"/>
    </row>
    <row r="214" ht="14.25" customHeight="1">
      <c r="D214" s="8"/>
      <c r="E214" s="8"/>
      <c r="F214" s="8"/>
      <c r="G214" s="8"/>
      <c r="K214" s="8"/>
      <c r="L214" s="8"/>
      <c r="M214" s="8"/>
      <c r="O214" s="8"/>
      <c r="Q214" s="8"/>
      <c r="T214" s="8"/>
      <c r="W214" s="8"/>
    </row>
    <row r="215" ht="14.25" customHeight="1">
      <c r="D215" s="8"/>
      <c r="E215" s="8"/>
      <c r="F215" s="8"/>
      <c r="G215" s="8"/>
      <c r="K215" s="8"/>
      <c r="L215" s="8"/>
      <c r="M215" s="8"/>
      <c r="O215" s="8"/>
      <c r="Q215" s="8"/>
      <c r="T215" s="8"/>
      <c r="W215" s="8"/>
    </row>
    <row r="216" ht="14.25" customHeight="1">
      <c r="D216" s="8"/>
      <c r="E216" s="8"/>
      <c r="F216" s="8"/>
      <c r="G216" s="8"/>
      <c r="K216" s="8"/>
      <c r="L216" s="8"/>
      <c r="M216" s="8"/>
      <c r="O216" s="8"/>
      <c r="Q216" s="8"/>
      <c r="T216" s="8"/>
      <c r="W216" s="8"/>
    </row>
    <row r="217" ht="14.25" customHeight="1">
      <c r="D217" s="8"/>
      <c r="E217" s="8"/>
      <c r="F217" s="8"/>
      <c r="G217" s="8"/>
      <c r="K217" s="8"/>
      <c r="L217" s="8"/>
      <c r="M217" s="8"/>
      <c r="O217" s="8"/>
      <c r="Q217" s="8"/>
      <c r="T217" s="8"/>
      <c r="W217" s="8"/>
    </row>
    <row r="218" ht="14.25" customHeight="1">
      <c r="D218" s="8"/>
      <c r="E218" s="8"/>
      <c r="F218" s="8"/>
      <c r="G218" s="8"/>
      <c r="K218" s="8"/>
      <c r="L218" s="8"/>
      <c r="M218" s="8"/>
      <c r="O218" s="8"/>
      <c r="Q218" s="8"/>
      <c r="T218" s="8"/>
      <c r="W218" s="8"/>
    </row>
    <row r="219" ht="14.25" customHeight="1">
      <c r="D219" s="8"/>
      <c r="E219" s="8"/>
      <c r="F219" s="8"/>
      <c r="G219" s="8"/>
      <c r="K219" s="8"/>
      <c r="L219" s="8"/>
      <c r="M219" s="8"/>
      <c r="O219" s="8"/>
      <c r="Q219" s="8"/>
      <c r="T219" s="8"/>
      <c r="W219" s="8"/>
    </row>
    <row r="220" ht="14.25" customHeight="1">
      <c r="D220" s="8"/>
      <c r="E220" s="8"/>
      <c r="F220" s="8"/>
      <c r="G220" s="8"/>
      <c r="K220" s="8"/>
      <c r="L220" s="8"/>
      <c r="M220" s="8"/>
      <c r="O220" s="8"/>
      <c r="Q220" s="8"/>
      <c r="T220" s="8"/>
      <c r="W220" s="8"/>
    </row>
    <row r="221" ht="14.25" customHeight="1">
      <c r="D221" s="8"/>
      <c r="E221" s="8"/>
      <c r="F221" s="8"/>
      <c r="G221" s="8"/>
      <c r="K221" s="8"/>
      <c r="L221" s="8"/>
      <c r="M221" s="8"/>
      <c r="O221" s="8"/>
      <c r="Q221" s="8"/>
      <c r="T221" s="8"/>
      <c r="W221" s="8"/>
    </row>
    <row r="222" ht="14.25" customHeight="1">
      <c r="D222" s="8"/>
      <c r="E222" s="8"/>
      <c r="F222" s="8"/>
      <c r="G222" s="8"/>
      <c r="K222" s="8"/>
      <c r="L222" s="8"/>
      <c r="M222" s="8"/>
      <c r="O222" s="8"/>
      <c r="Q222" s="8"/>
      <c r="T222" s="8"/>
      <c r="W222" s="8"/>
    </row>
    <row r="223" ht="14.25" customHeight="1">
      <c r="D223" s="8"/>
      <c r="E223" s="8"/>
      <c r="F223" s="8"/>
      <c r="G223" s="8"/>
      <c r="K223" s="8"/>
      <c r="L223" s="8"/>
      <c r="M223" s="8"/>
      <c r="O223" s="8"/>
      <c r="Q223" s="8"/>
      <c r="T223" s="8"/>
      <c r="W223" s="8"/>
    </row>
    <row r="224" ht="14.25" customHeight="1">
      <c r="D224" s="8"/>
      <c r="E224" s="8"/>
      <c r="F224" s="8"/>
      <c r="G224" s="8"/>
      <c r="K224" s="8"/>
      <c r="L224" s="8"/>
      <c r="M224" s="8"/>
      <c r="O224" s="8"/>
      <c r="Q224" s="8"/>
      <c r="T224" s="8"/>
      <c r="W224" s="8"/>
    </row>
    <row r="225" ht="14.25" customHeight="1">
      <c r="D225" s="8"/>
      <c r="E225" s="8"/>
      <c r="F225" s="8"/>
      <c r="G225" s="8"/>
      <c r="K225" s="8"/>
      <c r="L225" s="8"/>
      <c r="M225" s="8"/>
      <c r="O225" s="8"/>
      <c r="Q225" s="8"/>
      <c r="T225" s="8"/>
      <c r="W225" s="8"/>
    </row>
    <row r="226" ht="14.25" customHeight="1">
      <c r="D226" s="8"/>
      <c r="E226" s="8"/>
      <c r="F226" s="8"/>
      <c r="G226" s="8"/>
      <c r="K226" s="8"/>
      <c r="L226" s="8"/>
      <c r="M226" s="8"/>
      <c r="O226" s="8"/>
      <c r="Q226" s="8"/>
      <c r="T226" s="8"/>
      <c r="W226" s="8"/>
    </row>
    <row r="227" ht="14.25" customHeight="1">
      <c r="D227" s="8"/>
      <c r="E227" s="8"/>
      <c r="F227" s="8"/>
      <c r="G227" s="8"/>
      <c r="K227" s="8"/>
      <c r="L227" s="8"/>
      <c r="M227" s="8"/>
      <c r="O227" s="8"/>
      <c r="Q227" s="8"/>
      <c r="T227" s="8"/>
      <c r="W227" s="8"/>
    </row>
    <row r="228" ht="14.25" customHeight="1">
      <c r="D228" s="8"/>
      <c r="E228" s="8"/>
      <c r="F228" s="8"/>
      <c r="G228" s="8"/>
      <c r="K228" s="8"/>
      <c r="L228" s="8"/>
      <c r="M228" s="8"/>
      <c r="O228" s="8"/>
      <c r="Q228" s="8"/>
      <c r="T228" s="8"/>
      <c r="W228" s="8"/>
    </row>
    <row r="229" ht="14.25" customHeight="1">
      <c r="D229" s="8"/>
      <c r="E229" s="8"/>
      <c r="F229" s="8"/>
      <c r="G229" s="8"/>
      <c r="K229" s="8"/>
      <c r="L229" s="8"/>
      <c r="M229" s="8"/>
      <c r="O229" s="8"/>
      <c r="Q229" s="8"/>
      <c r="T229" s="8"/>
      <c r="W229" s="8"/>
    </row>
    <row r="230" ht="14.25" customHeight="1">
      <c r="D230" s="8"/>
      <c r="E230" s="8"/>
      <c r="F230" s="8"/>
      <c r="G230" s="8"/>
      <c r="K230" s="8"/>
      <c r="L230" s="8"/>
      <c r="M230" s="8"/>
      <c r="O230" s="8"/>
      <c r="Q230" s="8"/>
      <c r="T230" s="8"/>
      <c r="W230" s="8"/>
    </row>
    <row r="231" ht="14.25" customHeight="1">
      <c r="D231" s="8"/>
      <c r="E231" s="8"/>
      <c r="F231" s="8"/>
      <c r="G231" s="8"/>
      <c r="K231" s="8"/>
      <c r="L231" s="8"/>
      <c r="M231" s="8"/>
      <c r="O231" s="8"/>
      <c r="Q231" s="8"/>
      <c r="T231" s="8"/>
      <c r="W231" s="8"/>
    </row>
    <row r="232" ht="14.25" customHeight="1">
      <c r="D232" s="8"/>
      <c r="E232" s="8"/>
      <c r="F232" s="8"/>
      <c r="G232" s="8"/>
      <c r="K232" s="8"/>
      <c r="L232" s="8"/>
      <c r="M232" s="8"/>
      <c r="O232" s="8"/>
      <c r="Q232" s="8"/>
      <c r="T232" s="8"/>
      <c r="W232" s="8"/>
    </row>
    <row r="233" ht="14.25" customHeight="1">
      <c r="D233" s="8"/>
      <c r="E233" s="8"/>
      <c r="F233" s="8"/>
      <c r="G233" s="8"/>
      <c r="K233" s="8"/>
      <c r="L233" s="8"/>
      <c r="M233" s="8"/>
      <c r="O233" s="8"/>
      <c r="Q233" s="8"/>
      <c r="T233" s="8"/>
      <c r="W233" s="8"/>
    </row>
    <row r="234" ht="14.25" customHeight="1">
      <c r="D234" s="8"/>
      <c r="E234" s="8"/>
      <c r="F234" s="8"/>
      <c r="G234" s="8"/>
      <c r="K234" s="8"/>
      <c r="L234" s="8"/>
      <c r="M234" s="8"/>
      <c r="O234" s="8"/>
      <c r="Q234" s="8"/>
      <c r="T234" s="8"/>
      <c r="W234" s="8"/>
    </row>
    <row r="235" ht="14.25" customHeight="1">
      <c r="D235" s="8"/>
      <c r="E235" s="8"/>
      <c r="F235" s="8"/>
      <c r="G235" s="8"/>
      <c r="K235" s="8"/>
      <c r="L235" s="8"/>
      <c r="M235" s="8"/>
      <c r="O235" s="8"/>
      <c r="Q235" s="8"/>
      <c r="T235" s="8"/>
      <c r="W235" s="8"/>
    </row>
    <row r="236" ht="14.25" customHeight="1">
      <c r="D236" s="8"/>
      <c r="E236" s="8"/>
      <c r="F236" s="8"/>
      <c r="G236" s="8"/>
      <c r="K236" s="8"/>
      <c r="L236" s="8"/>
      <c r="M236" s="8"/>
      <c r="O236" s="8"/>
      <c r="Q236" s="8"/>
      <c r="T236" s="8"/>
      <c r="W236" s="8"/>
    </row>
    <row r="237" ht="14.25" customHeight="1">
      <c r="D237" s="8"/>
      <c r="E237" s="8"/>
      <c r="F237" s="8"/>
      <c r="G237" s="8"/>
      <c r="K237" s="8"/>
      <c r="L237" s="8"/>
      <c r="M237" s="8"/>
      <c r="O237" s="8"/>
      <c r="Q237" s="8"/>
      <c r="T237" s="8"/>
      <c r="W237" s="8"/>
    </row>
    <row r="238" ht="14.25" customHeight="1">
      <c r="D238" s="8"/>
      <c r="E238" s="8"/>
      <c r="F238" s="8"/>
      <c r="G238" s="8"/>
      <c r="K238" s="8"/>
      <c r="L238" s="8"/>
      <c r="M238" s="8"/>
      <c r="O238" s="8"/>
      <c r="Q238" s="8"/>
      <c r="T238" s="8"/>
      <c r="W238" s="8"/>
    </row>
    <row r="239" ht="14.25" customHeight="1">
      <c r="D239" s="8"/>
      <c r="E239" s="8"/>
      <c r="F239" s="8"/>
      <c r="G239" s="8"/>
      <c r="K239" s="8"/>
      <c r="L239" s="8"/>
      <c r="M239" s="8"/>
      <c r="O239" s="8"/>
      <c r="Q239" s="8"/>
      <c r="T239" s="8"/>
      <c r="W239" s="8"/>
    </row>
    <row r="240" ht="14.25" customHeight="1">
      <c r="D240" s="8"/>
      <c r="E240" s="8"/>
      <c r="F240" s="8"/>
      <c r="G240" s="8"/>
      <c r="K240" s="8"/>
      <c r="L240" s="8"/>
      <c r="M240" s="8"/>
      <c r="O240" s="8"/>
      <c r="Q240" s="8"/>
      <c r="T240" s="8"/>
      <c r="W240" s="8"/>
    </row>
    <row r="241" ht="14.25" customHeight="1">
      <c r="D241" s="8"/>
      <c r="E241" s="8"/>
      <c r="F241" s="8"/>
      <c r="G241" s="8"/>
      <c r="K241" s="8"/>
      <c r="L241" s="8"/>
      <c r="M241" s="8"/>
      <c r="O241" s="8"/>
      <c r="Q241" s="8"/>
      <c r="T241" s="8"/>
      <c r="W241" s="8"/>
    </row>
    <row r="242" ht="14.25" customHeight="1">
      <c r="D242" s="8"/>
      <c r="E242" s="8"/>
      <c r="F242" s="8"/>
      <c r="G242" s="8"/>
      <c r="K242" s="8"/>
      <c r="L242" s="8"/>
      <c r="M242" s="8"/>
      <c r="O242" s="8"/>
      <c r="Q242" s="8"/>
      <c r="T242" s="8"/>
      <c r="W242" s="8"/>
    </row>
    <row r="243" ht="14.25" customHeight="1">
      <c r="D243" s="8"/>
      <c r="E243" s="8"/>
      <c r="F243" s="8"/>
      <c r="G243" s="8"/>
      <c r="K243" s="8"/>
      <c r="L243" s="8"/>
      <c r="M243" s="8"/>
      <c r="O243" s="8"/>
      <c r="Q243" s="8"/>
      <c r="T243" s="8"/>
      <c r="W243" s="8"/>
    </row>
    <row r="244" ht="14.25" customHeight="1">
      <c r="D244" s="8"/>
      <c r="E244" s="8"/>
      <c r="F244" s="8"/>
      <c r="G244" s="8"/>
      <c r="K244" s="8"/>
      <c r="L244" s="8"/>
      <c r="M244" s="8"/>
      <c r="O244" s="8"/>
      <c r="Q244" s="8"/>
      <c r="T244" s="8"/>
      <c r="W244" s="8"/>
    </row>
    <row r="245" ht="14.25" customHeight="1">
      <c r="D245" s="8"/>
      <c r="E245" s="8"/>
      <c r="F245" s="8"/>
      <c r="G245" s="8"/>
      <c r="K245" s="8"/>
      <c r="L245" s="8"/>
      <c r="M245" s="8"/>
      <c r="O245" s="8"/>
      <c r="Q245" s="8"/>
      <c r="T245" s="8"/>
      <c r="W245" s="8"/>
    </row>
    <row r="246" ht="14.25" customHeight="1">
      <c r="D246" s="8"/>
      <c r="E246" s="8"/>
      <c r="F246" s="8"/>
      <c r="G246" s="8"/>
      <c r="K246" s="8"/>
      <c r="L246" s="8"/>
      <c r="M246" s="8"/>
      <c r="O246" s="8"/>
      <c r="Q246" s="8"/>
      <c r="T246" s="8"/>
      <c r="W246" s="8"/>
    </row>
    <row r="247" ht="14.25" customHeight="1">
      <c r="D247" s="8"/>
      <c r="E247" s="8"/>
      <c r="F247" s="8"/>
      <c r="G247" s="8"/>
      <c r="K247" s="8"/>
      <c r="L247" s="8"/>
      <c r="M247" s="8"/>
      <c r="O247" s="8"/>
      <c r="Q247" s="8"/>
      <c r="T247" s="8"/>
      <c r="W247" s="8"/>
    </row>
    <row r="248" ht="14.25" customHeight="1">
      <c r="D248" s="8"/>
      <c r="E248" s="8"/>
      <c r="F248" s="8"/>
      <c r="G248" s="8"/>
      <c r="K248" s="8"/>
      <c r="L248" s="8"/>
      <c r="M248" s="8"/>
      <c r="O248" s="8"/>
      <c r="Q248" s="8"/>
      <c r="T248" s="8"/>
      <c r="W248" s="8"/>
    </row>
    <row r="249" ht="14.25" customHeight="1">
      <c r="D249" s="8"/>
      <c r="E249" s="8"/>
      <c r="F249" s="8"/>
      <c r="G249" s="8"/>
      <c r="K249" s="8"/>
      <c r="L249" s="8"/>
      <c r="M249" s="8"/>
      <c r="O249" s="8"/>
      <c r="Q249" s="8"/>
      <c r="T249" s="8"/>
      <c r="W249" s="8"/>
    </row>
    <row r="250" ht="14.25" customHeight="1">
      <c r="D250" s="8"/>
      <c r="E250" s="8"/>
      <c r="F250" s="8"/>
      <c r="G250" s="8"/>
      <c r="K250" s="8"/>
      <c r="L250" s="8"/>
      <c r="M250" s="8"/>
      <c r="O250" s="8"/>
      <c r="Q250" s="8"/>
      <c r="T250" s="8"/>
      <c r="W250" s="8"/>
    </row>
    <row r="251" ht="14.25" customHeight="1">
      <c r="D251" s="8"/>
      <c r="E251" s="8"/>
      <c r="F251" s="8"/>
      <c r="G251" s="8"/>
      <c r="K251" s="8"/>
      <c r="L251" s="8"/>
      <c r="M251" s="8"/>
      <c r="O251" s="8"/>
      <c r="Q251" s="8"/>
      <c r="T251" s="8"/>
      <c r="W251" s="8"/>
    </row>
    <row r="252" ht="14.25" customHeight="1">
      <c r="D252" s="8"/>
      <c r="E252" s="8"/>
      <c r="F252" s="8"/>
      <c r="G252" s="8"/>
      <c r="K252" s="8"/>
      <c r="L252" s="8"/>
      <c r="M252" s="8"/>
      <c r="O252" s="8"/>
      <c r="Q252" s="8"/>
      <c r="T252" s="8"/>
      <c r="W252" s="8"/>
    </row>
    <row r="253" ht="14.25" customHeight="1">
      <c r="D253" s="8"/>
      <c r="E253" s="8"/>
      <c r="F253" s="8"/>
      <c r="G253" s="8"/>
      <c r="K253" s="8"/>
      <c r="L253" s="8"/>
      <c r="M253" s="8"/>
      <c r="O253" s="8"/>
      <c r="Q253" s="8"/>
      <c r="T253" s="8"/>
      <c r="W253" s="8"/>
    </row>
    <row r="254" ht="14.25" customHeight="1">
      <c r="D254" s="8"/>
      <c r="E254" s="8"/>
      <c r="F254" s="8"/>
      <c r="G254" s="8"/>
      <c r="K254" s="8"/>
      <c r="L254" s="8"/>
      <c r="M254" s="8"/>
      <c r="O254" s="8"/>
      <c r="Q254" s="8"/>
      <c r="T254" s="8"/>
      <c r="W254" s="8"/>
    </row>
    <row r="255" ht="14.25" customHeight="1">
      <c r="D255" s="8"/>
      <c r="E255" s="8"/>
      <c r="F255" s="8"/>
      <c r="G255" s="8"/>
      <c r="K255" s="8"/>
      <c r="L255" s="8"/>
      <c r="M255" s="8"/>
      <c r="O255" s="8"/>
      <c r="Q255" s="8"/>
      <c r="T255" s="8"/>
      <c r="W255" s="8"/>
    </row>
    <row r="256" ht="14.25" customHeight="1">
      <c r="D256" s="8"/>
      <c r="E256" s="8"/>
      <c r="F256" s="8"/>
      <c r="G256" s="8"/>
      <c r="K256" s="8"/>
      <c r="L256" s="8"/>
      <c r="M256" s="8"/>
      <c r="O256" s="8"/>
      <c r="Q256" s="8"/>
      <c r="T256" s="8"/>
      <c r="W256" s="8"/>
    </row>
    <row r="257" ht="14.25" customHeight="1">
      <c r="D257" s="8"/>
      <c r="E257" s="8"/>
      <c r="F257" s="8"/>
      <c r="G257" s="8"/>
      <c r="K257" s="8"/>
      <c r="L257" s="8"/>
      <c r="M257" s="8"/>
      <c r="O257" s="8"/>
      <c r="Q257" s="8"/>
      <c r="T257" s="8"/>
      <c r="W257" s="8"/>
    </row>
    <row r="258" ht="14.25" customHeight="1">
      <c r="D258" s="8"/>
      <c r="E258" s="8"/>
      <c r="F258" s="8"/>
      <c r="G258" s="8"/>
      <c r="K258" s="8"/>
      <c r="L258" s="8"/>
      <c r="M258" s="8"/>
      <c r="O258" s="8"/>
      <c r="Q258" s="8"/>
      <c r="T258" s="8"/>
      <c r="W258" s="8"/>
    </row>
    <row r="259" ht="14.25" customHeight="1">
      <c r="D259" s="8"/>
      <c r="E259" s="8"/>
      <c r="F259" s="8"/>
      <c r="G259" s="8"/>
      <c r="K259" s="8"/>
      <c r="L259" s="8"/>
      <c r="M259" s="8"/>
      <c r="O259" s="8"/>
      <c r="Q259" s="8"/>
      <c r="T259" s="8"/>
      <c r="W259" s="8"/>
    </row>
    <row r="260" ht="14.25" customHeight="1">
      <c r="D260" s="8"/>
      <c r="E260" s="8"/>
      <c r="F260" s="8"/>
      <c r="G260" s="8"/>
      <c r="K260" s="8"/>
      <c r="L260" s="8"/>
      <c r="M260" s="8"/>
      <c r="O260" s="8"/>
      <c r="Q260" s="8"/>
      <c r="T260" s="8"/>
      <c r="W260" s="8"/>
    </row>
    <row r="261" ht="14.25" customHeight="1">
      <c r="D261" s="8"/>
      <c r="E261" s="8"/>
      <c r="F261" s="8"/>
      <c r="G261" s="8"/>
      <c r="K261" s="8"/>
      <c r="L261" s="8"/>
      <c r="M261" s="8"/>
      <c r="O261" s="8"/>
      <c r="Q261" s="8"/>
      <c r="T261" s="8"/>
      <c r="W261" s="8"/>
    </row>
    <row r="262" ht="14.25" customHeight="1">
      <c r="D262" s="8"/>
      <c r="E262" s="8"/>
      <c r="F262" s="8"/>
      <c r="G262" s="8"/>
      <c r="K262" s="8"/>
      <c r="L262" s="8"/>
      <c r="M262" s="8"/>
      <c r="O262" s="8"/>
      <c r="Q262" s="8"/>
      <c r="T262" s="8"/>
      <c r="W262" s="8"/>
    </row>
    <row r="263" ht="14.25" customHeight="1">
      <c r="D263" s="8"/>
      <c r="E263" s="8"/>
      <c r="F263" s="8"/>
      <c r="G263" s="8"/>
      <c r="K263" s="8"/>
      <c r="L263" s="8"/>
      <c r="M263" s="8"/>
      <c r="O263" s="8"/>
      <c r="Q263" s="8"/>
      <c r="T263" s="8"/>
      <c r="W263" s="8"/>
    </row>
    <row r="264" ht="14.25" customHeight="1">
      <c r="D264" s="8"/>
      <c r="E264" s="8"/>
      <c r="F264" s="8"/>
      <c r="G264" s="8"/>
      <c r="K264" s="8"/>
      <c r="L264" s="8"/>
      <c r="M264" s="8"/>
      <c r="O264" s="8"/>
      <c r="Q264" s="8"/>
      <c r="T264" s="8"/>
      <c r="W264" s="8"/>
    </row>
    <row r="265" ht="14.25" customHeight="1">
      <c r="D265" s="8"/>
      <c r="E265" s="8"/>
      <c r="F265" s="8"/>
      <c r="G265" s="8"/>
      <c r="K265" s="8"/>
      <c r="L265" s="8"/>
      <c r="M265" s="8"/>
      <c r="O265" s="8"/>
      <c r="Q265" s="8"/>
      <c r="T265" s="8"/>
      <c r="W265" s="8"/>
    </row>
    <row r="266" ht="14.25" customHeight="1">
      <c r="D266" s="8"/>
      <c r="E266" s="8"/>
      <c r="F266" s="8"/>
      <c r="G266" s="8"/>
      <c r="K266" s="8"/>
      <c r="L266" s="8"/>
      <c r="M266" s="8"/>
      <c r="O266" s="8"/>
      <c r="Q266" s="8"/>
      <c r="T266" s="8"/>
      <c r="W266" s="8"/>
    </row>
    <row r="267" ht="14.25" customHeight="1">
      <c r="D267" s="8"/>
      <c r="E267" s="8"/>
      <c r="F267" s="8"/>
      <c r="G267" s="8"/>
      <c r="K267" s="8"/>
      <c r="L267" s="8"/>
      <c r="M267" s="8"/>
      <c r="O267" s="8"/>
      <c r="Q267" s="8"/>
      <c r="T267" s="8"/>
      <c r="W267" s="8"/>
    </row>
    <row r="268" ht="14.25" customHeight="1">
      <c r="D268" s="8"/>
      <c r="E268" s="8"/>
      <c r="F268" s="8"/>
      <c r="G268" s="8"/>
      <c r="K268" s="8"/>
      <c r="L268" s="8"/>
      <c r="M268" s="8"/>
      <c r="O268" s="8"/>
      <c r="Q268" s="8"/>
      <c r="T268" s="8"/>
      <c r="W268" s="8"/>
    </row>
    <row r="269" ht="14.25" customHeight="1">
      <c r="D269" s="8"/>
      <c r="E269" s="8"/>
      <c r="F269" s="8"/>
      <c r="G269" s="8"/>
      <c r="K269" s="8"/>
      <c r="L269" s="8"/>
      <c r="M269" s="8"/>
      <c r="O269" s="8"/>
      <c r="Q269" s="8"/>
      <c r="T269" s="8"/>
      <c r="W269" s="8"/>
    </row>
    <row r="270" ht="14.25" customHeight="1">
      <c r="D270" s="8"/>
      <c r="E270" s="8"/>
      <c r="F270" s="8"/>
      <c r="G270" s="8"/>
      <c r="K270" s="8"/>
      <c r="L270" s="8"/>
      <c r="M270" s="8"/>
      <c r="O270" s="8"/>
      <c r="Q270" s="8"/>
      <c r="T270" s="8"/>
      <c r="W270" s="8"/>
    </row>
    <row r="271" ht="14.25" customHeight="1">
      <c r="D271" s="8"/>
      <c r="E271" s="8"/>
      <c r="F271" s="8"/>
      <c r="G271" s="8"/>
      <c r="K271" s="8"/>
      <c r="L271" s="8"/>
      <c r="M271" s="8"/>
      <c r="O271" s="8"/>
      <c r="Q271" s="8"/>
      <c r="T271" s="8"/>
      <c r="W271" s="8"/>
    </row>
    <row r="272" ht="14.25" customHeight="1">
      <c r="D272" s="8"/>
      <c r="E272" s="8"/>
      <c r="F272" s="8"/>
      <c r="G272" s="8"/>
      <c r="K272" s="8"/>
      <c r="L272" s="8"/>
      <c r="M272" s="8"/>
      <c r="O272" s="8"/>
      <c r="Q272" s="8"/>
      <c r="T272" s="8"/>
      <c r="W272" s="8"/>
    </row>
    <row r="273" ht="14.25" customHeight="1">
      <c r="D273" s="8"/>
      <c r="E273" s="8"/>
      <c r="F273" s="8"/>
      <c r="G273" s="8"/>
      <c r="K273" s="8"/>
      <c r="L273" s="8"/>
      <c r="M273" s="8"/>
      <c r="O273" s="8"/>
      <c r="Q273" s="8"/>
      <c r="T273" s="8"/>
      <c r="W273" s="8"/>
    </row>
    <row r="274" ht="14.25" customHeight="1">
      <c r="D274" s="8"/>
      <c r="E274" s="8"/>
      <c r="F274" s="8"/>
      <c r="G274" s="8"/>
      <c r="K274" s="8"/>
      <c r="L274" s="8"/>
      <c r="M274" s="8"/>
      <c r="O274" s="8"/>
      <c r="Q274" s="8"/>
      <c r="T274" s="8"/>
      <c r="W274" s="8"/>
    </row>
    <row r="275" ht="14.25" customHeight="1">
      <c r="D275" s="8"/>
      <c r="E275" s="8"/>
      <c r="F275" s="8"/>
      <c r="G275" s="8"/>
      <c r="K275" s="8"/>
      <c r="L275" s="8"/>
      <c r="M275" s="8"/>
      <c r="O275" s="8"/>
      <c r="Q275" s="8"/>
      <c r="T275" s="8"/>
      <c r="W275" s="8"/>
    </row>
    <row r="276" ht="14.25" customHeight="1">
      <c r="D276" s="8"/>
      <c r="E276" s="8"/>
      <c r="F276" s="8"/>
      <c r="G276" s="8"/>
      <c r="K276" s="8"/>
      <c r="L276" s="8"/>
      <c r="M276" s="8"/>
      <c r="O276" s="8"/>
      <c r="Q276" s="8"/>
      <c r="T276" s="8"/>
      <c r="W276" s="8"/>
    </row>
    <row r="277" ht="14.25" customHeight="1">
      <c r="D277" s="8"/>
      <c r="E277" s="8"/>
      <c r="F277" s="8"/>
      <c r="G277" s="8"/>
      <c r="K277" s="8"/>
      <c r="L277" s="8"/>
      <c r="M277" s="8"/>
      <c r="O277" s="8"/>
      <c r="Q277" s="8"/>
      <c r="T277" s="8"/>
      <c r="W277" s="8"/>
    </row>
    <row r="278" ht="14.25" customHeight="1">
      <c r="D278" s="8"/>
      <c r="E278" s="8"/>
      <c r="F278" s="8"/>
      <c r="G278" s="8"/>
      <c r="K278" s="8"/>
      <c r="L278" s="8"/>
      <c r="M278" s="8"/>
      <c r="O278" s="8"/>
      <c r="Q278" s="8"/>
      <c r="T278" s="8"/>
      <c r="W278" s="8"/>
    </row>
    <row r="279" ht="14.25" customHeight="1">
      <c r="D279" s="8"/>
      <c r="E279" s="8"/>
      <c r="F279" s="8"/>
      <c r="G279" s="8"/>
      <c r="K279" s="8"/>
      <c r="L279" s="8"/>
      <c r="M279" s="8"/>
      <c r="O279" s="8"/>
      <c r="Q279" s="8"/>
      <c r="T279" s="8"/>
      <c r="W279" s="8"/>
    </row>
    <row r="280" ht="14.25" customHeight="1">
      <c r="D280" s="8"/>
      <c r="E280" s="8"/>
      <c r="F280" s="8"/>
      <c r="G280" s="8"/>
      <c r="K280" s="8"/>
      <c r="L280" s="8"/>
      <c r="M280" s="8"/>
      <c r="O280" s="8"/>
      <c r="Q280" s="8"/>
      <c r="T280" s="8"/>
      <c r="W280" s="8"/>
    </row>
    <row r="281" ht="14.25" customHeight="1">
      <c r="D281" s="8"/>
      <c r="E281" s="8"/>
      <c r="F281" s="8"/>
      <c r="G281" s="8"/>
      <c r="K281" s="8"/>
      <c r="L281" s="8"/>
      <c r="M281" s="8"/>
      <c r="O281" s="8"/>
      <c r="Q281" s="8"/>
      <c r="T281" s="8"/>
      <c r="W281" s="8"/>
    </row>
    <row r="282" ht="14.25" customHeight="1">
      <c r="D282" s="8"/>
      <c r="E282" s="8"/>
      <c r="F282" s="8"/>
      <c r="G282" s="8"/>
      <c r="K282" s="8"/>
      <c r="L282" s="8"/>
      <c r="M282" s="8"/>
      <c r="O282" s="8"/>
      <c r="Q282" s="8"/>
      <c r="T282" s="8"/>
      <c r="W282" s="8"/>
    </row>
    <row r="283" ht="14.25" customHeight="1">
      <c r="D283" s="8"/>
      <c r="E283" s="8"/>
      <c r="F283" s="8"/>
      <c r="G283" s="8"/>
      <c r="K283" s="8"/>
      <c r="L283" s="8"/>
      <c r="M283" s="8"/>
      <c r="O283" s="8"/>
      <c r="Q283" s="8"/>
      <c r="T283" s="8"/>
      <c r="W283" s="8"/>
    </row>
    <row r="284" ht="14.25" customHeight="1">
      <c r="D284" s="8"/>
      <c r="E284" s="8"/>
      <c r="F284" s="8"/>
      <c r="G284" s="8"/>
      <c r="K284" s="8"/>
      <c r="L284" s="8"/>
      <c r="M284" s="8"/>
      <c r="O284" s="8"/>
      <c r="Q284" s="8"/>
      <c r="T284" s="8"/>
      <c r="W284" s="8"/>
    </row>
    <row r="285" ht="14.25" customHeight="1">
      <c r="D285" s="8"/>
      <c r="E285" s="8"/>
      <c r="F285" s="8"/>
      <c r="G285" s="8"/>
      <c r="K285" s="8"/>
      <c r="L285" s="8"/>
      <c r="M285" s="8"/>
      <c r="O285" s="8"/>
      <c r="Q285" s="8"/>
      <c r="T285" s="8"/>
      <c r="W285" s="8"/>
    </row>
    <row r="286" ht="14.25" customHeight="1">
      <c r="D286" s="8"/>
      <c r="E286" s="8"/>
      <c r="F286" s="8"/>
      <c r="G286" s="8"/>
      <c r="K286" s="8"/>
      <c r="L286" s="8"/>
      <c r="M286" s="8"/>
      <c r="O286" s="8"/>
      <c r="Q286" s="8"/>
      <c r="T286" s="8"/>
      <c r="W286" s="8"/>
    </row>
    <row r="287" ht="14.25" customHeight="1">
      <c r="D287" s="8"/>
      <c r="E287" s="8"/>
      <c r="F287" s="8"/>
      <c r="G287" s="8"/>
      <c r="K287" s="8"/>
      <c r="L287" s="8"/>
      <c r="M287" s="8"/>
      <c r="O287" s="8"/>
      <c r="Q287" s="8"/>
      <c r="T287" s="8"/>
      <c r="W287" s="8"/>
    </row>
    <row r="288" ht="14.25" customHeight="1">
      <c r="D288" s="8"/>
      <c r="E288" s="8"/>
      <c r="F288" s="8"/>
      <c r="G288" s="8"/>
      <c r="K288" s="8"/>
      <c r="L288" s="8"/>
      <c r="M288" s="8"/>
      <c r="O288" s="8"/>
      <c r="Q288" s="8"/>
      <c r="T288" s="8"/>
      <c r="W288" s="8"/>
    </row>
    <row r="289" ht="14.25" customHeight="1">
      <c r="D289" s="8"/>
      <c r="E289" s="8"/>
      <c r="F289" s="8"/>
      <c r="G289" s="8"/>
      <c r="K289" s="8"/>
      <c r="L289" s="8"/>
      <c r="M289" s="8"/>
      <c r="O289" s="8"/>
      <c r="Q289" s="8"/>
      <c r="T289" s="8"/>
      <c r="W289" s="8"/>
    </row>
    <row r="290" ht="14.25" customHeight="1">
      <c r="D290" s="8"/>
      <c r="E290" s="8"/>
      <c r="F290" s="8"/>
      <c r="G290" s="8"/>
      <c r="K290" s="8"/>
      <c r="L290" s="8"/>
      <c r="M290" s="8"/>
      <c r="O290" s="8"/>
      <c r="Q290" s="8"/>
      <c r="T290" s="8"/>
      <c r="W290" s="8"/>
    </row>
    <row r="291" ht="14.25" customHeight="1">
      <c r="D291" s="8"/>
      <c r="E291" s="8"/>
      <c r="F291" s="8"/>
      <c r="G291" s="8"/>
      <c r="K291" s="8"/>
      <c r="L291" s="8"/>
      <c r="M291" s="8"/>
      <c r="O291" s="8"/>
      <c r="Q291" s="8"/>
      <c r="T291" s="8"/>
      <c r="W291" s="8"/>
    </row>
    <row r="292" ht="14.25" customHeight="1">
      <c r="D292" s="8"/>
      <c r="E292" s="8"/>
      <c r="F292" s="8"/>
      <c r="G292" s="8"/>
      <c r="K292" s="8"/>
      <c r="L292" s="8"/>
      <c r="M292" s="8"/>
      <c r="O292" s="8"/>
      <c r="Q292" s="8"/>
      <c r="T292" s="8"/>
      <c r="W292" s="8"/>
    </row>
    <row r="293" ht="14.25" customHeight="1">
      <c r="D293" s="8"/>
      <c r="E293" s="8"/>
      <c r="F293" s="8"/>
      <c r="G293" s="8"/>
      <c r="K293" s="8"/>
      <c r="L293" s="8"/>
      <c r="M293" s="8"/>
      <c r="O293" s="8"/>
      <c r="Q293" s="8"/>
      <c r="T293" s="8"/>
      <c r="W293" s="8"/>
    </row>
    <row r="294" ht="14.25" customHeight="1">
      <c r="D294" s="8"/>
      <c r="E294" s="8"/>
      <c r="F294" s="8"/>
      <c r="G294" s="8"/>
      <c r="K294" s="8"/>
      <c r="L294" s="8"/>
      <c r="M294" s="8"/>
      <c r="O294" s="8"/>
      <c r="Q294" s="8"/>
      <c r="T294" s="8"/>
      <c r="W294" s="8"/>
    </row>
    <row r="295" ht="14.25" customHeight="1">
      <c r="D295" s="8"/>
      <c r="E295" s="8"/>
      <c r="F295" s="8"/>
      <c r="G295" s="8"/>
      <c r="K295" s="8"/>
      <c r="L295" s="8"/>
      <c r="M295" s="8"/>
      <c r="O295" s="8"/>
      <c r="Q295" s="8"/>
      <c r="T295" s="8"/>
      <c r="W295" s="8"/>
    </row>
    <row r="296" ht="14.25" customHeight="1">
      <c r="D296" s="8"/>
      <c r="E296" s="8"/>
      <c r="F296" s="8"/>
      <c r="G296" s="8"/>
      <c r="K296" s="8"/>
      <c r="L296" s="8"/>
      <c r="M296" s="8"/>
      <c r="O296" s="8"/>
      <c r="Q296" s="8"/>
      <c r="T296" s="8"/>
      <c r="W296" s="8"/>
    </row>
    <row r="297" ht="14.25" customHeight="1">
      <c r="D297" s="8"/>
      <c r="E297" s="8"/>
      <c r="F297" s="8"/>
      <c r="G297" s="8"/>
      <c r="K297" s="8"/>
      <c r="L297" s="8"/>
      <c r="M297" s="8"/>
      <c r="O297" s="8"/>
      <c r="Q297" s="8"/>
      <c r="T297" s="8"/>
      <c r="W297" s="8"/>
    </row>
    <row r="298" ht="14.25" customHeight="1">
      <c r="D298" s="8"/>
      <c r="E298" s="8"/>
      <c r="F298" s="8"/>
      <c r="G298" s="8"/>
      <c r="K298" s="8"/>
      <c r="L298" s="8"/>
      <c r="M298" s="8"/>
      <c r="O298" s="8"/>
      <c r="Q298" s="8"/>
      <c r="T298" s="8"/>
      <c r="W298" s="8"/>
    </row>
    <row r="299" ht="14.25" customHeight="1">
      <c r="D299" s="8"/>
      <c r="E299" s="8"/>
      <c r="F299" s="8"/>
      <c r="G299" s="8"/>
      <c r="K299" s="8"/>
      <c r="L299" s="8"/>
      <c r="M299" s="8"/>
      <c r="O299" s="8"/>
      <c r="Q299" s="8"/>
      <c r="T299" s="8"/>
      <c r="W299" s="8"/>
    </row>
    <row r="300" ht="14.25" customHeight="1">
      <c r="D300" s="8"/>
      <c r="E300" s="8"/>
      <c r="F300" s="8"/>
      <c r="G300" s="8"/>
      <c r="K300" s="8"/>
      <c r="L300" s="8"/>
      <c r="M300" s="8"/>
      <c r="O300" s="8"/>
      <c r="Q300" s="8"/>
      <c r="T300" s="8"/>
      <c r="W300" s="8"/>
    </row>
    <row r="301" ht="14.25" customHeight="1">
      <c r="D301" s="8"/>
      <c r="E301" s="8"/>
      <c r="F301" s="8"/>
      <c r="G301" s="8"/>
      <c r="K301" s="8"/>
      <c r="L301" s="8"/>
      <c r="M301" s="8"/>
      <c r="O301" s="8"/>
      <c r="Q301" s="8"/>
      <c r="T301" s="8"/>
      <c r="W301" s="8"/>
    </row>
    <row r="302" ht="14.25" customHeight="1">
      <c r="D302" s="8"/>
      <c r="E302" s="8"/>
      <c r="F302" s="8"/>
      <c r="G302" s="8"/>
      <c r="K302" s="8"/>
      <c r="L302" s="8"/>
      <c r="M302" s="8"/>
      <c r="O302" s="8"/>
      <c r="Q302" s="8"/>
      <c r="T302" s="8"/>
      <c r="W302" s="8"/>
    </row>
    <row r="303" ht="14.25" customHeight="1">
      <c r="D303" s="8"/>
      <c r="E303" s="8"/>
      <c r="F303" s="8"/>
      <c r="G303" s="8"/>
      <c r="K303" s="8"/>
      <c r="L303" s="8"/>
      <c r="M303" s="8"/>
      <c r="O303" s="8"/>
      <c r="Q303" s="8"/>
      <c r="T303" s="8"/>
      <c r="W303" s="8"/>
    </row>
    <row r="304" ht="14.25" customHeight="1">
      <c r="D304" s="8"/>
      <c r="E304" s="8"/>
      <c r="F304" s="8"/>
      <c r="G304" s="8"/>
      <c r="K304" s="8"/>
      <c r="L304" s="8"/>
      <c r="M304" s="8"/>
      <c r="O304" s="8"/>
      <c r="Q304" s="8"/>
      <c r="T304" s="8"/>
      <c r="W304" s="8"/>
    </row>
    <row r="305" ht="14.25" customHeight="1">
      <c r="D305" s="8"/>
      <c r="E305" s="8"/>
      <c r="F305" s="8"/>
      <c r="G305" s="8"/>
      <c r="K305" s="8"/>
      <c r="L305" s="8"/>
      <c r="M305" s="8"/>
      <c r="O305" s="8"/>
      <c r="Q305" s="8"/>
      <c r="T305" s="8"/>
      <c r="W305" s="8"/>
    </row>
    <row r="306" ht="14.25" customHeight="1">
      <c r="D306" s="8"/>
      <c r="E306" s="8"/>
      <c r="F306" s="8"/>
      <c r="G306" s="8"/>
      <c r="K306" s="8"/>
      <c r="L306" s="8"/>
      <c r="M306" s="8"/>
      <c r="O306" s="8"/>
      <c r="Q306" s="8"/>
      <c r="T306" s="8"/>
      <c r="W306" s="8"/>
    </row>
    <row r="307" ht="14.25" customHeight="1">
      <c r="D307" s="8"/>
      <c r="E307" s="8"/>
      <c r="F307" s="8"/>
      <c r="G307" s="8"/>
      <c r="K307" s="8"/>
      <c r="L307" s="8"/>
      <c r="M307" s="8"/>
      <c r="O307" s="8"/>
      <c r="Q307" s="8"/>
      <c r="T307" s="8"/>
      <c r="W307" s="8"/>
    </row>
    <row r="308" ht="14.25" customHeight="1">
      <c r="D308" s="8"/>
      <c r="E308" s="8"/>
      <c r="F308" s="8"/>
      <c r="G308" s="8"/>
      <c r="K308" s="8"/>
      <c r="L308" s="8"/>
      <c r="M308" s="8"/>
      <c r="O308" s="8"/>
      <c r="Q308" s="8"/>
      <c r="T308" s="8"/>
      <c r="W308" s="8"/>
    </row>
    <row r="309" ht="14.25" customHeight="1">
      <c r="D309" s="8"/>
      <c r="E309" s="8"/>
      <c r="F309" s="8"/>
      <c r="G309" s="8"/>
      <c r="K309" s="8"/>
      <c r="L309" s="8"/>
      <c r="M309" s="8"/>
      <c r="O309" s="8"/>
      <c r="Q309" s="8"/>
      <c r="T309" s="8"/>
      <c r="W309" s="8"/>
    </row>
    <row r="310" ht="14.25" customHeight="1">
      <c r="D310" s="8"/>
      <c r="E310" s="8"/>
      <c r="F310" s="8"/>
      <c r="G310" s="8"/>
      <c r="K310" s="8"/>
      <c r="L310" s="8"/>
      <c r="M310" s="8"/>
      <c r="O310" s="8"/>
      <c r="Q310" s="8"/>
      <c r="T310" s="8"/>
      <c r="W310" s="8"/>
    </row>
    <row r="311" ht="14.25" customHeight="1">
      <c r="D311" s="8"/>
      <c r="E311" s="8"/>
      <c r="F311" s="8"/>
      <c r="G311" s="8"/>
      <c r="K311" s="8"/>
      <c r="L311" s="8"/>
      <c r="M311" s="8"/>
      <c r="O311" s="8"/>
      <c r="Q311" s="8"/>
      <c r="T311" s="8"/>
      <c r="W311" s="8"/>
    </row>
    <row r="312" ht="14.25" customHeight="1">
      <c r="D312" s="8"/>
      <c r="E312" s="8"/>
      <c r="F312" s="8"/>
      <c r="G312" s="8"/>
      <c r="K312" s="8"/>
      <c r="L312" s="8"/>
      <c r="M312" s="8"/>
      <c r="O312" s="8"/>
      <c r="Q312" s="8"/>
      <c r="T312" s="8"/>
      <c r="W312" s="8"/>
    </row>
    <row r="313" ht="14.25" customHeight="1">
      <c r="D313" s="8"/>
      <c r="E313" s="8"/>
      <c r="F313" s="8"/>
      <c r="G313" s="8"/>
      <c r="K313" s="8"/>
      <c r="L313" s="8"/>
      <c r="M313" s="8"/>
      <c r="O313" s="8"/>
      <c r="Q313" s="8"/>
      <c r="T313" s="8"/>
      <c r="W313" s="8"/>
    </row>
    <row r="314" ht="14.25" customHeight="1">
      <c r="D314" s="8"/>
      <c r="E314" s="8"/>
      <c r="F314" s="8"/>
      <c r="G314" s="8"/>
      <c r="K314" s="8"/>
      <c r="L314" s="8"/>
      <c r="M314" s="8"/>
      <c r="O314" s="8"/>
      <c r="Q314" s="8"/>
      <c r="T314" s="8"/>
      <c r="W314" s="8"/>
    </row>
    <row r="315" ht="14.25" customHeight="1">
      <c r="D315" s="8"/>
      <c r="E315" s="8"/>
      <c r="F315" s="8"/>
      <c r="G315" s="8"/>
      <c r="K315" s="8"/>
      <c r="L315" s="8"/>
      <c r="M315" s="8"/>
      <c r="O315" s="8"/>
      <c r="Q315" s="8"/>
      <c r="T315" s="8"/>
      <c r="W315" s="8"/>
    </row>
    <row r="316" ht="14.25" customHeight="1">
      <c r="D316" s="8"/>
      <c r="E316" s="8"/>
      <c r="F316" s="8"/>
      <c r="G316" s="8"/>
      <c r="K316" s="8"/>
      <c r="L316" s="8"/>
      <c r="M316" s="8"/>
      <c r="O316" s="8"/>
      <c r="Q316" s="8"/>
      <c r="T316" s="8"/>
      <c r="W316" s="8"/>
    </row>
    <row r="317" ht="14.25" customHeight="1">
      <c r="D317" s="8"/>
      <c r="E317" s="8"/>
      <c r="F317" s="8"/>
      <c r="G317" s="8"/>
      <c r="K317" s="8"/>
      <c r="L317" s="8"/>
      <c r="M317" s="8"/>
      <c r="O317" s="8"/>
      <c r="Q317" s="8"/>
      <c r="T317" s="8"/>
      <c r="W317" s="8"/>
    </row>
    <row r="318" ht="14.25" customHeight="1">
      <c r="D318" s="8"/>
      <c r="E318" s="8"/>
      <c r="F318" s="8"/>
      <c r="G318" s="8"/>
      <c r="K318" s="8"/>
      <c r="L318" s="8"/>
      <c r="M318" s="8"/>
      <c r="O318" s="8"/>
      <c r="Q318" s="8"/>
      <c r="T318" s="8"/>
      <c r="W318" s="8"/>
    </row>
    <row r="319" ht="14.25" customHeight="1">
      <c r="D319" s="8"/>
      <c r="E319" s="8"/>
      <c r="F319" s="8"/>
      <c r="G319" s="8"/>
      <c r="K319" s="8"/>
      <c r="L319" s="8"/>
      <c r="M319" s="8"/>
      <c r="O319" s="8"/>
      <c r="Q319" s="8"/>
      <c r="T319" s="8"/>
      <c r="W319" s="8"/>
    </row>
    <row r="320" ht="14.25" customHeight="1">
      <c r="D320" s="8"/>
      <c r="E320" s="8"/>
      <c r="F320" s="8"/>
      <c r="G320" s="8"/>
      <c r="K320" s="8"/>
      <c r="L320" s="8"/>
      <c r="M320" s="8"/>
      <c r="O320" s="8"/>
      <c r="Q320" s="8"/>
      <c r="T320" s="8"/>
      <c r="W320" s="8"/>
    </row>
    <row r="321" ht="14.25" customHeight="1">
      <c r="D321" s="8"/>
      <c r="E321" s="8"/>
      <c r="F321" s="8"/>
      <c r="G321" s="8"/>
      <c r="K321" s="8"/>
      <c r="L321" s="8"/>
      <c r="M321" s="8"/>
      <c r="O321" s="8"/>
      <c r="Q321" s="8"/>
      <c r="T321" s="8"/>
      <c r="W321" s="8"/>
    </row>
    <row r="322" ht="14.25" customHeight="1">
      <c r="D322" s="8"/>
      <c r="E322" s="8"/>
      <c r="F322" s="8"/>
      <c r="G322" s="8"/>
      <c r="K322" s="8"/>
      <c r="L322" s="8"/>
      <c r="M322" s="8"/>
      <c r="O322" s="8"/>
      <c r="Q322" s="8"/>
      <c r="T322" s="8"/>
      <c r="W322" s="8"/>
    </row>
    <row r="323" ht="14.25" customHeight="1">
      <c r="D323" s="8"/>
      <c r="E323" s="8"/>
      <c r="F323" s="8"/>
      <c r="G323" s="8"/>
      <c r="K323" s="8"/>
      <c r="L323" s="8"/>
      <c r="M323" s="8"/>
      <c r="O323" s="8"/>
      <c r="Q323" s="8"/>
      <c r="T323" s="8"/>
      <c r="W323" s="8"/>
    </row>
    <row r="324" ht="14.25" customHeight="1">
      <c r="D324" s="8"/>
      <c r="E324" s="8"/>
      <c r="F324" s="8"/>
      <c r="G324" s="8"/>
      <c r="K324" s="8"/>
      <c r="L324" s="8"/>
      <c r="M324" s="8"/>
      <c r="O324" s="8"/>
      <c r="Q324" s="8"/>
      <c r="T324" s="8"/>
      <c r="W324" s="8"/>
    </row>
    <row r="325" ht="14.25" customHeight="1">
      <c r="D325" s="8"/>
      <c r="E325" s="8"/>
      <c r="F325" s="8"/>
      <c r="G325" s="8"/>
      <c r="K325" s="8"/>
      <c r="L325" s="8"/>
      <c r="M325" s="8"/>
      <c r="O325" s="8"/>
      <c r="Q325" s="8"/>
      <c r="T325" s="8"/>
      <c r="W325" s="8"/>
    </row>
    <row r="326" ht="14.25" customHeight="1">
      <c r="D326" s="8"/>
      <c r="E326" s="8"/>
      <c r="F326" s="8"/>
      <c r="G326" s="8"/>
      <c r="K326" s="8"/>
      <c r="L326" s="8"/>
      <c r="M326" s="8"/>
      <c r="O326" s="8"/>
      <c r="Q326" s="8"/>
      <c r="T326" s="8"/>
      <c r="W326" s="8"/>
    </row>
    <row r="327" ht="14.25" customHeight="1">
      <c r="D327" s="8"/>
      <c r="E327" s="8"/>
      <c r="F327" s="8"/>
      <c r="G327" s="8"/>
      <c r="K327" s="8"/>
      <c r="L327" s="8"/>
      <c r="M327" s="8"/>
      <c r="O327" s="8"/>
      <c r="Q327" s="8"/>
      <c r="T327" s="8"/>
      <c r="W327" s="8"/>
    </row>
    <row r="328" ht="14.25" customHeight="1">
      <c r="D328" s="8"/>
      <c r="E328" s="8"/>
      <c r="F328" s="8"/>
      <c r="G328" s="8"/>
      <c r="K328" s="8"/>
      <c r="L328" s="8"/>
      <c r="M328" s="8"/>
      <c r="O328" s="8"/>
      <c r="Q328" s="8"/>
      <c r="T328" s="8"/>
      <c r="W328" s="8"/>
    </row>
    <row r="329" ht="14.25" customHeight="1">
      <c r="D329" s="8"/>
      <c r="E329" s="8"/>
      <c r="F329" s="8"/>
      <c r="G329" s="8"/>
      <c r="K329" s="8"/>
      <c r="L329" s="8"/>
      <c r="M329" s="8"/>
      <c r="O329" s="8"/>
      <c r="Q329" s="8"/>
      <c r="T329" s="8"/>
      <c r="W329" s="8"/>
    </row>
    <row r="330" ht="14.25" customHeight="1">
      <c r="D330" s="8"/>
      <c r="E330" s="8"/>
      <c r="F330" s="8"/>
      <c r="G330" s="8"/>
      <c r="K330" s="8"/>
      <c r="L330" s="8"/>
      <c r="M330" s="8"/>
      <c r="O330" s="8"/>
      <c r="Q330" s="8"/>
      <c r="T330" s="8"/>
      <c r="W330" s="8"/>
    </row>
    <row r="331" ht="14.25" customHeight="1">
      <c r="D331" s="8"/>
      <c r="E331" s="8"/>
      <c r="F331" s="8"/>
      <c r="G331" s="8"/>
      <c r="K331" s="8"/>
      <c r="L331" s="8"/>
      <c r="M331" s="8"/>
      <c r="O331" s="8"/>
      <c r="Q331" s="8"/>
      <c r="T331" s="8"/>
      <c r="W331" s="8"/>
    </row>
    <row r="332" ht="14.25" customHeight="1">
      <c r="D332" s="8"/>
      <c r="E332" s="8"/>
      <c r="F332" s="8"/>
      <c r="G332" s="8"/>
      <c r="K332" s="8"/>
      <c r="L332" s="8"/>
      <c r="M332" s="8"/>
      <c r="O332" s="8"/>
      <c r="Q332" s="8"/>
      <c r="T332" s="8"/>
      <c r="W332" s="8"/>
    </row>
    <row r="333" ht="14.25" customHeight="1">
      <c r="D333" s="8"/>
      <c r="E333" s="8"/>
      <c r="F333" s="8"/>
      <c r="G333" s="8"/>
      <c r="K333" s="8"/>
      <c r="L333" s="8"/>
      <c r="M333" s="8"/>
      <c r="O333" s="8"/>
      <c r="Q333" s="8"/>
      <c r="T333" s="8"/>
      <c r="W333" s="8"/>
    </row>
    <row r="334" ht="14.25" customHeight="1">
      <c r="D334" s="8"/>
      <c r="E334" s="8"/>
      <c r="F334" s="8"/>
      <c r="G334" s="8"/>
      <c r="K334" s="8"/>
      <c r="L334" s="8"/>
      <c r="M334" s="8"/>
      <c r="O334" s="8"/>
      <c r="Q334" s="8"/>
      <c r="T334" s="8"/>
      <c r="W334" s="8"/>
    </row>
    <row r="335" ht="14.25" customHeight="1">
      <c r="D335" s="8"/>
      <c r="E335" s="8"/>
      <c r="F335" s="8"/>
      <c r="G335" s="8"/>
      <c r="K335" s="8"/>
      <c r="L335" s="8"/>
      <c r="M335" s="8"/>
      <c r="O335" s="8"/>
      <c r="Q335" s="8"/>
      <c r="T335" s="8"/>
      <c r="W335" s="8"/>
    </row>
    <row r="336" ht="14.25" customHeight="1">
      <c r="D336" s="8"/>
      <c r="E336" s="8"/>
      <c r="F336" s="8"/>
      <c r="G336" s="8"/>
      <c r="K336" s="8"/>
      <c r="L336" s="8"/>
      <c r="M336" s="8"/>
      <c r="O336" s="8"/>
      <c r="Q336" s="8"/>
      <c r="T336" s="8"/>
      <c r="W336" s="8"/>
    </row>
    <row r="337" ht="14.25" customHeight="1">
      <c r="D337" s="8"/>
      <c r="E337" s="8"/>
      <c r="F337" s="8"/>
      <c r="G337" s="8"/>
      <c r="K337" s="8"/>
      <c r="L337" s="8"/>
      <c r="M337" s="8"/>
      <c r="O337" s="8"/>
      <c r="Q337" s="8"/>
      <c r="T337" s="8"/>
      <c r="W337" s="8"/>
    </row>
    <row r="338" ht="14.25" customHeight="1">
      <c r="D338" s="8"/>
      <c r="E338" s="8"/>
      <c r="F338" s="8"/>
      <c r="G338" s="8"/>
      <c r="K338" s="8"/>
      <c r="L338" s="8"/>
      <c r="M338" s="8"/>
      <c r="O338" s="8"/>
      <c r="Q338" s="8"/>
      <c r="T338" s="8"/>
      <c r="W338" s="8"/>
    </row>
    <row r="339" ht="14.25" customHeight="1">
      <c r="D339" s="8"/>
      <c r="E339" s="8"/>
      <c r="F339" s="8"/>
      <c r="G339" s="8"/>
      <c r="K339" s="8"/>
      <c r="L339" s="8"/>
      <c r="M339" s="8"/>
      <c r="O339" s="8"/>
      <c r="Q339" s="8"/>
      <c r="T339" s="8"/>
      <c r="W339" s="8"/>
    </row>
    <row r="340" ht="14.25" customHeight="1">
      <c r="D340" s="8"/>
      <c r="E340" s="8"/>
      <c r="F340" s="8"/>
      <c r="G340" s="8"/>
      <c r="K340" s="8"/>
      <c r="L340" s="8"/>
      <c r="M340" s="8"/>
      <c r="O340" s="8"/>
      <c r="Q340" s="8"/>
      <c r="T340" s="8"/>
      <c r="W340" s="8"/>
    </row>
    <row r="341" ht="14.25" customHeight="1">
      <c r="D341" s="8"/>
      <c r="E341" s="8"/>
      <c r="F341" s="8"/>
      <c r="G341" s="8"/>
      <c r="K341" s="8"/>
      <c r="L341" s="8"/>
      <c r="M341" s="8"/>
      <c r="O341" s="8"/>
      <c r="Q341" s="8"/>
      <c r="T341" s="8"/>
      <c r="W341" s="8"/>
    </row>
    <row r="342" ht="14.25" customHeight="1">
      <c r="D342" s="8"/>
      <c r="E342" s="8"/>
      <c r="F342" s="8"/>
      <c r="G342" s="8"/>
      <c r="K342" s="8"/>
      <c r="L342" s="8"/>
      <c r="M342" s="8"/>
      <c r="O342" s="8"/>
      <c r="Q342" s="8"/>
      <c r="T342" s="8"/>
      <c r="W342" s="8"/>
    </row>
    <row r="343" ht="14.25" customHeight="1">
      <c r="D343" s="8"/>
      <c r="E343" s="8"/>
      <c r="F343" s="8"/>
      <c r="G343" s="8"/>
      <c r="K343" s="8"/>
      <c r="L343" s="8"/>
      <c r="M343" s="8"/>
      <c r="O343" s="8"/>
      <c r="Q343" s="8"/>
      <c r="T343" s="8"/>
      <c r="W343" s="8"/>
    </row>
    <row r="344" ht="14.25" customHeight="1">
      <c r="D344" s="8"/>
      <c r="E344" s="8"/>
      <c r="F344" s="8"/>
      <c r="G344" s="8"/>
      <c r="K344" s="8"/>
      <c r="L344" s="8"/>
      <c r="M344" s="8"/>
      <c r="O344" s="8"/>
      <c r="Q344" s="8"/>
      <c r="T344" s="8"/>
      <c r="W344" s="8"/>
    </row>
    <row r="345" ht="14.25" customHeight="1">
      <c r="D345" s="8"/>
      <c r="E345" s="8"/>
      <c r="F345" s="8"/>
      <c r="G345" s="8"/>
      <c r="K345" s="8"/>
      <c r="L345" s="8"/>
      <c r="M345" s="8"/>
      <c r="O345" s="8"/>
      <c r="Q345" s="8"/>
      <c r="T345" s="8"/>
      <c r="W345" s="8"/>
    </row>
    <row r="346" ht="14.25" customHeight="1">
      <c r="D346" s="8"/>
      <c r="E346" s="8"/>
      <c r="F346" s="8"/>
      <c r="G346" s="8"/>
      <c r="K346" s="8"/>
      <c r="L346" s="8"/>
      <c r="M346" s="8"/>
      <c r="O346" s="8"/>
      <c r="Q346" s="8"/>
      <c r="T346" s="8"/>
      <c r="W346" s="8"/>
    </row>
    <row r="347" ht="14.25" customHeight="1">
      <c r="D347" s="8"/>
      <c r="E347" s="8"/>
      <c r="F347" s="8"/>
      <c r="G347" s="8"/>
      <c r="K347" s="8"/>
      <c r="L347" s="8"/>
      <c r="M347" s="8"/>
      <c r="O347" s="8"/>
      <c r="Q347" s="8"/>
      <c r="T347" s="8"/>
      <c r="W347" s="8"/>
    </row>
    <row r="348" ht="14.25" customHeight="1">
      <c r="D348" s="8"/>
      <c r="E348" s="8"/>
      <c r="F348" s="8"/>
      <c r="G348" s="8"/>
      <c r="K348" s="8"/>
      <c r="L348" s="8"/>
      <c r="M348" s="8"/>
      <c r="O348" s="8"/>
      <c r="Q348" s="8"/>
      <c r="T348" s="8"/>
      <c r="W348" s="8"/>
    </row>
    <row r="349" ht="14.25" customHeight="1">
      <c r="D349" s="8"/>
      <c r="E349" s="8"/>
      <c r="F349" s="8"/>
      <c r="G349" s="8"/>
      <c r="K349" s="8"/>
      <c r="L349" s="8"/>
      <c r="M349" s="8"/>
      <c r="O349" s="8"/>
      <c r="Q349" s="8"/>
      <c r="T349" s="8"/>
      <c r="W349" s="8"/>
    </row>
    <row r="350" ht="14.25" customHeight="1">
      <c r="D350" s="8"/>
      <c r="E350" s="8"/>
      <c r="F350" s="8"/>
      <c r="G350" s="8"/>
      <c r="K350" s="8"/>
      <c r="L350" s="8"/>
      <c r="M350" s="8"/>
      <c r="O350" s="8"/>
      <c r="Q350" s="8"/>
      <c r="T350" s="8"/>
      <c r="W350" s="8"/>
    </row>
    <row r="351" ht="14.25" customHeight="1">
      <c r="D351" s="8"/>
      <c r="E351" s="8"/>
      <c r="F351" s="8"/>
      <c r="G351" s="8"/>
      <c r="K351" s="8"/>
      <c r="L351" s="8"/>
      <c r="M351" s="8"/>
      <c r="O351" s="8"/>
      <c r="Q351" s="8"/>
      <c r="T351" s="8"/>
      <c r="W351" s="8"/>
    </row>
    <row r="352" ht="14.25" customHeight="1">
      <c r="D352" s="8"/>
      <c r="E352" s="8"/>
      <c r="F352" s="8"/>
      <c r="G352" s="8"/>
      <c r="K352" s="8"/>
      <c r="L352" s="8"/>
      <c r="M352" s="8"/>
      <c r="O352" s="8"/>
      <c r="Q352" s="8"/>
      <c r="T352" s="8"/>
      <c r="W352" s="8"/>
    </row>
    <row r="353" ht="14.25" customHeight="1">
      <c r="D353" s="8"/>
      <c r="E353" s="8"/>
      <c r="F353" s="8"/>
      <c r="G353" s="8"/>
      <c r="K353" s="8"/>
      <c r="L353" s="8"/>
      <c r="M353" s="8"/>
      <c r="O353" s="8"/>
      <c r="Q353" s="8"/>
      <c r="T353" s="8"/>
      <c r="W353" s="8"/>
    </row>
    <row r="354" ht="14.25" customHeight="1">
      <c r="D354" s="8"/>
      <c r="E354" s="8"/>
      <c r="F354" s="8"/>
      <c r="G354" s="8"/>
      <c r="K354" s="8"/>
      <c r="L354" s="8"/>
      <c r="M354" s="8"/>
      <c r="O354" s="8"/>
      <c r="Q354" s="8"/>
      <c r="T354" s="8"/>
      <c r="W354" s="8"/>
    </row>
    <row r="355" ht="14.25" customHeight="1">
      <c r="D355" s="8"/>
      <c r="E355" s="8"/>
      <c r="F355" s="8"/>
      <c r="G355" s="8"/>
      <c r="K355" s="8"/>
      <c r="L355" s="8"/>
      <c r="M355" s="8"/>
      <c r="O355" s="8"/>
      <c r="Q355" s="8"/>
      <c r="T355" s="8"/>
      <c r="W355" s="8"/>
    </row>
    <row r="356" ht="14.25" customHeight="1">
      <c r="D356" s="8"/>
      <c r="E356" s="8"/>
      <c r="F356" s="8"/>
      <c r="G356" s="8"/>
      <c r="K356" s="8"/>
      <c r="L356" s="8"/>
      <c r="M356" s="8"/>
      <c r="O356" s="8"/>
      <c r="Q356" s="8"/>
      <c r="T356" s="8"/>
      <c r="W356" s="8"/>
    </row>
    <row r="357" ht="14.25" customHeight="1">
      <c r="D357" s="8"/>
      <c r="E357" s="8"/>
      <c r="F357" s="8"/>
      <c r="G357" s="8"/>
      <c r="K357" s="8"/>
      <c r="L357" s="8"/>
      <c r="M357" s="8"/>
      <c r="O357" s="8"/>
      <c r="Q357" s="8"/>
      <c r="T357" s="8"/>
      <c r="W357" s="8"/>
    </row>
    <row r="358" ht="14.25" customHeight="1">
      <c r="D358" s="8"/>
      <c r="E358" s="8"/>
      <c r="F358" s="8"/>
      <c r="G358" s="8"/>
      <c r="K358" s="8"/>
      <c r="L358" s="8"/>
      <c r="M358" s="8"/>
      <c r="O358" s="8"/>
      <c r="Q358" s="8"/>
      <c r="T358" s="8"/>
      <c r="W358" s="8"/>
    </row>
    <row r="359" ht="14.25" customHeight="1">
      <c r="D359" s="8"/>
      <c r="E359" s="8"/>
      <c r="F359" s="8"/>
      <c r="G359" s="8"/>
      <c r="K359" s="8"/>
      <c r="L359" s="8"/>
      <c r="M359" s="8"/>
      <c r="O359" s="8"/>
      <c r="Q359" s="8"/>
      <c r="T359" s="8"/>
      <c r="W359" s="8"/>
    </row>
    <row r="360" ht="14.25" customHeight="1">
      <c r="D360" s="8"/>
      <c r="E360" s="8"/>
      <c r="F360" s="8"/>
      <c r="G360" s="8"/>
      <c r="K360" s="8"/>
      <c r="L360" s="8"/>
      <c r="M360" s="8"/>
      <c r="O360" s="8"/>
      <c r="Q360" s="8"/>
      <c r="T360" s="8"/>
      <c r="W360" s="8"/>
    </row>
    <row r="361" ht="14.25" customHeight="1">
      <c r="D361" s="8"/>
      <c r="E361" s="8"/>
      <c r="F361" s="8"/>
      <c r="G361" s="8"/>
      <c r="K361" s="8"/>
      <c r="L361" s="8"/>
      <c r="M361" s="8"/>
      <c r="O361" s="8"/>
      <c r="Q361" s="8"/>
      <c r="T361" s="8"/>
      <c r="W361" s="8"/>
    </row>
    <row r="362" ht="14.25" customHeight="1">
      <c r="D362" s="8"/>
      <c r="E362" s="8"/>
      <c r="F362" s="8"/>
      <c r="G362" s="8"/>
      <c r="K362" s="8"/>
      <c r="L362" s="8"/>
      <c r="M362" s="8"/>
      <c r="O362" s="8"/>
      <c r="Q362" s="8"/>
      <c r="T362" s="8"/>
      <c r="W362" s="8"/>
    </row>
    <row r="363" ht="14.25" customHeight="1">
      <c r="D363" s="8"/>
      <c r="E363" s="8"/>
      <c r="F363" s="8"/>
      <c r="G363" s="8"/>
      <c r="K363" s="8"/>
      <c r="L363" s="8"/>
      <c r="M363" s="8"/>
      <c r="O363" s="8"/>
      <c r="Q363" s="8"/>
      <c r="T363" s="8"/>
      <c r="W363" s="8"/>
    </row>
    <row r="364" ht="14.25" customHeight="1">
      <c r="D364" s="8"/>
      <c r="E364" s="8"/>
      <c r="F364" s="8"/>
      <c r="G364" s="8"/>
      <c r="K364" s="8"/>
      <c r="L364" s="8"/>
      <c r="M364" s="8"/>
      <c r="O364" s="8"/>
      <c r="Q364" s="8"/>
      <c r="T364" s="8"/>
      <c r="W364" s="8"/>
    </row>
    <row r="365" ht="14.25" customHeight="1">
      <c r="D365" s="8"/>
      <c r="E365" s="8"/>
      <c r="F365" s="8"/>
      <c r="G365" s="8"/>
      <c r="K365" s="8"/>
      <c r="L365" s="8"/>
      <c r="M365" s="8"/>
      <c r="O365" s="8"/>
      <c r="Q365" s="8"/>
      <c r="T365" s="8"/>
      <c r="W365" s="8"/>
    </row>
    <row r="366" ht="14.25" customHeight="1">
      <c r="D366" s="8"/>
      <c r="E366" s="8"/>
      <c r="F366" s="8"/>
      <c r="G366" s="8"/>
      <c r="K366" s="8"/>
      <c r="L366" s="8"/>
      <c r="M366" s="8"/>
      <c r="O366" s="8"/>
      <c r="Q366" s="8"/>
      <c r="T366" s="8"/>
      <c r="W366" s="8"/>
    </row>
    <row r="367" ht="14.25" customHeight="1">
      <c r="D367" s="8"/>
      <c r="E367" s="8"/>
      <c r="F367" s="8"/>
      <c r="G367" s="8"/>
      <c r="K367" s="8"/>
      <c r="L367" s="8"/>
      <c r="M367" s="8"/>
      <c r="O367" s="8"/>
      <c r="Q367" s="8"/>
      <c r="T367" s="8"/>
      <c r="W367" s="8"/>
    </row>
    <row r="368" ht="14.25" customHeight="1">
      <c r="D368" s="8"/>
      <c r="E368" s="8"/>
      <c r="F368" s="8"/>
      <c r="G368" s="8"/>
      <c r="K368" s="8"/>
      <c r="L368" s="8"/>
      <c r="M368" s="8"/>
      <c r="O368" s="8"/>
      <c r="Q368" s="8"/>
      <c r="T368" s="8"/>
      <c r="W368" s="8"/>
    </row>
    <row r="369" ht="14.25" customHeight="1">
      <c r="D369" s="8"/>
      <c r="E369" s="8"/>
      <c r="F369" s="8"/>
      <c r="G369" s="8"/>
      <c r="K369" s="8"/>
      <c r="L369" s="8"/>
      <c r="M369" s="8"/>
      <c r="O369" s="8"/>
      <c r="Q369" s="8"/>
      <c r="T369" s="8"/>
      <c r="W369" s="8"/>
    </row>
    <row r="370" ht="14.25" customHeight="1">
      <c r="D370" s="8"/>
      <c r="E370" s="8"/>
      <c r="F370" s="8"/>
      <c r="G370" s="8"/>
      <c r="K370" s="8"/>
      <c r="L370" s="8"/>
      <c r="M370" s="8"/>
      <c r="O370" s="8"/>
      <c r="Q370" s="8"/>
      <c r="T370" s="8"/>
      <c r="W370" s="8"/>
    </row>
    <row r="371" ht="14.25" customHeight="1">
      <c r="D371" s="8"/>
      <c r="E371" s="8"/>
      <c r="F371" s="8"/>
      <c r="G371" s="8"/>
      <c r="K371" s="8"/>
      <c r="L371" s="8"/>
      <c r="M371" s="8"/>
      <c r="O371" s="8"/>
      <c r="Q371" s="8"/>
      <c r="T371" s="8"/>
      <c r="W371" s="8"/>
    </row>
    <row r="372" ht="14.25" customHeight="1">
      <c r="D372" s="8"/>
      <c r="E372" s="8"/>
      <c r="F372" s="8"/>
      <c r="G372" s="8"/>
      <c r="K372" s="8"/>
      <c r="L372" s="8"/>
      <c r="M372" s="8"/>
      <c r="O372" s="8"/>
      <c r="Q372" s="8"/>
      <c r="T372" s="8"/>
      <c r="W372" s="8"/>
    </row>
    <row r="373" ht="14.25" customHeight="1">
      <c r="D373" s="8"/>
      <c r="E373" s="8"/>
      <c r="F373" s="8"/>
      <c r="G373" s="8"/>
      <c r="K373" s="8"/>
      <c r="L373" s="8"/>
      <c r="M373" s="8"/>
      <c r="O373" s="8"/>
      <c r="Q373" s="8"/>
      <c r="T373" s="8"/>
      <c r="W373" s="8"/>
    </row>
    <row r="374" ht="14.25" customHeight="1">
      <c r="D374" s="8"/>
      <c r="E374" s="8"/>
      <c r="F374" s="8"/>
      <c r="G374" s="8"/>
      <c r="K374" s="8"/>
      <c r="L374" s="8"/>
      <c r="M374" s="8"/>
      <c r="O374" s="8"/>
      <c r="Q374" s="8"/>
      <c r="T374" s="8"/>
      <c r="W374" s="8"/>
    </row>
    <row r="375" ht="14.25" customHeight="1">
      <c r="D375" s="8"/>
      <c r="E375" s="8"/>
      <c r="F375" s="8"/>
      <c r="G375" s="8"/>
      <c r="K375" s="8"/>
      <c r="L375" s="8"/>
      <c r="M375" s="8"/>
      <c r="O375" s="8"/>
      <c r="Q375" s="8"/>
      <c r="T375" s="8"/>
      <c r="W375" s="8"/>
    </row>
    <row r="376" ht="14.25" customHeight="1">
      <c r="D376" s="8"/>
      <c r="E376" s="8"/>
      <c r="F376" s="8"/>
      <c r="G376" s="8"/>
      <c r="K376" s="8"/>
      <c r="L376" s="8"/>
      <c r="M376" s="8"/>
      <c r="O376" s="8"/>
      <c r="Q376" s="8"/>
      <c r="T376" s="8"/>
      <c r="W376" s="8"/>
    </row>
    <row r="377" ht="14.25" customHeight="1">
      <c r="D377" s="8"/>
      <c r="E377" s="8"/>
      <c r="F377" s="8"/>
      <c r="G377" s="8"/>
      <c r="K377" s="8"/>
      <c r="L377" s="8"/>
      <c r="M377" s="8"/>
      <c r="O377" s="8"/>
      <c r="Q377" s="8"/>
      <c r="T377" s="8"/>
      <c r="W377" s="8"/>
    </row>
    <row r="378" ht="14.25" customHeight="1">
      <c r="D378" s="8"/>
      <c r="E378" s="8"/>
      <c r="F378" s="8"/>
      <c r="G378" s="8"/>
      <c r="K378" s="8"/>
      <c r="L378" s="8"/>
      <c r="M378" s="8"/>
      <c r="O378" s="8"/>
      <c r="Q378" s="8"/>
      <c r="T378" s="8"/>
      <c r="W378" s="8"/>
    </row>
    <row r="379" ht="14.25" customHeight="1">
      <c r="D379" s="8"/>
      <c r="E379" s="8"/>
      <c r="F379" s="8"/>
      <c r="G379" s="8"/>
      <c r="K379" s="8"/>
      <c r="L379" s="8"/>
      <c r="M379" s="8"/>
      <c r="O379" s="8"/>
      <c r="Q379" s="8"/>
      <c r="T379" s="8"/>
      <c r="W379" s="8"/>
    </row>
    <row r="380" ht="14.25" customHeight="1">
      <c r="D380" s="8"/>
      <c r="E380" s="8"/>
      <c r="F380" s="8"/>
      <c r="G380" s="8"/>
      <c r="K380" s="8"/>
      <c r="L380" s="8"/>
      <c r="M380" s="8"/>
      <c r="O380" s="8"/>
      <c r="Q380" s="8"/>
      <c r="T380" s="8"/>
      <c r="W380" s="8"/>
    </row>
    <row r="381" ht="14.25" customHeight="1">
      <c r="D381" s="8"/>
      <c r="E381" s="8"/>
      <c r="F381" s="8"/>
      <c r="G381" s="8"/>
      <c r="K381" s="8"/>
      <c r="L381" s="8"/>
      <c r="M381" s="8"/>
      <c r="O381" s="8"/>
      <c r="Q381" s="8"/>
      <c r="T381" s="8"/>
      <c r="W381" s="8"/>
    </row>
    <row r="382" ht="14.25" customHeight="1">
      <c r="D382" s="8"/>
      <c r="E382" s="8"/>
      <c r="F382" s="8"/>
      <c r="G382" s="8"/>
      <c r="K382" s="8"/>
      <c r="L382" s="8"/>
      <c r="M382" s="8"/>
      <c r="O382" s="8"/>
      <c r="Q382" s="8"/>
      <c r="T382" s="8"/>
      <c r="W382" s="8"/>
    </row>
    <row r="383" ht="14.25" customHeight="1">
      <c r="D383" s="8"/>
      <c r="E383" s="8"/>
      <c r="F383" s="8"/>
      <c r="G383" s="8"/>
      <c r="K383" s="8"/>
      <c r="L383" s="8"/>
      <c r="M383" s="8"/>
      <c r="O383" s="8"/>
      <c r="Q383" s="8"/>
      <c r="T383" s="8"/>
      <c r="W383" s="8"/>
    </row>
    <row r="384" ht="14.25" customHeight="1">
      <c r="D384" s="8"/>
      <c r="E384" s="8"/>
      <c r="F384" s="8"/>
      <c r="G384" s="8"/>
      <c r="K384" s="8"/>
      <c r="L384" s="8"/>
      <c r="M384" s="8"/>
      <c r="O384" s="8"/>
      <c r="Q384" s="8"/>
      <c r="T384" s="8"/>
      <c r="W384" s="8"/>
    </row>
    <row r="385" ht="14.25" customHeight="1">
      <c r="D385" s="8"/>
      <c r="E385" s="8"/>
      <c r="F385" s="8"/>
      <c r="G385" s="8"/>
      <c r="K385" s="8"/>
      <c r="L385" s="8"/>
      <c r="M385" s="8"/>
      <c r="O385" s="8"/>
      <c r="Q385" s="8"/>
      <c r="T385" s="8"/>
      <c r="W385" s="8"/>
    </row>
    <row r="386" ht="14.25" customHeight="1">
      <c r="D386" s="8"/>
      <c r="E386" s="8"/>
      <c r="F386" s="8"/>
      <c r="G386" s="8"/>
      <c r="K386" s="8"/>
      <c r="L386" s="8"/>
      <c r="M386" s="8"/>
      <c r="O386" s="8"/>
      <c r="Q386" s="8"/>
      <c r="T386" s="8"/>
      <c r="W386" s="8"/>
    </row>
    <row r="387" ht="14.25" customHeight="1">
      <c r="D387" s="8"/>
      <c r="E387" s="8"/>
      <c r="F387" s="8"/>
      <c r="G387" s="8"/>
      <c r="K387" s="8"/>
      <c r="L387" s="8"/>
      <c r="M387" s="8"/>
      <c r="O387" s="8"/>
      <c r="Q387" s="8"/>
      <c r="T387" s="8"/>
      <c r="W387" s="8"/>
    </row>
    <row r="388" ht="14.25" customHeight="1">
      <c r="D388" s="8"/>
      <c r="E388" s="8"/>
      <c r="F388" s="8"/>
      <c r="G388" s="8"/>
      <c r="K388" s="8"/>
      <c r="L388" s="8"/>
      <c r="M388" s="8"/>
      <c r="O388" s="8"/>
      <c r="Q388" s="8"/>
      <c r="T388" s="8"/>
      <c r="W388" s="8"/>
    </row>
    <row r="389" ht="14.25" customHeight="1">
      <c r="D389" s="8"/>
      <c r="E389" s="8"/>
      <c r="F389" s="8"/>
      <c r="G389" s="8"/>
      <c r="K389" s="8"/>
      <c r="L389" s="8"/>
      <c r="M389" s="8"/>
      <c r="O389" s="8"/>
      <c r="Q389" s="8"/>
      <c r="T389" s="8"/>
      <c r="W389" s="8"/>
    </row>
    <row r="390" ht="14.25" customHeight="1">
      <c r="D390" s="8"/>
      <c r="E390" s="8"/>
      <c r="F390" s="8"/>
      <c r="G390" s="8"/>
      <c r="K390" s="8"/>
      <c r="L390" s="8"/>
      <c r="M390" s="8"/>
      <c r="O390" s="8"/>
      <c r="Q390" s="8"/>
      <c r="T390" s="8"/>
      <c r="W390" s="8"/>
    </row>
    <row r="391" ht="14.25" customHeight="1">
      <c r="D391" s="8"/>
      <c r="E391" s="8"/>
      <c r="F391" s="8"/>
      <c r="G391" s="8"/>
      <c r="K391" s="8"/>
      <c r="L391" s="8"/>
      <c r="M391" s="8"/>
      <c r="O391" s="8"/>
      <c r="Q391" s="8"/>
      <c r="T391" s="8"/>
      <c r="W391" s="8"/>
    </row>
    <row r="392" ht="14.25" customHeight="1">
      <c r="D392" s="8"/>
      <c r="E392" s="8"/>
      <c r="F392" s="8"/>
      <c r="G392" s="8"/>
      <c r="K392" s="8"/>
      <c r="L392" s="8"/>
      <c r="M392" s="8"/>
      <c r="O392" s="8"/>
      <c r="Q392" s="8"/>
      <c r="T392" s="8"/>
      <c r="W392" s="8"/>
    </row>
    <row r="393" ht="14.25" customHeight="1">
      <c r="D393" s="8"/>
      <c r="E393" s="8"/>
      <c r="F393" s="8"/>
      <c r="G393" s="8"/>
      <c r="K393" s="8"/>
      <c r="L393" s="8"/>
      <c r="M393" s="8"/>
      <c r="O393" s="8"/>
      <c r="Q393" s="8"/>
      <c r="T393" s="8"/>
      <c r="W393" s="8"/>
    </row>
    <row r="394" ht="14.25" customHeight="1">
      <c r="D394" s="8"/>
      <c r="E394" s="8"/>
      <c r="F394" s="8"/>
      <c r="G394" s="8"/>
      <c r="K394" s="8"/>
      <c r="L394" s="8"/>
      <c r="M394" s="8"/>
      <c r="O394" s="8"/>
      <c r="Q394" s="8"/>
      <c r="T394" s="8"/>
      <c r="W394" s="8"/>
    </row>
    <row r="395" ht="14.25" customHeight="1">
      <c r="D395" s="8"/>
      <c r="E395" s="8"/>
      <c r="F395" s="8"/>
      <c r="G395" s="8"/>
      <c r="K395" s="8"/>
      <c r="L395" s="8"/>
      <c r="M395" s="8"/>
      <c r="O395" s="8"/>
      <c r="Q395" s="8"/>
      <c r="T395" s="8"/>
      <c r="W395" s="8"/>
    </row>
    <row r="396" ht="14.25" customHeight="1">
      <c r="D396" s="8"/>
      <c r="E396" s="8"/>
      <c r="F396" s="8"/>
      <c r="G396" s="8"/>
      <c r="K396" s="8"/>
      <c r="L396" s="8"/>
      <c r="M396" s="8"/>
      <c r="O396" s="8"/>
      <c r="Q396" s="8"/>
      <c r="T396" s="8"/>
      <c r="W396" s="8"/>
    </row>
    <row r="397" ht="14.25" customHeight="1">
      <c r="D397" s="8"/>
      <c r="E397" s="8"/>
      <c r="F397" s="8"/>
      <c r="G397" s="8"/>
      <c r="K397" s="8"/>
      <c r="L397" s="8"/>
      <c r="M397" s="8"/>
      <c r="O397" s="8"/>
      <c r="Q397" s="8"/>
      <c r="T397" s="8"/>
      <c r="W397" s="8"/>
    </row>
    <row r="398" ht="14.25" customHeight="1">
      <c r="D398" s="8"/>
      <c r="E398" s="8"/>
      <c r="F398" s="8"/>
      <c r="G398" s="8"/>
      <c r="K398" s="8"/>
      <c r="L398" s="8"/>
      <c r="M398" s="8"/>
      <c r="O398" s="8"/>
      <c r="Q398" s="8"/>
      <c r="T398" s="8"/>
      <c r="W398" s="8"/>
    </row>
    <row r="399" ht="14.25" customHeight="1">
      <c r="D399" s="8"/>
      <c r="E399" s="8"/>
      <c r="F399" s="8"/>
      <c r="G399" s="8"/>
      <c r="K399" s="8"/>
      <c r="L399" s="8"/>
      <c r="M399" s="8"/>
      <c r="O399" s="8"/>
      <c r="Q399" s="8"/>
      <c r="T399" s="8"/>
      <c r="W399" s="8"/>
    </row>
    <row r="400" ht="14.25" customHeight="1">
      <c r="D400" s="8"/>
      <c r="E400" s="8"/>
      <c r="F400" s="8"/>
      <c r="G400" s="8"/>
      <c r="K400" s="8"/>
      <c r="L400" s="8"/>
      <c r="M400" s="8"/>
      <c r="O400" s="8"/>
      <c r="Q400" s="8"/>
      <c r="T400" s="8"/>
      <c r="W400" s="8"/>
    </row>
    <row r="401" ht="14.25" customHeight="1">
      <c r="D401" s="8"/>
      <c r="E401" s="8"/>
      <c r="F401" s="8"/>
      <c r="G401" s="8"/>
      <c r="K401" s="8"/>
      <c r="L401" s="8"/>
      <c r="M401" s="8"/>
      <c r="O401" s="8"/>
      <c r="Q401" s="8"/>
      <c r="T401" s="8"/>
      <c r="W401" s="8"/>
    </row>
    <row r="402" ht="14.25" customHeight="1">
      <c r="D402" s="8"/>
      <c r="E402" s="8"/>
      <c r="F402" s="8"/>
      <c r="G402" s="8"/>
      <c r="K402" s="8"/>
      <c r="L402" s="8"/>
      <c r="M402" s="8"/>
      <c r="O402" s="8"/>
      <c r="Q402" s="8"/>
      <c r="T402" s="8"/>
      <c r="W402" s="8"/>
    </row>
    <row r="403" ht="14.25" customHeight="1">
      <c r="D403" s="8"/>
      <c r="E403" s="8"/>
      <c r="F403" s="8"/>
      <c r="G403" s="8"/>
      <c r="K403" s="8"/>
      <c r="L403" s="8"/>
      <c r="M403" s="8"/>
      <c r="O403" s="8"/>
      <c r="Q403" s="8"/>
      <c r="T403" s="8"/>
      <c r="W403" s="8"/>
    </row>
    <row r="404" ht="14.25" customHeight="1">
      <c r="D404" s="8"/>
      <c r="E404" s="8"/>
      <c r="F404" s="8"/>
      <c r="G404" s="8"/>
      <c r="K404" s="8"/>
      <c r="L404" s="8"/>
      <c r="M404" s="8"/>
      <c r="O404" s="8"/>
      <c r="Q404" s="8"/>
      <c r="T404" s="8"/>
      <c r="W404" s="8"/>
    </row>
    <row r="405" ht="14.25" customHeight="1">
      <c r="D405" s="8"/>
      <c r="E405" s="8"/>
      <c r="F405" s="8"/>
      <c r="G405" s="8"/>
      <c r="K405" s="8"/>
      <c r="L405" s="8"/>
      <c r="M405" s="8"/>
      <c r="O405" s="8"/>
      <c r="Q405" s="8"/>
      <c r="T405" s="8"/>
      <c r="W405" s="8"/>
    </row>
    <row r="406" ht="14.25" customHeight="1">
      <c r="D406" s="8"/>
      <c r="E406" s="8"/>
      <c r="F406" s="8"/>
      <c r="G406" s="8"/>
      <c r="K406" s="8"/>
      <c r="L406" s="8"/>
      <c r="M406" s="8"/>
      <c r="O406" s="8"/>
      <c r="Q406" s="8"/>
      <c r="T406" s="8"/>
      <c r="W406" s="8"/>
    </row>
    <row r="407" ht="14.25" customHeight="1">
      <c r="D407" s="8"/>
      <c r="E407" s="8"/>
      <c r="F407" s="8"/>
      <c r="G407" s="8"/>
      <c r="K407" s="8"/>
      <c r="L407" s="8"/>
      <c r="M407" s="8"/>
      <c r="O407" s="8"/>
      <c r="Q407" s="8"/>
      <c r="T407" s="8"/>
      <c r="W407" s="8"/>
    </row>
    <row r="408" ht="14.25" customHeight="1">
      <c r="D408" s="8"/>
      <c r="E408" s="8"/>
      <c r="F408" s="8"/>
      <c r="G408" s="8"/>
      <c r="K408" s="8"/>
      <c r="L408" s="8"/>
      <c r="M408" s="8"/>
      <c r="O408" s="8"/>
      <c r="Q408" s="8"/>
      <c r="T408" s="8"/>
      <c r="W408" s="8"/>
    </row>
    <row r="409" ht="14.25" customHeight="1">
      <c r="D409" s="8"/>
      <c r="E409" s="8"/>
      <c r="F409" s="8"/>
      <c r="G409" s="8"/>
      <c r="K409" s="8"/>
      <c r="L409" s="8"/>
      <c r="M409" s="8"/>
      <c r="O409" s="8"/>
      <c r="Q409" s="8"/>
      <c r="T409" s="8"/>
      <c r="W409" s="8"/>
    </row>
    <row r="410" ht="14.25" customHeight="1">
      <c r="D410" s="8"/>
      <c r="E410" s="8"/>
      <c r="F410" s="8"/>
      <c r="G410" s="8"/>
      <c r="K410" s="8"/>
      <c r="L410" s="8"/>
      <c r="M410" s="8"/>
      <c r="O410" s="8"/>
      <c r="Q410" s="8"/>
      <c r="T410" s="8"/>
      <c r="W410" s="8"/>
    </row>
    <row r="411" ht="14.25" customHeight="1">
      <c r="D411" s="8"/>
      <c r="E411" s="8"/>
      <c r="F411" s="8"/>
      <c r="G411" s="8"/>
      <c r="K411" s="8"/>
      <c r="L411" s="8"/>
      <c r="M411" s="8"/>
      <c r="O411" s="8"/>
      <c r="Q411" s="8"/>
      <c r="T411" s="8"/>
      <c r="W411" s="8"/>
    </row>
    <row r="412" ht="14.25" customHeight="1">
      <c r="D412" s="8"/>
      <c r="E412" s="8"/>
      <c r="F412" s="8"/>
      <c r="G412" s="8"/>
      <c r="K412" s="8"/>
      <c r="L412" s="8"/>
      <c r="M412" s="8"/>
      <c r="O412" s="8"/>
      <c r="Q412" s="8"/>
      <c r="T412" s="8"/>
      <c r="W412" s="8"/>
    </row>
    <row r="413" ht="14.25" customHeight="1">
      <c r="D413" s="8"/>
      <c r="E413" s="8"/>
      <c r="F413" s="8"/>
      <c r="G413" s="8"/>
      <c r="K413" s="8"/>
      <c r="L413" s="8"/>
      <c r="M413" s="8"/>
      <c r="O413" s="8"/>
      <c r="Q413" s="8"/>
      <c r="T413" s="8"/>
      <c r="W413" s="8"/>
    </row>
    <row r="414" ht="14.25" customHeight="1">
      <c r="D414" s="8"/>
      <c r="E414" s="8"/>
      <c r="F414" s="8"/>
      <c r="G414" s="8"/>
      <c r="K414" s="8"/>
      <c r="L414" s="8"/>
      <c r="M414" s="8"/>
      <c r="O414" s="8"/>
      <c r="Q414" s="8"/>
      <c r="T414" s="8"/>
      <c r="W414" s="8"/>
    </row>
    <row r="415" ht="14.25" customHeight="1">
      <c r="D415" s="8"/>
      <c r="E415" s="8"/>
      <c r="F415" s="8"/>
      <c r="G415" s="8"/>
      <c r="K415" s="8"/>
      <c r="L415" s="8"/>
      <c r="M415" s="8"/>
      <c r="O415" s="8"/>
      <c r="Q415" s="8"/>
      <c r="T415" s="8"/>
      <c r="W415" s="8"/>
    </row>
    <row r="416" ht="14.25" customHeight="1">
      <c r="D416" s="8"/>
      <c r="E416" s="8"/>
      <c r="F416" s="8"/>
      <c r="G416" s="8"/>
      <c r="K416" s="8"/>
      <c r="L416" s="8"/>
      <c r="M416" s="8"/>
      <c r="O416" s="8"/>
      <c r="Q416" s="8"/>
      <c r="T416" s="8"/>
      <c r="W416" s="8"/>
    </row>
    <row r="417" ht="14.25" customHeight="1">
      <c r="D417" s="8"/>
      <c r="E417" s="8"/>
      <c r="F417" s="8"/>
      <c r="G417" s="8"/>
      <c r="K417" s="8"/>
      <c r="L417" s="8"/>
      <c r="M417" s="8"/>
      <c r="O417" s="8"/>
      <c r="Q417" s="8"/>
      <c r="T417" s="8"/>
      <c r="W417" s="8"/>
    </row>
    <row r="418" ht="14.25" customHeight="1">
      <c r="D418" s="8"/>
      <c r="E418" s="8"/>
      <c r="F418" s="8"/>
      <c r="G418" s="8"/>
      <c r="K418" s="8"/>
      <c r="L418" s="8"/>
      <c r="M418" s="8"/>
      <c r="O418" s="8"/>
      <c r="Q418" s="8"/>
      <c r="T418" s="8"/>
      <c r="W418" s="8"/>
    </row>
    <row r="419" ht="14.25" customHeight="1">
      <c r="D419" s="8"/>
      <c r="E419" s="8"/>
      <c r="F419" s="8"/>
      <c r="G419" s="8"/>
      <c r="K419" s="8"/>
      <c r="L419" s="8"/>
      <c r="M419" s="8"/>
      <c r="O419" s="8"/>
      <c r="Q419" s="8"/>
      <c r="T419" s="8"/>
      <c r="W419" s="8"/>
    </row>
    <row r="420" ht="14.25" customHeight="1">
      <c r="D420" s="8"/>
      <c r="E420" s="8"/>
      <c r="F420" s="8"/>
      <c r="G420" s="8"/>
      <c r="K420" s="8"/>
      <c r="L420" s="8"/>
      <c r="M420" s="8"/>
      <c r="O420" s="8"/>
      <c r="Q420" s="8"/>
      <c r="T420" s="8"/>
      <c r="W420" s="8"/>
    </row>
    <row r="421" ht="14.25" customHeight="1">
      <c r="D421" s="8"/>
      <c r="E421" s="8"/>
      <c r="F421" s="8"/>
      <c r="G421" s="8"/>
      <c r="K421" s="8"/>
      <c r="L421" s="8"/>
      <c r="M421" s="8"/>
      <c r="O421" s="8"/>
      <c r="Q421" s="8"/>
      <c r="T421" s="8"/>
      <c r="W421" s="8"/>
    </row>
    <row r="422" ht="14.25" customHeight="1">
      <c r="D422" s="8"/>
      <c r="E422" s="8"/>
      <c r="F422" s="8"/>
      <c r="G422" s="8"/>
      <c r="K422" s="8"/>
      <c r="L422" s="8"/>
      <c r="M422" s="8"/>
      <c r="O422" s="8"/>
      <c r="Q422" s="8"/>
      <c r="T422" s="8"/>
      <c r="W422" s="8"/>
    </row>
    <row r="423" ht="14.25" customHeight="1">
      <c r="D423" s="8"/>
      <c r="E423" s="8"/>
      <c r="F423" s="8"/>
      <c r="G423" s="8"/>
      <c r="K423" s="8"/>
      <c r="L423" s="8"/>
      <c r="M423" s="8"/>
      <c r="O423" s="8"/>
      <c r="Q423" s="8"/>
      <c r="T423" s="8"/>
      <c r="W423" s="8"/>
    </row>
    <row r="424" ht="14.25" customHeight="1">
      <c r="D424" s="8"/>
      <c r="E424" s="8"/>
      <c r="F424" s="8"/>
      <c r="G424" s="8"/>
      <c r="K424" s="8"/>
      <c r="L424" s="8"/>
      <c r="M424" s="8"/>
      <c r="O424" s="8"/>
      <c r="Q424" s="8"/>
      <c r="T424" s="8"/>
      <c r="W424" s="8"/>
    </row>
    <row r="425" ht="14.25" customHeight="1">
      <c r="D425" s="8"/>
      <c r="E425" s="8"/>
      <c r="F425" s="8"/>
      <c r="G425" s="8"/>
      <c r="K425" s="8"/>
      <c r="L425" s="8"/>
      <c r="M425" s="8"/>
      <c r="O425" s="8"/>
      <c r="Q425" s="8"/>
      <c r="T425" s="8"/>
      <c r="W425" s="8"/>
    </row>
    <row r="426" ht="14.25" customHeight="1">
      <c r="D426" s="8"/>
      <c r="E426" s="8"/>
      <c r="F426" s="8"/>
      <c r="G426" s="8"/>
      <c r="K426" s="8"/>
      <c r="L426" s="8"/>
      <c r="M426" s="8"/>
      <c r="O426" s="8"/>
      <c r="Q426" s="8"/>
      <c r="T426" s="8"/>
      <c r="W426" s="8"/>
    </row>
    <row r="427" ht="14.25" customHeight="1">
      <c r="D427" s="8"/>
      <c r="E427" s="8"/>
      <c r="F427" s="8"/>
      <c r="G427" s="8"/>
      <c r="K427" s="8"/>
      <c r="L427" s="8"/>
      <c r="M427" s="8"/>
      <c r="O427" s="8"/>
      <c r="Q427" s="8"/>
      <c r="T427" s="8"/>
      <c r="W427" s="8"/>
    </row>
    <row r="428" ht="14.25" customHeight="1">
      <c r="D428" s="8"/>
      <c r="E428" s="8"/>
      <c r="F428" s="8"/>
      <c r="G428" s="8"/>
      <c r="K428" s="8"/>
      <c r="L428" s="8"/>
      <c r="M428" s="8"/>
      <c r="O428" s="8"/>
      <c r="Q428" s="8"/>
      <c r="T428" s="8"/>
      <c r="W428" s="8"/>
    </row>
    <row r="429" ht="14.25" customHeight="1">
      <c r="D429" s="8"/>
      <c r="E429" s="8"/>
      <c r="F429" s="8"/>
      <c r="G429" s="8"/>
      <c r="K429" s="8"/>
      <c r="L429" s="8"/>
      <c r="M429" s="8"/>
      <c r="O429" s="8"/>
      <c r="Q429" s="8"/>
      <c r="T429" s="8"/>
      <c r="W429" s="8"/>
    </row>
    <row r="430" ht="14.25" customHeight="1">
      <c r="D430" s="8"/>
      <c r="E430" s="8"/>
      <c r="F430" s="8"/>
      <c r="G430" s="8"/>
      <c r="K430" s="8"/>
      <c r="L430" s="8"/>
      <c r="M430" s="8"/>
      <c r="O430" s="8"/>
      <c r="Q430" s="8"/>
      <c r="T430" s="8"/>
      <c r="W430" s="8"/>
    </row>
    <row r="431" ht="14.25" customHeight="1">
      <c r="D431" s="8"/>
      <c r="E431" s="8"/>
      <c r="F431" s="8"/>
      <c r="G431" s="8"/>
      <c r="K431" s="8"/>
      <c r="L431" s="8"/>
      <c r="M431" s="8"/>
      <c r="O431" s="8"/>
      <c r="Q431" s="8"/>
      <c r="T431" s="8"/>
      <c r="W431" s="8"/>
    </row>
    <row r="432" ht="14.25" customHeight="1">
      <c r="D432" s="8"/>
      <c r="E432" s="8"/>
      <c r="F432" s="8"/>
      <c r="G432" s="8"/>
      <c r="K432" s="8"/>
      <c r="L432" s="8"/>
      <c r="M432" s="8"/>
      <c r="O432" s="8"/>
      <c r="Q432" s="8"/>
      <c r="T432" s="8"/>
      <c r="W432" s="8"/>
    </row>
    <row r="433" ht="14.25" customHeight="1">
      <c r="D433" s="8"/>
      <c r="E433" s="8"/>
      <c r="F433" s="8"/>
      <c r="G433" s="8"/>
      <c r="K433" s="8"/>
      <c r="L433" s="8"/>
      <c r="M433" s="8"/>
      <c r="O433" s="8"/>
      <c r="Q433" s="8"/>
      <c r="T433" s="8"/>
      <c r="W433" s="8"/>
    </row>
    <row r="434" ht="14.25" customHeight="1">
      <c r="D434" s="8"/>
      <c r="E434" s="8"/>
      <c r="F434" s="8"/>
      <c r="G434" s="8"/>
      <c r="K434" s="8"/>
      <c r="L434" s="8"/>
      <c r="M434" s="8"/>
      <c r="O434" s="8"/>
      <c r="Q434" s="8"/>
      <c r="T434" s="8"/>
      <c r="W434" s="8"/>
    </row>
    <row r="435" ht="14.25" customHeight="1">
      <c r="D435" s="8"/>
      <c r="E435" s="8"/>
      <c r="F435" s="8"/>
      <c r="G435" s="8"/>
      <c r="K435" s="8"/>
      <c r="L435" s="8"/>
      <c r="M435" s="8"/>
      <c r="O435" s="8"/>
      <c r="Q435" s="8"/>
      <c r="T435" s="8"/>
      <c r="W435" s="8"/>
    </row>
    <row r="436" ht="14.25" customHeight="1">
      <c r="D436" s="8"/>
      <c r="E436" s="8"/>
      <c r="F436" s="8"/>
      <c r="G436" s="8"/>
      <c r="K436" s="8"/>
      <c r="L436" s="8"/>
      <c r="M436" s="8"/>
      <c r="O436" s="8"/>
      <c r="Q436" s="8"/>
      <c r="T436" s="8"/>
      <c r="W436" s="8"/>
    </row>
    <row r="437" ht="14.25" customHeight="1">
      <c r="D437" s="8"/>
      <c r="E437" s="8"/>
      <c r="F437" s="8"/>
      <c r="G437" s="8"/>
      <c r="K437" s="8"/>
      <c r="L437" s="8"/>
      <c r="M437" s="8"/>
      <c r="O437" s="8"/>
      <c r="Q437" s="8"/>
      <c r="T437" s="8"/>
      <c r="W437" s="8"/>
    </row>
    <row r="438" ht="14.25" customHeight="1">
      <c r="D438" s="8"/>
      <c r="E438" s="8"/>
      <c r="F438" s="8"/>
      <c r="G438" s="8"/>
      <c r="K438" s="8"/>
      <c r="L438" s="8"/>
      <c r="M438" s="8"/>
      <c r="O438" s="8"/>
      <c r="Q438" s="8"/>
      <c r="T438" s="8"/>
      <c r="W438" s="8"/>
    </row>
    <row r="439" ht="14.25" customHeight="1">
      <c r="D439" s="8"/>
      <c r="E439" s="8"/>
      <c r="F439" s="8"/>
      <c r="G439" s="8"/>
      <c r="K439" s="8"/>
      <c r="L439" s="8"/>
      <c r="M439" s="8"/>
      <c r="O439" s="8"/>
      <c r="Q439" s="8"/>
      <c r="T439" s="8"/>
      <c r="W439" s="8"/>
    </row>
    <row r="440" ht="14.25" customHeight="1">
      <c r="D440" s="8"/>
      <c r="E440" s="8"/>
      <c r="F440" s="8"/>
      <c r="G440" s="8"/>
      <c r="K440" s="8"/>
      <c r="L440" s="8"/>
      <c r="M440" s="8"/>
      <c r="O440" s="8"/>
      <c r="Q440" s="8"/>
      <c r="T440" s="8"/>
      <c r="W440" s="8"/>
    </row>
    <row r="441" ht="14.25" customHeight="1">
      <c r="D441" s="8"/>
      <c r="E441" s="8"/>
      <c r="F441" s="8"/>
      <c r="G441" s="8"/>
      <c r="K441" s="8"/>
      <c r="L441" s="8"/>
      <c r="M441" s="8"/>
      <c r="O441" s="8"/>
      <c r="Q441" s="8"/>
      <c r="T441" s="8"/>
      <c r="W441" s="8"/>
    </row>
    <row r="442" ht="14.25" customHeight="1">
      <c r="D442" s="8"/>
      <c r="E442" s="8"/>
      <c r="F442" s="8"/>
      <c r="G442" s="8"/>
      <c r="K442" s="8"/>
      <c r="L442" s="8"/>
      <c r="M442" s="8"/>
      <c r="O442" s="8"/>
      <c r="Q442" s="8"/>
      <c r="T442" s="8"/>
      <c r="W442" s="8"/>
    </row>
    <row r="443" ht="14.25" customHeight="1">
      <c r="D443" s="8"/>
      <c r="E443" s="8"/>
      <c r="F443" s="8"/>
      <c r="G443" s="8"/>
      <c r="K443" s="8"/>
      <c r="L443" s="8"/>
      <c r="M443" s="8"/>
      <c r="O443" s="8"/>
      <c r="Q443" s="8"/>
      <c r="T443" s="8"/>
      <c r="W443" s="8"/>
    </row>
    <row r="444" ht="14.25" customHeight="1">
      <c r="D444" s="8"/>
      <c r="E444" s="8"/>
      <c r="F444" s="8"/>
      <c r="G444" s="8"/>
      <c r="K444" s="8"/>
      <c r="L444" s="8"/>
      <c r="M444" s="8"/>
      <c r="O444" s="8"/>
      <c r="Q444" s="8"/>
      <c r="T444" s="8"/>
      <c r="W444" s="8"/>
    </row>
    <row r="445" ht="14.25" customHeight="1">
      <c r="D445" s="8"/>
      <c r="E445" s="8"/>
      <c r="F445" s="8"/>
      <c r="G445" s="8"/>
      <c r="K445" s="8"/>
      <c r="L445" s="8"/>
      <c r="M445" s="8"/>
      <c r="O445" s="8"/>
      <c r="Q445" s="8"/>
      <c r="T445" s="8"/>
      <c r="W445" s="8"/>
    </row>
    <row r="446" ht="14.25" customHeight="1">
      <c r="D446" s="8"/>
      <c r="E446" s="8"/>
      <c r="F446" s="8"/>
      <c r="G446" s="8"/>
      <c r="K446" s="8"/>
      <c r="L446" s="8"/>
      <c r="M446" s="8"/>
      <c r="O446" s="8"/>
      <c r="Q446" s="8"/>
      <c r="T446" s="8"/>
      <c r="W446" s="8"/>
    </row>
    <row r="447" ht="14.25" customHeight="1">
      <c r="D447" s="8"/>
      <c r="E447" s="8"/>
      <c r="F447" s="8"/>
      <c r="G447" s="8"/>
      <c r="K447" s="8"/>
      <c r="L447" s="8"/>
      <c r="M447" s="8"/>
      <c r="O447" s="8"/>
      <c r="Q447" s="8"/>
      <c r="T447" s="8"/>
      <c r="W447" s="8"/>
    </row>
    <row r="448" ht="14.25" customHeight="1">
      <c r="D448" s="8"/>
      <c r="E448" s="8"/>
      <c r="F448" s="8"/>
      <c r="G448" s="8"/>
      <c r="K448" s="8"/>
      <c r="L448" s="8"/>
      <c r="M448" s="8"/>
      <c r="O448" s="8"/>
      <c r="Q448" s="8"/>
      <c r="T448" s="8"/>
      <c r="W448" s="8"/>
    </row>
    <row r="449" ht="14.25" customHeight="1">
      <c r="D449" s="8"/>
      <c r="E449" s="8"/>
      <c r="F449" s="8"/>
      <c r="G449" s="8"/>
      <c r="K449" s="8"/>
      <c r="L449" s="8"/>
      <c r="M449" s="8"/>
      <c r="O449" s="8"/>
      <c r="Q449" s="8"/>
      <c r="T449" s="8"/>
      <c r="W449" s="8"/>
    </row>
    <row r="450" ht="14.25" customHeight="1">
      <c r="D450" s="8"/>
      <c r="E450" s="8"/>
      <c r="F450" s="8"/>
      <c r="G450" s="8"/>
      <c r="K450" s="8"/>
      <c r="L450" s="8"/>
      <c r="M450" s="8"/>
      <c r="O450" s="8"/>
      <c r="Q450" s="8"/>
      <c r="T450" s="8"/>
      <c r="W450" s="8"/>
    </row>
    <row r="451" ht="14.25" customHeight="1">
      <c r="D451" s="8"/>
      <c r="E451" s="8"/>
      <c r="F451" s="8"/>
      <c r="G451" s="8"/>
      <c r="K451" s="8"/>
      <c r="L451" s="8"/>
      <c r="M451" s="8"/>
      <c r="O451" s="8"/>
      <c r="Q451" s="8"/>
      <c r="T451" s="8"/>
      <c r="W451" s="8"/>
    </row>
    <row r="452" ht="14.25" customHeight="1">
      <c r="D452" s="8"/>
      <c r="E452" s="8"/>
      <c r="F452" s="8"/>
      <c r="G452" s="8"/>
      <c r="K452" s="8"/>
      <c r="L452" s="8"/>
      <c r="M452" s="8"/>
      <c r="O452" s="8"/>
      <c r="Q452" s="8"/>
      <c r="T452" s="8"/>
      <c r="W452" s="8"/>
    </row>
    <row r="453" ht="14.25" customHeight="1">
      <c r="D453" s="8"/>
      <c r="E453" s="8"/>
      <c r="F453" s="8"/>
      <c r="G453" s="8"/>
      <c r="K453" s="8"/>
      <c r="L453" s="8"/>
      <c r="M453" s="8"/>
      <c r="O453" s="8"/>
      <c r="Q453" s="8"/>
      <c r="T453" s="8"/>
      <c r="W453" s="8"/>
    </row>
    <row r="454" ht="14.25" customHeight="1">
      <c r="D454" s="8"/>
      <c r="E454" s="8"/>
      <c r="F454" s="8"/>
      <c r="G454" s="8"/>
      <c r="K454" s="8"/>
      <c r="L454" s="8"/>
      <c r="M454" s="8"/>
      <c r="O454" s="8"/>
      <c r="Q454" s="8"/>
      <c r="T454" s="8"/>
      <c r="W454" s="8"/>
    </row>
    <row r="455" ht="14.25" customHeight="1">
      <c r="D455" s="8"/>
      <c r="E455" s="8"/>
      <c r="F455" s="8"/>
      <c r="G455" s="8"/>
      <c r="K455" s="8"/>
      <c r="L455" s="8"/>
      <c r="M455" s="8"/>
      <c r="O455" s="8"/>
      <c r="Q455" s="8"/>
      <c r="T455" s="8"/>
      <c r="W455" s="8"/>
    </row>
    <row r="456" ht="14.25" customHeight="1">
      <c r="D456" s="8"/>
      <c r="E456" s="8"/>
      <c r="F456" s="8"/>
      <c r="G456" s="8"/>
      <c r="K456" s="8"/>
      <c r="L456" s="8"/>
      <c r="M456" s="8"/>
      <c r="O456" s="8"/>
      <c r="Q456" s="8"/>
      <c r="T456" s="8"/>
      <c r="W456" s="8"/>
    </row>
    <row r="457" ht="14.25" customHeight="1">
      <c r="D457" s="8"/>
      <c r="E457" s="8"/>
      <c r="F457" s="8"/>
      <c r="G457" s="8"/>
      <c r="K457" s="8"/>
      <c r="L457" s="8"/>
      <c r="M457" s="8"/>
      <c r="O457" s="8"/>
      <c r="Q457" s="8"/>
      <c r="T457" s="8"/>
      <c r="W457" s="8"/>
    </row>
    <row r="458" ht="14.25" customHeight="1">
      <c r="D458" s="8"/>
      <c r="E458" s="8"/>
      <c r="F458" s="8"/>
      <c r="G458" s="8"/>
      <c r="K458" s="8"/>
      <c r="L458" s="8"/>
      <c r="M458" s="8"/>
      <c r="O458" s="8"/>
      <c r="Q458" s="8"/>
      <c r="T458" s="8"/>
      <c r="W458" s="8"/>
    </row>
    <row r="459" ht="14.25" customHeight="1">
      <c r="D459" s="8"/>
      <c r="E459" s="8"/>
      <c r="F459" s="8"/>
      <c r="G459" s="8"/>
      <c r="K459" s="8"/>
      <c r="L459" s="8"/>
      <c r="M459" s="8"/>
      <c r="O459" s="8"/>
      <c r="Q459" s="8"/>
      <c r="T459" s="8"/>
      <c r="W459" s="8"/>
    </row>
    <row r="460" ht="14.25" customHeight="1">
      <c r="D460" s="8"/>
      <c r="E460" s="8"/>
      <c r="F460" s="8"/>
      <c r="G460" s="8"/>
      <c r="K460" s="8"/>
      <c r="L460" s="8"/>
      <c r="M460" s="8"/>
      <c r="O460" s="8"/>
      <c r="Q460" s="8"/>
      <c r="T460" s="8"/>
      <c r="W460" s="8"/>
    </row>
    <row r="461" ht="14.25" customHeight="1">
      <c r="D461" s="8"/>
      <c r="E461" s="8"/>
      <c r="F461" s="8"/>
      <c r="G461" s="8"/>
      <c r="K461" s="8"/>
      <c r="L461" s="8"/>
      <c r="M461" s="8"/>
      <c r="O461" s="8"/>
      <c r="Q461" s="8"/>
      <c r="T461" s="8"/>
      <c r="W461" s="8"/>
    </row>
    <row r="462" ht="14.25" customHeight="1">
      <c r="D462" s="8"/>
      <c r="E462" s="8"/>
      <c r="F462" s="8"/>
      <c r="G462" s="8"/>
      <c r="K462" s="8"/>
      <c r="L462" s="8"/>
      <c r="M462" s="8"/>
      <c r="O462" s="8"/>
      <c r="Q462" s="8"/>
      <c r="T462" s="8"/>
      <c r="W462" s="8"/>
    </row>
    <row r="463" ht="14.25" customHeight="1">
      <c r="D463" s="8"/>
      <c r="E463" s="8"/>
      <c r="F463" s="8"/>
      <c r="G463" s="8"/>
      <c r="K463" s="8"/>
      <c r="L463" s="8"/>
      <c r="M463" s="8"/>
      <c r="O463" s="8"/>
      <c r="Q463" s="8"/>
      <c r="T463" s="8"/>
      <c r="W463" s="8"/>
    </row>
    <row r="464" ht="14.25" customHeight="1">
      <c r="D464" s="8"/>
      <c r="E464" s="8"/>
      <c r="F464" s="8"/>
      <c r="G464" s="8"/>
      <c r="K464" s="8"/>
      <c r="L464" s="8"/>
      <c r="M464" s="8"/>
      <c r="O464" s="8"/>
      <c r="Q464" s="8"/>
      <c r="T464" s="8"/>
      <c r="W464" s="8"/>
    </row>
    <row r="465" ht="14.25" customHeight="1">
      <c r="D465" s="8"/>
      <c r="E465" s="8"/>
      <c r="F465" s="8"/>
      <c r="G465" s="8"/>
      <c r="K465" s="8"/>
      <c r="L465" s="8"/>
      <c r="M465" s="8"/>
      <c r="O465" s="8"/>
      <c r="Q465" s="8"/>
      <c r="T465" s="8"/>
      <c r="W465" s="8"/>
    </row>
    <row r="466" ht="14.25" customHeight="1">
      <c r="D466" s="8"/>
      <c r="E466" s="8"/>
      <c r="F466" s="8"/>
      <c r="G466" s="8"/>
      <c r="K466" s="8"/>
      <c r="L466" s="8"/>
      <c r="M466" s="8"/>
      <c r="O466" s="8"/>
      <c r="Q466" s="8"/>
      <c r="T466" s="8"/>
      <c r="W466" s="8"/>
    </row>
    <row r="467" ht="14.25" customHeight="1">
      <c r="D467" s="8"/>
      <c r="E467" s="8"/>
      <c r="F467" s="8"/>
      <c r="G467" s="8"/>
      <c r="K467" s="8"/>
      <c r="L467" s="8"/>
      <c r="M467" s="8"/>
      <c r="O467" s="8"/>
      <c r="Q467" s="8"/>
      <c r="T467" s="8"/>
      <c r="W467" s="8"/>
    </row>
    <row r="468" ht="14.25" customHeight="1">
      <c r="D468" s="8"/>
      <c r="E468" s="8"/>
      <c r="F468" s="8"/>
      <c r="G468" s="8"/>
      <c r="K468" s="8"/>
      <c r="L468" s="8"/>
      <c r="M468" s="8"/>
      <c r="O468" s="8"/>
      <c r="Q468" s="8"/>
      <c r="T468" s="8"/>
      <c r="W468" s="8"/>
    </row>
    <row r="469" ht="14.25" customHeight="1">
      <c r="D469" s="8"/>
      <c r="E469" s="8"/>
      <c r="F469" s="8"/>
      <c r="G469" s="8"/>
      <c r="K469" s="8"/>
      <c r="L469" s="8"/>
      <c r="M469" s="8"/>
      <c r="O469" s="8"/>
      <c r="Q469" s="8"/>
      <c r="T469" s="8"/>
      <c r="W469" s="8"/>
    </row>
    <row r="470" ht="14.25" customHeight="1">
      <c r="D470" s="8"/>
      <c r="E470" s="8"/>
      <c r="F470" s="8"/>
      <c r="G470" s="8"/>
      <c r="K470" s="8"/>
      <c r="L470" s="8"/>
      <c r="M470" s="8"/>
      <c r="O470" s="8"/>
      <c r="Q470" s="8"/>
      <c r="T470" s="8"/>
      <c r="W470" s="8"/>
    </row>
    <row r="471" ht="14.25" customHeight="1">
      <c r="D471" s="8"/>
      <c r="E471" s="8"/>
      <c r="F471" s="8"/>
      <c r="G471" s="8"/>
      <c r="K471" s="8"/>
      <c r="L471" s="8"/>
      <c r="M471" s="8"/>
      <c r="O471" s="8"/>
      <c r="Q471" s="8"/>
      <c r="T471" s="8"/>
      <c r="W471" s="8"/>
    </row>
    <row r="472" ht="14.25" customHeight="1">
      <c r="D472" s="8"/>
      <c r="E472" s="8"/>
      <c r="F472" s="8"/>
      <c r="G472" s="8"/>
      <c r="K472" s="8"/>
      <c r="L472" s="8"/>
      <c r="M472" s="8"/>
      <c r="O472" s="8"/>
      <c r="Q472" s="8"/>
      <c r="T472" s="8"/>
      <c r="W472" s="8"/>
    </row>
    <row r="473" ht="14.25" customHeight="1">
      <c r="D473" s="8"/>
      <c r="E473" s="8"/>
      <c r="F473" s="8"/>
      <c r="G473" s="8"/>
      <c r="K473" s="8"/>
      <c r="L473" s="8"/>
      <c r="M473" s="8"/>
      <c r="O473" s="8"/>
      <c r="Q473" s="8"/>
      <c r="T473" s="8"/>
      <c r="W473" s="8"/>
    </row>
    <row r="474" ht="14.25" customHeight="1">
      <c r="D474" s="8"/>
      <c r="E474" s="8"/>
      <c r="F474" s="8"/>
      <c r="G474" s="8"/>
      <c r="K474" s="8"/>
      <c r="L474" s="8"/>
      <c r="M474" s="8"/>
      <c r="O474" s="8"/>
      <c r="Q474" s="8"/>
      <c r="T474" s="8"/>
      <c r="W474" s="8"/>
    </row>
    <row r="475" ht="14.25" customHeight="1">
      <c r="D475" s="8"/>
      <c r="E475" s="8"/>
      <c r="F475" s="8"/>
      <c r="G475" s="8"/>
      <c r="K475" s="8"/>
      <c r="L475" s="8"/>
      <c r="M475" s="8"/>
      <c r="O475" s="8"/>
      <c r="Q475" s="8"/>
      <c r="T475" s="8"/>
      <c r="W475" s="8"/>
    </row>
    <row r="476" ht="14.25" customHeight="1">
      <c r="D476" s="8"/>
      <c r="E476" s="8"/>
      <c r="F476" s="8"/>
      <c r="G476" s="8"/>
      <c r="K476" s="8"/>
      <c r="L476" s="8"/>
      <c r="M476" s="8"/>
      <c r="O476" s="8"/>
      <c r="Q476" s="8"/>
      <c r="T476" s="8"/>
      <c r="W476" s="8"/>
    </row>
    <row r="477" ht="14.25" customHeight="1">
      <c r="D477" s="8"/>
      <c r="E477" s="8"/>
      <c r="F477" s="8"/>
      <c r="G477" s="8"/>
      <c r="K477" s="8"/>
      <c r="L477" s="8"/>
      <c r="M477" s="8"/>
      <c r="O477" s="8"/>
      <c r="Q477" s="8"/>
      <c r="T477" s="8"/>
      <c r="W477" s="8"/>
    </row>
    <row r="478" ht="14.25" customHeight="1">
      <c r="D478" s="8"/>
      <c r="E478" s="8"/>
      <c r="F478" s="8"/>
      <c r="G478" s="8"/>
      <c r="K478" s="8"/>
      <c r="L478" s="8"/>
      <c r="M478" s="8"/>
      <c r="O478" s="8"/>
      <c r="Q478" s="8"/>
      <c r="T478" s="8"/>
      <c r="W478" s="8"/>
    </row>
    <row r="479" ht="14.25" customHeight="1">
      <c r="D479" s="8"/>
      <c r="E479" s="8"/>
      <c r="F479" s="8"/>
      <c r="G479" s="8"/>
      <c r="K479" s="8"/>
      <c r="L479" s="8"/>
      <c r="M479" s="8"/>
      <c r="O479" s="8"/>
      <c r="Q479" s="8"/>
      <c r="T479" s="8"/>
      <c r="W479" s="8"/>
    </row>
    <row r="480" ht="14.25" customHeight="1">
      <c r="D480" s="8"/>
      <c r="E480" s="8"/>
      <c r="F480" s="8"/>
      <c r="G480" s="8"/>
      <c r="K480" s="8"/>
      <c r="L480" s="8"/>
      <c r="M480" s="8"/>
      <c r="O480" s="8"/>
      <c r="Q480" s="8"/>
      <c r="T480" s="8"/>
      <c r="W480" s="8"/>
    </row>
    <row r="481" ht="14.25" customHeight="1">
      <c r="D481" s="8"/>
      <c r="E481" s="8"/>
      <c r="F481" s="8"/>
      <c r="G481" s="8"/>
      <c r="K481" s="8"/>
      <c r="L481" s="8"/>
      <c r="M481" s="8"/>
      <c r="O481" s="8"/>
      <c r="Q481" s="8"/>
      <c r="T481" s="8"/>
      <c r="W481" s="8"/>
    </row>
    <row r="482" ht="14.25" customHeight="1">
      <c r="D482" s="8"/>
      <c r="E482" s="8"/>
      <c r="F482" s="8"/>
      <c r="G482" s="8"/>
      <c r="K482" s="8"/>
      <c r="L482" s="8"/>
      <c r="M482" s="8"/>
      <c r="O482" s="8"/>
      <c r="Q482" s="8"/>
      <c r="T482" s="8"/>
      <c r="W482" s="8"/>
    </row>
    <row r="483" ht="14.25" customHeight="1">
      <c r="D483" s="8"/>
      <c r="E483" s="8"/>
      <c r="F483" s="8"/>
      <c r="G483" s="8"/>
      <c r="K483" s="8"/>
      <c r="L483" s="8"/>
      <c r="M483" s="8"/>
      <c r="O483" s="8"/>
      <c r="Q483" s="8"/>
      <c r="T483" s="8"/>
      <c r="W483" s="8"/>
    </row>
    <row r="484" ht="14.25" customHeight="1">
      <c r="D484" s="8"/>
      <c r="E484" s="8"/>
      <c r="F484" s="8"/>
      <c r="G484" s="8"/>
      <c r="K484" s="8"/>
      <c r="L484" s="8"/>
      <c r="M484" s="8"/>
      <c r="O484" s="8"/>
      <c r="Q484" s="8"/>
      <c r="T484" s="8"/>
      <c r="W484" s="8"/>
    </row>
    <row r="485" ht="14.25" customHeight="1">
      <c r="D485" s="8"/>
      <c r="E485" s="8"/>
      <c r="F485" s="8"/>
      <c r="G485" s="8"/>
      <c r="K485" s="8"/>
      <c r="L485" s="8"/>
      <c r="M485" s="8"/>
      <c r="O485" s="8"/>
      <c r="Q485" s="8"/>
      <c r="T485" s="8"/>
      <c r="W485" s="8"/>
    </row>
    <row r="486" ht="14.25" customHeight="1">
      <c r="D486" s="8"/>
      <c r="E486" s="8"/>
      <c r="F486" s="8"/>
      <c r="G486" s="8"/>
      <c r="K486" s="8"/>
      <c r="L486" s="8"/>
      <c r="M486" s="8"/>
      <c r="O486" s="8"/>
      <c r="Q486" s="8"/>
      <c r="T486" s="8"/>
      <c r="W486" s="8"/>
    </row>
    <row r="487" ht="14.25" customHeight="1">
      <c r="D487" s="8"/>
      <c r="E487" s="8"/>
      <c r="F487" s="8"/>
      <c r="G487" s="8"/>
      <c r="K487" s="8"/>
      <c r="L487" s="8"/>
      <c r="M487" s="8"/>
      <c r="O487" s="8"/>
      <c r="Q487" s="8"/>
      <c r="T487" s="8"/>
      <c r="W487" s="8"/>
    </row>
    <row r="488" ht="14.25" customHeight="1">
      <c r="D488" s="8"/>
      <c r="E488" s="8"/>
      <c r="F488" s="8"/>
      <c r="G488" s="8"/>
      <c r="K488" s="8"/>
      <c r="L488" s="8"/>
      <c r="M488" s="8"/>
      <c r="O488" s="8"/>
      <c r="Q488" s="8"/>
      <c r="T488" s="8"/>
      <c r="W488" s="8"/>
    </row>
    <row r="489" ht="14.25" customHeight="1">
      <c r="D489" s="8"/>
      <c r="E489" s="8"/>
      <c r="F489" s="8"/>
      <c r="G489" s="8"/>
      <c r="K489" s="8"/>
      <c r="L489" s="8"/>
      <c r="M489" s="8"/>
      <c r="O489" s="8"/>
      <c r="Q489" s="8"/>
      <c r="T489" s="8"/>
      <c r="W489" s="8"/>
    </row>
    <row r="490" ht="14.25" customHeight="1">
      <c r="D490" s="8"/>
      <c r="E490" s="8"/>
      <c r="F490" s="8"/>
      <c r="G490" s="8"/>
      <c r="K490" s="8"/>
      <c r="L490" s="8"/>
      <c r="M490" s="8"/>
      <c r="O490" s="8"/>
      <c r="Q490" s="8"/>
      <c r="T490" s="8"/>
      <c r="W490" s="8"/>
    </row>
    <row r="491" ht="14.25" customHeight="1">
      <c r="D491" s="8"/>
      <c r="E491" s="8"/>
      <c r="F491" s="8"/>
      <c r="G491" s="8"/>
      <c r="K491" s="8"/>
      <c r="L491" s="8"/>
      <c r="M491" s="8"/>
      <c r="O491" s="8"/>
      <c r="Q491" s="8"/>
      <c r="T491" s="8"/>
      <c r="W491" s="8"/>
    </row>
    <row r="492" ht="14.25" customHeight="1">
      <c r="D492" s="8"/>
      <c r="E492" s="8"/>
      <c r="F492" s="8"/>
      <c r="G492" s="8"/>
      <c r="K492" s="8"/>
      <c r="L492" s="8"/>
      <c r="M492" s="8"/>
      <c r="O492" s="8"/>
      <c r="Q492" s="8"/>
      <c r="T492" s="8"/>
      <c r="W492" s="8"/>
    </row>
    <row r="493" ht="14.25" customHeight="1">
      <c r="D493" s="8"/>
      <c r="E493" s="8"/>
      <c r="F493" s="8"/>
      <c r="G493" s="8"/>
      <c r="K493" s="8"/>
      <c r="L493" s="8"/>
      <c r="M493" s="8"/>
      <c r="O493" s="8"/>
      <c r="Q493" s="8"/>
      <c r="T493" s="8"/>
      <c r="W493" s="8"/>
    </row>
    <row r="494" ht="14.25" customHeight="1">
      <c r="D494" s="8"/>
      <c r="E494" s="8"/>
      <c r="F494" s="8"/>
      <c r="G494" s="8"/>
      <c r="K494" s="8"/>
      <c r="L494" s="8"/>
      <c r="M494" s="8"/>
      <c r="O494" s="8"/>
      <c r="Q494" s="8"/>
      <c r="T494" s="8"/>
      <c r="W494" s="8"/>
    </row>
    <row r="495" ht="14.25" customHeight="1">
      <c r="D495" s="8"/>
      <c r="E495" s="8"/>
      <c r="F495" s="8"/>
      <c r="G495" s="8"/>
      <c r="K495" s="8"/>
      <c r="L495" s="8"/>
      <c r="M495" s="8"/>
      <c r="O495" s="8"/>
      <c r="Q495" s="8"/>
      <c r="T495" s="8"/>
      <c r="W495" s="8"/>
    </row>
    <row r="496" ht="14.25" customHeight="1">
      <c r="D496" s="8"/>
      <c r="E496" s="8"/>
      <c r="F496" s="8"/>
      <c r="G496" s="8"/>
      <c r="K496" s="8"/>
      <c r="L496" s="8"/>
      <c r="M496" s="8"/>
      <c r="O496" s="8"/>
      <c r="Q496" s="8"/>
      <c r="T496" s="8"/>
      <c r="W496" s="8"/>
    </row>
    <row r="497" ht="14.25" customHeight="1">
      <c r="D497" s="8"/>
      <c r="E497" s="8"/>
      <c r="F497" s="8"/>
      <c r="G497" s="8"/>
      <c r="K497" s="8"/>
      <c r="L497" s="8"/>
      <c r="M497" s="8"/>
      <c r="O497" s="8"/>
      <c r="Q497" s="8"/>
      <c r="T497" s="8"/>
      <c r="W497" s="8"/>
    </row>
    <row r="498" ht="14.25" customHeight="1">
      <c r="D498" s="8"/>
      <c r="E498" s="8"/>
      <c r="F498" s="8"/>
      <c r="G498" s="8"/>
      <c r="K498" s="8"/>
      <c r="L498" s="8"/>
      <c r="M498" s="8"/>
      <c r="O498" s="8"/>
      <c r="Q498" s="8"/>
      <c r="T498" s="8"/>
      <c r="W498" s="8"/>
    </row>
    <row r="499" ht="14.25" customHeight="1">
      <c r="D499" s="8"/>
      <c r="E499" s="8"/>
      <c r="F499" s="8"/>
      <c r="G499" s="8"/>
      <c r="K499" s="8"/>
      <c r="L499" s="8"/>
      <c r="M499" s="8"/>
      <c r="O499" s="8"/>
      <c r="Q499" s="8"/>
      <c r="T499" s="8"/>
      <c r="W499" s="8"/>
    </row>
    <row r="500" ht="14.25" customHeight="1">
      <c r="D500" s="8"/>
      <c r="E500" s="8"/>
      <c r="F500" s="8"/>
      <c r="G500" s="8"/>
      <c r="K500" s="8"/>
      <c r="L500" s="8"/>
      <c r="M500" s="8"/>
      <c r="O500" s="8"/>
      <c r="Q500" s="8"/>
      <c r="T500" s="8"/>
      <c r="W500" s="8"/>
    </row>
    <row r="501" ht="14.25" customHeight="1">
      <c r="D501" s="8"/>
      <c r="E501" s="8"/>
      <c r="F501" s="8"/>
      <c r="G501" s="8"/>
      <c r="K501" s="8"/>
      <c r="L501" s="8"/>
      <c r="M501" s="8"/>
      <c r="O501" s="8"/>
      <c r="Q501" s="8"/>
      <c r="T501" s="8"/>
      <c r="W501" s="8"/>
    </row>
    <row r="502" ht="14.25" customHeight="1">
      <c r="D502" s="8"/>
      <c r="E502" s="8"/>
      <c r="F502" s="8"/>
      <c r="G502" s="8"/>
      <c r="K502" s="8"/>
      <c r="L502" s="8"/>
      <c r="M502" s="8"/>
      <c r="O502" s="8"/>
      <c r="Q502" s="8"/>
      <c r="T502" s="8"/>
      <c r="W502" s="8"/>
    </row>
    <row r="503" ht="14.25" customHeight="1">
      <c r="D503" s="8"/>
      <c r="E503" s="8"/>
      <c r="F503" s="8"/>
      <c r="G503" s="8"/>
      <c r="K503" s="8"/>
      <c r="L503" s="8"/>
      <c r="M503" s="8"/>
      <c r="O503" s="8"/>
      <c r="Q503" s="8"/>
      <c r="T503" s="8"/>
      <c r="W503" s="8"/>
    </row>
    <row r="504" ht="14.25" customHeight="1">
      <c r="D504" s="8"/>
      <c r="E504" s="8"/>
      <c r="F504" s="8"/>
      <c r="G504" s="8"/>
      <c r="K504" s="8"/>
      <c r="L504" s="8"/>
      <c r="M504" s="8"/>
      <c r="O504" s="8"/>
      <c r="Q504" s="8"/>
      <c r="T504" s="8"/>
      <c r="W504" s="8"/>
    </row>
    <row r="505" ht="14.25" customHeight="1">
      <c r="D505" s="8"/>
      <c r="E505" s="8"/>
      <c r="F505" s="8"/>
      <c r="G505" s="8"/>
      <c r="K505" s="8"/>
      <c r="L505" s="8"/>
      <c r="M505" s="8"/>
      <c r="O505" s="8"/>
      <c r="Q505" s="8"/>
      <c r="T505" s="8"/>
      <c r="W505" s="8"/>
    </row>
    <row r="506" ht="14.25" customHeight="1">
      <c r="D506" s="8"/>
      <c r="E506" s="8"/>
      <c r="F506" s="8"/>
      <c r="G506" s="8"/>
      <c r="K506" s="8"/>
      <c r="L506" s="8"/>
      <c r="M506" s="8"/>
      <c r="O506" s="8"/>
      <c r="Q506" s="8"/>
      <c r="T506" s="8"/>
      <c r="W506" s="8"/>
    </row>
    <row r="507" ht="14.25" customHeight="1">
      <c r="D507" s="8"/>
      <c r="E507" s="8"/>
      <c r="F507" s="8"/>
      <c r="G507" s="8"/>
      <c r="K507" s="8"/>
      <c r="L507" s="8"/>
      <c r="M507" s="8"/>
      <c r="O507" s="8"/>
      <c r="Q507" s="8"/>
      <c r="T507" s="8"/>
      <c r="W507" s="8"/>
    </row>
    <row r="508" ht="14.25" customHeight="1">
      <c r="D508" s="8"/>
      <c r="E508" s="8"/>
      <c r="F508" s="8"/>
      <c r="G508" s="8"/>
      <c r="K508" s="8"/>
      <c r="L508" s="8"/>
      <c r="M508" s="8"/>
      <c r="O508" s="8"/>
      <c r="Q508" s="8"/>
      <c r="T508" s="8"/>
      <c r="W508" s="8"/>
    </row>
    <row r="509" ht="14.25" customHeight="1">
      <c r="D509" s="8"/>
      <c r="E509" s="8"/>
      <c r="F509" s="8"/>
      <c r="G509" s="8"/>
      <c r="K509" s="8"/>
      <c r="L509" s="8"/>
      <c r="M509" s="8"/>
      <c r="O509" s="8"/>
      <c r="Q509" s="8"/>
      <c r="T509" s="8"/>
      <c r="W509" s="8"/>
    </row>
    <row r="510" ht="14.25" customHeight="1">
      <c r="D510" s="8"/>
      <c r="E510" s="8"/>
      <c r="F510" s="8"/>
      <c r="G510" s="8"/>
      <c r="K510" s="8"/>
      <c r="L510" s="8"/>
      <c r="M510" s="8"/>
      <c r="O510" s="8"/>
      <c r="Q510" s="8"/>
      <c r="T510" s="8"/>
      <c r="W510" s="8"/>
    </row>
    <row r="511" ht="14.25" customHeight="1">
      <c r="D511" s="8"/>
      <c r="E511" s="8"/>
      <c r="F511" s="8"/>
      <c r="G511" s="8"/>
      <c r="K511" s="8"/>
      <c r="L511" s="8"/>
      <c r="M511" s="8"/>
      <c r="O511" s="8"/>
      <c r="Q511" s="8"/>
      <c r="T511" s="8"/>
      <c r="W511" s="8"/>
    </row>
    <row r="512" ht="14.25" customHeight="1">
      <c r="D512" s="8"/>
      <c r="E512" s="8"/>
      <c r="F512" s="8"/>
      <c r="G512" s="8"/>
      <c r="K512" s="8"/>
      <c r="L512" s="8"/>
      <c r="M512" s="8"/>
      <c r="O512" s="8"/>
      <c r="Q512" s="8"/>
      <c r="T512" s="8"/>
      <c r="W512" s="8"/>
    </row>
    <row r="513" ht="14.25" customHeight="1">
      <c r="D513" s="8"/>
      <c r="E513" s="8"/>
      <c r="F513" s="8"/>
      <c r="G513" s="8"/>
      <c r="K513" s="8"/>
      <c r="L513" s="8"/>
      <c r="M513" s="8"/>
      <c r="O513" s="8"/>
      <c r="Q513" s="8"/>
      <c r="T513" s="8"/>
      <c r="W513" s="8"/>
    </row>
    <row r="514" ht="14.25" customHeight="1">
      <c r="D514" s="8"/>
      <c r="E514" s="8"/>
      <c r="F514" s="8"/>
      <c r="G514" s="8"/>
      <c r="K514" s="8"/>
      <c r="L514" s="8"/>
      <c r="M514" s="8"/>
      <c r="O514" s="8"/>
      <c r="Q514" s="8"/>
      <c r="T514" s="8"/>
      <c r="W514" s="8"/>
    </row>
    <row r="515" ht="14.25" customHeight="1">
      <c r="D515" s="8"/>
      <c r="E515" s="8"/>
      <c r="F515" s="8"/>
      <c r="G515" s="8"/>
      <c r="K515" s="8"/>
      <c r="L515" s="8"/>
      <c r="M515" s="8"/>
      <c r="O515" s="8"/>
      <c r="Q515" s="8"/>
      <c r="T515" s="8"/>
      <c r="W515" s="8"/>
    </row>
    <row r="516" ht="14.25" customHeight="1">
      <c r="D516" s="8"/>
      <c r="E516" s="8"/>
      <c r="F516" s="8"/>
      <c r="G516" s="8"/>
      <c r="K516" s="8"/>
      <c r="L516" s="8"/>
      <c r="M516" s="8"/>
      <c r="O516" s="8"/>
      <c r="Q516" s="8"/>
      <c r="T516" s="8"/>
      <c r="W516" s="8"/>
    </row>
    <row r="517" ht="14.25" customHeight="1">
      <c r="D517" s="8"/>
      <c r="E517" s="8"/>
      <c r="F517" s="8"/>
      <c r="G517" s="8"/>
      <c r="K517" s="8"/>
      <c r="L517" s="8"/>
      <c r="M517" s="8"/>
      <c r="O517" s="8"/>
      <c r="Q517" s="8"/>
      <c r="T517" s="8"/>
      <c r="W517" s="8"/>
    </row>
    <row r="518" ht="14.25" customHeight="1">
      <c r="D518" s="8"/>
      <c r="E518" s="8"/>
      <c r="F518" s="8"/>
      <c r="G518" s="8"/>
      <c r="K518" s="8"/>
      <c r="L518" s="8"/>
      <c r="M518" s="8"/>
      <c r="O518" s="8"/>
      <c r="Q518" s="8"/>
      <c r="T518" s="8"/>
      <c r="W518" s="8"/>
    </row>
    <row r="519" ht="14.25" customHeight="1">
      <c r="D519" s="8"/>
      <c r="E519" s="8"/>
      <c r="F519" s="8"/>
      <c r="G519" s="8"/>
      <c r="K519" s="8"/>
      <c r="L519" s="8"/>
      <c r="M519" s="8"/>
      <c r="O519" s="8"/>
      <c r="Q519" s="8"/>
      <c r="T519" s="8"/>
      <c r="W519" s="8"/>
    </row>
    <row r="520" ht="14.25" customHeight="1">
      <c r="D520" s="8"/>
      <c r="E520" s="8"/>
      <c r="F520" s="8"/>
      <c r="G520" s="8"/>
      <c r="K520" s="8"/>
      <c r="L520" s="8"/>
      <c r="M520" s="8"/>
      <c r="O520" s="8"/>
      <c r="Q520" s="8"/>
      <c r="T520" s="8"/>
      <c r="W520" s="8"/>
    </row>
    <row r="521" ht="14.25" customHeight="1">
      <c r="D521" s="8"/>
      <c r="E521" s="8"/>
      <c r="F521" s="8"/>
      <c r="G521" s="8"/>
      <c r="K521" s="8"/>
      <c r="L521" s="8"/>
      <c r="M521" s="8"/>
      <c r="O521" s="8"/>
      <c r="Q521" s="8"/>
      <c r="T521" s="8"/>
      <c r="W521" s="8"/>
    </row>
    <row r="522" ht="14.25" customHeight="1">
      <c r="D522" s="8"/>
      <c r="E522" s="8"/>
      <c r="F522" s="8"/>
      <c r="G522" s="8"/>
      <c r="K522" s="8"/>
      <c r="L522" s="8"/>
      <c r="M522" s="8"/>
      <c r="O522" s="8"/>
      <c r="Q522" s="8"/>
      <c r="T522" s="8"/>
      <c r="W522" s="8"/>
    </row>
    <row r="523" ht="14.25" customHeight="1">
      <c r="D523" s="8"/>
      <c r="E523" s="8"/>
      <c r="F523" s="8"/>
      <c r="G523" s="8"/>
      <c r="K523" s="8"/>
      <c r="L523" s="8"/>
      <c r="M523" s="8"/>
      <c r="O523" s="8"/>
      <c r="Q523" s="8"/>
      <c r="T523" s="8"/>
      <c r="W523" s="8"/>
    </row>
    <row r="524" ht="14.25" customHeight="1">
      <c r="D524" s="8"/>
      <c r="E524" s="8"/>
      <c r="F524" s="8"/>
      <c r="G524" s="8"/>
      <c r="K524" s="8"/>
      <c r="L524" s="8"/>
      <c r="M524" s="8"/>
      <c r="O524" s="8"/>
      <c r="Q524" s="8"/>
      <c r="T524" s="8"/>
      <c r="W524" s="8"/>
    </row>
    <row r="525" ht="14.25" customHeight="1">
      <c r="D525" s="8"/>
      <c r="E525" s="8"/>
      <c r="F525" s="8"/>
      <c r="G525" s="8"/>
      <c r="K525" s="8"/>
      <c r="L525" s="8"/>
      <c r="M525" s="8"/>
      <c r="O525" s="8"/>
      <c r="Q525" s="8"/>
      <c r="T525" s="8"/>
      <c r="W525" s="8"/>
    </row>
    <row r="526" ht="14.25" customHeight="1">
      <c r="D526" s="8"/>
      <c r="E526" s="8"/>
      <c r="F526" s="8"/>
      <c r="G526" s="8"/>
      <c r="K526" s="8"/>
      <c r="L526" s="8"/>
      <c r="M526" s="8"/>
      <c r="O526" s="8"/>
      <c r="Q526" s="8"/>
      <c r="T526" s="8"/>
      <c r="W526" s="8"/>
    </row>
    <row r="527" ht="14.25" customHeight="1">
      <c r="D527" s="8"/>
      <c r="E527" s="8"/>
      <c r="F527" s="8"/>
      <c r="G527" s="8"/>
      <c r="K527" s="8"/>
      <c r="L527" s="8"/>
      <c r="M527" s="8"/>
      <c r="O527" s="8"/>
      <c r="Q527" s="8"/>
      <c r="T527" s="8"/>
      <c r="W527" s="8"/>
    </row>
    <row r="528" ht="14.25" customHeight="1">
      <c r="D528" s="8"/>
      <c r="E528" s="8"/>
      <c r="F528" s="8"/>
      <c r="G528" s="8"/>
      <c r="K528" s="8"/>
      <c r="L528" s="8"/>
      <c r="M528" s="8"/>
      <c r="O528" s="8"/>
      <c r="Q528" s="8"/>
      <c r="T528" s="8"/>
      <c r="W528" s="8"/>
    </row>
    <row r="529" ht="14.25" customHeight="1">
      <c r="D529" s="8"/>
      <c r="E529" s="8"/>
      <c r="F529" s="8"/>
      <c r="G529" s="8"/>
      <c r="K529" s="8"/>
      <c r="L529" s="8"/>
      <c r="M529" s="8"/>
      <c r="O529" s="8"/>
      <c r="Q529" s="8"/>
      <c r="T529" s="8"/>
      <c r="W529" s="8"/>
    </row>
    <row r="530" ht="14.25" customHeight="1">
      <c r="D530" s="8"/>
      <c r="E530" s="8"/>
      <c r="F530" s="8"/>
      <c r="G530" s="8"/>
      <c r="K530" s="8"/>
      <c r="L530" s="8"/>
      <c r="M530" s="8"/>
      <c r="O530" s="8"/>
      <c r="Q530" s="8"/>
      <c r="T530" s="8"/>
      <c r="W530" s="8"/>
    </row>
    <row r="531" ht="14.25" customHeight="1">
      <c r="D531" s="8"/>
      <c r="E531" s="8"/>
      <c r="F531" s="8"/>
      <c r="G531" s="8"/>
      <c r="K531" s="8"/>
      <c r="L531" s="8"/>
      <c r="M531" s="8"/>
      <c r="O531" s="8"/>
      <c r="Q531" s="8"/>
      <c r="T531" s="8"/>
      <c r="W531" s="8"/>
    </row>
    <row r="532" ht="14.25" customHeight="1">
      <c r="D532" s="8"/>
      <c r="E532" s="8"/>
      <c r="F532" s="8"/>
      <c r="G532" s="8"/>
      <c r="K532" s="8"/>
      <c r="L532" s="8"/>
      <c r="M532" s="8"/>
      <c r="O532" s="8"/>
      <c r="Q532" s="8"/>
      <c r="T532" s="8"/>
      <c r="W532" s="8"/>
    </row>
    <row r="533" ht="14.25" customHeight="1">
      <c r="D533" s="8"/>
      <c r="E533" s="8"/>
      <c r="F533" s="8"/>
      <c r="G533" s="8"/>
      <c r="K533" s="8"/>
      <c r="L533" s="8"/>
      <c r="M533" s="8"/>
      <c r="O533" s="8"/>
      <c r="Q533" s="8"/>
      <c r="T533" s="8"/>
      <c r="W533" s="8"/>
    </row>
    <row r="534" ht="14.25" customHeight="1">
      <c r="D534" s="8"/>
      <c r="E534" s="8"/>
      <c r="F534" s="8"/>
      <c r="G534" s="8"/>
      <c r="K534" s="8"/>
      <c r="L534" s="8"/>
      <c r="M534" s="8"/>
      <c r="O534" s="8"/>
      <c r="Q534" s="8"/>
      <c r="T534" s="8"/>
      <c r="W534" s="8"/>
    </row>
    <row r="535" ht="14.25" customHeight="1">
      <c r="D535" s="8"/>
      <c r="E535" s="8"/>
      <c r="F535" s="8"/>
      <c r="G535" s="8"/>
      <c r="K535" s="8"/>
      <c r="L535" s="8"/>
      <c r="M535" s="8"/>
      <c r="O535" s="8"/>
      <c r="Q535" s="8"/>
      <c r="T535" s="8"/>
      <c r="W535" s="8"/>
    </row>
    <row r="536" ht="14.25" customHeight="1">
      <c r="D536" s="8"/>
      <c r="E536" s="8"/>
      <c r="F536" s="8"/>
      <c r="G536" s="8"/>
      <c r="K536" s="8"/>
      <c r="L536" s="8"/>
      <c r="M536" s="8"/>
      <c r="O536" s="8"/>
      <c r="Q536" s="8"/>
      <c r="T536" s="8"/>
      <c r="W536" s="8"/>
    </row>
    <row r="537" ht="14.25" customHeight="1">
      <c r="D537" s="8"/>
      <c r="E537" s="8"/>
      <c r="F537" s="8"/>
      <c r="G537" s="8"/>
      <c r="K537" s="8"/>
      <c r="L537" s="8"/>
      <c r="M537" s="8"/>
      <c r="O537" s="8"/>
      <c r="Q537" s="8"/>
      <c r="T537" s="8"/>
      <c r="W537" s="8"/>
    </row>
    <row r="538" ht="14.25" customHeight="1">
      <c r="D538" s="8"/>
      <c r="E538" s="8"/>
      <c r="F538" s="8"/>
      <c r="G538" s="8"/>
      <c r="K538" s="8"/>
      <c r="L538" s="8"/>
      <c r="M538" s="8"/>
      <c r="O538" s="8"/>
      <c r="Q538" s="8"/>
      <c r="T538" s="8"/>
      <c r="W538" s="8"/>
    </row>
    <row r="539" ht="14.25" customHeight="1">
      <c r="D539" s="8"/>
      <c r="E539" s="8"/>
      <c r="F539" s="8"/>
      <c r="G539" s="8"/>
      <c r="K539" s="8"/>
      <c r="L539" s="8"/>
      <c r="M539" s="8"/>
      <c r="O539" s="8"/>
      <c r="Q539" s="8"/>
      <c r="T539" s="8"/>
      <c r="W539" s="8"/>
    </row>
    <row r="540" ht="14.25" customHeight="1">
      <c r="D540" s="8"/>
      <c r="E540" s="8"/>
      <c r="F540" s="8"/>
      <c r="G540" s="8"/>
      <c r="K540" s="8"/>
      <c r="L540" s="8"/>
      <c r="M540" s="8"/>
      <c r="O540" s="8"/>
      <c r="Q540" s="8"/>
      <c r="T540" s="8"/>
      <c r="W540" s="8"/>
    </row>
    <row r="541" ht="14.25" customHeight="1">
      <c r="D541" s="8"/>
      <c r="E541" s="8"/>
      <c r="F541" s="8"/>
      <c r="G541" s="8"/>
      <c r="K541" s="8"/>
      <c r="L541" s="8"/>
      <c r="M541" s="8"/>
      <c r="O541" s="8"/>
      <c r="Q541" s="8"/>
      <c r="T541" s="8"/>
      <c r="W541" s="8"/>
    </row>
    <row r="542" ht="14.25" customHeight="1">
      <c r="D542" s="8"/>
      <c r="E542" s="8"/>
      <c r="F542" s="8"/>
      <c r="G542" s="8"/>
      <c r="K542" s="8"/>
      <c r="L542" s="8"/>
      <c r="M542" s="8"/>
      <c r="O542" s="8"/>
      <c r="Q542" s="8"/>
      <c r="T542" s="8"/>
      <c r="W542" s="8"/>
    </row>
    <row r="543" ht="14.25" customHeight="1">
      <c r="D543" s="8"/>
      <c r="E543" s="8"/>
      <c r="F543" s="8"/>
      <c r="G543" s="8"/>
      <c r="K543" s="8"/>
      <c r="L543" s="8"/>
      <c r="M543" s="8"/>
      <c r="O543" s="8"/>
      <c r="Q543" s="8"/>
      <c r="T543" s="8"/>
      <c r="W543" s="8"/>
    </row>
    <row r="544" ht="14.25" customHeight="1">
      <c r="D544" s="8"/>
      <c r="E544" s="8"/>
      <c r="F544" s="8"/>
      <c r="G544" s="8"/>
      <c r="K544" s="8"/>
      <c r="L544" s="8"/>
      <c r="M544" s="8"/>
      <c r="O544" s="8"/>
      <c r="Q544" s="8"/>
      <c r="T544" s="8"/>
      <c r="W544" s="8"/>
    </row>
    <row r="545" ht="14.25" customHeight="1">
      <c r="D545" s="8"/>
      <c r="E545" s="8"/>
      <c r="F545" s="8"/>
      <c r="G545" s="8"/>
      <c r="K545" s="8"/>
      <c r="L545" s="8"/>
      <c r="M545" s="8"/>
      <c r="O545" s="8"/>
      <c r="Q545" s="8"/>
      <c r="T545" s="8"/>
      <c r="W545" s="8"/>
    </row>
    <row r="546" ht="14.25" customHeight="1">
      <c r="D546" s="8"/>
      <c r="E546" s="8"/>
      <c r="F546" s="8"/>
      <c r="G546" s="8"/>
      <c r="K546" s="8"/>
      <c r="L546" s="8"/>
      <c r="M546" s="8"/>
      <c r="O546" s="8"/>
      <c r="Q546" s="8"/>
      <c r="T546" s="8"/>
      <c r="W546" s="8"/>
    </row>
    <row r="547" ht="14.25" customHeight="1">
      <c r="D547" s="8"/>
      <c r="E547" s="8"/>
      <c r="F547" s="8"/>
      <c r="G547" s="8"/>
      <c r="K547" s="8"/>
      <c r="L547" s="8"/>
      <c r="M547" s="8"/>
      <c r="O547" s="8"/>
      <c r="Q547" s="8"/>
      <c r="T547" s="8"/>
      <c r="W547" s="8"/>
    </row>
    <row r="548" ht="14.25" customHeight="1">
      <c r="D548" s="8"/>
      <c r="E548" s="8"/>
      <c r="F548" s="8"/>
      <c r="G548" s="8"/>
      <c r="K548" s="8"/>
      <c r="L548" s="8"/>
      <c r="M548" s="8"/>
      <c r="O548" s="8"/>
      <c r="Q548" s="8"/>
      <c r="T548" s="8"/>
      <c r="W548" s="8"/>
    </row>
    <row r="549" ht="14.25" customHeight="1">
      <c r="D549" s="8"/>
      <c r="E549" s="8"/>
      <c r="F549" s="8"/>
      <c r="G549" s="8"/>
      <c r="K549" s="8"/>
      <c r="L549" s="8"/>
      <c r="M549" s="8"/>
      <c r="O549" s="8"/>
      <c r="Q549" s="8"/>
      <c r="T549" s="8"/>
      <c r="W549" s="8"/>
    </row>
    <row r="550" ht="14.25" customHeight="1">
      <c r="D550" s="8"/>
      <c r="E550" s="8"/>
      <c r="F550" s="8"/>
      <c r="G550" s="8"/>
      <c r="K550" s="8"/>
      <c r="L550" s="8"/>
      <c r="M550" s="8"/>
      <c r="O550" s="8"/>
      <c r="Q550" s="8"/>
      <c r="T550" s="8"/>
      <c r="W550" s="8"/>
    </row>
    <row r="551" ht="14.25" customHeight="1">
      <c r="D551" s="8"/>
      <c r="E551" s="8"/>
      <c r="F551" s="8"/>
      <c r="G551" s="8"/>
      <c r="K551" s="8"/>
      <c r="L551" s="8"/>
      <c r="M551" s="8"/>
      <c r="O551" s="8"/>
      <c r="Q551" s="8"/>
      <c r="T551" s="8"/>
      <c r="W551" s="8"/>
    </row>
    <row r="552" ht="14.25" customHeight="1">
      <c r="D552" s="8"/>
      <c r="E552" s="8"/>
      <c r="F552" s="8"/>
      <c r="G552" s="8"/>
      <c r="K552" s="8"/>
      <c r="L552" s="8"/>
      <c r="M552" s="8"/>
      <c r="O552" s="8"/>
      <c r="Q552" s="8"/>
      <c r="T552" s="8"/>
      <c r="W552" s="8"/>
    </row>
    <row r="553" ht="14.25" customHeight="1">
      <c r="D553" s="8"/>
      <c r="E553" s="8"/>
      <c r="F553" s="8"/>
      <c r="G553" s="8"/>
      <c r="K553" s="8"/>
      <c r="L553" s="8"/>
      <c r="M553" s="8"/>
      <c r="O553" s="8"/>
      <c r="Q553" s="8"/>
      <c r="T553" s="8"/>
      <c r="W553" s="8"/>
    </row>
    <row r="554" ht="14.25" customHeight="1">
      <c r="D554" s="8"/>
      <c r="E554" s="8"/>
      <c r="F554" s="8"/>
      <c r="G554" s="8"/>
      <c r="K554" s="8"/>
      <c r="L554" s="8"/>
      <c r="M554" s="8"/>
      <c r="O554" s="8"/>
      <c r="Q554" s="8"/>
      <c r="T554" s="8"/>
      <c r="W554" s="8"/>
    </row>
    <row r="555" ht="14.25" customHeight="1">
      <c r="D555" s="8"/>
      <c r="E555" s="8"/>
      <c r="F555" s="8"/>
      <c r="G555" s="8"/>
      <c r="K555" s="8"/>
      <c r="L555" s="8"/>
      <c r="M555" s="8"/>
      <c r="O555" s="8"/>
      <c r="Q555" s="8"/>
      <c r="T555" s="8"/>
      <c r="W555" s="8"/>
    </row>
    <row r="556" ht="14.25" customHeight="1">
      <c r="D556" s="8"/>
      <c r="E556" s="8"/>
      <c r="F556" s="8"/>
      <c r="G556" s="8"/>
      <c r="K556" s="8"/>
      <c r="L556" s="8"/>
      <c r="M556" s="8"/>
      <c r="O556" s="8"/>
      <c r="Q556" s="8"/>
      <c r="T556" s="8"/>
      <c r="W556" s="8"/>
    </row>
    <row r="557" ht="14.25" customHeight="1">
      <c r="D557" s="8"/>
      <c r="E557" s="8"/>
      <c r="F557" s="8"/>
      <c r="G557" s="8"/>
      <c r="K557" s="8"/>
      <c r="L557" s="8"/>
      <c r="M557" s="8"/>
      <c r="O557" s="8"/>
      <c r="Q557" s="8"/>
      <c r="T557" s="8"/>
      <c r="W557" s="8"/>
    </row>
    <row r="558" ht="14.25" customHeight="1">
      <c r="D558" s="8"/>
      <c r="E558" s="8"/>
      <c r="F558" s="8"/>
      <c r="G558" s="8"/>
      <c r="K558" s="8"/>
      <c r="L558" s="8"/>
      <c r="M558" s="8"/>
      <c r="O558" s="8"/>
      <c r="Q558" s="8"/>
      <c r="T558" s="8"/>
      <c r="W558" s="8"/>
    </row>
    <row r="559" ht="14.25" customHeight="1">
      <c r="D559" s="8"/>
      <c r="E559" s="8"/>
      <c r="F559" s="8"/>
      <c r="G559" s="8"/>
      <c r="K559" s="8"/>
      <c r="L559" s="8"/>
      <c r="M559" s="8"/>
      <c r="O559" s="8"/>
      <c r="Q559" s="8"/>
      <c r="T559" s="8"/>
      <c r="W559" s="8"/>
    </row>
    <row r="560" ht="14.25" customHeight="1">
      <c r="D560" s="8"/>
      <c r="E560" s="8"/>
      <c r="F560" s="8"/>
      <c r="G560" s="8"/>
      <c r="K560" s="8"/>
      <c r="L560" s="8"/>
      <c r="M560" s="8"/>
      <c r="O560" s="8"/>
      <c r="Q560" s="8"/>
      <c r="T560" s="8"/>
      <c r="W560" s="8"/>
    </row>
    <row r="561" ht="14.25" customHeight="1">
      <c r="D561" s="8"/>
      <c r="E561" s="8"/>
      <c r="F561" s="8"/>
      <c r="G561" s="8"/>
      <c r="K561" s="8"/>
      <c r="L561" s="8"/>
      <c r="M561" s="8"/>
      <c r="O561" s="8"/>
      <c r="Q561" s="8"/>
      <c r="T561" s="8"/>
      <c r="W561" s="8"/>
    </row>
    <row r="562" ht="14.25" customHeight="1">
      <c r="D562" s="8"/>
      <c r="E562" s="8"/>
      <c r="F562" s="8"/>
      <c r="G562" s="8"/>
      <c r="K562" s="8"/>
      <c r="L562" s="8"/>
      <c r="M562" s="8"/>
      <c r="O562" s="8"/>
      <c r="Q562" s="8"/>
      <c r="T562" s="8"/>
      <c r="W562" s="8"/>
    </row>
    <row r="563" ht="14.25" customHeight="1">
      <c r="D563" s="8"/>
      <c r="E563" s="8"/>
      <c r="F563" s="8"/>
      <c r="G563" s="8"/>
      <c r="K563" s="8"/>
      <c r="L563" s="8"/>
      <c r="M563" s="8"/>
      <c r="O563" s="8"/>
      <c r="Q563" s="8"/>
      <c r="T563" s="8"/>
      <c r="W563" s="8"/>
    </row>
    <row r="564" ht="14.25" customHeight="1">
      <c r="D564" s="8"/>
      <c r="E564" s="8"/>
      <c r="F564" s="8"/>
      <c r="G564" s="8"/>
      <c r="K564" s="8"/>
      <c r="L564" s="8"/>
      <c r="M564" s="8"/>
      <c r="O564" s="8"/>
      <c r="Q564" s="8"/>
      <c r="T564" s="8"/>
      <c r="W564" s="8"/>
    </row>
    <row r="565" ht="14.25" customHeight="1">
      <c r="D565" s="8"/>
      <c r="E565" s="8"/>
      <c r="F565" s="8"/>
      <c r="G565" s="8"/>
      <c r="K565" s="8"/>
      <c r="L565" s="8"/>
      <c r="M565" s="8"/>
      <c r="O565" s="8"/>
      <c r="Q565" s="8"/>
      <c r="T565" s="8"/>
      <c r="W565" s="8"/>
    </row>
    <row r="566" ht="14.25" customHeight="1">
      <c r="D566" s="8"/>
      <c r="E566" s="8"/>
      <c r="F566" s="8"/>
      <c r="G566" s="8"/>
      <c r="K566" s="8"/>
      <c r="L566" s="8"/>
      <c r="M566" s="8"/>
      <c r="O566" s="8"/>
      <c r="Q566" s="8"/>
      <c r="T566" s="8"/>
      <c r="W566" s="8"/>
    </row>
    <row r="567" ht="14.25" customHeight="1">
      <c r="D567" s="8"/>
      <c r="E567" s="8"/>
      <c r="F567" s="8"/>
      <c r="G567" s="8"/>
      <c r="K567" s="8"/>
      <c r="L567" s="8"/>
      <c r="M567" s="8"/>
      <c r="O567" s="8"/>
      <c r="Q567" s="8"/>
      <c r="T567" s="8"/>
      <c r="W567" s="8"/>
    </row>
    <row r="568" ht="14.25" customHeight="1">
      <c r="D568" s="8"/>
      <c r="E568" s="8"/>
      <c r="F568" s="8"/>
      <c r="G568" s="8"/>
      <c r="K568" s="8"/>
      <c r="L568" s="8"/>
      <c r="M568" s="8"/>
      <c r="O568" s="8"/>
      <c r="Q568" s="8"/>
      <c r="T568" s="8"/>
      <c r="W568" s="8"/>
    </row>
    <row r="569" ht="14.25" customHeight="1">
      <c r="D569" s="8"/>
      <c r="E569" s="8"/>
      <c r="F569" s="8"/>
      <c r="G569" s="8"/>
      <c r="K569" s="8"/>
      <c r="L569" s="8"/>
      <c r="M569" s="8"/>
      <c r="O569" s="8"/>
      <c r="Q569" s="8"/>
      <c r="T569" s="8"/>
      <c r="W569" s="8"/>
    </row>
    <row r="570" ht="14.25" customHeight="1">
      <c r="D570" s="8"/>
      <c r="E570" s="8"/>
      <c r="F570" s="8"/>
      <c r="G570" s="8"/>
      <c r="K570" s="8"/>
      <c r="L570" s="8"/>
      <c r="M570" s="8"/>
      <c r="O570" s="8"/>
      <c r="Q570" s="8"/>
      <c r="T570" s="8"/>
      <c r="W570" s="8"/>
    </row>
    <row r="571" ht="14.25" customHeight="1">
      <c r="D571" s="8"/>
      <c r="E571" s="8"/>
      <c r="F571" s="8"/>
      <c r="G571" s="8"/>
      <c r="K571" s="8"/>
      <c r="L571" s="8"/>
      <c r="M571" s="8"/>
      <c r="O571" s="8"/>
      <c r="Q571" s="8"/>
      <c r="T571" s="8"/>
      <c r="W571" s="8"/>
    </row>
    <row r="572" ht="14.25" customHeight="1">
      <c r="D572" s="8"/>
      <c r="E572" s="8"/>
      <c r="F572" s="8"/>
      <c r="G572" s="8"/>
      <c r="K572" s="8"/>
      <c r="L572" s="8"/>
      <c r="M572" s="8"/>
      <c r="O572" s="8"/>
      <c r="Q572" s="8"/>
      <c r="T572" s="8"/>
      <c r="W572" s="8"/>
    </row>
    <row r="573" ht="14.25" customHeight="1">
      <c r="D573" s="8"/>
      <c r="E573" s="8"/>
      <c r="F573" s="8"/>
      <c r="G573" s="8"/>
      <c r="K573" s="8"/>
      <c r="L573" s="8"/>
      <c r="M573" s="8"/>
      <c r="O573" s="8"/>
      <c r="Q573" s="8"/>
      <c r="T573" s="8"/>
      <c r="W573" s="8"/>
    </row>
    <row r="574" ht="14.25" customHeight="1">
      <c r="D574" s="8"/>
      <c r="E574" s="8"/>
      <c r="F574" s="8"/>
      <c r="G574" s="8"/>
      <c r="K574" s="8"/>
      <c r="L574" s="8"/>
      <c r="M574" s="8"/>
      <c r="O574" s="8"/>
      <c r="Q574" s="8"/>
      <c r="T574" s="8"/>
      <c r="W574" s="8"/>
    </row>
    <row r="575" ht="14.25" customHeight="1">
      <c r="D575" s="8"/>
      <c r="E575" s="8"/>
      <c r="F575" s="8"/>
      <c r="G575" s="8"/>
      <c r="K575" s="8"/>
      <c r="L575" s="8"/>
      <c r="M575" s="8"/>
      <c r="O575" s="8"/>
      <c r="Q575" s="8"/>
      <c r="T575" s="8"/>
      <c r="W575" s="8"/>
    </row>
    <row r="576" ht="14.25" customHeight="1">
      <c r="D576" s="8"/>
      <c r="E576" s="8"/>
      <c r="F576" s="8"/>
      <c r="G576" s="8"/>
      <c r="K576" s="8"/>
      <c r="L576" s="8"/>
      <c r="M576" s="8"/>
      <c r="O576" s="8"/>
      <c r="Q576" s="8"/>
      <c r="T576" s="8"/>
      <c r="W576" s="8"/>
    </row>
    <row r="577" ht="14.25" customHeight="1">
      <c r="D577" s="8"/>
      <c r="E577" s="8"/>
      <c r="F577" s="8"/>
      <c r="G577" s="8"/>
      <c r="K577" s="8"/>
      <c r="L577" s="8"/>
      <c r="M577" s="8"/>
      <c r="O577" s="8"/>
      <c r="Q577" s="8"/>
      <c r="T577" s="8"/>
      <c r="W577" s="8"/>
    </row>
    <row r="578" ht="14.25" customHeight="1">
      <c r="D578" s="8"/>
      <c r="E578" s="8"/>
      <c r="F578" s="8"/>
      <c r="G578" s="8"/>
      <c r="K578" s="8"/>
      <c r="L578" s="8"/>
      <c r="M578" s="8"/>
      <c r="O578" s="8"/>
      <c r="Q578" s="8"/>
      <c r="T578" s="8"/>
      <c r="W578" s="8"/>
    </row>
    <row r="579" ht="14.25" customHeight="1">
      <c r="D579" s="8"/>
      <c r="E579" s="8"/>
      <c r="F579" s="8"/>
      <c r="G579" s="8"/>
      <c r="K579" s="8"/>
      <c r="L579" s="8"/>
      <c r="M579" s="8"/>
      <c r="O579" s="8"/>
      <c r="Q579" s="8"/>
      <c r="T579" s="8"/>
      <c r="W579" s="8"/>
    </row>
    <row r="580" ht="14.25" customHeight="1">
      <c r="D580" s="8"/>
      <c r="E580" s="8"/>
      <c r="F580" s="8"/>
      <c r="G580" s="8"/>
      <c r="K580" s="8"/>
      <c r="L580" s="8"/>
      <c r="M580" s="8"/>
      <c r="O580" s="8"/>
      <c r="Q580" s="8"/>
      <c r="T580" s="8"/>
      <c r="W580" s="8"/>
    </row>
    <row r="581" ht="14.25" customHeight="1">
      <c r="D581" s="8"/>
      <c r="E581" s="8"/>
      <c r="F581" s="8"/>
      <c r="G581" s="8"/>
      <c r="K581" s="8"/>
      <c r="L581" s="8"/>
      <c r="M581" s="8"/>
      <c r="O581" s="8"/>
      <c r="Q581" s="8"/>
      <c r="T581" s="8"/>
      <c r="W581" s="8"/>
    </row>
    <row r="582" ht="14.25" customHeight="1">
      <c r="D582" s="8"/>
      <c r="E582" s="8"/>
      <c r="F582" s="8"/>
      <c r="G582" s="8"/>
      <c r="K582" s="8"/>
      <c r="L582" s="8"/>
      <c r="M582" s="8"/>
      <c r="O582" s="8"/>
      <c r="Q582" s="8"/>
      <c r="T582" s="8"/>
      <c r="W582" s="8"/>
    </row>
    <row r="583" ht="14.25" customHeight="1">
      <c r="D583" s="8"/>
      <c r="E583" s="8"/>
      <c r="F583" s="8"/>
      <c r="G583" s="8"/>
      <c r="K583" s="8"/>
      <c r="L583" s="8"/>
      <c r="M583" s="8"/>
      <c r="O583" s="8"/>
      <c r="Q583" s="8"/>
      <c r="T583" s="8"/>
      <c r="W583" s="8"/>
    </row>
    <row r="584" ht="14.25" customHeight="1">
      <c r="D584" s="8"/>
      <c r="E584" s="8"/>
      <c r="F584" s="8"/>
      <c r="G584" s="8"/>
      <c r="K584" s="8"/>
      <c r="L584" s="8"/>
      <c r="M584" s="8"/>
      <c r="O584" s="8"/>
      <c r="Q584" s="8"/>
      <c r="T584" s="8"/>
      <c r="W584" s="8"/>
    </row>
    <row r="585" ht="14.25" customHeight="1">
      <c r="D585" s="8"/>
      <c r="E585" s="8"/>
      <c r="F585" s="8"/>
      <c r="G585" s="8"/>
      <c r="K585" s="8"/>
      <c r="L585" s="8"/>
      <c r="M585" s="8"/>
      <c r="O585" s="8"/>
      <c r="Q585" s="8"/>
      <c r="T585" s="8"/>
      <c r="W585" s="8"/>
    </row>
    <row r="586" ht="14.25" customHeight="1">
      <c r="D586" s="8"/>
      <c r="E586" s="8"/>
      <c r="F586" s="8"/>
      <c r="G586" s="8"/>
      <c r="K586" s="8"/>
      <c r="L586" s="8"/>
      <c r="M586" s="8"/>
      <c r="O586" s="8"/>
      <c r="Q586" s="8"/>
      <c r="T586" s="8"/>
      <c r="W586" s="8"/>
    </row>
    <row r="587" ht="14.25" customHeight="1">
      <c r="D587" s="8"/>
      <c r="E587" s="8"/>
      <c r="F587" s="8"/>
      <c r="G587" s="8"/>
      <c r="K587" s="8"/>
      <c r="L587" s="8"/>
      <c r="M587" s="8"/>
      <c r="O587" s="8"/>
      <c r="Q587" s="8"/>
      <c r="T587" s="8"/>
      <c r="W587" s="8"/>
    </row>
    <row r="588" ht="14.25" customHeight="1">
      <c r="D588" s="8"/>
      <c r="E588" s="8"/>
      <c r="F588" s="8"/>
      <c r="G588" s="8"/>
      <c r="K588" s="8"/>
      <c r="L588" s="8"/>
      <c r="M588" s="8"/>
      <c r="O588" s="8"/>
      <c r="Q588" s="8"/>
      <c r="T588" s="8"/>
      <c r="W588" s="8"/>
    </row>
    <row r="589" ht="14.25" customHeight="1">
      <c r="D589" s="8"/>
      <c r="E589" s="8"/>
      <c r="F589" s="8"/>
      <c r="G589" s="8"/>
      <c r="K589" s="8"/>
      <c r="L589" s="8"/>
      <c r="M589" s="8"/>
      <c r="O589" s="8"/>
      <c r="Q589" s="8"/>
      <c r="T589" s="8"/>
      <c r="W589" s="8"/>
    </row>
    <row r="590" ht="14.25" customHeight="1">
      <c r="D590" s="8"/>
      <c r="E590" s="8"/>
      <c r="F590" s="8"/>
      <c r="G590" s="8"/>
      <c r="K590" s="8"/>
      <c r="L590" s="8"/>
      <c r="M590" s="8"/>
      <c r="O590" s="8"/>
      <c r="Q590" s="8"/>
      <c r="T590" s="8"/>
      <c r="W590" s="8"/>
    </row>
    <row r="591" ht="14.25" customHeight="1">
      <c r="D591" s="8"/>
      <c r="E591" s="8"/>
      <c r="F591" s="8"/>
      <c r="G591" s="8"/>
      <c r="K591" s="8"/>
      <c r="L591" s="8"/>
      <c r="M591" s="8"/>
      <c r="O591" s="8"/>
      <c r="Q591" s="8"/>
      <c r="T591" s="8"/>
      <c r="W591" s="8"/>
    </row>
    <row r="592" ht="14.25" customHeight="1">
      <c r="D592" s="8"/>
      <c r="E592" s="8"/>
      <c r="F592" s="8"/>
      <c r="G592" s="8"/>
      <c r="K592" s="8"/>
      <c r="L592" s="8"/>
      <c r="M592" s="8"/>
      <c r="O592" s="8"/>
      <c r="Q592" s="8"/>
      <c r="T592" s="8"/>
      <c r="W592" s="8"/>
    </row>
    <row r="593" ht="14.25" customHeight="1">
      <c r="D593" s="8"/>
      <c r="E593" s="8"/>
      <c r="F593" s="8"/>
      <c r="G593" s="8"/>
      <c r="K593" s="8"/>
      <c r="L593" s="8"/>
      <c r="M593" s="8"/>
      <c r="O593" s="8"/>
      <c r="Q593" s="8"/>
      <c r="T593" s="8"/>
      <c r="W593" s="8"/>
    </row>
    <row r="594" ht="14.25" customHeight="1">
      <c r="D594" s="8"/>
      <c r="E594" s="8"/>
      <c r="F594" s="8"/>
      <c r="G594" s="8"/>
      <c r="K594" s="8"/>
      <c r="L594" s="8"/>
      <c r="M594" s="8"/>
      <c r="O594" s="8"/>
      <c r="Q594" s="8"/>
      <c r="T594" s="8"/>
      <c r="W594" s="8"/>
    </row>
    <row r="595" ht="14.25" customHeight="1">
      <c r="D595" s="8"/>
      <c r="E595" s="8"/>
      <c r="F595" s="8"/>
      <c r="G595" s="8"/>
      <c r="K595" s="8"/>
      <c r="L595" s="8"/>
      <c r="M595" s="8"/>
      <c r="O595" s="8"/>
      <c r="Q595" s="8"/>
      <c r="T595" s="8"/>
      <c r="W595" s="8"/>
    </row>
    <row r="596" ht="14.25" customHeight="1">
      <c r="D596" s="8"/>
      <c r="E596" s="8"/>
      <c r="F596" s="8"/>
      <c r="G596" s="8"/>
      <c r="K596" s="8"/>
      <c r="L596" s="8"/>
      <c r="M596" s="8"/>
      <c r="O596" s="8"/>
      <c r="Q596" s="8"/>
      <c r="T596" s="8"/>
      <c r="W596" s="8"/>
    </row>
    <row r="597" ht="14.25" customHeight="1">
      <c r="D597" s="8"/>
      <c r="E597" s="8"/>
      <c r="F597" s="8"/>
      <c r="G597" s="8"/>
      <c r="K597" s="8"/>
      <c r="L597" s="8"/>
      <c r="M597" s="8"/>
      <c r="O597" s="8"/>
      <c r="Q597" s="8"/>
      <c r="T597" s="8"/>
      <c r="W597" s="8"/>
    </row>
    <row r="598" ht="14.25" customHeight="1">
      <c r="D598" s="8"/>
      <c r="E598" s="8"/>
      <c r="F598" s="8"/>
      <c r="G598" s="8"/>
      <c r="K598" s="8"/>
      <c r="L598" s="8"/>
      <c r="M598" s="8"/>
      <c r="O598" s="8"/>
      <c r="Q598" s="8"/>
      <c r="T598" s="8"/>
      <c r="W598" s="8"/>
    </row>
    <row r="599" ht="14.25" customHeight="1">
      <c r="D599" s="8"/>
      <c r="E599" s="8"/>
      <c r="F599" s="8"/>
      <c r="G599" s="8"/>
      <c r="K599" s="8"/>
      <c r="L599" s="8"/>
      <c r="M599" s="8"/>
      <c r="O599" s="8"/>
      <c r="Q599" s="8"/>
      <c r="T599" s="8"/>
      <c r="W599" s="8"/>
    </row>
    <row r="600" ht="14.25" customHeight="1">
      <c r="D600" s="8"/>
      <c r="E600" s="8"/>
      <c r="F600" s="8"/>
      <c r="G600" s="8"/>
      <c r="K600" s="8"/>
      <c r="L600" s="8"/>
      <c r="M600" s="8"/>
      <c r="O600" s="8"/>
      <c r="Q600" s="8"/>
      <c r="T600" s="8"/>
      <c r="W600" s="8"/>
    </row>
    <row r="601" ht="14.25" customHeight="1">
      <c r="D601" s="8"/>
      <c r="E601" s="8"/>
      <c r="F601" s="8"/>
      <c r="G601" s="8"/>
      <c r="K601" s="8"/>
      <c r="L601" s="8"/>
      <c r="M601" s="8"/>
      <c r="O601" s="8"/>
      <c r="Q601" s="8"/>
      <c r="T601" s="8"/>
      <c r="W601" s="8"/>
    </row>
    <row r="602" ht="14.25" customHeight="1">
      <c r="D602" s="8"/>
      <c r="E602" s="8"/>
      <c r="F602" s="8"/>
      <c r="G602" s="8"/>
      <c r="K602" s="8"/>
      <c r="L602" s="8"/>
      <c r="M602" s="8"/>
      <c r="O602" s="8"/>
      <c r="Q602" s="8"/>
      <c r="T602" s="8"/>
      <c r="W602" s="8"/>
    </row>
    <row r="603" ht="14.25" customHeight="1">
      <c r="D603" s="8"/>
      <c r="E603" s="8"/>
      <c r="F603" s="8"/>
      <c r="G603" s="8"/>
      <c r="K603" s="8"/>
      <c r="L603" s="8"/>
      <c r="M603" s="8"/>
      <c r="O603" s="8"/>
      <c r="Q603" s="8"/>
      <c r="T603" s="8"/>
      <c r="W603" s="8"/>
    </row>
    <row r="604" ht="14.25" customHeight="1">
      <c r="D604" s="8"/>
      <c r="E604" s="8"/>
      <c r="F604" s="8"/>
      <c r="G604" s="8"/>
      <c r="K604" s="8"/>
      <c r="L604" s="8"/>
      <c r="M604" s="8"/>
      <c r="O604" s="8"/>
      <c r="Q604" s="8"/>
      <c r="T604" s="8"/>
      <c r="W604" s="8"/>
    </row>
    <row r="605" ht="14.25" customHeight="1">
      <c r="D605" s="8"/>
      <c r="E605" s="8"/>
      <c r="F605" s="8"/>
      <c r="G605" s="8"/>
      <c r="K605" s="8"/>
      <c r="L605" s="8"/>
      <c r="M605" s="8"/>
      <c r="O605" s="8"/>
      <c r="Q605" s="8"/>
      <c r="T605" s="8"/>
      <c r="W605" s="8"/>
    </row>
    <row r="606" ht="14.25" customHeight="1">
      <c r="D606" s="8"/>
      <c r="E606" s="8"/>
      <c r="F606" s="8"/>
      <c r="G606" s="8"/>
      <c r="K606" s="8"/>
      <c r="L606" s="8"/>
      <c r="M606" s="8"/>
      <c r="O606" s="8"/>
      <c r="Q606" s="8"/>
      <c r="T606" s="8"/>
      <c r="W606" s="8"/>
    </row>
    <row r="607" ht="14.25" customHeight="1">
      <c r="D607" s="8"/>
      <c r="E607" s="8"/>
      <c r="F607" s="8"/>
      <c r="G607" s="8"/>
      <c r="K607" s="8"/>
      <c r="L607" s="8"/>
      <c r="M607" s="8"/>
      <c r="O607" s="8"/>
      <c r="Q607" s="8"/>
      <c r="T607" s="8"/>
      <c r="W607" s="8"/>
    </row>
    <row r="608" ht="14.25" customHeight="1">
      <c r="D608" s="8"/>
      <c r="E608" s="8"/>
      <c r="F608" s="8"/>
      <c r="G608" s="8"/>
      <c r="K608" s="8"/>
      <c r="L608" s="8"/>
      <c r="M608" s="8"/>
      <c r="O608" s="8"/>
      <c r="Q608" s="8"/>
      <c r="T608" s="8"/>
      <c r="W608" s="8"/>
    </row>
    <row r="609" ht="14.25" customHeight="1">
      <c r="D609" s="8"/>
      <c r="E609" s="8"/>
      <c r="F609" s="8"/>
      <c r="G609" s="8"/>
      <c r="K609" s="8"/>
      <c r="L609" s="8"/>
      <c r="M609" s="8"/>
      <c r="O609" s="8"/>
      <c r="Q609" s="8"/>
      <c r="T609" s="8"/>
      <c r="W609" s="8"/>
    </row>
    <row r="610" ht="14.25" customHeight="1">
      <c r="D610" s="8"/>
      <c r="E610" s="8"/>
      <c r="F610" s="8"/>
      <c r="G610" s="8"/>
      <c r="K610" s="8"/>
      <c r="L610" s="8"/>
      <c r="M610" s="8"/>
      <c r="O610" s="8"/>
      <c r="Q610" s="8"/>
      <c r="T610" s="8"/>
      <c r="W610" s="8"/>
    </row>
    <row r="611" ht="14.25" customHeight="1">
      <c r="D611" s="8"/>
      <c r="E611" s="8"/>
      <c r="F611" s="8"/>
      <c r="G611" s="8"/>
      <c r="K611" s="8"/>
      <c r="L611" s="8"/>
      <c r="M611" s="8"/>
      <c r="O611" s="8"/>
      <c r="Q611" s="8"/>
      <c r="T611" s="8"/>
      <c r="W611" s="8"/>
    </row>
    <row r="612" ht="14.25" customHeight="1">
      <c r="D612" s="8"/>
      <c r="E612" s="8"/>
      <c r="F612" s="8"/>
      <c r="G612" s="8"/>
      <c r="K612" s="8"/>
      <c r="L612" s="8"/>
      <c r="M612" s="8"/>
      <c r="O612" s="8"/>
      <c r="Q612" s="8"/>
      <c r="T612" s="8"/>
      <c r="W612" s="8"/>
    </row>
    <row r="613" ht="14.25" customHeight="1">
      <c r="D613" s="8"/>
      <c r="E613" s="8"/>
      <c r="F613" s="8"/>
      <c r="G613" s="8"/>
      <c r="K613" s="8"/>
      <c r="L613" s="8"/>
      <c r="M613" s="8"/>
      <c r="O613" s="8"/>
      <c r="Q613" s="8"/>
      <c r="T613" s="8"/>
      <c r="W613" s="8"/>
    </row>
    <row r="614" ht="14.25" customHeight="1">
      <c r="D614" s="8"/>
      <c r="E614" s="8"/>
      <c r="F614" s="8"/>
      <c r="G614" s="8"/>
      <c r="K614" s="8"/>
      <c r="L614" s="8"/>
      <c r="M614" s="8"/>
      <c r="O614" s="8"/>
      <c r="Q614" s="8"/>
      <c r="T614" s="8"/>
      <c r="W614" s="8"/>
    </row>
    <row r="615" ht="14.25" customHeight="1">
      <c r="D615" s="8"/>
      <c r="E615" s="8"/>
      <c r="F615" s="8"/>
      <c r="G615" s="8"/>
      <c r="K615" s="8"/>
      <c r="L615" s="8"/>
      <c r="M615" s="8"/>
      <c r="O615" s="8"/>
      <c r="Q615" s="8"/>
      <c r="T615" s="8"/>
      <c r="W615" s="8"/>
    </row>
    <row r="616" ht="14.25" customHeight="1">
      <c r="D616" s="8"/>
      <c r="E616" s="8"/>
      <c r="F616" s="8"/>
      <c r="G616" s="8"/>
      <c r="K616" s="8"/>
      <c r="L616" s="8"/>
      <c r="M616" s="8"/>
      <c r="O616" s="8"/>
      <c r="Q616" s="8"/>
      <c r="T616" s="8"/>
      <c r="W616" s="8"/>
    </row>
    <row r="617" ht="14.25" customHeight="1">
      <c r="D617" s="8"/>
      <c r="E617" s="8"/>
      <c r="F617" s="8"/>
      <c r="G617" s="8"/>
      <c r="K617" s="8"/>
      <c r="L617" s="8"/>
      <c r="M617" s="8"/>
      <c r="O617" s="8"/>
      <c r="Q617" s="8"/>
      <c r="T617" s="8"/>
      <c r="W617" s="8"/>
    </row>
    <row r="618" ht="14.25" customHeight="1">
      <c r="D618" s="8"/>
      <c r="E618" s="8"/>
      <c r="F618" s="8"/>
      <c r="G618" s="8"/>
      <c r="K618" s="8"/>
      <c r="L618" s="8"/>
      <c r="M618" s="8"/>
      <c r="O618" s="8"/>
      <c r="Q618" s="8"/>
      <c r="T618" s="8"/>
      <c r="W618" s="8"/>
    </row>
    <row r="619" ht="14.25" customHeight="1">
      <c r="D619" s="8"/>
      <c r="E619" s="8"/>
      <c r="F619" s="8"/>
      <c r="G619" s="8"/>
      <c r="K619" s="8"/>
      <c r="L619" s="8"/>
      <c r="M619" s="8"/>
      <c r="O619" s="8"/>
      <c r="Q619" s="8"/>
      <c r="T619" s="8"/>
      <c r="W619" s="8"/>
    </row>
    <row r="620" ht="14.25" customHeight="1">
      <c r="D620" s="8"/>
      <c r="E620" s="8"/>
      <c r="F620" s="8"/>
      <c r="G620" s="8"/>
      <c r="K620" s="8"/>
      <c r="L620" s="8"/>
      <c r="M620" s="8"/>
      <c r="O620" s="8"/>
      <c r="Q620" s="8"/>
      <c r="T620" s="8"/>
      <c r="W620" s="8"/>
    </row>
    <row r="621" ht="14.25" customHeight="1">
      <c r="D621" s="8"/>
      <c r="E621" s="8"/>
      <c r="F621" s="8"/>
      <c r="G621" s="8"/>
      <c r="K621" s="8"/>
      <c r="L621" s="8"/>
      <c r="M621" s="8"/>
      <c r="O621" s="8"/>
      <c r="Q621" s="8"/>
      <c r="T621" s="8"/>
      <c r="W621" s="8"/>
    </row>
    <row r="622" ht="14.25" customHeight="1">
      <c r="D622" s="8"/>
      <c r="E622" s="8"/>
      <c r="F622" s="8"/>
      <c r="G622" s="8"/>
      <c r="K622" s="8"/>
      <c r="L622" s="8"/>
      <c r="M622" s="8"/>
      <c r="O622" s="8"/>
      <c r="Q622" s="8"/>
      <c r="T622" s="8"/>
      <c r="W622" s="8"/>
    </row>
    <row r="623" ht="14.25" customHeight="1">
      <c r="D623" s="8"/>
      <c r="E623" s="8"/>
      <c r="F623" s="8"/>
      <c r="G623" s="8"/>
      <c r="K623" s="8"/>
      <c r="L623" s="8"/>
      <c r="M623" s="8"/>
      <c r="O623" s="8"/>
      <c r="Q623" s="8"/>
      <c r="T623" s="8"/>
      <c r="W623" s="8"/>
    </row>
    <row r="624" ht="14.25" customHeight="1">
      <c r="D624" s="8"/>
      <c r="E624" s="8"/>
      <c r="F624" s="8"/>
      <c r="G624" s="8"/>
      <c r="K624" s="8"/>
      <c r="L624" s="8"/>
      <c r="M624" s="8"/>
      <c r="O624" s="8"/>
      <c r="Q624" s="8"/>
      <c r="T624" s="8"/>
      <c r="W624" s="8"/>
    </row>
    <row r="625" ht="14.25" customHeight="1">
      <c r="D625" s="8"/>
      <c r="E625" s="8"/>
      <c r="F625" s="8"/>
      <c r="G625" s="8"/>
      <c r="K625" s="8"/>
      <c r="L625" s="8"/>
      <c r="M625" s="8"/>
      <c r="O625" s="8"/>
      <c r="Q625" s="8"/>
      <c r="T625" s="8"/>
      <c r="W625" s="8"/>
    </row>
    <row r="626" ht="14.25" customHeight="1">
      <c r="D626" s="8"/>
      <c r="E626" s="8"/>
      <c r="F626" s="8"/>
      <c r="G626" s="8"/>
      <c r="K626" s="8"/>
      <c r="L626" s="8"/>
      <c r="M626" s="8"/>
      <c r="O626" s="8"/>
      <c r="Q626" s="8"/>
      <c r="T626" s="8"/>
      <c r="W626" s="8"/>
    </row>
    <row r="627" ht="14.25" customHeight="1">
      <c r="D627" s="8"/>
      <c r="E627" s="8"/>
      <c r="F627" s="8"/>
      <c r="G627" s="8"/>
      <c r="K627" s="8"/>
      <c r="L627" s="8"/>
      <c r="M627" s="8"/>
      <c r="O627" s="8"/>
      <c r="Q627" s="8"/>
      <c r="T627" s="8"/>
      <c r="W627" s="8"/>
    </row>
    <row r="628" ht="14.25" customHeight="1">
      <c r="D628" s="8"/>
      <c r="E628" s="8"/>
      <c r="F628" s="8"/>
      <c r="G628" s="8"/>
      <c r="K628" s="8"/>
      <c r="L628" s="8"/>
      <c r="M628" s="8"/>
      <c r="O628" s="8"/>
      <c r="Q628" s="8"/>
      <c r="T628" s="8"/>
      <c r="W628" s="8"/>
    </row>
    <row r="629" ht="14.25" customHeight="1">
      <c r="D629" s="8"/>
      <c r="E629" s="8"/>
      <c r="F629" s="8"/>
      <c r="G629" s="8"/>
      <c r="K629" s="8"/>
      <c r="L629" s="8"/>
      <c r="M629" s="8"/>
      <c r="O629" s="8"/>
      <c r="Q629" s="8"/>
      <c r="T629" s="8"/>
      <c r="W629" s="8"/>
    </row>
    <row r="630" ht="14.25" customHeight="1">
      <c r="D630" s="8"/>
      <c r="E630" s="8"/>
      <c r="F630" s="8"/>
      <c r="G630" s="8"/>
      <c r="K630" s="8"/>
      <c r="L630" s="8"/>
      <c r="M630" s="8"/>
      <c r="O630" s="8"/>
      <c r="Q630" s="8"/>
      <c r="T630" s="8"/>
      <c r="W630" s="8"/>
    </row>
    <row r="631" ht="14.25" customHeight="1">
      <c r="D631" s="8"/>
      <c r="E631" s="8"/>
      <c r="F631" s="8"/>
      <c r="G631" s="8"/>
      <c r="K631" s="8"/>
      <c r="L631" s="8"/>
      <c r="M631" s="8"/>
      <c r="O631" s="8"/>
      <c r="Q631" s="8"/>
      <c r="T631" s="8"/>
      <c r="W631" s="8"/>
    </row>
    <row r="632" ht="14.25" customHeight="1">
      <c r="D632" s="8"/>
      <c r="E632" s="8"/>
      <c r="F632" s="8"/>
      <c r="G632" s="8"/>
      <c r="K632" s="8"/>
      <c r="L632" s="8"/>
      <c r="M632" s="8"/>
      <c r="O632" s="8"/>
      <c r="Q632" s="8"/>
      <c r="T632" s="8"/>
      <c r="W632" s="8"/>
    </row>
    <row r="633" ht="14.25" customHeight="1">
      <c r="D633" s="8"/>
      <c r="E633" s="8"/>
      <c r="F633" s="8"/>
      <c r="G633" s="8"/>
      <c r="K633" s="8"/>
      <c r="L633" s="8"/>
      <c r="M633" s="8"/>
      <c r="O633" s="8"/>
      <c r="Q633" s="8"/>
      <c r="T633" s="8"/>
      <c r="W633" s="8"/>
    </row>
    <row r="634" ht="14.25" customHeight="1">
      <c r="D634" s="8"/>
      <c r="E634" s="8"/>
      <c r="F634" s="8"/>
      <c r="G634" s="8"/>
      <c r="K634" s="8"/>
      <c r="L634" s="8"/>
      <c r="M634" s="8"/>
      <c r="O634" s="8"/>
      <c r="Q634" s="8"/>
      <c r="T634" s="8"/>
      <c r="W634" s="8"/>
    </row>
    <row r="635" ht="14.25" customHeight="1">
      <c r="D635" s="8"/>
      <c r="E635" s="8"/>
      <c r="F635" s="8"/>
      <c r="G635" s="8"/>
      <c r="K635" s="8"/>
      <c r="L635" s="8"/>
      <c r="M635" s="8"/>
      <c r="O635" s="8"/>
      <c r="Q635" s="8"/>
      <c r="T635" s="8"/>
      <c r="W635" s="8"/>
    </row>
    <row r="636" ht="14.25" customHeight="1">
      <c r="D636" s="8"/>
      <c r="E636" s="8"/>
      <c r="F636" s="8"/>
      <c r="G636" s="8"/>
      <c r="K636" s="8"/>
      <c r="L636" s="8"/>
      <c r="M636" s="8"/>
      <c r="O636" s="8"/>
      <c r="Q636" s="8"/>
      <c r="T636" s="8"/>
      <c r="W636" s="8"/>
    </row>
    <row r="637" ht="14.25" customHeight="1">
      <c r="D637" s="8"/>
      <c r="E637" s="8"/>
      <c r="F637" s="8"/>
      <c r="G637" s="8"/>
      <c r="K637" s="8"/>
      <c r="L637" s="8"/>
      <c r="M637" s="8"/>
      <c r="O637" s="8"/>
      <c r="Q637" s="8"/>
      <c r="T637" s="8"/>
      <c r="W637" s="8"/>
    </row>
    <row r="638" ht="14.25" customHeight="1">
      <c r="D638" s="8"/>
      <c r="E638" s="8"/>
      <c r="F638" s="8"/>
      <c r="G638" s="8"/>
      <c r="K638" s="8"/>
      <c r="L638" s="8"/>
      <c r="M638" s="8"/>
      <c r="O638" s="8"/>
      <c r="Q638" s="8"/>
      <c r="T638" s="8"/>
      <c r="W638" s="8"/>
    </row>
    <row r="639" ht="14.25" customHeight="1">
      <c r="D639" s="8"/>
      <c r="E639" s="8"/>
      <c r="F639" s="8"/>
      <c r="G639" s="8"/>
      <c r="K639" s="8"/>
      <c r="L639" s="8"/>
      <c r="M639" s="8"/>
      <c r="O639" s="8"/>
      <c r="Q639" s="8"/>
      <c r="T639" s="8"/>
      <c r="W639" s="8"/>
    </row>
    <row r="640" ht="14.25" customHeight="1">
      <c r="D640" s="8"/>
      <c r="E640" s="8"/>
      <c r="F640" s="8"/>
      <c r="G640" s="8"/>
      <c r="K640" s="8"/>
      <c r="L640" s="8"/>
      <c r="M640" s="8"/>
      <c r="O640" s="8"/>
      <c r="Q640" s="8"/>
      <c r="T640" s="8"/>
      <c r="W640" s="8"/>
    </row>
    <row r="641" ht="14.25" customHeight="1">
      <c r="D641" s="8"/>
      <c r="E641" s="8"/>
      <c r="F641" s="8"/>
      <c r="G641" s="8"/>
      <c r="K641" s="8"/>
      <c r="L641" s="8"/>
      <c r="M641" s="8"/>
      <c r="O641" s="8"/>
      <c r="Q641" s="8"/>
      <c r="T641" s="8"/>
      <c r="W641" s="8"/>
    </row>
    <row r="642" ht="14.25" customHeight="1">
      <c r="D642" s="8"/>
      <c r="E642" s="8"/>
      <c r="F642" s="8"/>
      <c r="G642" s="8"/>
      <c r="K642" s="8"/>
      <c r="L642" s="8"/>
      <c r="M642" s="8"/>
      <c r="O642" s="8"/>
      <c r="Q642" s="8"/>
      <c r="T642" s="8"/>
      <c r="W642" s="8"/>
    </row>
    <row r="643" ht="14.25" customHeight="1">
      <c r="D643" s="8"/>
      <c r="E643" s="8"/>
      <c r="F643" s="8"/>
      <c r="G643" s="8"/>
      <c r="K643" s="8"/>
      <c r="L643" s="8"/>
      <c r="M643" s="8"/>
      <c r="O643" s="8"/>
      <c r="Q643" s="8"/>
      <c r="T643" s="8"/>
      <c r="W643" s="8"/>
    </row>
    <row r="644" ht="14.25" customHeight="1">
      <c r="D644" s="8"/>
      <c r="E644" s="8"/>
      <c r="F644" s="8"/>
      <c r="G644" s="8"/>
      <c r="K644" s="8"/>
      <c r="L644" s="8"/>
      <c r="M644" s="8"/>
      <c r="O644" s="8"/>
      <c r="Q644" s="8"/>
      <c r="T644" s="8"/>
      <c r="W644" s="8"/>
    </row>
    <row r="645" ht="14.25" customHeight="1">
      <c r="D645" s="8"/>
      <c r="E645" s="8"/>
      <c r="F645" s="8"/>
      <c r="G645" s="8"/>
      <c r="K645" s="8"/>
      <c r="L645" s="8"/>
      <c r="M645" s="8"/>
      <c r="O645" s="8"/>
      <c r="Q645" s="8"/>
      <c r="T645" s="8"/>
      <c r="W645" s="8"/>
    </row>
    <row r="646" ht="14.25" customHeight="1">
      <c r="D646" s="8"/>
      <c r="E646" s="8"/>
      <c r="F646" s="8"/>
      <c r="G646" s="8"/>
      <c r="K646" s="8"/>
      <c r="L646" s="8"/>
      <c r="M646" s="8"/>
      <c r="O646" s="8"/>
      <c r="Q646" s="8"/>
      <c r="T646" s="8"/>
      <c r="W646" s="8"/>
    </row>
    <row r="647" ht="14.25" customHeight="1">
      <c r="D647" s="8"/>
      <c r="E647" s="8"/>
      <c r="F647" s="8"/>
      <c r="G647" s="8"/>
      <c r="K647" s="8"/>
      <c r="L647" s="8"/>
      <c r="M647" s="8"/>
      <c r="O647" s="8"/>
      <c r="Q647" s="8"/>
      <c r="T647" s="8"/>
      <c r="W647" s="8"/>
    </row>
    <row r="648" ht="14.25" customHeight="1">
      <c r="D648" s="8"/>
      <c r="E648" s="8"/>
      <c r="F648" s="8"/>
      <c r="G648" s="8"/>
      <c r="K648" s="8"/>
      <c r="L648" s="8"/>
      <c r="M648" s="8"/>
      <c r="O648" s="8"/>
      <c r="Q648" s="8"/>
      <c r="T648" s="8"/>
      <c r="W648" s="8"/>
    </row>
    <row r="649" ht="14.25" customHeight="1">
      <c r="D649" s="8"/>
      <c r="E649" s="8"/>
      <c r="F649" s="8"/>
      <c r="G649" s="8"/>
      <c r="K649" s="8"/>
      <c r="L649" s="8"/>
      <c r="M649" s="8"/>
      <c r="O649" s="8"/>
      <c r="Q649" s="8"/>
      <c r="T649" s="8"/>
      <c r="W649" s="8"/>
    </row>
    <row r="650" ht="14.25" customHeight="1">
      <c r="D650" s="8"/>
      <c r="E650" s="8"/>
      <c r="F650" s="8"/>
      <c r="G650" s="8"/>
      <c r="K650" s="8"/>
      <c r="L650" s="8"/>
      <c r="M650" s="8"/>
      <c r="O650" s="8"/>
      <c r="Q650" s="8"/>
      <c r="T650" s="8"/>
      <c r="W650" s="8"/>
    </row>
    <row r="651" ht="14.25" customHeight="1">
      <c r="D651" s="8"/>
      <c r="E651" s="8"/>
      <c r="F651" s="8"/>
      <c r="G651" s="8"/>
      <c r="K651" s="8"/>
      <c r="L651" s="8"/>
      <c r="M651" s="8"/>
      <c r="O651" s="8"/>
      <c r="Q651" s="8"/>
      <c r="T651" s="8"/>
      <c r="W651" s="8"/>
    </row>
    <row r="652" ht="14.25" customHeight="1">
      <c r="D652" s="8"/>
      <c r="E652" s="8"/>
      <c r="F652" s="8"/>
      <c r="G652" s="8"/>
      <c r="K652" s="8"/>
      <c r="L652" s="8"/>
      <c r="M652" s="8"/>
      <c r="O652" s="8"/>
      <c r="Q652" s="8"/>
      <c r="T652" s="8"/>
      <c r="W652" s="8"/>
    </row>
    <row r="653" ht="14.25" customHeight="1">
      <c r="D653" s="8"/>
      <c r="E653" s="8"/>
      <c r="F653" s="8"/>
      <c r="G653" s="8"/>
      <c r="K653" s="8"/>
      <c r="L653" s="8"/>
      <c r="M653" s="8"/>
      <c r="O653" s="8"/>
      <c r="Q653" s="8"/>
      <c r="T653" s="8"/>
      <c r="W653" s="8"/>
    </row>
    <row r="654" ht="14.25" customHeight="1">
      <c r="D654" s="8"/>
      <c r="E654" s="8"/>
      <c r="F654" s="8"/>
      <c r="G654" s="8"/>
      <c r="K654" s="8"/>
      <c r="L654" s="8"/>
      <c r="M654" s="8"/>
      <c r="O654" s="8"/>
      <c r="Q654" s="8"/>
      <c r="T654" s="8"/>
      <c r="W654" s="8"/>
    </row>
    <row r="655" ht="14.25" customHeight="1">
      <c r="D655" s="8"/>
      <c r="E655" s="8"/>
      <c r="F655" s="8"/>
      <c r="G655" s="8"/>
      <c r="K655" s="8"/>
      <c r="L655" s="8"/>
      <c r="M655" s="8"/>
      <c r="O655" s="8"/>
      <c r="Q655" s="8"/>
      <c r="T655" s="8"/>
      <c r="W655" s="8"/>
    </row>
    <row r="656" ht="14.25" customHeight="1">
      <c r="D656" s="8"/>
      <c r="E656" s="8"/>
      <c r="F656" s="8"/>
      <c r="G656" s="8"/>
      <c r="K656" s="8"/>
      <c r="L656" s="8"/>
      <c r="M656" s="8"/>
      <c r="O656" s="8"/>
      <c r="Q656" s="8"/>
      <c r="T656" s="8"/>
      <c r="W656" s="8"/>
    </row>
    <row r="657" ht="14.25" customHeight="1">
      <c r="D657" s="8"/>
      <c r="E657" s="8"/>
      <c r="F657" s="8"/>
      <c r="G657" s="8"/>
      <c r="K657" s="8"/>
      <c r="L657" s="8"/>
      <c r="M657" s="8"/>
      <c r="O657" s="8"/>
      <c r="Q657" s="8"/>
      <c r="T657" s="8"/>
      <c r="W657" s="8"/>
    </row>
    <row r="658" ht="14.25" customHeight="1">
      <c r="D658" s="8"/>
      <c r="E658" s="8"/>
      <c r="F658" s="8"/>
      <c r="G658" s="8"/>
      <c r="K658" s="8"/>
      <c r="L658" s="8"/>
      <c r="M658" s="8"/>
      <c r="O658" s="8"/>
      <c r="Q658" s="8"/>
      <c r="T658" s="8"/>
      <c r="W658" s="8"/>
    </row>
    <row r="659" ht="14.25" customHeight="1">
      <c r="D659" s="8"/>
      <c r="E659" s="8"/>
      <c r="F659" s="8"/>
      <c r="G659" s="8"/>
      <c r="K659" s="8"/>
      <c r="L659" s="8"/>
      <c r="M659" s="8"/>
      <c r="O659" s="8"/>
      <c r="Q659" s="8"/>
      <c r="T659" s="8"/>
      <c r="W659" s="8"/>
    </row>
    <row r="660" ht="14.25" customHeight="1">
      <c r="D660" s="8"/>
      <c r="E660" s="8"/>
      <c r="F660" s="8"/>
      <c r="G660" s="8"/>
      <c r="K660" s="8"/>
      <c r="L660" s="8"/>
      <c r="M660" s="8"/>
      <c r="O660" s="8"/>
      <c r="Q660" s="8"/>
      <c r="T660" s="8"/>
      <c r="W660" s="8"/>
    </row>
    <row r="661" ht="14.25" customHeight="1">
      <c r="D661" s="8"/>
      <c r="E661" s="8"/>
      <c r="F661" s="8"/>
      <c r="G661" s="8"/>
      <c r="K661" s="8"/>
      <c r="L661" s="8"/>
      <c r="M661" s="8"/>
      <c r="O661" s="8"/>
      <c r="Q661" s="8"/>
      <c r="T661" s="8"/>
      <c r="W661" s="8"/>
    </row>
    <row r="662" ht="14.25" customHeight="1">
      <c r="D662" s="8"/>
      <c r="E662" s="8"/>
      <c r="F662" s="8"/>
      <c r="G662" s="8"/>
      <c r="K662" s="8"/>
      <c r="L662" s="8"/>
      <c r="M662" s="8"/>
      <c r="O662" s="8"/>
      <c r="Q662" s="8"/>
      <c r="T662" s="8"/>
      <c r="W662" s="8"/>
    </row>
    <row r="663" ht="14.25" customHeight="1">
      <c r="D663" s="8"/>
      <c r="E663" s="8"/>
      <c r="F663" s="8"/>
      <c r="G663" s="8"/>
      <c r="K663" s="8"/>
      <c r="L663" s="8"/>
      <c r="M663" s="8"/>
      <c r="O663" s="8"/>
      <c r="Q663" s="8"/>
      <c r="T663" s="8"/>
      <c r="W663" s="8"/>
    </row>
    <row r="664" ht="14.25" customHeight="1">
      <c r="D664" s="8"/>
      <c r="E664" s="8"/>
      <c r="F664" s="8"/>
      <c r="G664" s="8"/>
      <c r="K664" s="8"/>
      <c r="L664" s="8"/>
      <c r="M664" s="8"/>
      <c r="O664" s="8"/>
      <c r="Q664" s="8"/>
      <c r="T664" s="8"/>
      <c r="W664" s="8"/>
    </row>
    <row r="665" ht="14.25" customHeight="1">
      <c r="D665" s="8"/>
      <c r="E665" s="8"/>
      <c r="F665" s="8"/>
      <c r="G665" s="8"/>
      <c r="K665" s="8"/>
      <c r="L665" s="8"/>
      <c r="M665" s="8"/>
      <c r="O665" s="8"/>
      <c r="Q665" s="8"/>
      <c r="T665" s="8"/>
      <c r="W665" s="8"/>
    </row>
    <row r="666" ht="14.25" customHeight="1">
      <c r="D666" s="8"/>
      <c r="E666" s="8"/>
      <c r="F666" s="8"/>
      <c r="G666" s="8"/>
      <c r="K666" s="8"/>
      <c r="L666" s="8"/>
      <c r="M666" s="8"/>
      <c r="O666" s="8"/>
      <c r="Q666" s="8"/>
      <c r="T666" s="8"/>
      <c r="W666" s="8"/>
    </row>
    <row r="667" ht="14.25" customHeight="1">
      <c r="D667" s="8"/>
      <c r="E667" s="8"/>
      <c r="F667" s="8"/>
      <c r="G667" s="8"/>
      <c r="K667" s="8"/>
      <c r="L667" s="8"/>
      <c r="M667" s="8"/>
      <c r="O667" s="8"/>
      <c r="Q667" s="8"/>
      <c r="T667" s="8"/>
      <c r="W667" s="8"/>
    </row>
    <row r="668" ht="14.25" customHeight="1">
      <c r="D668" s="8"/>
      <c r="E668" s="8"/>
      <c r="F668" s="8"/>
      <c r="G668" s="8"/>
      <c r="K668" s="8"/>
      <c r="L668" s="8"/>
      <c r="M668" s="8"/>
      <c r="O668" s="8"/>
      <c r="Q668" s="8"/>
      <c r="T668" s="8"/>
      <c r="W668" s="8"/>
    </row>
    <row r="669" ht="14.25" customHeight="1">
      <c r="D669" s="8"/>
      <c r="E669" s="8"/>
      <c r="F669" s="8"/>
      <c r="G669" s="8"/>
      <c r="K669" s="8"/>
      <c r="L669" s="8"/>
      <c r="M669" s="8"/>
      <c r="O669" s="8"/>
      <c r="Q669" s="8"/>
      <c r="T669" s="8"/>
      <c r="W669" s="8"/>
    </row>
    <row r="670" ht="14.25" customHeight="1">
      <c r="D670" s="8"/>
      <c r="E670" s="8"/>
      <c r="F670" s="8"/>
      <c r="G670" s="8"/>
      <c r="K670" s="8"/>
      <c r="L670" s="8"/>
      <c r="M670" s="8"/>
      <c r="O670" s="8"/>
      <c r="Q670" s="8"/>
      <c r="T670" s="8"/>
      <c r="W670" s="8"/>
    </row>
    <row r="671" ht="14.25" customHeight="1">
      <c r="D671" s="8"/>
      <c r="E671" s="8"/>
      <c r="F671" s="8"/>
      <c r="G671" s="8"/>
      <c r="K671" s="8"/>
      <c r="L671" s="8"/>
      <c r="M671" s="8"/>
      <c r="O671" s="8"/>
      <c r="Q671" s="8"/>
      <c r="T671" s="8"/>
      <c r="W671" s="8"/>
    </row>
    <row r="672" ht="14.25" customHeight="1">
      <c r="D672" s="8"/>
      <c r="E672" s="8"/>
      <c r="F672" s="8"/>
      <c r="G672" s="8"/>
      <c r="K672" s="8"/>
      <c r="L672" s="8"/>
      <c r="M672" s="8"/>
      <c r="O672" s="8"/>
      <c r="Q672" s="8"/>
      <c r="T672" s="8"/>
      <c r="W672" s="8"/>
    </row>
    <row r="673" ht="14.25" customHeight="1">
      <c r="D673" s="8"/>
      <c r="E673" s="8"/>
      <c r="F673" s="8"/>
      <c r="G673" s="8"/>
      <c r="K673" s="8"/>
      <c r="L673" s="8"/>
      <c r="M673" s="8"/>
      <c r="O673" s="8"/>
      <c r="Q673" s="8"/>
      <c r="T673" s="8"/>
      <c r="W673" s="8"/>
    </row>
    <row r="674" ht="14.25" customHeight="1">
      <c r="D674" s="8"/>
      <c r="E674" s="8"/>
      <c r="F674" s="8"/>
      <c r="G674" s="8"/>
      <c r="K674" s="8"/>
      <c r="L674" s="8"/>
      <c r="M674" s="8"/>
      <c r="O674" s="8"/>
      <c r="Q674" s="8"/>
      <c r="T674" s="8"/>
      <c r="W674" s="8"/>
    </row>
    <row r="675" ht="14.25" customHeight="1">
      <c r="D675" s="8"/>
      <c r="E675" s="8"/>
      <c r="F675" s="8"/>
      <c r="G675" s="8"/>
      <c r="K675" s="8"/>
      <c r="L675" s="8"/>
      <c r="M675" s="8"/>
      <c r="O675" s="8"/>
      <c r="Q675" s="8"/>
      <c r="T675" s="8"/>
      <c r="W675" s="8"/>
    </row>
    <row r="676" ht="14.25" customHeight="1">
      <c r="D676" s="8"/>
      <c r="E676" s="8"/>
      <c r="F676" s="8"/>
      <c r="G676" s="8"/>
      <c r="K676" s="8"/>
      <c r="L676" s="8"/>
      <c r="M676" s="8"/>
      <c r="O676" s="8"/>
      <c r="Q676" s="8"/>
      <c r="T676" s="8"/>
      <c r="W676" s="8"/>
    </row>
    <row r="677" ht="14.25" customHeight="1">
      <c r="D677" s="8"/>
      <c r="E677" s="8"/>
      <c r="F677" s="8"/>
      <c r="G677" s="8"/>
      <c r="K677" s="8"/>
      <c r="L677" s="8"/>
      <c r="M677" s="8"/>
      <c r="O677" s="8"/>
      <c r="Q677" s="8"/>
      <c r="T677" s="8"/>
      <c r="W677" s="8"/>
    </row>
    <row r="678" ht="14.25" customHeight="1">
      <c r="D678" s="8"/>
      <c r="E678" s="8"/>
      <c r="F678" s="8"/>
      <c r="G678" s="8"/>
      <c r="K678" s="8"/>
      <c r="L678" s="8"/>
      <c r="M678" s="8"/>
      <c r="O678" s="8"/>
      <c r="Q678" s="8"/>
      <c r="T678" s="8"/>
      <c r="W678" s="8"/>
    </row>
    <row r="679" ht="14.25" customHeight="1">
      <c r="D679" s="8"/>
      <c r="E679" s="8"/>
      <c r="F679" s="8"/>
      <c r="G679" s="8"/>
      <c r="K679" s="8"/>
      <c r="L679" s="8"/>
      <c r="M679" s="8"/>
      <c r="O679" s="8"/>
      <c r="Q679" s="8"/>
      <c r="T679" s="8"/>
      <c r="W679" s="8"/>
    </row>
    <row r="680" ht="14.25" customHeight="1">
      <c r="D680" s="8"/>
      <c r="E680" s="8"/>
      <c r="F680" s="8"/>
      <c r="G680" s="8"/>
      <c r="K680" s="8"/>
      <c r="L680" s="8"/>
      <c r="M680" s="8"/>
      <c r="O680" s="8"/>
      <c r="Q680" s="8"/>
      <c r="T680" s="8"/>
      <c r="W680" s="8"/>
    </row>
    <row r="681" ht="14.25" customHeight="1">
      <c r="D681" s="8"/>
      <c r="E681" s="8"/>
      <c r="F681" s="8"/>
      <c r="G681" s="8"/>
      <c r="K681" s="8"/>
      <c r="L681" s="8"/>
      <c r="M681" s="8"/>
      <c r="O681" s="8"/>
      <c r="Q681" s="8"/>
      <c r="T681" s="8"/>
      <c r="W681" s="8"/>
    </row>
    <row r="682" ht="14.25" customHeight="1">
      <c r="D682" s="8"/>
      <c r="E682" s="8"/>
      <c r="F682" s="8"/>
      <c r="G682" s="8"/>
      <c r="K682" s="8"/>
      <c r="L682" s="8"/>
      <c r="M682" s="8"/>
      <c r="O682" s="8"/>
      <c r="Q682" s="8"/>
      <c r="T682" s="8"/>
      <c r="W682" s="8"/>
    </row>
    <row r="683" ht="14.25" customHeight="1">
      <c r="D683" s="8"/>
      <c r="E683" s="8"/>
      <c r="F683" s="8"/>
      <c r="G683" s="8"/>
      <c r="K683" s="8"/>
      <c r="L683" s="8"/>
      <c r="M683" s="8"/>
      <c r="O683" s="8"/>
      <c r="Q683" s="8"/>
      <c r="T683" s="8"/>
      <c r="W683" s="8"/>
    </row>
    <row r="684" ht="14.25" customHeight="1">
      <c r="D684" s="8"/>
      <c r="E684" s="8"/>
      <c r="F684" s="8"/>
      <c r="G684" s="8"/>
      <c r="K684" s="8"/>
      <c r="L684" s="8"/>
      <c r="M684" s="8"/>
      <c r="O684" s="8"/>
      <c r="Q684" s="8"/>
      <c r="T684" s="8"/>
      <c r="W684" s="8"/>
    </row>
    <row r="685" ht="14.25" customHeight="1">
      <c r="D685" s="8"/>
      <c r="E685" s="8"/>
      <c r="F685" s="8"/>
      <c r="G685" s="8"/>
      <c r="K685" s="8"/>
      <c r="L685" s="8"/>
      <c r="M685" s="8"/>
      <c r="O685" s="8"/>
      <c r="Q685" s="8"/>
      <c r="T685" s="8"/>
      <c r="W685" s="8"/>
    </row>
    <row r="686" ht="14.25" customHeight="1">
      <c r="D686" s="8"/>
      <c r="E686" s="8"/>
      <c r="F686" s="8"/>
      <c r="G686" s="8"/>
      <c r="K686" s="8"/>
      <c r="L686" s="8"/>
      <c r="M686" s="8"/>
      <c r="O686" s="8"/>
      <c r="Q686" s="8"/>
      <c r="T686" s="8"/>
      <c r="W686" s="8"/>
    </row>
    <row r="687" ht="14.25" customHeight="1">
      <c r="D687" s="8"/>
      <c r="E687" s="8"/>
      <c r="F687" s="8"/>
      <c r="G687" s="8"/>
      <c r="K687" s="8"/>
      <c r="L687" s="8"/>
      <c r="M687" s="8"/>
      <c r="O687" s="8"/>
      <c r="Q687" s="8"/>
      <c r="T687" s="8"/>
      <c r="W687" s="8"/>
    </row>
    <row r="688" ht="14.25" customHeight="1">
      <c r="D688" s="8"/>
      <c r="E688" s="8"/>
      <c r="F688" s="8"/>
      <c r="G688" s="8"/>
      <c r="K688" s="8"/>
      <c r="L688" s="8"/>
      <c r="M688" s="8"/>
      <c r="O688" s="8"/>
      <c r="Q688" s="8"/>
      <c r="T688" s="8"/>
      <c r="W688" s="8"/>
    </row>
    <row r="689" ht="14.25" customHeight="1">
      <c r="D689" s="8"/>
      <c r="E689" s="8"/>
      <c r="F689" s="8"/>
      <c r="G689" s="8"/>
      <c r="K689" s="8"/>
      <c r="L689" s="8"/>
      <c r="M689" s="8"/>
      <c r="O689" s="8"/>
      <c r="Q689" s="8"/>
      <c r="T689" s="8"/>
      <c r="W689" s="8"/>
    </row>
    <row r="690" ht="14.25" customHeight="1">
      <c r="D690" s="8"/>
      <c r="E690" s="8"/>
      <c r="F690" s="8"/>
      <c r="G690" s="8"/>
      <c r="K690" s="8"/>
      <c r="L690" s="8"/>
      <c r="M690" s="8"/>
      <c r="O690" s="8"/>
      <c r="Q690" s="8"/>
      <c r="T690" s="8"/>
      <c r="W690" s="8"/>
    </row>
    <row r="691" ht="14.25" customHeight="1">
      <c r="D691" s="8"/>
      <c r="E691" s="8"/>
      <c r="F691" s="8"/>
      <c r="G691" s="8"/>
      <c r="K691" s="8"/>
      <c r="L691" s="8"/>
      <c r="M691" s="8"/>
      <c r="O691" s="8"/>
      <c r="Q691" s="8"/>
      <c r="T691" s="8"/>
      <c r="W691" s="8"/>
    </row>
    <row r="692" ht="14.25" customHeight="1">
      <c r="D692" s="8"/>
      <c r="E692" s="8"/>
      <c r="F692" s="8"/>
      <c r="G692" s="8"/>
      <c r="K692" s="8"/>
      <c r="L692" s="8"/>
      <c r="M692" s="8"/>
      <c r="O692" s="8"/>
      <c r="Q692" s="8"/>
      <c r="T692" s="8"/>
      <c r="W692" s="8"/>
    </row>
    <row r="693" ht="14.25" customHeight="1">
      <c r="D693" s="8"/>
      <c r="E693" s="8"/>
      <c r="F693" s="8"/>
      <c r="G693" s="8"/>
      <c r="K693" s="8"/>
      <c r="L693" s="8"/>
      <c r="M693" s="8"/>
      <c r="O693" s="8"/>
      <c r="Q693" s="8"/>
      <c r="T693" s="8"/>
      <c r="W693" s="8"/>
    </row>
    <row r="694" ht="14.25" customHeight="1">
      <c r="D694" s="8"/>
      <c r="E694" s="8"/>
      <c r="F694" s="8"/>
      <c r="G694" s="8"/>
      <c r="K694" s="8"/>
      <c r="L694" s="8"/>
      <c r="M694" s="8"/>
      <c r="O694" s="8"/>
      <c r="Q694" s="8"/>
      <c r="T694" s="8"/>
      <c r="W694" s="8"/>
    </row>
    <row r="695" ht="14.25" customHeight="1">
      <c r="D695" s="8"/>
      <c r="E695" s="8"/>
      <c r="F695" s="8"/>
      <c r="G695" s="8"/>
      <c r="K695" s="8"/>
      <c r="L695" s="8"/>
      <c r="M695" s="8"/>
      <c r="O695" s="8"/>
      <c r="Q695" s="8"/>
      <c r="T695" s="8"/>
      <c r="W695" s="8"/>
    </row>
    <row r="696" ht="14.25" customHeight="1">
      <c r="D696" s="8"/>
      <c r="E696" s="8"/>
      <c r="F696" s="8"/>
      <c r="G696" s="8"/>
      <c r="K696" s="8"/>
      <c r="L696" s="8"/>
      <c r="M696" s="8"/>
      <c r="O696" s="8"/>
      <c r="Q696" s="8"/>
      <c r="T696" s="8"/>
      <c r="W696" s="8"/>
    </row>
    <row r="697" ht="14.25" customHeight="1">
      <c r="D697" s="8"/>
      <c r="E697" s="8"/>
      <c r="F697" s="8"/>
      <c r="G697" s="8"/>
      <c r="K697" s="8"/>
      <c r="L697" s="8"/>
      <c r="M697" s="8"/>
      <c r="O697" s="8"/>
      <c r="Q697" s="8"/>
      <c r="T697" s="8"/>
      <c r="W697" s="8"/>
    </row>
    <row r="698" ht="14.25" customHeight="1">
      <c r="D698" s="8"/>
      <c r="E698" s="8"/>
      <c r="F698" s="8"/>
      <c r="G698" s="8"/>
      <c r="K698" s="8"/>
      <c r="L698" s="8"/>
      <c r="M698" s="8"/>
      <c r="O698" s="8"/>
      <c r="Q698" s="8"/>
      <c r="T698" s="8"/>
      <c r="W698" s="8"/>
    </row>
    <row r="699" ht="14.25" customHeight="1">
      <c r="D699" s="8"/>
      <c r="E699" s="8"/>
      <c r="F699" s="8"/>
      <c r="G699" s="8"/>
      <c r="K699" s="8"/>
      <c r="L699" s="8"/>
      <c r="M699" s="8"/>
      <c r="O699" s="8"/>
      <c r="Q699" s="8"/>
      <c r="T699" s="8"/>
      <c r="W699" s="8"/>
    </row>
    <row r="700" ht="14.25" customHeight="1">
      <c r="D700" s="8"/>
      <c r="E700" s="8"/>
      <c r="F700" s="8"/>
      <c r="G700" s="8"/>
      <c r="K700" s="8"/>
      <c r="L700" s="8"/>
      <c r="M700" s="8"/>
      <c r="O700" s="8"/>
      <c r="Q700" s="8"/>
      <c r="T700" s="8"/>
      <c r="W700" s="8"/>
    </row>
    <row r="701" ht="14.25" customHeight="1">
      <c r="D701" s="8"/>
      <c r="E701" s="8"/>
      <c r="F701" s="8"/>
      <c r="G701" s="8"/>
      <c r="K701" s="8"/>
      <c r="L701" s="8"/>
      <c r="M701" s="8"/>
      <c r="O701" s="8"/>
      <c r="Q701" s="8"/>
      <c r="T701" s="8"/>
      <c r="W701" s="8"/>
    </row>
    <row r="702" ht="14.25" customHeight="1">
      <c r="D702" s="8"/>
      <c r="E702" s="8"/>
      <c r="F702" s="8"/>
      <c r="G702" s="8"/>
      <c r="K702" s="8"/>
      <c r="L702" s="8"/>
      <c r="M702" s="8"/>
      <c r="O702" s="8"/>
      <c r="Q702" s="8"/>
      <c r="T702" s="8"/>
      <c r="W702" s="8"/>
    </row>
    <row r="703" ht="14.25" customHeight="1">
      <c r="D703" s="8"/>
      <c r="E703" s="8"/>
      <c r="F703" s="8"/>
      <c r="G703" s="8"/>
      <c r="K703" s="8"/>
      <c r="L703" s="8"/>
      <c r="M703" s="8"/>
      <c r="O703" s="8"/>
      <c r="Q703" s="8"/>
      <c r="T703" s="8"/>
      <c r="W703" s="8"/>
    </row>
    <row r="704" ht="14.25" customHeight="1">
      <c r="D704" s="8"/>
      <c r="E704" s="8"/>
      <c r="F704" s="8"/>
      <c r="G704" s="8"/>
      <c r="K704" s="8"/>
      <c r="L704" s="8"/>
      <c r="M704" s="8"/>
      <c r="O704" s="8"/>
      <c r="Q704" s="8"/>
      <c r="T704" s="8"/>
      <c r="W704" s="8"/>
    </row>
    <row r="705" ht="14.25" customHeight="1">
      <c r="D705" s="8"/>
      <c r="E705" s="8"/>
      <c r="F705" s="8"/>
      <c r="G705" s="8"/>
      <c r="K705" s="8"/>
      <c r="L705" s="8"/>
      <c r="M705" s="8"/>
      <c r="O705" s="8"/>
      <c r="Q705" s="8"/>
      <c r="T705" s="8"/>
      <c r="W705" s="8"/>
    </row>
    <row r="706" ht="14.25" customHeight="1">
      <c r="D706" s="8"/>
      <c r="E706" s="8"/>
      <c r="F706" s="8"/>
      <c r="G706" s="8"/>
      <c r="K706" s="8"/>
      <c r="L706" s="8"/>
      <c r="M706" s="8"/>
      <c r="O706" s="8"/>
      <c r="Q706" s="8"/>
      <c r="T706" s="8"/>
      <c r="W706" s="8"/>
    </row>
    <row r="707" ht="14.25" customHeight="1">
      <c r="D707" s="8"/>
      <c r="E707" s="8"/>
      <c r="F707" s="8"/>
      <c r="G707" s="8"/>
      <c r="K707" s="8"/>
      <c r="L707" s="8"/>
      <c r="M707" s="8"/>
      <c r="O707" s="8"/>
      <c r="Q707" s="8"/>
      <c r="T707" s="8"/>
      <c r="W707" s="8"/>
    </row>
    <row r="708" ht="14.25" customHeight="1">
      <c r="D708" s="8"/>
      <c r="E708" s="8"/>
      <c r="F708" s="8"/>
      <c r="G708" s="8"/>
      <c r="K708" s="8"/>
      <c r="L708" s="8"/>
      <c r="M708" s="8"/>
      <c r="O708" s="8"/>
      <c r="Q708" s="8"/>
      <c r="T708" s="8"/>
      <c r="W708" s="8"/>
    </row>
    <row r="709" ht="14.25" customHeight="1">
      <c r="D709" s="8"/>
      <c r="E709" s="8"/>
      <c r="F709" s="8"/>
      <c r="G709" s="8"/>
      <c r="K709" s="8"/>
      <c r="L709" s="8"/>
      <c r="M709" s="8"/>
      <c r="O709" s="8"/>
      <c r="Q709" s="8"/>
      <c r="T709" s="8"/>
      <c r="W709" s="8"/>
    </row>
    <row r="710" ht="14.25" customHeight="1">
      <c r="D710" s="8"/>
      <c r="E710" s="8"/>
      <c r="F710" s="8"/>
      <c r="G710" s="8"/>
      <c r="K710" s="8"/>
      <c r="L710" s="8"/>
      <c r="M710" s="8"/>
      <c r="O710" s="8"/>
      <c r="Q710" s="8"/>
      <c r="T710" s="8"/>
      <c r="W710" s="8"/>
    </row>
    <row r="711" ht="14.25" customHeight="1">
      <c r="D711" s="8"/>
      <c r="E711" s="8"/>
      <c r="F711" s="8"/>
      <c r="G711" s="8"/>
      <c r="K711" s="8"/>
      <c r="L711" s="8"/>
      <c r="M711" s="8"/>
      <c r="O711" s="8"/>
      <c r="Q711" s="8"/>
      <c r="T711" s="8"/>
      <c r="W711" s="8"/>
    </row>
    <row r="712" ht="14.25" customHeight="1">
      <c r="D712" s="8"/>
      <c r="E712" s="8"/>
      <c r="F712" s="8"/>
      <c r="G712" s="8"/>
      <c r="K712" s="8"/>
      <c r="L712" s="8"/>
      <c r="M712" s="8"/>
      <c r="O712" s="8"/>
      <c r="Q712" s="8"/>
      <c r="T712" s="8"/>
      <c r="W712" s="8"/>
    </row>
    <row r="713" ht="14.25" customHeight="1">
      <c r="D713" s="8"/>
      <c r="E713" s="8"/>
      <c r="F713" s="8"/>
      <c r="G713" s="8"/>
      <c r="K713" s="8"/>
      <c r="L713" s="8"/>
      <c r="M713" s="8"/>
      <c r="O713" s="8"/>
      <c r="Q713" s="8"/>
      <c r="T713" s="8"/>
      <c r="W713" s="8"/>
    </row>
    <row r="714" ht="14.25" customHeight="1">
      <c r="D714" s="8"/>
      <c r="E714" s="8"/>
      <c r="F714" s="8"/>
      <c r="G714" s="8"/>
      <c r="K714" s="8"/>
      <c r="L714" s="8"/>
      <c r="M714" s="8"/>
      <c r="O714" s="8"/>
      <c r="Q714" s="8"/>
      <c r="T714" s="8"/>
      <c r="W714" s="8"/>
    </row>
    <row r="715" ht="14.25" customHeight="1">
      <c r="D715" s="8"/>
      <c r="E715" s="8"/>
      <c r="F715" s="8"/>
      <c r="G715" s="8"/>
      <c r="K715" s="8"/>
      <c r="L715" s="8"/>
      <c r="M715" s="8"/>
      <c r="O715" s="8"/>
      <c r="Q715" s="8"/>
      <c r="T715" s="8"/>
      <c r="W715" s="8"/>
    </row>
    <row r="716" ht="14.25" customHeight="1">
      <c r="D716" s="8"/>
      <c r="E716" s="8"/>
      <c r="F716" s="8"/>
      <c r="G716" s="8"/>
      <c r="K716" s="8"/>
      <c r="L716" s="8"/>
      <c r="M716" s="8"/>
      <c r="O716" s="8"/>
      <c r="Q716" s="8"/>
      <c r="T716" s="8"/>
      <c r="W716" s="8"/>
    </row>
    <row r="717" ht="14.25" customHeight="1">
      <c r="D717" s="8"/>
      <c r="E717" s="8"/>
      <c r="F717" s="8"/>
      <c r="G717" s="8"/>
      <c r="K717" s="8"/>
      <c r="L717" s="8"/>
      <c r="M717" s="8"/>
      <c r="O717" s="8"/>
      <c r="Q717" s="8"/>
      <c r="T717" s="8"/>
      <c r="W717" s="8"/>
    </row>
    <row r="718" ht="14.25" customHeight="1">
      <c r="D718" s="8"/>
      <c r="E718" s="8"/>
      <c r="F718" s="8"/>
      <c r="G718" s="8"/>
      <c r="K718" s="8"/>
      <c r="L718" s="8"/>
      <c r="M718" s="8"/>
      <c r="O718" s="8"/>
      <c r="Q718" s="8"/>
      <c r="T718" s="8"/>
      <c r="W718" s="8"/>
    </row>
    <row r="719" ht="14.25" customHeight="1">
      <c r="D719" s="8"/>
      <c r="E719" s="8"/>
      <c r="F719" s="8"/>
      <c r="G719" s="8"/>
      <c r="K719" s="8"/>
      <c r="L719" s="8"/>
      <c r="M719" s="8"/>
      <c r="O719" s="8"/>
      <c r="Q719" s="8"/>
      <c r="T719" s="8"/>
      <c r="W719" s="8"/>
    </row>
    <row r="720" ht="14.25" customHeight="1">
      <c r="D720" s="8"/>
      <c r="E720" s="8"/>
      <c r="F720" s="8"/>
      <c r="G720" s="8"/>
      <c r="K720" s="8"/>
      <c r="L720" s="8"/>
      <c r="M720" s="8"/>
      <c r="O720" s="8"/>
      <c r="Q720" s="8"/>
      <c r="T720" s="8"/>
      <c r="W720" s="8"/>
    </row>
    <row r="721" ht="14.25" customHeight="1">
      <c r="D721" s="8"/>
      <c r="E721" s="8"/>
      <c r="F721" s="8"/>
      <c r="G721" s="8"/>
      <c r="K721" s="8"/>
      <c r="L721" s="8"/>
      <c r="M721" s="8"/>
      <c r="O721" s="8"/>
      <c r="Q721" s="8"/>
      <c r="T721" s="8"/>
      <c r="W721" s="8"/>
    </row>
    <row r="722" ht="14.25" customHeight="1">
      <c r="D722" s="8"/>
      <c r="E722" s="8"/>
      <c r="F722" s="8"/>
      <c r="G722" s="8"/>
      <c r="K722" s="8"/>
      <c r="L722" s="8"/>
      <c r="M722" s="8"/>
      <c r="O722" s="8"/>
      <c r="Q722" s="8"/>
      <c r="T722" s="8"/>
      <c r="W722" s="8"/>
    </row>
    <row r="723" ht="14.25" customHeight="1">
      <c r="D723" s="8"/>
      <c r="E723" s="8"/>
      <c r="F723" s="8"/>
      <c r="G723" s="8"/>
      <c r="K723" s="8"/>
      <c r="L723" s="8"/>
      <c r="M723" s="8"/>
      <c r="O723" s="8"/>
      <c r="Q723" s="8"/>
      <c r="T723" s="8"/>
      <c r="W723" s="8"/>
    </row>
    <row r="724" ht="14.25" customHeight="1">
      <c r="D724" s="8"/>
      <c r="E724" s="8"/>
      <c r="F724" s="8"/>
      <c r="G724" s="8"/>
      <c r="K724" s="8"/>
      <c r="L724" s="8"/>
      <c r="M724" s="8"/>
      <c r="O724" s="8"/>
      <c r="Q724" s="8"/>
      <c r="T724" s="8"/>
      <c r="W724" s="8"/>
    </row>
    <row r="725" ht="14.25" customHeight="1">
      <c r="D725" s="8"/>
      <c r="E725" s="8"/>
      <c r="F725" s="8"/>
      <c r="G725" s="8"/>
      <c r="K725" s="8"/>
      <c r="L725" s="8"/>
      <c r="M725" s="8"/>
      <c r="O725" s="8"/>
      <c r="Q725" s="8"/>
      <c r="T725" s="8"/>
      <c r="W725" s="8"/>
    </row>
    <row r="726" ht="14.25" customHeight="1">
      <c r="D726" s="8"/>
      <c r="E726" s="8"/>
      <c r="F726" s="8"/>
      <c r="G726" s="8"/>
      <c r="K726" s="8"/>
      <c r="L726" s="8"/>
      <c r="M726" s="8"/>
      <c r="O726" s="8"/>
      <c r="Q726" s="8"/>
      <c r="T726" s="8"/>
      <c r="W726" s="8"/>
    </row>
    <row r="727" ht="14.25" customHeight="1">
      <c r="D727" s="8"/>
      <c r="E727" s="8"/>
      <c r="F727" s="8"/>
      <c r="G727" s="8"/>
      <c r="K727" s="8"/>
      <c r="L727" s="8"/>
      <c r="M727" s="8"/>
      <c r="O727" s="8"/>
      <c r="Q727" s="8"/>
      <c r="T727" s="8"/>
      <c r="W727" s="8"/>
    </row>
    <row r="728" ht="14.25" customHeight="1">
      <c r="D728" s="8"/>
      <c r="E728" s="8"/>
      <c r="F728" s="8"/>
      <c r="G728" s="8"/>
      <c r="K728" s="8"/>
      <c r="L728" s="8"/>
      <c r="M728" s="8"/>
      <c r="O728" s="8"/>
      <c r="Q728" s="8"/>
      <c r="T728" s="8"/>
      <c r="W728" s="8"/>
    </row>
    <row r="729" ht="14.25" customHeight="1">
      <c r="D729" s="8"/>
      <c r="E729" s="8"/>
      <c r="F729" s="8"/>
      <c r="G729" s="8"/>
      <c r="K729" s="8"/>
      <c r="L729" s="8"/>
      <c r="M729" s="8"/>
      <c r="O729" s="8"/>
      <c r="Q729" s="8"/>
      <c r="T729" s="8"/>
      <c r="W729" s="8"/>
    </row>
    <row r="730" ht="14.25" customHeight="1">
      <c r="D730" s="8"/>
      <c r="E730" s="8"/>
      <c r="F730" s="8"/>
      <c r="G730" s="8"/>
      <c r="K730" s="8"/>
      <c r="L730" s="8"/>
      <c r="M730" s="8"/>
      <c r="O730" s="8"/>
      <c r="Q730" s="8"/>
      <c r="T730" s="8"/>
      <c r="W730" s="8"/>
    </row>
    <row r="731" ht="14.25" customHeight="1">
      <c r="D731" s="8"/>
      <c r="E731" s="8"/>
      <c r="F731" s="8"/>
      <c r="G731" s="8"/>
      <c r="K731" s="8"/>
      <c r="L731" s="8"/>
      <c r="M731" s="8"/>
      <c r="O731" s="8"/>
      <c r="Q731" s="8"/>
      <c r="T731" s="8"/>
      <c r="W731" s="8"/>
    </row>
    <row r="732" ht="14.25" customHeight="1">
      <c r="D732" s="8"/>
      <c r="E732" s="8"/>
      <c r="F732" s="8"/>
      <c r="G732" s="8"/>
      <c r="K732" s="8"/>
      <c r="L732" s="8"/>
      <c r="M732" s="8"/>
      <c r="O732" s="8"/>
      <c r="Q732" s="8"/>
      <c r="T732" s="8"/>
      <c r="W732" s="8"/>
    </row>
    <row r="733" ht="14.25" customHeight="1">
      <c r="D733" s="8"/>
      <c r="E733" s="8"/>
      <c r="F733" s="8"/>
      <c r="G733" s="8"/>
      <c r="K733" s="8"/>
      <c r="L733" s="8"/>
      <c r="M733" s="8"/>
      <c r="O733" s="8"/>
      <c r="Q733" s="8"/>
      <c r="T733" s="8"/>
      <c r="W733" s="8"/>
    </row>
    <row r="734" ht="14.25" customHeight="1">
      <c r="D734" s="8"/>
      <c r="E734" s="8"/>
      <c r="F734" s="8"/>
      <c r="G734" s="8"/>
      <c r="K734" s="8"/>
      <c r="L734" s="8"/>
      <c r="M734" s="8"/>
      <c r="O734" s="8"/>
      <c r="Q734" s="8"/>
      <c r="T734" s="8"/>
      <c r="W734" s="8"/>
    </row>
    <row r="735" ht="14.25" customHeight="1">
      <c r="D735" s="8"/>
      <c r="E735" s="8"/>
      <c r="F735" s="8"/>
      <c r="G735" s="8"/>
      <c r="K735" s="8"/>
      <c r="L735" s="8"/>
      <c r="M735" s="8"/>
      <c r="O735" s="8"/>
      <c r="Q735" s="8"/>
      <c r="T735" s="8"/>
      <c r="W735" s="8"/>
    </row>
    <row r="736" ht="14.25" customHeight="1">
      <c r="D736" s="8"/>
      <c r="E736" s="8"/>
      <c r="F736" s="8"/>
      <c r="G736" s="8"/>
      <c r="K736" s="8"/>
      <c r="L736" s="8"/>
      <c r="M736" s="8"/>
      <c r="O736" s="8"/>
      <c r="Q736" s="8"/>
      <c r="T736" s="8"/>
      <c r="W736" s="8"/>
    </row>
    <row r="737" ht="14.25" customHeight="1">
      <c r="D737" s="8"/>
      <c r="E737" s="8"/>
      <c r="F737" s="8"/>
      <c r="G737" s="8"/>
      <c r="K737" s="8"/>
      <c r="L737" s="8"/>
      <c r="M737" s="8"/>
      <c r="O737" s="8"/>
      <c r="Q737" s="8"/>
      <c r="T737" s="8"/>
      <c r="W737" s="8"/>
    </row>
    <row r="738" ht="14.25" customHeight="1">
      <c r="D738" s="8"/>
      <c r="E738" s="8"/>
      <c r="F738" s="8"/>
      <c r="G738" s="8"/>
      <c r="K738" s="8"/>
      <c r="L738" s="8"/>
      <c r="M738" s="8"/>
      <c r="O738" s="8"/>
      <c r="Q738" s="8"/>
      <c r="T738" s="8"/>
      <c r="W738" s="8"/>
    </row>
    <row r="739" ht="14.25" customHeight="1">
      <c r="D739" s="8"/>
      <c r="E739" s="8"/>
      <c r="F739" s="8"/>
      <c r="G739" s="8"/>
      <c r="K739" s="8"/>
      <c r="L739" s="8"/>
      <c r="M739" s="8"/>
      <c r="O739" s="8"/>
      <c r="Q739" s="8"/>
      <c r="T739" s="8"/>
      <c r="W739" s="8"/>
    </row>
    <row r="740" ht="14.25" customHeight="1">
      <c r="D740" s="8"/>
      <c r="E740" s="8"/>
      <c r="F740" s="8"/>
      <c r="G740" s="8"/>
      <c r="K740" s="8"/>
      <c r="L740" s="8"/>
      <c r="M740" s="8"/>
      <c r="O740" s="8"/>
      <c r="Q740" s="8"/>
      <c r="T740" s="8"/>
      <c r="W740" s="8"/>
    </row>
    <row r="741" ht="14.25" customHeight="1">
      <c r="D741" s="8"/>
      <c r="E741" s="8"/>
      <c r="F741" s="8"/>
      <c r="G741" s="8"/>
      <c r="K741" s="8"/>
      <c r="L741" s="8"/>
      <c r="M741" s="8"/>
      <c r="O741" s="8"/>
      <c r="Q741" s="8"/>
      <c r="T741" s="8"/>
      <c r="W741" s="8"/>
    </row>
    <row r="742" ht="14.25" customHeight="1">
      <c r="D742" s="8"/>
      <c r="E742" s="8"/>
      <c r="F742" s="8"/>
      <c r="G742" s="8"/>
      <c r="K742" s="8"/>
      <c r="L742" s="8"/>
      <c r="M742" s="8"/>
      <c r="O742" s="8"/>
      <c r="Q742" s="8"/>
      <c r="T742" s="8"/>
      <c r="W742" s="8"/>
    </row>
    <row r="743" ht="14.25" customHeight="1">
      <c r="D743" s="8"/>
      <c r="E743" s="8"/>
      <c r="F743" s="8"/>
      <c r="G743" s="8"/>
      <c r="K743" s="8"/>
      <c r="L743" s="8"/>
      <c r="M743" s="8"/>
      <c r="O743" s="8"/>
      <c r="Q743" s="8"/>
      <c r="T743" s="8"/>
      <c r="W743" s="8"/>
    </row>
    <row r="744" ht="14.25" customHeight="1">
      <c r="D744" s="8"/>
      <c r="E744" s="8"/>
      <c r="F744" s="8"/>
      <c r="G744" s="8"/>
      <c r="K744" s="8"/>
      <c r="L744" s="8"/>
      <c r="M744" s="8"/>
      <c r="O744" s="8"/>
      <c r="Q744" s="8"/>
      <c r="T744" s="8"/>
      <c r="W744" s="8"/>
    </row>
    <row r="745" ht="14.25" customHeight="1">
      <c r="D745" s="8"/>
      <c r="E745" s="8"/>
      <c r="F745" s="8"/>
      <c r="G745" s="8"/>
      <c r="K745" s="8"/>
      <c r="L745" s="8"/>
      <c r="M745" s="8"/>
      <c r="O745" s="8"/>
      <c r="Q745" s="8"/>
      <c r="T745" s="8"/>
      <c r="W745" s="8"/>
    </row>
    <row r="746" ht="14.25" customHeight="1">
      <c r="D746" s="8"/>
      <c r="E746" s="8"/>
      <c r="F746" s="8"/>
      <c r="G746" s="8"/>
      <c r="K746" s="8"/>
      <c r="L746" s="8"/>
      <c r="M746" s="8"/>
      <c r="O746" s="8"/>
      <c r="Q746" s="8"/>
      <c r="T746" s="8"/>
      <c r="W746" s="8"/>
    </row>
    <row r="747" ht="14.25" customHeight="1">
      <c r="D747" s="8"/>
      <c r="E747" s="8"/>
      <c r="F747" s="8"/>
      <c r="G747" s="8"/>
      <c r="K747" s="8"/>
      <c r="L747" s="8"/>
      <c r="M747" s="8"/>
      <c r="O747" s="8"/>
      <c r="Q747" s="8"/>
      <c r="T747" s="8"/>
      <c r="W747" s="8"/>
    </row>
    <row r="748" ht="14.25" customHeight="1">
      <c r="D748" s="8"/>
      <c r="E748" s="8"/>
      <c r="F748" s="8"/>
      <c r="G748" s="8"/>
      <c r="K748" s="8"/>
      <c r="L748" s="8"/>
      <c r="M748" s="8"/>
      <c r="O748" s="8"/>
      <c r="Q748" s="8"/>
      <c r="T748" s="8"/>
      <c r="W748" s="8"/>
    </row>
    <row r="749" ht="14.25" customHeight="1">
      <c r="D749" s="8"/>
      <c r="E749" s="8"/>
      <c r="F749" s="8"/>
      <c r="G749" s="8"/>
      <c r="K749" s="8"/>
      <c r="L749" s="8"/>
      <c r="M749" s="8"/>
      <c r="O749" s="8"/>
      <c r="Q749" s="8"/>
      <c r="T749" s="8"/>
      <c r="W749" s="8"/>
    </row>
    <row r="750" ht="14.25" customHeight="1">
      <c r="D750" s="8"/>
      <c r="E750" s="8"/>
      <c r="F750" s="8"/>
      <c r="G750" s="8"/>
      <c r="K750" s="8"/>
      <c r="L750" s="8"/>
      <c r="M750" s="8"/>
      <c r="O750" s="8"/>
      <c r="Q750" s="8"/>
      <c r="T750" s="8"/>
      <c r="W750" s="8"/>
    </row>
    <row r="751" ht="14.25" customHeight="1">
      <c r="D751" s="8"/>
      <c r="E751" s="8"/>
      <c r="F751" s="8"/>
      <c r="G751" s="8"/>
      <c r="K751" s="8"/>
      <c r="L751" s="8"/>
      <c r="M751" s="8"/>
      <c r="O751" s="8"/>
      <c r="Q751" s="8"/>
      <c r="T751" s="8"/>
      <c r="W751" s="8"/>
    </row>
    <row r="752" ht="14.25" customHeight="1">
      <c r="D752" s="8"/>
      <c r="E752" s="8"/>
      <c r="F752" s="8"/>
      <c r="G752" s="8"/>
      <c r="K752" s="8"/>
      <c r="L752" s="8"/>
      <c r="M752" s="8"/>
      <c r="O752" s="8"/>
      <c r="Q752" s="8"/>
      <c r="T752" s="8"/>
      <c r="W752" s="8"/>
    </row>
    <row r="753" ht="14.25" customHeight="1">
      <c r="D753" s="8"/>
      <c r="E753" s="8"/>
      <c r="F753" s="8"/>
      <c r="G753" s="8"/>
      <c r="K753" s="8"/>
      <c r="L753" s="8"/>
      <c r="M753" s="8"/>
      <c r="O753" s="8"/>
      <c r="Q753" s="8"/>
      <c r="T753" s="8"/>
      <c r="W753" s="8"/>
    </row>
    <row r="754" ht="14.25" customHeight="1">
      <c r="D754" s="8"/>
      <c r="E754" s="8"/>
      <c r="F754" s="8"/>
      <c r="G754" s="8"/>
      <c r="K754" s="8"/>
      <c r="L754" s="8"/>
      <c r="M754" s="8"/>
      <c r="O754" s="8"/>
      <c r="Q754" s="8"/>
      <c r="T754" s="8"/>
      <c r="W754" s="8"/>
    </row>
    <row r="755" ht="14.25" customHeight="1">
      <c r="D755" s="8"/>
      <c r="E755" s="8"/>
      <c r="F755" s="8"/>
      <c r="G755" s="8"/>
      <c r="K755" s="8"/>
      <c r="L755" s="8"/>
      <c r="M755" s="8"/>
      <c r="O755" s="8"/>
      <c r="Q755" s="8"/>
      <c r="T755" s="8"/>
      <c r="W755" s="8"/>
    </row>
    <row r="756" ht="14.25" customHeight="1">
      <c r="D756" s="8"/>
      <c r="E756" s="8"/>
      <c r="F756" s="8"/>
      <c r="G756" s="8"/>
      <c r="K756" s="8"/>
      <c r="L756" s="8"/>
      <c r="M756" s="8"/>
      <c r="O756" s="8"/>
      <c r="Q756" s="8"/>
      <c r="T756" s="8"/>
      <c r="W756" s="8"/>
    </row>
    <row r="757" ht="14.25" customHeight="1">
      <c r="D757" s="8"/>
      <c r="E757" s="8"/>
      <c r="F757" s="8"/>
      <c r="G757" s="8"/>
      <c r="K757" s="8"/>
      <c r="L757" s="8"/>
      <c r="M757" s="8"/>
      <c r="O757" s="8"/>
      <c r="Q757" s="8"/>
      <c r="T757" s="8"/>
      <c r="W757" s="8"/>
    </row>
    <row r="758" ht="14.25" customHeight="1">
      <c r="D758" s="8"/>
      <c r="E758" s="8"/>
      <c r="F758" s="8"/>
      <c r="G758" s="8"/>
      <c r="K758" s="8"/>
      <c r="L758" s="8"/>
      <c r="M758" s="8"/>
      <c r="O758" s="8"/>
      <c r="Q758" s="8"/>
      <c r="T758" s="8"/>
      <c r="W758" s="8"/>
    </row>
    <row r="759" ht="14.25" customHeight="1">
      <c r="D759" s="8"/>
      <c r="E759" s="8"/>
      <c r="F759" s="8"/>
      <c r="G759" s="8"/>
      <c r="K759" s="8"/>
      <c r="L759" s="8"/>
      <c r="M759" s="8"/>
      <c r="O759" s="8"/>
      <c r="Q759" s="8"/>
      <c r="T759" s="8"/>
      <c r="W759" s="8"/>
    </row>
    <row r="760" ht="14.25" customHeight="1">
      <c r="D760" s="8"/>
      <c r="E760" s="8"/>
      <c r="F760" s="8"/>
      <c r="G760" s="8"/>
      <c r="K760" s="8"/>
      <c r="L760" s="8"/>
      <c r="M760" s="8"/>
      <c r="O760" s="8"/>
      <c r="Q760" s="8"/>
      <c r="T760" s="8"/>
      <c r="W760" s="8"/>
    </row>
    <row r="761" ht="14.25" customHeight="1">
      <c r="D761" s="8"/>
      <c r="E761" s="8"/>
      <c r="F761" s="8"/>
      <c r="G761" s="8"/>
      <c r="K761" s="8"/>
      <c r="L761" s="8"/>
      <c r="M761" s="8"/>
      <c r="O761" s="8"/>
      <c r="Q761" s="8"/>
      <c r="T761" s="8"/>
      <c r="W761" s="8"/>
    </row>
    <row r="762" ht="14.25" customHeight="1">
      <c r="D762" s="8"/>
      <c r="E762" s="8"/>
      <c r="F762" s="8"/>
      <c r="G762" s="8"/>
      <c r="K762" s="8"/>
      <c r="L762" s="8"/>
      <c r="M762" s="8"/>
      <c r="O762" s="8"/>
      <c r="Q762" s="8"/>
      <c r="T762" s="8"/>
      <c r="W762" s="8"/>
    </row>
    <row r="763" ht="14.25" customHeight="1">
      <c r="D763" s="8"/>
      <c r="E763" s="8"/>
      <c r="F763" s="8"/>
      <c r="G763" s="8"/>
      <c r="K763" s="8"/>
      <c r="L763" s="8"/>
      <c r="M763" s="8"/>
      <c r="O763" s="8"/>
      <c r="Q763" s="8"/>
      <c r="T763" s="8"/>
      <c r="W763" s="8"/>
    </row>
    <row r="764" ht="14.25" customHeight="1">
      <c r="D764" s="8"/>
      <c r="E764" s="8"/>
      <c r="F764" s="8"/>
      <c r="G764" s="8"/>
      <c r="K764" s="8"/>
      <c r="L764" s="8"/>
      <c r="M764" s="8"/>
      <c r="O764" s="8"/>
      <c r="Q764" s="8"/>
      <c r="T764" s="8"/>
      <c r="W764" s="8"/>
    </row>
    <row r="765" ht="14.25" customHeight="1">
      <c r="D765" s="8"/>
      <c r="E765" s="8"/>
      <c r="F765" s="8"/>
      <c r="G765" s="8"/>
      <c r="K765" s="8"/>
      <c r="L765" s="8"/>
      <c r="M765" s="8"/>
      <c r="O765" s="8"/>
      <c r="Q765" s="8"/>
      <c r="T765" s="8"/>
      <c r="W765" s="8"/>
    </row>
    <row r="766" ht="14.25" customHeight="1">
      <c r="D766" s="8"/>
      <c r="E766" s="8"/>
      <c r="F766" s="8"/>
      <c r="G766" s="8"/>
      <c r="K766" s="8"/>
      <c r="L766" s="8"/>
      <c r="M766" s="8"/>
      <c r="O766" s="8"/>
      <c r="Q766" s="8"/>
      <c r="T766" s="8"/>
      <c r="W766" s="8"/>
    </row>
    <row r="767" ht="14.25" customHeight="1">
      <c r="D767" s="8"/>
      <c r="E767" s="8"/>
      <c r="F767" s="8"/>
      <c r="G767" s="8"/>
      <c r="K767" s="8"/>
      <c r="L767" s="8"/>
      <c r="M767" s="8"/>
      <c r="O767" s="8"/>
      <c r="Q767" s="8"/>
      <c r="T767" s="8"/>
      <c r="W767" s="8"/>
    </row>
    <row r="768" ht="14.25" customHeight="1">
      <c r="D768" s="8"/>
      <c r="E768" s="8"/>
      <c r="F768" s="8"/>
      <c r="G768" s="8"/>
      <c r="K768" s="8"/>
      <c r="L768" s="8"/>
      <c r="M768" s="8"/>
      <c r="O768" s="8"/>
      <c r="Q768" s="8"/>
      <c r="T768" s="8"/>
      <c r="W768" s="8"/>
    </row>
    <row r="769" ht="14.25" customHeight="1">
      <c r="D769" s="8"/>
      <c r="E769" s="8"/>
      <c r="F769" s="8"/>
      <c r="G769" s="8"/>
      <c r="K769" s="8"/>
      <c r="L769" s="8"/>
      <c r="M769" s="8"/>
      <c r="O769" s="8"/>
      <c r="Q769" s="8"/>
      <c r="T769" s="8"/>
      <c r="W769" s="8"/>
    </row>
    <row r="770" ht="14.25" customHeight="1">
      <c r="D770" s="8"/>
      <c r="E770" s="8"/>
      <c r="F770" s="8"/>
      <c r="G770" s="8"/>
      <c r="K770" s="8"/>
      <c r="L770" s="8"/>
      <c r="M770" s="8"/>
      <c r="O770" s="8"/>
      <c r="Q770" s="8"/>
      <c r="T770" s="8"/>
      <c r="W770" s="8"/>
    </row>
    <row r="771" ht="14.25" customHeight="1">
      <c r="D771" s="8"/>
      <c r="E771" s="8"/>
      <c r="F771" s="8"/>
      <c r="G771" s="8"/>
      <c r="K771" s="8"/>
      <c r="L771" s="8"/>
      <c r="M771" s="8"/>
      <c r="O771" s="8"/>
      <c r="Q771" s="8"/>
      <c r="T771" s="8"/>
      <c r="W771" s="8"/>
    </row>
    <row r="772" ht="14.25" customHeight="1">
      <c r="D772" s="8"/>
      <c r="E772" s="8"/>
      <c r="F772" s="8"/>
      <c r="G772" s="8"/>
      <c r="K772" s="8"/>
      <c r="L772" s="8"/>
      <c r="M772" s="8"/>
      <c r="O772" s="8"/>
      <c r="Q772" s="8"/>
      <c r="T772" s="8"/>
      <c r="W772" s="8"/>
    </row>
    <row r="773" ht="14.25" customHeight="1">
      <c r="D773" s="8"/>
      <c r="E773" s="8"/>
      <c r="F773" s="8"/>
      <c r="G773" s="8"/>
      <c r="K773" s="8"/>
      <c r="L773" s="8"/>
      <c r="M773" s="8"/>
      <c r="O773" s="8"/>
      <c r="Q773" s="8"/>
      <c r="T773" s="8"/>
      <c r="W773" s="8"/>
    </row>
    <row r="774" ht="14.25" customHeight="1">
      <c r="D774" s="8"/>
      <c r="E774" s="8"/>
      <c r="F774" s="8"/>
      <c r="G774" s="8"/>
      <c r="K774" s="8"/>
      <c r="L774" s="8"/>
      <c r="M774" s="8"/>
      <c r="O774" s="8"/>
      <c r="Q774" s="8"/>
      <c r="T774" s="8"/>
      <c r="W774" s="8"/>
    </row>
    <row r="775" ht="14.25" customHeight="1">
      <c r="D775" s="8"/>
      <c r="E775" s="8"/>
      <c r="F775" s="8"/>
      <c r="G775" s="8"/>
      <c r="K775" s="8"/>
      <c r="L775" s="8"/>
      <c r="M775" s="8"/>
      <c r="O775" s="8"/>
      <c r="Q775" s="8"/>
      <c r="T775" s="8"/>
      <c r="W775" s="8"/>
    </row>
    <row r="776" ht="14.25" customHeight="1">
      <c r="D776" s="8"/>
      <c r="E776" s="8"/>
      <c r="F776" s="8"/>
      <c r="G776" s="8"/>
      <c r="K776" s="8"/>
      <c r="L776" s="8"/>
      <c r="M776" s="8"/>
      <c r="O776" s="8"/>
      <c r="Q776" s="8"/>
      <c r="T776" s="8"/>
      <c r="W776" s="8"/>
    </row>
    <row r="777" ht="14.25" customHeight="1">
      <c r="D777" s="8"/>
      <c r="E777" s="8"/>
      <c r="F777" s="8"/>
      <c r="G777" s="8"/>
      <c r="K777" s="8"/>
      <c r="L777" s="8"/>
      <c r="M777" s="8"/>
      <c r="O777" s="8"/>
      <c r="Q777" s="8"/>
      <c r="T777" s="8"/>
      <c r="W777" s="8"/>
    </row>
    <row r="778" ht="14.25" customHeight="1">
      <c r="D778" s="8"/>
      <c r="E778" s="8"/>
      <c r="F778" s="8"/>
      <c r="G778" s="8"/>
      <c r="K778" s="8"/>
      <c r="L778" s="8"/>
      <c r="M778" s="8"/>
      <c r="O778" s="8"/>
      <c r="Q778" s="8"/>
      <c r="T778" s="8"/>
      <c r="W778" s="8"/>
    </row>
    <row r="779" ht="14.25" customHeight="1">
      <c r="D779" s="8"/>
      <c r="E779" s="8"/>
      <c r="F779" s="8"/>
      <c r="G779" s="8"/>
      <c r="K779" s="8"/>
      <c r="L779" s="8"/>
      <c r="M779" s="8"/>
      <c r="O779" s="8"/>
      <c r="Q779" s="8"/>
      <c r="T779" s="8"/>
      <c r="W779" s="8"/>
    </row>
    <row r="780" ht="14.25" customHeight="1">
      <c r="D780" s="8"/>
      <c r="E780" s="8"/>
      <c r="F780" s="8"/>
      <c r="G780" s="8"/>
      <c r="K780" s="8"/>
      <c r="L780" s="8"/>
      <c r="M780" s="8"/>
      <c r="O780" s="8"/>
      <c r="Q780" s="8"/>
      <c r="T780" s="8"/>
      <c r="W780" s="8"/>
    </row>
    <row r="781" ht="14.25" customHeight="1">
      <c r="D781" s="8"/>
      <c r="E781" s="8"/>
      <c r="F781" s="8"/>
      <c r="G781" s="8"/>
      <c r="K781" s="8"/>
      <c r="L781" s="8"/>
      <c r="M781" s="8"/>
      <c r="O781" s="8"/>
      <c r="Q781" s="8"/>
      <c r="T781" s="8"/>
      <c r="W781" s="8"/>
    </row>
    <row r="782" ht="14.25" customHeight="1">
      <c r="D782" s="8"/>
      <c r="E782" s="8"/>
      <c r="F782" s="8"/>
      <c r="G782" s="8"/>
      <c r="K782" s="8"/>
      <c r="L782" s="8"/>
      <c r="M782" s="8"/>
      <c r="O782" s="8"/>
      <c r="Q782" s="8"/>
      <c r="T782" s="8"/>
      <c r="W782" s="8"/>
    </row>
    <row r="783" ht="14.25" customHeight="1">
      <c r="D783" s="8"/>
      <c r="E783" s="8"/>
      <c r="F783" s="8"/>
      <c r="G783" s="8"/>
      <c r="K783" s="8"/>
      <c r="L783" s="8"/>
      <c r="M783" s="8"/>
      <c r="O783" s="8"/>
      <c r="Q783" s="8"/>
      <c r="T783" s="8"/>
      <c r="W783" s="8"/>
    </row>
    <row r="784" ht="14.25" customHeight="1">
      <c r="D784" s="8"/>
      <c r="E784" s="8"/>
      <c r="F784" s="8"/>
      <c r="G784" s="8"/>
      <c r="K784" s="8"/>
      <c r="L784" s="8"/>
      <c r="M784" s="8"/>
      <c r="O784" s="8"/>
      <c r="Q784" s="8"/>
      <c r="T784" s="8"/>
      <c r="W784" s="8"/>
    </row>
    <row r="785" ht="14.25" customHeight="1">
      <c r="D785" s="8"/>
      <c r="E785" s="8"/>
      <c r="F785" s="8"/>
      <c r="G785" s="8"/>
      <c r="K785" s="8"/>
      <c r="L785" s="8"/>
      <c r="M785" s="8"/>
      <c r="O785" s="8"/>
      <c r="Q785" s="8"/>
      <c r="T785" s="8"/>
      <c r="W785" s="8"/>
    </row>
    <row r="786" ht="14.25" customHeight="1">
      <c r="D786" s="8"/>
      <c r="E786" s="8"/>
      <c r="F786" s="8"/>
      <c r="G786" s="8"/>
      <c r="K786" s="8"/>
      <c r="L786" s="8"/>
      <c r="M786" s="8"/>
      <c r="O786" s="8"/>
      <c r="Q786" s="8"/>
      <c r="T786" s="8"/>
      <c r="W786" s="8"/>
    </row>
    <row r="787" ht="14.25" customHeight="1">
      <c r="D787" s="8"/>
      <c r="E787" s="8"/>
      <c r="F787" s="8"/>
      <c r="G787" s="8"/>
      <c r="K787" s="8"/>
      <c r="L787" s="8"/>
      <c r="M787" s="8"/>
      <c r="O787" s="8"/>
      <c r="Q787" s="8"/>
      <c r="T787" s="8"/>
      <c r="W787" s="8"/>
    </row>
    <row r="788" ht="14.25" customHeight="1">
      <c r="D788" s="8"/>
      <c r="E788" s="8"/>
      <c r="F788" s="8"/>
      <c r="G788" s="8"/>
      <c r="K788" s="8"/>
      <c r="L788" s="8"/>
      <c r="M788" s="8"/>
      <c r="O788" s="8"/>
      <c r="Q788" s="8"/>
      <c r="T788" s="8"/>
      <c r="W788" s="8"/>
    </row>
    <row r="789" ht="14.25" customHeight="1">
      <c r="D789" s="8"/>
      <c r="E789" s="8"/>
      <c r="F789" s="8"/>
      <c r="G789" s="8"/>
      <c r="K789" s="8"/>
      <c r="L789" s="8"/>
      <c r="M789" s="8"/>
      <c r="O789" s="8"/>
      <c r="Q789" s="8"/>
      <c r="T789" s="8"/>
      <c r="W789" s="8"/>
    </row>
    <row r="790" ht="14.25" customHeight="1">
      <c r="D790" s="8"/>
      <c r="E790" s="8"/>
      <c r="F790" s="8"/>
      <c r="G790" s="8"/>
      <c r="K790" s="8"/>
      <c r="L790" s="8"/>
      <c r="M790" s="8"/>
      <c r="O790" s="8"/>
      <c r="Q790" s="8"/>
      <c r="T790" s="8"/>
      <c r="W790" s="8"/>
    </row>
    <row r="791" ht="14.25" customHeight="1">
      <c r="D791" s="8"/>
      <c r="E791" s="8"/>
      <c r="F791" s="8"/>
      <c r="G791" s="8"/>
      <c r="K791" s="8"/>
      <c r="L791" s="8"/>
      <c r="M791" s="8"/>
      <c r="O791" s="8"/>
      <c r="Q791" s="8"/>
      <c r="T791" s="8"/>
      <c r="W791" s="8"/>
    </row>
    <row r="792" ht="14.25" customHeight="1">
      <c r="D792" s="8"/>
      <c r="E792" s="8"/>
      <c r="F792" s="8"/>
      <c r="G792" s="8"/>
      <c r="K792" s="8"/>
      <c r="L792" s="8"/>
      <c r="M792" s="8"/>
      <c r="O792" s="8"/>
      <c r="Q792" s="8"/>
      <c r="T792" s="8"/>
      <c r="W792" s="8"/>
    </row>
    <row r="793" ht="14.25" customHeight="1">
      <c r="D793" s="8"/>
      <c r="E793" s="8"/>
      <c r="F793" s="8"/>
      <c r="G793" s="8"/>
      <c r="K793" s="8"/>
      <c r="L793" s="8"/>
      <c r="M793" s="8"/>
      <c r="O793" s="8"/>
      <c r="Q793" s="8"/>
      <c r="T793" s="8"/>
      <c r="W793" s="8"/>
    </row>
    <row r="794" ht="14.25" customHeight="1">
      <c r="D794" s="8"/>
      <c r="E794" s="8"/>
      <c r="F794" s="8"/>
      <c r="G794" s="8"/>
      <c r="K794" s="8"/>
      <c r="L794" s="8"/>
      <c r="M794" s="8"/>
      <c r="O794" s="8"/>
      <c r="Q794" s="8"/>
      <c r="T794" s="8"/>
      <c r="W794" s="8"/>
    </row>
    <row r="795" ht="14.25" customHeight="1">
      <c r="D795" s="8"/>
      <c r="E795" s="8"/>
      <c r="F795" s="8"/>
      <c r="G795" s="8"/>
      <c r="K795" s="8"/>
      <c r="L795" s="8"/>
      <c r="M795" s="8"/>
      <c r="O795" s="8"/>
      <c r="Q795" s="8"/>
      <c r="T795" s="8"/>
      <c r="W795" s="8"/>
    </row>
    <row r="796" ht="14.25" customHeight="1">
      <c r="D796" s="8"/>
      <c r="E796" s="8"/>
      <c r="F796" s="8"/>
      <c r="G796" s="8"/>
      <c r="K796" s="8"/>
      <c r="L796" s="8"/>
      <c r="M796" s="8"/>
      <c r="O796" s="8"/>
      <c r="Q796" s="8"/>
      <c r="T796" s="8"/>
      <c r="W796" s="8"/>
    </row>
    <row r="797" ht="14.25" customHeight="1">
      <c r="D797" s="8"/>
      <c r="E797" s="8"/>
      <c r="F797" s="8"/>
      <c r="G797" s="8"/>
      <c r="K797" s="8"/>
      <c r="L797" s="8"/>
      <c r="M797" s="8"/>
      <c r="O797" s="8"/>
      <c r="Q797" s="8"/>
      <c r="T797" s="8"/>
      <c r="W797" s="8"/>
    </row>
    <row r="798" ht="14.25" customHeight="1">
      <c r="D798" s="8"/>
      <c r="E798" s="8"/>
      <c r="F798" s="8"/>
      <c r="G798" s="8"/>
      <c r="K798" s="8"/>
      <c r="L798" s="8"/>
      <c r="M798" s="8"/>
      <c r="O798" s="8"/>
      <c r="Q798" s="8"/>
      <c r="T798" s="8"/>
      <c r="W798" s="8"/>
    </row>
    <row r="799" ht="14.25" customHeight="1">
      <c r="D799" s="8"/>
      <c r="E799" s="8"/>
      <c r="F799" s="8"/>
      <c r="G799" s="8"/>
      <c r="K799" s="8"/>
      <c r="L799" s="8"/>
      <c r="M799" s="8"/>
      <c r="O799" s="8"/>
      <c r="Q799" s="8"/>
      <c r="T799" s="8"/>
      <c r="W799" s="8"/>
    </row>
    <row r="800" ht="14.25" customHeight="1">
      <c r="D800" s="8"/>
      <c r="E800" s="8"/>
      <c r="F800" s="8"/>
      <c r="G800" s="8"/>
      <c r="K800" s="8"/>
      <c r="L800" s="8"/>
      <c r="M800" s="8"/>
      <c r="O800" s="8"/>
      <c r="Q800" s="8"/>
      <c r="T800" s="8"/>
      <c r="W800" s="8"/>
    </row>
    <row r="801" ht="14.25" customHeight="1">
      <c r="D801" s="8"/>
      <c r="E801" s="8"/>
      <c r="F801" s="8"/>
      <c r="G801" s="8"/>
      <c r="K801" s="8"/>
      <c r="L801" s="8"/>
      <c r="M801" s="8"/>
      <c r="O801" s="8"/>
      <c r="Q801" s="8"/>
      <c r="T801" s="8"/>
      <c r="W801" s="8"/>
    </row>
    <row r="802" ht="14.25" customHeight="1">
      <c r="D802" s="8"/>
      <c r="E802" s="8"/>
      <c r="F802" s="8"/>
      <c r="G802" s="8"/>
      <c r="K802" s="8"/>
      <c r="L802" s="8"/>
      <c r="M802" s="8"/>
      <c r="O802" s="8"/>
      <c r="Q802" s="8"/>
      <c r="T802" s="8"/>
      <c r="W802" s="8"/>
    </row>
    <row r="803" ht="14.25" customHeight="1">
      <c r="D803" s="8"/>
      <c r="E803" s="8"/>
      <c r="F803" s="8"/>
      <c r="G803" s="8"/>
      <c r="K803" s="8"/>
      <c r="L803" s="8"/>
      <c r="M803" s="8"/>
      <c r="O803" s="8"/>
      <c r="Q803" s="8"/>
      <c r="T803" s="8"/>
      <c r="W803" s="8"/>
    </row>
    <row r="804" ht="14.25" customHeight="1">
      <c r="D804" s="8"/>
      <c r="E804" s="8"/>
      <c r="F804" s="8"/>
      <c r="G804" s="8"/>
      <c r="K804" s="8"/>
      <c r="L804" s="8"/>
      <c r="M804" s="8"/>
      <c r="O804" s="8"/>
      <c r="Q804" s="8"/>
      <c r="T804" s="8"/>
      <c r="W804" s="8"/>
    </row>
    <row r="805" ht="14.25" customHeight="1">
      <c r="D805" s="8"/>
      <c r="E805" s="8"/>
      <c r="F805" s="8"/>
      <c r="G805" s="8"/>
      <c r="K805" s="8"/>
      <c r="L805" s="8"/>
      <c r="M805" s="8"/>
      <c r="O805" s="8"/>
      <c r="Q805" s="8"/>
      <c r="T805" s="8"/>
      <c r="W805" s="8"/>
    </row>
    <row r="806" ht="14.25" customHeight="1">
      <c r="D806" s="8"/>
      <c r="E806" s="8"/>
      <c r="F806" s="8"/>
      <c r="G806" s="8"/>
      <c r="K806" s="8"/>
      <c r="L806" s="8"/>
      <c r="M806" s="8"/>
      <c r="O806" s="8"/>
      <c r="Q806" s="8"/>
      <c r="T806" s="8"/>
      <c r="W806" s="8"/>
    </row>
    <row r="807" ht="14.25" customHeight="1">
      <c r="D807" s="8"/>
      <c r="E807" s="8"/>
      <c r="F807" s="8"/>
      <c r="G807" s="8"/>
      <c r="K807" s="8"/>
      <c r="L807" s="8"/>
      <c r="M807" s="8"/>
      <c r="O807" s="8"/>
      <c r="Q807" s="8"/>
      <c r="T807" s="8"/>
      <c r="W807" s="8"/>
    </row>
    <row r="808" ht="14.25" customHeight="1">
      <c r="D808" s="8"/>
      <c r="E808" s="8"/>
      <c r="F808" s="8"/>
      <c r="G808" s="8"/>
      <c r="K808" s="8"/>
      <c r="L808" s="8"/>
      <c r="M808" s="8"/>
      <c r="O808" s="8"/>
      <c r="Q808" s="8"/>
      <c r="T808" s="8"/>
      <c r="W808" s="8"/>
    </row>
    <row r="809" ht="14.25" customHeight="1">
      <c r="D809" s="8"/>
      <c r="E809" s="8"/>
      <c r="F809" s="8"/>
      <c r="G809" s="8"/>
      <c r="K809" s="8"/>
      <c r="L809" s="8"/>
      <c r="M809" s="8"/>
      <c r="O809" s="8"/>
      <c r="Q809" s="8"/>
      <c r="T809" s="8"/>
      <c r="W809" s="8"/>
    </row>
    <row r="810" ht="14.25" customHeight="1">
      <c r="D810" s="8"/>
      <c r="E810" s="8"/>
      <c r="F810" s="8"/>
      <c r="G810" s="8"/>
      <c r="K810" s="8"/>
      <c r="L810" s="8"/>
      <c r="M810" s="8"/>
      <c r="O810" s="8"/>
      <c r="Q810" s="8"/>
      <c r="T810" s="8"/>
      <c r="W810" s="8"/>
    </row>
    <row r="811" ht="14.25" customHeight="1">
      <c r="D811" s="8"/>
      <c r="E811" s="8"/>
      <c r="F811" s="8"/>
      <c r="G811" s="8"/>
      <c r="K811" s="8"/>
      <c r="L811" s="8"/>
      <c r="M811" s="8"/>
      <c r="O811" s="8"/>
      <c r="Q811" s="8"/>
      <c r="T811" s="8"/>
      <c r="W811" s="8"/>
    </row>
    <row r="812" ht="14.25" customHeight="1">
      <c r="D812" s="8"/>
      <c r="E812" s="8"/>
      <c r="F812" s="8"/>
      <c r="G812" s="8"/>
      <c r="K812" s="8"/>
      <c r="L812" s="8"/>
      <c r="M812" s="8"/>
      <c r="O812" s="8"/>
      <c r="Q812" s="8"/>
      <c r="T812" s="8"/>
      <c r="W812" s="8"/>
    </row>
    <row r="813" ht="14.25" customHeight="1">
      <c r="D813" s="8"/>
      <c r="E813" s="8"/>
      <c r="F813" s="8"/>
      <c r="G813" s="8"/>
      <c r="K813" s="8"/>
      <c r="L813" s="8"/>
      <c r="M813" s="8"/>
      <c r="O813" s="8"/>
      <c r="Q813" s="8"/>
      <c r="T813" s="8"/>
      <c r="W813" s="8"/>
    </row>
    <row r="814" ht="14.25" customHeight="1">
      <c r="D814" s="8"/>
      <c r="E814" s="8"/>
      <c r="F814" s="8"/>
      <c r="G814" s="8"/>
      <c r="K814" s="8"/>
      <c r="L814" s="8"/>
      <c r="M814" s="8"/>
      <c r="O814" s="8"/>
      <c r="Q814" s="8"/>
      <c r="T814" s="8"/>
      <c r="W814" s="8"/>
    </row>
    <row r="815" ht="14.25" customHeight="1">
      <c r="D815" s="8"/>
      <c r="E815" s="8"/>
      <c r="F815" s="8"/>
      <c r="G815" s="8"/>
      <c r="K815" s="8"/>
      <c r="L815" s="8"/>
      <c r="M815" s="8"/>
      <c r="O815" s="8"/>
      <c r="Q815" s="8"/>
      <c r="T815" s="8"/>
      <c r="W815" s="8"/>
    </row>
    <row r="816" ht="14.25" customHeight="1">
      <c r="D816" s="8"/>
      <c r="E816" s="8"/>
      <c r="F816" s="8"/>
      <c r="G816" s="8"/>
      <c r="K816" s="8"/>
      <c r="L816" s="8"/>
      <c r="M816" s="8"/>
      <c r="O816" s="8"/>
      <c r="Q816" s="8"/>
      <c r="T816" s="8"/>
      <c r="W816" s="8"/>
    </row>
    <row r="817" ht="14.25" customHeight="1">
      <c r="D817" s="8"/>
      <c r="E817" s="8"/>
      <c r="F817" s="8"/>
      <c r="G817" s="8"/>
      <c r="K817" s="8"/>
      <c r="L817" s="8"/>
      <c r="M817" s="8"/>
      <c r="O817" s="8"/>
      <c r="Q817" s="8"/>
      <c r="T817" s="8"/>
      <c r="W817" s="8"/>
    </row>
    <row r="818" ht="14.25" customHeight="1">
      <c r="D818" s="8"/>
      <c r="E818" s="8"/>
      <c r="F818" s="8"/>
      <c r="G818" s="8"/>
      <c r="K818" s="8"/>
      <c r="L818" s="8"/>
      <c r="M818" s="8"/>
      <c r="O818" s="8"/>
      <c r="Q818" s="8"/>
      <c r="T818" s="8"/>
      <c r="W818" s="8"/>
    </row>
    <row r="819" ht="14.25" customHeight="1">
      <c r="D819" s="8"/>
      <c r="E819" s="8"/>
      <c r="F819" s="8"/>
      <c r="G819" s="8"/>
      <c r="K819" s="8"/>
      <c r="L819" s="8"/>
      <c r="M819" s="8"/>
      <c r="O819" s="8"/>
      <c r="Q819" s="8"/>
      <c r="T819" s="8"/>
      <c r="W819" s="8"/>
    </row>
    <row r="820" ht="14.25" customHeight="1">
      <c r="D820" s="8"/>
      <c r="E820" s="8"/>
      <c r="F820" s="8"/>
      <c r="G820" s="8"/>
      <c r="K820" s="8"/>
      <c r="L820" s="8"/>
      <c r="M820" s="8"/>
      <c r="O820" s="8"/>
      <c r="Q820" s="8"/>
      <c r="T820" s="8"/>
      <c r="W820" s="8"/>
    </row>
    <row r="821" ht="14.25" customHeight="1">
      <c r="D821" s="8"/>
      <c r="E821" s="8"/>
      <c r="F821" s="8"/>
      <c r="G821" s="8"/>
      <c r="K821" s="8"/>
      <c r="L821" s="8"/>
      <c r="M821" s="8"/>
      <c r="O821" s="8"/>
      <c r="Q821" s="8"/>
      <c r="T821" s="8"/>
      <c r="W821" s="8"/>
    </row>
    <row r="822" ht="14.25" customHeight="1">
      <c r="D822" s="8"/>
      <c r="E822" s="8"/>
      <c r="F822" s="8"/>
      <c r="G822" s="8"/>
      <c r="K822" s="8"/>
      <c r="L822" s="8"/>
      <c r="M822" s="8"/>
      <c r="O822" s="8"/>
      <c r="Q822" s="8"/>
      <c r="T822" s="8"/>
      <c r="W822" s="8"/>
    </row>
    <row r="823" ht="14.25" customHeight="1">
      <c r="D823" s="8"/>
      <c r="E823" s="8"/>
      <c r="F823" s="8"/>
      <c r="G823" s="8"/>
      <c r="K823" s="8"/>
      <c r="L823" s="8"/>
      <c r="M823" s="8"/>
      <c r="O823" s="8"/>
      <c r="Q823" s="8"/>
      <c r="T823" s="8"/>
      <c r="W823" s="8"/>
    </row>
    <row r="824" ht="14.25" customHeight="1">
      <c r="D824" s="8"/>
      <c r="E824" s="8"/>
      <c r="F824" s="8"/>
      <c r="G824" s="8"/>
      <c r="K824" s="8"/>
      <c r="L824" s="8"/>
      <c r="M824" s="8"/>
      <c r="O824" s="8"/>
      <c r="Q824" s="8"/>
      <c r="T824" s="8"/>
      <c r="W824" s="8"/>
    </row>
    <row r="825" ht="14.25" customHeight="1">
      <c r="D825" s="8"/>
      <c r="E825" s="8"/>
      <c r="F825" s="8"/>
      <c r="G825" s="8"/>
      <c r="K825" s="8"/>
      <c r="L825" s="8"/>
      <c r="M825" s="8"/>
      <c r="O825" s="8"/>
      <c r="Q825" s="8"/>
      <c r="T825" s="8"/>
      <c r="W825" s="8"/>
    </row>
    <row r="826" ht="14.25" customHeight="1">
      <c r="D826" s="8"/>
      <c r="E826" s="8"/>
      <c r="F826" s="8"/>
      <c r="G826" s="8"/>
      <c r="K826" s="8"/>
      <c r="L826" s="8"/>
      <c r="M826" s="8"/>
      <c r="O826" s="8"/>
      <c r="Q826" s="8"/>
      <c r="T826" s="8"/>
      <c r="W826" s="8"/>
    </row>
    <row r="827" ht="14.25" customHeight="1">
      <c r="D827" s="8"/>
      <c r="E827" s="8"/>
      <c r="F827" s="8"/>
      <c r="G827" s="8"/>
      <c r="K827" s="8"/>
      <c r="L827" s="8"/>
      <c r="M827" s="8"/>
      <c r="O827" s="8"/>
      <c r="Q827" s="8"/>
      <c r="T827" s="8"/>
      <c r="W827" s="8"/>
    </row>
    <row r="828" ht="14.25" customHeight="1">
      <c r="D828" s="8"/>
      <c r="E828" s="8"/>
      <c r="F828" s="8"/>
      <c r="G828" s="8"/>
      <c r="K828" s="8"/>
      <c r="L828" s="8"/>
      <c r="M828" s="8"/>
      <c r="O828" s="8"/>
      <c r="Q828" s="8"/>
      <c r="T828" s="8"/>
      <c r="W828" s="8"/>
    </row>
    <row r="829" ht="14.25" customHeight="1">
      <c r="D829" s="8"/>
      <c r="E829" s="8"/>
      <c r="F829" s="8"/>
      <c r="G829" s="8"/>
      <c r="K829" s="8"/>
      <c r="L829" s="8"/>
      <c r="M829" s="8"/>
      <c r="O829" s="8"/>
      <c r="Q829" s="8"/>
      <c r="T829" s="8"/>
      <c r="W829" s="8"/>
    </row>
    <row r="830" ht="14.25" customHeight="1">
      <c r="D830" s="8"/>
      <c r="E830" s="8"/>
      <c r="F830" s="8"/>
      <c r="G830" s="8"/>
      <c r="K830" s="8"/>
      <c r="L830" s="8"/>
      <c r="M830" s="8"/>
      <c r="O830" s="8"/>
      <c r="Q830" s="8"/>
      <c r="T830" s="8"/>
      <c r="W830" s="8"/>
    </row>
    <row r="831" ht="14.25" customHeight="1">
      <c r="D831" s="8"/>
      <c r="E831" s="8"/>
      <c r="F831" s="8"/>
      <c r="G831" s="8"/>
      <c r="K831" s="8"/>
      <c r="L831" s="8"/>
      <c r="M831" s="8"/>
      <c r="O831" s="8"/>
      <c r="Q831" s="8"/>
      <c r="T831" s="8"/>
      <c r="W831" s="8"/>
    </row>
    <row r="832" ht="14.25" customHeight="1">
      <c r="D832" s="8"/>
      <c r="E832" s="8"/>
      <c r="F832" s="8"/>
      <c r="G832" s="8"/>
      <c r="K832" s="8"/>
      <c r="L832" s="8"/>
      <c r="M832" s="8"/>
      <c r="O832" s="8"/>
      <c r="Q832" s="8"/>
      <c r="T832" s="8"/>
      <c r="W832" s="8"/>
    </row>
    <row r="833" ht="14.25" customHeight="1">
      <c r="D833" s="8"/>
      <c r="E833" s="8"/>
      <c r="F833" s="8"/>
      <c r="G833" s="8"/>
      <c r="K833" s="8"/>
      <c r="L833" s="8"/>
      <c r="M833" s="8"/>
      <c r="O833" s="8"/>
      <c r="Q833" s="8"/>
      <c r="T833" s="8"/>
      <c r="W833" s="8"/>
    </row>
    <row r="834" ht="14.25" customHeight="1">
      <c r="D834" s="8"/>
      <c r="E834" s="8"/>
      <c r="F834" s="8"/>
      <c r="G834" s="8"/>
      <c r="K834" s="8"/>
      <c r="L834" s="8"/>
      <c r="M834" s="8"/>
      <c r="O834" s="8"/>
      <c r="Q834" s="8"/>
      <c r="T834" s="8"/>
      <c r="W834" s="8"/>
    </row>
    <row r="835" ht="14.25" customHeight="1">
      <c r="D835" s="8"/>
      <c r="E835" s="8"/>
      <c r="F835" s="8"/>
      <c r="G835" s="8"/>
      <c r="K835" s="8"/>
      <c r="L835" s="8"/>
      <c r="M835" s="8"/>
      <c r="O835" s="8"/>
      <c r="Q835" s="8"/>
      <c r="T835" s="8"/>
      <c r="W835" s="8"/>
    </row>
    <row r="836" ht="14.25" customHeight="1">
      <c r="D836" s="8"/>
      <c r="E836" s="8"/>
      <c r="F836" s="8"/>
      <c r="G836" s="8"/>
      <c r="K836" s="8"/>
      <c r="L836" s="8"/>
      <c r="M836" s="8"/>
      <c r="O836" s="8"/>
      <c r="Q836" s="8"/>
      <c r="T836" s="8"/>
      <c r="W836" s="8"/>
    </row>
    <row r="837" ht="14.25" customHeight="1">
      <c r="D837" s="8"/>
      <c r="E837" s="8"/>
      <c r="F837" s="8"/>
      <c r="G837" s="8"/>
      <c r="K837" s="8"/>
      <c r="L837" s="8"/>
      <c r="M837" s="8"/>
      <c r="O837" s="8"/>
      <c r="Q837" s="8"/>
      <c r="T837" s="8"/>
      <c r="W837" s="8"/>
    </row>
    <row r="838" ht="14.25" customHeight="1">
      <c r="D838" s="8"/>
      <c r="E838" s="8"/>
      <c r="F838" s="8"/>
      <c r="G838" s="8"/>
      <c r="K838" s="8"/>
      <c r="L838" s="8"/>
      <c r="M838" s="8"/>
      <c r="O838" s="8"/>
      <c r="Q838" s="8"/>
      <c r="T838" s="8"/>
      <c r="W838" s="8"/>
    </row>
    <row r="839" ht="14.25" customHeight="1">
      <c r="D839" s="8"/>
      <c r="E839" s="8"/>
      <c r="F839" s="8"/>
      <c r="G839" s="8"/>
      <c r="K839" s="8"/>
      <c r="L839" s="8"/>
      <c r="M839" s="8"/>
      <c r="O839" s="8"/>
      <c r="Q839" s="8"/>
      <c r="T839" s="8"/>
      <c r="W839" s="8"/>
    </row>
    <row r="840" ht="14.25" customHeight="1">
      <c r="D840" s="8"/>
      <c r="E840" s="8"/>
      <c r="F840" s="8"/>
      <c r="G840" s="8"/>
      <c r="K840" s="8"/>
      <c r="L840" s="8"/>
      <c r="M840" s="8"/>
      <c r="O840" s="8"/>
      <c r="Q840" s="8"/>
      <c r="T840" s="8"/>
      <c r="W840" s="8"/>
    </row>
    <row r="841" ht="14.25" customHeight="1">
      <c r="D841" s="8"/>
      <c r="E841" s="8"/>
      <c r="F841" s="8"/>
      <c r="G841" s="8"/>
      <c r="K841" s="8"/>
      <c r="L841" s="8"/>
      <c r="M841" s="8"/>
      <c r="O841" s="8"/>
      <c r="Q841" s="8"/>
      <c r="T841" s="8"/>
      <c r="W841" s="8"/>
    </row>
    <row r="842" ht="14.25" customHeight="1">
      <c r="D842" s="8"/>
      <c r="E842" s="8"/>
      <c r="F842" s="8"/>
      <c r="G842" s="8"/>
      <c r="K842" s="8"/>
      <c r="L842" s="8"/>
      <c r="M842" s="8"/>
      <c r="O842" s="8"/>
      <c r="Q842" s="8"/>
      <c r="T842" s="8"/>
      <c r="W842" s="8"/>
    </row>
    <row r="843" ht="14.25" customHeight="1">
      <c r="D843" s="8"/>
      <c r="E843" s="8"/>
      <c r="F843" s="8"/>
      <c r="G843" s="8"/>
      <c r="K843" s="8"/>
      <c r="L843" s="8"/>
      <c r="M843" s="8"/>
      <c r="O843" s="8"/>
      <c r="Q843" s="8"/>
      <c r="T843" s="8"/>
      <c r="W843" s="8"/>
    </row>
    <row r="844" ht="14.25" customHeight="1">
      <c r="D844" s="8"/>
      <c r="E844" s="8"/>
      <c r="F844" s="8"/>
      <c r="G844" s="8"/>
      <c r="K844" s="8"/>
      <c r="L844" s="8"/>
      <c r="M844" s="8"/>
      <c r="O844" s="8"/>
      <c r="Q844" s="8"/>
      <c r="T844" s="8"/>
      <c r="W844" s="8"/>
    </row>
    <row r="845" ht="14.25" customHeight="1">
      <c r="D845" s="8"/>
      <c r="E845" s="8"/>
      <c r="F845" s="8"/>
      <c r="G845" s="8"/>
      <c r="K845" s="8"/>
      <c r="L845" s="8"/>
      <c r="M845" s="8"/>
      <c r="O845" s="8"/>
      <c r="Q845" s="8"/>
      <c r="T845" s="8"/>
      <c r="W845" s="8"/>
    </row>
    <row r="846" ht="14.25" customHeight="1">
      <c r="D846" s="8"/>
      <c r="E846" s="8"/>
      <c r="F846" s="8"/>
      <c r="G846" s="8"/>
      <c r="K846" s="8"/>
      <c r="L846" s="8"/>
      <c r="M846" s="8"/>
      <c r="O846" s="8"/>
      <c r="Q846" s="8"/>
      <c r="T846" s="8"/>
      <c r="W846" s="8"/>
    </row>
    <row r="847" ht="14.25" customHeight="1">
      <c r="D847" s="8"/>
      <c r="E847" s="8"/>
      <c r="F847" s="8"/>
      <c r="G847" s="8"/>
      <c r="K847" s="8"/>
      <c r="L847" s="8"/>
      <c r="M847" s="8"/>
      <c r="O847" s="8"/>
      <c r="Q847" s="8"/>
      <c r="T847" s="8"/>
      <c r="W847" s="8"/>
    </row>
    <row r="848" ht="14.25" customHeight="1">
      <c r="D848" s="8"/>
      <c r="E848" s="8"/>
      <c r="F848" s="8"/>
      <c r="G848" s="8"/>
      <c r="K848" s="8"/>
      <c r="L848" s="8"/>
      <c r="M848" s="8"/>
      <c r="O848" s="8"/>
      <c r="Q848" s="8"/>
      <c r="T848" s="8"/>
      <c r="W848" s="8"/>
    </row>
    <row r="849" ht="14.25" customHeight="1">
      <c r="D849" s="8"/>
      <c r="E849" s="8"/>
      <c r="F849" s="8"/>
      <c r="G849" s="8"/>
      <c r="K849" s="8"/>
      <c r="L849" s="8"/>
      <c r="M849" s="8"/>
      <c r="O849" s="8"/>
      <c r="Q849" s="8"/>
      <c r="T849" s="8"/>
      <c r="W849" s="8"/>
    </row>
    <row r="850" ht="14.25" customHeight="1">
      <c r="D850" s="8"/>
      <c r="E850" s="8"/>
      <c r="F850" s="8"/>
      <c r="G850" s="8"/>
      <c r="K850" s="8"/>
      <c r="L850" s="8"/>
      <c r="M850" s="8"/>
      <c r="O850" s="8"/>
      <c r="Q850" s="8"/>
      <c r="T850" s="8"/>
      <c r="W850" s="8"/>
    </row>
    <row r="851" ht="14.25" customHeight="1">
      <c r="D851" s="8"/>
      <c r="E851" s="8"/>
      <c r="F851" s="8"/>
      <c r="G851" s="8"/>
      <c r="K851" s="8"/>
      <c r="L851" s="8"/>
      <c r="M851" s="8"/>
      <c r="O851" s="8"/>
      <c r="Q851" s="8"/>
      <c r="T851" s="8"/>
      <c r="W851" s="8"/>
    </row>
    <row r="852" ht="14.25" customHeight="1">
      <c r="D852" s="8"/>
      <c r="E852" s="8"/>
      <c r="F852" s="8"/>
      <c r="G852" s="8"/>
      <c r="K852" s="8"/>
      <c r="L852" s="8"/>
      <c r="M852" s="8"/>
      <c r="O852" s="8"/>
      <c r="Q852" s="8"/>
      <c r="T852" s="8"/>
      <c r="W852" s="8"/>
    </row>
    <row r="853" ht="14.25" customHeight="1">
      <c r="D853" s="8"/>
      <c r="E853" s="8"/>
      <c r="F853" s="8"/>
      <c r="G853" s="8"/>
      <c r="K853" s="8"/>
      <c r="L853" s="8"/>
      <c r="M853" s="8"/>
      <c r="O853" s="8"/>
      <c r="Q853" s="8"/>
      <c r="T853" s="8"/>
      <c r="W853" s="8"/>
    </row>
    <row r="854" ht="14.25" customHeight="1">
      <c r="D854" s="8"/>
      <c r="E854" s="8"/>
      <c r="F854" s="8"/>
      <c r="G854" s="8"/>
      <c r="K854" s="8"/>
      <c r="L854" s="8"/>
      <c r="M854" s="8"/>
      <c r="O854" s="8"/>
      <c r="Q854" s="8"/>
      <c r="T854" s="8"/>
      <c r="W854" s="8"/>
    </row>
    <row r="855" ht="14.25" customHeight="1">
      <c r="D855" s="8"/>
      <c r="E855" s="8"/>
      <c r="F855" s="8"/>
      <c r="G855" s="8"/>
      <c r="K855" s="8"/>
      <c r="L855" s="8"/>
      <c r="M855" s="8"/>
      <c r="O855" s="8"/>
      <c r="Q855" s="8"/>
      <c r="T855" s="8"/>
      <c r="W855" s="8"/>
    </row>
    <row r="856" ht="14.25" customHeight="1">
      <c r="D856" s="8"/>
      <c r="E856" s="8"/>
      <c r="F856" s="8"/>
      <c r="G856" s="8"/>
      <c r="K856" s="8"/>
      <c r="L856" s="8"/>
      <c r="M856" s="8"/>
      <c r="O856" s="8"/>
      <c r="Q856" s="8"/>
      <c r="T856" s="8"/>
      <c r="W856" s="8"/>
    </row>
    <row r="857" ht="14.25" customHeight="1">
      <c r="D857" s="8"/>
      <c r="E857" s="8"/>
      <c r="F857" s="8"/>
      <c r="G857" s="8"/>
      <c r="K857" s="8"/>
      <c r="L857" s="8"/>
      <c r="M857" s="8"/>
      <c r="O857" s="8"/>
      <c r="Q857" s="8"/>
      <c r="T857" s="8"/>
      <c r="W857" s="8"/>
    </row>
    <row r="858" ht="14.25" customHeight="1">
      <c r="D858" s="8"/>
      <c r="E858" s="8"/>
      <c r="F858" s="8"/>
      <c r="G858" s="8"/>
      <c r="K858" s="8"/>
      <c r="L858" s="8"/>
      <c r="M858" s="8"/>
      <c r="O858" s="8"/>
      <c r="Q858" s="8"/>
      <c r="T858" s="8"/>
      <c r="W858" s="8"/>
    </row>
    <row r="859" ht="14.25" customHeight="1">
      <c r="D859" s="8"/>
      <c r="E859" s="8"/>
      <c r="F859" s="8"/>
      <c r="G859" s="8"/>
      <c r="K859" s="8"/>
      <c r="L859" s="8"/>
      <c r="M859" s="8"/>
      <c r="O859" s="8"/>
      <c r="Q859" s="8"/>
      <c r="T859" s="8"/>
      <c r="W859" s="8"/>
    </row>
    <row r="860" ht="14.25" customHeight="1">
      <c r="D860" s="8"/>
      <c r="E860" s="8"/>
      <c r="F860" s="8"/>
      <c r="G860" s="8"/>
      <c r="K860" s="8"/>
      <c r="L860" s="8"/>
      <c r="M860" s="8"/>
      <c r="O860" s="8"/>
      <c r="Q860" s="8"/>
      <c r="T860" s="8"/>
      <c r="W860" s="8"/>
    </row>
    <row r="861" ht="14.25" customHeight="1">
      <c r="D861" s="8"/>
      <c r="E861" s="8"/>
      <c r="F861" s="8"/>
      <c r="G861" s="8"/>
      <c r="K861" s="8"/>
      <c r="L861" s="8"/>
      <c r="M861" s="8"/>
      <c r="O861" s="8"/>
      <c r="Q861" s="8"/>
      <c r="T861" s="8"/>
      <c r="W861" s="8"/>
    </row>
    <row r="862" ht="14.25" customHeight="1">
      <c r="D862" s="8"/>
      <c r="E862" s="8"/>
      <c r="F862" s="8"/>
      <c r="G862" s="8"/>
      <c r="K862" s="8"/>
      <c r="L862" s="8"/>
      <c r="M862" s="8"/>
      <c r="O862" s="8"/>
      <c r="Q862" s="8"/>
      <c r="T862" s="8"/>
      <c r="W862" s="8"/>
    </row>
    <row r="863" ht="14.25" customHeight="1">
      <c r="D863" s="8"/>
      <c r="E863" s="8"/>
      <c r="F863" s="8"/>
      <c r="G863" s="8"/>
      <c r="K863" s="8"/>
      <c r="L863" s="8"/>
      <c r="M863" s="8"/>
      <c r="O863" s="8"/>
      <c r="Q863" s="8"/>
      <c r="T863" s="8"/>
      <c r="W863" s="8"/>
    </row>
    <row r="864" ht="14.25" customHeight="1">
      <c r="D864" s="8"/>
      <c r="E864" s="8"/>
      <c r="F864" s="8"/>
      <c r="G864" s="8"/>
      <c r="K864" s="8"/>
      <c r="L864" s="8"/>
      <c r="M864" s="8"/>
      <c r="O864" s="8"/>
      <c r="Q864" s="8"/>
      <c r="T864" s="8"/>
      <c r="W864" s="8"/>
    </row>
    <row r="865" ht="14.25" customHeight="1">
      <c r="D865" s="8"/>
      <c r="E865" s="8"/>
      <c r="F865" s="8"/>
      <c r="G865" s="8"/>
      <c r="K865" s="8"/>
      <c r="L865" s="8"/>
      <c r="M865" s="8"/>
      <c r="O865" s="8"/>
      <c r="Q865" s="8"/>
      <c r="T865" s="8"/>
      <c r="W865" s="8"/>
    </row>
    <row r="866" ht="14.25" customHeight="1">
      <c r="D866" s="8"/>
      <c r="E866" s="8"/>
      <c r="F866" s="8"/>
      <c r="G866" s="8"/>
      <c r="K866" s="8"/>
      <c r="L866" s="8"/>
      <c r="M866" s="8"/>
      <c r="O866" s="8"/>
      <c r="Q866" s="8"/>
      <c r="T866" s="8"/>
      <c r="W866" s="8"/>
    </row>
    <row r="867" ht="14.25" customHeight="1">
      <c r="D867" s="8"/>
      <c r="E867" s="8"/>
      <c r="F867" s="8"/>
      <c r="G867" s="8"/>
      <c r="K867" s="8"/>
      <c r="L867" s="8"/>
      <c r="M867" s="8"/>
      <c r="O867" s="8"/>
      <c r="Q867" s="8"/>
      <c r="T867" s="8"/>
      <c r="W867" s="8"/>
    </row>
    <row r="868" ht="14.25" customHeight="1">
      <c r="D868" s="8"/>
      <c r="E868" s="8"/>
      <c r="F868" s="8"/>
      <c r="G868" s="8"/>
      <c r="K868" s="8"/>
      <c r="L868" s="8"/>
      <c r="M868" s="8"/>
      <c r="O868" s="8"/>
      <c r="Q868" s="8"/>
      <c r="T868" s="8"/>
      <c r="W868" s="8"/>
    </row>
    <row r="869" ht="14.25" customHeight="1">
      <c r="D869" s="8"/>
      <c r="E869" s="8"/>
      <c r="F869" s="8"/>
      <c r="G869" s="8"/>
      <c r="K869" s="8"/>
      <c r="L869" s="8"/>
      <c r="M869" s="8"/>
      <c r="O869" s="8"/>
      <c r="Q869" s="8"/>
      <c r="T869" s="8"/>
      <c r="W869" s="8"/>
    </row>
    <row r="870" ht="14.25" customHeight="1">
      <c r="D870" s="8"/>
      <c r="E870" s="8"/>
      <c r="F870" s="8"/>
      <c r="G870" s="8"/>
      <c r="K870" s="8"/>
      <c r="L870" s="8"/>
      <c r="M870" s="8"/>
      <c r="O870" s="8"/>
      <c r="Q870" s="8"/>
      <c r="T870" s="8"/>
      <c r="W870" s="8"/>
    </row>
    <row r="871" ht="14.25" customHeight="1">
      <c r="D871" s="8"/>
      <c r="E871" s="8"/>
      <c r="F871" s="8"/>
      <c r="G871" s="8"/>
      <c r="K871" s="8"/>
      <c r="L871" s="8"/>
      <c r="M871" s="8"/>
      <c r="O871" s="8"/>
      <c r="Q871" s="8"/>
      <c r="T871" s="8"/>
      <c r="W871" s="8"/>
    </row>
    <row r="872" ht="14.25" customHeight="1">
      <c r="D872" s="8"/>
      <c r="E872" s="8"/>
      <c r="F872" s="8"/>
      <c r="G872" s="8"/>
      <c r="K872" s="8"/>
      <c r="L872" s="8"/>
      <c r="M872" s="8"/>
      <c r="O872" s="8"/>
      <c r="Q872" s="8"/>
      <c r="T872" s="8"/>
      <c r="W872" s="8"/>
    </row>
    <row r="873" ht="14.25" customHeight="1">
      <c r="D873" s="8"/>
      <c r="E873" s="8"/>
      <c r="F873" s="8"/>
      <c r="G873" s="8"/>
      <c r="K873" s="8"/>
      <c r="L873" s="8"/>
      <c r="M873" s="8"/>
      <c r="O873" s="8"/>
      <c r="Q873" s="8"/>
      <c r="T873" s="8"/>
      <c r="W873" s="8"/>
    </row>
    <row r="874" ht="14.25" customHeight="1">
      <c r="D874" s="8"/>
      <c r="E874" s="8"/>
      <c r="F874" s="8"/>
      <c r="G874" s="8"/>
      <c r="K874" s="8"/>
      <c r="L874" s="8"/>
      <c r="M874" s="8"/>
      <c r="O874" s="8"/>
      <c r="Q874" s="8"/>
      <c r="T874" s="8"/>
      <c r="W874" s="8"/>
    </row>
    <row r="875" ht="14.25" customHeight="1">
      <c r="D875" s="8"/>
      <c r="E875" s="8"/>
      <c r="F875" s="8"/>
      <c r="G875" s="8"/>
      <c r="K875" s="8"/>
      <c r="L875" s="8"/>
      <c r="M875" s="8"/>
      <c r="O875" s="8"/>
      <c r="Q875" s="8"/>
      <c r="T875" s="8"/>
      <c r="W875" s="8"/>
    </row>
    <row r="876" ht="14.25" customHeight="1">
      <c r="D876" s="8"/>
      <c r="E876" s="8"/>
      <c r="F876" s="8"/>
      <c r="G876" s="8"/>
      <c r="K876" s="8"/>
      <c r="L876" s="8"/>
      <c r="M876" s="8"/>
      <c r="O876" s="8"/>
      <c r="Q876" s="8"/>
      <c r="T876" s="8"/>
      <c r="W876" s="8"/>
    </row>
    <row r="877" ht="14.25" customHeight="1">
      <c r="D877" s="8"/>
      <c r="E877" s="8"/>
      <c r="F877" s="8"/>
      <c r="G877" s="8"/>
      <c r="K877" s="8"/>
      <c r="L877" s="8"/>
      <c r="M877" s="8"/>
      <c r="O877" s="8"/>
      <c r="Q877" s="8"/>
      <c r="T877" s="8"/>
      <c r="W877" s="8"/>
    </row>
    <row r="878" ht="14.25" customHeight="1">
      <c r="D878" s="8"/>
      <c r="E878" s="8"/>
      <c r="F878" s="8"/>
      <c r="G878" s="8"/>
      <c r="K878" s="8"/>
      <c r="L878" s="8"/>
      <c r="M878" s="8"/>
      <c r="O878" s="8"/>
      <c r="Q878" s="8"/>
      <c r="T878" s="8"/>
      <c r="W878" s="8"/>
    </row>
    <row r="879" ht="14.25" customHeight="1">
      <c r="D879" s="8"/>
      <c r="E879" s="8"/>
      <c r="F879" s="8"/>
      <c r="G879" s="8"/>
      <c r="K879" s="8"/>
      <c r="L879" s="8"/>
      <c r="M879" s="8"/>
      <c r="O879" s="8"/>
      <c r="Q879" s="8"/>
      <c r="T879" s="8"/>
      <c r="W879" s="8"/>
    </row>
    <row r="880" ht="14.25" customHeight="1">
      <c r="D880" s="8"/>
      <c r="E880" s="8"/>
      <c r="F880" s="8"/>
      <c r="G880" s="8"/>
      <c r="K880" s="8"/>
      <c r="L880" s="8"/>
      <c r="M880" s="8"/>
      <c r="O880" s="8"/>
      <c r="Q880" s="8"/>
      <c r="T880" s="8"/>
      <c r="W880" s="8"/>
    </row>
    <row r="881" ht="14.25" customHeight="1">
      <c r="D881" s="8"/>
      <c r="E881" s="8"/>
      <c r="F881" s="8"/>
      <c r="G881" s="8"/>
      <c r="K881" s="8"/>
      <c r="L881" s="8"/>
      <c r="M881" s="8"/>
      <c r="O881" s="8"/>
      <c r="Q881" s="8"/>
      <c r="T881" s="8"/>
      <c r="W881" s="8"/>
    </row>
    <row r="882" ht="14.25" customHeight="1">
      <c r="D882" s="8"/>
      <c r="E882" s="8"/>
      <c r="F882" s="8"/>
      <c r="G882" s="8"/>
      <c r="K882" s="8"/>
      <c r="L882" s="8"/>
      <c r="M882" s="8"/>
      <c r="O882" s="8"/>
      <c r="Q882" s="8"/>
      <c r="T882" s="8"/>
      <c r="W882" s="8"/>
    </row>
    <row r="883" ht="14.25" customHeight="1">
      <c r="D883" s="8"/>
      <c r="E883" s="8"/>
      <c r="F883" s="8"/>
      <c r="G883" s="8"/>
      <c r="K883" s="8"/>
      <c r="L883" s="8"/>
      <c r="M883" s="8"/>
      <c r="O883" s="8"/>
      <c r="Q883" s="8"/>
      <c r="T883" s="8"/>
      <c r="W883" s="8"/>
    </row>
    <row r="884" ht="14.25" customHeight="1">
      <c r="D884" s="8"/>
      <c r="E884" s="8"/>
      <c r="F884" s="8"/>
      <c r="G884" s="8"/>
      <c r="K884" s="8"/>
      <c r="L884" s="8"/>
      <c r="M884" s="8"/>
      <c r="O884" s="8"/>
      <c r="Q884" s="8"/>
      <c r="T884" s="8"/>
      <c r="W884" s="8"/>
    </row>
    <row r="885" ht="14.25" customHeight="1">
      <c r="D885" s="8"/>
      <c r="E885" s="8"/>
      <c r="F885" s="8"/>
      <c r="G885" s="8"/>
      <c r="K885" s="8"/>
      <c r="L885" s="8"/>
      <c r="M885" s="8"/>
      <c r="O885" s="8"/>
      <c r="Q885" s="8"/>
      <c r="T885" s="8"/>
      <c r="W885" s="8"/>
    </row>
    <row r="886" ht="14.25" customHeight="1">
      <c r="D886" s="8"/>
      <c r="E886" s="8"/>
      <c r="F886" s="8"/>
      <c r="G886" s="8"/>
      <c r="K886" s="8"/>
      <c r="L886" s="8"/>
      <c r="M886" s="8"/>
      <c r="O886" s="8"/>
      <c r="Q886" s="8"/>
      <c r="T886" s="8"/>
      <c r="W886" s="8"/>
    </row>
    <row r="887" ht="14.25" customHeight="1">
      <c r="D887" s="8"/>
      <c r="E887" s="8"/>
      <c r="F887" s="8"/>
      <c r="G887" s="8"/>
      <c r="K887" s="8"/>
      <c r="L887" s="8"/>
      <c r="M887" s="8"/>
      <c r="O887" s="8"/>
      <c r="Q887" s="8"/>
      <c r="T887" s="8"/>
      <c r="W887" s="8"/>
    </row>
    <row r="888" ht="14.25" customHeight="1">
      <c r="D888" s="8"/>
      <c r="E888" s="8"/>
      <c r="F888" s="8"/>
      <c r="G888" s="8"/>
      <c r="K888" s="8"/>
      <c r="L888" s="8"/>
      <c r="M888" s="8"/>
      <c r="O888" s="8"/>
      <c r="Q888" s="8"/>
      <c r="T888" s="8"/>
      <c r="W888" s="8"/>
    </row>
    <row r="889" ht="14.25" customHeight="1">
      <c r="D889" s="8"/>
      <c r="E889" s="8"/>
      <c r="F889" s="8"/>
      <c r="G889" s="8"/>
      <c r="K889" s="8"/>
      <c r="L889" s="8"/>
      <c r="M889" s="8"/>
      <c r="O889" s="8"/>
      <c r="Q889" s="8"/>
      <c r="T889" s="8"/>
      <c r="W889" s="8"/>
    </row>
    <row r="890" ht="14.25" customHeight="1">
      <c r="D890" s="8"/>
      <c r="E890" s="8"/>
      <c r="F890" s="8"/>
      <c r="G890" s="8"/>
      <c r="K890" s="8"/>
      <c r="L890" s="8"/>
      <c r="M890" s="8"/>
      <c r="O890" s="8"/>
      <c r="Q890" s="8"/>
      <c r="T890" s="8"/>
      <c r="W890" s="8"/>
    </row>
    <row r="891" ht="14.25" customHeight="1">
      <c r="D891" s="8"/>
      <c r="E891" s="8"/>
      <c r="F891" s="8"/>
      <c r="G891" s="8"/>
      <c r="K891" s="8"/>
      <c r="L891" s="8"/>
      <c r="M891" s="8"/>
      <c r="O891" s="8"/>
      <c r="Q891" s="8"/>
      <c r="T891" s="8"/>
      <c r="W891" s="8"/>
    </row>
    <row r="892" ht="14.25" customHeight="1">
      <c r="D892" s="8"/>
      <c r="E892" s="8"/>
      <c r="F892" s="8"/>
      <c r="G892" s="8"/>
      <c r="K892" s="8"/>
      <c r="L892" s="8"/>
      <c r="M892" s="8"/>
      <c r="O892" s="8"/>
      <c r="Q892" s="8"/>
      <c r="T892" s="8"/>
      <c r="W892" s="8"/>
    </row>
    <row r="893" ht="14.25" customHeight="1">
      <c r="D893" s="8"/>
      <c r="E893" s="8"/>
      <c r="F893" s="8"/>
      <c r="G893" s="8"/>
      <c r="K893" s="8"/>
      <c r="L893" s="8"/>
      <c r="M893" s="8"/>
      <c r="O893" s="8"/>
      <c r="Q893" s="8"/>
      <c r="T893" s="8"/>
      <c r="W893" s="8"/>
    </row>
    <row r="894" ht="14.25" customHeight="1">
      <c r="D894" s="8"/>
      <c r="E894" s="8"/>
      <c r="F894" s="8"/>
      <c r="G894" s="8"/>
      <c r="K894" s="8"/>
      <c r="L894" s="8"/>
      <c r="M894" s="8"/>
      <c r="O894" s="8"/>
      <c r="Q894" s="8"/>
      <c r="T894" s="8"/>
      <c r="W894" s="8"/>
    </row>
    <row r="895" ht="14.25" customHeight="1">
      <c r="D895" s="8"/>
      <c r="E895" s="8"/>
      <c r="F895" s="8"/>
      <c r="G895" s="8"/>
      <c r="K895" s="8"/>
      <c r="L895" s="8"/>
      <c r="M895" s="8"/>
      <c r="O895" s="8"/>
      <c r="Q895" s="8"/>
      <c r="T895" s="8"/>
      <c r="W895" s="8"/>
    </row>
    <row r="896" ht="14.25" customHeight="1">
      <c r="D896" s="8"/>
      <c r="E896" s="8"/>
      <c r="F896" s="8"/>
      <c r="G896" s="8"/>
      <c r="K896" s="8"/>
      <c r="L896" s="8"/>
      <c r="M896" s="8"/>
      <c r="O896" s="8"/>
      <c r="Q896" s="8"/>
      <c r="T896" s="8"/>
      <c r="W896" s="8"/>
    </row>
    <row r="897" ht="14.25" customHeight="1">
      <c r="D897" s="8"/>
      <c r="E897" s="8"/>
      <c r="F897" s="8"/>
      <c r="G897" s="8"/>
      <c r="K897" s="8"/>
      <c r="L897" s="8"/>
      <c r="M897" s="8"/>
      <c r="O897" s="8"/>
      <c r="Q897" s="8"/>
      <c r="T897" s="8"/>
      <c r="W897" s="8"/>
    </row>
    <row r="898" ht="14.25" customHeight="1">
      <c r="D898" s="8"/>
      <c r="E898" s="8"/>
      <c r="F898" s="8"/>
      <c r="G898" s="8"/>
      <c r="K898" s="8"/>
      <c r="L898" s="8"/>
      <c r="M898" s="8"/>
      <c r="O898" s="8"/>
      <c r="Q898" s="8"/>
      <c r="T898" s="8"/>
      <c r="W898" s="8"/>
    </row>
    <row r="899" ht="14.25" customHeight="1">
      <c r="D899" s="8"/>
      <c r="E899" s="8"/>
      <c r="F899" s="8"/>
      <c r="G899" s="8"/>
      <c r="K899" s="8"/>
      <c r="L899" s="8"/>
      <c r="M899" s="8"/>
      <c r="O899" s="8"/>
      <c r="Q899" s="8"/>
      <c r="T899" s="8"/>
      <c r="W899" s="8"/>
    </row>
    <row r="900" ht="14.25" customHeight="1">
      <c r="D900" s="8"/>
      <c r="E900" s="8"/>
      <c r="F900" s="8"/>
      <c r="G900" s="8"/>
      <c r="K900" s="8"/>
      <c r="L900" s="8"/>
      <c r="M900" s="8"/>
      <c r="O900" s="8"/>
      <c r="Q900" s="8"/>
      <c r="T900" s="8"/>
      <c r="W900" s="8"/>
    </row>
    <row r="901" ht="14.25" customHeight="1">
      <c r="D901" s="8"/>
      <c r="E901" s="8"/>
      <c r="F901" s="8"/>
      <c r="G901" s="8"/>
      <c r="K901" s="8"/>
      <c r="L901" s="8"/>
      <c r="M901" s="8"/>
      <c r="O901" s="8"/>
      <c r="Q901" s="8"/>
      <c r="T901" s="8"/>
      <c r="W901" s="8"/>
    </row>
    <row r="902" ht="14.25" customHeight="1">
      <c r="D902" s="8"/>
      <c r="E902" s="8"/>
      <c r="F902" s="8"/>
      <c r="G902" s="8"/>
      <c r="K902" s="8"/>
      <c r="L902" s="8"/>
      <c r="M902" s="8"/>
      <c r="O902" s="8"/>
      <c r="Q902" s="8"/>
      <c r="T902" s="8"/>
      <c r="W902" s="8"/>
    </row>
    <row r="903" ht="14.25" customHeight="1">
      <c r="D903" s="8"/>
      <c r="E903" s="8"/>
      <c r="F903" s="8"/>
      <c r="G903" s="8"/>
      <c r="K903" s="8"/>
      <c r="L903" s="8"/>
      <c r="M903" s="8"/>
      <c r="O903" s="8"/>
      <c r="Q903" s="8"/>
      <c r="T903" s="8"/>
      <c r="W903" s="8"/>
    </row>
    <row r="904" ht="14.25" customHeight="1">
      <c r="D904" s="8"/>
      <c r="E904" s="8"/>
      <c r="F904" s="8"/>
      <c r="G904" s="8"/>
      <c r="K904" s="8"/>
      <c r="L904" s="8"/>
      <c r="M904" s="8"/>
      <c r="O904" s="8"/>
      <c r="Q904" s="8"/>
      <c r="T904" s="8"/>
      <c r="W904" s="8"/>
    </row>
    <row r="905" ht="14.25" customHeight="1">
      <c r="D905" s="8"/>
      <c r="E905" s="8"/>
      <c r="F905" s="8"/>
      <c r="G905" s="8"/>
      <c r="K905" s="8"/>
      <c r="L905" s="8"/>
      <c r="M905" s="8"/>
      <c r="O905" s="8"/>
      <c r="Q905" s="8"/>
      <c r="T905" s="8"/>
      <c r="W905" s="8"/>
    </row>
    <row r="906" ht="14.25" customHeight="1">
      <c r="D906" s="8"/>
      <c r="E906" s="8"/>
      <c r="F906" s="8"/>
      <c r="G906" s="8"/>
      <c r="K906" s="8"/>
      <c r="L906" s="8"/>
      <c r="M906" s="8"/>
      <c r="O906" s="8"/>
      <c r="Q906" s="8"/>
      <c r="T906" s="8"/>
      <c r="W906" s="8"/>
    </row>
    <row r="907" ht="14.25" customHeight="1">
      <c r="D907" s="8"/>
      <c r="E907" s="8"/>
      <c r="F907" s="8"/>
      <c r="G907" s="8"/>
      <c r="K907" s="8"/>
      <c r="L907" s="8"/>
      <c r="M907" s="8"/>
      <c r="O907" s="8"/>
      <c r="Q907" s="8"/>
      <c r="T907" s="8"/>
      <c r="W907" s="8"/>
    </row>
    <row r="908" ht="14.25" customHeight="1">
      <c r="D908" s="8"/>
      <c r="E908" s="8"/>
      <c r="F908" s="8"/>
      <c r="G908" s="8"/>
      <c r="K908" s="8"/>
      <c r="L908" s="8"/>
      <c r="M908" s="8"/>
      <c r="O908" s="8"/>
      <c r="Q908" s="8"/>
      <c r="T908" s="8"/>
      <c r="W908" s="8"/>
    </row>
    <row r="909" ht="14.25" customHeight="1">
      <c r="D909" s="8"/>
      <c r="E909" s="8"/>
      <c r="F909" s="8"/>
      <c r="G909" s="8"/>
      <c r="K909" s="8"/>
      <c r="L909" s="8"/>
      <c r="M909" s="8"/>
      <c r="O909" s="8"/>
      <c r="Q909" s="8"/>
      <c r="T909" s="8"/>
      <c r="W909" s="8"/>
    </row>
    <row r="910" ht="14.25" customHeight="1">
      <c r="D910" s="8"/>
      <c r="E910" s="8"/>
      <c r="F910" s="8"/>
      <c r="G910" s="8"/>
      <c r="K910" s="8"/>
      <c r="L910" s="8"/>
      <c r="M910" s="8"/>
      <c r="O910" s="8"/>
      <c r="Q910" s="8"/>
      <c r="T910" s="8"/>
      <c r="W910" s="8"/>
    </row>
    <row r="911" ht="14.25" customHeight="1">
      <c r="D911" s="8"/>
      <c r="E911" s="8"/>
      <c r="F911" s="8"/>
      <c r="G911" s="8"/>
      <c r="K911" s="8"/>
      <c r="L911" s="8"/>
      <c r="M911" s="8"/>
      <c r="O911" s="8"/>
      <c r="Q911" s="8"/>
      <c r="T911" s="8"/>
      <c r="W911" s="8"/>
    </row>
    <row r="912" ht="14.25" customHeight="1">
      <c r="D912" s="8"/>
      <c r="E912" s="8"/>
      <c r="F912" s="8"/>
      <c r="G912" s="8"/>
      <c r="K912" s="8"/>
      <c r="L912" s="8"/>
      <c r="M912" s="8"/>
      <c r="O912" s="8"/>
      <c r="Q912" s="8"/>
      <c r="T912" s="8"/>
      <c r="W912" s="8"/>
    </row>
    <row r="913" ht="14.25" customHeight="1">
      <c r="D913" s="8"/>
      <c r="E913" s="8"/>
      <c r="F913" s="8"/>
      <c r="G913" s="8"/>
      <c r="K913" s="8"/>
      <c r="L913" s="8"/>
      <c r="M913" s="8"/>
      <c r="O913" s="8"/>
      <c r="Q913" s="8"/>
      <c r="T913" s="8"/>
      <c r="W913" s="8"/>
    </row>
    <row r="914" ht="14.25" customHeight="1">
      <c r="D914" s="8"/>
      <c r="E914" s="8"/>
      <c r="F914" s="8"/>
      <c r="G914" s="8"/>
      <c r="K914" s="8"/>
      <c r="L914" s="8"/>
      <c r="M914" s="8"/>
      <c r="O914" s="8"/>
      <c r="Q914" s="8"/>
      <c r="T914" s="8"/>
      <c r="W914" s="8"/>
    </row>
    <row r="915" ht="14.25" customHeight="1">
      <c r="D915" s="8"/>
      <c r="E915" s="8"/>
      <c r="F915" s="8"/>
      <c r="G915" s="8"/>
      <c r="K915" s="8"/>
      <c r="L915" s="8"/>
      <c r="M915" s="8"/>
      <c r="O915" s="8"/>
      <c r="Q915" s="8"/>
      <c r="T915" s="8"/>
      <c r="W915" s="8"/>
    </row>
    <row r="916" ht="14.25" customHeight="1">
      <c r="D916" s="8"/>
      <c r="E916" s="8"/>
      <c r="F916" s="8"/>
      <c r="G916" s="8"/>
      <c r="K916" s="8"/>
      <c r="L916" s="8"/>
      <c r="M916" s="8"/>
      <c r="O916" s="8"/>
      <c r="Q916" s="8"/>
      <c r="T916" s="8"/>
      <c r="W916" s="8"/>
    </row>
    <row r="917" ht="14.25" customHeight="1">
      <c r="D917" s="8"/>
      <c r="E917" s="8"/>
      <c r="F917" s="8"/>
      <c r="G917" s="8"/>
      <c r="K917" s="8"/>
      <c r="L917" s="8"/>
      <c r="M917" s="8"/>
      <c r="O917" s="8"/>
      <c r="Q917" s="8"/>
      <c r="T917" s="8"/>
      <c r="W917" s="8"/>
    </row>
    <row r="918" ht="14.25" customHeight="1">
      <c r="D918" s="8"/>
      <c r="E918" s="8"/>
      <c r="F918" s="8"/>
      <c r="G918" s="8"/>
      <c r="K918" s="8"/>
      <c r="L918" s="8"/>
      <c r="M918" s="8"/>
      <c r="O918" s="8"/>
      <c r="Q918" s="8"/>
      <c r="T918" s="8"/>
      <c r="W918" s="8"/>
    </row>
    <row r="919" ht="14.25" customHeight="1">
      <c r="D919" s="8"/>
      <c r="E919" s="8"/>
      <c r="F919" s="8"/>
      <c r="G919" s="8"/>
      <c r="K919" s="8"/>
      <c r="L919" s="8"/>
      <c r="M919" s="8"/>
      <c r="O919" s="8"/>
      <c r="Q919" s="8"/>
      <c r="T919" s="8"/>
      <c r="W919" s="8"/>
    </row>
    <row r="920" ht="14.25" customHeight="1">
      <c r="D920" s="8"/>
      <c r="E920" s="8"/>
      <c r="F920" s="8"/>
      <c r="G920" s="8"/>
      <c r="K920" s="8"/>
      <c r="L920" s="8"/>
      <c r="M920" s="8"/>
      <c r="O920" s="8"/>
      <c r="Q920" s="8"/>
      <c r="T920" s="8"/>
      <c r="W920" s="8"/>
    </row>
    <row r="921" ht="14.25" customHeight="1">
      <c r="D921" s="8"/>
      <c r="E921" s="8"/>
      <c r="F921" s="8"/>
      <c r="G921" s="8"/>
      <c r="K921" s="8"/>
      <c r="L921" s="8"/>
      <c r="M921" s="8"/>
      <c r="O921" s="8"/>
      <c r="Q921" s="8"/>
      <c r="T921" s="8"/>
      <c r="W921" s="8"/>
    </row>
    <row r="922" ht="14.25" customHeight="1">
      <c r="D922" s="8"/>
      <c r="E922" s="8"/>
      <c r="F922" s="8"/>
      <c r="G922" s="8"/>
      <c r="K922" s="8"/>
      <c r="L922" s="8"/>
      <c r="M922" s="8"/>
      <c r="O922" s="8"/>
      <c r="Q922" s="8"/>
      <c r="T922" s="8"/>
      <c r="W922" s="8"/>
    </row>
    <row r="923" ht="14.25" customHeight="1">
      <c r="D923" s="8"/>
      <c r="E923" s="8"/>
      <c r="F923" s="8"/>
      <c r="G923" s="8"/>
      <c r="K923" s="8"/>
      <c r="L923" s="8"/>
      <c r="M923" s="8"/>
      <c r="O923" s="8"/>
      <c r="Q923" s="8"/>
      <c r="T923" s="8"/>
      <c r="W923" s="8"/>
    </row>
    <row r="924" ht="14.25" customHeight="1">
      <c r="D924" s="8"/>
      <c r="E924" s="8"/>
      <c r="F924" s="8"/>
      <c r="G924" s="8"/>
      <c r="K924" s="8"/>
      <c r="L924" s="8"/>
      <c r="M924" s="8"/>
      <c r="O924" s="8"/>
      <c r="Q924" s="8"/>
      <c r="T924" s="8"/>
      <c r="W924" s="8"/>
    </row>
    <row r="925" ht="14.25" customHeight="1">
      <c r="D925" s="8"/>
      <c r="E925" s="8"/>
      <c r="F925" s="8"/>
      <c r="G925" s="8"/>
      <c r="K925" s="8"/>
      <c r="L925" s="8"/>
      <c r="M925" s="8"/>
      <c r="O925" s="8"/>
      <c r="Q925" s="8"/>
      <c r="T925" s="8"/>
      <c r="W925" s="8"/>
    </row>
    <row r="926" ht="14.25" customHeight="1">
      <c r="D926" s="8"/>
      <c r="E926" s="8"/>
      <c r="F926" s="8"/>
      <c r="G926" s="8"/>
      <c r="K926" s="8"/>
      <c r="L926" s="8"/>
      <c r="M926" s="8"/>
      <c r="O926" s="8"/>
      <c r="Q926" s="8"/>
      <c r="T926" s="8"/>
      <c r="W926" s="8"/>
    </row>
    <row r="927" ht="14.25" customHeight="1">
      <c r="D927" s="8"/>
      <c r="E927" s="8"/>
      <c r="F927" s="8"/>
      <c r="G927" s="8"/>
      <c r="K927" s="8"/>
      <c r="L927" s="8"/>
      <c r="M927" s="8"/>
      <c r="O927" s="8"/>
      <c r="Q927" s="8"/>
      <c r="T927" s="8"/>
      <c r="W927" s="8"/>
    </row>
    <row r="928" ht="14.25" customHeight="1">
      <c r="D928" s="8"/>
      <c r="E928" s="8"/>
      <c r="F928" s="8"/>
      <c r="G928" s="8"/>
      <c r="K928" s="8"/>
      <c r="L928" s="8"/>
      <c r="M928" s="8"/>
      <c r="O928" s="8"/>
      <c r="Q928" s="8"/>
      <c r="T928" s="8"/>
      <c r="W928" s="8"/>
    </row>
    <row r="929" ht="14.25" customHeight="1">
      <c r="D929" s="8"/>
      <c r="E929" s="8"/>
      <c r="F929" s="8"/>
      <c r="G929" s="8"/>
      <c r="K929" s="8"/>
      <c r="L929" s="8"/>
      <c r="M929" s="8"/>
      <c r="O929" s="8"/>
      <c r="Q929" s="8"/>
      <c r="T929" s="8"/>
      <c r="W929" s="8"/>
    </row>
    <row r="930" ht="14.25" customHeight="1">
      <c r="D930" s="8"/>
      <c r="E930" s="8"/>
      <c r="F930" s="8"/>
      <c r="G930" s="8"/>
      <c r="K930" s="8"/>
      <c r="L930" s="8"/>
      <c r="M930" s="8"/>
      <c r="O930" s="8"/>
      <c r="Q930" s="8"/>
      <c r="T930" s="8"/>
      <c r="W930" s="8"/>
    </row>
    <row r="931" ht="14.25" customHeight="1">
      <c r="D931" s="8"/>
      <c r="E931" s="8"/>
      <c r="F931" s="8"/>
      <c r="G931" s="8"/>
      <c r="K931" s="8"/>
      <c r="L931" s="8"/>
      <c r="M931" s="8"/>
      <c r="O931" s="8"/>
      <c r="Q931" s="8"/>
      <c r="T931" s="8"/>
      <c r="W931" s="8"/>
    </row>
    <row r="932" ht="14.25" customHeight="1">
      <c r="D932" s="8"/>
      <c r="E932" s="8"/>
      <c r="F932" s="8"/>
      <c r="G932" s="8"/>
      <c r="K932" s="8"/>
      <c r="L932" s="8"/>
      <c r="M932" s="8"/>
      <c r="O932" s="8"/>
      <c r="Q932" s="8"/>
      <c r="T932" s="8"/>
      <c r="W932" s="8"/>
    </row>
    <row r="933" ht="14.25" customHeight="1">
      <c r="D933" s="8"/>
      <c r="E933" s="8"/>
      <c r="F933" s="8"/>
      <c r="G933" s="8"/>
      <c r="K933" s="8"/>
      <c r="L933" s="8"/>
      <c r="M933" s="8"/>
      <c r="O933" s="8"/>
      <c r="Q933" s="8"/>
      <c r="T933" s="8"/>
      <c r="W933" s="8"/>
    </row>
    <row r="934" ht="14.25" customHeight="1">
      <c r="D934" s="8"/>
      <c r="E934" s="8"/>
      <c r="F934" s="8"/>
      <c r="G934" s="8"/>
      <c r="K934" s="8"/>
      <c r="L934" s="8"/>
      <c r="M934" s="8"/>
      <c r="O934" s="8"/>
      <c r="Q934" s="8"/>
      <c r="T934" s="8"/>
      <c r="W934" s="8"/>
    </row>
    <row r="935" ht="14.25" customHeight="1">
      <c r="D935" s="8"/>
      <c r="E935" s="8"/>
      <c r="F935" s="8"/>
      <c r="G935" s="8"/>
      <c r="K935" s="8"/>
      <c r="L935" s="8"/>
      <c r="M935" s="8"/>
      <c r="O935" s="8"/>
      <c r="Q935" s="8"/>
      <c r="T935" s="8"/>
      <c r="W935" s="8"/>
    </row>
    <row r="936" ht="14.25" customHeight="1">
      <c r="D936" s="8"/>
      <c r="E936" s="8"/>
      <c r="F936" s="8"/>
      <c r="G936" s="8"/>
      <c r="K936" s="8"/>
      <c r="L936" s="8"/>
      <c r="M936" s="8"/>
      <c r="O936" s="8"/>
      <c r="Q936" s="8"/>
      <c r="T936" s="8"/>
      <c r="W936" s="8"/>
    </row>
    <row r="937" ht="14.25" customHeight="1">
      <c r="D937" s="8"/>
      <c r="E937" s="8"/>
      <c r="F937" s="8"/>
      <c r="G937" s="8"/>
      <c r="K937" s="8"/>
      <c r="L937" s="8"/>
      <c r="M937" s="8"/>
      <c r="O937" s="8"/>
      <c r="Q937" s="8"/>
      <c r="T937" s="8"/>
      <c r="W937" s="8"/>
    </row>
    <row r="938" ht="14.25" customHeight="1">
      <c r="D938" s="8"/>
      <c r="E938" s="8"/>
      <c r="F938" s="8"/>
      <c r="G938" s="8"/>
      <c r="K938" s="8"/>
      <c r="L938" s="8"/>
      <c r="M938" s="8"/>
      <c r="O938" s="8"/>
      <c r="Q938" s="8"/>
      <c r="T938" s="8"/>
      <c r="W938" s="8"/>
    </row>
    <row r="939" ht="14.25" customHeight="1">
      <c r="D939" s="8"/>
      <c r="E939" s="8"/>
      <c r="F939" s="8"/>
      <c r="G939" s="8"/>
      <c r="K939" s="8"/>
      <c r="L939" s="8"/>
      <c r="M939" s="8"/>
      <c r="O939" s="8"/>
      <c r="Q939" s="8"/>
      <c r="T939" s="8"/>
      <c r="W939" s="8"/>
    </row>
    <row r="940" ht="14.25" customHeight="1">
      <c r="D940" s="8"/>
      <c r="E940" s="8"/>
      <c r="F940" s="8"/>
      <c r="G940" s="8"/>
      <c r="K940" s="8"/>
      <c r="L940" s="8"/>
      <c r="M940" s="8"/>
      <c r="O940" s="8"/>
      <c r="Q940" s="8"/>
      <c r="T940" s="8"/>
      <c r="W940" s="8"/>
    </row>
    <row r="941" ht="14.25" customHeight="1">
      <c r="D941" s="8"/>
      <c r="E941" s="8"/>
      <c r="F941" s="8"/>
      <c r="G941" s="8"/>
      <c r="K941" s="8"/>
      <c r="L941" s="8"/>
      <c r="M941" s="8"/>
      <c r="O941" s="8"/>
      <c r="Q941" s="8"/>
      <c r="T941" s="8"/>
      <c r="W941" s="8"/>
    </row>
    <row r="942" ht="14.25" customHeight="1">
      <c r="D942" s="8"/>
      <c r="E942" s="8"/>
      <c r="F942" s="8"/>
      <c r="G942" s="8"/>
      <c r="K942" s="8"/>
      <c r="L942" s="8"/>
      <c r="M942" s="8"/>
      <c r="O942" s="8"/>
      <c r="Q942" s="8"/>
      <c r="T942" s="8"/>
      <c r="W942" s="8"/>
    </row>
    <row r="943" ht="14.25" customHeight="1">
      <c r="D943" s="8"/>
      <c r="E943" s="8"/>
      <c r="F943" s="8"/>
      <c r="G943" s="8"/>
      <c r="K943" s="8"/>
      <c r="L943" s="8"/>
      <c r="M943" s="8"/>
      <c r="O943" s="8"/>
      <c r="Q943" s="8"/>
      <c r="T943" s="8"/>
      <c r="W943" s="8"/>
    </row>
    <row r="944" ht="14.25" customHeight="1">
      <c r="D944" s="8"/>
      <c r="E944" s="8"/>
      <c r="F944" s="8"/>
      <c r="G944" s="8"/>
      <c r="K944" s="8"/>
      <c r="L944" s="8"/>
      <c r="M944" s="8"/>
      <c r="O944" s="8"/>
      <c r="Q944" s="8"/>
      <c r="T944" s="8"/>
      <c r="W944" s="8"/>
    </row>
    <row r="945" ht="14.25" customHeight="1">
      <c r="D945" s="8"/>
      <c r="E945" s="8"/>
      <c r="F945" s="8"/>
      <c r="G945" s="8"/>
      <c r="K945" s="8"/>
      <c r="L945" s="8"/>
      <c r="M945" s="8"/>
      <c r="O945" s="8"/>
      <c r="Q945" s="8"/>
      <c r="T945" s="8"/>
      <c r="W945" s="8"/>
    </row>
    <row r="946" ht="14.25" customHeight="1">
      <c r="D946" s="8"/>
      <c r="E946" s="8"/>
      <c r="F946" s="8"/>
      <c r="G946" s="8"/>
      <c r="K946" s="8"/>
      <c r="L946" s="8"/>
      <c r="M946" s="8"/>
      <c r="O946" s="8"/>
      <c r="Q946" s="8"/>
      <c r="T946" s="8"/>
      <c r="W946" s="8"/>
    </row>
    <row r="947" ht="14.25" customHeight="1">
      <c r="D947" s="8"/>
      <c r="E947" s="8"/>
      <c r="F947" s="8"/>
      <c r="G947" s="8"/>
      <c r="K947" s="8"/>
      <c r="L947" s="8"/>
      <c r="M947" s="8"/>
      <c r="O947" s="8"/>
      <c r="Q947" s="8"/>
      <c r="T947" s="8"/>
      <c r="W947" s="8"/>
    </row>
    <row r="948" ht="14.25" customHeight="1">
      <c r="D948" s="8"/>
      <c r="E948" s="8"/>
      <c r="F948" s="8"/>
      <c r="G948" s="8"/>
      <c r="K948" s="8"/>
      <c r="L948" s="8"/>
      <c r="M948" s="8"/>
      <c r="O948" s="8"/>
      <c r="Q948" s="8"/>
      <c r="T948" s="8"/>
      <c r="W948" s="8"/>
    </row>
    <row r="949" ht="14.25" customHeight="1">
      <c r="D949" s="8"/>
      <c r="E949" s="8"/>
      <c r="F949" s="8"/>
      <c r="G949" s="8"/>
      <c r="K949" s="8"/>
      <c r="L949" s="8"/>
      <c r="M949" s="8"/>
      <c r="O949" s="8"/>
      <c r="Q949" s="8"/>
      <c r="T949" s="8"/>
      <c r="W949" s="8"/>
    </row>
    <row r="950" ht="14.25" customHeight="1">
      <c r="D950" s="8"/>
      <c r="E950" s="8"/>
      <c r="F950" s="8"/>
      <c r="G950" s="8"/>
      <c r="K950" s="8"/>
      <c r="L950" s="8"/>
      <c r="M950" s="8"/>
      <c r="O950" s="8"/>
      <c r="Q950" s="8"/>
      <c r="T950" s="8"/>
      <c r="W950" s="8"/>
    </row>
    <row r="951" ht="14.25" customHeight="1">
      <c r="D951" s="8"/>
      <c r="E951" s="8"/>
      <c r="F951" s="8"/>
      <c r="G951" s="8"/>
      <c r="K951" s="8"/>
      <c r="L951" s="8"/>
      <c r="M951" s="8"/>
      <c r="O951" s="8"/>
      <c r="Q951" s="8"/>
      <c r="T951" s="8"/>
      <c r="W951" s="8"/>
    </row>
    <row r="952" ht="14.25" customHeight="1">
      <c r="D952" s="8"/>
      <c r="E952" s="8"/>
      <c r="F952" s="8"/>
      <c r="G952" s="8"/>
      <c r="K952" s="8"/>
      <c r="L952" s="8"/>
      <c r="M952" s="8"/>
      <c r="O952" s="8"/>
      <c r="Q952" s="8"/>
      <c r="T952" s="8"/>
      <c r="W952" s="8"/>
    </row>
    <row r="953" ht="14.25" customHeight="1">
      <c r="D953" s="8"/>
      <c r="E953" s="8"/>
      <c r="F953" s="8"/>
      <c r="G953" s="8"/>
      <c r="K953" s="8"/>
      <c r="L953" s="8"/>
      <c r="M953" s="8"/>
      <c r="O953" s="8"/>
      <c r="Q953" s="8"/>
      <c r="T953" s="8"/>
      <c r="W953" s="8"/>
    </row>
    <row r="954" ht="14.25" customHeight="1">
      <c r="D954" s="8"/>
      <c r="E954" s="8"/>
      <c r="F954" s="8"/>
      <c r="G954" s="8"/>
      <c r="K954" s="8"/>
      <c r="L954" s="8"/>
      <c r="M954" s="8"/>
      <c r="O954" s="8"/>
      <c r="Q954" s="8"/>
      <c r="T954" s="8"/>
      <c r="W954" s="8"/>
    </row>
    <row r="955" ht="14.25" customHeight="1">
      <c r="D955" s="8"/>
      <c r="E955" s="8"/>
      <c r="F955" s="8"/>
      <c r="G955" s="8"/>
      <c r="K955" s="8"/>
      <c r="L955" s="8"/>
      <c r="M955" s="8"/>
      <c r="O955" s="8"/>
      <c r="Q955" s="8"/>
      <c r="T955" s="8"/>
      <c r="W955" s="8"/>
    </row>
    <row r="956" ht="14.25" customHeight="1">
      <c r="D956" s="8"/>
      <c r="E956" s="8"/>
      <c r="F956" s="8"/>
      <c r="G956" s="8"/>
      <c r="K956" s="8"/>
      <c r="L956" s="8"/>
      <c r="M956" s="8"/>
      <c r="O956" s="8"/>
      <c r="Q956" s="8"/>
      <c r="T956" s="8"/>
      <c r="W956" s="8"/>
    </row>
    <row r="957" ht="14.25" customHeight="1">
      <c r="D957" s="8"/>
      <c r="E957" s="8"/>
      <c r="F957" s="8"/>
      <c r="G957" s="8"/>
      <c r="K957" s="8"/>
      <c r="L957" s="8"/>
      <c r="M957" s="8"/>
      <c r="O957" s="8"/>
      <c r="Q957" s="8"/>
      <c r="T957" s="8"/>
      <c r="W957" s="8"/>
    </row>
    <row r="958" ht="14.25" customHeight="1">
      <c r="D958" s="8"/>
      <c r="E958" s="8"/>
      <c r="F958" s="8"/>
      <c r="G958" s="8"/>
      <c r="K958" s="8"/>
      <c r="L958" s="8"/>
      <c r="M958" s="8"/>
      <c r="O958" s="8"/>
      <c r="Q958" s="8"/>
      <c r="T958" s="8"/>
      <c r="W958" s="8"/>
    </row>
    <row r="959" ht="14.25" customHeight="1">
      <c r="D959" s="8"/>
      <c r="E959" s="8"/>
      <c r="F959" s="8"/>
      <c r="G959" s="8"/>
      <c r="K959" s="8"/>
      <c r="L959" s="8"/>
      <c r="M959" s="8"/>
      <c r="O959" s="8"/>
      <c r="Q959" s="8"/>
      <c r="T959" s="8"/>
      <c r="W959" s="8"/>
    </row>
    <row r="960" ht="14.25" customHeight="1">
      <c r="D960" s="8"/>
      <c r="E960" s="8"/>
      <c r="F960" s="8"/>
      <c r="G960" s="8"/>
      <c r="K960" s="8"/>
      <c r="L960" s="8"/>
      <c r="M960" s="8"/>
      <c r="O960" s="8"/>
      <c r="Q960" s="8"/>
      <c r="T960" s="8"/>
      <c r="W960" s="8"/>
    </row>
    <row r="961" ht="14.25" customHeight="1">
      <c r="D961" s="8"/>
      <c r="E961" s="8"/>
      <c r="F961" s="8"/>
      <c r="G961" s="8"/>
      <c r="K961" s="8"/>
      <c r="L961" s="8"/>
      <c r="M961" s="8"/>
      <c r="O961" s="8"/>
      <c r="Q961" s="8"/>
      <c r="T961" s="8"/>
      <c r="W961" s="8"/>
    </row>
    <row r="962" ht="14.25" customHeight="1">
      <c r="D962" s="8"/>
      <c r="E962" s="8"/>
      <c r="F962" s="8"/>
      <c r="G962" s="8"/>
      <c r="K962" s="8"/>
      <c r="L962" s="8"/>
      <c r="M962" s="8"/>
      <c r="O962" s="8"/>
      <c r="Q962" s="8"/>
      <c r="T962" s="8"/>
      <c r="W962" s="8"/>
    </row>
    <row r="963" ht="14.25" customHeight="1">
      <c r="D963" s="8"/>
      <c r="E963" s="8"/>
      <c r="F963" s="8"/>
      <c r="G963" s="8"/>
      <c r="K963" s="8"/>
      <c r="L963" s="8"/>
      <c r="M963" s="8"/>
      <c r="O963" s="8"/>
      <c r="Q963" s="8"/>
      <c r="T963" s="8"/>
      <c r="W963" s="8"/>
    </row>
    <row r="964" ht="14.25" customHeight="1">
      <c r="D964" s="8"/>
      <c r="E964" s="8"/>
      <c r="F964" s="8"/>
      <c r="G964" s="8"/>
      <c r="K964" s="8"/>
      <c r="L964" s="8"/>
      <c r="M964" s="8"/>
      <c r="O964" s="8"/>
      <c r="Q964" s="8"/>
      <c r="T964" s="8"/>
      <c r="W964" s="8"/>
    </row>
    <row r="965" ht="14.25" customHeight="1">
      <c r="D965" s="8"/>
      <c r="E965" s="8"/>
      <c r="F965" s="8"/>
      <c r="G965" s="8"/>
      <c r="K965" s="8"/>
      <c r="L965" s="8"/>
      <c r="M965" s="8"/>
      <c r="O965" s="8"/>
      <c r="Q965" s="8"/>
      <c r="T965" s="8"/>
      <c r="W965" s="8"/>
    </row>
    <row r="966" ht="14.25" customHeight="1">
      <c r="D966" s="8"/>
      <c r="E966" s="8"/>
      <c r="F966" s="8"/>
      <c r="G966" s="8"/>
      <c r="K966" s="8"/>
      <c r="L966" s="8"/>
      <c r="M966" s="8"/>
      <c r="O966" s="8"/>
      <c r="Q966" s="8"/>
      <c r="T966" s="8"/>
      <c r="W966" s="8"/>
    </row>
    <row r="967" ht="14.25" customHeight="1">
      <c r="D967" s="8"/>
      <c r="E967" s="8"/>
      <c r="F967" s="8"/>
      <c r="G967" s="8"/>
      <c r="K967" s="8"/>
      <c r="L967" s="8"/>
      <c r="M967" s="8"/>
      <c r="O967" s="8"/>
      <c r="Q967" s="8"/>
      <c r="T967" s="8"/>
      <c r="W967" s="8"/>
    </row>
    <row r="968" ht="14.25" customHeight="1">
      <c r="D968" s="8"/>
      <c r="E968" s="8"/>
      <c r="F968" s="8"/>
      <c r="G968" s="8"/>
      <c r="K968" s="8"/>
      <c r="L968" s="8"/>
      <c r="M968" s="8"/>
      <c r="O968" s="8"/>
      <c r="Q968" s="8"/>
      <c r="T968" s="8"/>
      <c r="W968" s="8"/>
    </row>
    <row r="969" ht="14.25" customHeight="1">
      <c r="D969" s="8"/>
      <c r="E969" s="8"/>
      <c r="F969" s="8"/>
      <c r="G969" s="8"/>
      <c r="K969" s="8"/>
      <c r="L969" s="8"/>
      <c r="M969" s="8"/>
      <c r="O969" s="8"/>
      <c r="Q969" s="8"/>
      <c r="T969" s="8"/>
      <c r="W969" s="8"/>
    </row>
    <row r="970" ht="14.25" customHeight="1">
      <c r="D970" s="8"/>
      <c r="E970" s="8"/>
      <c r="F970" s="8"/>
      <c r="G970" s="8"/>
      <c r="K970" s="8"/>
      <c r="L970" s="8"/>
      <c r="M970" s="8"/>
      <c r="O970" s="8"/>
      <c r="Q970" s="8"/>
      <c r="T970" s="8"/>
      <c r="W970" s="8"/>
    </row>
    <row r="971" ht="14.25" customHeight="1">
      <c r="D971" s="8"/>
      <c r="E971" s="8"/>
      <c r="F971" s="8"/>
      <c r="G971" s="8"/>
      <c r="K971" s="8"/>
      <c r="L971" s="8"/>
      <c r="M971" s="8"/>
      <c r="O971" s="8"/>
      <c r="Q971" s="8"/>
      <c r="T971" s="8"/>
      <c r="W971" s="8"/>
    </row>
    <row r="972" ht="14.25" customHeight="1">
      <c r="D972" s="8"/>
      <c r="E972" s="8"/>
      <c r="F972" s="8"/>
      <c r="G972" s="8"/>
      <c r="K972" s="8"/>
      <c r="L972" s="8"/>
      <c r="M972" s="8"/>
      <c r="O972" s="8"/>
      <c r="Q972" s="8"/>
      <c r="T972" s="8"/>
      <c r="W972" s="8"/>
    </row>
    <row r="973" ht="14.25" customHeight="1">
      <c r="D973" s="8"/>
      <c r="E973" s="8"/>
      <c r="F973" s="8"/>
      <c r="G973" s="8"/>
      <c r="K973" s="8"/>
      <c r="L973" s="8"/>
      <c r="M973" s="8"/>
      <c r="O973" s="8"/>
      <c r="Q973" s="8"/>
      <c r="T973" s="8"/>
      <c r="W973" s="8"/>
    </row>
    <row r="974" ht="14.25" customHeight="1">
      <c r="D974" s="8"/>
      <c r="E974" s="8"/>
      <c r="F974" s="8"/>
      <c r="G974" s="8"/>
      <c r="K974" s="8"/>
      <c r="L974" s="8"/>
      <c r="M974" s="8"/>
      <c r="O974" s="8"/>
      <c r="Q974" s="8"/>
      <c r="T974" s="8"/>
      <c r="W974" s="8"/>
    </row>
    <row r="975" ht="14.25" customHeight="1">
      <c r="D975" s="8"/>
      <c r="E975" s="8"/>
      <c r="F975" s="8"/>
      <c r="G975" s="8"/>
      <c r="K975" s="8"/>
      <c r="L975" s="8"/>
      <c r="M975" s="8"/>
      <c r="O975" s="8"/>
      <c r="Q975" s="8"/>
      <c r="T975" s="8"/>
      <c r="W975" s="8"/>
    </row>
    <row r="976" ht="14.25" customHeight="1">
      <c r="D976" s="8"/>
      <c r="E976" s="8"/>
      <c r="F976" s="8"/>
      <c r="G976" s="8"/>
      <c r="K976" s="8"/>
      <c r="L976" s="8"/>
      <c r="M976" s="8"/>
      <c r="O976" s="8"/>
      <c r="Q976" s="8"/>
      <c r="T976" s="8"/>
      <c r="W976" s="8"/>
    </row>
    <row r="977" ht="14.25" customHeight="1">
      <c r="D977" s="8"/>
      <c r="E977" s="8"/>
      <c r="F977" s="8"/>
      <c r="G977" s="8"/>
      <c r="K977" s="8"/>
      <c r="L977" s="8"/>
      <c r="M977" s="8"/>
      <c r="O977" s="8"/>
      <c r="Q977" s="8"/>
      <c r="T977" s="8"/>
      <c r="W977" s="8"/>
    </row>
    <row r="978" ht="14.25" customHeight="1">
      <c r="D978" s="8"/>
      <c r="E978" s="8"/>
      <c r="F978" s="8"/>
      <c r="G978" s="8"/>
      <c r="K978" s="8"/>
      <c r="L978" s="8"/>
      <c r="M978" s="8"/>
      <c r="O978" s="8"/>
      <c r="Q978" s="8"/>
      <c r="T978" s="8"/>
      <c r="W978" s="8"/>
    </row>
    <row r="979" ht="14.25" customHeight="1">
      <c r="D979" s="8"/>
      <c r="E979" s="8"/>
      <c r="F979" s="8"/>
      <c r="G979" s="8"/>
      <c r="K979" s="8"/>
      <c r="L979" s="8"/>
      <c r="M979" s="8"/>
      <c r="O979" s="8"/>
      <c r="Q979" s="8"/>
      <c r="T979" s="8"/>
      <c r="W979" s="8"/>
    </row>
    <row r="980" ht="14.25" customHeight="1">
      <c r="D980" s="8"/>
      <c r="E980" s="8"/>
      <c r="F980" s="8"/>
      <c r="G980" s="8"/>
      <c r="K980" s="8"/>
      <c r="L980" s="8"/>
      <c r="M980" s="8"/>
      <c r="O980" s="8"/>
      <c r="Q980" s="8"/>
      <c r="T980" s="8"/>
      <c r="W980" s="8"/>
    </row>
    <row r="981" ht="14.25" customHeight="1">
      <c r="D981" s="8"/>
      <c r="E981" s="8"/>
      <c r="F981" s="8"/>
      <c r="G981" s="8"/>
      <c r="K981" s="8"/>
      <c r="L981" s="8"/>
      <c r="M981" s="8"/>
      <c r="O981" s="8"/>
      <c r="Q981" s="8"/>
      <c r="T981" s="8"/>
      <c r="W981" s="8"/>
    </row>
    <row r="982" ht="14.25" customHeight="1">
      <c r="D982" s="8"/>
      <c r="E982" s="8"/>
      <c r="F982" s="8"/>
      <c r="G982" s="8"/>
      <c r="K982" s="8"/>
      <c r="L982" s="8"/>
      <c r="M982" s="8"/>
      <c r="O982" s="8"/>
      <c r="Q982" s="8"/>
      <c r="T982" s="8"/>
      <c r="W982" s="8"/>
    </row>
    <row r="983" ht="14.25" customHeight="1">
      <c r="D983" s="8"/>
      <c r="E983" s="8"/>
      <c r="F983" s="8"/>
      <c r="G983" s="8"/>
      <c r="K983" s="8"/>
      <c r="L983" s="8"/>
      <c r="M983" s="8"/>
      <c r="O983" s="8"/>
      <c r="Q983" s="8"/>
      <c r="T983" s="8"/>
      <c r="W983" s="8"/>
    </row>
    <row r="984" ht="14.25" customHeight="1">
      <c r="D984" s="8"/>
      <c r="E984" s="8"/>
      <c r="F984" s="8"/>
      <c r="G984" s="8"/>
      <c r="K984" s="8"/>
      <c r="L984" s="8"/>
      <c r="M984" s="8"/>
      <c r="O984" s="8"/>
      <c r="Q984" s="8"/>
      <c r="T984" s="8"/>
      <c r="W984" s="8"/>
    </row>
    <row r="985" ht="14.25" customHeight="1">
      <c r="D985" s="8"/>
      <c r="E985" s="8"/>
      <c r="F985" s="8"/>
      <c r="G985" s="8"/>
      <c r="K985" s="8"/>
      <c r="L985" s="8"/>
      <c r="M985" s="8"/>
      <c r="O985" s="8"/>
      <c r="Q985" s="8"/>
      <c r="T985" s="8"/>
      <c r="W985" s="8"/>
    </row>
    <row r="986" ht="14.25" customHeight="1">
      <c r="D986" s="8"/>
      <c r="E986" s="8"/>
      <c r="F986" s="8"/>
      <c r="G986" s="8"/>
      <c r="K986" s="8"/>
      <c r="L986" s="8"/>
      <c r="M986" s="8"/>
      <c r="O986" s="8"/>
      <c r="Q986" s="8"/>
      <c r="T986" s="8"/>
      <c r="W986" s="8"/>
    </row>
    <row r="987" ht="14.25" customHeight="1">
      <c r="D987" s="8"/>
      <c r="E987" s="8"/>
      <c r="F987" s="8"/>
      <c r="G987" s="8"/>
      <c r="K987" s="8"/>
      <c r="L987" s="8"/>
      <c r="M987" s="8"/>
      <c r="O987" s="8"/>
      <c r="Q987" s="8"/>
      <c r="T987" s="8"/>
      <c r="W987" s="8"/>
    </row>
    <row r="988" ht="14.25" customHeight="1">
      <c r="D988" s="8"/>
      <c r="E988" s="8"/>
      <c r="F988" s="8"/>
      <c r="G988" s="8"/>
      <c r="K988" s="8"/>
      <c r="L988" s="8"/>
      <c r="M988" s="8"/>
      <c r="O988" s="8"/>
      <c r="Q988" s="8"/>
      <c r="T988" s="8"/>
      <c r="W988" s="8"/>
    </row>
    <row r="989" ht="14.25" customHeight="1">
      <c r="D989" s="8"/>
      <c r="E989" s="8"/>
      <c r="F989" s="8"/>
      <c r="G989" s="8"/>
      <c r="K989" s="8"/>
      <c r="L989" s="8"/>
      <c r="M989" s="8"/>
      <c r="O989" s="8"/>
      <c r="Q989" s="8"/>
      <c r="T989" s="8"/>
      <c r="W989" s="8"/>
    </row>
    <row r="990" ht="14.25" customHeight="1">
      <c r="D990" s="8"/>
      <c r="E990" s="8"/>
      <c r="F990" s="8"/>
      <c r="G990" s="8"/>
      <c r="K990" s="8"/>
      <c r="L990" s="8"/>
      <c r="M990" s="8"/>
      <c r="O990" s="8"/>
      <c r="Q990" s="8"/>
      <c r="T990" s="8"/>
      <c r="W990" s="8"/>
    </row>
    <row r="991" ht="14.25" customHeight="1">
      <c r="D991" s="8"/>
      <c r="E991" s="8"/>
      <c r="F991" s="8"/>
      <c r="G991" s="8"/>
      <c r="K991" s="8"/>
      <c r="L991" s="8"/>
      <c r="M991" s="8"/>
      <c r="O991" s="8"/>
      <c r="Q991" s="8"/>
      <c r="T991" s="8"/>
      <c r="W991" s="8"/>
    </row>
    <row r="992" ht="14.25" customHeight="1">
      <c r="D992" s="8"/>
      <c r="E992" s="8"/>
      <c r="F992" s="8"/>
      <c r="G992" s="8"/>
      <c r="K992" s="8"/>
      <c r="L992" s="8"/>
      <c r="M992" s="8"/>
      <c r="O992" s="8"/>
      <c r="Q992" s="8"/>
      <c r="T992" s="8"/>
      <c r="W992" s="8"/>
    </row>
    <row r="993" ht="14.25" customHeight="1">
      <c r="D993" s="8"/>
      <c r="E993" s="8"/>
      <c r="F993" s="8"/>
      <c r="G993" s="8"/>
      <c r="K993" s="8"/>
      <c r="L993" s="8"/>
      <c r="M993" s="8"/>
      <c r="O993" s="8"/>
      <c r="Q993" s="8"/>
      <c r="T993" s="8"/>
      <c r="W993" s="8"/>
    </row>
    <row r="994" ht="14.25" customHeight="1">
      <c r="D994" s="8"/>
      <c r="E994" s="8"/>
      <c r="F994" s="8"/>
      <c r="G994" s="8"/>
      <c r="K994" s="8"/>
      <c r="L994" s="8"/>
      <c r="M994" s="8"/>
      <c r="O994" s="8"/>
      <c r="Q994" s="8"/>
      <c r="T994" s="8"/>
      <c r="W994" s="8"/>
    </row>
    <row r="995" ht="14.25" customHeight="1">
      <c r="D995" s="8"/>
      <c r="E995" s="8"/>
      <c r="F995" s="8"/>
      <c r="G995" s="8"/>
      <c r="K995" s="8"/>
      <c r="L995" s="8"/>
      <c r="M995" s="8"/>
      <c r="O995" s="8"/>
      <c r="Q995" s="8"/>
      <c r="T995" s="8"/>
      <c r="W995" s="8"/>
    </row>
    <row r="996" ht="14.25" customHeight="1">
      <c r="D996" s="8"/>
      <c r="E996" s="8"/>
      <c r="F996" s="8"/>
      <c r="G996" s="8"/>
      <c r="K996" s="8"/>
      <c r="L996" s="8"/>
      <c r="M996" s="8"/>
      <c r="O996" s="8"/>
      <c r="Q996" s="8"/>
      <c r="T996" s="8"/>
      <c r="W996" s="8"/>
    </row>
    <row r="997" ht="14.25" customHeight="1">
      <c r="D997" s="8"/>
      <c r="E997" s="8"/>
      <c r="F997" s="8"/>
      <c r="G997" s="8"/>
      <c r="K997" s="8"/>
      <c r="L997" s="8"/>
      <c r="M997" s="8"/>
      <c r="O997" s="8"/>
      <c r="Q997" s="8"/>
      <c r="T997" s="8"/>
      <c r="W997" s="8"/>
    </row>
    <row r="998" ht="14.25" customHeight="1">
      <c r="D998" s="8"/>
      <c r="E998" s="8"/>
      <c r="F998" s="8"/>
      <c r="G998" s="8"/>
      <c r="K998" s="8"/>
      <c r="L998" s="8"/>
      <c r="M998" s="8"/>
      <c r="O998" s="8"/>
      <c r="Q998" s="8"/>
      <c r="T998" s="8"/>
      <c r="W998" s="8"/>
    </row>
    <row r="999" ht="14.25" customHeight="1">
      <c r="D999" s="8"/>
      <c r="E999" s="8"/>
      <c r="F999" s="8"/>
      <c r="G999" s="8"/>
      <c r="K999" s="8"/>
      <c r="L999" s="8"/>
      <c r="M999" s="8"/>
      <c r="O999" s="8"/>
      <c r="Q999" s="8"/>
      <c r="T999" s="8"/>
      <c r="W999" s="8"/>
    </row>
    <row r="1000" ht="14.25" customHeight="1">
      <c r="D1000" s="8"/>
      <c r="E1000" s="8"/>
      <c r="F1000" s="8"/>
      <c r="G1000" s="8"/>
      <c r="K1000" s="8"/>
      <c r="L1000" s="8"/>
      <c r="M1000" s="8"/>
      <c r="O1000" s="8"/>
      <c r="Q1000" s="8"/>
      <c r="T1000" s="8"/>
      <c r="W1000" s="8"/>
    </row>
  </sheetData>
  <autoFilter ref="$A$1:$Y$150"/>
  <dataValidations>
    <dataValidation type="list" allowBlank="1" sqref="K2:K1000">
      <formula1>DICTIONARIES!$D$2:$D$4</formula1>
    </dataValidation>
    <dataValidation type="list" allowBlank="1" sqref="L2:M1000">
      <formula1>DICTIONARIES!$G$2:$G$3</formula1>
    </dataValidation>
    <dataValidation type="list" allowBlank="1" sqref="T2:T1000">
      <formula1>DICTIONARIES!$AY$2:$AY$5</formula1>
    </dataValidation>
    <dataValidation type="list" allowBlank="1" sqref="F2:F1000">
      <formula1>DICTIONARIES!$M$2:$M$4</formula1>
    </dataValidation>
    <dataValidation type="list" allowBlank="1" sqref="G2:G1000">
      <formula1>DICTIONARIES!$K$2:$K$5</formula1>
    </dataValidation>
    <dataValidation type="list" allowBlank="1" sqref="D2:D1000">
      <formula1>DICTIONARIES!$N$2:$N$6</formula1>
    </dataValidation>
    <dataValidation type="list" allowBlank="1" sqref="O2:O1000">
      <formula1>DICTIONARIES!$AG$2:$AG$8</formula1>
    </dataValidation>
    <dataValidation type="list" allowBlank="1" sqref="W2:W1000">
      <formula1>DICTIONARIES!$AP$2:$AP$4</formula1>
    </dataValidation>
    <dataValidation type="list" allowBlank="1" sqref="E2:E1000">
      <formula1>DICTIONARIES!$L$2:$L$4</formula1>
    </dataValidation>
    <dataValidation type="list" allowBlank="1" sqref="Q2:Q1000">
      <formula1>DICTIONARIES!$C$2:$C$15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36.0"/>
    <col customWidth="1" min="3" max="4" width="16.0"/>
    <col customWidth="1" min="5" max="5" width="24.0"/>
    <col customWidth="1" min="6" max="6" width="12.0"/>
    <col customWidth="1" min="7" max="8" width="16.0"/>
    <col customWidth="1" min="9" max="9" width="18.0"/>
    <col customWidth="1" min="10" max="10" width="14.0"/>
    <col customWidth="1" min="11" max="11" width="12.0"/>
    <col customWidth="1" min="12" max="12" width="34.0"/>
    <col customWidth="1" min="13" max="26" width="8.71"/>
  </cols>
  <sheetData>
    <row r="1" ht="14.25" customHeight="1">
      <c r="A1" s="9" t="s">
        <v>555</v>
      </c>
      <c r="B1" s="9" t="s">
        <v>556</v>
      </c>
      <c r="C1" s="9" t="s">
        <v>557</v>
      </c>
      <c r="D1" s="9" t="s">
        <v>558</v>
      </c>
      <c r="E1" s="9" t="s">
        <v>559</v>
      </c>
      <c r="F1" s="9" t="s">
        <v>560</v>
      </c>
      <c r="G1" s="9" t="s">
        <v>561</v>
      </c>
      <c r="H1" s="9" t="s">
        <v>467</v>
      </c>
      <c r="I1" s="9" t="s">
        <v>196</v>
      </c>
      <c r="J1" s="9" t="s">
        <v>197</v>
      </c>
      <c r="K1" s="9" t="s">
        <v>562</v>
      </c>
      <c r="L1" s="9" t="s">
        <v>116</v>
      </c>
    </row>
    <row r="2" ht="14.25" customHeight="1">
      <c r="A2" s="18" t="s">
        <v>563</v>
      </c>
      <c r="B2" s="18" t="s">
        <v>445</v>
      </c>
      <c r="C2" s="18" t="s">
        <v>564</v>
      </c>
      <c r="D2" s="18">
        <v>101.0</v>
      </c>
      <c r="E2" s="18" t="s">
        <v>239</v>
      </c>
      <c r="F2" s="18" t="s">
        <v>246</v>
      </c>
      <c r="G2" s="18" t="s">
        <v>444</v>
      </c>
      <c r="H2" s="18"/>
      <c r="I2" s="18" t="s">
        <v>71</v>
      </c>
      <c r="J2" s="18" t="s">
        <v>247</v>
      </c>
      <c r="K2" s="18" t="s">
        <v>255</v>
      </c>
      <c r="L2" s="18" t="s">
        <v>565</v>
      </c>
    </row>
    <row r="3" ht="14.25" customHeight="1">
      <c r="A3" s="18" t="s">
        <v>566</v>
      </c>
      <c r="B3" s="18" t="s">
        <v>452</v>
      </c>
      <c r="C3" s="18" t="s">
        <v>564</v>
      </c>
      <c r="D3" s="18">
        <v>205.0</v>
      </c>
      <c r="E3" s="18" t="s">
        <v>281</v>
      </c>
      <c r="F3" s="18" t="s">
        <v>246</v>
      </c>
      <c r="G3" s="18" t="s">
        <v>451</v>
      </c>
      <c r="H3" s="18"/>
      <c r="I3" s="18" t="s">
        <v>71</v>
      </c>
      <c r="J3" s="18" t="s">
        <v>247</v>
      </c>
      <c r="K3" s="18" t="s">
        <v>255</v>
      </c>
      <c r="L3" s="18" t="s">
        <v>565</v>
      </c>
    </row>
    <row r="4" ht="14.25" customHeight="1">
      <c r="A4" s="18" t="s">
        <v>567</v>
      </c>
      <c r="B4" s="18" t="s">
        <v>568</v>
      </c>
      <c r="C4" s="18" t="s">
        <v>564</v>
      </c>
      <c r="D4" s="18">
        <v>305.0</v>
      </c>
      <c r="E4" s="18" t="s">
        <v>239</v>
      </c>
      <c r="F4" s="18" t="s">
        <v>286</v>
      </c>
      <c r="G4" s="18" t="s">
        <v>493</v>
      </c>
      <c r="H4" s="18" t="s">
        <v>540</v>
      </c>
      <c r="I4" s="18" t="s">
        <v>71</v>
      </c>
      <c r="J4" s="18" t="s">
        <v>247</v>
      </c>
      <c r="K4" s="18" t="s">
        <v>255</v>
      </c>
      <c r="L4" s="18" t="s">
        <v>569</v>
      </c>
    </row>
    <row r="5" ht="14.25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ht="14.25" customHeight="1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</row>
    <row r="7" ht="14.25" customHeight="1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</row>
    <row r="8" ht="14.25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</row>
    <row r="9" ht="14.25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</row>
    <row r="10" ht="14.25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ht="14.25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ht="14.25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</row>
    <row r="13" ht="14.25" customHeight="1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 ht="14.25" customHeight="1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</row>
    <row r="15" ht="14.25" customHeight="1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</row>
    <row r="16" ht="14.25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14.25" customHeight="1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14.25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14.25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14.25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14.25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14.25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ht="14.25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</row>
    <row r="24" ht="14.25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</row>
    <row r="25" ht="14.25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</row>
    <row r="26" ht="14.2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</row>
    <row r="27" ht="14.2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</row>
    <row r="28" ht="14.2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</row>
    <row r="29" ht="14.2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</row>
    <row r="30" ht="14.2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</row>
    <row r="31" ht="14.2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</row>
    <row r="32" ht="14.2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</row>
    <row r="33" ht="14.2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</row>
    <row r="34" ht="14.2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</row>
    <row r="35" ht="14.2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</row>
    <row r="36" ht="14.25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</row>
    <row r="37" ht="14.25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</row>
    <row r="38" ht="14.2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</row>
    <row r="39" ht="14.2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</row>
    <row r="40" ht="14.2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</row>
    <row r="41" ht="14.2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</row>
    <row r="42" ht="14.2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</row>
    <row r="43" ht="14.2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</row>
    <row r="44" ht="14.2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</row>
    <row r="45" ht="14.2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</row>
    <row r="46" ht="14.2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</row>
    <row r="47" ht="14.2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</row>
    <row r="48" ht="14.2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</row>
    <row r="49" ht="14.2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</row>
    <row r="50" ht="14.2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</row>
    <row r="51" ht="14.2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</row>
    <row r="52" ht="14.2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</row>
    <row r="53" ht="14.2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</row>
    <row r="54" ht="14.2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</row>
    <row r="55" ht="14.2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ht="14.2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</row>
    <row r="57" ht="14.2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</row>
    <row r="58" ht="14.2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</row>
    <row r="59" ht="14.2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</row>
    <row r="60" ht="14.2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</row>
    <row r="61" ht="14.2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</row>
    <row r="62" ht="14.2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</row>
    <row r="63" ht="14.2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</row>
    <row r="64" ht="14.2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</row>
    <row r="65" ht="14.2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</row>
    <row r="66" ht="14.2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</row>
    <row r="67" ht="14.2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</row>
    <row r="68" ht="14.2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</row>
    <row r="69" ht="14.2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</row>
    <row r="70" ht="14.2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</row>
    <row r="71" ht="14.2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</row>
    <row r="72" ht="14.2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</row>
    <row r="73" ht="14.2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</row>
    <row r="74" ht="14.2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</row>
    <row r="75" ht="14.2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</row>
    <row r="76" ht="14.2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</row>
    <row r="77" ht="14.2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</row>
    <row r="78" ht="14.2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</row>
    <row r="79" ht="14.2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</row>
    <row r="80" ht="14.2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</row>
    <row r="81" ht="14.2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</row>
    <row r="82" ht="14.2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</row>
    <row r="83" ht="14.2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</row>
    <row r="84" ht="14.2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</row>
    <row r="85" ht="14.2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</row>
    <row r="86" ht="14.2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</row>
    <row r="87" ht="14.2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</row>
    <row r="89" ht="14.2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</row>
    <row r="90" ht="14.2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</row>
    <row r="91" ht="14.2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</row>
    <row r="92" ht="14.2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</row>
    <row r="93" ht="14.2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</row>
    <row r="94" ht="14.2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</row>
    <row r="95" ht="14.2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</row>
    <row r="96" ht="14.2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</row>
    <row r="97" ht="14.2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</row>
    <row r="98" ht="14.2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</row>
    <row r="100" ht="14.2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</row>
    <row r="101" ht="14.2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</row>
    <row r="102" ht="14.2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</row>
    <row r="103" ht="14.2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</row>
    <row r="104" ht="14.2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</row>
    <row r="105" ht="14.2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</row>
    <row r="106" ht="14.2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</row>
    <row r="107" ht="14.2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</row>
    <row r="108" ht="14.2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</row>
    <row r="109" ht="14.2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</row>
    <row r="151" ht="14.25" customHeight="1">
      <c r="F151" s="8"/>
      <c r="I151" s="8"/>
      <c r="J151" s="8"/>
      <c r="K151" s="8"/>
    </row>
    <row r="152" ht="14.25" customHeight="1">
      <c r="F152" s="8"/>
      <c r="I152" s="8"/>
      <c r="J152" s="8"/>
      <c r="K152" s="8"/>
    </row>
    <row r="153" ht="14.25" customHeight="1">
      <c r="F153" s="8"/>
      <c r="I153" s="8"/>
      <c r="J153" s="8"/>
      <c r="K153" s="8"/>
    </row>
    <row r="154" ht="14.25" customHeight="1">
      <c r="F154" s="8"/>
      <c r="I154" s="8"/>
      <c r="J154" s="8"/>
      <c r="K154" s="8"/>
    </row>
    <row r="155" ht="14.25" customHeight="1">
      <c r="F155" s="8"/>
      <c r="I155" s="8"/>
      <c r="J155" s="8"/>
      <c r="K155" s="8"/>
    </row>
    <row r="156" ht="14.25" customHeight="1">
      <c r="F156" s="8"/>
      <c r="I156" s="8"/>
      <c r="J156" s="8"/>
      <c r="K156" s="8"/>
    </row>
    <row r="157" ht="14.25" customHeight="1">
      <c r="F157" s="8"/>
      <c r="I157" s="8"/>
      <c r="J157" s="8"/>
      <c r="K157" s="8"/>
    </row>
    <row r="158" ht="14.25" customHeight="1">
      <c r="F158" s="8"/>
      <c r="I158" s="8"/>
      <c r="J158" s="8"/>
      <c r="K158" s="8"/>
    </row>
    <row r="159" ht="14.25" customHeight="1">
      <c r="F159" s="8"/>
      <c r="I159" s="8"/>
      <c r="J159" s="8"/>
      <c r="K159" s="8"/>
    </row>
    <row r="160" ht="14.25" customHeight="1">
      <c r="F160" s="8"/>
      <c r="I160" s="8"/>
      <c r="J160" s="8"/>
      <c r="K160" s="8"/>
    </row>
    <row r="161" ht="14.25" customHeight="1">
      <c r="F161" s="8"/>
      <c r="I161" s="8"/>
      <c r="J161" s="8"/>
      <c r="K161" s="8"/>
    </row>
    <row r="162" ht="14.25" customHeight="1">
      <c r="F162" s="8"/>
      <c r="I162" s="8"/>
      <c r="J162" s="8"/>
      <c r="K162" s="8"/>
    </row>
    <row r="163" ht="14.25" customHeight="1">
      <c r="F163" s="8"/>
      <c r="I163" s="8"/>
      <c r="J163" s="8"/>
      <c r="K163" s="8"/>
    </row>
    <row r="164" ht="14.25" customHeight="1">
      <c r="F164" s="8"/>
      <c r="I164" s="8"/>
      <c r="J164" s="8"/>
      <c r="K164" s="8"/>
    </row>
    <row r="165" ht="14.25" customHeight="1">
      <c r="F165" s="8"/>
      <c r="I165" s="8"/>
      <c r="J165" s="8"/>
      <c r="K165" s="8"/>
    </row>
    <row r="166" ht="14.25" customHeight="1">
      <c r="F166" s="8"/>
      <c r="I166" s="8"/>
      <c r="J166" s="8"/>
      <c r="K166" s="8"/>
    </row>
    <row r="167" ht="14.25" customHeight="1">
      <c r="F167" s="8"/>
      <c r="I167" s="8"/>
      <c r="J167" s="8"/>
      <c r="K167" s="8"/>
    </row>
    <row r="168" ht="14.25" customHeight="1">
      <c r="F168" s="8"/>
      <c r="I168" s="8"/>
      <c r="J168" s="8"/>
      <c r="K168" s="8"/>
    </row>
    <row r="169" ht="14.25" customHeight="1">
      <c r="F169" s="8"/>
      <c r="I169" s="8"/>
      <c r="J169" s="8"/>
      <c r="K169" s="8"/>
    </row>
    <row r="170" ht="14.25" customHeight="1">
      <c r="F170" s="8"/>
      <c r="I170" s="8"/>
      <c r="J170" s="8"/>
      <c r="K170" s="8"/>
    </row>
    <row r="171" ht="14.25" customHeight="1">
      <c r="F171" s="8"/>
      <c r="I171" s="8"/>
      <c r="J171" s="8"/>
      <c r="K171" s="8"/>
    </row>
    <row r="172" ht="14.25" customHeight="1">
      <c r="F172" s="8"/>
      <c r="I172" s="8"/>
      <c r="J172" s="8"/>
      <c r="K172" s="8"/>
    </row>
    <row r="173" ht="14.25" customHeight="1">
      <c r="F173" s="8"/>
      <c r="I173" s="8"/>
      <c r="J173" s="8"/>
      <c r="K173" s="8"/>
    </row>
    <row r="174" ht="14.25" customHeight="1">
      <c r="F174" s="8"/>
      <c r="I174" s="8"/>
      <c r="J174" s="8"/>
      <c r="K174" s="8"/>
    </row>
    <row r="175" ht="14.25" customHeight="1">
      <c r="F175" s="8"/>
      <c r="I175" s="8"/>
      <c r="J175" s="8"/>
      <c r="K175" s="8"/>
    </row>
    <row r="176" ht="14.25" customHeight="1">
      <c r="F176" s="8"/>
      <c r="I176" s="8"/>
      <c r="J176" s="8"/>
      <c r="K176" s="8"/>
    </row>
    <row r="177" ht="14.25" customHeight="1">
      <c r="F177" s="8"/>
      <c r="I177" s="8"/>
      <c r="J177" s="8"/>
      <c r="K177" s="8"/>
    </row>
    <row r="178" ht="14.25" customHeight="1">
      <c r="F178" s="8"/>
      <c r="I178" s="8"/>
      <c r="J178" s="8"/>
      <c r="K178" s="8"/>
    </row>
    <row r="179" ht="14.25" customHeight="1">
      <c r="F179" s="8"/>
      <c r="I179" s="8"/>
      <c r="J179" s="8"/>
      <c r="K179" s="8"/>
    </row>
    <row r="180" ht="14.25" customHeight="1">
      <c r="F180" s="8"/>
      <c r="I180" s="8"/>
      <c r="J180" s="8"/>
      <c r="K180" s="8"/>
    </row>
    <row r="181" ht="14.25" customHeight="1">
      <c r="F181" s="8"/>
      <c r="I181" s="8"/>
      <c r="J181" s="8"/>
      <c r="K181" s="8"/>
    </row>
    <row r="182" ht="14.25" customHeight="1">
      <c r="F182" s="8"/>
      <c r="I182" s="8"/>
      <c r="J182" s="8"/>
      <c r="K182" s="8"/>
    </row>
    <row r="183" ht="14.25" customHeight="1">
      <c r="F183" s="8"/>
      <c r="I183" s="8"/>
      <c r="J183" s="8"/>
      <c r="K183" s="8"/>
    </row>
    <row r="184" ht="14.25" customHeight="1">
      <c r="F184" s="8"/>
      <c r="I184" s="8"/>
      <c r="J184" s="8"/>
      <c r="K184" s="8"/>
    </row>
    <row r="185" ht="14.25" customHeight="1">
      <c r="F185" s="8"/>
      <c r="I185" s="8"/>
      <c r="J185" s="8"/>
      <c r="K185" s="8"/>
    </row>
    <row r="186" ht="14.25" customHeight="1">
      <c r="F186" s="8"/>
      <c r="I186" s="8"/>
      <c r="J186" s="8"/>
      <c r="K186" s="8"/>
    </row>
    <row r="187" ht="14.25" customHeight="1">
      <c r="F187" s="8"/>
      <c r="I187" s="8"/>
      <c r="J187" s="8"/>
      <c r="K187" s="8"/>
    </row>
    <row r="188" ht="14.25" customHeight="1">
      <c r="F188" s="8"/>
      <c r="I188" s="8"/>
      <c r="J188" s="8"/>
      <c r="K188" s="8"/>
    </row>
    <row r="189" ht="14.25" customHeight="1">
      <c r="F189" s="8"/>
      <c r="I189" s="8"/>
      <c r="J189" s="8"/>
      <c r="K189" s="8"/>
    </row>
    <row r="190" ht="14.25" customHeight="1">
      <c r="F190" s="8"/>
      <c r="I190" s="8"/>
      <c r="J190" s="8"/>
      <c r="K190" s="8"/>
    </row>
    <row r="191" ht="14.25" customHeight="1">
      <c r="F191" s="8"/>
      <c r="I191" s="8"/>
      <c r="J191" s="8"/>
      <c r="K191" s="8"/>
    </row>
    <row r="192" ht="14.25" customHeight="1">
      <c r="F192" s="8"/>
      <c r="I192" s="8"/>
      <c r="J192" s="8"/>
      <c r="K192" s="8"/>
    </row>
    <row r="193" ht="14.25" customHeight="1">
      <c r="F193" s="8"/>
      <c r="I193" s="8"/>
      <c r="J193" s="8"/>
      <c r="K193" s="8"/>
    </row>
    <row r="194" ht="14.25" customHeight="1">
      <c r="F194" s="8"/>
      <c r="I194" s="8"/>
      <c r="J194" s="8"/>
      <c r="K194" s="8"/>
    </row>
    <row r="195" ht="14.25" customHeight="1">
      <c r="F195" s="8"/>
      <c r="I195" s="8"/>
      <c r="J195" s="8"/>
      <c r="K195" s="8"/>
    </row>
    <row r="196" ht="14.25" customHeight="1">
      <c r="F196" s="8"/>
      <c r="I196" s="8"/>
      <c r="J196" s="8"/>
      <c r="K196" s="8"/>
    </row>
    <row r="197" ht="14.25" customHeight="1">
      <c r="F197" s="8"/>
      <c r="I197" s="8"/>
      <c r="J197" s="8"/>
      <c r="K197" s="8"/>
    </row>
    <row r="198" ht="14.25" customHeight="1">
      <c r="F198" s="8"/>
      <c r="I198" s="8"/>
      <c r="J198" s="8"/>
      <c r="K198" s="8"/>
    </row>
    <row r="199" ht="14.25" customHeight="1">
      <c r="F199" s="8"/>
      <c r="I199" s="8"/>
      <c r="J199" s="8"/>
      <c r="K199" s="8"/>
    </row>
    <row r="200" ht="14.25" customHeight="1">
      <c r="F200" s="8"/>
      <c r="I200" s="8"/>
      <c r="J200" s="8"/>
      <c r="K200" s="8"/>
    </row>
    <row r="201" ht="14.25" customHeight="1">
      <c r="F201" s="8"/>
      <c r="I201" s="8"/>
      <c r="J201" s="8"/>
      <c r="K201" s="8"/>
    </row>
    <row r="202" ht="14.25" customHeight="1">
      <c r="F202" s="8"/>
      <c r="I202" s="8"/>
      <c r="J202" s="8"/>
      <c r="K202" s="8"/>
    </row>
    <row r="203" ht="14.25" customHeight="1">
      <c r="F203" s="8"/>
      <c r="I203" s="8"/>
      <c r="J203" s="8"/>
      <c r="K203" s="8"/>
    </row>
    <row r="204" ht="14.25" customHeight="1">
      <c r="F204" s="8"/>
      <c r="I204" s="8"/>
      <c r="J204" s="8"/>
      <c r="K204" s="8"/>
    </row>
    <row r="205" ht="14.25" customHeight="1">
      <c r="F205" s="8"/>
      <c r="I205" s="8"/>
      <c r="J205" s="8"/>
      <c r="K205" s="8"/>
    </row>
    <row r="206" ht="14.25" customHeight="1">
      <c r="F206" s="8"/>
      <c r="I206" s="8"/>
      <c r="J206" s="8"/>
      <c r="K206" s="8"/>
    </row>
    <row r="207" ht="14.25" customHeight="1">
      <c r="F207" s="8"/>
      <c r="I207" s="8"/>
      <c r="J207" s="8"/>
      <c r="K207" s="8"/>
    </row>
    <row r="208" ht="14.25" customHeight="1">
      <c r="F208" s="8"/>
      <c r="I208" s="8"/>
      <c r="J208" s="8"/>
      <c r="K208" s="8"/>
    </row>
    <row r="209" ht="14.25" customHeight="1">
      <c r="F209" s="8"/>
      <c r="I209" s="8"/>
      <c r="J209" s="8"/>
      <c r="K209" s="8"/>
    </row>
    <row r="210" ht="14.25" customHeight="1">
      <c r="F210" s="8"/>
      <c r="I210" s="8"/>
      <c r="J210" s="8"/>
      <c r="K210" s="8"/>
    </row>
    <row r="211" ht="14.25" customHeight="1">
      <c r="F211" s="8"/>
      <c r="I211" s="8"/>
      <c r="J211" s="8"/>
      <c r="K211" s="8"/>
    </row>
    <row r="212" ht="14.25" customHeight="1">
      <c r="F212" s="8"/>
      <c r="I212" s="8"/>
      <c r="J212" s="8"/>
      <c r="K212" s="8"/>
    </row>
    <row r="213" ht="14.25" customHeight="1">
      <c r="F213" s="8"/>
      <c r="I213" s="8"/>
      <c r="J213" s="8"/>
      <c r="K213" s="8"/>
    </row>
    <row r="214" ht="14.25" customHeight="1">
      <c r="F214" s="8"/>
      <c r="I214" s="8"/>
      <c r="J214" s="8"/>
      <c r="K214" s="8"/>
    </row>
    <row r="215" ht="14.25" customHeight="1">
      <c r="F215" s="8"/>
      <c r="I215" s="8"/>
      <c r="J215" s="8"/>
      <c r="K215" s="8"/>
    </row>
    <row r="216" ht="14.25" customHeight="1">
      <c r="F216" s="8"/>
      <c r="I216" s="8"/>
      <c r="J216" s="8"/>
      <c r="K216" s="8"/>
    </row>
    <row r="217" ht="14.25" customHeight="1">
      <c r="F217" s="8"/>
      <c r="I217" s="8"/>
      <c r="J217" s="8"/>
      <c r="K217" s="8"/>
    </row>
    <row r="218" ht="14.25" customHeight="1">
      <c r="F218" s="8"/>
      <c r="I218" s="8"/>
      <c r="J218" s="8"/>
      <c r="K218" s="8"/>
    </row>
    <row r="219" ht="14.25" customHeight="1">
      <c r="F219" s="8"/>
      <c r="I219" s="8"/>
      <c r="J219" s="8"/>
      <c r="K219" s="8"/>
    </row>
    <row r="220" ht="14.25" customHeight="1">
      <c r="F220" s="8"/>
      <c r="I220" s="8"/>
      <c r="J220" s="8"/>
      <c r="K220" s="8"/>
    </row>
    <row r="221" ht="14.25" customHeight="1">
      <c r="F221" s="8"/>
      <c r="I221" s="8"/>
      <c r="J221" s="8"/>
      <c r="K221" s="8"/>
    </row>
    <row r="222" ht="14.25" customHeight="1">
      <c r="F222" s="8"/>
      <c r="I222" s="8"/>
      <c r="J222" s="8"/>
      <c r="K222" s="8"/>
    </row>
    <row r="223" ht="14.25" customHeight="1">
      <c r="F223" s="8"/>
      <c r="I223" s="8"/>
      <c r="J223" s="8"/>
      <c r="K223" s="8"/>
    </row>
    <row r="224" ht="14.25" customHeight="1">
      <c r="F224" s="8"/>
      <c r="I224" s="8"/>
      <c r="J224" s="8"/>
      <c r="K224" s="8"/>
    </row>
    <row r="225" ht="14.25" customHeight="1">
      <c r="F225" s="8"/>
      <c r="I225" s="8"/>
      <c r="J225" s="8"/>
      <c r="K225" s="8"/>
    </row>
    <row r="226" ht="14.25" customHeight="1">
      <c r="F226" s="8"/>
      <c r="I226" s="8"/>
      <c r="J226" s="8"/>
      <c r="K226" s="8"/>
    </row>
    <row r="227" ht="14.25" customHeight="1">
      <c r="F227" s="8"/>
      <c r="I227" s="8"/>
      <c r="J227" s="8"/>
      <c r="K227" s="8"/>
    </row>
    <row r="228" ht="14.25" customHeight="1">
      <c r="F228" s="8"/>
      <c r="I228" s="8"/>
      <c r="J228" s="8"/>
      <c r="K228" s="8"/>
    </row>
    <row r="229" ht="14.25" customHeight="1">
      <c r="F229" s="8"/>
      <c r="I229" s="8"/>
      <c r="J229" s="8"/>
      <c r="K229" s="8"/>
    </row>
    <row r="230" ht="14.25" customHeight="1">
      <c r="F230" s="8"/>
      <c r="I230" s="8"/>
      <c r="J230" s="8"/>
      <c r="K230" s="8"/>
    </row>
    <row r="231" ht="14.25" customHeight="1">
      <c r="F231" s="8"/>
      <c r="I231" s="8"/>
      <c r="J231" s="8"/>
      <c r="K231" s="8"/>
    </row>
    <row r="232" ht="14.25" customHeight="1">
      <c r="F232" s="8"/>
      <c r="I232" s="8"/>
      <c r="J232" s="8"/>
      <c r="K232" s="8"/>
    </row>
    <row r="233" ht="14.25" customHeight="1">
      <c r="F233" s="8"/>
      <c r="I233" s="8"/>
      <c r="J233" s="8"/>
      <c r="K233" s="8"/>
    </row>
    <row r="234" ht="14.25" customHeight="1">
      <c r="F234" s="8"/>
      <c r="I234" s="8"/>
      <c r="J234" s="8"/>
      <c r="K234" s="8"/>
    </row>
    <row r="235" ht="14.25" customHeight="1">
      <c r="F235" s="8"/>
      <c r="I235" s="8"/>
      <c r="J235" s="8"/>
      <c r="K235" s="8"/>
    </row>
    <row r="236" ht="14.25" customHeight="1">
      <c r="F236" s="8"/>
      <c r="I236" s="8"/>
      <c r="J236" s="8"/>
      <c r="K236" s="8"/>
    </row>
    <row r="237" ht="14.25" customHeight="1">
      <c r="F237" s="8"/>
      <c r="I237" s="8"/>
      <c r="J237" s="8"/>
      <c r="K237" s="8"/>
    </row>
    <row r="238" ht="14.25" customHeight="1">
      <c r="F238" s="8"/>
      <c r="I238" s="8"/>
      <c r="J238" s="8"/>
      <c r="K238" s="8"/>
    </row>
    <row r="239" ht="14.25" customHeight="1">
      <c r="F239" s="8"/>
      <c r="I239" s="8"/>
      <c r="J239" s="8"/>
      <c r="K239" s="8"/>
    </row>
    <row r="240" ht="14.25" customHeight="1">
      <c r="F240" s="8"/>
      <c r="I240" s="8"/>
      <c r="J240" s="8"/>
      <c r="K240" s="8"/>
    </row>
    <row r="241" ht="14.25" customHeight="1">
      <c r="F241" s="8"/>
      <c r="I241" s="8"/>
      <c r="J241" s="8"/>
      <c r="K241" s="8"/>
    </row>
    <row r="242" ht="14.25" customHeight="1">
      <c r="F242" s="8"/>
      <c r="I242" s="8"/>
      <c r="J242" s="8"/>
      <c r="K242" s="8"/>
    </row>
    <row r="243" ht="14.25" customHeight="1">
      <c r="F243" s="8"/>
      <c r="I243" s="8"/>
      <c r="J243" s="8"/>
      <c r="K243" s="8"/>
    </row>
    <row r="244" ht="14.25" customHeight="1">
      <c r="F244" s="8"/>
      <c r="I244" s="8"/>
      <c r="J244" s="8"/>
      <c r="K244" s="8"/>
    </row>
    <row r="245" ht="14.25" customHeight="1">
      <c r="F245" s="8"/>
      <c r="I245" s="8"/>
      <c r="J245" s="8"/>
      <c r="K245" s="8"/>
    </row>
    <row r="246" ht="14.25" customHeight="1">
      <c r="F246" s="8"/>
      <c r="I246" s="8"/>
      <c r="J246" s="8"/>
      <c r="K246" s="8"/>
    </row>
    <row r="247" ht="14.25" customHeight="1">
      <c r="F247" s="8"/>
      <c r="I247" s="8"/>
      <c r="J247" s="8"/>
      <c r="K247" s="8"/>
    </row>
    <row r="248" ht="14.25" customHeight="1">
      <c r="F248" s="8"/>
      <c r="I248" s="8"/>
      <c r="J248" s="8"/>
      <c r="K248" s="8"/>
    </row>
    <row r="249" ht="14.25" customHeight="1">
      <c r="F249" s="8"/>
      <c r="I249" s="8"/>
      <c r="J249" s="8"/>
      <c r="K249" s="8"/>
    </row>
    <row r="250" ht="14.25" customHeight="1">
      <c r="F250" s="8"/>
      <c r="I250" s="8"/>
      <c r="J250" s="8"/>
      <c r="K250" s="8"/>
    </row>
    <row r="251" ht="14.25" customHeight="1">
      <c r="F251" s="8"/>
      <c r="I251" s="8"/>
      <c r="J251" s="8"/>
      <c r="K251" s="8"/>
    </row>
    <row r="252" ht="14.25" customHeight="1">
      <c r="F252" s="8"/>
      <c r="I252" s="8"/>
      <c r="J252" s="8"/>
      <c r="K252" s="8"/>
    </row>
    <row r="253" ht="14.25" customHeight="1">
      <c r="F253" s="8"/>
      <c r="I253" s="8"/>
      <c r="J253" s="8"/>
      <c r="K253" s="8"/>
    </row>
    <row r="254" ht="14.25" customHeight="1">
      <c r="F254" s="8"/>
      <c r="I254" s="8"/>
      <c r="J254" s="8"/>
      <c r="K254" s="8"/>
    </row>
    <row r="255" ht="14.25" customHeight="1">
      <c r="F255" s="8"/>
      <c r="I255" s="8"/>
      <c r="J255" s="8"/>
      <c r="K255" s="8"/>
    </row>
    <row r="256" ht="14.25" customHeight="1">
      <c r="F256" s="8"/>
      <c r="I256" s="8"/>
      <c r="J256" s="8"/>
      <c r="K256" s="8"/>
    </row>
    <row r="257" ht="14.25" customHeight="1">
      <c r="F257" s="8"/>
      <c r="I257" s="8"/>
      <c r="J257" s="8"/>
      <c r="K257" s="8"/>
    </row>
    <row r="258" ht="14.25" customHeight="1">
      <c r="F258" s="8"/>
      <c r="I258" s="8"/>
      <c r="J258" s="8"/>
      <c r="K258" s="8"/>
    </row>
    <row r="259" ht="14.25" customHeight="1">
      <c r="F259" s="8"/>
      <c r="I259" s="8"/>
      <c r="J259" s="8"/>
      <c r="K259" s="8"/>
    </row>
    <row r="260" ht="14.25" customHeight="1">
      <c r="F260" s="8"/>
      <c r="I260" s="8"/>
      <c r="J260" s="8"/>
      <c r="K260" s="8"/>
    </row>
    <row r="261" ht="14.25" customHeight="1">
      <c r="F261" s="8"/>
      <c r="I261" s="8"/>
      <c r="J261" s="8"/>
      <c r="K261" s="8"/>
    </row>
    <row r="262" ht="14.25" customHeight="1">
      <c r="F262" s="8"/>
      <c r="I262" s="8"/>
      <c r="J262" s="8"/>
      <c r="K262" s="8"/>
    </row>
    <row r="263" ht="14.25" customHeight="1">
      <c r="F263" s="8"/>
      <c r="I263" s="8"/>
      <c r="J263" s="8"/>
      <c r="K263" s="8"/>
    </row>
    <row r="264" ht="14.25" customHeight="1">
      <c r="F264" s="8"/>
      <c r="I264" s="8"/>
      <c r="J264" s="8"/>
      <c r="K264" s="8"/>
    </row>
    <row r="265" ht="14.25" customHeight="1">
      <c r="F265" s="8"/>
      <c r="I265" s="8"/>
      <c r="J265" s="8"/>
      <c r="K265" s="8"/>
    </row>
    <row r="266" ht="14.25" customHeight="1">
      <c r="F266" s="8"/>
      <c r="I266" s="8"/>
      <c r="J266" s="8"/>
      <c r="K266" s="8"/>
    </row>
    <row r="267" ht="14.25" customHeight="1">
      <c r="F267" s="8"/>
      <c r="I267" s="8"/>
      <c r="J267" s="8"/>
      <c r="K267" s="8"/>
    </row>
    <row r="268" ht="14.25" customHeight="1">
      <c r="F268" s="8"/>
      <c r="I268" s="8"/>
      <c r="J268" s="8"/>
      <c r="K268" s="8"/>
    </row>
    <row r="269" ht="14.25" customHeight="1">
      <c r="F269" s="8"/>
      <c r="I269" s="8"/>
      <c r="J269" s="8"/>
      <c r="K269" s="8"/>
    </row>
    <row r="270" ht="14.25" customHeight="1">
      <c r="F270" s="8"/>
      <c r="I270" s="8"/>
      <c r="J270" s="8"/>
      <c r="K270" s="8"/>
    </row>
    <row r="271" ht="14.25" customHeight="1">
      <c r="F271" s="8"/>
      <c r="I271" s="8"/>
      <c r="J271" s="8"/>
      <c r="K271" s="8"/>
    </row>
    <row r="272" ht="14.25" customHeight="1">
      <c r="F272" s="8"/>
      <c r="I272" s="8"/>
      <c r="J272" s="8"/>
      <c r="K272" s="8"/>
    </row>
    <row r="273" ht="14.25" customHeight="1">
      <c r="F273" s="8"/>
      <c r="I273" s="8"/>
      <c r="J273" s="8"/>
      <c r="K273" s="8"/>
    </row>
    <row r="274" ht="14.25" customHeight="1">
      <c r="F274" s="8"/>
      <c r="I274" s="8"/>
      <c r="J274" s="8"/>
      <c r="K274" s="8"/>
    </row>
    <row r="275" ht="14.25" customHeight="1">
      <c r="F275" s="8"/>
      <c r="I275" s="8"/>
      <c r="J275" s="8"/>
      <c r="K275" s="8"/>
    </row>
    <row r="276" ht="14.25" customHeight="1">
      <c r="F276" s="8"/>
      <c r="I276" s="8"/>
      <c r="J276" s="8"/>
      <c r="K276" s="8"/>
    </row>
    <row r="277" ht="14.25" customHeight="1">
      <c r="F277" s="8"/>
      <c r="I277" s="8"/>
      <c r="J277" s="8"/>
      <c r="K277" s="8"/>
    </row>
    <row r="278" ht="14.25" customHeight="1">
      <c r="F278" s="8"/>
      <c r="I278" s="8"/>
      <c r="J278" s="8"/>
      <c r="K278" s="8"/>
    </row>
    <row r="279" ht="14.25" customHeight="1">
      <c r="F279" s="8"/>
      <c r="I279" s="8"/>
      <c r="J279" s="8"/>
      <c r="K279" s="8"/>
    </row>
    <row r="280" ht="14.25" customHeight="1">
      <c r="F280" s="8"/>
      <c r="I280" s="8"/>
      <c r="J280" s="8"/>
      <c r="K280" s="8"/>
    </row>
    <row r="281" ht="14.25" customHeight="1">
      <c r="F281" s="8"/>
      <c r="I281" s="8"/>
      <c r="J281" s="8"/>
      <c r="K281" s="8"/>
    </row>
    <row r="282" ht="14.25" customHeight="1">
      <c r="F282" s="8"/>
      <c r="I282" s="8"/>
      <c r="J282" s="8"/>
      <c r="K282" s="8"/>
    </row>
    <row r="283" ht="14.25" customHeight="1">
      <c r="F283" s="8"/>
      <c r="I283" s="8"/>
      <c r="J283" s="8"/>
      <c r="K283" s="8"/>
    </row>
    <row r="284" ht="14.25" customHeight="1">
      <c r="F284" s="8"/>
      <c r="I284" s="8"/>
      <c r="J284" s="8"/>
      <c r="K284" s="8"/>
    </row>
    <row r="285" ht="14.25" customHeight="1">
      <c r="F285" s="8"/>
      <c r="I285" s="8"/>
      <c r="J285" s="8"/>
      <c r="K285" s="8"/>
    </row>
    <row r="286" ht="14.25" customHeight="1">
      <c r="F286" s="8"/>
      <c r="I286" s="8"/>
      <c r="J286" s="8"/>
      <c r="K286" s="8"/>
    </row>
    <row r="287" ht="14.25" customHeight="1">
      <c r="F287" s="8"/>
      <c r="I287" s="8"/>
      <c r="J287" s="8"/>
      <c r="K287" s="8"/>
    </row>
    <row r="288" ht="14.25" customHeight="1">
      <c r="F288" s="8"/>
      <c r="I288" s="8"/>
      <c r="J288" s="8"/>
      <c r="K288" s="8"/>
    </row>
    <row r="289" ht="14.25" customHeight="1">
      <c r="F289" s="8"/>
      <c r="I289" s="8"/>
      <c r="J289" s="8"/>
      <c r="K289" s="8"/>
    </row>
    <row r="290" ht="14.25" customHeight="1">
      <c r="F290" s="8"/>
      <c r="I290" s="8"/>
      <c r="J290" s="8"/>
      <c r="K290" s="8"/>
    </row>
    <row r="291" ht="14.25" customHeight="1">
      <c r="F291" s="8"/>
      <c r="I291" s="8"/>
      <c r="J291" s="8"/>
      <c r="K291" s="8"/>
    </row>
    <row r="292" ht="14.25" customHeight="1">
      <c r="F292" s="8"/>
      <c r="I292" s="8"/>
      <c r="J292" s="8"/>
      <c r="K292" s="8"/>
    </row>
    <row r="293" ht="14.25" customHeight="1">
      <c r="F293" s="8"/>
      <c r="I293" s="8"/>
      <c r="J293" s="8"/>
      <c r="K293" s="8"/>
    </row>
    <row r="294" ht="14.25" customHeight="1">
      <c r="F294" s="8"/>
      <c r="I294" s="8"/>
      <c r="J294" s="8"/>
      <c r="K294" s="8"/>
    </row>
    <row r="295" ht="14.25" customHeight="1">
      <c r="F295" s="8"/>
      <c r="I295" s="8"/>
      <c r="J295" s="8"/>
      <c r="K295" s="8"/>
    </row>
    <row r="296" ht="14.25" customHeight="1">
      <c r="F296" s="8"/>
      <c r="I296" s="8"/>
      <c r="J296" s="8"/>
      <c r="K296" s="8"/>
    </row>
    <row r="297" ht="14.25" customHeight="1">
      <c r="F297" s="8"/>
      <c r="I297" s="8"/>
      <c r="J297" s="8"/>
      <c r="K297" s="8"/>
    </row>
    <row r="298" ht="14.25" customHeight="1">
      <c r="F298" s="8"/>
      <c r="I298" s="8"/>
      <c r="J298" s="8"/>
      <c r="K298" s="8"/>
    </row>
    <row r="299" ht="14.25" customHeight="1">
      <c r="F299" s="8"/>
      <c r="I299" s="8"/>
      <c r="J299" s="8"/>
      <c r="K299" s="8"/>
    </row>
    <row r="300" ht="14.25" customHeight="1">
      <c r="F300" s="8"/>
      <c r="I300" s="8"/>
      <c r="J300" s="8"/>
      <c r="K300" s="8"/>
    </row>
    <row r="301" ht="14.25" customHeight="1">
      <c r="F301" s="8"/>
      <c r="I301" s="8"/>
      <c r="J301" s="8"/>
      <c r="K301" s="8"/>
    </row>
    <row r="302" ht="14.25" customHeight="1">
      <c r="F302" s="8"/>
      <c r="I302" s="8"/>
      <c r="J302" s="8"/>
      <c r="K302" s="8"/>
    </row>
    <row r="303" ht="14.25" customHeight="1">
      <c r="F303" s="8"/>
      <c r="I303" s="8"/>
      <c r="J303" s="8"/>
      <c r="K303" s="8"/>
    </row>
    <row r="304" ht="14.25" customHeight="1">
      <c r="F304" s="8"/>
      <c r="I304" s="8"/>
      <c r="J304" s="8"/>
      <c r="K304" s="8"/>
    </row>
    <row r="305" ht="14.25" customHeight="1">
      <c r="F305" s="8"/>
      <c r="I305" s="8"/>
      <c r="J305" s="8"/>
      <c r="K305" s="8"/>
    </row>
    <row r="306" ht="14.25" customHeight="1">
      <c r="F306" s="8"/>
      <c r="I306" s="8"/>
      <c r="J306" s="8"/>
      <c r="K306" s="8"/>
    </row>
    <row r="307" ht="14.25" customHeight="1">
      <c r="F307" s="8"/>
      <c r="I307" s="8"/>
      <c r="J307" s="8"/>
      <c r="K307" s="8"/>
    </row>
    <row r="308" ht="14.25" customHeight="1">
      <c r="F308" s="8"/>
      <c r="I308" s="8"/>
      <c r="J308" s="8"/>
      <c r="K308" s="8"/>
    </row>
    <row r="309" ht="14.25" customHeight="1">
      <c r="F309" s="8"/>
      <c r="I309" s="8"/>
      <c r="J309" s="8"/>
      <c r="K309" s="8"/>
    </row>
    <row r="310" ht="14.25" customHeight="1">
      <c r="F310" s="8"/>
      <c r="I310" s="8"/>
      <c r="J310" s="8"/>
      <c r="K310" s="8"/>
    </row>
    <row r="311" ht="14.25" customHeight="1">
      <c r="F311" s="8"/>
      <c r="I311" s="8"/>
      <c r="J311" s="8"/>
      <c r="K311" s="8"/>
    </row>
    <row r="312" ht="14.25" customHeight="1">
      <c r="F312" s="8"/>
      <c r="I312" s="8"/>
      <c r="J312" s="8"/>
      <c r="K312" s="8"/>
    </row>
    <row r="313" ht="14.25" customHeight="1">
      <c r="F313" s="8"/>
      <c r="I313" s="8"/>
      <c r="J313" s="8"/>
      <c r="K313" s="8"/>
    </row>
    <row r="314" ht="14.25" customHeight="1">
      <c r="F314" s="8"/>
      <c r="I314" s="8"/>
      <c r="J314" s="8"/>
      <c r="K314" s="8"/>
    </row>
    <row r="315" ht="14.25" customHeight="1">
      <c r="F315" s="8"/>
      <c r="I315" s="8"/>
      <c r="J315" s="8"/>
      <c r="K315" s="8"/>
    </row>
    <row r="316" ht="14.25" customHeight="1">
      <c r="F316" s="8"/>
      <c r="I316" s="8"/>
      <c r="J316" s="8"/>
      <c r="K316" s="8"/>
    </row>
    <row r="317" ht="14.25" customHeight="1">
      <c r="F317" s="8"/>
      <c r="I317" s="8"/>
      <c r="J317" s="8"/>
      <c r="K317" s="8"/>
    </row>
    <row r="318" ht="14.25" customHeight="1">
      <c r="F318" s="8"/>
      <c r="I318" s="8"/>
      <c r="J318" s="8"/>
      <c r="K318" s="8"/>
    </row>
    <row r="319" ht="14.25" customHeight="1">
      <c r="F319" s="8"/>
      <c r="I319" s="8"/>
      <c r="J319" s="8"/>
      <c r="K319" s="8"/>
    </row>
    <row r="320" ht="14.25" customHeight="1">
      <c r="F320" s="8"/>
      <c r="I320" s="8"/>
      <c r="J320" s="8"/>
      <c r="K320" s="8"/>
    </row>
    <row r="321" ht="14.25" customHeight="1">
      <c r="F321" s="8"/>
      <c r="I321" s="8"/>
      <c r="J321" s="8"/>
      <c r="K321" s="8"/>
    </row>
    <row r="322" ht="14.25" customHeight="1">
      <c r="F322" s="8"/>
      <c r="I322" s="8"/>
      <c r="J322" s="8"/>
      <c r="K322" s="8"/>
    </row>
    <row r="323" ht="14.25" customHeight="1">
      <c r="F323" s="8"/>
      <c r="I323" s="8"/>
      <c r="J323" s="8"/>
      <c r="K323" s="8"/>
    </row>
    <row r="324" ht="14.25" customHeight="1">
      <c r="F324" s="8"/>
      <c r="I324" s="8"/>
      <c r="J324" s="8"/>
      <c r="K324" s="8"/>
    </row>
    <row r="325" ht="14.25" customHeight="1">
      <c r="F325" s="8"/>
      <c r="I325" s="8"/>
      <c r="J325" s="8"/>
      <c r="K325" s="8"/>
    </row>
    <row r="326" ht="14.25" customHeight="1">
      <c r="F326" s="8"/>
      <c r="I326" s="8"/>
      <c r="J326" s="8"/>
      <c r="K326" s="8"/>
    </row>
    <row r="327" ht="14.25" customHeight="1">
      <c r="F327" s="8"/>
      <c r="I327" s="8"/>
      <c r="J327" s="8"/>
      <c r="K327" s="8"/>
    </row>
    <row r="328" ht="14.25" customHeight="1">
      <c r="F328" s="8"/>
      <c r="I328" s="8"/>
      <c r="J328" s="8"/>
      <c r="K328" s="8"/>
    </row>
    <row r="329" ht="14.25" customHeight="1">
      <c r="F329" s="8"/>
      <c r="I329" s="8"/>
      <c r="J329" s="8"/>
      <c r="K329" s="8"/>
    </row>
    <row r="330" ht="14.25" customHeight="1">
      <c r="F330" s="8"/>
      <c r="I330" s="8"/>
      <c r="J330" s="8"/>
      <c r="K330" s="8"/>
    </row>
    <row r="331" ht="14.25" customHeight="1">
      <c r="F331" s="8"/>
      <c r="I331" s="8"/>
      <c r="J331" s="8"/>
      <c r="K331" s="8"/>
    </row>
    <row r="332" ht="14.25" customHeight="1">
      <c r="F332" s="8"/>
      <c r="I332" s="8"/>
      <c r="J332" s="8"/>
      <c r="K332" s="8"/>
    </row>
    <row r="333" ht="14.25" customHeight="1">
      <c r="F333" s="8"/>
      <c r="I333" s="8"/>
      <c r="J333" s="8"/>
      <c r="K333" s="8"/>
    </row>
    <row r="334" ht="14.25" customHeight="1">
      <c r="F334" s="8"/>
      <c r="I334" s="8"/>
      <c r="J334" s="8"/>
      <c r="K334" s="8"/>
    </row>
    <row r="335" ht="14.25" customHeight="1">
      <c r="F335" s="8"/>
      <c r="I335" s="8"/>
      <c r="J335" s="8"/>
      <c r="K335" s="8"/>
    </row>
    <row r="336" ht="14.25" customHeight="1">
      <c r="F336" s="8"/>
      <c r="I336" s="8"/>
      <c r="J336" s="8"/>
      <c r="K336" s="8"/>
    </row>
    <row r="337" ht="14.25" customHeight="1">
      <c r="F337" s="8"/>
      <c r="I337" s="8"/>
      <c r="J337" s="8"/>
      <c r="K337" s="8"/>
    </row>
    <row r="338" ht="14.25" customHeight="1">
      <c r="F338" s="8"/>
      <c r="I338" s="8"/>
      <c r="J338" s="8"/>
      <c r="K338" s="8"/>
    </row>
    <row r="339" ht="14.25" customHeight="1">
      <c r="F339" s="8"/>
      <c r="I339" s="8"/>
      <c r="J339" s="8"/>
      <c r="K339" s="8"/>
    </row>
    <row r="340" ht="14.25" customHeight="1">
      <c r="F340" s="8"/>
      <c r="I340" s="8"/>
      <c r="J340" s="8"/>
      <c r="K340" s="8"/>
    </row>
    <row r="341" ht="14.25" customHeight="1">
      <c r="F341" s="8"/>
      <c r="I341" s="8"/>
      <c r="J341" s="8"/>
      <c r="K341" s="8"/>
    </row>
    <row r="342" ht="14.25" customHeight="1">
      <c r="F342" s="8"/>
      <c r="I342" s="8"/>
      <c r="J342" s="8"/>
      <c r="K342" s="8"/>
    </row>
    <row r="343" ht="14.25" customHeight="1">
      <c r="F343" s="8"/>
      <c r="I343" s="8"/>
      <c r="J343" s="8"/>
      <c r="K343" s="8"/>
    </row>
    <row r="344" ht="14.25" customHeight="1">
      <c r="F344" s="8"/>
      <c r="I344" s="8"/>
      <c r="J344" s="8"/>
      <c r="K344" s="8"/>
    </row>
    <row r="345" ht="14.25" customHeight="1">
      <c r="F345" s="8"/>
      <c r="I345" s="8"/>
      <c r="J345" s="8"/>
      <c r="K345" s="8"/>
    </row>
    <row r="346" ht="14.25" customHeight="1">
      <c r="F346" s="8"/>
      <c r="I346" s="8"/>
      <c r="J346" s="8"/>
      <c r="K346" s="8"/>
    </row>
    <row r="347" ht="14.25" customHeight="1">
      <c r="F347" s="8"/>
      <c r="I347" s="8"/>
      <c r="J347" s="8"/>
      <c r="K347" s="8"/>
    </row>
    <row r="348" ht="14.25" customHeight="1">
      <c r="F348" s="8"/>
      <c r="I348" s="8"/>
      <c r="J348" s="8"/>
      <c r="K348" s="8"/>
    </row>
    <row r="349" ht="14.25" customHeight="1">
      <c r="F349" s="8"/>
      <c r="I349" s="8"/>
      <c r="J349" s="8"/>
      <c r="K349" s="8"/>
    </row>
    <row r="350" ht="14.25" customHeight="1">
      <c r="F350" s="8"/>
      <c r="I350" s="8"/>
      <c r="J350" s="8"/>
      <c r="K350" s="8"/>
    </row>
    <row r="351" ht="14.25" customHeight="1">
      <c r="F351" s="8"/>
      <c r="I351" s="8"/>
      <c r="J351" s="8"/>
      <c r="K351" s="8"/>
    </row>
    <row r="352" ht="14.25" customHeight="1">
      <c r="F352" s="8"/>
      <c r="I352" s="8"/>
      <c r="J352" s="8"/>
      <c r="K352" s="8"/>
    </row>
    <row r="353" ht="14.25" customHeight="1">
      <c r="F353" s="8"/>
      <c r="I353" s="8"/>
      <c r="J353" s="8"/>
      <c r="K353" s="8"/>
    </row>
    <row r="354" ht="14.25" customHeight="1">
      <c r="F354" s="8"/>
      <c r="I354" s="8"/>
      <c r="J354" s="8"/>
      <c r="K354" s="8"/>
    </row>
    <row r="355" ht="14.25" customHeight="1">
      <c r="F355" s="8"/>
      <c r="I355" s="8"/>
      <c r="J355" s="8"/>
      <c r="K355" s="8"/>
    </row>
    <row r="356" ht="14.25" customHeight="1">
      <c r="F356" s="8"/>
      <c r="I356" s="8"/>
      <c r="J356" s="8"/>
      <c r="K356" s="8"/>
    </row>
    <row r="357" ht="14.25" customHeight="1">
      <c r="F357" s="8"/>
      <c r="I357" s="8"/>
      <c r="J357" s="8"/>
      <c r="K357" s="8"/>
    </row>
    <row r="358" ht="14.25" customHeight="1">
      <c r="F358" s="8"/>
      <c r="I358" s="8"/>
      <c r="J358" s="8"/>
      <c r="K358" s="8"/>
    </row>
    <row r="359" ht="14.25" customHeight="1">
      <c r="F359" s="8"/>
      <c r="I359" s="8"/>
      <c r="J359" s="8"/>
      <c r="K359" s="8"/>
    </row>
    <row r="360" ht="14.25" customHeight="1">
      <c r="F360" s="8"/>
      <c r="I360" s="8"/>
      <c r="J360" s="8"/>
      <c r="K360" s="8"/>
    </row>
    <row r="361" ht="14.25" customHeight="1">
      <c r="F361" s="8"/>
      <c r="I361" s="8"/>
      <c r="J361" s="8"/>
      <c r="K361" s="8"/>
    </row>
    <row r="362" ht="14.25" customHeight="1">
      <c r="F362" s="8"/>
      <c r="I362" s="8"/>
      <c r="J362" s="8"/>
      <c r="K362" s="8"/>
    </row>
    <row r="363" ht="14.25" customHeight="1">
      <c r="F363" s="8"/>
      <c r="I363" s="8"/>
      <c r="J363" s="8"/>
      <c r="K363" s="8"/>
    </row>
    <row r="364" ht="14.25" customHeight="1">
      <c r="F364" s="8"/>
      <c r="I364" s="8"/>
      <c r="J364" s="8"/>
      <c r="K364" s="8"/>
    </row>
    <row r="365" ht="14.25" customHeight="1">
      <c r="F365" s="8"/>
      <c r="I365" s="8"/>
      <c r="J365" s="8"/>
      <c r="K365" s="8"/>
    </row>
    <row r="366" ht="14.25" customHeight="1">
      <c r="F366" s="8"/>
      <c r="I366" s="8"/>
      <c r="J366" s="8"/>
      <c r="K366" s="8"/>
    </row>
    <row r="367" ht="14.25" customHeight="1">
      <c r="F367" s="8"/>
      <c r="I367" s="8"/>
      <c r="J367" s="8"/>
      <c r="K367" s="8"/>
    </row>
    <row r="368" ht="14.25" customHeight="1">
      <c r="F368" s="8"/>
      <c r="I368" s="8"/>
      <c r="J368" s="8"/>
      <c r="K368" s="8"/>
    </row>
    <row r="369" ht="14.25" customHeight="1">
      <c r="F369" s="8"/>
      <c r="I369" s="8"/>
      <c r="J369" s="8"/>
      <c r="K369" s="8"/>
    </row>
    <row r="370" ht="14.25" customHeight="1">
      <c r="F370" s="8"/>
      <c r="I370" s="8"/>
      <c r="J370" s="8"/>
      <c r="K370" s="8"/>
    </row>
    <row r="371" ht="14.25" customHeight="1">
      <c r="F371" s="8"/>
      <c r="I371" s="8"/>
      <c r="J371" s="8"/>
      <c r="K371" s="8"/>
    </row>
    <row r="372" ht="14.25" customHeight="1">
      <c r="F372" s="8"/>
      <c r="I372" s="8"/>
      <c r="J372" s="8"/>
      <c r="K372" s="8"/>
    </row>
    <row r="373" ht="14.25" customHeight="1">
      <c r="F373" s="8"/>
      <c r="I373" s="8"/>
      <c r="J373" s="8"/>
      <c r="K373" s="8"/>
    </row>
    <row r="374" ht="14.25" customHeight="1">
      <c r="F374" s="8"/>
      <c r="I374" s="8"/>
      <c r="J374" s="8"/>
      <c r="K374" s="8"/>
    </row>
    <row r="375" ht="14.25" customHeight="1">
      <c r="F375" s="8"/>
      <c r="I375" s="8"/>
      <c r="J375" s="8"/>
      <c r="K375" s="8"/>
    </row>
    <row r="376" ht="14.25" customHeight="1">
      <c r="F376" s="8"/>
      <c r="I376" s="8"/>
      <c r="J376" s="8"/>
      <c r="K376" s="8"/>
    </row>
    <row r="377" ht="14.25" customHeight="1">
      <c r="F377" s="8"/>
      <c r="I377" s="8"/>
      <c r="J377" s="8"/>
      <c r="K377" s="8"/>
    </row>
    <row r="378" ht="14.25" customHeight="1">
      <c r="F378" s="8"/>
      <c r="I378" s="8"/>
      <c r="J378" s="8"/>
      <c r="K378" s="8"/>
    </row>
    <row r="379" ht="14.25" customHeight="1">
      <c r="F379" s="8"/>
      <c r="I379" s="8"/>
      <c r="J379" s="8"/>
      <c r="K379" s="8"/>
    </row>
    <row r="380" ht="14.25" customHeight="1">
      <c r="F380" s="8"/>
      <c r="I380" s="8"/>
      <c r="J380" s="8"/>
      <c r="K380" s="8"/>
    </row>
    <row r="381" ht="14.25" customHeight="1">
      <c r="F381" s="8"/>
      <c r="I381" s="8"/>
      <c r="J381" s="8"/>
      <c r="K381" s="8"/>
    </row>
    <row r="382" ht="14.25" customHeight="1">
      <c r="F382" s="8"/>
      <c r="I382" s="8"/>
      <c r="J382" s="8"/>
      <c r="K382" s="8"/>
    </row>
    <row r="383" ht="14.25" customHeight="1">
      <c r="F383" s="8"/>
      <c r="I383" s="8"/>
      <c r="J383" s="8"/>
      <c r="K383" s="8"/>
    </row>
    <row r="384" ht="14.25" customHeight="1">
      <c r="F384" s="8"/>
      <c r="I384" s="8"/>
      <c r="J384" s="8"/>
      <c r="K384" s="8"/>
    </row>
    <row r="385" ht="14.25" customHeight="1">
      <c r="F385" s="8"/>
      <c r="I385" s="8"/>
      <c r="J385" s="8"/>
      <c r="K385" s="8"/>
    </row>
    <row r="386" ht="14.25" customHeight="1">
      <c r="F386" s="8"/>
      <c r="I386" s="8"/>
      <c r="J386" s="8"/>
      <c r="K386" s="8"/>
    </row>
    <row r="387" ht="14.25" customHeight="1">
      <c r="F387" s="8"/>
      <c r="I387" s="8"/>
      <c r="J387" s="8"/>
      <c r="K387" s="8"/>
    </row>
    <row r="388" ht="14.25" customHeight="1">
      <c r="F388" s="8"/>
      <c r="I388" s="8"/>
      <c r="J388" s="8"/>
      <c r="K388" s="8"/>
    </row>
    <row r="389" ht="14.25" customHeight="1">
      <c r="F389" s="8"/>
      <c r="I389" s="8"/>
      <c r="J389" s="8"/>
      <c r="K389" s="8"/>
    </row>
    <row r="390" ht="14.25" customHeight="1">
      <c r="F390" s="8"/>
      <c r="I390" s="8"/>
      <c r="J390" s="8"/>
      <c r="K390" s="8"/>
    </row>
    <row r="391" ht="14.25" customHeight="1">
      <c r="F391" s="8"/>
      <c r="I391" s="8"/>
      <c r="J391" s="8"/>
      <c r="K391" s="8"/>
    </row>
    <row r="392" ht="14.25" customHeight="1">
      <c r="F392" s="8"/>
      <c r="I392" s="8"/>
      <c r="J392" s="8"/>
      <c r="K392" s="8"/>
    </row>
    <row r="393" ht="14.25" customHeight="1">
      <c r="F393" s="8"/>
      <c r="I393" s="8"/>
      <c r="J393" s="8"/>
      <c r="K393" s="8"/>
    </row>
    <row r="394" ht="14.25" customHeight="1">
      <c r="F394" s="8"/>
      <c r="I394" s="8"/>
      <c r="J394" s="8"/>
      <c r="K394" s="8"/>
    </row>
    <row r="395" ht="14.25" customHeight="1">
      <c r="F395" s="8"/>
      <c r="I395" s="8"/>
      <c r="J395" s="8"/>
      <c r="K395" s="8"/>
    </row>
    <row r="396" ht="14.25" customHeight="1">
      <c r="F396" s="8"/>
      <c r="I396" s="8"/>
      <c r="J396" s="8"/>
      <c r="K396" s="8"/>
    </row>
    <row r="397" ht="14.25" customHeight="1">
      <c r="F397" s="8"/>
      <c r="I397" s="8"/>
      <c r="J397" s="8"/>
      <c r="K397" s="8"/>
    </row>
    <row r="398" ht="14.25" customHeight="1">
      <c r="F398" s="8"/>
      <c r="I398" s="8"/>
      <c r="J398" s="8"/>
      <c r="K398" s="8"/>
    </row>
    <row r="399" ht="14.25" customHeight="1">
      <c r="F399" s="8"/>
      <c r="I399" s="8"/>
      <c r="J399" s="8"/>
      <c r="K399" s="8"/>
    </row>
    <row r="400" ht="14.25" customHeight="1">
      <c r="F400" s="8"/>
      <c r="I400" s="8"/>
      <c r="J400" s="8"/>
      <c r="K400" s="8"/>
    </row>
    <row r="401" ht="14.25" customHeight="1">
      <c r="F401" s="8"/>
      <c r="I401" s="8"/>
      <c r="J401" s="8"/>
      <c r="K401" s="8"/>
    </row>
    <row r="402" ht="14.25" customHeight="1">
      <c r="F402" s="8"/>
      <c r="I402" s="8"/>
      <c r="J402" s="8"/>
      <c r="K402" s="8"/>
    </row>
    <row r="403" ht="14.25" customHeight="1">
      <c r="F403" s="8"/>
      <c r="I403" s="8"/>
      <c r="J403" s="8"/>
      <c r="K403" s="8"/>
    </row>
    <row r="404" ht="14.25" customHeight="1">
      <c r="F404" s="8"/>
      <c r="I404" s="8"/>
      <c r="J404" s="8"/>
      <c r="K404" s="8"/>
    </row>
    <row r="405" ht="14.25" customHeight="1">
      <c r="F405" s="8"/>
      <c r="I405" s="8"/>
      <c r="J405" s="8"/>
      <c r="K405" s="8"/>
    </row>
    <row r="406" ht="14.25" customHeight="1">
      <c r="F406" s="8"/>
      <c r="I406" s="8"/>
      <c r="J406" s="8"/>
      <c r="K406" s="8"/>
    </row>
    <row r="407" ht="14.25" customHeight="1">
      <c r="F407" s="8"/>
      <c r="I407" s="8"/>
      <c r="J407" s="8"/>
      <c r="K407" s="8"/>
    </row>
    <row r="408" ht="14.25" customHeight="1">
      <c r="F408" s="8"/>
      <c r="I408" s="8"/>
      <c r="J408" s="8"/>
      <c r="K408" s="8"/>
    </row>
    <row r="409" ht="14.25" customHeight="1">
      <c r="F409" s="8"/>
      <c r="I409" s="8"/>
      <c r="J409" s="8"/>
      <c r="K409" s="8"/>
    </row>
    <row r="410" ht="14.25" customHeight="1">
      <c r="F410" s="8"/>
      <c r="I410" s="8"/>
      <c r="J410" s="8"/>
      <c r="K410" s="8"/>
    </row>
    <row r="411" ht="14.25" customHeight="1">
      <c r="F411" s="8"/>
      <c r="I411" s="8"/>
      <c r="J411" s="8"/>
      <c r="K411" s="8"/>
    </row>
    <row r="412" ht="14.25" customHeight="1">
      <c r="F412" s="8"/>
      <c r="I412" s="8"/>
      <c r="J412" s="8"/>
      <c r="K412" s="8"/>
    </row>
    <row r="413" ht="14.25" customHeight="1">
      <c r="F413" s="8"/>
      <c r="I413" s="8"/>
      <c r="J413" s="8"/>
      <c r="K413" s="8"/>
    </row>
    <row r="414" ht="14.25" customHeight="1">
      <c r="F414" s="8"/>
      <c r="I414" s="8"/>
      <c r="J414" s="8"/>
      <c r="K414" s="8"/>
    </row>
    <row r="415" ht="14.25" customHeight="1">
      <c r="F415" s="8"/>
      <c r="I415" s="8"/>
      <c r="J415" s="8"/>
      <c r="K415" s="8"/>
    </row>
    <row r="416" ht="14.25" customHeight="1">
      <c r="F416" s="8"/>
      <c r="I416" s="8"/>
      <c r="J416" s="8"/>
      <c r="K416" s="8"/>
    </row>
    <row r="417" ht="14.25" customHeight="1">
      <c r="F417" s="8"/>
      <c r="I417" s="8"/>
      <c r="J417" s="8"/>
      <c r="K417" s="8"/>
    </row>
    <row r="418" ht="14.25" customHeight="1">
      <c r="F418" s="8"/>
      <c r="I418" s="8"/>
      <c r="J418" s="8"/>
      <c r="K418" s="8"/>
    </row>
    <row r="419" ht="14.25" customHeight="1">
      <c r="F419" s="8"/>
      <c r="I419" s="8"/>
      <c r="J419" s="8"/>
      <c r="K419" s="8"/>
    </row>
    <row r="420" ht="14.25" customHeight="1">
      <c r="F420" s="8"/>
      <c r="I420" s="8"/>
      <c r="J420" s="8"/>
      <c r="K420" s="8"/>
    </row>
    <row r="421" ht="14.25" customHeight="1">
      <c r="F421" s="8"/>
      <c r="I421" s="8"/>
      <c r="J421" s="8"/>
      <c r="K421" s="8"/>
    </row>
    <row r="422" ht="14.25" customHeight="1">
      <c r="F422" s="8"/>
      <c r="I422" s="8"/>
      <c r="J422" s="8"/>
      <c r="K422" s="8"/>
    </row>
    <row r="423" ht="14.25" customHeight="1">
      <c r="F423" s="8"/>
      <c r="I423" s="8"/>
      <c r="J423" s="8"/>
      <c r="K423" s="8"/>
    </row>
    <row r="424" ht="14.25" customHeight="1">
      <c r="F424" s="8"/>
      <c r="I424" s="8"/>
      <c r="J424" s="8"/>
      <c r="K424" s="8"/>
    </row>
    <row r="425" ht="14.25" customHeight="1">
      <c r="F425" s="8"/>
      <c r="I425" s="8"/>
      <c r="J425" s="8"/>
      <c r="K425" s="8"/>
    </row>
    <row r="426" ht="14.25" customHeight="1">
      <c r="F426" s="8"/>
      <c r="I426" s="8"/>
      <c r="J426" s="8"/>
      <c r="K426" s="8"/>
    </row>
    <row r="427" ht="14.25" customHeight="1">
      <c r="F427" s="8"/>
      <c r="I427" s="8"/>
      <c r="J427" s="8"/>
      <c r="K427" s="8"/>
    </row>
    <row r="428" ht="14.25" customHeight="1">
      <c r="F428" s="8"/>
      <c r="I428" s="8"/>
      <c r="J428" s="8"/>
      <c r="K428" s="8"/>
    </row>
    <row r="429" ht="14.25" customHeight="1">
      <c r="F429" s="8"/>
      <c r="I429" s="8"/>
      <c r="J429" s="8"/>
      <c r="K429" s="8"/>
    </row>
    <row r="430" ht="14.25" customHeight="1">
      <c r="F430" s="8"/>
      <c r="I430" s="8"/>
      <c r="J430" s="8"/>
      <c r="K430" s="8"/>
    </row>
    <row r="431" ht="14.25" customHeight="1">
      <c r="F431" s="8"/>
      <c r="I431" s="8"/>
      <c r="J431" s="8"/>
      <c r="K431" s="8"/>
    </row>
    <row r="432" ht="14.25" customHeight="1">
      <c r="F432" s="8"/>
      <c r="I432" s="8"/>
      <c r="J432" s="8"/>
      <c r="K432" s="8"/>
    </row>
    <row r="433" ht="14.25" customHeight="1">
      <c r="F433" s="8"/>
      <c r="I433" s="8"/>
      <c r="J433" s="8"/>
      <c r="K433" s="8"/>
    </row>
    <row r="434" ht="14.25" customHeight="1">
      <c r="F434" s="8"/>
      <c r="I434" s="8"/>
      <c r="J434" s="8"/>
      <c r="K434" s="8"/>
    </row>
    <row r="435" ht="14.25" customHeight="1">
      <c r="F435" s="8"/>
      <c r="I435" s="8"/>
      <c r="J435" s="8"/>
      <c r="K435" s="8"/>
    </row>
    <row r="436" ht="14.25" customHeight="1">
      <c r="F436" s="8"/>
      <c r="I436" s="8"/>
      <c r="J436" s="8"/>
      <c r="K436" s="8"/>
    </row>
    <row r="437" ht="14.25" customHeight="1">
      <c r="F437" s="8"/>
      <c r="I437" s="8"/>
      <c r="J437" s="8"/>
      <c r="K437" s="8"/>
    </row>
    <row r="438" ht="14.25" customHeight="1">
      <c r="F438" s="8"/>
      <c r="I438" s="8"/>
      <c r="J438" s="8"/>
      <c r="K438" s="8"/>
    </row>
    <row r="439" ht="14.25" customHeight="1">
      <c r="F439" s="8"/>
      <c r="I439" s="8"/>
      <c r="J439" s="8"/>
      <c r="K439" s="8"/>
    </row>
    <row r="440" ht="14.25" customHeight="1">
      <c r="F440" s="8"/>
      <c r="I440" s="8"/>
      <c r="J440" s="8"/>
      <c r="K440" s="8"/>
    </row>
    <row r="441" ht="14.25" customHeight="1">
      <c r="F441" s="8"/>
      <c r="I441" s="8"/>
      <c r="J441" s="8"/>
      <c r="K441" s="8"/>
    </row>
    <row r="442" ht="14.25" customHeight="1">
      <c r="F442" s="8"/>
      <c r="I442" s="8"/>
      <c r="J442" s="8"/>
      <c r="K442" s="8"/>
    </row>
    <row r="443" ht="14.25" customHeight="1">
      <c r="F443" s="8"/>
      <c r="I443" s="8"/>
      <c r="J443" s="8"/>
      <c r="K443" s="8"/>
    </row>
    <row r="444" ht="14.25" customHeight="1">
      <c r="F444" s="8"/>
      <c r="I444" s="8"/>
      <c r="J444" s="8"/>
      <c r="K444" s="8"/>
    </row>
    <row r="445" ht="14.25" customHeight="1">
      <c r="F445" s="8"/>
      <c r="I445" s="8"/>
      <c r="J445" s="8"/>
      <c r="K445" s="8"/>
    </row>
    <row r="446" ht="14.25" customHeight="1">
      <c r="F446" s="8"/>
      <c r="I446" s="8"/>
      <c r="J446" s="8"/>
      <c r="K446" s="8"/>
    </row>
    <row r="447" ht="14.25" customHeight="1">
      <c r="F447" s="8"/>
      <c r="I447" s="8"/>
      <c r="J447" s="8"/>
      <c r="K447" s="8"/>
    </row>
    <row r="448" ht="14.25" customHeight="1">
      <c r="F448" s="8"/>
      <c r="I448" s="8"/>
      <c r="J448" s="8"/>
      <c r="K448" s="8"/>
    </row>
    <row r="449" ht="14.25" customHeight="1">
      <c r="F449" s="8"/>
      <c r="I449" s="8"/>
      <c r="J449" s="8"/>
      <c r="K449" s="8"/>
    </row>
    <row r="450" ht="14.25" customHeight="1">
      <c r="F450" s="8"/>
      <c r="I450" s="8"/>
      <c r="J450" s="8"/>
      <c r="K450" s="8"/>
    </row>
    <row r="451" ht="14.25" customHeight="1">
      <c r="F451" s="8"/>
      <c r="I451" s="8"/>
      <c r="J451" s="8"/>
      <c r="K451" s="8"/>
    </row>
    <row r="452" ht="14.25" customHeight="1">
      <c r="F452" s="8"/>
      <c r="I452" s="8"/>
      <c r="J452" s="8"/>
      <c r="K452" s="8"/>
    </row>
    <row r="453" ht="14.25" customHeight="1">
      <c r="F453" s="8"/>
      <c r="I453" s="8"/>
      <c r="J453" s="8"/>
      <c r="K453" s="8"/>
    </row>
    <row r="454" ht="14.25" customHeight="1">
      <c r="F454" s="8"/>
      <c r="I454" s="8"/>
      <c r="J454" s="8"/>
      <c r="K454" s="8"/>
    </row>
    <row r="455" ht="14.25" customHeight="1">
      <c r="F455" s="8"/>
      <c r="I455" s="8"/>
      <c r="J455" s="8"/>
      <c r="K455" s="8"/>
    </row>
    <row r="456" ht="14.25" customHeight="1">
      <c r="F456" s="8"/>
      <c r="I456" s="8"/>
      <c r="J456" s="8"/>
      <c r="K456" s="8"/>
    </row>
    <row r="457" ht="14.25" customHeight="1">
      <c r="F457" s="8"/>
      <c r="I457" s="8"/>
      <c r="J457" s="8"/>
      <c r="K457" s="8"/>
    </row>
    <row r="458" ht="14.25" customHeight="1">
      <c r="F458" s="8"/>
      <c r="I458" s="8"/>
      <c r="J458" s="8"/>
      <c r="K458" s="8"/>
    </row>
    <row r="459" ht="14.25" customHeight="1">
      <c r="F459" s="8"/>
      <c r="I459" s="8"/>
      <c r="J459" s="8"/>
      <c r="K459" s="8"/>
    </row>
    <row r="460" ht="14.25" customHeight="1">
      <c r="F460" s="8"/>
      <c r="I460" s="8"/>
      <c r="J460" s="8"/>
      <c r="K460" s="8"/>
    </row>
    <row r="461" ht="14.25" customHeight="1">
      <c r="F461" s="8"/>
      <c r="I461" s="8"/>
      <c r="J461" s="8"/>
      <c r="K461" s="8"/>
    </row>
    <row r="462" ht="14.25" customHeight="1">
      <c r="F462" s="8"/>
      <c r="I462" s="8"/>
      <c r="J462" s="8"/>
      <c r="K462" s="8"/>
    </row>
    <row r="463" ht="14.25" customHeight="1">
      <c r="F463" s="8"/>
      <c r="I463" s="8"/>
      <c r="J463" s="8"/>
      <c r="K463" s="8"/>
    </row>
    <row r="464" ht="14.25" customHeight="1">
      <c r="F464" s="8"/>
      <c r="I464" s="8"/>
      <c r="J464" s="8"/>
      <c r="K464" s="8"/>
    </row>
    <row r="465" ht="14.25" customHeight="1">
      <c r="F465" s="8"/>
      <c r="I465" s="8"/>
      <c r="J465" s="8"/>
      <c r="K465" s="8"/>
    </row>
    <row r="466" ht="14.25" customHeight="1">
      <c r="F466" s="8"/>
      <c r="I466" s="8"/>
      <c r="J466" s="8"/>
      <c r="K466" s="8"/>
    </row>
    <row r="467" ht="14.25" customHeight="1">
      <c r="F467" s="8"/>
      <c r="I467" s="8"/>
      <c r="J467" s="8"/>
      <c r="K467" s="8"/>
    </row>
    <row r="468" ht="14.25" customHeight="1">
      <c r="F468" s="8"/>
      <c r="I468" s="8"/>
      <c r="J468" s="8"/>
      <c r="K468" s="8"/>
    </row>
    <row r="469" ht="14.25" customHeight="1">
      <c r="F469" s="8"/>
      <c r="I469" s="8"/>
      <c r="J469" s="8"/>
      <c r="K469" s="8"/>
    </row>
    <row r="470" ht="14.25" customHeight="1">
      <c r="F470" s="8"/>
      <c r="I470" s="8"/>
      <c r="J470" s="8"/>
      <c r="K470" s="8"/>
    </row>
    <row r="471" ht="14.25" customHeight="1">
      <c r="F471" s="8"/>
      <c r="I471" s="8"/>
      <c r="J471" s="8"/>
      <c r="K471" s="8"/>
    </row>
    <row r="472" ht="14.25" customHeight="1">
      <c r="F472" s="8"/>
      <c r="I472" s="8"/>
      <c r="J472" s="8"/>
      <c r="K472" s="8"/>
    </row>
    <row r="473" ht="14.25" customHeight="1">
      <c r="F473" s="8"/>
      <c r="I473" s="8"/>
      <c r="J473" s="8"/>
      <c r="K473" s="8"/>
    </row>
    <row r="474" ht="14.25" customHeight="1">
      <c r="F474" s="8"/>
      <c r="I474" s="8"/>
      <c r="J474" s="8"/>
      <c r="K474" s="8"/>
    </row>
    <row r="475" ht="14.25" customHeight="1">
      <c r="F475" s="8"/>
      <c r="I475" s="8"/>
      <c r="J475" s="8"/>
      <c r="K475" s="8"/>
    </row>
    <row r="476" ht="14.25" customHeight="1">
      <c r="F476" s="8"/>
      <c r="I476" s="8"/>
      <c r="J476" s="8"/>
      <c r="K476" s="8"/>
    </row>
    <row r="477" ht="14.25" customHeight="1">
      <c r="F477" s="8"/>
      <c r="I477" s="8"/>
      <c r="J477" s="8"/>
      <c r="K477" s="8"/>
    </row>
    <row r="478" ht="14.25" customHeight="1">
      <c r="F478" s="8"/>
      <c r="I478" s="8"/>
      <c r="J478" s="8"/>
      <c r="K478" s="8"/>
    </row>
    <row r="479" ht="14.25" customHeight="1">
      <c r="F479" s="8"/>
      <c r="I479" s="8"/>
      <c r="J479" s="8"/>
      <c r="K479" s="8"/>
    </row>
    <row r="480" ht="14.25" customHeight="1">
      <c r="F480" s="8"/>
      <c r="I480" s="8"/>
      <c r="J480" s="8"/>
      <c r="K480" s="8"/>
    </row>
    <row r="481" ht="14.25" customHeight="1">
      <c r="F481" s="8"/>
      <c r="I481" s="8"/>
      <c r="J481" s="8"/>
      <c r="K481" s="8"/>
    </row>
    <row r="482" ht="14.25" customHeight="1">
      <c r="F482" s="8"/>
      <c r="I482" s="8"/>
      <c r="J482" s="8"/>
      <c r="K482" s="8"/>
    </row>
    <row r="483" ht="14.25" customHeight="1">
      <c r="F483" s="8"/>
      <c r="I483" s="8"/>
      <c r="J483" s="8"/>
      <c r="K483" s="8"/>
    </row>
    <row r="484" ht="14.25" customHeight="1">
      <c r="F484" s="8"/>
      <c r="I484" s="8"/>
      <c r="J484" s="8"/>
      <c r="K484" s="8"/>
    </row>
    <row r="485" ht="14.25" customHeight="1">
      <c r="F485" s="8"/>
      <c r="I485" s="8"/>
      <c r="J485" s="8"/>
      <c r="K485" s="8"/>
    </row>
    <row r="486" ht="14.25" customHeight="1">
      <c r="F486" s="8"/>
      <c r="I486" s="8"/>
      <c r="J486" s="8"/>
      <c r="K486" s="8"/>
    </row>
    <row r="487" ht="14.25" customHeight="1">
      <c r="F487" s="8"/>
      <c r="I487" s="8"/>
      <c r="J487" s="8"/>
      <c r="K487" s="8"/>
    </row>
    <row r="488" ht="14.25" customHeight="1">
      <c r="F488" s="8"/>
      <c r="I488" s="8"/>
      <c r="J488" s="8"/>
      <c r="K488" s="8"/>
    </row>
    <row r="489" ht="14.25" customHeight="1">
      <c r="F489" s="8"/>
      <c r="I489" s="8"/>
      <c r="J489" s="8"/>
      <c r="K489" s="8"/>
    </row>
    <row r="490" ht="14.25" customHeight="1">
      <c r="F490" s="8"/>
      <c r="I490" s="8"/>
      <c r="J490" s="8"/>
      <c r="K490" s="8"/>
    </row>
    <row r="491" ht="14.25" customHeight="1">
      <c r="F491" s="8"/>
      <c r="I491" s="8"/>
      <c r="J491" s="8"/>
      <c r="K491" s="8"/>
    </row>
    <row r="492" ht="14.25" customHeight="1">
      <c r="F492" s="8"/>
      <c r="I492" s="8"/>
      <c r="J492" s="8"/>
      <c r="K492" s="8"/>
    </row>
    <row r="493" ht="14.25" customHeight="1">
      <c r="F493" s="8"/>
      <c r="I493" s="8"/>
      <c r="J493" s="8"/>
      <c r="K493" s="8"/>
    </row>
    <row r="494" ht="14.25" customHeight="1">
      <c r="F494" s="8"/>
      <c r="I494" s="8"/>
      <c r="J494" s="8"/>
      <c r="K494" s="8"/>
    </row>
    <row r="495" ht="14.25" customHeight="1">
      <c r="F495" s="8"/>
      <c r="I495" s="8"/>
      <c r="J495" s="8"/>
      <c r="K495" s="8"/>
    </row>
    <row r="496" ht="14.25" customHeight="1">
      <c r="F496" s="8"/>
      <c r="I496" s="8"/>
      <c r="J496" s="8"/>
      <c r="K496" s="8"/>
    </row>
    <row r="497" ht="14.25" customHeight="1">
      <c r="F497" s="8"/>
      <c r="I497" s="8"/>
      <c r="J497" s="8"/>
      <c r="K497" s="8"/>
    </row>
    <row r="498" ht="14.25" customHeight="1">
      <c r="F498" s="8"/>
      <c r="I498" s="8"/>
      <c r="J498" s="8"/>
      <c r="K498" s="8"/>
    </row>
    <row r="499" ht="14.25" customHeight="1">
      <c r="F499" s="8"/>
      <c r="I499" s="8"/>
      <c r="J499" s="8"/>
      <c r="K499" s="8"/>
    </row>
    <row r="500" ht="14.25" customHeight="1">
      <c r="F500" s="8"/>
      <c r="I500" s="8"/>
      <c r="J500" s="8"/>
      <c r="K500" s="8"/>
    </row>
    <row r="501" ht="14.25" customHeight="1">
      <c r="F501" s="8"/>
      <c r="I501" s="8"/>
      <c r="J501" s="8"/>
      <c r="K501" s="8"/>
    </row>
    <row r="502" ht="14.25" customHeight="1">
      <c r="F502" s="8"/>
      <c r="I502" s="8"/>
      <c r="J502" s="8"/>
      <c r="K502" s="8"/>
    </row>
    <row r="503" ht="14.25" customHeight="1">
      <c r="F503" s="8"/>
      <c r="I503" s="8"/>
      <c r="J503" s="8"/>
      <c r="K503" s="8"/>
    </row>
    <row r="504" ht="14.25" customHeight="1">
      <c r="F504" s="8"/>
      <c r="I504" s="8"/>
      <c r="J504" s="8"/>
      <c r="K504" s="8"/>
    </row>
    <row r="505" ht="14.25" customHeight="1">
      <c r="F505" s="8"/>
      <c r="I505" s="8"/>
      <c r="J505" s="8"/>
      <c r="K505" s="8"/>
    </row>
    <row r="506" ht="14.25" customHeight="1">
      <c r="F506" s="8"/>
      <c r="I506" s="8"/>
      <c r="J506" s="8"/>
      <c r="K506" s="8"/>
    </row>
    <row r="507" ht="14.25" customHeight="1">
      <c r="F507" s="8"/>
      <c r="I507" s="8"/>
      <c r="J507" s="8"/>
      <c r="K507" s="8"/>
    </row>
    <row r="508" ht="14.25" customHeight="1">
      <c r="F508" s="8"/>
      <c r="I508" s="8"/>
      <c r="J508" s="8"/>
      <c r="K508" s="8"/>
    </row>
    <row r="509" ht="14.25" customHeight="1">
      <c r="F509" s="8"/>
      <c r="I509" s="8"/>
      <c r="J509" s="8"/>
      <c r="K509" s="8"/>
    </row>
    <row r="510" ht="14.25" customHeight="1">
      <c r="F510" s="8"/>
      <c r="I510" s="8"/>
      <c r="J510" s="8"/>
      <c r="K510" s="8"/>
    </row>
    <row r="511" ht="14.25" customHeight="1">
      <c r="F511" s="8"/>
      <c r="I511" s="8"/>
      <c r="J511" s="8"/>
      <c r="K511" s="8"/>
    </row>
    <row r="512" ht="14.25" customHeight="1">
      <c r="F512" s="8"/>
      <c r="I512" s="8"/>
      <c r="J512" s="8"/>
      <c r="K512" s="8"/>
    </row>
    <row r="513" ht="14.25" customHeight="1">
      <c r="F513" s="8"/>
      <c r="I513" s="8"/>
      <c r="J513" s="8"/>
      <c r="K513" s="8"/>
    </row>
    <row r="514" ht="14.25" customHeight="1">
      <c r="F514" s="8"/>
      <c r="I514" s="8"/>
      <c r="J514" s="8"/>
      <c r="K514" s="8"/>
    </row>
    <row r="515" ht="14.25" customHeight="1">
      <c r="F515" s="8"/>
      <c r="I515" s="8"/>
      <c r="J515" s="8"/>
      <c r="K515" s="8"/>
    </row>
    <row r="516" ht="14.25" customHeight="1">
      <c r="F516" s="8"/>
      <c r="I516" s="8"/>
      <c r="J516" s="8"/>
      <c r="K516" s="8"/>
    </row>
    <row r="517" ht="14.25" customHeight="1">
      <c r="F517" s="8"/>
      <c r="I517" s="8"/>
      <c r="J517" s="8"/>
      <c r="K517" s="8"/>
    </row>
    <row r="518" ht="14.25" customHeight="1">
      <c r="F518" s="8"/>
      <c r="I518" s="8"/>
      <c r="J518" s="8"/>
      <c r="K518" s="8"/>
    </row>
    <row r="519" ht="14.25" customHeight="1">
      <c r="F519" s="8"/>
      <c r="I519" s="8"/>
      <c r="J519" s="8"/>
      <c r="K519" s="8"/>
    </row>
    <row r="520" ht="14.25" customHeight="1">
      <c r="F520" s="8"/>
      <c r="I520" s="8"/>
      <c r="J520" s="8"/>
      <c r="K520" s="8"/>
    </row>
    <row r="521" ht="14.25" customHeight="1">
      <c r="F521" s="8"/>
      <c r="I521" s="8"/>
      <c r="J521" s="8"/>
      <c r="K521" s="8"/>
    </row>
    <row r="522" ht="14.25" customHeight="1">
      <c r="F522" s="8"/>
      <c r="I522" s="8"/>
      <c r="J522" s="8"/>
      <c r="K522" s="8"/>
    </row>
    <row r="523" ht="14.25" customHeight="1">
      <c r="F523" s="8"/>
      <c r="I523" s="8"/>
      <c r="J523" s="8"/>
      <c r="K523" s="8"/>
    </row>
    <row r="524" ht="14.25" customHeight="1">
      <c r="F524" s="8"/>
      <c r="I524" s="8"/>
      <c r="J524" s="8"/>
      <c r="K524" s="8"/>
    </row>
    <row r="525" ht="14.25" customHeight="1">
      <c r="F525" s="8"/>
      <c r="I525" s="8"/>
      <c r="J525" s="8"/>
      <c r="K525" s="8"/>
    </row>
    <row r="526" ht="14.25" customHeight="1">
      <c r="F526" s="8"/>
      <c r="I526" s="8"/>
      <c r="J526" s="8"/>
      <c r="K526" s="8"/>
    </row>
    <row r="527" ht="14.25" customHeight="1">
      <c r="F527" s="8"/>
      <c r="I527" s="8"/>
      <c r="J527" s="8"/>
      <c r="K527" s="8"/>
    </row>
    <row r="528" ht="14.25" customHeight="1">
      <c r="F528" s="8"/>
      <c r="I528" s="8"/>
      <c r="J528" s="8"/>
      <c r="K528" s="8"/>
    </row>
    <row r="529" ht="14.25" customHeight="1">
      <c r="F529" s="8"/>
      <c r="I529" s="8"/>
      <c r="J529" s="8"/>
      <c r="K529" s="8"/>
    </row>
    <row r="530" ht="14.25" customHeight="1">
      <c r="F530" s="8"/>
      <c r="I530" s="8"/>
      <c r="J530" s="8"/>
      <c r="K530" s="8"/>
    </row>
    <row r="531" ht="14.25" customHeight="1">
      <c r="F531" s="8"/>
      <c r="I531" s="8"/>
      <c r="J531" s="8"/>
      <c r="K531" s="8"/>
    </row>
    <row r="532" ht="14.25" customHeight="1">
      <c r="F532" s="8"/>
      <c r="I532" s="8"/>
      <c r="J532" s="8"/>
      <c r="K532" s="8"/>
    </row>
    <row r="533" ht="14.25" customHeight="1">
      <c r="F533" s="8"/>
      <c r="I533" s="8"/>
      <c r="J533" s="8"/>
      <c r="K533" s="8"/>
    </row>
    <row r="534" ht="14.25" customHeight="1">
      <c r="F534" s="8"/>
      <c r="I534" s="8"/>
      <c r="J534" s="8"/>
      <c r="K534" s="8"/>
    </row>
    <row r="535" ht="14.25" customHeight="1">
      <c r="F535" s="8"/>
      <c r="I535" s="8"/>
      <c r="J535" s="8"/>
      <c r="K535" s="8"/>
    </row>
    <row r="536" ht="14.25" customHeight="1">
      <c r="F536" s="8"/>
      <c r="I536" s="8"/>
      <c r="J536" s="8"/>
      <c r="K536" s="8"/>
    </row>
    <row r="537" ht="14.25" customHeight="1">
      <c r="F537" s="8"/>
      <c r="I537" s="8"/>
      <c r="J537" s="8"/>
      <c r="K537" s="8"/>
    </row>
    <row r="538" ht="14.25" customHeight="1">
      <c r="F538" s="8"/>
      <c r="I538" s="8"/>
      <c r="J538" s="8"/>
      <c r="K538" s="8"/>
    </row>
    <row r="539" ht="14.25" customHeight="1">
      <c r="F539" s="8"/>
      <c r="I539" s="8"/>
      <c r="J539" s="8"/>
      <c r="K539" s="8"/>
    </row>
    <row r="540" ht="14.25" customHeight="1">
      <c r="F540" s="8"/>
      <c r="I540" s="8"/>
      <c r="J540" s="8"/>
      <c r="K540" s="8"/>
    </row>
    <row r="541" ht="14.25" customHeight="1">
      <c r="F541" s="8"/>
      <c r="I541" s="8"/>
      <c r="J541" s="8"/>
      <c r="K541" s="8"/>
    </row>
    <row r="542" ht="14.25" customHeight="1">
      <c r="F542" s="8"/>
      <c r="I542" s="8"/>
      <c r="J542" s="8"/>
      <c r="K542" s="8"/>
    </row>
    <row r="543" ht="14.25" customHeight="1">
      <c r="F543" s="8"/>
      <c r="I543" s="8"/>
      <c r="J543" s="8"/>
      <c r="K543" s="8"/>
    </row>
    <row r="544" ht="14.25" customHeight="1">
      <c r="F544" s="8"/>
      <c r="I544" s="8"/>
      <c r="J544" s="8"/>
      <c r="K544" s="8"/>
    </row>
    <row r="545" ht="14.25" customHeight="1">
      <c r="F545" s="8"/>
      <c r="I545" s="8"/>
      <c r="J545" s="8"/>
      <c r="K545" s="8"/>
    </row>
    <row r="546" ht="14.25" customHeight="1">
      <c r="F546" s="8"/>
      <c r="I546" s="8"/>
      <c r="J546" s="8"/>
      <c r="K546" s="8"/>
    </row>
    <row r="547" ht="14.25" customHeight="1">
      <c r="F547" s="8"/>
      <c r="I547" s="8"/>
      <c r="J547" s="8"/>
      <c r="K547" s="8"/>
    </row>
    <row r="548" ht="14.25" customHeight="1">
      <c r="F548" s="8"/>
      <c r="I548" s="8"/>
      <c r="J548" s="8"/>
      <c r="K548" s="8"/>
    </row>
    <row r="549" ht="14.25" customHeight="1">
      <c r="F549" s="8"/>
      <c r="I549" s="8"/>
      <c r="J549" s="8"/>
      <c r="K549" s="8"/>
    </row>
    <row r="550" ht="14.25" customHeight="1">
      <c r="F550" s="8"/>
      <c r="I550" s="8"/>
      <c r="J550" s="8"/>
      <c r="K550" s="8"/>
    </row>
    <row r="551" ht="14.25" customHeight="1">
      <c r="F551" s="8"/>
      <c r="I551" s="8"/>
      <c r="J551" s="8"/>
      <c r="K551" s="8"/>
    </row>
    <row r="552" ht="14.25" customHeight="1">
      <c r="F552" s="8"/>
      <c r="I552" s="8"/>
      <c r="J552" s="8"/>
      <c r="K552" s="8"/>
    </row>
    <row r="553" ht="14.25" customHeight="1">
      <c r="F553" s="8"/>
      <c r="I553" s="8"/>
      <c r="J553" s="8"/>
      <c r="K553" s="8"/>
    </row>
    <row r="554" ht="14.25" customHeight="1">
      <c r="F554" s="8"/>
      <c r="I554" s="8"/>
      <c r="J554" s="8"/>
      <c r="K554" s="8"/>
    </row>
    <row r="555" ht="14.25" customHeight="1">
      <c r="F555" s="8"/>
      <c r="I555" s="8"/>
      <c r="J555" s="8"/>
      <c r="K555" s="8"/>
    </row>
    <row r="556" ht="14.25" customHeight="1">
      <c r="F556" s="8"/>
      <c r="I556" s="8"/>
      <c r="J556" s="8"/>
      <c r="K556" s="8"/>
    </row>
    <row r="557" ht="14.25" customHeight="1">
      <c r="F557" s="8"/>
      <c r="I557" s="8"/>
      <c r="J557" s="8"/>
      <c r="K557" s="8"/>
    </row>
    <row r="558" ht="14.25" customHeight="1">
      <c r="F558" s="8"/>
      <c r="I558" s="8"/>
      <c r="J558" s="8"/>
      <c r="K558" s="8"/>
    </row>
    <row r="559" ht="14.25" customHeight="1">
      <c r="F559" s="8"/>
      <c r="I559" s="8"/>
      <c r="J559" s="8"/>
      <c r="K559" s="8"/>
    </row>
    <row r="560" ht="14.25" customHeight="1">
      <c r="F560" s="8"/>
      <c r="I560" s="8"/>
      <c r="J560" s="8"/>
      <c r="K560" s="8"/>
    </row>
    <row r="561" ht="14.25" customHeight="1">
      <c r="F561" s="8"/>
      <c r="I561" s="8"/>
      <c r="J561" s="8"/>
      <c r="K561" s="8"/>
    </row>
    <row r="562" ht="14.25" customHeight="1">
      <c r="F562" s="8"/>
      <c r="I562" s="8"/>
      <c r="J562" s="8"/>
      <c r="K562" s="8"/>
    </row>
    <row r="563" ht="14.25" customHeight="1">
      <c r="F563" s="8"/>
      <c r="I563" s="8"/>
      <c r="J563" s="8"/>
      <c r="K563" s="8"/>
    </row>
    <row r="564" ht="14.25" customHeight="1">
      <c r="F564" s="8"/>
      <c r="I564" s="8"/>
      <c r="J564" s="8"/>
      <c r="K564" s="8"/>
    </row>
    <row r="565" ht="14.25" customHeight="1">
      <c r="F565" s="8"/>
      <c r="I565" s="8"/>
      <c r="J565" s="8"/>
      <c r="K565" s="8"/>
    </row>
    <row r="566" ht="14.25" customHeight="1">
      <c r="F566" s="8"/>
      <c r="I566" s="8"/>
      <c r="J566" s="8"/>
      <c r="K566" s="8"/>
    </row>
    <row r="567" ht="14.25" customHeight="1">
      <c r="F567" s="8"/>
      <c r="I567" s="8"/>
      <c r="J567" s="8"/>
      <c r="K567" s="8"/>
    </row>
    <row r="568" ht="14.25" customHeight="1">
      <c r="F568" s="8"/>
      <c r="I568" s="8"/>
      <c r="J568" s="8"/>
      <c r="K568" s="8"/>
    </row>
    <row r="569" ht="14.25" customHeight="1">
      <c r="F569" s="8"/>
      <c r="I569" s="8"/>
      <c r="J569" s="8"/>
      <c r="K569" s="8"/>
    </row>
    <row r="570" ht="14.25" customHeight="1">
      <c r="F570" s="8"/>
      <c r="I570" s="8"/>
      <c r="J570" s="8"/>
      <c r="K570" s="8"/>
    </row>
    <row r="571" ht="14.25" customHeight="1">
      <c r="F571" s="8"/>
      <c r="I571" s="8"/>
      <c r="J571" s="8"/>
      <c r="K571" s="8"/>
    </row>
    <row r="572" ht="14.25" customHeight="1">
      <c r="F572" s="8"/>
      <c r="I572" s="8"/>
      <c r="J572" s="8"/>
      <c r="K572" s="8"/>
    </row>
    <row r="573" ht="14.25" customHeight="1">
      <c r="F573" s="8"/>
      <c r="I573" s="8"/>
      <c r="J573" s="8"/>
      <c r="K573" s="8"/>
    </row>
    <row r="574" ht="14.25" customHeight="1">
      <c r="F574" s="8"/>
      <c r="I574" s="8"/>
      <c r="J574" s="8"/>
      <c r="K574" s="8"/>
    </row>
    <row r="575" ht="14.25" customHeight="1">
      <c r="F575" s="8"/>
      <c r="I575" s="8"/>
      <c r="J575" s="8"/>
      <c r="K575" s="8"/>
    </row>
    <row r="576" ht="14.25" customHeight="1">
      <c r="F576" s="8"/>
      <c r="I576" s="8"/>
      <c r="J576" s="8"/>
      <c r="K576" s="8"/>
    </row>
    <row r="577" ht="14.25" customHeight="1">
      <c r="F577" s="8"/>
      <c r="I577" s="8"/>
      <c r="J577" s="8"/>
      <c r="K577" s="8"/>
    </row>
    <row r="578" ht="14.25" customHeight="1">
      <c r="F578" s="8"/>
      <c r="I578" s="8"/>
      <c r="J578" s="8"/>
      <c r="K578" s="8"/>
    </row>
    <row r="579" ht="14.25" customHeight="1">
      <c r="F579" s="8"/>
      <c r="I579" s="8"/>
      <c r="J579" s="8"/>
      <c r="K579" s="8"/>
    </row>
    <row r="580" ht="14.25" customHeight="1">
      <c r="F580" s="8"/>
      <c r="I580" s="8"/>
      <c r="J580" s="8"/>
      <c r="K580" s="8"/>
    </row>
    <row r="581" ht="14.25" customHeight="1">
      <c r="F581" s="8"/>
      <c r="I581" s="8"/>
      <c r="J581" s="8"/>
      <c r="K581" s="8"/>
    </row>
    <row r="582" ht="14.25" customHeight="1">
      <c r="F582" s="8"/>
      <c r="I582" s="8"/>
      <c r="J582" s="8"/>
      <c r="K582" s="8"/>
    </row>
    <row r="583" ht="14.25" customHeight="1">
      <c r="F583" s="8"/>
      <c r="I583" s="8"/>
      <c r="J583" s="8"/>
      <c r="K583" s="8"/>
    </row>
    <row r="584" ht="14.25" customHeight="1">
      <c r="F584" s="8"/>
      <c r="I584" s="8"/>
      <c r="J584" s="8"/>
      <c r="K584" s="8"/>
    </row>
    <row r="585" ht="14.25" customHeight="1">
      <c r="F585" s="8"/>
      <c r="I585" s="8"/>
      <c r="J585" s="8"/>
      <c r="K585" s="8"/>
    </row>
    <row r="586" ht="14.25" customHeight="1">
      <c r="F586" s="8"/>
      <c r="I586" s="8"/>
      <c r="J586" s="8"/>
      <c r="K586" s="8"/>
    </row>
    <row r="587" ht="14.25" customHeight="1">
      <c r="F587" s="8"/>
      <c r="I587" s="8"/>
      <c r="J587" s="8"/>
      <c r="K587" s="8"/>
    </row>
    <row r="588" ht="14.25" customHeight="1">
      <c r="F588" s="8"/>
      <c r="I588" s="8"/>
      <c r="J588" s="8"/>
      <c r="K588" s="8"/>
    </row>
    <row r="589" ht="14.25" customHeight="1">
      <c r="F589" s="8"/>
      <c r="I589" s="8"/>
      <c r="J589" s="8"/>
      <c r="K589" s="8"/>
    </row>
    <row r="590" ht="14.25" customHeight="1">
      <c r="F590" s="8"/>
      <c r="I590" s="8"/>
      <c r="J590" s="8"/>
      <c r="K590" s="8"/>
    </row>
    <row r="591" ht="14.25" customHeight="1">
      <c r="F591" s="8"/>
      <c r="I591" s="8"/>
      <c r="J591" s="8"/>
      <c r="K591" s="8"/>
    </row>
    <row r="592" ht="14.25" customHeight="1">
      <c r="F592" s="8"/>
      <c r="I592" s="8"/>
      <c r="J592" s="8"/>
      <c r="K592" s="8"/>
    </row>
    <row r="593" ht="14.25" customHeight="1">
      <c r="F593" s="8"/>
      <c r="I593" s="8"/>
      <c r="J593" s="8"/>
      <c r="K593" s="8"/>
    </row>
    <row r="594" ht="14.25" customHeight="1">
      <c r="F594" s="8"/>
      <c r="I594" s="8"/>
      <c r="J594" s="8"/>
      <c r="K594" s="8"/>
    </row>
    <row r="595" ht="14.25" customHeight="1">
      <c r="F595" s="8"/>
      <c r="I595" s="8"/>
      <c r="J595" s="8"/>
      <c r="K595" s="8"/>
    </row>
    <row r="596" ht="14.25" customHeight="1">
      <c r="F596" s="8"/>
      <c r="I596" s="8"/>
      <c r="J596" s="8"/>
      <c r="K596" s="8"/>
    </row>
    <row r="597" ht="14.25" customHeight="1">
      <c r="F597" s="8"/>
      <c r="I597" s="8"/>
      <c r="J597" s="8"/>
      <c r="K597" s="8"/>
    </row>
    <row r="598" ht="14.25" customHeight="1">
      <c r="F598" s="8"/>
      <c r="I598" s="8"/>
      <c r="J598" s="8"/>
      <c r="K598" s="8"/>
    </row>
    <row r="599" ht="14.25" customHeight="1">
      <c r="F599" s="8"/>
      <c r="I599" s="8"/>
      <c r="J599" s="8"/>
      <c r="K599" s="8"/>
    </row>
    <row r="600" ht="14.25" customHeight="1">
      <c r="F600" s="8"/>
      <c r="I600" s="8"/>
      <c r="J600" s="8"/>
      <c r="K600" s="8"/>
    </row>
    <row r="601" ht="14.25" customHeight="1">
      <c r="F601" s="8"/>
      <c r="I601" s="8"/>
      <c r="J601" s="8"/>
      <c r="K601" s="8"/>
    </row>
    <row r="602" ht="14.25" customHeight="1">
      <c r="F602" s="8"/>
      <c r="I602" s="8"/>
      <c r="J602" s="8"/>
      <c r="K602" s="8"/>
    </row>
    <row r="603" ht="14.25" customHeight="1">
      <c r="F603" s="8"/>
      <c r="I603" s="8"/>
      <c r="J603" s="8"/>
      <c r="K603" s="8"/>
    </row>
    <row r="604" ht="14.25" customHeight="1">
      <c r="F604" s="8"/>
      <c r="I604" s="8"/>
      <c r="J604" s="8"/>
      <c r="K604" s="8"/>
    </row>
    <row r="605" ht="14.25" customHeight="1">
      <c r="F605" s="8"/>
      <c r="I605" s="8"/>
      <c r="J605" s="8"/>
      <c r="K605" s="8"/>
    </row>
    <row r="606" ht="14.25" customHeight="1">
      <c r="F606" s="8"/>
      <c r="I606" s="8"/>
      <c r="J606" s="8"/>
      <c r="K606" s="8"/>
    </row>
    <row r="607" ht="14.25" customHeight="1">
      <c r="F607" s="8"/>
      <c r="I607" s="8"/>
      <c r="J607" s="8"/>
      <c r="K607" s="8"/>
    </row>
    <row r="608" ht="14.25" customHeight="1">
      <c r="F608" s="8"/>
      <c r="I608" s="8"/>
      <c r="J608" s="8"/>
      <c r="K608" s="8"/>
    </row>
    <row r="609" ht="14.25" customHeight="1">
      <c r="F609" s="8"/>
      <c r="I609" s="8"/>
      <c r="J609" s="8"/>
      <c r="K609" s="8"/>
    </row>
    <row r="610" ht="14.25" customHeight="1">
      <c r="F610" s="8"/>
      <c r="I610" s="8"/>
      <c r="J610" s="8"/>
      <c r="K610" s="8"/>
    </row>
    <row r="611" ht="14.25" customHeight="1">
      <c r="F611" s="8"/>
      <c r="I611" s="8"/>
      <c r="J611" s="8"/>
      <c r="K611" s="8"/>
    </row>
    <row r="612" ht="14.25" customHeight="1">
      <c r="F612" s="8"/>
      <c r="I612" s="8"/>
      <c r="J612" s="8"/>
      <c r="K612" s="8"/>
    </row>
    <row r="613" ht="14.25" customHeight="1">
      <c r="F613" s="8"/>
      <c r="I613" s="8"/>
      <c r="J613" s="8"/>
      <c r="K613" s="8"/>
    </row>
    <row r="614" ht="14.25" customHeight="1">
      <c r="F614" s="8"/>
      <c r="I614" s="8"/>
      <c r="J614" s="8"/>
      <c r="K614" s="8"/>
    </row>
    <row r="615" ht="14.25" customHeight="1">
      <c r="F615" s="8"/>
      <c r="I615" s="8"/>
      <c r="J615" s="8"/>
      <c r="K615" s="8"/>
    </row>
    <row r="616" ht="14.25" customHeight="1">
      <c r="F616" s="8"/>
      <c r="I616" s="8"/>
      <c r="J616" s="8"/>
      <c r="K616" s="8"/>
    </row>
    <row r="617" ht="14.25" customHeight="1">
      <c r="F617" s="8"/>
      <c r="I617" s="8"/>
      <c r="J617" s="8"/>
      <c r="K617" s="8"/>
    </row>
    <row r="618" ht="14.25" customHeight="1">
      <c r="F618" s="8"/>
      <c r="I618" s="8"/>
      <c r="J618" s="8"/>
      <c r="K618" s="8"/>
    </row>
    <row r="619" ht="14.25" customHeight="1">
      <c r="F619" s="8"/>
      <c r="I619" s="8"/>
      <c r="J619" s="8"/>
      <c r="K619" s="8"/>
    </row>
    <row r="620" ht="14.25" customHeight="1">
      <c r="F620" s="8"/>
      <c r="I620" s="8"/>
      <c r="J620" s="8"/>
      <c r="K620" s="8"/>
    </row>
    <row r="621" ht="14.25" customHeight="1">
      <c r="F621" s="8"/>
      <c r="I621" s="8"/>
      <c r="J621" s="8"/>
      <c r="K621" s="8"/>
    </row>
    <row r="622" ht="14.25" customHeight="1">
      <c r="F622" s="8"/>
      <c r="I622" s="8"/>
      <c r="J622" s="8"/>
      <c r="K622" s="8"/>
    </row>
    <row r="623" ht="14.25" customHeight="1">
      <c r="F623" s="8"/>
      <c r="I623" s="8"/>
      <c r="J623" s="8"/>
      <c r="K623" s="8"/>
    </row>
    <row r="624" ht="14.25" customHeight="1">
      <c r="F624" s="8"/>
      <c r="I624" s="8"/>
      <c r="J624" s="8"/>
      <c r="K624" s="8"/>
    </row>
    <row r="625" ht="14.25" customHeight="1">
      <c r="F625" s="8"/>
      <c r="I625" s="8"/>
      <c r="J625" s="8"/>
      <c r="K625" s="8"/>
    </row>
    <row r="626" ht="14.25" customHeight="1">
      <c r="F626" s="8"/>
      <c r="I626" s="8"/>
      <c r="J626" s="8"/>
      <c r="K626" s="8"/>
    </row>
    <row r="627" ht="14.25" customHeight="1">
      <c r="F627" s="8"/>
      <c r="I627" s="8"/>
      <c r="J627" s="8"/>
      <c r="K627" s="8"/>
    </row>
    <row r="628" ht="14.25" customHeight="1">
      <c r="F628" s="8"/>
      <c r="I628" s="8"/>
      <c r="J628" s="8"/>
      <c r="K628" s="8"/>
    </row>
    <row r="629" ht="14.25" customHeight="1">
      <c r="F629" s="8"/>
      <c r="I629" s="8"/>
      <c r="J629" s="8"/>
      <c r="K629" s="8"/>
    </row>
    <row r="630" ht="14.25" customHeight="1">
      <c r="F630" s="8"/>
      <c r="I630" s="8"/>
      <c r="J630" s="8"/>
      <c r="K630" s="8"/>
    </row>
    <row r="631" ht="14.25" customHeight="1">
      <c r="F631" s="8"/>
      <c r="I631" s="8"/>
      <c r="J631" s="8"/>
      <c r="K631" s="8"/>
    </row>
    <row r="632" ht="14.25" customHeight="1">
      <c r="F632" s="8"/>
      <c r="I632" s="8"/>
      <c r="J632" s="8"/>
      <c r="K632" s="8"/>
    </row>
    <row r="633" ht="14.25" customHeight="1">
      <c r="F633" s="8"/>
      <c r="I633" s="8"/>
      <c r="J633" s="8"/>
      <c r="K633" s="8"/>
    </row>
    <row r="634" ht="14.25" customHeight="1">
      <c r="F634" s="8"/>
      <c r="I634" s="8"/>
      <c r="J634" s="8"/>
      <c r="K634" s="8"/>
    </row>
    <row r="635" ht="14.25" customHeight="1">
      <c r="F635" s="8"/>
      <c r="I635" s="8"/>
      <c r="J635" s="8"/>
      <c r="K635" s="8"/>
    </row>
    <row r="636" ht="14.25" customHeight="1">
      <c r="F636" s="8"/>
      <c r="I636" s="8"/>
      <c r="J636" s="8"/>
      <c r="K636" s="8"/>
    </row>
    <row r="637" ht="14.25" customHeight="1">
      <c r="F637" s="8"/>
      <c r="I637" s="8"/>
      <c r="J637" s="8"/>
      <c r="K637" s="8"/>
    </row>
    <row r="638" ht="14.25" customHeight="1">
      <c r="F638" s="8"/>
      <c r="I638" s="8"/>
      <c r="J638" s="8"/>
      <c r="K638" s="8"/>
    </row>
    <row r="639" ht="14.25" customHeight="1">
      <c r="F639" s="8"/>
      <c r="I639" s="8"/>
      <c r="J639" s="8"/>
      <c r="K639" s="8"/>
    </row>
    <row r="640" ht="14.25" customHeight="1">
      <c r="F640" s="8"/>
      <c r="I640" s="8"/>
      <c r="J640" s="8"/>
      <c r="K640" s="8"/>
    </row>
    <row r="641" ht="14.25" customHeight="1">
      <c r="F641" s="8"/>
      <c r="I641" s="8"/>
      <c r="J641" s="8"/>
      <c r="K641" s="8"/>
    </row>
    <row r="642" ht="14.25" customHeight="1">
      <c r="F642" s="8"/>
      <c r="I642" s="8"/>
      <c r="J642" s="8"/>
      <c r="K642" s="8"/>
    </row>
    <row r="643" ht="14.25" customHeight="1">
      <c r="F643" s="8"/>
      <c r="I643" s="8"/>
      <c r="J643" s="8"/>
      <c r="K643" s="8"/>
    </row>
    <row r="644" ht="14.25" customHeight="1">
      <c r="F644" s="8"/>
      <c r="I644" s="8"/>
      <c r="J644" s="8"/>
      <c r="K644" s="8"/>
    </row>
    <row r="645" ht="14.25" customHeight="1">
      <c r="F645" s="8"/>
      <c r="I645" s="8"/>
      <c r="J645" s="8"/>
      <c r="K645" s="8"/>
    </row>
    <row r="646" ht="14.25" customHeight="1">
      <c r="F646" s="8"/>
      <c r="I646" s="8"/>
      <c r="J646" s="8"/>
      <c r="K646" s="8"/>
    </row>
    <row r="647" ht="14.25" customHeight="1">
      <c r="F647" s="8"/>
      <c r="I647" s="8"/>
      <c r="J647" s="8"/>
      <c r="K647" s="8"/>
    </row>
    <row r="648" ht="14.25" customHeight="1">
      <c r="F648" s="8"/>
      <c r="I648" s="8"/>
      <c r="J648" s="8"/>
      <c r="K648" s="8"/>
    </row>
    <row r="649" ht="14.25" customHeight="1">
      <c r="F649" s="8"/>
      <c r="I649" s="8"/>
      <c r="J649" s="8"/>
      <c r="K649" s="8"/>
    </row>
    <row r="650" ht="14.25" customHeight="1">
      <c r="F650" s="8"/>
      <c r="I650" s="8"/>
      <c r="J650" s="8"/>
      <c r="K650" s="8"/>
    </row>
    <row r="651" ht="14.25" customHeight="1">
      <c r="F651" s="8"/>
      <c r="I651" s="8"/>
      <c r="J651" s="8"/>
      <c r="K651" s="8"/>
    </row>
    <row r="652" ht="14.25" customHeight="1">
      <c r="F652" s="8"/>
      <c r="I652" s="8"/>
      <c r="J652" s="8"/>
      <c r="K652" s="8"/>
    </row>
    <row r="653" ht="14.25" customHeight="1">
      <c r="F653" s="8"/>
      <c r="I653" s="8"/>
      <c r="J653" s="8"/>
      <c r="K653" s="8"/>
    </row>
    <row r="654" ht="14.25" customHeight="1">
      <c r="F654" s="8"/>
      <c r="I654" s="8"/>
      <c r="J654" s="8"/>
      <c r="K654" s="8"/>
    </row>
    <row r="655" ht="14.25" customHeight="1">
      <c r="F655" s="8"/>
      <c r="I655" s="8"/>
      <c r="J655" s="8"/>
      <c r="K655" s="8"/>
    </row>
    <row r="656" ht="14.25" customHeight="1">
      <c r="F656" s="8"/>
      <c r="I656" s="8"/>
      <c r="J656" s="8"/>
      <c r="K656" s="8"/>
    </row>
    <row r="657" ht="14.25" customHeight="1">
      <c r="F657" s="8"/>
      <c r="I657" s="8"/>
      <c r="J657" s="8"/>
      <c r="K657" s="8"/>
    </row>
    <row r="658" ht="14.25" customHeight="1">
      <c r="F658" s="8"/>
      <c r="I658" s="8"/>
      <c r="J658" s="8"/>
      <c r="K658" s="8"/>
    </row>
    <row r="659" ht="14.25" customHeight="1">
      <c r="F659" s="8"/>
      <c r="I659" s="8"/>
      <c r="J659" s="8"/>
      <c r="K659" s="8"/>
    </row>
    <row r="660" ht="14.25" customHeight="1">
      <c r="F660" s="8"/>
      <c r="I660" s="8"/>
      <c r="J660" s="8"/>
      <c r="K660" s="8"/>
    </row>
    <row r="661" ht="14.25" customHeight="1">
      <c r="F661" s="8"/>
      <c r="I661" s="8"/>
      <c r="J661" s="8"/>
      <c r="K661" s="8"/>
    </row>
    <row r="662" ht="14.25" customHeight="1">
      <c r="F662" s="8"/>
      <c r="I662" s="8"/>
      <c r="J662" s="8"/>
      <c r="K662" s="8"/>
    </row>
    <row r="663" ht="14.25" customHeight="1">
      <c r="F663" s="8"/>
      <c r="I663" s="8"/>
      <c r="J663" s="8"/>
      <c r="K663" s="8"/>
    </row>
    <row r="664" ht="14.25" customHeight="1">
      <c r="F664" s="8"/>
      <c r="I664" s="8"/>
      <c r="J664" s="8"/>
      <c r="K664" s="8"/>
    </row>
    <row r="665" ht="14.25" customHeight="1">
      <c r="F665" s="8"/>
      <c r="I665" s="8"/>
      <c r="J665" s="8"/>
      <c r="K665" s="8"/>
    </row>
    <row r="666" ht="14.25" customHeight="1">
      <c r="F666" s="8"/>
      <c r="I666" s="8"/>
      <c r="J666" s="8"/>
      <c r="K666" s="8"/>
    </row>
    <row r="667" ht="14.25" customHeight="1">
      <c r="F667" s="8"/>
      <c r="I667" s="8"/>
      <c r="J667" s="8"/>
      <c r="K667" s="8"/>
    </row>
    <row r="668" ht="14.25" customHeight="1">
      <c r="F668" s="8"/>
      <c r="I668" s="8"/>
      <c r="J668" s="8"/>
      <c r="K668" s="8"/>
    </row>
    <row r="669" ht="14.25" customHeight="1">
      <c r="F669" s="8"/>
      <c r="I669" s="8"/>
      <c r="J669" s="8"/>
      <c r="K669" s="8"/>
    </row>
    <row r="670" ht="14.25" customHeight="1">
      <c r="F670" s="8"/>
      <c r="I670" s="8"/>
      <c r="J670" s="8"/>
      <c r="K670" s="8"/>
    </row>
    <row r="671" ht="14.25" customHeight="1">
      <c r="F671" s="8"/>
      <c r="I671" s="8"/>
      <c r="J671" s="8"/>
      <c r="K671" s="8"/>
    </row>
    <row r="672" ht="14.25" customHeight="1">
      <c r="F672" s="8"/>
      <c r="I672" s="8"/>
      <c r="J672" s="8"/>
      <c r="K672" s="8"/>
    </row>
    <row r="673" ht="14.25" customHeight="1">
      <c r="F673" s="8"/>
      <c r="I673" s="8"/>
      <c r="J673" s="8"/>
      <c r="K673" s="8"/>
    </row>
    <row r="674" ht="14.25" customHeight="1">
      <c r="F674" s="8"/>
      <c r="I674" s="8"/>
      <c r="J674" s="8"/>
      <c r="K674" s="8"/>
    </row>
    <row r="675" ht="14.25" customHeight="1">
      <c r="F675" s="8"/>
      <c r="I675" s="8"/>
      <c r="J675" s="8"/>
      <c r="K675" s="8"/>
    </row>
    <row r="676" ht="14.25" customHeight="1">
      <c r="F676" s="8"/>
      <c r="I676" s="8"/>
      <c r="J676" s="8"/>
      <c r="K676" s="8"/>
    </row>
    <row r="677" ht="14.25" customHeight="1">
      <c r="F677" s="8"/>
      <c r="I677" s="8"/>
      <c r="J677" s="8"/>
      <c r="K677" s="8"/>
    </row>
    <row r="678" ht="14.25" customHeight="1">
      <c r="F678" s="8"/>
      <c r="I678" s="8"/>
      <c r="J678" s="8"/>
      <c r="K678" s="8"/>
    </row>
    <row r="679" ht="14.25" customHeight="1">
      <c r="F679" s="8"/>
      <c r="I679" s="8"/>
      <c r="J679" s="8"/>
      <c r="K679" s="8"/>
    </row>
    <row r="680" ht="14.25" customHeight="1">
      <c r="F680" s="8"/>
      <c r="I680" s="8"/>
      <c r="J680" s="8"/>
      <c r="K680" s="8"/>
    </row>
    <row r="681" ht="14.25" customHeight="1">
      <c r="F681" s="8"/>
      <c r="I681" s="8"/>
      <c r="J681" s="8"/>
      <c r="K681" s="8"/>
    </row>
    <row r="682" ht="14.25" customHeight="1">
      <c r="F682" s="8"/>
      <c r="I682" s="8"/>
      <c r="J682" s="8"/>
      <c r="K682" s="8"/>
    </row>
    <row r="683" ht="14.25" customHeight="1">
      <c r="F683" s="8"/>
      <c r="I683" s="8"/>
      <c r="J683" s="8"/>
      <c r="K683" s="8"/>
    </row>
    <row r="684" ht="14.25" customHeight="1">
      <c r="F684" s="8"/>
      <c r="I684" s="8"/>
      <c r="J684" s="8"/>
      <c r="K684" s="8"/>
    </row>
    <row r="685" ht="14.25" customHeight="1">
      <c r="F685" s="8"/>
      <c r="I685" s="8"/>
      <c r="J685" s="8"/>
      <c r="K685" s="8"/>
    </row>
    <row r="686" ht="14.25" customHeight="1">
      <c r="F686" s="8"/>
      <c r="I686" s="8"/>
      <c r="J686" s="8"/>
      <c r="K686" s="8"/>
    </row>
    <row r="687" ht="14.25" customHeight="1">
      <c r="F687" s="8"/>
      <c r="I687" s="8"/>
      <c r="J687" s="8"/>
      <c r="K687" s="8"/>
    </row>
    <row r="688" ht="14.25" customHeight="1">
      <c r="F688" s="8"/>
      <c r="I688" s="8"/>
      <c r="J688" s="8"/>
      <c r="K688" s="8"/>
    </row>
    <row r="689" ht="14.25" customHeight="1">
      <c r="F689" s="8"/>
      <c r="I689" s="8"/>
      <c r="J689" s="8"/>
      <c r="K689" s="8"/>
    </row>
    <row r="690" ht="14.25" customHeight="1">
      <c r="F690" s="8"/>
      <c r="I690" s="8"/>
      <c r="J690" s="8"/>
      <c r="K690" s="8"/>
    </row>
    <row r="691" ht="14.25" customHeight="1">
      <c r="F691" s="8"/>
      <c r="I691" s="8"/>
      <c r="J691" s="8"/>
      <c r="K691" s="8"/>
    </row>
    <row r="692" ht="14.25" customHeight="1">
      <c r="F692" s="8"/>
      <c r="I692" s="8"/>
      <c r="J692" s="8"/>
      <c r="K692" s="8"/>
    </row>
    <row r="693" ht="14.25" customHeight="1">
      <c r="F693" s="8"/>
      <c r="I693" s="8"/>
      <c r="J693" s="8"/>
      <c r="K693" s="8"/>
    </row>
    <row r="694" ht="14.25" customHeight="1">
      <c r="F694" s="8"/>
      <c r="I694" s="8"/>
      <c r="J694" s="8"/>
      <c r="K694" s="8"/>
    </row>
    <row r="695" ht="14.25" customHeight="1">
      <c r="F695" s="8"/>
      <c r="I695" s="8"/>
      <c r="J695" s="8"/>
      <c r="K695" s="8"/>
    </row>
    <row r="696" ht="14.25" customHeight="1">
      <c r="F696" s="8"/>
      <c r="I696" s="8"/>
      <c r="J696" s="8"/>
      <c r="K696" s="8"/>
    </row>
    <row r="697" ht="14.25" customHeight="1">
      <c r="F697" s="8"/>
      <c r="I697" s="8"/>
      <c r="J697" s="8"/>
      <c r="K697" s="8"/>
    </row>
    <row r="698" ht="14.25" customHeight="1">
      <c r="F698" s="8"/>
      <c r="I698" s="8"/>
      <c r="J698" s="8"/>
      <c r="K698" s="8"/>
    </row>
    <row r="699" ht="14.25" customHeight="1">
      <c r="F699" s="8"/>
      <c r="I699" s="8"/>
      <c r="J699" s="8"/>
      <c r="K699" s="8"/>
    </row>
    <row r="700" ht="14.25" customHeight="1">
      <c r="F700" s="8"/>
      <c r="I700" s="8"/>
      <c r="J700" s="8"/>
      <c r="K700" s="8"/>
    </row>
    <row r="701" ht="14.25" customHeight="1">
      <c r="F701" s="8"/>
      <c r="I701" s="8"/>
      <c r="J701" s="8"/>
      <c r="K701" s="8"/>
    </row>
    <row r="702" ht="14.25" customHeight="1">
      <c r="F702" s="8"/>
      <c r="I702" s="8"/>
      <c r="J702" s="8"/>
      <c r="K702" s="8"/>
    </row>
    <row r="703" ht="14.25" customHeight="1">
      <c r="F703" s="8"/>
      <c r="I703" s="8"/>
      <c r="J703" s="8"/>
      <c r="K703" s="8"/>
    </row>
    <row r="704" ht="14.25" customHeight="1">
      <c r="F704" s="8"/>
      <c r="I704" s="8"/>
      <c r="J704" s="8"/>
      <c r="K704" s="8"/>
    </row>
    <row r="705" ht="14.25" customHeight="1">
      <c r="F705" s="8"/>
      <c r="I705" s="8"/>
      <c r="J705" s="8"/>
      <c r="K705" s="8"/>
    </row>
    <row r="706" ht="14.25" customHeight="1">
      <c r="F706" s="8"/>
      <c r="I706" s="8"/>
      <c r="J706" s="8"/>
      <c r="K706" s="8"/>
    </row>
    <row r="707" ht="14.25" customHeight="1">
      <c r="F707" s="8"/>
      <c r="I707" s="8"/>
      <c r="J707" s="8"/>
      <c r="K707" s="8"/>
    </row>
    <row r="708" ht="14.25" customHeight="1">
      <c r="F708" s="8"/>
      <c r="I708" s="8"/>
      <c r="J708" s="8"/>
      <c r="K708" s="8"/>
    </row>
    <row r="709" ht="14.25" customHeight="1">
      <c r="F709" s="8"/>
      <c r="I709" s="8"/>
      <c r="J709" s="8"/>
      <c r="K709" s="8"/>
    </row>
    <row r="710" ht="14.25" customHeight="1">
      <c r="F710" s="8"/>
      <c r="I710" s="8"/>
      <c r="J710" s="8"/>
      <c r="K710" s="8"/>
    </row>
    <row r="711" ht="14.25" customHeight="1">
      <c r="F711" s="8"/>
      <c r="I711" s="8"/>
      <c r="J711" s="8"/>
      <c r="K711" s="8"/>
    </row>
    <row r="712" ht="14.25" customHeight="1">
      <c r="F712" s="8"/>
      <c r="I712" s="8"/>
      <c r="J712" s="8"/>
      <c r="K712" s="8"/>
    </row>
    <row r="713" ht="14.25" customHeight="1">
      <c r="F713" s="8"/>
      <c r="I713" s="8"/>
      <c r="J713" s="8"/>
      <c r="K713" s="8"/>
    </row>
    <row r="714" ht="14.25" customHeight="1">
      <c r="F714" s="8"/>
      <c r="I714" s="8"/>
      <c r="J714" s="8"/>
      <c r="K714" s="8"/>
    </row>
    <row r="715" ht="14.25" customHeight="1">
      <c r="F715" s="8"/>
      <c r="I715" s="8"/>
      <c r="J715" s="8"/>
      <c r="K715" s="8"/>
    </row>
    <row r="716" ht="14.25" customHeight="1">
      <c r="F716" s="8"/>
      <c r="I716" s="8"/>
      <c r="J716" s="8"/>
      <c r="K716" s="8"/>
    </row>
    <row r="717" ht="14.25" customHeight="1">
      <c r="F717" s="8"/>
      <c r="I717" s="8"/>
      <c r="J717" s="8"/>
      <c r="K717" s="8"/>
    </row>
    <row r="718" ht="14.25" customHeight="1">
      <c r="F718" s="8"/>
      <c r="I718" s="8"/>
      <c r="J718" s="8"/>
      <c r="K718" s="8"/>
    </row>
    <row r="719" ht="14.25" customHeight="1">
      <c r="F719" s="8"/>
      <c r="I719" s="8"/>
      <c r="J719" s="8"/>
      <c r="K719" s="8"/>
    </row>
    <row r="720" ht="14.25" customHeight="1">
      <c r="F720" s="8"/>
      <c r="I720" s="8"/>
      <c r="J720" s="8"/>
      <c r="K720" s="8"/>
    </row>
    <row r="721" ht="14.25" customHeight="1">
      <c r="F721" s="8"/>
      <c r="I721" s="8"/>
      <c r="J721" s="8"/>
      <c r="K721" s="8"/>
    </row>
    <row r="722" ht="14.25" customHeight="1">
      <c r="F722" s="8"/>
      <c r="I722" s="8"/>
      <c r="J722" s="8"/>
      <c r="K722" s="8"/>
    </row>
    <row r="723" ht="14.25" customHeight="1">
      <c r="F723" s="8"/>
      <c r="I723" s="8"/>
      <c r="J723" s="8"/>
      <c r="K723" s="8"/>
    </row>
    <row r="724" ht="14.25" customHeight="1">
      <c r="F724" s="8"/>
      <c r="I724" s="8"/>
      <c r="J724" s="8"/>
      <c r="K724" s="8"/>
    </row>
    <row r="725" ht="14.25" customHeight="1">
      <c r="F725" s="8"/>
      <c r="I725" s="8"/>
      <c r="J725" s="8"/>
      <c r="K725" s="8"/>
    </row>
    <row r="726" ht="14.25" customHeight="1">
      <c r="F726" s="8"/>
      <c r="I726" s="8"/>
      <c r="J726" s="8"/>
      <c r="K726" s="8"/>
    </row>
    <row r="727" ht="14.25" customHeight="1">
      <c r="F727" s="8"/>
      <c r="I727" s="8"/>
      <c r="J727" s="8"/>
      <c r="K727" s="8"/>
    </row>
    <row r="728" ht="14.25" customHeight="1">
      <c r="F728" s="8"/>
      <c r="I728" s="8"/>
      <c r="J728" s="8"/>
      <c r="K728" s="8"/>
    </row>
    <row r="729" ht="14.25" customHeight="1">
      <c r="F729" s="8"/>
      <c r="I729" s="8"/>
      <c r="J729" s="8"/>
      <c r="K729" s="8"/>
    </row>
    <row r="730" ht="14.25" customHeight="1">
      <c r="F730" s="8"/>
      <c r="I730" s="8"/>
      <c r="J730" s="8"/>
      <c r="K730" s="8"/>
    </row>
    <row r="731" ht="14.25" customHeight="1">
      <c r="F731" s="8"/>
      <c r="I731" s="8"/>
      <c r="J731" s="8"/>
      <c r="K731" s="8"/>
    </row>
    <row r="732" ht="14.25" customHeight="1">
      <c r="F732" s="8"/>
      <c r="I732" s="8"/>
      <c r="J732" s="8"/>
      <c r="K732" s="8"/>
    </row>
    <row r="733" ht="14.25" customHeight="1">
      <c r="F733" s="8"/>
      <c r="I733" s="8"/>
      <c r="J733" s="8"/>
      <c r="K733" s="8"/>
    </row>
    <row r="734" ht="14.25" customHeight="1">
      <c r="F734" s="8"/>
      <c r="I734" s="8"/>
      <c r="J734" s="8"/>
      <c r="K734" s="8"/>
    </row>
    <row r="735" ht="14.25" customHeight="1">
      <c r="F735" s="8"/>
      <c r="I735" s="8"/>
      <c r="J735" s="8"/>
      <c r="K735" s="8"/>
    </row>
    <row r="736" ht="14.25" customHeight="1">
      <c r="F736" s="8"/>
      <c r="I736" s="8"/>
      <c r="J736" s="8"/>
      <c r="K736" s="8"/>
    </row>
    <row r="737" ht="14.25" customHeight="1">
      <c r="F737" s="8"/>
      <c r="I737" s="8"/>
      <c r="J737" s="8"/>
      <c r="K737" s="8"/>
    </row>
    <row r="738" ht="14.25" customHeight="1">
      <c r="F738" s="8"/>
      <c r="I738" s="8"/>
      <c r="J738" s="8"/>
      <c r="K738" s="8"/>
    </row>
    <row r="739" ht="14.25" customHeight="1">
      <c r="F739" s="8"/>
      <c r="I739" s="8"/>
      <c r="J739" s="8"/>
      <c r="K739" s="8"/>
    </row>
    <row r="740" ht="14.25" customHeight="1">
      <c r="F740" s="8"/>
      <c r="I740" s="8"/>
      <c r="J740" s="8"/>
      <c r="K740" s="8"/>
    </row>
    <row r="741" ht="14.25" customHeight="1">
      <c r="F741" s="8"/>
      <c r="I741" s="8"/>
      <c r="J741" s="8"/>
      <c r="K741" s="8"/>
    </row>
    <row r="742" ht="14.25" customHeight="1">
      <c r="F742" s="8"/>
      <c r="I742" s="8"/>
      <c r="J742" s="8"/>
      <c r="K742" s="8"/>
    </row>
    <row r="743" ht="14.25" customHeight="1">
      <c r="F743" s="8"/>
      <c r="I743" s="8"/>
      <c r="J743" s="8"/>
      <c r="K743" s="8"/>
    </row>
    <row r="744" ht="14.25" customHeight="1">
      <c r="F744" s="8"/>
      <c r="I744" s="8"/>
      <c r="J744" s="8"/>
      <c r="K744" s="8"/>
    </row>
    <row r="745" ht="14.25" customHeight="1">
      <c r="F745" s="8"/>
      <c r="I745" s="8"/>
      <c r="J745" s="8"/>
      <c r="K745" s="8"/>
    </row>
    <row r="746" ht="14.25" customHeight="1">
      <c r="F746" s="8"/>
      <c r="I746" s="8"/>
      <c r="J746" s="8"/>
      <c r="K746" s="8"/>
    </row>
    <row r="747" ht="14.25" customHeight="1">
      <c r="F747" s="8"/>
      <c r="I747" s="8"/>
      <c r="J747" s="8"/>
      <c r="K747" s="8"/>
    </row>
    <row r="748" ht="14.25" customHeight="1">
      <c r="F748" s="8"/>
      <c r="I748" s="8"/>
      <c r="J748" s="8"/>
      <c r="K748" s="8"/>
    </row>
    <row r="749" ht="14.25" customHeight="1">
      <c r="F749" s="8"/>
      <c r="I749" s="8"/>
      <c r="J749" s="8"/>
      <c r="K749" s="8"/>
    </row>
    <row r="750" ht="14.25" customHeight="1">
      <c r="F750" s="8"/>
      <c r="I750" s="8"/>
      <c r="J750" s="8"/>
      <c r="K750" s="8"/>
    </row>
    <row r="751" ht="14.25" customHeight="1">
      <c r="F751" s="8"/>
      <c r="I751" s="8"/>
      <c r="J751" s="8"/>
      <c r="K751" s="8"/>
    </row>
    <row r="752" ht="14.25" customHeight="1">
      <c r="F752" s="8"/>
      <c r="I752" s="8"/>
      <c r="J752" s="8"/>
      <c r="K752" s="8"/>
    </row>
    <row r="753" ht="14.25" customHeight="1">
      <c r="F753" s="8"/>
      <c r="I753" s="8"/>
      <c r="J753" s="8"/>
      <c r="K753" s="8"/>
    </row>
    <row r="754" ht="14.25" customHeight="1">
      <c r="F754" s="8"/>
      <c r="I754" s="8"/>
      <c r="J754" s="8"/>
      <c r="K754" s="8"/>
    </row>
    <row r="755" ht="14.25" customHeight="1">
      <c r="F755" s="8"/>
      <c r="I755" s="8"/>
      <c r="J755" s="8"/>
      <c r="K755" s="8"/>
    </row>
    <row r="756" ht="14.25" customHeight="1">
      <c r="F756" s="8"/>
      <c r="I756" s="8"/>
      <c r="J756" s="8"/>
      <c r="K756" s="8"/>
    </row>
    <row r="757" ht="14.25" customHeight="1">
      <c r="F757" s="8"/>
      <c r="I757" s="8"/>
      <c r="J757" s="8"/>
      <c r="K757" s="8"/>
    </row>
    <row r="758" ht="14.25" customHeight="1">
      <c r="F758" s="8"/>
      <c r="I758" s="8"/>
      <c r="J758" s="8"/>
      <c r="K758" s="8"/>
    </row>
    <row r="759" ht="14.25" customHeight="1">
      <c r="F759" s="8"/>
      <c r="I759" s="8"/>
      <c r="J759" s="8"/>
      <c r="K759" s="8"/>
    </row>
    <row r="760" ht="14.25" customHeight="1">
      <c r="F760" s="8"/>
      <c r="I760" s="8"/>
      <c r="J760" s="8"/>
      <c r="K760" s="8"/>
    </row>
    <row r="761" ht="14.25" customHeight="1">
      <c r="F761" s="8"/>
      <c r="I761" s="8"/>
      <c r="J761" s="8"/>
      <c r="K761" s="8"/>
    </row>
    <row r="762" ht="14.25" customHeight="1">
      <c r="F762" s="8"/>
      <c r="I762" s="8"/>
      <c r="J762" s="8"/>
      <c r="K762" s="8"/>
    </row>
    <row r="763" ht="14.25" customHeight="1">
      <c r="F763" s="8"/>
      <c r="I763" s="8"/>
      <c r="J763" s="8"/>
      <c r="K763" s="8"/>
    </row>
    <row r="764" ht="14.25" customHeight="1">
      <c r="F764" s="8"/>
      <c r="I764" s="8"/>
      <c r="J764" s="8"/>
      <c r="K764" s="8"/>
    </row>
    <row r="765" ht="14.25" customHeight="1">
      <c r="F765" s="8"/>
      <c r="I765" s="8"/>
      <c r="J765" s="8"/>
      <c r="K765" s="8"/>
    </row>
    <row r="766" ht="14.25" customHeight="1">
      <c r="F766" s="8"/>
      <c r="I766" s="8"/>
      <c r="J766" s="8"/>
      <c r="K766" s="8"/>
    </row>
    <row r="767" ht="14.25" customHeight="1">
      <c r="F767" s="8"/>
      <c r="I767" s="8"/>
      <c r="J767" s="8"/>
      <c r="K767" s="8"/>
    </row>
    <row r="768" ht="14.25" customHeight="1">
      <c r="F768" s="8"/>
      <c r="I768" s="8"/>
      <c r="J768" s="8"/>
      <c r="K768" s="8"/>
    </row>
    <row r="769" ht="14.25" customHeight="1">
      <c r="F769" s="8"/>
      <c r="I769" s="8"/>
      <c r="J769" s="8"/>
      <c r="K769" s="8"/>
    </row>
    <row r="770" ht="14.25" customHeight="1">
      <c r="F770" s="8"/>
      <c r="I770" s="8"/>
      <c r="J770" s="8"/>
      <c r="K770" s="8"/>
    </row>
    <row r="771" ht="14.25" customHeight="1">
      <c r="F771" s="8"/>
      <c r="I771" s="8"/>
      <c r="J771" s="8"/>
      <c r="K771" s="8"/>
    </row>
    <row r="772" ht="14.25" customHeight="1">
      <c r="F772" s="8"/>
      <c r="I772" s="8"/>
      <c r="J772" s="8"/>
      <c r="K772" s="8"/>
    </row>
    <row r="773" ht="14.25" customHeight="1">
      <c r="F773" s="8"/>
      <c r="I773" s="8"/>
      <c r="J773" s="8"/>
      <c r="K773" s="8"/>
    </row>
    <row r="774" ht="14.25" customHeight="1">
      <c r="F774" s="8"/>
      <c r="I774" s="8"/>
      <c r="J774" s="8"/>
      <c r="K774" s="8"/>
    </row>
    <row r="775" ht="14.25" customHeight="1">
      <c r="F775" s="8"/>
      <c r="I775" s="8"/>
      <c r="J775" s="8"/>
      <c r="K775" s="8"/>
    </row>
    <row r="776" ht="14.25" customHeight="1">
      <c r="F776" s="8"/>
      <c r="I776" s="8"/>
      <c r="J776" s="8"/>
      <c r="K776" s="8"/>
    </row>
    <row r="777" ht="14.25" customHeight="1">
      <c r="F777" s="8"/>
      <c r="I777" s="8"/>
      <c r="J777" s="8"/>
      <c r="K777" s="8"/>
    </row>
    <row r="778" ht="14.25" customHeight="1">
      <c r="F778" s="8"/>
      <c r="I778" s="8"/>
      <c r="J778" s="8"/>
      <c r="K778" s="8"/>
    </row>
    <row r="779" ht="14.25" customHeight="1">
      <c r="F779" s="8"/>
      <c r="I779" s="8"/>
      <c r="J779" s="8"/>
      <c r="K779" s="8"/>
    </row>
    <row r="780" ht="14.25" customHeight="1">
      <c r="F780" s="8"/>
      <c r="I780" s="8"/>
      <c r="J780" s="8"/>
      <c r="K780" s="8"/>
    </row>
    <row r="781" ht="14.25" customHeight="1">
      <c r="F781" s="8"/>
      <c r="I781" s="8"/>
      <c r="J781" s="8"/>
      <c r="K781" s="8"/>
    </row>
    <row r="782" ht="14.25" customHeight="1">
      <c r="F782" s="8"/>
      <c r="I782" s="8"/>
      <c r="J782" s="8"/>
      <c r="K782" s="8"/>
    </row>
    <row r="783" ht="14.25" customHeight="1">
      <c r="F783" s="8"/>
      <c r="I783" s="8"/>
      <c r="J783" s="8"/>
      <c r="K783" s="8"/>
    </row>
    <row r="784" ht="14.25" customHeight="1">
      <c r="F784" s="8"/>
      <c r="I784" s="8"/>
      <c r="J784" s="8"/>
      <c r="K784" s="8"/>
    </row>
    <row r="785" ht="14.25" customHeight="1">
      <c r="F785" s="8"/>
      <c r="I785" s="8"/>
      <c r="J785" s="8"/>
      <c r="K785" s="8"/>
    </row>
    <row r="786" ht="14.25" customHeight="1">
      <c r="F786" s="8"/>
      <c r="I786" s="8"/>
      <c r="J786" s="8"/>
      <c r="K786" s="8"/>
    </row>
    <row r="787" ht="14.25" customHeight="1">
      <c r="F787" s="8"/>
      <c r="I787" s="8"/>
      <c r="J787" s="8"/>
      <c r="K787" s="8"/>
    </row>
    <row r="788" ht="14.25" customHeight="1">
      <c r="F788" s="8"/>
      <c r="I788" s="8"/>
      <c r="J788" s="8"/>
      <c r="K788" s="8"/>
    </row>
    <row r="789" ht="14.25" customHeight="1">
      <c r="F789" s="8"/>
      <c r="I789" s="8"/>
      <c r="J789" s="8"/>
      <c r="K789" s="8"/>
    </row>
    <row r="790" ht="14.25" customHeight="1">
      <c r="F790" s="8"/>
      <c r="I790" s="8"/>
      <c r="J790" s="8"/>
      <c r="K790" s="8"/>
    </row>
    <row r="791" ht="14.25" customHeight="1">
      <c r="F791" s="8"/>
      <c r="I791" s="8"/>
      <c r="J791" s="8"/>
      <c r="K791" s="8"/>
    </row>
    <row r="792" ht="14.25" customHeight="1">
      <c r="F792" s="8"/>
      <c r="I792" s="8"/>
      <c r="J792" s="8"/>
      <c r="K792" s="8"/>
    </row>
    <row r="793" ht="14.25" customHeight="1">
      <c r="F793" s="8"/>
      <c r="I793" s="8"/>
      <c r="J793" s="8"/>
      <c r="K793" s="8"/>
    </row>
    <row r="794" ht="14.25" customHeight="1">
      <c r="F794" s="8"/>
      <c r="I794" s="8"/>
      <c r="J794" s="8"/>
      <c r="K794" s="8"/>
    </row>
    <row r="795" ht="14.25" customHeight="1">
      <c r="F795" s="8"/>
      <c r="I795" s="8"/>
      <c r="J795" s="8"/>
      <c r="K795" s="8"/>
    </row>
    <row r="796" ht="14.25" customHeight="1">
      <c r="F796" s="8"/>
      <c r="I796" s="8"/>
      <c r="J796" s="8"/>
      <c r="K796" s="8"/>
    </row>
    <row r="797" ht="14.25" customHeight="1">
      <c r="F797" s="8"/>
      <c r="I797" s="8"/>
      <c r="J797" s="8"/>
      <c r="K797" s="8"/>
    </row>
    <row r="798" ht="14.25" customHeight="1">
      <c r="F798" s="8"/>
      <c r="I798" s="8"/>
      <c r="J798" s="8"/>
      <c r="K798" s="8"/>
    </row>
    <row r="799" ht="14.25" customHeight="1">
      <c r="F799" s="8"/>
      <c r="I799" s="8"/>
      <c r="J799" s="8"/>
      <c r="K799" s="8"/>
    </row>
    <row r="800" ht="14.25" customHeight="1">
      <c r="F800" s="8"/>
      <c r="I800" s="8"/>
      <c r="J800" s="8"/>
      <c r="K800" s="8"/>
    </row>
    <row r="801" ht="14.25" customHeight="1">
      <c r="F801" s="8"/>
      <c r="I801" s="8"/>
      <c r="J801" s="8"/>
      <c r="K801" s="8"/>
    </row>
    <row r="802" ht="14.25" customHeight="1">
      <c r="F802" s="8"/>
      <c r="I802" s="8"/>
      <c r="J802" s="8"/>
      <c r="K802" s="8"/>
    </row>
    <row r="803" ht="14.25" customHeight="1">
      <c r="F803" s="8"/>
      <c r="I803" s="8"/>
      <c r="J803" s="8"/>
      <c r="K803" s="8"/>
    </row>
    <row r="804" ht="14.25" customHeight="1">
      <c r="F804" s="8"/>
      <c r="I804" s="8"/>
      <c r="J804" s="8"/>
      <c r="K804" s="8"/>
    </row>
    <row r="805" ht="14.25" customHeight="1">
      <c r="F805" s="8"/>
      <c r="I805" s="8"/>
      <c r="J805" s="8"/>
      <c r="K805" s="8"/>
    </row>
    <row r="806" ht="14.25" customHeight="1">
      <c r="F806" s="8"/>
      <c r="I806" s="8"/>
      <c r="J806" s="8"/>
      <c r="K806" s="8"/>
    </row>
    <row r="807" ht="14.25" customHeight="1">
      <c r="F807" s="8"/>
      <c r="I807" s="8"/>
      <c r="J807" s="8"/>
      <c r="K807" s="8"/>
    </row>
    <row r="808" ht="14.25" customHeight="1">
      <c r="F808" s="8"/>
      <c r="I808" s="8"/>
      <c r="J808" s="8"/>
      <c r="K808" s="8"/>
    </row>
    <row r="809" ht="14.25" customHeight="1">
      <c r="F809" s="8"/>
      <c r="I809" s="8"/>
      <c r="J809" s="8"/>
      <c r="K809" s="8"/>
    </row>
    <row r="810" ht="14.25" customHeight="1">
      <c r="F810" s="8"/>
      <c r="I810" s="8"/>
      <c r="J810" s="8"/>
      <c r="K810" s="8"/>
    </row>
    <row r="811" ht="14.25" customHeight="1">
      <c r="F811" s="8"/>
      <c r="I811" s="8"/>
      <c r="J811" s="8"/>
      <c r="K811" s="8"/>
    </row>
    <row r="812" ht="14.25" customHeight="1">
      <c r="F812" s="8"/>
      <c r="I812" s="8"/>
      <c r="J812" s="8"/>
      <c r="K812" s="8"/>
    </row>
    <row r="813" ht="14.25" customHeight="1">
      <c r="F813" s="8"/>
      <c r="I813" s="8"/>
      <c r="J813" s="8"/>
      <c r="K813" s="8"/>
    </row>
    <row r="814" ht="14.25" customHeight="1">
      <c r="F814" s="8"/>
      <c r="I814" s="8"/>
      <c r="J814" s="8"/>
      <c r="K814" s="8"/>
    </row>
    <row r="815" ht="14.25" customHeight="1">
      <c r="F815" s="8"/>
      <c r="I815" s="8"/>
      <c r="J815" s="8"/>
      <c r="K815" s="8"/>
    </row>
    <row r="816" ht="14.25" customHeight="1">
      <c r="F816" s="8"/>
      <c r="I816" s="8"/>
      <c r="J816" s="8"/>
      <c r="K816" s="8"/>
    </row>
    <row r="817" ht="14.25" customHeight="1">
      <c r="F817" s="8"/>
      <c r="I817" s="8"/>
      <c r="J817" s="8"/>
      <c r="K817" s="8"/>
    </row>
    <row r="818" ht="14.25" customHeight="1">
      <c r="F818" s="8"/>
      <c r="I818" s="8"/>
      <c r="J818" s="8"/>
      <c r="K818" s="8"/>
    </row>
    <row r="819" ht="14.25" customHeight="1">
      <c r="F819" s="8"/>
      <c r="I819" s="8"/>
      <c r="J819" s="8"/>
      <c r="K819" s="8"/>
    </row>
    <row r="820" ht="14.25" customHeight="1">
      <c r="F820" s="8"/>
      <c r="I820" s="8"/>
      <c r="J820" s="8"/>
      <c r="K820" s="8"/>
    </row>
    <row r="821" ht="14.25" customHeight="1">
      <c r="F821" s="8"/>
      <c r="I821" s="8"/>
      <c r="J821" s="8"/>
      <c r="K821" s="8"/>
    </row>
    <row r="822" ht="14.25" customHeight="1">
      <c r="F822" s="8"/>
      <c r="I822" s="8"/>
      <c r="J822" s="8"/>
      <c r="K822" s="8"/>
    </row>
    <row r="823" ht="14.25" customHeight="1">
      <c r="F823" s="8"/>
      <c r="I823" s="8"/>
      <c r="J823" s="8"/>
      <c r="K823" s="8"/>
    </row>
    <row r="824" ht="14.25" customHeight="1">
      <c r="F824" s="8"/>
      <c r="I824" s="8"/>
      <c r="J824" s="8"/>
      <c r="K824" s="8"/>
    </row>
    <row r="825" ht="14.25" customHeight="1">
      <c r="F825" s="8"/>
      <c r="I825" s="8"/>
      <c r="J825" s="8"/>
      <c r="K825" s="8"/>
    </row>
    <row r="826" ht="14.25" customHeight="1">
      <c r="F826" s="8"/>
      <c r="I826" s="8"/>
      <c r="J826" s="8"/>
      <c r="K826" s="8"/>
    </row>
    <row r="827" ht="14.25" customHeight="1">
      <c r="F827" s="8"/>
      <c r="I827" s="8"/>
      <c r="J827" s="8"/>
      <c r="K827" s="8"/>
    </row>
    <row r="828" ht="14.25" customHeight="1">
      <c r="F828" s="8"/>
      <c r="I828" s="8"/>
      <c r="J828" s="8"/>
      <c r="K828" s="8"/>
    </row>
    <row r="829" ht="14.25" customHeight="1">
      <c r="F829" s="8"/>
      <c r="I829" s="8"/>
      <c r="J829" s="8"/>
      <c r="K829" s="8"/>
    </row>
    <row r="830" ht="14.25" customHeight="1">
      <c r="F830" s="8"/>
      <c r="I830" s="8"/>
      <c r="J830" s="8"/>
      <c r="K830" s="8"/>
    </row>
    <row r="831" ht="14.25" customHeight="1">
      <c r="F831" s="8"/>
      <c r="I831" s="8"/>
      <c r="J831" s="8"/>
      <c r="K831" s="8"/>
    </row>
    <row r="832" ht="14.25" customHeight="1">
      <c r="F832" s="8"/>
      <c r="I832" s="8"/>
      <c r="J832" s="8"/>
      <c r="K832" s="8"/>
    </row>
    <row r="833" ht="14.25" customHeight="1">
      <c r="F833" s="8"/>
      <c r="I833" s="8"/>
      <c r="J833" s="8"/>
      <c r="K833" s="8"/>
    </row>
    <row r="834" ht="14.25" customHeight="1">
      <c r="F834" s="8"/>
      <c r="I834" s="8"/>
      <c r="J834" s="8"/>
      <c r="K834" s="8"/>
    </row>
    <row r="835" ht="14.25" customHeight="1">
      <c r="F835" s="8"/>
      <c r="I835" s="8"/>
      <c r="J835" s="8"/>
      <c r="K835" s="8"/>
    </row>
    <row r="836" ht="14.25" customHeight="1">
      <c r="F836" s="8"/>
      <c r="I836" s="8"/>
      <c r="J836" s="8"/>
      <c r="K836" s="8"/>
    </row>
    <row r="837" ht="14.25" customHeight="1">
      <c r="F837" s="8"/>
      <c r="I837" s="8"/>
      <c r="J837" s="8"/>
      <c r="K837" s="8"/>
    </row>
    <row r="838" ht="14.25" customHeight="1">
      <c r="F838" s="8"/>
      <c r="I838" s="8"/>
      <c r="J838" s="8"/>
      <c r="K838" s="8"/>
    </row>
    <row r="839" ht="14.25" customHeight="1">
      <c r="F839" s="8"/>
      <c r="I839" s="8"/>
      <c r="J839" s="8"/>
      <c r="K839" s="8"/>
    </row>
    <row r="840" ht="14.25" customHeight="1">
      <c r="F840" s="8"/>
      <c r="I840" s="8"/>
      <c r="J840" s="8"/>
      <c r="K840" s="8"/>
    </row>
    <row r="841" ht="14.25" customHeight="1">
      <c r="F841" s="8"/>
      <c r="I841" s="8"/>
      <c r="J841" s="8"/>
      <c r="K841" s="8"/>
    </row>
    <row r="842" ht="14.25" customHeight="1">
      <c r="F842" s="8"/>
      <c r="I842" s="8"/>
      <c r="J842" s="8"/>
      <c r="K842" s="8"/>
    </row>
    <row r="843" ht="14.25" customHeight="1">
      <c r="F843" s="8"/>
      <c r="I843" s="8"/>
      <c r="J843" s="8"/>
      <c r="K843" s="8"/>
    </row>
    <row r="844" ht="14.25" customHeight="1">
      <c r="F844" s="8"/>
      <c r="I844" s="8"/>
      <c r="J844" s="8"/>
      <c r="K844" s="8"/>
    </row>
    <row r="845" ht="14.25" customHeight="1">
      <c r="F845" s="8"/>
      <c r="I845" s="8"/>
      <c r="J845" s="8"/>
      <c r="K845" s="8"/>
    </row>
    <row r="846" ht="14.25" customHeight="1">
      <c r="F846" s="8"/>
      <c r="I846" s="8"/>
      <c r="J846" s="8"/>
      <c r="K846" s="8"/>
    </row>
    <row r="847" ht="14.25" customHeight="1">
      <c r="F847" s="8"/>
      <c r="I847" s="8"/>
      <c r="J847" s="8"/>
      <c r="K847" s="8"/>
    </row>
    <row r="848" ht="14.25" customHeight="1">
      <c r="F848" s="8"/>
      <c r="I848" s="8"/>
      <c r="J848" s="8"/>
      <c r="K848" s="8"/>
    </row>
    <row r="849" ht="14.25" customHeight="1">
      <c r="F849" s="8"/>
      <c r="I849" s="8"/>
      <c r="J849" s="8"/>
      <c r="K849" s="8"/>
    </row>
    <row r="850" ht="14.25" customHeight="1">
      <c r="F850" s="8"/>
      <c r="I850" s="8"/>
      <c r="J850" s="8"/>
      <c r="K850" s="8"/>
    </row>
    <row r="851" ht="14.25" customHeight="1">
      <c r="F851" s="8"/>
      <c r="I851" s="8"/>
      <c r="J851" s="8"/>
      <c r="K851" s="8"/>
    </row>
    <row r="852" ht="14.25" customHeight="1">
      <c r="F852" s="8"/>
      <c r="I852" s="8"/>
      <c r="J852" s="8"/>
      <c r="K852" s="8"/>
    </row>
    <row r="853" ht="14.25" customHeight="1">
      <c r="F853" s="8"/>
      <c r="I853" s="8"/>
      <c r="J853" s="8"/>
      <c r="K853" s="8"/>
    </row>
    <row r="854" ht="14.25" customHeight="1">
      <c r="F854" s="8"/>
      <c r="I854" s="8"/>
      <c r="J854" s="8"/>
      <c r="K854" s="8"/>
    </row>
    <row r="855" ht="14.25" customHeight="1">
      <c r="F855" s="8"/>
      <c r="I855" s="8"/>
      <c r="J855" s="8"/>
      <c r="K855" s="8"/>
    </row>
    <row r="856" ht="14.25" customHeight="1">
      <c r="F856" s="8"/>
      <c r="I856" s="8"/>
      <c r="J856" s="8"/>
      <c r="K856" s="8"/>
    </row>
    <row r="857" ht="14.25" customHeight="1">
      <c r="F857" s="8"/>
      <c r="I857" s="8"/>
      <c r="J857" s="8"/>
      <c r="K857" s="8"/>
    </row>
    <row r="858" ht="14.25" customHeight="1">
      <c r="F858" s="8"/>
      <c r="I858" s="8"/>
      <c r="J858" s="8"/>
      <c r="K858" s="8"/>
    </row>
    <row r="859" ht="14.25" customHeight="1">
      <c r="F859" s="8"/>
      <c r="I859" s="8"/>
      <c r="J859" s="8"/>
      <c r="K859" s="8"/>
    </row>
    <row r="860" ht="14.25" customHeight="1">
      <c r="F860" s="8"/>
      <c r="I860" s="8"/>
      <c r="J860" s="8"/>
      <c r="K860" s="8"/>
    </row>
    <row r="861" ht="14.25" customHeight="1">
      <c r="F861" s="8"/>
      <c r="I861" s="8"/>
      <c r="J861" s="8"/>
      <c r="K861" s="8"/>
    </row>
    <row r="862" ht="14.25" customHeight="1">
      <c r="F862" s="8"/>
      <c r="I862" s="8"/>
      <c r="J862" s="8"/>
      <c r="K862" s="8"/>
    </row>
    <row r="863" ht="14.25" customHeight="1">
      <c r="F863" s="8"/>
      <c r="I863" s="8"/>
      <c r="J863" s="8"/>
      <c r="K863" s="8"/>
    </row>
    <row r="864" ht="14.25" customHeight="1">
      <c r="F864" s="8"/>
      <c r="I864" s="8"/>
      <c r="J864" s="8"/>
      <c r="K864" s="8"/>
    </row>
    <row r="865" ht="14.25" customHeight="1">
      <c r="F865" s="8"/>
      <c r="I865" s="8"/>
      <c r="J865" s="8"/>
      <c r="K865" s="8"/>
    </row>
    <row r="866" ht="14.25" customHeight="1">
      <c r="F866" s="8"/>
      <c r="I866" s="8"/>
      <c r="J866" s="8"/>
      <c r="K866" s="8"/>
    </row>
    <row r="867" ht="14.25" customHeight="1">
      <c r="F867" s="8"/>
      <c r="I867" s="8"/>
      <c r="J867" s="8"/>
      <c r="K867" s="8"/>
    </row>
    <row r="868" ht="14.25" customHeight="1">
      <c r="F868" s="8"/>
      <c r="I868" s="8"/>
      <c r="J868" s="8"/>
      <c r="K868" s="8"/>
    </row>
    <row r="869" ht="14.25" customHeight="1">
      <c r="F869" s="8"/>
      <c r="I869" s="8"/>
      <c r="J869" s="8"/>
      <c r="K869" s="8"/>
    </row>
    <row r="870" ht="14.25" customHeight="1">
      <c r="F870" s="8"/>
      <c r="I870" s="8"/>
      <c r="J870" s="8"/>
      <c r="K870" s="8"/>
    </row>
    <row r="871" ht="14.25" customHeight="1">
      <c r="F871" s="8"/>
      <c r="I871" s="8"/>
      <c r="J871" s="8"/>
      <c r="K871" s="8"/>
    </row>
    <row r="872" ht="14.25" customHeight="1">
      <c r="F872" s="8"/>
      <c r="I872" s="8"/>
      <c r="J872" s="8"/>
      <c r="K872" s="8"/>
    </row>
    <row r="873" ht="14.25" customHeight="1">
      <c r="F873" s="8"/>
      <c r="I873" s="8"/>
      <c r="J873" s="8"/>
      <c r="K873" s="8"/>
    </row>
    <row r="874" ht="14.25" customHeight="1">
      <c r="F874" s="8"/>
      <c r="I874" s="8"/>
      <c r="J874" s="8"/>
      <c r="K874" s="8"/>
    </row>
    <row r="875" ht="14.25" customHeight="1">
      <c r="F875" s="8"/>
      <c r="I875" s="8"/>
      <c r="J875" s="8"/>
      <c r="K875" s="8"/>
    </row>
    <row r="876" ht="14.25" customHeight="1">
      <c r="F876" s="8"/>
      <c r="I876" s="8"/>
      <c r="J876" s="8"/>
      <c r="K876" s="8"/>
    </row>
    <row r="877" ht="14.25" customHeight="1">
      <c r="F877" s="8"/>
      <c r="I877" s="8"/>
      <c r="J877" s="8"/>
      <c r="K877" s="8"/>
    </row>
    <row r="878" ht="14.25" customHeight="1">
      <c r="F878" s="8"/>
      <c r="I878" s="8"/>
      <c r="J878" s="8"/>
      <c r="K878" s="8"/>
    </row>
    <row r="879" ht="14.25" customHeight="1">
      <c r="F879" s="8"/>
      <c r="I879" s="8"/>
      <c r="J879" s="8"/>
      <c r="K879" s="8"/>
    </row>
    <row r="880" ht="14.25" customHeight="1">
      <c r="F880" s="8"/>
      <c r="I880" s="8"/>
      <c r="J880" s="8"/>
      <c r="K880" s="8"/>
    </row>
    <row r="881" ht="14.25" customHeight="1">
      <c r="F881" s="8"/>
      <c r="I881" s="8"/>
      <c r="J881" s="8"/>
      <c r="K881" s="8"/>
    </row>
    <row r="882" ht="14.25" customHeight="1">
      <c r="F882" s="8"/>
      <c r="I882" s="8"/>
      <c r="J882" s="8"/>
      <c r="K882" s="8"/>
    </row>
    <row r="883" ht="14.25" customHeight="1">
      <c r="F883" s="8"/>
      <c r="I883" s="8"/>
      <c r="J883" s="8"/>
      <c r="K883" s="8"/>
    </row>
    <row r="884" ht="14.25" customHeight="1">
      <c r="F884" s="8"/>
      <c r="I884" s="8"/>
      <c r="J884" s="8"/>
      <c r="K884" s="8"/>
    </row>
    <row r="885" ht="14.25" customHeight="1">
      <c r="F885" s="8"/>
      <c r="I885" s="8"/>
      <c r="J885" s="8"/>
      <c r="K885" s="8"/>
    </row>
    <row r="886" ht="14.25" customHeight="1">
      <c r="F886" s="8"/>
      <c r="I886" s="8"/>
      <c r="J886" s="8"/>
      <c r="K886" s="8"/>
    </row>
    <row r="887" ht="14.25" customHeight="1">
      <c r="F887" s="8"/>
      <c r="I887" s="8"/>
      <c r="J887" s="8"/>
      <c r="K887" s="8"/>
    </row>
    <row r="888" ht="14.25" customHeight="1">
      <c r="F888" s="8"/>
      <c r="I888" s="8"/>
      <c r="J888" s="8"/>
      <c r="K888" s="8"/>
    </row>
    <row r="889" ht="14.25" customHeight="1">
      <c r="F889" s="8"/>
      <c r="I889" s="8"/>
      <c r="J889" s="8"/>
      <c r="K889" s="8"/>
    </row>
    <row r="890" ht="14.25" customHeight="1">
      <c r="F890" s="8"/>
      <c r="I890" s="8"/>
      <c r="J890" s="8"/>
      <c r="K890" s="8"/>
    </row>
    <row r="891" ht="14.25" customHeight="1">
      <c r="F891" s="8"/>
      <c r="I891" s="8"/>
      <c r="J891" s="8"/>
      <c r="K891" s="8"/>
    </row>
    <row r="892" ht="14.25" customHeight="1">
      <c r="F892" s="8"/>
      <c r="I892" s="8"/>
      <c r="J892" s="8"/>
      <c r="K892" s="8"/>
    </row>
    <row r="893" ht="14.25" customHeight="1">
      <c r="F893" s="8"/>
      <c r="I893" s="8"/>
      <c r="J893" s="8"/>
      <c r="K893" s="8"/>
    </row>
    <row r="894" ht="14.25" customHeight="1">
      <c r="F894" s="8"/>
      <c r="I894" s="8"/>
      <c r="J894" s="8"/>
      <c r="K894" s="8"/>
    </row>
    <row r="895" ht="14.25" customHeight="1">
      <c r="F895" s="8"/>
      <c r="I895" s="8"/>
      <c r="J895" s="8"/>
      <c r="K895" s="8"/>
    </row>
    <row r="896" ht="14.25" customHeight="1">
      <c r="F896" s="8"/>
      <c r="I896" s="8"/>
      <c r="J896" s="8"/>
      <c r="K896" s="8"/>
    </row>
    <row r="897" ht="14.25" customHeight="1">
      <c r="F897" s="8"/>
      <c r="I897" s="8"/>
      <c r="J897" s="8"/>
      <c r="K897" s="8"/>
    </row>
    <row r="898" ht="14.25" customHeight="1">
      <c r="F898" s="8"/>
      <c r="I898" s="8"/>
      <c r="J898" s="8"/>
      <c r="K898" s="8"/>
    </row>
    <row r="899" ht="14.25" customHeight="1">
      <c r="F899" s="8"/>
      <c r="I899" s="8"/>
      <c r="J899" s="8"/>
      <c r="K899" s="8"/>
    </row>
    <row r="900" ht="14.25" customHeight="1">
      <c r="F900" s="8"/>
      <c r="I900" s="8"/>
      <c r="J900" s="8"/>
      <c r="K900" s="8"/>
    </row>
    <row r="901" ht="14.25" customHeight="1">
      <c r="F901" s="8"/>
      <c r="I901" s="8"/>
      <c r="J901" s="8"/>
      <c r="K901" s="8"/>
    </row>
    <row r="902" ht="14.25" customHeight="1">
      <c r="F902" s="8"/>
      <c r="I902" s="8"/>
      <c r="J902" s="8"/>
      <c r="K902" s="8"/>
    </row>
    <row r="903" ht="14.25" customHeight="1">
      <c r="F903" s="8"/>
      <c r="I903" s="8"/>
      <c r="J903" s="8"/>
      <c r="K903" s="8"/>
    </row>
    <row r="904" ht="14.25" customHeight="1">
      <c r="F904" s="8"/>
      <c r="I904" s="8"/>
      <c r="J904" s="8"/>
      <c r="K904" s="8"/>
    </row>
    <row r="905" ht="14.25" customHeight="1">
      <c r="F905" s="8"/>
      <c r="I905" s="8"/>
      <c r="J905" s="8"/>
      <c r="K905" s="8"/>
    </row>
    <row r="906" ht="14.25" customHeight="1">
      <c r="F906" s="8"/>
      <c r="I906" s="8"/>
      <c r="J906" s="8"/>
      <c r="K906" s="8"/>
    </row>
    <row r="907" ht="14.25" customHeight="1">
      <c r="F907" s="8"/>
      <c r="I907" s="8"/>
      <c r="J907" s="8"/>
      <c r="K907" s="8"/>
    </row>
    <row r="908" ht="14.25" customHeight="1">
      <c r="F908" s="8"/>
      <c r="I908" s="8"/>
      <c r="J908" s="8"/>
      <c r="K908" s="8"/>
    </row>
    <row r="909" ht="14.25" customHeight="1">
      <c r="F909" s="8"/>
      <c r="I909" s="8"/>
      <c r="J909" s="8"/>
      <c r="K909" s="8"/>
    </row>
    <row r="910" ht="14.25" customHeight="1">
      <c r="F910" s="8"/>
      <c r="I910" s="8"/>
      <c r="J910" s="8"/>
      <c r="K910" s="8"/>
    </row>
    <row r="911" ht="14.25" customHeight="1">
      <c r="F911" s="8"/>
      <c r="I911" s="8"/>
      <c r="J911" s="8"/>
      <c r="K911" s="8"/>
    </row>
    <row r="912" ht="14.25" customHeight="1">
      <c r="F912" s="8"/>
      <c r="I912" s="8"/>
      <c r="J912" s="8"/>
      <c r="K912" s="8"/>
    </row>
    <row r="913" ht="14.25" customHeight="1">
      <c r="F913" s="8"/>
      <c r="I913" s="8"/>
      <c r="J913" s="8"/>
      <c r="K913" s="8"/>
    </row>
    <row r="914" ht="14.25" customHeight="1">
      <c r="F914" s="8"/>
      <c r="I914" s="8"/>
      <c r="J914" s="8"/>
      <c r="K914" s="8"/>
    </row>
    <row r="915" ht="14.25" customHeight="1">
      <c r="F915" s="8"/>
      <c r="I915" s="8"/>
      <c r="J915" s="8"/>
      <c r="K915" s="8"/>
    </row>
    <row r="916" ht="14.25" customHeight="1">
      <c r="F916" s="8"/>
      <c r="I916" s="8"/>
      <c r="J916" s="8"/>
      <c r="K916" s="8"/>
    </row>
    <row r="917" ht="14.25" customHeight="1">
      <c r="F917" s="8"/>
      <c r="I917" s="8"/>
      <c r="J917" s="8"/>
      <c r="K917" s="8"/>
    </row>
    <row r="918" ht="14.25" customHeight="1">
      <c r="F918" s="8"/>
      <c r="I918" s="8"/>
      <c r="J918" s="8"/>
      <c r="K918" s="8"/>
    </row>
    <row r="919" ht="14.25" customHeight="1">
      <c r="F919" s="8"/>
      <c r="I919" s="8"/>
      <c r="J919" s="8"/>
      <c r="K919" s="8"/>
    </row>
    <row r="920" ht="14.25" customHeight="1">
      <c r="F920" s="8"/>
      <c r="I920" s="8"/>
      <c r="J920" s="8"/>
      <c r="K920" s="8"/>
    </row>
    <row r="921" ht="14.25" customHeight="1">
      <c r="F921" s="8"/>
      <c r="I921" s="8"/>
      <c r="J921" s="8"/>
      <c r="K921" s="8"/>
    </row>
    <row r="922" ht="14.25" customHeight="1">
      <c r="F922" s="8"/>
      <c r="I922" s="8"/>
      <c r="J922" s="8"/>
      <c r="K922" s="8"/>
    </row>
    <row r="923" ht="14.25" customHeight="1">
      <c r="F923" s="8"/>
      <c r="I923" s="8"/>
      <c r="J923" s="8"/>
      <c r="K923" s="8"/>
    </row>
    <row r="924" ht="14.25" customHeight="1">
      <c r="F924" s="8"/>
      <c r="I924" s="8"/>
      <c r="J924" s="8"/>
      <c r="K924" s="8"/>
    </row>
    <row r="925" ht="14.25" customHeight="1">
      <c r="F925" s="8"/>
      <c r="I925" s="8"/>
      <c r="J925" s="8"/>
      <c r="K925" s="8"/>
    </row>
    <row r="926" ht="14.25" customHeight="1">
      <c r="F926" s="8"/>
      <c r="I926" s="8"/>
      <c r="J926" s="8"/>
      <c r="K926" s="8"/>
    </row>
    <row r="927" ht="14.25" customHeight="1">
      <c r="F927" s="8"/>
      <c r="I927" s="8"/>
      <c r="J927" s="8"/>
      <c r="K927" s="8"/>
    </row>
    <row r="928" ht="14.25" customHeight="1">
      <c r="F928" s="8"/>
      <c r="I928" s="8"/>
      <c r="J928" s="8"/>
      <c r="K928" s="8"/>
    </row>
    <row r="929" ht="14.25" customHeight="1">
      <c r="F929" s="8"/>
      <c r="I929" s="8"/>
      <c r="J929" s="8"/>
      <c r="K929" s="8"/>
    </row>
    <row r="930" ht="14.25" customHeight="1">
      <c r="F930" s="8"/>
      <c r="I930" s="8"/>
      <c r="J930" s="8"/>
      <c r="K930" s="8"/>
    </row>
    <row r="931" ht="14.25" customHeight="1">
      <c r="F931" s="8"/>
      <c r="I931" s="8"/>
      <c r="J931" s="8"/>
      <c r="K931" s="8"/>
    </row>
    <row r="932" ht="14.25" customHeight="1">
      <c r="F932" s="8"/>
      <c r="I932" s="8"/>
      <c r="J932" s="8"/>
      <c r="K932" s="8"/>
    </row>
    <row r="933" ht="14.25" customHeight="1">
      <c r="F933" s="8"/>
      <c r="I933" s="8"/>
      <c r="J933" s="8"/>
      <c r="K933" s="8"/>
    </row>
    <row r="934" ht="14.25" customHeight="1">
      <c r="F934" s="8"/>
      <c r="I934" s="8"/>
      <c r="J934" s="8"/>
      <c r="K934" s="8"/>
    </row>
    <row r="935" ht="14.25" customHeight="1">
      <c r="F935" s="8"/>
      <c r="I935" s="8"/>
      <c r="J935" s="8"/>
      <c r="K935" s="8"/>
    </row>
    <row r="936" ht="14.25" customHeight="1">
      <c r="F936" s="8"/>
      <c r="I936" s="8"/>
      <c r="J936" s="8"/>
      <c r="K936" s="8"/>
    </row>
    <row r="937" ht="14.25" customHeight="1">
      <c r="F937" s="8"/>
      <c r="I937" s="8"/>
      <c r="J937" s="8"/>
      <c r="K937" s="8"/>
    </row>
    <row r="938" ht="14.25" customHeight="1">
      <c r="F938" s="8"/>
      <c r="I938" s="8"/>
      <c r="J938" s="8"/>
      <c r="K938" s="8"/>
    </row>
    <row r="939" ht="14.25" customHeight="1">
      <c r="F939" s="8"/>
      <c r="I939" s="8"/>
      <c r="J939" s="8"/>
      <c r="K939" s="8"/>
    </row>
    <row r="940" ht="14.25" customHeight="1">
      <c r="F940" s="8"/>
      <c r="I940" s="8"/>
      <c r="J940" s="8"/>
      <c r="K940" s="8"/>
    </row>
    <row r="941" ht="14.25" customHeight="1">
      <c r="F941" s="8"/>
      <c r="I941" s="8"/>
      <c r="J941" s="8"/>
      <c r="K941" s="8"/>
    </row>
    <row r="942" ht="14.25" customHeight="1">
      <c r="F942" s="8"/>
      <c r="I942" s="8"/>
      <c r="J942" s="8"/>
      <c r="K942" s="8"/>
    </row>
    <row r="943" ht="14.25" customHeight="1">
      <c r="F943" s="8"/>
      <c r="I943" s="8"/>
      <c r="J943" s="8"/>
      <c r="K943" s="8"/>
    </row>
    <row r="944" ht="14.25" customHeight="1">
      <c r="F944" s="8"/>
      <c r="I944" s="8"/>
      <c r="J944" s="8"/>
      <c r="K944" s="8"/>
    </row>
    <row r="945" ht="14.25" customHeight="1">
      <c r="F945" s="8"/>
      <c r="I945" s="8"/>
      <c r="J945" s="8"/>
      <c r="K945" s="8"/>
    </row>
    <row r="946" ht="14.25" customHeight="1">
      <c r="F946" s="8"/>
      <c r="I946" s="8"/>
      <c r="J946" s="8"/>
      <c r="K946" s="8"/>
    </row>
    <row r="947" ht="14.25" customHeight="1">
      <c r="F947" s="8"/>
      <c r="I947" s="8"/>
      <c r="J947" s="8"/>
      <c r="K947" s="8"/>
    </row>
    <row r="948" ht="14.25" customHeight="1">
      <c r="F948" s="8"/>
      <c r="I948" s="8"/>
      <c r="J948" s="8"/>
      <c r="K948" s="8"/>
    </row>
    <row r="949" ht="14.25" customHeight="1">
      <c r="F949" s="8"/>
      <c r="I949" s="8"/>
      <c r="J949" s="8"/>
      <c r="K949" s="8"/>
    </row>
    <row r="950" ht="14.25" customHeight="1">
      <c r="F950" s="8"/>
      <c r="I950" s="8"/>
      <c r="J950" s="8"/>
      <c r="K950" s="8"/>
    </row>
    <row r="951" ht="14.25" customHeight="1">
      <c r="F951" s="8"/>
      <c r="I951" s="8"/>
      <c r="J951" s="8"/>
      <c r="K951" s="8"/>
    </row>
    <row r="952" ht="14.25" customHeight="1">
      <c r="F952" s="8"/>
      <c r="I952" s="8"/>
      <c r="J952" s="8"/>
      <c r="K952" s="8"/>
    </row>
    <row r="953" ht="14.25" customHeight="1">
      <c r="F953" s="8"/>
      <c r="I953" s="8"/>
      <c r="J953" s="8"/>
      <c r="K953" s="8"/>
    </row>
    <row r="954" ht="14.25" customHeight="1">
      <c r="F954" s="8"/>
      <c r="I954" s="8"/>
      <c r="J954" s="8"/>
      <c r="K954" s="8"/>
    </row>
    <row r="955" ht="14.25" customHeight="1">
      <c r="F955" s="8"/>
      <c r="I955" s="8"/>
      <c r="J955" s="8"/>
      <c r="K955" s="8"/>
    </row>
    <row r="956" ht="14.25" customHeight="1">
      <c r="F956" s="8"/>
      <c r="I956" s="8"/>
      <c r="J956" s="8"/>
      <c r="K956" s="8"/>
    </row>
    <row r="957" ht="14.25" customHeight="1">
      <c r="F957" s="8"/>
      <c r="I957" s="8"/>
      <c r="J957" s="8"/>
      <c r="K957" s="8"/>
    </row>
    <row r="958" ht="14.25" customHeight="1">
      <c r="F958" s="8"/>
      <c r="I958" s="8"/>
      <c r="J958" s="8"/>
      <c r="K958" s="8"/>
    </row>
    <row r="959" ht="14.25" customHeight="1">
      <c r="F959" s="8"/>
      <c r="I959" s="8"/>
      <c r="J959" s="8"/>
      <c r="K959" s="8"/>
    </row>
    <row r="960" ht="14.25" customHeight="1">
      <c r="F960" s="8"/>
      <c r="I960" s="8"/>
      <c r="J960" s="8"/>
      <c r="K960" s="8"/>
    </row>
    <row r="961" ht="14.25" customHeight="1">
      <c r="F961" s="8"/>
      <c r="I961" s="8"/>
      <c r="J961" s="8"/>
      <c r="K961" s="8"/>
    </row>
    <row r="962" ht="14.25" customHeight="1">
      <c r="F962" s="8"/>
      <c r="I962" s="8"/>
      <c r="J962" s="8"/>
      <c r="K962" s="8"/>
    </row>
    <row r="963" ht="14.25" customHeight="1">
      <c r="F963" s="8"/>
      <c r="I963" s="8"/>
      <c r="J963" s="8"/>
      <c r="K963" s="8"/>
    </row>
    <row r="964" ht="14.25" customHeight="1">
      <c r="F964" s="8"/>
      <c r="I964" s="8"/>
      <c r="J964" s="8"/>
      <c r="K964" s="8"/>
    </row>
    <row r="965" ht="14.25" customHeight="1">
      <c r="F965" s="8"/>
      <c r="I965" s="8"/>
      <c r="J965" s="8"/>
      <c r="K965" s="8"/>
    </row>
    <row r="966" ht="14.25" customHeight="1">
      <c r="F966" s="8"/>
      <c r="I966" s="8"/>
      <c r="J966" s="8"/>
      <c r="K966" s="8"/>
    </row>
    <row r="967" ht="14.25" customHeight="1">
      <c r="F967" s="8"/>
      <c r="I967" s="8"/>
      <c r="J967" s="8"/>
      <c r="K967" s="8"/>
    </row>
    <row r="968" ht="14.25" customHeight="1">
      <c r="F968" s="8"/>
      <c r="I968" s="8"/>
      <c r="J968" s="8"/>
      <c r="K968" s="8"/>
    </row>
    <row r="969" ht="14.25" customHeight="1">
      <c r="F969" s="8"/>
      <c r="I969" s="8"/>
      <c r="J969" s="8"/>
      <c r="K969" s="8"/>
    </row>
    <row r="970" ht="14.25" customHeight="1">
      <c r="F970" s="8"/>
      <c r="I970" s="8"/>
      <c r="J970" s="8"/>
      <c r="K970" s="8"/>
    </row>
    <row r="971" ht="14.25" customHeight="1">
      <c r="F971" s="8"/>
      <c r="I971" s="8"/>
      <c r="J971" s="8"/>
      <c r="K971" s="8"/>
    </row>
    <row r="972" ht="14.25" customHeight="1">
      <c r="F972" s="8"/>
      <c r="I972" s="8"/>
      <c r="J972" s="8"/>
      <c r="K972" s="8"/>
    </row>
    <row r="973" ht="14.25" customHeight="1">
      <c r="F973" s="8"/>
      <c r="I973" s="8"/>
      <c r="J973" s="8"/>
      <c r="K973" s="8"/>
    </row>
    <row r="974" ht="14.25" customHeight="1">
      <c r="F974" s="8"/>
      <c r="I974" s="8"/>
      <c r="J974" s="8"/>
      <c r="K974" s="8"/>
    </row>
    <row r="975" ht="14.25" customHeight="1">
      <c r="F975" s="8"/>
      <c r="I975" s="8"/>
      <c r="J975" s="8"/>
      <c r="K975" s="8"/>
    </row>
    <row r="976" ht="14.25" customHeight="1">
      <c r="F976" s="8"/>
      <c r="I976" s="8"/>
      <c r="J976" s="8"/>
      <c r="K976" s="8"/>
    </row>
    <row r="977" ht="14.25" customHeight="1">
      <c r="F977" s="8"/>
      <c r="I977" s="8"/>
      <c r="J977" s="8"/>
      <c r="K977" s="8"/>
    </row>
    <row r="978" ht="14.25" customHeight="1">
      <c r="F978" s="8"/>
      <c r="I978" s="8"/>
      <c r="J978" s="8"/>
      <c r="K978" s="8"/>
    </row>
    <row r="979" ht="14.25" customHeight="1">
      <c r="F979" s="8"/>
      <c r="I979" s="8"/>
      <c r="J979" s="8"/>
      <c r="K979" s="8"/>
    </row>
    <row r="980" ht="14.25" customHeight="1">
      <c r="F980" s="8"/>
      <c r="I980" s="8"/>
      <c r="J980" s="8"/>
      <c r="K980" s="8"/>
    </row>
    <row r="981" ht="14.25" customHeight="1">
      <c r="F981" s="8"/>
      <c r="I981" s="8"/>
      <c r="J981" s="8"/>
      <c r="K981" s="8"/>
    </row>
    <row r="982" ht="14.25" customHeight="1">
      <c r="F982" s="8"/>
      <c r="I982" s="8"/>
      <c r="J982" s="8"/>
      <c r="K982" s="8"/>
    </row>
    <row r="983" ht="14.25" customHeight="1">
      <c r="F983" s="8"/>
      <c r="I983" s="8"/>
      <c r="J983" s="8"/>
      <c r="K983" s="8"/>
    </row>
    <row r="984" ht="14.25" customHeight="1">
      <c r="F984" s="8"/>
      <c r="I984" s="8"/>
      <c r="J984" s="8"/>
      <c r="K984" s="8"/>
    </row>
    <row r="985" ht="14.25" customHeight="1">
      <c r="F985" s="8"/>
      <c r="I985" s="8"/>
      <c r="J985" s="8"/>
      <c r="K985" s="8"/>
    </row>
    <row r="986" ht="14.25" customHeight="1">
      <c r="F986" s="8"/>
      <c r="I986" s="8"/>
      <c r="J986" s="8"/>
      <c r="K986" s="8"/>
    </row>
    <row r="987" ht="14.25" customHeight="1">
      <c r="F987" s="8"/>
      <c r="I987" s="8"/>
      <c r="J987" s="8"/>
      <c r="K987" s="8"/>
    </row>
    <row r="988" ht="14.25" customHeight="1">
      <c r="F988" s="8"/>
      <c r="I988" s="8"/>
      <c r="J988" s="8"/>
      <c r="K988" s="8"/>
    </row>
    <row r="989" ht="14.25" customHeight="1">
      <c r="F989" s="8"/>
      <c r="I989" s="8"/>
      <c r="J989" s="8"/>
      <c r="K989" s="8"/>
    </row>
    <row r="990" ht="14.25" customHeight="1">
      <c r="F990" s="8"/>
      <c r="I990" s="8"/>
      <c r="J990" s="8"/>
      <c r="K990" s="8"/>
    </row>
    <row r="991" ht="14.25" customHeight="1">
      <c r="F991" s="8"/>
      <c r="I991" s="8"/>
      <c r="J991" s="8"/>
      <c r="K991" s="8"/>
    </row>
    <row r="992" ht="14.25" customHeight="1">
      <c r="F992" s="8"/>
      <c r="I992" s="8"/>
      <c r="J992" s="8"/>
      <c r="K992" s="8"/>
    </row>
    <row r="993" ht="14.25" customHeight="1">
      <c r="F993" s="8"/>
      <c r="I993" s="8"/>
      <c r="J993" s="8"/>
      <c r="K993" s="8"/>
    </row>
    <row r="994" ht="14.25" customHeight="1">
      <c r="F994" s="8"/>
      <c r="I994" s="8"/>
      <c r="J994" s="8"/>
      <c r="K994" s="8"/>
    </row>
    <row r="995" ht="14.25" customHeight="1">
      <c r="F995" s="8"/>
      <c r="I995" s="8"/>
      <c r="J995" s="8"/>
      <c r="K995" s="8"/>
    </row>
    <row r="996" ht="14.25" customHeight="1">
      <c r="F996" s="8"/>
      <c r="I996" s="8"/>
      <c r="J996" s="8"/>
      <c r="K996" s="8"/>
    </row>
    <row r="997" ht="14.25" customHeight="1">
      <c r="F997" s="8"/>
      <c r="I997" s="8"/>
      <c r="J997" s="8"/>
      <c r="K997" s="8"/>
    </row>
    <row r="998" ht="14.25" customHeight="1">
      <c r="F998" s="8"/>
      <c r="I998" s="8"/>
      <c r="J998" s="8"/>
      <c r="K998" s="8"/>
    </row>
    <row r="999" ht="14.25" customHeight="1">
      <c r="F999" s="8"/>
      <c r="I999" s="8"/>
      <c r="J999" s="8"/>
      <c r="K999" s="8"/>
    </row>
    <row r="1000" ht="14.25" customHeight="1">
      <c r="F1000" s="8"/>
      <c r="I1000" s="8"/>
      <c r="J1000" s="8"/>
      <c r="K1000" s="8"/>
    </row>
  </sheetData>
  <dataValidations>
    <dataValidation type="list" allowBlank="1" sqref="K2:K1000">
      <formula1>DICTIONARIES!$G$2:$G$3</formula1>
    </dataValidation>
    <dataValidation type="list" allowBlank="1" sqref="I2:I1000">
      <formula1>DICTIONARIES!$I$2:$I$4</formula1>
    </dataValidation>
    <dataValidation type="list" allowBlank="1" sqref="F2:F1000">
      <formula1>DICTIONARIES!$H$2:$H$3</formula1>
    </dataValidation>
    <dataValidation type="list" allowBlank="1" sqref="J2:J1000">
      <formula1>DICTIONARIES!$J$2:$J$4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2.0"/>
    <col customWidth="1" min="3" max="3" width="14.0"/>
    <col customWidth="1" min="4" max="4" width="22.0"/>
    <col customWidth="1" min="5" max="5" width="24.0"/>
    <col customWidth="1" min="6" max="6" width="10.0"/>
    <col customWidth="1" min="7" max="7" width="28.0"/>
    <col customWidth="1" min="8" max="8" width="22.0"/>
    <col customWidth="1" min="9" max="9" width="20.0"/>
    <col customWidth="1" min="10" max="26" width="8.71"/>
  </cols>
  <sheetData>
    <row r="1" ht="14.25" customHeight="1">
      <c r="A1" s="9" t="s">
        <v>570</v>
      </c>
      <c r="B1" s="9" t="s">
        <v>571</v>
      </c>
      <c r="C1" s="9" t="s">
        <v>572</v>
      </c>
      <c r="D1" s="9" t="s">
        <v>573</v>
      </c>
      <c r="E1" s="9" t="s">
        <v>574</v>
      </c>
      <c r="F1" s="9" t="s">
        <v>231</v>
      </c>
      <c r="G1" s="9" t="s">
        <v>575</v>
      </c>
      <c r="H1" s="9" t="s">
        <v>576</v>
      </c>
      <c r="I1" s="9" t="s">
        <v>116</v>
      </c>
    </row>
    <row r="2" ht="14.25" customHeight="1">
      <c r="A2" s="4" t="s">
        <v>577</v>
      </c>
      <c r="B2" s="4" t="s">
        <v>578</v>
      </c>
      <c r="C2" s="4" t="s">
        <v>276</v>
      </c>
      <c r="D2" s="4" t="s">
        <v>579</v>
      </c>
      <c r="E2" s="4" t="s">
        <v>580</v>
      </c>
      <c r="F2" s="4" t="s">
        <v>353</v>
      </c>
      <c r="G2" s="4" t="s">
        <v>581</v>
      </c>
      <c r="H2" s="4" t="s">
        <v>582</v>
      </c>
      <c r="I2" s="4"/>
    </row>
    <row r="3" ht="14.25" customHeight="1">
      <c r="A3" s="4" t="s">
        <v>583</v>
      </c>
      <c r="B3" s="4" t="s">
        <v>578</v>
      </c>
      <c r="C3" s="4" t="s">
        <v>276</v>
      </c>
      <c r="D3" s="4" t="s">
        <v>441</v>
      </c>
      <c r="E3" s="4" t="s">
        <v>580</v>
      </c>
      <c r="F3" s="4" t="s">
        <v>353</v>
      </c>
      <c r="G3" s="4" t="s">
        <v>584</v>
      </c>
      <c r="H3" s="4" t="s">
        <v>585</v>
      </c>
      <c r="I3" s="4"/>
    </row>
    <row r="4" ht="14.25" customHeight="1">
      <c r="A4" s="4" t="s">
        <v>586</v>
      </c>
      <c r="B4" s="4" t="s">
        <v>578</v>
      </c>
      <c r="C4" s="4" t="s">
        <v>276</v>
      </c>
      <c r="D4" s="4" t="s">
        <v>227</v>
      </c>
      <c r="E4" s="4" t="s">
        <v>587</v>
      </c>
      <c r="F4" s="4" t="s">
        <v>314</v>
      </c>
      <c r="G4" s="4" t="s">
        <v>588</v>
      </c>
      <c r="H4" s="4" t="s">
        <v>589</v>
      </c>
      <c r="I4" s="4"/>
    </row>
    <row r="5" ht="14.25" customHeight="1">
      <c r="A5" s="4" t="s">
        <v>590</v>
      </c>
      <c r="B5" s="4" t="s">
        <v>591</v>
      </c>
      <c r="C5" s="4" t="s">
        <v>354</v>
      </c>
      <c r="D5" s="4" t="s">
        <v>431</v>
      </c>
      <c r="E5" s="4" t="s">
        <v>580</v>
      </c>
      <c r="F5" s="4" t="s">
        <v>353</v>
      </c>
      <c r="G5" s="4" t="s">
        <v>592</v>
      </c>
      <c r="H5" s="4" t="s">
        <v>593</v>
      </c>
      <c r="I5" s="4"/>
    </row>
    <row r="6" ht="14.25" customHeight="1">
      <c r="A6" s="4" t="s">
        <v>594</v>
      </c>
      <c r="B6" s="4" t="s">
        <v>595</v>
      </c>
      <c r="C6" s="4" t="s">
        <v>381</v>
      </c>
      <c r="D6" s="4" t="s">
        <v>596</v>
      </c>
      <c r="E6" s="4" t="s">
        <v>597</v>
      </c>
      <c r="F6" s="4" t="s">
        <v>314</v>
      </c>
      <c r="G6" s="4" t="s">
        <v>598</v>
      </c>
      <c r="H6" s="4" t="s">
        <v>599</v>
      </c>
      <c r="I6" s="4"/>
    </row>
    <row r="7" ht="14.25" customHeight="1">
      <c r="A7" s="4" t="s">
        <v>600</v>
      </c>
      <c r="B7" s="4" t="s">
        <v>595</v>
      </c>
      <c r="C7" s="4" t="s">
        <v>381</v>
      </c>
      <c r="D7" s="4" t="s">
        <v>601</v>
      </c>
      <c r="E7" s="4" t="s">
        <v>597</v>
      </c>
      <c r="F7" s="4" t="s">
        <v>314</v>
      </c>
      <c r="G7" s="4" t="s">
        <v>602</v>
      </c>
      <c r="H7" s="4" t="s">
        <v>603</v>
      </c>
      <c r="I7" s="4"/>
    </row>
    <row r="8" ht="14.25" customHeight="1">
      <c r="A8" s="4" t="s">
        <v>604</v>
      </c>
      <c r="B8" s="4" t="s">
        <v>605</v>
      </c>
      <c r="C8" s="4" t="s">
        <v>397</v>
      </c>
      <c r="D8" s="4" t="s">
        <v>606</v>
      </c>
      <c r="E8" s="4" t="s">
        <v>607</v>
      </c>
      <c r="F8" s="4" t="s">
        <v>314</v>
      </c>
      <c r="G8" s="4" t="s">
        <v>608</v>
      </c>
      <c r="H8" s="4" t="s">
        <v>609</v>
      </c>
      <c r="I8" s="4"/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I$8"/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2.0"/>
    <col customWidth="1" min="3" max="3" width="24.0"/>
    <col customWidth="1" min="4" max="4" width="10.0"/>
    <col customWidth="1" min="5" max="5" width="12.0"/>
    <col customWidth="1" min="6" max="6" width="16.0"/>
    <col customWidth="1" min="7" max="7" width="18.0"/>
    <col customWidth="1" min="8" max="8" width="28.0"/>
    <col customWidth="1" min="9" max="9" width="18.0"/>
    <col customWidth="1" min="10" max="26" width="8.71"/>
  </cols>
  <sheetData>
    <row r="1" ht="14.25" customHeight="1">
      <c r="A1" s="9" t="s">
        <v>610</v>
      </c>
      <c r="B1" s="9" t="s">
        <v>611</v>
      </c>
      <c r="C1" s="9" t="s">
        <v>612</v>
      </c>
      <c r="D1" s="9" t="s">
        <v>231</v>
      </c>
      <c r="E1" s="9" t="s">
        <v>613</v>
      </c>
      <c r="F1" s="9" t="s">
        <v>614</v>
      </c>
      <c r="G1" s="9" t="s">
        <v>615</v>
      </c>
      <c r="H1" s="9" t="s">
        <v>575</v>
      </c>
      <c r="I1" s="9" t="s">
        <v>616</v>
      </c>
    </row>
    <row r="2" ht="14.25" customHeight="1">
      <c r="A2" s="4" t="s">
        <v>617</v>
      </c>
      <c r="B2" s="4" t="str">
        <f t="array" ref="B2">IF($A2="","",INDEX(OBJECT_CONDITIONS!$X:$X,MATCH($A2,OBJECT_CONDITIONS!$A:$A,0)))</f>
        <v/>
      </c>
      <c r="C2" s="4" t="s">
        <v>618</v>
      </c>
      <c r="D2" s="4" t="s">
        <v>353</v>
      </c>
      <c r="E2" s="4" t="str">
        <f t="shared" ref="E2:E4" si="1">IF($A2="","",IF($B2="","TRIGGER","OK"))</f>
        <v>TRIGGER</v>
      </c>
      <c r="F2" s="4" t="str">
        <f>IF($A2="","",IF($B2="","", $B2))</f>
        <v/>
      </c>
      <c r="G2" s="4" t="s">
        <v>619</v>
      </c>
      <c r="H2" s="4" t="s">
        <v>620</v>
      </c>
      <c r="I2" s="4"/>
    </row>
    <row r="3" ht="14.25" customHeight="1">
      <c r="A3" s="4" t="s">
        <v>617</v>
      </c>
      <c r="B3" s="4" t="str">
        <f t="array" ref="B3">IF($A3="","",INDEX(OBJECT_CONDITIONS!$AM:$AM,MATCH($A3,OBJECT_CONDITIONS!$A:$A,0)))</f>
        <v>С НДС 20%</v>
      </c>
      <c r="C3" s="4" t="s">
        <v>621</v>
      </c>
      <c r="D3" s="4" t="s">
        <v>353</v>
      </c>
      <c r="E3" s="4" t="str">
        <f t="shared" si="1"/>
        <v>OK</v>
      </c>
      <c r="F3" s="4" t="str">
        <f t="shared" ref="F3:F4" si="2">IF($A3="","",IF($B3="","",$B3))</f>
        <v>С НДС 20%</v>
      </c>
      <c r="G3" s="4" t="s">
        <v>622</v>
      </c>
      <c r="H3" s="4" t="s">
        <v>623</v>
      </c>
      <c r="I3" s="4"/>
    </row>
    <row r="4" ht="14.25" customHeight="1">
      <c r="A4" s="4" t="s">
        <v>617</v>
      </c>
      <c r="B4" s="4" t="str">
        <f t="array" ref="B4">IF($A4="","",INDEX(OBJECT_CONDITIONS!$AG:$AG,MATCH($A4,OBJECT_CONDITIONS!$A:$A,0)))</f>
        <v>30-60 км</v>
      </c>
      <c r="C4" s="4" t="s">
        <v>624</v>
      </c>
      <c r="D4" s="4" t="s">
        <v>314</v>
      </c>
      <c r="E4" s="4" t="str">
        <f t="shared" si="1"/>
        <v>OK</v>
      </c>
      <c r="F4" s="4" t="str">
        <f t="shared" si="2"/>
        <v>30-60 км</v>
      </c>
      <c r="G4" s="4" t="s">
        <v>625</v>
      </c>
      <c r="H4" s="4" t="s">
        <v>626</v>
      </c>
      <c r="I4" s="4"/>
    </row>
    <row r="5" ht="14.25" customHeight="1">
      <c r="A5" s="4" t="s">
        <v>617</v>
      </c>
      <c r="B5" s="4" t="s">
        <v>346</v>
      </c>
      <c r="C5" s="4" t="s">
        <v>627</v>
      </c>
      <c r="D5" s="4" t="s">
        <v>314</v>
      </c>
      <c r="E5" s="4" t="str">
        <f t="array" ref="E5">IF(SUM(KP_ENGINE_V5_EXAMPLE!$U$2:$U$20)&lt;INDEX(COMMERCIAL_POLICY!$B:$B,MATCH($B5,COMMERCIAL_POLICY!$A:$A,0)),"TRIGGER","OK")</f>
        <v>TRIGGER</v>
      </c>
      <c r="F5" s="4">
        <f>SUM(KP_ENGINE_V5_EXAMPLE!$U$2:$U$20)</f>
        <v>0</v>
      </c>
      <c r="G5" s="28">
        <f t="array" ref="G5">INDEX(COMMERCIAL_POLICY!$B:$B,MATCH($B5,COMMERCIAL_POLICY!$A:$A,0))</f>
        <v>400000</v>
      </c>
      <c r="H5" s="4" t="s">
        <v>628</v>
      </c>
      <c r="I5" s="4"/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I$5"/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6.0"/>
    <col customWidth="1" min="3" max="3" width="18.0"/>
    <col customWidth="1" min="4" max="4" width="11.0"/>
    <col customWidth="1" min="5" max="5" width="18.0"/>
    <col customWidth="1" min="6" max="6" width="12.0"/>
    <col customWidth="1" min="7" max="7" width="14.0"/>
    <col customWidth="1" min="8" max="8" width="11.0"/>
    <col customWidth="1" min="9" max="9" width="14.0"/>
    <col customWidth="1" min="10" max="10" width="11.0"/>
    <col customWidth="1" min="11" max="11" width="18.0"/>
    <col customWidth="1" min="12" max="12" width="13.0"/>
    <col customWidth="1" min="13" max="13" width="18.0"/>
    <col customWidth="1" min="14" max="14" width="11.0"/>
    <col customWidth="1" min="15" max="15" width="14.0"/>
    <col customWidth="1" min="16" max="16" width="12.0"/>
    <col customWidth="1" min="17" max="17" width="20.0"/>
    <col customWidth="1" min="18" max="18" width="13.0"/>
    <col customWidth="1" min="19" max="19" width="18.0"/>
    <col customWidth="1" min="20" max="20" width="13.0"/>
    <col customWidth="1" min="21" max="21" width="36.0"/>
    <col customWidth="1" min="22" max="22" width="18.0"/>
    <col customWidth="1" min="23" max="23" width="12.0"/>
    <col customWidth="1" min="24" max="31" width="18.0"/>
    <col customWidth="1" min="32" max="32" width="14.0"/>
    <col customWidth="1" min="33" max="33" width="16.0"/>
    <col customWidth="1" min="34" max="34" width="12.0"/>
    <col customWidth="1" min="35" max="35" width="14.0"/>
    <col customWidth="1" min="36" max="36" width="12.0"/>
    <col customWidth="1" min="37" max="37" width="14.0"/>
    <col customWidth="1" min="38" max="38" width="12.0"/>
    <col customWidth="1" min="39" max="39" width="14.0"/>
    <col customWidth="1" min="40" max="40" width="10.0"/>
    <col customWidth="1" min="41" max="41" width="12.0"/>
    <col customWidth="1" min="42" max="42" width="16.0"/>
  </cols>
  <sheetData>
    <row r="1" ht="14.25" customHeight="1">
      <c r="A1" s="9" t="s">
        <v>610</v>
      </c>
      <c r="B1" s="9" t="s">
        <v>629</v>
      </c>
      <c r="C1" s="9" t="s">
        <v>203</v>
      </c>
      <c r="D1" s="9" t="s">
        <v>630</v>
      </c>
      <c r="E1" s="9" t="s">
        <v>204</v>
      </c>
      <c r="F1" s="9" t="s">
        <v>631</v>
      </c>
      <c r="G1" s="9" t="s">
        <v>205</v>
      </c>
      <c r="H1" s="9" t="s">
        <v>632</v>
      </c>
      <c r="I1" s="9" t="s">
        <v>206</v>
      </c>
      <c r="J1" s="9" t="s">
        <v>633</v>
      </c>
      <c r="K1" s="9" t="s">
        <v>345</v>
      </c>
      <c r="L1" s="9" t="s">
        <v>634</v>
      </c>
      <c r="M1" s="9" t="s">
        <v>208</v>
      </c>
      <c r="N1" s="9" t="s">
        <v>635</v>
      </c>
      <c r="O1" s="9" t="s">
        <v>209</v>
      </c>
      <c r="P1" s="9" t="s">
        <v>636</v>
      </c>
      <c r="Q1" s="9" t="s">
        <v>395</v>
      </c>
      <c r="R1" s="9" t="s">
        <v>637</v>
      </c>
      <c r="S1" s="9" t="s">
        <v>211</v>
      </c>
      <c r="T1" s="9" t="s">
        <v>638</v>
      </c>
      <c r="U1" s="9" t="s">
        <v>116</v>
      </c>
      <c r="V1" s="9" t="s">
        <v>218</v>
      </c>
      <c r="W1" s="9" t="s">
        <v>639</v>
      </c>
      <c r="X1" s="9" t="s">
        <v>579</v>
      </c>
      <c r="Y1" s="9" t="s">
        <v>640</v>
      </c>
      <c r="Z1" s="9" t="s">
        <v>641</v>
      </c>
      <c r="AA1" s="9" t="s">
        <v>642</v>
      </c>
      <c r="AB1" s="9" t="s">
        <v>643</v>
      </c>
      <c r="AC1" s="9" t="s">
        <v>644</v>
      </c>
      <c r="AD1" s="9" t="s">
        <v>224</v>
      </c>
      <c r="AE1" s="9" t="s">
        <v>645</v>
      </c>
      <c r="AF1" s="9" t="s">
        <v>646</v>
      </c>
      <c r="AG1" s="9" t="s">
        <v>227</v>
      </c>
      <c r="AH1" s="9" t="s">
        <v>647</v>
      </c>
      <c r="AI1" s="9" t="s">
        <v>225</v>
      </c>
      <c r="AJ1" s="9" t="s">
        <v>648</v>
      </c>
      <c r="AK1" s="9" t="s">
        <v>226</v>
      </c>
      <c r="AL1" s="9" t="s">
        <v>649</v>
      </c>
      <c r="AM1" s="9" t="s">
        <v>441</v>
      </c>
      <c r="AN1" s="9" t="s">
        <v>650</v>
      </c>
      <c r="AO1" s="9" t="s">
        <v>651</v>
      </c>
      <c r="AP1" s="9" t="s">
        <v>652</v>
      </c>
    </row>
    <row r="2" ht="14.25" customHeight="1">
      <c r="A2" s="6" t="s">
        <v>617</v>
      </c>
      <c r="B2" s="6" t="s">
        <v>653</v>
      </c>
      <c r="C2" s="6" t="s">
        <v>331</v>
      </c>
      <c r="D2" s="29">
        <f>IF($C2="","",SUMIFS(SITE_COEFFS!$C:$C,SITE_COEFFS!$A:$A,"SoilWorkability",SITE_COEFFS!$B:$B,$C2))</f>
        <v>1.12</v>
      </c>
      <c r="E2" s="6" t="s">
        <v>332</v>
      </c>
      <c r="F2" s="29">
        <f>IF($E2="","",SUMIFS(SITE_COEFFS!$C:$C,SITE_COEFFS!$A:$A,"SoilMoisture",SITE_COEFFS!$B:$B,$E2))</f>
        <v>1.06</v>
      </c>
      <c r="G2" s="6" t="s">
        <v>295</v>
      </c>
      <c r="H2" s="29">
        <f>IF($G2="","",SUMIFS(SITE_COEFFS!$C:$C,SITE_COEFFS!$A:$A,"DebrisLevel",SITE_COEFFS!$B:$B,$G2))</f>
        <v>1.08</v>
      </c>
      <c r="I2" s="6" t="s">
        <v>334</v>
      </c>
      <c r="J2" s="29">
        <f>IF($I2="","",SUMIFS(SITE_COEFFS!$C:$C,SITE_COEFFS!$A:$A,"SlopeClass",SITE_COEFFS!$B:$B,$I2))</f>
        <v>1.12</v>
      </c>
      <c r="K2" s="6" t="s">
        <v>293</v>
      </c>
      <c r="L2" s="29">
        <f>IF($K2="","",SUMIFS(SITE_COEFFS!$C:$C,SITE_COEFFS!$A:$A,"SurfaceUnevenness",SITE_COEFFS!$B:$B,$K2))</f>
        <v>1.05</v>
      </c>
      <c r="M2" s="6" t="s">
        <v>297</v>
      </c>
      <c r="N2" s="29">
        <f>IF($M2="","",SUMIFS(SITE_COEFFS!$C:$C,SITE_COEFFS!$A:$A,"AccessClass",SITE_COEFFS!$B:$B,$M2))</f>
        <v>1.08</v>
      </c>
      <c r="O2" s="6" t="s">
        <v>298</v>
      </c>
      <c r="P2" s="29">
        <f>IF($O2="","",SUMIFS(SITE_COEFFS!$C:$C,SITE_COEFFS!$A:$A,"TurnSpace",SITE_COEFFS!$B:$B,$O2))</f>
        <v>1.06</v>
      </c>
      <c r="Q2" s="6" t="s">
        <v>299</v>
      </c>
      <c r="R2" s="29">
        <f>IF($Q2="","",SUMIFS(SITE_COEFFS!$C:$C,SITE_COEFFS!$A:$A,"ProximityToBuildings",SITE_COEFFS!$B:$B,$Q2))</f>
        <v>1.06</v>
      </c>
      <c r="S2" s="6" t="s">
        <v>300</v>
      </c>
      <c r="T2" s="29">
        <f>IF($S2="","",SUMIFS(SITE_COEFFS!$C:$C,SITE_COEFFS!$A:$A,"MachineryAllowed",SITE_COEFFS!$B:$B,$S2))</f>
        <v>1.1</v>
      </c>
      <c r="U2" s="6" t="s">
        <v>654</v>
      </c>
      <c r="V2" s="6" t="s">
        <v>342</v>
      </c>
      <c r="W2" s="29">
        <f>IF($V2="","",SUMIFS(SITE_COEFFS!$C:$C,SITE_COEFFS!$A:$A,"GeometryComplexity",SITE_COEFFS!$B:$B,$V2))</f>
        <v>1.07</v>
      </c>
      <c r="X2" s="6"/>
      <c r="Y2" s="6" t="str">
        <f>IF($X2="","",SUMIFS(TARIFF_PROFILES!$D:$D,TARIFF_PROFILES!$A:$A,$X2))</f>
        <v/>
      </c>
      <c r="Z2" s="6" t="str">
        <f>IF($X2="","",SUMIFS(TARIFF_PROFILES!$E:$E,TARIFF_PROFILES!$A:$A,$X2))</f>
        <v/>
      </c>
      <c r="AA2" s="6" t="str">
        <f>IF($X2="","",SUMIFS(TARIFF_PROFILES!$F:$F,TARIFF_PROFILES!$A:$A,$X2))</f>
        <v/>
      </c>
      <c r="AB2" s="6" t="str">
        <f>IF($X2="","",SUMIFS(TARIFF_PROFILES!$G:$G,TARIFF_PROFILES!$A:$A,$X2))</f>
        <v/>
      </c>
      <c r="AC2" s="6" t="str">
        <f>IF($X2="","",SUMIFS(TARIFF_PROFILES!$H:$H,TARIFF_PROFILES!$A:$A,$X2))</f>
        <v/>
      </c>
      <c r="AD2" s="6" t="str">
        <f t="array" ref="AD2">IF($X2="","",INDEX(TARIFF_PROFILES!$J:$J,MATCH($X2,TARIFF_PROFILES!$A:$A,0)))</f>
        <v/>
      </c>
      <c r="AE2" s="6" t="str">
        <f t="array" ref="AE2">IF($X2="","",INDEX(TARIFF_PROFILES!$K:$K,MATCH($X2,TARIFF_PROFILES!$A:$A,0)))</f>
        <v/>
      </c>
      <c r="AF2" s="4">
        <v>35.0</v>
      </c>
      <c r="AG2" s="4" t="s">
        <v>349</v>
      </c>
      <c r="AH2" s="4">
        <f>IF($AG2="","",SUMIFS(OPERATING_COEFFS!$C:$C,OPERATING_COEFFS!$A:$A,"DistanceClass",OPERATING_COEFFS!$B:$B,$AG2))</f>
        <v>1.12</v>
      </c>
      <c r="AI2" s="4" t="s">
        <v>347</v>
      </c>
      <c r="AJ2" s="4">
        <f>IF($AI2="","",SUMIFS(OPERATING_COEFFS!$C:$C,OPERATING_COEFFS!$A:$A,"SeasonClass",OPERATING_COEFFS!$B:$B,$AI2))</f>
        <v>1.08</v>
      </c>
      <c r="AK2" s="4" t="s">
        <v>309</v>
      </c>
      <c r="AL2" s="4">
        <f>IF($AK2="","",SUMIFS(OPERATING_COEFFS!$C:$C,OPERATING_COEFFS!$A:$A,"UrgencyClass",OPERATING_COEFFS!$B:$B,$AK2))</f>
        <v>1.07</v>
      </c>
      <c r="AM2" s="4" t="s">
        <v>311</v>
      </c>
      <c r="AN2" s="30">
        <f t="array" ref="AN2">IF($AM2="","",INDEX(TAX_MODES!$B:$B,MATCH($AM2,TAX_MODES!$A:$A,0)))</f>
        <v>0.2</v>
      </c>
      <c r="AO2" s="4">
        <v>3.0</v>
      </c>
      <c r="AP2" s="4">
        <v>25.0</v>
      </c>
    </row>
    <row r="3" ht="14.25" customHeight="1">
      <c r="A3" s="6" t="s">
        <v>655</v>
      </c>
      <c r="B3" s="6" t="s">
        <v>656</v>
      </c>
      <c r="C3" s="6" t="s">
        <v>253</v>
      </c>
      <c r="D3" s="29">
        <f>IF($C3="","",SUMIFS(SITE_COEFFS!$C:$C,SITE_COEFFS!$A:$A,"SoilWorkability",SITE_COEFFS!$B:$B,$C3))</f>
        <v>0.95</v>
      </c>
      <c r="E3" s="6" t="s">
        <v>294</v>
      </c>
      <c r="F3" s="29">
        <f>IF($E3="","",SUMIFS(SITE_COEFFS!$C:$C,SITE_COEFFS!$A:$A,"SoilMoisture",SITE_COEFFS!$B:$B,$E3))</f>
        <v>1</v>
      </c>
      <c r="G3" s="6" t="s">
        <v>255</v>
      </c>
      <c r="H3" s="29">
        <f>IF($G3="","",SUMIFS(SITE_COEFFS!$C:$C,SITE_COEFFS!$A:$A,"DebrisLevel",SITE_COEFFS!$B:$B,$G3))</f>
        <v>1</v>
      </c>
      <c r="I3" s="6" t="s">
        <v>256</v>
      </c>
      <c r="J3" s="29">
        <f>IF($I3="","",SUMIFS(SITE_COEFFS!$C:$C,SITE_COEFFS!$A:$A,"SlopeClass",SITE_COEFFS!$B:$B,$I3))</f>
        <v>1</v>
      </c>
      <c r="K3" s="6" t="s">
        <v>257</v>
      </c>
      <c r="L3" s="29">
        <f>IF($K3="","",SUMIFS(SITE_COEFFS!$C:$C,SITE_COEFFS!$A:$A,"SurfaceUnevenness",SITE_COEFFS!$B:$B,$K3))</f>
        <v>1</v>
      </c>
      <c r="M3" s="6" t="s">
        <v>258</v>
      </c>
      <c r="N3" s="29">
        <f>IF($M3="","",SUMIFS(SITE_COEFFS!$C:$C,SITE_COEFFS!$A:$A,"AccessClass",SITE_COEFFS!$B:$B,$M3))</f>
        <v>1</v>
      </c>
      <c r="O3" s="6" t="s">
        <v>259</v>
      </c>
      <c r="P3" s="29">
        <f>IF($O3="","",SUMIFS(SITE_COEFFS!$C:$C,SITE_COEFFS!$A:$A,"TurnSpace",SITE_COEFFS!$B:$B,$O3))</f>
        <v>1</v>
      </c>
      <c r="Q3" s="6" t="s">
        <v>260</v>
      </c>
      <c r="R3" s="29">
        <f>IF($Q3="","",SUMIFS(SITE_COEFFS!$C:$C,SITE_COEFFS!$A:$A,"ProximityToBuildings",SITE_COEFFS!$B:$B,$Q3))</f>
        <v>1</v>
      </c>
      <c r="S3" s="6" t="s">
        <v>245</v>
      </c>
      <c r="T3" s="29">
        <f>IF($S3="","",SUMIFS(SITE_COEFFS!$C:$C,SITE_COEFFS!$A:$A,"MachineryAllowed",SITE_COEFFS!$B:$B,$S3))</f>
        <v>1</v>
      </c>
      <c r="U3" s="6" t="s">
        <v>657</v>
      </c>
      <c r="V3" s="6" t="s">
        <v>265</v>
      </c>
      <c r="W3" s="29">
        <f>IF($V3="","",SUMIFS(SITE_COEFFS!$C:$C,SITE_COEFFS!$A:$A,"GeometryComplexity",SITE_COEFFS!$B:$B,$V3))</f>
        <v>1</v>
      </c>
      <c r="X3" s="6"/>
      <c r="Y3" s="6" t="str">
        <f>IF($X3="","",SUMIFS(TARIFF_PROFILES!$D:$D,TARIFF_PROFILES!$A:$A,$X3))</f>
        <v/>
      </c>
      <c r="Z3" s="6" t="str">
        <f>IF($X3="","",SUMIFS(TARIFF_PROFILES!$E:$E,TARIFF_PROFILES!$A:$A,$X3))</f>
        <v/>
      </c>
      <c r="AA3" s="6" t="str">
        <f>IF($X3="","",SUMIFS(TARIFF_PROFILES!$F:$F,TARIFF_PROFILES!$A:$A,$X3))</f>
        <v/>
      </c>
      <c r="AB3" s="6" t="str">
        <f>IF($X3="","",SUMIFS(TARIFF_PROFILES!$G:$G,TARIFF_PROFILES!$A:$A,$X3))</f>
        <v/>
      </c>
      <c r="AC3" s="6" t="str">
        <f>IF($X3="","",SUMIFS(TARIFF_PROFILES!$H:$H,TARIFF_PROFILES!$A:$A,$X3))</f>
        <v/>
      </c>
      <c r="AD3" s="6" t="str">
        <f t="array" ref="AD3">IF($X3="","",INDEX(TARIFF_PROFILES!$J:$J,MATCH($X3,TARIFF_PROFILES!$A:$A,0)))</f>
        <v/>
      </c>
      <c r="AE3" s="6" t="str">
        <f t="array" ref="AE3">IF($X3="","",INDEX(TARIFF_PROFILES!$K:$K,MATCH($X3,TARIFF_PROFILES!$A:$A,0)))</f>
        <v/>
      </c>
      <c r="AF3" s="4">
        <v>8.0</v>
      </c>
      <c r="AG3" s="4" t="s">
        <v>271</v>
      </c>
      <c r="AH3" s="4">
        <f>IF($AG3="","",SUMIFS(OPERATING_COEFFS!$C:$C,OPERATING_COEFFS!$A:$A,"DistanceClass",OPERATING_COEFFS!$B:$B,$AG3))</f>
        <v>1</v>
      </c>
      <c r="AI3" s="4" t="s">
        <v>308</v>
      </c>
      <c r="AJ3" s="4">
        <f>IF($AI3="","",SUMIFS(OPERATING_COEFFS!$C:$C,OPERATING_COEFFS!$A:$A,"SeasonClass",OPERATING_COEFFS!$B:$B,$AI3))</f>
        <v>1</v>
      </c>
      <c r="AK3" s="4" t="s">
        <v>270</v>
      </c>
      <c r="AL3" s="4">
        <f>IF($AK3="","",SUMIFS(OPERATING_COEFFS!$C:$C,OPERATING_COEFFS!$A:$A,"UrgencyClass",OPERATING_COEFFS!$B:$B,$AK3))</f>
        <v>1</v>
      </c>
      <c r="AM3" s="4" t="s">
        <v>272</v>
      </c>
      <c r="AN3" s="30">
        <f t="array" ref="AN3">IF($AM3="","",INDEX(TAX_MODES!$B:$B,MATCH($AM3,TAX_MODES!$A:$A,0)))</f>
        <v>0</v>
      </c>
      <c r="AO3" s="4">
        <v>1.0</v>
      </c>
      <c r="AP3" s="4">
        <v>5.0</v>
      </c>
    </row>
    <row r="4" ht="14.25" customHeight="1">
      <c r="A4" s="6"/>
      <c r="B4" s="6"/>
      <c r="C4" s="6"/>
      <c r="D4" s="29" t="str">
        <f>IF($C4="","",SUMIFS(SITE_COEFFS!$C:$C,SITE_COEFFS!$A:$A,"SoilWorkability",SITE_COEFFS!$B:$B,$C4))</f>
        <v/>
      </c>
      <c r="E4" s="6"/>
      <c r="F4" s="29" t="str">
        <f>IF($E4="","",SUMIFS(SITE_COEFFS!$C:$C,SITE_COEFFS!$A:$A,"SoilMoisture",SITE_COEFFS!$B:$B,$E4))</f>
        <v/>
      </c>
      <c r="G4" s="6"/>
      <c r="H4" s="29" t="str">
        <f>IF($G4="","",SUMIFS(SITE_COEFFS!$C:$C,SITE_COEFFS!$A:$A,"DebrisLevel",SITE_COEFFS!$B:$B,$G4))</f>
        <v/>
      </c>
      <c r="I4" s="6"/>
      <c r="J4" s="29" t="str">
        <f>IF($I4="","",SUMIFS(SITE_COEFFS!$C:$C,SITE_COEFFS!$A:$A,"SlopeClass",SITE_COEFFS!$B:$B,$I4))</f>
        <v/>
      </c>
      <c r="K4" s="6"/>
      <c r="L4" s="29" t="str">
        <f>IF($K4="","",SUMIFS(SITE_COEFFS!$C:$C,SITE_COEFFS!$A:$A,"SurfaceUnevenness",SITE_COEFFS!$B:$B,$K4))</f>
        <v/>
      </c>
      <c r="M4" s="6"/>
      <c r="N4" s="29" t="str">
        <f>IF($M4="","",SUMIFS(SITE_COEFFS!$C:$C,SITE_COEFFS!$A:$A,"AccessClass",SITE_COEFFS!$B:$B,$M4))</f>
        <v/>
      </c>
      <c r="O4" s="6"/>
      <c r="P4" s="29" t="str">
        <f>IF($O4="","",SUMIFS(SITE_COEFFS!$C:$C,SITE_COEFFS!$A:$A,"TurnSpace",SITE_COEFFS!$B:$B,$O4))</f>
        <v/>
      </c>
      <c r="Q4" s="6"/>
      <c r="R4" s="29" t="str">
        <f>IF($Q4="","",SUMIFS(SITE_COEFFS!$C:$C,SITE_COEFFS!$A:$A,"ProximityToBuildings",SITE_COEFFS!$B:$B,$Q4))</f>
        <v/>
      </c>
      <c r="S4" s="6"/>
      <c r="T4" s="29" t="str">
        <f>IF($S4="","",SUMIFS(SITE_COEFFS!$C:$C,SITE_COEFFS!$A:$A,"MachineryAllowed",SITE_COEFFS!$B:$B,$S4))</f>
        <v/>
      </c>
      <c r="U4" s="6"/>
      <c r="V4" s="6"/>
      <c r="W4" s="29" t="str">
        <f>IF($V4="","",SUMIFS(SITE_COEFFS!$C:$C,SITE_COEFFS!$A:$A,"GeometryComplexity",SITE_COEFFS!$B:$B,$V4))</f>
        <v/>
      </c>
      <c r="X4" s="6"/>
      <c r="Y4" s="6" t="str">
        <f>IF($X4="","",SUMIFS(TARIFF_PROFILES!$D:$D,TARIFF_PROFILES!$A:$A,$X4))</f>
        <v/>
      </c>
      <c r="Z4" s="6" t="str">
        <f>IF($X4="","",SUMIFS(TARIFF_PROFILES!$E:$E,TARIFF_PROFILES!$A:$A,$X4))</f>
        <v/>
      </c>
      <c r="AA4" s="6" t="str">
        <f>IF($X4="","",SUMIFS(TARIFF_PROFILES!$F:$F,TARIFF_PROFILES!$A:$A,$X4))</f>
        <v/>
      </c>
      <c r="AB4" s="6" t="str">
        <f>IF($X4="","",SUMIFS(TARIFF_PROFILES!$G:$G,TARIFF_PROFILES!$A:$A,$X4))</f>
        <v/>
      </c>
      <c r="AC4" s="6" t="str">
        <f>IF($X4="","",SUMIFS(TARIFF_PROFILES!$H:$H,TARIFF_PROFILES!$A:$A,$X4))</f>
        <v/>
      </c>
      <c r="AD4" s="6" t="str">
        <f t="array" ref="AD4">IF($X4="","",INDEX(TARIFF_PROFILES!$J:$J,MATCH($X4,TARIFF_PROFILES!$A:$A,0)))</f>
        <v/>
      </c>
      <c r="AE4" s="6" t="str">
        <f t="array" ref="AE4">IF($X4="","",INDEX(TARIFF_PROFILES!$K:$K,MATCH($X4,TARIFF_PROFILES!$A:$A,0)))</f>
        <v/>
      </c>
      <c r="AF4" s="4"/>
      <c r="AG4" s="4"/>
      <c r="AH4" s="4" t="str">
        <f>IF($AG4="","",SUMIFS(OPERATING_COEFFS!$C:$C,OPERATING_COEFFS!$A:$A,"DistanceClass",OPERATING_COEFFS!$B:$B,$AG4))</f>
        <v/>
      </c>
      <c r="AI4" s="4"/>
      <c r="AJ4" s="4" t="str">
        <f>IF($AI4="","",SUMIFS(OPERATING_COEFFS!$C:$C,OPERATING_COEFFS!$A:$A,"SeasonClass",OPERATING_COEFFS!$B:$B,$AI4))</f>
        <v/>
      </c>
      <c r="AK4" s="4"/>
      <c r="AL4" s="4" t="str">
        <f>IF($AK4="","",SUMIFS(OPERATING_COEFFS!$C:$C,OPERATING_COEFFS!$A:$A,"UrgencyClass",OPERATING_COEFFS!$B:$B,$AK4))</f>
        <v/>
      </c>
      <c r="AM4" s="4"/>
      <c r="AN4" s="4" t="str">
        <f t="array" ref="AN4">IF($AM4="","",INDEX(TAX_MODES!$B:$B,MATCH($AM4,TAX_MODES!$A:$A,0)))</f>
        <v/>
      </c>
      <c r="AO4" s="4"/>
      <c r="AP4" s="4"/>
    </row>
    <row r="5" ht="14.25" customHeight="1">
      <c r="A5" s="6"/>
      <c r="B5" s="6"/>
      <c r="C5" s="6"/>
      <c r="D5" s="29" t="str">
        <f>IF($C5="","",SUMIFS(SITE_COEFFS!$C:$C,SITE_COEFFS!$A:$A,"SoilWorkability",SITE_COEFFS!$B:$B,$C5))</f>
        <v/>
      </c>
      <c r="E5" s="6"/>
      <c r="F5" s="29" t="str">
        <f>IF($E5="","",SUMIFS(SITE_COEFFS!$C:$C,SITE_COEFFS!$A:$A,"SoilMoisture",SITE_COEFFS!$B:$B,$E5))</f>
        <v/>
      </c>
      <c r="G5" s="6"/>
      <c r="H5" s="29" t="str">
        <f>IF($G5="","",SUMIFS(SITE_COEFFS!$C:$C,SITE_COEFFS!$A:$A,"DebrisLevel",SITE_COEFFS!$B:$B,$G5))</f>
        <v/>
      </c>
      <c r="I5" s="6"/>
      <c r="J5" s="29" t="str">
        <f>IF($I5="","",SUMIFS(SITE_COEFFS!$C:$C,SITE_COEFFS!$A:$A,"SlopeClass",SITE_COEFFS!$B:$B,$I5))</f>
        <v/>
      </c>
      <c r="K5" s="6"/>
      <c r="L5" s="29" t="str">
        <f>IF($K5="","",SUMIFS(SITE_COEFFS!$C:$C,SITE_COEFFS!$A:$A,"SurfaceUnevenness",SITE_COEFFS!$B:$B,$K5))</f>
        <v/>
      </c>
      <c r="M5" s="6"/>
      <c r="N5" s="29" t="str">
        <f>IF($M5="","",SUMIFS(SITE_COEFFS!$C:$C,SITE_COEFFS!$A:$A,"AccessClass",SITE_COEFFS!$B:$B,$M5))</f>
        <v/>
      </c>
      <c r="O5" s="6"/>
      <c r="P5" s="29" t="str">
        <f>IF($O5="","",SUMIFS(SITE_COEFFS!$C:$C,SITE_COEFFS!$A:$A,"TurnSpace",SITE_COEFFS!$B:$B,$O5))</f>
        <v/>
      </c>
      <c r="Q5" s="6"/>
      <c r="R5" s="29" t="str">
        <f>IF($Q5="","",SUMIFS(SITE_COEFFS!$C:$C,SITE_COEFFS!$A:$A,"ProximityToBuildings",SITE_COEFFS!$B:$B,$Q5))</f>
        <v/>
      </c>
      <c r="S5" s="6"/>
      <c r="T5" s="29" t="str">
        <f>IF($S5="","",SUMIFS(SITE_COEFFS!$C:$C,SITE_COEFFS!$A:$A,"MachineryAllowed",SITE_COEFFS!$B:$B,$S5))</f>
        <v/>
      </c>
      <c r="U5" s="6"/>
      <c r="V5" s="6"/>
      <c r="W5" s="29" t="str">
        <f>IF($V5="","",SUMIFS(SITE_COEFFS!$C:$C,SITE_COEFFS!$A:$A,"GeometryComplexity",SITE_COEFFS!$B:$B,$V5))</f>
        <v/>
      </c>
      <c r="X5" s="6"/>
      <c r="Y5" s="6" t="str">
        <f>IF($X5="","",SUMIFS(TARIFF_PROFILES!$D:$D,TARIFF_PROFILES!$A:$A,$X5))</f>
        <v/>
      </c>
      <c r="Z5" s="6" t="str">
        <f>IF($X5="","",SUMIFS(TARIFF_PROFILES!$E:$E,TARIFF_PROFILES!$A:$A,$X5))</f>
        <v/>
      </c>
      <c r="AA5" s="6" t="str">
        <f>IF($X5="","",SUMIFS(TARIFF_PROFILES!$F:$F,TARIFF_PROFILES!$A:$A,$X5))</f>
        <v/>
      </c>
      <c r="AB5" s="6" t="str">
        <f>IF($X5="","",SUMIFS(TARIFF_PROFILES!$G:$G,TARIFF_PROFILES!$A:$A,$X5))</f>
        <v/>
      </c>
      <c r="AC5" s="6" t="str">
        <f>IF($X5="","",SUMIFS(TARIFF_PROFILES!$H:$H,TARIFF_PROFILES!$A:$A,$X5))</f>
        <v/>
      </c>
      <c r="AD5" s="6" t="str">
        <f t="array" ref="AD5">IF($X5="","",INDEX(TARIFF_PROFILES!$J:$J,MATCH($X5,TARIFF_PROFILES!$A:$A,0)))</f>
        <v/>
      </c>
      <c r="AE5" s="6" t="str">
        <f t="array" ref="AE5">IF($X5="","",INDEX(TARIFF_PROFILES!$K:$K,MATCH($X5,TARIFF_PROFILES!$A:$A,0)))</f>
        <v/>
      </c>
      <c r="AF5" s="4"/>
      <c r="AG5" s="4"/>
      <c r="AH5" s="4" t="str">
        <f>IF($AG5="","",SUMIFS(OPERATING_COEFFS!$C:$C,OPERATING_COEFFS!$A:$A,"DistanceClass",OPERATING_COEFFS!$B:$B,$AG5))</f>
        <v/>
      </c>
      <c r="AI5" s="4"/>
      <c r="AJ5" s="4" t="str">
        <f>IF($AI5="","",SUMIFS(OPERATING_COEFFS!$C:$C,OPERATING_COEFFS!$A:$A,"SeasonClass",OPERATING_COEFFS!$B:$B,$AI5))</f>
        <v/>
      </c>
      <c r="AK5" s="4"/>
      <c r="AL5" s="4" t="str">
        <f>IF($AK5="","",SUMIFS(OPERATING_COEFFS!$C:$C,OPERATING_COEFFS!$A:$A,"UrgencyClass",OPERATING_COEFFS!$B:$B,$AK5))</f>
        <v/>
      </c>
      <c r="AM5" s="4"/>
      <c r="AN5" s="4" t="str">
        <f t="array" ref="AN5">IF($AM5="","",INDEX(TAX_MODES!$B:$B,MATCH($AM5,TAX_MODES!$A:$A,0)))</f>
        <v/>
      </c>
      <c r="AO5" s="4"/>
      <c r="AP5" s="4"/>
    </row>
    <row r="6" ht="14.25" customHeight="1">
      <c r="A6" s="6"/>
      <c r="B6" s="6"/>
      <c r="C6" s="6"/>
      <c r="D6" s="29" t="str">
        <f>IF($C6="","",SUMIFS(SITE_COEFFS!$C:$C,SITE_COEFFS!$A:$A,"SoilWorkability",SITE_COEFFS!$B:$B,$C6))</f>
        <v/>
      </c>
      <c r="E6" s="6"/>
      <c r="F6" s="29" t="str">
        <f>IF($E6="","",SUMIFS(SITE_COEFFS!$C:$C,SITE_COEFFS!$A:$A,"SoilMoisture",SITE_COEFFS!$B:$B,$E6))</f>
        <v/>
      </c>
      <c r="G6" s="6"/>
      <c r="H6" s="29" t="str">
        <f>IF($G6="","",SUMIFS(SITE_COEFFS!$C:$C,SITE_COEFFS!$A:$A,"DebrisLevel",SITE_COEFFS!$B:$B,$G6))</f>
        <v/>
      </c>
      <c r="I6" s="6"/>
      <c r="J6" s="29" t="str">
        <f>IF($I6="","",SUMIFS(SITE_COEFFS!$C:$C,SITE_COEFFS!$A:$A,"SlopeClass",SITE_COEFFS!$B:$B,$I6))</f>
        <v/>
      </c>
      <c r="K6" s="6"/>
      <c r="L6" s="29" t="str">
        <f>IF($K6="","",SUMIFS(SITE_COEFFS!$C:$C,SITE_COEFFS!$A:$A,"SurfaceUnevenness",SITE_COEFFS!$B:$B,$K6))</f>
        <v/>
      </c>
      <c r="M6" s="6"/>
      <c r="N6" s="29" t="str">
        <f>IF($M6="","",SUMIFS(SITE_COEFFS!$C:$C,SITE_COEFFS!$A:$A,"AccessClass",SITE_COEFFS!$B:$B,$M6))</f>
        <v/>
      </c>
      <c r="O6" s="6"/>
      <c r="P6" s="29" t="str">
        <f>IF($O6="","",SUMIFS(SITE_COEFFS!$C:$C,SITE_COEFFS!$A:$A,"TurnSpace",SITE_COEFFS!$B:$B,$O6))</f>
        <v/>
      </c>
      <c r="Q6" s="6"/>
      <c r="R6" s="29" t="str">
        <f>IF($Q6="","",SUMIFS(SITE_COEFFS!$C:$C,SITE_COEFFS!$A:$A,"ProximityToBuildings",SITE_COEFFS!$B:$B,$Q6))</f>
        <v/>
      </c>
      <c r="S6" s="6"/>
      <c r="T6" s="29" t="str">
        <f>IF($S6="","",SUMIFS(SITE_COEFFS!$C:$C,SITE_COEFFS!$A:$A,"MachineryAllowed",SITE_COEFFS!$B:$B,$S6))</f>
        <v/>
      </c>
      <c r="U6" s="6"/>
      <c r="V6" s="6"/>
      <c r="W6" s="29" t="str">
        <f>IF($V6="","",SUMIFS(SITE_COEFFS!$C:$C,SITE_COEFFS!$A:$A,"GeometryComplexity",SITE_COEFFS!$B:$B,$V6))</f>
        <v/>
      </c>
      <c r="X6" s="6"/>
      <c r="Y6" s="6" t="str">
        <f>IF($X6="","",SUMIFS(TARIFF_PROFILES!$D:$D,TARIFF_PROFILES!$A:$A,$X6))</f>
        <v/>
      </c>
      <c r="Z6" s="6" t="str">
        <f>IF($X6="","",SUMIFS(TARIFF_PROFILES!$E:$E,TARIFF_PROFILES!$A:$A,$X6))</f>
        <v/>
      </c>
      <c r="AA6" s="6" t="str">
        <f>IF($X6="","",SUMIFS(TARIFF_PROFILES!$F:$F,TARIFF_PROFILES!$A:$A,$X6))</f>
        <v/>
      </c>
      <c r="AB6" s="6" t="str">
        <f>IF($X6="","",SUMIFS(TARIFF_PROFILES!$G:$G,TARIFF_PROFILES!$A:$A,$X6))</f>
        <v/>
      </c>
      <c r="AC6" s="6" t="str">
        <f>IF($X6="","",SUMIFS(TARIFF_PROFILES!$H:$H,TARIFF_PROFILES!$A:$A,$X6))</f>
        <v/>
      </c>
      <c r="AD6" s="6" t="str">
        <f t="array" ref="AD6">IF($X6="","",INDEX(TARIFF_PROFILES!$J:$J,MATCH($X6,TARIFF_PROFILES!$A:$A,0)))</f>
        <v/>
      </c>
      <c r="AE6" s="6" t="str">
        <f t="array" ref="AE6">IF($X6="","",INDEX(TARIFF_PROFILES!$K:$K,MATCH($X6,TARIFF_PROFILES!$A:$A,0)))</f>
        <v/>
      </c>
      <c r="AF6" s="4"/>
      <c r="AG6" s="4"/>
      <c r="AH6" s="4" t="str">
        <f>IF($AG6="","",SUMIFS(OPERATING_COEFFS!$C:$C,OPERATING_COEFFS!$A:$A,"DistanceClass",OPERATING_COEFFS!$B:$B,$AG6))</f>
        <v/>
      </c>
      <c r="AI6" s="4"/>
      <c r="AJ6" s="4" t="str">
        <f>IF($AI6="","",SUMIFS(OPERATING_COEFFS!$C:$C,OPERATING_COEFFS!$A:$A,"SeasonClass",OPERATING_COEFFS!$B:$B,$AI6))</f>
        <v/>
      </c>
      <c r="AK6" s="4"/>
      <c r="AL6" s="4" t="str">
        <f>IF($AK6="","",SUMIFS(OPERATING_COEFFS!$C:$C,OPERATING_COEFFS!$A:$A,"UrgencyClass",OPERATING_COEFFS!$B:$B,$AK6))</f>
        <v/>
      </c>
      <c r="AM6" s="4"/>
      <c r="AN6" s="4" t="str">
        <f t="array" ref="AN6">IF($AM6="","",INDEX(TAX_MODES!$B:$B,MATCH($AM6,TAX_MODES!$A:$A,0)))</f>
        <v/>
      </c>
      <c r="AO6" s="4"/>
      <c r="AP6" s="4"/>
    </row>
    <row r="7" ht="14.25" customHeight="1">
      <c r="A7" s="6"/>
      <c r="B7" s="6"/>
      <c r="C7" s="6"/>
      <c r="D7" s="29" t="str">
        <f>IF($C7="","",SUMIFS(SITE_COEFFS!$C:$C,SITE_COEFFS!$A:$A,"SoilWorkability",SITE_COEFFS!$B:$B,$C7))</f>
        <v/>
      </c>
      <c r="E7" s="6"/>
      <c r="F7" s="29" t="str">
        <f>IF($E7="","",SUMIFS(SITE_COEFFS!$C:$C,SITE_COEFFS!$A:$A,"SoilMoisture",SITE_COEFFS!$B:$B,$E7))</f>
        <v/>
      </c>
      <c r="G7" s="6"/>
      <c r="H7" s="29" t="str">
        <f>IF($G7="","",SUMIFS(SITE_COEFFS!$C:$C,SITE_COEFFS!$A:$A,"DebrisLevel",SITE_COEFFS!$B:$B,$G7))</f>
        <v/>
      </c>
      <c r="I7" s="6"/>
      <c r="J7" s="29" t="str">
        <f>IF($I7="","",SUMIFS(SITE_COEFFS!$C:$C,SITE_COEFFS!$A:$A,"SlopeClass",SITE_COEFFS!$B:$B,$I7))</f>
        <v/>
      </c>
      <c r="K7" s="6"/>
      <c r="L7" s="29" t="str">
        <f>IF($K7="","",SUMIFS(SITE_COEFFS!$C:$C,SITE_COEFFS!$A:$A,"SurfaceUnevenness",SITE_COEFFS!$B:$B,$K7))</f>
        <v/>
      </c>
      <c r="M7" s="6"/>
      <c r="N7" s="29" t="str">
        <f>IF($M7="","",SUMIFS(SITE_COEFFS!$C:$C,SITE_COEFFS!$A:$A,"AccessClass",SITE_COEFFS!$B:$B,$M7))</f>
        <v/>
      </c>
      <c r="O7" s="6"/>
      <c r="P7" s="29" t="str">
        <f>IF($O7="","",SUMIFS(SITE_COEFFS!$C:$C,SITE_COEFFS!$A:$A,"TurnSpace",SITE_COEFFS!$B:$B,$O7))</f>
        <v/>
      </c>
      <c r="Q7" s="6"/>
      <c r="R7" s="29" t="str">
        <f>IF($Q7="","",SUMIFS(SITE_COEFFS!$C:$C,SITE_COEFFS!$A:$A,"ProximityToBuildings",SITE_COEFFS!$B:$B,$Q7))</f>
        <v/>
      </c>
      <c r="S7" s="6"/>
      <c r="T7" s="29" t="str">
        <f>IF($S7="","",SUMIFS(SITE_COEFFS!$C:$C,SITE_COEFFS!$A:$A,"MachineryAllowed",SITE_COEFFS!$B:$B,$S7))</f>
        <v/>
      </c>
      <c r="U7" s="6"/>
      <c r="V7" s="6"/>
      <c r="W7" s="29" t="str">
        <f>IF($V7="","",SUMIFS(SITE_COEFFS!$C:$C,SITE_COEFFS!$A:$A,"GeometryComplexity",SITE_COEFFS!$B:$B,$V7))</f>
        <v/>
      </c>
      <c r="X7" s="6"/>
      <c r="Y7" s="6" t="str">
        <f>IF($X7="","",SUMIFS(TARIFF_PROFILES!$D:$D,TARIFF_PROFILES!$A:$A,$X7))</f>
        <v/>
      </c>
      <c r="Z7" s="6" t="str">
        <f>IF($X7="","",SUMIFS(TARIFF_PROFILES!$E:$E,TARIFF_PROFILES!$A:$A,$X7))</f>
        <v/>
      </c>
      <c r="AA7" s="6" t="str">
        <f>IF($X7="","",SUMIFS(TARIFF_PROFILES!$F:$F,TARIFF_PROFILES!$A:$A,$X7))</f>
        <v/>
      </c>
      <c r="AB7" s="6" t="str">
        <f>IF($X7="","",SUMIFS(TARIFF_PROFILES!$G:$G,TARIFF_PROFILES!$A:$A,$X7))</f>
        <v/>
      </c>
      <c r="AC7" s="6" t="str">
        <f>IF($X7="","",SUMIFS(TARIFF_PROFILES!$H:$H,TARIFF_PROFILES!$A:$A,$X7))</f>
        <v/>
      </c>
      <c r="AD7" s="6" t="str">
        <f t="array" ref="AD7">IF($X7="","",INDEX(TARIFF_PROFILES!$J:$J,MATCH($X7,TARIFF_PROFILES!$A:$A,0)))</f>
        <v/>
      </c>
      <c r="AE7" s="6" t="str">
        <f t="array" ref="AE7">IF($X7="","",INDEX(TARIFF_PROFILES!$K:$K,MATCH($X7,TARIFF_PROFILES!$A:$A,0)))</f>
        <v/>
      </c>
      <c r="AF7" s="4"/>
      <c r="AG7" s="4"/>
      <c r="AH7" s="4" t="str">
        <f>IF($AG7="","",SUMIFS(OPERATING_COEFFS!$C:$C,OPERATING_COEFFS!$A:$A,"DistanceClass",OPERATING_COEFFS!$B:$B,$AG7))</f>
        <v/>
      </c>
      <c r="AI7" s="4"/>
      <c r="AJ7" s="4" t="str">
        <f>IF($AI7="","",SUMIFS(OPERATING_COEFFS!$C:$C,OPERATING_COEFFS!$A:$A,"SeasonClass",OPERATING_COEFFS!$B:$B,$AI7))</f>
        <v/>
      </c>
      <c r="AK7" s="4"/>
      <c r="AL7" s="4" t="str">
        <f>IF($AK7="","",SUMIFS(OPERATING_COEFFS!$C:$C,OPERATING_COEFFS!$A:$A,"UrgencyClass",OPERATING_COEFFS!$B:$B,$AK7))</f>
        <v/>
      </c>
      <c r="AM7" s="4"/>
      <c r="AN7" s="4" t="str">
        <f t="array" ref="AN7">IF($AM7="","",INDEX(TAX_MODES!$B:$B,MATCH($AM7,TAX_MODES!$A:$A,0)))</f>
        <v/>
      </c>
      <c r="AO7" s="4"/>
      <c r="AP7" s="4"/>
    </row>
    <row r="8" ht="14.25" customHeight="1">
      <c r="A8" s="6"/>
      <c r="B8" s="6"/>
      <c r="C8" s="6"/>
      <c r="D8" s="29" t="str">
        <f>IF($C8="","",SUMIFS(SITE_COEFFS!$C:$C,SITE_COEFFS!$A:$A,"SoilWorkability",SITE_COEFFS!$B:$B,$C8))</f>
        <v/>
      </c>
      <c r="E8" s="6"/>
      <c r="F8" s="29" t="str">
        <f>IF($E8="","",SUMIFS(SITE_COEFFS!$C:$C,SITE_COEFFS!$A:$A,"SoilMoisture",SITE_COEFFS!$B:$B,$E8))</f>
        <v/>
      </c>
      <c r="G8" s="6"/>
      <c r="H8" s="29" t="str">
        <f>IF($G8="","",SUMIFS(SITE_COEFFS!$C:$C,SITE_COEFFS!$A:$A,"DebrisLevel",SITE_COEFFS!$B:$B,$G8))</f>
        <v/>
      </c>
      <c r="I8" s="6"/>
      <c r="J8" s="29" t="str">
        <f>IF($I8="","",SUMIFS(SITE_COEFFS!$C:$C,SITE_COEFFS!$A:$A,"SlopeClass",SITE_COEFFS!$B:$B,$I8))</f>
        <v/>
      </c>
      <c r="K8" s="6"/>
      <c r="L8" s="29" t="str">
        <f>IF($K8="","",SUMIFS(SITE_COEFFS!$C:$C,SITE_COEFFS!$A:$A,"SurfaceUnevenness",SITE_COEFFS!$B:$B,$K8))</f>
        <v/>
      </c>
      <c r="M8" s="6"/>
      <c r="N8" s="29" t="str">
        <f>IF($M8="","",SUMIFS(SITE_COEFFS!$C:$C,SITE_COEFFS!$A:$A,"AccessClass",SITE_COEFFS!$B:$B,$M8))</f>
        <v/>
      </c>
      <c r="O8" s="6"/>
      <c r="P8" s="29" t="str">
        <f>IF($O8="","",SUMIFS(SITE_COEFFS!$C:$C,SITE_COEFFS!$A:$A,"TurnSpace",SITE_COEFFS!$B:$B,$O8))</f>
        <v/>
      </c>
      <c r="Q8" s="6"/>
      <c r="R8" s="29" t="str">
        <f>IF($Q8="","",SUMIFS(SITE_COEFFS!$C:$C,SITE_COEFFS!$A:$A,"ProximityToBuildings",SITE_COEFFS!$B:$B,$Q8))</f>
        <v/>
      </c>
      <c r="S8" s="6"/>
      <c r="T8" s="29" t="str">
        <f>IF($S8="","",SUMIFS(SITE_COEFFS!$C:$C,SITE_COEFFS!$A:$A,"MachineryAllowed",SITE_COEFFS!$B:$B,$S8))</f>
        <v/>
      </c>
      <c r="U8" s="6"/>
      <c r="V8" s="6"/>
      <c r="W8" s="29" t="str">
        <f>IF($V8="","",SUMIFS(SITE_COEFFS!$C:$C,SITE_COEFFS!$A:$A,"GeometryComplexity",SITE_COEFFS!$B:$B,$V8))</f>
        <v/>
      </c>
      <c r="X8" s="6"/>
      <c r="Y8" s="6" t="str">
        <f>IF($X8="","",SUMIFS(TARIFF_PROFILES!$D:$D,TARIFF_PROFILES!$A:$A,$X8))</f>
        <v/>
      </c>
      <c r="Z8" s="6" t="str">
        <f>IF($X8="","",SUMIFS(TARIFF_PROFILES!$E:$E,TARIFF_PROFILES!$A:$A,$X8))</f>
        <v/>
      </c>
      <c r="AA8" s="6" t="str">
        <f>IF($X8="","",SUMIFS(TARIFF_PROFILES!$F:$F,TARIFF_PROFILES!$A:$A,$X8))</f>
        <v/>
      </c>
      <c r="AB8" s="6" t="str">
        <f>IF($X8="","",SUMIFS(TARIFF_PROFILES!$G:$G,TARIFF_PROFILES!$A:$A,$X8))</f>
        <v/>
      </c>
      <c r="AC8" s="6" t="str">
        <f>IF($X8="","",SUMIFS(TARIFF_PROFILES!$H:$H,TARIFF_PROFILES!$A:$A,$X8))</f>
        <v/>
      </c>
      <c r="AD8" s="6" t="str">
        <f t="array" ref="AD8">IF($X8="","",INDEX(TARIFF_PROFILES!$J:$J,MATCH($X8,TARIFF_PROFILES!$A:$A,0)))</f>
        <v/>
      </c>
      <c r="AE8" s="6" t="str">
        <f t="array" ref="AE8">IF($X8="","",INDEX(TARIFF_PROFILES!$K:$K,MATCH($X8,TARIFF_PROFILES!$A:$A,0)))</f>
        <v/>
      </c>
      <c r="AF8" s="4"/>
      <c r="AG8" s="4"/>
      <c r="AH8" s="4" t="str">
        <f>IF($AG8="","",SUMIFS(OPERATING_COEFFS!$C:$C,OPERATING_COEFFS!$A:$A,"DistanceClass",OPERATING_COEFFS!$B:$B,$AG8))</f>
        <v/>
      </c>
      <c r="AI8" s="4"/>
      <c r="AJ8" s="4" t="str">
        <f>IF($AI8="","",SUMIFS(OPERATING_COEFFS!$C:$C,OPERATING_COEFFS!$A:$A,"SeasonClass",OPERATING_COEFFS!$B:$B,$AI8))</f>
        <v/>
      </c>
      <c r="AK8" s="4"/>
      <c r="AL8" s="4" t="str">
        <f>IF($AK8="","",SUMIFS(OPERATING_COEFFS!$C:$C,OPERATING_COEFFS!$A:$A,"UrgencyClass",OPERATING_COEFFS!$B:$B,$AK8))</f>
        <v/>
      </c>
      <c r="AM8" s="4"/>
      <c r="AN8" s="4" t="str">
        <f t="array" ref="AN8">IF($AM8="","",INDEX(TAX_MODES!$B:$B,MATCH($AM8,TAX_MODES!$A:$A,0)))</f>
        <v/>
      </c>
      <c r="AO8" s="4"/>
      <c r="AP8" s="4"/>
    </row>
    <row r="9" ht="14.25" customHeight="1">
      <c r="A9" s="6"/>
      <c r="B9" s="6"/>
      <c r="C9" s="6"/>
      <c r="D9" s="29" t="str">
        <f>IF($C9="","",SUMIFS(SITE_COEFFS!$C:$C,SITE_COEFFS!$A:$A,"SoilWorkability",SITE_COEFFS!$B:$B,$C9))</f>
        <v/>
      </c>
      <c r="E9" s="6"/>
      <c r="F9" s="29" t="str">
        <f>IF($E9="","",SUMIFS(SITE_COEFFS!$C:$C,SITE_COEFFS!$A:$A,"SoilMoisture",SITE_COEFFS!$B:$B,$E9))</f>
        <v/>
      </c>
      <c r="G9" s="6"/>
      <c r="H9" s="29" t="str">
        <f>IF($G9="","",SUMIFS(SITE_COEFFS!$C:$C,SITE_COEFFS!$A:$A,"DebrisLevel",SITE_COEFFS!$B:$B,$G9))</f>
        <v/>
      </c>
      <c r="I9" s="6"/>
      <c r="J9" s="29" t="str">
        <f>IF($I9="","",SUMIFS(SITE_COEFFS!$C:$C,SITE_COEFFS!$A:$A,"SlopeClass",SITE_COEFFS!$B:$B,$I9))</f>
        <v/>
      </c>
      <c r="K9" s="6"/>
      <c r="L9" s="29" t="str">
        <f>IF($K9="","",SUMIFS(SITE_COEFFS!$C:$C,SITE_COEFFS!$A:$A,"SurfaceUnevenness",SITE_COEFFS!$B:$B,$K9))</f>
        <v/>
      </c>
      <c r="M9" s="6"/>
      <c r="N9" s="29" t="str">
        <f>IF($M9="","",SUMIFS(SITE_COEFFS!$C:$C,SITE_COEFFS!$A:$A,"AccessClass",SITE_COEFFS!$B:$B,$M9))</f>
        <v/>
      </c>
      <c r="O9" s="6"/>
      <c r="P9" s="29" t="str">
        <f>IF($O9="","",SUMIFS(SITE_COEFFS!$C:$C,SITE_COEFFS!$A:$A,"TurnSpace",SITE_COEFFS!$B:$B,$O9))</f>
        <v/>
      </c>
      <c r="Q9" s="6"/>
      <c r="R9" s="29" t="str">
        <f>IF($Q9="","",SUMIFS(SITE_COEFFS!$C:$C,SITE_COEFFS!$A:$A,"ProximityToBuildings",SITE_COEFFS!$B:$B,$Q9))</f>
        <v/>
      </c>
      <c r="S9" s="6"/>
      <c r="T9" s="29" t="str">
        <f>IF($S9="","",SUMIFS(SITE_COEFFS!$C:$C,SITE_COEFFS!$A:$A,"MachineryAllowed",SITE_COEFFS!$B:$B,$S9))</f>
        <v/>
      </c>
      <c r="U9" s="6"/>
      <c r="V9" s="6"/>
      <c r="W9" s="29" t="str">
        <f>IF($V9="","",SUMIFS(SITE_COEFFS!$C:$C,SITE_COEFFS!$A:$A,"GeometryComplexity",SITE_COEFFS!$B:$B,$V9))</f>
        <v/>
      </c>
      <c r="X9" s="6"/>
      <c r="Y9" s="6" t="str">
        <f>IF($X9="","",SUMIFS(TARIFF_PROFILES!$D:$D,TARIFF_PROFILES!$A:$A,$X9))</f>
        <v/>
      </c>
      <c r="Z9" s="6" t="str">
        <f>IF($X9="","",SUMIFS(TARIFF_PROFILES!$E:$E,TARIFF_PROFILES!$A:$A,$X9))</f>
        <v/>
      </c>
      <c r="AA9" s="6" t="str">
        <f>IF($X9="","",SUMIFS(TARIFF_PROFILES!$F:$F,TARIFF_PROFILES!$A:$A,$X9))</f>
        <v/>
      </c>
      <c r="AB9" s="6" t="str">
        <f>IF($X9="","",SUMIFS(TARIFF_PROFILES!$G:$G,TARIFF_PROFILES!$A:$A,$X9))</f>
        <v/>
      </c>
      <c r="AC9" s="6" t="str">
        <f>IF($X9="","",SUMIFS(TARIFF_PROFILES!$H:$H,TARIFF_PROFILES!$A:$A,$X9))</f>
        <v/>
      </c>
      <c r="AD9" s="6" t="str">
        <f t="array" ref="AD9">IF($X9="","",INDEX(TARIFF_PROFILES!$J:$J,MATCH($X9,TARIFF_PROFILES!$A:$A,0)))</f>
        <v/>
      </c>
      <c r="AE9" s="6" t="str">
        <f t="array" ref="AE9">IF($X9="","",INDEX(TARIFF_PROFILES!$K:$K,MATCH($X9,TARIFF_PROFILES!$A:$A,0)))</f>
        <v/>
      </c>
      <c r="AF9" s="4"/>
      <c r="AG9" s="4"/>
      <c r="AH9" s="4" t="str">
        <f>IF($AG9="","",SUMIFS(OPERATING_COEFFS!$C:$C,OPERATING_COEFFS!$A:$A,"DistanceClass",OPERATING_COEFFS!$B:$B,$AG9))</f>
        <v/>
      </c>
      <c r="AI9" s="4"/>
      <c r="AJ9" s="4" t="str">
        <f>IF($AI9="","",SUMIFS(OPERATING_COEFFS!$C:$C,OPERATING_COEFFS!$A:$A,"SeasonClass",OPERATING_COEFFS!$B:$B,$AI9))</f>
        <v/>
      </c>
      <c r="AK9" s="4"/>
      <c r="AL9" s="4" t="str">
        <f>IF($AK9="","",SUMIFS(OPERATING_COEFFS!$C:$C,OPERATING_COEFFS!$A:$A,"UrgencyClass",OPERATING_COEFFS!$B:$B,$AK9))</f>
        <v/>
      </c>
      <c r="AM9" s="4"/>
      <c r="AN9" s="4" t="str">
        <f t="array" ref="AN9">IF($AM9="","",INDEX(TAX_MODES!$B:$B,MATCH($AM9,TAX_MODES!$A:$A,0)))</f>
        <v/>
      </c>
      <c r="AO9" s="4"/>
      <c r="AP9" s="4"/>
    </row>
    <row r="10" ht="14.25" customHeight="1">
      <c r="A10" s="6"/>
      <c r="B10" s="6"/>
      <c r="C10" s="6"/>
      <c r="D10" s="29" t="str">
        <f>IF($C10="","",SUMIFS(SITE_COEFFS!$C:$C,SITE_COEFFS!$A:$A,"SoilWorkability",SITE_COEFFS!$B:$B,$C10))</f>
        <v/>
      </c>
      <c r="E10" s="6"/>
      <c r="F10" s="29" t="str">
        <f>IF($E10="","",SUMIFS(SITE_COEFFS!$C:$C,SITE_COEFFS!$A:$A,"SoilMoisture",SITE_COEFFS!$B:$B,$E10))</f>
        <v/>
      </c>
      <c r="G10" s="6"/>
      <c r="H10" s="29" t="str">
        <f>IF($G10="","",SUMIFS(SITE_COEFFS!$C:$C,SITE_COEFFS!$A:$A,"DebrisLevel",SITE_COEFFS!$B:$B,$G10))</f>
        <v/>
      </c>
      <c r="I10" s="6"/>
      <c r="J10" s="29" t="str">
        <f>IF($I10="","",SUMIFS(SITE_COEFFS!$C:$C,SITE_COEFFS!$A:$A,"SlopeClass",SITE_COEFFS!$B:$B,$I10))</f>
        <v/>
      </c>
      <c r="K10" s="6"/>
      <c r="L10" s="29" t="str">
        <f>IF($K10="","",SUMIFS(SITE_COEFFS!$C:$C,SITE_COEFFS!$A:$A,"SurfaceUnevenness",SITE_COEFFS!$B:$B,$K10))</f>
        <v/>
      </c>
      <c r="M10" s="6"/>
      <c r="N10" s="29" t="str">
        <f>IF($M10="","",SUMIFS(SITE_COEFFS!$C:$C,SITE_COEFFS!$A:$A,"AccessClass",SITE_COEFFS!$B:$B,$M10))</f>
        <v/>
      </c>
      <c r="O10" s="6"/>
      <c r="P10" s="29" t="str">
        <f>IF($O10="","",SUMIFS(SITE_COEFFS!$C:$C,SITE_COEFFS!$A:$A,"TurnSpace",SITE_COEFFS!$B:$B,$O10))</f>
        <v/>
      </c>
      <c r="Q10" s="6"/>
      <c r="R10" s="29" t="str">
        <f>IF($Q10="","",SUMIFS(SITE_COEFFS!$C:$C,SITE_COEFFS!$A:$A,"ProximityToBuildings",SITE_COEFFS!$B:$B,$Q10))</f>
        <v/>
      </c>
      <c r="S10" s="6"/>
      <c r="T10" s="29" t="str">
        <f>IF($S10="","",SUMIFS(SITE_COEFFS!$C:$C,SITE_COEFFS!$A:$A,"MachineryAllowed",SITE_COEFFS!$B:$B,$S10))</f>
        <v/>
      </c>
      <c r="U10" s="6"/>
      <c r="V10" s="6"/>
      <c r="W10" s="29" t="str">
        <f>IF($V10="","",SUMIFS(SITE_COEFFS!$C:$C,SITE_COEFFS!$A:$A,"GeometryComplexity",SITE_COEFFS!$B:$B,$V10))</f>
        <v/>
      </c>
      <c r="X10" s="6"/>
      <c r="Y10" s="6" t="str">
        <f>IF($X10="","",SUMIFS(TARIFF_PROFILES!$D:$D,TARIFF_PROFILES!$A:$A,$X10))</f>
        <v/>
      </c>
      <c r="Z10" s="6" t="str">
        <f>IF($X10="","",SUMIFS(TARIFF_PROFILES!$E:$E,TARIFF_PROFILES!$A:$A,$X10))</f>
        <v/>
      </c>
      <c r="AA10" s="6" t="str">
        <f>IF($X10="","",SUMIFS(TARIFF_PROFILES!$F:$F,TARIFF_PROFILES!$A:$A,$X10))</f>
        <v/>
      </c>
      <c r="AB10" s="6" t="str">
        <f>IF($X10="","",SUMIFS(TARIFF_PROFILES!$G:$G,TARIFF_PROFILES!$A:$A,$X10))</f>
        <v/>
      </c>
      <c r="AC10" s="6" t="str">
        <f>IF($X10="","",SUMIFS(TARIFF_PROFILES!$H:$H,TARIFF_PROFILES!$A:$A,$X10))</f>
        <v/>
      </c>
      <c r="AD10" s="6" t="str">
        <f t="array" ref="AD10">IF($X10="","",INDEX(TARIFF_PROFILES!$J:$J,MATCH($X10,TARIFF_PROFILES!$A:$A,0)))</f>
        <v/>
      </c>
      <c r="AE10" s="6" t="str">
        <f t="array" ref="AE10">IF($X10="","",INDEX(TARIFF_PROFILES!$K:$K,MATCH($X10,TARIFF_PROFILES!$A:$A,0)))</f>
        <v/>
      </c>
      <c r="AF10" s="4"/>
      <c r="AG10" s="4"/>
      <c r="AH10" s="4" t="str">
        <f>IF($AG10="","",SUMIFS(OPERATING_COEFFS!$C:$C,OPERATING_COEFFS!$A:$A,"DistanceClass",OPERATING_COEFFS!$B:$B,$AG10))</f>
        <v/>
      </c>
      <c r="AI10" s="4"/>
      <c r="AJ10" s="4" t="str">
        <f>IF($AI10="","",SUMIFS(OPERATING_COEFFS!$C:$C,OPERATING_COEFFS!$A:$A,"SeasonClass",OPERATING_COEFFS!$B:$B,$AI10))</f>
        <v/>
      </c>
      <c r="AK10" s="4"/>
      <c r="AL10" s="4" t="str">
        <f>IF($AK10="","",SUMIFS(OPERATING_COEFFS!$C:$C,OPERATING_COEFFS!$A:$A,"UrgencyClass",OPERATING_COEFFS!$B:$B,$AK10))</f>
        <v/>
      </c>
      <c r="AM10" s="4"/>
      <c r="AN10" s="4" t="str">
        <f t="array" ref="AN10">IF($AM10="","",INDEX(TAX_MODES!$B:$B,MATCH($AM10,TAX_MODES!$A:$A,0)))</f>
        <v/>
      </c>
      <c r="AO10" s="4"/>
      <c r="AP10" s="4"/>
    </row>
    <row r="11" ht="14.25" customHeight="1">
      <c r="A11" s="6"/>
      <c r="B11" s="6"/>
      <c r="C11" s="6"/>
      <c r="D11" s="29" t="str">
        <f>IF($C11="","",SUMIFS(SITE_COEFFS!$C:$C,SITE_COEFFS!$A:$A,"SoilWorkability",SITE_COEFFS!$B:$B,$C11))</f>
        <v/>
      </c>
      <c r="E11" s="6"/>
      <c r="F11" s="29" t="str">
        <f>IF($E11="","",SUMIFS(SITE_COEFFS!$C:$C,SITE_COEFFS!$A:$A,"SoilMoisture",SITE_COEFFS!$B:$B,$E11))</f>
        <v/>
      </c>
      <c r="G11" s="6"/>
      <c r="H11" s="29" t="str">
        <f>IF($G11="","",SUMIFS(SITE_COEFFS!$C:$C,SITE_COEFFS!$A:$A,"DebrisLevel",SITE_COEFFS!$B:$B,$G11))</f>
        <v/>
      </c>
      <c r="I11" s="6"/>
      <c r="J11" s="29" t="str">
        <f>IF($I11="","",SUMIFS(SITE_COEFFS!$C:$C,SITE_COEFFS!$A:$A,"SlopeClass",SITE_COEFFS!$B:$B,$I11))</f>
        <v/>
      </c>
      <c r="K11" s="6"/>
      <c r="L11" s="29" t="str">
        <f>IF($K11="","",SUMIFS(SITE_COEFFS!$C:$C,SITE_COEFFS!$A:$A,"SurfaceUnevenness",SITE_COEFFS!$B:$B,$K11))</f>
        <v/>
      </c>
      <c r="M11" s="6"/>
      <c r="N11" s="29" t="str">
        <f>IF($M11="","",SUMIFS(SITE_COEFFS!$C:$C,SITE_COEFFS!$A:$A,"AccessClass",SITE_COEFFS!$B:$B,$M11))</f>
        <v/>
      </c>
      <c r="O11" s="6"/>
      <c r="P11" s="29" t="str">
        <f>IF($O11="","",SUMIFS(SITE_COEFFS!$C:$C,SITE_COEFFS!$A:$A,"TurnSpace",SITE_COEFFS!$B:$B,$O11))</f>
        <v/>
      </c>
      <c r="Q11" s="6"/>
      <c r="R11" s="29" t="str">
        <f>IF($Q11="","",SUMIFS(SITE_COEFFS!$C:$C,SITE_COEFFS!$A:$A,"ProximityToBuildings",SITE_COEFFS!$B:$B,$Q11))</f>
        <v/>
      </c>
      <c r="S11" s="6"/>
      <c r="T11" s="29" t="str">
        <f>IF($S11="","",SUMIFS(SITE_COEFFS!$C:$C,SITE_COEFFS!$A:$A,"MachineryAllowed",SITE_COEFFS!$B:$B,$S11))</f>
        <v/>
      </c>
      <c r="U11" s="6"/>
      <c r="V11" s="6"/>
      <c r="W11" s="29" t="str">
        <f>IF($V11="","",SUMIFS(SITE_COEFFS!$C:$C,SITE_COEFFS!$A:$A,"GeometryComplexity",SITE_COEFFS!$B:$B,$V11))</f>
        <v/>
      </c>
      <c r="X11" s="6"/>
      <c r="Y11" s="6" t="str">
        <f>IF($X11="","",SUMIFS(TARIFF_PROFILES!$D:$D,TARIFF_PROFILES!$A:$A,$X11))</f>
        <v/>
      </c>
      <c r="Z11" s="6" t="str">
        <f>IF($X11="","",SUMIFS(TARIFF_PROFILES!$E:$E,TARIFF_PROFILES!$A:$A,$X11))</f>
        <v/>
      </c>
      <c r="AA11" s="6" t="str">
        <f>IF($X11="","",SUMIFS(TARIFF_PROFILES!$F:$F,TARIFF_PROFILES!$A:$A,$X11))</f>
        <v/>
      </c>
      <c r="AB11" s="6" t="str">
        <f>IF($X11="","",SUMIFS(TARIFF_PROFILES!$G:$G,TARIFF_PROFILES!$A:$A,$X11))</f>
        <v/>
      </c>
      <c r="AC11" s="6" t="str">
        <f>IF($X11="","",SUMIFS(TARIFF_PROFILES!$H:$H,TARIFF_PROFILES!$A:$A,$X11))</f>
        <v/>
      </c>
      <c r="AD11" s="6" t="str">
        <f t="array" ref="AD11">IF($X11="","",INDEX(TARIFF_PROFILES!$J:$J,MATCH($X11,TARIFF_PROFILES!$A:$A,0)))</f>
        <v/>
      </c>
      <c r="AE11" s="6" t="str">
        <f t="array" ref="AE11">IF($X11="","",INDEX(TARIFF_PROFILES!$K:$K,MATCH($X11,TARIFF_PROFILES!$A:$A,0)))</f>
        <v/>
      </c>
      <c r="AF11" s="4"/>
      <c r="AG11" s="4"/>
      <c r="AH11" s="4" t="str">
        <f>IF($AG11="","",SUMIFS(OPERATING_COEFFS!$C:$C,OPERATING_COEFFS!$A:$A,"DistanceClass",OPERATING_COEFFS!$B:$B,$AG11))</f>
        <v/>
      </c>
      <c r="AI11" s="4"/>
      <c r="AJ11" s="4" t="str">
        <f>IF($AI11="","",SUMIFS(OPERATING_COEFFS!$C:$C,OPERATING_COEFFS!$A:$A,"SeasonClass",OPERATING_COEFFS!$B:$B,$AI11))</f>
        <v/>
      </c>
      <c r="AK11" s="4"/>
      <c r="AL11" s="4" t="str">
        <f>IF($AK11="","",SUMIFS(OPERATING_COEFFS!$C:$C,OPERATING_COEFFS!$A:$A,"UrgencyClass",OPERATING_COEFFS!$B:$B,$AK11))</f>
        <v/>
      </c>
      <c r="AM11" s="4"/>
      <c r="AN11" s="4" t="str">
        <f t="array" ref="AN11">IF($AM11="","",INDEX(TAX_MODES!$B:$B,MATCH($AM11,TAX_MODES!$A:$A,0)))</f>
        <v/>
      </c>
      <c r="AO11" s="4"/>
      <c r="AP11" s="4"/>
    </row>
    <row r="12" ht="14.25" customHeight="1">
      <c r="A12" s="6"/>
      <c r="B12" s="6"/>
      <c r="C12" s="6"/>
      <c r="D12" s="29" t="str">
        <f>IF($C12="","",SUMIFS(SITE_COEFFS!$C:$C,SITE_COEFFS!$A:$A,"SoilWorkability",SITE_COEFFS!$B:$B,$C12))</f>
        <v/>
      </c>
      <c r="E12" s="6"/>
      <c r="F12" s="29" t="str">
        <f>IF($E12="","",SUMIFS(SITE_COEFFS!$C:$C,SITE_COEFFS!$A:$A,"SoilMoisture",SITE_COEFFS!$B:$B,$E12))</f>
        <v/>
      </c>
      <c r="G12" s="6"/>
      <c r="H12" s="29" t="str">
        <f>IF($G12="","",SUMIFS(SITE_COEFFS!$C:$C,SITE_COEFFS!$A:$A,"DebrisLevel",SITE_COEFFS!$B:$B,$G12))</f>
        <v/>
      </c>
      <c r="I12" s="6"/>
      <c r="J12" s="29" t="str">
        <f>IF($I12="","",SUMIFS(SITE_COEFFS!$C:$C,SITE_COEFFS!$A:$A,"SlopeClass",SITE_COEFFS!$B:$B,$I12))</f>
        <v/>
      </c>
      <c r="K12" s="6"/>
      <c r="L12" s="29" t="str">
        <f>IF($K12="","",SUMIFS(SITE_COEFFS!$C:$C,SITE_COEFFS!$A:$A,"SurfaceUnevenness",SITE_COEFFS!$B:$B,$K12))</f>
        <v/>
      </c>
      <c r="M12" s="6"/>
      <c r="N12" s="29" t="str">
        <f>IF($M12="","",SUMIFS(SITE_COEFFS!$C:$C,SITE_COEFFS!$A:$A,"AccessClass",SITE_COEFFS!$B:$B,$M12))</f>
        <v/>
      </c>
      <c r="O12" s="6"/>
      <c r="P12" s="29" t="str">
        <f>IF($O12="","",SUMIFS(SITE_COEFFS!$C:$C,SITE_COEFFS!$A:$A,"TurnSpace",SITE_COEFFS!$B:$B,$O12))</f>
        <v/>
      </c>
      <c r="Q12" s="6"/>
      <c r="R12" s="29" t="str">
        <f>IF($Q12="","",SUMIFS(SITE_COEFFS!$C:$C,SITE_COEFFS!$A:$A,"ProximityToBuildings",SITE_COEFFS!$B:$B,$Q12))</f>
        <v/>
      </c>
      <c r="S12" s="6"/>
      <c r="T12" s="29" t="str">
        <f>IF($S12="","",SUMIFS(SITE_COEFFS!$C:$C,SITE_COEFFS!$A:$A,"MachineryAllowed",SITE_COEFFS!$B:$B,$S12))</f>
        <v/>
      </c>
      <c r="U12" s="6"/>
      <c r="V12" s="6"/>
      <c r="W12" s="29" t="str">
        <f>IF($V12="","",SUMIFS(SITE_COEFFS!$C:$C,SITE_COEFFS!$A:$A,"GeometryComplexity",SITE_COEFFS!$B:$B,$V12))</f>
        <v/>
      </c>
      <c r="X12" s="6"/>
      <c r="Y12" s="6" t="str">
        <f>IF($X12="","",SUMIFS(TARIFF_PROFILES!$D:$D,TARIFF_PROFILES!$A:$A,$X12))</f>
        <v/>
      </c>
      <c r="Z12" s="6" t="str">
        <f>IF($X12="","",SUMIFS(TARIFF_PROFILES!$E:$E,TARIFF_PROFILES!$A:$A,$X12))</f>
        <v/>
      </c>
      <c r="AA12" s="6" t="str">
        <f>IF($X12="","",SUMIFS(TARIFF_PROFILES!$F:$F,TARIFF_PROFILES!$A:$A,$X12))</f>
        <v/>
      </c>
      <c r="AB12" s="6" t="str">
        <f>IF($X12="","",SUMIFS(TARIFF_PROFILES!$G:$G,TARIFF_PROFILES!$A:$A,$X12))</f>
        <v/>
      </c>
      <c r="AC12" s="6" t="str">
        <f>IF($X12="","",SUMIFS(TARIFF_PROFILES!$H:$H,TARIFF_PROFILES!$A:$A,$X12))</f>
        <v/>
      </c>
      <c r="AD12" s="6" t="str">
        <f t="array" ref="AD12">IF($X12="","",INDEX(TARIFF_PROFILES!$J:$J,MATCH($X12,TARIFF_PROFILES!$A:$A,0)))</f>
        <v/>
      </c>
      <c r="AE12" s="6" t="str">
        <f t="array" ref="AE12">IF($X12="","",INDEX(TARIFF_PROFILES!$K:$K,MATCH($X12,TARIFF_PROFILES!$A:$A,0)))</f>
        <v/>
      </c>
      <c r="AF12" s="4"/>
      <c r="AG12" s="4"/>
      <c r="AH12" s="4" t="str">
        <f>IF($AG12="","",SUMIFS(OPERATING_COEFFS!$C:$C,OPERATING_COEFFS!$A:$A,"DistanceClass",OPERATING_COEFFS!$B:$B,$AG12))</f>
        <v/>
      </c>
      <c r="AI12" s="4"/>
      <c r="AJ12" s="4" t="str">
        <f>IF($AI12="","",SUMIFS(OPERATING_COEFFS!$C:$C,OPERATING_COEFFS!$A:$A,"SeasonClass",OPERATING_COEFFS!$B:$B,$AI12))</f>
        <v/>
      </c>
      <c r="AK12" s="4"/>
      <c r="AL12" s="4" t="str">
        <f>IF($AK12="","",SUMIFS(OPERATING_COEFFS!$C:$C,OPERATING_COEFFS!$A:$A,"UrgencyClass",OPERATING_COEFFS!$B:$B,$AK12))</f>
        <v/>
      </c>
      <c r="AM12" s="4"/>
      <c r="AN12" s="4" t="str">
        <f t="array" ref="AN12">IF($AM12="","",INDEX(TAX_MODES!$B:$B,MATCH($AM12,TAX_MODES!$A:$A,0)))</f>
        <v/>
      </c>
      <c r="AO12" s="4"/>
      <c r="AP12" s="4"/>
    </row>
    <row r="13" ht="14.25" customHeight="1">
      <c r="A13" s="6"/>
      <c r="B13" s="6"/>
      <c r="C13" s="6"/>
      <c r="D13" s="29" t="str">
        <f>IF($C13="","",SUMIFS(SITE_COEFFS!$C:$C,SITE_COEFFS!$A:$A,"SoilWorkability",SITE_COEFFS!$B:$B,$C13))</f>
        <v/>
      </c>
      <c r="E13" s="6"/>
      <c r="F13" s="29" t="str">
        <f>IF($E13="","",SUMIFS(SITE_COEFFS!$C:$C,SITE_COEFFS!$A:$A,"SoilMoisture",SITE_COEFFS!$B:$B,$E13))</f>
        <v/>
      </c>
      <c r="G13" s="6"/>
      <c r="H13" s="29" t="str">
        <f>IF($G13="","",SUMIFS(SITE_COEFFS!$C:$C,SITE_COEFFS!$A:$A,"DebrisLevel",SITE_COEFFS!$B:$B,$G13))</f>
        <v/>
      </c>
      <c r="I13" s="6"/>
      <c r="J13" s="29" t="str">
        <f>IF($I13="","",SUMIFS(SITE_COEFFS!$C:$C,SITE_COEFFS!$A:$A,"SlopeClass",SITE_COEFFS!$B:$B,$I13))</f>
        <v/>
      </c>
      <c r="K13" s="6"/>
      <c r="L13" s="29" t="str">
        <f>IF($K13="","",SUMIFS(SITE_COEFFS!$C:$C,SITE_COEFFS!$A:$A,"SurfaceUnevenness",SITE_COEFFS!$B:$B,$K13))</f>
        <v/>
      </c>
      <c r="M13" s="6"/>
      <c r="N13" s="29" t="str">
        <f>IF($M13="","",SUMIFS(SITE_COEFFS!$C:$C,SITE_COEFFS!$A:$A,"AccessClass",SITE_COEFFS!$B:$B,$M13))</f>
        <v/>
      </c>
      <c r="O13" s="6"/>
      <c r="P13" s="29" t="str">
        <f>IF($O13="","",SUMIFS(SITE_COEFFS!$C:$C,SITE_COEFFS!$A:$A,"TurnSpace",SITE_COEFFS!$B:$B,$O13))</f>
        <v/>
      </c>
      <c r="Q13" s="6"/>
      <c r="R13" s="29" t="str">
        <f>IF($Q13="","",SUMIFS(SITE_COEFFS!$C:$C,SITE_COEFFS!$A:$A,"ProximityToBuildings",SITE_COEFFS!$B:$B,$Q13))</f>
        <v/>
      </c>
      <c r="S13" s="6"/>
      <c r="T13" s="29" t="str">
        <f>IF($S13="","",SUMIFS(SITE_COEFFS!$C:$C,SITE_COEFFS!$A:$A,"MachineryAllowed",SITE_COEFFS!$B:$B,$S13))</f>
        <v/>
      </c>
      <c r="U13" s="6"/>
      <c r="V13" s="6"/>
      <c r="W13" s="29" t="str">
        <f>IF($V13="","",SUMIFS(SITE_COEFFS!$C:$C,SITE_COEFFS!$A:$A,"GeometryComplexity",SITE_COEFFS!$B:$B,$V13))</f>
        <v/>
      </c>
      <c r="X13" s="6"/>
      <c r="Y13" s="6" t="str">
        <f>IF($X13="","",SUMIFS(TARIFF_PROFILES!$D:$D,TARIFF_PROFILES!$A:$A,$X13))</f>
        <v/>
      </c>
      <c r="Z13" s="6" t="str">
        <f>IF($X13="","",SUMIFS(TARIFF_PROFILES!$E:$E,TARIFF_PROFILES!$A:$A,$X13))</f>
        <v/>
      </c>
      <c r="AA13" s="6" t="str">
        <f>IF($X13="","",SUMIFS(TARIFF_PROFILES!$F:$F,TARIFF_PROFILES!$A:$A,$X13))</f>
        <v/>
      </c>
      <c r="AB13" s="6" t="str">
        <f>IF($X13="","",SUMIFS(TARIFF_PROFILES!$G:$G,TARIFF_PROFILES!$A:$A,$X13))</f>
        <v/>
      </c>
      <c r="AC13" s="6" t="str">
        <f>IF($X13="","",SUMIFS(TARIFF_PROFILES!$H:$H,TARIFF_PROFILES!$A:$A,$X13))</f>
        <v/>
      </c>
      <c r="AD13" s="6" t="str">
        <f t="array" ref="AD13">IF($X13="","",INDEX(TARIFF_PROFILES!$J:$J,MATCH($X13,TARIFF_PROFILES!$A:$A,0)))</f>
        <v/>
      </c>
      <c r="AE13" s="6" t="str">
        <f t="array" ref="AE13">IF($X13="","",INDEX(TARIFF_PROFILES!$K:$K,MATCH($X13,TARIFF_PROFILES!$A:$A,0)))</f>
        <v/>
      </c>
      <c r="AF13" s="4"/>
      <c r="AG13" s="4"/>
      <c r="AH13" s="4" t="str">
        <f>IF($AG13="","",SUMIFS(OPERATING_COEFFS!$C:$C,OPERATING_COEFFS!$A:$A,"DistanceClass",OPERATING_COEFFS!$B:$B,$AG13))</f>
        <v/>
      </c>
      <c r="AI13" s="4"/>
      <c r="AJ13" s="4" t="str">
        <f>IF($AI13="","",SUMIFS(OPERATING_COEFFS!$C:$C,OPERATING_COEFFS!$A:$A,"SeasonClass",OPERATING_COEFFS!$B:$B,$AI13))</f>
        <v/>
      </c>
      <c r="AK13" s="4"/>
      <c r="AL13" s="4" t="str">
        <f>IF($AK13="","",SUMIFS(OPERATING_COEFFS!$C:$C,OPERATING_COEFFS!$A:$A,"UrgencyClass",OPERATING_COEFFS!$B:$B,$AK13))</f>
        <v/>
      </c>
      <c r="AM13" s="4"/>
      <c r="AN13" s="4" t="str">
        <f t="array" ref="AN13">IF($AM13="","",INDEX(TAX_MODES!$B:$B,MATCH($AM13,TAX_MODES!$A:$A,0)))</f>
        <v/>
      </c>
      <c r="AO13" s="4"/>
      <c r="AP13" s="4"/>
    </row>
    <row r="14" ht="14.25" customHeight="1">
      <c r="A14" s="6"/>
      <c r="B14" s="6"/>
      <c r="C14" s="6"/>
      <c r="D14" s="29" t="str">
        <f>IF($C14="","",SUMIFS(SITE_COEFFS!$C:$C,SITE_COEFFS!$A:$A,"SoilWorkability",SITE_COEFFS!$B:$B,$C14))</f>
        <v/>
      </c>
      <c r="E14" s="6"/>
      <c r="F14" s="29" t="str">
        <f>IF($E14="","",SUMIFS(SITE_COEFFS!$C:$C,SITE_COEFFS!$A:$A,"SoilMoisture",SITE_COEFFS!$B:$B,$E14))</f>
        <v/>
      </c>
      <c r="G14" s="6"/>
      <c r="H14" s="29" t="str">
        <f>IF($G14="","",SUMIFS(SITE_COEFFS!$C:$C,SITE_COEFFS!$A:$A,"DebrisLevel",SITE_COEFFS!$B:$B,$G14))</f>
        <v/>
      </c>
      <c r="I14" s="6"/>
      <c r="J14" s="29" t="str">
        <f>IF($I14="","",SUMIFS(SITE_COEFFS!$C:$C,SITE_COEFFS!$A:$A,"SlopeClass",SITE_COEFFS!$B:$B,$I14))</f>
        <v/>
      </c>
      <c r="K14" s="6"/>
      <c r="L14" s="29" t="str">
        <f>IF($K14="","",SUMIFS(SITE_COEFFS!$C:$C,SITE_COEFFS!$A:$A,"SurfaceUnevenness",SITE_COEFFS!$B:$B,$K14))</f>
        <v/>
      </c>
      <c r="M14" s="6"/>
      <c r="N14" s="29" t="str">
        <f>IF($M14="","",SUMIFS(SITE_COEFFS!$C:$C,SITE_COEFFS!$A:$A,"AccessClass",SITE_COEFFS!$B:$B,$M14))</f>
        <v/>
      </c>
      <c r="O14" s="6"/>
      <c r="P14" s="29" t="str">
        <f>IF($O14="","",SUMIFS(SITE_COEFFS!$C:$C,SITE_COEFFS!$A:$A,"TurnSpace",SITE_COEFFS!$B:$B,$O14))</f>
        <v/>
      </c>
      <c r="Q14" s="6"/>
      <c r="R14" s="29" t="str">
        <f>IF($Q14="","",SUMIFS(SITE_COEFFS!$C:$C,SITE_COEFFS!$A:$A,"ProximityToBuildings",SITE_COEFFS!$B:$B,$Q14))</f>
        <v/>
      </c>
      <c r="S14" s="6"/>
      <c r="T14" s="29" t="str">
        <f>IF($S14="","",SUMIFS(SITE_COEFFS!$C:$C,SITE_COEFFS!$A:$A,"MachineryAllowed",SITE_COEFFS!$B:$B,$S14))</f>
        <v/>
      </c>
      <c r="U14" s="6"/>
      <c r="V14" s="6"/>
      <c r="W14" s="29" t="str">
        <f>IF($V14="","",SUMIFS(SITE_COEFFS!$C:$C,SITE_COEFFS!$A:$A,"GeometryComplexity",SITE_COEFFS!$B:$B,$V14))</f>
        <v/>
      </c>
      <c r="X14" s="6"/>
      <c r="Y14" s="6" t="str">
        <f>IF($X14="","",SUMIFS(TARIFF_PROFILES!$D:$D,TARIFF_PROFILES!$A:$A,$X14))</f>
        <v/>
      </c>
      <c r="Z14" s="6" t="str">
        <f>IF($X14="","",SUMIFS(TARIFF_PROFILES!$E:$E,TARIFF_PROFILES!$A:$A,$X14))</f>
        <v/>
      </c>
      <c r="AA14" s="6" t="str">
        <f>IF($X14="","",SUMIFS(TARIFF_PROFILES!$F:$F,TARIFF_PROFILES!$A:$A,$X14))</f>
        <v/>
      </c>
      <c r="AB14" s="6" t="str">
        <f>IF($X14="","",SUMIFS(TARIFF_PROFILES!$G:$G,TARIFF_PROFILES!$A:$A,$X14))</f>
        <v/>
      </c>
      <c r="AC14" s="6" t="str">
        <f>IF($X14="","",SUMIFS(TARIFF_PROFILES!$H:$H,TARIFF_PROFILES!$A:$A,$X14))</f>
        <v/>
      </c>
      <c r="AD14" s="6" t="str">
        <f t="array" ref="AD14">IF($X14="","",INDEX(TARIFF_PROFILES!$J:$J,MATCH($X14,TARIFF_PROFILES!$A:$A,0)))</f>
        <v/>
      </c>
      <c r="AE14" s="6" t="str">
        <f t="array" ref="AE14">IF($X14="","",INDEX(TARIFF_PROFILES!$K:$K,MATCH($X14,TARIFF_PROFILES!$A:$A,0)))</f>
        <v/>
      </c>
      <c r="AF14" s="4"/>
      <c r="AG14" s="4"/>
      <c r="AH14" s="4" t="str">
        <f>IF($AG14="","",SUMIFS(OPERATING_COEFFS!$C:$C,OPERATING_COEFFS!$A:$A,"DistanceClass",OPERATING_COEFFS!$B:$B,$AG14))</f>
        <v/>
      </c>
      <c r="AI14" s="4"/>
      <c r="AJ14" s="4" t="str">
        <f>IF($AI14="","",SUMIFS(OPERATING_COEFFS!$C:$C,OPERATING_COEFFS!$A:$A,"SeasonClass",OPERATING_COEFFS!$B:$B,$AI14))</f>
        <v/>
      </c>
      <c r="AK14" s="4"/>
      <c r="AL14" s="4" t="str">
        <f>IF($AK14="","",SUMIFS(OPERATING_COEFFS!$C:$C,OPERATING_COEFFS!$A:$A,"UrgencyClass",OPERATING_COEFFS!$B:$B,$AK14))</f>
        <v/>
      </c>
      <c r="AM14" s="4"/>
      <c r="AN14" s="4" t="str">
        <f t="array" ref="AN14">IF($AM14="","",INDEX(TAX_MODES!$B:$B,MATCH($AM14,TAX_MODES!$A:$A,0)))</f>
        <v/>
      </c>
      <c r="AO14" s="4"/>
      <c r="AP14" s="4"/>
    </row>
    <row r="15" ht="14.25" customHeight="1">
      <c r="A15" s="6"/>
      <c r="B15" s="6"/>
      <c r="C15" s="6"/>
      <c r="D15" s="29" t="str">
        <f>IF($C15="","",SUMIFS(SITE_COEFFS!$C:$C,SITE_COEFFS!$A:$A,"SoilWorkability",SITE_COEFFS!$B:$B,$C15))</f>
        <v/>
      </c>
      <c r="E15" s="6"/>
      <c r="F15" s="29" t="str">
        <f>IF($E15="","",SUMIFS(SITE_COEFFS!$C:$C,SITE_COEFFS!$A:$A,"SoilMoisture",SITE_COEFFS!$B:$B,$E15))</f>
        <v/>
      </c>
      <c r="G15" s="6"/>
      <c r="H15" s="29" t="str">
        <f>IF($G15="","",SUMIFS(SITE_COEFFS!$C:$C,SITE_COEFFS!$A:$A,"DebrisLevel",SITE_COEFFS!$B:$B,$G15))</f>
        <v/>
      </c>
      <c r="I15" s="6"/>
      <c r="J15" s="29" t="str">
        <f>IF($I15="","",SUMIFS(SITE_COEFFS!$C:$C,SITE_COEFFS!$A:$A,"SlopeClass",SITE_COEFFS!$B:$B,$I15))</f>
        <v/>
      </c>
      <c r="K15" s="6"/>
      <c r="L15" s="29" t="str">
        <f>IF($K15="","",SUMIFS(SITE_COEFFS!$C:$C,SITE_COEFFS!$A:$A,"SurfaceUnevenness",SITE_COEFFS!$B:$B,$K15))</f>
        <v/>
      </c>
      <c r="M15" s="6"/>
      <c r="N15" s="29" t="str">
        <f>IF($M15="","",SUMIFS(SITE_COEFFS!$C:$C,SITE_COEFFS!$A:$A,"AccessClass",SITE_COEFFS!$B:$B,$M15))</f>
        <v/>
      </c>
      <c r="O15" s="6"/>
      <c r="P15" s="29" t="str">
        <f>IF($O15="","",SUMIFS(SITE_COEFFS!$C:$C,SITE_COEFFS!$A:$A,"TurnSpace",SITE_COEFFS!$B:$B,$O15))</f>
        <v/>
      </c>
      <c r="Q15" s="6"/>
      <c r="R15" s="29" t="str">
        <f>IF($Q15="","",SUMIFS(SITE_COEFFS!$C:$C,SITE_COEFFS!$A:$A,"ProximityToBuildings",SITE_COEFFS!$B:$B,$Q15))</f>
        <v/>
      </c>
      <c r="S15" s="6"/>
      <c r="T15" s="29" t="str">
        <f>IF($S15="","",SUMIFS(SITE_COEFFS!$C:$C,SITE_COEFFS!$A:$A,"MachineryAllowed",SITE_COEFFS!$B:$B,$S15))</f>
        <v/>
      </c>
      <c r="U15" s="6"/>
      <c r="V15" s="6"/>
      <c r="W15" s="29" t="str">
        <f>IF($V15="","",SUMIFS(SITE_COEFFS!$C:$C,SITE_COEFFS!$A:$A,"GeometryComplexity",SITE_COEFFS!$B:$B,$V15))</f>
        <v/>
      </c>
      <c r="X15" s="6"/>
      <c r="Y15" s="6" t="str">
        <f>IF($X15="","",SUMIFS(TARIFF_PROFILES!$D:$D,TARIFF_PROFILES!$A:$A,$X15))</f>
        <v/>
      </c>
      <c r="Z15" s="6" t="str">
        <f>IF($X15="","",SUMIFS(TARIFF_PROFILES!$E:$E,TARIFF_PROFILES!$A:$A,$X15))</f>
        <v/>
      </c>
      <c r="AA15" s="6" t="str">
        <f>IF($X15="","",SUMIFS(TARIFF_PROFILES!$F:$F,TARIFF_PROFILES!$A:$A,$X15))</f>
        <v/>
      </c>
      <c r="AB15" s="6" t="str">
        <f>IF($X15="","",SUMIFS(TARIFF_PROFILES!$G:$G,TARIFF_PROFILES!$A:$A,$X15))</f>
        <v/>
      </c>
      <c r="AC15" s="6" t="str">
        <f>IF($X15="","",SUMIFS(TARIFF_PROFILES!$H:$H,TARIFF_PROFILES!$A:$A,$X15))</f>
        <v/>
      </c>
      <c r="AD15" s="6" t="str">
        <f t="array" ref="AD15">IF($X15="","",INDEX(TARIFF_PROFILES!$J:$J,MATCH($X15,TARIFF_PROFILES!$A:$A,0)))</f>
        <v/>
      </c>
      <c r="AE15" s="6" t="str">
        <f t="array" ref="AE15">IF($X15="","",INDEX(TARIFF_PROFILES!$K:$K,MATCH($X15,TARIFF_PROFILES!$A:$A,0)))</f>
        <v/>
      </c>
      <c r="AF15" s="4"/>
      <c r="AG15" s="4"/>
      <c r="AH15" s="4" t="str">
        <f>IF($AG15="","",SUMIFS(OPERATING_COEFFS!$C:$C,OPERATING_COEFFS!$A:$A,"DistanceClass",OPERATING_COEFFS!$B:$B,$AG15))</f>
        <v/>
      </c>
      <c r="AI15" s="4"/>
      <c r="AJ15" s="4" t="str">
        <f>IF($AI15="","",SUMIFS(OPERATING_COEFFS!$C:$C,OPERATING_COEFFS!$A:$A,"SeasonClass",OPERATING_COEFFS!$B:$B,$AI15))</f>
        <v/>
      </c>
      <c r="AK15" s="4"/>
      <c r="AL15" s="4" t="str">
        <f>IF($AK15="","",SUMIFS(OPERATING_COEFFS!$C:$C,OPERATING_COEFFS!$A:$A,"UrgencyClass",OPERATING_COEFFS!$B:$B,$AK15))</f>
        <v/>
      </c>
      <c r="AM15" s="4"/>
      <c r="AN15" s="4" t="str">
        <f t="array" ref="AN15">IF($AM15="","",INDEX(TAX_MODES!$B:$B,MATCH($AM15,TAX_MODES!$A:$A,0)))</f>
        <v/>
      </c>
      <c r="AO15" s="4"/>
      <c r="AP15" s="4"/>
    </row>
    <row r="16" ht="14.25" customHeight="1">
      <c r="A16" s="6"/>
      <c r="B16" s="6"/>
      <c r="C16" s="6"/>
      <c r="D16" s="29" t="str">
        <f>IF($C16="","",SUMIFS(SITE_COEFFS!$C:$C,SITE_COEFFS!$A:$A,"SoilWorkability",SITE_COEFFS!$B:$B,$C16))</f>
        <v/>
      </c>
      <c r="E16" s="6"/>
      <c r="F16" s="29" t="str">
        <f>IF($E16="","",SUMIFS(SITE_COEFFS!$C:$C,SITE_COEFFS!$A:$A,"SoilMoisture",SITE_COEFFS!$B:$B,$E16))</f>
        <v/>
      </c>
      <c r="G16" s="6"/>
      <c r="H16" s="29" t="str">
        <f>IF($G16="","",SUMIFS(SITE_COEFFS!$C:$C,SITE_COEFFS!$A:$A,"DebrisLevel",SITE_COEFFS!$B:$B,$G16))</f>
        <v/>
      </c>
      <c r="I16" s="6"/>
      <c r="J16" s="29" t="str">
        <f>IF($I16="","",SUMIFS(SITE_COEFFS!$C:$C,SITE_COEFFS!$A:$A,"SlopeClass",SITE_COEFFS!$B:$B,$I16))</f>
        <v/>
      </c>
      <c r="K16" s="6"/>
      <c r="L16" s="29" t="str">
        <f>IF($K16="","",SUMIFS(SITE_COEFFS!$C:$C,SITE_COEFFS!$A:$A,"SurfaceUnevenness",SITE_COEFFS!$B:$B,$K16))</f>
        <v/>
      </c>
      <c r="M16" s="6"/>
      <c r="N16" s="29" t="str">
        <f>IF($M16="","",SUMIFS(SITE_COEFFS!$C:$C,SITE_COEFFS!$A:$A,"AccessClass",SITE_COEFFS!$B:$B,$M16))</f>
        <v/>
      </c>
      <c r="O16" s="6"/>
      <c r="P16" s="29" t="str">
        <f>IF($O16="","",SUMIFS(SITE_COEFFS!$C:$C,SITE_COEFFS!$A:$A,"TurnSpace",SITE_COEFFS!$B:$B,$O16))</f>
        <v/>
      </c>
      <c r="Q16" s="6"/>
      <c r="R16" s="29" t="str">
        <f>IF($Q16="","",SUMIFS(SITE_COEFFS!$C:$C,SITE_COEFFS!$A:$A,"ProximityToBuildings",SITE_COEFFS!$B:$B,$Q16))</f>
        <v/>
      </c>
      <c r="S16" s="6"/>
      <c r="T16" s="29" t="str">
        <f>IF($S16="","",SUMIFS(SITE_COEFFS!$C:$C,SITE_COEFFS!$A:$A,"MachineryAllowed",SITE_COEFFS!$B:$B,$S16))</f>
        <v/>
      </c>
      <c r="U16" s="6"/>
      <c r="V16" s="6"/>
      <c r="W16" s="29" t="str">
        <f>IF($V16="","",SUMIFS(SITE_COEFFS!$C:$C,SITE_COEFFS!$A:$A,"GeometryComplexity",SITE_COEFFS!$B:$B,$V16))</f>
        <v/>
      </c>
      <c r="X16" s="6"/>
      <c r="Y16" s="6" t="str">
        <f>IF($X16="","",SUMIFS(TARIFF_PROFILES!$D:$D,TARIFF_PROFILES!$A:$A,$X16))</f>
        <v/>
      </c>
      <c r="Z16" s="6" t="str">
        <f>IF($X16="","",SUMIFS(TARIFF_PROFILES!$E:$E,TARIFF_PROFILES!$A:$A,$X16))</f>
        <v/>
      </c>
      <c r="AA16" s="6" t="str">
        <f>IF($X16="","",SUMIFS(TARIFF_PROFILES!$F:$F,TARIFF_PROFILES!$A:$A,$X16))</f>
        <v/>
      </c>
      <c r="AB16" s="6" t="str">
        <f>IF($X16="","",SUMIFS(TARIFF_PROFILES!$G:$G,TARIFF_PROFILES!$A:$A,$X16))</f>
        <v/>
      </c>
      <c r="AC16" s="6" t="str">
        <f>IF($X16="","",SUMIFS(TARIFF_PROFILES!$H:$H,TARIFF_PROFILES!$A:$A,$X16))</f>
        <v/>
      </c>
      <c r="AD16" s="6" t="str">
        <f t="array" ref="AD16">IF($X16="","",INDEX(TARIFF_PROFILES!$J:$J,MATCH($X16,TARIFF_PROFILES!$A:$A,0)))</f>
        <v/>
      </c>
      <c r="AE16" s="6" t="str">
        <f t="array" ref="AE16">IF($X16="","",INDEX(TARIFF_PROFILES!$K:$K,MATCH($X16,TARIFF_PROFILES!$A:$A,0)))</f>
        <v/>
      </c>
      <c r="AF16" s="4"/>
      <c r="AG16" s="4"/>
      <c r="AH16" s="4" t="str">
        <f>IF($AG16="","",SUMIFS(OPERATING_COEFFS!$C:$C,OPERATING_COEFFS!$A:$A,"DistanceClass",OPERATING_COEFFS!$B:$B,$AG16))</f>
        <v/>
      </c>
      <c r="AI16" s="4"/>
      <c r="AJ16" s="4" t="str">
        <f>IF($AI16="","",SUMIFS(OPERATING_COEFFS!$C:$C,OPERATING_COEFFS!$A:$A,"SeasonClass",OPERATING_COEFFS!$B:$B,$AI16))</f>
        <v/>
      </c>
      <c r="AK16" s="4"/>
      <c r="AL16" s="4" t="str">
        <f>IF($AK16="","",SUMIFS(OPERATING_COEFFS!$C:$C,OPERATING_COEFFS!$A:$A,"UrgencyClass",OPERATING_COEFFS!$B:$B,$AK16))</f>
        <v/>
      </c>
      <c r="AM16" s="4"/>
      <c r="AN16" s="4" t="str">
        <f t="array" ref="AN16">IF($AM16="","",INDEX(TAX_MODES!$B:$B,MATCH($AM16,TAX_MODES!$A:$A,0)))</f>
        <v/>
      </c>
      <c r="AO16" s="4"/>
      <c r="AP16" s="4"/>
    </row>
    <row r="17" ht="14.25" customHeight="1">
      <c r="A17" s="6"/>
      <c r="B17" s="6"/>
      <c r="C17" s="6"/>
      <c r="D17" s="29" t="str">
        <f>IF($C17="","",SUMIFS(SITE_COEFFS!$C:$C,SITE_COEFFS!$A:$A,"SoilWorkability",SITE_COEFFS!$B:$B,$C17))</f>
        <v/>
      </c>
      <c r="E17" s="6"/>
      <c r="F17" s="29" t="str">
        <f>IF($E17="","",SUMIFS(SITE_COEFFS!$C:$C,SITE_COEFFS!$A:$A,"SoilMoisture",SITE_COEFFS!$B:$B,$E17))</f>
        <v/>
      </c>
      <c r="G17" s="6"/>
      <c r="H17" s="29" t="str">
        <f>IF($G17="","",SUMIFS(SITE_COEFFS!$C:$C,SITE_COEFFS!$A:$A,"DebrisLevel",SITE_COEFFS!$B:$B,$G17))</f>
        <v/>
      </c>
      <c r="I17" s="6"/>
      <c r="J17" s="29" t="str">
        <f>IF($I17="","",SUMIFS(SITE_COEFFS!$C:$C,SITE_COEFFS!$A:$A,"SlopeClass",SITE_COEFFS!$B:$B,$I17))</f>
        <v/>
      </c>
      <c r="K17" s="6"/>
      <c r="L17" s="29" t="str">
        <f>IF($K17="","",SUMIFS(SITE_COEFFS!$C:$C,SITE_COEFFS!$A:$A,"SurfaceUnevenness",SITE_COEFFS!$B:$B,$K17))</f>
        <v/>
      </c>
      <c r="M17" s="6"/>
      <c r="N17" s="29" t="str">
        <f>IF($M17="","",SUMIFS(SITE_COEFFS!$C:$C,SITE_COEFFS!$A:$A,"AccessClass",SITE_COEFFS!$B:$B,$M17))</f>
        <v/>
      </c>
      <c r="O17" s="6"/>
      <c r="P17" s="29" t="str">
        <f>IF($O17="","",SUMIFS(SITE_COEFFS!$C:$C,SITE_COEFFS!$A:$A,"TurnSpace",SITE_COEFFS!$B:$B,$O17))</f>
        <v/>
      </c>
      <c r="Q17" s="6"/>
      <c r="R17" s="29" t="str">
        <f>IF($Q17="","",SUMIFS(SITE_COEFFS!$C:$C,SITE_COEFFS!$A:$A,"ProximityToBuildings",SITE_COEFFS!$B:$B,$Q17))</f>
        <v/>
      </c>
      <c r="S17" s="6"/>
      <c r="T17" s="29" t="str">
        <f>IF($S17="","",SUMIFS(SITE_COEFFS!$C:$C,SITE_COEFFS!$A:$A,"MachineryAllowed",SITE_COEFFS!$B:$B,$S17))</f>
        <v/>
      </c>
      <c r="U17" s="6"/>
      <c r="V17" s="6"/>
      <c r="W17" s="29" t="str">
        <f>IF($V17="","",SUMIFS(SITE_COEFFS!$C:$C,SITE_COEFFS!$A:$A,"GeometryComplexity",SITE_COEFFS!$B:$B,$V17))</f>
        <v/>
      </c>
      <c r="X17" s="6"/>
      <c r="Y17" s="6" t="str">
        <f>IF($X17="","",SUMIFS(TARIFF_PROFILES!$D:$D,TARIFF_PROFILES!$A:$A,$X17))</f>
        <v/>
      </c>
      <c r="Z17" s="6" t="str">
        <f>IF($X17="","",SUMIFS(TARIFF_PROFILES!$E:$E,TARIFF_PROFILES!$A:$A,$X17))</f>
        <v/>
      </c>
      <c r="AA17" s="6" t="str">
        <f>IF($X17="","",SUMIFS(TARIFF_PROFILES!$F:$F,TARIFF_PROFILES!$A:$A,$X17))</f>
        <v/>
      </c>
      <c r="AB17" s="6" t="str">
        <f>IF($X17="","",SUMIFS(TARIFF_PROFILES!$G:$G,TARIFF_PROFILES!$A:$A,$X17))</f>
        <v/>
      </c>
      <c r="AC17" s="6" t="str">
        <f>IF($X17="","",SUMIFS(TARIFF_PROFILES!$H:$H,TARIFF_PROFILES!$A:$A,$X17))</f>
        <v/>
      </c>
      <c r="AD17" s="6" t="str">
        <f t="array" ref="AD17">IF($X17="","",INDEX(TARIFF_PROFILES!$J:$J,MATCH($X17,TARIFF_PROFILES!$A:$A,0)))</f>
        <v/>
      </c>
      <c r="AE17" s="6" t="str">
        <f t="array" ref="AE17">IF($X17="","",INDEX(TARIFF_PROFILES!$K:$K,MATCH($X17,TARIFF_PROFILES!$A:$A,0)))</f>
        <v/>
      </c>
      <c r="AF17" s="4"/>
      <c r="AG17" s="4"/>
      <c r="AH17" s="4" t="str">
        <f>IF($AG17="","",SUMIFS(OPERATING_COEFFS!$C:$C,OPERATING_COEFFS!$A:$A,"DistanceClass",OPERATING_COEFFS!$B:$B,$AG17))</f>
        <v/>
      </c>
      <c r="AI17" s="4"/>
      <c r="AJ17" s="4" t="str">
        <f>IF($AI17="","",SUMIFS(OPERATING_COEFFS!$C:$C,OPERATING_COEFFS!$A:$A,"SeasonClass",OPERATING_COEFFS!$B:$B,$AI17))</f>
        <v/>
      </c>
      <c r="AK17" s="4"/>
      <c r="AL17" s="4" t="str">
        <f>IF($AK17="","",SUMIFS(OPERATING_COEFFS!$C:$C,OPERATING_COEFFS!$A:$A,"UrgencyClass",OPERATING_COEFFS!$B:$B,$AK17))</f>
        <v/>
      </c>
      <c r="AM17" s="4"/>
      <c r="AN17" s="4" t="str">
        <f t="array" ref="AN17">IF($AM17="","",INDEX(TAX_MODES!$B:$B,MATCH($AM17,TAX_MODES!$A:$A,0)))</f>
        <v/>
      </c>
      <c r="AO17" s="4"/>
      <c r="AP17" s="4"/>
    </row>
    <row r="18" ht="14.25" customHeight="1">
      <c r="A18" s="6"/>
      <c r="B18" s="6"/>
      <c r="C18" s="6"/>
      <c r="D18" s="29" t="str">
        <f>IF($C18="","",SUMIFS(SITE_COEFFS!$C:$C,SITE_COEFFS!$A:$A,"SoilWorkability",SITE_COEFFS!$B:$B,$C18))</f>
        <v/>
      </c>
      <c r="E18" s="6"/>
      <c r="F18" s="29" t="str">
        <f>IF($E18="","",SUMIFS(SITE_COEFFS!$C:$C,SITE_COEFFS!$A:$A,"SoilMoisture",SITE_COEFFS!$B:$B,$E18))</f>
        <v/>
      </c>
      <c r="G18" s="6"/>
      <c r="H18" s="29" t="str">
        <f>IF($G18="","",SUMIFS(SITE_COEFFS!$C:$C,SITE_COEFFS!$A:$A,"DebrisLevel",SITE_COEFFS!$B:$B,$G18))</f>
        <v/>
      </c>
      <c r="I18" s="6"/>
      <c r="J18" s="29" t="str">
        <f>IF($I18="","",SUMIFS(SITE_COEFFS!$C:$C,SITE_COEFFS!$A:$A,"SlopeClass",SITE_COEFFS!$B:$B,$I18))</f>
        <v/>
      </c>
      <c r="K18" s="6"/>
      <c r="L18" s="29" t="str">
        <f>IF($K18="","",SUMIFS(SITE_COEFFS!$C:$C,SITE_COEFFS!$A:$A,"SurfaceUnevenness",SITE_COEFFS!$B:$B,$K18))</f>
        <v/>
      </c>
      <c r="M18" s="6"/>
      <c r="N18" s="29" t="str">
        <f>IF($M18="","",SUMIFS(SITE_COEFFS!$C:$C,SITE_COEFFS!$A:$A,"AccessClass",SITE_COEFFS!$B:$B,$M18))</f>
        <v/>
      </c>
      <c r="O18" s="6"/>
      <c r="P18" s="29" t="str">
        <f>IF($O18="","",SUMIFS(SITE_COEFFS!$C:$C,SITE_COEFFS!$A:$A,"TurnSpace",SITE_COEFFS!$B:$B,$O18))</f>
        <v/>
      </c>
      <c r="Q18" s="6"/>
      <c r="R18" s="29" t="str">
        <f>IF($Q18="","",SUMIFS(SITE_COEFFS!$C:$C,SITE_COEFFS!$A:$A,"ProximityToBuildings",SITE_COEFFS!$B:$B,$Q18))</f>
        <v/>
      </c>
      <c r="S18" s="6"/>
      <c r="T18" s="29" t="str">
        <f>IF($S18="","",SUMIFS(SITE_COEFFS!$C:$C,SITE_COEFFS!$A:$A,"MachineryAllowed",SITE_COEFFS!$B:$B,$S18))</f>
        <v/>
      </c>
      <c r="U18" s="6"/>
      <c r="V18" s="6"/>
      <c r="W18" s="29" t="str">
        <f>IF($V18="","",SUMIFS(SITE_COEFFS!$C:$C,SITE_COEFFS!$A:$A,"GeometryComplexity",SITE_COEFFS!$B:$B,$V18))</f>
        <v/>
      </c>
      <c r="X18" s="6"/>
      <c r="Y18" s="6" t="str">
        <f>IF($X18="","",SUMIFS(TARIFF_PROFILES!$D:$D,TARIFF_PROFILES!$A:$A,$X18))</f>
        <v/>
      </c>
      <c r="Z18" s="6" t="str">
        <f>IF($X18="","",SUMIFS(TARIFF_PROFILES!$E:$E,TARIFF_PROFILES!$A:$A,$X18))</f>
        <v/>
      </c>
      <c r="AA18" s="6" t="str">
        <f>IF($X18="","",SUMIFS(TARIFF_PROFILES!$F:$F,TARIFF_PROFILES!$A:$A,$X18))</f>
        <v/>
      </c>
      <c r="AB18" s="6" t="str">
        <f>IF($X18="","",SUMIFS(TARIFF_PROFILES!$G:$G,TARIFF_PROFILES!$A:$A,$X18))</f>
        <v/>
      </c>
      <c r="AC18" s="6" t="str">
        <f>IF($X18="","",SUMIFS(TARIFF_PROFILES!$H:$H,TARIFF_PROFILES!$A:$A,$X18))</f>
        <v/>
      </c>
      <c r="AD18" s="6" t="str">
        <f t="array" ref="AD18">IF($X18="","",INDEX(TARIFF_PROFILES!$J:$J,MATCH($X18,TARIFF_PROFILES!$A:$A,0)))</f>
        <v/>
      </c>
      <c r="AE18" s="6" t="str">
        <f t="array" ref="AE18">IF($X18="","",INDEX(TARIFF_PROFILES!$K:$K,MATCH($X18,TARIFF_PROFILES!$A:$A,0)))</f>
        <v/>
      </c>
      <c r="AF18" s="4"/>
      <c r="AG18" s="4"/>
      <c r="AH18" s="4" t="str">
        <f>IF($AG18="","",SUMIFS(OPERATING_COEFFS!$C:$C,OPERATING_COEFFS!$A:$A,"DistanceClass",OPERATING_COEFFS!$B:$B,$AG18))</f>
        <v/>
      </c>
      <c r="AI18" s="4"/>
      <c r="AJ18" s="4" t="str">
        <f>IF($AI18="","",SUMIFS(OPERATING_COEFFS!$C:$C,OPERATING_COEFFS!$A:$A,"SeasonClass",OPERATING_COEFFS!$B:$B,$AI18))</f>
        <v/>
      </c>
      <c r="AK18" s="4"/>
      <c r="AL18" s="4" t="str">
        <f>IF($AK18="","",SUMIFS(OPERATING_COEFFS!$C:$C,OPERATING_COEFFS!$A:$A,"UrgencyClass",OPERATING_COEFFS!$B:$B,$AK18))</f>
        <v/>
      </c>
      <c r="AM18" s="4"/>
      <c r="AN18" s="4" t="str">
        <f t="array" ref="AN18">IF($AM18="","",INDEX(TAX_MODES!$B:$B,MATCH($AM18,TAX_MODES!$A:$A,0)))</f>
        <v/>
      </c>
      <c r="AO18" s="4"/>
      <c r="AP18" s="4"/>
    </row>
    <row r="19" ht="14.25" customHeight="1">
      <c r="A19" s="6"/>
      <c r="B19" s="6"/>
      <c r="C19" s="6"/>
      <c r="D19" s="29" t="str">
        <f>IF($C19="","",SUMIFS(SITE_COEFFS!$C:$C,SITE_COEFFS!$A:$A,"SoilWorkability",SITE_COEFFS!$B:$B,$C19))</f>
        <v/>
      </c>
      <c r="E19" s="6"/>
      <c r="F19" s="29" t="str">
        <f>IF($E19="","",SUMIFS(SITE_COEFFS!$C:$C,SITE_COEFFS!$A:$A,"SoilMoisture",SITE_COEFFS!$B:$B,$E19))</f>
        <v/>
      </c>
      <c r="G19" s="6"/>
      <c r="H19" s="29" t="str">
        <f>IF($G19="","",SUMIFS(SITE_COEFFS!$C:$C,SITE_COEFFS!$A:$A,"DebrisLevel",SITE_COEFFS!$B:$B,$G19))</f>
        <v/>
      </c>
      <c r="I19" s="6"/>
      <c r="J19" s="29" t="str">
        <f>IF($I19="","",SUMIFS(SITE_COEFFS!$C:$C,SITE_COEFFS!$A:$A,"SlopeClass",SITE_COEFFS!$B:$B,$I19))</f>
        <v/>
      </c>
      <c r="K19" s="6"/>
      <c r="L19" s="29" t="str">
        <f>IF($K19="","",SUMIFS(SITE_COEFFS!$C:$C,SITE_COEFFS!$A:$A,"SurfaceUnevenness",SITE_COEFFS!$B:$B,$K19))</f>
        <v/>
      </c>
      <c r="M19" s="6"/>
      <c r="N19" s="29" t="str">
        <f>IF($M19="","",SUMIFS(SITE_COEFFS!$C:$C,SITE_COEFFS!$A:$A,"AccessClass",SITE_COEFFS!$B:$B,$M19))</f>
        <v/>
      </c>
      <c r="O19" s="6"/>
      <c r="P19" s="29" t="str">
        <f>IF($O19="","",SUMIFS(SITE_COEFFS!$C:$C,SITE_COEFFS!$A:$A,"TurnSpace",SITE_COEFFS!$B:$B,$O19))</f>
        <v/>
      </c>
      <c r="Q19" s="6"/>
      <c r="R19" s="29" t="str">
        <f>IF($Q19="","",SUMIFS(SITE_COEFFS!$C:$C,SITE_COEFFS!$A:$A,"ProximityToBuildings",SITE_COEFFS!$B:$B,$Q19))</f>
        <v/>
      </c>
      <c r="S19" s="6"/>
      <c r="T19" s="29" t="str">
        <f>IF($S19="","",SUMIFS(SITE_COEFFS!$C:$C,SITE_COEFFS!$A:$A,"MachineryAllowed",SITE_COEFFS!$B:$B,$S19))</f>
        <v/>
      </c>
      <c r="U19" s="6"/>
      <c r="V19" s="6"/>
      <c r="W19" s="29" t="str">
        <f>IF($V19="","",SUMIFS(SITE_COEFFS!$C:$C,SITE_COEFFS!$A:$A,"GeometryComplexity",SITE_COEFFS!$B:$B,$V19))</f>
        <v/>
      </c>
      <c r="X19" s="6"/>
      <c r="Y19" s="6" t="str">
        <f>IF($X19="","",SUMIFS(TARIFF_PROFILES!$D:$D,TARIFF_PROFILES!$A:$A,$X19))</f>
        <v/>
      </c>
      <c r="Z19" s="6" t="str">
        <f>IF($X19="","",SUMIFS(TARIFF_PROFILES!$E:$E,TARIFF_PROFILES!$A:$A,$X19))</f>
        <v/>
      </c>
      <c r="AA19" s="6" t="str">
        <f>IF($X19="","",SUMIFS(TARIFF_PROFILES!$F:$F,TARIFF_PROFILES!$A:$A,$X19))</f>
        <v/>
      </c>
      <c r="AB19" s="6" t="str">
        <f>IF($X19="","",SUMIFS(TARIFF_PROFILES!$G:$G,TARIFF_PROFILES!$A:$A,$X19))</f>
        <v/>
      </c>
      <c r="AC19" s="6" t="str">
        <f>IF($X19="","",SUMIFS(TARIFF_PROFILES!$H:$H,TARIFF_PROFILES!$A:$A,$X19))</f>
        <v/>
      </c>
      <c r="AD19" s="6" t="str">
        <f t="array" ref="AD19">IF($X19="","",INDEX(TARIFF_PROFILES!$J:$J,MATCH($X19,TARIFF_PROFILES!$A:$A,0)))</f>
        <v/>
      </c>
      <c r="AE19" s="6" t="str">
        <f t="array" ref="AE19">IF($X19="","",INDEX(TARIFF_PROFILES!$K:$K,MATCH($X19,TARIFF_PROFILES!$A:$A,0)))</f>
        <v/>
      </c>
      <c r="AF19" s="4"/>
      <c r="AG19" s="4"/>
      <c r="AH19" s="4" t="str">
        <f>IF($AG19="","",SUMIFS(OPERATING_COEFFS!$C:$C,OPERATING_COEFFS!$A:$A,"DistanceClass",OPERATING_COEFFS!$B:$B,$AG19))</f>
        <v/>
      </c>
      <c r="AI19" s="4"/>
      <c r="AJ19" s="4" t="str">
        <f>IF($AI19="","",SUMIFS(OPERATING_COEFFS!$C:$C,OPERATING_COEFFS!$A:$A,"SeasonClass",OPERATING_COEFFS!$B:$B,$AI19))</f>
        <v/>
      </c>
      <c r="AK19" s="4"/>
      <c r="AL19" s="4" t="str">
        <f>IF($AK19="","",SUMIFS(OPERATING_COEFFS!$C:$C,OPERATING_COEFFS!$A:$A,"UrgencyClass",OPERATING_COEFFS!$B:$B,$AK19))</f>
        <v/>
      </c>
      <c r="AM19" s="4"/>
      <c r="AN19" s="4" t="str">
        <f t="array" ref="AN19">IF($AM19="","",INDEX(TAX_MODES!$B:$B,MATCH($AM19,TAX_MODES!$A:$A,0)))</f>
        <v/>
      </c>
      <c r="AO19" s="4"/>
      <c r="AP19" s="4"/>
    </row>
    <row r="20" ht="14.25" customHeight="1">
      <c r="A20" s="6"/>
      <c r="B20" s="6"/>
      <c r="C20" s="6"/>
      <c r="D20" s="29" t="str">
        <f>IF($C20="","",SUMIFS(SITE_COEFFS!$C:$C,SITE_COEFFS!$A:$A,"SoilWorkability",SITE_COEFFS!$B:$B,$C20))</f>
        <v/>
      </c>
      <c r="E20" s="6"/>
      <c r="F20" s="29" t="str">
        <f>IF($E20="","",SUMIFS(SITE_COEFFS!$C:$C,SITE_COEFFS!$A:$A,"SoilMoisture",SITE_COEFFS!$B:$B,$E20))</f>
        <v/>
      </c>
      <c r="G20" s="6"/>
      <c r="H20" s="29" t="str">
        <f>IF($G20="","",SUMIFS(SITE_COEFFS!$C:$C,SITE_COEFFS!$A:$A,"DebrisLevel",SITE_COEFFS!$B:$B,$G20))</f>
        <v/>
      </c>
      <c r="I20" s="6"/>
      <c r="J20" s="29" t="str">
        <f>IF($I20="","",SUMIFS(SITE_COEFFS!$C:$C,SITE_COEFFS!$A:$A,"SlopeClass",SITE_COEFFS!$B:$B,$I20))</f>
        <v/>
      </c>
      <c r="K20" s="6"/>
      <c r="L20" s="29" t="str">
        <f>IF($K20="","",SUMIFS(SITE_COEFFS!$C:$C,SITE_COEFFS!$A:$A,"SurfaceUnevenness",SITE_COEFFS!$B:$B,$K20))</f>
        <v/>
      </c>
      <c r="M20" s="6"/>
      <c r="N20" s="29" t="str">
        <f>IF($M20="","",SUMIFS(SITE_COEFFS!$C:$C,SITE_COEFFS!$A:$A,"AccessClass",SITE_COEFFS!$B:$B,$M20))</f>
        <v/>
      </c>
      <c r="O20" s="6"/>
      <c r="P20" s="29" t="str">
        <f>IF($O20="","",SUMIFS(SITE_COEFFS!$C:$C,SITE_COEFFS!$A:$A,"TurnSpace",SITE_COEFFS!$B:$B,$O20))</f>
        <v/>
      </c>
      <c r="Q20" s="6"/>
      <c r="R20" s="29" t="str">
        <f>IF($Q20="","",SUMIFS(SITE_COEFFS!$C:$C,SITE_COEFFS!$A:$A,"ProximityToBuildings",SITE_COEFFS!$B:$B,$Q20))</f>
        <v/>
      </c>
      <c r="S20" s="6"/>
      <c r="T20" s="29" t="str">
        <f>IF($S20="","",SUMIFS(SITE_COEFFS!$C:$C,SITE_COEFFS!$A:$A,"MachineryAllowed",SITE_COEFFS!$B:$B,$S20))</f>
        <v/>
      </c>
      <c r="U20" s="6"/>
      <c r="V20" s="6"/>
      <c r="W20" s="29" t="str">
        <f>IF($V20="","",SUMIFS(SITE_COEFFS!$C:$C,SITE_COEFFS!$A:$A,"GeometryComplexity",SITE_COEFFS!$B:$B,$V20))</f>
        <v/>
      </c>
      <c r="X20" s="6"/>
      <c r="Y20" s="6" t="str">
        <f>IF($X20="","",SUMIFS(TARIFF_PROFILES!$D:$D,TARIFF_PROFILES!$A:$A,$X20))</f>
        <v/>
      </c>
      <c r="Z20" s="6" t="str">
        <f>IF($X20="","",SUMIFS(TARIFF_PROFILES!$E:$E,TARIFF_PROFILES!$A:$A,$X20))</f>
        <v/>
      </c>
      <c r="AA20" s="6" t="str">
        <f>IF($X20="","",SUMIFS(TARIFF_PROFILES!$F:$F,TARIFF_PROFILES!$A:$A,$X20))</f>
        <v/>
      </c>
      <c r="AB20" s="6" t="str">
        <f>IF($X20="","",SUMIFS(TARIFF_PROFILES!$G:$G,TARIFF_PROFILES!$A:$A,$X20))</f>
        <v/>
      </c>
      <c r="AC20" s="6" t="str">
        <f>IF($X20="","",SUMIFS(TARIFF_PROFILES!$H:$H,TARIFF_PROFILES!$A:$A,$X20))</f>
        <v/>
      </c>
      <c r="AD20" s="6" t="str">
        <f t="array" ref="AD20">IF($X20="","",INDEX(TARIFF_PROFILES!$J:$J,MATCH($X20,TARIFF_PROFILES!$A:$A,0)))</f>
        <v/>
      </c>
      <c r="AE20" s="6" t="str">
        <f t="array" ref="AE20">IF($X20="","",INDEX(TARIFF_PROFILES!$K:$K,MATCH($X20,TARIFF_PROFILES!$A:$A,0)))</f>
        <v/>
      </c>
      <c r="AF20" s="4"/>
      <c r="AG20" s="4"/>
      <c r="AH20" s="4" t="str">
        <f>IF($AG20="","",SUMIFS(OPERATING_COEFFS!$C:$C,OPERATING_COEFFS!$A:$A,"DistanceClass",OPERATING_COEFFS!$B:$B,$AG20))</f>
        <v/>
      </c>
      <c r="AI20" s="4"/>
      <c r="AJ20" s="4" t="str">
        <f>IF($AI20="","",SUMIFS(OPERATING_COEFFS!$C:$C,OPERATING_COEFFS!$A:$A,"SeasonClass",OPERATING_COEFFS!$B:$B,$AI20))</f>
        <v/>
      </c>
      <c r="AK20" s="4"/>
      <c r="AL20" s="4" t="str">
        <f>IF($AK20="","",SUMIFS(OPERATING_COEFFS!$C:$C,OPERATING_COEFFS!$A:$A,"UrgencyClass",OPERATING_COEFFS!$B:$B,$AK20))</f>
        <v/>
      </c>
      <c r="AM20" s="4"/>
      <c r="AN20" s="4" t="str">
        <f t="array" ref="AN20">IF($AM20="","",INDEX(TAX_MODES!$B:$B,MATCH($AM20,TAX_MODES!$A:$A,0)))</f>
        <v/>
      </c>
      <c r="AO20" s="4"/>
      <c r="AP20" s="4"/>
    </row>
    <row r="21" ht="14.25" customHeight="1">
      <c r="A21" s="6"/>
      <c r="B21" s="6"/>
      <c r="C21" s="6"/>
      <c r="D21" s="29" t="str">
        <f>IF($C21="","",SUMIFS(SITE_COEFFS!$C:$C,SITE_COEFFS!$A:$A,"SoilWorkability",SITE_COEFFS!$B:$B,$C21))</f>
        <v/>
      </c>
      <c r="E21" s="6"/>
      <c r="F21" s="29" t="str">
        <f>IF($E21="","",SUMIFS(SITE_COEFFS!$C:$C,SITE_COEFFS!$A:$A,"SoilMoisture",SITE_COEFFS!$B:$B,$E21))</f>
        <v/>
      </c>
      <c r="G21" s="6"/>
      <c r="H21" s="29" t="str">
        <f>IF($G21="","",SUMIFS(SITE_COEFFS!$C:$C,SITE_COEFFS!$A:$A,"DebrisLevel",SITE_COEFFS!$B:$B,$G21))</f>
        <v/>
      </c>
      <c r="I21" s="6"/>
      <c r="J21" s="29" t="str">
        <f>IF($I21="","",SUMIFS(SITE_COEFFS!$C:$C,SITE_COEFFS!$A:$A,"SlopeClass",SITE_COEFFS!$B:$B,$I21))</f>
        <v/>
      </c>
      <c r="K21" s="6"/>
      <c r="L21" s="29" t="str">
        <f>IF($K21="","",SUMIFS(SITE_COEFFS!$C:$C,SITE_COEFFS!$A:$A,"SurfaceUnevenness",SITE_COEFFS!$B:$B,$K21))</f>
        <v/>
      </c>
      <c r="M21" s="6"/>
      <c r="N21" s="29" t="str">
        <f>IF($M21="","",SUMIFS(SITE_COEFFS!$C:$C,SITE_COEFFS!$A:$A,"AccessClass",SITE_COEFFS!$B:$B,$M21))</f>
        <v/>
      </c>
      <c r="O21" s="6"/>
      <c r="P21" s="29" t="str">
        <f>IF($O21="","",SUMIFS(SITE_COEFFS!$C:$C,SITE_COEFFS!$A:$A,"TurnSpace",SITE_COEFFS!$B:$B,$O21))</f>
        <v/>
      </c>
      <c r="Q21" s="6"/>
      <c r="R21" s="29" t="str">
        <f>IF($Q21="","",SUMIFS(SITE_COEFFS!$C:$C,SITE_COEFFS!$A:$A,"ProximityToBuildings",SITE_COEFFS!$B:$B,$Q21))</f>
        <v/>
      </c>
      <c r="S21" s="6"/>
      <c r="T21" s="29" t="str">
        <f>IF($S21="","",SUMIFS(SITE_COEFFS!$C:$C,SITE_COEFFS!$A:$A,"MachineryAllowed",SITE_COEFFS!$B:$B,$S21))</f>
        <v/>
      </c>
      <c r="U21" s="6"/>
      <c r="V21" s="6"/>
      <c r="W21" s="29" t="str">
        <f>IF($V21="","",SUMIFS(SITE_COEFFS!$C:$C,SITE_COEFFS!$A:$A,"GeometryComplexity",SITE_COEFFS!$B:$B,$V21))</f>
        <v/>
      </c>
      <c r="X21" s="6"/>
      <c r="Y21" s="6" t="str">
        <f>IF($X21="","",SUMIFS(TARIFF_PROFILES!$D:$D,TARIFF_PROFILES!$A:$A,$X21))</f>
        <v/>
      </c>
      <c r="Z21" s="6" t="str">
        <f>IF($X21="","",SUMIFS(TARIFF_PROFILES!$E:$E,TARIFF_PROFILES!$A:$A,$X21))</f>
        <v/>
      </c>
      <c r="AA21" s="6" t="str">
        <f>IF($X21="","",SUMIFS(TARIFF_PROFILES!$F:$F,TARIFF_PROFILES!$A:$A,$X21))</f>
        <v/>
      </c>
      <c r="AB21" s="6" t="str">
        <f>IF($X21="","",SUMIFS(TARIFF_PROFILES!$G:$G,TARIFF_PROFILES!$A:$A,$X21))</f>
        <v/>
      </c>
      <c r="AC21" s="6" t="str">
        <f>IF($X21="","",SUMIFS(TARIFF_PROFILES!$H:$H,TARIFF_PROFILES!$A:$A,$X21))</f>
        <v/>
      </c>
      <c r="AD21" s="6" t="str">
        <f t="array" ref="AD21">IF($X21="","",INDEX(TARIFF_PROFILES!$J:$J,MATCH($X21,TARIFF_PROFILES!$A:$A,0)))</f>
        <v/>
      </c>
      <c r="AE21" s="6" t="str">
        <f t="array" ref="AE21">IF($X21="","",INDEX(TARIFF_PROFILES!$K:$K,MATCH($X21,TARIFF_PROFILES!$A:$A,0)))</f>
        <v/>
      </c>
      <c r="AF21" s="4"/>
      <c r="AG21" s="4"/>
      <c r="AH21" s="4" t="str">
        <f>IF($AG21="","",SUMIFS(OPERATING_COEFFS!$C:$C,OPERATING_COEFFS!$A:$A,"DistanceClass",OPERATING_COEFFS!$B:$B,$AG21))</f>
        <v/>
      </c>
      <c r="AI21" s="4"/>
      <c r="AJ21" s="4" t="str">
        <f>IF($AI21="","",SUMIFS(OPERATING_COEFFS!$C:$C,OPERATING_COEFFS!$A:$A,"SeasonClass",OPERATING_COEFFS!$B:$B,$AI21))</f>
        <v/>
      </c>
      <c r="AK21" s="4"/>
      <c r="AL21" s="4" t="str">
        <f>IF($AK21="","",SUMIFS(OPERATING_COEFFS!$C:$C,OPERATING_COEFFS!$A:$A,"UrgencyClass",OPERATING_COEFFS!$B:$B,$AK21))</f>
        <v/>
      </c>
      <c r="AM21" s="4"/>
      <c r="AN21" s="4" t="str">
        <f t="array" ref="AN21">IF($AM21="","",INDEX(TAX_MODES!$B:$B,MATCH($AM21,TAX_MODES!$A:$A,0)))</f>
        <v/>
      </c>
      <c r="AO21" s="4"/>
      <c r="AP21" s="4"/>
    </row>
    <row r="22" ht="14.25" customHeight="1">
      <c r="A22" s="6"/>
      <c r="B22" s="6"/>
      <c r="C22" s="6"/>
      <c r="D22" s="29" t="str">
        <f>IF($C22="","",SUMIFS(SITE_COEFFS!$C:$C,SITE_COEFFS!$A:$A,"SoilWorkability",SITE_COEFFS!$B:$B,$C22))</f>
        <v/>
      </c>
      <c r="E22" s="6"/>
      <c r="F22" s="29" t="str">
        <f>IF($E22="","",SUMIFS(SITE_COEFFS!$C:$C,SITE_COEFFS!$A:$A,"SoilMoisture",SITE_COEFFS!$B:$B,$E22))</f>
        <v/>
      </c>
      <c r="G22" s="6"/>
      <c r="H22" s="29" t="str">
        <f>IF($G22="","",SUMIFS(SITE_COEFFS!$C:$C,SITE_COEFFS!$A:$A,"DebrisLevel",SITE_COEFFS!$B:$B,$G22))</f>
        <v/>
      </c>
      <c r="I22" s="6"/>
      <c r="J22" s="29" t="str">
        <f>IF($I22="","",SUMIFS(SITE_COEFFS!$C:$C,SITE_COEFFS!$A:$A,"SlopeClass",SITE_COEFFS!$B:$B,$I22))</f>
        <v/>
      </c>
      <c r="K22" s="6"/>
      <c r="L22" s="29" t="str">
        <f>IF($K22="","",SUMIFS(SITE_COEFFS!$C:$C,SITE_COEFFS!$A:$A,"SurfaceUnevenness",SITE_COEFFS!$B:$B,$K22))</f>
        <v/>
      </c>
      <c r="M22" s="6"/>
      <c r="N22" s="29" t="str">
        <f>IF($M22="","",SUMIFS(SITE_COEFFS!$C:$C,SITE_COEFFS!$A:$A,"AccessClass",SITE_COEFFS!$B:$B,$M22))</f>
        <v/>
      </c>
      <c r="O22" s="6"/>
      <c r="P22" s="29" t="str">
        <f>IF($O22="","",SUMIFS(SITE_COEFFS!$C:$C,SITE_COEFFS!$A:$A,"TurnSpace",SITE_COEFFS!$B:$B,$O22))</f>
        <v/>
      </c>
      <c r="Q22" s="6"/>
      <c r="R22" s="29" t="str">
        <f>IF($Q22="","",SUMIFS(SITE_COEFFS!$C:$C,SITE_COEFFS!$A:$A,"ProximityToBuildings",SITE_COEFFS!$B:$B,$Q22))</f>
        <v/>
      </c>
      <c r="S22" s="6"/>
      <c r="T22" s="29" t="str">
        <f>IF($S22="","",SUMIFS(SITE_COEFFS!$C:$C,SITE_COEFFS!$A:$A,"MachineryAllowed",SITE_COEFFS!$B:$B,$S22))</f>
        <v/>
      </c>
      <c r="U22" s="6"/>
      <c r="V22" s="6"/>
      <c r="W22" s="29" t="str">
        <f>IF($V22="","",SUMIFS(SITE_COEFFS!$C:$C,SITE_COEFFS!$A:$A,"GeometryComplexity",SITE_COEFFS!$B:$B,$V22))</f>
        <v/>
      </c>
      <c r="X22" s="6"/>
      <c r="Y22" s="6" t="str">
        <f>IF($X22="","",SUMIFS(TARIFF_PROFILES!$D:$D,TARIFF_PROFILES!$A:$A,$X22))</f>
        <v/>
      </c>
      <c r="Z22" s="6" t="str">
        <f>IF($X22="","",SUMIFS(TARIFF_PROFILES!$E:$E,TARIFF_PROFILES!$A:$A,$X22))</f>
        <v/>
      </c>
      <c r="AA22" s="6" t="str">
        <f>IF($X22="","",SUMIFS(TARIFF_PROFILES!$F:$F,TARIFF_PROFILES!$A:$A,$X22))</f>
        <v/>
      </c>
      <c r="AB22" s="6" t="str">
        <f>IF($X22="","",SUMIFS(TARIFF_PROFILES!$G:$G,TARIFF_PROFILES!$A:$A,$X22))</f>
        <v/>
      </c>
      <c r="AC22" s="6" t="str">
        <f>IF($X22="","",SUMIFS(TARIFF_PROFILES!$H:$H,TARIFF_PROFILES!$A:$A,$X22))</f>
        <v/>
      </c>
      <c r="AD22" s="6" t="str">
        <f t="array" ref="AD22">IF($X22="","",INDEX(TARIFF_PROFILES!$J:$J,MATCH($X22,TARIFF_PROFILES!$A:$A,0)))</f>
        <v/>
      </c>
      <c r="AE22" s="6" t="str">
        <f t="array" ref="AE22">IF($X22="","",INDEX(TARIFF_PROFILES!$K:$K,MATCH($X22,TARIFF_PROFILES!$A:$A,0)))</f>
        <v/>
      </c>
      <c r="AF22" s="4"/>
      <c r="AG22" s="4"/>
      <c r="AH22" s="4" t="str">
        <f>IF($AG22="","",SUMIFS(OPERATING_COEFFS!$C:$C,OPERATING_COEFFS!$A:$A,"DistanceClass",OPERATING_COEFFS!$B:$B,$AG22))</f>
        <v/>
      </c>
      <c r="AI22" s="4"/>
      <c r="AJ22" s="4" t="str">
        <f>IF($AI22="","",SUMIFS(OPERATING_COEFFS!$C:$C,OPERATING_COEFFS!$A:$A,"SeasonClass",OPERATING_COEFFS!$B:$B,$AI22))</f>
        <v/>
      </c>
      <c r="AK22" s="4"/>
      <c r="AL22" s="4" t="str">
        <f>IF($AK22="","",SUMIFS(OPERATING_COEFFS!$C:$C,OPERATING_COEFFS!$A:$A,"UrgencyClass",OPERATING_COEFFS!$B:$B,$AK22))</f>
        <v/>
      </c>
      <c r="AM22" s="4"/>
      <c r="AN22" s="4" t="str">
        <f t="array" ref="AN22">IF($AM22="","",INDEX(TAX_MODES!$B:$B,MATCH($AM22,TAX_MODES!$A:$A,0)))</f>
        <v/>
      </c>
      <c r="AO22" s="4"/>
      <c r="AP22" s="4"/>
    </row>
    <row r="23" ht="14.25" customHeight="1">
      <c r="A23" s="6"/>
      <c r="B23" s="6"/>
      <c r="C23" s="6"/>
      <c r="D23" s="29" t="str">
        <f>IF($C23="","",SUMIFS(SITE_COEFFS!$C:$C,SITE_COEFFS!$A:$A,"SoilWorkability",SITE_COEFFS!$B:$B,$C23))</f>
        <v/>
      </c>
      <c r="E23" s="6"/>
      <c r="F23" s="29" t="str">
        <f>IF($E23="","",SUMIFS(SITE_COEFFS!$C:$C,SITE_COEFFS!$A:$A,"SoilMoisture",SITE_COEFFS!$B:$B,$E23))</f>
        <v/>
      </c>
      <c r="G23" s="6"/>
      <c r="H23" s="29" t="str">
        <f>IF($G23="","",SUMIFS(SITE_COEFFS!$C:$C,SITE_COEFFS!$A:$A,"DebrisLevel",SITE_COEFFS!$B:$B,$G23))</f>
        <v/>
      </c>
      <c r="I23" s="6"/>
      <c r="J23" s="29" t="str">
        <f>IF($I23="","",SUMIFS(SITE_COEFFS!$C:$C,SITE_COEFFS!$A:$A,"SlopeClass",SITE_COEFFS!$B:$B,$I23))</f>
        <v/>
      </c>
      <c r="K23" s="6"/>
      <c r="L23" s="29" t="str">
        <f>IF($K23="","",SUMIFS(SITE_COEFFS!$C:$C,SITE_COEFFS!$A:$A,"SurfaceUnevenness",SITE_COEFFS!$B:$B,$K23))</f>
        <v/>
      </c>
      <c r="M23" s="6"/>
      <c r="N23" s="29" t="str">
        <f>IF($M23="","",SUMIFS(SITE_COEFFS!$C:$C,SITE_COEFFS!$A:$A,"AccessClass",SITE_COEFFS!$B:$B,$M23))</f>
        <v/>
      </c>
      <c r="O23" s="6"/>
      <c r="P23" s="29" t="str">
        <f>IF($O23="","",SUMIFS(SITE_COEFFS!$C:$C,SITE_COEFFS!$A:$A,"TurnSpace",SITE_COEFFS!$B:$B,$O23))</f>
        <v/>
      </c>
      <c r="Q23" s="6"/>
      <c r="R23" s="29" t="str">
        <f>IF($Q23="","",SUMIFS(SITE_COEFFS!$C:$C,SITE_COEFFS!$A:$A,"ProximityToBuildings",SITE_COEFFS!$B:$B,$Q23))</f>
        <v/>
      </c>
      <c r="S23" s="6"/>
      <c r="T23" s="29" t="str">
        <f>IF($S23="","",SUMIFS(SITE_COEFFS!$C:$C,SITE_COEFFS!$A:$A,"MachineryAllowed",SITE_COEFFS!$B:$B,$S23))</f>
        <v/>
      </c>
      <c r="U23" s="6"/>
      <c r="V23" s="6"/>
      <c r="W23" s="29" t="str">
        <f>IF($V23="","",SUMIFS(SITE_COEFFS!$C:$C,SITE_COEFFS!$A:$A,"GeometryComplexity",SITE_COEFFS!$B:$B,$V23))</f>
        <v/>
      </c>
      <c r="X23" s="6"/>
      <c r="Y23" s="6" t="str">
        <f>IF($X23="","",SUMIFS(TARIFF_PROFILES!$D:$D,TARIFF_PROFILES!$A:$A,$X23))</f>
        <v/>
      </c>
      <c r="Z23" s="6" t="str">
        <f>IF($X23="","",SUMIFS(TARIFF_PROFILES!$E:$E,TARIFF_PROFILES!$A:$A,$X23))</f>
        <v/>
      </c>
      <c r="AA23" s="6" t="str">
        <f>IF($X23="","",SUMIFS(TARIFF_PROFILES!$F:$F,TARIFF_PROFILES!$A:$A,$X23))</f>
        <v/>
      </c>
      <c r="AB23" s="6" t="str">
        <f>IF($X23="","",SUMIFS(TARIFF_PROFILES!$G:$G,TARIFF_PROFILES!$A:$A,$X23))</f>
        <v/>
      </c>
      <c r="AC23" s="6" t="str">
        <f>IF($X23="","",SUMIFS(TARIFF_PROFILES!$H:$H,TARIFF_PROFILES!$A:$A,$X23))</f>
        <v/>
      </c>
      <c r="AD23" s="6" t="str">
        <f t="array" ref="AD23">IF($X23="","",INDEX(TARIFF_PROFILES!$J:$J,MATCH($X23,TARIFF_PROFILES!$A:$A,0)))</f>
        <v/>
      </c>
      <c r="AE23" s="6" t="str">
        <f t="array" ref="AE23">IF($X23="","",INDEX(TARIFF_PROFILES!$K:$K,MATCH($X23,TARIFF_PROFILES!$A:$A,0)))</f>
        <v/>
      </c>
      <c r="AF23" s="4"/>
      <c r="AG23" s="4"/>
      <c r="AH23" s="4" t="str">
        <f>IF($AG23="","",SUMIFS(OPERATING_COEFFS!$C:$C,OPERATING_COEFFS!$A:$A,"DistanceClass",OPERATING_COEFFS!$B:$B,$AG23))</f>
        <v/>
      </c>
      <c r="AI23" s="4"/>
      <c r="AJ23" s="4" t="str">
        <f>IF($AI23="","",SUMIFS(OPERATING_COEFFS!$C:$C,OPERATING_COEFFS!$A:$A,"SeasonClass",OPERATING_COEFFS!$B:$B,$AI23))</f>
        <v/>
      </c>
      <c r="AK23" s="4"/>
      <c r="AL23" s="4" t="str">
        <f>IF($AK23="","",SUMIFS(OPERATING_COEFFS!$C:$C,OPERATING_COEFFS!$A:$A,"UrgencyClass",OPERATING_COEFFS!$B:$B,$AK23))</f>
        <v/>
      </c>
      <c r="AM23" s="4"/>
      <c r="AN23" s="4" t="str">
        <f t="array" ref="AN23">IF($AM23="","",INDEX(TAX_MODES!$B:$B,MATCH($AM23,TAX_MODES!$A:$A,0)))</f>
        <v/>
      </c>
      <c r="AO23" s="4"/>
      <c r="AP23" s="4"/>
    </row>
    <row r="24" ht="14.25" customHeight="1">
      <c r="A24" s="6"/>
      <c r="B24" s="6"/>
      <c r="C24" s="6"/>
      <c r="D24" s="29" t="str">
        <f>IF($C24="","",SUMIFS(SITE_COEFFS!$C:$C,SITE_COEFFS!$A:$A,"SoilWorkability",SITE_COEFFS!$B:$B,$C24))</f>
        <v/>
      </c>
      <c r="E24" s="6"/>
      <c r="F24" s="29" t="str">
        <f>IF($E24="","",SUMIFS(SITE_COEFFS!$C:$C,SITE_COEFFS!$A:$A,"SoilMoisture",SITE_COEFFS!$B:$B,$E24))</f>
        <v/>
      </c>
      <c r="G24" s="6"/>
      <c r="H24" s="29" t="str">
        <f>IF($G24="","",SUMIFS(SITE_COEFFS!$C:$C,SITE_COEFFS!$A:$A,"DebrisLevel",SITE_COEFFS!$B:$B,$G24))</f>
        <v/>
      </c>
      <c r="I24" s="6"/>
      <c r="J24" s="29" t="str">
        <f>IF($I24="","",SUMIFS(SITE_COEFFS!$C:$C,SITE_COEFFS!$A:$A,"SlopeClass",SITE_COEFFS!$B:$B,$I24))</f>
        <v/>
      </c>
      <c r="K24" s="6"/>
      <c r="L24" s="29" t="str">
        <f>IF($K24="","",SUMIFS(SITE_COEFFS!$C:$C,SITE_COEFFS!$A:$A,"SurfaceUnevenness",SITE_COEFFS!$B:$B,$K24))</f>
        <v/>
      </c>
      <c r="M24" s="6"/>
      <c r="N24" s="29" t="str">
        <f>IF($M24="","",SUMIFS(SITE_COEFFS!$C:$C,SITE_COEFFS!$A:$A,"AccessClass",SITE_COEFFS!$B:$B,$M24))</f>
        <v/>
      </c>
      <c r="O24" s="6"/>
      <c r="P24" s="29" t="str">
        <f>IF($O24="","",SUMIFS(SITE_COEFFS!$C:$C,SITE_COEFFS!$A:$A,"TurnSpace",SITE_COEFFS!$B:$B,$O24))</f>
        <v/>
      </c>
      <c r="Q24" s="6"/>
      <c r="R24" s="29" t="str">
        <f>IF($Q24="","",SUMIFS(SITE_COEFFS!$C:$C,SITE_COEFFS!$A:$A,"ProximityToBuildings",SITE_COEFFS!$B:$B,$Q24))</f>
        <v/>
      </c>
      <c r="S24" s="6"/>
      <c r="T24" s="29" t="str">
        <f>IF($S24="","",SUMIFS(SITE_COEFFS!$C:$C,SITE_COEFFS!$A:$A,"MachineryAllowed",SITE_COEFFS!$B:$B,$S24))</f>
        <v/>
      </c>
      <c r="U24" s="6"/>
      <c r="V24" s="6"/>
      <c r="W24" s="29" t="str">
        <f>IF($V24="","",SUMIFS(SITE_COEFFS!$C:$C,SITE_COEFFS!$A:$A,"GeometryComplexity",SITE_COEFFS!$B:$B,$V24))</f>
        <v/>
      </c>
      <c r="X24" s="6"/>
      <c r="Y24" s="6" t="str">
        <f>IF($X24="","",SUMIFS(TARIFF_PROFILES!$D:$D,TARIFF_PROFILES!$A:$A,$X24))</f>
        <v/>
      </c>
      <c r="Z24" s="6" t="str">
        <f>IF($X24="","",SUMIFS(TARIFF_PROFILES!$E:$E,TARIFF_PROFILES!$A:$A,$X24))</f>
        <v/>
      </c>
      <c r="AA24" s="6" t="str">
        <f>IF($X24="","",SUMIFS(TARIFF_PROFILES!$F:$F,TARIFF_PROFILES!$A:$A,$X24))</f>
        <v/>
      </c>
      <c r="AB24" s="6" t="str">
        <f>IF($X24="","",SUMIFS(TARIFF_PROFILES!$G:$G,TARIFF_PROFILES!$A:$A,$X24))</f>
        <v/>
      </c>
      <c r="AC24" s="6" t="str">
        <f>IF($X24="","",SUMIFS(TARIFF_PROFILES!$H:$H,TARIFF_PROFILES!$A:$A,$X24))</f>
        <v/>
      </c>
      <c r="AD24" s="6" t="str">
        <f t="array" ref="AD24">IF($X24="","",INDEX(TARIFF_PROFILES!$J:$J,MATCH($X24,TARIFF_PROFILES!$A:$A,0)))</f>
        <v/>
      </c>
      <c r="AE24" s="6" t="str">
        <f t="array" ref="AE24">IF($X24="","",INDEX(TARIFF_PROFILES!$K:$K,MATCH($X24,TARIFF_PROFILES!$A:$A,0)))</f>
        <v/>
      </c>
      <c r="AF24" s="4"/>
      <c r="AG24" s="4"/>
      <c r="AH24" s="4" t="str">
        <f>IF($AG24="","",SUMIFS(OPERATING_COEFFS!$C:$C,OPERATING_COEFFS!$A:$A,"DistanceClass",OPERATING_COEFFS!$B:$B,$AG24))</f>
        <v/>
      </c>
      <c r="AI24" s="4"/>
      <c r="AJ24" s="4" t="str">
        <f>IF($AI24="","",SUMIFS(OPERATING_COEFFS!$C:$C,OPERATING_COEFFS!$A:$A,"SeasonClass",OPERATING_COEFFS!$B:$B,$AI24))</f>
        <v/>
      </c>
      <c r="AK24" s="4"/>
      <c r="AL24" s="4" t="str">
        <f>IF($AK24="","",SUMIFS(OPERATING_COEFFS!$C:$C,OPERATING_COEFFS!$A:$A,"UrgencyClass",OPERATING_COEFFS!$B:$B,$AK24))</f>
        <v/>
      </c>
      <c r="AM24" s="4"/>
      <c r="AN24" s="4" t="str">
        <f t="array" ref="AN24">IF($AM24="","",INDEX(TAX_MODES!$B:$B,MATCH($AM24,TAX_MODES!$A:$A,0)))</f>
        <v/>
      </c>
      <c r="AO24" s="4"/>
      <c r="AP24" s="4"/>
    </row>
    <row r="25" ht="14.25" customHeight="1">
      <c r="A25" s="6"/>
      <c r="B25" s="6"/>
      <c r="C25" s="6"/>
      <c r="D25" s="29" t="str">
        <f>IF($C25="","",SUMIFS(SITE_COEFFS!$C:$C,SITE_COEFFS!$A:$A,"SoilWorkability",SITE_COEFFS!$B:$B,$C25))</f>
        <v/>
      </c>
      <c r="E25" s="6"/>
      <c r="F25" s="29" t="str">
        <f>IF($E25="","",SUMIFS(SITE_COEFFS!$C:$C,SITE_COEFFS!$A:$A,"SoilMoisture",SITE_COEFFS!$B:$B,$E25))</f>
        <v/>
      </c>
      <c r="G25" s="6"/>
      <c r="H25" s="29" t="str">
        <f>IF($G25="","",SUMIFS(SITE_COEFFS!$C:$C,SITE_COEFFS!$A:$A,"DebrisLevel",SITE_COEFFS!$B:$B,$G25))</f>
        <v/>
      </c>
      <c r="I25" s="6"/>
      <c r="J25" s="29" t="str">
        <f>IF($I25="","",SUMIFS(SITE_COEFFS!$C:$C,SITE_COEFFS!$A:$A,"SlopeClass",SITE_COEFFS!$B:$B,$I25))</f>
        <v/>
      </c>
      <c r="K25" s="6"/>
      <c r="L25" s="29" t="str">
        <f>IF($K25="","",SUMIFS(SITE_COEFFS!$C:$C,SITE_COEFFS!$A:$A,"SurfaceUnevenness",SITE_COEFFS!$B:$B,$K25))</f>
        <v/>
      </c>
      <c r="M25" s="6"/>
      <c r="N25" s="29" t="str">
        <f>IF($M25="","",SUMIFS(SITE_COEFFS!$C:$C,SITE_COEFFS!$A:$A,"AccessClass",SITE_COEFFS!$B:$B,$M25))</f>
        <v/>
      </c>
      <c r="O25" s="6"/>
      <c r="P25" s="29" t="str">
        <f>IF($O25="","",SUMIFS(SITE_COEFFS!$C:$C,SITE_COEFFS!$A:$A,"TurnSpace",SITE_COEFFS!$B:$B,$O25))</f>
        <v/>
      </c>
      <c r="Q25" s="6"/>
      <c r="R25" s="29" t="str">
        <f>IF($Q25="","",SUMIFS(SITE_COEFFS!$C:$C,SITE_COEFFS!$A:$A,"ProximityToBuildings",SITE_COEFFS!$B:$B,$Q25))</f>
        <v/>
      </c>
      <c r="S25" s="6"/>
      <c r="T25" s="29" t="str">
        <f>IF($S25="","",SUMIFS(SITE_COEFFS!$C:$C,SITE_COEFFS!$A:$A,"MachineryAllowed",SITE_COEFFS!$B:$B,$S25))</f>
        <v/>
      </c>
      <c r="U25" s="6"/>
      <c r="V25" s="6"/>
      <c r="W25" s="29" t="str">
        <f>IF($V25="","",SUMIFS(SITE_COEFFS!$C:$C,SITE_COEFFS!$A:$A,"GeometryComplexity",SITE_COEFFS!$B:$B,$V25))</f>
        <v/>
      </c>
      <c r="X25" s="6"/>
      <c r="Y25" s="6" t="str">
        <f>IF($X25="","",SUMIFS(TARIFF_PROFILES!$D:$D,TARIFF_PROFILES!$A:$A,$X25))</f>
        <v/>
      </c>
      <c r="Z25" s="6" t="str">
        <f>IF($X25="","",SUMIFS(TARIFF_PROFILES!$E:$E,TARIFF_PROFILES!$A:$A,$X25))</f>
        <v/>
      </c>
      <c r="AA25" s="6" t="str">
        <f>IF($X25="","",SUMIFS(TARIFF_PROFILES!$F:$F,TARIFF_PROFILES!$A:$A,$X25))</f>
        <v/>
      </c>
      <c r="AB25" s="6" t="str">
        <f>IF($X25="","",SUMIFS(TARIFF_PROFILES!$G:$G,TARIFF_PROFILES!$A:$A,$X25))</f>
        <v/>
      </c>
      <c r="AC25" s="6" t="str">
        <f>IF($X25="","",SUMIFS(TARIFF_PROFILES!$H:$H,TARIFF_PROFILES!$A:$A,$X25))</f>
        <v/>
      </c>
      <c r="AD25" s="6" t="str">
        <f t="array" ref="AD25">IF($X25="","",INDEX(TARIFF_PROFILES!$J:$J,MATCH($X25,TARIFF_PROFILES!$A:$A,0)))</f>
        <v/>
      </c>
      <c r="AE25" s="6" t="str">
        <f t="array" ref="AE25">IF($X25="","",INDEX(TARIFF_PROFILES!$K:$K,MATCH($X25,TARIFF_PROFILES!$A:$A,0)))</f>
        <v/>
      </c>
      <c r="AF25" s="4"/>
      <c r="AG25" s="4"/>
      <c r="AH25" s="4" t="str">
        <f>IF($AG25="","",SUMIFS(OPERATING_COEFFS!$C:$C,OPERATING_COEFFS!$A:$A,"DistanceClass",OPERATING_COEFFS!$B:$B,$AG25))</f>
        <v/>
      </c>
      <c r="AI25" s="4"/>
      <c r="AJ25" s="4" t="str">
        <f>IF($AI25="","",SUMIFS(OPERATING_COEFFS!$C:$C,OPERATING_COEFFS!$A:$A,"SeasonClass",OPERATING_COEFFS!$B:$B,$AI25))</f>
        <v/>
      </c>
      <c r="AK25" s="4"/>
      <c r="AL25" s="4" t="str">
        <f>IF($AK25="","",SUMIFS(OPERATING_COEFFS!$C:$C,OPERATING_COEFFS!$A:$A,"UrgencyClass",OPERATING_COEFFS!$B:$B,$AK25))</f>
        <v/>
      </c>
      <c r="AM25" s="4"/>
      <c r="AN25" s="4" t="str">
        <f t="array" ref="AN25">IF($AM25="","",INDEX(TAX_MODES!$B:$B,MATCH($AM25,TAX_MODES!$A:$A,0)))</f>
        <v/>
      </c>
      <c r="AO25" s="4"/>
      <c r="AP25" s="4"/>
    </row>
    <row r="26" ht="14.25" customHeight="1">
      <c r="A26" s="6"/>
      <c r="B26" s="6"/>
      <c r="C26" s="6"/>
      <c r="D26" s="29" t="str">
        <f>IF($C26="","",SUMIFS(SITE_COEFFS!$C:$C,SITE_COEFFS!$A:$A,"SoilWorkability",SITE_COEFFS!$B:$B,$C26))</f>
        <v/>
      </c>
      <c r="E26" s="6"/>
      <c r="F26" s="29" t="str">
        <f>IF($E26="","",SUMIFS(SITE_COEFFS!$C:$C,SITE_COEFFS!$A:$A,"SoilMoisture",SITE_COEFFS!$B:$B,$E26))</f>
        <v/>
      </c>
      <c r="G26" s="6"/>
      <c r="H26" s="29" t="str">
        <f>IF($G26="","",SUMIFS(SITE_COEFFS!$C:$C,SITE_COEFFS!$A:$A,"DebrisLevel",SITE_COEFFS!$B:$B,$G26))</f>
        <v/>
      </c>
      <c r="I26" s="6"/>
      <c r="J26" s="29" t="str">
        <f>IF($I26="","",SUMIFS(SITE_COEFFS!$C:$C,SITE_COEFFS!$A:$A,"SlopeClass",SITE_COEFFS!$B:$B,$I26))</f>
        <v/>
      </c>
      <c r="K26" s="6"/>
      <c r="L26" s="29" t="str">
        <f>IF($K26="","",SUMIFS(SITE_COEFFS!$C:$C,SITE_COEFFS!$A:$A,"SurfaceUnevenness",SITE_COEFFS!$B:$B,$K26))</f>
        <v/>
      </c>
      <c r="M26" s="6"/>
      <c r="N26" s="29" t="str">
        <f>IF($M26="","",SUMIFS(SITE_COEFFS!$C:$C,SITE_COEFFS!$A:$A,"AccessClass",SITE_COEFFS!$B:$B,$M26))</f>
        <v/>
      </c>
      <c r="O26" s="6"/>
      <c r="P26" s="29" t="str">
        <f>IF($O26="","",SUMIFS(SITE_COEFFS!$C:$C,SITE_COEFFS!$A:$A,"TurnSpace",SITE_COEFFS!$B:$B,$O26))</f>
        <v/>
      </c>
      <c r="Q26" s="6"/>
      <c r="R26" s="29" t="str">
        <f>IF($Q26="","",SUMIFS(SITE_COEFFS!$C:$C,SITE_COEFFS!$A:$A,"ProximityToBuildings",SITE_COEFFS!$B:$B,$Q26))</f>
        <v/>
      </c>
      <c r="S26" s="6"/>
      <c r="T26" s="29" t="str">
        <f>IF($S26="","",SUMIFS(SITE_COEFFS!$C:$C,SITE_COEFFS!$A:$A,"MachineryAllowed",SITE_COEFFS!$B:$B,$S26))</f>
        <v/>
      </c>
      <c r="U26" s="6"/>
      <c r="V26" s="6"/>
      <c r="W26" s="29" t="str">
        <f>IF($V26="","",SUMIFS(SITE_COEFFS!$C:$C,SITE_COEFFS!$A:$A,"GeometryComplexity",SITE_COEFFS!$B:$B,$V26))</f>
        <v/>
      </c>
      <c r="X26" s="6"/>
      <c r="Y26" s="6" t="str">
        <f>IF($X26="","",SUMIFS(TARIFF_PROFILES!$D:$D,TARIFF_PROFILES!$A:$A,$X26))</f>
        <v/>
      </c>
      <c r="Z26" s="6" t="str">
        <f>IF($X26="","",SUMIFS(TARIFF_PROFILES!$E:$E,TARIFF_PROFILES!$A:$A,$X26))</f>
        <v/>
      </c>
      <c r="AA26" s="6" t="str">
        <f>IF($X26="","",SUMIFS(TARIFF_PROFILES!$F:$F,TARIFF_PROFILES!$A:$A,$X26))</f>
        <v/>
      </c>
      <c r="AB26" s="6" t="str">
        <f>IF($X26="","",SUMIFS(TARIFF_PROFILES!$G:$G,TARIFF_PROFILES!$A:$A,$X26))</f>
        <v/>
      </c>
      <c r="AC26" s="6" t="str">
        <f>IF($X26="","",SUMIFS(TARIFF_PROFILES!$H:$H,TARIFF_PROFILES!$A:$A,$X26))</f>
        <v/>
      </c>
      <c r="AD26" s="6" t="str">
        <f t="array" ref="AD26">IF($X26="","",INDEX(TARIFF_PROFILES!$J:$J,MATCH($X26,TARIFF_PROFILES!$A:$A,0)))</f>
        <v/>
      </c>
      <c r="AE26" s="6" t="str">
        <f t="array" ref="AE26">IF($X26="","",INDEX(TARIFF_PROFILES!$K:$K,MATCH($X26,TARIFF_PROFILES!$A:$A,0)))</f>
        <v/>
      </c>
      <c r="AF26" s="4"/>
      <c r="AG26" s="4"/>
      <c r="AH26" s="4" t="str">
        <f>IF($AG26="","",SUMIFS(OPERATING_COEFFS!$C:$C,OPERATING_COEFFS!$A:$A,"DistanceClass",OPERATING_COEFFS!$B:$B,$AG26))</f>
        <v/>
      </c>
      <c r="AI26" s="4"/>
      <c r="AJ26" s="4" t="str">
        <f>IF($AI26="","",SUMIFS(OPERATING_COEFFS!$C:$C,OPERATING_COEFFS!$A:$A,"SeasonClass",OPERATING_COEFFS!$B:$B,$AI26))</f>
        <v/>
      </c>
      <c r="AK26" s="4"/>
      <c r="AL26" s="4" t="str">
        <f>IF($AK26="","",SUMIFS(OPERATING_COEFFS!$C:$C,OPERATING_COEFFS!$A:$A,"UrgencyClass",OPERATING_COEFFS!$B:$B,$AK26))</f>
        <v/>
      </c>
      <c r="AM26" s="4"/>
      <c r="AN26" s="4" t="str">
        <f t="array" ref="AN26">IF($AM26="","",INDEX(TAX_MODES!$B:$B,MATCH($AM26,TAX_MODES!$A:$A,0)))</f>
        <v/>
      </c>
      <c r="AO26" s="4"/>
      <c r="AP26" s="4"/>
    </row>
    <row r="27" ht="14.25" customHeight="1">
      <c r="A27" s="6"/>
      <c r="B27" s="6"/>
      <c r="C27" s="6"/>
      <c r="D27" s="29" t="str">
        <f>IF($C27="","",SUMIFS(SITE_COEFFS!$C:$C,SITE_COEFFS!$A:$A,"SoilWorkability",SITE_COEFFS!$B:$B,$C27))</f>
        <v/>
      </c>
      <c r="E27" s="6"/>
      <c r="F27" s="29" t="str">
        <f>IF($E27="","",SUMIFS(SITE_COEFFS!$C:$C,SITE_COEFFS!$A:$A,"SoilMoisture",SITE_COEFFS!$B:$B,$E27))</f>
        <v/>
      </c>
      <c r="G27" s="6"/>
      <c r="H27" s="29" t="str">
        <f>IF($G27="","",SUMIFS(SITE_COEFFS!$C:$C,SITE_COEFFS!$A:$A,"DebrisLevel",SITE_COEFFS!$B:$B,$G27))</f>
        <v/>
      </c>
      <c r="I27" s="6"/>
      <c r="J27" s="29" t="str">
        <f>IF($I27="","",SUMIFS(SITE_COEFFS!$C:$C,SITE_COEFFS!$A:$A,"SlopeClass",SITE_COEFFS!$B:$B,$I27))</f>
        <v/>
      </c>
      <c r="K27" s="6"/>
      <c r="L27" s="29" t="str">
        <f>IF($K27="","",SUMIFS(SITE_COEFFS!$C:$C,SITE_COEFFS!$A:$A,"SurfaceUnevenness",SITE_COEFFS!$B:$B,$K27))</f>
        <v/>
      </c>
      <c r="M27" s="6"/>
      <c r="N27" s="29" t="str">
        <f>IF($M27="","",SUMIFS(SITE_COEFFS!$C:$C,SITE_COEFFS!$A:$A,"AccessClass",SITE_COEFFS!$B:$B,$M27))</f>
        <v/>
      </c>
      <c r="O27" s="6"/>
      <c r="P27" s="29" t="str">
        <f>IF($O27="","",SUMIFS(SITE_COEFFS!$C:$C,SITE_COEFFS!$A:$A,"TurnSpace",SITE_COEFFS!$B:$B,$O27))</f>
        <v/>
      </c>
      <c r="Q27" s="6"/>
      <c r="R27" s="29" t="str">
        <f>IF($Q27="","",SUMIFS(SITE_COEFFS!$C:$C,SITE_COEFFS!$A:$A,"ProximityToBuildings",SITE_COEFFS!$B:$B,$Q27))</f>
        <v/>
      </c>
      <c r="S27" s="6"/>
      <c r="T27" s="29" t="str">
        <f>IF($S27="","",SUMIFS(SITE_COEFFS!$C:$C,SITE_COEFFS!$A:$A,"MachineryAllowed",SITE_COEFFS!$B:$B,$S27))</f>
        <v/>
      </c>
      <c r="U27" s="6"/>
      <c r="V27" s="6"/>
      <c r="W27" s="29" t="str">
        <f>IF($V27="","",SUMIFS(SITE_COEFFS!$C:$C,SITE_COEFFS!$A:$A,"GeometryComplexity",SITE_COEFFS!$B:$B,$V27))</f>
        <v/>
      </c>
      <c r="X27" s="6"/>
      <c r="Y27" s="6" t="str">
        <f>IF($X27="","",SUMIFS(TARIFF_PROFILES!$D:$D,TARIFF_PROFILES!$A:$A,$X27))</f>
        <v/>
      </c>
      <c r="Z27" s="6" t="str">
        <f>IF($X27="","",SUMIFS(TARIFF_PROFILES!$E:$E,TARIFF_PROFILES!$A:$A,$X27))</f>
        <v/>
      </c>
      <c r="AA27" s="6" t="str">
        <f>IF($X27="","",SUMIFS(TARIFF_PROFILES!$F:$F,TARIFF_PROFILES!$A:$A,$X27))</f>
        <v/>
      </c>
      <c r="AB27" s="6" t="str">
        <f>IF($X27="","",SUMIFS(TARIFF_PROFILES!$G:$G,TARIFF_PROFILES!$A:$A,$X27))</f>
        <v/>
      </c>
      <c r="AC27" s="6" t="str">
        <f>IF($X27="","",SUMIFS(TARIFF_PROFILES!$H:$H,TARIFF_PROFILES!$A:$A,$X27))</f>
        <v/>
      </c>
      <c r="AD27" s="6" t="str">
        <f t="array" ref="AD27">IF($X27="","",INDEX(TARIFF_PROFILES!$J:$J,MATCH($X27,TARIFF_PROFILES!$A:$A,0)))</f>
        <v/>
      </c>
      <c r="AE27" s="6" t="str">
        <f t="array" ref="AE27">IF($X27="","",INDEX(TARIFF_PROFILES!$K:$K,MATCH($X27,TARIFF_PROFILES!$A:$A,0)))</f>
        <v/>
      </c>
      <c r="AF27" s="4"/>
      <c r="AG27" s="4"/>
      <c r="AH27" s="4" t="str">
        <f>IF($AG27="","",SUMIFS(OPERATING_COEFFS!$C:$C,OPERATING_COEFFS!$A:$A,"DistanceClass",OPERATING_COEFFS!$B:$B,$AG27))</f>
        <v/>
      </c>
      <c r="AI27" s="4"/>
      <c r="AJ27" s="4" t="str">
        <f>IF($AI27="","",SUMIFS(OPERATING_COEFFS!$C:$C,OPERATING_COEFFS!$A:$A,"SeasonClass",OPERATING_COEFFS!$B:$B,$AI27))</f>
        <v/>
      </c>
      <c r="AK27" s="4"/>
      <c r="AL27" s="4" t="str">
        <f>IF($AK27="","",SUMIFS(OPERATING_COEFFS!$C:$C,OPERATING_COEFFS!$A:$A,"UrgencyClass",OPERATING_COEFFS!$B:$B,$AK27))</f>
        <v/>
      </c>
      <c r="AM27" s="4"/>
      <c r="AN27" s="4" t="str">
        <f t="array" ref="AN27">IF($AM27="","",INDEX(TAX_MODES!$B:$B,MATCH($AM27,TAX_MODES!$A:$A,0)))</f>
        <v/>
      </c>
      <c r="AO27" s="4"/>
      <c r="AP27" s="4"/>
    </row>
    <row r="28" ht="14.25" customHeight="1">
      <c r="A28" s="6"/>
      <c r="B28" s="6"/>
      <c r="C28" s="6"/>
      <c r="D28" s="29" t="str">
        <f>IF($C28="","",SUMIFS(SITE_COEFFS!$C:$C,SITE_COEFFS!$A:$A,"SoilWorkability",SITE_COEFFS!$B:$B,$C28))</f>
        <v/>
      </c>
      <c r="E28" s="6"/>
      <c r="F28" s="29" t="str">
        <f>IF($E28="","",SUMIFS(SITE_COEFFS!$C:$C,SITE_COEFFS!$A:$A,"SoilMoisture",SITE_COEFFS!$B:$B,$E28))</f>
        <v/>
      </c>
      <c r="G28" s="6"/>
      <c r="H28" s="29" t="str">
        <f>IF($G28="","",SUMIFS(SITE_COEFFS!$C:$C,SITE_COEFFS!$A:$A,"DebrisLevel",SITE_COEFFS!$B:$B,$G28))</f>
        <v/>
      </c>
      <c r="I28" s="6"/>
      <c r="J28" s="29" t="str">
        <f>IF($I28="","",SUMIFS(SITE_COEFFS!$C:$C,SITE_COEFFS!$A:$A,"SlopeClass",SITE_COEFFS!$B:$B,$I28))</f>
        <v/>
      </c>
      <c r="K28" s="6"/>
      <c r="L28" s="29" t="str">
        <f>IF($K28="","",SUMIFS(SITE_COEFFS!$C:$C,SITE_COEFFS!$A:$A,"SurfaceUnevenness",SITE_COEFFS!$B:$B,$K28))</f>
        <v/>
      </c>
      <c r="M28" s="6"/>
      <c r="N28" s="29" t="str">
        <f>IF($M28="","",SUMIFS(SITE_COEFFS!$C:$C,SITE_COEFFS!$A:$A,"AccessClass",SITE_COEFFS!$B:$B,$M28))</f>
        <v/>
      </c>
      <c r="O28" s="6"/>
      <c r="P28" s="29" t="str">
        <f>IF($O28="","",SUMIFS(SITE_COEFFS!$C:$C,SITE_COEFFS!$A:$A,"TurnSpace",SITE_COEFFS!$B:$B,$O28))</f>
        <v/>
      </c>
      <c r="Q28" s="6"/>
      <c r="R28" s="29" t="str">
        <f>IF($Q28="","",SUMIFS(SITE_COEFFS!$C:$C,SITE_COEFFS!$A:$A,"ProximityToBuildings",SITE_COEFFS!$B:$B,$Q28))</f>
        <v/>
      </c>
      <c r="S28" s="6"/>
      <c r="T28" s="29" t="str">
        <f>IF($S28="","",SUMIFS(SITE_COEFFS!$C:$C,SITE_COEFFS!$A:$A,"MachineryAllowed",SITE_COEFFS!$B:$B,$S28))</f>
        <v/>
      </c>
      <c r="U28" s="6"/>
      <c r="V28" s="6"/>
      <c r="W28" s="29" t="str">
        <f>IF($V28="","",SUMIFS(SITE_COEFFS!$C:$C,SITE_COEFFS!$A:$A,"GeometryComplexity",SITE_COEFFS!$B:$B,$V28))</f>
        <v/>
      </c>
      <c r="X28" s="6"/>
      <c r="Y28" s="6" t="str">
        <f>IF($X28="","",SUMIFS(TARIFF_PROFILES!$D:$D,TARIFF_PROFILES!$A:$A,$X28))</f>
        <v/>
      </c>
      <c r="Z28" s="6" t="str">
        <f>IF($X28="","",SUMIFS(TARIFF_PROFILES!$E:$E,TARIFF_PROFILES!$A:$A,$X28))</f>
        <v/>
      </c>
      <c r="AA28" s="6" t="str">
        <f>IF($X28="","",SUMIFS(TARIFF_PROFILES!$F:$F,TARIFF_PROFILES!$A:$A,$X28))</f>
        <v/>
      </c>
      <c r="AB28" s="6" t="str">
        <f>IF($X28="","",SUMIFS(TARIFF_PROFILES!$G:$G,TARIFF_PROFILES!$A:$A,$X28))</f>
        <v/>
      </c>
      <c r="AC28" s="6" t="str">
        <f>IF($X28="","",SUMIFS(TARIFF_PROFILES!$H:$H,TARIFF_PROFILES!$A:$A,$X28))</f>
        <v/>
      </c>
      <c r="AD28" s="6" t="str">
        <f t="array" ref="AD28">IF($X28="","",INDEX(TARIFF_PROFILES!$J:$J,MATCH($X28,TARIFF_PROFILES!$A:$A,0)))</f>
        <v/>
      </c>
      <c r="AE28" s="6" t="str">
        <f t="array" ref="AE28">IF($X28="","",INDEX(TARIFF_PROFILES!$K:$K,MATCH($X28,TARIFF_PROFILES!$A:$A,0)))</f>
        <v/>
      </c>
      <c r="AF28" s="4"/>
      <c r="AG28" s="4"/>
      <c r="AH28" s="4" t="str">
        <f>IF($AG28="","",SUMIFS(OPERATING_COEFFS!$C:$C,OPERATING_COEFFS!$A:$A,"DistanceClass",OPERATING_COEFFS!$B:$B,$AG28))</f>
        <v/>
      </c>
      <c r="AI28" s="4"/>
      <c r="AJ28" s="4" t="str">
        <f>IF($AI28="","",SUMIFS(OPERATING_COEFFS!$C:$C,OPERATING_COEFFS!$A:$A,"SeasonClass",OPERATING_COEFFS!$B:$B,$AI28))</f>
        <v/>
      </c>
      <c r="AK28" s="4"/>
      <c r="AL28" s="4" t="str">
        <f>IF($AK28="","",SUMIFS(OPERATING_COEFFS!$C:$C,OPERATING_COEFFS!$A:$A,"UrgencyClass",OPERATING_COEFFS!$B:$B,$AK28))</f>
        <v/>
      </c>
      <c r="AM28" s="4"/>
      <c r="AN28" s="4" t="str">
        <f t="array" ref="AN28">IF($AM28="","",INDEX(TAX_MODES!$B:$B,MATCH($AM28,TAX_MODES!$A:$A,0)))</f>
        <v/>
      </c>
      <c r="AO28" s="4"/>
      <c r="AP28" s="4"/>
    </row>
    <row r="29" ht="14.25" customHeight="1">
      <c r="A29" s="6"/>
      <c r="B29" s="6"/>
      <c r="C29" s="6"/>
      <c r="D29" s="29" t="str">
        <f>IF($C29="","",SUMIFS(SITE_COEFFS!$C:$C,SITE_COEFFS!$A:$A,"SoilWorkability",SITE_COEFFS!$B:$B,$C29))</f>
        <v/>
      </c>
      <c r="E29" s="6"/>
      <c r="F29" s="29" t="str">
        <f>IF($E29="","",SUMIFS(SITE_COEFFS!$C:$C,SITE_COEFFS!$A:$A,"SoilMoisture",SITE_COEFFS!$B:$B,$E29))</f>
        <v/>
      </c>
      <c r="G29" s="6"/>
      <c r="H29" s="29" t="str">
        <f>IF($G29="","",SUMIFS(SITE_COEFFS!$C:$C,SITE_COEFFS!$A:$A,"DebrisLevel",SITE_COEFFS!$B:$B,$G29))</f>
        <v/>
      </c>
      <c r="I29" s="6"/>
      <c r="J29" s="29" t="str">
        <f>IF($I29="","",SUMIFS(SITE_COEFFS!$C:$C,SITE_COEFFS!$A:$A,"SlopeClass",SITE_COEFFS!$B:$B,$I29))</f>
        <v/>
      </c>
      <c r="K29" s="6"/>
      <c r="L29" s="29" t="str">
        <f>IF($K29="","",SUMIFS(SITE_COEFFS!$C:$C,SITE_COEFFS!$A:$A,"SurfaceUnevenness",SITE_COEFFS!$B:$B,$K29))</f>
        <v/>
      </c>
      <c r="M29" s="6"/>
      <c r="N29" s="29" t="str">
        <f>IF($M29="","",SUMIFS(SITE_COEFFS!$C:$C,SITE_COEFFS!$A:$A,"AccessClass",SITE_COEFFS!$B:$B,$M29))</f>
        <v/>
      </c>
      <c r="O29" s="6"/>
      <c r="P29" s="29" t="str">
        <f>IF($O29="","",SUMIFS(SITE_COEFFS!$C:$C,SITE_COEFFS!$A:$A,"TurnSpace",SITE_COEFFS!$B:$B,$O29))</f>
        <v/>
      </c>
      <c r="Q29" s="6"/>
      <c r="R29" s="29" t="str">
        <f>IF($Q29="","",SUMIFS(SITE_COEFFS!$C:$C,SITE_COEFFS!$A:$A,"ProximityToBuildings",SITE_COEFFS!$B:$B,$Q29))</f>
        <v/>
      </c>
      <c r="S29" s="6"/>
      <c r="T29" s="29" t="str">
        <f>IF($S29="","",SUMIFS(SITE_COEFFS!$C:$C,SITE_COEFFS!$A:$A,"MachineryAllowed",SITE_COEFFS!$B:$B,$S29))</f>
        <v/>
      </c>
      <c r="U29" s="6"/>
      <c r="V29" s="6"/>
      <c r="W29" s="29" t="str">
        <f>IF($V29="","",SUMIFS(SITE_COEFFS!$C:$C,SITE_COEFFS!$A:$A,"GeometryComplexity",SITE_COEFFS!$B:$B,$V29))</f>
        <v/>
      </c>
      <c r="X29" s="6"/>
      <c r="Y29" s="6" t="str">
        <f>IF($X29="","",SUMIFS(TARIFF_PROFILES!$D:$D,TARIFF_PROFILES!$A:$A,$X29))</f>
        <v/>
      </c>
      <c r="Z29" s="6" t="str">
        <f>IF($X29="","",SUMIFS(TARIFF_PROFILES!$E:$E,TARIFF_PROFILES!$A:$A,$X29))</f>
        <v/>
      </c>
      <c r="AA29" s="6" t="str">
        <f>IF($X29="","",SUMIFS(TARIFF_PROFILES!$F:$F,TARIFF_PROFILES!$A:$A,$X29))</f>
        <v/>
      </c>
      <c r="AB29" s="6" t="str">
        <f>IF($X29="","",SUMIFS(TARIFF_PROFILES!$G:$G,TARIFF_PROFILES!$A:$A,$X29))</f>
        <v/>
      </c>
      <c r="AC29" s="6" t="str">
        <f>IF($X29="","",SUMIFS(TARIFF_PROFILES!$H:$H,TARIFF_PROFILES!$A:$A,$X29))</f>
        <v/>
      </c>
      <c r="AD29" s="6" t="str">
        <f t="array" ref="AD29">IF($X29="","",INDEX(TARIFF_PROFILES!$J:$J,MATCH($X29,TARIFF_PROFILES!$A:$A,0)))</f>
        <v/>
      </c>
      <c r="AE29" s="6" t="str">
        <f t="array" ref="AE29">IF($X29="","",INDEX(TARIFF_PROFILES!$K:$K,MATCH($X29,TARIFF_PROFILES!$A:$A,0)))</f>
        <v/>
      </c>
      <c r="AF29" s="4"/>
      <c r="AG29" s="4"/>
      <c r="AH29" s="4" t="str">
        <f>IF($AG29="","",SUMIFS(OPERATING_COEFFS!$C:$C,OPERATING_COEFFS!$A:$A,"DistanceClass",OPERATING_COEFFS!$B:$B,$AG29))</f>
        <v/>
      </c>
      <c r="AI29" s="4"/>
      <c r="AJ29" s="4" t="str">
        <f>IF($AI29="","",SUMIFS(OPERATING_COEFFS!$C:$C,OPERATING_COEFFS!$A:$A,"SeasonClass",OPERATING_COEFFS!$B:$B,$AI29))</f>
        <v/>
      </c>
      <c r="AK29" s="4"/>
      <c r="AL29" s="4" t="str">
        <f>IF($AK29="","",SUMIFS(OPERATING_COEFFS!$C:$C,OPERATING_COEFFS!$A:$A,"UrgencyClass",OPERATING_COEFFS!$B:$B,$AK29))</f>
        <v/>
      </c>
      <c r="AM29" s="4"/>
      <c r="AN29" s="4" t="str">
        <f t="array" ref="AN29">IF($AM29="","",INDEX(TAX_MODES!$B:$B,MATCH($AM29,TAX_MODES!$A:$A,0)))</f>
        <v/>
      </c>
      <c r="AO29" s="4"/>
      <c r="AP29" s="4"/>
    </row>
    <row r="30" ht="14.25" customHeight="1">
      <c r="A30" s="6"/>
      <c r="B30" s="6"/>
      <c r="C30" s="6"/>
      <c r="D30" s="29" t="str">
        <f>IF($C30="","",SUMIFS(SITE_COEFFS!$C:$C,SITE_COEFFS!$A:$A,"SoilWorkability",SITE_COEFFS!$B:$B,$C30))</f>
        <v/>
      </c>
      <c r="E30" s="6"/>
      <c r="F30" s="29" t="str">
        <f>IF($E30="","",SUMIFS(SITE_COEFFS!$C:$C,SITE_COEFFS!$A:$A,"SoilMoisture",SITE_COEFFS!$B:$B,$E30))</f>
        <v/>
      </c>
      <c r="G30" s="6"/>
      <c r="H30" s="29" t="str">
        <f>IF($G30="","",SUMIFS(SITE_COEFFS!$C:$C,SITE_COEFFS!$A:$A,"DebrisLevel",SITE_COEFFS!$B:$B,$G30))</f>
        <v/>
      </c>
      <c r="I30" s="6"/>
      <c r="J30" s="29" t="str">
        <f>IF($I30="","",SUMIFS(SITE_COEFFS!$C:$C,SITE_COEFFS!$A:$A,"SlopeClass",SITE_COEFFS!$B:$B,$I30))</f>
        <v/>
      </c>
      <c r="K30" s="6"/>
      <c r="L30" s="29" t="str">
        <f>IF($K30="","",SUMIFS(SITE_COEFFS!$C:$C,SITE_COEFFS!$A:$A,"SurfaceUnevenness",SITE_COEFFS!$B:$B,$K30))</f>
        <v/>
      </c>
      <c r="M30" s="6"/>
      <c r="N30" s="29" t="str">
        <f>IF($M30="","",SUMIFS(SITE_COEFFS!$C:$C,SITE_COEFFS!$A:$A,"AccessClass",SITE_COEFFS!$B:$B,$M30))</f>
        <v/>
      </c>
      <c r="O30" s="6"/>
      <c r="P30" s="29" t="str">
        <f>IF($O30="","",SUMIFS(SITE_COEFFS!$C:$C,SITE_COEFFS!$A:$A,"TurnSpace",SITE_COEFFS!$B:$B,$O30))</f>
        <v/>
      </c>
      <c r="Q30" s="6"/>
      <c r="R30" s="29" t="str">
        <f>IF($Q30="","",SUMIFS(SITE_COEFFS!$C:$C,SITE_COEFFS!$A:$A,"ProximityToBuildings",SITE_COEFFS!$B:$B,$Q30))</f>
        <v/>
      </c>
      <c r="S30" s="6"/>
      <c r="T30" s="29" t="str">
        <f>IF($S30="","",SUMIFS(SITE_COEFFS!$C:$C,SITE_COEFFS!$A:$A,"MachineryAllowed",SITE_COEFFS!$B:$B,$S30))</f>
        <v/>
      </c>
      <c r="U30" s="6"/>
      <c r="V30" s="6"/>
      <c r="W30" s="29" t="str">
        <f>IF($V30="","",SUMIFS(SITE_COEFFS!$C:$C,SITE_COEFFS!$A:$A,"GeometryComplexity",SITE_COEFFS!$B:$B,$V30))</f>
        <v/>
      </c>
      <c r="X30" s="6"/>
      <c r="Y30" s="6" t="str">
        <f>IF($X30="","",SUMIFS(TARIFF_PROFILES!$D:$D,TARIFF_PROFILES!$A:$A,$X30))</f>
        <v/>
      </c>
      <c r="Z30" s="6" t="str">
        <f>IF($X30="","",SUMIFS(TARIFF_PROFILES!$E:$E,TARIFF_PROFILES!$A:$A,$X30))</f>
        <v/>
      </c>
      <c r="AA30" s="6" t="str">
        <f>IF($X30="","",SUMIFS(TARIFF_PROFILES!$F:$F,TARIFF_PROFILES!$A:$A,$X30))</f>
        <v/>
      </c>
      <c r="AB30" s="6" t="str">
        <f>IF($X30="","",SUMIFS(TARIFF_PROFILES!$G:$G,TARIFF_PROFILES!$A:$A,$X30))</f>
        <v/>
      </c>
      <c r="AC30" s="6" t="str">
        <f>IF($X30="","",SUMIFS(TARIFF_PROFILES!$H:$H,TARIFF_PROFILES!$A:$A,$X30))</f>
        <v/>
      </c>
      <c r="AD30" s="6" t="str">
        <f t="array" ref="AD30">IF($X30="","",INDEX(TARIFF_PROFILES!$J:$J,MATCH($X30,TARIFF_PROFILES!$A:$A,0)))</f>
        <v/>
      </c>
      <c r="AE30" s="6" t="str">
        <f t="array" ref="AE30">IF($X30="","",INDEX(TARIFF_PROFILES!$K:$K,MATCH($X30,TARIFF_PROFILES!$A:$A,0)))</f>
        <v/>
      </c>
      <c r="AF30" s="4"/>
      <c r="AG30" s="4"/>
      <c r="AH30" s="4" t="str">
        <f>IF($AG30="","",SUMIFS(OPERATING_COEFFS!$C:$C,OPERATING_COEFFS!$A:$A,"DistanceClass",OPERATING_COEFFS!$B:$B,$AG30))</f>
        <v/>
      </c>
      <c r="AI30" s="4"/>
      <c r="AJ30" s="4" t="str">
        <f>IF($AI30="","",SUMIFS(OPERATING_COEFFS!$C:$C,OPERATING_COEFFS!$A:$A,"SeasonClass",OPERATING_COEFFS!$B:$B,$AI30))</f>
        <v/>
      </c>
      <c r="AK30" s="4"/>
      <c r="AL30" s="4" t="str">
        <f>IF($AK30="","",SUMIFS(OPERATING_COEFFS!$C:$C,OPERATING_COEFFS!$A:$A,"UrgencyClass",OPERATING_COEFFS!$B:$B,$AK30))</f>
        <v/>
      </c>
      <c r="AM30" s="4"/>
      <c r="AN30" s="4" t="str">
        <f t="array" ref="AN30">IF($AM30="","",INDEX(TAX_MODES!$B:$B,MATCH($AM30,TAX_MODES!$A:$A,0)))</f>
        <v/>
      </c>
      <c r="AO30" s="4"/>
      <c r="AP30" s="4"/>
    </row>
    <row r="31" ht="14.25" customHeight="1">
      <c r="A31" s="6"/>
      <c r="B31" s="6"/>
      <c r="C31" s="6"/>
      <c r="D31" s="29" t="str">
        <f>IF($C31="","",SUMIFS(SITE_COEFFS!$C:$C,SITE_COEFFS!$A:$A,"SoilWorkability",SITE_COEFFS!$B:$B,$C31))</f>
        <v/>
      </c>
      <c r="E31" s="6"/>
      <c r="F31" s="29" t="str">
        <f>IF($E31="","",SUMIFS(SITE_COEFFS!$C:$C,SITE_COEFFS!$A:$A,"SoilMoisture",SITE_COEFFS!$B:$B,$E31))</f>
        <v/>
      </c>
      <c r="G31" s="6"/>
      <c r="H31" s="29" t="str">
        <f>IF($G31="","",SUMIFS(SITE_COEFFS!$C:$C,SITE_COEFFS!$A:$A,"DebrisLevel",SITE_COEFFS!$B:$B,$G31))</f>
        <v/>
      </c>
      <c r="I31" s="6"/>
      <c r="J31" s="29" t="str">
        <f>IF($I31="","",SUMIFS(SITE_COEFFS!$C:$C,SITE_COEFFS!$A:$A,"SlopeClass",SITE_COEFFS!$B:$B,$I31))</f>
        <v/>
      </c>
      <c r="K31" s="6"/>
      <c r="L31" s="29" t="str">
        <f>IF($K31="","",SUMIFS(SITE_COEFFS!$C:$C,SITE_COEFFS!$A:$A,"SurfaceUnevenness",SITE_COEFFS!$B:$B,$K31))</f>
        <v/>
      </c>
      <c r="M31" s="6"/>
      <c r="N31" s="29" t="str">
        <f>IF($M31="","",SUMIFS(SITE_COEFFS!$C:$C,SITE_COEFFS!$A:$A,"AccessClass",SITE_COEFFS!$B:$B,$M31))</f>
        <v/>
      </c>
      <c r="O31" s="6"/>
      <c r="P31" s="29" t="str">
        <f>IF($O31="","",SUMIFS(SITE_COEFFS!$C:$C,SITE_COEFFS!$A:$A,"TurnSpace",SITE_COEFFS!$B:$B,$O31))</f>
        <v/>
      </c>
      <c r="Q31" s="6"/>
      <c r="R31" s="29" t="str">
        <f>IF($Q31="","",SUMIFS(SITE_COEFFS!$C:$C,SITE_COEFFS!$A:$A,"ProximityToBuildings",SITE_COEFFS!$B:$B,$Q31))</f>
        <v/>
      </c>
      <c r="S31" s="6"/>
      <c r="T31" s="29" t="str">
        <f>IF($S31="","",SUMIFS(SITE_COEFFS!$C:$C,SITE_COEFFS!$A:$A,"MachineryAllowed",SITE_COEFFS!$B:$B,$S31))</f>
        <v/>
      </c>
      <c r="U31" s="6"/>
      <c r="V31" s="6"/>
      <c r="W31" s="29" t="str">
        <f>IF($V31="","",SUMIFS(SITE_COEFFS!$C:$C,SITE_COEFFS!$A:$A,"GeometryComplexity",SITE_COEFFS!$B:$B,$V31))</f>
        <v/>
      </c>
      <c r="X31" s="6"/>
      <c r="Y31" s="6" t="str">
        <f>IF($X31="","",SUMIFS(TARIFF_PROFILES!$D:$D,TARIFF_PROFILES!$A:$A,$X31))</f>
        <v/>
      </c>
      <c r="Z31" s="6" t="str">
        <f>IF($X31="","",SUMIFS(TARIFF_PROFILES!$E:$E,TARIFF_PROFILES!$A:$A,$X31))</f>
        <v/>
      </c>
      <c r="AA31" s="6" t="str">
        <f>IF($X31="","",SUMIFS(TARIFF_PROFILES!$F:$F,TARIFF_PROFILES!$A:$A,$X31))</f>
        <v/>
      </c>
      <c r="AB31" s="6" t="str">
        <f>IF($X31="","",SUMIFS(TARIFF_PROFILES!$G:$G,TARIFF_PROFILES!$A:$A,$X31))</f>
        <v/>
      </c>
      <c r="AC31" s="6" t="str">
        <f>IF($X31="","",SUMIFS(TARIFF_PROFILES!$H:$H,TARIFF_PROFILES!$A:$A,$X31))</f>
        <v/>
      </c>
      <c r="AD31" s="6" t="str">
        <f t="array" ref="AD31">IF($X31="","",INDEX(TARIFF_PROFILES!$J:$J,MATCH($X31,TARIFF_PROFILES!$A:$A,0)))</f>
        <v/>
      </c>
      <c r="AE31" s="6" t="str">
        <f t="array" ref="AE31">IF($X31="","",INDEX(TARIFF_PROFILES!$K:$K,MATCH($X31,TARIFF_PROFILES!$A:$A,0)))</f>
        <v/>
      </c>
      <c r="AF31" s="4"/>
      <c r="AG31" s="4"/>
      <c r="AH31" s="4" t="str">
        <f>IF($AG31="","",SUMIFS(OPERATING_COEFFS!$C:$C,OPERATING_COEFFS!$A:$A,"DistanceClass",OPERATING_COEFFS!$B:$B,$AG31))</f>
        <v/>
      </c>
      <c r="AI31" s="4"/>
      <c r="AJ31" s="4" t="str">
        <f>IF($AI31="","",SUMIFS(OPERATING_COEFFS!$C:$C,OPERATING_COEFFS!$A:$A,"SeasonClass",OPERATING_COEFFS!$B:$B,$AI31))</f>
        <v/>
      </c>
      <c r="AK31" s="4"/>
      <c r="AL31" s="4" t="str">
        <f>IF($AK31="","",SUMIFS(OPERATING_COEFFS!$C:$C,OPERATING_COEFFS!$A:$A,"UrgencyClass",OPERATING_COEFFS!$B:$B,$AK31))</f>
        <v/>
      </c>
      <c r="AM31" s="4"/>
      <c r="AN31" s="4" t="str">
        <f t="array" ref="AN31">IF($AM31="","",INDEX(TAX_MODES!$B:$B,MATCH($AM31,TAX_MODES!$A:$A,0)))</f>
        <v/>
      </c>
      <c r="AO31" s="4"/>
      <c r="AP31" s="4"/>
    </row>
    <row r="32" ht="14.25" customHeight="1">
      <c r="A32" s="6"/>
      <c r="B32" s="6"/>
      <c r="C32" s="6"/>
      <c r="D32" s="29" t="str">
        <f>IF($C32="","",SUMIFS(SITE_COEFFS!$C:$C,SITE_COEFFS!$A:$A,"SoilWorkability",SITE_COEFFS!$B:$B,$C32))</f>
        <v/>
      </c>
      <c r="E32" s="6"/>
      <c r="F32" s="29" t="str">
        <f>IF($E32="","",SUMIFS(SITE_COEFFS!$C:$C,SITE_COEFFS!$A:$A,"SoilMoisture",SITE_COEFFS!$B:$B,$E32))</f>
        <v/>
      </c>
      <c r="G32" s="6"/>
      <c r="H32" s="29" t="str">
        <f>IF($G32="","",SUMIFS(SITE_COEFFS!$C:$C,SITE_COEFFS!$A:$A,"DebrisLevel",SITE_COEFFS!$B:$B,$G32))</f>
        <v/>
      </c>
      <c r="I32" s="6"/>
      <c r="J32" s="29" t="str">
        <f>IF($I32="","",SUMIFS(SITE_COEFFS!$C:$C,SITE_COEFFS!$A:$A,"SlopeClass",SITE_COEFFS!$B:$B,$I32))</f>
        <v/>
      </c>
      <c r="K32" s="6"/>
      <c r="L32" s="29" t="str">
        <f>IF($K32="","",SUMIFS(SITE_COEFFS!$C:$C,SITE_COEFFS!$A:$A,"SurfaceUnevenness",SITE_COEFFS!$B:$B,$K32))</f>
        <v/>
      </c>
      <c r="M32" s="6"/>
      <c r="N32" s="29" t="str">
        <f>IF($M32="","",SUMIFS(SITE_COEFFS!$C:$C,SITE_COEFFS!$A:$A,"AccessClass",SITE_COEFFS!$B:$B,$M32))</f>
        <v/>
      </c>
      <c r="O32" s="6"/>
      <c r="P32" s="29" t="str">
        <f>IF($O32="","",SUMIFS(SITE_COEFFS!$C:$C,SITE_COEFFS!$A:$A,"TurnSpace",SITE_COEFFS!$B:$B,$O32))</f>
        <v/>
      </c>
      <c r="Q32" s="6"/>
      <c r="R32" s="29" t="str">
        <f>IF($Q32="","",SUMIFS(SITE_COEFFS!$C:$C,SITE_COEFFS!$A:$A,"ProximityToBuildings",SITE_COEFFS!$B:$B,$Q32))</f>
        <v/>
      </c>
      <c r="S32" s="6"/>
      <c r="T32" s="29" t="str">
        <f>IF($S32="","",SUMIFS(SITE_COEFFS!$C:$C,SITE_COEFFS!$A:$A,"MachineryAllowed",SITE_COEFFS!$B:$B,$S32))</f>
        <v/>
      </c>
      <c r="U32" s="6"/>
      <c r="V32" s="6"/>
      <c r="W32" s="29" t="str">
        <f>IF($V32="","",SUMIFS(SITE_COEFFS!$C:$C,SITE_COEFFS!$A:$A,"GeometryComplexity",SITE_COEFFS!$B:$B,$V32))</f>
        <v/>
      </c>
      <c r="X32" s="6"/>
      <c r="Y32" s="6" t="str">
        <f>IF($X32="","",SUMIFS(TARIFF_PROFILES!$D:$D,TARIFF_PROFILES!$A:$A,$X32))</f>
        <v/>
      </c>
      <c r="Z32" s="6" t="str">
        <f>IF($X32="","",SUMIFS(TARIFF_PROFILES!$E:$E,TARIFF_PROFILES!$A:$A,$X32))</f>
        <v/>
      </c>
      <c r="AA32" s="6" t="str">
        <f>IF($X32="","",SUMIFS(TARIFF_PROFILES!$F:$F,TARIFF_PROFILES!$A:$A,$X32))</f>
        <v/>
      </c>
      <c r="AB32" s="6" t="str">
        <f>IF($X32="","",SUMIFS(TARIFF_PROFILES!$G:$G,TARIFF_PROFILES!$A:$A,$X32))</f>
        <v/>
      </c>
      <c r="AC32" s="6" t="str">
        <f>IF($X32="","",SUMIFS(TARIFF_PROFILES!$H:$H,TARIFF_PROFILES!$A:$A,$X32))</f>
        <v/>
      </c>
      <c r="AD32" s="6" t="str">
        <f t="array" ref="AD32">IF($X32="","",INDEX(TARIFF_PROFILES!$J:$J,MATCH($X32,TARIFF_PROFILES!$A:$A,0)))</f>
        <v/>
      </c>
      <c r="AE32" s="6" t="str">
        <f t="array" ref="AE32">IF($X32="","",INDEX(TARIFF_PROFILES!$K:$K,MATCH($X32,TARIFF_PROFILES!$A:$A,0)))</f>
        <v/>
      </c>
      <c r="AF32" s="4"/>
      <c r="AG32" s="4"/>
      <c r="AH32" s="4" t="str">
        <f>IF($AG32="","",SUMIFS(OPERATING_COEFFS!$C:$C,OPERATING_COEFFS!$A:$A,"DistanceClass",OPERATING_COEFFS!$B:$B,$AG32))</f>
        <v/>
      </c>
      <c r="AI32" s="4"/>
      <c r="AJ32" s="4" t="str">
        <f>IF($AI32="","",SUMIFS(OPERATING_COEFFS!$C:$C,OPERATING_COEFFS!$A:$A,"SeasonClass",OPERATING_COEFFS!$B:$B,$AI32))</f>
        <v/>
      </c>
      <c r="AK32" s="4"/>
      <c r="AL32" s="4" t="str">
        <f>IF($AK32="","",SUMIFS(OPERATING_COEFFS!$C:$C,OPERATING_COEFFS!$A:$A,"UrgencyClass",OPERATING_COEFFS!$B:$B,$AK32))</f>
        <v/>
      </c>
      <c r="AM32" s="4"/>
      <c r="AN32" s="4" t="str">
        <f t="array" ref="AN32">IF($AM32="","",INDEX(TAX_MODES!$B:$B,MATCH($AM32,TAX_MODES!$A:$A,0)))</f>
        <v/>
      </c>
      <c r="AO32" s="4"/>
      <c r="AP32" s="4"/>
    </row>
    <row r="33" ht="14.25" customHeight="1">
      <c r="A33" s="6"/>
      <c r="B33" s="6"/>
      <c r="C33" s="6"/>
      <c r="D33" s="29" t="str">
        <f>IF($C33="","",SUMIFS(SITE_COEFFS!$C:$C,SITE_COEFFS!$A:$A,"SoilWorkability",SITE_COEFFS!$B:$B,$C33))</f>
        <v/>
      </c>
      <c r="E33" s="6"/>
      <c r="F33" s="29" t="str">
        <f>IF($E33="","",SUMIFS(SITE_COEFFS!$C:$C,SITE_COEFFS!$A:$A,"SoilMoisture",SITE_COEFFS!$B:$B,$E33))</f>
        <v/>
      </c>
      <c r="G33" s="6"/>
      <c r="H33" s="29" t="str">
        <f>IF($G33="","",SUMIFS(SITE_COEFFS!$C:$C,SITE_COEFFS!$A:$A,"DebrisLevel",SITE_COEFFS!$B:$B,$G33))</f>
        <v/>
      </c>
      <c r="I33" s="6"/>
      <c r="J33" s="29" t="str">
        <f>IF($I33="","",SUMIFS(SITE_COEFFS!$C:$C,SITE_COEFFS!$A:$A,"SlopeClass",SITE_COEFFS!$B:$B,$I33))</f>
        <v/>
      </c>
      <c r="K33" s="6"/>
      <c r="L33" s="29" t="str">
        <f>IF($K33="","",SUMIFS(SITE_COEFFS!$C:$C,SITE_COEFFS!$A:$A,"SurfaceUnevenness",SITE_COEFFS!$B:$B,$K33))</f>
        <v/>
      </c>
      <c r="M33" s="6"/>
      <c r="N33" s="29" t="str">
        <f>IF($M33="","",SUMIFS(SITE_COEFFS!$C:$C,SITE_COEFFS!$A:$A,"AccessClass",SITE_COEFFS!$B:$B,$M33))</f>
        <v/>
      </c>
      <c r="O33" s="6"/>
      <c r="P33" s="29" t="str">
        <f>IF($O33="","",SUMIFS(SITE_COEFFS!$C:$C,SITE_COEFFS!$A:$A,"TurnSpace",SITE_COEFFS!$B:$B,$O33))</f>
        <v/>
      </c>
      <c r="Q33" s="6"/>
      <c r="R33" s="29" t="str">
        <f>IF($Q33="","",SUMIFS(SITE_COEFFS!$C:$C,SITE_COEFFS!$A:$A,"ProximityToBuildings",SITE_COEFFS!$B:$B,$Q33))</f>
        <v/>
      </c>
      <c r="S33" s="6"/>
      <c r="T33" s="29" t="str">
        <f>IF($S33="","",SUMIFS(SITE_COEFFS!$C:$C,SITE_COEFFS!$A:$A,"MachineryAllowed",SITE_COEFFS!$B:$B,$S33))</f>
        <v/>
      </c>
      <c r="U33" s="6"/>
      <c r="V33" s="6"/>
      <c r="W33" s="29" t="str">
        <f>IF($V33="","",SUMIFS(SITE_COEFFS!$C:$C,SITE_COEFFS!$A:$A,"GeometryComplexity",SITE_COEFFS!$B:$B,$V33))</f>
        <v/>
      </c>
      <c r="X33" s="6"/>
      <c r="Y33" s="6" t="str">
        <f>IF($X33="","",SUMIFS(TARIFF_PROFILES!$D:$D,TARIFF_PROFILES!$A:$A,$X33))</f>
        <v/>
      </c>
      <c r="Z33" s="6" t="str">
        <f>IF($X33="","",SUMIFS(TARIFF_PROFILES!$E:$E,TARIFF_PROFILES!$A:$A,$X33))</f>
        <v/>
      </c>
      <c r="AA33" s="6" t="str">
        <f>IF($X33="","",SUMIFS(TARIFF_PROFILES!$F:$F,TARIFF_PROFILES!$A:$A,$X33))</f>
        <v/>
      </c>
      <c r="AB33" s="6" t="str">
        <f>IF($X33="","",SUMIFS(TARIFF_PROFILES!$G:$G,TARIFF_PROFILES!$A:$A,$X33))</f>
        <v/>
      </c>
      <c r="AC33" s="6" t="str">
        <f>IF($X33="","",SUMIFS(TARIFF_PROFILES!$H:$H,TARIFF_PROFILES!$A:$A,$X33))</f>
        <v/>
      </c>
      <c r="AD33" s="6" t="str">
        <f t="array" ref="AD33">IF($X33="","",INDEX(TARIFF_PROFILES!$J:$J,MATCH($X33,TARIFF_PROFILES!$A:$A,0)))</f>
        <v/>
      </c>
      <c r="AE33" s="6" t="str">
        <f t="array" ref="AE33">IF($X33="","",INDEX(TARIFF_PROFILES!$K:$K,MATCH($X33,TARIFF_PROFILES!$A:$A,0)))</f>
        <v/>
      </c>
      <c r="AF33" s="4"/>
      <c r="AG33" s="4"/>
      <c r="AH33" s="4" t="str">
        <f>IF($AG33="","",SUMIFS(OPERATING_COEFFS!$C:$C,OPERATING_COEFFS!$A:$A,"DistanceClass",OPERATING_COEFFS!$B:$B,$AG33))</f>
        <v/>
      </c>
      <c r="AI33" s="4"/>
      <c r="AJ33" s="4" t="str">
        <f>IF($AI33="","",SUMIFS(OPERATING_COEFFS!$C:$C,OPERATING_COEFFS!$A:$A,"SeasonClass",OPERATING_COEFFS!$B:$B,$AI33))</f>
        <v/>
      </c>
      <c r="AK33" s="4"/>
      <c r="AL33" s="4" t="str">
        <f>IF($AK33="","",SUMIFS(OPERATING_COEFFS!$C:$C,OPERATING_COEFFS!$A:$A,"UrgencyClass",OPERATING_COEFFS!$B:$B,$AK33))</f>
        <v/>
      </c>
      <c r="AM33" s="4"/>
      <c r="AN33" s="4" t="str">
        <f t="array" ref="AN33">IF($AM33="","",INDEX(TAX_MODES!$B:$B,MATCH($AM33,TAX_MODES!$A:$A,0)))</f>
        <v/>
      </c>
      <c r="AO33" s="4"/>
      <c r="AP33" s="4"/>
    </row>
    <row r="34" ht="14.25" customHeight="1">
      <c r="A34" s="6"/>
      <c r="B34" s="6"/>
      <c r="C34" s="6"/>
      <c r="D34" s="29" t="str">
        <f>IF($C34="","",SUMIFS(SITE_COEFFS!$C:$C,SITE_COEFFS!$A:$A,"SoilWorkability",SITE_COEFFS!$B:$B,$C34))</f>
        <v/>
      </c>
      <c r="E34" s="6"/>
      <c r="F34" s="29" t="str">
        <f>IF($E34="","",SUMIFS(SITE_COEFFS!$C:$C,SITE_COEFFS!$A:$A,"SoilMoisture",SITE_COEFFS!$B:$B,$E34))</f>
        <v/>
      </c>
      <c r="G34" s="6"/>
      <c r="H34" s="29" t="str">
        <f>IF($G34="","",SUMIFS(SITE_COEFFS!$C:$C,SITE_COEFFS!$A:$A,"DebrisLevel",SITE_COEFFS!$B:$B,$G34))</f>
        <v/>
      </c>
      <c r="I34" s="6"/>
      <c r="J34" s="29" t="str">
        <f>IF($I34="","",SUMIFS(SITE_COEFFS!$C:$C,SITE_COEFFS!$A:$A,"SlopeClass",SITE_COEFFS!$B:$B,$I34))</f>
        <v/>
      </c>
      <c r="K34" s="6"/>
      <c r="L34" s="29" t="str">
        <f>IF($K34="","",SUMIFS(SITE_COEFFS!$C:$C,SITE_COEFFS!$A:$A,"SurfaceUnevenness",SITE_COEFFS!$B:$B,$K34))</f>
        <v/>
      </c>
      <c r="M34" s="6"/>
      <c r="N34" s="29" t="str">
        <f>IF($M34="","",SUMIFS(SITE_COEFFS!$C:$C,SITE_COEFFS!$A:$A,"AccessClass",SITE_COEFFS!$B:$B,$M34))</f>
        <v/>
      </c>
      <c r="O34" s="6"/>
      <c r="P34" s="29" t="str">
        <f>IF($O34="","",SUMIFS(SITE_COEFFS!$C:$C,SITE_COEFFS!$A:$A,"TurnSpace",SITE_COEFFS!$B:$B,$O34))</f>
        <v/>
      </c>
      <c r="Q34" s="6"/>
      <c r="R34" s="29" t="str">
        <f>IF($Q34="","",SUMIFS(SITE_COEFFS!$C:$C,SITE_COEFFS!$A:$A,"ProximityToBuildings",SITE_COEFFS!$B:$B,$Q34))</f>
        <v/>
      </c>
      <c r="S34" s="6"/>
      <c r="T34" s="29" t="str">
        <f>IF($S34="","",SUMIFS(SITE_COEFFS!$C:$C,SITE_COEFFS!$A:$A,"MachineryAllowed",SITE_COEFFS!$B:$B,$S34))</f>
        <v/>
      </c>
      <c r="U34" s="6"/>
      <c r="V34" s="6"/>
      <c r="W34" s="29" t="str">
        <f>IF($V34="","",SUMIFS(SITE_COEFFS!$C:$C,SITE_COEFFS!$A:$A,"GeometryComplexity",SITE_COEFFS!$B:$B,$V34))</f>
        <v/>
      </c>
      <c r="X34" s="6"/>
      <c r="Y34" s="6" t="str">
        <f>IF($X34="","",SUMIFS(TARIFF_PROFILES!$D:$D,TARIFF_PROFILES!$A:$A,$X34))</f>
        <v/>
      </c>
      <c r="Z34" s="6" t="str">
        <f>IF($X34="","",SUMIFS(TARIFF_PROFILES!$E:$E,TARIFF_PROFILES!$A:$A,$X34))</f>
        <v/>
      </c>
      <c r="AA34" s="6" t="str">
        <f>IF($X34="","",SUMIFS(TARIFF_PROFILES!$F:$F,TARIFF_PROFILES!$A:$A,$X34))</f>
        <v/>
      </c>
      <c r="AB34" s="6" t="str">
        <f>IF($X34="","",SUMIFS(TARIFF_PROFILES!$G:$G,TARIFF_PROFILES!$A:$A,$X34))</f>
        <v/>
      </c>
      <c r="AC34" s="6" t="str">
        <f>IF($X34="","",SUMIFS(TARIFF_PROFILES!$H:$H,TARIFF_PROFILES!$A:$A,$X34))</f>
        <v/>
      </c>
      <c r="AD34" s="6" t="str">
        <f t="array" ref="AD34">IF($X34="","",INDEX(TARIFF_PROFILES!$J:$J,MATCH($X34,TARIFF_PROFILES!$A:$A,0)))</f>
        <v/>
      </c>
      <c r="AE34" s="6" t="str">
        <f t="array" ref="AE34">IF($X34="","",INDEX(TARIFF_PROFILES!$K:$K,MATCH($X34,TARIFF_PROFILES!$A:$A,0)))</f>
        <v/>
      </c>
      <c r="AF34" s="4"/>
      <c r="AG34" s="4"/>
      <c r="AH34" s="4" t="str">
        <f>IF($AG34="","",SUMIFS(OPERATING_COEFFS!$C:$C,OPERATING_COEFFS!$A:$A,"DistanceClass",OPERATING_COEFFS!$B:$B,$AG34))</f>
        <v/>
      </c>
      <c r="AI34" s="4"/>
      <c r="AJ34" s="4" t="str">
        <f>IF($AI34="","",SUMIFS(OPERATING_COEFFS!$C:$C,OPERATING_COEFFS!$A:$A,"SeasonClass",OPERATING_COEFFS!$B:$B,$AI34))</f>
        <v/>
      </c>
      <c r="AK34" s="4"/>
      <c r="AL34" s="4" t="str">
        <f>IF($AK34="","",SUMIFS(OPERATING_COEFFS!$C:$C,OPERATING_COEFFS!$A:$A,"UrgencyClass",OPERATING_COEFFS!$B:$B,$AK34))</f>
        <v/>
      </c>
      <c r="AM34" s="4"/>
      <c r="AN34" s="4" t="str">
        <f t="array" ref="AN34">IF($AM34="","",INDEX(TAX_MODES!$B:$B,MATCH($AM34,TAX_MODES!$A:$A,0)))</f>
        <v/>
      </c>
      <c r="AO34" s="4"/>
      <c r="AP34" s="4"/>
    </row>
    <row r="35" ht="14.25" customHeight="1">
      <c r="A35" s="6"/>
      <c r="B35" s="6"/>
      <c r="C35" s="6"/>
      <c r="D35" s="29" t="str">
        <f>IF($C35="","",SUMIFS(SITE_COEFFS!$C:$C,SITE_COEFFS!$A:$A,"SoilWorkability",SITE_COEFFS!$B:$B,$C35))</f>
        <v/>
      </c>
      <c r="E35" s="6"/>
      <c r="F35" s="29" t="str">
        <f>IF($E35="","",SUMIFS(SITE_COEFFS!$C:$C,SITE_COEFFS!$A:$A,"SoilMoisture",SITE_COEFFS!$B:$B,$E35))</f>
        <v/>
      </c>
      <c r="G35" s="6"/>
      <c r="H35" s="29" t="str">
        <f>IF($G35="","",SUMIFS(SITE_COEFFS!$C:$C,SITE_COEFFS!$A:$A,"DebrisLevel",SITE_COEFFS!$B:$B,$G35))</f>
        <v/>
      </c>
      <c r="I35" s="6"/>
      <c r="J35" s="29" t="str">
        <f>IF($I35="","",SUMIFS(SITE_COEFFS!$C:$C,SITE_COEFFS!$A:$A,"SlopeClass",SITE_COEFFS!$B:$B,$I35))</f>
        <v/>
      </c>
      <c r="K35" s="6"/>
      <c r="L35" s="29" t="str">
        <f>IF($K35="","",SUMIFS(SITE_COEFFS!$C:$C,SITE_COEFFS!$A:$A,"SurfaceUnevenness",SITE_COEFFS!$B:$B,$K35))</f>
        <v/>
      </c>
      <c r="M35" s="6"/>
      <c r="N35" s="29" t="str">
        <f>IF($M35="","",SUMIFS(SITE_COEFFS!$C:$C,SITE_COEFFS!$A:$A,"AccessClass",SITE_COEFFS!$B:$B,$M35))</f>
        <v/>
      </c>
      <c r="O35" s="6"/>
      <c r="P35" s="29" t="str">
        <f>IF($O35="","",SUMIFS(SITE_COEFFS!$C:$C,SITE_COEFFS!$A:$A,"TurnSpace",SITE_COEFFS!$B:$B,$O35))</f>
        <v/>
      </c>
      <c r="Q35" s="6"/>
      <c r="R35" s="29" t="str">
        <f>IF($Q35="","",SUMIFS(SITE_COEFFS!$C:$C,SITE_COEFFS!$A:$A,"ProximityToBuildings",SITE_COEFFS!$B:$B,$Q35))</f>
        <v/>
      </c>
      <c r="S35" s="6"/>
      <c r="T35" s="29" t="str">
        <f>IF($S35="","",SUMIFS(SITE_COEFFS!$C:$C,SITE_COEFFS!$A:$A,"MachineryAllowed",SITE_COEFFS!$B:$B,$S35))</f>
        <v/>
      </c>
      <c r="U35" s="6"/>
      <c r="V35" s="6"/>
      <c r="W35" s="29" t="str">
        <f>IF($V35="","",SUMIFS(SITE_COEFFS!$C:$C,SITE_COEFFS!$A:$A,"GeometryComplexity",SITE_COEFFS!$B:$B,$V35))</f>
        <v/>
      </c>
      <c r="X35" s="6"/>
      <c r="Y35" s="6" t="str">
        <f>IF($X35="","",SUMIFS(TARIFF_PROFILES!$D:$D,TARIFF_PROFILES!$A:$A,$X35))</f>
        <v/>
      </c>
      <c r="Z35" s="6" t="str">
        <f>IF($X35="","",SUMIFS(TARIFF_PROFILES!$E:$E,TARIFF_PROFILES!$A:$A,$X35))</f>
        <v/>
      </c>
      <c r="AA35" s="6" t="str">
        <f>IF($X35="","",SUMIFS(TARIFF_PROFILES!$F:$F,TARIFF_PROFILES!$A:$A,$X35))</f>
        <v/>
      </c>
      <c r="AB35" s="6" t="str">
        <f>IF($X35="","",SUMIFS(TARIFF_PROFILES!$G:$G,TARIFF_PROFILES!$A:$A,$X35))</f>
        <v/>
      </c>
      <c r="AC35" s="6" t="str">
        <f>IF($X35="","",SUMIFS(TARIFF_PROFILES!$H:$H,TARIFF_PROFILES!$A:$A,$X35))</f>
        <v/>
      </c>
      <c r="AD35" s="6" t="str">
        <f t="array" ref="AD35">IF($X35="","",INDEX(TARIFF_PROFILES!$J:$J,MATCH($X35,TARIFF_PROFILES!$A:$A,0)))</f>
        <v/>
      </c>
      <c r="AE35" s="6" t="str">
        <f t="array" ref="AE35">IF($X35="","",INDEX(TARIFF_PROFILES!$K:$K,MATCH($X35,TARIFF_PROFILES!$A:$A,0)))</f>
        <v/>
      </c>
      <c r="AF35" s="4"/>
      <c r="AG35" s="4"/>
      <c r="AH35" s="4" t="str">
        <f>IF($AG35="","",SUMIFS(OPERATING_COEFFS!$C:$C,OPERATING_COEFFS!$A:$A,"DistanceClass",OPERATING_COEFFS!$B:$B,$AG35))</f>
        <v/>
      </c>
      <c r="AI35" s="4"/>
      <c r="AJ35" s="4" t="str">
        <f>IF($AI35="","",SUMIFS(OPERATING_COEFFS!$C:$C,OPERATING_COEFFS!$A:$A,"SeasonClass",OPERATING_COEFFS!$B:$B,$AI35))</f>
        <v/>
      </c>
      <c r="AK35" s="4"/>
      <c r="AL35" s="4" t="str">
        <f>IF($AK35="","",SUMIFS(OPERATING_COEFFS!$C:$C,OPERATING_COEFFS!$A:$A,"UrgencyClass",OPERATING_COEFFS!$B:$B,$AK35))</f>
        <v/>
      </c>
      <c r="AM35" s="4"/>
      <c r="AN35" s="4" t="str">
        <f t="array" ref="AN35">IF($AM35="","",INDEX(TAX_MODES!$B:$B,MATCH($AM35,TAX_MODES!$A:$A,0)))</f>
        <v/>
      </c>
      <c r="AO35" s="4"/>
      <c r="AP35" s="4"/>
    </row>
    <row r="36" ht="14.25" customHeight="1">
      <c r="A36" s="6"/>
      <c r="B36" s="6"/>
      <c r="C36" s="6"/>
      <c r="D36" s="29" t="str">
        <f>IF($C36="","",SUMIFS(SITE_COEFFS!$C:$C,SITE_COEFFS!$A:$A,"SoilWorkability",SITE_COEFFS!$B:$B,$C36))</f>
        <v/>
      </c>
      <c r="E36" s="6"/>
      <c r="F36" s="29" t="str">
        <f>IF($E36="","",SUMIFS(SITE_COEFFS!$C:$C,SITE_COEFFS!$A:$A,"SoilMoisture",SITE_COEFFS!$B:$B,$E36))</f>
        <v/>
      </c>
      <c r="G36" s="6"/>
      <c r="H36" s="29" t="str">
        <f>IF($G36="","",SUMIFS(SITE_COEFFS!$C:$C,SITE_COEFFS!$A:$A,"DebrisLevel",SITE_COEFFS!$B:$B,$G36))</f>
        <v/>
      </c>
      <c r="I36" s="6"/>
      <c r="J36" s="29" t="str">
        <f>IF($I36="","",SUMIFS(SITE_COEFFS!$C:$C,SITE_COEFFS!$A:$A,"SlopeClass",SITE_COEFFS!$B:$B,$I36))</f>
        <v/>
      </c>
      <c r="K36" s="6"/>
      <c r="L36" s="29" t="str">
        <f>IF($K36="","",SUMIFS(SITE_COEFFS!$C:$C,SITE_COEFFS!$A:$A,"SurfaceUnevenness",SITE_COEFFS!$B:$B,$K36))</f>
        <v/>
      </c>
      <c r="M36" s="6"/>
      <c r="N36" s="29" t="str">
        <f>IF($M36="","",SUMIFS(SITE_COEFFS!$C:$C,SITE_COEFFS!$A:$A,"AccessClass",SITE_COEFFS!$B:$B,$M36))</f>
        <v/>
      </c>
      <c r="O36" s="6"/>
      <c r="P36" s="29" t="str">
        <f>IF($O36="","",SUMIFS(SITE_COEFFS!$C:$C,SITE_COEFFS!$A:$A,"TurnSpace",SITE_COEFFS!$B:$B,$O36))</f>
        <v/>
      </c>
      <c r="Q36" s="6"/>
      <c r="R36" s="29" t="str">
        <f>IF($Q36="","",SUMIFS(SITE_COEFFS!$C:$C,SITE_COEFFS!$A:$A,"ProximityToBuildings",SITE_COEFFS!$B:$B,$Q36))</f>
        <v/>
      </c>
      <c r="S36" s="6"/>
      <c r="T36" s="29" t="str">
        <f>IF($S36="","",SUMIFS(SITE_COEFFS!$C:$C,SITE_COEFFS!$A:$A,"MachineryAllowed",SITE_COEFFS!$B:$B,$S36))</f>
        <v/>
      </c>
      <c r="U36" s="6"/>
      <c r="V36" s="6"/>
      <c r="W36" s="29" t="str">
        <f>IF($V36="","",SUMIFS(SITE_COEFFS!$C:$C,SITE_COEFFS!$A:$A,"GeometryComplexity",SITE_COEFFS!$B:$B,$V36))</f>
        <v/>
      </c>
      <c r="X36" s="6"/>
      <c r="Y36" s="6" t="str">
        <f>IF($X36="","",SUMIFS(TARIFF_PROFILES!$D:$D,TARIFF_PROFILES!$A:$A,$X36))</f>
        <v/>
      </c>
      <c r="Z36" s="6" t="str">
        <f>IF($X36="","",SUMIFS(TARIFF_PROFILES!$E:$E,TARIFF_PROFILES!$A:$A,$X36))</f>
        <v/>
      </c>
      <c r="AA36" s="6" t="str">
        <f>IF($X36="","",SUMIFS(TARIFF_PROFILES!$F:$F,TARIFF_PROFILES!$A:$A,$X36))</f>
        <v/>
      </c>
      <c r="AB36" s="6" t="str">
        <f>IF($X36="","",SUMIFS(TARIFF_PROFILES!$G:$G,TARIFF_PROFILES!$A:$A,$X36))</f>
        <v/>
      </c>
      <c r="AC36" s="6" t="str">
        <f>IF($X36="","",SUMIFS(TARIFF_PROFILES!$H:$H,TARIFF_PROFILES!$A:$A,$X36))</f>
        <v/>
      </c>
      <c r="AD36" s="6" t="str">
        <f t="array" ref="AD36">IF($X36="","",INDEX(TARIFF_PROFILES!$J:$J,MATCH($X36,TARIFF_PROFILES!$A:$A,0)))</f>
        <v/>
      </c>
      <c r="AE36" s="6" t="str">
        <f t="array" ref="AE36">IF($X36="","",INDEX(TARIFF_PROFILES!$K:$K,MATCH($X36,TARIFF_PROFILES!$A:$A,0)))</f>
        <v/>
      </c>
      <c r="AF36" s="4"/>
      <c r="AG36" s="4"/>
      <c r="AH36" s="4" t="str">
        <f>IF($AG36="","",SUMIFS(OPERATING_COEFFS!$C:$C,OPERATING_COEFFS!$A:$A,"DistanceClass",OPERATING_COEFFS!$B:$B,$AG36))</f>
        <v/>
      </c>
      <c r="AI36" s="4"/>
      <c r="AJ36" s="4" t="str">
        <f>IF($AI36="","",SUMIFS(OPERATING_COEFFS!$C:$C,OPERATING_COEFFS!$A:$A,"SeasonClass",OPERATING_COEFFS!$B:$B,$AI36))</f>
        <v/>
      </c>
      <c r="AK36" s="4"/>
      <c r="AL36" s="4" t="str">
        <f>IF($AK36="","",SUMIFS(OPERATING_COEFFS!$C:$C,OPERATING_COEFFS!$A:$A,"UrgencyClass",OPERATING_COEFFS!$B:$B,$AK36))</f>
        <v/>
      </c>
      <c r="AM36" s="4"/>
      <c r="AN36" s="4" t="str">
        <f t="array" ref="AN36">IF($AM36="","",INDEX(TAX_MODES!$B:$B,MATCH($AM36,TAX_MODES!$A:$A,0)))</f>
        <v/>
      </c>
      <c r="AO36" s="4"/>
      <c r="AP36" s="4"/>
    </row>
    <row r="37" ht="14.25" customHeight="1">
      <c r="A37" s="6"/>
      <c r="B37" s="6"/>
      <c r="C37" s="6"/>
      <c r="D37" s="29" t="str">
        <f>IF($C37="","",SUMIFS(SITE_COEFFS!$C:$C,SITE_COEFFS!$A:$A,"SoilWorkability",SITE_COEFFS!$B:$B,$C37))</f>
        <v/>
      </c>
      <c r="E37" s="6"/>
      <c r="F37" s="29" t="str">
        <f>IF($E37="","",SUMIFS(SITE_COEFFS!$C:$C,SITE_COEFFS!$A:$A,"SoilMoisture",SITE_COEFFS!$B:$B,$E37))</f>
        <v/>
      </c>
      <c r="G37" s="6"/>
      <c r="H37" s="29" t="str">
        <f>IF($G37="","",SUMIFS(SITE_COEFFS!$C:$C,SITE_COEFFS!$A:$A,"DebrisLevel",SITE_COEFFS!$B:$B,$G37))</f>
        <v/>
      </c>
      <c r="I37" s="6"/>
      <c r="J37" s="29" t="str">
        <f>IF($I37="","",SUMIFS(SITE_COEFFS!$C:$C,SITE_COEFFS!$A:$A,"SlopeClass",SITE_COEFFS!$B:$B,$I37))</f>
        <v/>
      </c>
      <c r="K37" s="6"/>
      <c r="L37" s="29" t="str">
        <f>IF($K37="","",SUMIFS(SITE_COEFFS!$C:$C,SITE_COEFFS!$A:$A,"SurfaceUnevenness",SITE_COEFFS!$B:$B,$K37))</f>
        <v/>
      </c>
      <c r="M37" s="6"/>
      <c r="N37" s="29" t="str">
        <f>IF($M37="","",SUMIFS(SITE_COEFFS!$C:$C,SITE_COEFFS!$A:$A,"AccessClass",SITE_COEFFS!$B:$B,$M37))</f>
        <v/>
      </c>
      <c r="O37" s="6"/>
      <c r="P37" s="29" t="str">
        <f>IF($O37="","",SUMIFS(SITE_COEFFS!$C:$C,SITE_COEFFS!$A:$A,"TurnSpace",SITE_COEFFS!$B:$B,$O37))</f>
        <v/>
      </c>
      <c r="Q37" s="6"/>
      <c r="R37" s="29" t="str">
        <f>IF($Q37="","",SUMIFS(SITE_COEFFS!$C:$C,SITE_COEFFS!$A:$A,"ProximityToBuildings",SITE_COEFFS!$B:$B,$Q37))</f>
        <v/>
      </c>
      <c r="S37" s="6"/>
      <c r="T37" s="29" t="str">
        <f>IF($S37="","",SUMIFS(SITE_COEFFS!$C:$C,SITE_COEFFS!$A:$A,"MachineryAllowed",SITE_COEFFS!$B:$B,$S37))</f>
        <v/>
      </c>
      <c r="U37" s="6"/>
      <c r="V37" s="6"/>
      <c r="W37" s="29" t="str">
        <f>IF($V37="","",SUMIFS(SITE_COEFFS!$C:$C,SITE_COEFFS!$A:$A,"GeometryComplexity",SITE_COEFFS!$B:$B,$V37))</f>
        <v/>
      </c>
      <c r="X37" s="6"/>
      <c r="Y37" s="6" t="str">
        <f>IF($X37="","",SUMIFS(TARIFF_PROFILES!$D:$D,TARIFF_PROFILES!$A:$A,$X37))</f>
        <v/>
      </c>
      <c r="Z37" s="6" t="str">
        <f>IF($X37="","",SUMIFS(TARIFF_PROFILES!$E:$E,TARIFF_PROFILES!$A:$A,$X37))</f>
        <v/>
      </c>
      <c r="AA37" s="6" t="str">
        <f>IF($X37="","",SUMIFS(TARIFF_PROFILES!$F:$F,TARIFF_PROFILES!$A:$A,$X37))</f>
        <v/>
      </c>
      <c r="AB37" s="6" t="str">
        <f>IF($X37="","",SUMIFS(TARIFF_PROFILES!$G:$G,TARIFF_PROFILES!$A:$A,$X37))</f>
        <v/>
      </c>
      <c r="AC37" s="6" t="str">
        <f>IF($X37="","",SUMIFS(TARIFF_PROFILES!$H:$H,TARIFF_PROFILES!$A:$A,$X37))</f>
        <v/>
      </c>
      <c r="AD37" s="6" t="str">
        <f t="array" ref="AD37">IF($X37="","",INDEX(TARIFF_PROFILES!$J:$J,MATCH($X37,TARIFF_PROFILES!$A:$A,0)))</f>
        <v/>
      </c>
      <c r="AE37" s="6" t="str">
        <f t="array" ref="AE37">IF($X37="","",INDEX(TARIFF_PROFILES!$K:$K,MATCH($X37,TARIFF_PROFILES!$A:$A,0)))</f>
        <v/>
      </c>
      <c r="AF37" s="4"/>
      <c r="AG37" s="4"/>
      <c r="AH37" s="4" t="str">
        <f>IF($AG37="","",SUMIFS(OPERATING_COEFFS!$C:$C,OPERATING_COEFFS!$A:$A,"DistanceClass",OPERATING_COEFFS!$B:$B,$AG37))</f>
        <v/>
      </c>
      <c r="AI37" s="4"/>
      <c r="AJ37" s="4" t="str">
        <f>IF($AI37="","",SUMIFS(OPERATING_COEFFS!$C:$C,OPERATING_COEFFS!$A:$A,"SeasonClass",OPERATING_COEFFS!$B:$B,$AI37))</f>
        <v/>
      </c>
      <c r="AK37" s="4"/>
      <c r="AL37" s="4" t="str">
        <f>IF($AK37="","",SUMIFS(OPERATING_COEFFS!$C:$C,OPERATING_COEFFS!$A:$A,"UrgencyClass",OPERATING_COEFFS!$B:$B,$AK37))</f>
        <v/>
      </c>
      <c r="AM37" s="4"/>
      <c r="AN37" s="4" t="str">
        <f t="array" ref="AN37">IF($AM37="","",INDEX(TAX_MODES!$B:$B,MATCH($AM37,TAX_MODES!$A:$A,0)))</f>
        <v/>
      </c>
      <c r="AO37" s="4"/>
      <c r="AP37" s="4"/>
    </row>
    <row r="38" ht="14.25" customHeight="1">
      <c r="A38" s="6"/>
      <c r="B38" s="6"/>
      <c r="C38" s="6"/>
      <c r="D38" s="29" t="str">
        <f>IF($C38="","",SUMIFS(SITE_COEFFS!$C:$C,SITE_COEFFS!$A:$A,"SoilWorkability",SITE_COEFFS!$B:$B,$C38))</f>
        <v/>
      </c>
      <c r="E38" s="6"/>
      <c r="F38" s="29" t="str">
        <f>IF($E38="","",SUMIFS(SITE_COEFFS!$C:$C,SITE_COEFFS!$A:$A,"SoilMoisture",SITE_COEFFS!$B:$B,$E38))</f>
        <v/>
      </c>
      <c r="G38" s="6"/>
      <c r="H38" s="29" t="str">
        <f>IF($G38="","",SUMIFS(SITE_COEFFS!$C:$C,SITE_COEFFS!$A:$A,"DebrisLevel",SITE_COEFFS!$B:$B,$G38))</f>
        <v/>
      </c>
      <c r="I38" s="6"/>
      <c r="J38" s="29" t="str">
        <f>IF($I38="","",SUMIFS(SITE_COEFFS!$C:$C,SITE_COEFFS!$A:$A,"SlopeClass",SITE_COEFFS!$B:$B,$I38))</f>
        <v/>
      </c>
      <c r="K38" s="6"/>
      <c r="L38" s="29" t="str">
        <f>IF($K38="","",SUMIFS(SITE_COEFFS!$C:$C,SITE_COEFFS!$A:$A,"SurfaceUnevenness",SITE_COEFFS!$B:$B,$K38))</f>
        <v/>
      </c>
      <c r="M38" s="6"/>
      <c r="N38" s="29" t="str">
        <f>IF($M38="","",SUMIFS(SITE_COEFFS!$C:$C,SITE_COEFFS!$A:$A,"AccessClass",SITE_COEFFS!$B:$B,$M38))</f>
        <v/>
      </c>
      <c r="O38" s="6"/>
      <c r="P38" s="29" t="str">
        <f>IF($O38="","",SUMIFS(SITE_COEFFS!$C:$C,SITE_COEFFS!$A:$A,"TurnSpace",SITE_COEFFS!$B:$B,$O38))</f>
        <v/>
      </c>
      <c r="Q38" s="6"/>
      <c r="R38" s="29" t="str">
        <f>IF($Q38="","",SUMIFS(SITE_COEFFS!$C:$C,SITE_COEFFS!$A:$A,"ProximityToBuildings",SITE_COEFFS!$B:$B,$Q38))</f>
        <v/>
      </c>
      <c r="S38" s="6"/>
      <c r="T38" s="29" t="str">
        <f>IF($S38="","",SUMIFS(SITE_COEFFS!$C:$C,SITE_COEFFS!$A:$A,"MachineryAllowed",SITE_COEFFS!$B:$B,$S38))</f>
        <v/>
      </c>
      <c r="U38" s="6"/>
      <c r="V38" s="6"/>
      <c r="W38" s="29" t="str">
        <f>IF($V38="","",SUMIFS(SITE_COEFFS!$C:$C,SITE_COEFFS!$A:$A,"GeometryComplexity",SITE_COEFFS!$B:$B,$V38))</f>
        <v/>
      </c>
      <c r="X38" s="6"/>
      <c r="Y38" s="6" t="str">
        <f>IF($X38="","",SUMIFS(TARIFF_PROFILES!$D:$D,TARIFF_PROFILES!$A:$A,$X38))</f>
        <v/>
      </c>
      <c r="Z38" s="6" t="str">
        <f>IF($X38="","",SUMIFS(TARIFF_PROFILES!$E:$E,TARIFF_PROFILES!$A:$A,$X38))</f>
        <v/>
      </c>
      <c r="AA38" s="6" t="str">
        <f>IF($X38="","",SUMIFS(TARIFF_PROFILES!$F:$F,TARIFF_PROFILES!$A:$A,$X38))</f>
        <v/>
      </c>
      <c r="AB38" s="6" t="str">
        <f>IF($X38="","",SUMIFS(TARIFF_PROFILES!$G:$G,TARIFF_PROFILES!$A:$A,$X38))</f>
        <v/>
      </c>
      <c r="AC38" s="6" t="str">
        <f>IF($X38="","",SUMIFS(TARIFF_PROFILES!$H:$H,TARIFF_PROFILES!$A:$A,$X38))</f>
        <v/>
      </c>
      <c r="AD38" s="6" t="str">
        <f t="array" ref="AD38">IF($X38="","",INDEX(TARIFF_PROFILES!$J:$J,MATCH($X38,TARIFF_PROFILES!$A:$A,0)))</f>
        <v/>
      </c>
      <c r="AE38" s="6" t="str">
        <f t="array" ref="AE38">IF($X38="","",INDEX(TARIFF_PROFILES!$K:$K,MATCH($X38,TARIFF_PROFILES!$A:$A,0)))</f>
        <v/>
      </c>
      <c r="AF38" s="4"/>
      <c r="AG38" s="4"/>
      <c r="AH38" s="4" t="str">
        <f>IF($AG38="","",SUMIFS(OPERATING_COEFFS!$C:$C,OPERATING_COEFFS!$A:$A,"DistanceClass",OPERATING_COEFFS!$B:$B,$AG38))</f>
        <v/>
      </c>
      <c r="AI38" s="4"/>
      <c r="AJ38" s="4" t="str">
        <f>IF($AI38="","",SUMIFS(OPERATING_COEFFS!$C:$C,OPERATING_COEFFS!$A:$A,"SeasonClass",OPERATING_COEFFS!$B:$B,$AI38))</f>
        <v/>
      </c>
      <c r="AK38" s="4"/>
      <c r="AL38" s="4" t="str">
        <f>IF($AK38="","",SUMIFS(OPERATING_COEFFS!$C:$C,OPERATING_COEFFS!$A:$A,"UrgencyClass",OPERATING_COEFFS!$B:$B,$AK38))</f>
        <v/>
      </c>
      <c r="AM38" s="4"/>
      <c r="AN38" s="4" t="str">
        <f t="array" ref="AN38">IF($AM38="","",INDEX(TAX_MODES!$B:$B,MATCH($AM38,TAX_MODES!$A:$A,0)))</f>
        <v/>
      </c>
      <c r="AO38" s="4"/>
      <c r="AP38" s="4"/>
    </row>
    <row r="39" ht="14.25" customHeight="1">
      <c r="A39" s="6"/>
      <c r="B39" s="6"/>
      <c r="C39" s="6"/>
      <c r="D39" s="29" t="str">
        <f>IF($C39="","",SUMIFS(SITE_COEFFS!$C:$C,SITE_COEFFS!$A:$A,"SoilWorkability",SITE_COEFFS!$B:$B,$C39))</f>
        <v/>
      </c>
      <c r="E39" s="6"/>
      <c r="F39" s="29" t="str">
        <f>IF($E39="","",SUMIFS(SITE_COEFFS!$C:$C,SITE_COEFFS!$A:$A,"SoilMoisture",SITE_COEFFS!$B:$B,$E39))</f>
        <v/>
      </c>
      <c r="G39" s="6"/>
      <c r="H39" s="29" t="str">
        <f>IF($G39="","",SUMIFS(SITE_COEFFS!$C:$C,SITE_COEFFS!$A:$A,"DebrisLevel",SITE_COEFFS!$B:$B,$G39))</f>
        <v/>
      </c>
      <c r="I39" s="6"/>
      <c r="J39" s="29" t="str">
        <f>IF($I39="","",SUMIFS(SITE_COEFFS!$C:$C,SITE_COEFFS!$A:$A,"SlopeClass",SITE_COEFFS!$B:$B,$I39))</f>
        <v/>
      </c>
      <c r="K39" s="6"/>
      <c r="L39" s="29" t="str">
        <f>IF($K39="","",SUMIFS(SITE_COEFFS!$C:$C,SITE_COEFFS!$A:$A,"SurfaceUnevenness",SITE_COEFFS!$B:$B,$K39))</f>
        <v/>
      </c>
      <c r="M39" s="6"/>
      <c r="N39" s="29" t="str">
        <f>IF($M39="","",SUMIFS(SITE_COEFFS!$C:$C,SITE_COEFFS!$A:$A,"AccessClass",SITE_COEFFS!$B:$B,$M39))</f>
        <v/>
      </c>
      <c r="O39" s="6"/>
      <c r="P39" s="29" t="str">
        <f>IF($O39="","",SUMIFS(SITE_COEFFS!$C:$C,SITE_COEFFS!$A:$A,"TurnSpace",SITE_COEFFS!$B:$B,$O39))</f>
        <v/>
      </c>
      <c r="Q39" s="6"/>
      <c r="R39" s="29" t="str">
        <f>IF($Q39="","",SUMIFS(SITE_COEFFS!$C:$C,SITE_COEFFS!$A:$A,"ProximityToBuildings",SITE_COEFFS!$B:$B,$Q39))</f>
        <v/>
      </c>
      <c r="S39" s="6"/>
      <c r="T39" s="29" t="str">
        <f>IF($S39="","",SUMIFS(SITE_COEFFS!$C:$C,SITE_COEFFS!$A:$A,"MachineryAllowed",SITE_COEFFS!$B:$B,$S39))</f>
        <v/>
      </c>
      <c r="U39" s="6"/>
      <c r="V39" s="6"/>
      <c r="W39" s="29" t="str">
        <f>IF($V39="","",SUMIFS(SITE_COEFFS!$C:$C,SITE_COEFFS!$A:$A,"GeometryComplexity",SITE_COEFFS!$B:$B,$V39))</f>
        <v/>
      </c>
      <c r="X39" s="6"/>
      <c r="Y39" s="6" t="str">
        <f>IF($X39="","",SUMIFS(TARIFF_PROFILES!$D:$D,TARIFF_PROFILES!$A:$A,$X39))</f>
        <v/>
      </c>
      <c r="Z39" s="6" t="str">
        <f>IF($X39="","",SUMIFS(TARIFF_PROFILES!$E:$E,TARIFF_PROFILES!$A:$A,$X39))</f>
        <v/>
      </c>
      <c r="AA39" s="6" t="str">
        <f>IF($X39="","",SUMIFS(TARIFF_PROFILES!$F:$F,TARIFF_PROFILES!$A:$A,$X39))</f>
        <v/>
      </c>
      <c r="AB39" s="6" t="str">
        <f>IF($X39="","",SUMIFS(TARIFF_PROFILES!$G:$G,TARIFF_PROFILES!$A:$A,$X39))</f>
        <v/>
      </c>
      <c r="AC39" s="6" t="str">
        <f>IF($X39="","",SUMIFS(TARIFF_PROFILES!$H:$H,TARIFF_PROFILES!$A:$A,$X39))</f>
        <v/>
      </c>
      <c r="AD39" s="6" t="str">
        <f t="array" ref="AD39">IF($X39="","",INDEX(TARIFF_PROFILES!$J:$J,MATCH($X39,TARIFF_PROFILES!$A:$A,0)))</f>
        <v/>
      </c>
      <c r="AE39" s="6" t="str">
        <f t="array" ref="AE39">IF($X39="","",INDEX(TARIFF_PROFILES!$K:$K,MATCH($X39,TARIFF_PROFILES!$A:$A,0)))</f>
        <v/>
      </c>
      <c r="AF39" s="4"/>
      <c r="AG39" s="4"/>
      <c r="AH39" s="4" t="str">
        <f>IF($AG39="","",SUMIFS(OPERATING_COEFFS!$C:$C,OPERATING_COEFFS!$A:$A,"DistanceClass",OPERATING_COEFFS!$B:$B,$AG39))</f>
        <v/>
      </c>
      <c r="AI39" s="4"/>
      <c r="AJ39" s="4" t="str">
        <f>IF($AI39="","",SUMIFS(OPERATING_COEFFS!$C:$C,OPERATING_COEFFS!$A:$A,"SeasonClass",OPERATING_COEFFS!$B:$B,$AI39))</f>
        <v/>
      </c>
      <c r="AK39" s="4"/>
      <c r="AL39" s="4" t="str">
        <f>IF($AK39="","",SUMIFS(OPERATING_COEFFS!$C:$C,OPERATING_COEFFS!$A:$A,"UrgencyClass",OPERATING_COEFFS!$B:$B,$AK39))</f>
        <v/>
      </c>
      <c r="AM39" s="4"/>
      <c r="AN39" s="4" t="str">
        <f t="array" ref="AN39">IF($AM39="","",INDEX(TAX_MODES!$B:$B,MATCH($AM39,TAX_MODES!$A:$A,0)))</f>
        <v/>
      </c>
      <c r="AO39" s="4"/>
      <c r="AP39" s="4"/>
    </row>
    <row r="40" ht="14.25" customHeight="1">
      <c r="A40" s="6"/>
      <c r="B40" s="6"/>
      <c r="C40" s="6"/>
      <c r="D40" s="29" t="str">
        <f>IF($C40="","",SUMIFS(SITE_COEFFS!$C:$C,SITE_COEFFS!$A:$A,"SoilWorkability",SITE_COEFFS!$B:$B,$C40))</f>
        <v/>
      </c>
      <c r="E40" s="6"/>
      <c r="F40" s="29" t="str">
        <f>IF($E40="","",SUMIFS(SITE_COEFFS!$C:$C,SITE_COEFFS!$A:$A,"SoilMoisture",SITE_COEFFS!$B:$B,$E40))</f>
        <v/>
      </c>
      <c r="G40" s="6"/>
      <c r="H40" s="29" t="str">
        <f>IF($G40="","",SUMIFS(SITE_COEFFS!$C:$C,SITE_COEFFS!$A:$A,"DebrisLevel",SITE_COEFFS!$B:$B,$G40))</f>
        <v/>
      </c>
      <c r="I40" s="6"/>
      <c r="J40" s="29" t="str">
        <f>IF($I40="","",SUMIFS(SITE_COEFFS!$C:$C,SITE_COEFFS!$A:$A,"SlopeClass",SITE_COEFFS!$B:$B,$I40))</f>
        <v/>
      </c>
      <c r="K40" s="6"/>
      <c r="L40" s="29" t="str">
        <f>IF($K40="","",SUMIFS(SITE_COEFFS!$C:$C,SITE_COEFFS!$A:$A,"SurfaceUnevenness",SITE_COEFFS!$B:$B,$K40))</f>
        <v/>
      </c>
      <c r="M40" s="6"/>
      <c r="N40" s="29" t="str">
        <f>IF($M40="","",SUMIFS(SITE_COEFFS!$C:$C,SITE_COEFFS!$A:$A,"AccessClass",SITE_COEFFS!$B:$B,$M40))</f>
        <v/>
      </c>
      <c r="O40" s="6"/>
      <c r="P40" s="29" t="str">
        <f>IF($O40="","",SUMIFS(SITE_COEFFS!$C:$C,SITE_COEFFS!$A:$A,"TurnSpace",SITE_COEFFS!$B:$B,$O40))</f>
        <v/>
      </c>
      <c r="Q40" s="6"/>
      <c r="R40" s="29" t="str">
        <f>IF($Q40="","",SUMIFS(SITE_COEFFS!$C:$C,SITE_COEFFS!$A:$A,"ProximityToBuildings",SITE_COEFFS!$B:$B,$Q40))</f>
        <v/>
      </c>
      <c r="S40" s="6"/>
      <c r="T40" s="29" t="str">
        <f>IF($S40="","",SUMIFS(SITE_COEFFS!$C:$C,SITE_COEFFS!$A:$A,"MachineryAllowed",SITE_COEFFS!$B:$B,$S40))</f>
        <v/>
      </c>
      <c r="U40" s="6"/>
      <c r="V40" s="6"/>
      <c r="W40" s="29" t="str">
        <f>IF($V40="","",SUMIFS(SITE_COEFFS!$C:$C,SITE_COEFFS!$A:$A,"GeometryComplexity",SITE_COEFFS!$B:$B,$V40))</f>
        <v/>
      </c>
      <c r="X40" s="6"/>
      <c r="Y40" s="6" t="str">
        <f>IF($X40="","",SUMIFS(TARIFF_PROFILES!$D:$D,TARIFF_PROFILES!$A:$A,$X40))</f>
        <v/>
      </c>
      <c r="Z40" s="6" t="str">
        <f>IF($X40="","",SUMIFS(TARIFF_PROFILES!$E:$E,TARIFF_PROFILES!$A:$A,$X40))</f>
        <v/>
      </c>
      <c r="AA40" s="6" t="str">
        <f>IF($X40="","",SUMIFS(TARIFF_PROFILES!$F:$F,TARIFF_PROFILES!$A:$A,$X40))</f>
        <v/>
      </c>
      <c r="AB40" s="6" t="str">
        <f>IF($X40="","",SUMIFS(TARIFF_PROFILES!$G:$G,TARIFF_PROFILES!$A:$A,$X40))</f>
        <v/>
      </c>
      <c r="AC40" s="6" t="str">
        <f>IF($X40="","",SUMIFS(TARIFF_PROFILES!$H:$H,TARIFF_PROFILES!$A:$A,$X40))</f>
        <v/>
      </c>
      <c r="AD40" s="6" t="str">
        <f t="array" ref="AD40">IF($X40="","",INDEX(TARIFF_PROFILES!$J:$J,MATCH($X40,TARIFF_PROFILES!$A:$A,0)))</f>
        <v/>
      </c>
      <c r="AE40" s="6" t="str">
        <f t="array" ref="AE40">IF($X40="","",INDEX(TARIFF_PROFILES!$K:$K,MATCH($X40,TARIFF_PROFILES!$A:$A,0)))</f>
        <v/>
      </c>
      <c r="AF40" s="4"/>
      <c r="AG40" s="4"/>
      <c r="AH40" s="4" t="str">
        <f>IF($AG40="","",SUMIFS(OPERATING_COEFFS!$C:$C,OPERATING_COEFFS!$A:$A,"DistanceClass",OPERATING_COEFFS!$B:$B,$AG40))</f>
        <v/>
      </c>
      <c r="AI40" s="4"/>
      <c r="AJ40" s="4" t="str">
        <f>IF($AI40="","",SUMIFS(OPERATING_COEFFS!$C:$C,OPERATING_COEFFS!$A:$A,"SeasonClass",OPERATING_COEFFS!$B:$B,$AI40))</f>
        <v/>
      </c>
      <c r="AK40" s="4"/>
      <c r="AL40" s="4" t="str">
        <f>IF($AK40="","",SUMIFS(OPERATING_COEFFS!$C:$C,OPERATING_COEFFS!$A:$A,"UrgencyClass",OPERATING_COEFFS!$B:$B,$AK40))</f>
        <v/>
      </c>
      <c r="AM40" s="4"/>
      <c r="AN40" s="4" t="str">
        <f t="array" ref="AN40">IF($AM40="","",INDEX(TAX_MODES!$B:$B,MATCH($AM40,TAX_MODES!$A:$A,0)))</f>
        <v/>
      </c>
      <c r="AO40" s="4"/>
      <c r="AP40" s="4"/>
    </row>
    <row r="41" ht="14.25" customHeight="1">
      <c r="A41" s="6"/>
      <c r="B41" s="6"/>
      <c r="C41" s="6"/>
      <c r="D41" s="29" t="str">
        <f>IF($C41="","",SUMIFS(SITE_COEFFS!$C:$C,SITE_COEFFS!$A:$A,"SoilWorkability",SITE_COEFFS!$B:$B,$C41))</f>
        <v/>
      </c>
      <c r="E41" s="6"/>
      <c r="F41" s="29" t="str">
        <f>IF($E41="","",SUMIFS(SITE_COEFFS!$C:$C,SITE_COEFFS!$A:$A,"SoilMoisture",SITE_COEFFS!$B:$B,$E41))</f>
        <v/>
      </c>
      <c r="G41" s="6"/>
      <c r="H41" s="29" t="str">
        <f>IF($G41="","",SUMIFS(SITE_COEFFS!$C:$C,SITE_COEFFS!$A:$A,"DebrisLevel",SITE_COEFFS!$B:$B,$G41))</f>
        <v/>
      </c>
      <c r="I41" s="6"/>
      <c r="J41" s="29" t="str">
        <f>IF($I41="","",SUMIFS(SITE_COEFFS!$C:$C,SITE_COEFFS!$A:$A,"SlopeClass",SITE_COEFFS!$B:$B,$I41))</f>
        <v/>
      </c>
      <c r="K41" s="6"/>
      <c r="L41" s="29" t="str">
        <f>IF($K41="","",SUMIFS(SITE_COEFFS!$C:$C,SITE_COEFFS!$A:$A,"SurfaceUnevenness",SITE_COEFFS!$B:$B,$K41))</f>
        <v/>
      </c>
      <c r="M41" s="6"/>
      <c r="N41" s="29" t="str">
        <f>IF($M41="","",SUMIFS(SITE_COEFFS!$C:$C,SITE_COEFFS!$A:$A,"AccessClass",SITE_COEFFS!$B:$B,$M41))</f>
        <v/>
      </c>
      <c r="O41" s="6"/>
      <c r="P41" s="29" t="str">
        <f>IF($O41="","",SUMIFS(SITE_COEFFS!$C:$C,SITE_COEFFS!$A:$A,"TurnSpace",SITE_COEFFS!$B:$B,$O41))</f>
        <v/>
      </c>
      <c r="Q41" s="6"/>
      <c r="R41" s="29" t="str">
        <f>IF($Q41="","",SUMIFS(SITE_COEFFS!$C:$C,SITE_COEFFS!$A:$A,"ProximityToBuildings",SITE_COEFFS!$B:$B,$Q41))</f>
        <v/>
      </c>
      <c r="S41" s="6"/>
      <c r="T41" s="29" t="str">
        <f>IF($S41="","",SUMIFS(SITE_COEFFS!$C:$C,SITE_COEFFS!$A:$A,"MachineryAllowed",SITE_COEFFS!$B:$B,$S41))</f>
        <v/>
      </c>
      <c r="U41" s="6"/>
      <c r="V41" s="6"/>
      <c r="W41" s="29" t="str">
        <f>IF($V41="","",SUMIFS(SITE_COEFFS!$C:$C,SITE_COEFFS!$A:$A,"GeometryComplexity",SITE_COEFFS!$B:$B,$V41))</f>
        <v/>
      </c>
      <c r="X41" s="6"/>
      <c r="Y41" s="6" t="str">
        <f>IF($X41="","",SUMIFS(TARIFF_PROFILES!$D:$D,TARIFF_PROFILES!$A:$A,$X41))</f>
        <v/>
      </c>
      <c r="Z41" s="6" t="str">
        <f>IF($X41="","",SUMIFS(TARIFF_PROFILES!$E:$E,TARIFF_PROFILES!$A:$A,$X41))</f>
        <v/>
      </c>
      <c r="AA41" s="6" t="str">
        <f>IF($X41="","",SUMIFS(TARIFF_PROFILES!$F:$F,TARIFF_PROFILES!$A:$A,$X41))</f>
        <v/>
      </c>
      <c r="AB41" s="6" t="str">
        <f>IF($X41="","",SUMIFS(TARIFF_PROFILES!$G:$G,TARIFF_PROFILES!$A:$A,$X41))</f>
        <v/>
      </c>
      <c r="AC41" s="6" t="str">
        <f>IF($X41="","",SUMIFS(TARIFF_PROFILES!$H:$H,TARIFF_PROFILES!$A:$A,$X41))</f>
        <v/>
      </c>
      <c r="AD41" s="6" t="str">
        <f t="array" ref="AD41">IF($X41="","",INDEX(TARIFF_PROFILES!$J:$J,MATCH($X41,TARIFF_PROFILES!$A:$A,0)))</f>
        <v/>
      </c>
      <c r="AE41" s="6" t="str">
        <f t="array" ref="AE41">IF($X41="","",INDEX(TARIFF_PROFILES!$K:$K,MATCH($X41,TARIFF_PROFILES!$A:$A,0)))</f>
        <v/>
      </c>
      <c r="AF41" s="4"/>
      <c r="AG41" s="4"/>
      <c r="AH41" s="4" t="str">
        <f>IF($AG41="","",SUMIFS(OPERATING_COEFFS!$C:$C,OPERATING_COEFFS!$A:$A,"DistanceClass",OPERATING_COEFFS!$B:$B,$AG41))</f>
        <v/>
      </c>
      <c r="AI41" s="4"/>
      <c r="AJ41" s="4" t="str">
        <f>IF($AI41="","",SUMIFS(OPERATING_COEFFS!$C:$C,OPERATING_COEFFS!$A:$A,"SeasonClass",OPERATING_COEFFS!$B:$B,$AI41))</f>
        <v/>
      </c>
      <c r="AK41" s="4"/>
      <c r="AL41" s="4" t="str">
        <f>IF($AK41="","",SUMIFS(OPERATING_COEFFS!$C:$C,OPERATING_COEFFS!$A:$A,"UrgencyClass",OPERATING_COEFFS!$B:$B,$AK41))</f>
        <v/>
      </c>
      <c r="AM41" s="4"/>
      <c r="AN41" s="4" t="str">
        <f t="array" ref="AN41">IF($AM41="","",INDEX(TAX_MODES!$B:$B,MATCH($AM41,TAX_MODES!$A:$A,0)))</f>
        <v/>
      </c>
      <c r="AO41" s="4"/>
      <c r="AP41" s="4"/>
    </row>
    <row r="42" ht="14.25" customHeight="1">
      <c r="A42" s="6"/>
      <c r="B42" s="6"/>
      <c r="C42" s="6"/>
      <c r="D42" s="29" t="str">
        <f>IF($C42="","",SUMIFS(SITE_COEFFS!$C:$C,SITE_COEFFS!$A:$A,"SoilWorkability",SITE_COEFFS!$B:$B,$C42))</f>
        <v/>
      </c>
      <c r="E42" s="6"/>
      <c r="F42" s="29" t="str">
        <f>IF($E42="","",SUMIFS(SITE_COEFFS!$C:$C,SITE_COEFFS!$A:$A,"SoilMoisture",SITE_COEFFS!$B:$B,$E42))</f>
        <v/>
      </c>
      <c r="G42" s="6"/>
      <c r="H42" s="29" t="str">
        <f>IF($G42="","",SUMIFS(SITE_COEFFS!$C:$C,SITE_COEFFS!$A:$A,"DebrisLevel",SITE_COEFFS!$B:$B,$G42))</f>
        <v/>
      </c>
      <c r="I42" s="6"/>
      <c r="J42" s="29" t="str">
        <f>IF($I42="","",SUMIFS(SITE_COEFFS!$C:$C,SITE_COEFFS!$A:$A,"SlopeClass",SITE_COEFFS!$B:$B,$I42))</f>
        <v/>
      </c>
      <c r="K42" s="6"/>
      <c r="L42" s="29" t="str">
        <f>IF($K42="","",SUMIFS(SITE_COEFFS!$C:$C,SITE_COEFFS!$A:$A,"SurfaceUnevenness",SITE_COEFFS!$B:$B,$K42))</f>
        <v/>
      </c>
      <c r="M42" s="6"/>
      <c r="N42" s="29" t="str">
        <f>IF($M42="","",SUMIFS(SITE_COEFFS!$C:$C,SITE_COEFFS!$A:$A,"AccessClass",SITE_COEFFS!$B:$B,$M42))</f>
        <v/>
      </c>
      <c r="O42" s="6"/>
      <c r="P42" s="29" t="str">
        <f>IF($O42="","",SUMIFS(SITE_COEFFS!$C:$C,SITE_COEFFS!$A:$A,"TurnSpace",SITE_COEFFS!$B:$B,$O42))</f>
        <v/>
      </c>
      <c r="Q42" s="6"/>
      <c r="R42" s="29" t="str">
        <f>IF($Q42="","",SUMIFS(SITE_COEFFS!$C:$C,SITE_COEFFS!$A:$A,"ProximityToBuildings",SITE_COEFFS!$B:$B,$Q42))</f>
        <v/>
      </c>
      <c r="S42" s="6"/>
      <c r="T42" s="29" t="str">
        <f>IF($S42="","",SUMIFS(SITE_COEFFS!$C:$C,SITE_COEFFS!$A:$A,"MachineryAllowed",SITE_COEFFS!$B:$B,$S42))</f>
        <v/>
      </c>
      <c r="U42" s="6"/>
      <c r="V42" s="6"/>
      <c r="W42" s="29" t="str">
        <f>IF($V42="","",SUMIFS(SITE_COEFFS!$C:$C,SITE_COEFFS!$A:$A,"GeometryComplexity",SITE_COEFFS!$B:$B,$V42))</f>
        <v/>
      </c>
      <c r="X42" s="6"/>
      <c r="Y42" s="6" t="str">
        <f>IF($X42="","",SUMIFS(TARIFF_PROFILES!$D:$D,TARIFF_PROFILES!$A:$A,$X42))</f>
        <v/>
      </c>
      <c r="Z42" s="6" t="str">
        <f>IF($X42="","",SUMIFS(TARIFF_PROFILES!$E:$E,TARIFF_PROFILES!$A:$A,$X42))</f>
        <v/>
      </c>
      <c r="AA42" s="6" t="str">
        <f>IF($X42="","",SUMIFS(TARIFF_PROFILES!$F:$F,TARIFF_PROFILES!$A:$A,$X42))</f>
        <v/>
      </c>
      <c r="AB42" s="6" t="str">
        <f>IF($X42="","",SUMIFS(TARIFF_PROFILES!$G:$G,TARIFF_PROFILES!$A:$A,$X42))</f>
        <v/>
      </c>
      <c r="AC42" s="6" t="str">
        <f>IF($X42="","",SUMIFS(TARIFF_PROFILES!$H:$H,TARIFF_PROFILES!$A:$A,$X42))</f>
        <v/>
      </c>
      <c r="AD42" s="6" t="str">
        <f t="array" ref="AD42">IF($X42="","",INDEX(TARIFF_PROFILES!$J:$J,MATCH($X42,TARIFF_PROFILES!$A:$A,0)))</f>
        <v/>
      </c>
      <c r="AE42" s="6" t="str">
        <f t="array" ref="AE42">IF($X42="","",INDEX(TARIFF_PROFILES!$K:$K,MATCH($X42,TARIFF_PROFILES!$A:$A,0)))</f>
        <v/>
      </c>
      <c r="AF42" s="4"/>
      <c r="AG42" s="4"/>
      <c r="AH42" s="4" t="str">
        <f>IF($AG42="","",SUMIFS(OPERATING_COEFFS!$C:$C,OPERATING_COEFFS!$A:$A,"DistanceClass",OPERATING_COEFFS!$B:$B,$AG42))</f>
        <v/>
      </c>
      <c r="AI42" s="4"/>
      <c r="AJ42" s="4" t="str">
        <f>IF($AI42="","",SUMIFS(OPERATING_COEFFS!$C:$C,OPERATING_COEFFS!$A:$A,"SeasonClass",OPERATING_COEFFS!$B:$B,$AI42))</f>
        <v/>
      </c>
      <c r="AK42" s="4"/>
      <c r="AL42" s="4" t="str">
        <f>IF($AK42="","",SUMIFS(OPERATING_COEFFS!$C:$C,OPERATING_COEFFS!$A:$A,"UrgencyClass",OPERATING_COEFFS!$B:$B,$AK42))</f>
        <v/>
      </c>
      <c r="AM42" s="4"/>
      <c r="AN42" s="4" t="str">
        <f t="array" ref="AN42">IF($AM42="","",INDEX(TAX_MODES!$B:$B,MATCH($AM42,TAX_MODES!$A:$A,0)))</f>
        <v/>
      </c>
      <c r="AO42" s="4"/>
      <c r="AP42" s="4"/>
    </row>
    <row r="43" ht="14.25" customHeight="1">
      <c r="A43" s="6"/>
      <c r="B43" s="6"/>
      <c r="C43" s="6"/>
      <c r="D43" s="29" t="str">
        <f>IF($C43="","",SUMIFS(SITE_COEFFS!$C:$C,SITE_COEFFS!$A:$A,"SoilWorkability",SITE_COEFFS!$B:$B,$C43))</f>
        <v/>
      </c>
      <c r="E43" s="6"/>
      <c r="F43" s="29" t="str">
        <f>IF($E43="","",SUMIFS(SITE_COEFFS!$C:$C,SITE_COEFFS!$A:$A,"SoilMoisture",SITE_COEFFS!$B:$B,$E43))</f>
        <v/>
      </c>
      <c r="G43" s="6"/>
      <c r="H43" s="29" t="str">
        <f>IF($G43="","",SUMIFS(SITE_COEFFS!$C:$C,SITE_COEFFS!$A:$A,"DebrisLevel",SITE_COEFFS!$B:$B,$G43))</f>
        <v/>
      </c>
      <c r="I43" s="6"/>
      <c r="J43" s="29" t="str">
        <f>IF($I43="","",SUMIFS(SITE_COEFFS!$C:$C,SITE_COEFFS!$A:$A,"SlopeClass",SITE_COEFFS!$B:$B,$I43))</f>
        <v/>
      </c>
      <c r="K43" s="6"/>
      <c r="L43" s="29" t="str">
        <f>IF($K43="","",SUMIFS(SITE_COEFFS!$C:$C,SITE_COEFFS!$A:$A,"SurfaceUnevenness",SITE_COEFFS!$B:$B,$K43))</f>
        <v/>
      </c>
      <c r="M43" s="6"/>
      <c r="N43" s="29" t="str">
        <f>IF($M43="","",SUMIFS(SITE_COEFFS!$C:$C,SITE_COEFFS!$A:$A,"AccessClass",SITE_COEFFS!$B:$B,$M43))</f>
        <v/>
      </c>
      <c r="O43" s="6"/>
      <c r="P43" s="29" t="str">
        <f>IF($O43="","",SUMIFS(SITE_COEFFS!$C:$C,SITE_COEFFS!$A:$A,"TurnSpace",SITE_COEFFS!$B:$B,$O43))</f>
        <v/>
      </c>
      <c r="Q43" s="6"/>
      <c r="R43" s="29" t="str">
        <f>IF($Q43="","",SUMIFS(SITE_COEFFS!$C:$C,SITE_COEFFS!$A:$A,"ProximityToBuildings",SITE_COEFFS!$B:$B,$Q43))</f>
        <v/>
      </c>
      <c r="S43" s="6"/>
      <c r="T43" s="29" t="str">
        <f>IF($S43="","",SUMIFS(SITE_COEFFS!$C:$C,SITE_COEFFS!$A:$A,"MachineryAllowed",SITE_COEFFS!$B:$B,$S43))</f>
        <v/>
      </c>
      <c r="U43" s="6"/>
      <c r="V43" s="6"/>
      <c r="W43" s="29" t="str">
        <f>IF($V43="","",SUMIFS(SITE_COEFFS!$C:$C,SITE_COEFFS!$A:$A,"GeometryComplexity",SITE_COEFFS!$B:$B,$V43))</f>
        <v/>
      </c>
      <c r="X43" s="6"/>
      <c r="Y43" s="6" t="str">
        <f>IF($X43="","",SUMIFS(TARIFF_PROFILES!$D:$D,TARIFF_PROFILES!$A:$A,$X43))</f>
        <v/>
      </c>
      <c r="Z43" s="6" t="str">
        <f>IF($X43="","",SUMIFS(TARIFF_PROFILES!$E:$E,TARIFF_PROFILES!$A:$A,$X43))</f>
        <v/>
      </c>
      <c r="AA43" s="6" t="str">
        <f>IF($X43="","",SUMIFS(TARIFF_PROFILES!$F:$F,TARIFF_PROFILES!$A:$A,$X43))</f>
        <v/>
      </c>
      <c r="AB43" s="6" t="str">
        <f>IF($X43="","",SUMIFS(TARIFF_PROFILES!$G:$G,TARIFF_PROFILES!$A:$A,$X43))</f>
        <v/>
      </c>
      <c r="AC43" s="6" t="str">
        <f>IF($X43="","",SUMIFS(TARIFF_PROFILES!$H:$H,TARIFF_PROFILES!$A:$A,$X43))</f>
        <v/>
      </c>
      <c r="AD43" s="6" t="str">
        <f t="array" ref="AD43">IF($X43="","",INDEX(TARIFF_PROFILES!$J:$J,MATCH($X43,TARIFF_PROFILES!$A:$A,0)))</f>
        <v/>
      </c>
      <c r="AE43" s="6" t="str">
        <f t="array" ref="AE43">IF($X43="","",INDEX(TARIFF_PROFILES!$K:$K,MATCH($X43,TARIFF_PROFILES!$A:$A,0)))</f>
        <v/>
      </c>
      <c r="AF43" s="4"/>
      <c r="AG43" s="4"/>
      <c r="AH43" s="4" t="str">
        <f>IF($AG43="","",SUMIFS(OPERATING_COEFFS!$C:$C,OPERATING_COEFFS!$A:$A,"DistanceClass",OPERATING_COEFFS!$B:$B,$AG43))</f>
        <v/>
      </c>
      <c r="AI43" s="4"/>
      <c r="AJ43" s="4" t="str">
        <f>IF($AI43="","",SUMIFS(OPERATING_COEFFS!$C:$C,OPERATING_COEFFS!$A:$A,"SeasonClass",OPERATING_COEFFS!$B:$B,$AI43))</f>
        <v/>
      </c>
      <c r="AK43" s="4"/>
      <c r="AL43" s="4" t="str">
        <f>IF($AK43="","",SUMIFS(OPERATING_COEFFS!$C:$C,OPERATING_COEFFS!$A:$A,"UrgencyClass",OPERATING_COEFFS!$B:$B,$AK43))</f>
        <v/>
      </c>
      <c r="AM43" s="4"/>
      <c r="AN43" s="4" t="str">
        <f t="array" ref="AN43">IF($AM43="","",INDEX(TAX_MODES!$B:$B,MATCH($AM43,TAX_MODES!$A:$A,0)))</f>
        <v/>
      </c>
      <c r="AO43" s="4"/>
      <c r="AP43" s="4"/>
    </row>
    <row r="44" ht="14.25" customHeight="1">
      <c r="A44" s="6"/>
      <c r="B44" s="6"/>
      <c r="C44" s="6"/>
      <c r="D44" s="29" t="str">
        <f>IF($C44="","",SUMIFS(SITE_COEFFS!$C:$C,SITE_COEFFS!$A:$A,"SoilWorkability",SITE_COEFFS!$B:$B,$C44))</f>
        <v/>
      </c>
      <c r="E44" s="6"/>
      <c r="F44" s="29" t="str">
        <f>IF($E44="","",SUMIFS(SITE_COEFFS!$C:$C,SITE_COEFFS!$A:$A,"SoilMoisture",SITE_COEFFS!$B:$B,$E44))</f>
        <v/>
      </c>
      <c r="G44" s="6"/>
      <c r="H44" s="29" t="str">
        <f>IF($G44="","",SUMIFS(SITE_COEFFS!$C:$C,SITE_COEFFS!$A:$A,"DebrisLevel",SITE_COEFFS!$B:$B,$G44))</f>
        <v/>
      </c>
      <c r="I44" s="6"/>
      <c r="J44" s="29" t="str">
        <f>IF($I44="","",SUMIFS(SITE_COEFFS!$C:$C,SITE_COEFFS!$A:$A,"SlopeClass",SITE_COEFFS!$B:$B,$I44))</f>
        <v/>
      </c>
      <c r="K44" s="6"/>
      <c r="L44" s="29" t="str">
        <f>IF($K44="","",SUMIFS(SITE_COEFFS!$C:$C,SITE_COEFFS!$A:$A,"SurfaceUnevenness",SITE_COEFFS!$B:$B,$K44))</f>
        <v/>
      </c>
      <c r="M44" s="6"/>
      <c r="N44" s="29" t="str">
        <f>IF($M44="","",SUMIFS(SITE_COEFFS!$C:$C,SITE_COEFFS!$A:$A,"AccessClass",SITE_COEFFS!$B:$B,$M44))</f>
        <v/>
      </c>
      <c r="O44" s="6"/>
      <c r="P44" s="29" t="str">
        <f>IF($O44="","",SUMIFS(SITE_COEFFS!$C:$C,SITE_COEFFS!$A:$A,"TurnSpace",SITE_COEFFS!$B:$B,$O44))</f>
        <v/>
      </c>
      <c r="Q44" s="6"/>
      <c r="R44" s="29" t="str">
        <f>IF($Q44="","",SUMIFS(SITE_COEFFS!$C:$C,SITE_COEFFS!$A:$A,"ProximityToBuildings",SITE_COEFFS!$B:$B,$Q44))</f>
        <v/>
      </c>
      <c r="S44" s="6"/>
      <c r="T44" s="29" t="str">
        <f>IF($S44="","",SUMIFS(SITE_COEFFS!$C:$C,SITE_COEFFS!$A:$A,"MachineryAllowed",SITE_COEFFS!$B:$B,$S44))</f>
        <v/>
      </c>
      <c r="U44" s="6"/>
      <c r="V44" s="6"/>
      <c r="W44" s="29" t="str">
        <f>IF($V44="","",SUMIFS(SITE_COEFFS!$C:$C,SITE_COEFFS!$A:$A,"GeometryComplexity",SITE_COEFFS!$B:$B,$V44))</f>
        <v/>
      </c>
      <c r="X44" s="6"/>
      <c r="Y44" s="6" t="str">
        <f>IF($X44="","",SUMIFS(TARIFF_PROFILES!$D:$D,TARIFF_PROFILES!$A:$A,$X44))</f>
        <v/>
      </c>
      <c r="Z44" s="6" t="str">
        <f>IF($X44="","",SUMIFS(TARIFF_PROFILES!$E:$E,TARIFF_PROFILES!$A:$A,$X44))</f>
        <v/>
      </c>
      <c r="AA44" s="6" t="str">
        <f>IF($X44="","",SUMIFS(TARIFF_PROFILES!$F:$F,TARIFF_PROFILES!$A:$A,$X44))</f>
        <v/>
      </c>
      <c r="AB44" s="6" t="str">
        <f>IF($X44="","",SUMIFS(TARIFF_PROFILES!$G:$G,TARIFF_PROFILES!$A:$A,$X44))</f>
        <v/>
      </c>
      <c r="AC44" s="6" t="str">
        <f>IF($X44="","",SUMIFS(TARIFF_PROFILES!$H:$H,TARIFF_PROFILES!$A:$A,$X44))</f>
        <v/>
      </c>
      <c r="AD44" s="6" t="str">
        <f t="array" ref="AD44">IF($X44="","",INDEX(TARIFF_PROFILES!$J:$J,MATCH($X44,TARIFF_PROFILES!$A:$A,0)))</f>
        <v/>
      </c>
      <c r="AE44" s="6" t="str">
        <f t="array" ref="AE44">IF($X44="","",INDEX(TARIFF_PROFILES!$K:$K,MATCH($X44,TARIFF_PROFILES!$A:$A,0)))</f>
        <v/>
      </c>
      <c r="AF44" s="4"/>
      <c r="AG44" s="4"/>
      <c r="AH44" s="4" t="str">
        <f>IF($AG44="","",SUMIFS(OPERATING_COEFFS!$C:$C,OPERATING_COEFFS!$A:$A,"DistanceClass",OPERATING_COEFFS!$B:$B,$AG44))</f>
        <v/>
      </c>
      <c r="AI44" s="4"/>
      <c r="AJ44" s="4" t="str">
        <f>IF($AI44="","",SUMIFS(OPERATING_COEFFS!$C:$C,OPERATING_COEFFS!$A:$A,"SeasonClass",OPERATING_COEFFS!$B:$B,$AI44))</f>
        <v/>
      </c>
      <c r="AK44" s="4"/>
      <c r="AL44" s="4" t="str">
        <f>IF($AK44="","",SUMIFS(OPERATING_COEFFS!$C:$C,OPERATING_COEFFS!$A:$A,"UrgencyClass",OPERATING_COEFFS!$B:$B,$AK44))</f>
        <v/>
      </c>
      <c r="AM44" s="4"/>
      <c r="AN44" s="4" t="str">
        <f t="array" ref="AN44">IF($AM44="","",INDEX(TAX_MODES!$B:$B,MATCH($AM44,TAX_MODES!$A:$A,0)))</f>
        <v/>
      </c>
      <c r="AO44" s="4"/>
      <c r="AP44" s="4"/>
    </row>
    <row r="45" ht="14.25" customHeight="1">
      <c r="A45" s="6"/>
      <c r="B45" s="6"/>
      <c r="C45" s="6"/>
      <c r="D45" s="29" t="str">
        <f>IF($C45="","",SUMIFS(SITE_COEFFS!$C:$C,SITE_COEFFS!$A:$A,"SoilWorkability",SITE_COEFFS!$B:$B,$C45))</f>
        <v/>
      </c>
      <c r="E45" s="6"/>
      <c r="F45" s="29" t="str">
        <f>IF($E45="","",SUMIFS(SITE_COEFFS!$C:$C,SITE_COEFFS!$A:$A,"SoilMoisture",SITE_COEFFS!$B:$B,$E45))</f>
        <v/>
      </c>
      <c r="G45" s="6"/>
      <c r="H45" s="29" t="str">
        <f>IF($G45="","",SUMIFS(SITE_COEFFS!$C:$C,SITE_COEFFS!$A:$A,"DebrisLevel",SITE_COEFFS!$B:$B,$G45))</f>
        <v/>
      </c>
      <c r="I45" s="6"/>
      <c r="J45" s="29" t="str">
        <f>IF($I45="","",SUMIFS(SITE_COEFFS!$C:$C,SITE_COEFFS!$A:$A,"SlopeClass",SITE_COEFFS!$B:$B,$I45))</f>
        <v/>
      </c>
      <c r="K45" s="6"/>
      <c r="L45" s="29" t="str">
        <f>IF($K45="","",SUMIFS(SITE_COEFFS!$C:$C,SITE_COEFFS!$A:$A,"SurfaceUnevenness",SITE_COEFFS!$B:$B,$K45))</f>
        <v/>
      </c>
      <c r="M45" s="6"/>
      <c r="N45" s="29" t="str">
        <f>IF($M45="","",SUMIFS(SITE_COEFFS!$C:$C,SITE_COEFFS!$A:$A,"AccessClass",SITE_COEFFS!$B:$B,$M45))</f>
        <v/>
      </c>
      <c r="O45" s="6"/>
      <c r="P45" s="29" t="str">
        <f>IF($O45="","",SUMIFS(SITE_COEFFS!$C:$C,SITE_COEFFS!$A:$A,"TurnSpace",SITE_COEFFS!$B:$B,$O45))</f>
        <v/>
      </c>
      <c r="Q45" s="6"/>
      <c r="R45" s="29" t="str">
        <f>IF($Q45="","",SUMIFS(SITE_COEFFS!$C:$C,SITE_COEFFS!$A:$A,"ProximityToBuildings",SITE_COEFFS!$B:$B,$Q45))</f>
        <v/>
      </c>
      <c r="S45" s="6"/>
      <c r="T45" s="29" t="str">
        <f>IF($S45="","",SUMIFS(SITE_COEFFS!$C:$C,SITE_COEFFS!$A:$A,"MachineryAllowed",SITE_COEFFS!$B:$B,$S45))</f>
        <v/>
      </c>
      <c r="U45" s="6"/>
      <c r="V45" s="6"/>
      <c r="W45" s="29" t="str">
        <f>IF($V45="","",SUMIFS(SITE_COEFFS!$C:$C,SITE_COEFFS!$A:$A,"GeometryComplexity",SITE_COEFFS!$B:$B,$V45))</f>
        <v/>
      </c>
      <c r="X45" s="6"/>
      <c r="Y45" s="6" t="str">
        <f>IF($X45="","",SUMIFS(TARIFF_PROFILES!$D:$D,TARIFF_PROFILES!$A:$A,$X45))</f>
        <v/>
      </c>
      <c r="Z45" s="6" t="str">
        <f>IF($X45="","",SUMIFS(TARIFF_PROFILES!$E:$E,TARIFF_PROFILES!$A:$A,$X45))</f>
        <v/>
      </c>
      <c r="AA45" s="6" t="str">
        <f>IF($X45="","",SUMIFS(TARIFF_PROFILES!$F:$F,TARIFF_PROFILES!$A:$A,$X45))</f>
        <v/>
      </c>
      <c r="AB45" s="6" t="str">
        <f>IF($X45="","",SUMIFS(TARIFF_PROFILES!$G:$G,TARIFF_PROFILES!$A:$A,$X45))</f>
        <v/>
      </c>
      <c r="AC45" s="6" t="str">
        <f>IF($X45="","",SUMIFS(TARIFF_PROFILES!$H:$H,TARIFF_PROFILES!$A:$A,$X45))</f>
        <v/>
      </c>
      <c r="AD45" s="6" t="str">
        <f t="array" ref="AD45">IF($X45="","",INDEX(TARIFF_PROFILES!$J:$J,MATCH($X45,TARIFF_PROFILES!$A:$A,0)))</f>
        <v/>
      </c>
      <c r="AE45" s="6" t="str">
        <f t="array" ref="AE45">IF($X45="","",INDEX(TARIFF_PROFILES!$K:$K,MATCH($X45,TARIFF_PROFILES!$A:$A,0)))</f>
        <v/>
      </c>
      <c r="AF45" s="4"/>
      <c r="AG45" s="4"/>
      <c r="AH45" s="4" t="str">
        <f>IF($AG45="","",SUMIFS(OPERATING_COEFFS!$C:$C,OPERATING_COEFFS!$A:$A,"DistanceClass",OPERATING_COEFFS!$B:$B,$AG45))</f>
        <v/>
      </c>
      <c r="AI45" s="4"/>
      <c r="AJ45" s="4" t="str">
        <f>IF($AI45="","",SUMIFS(OPERATING_COEFFS!$C:$C,OPERATING_COEFFS!$A:$A,"SeasonClass",OPERATING_COEFFS!$B:$B,$AI45))</f>
        <v/>
      </c>
      <c r="AK45" s="4"/>
      <c r="AL45" s="4" t="str">
        <f>IF($AK45="","",SUMIFS(OPERATING_COEFFS!$C:$C,OPERATING_COEFFS!$A:$A,"UrgencyClass",OPERATING_COEFFS!$B:$B,$AK45))</f>
        <v/>
      </c>
      <c r="AM45" s="4"/>
      <c r="AN45" s="4" t="str">
        <f t="array" ref="AN45">IF($AM45="","",INDEX(TAX_MODES!$B:$B,MATCH($AM45,TAX_MODES!$A:$A,0)))</f>
        <v/>
      </c>
      <c r="AO45" s="4"/>
      <c r="AP45" s="4"/>
    </row>
    <row r="46" ht="14.25" customHeight="1">
      <c r="A46" s="6"/>
      <c r="B46" s="6"/>
      <c r="C46" s="6"/>
      <c r="D46" s="29" t="str">
        <f>IF($C46="","",SUMIFS(SITE_COEFFS!$C:$C,SITE_COEFFS!$A:$A,"SoilWorkability",SITE_COEFFS!$B:$B,$C46))</f>
        <v/>
      </c>
      <c r="E46" s="6"/>
      <c r="F46" s="29" t="str">
        <f>IF($E46="","",SUMIFS(SITE_COEFFS!$C:$C,SITE_COEFFS!$A:$A,"SoilMoisture",SITE_COEFFS!$B:$B,$E46))</f>
        <v/>
      </c>
      <c r="G46" s="6"/>
      <c r="H46" s="29" t="str">
        <f>IF($G46="","",SUMIFS(SITE_COEFFS!$C:$C,SITE_COEFFS!$A:$A,"DebrisLevel",SITE_COEFFS!$B:$B,$G46))</f>
        <v/>
      </c>
      <c r="I46" s="6"/>
      <c r="J46" s="29" t="str">
        <f>IF($I46="","",SUMIFS(SITE_COEFFS!$C:$C,SITE_COEFFS!$A:$A,"SlopeClass",SITE_COEFFS!$B:$B,$I46))</f>
        <v/>
      </c>
      <c r="K46" s="6"/>
      <c r="L46" s="29" t="str">
        <f>IF($K46="","",SUMIFS(SITE_COEFFS!$C:$C,SITE_COEFFS!$A:$A,"SurfaceUnevenness",SITE_COEFFS!$B:$B,$K46))</f>
        <v/>
      </c>
      <c r="M46" s="6"/>
      <c r="N46" s="29" t="str">
        <f>IF($M46="","",SUMIFS(SITE_COEFFS!$C:$C,SITE_COEFFS!$A:$A,"AccessClass",SITE_COEFFS!$B:$B,$M46))</f>
        <v/>
      </c>
      <c r="O46" s="6"/>
      <c r="P46" s="29" t="str">
        <f>IF($O46="","",SUMIFS(SITE_COEFFS!$C:$C,SITE_COEFFS!$A:$A,"TurnSpace",SITE_COEFFS!$B:$B,$O46))</f>
        <v/>
      </c>
      <c r="Q46" s="6"/>
      <c r="R46" s="29" t="str">
        <f>IF($Q46="","",SUMIFS(SITE_COEFFS!$C:$C,SITE_COEFFS!$A:$A,"ProximityToBuildings",SITE_COEFFS!$B:$B,$Q46))</f>
        <v/>
      </c>
      <c r="S46" s="6"/>
      <c r="T46" s="29" t="str">
        <f>IF($S46="","",SUMIFS(SITE_COEFFS!$C:$C,SITE_COEFFS!$A:$A,"MachineryAllowed",SITE_COEFFS!$B:$B,$S46))</f>
        <v/>
      </c>
      <c r="U46" s="6"/>
      <c r="V46" s="6"/>
      <c r="W46" s="29" t="str">
        <f>IF($V46="","",SUMIFS(SITE_COEFFS!$C:$C,SITE_COEFFS!$A:$A,"GeometryComplexity",SITE_COEFFS!$B:$B,$V46))</f>
        <v/>
      </c>
      <c r="X46" s="6"/>
      <c r="Y46" s="6" t="str">
        <f>IF($X46="","",SUMIFS(TARIFF_PROFILES!$D:$D,TARIFF_PROFILES!$A:$A,$X46))</f>
        <v/>
      </c>
      <c r="Z46" s="6" t="str">
        <f>IF($X46="","",SUMIFS(TARIFF_PROFILES!$E:$E,TARIFF_PROFILES!$A:$A,$X46))</f>
        <v/>
      </c>
      <c r="AA46" s="6" t="str">
        <f>IF($X46="","",SUMIFS(TARIFF_PROFILES!$F:$F,TARIFF_PROFILES!$A:$A,$X46))</f>
        <v/>
      </c>
      <c r="AB46" s="6" t="str">
        <f>IF($X46="","",SUMIFS(TARIFF_PROFILES!$G:$G,TARIFF_PROFILES!$A:$A,$X46))</f>
        <v/>
      </c>
      <c r="AC46" s="6" t="str">
        <f>IF($X46="","",SUMIFS(TARIFF_PROFILES!$H:$H,TARIFF_PROFILES!$A:$A,$X46))</f>
        <v/>
      </c>
      <c r="AD46" s="6" t="str">
        <f t="array" ref="AD46">IF($X46="","",INDEX(TARIFF_PROFILES!$J:$J,MATCH($X46,TARIFF_PROFILES!$A:$A,0)))</f>
        <v/>
      </c>
      <c r="AE46" s="6" t="str">
        <f t="array" ref="AE46">IF($X46="","",INDEX(TARIFF_PROFILES!$K:$K,MATCH($X46,TARIFF_PROFILES!$A:$A,0)))</f>
        <v/>
      </c>
      <c r="AF46" s="4"/>
      <c r="AG46" s="4"/>
      <c r="AH46" s="4" t="str">
        <f>IF($AG46="","",SUMIFS(OPERATING_COEFFS!$C:$C,OPERATING_COEFFS!$A:$A,"DistanceClass",OPERATING_COEFFS!$B:$B,$AG46))</f>
        <v/>
      </c>
      <c r="AI46" s="4"/>
      <c r="AJ46" s="4" t="str">
        <f>IF($AI46="","",SUMIFS(OPERATING_COEFFS!$C:$C,OPERATING_COEFFS!$A:$A,"SeasonClass",OPERATING_COEFFS!$B:$B,$AI46))</f>
        <v/>
      </c>
      <c r="AK46" s="4"/>
      <c r="AL46" s="4" t="str">
        <f>IF($AK46="","",SUMIFS(OPERATING_COEFFS!$C:$C,OPERATING_COEFFS!$A:$A,"UrgencyClass",OPERATING_COEFFS!$B:$B,$AK46))</f>
        <v/>
      </c>
      <c r="AM46" s="4"/>
      <c r="AN46" s="4" t="str">
        <f t="array" ref="AN46">IF($AM46="","",INDEX(TAX_MODES!$B:$B,MATCH($AM46,TAX_MODES!$A:$A,0)))</f>
        <v/>
      </c>
      <c r="AO46" s="4"/>
      <c r="AP46" s="4"/>
    </row>
    <row r="47" ht="14.25" customHeight="1">
      <c r="A47" s="6"/>
      <c r="B47" s="6"/>
      <c r="C47" s="6"/>
      <c r="D47" s="29" t="str">
        <f>IF($C47="","",SUMIFS(SITE_COEFFS!$C:$C,SITE_COEFFS!$A:$A,"SoilWorkability",SITE_COEFFS!$B:$B,$C47))</f>
        <v/>
      </c>
      <c r="E47" s="6"/>
      <c r="F47" s="29" t="str">
        <f>IF($E47="","",SUMIFS(SITE_COEFFS!$C:$C,SITE_COEFFS!$A:$A,"SoilMoisture",SITE_COEFFS!$B:$B,$E47))</f>
        <v/>
      </c>
      <c r="G47" s="6"/>
      <c r="H47" s="29" t="str">
        <f>IF($G47="","",SUMIFS(SITE_COEFFS!$C:$C,SITE_COEFFS!$A:$A,"DebrisLevel",SITE_COEFFS!$B:$B,$G47))</f>
        <v/>
      </c>
      <c r="I47" s="6"/>
      <c r="J47" s="29" t="str">
        <f>IF($I47="","",SUMIFS(SITE_COEFFS!$C:$C,SITE_COEFFS!$A:$A,"SlopeClass",SITE_COEFFS!$B:$B,$I47))</f>
        <v/>
      </c>
      <c r="K47" s="6"/>
      <c r="L47" s="29" t="str">
        <f>IF($K47="","",SUMIFS(SITE_COEFFS!$C:$C,SITE_COEFFS!$A:$A,"SurfaceUnevenness",SITE_COEFFS!$B:$B,$K47))</f>
        <v/>
      </c>
      <c r="M47" s="6"/>
      <c r="N47" s="29" t="str">
        <f>IF($M47="","",SUMIFS(SITE_COEFFS!$C:$C,SITE_COEFFS!$A:$A,"AccessClass",SITE_COEFFS!$B:$B,$M47))</f>
        <v/>
      </c>
      <c r="O47" s="6"/>
      <c r="P47" s="29" t="str">
        <f>IF($O47="","",SUMIFS(SITE_COEFFS!$C:$C,SITE_COEFFS!$A:$A,"TurnSpace",SITE_COEFFS!$B:$B,$O47))</f>
        <v/>
      </c>
      <c r="Q47" s="6"/>
      <c r="R47" s="29" t="str">
        <f>IF($Q47="","",SUMIFS(SITE_COEFFS!$C:$C,SITE_COEFFS!$A:$A,"ProximityToBuildings",SITE_COEFFS!$B:$B,$Q47))</f>
        <v/>
      </c>
      <c r="S47" s="6"/>
      <c r="T47" s="29" t="str">
        <f>IF($S47="","",SUMIFS(SITE_COEFFS!$C:$C,SITE_COEFFS!$A:$A,"MachineryAllowed",SITE_COEFFS!$B:$B,$S47))</f>
        <v/>
      </c>
      <c r="U47" s="6"/>
      <c r="V47" s="6"/>
      <c r="W47" s="29" t="str">
        <f>IF($V47="","",SUMIFS(SITE_COEFFS!$C:$C,SITE_COEFFS!$A:$A,"GeometryComplexity",SITE_COEFFS!$B:$B,$V47))</f>
        <v/>
      </c>
      <c r="X47" s="6"/>
      <c r="Y47" s="6" t="str">
        <f>IF($X47="","",SUMIFS(TARIFF_PROFILES!$D:$D,TARIFF_PROFILES!$A:$A,$X47))</f>
        <v/>
      </c>
      <c r="Z47" s="6" t="str">
        <f>IF($X47="","",SUMIFS(TARIFF_PROFILES!$E:$E,TARIFF_PROFILES!$A:$A,$X47))</f>
        <v/>
      </c>
      <c r="AA47" s="6" t="str">
        <f>IF($X47="","",SUMIFS(TARIFF_PROFILES!$F:$F,TARIFF_PROFILES!$A:$A,$X47))</f>
        <v/>
      </c>
      <c r="AB47" s="6" t="str">
        <f>IF($X47="","",SUMIFS(TARIFF_PROFILES!$G:$G,TARIFF_PROFILES!$A:$A,$X47))</f>
        <v/>
      </c>
      <c r="AC47" s="6" t="str">
        <f>IF($X47="","",SUMIFS(TARIFF_PROFILES!$H:$H,TARIFF_PROFILES!$A:$A,$X47))</f>
        <v/>
      </c>
      <c r="AD47" s="6" t="str">
        <f t="array" ref="AD47">IF($X47="","",INDEX(TARIFF_PROFILES!$J:$J,MATCH($X47,TARIFF_PROFILES!$A:$A,0)))</f>
        <v/>
      </c>
      <c r="AE47" s="6" t="str">
        <f t="array" ref="AE47">IF($X47="","",INDEX(TARIFF_PROFILES!$K:$K,MATCH($X47,TARIFF_PROFILES!$A:$A,0)))</f>
        <v/>
      </c>
      <c r="AF47" s="4"/>
      <c r="AG47" s="4"/>
      <c r="AH47" s="4" t="str">
        <f>IF($AG47="","",SUMIFS(OPERATING_COEFFS!$C:$C,OPERATING_COEFFS!$A:$A,"DistanceClass",OPERATING_COEFFS!$B:$B,$AG47))</f>
        <v/>
      </c>
      <c r="AI47" s="4"/>
      <c r="AJ47" s="4" t="str">
        <f>IF($AI47="","",SUMIFS(OPERATING_COEFFS!$C:$C,OPERATING_COEFFS!$A:$A,"SeasonClass",OPERATING_COEFFS!$B:$B,$AI47))</f>
        <v/>
      </c>
      <c r="AK47" s="4"/>
      <c r="AL47" s="4" t="str">
        <f>IF($AK47="","",SUMIFS(OPERATING_COEFFS!$C:$C,OPERATING_COEFFS!$A:$A,"UrgencyClass",OPERATING_COEFFS!$B:$B,$AK47))</f>
        <v/>
      </c>
      <c r="AM47" s="4"/>
      <c r="AN47" s="4" t="str">
        <f t="array" ref="AN47">IF($AM47="","",INDEX(TAX_MODES!$B:$B,MATCH($AM47,TAX_MODES!$A:$A,0)))</f>
        <v/>
      </c>
      <c r="AO47" s="4"/>
      <c r="AP47" s="4"/>
    </row>
    <row r="48" ht="14.25" customHeight="1">
      <c r="A48" s="6"/>
      <c r="B48" s="6"/>
      <c r="C48" s="6"/>
      <c r="D48" s="29" t="str">
        <f>IF($C48="","",SUMIFS(SITE_COEFFS!$C:$C,SITE_COEFFS!$A:$A,"SoilWorkability",SITE_COEFFS!$B:$B,$C48))</f>
        <v/>
      </c>
      <c r="E48" s="6"/>
      <c r="F48" s="29" t="str">
        <f>IF($E48="","",SUMIFS(SITE_COEFFS!$C:$C,SITE_COEFFS!$A:$A,"SoilMoisture",SITE_COEFFS!$B:$B,$E48))</f>
        <v/>
      </c>
      <c r="G48" s="6"/>
      <c r="H48" s="29" t="str">
        <f>IF($G48="","",SUMIFS(SITE_COEFFS!$C:$C,SITE_COEFFS!$A:$A,"DebrisLevel",SITE_COEFFS!$B:$B,$G48))</f>
        <v/>
      </c>
      <c r="I48" s="6"/>
      <c r="J48" s="29" t="str">
        <f>IF($I48="","",SUMIFS(SITE_COEFFS!$C:$C,SITE_COEFFS!$A:$A,"SlopeClass",SITE_COEFFS!$B:$B,$I48))</f>
        <v/>
      </c>
      <c r="K48" s="6"/>
      <c r="L48" s="29" t="str">
        <f>IF($K48="","",SUMIFS(SITE_COEFFS!$C:$C,SITE_COEFFS!$A:$A,"SurfaceUnevenness",SITE_COEFFS!$B:$B,$K48))</f>
        <v/>
      </c>
      <c r="M48" s="6"/>
      <c r="N48" s="29" t="str">
        <f>IF($M48="","",SUMIFS(SITE_COEFFS!$C:$C,SITE_COEFFS!$A:$A,"AccessClass",SITE_COEFFS!$B:$B,$M48))</f>
        <v/>
      </c>
      <c r="O48" s="6"/>
      <c r="P48" s="29" t="str">
        <f>IF($O48="","",SUMIFS(SITE_COEFFS!$C:$C,SITE_COEFFS!$A:$A,"TurnSpace",SITE_COEFFS!$B:$B,$O48))</f>
        <v/>
      </c>
      <c r="Q48" s="6"/>
      <c r="R48" s="29" t="str">
        <f>IF($Q48="","",SUMIFS(SITE_COEFFS!$C:$C,SITE_COEFFS!$A:$A,"ProximityToBuildings",SITE_COEFFS!$B:$B,$Q48))</f>
        <v/>
      </c>
      <c r="S48" s="6"/>
      <c r="T48" s="29" t="str">
        <f>IF($S48="","",SUMIFS(SITE_COEFFS!$C:$C,SITE_COEFFS!$A:$A,"MachineryAllowed",SITE_COEFFS!$B:$B,$S48))</f>
        <v/>
      </c>
      <c r="U48" s="6"/>
      <c r="V48" s="6"/>
      <c r="W48" s="29" t="str">
        <f>IF($V48="","",SUMIFS(SITE_COEFFS!$C:$C,SITE_COEFFS!$A:$A,"GeometryComplexity",SITE_COEFFS!$B:$B,$V48))</f>
        <v/>
      </c>
      <c r="X48" s="6"/>
      <c r="Y48" s="6" t="str">
        <f>IF($X48="","",SUMIFS(TARIFF_PROFILES!$D:$D,TARIFF_PROFILES!$A:$A,$X48))</f>
        <v/>
      </c>
      <c r="Z48" s="6" t="str">
        <f>IF($X48="","",SUMIFS(TARIFF_PROFILES!$E:$E,TARIFF_PROFILES!$A:$A,$X48))</f>
        <v/>
      </c>
      <c r="AA48" s="6" t="str">
        <f>IF($X48="","",SUMIFS(TARIFF_PROFILES!$F:$F,TARIFF_PROFILES!$A:$A,$X48))</f>
        <v/>
      </c>
      <c r="AB48" s="6" t="str">
        <f>IF($X48="","",SUMIFS(TARIFF_PROFILES!$G:$G,TARIFF_PROFILES!$A:$A,$X48))</f>
        <v/>
      </c>
      <c r="AC48" s="6" t="str">
        <f>IF($X48="","",SUMIFS(TARIFF_PROFILES!$H:$H,TARIFF_PROFILES!$A:$A,$X48))</f>
        <v/>
      </c>
      <c r="AD48" s="6" t="str">
        <f t="array" ref="AD48">IF($X48="","",INDEX(TARIFF_PROFILES!$J:$J,MATCH($X48,TARIFF_PROFILES!$A:$A,0)))</f>
        <v/>
      </c>
      <c r="AE48" s="6" t="str">
        <f t="array" ref="AE48">IF($X48="","",INDEX(TARIFF_PROFILES!$K:$K,MATCH($X48,TARIFF_PROFILES!$A:$A,0)))</f>
        <v/>
      </c>
      <c r="AF48" s="4"/>
      <c r="AG48" s="4"/>
      <c r="AH48" s="4" t="str">
        <f>IF($AG48="","",SUMIFS(OPERATING_COEFFS!$C:$C,OPERATING_COEFFS!$A:$A,"DistanceClass",OPERATING_COEFFS!$B:$B,$AG48))</f>
        <v/>
      </c>
      <c r="AI48" s="4"/>
      <c r="AJ48" s="4" t="str">
        <f>IF($AI48="","",SUMIFS(OPERATING_COEFFS!$C:$C,OPERATING_COEFFS!$A:$A,"SeasonClass",OPERATING_COEFFS!$B:$B,$AI48))</f>
        <v/>
      </c>
      <c r="AK48" s="4"/>
      <c r="AL48" s="4" t="str">
        <f>IF($AK48="","",SUMIFS(OPERATING_COEFFS!$C:$C,OPERATING_COEFFS!$A:$A,"UrgencyClass",OPERATING_COEFFS!$B:$B,$AK48))</f>
        <v/>
      </c>
      <c r="AM48" s="4"/>
      <c r="AN48" s="4" t="str">
        <f t="array" ref="AN48">IF($AM48="","",INDEX(TAX_MODES!$B:$B,MATCH($AM48,TAX_MODES!$A:$A,0)))</f>
        <v/>
      </c>
      <c r="AO48" s="4"/>
      <c r="AP48" s="4"/>
    </row>
    <row r="49" ht="14.25" customHeight="1">
      <c r="A49" s="6"/>
      <c r="B49" s="6"/>
      <c r="C49" s="6"/>
      <c r="D49" s="29" t="str">
        <f>IF($C49="","",SUMIFS(SITE_COEFFS!$C:$C,SITE_COEFFS!$A:$A,"SoilWorkability",SITE_COEFFS!$B:$B,$C49))</f>
        <v/>
      </c>
      <c r="E49" s="6"/>
      <c r="F49" s="29" t="str">
        <f>IF($E49="","",SUMIFS(SITE_COEFFS!$C:$C,SITE_COEFFS!$A:$A,"SoilMoisture",SITE_COEFFS!$B:$B,$E49))</f>
        <v/>
      </c>
      <c r="G49" s="6"/>
      <c r="H49" s="29" t="str">
        <f>IF($G49="","",SUMIFS(SITE_COEFFS!$C:$C,SITE_COEFFS!$A:$A,"DebrisLevel",SITE_COEFFS!$B:$B,$G49))</f>
        <v/>
      </c>
      <c r="I49" s="6"/>
      <c r="J49" s="29" t="str">
        <f>IF($I49="","",SUMIFS(SITE_COEFFS!$C:$C,SITE_COEFFS!$A:$A,"SlopeClass",SITE_COEFFS!$B:$B,$I49))</f>
        <v/>
      </c>
      <c r="K49" s="6"/>
      <c r="L49" s="29" t="str">
        <f>IF($K49="","",SUMIFS(SITE_COEFFS!$C:$C,SITE_COEFFS!$A:$A,"SurfaceUnevenness",SITE_COEFFS!$B:$B,$K49))</f>
        <v/>
      </c>
      <c r="M49" s="6"/>
      <c r="N49" s="29" t="str">
        <f>IF($M49="","",SUMIFS(SITE_COEFFS!$C:$C,SITE_COEFFS!$A:$A,"AccessClass",SITE_COEFFS!$B:$B,$M49))</f>
        <v/>
      </c>
      <c r="O49" s="6"/>
      <c r="P49" s="29" t="str">
        <f>IF($O49="","",SUMIFS(SITE_COEFFS!$C:$C,SITE_COEFFS!$A:$A,"TurnSpace",SITE_COEFFS!$B:$B,$O49))</f>
        <v/>
      </c>
      <c r="Q49" s="6"/>
      <c r="R49" s="29" t="str">
        <f>IF($Q49="","",SUMIFS(SITE_COEFFS!$C:$C,SITE_COEFFS!$A:$A,"ProximityToBuildings",SITE_COEFFS!$B:$B,$Q49))</f>
        <v/>
      </c>
      <c r="S49" s="6"/>
      <c r="T49" s="29" t="str">
        <f>IF($S49="","",SUMIFS(SITE_COEFFS!$C:$C,SITE_COEFFS!$A:$A,"MachineryAllowed",SITE_COEFFS!$B:$B,$S49))</f>
        <v/>
      </c>
      <c r="U49" s="6"/>
      <c r="V49" s="6"/>
      <c r="W49" s="29" t="str">
        <f>IF($V49="","",SUMIFS(SITE_COEFFS!$C:$C,SITE_COEFFS!$A:$A,"GeometryComplexity",SITE_COEFFS!$B:$B,$V49))</f>
        <v/>
      </c>
      <c r="X49" s="6"/>
      <c r="Y49" s="6" t="str">
        <f>IF($X49="","",SUMIFS(TARIFF_PROFILES!$D:$D,TARIFF_PROFILES!$A:$A,$X49))</f>
        <v/>
      </c>
      <c r="Z49" s="6" t="str">
        <f>IF($X49="","",SUMIFS(TARIFF_PROFILES!$E:$E,TARIFF_PROFILES!$A:$A,$X49))</f>
        <v/>
      </c>
      <c r="AA49" s="6" t="str">
        <f>IF($X49="","",SUMIFS(TARIFF_PROFILES!$F:$F,TARIFF_PROFILES!$A:$A,$X49))</f>
        <v/>
      </c>
      <c r="AB49" s="6" t="str">
        <f>IF($X49="","",SUMIFS(TARIFF_PROFILES!$G:$G,TARIFF_PROFILES!$A:$A,$X49))</f>
        <v/>
      </c>
      <c r="AC49" s="6" t="str">
        <f>IF($X49="","",SUMIFS(TARIFF_PROFILES!$H:$H,TARIFF_PROFILES!$A:$A,$X49))</f>
        <v/>
      </c>
      <c r="AD49" s="6" t="str">
        <f t="array" ref="AD49">IF($X49="","",INDEX(TARIFF_PROFILES!$J:$J,MATCH($X49,TARIFF_PROFILES!$A:$A,0)))</f>
        <v/>
      </c>
      <c r="AE49" s="6" t="str">
        <f t="array" ref="AE49">IF($X49="","",INDEX(TARIFF_PROFILES!$K:$K,MATCH($X49,TARIFF_PROFILES!$A:$A,0)))</f>
        <v/>
      </c>
      <c r="AF49" s="4"/>
      <c r="AG49" s="4"/>
      <c r="AH49" s="4" t="str">
        <f>IF($AG49="","",SUMIFS(OPERATING_COEFFS!$C:$C,OPERATING_COEFFS!$A:$A,"DistanceClass",OPERATING_COEFFS!$B:$B,$AG49))</f>
        <v/>
      </c>
      <c r="AI49" s="4"/>
      <c r="AJ49" s="4" t="str">
        <f>IF($AI49="","",SUMIFS(OPERATING_COEFFS!$C:$C,OPERATING_COEFFS!$A:$A,"SeasonClass",OPERATING_COEFFS!$B:$B,$AI49))</f>
        <v/>
      </c>
      <c r="AK49" s="4"/>
      <c r="AL49" s="4" t="str">
        <f>IF($AK49="","",SUMIFS(OPERATING_COEFFS!$C:$C,OPERATING_COEFFS!$A:$A,"UrgencyClass",OPERATING_COEFFS!$B:$B,$AK49))</f>
        <v/>
      </c>
      <c r="AM49" s="4"/>
      <c r="AN49" s="4" t="str">
        <f t="array" ref="AN49">IF($AM49="","",INDEX(TAX_MODES!$B:$B,MATCH($AM49,TAX_MODES!$A:$A,0)))</f>
        <v/>
      </c>
      <c r="AO49" s="4"/>
      <c r="AP49" s="4"/>
    </row>
    <row r="50" ht="14.25" customHeight="1">
      <c r="A50" s="6"/>
      <c r="B50" s="6"/>
      <c r="C50" s="6"/>
      <c r="D50" s="29" t="str">
        <f>IF($C50="","",SUMIFS(SITE_COEFFS!$C:$C,SITE_COEFFS!$A:$A,"SoilWorkability",SITE_COEFFS!$B:$B,$C50))</f>
        <v/>
      </c>
      <c r="E50" s="6"/>
      <c r="F50" s="29" t="str">
        <f>IF($E50="","",SUMIFS(SITE_COEFFS!$C:$C,SITE_COEFFS!$A:$A,"SoilMoisture",SITE_COEFFS!$B:$B,$E50))</f>
        <v/>
      </c>
      <c r="G50" s="6"/>
      <c r="H50" s="29" t="str">
        <f>IF($G50="","",SUMIFS(SITE_COEFFS!$C:$C,SITE_COEFFS!$A:$A,"DebrisLevel",SITE_COEFFS!$B:$B,$G50))</f>
        <v/>
      </c>
      <c r="I50" s="6"/>
      <c r="J50" s="29" t="str">
        <f>IF($I50="","",SUMIFS(SITE_COEFFS!$C:$C,SITE_COEFFS!$A:$A,"SlopeClass",SITE_COEFFS!$B:$B,$I50))</f>
        <v/>
      </c>
      <c r="K50" s="6"/>
      <c r="L50" s="29" t="str">
        <f>IF($K50="","",SUMIFS(SITE_COEFFS!$C:$C,SITE_COEFFS!$A:$A,"SurfaceUnevenness",SITE_COEFFS!$B:$B,$K50))</f>
        <v/>
      </c>
      <c r="M50" s="6"/>
      <c r="N50" s="29" t="str">
        <f>IF($M50="","",SUMIFS(SITE_COEFFS!$C:$C,SITE_COEFFS!$A:$A,"AccessClass",SITE_COEFFS!$B:$B,$M50))</f>
        <v/>
      </c>
      <c r="O50" s="6"/>
      <c r="P50" s="29" t="str">
        <f>IF($O50="","",SUMIFS(SITE_COEFFS!$C:$C,SITE_COEFFS!$A:$A,"TurnSpace",SITE_COEFFS!$B:$B,$O50))</f>
        <v/>
      </c>
      <c r="Q50" s="6"/>
      <c r="R50" s="29" t="str">
        <f>IF($Q50="","",SUMIFS(SITE_COEFFS!$C:$C,SITE_COEFFS!$A:$A,"ProximityToBuildings",SITE_COEFFS!$B:$B,$Q50))</f>
        <v/>
      </c>
      <c r="S50" s="6"/>
      <c r="T50" s="29" t="str">
        <f>IF($S50="","",SUMIFS(SITE_COEFFS!$C:$C,SITE_COEFFS!$A:$A,"MachineryAllowed",SITE_COEFFS!$B:$B,$S50))</f>
        <v/>
      </c>
      <c r="U50" s="6"/>
      <c r="V50" s="6"/>
      <c r="W50" s="29" t="str">
        <f>IF($V50="","",SUMIFS(SITE_COEFFS!$C:$C,SITE_COEFFS!$A:$A,"GeometryComplexity",SITE_COEFFS!$B:$B,$V50))</f>
        <v/>
      </c>
      <c r="X50" s="6"/>
      <c r="Y50" s="6" t="str">
        <f>IF($X50="","",SUMIFS(TARIFF_PROFILES!$D:$D,TARIFF_PROFILES!$A:$A,$X50))</f>
        <v/>
      </c>
      <c r="Z50" s="6" t="str">
        <f>IF($X50="","",SUMIFS(TARIFF_PROFILES!$E:$E,TARIFF_PROFILES!$A:$A,$X50))</f>
        <v/>
      </c>
      <c r="AA50" s="6" t="str">
        <f>IF($X50="","",SUMIFS(TARIFF_PROFILES!$F:$F,TARIFF_PROFILES!$A:$A,$X50))</f>
        <v/>
      </c>
      <c r="AB50" s="6" t="str">
        <f>IF($X50="","",SUMIFS(TARIFF_PROFILES!$G:$G,TARIFF_PROFILES!$A:$A,$X50))</f>
        <v/>
      </c>
      <c r="AC50" s="6" t="str">
        <f>IF($X50="","",SUMIFS(TARIFF_PROFILES!$H:$H,TARIFF_PROFILES!$A:$A,$X50))</f>
        <v/>
      </c>
      <c r="AD50" s="6" t="str">
        <f t="array" ref="AD50">IF($X50="","",INDEX(TARIFF_PROFILES!$J:$J,MATCH($X50,TARIFF_PROFILES!$A:$A,0)))</f>
        <v/>
      </c>
      <c r="AE50" s="6" t="str">
        <f t="array" ref="AE50">IF($X50="","",INDEX(TARIFF_PROFILES!$K:$K,MATCH($X50,TARIFF_PROFILES!$A:$A,0)))</f>
        <v/>
      </c>
      <c r="AF50" s="4"/>
      <c r="AG50" s="4"/>
      <c r="AH50" s="4" t="str">
        <f>IF($AG50="","",SUMIFS(OPERATING_COEFFS!$C:$C,OPERATING_COEFFS!$A:$A,"DistanceClass",OPERATING_COEFFS!$B:$B,$AG50))</f>
        <v/>
      </c>
      <c r="AI50" s="4"/>
      <c r="AJ50" s="4" t="str">
        <f>IF($AI50="","",SUMIFS(OPERATING_COEFFS!$C:$C,OPERATING_COEFFS!$A:$A,"SeasonClass",OPERATING_COEFFS!$B:$B,$AI50))</f>
        <v/>
      </c>
      <c r="AK50" s="4"/>
      <c r="AL50" s="4" t="str">
        <f>IF($AK50="","",SUMIFS(OPERATING_COEFFS!$C:$C,OPERATING_COEFFS!$A:$A,"UrgencyClass",OPERATING_COEFFS!$B:$B,$AK50))</f>
        <v/>
      </c>
      <c r="AM50" s="4"/>
      <c r="AN50" s="4" t="str">
        <f t="array" ref="AN50">IF($AM50="","",INDEX(TAX_MODES!$B:$B,MATCH($AM50,TAX_MODES!$A:$A,0)))</f>
        <v/>
      </c>
      <c r="AO50" s="4"/>
      <c r="AP50" s="4"/>
    </row>
    <row r="51" ht="14.25" customHeight="1">
      <c r="A51" s="6"/>
      <c r="B51" s="6"/>
      <c r="C51" s="6"/>
      <c r="D51" s="29" t="str">
        <f>IF($C51="","",SUMIFS(SITE_COEFFS!$C:$C,SITE_COEFFS!$A:$A,"SoilWorkability",SITE_COEFFS!$B:$B,$C51))</f>
        <v/>
      </c>
      <c r="E51" s="6"/>
      <c r="F51" s="29" t="str">
        <f>IF($E51="","",SUMIFS(SITE_COEFFS!$C:$C,SITE_COEFFS!$A:$A,"SoilMoisture",SITE_COEFFS!$B:$B,$E51))</f>
        <v/>
      </c>
      <c r="G51" s="6"/>
      <c r="H51" s="29" t="str">
        <f>IF($G51="","",SUMIFS(SITE_COEFFS!$C:$C,SITE_COEFFS!$A:$A,"DebrisLevel",SITE_COEFFS!$B:$B,$G51))</f>
        <v/>
      </c>
      <c r="I51" s="6"/>
      <c r="J51" s="29" t="str">
        <f>IF($I51="","",SUMIFS(SITE_COEFFS!$C:$C,SITE_COEFFS!$A:$A,"SlopeClass",SITE_COEFFS!$B:$B,$I51))</f>
        <v/>
      </c>
      <c r="K51" s="6"/>
      <c r="L51" s="29" t="str">
        <f>IF($K51="","",SUMIFS(SITE_COEFFS!$C:$C,SITE_COEFFS!$A:$A,"SurfaceUnevenness",SITE_COEFFS!$B:$B,$K51))</f>
        <v/>
      </c>
      <c r="M51" s="6"/>
      <c r="N51" s="29" t="str">
        <f>IF($M51="","",SUMIFS(SITE_COEFFS!$C:$C,SITE_COEFFS!$A:$A,"AccessClass",SITE_COEFFS!$B:$B,$M51))</f>
        <v/>
      </c>
      <c r="O51" s="6"/>
      <c r="P51" s="29" t="str">
        <f>IF($O51="","",SUMIFS(SITE_COEFFS!$C:$C,SITE_COEFFS!$A:$A,"TurnSpace",SITE_COEFFS!$B:$B,$O51))</f>
        <v/>
      </c>
      <c r="Q51" s="6"/>
      <c r="R51" s="29" t="str">
        <f>IF($Q51="","",SUMIFS(SITE_COEFFS!$C:$C,SITE_COEFFS!$A:$A,"ProximityToBuildings",SITE_COEFFS!$B:$B,$Q51))</f>
        <v/>
      </c>
      <c r="S51" s="6"/>
      <c r="T51" s="29" t="str">
        <f>IF($S51="","",SUMIFS(SITE_COEFFS!$C:$C,SITE_COEFFS!$A:$A,"MachineryAllowed",SITE_COEFFS!$B:$B,$S51))</f>
        <v/>
      </c>
      <c r="U51" s="6"/>
      <c r="V51" s="6"/>
      <c r="W51" s="29" t="str">
        <f>IF($V51="","",SUMIFS(SITE_COEFFS!$C:$C,SITE_COEFFS!$A:$A,"GeometryComplexity",SITE_COEFFS!$B:$B,$V51))</f>
        <v/>
      </c>
      <c r="X51" s="6"/>
      <c r="Y51" s="6" t="str">
        <f>IF($X51="","",SUMIFS(TARIFF_PROFILES!$D:$D,TARIFF_PROFILES!$A:$A,$X51))</f>
        <v/>
      </c>
      <c r="Z51" s="6" t="str">
        <f>IF($X51="","",SUMIFS(TARIFF_PROFILES!$E:$E,TARIFF_PROFILES!$A:$A,$X51))</f>
        <v/>
      </c>
      <c r="AA51" s="6" t="str">
        <f>IF($X51="","",SUMIFS(TARIFF_PROFILES!$F:$F,TARIFF_PROFILES!$A:$A,$X51))</f>
        <v/>
      </c>
      <c r="AB51" s="6" t="str">
        <f>IF($X51="","",SUMIFS(TARIFF_PROFILES!$G:$G,TARIFF_PROFILES!$A:$A,$X51))</f>
        <v/>
      </c>
      <c r="AC51" s="6" t="str">
        <f>IF($X51="","",SUMIFS(TARIFF_PROFILES!$H:$H,TARIFF_PROFILES!$A:$A,$X51))</f>
        <v/>
      </c>
      <c r="AD51" s="6" t="str">
        <f t="array" ref="AD51">IF($X51="","",INDEX(TARIFF_PROFILES!$J:$J,MATCH($X51,TARIFF_PROFILES!$A:$A,0)))</f>
        <v/>
      </c>
      <c r="AE51" s="6" t="str">
        <f t="array" ref="AE51">IF($X51="","",INDEX(TARIFF_PROFILES!$K:$K,MATCH($X51,TARIFF_PROFILES!$A:$A,0)))</f>
        <v/>
      </c>
      <c r="AF51" s="4"/>
      <c r="AG51" s="4"/>
      <c r="AH51" s="4" t="str">
        <f>IF($AG51="","",SUMIFS(OPERATING_COEFFS!$C:$C,OPERATING_COEFFS!$A:$A,"DistanceClass",OPERATING_COEFFS!$B:$B,$AG51))</f>
        <v/>
      </c>
      <c r="AI51" s="4"/>
      <c r="AJ51" s="4" t="str">
        <f>IF($AI51="","",SUMIFS(OPERATING_COEFFS!$C:$C,OPERATING_COEFFS!$A:$A,"SeasonClass",OPERATING_COEFFS!$B:$B,$AI51))</f>
        <v/>
      </c>
      <c r="AK51" s="4"/>
      <c r="AL51" s="4" t="str">
        <f>IF($AK51="","",SUMIFS(OPERATING_COEFFS!$C:$C,OPERATING_COEFFS!$A:$A,"UrgencyClass",OPERATING_COEFFS!$B:$B,$AK51))</f>
        <v/>
      </c>
      <c r="AM51" s="4"/>
      <c r="AN51" s="4" t="str">
        <f t="array" ref="AN51">IF($AM51="","",INDEX(TAX_MODES!$B:$B,MATCH($AM51,TAX_MODES!$A:$A,0)))</f>
        <v/>
      </c>
      <c r="AO51" s="4"/>
      <c r="AP51" s="4"/>
    </row>
    <row r="52" ht="14.25" customHeight="1">
      <c r="A52" s="6"/>
      <c r="B52" s="6"/>
      <c r="C52" s="6"/>
      <c r="D52" s="29" t="str">
        <f>IF($C52="","",SUMIFS(SITE_COEFFS!$C:$C,SITE_COEFFS!$A:$A,"SoilWorkability",SITE_COEFFS!$B:$B,$C52))</f>
        <v/>
      </c>
      <c r="E52" s="6"/>
      <c r="F52" s="29" t="str">
        <f>IF($E52="","",SUMIFS(SITE_COEFFS!$C:$C,SITE_COEFFS!$A:$A,"SoilMoisture",SITE_COEFFS!$B:$B,$E52))</f>
        <v/>
      </c>
      <c r="G52" s="6"/>
      <c r="H52" s="29" t="str">
        <f>IF($G52="","",SUMIFS(SITE_COEFFS!$C:$C,SITE_COEFFS!$A:$A,"DebrisLevel",SITE_COEFFS!$B:$B,$G52))</f>
        <v/>
      </c>
      <c r="I52" s="6"/>
      <c r="J52" s="29" t="str">
        <f>IF($I52="","",SUMIFS(SITE_COEFFS!$C:$C,SITE_COEFFS!$A:$A,"SlopeClass",SITE_COEFFS!$B:$B,$I52))</f>
        <v/>
      </c>
      <c r="K52" s="6"/>
      <c r="L52" s="29" t="str">
        <f>IF($K52="","",SUMIFS(SITE_COEFFS!$C:$C,SITE_COEFFS!$A:$A,"SurfaceUnevenness",SITE_COEFFS!$B:$B,$K52))</f>
        <v/>
      </c>
      <c r="M52" s="6"/>
      <c r="N52" s="29" t="str">
        <f>IF($M52="","",SUMIFS(SITE_COEFFS!$C:$C,SITE_COEFFS!$A:$A,"AccessClass",SITE_COEFFS!$B:$B,$M52))</f>
        <v/>
      </c>
      <c r="O52" s="6"/>
      <c r="P52" s="29" t="str">
        <f>IF($O52="","",SUMIFS(SITE_COEFFS!$C:$C,SITE_COEFFS!$A:$A,"TurnSpace",SITE_COEFFS!$B:$B,$O52))</f>
        <v/>
      </c>
      <c r="Q52" s="6"/>
      <c r="R52" s="29" t="str">
        <f>IF($Q52="","",SUMIFS(SITE_COEFFS!$C:$C,SITE_COEFFS!$A:$A,"ProximityToBuildings",SITE_COEFFS!$B:$B,$Q52))</f>
        <v/>
      </c>
      <c r="S52" s="6"/>
      <c r="T52" s="29" t="str">
        <f>IF($S52="","",SUMIFS(SITE_COEFFS!$C:$C,SITE_COEFFS!$A:$A,"MachineryAllowed",SITE_COEFFS!$B:$B,$S52))</f>
        <v/>
      </c>
      <c r="U52" s="6"/>
      <c r="V52" s="6"/>
      <c r="W52" s="29" t="str">
        <f>IF($V52="","",SUMIFS(SITE_COEFFS!$C:$C,SITE_COEFFS!$A:$A,"GeometryComplexity",SITE_COEFFS!$B:$B,$V52))</f>
        <v/>
      </c>
      <c r="X52" s="6"/>
      <c r="Y52" s="6" t="str">
        <f>IF($X52="","",SUMIFS(TARIFF_PROFILES!$D:$D,TARIFF_PROFILES!$A:$A,$X52))</f>
        <v/>
      </c>
      <c r="Z52" s="6" t="str">
        <f>IF($X52="","",SUMIFS(TARIFF_PROFILES!$E:$E,TARIFF_PROFILES!$A:$A,$X52))</f>
        <v/>
      </c>
      <c r="AA52" s="6" t="str">
        <f>IF($X52="","",SUMIFS(TARIFF_PROFILES!$F:$F,TARIFF_PROFILES!$A:$A,$X52))</f>
        <v/>
      </c>
      <c r="AB52" s="6" t="str">
        <f>IF($X52="","",SUMIFS(TARIFF_PROFILES!$G:$G,TARIFF_PROFILES!$A:$A,$X52))</f>
        <v/>
      </c>
      <c r="AC52" s="6" t="str">
        <f>IF($X52="","",SUMIFS(TARIFF_PROFILES!$H:$H,TARIFF_PROFILES!$A:$A,$X52))</f>
        <v/>
      </c>
      <c r="AD52" s="6" t="str">
        <f t="array" ref="AD52">IF($X52="","",INDEX(TARIFF_PROFILES!$J:$J,MATCH($X52,TARIFF_PROFILES!$A:$A,0)))</f>
        <v/>
      </c>
      <c r="AE52" s="6" t="str">
        <f t="array" ref="AE52">IF($X52="","",INDEX(TARIFF_PROFILES!$K:$K,MATCH($X52,TARIFF_PROFILES!$A:$A,0)))</f>
        <v/>
      </c>
      <c r="AF52" s="4"/>
      <c r="AG52" s="4"/>
      <c r="AH52" s="4" t="str">
        <f>IF($AG52="","",SUMIFS(OPERATING_COEFFS!$C:$C,OPERATING_COEFFS!$A:$A,"DistanceClass",OPERATING_COEFFS!$B:$B,$AG52))</f>
        <v/>
      </c>
      <c r="AI52" s="4"/>
      <c r="AJ52" s="4" t="str">
        <f>IF($AI52="","",SUMIFS(OPERATING_COEFFS!$C:$C,OPERATING_COEFFS!$A:$A,"SeasonClass",OPERATING_COEFFS!$B:$B,$AI52))</f>
        <v/>
      </c>
      <c r="AK52" s="4"/>
      <c r="AL52" s="4" t="str">
        <f>IF($AK52="","",SUMIFS(OPERATING_COEFFS!$C:$C,OPERATING_COEFFS!$A:$A,"UrgencyClass",OPERATING_COEFFS!$B:$B,$AK52))</f>
        <v/>
      </c>
      <c r="AM52" s="4"/>
      <c r="AN52" s="4" t="str">
        <f t="array" ref="AN52">IF($AM52="","",INDEX(TAX_MODES!$B:$B,MATCH($AM52,TAX_MODES!$A:$A,0)))</f>
        <v/>
      </c>
      <c r="AO52" s="4"/>
      <c r="AP52" s="4"/>
    </row>
    <row r="53" ht="14.25" customHeight="1">
      <c r="A53" s="6"/>
      <c r="B53" s="6"/>
      <c r="C53" s="6"/>
      <c r="D53" s="29" t="str">
        <f>IF($C53="","",SUMIFS(SITE_COEFFS!$C:$C,SITE_COEFFS!$A:$A,"SoilWorkability",SITE_COEFFS!$B:$B,$C53))</f>
        <v/>
      </c>
      <c r="E53" s="6"/>
      <c r="F53" s="29" t="str">
        <f>IF($E53="","",SUMIFS(SITE_COEFFS!$C:$C,SITE_COEFFS!$A:$A,"SoilMoisture",SITE_COEFFS!$B:$B,$E53))</f>
        <v/>
      </c>
      <c r="G53" s="6"/>
      <c r="H53" s="29" t="str">
        <f>IF($G53="","",SUMIFS(SITE_COEFFS!$C:$C,SITE_COEFFS!$A:$A,"DebrisLevel",SITE_COEFFS!$B:$B,$G53))</f>
        <v/>
      </c>
      <c r="I53" s="6"/>
      <c r="J53" s="29" t="str">
        <f>IF($I53="","",SUMIFS(SITE_COEFFS!$C:$C,SITE_COEFFS!$A:$A,"SlopeClass",SITE_COEFFS!$B:$B,$I53))</f>
        <v/>
      </c>
      <c r="K53" s="6"/>
      <c r="L53" s="29" t="str">
        <f>IF($K53="","",SUMIFS(SITE_COEFFS!$C:$C,SITE_COEFFS!$A:$A,"SurfaceUnevenness",SITE_COEFFS!$B:$B,$K53))</f>
        <v/>
      </c>
      <c r="M53" s="6"/>
      <c r="N53" s="29" t="str">
        <f>IF($M53="","",SUMIFS(SITE_COEFFS!$C:$C,SITE_COEFFS!$A:$A,"AccessClass",SITE_COEFFS!$B:$B,$M53))</f>
        <v/>
      </c>
      <c r="O53" s="6"/>
      <c r="P53" s="29" t="str">
        <f>IF($O53="","",SUMIFS(SITE_COEFFS!$C:$C,SITE_COEFFS!$A:$A,"TurnSpace",SITE_COEFFS!$B:$B,$O53))</f>
        <v/>
      </c>
      <c r="Q53" s="6"/>
      <c r="R53" s="29" t="str">
        <f>IF($Q53="","",SUMIFS(SITE_COEFFS!$C:$C,SITE_COEFFS!$A:$A,"ProximityToBuildings",SITE_COEFFS!$B:$B,$Q53))</f>
        <v/>
      </c>
      <c r="S53" s="6"/>
      <c r="T53" s="29" t="str">
        <f>IF($S53="","",SUMIFS(SITE_COEFFS!$C:$C,SITE_COEFFS!$A:$A,"MachineryAllowed",SITE_COEFFS!$B:$B,$S53))</f>
        <v/>
      </c>
      <c r="U53" s="6"/>
      <c r="V53" s="6"/>
      <c r="W53" s="29" t="str">
        <f>IF($V53="","",SUMIFS(SITE_COEFFS!$C:$C,SITE_COEFFS!$A:$A,"GeometryComplexity",SITE_COEFFS!$B:$B,$V53))</f>
        <v/>
      </c>
      <c r="X53" s="6"/>
      <c r="Y53" s="6" t="str">
        <f>IF($X53="","",SUMIFS(TARIFF_PROFILES!$D:$D,TARIFF_PROFILES!$A:$A,$X53))</f>
        <v/>
      </c>
      <c r="Z53" s="6" t="str">
        <f>IF($X53="","",SUMIFS(TARIFF_PROFILES!$E:$E,TARIFF_PROFILES!$A:$A,$X53))</f>
        <v/>
      </c>
      <c r="AA53" s="6" t="str">
        <f>IF($X53="","",SUMIFS(TARIFF_PROFILES!$F:$F,TARIFF_PROFILES!$A:$A,$X53))</f>
        <v/>
      </c>
      <c r="AB53" s="6" t="str">
        <f>IF($X53="","",SUMIFS(TARIFF_PROFILES!$G:$G,TARIFF_PROFILES!$A:$A,$X53))</f>
        <v/>
      </c>
      <c r="AC53" s="6" t="str">
        <f>IF($X53="","",SUMIFS(TARIFF_PROFILES!$H:$H,TARIFF_PROFILES!$A:$A,$X53))</f>
        <v/>
      </c>
      <c r="AD53" s="6" t="str">
        <f t="array" ref="AD53">IF($X53="","",INDEX(TARIFF_PROFILES!$J:$J,MATCH($X53,TARIFF_PROFILES!$A:$A,0)))</f>
        <v/>
      </c>
      <c r="AE53" s="6" t="str">
        <f t="array" ref="AE53">IF($X53="","",INDEX(TARIFF_PROFILES!$K:$K,MATCH($X53,TARIFF_PROFILES!$A:$A,0)))</f>
        <v/>
      </c>
      <c r="AF53" s="4"/>
      <c r="AG53" s="4"/>
      <c r="AH53" s="4" t="str">
        <f>IF($AG53="","",SUMIFS(OPERATING_COEFFS!$C:$C,OPERATING_COEFFS!$A:$A,"DistanceClass",OPERATING_COEFFS!$B:$B,$AG53))</f>
        <v/>
      </c>
      <c r="AI53" s="4"/>
      <c r="AJ53" s="4" t="str">
        <f>IF($AI53="","",SUMIFS(OPERATING_COEFFS!$C:$C,OPERATING_COEFFS!$A:$A,"SeasonClass",OPERATING_COEFFS!$B:$B,$AI53))</f>
        <v/>
      </c>
      <c r="AK53" s="4"/>
      <c r="AL53" s="4" t="str">
        <f>IF($AK53="","",SUMIFS(OPERATING_COEFFS!$C:$C,OPERATING_COEFFS!$A:$A,"UrgencyClass",OPERATING_COEFFS!$B:$B,$AK53))</f>
        <v/>
      </c>
      <c r="AM53" s="4"/>
      <c r="AN53" s="4" t="str">
        <f t="array" ref="AN53">IF($AM53="","",INDEX(TAX_MODES!$B:$B,MATCH($AM53,TAX_MODES!$A:$A,0)))</f>
        <v/>
      </c>
      <c r="AO53" s="4"/>
      <c r="AP53" s="4"/>
    </row>
    <row r="54" ht="14.25" customHeight="1">
      <c r="A54" s="6"/>
      <c r="B54" s="6"/>
      <c r="C54" s="6"/>
      <c r="D54" s="29" t="str">
        <f>IF($C54="","",SUMIFS(SITE_COEFFS!$C:$C,SITE_COEFFS!$A:$A,"SoilWorkability",SITE_COEFFS!$B:$B,$C54))</f>
        <v/>
      </c>
      <c r="E54" s="6"/>
      <c r="F54" s="29" t="str">
        <f>IF($E54="","",SUMIFS(SITE_COEFFS!$C:$C,SITE_COEFFS!$A:$A,"SoilMoisture",SITE_COEFFS!$B:$B,$E54))</f>
        <v/>
      </c>
      <c r="G54" s="6"/>
      <c r="H54" s="29" t="str">
        <f>IF($G54="","",SUMIFS(SITE_COEFFS!$C:$C,SITE_COEFFS!$A:$A,"DebrisLevel",SITE_COEFFS!$B:$B,$G54))</f>
        <v/>
      </c>
      <c r="I54" s="6"/>
      <c r="J54" s="29" t="str">
        <f>IF($I54="","",SUMIFS(SITE_COEFFS!$C:$C,SITE_COEFFS!$A:$A,"SlopeClass",SITE_COEFFS!$B:$B,$I54))</f>
        <v/>
      </c>
      <c r="K54" s="6"/>
      <c r="L54" s="29" t="str">
        <f>IF($K54="","",SUMIFS(SITE_COEFFS!$C:$C,SITE_COEFFS!$A:$A,"SurfaceUnevenness",SITE_COEFFS!$B:$B,$K54))</f>
        <v/>
      </c>
      <c r="M54" s="6"/>
      <c r="N54" s="29" t="str">
        <f>IF($M54="","",SUMIFS(SITE_COEFFS!$C:$C,SITE_COEFFS!$A:$A,"AccessClass",SITE_COEFFS!$B:$B,$M54))</f>
        <v/>
      </c>
      <c r="O54" s="6"/>
      <c r="P54" s="29" t="str">
        <f>IF($O54="","",SUMIFS(SITE_COEFFS!$C:$C,SITE_COEFFS!$A:$A,"TurnSpace",SITE_COEFFS!$B:$B,$O54))</f>
        <v/>
      </c>
      <c r="Q54" s="6"/>
      <c r="R54" s="29" t="str">
        <f>IF($Q54="","",SUMIFS(SITE_COEFFS!$C:$C,SITE_COEFFS!$A:$A,"ProximityToBuildings",SITE_COEFFS!$B:$B,$Q54))</f>
        <v/>
      </c>
      <c r="S54" s="6"/>
      <c r="T54" s="29" t="str">
        <f>IF($S54="","",SUMIFS(SITE_COEFFS!$C:$C,SITE_COEFFS!$A:$A,"MachineryAllowed",SITE_COEFFS!$B:$B,$S54))</f>
        <v/>
      </c>
      <c r="U54" s="6"/>
      <c r="V54" s="6"/>
      <c r="W54" s="29" t="str">
        <f>IF($V54="","",SUMIFS(SITE_COEFFS!$C:$C,SITE_COEFFS!$A:$A,"GeometryComplexity",SITE_COEFFS!$B:$B,$V54))</f>
        <v/>
      </c>
      <c r="X54" s="6"/>
      <c r="Y54" s="6" t="str">
        <f>IF($X54="","",SUMIFS(TARIFF_PROFILES!$D:$D,TARIFF_PROFILES!$A:$A,$X54))</f>
        <v/>
      </c>
      <c r="Z54" s="6" t="str">
        <f>IF($X54="","",SUMIFS(TARIFF_PROFILES!$E:$E,TARIFF_PROFILES!$A:$A,$X54))</f>
        <v/>
      </c>
      <c r="AA54" s="6" t="str">
        <f>IF($X54="","",SUMIFS(TARIFF_PROFILES!$F:$F,TARIFF_PROFILES!$A:$A,$X54))</f>
        <v/>
      </c>
      <c r="AB54" s="6" t="str">
        <f>IF($X54="","",SUMIFS(TARIFF_PROFILES!$G:$G,TARIFF_PROFILES!$A:$A,$X54))</f>
        <v/>
      </c>
      <c r="AC54" s="6" t="str">
        <f>IF($X54="","",SUMIFS(TARIFF_PROFILES!$H:$H,TARIFF_PROFILES!$A:$A,$X54))</f>
        <v/>
      </c>
      <c r="AD54" s="6" t="str">
        <f t="array" ref="AD54">IF($X54="","",INDEX(TARIFF_PROFILES!$J:$J,MATCH($X54,TARIFF_PROFILES!$A:$A,0)))</f>
        <v/>
      </c>
      <c r="AE54" s="6" t="str">
        <f t="array" ref="AE54">IF($X54="","",INDEX(TARIFF_PROFILES!$K:$K,MATCH($X54,TARIFF_PROFILES!$A:$A,0)))</f>
        <v/>
      </c>
      <c r="AF54" s="4"/>
      <c r="AG54" s="4"/>
      <c r="AH54" s="4" t="str">
        <f>IF($AG54="","",SUMIFS(OPERATING_COEFFS!$C:$C,OPERATING_COEFFS!$A:$A,"DistanceClass",OPERATING_COEFFS!$B:$B,$AG54))</f>
        <v/>
      </c>
      <c r="AI54" s="4"/>
      <c r="AJ54" s="4" t="str">
        <f>IF($AI54="","",SUMIFS(OPERATING_COEFFS!$C:$C,OPERATING_COEFFS!$A:$A,"SeasonClass",OPERATING_COEFFS!$B:$B,$AI54))</f>
        <v/>
      </c>
      <c r="AK54" s="4"/>
      <c r="AL54" s="4" t="str">
        <f>IF($AK54="","",SUMIFS(OPERATING_COEFFS!$C:$C,OPERATING_COEFFS!$A:$A,"UrgencyClass",OPERATING_COEFFS!$B:$B,$AK54))</f>
        <v/>
      </c>
      <c r="AM54" s="4"/>
      <c r="AN54" s="4" t="str">
        <f t="array" ref="AN54">IF($AM54="","",INDEX(TAX_MODES!$B:$B,MATCH($AM54,TAX_MODES!$A:$A,0)))</f>
        <v/>
      </c>
      <c r="AO54" s="4"/>
      <c r="AP54" s="4"/>
    </row>
    <row r="55" ht="14.25" customHeight="1">
      <c r="A55" s="6"/>
      <c r="B55" s="6"/>
      <c r="C55" s="6"/>
      <c r="D55" s="29" t="str">
        <f>IF($C55="","",SUMIFS(SITE_COEFFS!$C:$C,SITE_COEFFS!$A:$A,"SoilWorkability",SITE_COEFFS!$B:$B,$C55))</f>
        <v/>
      </c>
      <c r="E55" s="6"/>
      <c r="F55" s="29" t="str">
        <f>IF($E55="","",SUMIFS(SITE_COEFFS!$C:$C,SITE_COEFFS!$A:$A,"SoilMoisture",SITE_COEFFS!$B:$B,$E55))</f>
        <v/>
      </c>
      <c r="G55" s="6"/>
      <c r="H55" s="29" t="str">
        <f>IF($G55="","",SUMIFS(SITE_COEFFS!$C:$C,SITE_COEFFS!$A:$A,"DebrisLevel",SITE_COEFFS!$B:$B,$G55))</f>
        <v/>
      </c>
      <c r="I55" s="6"/>
      <c r="J55" s="29" t="str">
        <f>IF($I55="","",SUMIFS(SITE_COEFFS!$C:$C,SITE_COEFFS!$A:$A,"SlopeClass",SITE_COEFFS!$B:$B,$I55))</f>
        <v/>
      </c>
      <c r="K55" s="6"/>
      <c r="L55" s="29" t="str">
        <f>IF($K55="","",SUMIFS(SITE_COEFFS!$C:$C,SITE_COEFFS!$A:$A,"SurfaceUnevenness",SITE_COEFFS!$B:$B,$K55))</f>
        <v/>
      </c>
      <c r="M55" s="6"/>
      <c r="N55" s="29" t="str">
        <f>IF($M55="","",SUMIFS(SITE_COEFFS!$C:$C,SITE_COEFFS!$A:$A,"AccessClass",SITE_COEFFS!$B:$B,$M55))</f>
        <v/>
      </c>
      <c r="O55" s="6"/>
      <c r="P55" s="29" t="str">
        <f>IF($O55="","",SUMIFS(SITE_COEFFS!$C:$C,SITE_COEFFS!$A:$A,"TurnSpace",SITE_COEFFS!$B:$B,$O55))</f>
        <v/>
      </c>
      <c r="Q55" s="6"/>
      <c r="R55" s="29" t="str">
        <f>IF($Q55="","",SUMIFS(SITE_COEFFS!$C:$C,SITE_COEFFS!$A:$A,"ProximityToBuildings",SITE_COEFFS!$B:$B,$Q55))</f>
        <v/>
      </c>
      <c r="S55" s="6"/>
      <c r="T55" s="29" t="str">
        <f>IF($S55="","",SUMIFS(SITE_COEFFS!$C:$C,SITE_COEFFS!$A:$A,"MachineryAllowed",SITE_COEFFS!$B:$B,$S55))</f>
        <v/>
      </c>
      <c r="U55" s="6"/>
      <c r="V55" s="6"/>
      <c r="W55" s="29" t="str">
        <f>IF($V55="","",SUMIFS(SITE_COEFFS!$C:$C,SITE_COEFFS!$A:$A,"GeometryComplexity",SITE_COEFFS!$B:$B,$V55))</f>
        <v/>
      </c>
      <c r="X55" s="6"/>
      <c r="Y55" s="6" t="str">
        <f>IF($X55="","",SUMIFS(TARIFF_PROFILES!$D:$D,TARIFF_PROFILES!$A:$A,$X55))</f>
        <v/>
      </c>
      <c r="Z55" s="6" t="str">
        <f>IF($X55="","",SUMIFS(TARIFF_PROFILES!$E:$E,TARIFF_PROFILES!$A:$A,$X55))</f>
        <v/>
      </c>
      <c r="AA55" s="6" t="str">
        <f>IF($X55="","",SUMIFS(TARIFF_PROFILES!$F:$F,TARIFF_PROFILES!$A:$A,$X55))</f>
        <v/>
      </c>
      <c r="AB55" s="6" t="str">
        <f>IF($X55="","",SUMIFS(TARIFF_PROFILES!$G:$G,TARIFF_PROFILES!$A:$A,$X55))</f>
        <v/>
      </c>
      <c r="AC55" s="6" t="str">
        <f>IF($X55="","",SUMIFS(TARIFF_PROFILES!$H:$H,TARIFF_PROFILES!$A:$A,$X55))</f>
        <v/>
      </c>
      <c r="AD55" s="6" t="str">
        <f t="array" ref="AD55">IF($X55="","",INDEX(TARIFF_PROFILES!$J:$J,MATCH($X55,TARIFF_PROFILES!$A:$A,0)))</f>
        <v/>
      </c>
      <c r="AE55" s="6" t="str">
        <f t="array" ref="AE55">IF($X55="","",INDEX(TARIFF_PROFILES!$K:$K,MATCH($X55,TARIFF_PROFILES!$A:$A,0)))</f>
        <v/>
      </c>
      <c r="AF55" s="4"/>
      <c r="AG55" s="4"/>
      <c r="AH55" s="4" t="str">
        <f>IF($AG55="","",SUMIFS(OPERATING_COEFFS!$C:$C,OPERATING_COEFFS!$A:$A,"DistanceClass",OPERATING_COEFFS!$B:$B,$AG55))</f>
        <v/>
      </c>
      <c r="AI55" s="4"/>
      <c r="AJ55" s="4" t="str">
        <f>IF($AI55="","",SUMIFS(OPERATING_COEFFS!$C:$C,OPERATING_COEFFS!$A:$A,"SeasonClass",OPERATING_COEFFS!$B:$B,$AI55))</f>
        <v/>
      </c>
      <c r="AK55" s="4"/>
      <c r="AL55" s="4" t="str">
        <f>IF($AK55="","",SUMIFS(OPERATING_COEFFS!$C:$C,OPERATING_COEFFS!$A:$A,"UrgencyClass",OPERATING_COEFFS!$B:$B,$AK55))</f>
        <v/>
      </c>
      <c r="AM55" s="4"/>
      <c r="AN55" s="4" t="str">
        <f t="array" ref="AN55">IF($AM55="","",INDEX(TAX_MODES!$B:$B,MATCH($AM55,TAX_MODES!$A:$A,0)))</f>
        <v/>
      </c>
      <c r="AO55" s="4"/>
      <c r="AP55" s="4"/>
    </row>
    <row r="56" ht="14.25" customHeight="1">
      <c r="A56" s="6"/>
      <c r="B56" s="6"/>
      <c r="C56" s="6"/>
      <c r="D56" s="29" t="str">
        <f>IF($C56="","",SUMIFS(SITE_COEFFS!$C:$C,SITE_COEFFS!$A:$A,"SoilWorkability",SITE_COEFFS!$B:$B,$C56))</f>
        <v/>
      </c>
      <c r="E56" s="6"/>
      <c r="F56" s="29" t="str">
        <f>IF($E56="","",SUMIFS(SITE_COEFFS!$C:$C,SITE_COEFFS!$A:$A,"SoilMoisture",SITE_COEFFS!$B:$B,$E56))</f>
        <v/>
      </c>
      <c r="G56" s="6"/>
      <c r="H56" s="29" t="str">
        <f>IF($G56="","",SUMIFS(SITE_COEFFS!$C:$C,SITE_COEFFS!$A:$A,"DebrisLevel",SITE_COEFFS!$B:$B,$G56))</f>
        <v/>
      </c>
      <c r="I56" s="6"/>
      <c r="J56" s="29" t="str">
        <f>IF($I56="","",SUMIFS(SITE_COEFFS!$C:$C,SITE_COEFFS!$A:$A,"SlopeClass",SITE_COEFFS!$B:$B,$I56))</f>
        <v/>
      </c>
      <c r="K56" s="6"/>
      <c r="L56" s="29" t="str">
        <f>IF($K56="","",SUMIFS(SITE_COEFFS!$C:$C,SITE_COEFFS!$A:$A,"SurfaceUnevenness",SITE_COEFFS!$B:$B,$K56))</f>
        <v/>
      </c>
      <c r="M56" s="6"/>
      <c r="N56" s="29" t="str">
        <f>IF($M56="","",SUMIFS(SITE_COEFFS!$C:$C,SITE_COEFFS!$A:$A,"AccessClass",SITE_COEFFS!$B:$B,$M56))</f>
        <v/>
      </c>
      <c r="O56" s="6"/>
      <c r="P56" s="29" t="str">
        <f>IF($O56="","",SUMIFS(SITE_COEFFS!$C:$C,SITE_COEFFS!$A:$A,"TurnSpace",SITE_COEFFS!$B:$B,$O56))</f>
        <v/>
      </c>
      <c r="Q56" s="6"/>
      <c r="R56" s="29" t="str">
        <f>IF($Q56="","",SUMIFS(SITE_COEFFS!$C:$C,SITE_COEFFS!$A:$A,"ProximityToBuildings",SITE_COEFFS!$B:$B,$Q56))</f>
        <v/>
      </c>
      <c r="S56" s="6"/>
      <c r="T56" s="29" t="str">
        <f>IF($S56="","",SUMIFS(SITE_COEFFS!$C:$C,SITE_COEFFS!$A:$A,"MachineryAllowed",SITE_COEFFS!$B:$B,$S56))</f>
        <v/>
      </c>
      <c r="U56" s="6"/>
      <c r="V56" s="6"/>
      <c r="W56" s="29" t="str">
        <f>IF($V56="","",SUMIFS(SITE_COEFFS!$C:$C,SITE_COEFFS!$A:$A,"GeometryComplexity",SITE_COEFFS!$B:$B,$V56))</f>
        <v/>
      </c>
      <c r="X56" s="6"/>
      <c r="Y56" s="6" t="str">
        <f>IF($X56="","",SUMIFS(TARIFF_PROFILES!$D:$D,TARIFF_PROFILES!$A:$A,$X56))</f>
        <v/>
      </c>
      <c r="Z56" s="6" t="str">
        <f>IF($X56="","",SUMIFS(TARIFF_PROFILES!$E:$E,TARIFF_PROFILES!$A:$A,$X56))</f>
        <v/>
      </c>
      <c r="AA56" s="6" t="str">
        <f>IF($X56="","",SUMIFS(TARIFF_PROFILES!$F:$F,TARIFF_PROFILES!$A:$A,$X56))</f>
        <v/>
      </c>
      <c r="AB56" s="6" t="str">
        <f>IF($X56="","",SUMIFS(TARIFF_PROFILES!$G:$G,TARIFF_PROFILES!$A:$A,$X56))</f>
        <v/>
      </c>
      <c r="AC56" s="6" t="str">
        <f>IF($X56="","",SUMIFS(TARIFF_PROFILES!$H:$H,TARIFF_PROFILES!$A:$A,$X56))</f>
        <v/>
      </c>
      <c r="AD56" s="6" t="str">
        <f t="array" ref="AD56">IF($X56="","",INDEX(TARIFF_PROFILES!$J:$J,MATCH($X56,TARIFF_PROFILES!$A:$A,0)))</f>
        <v/>
      </c>
      <c r="AE56" s="6" t="str">
        <f t="array" ref="AE56">IF($X56="","",INDEX(TARIFF_PROFILES!$K:$K,MATCH($X56,TARIFF_PROFILES!$A:$A,0)))</f>
        <v/>
      </c>
      <c r="AF56" s="4"/>
      <c r="AG56" s="4"/>
      <c r="AH56" s="4" t="str">
        <f>IF($AG56="","",SUMIFS(OPERATING_COEFFS!$C:$C,OPERATING_COEFFS!$A:$A,"DistanceClass",OPERATING_COEFFS!$B:$B,$AG56))</f>
        <v/>
      </c>
      <c r="AI56" s="4"/>
      <c r="AJ56" s="4" t="str">
        <f>IF($AI56="","",SUMIFS(OPERATING_COEFFS!$C:$C,OPERATING_COEFFS!$A:$A,"SeasonClass",OPERATING_COEFFS!$B:$B,$AI56))</f>
        <v/>
      </c>
      <c r="AK56" s="4"/>
      <c r="AL56" s="4" t="str">
        <f>IF($AK56="","",SUMIFS(OPERATING_COEFFS!$C:$C,OPERATING_COEFFS!$A:$A,"UrgencyClass",OPERATING_COEFFS!$B:$B,$AK56))</f>
        <v/>
      </c>
      <c r="AM56" s="4"/>
      <c r="AN56" s="4" t="str">
        <f t="array" ref="AN56">IF($AM56="","",INDEX(TAX_MODES!$B:$B,MATCH($AM56,TAX_MODES!$A:$A,0)))</f>
        <v/>
      </c>
      <c r="AO56" s="4"/>
      <c r="AP56" s="4"/>
    </row>
    <row r="57" ht="14.25" customHeight="1">
      <c r="A57" s="6"/>
      <c r="B57" s="6"/>
      <c r="C57" s="6"/>
      <c r="D57" s="29" t="str">
        <f>IF($C57="","",SUMIFS(SITE_COEFFS!$C:$C,SITE_COEFFS!$A:$A,"SoilWorkability",SITE_COEFFS!$B:$B,$C57))</f>
        <v/>
      </c>
      <c r="E57" s="6"/>
      <c r="F57" s="29" t="str">
        <f>IF($E57="","",SUMIFS(SITE_COEFFS!$C:$C,SITE_COEFFS!$A:$A,"SoilMoisture",SITE_COEFFS!$B:$B,$E57))</f>
        <v/>
      </c>
      <c r="G57" s="6"/>
      <c r="H57" s="29" t="str">
        <f>IF($G57="","",SUMIFS(SITE_COEFFS!$C:$C,SITE_COEFFS!$A:$A,"DebrisLevel",SITE_COEFFS!$B:$B,$G57))</f>
        <v/>
      </c>
      <c r="I57" s="6"/>
      <c r="J57" s="29" t="str">
        <f>IF($I57="","",SUMIFS(SITE_COEFFS!$C:$C,SITE_COEFFS!$A:$A,"SlopeClass",SITE_COEFFS!$B:$B,$I57))</f>
        <v/>
      </c>
      <c r="K57" s="6"/>
      <c r="L57" s="29" t="str">
        <f>IF($K57="","",SUMIFS(SITE_COEFFS!$C:$C,SITE_COEFFS!$A:$A,"SurfaceUnevenness",SITE_COEFFS!$B:$B,$K57))</f>
        <v/>
      </c>
      <c r="M57" s="6"/>
      <c r="N57" s="29" t="str">
        <f>IF($M57="","",SUMIFS(SITE_COEFFS!$C:$C,SITE_COEFFS!$A:$A,"AccessClass",SITE_COEFFS!$B:$B,$M57))</f>
        <v/>
      </c>
      <c r="O57" s="6"/>
      <c r="P57" s="29" t="str">
        <f>IF($O57="","",SUMIFS(SITE_COEFFS!$C:$C,SITE_COEFFS!$A:$A,"TurnSpace",SITE_COEFFS!$B:$B,$O57))</f>
        <v/>
      </c>
      <c r="Q57" s="6"/>
      <c r="R57" s="29" t="str">
        <f>IF($Q57="","",SUMIFS(SITE_COEFFS!$C:$C,SITE_COEFFS!$A:$A,"ProximityToBuildings",SITE_COEFFS!$B:$B,$Q57))</f>
        <v/>
      </c>
      <c r="S57" s="6"/>
      <c r="T57" s="29" t="str">
        <f>IF($S57="","",SUMIFS(SITE_COEFFS!$C:$C,SITE_COEFFS!$A:$A,"MachineryAllowed",SITE_COEFFS!$B:$B,$S57))</f>
        <v/>
      </c>
      <c r="U57" s="6"/>
      <c r="V57" s="6"/>
      <c r="W57" s="29" t="str">
        <f>IF($V57="","",SUMIFS(SITE_COEFFS!$C:$C,SITE_COEFFS!$A:$A,"GeometryComplexity",SITE_COEFFS!$B:$B,$V57))</f>
        <v/>
      </c>
      <c r="X57" s="6"/>
      <c r="Y57" s="6" t="str">
        <f>IF($X57="","",SUMIFS(TARIFF_PROFILES!$D:$D,TARIFF_PROFILES!$A:$A,$X57))</f>
        <v/>
      </c>
      <c r="Z57" s="6" t="str">
        <f>IF($X57="","",SUMIFS(TARIFF_PROFILES!$E:$E,TARIFF_PROFILES!$A:$A,$X57))</f>
        <v/>
      </c>
      <c r="AA57" s="6" t="str">
        <f>IF($X57="","",SUMIFS(TARIFF_PROFILES!$F:$F,TARIFF_PROFILES!$A:$A,$X57))</f>
        <v/>
      </c>
      <c r="AB57" s="6" t="str">
        <f>IF($X57="","",SUMIFS(TARIFF_PROFILES!$G:$G,TARIFF_PROFILES!$A:$A,$X57))</f>
        <v/>
      </c>
      <c r="AC57" s="6" t="str">
        <f>IF($X57="","",SUMIFS(TARIFF_PROFILES!$H:$H,TARIFF_PROFILES!$A:$A,$X57))</f>
        <v/>
      </c>
      <c r="AD57" s="6" t="str">
        <f t="array" ref="AD57">IF($X57="","",INDEX(TARIFF_PROFILES!$J:$J,MATCH($X57,TARIFF_PROFILES!$A:$A,0)))</f>
        <v/>
      </c>
      <c r="AE57" s="6" t="str">
        <f t="array" ref="AE57">IF($X57="","",INDEX(TARIFF_PROFILES!$K:$K,MATCH($X57,TARIFF_PROFILES!$A:$A,0)))</f>
        <v/>
      </c>
      <c r="AF57" s="4"/>
      <c r="AG57" s="4"/>
      <c r="AH57" s="4" t="str">
        <f>IF($AG57="","",SUMIFS(OPERATING_COEFFS!$C:$C,OPERATING_COEFFS!$A:$A,"DistanceClass",OPERATING_COEFFS!$B:$B,$AG57))</f>
        <v/>
      </c>
      <c r="AI57" s="4"/>
      <c r="AJ57" s="4" t="str">
        <f>IF($AI57="","",SUMIFS(OPERATING_COEFFS!$C:$C,OPERATING_COEFFS!$A:$A,"SeasonClass",OPERATING_COEFFS!$B:$B,$AI57))</f>
        <v/>
      </c>
      <c r="AK57" s="4"/>
      <c r="AL57" s="4" t="str">
        <f>IF($AK57="","",SUMIFS(OPERATING_COEFFS!$C:$C,OPERATING_COEFFS!$A:$A,"UrgencyClass",OPERATING_COEFFS!$B:$B,$AK57))</f>
        <v/>
      </c>
      <c r="AM57" s="4"/>
      <c r="AN57" s="4" t="str">
        <f t="array" ref="AN57">IF($AM57="","",INDEX(TAX_MODES!$B:$B,MATCH($AM57,TAX_MODES!$A:$A,0)))</f>
        <v/>
      </c>
      <c r="AO57" s="4"/>
      <c r="AP57" s="4"/>
    </row>
    <row r="58" ht="14.25" customHeight="1">
      <c r="A58" s="6"/>
      <c r="B58" s="6"/>
      <c r="C58" s="6"/>
      <c r="D58" s="29" t="str">
        <f>IF($C58="","",SUMIFS(SITE_COEFFS!$C:$C,SITE_COEFFS!$A:$A,"SoilWorkability",SITE_COEFFS!$B:$B,$C58))</f>
        <v/>
      </c>
      <c r="E58" s="6"/>
      <c r="F58" s="29" t="str">
        <f>IF($E58="","",SUMIFS(SITE_COEFFS!$C:$C,SITE_COEFFS!$A:$A,"SoilMoisture",SITE_COEFFS!$B:$B,$E58))</f>
        <v/>
      </c>
      <c r="G58" s="6"/>
      <c r="H58" s="29" t="str">
        <f>IF($G58="","",SUMIFS(SITE_COEFFS!$C:$C,SITE_COEFFS!$A:$A,"DebrisLevel",SITE_COEFFS!$B:$B,$G58))</f>
        <v/>
      </c>
      <c r="I58" s="6"/>
      <c r="J58" s="29" t="str">
        <f>IF($I58="","",SUMIFS(SITE_COEFFS!$C:$C,SITE_COEFFS!$A:$A,"SlopeClass",SITE_COEFFS!$B:$B,$I58))</f>
        <v/>
      </c>
      <c r="K58" s="6"/>
      <c r="L58" s="29" t="str">
        <f>IF($K58="","",SUMIFS(SITE_COEFFS!$C:$C,SITE_COEFFS!$A:$A,"SurfaceUnevenness",SITE_COEFFS!$B:$B,$K58))</f>
        <v/>
      </c>
      <c r="M58" s="6"/>
      <c r="N58" s="29" t="str">
        <f>IF($M58="","",SUMIFS(SITE_COEFFS!$C:$C,SITE_COEFFS!$A:$A,"AccessClass",SITE_COEFFS!$B:$B,$M58))</f>
        <v/>
      </c>
      <c r="O58" s="6"/>
      <c r="P58" s="29" t="str">
        <f>IF($O58="","",SUMIFS(SITE_COEFFS!$C:$C,SITE_COEFFS!$A:$A,"TurnSpace",SITE_COEFFS!$B:$B,$O58))</f>
        <v/>
      </c>
      <c r="Q58" s="6"/>
      <c r="R58" s="29" t="str">
        <f>IF($Q58="","",SUMIFS(SITE_COEFFS!$C:$C,SITE_COEFFS!$A:$A,"ProximityToBuildings",SITE_COEFFS!$B:$B,$Q58))</f>
        <v/>
      </c>
      <c r="S58" s="6"/>
      <c r="T58" s="29" t="str">
        <f>IF($S58="","",SUMIFS(SITE_COEFFS!$C:$C,SITE_COEFFS!$A:$A,"MachineryAllowed",SITE_COEFFS!$B:$B,$S58))</f>
        <v/>
      </c>
      <c r="U58" s="6"/>
      <c r="V58" s="6"/>
      <c r="W58" s="29" t="str">
        <f>IF($V58="","",SUMIFS(SITE_COEFFS!$C:$C,SITE_COEFFS!$A:$A,"GeometryComplexity",SITE_COEFFS!$B:$B,$V58))</f>
        <v/>
      </c>
      <c r="X58" s="6"/>
      <c r="Y58" s="6" t="str">
        <f>IF($X58="","",SUMIFS(TARIFF_PROFILES!$D:$D,TARIFF_PROFILES!$A:$A,$X58))</f>
        <v/>
      </c>
      <c r="Z58" s="6" t="str">
        <f>IF($X58="","",SUMIFS(TARIFF_PROFILES!$E:$E,TARIFF_PROFILES!$A:$A,$X58))</f>
        <v/>
      </c>
      <c r="AA58" s="6" t="str">
        <f>IF($X58="","",SUMIFS(TARIFF_PROFILES!$F:$F,TARIFF_PROFILES!$A:$A,$X58))</f>
        <v/>
      </c>
      <c r="AB58" s="6" t="str">
        <f>IF($X58="","",SUMIFS(TARIFF_PROFILES!$G:$G,TARIFF_PROFILES!$A:$A,$X58))</f>
        <v/>
      </c>
      <c r="AC58" s="6" t="str">
        <f>IF($X58="","",SUMIFS(TARIFF_PROFILES!$H:$H,TARIFF_PROFILES!$A:$A,$X58))</f>
        <v/>
      </c>
      <c r="AD58" s="6" t="str">
        <f t="array" ref="AD58">IF($X58="","",INDEX(TARIFF_PROFILES!$J:$J,MATCH($X58,TARIFF_PROFILES!$A:$A,0)))</f>
        <v/>
      </c>
      <c r="AE58" s="6" t="str">
        <f t="array" ref="AE58">IF($X58="","",INDEX(TARIFF_PROFILES!$K:$K,MATCH($X58,TARIFF_PROFILES!$A:$A,0)))</f>
        <v/>
      </c>
      <c r="AF58" s="4"/>
      <c r="AG58" s="4"/>
      <c r="AH58" s="4" t="str">
        <f>IF($AG58="","",SUMIFS(OPERATING_COEFFS!$C:$C,OPERATING_COEFFS!$A:$A,"DistanceClass",OPERATING_COEFFS!$B:$B,$AG58))</f>
        <v/>
      </c>
      <c r="AI58" s="4"/>
      <c r="AJ58" s="4" t="str">
        <f>IF($AI58="","",SUMIFS(OPERATING_COEFFS!$C:$C,OPERATING_COEFFS!$A:$A,"SeasonClass",OPERATING_COEFFS!$B:$B,$AI58))</f>
        <v/>
      </c>
      <c r="AK58" s="4"/>
      <c r="AL58" s="4" t="str">
        <f>IF($AK58="","",SUMIFS(OPERATING_COEFFS!$C:$C,OPERATING_COEFFS!$A:$A,"UrgencyClass",OPERATING_COEFFS!$B:$B,$AK58))</f>
        <v/>
      </c>
      <c r="AM58" s="4"/>
      <c r="AN58" s="4" t="str">
        <f t="array" ref="AN58">IF($AM58="","",INDEX(TAX_MODES!$B:$B,MATCH($AM58,TAX_MODES!$A:$A,0)))</f>
        <v/>
      </c>
      <c r="AO58" s="4"/>
      <c r="AP58" s="4"/>
    </row>
    <row r="59" ht="14.25" customHeight="1">
      <c r="A59" s="6"/>
      <c r="B59" s="6"/>
      <c r="C59" s="6"/>
      <c r="D59" s="29" t="str">
        <f>IF($C59="","",SUMIFS(SITE_COEFFS!$C:$C,SITE_COEFFS!$A:$A,"SoilWorkability",SITE_COEFFS!$B:$B,$C59))</f>
        <v/>
      </c>
      <c r="E59" s="6"/>
      <c r="F59" s="29" t="str">
        <f>IF($E59="","",SUMIFS(SITE_COEFFS!$C:$C,SITE_COEFFS!$A:$A,"SoilMoisture",SITE_COEFFS!$B:$B,$E59))</f>
        <v/>
      </c>
      <c r="G59" s="6"/>
      <c r="H59" s="29" t="str">
        <f>IF($G59="","",SUMIFS(SITE_COEFFS!$C:$C,SITE_COEFFS!$A:$A,"DebrisLevel",SITE_COEFFS!$B:$B,$G59))</f>
        <v/>
      </c>
      <c r="I59" s="6"/>
      <c r="J59" s="29" t="str">
        <f>IF($I59="","",SUMIFS(SITE_COEFFS!$C:$C,SITE_COEFFS!$A:$A,"SlopeClass",SITE_COEFFS!$B:$B,$I59))</f>
        <v/>
      </c>
      <c r="K59" s="6"/>
      <c r="L59" s="29" t="str">
        <f>IF($K59="","",SUMIFS(SITE_COEFFS!$C:$C,SITE_COEFFS!$A:$A,"SurfaceUnevenness",SITE_COEFFS!$B:$B,$K59))</f>
        <v/>
      </c>
      <c r="M59" s="6"/>
      <c r="N59" s="29" t="str">
        <f>IF($M59="","",SUMIFS(SITE_COEFFS!$C:$C,SITE_COEFFS!$A:$A,"AccessClass",SITE_COEFFS!$B:$B,$M59))</f>
        <v/>
      </c>
      <c r="O59" s="6"/>
      <c r="P59" s="29" t="str">
        <f>IF($O59="","",SUMIFS(SITE_COEFFS!$C:$C,SITE_COEFFS!$A:$A,"TurnSpace",SITE_COEFFS!$B:$B,$O59))</f>
        <v/>
      </c>
      <c r="Q59" s="6"/>
      <c r="R59" s="29" t="str">
        <f>IF($Q59="","",SUMIFS(SITE_COEFFS!$C:$C,SITE_COEFFS!$A:$A,"ProximityToBuildings",SITE_COEFFS!$B:$B,$Q59))</f>
        <v/>
      </c>
      <c r="S59" s="6"/>
      <c r="T59" s="29" t="str">
        <f>IF($S59="","",SUMIFS(SITE_COEFFS!$C:$C,SITE_COEFFS!$A:$A,"MachineryAllowed",SITE_COEFFS!$B:$B,$S59))</f>
        <v/>
      </c>
      <c r="U59" s="6"/>
      <c r="V59" s="6"/>
      <c r="W59" s="29" t="str">
        <f>IF($V59="","",SUMIFS(SITE_COEFFS!$C:$C,SITE_COEFFS!$A:$A,"GeometryComplexity",SITE_COEFFS!$B:$B,$V59))</f>
        <v/>
      </c>
      <c r="X59" s="6"/>
      <c r="Y59" s="6" t="str">
        <f>IF($X59="","",SUMIFS(TARIFF_PROFILES!$D:$D,TARIFF_PROFILES!$A:$A,$X59))</f>
        <v/>
      </c>
      <c r="Z59" s="6" t="str">
        <f>IF($X59="","",SUMIFS(TARIFF_PROFILES!$E:$E,TARIFF_PROFILES!$A:$A,$X59))</f>
        <v/>
      </c>
      <c r="AA59" s="6" t="str">
        <f>IF($X59="","",SUMIFS(TARIFF_PROFILES!$F:$F,TARIFF_PROFILES!$A:$A,$X59))</f>
        <v/>
      </c>
      <c r="AB59" s="6" t="str">
        <f>IF($X59="","",SUMIFS(TARIFF_PROFILES!$G:$G,TARIFF_PROFILES!$A:$A,$X59))</f>
        <v/>
      </c>
      <c r="AC59" s="6" t="str">
        <f>IF($X59="","",SUMIFS(TARIFF_PROFILES!$H:$H,TARIFF_PROFILES!$A:$A,$X59))</f>
        <v/>
      </c>
      <c r="AD59" s="6" t="str">
        <f t="array" ref="AD59">IF($X59="","",INDEX(TARIFF_PROFILES!$J:$J,MATCH($X59,TARIFF_PROFILES!$A:$A,0)))</f>
        <v/>
      </c>
      <c r="AE59" s="6" t="str">
        <f t="array" ref="AE59">IF($X59="","",INDEX(TARIFF_PROFILES!$K:$K,MATCH($X59,TARIFF_PROFILES!$A:$A,0)))</f>
        <v/>
      </c>
      <c r="AF59" s="4"/>
      <c r="AG59" s="4"/>
      <c r="AH59" s="4" t="str">
        <f>IF($AG59="","",SUMIFS(OPERATING_COEFFS!$C:$C,OPERATING_COEFFS!$A:$A,"DistanceClass",OPERATING_COEFFS!$B:$B,$AG59))</f>
        <v/>
      </c>
      <c r="AI59" s="4"/>
      <c r="AJ59" s="4" t="str">
        <f>IF($AI59="","",SUMIFS(OPERATING_COEFFS!$C:$C,OPERATING_COEFFS!$A:$A,"SeasonClass",OPERATING_COEFFS!$B:$B,$AI59))</f>
        <v/>
      </c>
      <c r="AK59" s="4"/>
      <c r="AL59" s="4" t="str">
        <f>IF($AK59="","",SUMIFS(OPERATING_COEFFS!$C:$C,OPERATING_COEFFS!$A:$A,"UrgencyClass",OPERATING_COEFFS!$B:$B,$AK59))</f>
        <v/>
      </c>
      <c r="AM59" s="4"/>
      <c r="AN59" s="4" t="str">
        <f t="array" ref="AN59">IF($AM59="","",INDEX(TAX_MODES!$B:$B,MATCH($AM59,TAX_MODES!$A:$A,0)))</f>
        <v/>
      </c>
      <c r="AO59" s="4"/>
      <c r="AP59" s="4"/>
    </row>
    <row r="60" ht="14.25" customHeight="1">
      <c r="A60" s="6"/>
      <c r="B60" s="6"/>
      <c r="C60" s="6"/>
      <c r="D60" s="29" t="str">
        <f>IF($C60="","",SUMIFS(SITE_COEFFS!$C:$C,SITE_COEFFS!$A:$A,"SoilWorkability",SITE_COEFFS!$B:$B,$C60))</f>
        <v/>
      </c>
      <c r="E60" s="6"/>
      <c r="F60" s="29" t="str">
        <f>IF($E60="","",SUMIFS(SITE_COEFFS!$C:$C,SITE_COEFFS!$A:$A,"SoilMoisture",SITE_COEFFS!$B:$B,$E60))</f>
        <v/>
      </c>
      <c r="G60" s="6"/>
      <c r="H60" s="29" t="str">
        <f>IF($G60="","",SUMIFS(SITE_COEFFS!$C:$C,SITE_COEFFS!$A:$A,"DebrisLevel",SITE_COEFFS!$B:$B,$G60))</f>
        <v/>
      </c>
      <c r="I60" s="6"/>
      <c r="J60" s="29" t="str">
        <f>IF($I60="","",SUMIFS(SITE_COEFFS!$C:$C,SITE_COEFFS!$A:$A,"SlopeClass",SITE_COEFFS!$B:$B,$I60))</f>
        <v/>
      </c>
      <c r="K60" s="6"/>
      <c r="L60" s="29" t="str">
        <f>IF($K60="","",SUMIFS(SITE_COEFFS!$C:$C,SITE_COEFFS!$A:$A,"SurfaceUnevenness",SITE_COEFFS!$B:$B,$K60))</f>
        <v/>
      </c>
      <c r="M60" s="6"/>
      <c r="N60" s="29" t="str">
        <f>IF($M60="","",SUMIFS(SITE_COEFFS!$C:$C,SITE_COEFFS!$A:$A,"AccessClass",SITE_COEFFS!$B:$B,$M60))</f>
        <v/>
      </c>
      <c r="O60" s="6"/>
      <c r="P60" s="29" t="str">
        <f>IF($O60="","",SUMIFS(SITE_COEFFS!$C:$C,SITE_COEFFS!$A:$A,"TurnSpace",SITE_COEFFS!$B:$B,$O60))</f>
        <v/>
      </c>
      <c r="Q60" s="6"/>
      <c r="R60" s="29" t="str">
        <f>IF($Q60="","",SUMIFS(SITE_COEFFS!$C:$C,SITE_COEFFS!$A:$A,"ProximityToBuildings",SITE_COEFFS!$B:$B,$Q60))</f>
        <v/>
      </c>
      <c r="S60" s="6"/>
      <c r="T60" s="29" t="str">
        <f>IF($S60="","",SUMIFS(SITE_COEFFS!$C:$C,SITE_COEFFS!$A:$A,"MachineryAllowed",SITE_COEFFS!$B:$B,$S60))</f>
        <v/>
      </c>
      <c r="U60" s="6"/>
      <c r="V60" s="6"/>
      <c r="W60" s="29" t="str">
        <f>IF($V60="","",SUMIFS(SITE_COEFFS!$C:$C,SITE_COEFFS!$A:$A,"GeometryComplexity",SITE_COEFFS!$B:$B,$V60))</f>
        <v/>
      </c>
      <c r="X60" s="6"/>
      <c r="Y60" s="6" t="str">
        <f>IF($X60="","",SUMIFS(TARIFF_PROFILES!$D:$D,TARIFF_PROFILES!$A:$A,$X60))</f>
        <v/>
      </c>
      <c r="Z60" s="6" t="str">
        <f>IF($X60="","",SUMIFS(TARIFF_PROFILES!$E:$E,TARIFF_PROFILES!$A:$A,$X60))</f>
        <v/>
      </c>
      <c r="AA60" s="6" t="str">
        <f>IF($X60="","",SUMIFS(TARIFF_PROFILES!$F:$F,TARIFF_PROFILES!$A:$A,$X60))</f>
        <v/>
      </c>
      <c r="AB60" s="6" t="str">
        <f>IF($X60="","",SUMIFS(TARIFF_PROFILES!$G:$G,TARIFF_PROFILES!$A:$A,$X60))</f>
        <v/>
      </c>
      <c r="AC60" s="6" t="str">
        <f>IF($X60="","",SUMIFS(TARIFF_PROFILES!$H:$H,TARIFF_PROFILES!$A:$A,$X60))</f>
        <v/>
      </c>
      <c r="AD60" s="6" t="str">
        <f t="array" ref="AD60">IF($X60="","",INDEX(TARIFF_PROFILES!$J:$J,MATCH($X60,TARIFF_PROFILES!$A:$A,0)))</f>
        <v/>
      </c>
      <c r="AE60" s="6" t="str">
        <f t="array" ref="AE60">IF($X60="","",INDEX(TARIFF_PROFILES!$K:$K,MATCH($X60,TARIFF_PROFILES!$A:$A,0)))</f>
        <v/>
      </c>
      <c r="AF60" s="4"/>
      <c r="AG60" s="4"/>
      <c r="AH60" s="4" t="str">
        <f>IF($AG60="","",SUMIFS(OPERATING_COEFFS!$C:$C,OPERATING_COEFFS!$A:$A,"DistanceClass",OPERATING_COEFFS!$B:$B,$AG60))</f>
        <v/>
      </c>
      <c r="AI60" s="4"/>
      <c r="AJ60" s="4" t="str">
        <f>IF($AI60="","",SUMIFS(OPERATING_COEFFS!$C:$C,OPERATING_COEFFS!$A:$A,"SeasonClass",OPERATING_COEFFS!$B:$B,$AI60))</f>
        <v/>
      </c>
      <c r="AK60" s="4"/>
      <c r="AL60" s="4" t="str">
        <f>IF($AK60="","",SUMIFS(OPERATING_COEFFS!$C:$C,OPERATING_COEFFS!$A:$A,"UrgencyClass",OPERATING_COEFFS!$B:$B,$AK60))</f>
        <v/>
      </c>
      <c r="AM60" s="4"/>
      <c r="AN60" s="4" t="str">
        <f t="array" ref="AN60">IF($AM60="","",INDEX(TAX_MODES!$B:$B,MATCH($AM60,TAX_MODES!$A:$A,0)))</f>
        <v/>
      </c>
      <c r="AO60" s="4"/>
      <c r="AP60" s="4"/>
    </row>
    <row r="61" ht="14.25" customHeight="1">
      <c r="A61" s="31"/>
      <c r="B61" s="31"/>
      <c r="C61" s="31"/>
      <c r="D61" s="32" t="str">
        <f>IF($C61="","",SUMIFS(SITE_COEFFS!$C:$C,SITE_COEFFS!$A:$A,"SoilWorkability",SITE_COEFFS!$B:$B,$C61))</f>
        <v/>
      </c>
      <c r="E61" s="31"/>
      <c r="F61" s="32" t="str">
        <f>IF($E61="","",SUMIFS(SITE_COEFFS!$C:$C,SITE_COEFFS!$A:$A,"SoilMoisture",SITE_COEFFS!$B:$B,$E61))</f>
        <v/>
      </c>
      <c r="G61" s="31"/>
      <c r="H61" s="32" t="str">
        <f>IF($G61="","",SUMIFS(SITE_COEFFS!$C:$C,SITE_COEFFS!$A:$A,"DebrisLevel",SITE_COEFFS!$B:$B,$G61))</f>
        <v/>
      </c>
      <c r="I61" s="31"/>
      <c r="J61" s="32" t="str">
        <f>IF($I61="","",SUMIFS(SITE_COEFFS!$C:$C,SITE_COEFFS!$A:$A,"SlopeClass",SITE_COEFFS!$B:$B,$I61))</f>
        <v/>
      </c>
      <c r="K61" s="31"/>
      <c r="L61" s="32" t="str">
        <f>IF($K61="","",SUMIFS(SITE_COEFFS!$C:$C,SITE_COEFFS!$A:$A,"SurfaceUnevenness",SITE_COEFFS!$B:$B,$K61))</f>
        <v/>
      </c>
      <c r="M61" s="31"/>
      <c r="N61" s="32" t="str">
        <f>IF($M61="","",SUMIFS(SITE_COEFFS!$C:$C,SITE_COEFFS!$A:$A,"AccessClass",SITE_COEFFS!$B:$B,$M61))</f>
        <v/>
      </c>
      <c r="O61" s="31"/>
      <c r="P61" s="32" t="str">
        <f>IF($O61="","",SUMIFS(SITE_COEFFS!$C:$C,SITE_COEFFS!$A:$A,"TurnSpace",SITE_COEFFS!$B:$B,$O61))</f>
        <v/>
      </c>
      <c r="Q61" s="31"/>
      <c r="R61" s="32" t="str">
        <f>IF($Q61="","",SUMIFS(SITE_COEFFS!$C:$C,SITE_COEFFS!$A:$A,"ProximityToBuildings",SITE_COEFFS!$B:$B,$Q61))</f>
        <v/>
      </c>
      <c r="S61" s="31"/>
      <c r="T61" s="32" t="str">
        <f>IF($S61="","",SUMIFS(SITE_COEFFS!$C:$C,SITE_COEFFS!$A:$A,"MachineryAllowed",SITE_COEFFS!$B:$B,$S61))</f>
        <v/>
      </c>
      <c r="U61" s="31"/>
      <c r="V61" s="31"/>
      <c r="W61" s="32" t="str">
        <f>IF($V61="","",SUMIFS(SITE_COEFFS!$C:$C,SITE_COEFFS!$A:$A,"GeometryComplexity",SITE_COEFFS!$B:$B,$V61))</f>
        <v/>
      </c>
      <c r="X61" s="31"/>
      <c r="Y61" s="31" t="str">
        <f>IF($X61="","",SUMIFS(TARIFF_PROFILES!$D:$D,TARIFF_PROFILES!$A:$A,$X61))</f>
        <v/>
      </c>
      <c r="Z61" s="31" t="str">
        <f>IF($X61="","",SUMIFS(TARIFF_PROFILES!$E:$E,TARIFF_PROFILES!$A:$A,$X61))</f>
        <v/>
      </c>
      <c r="AA61" s="31" t="str">
        <f>IF($X61="","",SUMIFS(TARIFF_PROFILES!$F:$F,TARIFF_PROFILES!$A:$A,$X61))</f>
        <v/>
      </c>
      <c r="AB61" s="31" t="str">
        <f>IF($X61="","",SUMIFS(TARIFF_PROFILES!$G:$G,TARIFF_PROFILES!$A:$A,$X61))</f>
        <v/>
      </c>
      <c r="AC61" s="31" t="str">
        <f>IF($X61="","",SUMIFS(TARIFF_PROFILES!$H:$H,TARIFF_PROFILES!$A:$A,$X61))</f>
        <v/>
      </c>
      <c r="AD61" s="31" t="str">
        <f t="array" ref="AD61">IF($X61="","",INDEX(TARIFF_PROFILES!$J:$J,MATCH($X61,TARIFF_PROFILES!$A:$A,0)))</f>
        <v/>
      </c>
      <c r="AE61" s="31" t="str">
        <f t="array" ref="AE61">IF($X61="","",INDEX(TARIFF_PROFILES!$K:$K,MATCH($X61,TARIFF_PROFILES!$A:$A,0)))</f>
        <v/>
      </c>
      <c r="AG61" s="8"/>
      <c r="AH61" s="8" t="str">
        <f>IF($AG61="","",SUMIFS(OPERATING_COEFFS!$C:$C,OPERATING_COEFFS!$A:$A,"DistanceClass",OPERATING_COEFFS!$B:$B,$AG61))</f>
        <v/>
      </c>
      <c r="AI61" s="8"/>
      <c r="AJ61" s="8" t="str">
        <f>IF($AI61="","",SUMIFS(OPERATING_COEFFS!$C:$C,OPERATING_COEFFS!$A:$A,"SeasonClass",OPERATING_COEFFS!$B:$B,$AI61))</f>
        <v/>
      </c>
      <c r="AK61" s="8"/>
      <c r="AL61" s="8" t="str">
        <f>IF($AK61="","",SUMIFS(OPERATING_COEFFS!$C:$C,OPERATING_COEFFS!$A:$A,"UrgencyClass",OPERATING_COEFFS!$B:$B,$AK61))</f>
        <v/>
      </c>
      <c r="AM61" s="8"/>
      <c r="AN61" s="8" t="str">
        <f t="array" ref="AN61">IF($AM61="","",INDEX(TAX_MODES!$B:$B,MATCH($AM61,TAX_MODES!$A:$A,0)))</f>
        <v/>
      </c>
    </row>
    <row r="62" ht="14.25" customHeight="1">
      <c r="A62" s="31"/>
      <c r="B62" s="31"/>
      <c r="C62" s="31"/>
      <c r="D62" s="32" t="str">
        <f>IF($C62="","",SUMIFS(SITE_COEFFS!$C:$C,SITE_COEFFS!$A:$A,"SoilWorkability",SITE_COEFFS!$B:$B,$C62))</f>
        <v/>
      </c>
      <c r="E62" s="31"/>
      <c r="F62" s="32" t="str">
        <f>IF($E62="","",SUMIFS(SITE_COEFFS!$C:$C,SITE_COEFFS!$A:$A,"SoilMoisture",SITE_COEFFS!$B:$B,$E62))</f>
        <v/>
      </c>
      <c r="G62" s="31"/>
      <c r="H62" s="32" t="str">
        <f>IF($G62="","",SUMIFS(SITE_COEFFS!$C:$C,SITE_COEFFS!$A:$A,"DebrisLevel",SITE_COEFFS!$B:$B,$G62))</f>
        <v/>
      </c>
      <c r="I62" s="31"/>
      <c r="J62" s="32" t="str">
        <f>IF($I62="","",SUMIFS(SITE_COEFFS!$C:$C,SITE_COEFFS!$A:$A,"SlopeClass",SITE_COEFFS!$B:$B,$I62))</f>
        <v/>
      </c>
      <c r="K62" s="31"/>
      <c r="L62" s="32" t="str">
        <f>IF($K62="","",SUMIFS(SITE_COEFFS!$C:$C,SITE_COEFFS!$A:$A,"SurfaceUnevenness",SITE_COEFFS!$B:$B,$K62))</f>
        <v/>
      </c>
      <c r="M62" s="31"/>
      <c r="N62" s="32" t="str">
        <f>IF($M62="","",SUMIFS(SITE_COEFFS!$C:$C,SITE_COEFFS!$A:$A,"AccessClass",SITE_COEFFS!$B:$B,$M62))</f>
        <v/>
      </c>
      <c r="O62" s="31"/>
      <c r="P62" s="32" t="str">
        <f>IF($O62="","",SUMIFS(SITE_COEFFS!$C:$C,SITE_COEFFS!$A:$A,"TurnSpace",SITE_COEFFS!$B:$B,$O62))</f>
        <v/>
      </c>
      <c r="Q62" s="31"/>
      <c r="R62" s="32" t="str">
        <f>IF($Q62="","",SUMIFS(SITE_COEFFS!$C:$C,SITE_COEFFS!$A:$A,"ProximityToBuildings",SITE_COEFFS!$B:$B,$Q62))</f>
        <v/>
      </c>
      <c r="S62" s="31"/>
      <c r="T62" s="32" t="str">
        <f>IF($S62="","",SUMIFS(SITE_COEFFS!$C:$C,SITE_COEFFS!$A:$A,"MachineryAllowed",SITE_COEFFS!$B:$B,$S62))</f>
        <v/>
      </c>
      <c r="U62" s="31"/>
      <c r="V62" s="31"/>
      <c r="W62" s="32" t="str">
        <f>IF($V62="","",SUMIFS(SITE_COEFFS!$C:$C,SITE_COEFFS!$A:$A,"GeometryComplexity",SITE_COEFFS!$B:$B,$V62))</f>
        <v/>
      </c>
      <c r="X62" s="31"/>
      <c r="Y62" s="31" t="str">
        <f>IF($X62="","",SUMIFS(TARIFF_PROFILES!$D:$D,TARIFF_PROFILES!$A:$A,$X62))</f>
        <v/>
      </c>
      <c r="Z62" s="31" t="str">
        <f>IF($X62="","",SUMIFS(TARIFF_PROFILES!$E:$E,TARIFF_PROFILES!$A:$A,$X62))</f>
        <v/>
      </c>
      <c r="AA62" s="31" t="str">
        <f>IF($X62="","",SUMIFS(TARIFF_PROFILES!$F:$F,TARIFF_PROFILES!$A:$A,$X62))</f>
        <v/>
      </c>
      <c r="AB62" s="31" t="str">
        <f>IF($X62="","",SUMIFS(TARIFF_PROFILES!$G:$G,TARIFF_PROFILES!$A:$A,$X62))</f>
        <v/>
      </c>
      <c r="AC62" s="31" t="str">
        <f>IF($X62="","",SUMIFS(TARIFF_PROFILES!$H:$H,TARIFF_PROFILES!$A:$A,$X62))</f>
        <v/>
      </c>
      <c r="AD62" s="31" t="str">
        <f t="array" ref="AD62">IF($X62="","",INDEX(TARIFF_PROFILES!$J:$J,MATCH($X62,TARIFF_PROFILES!$A:$A,0)))</f>
        <v/>
      </c>
      <c r="AE62" s="31" t="str">
        <f t="array" ref="AE62">IF($X62="","",INDEX(TARIFF_PROFILES!$K:$K,MATCH($X62,TARIFF_PROFILES!$A:$A,0)))</f>
        <v/>
      </c>
      <c r="AG62" s="8"/>
      <c r="AH62" s="8" t="str">
        <f>IF($AG62="","",SUMIFS(OPERATING_COEFFS!$C:$C,OPERATING_COEFFS!$A:$A,"DistanceClass",OPERATING_COEFFS!$B:$B,$AG62))</f>
        <v/>
      </c>
      <c r="AI62" s="8"/>
      <c r="AJ62" s="8" t="str">
        <f>IF($AI62="","",SUMIFS(OPERATING_COEFFS!$C:$C,OPERATING_COEFFS!$A:$A,"SeasonClass",OPERATING_COEFFS!$B:$B,$AI62))</f>
        <v/>
      </c>
      <c r="AK62" s="8"/>
      <c r="AL62" s="8" t="str">
        <f>IF($AK62="","",SUMIFS(OPERATING_COEFFS!$C:$C,OPERATING_COEFFS!$A:$A,"UrgencyClass",OPERATING_COEFFS!$B:$B,$AK62))</f>
        <v/>
      </c>
      <c r="AM62" s="8"/>
      <c r="AN62" s="8" t="str">
        <f t="array" ref="AN62">IF($AM62="","",INDEX(TAX_MODES!$B:$B,MATCH($AM62,TAX_MODES!$A:$A,0)))</f>
        <v/>
      </c>
    </row>
    <row r="63" ht="14.25" customHeight="1">
      <c r="A63" s="31"/>
      <c r="B63" s="31"/>
      <c r="C63" s="31"/>
      <c r="D63" s="32" t="str">
        <f>IF($C63="","",SUMIFS(SITE_COEFFS!$C:$C,SITE_COEFFS!$A:$A,"SoilWorkability",SITE_COEFFS!$B:$B,$C63))</f>
        <v/>
      </c>
      <c r="E63" s="31"/>
      <c r="F63" s="32" t="str">
        <f>IF($E63="","",SUMIFS(SITE_COEFFS!$C:$C,SITE_COEFFS!$A:$A,"SoilMoisture",SITE_COEFFS!$B:$B,$E63))</f>
        <v/>
      </c>
      <c r="G63" s="31"/>
      <c r="H63" s="32" t="str">
        <f>IF($G63="","",SUMIFS(SITE_COEFFS!$C:$C,SITE_COEFFS!$A:$A,"DebrisLevel",SITE_COEFFS!$B:$B,$G63))</f>
        <v/>
      </c>
      <c r="I63" s="31"/>
      <c r="J63" s="32" t="str">
        <f>IF($I63="","",SUMIFS(SITE_COEFFS!$C:$C,SITE_COEFFS!$A:$A,"SlopeClass",SITE_COEFFS!$B:$B,$I63))</f>
        <v/>
      </c>
      <c r="K63" s="31"/>
      <c r="L63" s="32" t="str">
        <f>IF($K63="","",SUMIFS(SITE_COEFFS!$C:$C,SITE_COEFFS!$A:$A,"SurfaceUnevenness",SITE_COEFFS!$B:$B,$K63))</f>
        <v/>
      </c>
      <c r="M63" s="31"/>
      <c r="N63" s="32" t="str">
        <f>IF($M63="","",SUMIFS(SITE_COEFFS!$C:$C,SITE_COEFFS!$A:$A,"AccessClass",SITE_COEFFS!$B:$B,$M63))</f>
        <v/>
      </c>
      <c r="O63" s="31"/>
      <c r="P63" s="32" t="str">
        <f>IF($O63="","",SUMIFS(SITE_COEFFS!$C:$C,SITE_COEFFS!$A:$A,"TurnSpace",SITE_COEFFS!$B:$B,$O63))</f>
        <v/>
      </c>
      <c r="Q63" s="31"/>
      <c r="R63" s="32" t="str">
        <f>IF($Q63="","",SUMIFS(SITE_COEFFS!$C:$C,SITE_COEFFS!$A:$A,"ProximityToBuildings",SITE_COEFFS!$B:$B,$Q63))</f>
        <v/>
      </c>
      <c r="S63" s="31"/>
      <c r="T63" s="32" t="str">
        <f>IF($S63="","",SUMIFS(SITE_COEFFS!$C:$C,SITE_COEFFS!$A:$A,"MachineryAllowed",SITE_COEFFS!$B:$B,$S63))</f>
        <v/>
      </c>
      <c r="U63" s="31"/>
      <c r="V63" s="31"/>
      <c r="W63" s="32" t="str">
        <f>IF($V63="","",SUMIFS(SITE_COEFFS!$C:$C,SITE_COEFFS!$A:$A,"GeometryComplexity",SITE_COEFFS!$B:$B,$V63))</f>
        <v/>
      </c>
      <c r="X63" s="31"/>
      <c r="Y63" s="31" t="str">
        <f>IF($X63="","",SUMIFS(TARIFF_PROFILES!$D:$D,TARIFF_PROFILES!$A:$A,$X63))</f>
        <v/>
      </c>
      <c r="Z63" s="31" t="str">
        <f>IF($X63="","",SUMIFS(TARIFF_PROFILES!$E:$E,TARIFF_PROFILES!$A:$A,$X63))</f>
        <v/>
      </c>
      <c r="AA63" s="31" t="str">
        <f>IF($X63="","",SUMIFS(TARIFF_PROFILES!$F:$F,TARIFF_PROFILES!$A:$A,$X63))</f>
        <v/>
      </c>
      <c r="AB63" s="31" t="str">
        <f>IF($X63="","",SUMIFS(TARIFF_PROFILES!$G:$G,TARIFF_PROFILES!$A:$A,$X63))</f>
        <v/>
      </c>
      <c r="AC63" s="31" t="str">
        <f>IF($X63="","",SUMIFS(TARIFF_PROFILES!$H:$H,TARIFF_PROFILES!$A:$A,$X63))</f>
        <v/>
      </c>
      <c r="AD63" s="31" t="str">
        <f t="array" ref="AD63">IF($X63="","",INDEX(TARIFF_PROFILES!$J:$J,MATCH($X63,TARIFF_PROFILES!$A:$A,0)))</f>
        <v/>
      </c>
      <c r="AE63" s="31" t="str">
        <f t="array" ref="AE63">IF($X63="","",INDEX(TARIFF_PROFILES!$K:$K,MATCH($X63,TARIFF_PROFILES!$A:$A,0)))</f>
        <v/>
      </c>
      <c r="AG63" s="8"/>
      <c r="AH63" s="8" t="str">
        <f>IF($AG63="","",SUMIFS(OPERATING_COEFFS!$C:$C,OPERATING_COEFFS!$A:$A,"DistanceClass",OPERATING_COEFFS!$B:$B,$AG63))</f>
        <v/>
      </c>
      <c r="AI63" s="8"/>
      <c r="AJ63" s="8" t="str">
        <f>IF($AI63="","",SUMIFS(OPERATING_COEFFS!$C:$C,OPERATING_COEFFS!$A:$A,"SeasonClass",OPERATING_COEFFS!$B:$B,$AI63))</f>
        <v/>
      </c>
      <c r="AK63" s="8"/>
      <c r="AL63" s="8" t="str">
        <f>IF($AK63="","",SUMIFS(OPERATING_COEFFS!$C:$C,OPERATING_COEFFS!$A:$A,"UrgencyClass",OPERATING_COEFFS!$B:$B,$AK63))</f>
        <v/>
      </c>
      <c r="AM63" s="8"/>
      <c r="AN63" s="8" t="str">
        <f t="array" ref="AN63">IF($AM63="","",INDEX(TAX_MODES!$B:$B,MATCH($AM63,TAX_MODES!$A:$A,0)))</f>
        <v/>
      </c>
    </row>
    <row r="64" ht="14.25" customHeight="1">
      <c r="A64" s="31"/>
      <c r="B64" s="31"/>
      <c r="C64" s="31"/>
      <c r="D64" s="32" t="str">
        <f>IF($C64="","",SUMIFS(SITE_COEFFS!$C:$C,SITE_COEFFS!$A:$A,"SoilWorkability",SITE_COEFFS!$B:$B,$C64))</f>
        <v/>
      </c>
      <c r="E64" s="31"/>
      <c r="F64" s="32" t="str">
        <f>IF($E64="","",SUMIFS(SITE_COEFFS!$C:$C,SITE_COEFFS!$A:$A,"SoilMoisture",SITE_COEFFS!$B:$B,$E64))</f>
        <v/>
      </c>
      <c r="G64" s="31"/>
      <c r="H64" s="32" t="str">
        <f>IF($G64="","",SUMIFS(SITE_COEFFS!$C:$C,SITE_COEFFS!$A:$A,"DebrisLevel",SITE_COEFFS!$B:$B,$G64))</f>
        <v/>
      </c>
      <c r="I64" s="31"/>
      <c r="J64" s="32" t="str">
        <f>IF($I64="","",SUMIFS(SITE_COEFFS!$C:$C,SITE_COEFFS!$A:$A,"SlopeClass",SITE_COEFFS!$B:$B,$I64))</f>
        <v/>
      </c>
      <c r="K64" s="31"/>
      <c r="L64" s="32" t="str">
        <f>IF($K64="","",SUMIFS(SITE_COEFFS!$C:$C,SITE_COEFFS!$A:$A,"SurfaceUnevenness",SITE_COEFFS!$B:$B,$K64))</f>
        <v/>
      </c>
      <c r="M64" s="31"/>
      <c r="N64" s="32" t="str">
        <f>IF($M64="","",SUMIFS(SITE_COEFFS!$C:$C,SITE_COEFFS!$A:$A,"AccessClass",SITE_COEFFS!$B:$B,$M64))</f>
        <v/>
      </c>
      <c r="O64" s="31"/>
      <c r="P64" s="32" t="str">
        <f>IF($O64="","",SUMIFS(SITE_COEFFS!$C:$C,SITE_COEFFS!$A:$A,"TurnSpace",SITE_COEFFS!$B:$B,$O64))</f>
        <v/>
      </c>
      <c r="Q64" s="31"/>
      <c r="R64" s="32" t="str">
        <f>IF($Q64="","",SUMIFS(SITE_COEFFS!$C:$C,SITE_COEFFS!$A:$A,"ProximityToBuildings",SITE_COEFFS!$B:$B,$Q64))</f>
        <v/>
      </c>
      <c r="S64" s="31"/>
      <c r="T64" s="32" t="str">
        <f>IF($S64="","",SUMIFS(SITE_COEFFS!$C:$C,SITE_COEFFS!$A:$A,"MachineryAllowed",SITE_COEFFS!$B:$B,$S64))</f>
        <v/>
      </c>
      <c r="U64" s="31"/>
      <c r="V64" s="31"/>
      <c r="W64" s="32" t="str">
        <f>IF($V64="","",SUMIFS(SITE_COEFFS!$C:$C,SITE_COEFFS!$A:$A,"GeometryComplexity",SITE_COEFFS!$B:$B,$V64))</f>
        <v/>
      </c>
      <c r="X64" s="31"/>
      <c r="Y64" s="31" t="str">
        <f>IF($X64="","",SUMIFS(TARIFF_PROFILES!$D:$D,TARIFF_PROFILES!$A:$A,$X64))</f>
        <v/>
      </c>
      <c r="Z64" s="31" t="str">
        <f>IF($X64="","",SUMIFS(TARIFF_PROFILES!$E:$E,TARIFF_PROFILES!$A:$A,$X64))</f>
        <v/>
      </c>
      <c r="AA64" s="31" t="str">
        <f>IF($X64="","",SUMIFS(TARIFF_PROFILES!$F:$F,TARIFF_PROFILES!$A:$A,$X64))</f>
        <v/>
      </c>
      <c r="AB64" s="31" t="str">
        <f>IF($X64="","",SUMIFS(TARIFF_PROFILES!$G:$G,TARIFF_PROFILES!$A:$A,$X64))</f>
        <v/>
      </c>
      <c r="AC64" s="31" t="str">
        <f>IF($X64="","",SUMIFS(TARIFF_PROFILES!$H:$H,TARIFF_PROFILES!$A:$A,$X64))</f>
        <v/>
      </c>
      <c r="AD64" s="31" t="str">
        <f t="array" ref="AD64">IF($X64="","",INDEX(TARIFF_PROFILES!$J:$J,MATCH($X64,TARIFF_PROFILES!$A:$A,0)))</f>
        <v/>
      </c>
      <c r="AE64" s="31" t="str">
        <f t="array" ref="AE64">IF($X64="","",INDEX(TARIFF_PROFILES!$K:$K,MATCH($X64,TARIFF_PROFILES!$A:$A,0)))</f>
        <v/>
      </c>
      <c r="AG64" s="8"/>
      <c r="AH64" s="8" t="str">
        <f>IF($AG64="","",SUMIFS(OPERATING_COEFFS!$C:$C,OPERATING_COEFFS!$A:$A,"DistanceClass",OPERATING_COEFFS!$B:$B,$AG64))</f>
        <v/>
      </c>
      <c r="AI64" s="8"/>
      <c r="AJ64" s="8" t="str">
        <f>IF($AI64="","",SUMIFS(OPERATING_COEFFS!$C:$C,OPERATING_COEFFS!$A:$A,"SeasonClass",OPERATING_COEFFS!$B:$B,$AI64))</f>
        <v/>
      </c>
      <c r="AK64" s="8"/>
      <c r="AL64" s="8" t="str">
        <f>IF($AK64="","",SUMIFS(OPERATING_COEFFS!$C:$C,OPERATING_COEFFS!$A:$A,"UrgencyClass",OPERATING_COEFFS!$B:$B,$AK64))</f>
        <v/>
      </c>
      <c r="AM64" s="8"/>
      <c r="AN64" s="8" t="str">
        <f t="array" ref="AN64">IF($AM64="","",INDEX(TAX_MODES!$B:$B,MATCH($AM64,TAX_MODES!$A:$A,0)))</f>
        <v/>
      </c>
    </row>
    <row r="65" ht="14.25" customHeight="1">
      <c r="A65" s="31"/>
      <c r="B65" s="31"/>
      <c r="C65" s="31"/>
      <c r="D65" s="32" t="str">
        <f>IF($C65="","",SUMIFS(SITE_COEFFS!$C:$C,SITE_COEFFS!$A:$A,"SoilWorkability",SITE_COEFFS!$B:$B,$C65))</f>
        <v/>
      </c>
      <c r="E65" s="31"/>
      <c r="F65" s="32" t="str">
        <f>IF($E65="","",SUMIFS(SITE_COEFFS!$C:$C,SITE_COEFFS!$A:$A,"SoilMoisture",SITE_COEFFS!$B:$B,$E65))</f>
        <v/>
      </c>
      <c r="G65" s="31"/>
      <c r="H65" s="32" t="str">
        <f>IF($G65="","",SUMIFS(SITE_COEFFS!$C:$C,SITE_COEFFS!$A:$A,"DebrisLevel",SITE_COEFFS!$B:$B,$G65))</f>
        <v/>
      </c>
      <c r="I65" s="31"/>
      <c r="J65" s="32" t="str">
        <f>IF($I65="","",SUMIFS(SITE_COEFFS!$C:$C,SITE_COEFFS!$A:$A,"SlopeClass",SITE_COEFFS!$B:$B,$I65))</f>
        <v/>
      </c>
      <c r="K65" s="31"/>
      <c r="L65" s="32" t="str">
        <f>IF($K65="","",SUMIFS(SITE_COEFFS!$C:$C,SITE_COEFFS!$A:$A,"SurfaceUnevenness",SITE_COEFFS!$B:$B,$K65))</f>
        <v/>
      </c>
      <c r="M65" s="31"/>
      <c r="N65" s="32" t="str">
        <f>IF($M65="","",SUMIFS(SITE_COEFFS!$C:$C,SITE_COEFFS!$A:$A,"AccessClass",SITE_COEFFS!$B:$B,$M65))</f>
        <v/>
      </c>
      <c r="O65" s="31"/>
      <c r="P65" s="32" t="str">
        <f>IF($O65="","",SUMIFS(SITE_COEFFS!$C:$C,SITE_COEFFS!$A:$A,"TurnSpace",SITE_COEFFS!$B:$B,$O65))</f>
        <v/>
      </c>
      <c r="Q65" s="31"/>
      <c r="R65" s="32" t="str">
        <f>IF($Q65="","",SUMIFS(SITE_COEFFS!$C:$C,SITE_COEFFS!$A:$A,"ProximityToBuildings",SITE_COEFFS!$B:$B,$Q65))</f>
        <v/>
      </c>
      <c r="S65" s="31"/>
      <c r="T65" s="32" t="str">
        <f>IF($S65="","",SUMIFS(SITE_COEFFS!$C:$C,SITE_COEFFS!$A:$A,"MachineryAllowed",SITE_COEFFS!$B:$B,$S65))</f>
        <v/>
      </c>
      <c r="U65" s="31"/>
      <c r="V65" s="31"/>
      <c r="W65" s="32" t="str">
        <f>IF($V65="","",SUMIFS(SITE_COEFFS!$C:$C,SITE_COEFFS!$A:$A,"GeometryComplexity",SITE_COEFFS!$B:$B,$V65))</f>
        <v/>
      </c>
      <c r="X65" s="31"/>
      <c r="Y65" s="31" t="str">
        <f>IF($X65="","",SUMIFS(TARIFF_PROFILES!$D:$D,TARIFF_PROFILES!$A:$A,$X65))</f>
        <v/>
      </c>
      <c r="Z65" s="31" t="str">
        <f>IF($X65="","",SUMIFS(TARIFF_PROFILES!$E:$E,TARIFF_PROFILES!$A:$A,$X65))</f>
        <v/>
      </c>
      <c r="AA65" s="31" t="str">
        <f>IF($X65="","",SUMIFS(TARIFF_PROFILES!$F:$F,TARIFF_PROFILES!$A:$A,$X65))</f>
        <v/>
      </c>
      <c r="AB65" s="31" t="str">
        <f>IF($X65="","",SUMIFS(TARIFF_PROFILES!$G:$G,TARIFF_PROFILES!$A:$A,$X65))</f>
        <v/>
      </c>
      <c r="AC65" s="31" t="str">
        <f>IF($X65="","",SUMIFS(TARIFF_PROFILES!$H:$H,TARIFF_PROFILES!$A:$A,$X65))</f>
        <v/>
      </c>
      <c r="AD65" s="31" t="str">
        <f t="array" ref="AD65">IF($X65="","",INDEX(TARIFF_PROFILES!$J:$J,MATCH($X65,TARIFF_PROFILES!$A:$A,0)))</f>
        <v/>
      </c>
      <c r="AE65" s="31" t="str">
        <f t="array" ref="AE65">IF($X65="","",INDEX(TARIFF_PROFILES!$K:$K,MATCH($X65,TARIFF_PROFILES!$A:$A,0)))</f>
        <v/>
      </c>
      <c r="AG65" s="8"/>
      <c r="AH65" s="8" t="str">
        <f>IF($AG65="","",SUMIFS(OPERATING_COEFFS!$C:$C,OPERATING_COEFFS!$A:$A,"DistanceClass",OPERATING_COEFFS!$B:$B,$AG65))</f>
        <v/>
      </c>
      <c r="AI65" s="8"/>
      <c r="AJ65" s="8" t="str">
        <f>IF($AI65="","",SUMIFS(OPERATING_COEFFS!$C:$C,OPERATING_COEFFS!$A:$A,"SeasonClass",OPERATING_COEFFS!$B:$B,$AI65))</f>
        <v/>
      </c>
      <c r="AK65" s="8"/>
      <c r="AL65" s="8" t="str">
        <f>IF($AK65="","",SUMIFS(OPERATING_COEFFS!$C:$C,OPERATING_COEFFS!$A:$A,"UrgencyClass",OPERATING_COEFFS!$B:$B,$AK65))</f>
        <v/>
      </c>
      <c r="AM65" s="8"/>
      <c r="AN65" s="8" t="str">
        <f t="array" ref="AN65">IF($AM65="","",INDEX(TAX_MODES!$B:$B,MATCH($AM65,TAX_MODES!$A:$A,0)))</f>
        <v/>
      </c>
    </row>
    <row r="66" ht="14.25" customHeight="1">
      <c r="A66" s="31"/>
      <c r="B66" s="31"/>
      <c r="C66" s="31"/>
      <c r="D66" s="32" t="str">
        <f>IF($C66="","",SUMIFS(SITE_COEFFS!$C:$C,SITE_COEFFS!$A:$A,"SoilWorkability",SITE_COEFFS!$B:$B,$C66))</f>
        <v/>
      </c>
      <c r="E66" s="31"/>
      <c r="F66" s="32" t="str">
        <f>IF($E66="","",SUMIFS(SITE_COEFFS!$C:$C,SITE_COEFFS!$A:$A,"SoilMoisture",SITE_COEFFS!$B:$B,$E66))</f>
        <v/>
      </c>
      <c r="G66" s="31"/>
      <c r="H66" s="32" t="str">
        <f>IF($G66="","",SUMIFS(SITE_COEFFS!$C:$C,SITE_COEFFS!$A:$A,"DebrisLevel",SITE_COEFFS!$B:$B,$G66))</f>
        <v/>
      </c>
      <c r="I66" s="31"/>
      <c r="J66" s="32" t="str">
        <f>IF($I66="","",SUMIFS(SITE_COEFFS!$C:$C,SITE_COEFFS!$A:$A,"SlopeClass",SITE_COEFFS!$B:$B,$I66))</f>
        <v/>
      </c>
      <c r="K66" s="31"/>
      <c r="L66" s="32" t="str">
        <f>IF($K66="","",SUMIFS(SITE_COEFFS!$C:$C,SITE_COEFFS!$A:$A,"SurfaceUnevenness",SITE_COEFFS!$B:$B,$K66))</f>
        <v/>
      </c>
      <c r="M66" s="31"/>
      <c r="N66" s="32" t="str">
        <f>IF($M66="","",SUMIFS(SITE_COEFFS!$C:$C,SITE_COEFFS!$A:$A,"AccessClass",SITE_COEFFS!$B:$B,$M66))</f>
        <v/>
      </c>
      <c r="O66" s="31"/>
      <c r="P66" s="32" t="str">
        <f>IF($O66="","",SUMIFS(SITE_COEFFS!$C:$C,SITE_COEFFS!$A:$A,"TurnSpace",SITE_COEFFS!$B:$B,$O66))</f>
        <v/>
      </c>
      <c r="Q66" s="31"/>
      <c r="R66" s="32" t="str">
        <f>IF($Q66="","",SUMIFS(SITE_COEFFS!$C:$C,SITE_COEFFS!$A:$A,"ProximityToBuildings",SITE_COEFFS!$B:$B,$Q66))</f>
        <v/>
      </c>
      <c r="S66" s="31"/>
      <c r="T66" s="32" t="str">
        <f>IF($S66="","",SUMIFS(SITE_COEFFS!$C:$C,SITE_COEFFS!$A:$A,"MachineryAllowed",SITE_COEFFS!$B:$B,$S66))</f>
        <v/>
      </c>
      <c r="U66" s="31"/>
      <c r="V66" s="31"/>
      <c r="W66" s="32" t="str">
        <f>IF($V66="","",SUMIFS(SITE_COEFFS!$C:$C,SITE_COEFFS!$A:$A,"GeometryComplexity",SITE_COEFFS!$B:$B,$V66))</f>
        <v/>
      </c>
      <c r="X66" s="31"/>
      <c r="Y66" s="31" t="str">
        <f>IF($X66="","",SUMIFS(TARIFF_PROFILES!$D:$D,TARIFF_PROFILES!$A:$A,$X66))</f>
        <v/>
      </c>
      <c r="Z66" s="31" t="str">
        <f>IF($X66="","",SUMIFS(TARIFF_PROFILES!$E:$E,TARIFF_PROFILES!$A:$A,$X66))</f>
        <v/>
      </c>
      <c r="AA66" s="31" t="str">
        <f>IF($X66="","",SUMIFS(TARIFF_PROFILES!$F:$F,TARIFF_PROFILES!$A:$A,$X66))</f>
        <v/>
      </c>
      <c r="AB66" s="31" t="str">
        <f>IF($X66="","",SUMIFS(TARIFF_PROFILES!$G:$G,TARIFF_PROFILES!$A:$A,$X66))</f>
        <v/>
      </c>
      <c r="AC66" s="31" t="str">
        <f>IF($X66="","",SUMIFS(TARIFF_PROFILES!$H:$H,TARIFF_PROFILES!$A:$A,$X66))</f>
        <v/>
      </c>
      <c r="AD66" s="31" t="str">
        <f t="array" ref="AD66">IF($X66="","",INDEX(TARIFF_PROFILES!$J:$J,MATCH($X66,TARIFF_PROFILES!$A:$A,0)))</f>
        <v/>
      </c>
      <c r="AE66" s="31" t="str">
        <f t="array" ref="AE66">IF($X66="","",INDEX(TARIFF_PROFILES!$K:$K,MATCH($X66,TARIFF_PROFILES!$A:$A,0)))</f>
        <v/>
      </c>
      <c r="AG66" s="8"/>
      <c r="AH66" s="8" t="str">
        <f>IF($AG66="","",SUMIFS(OPERATING_COEFFS!$C:$C,OPERATING_COEFFS!$A:$A,"DistanceClass",OPERATING_COEFFS!$B:$B,$AG66))</f>
        <v/>
      </c>
      <c r="AI66" s="8"/>
      <c r="AJ66" s="8" t="str">
        <f>IF($AI66="","",SUMIFS(OPERATING_COEFFS!$C:$C,OPERATING_COEFFS!$A:$A,"SeasonClass",OPERATING_COEFFS!$B:$B,$AI66))</f>
        <v/>
      </c>
      <c r="AK66" s="8"/>
      <c r="AL66" s="8" t="str">
        <f>IF($AK66="","",SUMIFS(OPERATING_COEFFS!$C:$C,OPERATING_COEFFS!$A:$A,"UrgencyClass",OPERATING_COEFFS!$B:$B,$AK66))</f>
        <v/>
      </c>
      <c r="AM66" s="8"/>
      <c r="AN66" s="8" t="str">
        <f t="array" ref="AN66">IF($AM66="","",INDEX(TAX_MODES!$B:$B,MATCH($AM66,TAX_MODES!$A:$A,0)))</f>
        <v/>
      </c>
    </row>
    <row r="67" ht="14.25" customHeight="1">
      <c r="A67" s="31"/>
      <c r="B67" s="31"/>
      <c r="C67" s="31"/>
      <c r="D67" s="32" t="str">
        <f>IF($C67="","",SUMIFS(SITE_COEFFS!$C:$C,SITE_COEFFS!$A:$A,"SoilWorkability",SITE_COEFFS!$B:$B,$C67))</f>
        <v/>
      </c>
      <c r="E67" s="31"/>
      <c r="F67" s="32" t="str">
        <f>IF($E67="","",SUMIFS(SITE_COEFFS!$C:$C,SITE_COEFFS!$A:$A,"SoilMoisture",SITE_COEFFS!$B:$B,$E67))</f>
        <v/>
      </c>
      <c r="G67" s="31"/>
      <c r="H67" s="32" t="str">
        <f>IF($G67="","",SUMIFS(SITE_COEFFS!$C:$C,SITE_COEFFS!$A:$A,"DebrisLevel",SITE_COEFFS!$B:$B,$G67))</f>
        <v/>
      </c>
      <c r="I67" s="31"/>
      <c r="J67" s="32" t="str">
        <f>IF($I67="","",SUMIFS(SITE_COEFFS!$C:$C,SITE_COEFFS!$A:$A,"SlopeClass",SITE_COEFFS!$B:$B,$I67))</f>
        <v/>
      </c>
      <c r="K67" s="31"/>
      <c r="L67" s="32" t="str">
        <f>IF($K67="","",SUMIFS(SITE_COEFFS!$C:$C,SITE_COEFFS!$A:$A,"SurfaceUnevenness",SITE_COEFFS!$B:$B,$K67))</f>
        <v/>
      </c>
      <c r="M67" s="31"/>
      <c r="N67" s="32" t="str">
        <f>IF($M67="","",SUMIFS(SITE_COEFFS!$C:$C,SITE_COEFFS!$A:$A,"AccessClass",SITE_COEFFS!$B:$B,$M67))</f>
        <v/>
      </c>
      <c r="O67" s="31"/>
      <c r="P67" s="32" t="str">
        <f>IF($O67="","",SUMIFS(SITE_COEFFS!$C:$C,SITE_COEFFS!$A:$A,"TurnSpace",SITE_COEFFS!$B:$B,$O67))</f>
        <v/>
      </c>
      <c r="Q67" s="31"/>
      <c r="R67" s="32" t="str">
        <f>IF($Q67="","",SUMIFS(SITE_COEFFS!$C:$C,SITE_COEFFS!$A:$A,"ProximityToBuildings",SITE_COEFFS!$B:$B,$Q67))</f>
        <v/>
      </c>
      <c r="S67" s="31"/>
      <c r="T67" s="32" t="str">
        <f>IF($S67="","",SUMIFS(SITE_COEFFS!$C:$C,SITE_COEFFS!$A:$A,"MachineryAllowed",SITE_COEFFS!$B:$B,$S67))</f>
        <v/>
      </c>
      <c r="U67" s="31"/>
      <c r="V67" s="31"/>
      <c r="W67" s="32" t="str">
        <f>IF($V67="","",SUMIFS(SITE_COEFFS!$C:$C,SITE_COEFFS!$A:$A,"GeometryComplexity",SITE_COEFFS!$B:$B,$V67))</f>
        <v/>
      </c>
      <c r="X67" s="31"/>
      <c r="Y67" s="31" t="str">
        <f>IF($X67="","",SUMIFS(TARIFF_PROFILES!$D:$D,TARIFF_PROFILES!$A:$A,$X67))</f>
        <v/>
      </c>
      <c r="Z67" s="31" t="str">
        <f>IF($X67="","",SUMIFS(TARIFF_PROFILES!$E:$E,TARIFF_PROFILES!$A:$A,$X67))</f>
        <v/>
      </c>
      <c r="AA67" s="31" t="str">
        <f>IF($X67="","",SUMIFS(TARIFF_PROFILES!$F:$F,TARIFF_PROFILES!$A:$A,$X67))</f>
        <v/>
      </c>
      <c r="AB67" s="31" t="str">
        <f>IF($X67="","",SUMIFS(TARIFF_PROFILES!$G:$G,TARIFF_PROFILES!$A:$A,$X67))</f>
        <v/>
      </c>
      <c r="AC67" s="31" t="str">
        <f>IF($X67="","",SUMIFS(TARIFF_PROFILES!$H:$H,TARIFF_PROFILES!$A:$A,$X67))</f>
        <v/>
      </c>
      <c r="AD67" s="31" t="str">
        <f t="array" ref="AD67">IF($X67="","",INDEX(TARIFF_PROFILES!$J:$J,MATCH($X67,TARIFF_PROFILES!$A:$A,0)))</f>
        <v/>
      </c>
      <c r="AE67" s="31" t="str">
        <f t="array" ref="AE67">IF($X67="","",INDEX(TARIFF_PROFILES!$K:$K,MATCH($X67,TARIFF_PROFILES!$A:$A,0)))</f>
        <v/>
      </c>
      <c r="AG67" s="8"/>
      <c r="AH67" s="8" t="str">
        <f>IF($AG67="","",SUMIFS(OPERATING_COEFFS!$C:$C,OPERATING_COEFFS!$A:$A,"DistanceClass",OPERATING_COEFFS!$B:$B,$AG67))</f>
        <v/>
      </c>
      <c r="AI67" s="8"/>
      <c r="AJ67" s="8" t="str">
        <f>IF($AI67="","",SUMIFS(OPERATING_COEFFS!$C:$C,OPERATING_COEFFS!$A:$A,"SeasonClass",OPERATING_COEFFS!$B:$B,$AI67))</f>
        <v/>
      </c>
      <c r="AK67" s="8"/>
      <c r="AL67" s="8" t="str">
        <f>IF($AK67="","",SUMIFS(OPERATING_COEFFS!$C:$C,OPERATING_COEFFS!$A:$A,"UrgencyClass",OPERATING_COEFFS!$B:$B,$AK67))</f>
        <v/>
      </c>
      <c r="AM67" s="8"/>
      <c r="AN67" s="8" t="str">
        <f t="array" ref="AN67">IF($AM67="","",INDEX(TAX_MODES!$B:$B,MATCH($AM67,TAX_MODES!$A:$A,0)))</f>
        <v/>
      </c>
    </row>
    <row r="68" ht="14.25" customHeight="1">
      <c r="A68" s="31"/>
      <c r="B68" s="31"/>
      <c r="C68" s="31"/>
      <c r="D68" s="32" t="str">
        <f>IF($C68="","",SUMIFS(SITE_COEFFS!$C:$C,SITE_COEFFS!$A:$A,"SoilWorkability",SITE_COEFFS!$B:$B,$C68))</f>
        <v/>
      </c>
      <c r="E68" s="31"/>
      <c r="F68" s="32" t="str">
        <f>IF($E68="","",SUMIFS(SITE_COEFFS!$C:$C,SITE_COEFFS!$A:$A,"SoilMoisture",SITE_COEFFS!$B:$B,$E68))</f>
        <v/>
      </c>
      <c r="G68" s="31"/>
      <c r="H68" s="32" t="str">
        <f>IF($G68="","",SUMIFS(SITE_COEFFS!$C:$C,SITE_COEFFS!$A:$A,"DebrisLevel",SITE_COEFFS!$B:$B,$G68))</f>
        <v/>
      </c>
      <c r="I68" s="31"/>
      <c r="J68" s="32" t="str">
        <f>IF($I68="","",SUMIFS(SITE_COEFFS!$C:$C,SITE_COEFFS!$A:$A,"SlopeClass",SITE_COEFFS!$B:$B,$I68))</f>
        <v/>
      </c>
      <c r="K68" s="31"/>
      <c r="L68" s="32" t="str">
        <f>IF($K68="","",SUMIFS(SITE_COEFFS!$C:$C,SITE_COEFFS!$A:$A,"SurfaceUnevenness",SITE_COEFFS!$B:$B,$K68))</f>
        <v/>
      </c>
      <c r="M68" s="31"/>
      <c r="N68" s="32" t="str">
        <f>IF($M68="","",SUMIFS(SITE_COEFFS!$C:$C,SITE_COEFFS!$A:$A,"AccessClass",SITE_COEFFS!$B:$B,$M68))</f>
        <v/>
      </c>
      <c r="O68" s="31"/>
      <c r="P68" s="32" t="str">
        <f>IF($O68="","",SUMIFS(SITE_COEFFS!$C:$C,SITE_COEFFS!$A:$A,"TurnSpace",SITE_COEFFS!$B:$B,$O68))</f>
        <v/>
      </c>
      <c r="Q68" s="31"/>
      <c r="R68" s="32" t="str">
        <f>IF($Q68="","",SUMIFS(SITE_COEFFS!$C:$C,SITE_COEFFS!$A:$A,"ProximityToBuildings",SITE_COEFFS!$B:$B,$Q68))</f>
        <v/>
      </c>
      <c r="S68" s="31"/>
      <c r="T68" s="32" t="str">
        <f>IF($S68="","",SUMIFS(SITE_COEFFS!$C:$C,SITE_COEFFS!$A:$A,"MachineryAllowed",SITE_COEFFS!$B:$B,$S68))</f>
        <v/>
      </c>
      <c r="U68" s="31"/>
      <c r="V68" s="31"/>
      <c r="W68" s="32" t="str">
        <f>IF($V68="","",SUMIFS(SITE_COEFFS!$C:$C,SITE_COEFFS!$A:$A,"GeometryComplexity",SITE_COEFFS!$B:$B,$V68))</f>
        <v/>
      </c>
      <c r="X68" s="31"/>
      <c r="Y68" s="31" t="str">
        <f>IF($X68="","",SUMIFS(TARIFF_PROFILES!$D:$D,TARIFF_PROFILES!$A:$A,$X68))</f>
        <v/>
      </c>
      <c r="Z68" s="31" t="str">
        <f>IF($X68="","",SUMIFS(TARIFF_PROFILES!$E:$E,TARIFF_PROFILES!$A:$A,$X68))</f>
        <v/>
      </c>
      <c r="AA68" s="31" t="str">
        <f>IF($X68="","",SUMIFS(TARIFF_PROFILES!$F:$F,TARIFF_PROFILES!$A:$A,$X68))</f>
        <v/>
      </c>
      <c r="AB68" s="31" t="str">
        <f>IF($X68="","",SUMIFS(TARIFF_PROFILES!$G:$G,TARIFF_PROFILES!$A:$A,$X68))</f>
        <v/>
      </c>
      <c r="AC68" s="31" t="str">
        <f>IF($X68="","",SUMIFS(TARIFF_PROFILES!$H:$H,TARIFF_PROFILES!$A:$A,$X68))</f>
        <v/>
      </c>
      <c r="AD68" s="31" t="str">
        <f t="array" ref="AD68">IF($X68="","",INDEX(TARIFF_PROFILES!$J:$J,MATCH($X68,TARIFF_PROFILES!$A:$A,0)))</f>
        <v/>
      </c>
      <c r="AE68" s="31" t="str">
        <f t="array" ref="AE68">IF($X68="","",INDEX(TARIFF_PROFILES!$K:$K,MATCH($X68,TARIFF_PROFILES!$A:$A,0)))</f>
        <v/>
      </c>
      <c r="AG68" s="8"/>
      <c r="AH68" s="8" t="str">
        <f>IF($AG68="","",SUMIFS(OPERATING_COEFFS!$C:$C,OPERATING_COEFFS!$A:$A,"DistanceClass",OPERATING_COEFFS!$B:$B,$AG68))</f>
        <v/>
      </c>
      <c r="AI68" s="8"/>
      <c r="AJ68" s="8" t="str">
        <f>IF($AI68="","",SUMIFS(OPERATING_COEFFS!$C:$C,OPERATING_COEFFS!$A:$A,"SeasonClass",OPERATING_COEFFS!$B:$B,$AI68))</f>
        <v/>
      </c>
      <c r="AK68" s="8"/>
      <c r="AL68" s="8" t="str">
        <f>IF($AK68="","",SUMIFS(OPERATING_COEFFS!$C:$C,OPERATING_COEFFS!$A:$A,"UrgencyClass",OPERATING_COEFFS!$B:$B,$AK68))</f>
        <v/>
      </c>
      <c r="AM68" s="8"/>
      <c r="AN68" s="8" t="str">
        <f t="array" ref="AN68">IF($AM68="","",INDEX(TAX_MODES!$B:$B,MATCH($AM68,TAX_MODES!$A:$A,0)))</f>
        <v/>
      </c>
    </row>
    <row r="69" ht="14.25" customHeight="1">
      <c r="A69" s="31"/>
      <c r="B69" s="31"/>
      <c r="C69" s="31"/>
      <c r="D69" s="32" t="str">
        <f>IF($C69="","",SUMIFS(SITE_COEFFS!$C:$C,SITE_COEFFS!$A:$A,"SoilWorkability",SITE_COEFFS!$B:$B,$C69))</f>
        <v/>
      </c>
      <c r="E69" s="31"/>
      <c r="F69" s="32" t="str">
        <f>IF($E69="","",SUMIFS(SITE_COEFFS!$C:$C,SITE_COEFFS!$A:$A,"SoilMoisture",SITE_COEFFS!$B:$B,$E69))</f>
        <v/>
      </c>
      <c r="G69" s="31"/>
      <c r="H69" s="32" t="str">
        <f>IF($G69="","",SUMIFS(SITE_COEFFS!$C:$C,SITE_COEFFS!$A:$A,"DebrisLevel",SITE_COEFFS!$B:$B,$G69))</f>
        <v/>
      </c>
      <c r="I69" s="31"/>
      <c r="J69" s="32" t="str">
        <f>IF($I69="","",SUMIFS(SITE_COEFFS!$C:$C,SITE_COEFFS!$A:$A,"SlopeClass",SITE_COEFFS!$B:$B,$I69))</f>
        <v/>
      </c>
      <c r="K69" s="31"/>
      <c r="L69" s="32" t="str">
        <f>IF($K69="","",SUMIFS(SITE_COEFFS!$C:$C,SITE_COEFFS!$A:$A,"SurfaceUnevenness",SITE_COEFFS!$B:$B,$K69))</f>
        <v/>
      </c>
      <c r="M69" s="31"/>
      <c r="N69" s="32" t="str">
        <f>IF($M69="","",SUMIFS(SITE_COEFFS!$C:$C,SITE_COEFFS!$A:$A,"AccessClass",SITE_COEFFS!$B:$B,$M69))</f>
        <v/>
      </c>
      <c r="O69" s="31"/>
      <c r="P69" s="32" t="str">
        <f>IF($O69="","",SUMIFS(SITE_COEFFS!$C:$C,SITE_COEFFS!$A:$A,"TurnSpace",SITE_COEFFS!$B:$B,$O69))</f>
        <v/>
      </c>
      <c r="Q69" s="31"/>
      <c r="R69" s="32" t="str">
        <f>IF($Q69="","",SUMIFS(SITE_COEFFS!$C:$C,SITE_COEFFS!$A:$A,"ProximityToBuildings",SITE_COEFFS!$B:$B,$Q69))</f>
        <v/>
      </c>
      <c r="S69" s="31"/>
      <c r="T69" s="32" t="str">
        <f>IF($S69="","",SUMIFS(SITE_COEFFS!$C:$C,SITE_COEFFS!$A:$A,"MachineryAllowed",SITE_COEFFS!$B:$B,$S69))</f>
        <v/>
      </c>
      <c r="U69" s="31"/>
      <c r="V69" s="31"/>
      <c r="W69" s="32" t="str">
        <f>IF($V69="","",SUMIFS(SITE_COEFFS!$C:$C,SITE_COEFFS!$A:$A,"GeometryComplexity",SITE_COEFFS!$B:$B,$V69))</f>
        <v/>
      </c>
      <c r="X69" s="31"/>
      <c r="Y69" s="31" t="str">
        <f>IF($X69="","",SUMIFS(TARIFF_PROFILES!$D:$D,TARIFF_PROFILES!$A:$A,$X69))</f>
        <v/>
      </c>
      <c r="Z69" s="31" t="str">
        <f>IF($X69="","",SUMIFS(TARIFF_PROFILES!$E:$E,TARIFF_PROFILES!$A:$A,$X69))</f>
        <v/>
      </c>
      <c r="AA69" s="31" t="str">
        <f>IF($X69="","",SUMIFS(TARIFF_PROFILES!$F:$F,TARIFF_PROFILES!$A:$A,$X69))</f>
        <v/>
      </c>
      <c r="AB69" s="31" t="str">
        <f>IF($X69="","",SUMIFS(TARIFF_PROFILES!$G:$G,TARIFF_PROFILES!$A:$A,$X69))</f>
        <v/>
      </c>
      <c r="AC69" s="31" t="str">
        <f>IF($X69="","",SUMIFS(TARIFF_PROFILES!$H:$H,TARIFF_PROFILES!$A:$A,$X69))</f>
        <v/>
      </c>
      <c r="AD69" s="31" t="str">
        <f t="array" ref="AD69">IF($X69="","",INDEX(TARIFF_PROFILES!$J:$J,MATCH($X69,TARIFF_PROFILES!$A:$A,0)))</f>
        <v/>
      </c>
      <c r="AE69" s="31" t="str">
        <f t="array" ref="AE69">IF($X69="","",INDEX(TARIFF_PROFILES!$K:$K,MATCH($X69,TARIFF_PROFILES!$A:$A,0)))</f>
        <v/>
      </c>
      <c r="AG69" s="8"/>
      <c r="AH69" s="8" t="str">
        <f>IF($AG69="","",SUMIFS(OPERATING_COEFFS!$C:$C,OPERATING_COEFFS!$A:$A,"DistanceClass",OPERATING_COEFFS!$B:$B,$AG69))</f>
        <v/>
      </c>
      <c r="AI69" s="8"/>
      <c r="AJ69" s="8" t="str">
        <f>IF($AI69="","",SUMIFS(OPERATING_COEFFS!$C:$C,OPERATING_COEFFS!$A:$A,"SeasonClass",OPERATING_COEFFS!$B:$B,$AI69))</f>
        <v/>
      </c>
      <c r="AK69" s="8"/>
      <c r="AL69" s="8" t="str">
        <f>IF($AK69="","",SUMIFS(OPERATING_COEFFS!$C:$C,OPERATING_COEFFS!$A:$A,"UrgencyClass",OPERATING_COEFFS!$B:$B,$AK69))</f>
        <v/>
      </c>
      <c r="AM69" s="8"/>
      <c r="AN69" s="8" t="str">
        <f t="array" ref="AN69">IF($AM69="","",INDEX(TAX_MODES!$B:$B,MATCH($AM69,TAX_MODES!$A:$A,0)))</f>
        <v/>
      </c>
    </row>
    <row r="70" ht="14.25" customHeight="1">
      <c r="A70" s="31"/>
      <c r="B70" s="31"/>
      <c r="C70" s="31"/>
      <c r="D70" s="32" t="str">
        <f>IF($C70="","",SUMIFS(SITE_COEFFS!$C:$C,SITE_COEFFS!$A:$A,"SoilWorkability",SITE_COEFFS!$B:$B,$C70))</f>
        <v/>
      </c>
      <c r="E70" s="31"/>
      <c r="F70" s="32" t="str">
        <f>IF($E70="","",SUMIFS(SITE_COEFFS!$C:$C,SITE_COEFFS!$A:$A,"SoilMoisture",SITE_COEFFS!$B:$B,$E70))</f>
        <v/>
      </c>
      <c r="G70" s="31"/>
      <c r="H70" s="32" t="str">
        <f>IF($G70="","",SUMIFS(SITE_COEFFS!$C:$C,SITE_COEFFS!$A:$A,"DebrisLevel",SITE_COEFFS!$B:$B,$G70))</f>
        <v/>
      </c>
      <c r="I70" s="31"/>
      <c r="J70" s="32" t="str">
        <f>IF($I70="","",SUMIFS(SITE_COEFFS!$C:$C,SITE_COEFFS!$A:$A,"SlopeClass",SITE_COEFFS!$B:$B,$I70))</f>
        <v/>
      </c>
      <c r="K70" s="31"/>
      <c r="L70" s="32" t="str">
        <f>IF($K70="","",SUMIFS(SITE_COEFFS!$C:$C,SITE_COEFFS!$A:$A,"SurfaceUnevenness",SITE_COEFFS!$B:$B,$K70))</f>
        <v/>
      </c>
      <c r="M70" s="31"/>
      <c r="N70" s="32" t="str">
        <f>IF($M70="","",SUMIFS(SITE_COEFFS!$C:$C,SITE_COEFFS!$A:$A,"AccessClass",SITE_COEFFS!$B:$B,$M70))</f>
        <v/>
      </c>
      <c r="O70" s="31"/>
      <c r="P70" s="32" t="str">
        <f>IF($O70="","",SUMIFS(SITE_COEFFS!$C:$C,SITE_COEFFS!$A:$A,"TurnSpace",SITE_COEFFS!$B:$B,$O70))</f>
        <v/>
      </c>
      <c r="Q70" s="31"/>
      <c r="R70" s="32" t="str">
        <f>IF($Q70="","",SUMIFS(SITE_COEFFS!$C:$C,SITE_COEFFS!$A:$A,"ProximityToBuildings",SITE_COEFFS!$B:$B,$Q70))</f>
        <v/>
      </c>
      <c r="S70" s="31"/>
      <c r="T70" s="32" t="str">
        <f>IF($S70="","",SUMIFS(SITE_COEFFS!$C:$C,SITE_COEFFS!$A:$A,"MachineryAllowed",SITE_COEFFS!$B:$B,$S70))</f>
        <v/>
      </c>
      <c r="U70" s="31"/>
      <c r="V70" s="31"/>
      <c r="W70" s="32" t="str">
        <f>IF($V70="","",SUMIFS(SITE_COEFFS!$C:$C,SITE_COEFFS!$A:$A,"GeometryComplexity",SITE_COEFFS!$B:$B,$V70))</f>
        <v/>
      </c>
      <c r="X70" s="31"/>
      <c r="Y70" s="31" t="str">
        <f>IF($X70="","",SUMIFS(TARIFF_PROFILES!$D:$D,TARIFF_PROFILES!$A:$A,$X70))</f>
        <v/>
      </c>
      <c r="Z70" s="31" t="str">
        <f>IF($X70="","",SUMIFS(TARIFF_PROFILES!$E:$E,TARIFF_PROFILES!$A:$A,$X70))</f>
        <v/>
      </c>
      <c r="AA70" s="31" t="str">
        <f>IF($X70="","",SUMIFS(TARIFF_PROFILES!$F:$F,TARIFF_PROFILES!$A:$A,$X70))</f>
        <v/>
      </c>
      <c r="AB70" s="31" t="str">
        <f>IF($X70="","",SUMIFS(TARIFF_PROFILES!$G:$G,TARIFF_PROFILES!$A:$A,$X70))</f>
        <v/>
      </c>
      <c r="AC70" s="31" t="str">
        <f>IF($X70="","",SUMIFS(TARIFF_PROFILES!$H:$H,TARIFF_PROFILES!$A:$A,$X70))</f>
        <v/>
      </c>
      <c r="AD70" s="31" t="str">
        <f t="array" ref="AD70">IF($X70="","",INDEX(TARIFF_PROFILES!$J:$J,MATCH($X70,TARIFF_PROFILES!$A:$A,0)))</f>
        <v/>
      </c>
      <c r="AE70" s="31" t="str">
        <f t="array" ref="AE70">IF($X70="","",INDEX(TARIFF_PROFILES!$K:$K,MATCH($X70,TARIFF_PROFILES!$A:$A,0)))</f>
        <v/>
      </c>
      <c r="AG70" s="8"/>
      <c r="AH70" s="8" t="str">
        <f>IF($AG70="","",SUMIFS(OPERATING_COEFFS!$C:$C,OPERATING_COEFFS!$A:$A,"DistanceClass",OPERATING_COEFFS!$B:$B,$AG70))</f>
        <v/>
      </c>
      <c r="AI70" s="8"/>
      <c r="AJ70" s="8" t="str">
        <f>IF($AI70="","",SUMIFS(OPERATING_COEFFS!$C:$C,OPERATING_COEFFS!$A:$A,"SeasonClass",OPERATING_COEFFS!$B:$B,$AI70))</f>
        <v/>
      </c>
      <c r="AK70" s="8"/>
      <c r="AL70" s="8" t="str">
        <f>IF($AK70="","",SUMIFS(OPERATING_COEFFS!$C:$C,OPERATING_COEFFS!$A:$A,"UrgencyClass",OPERATING_COEFFS!$B:$B,$AK70))</f>
        <v/>
      </c>
      <c r="AM70" s="8"/>
      <c r="AN70" s="8" t="str">
        <f t="array" ref="AN70">IF($AM70="","",INDEX(TAX_MODES!$B:$B,MATCH($AM70,TAX_MODES!$A:$A,0)))</f>
        <v/>
      </c>
    </row>
    <row r="71" ht="14.25" customHeight="1">
      <c r="A71" s="31"/>
      <c r="B71" s="31"/>
      <c r="C71" s="31"/>
      <c r="D71" s="32" t="str">
        <f>IF($C71="","",SUMIFS(SITE_COEFFS!$C:$C,SITE_COEFFS!$A:$A,"SoilWorkability",SITE_COEFFS!$B:$B,$C71))</f>
        <v/>
      </c>
      <c r="E71" s="31"/>
      <c r="F71" s="32" t="str">
        <f>IF($E71="","",SUMIFS(SITE_COEFFS!$C:$C,SITE_COEFFS!$A:$A,"SoilMoisture",SITE_COEFFS!$B:$B,$E71))</f>
        <v/>
      </c>
      <c r="G71" s="31"/>
      <c r="H71" s="32" t="str">
        <f>IF($G71="","",SUMIFS(SITE_COEFFS!$C:$C,SITE_COEFFS!$A:$A,"DebrisLevel",SITE_COEFFS!$B:$B,$G71))</f>
        <v/>
      </c>
      <c r="I71" s="31"/>
      <c r="J71" s="32" t="str">
        <f>IF($I71="","",SUMIFS(SITE_COEFFS!$C:$C,SITE_COEFFS!$A:$A,"SlopeClass",SITE_COEFFS!$B:$B,$I71))</f>
        <v/>
      </c>
      <c r="K71" s="31"/>
      <c r="L71" s="32" t="str">
        <f>IF($K71="","",SUMIFS(SITE_COEFFS!$C:$C,SITE_COEFFS!$A:$A,"SurfaceUnevenness",SITE_COEFFS!$B:$B,$K71))</f>
        <v/>
      </c>
      <c r="M71" s="31"/>
      <c r="N71" s="32" t="str">
        <f>IF($M71="","",SUMIFS(SITE_COEFFS!$C:$C,SITE_COEFFS!$A:$A,"AccessClass",SITE_COEFFS!$B:$B,$M71))</f>
        <v/>
      </c>
      <c r="O71" s="31"/>
      <c r="P71" s="32" t="str">
        <f>IF($O71="","",SUMIFS(SITE_COEFFS!$C:$C,SITE_COEFFS!$A:$A,"TurnSpace",SITE_COEFFS!$B:$B,$O71))</f>
        <v/>
      </c>
      <c r="Q71" s="31"/>
      <c r="R71" s="32" t="str">
        <f>IF($Q71="","",SUMIFS(SITE_COEFFS!$C:$C,SITE_COEFFS!$A:$A,"ProximityToBuildings",SITE_COEFFS!$B:$B,$Q71))</f>
        <v/>
      </c>
      <c r="S71" s="31"/>
      <c r="T71" s="32" t="str">
        <f>IF($S71="","",SUMIFS(SITE_COEFFS!$C:$C,SITE_COEFFS!$A:$A,"MachineryAllowed",SITE_COEFFS!$B:$B,$S71))</f>
        <v/>
      </c>
      <c r="U71" s="31"/>
      <c r="V71" s="31"/>
      <c r="W71" s="32" t="str">
        <f>IF($V71="","",SUMIFS(SITE_COEFFS!$C:$C,SITE_COEFFS!$A:$A,"GeometryComplexity",SITE_COEFFS!$B:$B,$V71))</f>
        <v/>
      </c>
      <c r="X71" s="31"/>
      <c r="Y71" s="31" t="str">
        <f>IF($X71="","",SUMIFS(TARIFF_PROFILES!$D:$D,TARIFF_PROFILES!$A:$A,$X71))</f>
        <v/>
      </c>
      <c r="Z71" s="31" t="str">
        <f>IF($X71="","",SUMIFS(TARIFF_PROFILES!$E:$E,TARIFF_PROFILES!$A:$A,$X71))</f>
        <v/>
      </c>
      <c r="AA71" s="31" t="str">
        <f>IF($X71="","",SUMIFS(TARIFF_PROFILES!$F:$F,TARIFF_PROFILES!$A:$A,$X71))</f>
        <v/>
      </c>
      <c r="AB71" s="31" t="str">
        <f>IF($X71="","",SUMIFS(TARIFF_PROFILES!$G:$G,TARIFF_PROFILES!$A:$A,$X71))</f>
        <v/>
      </c>
      <c r="AC71" s="31" t="str">
        <f>IF($X71="","",SUMIFS(TARIFF_PROFILES!$H:$H,TARIFF_PROFILES!$A:$A,$X71))</f>
        <v/>
      </c>
      <c r="AD71" s="31" t="str">
        <f t="array" ref="AD71">IF($X71="","",INDEX(TARIFF_PROFILES!$J:$J,MATCH($X71,TARIFF_PROFILES!$A:$A,0)))</f>
        <v/>
      </c>
      <c r="AE71" s="31" t="str">
        <f t="array" ref="AE71">IF($X71="","",INDEX(TARIFF_PROFILES!$K:$K,MATCH($X71,TARIFF_PROFILES!$A:$A,0)))</f>
        <v/>
      </c>
      <c r="AG71" s="8"/>
      <c r="AH71" s="8" t="str">
        <f>IF($AG71="","",SUMIFS(OPERATING_COEFFS!$C:$C,OPERATING_COEFFS!$A:$A,"DistanceClass",OPERATING_COEFFS!$B:$B,$AG71))</f>
        <v/>
      </c>
      <c r="AI71" s="8"/>
      <c r="AJ71" s="8" t="str">
        <f>IF($AI71="","",SUMIFS(OPERATING_COEFFS!$C:$C,OPERATING_COEFFS!$A:$A,"SeasonClass",OPERATING_COEFFS!$B:$B,$AI71))</f>
        <v/>
      </c>
      <c r="AK71" s="8"/>
      <c r="AL71" s="8" t="str">
        <f>IF($AK71="","",SUMIFS(OPERATING_COEFFS!$C:$C,OPERATING_COEFFS!$A:$A,"UrgencyClass",OPERATING_COEFFS!$B:$B,$AK71))</f>
        <v/>
      </c>
      <c r="AM71" s="8"/>
      <c r="AN71" s="8" t="str">
        <f t="array" ref="AN71">IF($AM71="","",INDEX(TAX_MODES!$B:$B,MATCH($AM71,TAX_MODES!$A:$A,0)))</f>
        <v/>
      </c>
    </row>
    <row r="72" ht="14.25" customHeight="1">
      <c r="A72" s="31"/>
      <c r="B72" s="31"/>
      <c r="C72" s="31"/>
      <c r="D72" s="32" t="str">
        <f>IF($C72="","",SUMIFS(SITE_COEFFS!$C:$C,SITE_COEFFS!$A:$A,"SoilWorkability",SITE_COEFFS!$B:$B,$C72))</f>
        <v/>
      </c>
      <c r="E72" s="31"/>
      <c r="F72" s="32" t="str">
        <f>IF($E72="","",SUMIFS(SITE_COEFFS!$C:$C,SITE_COEFFS!$A:$A,"SoilMoisture",SITE_COEFFS!$B:$B,$E72))</f>
        <v/>
      </c>
      <c r="G72" s="31"/>
      <c r="H72" s="32" t="str">
        <f>IF($G72="","",SUMIFS(SITE_COEFFS!$C:$C,SITE_COEFFS!$A:$A,"DebrisLevel",SITE_COEFFS!$B:$B,$G72))</f>
        <v/>
      </c>
      <c r="I72" s="31"/>
      <c r="J72" s="32" t="str">
        <f>IF($I72="","",SUMIFS(SITE_COEFFS!$C:$C,SITE_COEFFS!$A:$A,"SlopeClass",SITE_COEFFS!$B:$B,$I72))</f>
        <v/>
      </c>
      <c r="K72" s="31"/>
      <c r="L72" s="32" t="str">
        <f>IF($K72="","",SUMIFS(SITE_COEFFS!$C:$C,SITE_COEFFS!$A:$A,"SurfaceUnevenness",SITE_COEFFS!$B:$B,$K72))</f>
        <v/>
      </c>
      <c r="M72" s="31"/>
      <c r="N72" s="32" t="str">
        <f>IF($M72="","",SUMIFS(SITE_COEFFS!$C:$C,SITE_COEFFS!$A:$A,"AccessClass",SITE_COEFFS!$B:$B,$M72))</f>
        <v/>
      </c>
      <c r="O72" s="31"/>
      <c r="P72" s="32" t="str">
        <f>IF($O72="","",SUMIFS(SITE_COEFFS!$C:$C,SITE_COEFFS!$A:$A,"TurnSpace",SITE_COEFFS!$B:$B,$O72))</f>
        <v/>
      </c>
      <c r="Q72" s="31"/>
      <c r="R72" s="32" t="str">
        <f>IF($Q72="","",SUMIFS(SITE_COEFFS!$C:$C,SITE_COEFFS!$A:$A,"ProximityToBuildings",SITE_COEFFS!$B:$B,$Q72))</f>
        <v/>
      </c>
      <c r="S72" s="31"/>
      <c r="T72" s="32" t="str">
        <f>IF($S72="","",SUMIFS(SITE_COEFFS!$C:$C,SITE_COEFFS!$A:$A,"MachineryAllowed",SITE_COEFFS!$B:$B,$S72))</f>
        <v/>
      </c>
      <c r="U72" s="31"/>
      <c r="V72" s="31"/>
      <c r="W72" s="32" t="str">
        <f>IF($V72="","",SUMIFS(SITE_COEFFS!$C:$C,SITE_COEFFS!$A:$A,"GeometryComplexity",SITE_COEFFS!$B:$B,$V72))</f>
        <v/>
      </c>
      <c r="X72" s="31"/>
      <c r="Y72" s="31" t="str">
        <f>IF($X72="","",SUMIFS(TARIFF_PROFILES!$D:$D,TARIFF_PROFILES!$A:$A,$X72))</f>
        <v/>
      </c>
      <c r="Z72" s="31" t="str">
        <f>IF($X72="","",SUMIFS(TARIFF_PROFILES!$E:$E,TARIFF_PROFILES!$A:$A,$X72))</f>
        <v/>
      </c>
      <c r="AA72" s="31" t="str">
        <f>IF($X72="","",SUMIFS(TARIFF_PROFILES!$F:$F,TARIFF_PROFILES!$A:$A,$X72))</f>
        <v/>
      </c>
      <c r="AB72" s="31" t="str">
        <f>IF($X72="","",SUMIFS(TARIFF_PROFILES!$G:$G,TARIFF_PROFILES!$A:$A,$X72))</f>
        <v/>
      </c>
      <c r="AC72" s="31" t="str">
        <f>IF($X72="","",SUMIFS(TARIFF_PROFILES!$H:$H,TARIFF_PROFILES!$A:$A,$X72))</f>
        <v/>
      </c>
      <c r="AD72" s="31" t="str">
        <f t="array" ref="AD72">IF($X72="","",INDEX(TARIFF_PROFILES!$J:$J,MATCH($X72,TARIFF_PROFILES!$A:$A,0)))</f>
        <v/>
      </c>
      <c r="AE72" s="31" t="str">
        <f t="array" ref="AE72">IF($X72="","",INDEX(TARIFF_PROFILES!$K:$K,MATCH($X72,TARIFF_PROFILES!$A:$A,0)))</f>
        <v/>
      </c>
      <c r="AG72" s="8"/>
      <c r="AH72" s="8" t="str">
        <f>IF($AG72="","",SUMIFS(OPERATING_COEFFS!$C:$C,OPERATING_COEFFS!$A:$A,"DistanceClass",OPERATING_COEFFS!$B:$B,$AG72))</f>
        <v/>
      </c>
      <c r="AI72" s="8"/>
      <c r="AJ72" s="8" t="str">
        <f>IF($AI72="","",SUMIFS(OPERATING_COEFFS!$C:$C,OPERATING_COEFFS!$A:$A,"SeasonClass",OPERATING_COEFFS!$B:$B,$AI72))</f>
        <v/>
      </c>
      <c r="AK72" s="8"/>
      <c r="AL72" s="8" t="str">
        <f>IF($AK72="","",SUMIFS(OPERATING_COEFFS!$C:$C,OPERATING_COEFFS!$A:$A,"UrgencyClass",OPERATING_COEFFS!$B:$B,$AK72))</f>
        <v/>
      </c>
      <c r="AM72" s="8"/>
      <c r="AN72" s="8" t="str">
        <f t="array" ref="AN72">IF($AM72="","",INDEX(TAX_MODES!$B:$B,MATCH($AM72,TAX_MODES!$A:$A,0)))</f>
        <v/>
      </c>
    </row>
    <row r="73" ht="14.25" customHeight="1">
      <c r="A73" s="31"/>
      <c r="B73" s="31"/>
      <c r="C73" s="31"/>
      <c r="D73" s="32" t="str">
        <f>IF($C73="","",SUMIFS(SITE_COEFFS!$C:$C,SITE_COEFFS!$A:$A,"SoilWorkability",SITE_COEFFS!$B:$B,$C73))</f>
        <v/>
      </c>
      <c r="E73" s="31"/>
      <c r="F73" s="32" t="str">
        <f>IF($E73="","",SUMIFS(SITE_COEFFS!$C:$C,SITE_COEFFS!$A:$A,"SoilMoisture",SITE_COEFFS!$B:$B,$E73))</f>
        <v/>
      </c>
      <c r="G73" s="31"/>
      <c r="H73" s="32" t="str">
        <f>IF($G73="","",SUMIFS(SITE_COEFFS!$C:$C,SITE_COEFFS!$A:$A,"DebrisLevel",SITE_COEFFS!$B:$B,$G73))</f>
        <v/>
      </c>
      <c r="I73" s="31"/>
      <c r="J73" s="32" t="str">
        <f>IF($I73="","",SUMIFS(SITE_COEFFS!$C:$C,SITE_COEFFS!$A:$A,"SlopeClass",SITE_COEFFS!$B:$B,$I73))</f>
        <v/>
      </c>
      <c r="K73" s="31"/>
      <c r="L73" s="32" t="str">
        <f>IF($K73="","",SUMIFS(SITE_COEFFS!$C:$C,SITE_COEFFS!$A:$A,"SurfaceUnevenness",SITE_COEFFS!$B:$B,$K73))</f>
        <v/>
      </c>
      <c r="M73" s="31"/>
      <c r="N73" s="32" t="str">
        <f>IF($M73="","",SUMIFS(SITE_COEFFS!$C:$C,SITE_COEFFS!$A:$A,"AccessClass",SITE_COEFFS!$B:$B,$M73))</f>
        <v/>
      </c>
      <c r="O73" s="31"/>
      <c r="P73" s="32" t="str">
        <f>IF($O73="","",SUMIFS(SITE_COEFFS!$C:$C,SITE_COEFFS!$A:$A,"TurnSpace",SITE_COEFFS!$B:$B,$O73))</f>
        <v/>
      </c>
      <c r="Q73" s="31"/>
      <c r="R73" s="32" t="str">
        <f>IF($Q73="","",SUMIFS(SITE_COEFFS!$C:$C,SITE_COEFFS!$A:$A,"ProximityToBuildings",SITE_COEFFS!$B:$B,$Q73))</f>
        <v/>
      </c>
      <c r="S73" s="31"/>
      <c r="T73" s="32" t="str">
        <f>IF($S73="","",SUMIFS(SITE_COEFFS!$C:$C,SITE_COEFFS!$A:$A,"MachineryAllowed",SITE_COEFFS!$B:$B,$S73))</f>
        <v/>
      </c>
      <c r="U73" s="31"/>
      <c r="V73" s="31"/>
      <c r="W73" s="32" t="str">
        <f>IF($V73="","",SUMIFS(SITE_COEFFS!$C:$C,SITE_COEFFS!$A:$A,"GeometryComplexity",SITE_COEFFS!$B:$B,$V73))</f>
        <v/>
      </c>
      <c r="X73" s="31"/>
      <c r="Y73" s="31" t="str">
        <f>IF($X73="","",SUMIFS(TARIFF_PROFILES!$D:$D,TARIFF_PROFILES!$A:$A,$X73))</f>
        <v/>
      </c>
      <c r="Z73" s="31" t="str">
        <f>IF($X73="","",SUMIFS(TARIFF_PROFILES!$E:$E,TARIFF_PROFILES!$A:$A,$X73))</f>
        <v/>
      </c>
      <c r="AA73" s="31" t="str">
        <f>IF($X73="","",SUMIFS(TARIFF_PROFILES!$F:$F,TARIFF_PROFILES!$A:$A,$X73))</f>
        <v/>
      </c>
      <c r="AB73" s="31" t="str">
        <f>IF($X73="","",SUMIFS(TARIFF_PROFILES!$G:$G,TARIFF_PROFILES!$A:$A,$X73))</f>
        <v/>
      </c>
      <c r="AC73" s="31" t="str">
        <f>IF($X73="","",SUMIFS(TARIFF_PROFILES!$H:$H,TARIFF_PROFILES!$A:$A,$X73))</f>
        <v/>
      </c>
      <c r="AD73" s="31" t="str">
        <f t="array" ref="AD73">IF($X73="","",INDEX(TARIFF_PROFILES!$J:$J,MATCH($X73,TARIFF_PROFILES!$A:$A,0)))</f>
        <v/>
      </c>
      <c r="AE73" s="31" t="str">
        <f t="array" ref="AE73">IF($X73="","",INDEX(TARIFF_PROFILES!$K:$K,MATCH($X73,TARIFF_PROFILES!$A:$A,0)))</f>
        <v/>
      </c>
      <c r="AG73" s="8"/>
      <c r="AH73" s="8" t="str">
        <f>IF($AG73="","",SUMIFS(OPERATING_COEFFS!$C:$C,OPERATING_COEFFS!$A:$A,"DistanceClass",OPERATING_COEFFS!$B:$B,$AG73))</f>
        <v/>
      </c>
      <c r="AI73" s="8"/>
      <c r="AJ73" s="8" t="str">
        <f>IF($AI73="","",SUMIFS(OPERATING_COEFFS!$C:$C,OPERATING_COEFFS!$A:$A,"SeasonClass",OPERATING_COEFFS!$B:$B,$AI73))</f>
        <v/>
      </c>
      <c r="AK73" s="8"/>
      <c r="AL73" s="8" t="str">
        <f>IF($AK73="","",SUMIFS(OPERATING_COEFFS!$C:$C,OPERATING_COEFFS!$A:$A,"UrgencyClass",OPERATING_COEFFS!$B:$B,$AK73))</f>
        <v/>
      </c>
      <c r="AM73" s="8"/>
      <c r="AN73" s="8" t="str">
        <f t="array" ref="AN73">IF($AM73="","",INDEX(TAX_MODES!$B:$B,MATCH($AM73,TAX_MODES!$A:$A,0)))</f>
        <v/>
      </c>
    </row>
    <row r="74" ht="14.25" customHeight="1">
      <c r="A74" s="31"/>
      <c r="B74" s="31"/>
      <c r="C74" s="31"/>
      <c r="D74" s="32" t="str">
        <f>IF($C74="","",SUMIFS(SITE_COEFFS!$C:$C,SITE_COEFFS!$A:$A,"SoilWorkability",SITE_COEFFS!$B:$B,$C74))</f>
        <v/>
      </c>
      <c r="E74" s="31"/>
      <c r="F74" s="32" t="str">
        <f>IF($E74="","",SUMIFS(SITE_COEFFS!$C:$C,SITE_COEFFS!$A:$A,"SoilMoisture",SITE_COEFFS!$B:$B,$E74))</f>
        <v/>
      </c>
      <c r="G74" s="31"/>
      <c r="H74" s="32" t="str">
        <f>IF($G74="","",SUMIFS(SITE_COEFFS!$C:$C,SITE_COEFFS!$A:$A,"DebrisLevel",SITE_COEFFS!$B:$B,$G74))</f>
        <v/>
      </c>
      <c r="I74" s="31"/>
      <c r="J74" s="32" t="str">
        <f>IF($I74="","",SUMIFS(SITE_COEFFS!$C:$C,SITE_COEFFS!$A:$A,"SlopeClass",SITE_COEFFS!$B:$B,$I74))</f>
        <v/>
      </c>
      <c r="K74" s="31"/>
      <c r="L74" s="32" t="str">
        <f>IF($K74="","",SUMIFS(SITE_COEFFS!$C:$C,SITE_COEFFS!$A:$A,"SurfaceUnevenness",SITE_COEFFS!$B:$B,$K74))</f>
        <v/>
      </c>
      <c r="M74" s="31"/>
      <c r="N74" s="32" t="str">
        <f>IF($M74="","",SUMIFS(SITE_COEFFS!$C:$C,SITE_COEFFS!$A:$A,"AccessClass",SITE_COEFFS!$B:$B,$M74))</f>
        <v/>
      </c>
      <c r="O74" s="31"/>
      <c r="P74" s="32" t="str">
        <f>IF($O74="","",SUMIFS(SITE_COEFFS!$C:$C,SITE_COEFFS!$A:$A,"TurnSpace",SITE_COEFFS!$B:$B,$O74))</f>
        <v/>
      </c>
      <c r="Q74" s="31"/>
      <c r="R74" s="32" t="str">
        <f>IF($Q74="","",SUMIFS(SITE_COEFFS!$C:$C,SITE_COEFFS!$A:$A,"ProximityToBuildings",SITE_COEFFS!$B:$B,$Q74))</f>
        <v/>
      </c>
      <c r="S74" s="31"/>
      <c r="T74" s="32" t="str">
        <f>IF($S74="","",SUMIFS(SITE_COEFFS!$C:$C,SITE_COEFFS!$A:$A,"MachineryAllowed",SITE_COEFFS!$B:$B,$S74))</f>
        <v/>
      </c>
      <c r="U74" s="31"/>
      <c r="V74" s="31"/>
      <c r="W74" s="32" t="str">
        <f>IF($V74="","",SUMIFS(SITE_COEFFS!$C:$C,SITE_COEFFS!$A:$A,"GeometryComplexity",SITE_COEFFS!$B:$B,$V74))</f>
        <v/>
      </c>
      <c r="X74" s="31"/>
      <c r="Y74" s="31" t="str">
        <f>IF($X74="","",SUMIFS(TARIFF_PROFILES!$D:$D,TARIFF_PROFILES!$A:$A,$X74))</f>
        <v/>
      </c>
      <c r="Z74" s="31" t="str">
        <f>IF($X74="","",SUMIFS(TARIFF_PROFILES!$E:$E,TARIFF_PROFILES!$A:$A,$X74))</f>
        <v/>
      </c>
      <c r="AA74" s="31" t="str">
        <f>IF($X74="","",SUMIFS(TARIFF_PROFILES!$F:$F,TARIFF_PROFILES!$A:$A,$X74))</f>
        <v/>
      </c>
      <c r="AB74" s="31" t="str">
        <f>IF($X74="","",SUMIFS(TARIFF_PROFILES!$G:$G,TARIFF_PROFILES!$A:$A,$X74))</f>
        <v/>
      </c>
      <c r="AC74" s="31" t="str">
        <f>IF($X74="","",SUMIFS(TARIFF_PROFILES!$H:$H,TARIFF_PROFILES!$A:$A,$X74))</f>
        <v/>
      </c>
      <c r="AD74" s="31" t="str">
        <f t="array" ref="AD74">IF($X74="","",INDEX(TARIFF_PROFILES!$J:$J,MATCH($X74,TARIFF_PROFILES!$A:$A,0)))</f>
        <v/>
      </c>
      <c r="AE74" s="31" t="str">
        <f t="array" ref="AE74">IF($X74="","",INDEX(TARIFF_PROFILES!$K:$K,MATCH($X74,TARIFF_PROFILES!$A:$A,0)))</f>
        <v/>
      </c>
      <c r="AG74" s="8"/>
      <c r="AH74" s="8" t="str">
        <f>IF($AG74="","",SUMIFS(OPERATING_COEFFS!$C:$C,OPERATING_COEFFS!$A:$A,"DistanceClass",OPERATING_COEFFS!$B:$B,$AG74))</f>
        <v/>
      </c>
      <c r="AI74" s="8"/>
      <c r="AJ74" s="8" t="str">
        <f>IF($AI74="","",SUMIFS(OPERATING_COEFFS!$C:$C,OPERATING_COEFFS!$A:$A,"SeasonClass",OPERATING_COEFFS!$B:$B,$AI74))</f>
        <v/>
      </c>
      <c r="AK74" s="8"/>
      <c r="AL74" s="8" t="str">
        <f>IF($AK74="","",SUMIFS(OPERATING_COEFFS!$C:$C,OPERATING_COEFFS!$A:$A,"UrgencyClass",OPERATING_COEFFS!$B:$B,$AK74))</f>
        <v/>
      </c>
      <c r="AM74" s="8"/>
      <c r="AN74" s="8" t="str">
        <f t="array" ref="AN74">IF($AM74="","",INDEX(TAX_MODES!$B:$B,MATCH($AM74,TAX_MODES!$A:$A,0)))</f>
        <v/>
      </c>
    </row>
    <row r="75" ht="14.25" customHeight="1">
      <c r="A75" s="31"/>
      <c r="B75" s="31"/>
      <c r="C75" s="31"/>
      <c r="D75" s="32" t="str">
        <f>IF($C75="","",SUMIFS(SITE_COEFFS!$C:$C,SITE_COEFFS!$A:$A,"SoilWorkability",SITE_COEFFS!$B:$B,$C75))</f>
        <v/>
      </c>
      <c r="E75" s="31"/>
      <c r="F75" s="32" t="str">
        <f>IF($E75="","",SUMIFS(SITE_COEFFS!$C:$C,SITE_COEFFS!$A:$A,"SoilMoisture",SITE_COEFFS!$B:$B,$E75))</f>
        <v/>
      </c>
      <c r="G75" s="31"/>
      <c r="H75" s="32" t="str">
        <f>IF($G75="","",SUMIFS(SITE_COEFFS!$C:$C,SITE_COEFFS!$A:$A,"DebrisLevel",SITE_COEFFS!$B:$B,$G75))</f>
        <v/>
      </c>
      <c r="I75" s="31"/>
      <c r="J75" s="32" t="str">
        <f>IF($I75="","",SUMIFS(SITE_COEFFS!$C:$C,SITE_COEFFS!$A:$A,"SlopeClass",SITE_COEFFS!$B:$B,$I75))</f>
        <v/>
      </c>
      <c r="K75" s="31"/>
      <c r="L75" s="32" t="str">
        <f>IF($K75="","",SUMIFS(SITE_COEFFS!$C:$C,SITE_COEFFS!$A:$A,"SurfaceUnevenness",SITE_COEFFS!$B:$B,$K75))</f>
        <v/>
      </c>
      <c r="M75" s="31"/>
      <c r="N75" s="32" t="str">
        <f>IF($M75="","",SUMIFS(SITE_COEFFS!$C:$C,SITE_COEFFS!$A:$A,"AccessClass",SITE_COEFFS!$B:$B,$M75))</f>
        <v/>
      </c>
      <c r="O75" s="31"/>
      <c r="P75" s="32" t="str">
        <f>IF($O75="","",SUMIFS(SITE_COEFFS!$C:$C,SITE_COEFFS!$A:$A,"TurnSpace",SITE_COEFFS!$B:$B,$O75))</f>
        <v/>
      </c>
      <c r="Q75" s="31"/>
      <c r="R75" s="32" t="str">
        <f>IF($Q75="","",SUMIFS(SITE_COEFFS!$C:$C,SITE_COEFFS!$A:$A,"ProximityToBuildings",SITE_COEFFS!$B:$B,$Q75))</f>
        <v/>
      </c>
      <c r="S75" s="31"/>
      <c r="T75" s="32" t="str">
        <f>IF($S75="","",SUMIFS(SITE_COEFFS!$C:$C,SITE_COEFFS!$A:$A,"MachineryAllowed",SITE_COEFFS!$B:$B,$S75))</f>
        <v/>
      </c>
      <c r="U75" s="31"/>
      <c r="V75" s="31"/>
      <c r="W75" s="32" t="str">
        <f>IF($V75="","",SUMIFS(SITE_COEFFS!$C:$C,SITE_COEFFS!$A:$A,"GeometryComplexity",SITE_COEFFS!$B:$B,$V75))</f>
        <v/>
      </c>
      <c r="X75" s="31"/>
      <c r="Y75" s="31" t="str">
        <f>IF($X75="","",SUMIFS(TARIFF_PROFILES!$D:$D,TARIFF_PROFILES!$A:$A,$X75))</f>
        <v/>
      </c>
      <c r="Z75" s="31" t="str">
        <f>IF($X75="","",SUMIFS(TARIFF_PROFILES!$E:$E,TARIFF_PROFILES!$A:$A,$X75))</f>
        <v/>
      </c>
      <c r="AA75" s="31" t="str">
        <f>IF($X75="","",SUMIFS(TARIFF_PROFILES!$F:$F,TARIFF_PROFILES!$A:$A,$X75))</f>
        <v/>
      </c>
      <c r="AB75" s="31" t="str">
        <f>IF($X75="","",SUMIFS(TARIFF_PROFILES!$G:$G,TARIFF_PROFILES!$A:$A,$X75))</f>
        <v/>
      </c>
      <c r="AC75" s="31" t="str">
        <f>IF($X75="","",SUMIFS(TARIFF_PROFILES!$H:$H,TARIFF_PROFILES!$A:$A,$X75))</f>
        <v/>
      </c>
      <c r="AD75" s="31" t="str">
        <f t="array" ref="AD75">IF($X75="","",INDEX(TARIFF_PROFILES!$J:$J,MATCH($X75,TARIFF_PROFILES!$A:$A,0)))</f>
        <v/>
      </c>
      <c r="AE75" s="31" t="str">
        <f t="array" ref="AE75">IF($X75="","",INDEX(TARIFF_PROFILES!$K:$K,MATCH($X75,TARIFF_PROFILES!$A:$A,0)))</f>
        <v/>
      </c>
      <c r="AG75" s="8"/>
      <c r="AH75" s="8" t="str">
        <f>IF($AG75="","",SUMIFS(OPERATING_COEFFS!$C:$C,OPERATING_COEFFS!$A:$A,"DistanceClass",OPERATING_COEFFS!$B:$B,$AG75))</f>
        <v/>
      </c>
      <c r="AI75" s="8"/>
      <c r="AJ75" s="8" t="str">
        <f>IF($AI75="","",SUMIFS(OPERATING_COEFFS!$C:$C,OPERATING_COEFFS!$A:$A,"SeasonClass",OPERATING_COEFFS!$B:$B,$AI75))</f>
        <v/>
      </c>
      <c r="AK75" s="8"/>
      <c r="AL75" s="8" t="str">
        <f>IF($AK75="","",SUMIFS(OPERATING_COEFFS!$C:$C,OPERATING_COEFFS!$A:$A,"UrgencyClass",OPERATING_COEFFS!$B:$B,$AK75))</f>
        <v/>
      </c>
      <c r="AM75" s="8"/>
      <c r="AN75" s="8" t="str">
        <f t="array" ref="AN75">IF($AM75="","",INDEX(TAX_MODES!$B:$B,MATCH($AM75,TAX_MODES!$A:$A,0)))</f>
        <v/>
      </c>
    </row>
    <row r="76" ht="14.25" customHeight="1">
      <c r="A76" s="31"/>
      <c r="B76" s="31"/>
      <c r="C76" s="31"/>
      <c r="D76" s="32" t="str">
        <f>IF($C76="","",SUMIFS(SITE_COEFFS!$C:$C,SITE_COEFFS!$A:$A,"SoilWorkability",SITE_COEFFS!$B:$B,$C76))</f>
        <v/>
      </c>
      <c r="E76" s="31"/>
      <c r="F76" s="32" t="str">
        <f>IF($E76="","",SUMIFS(SITE_COEFFS!$C:$C,SITE_COEFFS!$A:$A,"SoilMoisture",SITE_COEFFS!$B:$B,$E76))</f>
        <v/>
      </c>
      <c r="G76" s="31"/>
      <c r="H76" s="32" t="str">
        <f>IF($G76="","",SUMIFS(SITE_COEFFS!$C:$C,SITE_COEFFS!$A:$A,"DebrisLevel",SITE_COEFFS!$B:$B,$G76))</f>
        <v/>
      </c>
      <c r="I76" s="31"/>
      <c r="J76" s="32" t="str">
        <f>IF($I76="","",SUMIFS(SITE_COEFFS!$C:$C,SITE_COEFFS!$A:$A,"SlopeClass",SITE_COEFFS!$B:$B,$I76))</f>
        <v/>
      </c>
      <c r="K76" s="31"/>
      <c r="L76" s="32" t="str">
        <f>IF($K76="","",SUMIFS(SITE_COEFFS!$C:$C,SITE_COEFFS!$A:$A,"SurfaceUnevenness",SITE_COEFFS!$B:$B,$K76))</f>
        <v/>
      </c>
      <c r="M76" s="31"/>
      <c r="N76" s="32" t="str">
        <f>IF($M76="","",SUMIFS(SITE_COEFFS!$C:$C,SITE_COEFFS!$A:$A,"AccessClass",SITE_COEFFS!$B:$B,$M76))</f>
        <v/>
      </c>
      <c r="O76" s="31"/>
      <c r="P76" s="32" t="str">
        <f>IF($O76="","",SUMIFS(SITE_COEFFS!$C:$C,SITE_COEFFS!$A:$A,"TurnSpace",SITE_COEFFS!$B:$B,$O76))</f>
        <v/>
      </c>
      <c r="Q76" s="31"/>
      <c r="R76" s="32" t="str">
        <f>IF($Q76="","",SUMIFS(SITE_COEFFS!$C:$C,SITE_COEFFS!$A:$A,"ProximityToBuildings",SITE_COEFFS!$B:$B,$Q76))</f>
        <v/>
      </c>
      <c r="S76" s="31"/>
      <c r="T76" s="32" t="str">
        <f>IF($S76="","",SUMIFS(SITE_COEFFS!$C:$C,SITE_COEFFS!$A:$A,"MachineryAllowed",SITE_COEFFS!$B:$B,$S76))</f>
        <v/>
      </c>
      <c r="U76" s="31"/>
      <c r="V76" s="31"/>
      <c r="W76" s="32" t="str">
        <f>IF($V76="","",SUMIFS(SITE_COEFFS!$C:$C,SITE_COEFFS!$A:$A,"GeometryComplexity",SITE_COEFFS!$B:$B,$V76))</f>
        <v/>
      </c>
      <c r="X76" s="31"/>
      <c r="Y76" s="31" t="str">
        <f>IF($X76="","",SUMIFS(TARIFF_PROFILES!$D:$D,TARIFF_PROFILES!$A:$A,$X76))</f>
        <v/>
      </c>
      <c r="Z76" s="31" t="str">
        <f>IF($X76="","",SUMIFS(TARIFF_PROFILES!$E:$E,TARIFF_PROFILES!$A:$A,$X76))</f>
        <v/>
      </c>
      <c r="AA76" s="31" t="str">
        <f>IF($X76="","",SUMIFS(TARIFF_PROFILES!$F:$F,TARIFF_PROFILES!$A:$A,$X76))</f>
        <v/>
      </c>
      <c r="AB76" s="31" t="str">
        <f>IF($X76="","",SUMIFS(TARIFF_PROFILES!$G:$G,TARIFF_PROFILES!$A:$A,$X76))</f>
        <v/>
      </c>
      <c r="AC76" s="31" t="str">
        <f>IF($X76="","",SUMIFS(TARIFF_PROFILES!$H:$H,TARIFF_PROFILES!$A:$A,$X76))</f>
        <v/>
      </c>
      <c r="AD76" s="31" t="str">
        <f t="array" ref="AD76">IF($X76="","",INDEX(TARIFF_PROFILES!$J:$J,MATCH($X76,TARIFF_PROFILES!$A:$A,0)))</f>
        <v/>
      </c>
      <c r="AE76" s="31" t="str">
        <f t="array" ref="AE76">IF($X76="","",INDEX(TARIFF_PROFILES!$K:$K,MATCH($X76,TARIFF_PROFILES!$A:$A,0)))</f>
        <v/>
      </c>
      <c r="AG76" s="8"/>
      <c r="AH76" s="8" t="str">
        <f>IF($AG76="","",SUMIFS(OPERATING_COEFFS!$C:$C,OPERATING_COEFFS!$A:$A,"DistanceClass",OPERATING_COEFFS!$B:$B,$AG76))</f>
        <v/>
      </c>
      <c r="AI76" s="8"/>
      <c r="AJ76" s="8" t="str">
        <f>IF($AI76="","",SUMIFS(OPERATING_COEFFS!$C:$C,OPERATING_COEFFS!$A:$A,"SeasonClass",OPERATING_COEFFS!$B:$B,$AI76))</f>
        <v/>
      </c>
      <c r="AK76" s="8"/>
      <c r="AL76" s="8" t="str">
        <f>IF($AK76="","",SUMIFS(OPERATING_COEFFS!$C:$C,OPERATING_COEFFS!$A:$A,"UrgencyClass",OPERATING_COEFFS!$B:$B,$AK76))</f>
        <v/>
      </c>
      <c r="AM76" s="8"/>
      <c r="AN76" s="8" t="str">
        <f t="array" ref="AN76">IF($AM76="","",INDEX(TAX_MODES!$B:$B,MATCH($AM76,TAX_MODES!$A:$A,0)))</f>
        <v/>
      </c>
    </row>
    <row r="77" ht="14.25" customHeight="1">
      <c r="A77" s="31"/>
      <c r="B77" s="31"/>
      <c r="C77" s="31"/>
      <c r="D77" s="32" t="str">
        <f>IF($C77="","",SUMIFS(SITE_COEFFS!$C:$C,SITE_COEFFS!$A:$A,"SoilWorkability",SITE_COEFFS!$B:$B,$C77))</f>
        <v/>
      </c>
      <c r="E77" s="31"/>
      <c r="F77" s="32" t="str">
        <f>IF($E77="","",SUMIFS(SITE_COEFFS!$C:$C,SITE_COEFFS!$A:$A,"SoilMoisture",SITE_COEFFS!$B:$B,$E77))</f>
        <v/>
      </c>
      <c r="G77" s="31"/>
      <c r="H77" s="32" t="str">
        <f>IF($G77="","",SUMIFS(SITE_COEFFS!$C:$C,SITE_COEFFS!$A:$A,"DebrisLevel",SITE_COEFFS!$B:$B,$G77))</f>
        <v/>
      </c>
      <c r="I77" s="31"/>
      <c r="J77" s="32" t="str">
        <f>IF($I77="","",SUMIFS(SITE_COEFFS!$C:$C,SITE_COEFFS!$A:$A,"SlopeClass",SITE_COEFFS!$B:$B,$I77))</f>
        <v/>
      </c>
      <c r="K77" s="31"/>
      <c r="L77" s="32" t="str">
        <f>IF($K77="","",SUMIFS(SITE_COEFFS!$C:$C,SITE_COEFFS!$A:$A,"SurfaceUnevenness",SITE_COEFFS!$B:$B,$K77))</f>
        <v/>
      </c>
      <c r="M77" s="31"/>
      <c r="N77" s="32" t="str">
        <f>IF($M77="","",SUMIFS(SITE_COEFFS!$C:$C,SITE_COEFFS!$A:$A,"AccessClass",SITE_COEFFS!$B:$B,$M77))</f>
        <v/>
      </c>
      <c r="O77" s="31"/>
      <c r="P77" s="32" t="str">
        <f>IF($O77="","",SUMIFS(SITE_COEFFS!$C:$C,SITE_COEFFS!$A:$A,"TurnSpace",SITE_COEFFS!$B:$B,$O77))</f>
        <v/>
      </c>
      <c r="Q77" s="31"/>
      <c r="R77" s="32" t="str">
        <f>IF($Q77="","",SUMIFS(SITE_COEFFS!$C:$C,SITE_COEFFS!$A:$A,"ProximityToBuildings",SITE_COEFFS!$B:$B,$Q77))</f>
        <v/>
      </c>
      <c r="S77" s="31"/>
      <c r="T77" s="32" t="str">
        <f>IF($S77="","",SUMIFS(SITE_COEFFS!$C:$C,SITE_COEFFS!$A:$A,"MachineryAllowed",SITE_COEFFS!$B:$B,$S77))</f>
        <v/>
      </c>
      <c r="U77" s="31"/>
      <c r="V77" s="31"/>
      <c r="W77" s="32" t="str">
        <f>IF($V77="","",SUMIFS(SITE_COEFFS!$C:$C,SITE_COEFFS!$A:$A,"GeometryComplexity",SITE_COEFFS!$B:$B,$V77))</f>
        <v/>
      </c>
      <c r="X77" s="31"/>
      <c r="Y77" s="31" t="str">
        <f>IF($X77="","",SUMIFS(TARIFF_PROFILES!$D:$D,TARIFF_PROFILES!$A:$A,$X77))</f>
        <v/>
      </c>
      <c r="Z77" s="31" t="str">
        <f>IF($X77="","",SUMIFS(TARIFF_PROFILES!$E:$E,TARIFF_PROFILES!$A:$A,$X77))</f>
        <v/>
      </c>
      <c r="AA77" s="31" t="str">
        <f>IF($X77="","",SUMIFS(TARIFF_PROFILES!$F:$F,TARIFF_PROFILES!$A:$A,$X77))</f>
        <v/>
      </c>
      <c r="AB77" s="31" t="str">
        <f>IF($X77="","",SUMIFS(TARIFF_PROFILES!$G:$G,TARIFF_PROFILES!$A:$A,$X77))</f>
        <v/>
      </c>
      <c r="AC77" s="31" t="str">
        <f>IF($X77="","",SUMIFS(TARIFF_PROFILES!$H:$H,TARIFF_PROFILES!$A:$A,$X77))</f>
        <v/>
      </c>
      <c r="AD77" s="31" t="str">
        <f t="array" ref="AD77">IF($X77="","",INDEX(TARIFF_PROFILES!$J:$J,MATCH($X77,TARIFF_PROFILES!$A:$A,0)))</f>
        <v/>
      </c>
      <c r="AE77" s="31" t="str">
        <f t="array" ref="AE77">IF($X77="","",INDEX(TARIFF_PROFILES!$K:$K,MATCH($X77,TARIFF_PROFILES!$A:$A,0)))</f>
        <v/>
      </c>
      <c r="AG77" s="8"/>
      <c r="AH77" s="8" t="str">
        <f>IF($AG77="","",SUMIFS(OPERATING_COEFFS!$C:$C,OPERATING_COEFFS!$A:$A,"DistanceClass",OPERATING_COEFFS!$B:$B,$AG77))</f>
        <v/>
      </c>
      <c r="AI77" s="8"/>
      <c r="AJ77" s="8" t="str">
        <f>IF($AI77="","",SUMIFS(OPERATING_COEFFS!$C:$C,OPERATING_COEFFS!$A:$A,"SeasonClass",OPERATING_COEFFS!$B:$B,$AI77))</f>
        <v/>
      </c>
      <c r="AK77" s="8"/>
      <c r="AL77" s="8" t="str">
        <f>IF($AK77="","",SUMIFS(OPERATING_COEFFS!$C:$C,OPERATING_COEFFS!$A:$A,"UrgencyClass",OPERATING_COEFFS!$B:$B,$AK77))</f>
        <v/>
      </c>
      <c r="AM77" s="8"/>
      <c r="AN77" s="8" t="str">
        <f t="array" ref="AN77">IF($AM77="","",INDEX(TAX_MODES!$B:$B,MATCH($AM77,TAX_MODES!$A:$A,0)))</f>
        <v/>
      </c>
    </row>
    <row r="78" ht="14.25" customHeight="1">
      <c r="A78" s="31"/>
      <c r="B78" s="31"/>
      <c r="C78" s="31"/>
      <c r="D78" s="32" t="str">
        <f>IF($C78="","",SUMIFS(SITE_COEFFS!$C:$C,SITE_COEFFS!$A:$A,"SoilWorkability",SITE_COEFFS!$B:$B,$C78))</f>
        <v/>
      </c>
      <c r="E78" s="31"/>
      <c r="F78" s="32" t="str">
        <f>IF($E78="","",SUMIFS(SITE_COEFFS!$C:$C,SITE_COEFFS!$A:$A,"SoilMoisture",SITE_COEFFS!$B:$B,$E78))</f>
        <v/>
      </c>
      <c r="G78" s="31"/>
      <c r="H78" s="32" t="str">
        <f>IF($G78="","",SUMIFS(SITE_COEFFS!$C:$C,SITE_COEFFS!$A:$A,"DebrisLevel",SITE_COEFFS!$B:$B,$G78))</f>
        <v/>
      </c>
      <c r="I78" s="31"/>
      <c r="J78" s="32" t="str">
        <f>IF($I78="","",SUMIFS(SITE_COEFFS!$C:$C,SITE_COEFFS!$A:$A,"SlopeClass",SITE_COEFFS!$B:$B,$I78))</f>
        <v/>
      </c>
      <c r="K78" s="31"/>
      <c r="L78" s="32" t="str">
        <f>IF($K78="","",SUMIFS(SITE_COEFFS!$C:$C,SITE_COEFFS!$A:$A,"SurfaceUnevenness",SITE_COEFFS!$B:$B,$K78))</f>
        <v/>
      </c>
      <c r="M78" s="31"/>
      <c r="N78" s="32" t="str">
        <f>IF($M78="","",SUMIFS(SITE_COEFFS!$C:$C,SITE_COEFFS!$A:$A,"AccessClass",SITE_COEFFS!$B:$B,$M78))</f>
        <v/>
      </c>
      <c r="O78" s="31"/>
      <c r="P78" s="32" t="str">
        <f>IF($O78="","",SUMIFS(SITE_COEFFS!$C:$C,SITE_COEFFS!$A:$A,"TurnSpace",SITE_COEFFS!$B:$B,$O78))</f>
        <v/>
      </c>
      <c r="Q78" s="31"/>
      <c r="R78" s="32" t="str">
        <f>IF($Q78="","",SUMIFS(SITE_COEFFS!$C:$C,SITE_COEFFS!$A:$A,"ProximityToBuildings",SITE_COEFFS!$B:$B,$Q78))</f>
        <v/>
      </c>
      <c r="S78" s="31"/>
      <c r="T78" s="32" t="str">
        <f>IF($S78="","",SUMIFS(SITE_COEFFS!$C:$C,SITE_COEFFS!$A:$A,"MachineryAllowed",SITE_COEFFS!$B:$B,$S78))</f>
        <v/>
      </c>
      <c r="U78" s="31"/>
      <c r="V78" s="31"/>
      <c r="W78" s="32" t="str">
        <f>IF($V78="","",SUMIFS(SITE_COEFFS!$C:$C,SITE_COEFFS!$A:$A,"GeometryComplexity",SITE_COEFFS!$B:$B,$V78))</f>
        <v/>
      </c>
      <c r="X78" s="31"/>
      <c r="Y78" s="31" t="str">
        <f>IF($X78="","",SUMIFS(TARIFF_PROFILES!$D:$D,TARIFF_PROFILES!$A:$A,$X78))</f>
        <v/>
      </c>
      <c r="Z78" s="31" t="str">
        <f>IF($X78="","",SUMIFS(TARIFF_PROFILES!$E:$E,TARIFF_PROFILES!$A:$A,$X78))</f>
        <v/>
      </c>
      <c r="AA78" s="31" t="str">
        <f>IF($X78="","",SUMIFS(TARIFF_PROFILES!$F:$F,TARIFF_PROFILES!$A:$A,$X78))</f>
        <v/>
      </c>
      <c r="AB78" s="31" t="str">
        <f>IF($X78="","",SUMIFS(TARIFF_PROFILES!$G:$G,TARIFF_PROFILES!$A:$A,$X78))</f>
        <v/>
      </c>
      <c r="AC78" s="31" t="str">
        <f>IF($X78="","",SUMIFS(TARIFF_PROFILES!$H:$H,TARIFF_PROFILES!$A:$A,$X78))</f>
        <v/>
      </c>
      <c r="AD78" s="31" t="str">
        <f t="array" ref="AD78">IF($X78="","",INDEX(TARIFF_PROFILES!$J:$J,MATCH($X78,TARIFF_PROFILES!$A:$A,0)))</f>
        <v/>
      </c>
      <c r="AE78" s="31" t="str">
        <f t="array" ref="AE78">IF($X78="","",INDEX(TARIFF_PROFILES!$K:$K,MATCH($X78,TARIFF_PROFILES!$A:$A,0)))</f>
        <v/>
      </c>
      <c r="AG78" s="8"/>
      <c r="AH78" s="8" t="str">
        <f>IF($AG78="","",SUMIFS(OPERATING_COEFFS!$C:$C,OPERATING_COEFFS!$A:$A,"DistanceClass",OPERATING_COEFFS!$B:$B,$AG78))</f>
        <v/>
      </c>
      <c r="AI78" s="8"/>
      <c r="AJ78" s="8" t="str">
        <f>IF($AI78="","",SUMIFS(OPERATING_COEFFS!$C:$C,OPERATING_COEFFS!$A:$A,"SeasonClass",OPERATING_COEFFS!$B:$B,$AI78))</f>
        <v/>
      </c>
      <c r="AK78" s="8"/>
      <c r="AL78" s="8" t="str">
        <f>IF($AK78="","",SUMIFS(OPERATING_COEFFS!$C:$C,OPERATING_COEFFS!$A:$A,"UrgencyClass",OPERATING_COEFFS!$B:$B,$AK78))</f>
        <v/>
      </c>
      <c r="AM78" s="8"/>
      <c r="AN78" s="8" t="str">
        <f t="array" ref="AN78">IF($AM78="","",INDEX(TAX_MODES!$B:$B,MATCH($AM78,TAX_MODES!$A:$A,0)))</f>
        <v/>
      </c>
    </row>
    <row r="79" ht="14.25" customHeight="1">
      <c r="A79" s="31"/>
      <c r="B79" s="31"/>
      <c r="C79" s="31"/>
      <c r="D79" s="32" t="str">
        <f>IF($C79="","",SUMIFS(SITE_COEFFS!$C:$C,SITE_COEFFS!$A:$A,"SoilWorkability",SITE_COEFFS!$B:$B,$C79))</f>
        <v/>
      </c>
      <c r="E79" s="31"/>
      <c r="F79" s="32" t="str">
        <f>IF($E79="","",SUMIFS(SITE_COEFFS!$C:$C,SITE_COEFFS!$A:$A,"SoilMoisture",SITE_COEFFS!$B:$B,$E79))</f>
        <v/>
      </c>
      <c r="G79" s="31"/>
      <c r="H79" s="32" t="str">
        <f>IF($G79="","",SUMIFS(SITE_COEFFS!$C:$C,SITE_COEFFS!$A:$A,"DebrisLevel",SITE_COEFFS!$B:$B,$G79))</f>
        <v/>
      </c>
      <c r="I79" s="31"/>
      <c r="J79" s="32" t="str">
        <f>IF($I79="","",SUMIFS(SITE_COEFFS!$C:$C,SITE_COEFFS!$A:$A,"SlopeClass",SITE_COEFFS!$B:$B,$I79))</f>
        <v/>
      </c>
      <c r="K79" s="31"/>
      <c r="L79" s="32" t="str">
        <f>IF($K79="","",SUMIFS(SITE_COEFFS!$C:$C,SITE_COEFFS!$A:$A,"SurfaceUnevenness",SITE_COEFFS!$B:$B,$K79))</f>
        <v/>
      </c>
      <c r="M79" s="31"/>
      <c r="N79" s="32" t="str">
        <f>IF($M79="","",SUMIFS(SITE_COEFFS!$C:$C,SITE_COEFFS!$A:$A,"AccessClass",SITE_COEFFS!$B:$B,$M79))</f>
        <v/>
      </c>
      <c r="O79" s="31"/>
      <c r="P79" s="32" t="str">
        <f>IF($O79="","",SUMIFS(SITE_COEFFS!$C:$C,SITE_COEFFS!$A:$A,"TurnSpace",SITE_COEFFS!$B:$B,$O79))</f>
        <v/>
      </c>
      <c r="Q79" s="31"/>
      <c r="R79" s="32" t="str">
        <f>IF($Q79="","",SUMIFS(SITE_COEFFS!$C:$C,SITE_COEFFS!$A:$A,"ProximityToBuildings",SITE_COEFFS!$B:$B,$Q79))</f>
        <v/>
      </c>
      <c r="S79" s="31"/>
      <c r="T79" s="32" t="str">
        <f>IF($S79="","",SUMIFS(SITE_COEFFS!$C:$C,SITE_COEFFS!$A:$A,"MachineryAllowed",SITE_COEFFS!$B:$B,$S79))</f>
        <v/>
      </c>
      <c r="U79" s="31"/>
      <c r="V79" s="31"/>
      <c r="W79" s="32" t="str">
        <f>IF($V79="","",SUMIFS(SITE_COEFFS!$C:$C,SITE_COEFFS!$A:$A,"GeometryComplexity",SITE_COEFFS!$B:$B,$V79))</f>
        <v/>
      </c>
      <c r="X79" s="31"/>
      <c r="Y79" s="31" t="str">
        <f>IF($X79="","",SUMIFS(TARIFF_PROFILES!$D:$D,TARIFF_PROFILES!$A:$A,$X79))</f>
        <v/>
      </c>
      <c r="Z79" s="31" t="str">
        <f>IF($X79="","",SUMIFS(TARIFF_PROFILES!$E:$E,TARIFF_PROFILES!$A:$A,$X79))</f>
        <v/>
      </c>
      <c r="AA79" s="31" t="str">
        <f>IF($X79="","",SUMIFS(TARIFF_PROFILES!$F:$F,TARIFF_PROFILES!$A:$A,$X79))</f>
        <v/>
      </c>
      <c r="AB79" s="31" t="str">
        <f>IF($X79="","",SUMIFS(TARIFF_PROFILES!$G:$G,TARIFF_PROFILES!$A:$A,$X79))</f>
        <v/>
      </c>
      <c r="AC79" s="31" t="str">
        <f>IF($X79="","",SUMIFS(TARIFF_PROFILES!$H:$H,TARIFF_PROFILES!$A:$A,$X79))</f>
        <v/>
      </c>
      <c r="AD79" s="31" t="str">
        <f t="array" ref="AD79">IF($X79="","",INDEX(TARIFF_PROFILES!$J:$J,MATCH($X79,TARIFF_PROFILES!$A:$A,0)))</f>
        <v/>
      </c>
      <c r="AE79" s="31" t="str">
        <f t="array" ref="AE79">IF($X79="","",INDEX(TARIFF_PROFILES!$K:$K,MATCH($X79,TARIFF_PROFILES!$A:$A,0)))</f>
        <v/>
      </c>
      <c r="AG79" s="8"/>
      <c r="AH79" s="8" t="str">
        <f>IF($AG79="","",SUMIFS(OPERATING_COEFFS!$C:$C,OPERATING_COEFFS!$A:$A,"DistanceClass",OPERATING_COEFFS!$B:$B,$AG79))</f>
        <v/>
      </c>
      <c r="AI79" s="8"/>
      <c r="AJ79" s="8" t="str">
        <f>IF($AI79="","",SUMIFS(OPERATING_COEFFS!$C:$C,OPERATING_COEFFS!$A:$A,"SeasonClass",OPERATING_COEFFS!$B:$B,$AI79))</f>
        <v/>
      </c>
      <c r="AK79" s="8"/>
      <c r="AL79" s="8" t="str">
        <f>IF($AK79="","",SUMIFS(OPERATING_COEFFS!$C:$C,OPERATING_COEFFS!$A:$A,"UrgencyClass",OPERATING_COEFFS!$B:$B,$AK79))</f>
        <v/>
      </c>
      <c r="AM79" s="8"/>
      <c r="AN79" s="8" t="str">
        <f t="array" ref="AN79">IF($AM79="","",INDEX(TAX_MODES!$B:$B,MATCH($AM79,TAX_MODES!$A:$A,0)))</f>
        <v/>
      </c>
    </row>
    <row r="80" ht="14.25" customHeight="1">
      <c r="A80" s="31"/>
      <c r="B80" s="31"/>
      <c r="C80" s="31"/>
      <c r="D80" s="32" t="str">
        <f>IF($C80="","",SUMIFS(SITE_COEFFS!$C:$C,SITE_COEFFS!$A:$A,"SoilWorkability",SITE_COEFFS!$B:$B,$C80))</f>
        <v/>
      </c>
      <c r="E80" s="31"/>
      <c r="F80" s="32" t="str">
        <f>IF($E80="","",SUMIFS(SITE_COEFFS!$C:$C,SITE_COEFFS!$A:$A,"SoilMoisture",SITE_COEFFS!$B:$B,$E80))</f>
        <v/>
      </c>
      <c r="G80" s="31"/>
      <c r="H80" s="32" t="str">
        <f>IF($G80="","",SUMIFS(SITE_COEFFS!$C:$C,SITE_COEFFS!$A:$A,"DebrisLevel",SITE_COEFFS!$B:$B,$G80))</f>
        <v/>
      </c>
      <c r="I80" s="31"/>
      <c r="J80" s="32" t="str">
        <f>IF($I80="","",SUMIFS(SITE_COEFFS!$C:$C,SITE_COEFFS!$A:$A,"SlopeClass",SITE_COEFFS!$B:$B,$I80))</f>
        <v/>
      </c>
      <c r="K80" s="31"/>
      <c r="L80" s="32" t="str">
        <f>IF($K80="","",SUMIFS(SITE_COEFFS!$C:$C,SITE_COEFFS!$A:$A,"SurfaceUnevenness",SITE_COEFFS!$B:$B,$K80))</f>
        <v/>
      </c>
      <c r="M80" s="31"/>
      <c r="N80" s="32" t="str">
        <f>IF($M80="","",SUMIFS(SITE_COEFFS!$C:$C,SITE_COEFFS!$A:$A,"AccessClass",SITE_COEFFS!$B:$B,$M80))</f>
        <v/>
      </c>
      <c r="O80" s="31"/>
      <c r="P80" s="32" t="str">
        <f>IF($O80="","",SUMIFS(SITE_COEFFS!$C:$C,SITE_COEFFS!$A:$A,"TurnSpace",SITE_COEFFS!$B:$B,$O80))</f>
        <v/>
      </c>
      <c r="Q80" s="31"/>
      <c r="R80" s="32" t="str">
        <f>IF($Q80="","",SUMIFS(SITE_COEFFS!$C:$C,SITE_COEFFS!$A:$A,"ProximityToBuildings",SITE_COEFFS!$B:$B,$Q80))</f>
        <v/>
      </c>
      <c r="S80" s="31"/>
      <c r="T80" s="32" t="str">
        <f>IF($S80="","",SUMIFS(SITE_COEFFS!$C:$C,SITE_COEFFS!$A:$A,"MachineryAllowed",SITE_COEFFS!$B:$B,$S80))</f>
        <v/>
      </c>
      <c r="U80" s="31"/>
      <c r="V80" s="31"/>
      <c r="W80" s="32" t="str">
        <f>IF($V80="","",SUMIFS(SITE_COEFFS!$C:$C,SITE_COEFFS!$A:$A,"GeometryComplexity",SITE_COEFFS!$B:$B,$V80))</f>
        <v/>
      </c>
      <c r="X80" s="31"/>
      <c r="Y80" s="31" t="str">
        <f>IF($X80="","",SUMIFS(TARIFF_PROFILES!$D:$D,TARIFF_PROFILES!$A:$A,$X80))</f>
        <v/>
      </c>
      <c r="Z80" s="31" t="str">
        <f>IF($X80="","",SUMIFS(TARIFF_PROFILES!$E:$E,TARIFF_PROFILES!$A:$A,$X80))</f>
        <v/>
      </c>
      <c r="AA80" s="31" t="str">
        <f>IF($X80="","",SUMIFS(TARIFF_PROFILES!$F:$F,TARIFF_PROFILES!$A:$A,$X80))</f>
        <v/>
      </c>
      <c r="AB80" s="31" t="str">
        <f>IF($X80="","",SUMIFS(TARIFF_PROFILES!$G:$G,TARIFF_PROFILES!$A:$A,$X80))</f>
        <v/>
      </c>
      <c r="AC80" s="31" t="str">
        <f>IF($X80="","",SUMIFS(TARIFF_PROFILES!$H:$H,TARIFF_PROFILES!$A:$A,$X80))</f>
        <v/>
      </c>
      <c r="AD80" s="31" t="str">
        <f t="array" ref="AD80">IF($X80="","",INDEX(TARIFF_PROFILES!$J:$J,MATCH($X80,TARIFF_PROFILES!$A:$A,0)))</f>
        <v/>
      </c>
      <c r="AE80" s="31" t="str">
        <f t="array" ref="AE80">IF($X80="","",INDEX(TARIFF_PROFILES!$K:$K,MATCH($X80,TARIFF_PROFILES!$A:$A,0)))</f>
        <v/>
      </c>
      <c r="AG80" s="8"/>
      <c r="AH80" s="8" t="str">
        <f>IF($AG80="","",SUMIFS(OPERATING_COEFFS!$C:$C,OPERATING_COEFFS!$A:$A,"DistanceClass",OPERATING_COEFFS!$B:$B,$AG80))</f>
        <v/>
      </c>
      <c r="AI80" s="8"/>
      <c r="AJ80" s="8" t="str">
        <f>IF($AI80="","",SUMIFS(OPERATING_COEFFS!$C:$C,OPERATING_COEFFS!$A:$A,"SeasonClass",OPERATING_COEFFS!$B:$B,$AI80))</f>
        <v/>
      </c>
      <c r="AK80" s="8"/>
      <c r="AL80" s="8" t="str">
        <f>IF($AK80="","",SUMIFS(OPERATING_COEFFS!$C:$C,OPERATING_COEFFS!$A:$A,"UrgencyClass",OPERATING_COEFFS!$B:$B,$AK80))</f>
        <v/>
      </c>
      <c r="AM80" s="8"/>
      <c r="AN80" s="8" t="str">
        <f t="array" ref="AN80">IF($AM80="","",INDEX(TAX_MODES!$B:$B,MATCH($AM80,TAX_MODES!$A:$A,0)))</f>
        <v/>
      </c>
    </row>
    <row r="81" ht="14.25" customHeight="1">
      <c r="A81" s="31"/>
      <c r="B81" s="31"/>
      <c r="C81" s="31"/>
      <c r="D81" s="32" t="str">
        <f>IF($C81="","",SUMIFS(SITE_COEFFS!$C:$C,SITE_COEFFS!$A:$A,"SoilWorkability",SITE_COEFFS!$B:$B,$C81))</f>
        <v/>
      </c>
      <c r="E81" s="31"/>
      <c r="F81" s="32" t="str">
        <f>IF($E81="","",SUMIFS(SITE_COEFFS!$C:$C,SITE_COEFFS!$A:$A,"SoilMoisture",SITE_COEFFS!$B:$B,$E81))</f>
        <v/>
      </c>
      <c r="G81" s="31"/>
      <c r="H81" s="32" t="str">
        <f>IF($G81="","",SUMIFS(SITE_COEFFS!$C:$C,SITE_COEFFS!$A:$A,"DebrisLevel",SITE_COEFFS!$B:$B,$G81))</f>
        <v/>
      </c>
      <c r="I81" s="31"/>
      <c r="J81" s="32" t="str">
        <f>IF($I81="","",SUMIFS(SITE_COEFFS!$C:$C,SITE_COEFFS!$A:$A,"SlopeClass",SITE_COEFFS!$B:$B,$I81))</f>
        <v/>
      </c>
      <c r="K81" s="31"/>
      <c r="L81" s="32" t="str">
        <f>IF($K81="","",SUMIFS(SITE_COEFFS!$C:$C,SITE_COEFFS!$A:$A,"SurfaceUnevenness",SITE_COEFFS!$B:$B,$K81))</f>
        <v/>
      </c>
      <c r="M81" s="31"/>
      <c r="N81" s="32" t="str">
        <f>IF($M81="","",SUMIFS(SITE_COEFFS!$C:$C,SITE_COEFFS!$A:$A,"AccessClass",SITE_COEFFS!$B:$B,$M81))</f>
        <v/>
      </c>
      <c r="O81" s="31"/>
      <c r="P81" s="32" t="str">
        <f>IF($O81="","",SUMIFS(SITE_COEFFS!$C:$C,SITE_COEFFS!$A:$A,"TurnSpace",SITE_COEFFS!$B:$B,$O81))</f>
        <v/>
      </c>
      <c r="Q81" s="31"/>
      <c r="R81" s="32" t="str">
        <f>IF($Q81="","",SUMIFS(SITE_COEFFS!$C:$C,SITE_COEFFS!$A:$A,"ProximityToBuildings",SITE_COEFFS!$B:$B,$Q81))</f>
        <v/>
      </c>
      <c r="S81" s="31"/>
      <c r="T81" s="32" t="str">
        <f>IF($S81="","",SUMIFS(SITE_COEFFS!$C:$C,SITE_COEFFS!$A:$A,"MachineryAllowed",SITE_COEFFS!$B:$B,$S81))</f>
        <v/>
      </c>
      <c r="U81" s="31"/>
      <c r="V81" s="31"/>
      <c r="W81" s="32" t="str">
        <f>IF($V81="","",SUMIFS(SITE_COEFFS!$C:$C,SITE_COEFFS!$A:$A,"GeometryComplexity",SITE_COEFFS!$B:$B,$V81))</f>
        <v/>
      </c>
      <c r="X81" s="31"/>
      <c r="Y81" s="31" t="str">
        <f>IF($X81="","",SUMIFS(TARIFF_PROFILES!$D:$D,TARIFF_PROFILES!$A:$A,$X81))</f>
        <v/>
      </c>
      <c r="Z81" s="31" t="str">
        <f>IF($X81="","",SUMIFS(TARIFF_PROFILES!$E:$E,TARIFF_PROFILES!$A:$A,$X81))</f>
        <v/>
      </c>
      <c r="AA81" s="31" t="str">
        <f>IF($X81="","",SUMIFS(TARIFF_PROFILES!$F:$F,TARIFF_PROFILES!$A:$A,$X81))</f>
        <v/>
      </c>
      <c r="AB81" s="31" t="str">
        <f>IF($X81="","",SUMIFS(TARIFF_PROFILES!$G:$G,TARIFF_PROFILES!$A:$A,$X81))</f>
        <v/>
      </c>
      <c r="AC81" s="31" t="str">
        <f>IF($X81="","",SUMIFS(TARIFF_PROFILES!$H:$H,TARIFF_PROFILES!$A:$A,$X81))</f>
        <v/>
      </c>
      <c r="AD81" s="31" t="str">
        <f t="array" ref="AD81">IF($X81="","",INDEX(TARIFF_PROFILES!$J:$J,MATCH($X81,TARIFF_PROFILES!$A:$A,0)))</f>
        <v/>
      </c>
      <c r="AE81" s="31" t="str">
        <f t="array" ref="AE81">IF($X81="","",INDEX(TARIFF_PROFILES!$K:$K,MATCH($X81,TARIFF_PROFILES!$A:$A,0)))</f>
        <v/>
      </c>
      <c r="AG81" s="8"/>
      <c r="AH81" s="8" t="str">
        <f>IF($AG81="","",SUMIFS(OPERATING_COEFFS!$C:$C,OPERATING_COEFFS!$A:$A,"DistanceClass",OPERATING_COEFFS!$B:$B,$AG81))</f>
        <v/>
      </c>
      <c r="AI81" s="8"/>
      <c r="AJ81" s="8" t="str">
        <f>IF($AI81="","",SUMIFS(OPERATING_COEFFS!$C:$C,OPERATING_COEFFS!$A:$A,"SeasonClass",OPERATING_COEFFS!$B:$B,$AI81))</f>
        <v/>
      </c>
      <c r="AK81" s="8"/>
      <c r="AL81" s="8" t="str">
        <f>IF($AK81="","",SUMIFS(OPERATING_COEFFS!$C:$C,OPERATING_COEFFS!$A:$A,"UrgencyClass",OPERATING_COEFFS!$B:$B,$AK81))</f>
        <v/>
      </c>
      <c r="AM81" s="8"/>
      <c r="AN81" s="8" t="str">
        <f t="array" ref="AN81">IF($AM81="","",INDEX(TAX_MODES!$B:$B,MATCH($AM81,TAX_MODES!$A:$A,0)))</f>
        <v/>
      </c>
    </row>
    <row r="82" ht="14.25" customHeight="1">
      <c r="A82" s="31"/>
      <c r="B82" s="31"/>
      <c r="C82" s="31"/>
      <c r="D82" s="32" t="str">
        <f>IF($C82="","",SUMIFS(SITE_COEFFS!$C:$C,SITE_COEFFS!$A:$A,"SoilWorkability",SITE_COEFFS!$B:$B,$C82))</f>
        <v/>
      </c>
      <c r="E82" s="31"/>
      <c r="F82" s="32" t="str">
        <f>IF($E82="","",SUMIFS(SITE_COEFFS!$C:$C,SITE_COEFFS!$A:$A,"SoilMoisture",SITE_COEFFS!$B:$B,$E82))</f>
        <v/>
      </c>
      <c r="G82" s="31"/>
      <c r="H82" s="32" t="str">
        <f>IF($G82="","",SUMIFS(SITE_COEFFS!$C:$C,SITE_COEFFS!$A:$A,"DebrisLevel",SITE_COEFFS!$B:$B,$G82))</f>
        <v/>
      </c>
      <c r="I82" s="31"/>
      <c r="J82" s="32" t="str">
        <f>IF($I82="","",SUMIFS(SITE_COEFFS!$C:$C,SITE_COEFFS!$A:$A,"SlopeClass",SITE_COEFFS!$B:$B,$I82))</f>
        <v/>
      </c>
      <c r="K82" s="31"/>
      <c r="L82" s="32" t="str">
        <f>IF($K82="","",SUMIFS(SITE_COEFFS!$C:$C,SITE_COEFFS!$A:$A,"SurfaceUnevenness",SITE_COEFFS!$B:$B,$K82))</f>
        <v/>
      </c>
      <c r="M82" s="31"/>
      <c r="N82" s="32" t="str">
        <f>IF($M82="","",SUMIFS(SITE_COEFFS!$C:$C,SITE_COEFFS!$A:$A,"AccessClass",SITE_COEFFS!$B:$B,$M82))</f>
        <v/>
      </c>
      <c r="O82" s="31"/>
      <c r="P82" s="32" t="str">
        <f>IF($O82="","",SUMIFS(SITE_COEFFS!$C:$C,SITE_COEFFS!$A:$A,"TurnSpace",SITE_COEFFS!$B:$B,$O82))</f>
        <v/>
      </c>
      <c r="Q82" s="31"/>
      <c r="R82" s="32" t="str">
        <f>IF($Q82="","",SUMIFS(SITE_COEFFS!$C:$C,SITE_COEFFS!$A:$A,"ProximityToBuildings",SITE_COEFFS!$B:$B,$Q82))</f>
        <v/>
      </c>
      <c r="S82" s="31"/>
      <c r="T82" s="32" t="str">
        <f>IF($S82="","",SUMIFS(SITE_COEFFS!$C:$C,SITE_COEFFS!$A:$A,"MachineryAllowed",SITE_COEFFS!$B:$B,$S82))</f>
        <v/>
      </c>
      <c r="U82" s="31"/>
      <c r="V82" s="31"/>
      <c r="W82" s="32" t="str">
        <f>IF($V82="","",SUMIFS(SITE_COEFFS!$C:$C,SITE_COEFFS!$A:$A,"GeometryComplexity",SITE_COEFFS!$B:$B,$V82))</f>
        <v/>
      </c>
      <c r="X82" s="31"/>
      <c r="Y82" s="31" t="str">
        <f>IF($X82="","",SUMIFS(TARIFF_PROFILES!$D:$D,TARIFF_PROFILES!$A:$A,$X82))</f>
        <v/>
      </c>
      <c r="Z82" s="31" t="str">
        <f>IF($X82="","",SUMIFS(TARIFF_PROFILES!$E:$E,TARIFF_PROFILES!$A:$A,$X82))</f>
        <v/>
      </c>
      <c r="AA82" s="31" t="str">
        <f>IF($X82="","",SUMIFS(TARIFF_PROFILES!$F:$F,TARIFF_PROFILES!$A:$A,$X82))</f>
        <v/>
      </c>
      <c r="AB82" s="31" t="str">
        <f>IF($X82="","",SUMIFS(TARIFF_PROFILES!$G:$G,TARIFF_PROFILES!$A:$A,$X82))</f>
        <v/>
      </c>
      <c r="AC82" s="31" t="str">
        <f>IF($X82="","",SUMIFS(TARIFF_PROFILES!$H:$H,TARIFF_PROFILES!$A:$A,$X82))</f>
        <v/>
      </c>
      <c r="AD82" s="31" t="str">
        <f t="array" ref="AD82">IF($X82="","",INDEX(TARIFF_PROFILES!$J:$J,MATCH($X82,TARIFF_PROFILES!$A:$A,0)))</f>
        <v/>
      </c>
      <c r="AE82" s="31" t="str">
        <f t="array" ref="AE82">IF($X82="","",INDEX(TARIFF_PROFILES!$K:$K,MATCH($X82,TARIFF_PROFILES!$A:$A,0)))</f>
        <v/>
      </c>
      <c r="AG82" s="8"/>
      <c r="AH82" s="8" t="str">
        <f>IF($AG82="","",SUMIFS(OPERATING_COEFFS!$C:$C,OPERATING_COEFFS!$A:$A,"DistanceClass",OPERATING_COEFFS!$B:$B,$AG82))</f>
        <v/>
      </c>
      <c r="AI82" s="8"/>
      <c r="AJ82" s="8" t="str">
        <f>IF($AI82="","",SUMIFS(OPERATING_COEFFS!$C:$C,OPERATING_COEFFS!$A:$A,"SeasonClass",OPERATING_COEFFS!$B:$B,$AI82))</f>
        <v/>
      </c>
      <c r="AK82" s="8"/>
      <c r="AL82" s="8" t="str">
        <f>IF($AK82="","",SUMIFS(OPERATING_COEFFS!$C:$C,OPERATING_COEFFS!$A:$A,"UrgencyClass",OPERATING_COEFFS!$B:$B,$AK82))</f>
        <v/>
      </c>
      <c r="AM82" s="8"/>
      <c r="AN82" s="8" t="str">
        <f t="array" ref="AN82">IF($AM82="","",INDEX(TAX_MODES!$B:$B,MATCH($AM82,TAX_MODES!$A:$A,0)))</f>
        <v/>
      </c>
    </row>
    <row r="83" ht="14.25" customHeight="1">
      <c r="A83" s="31"/>
      <c r="B83" s="31"/>
      <c r="C83" s="31"/>
      <c r="D83" s="32" t="str">
        <f>IF($C83="","",SUMIFS(SITE_COEFFS!$C:$C,SITE_COEFFS!$A:$A,"SoilWorkability",SITE_COEFFS!$B:$B,$C83))</f>
        <v/>
      </c>
      <c r="E83" s="31"/>
      <c r="F83" s="32" t="str">
        <f>IF($E83="","",SUMIFS(SITE_COEFFS!$C:$C,SITE_COEFFS!$A:$A,"SoilMoisture",SITE_COEFFS!$B:$B,$E83))</f>
        <v/>
      </c>
      <c r="G83" s="31"/>
      <c r="H83" s="32" t="str">
        <f>IF($G83="","",SUMIFS(SITE_COEFFS!$C:$C,SITE_COEFFS!$A:$A,"DebrisLevel",SITE_COEFFS!$B:$B,$G83))</f>
        <v/>
      </c>
      <c r="I83" s="31"/>
      <c r="J83" s="32" t="str">
        <f>IF($I83="","",SUMIFS(SITE_COEFFS!$C:$C,SITE_COEFFS!$A:$A,"SlopeClass",SITE_COEFFS!$B:$B,$I83))</f>
        <v/>
      </c>
      <c r="K83" s="31"/>
      <c r="L83" s="32" t="str">
        <f>IF($K83="","",SUMIFS(SITE_COEFFS!$C:$C,SITE_COEFFS!$A:$A,"SurfaceUnevenness",SITE_COEFFS!$B:$B,$K83))</f>
        <v/>
      </c>
      <c r="M83" s="31"/>
      <c r="N83" s="32" t="str">
        <f>IF($M83="","",SUMIFS(SITE_COEFFS!$C:$C,SITE_COEFFS!$A:$A,"AccessClass",SITE_COEFFS!$B:$B,$M83))</f>
        <v/>
      </c>
      <c r="O83" s="31"/>
      <c r="P83" s="32" t="str">
        <f>IF($O83="","",SUMIFS(SITE_COEFFS!$C:$C,SITE_COEFFS!$A:$A,"TurnSpace",SITE_COEFFS!$B:$B,$O83))</f>
        <v/>
      </c>
      <c r="Q83" s="31"/>
      <c r="R83" s="32" t="str">
        <f>IF($Q83="","",SUMIFS(SITE_COEFFS!$C:$C,SITE_COEFFS!$A:$A,"ProximityToBuildings",SITE_COEFFS!$B:$B,$Q83))</f>
        <v/>
      </c>
      <c r="S83" s="31"/>
      <c r="T83" s="32" t="str">
        <f>IF($S83="","",SUMIFS(SITE_COEFFS!$C:$C,SITE_COEFFS!$A:$A,"MachineryAllowed",SITE_COEFFS!$B:$B,$S83))</f>
        <v/>
      </c>
      <c r="U83" s="31"/>
      <c r="V83" s="31"/>
      <c r="W83" s="32" t="str">
        <f>IF($V83="","",SUMIFS(SITE_COEFFS!$C:$C,SITE_COEFFS!$A:$A,"GeometryComplexity",SITE_COEFFS!$B:$B,$V83))</f>
        <v/>
      </c>
      <c r="X83" s="31"/>
      <c r="Y83" s="31" t="str">
        <f>IF($X83="","",SUMIFS(TARIFF_PROFILES!$D:$D,TARIFF_PROFILES!$A:$A,$X83))</f>
        <v/>
      </c>
      <c r="Z83" s="31" t="str">
        <f>IF($X83="","",SUMIFS(TARIFF_PROFILES!$E:$E,TARIFF_PROFILES!$A:$A,$X83))</f>
        <v/>
      </c>
      <c r="AA83" s="31" t="str">
        <f>IF($X83="","",SUMIFS(TARIFF_PROFILES!$F:$F,TARIFF_PROFILES!$A:$A,$X83))</f>
        <v/>
      </c>
      <c r="AB83" s="31" t="str">
        <f>IF($X83="","",SUMIFS(TARIFF_PROFILES!$G:$G,TARIFF_PROFILES!$A:$A,$X83))</f>
        <v/>
      </c>
      <c r="AC83" s="31" t="str">
        <f>IF($X83="","",SUMIFS(TARIFF_PROFILES!$H:$H,TARIFF_PROFILES!$A:$A,$X83))</f>
        <v/>
      </c>
      <c r="AD83" s="31" t="str">
        <f t="array" ref="AD83">IF($X83="","",INDEX(TARIFF_PROFILES!$J:$J,MATCH($X83,TARIFF_PROFILES!$A:$A,0)))</f>
        <v/>
      </c>
      <c r="AE83" s="31" t="str">
        <f t="array" ref="AE83">IF($X83="","",INDEX(TARIFF_PROFILES!$K:$K,MATCH($X83,TARIFF_PROFILES!$A:$A,0)))</f>
        <v/>
      </c>
      <c r="AG83" s="8"/>
      <c r="AH83" s="8" t="str">
        <f>IF($AG83="","",SUMIFS(OPERATING_COEFFS!$C:$C,OPERATING_COEFFS!$A:$A,"DistanceClass",OPERATING_COEFFS!$B:$B,$AG83))</f>
        <v/>
      </c>
      <c r="AI83" s="8"/>
      <c r="AJ83" s="8" t="str">
        <f>IF($AI83="","",SUMIFS(OPERATING_COEFFS!$C:$C,OPERATING_COEFFS!$A:$A,"SeasonClass",OPERATING_COEFFS!$B:$B,$AI83))</f>
        <v/>
      </c>
      <c r="AK83" s="8"/>
      <c r="AL83" s="8" t="str">
        <f>IF($AK83="","",SUMIFS(OPERATING_COEFFS!$C:$C,OPERATING_COEFFS!$A:$A,"UrgencyClass",OPERATING_COEFFS!$B:$B,$AK83))</f>
        <v/>
      </c>
      <c r="AM83" s="8"/>
      <c r="AN83" s="8" t="str">
        <f t="array" ref="AN83">IF($AM83="","",INDEX(TAX_MODES!$B:$B,MATCH($AM83,TAX_MODES!$A:$A,0)))</f>
        <v/>
      </c>
    </row>
    <row r="84" ht="14.25" customHeight="1">
      <c r="A84" s="31"/>
      <c r="B84" s="31"/>
      <c r="C84" s="31"/>
      <c r="D84" s="32" t="str">
        <f>IF($C84="","",SUMIFS(SITE_COEFFS!$C:$C,SITE_COEFFS!$A:$A,"SoilWorkability",SITE_COEFFS!$B:$B,$C84))</f>
        <v/>
      </c>
      <c r="E84" s="31"/>
      <c r="F84" s="32" t="str">
        <f>IF($E84="","",SUMIFS(SITE_COEFFS!$C:$C,SITE_COEFFS!$A:$A,"SoilMoisture",SITE_COEFFS!$B:$B,$E84))</f>
        <v/>
      </c>
      <c r="G84" s="31"/>
      <c r="H84" s="32" t="str">
        <f>IF($G84="","",SUMIFS(SITE_COEFFS!$C:$C,SITE_COEFFS!$A:$A,"DebrisLevel",SITE_COEFFS!$B:$B,$G84))</f>
        <v/>
      </c>
      <c r="I84" s="31"/>
      <c r="J84" s="32" t="str">
        <f>IF($I84="","",SUMIFS(SITE_COEFFS!$C:$C,SITE_COEFFS!$A:$A,"SlopeClass",SITE_COEFFS!$B:$B,$I84))</f>
        <v/>
      </c>
      <c r="K84" s="31"/>
      <c r="L84" s="32" t="str">
        <f>IF($K84="","",SUMIFS(SITE_COEFFS!$C:$C,SITE_COEFFS!$A:$A,"SurfaceUnevenness",SITE_COEFFS!$B:$B,$K84))</f>
        <v/>
      </c>
      <c r="M84" s="31"/>
      <c r="N84" s="32" t="str">
        <f>IF($M84="","",SUMIFS(SITE_COEFFS!$C:$C,SITE_COEFFS!$A:$A,"AccessClass",SITE_COEFFS!$B:$B,$M84))</f>
        <v/>
      </c>
      <c r="O84" s="31"/>
      <c r="P84" s="32" t="str">
        <f>IF($O84="","",SUMIFS(SITE_COEFFS!$C:$C,SITE_COEFFS!$A:$A,"TurnSpace",SITE_COEFFS!$B:$B,$O84))</f>
        <v/>
      </c>
      <c r="Q84" s="31"/>
      <c r="R84" s="32" t="str">
        <f>IF($Q84="","",SUMIFS(SITE_COEFFS!$C:$C,SITE_COEFFS!$A:$A,"ProximityToBuildings",SITE_COEFFS!$B:$B,$Q84))</f>
        <v/>
      </c>
      <c r="S84" s="31"/>
      <c r="T84" s="32" t="str">
        <f>IF($S84="","",SUMIFS(SITE_COEFFS!$C:$C,SITE_COEFFS!$A:$A,"MachineryAllowed",SITE_COEFFS!$B:$B,$S84))</f>
        <v/>
      </c>
      <c r="U84" s="31"/>
      <c r="V84" s="31"/>
      <c r="W84" s="32" t="str">
        <f>IF($V84="","",SUMIFS(SITE_COEFFS!$C:$C,SITE_COEFFS!$A:$A,"GeometryComplexity",SITE_COEFFS!$B:$B,$V84))</f>
        <v/>
      </c>
      <c r="X84" s="31"/>
      <c r="Y84" s="31" t="str">
        <f>IF($X84="","",SUMIFS(TARIFF_PROFILES!$D:$D,TARIFF_PROFILES!$A:$A,$X84))</f>
        <v/>
      </c>
      <c r="Z84" s="31" t="str">
        <f>IF($X84="","",SUMIFS(TARIFF_PROFILES!$E:$E,TARIFF_PROFILES!$A:$A,$X84))</f>
        <v/>
      </c>
      <c r="AA84" s="31" t="str">
        <f>IF($X84="","",SUMIFS(TARIFF_PROFILES!$F:$F,TARIFF_PROFILES!$A:$A,$X84))</f>
        <v/>
      </c>
      <c r="AB84" s="31" t="str">
        <f>IF($X84="","",SUMIFS(TARIFF_PROFILES!$G:$G,TARIFF_PROFILES!$A:$A,$X84))</f>
        <v/>
      </c>
      <c r="AC84" s="31" t="str">
        <f>IF($X84="","",SUMIFS(TARIFF_PROFILES!$H:$H,TARIFF_PROFILES!$A:$A,$X84))</f>
        <v/>
      </c>
      <c r="AD84" s="31" t="str">
        <f t="array" ref="AD84">IF($X84="","",INDEX(TARIFF_PROFILES!$J:$J,MATCH($X84,TARIFF_PROFILES!$A:$A,0)))</f>
        <v/>
      </c>
      <c r="AE84" s="31" t="str">
        <f t="array" ref="AE84">IF($X84="","",INDEX(TARIFF_PROFILES!$K:$K,MATCH($X84,TARIFF_PROFILES!$A:$A,0)))</f>
        <v/>
      </c>
      <c r="AG84" s="8"/>
      <c r="AH84" s="8" t="str">
        <f>IF($AG84="","",SUMIFS(OPERATING_COEFFS!$C:$C,OPERATING_COEFFS!$A:$A,"DistanceClass",OPERATING_COEFFS!$B:$B,$AG84))</f>
        <v/>
      </c>
      <c r="AI84" s="8"/>
      <c r="AJ84" s="8" t="str">
        <f>IF($AI84="","",SUMIFS(OPERATING_COEFFS!$C:$C,OPERATING_COEFFS!$A:$A,"SeasonClass",OPERATING_COEFFS!$B:$B,$AI84))</f>
        <v/>
      </c>
      <c r="AK84" s="8"/>
      <c r="AL84" s="8" t="str">
        <f>IF($AK84="","",SUMIFS(OPERATING_COEFFS!$C:$C,OPERATING_COEFFS!$A:$A,"UrgencyClass",OPERATING_COEFFS!$B:$B,$AK84))</f>
        <v/>
      </c>
      <c r="AM84" s="8"/>
      <c r="AN84" s="8" t="str">
        <f t="array" ref="AN84">IF($AM84="","",INDEX(TAX_MODES!$B:$B,MATCH($AM84,TAX_MODES!$A:$A,0)))</f>
        <v/>
      </c>
    </row>
    <row r="85" ht="14.25" customHeight="1">
      <c r="A85" s="31"/>
      <c r="B85" s="31"/>
      <c r="C85" s="31"/>
      <c r="D85" s="32" t="str">
        <f>IF($C85="","",SUMIFS(SITE_COEFFS!$C:$C,SITE_COEFFS!$A:$A,"SoilWorkability",SITE_COEFFS!$B:$B,$C85))</f>
        <v/>
      </c>
      <c r="E85" s="31"/>
      <c r="F85" s="32" t="str">
        <f>IF($E85="","",SUMIFS(SITE_COEFFS!$C:$C,SITE_COEFFS!$A:$A,"SoilMoisture",SITE_COEFFS!$B:$B,$E85))</f>
        <v/>
      </c>
      <c r="G85" s="31"/>
      <c r="H85" s="32" t="str">
        <f>IF($G85="","",SUMIFS(SITE_COEFFS!$C:$C,SITE_COEFFS!$A:$A,"DebrisLevel",SITE_COEFFS!$B:$B,$G85))</f>
        <v/>
      </c>
      <c r="I85" s="31"/>
      <c r="J85" s="32" t="str">
        <f>IF($I85="","",SUMIFS(SITE_COEFFS!$C:$C,SITE_COEFFS!$A:$A,"SlopeClass",SITE_COEFFS!$B:$B,$I85))</f>
        <v/>
      </c>
      <c r="K85" s="31"/>
      <c r="L85" s="32" t="str">
        <f>IF($K85="","",SUMIFS(SITE_COEFFS!$C:$C,SITE_COEFFS!$A:$A,"SurfaceUnevenness",SITE_COEFFS!$B:$B,$K85))</f>
        <v/>
      </c>
      <c r="M85" s="31"/>
      <c r="N85" s="32" t="str">
        <f>IF($M85="","",SUMIFS(SITE_COEFFS!$C:$C,SITE_COEFFS!$A:$A,"AccessClass",SITE_COEFFS!$B:$B,$M85))</f>
        <v/>
      </c>
      <c r="O85" s="31"/>
      <c r="P85" s="32" t="str">
        <f>IF($O85="","",SUMIFS(SITE_COEFFS!$C:$C,SITE_COEFFS!$A:$A,"TurnSpace",SITE_COEFFS!$B:$B,$O85))</f>
        <v/>
      </c>
      <c r="Q85" s="31"/>
      <c r="R85" s="32" t="str">
        <f>IF($Q85="","",SUMIFS(SITE_COEFFS!$C:$C,SITE_COEFFS!$A:$A,"ProximityToBuildings",SITE_COEFFS!$B:$B,$Q85))</f>
        <v/>
      </c>
      <c r="S85" s="31"/>
      <c r="T85" s="32" t="str">
        <f>IF($S85="","",SUMIFS(SITE_COEFFS!$C:$C,SITE_COEFFS!$A:$A,"MachineryAllowed",SITE_COEFFS!$B:$B,$S85))</f>
        <v/>
      </c>
      <c r="U85" s="31"/>
      <c r="V85" s="31"/>
      <c r="W85" s="32" t="str">
        <f>IF($V85="","",SUMIFS(SITE_COEFFS!$C:$C,SITE_COEFFS!$A:$A,"GeometryComplexity",SITE_COEFFS!$B:$B,$V85))</f>
        <v/>
      </c>
      <c r="X85" s="31"/>
      <c r="Y85" s="31" t="str">
        <f>IF($X85="","",SUMIFS(TARIFF_PROFILES!$D:$D,TARIFF_PROFILES!$A:$A,$X85))</f>
        <v/>
      </c>
      <c r="Z85" s="31" t="str">
        <f>IF($X85="","",SUMIFS(TARIFF_PROFILES!$E:$E,TARIFF_PROFILES!$A:$A,$X85))</f>
        <v/>
      </c>
      <c r="AA85" s="31" t="str">
        <f>IF($X85="","",SUMIFS(TARIFF_PROFILES!$F:$F,TARIFF_PROFILES!$A:$A,$X85))</f>
        <v/>
      </c>
      <c r="AB85" s="31" t="str">
        <f>IF($X85="","",SUMIFS(TARIFF_PROFILES!$G:$G,TARIFF_PROFILES!$A:$A,$X85))</f>
        <v/>
      </c>
      <c r="AC85" s="31" t="str">
        <f>IF($X85="","",SUMIFS(TARIFF_PROFILES!$H:$H,TARIFF_PROFILES!$A:$A,$X85))</f>
        <v/>
      </c>
      <c r="AD85" s="31" t="str">
        <f t="array" ref="AD85">IF($X85="","",INDEX(TARIFF_PROFILES!$J:$J,MATCH($X85,TARIFF_PROFILES!$A:$A,0)))</f>
        <v/>
      </c>
      <c r="AE85" s="31" t="str">
        <f t="array" ref="AE85">IF($X85="","",INDEX(TARIFF_PROFILES!$K:$K,MATCH($X85,TARIFF_PROFILES!$A:$A,0)))</f>
        <v/>
      </c>
      <c r="AG85" s="8"/>
      <c r="AH85" s="8" t="str">
        <f>IF($AG85="","",SUMIFS(OPERATING_COEFFS!$C:$C,OPERATING_COEFFS!$A:$A,"DistanceClass",OPERATING_COEFFS!$B:$B,$AG85))</f>
        <v/>
      </c>
      <c r="AI85" s="8"/>
      <c r="AJ85" s="8" t="str">
        <f>IF($AI85="","",SUMIFS(OPERATING_COEFFS!$C:$C,OPERATING_COEFFS!$A:$A,"SeasonClass",OPERATING_COEFFS!$B:$B,$AI85))</f>
        <v/>
      </c>
      <c r="AK85" s="8"/>
      <c r="AL85" s="8" t="str">
        <f>IF($AK85="","",SUMIFS(OPERATING_COEFFS!$C:$C,OPERATING_COEFFS!$A:$A,"UrgencyClass",OPERATING_COEFFS!$B:$B,$AK85))</f>
        <v/>
      </c>
      <c r="AM85" s="8"/>
      <c r="AN85" s="8" t="str">
        <f t="array" ref="AN85">IF($AM85="","",INDEX(TAX_MODES!$B:$B,MATCH($AM85,TAX_MODES!$A:$A,0)))</f>
        <v/>
      </c>
    </row>
    <row r="86" ht="14.25" customHeight="1">
      <c r="A86" s="31"/>
      <c r="B86" s="31"/>
      <c r="C86" s="31"/>
      <c r="D86" s="32" t="str">
        <f>IF($C86="","",SUMIFS(SITE_COEFFS!$C:$C,SITE_COEFFS!$A:$A,"SoilWorkability",SITE_COEFFS!$B:$B,$C86))</f>
        <v/>
      </c>
      <c r="E86" s="31"/>
      <c r="F86" s="32" t="str">
        <f>IF($E86="","",SUMIFS(SITE_COEFFS!$C:$C,SITE_COEFFS!$A:$A,"SoilMoisture",SITE_COEFFS!$B:$B,$E86))</f>
        <v/>
      </c>
      <c r="G86" s="31"/>
      <c r="H86" s="32" t="str">
        <f>IF($G86="","",SUMIFS(SITE_COEFFS!$C:$C,SITE_COEFFS!$A:$A,"DebrisLevel",SITE_COEFFS!$B:$B,$G86))</f>
        <v/>
      </c>
      <c r="I86" s="31"/>
      <c r="J86" s="32" t="str">
        <f>IF($I86="","",SUMIFS(SITE_COEFFS!$C:$C,SITE_COEFFS!$A:$A,"SlopeClass",SITE_COEFFS!$B:$B,$I86))</f>
        <v/>
      </c>
      <c r="K86" s="31"/>
      <c r="L86" s="32" t="str">
        <f>IF($K86="","",SUMIFS(SITE_COEFFS!$C:$C,SITE_COEFFS!$A:$A,"SurfaceUnevenness",SITE_COEFFS!$B:$B,$K86))</f>
        <v/>
      </c>
      <c r="M86" s="31"/>
      <c r="N86" s="32" t="str">
        <f>IF($M86="","",SUMIFS(SITE_COEFFS!$C:$C,SITE_COEFFS!$A:$A,"AccessClass",SITE_COEFFS!$B:$B,$M86))</f>
        <v/>
      </c>
      <c r="O86" s="31"/>
      <c r="P86" s="32" t="str">
        <f>IF($O86="","",SUMIFS(SITE_COEFFS!$C:$C,SITE_COEFFS!$A:$A,"TurnSpace",SITE_COEFFS!$B:$B,$O86))</f>
        <v/>
      </c>
      <c r="Q86" s="31"/>
      <c r="R86" s="32" t="str">
        <f>IF($Q86="","",SUMIFS(SITE_COEFFS!$C:$C,SITE_COEFFS!$A:$A,"ProximityToBuildings",SITE_COEFFS!$B:$B,$Q86))</f>
        <v/>
      </c>
      <c r="S86" s="31"/>
      <c r="T86" s="32" t="str">
        <f>IF($S86="","",SUMIFS(SITE_COEFFS!$C:$C,SITE_COEFFS!$A:$A,"MachineryAllowed",SITE_COEFFS!$B:$B,$S86))</f>
        <v/>
      </c>
      <c r="U86" s="31"/>
      <c r="V86" s="31"/>
      <c r="W86" s="32" t="str">
        <f>IF($V86="","",SUMIFS(SITE_COEFFS!$C:$C,SITE_COEFFS!$A:$A,"GeometryComplexity",SITE_COEFFS!$B:$B,$V86))</f>
        <v/>
      </c>
      <c r="X86" s="31"/>
      <c r="Y86" s="31" t="str">
        <f>IF($X86="","",SUMIFS(TARIFF_PROFILES!$D:$D,TARIFF_PROFILES!$A:$A,$X86))</f>
        <v/>
      </c>
      <c r="Z86" s="31" t="str">
        <f>IF($X86="","",SUMIFS(TARIFF_PROFILES!$E:$E,TARIFF_PROFILES!$A:$A,$X86))</f>
        <v/>
      </c>
      <c r="AA86" s="31" t="str">
        <f>IF($X86="","",SUMIFS(TARIFF_PROFILES!$F:$F,TARIFF_PROFILES!$A:$A,$X86))</f>
        <v/>
      </c>
      <c r="AB86" s="31" t="str">
        <f>IF($X86="","",SUMIFS(TARIFF_PROFILES!$G:$G,TARIFF_PROFILES!$A:$A,$X86))</f>
        <v/>
      </c>
      <c r="AC86" s="31" t="str">
        <f>IF($X86="","",SUMIFS(TARIFF_PROFILES!$H:$H,TARIFF_PROFILES!$A:$A,$X86))</f>
        <v/>
      </c>
      <c r="AD86" s="31" t="str">
        <f t="array" ref="AD86">IF($X86="","",INDEX(TARIFF_PROFILES!$J:$J,MATCH($X86,TARIFF_PROFILES!$A:$A,0)))</f>
        <v/>
      </c>
      <c r="AE86" s="31" t="str">
        <f t="array" ref="AE86">IF($X86="","",INDEX(TARIFF_PROFILES!$K:$K,MATCH($X86,TARIFF_PROFILES!$A:$A,0)))</f>
        <v/>
      </c>
      <c r="AG86" s="8"/>
      <c r="AH86" s="8" t="str">
        <f>IF($AG86="","",SUMIFS(OPERATING_COEFFS!$C:$C,OPERATING_COEFFS!$A:$A,"DistanceClass",OPERATING_COEFFS!$B:$B,$AG86))</f>
        <v/>
      </c>
      <c r="AI86" s="8"/>
      <c r="AJ86" s="8" t="str">
        <f>IF($AI86="","",SUMIFS(OPERATING_COEFFS!$C:$C,OPERATING_COEFFS!$A:$A,"SeasonClass",OPERATING_COEFFS!$B:$B,$AI86))</f>
        <v/>
      </c>
      <c r="AK86" s="8"/>
      <c r="AL86" s="8" t="str">
        <f>IF($AK86="","",SUMIFS(OPERATING_COEFFS!$C:$C,OPERATING_COEFFS!$A:$A,"UrgencyClass",OPERATING_COEFFS!$B:$B,$AK86))</f>
        <v/>
      </c>
      <c r="AM86" s="8"/>
      <c r="AN86" s="8" t="str">
        <f t="array" ref="AN86">IF($AM86="","",INDEX(TAX_MODES!$B:$B,MATCH($AM86,TAX_MODES!$A:$A,0)))</f>
        <v/>
      </c>
    </row>
    <row r="87" ht="14.25" customHeight="1">
      <c r="A87" s="31"/>
      <c r="B87" s="31"/>
      <c r="C87" s="31"/>
      <c r="D87" s="32" t="str">
        <f>IF($C87="","",SUMIFS(SITE_COEFFS!$C:$C,SITE_COEFFS!$A:$A,"SoilWorkability",SITE_COEFFS!$B:$B,$C87))</f>
        <v/>
      </c>
      <c r="E87" s="31"/>
      <c r="F87" s="32" t="str">
        <f>IF($E87="","",SUMIFS(SITE_COEFFS!$C:$C,SITE_COEFFS!$A:$A,"SoilMoisture",SITE_COEFFS!$B:$B,$E87))</f>
        <v/>
      </c>
      <c r="G87" s="31"/>
      <c r="H87" s="32" t="str">
        <f>IF($G87="","",SUMIFS(SITE_COEFFS!$C:$C,SITE_COEFFS!$A:$A,"DebrisLevel",SITE_COEFFS!$B:$B,$G87))</f>
        <v/>
      </c>
      <c r="I87" s="31"/>
      <c r="J87" s="32" t="str">
        <f>IF($I87="","",SUMIFS(SITE_COEFFS!$C:$C,SITE_COEFFS!$A:$A,"SlopeClass",SITE_COEFFS!$B:$B,$I87))</f>
        <v/>
      </c>
      <c r="K87" s="31"/>
      <c r="L87" s="32" t="str">
        <f>IF($K87="","",SUMIFS(SITE_COEFFS!$C:$C,SITE_COEFFS!$A:$A,"SurfaceUnevenness",SITE_COEFFS!$B:$B,$K87))</f>
        <v/>
      </c>
      <c r="M87" s="31"/>
      <c r="N87" s="32" t="str">
        <f>IF($M87="","",SUMIFS(SITE_COEFFS!$C:$C,SITE_COEFFS!$A:$A,"AccessClass",SITE_COEFFS!$B:$B,$M87))</f>
        <v/>
      </c>
      <c r="O87" s="31"/>
      <c r="P87" s="32" t="str">
        <f>IF($O87="","",SUMIFS(SITE_COEFFS!$C:$C,SITE_COEFFS!$A:$A,"TurnSpace",SITE_COEFFS!$B:$B,$O87))</f>
        <v/>
      </c>
      <c r="Q87" s="31"/>
      <c r="R87" s="32" t="str">
        <f>IF($Q87="","",SUMIFS(SITE_COEFFS!$C:$C,SITE_COEFFS!$A:$A,"ProximityToBuildings",SITE_COEFFS!$B:$B,$Q87))</f>
        <v/>
      </c>
      <c r="S87" s="31"/>
      <c r="T87" s="32" t="str">
        <f>IF($S87="","",SUMIFS(SITE_COEFFS!$C:$C,SITE_COEFFS!$A:$A,"MachineryAllowed",SITE_COEFFS!$B:$B,$S87))</f>
        <v/>
      </c>
      <c r="U87" s="31"/>
      <c r="V87" s="31"/>
      <c r="W87" s="32" t="str">
        <f>IF($V87="","",SUMIFS(SITE_COEFFS!$C:$C,SITE_COEFFS!$A:$A,"GeometryComplexity",SITE_COEFFS!$B:$B,$V87))</f>
        <v/>
      </c>
      <c r="X87" s="31"/>
      <c r="Y87" s="31" t="str">
        <f>IF($X87="","",SUMIFS(TARIFF_PROFILES!$D:$D,TARIFF_PROFILES!$A:$A,$X87))</f>
        <v/>
      </c>
      <c r="Z87" s="31" t="str">
        <f>IF($X87="","",SUMIFS(TARIFF_PROFILES!$E:$E,TARIFF_PROFILES!$A:$A,$X87))</f>
        <v/>
      </c>
      <c r="AA87" s="31" t="str">
        <f>IF($X87="","",SUMIFS(TARIFF_PROFILES!$F:$F,TARIFF_PROFILES!$A:$A,$X87))</f>
        <v/>
      </c>
      <c r="AB87" s="31" t="str">
        <f>IF($X87="","",SUMIFS(TARIFF_PROFILES!$G:$G,TARIFF_PROFILES!$A:$A,$X87))</f>
        <v/>
      </c>
      <c r="AC87" s="31" t="str">
        <f>IF($X87="","",SUMIFS(TARIFF_PROFILES!$H:$H,TARIFF_PROFILES!$A:$A,$X87))</f>
        <v/>
      </c>
      <c r="AD87" s="31" t="str">
        <f t="array" ref="AD87">IF($X87="","",INDEX(TARIFF_PROFILES!$J:$J,MATCH($X87,TARIFF_PROFILES!$A:$A,0)))</f>
        <v/>
      </c>
      <c r="AE87" s="31" t="str">
        <f t="array" ref="AE87">IF($X87="","",INDEX(TARIFF_PROFILES!$K:$K,MATCH($X87,TARIFF_PROFILES!$A:$A,0)))</f>
        <v/>
      </c>
      <c r="AG87" s="8"/>
      <c r="AH87" s="8" t="str">
        <f>IF($AG87="","",SUMIFS(OPERATING_COEFFS!$C:$C,OPERATING_COEFFS!$A:$A,"DistanceClass",OPERATING_COEFFS!$B:$B,$AG87))</f>
        <v/>
      </c>
      <c r="AI87" s="8"/>
      <c r="AJ87" s="8" t="str">
        <f>IF($AI87="","",SUMIFS(OPERATING_COEFFS!$C:$C,OPERATING_COEFFS!$A:$A,"SeasonClass",OPERATING_COEFFS!$B:$B,$AI87))</f>
        <v/>
      </c>
      <c r="AK87" s="8"/>
      <c r="AL87" s="8" t="str">
        <f>IF($AK87="","",SUMIFS(OPERATING_COEFFS!$C:$C,OPERATING_COEFFS!$A:$A,"UrgencyClass",OPERATING_COEFFS!$B:$B,$AK87))</f>
        <v/>
      </c>
      <c r="AM87" s="8"/>
      <c r="AN87" s="8" t="str">
        <f t="array" ref="AN87">IF($AM87="","",INDEX(TAX_MODES!$B:$B,MATCH($AM87,TAX_MODES!$A:$A,0)))</f>
        <v/>
      </c>
    </row>
    <row r="88" ht="14.25" customHeight="1">
      <c r="A88" s="31"/>
      <c r="B88" s="31"/>
      <c r="C88" s="31"/>
      <c r="D88" s="32" t="str">
        <f>IF($C88="","",SUMIFS(SITE_COEFFS!$C:$C,SITE_COEFFS!$A:$A,"SoilWorkability",SITE_COEFFS!$B:$B,$C88))</f>
        <v/>
      </c>
      <c r="E88" s="31"/>
      <c r="F88" s="32" t="str">
        <f>IF($E88="","",SUMIFS(SITE_COEFFS!$C:$C,SITE_COEFFS!$A:$A,"SoilMoisture",SITE_COEFFS!$B:$B,$E88))</f>
        <v/>
      </c>
      <c r="G88" s="31"/>
      <c r="H88" s="32" t="str">
        <f>IF($G88="","",SUMIFS(SITE_COEFFS!$C:$C,SITE_COEFFS!$A:$A,"DebrisLevel",SITE_COEFFS!$B:$B,$G88))</f>
        <v/>
      </c>
      <c r="I88" s="31"/>
      <c r="J88" s="32" t="str">
        <f>IF($I88="","",SUMIFS(SITE_COEFFS!$C:$C,SITE_COEFFS!$A:$A,"SlopeClass",SITE_COEFFS!$B:$B,$I88))</f>
        <v/>
      </c>
      <c r="K88" s="31"/>
      <c r="L88" s="32" t="str">
        <f>IF($K88="","",SUMIFS(SITE_COEFFS!$C:$C,SITE_COEFFS!$A:$A,"SurfaceUnevenness",SITE_COEFFS!$B:$B,$K88))</f>
        <v/>
      </c>
      <c r="M88" s="31"/>
      <c r="N88" s="32" t="str">
        <f>IF($M88="","",SUMIFS(SITE_COEFFS!$C:$C,SITE_COEFFS!$A:$A,"AccessClass",SITE_COEFFS!$B:$B,$M88))</f>
        <v/>
      </c>
      <c r="O88" s="31"/>
      <c r="P88" s="32" t="str">
        <f>IF($O88="","",SUMIFS(SITE_COEFFS!$C:$C,SITE_COEFFS!$A:$A,"TurnSpace",SITE_COEFFS!$B:$B,$O88))</f>
        <v/>
      </c>
      <c r="Q88" s="31"/>
      <c r="R88" s="32" t="str">
        <f>IF($Q88="","",SUMIFS(SITE_COEFFS!$C:$C,SITE_COEFFS!$A:$A,"ProximityToBuildings",SITE_COEFFS!$B:$B,$Q88))</f>
        <v/>
      </c>
      <c r="S88" s="31"/>
      <c r="T88" s="32" t="str">
        <f>IF($S88="","",SUMIFS(SITE_COEFFS!$C:$C,SITE_COEFFS!$A:$A,"MachineryAllowed",SITE_COEFFS!$B:$B,$S88))</f>
        <v/>
      </c>
      <c r="U88" s="31"/>
      <c r="V88" s="31"/>
      <c r="W88" s="32" t="str">
        <f>IF($V88="","",SUMIFS(SITE_COEFFS!$C:$C,SITE_COEFFS!$A:$A,"GeometryComplexity",SITE_COEFFS!$B:$B,$V88))</f>
        <v/>
      </c>
      <c r="X88" s="31"/>
      <c r="Y88" s="31" t="str">
        <f>IF($X88="","",SUMIFS(TARIFF_PROFILES!$D:$D,TARIFF_PROFILES!$A:$A,$X88))</f>
        <v/>
      </c>
      <c r="Z88" s="31" t="str">
        <f>IF($X88="","",SUMIFS(TARIFF_PROFILES!$E:$E,TARIFF_PROFILES!$A:$A,$X88))</f>
        <v/>
      </c>
      <c r="AA88" s="31" t="str">
        <f>IF($X88="","",SUMIFS(TARIFF_PROFILES!$F:$F,TARIFF_PROFILES!$A:$A,$X88))</f>
        <v/>
      </c>
      <c r="AB88" s="31" t="str">
        <f>IF($X88="","",SUMIFS(TARIFF_PROFILES!$G:$G,TARIFF_PROFILES!$A:$A,$X88))</f>
        <v/>
      </c>
      <c r="AC88" s="31" t="str">
        <f>IF($X88="","",SUMIFS(TARIFF_PROFILES!$H:$H,TARIFF_PROFILES!$A:$A,$X88))</f>
        <v/>
      </c>
      <c r="AD88" s="31" t="str">
        <f t="array" ref="AD88">IF($X88="","",INDEX(TARIFF_PROFILES!$J:$J,MATCH($X88,TARIFF_PROFILES!$A:$A,0)))</f>
        <v/>
      </c>
      <c r="AE88" s="31" t="str">
        <f t="array" ref="AE88">IF($X88="","",INDEX(TARIFF_PROFILES!$K:$K,MATCH($X88,TARIFF_PROFILES!$A:$A,0)))</f>
        <v/>
      </c>
      <c r="AG88" s="8"/>
      <c r="AH88" s="8" t="str">
        <f>IF($AG88="","",SUMIFS(OPERATING_COEFFS!$C:$C,OPERATING_COEFFS!$A:$A,"DistanceClass",OPERATING_COEFFS!$B:$B,$AG88))</f>
        <v/>
      </c>
      <c r="AI88" s="8"/>
      <c r="AJ88" s="8" t="str">
        <f>IF($AI88="","",SUMIFS(OPERATING_COEFFS!$C:$C,OPERATING_COEFFS!$A:$A,"SeasonClass",OPERATING_COEFFS!$B:$B,$AI88))</f>
        <v/>
      </c>
      <c r="AK88" s="8"/>
      <c r="AL88" s="8" t="str">
        <f>IF($AK88="","",SUMIFS(OPERATING_COEFFS!$C:$C,OPERATING_COEFFS!$A:$A,"UrgencyClass",OPERATING_COEFFS!$B:$B,$AK88))</f>
        <v/>
      </c>
      <c r="AM88" s="8"/>
      <c r="AN88" s="8" t="str">
        <f t="array" ref="AN88">IF($AM88="","",INDEX(TAX_MODES!$B:$B,MATCH($AM88,TAX_MODES!$A:$A,0)))</f>
        <v/>
      </c>
    </row>
    <row r="89" ht="14.25" customHeight="1">
      <c r="A89" s="31"/>
      <c r="B89" s="31"/>
      <c r="C89" s="31"/>
      <c r="D89" s="32" t="str">
        <f>IF($C89="","",SUMIFS(SITE_COEFFS!$C:$C,SITE_COEFFS!$A:$A,"SoilWorkability",SITE_COEFFS!$B:$B,$C89))</f>
        <v/>
      </c>
      <c r="E89" s="31"/>
      <c r="F89" s="32" t="str">
        <f>IF($E89="","",SUMIFS(SITE_COEFFS!$C:$C,SITE_COEFFS!$A:$A,"SoilMoisture",SITE_COEFFS!$B:$B,$E89))</f>
        <v/>
      </c>
      <c r="G89" s="31"/>
      <c r="H89" s="32" t="str">
        <f>IF($G89="","",SUMIFS(SITE_COEFFS!$C:$C,SITE_COEFFS!$A:$A,"DebrisLevel",SITE_COEFFS!$B:$B,$G89))</f>
        <v/>
      </c>
      <c r="I89" s="31"/>
      <c r="J89" s="32" t="str">
        <f>IF($I89="","",SUMIFS(SITE_COEFFS!$C:$C,SITE_COEFFS!$A:$A,"SlopeClass",SITE_COEFFS!$B:$B,$I89))</f>
        <v/>
      </c>
      <c r="K89" s="31"/>
      <c r="L89" s="32" t="str">
        <f>IF($K89="","",SUMIFS(SITE_COEFFS!$C:$C,SITE_COEFFS!$A:$A,"SurfaceUnevenness",SITE_COEFFS!$B:$B,$K89))</f>
        <v/>
      </c>
      <c r="M89" s="31"/>
      <c r="N89" s="32" t="str">
        <f>IF($M89="","",SUMIFS(SITE_COEFFS!$C:$C,SITE_COEFFS!$A:$A,"AccessClass",SITE_COEFFS!$B:$B,$M89))</f>
        <v/>
      </c>
      <c r="O89" s="31"/>
      <c r="P89" s="32" t="str">
        <f>IF($O89="","",SUMIFS(SITE_COEFFS!$C:$C,SITE_COEFFS!$A:$A,"TurnSpace",SITE_COEFFS!$B:$B,$O89))</f>
        <v/>
      </c>
      <c r="Q89" s="31"/>
      <c r="R89" s="32" t="str">
        <f>IF($Q89="","",SUMIFS(SITE_COEFFS!$C:$C,SITE_COEFFS!$A:$A,"ProximityToBuildings",SITE_COEFFS!$B:$B,$Q89))</f>
        <v/>
      </c>
      <c r="S89" s="31"/>
      <c r="T89" s="32" t="str">
        <f>IF($S89="","",SUMIFS(SITE_COEFFS!$C:$C,SITE_COEFFS!$A:$A,"MachineryAllowed",SITE_COEFFS!$B:$B,$S89))</f>
        <v/>
      </c>
      <c r="U89" s="31"/>
      <c r="V89" s="31"/>
      <c r="W89" s="32" t="str">
        <f>IF($V89="","",SUMIFS(SITE_COEFFS!$C:$C,SITE_COEFFS!$A:$A,"GeometryComplexity",SITE_COEFFS!$B:$B,$V89))</f>
        <v/>
      </c>
      <c r="X89" s="31"/>
      <c r="Y89" s="31" t="str">
        <f>IF($X89="","",SUMIFS(TARIFF_PROFILES!$D:$D,TARIFF_PROFILES!$A:$A,$X89))</f>
        <v/>
      </c>
      <c r="Z89" s="31" t="str">
        <f>IF($X89="","",SUMIFS(TARIFF_PROFILES!$E:$E,TARIFF_PROFILES!$A:$A,$X89))</f>
        <v/>
      </c>
      <c r="AA89" s="31" t="str">
        <f>IF($X89="","",SUMIFS(TARIFF_PROFILES!$F:$F,TARIFF_PROFILES!$A:$A,$X89))</f>
        <v/>
      </c>
      <c r="AB89" s="31" t="str">
        <f>IF($X89="","",SUMIFS(TARIFF_PROFILES!$G:$G,TARIFF_PROFILES!$A:$A,$X89))</f>
        <v/>
      </c>
      <c r="AC89" s="31" t="str">
        <f>IF($X89="","",SUMIFS(TARIFF_PROFILES!$H:$H,TARIFF_PROFILES!$A:$A,$X89))</f>
        <v/>
      </c>
      <c r="AD89" s="31" t="str">
        <f t="array" ref="AD89">IF($X89="","",INDEX(TARIFF_PROFILES!$J:$J,MATCH($X89,TARIFF_PROFILES!$A:$A,0)))</f>
        <v/>
      </c>
      <c r="AE89" s="31" t="str">
        <f t="array" ref="AE89">IF($X89="","",INDEX(TARIFF_PROFILES!$K:$K,MATCH($X89,TARIFF_PROFILES!$A:$A,0)))</f>
        <v/>
      </c>
      <c r="AG89" s="8"/>
      <c r="AH89" s="8" t="str">
        <f>IF($AG89="","",SUMIFS(OPERATING_COEFFS!$C:$C,OPERATING_COEFFS!$A:$A,"DistanceClass",OPERATING_COEFFS!$B:$B,$AG89))</f>
        <v/>
      </c>
      <c r="AI89" s="8"/>
      <c r="AJ89" s="8" t="str">
        <f>IF($AI89="","",SUMIFS(OPERATING_COEFFS!$C:$C,OPERATING_COEFFS!$A:$A,"SeasonClass",OPERATING_COEFFS!$B:$B,$AI89))</f>
        <v/>
      </c>
      <c r="AK89" s="8"/>
      <c r="AL89" s="8" t="str">
        <f>IF($AK89="","",SUMIFS(OPERATING_COEFFS!$C:$C,OPERATING_COEFFS!$A:$A,"UrgencyClass",OPERATING_COEFFS!$B:$B,$AK89))</f>
        <v/>
      </c>
      <c r="AM89" s="8"/>
      <c r="AN89" s="8" t="str">
        <f t="array" ref="AN89">IF($AM89="","",INDEX(TAX_MODES!$B:$B,MATCH($AM89,TAX_MODES!$A:$A,0)))</f>
        <v/>
      </c>
    </row>
    <row r="90" ht="14.25" customHeight="1">
      <c r="A90" s="31"/>
      <c r="B90" s="31"/>
      <c r="C90" s="31"/>
      <c r="D90" s="32" t="str">
        <f>IF($C90="","",SUMIFS(SITE_COEFFS!$C:$C,SITE_COEFFS!$A:$A,"SoilWorkability",SITE_COEFFS!$B:$B,$C90))</f>
        <v/>
      </c>
      <c r="E90" s="31"/>
      <c r="F90" s="32" t="str">
        <f>IF($E90="","",SUMIFS(SITE_COEFFS!$C:$C,SITE_COEFFS!$A:$A,"SoilMoisture",SITE_COEFFS!$B:$B,$E90))</f>
        <v/>
      </c>
      <c r="G90" s="31"/>
      <c r="H90" s="32" t="str">
        <f>IF($G90="","",SUMIFS(SITE_COEFFS!$C:$C,SITE_COEFFS!$A:$A,"DebrisLevel",SITE_COEFFS!$B:$B,$G90))</f>
        <v/>
      </c>
      <c r="I90" s="31"/>
      <c r="J90" s="32" t="str">
        <f>IF($I90="","",SUMIFS(SITE_COEFFS!$C:$C,SITE_COEFFS!$A:$A,"SlopeClass",SITE_COEFFS!$B:$B,$I90))</f>
        <v/>
      </c>
      <c r="K90" s="31"/>
      <c r="L90" s="32" t="str">
        <f>IF($K90="","",SUMIFS(SITE_COEFFS!$C:$C,SITE_COEFFS!$A:$A,"SurfaceUnevenness",SITE_COEFFS!$B:$B,$K90))</f>
        <v/>
      </c>
      <c r="M90" s="31"/>
      <c r="N90" s="32" t="str">
        <f>IF($M90="","",SUMIFS(SITE_COEFFS!$C:$C,SITE_COEFFS!$A:$A,"AccessClass",SITE_COEFFS!$B:$B,$M90))</f>
        <v/>
      </c>
      <c r="O90" s="31"/>
      <c r="P90" s="32" t="str">
        <f>IF($O90="","",SUMIFS(SITE_COEFFS!$C:$C,SITE_COEFFS!$A:$A,"TurnSpace",SITE_COEFFS!$B:$B,$O90))</f>
        <v/>
      </c>
      <c r="Q90" s="31"/>
      <c r="R90" s="32" t="str">
        <f>IF($Q90="","",SUMIFS(SITE_COEFFS!$C:$C,SITE_COEFFS!$A:$A,"ProximityToBuildings",SITE_COEFFS!$B:$B,$Q90))</f>
        <v/>
      </c>
      <c r="S90" s="31"/>
      <c r="T90" s="32" t="str">
        <f>IF($S90="","",SUMIFS(SITE_COEFFS!$C:$C,SITE_COEFFS!$A:$A,"MachineryAllowed",SITE_COEFFS!$B:$B,$S90))</f>
        <v/>
      </c>
      <c r="U90" s="31"/>
      <c r="V90" s="31"/>
      <c r="W90" s="32" t="str">
        <f>IF($V90="","",SUMIFS(SITE_COEFFS!$C:$C,SITE_COEFFS!$A:$A,"GeometryComplexity",SITE_COEFFS!$B:$B,$V90))</f>
        <v/>
      </c>
      <c r="X90" s="31"/>
      <c r="Y90" s="31" t="str">
        <f>IF($X90="","",SUMIFS(TARIFF_PROFILES!$D:$D,TARIFF_PROFILES!$A:$A,$X90))</f>
        <v/>
      </c>
      <c r="Z90" s="31" t="str">
        <f>IF($X90="","",SUMIFS(TARIFF_PROFILES!$E:$E,TARIFF_PROFILES!$A:$A,$X90))</f>
        <v/>
      </c>
      <c r="AA90" s="31" t="str">
        <f>IF($X90="","",SUMIFS(TARIFF_PROFILES!$F:$F,TARIFF_PROFILES!$A:$A,$X90))</f>
        <v/>
      </c>
      <c r="AB90" s="31" t="str">
        <f>IF($X90="","",SUMIFS(TARIFF_PROFILES!$G:$G,TARIFF_PROFILES!$A:$A,$X90))</f>
        <v/>
      </c>
      <c r="AC90" s="31" t="str">
        <f>IF($X90="","",SUMIFS(TARIFF_PROFILES!$H:$H,TARIFF_PROFILES!$A:$A,$X90))</f>
        <v/>
      </c>
      <c r="AD90" s="31" t="str">
        <f t="array" ref="AD90">IF($X90="","",INDEX(TARIFF_PROFILES!$J:$J,MATCH($X90,TARIFF_PROFILES!$A:$A,0)))</f>
        <v/>
      </c>
      <c r="AE90" s="31" t="str">
        <f t="array" ref="AE90">IF($X90="","",INDEX(TARIFF_PROFILES!$K:$K,MATCH($X90,TARIFF_PROFILES!$A:$A,0)))</f>
        <v/>
      </c>
      <c r="AG90" s="8"/>
      <c r="AH90" s="8" t="str">
        <f>IF($AG90="","",SUMIFS(OPERATING_COEFFS!$C:$C,OPERATING_COEFFS!$A:$A,"DistanceClass",OPERATING_COEFFS!$B:$B,$AG90))</f>
        <v/>
      </c>
      <c r="AI90" s="8"/>
      <c r="AJ90" s="8" t="str">
        <f>IF($AI90="","",SUMIFS(OPERATING_COEFFS!$C:$C,OPERATING_COEFFS!$A:$A,"SeasonClass",OPERATING_COEFFS!$B:$B,$AI90))</f>
        <v/>
      </c>
      <c r="AK90" s="8"/>
      <c r="AL90" s="8" t="str">
        <f>IF($AK90="","",SUMIFS(OPERATING_COEFFS!$C:$C,OPERATING_COEFFS!$A:$A,"UrgencyClass",OPERATING_COEFFS!$B:$B,$AK90))</f>
        <v/>
      </c>
      <c r="AM90" s="8"/>
      <c r="AN90" s="8" t="str">
        <f t="array" ref="AN90">IF($AM90="","",INDEX(TAX_MODES!$B:$B,MATCH($AM90,TAX_MODES!$A:$A,0)))</f>
        <v/>
      </c>
    </row>
    <row r="91" ht="14.25" customHeight="1">
      <c r="A91" s="31"/>
      <c r="B91" s="31"/>
      <c r="C91" s="31"/>
      <c r="D91" s="32" t="str">
        <f>IF($C91="","",SUMIFS(SITE_COEFFS!$C:$C,SITE_COEFFS!$A:$A,"SoilWorkability",SITE_COEFFS!$B:$B,$C91))</f>
        <v/>
      </c>
      <c r="E91" s="31"/>
      <c r="F91" s="32" t="str">
        <f>IF($E91="","",SUMIFS(SITE_COEFFS!$C:$C,SITE_COEFFS!$A:$A,"SoilMoisture",SITE_COEFFS!$B:$B,$E91))</f>
        <v/>
      </c>
      <c r="G91" s="31"/>
      <c r="H91" s="32" t="str">
        <f>IF($G91="","",SUMIFS(SITE_COEFFS!$C:$C,SITE_COEFFS!$A:$A,"DebrisLevel",SITE_COEFFS!$B:$B,$G91))</f>
        <v/>
      </c>
      <c r="I91" s="31"/>
      <c r="J91" s="32" t="str">
        <f>IF($I91="","",SUMIFS(SITE_COEFFS!$C:$C,SITE_COEFFS!$A:$A,"SlopeClass",SITE_COEFFS!$B:$B,$I91))</f>
        <v/>
      </c>
      <c r="K91" s="31"/>
      <c r="L91" s="32" t="str">
        <f>IF($K91="","",SUMIFS(SITE_COEFFS!$C:$C,SITE_COEFFS!$A:$A,"SurfaceUnevenness",SITE_COEFFS!$B:$B,$K91))</f>
        <v/>
      </c>
      <c r="M91" s="31"/>
      <c r="N91" s="32" t="str">
        <f>IF($M91="","",SUMIFS(SITE_COEFFS!$C:$C,SITE_COEFFS!$A:$A,"AccessClass",SITE_COEFFS!$B:$B,$M91))</f>
        <v/>
      </c>
      <c r="O91" s="31"/>
      <c r="P91" s="32" t="str">
        <f>IF($O91="","",SUMIFS(SITE_COEFFS!$C:$C,SITE_COEFFS!$A:$A,"TurnSpace",SITE_COEFFS!$B:$B,$O91))</f>
        <v/>
      </c>
      <c r="Q91" s="31"/>
      <c r="R91" s="32" t="str">
        <f>IF($Q91="","",SUMIFS(SITE_COEFFS!$C:$C,SITE_COEFFS!$A:$A,"ProximityToBuildings",SITE_COEFFS!$B:$B,$Q91))</f>
        <v/>
      </c>
      <c r="S91" s="31"/>
      <c r="T91" s="32" t="str">
        <f>IF($S91="","",SUMIFS(SITE_COEFFS!$C:$C,SITE_COEFFS!$A:$A,"MachineryAllowed",SITE_COEFFS!$B:$B,$S91))</f>
        <v/>
      </c>
      <c r="U91" s="31"/>
      <c r="V91" s="31"/>
      <c r="W91" s="32" t="str">
        <f>IF($V91="","",SUMIFS(SITE_COEFFS!$C:$C,SITE_COEFFS!$A:$A,"GeometryComplexity",SITE_COEFFS!$B:$B,$V91))</f>
        <v/>
      </c>
      <c r="X91" s="31"/>
      <c r="Y91" s="31" t="str">
        <f>IF($X91="","",SUMIFS(TARIFF_PROFILES!$D:$D,TARIFF_PROFILES!$A:$A,$X91))</f>
        <v/>
      </c>
      <c r="Z91" s="31" t="str">
        <f>IF($X91="","",SUMIFS(TARIFF_PROFILES!$E:$E,TARIFF_PROFILES!$A:$A,$X91))</f>
        <v/>
      </c>
      <c r="AA91" s="31" t="str">
        <f>IF($X91="","",SUMIFS(TARIFF_PROFILES!$F:$F,TARIFF_PROFILES!$A:$A,$X91))</f>
        <v/>
      </c>
      <c r="AB91" s="31" t="str">
        <f>IF($X91="","",SUMIFS(TARIFF_PROFILES!$G:$G,TARIFF_PROFILES!$A:$A,$X91))</f>
        <v/>
      </c>
      <c r="AC91" s="31" t="str">
        <f>IF($X91="","",SUMIFS(TARIFF_PROFILES!$H:$H,TARIFF_PROFILES!$A:$A,$X91))</f>
        <v/>
      </c>
      <c r="AD91" s="31" t="str">
        <f t="array" ref="AD91">IF($X91="","",INDEX(TARIFF_PROFILES!$J:$J,MATCH($X91,TARIFF_PROFILES!$A:$A,0)))</f>
        <v/>
      </c>
      <c r="AE91" s="31" t="str">
        <f t="array" ref="AE91">IF($X91="","",INDEX(TARIFF_PROFILES!$K:$K,MATCH($X91,TARIFF_PROFILES!$A:$A,0)))</f>
        <v/>
      </c>
      <c r="AG91" s="8"/>
      <c r="AH91" s="8" t="str">
        <f>IF($AG91="","",SUMIFS(OPERATING_COEFFS!$C:$C,OPERATING_COEFFS!$A:$A,"DistanceClass",OPERATING_COEFFS!$B:$B,$AG91))</f>
        <v/>
      </c>
      <c r="AI91" s="8"/>
      <c r="AJ91" s="8" t="str">
        <f>IF($AI91="","",SUMIFS(OPERATING_COEFFS!$C:$C,OPERATING_COEFFS!$A:$A,"SeasonClass",OPERATING_COEFFS!$B:$B,$AI91))</f>
        <v/>
      </c>
      <c r="AK91" s="8"/>
      <c r="AL91" s="8" t="str">
        <f>IF($AK91="","",SUMIFS(OPERATING_COEFFS!$C:$C,OPERATING_COEFFS!$A:$A,"UrgencyClass",OPERATING_COEFFS!$B:$B,$AK91))</f>
        <v/>
      </c>
      <c r="AM91" s="8"/>
      <c r="AN91" s="8" t="str">
        <f t="array" ref="AN91">IF($AM91="","",INDEX(TAX_MODES!$B:$B,MATCH($AM91,TAX_MODES!$A:$A,0)))</f>
        <v/>
      </c>
    </row>
    <row r="92" ht="14.25" customHeight="1">
      <c r="A92" s="31"/>
      <c r="B92" s="31"/>
      <c r="C92" s="31"/>
      <c r="D92" s="32" t="str">
        <f>IF($C92="","",SUMIFS(SITE_COEFFS!$C:$C,SITE_COEFFS!$A:$A,"SoilWorkability",SITE_COEFFS!$B:$B,$C92))</f>
        <v/>
      </c>
      <c r="E92" s="31"/>
      <c r="F92" s="32" t="str">
        <f>IF($E92="","",SUMIFS(SITE_COEFFS!$C:$C,SITE_COEFFS!$A:$A,"SoilMoisture",SITE_COEFFS!$B:$B,$E92))</f>
        <v/>
      </c>
      <c r="G92" s="31"/>
      <c r="H92" s="32" t="str">
        <f>IF($G92="","",SUMIFS(SITE_COEFFS!$C:$C,SITE_COEFFS!$A:$A,"DebrisLevel",SITE_COEFFS!$B:$B,$G92))</f>
        <v/>
      </c>
      <c r="I92" s="31"/>
      <c r="J92" s="32" t="str">
        <f>IF($I92="","",SUMIFS(SITE_COEFFS!$C:$C,SITE_COEFFS!$A:$A,"SlopeClass",SITE_COEFFS!$B:$B,$I92))</f>
        <v/>
      </c>
      <c r="K92" s="31"/>
      <c r="L92" s="32" t="str">
        <f>IF($K92="","",SUMIFS(SITE_COEFFS!$C:$C,SITE_COEFFS!$A:$A,"SurfaceUnevenness",SITE_COEFFS!$B:$B,$K92))</f>
        <v/>
      </c>
      <c r="M92" s="31"/>
      <c r="N92" s="32" t="str">
        <f>IF($M92="","",SUMIFS(SITE_COEFFS!$C:$C,SITE_COEFFS!$A:$A,"AccessClass",SITE_COEFFS!$B:$B,$M92))</f>
        <v/>
      </c>
      <c r="O92" s="31"/>
      <c r="P92" s="32" t="str">
        <f>IF($O92="","",SUMIFS(SITE_COEFFS!$C:$C,SITE_COEFFS!$A:$A,"TurnSpace",SITE_COEFFS!$B:$B,$O92))</f>
        <v/>
      </c>
      <c r="Q92" s="31"/>
      <c r="R92" s="32" t="str">
        <f>IF($Q92="","",SUMIFS(SITE_COEFFS!$C:$C,SITE_COEFFS!$A:$A,"ProximityToBuildings",SITE_COEFFS!$B:$B,$Q92))</f>
        <v/>
      </c>
      <c r="S92" s="31"/>
      <c r="T92" s="32" t="str">
        <f>IF($S92="","",SUMIFS(SITE_COEFFS!$C:$C,SITE_COEFFS!$A:$A,"MachineryAllowed",SITE_COEFFS!$B:$B,$S92))</f>
        <v/>
      </c>
      <c r="U92" s="31"/>
      <c r="V92" s="31"/>
      <c r="W92" s="32" t="str">
        <f>IF($V92="","",SUMIFS(SITE_COEFFS!$C:$C,SITE_COEFFS!$A:$A,"GeometryComplexity",SITE_COEFFS!$B:$B,$V92))</f>
        <v/>
      </c>
      <c r="X92" s="31"/>
      <c r="Y92" s="31" t="str">
        <f>IF($X92="","",SUMIFS(TARIFF_PROFILES!$D:$D,TARIFF_PROFILES!$A:$A,$X92))</f>
        <v/>
      </c>
      <c r="Z92" s="31" t="str">
        <f>IF($X92="","",SUMIFS(TARIFF_PROFILES!$E:$E,TARIFF_PROFILES!$A:$A,$X92))</f>
        <v/>
      </c>
      <c r="AA92" s="31" t="str">
        <f>IF($X92="","",SUMIFS(TARIFF_PROFILES!$F:$F,TARIFF_PROFILES!$A:$A,$X92))</f>
        <v/>
      </c>
      <c r="AB92" s="31" t="str">
        <f>IF($X92="","",SUMIFS(TARIFF_PROFILES!$G:$G,TARIFF_PROFILES!$A:$A,$X92))</f>
        <v/>
      </c>
      <c r="AC92" s="31" t="str">
        <f>IF($X92="","",SUMIFS(TARIFF_PROFILES!$H:$H,TARIFF_PROFILES!$A:$A,$X92))</f>
        <v/>
      </c>
      <c r="AD92" s="31" t="str">
        <f t="array" ref="AD92">IF($X92="","",INDEX(TARIFF_PROFILES!$J:$J,MATCH($X92,TARIFF_PROFILES!$A:$A,0)))</f>
        <v/>
      </c>
      <c r="AE92" s="31" t="str">
        <f t="array" ref="AE92">IF($X92="","",INDEX(TARIFF_PROFILES!$K:$K,MATCH($X92,TARIFF_PROFILES!$A:$A,0)))</f>
        <v/>
      </c>
      <c r="AG92" s="8"/>
      <c r="AH92" s="8" t="str">
        <f>IF($AG92="","",SUMIFS(OPERATING_COEFFS!$C:$C,OPERATING_COEFFS!$A:$A,"DistanceClass",OPERATING_COEFFS!$B:$B,$AG92))</f>
        <v/>
      </c>
      <c r="AI92" s="8"/>
      <c r="AJ92" s="8" t="str">
        <f>IF($AI92="","",SUMIFS(OPERATING_COEFFS!$C:$C,OPERATING_COEFFS!$A:$A,"SeasonClass",OPERATING_COEFFS!$B:$B,$AI92))</f>
        <v/>
      </c>
      <c r="AK92" s="8"/>
      <c r="AL92" s="8" t="str">
        <f>IF($AK92="","",SUMIFS(OPERATING_COEFFS!$C:$C,OPERATING_COEFFS!$A:$A,"UrgencyClass",OPERATING_COEFFS!$B:$B,$AK92))</f>
        <v/>
      </c>
      <c r="AM92" s="8"/>
      <c r="AN92" s="8" t="str">
        <f t="array" ref="AN92">IF($AM92="","",INDEX(TAX_MODES!$B:$B,MATCH($AM92,TAX_MODES!$A:$A,0)))</f>
        <v/>
      </c>
    </row>
    <row r="93" ht="14.25" customHeight="1">
      <c r="A93" s="31"/>
      <c r="B93" s="31"/>
      <c r="C93" s="31"/>
      <c r="D93" s="32" t="str">
        <f>IF($C93="","",SUMIFS(SITE_COEFFS!$C:$C,SITE_COEFFS!$A:$A,"SoilWorkability",SITE_COEFFS!$B:$B,$C93))</f>
        <v/>
      </c>
      <c r="E93" s="31"/>
      <c r="F93" s="32" t="str">
        <f>IF($E93="","",SUMIFS(SITE_COEFFS!$C:$C,SITE_COEFFS!$A:$A,"SoilMoisture",SITE_COEFFS!$B:$B,$E93))</f>
        <v/>
      </c>
      <c r="G93" s="31"/>
      <c r="H93" s="32" t="str">
        <f>IF($G93="","",SUMIFS(SITE_COEFFS!$C:$C,SITE_COEFFS!$A:$A,"DebrisLevel",SITE_COEFFS!$B:$B,$G93))</f>
        <v/>
      </c>
      <c r="I93" s="31"/>
      <c r="J93" s="32" t="str">
        <f>IF($I93="","",SUMIFS(SITE_COEFFS!$C:$C,SITE_COEFFS!$A:$A,"SlopeClass",SITE_COEFFS!$B:$B,$I93))</f>
        <v/>
      </c>
      <c r="K93" s="31"/>
      <c r="L93" s="32" t="str">
        <f>IF($K93="","",SUMIFS(SITE_COEFFS!$C:$C,SITE_COEFFS!$A:$A,"SurfaceUnevenness",SITE_COEFFS!$B:$B,$K93))</f>
        <v/>
      </c>
      <c r="M93" s="31"/>
      <c r="N93" s="32" t="str">
        <f>IF($M93="","",SUMIFS(SITE_COEFFS!$C:$C,SITE_COEFFS!$A:$A,"AccessClass",SITE_COEFFS!$B:$B,$M93))</f>
        <v/>
      </c>
      <c r="O93" s="31"/>
      <c r="P93" s="32" t="str">
        <f>IF($O93="","",SUMIFS(SITE_COEFFS!$C:$C,SITE_COEFFS!$A:$A,"TurnSpace",SITE_COEFFS!$B:$B,$O93))</f>
        <v/>
      </c>
      <c r="Q93" s="31"/>
      <c r="R93" s="32" t="str">
        <f>IF($Q93="","",SUMIFS(SITE_COEFFS!$C:$C,SITE_COEFFS!$A:$A,"ProximityToBuildings",SITE_COEFFS!$B:$B,$Q93))</f>
        <v/>
      </c>
      <c r="S93" s="31"/>
      <c r="T93" s="32" t="str">
        <f>IF($S93="","",SUMIFS(SITE_COEFFS!$C:$C,SITE_COEFFS!$A:$A,"MachineryAllowed",SITE_COEFFS!$B:$B,$S93))</f>
        <v/>
      </c>
      <c r="U93" s="31"/>
      <c r="V93" s="31"/>
      <c r="W93" s="32" t="str">
        <f>IF($V93="","",SUMIFS(SITE_COEFFS!$C:$C,SITE_COEFFS!$A:$A,"GeometryComplexity",SITE_COEFFS!$B:$B,$V93))</f>
        <v/>
      </c>
      <c r="X93" s="31"/>
      <c r="Y93" s="31" t="str">
        <f>IF($X93="","",SUMIFS(TARIFF_PROFILES!$D:$D,TARIFF_PROFILES!$A:$A,$X93))</f>
        <v/>
      </c>
      <c r="Z93" s="31" t="str">
        <f>IF($X93="","",SUMIFS(TARIFF_PROFILES!$E:$E,TARIFF_PROFILES!$A:$A,$X93))</f>
        <v/>
      </c>
      <c r="AA93" s="31" t="str">
        <f>IF($X93="","",SUMIFS(TARIFF_PROFILES!$F:$F,TARIFF_PROFILES!$A:$A,$X93))</f>
        <v/>
      </c>
      <c r="AB93" s="31" t="str">
        <f>IF($X93="","",SUMIFS(TARIFF_PROFILES!$G:$G,TARIFF_PROFILES!$A:$A,$X93))</f>
        <v/>
      </c>
      <c r="AC93" s="31" t="str">
        <f>IF($X93="","",SUMIFS(TARIFF_PROFILES!$H:$H,TARIFF_PROFILES!$A:$A,$X93))</f>
        <v/>
      </c>
      <c r="AD93" s="31" t="str">
        <f t="array" ref="AD93">IF($X93="","",INDEX(TARIFF_PROFILES!$J:$J,MATCH($X93,TARIFF_PROFILES!$A:$A,0)))</f>
        <v/>
      </c>
      <c r="AE93" s="31" t="str">
        <f t="array" ref="AE93">IF($X93="","",INDEX(TARIFF_PROFILES!$K:$K,MATCH($X93,TARIFF_PROFILES!$A:$A,0)))</f>
        <v/>
      </c>
      <c r="AG93" s="8"/>
      <c r="AH93" s="8" t="str">
        <f>IF($AG93="","",SUMIFS(OPERATING_COEFFS!$C:$C,OPERATING_COEFFS!$A:$A,"DistanceClass",OPERATING_COEFFS!$B:$B,$AG93))</f>
        <v/>
      </c>
      <c r="AI93" s="8"/>
      <c r="AJ93" s="8" t="str">
        <f>IF($AI93="","",SUMIFS(OPERATING_COEFFS!$C:$C,OPERATING_COEFFS!$A:$A,"SeasonClass",OPERATING_COEFFS!$B:$B,$AI93))</f>
        <v/>
      </c>
      <c r="AK93" s="8"/>
      <c r="AL93" s="8" t="str">
        <f>IF($AK93="","",SUMIFS(OPERATING_COEFFS!$C:$C,OPERATING_COEFFS!$A:$A,"UrgencyClass",OPERATING_COEFFS!$B:$B,$AK93))</f>
        <v/>
      </c>
      <c r="AM93" s="8"/>
      <c r="AN93" s="8" t="str">
        <f t="array" ref="AN93">IF($AM93="","",INDEX(TAX_MODES!$B:$B,MATCH($AM93,TAX_MODES!$A:$A,0)))</f>
        <v/>
      </c>
    </row>
    <row r="94" ht="14.25" customHeight="1">
      <c r="A94" s="31"/>
      <c r="B94" s="31"/>
      <c r="C94" s="31"/>
      <c r="D94" s="32" t="str">
        <f>IF($C94="","",SUMIFS(SITE_COEFFS!$C:$C,SITE_COEFFS!$A:$A,"SoilWorkability",SITE_COEFFS!$B:$B,$C94))</f>
        <v/>
      </c>
      <c r="E94" s="31"/>
      <c r="F94" s="32" t="str">
        <f>IF($E94="","",SUMIFS(SITE_COEFFS!$C:$C,SITE_COEFFS!$A:$A,"SoilMoisture",SITE_COEFFS!$B:$B,$E94))</f>
        <v/>
      </c>
      <c r="G94" s="31"/>
      <c r="H94" s="32" t="str">
        <f>IF($G94="","",SUMIFS(SITE_COEFFS!$C:$C,SITE_COEFFS!$A:$A,"DebrisLevel",SITE_COEFFS!$B:$B,$G94))</f>
        <v/>
      </c>
      <c r="I94" s="31"/>
      <c r="J94" s="32" t="str">
        <f>IF($I94="","",SUMIFS(SITE_COEFFS!$C:$C,SITE_COEFFS!$A:$A,"SlopeClass",SITE_COEFFS!$B:$B,$I94))</f>
        <v/>
      </c>
      <c r="K94" s="31"/>
      <c r="L94" s="32" t="str">
        <f>IF($K94="","",SUMIFS(SITE_COEFFS!$C:$C,SITE_COEFFS!$A:$A,"SurfaceUnevenness",SITE_COEFFS!$B:$B,$K94))</f>
        <v/>
      </c>
      <c r="M94" s="31"/>
      <c r="N94" s="32" t="str">
        <f>IF($M94="","",SUMIFS(SITE_COEFFS!$C:$C,SITE_COEFFS!$A:$A,"AccessClass",SITE_COEFFS!$B:$B,$M94))</f>
        <v/>
      </c>
      <c r="O94" s="31"/>
      <c r="P94" s="32" t="str">
        <f>IF($O94="","",SUMIFS(SITE_COEFFS!$C:$C,SITE_COEFFS!$A:$A,"TurnSpace",SITE_COEFFS!$B:$B,$O94))</f>
        <v/>
      </c>
      <c r="Q94" s="31"/>
      <c r="R94" s="32" t="str">
        <f>IF($Q94="","",SUMIFS(SITE_COEFFS!$C:$C,SITE_COEFFS!$A:$A,"ProximityToBuildings",SITE_COEFFS!$B:$B,$Q94))</f>
        <v/>
      </c>
      <c r="S94" s="31"/>
      <c r="T94" s="32" t="str">
        <f>IF($S94="","",SUMIFS(SITE_COEFFS!$C:$C,SITE_COEFFS!$A:$A,"MachineryAllowed",SITE_COEFFS!$B:$B,$S94))</f>
        <v/>
      </c>
      <c r="U94" s="31"/>
      <c r="V94" s="31"/>
      <c r="W94" s="32" t="str">
        <f>IF($V94="","",SUMIFS(SITE_COEFFS!$C:$C,SITE_COEFFS!$A:$A,"GeometryComplexity",SITE_COEFFS!$B:$B,$V94))</f>
        <v/>
      </c>
      <c r="X94" s="31"/>
      <c r="Y94" s="31" t="str">
        <f>IF($X94="","",SUMIFS(TARIFF_PROFILES!$D:$D,TARIFF_PROFILES!$A:$A,$X94))</f>
        <v/>
      </c>
      <c r="Z94" s="31" t="str">
        <f>IF($X94="","",SUMIFS(TARIFF_PROFILES!$E:$E,TARIFF_PROFILES!$A:$A,$X94))</f>
        <v/>
      </c>
      <c r="AA94" s="31" t="str">
        <f>IF($X94="","",SUMIFS(TARIFF_PROFILES!$F:$F,TARIFF_PROFILES!$A:$A,$X94))</f>
        <v/>
      </c>
      <c r="AB94" s="31" t="str">
        <f>IF($X94="","",SUMIFS(TARIFF_PROFILES!$G:$G,TARIFF_PROFILES!$A:$A,$X94))</f>
        <v/>
      </c>
      <c r="AC94" s="31" t="str">
        <f>IF($X94="","",SUMIFS(TARIFF_PROFILES!$H:$H,TARIFF_PROFILES!$A:$A,$X94))</f>
        <v/>
      </c>
      <c r="AD94" s="31" t="str">
        <f t="array" ref="AD94">IF($X94="","",INDEX(TARIFF_PROFILES!$J:$J,MATCH($X94,TARIFF_PROFILES!$A:$A,0)))</f>
        <v/>
      </c>
      <c r="AE94" s="31" t="str">
        <f t="array" ref="AE94">IF($X94="","",INDEX(TARIFF_PROFILES!$K:$K,MATCH($X94,TARIFF_PROFILES!$A:$A,0)))</f>
        <v/>
      </c>
      <c r="AG94" s="8"/>
      <c r="AH94" s="8" t="str">
        <f>IF($AG94="","",SUMIFS(OPERATING_COEFFS!$C:$C,OPERATING_COEFFS!$A:$A,"DistanceClass",OPERATING_COEFFS!$B:$B,$AG94))</f>
        <v/>
      </c>
      <c r="AI94" s="8"/>
      <c r="AJ94" s="8" t="str">
        <f>IF($AI94="","",SUMIFS(OPERATING_COEFFS!$C:$C,OPERATING_COEFFS!$A:$A,"SeasonClass",OPERATING_COEFFS!$B:$B,$AI94))</f>
        <v/>
      </c>
      <c r="AK94" s="8"/>
      <c r="AL94" s="8" t="str">
        <f>IF($AK94="","",SUMIFS(OPERATING_COEFFS!$C:$C,OPERATING_COEFFS!$A:$A,"UrgencyClass",OPERATING_COEFFS!$B:$B,$AK94))</f>
        <v/>
      </c>
      <c r="AM94" s="8"/>
      <c r="AN94" s="8" t="str">
        <f t="array" ref="AN94">IF($AM94="","",INDEX(TAX_MODES!$B:$B,MATCH($AM94,TAX_MODES!$A:$A,0)))</f>
        <v/>
      </c>
    </row>
    <row r="95" ht="14.25" customHeight="1">
      <c r="A95" s="31"/>
      <c r="B95" s="31"/>
      <c r="C95" s="31"/>
      <c r="D95" s="32" t="str">
        <f>IF($C95="","",SUMIFS(SITE_COEFFS!$C:$C,SITE_COEFFS!$A:$A,"SoilWorkability",SITE_COEFFS!$B:$B,$C95))</f>
        <v/>
      </c>
      <c r="E95" s="31"/>
      <c r="F95" s="32" t="str">
        <f>IF($E95="","",SUMIFS(SITE_COEFFS!$C:$C,SITE_COEFFS!$A:$A,"SoilMoisture",SITE_COEFFS!$B:$B,$E95))</f>
        <v/>
      </c>
      <c r="G95" s="31"/>
      <c r="H95" s="32" t="str">
        <f>IF($G95="","",SUMIFS(SITE_COEFFS!$C:$C,SITE_COEFFS!$A:$A,"DebrisLevel",SITE_COEFFS!$B:$B,$G95))</f>
        <v/>
      </c>
      <c r="I95" s="31"/>
      <c r="J95" s="32" t="str">
        <f>IF($I95="","",SUMIFS(SITE_COEFFS!$C:$C,SITE_COEFFS!$A:$A,"SlopeClass",SITE_COEFFS!$B:$B,$I95))</f>
        <v/>
      </c>
      <c r="K95" s="31"/>
      <c r="L95" s="32" t="str">
        <f>IF($K95="","",SUMIFS(SITE_COEFFS!$C:$C,SITE_COEFFS!$A:$A,"SurfaceUnevenness",SITE_COEFFS!$B:$B,$K95))</f>
        <v/>
      </c>
      <c r="M95" s="31"/>
      <c r="N95" s="32" t="str">
        <f>IF($M95="","",SUMIFS(SITE_COEFFS!$C:$C,SITE_COEFFS!$A:$A,"AccessClass",SITE_COEFFS!$B:$B,$M95))</f>
        <v/>
      </c>
      <c r="O95" s="31"/>
      <c r="P95" s="32" t="str">
        <f>IF($O95="","",SUMIFS(SITE_COEFFS!$C:$C,SITE_COEFFS!$A:$A,"TurnSpace",SITE_COEFFS!$B:$B,$O95))</f>
        <v/>
      </c>
      <c r="Q95" s="31"/>
      <c r="R95" s="32" t="str">
        <f>IF($Q95="","",SUMIFS(SITE_COEFFS!$C:$C,SITE_COEFFS!$A:$A,"ProximityToBuildings",SITE_COEFFS!$B:$B,$Q95))</f>
        <v/>
      </c>
      <c r="S95" s="31"/>
      <c r="T95" s="32" t="str">
        <f>IF($S95="","",SUMIFS(SITE_COEFFS!$C:$C,SITE_COEFFS!$A:$A,"MachineryAllowed",SITE_COEFFS!$B:$B,$S95))</f>
        <v/>
      </c>
      <c r="U95" s="31"/>
      <c r="V95" s="31"/>
      <c r="W95" s="32" t="str">
        <f>IF($V95="","",SUMIFS(SITE_COEFFS!$C:$C,SITE_COEFFS!$A:$A,"GeometryComplexity",SITE_COEFFS!$B:$B,$V95))</f>
        <v/>
      </c>
      <c r="X95" s="31"/>
      <c r="Y95" s="31" t="str">
        <f>IF($X95="","",SUMIFS(TARIFF_PROFILES!$D:$D,TARIFF_PROFILES!$A:$A,$X95))</f>
        <v/>
      </c>
      <c r="Z95" s="31" t="str">
        <f>IF($X95="","",SUMIFS(TARIFF_PROFILES!$E:$E,TARIFF_PROFILES!$A:$A,$X95))</f>
        <v/>
      </c>
      <c r="AA95" s="31" t="str">
        <f>IF($X95="","",SUMIFS(TARIFF_PROFILES!$F:$F,TARIFF_PROFILES!$A:$A,$X95))</f>
        <v/>
      </c>
      <c r="AB95" s="31" t="str">
        <f>IF($X95="","",SUMIFS(TARIFF_PROFILES!$G:$G,TARIFF_PROFILES!$A:$A,$X95))</f>
        <v/>
      </c>
      <c r="AC95" s="31" t="str">
        <f>IF($X95="","",SUMIFS(TARIFF_PROFILES!$H:$H,TARIFF_PROFILES!$A:$A,$X95))</f>
        <v/>
      </c>
      <c r="AD95" s="31" t="str">
        <f t="array" ref="AD95">IF($X95="","",INDEX(TARIFF_PROFILES!$J:$J,MATCH($X95,TARIFF_PROFILES!$A:$A,0)))</f>
        <v/>
      </c>
      <c r="AE95" s="31" t="str">
        <f t="array" ref="AE95">IF($X95="","",INDEX(TARIFF_PROFILES!$K:$K,MATCH($X95,TARIFF_PROFILES!$A:$A,0)))</f>
        <v/>
      </c>
      <c r="AG95" s="8"/>
      <c r="AH95" s="8" t="str">
        <f>IF($AG95="","",SUMIFS(OPERATING_COEFFS!$C:$C,OPERATING_COEFFS!$A:$A,"DistanceClass",OPERATING_COEFFS!$B:$B,$AG95))</f>
        <v/>
      </c>
      <c r="AI95" s="8"/>
      <c r="AJ95" s="8" t="str">
        <f>IF($AI95="","",SUMIFS(OPERATING_COEFFS!$C:$C,OPERATING_COEFFS!$A:$A,"SeasonClass",OPERATING_COEFFS!$B:$B,$AI95))</f>
        <v/>
      </c>
      <c r="AK95" s="8"/>
      <c r="AL95" s="8" t="str">
        <f>IF($AK95="","",SUMIFS(OPERATING_COEFFS!$C:$C,OPERATING_COEFFS!$A:$A,"UrgencyClass",OPERATING_COEFFS!$B:$B,$AK95))</f>
        <v/>
      </c>
      <c r="AM95" s="8"/>
      <c r="AN95" s="8" t="str">
        <f t="array" ref="AN95">IF($AM95="","",INDEX(TAX_MODES!$B:$B,MATCH($AM95,TAX_MODES!$A:$A,0)))</f>
        <v/>
      </c>
    </row>
    <row r="96" ht="14.25" customHeight="1">
      <c r="A96" s="31"/>
      <c r="B96" s="31"/>
      <c r="C96" s="31"/>
      <c r="D96" s="32" t="str">
        <f>IF($C96="","",SUMIFS(SITE_COEFFS!$C:$C,SITE_COEFFS!$A:$A,"SoilWorkability",SITE_COEFFS!$B:$B,$C96))</f>
        <v/>
      </c>
      <c r="E96" s="31"/>
      <c r="F96" s="32" t="str">
        <f>IF($E96="","",SUMIFS(SITE_COEFFS!$C:$C,SITE_COEFFS!$A:$A,"SoilMoisture",SITE_COEFFS!$B:$B,$E96))</f>
        <v/>
      </c>
      <c r="G96" s="31"/>
      <c r="H96" s="32" t="str">
        <f>IF($G96="","",SUMIFS(SITE_COEFFS!$C:$C,SITE_COEFFS!$A:$A,"DebrisLevel",SITE_COEFFS!$B:$B,$G96))</f>
        <v/>
      </c>
      <c r="I96" s="31"/>
      <c r="J96" s="32" t="str">
        <f>IF($I96="","",SUMIFS(SITE_COEFFS!$C:$C,SITE_COEFFS!$A:$A,"SlopeClass",SITE_COEFFS!$B:$B,$I96))</f>
        <v/>
      </c>
      <c r="K96" s="31"/>
      <c r="L96" s="32" t="str">
        <f>IF($K96="","",SUMIFS(SITE_COEFFS!$C:$C,SITE_COEFFS!$A:$A,"SurfaceUnevenness",SITE_COEFFS!$B:$B,$K96))</f>
        <v/>
      </c>
      <c r="M96" s="31"/>
      <c r="N96" s="32" t="str">
        <f>IF($M96="","",SUMIFS(SITE_COEFFS!$C:$C,SITE_COEFFS!$A:$A,"AccessClass",SITE_COEFFS!$B:$B,$M96))</f>
        <v/>
      </c>
      <c r="O96" s="31"/>
      <c r="P96" s="32" t="str">
        <f>IF($O96="","",SUMIFS(SITE_COEFFS!$C:$C,SITE_COEFFS!$A:$A,"TurnSpace",SITE_COEFFS!$B:$B,$O96))</f>
        <v/>
      </c>
      <c r="Q96" s="31"/>
      <c r="R96" s="32" t="str">
        <f>IF($Q96="","",SUMIFS(SITE_COEFFS!$C:$C,SITE_COEFFS!$A:$A,"ProximityToBuildings",SITE_COEFFS!$B:$B,$Q96))</f>
        <v/>
      </c>
      <c r="S96" s="31"/>
      <c r="T96" s="32" t="str">
        <f>IF($S96="","",SUMIFS(SITE_COEFFS!$C:$C,SITE_COEFFS!$A:$A,"MachineryAllowed",SITE_COEFFS!$B:$B,$S96))</f>
        <v/>
      </c>
      <c r="U96" s="31"/>
      <c r="V96" s="31"/>
      <c r="W96" s="32" t="str">
        <f>IF($V96="","",SUMIFS(SITE_COEFFS!$C:$C,SITE_COEFFS!$A:$A,"GeometryComplexity",SITE_COEFFS!$B:$B,$V96))</f>
        <v/>
      </c>
      <c r="X96" s="31"/>
      <c r="Y96" s="31" t="str">
        <f>IF($X96="","",SUMIFS(TARIFF_PROFILES!$D:$D,TARIFF_PROFILES!$A:$A,$X96))</f>
        <v/>
      </c>
      <c r="Z96" s="31" t="str">
        <f>IF($X96="","",SUMIFS(TARIFF_PROFILES!$E:$E,TARIFF_PROFILES!$A:$A,$X96))</f>
        <v/>
      </c>
      <c r="AA96" s="31" t="str">
        <f>IF($X96="","",SUMIFS(TARIFF_PROFILES!$F:$F,TARIFF_PROFILES!$A:$A,$X96))</f>
        <v/>
      </c>
      <c r="AB96" s="31" t="str">
        <f>IF($X96="","",SUMIFS(TARIFF_PROFILES!$G:$G,TARIFF_PROFILES!$A:$A,$X96))</f>
        <v/>
      </c>
      <c r="AC96" s="31" t="str">
        <f>IF($X96="","",SUMIFS(TARIFF_PROFILES!$H:$H,TARIFF_PROFILES!$A:$A,$X96))</f>
        <v/>
      </c>
      <c r="AD96" s="31" t="str">
        <f t="array" ref="AD96">IF($X96="","",INDEX(TARIFF_PROFILES!$J:$J,MATCH($X96,TARIFF_PROFILES!$A:$A,0)))</f>
        <v/>
      </c>
      <c r="AE96" s="31" t="str">
        <f t="array" ref="AE96">IF($X96="","",INDEX(TARIFF_PROFILES!$K:$K,MATCH($X96,TARIFF_PROFILES!$A:$A,0)))</f>
        <v/>
      </c>
      <c r="AG96" s="8"/>
      <c r="AH96" s="8" t="str">
        <f>IF($AG96="","",SUMIFS(OPERATING_COEFFS!$C:$C,OPERATING_COEFFS!$A:$A,"DistanceClass",OPERATING_COEFFS!$B:$B,$AG96))</f>
        <v/>
      </c>
      <c r="AI96" s="8"/>
      <c r="AJ96" s="8" t="str">
        <f>IF($AI96="","",SUMIFS(OPERATING_COEFFS!$C:$C,OPERATING_COEFFS!$A:$A,"SeasonClass",OPERATING_COEFFS!$B:$B,$AI96))</f>
        <v/>
      </c>
      <c r="AK96" s="8"/>
      <c r="AL96" s="8" t="str">
        <f>IF($AK96="","",SUMIFS(OPERATING_COEFFS!$C:$C,OPERATING_COEFFS!$A:$A,"UrgencyClass",OPERATING_COEFFS!$B:$B,$AK96))</f>
        <v/>
      </c>
      <c r="AM96" s="8"/>
      <c r="AN96" s="8" t="str">
        <f t="array" ref="AN96">IF($AM96="","",INDEX(TAX_MODES!$B:$B,MATCH($AM96,TAX_MODES!$A:$A,0)))</f>
        <v/>
      </c>
    </row>
    <row r="97" ht="14.25" customHeight="1">
      <c r="A97" s="31"/>
      <c r="B97" s="31"/>
      <c r="C97" s="31"/>
      <c r="D97" s="32" t="str">
        <f>IF($C97="","",SUMIFS(SITE_COEFFS!$C:$C,SITE_COEFFS!$A:$A,"SoilWorkability",SITE_COEFFS!$B:$B,$C97))</f>
        <v/>
      </c>
      <c r="E97" s="31"/>
      <c r="F97" s="32" t="str">
        <f>IF($E97="","",SUMIFS(SITE_COEFFS!$C:$C,SITE_COEFFS!$A:$A,"SoilMoisture",SITE_COEFFS!$B:$B,$E97))</f>
        <v/>
      </c>
      <c r="G97" s="31"/>
      <c r="H97" s="32" t="str">
        <f>IF($G97="","",SUMIFS(SITE_COEFFS!$C:$C,SITE_COEFFS!$A:$A,"DebrisLevel",SITE_COEFFS!$B:$B,$G97))</f>
        <v/>
      </c>
      <c r="I97" s="31"/>
      <c r="J97" s="32" t="str">
        <f>IF($I97="","",SUMIFS(SITE_COEFFS!$C:$C,SITE_COEFFS!$A:$A,"SlopeClass",SITE_COEFFS!$B:$B,$I97))</f>
        <v/>
      </c>
      <c r="K97" s="31"/>
      <c r="L97" s="32" t="str">
        <f>IF($K97="","",SUMIFS(SITE_COEFFS!$C:$C,SITE_COEFFS!$A:$A,"SurfaceUnevenness",SITE_COEFFS!$B:$B,$K97))</f>
        <v/>
      </c>
      <c r="M97" s="31"/>
      <c r="N97" s="32" t="str">
        <f>IF($M97="","",SUMIFS(SITE_COEFFS!$C:$C,SITE_COEFFS!$A:$A,"AccessClass",SITE_COEFFS!$B:$B,$M97))</f>
        <v/>
      </c>
      <c r="O97" s="31"/>
      <c r="P97" s="32" t="str">
        <f>IF($O97="","",SUMIFS(SITE_COEFFS!$C:$C,SITE_COEFFS!$A:$A,"TurnSpace",SITE_COEFFS!$B:$B,$O97))</f>
        <v/>
      </c>
      <c r="Q97" s="31"/>
      <c r="R97" s="32" t="str">
        <f>IF($Q97="","",SUMIFS(SITE_COEFFS!$C:$C,SITE_COEFFS!$A:$A,"ProximityToBuildings",SITE_COEFFS!$B:$B,$Q97))</f>
        <v/>
      </c>
      <c r="S97" s="31"/>
      <c r="T97" s="32" t="str">
        <f>IF($S97="","",SUMIFS(SITE_COEFFS!$C:$C,SITE_COEFFS!$A:$A,"MachineryAllowed",SITE_COEFFS!$B:$B,$S97))</f>
        <v/>
      </c>
      <c r="U97" s="31"/>
      <c r="V97" s="31"/>
      <c r="W97" s="32" t="str">
        <f>IF($V97="","",SUMIFS(SITE_COEFFS!$C:$C,SITE_COEFFS!$A:$A,"GeometryComplexity",SITE_COEFFS!$B:$B,$V97))</f>
        <v/>
      </c>
      <c r="X97" s="31"/>
      <c r="Y97" s="31" t="str">
        <f>IF($X97="","",SUMIFS(TARIFF_PROFILES!$D:$D,TARIFF_PROFILES!$A:$A,$X97))</f>
        <v/>
      </c>
      <c r="Z97" s="31" t="str">
        <f>IF($X97="","",SUMIFS(TARIFF_PROFILES!$E:$E,TARIFF_PROFILES!$A:$A,$X97))</f>
        <v/>
      </c>
      <c r="AA97" s="31" t="str">
        <f>IF($X97="","",SUMIFS(TARIFF_PROFILES!$F:$F,TARIFF_PROFILES!$A:$A,$X97))</f>
        <v/>
      </c>
      <c r="AB97" s="31" t="str">
        <f>IF($X97="","",SUMIFS(TARIFF_PROFILES!$G:$G,TARIFF_PROFILES!$A:$A,$X97))</f>
        <v/>
      </c>
      <c r="AC97" s="31" t="str">
        <f>IF($X97="","",SUMIFS(TARIFF_PROFILES!$H:$H,TARIFF_PROFILES!$A:$A,$X97))</f>
        <v/>
      </c>
      <c r="AD97" s="31" t="str">
        <f t="array" ref="AD97">IF($X97="","",INDEX(TARIFF_PROFILES!$J:$J,MATCH($X97,TARIFF_PROFILES!$A:$A,0)))</f>
        <v/>
      </c>
      <c r="AE97" s="31" t="str">
        <f t="array" ref="AE97">IF($X97="","",INDEX(TARIFF_PROFILES!$K:$K,MATCH($X97,TARIFF_PROFILES!$A:$A,0)))</f>
        <v/>
      </c>
      <c r="AG97" s="8"/>
      <c r="AH97" s="8" t="str">
        <f>IF($AG97="","",SUMIFS(OPERATING_COEFFS!$C:$C,OPERATING_COEFFS!$A:$A,"DistanceClass",OPERATING_COEFFS!$B:$B,$AG97))</f>
        <v/>
      </c>
      <c r="AI97" s="8"/>
      <c r="AJ97" s="8" t="str">
        <f>IF($AI97="","",SUMIFS(OPERATING_COEFFS!$C:$C,OPERATING_COEFFS!$A:$A,"SeasonClass",OPERATING_COEFFS!$B:$B,$AI97))</f>
        <v/>
      </c>
      <c r="AK97" s="8"/>
      <c r="AL97" s="8" t="str">
        <f>IF($AK97="","",SUMIFS(OPERATING_COEFFS!$C:$C,OPERATING_COEFFS!$A:$A,"UrgencyClass",OPERATING_COEFFS!$B:$B,$AK97))</f>
        <v/>
      </c>
      <c r="AM97" s="8"/>
      <c r="AN97" s="8" t="str">
        <f t="array" ref="AN97">IF($AM97="","",INDEX(TAX_MODES!$B:$B,MATCH($AM97,TAX_MODES!$A:$A,0)))</f>
        <v/>
      </c>
    </row>
    <row r="98" ht="14.25" customHeight="1">
      <c r="A98" s="31"/>
      <c r="B98" s="31"/>
      <c r="C98" s="31"/>
      <c r="D98" s="32" t="str">
        <f>IF($C98="","",SUMIFS(SITE_COEFFS!$C:$C,SITE_COEFFS!$A:$A,"SoilWorkability",SITE_COEFFS!$B:$B,$C98))</f>
        <v/>
      </c>
      <c r="E98" s="31"/>
      <c r="F98" s="32" t="str">
        <f>IF($E98="","",SUMIFS(SITE_COEFFS!$C:$C,SITE_COEFFS!$A:$A,"SoilMoisture",SITE_COEFFS!$B:$B,$E98))</f>
        <v/>
      </c>
      <c r="G98" s="31"/>
      <c r="H98" s="32" t="str">
        <f>IF($G98="","",SUMIFS(SITE_COEFFS!$C:$C,SITE_COEFFS!$A:$A,"DebrisLevel",SITE_COEFFS!$B:$B,$G98))</f>
        <v/>
      </c>
      <c r="I98" s="31"/>
      <c r="J98" s="32" t="str">
        <f>IF($I98="","",SUMIFS(SITE_COEFFS!$C:$C,SITE_COEFFS!$A:$A,"SlopeClass",SITE_COEFFS!$B:$B,$I98))</f>
        <v/>
      </c>
      <c r="K98" s="31"/>
      <c r="L98" s="32" t="str">
        <f>IF($K98="","",SUMIFS(SITE_COEFFS!$C:$C,SITE_COEFFS!$A:$A,"SurfaceUnevenness",SITE_COEFFS!$B:$B,$K98))</f>
        <v/>
      </c>
      <c r="M98" s="31"/>
      <c r="N98" s="32" t="str">
        <f>IF($M98="","",SUMIFS(SITE_COEFFS!$C:$C,SITE_COEFFS!$A:$A,"AccessClass",SITE_COEFFS!$B:$B,$M98))</f>
        <v/>
      </c>
      <c r="O98" s="31"/>
      <c r="P98" s="32" t="str">
        <f>IF($O98="","",SUMIFS(SITE_COEFFS!$C:$C,SITE_COEFFS!$A:$A,"TurnSpace",SITE_COEFFS!$B:$B,$O98))</f>
        <v/>
      </c>
      <c r="Q98" s="31"/>
      <c r="R98" s="32" t="str">
        <f>IF($Q98="","",SUMIFS(SITE_COEFFS!$C:$C,SITE_COEFFS!$A:$A,"ProximityToBuildings",SITE_COEFFS!$B:$B,$Q98))</f>
        <v/>
      </c>
      <c r="S98" s="31"/>
      <c r="T98" s="32" t="str">
        <f>IF($S98="","",SUMIFS(SITE_COEFFS!$C:$C,SITE_COEFFS!$A:$A,"MachineryAllowed",SITE_COEFFS!$B:$B,$S98))</f>
        <v/>
      </c>
      <c r="U98" s="31"/>
      <c r="V98" s="31"/>
      <c r="W98" s="32" t="str">
        <f>IF($V98="","",SUMIFS(SITE_COEFFS!$C:$C,SITE_COEFFS!$A:$A,"GeometryComplexity",SITE_COEFFS!$B:$B,$V98))</f>
        <v/>
      </c>
      <c r="X98" s="31"/>
      <c r="Y98" s="31" t="str">
        <f>IF($X98="","",SUMIFS(TARIFF_PROFILES!$D:$D,TARIFF_PROFILES!$A:$A,$X98))</f>
        <v/>
      </c>
      <c r="Z98" s="31" t="str">
        <f>IF($X98="","",SUMIFS(TARIFF_PROFILES!$E:$E,TARIFF_PROFILES!$A:$A,$X98))</f>
        <v/>
      </c>
      <c r="AA98" s="31" t="str">
        <f>IF($X98="","",SUMIFS(TARIFF_PROFILES!$F:$F,TARIFF_PROFILES!$A:$A,$X98))</f>
        <v/>
      </c>
      <c r="AB98" s="31" t="str">
        <f>IF($X98="","",SUMIFS(TARIFF_PROFILES!$G:$G,TARIFF_PROFILES!$A:$A,$X98))</f>
        <v/>
      </c>
      <c r="AC98" s="31" t="str">
        <f>IF($X98="","",SUMIFS(TARIFF_PROFILES!$H:$H,TARIFF_PROFILES!$A:$A,$X98))</f>
        <v/>
      </c>
      <c r="AD98" s="31" t="str">
        <f t="array" ref="AD98">IF($X98="","",INDEX(TARIFF_PROFILES!$J:$J,MATCH($X98,TARIFF_PROFILES!$A:$A,0)))</f>
        <v/>
      </c>
      <c r="AE98" s="31" t="str">
        <f t="array" ref="AE98">IF($X98="","",INDEX(TARIFF_PROFILES!$K:$K,MATCH($X98,TARIFF_PROFILES!$A:$A,0)))</f>
        <v/>
      </c>
      <c r="AG98" s="8"/>
      <c r="AH98" s="8" t="str">
        <f>IF($AG98="","",SUMIFS(OPERATING_COEFFS!$C:$C,OPERATING_COEFFS!$A:$A,"DistanceClass",OPERATING_COEFFS!$B:$B,$AG98))</f>
        <v/>
      </c>
      <c r="AI98" s="8"/>
      <c r="AJ98" s="8" t="str">
        <f>IF($AI98="","",SUMIFS(OPERATING_COEFFS!$C:$C,OPERATING_COEFFS!$A:$A,"SeasonClass",OPERATING_COEFFS!$B:$B,$AI98))</f>
        <v/>
      </c>
      <c r="AK98" s="8"/>
      <c r="AL98" s="8" t="str">
        <f>IF($AK98="","",SUMIFS(OPERATING_COEFFS!$C:$C,OPERATING_COEFFS!$A:$A,"UrgencyClass",OPERATING_COEFFS!$B:$B,$AK98))</f>
        <v/>
      </c>
      <c r="AM98" s="8"/>
      <c r="AN98" s="8" t="str">
        <f t="array" ref="AN98">IF($AM98="","",INDEX(TAX_MODES!$B:$B,MATCH($AM98,TAX_MODES!$A:$A,0)))</f>
        <v/>
      </c>
    </row>
    <row r="99" ht="14.25" customHeight="1">
      <c r="A99" s="31"/>
      <c r="B99" s="31"/>
      <c r="C99" s="31"/>
      <c r="D99" s="32" t="str">
        <f>IF($C99="","",SUMIFS(SITE_COEFFS!$C:$C,SITE_COEFFS!$A:$A,"SoilWorkability",SITE_COEFFS!$B:$B,$C99))</f>
        <v/>
      </c>
      <c r="E99" s="31"/>
      <c r="F99" s="32" t="str">
        <f>IF($E99="","",SUMIFS(SITE_COEFFS!$C:$C,SITE_COEFFS!$A:$A,"SoilMoisture",SITE_COEFFS!$B:$B,$E99))</f>
        <v/>
      </c>
      <c r="G99" s="31"/>
      <c r="H99" s="32" t="str">
        <f>IF($G99="","",SUMIFS(SITE_COEFFS!$C:$C,SITE_COEFFS!$A:$A,"DebrisLevel",SITE_COEFFS!$B:$B,$G99))</f>
        <v/>
      </c>
      <c r="I99" s="31"/>
      <c r="J99" s="32" t="str">
        <f>IF($I99="","",SUMIFS(SITE_COEFFS!$C:$C,SITE_COEFFS!$A:$A,"SlopeClass",SITE_COEFFS!$B:$B,$I99))</f>
        <v/>
      </c>
      <c r="K99" s="31"/>
      <c r="L99" s="32" t="str">
        <f>IF($K99="","",SUMIFS(SITE_COEFFS!$C:$C,SITE_COEFFS!$A:$A,"SurfaceUnevenness",SITE_COEFFS!$B:$B,$K99))</f>
        <v/>
      </c>
      <c r="M99" s="31"/>
      <c r="N99" s="32" t="str">
        <f>IF($M99="","",SUMIFS(SITE_COEFFS!$C:$C,SITE_COEFFS!$A:$A,"AccessClass",SITE_COEFFS!$B:$B,$M99))</f>
        <v/>
      </c>
      <c r="O99" s="31"/>
      <c r="P99" s="32" t="str">
        <f>IF($O99="","",SUMIFS(SITE_COEFFS!$C:$C,SITE_COEFFS!$A:$A,"TurnSpace",SITE_COEFFS!$B:$B,$O99))</f>
        <v/>
      </c>
      <c r="Q99" s="31"/>
      <c r="R99" s="32" t="str">
        <f>IF($Q99="","",SUMIFS(SITE_COEFFS!$C:$C,SITE_COEFFS!$A:$A,"ProximityToBuildings",SITE_COEFFS!$B:$B,$Q99))</f>
        <v/>
      </c>
      <c r="S99" s="31"/>
      <c r="T99" s="32" t="str">
        <f>IF($S99="","",SUMIFS(SITE_COEFFS!$C:$C,SITE_COEFFS!$A:$A,"MachineryAllowed",SITE_COEFFS!$B:$B,$S99))</f>
        <v/>
      </c>
      <c r="U99" s="31"/>
      <c r="V99" s="31"/>
      <c r="W99" s="32" t="str">
        <f>IF($V99="","",SUMIFS(SITE_COEFFS!$C:$C,SITE_COEFFS!$A:$A,"GeometryComplexity",SITE_COEFFS!$B:$B,$V99))</f>
        <v/>
      </c>
      <c r="X99" s="31"/>
      <c r="Y99" s="31" t="str">
        <f>IF($X99="","",SUMIFS(TARIFF_PROFILES!$D:$D,TARIFF_PROFILES!$A:$A,$X99))</f>
        <v/>
      </c>
      <c r="Z99" s="31" t="str">
        <f>IF($X99="","",SUMIFS(TARIFF_PROFILES!$E:$E,TARIFF_PROFILES!$A:$A,$X99))</f>
        <v/>
      </c>
      <c r="AA99" s="31" t="str">
        <f>IF($X99="","",SUMIFS(TARIFF_PROFILES!$F:$F,TARIFF_PROFILES!$A:$A,$X99))</f>
        <v/>
      </c>
      <c r="AB99" s="31" t="str">
        <f>IF($X99="","",SUMIFS(TARIFF_PROFILES!$G:$G,TARIFF_PROFILES!$A:$A,$X99))</f>
        <v/>
      </c>
      <c r="AC99" s="31" t="str">
        <f>IF($X99="","",SUMIFS(TARIFF_PROFILES!$H:$H,TARIFF_PROFILES!$A:$A,$X99))</f>
        <v/>
      </c>
      <c r="AD99" s="31" t="str">
        <f t="array" ref="AD99">IF($X99="","",INDEX(TARIFF_PROFILES!$J:$J,MATCH($X99,TARIFF_PROFILES!$A:$A,0)))</f>
        <v/>
      </c>
      <c r="AE99" s="31" t="str">
        <f t="array" ref="AE99">IF($X99="","",INDEX(TARIFF_PROFILES!$K:$K,MATCH($X99,TARIFF_PROFILES!$A:$A,0)))</f>
        <v/>
      </c>
      <c r="AG99" s="8"/>
      <c r="AH99" s="8" t="str">
        <f>IF($AG99="","",SUMIFS(OPERATING_COEFFS!$C:$C,OPERATING_COEFFS!$A:$A,"DistanceClass",OPERATING_COEFFS!$B:$B,$AG99))</f>
        <v/>
      </c>
      <c r="AI99" s="8"/>
      <c r="AJ99" s="8" t="str">
        <f>IF($AI99="","",SUMIFS(OPERATING_COEFFS!$C:$C,OPERATING_COEFFS!$A:$A,"SeasonClass",OPERATING_COEFFS!$B:$B,$AI99))</f>
        <v/>
      </c>
      <c r="AK99" s="8"/>
      <c r="AL99" s="8" t="str">
        <f>IF($AK99="","",SUMIFS(OPERATING_COEFFS!$C:$C,OPERATING_COEFFS!$A:$A,"UrgencyClass",OPERATING_COEFFS!$B:$B,$AK99))</f>
        <v/>
      </c>
      <c r="AM99" s="8"/>
      <c r="AN99" s="8" t="str">
        <f t="array" ref="AN99">IF($AM99="","",INDEX(TAX_MODES!$B:$B,MATCH($AM99,TAX_MODES!$A:$A,0)))</f>
        <v/>
      </c>
    </row>
    <row r="100" ht="14.25" customHeight="1">
      <c r="A100" s="31"/>
      <c r="B100" s="31"/>
      <c r="C100" s="31"/>
      <c r="D100" s="32" t="str">
        <f>IF($C100="","",SUMIFS(SITE_COEFFS!$C:$C,SITE_COEFFS!$A:$A,"SoilWorkability",SITE_COEFFS!$B:$B,$C100))</f>
        <v/>
      </c>
      <c r="E100" s="31"/>
      <c r="F100" s="32" t="str">
        <f>IF($E100="","",SUMIFS(SITE_COEFFS!$C:$C,SITE_COEFFS!$A:$A,"SoilMoisture",SITE_COEFFS!$B:$B,$E100))</f>
        <v/>
      </c>
      <c r="G100" s="31"/>
      <c r="H100" s="32" t="str">
        <f>IF($G100="","",SUMIFS(SITE_COEFFS!$C:$C,SITE_COEFFS!$A:$A,"DebrisLevel",SITE_COEFFS!$B:$B,$G100))</f>
        <v/>
      </c>
      <c r="I100" s="31"/>
      <c r="J100" s="32" t="str">
        <f>IF($I100="","",SUMIFS(SITE_COEFFS!$C:$C,SITE_COEFFS!$A:$A,"SlopeClass",SITE_COEFFS!$B:$B,$I100))</f>
        <v/>
      </c>
      <c r="K100" s="31"/>
      <c r="L100" s="32" t="str">
        <f>IF($K100="","",SUMIFS(SITE_COEFFS!$C:$C,SITE_COEFFS!$A:$A,"SurfaceUnevenness",SITE_COEFFS!$B:$B,$K100))</f>
        <v/>
      </c>
      <c r="M100" s="31"/>
      <c r="N100" s="32" t="str">
        <f>IF($M100="","",SUMIFS(SITE_COEFFS!$C:$C,SITE_COEFFS!$A:$A,"AccessClass",SITE_COEFFS!$B:$B,$M100))</f>
        <v/>
      </c>
      <c r="O100" s="31"/>
      <c r="P100" s="32" t="str">
        <f>IF($O100="","",SUMIFS(SITE_COEFFS!$C:$C,SITE_COEFFS!$A:$A,"TurnSpace",SITE_COEFFS!$B:$B,$O100))</f>
        <v/>
      </c>
      <c r="Q100" s="31"/>
      <c r="R100" s="32" t="str">
        <f>IF($Q100="","",SUMIFS(SITE_COEFFS!$C:$C,SITE_COEFFS!$A:$A,"ProximityToBuildings",SITE_COEFFS!$B:$B,$Q100))</f>
        <v/>
      </c>
      <c r="S100" s="31"/>
      <c r="T100" s="32" t="str">
        <f>IF($S100="","",SUMIFS(SITE_COEFFS!$C:$C,SITE_COEFFS!$A:$A,"MachineryAllowed",SITE_COEFFS!$B:$B,$S100))</f>
        <v/>
      </c>
      <c r="U100" s="31"/>
      <c r="V100" s="31"/>
      <c r="W100" s="32" t="str">
        <f>IF($V100="","",SUMIFS(SITE_COEFFS!$C:$C,SITE_COEFFS!$A:$A,"GeometryComplexity",SITE_COEFFS!$B:$B,$V100))</f>
        <v/>
      </c>
      <c r="X100" s="31"/>
      <c r="Y100" s="31" t="str">
        <f>IF($X100="","",SUMIFS(TARIFF_PROFILES!$D:$D,TARIFF_PROFILES!$A:$A,$X100))</f>
        <v/>
      </c>
      <c r="Z100" s="31" t="str">
        <f>IF($X100="","",SUMIFS(TARIFF_PROFILES!$E:$E,TARIFF_PROFILES!$A:$A,$X100))</f>
        <v/>
      </c>
      <c r="AA100" s="31" t="str">
        <f>IF($X100="","",SUMIFS(TARIFF_PROFILES!$F:$F,TARIFF_PROFILES!$A:$A,$X100))</f>
        <v/>
      </c>
      <c r="AB100" s="31" t="str">
        <f>IF($X100="","",SUMIFS(TARIFF_PROFILES!$G:$G,TARIFF_PROFILES!$A:$A,$X100))</f>
        <v/>
      </c>
      <c r="AC100" s="31" t="str">
        <f>IF($X100="","",SUMIFS(TARIFF_PROFILES!$H:$H,TARIFF_PROFILES!$A:$A,$X100))</f>
        <v/>
      </c>
      <c r="AD100" s="31" t="str">
        <f t="array" ref="AD100">IF($X100="","",INDEX(TARIFF_PROFILES!$J:$J,MATCH($X100,TARIFF_PROFILES!$A:$A,0)))</f>
        <v/>
      </c>
      <c r="AE100" s="31" t="str">
        <f t="array" ref="AE100">IF($X100="","",INDEX(TARIFF_PROFILES!$K:$K,MATCH($X100,TARIFF_PROFILES!$A:$A,0)))</f>
        <v/>
      </c>
      <c r="AG100" s="8"/>
      <c r="AH100" s="8" t="str">
        <f>IF($AG100="","",SUMIFS(OPERATING_COEFFS!$C:$C,OPERATING_COEFFS!$A:$A,"DistanceClass",OPERATING_COEFFS!$B:$B,$AG100))</f>
        <v/>
      </c>
      <c r="AI100" s="8"/>
      <c r="AJ100" s="8" t="str">
        <f>IF($AI100="","",SUMIFS(OPERATING_COEFFS!$C:$C,OPERATING_COEFFS!$A:$A,"SeasonClass",OPERATING_COEFFS!$B:$B,$AI100))</f>
        <v/>
      </c>
      <c r="AK100" s="8"/>
      <c r="AL100" s="8" t="str">
        <f>IF($AK100="","",SUMIFS(OPERATING_COEFFS!$C:$C,OPERATING_COEFFS!$A:$A,"UrgencyClass",OPERATING_COEFFS!$B:$B,$AK100))</f>
        <v/>
      </c>
      <c r="AM100" s="8"/>
      <c r="AN100" s="8" t="str">
        <f t="array" ref="AN100">IF($AM100="","",INDEX(TAX_MODES!$B:$B,MATCH($AM100,TAX_MODES!$A:$A,0)))</f>
        <v/>
      </c>
    </row>
    <row r="101" ht="14.25" customHeight="1">
      <c r="A101" s="31"/>
      <c r="B101" s="31"/>
      <c r="C101" s="31"/>
      <c r="D101" s="32" t="str">
        <f>IF($C101="","",SUMIFS(SITE_COEFFS!$C:$C,SITE_COEFFS!$A:$A,"SoilWorkability",SITE_COEFFS!$B:$B,$C101))</f>
        <v/>
      </c>
      <c r="E101" s="31"/>
      <c r="F101" s="32" t="str">
        <f>IF($E101="","",SUMIFS(SITE_COEFFS!$C:$C,SITE_COEFFS!$A:$A,"SoilMoisture",SITE_COEFFS!$B:$B,$E101))</f>
        <v/>
      </c>
      <c r="G101" s="31"/>
      <c r="H101" s="32" t="str">
        <f>IF($G101="","",SUMIFS(SITE_COEFFS!$C:$C,SITE_COEFFS!$A:$A,"DebrisLevel",SITE_COEFFS!$B:$B,$G101))</f>
        <v/>
      </c>
      <c r="I101" s="31"/>
      <c r="J101" s="32" t="str">
        <f>IF($I101="","",SUMIFS(SITE_COEFFS!$C:$C,SITE_COEFFS!$A:$A,"SlopeClass",SITE_COEFFS!$B:$B,$I101))</f>
        <v/>
      </c>
      <c r="K101" s="31"/>
      <c r="L101" s="32" t="str">
        <f>IF($K101="","",SUMIFS(SITE_COEFFS!$C:$C,SITE_COEFFS!$A:$A,"SurfaceUnevenness",SITE_COEFFS!$B:$B,$K101))</f>
        <v/>
      </c>
      <c r="M101" s="31"/>
      <c r="N101" s="32" t="str">
        <f>IF($M101="","",SUMIFS(SITE_COEFFS!$C:$C,SITE_COEFFS!$A:$A,"AccessClass",SITE_COEFFS!$B:$B,$M101))</f>
        <v/>
      </c>
      <c r="O101" s="31"/>
      <c r="P101" s="32" t="str">
        <f>IF($O101="","",SUMIFS(SITE_COEFFS!$C:$C,SITE_COEFFS!$A:$A,"TurnSpace",SITE_COEFFS!$B:$B,$O101))</f>
        <v/>
      </c>
      <c r="Q101" s="31"/>
      <c r="R101" s="32" t="str">
        <f>IF($Q101="","",SUMIFS(SITE_COEFFS!$C:$C,SITE_COEFFS!$A:$A,"ProximityToBuildings",SITE_COEFFS!$B:$B,$Q101))</f>
        <v/>
      </c>
      <c r="S101" s="31"/>
      <c r="T101" s="32" t="str">
        <f>IF($S101="","",SUMIFS(SITE_COEFFS!$C:$C,SITE_COEFFS!$A:$A,"MachineryAllowed",SITE_COEFFS!$B:$B,$S101))</f>
        <v/>
      </c>
      <c r="U101" s="31"/>
      <c r="V101" s="31"/>
      <c r="W101" s="32" t="str">
        <f>IF($V101="","",SUMIFS(SITE_COEFFS!$C:$C,SITE_COEFFS!$A:$A,"GeometryComplexity",SITE_COEFFS!$B:$B,$V101))</f>
        <v/>
      </c>
      <c r="X101" s="31"/>
      <c r="Y101" s="31" t="str">
        <f>IF($X101="","",SUMIFS(TARIFF_PROFILES!$D:$D,TARIFF_PROFILES!$A:$A,$X101))</f>
        <v/>
      </c>
      <c r="Z101" s="31" t="str">
        <f>IF($X101="","",SUMIFS(TARIFF_PROFILES!$E:$E,TARIFF_PROFILES!$A:$A,$X101))</f>
        <v/>
      </c>
      <c r="AA101" s="31" t="str">
        <f>IF($X101="","",SUMIFS(TARIFF_PROFILES!$F:$F,TARIFF_PROFILES!$A:$A,$X101))</f>
        <v/>
      </c>
      <c r="AB101" s="31" t="str">
        <f>IF($X101="","",SUMIFS(TARIFF_PROFILES!$G:$G,TARIFF_PROFILES!$A:$A,$X101))</f>
        <v/>
      </c>
      <c r="AC101" s="31" t="str">
        <f>IF($X101="","",SUMIFS(TARIFF_PROFILES!$H:$H,TARIFF_PROFILES!$A:$A,$X101))</f>
        <v/>
      </c>
      <c r="AD101" s="31" t="str">
        <f t="array" ref="AD101">IF($X101="","",INDEX(TARIFF_PROFILES!$J:$J,MATCH($X101,TARIFF_PROFILES!$A:$A,0)))</f>
        <v/>
      </c>
      <c r="AE101" s="31" t="str">
        <f t="array" ref="AE101">IF($X101="","",INDEX(TARIFF_PROFILES!$K:$K,MATCH($X101,TARIFF_PROFILES!$A:$A,0)))</f>
        <v/>
      </c>
      <c r="AG101" s="8"/>
      <c r="AH101" s="8" t="str">
        <f>IF($AG101="","",SUMIFS(OPERATING_COEFFS!$C:$C,OPERATING_COEFFS!$A:$A,"DistanceClass",OPERATING_COEFFS!$B:$B,$AG101))</f>
        <v/>
      </c>
      <c r="AI101" s="8"/>
      <c r="AJ101" s="8" t="str">
        <f>IF($AI101="","",SUMIFS(OPERATING_COEFFS!$C:$C,OPERATING_COEFFS!$A:$A,"SeasonClass",OPERATING_COEFFS!$B:$B,$AI101))</f>
        <v/>
      </c>
      <c r="AK101" s="8"/>
      <c r="AL101" s="8" t="str">
        <f>IF($AK101="","",SUMIFS(OPERATING_COEFFS!$C:$C,OPERATING_COEFFS!$A:$A,"UrgencyClass",OPERATING_COEFFS!$B:$B,$AK101))</f>
        <v/>
      </c>
      <c r="AM101" s="8"/>
      <c r="AN101" s="8" t="str">
        <f t="array" ref="AN101">IF($AM101="","",INDEX(TAX_MODES!$B:$B,MATCH($AM101,TAX_MODES!$A:$A,0)))</f>
        <v/>
      </c>
    </row>
    <row r="102" ht="14.25" customHeight="1">
      <c r="A102" s="31"/>
      <c r="B102" s="31"/>
      <c r="C102" s="31"/>
      <c r="D102" s="32" t="str">
        <f>IF($C102="","",SUMIFS(SITE_COEFFS!$C:$C,SITE_COEFFS!$A:$A,"SoilWorkability",SITE_COEFFS!$B:$B,$C102))</f>
        <v/>
      </c>
      <c r="E102" s="31"/>
      <c r="F102" s="32" t="str">
        <f>IF($E102="","",SUMIFS(SITE_COEFFS!$C:$C,SITE_COEFFS!$A:$A,"SoilMoisture",SITE_COEFFS!$B:$B,$E102))</f>
        <v/>
      </c>
      <c r="G102" s="31"/>
      <c r="H102" s="32" t="str">
        <f>IF($G102="","",SUMIFS(SITE_COEFFS!$C:$C,SITE_COEFFS!$A:$A,"DebrisLevel",SITE_COEFFS!$B:$B,$G102))</f>
        <v/>
      </c>
      <c r="I102" s="31"/>
      <c r="J102" s="32" t="str">
        <f>IF($I102="","",SUMIFS(SITE_COEFFS!$C:$C,SITE_COEFFS!$A:$A,"SlopeClass",SITE_COEFFS!$B:$B,$I102))</f>
        <v/>
      </c>
      <c r="K102" s="31"/>
      <c r="L102" s="32" t="str">
        <f>IF($K102="","",SUMIFS(SITE_COEFFS!$C:$C,SITE_COEFFS!$A:$A,"SurfaceUnevenness",SITE_COEFFS!$B:$B,$K102))</f>
        <v/>
      </c>
      <c r="M102" s="31"/>
      <c r="N102" s="32" t="str">
        <f>IF($M102="","",SUMIFS(SITE_COEFFS!$C:$C,SITE_COEFFS!$A:$A,"AccessClass",SITE_COEFFS!$B:$B,$M102))</f>
        <v/>
      </c>
      <c r="O102" s="31"/>
      <c r="P102" s="32" t="str">
        <f>IF($O102="","",SUMIFS(SITE_COEFFS!$C:$C,SITE_COEFFS!$A:$A,"TurnSpace",SITE_COEFFS!$B:$B,$O102))</f>
        <v/>
      </c>
      <c r="Q102" s="31"/>
      <c r="R102" s="32" t="str">
        <f>IF($Q102="","",SUMIFS(SITE_COEFFS!$C:$C,SITE_COEFFS!$A:$A,"ProximityToBuildings",SITE_COEFFS!$B:$B,$Q102))</f>
        <v/>
      </c>
      <c r="S102" s="31"/>
      <c r="T102" s="32" t="str">
        <f>IF($S102="","",SUMIFS(SITE_COEFFS!$C:$C,SITE_COEFFS!$A:$A,"MachineryAllowed",SITE_COEFFS!$B:$B,$S102))</f>
        <v/>
      </c>
      <c r="U102" s="31"/>
      <c r="V102" s="31"/>
      <c r="W102" s="32" t="str">
        <f>IF($V102="","",SUMIFS(SITE_COEFFS!$C:$C,SITE_COEFFS!$A:$A,"GeometryComplexity",SITE_COEFFS!$B:$B,$V102))</f>
        <v/>
      </c>
      <c r="X102" s="31"/>
      <c r="Y102" s="31" t="str">
        <f>IF($X102="","",SUMIFS(TARIFF_PROFILES!$D:$D,TARIFF_PROFILES!$A:$A,$X102))</f>
        <v/>
      </c>
      <c r="Z102" s="31" t="str">
        <f>IF($X102="","",SUMIFS(TARIFF_PROFILES!$E:$E,TARIFF_PROFILES!$A:$A,$X102))</f>
        <v/>
      </c>
      <c r="AA102" s="31" t="str">
        <f>IF($X102="","",SUMIFS(TARIFF_PROFILES!$F:$F,TARIFF_PROFILES!$A:$A,$X102))</f>
        <v/>
      </c>
      <c r="AB102" s="31" t="str">
        <f>IF($X102="","",SUMIFS(TARIFF_PROFILES!$G:$G,TARIFF_PROFILES!$A:$A,$X102))</f>
        <v/>
      </c>
      <c r="AC102" s="31" t="str">
        <f>IF($X102="","",SUMIFS(TARIFF_PROFILES!$H:$H,TARIFF_PROFILES!$A:$A,$X102))</f>
        <v/>
      </c>
      <c r="AD102" s="31" t="str">
        <f t="array" ref="AD102">IF($X102="","",INDEX(TARIFF_PROFILES!$J:$J,MATCH($X102,TARIFF_PROFILES!$A:$A,0)))</f>
        <v/>
      </c>
      <c r="AE102" s="31" t="str">
        <f t="array" ref="AE102">IF($X102="","",INDEX(TARIFF_PROFILES!$K:$K,MATCH($X102,TARIFF_PROFILES!$A:$A,0)))</f>
        <v/>
      </c>
      <c r="AG102" s="8"/>
      <c r="AH102" s="8" t="str">
        <f>IF($AG102="","",SUMIFS(OPERATING_COEFFS!$C:$C,OPERATING_COEFFS!$A:$A,"DistanceClass",OPERATING_COEFFS!$B:$B,$AG102))</f>
        <v/>
      </c>
      <c r="AI102" s="8"/>
      <c r="AJ102" s="8" t="str">
        <f>IF($AI102="","",SUMIFS(OPERATING_COEFFS!$C:$C,OPERATING_COEFFS!$A:$A,"SeasonClass",OPERATING_COEFFS!$B:$B,$AI102))</f>
        <v/>
      </c>
      <c r="AK102" s="8"/>
      <c r="AL102" s="8" t="str">
        <f>IF($AK102="","",SUMIFS(OPERATING_COEFFS!$C:$C,OPERATING_COEFFS!$A:$A,"UrgencyClass",OPERATING_COEFFS!$B:$B,$AK102))</f>
        <v/>
      </c>
      <c r="AM102" s="8"/>
      <c r="AN102" s="8" t="str">
        <f t="array" ref="AN102">IF($AM102="","",INDEX(TAX_MODES!$B:$B,MATCH($AM102,TAX_MODES!$A:$A,0)))</f>
        <v/>
      </c>
    </row>
    <row r="103" ht="14.25" customHeight="1">
      <c r="A103" s="31"/>
      <c r="B103" s="31"/>
      <c r="C103" s="31"/>
      <c r="D103" s="32" t="str">
        <f>IF($C103="","",SUMIFS(SITE_COEFFS!$C:$C,SITE_COEFFS!$A:$A,"SoilWorkability",SITE_COEFFS!$B:$B,$C103))</f>
        <v/>
      </c>
      <c r="E103" s="31"/>
      <c r="F103" s="32" t="str">
        <f>IF($E103="","",SUMIFS(SITE_COEFFS!$C:$C,SITE_COEFFS!$A:$A,"SoilMoisture",SITE_COEFFS!$B:$B,$E103))</f>
        <v/>
      </c>
      <c r="G103" s="31"/>
      <c r="H103" s="32" t="str">
        <f>IF($G103="","",SUMIFS(SITE_COEFFS!$C:$C,SITE_COEFFS!$A:$A,"DebrisLevel",SITE_COEFFS!$B:$B,$G103))</f>
        <v/>
      </c>
      <c r="I103" s="31"/>
      <c r="J103" s="32" t="str">
        <f>IF($I103="","",SUMIFS(SITE_COEFFS!$C:$C,SITE_COEFFS!$A:$A,"SlopeClass",SITE_COEFFS!$B:$B,$I103))</f>
        <v/>
      </c>
      <c r="K103" s="31"/>
      <c r="L103" s="32" t="str">
        <f>IF($K103="","",SUMIFS(SITE_COEFFS!$C:$C,SITE_COEFFS!$A:$A,"SurfaceUnevenness",SITE_COEFFS!$B:$B,$K103))</f>
        <v/>
      </c>
      <c r="M103" s="31"/>
      <c r="N103" s="32" t="str">
        <f>IF($M103="","",SUMIFS(SITE_COEFFS!$C:$C,SITE_COEFFS!$A:$A,"AccessClass",SITE_COEFFS!$B:$B,$M103))</f>
        <v/>
      </c>
      <c r="O103" s="31"/>
      <c r="P103" s="32" t="str">
        <f>IF($O103="","",SUMIFS(SITE_COEFFS!$C:$C,SITE_COEFFS!$A:$A,"TurnSpace",SITE_COEFFS!$B:$B,$O103))</f>
        <v/>
      </c>
      <c r="Q103" s="31"/>
      <c r="R103" s="32" t="str">
        <f>IF($Q103="","",SUMIFS(SITE_COEFFS!$C:$C,SITE_COEFFS!$A:$A,"ProximityToBuildings",SITE_COEFFS!$B:$B,$Q103))</f>
        <v/>
      </c>
      <c r="S103" s="31"/>
      <c r="T103" s="32" t="str">
        <f>IF($S103="","",SUMIFS(SITE_COEFFS!$C:$C,SITE_COEFFS!$A:$A,"MachineryAllowed",SITE_COEFFS!$B:$B,$S103))</f>
        <v/>
      </c>
      <c r="U103" s="31"/>
      <c r="V103" s="31"/>
      <c r="W103" s="32" t="str">
        <f>IF($V103="","",SUMIFS(SITE_COEFFS!$C:$C,SITE_COEFFS!$A:$A,"GeometryComplexity",SITE_COEFFS!$B:$B,$V103))</f>
        <v/>
      </c>
      <c r="X103" s="31"/>
      <c r="Y103" s="31" t="str">
        <f>IF($X103="","",SUMIFS(TARIFF_PROFILES!$D:$D,TARIFF_PROFILES!$A:$A,$X103))</f>
        <v/>
      </c>
      <c r="Z103" s="31" t="str">
        <f>IF($X103="","",SUMIFS(TARIFF_PROFILES!$E:$E,TARIFF_PROFILES!$A:$A,$X103))</f>
        <v/>
      </c>
      <c r="AA103" s="31" t="str">
        <f>IF($X103="","",SUMIFS(TARIFF_PROFILES!$F:$F,TARIFF_PROFILES!$A:$A,$X103))</f>
        <v/>
      </c>
      <c r="AB103" s="31" t="str">
        <f>IF($X103="","",SUMIFS(TARIFF_PROFILES!$G:$G,TARIFF_PROFILES!$A:$A,$X103))</f>
        <v/>
      </c>
      <c r="AC103" s="31" t="str">
        <f>IF($X103="","",SUMIFS(TARIFF_PROFILES!$H:$H,TARIFF_PROFILES!$A:$A,$X103))</f>
        <v/>
      </c>
      <c r="AD103" s="31" t="str">
        <f t="array" ref="AD103">IF($X103="","",INDEX(TARIFF_PROFILES!$J:$J,MATCH($X103,TARIFF_PROFILES!$A:$A,0)))</f>
        <v/>
      </c>
      <c r="AE103" s="31" t="str">
        <f t="array" ref="AE103">IF($X103="","",INDEX(TARIFF_PROFILES!$K:$K,MATCH($X103,TARIFF_PROFILES!$A:$A,0)))</f>
        <v/>
      </c>
      <c r="AG103" s="8"/>
      <c r="AH103" s="8" t="str">
        <f>IF($AG103="","",SUMIFS(OPERATING_COEFFS!$C:$C,OPERATING_COEFFS!$A:$A,"DistanceClass",OPERATING_COEFFS!$B:$B,$AG103))</f>
        <v/>
      </c>
      <c r="AI103" s="8"/>
      <c r="AJ103" s="8" t="str">
        <f>IF($AI103="","",SUMIFS(OPERATING_COEFFS!$C:$C,OPERATING_COEFFS!$A:$A,"SeasonClass",OPERATING_COEFFS!$B:$B,$AI103))</f>
        <v/>
      </c>
      <c r="AK103" s="8"/>
      <c r="AL103" s="8" t="str">
        <f>IF($AK103="","",SUMIFS(OPERATING_COEFFS!$C:$C,OPERATING_COEFFS!$A:$A,"UrgencyClass",OPERATING_COEFFS!$B:$B,$AK103))</f>
        <v/>
      </c>
      <c r="AM103" s="8"/>
      <c r="AN103" s="8" t="str">
        <f t="array" ref="AN103">IF($AM103="","",INDEX(TAX_MODES!$B:$B,MATCH($AM103,TAX_MODES!$A:$A,0)))</f>
        <v/>
      </c>
    </row>
    <row r="104" ht="14.25" customHeight="1">
      <c r="A104" s="31"/>
      <c r="B104" s="31"/>
      <c r="C104" s="31"/>
      <c r="D104" s="32" t="str">
        <f>IF($C104="","",SUMIFS(SITE_COEFFS!$C:$C,SITE_COEFFS!$A:$A,"SoilWorkability",SITE_COEFFS!$B:$B,$C104))</f>
        <v/>
      </c>
      <c r="E104" s="31"/>
      <c r="F104" s="32" t="str">
        <f>IF($E104="","",SUMIFS(SITE_COEFFS!$C:$C,SITE_COEFFS!$A:$A,"SoilMoisture",SITE_COEFFS!$B:$B,$E104))</f>
        <v/>
      </c>
      <c r="G104" s="31"/>
      <c r="H104" s="32" t="str">
        <f>IF($G104="","",SUMIFS(SITE_COEFFS!$C:$C,SITE_COEFFS!$A:$A,"DebrisLevel",SITE_COEFFS!$B:$B,$G104))</f>
        <v/>
      </c>
      <c r="I104" s="31"/>
      <c r="J104" s="32" t="str">
        <f>IF($I104="","",SUMIFS(SITE_COEFFS!$C:$C,SITE_COEFFS!$A:$A,"SlopeClass",SITE_COEFFS!$B:$B,$I104))</f>
        <v/>
      </c>
      <c r="K104" s="31"/>
      <c r="L104" s="32" t="str">
        <f>IF($K104="","",SUMIFS(SITE_COEFFS!$C:$C,SITE_COEFFS!$A:$A,"SurfaceUnevenness",SITE_COEFFS!$B:$B,$K104))</f>
        <v/>
      </c>
      <c r="M104" s="31"/>
      <c r="N104" s="32" t="str">
        <f>IF($M104="","",SUMIFS(SITE_COEFFS!$C:$C,SITE_COEFFS!$A:$A,"AccessClass",SITE_COEFFS!$B:$B,$M104))</f>
        <v/>
      </c>
      <c r="O104" s="31"/>
      <c r="P104" s="32" t="str">
        <f>IF($O104="","",SUMIFS(SITE_COEFFS!$C:$C,SITE_COEFFS!$A:$A,"TurnSpace",SITE_COEFFS!$B:$B,$O104))</f>
        <v/>
      </c>
      <c r="Q104" s="31"/>
      <c r="R104" s="32" t="str">
        <f>IF($Q104="","",SUMIFS(SITE_COEFFS!$C:$C,SITE_COEFFS!$A:$A,"ProximityToBuildings",SITE_COEFFS!$B:$B,$Q104))</f>
        <v/>
      </c>
      <c r="S104" s="31"/>
      <c r="T104" s="32" t="str">
        <f>IF($S104="","",SUMIFS(SITE_COEFFS!$C:$C,SITE_COEFFS!$A:$A,"MachineryAllowed",SITE_COEFFS!$B:$B,$S104))</f>
        <v/>
      </c>
      <c r="U104" s="31"/>
      <c r="V104" s="31"/>
      <c r="W104" s="32" t="str">
        <f>IF($V104="","",SUMIFS(SITE_COEFFS!$C:$C,SITE_COEFFS!$A:$A,"GeometryComplexity",SITE_COEFFS!$B:$B,$V104))</f>
        <v/>
      </c>
      <c r="X104" s="31"/>
      <c r="Y104" s="31" t="str">
        <f>IF($X104="","",SUMIFS(TARIFF_PROFILES!$D:$D,TARIFF_PROFILES!$A:$A,$X104))</f>
        <v/>
      </c>
      <c r="Z104" s="31" t="str">
        <f>IF($X104="","",SUMIFS(TARIFF_PROFILES!$E:$E,TARIFF_PROFILES!$A:$A,$X104))</f>
        <v/>
      </c>
      <c r="AA104" s="31" t="str">
        <f>IF($X104="","",SUMIFS(TARIFF_PROFILES!$F:$F,TARIFF_PROFILES!$A:$A,$X104))</f>
        <v/>
      </c>
      <c r="AB104" s="31" t="str">
        <f>IF($X104="","",SUMIFS(TARIFF_PROFILES!$G:$G,TARIFF_PROFILES!$A:$A,$X104))</f>
        <v/>
      </c>
      <c r="AC104" s="31" t="str">
        <f>IF($X104="","",SUMIFS(TARIFF_PROFILES!$H:$H,TARIFF_PROFILES!$A:$A,$X104))</f>
        <v/>
      </c>
      <c r="AD104" s="31" t="str">
        <f t="array" ref="AD104">IF($X104="","",INDEX(TARIFF_PROFILES!$J:$J,MATCH($X104,TARIFF_PROFILES!$A:$A,0)))</f>
        <v/>
      </c>
      <c r="AE104" s="31" t="str">
        <f t="array" ref="AE104">IF($X104="","",INDEX(TARIFF_PROFILES!$K:$K,MATCH($X104,TARIFF_PROFILES!$A:$A,0)))</f>
        <v/>
      </c>
      <c r="AG104" s="8"/>
      <c r="AH104" s="8" t="str">
        <f>IF($AG104="","",SUMIFS(OPERATING_COEFFS!$C:$C,OPERATING_COEFFS!$A:$A,"DistanceClass",OPERATING_COEFFS!$B:$B,$AG104))</f>
        <v/>
      </c>
      <c r="AI104" s="8"/>
      <c r="AJ104" s="8" t="str">
        <f>IF($AI104="","",SUMIFS(OPERATING_COEFFS!$C:$C,OPERATING_COEFFS!$A:$A,"SeasonClass",OPERATING_COEFFS!$B:$B,$AI104))</f>
        <v/>
      </c>
      <c r="AK104" s="8"/>
      <c r="AL104" s="8" t="str">
        <f>IF($AK104="","",SUMIFS(OPERATING_COEFFS!$C:$C,OPERATING_COEFFS!$A:$A,"UrgencyClass",OPERATING_COEFFS!$B:$B,$AK104))</f>
        <v/>
      </c>
      <c r="AM104" s="8"/>
      <c r="AN104" s="8" t="str">
        <f t="array" ref="AN104">IF($AM104="","",INDEX(TAX_MODES!$B:$B,MATCH($AM104,TAX_MODES!$A:$A,0)))</f>
        <v/>
      </c>
    </row>
    <row r="105" ht="14.25" customHeight="1">
      <c r="A105" s="31"/>
      <c r="B105" s="31"/>
      <c r="C105" s="31"/>
      <c r="D105" s="32" t="str">
        <f>IF($C105="","",SUMIFS(SITE_COEFFS!$C:$C,SITE_COEFFS!$A:$A,"SoilWorkability",SITE_COEFFS!$B:$B,$C105))</f>
        <v/>
      </c>
      <c r="E105" s="31"/>
      <c r="F105" s="32" t="str">
        <f>IF($E105="","",SUMIFS(SITE_COEFFS!$C:$C,SITE_COEFFS!$A:$A,"SoilMoisture",SITE_COEFFS!$B:$B,$E105))</f>
        <v/>
      </c>
      <c r="G105" s="31"/>
      <c r="H105" s="32" t="str">
        <f>IF($G105="","",SUMIFS(SITE_COEFFS!$C:$C,SITE_COEFFS!$A:$A,"DebrisLevel",SITE_COEFFS!$B:$B,$G105))</f>
        <v/>
      </c>
      <c r="I105" s="31"/>
      <c r="J105" s="32" t="str">
        <f>IF($I105="","",SUMIFS(SITE_COEFFS!$C:$C,SITE_COEFFS!$A:$A,"SlopeClass",SITE_COEFFS!$B:$B,$I105))</f>
        <v/>
      </c>
      <c r="K105" s="31"/>
      <c r="L105" s="32" t="str">
        <f>IF($K105="","",SUMIFS(SITE_COEFFS!$C:$C,SITE_COEFFS!$A:$A,"SurfaceUnevenness",SITE_COEFFS!$B:$B,$K105))</f>
        <v/>
      </c>
      <c r="M105" s="31"/>
      <c r="N105" s="32" t="str">
        <f>IF($M105="","",SUMIFS(SITE_COEFFS!$C:$C,SITE_COEFFS!$A:$A,"AccessClass",SITE_COEFFS!$B:$B,$M105))</f>
        <v/>
      </c>
      <c r="O105" s="31"/>
      <c r="P105" s="32" t="str">
        <f>IF($O105="","",SUMIFS(SITE_COEFFS!$C:$C,SITE_COEFFS!$A:$A,"TurnSpace",SITE_COEFFS!$B:$B,$O105))</f>
        <v/>
      </c>
      <c r="Q105" s="31"/>
      <c r="R105" s="32" t="str">
        <f>IF($Q105="","",SUMIFS(SITE_COEFFS!$C:$C,SITE_COEFFS!$A:$A,"ProximityToBuildings",SITE_COEFFS!$B:$B,$Q105))</f>
        <v/>
      </c>
      <c r="S105" s="31"/>
      <c r="T105" s="32" t="str">
        <f>IF($S105="","",SUMIFS(SITE_COEFFS!$C:$C,SITE_COEFFS!$A:$A,"MachineryAllowed",SITE_COEFFS!$B:$B,$S105))</f>
        <v/>
      </c>
      <c r="U105" s="31"/>
      <c r="V105" s="31"/>
      <c r="W105" s="32" t="str">
        <f>IF($V105="","",SUMIFS(SITE_COEFFS!$C:$C,SITE_COEFFS!$A:$A,"GeometryComplexity",SITE_COEFFS!$B:$B,$V105))</f>
        <v/>
      </c>
      <c r="X105" s="31"/>
      <c r="Y105" s="31" t="str">
        <f>IF($X105="","",SUMIFS(TARIFF_PROFILES!$D:$D,TARIFF_PROFILES!$A:$A,$X105))</f>
        <v/>
      </c>
      <c r="Z105" s="31" t="str">
        <f>IF($X105="","",SUMIFS(TARIFF_PROFILES!$E:$E,TARIFF_PROFILES!$A:$A,$X105))</f>
        <v/>
      </c>
      <c r="AA105" s="31" t="str">
        <f>IF($X105="","",SUMIFS(TARIFF_PROFILES!$F:$F,TARIFF_PROFILES!$A:$A,$X105))</f>
        <v/>
      </c>
      <c r="AB105" s="31" t="str">
        <f>IF($X105="","",SUMIFS(TARIFF_PROFILES!$G:$G,TARIFF_PROFILES!$A:$A,$X105))</f>
        <v/>
      </c>
      <c r="AC105" s="31" t="str">
        <f>IF($X105="","",SUMIFS(TARIFF_PROFILES!$H:$H,TARIFF_PROFILES!$A:$A,$X105))</f>
        <v/>
      </c>
      <c r="AD105" s="31" t="str">
        <f t="array" ref="AD105">IF($X105="","",INDEX(TARIFF_PROFILES!$J:$J,MATCH($X105,TARIFF_PROFILES!$A:$A,0)))</f>
        <v/>
      </c>
      <c r="AE105" s="31" t="str">
        <f t="array" ref="AE105">IF($X105="","",INDEX(TARIFF_PROFILES!$K:$K,MATCH($X105,TARIFF_PROFILES!$A:$A,0)))</f>
        <v/>
      </c>
      <c r="AG105" s="8"/>
      <c r="AH105" s="8" t="str">
        <f>IF($AG105="","",SUMIFS(OPERATING_COEFFS!$C:$C,OPERATING_COEFFS!$A:$A,"DistanceClass",OPERATING_COEFFS!$B:$B,$AG105))</f>
        <v/>
      </c>
      <c r="AI105" s="8"/>
      <c r="AJ105" s="8" t="str">
        <f>IF($AI105="","",SUMIFS(OPERATING_COEFFS!$C:$C,OPERATING_COEFFS!$A:$A,"SeasonClass",OPERATING_COEFFS!$B:$B,$AI105))</f>
        <v/>
      </c>
      <c r="AK105" s="8"/>
      <c r="AL105" s="8" t="str">
        <f>IF($AK105="","",SUMIFS(OPERATING_COEFFS!$C:$C,OPERATING_COEFFS!$A:$A,"UrgencyClass",OPERATING_COEFFS!$B:$B,$AK105))</f>
        <v/>
      </c>
      <c r="AM105" s="8"/>
      <c r="AN105" s="8" t="str">
        <f t="array" ref="AN105">IF($AM105="","",INDEX(TAX_MODES!$B:$B,MATCH($AM105,TAX_MODES!$A:$A,0)))</f>
        <v/>
      </c>
    </row>
    <row r="106" ht="14.25" customHeight="1">
      <c r="A106" s="31"/>
      <c r="B106" s="31"/>
      <c r="C106" s="31"/>
      <c r="D106" s="32" t="str">
        <f>IF($C106="","",SUMIFS(SITE_COEFFS!$C:$C,SITE_COEFFS!$A:$A,"SoilWorkability",SITE_COEFFS!$B:$B,$C106))</f>
        <v/>
      </c>
      <c r="E106" s="31"/>
      <c r="F106" s="32" t="str">
        <f>IF($E106="","",SUMIFS(SITE_COEFFS!$C:$C,SITE_COEFFS!$A:$A,"SoilMoisture",SITE_COEFFS!$B:$B,$E106))</f>
        <v/>
      </c>
      <c r="G106" s="31"/>
      <c r="H106" s="32" t="str">
        <f>IF($G106="","",SUMIFS(SITE_COEFFS!$C:$C,SITE_COEFFS!$A:$A,"DebrisLevel",SITE_COEFFS!$B:$B,$G106))</f>
        <v/>
      </c>
      <c r="I106" s="31"/>
      <c r="J106" s="32" t="str">
        <f>IF($I106="","",SUMIFS(SITE_COEFFS!$C:$C,SITE_COEFFS!$A:$A,"SlopeClass",SITE_COEFFS!$B:$B,$I106))</f>
        <v/>
      </c>
      <c r="K106" s="31"/>
      <c r="L106" s="32" t="str">
        <f>IF($K106="","",SUMIFS(SITE_COEFFS!$C:$C,SITE_COEFFS!$A:$A,"SurfaceUnevenness",SITE_COEFFS!$B:$B,$K106))</f>
        <v/>
      </c>
      <c r="M106" s="31"/>
      <c r="N106" s="32" t="str">
        <f>IF($M106="","",SUMIFS(SITE_COEFFS!$C:$C,SITE_COEFFS!$A:$A,"AccessClass",SITE_COEFFS!$B:$B,$M106))</f>
        <v/>
      </c>
      <c r="O106" s="31"/>
      <c r="P106" s="32" t="str">
        <f>IF($O106="","",SUMIFS(SITE_COEFFS!$C:$C,SITE_COEFFS!$A:$A,"TurnSpace",SITE_COEFFS!$B:$B,$O106))</f>
        <v/>
      </c>
      <c r="Q106" s="31"/>
      <c r="R106" s="32" t="str">
        <f>IF($Q106="","",SUMIFS(SITE_COEFFS!$C:$C,SITE_COEFFS!$A:$A,"ProximityToBuildings",SITE_COEFFS!$B:$B,$Q106))</f>
        <v/>
      </c>
      <c r="S106" s="31"/>
      <c r="T106" s="32" t="str">
        <f>IF($S106="","",SUMIFS(SITE_COEFFS!$C:$C,SITE_COEFFS!$A:$A,"MachineryAllowed",SITE_COEFFS!$B:$B,$S106))</f>
        <v/>
      </c>
      <c r="U106" s="31"/>
      <c r="V106" s="31"/>
      <c r="W106" s="32" t="str">
        <f>IF($V106="","",SUMIFS(SITE_COEFFS!$C:$C,SITE_COEFFS!$A:$A,"GeometryComplexity",SITE_COEFFS!$B:$B,$V106))</f>
        <v/>
      </c>
      <c r="X106" s="31"/>
      <c r="Y106" s="31" t="str">
        <f>IF($X106="","",SUMIFS(TARIFF_PROFILES!$D:$D,TARIFF_PROFILES!$A:$A,$X106))</f>
        <v/>
      </c>
      <c r="Z106" s="31" t="str">
        <f>IF($X106="","",SUMIFS(TARIFF_PROFILES!$E:$E,TARIFF_PROFILES!$A:$A,$X106))</f>
        <v/>
      </c>
      <c r="AA106" s="31" t="str">
        <f>IF($X106="","",SUMIFS(TARIFF_PROFILES!$F:$F,TARIFF_PROFILES!$A:$A,$X106))</f>
        <v/>
      </c>
      <c r="AB106" s="31" t="str">
        <f>IF($X106="","",SUMIFS(TARIFF_PROFILES!$G:$G,TARIFF_PROFILES!$A:$A,$X106))</f>
        <v/>
      </c>
      <c r="AC106" s="31" t="str">
        <f>IF($X106="","",SUMIFS(TARIFF_PROFILES!$H:$H,TARIFF_PROFILES!$A:$A,$X106))</f>
        <v/>
      </c>
      <c r="AD106" s="31" t="str">
        <f t="array" ref="AD106">IF($X106="","",INDEX(TARIFF_PROFILES!$J:$J,MATCH($X106,TARIFF_PROFILES!$A:$A,0)))</f>
        <v/>
      </c>
      <c r="AE106" s="31" t="str">
        <f t="array" ref="AE106">IF($X106="","",INDEX(TARIFF_PROFILES!$K:$K,MATCH($X106,TARIFF_PROFILES!$A:$A,0)))</f>
        <v/>
      </c>
      <c r="AG106" s="8"/>
      <c r="AH106" s="8" t="str">
        <f>IF($AG106="","",SUMIFS(OPERATING_COEFFS!$C:$C,OPERATING_COEFFS!$A:$A,"DistanceClass",OPERATING_COEFFS!$B:$B,$AG106))</f>
        <v/>
      </c>
      <c r="AI106" s="8"/>
      <c r="AJ106" s="8" t="str">
        <f>IF($AI106="","",SUMIFS(OPERATING_COEFFS!$C:$C,OPERATING_COEFFS!$A:$A,"SeasonClass",OPERATING_COEFFS!$B:$B,$AI106))</f>
        <v/>
      </c>
      <c r="AK106" s="8"/>
      <c r="AL106" s="8" t="str">
        <f>IF($AK106="","",SUMIFS(OPERATING_COEFFS!$C:$C,OPERATING_COEFFS!$A:$A,"UrgencyClass",OPERATING_COEFFS!$B:$B,$AK106))</f>
        <v/>
      </c>
      <c r="AM106" s="8"/>
      <c r="AN106" s="8" t="str">
        <f t="array" ref="AN106">IF($AM106="","",INDEX(TAX_MODES!$B:$B,MATCH($AM106,TAX_MODES!$A:$A,0)))</f>
        <v/>
      </c>
    </row>
    <row r="107" ht="14.25" customHeight="1">
      <c r="A107" s="31"/>
      <c r="B107" s="31"/>
      <c r="C107" s="31"/>
      <c r="D107" s="32" t="str">
        <f>IF($C107="","",SUMIFS(SITE_COEFFS!$C:$C,SITE_COEFFS!$A:$A,"SoilWorkability",SITE_COEFFS!$B:$B,$C107))</f>
        <v/>
      </c>
      <c r="E107" s="31"/>
      <c r="F107" s="32" t="str">
        <f>IF($E107="","",SUMIFS(SITE_COEFFS!$C:$C,SITE_COEFFS!$A:$A,"SoilMoisture",SITE_COEFFS!$B:$B,$E107))</f>
        <v/>
      </c>
      <c r="G107" s="31"/>
      <c r="H107" s="32" t="str">
        <f>IF($G107="","",SUMIFS(SITE_COEFFS!$C:$C,SITE_COEFFS!$A:$A,"DebrisLevel",SITE_COEFFS!$B:$B,$G107))</f>
        <v/>
      </c>
      <c r="I107" s="31"/>
      <c r="J107" s="32" t="str">
        <f>IF($I107="","",SUMIFS(SITE_COEFFS!$C:$C,SITE_COEFFS!$A:$A,"SlopeClass",SITE_COEFFS!$B:$B,$I107))</f>
        <v/>
      </c>
      <c r="K107" s="31"/>
      <c r="L107" s="32" t="str">
        <f>IF($K107="","",SUMIFS(SITE_COEFFS!$C:$C,SITE_COEFFS!$A:$A,"SurfaceUnevenness",SITE_COEFFS!$B:$B,$K107))</f>
        <v/>
      </c>
      <c r="M107" s="31"/>
      <c r="N107" s="32" t="str">
        <f>IF($M107="","",SUMIFS(SITE_COEFFS!$C:$C,SITE_COEFFS!$A:$A,"AccessClass",SITE_COEFFS!$B:$B,$M107))</f>
        <v/>
      </c>
      <c r="O107" s="31"/>
      <c r="P107" s="32" t="str">
        <f>IF($O107="","",SUMIFS(SITE_COEFFS!$C:$C,SITE_COEFFS!$A:$A,"TurnSpace",SITE_COEFFS!$B:$B,$O107))</f>
        <v/>
      </c>
      <c r="Q107" s="31"/>
      <c r="R107" s="32" t="str">
        <f>IF($Q107="","",SUMIFS(SITE_COEFFS!$C:$C,SITE_COEFFS!$A:$A,"ProximityToBuildings",SITE_COEFFS!$B:$B,$Q107))</f>
        <v/>
      </c>
      <c r="S107" s="31"/>
      <c r="T107" s="32" t="str">
        <f>IF($S107="","",SUMIFS(SITE_COEFFS!$C:$C,SITE_COEFFS!$A:$A,"MachineryAllowed",SITE_COEFFS!$B:$B,$S107))</f>
        <v/>
      </c>
      <c r="U107" s="31"/>
      <c r="V107" s="31"/>
      <c r="W107" s="32" t="str">
        <f>IF($V107="","",SUMIFS(SITE_COEFFS!$C:$C,SITE_COEFFS!$A:$A,"GeometryComplexity",SITE_COEFFS!$B:$B,$V107))</f>
        <v/>
      </c>
      <c r="X107" s="31"/>
      <c r="Y107" s="31" t="str">
        <f>IF($X107="","",SUMIFS(TARIFF_PROFILES!$D:$D,TARIFF_PROFILES!$A:$A,$X107))</f>
        <v/>
      </c>
      <c r="Z107" s="31" t="str">
        <f>IF($X107="","",SUMIFS(TARIFF_PROFILES!$E:$E,TARIFF_PROFILES!$A:$A,$X107))</f>
        <v/>
      </c>
      <c r="AA107" s="31" t="str">
        <f>IF($X107="","",SUMIFS(TARIFF_PROFILES!$F:$F,TARIFF_PROFILES!$A:$A,$X107))</f>
        <v/>
      </c>
      <c r="AB107" s="31" t="str">
        <f>IF($X107="","",SUMIFS(TARIFF_PROFILES!$G:$G,TARIFF_PROFILES!$A:$A,$X107))</f>
        <v/>
      </c>
      <c r="AC107" s="31" t="str">
        <f>IF($X107="","",SUMIFS(TARIFF_PROFILES!$H:$H,TARIFF_PROFILES!$A:$A,$X107))</f>
        <v/>
      </c>
      <c r="AD107" s="31" t="str">
        <f t="array" ref="AD107">IF($X107="","",INDEX(TARIFF_PROFILES!$J:$J,MATCH($X107,TARIFF_PROFILES!$A:$A,0)))</f>
        <v/>
      </c>
      <c r="AE107" s="31" t="str">
        <f t="array" ref="AE107">IF($X107="","",INDEX(TARIFF_PROFILES!$K:$K,MATCH($X107,TARIFF_PROFILES!$A:$A,0)))</f>
        <v/>
      </c>
      <c r="AG107" s="8"/>
      <c r="AH107" s="8" t="str">
        <f>IF($AG107="","",SUMIFS(OPERATING_COEFFS!$C:$C,OPERATING_COEFFS!$A:$A,"DistanceClass",OPERATING_COEFFS!$B:$B,$AG107))</f>
        <v/>
      </c>
      <c r="AI107" s="8"/>
      <c r="AJ107" s="8" t="str">
        <f>IF($AI107="","",SUMIFS(OPERATING_COEFFS!$C:$C,OPERATING_COEFFS!$A:$A,"SeasonClass",OPERATING_COEFFS!$B:$B,$AI107))</f>
        <v/>
      </c>
      <c r="AK107" s="8"/>
      <c r="AL107" s="8" t="str">
        <f>IF($AK107="","",SUMIFS(OPERATING_COEFFS!$C:$C,OPERATING_COEFFS!$A:$A,"UrgencyClass",OPERATING_COEFFS!$B:$B,$AK107))</f>
        <v/>
      </c>
      <c r="AM107" s="8"/>
      <c r="AN107" s="8" t="str">
        <f t="array" ref="AN107">IF($AM107="","",INDEX(TAX_MODES!$B:$B,MATCH($AM107,TAX_MODES!$A:$A,0)))</f>
        <v/>
      </c>
    </row>
    <row r="108" ht="14.25" customHeight="1">
      <c r="A108" s="31"/>
      <c r="B108" s="31"/>
      <c r="C108" s="31"/>
      <c r="D108" s="32" t="str">
        <f>IF($C108="","",SUMIFS(SITE_COEFFS!$C:$C,SITE_COEFFS!$A:$A,"SoilWorkability",SITE_COEFFS!$B:$B,$C108))</f>
        <v/>
      </c>
      <c r="E108" s="31"/>
      <c r="F108" s="32" t="str">
        <f>IF($E108="","",SUMIFS(SITE_COEFFS!$C:$C,SITE_COEFFS!$A:$A,"SoilMoisture",SITE_COEFFS!$B:$B,$E108))</f>
        <v/>
      </c>
      <c r="G108" s="31"/>
      <c r="H108" s="32" t="str">
        <f>IF($G108="","",SUMIFS(SITE_COEFFS!$C:$C,SITE_COEFFS!$A:$A,"DebrisLevel",SITE_COEFFS!$B:$B,$G108))</f>
        <v/>
      </c>
      <c r="I108" s="31"/>
      <c r="J108" s="32" t="str">
        <f>IF($I108="","",SUMIFS(SITE_COEFFS!$C:$C,SITE_COEFFS!$A:$A,"SlopeClass",SITE_COEFFS!$B:$B,$I108))</f>
        <v/>
      </c>
      <c r="K108" s="31"/>
      <c r="L108" s="32" t="str">
        <f>IF($K108="","",SUMIFS(SITE_COEFFS!$C:$C,SITE_COEFFS!$A:$A,"SurfaceUnevenness",SITE_COEFFS!$B:$B,$K108))</f>
        <v/>
      </c>
      <c r="M108" s="31"/>
      <c r="N108" s="32" t="str">
        <f>IF($M108="","",SUMIFS(SITE_COEFFS!$C:$C,SITE_COEFFS!$A:$A,"AccessClass",SITE_COEFFS!$B:$B,$M108))</f>
        <v/>
      </c>
      <c r="O108" s="31"/>
      <c r="P108" s="32" t="str">
        <f>IF($O108="","",SUMIFS(SITE_COEFFS!$C:$C,SITE_COEFFS!$A:$A,"TurnSpace",SITE_COEFFS!$B:$B,$O108))</f>
        <v/>
      </c>
      <c r="Q108" s="31"/>
      <c r="R108" s="32" t="str">
        <f>IF($Q108="","",SUMIFS(SITE_COEFFS!$C:$C,SITE_COEFFS!$A:$A,"ProximityToBuildings",SITE_COEFFS!$B:$B,$Q108))</f>
        <v/>
      </c>
      <c r="S108" s="31"/>
      <c r="T108" s="32" t="str">
        <f>IF($S108="","",SUMIFS(SITE_COEFFS!$C:$C,SITE_COEFFS!$A:$A,"MachineryAllowed",SITE_COEFFS!$B:$B,$S108))</f>
        <v/>
      </c>
      <c r="U108" s="31"/>
      <c r="V108" s="31"/>
      <c r="W108" s="32" t="str">
        <f>IF($V108="","",SUMIFS(SITE_COEFFS!$C:$C,SITE_COEFFS!$A:$A,"GeometryComplexity",SITE_COEFFS!$B:$B,$V108))</f>
        <v/>
      </c>
      <c r="X108" s="31"/>
      <c r="Y108" s="31" t="str">
        <f>IF($X108="","",SUMIFS(TARIFF_PROFILES!$D:$D,TARIFF_PROFILES!$A:$A,$X108))</f>
        <v/>
      </c>
      <c r="Z108" s="31" t="str">
        <f>IF($X108="","",SUMIFS(TARIFF_PROFILES!$E:$E,TARIFF_PROFILES!$A:$A,$X108))</f>
        <v/>
      </c>
      <c r="AA108" s="31" t="str">
        <f>IF($X108="","",SUMIFS(TARIFF_PROFILES!$F:$F,TARIFF_PROFILES!$A:$A,$X108))</f>
        <v/>
      </c>
      <c r="AB108" s="31" t="str">
        <f>IF($X108="","",SUMIFS(TARIFF_PROFILES!$G:$G,TARIFF_PROFILES!$A:$A,$X108))</f>
        <v/>
      </c>
      <c r="AC108" s="31" t="str">
        <f>IF($X108="","",SUMIFS(TARIFF_PROFILES!$H:$H,TARIFF_PROFILES!$A:$A,$X108))</f>
        <v/>
      </c>
      <c r="AD108" s="31" t="str">
        <f t="array" ref="AD108">IF($X108="","",INDEX(TARIFF_PROFILES!$J:$J,MATCH($X108,TARIFF_PROFILES!$A:$A,0)))</f>
        <v/>
      </c>
      <c r="AE108" s="31" t="str">
        <f t="array" ref="AE108">IF($X108="","",INDEX(TARIFF_PROFILES!$K:$K,MATCH($X108,TARIFF_PROFILES!$A:$A,0)))</f>
        <v/>
      </c>
      <c r="AG108" s="8"/>
      <c r="AH108" s="8" t="str">
        <f>IF($AG108="","",SUMIFS(OPERATING_COEFFS!$C:$C,OPERATING_COEFFS!$A:$A,"DistanceClass",OPERATING_COEFFS!$B:$B,$AG108))</f>
        <v/>
      </c>
      <c r="AI108" s="8"/>
      <c r="AJ108" s="8" t="str">
        <f>IF($AI108="","",SUMIFS(OPERATING_COEFFS!$C:$C,OPERATING_COEFFS!$A:$A,"SeasonClass",OPERATING_COEFFS!$B:$B,$AI108))</f>
        <v/>
      </c>
      <c r="AK108" s="8"/>
      <c r="AL108" s="8" t="str">
        <f>IF($AK108="","",SUMIFS(OPERATING_COEFFS!$C:$C,OPERATING_COEFFS!$A:$A,"UrgencyClass",OPERATING_COEFFS!$B:$B,$AK108))</f>
        <v/>
      </c>
      <c r="AM108" s="8"/>
      <c r="AN108" s="8" t="str">
        <f t="array" ref="AN108">IF($AM108="","",INDEX(TAX_MODES!$B:$B,MATCH($AM108,TAX_MODES!$A:$A,0)))</f>
        <v/>
      </c>
    </row>
    <row r="109" ht="14.25" customHeight="1">
      <c r="A109" s="31"/>
      <c r="B109" s="31"/>
      <c r="C109" s="31"/>
      <c r="D109" s="32" t="str">
        <f>IF($C109="","",SUMIFS(SITE_COEFFS!$C:$C,SITE_COEFFS!$A:$A,"SoilWorkability",SITE_COEFFS!$B:$B,$C109))</f>
        <v/>
      </c>
      <c r="E109" s="31"/>
      <c r="F109" s="32" t="str">
        <f>IF($E109="","",SUMIFS(SITE_COEFFS!$C:$C,SITE_COEFFS!$A:$A,"SoilMoisture",SITE_COEFFS!$B:$B,$E109))</f>
        <v/>
      </c>
      <c r="G109" s="31"/>
      <c r="H109" s="32" t="str">
        <f>IF($G109="","",SUMIFS(SITE_COEFFS!$C:$C,SITE_COEFFS!$A:$A,"DebrisLevel",SITE_COEFFS!$B:$B,$G109))</f>
        <v/>
      </c>
      <c r="I109" s="31"/>
      <c r="J109" s="32" t="str">
        <f>IF($I109="","",SUMIFS(SITE_COEFFS!$C:$C,SITE_COEFFS!$A:$A,"SlopeClass",SITE_COEFFS!$B:$B,$I109))</f>
        <v/>
      </c>
      <c r="K109" s="31"/>
      <c r="L109" s="32" t="str">
        <f>IF($K109="","",SUMIFS(SITE_COEFFS!$C:$C,SITE_COEFFS!$A:$A,"SurfaceUnevenness",SITE_COEFFS!$B:$B,$K109))</f>
        <v/>
      </c>
      <c r="M109" s="31"/>
      <c r="N109" s="32" t="str">
        <f>IF($M109="","",SUMIFS(SITE_COEFFS!$C:$C,SITE_COEFFS!$A:$A,"AccessClass",SITE_COEFFS!$B:$B,$M109))</f>
        <v/>
      </c>
      <c r="O109" s="31"/>
      <c r="P109" s="32" t="str">
        <f>IF($O109="","",SUMIFS(SITE_COEFFS!$C:$C,SITE_COEFFS!$A:$A,"TurnSpace",SITE_COEFFS!$B:$B,$O109))</f>
        <v/>
      </c>
      <c r="Q109" s="31"/>
      <c r="R109" s="32" t="str">
        <f>IF($Q109="","",SUMIFS(SITE_COEFFS!$C:$C,SITE_COEFFS!$A:$A,"ProximityToBuildings",SITE_COEFFS!$B:$B,$Q109))</f>
        <v/>
      </c>
      <c r="S109" s="31"/>
      <c r="T109" s="32" t="str">
        <f>IF($S109="","",SUMIFS(SITE_COEFFS!$C:$C,SITE_COEFFS!$A:$A,"MachineryAllowed",SITE_COEFFS!$B:$B,$S109))</f>
        <v/>
      </c>
      <c r="U109" s="31"/>
      <c r="V109" s="31"/>
      <c r="W109" s="32" t="str">
        <f>IF($V109="","",SUMIFS(SITE_COEFFS!$C:$C,SITE_COEFFS!$A:$A,"GeometryComplexity",SITE_COEFFS!$B:$B,$V109))</f>
        <v/>
      </c>
      <c r="X109" s="31"/>
      <c r="Y109" s="31" t="str">
        <f>IF($X109="","",SUMIFS(TARIFF_PROFILES!$D:$D,TARIFF_PROFILES!$A:$A,$X109))</f>
        <v/>
      </c>
      <c r="Z109" s="31" t="str">
        <f>IF($X109="","",SUMIFS(TARIFF_PROFILES!$E:$E,TARIFF_PROFILES!$A:$A,$X109))</f>
        <v/>
      </c>
      <c r="AA109" s="31" t="str">
        <f>IF($X109="","",SUMIFS(TARIFF_PROFILES!$F:$F,TARIFF_PROFILES!$A:$A,$X109))</f>
        <v/>
      </c>
      <c r="AB109" s="31" t="str">
        <f>IF($X109="","",SUMIFS(TARIFF_PROFILES!$G:$G,TARIFF_PROFILES!$A:$A,$X109))</f>
        <v/>
      </c>
      <c r="AC109" s="31" t="str">
        <f>IF($X109="","",SUMIFS(TARIFF_PROFILES!$H:$H,TARIFF_PROFILES!$A:$A,$X109))</f>
        <v/>
      </c>
      <c r="AD109" s="31" t="str">
        <f t="array" ref="AD109">IF($X109="","",INDEX(TARIFF_PROFILES!$J:$J,MATCH($X109,TARIFF_PROFILES!$A:$A,0)))</f>
        <v/>
      </c>
      <c r="AE109" s="31" t="str">
        <f t="array" ref="AE109">IF($X109="","",INDEX(TARIFF_PROFILES!$K:$K,MATCH($X109,TARIFF_PROFILES!$A:$A,0)))</f>
        <v/>
      </c>
      <c r="AG109" s="8"/>
      <c r="AH109" s="8" t="str">
        <f>IF($AG109="","",SUMIFS(OPERATING_COEFFS!$C:$C,OPERATING_COEFFS!$A:$A,"DistanceClass",OPERATING_COEFFS!$B:$B,$AG109))</f>
        <v/>
      </c>
      <c r="AI109" s="8"/>
      <c r="AJ109" s="8" t="str">
        <f>IF($AI109="","",SUMIFS(OPERATING_COEFFS!$C:$C,OPERATING_COEFFS!$A:$A,"SeasonClass",OPERATING_COEFFS!$B:$B,$AI109))</f>
        <v/>
      </c>
      <c r="AK109" s="8"/>
      <c r="AL109" s="8" t="str">
        <f>IF($AK109="","",SUMIFS(OPERATING_COEFFS!$C:$C,OPERATING_COEFFS!$A:$A,"UrgencyClass",OPERATING_COEFFS!$B:$B,$AK109))</f>
        <v/>
      </c>
      <c r="AM109" s="8"/>
      <c r="AN109" s="8" t="str">
        <f t="array" ref="AN109">IF($AM109="","",INDEX(TAX_MODES!$B:$B,MATCH($AM109,TAX_MODES!$A:$A,0)))</f>
        <v/>
      </c>
    </row>
    <row r="110" ht="14.25" customHeight="1">
      <c r="A110" s="31"/>
      <c r="B110" s="31"/>
      <c r="C110" s="31"/>
      <c r="D110" s="32" t="str">
        <f>IF($C110="","",SUMIFS(SITE_COEFFS!$C:$C,SITE_COEFFS!$A:$A,"SoilWorkability",SITE_COEFFS!$B:$B,$C110))</f>
        <v/>
      </c>
      <c r="E110" s="31"/>
      <c r="F110" s="32" t="str">
        <f>IF($E110="","",SUMIFS(SITE_COEFFS!$C:$C,SITE_COEFFS!$A:$A,"SoilMoisture",SITE_COEFFS!$B:$B,$E110))</f>
        <v/>
      </c>
      <c r="G110" s="31"/>
      <c r="H110" s="32" t="str">
        <f>IF($G110="","",SUMIFS(SITE_COEFFS!$C:$C,SITE_COEFFS!$A:$A,"DebrisLevel",SITE_COEFFS!$B:$B,$G110))</f>
        <v/>
      </c>
      <c r="I110" s="31"/>
      <c r="J110" s="32" t="str">
        <f>IF($I110="","",SUMIFS(SITE_COEFFS!$C:$C,SITE_COEFFS!$A:$A,"SlopeClass",SITE_COEFFS!$B:$B,$I110))</f>
        <v/>
      </c>
      <c r="K110" s="31"/>
      <c r="L110" s="32" t="str">
        <f>IF($K110="","",SUMIFS(SITE_COEFFS!$C:$C,SITE_COEFFS!$A:$A,"SurfaceUnevenness",SITE_COEFFS!$B:$B,$K110))</f>
        <v/>
      </c>
      <c r="M110" s="31"/>
      <c r="N110" s="32" t="str">
        <f>IF($M110="","",SUMIFS(SITE_COEFFS!$C:$C,SITE_COEFFS!$A:$A,"AccessClass",SITE_COEFFS!$B:$B,$M110))</f>
        <v/>
      </c>
      <c r="O110" s="31"/>
      <c r="P110" s="32" t="str">
        <f>IF($O110="","",SUMIFS(SITE_COEFFS!$C:$C,SITE_COEFFS!$A:$A,"TurnSpace",SITE_COEFFS!$B:$B,$O110))</f>
        <v/>
      </c>
      <c r="Q110" s="31"/>
      <c r="R110" s="32" t="str">
        <f>IF($Q110="","",SUMIFS(SITE_COEFFS!$C:$C,SITE_COEFFS!$A:$A,"ProximityToBuildings",SITE_COEFFS!$B:$B,$Q110))</f>
        <v/>
      </c>
      <c r="S110" s="31"/>
      <c r="T110" s="32" t="str">
        <f>IF($S110="","",SUMIFS(SITE_COEFFS!$C:$C,SITE_COEFFS!$A:$A,"MachineryAllowed",SITE_COEFFS!$B:$B,$S110))</f>
        <v/>
      </c>
      <c r="U110" s="31"/>
      <c r="V110" s="31"/>
      <c r="W110" s="32" t="str">
        <f>IF($V110="","",SUMIFS(SITE_COEFFS!$C:$C,SITE_COEFFS!$A:$A,"GeometryComplexity",SITE_COEFFS!$B:$B,$V110))</f>
        <v/>
      </c>
      <c r="X110" s="31"/>
      <c r="Y110" s="31" t="str">
        <f>IF($X110="","",SUMIFS(TARIFF_PROFILES!$D:$D,TARIFF_PROFILES!$A:$A,$X110))</f>
        <v/>
      </c>
      <c r="Z110" s="31" t="str">
        <f>IF($X110="","",SUMIFS(TARIFF_PROFILES!$E:$E,TARIFF_PROFILES!$A:$A,$X110))</f>
        <v/>
      </c>
      <c r="AA110" s="31" t="str">
        <f>IF($X110="","",SUMIFS(TARIFF_PROFILES!$F:$F,TARIFF_PROFILES!$A:$A,$X110))</f>
        <v/>
      </c>
      <c r="AB110" s="31" t="str">
        <f>IF($X110="","",SUMIFS(TARIFF_PROFILES!$G:$G,TARIFF_PROFILES!$A:$A,$X110))</f>
        <v/>
      </c>
      <c r="AC110" s="31" t="str">
        <f>IF($X110="","",SUMIFS(TARIFF_PROFILES!$H:$H,TARIFF_PROFILES!$A:$A,$X110))</f>
        <v/>
      </c>
      <c r="AD110" s="31" t="str">
        <f t="array" ref="AD110">IF($X110="","",INDEX(TARIFF_PROFILES!$J:$J,MATCH($X110,TARIFF_PROFILES!$A:$A,0)))</f>
        <v/>
      </c>
      <c r="AE110" s="31" t="str">
        <f t="array" ref="AE110">IF($X110="","",INDEX(TARIFF_PROFILES!$K:$K,MATCH($X110,TARIFF_PROFILES!$A:$A,0)))</f>
        <v/>
      </c>
      <c r="AG110" s="8"/>
      <c r="AH110" s="8" t="str">
        <f>IF($AG110="","",SUMIFS(OPERATING_COEFFS!$C:$C,OPERATING_COEFFS!$A:$A,"DistanceClass",OPERATING_COEFFS!$B:$B,$AG110))</f>
        <v/>
      </c>
      <c r="AI110" s="8"/>
      <c r="AJ110" s="8" t="str">
        <f>IF($AI110="","",SUMIFS(OPERATING_COEFFS!$C:$C,OPERATING_COEFFS!$A:$A,"SeasonClass",OPERATING_COEFFS!$B:$B,$AI110))</f>
        <v/>
      </c>
      <c r="AK110" s="8"/>
      <c r="AL110" s="8" t="str">
        <f>IF($AK110="","",SUMIFS(OPERATING_COEFFS!$C:$C,OPERATING_COEFFS!$A:$A,"UrgencyClass",OPERATING_COEFFS!$B:$B,$AK110))</f>
        <v/>
      </c>
      <c r="AM110" s="8"/>
      <c r="AN110" s="8" t="str">
        <f t="array" ref="AN110">IF($AM110="","",INDEX(TAX_MODES!$B:$B,MATCH($AM110,TAX_MODES!$A:$A,0)))</f>
        <v/>
      </c>
    </row>
    <row r="111" ht="14.25" customHeight="1">
      <c r="A111" s="31"/>
      <c r="B111" s="31"/>
      <c r="C111" s="31"/>
      <c r="D111" s="32" t="str">
        <f>IF($C111="","",SUMIFS(SITE_COEFFS!$C:$C,SITE_COEFFS!$A:$A,"SoilWorkability",SITE_COEFFS!$B:$B,$C111))</f>
        <v/>
      </c>
      <c r="E111" s="31"/>
      <c r="F111" s="32" t="str">
        <f>IF($E111="","",SUMIFS(SITE_COEFFS!$C:$C,SITE_COEFFS!$A:$A,"SoilMoisture",SITE_COEFFS!$B:$B,$E111))</f>
        <v/>
      </c>
      <c r="G111" s="31"/>
      <c r="H111" s="32" t="str">
        <f>IF($G111="","",SUMIFS(SITE_COEFFS!$C:$C,SITE_COEFFS!$A:$A,"DebrisLevel",SITE_COEFFS!$B:$B,$G111))</f>
        <v/>
      </c>
      <c r="I111" s="31"/>
      <c r="J111" s="32" t="str">
        <f>IF($I111="","",SUMIFS(SITE_COEFFS!$C:$C,SITE_COEFFS!$A:$A,"SlopeClass",SITE_COEFFS!$B:$B,$I111))</f>
        <v/>
      </c>
      <c r="K111" s="31"/>
      <c r="L111" s="32" t="str">
        <f>IF($K111="","",SUMIFS(SITE_COEFFS!$C:$C,SITE_COEFFS!$A:$A,"SurfaceUnevenness",SITE_COEFFS!$B:$B,$K111))</f>
        <v/>
      </c>
      <c r="M111" s="31"/>
      <c r="N111" s="32" t="str">
        <f>IF($M111="","",SUMIFS(SITE_COEFFS!$C:$C,SITE_COEFFS!$A:$A,"AccessClass",SITE_COEFFS!$B:$B,$M111))</f>
        <v/>
      </c>
      <c r="O111" s="31"/>
      <c r="P111" s="32" t="str">
        <f>IF($O111="","",SUMIFS(SITE_COEFFS!$C:$C,SITE_COEFFS!$A:$A,"TurnSpace",SITE_COEFFS!$B:$B,$O111))</f>
        <v/>
      </c>
      <c r="Q111" s="31"/>
      <c r="R111" s="32" t="str">
        <f>IF($Q111="","",SUMIFS(SITE_COEFFS!$C:$C,SITE_COEFFS!$A:$A,"ProximityToBuildings",SITE_COEFFS!$B:$B,$Q111))</f>
        <v/>
      </c>
      <c r="S111" s="31"/>
      <c r="T111" s="32" t="str">
        <f>IF($S111="","",SUMIFS(SITE_COEFFS!$C:$C,SITE_COEFFS!$A:$A,"MachineryAllowed",SITE_COEFFS!$B:$B,$S111))</f>
        <v/>
      </c>
      <c r="U111" s="31"/>
      <c r="V111" s="31"/>
      <c r="W111" s="32" t="str">
        <f>IF($V111="","",SUMIFS(SITE_COEFFS!$C:$C,SITE_COEFFS!$A:$A,"GeometryComplexity",SITE_COEFFS!$B:$B,$V111))</f>
        <v/>
      </c>
      <c r="X111" s="31"/>
      <c r="Y111" s="31" t="str">
        <f>IF($X111="","",SUMIFS(TARIFF_PROFILES!$D:$D,TARIFF_PROFILES!$A:$A,$X111))</f>
        <v/>
      </c>
      <c r="Z111" s="31" t="str">
        <f>IF($X111="","",SUMIFS(TARIFF_PROFILES!$E:$E,TARIFF_PROFILES!$A:$A,$X111))</f>
        <v/>
      </c>
      <c r="AA111" s="31" t="str">
        <f>IF($X111="","",SUMIFS(TARIFF_PROFILES!$F:$F,TARIFF_PROFILES!$A:$A,$X111))</f>
        <v/>
      </c>
      <c r="AB111" s="31" t="str">
        <f>IF($X111="","",SUMIFS(TARIFF_PROFILES!$G:$G,TARIFF_PROFILES!$A:$A,$X111))</f>
        <v/>
      </c>
      <c r="AC111" s="31" t="str">
        <f>IF($X111="","",SUMIFS(TARIFF_PROFILES!$H:$H,TARIFF_PROFILES!$A:$A,$X111))</f>
        <v/>
      </c>
      <c r="AD111" s="31" t="str">
        <f t="array" ref="AD111">IF($X111="","",INDEX(TARIFF_PROFILES!$J:$J,MATCH($X111,TARIFF_PROFILES!$A:$A,0)))</f>
        <v/>
      </c>
      <c r="AE111" s="31" t="str">
        <f t="array" ref="AE111">IF($X111="","",INDEX(TARIFF_PROFILES!$K:$K,MATCH($X111,TARIFF_PROFILES!$A:$A,0)))</f>
        <v/>
      </c>
      <c r="AG111" s="8"/>
      <c r="AH111" s="8" t="str">
        <f>IF($AG111="","",SUMIFS(OPERATING_COEFFS!$C:$C,OPERATING_COEFFS!$A:$A,"DistanceClass",OPERATING_COEFFS!$B:$B,$AG111))</f>
        <v/>
      </c>
      <c r="AI111" s="8"/>
      <c r="AJ111" s="8" t="str">
        <f>IF($AI111="","",SUMIFS(OPERATING_COEFFS!$C:$C,OPERATING_COEFFS!$A:$A,"SeasonClass",OPERATING_COEFFS!$B:$B,$AI111))</f>
        <v/>
      </c>
      <c r="AK111" s="8"/>
      <c r="AL111" s="8" t="str">
        <f>IF($AK111="","",SUMIFS(OPERATING_COEFFS!$C:$C,OPERATING_COEFFS!$A:$A,"UrgencyClass",OPERATING_COEFFS!$B:$B,$AK111))</f>
        <v/>
      </c>
      <c r="AM111" s="8"/>
      <c r="AN111" s="8" t="str">
        <f t="array" ref="AN111">IF($AM111="","",INDEX(TAX_MODES!$B:$B,MATCH($AM111,TAX_MODES!$A:$A,0)))</f>
        <v/>
      </c>
    </row>
    <row r="112" ht="14.25" customHeight="1">
      <c r="A112" s="31"/>
      <c r="B112" s="31"/>
      <c r="C112" s="31"/>
      <c r="D112" s="32" t="str">
        <f>IF($C112="","",SUMIFS(SITE_COEFFS!$C:$C,SITE_COEFFS!$A:$A,"SoilWorkability",SITE_COEFFS!$B:$B,$C112))</f>
        <v/>
      </c>
      <c r="E112" s="31"/>
      <c r="F112" s="32" t="str">
        <f>IF($E112="","",SUMIFS(SITE_COEFFS!$C:$C,SITE_COEFFS!$A:$A,"SoilMoisture",SITE_COEFFS!$B:$B,$E112))</f>
        <v/>
      </c>
      <c r="G112" s="31"/>
      <c r="H112" s="32" t="str">
        <f>IF($G112="","",SUMIFS(SITE_COEFFS!$C:$C,SITE_COEFFS!$A:$A,"DebrisLevel",SITE_COEFFS!$B:$B,$G112))</f>
        <v/>
      </c>
      <c r="I112" s="31"/>
      <c r="J112" s="32" t="str">
        <f>IF($I112="","",SUMIFS(SITE_COEFFS!$C:$C,SITE_COEFFS!$A:$A,"SlopeClass",SITE_COEFFS!$B:$B,$I112))</f>
        <v/>
      </c>
      <c r="K112" s="31"/>
      <c r="L112" s="32" t="str">
        <f>IF($K112="","",SUMIFS(SITE_COEFFS!$C:$C,SITE_COEFFS!$A:$A,"SurfaceUnevenness",SITE_COEFFS!$B:$B,$K112))</f>
        <v/>
      </c>
      <c r="M112" s="31"/>
      <c r="N112" s="32" t="str">
        <f>IF($M112="","",SUMIFS(SITE_COEFFS!$C:$C,SITE_COEFFS!$A:$A,"AccessClass",SITE_COEFFS!$B:$B,$M112))</f>
        <v/>
      </c>
      <c r="O112" s="31"/>
      <c r="P112" s="32" t="str">
        <f>IF($O112="","",SUMIFS(SITE_COEFFS!$C:$C,SITE_COEFFS!$A:$A,"TurnSpace",SITE_COEFFS!$B:$B,$O112))</f>
        <v/>
      </c>
      <c r="Q112" s="31"/>
      <c r="R112" s="32" t="str">
        <f>IF($Q112="","",SUMIFS(SITE_COEFFS!$C:$C,SITE_COEFFS!$A:$A,"ProximityToBuildings",SITE_COEFFS!$B:$B,$Q112))</f>
        <v/>
      </c>
      <c r="S112" s="31"/>
      <c r="T112" s="32" t="str">
        <f>IF($S112="","",SUMIFS(SITE_COEFFS!$C:$C,SITE_COEFFS!$A:$A,"MachineryAllowed",SITE_COEFFS!$B:$B,$S112))</f>
        <v/>
      </c>
      <c r="U112" s="31"/>
      <c r="V112" s="31"/>
      <c r="W112" s="32" t="str">
        <f>IF($V112="","",SUMIFS(SITE_COEFFS!$C:$C,SITE_COEFFS!$A:$A,"GeometryComplexity",SITE_COEFFS!$B:$B,$V112))</f>
        <v/>
      </c>
      <c r="X112" s="31"/>
      <c r="Y112" s="31" t="str">
        <f>IF($X112="","",SUMIFS(TARIFF_PROFILES!$D:$D,TARIFF_PROFILES!$A:$A,$X112))</f>
        <v/>
      </c>
      <c r="Z112" s="31" t="str">
        <f>IF($X112="","",SUMIFS(TARIFF_PROFILES!$E:$E,TARIFF_PROFILES!$A:$A,$X112))</f>
        <v/>
      </c>
      <c r="AA112" s="31" t="str">
        <f>IF($X112="","",SUMIFS(TARIFF_PROFILES!$F:$F,TARIFF_PROFILES!$A:$A,$X112))</f>
        <v/>
      </c>
      <c r="AB112" s="31" t="str">
        <f>IF($X112="","",SUMIFS(TARIFF_PROFILES!$G:$G,TARIFF_PROFILES!$A:$A,$X112))</f>
        <v/>
      </c>
      <c r="AC112" s="31" t="str">
        <f>IF($X112="","",SUMIFS(TARIFF_PROFILES!$H:$H,TARIFF_PROFILES!$A:$A,$X112))</f>
        <v/>
      </c>
      <c r="AD112" s="31" t="str">
        <f t="array" ref="AD112">IF($X112="","",INDEX(TARIFF_PROFILES!$J:$J,MATCH($X112,TARIFF_PROFILES!$A:$A,0)))</f>
        <v/>
      </c>
      <c r="AE112" s="31" t="str">
        <f t="array" ref="AE112">IF($X112="","",INDEX(TARIFF_PROFILES!$K:$K,MATCH($X112,TARIFF_PROFILES!$A:$A,0)))</f>
        <v/>
      </c>
      <c r="AG112" s="8"/>
      <c r="AH112" s="8" t="str">
        <f>IF($AG112="","",SUMIFS(OPERATING_COEFFS!$C:$C,OPERATING_COEFFS!$A:$A,"DistanceClass",OPERATING_COEFFS!$B:$B,$AG112))</f>
        <v/>
      </c>
      <c r="AI112" s="8"/>
      <c r="AJ112" s="8" t="str">
        <f>IF($AI112="","",SUMIFS(OPERATING_COEFFS!$C:$C,OPERATING_COEFFS!$A:$A,"SeasonClass",OPERATING_COEFFS!$B:$B,$AI112))</f>
        <v/>
      </c>
      <c r="AK112" s="8"/>
      <c r="AL112" s="8" t="str">
        <f>IF($AK112="","",SUMIFS(OPERATING_COEFFS!$C:$C,OPERATING_COEFFS!$A:$A,"UrgencyClass",OPERATING_COEFFS!$B:$B,$AK112))</f>
        <v/>
      </c>
      <c r="AM112" s="8"/>
      <c r="AN112" s="8" t="str">
        <f t="array" ref="AN112">IF($AM112="","",INDEX(TAX_MODES!$B:$B,MATCH($AM112,TAX_MODES!$A:$A,0)))</f>
        <v/>
      </c>
    </row>
    <row r="113" ht="14.25" customHeight="1">
      <c r="A113" s="31"/>
      <c r="B113" s="31"/>
      <c r="C113" s="31"/>
      <c r="D113" s="32" t="str">
        <f>IF($C113="","",SUMIFS(SITE_COEFFS!$C:$C,SITE_COEFFS!$A:$A,"SoilWorkability",SITE_COEFFS!$B:$B,$C113))</f>
        <v/>
      </c>
      <c r="E113" s="31"/>
      <c r="F113" s="32" t="str">
        <f>IF($E113="","",SUMIFS(SITE_COEFFS!$C:$C,SITE_COEFFS!$A:$A,"SoilMoisture",SITE_COEFFS!$B:$B,$E113))</f>
        <v/>
      </c>
      <c r="G113" s="31"/>
      <c r="H113" s="32" t="str">
        <f>IF($G113="","",SUMIFS(SITE_COEFFS!$C:$C,SITE_COEFFS!$A:$A,"DebrisLevel",SITE_COEFFS!$B:$B,$G113))</f>
        <v/>
      </c>
      <c r="I113" s="31"/>
      <c r="J113" s="32" t="str">
        <f>IF($I113="","",SUMIFS(SITE_COEFFS!$C:$C,SITE_COEFFS!$A:$A,"SlopeClass",SITE_COEFFS!$B:$B,$I113))</f>
        <v/>
      </c>
      <c r="K113" s="31"/>
      <c r="L113" s="32" t="str">
        <f>IF($K113="","",SUMIFS(SITE_COEFFS!$C:$C,SITE_COEFFS!$A:$A,"SurfaceUnevenness",SITE_COEFFS!$B:$B,$K113))</f>
        <v/>
      </c>
      <c r="M113" s="31"/>
      <c r="N113" s="32" t="str">
        <f>IF($M113="","",SUMIFS(SITE_COEFFS!$C:$C,SITE_COEFFS!$A:$A,"AccessClass",SITE_COEFFS!$B:$B,$M113))</f>
        <v/>
      </c>
      <c r="O113" s="31"/>
      <c r="P113" s="32" t="str">
        <f>IF($O113="","",SUMIFS(SITE_COEFFS!$C:$C,SITE_COEFFS!$A:$A,"TurnSpace",SITE_COEFFS!$B:$B,$O113))</f>
        <v/>
      </c>
      <c r="Q113" s="31"/>
      <c r="R113" s="32" t="str">
        <f>IF($Q113="","",SUMIFS(SITE_COEFFS!$C:$C,SITE_COEFFS!$A:$A,"ProximityToBuildings",SITE_COEFFS!$B:$B,$Q113))</f>
        <v/>
      </c>
      <c r="S113" s="31"/>
      <c r="T113" s="32" t="str">
        <f>IF($S113="","",SUMIFS(SITE_COEFFS!$C:$C,SITE_COEFFS!$A:$A,"MachineryAllowed",SITE_COEFFS!$B:$B,$S113))</f>
        <v/>
      </c>
      <c r="U113" s="31"/>
      <c r="V113" s="31"/>
      <c r="W113" s="32" t="str">
        <f>IF($V113="","",SUMIFS(SITE_COEFFS!$C:$C,SITE_COEFFS!$A:$A,"GeometryComplexity",SITE_COEFFS!$B:$B,$V113))</f>
        <v/>
      </c>
      <c r="X113" s="31"/>
      <c r="Y113" s="31" t="str">
        <f>IF($X113="","",SUMIFS(TARIFF_PROFILES!$D:$D,TARIFF_PROFILES!$A:$A,$X113))</f>
        <v/>
      </c>
      <c r="Z113" s="31" t="str">
        <f>IF($X113="","",SUMIFS(TARIFF_PROFILES!$E:$E,TARIFF_PROFILES!$A:$A,$X113))</f>
        <v/>
      </c>
      <c r="AA113" s="31" t="str">
        <f>IF($X113="","",SUMIFS(TARIFF_PROFILES!$F:$F,TARIFF_PROFILES!$A:$A,$X113))</f>
        <v/>
      </c>
      <c r="AB113" s="31" t="str">
        <f>IF($X113="","",SUMIFS(TARIFF_PROFILES!$G:$G,TARIFF_PROFILES!$A:$A,$X113))</f>
        <v/>
      </c>
      <c r="AC113" s="31" t="str">
        <f>IF($X113="","",SUMIFS(TARIFF_PROFILES!$H:$H,TARIFF_PROFILES!$A:$A,$X113))</f>
        <v/>
      </c>
      <c r="AD113" s="31" t="str">
        <f t="array" ref="AD113">IF($X113="","",INDEX(TARIFF_PROFILES!$J:$J,MATCH($X113,TARIFF_PROFILES!$A:$A,0)))</f>
        <v/>
      </c>
      <c r="AE113" s="31" t="str">
        <f t="array" ref="AE113">IF($X113="","",INDEX(TARIFF_PROFILES!$K:$K,MATCH($X113,TARIFF_PROFILES!$A:$A,0)))</f>
        <v/>
      </c>
      <c r="AG113" s="8"/>
      <c r="AH113" s="8" t="str">
        <f>IF($AG113="","",SUMIFS(OPERATING_COEFFS!$C:$C,OPERATING_COEFFS!$A:$A,"DistanceClass",OPERATING_COEFFS!$B:$B,$AG113))</f>
        <v/>
      </c>
      <c r="AI113" s="8"/>
      <c r="AJ113" s="8" t="str">
        <f>IF($AI113="","",SUMIFS(OPERATING_COEFFS!$C:$C,OPERATING_COEFFS!$A:$A,"SeasonClass",OPERATING_COEFFS!$B:$B,$AI113))</f>
        <v/>
      </c>
      <c r="AK113" s="8"/>
      <c r="AL113" s="8" t="str">
        <f>IF($AK113="","",SUMIFS(OPERATING_COEFFS!$C:$C,OPERATING_COEFFS!$A:$A,"UrgencyClass",OPERATING_COEFFS!$B:$B,$AK113))</f>
        <v/>
      </c>
      <c r="AM113" s="8"/>
      <c r="AN113" s="8" t="str">
        <f t="array" ref="AN113">IF($AM113="","",INDEX(TAX_MODES!$B:$B,MATCH($AM113,TAX_MODES!$A:$A,0)))</f>
        <v/>
      </c>
    </row>
    <row r="114" ht="14.25" customHeight="1">
      <c r="A114" s="31"/>
      <c r="B114" s="31"/>
      <c r="C114" s="31"/>
      <c r="D114" s="32" t="str">
        <f>IF($C114="","",SUMIFS(SITE_COEFFS!$C:$C,SITE_COEFFS!$A:$A,"SoilWorkability",SITE_COEFFS!$B:$B,$C114))</f>
        <v/>
      </c>
      <c r="E114" s="31"/>
      <c r="F114" s="32" t="str">
        <f>IF($E114="","",SUMIFS(SITE_COEFFS!$C:$C,SITE_COEFFS!$A:$A,"SoilMoisture",SITE_COEFFS!$B:$B,$E114))</f>
        <v/>
      </c>
      <c r="G114" s="31"/>
      <c r="H114" s="32" t="str">
        <f>IF($G114="","",SUMIFS(SITE_COEFFS!$C:$C,SITE_COEFFS!$A:$A,"DebrisLevel",SITE_COEFFS!$B:$B,$G114))</f>
        <v/>
      </c>
      <c r="I114" s="31"/>
      <c r="J114" s="32" t="str">
        <f>IF($I114="","",SUMIFS(SITE_COEFFS!$C:$C,SITE_COEFFS!$A:$A,"SlopeClass",SITE_COEFFS!$B:$B,$I114))</f>
        <v/>
      </c>
      <c r="K114" s="31"/>
      <c r="L114" s="32" t="str">
        <f>IF($K114="","",SUMIFS(SITE_COEFFS!$C:$C,SITE_COEFFS!$A:$A,"SurfaceUnevenness",SITE_COEFFS!$B:$B,$K114))</f>
        <v/>
      </c>
      <c r="M114" s="31"/>
      <c r="N114" s="32" t="str">
        <f>IF($M114="","",SUMIFS(SITE_COEFFS!$C:$C,SITE_COEFFS!$A:$A,"AccessClass",SITE_COEFFS!$B:$B,$M114))</f>
        <v/>
      </c>
      <c r="O114" s="31"/>
      <c r="P114" s="32" t="str">
        <f>IF($O114="","",SUMIFS(SITE_COEFFS!$C:$C,SITE_COEFFS!$A:$A,"TurnSpace",SITE_COEFFS!$B:$B,$O114))</f>
        <v/>
      </c>
      <c r="Q114" s="31"/>
      <c r="R114" s="32" t="str">
        <f>IF($Q114="","",SUMIFS(SITE_COEFFS!$C:$C,SITE_COEFFS!$A:$A,"ProximityToBuildings",SITE_COEFFS!$B:$B,$Q114))</f>
        <v/>
      </c>
      <c r="S114" s="31"/>
      <c r="T114" s="32" t="str">
        <f>IF($S114="","",SUMIFS(SITE_COEFFS!$C:$C,SITE_COEFFS!$A:$A,"MachineryAllowed",SITE_COEFFS!$B:$B,$S114))</f>
        <v/>
      </c>
      <c r="U114" s="31"/>
      <c r="V114" s="31"/>
      <c r="W114" s="32" t="str">
        <f>IF($V114="","",SUMIFS(SITE_COEFFS!$C:$C,SITE_COEFFS!$A:$A,"GeometryComplexity",SITE_COEFFS!$B:$B,$V114))</f>
        <v/>
      </c>
      <c r="X114" s="31"/>
      <c r="Y114" s="31" t="str">
        <f>IF($X114="","",SUMIFS(TARIFF_PROFILES!$D:$D,TARIFF_PROFILES!$A:$A,$X114))</f>
        <v/>
      </c>
      <c r="Z114" s="31" t="str">
        <f>IF($X114="","",SUMIFS(TARIFF_PROFILES!$E:$E,TARIFF_PROFILES!$A:$A,$X114))</f>
        <v/>
      </c>
      <c r="AA114" s="31" t="str">
        <f>IF($X114="","",SUMIFS(TARIFF_PROFILES!$F:$F,TARIFF_PROFILES!$A:$A,$X114))</f>
        <v/>
      </c>
      <c r="AB114" s="31" t="str">
        <f>IF($X114="","",SUMIFS(TARIFF_PROFILES!$G:$G,TARIFF_PROFILES!$A:$A,$X114))</f>
        <v/>
      </c>
      <c r="AC114" s="31" t="str">
        <f>IF($X114="","",SUMIFS(TARIFF_PROFILES!$H:$H,TARIFF_PROFILES!$A:$A,$X114))</f>
        <v/>
      </c>
      <c r="AD114" s="31" t="str">
        <f t="array" ref="AD114">IF($X114="","",INDEX(TARIFF_PROFILES!$J:$J,MATCH($X114,TARIFF_PROFILES!$A:$A,0)))</f>
        <v/>
      </c>
      <c r="AE114" s="31" t="str">
        <f t="array" ref="AE114">IF($X114="","",INDEX(TARIFF_PROFILES!$K:$K,MATCH($X114,TARIFF_PROFILES!$A:$A,0)))</f>
        <v/>
      </c>
      <c r="AG114" s="8"/>
      <c r="AH114" s="8" t="str">
        <f>IF($AG114="","",SUMIFS(OPERATING_COEFFS!$C:$C,OPERATING_COEFFS!$A:$A,"DistanceClass",OPERATING_COEFFS!$B:$B,$AG114))</f>
        <v/>
      </c>
      <c r="AI114" s="8"/>
      <c r="AJ114" s="8" t="str">
        <f>IF($AI114="","",SUMIFS(OPERATING_COEFFS!$C:$C,OPERATING_COEFFS!$A:$A,"SeasonClass",OPERATING_COEFFS!$B:$B,$AI114))</f>
        <v/>
      </c>
      <c r="AK114" s="8"/>
      <c r="AL114" s="8" t="str">
        <f>IF($AK114="","",SUMIFS(OPERATING_COEFFS!$C:$C,OPERATING_COEFFS!$A:$A,"UrgencyClass",OPERATING_COEFFS!$B:$B,$AK114))</f>
        <v/>
      </c>
      <c r="AM114" s="8"/>
      <c r="AN114" s="8" t="str">
        <f t="array" ref="AN114">IF($AM114="","",INDEX(TAX_MODES!$B:$B,MATCH($AM114,TAX_MODES!$A:$A,0)))</f>
        <v/>
      </c>
    </row>
    <row r="115" ht="14.25" customHeight="1">
      <c r="A115" s="31"/>
      <c r="B115" s="31"/>
      <c r="C115" s="31"/>
      <c r="D115" s="32" t="str">
        <f>IF($C115="","",SUMIFS(SITE_COEFFS!$C:$C,SITE_COEFFS!$A:$A,"SoilWorkability",SITE_COEFFS!$B:$B,$C115))</f>
        <v/>
      </c>
      <c r="E115" s="31"/>
      <c r="F115" s="32" t="str">
        <f>IF($E115="","",SUMIFS(SITE_COEFFS!$C:$C,SITE_COEFFS!$A:$A,"SoilMoisture",SITE_COEFFS!$B:$B,$E115))</f>
        <v/>
      </c>
      <c r="G115" s="31"/>
      <c r="H115" s="32" t="str">
        <f>IF($G115="","",SUMIFS(SITE_COEFFS!$C:$C,SITE_COEFFS!$A:$A,"DebrisLevel",SITE_COEFFS!$B:$B,$G115))</f>
        <v/>
      </c>
      <c r="I115" s="31"/>
      <c r="J115" s="32" t="str">
        <f>IF($I115="","",SUMIFS(SITE_COEFFS!$C:$C,SITE_COEFFS!$A:$A,"SlopeClass",SITE_COEFFS!$B:$B,$I115))</f>
        <v/>
      </c>
      <c r="K115" s="31"/>
      <c r="L115" s="32" t="str">
        <f>IF($K115="","",SUMIFS(SITE_COEFFS!$C:$C,SITE_COEFFS!$A:$A,"SurfaceUnevenness",SITE_COEFFS!$B:$B,$K115))</f>
        <v/>
      </c>
      <c r="M115" s="31"/>
      <c r="N115" s="32" t="str">
        <f>IF($M115="","",SUMIFS(SITE_COEFFS!$C:$C,SITE_COEFFS!$A:$A,"AccessClass",SITE_COEFFS!$B:$B,$M115))</f>
        <v/>
      </c>
      <c r="O115" s="31"/>
      <c r="P115" s="32" t="str">
        <f>IF($O115="","",SUMIFS(SITE_COEFFS!$C:$C,SITE_COEFFS!$A:$A,"TurnSpace",SITE_COEFFS!$B:$B,$O115))</f>
        <v/>
      </c>
      <c r="Q115" s="31"/>
      <c r="R115" s="32" t="str">
        <f>IF($Q115="","",SUMIFS(SITE_COEFFS!$C:$C,SITE_COEFFS!$A:$A,"ProximityToBuildings",SITE_COEFFS!$B:$B,$Q115))</f>
        <v/>
      </c>
      <c r="S115" s="31"/>
      <c r="T115" s="32" t="str">
        <f>IF($S115="","",SUMIFS(SITE_COEFFS!$C:$C,SITE_COEFFS!$A:$A,"MachineryAllowed",SITE_COEFFS!$B:$B,$S115))</f>
        <v/>
      </c>
      <c r="U115" s="31"/>
      <c r="V115" s="31"/>
      <c r="W115" s="32" t="str">
        <f>IF($V115="","",SUMIFS(SITE_COEFFS!$C:$C,SITE_COEFFS!$A:$A,"GeometryComplexity",SITE_COEFFS!$B:$B,$V115))</f>
        <v/>
      </c>
      <c r="X115" s="31"/>
      <c r="Y115" s="31" t="str">
        <f>IF($X115="","",SUMIFS(TARIFF_PROFILES!$D:$D,TARIFF_PROFILES!$A:$A,$X115))</f>
        <v/>
      </c>
      <c r="Z115" s="31" t="str">
        <f>IF($X115="","",SUMIFS(TARIFF_PROFILES!$E:$E,TARIFF_PROFILES!$A:$A,$X115))</f>
        <v/>
      </c>
      <c r="AA115" s="31" t="str">
        <f>IF($X115="","",SUMIFS(TARIFF_PROFILES!$F:$F,TARIFF_PROFILES!$A:$A,$X115))</f>
        <v/>
      </c>
      <c r="AB115" s="31" t="str">
        <f>IF($X115="","",SUMIFS(TARIFF_PROFILES!$G:$G,TARIFF_PROFILES!$A:$A,$X115))</f>
        <v/>
      </c>
      <c r="AC115" s="31" t="str">
        <f>IF($X115="","",SUMIFS(TARIFF_PROFILES!$H:$H,TARIFF_PROFILES!$A:$A,$X115))</f>
        <v/>
      </c>
      <c r="AD115" s="31" t="str">
        <f t="array" ref="AD115">IF($X115="","",INDEX(TARIFF_PROFILES!$J:$J,MATCH($X115,TARIFF_PROFILES!$A:$A,0)))</f>
        <v/>
      </c>
      <c r="AE115" s="31" t="str">
        <f t="array" ref="AE115">IF($X115="","",INDEX(TARIFF_PROFILES!$K:$K,MATCH($X115,TARIFF_PROFILES!$A:$A,0)))</f>
        <v/>
      </c>
      <c r="AG115" s="8"/>
      <c r="AH115" s="8" t="str">
        <f>IF($AG115="","",SUMIFS(OPERATING_COEFFS!$C:$C,OPERATING_COEFFS!$A:$A,"DistanceClass",OPERATING_COEFFS!$B:$B,$AG115))</f>
        <v/>
      </c>
      <c r="AI115" s="8"/>
      <c r="AJ115" s="8" t="str">
        <f>IF($AI115="","",SUMIFS(OPERATING_COEFFS!$C:$C,OPERATING_COEFFS!$A:$A,"SeasonClass",OPERATING_COEFFS!$B:$B,$AI115))</f>
        <v/>
      </c>
      <c r="AK115" s="8"/>
      <c r="AL115" s="8" t="str">
        <f>IF($AK115="","",SUMIFS(OPERATING_COEFFS!$C:$C,OPERATING_COEFFS!$A:$A,"UrgencyClass",OPERATING_COEFFS!$B:$B,$AK115))</f>
        <v/>
      </c>
      <c r="AM115" s="8"/>
      <c r="AN115" s="8" t="str">
        <f t="array" ref="AN115">IF($AM115="","",INDEX(TAX_MODES!$B:$B,MATCH($AM115,TAX_MODES!$A:$A,0)))</f>
        <v/>
      </c>
    </row>
    <row r="116" ht="14.25" customHeight="1">
      <c r="A116" s="31"/>
      <c r="B116" s="31"/>
      <c r="C116" s="31"/>
      <c r="D116" s="32" t="str">
        <f>IF($C116="","",SUMIFS(SITE_COEFFS!$C:$C,SITE_COEFFS!$A:$A,"SoilWorkability",SITE_COEFFS!$B:$B,$C116))</f>
        <v/>
      </c>
      <c r="E116" s="31"/>
      <c r="F116" s="32" t="str">
        <f>IF($E116="","",SUMIFS(SITE_COEFFS!$C:$C,SITE_COEFFS!$A:$A,"SoilMoisture",SITE_COEFFS!$B:$B,$E116))</f>
        <v/>
      </c>
      <c r="G116" s="31"/>
      <c r="H116" s="32" t="str">
        <f>IF($G116="","",SUMIFS(SITE_COEFFS!$C:$C,SITE_COEFFS!$A:$A,"DebrisLevel",SITE_COEFFS!$B:$B,$G116))</f>
        <v/>
      </c>
      <c r="I116" s="31"/>
      <c r="J116" s="32" t="str">
        <f>IF($I116="","",SUMIFS(SITE_COEFFS!$C:$C,SITE_COEFFS!$A:$A,"SlopeClass",SITE_COEFFS!$B:$B,$I116))</f>
        <v/>
      </c>
      <c r="K116" s="31"/>
      <c r="L116" s="32" t="str">
        <f>IF($K116="","",SUMIFS(SITE_COEFFS!$C:$C,SITE_COEFFS!$A:$A,"SurfaceUnevenness",SITE_COEFFS!$B:$B,$K116))</f>
        <v/>
      </c>
      <c r="M116" s="31"/>
      <c r="N116" s="32" t="str">
        <f>IF($M116="","",SUMIFS(SITE_COEFFS!$C:$C,SITE_COEFFS!$A:$A,"AccessClass",SITE_COEFFS!$B:$B,$M116))</f>
        <v/>
      </c>
      <c r="O116" s="31"/>
      <c r="P116" s="32" t="str">
        <f>IF($O116="","",SUMIFS(SITE_COEFFS!$C:$C,SITE_COEFFS!$A:$A,"TurnSpace",SITE_COEFFS!$B:$B,$O116))</f>
        <v/>
      </c>
      <c r="Q116" s="31"/>
      <c r="R116" s="32" t="str">
        <f>IF($Q116="","",SUMIFS(SITE_COEFFS!$C:$C,SITE_COEFFS!$A:$A,"ProximityToBuildings",SITE_COEFFS!$B:$B,$Q116))</f>
        <v/>
      </c>
      <c r="S116" s="31"/>
      <c r="T116" s="32" t="str">
        <f>IF($S116="","",SUMIFS(SITE_COEFFS!$C:$C,SITE_COEFFS!$A:$A,"MachineryAllowed",SITE_COEFFS!$B:$B,$S116))</f>
        <v/>
      </c>
      <c r="U116" s="31"/>
      <c r="V116" s="31"/>
      <c r="W116" s="32" t="str">
        <f>IF($V116="","",SUMIFS(SITE_COEFFS!$C:$C,SITE_COEFFS!$A:$A,"GeometryComplexity",SITE_COEFFS!$B:$B,$V116))</f>
        <v/>
      </c>
      <c r="X116" s="31"/>
      <c r="Y116" s="31" t="str">
        <f>IF($X116="","",SUMIFS(TARIFF_PROFILES!$D:$D,TARIFF_PROFILES!$A:$A,$X116))</f>
        <v/>
      </c>
      <c r="Z116" s="31" t="str">
        <f>IF($X116="","",SUMIFS(TARIFF_PROFILES!$E:$E,TARIFF_PROFILES!$A:$A,$X116))</f>
        <v/>
      </c>
      <c r="AA116" s="31" t="str">
        <f>IF($X116="","",SUMIFS(TARIFF_PROFILES!$F:$F,TARIFF_PROFILES!$A:$A,$X116))</f>
        <v/>
      </c>
      <c r="AB116" s="31" t="str">
        <f>IF($X116="","",SUMIFS(TARIFF_PROFILES!$G:$G,TARIFF_PROFILES!$A:$A,$X116))</f>
        <v/>
      </c>
      <c r="AC116" s="31" t="str">
        <f>IF($X116="","",SUMIFS(TARIFF_PROFILES!$H:$H,TARIFF_PROFILES!$A:$A,$X116))</f>
        <v/>
      </c>
      <c r="AD116" s="31" t="str">
        <f t="array" ref="AD116">IF($X116="","",INDEX(TARIFF_PROFILES!$J:$J,MATCH($X116,TARIFF_PROFILES!$A:$A,0)))</f>
        <v/>
      </c>
      <c r="AE116" s="31" t="str">
        <f t="array" ref="AE116">IF($X116="","",INDEX(TARIFF_PROFILES!$K:$K,MATCH($X116,TARIFF_PROFILES!$A:$A,0)))</f>
        <v/>
      </c>
      <c r="AG116" s="8"/>
      <c r="AH116" s="8" t="str">
        <f>IF($AG116="","",SUMIFS(OPERATING_COEFFS!$C:$C,OPERATING_COEFFS!$A:$A,"DistanceClass",OPERATING_COEFFS!$B:$B,$AG116))</f>
        <v/>
      </c>
      <c r="AI116" s="8"/>
      <c r="AJ116" s="8" t="str">
        <f>IF($AI116="","",SUMIFS(OPERATING_COEFFS!$C:$C,OPERATING_COEFFS!$A:$A,"SeasonClass",OPERATING_COEFFS!$B:$B,$AI116))</f>
        <v/>
      </c>
      <c r="AK116" s="8"/>
      <c r="AL116" s="8" t="str">
        <f>IF($AK116="","",SUMIFS(OPERATING_COEFFS!$C:$C,OPERATING_COEFFS!$A:$A,"UrgencyClass",OPERATING_COEFFS!$B:$B,$AK116))</f>
        <v/>
      </c>
      <c r="AM116" s="8"/>
      <c r="AN116" s="8" t="str">
        <f t="array" ref="AN116">IF($AM116="","",INDEX(TAX_MODES!$B:$B,MATCH($AM116,TAX_MODES!$A:$A,0)))</f>
        <v/>
      </c>
    </row>
    <row r="117" ht="14.25" customHeight="1">
      <c r="A117" s="31"/>
      <c r="B117" s="31"/>
      <c r="C117" s="31"/>
      <c r="D117" s="32" t="str">
        <f>IF($C117="","",SUMIFS(SITE_COEFFS!$C:$C,SITE_COEFFS!$A:$A,"SoilWorkability",SITE_COEFFS!$B:$B,$C117))</f>
        <v/>
      </c>
      <c r="E117" s="31"/>
      <c r="F117" s="32" t="str">
        <f>IF($E117="","",SUMIFS(SITE_COEFFS!$C:$C,SITE_COEFFS!$A:$A,"SoilMoisture",SITE_COEFFS!$B:$B,$E117))</f>
        <v/>
      </c>
      <c r="G117" s="31"/>
      <c r="H117" s="32" t="str">
        <f>IF($G117="","",SUMIFS(SITE_COEFFS!$C:$C,SITE_COEFFS!$A:$A,"DebrisLevel",SITE_COEFFS!$B:$B,$G117))</f>
        <v/>
      </c>
      <c r="I117" s="31"/>
      <c r="J117" s="32" t="str">
        <f>IF($I117="","",SUMIFS(SITE_COEFFS!$C:$C,SITE_COEFFS!$A:$A,"SlopeClass",SITE_COEFFS!$B:$B,$I117))</f>
        <v/>
      </c>
      <c r="K117" s="31"/>
      <c r="L117" s="32" t="str">
        <f>IF($K117="","",SUMIFS(SITE_COEFFS!$C:$C,SITE_COEFFS!$A:$A,"SurfaceUnevenness",SITE_COEFFS!$B:$B,$K117))</f>
        <v/>
      </c>
      <c r="M117" s="31"/>
      <c r="N117" s="32" t="str">
        <f>IF($M117="","",SUMIFS(SITE_COEFFS!$C:$C,SITE_COEFFS!$A:$A,"AccessClass",SITE_COEFFS!$B:$B,$M117))</f>
        <v/>
      </c>
      <c r="O117" s="31"/>
      <c r="P117" s="32" t="str">
        <f>IF($O117="","",SUMIFS(SITE_COEFFS!$C:$C,SITE_COEFFS!$A:$A,"TurnSpace",SITE_COEFFS!$B:$B,$O117))</f>
        <v/>
      </c>
      <c r="Q117" s="31"/>
      <c r="R117" s="32" t="str">
        <f>IF($Q117="","",SUMIFS(SITE_COEFFS!$C:$C,SITE_COEFFS!$A:$A,"ProximityToBuildings",SITE_COEFFS!$B:$B,$Q117))</f>
        <v/>
      </c>
      <c r="S117" s="31"/>
      <c r="T117" s="32" t="str">
        <f>IF($S117="","",SUMIFS(SITE_COEFFS!$C:$C,SITE_COEFFS!$A:$A,"MachineryAllowed",SITE_COEFFS!$B:$B,$S117))</f>
        <v/>
      </c>
      <c r="U117" s="31"/>
      <c r="V117" s="31"/>
      <c r="W117" s="32" t="str">
        <f>IF($V117="","",SUMIFS(SITE_COEFFS!$C:$C,SITE_COEFFS!$A:$A,"GeometryComplexity",SITE_COEFFS!$B:$B,$V117))</f>
        <v/>
      </c>
      <c r="X117" s="31"/>
      <c r="Y117" s="31" t="str">
        <f>IF($X117="","",SUMIFS(TARIFF_PROFILES!$D:$D,TARIFF_PROFILES!$A:$A,$X117))</f>
        <v/>
      </c>
      <c r="Z117" s="31" t="str">
        <f>IF($X117="","",SUMIFS(TARIFF_PROFILES!$E:$E,TARIFF_PROFILES!$A:$A,$X117))</f>
        <v/>
      </c>
      <c r="AA117" s="31" t="str">
        <f>IF($X117="","",SUMIFS(TARIFF_PROFILES!$F:$F,TARIFF_PROFILES!$A:$A,$X117))</f>
        <v/>
      </c>
      <c r="AB117" s="31" t="str">
        <f>IF($X117="","",SUMIFS(TARIFF_PROFILES!$G:$G,TARIFF_PROFILES!$A:$A,$X117))</f>
        <v/>
      </c>
      <c r="AC117" s="31" t="str">
        <f>IF($X117="","",SUMIFS(TARIFF_PROFILES!$H:$H,TARIFF_PROFILES!$A:$A,$X117))</f>
        <v/>
      </c>
      <c r="AD117" s="31" t="str">
        <f t="array" ref="AD117">IF($X117="","",INDEX(TARIFF_PROFILES!$J:$J,MATCH($X117,TARIFF_PROFILES!$A:$A,0)))</f>
        <v/>
      </c>
      <c r="AE117" s="31" t="str">
        <f t="array" ref="AE117">IF($X117="","",INDEX(TARIFF_PROFILES!$K:$K,MATCH($X117,TARIFF_PROFILES!$A:$A,0)))</f>
        <v/>
      </c>
      <c r="AG117" s="8"/>
      <c r="AH117" s="8" t="str">
        <f>IF($AG117="","",SUMIFS(OPERATING_COEFFS!$C:$C,OPERATING_COEFFS!$A:$A,"DistanceClass",OPERATING_COEFFS!$B:$B,$AG117))</f>
        <v/>
      </c>
      <c r="AI117" s="8"/>
      <c r="AJ117" s="8" t="str">
        <f>IF($AI117="","",SUMIFS(OPERATING_COEFFS!$C:$C,OPERATING_COEFFS!$A:$A,"SeasonClass",OPERATING_COEFFS!$B:$B,$AI117))</f>
        <v/>
      </c>
      <c r="AK117" s="8"/>
      <c r="AL117" s="8" t="str">
        <f>IF($AK117="","",SUMIFS(OPERATING_COEFFS!$C:$C,OPERATING_COEFFS!$A:$A,"UrgencyClass",OPERATING_COEFFS!$B:$B,$AK117))</f>
        <v/>
      </c>
      <c r="AM117" s="8"/>
      <c r="AN117" s="8" t="str">
        <f t="array" ref="AN117">IF($AM117="","",INDEX(TAX_MODES!$B:$B,MATCH($AM117,TAX_MODES!$A:$A,0)))</f>
        <v/>
      </c>
    </row>
    <row r="118" ht="14.25" customHeight="1">
      <c r="A118" s="31"/>
      <c r="B118" s="31"/>
      <c r="C118" s="31"/>
      <c r="D118" s="32" t="str">
        <f>IF($C118="","",SUMIFS(SITE_COEFFS!$C:$C,SITE_COEFFS!$A:$A,"SoilWorkability",SITE_COEFFS!$B:$B,$C118))</f>
        <v/>
      </c>
      <c r="E118" s="31"/>
      <c r="F118" s="32" t="str">
        <f>IF($E118="","",SUMIFS(SITE_COEFFS!$C:$C,SITE_COEFFS!$A:$A,"SoilMoisture",SITE_COEFFS!$B:$B,$E118))</f>
        <v/>
      </c>
      <c r="G118" s="31"/>
      <c r="H118" s="32" t="str">
        <f>IF($G118="","",SUMIFS(SITE_COEFFS!$C:$C,SITE_COEFFS!$A:$A,"DebrisLevel",SITE_COEFFS!$B:$B,$G118))</f>
        <v/>
      </c>
      <c r="I118" s="31"/>
      <c r="J118" s="32" t="str">
        <f>IF($I118="","",SUMIFS(SITE_COEFFS!$C:$C,SITE_COEFFS!$A:$A,"SlopeClass",SITE_COEFFS!$B:$B,$I118))</f>
        <v/>
      </c>
      <c r="K118" s="31"/>
      <c r="L118" s="32" t="str">
        <f>IF($K118="","",SUMIFS(SITE_COEFFS!$C:$C,SITE_COEFFS!$A:$A,"SurfaceUnevenness",SITE_COEFFS!$B:$B,$K118))</f>
        <v/>
      </c>
      <c r="M118" s="31"/>
      <c r="N118" s="32" t="str">
        <f>IF($M118="","",SUMIFS(SITE_COEFFS!$C:$C,SITE_COEFFS!$A:$A,"AccessClass",SITE_COEFFS!$B:$B,$M118))</f>
        <v/>
      </c>
      <c r="O118" s="31"/>
      <c r="P118" s="32" t="str">
        <f>IF($O118="","",SUMIFS(SITE_COEFFS!$C:$C,SITE_COEFFS!$A:$A,"TurnSpace",SITE_COEFFS!$B:$B,$O118))</f>
        <v/>
      </c>
      <c r="Q118" s="31"/>
      <c r="R118" s="32" t="str">
        <f>IF($Q118="","",SUMIFS(SITE_COEFFS!$C:$C,SITE_COEFFS!$A:$A,"ProximityToBuildings",SITE_COEFFS!$B:$B,$Q118))</f>
        <v/>
      </c>
      <c r="S118" s="31"/>
      <c r="T118" s="32" t="str">
        <f>IF($S118="","",SUMIFS(SITE_COEFFS!$C:$C,SITE_COEFFS!$A:$A,"MachineryAllowed",SITE_COEFFS!$B:$B,$S118))</f>
        <v/>
      </c>
      <c r="U118" s="31"/>
      <c r="V118" s="31"/>
      <c r="W118" s="32" t="str">
        <f>IF($V118="","",SUMIFS(SITE_COEFFS!$C:$C,SITE_COEFFS!$A:$A,"GeometryComplexity",SITE_COEFFS!$B:$B,$V118))</f>
        <v/>
      </c>
      <c r="X118" s="31"/>
      <c r="Y118" s="31" t="str">
        <f>IF($X118="","",SUMIFS(TARIFF_PROFILES!$D:$D,TARIFF_PROFILES!$A:$A,$X118))</f>
        <v/>
      </c>
      <c r="Z118" s="31" t="str">
        <f>IF($X118="","",SUMIFS(TARIFF_PROFILES!$E:$E,TARIFF_PROFILES!$A:$A,$X118))</f>
        <v/>
      </c>
      <c r="AA118" s="31" t="str">
        <f>IF($X118="","",SUMIFS(TARIFF_PROFILES!$F:$F,TARIFF_PROFILES!$A:$A,$X118))</f>
        <v/>
      </c>
      <c r="AB118" s="31" t="str">
        <f>IF($X118="","",SUMIFS(TARIFF_PROFILES!$G:$G,TARIFF_PROFILES!$A:$A,$X118))</f>
        <v/>
      </c>
      <c r="AC118" s="31" t="str">
        <f>IF($X118="","",SUMIFS(TARIFF_PROFILES!$H:$H,TARIFF_PROFILES!$A:$A,$X118))</f>
        <v/>
      </c>
      <c r="AD118" s="31" t="str">
        <f t="array" ref="AD118">IF($X118="","",INDEX(TARIFF_PROFILES!$J:$J,MATCH($X118,TARIFF_PROFILES!$A:$A,0)))</f>
        <v/>
      </c>
      <c r="AE118" s="31" t="str">
        <f t="array" ref="AE118">IF($X118="","",INDEX(TARIFF_PROFILES!$K:$K,MATCH($X118,TARIFF_PROFILES!$A:$A,0)))</f>
        <v/>
      </c>
      <c r="AG118" s="8"/>
      <c r="AH118" s="8" t="str">
        <f>IF($AG118="","",SUMIFS(OPERATING_COEFFS!$C:$C,OPERATING_COEFFS!$A:$A,"DistanceClass",OPERATING_COEFFS!$B:$B,$AG118))</f>
        <v/>
      </c>
      <c r="AI118" s="8"/>
      <c r="AJ118" s="8" t="str">
        <f>IF($AI118="","",SUMIFS(OPERATING_COEFFS!$C:$C,OPERATING_COEFFS!$A:$A,"SeasonClass",OPERATING_COEFFS!$B:$B,$AI118))</f>
        <v/>
      </c>
      <c r="AK118" s="8"/>
      <c r="AL118" s="8" t="str">
        <f>IF($AK118="","",SUMIFS(OPERATING_COEFFS!$C:$C,OPERATING_COEFFS!$A:$A,"UrgencyClass",OPERATING_COEFFS!$B:$B,$AK118))</f>
        <v/>
      </c>
      <c r="AM118" s="8"/>
      <c r="AN118" s="8" t="str">
        <f t="array" ref="AN118">IF($AM118="","",INDEX(TAX_MODES!$B:$B,MATCH($AM118,TAX_MODES!$A:$A,0)))</f>
        <v/>
      </c>
    </row>
    <row r="119" ht="14.25" customHeight="1">
      <c r="A119" s="31"/>
      <c r="B119" s="31"/>
      <c r="C119" s="31"/>
      <c r="D119" s="32" t="str">
        <f>IF($C119="","",SUMIFS(SITE_COEFFS!$C:$C,SITE_COEFFS!$A:$A,"SoilWorkability",SITE_COEFFS!$B:$B,$C119))</f>
        <v/>
      </c>
      <c r="E119" s="31"/>
      <c r="F119" s="32" t="str">
        <f>IF($E119="","",SUMIFS(SITE_COEFFS!$C:$C,SITE_COEFFS!$A:$A,"SoilMoisture",SITE_COEFFS!$B:$B,$E119))</f>
        <v/>
      </c>
      <c r="G119" s="31"/>
      <c r="H119" s="32" t="str">
        <f>IF($G119="","",SUMIFS(SITE_COEFFS!$C:$C,SITE_COEFFS!$A:$A,"DebrisLevel",SITE_COEFFS!$B:$B,$G119))</f>
        <v/>
      </c>
      <c r="I119" s="31"/>
      <c r="J119" s="32" t="str">
        <f>IF($I119="","",SUMIFS(SITE_COEFFS!$C:$C,SITE_COEFFS!$A:$A,"SlopeClass",SITE_COEFFS!$B:$B,$I119))</f>
        <v/>
      </c>
      <c r="K119" s="31"/>
      <c r="L119" s="32" t="str">
        <f>IF($K119="","",SUMIFS(SITE_COEFFS!$C:$C,SITE_COEFFS!$A:$A,"SurfaceUnevenness",SITE_COEFFS!$B:$B,$K119))</f>
        <v/>
      </c>
      <c r="M119" s="31"/>
      <c r="N119" s="32" t="str">
        <f>IF($M119="","",SUMIFS(SITE_COEFFS!$C:$C,SITE_COEFFS!$A:$A,"AccessClass",SITE_COEFFS!$B:$B,$M119))</f>
        <v/>
      </c>
      <c r="O119" s="31"/>
      <c r="P119" s="32" t="str">
        <f>IF($O119="","",SUMIFS(SITE_COEFFS!$C:$C,SITE_COEFFS!$A:$A,"TurnSpace",SITE_COEFFS!$B:$B,$O119))</f>
        <v/>
      </c>
      <c r="Q119" s="31"/>
      <c r="R119" s="32" t="str">
        <f>IF($Q119="","",SUMIFS(SITE_COEFFS!$C:$C,SITE_COEFFS!$A:$A,"ProximityToBuildings",SITE_COEFFS!$B:$B,$Q119))</f>
        <v/>
      </c>
      <c r="S119" s="31"/>
      <c r="T119" s="32" t="str">
        <f>IF($S119="","",SUMIFS(SITE_COEFFS!$C:$C,SITE_COEFFS!$A:$A,"MachineryAllowed",SITE_COEFFS!$B:$B,$S119))</f>
        <v/>
      </c>
      <c r="U119" s="31"/>
      <c r="V119" s="31"/>
      <c r="W119" s="32" t="str">
        <f>IF($V119="","",SUMIFS(SITE_COEFFS!$C:$C,SITE_COEFFS!$A:$A,"GeometryComplexity",SITE_COEFFS!$B:$B,$V119))</f>
        <v/>
      </c>
      <c r="X119" s="31"/>
      <c r="Y119" s="31" t="str">
        <f>IF($X119="","",SUMIFS(TARIFF_PROFILES!$D:$D,TARIFF_PROFILES!$A:$A,$X119))</f>
        <v/>
      </c>
      <c r="Z119" s="31" t="str">
        <f>IF($X119="","",SUMIFS(TARIFF_PROFILES!$E:$E,TARIFF_PROFILES!$A:$A,$X119))</f>
        <v/>
      </c>
      <c r="AA119" s="31" t="str">
        <f>IF($X119="","",SUMIFS(TARIFF_PROFILES!$F:$F,TARIFF_PROFILES!$A:$A,$X119))</f>
        <v/>
      </c>
      <c r="AB119" s="31" t="str">
        <f>IF($X119="","",SUMIFS(TARIFF_PROFILES!$G:$G,TARIFF_PROFILES!$A:$A,$X119))</f>
        <v/>
      </c>
      <c r="AC119" s="31" t="str">
        <f>IF($X119="","",SUMIFS(TARIFF_PROFILES!$H:$H,TARIFF_PROFILES!$A:$A,$X119))</f>
        <v/>
      </c>
      <c r="AD119" s="31" t="str">
        <f t="array" ref="AD119">IF($X119="","",INDEX(TARIFF_PROFILES!$J:$J,MATCH($X119,TARIFF_PROFILES!$A:$A,0)))</f>
        <v/>
      </c>
      <c r="AE119" s="31" t="str">
        <f t="array" ref="AE119">IF($X119="","",INDEX(TARIFF_PROFILES!$K:$K,MATCH($X119,TARIFF_PROFILES!$A:$A,0)))</f>
        <v/>
      </c>
      <c r="AG119" s="8"/>
      <c r="AH119" s="8" t="str">
        <f>IF($AG119="","",SUMIFS(OPERATING_COEFFS!$C:$C,OPERATING_COEFFS!$A:$A,"DistanceClass",OPERATING_COEFFS!$B:$B,$AG119))</f>
        <v/>
      </c>
      <c r="AI119" s="8"/>
      <c r="AJ119" s="8" t="str">
        <f>IF($AI119="","",SUMIFS(OPERATING_COEFFS!$C:$C,OPERATING_COEFFS!$A:$A,"SeasonClass",OPERATING_COEFFS!$B:$B,$AI119))</f>
        <v/>
      </c>
      <c r="AK119" s="8"/>
      <c r="AL119" s="8" t="str">
        <f>IF($AK119="","",SUMIFS(OPERATING_COEFFS!$C:$C,OPERATING_COEFFS!$A:$A,"UrgencyClass",OPERATING_COEFFS!$B:$B,$AK119))</f>
        <v/>
      </c>
      <c r="AM119" s="8"/>
      <c r="AN119" s="8" t="str">
        <f t="array" ref="AN119">IF($AM119="","",INDEX(TAX_MODES!$B:$B,MATCH($AM119,TAX_MODES!$A:$A,0)))</f>
        <v/>
      </c>
    </row>
    <row r="120" ht="14.25" customHeight="1">
      <c r="A120" s="31"/>
      <c r="B120" s="31"/>
      <c r="C120" s="31"/>
      <c r="D120" s="32" t="str">
        <f>IF($C120="","",SUMIFS(SITE_COEFFS!$C:$C,SITE_COEFFS!$A:$A,"SoilWorkability",SITE_COEFFS!$B:$B,$C120))</f>
        <v/>
      </c>
      <c r="E120" s="31"/>
      <c r="F120" s="32" t="str">
        <f>IF($E120="","",SUMIFS(SITE_COEFFS!$C:$C,SITE_COEFFS!$A:$A,"SoilMoisture",SITE_COEFFS!$B:$B,$E120))</f>
        <v/>
      </c>
      <c r="G120" s="31"/>
      <c r="H120" s="32" t="str">
        <f>IF($G120="","",SUMIFS(SITE_COEFFS!$C:$C,SITE_COEFFS!$A:$A,"DebrisLevel",SITE_COEFFS!$B:$B,$G120))</f>
        <v/>
      </c>
      <c r="I120" s="31"/>
      <c r="J120" s="32" t="str">
        <f>IF($I120="","",SUMIFS(SITE_COEFFS!$C:$C,SITE_COEFFS!$A:$A,"SlopeClass",SITE_COEFFS!$B:$B,$I120))</f>
        <v/>
      </c>
      <c r="K120" s="31"/>
      <c r="L120" s="32" t="str">
        <f>IF($K120="","",SUMIFS(SITE_COEFFS!$C:$C,SITE_COEFFS!$A:$A,"SurfaceUnevenness",SITE_COEFFS!$B:$B,$K120))</f>
        <v/>
      </c>
      <c r="M120" s="31"/>
      <c r="N120" s="32" t="str">
        <f>IF($M120="","",SUMIFS(SITE_COEFFS!$C:$C,SITE_COEFFS!$A:$A,"AccessClass",SITE_COEFFS!$B:$B,$M120))</f>
        <v/>
      </c>
      <c r="O120" s="31"/>
      <c r="P120" s="32" t="str">
        <f>IF($O120="","",SUMIFS(SITE_COEFFS!$C:$C,SITE_COEFFS!$A:$A,"TurnSpace",SITE_COEFFS!$B:$B,$O120))</f>
        <v/>
      </c>
      <c r="Q120" s="31"/>
      <c r="R120" s="32" t="str">
        <f>IF($Q120="","",SUMIFS(SITE_COEFFS!$C:$C,SITE_COEFFS!$A:$A,"ProximityToBuildings",SITE_COEFFS!$B:$B,$Q120))</f>
        <v/>
      </c>
      <c r="S120" s="31"/>
      <c r="T120" s="32" t="str">
        <f>IF($S120="","",SUMIFS(SITE_COEFFS!$C:$C,SITE_COEFFS!$A:$A,"MachineryAllowed",SITE_COEFFS!$B:$B,$S120))</f>
        <v/>
      </c>
      <c r="U120" s="31"/>
      <c r="V120" s="31"/>
      <c r="W120" s="32" t="str">
        <f>IF($V120="","",SUMIFS(SITE_COEFFS!$C:$C,SITE_COEFFS!$A:$A,"GeometryComplexity",SITE_COEFFS!$B:$B,$V120))</f>
        <v/>
      </c>
      <c r="X120" s="31"/>
      <c r="Y120" s="31" t="str">
        <f>IF($X120="","",SUMIFS(TARIFF_PROFILES!$D:$D,TARIFF_PROFILES!$A:$A,$X120))</f>
        <v/>
      </c>
      <c r="Z120" s="31" t="str">
        <f>IF($X120="","",SUMIFS(TARIFF_PROFILES!$E:$E,TARIFF_PROFILES!$A:$A,$X120))</f>
        <v/>
      </c>
      <c r="AA120" s="31" t="str">
        <f>IF($X120="","",SUMIFS(TARIFF_PROFILES!$F:$F,TARIFF_PROFILES!$A:$A,$X120))</f>
        <v/>
      </c>
      <c r="AB120" s="31" t="str">
        <f>IF($X120="","",SUMIFS(TARIFF_PROFILES!$G:$G,TARIFF_PROFILES!$A:$A,$X120))</f>
        <v/>
      </c>
      <c r="AC120" s="31" t="str">
        <f>IF($X120="","",SUMIFS(TARIFF_PROFILES!$H:$H,TARIFF_PROFILES!$A:$A,$X120))</f>
        <v/>
      </c>
      <c r="AD120" s="31" t="str">
        <f t="array" ref="AD120">IF($X120="","",INDEX(TARIFF_PROFILES!$J:$J,MATCH($X120,TARIFF_PROFILES!$A:$A,0)))</f>
        <v/>
      </c>
      <c r="AE120" s="31" t="str">
        <f t="array" ref="AE120">IF($X120="","",INDEX(TARIFF_PROFILES!$K:$K,MATCH($X120,TARIFF_PROFILES!$A:$A,0)))</f>
        <v/>
      </c>
      <c r="AG120" s="8"/>
      <c r="AH120" s="8" t="str">
        <f>IF($AG120="","",SUMIFS(OPERATING_COEFFS!$C:$C,OPERATING_COEFFS!$A:$A,"DistanceClass",OPERATING_COEFFS!$B:$B,$AG120))</f>
        <v/>
      </c>
      <c r="AI120" s="8"/>
      <c r="AJ120" s="8" t="str">
        <f>IF($AI120="","",SUMIFS(OPERATING_COEFFS!$C:$C,OPERATING_COEFFS!$A:$A,"SeasonClass",OPERATING_COEFFS!$B:$B,$AI120))</f>
        <v/>
      </c>
      <c r="AK120" s="8"/>
      <c r="AL120" s="8" t="str">
        <f>IF($AK120="","",SUMIFS(OPERATING_COEFFS!$C:$C,OPERATING_COEFFS!$A:$A,"UrgencyClass",OPERATING_COEFFS!$B:$B,$AK120))</f>
        <v/>
      </c>
      <c r="AM120" s="8"/>
      <c r="AN120" s="8" t="str">
        <f t="array" ref="AN120">IF($AM120="","",INDEX(TAX_MODES!$B:$B,MATCH($AM120,TAX_MODES!$A:$A,0)))</f>
        <v/>
      </c>
    </row>
    <row r="121" ht="14.25" customHeight="1">
      <c r="A121" s="31"/>
      <c r="B121" s="31"/>
      <c r="C121" s="31"/>
      <c r="D121" s="32" t="str">
        <f>IF($C121="","",SUMIFS(SITE_COEFFS!$C:$C,SITE_COEFFS!$A:$A,"SoilWorkability",SITE_COEFFS!$B:$B,$C121))</f>
        <v/>
      </c>
      <c r="E121" s="31"/>
      <c r="F121" s="32" t="str">
        <f>IF($E121="","",SUMIFS(SITE_COEFFS!$C:$C,SITE_COEFFS!$A:$A,"SoilMoisture",SITE_COEFFS!$B:$B,$E121))</f>
        <v/>
      </c>
      <c r="G121" s="31"/>
      <c r="H121" s="32" t="str">
        <f>IF($G121="","",SUMIFS(SITE_COEFFS!$C:$C,SITE_COEFFS!$A:$A,"DebrisLevel",SITE_COEFFS!$B:$B,$G121))</f>
        <v/>
      </c>
      <c r="I121" s="31"/>
      <c r="J121" s="32" t="str">
        <f>IF($I121="","",SUMIFS(SITE_COEFFS!$C:$C,SITE_COEFFS!$A:$A,"SlopeClass",SITE_COEFFS!$B:$B,$I121))</f>
        <v/>
      </c>
      <c r="K121" s="31"/>
      <c r="L121" s="32" t="str">
        <f>IF($K121="","",SUMIFS(SITE_COEFFS!$C:$C,SITE_COEFFS!$A:$A,"SurfaceUnevenness",SITE_COEFFS!$B:$B,$K121))</f>
        <v/>
      </c>
      <c r="M121" s="31"/>
      <c r="N121" s="32" t="str">
        <f>IF($M121="","",SUMIFS(SITE_COEFFS!$C:$C,SITE_COEFFS!$A:$A,"AccessClass",SITE_COEFFS!$B:$B,$M121))</f>
        <v/>
      </c>
      <c r="O121" s="31"/>
      <c r="P121" s="32" t="str">
        <f>IF($O121="","",SUMIFS(SITE_COEFFS!$C:$C,SITE_COEFFS!$A:$A,"TurnSpace",SITE_COEFFS!$B:$B,$O121))</f>
        <v/>
      </c>
      <c r="Q121" s="31"/>
      <c r="R121" s="32" t="str">
        <f>IF($Q121="","",SUMIFS(SITE_COEFFS!$C:$C,SITE_COEFFS!$A:$A,"ProximityToBuildings",SITE_COEFFS!$B:$B,$Q121))</f>
        <v/>
      </c>
      <c r="S121" s="31"/>
      <c r="T121" s="32" t="str">
        <f>IF($S121="","",SUMIFS(SITE_COEFFS!$C:$C,SITE_COEFFS!$A:$A,"MachineryAllowed",SITE_COEFFS!$B:$B,$S121))</f>
        <v/>
      </c>
      <c r="U121" s="31"/>
      <c r="V121" s="31"/>
      <c r="W121" s="32" t="str">
        <f>IF($V121="","",SUMIFS(SITE_COEFFS!$C:$C,SITE_COEFFS!$A:$A,"GeometryComplexity",SITE_COEFFS!$B:$B,$V121))</f>
        <v/>
      </c>
      <c r="X121" s="31"/>
      <c r="Y121" s="31" t="str">
        <f>IF($X121="","",SUMIFS(TARIFF_PROFILES!$D:$D,TARIFF_PROFILES!$A:$A,$X121))</f>
        <v/>
      </c>
      <c r="Z121" s="31" t="str">
        <f>IF($X121="","",SUMIFS(TARIFF_PROFILES!$E:$E,TARIFF_PROFILES!$A:$A,$X121))</f>
        <v/>
      </c>
      <c r="AA121" s="31" t="str">
        <f>IF($X121="","",SUMIFS(TARIFF_PROFILES!$F:$F,TARIFF_PROFILES!$A:$A,$X121))</f>
        <v/>
      </c>
      <c r="AB121" s="31" t="str">
        <f>IF($X121="","",SUMIFS(TARIFF_PROFILES!$G:$G,TARIFF_PROFILES!$A:$A,$X121))</f>
        <v/>
      </c>
      <c r="AC121" s="31" t="str">
        <f>IF($X121="","",SUMIFS(TARIFF_PROFILES!$H:$H,TARIFF_PROFILES!$A:$A,$X121))</f>
        <v/>
      </c>
      <c r="AD121" s="31" t="str">
        <f t="array" ref="AD121">IF($X121="","",INDEX(TARIFF_PROFILES!$J:$J,MATCH($X121,TARIFF_PROFILES!$A:$A,0)))</f>
        <v/>
      </c>
      <c r="AE121" s="31" t="str">
        <f t="array" ref="AE121">IF($X121="","",INDEX(TARIFF_PROFILES!$K:$K,MATCH($X121,TARIFF_PROFILES!$A:$A,0)))</f>
        <v/>
      </c>
      <c r="AG121" s="8"/>
      <c r="AH121" s="8" t="str">
        <f>IF($AG121="","",SUMIFS(OPERATING_COEFFS!$C:$C,OPERATING_COEFFS!$A:$A,"DistanceClass",OPERATING_COEFFS!$B:$B,$AG121))</f>
        <v/>
      </c>
      <c r="AI121" s="8"/>
      <c r="AJ121" s="8" t="str">
        <f>IF($AI121="","",SUMIFS(OPERATING_COEFFS!$C:$C,OPERATING_COEFFS!$A:$A,"SeasonClass",OPERATING_COEFFS!$B:$B,$AI121))</f>
        <v/>
      </c>
      <c r="AK121" s="8"/>
      <c r="AL121" s="8" t="str">
        <f>IF($AK121="","",SUMIFS(OPERATING_COEFFS!$C:$C,OPERATING_COEFFS!$A:$A,"UrgencyClass",OPERATING_COEFFS!$B:$B,$AK121))</f>
        <v/>
      </c>
      <c r="AM121" s="8"/>
      <c r="AN121" s="8" t="str">
        <f t="array" ref="AN121">IF($AM121="","",INDEX(TAX_MODES!$B:$B,MATCH($AM121,TAX_MODES!$A:$A,0)))</f>
        <v/>
      </c>
    </row>
    <row r="122" ht="14.25" customHeight="1">
      <c r="A122" s="31"/>
      <c r="B122" s="31"/>
      <c r="C122" s="31"/>
      <c r="D122" s="32" t="str">
        <f>IF($C122="","",SUMIFS(SITE_COEFFS!$C:$C,SITE_COEFFS!$A:$A,"SoilWorkability",SITE_COEFFS!$B:$B,$C122))</f>
        <v/>
      </c>
      <c r="E122" s="31"/>
      <c r="F122" s="32" t="str">
        <f>IF($E122="","",SUMIFS(SITE_COEFFS!$C:$C,SITE_COEFFS!$A:$A,"SoilMoisture",SITE_COEFFS!$B:$B,$E122))</f>
        <v/>
      </c>
      <c r="G122" s="31"/>
      <c r="H122" s="32" t="str">
        <f>IF($G122="","",SUMIFS(SITE_COEFFS!$C:$C,SITE_COEFFS!$A:$A,"DebrisLevel",SITE_COEFFS!$B:$B,$G122))</f>
        <v/>
      </c>
      <c r="I122" s="31"/>
      <c r="J122" s="32" t="str">
        <f>IF($I122="","",SUMIFS(SITE_COEFFS!$C:$C,SITE_COEFFS!$A:$A,"SlopeClass",SITE_COEFFS!$B:$B,$I122))</f>
        <v/>
      </c>
      <c r="K122" s="31"/>
      <c r="L122" s="32" t="str">
        <f>IF($K122="","",SUMIFS(SITE_COEFFS!$C:$C,SITE_COEFFS!$A:$A,"SurfaceUnevenness",SITE_COEFFS!$B:$B,$K122))</f>
        <v/>
      </c>
      <c r="M122" s="31"/>
      <c r="N122" s="32" t="str">
        <f>IF($M122="","",SUMIFS(SITE_COEFFS!$C:$C,SITE_COEFFS!$A:$A,"AccessClass",SITE_COEFFS!$B:$B,$M122))</f>
        <v/>
      </c>
      <c r="O122" s="31"/>
      <c r="P122" s="32" t="str">
        <f>IF($O122="","",SUMIFS(SITE_COEFFS!$C:$C,SITE_COEFFS!$A:$A,"TurnSpace",SITE_COEFFS!$B:$B,$O122))</f>
        <v/>
      </c>
      <c r="Q122" s="31"/>
      <c r="R122" s="32" t="str">
        <f>IF($Q122="","",SUMIFS(SITE_COEFFS!$C:$C,SITE_COEFFS!$A:$A,"ProximityToBuildings",SITE_COEFFS!$B:$B,$Q122))</f>
        <v/>
      </c>
      <c r="S122" s="31"/>
      <c r="T122" s="32" t="str">
        <f>IF($S122="","",SUMIFS(SITE_COEFFS!$C:$C,SITE_COEFFS!$A:$A,"MachineryAllowed",SITE_COEFFS!$B:$B,$S122))</f>
        <v/>
      </c>
      <c r="U122" s="31"/>
      <c r="V122" s="31"/>
      <c r="W122" s="32" t="str">
        <f>IF($V122="","",SUMIFS(SITE_COEFFS!$C:$C,SITE_COEFFS!$A:$A,"GeometryComplexity",SITE_COEFFS!$B:$B,$V122))</f>
        <v/>
      </c>
      <c r="X122" s="31"/>
      <c r="Y122" s="31" t="str">
        <f>IF($X122="","",SUMIFS(TARIFF_PROFILES!$D:$D,TARIFF_PROFILES!$A:$A,$X122))</f>
        <v/>
      </c>
      <c r="Z122" s="31" t="str">
        <f>IF($X122="","",SUMIFS(TARIFF_PROFILES!$E:$E,TARIFF_PROFILES!$A:$A,$X122))</f>
        <v/>
      </c>
      <c r="AA122" s="31" t="str">
        <f>IF($X122="","",SUMIFS(TARIFF_PROFILES!$F:$F,TARIFF_PROFILES!$A:$A,$X122))</f>
        <v/>
      </c>
      <c r="AB122" s="31" t="str">
        <f>IF($X122="","",SUMIFS(TARIFF_PROFILES!$G:$G,TARIFF_PROFILES!$A:$A,$X122))</f>
        <v/>
      </c>
      <c r="AC122" s="31" t="str">
        <f>IF($X122="","",SUMIFS(TARIFF_PROFILES!$H:$H,TARIFF_PROFILES!$A:$A,$X122))</f>
        <v/>
      </c>
      <c r="AD122" s="31" t="str">
        <f t="array" ref="AD122">IF($X122="","",INDEX(TARIFF_PROFILES!$J:$J,MATCH($X122,TARIFF_PROFILES!$A:$A,0)))</f>
        <v/>
      </c>
      <c r="AE122" s="31" t="str">
        <f t="array" ref="AE122">IF($X122="","",INDEX(TARIFF_PROFILES!$K:$K,MATCH($X122,TARIFF_PROFILES!$A:$A,0)))</f>
        <v/>
      </c>
      <c r="AG122" s="8"/>
      <c r="AH122" s="8" t="str">
        <f>IF($AG122="","",SUMIFS(OPERATING_COEFFS!$C:$C,OPERATING_COEFFS!$A:$A,"DistanceClass",OPERATING_COEFFS!$B:$B,$AG122))</f>
        <v/>
      </c>
      <c r="AI122" s="8"/>
      <c r="AJ122" s="8" t="str">
        <f>IF($AI122="","",SUMIFS(OPERATING_COEFFS!$C:$C,OPERATING_COEFFS!$A:$A,"SeasonClass",OPERATING_COEFFS!$B:$B,$AI122))</f>
        <v/>
      </c>
      <c r="AK122" s="8"/>
      <c r="AL122" s="8" t="str">
        <f>IF($AK122="","",SUMIFS(OPERATING_COEFFS!$C:$C,OPERATING_COEFFS!$A:$A,"UrgencyClass",OPERATING_COEFFS!$B:$B,$AK122))</f>
        <v/>
      </c>
      <c r="AM122" s="8"/>
      <c r="AN122" s="8" t="str">
        <f t="array" ref="AN122">IF($AM122="","",INDEX(TAX_MODES!$B:$B,MATCH($AM122,TAX_MODES!$A:$A,0)))</f>
        <v/>
      </c>
    </row>
    <row r="123" ht="14.25" customHeight="1">
      <c r="A123" s="31"/>
      <c r="B123" s="31"/>
      <c r="C123" s="31"/>
      <c r="D123" s="32" t="str">
        <f>IF($C123="","",SUMIFS(SITE_COEFFS!$C:$C,SITE_COEFFS!$A:$A,"SoilWorkability",SITE_COEFFS!$B:$B,$C123))</f>
        <v/>
      </c>
      <c r="E123" s="31"/>
      <c r="F123" s="32" t="str">
        <f>IF($E123="","",SUMIFS(SITE_COEFFS!$C:$C,SITE_COEFFS!$A:$A,"SoilMoisture",SITE_COEFFS!$B:$B,$E123))</f>
        <v/>
      </c>
      <c r="G123" s="31"/>
      <c r="H123" s="32" t="str">
        <f>IF($G123="","",SUMIFS(SITE_COEFFS!$C:$C,SITE_COEFFS!$A:$A,"DebrisLevel",SITE_COEFFS!$B:$B,$G123))</f>
        <v/>
      </c>
      <c r="I123" s="31"/>
      <c r="J123" s="32" t="str">
        <f>IF($I123="","",SUMIFS(SITE_COEFFS!$C:$C,SITE_COEFFS!$A:$A,"SlopeClass",SITE_COEFFS!$B:$B,$I123))</f>
        <v/>
      </c>
      <c r="K123" s="31"/>
      <c r="L123" s="32" t="str">
        <f>IF($K123="","",SUMIFS(SITE_COEFFS!$C:$C,SITE_COEFFS!$A:$A,"SurfaceUnevenness",SITE_COEFFS!$B:$B,$K123))</f>
        <v/>
      </c>
      <c r="M123" s="31"/>
      <c r="N123" s="32" t="str">
        <f>IF($M123="","",SUMIFS(SITE_COEFFS!$C:$C,SITE_COEFFS!$A:$A,"AccessClass",SITE_COEFFS!$B:$B,$M123))</f>
        <v/>
      </c>
      <c r="O123" s="31"/>
      <c r="P123" s="32" t="str">
        <f>IF($O123="","",SUMIFS(SITE_COEFFS!$C:$C,SITE_COEFFS!$A:$A,"TurnSpace",SITE_COEFFS!$B:$B,$O123))</f>
        <v/>
      </c>
      <c r="Q123" s="31"/>
      <c r="R123" s="32" t="str">
        <f>IF($Q123="","",SUMIFS(SITE_COEFFS!$C:$C,SITE_COEFFS!$A:$A,"ProximityToBuildings",SITE_COEFFS!$B:$B,$Q123))</f>
        <v/>
      </c>
      <c r="S123" s="31"/>
      <c r="T123" s="32" t="str">
        <f>IF($S123="","",SUMIFS(SITE_COEFFS!$C:$C,SITE_COEFFS!$A:$A,"MachineryAllowed",SITE_COEFFS!$B:$B,$S123))</f>
        <v/>
      </c>
      <c r="U123" s="31"/>
      <c r="V123" s="31"/>
      <c r="W123" s="32" t="str">
        <f>IF($V123="","",SUMIFS(SITE_COEFFS!$C:$C,SITE_COEFFS!$A:$A,"GeometryComplexity",SITE_COEFFS!$B:$B,$V123))</f>
        <v/>
      </c>
      <c r="X123" s="31"/>
      <c r="Y123" s="31" t="str">
        <f>IF($X123="","",SUMIFS(TARIFF_PROFILES!$D:$D,TARIFF_PROFILES!$A:$A,$X123))</f>
        <v/>
      </c>
      <c r="Z123" s="31" t="str">
        <f>IF($X123="","",SUMIFS(TARIFF_PROFILES!$E:$E,TARIFF_PROFILES!$A:$A,$X123))</f>
        <v/>
      </c>
      <c r="AA123" s="31" t="str">
        <f>IF($X123="","",SUMIFS(TARIFF_PROFILES!$F:$F,TARIFF_PROFILES!$A:$A,$X123))</f>
        <v/>
      </c>
      <c r="AB123" s="31" t="str">
        <f>IF($X123="","",SUMIFS(TARIFF_PROFILES!$G:$G,TARIFF_PROFILES!$A:$A,$X123))</f>
        <v/>
      </c>
      <c r="AC123" s="31" t="str">
        <f>IF($X123="","",SUMIFS(TARIFF_PROFILES!$H:$H,TARIFF_PROFILES!$A:$A,$X123))</f>
        <v/>
      </c>
      <c r="AD123" s="31" t="str">
        <f t="array" ref="AD123">IF($X123="","",INDEX(TARIFF_PROFILES!$J:$J,MATCH($X123,TARIFF_PROFILES!$A:$A,0)))</f>
        <v/>
      </c>
      <c r="AE123" s="31" t="str">
        <f t="array" ref="AE123">IF($X123="","",INDEX(TARIFF_PROFILES!$K:$K,MATCH($X123,TARIFF_PROFILES!$A:$A,0)))</f>
        <v/>
      </c>
      <c r="AG123" s="8"/>
      <c r="AH123" s="8" t="str">
        <f>IF($AG123="","",SUMIFS(OPERATING_COEFFS!$C:$C,OPERATING_COEFFS!$A:$A,"DistanceClass",OPERATING_COEFFS!$B:$B,$AG123))</f>
        <v/>
      </c>
      <c r="AI123" s="8"/>
      <c r="AJ123" s="8" t="str">
        <f>IF($AI123="","",SUMIFS(OPERATING_COEFFS!$C:$C,OPERATING_COEFFS!$A:$A,"SeasonClass",OPERATING_COEFFS!$B:$B,$AI123))</f>
        <v/>
      </c>
      <c r="AK123" s="8"/>
      <c r="AL123" s="8" t="str">
        <f>IF($AK123="","",SUMIFS(OPERATING_COEFFS!$C:$C,OPERATING_COEFFS!$A:$A,"UrgencyClass",OPERATING_COEFFS!$B:$B,$AK123))</f>
        <v/>
      </c>
      <c r="AM123" s="8"/>
      <c r="AN123" s="8" t="str">
        <f t="array" ref="AN123">IF($AM123="","",INDEX(TAX_MODES!$B:$B,MATCH($AM123,TAX_MODES!$A:$A,0)))</f>
        <v/>
      </c>
    </row>
    <row r="124" ht="14.25" customHeight="1">
      <c r="A124" s="31"/>
      <c r="B124" s="31"/>
      <c r="C124" s="31"/>
      <c r="D124" s="32" t="str">
        <f>IF($C124="","",SUMIFS(SITE_COEFFS!$C:$C,SITE_COEFFS!$A:$A,"SoilWorkability",SITE_COEFFS!$B:$B,$C124))</f>
        <v/>
      </c>
      <c r="E124" s="31"/>
      <c r="F124" s="32" t="str">
        <f>IF($E124="","",SUMIFS(SITE_COEFFS!$C:$C,SITE_COEFFS!$A:$A,"SoilMoisture",SITE_COEFFS!$B:$B,$E124))</f>
        <v/>
      </c>
      <c r="G124" s="31"/>
      <c r="H124" s="32" t="str">
        <f>IF($G124="","",SUMIFS(SITE_COEFFS!$C:$C,SITE_COEFFS!$A:$A,"DebrisLevel",SITE_COEFFS!$B:$B,$G124))</f>
        <v/>
      </c>
      <c r="I124" s="31"/>
      <c r="J124" s="32" t="str">
        <f>IF($I124="","",SUMIFS(SITE_COEFFS!$C:$C,SITE_COEFFS!$A:$A,"SlopeClass",SITE_COEFFS!$B:$B,$I124))</f>
        <v/>
      </c>
      <c r="K124" s="31"/>
      <c r="L124" s="32" t="str">
        <f>IF($K124="","",SUMIFS(SITE_COEFFS!$C:$C,SITE_COEFFS!$A:$A,"SurfaceUnevenness",SITE_COEFFS!$B:$B,$K124))</f>
        <v/>
      </c>
      <c r="M124" s="31"/>
      <c r="N124" s="32" t="str">
        <f>IF($M124="","",SUMIFS(SITE_COEFFS!$C:$C,SITE_COEFFS!$A:$A,"AccessClass",SITE_COEFFS!$B:$B,$M124))</f>
        <v/>
      </c>
      <c r="O124" s="31"/>
      <c r="P124" s="32" t="str">
        <f>IF($O124="","",SUMIFS(SITE_COEFFS!$C:$C,SITE_COEFFS!$A:$A,"TurnSpace",SITE_COEFFS!$B:$B,$O124))</f>
        <v/>
      </c>
      <c r="Q124" s="31"/>
      <c r="R124" s="32" t="str">
        <f>IF($Q124="","",SUMIFS(SITE_COEFFS!$C:$C,SITE_COEFFS!$A:$A,"ProximityToBuildings",SITE_COEFFS!$B:$B,$Q124))</f>
        <v/>
      </c>
      <c r="S124" s="31"/>
      <c r="T124" s="32" t="str">
        <f>IF($S124="","",SUMIFS(SITE_COEFFS!$C:$C,SITE_COEFFS!$A:$A,"MachineryAllowed",SITE_COEFFS!$B:$B,$S124))</f>
        <v/>
      </c>
      <c r="U124" s="31"/>
      <c r="V124" s="31"/>
      <c r="W124" s="32" t="str">
        <f>IF($V124="","",SUMIFS(SITE_COEFFS!$C:$C,SITE_COEFFS!$A:$A,"GeometryComplexity",SITE_COEFFS!$B:$B,$V124))</f>
        <v/>
      </c>
      <c r="X124" s="31"/>
      <c r="Y124" s="31" t="str">
        <f>IF($X124="","",SUMIFS(TARIFF_PROFILES!$D:$D,TARIFF_PROFILES!$A:$A,$X124))</f>
        <v/>
      </c>
      <c r="Z124" s="31" t="str">
        <f>IF($X124="","",SUMIFS(TARIFF_PROFILES!$E:$E,TARIFF_PROFILES!$A:$A,$X124))</f>
        <v/>
      </c>
      <c r="AA124" s="31" t="str">
        <f>IF($X124="","",SUMIFS(TARIFF_PROFILES!$F:$F,TARIFF_PROFILES!$A:$A,$X124))</f>
        <v/>
      </c>
      <c r="AB124" s="31" t="str">
        <f>IF($X124="","",SUMIFS(TARIFF_PROFILES!$G:$G,TARIFF_PROFILES!$A:$A,$X124))</f>
        <v/>
      </c>
      <c r="AC124" s="31" t="str">
        <f>IF($X124="","",SUMIFS(TARIFF_PROFILES!$H:$H,TARIFF_PROFILES!$A:$A,$X124))</f>
        <v/>
      </c>
      <c r="AD124" s="31" t="str">
        <f t="array" ref="AD124">IF($X124="","",INDEX(TARIFF_PROFILES!$J:$J,MATCH($X124,TARIFF_PROFILES!$A:$A,0)))</f>
        <v/>
      </c>
      <c r="AE124" s="31" t="str">
        <f t="array" ref="AE124">IF($X124="","",INDEX(TARIFF_PROFILES!$K:$K,MATCH($X124,TARIFF_PROFILES!$A:$A,0)))</f>
        <v/>
      </c>
      <c r="AG124" s="8"/>
      <c r="AH124" s="8" t="str">
        <f>IF($AG124="","",SUMIFS(OPERATING_COEFFS!$C:$C,OPERATING_COEFFS!$A:$A,"DistanceClass",OPERATING_COEFFS!$B:$B,$AG124))</f>
        <v/>
      </c>
      <c r="AI124" s="8"/>
      <c r="AJ124" s="8" t="str">
        <f>IF($AI124="","",SUMIFS(OPERATING_COEFFS!$C:$C,OPERATING_COEFFS!$A:$A,"SeasonClass",OPERATING_COEFFS!$B:$B,$AI124))</f>
        <v/>
      </c>
      <c r="AK124" s="8"/>
      <c r="AL124" s="8" t="str">
        <f>IF($AK124="","",SUMIFS(OPERATING_COEFFS!$C:$C,OPERATING_COEFFS!$A:$A,"UrgencyClass",OPERATING_COEFFS!$B:$B,$AK124))</f>
        <v/>
      </c>
      <c r="AM124" s="8"/>
      <c r="AN124" s="8" t="str">
        <f t="array" ref="AN124">IF($AM124="","",INDEX(TAX_MODES!$B:$B,MATCH($AM124,TAX_MODES!$A:$A,0)))</f>
        <v/>
      </c>
    </row>
    <row r="125" ht="14.25" customHeight="1">
      <c r="A125" s="31"/>
      <c r="B125" s="31"/>
      <c r="C125" s="31"/>
      <c r="D125" s="32" t="str">
        <f>IF($C125="","",SUMIFS(SITE_COEFFS!$C:$C,SITE_COEFFS!$A:$A,"SoilWorkability",SITE_COEFFS!$B:$B,$C125))</f>
        <v/>
      </c>
      <c r="E125" s="31"/>
      <c r="F125" s="32" t="str">
        <f>IF($E125="","",SUMIFS(SITE_COEFFS!$C:$C,SITE_COEFFS!$A:$A,"SoilMoisture",SITE_COEFFS!$B:$B,$E125))</f>
        <v/>
      </c>
      <c r="G125" s="31"/>
      <c r="H125" s="32" t="str">
        <f>IF($G125="","",SUMIFS(SITE_COEFFS!$C:$C,SITE_COEFFS!$A:$A,"DebrisLevel",SITE_COEFFS!$B:$B,$G125))</f>
        <v/>
      </c>
      <c r="I125" s="31"/>
      <c r="J125" s="32" t="str">
        <f>IF($I125="","",SUMIFS(SITE_COEFFS!$C:$C,SITE_COEFFS!$A:$A,"SlopeClass",SITE_COEFFS!$B:$B,$I125))</f>
        <v/>
      </c>
      <c r="K125" s="31"/>
      <c r="L125" s="32" t="str">
        <f>IF($K125="","",SUMIFS(SITE_COEFFS!$C:$C,SITE_COEFFS!$A:$A,"SurfaceUnevenness",SITE_COEFFS!$B:$B,$K125))</f>
        <v/>
      </c>
      <c r="M125" s="31"/>
      <c r="N125" s="32" t="str">
        <f>IF($M125="","",SUMIFS(SITE_COEFFS!$C:$C,SITE_COEFFS!$A:$A,"AccessClass",SITE_COEFFS!$B:$B,$M125))</f>
        <v/>
      </c>
      <c r="O125" s="31"/>
      <c r="P125" s="32" t="str">
        <f>IF($O125="","",SUMIFS(SITE_COEFFS!$C:$C,SITE_COEFFS!$A:$A,"TurnSpace",SITE_COEFFS!$B:$B,$O125))</f>
        <v/>
      </c>
      <c r="Q125" s="31"/>
      <c r="R125" s="32" t="str">
        <f>IF($Q125="","",SUMIFS(SITE_COEFFS!$C:$C,SITE_COEFFS!$A:$A,"ProximityToBuildings",SITE_COEFFS!$B:$B,$Q125))</f>
        <v/>
      </c>
      <c r="S125" s="31"/>
      <c r="T125" s="32" t="str">
        <f>IF($S125="","",SUMIFS(SITE_COEFFS!$C:$C,SITE_COEFFS!$A:$A,"MachineryAllowed",SITE_COEFFS!$B:$B,$S125))</f>
        <v/>
      </c>
      <c r="U125" s="31"/>
      <c r="V125" s="31"/>
      <c r="W125" s="32" t="str">
        <f>IF($V125="","",SUMIFS(SITE_COEFFS!$C:$C,SITE_COEFFS!$A:$A,"GeometryComplexity",SITE_COEFFS!$B:$B,$V125))</f>
        <v/>
      </c>
      <c r="X125" s="31"/>
      <c r="Y125" s="31" t="str">
        <f>IF($X125="","",SUMIFS(TARIFF_PROFILES!$D:$D,TARIFF_PROFILES!$A:$A,$X125))</f>
        <v/>
      </c>
      <c r="Z125" s="31" t="str">
        <f>IF($X125="","",SUMIFS(TARIFF_PROFILES!$E:$E,TARIFF_PROFILES!$A:$A,$X125))</f>
        <v/>
      </c>
      <c r="AA125" s="31" t="str">
        <f>IF($X125="","",SUMIFS(TARIFF_PROFILES!$F:$F,TARIFF_PROFILES!$A:$A,$X125))</f>
        <v/>
      </c>
      <c r="AB125" s="31" t="str">
        <f>IF($X125="","",SUMIFS(TARIFF_PROFILES!$G:$G,TARIFF_PROFILES!$A:$A,$X125))</f>
        <v/>
      </c>
      <c r="AC125" s="31" t="str">
        <f>IF($X125="","",SUMIFS(TARIFF_PROFILES!$H:$H,TARIFF_PROFILES!$A:$A,$X125))</f>
        <v/>
      </c>
      <c r="AD125" s="31" t="str">
        <f t="array" ref="AD125">IF($X125="","",INDEX(TARIFF_PROFILES!$J:$J,MATCH($X125,TARIFF_PROFILES!$A:$A,0)))</f>
        <v/>
      </c>
      <c r="AE125" s="31" t="str">
        <f t="array" ref="AE125">IF($X125="","",INDEX(TARIFF_PROFILES!$K:$K,MATCH($X125,TARIFF_PROFILES!$A:$A,0)))</f>
        <v/>
      </c>
      <c r="AG125" s="8"/>
      <c r="AH125" s="8" t="str">
        <f>IF($AG125="","",SUMIFS(OPERATING_COEFFS!$C:$C,OPERATING_COEFFS!$A:$A,"DistanceClass",OPERATING_COEFFS!$B:$B,$AG125))</f>
        <v/>
      </c>
      <c r="AI125" s="8"/>
      <c r="AJ125" s="8" t="str">
        <f>IF($AI125="","",SUMIFS(OPERATING_COEFFS!$C:$C,OPERATING_COEFFS!$A:$A,"SeasonClass",OPERATING_COEFFS!$B:$B,$AI125))</f>
        <v/>
      </c>
      <c r="AK125" s="8"/>
      <c r="AL125" s="8" t="str">
        <f>IF($AK125="","",SUMIFS(OPERATING_COEFFS!$C:$C,OPERATING_COEFFS!$A:$A,"UrgencyClass",OPERATING_COEFFS!$B:$B,$AK125))</f>
        <v/>
      </c>
      <c r="AM125" s="8"/>
      <c r="AN125" s="8" t="str">
        <f t="array" ref="AN125">IF($AM125="","",INDEX(TAX_MODES!$B:$B,MATCH($AM125,TAX_MODES!$A:$A,0)))</f>
        <v/>
      </c>
    </row>
    <row r="126" ht="14.25" customHeight="1">
      <c r="A126" s="31"/>
      <c r="B126" s="31"/>
      <c r="C126" s="31"/>
      <c r="D126" s="32" t="str">
        <f>IF($C126="","",SUMIFS(SITE_COEFFS!$C:$C,SITE_COEFFS!$A:$A,"SoilWorkability",SITE_COEFFS!$B:$B,$C126))</f>
        <v/>
      </c>
      <c r="E126" s="31"/>
      <c r="F126" s="32" t="str">
        <f>IF($E126="","",SUMIFS(SITE_COEFFS!$C:$C,SITE_COEFFS!$A:$A,"SoilMoisture",SITE_COEFFS!$B:$B,$E126))</f>
        <v/>
      </c>
      <c r="G126" s="31"/>
      <c r="H126" s="32" t="str">
        <f>IF($G126="","",SUMIFS(SITE_COEFFS!$C:$C,SITE_COEFFS!$A:$A,"DebrisLevel",SITE_COEFFS!$B:$B,$G126))</f>
        <v/>
      </c>
      <c r="I126" s="31"/>
      <c r="J126" s="32" t="str">
        <f>IF($I126="","",SUMIFS(SITE_COEFFS!$C:$C,SITE_COEFFS!$A:$A,"SlopeClass",SITE_COEFFS!$B:$B,$I126))</f>
        <v/>
      </c>
      <c r="K126" s="31"/>
      <c r="L126" s="32" t="str">
        <f>IF($K126="","",SUMIFS(SITE_COEFFS!$C:$C,SITE_COEFFS!$A:$A,"SurfaceUnevenness",SITE_COEFFS!$B:$B,$K126))</f>
        <v/>
      </c>
      <c r="M126" s="31"/>
      <c r="N126" s="32" t="str">
        <f>IF($M126="","",SUMIFS(SITE_COEFFS!$C:$C,SITE_COEFFS!$A:$A,"AccessClass",SITE_COEFFS!$B:$B,$M126))</f>
        <v/>
      </c>
      <c r="O126" s="31"/>
      <c r="P126" s="32" t="str">
        <f>IF($O126="","",SUMIFS(SITE_COEFFS!$C:$C,SITE_COEFFS!$A:$A,"TurnSpace",SITE_COEFFS!$B:$B,$O126))</f>
        <v/>
      </c>
      <c r="Q126" s="31"/>
      <c r="R126" s="32" t="str">
        <f>IF($Q126="","",SUMIFS(SITE_COEFFS!$C:$C,SITE_COEFFS!$A:$A,"ProximityToBuildings",SITE_COEFFS!$B:$B,$Q126))</f>
        <v/>
      </c>
      <c r="S126" s="31"/>
      <c r="T126" s="32" t="str">
        <f>IF($S126="","",SUMIFS(SITE_COEFFS!$C:$C,SITE_COEFFS!$A:$A,"MachineryAllowed",SITE_COEFFS!$B:$B,$S126))</f>
        <v/>
      </c>
      <c r="U126" s="31"/>
      <c r="V126" s="31"/>
      <c r="W126" s="32" t="str">
        <f>IF($V126="","",SUMIFS(SITE_COEFFS!$C:$C,SITE_COEFFS!$A:$A,"GeometryComplexity",SITE_COEFFS!$B:$B,$V126))</f>
        <v/>
      </c>
      <c r="X126" s="31"/>
      <c r="Y126" s="31" t="str">
        <f>IF($X126="","",SUMIFS(TARIFF_PROFILES!$D:$D,TARIFF_PROFILES!$A:$A,$X126))</f>
        <v/>
      </c>
      <c r="Z126" s="31" t="str">
        <f>IF($X126="","",SUMIFS(TARIFF_PROFILES!$E:$E,TARIFF_PROFILES!$A:$A,$X126))</f>
        <v/>
      </c>
      <c r="AA126" s="31" t="str">
        <f>IF($X126="","",SUMIFS(TARIFF_PROFILES!$F:$F,TARIFF_PROFILES!$A:$A,$X126))</f>
        <v/>
      </c>
      <c r="AB126" s="31" t="str">
        <f>IF($X126="","",SUMIFS(TARIFF_PROFILES!$G:$G,TARIFF_PROFILES!$A:$A,$X126))</f>
        <v/>
      </c>
      <c r="AC126" s="31" t="str">
        <f>IF($X126="","",SUMIFS(TARIFF_PROFILES!$H:$H,TARIFF_PROFILES!$A:$A,$X126))</f>
        <v/>
      </c>
      <c r="AD126" s="31" t="str">
        <f t="array" ref="AD126">IF($X126="","",INDEX(TARIFF_PROFILES!$J:$J,MATCH($X126,TARIFF_PROFILES!$A:$A,0)))</f>
        <v/>
      </c>
      <c r="AE126" s="31" t="str">
        <f t="array" ref="AE126">IF($X126="","",INDEX(TARIFF_PROFILES!$K:$K,MATCH($X126,TARIFF_PROFILES!$A:$A,0)))</f>
        <v/>
      </c>
      <c r="AG126" s="8"/>
      <c r="AH126" s="8" t="str">
        <f>IF($AG126="","",SUMIFS(OPERATING_COEFFS!$C:$C,OPERATING_COEFFS!$A:$A,"DistanceClass",OPERATING_COEFFS!$B:$B,$AG126))</f>
        <v/>
      </c>
      <c r="AI126" s="8"/>
      <c r="AJ126" s="8" t="str">
        <f>IF($AI126="","",SUMIFS(OPERATING_COEFFS!$C:$C,OPERATING_COEFFS!$A:$A,"SeasonClass",OPERATING_COEFFS!$B:$B,$AI126))</f>
        <v/>
      </c>
      <c r="AK126" s="8"/>
      <c r="AL126" s="8" t="str">
        <f>IF($AK126="","",SUMIFS(OPERATING_COEFFS!$C:$C,OPERATING_COEFFS!$A:$A,"UrgencyClass",OPERATING_COEFFS!$B:$B,$AK126))</f>
        <v/>
      </c>
      <c r="AM126" s="8"/>
      <c r="AN126" s="8" t="str">
        <f t="array" ref="AN126">IF($AM126="","",INDEX(TAX_MODES!$B:$B,MATCH($AM126,TAX_MODES!$A:$A,0)))</f>
        <v/>
      </c>
    </row>
    <row r="127" ht="14.25" customHeight="1">
      <c r="A127" s="31"/>
      <c r="B127" s="31"/>
      <c r="C127" s="31"/>
      <c r="D127" s="32" t="str">
        <f>IF($C127="","",SUMIFS(SITE_COEFFS!$C:$C,SITE_COEFFS!$A:$A,"SoilWorkability",SITE_COEFFS!$B:$B,$C127))</f>
        <v/>
      </c>
      <c r="E127" s="31"/>
      <c r="F127" s="32" t="str">
        <f>IF($E127="","",SUMIFS(SITE_COEFFS!$C:$C,SITE_COEFFS!$A:$A,"SoilMoisture",SITE_COEFFS!$B:$B,$E127))</f>
        <v/>
      </c>
      <c r="G127" s="31"/>
      <c r="H127" s="32" t="str">
        <f>IF($G127="","",SUMIFS(SITE_COEFFS!$C:$C,SITE_COEFFS!$A:$A,"DebrisLevel",SITE_COEFFS!$B:$B,$G127))</f>
        <v/>
      </c>
      <c r="I127" s="31"/>
      <c r="J127" s="32" t="str">
        <f>IF($I127="","",SUMIFS(SITE_COEFFS!$C:$C,SITE_COEFFS!$A:$A,"SlopeClass",SITE_COEFFS!$B:$B,$I127))</f>
        <v/>
      </c>
      <c r="K127" s="31"/>
      <c r="L127" s="32" t="str">
        <f>IF($K127="","",SUMIFS(SITE_COEFFS!$C:$C,SITE_COEFFS!$A:$A,"SurfaceUnevenness",SITE_COEFFS!$B:$B,$K127))</f>
        <v/>
      </c>
      <c r="M127" s="31"/>
      <c r="N127" s="32" t="str">
        <f>IF($M127="","",SUMIFS(SITE_COEFFS!$C:$C,SITE_COEFFS!$A:$A,"AccessClass",SITE_COEFFS!$B:$B,$M127))</f>
        <v/>
      </c>
      <c r="O127" s="31"/>
      <c r="P127" s="32" t="str">
        <f>IF($O127="","",SUMIFS(SITE_COEFFS!$C:$C,SITE_COEFFS!$A:$A,"TurnSpace",SITE_COEFFS!$B:$B,$O127))</f>
        <v/>
      </c>
      <c r="Q127" s="31"/>
      <c r="R127" s="32" t="str">
        <f>IF($Q127="","",SUMIFS(SITE_COEFFS!$C:$C,SITE_COEFFS!$A:$A,"ProximityToBuildings",SITE_COEFFS!$B:$B,$Q127))</f>
        <v/>
      </c>
      <c r="S127" s="31"/>
      <c r="T127" s="32" t="str">
        <f>IF($S127="","",SUMIFS(SITE_COEFFS!$C:$C,SITE_COEFFS!$A:$A,"MachineryAllowed",SITE_COEFFS!$B:$B,$S127))</f>
        <v/>
      </c>
      <c r="U127" s="31"/>
      <c r="V127" s="31"/>
      <c r="W127" s="32" t="str">
        <f>IF($V127="","",SUMIFS(SITE_COEFFS!$C:$C,SITE_COEFFS!$A:$A,"GeometryComplexity",SITE_COEFFS!$B:$B,$V127))</f>
        <v/>
      </c>
      <c r="X127" s="31"/>
      <c r="Y127" s="31" t="str">
        <f>IF($X127="","",SUMIFS(TARIFF_PROFILES!$D:$D,TARIFF_PROFILES!$A:$A,$X127))</f>
        <v/>
      </c>
      <c r="Z127" s="31" t="str">
        <f>IF($X127="","",SUMIFS(TARIFF_PROFILES!$E:$E,TARIFF_PROFILES!$A:$A,$X127))</f>
        <v/>
      </c>
      <c r="AA127" s="31" t="str">
        <f>IF($X127="","",SUMIFS(TARIFF_PROFILES!$F:$F,TARIFF_PROFILES!$A:$A,$X127))</f>
        <v/>
      </c>
      <c r="AB127" s="31" t="str">
        <f>IF($X127="","",SUMIFS(TARIFF_PROFILES!$G:$G,TARIFF_PROFILES!$A:$A,$X127))</f>
        <v/>
      </c>
      <c r="AC127" s="31" t="str">
        <f>IF($X127="","",SUMIFS(TARIFF_PROFILES!$H:$H,TARIFF_PROFILES!$A:$A,$X127))</f>
        <v/>
      </c>
      <c r="AD127" s="31" t="str">
        <f t="array" ref="AD127">IF($X127="","",INDEX(TARIFF_PROFILES!$J:$J,MATCH($X127,TARIFF_PROFILES!$A:$A,0)))</f>
        <v/>
      </c>
      <c r="AE127" s="31" t="str">
        <f t="array" ref="AE127">IF($X127="","",INDEX(TARIFF_PROFILES!$K:$K,MATCH($X127,TARIFF_PROFILES!$A:$A,0)))</f>
        <v/>
      </c>
      <c r="AG127" s="8"/>
      <c r="AH127" s="8" t="str">
        <f>IF($AG127="","",SUMIFS(OPERATING_COEFFS!$C:$C,OPERATING_COEFFS!$A:$A,"DistanceClass",OPERATING_COEFFS!$B:$B,$AG127))</f>
        <v/>
      </c>
      <c r="AI127" s="8"/>
      <c r="AJ127" s="8" t="str">
        <f>IF($AI127="","",SUMIFS(OPERATING_COEFFS!$C:$C,OPERATING_COEFFS!$A:$A,"SeasonClass",OPERATING_COEFFS!$B:$B,$AI127))</f>
        <v/>
      </c>
      <c r="AK127" s="8"/>
      <c r="AL127" s="8" t="str">
        <f>IF($AK127="","",SUMIFS(OPERATING_COEFFS!$C:$C,OPERATING_COEFFS!$A:$A,"UrgencyClass",OPERATING_COEFFS!$B:$B,$AK127))</f>
        <v/>
      </c>
      <c r="AM127" s="8"/>
      <c r="AN127" s="8" t="str">
        <f t="array" ref="AN127">IF($AM127="","",INDEX(TAX_MODES!$B:$B,MATCH($AM127,TAX_MODES!$A:$A,0)))</f>
        <v/>
      </c>
    </row>
    <row r="128" ht="14.25" customHeight="1">
      <c r="A128" s="31"/>
      <c r="B128" s="31"/>
      <c r="C128" s="31"/>
      <c r="D128" s="32" t="str">
        <f>IF($C128="","",SUMIFS(SITE_COEFFS!$C:$C,SITE_COEFFS!$A:$A,"SoilWorkability",SITE_COEFFS!$B:$B,$C128))</f>
        <v/>
      </c>
      <c r="E128" s="31"/>
      <c r="F128" s="32" t="str">
        <f>IF($E128="","",SUMIFS(SITE_COEFFS!$C:$C,SITE_COEFFS!$A:$A,"SoilMoisture",SITE_COEFFS!$B:$B,$E128))</f>
        <v/>
      </c>
      <c r="G128" s="31"/>
      <c r="H128" s="32" t="str">
        <f>IF($G128="","",SUMIFS(SITE_COEFFS!$C:$C,SITE_COEFFS!$A:$A,"DebrisLevel",SITE_COEFFS!$B:$B,$G128))</f>
        <v/>
      </c>
      <c r="I128" s="31"/>
      <c r="J128" s="32" t="str">
        <f>IF($I128="","",SUMIFS(SITE_COEFFS!$C:$C,SITE_COEFFS!$A:$A,"SlopeClass",SITE_COEFFS!$B:$B,$I128))</f>
        <v/>
      </c>
      <c r="K128" s="31"/>
      <c r="L128" s="32" t="str">
        <f>IF($K128="","",SUMIFS(SITE_COEFFS!$C:$C,SITE_COEFFS!$A:$A,"SurfaceUnevenness",SITE_COEFFS!$B:$B,$K128))</f>
        <v/>
      </c>
      <c r="M128" s="31"/>
      <c r="N128" s="32" t="str">
        <f>IF($M128="","",SUMIFS(SITE_COEFFS!$C:$C,SITE_COEFFS!$A:$A,"AccessClass",SITE_COEFFS!$B:$B,$M128))</f>
        <v/>
      </c>
      <c r="O128" s="31"/>
      <c r="P128" s="32" t="str">
        <f>IF($O128="","",SUMIFS(SITE_COEFFS!$C:$C,SITE_COEFFS!$A:$A,"TurnSpace",SITE_COEFFS!$B:$B,$O128))</f>
        <v/>
      </c>
      <c r="Q128" s="31"/>
      <c r="R128" s="32" t="str">
        <f>IF($Q128="","",SUMIFS(SITE_COEFFS!$C:$C,SITE_COEFFS!$A:$A,"ProximityToBuildings",SITE_COEFFS!$B:$B,$Q128))</f>
        <v/>
      </c>
      <c r="S128" s="31"/>
      <c r="T128" s="32" t="str">
        <f>IF($S128="","",SUMIFS(SITE_COEFFS!$C:$C,SITE_COEFFS!$A:$A,"MachineryAllowed",SITE_COEFFS!$B:$B,$S128))</f>
        <v/>
      </c>
      <c r="U128" s="31"/>
      <c r="V128" s="31"/>
      <c r="W128" s="32" t="str">
        <f>IF($V128="","",SUMIFS(SITE_COEFFS!$C:$C,SITE_COEFFS!$A:$A,"GeometryComplexity",SITE_COEFFS!$B:$B,$V128))</f>
        <v/>
      </c>
      <c r="X128" s="31"/>
      <c r="Y128" s="31" t="str">
        <f>IF($X128="","",SUMIFS(TARIFF_PROFILES!$D:$D,TARIFF_PROFILES!$A:$A,$X128))</f>
        <v/>
      </c>
      <c r="Z128" s="31" t="str">
        <f>IF($X128="","",SUMIFS(TARIFF_PROFILES!$E:$E,TARIFF_PROFILES!$A:$A,$X128))</f>
        <v/>
      </c>
      <c r="AA128" s="31" t="str">
        <f>IF($X128="","",SUMIFS(TARIFF_PROFILES!$F:$F,TARIFF_PROFILES!$A:$A,$X128))</f>
        <v/>
      </c>
      <c r="AB128" s="31" t="str">
        <f>IF($X128="","",SUMIFS(TARIFF_PROFILES!$G:$G,TARIFF_PROFILES!$A:$A,$X128))</f>
        <v/>
      </c>
      <c r="AC128" s="31" t="str">
        <f>IF($X128="","",SUMIFS(TARIFF_PROFILES!$H:$H,TARIFF_PROFILES!$A:$A,$X128))</f>
        <v/>
      </c>
      <c r="AD128" s="31" t="str">
        <f t="array" ref="AD128">IF($X128="","",INDEX(TARIFF_PROFILES!$J:$J,MATCH($X128,TARIFF_PROFILES!$A:$A,0)))</f>
        <v/>
      </c>
      <c r="AE128" s="31" t="str">
        <f t="array" ref="AE128">IF($X128="","",INDEX(TARIFF_PROFILES!$K:$K,MATCH($X128,TARIFF_PROFILES!$A:$A,0)))</f>
        <v/>
      </c>
      <c r="AG128" s="8"/>
      <c r="AH128" s="8" t="str">
        <f>IF($AG128="","",SUMIFS(OPERATING_COEFFS!$C:$C,OPERATING_COEFFS!$A:$A,"DistanceClass",OPERATING_COEFFS!$B:$B,$AG128))</f>
        <v/>
      </c>
      <c r="AI128" s="8"/>
      <c r="AJ128" s="8" t="str">
        <f>IF($AI128="","",SUMIFS(OPERATING_COEFFS!$C:$C,OPERATING_COEFFS!$A:$A,"SeasonClass",OPERATING_COEFFS!$B:$B,$AI128))</f>
        <v/>
      </c>
      <c r="AK128" s="8"/>
      <c r="AL128" s="8" t="str">
        <f>IF($AK128="","",SUMIFS(OPERATING_COEFFS!$C:$C,OPERATING_COEFFS!$A:$A,"UrgencyClass",OPERATING_COEFFS!$B:$B,$AK128))</f>
        <v/>
      </c>
      <c r="AM128" s="8"/>
      <c r="AN128" s="8" t="str">
        <f t="array" ref="AN128">IF($AM128="","",INDEX(TAX_MODES!$B:$B,MATCH($AM128,TAX_MODES!$A:$A,0)))</f>
        <v/>
      </c>
    </row>
    <row r="129" ht="14.25" customHeight="1">
      <c r="A129" s="31"/>
      <c r="B129" s="31"/>
      <c r="C129" s="31"/>
      <c r="D129" s="32" t="str">
        <f>IF($C129="","",SUMIFS(SITE_COEFFS!$C:$C,SITE_COEFFS!$A:$A,"SoilWorkability",SITE_COEFFS!$B:$B,$C129))</f>
        <v/>
      </c>
      <c r="E129" s="31"/>
      <c r="F129" s="32" t="str">
        <f>IF($E129="","",SUMIFS(SITE_COEFFS!$C:$C,SITE_COEFFS!$A:$A,"SoilMoisture",SITE_COEFFS!$B:$B,$E129))</f>
        <v/>
      </c>
      <c r="G129" s="31"/>
      <c r="H129" s="32" t="str">
        <f>IF($G129="","",SUMIFS(SITE_COEFFS!$C:$C,SITE_COEFFS!$A:$A,"DebrisLevel",SITE_COEFFS!$B:$B,$G129))</f>
        <v/>
      </c>
      <c r="I129" s="31"/>
      <c r="J129" s="32" t="str">
        <f>IF($I129="","",SUMIFS(SITE_COEFFS!$C:$C,SITE_COEFFS!$A:$A,"SlopeClass",SITE_COEFFS!$B:$B,$I129))</f>
        <v/>
      </c>
      <c r="K129" s="31"/>
      <c r="L129" s="32" t="str">
        <f>IF($K129="","",SUMIFS(SITE_COEFFS!$C:$C,SITE_COEFFS!$A:$A,"SurfaceUnevenness",SITE_COEFFS!$B:$B,$K129))</f>
        <v/>
      </c>
      <c r="M129" s="31"/>
      <c r="N129" s="32" t="str">
        <f>IF($M129="","",SUMIFS(SITE_COEFFS!$C:$C,SITE_COEFFS!$A:$A,"AccessClass",SITE_COEFFS!$B:$B,$M129))</f>
        <v/>
      </c>
      <c r="O129" s="31"/>
      <c r="P129" s="32" t="str">
        <f>IF($O129="","",SUMIFS(SITE_COEFFS!$C:$C,SITE_COEFFS!$A:$A,"TurnSpace",SITE_COEFFS!$B:$B,$O129))</f>
        <v/>
      </c>
      <c r="Q129" s="31"/>
      <c r="R129" s="32" t="str">
        <f>IF($Q129="","",SUMIFS(SITE_COEFFS!$C:$C,SITE_COEFFS!$A:$A,"ProximityToBuildings",SITE_COEFFS!$B:$B,$Q129))</f>
        <v/>
      </c>
      <c r="S129" s="31"/>
      <c r="T129" s="32" t="str">
        <f>IF($S129="","",SUMIFS(SITE_COEFFS!$C:$C,SITE_COEFFS!$A:$A,"MachineryAllowed",SITE_COEFFS!$B:$B,$S129))</f>
        <v/>
      </c>
      <c r="U129" s="31"/>
      <c r="V129" s="31"/>
      <c r="W129" s="32" t="str">
        <f>IF($V129="","",SUMIFS(SITE_COEFFS!$C:$C,SITE_COEFFS!$A:$A,"GeometryComplexity",SITE_COEFFS!$B:$B,$V129))</f>
        <v/>
      </c>
      <c r="X129" s="31"/>
      <c r="Y129" s="31" t="str">
        <f>IF($X129="","",SUMIFS(TARIFF_PROFILES!$D:$D,TARIFF_PROFILES!$A:$A,$X129))</f>
        <v/>
      </c>
      <c r="Z129" s="31" t="str">
        <f>IF($X129="","",SUMIFS(TARIFF_PROFILES!$E:$E,TARIFF_PROFILES!$A:$A,$X129))</f>
        <v/>
      </c>
      <c r="AA129" s="31" t="str">
        <f>IF($X129="","",SUMIFS(TARIFF_PROFILES!$F:$F,TARIFF_PROFILES!$A:$A,$X129))</f>
        <v/>
      </c>
      <c r="AB129" s="31" t="str">
        <f>IF($X129="","",SUMIFS(TARIFF_PROFILES!$G:$G,TARIFF_PROFILES!$A:$A,$X129))</f>
        <v/>
      </c>
      <c r="AC129" s="31" t="str">
        <f>IF($X129="","",SUMIFS(TARIFF_PROFILES!$H:$H,TARIFF_PROFILES!$A:$A,$X129))</f>
        <v/>
      </c>
      <c r="AD129" s="31" t="str">
        <f t="array" ref="AD129">IF($X129="","",INDEX(TARIFF_PROFILES!$J:$J,MATCH($X129,TARIFF_PROFILES!$A:$A,0)))</f>
        <v/>
      </c>
      <c r="AE129" s="31" t="str">
        <f t="array" ref="AE129">IF($X129="","",INDEX(TARIFF_PROFILES!$K:$K,MATCH($X129,TARIFF_PROFILES!$A:$A,0)))</f>
        <v/>
      </c>
      <c r="AG129" s="8"/>
      <c r="AH129" s="8" t="str">
        <f>IF($AG129="","",SUMIFS(OPERATING_COEFFS!$C:$C,OPERATING_COEFFS!$A:$A,"DistanceClass",OPERATING_COEFFS!$B:$B,$AG129))</f>
        <v/>
      </c>
      <c r="AI129" s="8"/>
      <c r="AJ129" s="8" t="str">
        <f>IF($AI129="","",SUMIFS(OPERATING_COEFFS!$C:$C,OPERATING_COEFFS!$A:$A,"SeasonClass",OPERATING_COEFFS!$B:$B,$AI129))</f>
        <v/>
      </c>
      <c r="AK129" s="8"/>
      <c r="AL129" s="8" t="str">
        <f>IF($AK129="","",SUMIFS(OPERATING_COEFFS!$C:$C,OPERATING_COEFFS!$A:$A,"UrgencyClass",OPERATING_COEFFS!$B:$B,$AK129))</f>
        <v/>
      </c>
      <c r="AM129" s="8"/>
      <c r="AN129" s="8" t="str">
        <f t="array" ref="AN129">IF($AM129="","",INDEX(TAX_MODES!$B:$B,MATCH($AM129,TAX_MODES!$A:$A,0)))</f>
        <v/>
      </c>
    </row>
    <row r="130" ht="14.25" customHeight="1">
      <c r="A130" s="31"/>
      <c r="B130" s="31"/>
      <c r="C130" s="31"/>
      <c r="D130" s="32" t="str">
        <f>IF($C130="","",SUMIFS(SITE_COEFFS!$C:$C,SITE_COEFFS!$A:$A,"SoilWorkability",SITE_COEFFS!$B:$B,$C130))</f>
        <v/>
      </c>
      <c r="E130" s="31"/>
      <c r="F130" s="32" t="str">
        <f>IF($E130="","",SUMIFS(SITE_COEFFS!$C:$C,SITE_COEFFS!$A:$A,"SoilMoisture",SITE_COEFFS!$B:$B,$E130))</f>
        <v/>
      </c>
      <c r="G130" s="31"/>
      <c r="H130" s="32" t="str">
        <f>IF($G130="","",SUMIFS(SITE_COEFFS!$C:$C,SITE_COEFFS!$A:$A,"DebrisLevel",SITE_COEFFS!$B:$B,$G130))</f>
        <v/>
      </c>
      <c r="I130" s="31"/>
      <c r="J130" s="32" t="str">
        <f>IF($I130="","",SUMIFS(SITE_COEFFS!$C:$C,SITE_COEFFS!$A:$A,"SlopeClass",SITE_COEFFS!$B:$B,$I130))</f>
        <v/>
      </c>
      <c r="K130" s="31"/>
      <c r="L130" s="32" t="str">
        <f>IF($K130="","",SUMIFS(SITE_COEFFS!$C:$C,SITE_COEFFS!$A:$A,"SurfaceUnevenness",SITE_COEFFS!$B:$B,$K130))</f>
        <v/>
      </c>
      <c r="M130" s="31"/>
      <c r="N130" s="32" t="str">
        <f>IF($M130="","",SUMIFS(SITE_COEFFS!$C:$C,SITE_COEFFS!$A:$A,"AccessClass",SITE_COEFFS!$B:$B,$M130))</f>
        <v/>
      </c>
      <c r="O130" s="31"/>
      <c r="P130" s="32" t="str">
        <f>IF($O130="","",SUMIFS(SITE_COEFFS!$C:$C,SITE_COEFFS!$A:$A,"TurnSpace",SITE_COEFFS!$B:$B,$O130))</f>
        <v/>
      </c>
      <c r="Q130" s="31"/>
      <c r="R130" s="32" t="str">
        <f>IF($Q130="","",SUMIFS(SITE_COEFFS!$C:$C,SITE_COEFFS!$A:$A,"ProximityToBuildings",SITE_COEFFS!$B:$B,$Q130))</f>
        <v/>
      </c>
      <c r="S130" s="31"/>
      <c r="T130" s="32" t="str">
        <f>IF($S130="","",SUMIFS(SITE_COEFFS!$C:$C,SITE_COEFFS!$A:$A,"MachineryAllowed",SITE_COEFFS!$B:$B,$S130))</f>
        <v/>
      </c>
      <c r="U130" s="31"/>
      <c r="V130" s="31"/>
      <c r="W130" s="32" t="str">
        <f>IF($V130="","",SUMIFS(SITE_COEFFS!$C:$C,SITE_COEFFS!$A:$A,"GeometryComplexity",SITE_COEFFS!$B:$B,$V130))</f>
        <v/>
      </c>
      <c r="X130" s="31"/>
      <c r="Y130" s="31" t="str">
        <f>IF($X130="","",SUMIFS(TARIFF_PROFILES!$D:$D,TARIFF_PROFILES!$A:$A,$X130))</f>
        <v/>
      </c>
      <c r="Z130" s="31" t="str">
        <f>IF($X130="","",SUMIFS(TARIFF_PROFILES!$E:$E,TARIFF_PROFILES!$A:$A,$X130))</f>
        <v/>
      </c>
      <c r="AA130" s="31" t="str">
        <f>IF($X130="","",SUMIFS(TARIFF_PROFILES!$F:$F,TARIFF_PROFILES!$A:$A,$X130))</f>
        <v/>
      </c>
      <c r="AB130" s="31" t="str">
        <f>IF($X130="","",SUMIFS(TARIFF_PROFILES!$G:$G,TARIFF_PROFILES!$A:$A,$X130))</f>
        <v/>
      </c>
      <c r="AC130" s="31" t="str">
        <f>IF($X130="","",SUMIFS(TARIFF_PROFILES!$H:$H,TARIFF_PROFILES!$A:$A,$X130))</f>
        <v/>
      </c>
      <c r="AD130" s="31" t="str">
        <f t="array" ref="AD130">IF($X130="","",INDEX(TARIFF_PROFILES!$J:$J,MATCH($X130,TARIFF_PROFILES!$A:$A,0)))</f>
        <v/>
      </c>
      <c r="AE130" s="31" t="str">
        <f t="array" ref="AE130">IF($X130="","",INDEX(TARIFF_PROFILES!$K:$K,MATCH($X130,TARIFF_PROFILES!$A:$A,0)))</f>
        <v/>
      </c>
      <c r="AG130" s="8"/>
      <c r="AH130" s="8" t="str">
        <f>IF($AG130="","",SUMIFS(OPERATING_COEFFS!$C:$C,OPERATING_COEFFS!$A:$A,"DistanceClass",OPERATING_COEFFS!$B:$B,$AG130))</f>
        <v/>
      </c>
      <c r="AI130" s="8"/>
      <c r="AJ130" s="8" t="str">
        <f>IF($AI130="","",SUMIFS(OPERATING_COEFFS!$C:$C,OPERATING_COEFFS!$A:$A,"SeasonClass",OPERATING_COEFFS!$B:$B,$AI130))</f>
        <v/>
      </c>
      <c r="AK130" s="8"/>
      <c r="AL130" s="8" t="str">
        <f>IF($AK130="","",SUMIFS(OPERATING_COEFFS!$C:$C,OPERATING_COEFFS!$A:$A,"UrgencyClass",OPERATING_COEFFS!$B:$B,$AK130))</f>
        <v/>
      </c>
      <c r="AM130" s="8"/>
      <c r="AN130" s="8" t="str">
        <f t="array" ref="AN130">IF($AM130="","",INDEX(TAX_MODES!$B:$B,MATCH($AM130,TAX_MODES!$A:$A,0)))</f>
        <v/>
      </c>
    </row>
    <row r="131" ht="14.25" customHeight="1">
      <c r="A131" s="31"/>
      <c r="B131" s="31"/>
      <c r="C131" s="31"/>
      <c r="D131" s="32" t="str">
        <f>IF($C131="","",SUMIFS(SITE_COEFFS!$C:$C,SITE_COEFFS!$A:$A,"SoilWorkability",SITE_COEFFS!$B:$B,$C131))</f>
        <v/>
      </c>
      <c r="E131" s="31"/>
      <c r="F131" s="32" t="str">
        <f>IF($E131="","",SUMIFS(SITE_COEFFS!$C:$C,SITE_COEFFS!$A:$A,"SoilMoisture",SITE_COEFFS!$B:$B,$E131))</f>
        <v/>
      </c>
      <c r="G131" s="31"/>
      <c r="H131" s="32" t="str">
        <f>IF($G131="","",SUMIFS(SITE_COEFFS!$C:$C,SITE_COEFFS!$A:$A,"DebrisLevel",SITE_COEFFS!$B:$B,$G131))</f>
        <v/>
      </c>
      <c r="I131" s="31"/>
      <c r="J131" s="32" t="str">
        <f>IF($I131="","",SUMIFS(SITE_COEFFS!$C:$C,SITE_COEFFS!$A:$A,"SlopeClass",SITE_COEFFS!$B:$B,$I131))</f>
        <v/>
      </c>
      <c r="K131" s="31"/>
      <c r="L131" s="32" t="str">
        <f>IF($K131="","",SUMIFS(SITE_COEFFS!$C:$C,SITE_COEFFS!$A:$A,"SurfaceUnevenness",SITE_COEFFS!$B:$B,$K131))</f>
        <v/>
      </c>
      <c r="M131" s="31"/>
      <c r="N131" s="32" t="str">
        <f>IF($M131="","",SUMIFS(SITE_COEFFS!$C:$C,SITE_COEFFS!$A:$A,"AccessClass",SITE_COEFFS!$B:$B,$M131))</f>
        <v/>
      </c>
      <c r="O131" s="31"/>
      <c r="P131" s="32" t="str">
        <f>IF($O131="","",SUMIFS(SITE_COEFFS!$C:$C,SITE_COEFFS!$A:$A,"TurnSpace",SITE_COEFFS!$B:$B,$O131))</f>
        <v/>
      </c>
      <c r="Q131" s="31"/>
      <c r="R131" s="32" t="str">
        <f>IF($Q131="","",SUMIFS(SITE_COEFFS!$C:$C,SITE_COEFFS!$A:$A,"ProximityToBuildings",SITE_COEFFS!$B:$B,$Q131))</f>
        <v/>
      </c>
      <c r="S131" s="31"/>
      <c r="T131" s="32" t="str">
        <f>IF($S131="","",SUMIFS(SITE_COEFFS!$C:$C,SITE_COEFFS!$A:$A,"MachineryAllowed",SITE_COEFFS!$B:$B,$S131))</f>
        <v/>
      </c>
      <c r="U131" s="31"/>
      <c r="V131" s="31"/>
      <c r="W131" s="32" t="str">
        <f>IF($V131="","",SUMIFS(SITE_COEFFS!$C:$C,SITE_COEFFS!$A:$A,"GeometryComplexity",SITE_COEFFS!$B:$B,$V131))</f>
        <v/>
      </c>
      <c r="X131" s="31"/>
      <c r="Y131" s="31" t="str">
        <f>IF($X131="","",SUMIFS(TARIFF_PROFILES!$D:$D,TARIFF_PROFILES!$A:$A,$X131))</f>
        <v/>
      </c>
      <c r="Z131" s="31" t="str">
        <f>IF($X131="","",SUMIFS(TARIFF_PROFILES!$E:$E,TARIFF_PROFILES!$A:$A,$X131))</f>
        <v/>
      </c>
      <c r="AA131" s="31" t="str">
        <f>IF($X131="","",SUMIFS(TARIFF_PROFILES!$F:$F,TARIFF_PROFILES!$A:$A,$X131))</f>
        <v/>
      </c>
      <c r="AB131" s="31" t="str">
        <f>IF($X131="","",SUMIFS(TARIFF_PROFILES!$G:$G,TARIFF_PROFILES!$A:$A,$X131))</f>
        <v/>
      </c>
      <c r="AC131" s="31" t="str">
        <f>IF($X131="","",SUMIFS(TARIFF_PROFILES!$H:$H,TARIFF_PROFILES!$A:$A,$X131))</f>
        <v/>
      </c>
      <c r="AD131" s="31" t="str">
        <f t="array" ref="AD131">IF($X131="","",INDEX(TARIFF_PROFILES!$J:$J,MATCH($X131,TARIFF_PROFILES!$A:$A,0)))</f>
        <v/>
      </c>
      <c r="AE131" s="31" t="str">
        <f t="array" ref="AE131">IF($X131="","",INDEX(TARIFF_PROFILES!$K:$K,MATCH($X131,TARIFF_PROFILES!$A:$A,0)))</f>
        <v/>
      </c>
      <c r="AG131" s="8"/>
      <c r="AH131" s="8" t="str">
        <f>IF($AG131="","",SUMIFS(OPERATING_COEFFS!$C:$C,OPERATING_COEFFS!$A:$A,"DistanceClass",OPERATING_COEFFS!$B:$B,$AG131))</f>
        <v/>
      </c>
      <c r="AI131" s="8"/>
      <c r="AJ131" s="8" t="str">
        <f>IF($AI131="","",SUMIFS(OPERATING_COEFFS!$C:$C,OPERATING_COEFFS!$A:$A,"SeasonClass",OPERATING_COEFFS!$B:$B,$AI131))</f>
        <v/>
      </c>
      <c r="AK131" s="8"/>
      <c r="AL131" s="8" t="str">
        <f>IF($AK131="","",SUMIFS(OPERATING_COEFFS!$C:$C,OPERATING_COEFFS!$A:$A,"UrgencyClass",OPERATING_COEFFS!$B:$B,$AK131))</f>
        <v/>
      </c>
      <c r="AM131" s="8"/>
      <c r="AN131" s="8" t="str">
        <f t="array" ref="AN131">IF($AM131="","",INDEX(TAX_MODES!$B:$B,MATCH($AM131,TAX_MODES!$A:$A,0)))</f>
        <v/>
      </c>
    </row>
    <row r="132" ht="14.25" customHeight="1">
      <c r="A132" s="31"/>
      <c r="B132" s="31"/>
      <c r="C132" s="31"/>
      <c r="D132" s="32" t="str">
        <f>IF($C132="","",SUMIFS(SITE_COEFFS!$C:$C,SITE_COEFFS!$A:$A,"SoilWorkability",SITE_COEFFS!$B:$B,$C132))</f>
        <v/>
      </c>
      <c r="E132" s="31"/>
      <c r="F132" s="32" t="str">
        <f>IF($E132="","",SUMIFS(SITE_COEFFS!$C:$C,SITE_COEFFS!$A:$A,"SoilMoisture",SITE_COEFFS!$B:$B,$E132))</f>
        <v/>
      </c>
      <c r="G132" s="31"/>
      <c r="H132" s="32" t="str">
        <f>IF($G132="","",SUMIFS(SITE_COEFFS!$C:$C,SITE_COEFFS!$A:$A,"DebrisLevel",SITE_COEFFS!$B:$B,$G132))</f>
        <v/>
      </c>
      <c r="I132" s="31"/>
      <c r="J132" s="32" t="str">
        <f>IF($I132="","",SUMIFS(SITE_COEFFS!$C:$C,SITE_COEFFS!$A:$A,"SlopeClass",SITE_COEFFS!$B:$B,$I132))</f>
        <v/>
      </c>
      <c r="K132" s="31"/>
      <c r="L132" s="32" t="str">
        <f>IF($K132="","",SUMIFS(SITE_COEFFS!$C:$C,SITE_COEFFS!$A:$A,"SurfaceUnevenness",SITE_COEFFS!$B:$B,$K132))</f>
        <v/>
      </c>
      <c r="M132" s="31"/>
      <c r="N132" s="32" t="str">
        <f>IF($M132="","",SUMIFS(SITE_COEFFS!$C:$C,SITE_COEFFS!$A:$A,"AccessClass",SITE_COEFFS!$B:$B,$M132))</f>
        <v/>
      </c>
      <c r="O132" s="31"/>
      <c r="P132" s="32" t="str">
        <f>IF($O132="","",SUMIFS(SITE_COEFFS!$C:$C,SITE_COEFFS!$A:$A,"TurnSpace",SITE_COEFFS!$B:$B,$O132))</f>
        <v/>
      </c>
      <c r="Q132" s="31"/>
      <c r="R132" s="32" t="str">
        <f>IF($Q132="","",SUMIFS(SITE_COEFFS!$C:$C,SITE_COEFFS!$A:$A,"ProximityToBuildings",SITE_COEFFS!$B:$B,$Q132))</f>
        <v/>
      </c>
      <c r="S132" s="31"/>
      <c r="T132" s="32" t="str">
        <f>IF($S132="","",SUMIFS(SITE_COEFFS!$C:$C,SITE_COEFFS!$A:$A,"MachineryAllowed",SITE_COEFFS!$B:$B,$S132))</f>
        <v/>
      </c>
      <c r="U132" s="31"/>
      <c r="V132" s="31"/>
      <c r="W132" s="32" t="str">
        <f>IF($V132="","",SUMIFS(SITE_COEFFS!$C:$C,SITE_COEFFS!$A:$A,"GeometryComplexity",SITE_COEFFS!$B:$B,$V132))</f>
        <v/>
      </c>
      <c r="X132" s="31"/>
      <c r="Y132" s="31" t="str">
        <f>IF($X132="","",SUMIFS(TARIFF_PROFILES!$D:$D,TARIFF_PROFILES!$A:$A,$X132))</f>
        <v/>
      </c>
      <c r="Z132" s="31" t="str">
        <f>IF($X132="","",SUMIFS(TARIFF_PROFILES!$E:$E,TARIFF_PROFILES!$A:$A,$X132))</f>
        <v/>
      </c>
      <c r="AA132" s="31" t="str">
        <f>IF($X132="","",SUMIFS(TARIFF_PROFILES!$F:$F,TARIFF_PROFILES!$A:$A,$X132))</f>
        <v/>
      </c>
      <c r="AB132" s="31" t="str">
        <f>IF($X132="","",SUMIFS(TARIFF_PROFILES!$G:$G,TARIFF_PROFILES!$A:$A,$X132))</f>
        <v/>
      </c>
      <c r="AC132" s="31" t="str">
        <f>IF($X132="","",SUMIFS(TARIFF_PROFILES!$H:$H,TARIFF_PROFILES!$A:$A,$X132))</f>
        <v/>
      </c>
      <c r="AD132" s="31" t="str">
        <f t="array" ref="AD132">IF($X132="","",INDEX(TARIFF_PROFILES!$J:$J,MATCH($X132,TARIFF_PROFILES!$A:$A,0)))</f>
        <v/>
      </c>
      <c r="AE132" s="31" t="str">
        <f t="array" ref="AE132">IF($X132="","",INDEX(TARIFF_PROFILES!$K:$K,MATCH($X132,TARIFF_PROFILES!$A:$A,0)))</f>
        <v/>
      </c>
      <c r="AG132" s="8"/>
      <c r="AH132" s="8" t="str">
        <f>IF($AG132="","",SUMIFS(OPERATING_COEFFS!$C:$C,OPERATING_COEFFS!$A:$A,"DistanceClass",OPERATING_COEFFS!$B:$B,$AG132))</f>
        <v/>
      </c>
      <c r="AI132" s="8"/>
      <c r="AJ132" s="8" t="str">
        <f>IF($AI132="","",SUMIFS(OPERATING_COEFFS!$C:$C,OPERATING_COEFFS!$A:$A,"SeasonClass",OPERATING_COEFFS!$B:$B,$AI132))</f>
        <v/>
      </c>
      <c r="AK132" s="8"/>
      <c r="AL132" s="8" t="str">
        <f>IF($AK132="","",SUMIFS(OPERATING_COEFFS!$C:$C,OPERATING_COEFFS!$A:$A,"UrgencyClass",OPERATING_COEFFS!$B:$B,$AK132))</f>
        <v/>
      </c>
      <c r="AM132" s="8"/>
      <c r="AN132" s="8" t="str">
        <f t="array" ref="AN132">IF($AM132="","",INDEX(TAX_MODES!$B:$B,MATCH($AM132,TAX_MODES!$A:$A,0)))</f>
        <v/>
      </c>
    </row>
    <row r="133" ht="14.25" customHeight="1">
      <c r="A133" s="31"/>
      <c r="B133" s="31"/>
      <c r="C133" s="31"/>
      <c r="D133" s="32" t="str">
        <f>IF($C133="","",SUMIFS(SITE_COEFFS!$C:$C,SITE_COEFFS!$A:$A,"SoilWorkability",SITE_COEFFS!$B:$B,$C133))</f>
        <v/>
      </c>
      <c r="E133" s="31"/>
      <c r="F133" s="32" t="str">
        <f>IF($E133="","",SUMIFS(SITE_COEFFS!$C:$C,SITE_COEFFS!$A:$A,"SoilMoisture",SITE_COEFFS!$B:$B,$E133))</f>
        <v/>
      </c>
      <c r="G133" s="31"/>
      <c r="H133" s="32" t="str">
        <f>IF($G133="","",SUMIFS(SITE_COEFFS!$C:$C,SITE_COEFFS!$A:$A,"DebrisLevel",SITE_COEFFS!$B:$B,$G133))</f>
        <v/>
      </c>
      <c r="I133" s="31"/>
      <c r="J133" s="32" t="str">
        <f>IF($I133="","",SUMIFS(SITE_COEFFS!$C:$C,SITE_COEFFS!$A:$A,"SlopeClass",SITE_COEFFS!$B:$B,$I133))</f>
        <v/>
      </c>
      <c r="K133" s="31"/>
      <c r="L133" s="32" t="str">
        <f>IF($K133="","",SUMIFS(SITE_COEFFS!$C:$C,SITE_COEFFS!$A:$A,"SurfaceUnevenness",SITE_COEFFS!$B:$B,$K133))</f>
        <v/>
      </c>
      <c r="M133" s="31"/>
      <c r="N133" s="32" t="str">
        <f>IF($M133="","",SUMIFS(SITE_COEFFS!$C:$C,SITE_COEFFS!$A:$A,"AccessClass",SITE_COEFFS!$B:$B,$M133))</f>
        <v/>
      </c>
      <c r="O133" s="31"/>
      <c r="P133" s="32" t="str">
        <f>IF($O133="","",SUMIFS(SITE_COEFFS!$C:$C,SITE_COEFFS!$A:$A,"TurnSpace",SITE_COEFFS!$B:$B,$O133))</f>
        <v/>
      </c>
      <c r="Q133" s="31"/>
      <c r="R133" s="32" t="str">
        <f>IF($Q133="","",SUMIFS(SITE_COEFFS!$C:$C,SITE_COEFFS!$A:$A,"ProximityToBuildings",SITE_COEFFS!$B:$B,$Q133))</f>
        <v/>
      </c>
      <c r="S133" s="31"/>
      <c r="T133" s="32" t="str">
        <f>IF($S133="","",SUMIFS(SITE_COEFFS!$C:$C,SITE_COEFFS!$A:$A,"MachineryAllowed",SITE_COEFFS!$B:$B,$S133))</f>
        <v/>
      </c>
      <c r="U133" s="31"/>
      <c r="V133" s="31"/>
      <c r="W133" s="32" t="str">
        <f>IF($V133="","",SUMIFS(SITE_COEFFS!$C:$C,SITE_COEFFS!$A:$A,"GeometryComplexity",SITE_COEFFS!$B:$B,$V133))</f>
        <v/>
      </c>
      <c r="X133" s="31"/>
      <c r="Y133" s="31" t="str">
        <f>IF($X133="","",SUMIFS(TARIFF_PROFILES!$D:$D,TARIFF_PROFILES!$A:$A,$X133))</f>
        <v/>
      </c>
      <c r="Z133" s="31" t="str">
        <f>IF($X133="","",SUMIFS(TARIFF_PROFILES!$E:$E,TARIFF_PROFILES!$A:$A,$X133))</f>
        <v/>
      </c>
      <c r="AA133" s="31" t="str">
        <f>IF($X133="","",SUMIFS(TARIFF_PROFILES!$F:$F,TARIFF_PROFILES!$A:$A,$X133))</f>
        <v/>
      </c>
      <c r="AB133" s="31" t="str">
        <f>IF($X133="","",SUMIFS(TARIFF_PROFILES!$G:$G,TARIFF_PROFILES!$A:$A,$X133))</f>
        <v/>
      </c>
      <c r="AC133" s="31" t="str">
        <f>IF($X133="","",SUMIFS(TARIFF_PROFILES!$H:$H,TARIFF_PROFILES!$A:$A,$X133))</f>
        <v/>
      </c>
      <c r="AD133" s="31" t="str">
        <f t="array" ref="AD133">IF($X133="","",INDEX(TARIFF_PROFILES!$J:$J,MATCH($X133,TARIFF_PROFILES!$A:$A,0)))</f>
        <v/>
      </c>
      <c r="AE133" s="31" t="str">
        <f t="array" ref="AE133">IF($X133="","",INDEX(TARIFF_PROFILES!$K:$K,MATCH($X133,TARIFF_PROFILES!$A:$A,0)))</f>
        <v/>
      </c>
      <c r="AG133" s="8"/>
      <c r="AH133" s="8" t="str">
        <f>IF($AG133="","",SUMIFS(OPERATING_COEFFS!$C:$C,OPERATING_COEFFS!$A:$A,"DistanceClass",OPERATING_COEFFS!$B:$B,$AG133))</f>
        <v/>
      </c>
      <c r="AI133" s="8"/>
      <c r="AJ133" s="8" t="str">
        <f>IF($AI133="","",SUMIFS(OPERATING_COEFFS!$C:$C,OPERATING_COEFFS!$A:$A,"SeasonClass",OPERATING_COEFFS!$B:$B,$AI133))</f>
        <v/>
      </c>
      <c r="AK133" s="8"/>
      <c r="AL133" s="8" t="str">
        <f>IF($AK133="","",SUMIFS(OPERATING_COEFFS!$C:$C,OPERATING_COEFFS!$A:$A,"UrgencyClass",OPERATING_COEFFS!$B:$B,$AK133))</f>
        <v/>
      </c>
      <c r="AM133" s="8"/>
      <c r="AN133" s="8" t="str">
        <f t="array" ref="AN133">IF($AM133="","",INDEX(TAX_MODES!$B:$B,MATCH($AM133,TAX_MODES!$A:$A,0)))</f>
        <v/>
      </c>
    </row>
    <row r="134" ht="14.25" customHeight="1">
      <c r="A134" s="31"/>
      <c r="B134" s="31"/>
      <c r="C134" s="31"/>
      <c r="D134" s="32" t="str">
        <f>IF($C134="","",SUMIFS(SITE_COEFFS!$C:$C,SITE_COEFFS!$A:$A,"SoilWorkability",SITE_COEFFS!$B:$B,$C134))</f>
        <v/>
      </c>
      <c r="E134" s="31"/>
      <c r="F134" s="32" t="str">
        <f>IF($E134="","",SUMIFS(SITE_COEFFS!$C:$C,SITE_COEFFS!$A:$A,"SoilMoisture",SITE_COEFFS!$B:$B,$E134))</f>
        <v/>
      </c>
      <c r="G134" s="31"/>
      <c r="H134" s="32" t="str">
        <f>IF($G134="","",SUMIFS(SITE_COEFFS!$C:$C,SITE_COEFFS!$A:$A,"DebrisLevel",SITE_COEFFS!$B:$B,$G134))</f>
        <v/>
      </c>
      <c r="I134" s="31"/>
      <c r="J134" s="32" t="str">
        <f>IF($I134="","",SUMIFS(SITE_COEFFS!$C:$C,SITE_COEFFS!$A:$A,"SlopeClass",SITE_COEFFS!$B:$B,$I134))</f>
        <v/>
      </c>
      <c r="K134" s="31"/>
      <c r="L134" s="32" t="str">
        <f>IF($K134="","",SUMIFS(SITE_COEFFS!$C:$C,SITE_COEFFS!$A:$A,"SurfaceUnevenness",SITE_COEFFS!$B:$B,$K134))</f>
        <v/>
      </c>
      <c r="M134" s="31"/>
      <c r="N134" s="32" t="str">
        <f>IF($M134="","",SUMIFS(SITE_COEFFS!$C:$C,SITE_COEFFS!$A:$A,"AccessClass",SITE_COEFFS!$B:$B,$M134))</f>
        <v/>
      </c>
      <c r="O134" s="31"/>
      <c r="P134" s="32" t="str">
        <f>IF($O134="","",SUMIFS(SITE_COEFFS!$C:$C,SITE_COEFFS!$A:$A,"TurnSpace",SITE_COEFFS!$B:$B,$O134))</f>
        <v/>
      </c>
      <c r="Q134" s="31"/>
      <c r="R134" s="32" t="str">
        <f>IF($Q134="","",SUMIFS(SITE_COEFFS!$C:$C,SITE_COEFFS!$A:$A,"ProximityToBuildings",SITE_COEFFS!$B:$B,$Q134))</f>
        <v/>
      </c>
      <c r="S134" s="31"/>
      <c r="T134" s="32" t="str">
        <f>IF($S134="","",SUMIFS(SITE_COEFFS!$C:$C,SITE_COEFFS!$A:$A,"MachineryAllowed",SITE_COEFFS!$B:$B,$S134))</f>
        <v/>
      </c>
      <c r="U134" s="31"/>
      <c r="V134" s="31"/>
      <c r="W134" s="32" t="str">
        <f>IF($V134="","",SUMIFS(SITE_COEFFS!$C:$C,SITE_COEFFS!$A:$A,"GeometryComplexity",SITE_COEFFS!$B:$B,$V134))</f>
        <v/>
      </c>
      <c r="X134" s="31"/>
      <c r="Y134" s="31" t="str">
        <f>IF($X134="","",SUMIFS(TARIFF_PROFILES!$D:$D,TARIFF_PROFILES!$A:$A,$X134))</f>
        <v/>
      </c>
      <c r="Z134" s="31" t="str">
        <f>IF($X134="","",SUMIFS(TARIFF_PROFILES!$E:$E,TARIFF_PROFILES!$A:$A,$X134))</f>
        <v/>
      </c>
      <c r="AA134" s="31" t="str">
        <f>IF($X134="","",SUMIFS(TARIFF_PROFILES!$F:$F,TARIFF_PROFILES!$A:$A,$X134))</f>
        <v/>
      </c>
      <c r="AB134" s="31" t="str">
        <f>IF($X134="","",SUMIFS(TARIFF_PROFILES!$G:$G,TARIFF_PROFILES!$A:$A,$X134))</f>
        <v/>
      </c>
      <c r="AC134" s="31" t="str">
        <f>IF($X134="","",SUMIFS(TARIFF_PROFILES!$H:$H,TARIFF_PROFILES!$A:$A,$X134))</f>
        <v/>
      </c>
      <c r="AD134" s="31" t="str">
        <f t="array" ref="AD134">IF($X134="","",INDEX(TARIFF_PROFILES!$J:$J,MATCH($X134,TARIFF_PROFILES!$A:$A,0)))</f>
        <v/>
      </c>
      <c r="AE134" s="31" t="str">
        <f t="array" ref="AE134">IF($X134="","",INDEX(TARIFF_PROFILES!$K:$K,MATCH($X134,TARIFF_PROFILES!$A:$A,0)))</f>
        <v/>
      </c>
      <c r="AG134" s="8"/>
      <c r="AH134" s="8" t="str">
        <f>IF($AG134="","",SUMIFS(OPERATING_COEFFS!$C:$C,OPERATING_COEFFS!$A:$A,"DistanceClass",OPERATING_COEFFS!$B:$B,$AG134))</f>
        <v/>
      </c>
      <c r="AI134" s="8"/>
      <c r="AJ134" s="8" t="str">
        <f>IF($AI134="","",SUMIFS(OPERATING_COEFFS!$C:$C,OPERATING_COEFFS!$A:$A,"SeasonClass",OPERATING_COEFFS!$B:$B,$AI134))</f>
        <v/>
      </c>
      <c r="AK134" s="8"/>
      <c r="AL134" s="8" t="str">
        <f>IF($AK134="","",SUMIFS(OPERATING_COEFFS!$C:$C,OPERATING_COEFFS!$A:$A,"UrgencyClass",OPERATING_COEFFS!$B:$B,$AK134))</f>
        <v/>
      </c>
      <c r="AM134" s="8"/>
      <c r="AN134" s="8" t="str">
        <f t="array" ref="AN134">IF($AM134="","",INDEX(TAX_MODES!$B:$B,MATCH($AM134,TAX_MODES!$A:$A,0)))</f>
        <v/>
      </c>
    </row>
    <row r="135" ht="14.25" customHeight="1">
      <c r="A135" s="31"/>
      <c r="B135" s="31"/>
      <c r="C135" s="31"/>
      <c r="D135" s="32" t="str">
        <f>IF($C135="","",SUMIFS(SITE_COEFFS!$C:$C,SITE_COEFFS!$A:$A,"SoilWorkability",SITE_COEFFS!$B:$B,$C135))</f>
        <v/>
      </c>
      <c r="E135" s="31"/>
      <c r="F135" s="32" t="str">
        <f>IF($E135="","",SUMIFS(SITE_COEFFS!$C:$C,SITE_COEFFS!$A:$A,"SoilMoisture",SITE_COEFFS!$B:$B,$E135))</f>
        <v/>
      </c>
      <c r="G135" s="31"/>
      <c r="H135" s="32" t="str">
        <f>IF($G135="","",SUMIFS(SITE_COEFFS!$C:$C,SITE_COEFFS!$A:$A,"DebrisLevel",SITE_COEFFS!$B:$B,$G135))</f>
        <v/>
      </c>
      <c r="I135" s="31"/>
      <c r="J135" s="32" t="str">
        <f>IF($I135="","",SUMIFS(SITE_COEFFS!$C:$C,SITE_COEFFS!$A:$A,"SlopeClass",SITE_COEFFS!$B:$B,$I135))</f>
        <v/>
      </c>
      <c r="K135" s="31"/>
      <c r="L135" s="32" t="str">
        <f>IF($K135="","",SUMIFS(SITE_COEFFS!$C:$C,SITE_COEFFS!$A:$A,"SurfaceUnevenness",SITE_COEFFS!$B:$B,$K135))</f>
        <v/>
      </c>
      <c r="M135" s="31"/>
      <c r="N135" s="32" t="str">
        <f>IF($M135="","",SUMIFS(SITE_COEFFS!$C:$C,SITE_COEFFS!$A:$A,"AccessClass",SITE_COEFFS!$B:$B,$M135))</f>
        <v/>
      </c>
      <c r="O135" s="31"/>
      <c r="P135" s="32" t="str">
        <f>IF($O135="","",SUMIFS(SITE_COEFFS!$C:$C,SITE_COEFFS!$A:$A,"TurnSpace",SITE_COEFFS!$B:$B,$O135))</f>
        <v/>
      </c>
      <c r="Q135" s="31"/>
      <c r="R135" s="32" t="str">
        <f>IF($Q135="","",SUMIFS(SITE_COEFFS!$C:$C,SITE_COEFFS!$A:$A,"ProximityToBuildings",SITE_COEFFS!$B:$B,$Q135))</f>
        <v/>
      </c>
      <c r="S135" s="31"/>
      <c r="T135" s="32" t="str">
        <f>IF($S135="","",SUMIFS(SITE_COEFFS!$C:$C,SITE_COEFFS!$A:$A,"MachineryAllowed",SITE_COEFFS!$B:$B,$S135))</f>
        <v/>
      </c>
      <c r="U135" s="31"/>
      <c r="V135" s="31"/>
      <c r="W135" s="32" t="str">
        <f>IF($V135="","",SUMIFS(SITE_COEFFS!$C:$C,SITE_COEFFS!$A:$A,"GeometryComplexity",SITE_COEFFS!$B:$B,$V135))</f>
        <v/>
      </c>
      <c r="X135" s="31"/>
      <c r="Y135" s="31" t="str">
        <f>IF($X135="","",SUMIFS(TARIFF_PROFILES!$D:$D,TARIFF_PROFILES!$A:$A,$X135))</f>
        <v/>
      </c>
      <c r="Z135" s="31" t="str">
        <f>IF($X135="","",SUMIFS(TARIFF_PROFILES!$E:$E,TARIFF_PROFILES!$A:$A,$X135))</f>
        <v/>
      </c>
      <c r="AA135" s="31" t="str">
        <f>IF($X135="","",SUMIFS(TARIFF_PROFILES!$F:$F,TARIFF_PROFILES!$A:$A,$X135))</f>
        <v/>
      </c>
      <c r="AB135" s="31" t="str">
        <f>IF($X135="","",SUMIFS(TARIFF_PROFILES!$G:$G,TARIFF_PROFILES!$A:$A,$X135))</f>
        <v/>
      </c>
      <c r="AC135" s="31" t="str">
        <f>IF($X135="","",SUMIFS(TARIFF_PROFILES!$H:$H,TARIFF_PROFILES!$A:$A,$X135))</f>
        <v/>
      </c>
      <c r="AD135" s="31" t="str">
        <f t="array" ref="AD135">IF($X135="","",INDEX(TARIFF_PROFILES!$J:$J,MATCH($X135,TARIFF_PROFILES!$A:$A,0)))</f>
        <v/>
      </c>
      <c r="AE135" s="31" t="str">
        <f t="array" ref="AE135">IF($X135="","",INDEX(TARIFF_PROFILES!$K:$K,MATCH($X135,TARIFF_PROFILES!$A:$A,0)))</f>
        <v/>
      </c>
      <c r="AG135" s="8"/>
      <c r="AH135" s="8" t="str">
        <f>IF($AG135="","",SUMIFS(OPERATING_COEFFS!$C:$C,OPERATING_COEFFS!$A:$A,"DistanceClass",OPERATING_COEFFS!$B:$B,$AG135))</f>
        <v/>
      </c>
      <c r="AI135" s="8"/>
      <c r="AJ135" s="8" t="str">
        <f>IF($AI135="","",SUMIFS(OPERATING_COEFFS!$C:$C,OPERATING_COEFFS!$A:$A,"SeasonClass",OPERATING_COEFFS!$B:$B,$AI135))</f>
        <v/>
      </c>
      <c r="AK135" s="8"/>
      <c r="AL135" s="8" t="str">
        <f>IF($AK135="","",SUMIFS(OPERATING_COEFFS!$C:$C,OPERATING_COEFFS!$A:$A,"UrgencyClass",OPERATING_COEFFS!$B:$B,$AK135))</f>
        <v/>
      </c>
      <c r="AM135" s="8"/>
      <c r="AN135" s="8" t="str">
        <f t="array" ref="AN135">IF($AM135="","",INDEX(TAX_MODES!$B:$B,MATCH($AM135,TAX_MODES!$A:$A,0)))</f>
        <v/>
      </c>
    </row>
    <row r="136" ht="14.25" customHeight="1">
      <c r="A136" s="31"/>
      <c r="B136" s="31"/>
      <c r="C136" s="31"/>
      <c r="D136" s="32" t="str">
        <f>IF($C136="","",SUMIFS(SITE_COEFFS!$C:$C,SITE_COEFFS!$A:$A,"SoilWorkability",SITE_COEFFS!$B:$B,$C136))</f>
        <v/>
      </c>
      <c r="E136" s="31"/>
      <c r="F136" s="32" t="str">
        <f>IF($E136="","",SUMIFS(SITE_COEFFS!$C:$C,SITE_COEFFS!$A:$A,"SoilMoisture",SITE_COEFFS!$B:$B,$E136))</f>
        <v/>
      </c>
      <c r="G136" s="31"/>
      <c r="H136" s="32" t="str">
        <f>IF($G136="","",SUMIFS(SITE_COEFFS!$C:$C,SITE_COEFFS!$A:$A,"DebrisLevel",SITE_COEFFS!$B:$B,$G136))</f>
        <v/>
      </c>
      <c r="I136" s="31"/>
      <c r="J136" s="32" t="str">
        <f>IF($I136="","",SUMIFS(SITE_COEFFS!$C:$C,SITE_COEFFS!$A:$A,"SlopeClass",SITE_COEFFS!$B:$B,$I136))</f>
        <v/>
      </c>
      <c r="K136" s="31"/>
      <c r="L136" s="32" t="str">
        <f>IF($K136="","",SUMIFS(SITE_COEFFS!$C:$C,SITE_COEFFS!$A:$A,"SurfaceUnevenness",SITE_COEFFS!$B:$B,$K136))</f>
        <v/>
      </c>
      <c r="M136" s="31"/>
      <c r="N136" s="32" t="str">
        <f>IF($M136="","",SUMIFS(SITE_COEFFS!$C:$C,SITE_COEFFS!$A:$A,"AccessClass",SITE_COEFFS!$B:$B,$M136))</f>
        <v/>
      </c>
      <c r="O136" s="31"/>
      <c r="P136" s="32" t="str">
        <f>IF($O136="","",SUMIFS(SITE_COEFFS!$C:$C,SITE_COEFFS!$A:$A,"TurnSpace",SITE_COEFFS!$B:$B,$O136))</f>
        <v/>
      </c>
      <c r="Q136" s="31"/>
      <c r="R136" s="32" t="str">
        <f>IF($Q136="","",SUMIFS(SITE_COEFFS!$C:$C,SITE_COEFFS!$A:$A,"ProximityToBuildings",SITE_COEFFS!$B:$B,$Q136))</f>
        <v/>
      </c>
      <c r="S136" s="31"/>
      <c r="T136" s="32" t="str">
        <f>IF($S136="","",SUMIFS(SITE_COEFFS!$C:$C,SITE_COEFFS!$A:$A,"MachineryAllowed",SITE_COEFFS!$B:$B,$S136))</f>
        <v/>
      </c>
      <c r="U136" s="31"/>
      <c r="V136" s="31"/>
      <c r="W136" s="32" t="str">
        <f>IF($V136="","",SUMIFS(SITE_COEFFS!$C:$C,SITE_COEFFS!$A:$A,"GeometryComplexity",SITE_COEFFS!$B:$B,$V136))</f>
        <v/>
      </c>
      <c r="X136" s="31"/>
      <c r="Y136" s="31" t="str">
        <f>IF($X136="","",SUMIFS(TARIFF_PROFILES!$D:$D,TARIFF_PROFILES!$A:$A,$X136))</f>
        <v/>
      </c>
      <c r="Z136" s="31" t="str">
        <f>IF($X136="","",SUMIFS(TARIFF_PROFILES!$E:$E,TARIFF_PROFILES!$A:$A,$X136))</f>
        <v/>
      </c>
      <c r="AA136" s="31" t="str">
        <f>IF($X136="","",SUMIFS(TARIFF_PROFILES!$F:$F,TARIFF_PROFILES!$A:$A,$X136))</f>
        <v/>
      </c>
      <c r="AB136" s="31" t="str">
        <f>IF($X136="","",SUMIFS(TARIFF_PROFILES!$G:$G,TARIFF_PROFILES!$A:$A,$X136))</f>
        <v/>
      </c>
      <c r="AC136" s="31" t="str">
        <f>IF($X136="","",SUMIFS(TARIFF_PROFILES!$H:$H,TARIFF_PROFILES!$A:$A,$X136))</f>
        <v/>
      </c>
      <c r="AD136" s="31" t="str">
        <f t="array" ref="AD136">IF($X136="","",INDEX(TARIFF_PROFILES!$J:$J,MATCH($X136,TARIFF_PROFILES!$A:$A,0)))</f>
        <v/>
      </c>
      <c r="AE136" s="31" t="str">
        <f t="array" ref="AE136">IF($X136="","",INDEX(TARIFF_PROFILES!$K:$K,MATCH($X136,TARIFF_PROFILES!$A:$A,0)))</f>
        <v/>
      </c>
      <c r="AG136" s="8"/>
      <c r="AH136" s="8" t="str">
        <f>IF($AG136="","",SUMIFS(OPERATING_COEFFS!$C:$C,OPERATING_COEFFS!$A:$A,"DistanceClass",OPERATING_COEFFS!$B:$B,$AG136))</f>
        <v/>
      </c>
      <c r="AI136" s="8"/>
      <c r="AJ136" s="8" t="str">
        <f>IF($AI136="","",SUMIFS(OPERATING_COEFFS!$C:$C,OPERATING_COEFFS!$A:$A,"SeasonClass",OPERATING_COEFFS!$B:$B,$AI136))</f>
        <v/>
      </c>
      <c r="AK136" s="8"/>
      <c r="AL136" s="8" t="str">
        <f>IF($AK136="","",SUMIFS(OPERATING_COEFFS!$C:$C,OPERATING_COEFFS!$A:$A,"UrgencyClass",OPERATING_COEFFS!$B:$B,$AK136))</f>
        <v/>
      </c>
      <c r="AM136" s="8"/>
      <c r="AN136" s="8" t="str">
        <f t="array" ref="AN136">IF($AM136="","",INDEX(TAX_MODES!$B:$B,MATCH($AM136,TAX_MODES!$A:$A,0)))</f>
        <v/>
      </c>
    </row>
    <row r="137" ht="14.25" customHeight="1">
      <c r="A137" s="31"/>
      <c r="B137" s="31"/>
      <c r="C137" s="31"/>
      <c r="D137" s="32" t="str">
        <f>IF($C137="","",SUMIFS(SITE_COEFFS!$C:$C,SITE_COEFFS!$A:$A,"SoilWorkability",SITE_COEFFS!$B:$B,$C137))</f>
        <v/>
      </c>
      <c r="E137" s="31"/>
      <c r="F137" s="32" t="str">
        <f>IF($E137="","",SUMIFS(SITE_COEFFS!$C:$C,SITE_COEFFS!$A:$A,"SoilMoisture",SITE_COEFFS!$B:$B,$E137))</f>
        <v/>
      </c>
      <c r="G137" s="31"/>
      <c r="H137" s="32" t="str">
        <f>IF($G137="","",SUMIFS(SITE_COEFFS!$C:$C,SITE_COEFFS!$A:$A,"DebrisLevel",SITE_COEFFS!$B:$B,$G137))</f>
        <v/>
      </c>
      <c r="I137" s="31"/>
      <c r="J137" s="32" t="str">
        <f>IF($I137="","",SUMIFS(SITE_COEFFS!$C:$C,SITE_COEFFS!$A:$A,"SlopeClass",SITE_COEFFS!$B:$B,$I137))</f>
        <v/>
      </c>
      <c r="K137" s="31"/>
      <c r="L137" s="32" t="str">
        <f>IF($K137="","",SUMIFS(SITE_COEFFS!$C:$C,SITE_COEFFS!$A:$A,"SurfaceUnevenness",SITE_COEFFS!$B:$B,$K137))</f>
        <v/>
      </c>
      <c r="M137" s="31"/>
      <c r="N137" s="32" t="str">
        <f>IF($M137="","",SUMIFS(SITE_COEFFS!$C:$C,SITE_COEFFS!$A:$A,"AccessClass",SITE_COEFFS!$B:$B,$M137))</f>
        <v/>
      </c>
      <c r="O137" s="31"/>
      <c r="P137" s="32" t="str">
        <f>IF($O137="","",SUMIFS(SITE_COEFFS!$C:$C,SITE_COEFFS!$A:$A,"TurnSpace",SITE_COEFFS!$B:$B,$O137))</f>
        <v/>
      </c>
      <c r="Q137" s="31"/>
      <c r="R137" s="32" t="str">
        <f>IF($Q137="","",SUMIFS(SITE_COEFFS!$C:$C,SITE_COEFFS!$A:$A,"ProximityToBuildings",SITE_COEFFS!$B:$B,$Q137))</f>
        <v/>
      </c>
      <c r="S137" s="31"/>
      <c r="T137" s="32" t="str">
        <f>IF($S137="","",SUMIFS(SITE_COEFFS!$C:$C,SITE_COEFFS!$A:$A,"MachineryAllowed",SITE_COEFFS!$B:$B,$S137))</f>
        <v/>
      </c>
      <c r="U137" s="31"/>
      <c r="V137" s="31"/>
      <c r="W137" s="32" t="str">
        <f>IF($V137="","",SUMIFS(SITE_COEFFS!$C:$C,SITE_COEFFS!$A:$A,"GeometryComplexity",SITE_COEFFS!$B:$B,$V137))</f>
        <v/>
      </c>
      <c r="X137" s="31"/>
      <c r="Y137" s="31" t="str">
        <f>IF($X137="","",SUMIFS(TARIFF_PROFILES!$D:$D,TARIFF_PROFILES!$A:$A,$X137))</f>
        <v/>
      </c>
      <c r="Z137" s="31" t="str">
        <f>IF($X137="","",SUMIFS(TARIFF_PROFILES!$E:$E,TARIFF_PROFILES!$A:$A,$X137))</f>
        <v/>
      </c>
      <c r="AA137" s="31" t="str">
        <f>IF($X137="","",SUMIFS(TARIFF_PROFILES!$F:$F,TARIFF_PROFILES!$A:$A,$X137))</f>
        <v/>
      </c>
      <c r="AB137" s="31" t="str">
        <f>IF($X137="","",SUMIFS(TARIFF_PROFILES!$G:$G,TARIFF_PROFILES!$A:$A,$X137))</f>
        <v/>
      </c>
      <c r="AC137" s="31" t="str">
        <f>IF($X137="","",SUMIFS(TARIFF_PROFILES!$H:$H,TARIFF_PROFILES!$A:$A,$X137))</f>
        <v/>
      </c>
      <c r="AD137" s="31" t="str">
        <f t="array" ref="AD137">IF($X137="","",INDEX(TARIFF_PROFILES!$J:$J,MATCH($X137,TARIFF_PROFILES!$A:$A,0)))</f>
        <v/>
      </c>
      <c r="AE137" s="31" t="str">
        <f t="array" ref="AE137">IF($X137="","",INDEX(TARIFF_PROFILES!$K:$K,MATCH($X137,TARIFF_PROFILES!$A:$A,0)))</f>
        <v/>
      </c>
      <c r="AG137" s="8"/>
      <c r="AH137" s="8" t="str">
        <f>IF($AG137="","",SUMIFS(OPERATING_COEFFS!$C:$C,OPERATING_COEFFS!$A:$A,"DistanceClass",OPERATING_COEFFS!$B:$B,$AG137))</f>
        <v/>
      </c>
      <c r="AI137" s="8"/>
      <c r="AJ137" s="8" t="str">
        <f>IF($AI137="","",SUMIFS(OPERATING_COEFFS!$C:$C,OPERATING_COEFFS!$A:$A,"SeasonClass",OPERATING_COEFFS!$B:$B,$AI137))</f>
        <v/>
      </c>
      <c r="AK137" s="8"/>
      <c r="AL137" s="8" t="str">
        <f>IF($AK137="","",SUMIFS(OPERATING_COEFFS!$C:$C,OPERATING_COEFFS!$A:$A,"UrgencyClass",OPERATING_COEFFS!$B:$B,$AK137))</f>
        <v/>
      </c>
      <c r="AM137" s="8"/>
      <c r="AN137" s="8" t="str">
        <f t="array" ref="AN137">IF($AM137="","",INDEX(TAX_MODES!$B:$B,MATCH($AM137,TAX_MODES!$A:$A,0)))</f>
        <v/>
      </c>
    </row>
    <row r="138" ht="14.25" customHeight="1">
      <c r="A138" s="31"/>
      <c r="B138" s="31"/>
      <c r="C138" s="31"/>
      <c r="D138" s="32" t="str">
        <f>IF($C138="","",SUMIFS(SITE_COEFFS!$C:$C,SITE_COEFFS!$A:$A,"SoilWorkability",SITE_COEFFS!$B:$B,$C138))</f>
        <v/>
      </c>
      <c r="E138" s="31"/>
      <c r="F138" s="32" t="str">
        <f>IF($E138="","",SUMIFS(SITE_COEFFS!$C:$C,SITE_COEFFS!$A:$A,"SoilMoisture",SITE_COEFFS!$B:$B,$E138))</f>
        <v/>
      </c>
      <c r="G138" s="31"/>
      <c r="H138" s="32" t="str">
        <f>IF($G138="","",SUMIFS(SITE_COEFFS!$C:$C,SITE_COEFFS!$A:$A,"DebrisLevel",SITE_COEFFS!$B:$B,$G138))</f>
        <v/>
      </c>
      <c r="I138" s="31"/>
      <c r="J138" s="32" t="str">
        <f>IF($I138="","",SUMIFS(SITE_COEFFS!$C:$C,SITE_COEFFS!$A:$A,"SlopeClass",SITE_COEFFS!$B:$B,$I138))</f>
        <v/>
      </c>
      <c r="K138" s="31"/>
      <c r="L138" s="32" t="str">
        <f>IF($K138="","",SUMIFS(SITE_COEFFS!$C:$C,SITE_COEFFS!$A:$A,"SurfaceUnevenness",SITE_COEFFS!$B:$B,$K138))</f>
        <v/>
      </c>
      <c r="M138" s="31"/>
      <c r="N138" s="32" t="str">
        <f>IF($M138="","",SUMIFS(SITE_COEFFS!$C:$C,SITE_COEFFS!$A:$A,"AccessClass",SITE_COEFFS!$B:$B,$M138))</f>
        <v/>
      </c>
      <c r="O138" s="31"/>
      <c r="P138" s="32" t="str">
        <f>IF($O138="","",SUMIFS(SITE_COEFFS!$C:$C,SITE_COEFFS!$A:$A,"TurnSpace",SITE_COEFFS!$B:$B,$O138))</f>
        <v/>
      </c>
      <c r="Q138" s="31"/>
      <c r="R138" s="32" t="str">
        <f>IF($Q138="","",SUMIFS(SITE_COEFFS!$C:$C,SITE_COEFFS!$A:$A,"ProximityToBuildings",SITE_COEFFS!$B:$B,$Q138))</f>
        <v/>
      </c>
      <c r="S138" s="31"/>
      <c r="T138" s="32" t="str">
        <f>IF($S138="","",SUMIFS(SITE_COEFFS!$C:$C,SITE_COEFFS!$A:$A,"MachineryAllowed",SITE_COEFFS!$B:$B,$S138))</f>
        <v/>
      </c>
      <c r="U138" s="31"/>
      <c r="V138" s="31"/>
      <c r="W138" s="32" t="str">
        <f>IF($V138="","",SUMIFS(SITE_COEFFS!$C:$C,SITE_COEFFS!$A:$A,"GeometryComplexity",SITE_COEFFS!$B:$B,$V138))</f>
        <v/>
      </c>
      <c r="X138" s="31"/>
      <c r="Y138" s="31" t="str">
        <f>IF($X138="","",SUMIFS(TARIFF_PROFILES!$D:$D,TARIFF_PROFILES!$A:$A,$X138))</f>
        <v/>
      </c>
      <c r="Z138" s="31" t="str">
        <f>IF($X138="","",SUMIFS(TARIFF_PROFILES!$E:$E,TARIFF_PROFILES!$A:$A,$X138))</f>
        <v/>
      </c>
      <c r="AA138" s="31" t="str">
        <f>IF($X138="","",SUMIFS(TARIFF_PROFILES!$F:$F,TARIFF_PROFILES!$A:$A,$X138))</f>
        <v/>
      </c>
      <c r="AB138" s="31" t="str">
        <f>IF($X138="","",SUMIFS(TARIFF_PROFILES!$G:$G,TARIFF_PROFILES!$A:$A,$X138))</f>
        <v/>
      </c>
      <c r="AC138" s="31" t="str">
        <f>IF($X138="","",SUMIFS(TARIFF_PROFILES!$H:$H,TARIFF_PROFILES!$A:$A,$X138))</f>
        <v/>
      </c>
      <c r="AD138" s="31" t="str">
        <f t="array" ref="AD138">IF($X138="","",INDEX(TARIFF_PROFILES!$J:$J,MATCH($X138,TARIFF_PROFILES!$A:$A,0)))</f>
        <v/>
      </c>
      <c r="AE138" s="31" t="str">
        <f t="array" ref="AE138">IF($X138="","",INDEX(TARIFF_PROFILES!$K:$K,MATCH($X138,TARIFF_PROFILES!$A:$A,0)))</f>
        <v/>
      </c>
      <c r="AG138" s="8"/>
      <c r="AH138" s="8" t="str">
        <f>IF($AG138="","",SUMIFS(OPERATING_COEFFS!$C:$C,OPERATING_COEFFS!$A:$A,"DistanceClass",OPERATING_COEFFS!$B:$B,$AG138))</f>
        <v/>
      </c>
      <c r="AI138" s="8"/>
      <c r="AJ138" s="8" t="str">
        <f>IF($AI138="","",SUMIFS(OPERATING_COEFFS!$C:$C,OPERATING_COEFFS!$A:$A,"SeasonClass",OPERATING_COEFFS!$B:$B,$AI138))</f>
        <v/>
      </c>
      <c r="AK138" s="8"/>
      <c r="AL138" s="8" t="str">
        <f>IF($AK138="","",SUMIFS(OPERATING_COEFFS!$C:$C,OPERATING_COEFFS!$A:$A,"UrgencyClass",OPERATING_COEFFS!$B:$B,$AK138))</f>
        <v/>
      </c>
      <c r="AM138" s="8"/>
      <c r="AN138" s="8" t="str">
        <f t="array" ref="AN138">IF($AM138="","",INDEX(TAX_MODES!$B:$B,MATCH($AM138,TAX_MODES!$A:$A,0)))</f>
        <v/>
      </c>
    </row>
    <row r="139" ht="14.25" customHeight="1">
      <c r="A139" s="31"/>
      <c r="B139" s="31"/>
      <c r="C139" s="31"/>
      <c r="D139" s="32" t="str">
        <f>IF($C139="","",SUMIFS(SITE_COEFFS!$C:$C,SITE_COEFFS!$A:$A,"SoilWorkability",SITE_COEFFS!$B:$B,$C139))</f>
        <v/>
      </c>
      <c r="E139" s="31"/>
      <c r="F139" s="32" t="str">
        <f>IF($E139="","",SUMIFS(SITE_COEFFS!$C:$C,SITE_COEFFS!$A:$A,"SoilMoisture",SITE_COEFFS!$B:$B,$E139))</f>
        <v/>
      </c>
      <c r="G139" s="31"/>
      <c r="H139" s="32" t="str">
        <f>IF($G139="","",SUMIFS(SITE_COEFFS!$C:$C,SITE_COEFFS!$A:$A,"DebrisLevel",SITE_COEFFS!$B:$B,$G139))</f>
        <v/>
      </c>
      <c r="I139" s="31"/>
      <c r="J139" s="32" t="str">
        <f>IF($I139="","",SUMIFS(SITE_COEFFS!$C:$C,SITE_COEFFS!$A:$A,"SlopeClass",SITE_COEFFS!$B:$B,$I139))</f>
        <v/>
      </c>
      <c r="K139" s="31"/>
      <c r="L139" s="32" t="str">
        <f>IF($K139="","",SUMIFS(SITE_COEFFS!$C:$C,SITE_COEFFS!$A:$A,"SurfaceUnevenness",SITE_COEFFS!$B:$B,$K139))</f>
        <v/>
      </c>
      <c r="M139" s="31"/>
      <c r="N139" s="32" t="str">
        <f>IF($M139="","",SUMIFS(SITE_COEFFS!$C:$C,SITE_COEFFS!$A:$A,"AccessClass",SITE_COEFFS!$B:$B,$M139))</f>
        <v/>
      </c>
      <c r="O139" s="31"/>
      <c r="P139" s="32" t="str">
        <f>IF($O139="","",SUMIFS(SITE_COEFFS!$C:$C,SITE_COEFFS!$A:$A,"TurnSpace",SITE_COEFFS!$B:$B,$O139))</f>
        <v/>
      </c>
      <c r="Q139" s="31"/>
      <c r="R139" s="32" t="str">
        <f>IF($Q139="","",SUMIFS(SITE_COEFFS!$C:$C,SITE_COEFFS!$A:$A,"ProximityToBuildings",SITE_COEFFS!$B:$B,$Q139))</f>
        <v/>
      </c>
      <c r="S139" s="31"/>
      <c r="T139" s="32" t="str">
        <f>IF($S139="","",SUMIFS(SITE_COEFFS!$C:$C,SITE_COEFFS!$A:$A,"MachineryAllowed",SITE_COEFFS!$B:$B,$S139))</f>
        <v/>
      </c>
      <c r="U139" s="31"/>
      <c r="V139" s="31"/>
      <c r="W139" s="32" t="str">
        <f>IF($V139="","",SUMIFS(SITE_COEFFS!$C:$C,SITE_COEFFS!$A:$A,"GeometryComplexity",SITE_COEFFS!$B:$B,$V139))</f>
        <v/>
      </c>
      <c r="X139" s="31"/>
      <c r="Y139" s="31" t="str">
        <f>IF($X139="","",SUMIFS(TARIFF_PROFILES!$D:$D,TARIFF_PROFILES!$A:$A,$X139))</f>
        <v/>
      </c>
      <c r="Z139" s="31" t="str">
        <f>IF($X139="","",SUMIFS(TARIFF_PROFILES!$E:$E,TARIFF_PROFILES!$A:$A,$X139))</f>
        <v/>
      </c>
      <c r="AA139" s="31" t="str">
        <f>IF($X139="","",SUMIFS(TARIFF_PROFILES!$F:$F,TARIFF_PROFILES!$A:$A,$X139))</f>
        <v/>
      </c>
      <c r="AB139" s="31" t="str">
        <f>IF($X139="","",SUMIFS(TARIFF_PROFILES!$G:$G,TARIFF_PROFILES!$A:$A,$X139))</f>
        <v/>
      </c>
      <c r="AC139" s="31" t="str">
        <f>IF($X139="","",SUMIFS(TARIFF_PROFILES!$H:$H,TARIFF_PROFILES!$A:$A,$X139))</f>
        <v/>
      </c>
      <c r="AD139" s="31" t="str">
        <f t="array" ref="AD139">IF($X139="","",INDEX(TARIFF_PROFILES!$J:$J,MATCH($X139,TARIFF_PROFILES!$A:$A,0)))</f>
        <v/>
      </c>
      <c r="AE139" s="31" t="str">
        <f t="array" ref="AE139">IF($X139="","",INDEX(TARIFF_PROFILES!$K:$K,MATCH($X139,TARIFF_PROFILES!$A:$A,0)))</f>
        <v/>
      </c>
      <c r="AG139" s="8"/>
      <c r="AH139" s="8" t="str">
        <f>IF($AG139="","",SUMIFS(OPERATING_COEFFS!$C:$C,OPERATING_COEFFS!$A:$A,"DistanceClass",OPERATING_COEFFS!$B:$B,$AG139))</f>
        <v/>
      </c>
      <c r="AI139" s="8"/>
      <c r="AJ139" s="8" t="str">
        <f>IF($AI139="","",SUMIFS(OPERATING_COEFFS!$C:$C,OPERATING_COEFFS!$A:$A,"SeasonClass",OPERATING_COEFFS!$B:$B,$AI139))</f>
        <v/>
      </c>
      <c r="AK139" s="8"/>
      <c r="AL139" s="8" t="str">
        <f>IF($AK139="","",SUMIFS(OPERATING_COEFFS!$C:$C,OPERATING_COEFFS!$A:$A,"UrgencyClass",OPERATING_COEFFS!$B:$B,$AK139))</f>
        <v/>
      </c>
      <c r="AM139" s="8"/>
      <c r="AN139" s="8" t="str">
        <f t="array" ref="AN139">IF($AM139="","",INDEX(TAX_MODES!$B:$B,MATCH($AM139,TAX_MODES!$A:$A,0)))</f>
        <v/>
      </c>
    </row>
    <row r="140" ht="14.25" customHeight="1">
      <c r="A140" s="31"/>
      <c r="B140" s="31"/>
      <c r="C140" s="31"/>
      <c r="D140" s="32" t="str">
        <f>IF($C140="","",SUMIFS(SITE_COEFFS!$C:$C,SITE_COEFFS!$A:$A,"SoilWorkability",SITE_COEFFS!$B:$B,$C140))</f>
        <v/>
      </c>
      <c r="E140" s="31"/>
      <c r="F140" s="32" t="str">
        <f>IF($E140="","",SUMIFS(SITE_COEFFS!$C:$C,SITE_COEFFS!$A:$A,"SoilMoisture",SITE_COEFFS!$B:$B,$E140))</f>
        <v/>
      </c>
      <c r="G140" s="31"/>
      <c r="H140" s="32" t="str">
        <f>IF($G140="","",SUMIFS(SITE_COEFFS!$C:$C,SITE_COEFFS!$A:$A,"DebrisLevel",SITE_COEFFS!$B:$B,$G140))</f>
        <v/>
      </c>
      <c r="I140" s="31"/>
      <c r="J140" s="32" t="str">
        <f>IF($I140="","",SUMIFS(SITE_COEFFS!$C:$C,SITE_COEFFS!$A:$A,"SlopeClass",SITE_COEFFS!$B:$B,$I140))</f>
        <v/>
      </c>
      <c r="K140" s="31"/>
      <c r="L140" s="32" t="str">
        <f>IF($K140="","",SUMIFS(SITE_COEFFS!$C:$C,SITE_COEFFS!$A:$A,"SurfaceUnevenness",SITE_COEFFS!$B:$B,$K140))</f>
        <v/>
      </c>
      <c r="M140" s="31"/>
      <c r="N140" s="32" t="str">
        <f>IF($M140="","",SUMIFS(SITE_COEFFS!$C:$C,SITE_COEFFS!$A:$A,"AccessClass",SITE_COEFFS!$B:$B,$M140))</f>
        <v/>
      </c>
      <c r="O140" s="31"/>
      <c r="P140" s="32" t="str">
        <f>IF($O140="","",SUMIFS(SITE_COEFFS!$C:$C,SITE_COEFFS!$A:$A,"TurnSpace",SITE_COEFFS!$B:$B,$O140))</f>
        <v/>
      </c>
      <c r="Q140" s="31"/>
      <c r="R140" s="32" t="str">
        <f>IF($Q140="","",SUMIFS(SITE_COEFFS!$C:$C,SITE_COEFFS!$A:$A,"ProximityToBuildings",SITE_COEFFS!$B:$B,$Q140))</f>
        <v/>
      </c>
      <c r="S140" s="31"/>
      <c r="T140" s="32" t="str">
        <f>IF($S140="","",SUMIFS(SITE_COEFFS!$C:$C,SITE_COEFFS!$A:$A,"MachineryAllowed",SITE_COEFFS!$B:$B,$S140))</f>
        <v/>
      </c>
      <c r="U140" s="31"/>
      <c r="V140" s="31"/>
      <c r="W140" s="32" t="str">
        <f>IF($V140="","",SUMIFS(SITE_COEFFS!$C:$C,SITE_COEFFS!$A:$A,"GeometryComplexity",SITE_COEFFS!$B:$B,$V140))</f>
        <v/>
      </c>
      <c r="X140" s="31"/>
      <c r="Y140" s="31" t="str">
        <f>IF($X140="","",SUMIFS(TARIFF_PROFILES!$D:$D,TARIFF_PROFILES!$A:$A,$X140))</f>
        <v/>
      </c>
      <c r="Z140" s="31" t="str">
        <f>IF($X140="","",SUMIFS(TARIFF_PROFILES!$E:$E,TARIFF_PROFILES!$A:$A,$X140))</f>
        <v/>
      </c>
      <c r="AA140" s="31" t="str">
        <f>IF($X140="","",SUMIFS(TARIFF_PROFILES!$F:$F,TARIFF_PROFILES!$A:$A,$X140))</f>
        <v/>
      </c>
      <c r="AB140" s="31" t="str">
        <f>IF($X140="","",SUMIFS(TARIFF_PROFILES!$G:$G,TARIFF_PROFILES!$A:$A,$X140))</f>
        <v/>
      </c>
      <c r="AC140" s="31" t="str">
        <f>IF($X140="","",SUMIFS(TARIFF_PROFILES!$H:$H,TARIFF_PROFILES!$A:$A,$X140))</f>
        <v/>
      </c>
      <c r="AD140" s="31" t="str">
        <f t="array" ref="AD140">IF($X140="","",INDEX(TARIFF_PROFILES!$J:$J,MATCH($X140,TARIFF_PROFILES!$A:$A,0)))</f>
        <v/>
      </c>
      <c r="AE140" s="31" t="str">
        <f t="array" ref="AE140">IF($X140="","",INDEX(TARIFF_PROFILES!$K:$K,MATCH($X140,TARIFF_PROFILES!$A:$A,0)))</f>
        <v/>
      </c>
      <c r="AG140" s="8"/>
      <c r="AH140" s="8" t="str">
        <f>IF($AG140="","",SUMIFS(OPERATING_COEFFS!$C:$C,OPERATING_COEFFS!$A:$A,"DistanceClass",OPERATING_COEFFS!$B:$B,$AG140))</f>
        <v/>
      </c>
      <c r="AI140" s="8"/>
      <c r="AJ140" s="8" t="str">
        <f>IF($AI140="","",SUMIFS(OPERATING_COEFFS!$C:$C,OPERATING_COEFFS!$A:$A,"SeasonClass",OPERATING_COEFFS!$B:$B,$AI140))</f>
        <v/>
      </c>
      <c r="AK140" s="8"/>
      <c r="AL140" s="8" t="str">
        <f>IF($AK140="","",SUMIFS(OPERATING_COEFFS!$C:$C,OPERATING_COEFFS!$A:$A,"UrgencyClass",OPERATING_COEFFS!$B:$B,$AK140))</f>
        <v/>
      </c>
      <c r="AM140" s="8"/>
      <c r="AN140" s="8" t="str">
        <f t="array" ref="AN140">IF($AM140="","",INDEX(TAX_MODES!$B:$B,MATCH($AM140,TAX_MODES!$A:$A,0)))</f>
        <v/>
      </c>
    </row>
    <row r="141" ht="14.25" customHeight="1">
      <c r="A141" s="31"/>
      <c r="B141" s="31"/>
      <c r="C141" s="31"/>
      <c r="D141" s="32" t="str">
        <f>IF($C141="","",SUMIFS(SITE_COEFFS!$C:$C,SITE_COEFFS!$A:$A,"SoilWorkability",SITE_COEFFS!$B:$B,$C141))</f>
        <v/>
      </c>
      <c r="E141" s="31"/>
      <c r="F141" s="32" t="str">
        <f>IF($E141="","",SUMIFS(SITE_COEFFS!$C:$C,SITE_COEFFS!$A:$A,"SoilMoisture",SITE_COEFFS!$B:$B,$E141))</f>
        <v/>
      </c>
      <c r="G141" s="31"/>
      <c r="H141" s="32" t="str">
        <f>IF($G141="","",SUMIFS(SITE_COEFFS!$C:$C,SITE_COEFFS!$A:$A,"DebrisLevel",SITE_COEFFS!$B:$B,$G141))</f>
        <v/>
      </c>
      <c r="I141" s="31"/>
      <c r="J141" s="32" t="str">
        <f>IF($I141="","",SUMIFS(SITE_COEFFS!$C:$C,SITE_COEFFS!$A:$A,"SlopeClass",SITE_COEFFS!$B:$B,$I141))</f>
        <v/>
      </c>
      <c r="K141" s="31"/>
      <c r="L141" s="32" t="str">
        <f>IF($K141="","",SUMIFS(SITE_COEFFS!$C:$C,SITE_COEFFS!$A:$A,"SurfaceUnevenness",SITE_COEFFS!$B:$B,$K141))</f>
        <v/>
      </c>
      <c r="M141" s="31"/>
      <c r="N141" s="32" t="str">
        <f>IF($M141="","",SUMIFS(SITE_COEFFS!$C:$C,SITE_COEFFS!$A:$A,"AccessClass",SITE_COEFFS!$B:$B,$M141))</f>
        <v/>
      </c>
      <c r="O141" s="31"/>
      <c r="P141" s="32" t="str">
        <f>IF($O141="","",SUMIFS(SITE_COEFFS!$C:$C,SITE_COEFFS!$A:$A,"TurnSpace",SITE_COEFFS!$B:$B,$O141))</f>
        <v/>
      </c>
      <c r="Q141" s="31"/>
      <c r="R141" s="32" t="str">
        <f>IF($Q141="","",SUMIFS(SITE_COEFFS!$C:$C,SITE_COEFFS!$A:$A,"ProximityToBuildings",SITE_COEFFS!$B:$B,$Q141))</f>
        <v/>
      </c>
      <c r="S141" s="31"/>
      <c r="T141" s="32" t="str">
        <f>IF($S141="","",SUMIFS(SITE_COEFFS!$C:$C,SITE_COEFFS!$A:$A,"MachineryAllowed",SITE_COEFFS!$B:$B,$S141))</f>
        <v/>
      </c>
      <c r="U141" s="31"/>
      <c r="V141" s="31"/>
      <c r="W141" s="32" t="str">
        <f>IF($V141="","",SUMIFS(SITE_COEFFS!$C:$C,SITE_COEFFS!$A:$A,"GeometryComplexity",SITE_COEFFS!$B:$B,$V141))</f>
        <v/>
      </c>
      <c r="X141" s="31"/>
      <c r="Y141" s="31" t="str">
        <f>IF($X141="","",SUMIFS(TARIFF_PROFILES!$D:$D,TARIFF_PROFILES!$A:$A,$X141))</f>
        <v/>
      </c>
      <c r="Z141" s="31" t="str">
        <f>IF($X141="","",SUMIFS(TARIFF_PROFILES!$E:$E,TARIFF_PROFILES!$A:$A,$X141))</f>
        <v/>
      </c>
      <c r="AA141" s="31" t="str">
        <f>IF($X141="","",SUMIFS(TARIFF_PROFILES!$F:$F,TARIFF_PROFILES!$A:$A,$X141))</f>
        <v/>
      </c>
      <c r="AB141" s="31" t="str">
        <f>IF($X141="","",SUMIFS(TARIFF_PROFILES!$G:$G,TARIFF_PROFILES!$A:$A,$X141))</f>
        <v/>
      </c>
      <c r="AC141" s="31" t="str">
        <f>IF($X141="","",SUMIFS(TARIFF_PROFILES!$H:$H,TARIFF_PROFILES!$A:$A,$X141))</f>
        <v/>
      </c>
      <c r="AD141" s="31" t="str">
        <f t="array" ref="AD141">IF($X141="","",INDEX(TARIFF_PROFILES!$J:$J,MATCH($X141,TARIFF_PROFILES!$A:$A,0)))</f>
        <v/>
      </c>
      <c r="AE141" s="31" t="str">
        <f t="array" ref="AE141">IF($X141="","",INDEX(TARIFF_PROFILES!$K:$K,MATCH($X141,TARIFF_PROFILES!$A:$A,0)))</f>
        <v/>
      </c>
      <c r="AG141" s="8"/>
      <c r="AH141" s="8" t="str">
        <f>IF($AG141="","",SUMIFS(OPERATING_COEFFS!$C:$C,OPERATING_COEFFS!$A:$A,"DistanceClass",OPERATING_COEFFS!$B:$B,$AG141))</f>
        <v/>
      </c>
      <c r="AI141" s="8"/>
      <c r="AJ141" s="8" t="str">
        <f>IF($AI141="","",SUMIFS(OPERATING_COEFFS!$C:$C,OPERATING_COEFFS!$A:$A,"SeasonClass",OPERATING_COEFFS!$B:$B,$AI141))</f>
        <v/>
      </c>
      <c r="AK141" s="8"/>
      <c r="AL141" s="8" t="str">
        <f>IF($AK141="","",SUMIFS(OPERATING_COEFFS!$C:$C,OPERATING_COEFFS!$A:$A,"UrgencyClass",OPERATING_COEFFS!$B:$B,$AK141))</f>
        <v/>
      </c>
      <c r="AM141" s="8"/>
      <c r="AN141" s="8" t="str">
        <f t="array" ref="AN141">IF($AM141="","",INDEX(TAX_MODES!$B:$B,MATCH($AM141,TAX_MODES!$A:$A,0)))</f>
        <v/>
      </c>
    </row>
    <row r="142" ht="14.25" customHeight="1">
      <c r="A142" s="31"/>
      <c r="B142" s="31"/>
      <c r="C142" s="31"/>
      <c r="D142" s="32" t="str">
        <f>IF($C142="","",SUMIFS(SITE_COEFFS!$C:$C,SITE_COEFFS!$A:$A,"SoilWorkability",SITE_COEFFS!$B:$B,$C142))</f>
        <v/>
      </c>
      <c r="E142" s="31"/>
      <c r="F142" s="32" t="str">
        <f>IF($E142="","",SUMIFS(SITE_COEFFS!$C:$C,SITE_COEFFS!$A:$A,"SoilMoisture",SITE_COEFFS!$B:$B,$E142))</f>
        <v/>
      </c>
      <c r="G142" s="31"/>
      <c r="H142" s="32" t="str">
        <f>IF($G142="","",SUMIFS(SITE_COEFFS!$C:$C,SITE_COEFFS!$A:$A,"DebrisLevel",SITE_COEFFS!$B:$B,$G142))</f>
        <v/>
      </c>
      <c r="I142" s="31"/>
      <c r="J142" s="32" t="str">
        <f>IF($I142="","",SUMIFS(SITE_COEFFS!$C:$C,SITE_COEFFS!$A:$A,"SlopeClass",SITE_COEFFS!$B:$B,$I142))</f>
        <v/>
      </c>
      <c r="K142" s="31"/>
      <c r="L142" s="32" t="str">
        <f>IF($K142="","",SUMIFS(SITE_COEFFS!$C:$C,SITE_COEFFS!$A:$A,"SurfaceUnevenness",SITE_COEFFS!$B:$B,$K142))</f>
        <v/>
      </c>
      <c r="M142" s="31"/>
      <c r="N142" s="32" t="str">
        <f>IF($M142="","",SUMIFS(SITE_COEFFS!$C:$C,SITE_COEFFS!$A:$A,"AccessClass",SITE_COEFFS!$B:$B,$M142))</f>
        <v/>
      </c>
      <c r="O142" s="31"/>
      <c r="P142" s="32" t="str">
        <f>IF($O142="","",SUMIFS(SITE_COEFFS!$C:$C,SITE_COEFFS!$A:$A,"TurnSpace",SITE_COEFFS!$B:$B,$O142))</f>
        <v/>
      </c>
      <c r="Q142" s="31"/>
      <c r="R142" s="32" t="str">
        <f>IF($Q142="","",SUMIFS(SITE_COEFFS!$C:$C,SITE_COEFFS!$A:$A,"ProximityToBuildings",SITE_COEFFS!$B:$B,$Q142))</f>
        <v/>
      </c>
      <c r="S142" s="31"/>
      <c r="T142" s="32" t="str">
        <f>IF($S142="","",SUMIFS(SITE_COEFFS!$C:$C,SITE_COEFFS!$A:$A,"MachineryAllowed",SITE_COEFFS!$B:$B,$S142))</f>
        <v/>
      </c>
      <c r="U142" s="31"/>
      <c r="V142" s="31"/>
      <c r="W142" s="32" t="str">
        <f>IF($V142="","",SUMIFS(SITE_COEFFS!$C:$C,SITE_COEFFS!$A:$A,"GeometryComplexity",SITE_COEFFS!$B:$B,$V142))</f>
        <v/>
      </c>
      <c r="X142" s="31"/>
      <c r="Y142" s="31" t="str">
        <f>IF($X142="","",SUMIFS(TARIFF_PROFILES!$D:$D,TARIFF_PROFILES!$A:$A,$X142))</f>
        <v/>
      </c>
      <c r="Z142" s="31" t="str">
        <f>IF($X142="","",SUMIFS(TARIFF_PROFILES!$E:$E,TARIFF_PROFILES!$A:$A,$X142))</f>
        <v/>
      </c>
      <c r="AA142" s="31" t="str">
        <f>IF($X142="","",SUMIFS(TARIFF_PROFILES!$F:$F,TARIFF_PROFILES!$A:$A,$X142))</f>
        <v/>
      </c>
      <c r="AB142" s="31" t="str">
        <f>IF($X142="","",SUMIFS(TARIFF_PROFILES!$G:$G,TARIFF_PROFILES!$A:$A,$X142))</f>
        <v/>
      </c>
      <c r="AC142" s="31" t="str">
        <f>IF($X142="","",SUMIFS(TARIFF_PROFILES!$H:$H,TARIFF_PROFILES!$A:$A,$X142))</f>
        <v/>
      </c>
      <c r="AD142" s="31" t="str">
        <f t="array" ref="AD142">IF($X142="","",INDEX(TARIFF_PROFILES!$J:$J,MATCH($X142,TARIFF_PROFILES!$A:$A,0)))</f>
        <v/>
      </c>
      <c r="AE142" s="31" t="str">
        <f t="array" ref="AE142">IF($X142="","",INDEX(TARIFF_PROFILES!$K:$K,MATCH($X142,TARIFF_PROFILES!$A:$A,0)))</f>
        <v/>
      </c>
      <c r="AG142" s="8"/>
      <c r="AH142" s="8" t="str">
        <f>IF($AG142="","",SUMIFS(OPERATING_COEFFS!$C:$C,OPERATING_COEFFS!$A:$A,"DistanceClass",OPERATING_COEFFS!$B:$B,$AG142))</f>
        <v/>
      </c>
      <c r="AI142" s="8"/>
      <c r="AJ142" s="8" t="str">
        <f>IF($AI142="","",SUMIFS(OPERATING_COEFFS!$C:$C,OPERATING_COEFFS!$A:$A,"SeasonClass",OPERATING_COEFFS!$B:$B,$AI142))</f>
        <v/>
      </c>
      <c r="AK142" s="8"/>
      <c r="AL142" s="8" t="str">
        <f>IF($AK142="","",SUMIFS(OPERATING_COEFFS!$C:$C,OPERATING_COEFFS!$A:$A,"UrgencyClass",OPERATING_COEFFS!$B:$B,$AK142))</f>
        <v/>
      </c>
      <c r="AM142" s="8"/>
      <c r="AN142" s="8" t="str">
        <f t="array" ref="AN142">IF($AM142="","",INDEX(TAX_MODES!$B:$B,MATCH($AM142,TAX_MODES!$A:$A,0)))</f>
        <v/>
      </c>
    </row>
    <row r="143" ht="14.25" customHeight="1">
      <c r="A143" s="31"/>
      <c r="B143" s="31"/>
      <c r="C143" s="31"/>
      <c r="D143" s="32" t="str">
        <f>IF($C143="","",SUMIFS(SITE_COEFFS!$C:$C,SITE_COEFFS!$A:$A,"SoilWorkability",SITE_COEFFS!$B:$B,$C143))</f>
        <v/>
      </c>
      <c r="E143" s="31"/>
      <c r="F143" s="32" t="str">
        <f>IF($E143="","",SUMIFS(SITE_COEFFS!$C:$C,SITE_COEFFS!$A:$A,"SoilMoisture",SITE_COEFFS!$B:$B,$E143))</f>
        <v/>
      </c>
      <c r="G143" s="31"/>
      <c r="H143" s="32" t="str">
        <f>IF($G143="","",SUMIFS(SITE_COEFFS!$C:$C,SITE_COEFFS!$A:$A,"DebrisLevel",SITE_COEFFS!$B:$B,$G143))</f>
        <v/>
      </c>
      <c r="I143" s="31"/>
      <c r="J143" s="32" t="str">
        <f>IF($I143="","",SUMIFS(SITE_COEFFS!$C:$C,SITE_COEFFS!$A:$A,"SlopeClass",SITE_COEFFS!$B:$B,$I143))</f>
        <v/>
      </c>
      <c r="K143" s="31"/>
      <c r="L143" s="32" t="str">
        <f>IF($K143="","",SUMIFS(SITE_COEFFS!$C:$C,SITE_COEFFS!$A:$A,"SurfaceUnevenness",SITE_COEFFS!$B:$B,$K143))</f>
        <v/>
      </c>
      <c r="M143" s="31"/>
      <c r="N143" s="32" t="str">
        <f>IF($M143="","",SUMIFS(SITE_COEFFS!$C:$C,SITE_COEFFS!$A:$A,"AccessClass",SITE_COEFFS!$B:$B,$M143))</f>
        <v/>
      </c>
      <c r="O143" s="31"/>
      <c r="P143" s="32" t="str">
        <f>IF($O143="","",SUMIFS(SITE_COEFFS!$C:$C,SITE_COEFFS!$A:$A,"TurnSpace",SITE_COEFFS!$B:$B,$O143))</f>
        <v/>
      </c>
      <c r="Q143" s="31"/>
      <c r="R143" s="32" t="str">
        <f>IF($Q143="","",SUMIFS(SITE_COEFFS!$C:$C,SITE_COEFFS!$A:$A,"ProximityToBuildings",SITE_COEFFS!$B:$B,$Q143))</f>
        <v/>
      </c>
      <c r="S143" s="31"/>
      <c r="T143" s="32" t="str">
        <f>IF($S143="","",SUMIFS(SITE_COEFFS!$C:$C,SITE_COEFFS!$A:$A,"MachineryAllowed",SITE_COEFFS!$B:$B,$S143))</f>
        <v/>
      </c>
      <c r="U143" s="31"/>
      <c r="V143" s="31"/>
      <c r="W143" s="32" t="str">
        <f>IF($V143="","",SUMIFS(SITE_COEFFS!$C:$C,SITE_COEFFS!$A:$A,"GeometryComplexity",SITE_COEFFS!$B:$B,$V143))</f>
        <v/>
      </c>
      <c r="X143" s="31"/>
      <c r="Y143" s="31" t="str">
        <f>IF($X143="","",SUMIFS(TARIFF_PROFILES!$D:$D,TARIFF_PROFILES!$A:$A,$X143))</f>
        <v/>
      </c>
      <c r="Z143" s="31" t="str">
        <f>IF($X143="","",SUMIFS(TARIFF_PROFILES!$E:$E,TARIFF_PROFILES!$A:$A,$X143))</f>
        <v/>
      </c>
      <c r="AA143" s="31" t="str">
        <f>IF($X143="","",SUMIFS(TARIFF_PROFILES!$F:$F,TARIFF_PROFILES!$A:$A,$X143))</f>
        <v/>
      </c>
      <c r="AB143" s="31" t="str">
        <f>IF($X143="","",SUMIFS(TARIFF_PROFILES!$G:$G,TARIFF_PROFILES!$A:$A,$X143))</f>
        <v/>
      </c>
      <c r="AC143" s="31" t="str">
        <f>IF($X143="","",SUMIFS(TARIFF_PROFILES!$H:$H,TARIFF_PROFILES!$A:$A,$X143))</f>
        <v/>
      </c>
      <c r="AD143" s="31" t="str">
        <f t="array" ref="AD143">IF($X143="","",INDEX(TARIFF_PROFILES!$J:$J,MATCH($X143,TARIFF_PROFILES!$A:$A,0)))</f>
        <v/>
      </c>
      <c r="AE143" s="31" t="str">
        <f t="array" ref="AE143">IF($X143="","",INDEX(TARIFF_PROFILES!$K:$K,MATCH($X143,TARIFF_PROFILES!$A:$A,0)))</f>
        <v/>
      </c>
      <c r="AG143" s="8"/>
      <c r="AH143" s="8" t="str">
        <f>IF($AG143="","",SUMIFS(OPERATING_COEFFS!$C:$C,OPERATING_COEFFS!$A:$A,"DistanceClass",OPERATING_COEFFS!$B:$B,$AG143))</f>
        <v/>
      </c>
      <c r="AI143" s="8"/>
      <c r="AJ143" s="8" t="str">
        <f>IF($AI143="","",SUMIFS(OPERATING_COEFFS!$C:$C,OPERATING_COEFFS!$A:$A,"SeasonClass",OPERATING_COEFFS!$B:$B,$AI143))</f>
        <v/>
      </c>
      <c r="AK143" s="8"/>
      <c r="AL143" s="8" t="str">
        <f>IF($AK143="","",SUMIFS(OPERATING_COEFFS!$C:$C,OPERATING_COEFFS!$A:$A,"UrgencyClass",OPERATING_COEFFS!$B:$B,$AK143))</f>
        <v/>
      </c>
      <c r="AM143" s="8"/>
      <c r="AN143" s="8" t="str">
        <f t="array" ref="AN143">IF($AM143="","",INDEX(TAX_MODES!$B:$B,MATCH($AM143,TAX_MODES!$A:$A,0)))</f>
        <v/>
      </c>
    </row>
    <row r="144" ht="14.25" customHeight="1">
      <c r="A144" s="31"/>
      <c r="B144" s="31"/>
      <c r="C144" s="31"/>
      <c r="D144" s="32" t="str">
        <f>IF($C144="","",SUMIFS(SITE_COEFFS!$C:$C,SITE_COEFFS!$A:$A,"SoilWorkability",SITE_COEFFS!$B:$B,$C144))</f>
        <v/>
      </c>
      <c r="E144" s="31"/>
      <c r="F144" s="32" t="str">
        <f>IF($E144="","",SUMIFS(SITE_COEFFS!$C:$C,SITE_COEFFS!$A:$A,"SoilMoisture",SITE_COEFFS!$B:$B,$E144))</f>
        <v/>
      </c>
      <c r="G144" s="31"/>
      <c r="H144" s="32" t="str">
        <f>IF($G144="","",SUMIFS(SITE_COEFFS!$C:$C,SITE_COEFFS!$A:$A,"DebrisLevel",SITE_COEFFS!$B:$B,$G144))</f>
        <v/>
      </c>
      <c r="I144" s="31"/>
      <c r="J144" s="32" t="str">
        <f>IF($I144="","",SUMIFS(SITE_COEFFS!$C:$C,SITE_COEFFS!$A:$A,"SlopeClass",SITE_COEFFS!$B:$B,$I144))</f>
        <v/>
      </c>
      <c r="K144" s="31"/>
      <c r="L144" s="32" t="str">
        <f>IF($K144="","",SUMIFS(SITE_COEFFS!$C:$C,SITE_COEFFS!$A:$A,"SurfaceUnevenness",SITE_COEFFS!$B:$B,$K144))</f>
        <v/>
      </c>
      <c r="M144" s="31"/>
      <c r="N144" s="32" t="str">
        <f>IF($M144="","",SUMIFS(SITE_COEFFS!$C:$C,SITE_COEFFS!$A:$A,"AccessClass",SITE_COEFFS!$B:$B,$M144))</f>
        <v/>
      </c>
      <c r="O144" s="31"/>
      <c r="P144" s="32" t="str">
        <f>IF($O144="","",SUMIFS(SITE_COEFFS!$C:$C,SITE_COEFFS!$A:$A,"TurnSpace",SITE_COEFFS!$B:$B,$O144))</f>
        <v/>
      </c>
      <c r="Q144" s="31"/>
      <c r="R144" s="32" t="str">
        <f>IF($Q144="","",SUMIFS(SITE_COEFFS!$C:$C,SITE_COEFFS!$A:$A,"ProximityToBuildings",SITE_COEFFS!$B:$B,$Q144))</f>
        <v/>
      </c>
      <c r="S144" s="31"/>
      <c r="T144" s="32" t="str">
        <f>IF($S144="","",SUMIFS(SITE_COEFFS!$C:$C,SITE_COEFFS!$A:$A,"MachineryAllowed",SITE_COEFFS!$B:$B,$S144))</f>
        <v/>
      </c>
      <c r="U144" s="31"/>
      <c r="V144" s="31"/>
      <c r="W144" s="32" t="str">
        <f>IF($V144="","",SUMIFS(SITE_COEFFS!$C:$C,SITE_COEFFS!$A:$A,"GeometryComplexity",SITE_COEFFS!$B:$B,$V144))</f>
        <v/>
      </c>
      <c r="X144" s="31"/>
      <c r="Y144" s="31" t="str">
        <f>IF($X144="","",SUMIFS(TARIFF_PROFILES!$D:$D,TARIFF_PROFILES!$A:$A,$X144))</f>
        <v/>
      </c>
      <c r="Z144" s="31" t="str">
        <f>IF($X144="","",SUMIFS(TARIFF_PROFILES!$E:$E,TARIFF_PROFILES!$A:$A,$X144))</f>
        <v/>
      </c>
      <c r="AA144" s="31" t="str">
        <f>IF($X144="","",SUMIFS(TARIFF_PROFILES!$F:$F,TARIFF_PROFILES!$A:$A,$X144))</f>
        <v/>
      </c>
      <c r="AB144" s="31" t="str">
        <f>IF($X144="","",SUMIFS(TARIFF_PROFILES!$G:$G,TARIFF_PROFILES!$A:$A,$X144))</f>
        <v/>
      </c>
      <c r="AC144" s="31" t="str">
        <f>IF($X144="","",SUMIFS(TARIFF_PROFILES!$H:$H,TARIFF_PROFILES!$A:$A,$X144))</f>
        <v/>
      </c>
      <c r="AD144" s="31" t="str">
        <f t="array" ref="AD144">IF($X144="","",INDEX(TARIFF_PROFILES!$J:$J,MATCH($X144,TARIFF_PROFILES!$A:$A,0)))</f>
        <v/>
      </c>
      <c r="AE144" s="31" t="str">
        <f t="array" ref="AE144">IF($X144="","",INDEX(TARIFF_PROFILES!$K:$K,MATCH($X144,TARIFF_PROFILES!$A:$A,0)))</f>
        <v/>
      </c>
      <c r="AG144" s="8"/>
      <c r="AH144" s="8" t="str">
        <f>IF($AG144="","",SUMIFS(OPERATING_COEFFS!$C:$C,OPERATING_COEFFS!$A:$A,"DistanceClass",OPERATING_COEFFS!$B:$B,$AG144))</f>
        <v/>
      </c>
      <c r="AI144" s="8"/>
      <c r="AJ144" s="8" t="str">
        <f>IF($AI144="","",SUMIFS(OPERATING_COEFFS!$C:$C,OPERATING_COEFFS!$A:$A,"SeasonClass",OPERATING_COEFFS!$B:$B,$AI144))</f>
        <v/>
      </c>
      <c r="AK144" s="8"/>
      <c r="AL144" s="8" t="str">
        <f>IF($AK144="","",SUMIFS(OPERATING_COEFFS!$C:$C,OPERATING_COEFFS!$A:$A,"UrgencyClass",OPERATING_COEFFS!$B:$B,$AK144))</f>
        <v/>
      </c>
      <c r="AM144" s="8"/>
      <c r="AN144" s="8" t="str">
        <f t="array" ref="AN144">IF($AM144="","",INDEX(TAX_MODES!$B:$B,MATCH($AM144,TAX_MODES!$A:$A,0)))</f>
        <v/>
      </c>
    </row>
    <row r="145" ht="14.25" customHeight="1">
      <c r="A145" s="31"/>
      <c r="B145" s="31"/>
      <c r="C145" s="31"/>
      <c r="D145" s="32" t="str">
        <f>IF($C145="","",SUMIFS(SITE_COEFFS!$C:$C,SITE_COEFFS!$A:$A,"SoilWorkability",SITE_COEFFS!$B:$B,$C145))</f>
        <v/>
      </c>
      <c r="E145" s="31"/>
      <c r="F145" s="32" t="str">
        <f>IF($E145="","",SUMIFS(SITE_COEFFS!$C:$C,SITE_COEFFS!$A:$A,"SoilMoisture",SITE_COEFFS!$B:$B,$E145))</f>
        <v/>
      </c>
      <c r="G145" s="31"/>
      <c r="H145" s="32" t="str">
        <f>IF($G145="","",SUMIFS(SITE_COEFFS!$C:$C,SITE_COEFFS!$A:$A,"DebrisLevel",SITE_COEFFS!$B:$B,$G145))</f>
        <v/>
      </c>
      <c r="I145" s="31"/>
      <c r="J145" s="32" t="str">
        <f>IF($I145="","",SUMIFS(SITE_COEFFS!$C:$C,SITE_COEFFS!$A:$A,"SlopeClass",SITE_COEFFS!$B:$B,$I145))</f>
        <v/>
      </c>
      <c r="K145" s="31"/>
      <c r="L145" s="32" t="str">
        <f>IF($K145="","",SUMIFS(SITE_COEFFS!$C:$C,SITE_COEFFS!$A:$A,"SurfaceUnevenness",SITE_COEFFS!$B:$B,$K145))</f>
        <v/>
      </c>
      <c r="M145" s="31"/>
      <c r="N145" s="32" t="str">
        <f>IF($M145="","",SUMIFS(SITE_COEFFS!$C:$C,SITE_COEFFS!$A:$A,"AccessClass",SITE_COEFFS!$B:$B,$M145))</f>
        <v/>
      </c>
      <c r="O145" s="31"/>
      <c r="P145" s="32" t="str">
        <f>IF($O145="","",SUMIFS(SITE_COEFFS!$C:$C,SITE_COEFFS!$A:$A,"TurnSpace",SITE_COEFFS!$B:$B,$O145))</f>
        <v/>
      </c>
      <c r="Q145" s="31"/>
      <c r="R145" s="32" t="str">
        <f>IF($Q145="","",SUMIFS(SITE_COEFFS!$C:$C,SITE_COEFFS!$A:$A,"ProximityToBuildings",SITE_COEFFS!$B:$B,$Q145))</f>
        <v/>
      </c>
      <c r="S145" s="31"/>
      <c r="T145" s="32" t="str">
        <f>IF($S145="","",SUMIFS(SITE_COEFFS!$C:$C,SITE_COEFFS!$A:$A,"MachineryAllowed",SITE_COEFFS!$B:$B,$S145))</f>
        <v/>
      </c>
      <c r="U145" s="31"/>
      <c r="V145" s="31"/>
      <c r="W145" s="32" t="str">
        <f>IF($V145="","",SUMIFS(SITE_COEFFS!$C:$C,SITE_COEFFS!$A:$A,"GeometryComplexity",SITE_COEFFS!$B:$B,$V145))</f>
        <v/>
      </c>
      <c r="X145" s="31"/>
      <c r="Y145" s="31" t="str">
        <f>IF($X145="","",SUMIFS(TARIFF_PROFILES!$D:$D,TARIFF_PROFILES!$A:$A,$X145))</f>
        <v/>
      </c>
      <c r="Z145" s="31" t="str">
        <f>IF($X145="","",SUMIFS(TARIFF_PROFILES!$E:$E,TARIFF_PROFILES!$A:$A,$X145))</f>
        <v/>
      </c>
      <c r="AA145" s="31" t="str">
        <f>IF($X145="","",SUMIFS(TARIFF_PROFILES!$F:$F,TARIFF_PROFILES!$A:$A,$X145))</f>
        <v/>
      </c>
      <c r="AB145" s="31" t="str">
        <f>IF($X145="","",SUMIFS(TARIFF_PROFILES!$G:$G,TARIFF_PROFILES!$A:$A,$X145))</f>
        <v/>
      </c>
      <c r="AC145" s="31" t="str">
        <f>IF($X145="","",SUMIFS(TARIFF_PROFILES!$H:$H,TARIFF_PROFILES!$A:$A,$X145))</f>
        <v/>
      </c>
      <c r="AD145" s="31" t="str">
        <f t="array" ref="AD145">IF($X145="","",INDEX(TARIFF_PROFILES!$J:$J,MATCH($X145,TARIFF_PROFILES!$A:$A,0)))</f>
        <v/>
      </c>
      <c r="AE145" s="31" t="str">
        <f t="array" ref="AE145">IF($X145="","",INDEX(TARIFF_PROFILES!$K:$K,MATCH($X145,TARIFF_PROFILES!$A:$A,0)))</f>
        <v/>
      </c>
      <c r="AG145" s="8"/>
      <c r="AH145" s="8" t="str">
        <f>IF($AG145="","",SUMIFS(OPERATING_COEFFS!$C:$C,OPERATING_COEFFS!$A:$A,"DistanceClass",OPERATING_COEFFS!$B:$B,$AG145))</f>
        <v/>
      </c>
      <c r="AI145" s="8"/>
      <c r="AJ145" s="8" t="str">
        <f>IF($AI145="","",SUMIFS(OPERATING_COEFFS!$C:$C,OPERATING_COEFFS!$A:$A,"SeasonClass",OPERATING_COEFFS!$B:$B,$AI145))</f>
        <v/>
      </c>
      <c r="AK145" s="8"/>
      <c r="AL145" s="8" t="str">
        <f>IF($AK145="","",SUMIFS(OPERATING_COEFFS!$C:$C,OPERATING_COEFFS!$A:$A,"UrgencyClass",OPERATING_COEFFS!$B:$B,$AK145))</f>
        <v/>
      </c>
      <c r="AM145" s="8"/>
      <c r="AN145" s="8" t="str">
        <f t="array" ref="AN145">IF($AM145="","",INDEX(TAX_MODES!$B:$B,MATCH($AM145,TAX_MODES!$A:$A,0)))</f>
        <v/>
      </c>
    </row>
    <row r="146" ht="14.25" customHeight="1">
      <c r="A146" s="31"/>
      <c r="B146" s="31"/>
      <c r="C146" s="31"/>
      <c r="D146" s="32" t="str">
        <f>IF($C146="","",SUMIFS(SITE_COEFFS!$C:$C,SITE_COEFFS!$A:$A,"SoilWorkability",SITE_COEFFS!$B:$B,$C146))</f>
        <v/>
      </c>
      <c r="E146" s="31"/>
      <c r="F146" s="32" t="str">
        <f>IF($E146="","",SUMIFS(SITE_COEFFS!$C:$C,SITE_COEFFS!$A:$A,"SoilMoisture",SITE_COEFFS!$B:$B,$E146))</f>
        <v/>
      </c>
      <c r="G146" s="31"/>
      <c r="H146" s="32" t="str">
        <f>IF($G146="","",SUMIFS(SITE_COEFFS!$C:$C,SITE_COEFFS!$A:$A,"DebrisLevel",SITE_COEFFS!$B:$B,$G146))</f>
        <v/>
      </c>
      <c r="I146" s="31"/>
      <c r="J146" s="32" t="str">
        <f>IF($I146="","",SUMIFS(SITE_COEFFS!$C:$C,SITE_COEFFS!$A:$A,"SlopeClass",SITE_COEFFS!$B:$B,$I146))</f>
        <v/>
      </c>
      <c r="K146" s="31"/>
      <c r="L146" s="32" t="str">
        <f>IF($K146="","",SUMIFS(SITE_COEFFS!$C:$C,SITE_COEFFS!$A:$A,"SurfaceUnevenness",SITE_COEFFS!$B:$B,$K146))</f>
        <v/>
      </c>
      <c r="M146" s="31"/>
      <c r="N146" s="32" t="str">
        <f>IF($M146="","",SUMIFS(SITE_COEFFS!$C:$C,SITE_COEFFS!$A:$A,"AccessClass",SITE_COEFFS!$B:$B,$M146))</f>
        <v/>
      </c>
      <c r="O146" s="31"/>
      <c r="P146" s="32" t="str">
        <f>IF($O146="","",SUMIFS(SITE_COEFFS!$C:$C,SITE_COEFFS!$A:$A,"TurnSpace",SITE_COEFFS!$B:$B,$O146))</f>
        <v/>
      </c>
      <c r="Q146" s="31"/>
      <c r="R146" s="32" t="str">
        <f>IF($Q146="","",SUMIFS(SITE_COEFFS!$C:$C,SITE_COEFFS!$A:$A,"ProximityToBuildings",SITE_COEFFS!$B:$B,$Q146))</f>
        <v/>
      </c>
      <c r="S146" s="31"/>
      <c r="T146" s="32" t="str">
        <f>IF($S146="","",SUMIFS(SITE_COEFFS!$C:$C,SITE_COEFFS!$A:$A,"MachineryAllowed",SITE_COEFFS!$B:$B,$S146))</f>
        <v/>
      </c>
      <c r="U146" s="31"/>
      <c r="V146" s="31"/>
      <c r="W146" s="32" t="str">
        <f>IF($V146="","",SUMIFS(SITE_COEFFS!$C:$C,SITE_COEFFS!$A:$A,"GeometryComplexity",SITE_COEFFS!$B:$B,$V146))</f>
        <v/>
      </c>
      <c r="X146" s="31"/>
      <c r="Y146" s="31" t="str">
        <f>IF($X146="","",SUMIFS(TARIFF_PROFILES!$D:$D,TARIFF_PROFILES!$A:$A,$X146))</f>
        <v/>
      </c>
      <c r="Z146" s="31" t="str">
        <f>IF($X146="","",SUMIFS(TARIFF_PROFILES!$E:$E,TARIFF_PROFILES!$A:$A,$X146))</f>
        <v/>
      </c>
      <c r="AA146" s="31" t="str">
        <f>IF($X146="","",SUMIFS(TARIFF_PROFILES!$F:$F,TARIFF_PROFILES!$A:$A,$X146))</f>
        <v/>
      </c>
      <c r="AB146" s="31" t="str">
        <f>IF($X146="","",SUMIFS(TARIFF_PROFILES!$G:$G,TARIFF_PROFILES!$A:$A,$X146))</f>
        <v/>
      </c>
      <c r="AC146" s="31" t="str">
        <f>IF($X146="","",SUMIFS(TARIFF_PROFILES!$H:$H,TARIFF_PROFILES!$A:$A,$X146))</f>
        <v/>
      </c>
      <c r="AD146" s="31" t="str">
        <f t="array" ref="AD146">IF($X146="","",INDEX(TARIFF_PROFILES!$J:$J,MATCH($X146,TARIFF_PROFILES!$A:$A,0)))</f>
        <v/>
      </c>
      <c r="AE146" s="31" t="str">
        <f t="array" ref="AE146">IF($X146="","",INDEX(TARIFF_PROFILES!$K:$K,MATCH($X146,TARIFF_PROFILES!$A:$A,0)))</f>
        <v/>
      </c>
      <c r="AG146" s="8"/>
      <c r="AH146" s="8" t="str">
        <f>IF($AG146="","",SUMIFS(OPERATING_COEFFS!$C:$C,OPERATING_COEFFS!$A:$A,"DistanceClass",OPERATING_COEFFS!$B:$B,$AG146))</f>
        <v/>
      </c>
      <c r="AI146" s="8"/>
      <c r="AJ146" s="8" t="str">
        <f>IF($AI146="","",SUMIFS(OPERATING_COEFFS!$C:$C,OPERATING_COEFFS!$A:$A,"SeasonClass",OPERATING_COEFFS!$B:$B,$AI146))</f>
        <v/>
      </c>
      <c r="AK146" s="8"/>
      <c r="AL146" s="8" t="str">
        <f>IF($AK146="","",SUMIFS(OPERATING_COEFFS!$C:$C,OPERATING_COEFFS!$A:$A,"UrgencyClass",OPERATING_COEFFS!$B:$B,$AK146))</f>
        <v/>
      </c>
      <c r="AM146" s="8"/>
      <c r="AN146" s="8" t="str">
        <f t="array" ref="AN146">IF($AM146="","",INDEX(TAX_MODES!$B:$B,MATCH($AM146,TAX_MODES!$A:$A,0)))</f>
        <v/>
      </c>
    </row>
    <row r="147" ht="14.25" customHeight="1">
      <c r="A147" s="31"/>
      <c r="B147" s="31"/>
      <c r="C147" s="31"/>
      <c r="D147" s="32" t="str">
        <f>IF($C147="","",SUMIFS(SITE_COEFFS!$C:$C,SITE_COEFFS!$A:$A,"SoilWorkability",SITE_COEFFS!$B:$B,$C147))</f>
        <v/>
      </c>
      <c r="E147" s="31"/>
      <c r="F147" s="32" t="str">
        <f>IF($E147="","",SUMIFS(SITE_COEFFS!$C:$C,SITE_COEFFS!$A:$A,"SoilMoisture",SITE_COEFFS!$B:$B,$E147))</f>
        <v/>
      </c>
      <c r="G147" s="31"/>
      <c r="H147" s="32" t="str">
        <f>IF($G147="","",SUMIFS(SITE_COEFFS!$C:$C,SITE_COEFFS!$A:$A,"DebrisLevel",SITE_COEFFS!$B:$B,$G147))</f>
        <v/>
      </c>
      <c r="I147" s="31"/>
      <c r="J147" s="32" t="str">
        <f>IF($I147="","",SUMIFS(SITE_COEFFS!$C:$C,SITE_COEFFS!$A:$A,"SlopeClass",SITE_COEFFS!$B:$B,$I147))</f>
        <v/>
      </c>
      <c r="K147" s="31"/>
      <c r="L147" s="32" t="str">
        <f>IF($K147="","",SUMIFS(SITE_COEFFS!$C:$C,SITE_COEFFS!$A:$A,"SurfaceUnevenness",SITE_COEFFS!$B:$B,$K147))</f>
        <v/>
      </c>
      <c r="M147" s="31"/>
      <c r="N147" s="32" t="str">
        <f>IF($M147="","",SUMIFS(SITE_COEFFS!$C:$C,SITE_COEFFS!$A:$A,"AccessClass",SITE_COEFFS!$B:$B,$M147))</f>
        <v/>
      </c>
      <c r="O147" s="31"/>
      <c r="P147" s="32" t="str">
        <f>IF($O147="","",SUMIFS(SITE_COEFFS!$C:$C,SITE_COEFFS!$A:$A,"TurnSpace",SITE_COEFFS!$B:$B,$O147))</f>
        <v/>
      </c>
      <c r="Q147" s="31"/>
      <c r="R147" s="32" t="str">
        <f>IF($Q147="","",SUMIFS(SITE_COEFFS!$C:$C,SITE_COEFFS!$A:$A,"ProximityToBuildings",SITE_COEFFS!$B:$B,$Q147))</f>
        <v/>
      </c>
      <c r="S147" s="31"/>
      <c r="T147" s="32" t="str">
        <f>IF($S147="","",SUMIFS(SITE_COEFFS!$C:$C,SITE_COEFFS!$A:$A,"MachineryAllowed",SITE_COEFFS!$B:$B,$S147))</f>
        <v/>
      </c>
      <c r="U147" s="31"/>
      <c r="V147" s="31"/>
      <c r="W147" s="32" t="str">
        <f>IF($V147="","",SUMIFS(SITE_COEFFS!$C:$C,SITE_COEFFS!$A:$A,"GeometryComplexity",SITE_COEFFS!$B:$B,$V147))</f>
        <v/>
      </c>
      <c r="X147" s="31"/>
      <c r="Y147" s="31" t="str">
        <f>IF($X147="","",SUMIFS(TARIFF_PROFILES!$D:$D,TARIFF_PROFILES!$A:$A,$X147))</f>
        <v/>
      </c>
      <c r="Z147" s="31" t="str">
        <f>IF($X147="","",SUMIFS(TARIFF_PROFILES!$E:$E,TARIFF_PROFILES!$A:$A,$X147))</f>
        <v/>
      </c>
      <c r="AA147" s="31" t="str">
        <f>IF($X147="","",SUMIFS(TARIFF_PROFILES!$F:$F,TARIFF_PROFILES!$A:$A,$X147))</f>
        <v/>
      </c>
      <c r="AB147" s="31" t="str">
        <f>IF($X147="","",SUMIFS(TARIFF_PROFILES!$G:$G,TARIFF_PROFILES!$A:$A,$X147))</f>
        <v/>
      </c>
      <c r="AC147" s="31" t="str">
        <f>IF($X147="","",SUMIFS(TARIFF_PROFILES!$H:$H,TARIFF_PROFILES!$A:$A,$X147))</f>
        <v/>
      </c>
      <c r="AD147" s="31" t="str">
        <f t="array" ref="AD147">IF($X147="","",INDEX(TARIFF_PROFILES!$J:$J,MATCH($X147,TARIFF_PROFILES!$A:$A,0)))</f>
        <v/>
      </c>
      <c r="AE147" s="31" t="str">
        <f t="array" ref="AE147">IF($X147="","",INDEX(TARIFF_PROFILES!$K:$K,MATCH($X147,TARIFF_PROFILES!$A:$A,0)))</f>
        <v/>
      </c>
      <c r="AG147" s="8"/>
      <c r="AH147" s="8" t="str">
        <f>IF($AG147="","",SUMIFS(OPERATING_COEFFS!$C:$C,OPERATING_COEFFS!$A:$A,"DistanceClass",OPERATING_COEFFS!$B:$B,$AG147))</f>
        <v/>
      </c>
      <c r="AI147" s="8"/>
      <c r="AJ147" s="8" t="str">
        <f>IF($AI147="","",SUMIFS(OPERATING_COEFFS!$C:$C,OPERATING_COEFFS!$A:$A,"SeasonClass",OPERATING_COEFFS!$B:$B,$AI147))</f>
        <v/>
      </c>
      <c r="AK147" s="8"/>
      <c r="AL147" s="8" t="str">
        <f>IF($AK147="","",SUMIFS(OPERATING_COEFFS!$C:$C,OPERATING_COEFFS!$A:$A,"UrgencyClass",OPERATING_COEFFS!$B:$B,$AK147))</f>
        <v/>
      </c>
      <c r="AM147" s="8"/>
      <c r="AN147" s="8" t="str">
        <f t="array" ref="AN147">IF($AM147="","",INDEX(TAX_MODES!$B:$B,MATCH($AM147,TAX_MODES!$A:$A,0)))</f>
        <v/>
      </c>
    </row>
    <row r="148" ht="14.25" customHeight="1">
      <c r="A148" s="31"/>
      <c r="B148" s="31"/>
      <c r="C148" s="31"/>
      <c r="D148" s="32" t="str">
        <f>IF($C148="","",SUMIFS(SITE_COEFFS!$C:$C,SITE_COEFFS!$A:$A,"SoilWorkability",SITE_COEFFS!$B:$B,$C148))</f>
        <v/>
      </c>
      <c r="E148" s="31"/>
      <c r="F148" s="32" t="str">
        <f>IF($E148="","",SUMIFS(SITE_COEFFS!$C:$C,SITE_COEFFS!$A:$A,"SoilMoisture",SITE_COEFFS!$B:$B,$E148))</f>
        <v/>
      </c>
      <c r="G148" s="31"/>
      <c r="H148" s="32" t="str">
        <f>IF($G148="","",SUMIFS(SITE_COEFFS!$C:$C,SITE_COEFFS!$A:$A,"DebrisLevel",SITE_COEFFS!$B:$B,$G148))</f>
        <v/>
      </c>
      <c r="I148" s="31"/>
      <c r="J148" s="32" t="str">
        <f>IF($I148="","",SUMIFS(SITE_COEFFS!$C:$C,SITE_COEFFS!$A:$A,"SlopeClass",SITE_COEFFS!$B:$B,$I148))</f>
        <v/>
      </c>
      <c r="K148" s="31"/>
      <c r="L148" s="32" t="str">
        <f>IF($K148="","",SUMIFS(SITE_COEFFS!$C:$C,SITE_COEFFS!$A:$A,"SurfaceUnevenness",SITE_COEFFS!$B:$B,$K148))</f>
        <v/>
      </c>
      <c r="M148" s="31"/>
      <c r="N148" s="32" t="str">
        <f>IF($M148="","",SUMIFS(SITE_COEFFS!$C:$C,SITE_COEFFS!$A:$A,"AccessClass",SITE_COEFFS!$B:$B,$M148))</f>
        <v/>
      </c>
      <c r="O148" s="31"/>
      <c r="P148" s="32" t="str">
        <f>IF($O148="","",SUMIFS(SITE_COEFFS!$C:$C,SITE_COEFFS!$A:$A,"TurnSpace",SITE_COEFFS!$B:$B,$O148))</f>
        <v/>
      </c>
      <c r="Q148" s="31"/>
      <c r="R148" s="32" t="str">
        <f>IF($Q148="","",SUMIFS(SITE_COEFFS!$C:$C,SITE_COEFFS!$A:$A,"ProximityToBuildings",SITE_COEFFS!$B:$B,$Q148))</f>
        <v/>
      </c>
      <c r="S148" s="31"/>
      <c r="T148" s="32" t="str">
        <f>IF($S148="","",SUMIFS(SITE_COEFFS!$C:$C,SITE_COEFFS!$A:$A,"MachineryAllowed",SITE_COEFFS!$B:$B,$S148))</f>
        <v/>
      </c>
      <c r="U148" s="31"/>
      <c r="V148" s="31"/>
      <c r="W148" s="32" t="str">
        <f>IF($V148="","",SUMIFS(SITE_COEFFS!$C:$C,SITE_COEFFS!$A:$A,"GeometryComplexity",SITE_COEFFS!$B:$B,$V148))</f>
        <v/>
      </c>
      <c r="X148" s="31"/>
      <c r="Y148" s="31" t="str">
        <f>IF($X148="","",SUMIFS(TARIFF_PROFILES!$D:$D,TARIFF_PROFILES!$A:$A,$X148))</f>
        <v/>
      </c>
      <c r="Z148" s="31" t="str">
        <f>IF($X148="","",SUMIFS(TARIFF_PROFILES!$E:$E,TARIFF_PROFILES!$A:$A,$X148))</f>
        <v/>
      </c>
      <c r="AA148" s="31" t="str">
        <f>IF($X148="","",SUMIFS(TARIFF_PROFILES!$F:$F,TARIFF_PROFILES!$A:$A,$X148))</f>
        <v/>
      </c>
      <c r="AB148" s="31" t="str">
        <f>IF($X148="","",SUMIFS(TARIFF_PROFILES!$G:$G,TARIFF_PROFILES!$A:$A,$X148))</f>
        <v/>
      </c>
      <c r="AC148" s="31" t="str">
        <f>IF($X148="","",SUMIFS(TARIFF_PROFILES!$H:$H,TARIFF_PROFILES!$A:$A,$X148))</f>
        <v/>
      </c>
      <c r="AD148" s="31" t="str">
        <f t="array" ref="AD148">IF($X148="","",INDEX(TARIFF_PROFILES!$J:$J,MATCH($X148,TARIFF_PROFILES!$A:$A,0)))</f>
        <v/>
      </c>
      <c r="AE148" s="31" t="str">
        <f t="array" ref="AE148">IF($X148="","",INDEX(TARIFF_PROFILES!$K:$K,MATCH($X148,TARIFF_PROFILES!$A:$A,0)))</f>
        <v/>
      </c>
      <c r="AG148" s="8"/>
      <c r="AH148" s="8" t="str">
        <f>IF($AG148="","",SUMIFS(OPERATING_COEFFS!$C:$C,OPERATING_COEFFS!$A:$A,"DistanceClass",OPERATING_COEFFS!$B:$B,$AG148))</f>
        <v/>
      </c>
      <c r="AI148" s="8"/>
      <c r="AJ148" s="8" t="str">
        <f>IF($AI148="","",SUMIFS(OPERATING_COEFFS!$C:$C,OPERATING_COEFFS!$A:$A,"SeasonClass",OPERATING_COEFFS!$B:$B,$AI148))</f>
        <v/>
      </c>
      <c r="AK148" s="8"/>
      <c r="AL148" s="8" t="str">
        <f>IF($AK148="","",SUMIFS(OPERATING_COEFFS!$C:$C,OPERATING_COEFFS!$A:$A,"UrgencyClass",OPERATING_COEFFS!$B:$B,$AK148))</f>
        <v/>
      </c>
      <c r="AM148" s="8"/>
      <c r="AN148" s="8" t="str">
        <f t="array" ref="AN148">IF($AM148="","",INDEX(TAX_MODES!$B:$B,MATCH($AM148,TAX_MODES!$A:$A,0)))</f>
        <v/>
      </c>
    </row>
    <row r="149" ht="14.25" customHeight="1">
      <c r="A149" s="31"/>
      <c r="B149" s="31"/>
      <c r="C149" s="31"/>
      <c r="D149" s="32" t="str">
        <f>IF($C149="","",SUMIFS(SITE_COEFFS!$C:$C,SITE_COEFFS!$A:$A,"SoilWorkability",SITE_COEFFS!$B:$B,$C149))</f>
        <v/>
      </c>
      <c r="E149" s="31"/>
      <c r="F149" s="32" t="str">
        <f>IF($E149="","",SUMIFS(SITE_COEFFS!$C:$C,SITE_COEFFS!$A:$A,"SoilMoisture",SITE_COEFFS!$B:$B,$E149))</f>
        <v/>
      </c>
      <c r="G149" s="31"/>
      <c r="H149" s="32" t="str">
        <f>IF($G149="","",SUMIFS(SITE_COEFFS!$C:$C,SITE_COEFFS!$A:$A,"DebrisLevel",SITE_COEFFS!$B:$B,$G149))</f>
        <v/>
      </c>
      <c r="I149" s="31"/>
      <c r="J149" s="32" t="str">
        <f>IF($I149="","",SUMIFS(SITE_COEFFS!$C:$C,SITE_COEFFS!$A:$A,"SlopeClass",SITE_COEFFS!$B:$B,$I149))</f>
        <v/>
      </c>
      <c r="K149" s="31"/>
      <c r="L149" s="32" t="str">
        <f>IF($K149="","",SUMIFS(SITE_COEFFS!$C:$C,SITE_COEFFS!$A:$A,"SurfaceUnevenness",SITE_COEFFS!$B:$B,$K149))</f>
        <v/>
      </c>
      <c r="M149" s="31"/>
      <c r="N149" s="32" t="str">
        <f>IF($M149="","",SUMIFS(SITE_COEFFS!$C:$C,SITE_COEFFS!$A:$A,"AccessClass",SITE_COEFFS!$B:$B,$M149))</f>
        <v/>
      </c>
      <c r="O149" s="31"/>
      <c r="P149" s="32" t="str">
        <f>IF($O149="","",SUMIFS(SITE_COEFFS!$C:$C,SITE_COEFFS!$A:$A,"TurnSpace",SITE_COEFFS!$B:$B,$O149))</f>
        <v/>
      </c>
      <c r="Q149" s="31"/>
      <c r="R149" s="32" t="str">
        <f>IF($Q149="","",SUMIFS(SITE_COEFFS!$C:$C,SITE_COEFFS!$A:$A,"ProximityToBuildings",SITE_COEFFS!$B:$B,$Q149))</f>
        <v/>
      </c>
      <c r="S149" s="31"/>
      <c r="T149" s="32" t="str">
        <f>IF($S149="","",SUMIFS(SITE_COEFFS!$C:$C,SITE_COEFFS!$A:$A,"MachineryAllowed",SITE_COEFFS!$B:$B,$S149))</f>
        <v/>
      </c>
      <c r="U149" s="31"/>
      <c r="V149" s="31"/>
      <c r="W149" s="32" t="str">
        <f>IF($V149="","",SUMIFS(SITE_COEFFS!$C:$C,SITE_COEFFS!$A:$A,"GeometryComplexity",SITE_COEFFS!$B:$B,$V149))</f>
        <v/>
      </c>
      <c r="X149" s="31"/>
      <c r="Y149" s="31" t="str">
        <f>IF($X149="","",SUMIFS(TARIFF_PROFILES!$D:$D,TARIFF_PROFILES!$A:$A,$X149))</f>
        <v/>
      </c>
      <c r="Z149" s="31" t="str">
        <f>IF($X149="","",SUMIFS(TARIFF_PROFILES!$E:$E,TARIFF_PROFILES!$A:$A,$X149))</f>
        <v/>
      </c>
      <c r="AA149" s="31" t="str">
        <f>IF($X149="","",SUMIFS(TARIFF_PROFILES!$F:$F,TARIFF_PROFILES!$A:$A,$X149))</f>
        <v/>
      </c>
      <c r="AB149" s="31" t="str">
        <f>IF($X149="","",SUMIFS(TARIFF_PROFILES!$G:$G,TARIFF_PROFILES!$A:$A,$X149))</f>
        <v/>
      </c>
      <c r="AC149" s="31" t="str">
        <f>IF($X149="","",SUMIFS(TARIFF_PROFILES!$H:$H,TARIFF_PROFILES!$A:$A,$X149))</f>
        <v/>
      </c>
      <c r="AD149" s="31" t="str">
        <f t="array" ref="AD149">IF($X149="","",INDEX(TARIFF_PROFILES!$J:$J,MATCH($X149,TARIFF_PROFILES!$A:$A,0)))</f>
        <v/>
      </c>
      <c r="AE149" s="31" t="str">
        <f t="array" ref="AE149">IF($X149="","",INDEX(TARIFF_PROFILES!$K:$K,MATCH($X149,TARIFF_PROFILES!$A:$A,0)))</f>
        <v/>
      </c>
      <c r="AG149" s="8"/>
      <c r="AH149" s="8" t="str">
        <f>IF($AG149="","",SUMIFS(OPERATING_COEFFS!$C:$C,OPERATING_COEFFS!$A:$A,"DistanceClass",OPERATING_COEFFS!$B:$B,$AG149))</f>
        <v/>
      </c>
      <c r="AI149" s="8"/>
      <c r="AJ149" s="8" t="str">
        <f>IF($AI149="","",SUMIFS(OPERATING_COEFFS!$C:$C,OPERATING_COEFFS!$A:$A,"SeasonClass",OPERATING_COEFFS!$B:$B,$AI149))</f>
        <v/>
      </c>
      <c r="AK149" s="8"/>
      <c r="AL149" s="8" t="str">
        <f>IF($AK149="","",SUMIFS(OPERATING_COEFFS!$C:$C,OPERATING_COEFFS!$A:$A,"UrgencyClass",OPERATING_COEFFS!$B:$B,$AK149))</f>
        <v/>
      </c>
      <c r="AM149" s="8"/>
      <c r="AN149" s="8" t="str">
        <f t="array" ref="AN149">IF($AM149="","",INDEX(TAX_MODES!$B:$B,MATCH($AM149,TAX_MODES!$A:$A,0)))</f>
        <v/>
      </c>
    </row>
    <row r="150" ht="14.25" customHeight="1">
      <c r="A150" s="31"/>
      <c r="B150" s="31"/>
      <c r="C150" s="31"/>
      <c r="D150" s="32" t="str">
        <f>IF($C150="","",SUMIFS(SITE_COEFFS!$C:$C,SITE_COEFFS!$A:$A,"SoilWorkability",SITE_COEFFS!$B:$B,$C150))</f>
        <v/>
      </c>
      <c r="E150" s="31"/>
      <c r="F150" s="32" t="str">
        <f>IF($E150="","",SUMIFS(SITE_COEFFS!$C:$C,SITE_COEFFS!$A:$A,"SoilMoisture",SITE_COEFFS!$B:$B,$E150))</f>
        <v/>
      </c>
      <c r="G150" s="31"/>
      <c r="H150" s="32" t="str">
        <f>IF($G150="","",SUMIFS(SITE_COEFFS!$C:$C,SITE_COEFFS!$A:$A,"DebrisLevel",SITE_COEFFS!$B:$B,$G150))</f>
        <v/>
      </c>
      <c r="I150" s="31"/>
      <c r="J150" s="32" t="str">
        <f>IF($I150="","",SUMIFS(SITE_COEFFS!$C:$C,SITE_COEFFS!$A:$A,"SlopeClass",SITE_COEFFS!$B:$B,$I150))</f>
        <v/>
      </c>
      <c r="K150" s="31"/>
      <c r="L150" s="32" t="str">
        <f>IF($K150="","",SUMIFS(SITE_COEFFS!$C:$C,SITE_COEFFS!$A:$A,"SurfaceUnevenness",SITE_COEFFS!$B:$B,$K150))</f>
        <v/>
      </c>
      <c r="M150" s="31"/>
      <c r="N150" s="32" t="str">
        <f>IF($M150="","",SUMIFS(SITE_COEFFS!$C:$C,SITE_COEFFS!$A:$A,"AccessClass",SITE_COEFFS!$B:$B,$M150))</f>
        <v/>
      </c>
      <c r="O150" s="31"/>
      <c r="P150" s="32" t="str">
        <f>IF($O150="","",SUMIFS(SITE_COEFFS!$C:$C,SITE_COEFFS!$A:$A,"TurnSpace",SITE_COEFFS!$B:$B,$O150))</f>
        <v/>
      </c>
      <c r="Q150" s="31"/>
      <c r="R150" s="32" t="str">
        <f>IF($Q150="","",SUMIFS(SITE_COEFFS!$C:$C,SITE_COEFFS!$A:$A,"ProximityToBuildings",SITE_COEFFS!$B:$B,$Q150))</f>
        <v/>
      </c>
      <c r="S150" s="31"/>
      <c r="T150" s="32" t="str">
        <f>IF($S150="","",SUMIFS(SITE_COEFFS!$C:$C,SITE_COEFFS!$A:$A,"MachineryAllowed",SITE_COEFFS!$B:$B,$S150))</f>
        <v/>
      </c>
      <c r="U150" s="31"/>
      <c r="V150" s="31"/>
      <c r="W150" s="32" t="str">
        <f>IF($V150="","",SUMIFS(SITE_COEFFS!$C:$C,SITE_COEFFS!$A:$A,"GeometryComplexity",SITE_COEFFS!$B:$B,$V150))</f>
        <v/>
      </c>
      <c r="X150" s="31"/>
      <c r="Y150" s="31" t="str">
        <f>IF($X150="","",SUMIFS(TARIFF_PROFILES!$D:$D,TARIFF_PROFILES!$A:$A,$X150))</f>
        <v/>
      </c>
      <c r="Z150" s="31" t="str">
        <f>IF($X150="","",SUMIFS(TARIFF_PROFILES!$E:$E,TARIFF_PROFILES!$A:$A,$X150))</f>
        <v/>
      </c>
      <c r="AA150" s="31" t="str">
        <f>IF($X150="","",SUMIFS(TARIFF_PROFILES!$F:$F,TARIFF_PROFILES!$A:$A,$X150))</f>
        <v/>
      </c>
      <c r="AB150" s="31" t="str">
        <f>IF($X150="","",SUMIFS(TARIFF_PROFILES!$G:$G,TARIFF_PROFILES!$A:$A,$X150))</f>
        <v/>
      </c>
      <c r="AC150" s="31" t="str">
        <f>IF($X150="","",SUMIFS(TARIFF_PROFILES!$H:$H,TARIFF_PROFILES!$A:$A,$X150))</f>
        <v/>
      </c>
      <c r="AD150" s="31" t="str">
        <f t="array" ref="AD150">IF($X150="","",INDEX(TARIFF_PROFILES!$J:$J,MATCH($X150,TARIFF_PROFILES!$A:$A,0)))</f>
        <v/>
      </c>
      <c r="AE150" s="31" t="str">
        <f t="array" ref="AE150">IF($X150="","",INDEX(TARIFF_PROFILES!$K:$K,MATCH($X150,TARIFF_PROFILES!$A:$A,0)))</f>
        <v/>
      </c>
      <c r="AG150" s="8"/>
      <c r="AH150" s="8" t="str">
        <f>IF($AG150="","",SUMIFS(OPERATING_COEFFS!$C:$C,OPERATING_COEFFS!$A:$A,"DistanceClass",OPERATING_COEFFS!$B:$B,$AG150))</f>
        <v/>
      </c>
      <c r="AI150" s="8"/>
      <c r="AJ150" s="8" t="str">
        <f>IF($AI150="","",SUMIFS(OPERATING_COEFFS!$C:$C,OPERATING_COEFFS!$A:$A,"SeasonClass",OPERATING_COEFFS!$B:$B,$AI150))</f>
        <v/>
      </c>
      <c r="AK150" s="8"/>
      <c r="AL150" s="8" t="str">
        <f>IF($AK150="","",SUMIFS(OPERATING_COEFFS!$C:$C,OPERATING_COEFFS!$A:$A,"UrgencyClass",OPERATING_COEFFS!$B:$B,$AK150))</f>
        <v/>
      </c>
      <c r="AM150" s="8"/>
      <c r="AN150" s="8" t="str">
        <f t="array" ref="AN150">IF($AM150="","",INDEX(TAX_MODES!$B:$B,MATCH($AM150,TAX_MODES!$A:$A,0)))</f>
        <v/>
      </c>
    </row>
    <row r="151" ht="14.25" customHeight="1">
      <c r="C151" s="8"/>
      <c r="E151" s="8"/>
      <c r="G151" s="8"/>
      <c r="I151" s="8"/>
      <c r="K151" s="8"/>
      <c r="M151" s="8"/>
      <c r="O151" s="8"/>
      <c r="Q151" s="8"/>
      <c r="S151" s="8"/>
      <c r="V151" s="8"/>
      <c r="X151" s="31"/>
      <c r="Y151" s="31" t="str">
        <f>IF($X151="","",SUMIFS(TARIFF_PROFILES!$D:$D,TARIFF_PROFILES!$A:$A,$X151))</f>
        <v/>
      </c>
      <c r="Z151" s="31" t="str">
        <f>IF($X151="","",SUMIFS(TARIFF_PROFILES!$E:$E,TARIFF_PROFILES!$A:$A,$X151))</f>
        <v/>
      </c>
      <c r="AA151" s="31" t="str">
        <f>IF($X151="","",SUMIFS(TARIFF_PROFILES!$F:$F,TARIFF_PROFILES!$A:$A,$X151))</f>
        <v/>
      </c>
      <c r="AB151" s="31" t="str">
        <f>IF($X151="","",SUMIFS(TARIFF_PROFILES!$G:$G,TARIFF_PROFILES!$A:$A,$X151))</f>
        <v/>
      </c>
      <c r="AC151" s="31" t="str">
        <f>IF($X151="","",SUMIFS(TARIFF_PROFILES!$H:$H,TARIFF_PROFILES!$A:$A,$X151))</f>
        <v/>
      </c>
      <c r="AD151" s="31" t="str">
        <f t="array" ref="AD151">IF($X151="","",INDEX(TARIFF_PROFILES!$J:$J,MATCH($X151,TARIFF_PROFILES!$A:$A,0)))</f>
        <v/>
      </c>
      <c r="AE151" s="31" t="str">
        <f t="array" ref="AE151">IF($X151="","",INDEX(TARIFF_PROFILES!$K:$K,MATCH($X151,TARIFF_PROFILES!$A:$A,0)))</f>
        <v/>
      </c>
      <c r="AG151" s="8"/>
      <c r="AH151" s="8" t="str">
        <f>IF($AG151="","",SUMIFS(OPERATING_COEFFS!$C:$C,OPERATING_COEFFS!$A:$A,"DistanceClass",OPERATING_COEFFS!$B:$B,$AG151))</f>
        <v/>
      </c>
      <c r="AI151" s="8"/>
      <c r="AJ151" s="8" t="str">
        <f>IF($AI151="","",SUMIFS(OPERATING_COEFFS!$C:$C,OPERATING_COEFFS!$A:$A,"SeasonClass",OPERATING_COEFFS!$B:$B,$AI151))</f>
        <v/>
      </c>
      <c r="AK151" s="8"/>
      <c r="AL151" s="8" t="str">
        <f>IF($AK151="","",SUMIFS(OPERATING_COEFFS!$C:$C,OPERATING_COEFFS!$A:$A,"UrgencyClass",OPERATING_COEFFS!$B:$B,$AK151))</f>
        <v/>
      </c>
      <c r="AM151" s="8"/>
      <c r="AN151" s="8" t="str">
        <f t="array" ref="AN151">IF($AM151="","",INDEX(TAX_MODES!$B:$B,MATCH($AM151,TAX_MODES!$A:$A,0)))</f>
        <v/>
      </c>
    </row>
    <row r="152" ht="14.25" customHeight="1">
      <c r="C152" s="8"/>
      <c r="E152" s="8"/>
      <c r="G152" s="8"/>
      <c r="I152" s="8"/>
      <c r="K152" s="8"/>
      <c r="M152" s="8"/>
      <c r="O152" s="8"/>
      <c r="Q152" s="8"/>
      <c r="S152" s="8"/>
      <c r="V152" s="8"/>
      <c r="X152" s="31"/>
      <c r="Y152" s="31" t="str">
        <f>IF($X152="","",SUMIFS(TARIFF_PROFILES!$D:$D,TARIFF_PROFILES!$A:$A,$X152))</f>
        <v/>
      </c>
      <c r="Z152" s="31" t="str">
        <f>IF($X152="","",SUMIFS(TARIFF_PROFILES!$E:$E,TARIFF_PROFILES!$A:$A,$X152))</f>
        <v/>
      </c>
      <c r="AA152" s="31" t="str">
        <f>IF($X152="","",SUMIFS(TARIFF_PROFILES!$F:$F,TARIFF_PROFILES!$A:$A,$X152))</f>
        <v/>
      </c>
      <c r="AB152" s="31" t="str">
        <f>IF($X152="","",SUMIFS(TARIFF_PROFILES!$G:$G,TARIFF_PROFILES!$A:$A,$X152))</f>
        <v/>
      </c>
      <c r="AC152" s="31" t="str">
        <f>IF($X152="","",SUMIFS(TARIFF_PROFILES!$H:$H,TARIFF_PROFILES!$A:$A,$X152))</f>
        <v/>
      </c>
      <c r="AD152" s="31" t="str">
        <f t="array" ref="AD152">IF($X152="","",INDEX(TARIFF_PROFILES!$J:$J,MATCH($X152,TARIFF_PROFILES!$A:$A,0)))</f>
        <v/>
      </c>
      <c r="AE152" s="31" t="str">
        <f t="array" ref="AE152">IF($X152="","",INDEX(TARIFF_PROFILES!$K:$K,MATCH($X152,TARIFF_PROFILES!$A:$A,0)))</f>
        <v/>
      </c>
      <c r="AG152" s="8"/>
      <c r="AH152" s="8" t="str">
        <f>IF($AG152="","",SUMIFS(OPERATING_COEFFS!$C:$C,OPERATING_COEFFS!$A:$A,"DistanceClass",OPERATING_COEFFS!$B:$B,$AG152))</f>
        <v/>
      </c>
      <c r="AI152" s="8"/>
      <c r="AJ152" s="8" t="str">
        <f>IF($AI152="","",SUMIFS(OPERATING_COEFFS!$C:$C,OPERATING_COEFFS!$A:$A,"SeasonClass",OPERATING_COEFFS!$B:$B,$AI152))</f>
        <v/>
      </c>
      <c r="AK152" s="8"/>
      <c r="AL152" s="8" t="str">
        <f>IF($AK152="","",SUMIFS(OPERATING_COEFFS!$C:$C,OPERATING_COEFFS!$A:$A,"UrgencyClass",OPERATING_COEFFS!$B:$B,$AK152))</f>
        <v/>
      </c>
      <c r="AM152" s="8"/>
      <c r="AN152" s="8" t="str">
        <f t="array" ref="AN152">IF($AM152="","",INDEX(TAX_MODES!$B:$B,MATCH($AM152,TAX_MODES!$A:$A,0)))</f>
        <v/>
      </c>
    </row>
    <row r="153" ht="14.25" customHeight="1">
      <c r="C153" s="8"/>
      <c r="E153" s="8"/>
      <c r="G153" s="8"/>
      <c r="I153" s="8"/>
      <c r="K153" s="8"/>
      <c r="M153" s="8"/>
      <c r="O153" s="8"/>
      <c r="Q153" s="8"/>
      <c r="S153" s="8"/>
      <c r="V153" s="8"/>
      <c r="X153" s="31"/>
      <c r="Y153" s="31" t="str">
        <f>IF($X153="","",SUMIFS(TARIFF_PROFILES!$D:$D,TARIFF_PROFILES!$A:$A,$X153))</f>
        <v/>
      </c>
      <c r="Z153" s="31" t="str">
        <f>IF($X153="","",SUMIFS(TARIFF_PROFILES!$E:$E,TARIFF_PROFILES!$A:$A,$X153))</f>
        <v/>
      </c>
      <c r="AA153" s="31" t="str">
        <f>IF($X153="","",SUMIFS(TARIFF_PROFILES!$F:$F,TARIFF_PROFILES!$A:$A,$X153))</f>
        <v/>
      </c>
      <c r="AB153" s="31" t="str">
        <f>IF($X153="","",SUMIFS(TARIFF_PROFILES!$G:$G,TARIFF_PROFILES!$A:$A,$X153))</f>
        <v/>
      </c>
      <c r="AC153" s="31" t="str">
        <f>IF($X153="","",SUMIFS(TARIFF_PROFILES!$H:$H,TARIFF_PROFILES!$A:$A,$X153))</f>
        <v/>
      </c>
      <c r="AD153" s="31" t="str">
        <f t="array" ref="AD153">IF($X153="","",INDEX(TARIFF_PROFILES!$J:$J,MATCH($X153,TARIFF_PROFILES!$A:$A,0)))</f>
        <v/>
      </c>
      <c r="AE153" s="31" t="str">
        <f t="array" ref="AE153">IF($X153="","",INDEX(TARIFF_PROFILES!$K:$K,MATCH($X153,TARIFF_PROFILES!$A:$A,0)))</f>
        <v/>
      </c>
      <c r="AG153" s="8"/>
      <c r="AH153" s="8" t="str">
        <f>IF($AG153="","",SUMIFS(OPERATING_COEFFS!$C:$C,OPERATING_COEFFS!$A:$A,"DistanceClass",OPERATING_COEFFS!$B:$B,$AG153))</f>
        <v/>
      </c>
      <c r="AI153" s="8"/>
      <c r="AJ153" s="8" t="str">
        <f>IF($AI153="","",SUMIFS(OPERATING_COEFFS!$C:$C,OPERATING_COEFFS!$A:$A,"SeasonClass",OPERATING_COEFFS!$B:$B,$AI153))</f>
        <v/>
      </c>
      <c r="AK153" s="8"/>
      <c r="AL153" s="8" t="str">
        <f>IF($AK153="","",SUMIFS(OPERATING_COEFFS!$C:$C,OPERATING_COEFFS!$A:$A,"UrgencyClass",OPERATING_COEFFS!$B:$B,$AK153))</f>
        <v/>
      </c>
      <c r="AM153" s="8"/>
      <c r="AN153" s="8" t="str">
        <f t="array" ref="AN153">IF($AM153="","",INDEX(TAX_MODES!$B:$B,MATCH($AM153,TAX_MODES!$A:$A,0)))</f>
        <v/>
      </c>
    </row>
    <row r="154" ht="14.25" customHeight="1">
      <c r="C154" s="8"/>
      <c r="E154" s="8"/>
      <c r="G154" s="8"/>
      <c r="I154" s="8"/>
      <c r="K154" s="8"/>
      <c r="M154" s="8"/>
      <c r="O154" s="8"/>
      <c r="Q154" s="8"/>
      <c r="S154" s="8"/>
      <c r="V154" s="8"/>
      <c r="X154" s="31"/>
      <c r="Y154" s="31" t="str">
        <f>IF($X154="","",SUMIFS(TARIFF_PROFILES!$D:$D,TARIFF_PROFILES!$A:$A,$X154))</f>
        <v/>
      </c>
      <c r="Z154" s="31" t="str">
        <f>IF($X154="","",SUMIFS(TARIFF_PROFILES!$E:$E,TARIFF_PROFILES!$A:$A,$X154))</f>
        <v/>
      </c>
      <c r="AA154" s="31" t="str">
        <f>IF($X154="","",SUMIFS(TARIFF_PROFILES!$F:$F,TARIFF_PROFILES!$A:$A,$X154))</f>
        <v/>
      </c>
      <c r="AB154" s="31" t="str">
        <f>IF($X154="","",SUMIFS(TARIFF_PROFILES!$G:$G,TARIFF_PROFILES!$A:$A,$X154))</f>
        <v/>
      </c>
      <c r="AC154" s="31" t="str">
        <f>IF($X154="","",SUMIFS(TARIFF_PROFILES!$H:$H,TARIFF_PROFILES!$A:$A,$X154))</f>
        <v/>
      </c>
      <c r="AD154" s="31" t="str">
        <f t="array" ref="AD154">IF($X154="","",INDEX(TARIFF_PROFILES!$J:$J,MATCH($X154,TARIFF_PROFILES!$A:$A,0)))</f>
        <v/>
      </c>
      <c r="AE154" s="31" t="str">
        <f t="array" ref="AE154">IF($X154="","",INDEX(TARIFF_PROFILES!$K:$K,MATCH($X154,TARIFF_PROFILES!$A:$A,0)))</f>
        <v/>
      </c>
      <c r="AG154" s="8"/>
      <c r="AH154" s="8" t="str">
        <f>IF($AG154="","",SUMIFS(OPERATING_COEFFS!$C:$C,OPERATING_COEFFS!$A:$A,"DistanceClass",OPERATING_COEFFS!$B:$B,$AG154))</f>
        <v/>
      </c>
      <c r="AI154" s="8"/>
      <c r="AJ154" s="8" t="str">
        <f>IF($AI154="","",SUMIFS(OPERATING_COEFFS!$C:$C,OPERATING_COEFFS!$A:$A,"SeasonClass",OPERATING_COEFFS!$B:$B,$AI154))</f>
        <v/>
      </c>
      <c r="AK154" s="8"/>
      <c r="AL154" s="8" t="str">
        <f>IF($AK154="","",SUMIFS(OPERATING_COEFFS!$C:$C,OPERATING_COEFFS!$A:$A,"UrgencyClass",OPERATING_COEFFS!$B:$B,$AK154))</f>
        <v/>
      </c>
      <c r="AM154" s="8"/>
      <c r="AN154" s="8" t="str">
        <f t="array" ref="AN154">IF($AM154="","",INDEX(TAX_MODES!$B:$B,MATCH($AM154,TAX_MODES!$A:$A,0)))</f>
        <v/>
      </c>
    </row>
    <row r="155" ht="14.25" customHeight="1">
      <c r="C155" s="8"/>
      <c r="E155" s="8"/>
      <c r="G155" s="8"/>
      <c r="I155" s="8"/>
      <c r="K155" s="8"/>
      <c r="M155" s="8"/>
      <c r="O155" s="8"/>
      <c r="Q155" s="8"/>
      <c r="S155" s="8"/>
      <c r="V155" s="8"/>
      <c r="X155" s="31"/>
      <c r="Y155" s="31" t="str">
        <f>IF($X155="","",SUMIFS(TARIFF_PROFILES!$D:$D,TARIFF_PROFILES!$A:$A,$X155))</f>
        <v/>
      </c>
      <c r="Z155" s="31" t="str">
        <f>IF($X155="","",SUMIFS(TARIFF_PROFILES!$E:$E,TARIFF_PROFILES!$A:$A,$X155))</f>
        <v/>
      </c>
      <c r="AA155" s="31" t="str">
        <f>IF($X155="","",SUMIFS(TARIFF_PROFILES!$F:$F,TARIFF_PROFILES!$A:$A,$X155))</f>
        <v/>
      </c>
      <c r="AB155" s="31" t="str">
        <f>IF($X155="","",SUMIFS(TARIFF_PROFILES!$G:$G,TARIFF_PROFILES!$A:$A,$X155))</f>
        <v/>
      </c>
      <c r="AC155" s="31" t="str">
        <f>IF($X155="","",SUMIFS(TARIFF_PROFILES!$H:$H,TARIFF_PROFILES!$A:$A,$X155))</f>
        <v/>
      </c>
      <c r="AD155" s="31" t="str">
        <f t="array" ref="AD155">IF($X155="","",INDEX(TARIFF_PROFILES!$J:$J,MATCH($X155,TARIFF_PROFILES!$A:$A,0)))</f>
        <v/>
      </c>
      <c r="AE155" s="31" t="str">
        <f t="array" ref="AE155">IF($X155="","",INDEX(TARIFF_PROFILES!$K:$K,MATCH($X155,TARIFF_PROFILES!$A:$A,0)))</f>
        <v/>
      </c>
      <c r="AG155" s="8"/>
      <c r="AH155" s="8" t="str">
        <f>IF($AG155="","",SUMIFS(OPERATING_COEFFS!$C:$C,OPERATING_COEFFS!$A:$A,"DistanceClass",OPERATING_COEFFS!$B:$B,$AG155))</f>
        <v/>
      </c>
      <c r="AI155" s="8"/>
      <c r="AJ155" s="8" t="str">
        <f>IF($AI155="","",SUMIFS(OPERATING_COEFFS!$C:$C,OPERATING_COEFFS!$A:$A,"SeasonClass",OPERATING_COEFFS!$B:$B,$AI155))</f>
        <v/>
      </c>
      <c r="AK155" s="8"/>
      <c r="AL155" s="8" t="str">
        <f>IF($AK155="","",SUMIFS(OPERATING_COEFFS!$C:$C,OPERATING_COEFFS!$A:$A,"UrgencyClass",OPERATING_COEFFS!$B:$B,$AK155))</f>
        <v/>
      </c>
      <c r="AM155" s="8"/>
      <c r="AN155" s="8" t="str">
        <f t="array" ref="AN155">IF($AM155="","",INDEX(TAX_MODES!$B:$B,MATCH($AM155,TAX_MODES!$A:$A,0)))</f>
        <v/>
      </c>
    </row>
    <row r="156" ht="14.25" customHeight="1">
      <c r="C156" s="8"/>
      <c r="E156" s="8"/>
      <c r="G156" s="8"/>
      <c r="I156" s="8"/>
      <c r="K156" s="8"/>
      <c r="M156" s="8"/>
      <c r="O156" s="8"/>
      <c r="Q156" s="8"/>
      <c r="S156" s="8"/>
      <c r="V156" s="8"/>
      <c r="X156" s="31"/>
      <c r="Y156" s="31" t="str">
        <f>IF($X156="","",SUMIFS(TARIFF_PROFILES!$D:$D,TARIFF_PROFILES!$A:$A,$X156))</f>
        <v/>
      </c>
      <c r="Z156" s="31" t="str">
        <f>IF($X156="","",SUMIFS(TARIFF_PROFILES!$E:$E,TARIFF_PROFILES!$A:$A,$X156))</f>
        <v/>
      </c>
      <c r="AA156" s="31" t="str">
        <f>IF($X156="","",SUMIFS(TARIFF_PROFILES!$F:$F,TARIFF_PROFILES!$A:$A,$X156))</f>
        <v/>
      </c>
      <c r="AB156" s="31" t="str">
        <f>IF($X156="","",SUMIFS(TARIFF_PROFILES!$G:$G,TARIFF_PROFILES!$A:$A,$X156))</f>
        <v/>
      </c>
      <c r="AC156" s="31" t="str">
        <f>IF($X156="","",SUMIFS(TARIFF_PROFILES!$H:$H,TARIFF_PROFILES!$A:$A,$X156))</f>
        <v/>
      </c>
      <c r="AD156" s="31" t="str">
        <f t="array" ref="AD156">IF($X156="","",INDEX(TARIFF_PROFILES!$J:$J,MATCH($X156,TARIFF_PROFILES!$A:$A,0)))</f>
        <v/>
      </c>
      <c r="AE156" s="31" t="str">
        <f t="array" ref="AE156">IF($X156="","",INDEX(TARIFF_PROFILES!$K:$K,MATCH($X156,TARIFF_PROFILES!$A:$A,0)))</f>
        <v/>
      </c>
      <c r="AG156" s="8"/>
      <c r="AH156" s="8" t="str">
        <f>IF($AG156="","",SUMIFS(OPERATING_COEFFS!$C:$C,OPERATING_COEFFS!$A:$A,"DistanceClass",OPERATING_COEFFS!$B:$B,$AG156))</f>
        <v/>
      </c>
      <c r="AI156" s="8"/>
      <c r="AJ156" s="8" t="str">
        <f>IF($AI156="","",SUMIFS(OPERATING_COEFFS!$C:$C,OPERATING_COEFFS!$A:$A,"SeasonClass",OPERATING_COEFFS!$B:$B,$AI156))</f>
        <v/>
      </c>
      <c r="AK156" s="8"/>
      <c r="AL156" s="8" t="str">
        <f>IF($AK156="","",SUMIFS(OPERATING_COEFFS!$C:$C,OPERATING_COEFFS!$A:$A,"UrgencyClass",OPERATING_COEFFS!$B:$B,$AK156))</f>
        <v/>
      </c>
      <c r="AM156" s="8"/>
      <c r="AN156" s="8" t="str">
        <f t="array" ref="AN156">IF($AM156="","",INDEX(TAX_MODES!$B:$B,MATCH($AM156,TAX_MODES!$A:$A,0)))</f>
        <v/>
      </c>
    </row>
    <row r="157" ht="14.25" customHeight="1">
      <c r="C157" s="8"/>
      <c r="E157" s="8"/>
      <c r="G157" s="8"/>
      <c r="I157" s="8"/>
      <c r="K157" s="8"/>
      <c r="M157" s="8"/>
      <c r="O157" s="8"/>
      <c r="Q157" s="8"/>
      <c r="S157" s="8"/>
      <c r="V157" s="8"/>
      <c r="X157" s="31"/>
      <c r="Y157" s="31" t="str">
        <f>IF($X157="","",SUMIFS(TARIFF_PROFILES!$D:$D,TARIFF_PROFILES!$A:$A,$X157))</f>
        <v/>
      </c>
      <c r="Z157" s="31" t="str">
        <f>IF($X157="","",SUMIFS(TARIFF_PROFILES!$E:$E,TARIFF_PROFILES!$A:$A,$X157))</f>
        <v/>
      </c>
      <c r="AA157" s="31" t="str">
        <f>IF($X157="","",SUMIFS(TARIFF_PROFILES!$F:$F,TARIFF_PROFILES!$A:$A,$X157))</f>
        <v/>
      </c>
      <c r="AB157" s="31" t="str">
        <f>IF($X157="","",SUMIFS(TARIFF_PROFILES!$G:$G,TARIFF_PROFILES!$A:$A,$X157))</f>
        <v/>
      </c>
      <c r="AC157" s="31" t="str">
        <f>IF($X157="","",SUMIFS(TARIFF_PROFILES!$H:$H,TARIFF_PROFILES!$A:$A,$X157))</f>
        <v/>
      </c>
      <c r="AD157" s="31" t="str">
        <f t="array" ref="AD157">IF($X157="","",INDEX(TARIFF_PROFILES!$J:$J,MATCH($X157,TARIFF_PROFILES!$A:$A,0)))</f>
        <v/>
      </c>
      <c r="AE157" s="31" t="str">
        <f t="array" ref="AE157">IF($X157="","",INDEX(TARIFF_PROFILES!$K:$K,MATCH($X157,TARIFF_PROFILES!$A:$A,0)))</f>
        <v/>
      </c>
      <c r="AG157" s="8"/>
      <c r="AH157" s="8" t="str">
        <f>IF($AG157="","",SUMIFS(OPERATING_COEFFS!$C:$C,OPERATING_COEFFS!$A:$A,"DistanceClass",OPERATING_COEFFS!$B:$B,$AG157))</f>
        <v/>
      </c>
      <c r="AI157" s="8"/>
      <c r="AJ157" s="8" t="str">
        <f>IF($AI157="","",SUMIFS(OPERATING_COEFFS!$C:$C,OPERATING_COEFFS!$A:$A,"SeasonClass",OPERATING_COEFFS!$B:$B,$AI157))</f>
        <v/>
      </c>
      <c r="AK157" s="8"/>
      <c r="AL157" s="8" t="str">
        <f>IF($AK157="","",SUMIFS(OPERATING_COEFFS!$C:$C,OPERATING_COEFFS!$A:$A,"UrgencyClass",OPERATING_COEFFS!$B:$B,$AK157))</f>
        <v/>
      </c>
      <c r="AM157" s="8"/>
      <c r="AN157" s="8" t="str">
        <f t="array" ref="AN157">IF($AM157="","",INDEX(TAX_MODES!$B:$B,MATCH($AM157,TAX_MODES!$A:$A,0)))</f>
        <v/>
      </c>
    </row>
    <row r="158" ht="14.25" customHeight="1">
      <c r="C158" s="8"/>
      <c r="E158" s="8"/>
      <c r="G158" s="8"/>
      <c r="I158" s="8"/>
      <c r="K158" s="8"/>
      <c r="M158" s="8"/>
      <c r="O158" s="8"/>
      <c r="Q158" s="8"/>
      <c r="S158" s="8"/>
      <c r="V158" s="8"/>
      <c r="X158" s="31"/>
      <c r="Y158" s="31" t="str">
        <f>IF($X158="","",SUMIFS(TARIFF_PROFILES!$D:$D,TARIFF_PROFILES!$A:$A,$X158))</f>
        <v/>
      </c>
      <c r="Z158" s="31" t="str">
        <f>IF($X158="","",SUMIFS(TARIFF_PROFILES!$E:$E,TARIFF_PROFILES!$A:$A,$X158))</f>
        <v/>
      </c>
      <c r="AA158" s="31" t="str">
        <f>IF($X158="","",SUMIFS(TARIFF_PROFILES!$F:$F,TARIFF_PROFILES!$A:$A,$X158))</f>
        <v/>
      </c>
      <c r="AB158" s="31" t="str">
        <f>IF($X158="","",SUMIFS(TARIFF_PROFILES!$G:$G,TARIFF_PROFILES!$A:$A,$X158))</f>
        <v/>
      </c>
      <c r="AC158" s="31" t="str">
        <f>IF($X158="","",SUMIFS(TARIFF_PROFILES!$H:$H,TARIFF_PROFILES!$A:$A,$X158))</f>
        <v/>
      </c>
      <c r="AD158" s="31" t="str">
        <f t="array" ref="AD158">IF($X158="","",INDEX(TARIFF_PROFILES!$J:$J,MATCH($X158,TARIFF_PROFILES!$A:$A,0)))</f>
        <v/>
      </c>
      <c r="AE158" s="31" t="str">
        <f t="array" ref="AE158">IF($X158="","",INDEX(TARIFF_PROFILES!$K:$K,MATCH($X158,TARIFF_PROFILES!$A:$A,0)))</f>
        <v/>
      </c>
      <c r="AG158" s="8"/>
      <c r="AH158" s="8" t="str">
        <f>IF($AG158="","",SUMIFS(OPERATING_COEFFS!$C:$C,OPERATING_COEFFS!$A:$A,"DistanceClass",OPERATING_COEFFS!$B:$B,$AG158))</f>
        <v/>
      </c>
      <c r="AI158" s="8"/>
      <c r="AJ158" s="8" t="str">
        <f>IF($AI158="","",SUMIFS(OPERATING_COEFFS!$C:$C,OPERATING_COEFFS!$A:$A,"SeasonClass",OPERATING_COEFFS!$B:$B,$AI158))</f>
        <v/>
      </c>
      <c r="AK158" s="8"/>
      <c r="AL158" s="8" t="str">
        <f>IF($AK158="","",SUMIFS(OPERATING_COEFFS!$C:$C,OPERATING_COEFFS!$A:$A,"UrgencyClass",OPERATING_COEFFS!$B:$B,$AK158))</f>
        <v/>
      </c>
      <c r="AM158" s="8"/>
      <c r="AN158" s="8" t="str">
        <f t="array" ref="AN158">IF($AM158="","",INDEX(TAX_MODES!$B:$B,MATCH($AM158,TAX_MODES!$A:$A,0)))</f>
        <v/>
      </c>
    </row>
    <row r="159" ht="14.25" customHeight="1">
      <c r="C159" s="8"/>
      <c r="E159" s="8"/>
      <c r="G159" s="8"/>
      <c r="I159" s="8"/>
      <c r="K159" s="8"/>
      <c r="M159" s="8"/>
      <c r="O159" s="8"/>
      <c r="Q159" s="8"/>
      <c r="S159" s="8"/>
      <c r="V159" s="8"/>
      <c r="X159" s="31"/>
      <c r="Y159" s="31" t="str">
        <f>IF($X159="","",SUMIFS(TARIFF_PROFILES!$D:$D,TARIFF_PROFILES!$A:$A,$X159))</f>
        <v/>
      </c>
      <c r="Z159" s="31" t="str">
        <f>IF($X159="","",SUMIFS(TARIFF_PROFILES!$E:$E,TARIFF_PROFILES!$A:$A,$X159))</f>
        <v/>
      </c>
      <c r="AA159" s="31" t="str">
        <f>IF($X159="","",SUMIFS(TARIFF_PROFILES!$F:$F,TARIFF_PROFILES!$A:$A,$X159))</f>
        <v/>
      </c>
      <c r="AB159" s="31" t="str">
        <f>IF($X159="","",SUMIFS(TARIFF_PROFILES!$G:$G,TARIFF_PROFILES!$A:$A,$X159))</f>
        <v/>
      </c>
      <c r="AC159" s="31" t="str">
        <f>IF($X159="","",SUMIFS(TARIFF_PROFILES!$H:$H,TARIFF_PROFILES!$A:$A,$X159))</f>
        <v/>
      </c>
      <c r="AD159" s="31" t="str">
        <f t="array" ref="AD159">IF($X159="","",INDEX(TARIFF_PROFILES!$J:$J,MATCH($X159,TARIFF_PROFILES!$A:$A,0)))</f>
        <v/>
      </c>
      <c r="AE159" s="31" t="str">
        <f t="array" ref="AE159">IF($X159="","",INDEX(TARIFF_PROFILES!$K:$K,MATCH($X159,TARIFF_PROFILES!$A:$A,0)))</f>
        <v/>
      </c>
      <c r="AG159" s="8"/>
      <c r="AH159" s="8" t="str">
        <f>IF($AG159="","",SUMIFS(OPERATING_COEFFS!$C:$C,OPERATING_COEFFS!$A:$A,"DistanceClass",OPERATING_COEFFS!$B:$B,$AG159))</f>
        <v/>
      </c>
      <c r="AI159" s="8"/>
      <c r="AJ159" s="8" t="str">
        <f>IF($AI159="","",SUMIFS(OPERATING_COEFFS!$C:$C,OPERATING_COEFFS!$A:$A,"SeasonClass",OPERATING_COEFFS!$B:$B,$AI159))</f>
        <v/>
      </c>
      <c r="AK159" s="8"/>
      <c r="AL159" s="8" t="str">
        <f>IF($AK159="","",SUMIFS(OPERATING_COEFFS!$C:$C,OPERATING_COEFFS!$A:$A,"UrgencyClass",OPERATING_COEFFS!$B:$B,$AK159))</f>
        <v/>
      </c>
      <c r="AM159" s="8"/>
      <c r="AN159" s="8" t="str">
        <f t="array" ref="AN159">IF($AM159="","",INDEX(TAX_MODES!$B:$B,MATCH($AM159,TAX_MODES!$A:$A,0)))</f>
        <v/>
      </c>
    </row>
    <row r="160" ht="14.25" customHeight="1">
      <c r="C160" s="8"/>
      <c r="E160" s="8"/>
      <c r="G160" s="8"/>
      <c r="I160" s="8"/>
      <c r="K160" s="8"/>
      <c r="M160" s="8"/>
      <c r="O160" s="8"/>
      <c r="Q160" s="8"/>
      <c r="S160" s="8"/>
      <c r="V160" s="8"/>
      <c r="X160" s="31"/>
      <c r="Y160" s="31" t="str">
        <f>IF($X160="","",SUMIFS(TARIFF_PROFILES!$D:$D,TARIFF_PROFILES!$A:$A,$X160))</f>
        <v/>
      </c>
      <c r="Z160" s="31" t="str">
        <f>IF($X160="","",SUMIFS(TARIFF_PROFILES!$E:$E,TARIFF_PROFILES!$A:$A,$X160))</f>
        <v/>
      </c>
      <c r="AA160" s="31" t="str">
        <f>IF($X160="","",SUMIFS(TARIFF_PROFILES!$F:$F,TARIFF_PROFILES!$A:$A,$X160))</f>
        <v/>
      </c>
      <c r="AB160" s="31" t="str">
        <f>IF($X160="","",SUMIFS(TARIFF_PROFILES!$G:$G,TARIFF_PROFILES!$A:$A,$X160))</f>
        <v/>
      </c>
      <c r="AC160" s="31" t="str">
        <f>IF($X160="","",SUMIFS(TARIFF_PROFILES!$H:$H,TARIFF_PROFILES!$A:$A,$X160))</f>
        <v/>
      </c>
      <c r="AD160" s="31" t="str">
        <f t="array" ref="AD160">IF($X160="","",INDEX(TARIFF_PROFILES!$J:$J,MATCH($X160,TARIFF_PROFILES!$A:$A,0)))</f>
        <v/>
      </c>
      <c r="AE160" s="31" t="str">
        <f t="array" ref="AE160">IF($X160="","",INDEX(TARIFF_PROFILES!$K:$K,MATCH($X160,TARIFF_PROFILES!$A:$A,0)))</f>
        <v/>
      </c>
      <c r="AG160" s="8"/>
      <c r="AH160" s="8" t="str">
        <f>IF($AG160="","",SUMIFS(OPERATING_COEFFS!$C:$C,OPERATING_COEFFS!$A:$A,"DistanceClass",OPERATING_COEFFS!$B:$B,$AG160))</f>
        <v/>
      </c>
      <c r="AI160" s="8"/>
      <c r="AJ160" s="8" t="str">
        <f>IF($AI160="","",SUMIFS(OPERATING_COEFFS!$C:$C,OPERATING_COEFFS!$A:$A,"SeasonClass",OPERATING_COEFFS!$B:$B,$AI160))</f>
        <v/>
      </c>
      <c r="AK160" s="8"/>
      <c r="AL160" s="8" t="str">
        <f>IF($AK160="","",SUMIFS(OPERATING_COEFFS!$C:$C,OPERATING_COEFFS!$A:$A,"UrgencyClass",OPERATING_COEFFS!$B:$B,$AK160))</f>
        <v/>
      </c>
      <c r="AM160" s="8"/>
      <c r="AN160" s="8" t="str">
        <f t="array" ref="AN160">IF($AM160="","",INDEX(TAX_MODES!$B:$B,MATCH($AM160,TAX_MODES!$A:$A,0)))</f>
        <v/>
      </c>
    </row>
    <row r="161" ht="14.25" customHeight="1">
      <c r="C161" s="8"/>
      <c r="E161" s="8"/>
      <c r="G161" s="8"/>
      <c r="I161" s="8"/>
      <c r="K161" s="8"/>
      <c r="M161" s="8"/>
      <c r="O161" s="8"/>
      <c r="Q161" s="8"/>
      <c r="S161" s="8"/>
      <c r="V161" s="8"/>
      <c r="X161" s="31"/>
      <c r="Y161" s="31" t="str">
        <f>IF($X161="","",SUMIFS(TARIFF_PROFILES!$D:$D,TARIFF_PROFILES!$A:$A,$X161))</f>
        <v/>
      </c>
      <c r="Z161" s="31" t="str">
        <f>IF($X161="","",SUMIFS(TARIFF_PROFILES!$E:$E,TARIFF_PROFILES!$A:$A,$X161))</f>
        <v/>
      </c>
      <c r="AA161" s="31" t="str">
        <f>IF($X161="","",SUMIFS(TARIFF_PROFILES!$F:$F,TARIFF_PROFILES!$A:$A,$X161))</f>
        <v/>
      </c>
      <c r="AB161" s="31" t="str">
        <f>IF($X161="","",SUMIFS(TARIFF_PROFILES!$G:$G,TARIFF_PROFILES!$A:$A,$X161))</f>
        <v/>
      </c>
      <c r="AC161" s="31" t="str">
        <f>IF($X161="","",SUMIFS(TARIFF_PROFILES!$H:$H,TARIFF_PROFILES!$A:$A,$X161))</f>
        <v/>
      </c>
      <c r="AD161" s="31" t="str">
        <f t="array" ref="AD161">IF($X161="","",INDEX(TARIFF_PROFILES!$J:$J,MATCH($X161,TARIFF_PROFILES!$A:$A,0)))</f>
        <v/>
      </c>
      <c r="AE161" s="31" t="str">
        <f t="array" ref="AE161">IF($X161="","",INDEX(TARIFF_PROFILES!$K:$K,MATCH($X161,TARIFF_PROFILES!$A:$A,0)))</f>
        <v/>
      </c>
      <c r="AG161" s="8"/>
      <c r="AH161" s="8" t="str">
        <f>IF($AG161="","",SUMIFS(OPERATING_COEFFS!$C:$C,OPERATING_COEFFS!$A:$A,"DistanceClass",OPERATING_COEFFS!$B:$B,$AG161))</f>
        <v/>
      </c>
      <c r="AI161" s="8"/>
      <c r="AJ161" s="8" t="str">
        <f>IF($AI161="","",SUMIFS(OPERATING_COEFFS!$C:$C,OPERATING_COEFFS!$A:$A,"SeasonClass",OPERATING_COEFFS!$B:$B,$AI161))</f>
        <v/>
      </c>
      <c r="AK161" s="8"/>
      <c r="AL161" s="8" t="str">
        <f>IF($AK161="","",SUMIFS(OPERATING_COEFFS!$C:$C,OPERATING_COEFFS!$A:$A,"UrgencyClass",OPERATING_COEFFS!$B:$B,$AK161))</f>
        <v/>
      </c>
      <c r="AM161" s="8"/>
      <c r="AN161" s="8" t="str">
        <f t="array" ref="AN161">IF($AM161="","",INDEX(TAX_MODES!$B:$B,MATCH($AM161,TAX_MODES!$A:$A,0)))</f>
        <v/>
      </c>
    </row>
    <row r="162" ht="14.25" customHeight="1">
      <c r="C162" s="8"/>
      <c r="E162" s="8"/>
      <c r="G162" s="8"/>
      <c r="I162" s="8"/>
      <c r="K162" s="8"/>
      <c r="M162" s="8"/>
      <c r="O162" s="8"/>
      <c r="Q162" s="8"/>
      <c r="S162" s="8"/>
      <c r="V162" s="8"/>
      <c r="X162" s="31"/>
      <c r="Y162" s="31" t="str">
        <f>IF($X162="","",SUMIFS(TARIFF_PROFILES!$D:$D,TARIFF_PROFILES!$A:$A,$X162))</f>
        <v/>
      </c>
      <c r="Z162" s="31" t="str">
        <f>IF($X162="","",SUMIFS(TARIFF_PROFILES!$E:$E,TARIFF_PROFILES!$A:$A,$X162))</f>
        <v/>
      </c>
      <c r="AA162" s="31" t="str">
        <f>IF($X162="","",SUMIFS(TARIFF_PROFILES!$F:$F,TARIFF_PROFILES!$A:$A,$X162))</f>
        <v/>
      </c>
      <c r="AB162" s="31" t="str">
        <f>IF($X162="","",SUMIFS(TARIFF_PROFILES!$G:$G,TARIFF_PROFILES!$A:$A,$X162))</f>
        <v/>
      </c>
      <c r="AC162" s="31" t="str">
        <f>IF($X162="","",SUMIFS(TARIFF_PROFILES!$H:$H,TARIFF_PROFILES!$A:$A,$X162))</f>
        <v/>
      </c>
      <c r="AD162" s="31" t="str">
        <f t="array" ref="AD162">IF($X162="","",INDEX(TARIFF_PROFILES!$J:$J,MATCH($X162,TARIFF_PROFILES!$A:$A,0)))</f>
        <v/>
      </c>
      <c r="AE162" s="31" t="str">
        <f t="array" ref="AE162">IF($X162="","",INDEX(TARIFF_PROFILES!$K:$K,MATCH($X162,TARIFF_PROFILES!$A:$A,0)))</f>
        <v/>
      </c>
      <c r="AG162" s="8"/>
      <c r="AH162" s="8" t="str">
        <f>IF($AG162="","",SUMIFS(OPERATING_COEFFS!$C:$C,OPERATING_COEFFS!$A:$A,"DistanceClass",OPERATING_COEFFS!$B:$B,$AG162))</f>
        <v/>
      </c>
      <c r="AI162" s="8"/>
      <c r="AJ162" s="8" t="str">
        <f>IF($AI162="","",SUMIFS(OPERATING_COEFFS!$C:$C,OPERATING_COEFFS!$A:$A,"SeasonClass",OPERATING_COEFFS!$B:$B,$AI162))</f>
        <v/>
      </c>
      <c r="AK162" s="8"/>
      <c r="AL162" s="8" t="str">
        <f>IF($AK162="","",SUMIFS(OPERATING_COEFFS!$C:$C,OPERATING_COEFFS!$A:$A,"UrgencyClass",OPERATING_COEFFS!$B:$B,$AK162))</f>
        <v/>
      </c>
      <c r="AM162" s="8"/>
      <c r="AN162" s="8" t="str">
        <f t="array" ref="AN162">IF($AM162="","",INDEX(TAX_MODES!$B:$B,MATCH($AM162,TAX_MODES!$A:$A,0)))</f>
        <v/>
      </c>
    </row>
    <row r="163" ht="14.25" customHeight="1">
      <c r="C163" s="8"/>
      <c r="E163" s="8"/>
      <c r="G163" s="8"/>
      <c r="I163" s="8"/>
      <c r="K163" s="8"/>
      <c r="M163" s="8"/>
      <c r="O163" s="8"/>
      <c r="Q163" s="8"/>
      <c r="S163" s="8"/>
      <c r="V163" s="8"/>
      <c r="X163" s="31"/>
      <c r="Y163" s="31" t="str">
        <f>IF($X163="","",SUMIFS(TARIFF_PROFILES!$D:$D,TARIFF_PROFILES!$A:$A,$X163))</f>
        <v/>
      </c>
      <c r="Z163" s="31" t="str">
        <f>IF($X163="","",SUMIFS(TARIFF_PROFILES!$E:$E,TARIFF_PROFILES!$A:$A,$X163))</f>
        <v/>
      </c>
      <c r="AA163" s="31" t="str">
        <f>IF($X163="","",SUMIFS(TARIFF_PROFILES!$F:$F,TARIFF_PROFILES!$A:$A,$X163))</f>
        <v/>
      </c>
      <c r="AB163" s="31" t="str">
        <f>IF($X163="","",SUMIFS(TARIFF_PROFILES!$G:$G,TARIFF_PROFILES!$A:$A,$X163))</f>
        <v/>
      </c>
      <c r="AC163" s="31" t="str">
        <f>IF($X163="","",SUMIFS(TARIFF_PROFILES!$H:$H,TARIFF_PROFILES!$A:$A,$X163))</f>
        <v/>
      </c>
      <c r="AD163" s="31" t="str">
        <f t="array" ref="AD163">IF($X163="","",INDEX(TARIFF_PROFILES!$J:$J,MATCH($X163,TARIFF_PROFILES!$A:$A,0)))</f>
        <v/>
      </c>
      <c r="AE163" s="31" t="str">
        <f t="array" ref="AE163">IF($X163="","",INDEX(TARIFF_PROFILES!$K:$K,MATCH($X163,TARIFF_PROFILES!$A:$A,0)))</f>
        <v/>
      </c>
      <c r="AG163" s="8"/>
      <c r="AH163" s="8" t="str">
        <f>IF($AG163="","",SUMIFS(OPERATING_COEFFS!$C:$C,OPERATING_COEFFS!$A:$A,"DistanceClass",OPERATING_COEFFS!$B:$B,$AG163))</f>
        <v/>
      </c>
      <c r="AI163" s="8"/>
      <c r="AJ163" s="8" t="str">
        <f>IF($AI163="","",SUMIFS(OPERATING_COEFFS!$C:$C,OPERATING_COEFFS!$A:$A,"SeasonClass",OPERATING_COEFFS!$B:$B,$AI163))</f>
        <v/>
      </c>
      <c r="AK163" s="8"/>
      <c r="AL163" s="8" t="str">
        <f>IF($AK163="","",SUMIFS(OPERATING_COEFFS!$C:$C,OPERATING_COEFFS!$A:$A,"UrgencyClass",OPERATING_COEFFS!$B:$B,$AK163))</f>
        <v/>
      </c>
      <c r="AM163" s="8"/>
      <c r="AN163" s="8" t="str">
        <f t="array" ref="AN163">IF($AM163="","",INDEX(TAX_MODES!$B:$B,MATCH($AM163,TAX_MODES!$A:$A,0)))</f>
        <v/>
      </c>
    </row>
    <row r="164" ht="14.25" customHeight="1">
      <c r="C164" s="8"/>
      <c r="E164" s="8"/>
      <c r="G164" s="8"/>
      <c r="I164" s="8"/>
      <c r="K164" s="8"/>
      <c r="M164" s="8"/>
      <c r="O164" s="8"/>
      <c r="Q164" s="8"/>
      <c r="S164" s="8"/>
      <c r="V164" s="8"/>
      <c r="X164" s="31"/>
      <c r="Y164" s="31" t="str">
        <f>IF($X164="","",SUMIFS(TARIFF_PROFILES!$D:$D,TARIFF_PROFILES!$A:$A,$X164))</f>
        <v/>
      </c>
      <c r="Z164" s="31" t="str">
        <f>IF($X164="","",SUMIFS(TARIFF_PROFILES!$E:$E,TARIFF_PROFILES!$A:$A,$X164))</f>
        <v/>
      </c>
      <c r="AA164" s="31" t="str">
        <f>IF($X164="","",SUMIFS(TARIFF_PROFILES!$F:$F,TARIFF_PROFILES!$A:$A,$X164))</f>
        <v/>
      </c>
      <c r="AB164" s="31" t="str">
        <f>IF($X164="","",SUMIFS(TARIFF_PROFILES!$G:$G,TARIFF_PROFILES!$A:$A,$X164))</f>
        <v/>
      </c>
      <c r="AC164" s="31" t="str">
        <f>IF($X164="","",SUMIFS(TARIFF_PROFILES!$H:$H,TARIFF_PROFILES!$A:$A,$X164))</f>
        <v/>
      </c>
      <c r="AD164" s="31" t="str">
        <f t="array" ref="AD164">IF($X164="","",INDEX(TARIFF_PROFILES!$J:$J,MATCH($X164,TARIFF_PROFILES!$A:$A,0)))</f>
        <v/>
      </c>
      <c r="AE164" s="31" t="str">
        <f t="array" ref="AE164">IF($X164="","",INDEX(TARIFF_PROFILES!$K:$K,MATCH($X164,TARIFF_PROFILES!$A:$A,0)))</f>
        <v/>
      </c>
      <c r="AG164" s="8"/>
      <c r="AH164" s="8" t="str">
        <f>IF($AG164="","",SUMIFS(OPERATING_COEFFS!$C:$C,OPERATING_COEFFS!$A:$A,"DistanceClass",OPERATING_COEFFS!$B:$B,$AG164))</f>
        <v/>
      </c>
      <c r="AI164" s="8"/>
      <c r="AJ164" s="8" t="str">
        <f>IF($AI164="","",SUMIFS(OPERATING_COEFFS!$C:$C,OPERATING_COEFFS!$A:$A,"SeasonClass",OPERATING_COEFFS!$B:$B,$AI164))</f>
        <v/>
      </c>
      <c r="AK164" s="8"/>
      <c r="AL164" s="8" t="str">
        <f>IF($AK164="","",SUMIFS(OPERATING_COEFFS!$C:$C,OPERATING_COEFFS!$A:$A,"UrgencyClass",OPERATING_COEFFS!$B:$B,$AK164))</f>
        <v/>
      </c>
      <c r="AM164" s="8"/>
      <c r="AN164" s="8" t="str">
        <f t="array" ref="AN164">IF($AM164="","",INDEX(TAX_MODES!$B:$B,MATCH($AM164,TAX_MODES!$A:$A,0)))</f>
        <v/>
      </c>
    </row>
    <row r="165" ht="14.25" customHeight="1">
      <c r="C165" s="8"/>
      <c r="E165" s="8"/>
      <c r="G165" s="8"/>
      <c r="I165" s="8"/>
      <c r="K165" s="8"/>
      <c r="M165" s="8"/>
      <c r="O165" s="8"/>
      <c r="Q165" s="8"/>
      <c r="S165" s="8"/>
      <c r="V165" s="8"/>
      <c r="X165" s="31"/>
      <c r="Y165" s="31" t="str">
        <f>IF($X165="","",SUMIFS(TARIFF_PROFILES!$D:$D,TARIFF_PROFILES!$A:$A,$X165))</f>
        <v/>
      </c>
      <c r="Z165" s="31" t="str">
        <f>IF($X165="","",SUMIFS(TARIFF_PROFILES!$E:$E,TARIFF_PROFILES!$A:$A,$X165))</f>
        <v/>
      </c>
      <c r="AA165" s="31" t="str">
        <f>IF($X165="","",SUMIFS(TARIFF_PROFILES!$F:$F,TARIFF_PROFILES!$A:$A,$X165))</f>
        <v/>
      </c>
      <c r="AB165" s="31" t="str">
        <f>IF($X165="","",SUMIFS(TARIFF_PROFILES!$G:$G,TARIFF_PROFILES!$A:$A,$X165))</f>
        <v/>
      </c>
      <c r="AC165" s="31" t="str">
        <f>IF($X165="","",SUMIFS(TARIFF_PROFILES!$H:$H,TARIFF_PROFILES!$A:$A,$X165))</f>
        <v/>
      </c>
      <c r="AD165" s="31" t="str">
        <f t="array" ref="AD165">IF($X165="","",INDEX(TARIFF_PROFILES!$J:$J,MATCH($X165,TARIFF_PROFILES!$A:$A,0)))</f>
        <v/>
      </c>
      <c r="AE165" s="31" t="str">
        <f t="array" ref="AE165">IF($X165="","",INDEX(TARIFF_PROFILES!$K:$K,MATCH($X165,TARIFF_PROFILES!$A:$A,0)))</f>
        <v/>
      </c>
      <c r="AG165" s="8"/>
      <c r="AH165" s="8" t="str">
        <f>IF($AG165="","",SUMIFS(OPERATING_COEFFS!$C:$C,OPERATING_COEFFS!$A:$A,"DistanceClass",OPERATING_COEFFS!$B:$B,$AG165))</f>
        <v/>
      </c>
      <c r="AI165" s="8"/>
      <c r="AJ165" s="8" t="str">
        <f>IF($AI165="","",SUMIFS(OPERATING_COEFFS!$C:$C,OPERATING_COEFFS!$A:$A,"SeasonClass",OPERATING_COEFFS!$B:$B,$AI165))</f>
        <v/>
      </c>
      <c r="AK165" s="8"/>
      <c r="AL165" s="8" t="str">
        <f>IF($AK165="","",SUMIFS(OPERATING_COEFFS!$C:$C,OPERATING_COEFFS!$A:$A,"UrgencyClass",OPERATING_COEFFS!$B:$B,$AK165))</f>
        <v/>
      </c>
      <c r="AM165" s="8"/>
      <c r="AN165" s="8" t="str">
        <f t="array" ref="AN165">IF($AM165="","",INDEX(TAX_MODES!$B:$B,MATCH($AM165,TAX_MODES!$A:$A,0)))</f>
        <v/>
      </c>
    </row>
    <row r="166" ht="14.25" customHeight="1">
      <c r="C166" s="8"/>
      <c r="E166" s="8"/>
      <c r="G166" s="8"/>
      <c r="I166" s="8"/>
      <c r="K166" s="8"/>
      <c r="M166" s="8"/>
      <c r="O166" s="8"/>
      <c r="Q166" s="8"/>
      <c r="S166" s="8"/>
      <c r="V166" s="8"/>
      <c r="X166" s="31"/>
      <c r="Y166" s="31" t="str">
        <f>IF($X166="","",SUMIFS(TARIFF_PROFILES!$D:$D,TARIFF_PROFILES!$A:$A,$X166))</f>
        <v/>
      </c>
      <c r="Z166" s="31" t="str">
        <f>IF($X166="","",SUMIFS(TARIFF_PROFILES!$E:$E,TARIFF_PROFILES!$A:$A,$X166))</f>
        <v/>
      </c>
      <c r="AA166" s="31" t="str">
        <f>IF($X166="","",SUMIFS(TARIFF_PROFILES!$F:$F,TARIFF_PROFILES!$A:$A,$X166))</f>
        <v/>
      </c>
      <c r="AB166" s="31" t="str">
        <f>IF($X166="","",SUMIFS(TARIFF_PROFILES!$G:$G,TARIFF_PROFILES!$A:$A,$X166))</f>
        <v/>
      </c>
      <c r="AC166" s="31" t="str">
        <f>IF($X166="","",SUMIFS(TARIFF_PROFILES!$H:$H,TARIFF_PROFILES!$A:$A,$X166))</f>
        <v/>
      </c>
      <c r="AD166" s="31" t="str">
        <f t="array" ref="AD166">IF($X166="","",INDEX(TARIFF_PROFILES!$J:$J,MATCH($X166,TARIFF_PROFILES!$A:$A,0)))</f>
        <v/>
      </c>
      <c r="AE166" s="31" t="str">
        <f t="array" ref="AE166">IF($X166="","",INDEX(TARIFF_PROFILES!$K:$K,MATCH($X166,TARIFF_PROFILES!$A:$A,0)))</f>
        <v/>
      </c>
      <c r="AG166" s="8"/>
      <c r="AH166" s="8" t="str">
        <f>IF($AG166="","",SUMIFS(OPERATING_COEFFS!$C:$C,OPERATING_COEFFS!$A:$A,"DistanceClass",OPERATING_COEFFS!$B:$B,$AG166))</f>
        <v/>
      </c>
      <c r="AI166" s="8"/>
      <c r="AJ166" s="8" t="str">
        <f>IF($AI166="","",SUMIFS(OPERATING_COEFFS!$C:$C,OPERATING_COEFFS!$A:$A,"SeasonClass",OPERATING_COEFFS!$B:$B,$AI166))</f>
        <v/>
      </c>
      <c r="AK166" s="8"/>
      <c r="AL166" s="8" t="str">
        <f>IF($AK166="","",SUMIFS(OPERATING_COEFFS!$C:$C,OPERATING_COEFFS!$A:$A,"UrgencyClass",OPERATING_COEFFS!$B:$B,$AK166))</f>
        <v/>
      </c>
      <c r="AM166" s="8"/>
      <c r="AN166" s="8" t="str">
        <f t="array" ref="AN166">IF($AM166="","",INDEX(TAX_MODES!$B:$B,MATCH($AM166,TAX_MODES!$A:$A,0)))</f>
        <v/>
      </c>
    </row>
    <row r="167" ht="14.25" customHeight="1">
      <c r="C167" s="8"/>
      <c r="E167" s="8"/>
      <c r="G167" s="8"/>
      <c r="I167" s="8"/>
      <c r="K167" s="8"/>
      <c r="M167" s="8"/>
      <c r="O167" s="8"/>
      <c r="Q167" s="8"/>
      <c r="S167" s="8"/>
      <c r="V167" s="8"/>
      <c r="X167" s="31"/>
      <c r="Y167" s="31" t="str">
        <f>IF($X167="","",SUMIFS(TARIFF_PROFILES!$D:$D,TARIFF_PROFILES!$A:$A,$X167))</f>
        <v/>
      </c>
      <c r="Z167" s="31" t="str">
        <f>IF($X167="","",SUMIFS(TARIFF_PROFILES!$E:$E,TARIFF_PROFILES!$A:$A,$X167))</f>
        <v/>
      </c>
      <c r="AA167" s="31" t="str">
        <f>IF($X167="","",SUMIFS(TARIFF_PROFILES!$F:$F,TARIFF_PROFILES!$A:$A,$X167))</f>
        <v/>
      </c>
      <c r="AB167" s="31" t="str">
        <f>IF($X167="","",SUMIFS(TARIFF_PROFILES!$G:$G,TARIFF_PROFILES!$A:$A,$X167))</f>
        <v/>
      </c>
      <c r="AC167" s="31" t="str">
        <f>IF($X167="","",SUMIFS(TARIFF_PROFILES!$H:$H,TARIFF_PROFILES!$A:$A,$X167))</f>
        <v/>
      </c>
      <c r="AD167" s="31" t="str">
        <f t="array" ref="AD167">IF($X167="","",INDEX(TARIFF_PROFILES!$J:$J,MATCH($X167,TARIFF_PROFILES!$A:$A,0)))</f>
        <v/>
      </c>
      <c r="AE167" s="31" t="str">
        <f t="array" ref="AE167">IF($X167="","",INDEX(TARIFF_PROFILES!$K:$K,MATCH($X167,TARIFF_PROFILES!$A:$A,0)))</f>
        <v/>
      </c>
      <c r="AG167" s="8"/>
      <c r="AH167" s="8" t="str">
        <f>IF($AG167="","",SUMIFS(OPERATING_COEFFS!$C:$C,OPERATING_COEFFS!$A:$A,"DistanceClass",OPERATING_COEFFS!$B:$B,$AG167))</f>
        <v/>
      </c>
      <c r="AI167" s="8"/>
      <c r="AJ167" s="8" t="str">
        <f>IF($AI167="","",SUMIFS(OPERATING_COEFFS!$C:$C,OPERATING_COEFFS!$A:$A,"SeasonClass",OPERATING_COEFFS!$B:$B,$AI167))</f>
        <v/>
      </c>
      <c r="AK167" s="8"/>
      <c r="AL167" s="8" t="str">
        <f>IF($AK167="","",SUMIFS(OPERATING_COEFFS!$C:$C,OPERATING_COEFFS!$A:$A,"UrgencyClass",OPERATING_COEFFS!$B:$B,$AK167))</f>
        <v/>
      </c>
      <c r="AM167" s="8"/>
      <c r="AN167" s="8" t="str">
        <f t="array" ref="AN167">IF($AM167="","",INDEX(TAX_MODES!$B:$B,MATCH($AM167,TAX_MODES!$A:$A,0)))</f>
        <v/>
      </c>
    </row>
    <row r="168" ht="14.25" customHeight="1">
      <c r="C168" s="8"/>
      <c r="E168" s="8"/>
      <c r="G168" s="8"/>
      <c r="I168" s="8"/>
      <c r="K168" s="8"/>
      <c r="M168" s="8"/>
      <c r="O168" s="8"/>
      <c r="Q168" s="8"/>
      <c r="S168" s="8"/>
      <c r="V168" s="8"/>
      <c r="X168" s="31"/>
      <c r="Y168" s="31" t="str">
        <f>IF($X168="","",SUMIFS(TARIFF_PROFILES!$D:$D,TARIFF_PROFILES!$A:$A,$X168))</f>
        <v/>
      </c>
      <c r="Z168" s="31" t="str">
        <f>IF($X168="","",SUMIFS(TARIFF_PROFILES!$E:$E,TARIFF_PROFILES!$A:$A,$X168))</f>
        <v/>
      </c>
      <c r="AA168" s="31" t="str">
        <f>IF($X168="","",SUMIFS(TARIFF_PROFILES!$F:$F,TARIFF_PROFILES!$A:$A,$X168))</f>
        <v/>
      </c>
      <c r="AB168" s="31" t="str">
        <f>IF($X168="","",SUMIFS(TARIFF_PROFILES!$G:$G,TARIFF_PROFILES!$A:$A,$X168))</f>
        <v/>
      </c>
      <c r="AC168" s="31" t="str">
        <f>IF($X168="","",SUMIFS(TARIFF_PROFILES!$H:$H,TARIFF_PROFILES!$A:$A,$X168))</f>
        <v/>
      </c>
      <c r="AD168" s="31" t="str">
        <f t="array" ref="AD168">IF($X168="","",INDEX(TARIFF_PROFILES!$J:$J,MATCH($X168,TARIFF_PROFILES!$A:$A,0)))</f>
        <v/>
      </c>
      <c r="AE168" s="31" t="str">
        <f t="array" ref="AE168">IF($X168="","",INDEX(TARIFF_PROFILES!$K:$K,MATCH($X168,TARIFF_PROFILES!$A:$A,0)))</f>
        <v/>
      </c>
      <c r="AG168" s="8"/>
      <c r="AH168" s="8" t="str">
        <f>IF($AG168="","",SUMIFS(OPERATING_COEFFS!$C:$C,OPERATING_COEFFS!$A:$A,"DistanceClass",OPERATING_COEFFS!$B:$B,$AG168))</f>
        <v/>
      </c>
      <c r="AI168" s="8"/>
      <c r="AJ168" s="8" t="str">
        <f>IF($AI168="","",SUMIFS(OPERATING_COEFFS!$C:$C,OPERATING_COEFFS!$A:$A,"SeasonClass",OPERATING_COEFFS!$B:$B,$AI168))</f>
        <v/>
      </c>
      <c r="AK168" s="8"/>
      <c r="AL168" s="8" t="str">
        <f>IF($AK168="","",SUMIFS(OPERATING_COEFFS!$C:$C,OPERATING_COEFFS!$A:$A,"UrgencyClass",OPERATING_COEFFS!$B:$B,$AK168))</f>
        <v/>
      </c>
      <c r="AM168" s="8"/>
      <c r="AN168" s="8" t="str">
        <f t="array" ref="AN168">IF($AM168="","",INDEX(TAX_MODES!$B:$B,MATCH($AM168,TAX_MODES!$A:$A,0)))</f>
        <v/>
      </c>
    </row>
    <row r="169" ht="14.25" customHeight="1">
      <c r="C169" s="8"/>
      <c r="E169" s="8"/>
      <c r="G169" s="8"/>
      <c r="I169" s="8"/>
      <c r="K169" s="8"/>
      <c r="M169" s="8"/>
      <c r="O169" s="8"/>
      <c r="Q169" s="8"/>
      <c r="S169" s="8"/>
      <c r="V169" s="8"/>
      <c r="X169" s="31"/>
      <c r="Y169" s="31" t="str">
        <f>IF($X169="","",SUMIFS(TARIFF_PROFILES!$D:$D,TARIFF_PROFILES!$A:$A,$X169))</f>
        <v/>
      </c>
      <c r="Z169" s="31" t="str">
        <f>IF($X169="","",SUMIFS(TARIFF_PROFILES!$E:$E,TARIFF_PROFILES!$A:$A,$X169))</f>
        <v/>
      </c>
      <c r="AA169" s="31" t="str">
        <f>IF($X169="","",SUMIFS(TARIFF_PROFILES!$F:$F,TARIFF_PROFILES!$A:$A,$X169))</f>
        <v/>
      </c>
      <c r="AB169" s="31" t="str">
        <f>IF($X169="","",SUMIFS(TARIFF_PROFILES!$G:$G,TARIFF_PROFILES!$A:$A,$X169))</f>
        <v/>
      </c>
      <c r="AC169" s="31" t="str">
        <f>IF($X169="","",SUMIFS(TARIFF_PROFILES!$H:$H,TARIFF_PROFILES!$A:$A,$X169))</f>
        <v/>
      </c>
      <c r="AD169" s="31" t="str">
        <f t="array" ref="AD169">IF($X169="","",INDEX(TARIFF_PROFILES!$J:$J,MATCH($X169,TARIFF_PROFILES!$A:$A,0)))</f>
        <v/>
      </c>
      <c r="AE169" s="31" t="str">
        <f t="array" ref="AE169">IF($X169="","",INDEX(TARIFF_PROFILES!$K:$K,MATCH($X169,TARIFF_PROFILES!$A:$A,0)))</f>
        <v/>
      </c>
      <c r="AG169" s="8"/>
      <c r="AH169" s="8" t="str">
        <f>IF($AG169="","",SUMIFS(OPERATING_COEFFS!$C:$C,OPERATING_COEFFS!$A:$A,"DistanceClass",OPERATING_COEFFS!$B:$B,$AG169))</f>
        <v/>
      </c>
      <c r="AI169" s="8"/>
      <c r="AJ169" s="8" t="str">
        <f>IF($AI169="","",SUMIFS(OPERATING_COEFFS!$C:$C,OPERATING_COEFFS!$A:$A,"SeasonClass",OPERATING_COEFFS!$B:$B,$AI169))</f>
        <v/>
      </c>
      <c r="AK169" s="8"/>
      <c r="AL169" s="8" t="str">
        <f>IF($AK169="","",SUMIFS(OPERATING_COEFFS!$C:$C,OPERATING_COEFFS!$A:$A,"UrgencyClass",OPERATING_COEFFS!$B:$B,$AK169))</f>
        <v/>
      </c>
      <c r="AM169" s="8"/>
      <c r="AN169" s="8" t="str">
        <f t="array" ref="AN169">IF($AM169="","",INDEX(TAX_MODES!$B:$B,MATCH($AM169,TAX_MODES!$A:$A,0)))</f>
        <v/>
      </c>
    </row>
    <row r="170" ht="14.25" customHeight="1">
      <c r="C170" s="8"/>
      <c r="E170" s="8"/>
      <c r="G170" s="8"/>
      <c r="I170" s="8"/>
      <c r="K170" s="8"/>
      <c r="M170" s="8"/>
      <c r="O170" s="8"/>
      <c r="Q170" s="8"/>
      <c r="S170" s="8"/>
      <c r="V170" s="8"/>
      <c r="X170" s="31"/>
      <c r="Y170" s="31" t="str">
        <f>IF($X170="","",SUMIFS(TARIFF_PROFILES!$D:$D,TARIFF_PROFILES!$A:$A,$X170))</f>
        <v/>
      </c>
      <c r="Z170" s="31" t="str">
        <f>IF($X170="","",SUMIFS(TARIFF_PROFILES!$E:$E,TARIFF_PROFILES!$A:$A,$X170))</f>
        <v/>
      </c>
      <c r="AA170" s="31" t="str">
        <f>IF($X170="","",SUMIFS(TARIFF_PROFILES!$F:$F,TARIFF_PROFILES!$A:$A,$X170))</f>
        <v/>
      </c>
      <c r="AB170" s="31" t="str">
        <f>IF($X170="","",SUMIFS(TARIFF_PROFILES!$G:$G,TARIFF_PROFILES!$A:$A,$X170))</f>
        <v/>
      </c>
      <c r="AC170" s="31" t="str">
        <f>IF($X170="","",SUMIFS(TARIFF_PROFILES!$H:$H,TARIFF_PROFILES!$A:$A,$X170))</f>
        <v/>
      </c>
      <c r="AD170" s="31" t="str">
        <f t="array" ref="AD170">IF($X170="","",INDEX(TARIFF_PROFILES!$J:$J,MATCH($X170,TARIFF_PROFILES!$A:$A,0)))</f>
        <v/>
      </c>
      <c r="AE170" s="31" t="str">
        <f t="array" ref="AE170">IF($X170="","",INDEX(TARIFF_PROFILES!$K:$K,MATCH($X170,TARIFF_PROFILES!$A:$A,0)))</f>
        <v/>
      </c>
      <c r="AG170" s="8"/>
      <c r="AH170" s="8" t="str">
        <f>IF($AG170="","",SUMIFS(OPERATING_COEFFS!$C:$C,OPERATING_COEFFS!$A:$A,"DistanceClass",OPERATING_COEFFS!$B:$B,$AG170))</f>
        <v/>
      </c>
      <c r="AI170" s="8"/>
      <c r="AJ170" s="8" t="str">
        <f>IF($AI170="","",SUMIFS(OPERATING_COEFFS!$C:$C,OPERATING_COEFFS!$A:$A,"SeasonClass",OPERATING_COEFFS!$B:$B,$AI170))</f>
        <v/>
      </c>
      <c r="AK170" s="8"/>
      <c r="AL170" s="8" t="str">
        <f>IF($AK170="","",SUMIFS(OPERATING_COEFFS!$C:$C,OPERATING_COEFFS!$A:$A,"UrgencyClass",OPERATING_COEFFS!$B:$B,$AK170))</f>
        <v/>
      </c>
      <c r="AM170" s="8"/>
      <c r="AN170" s="8" t="str">
        <f t="array" ref="AN170">IF($AM170="","",INDEX(TAX_MODES!$B:$B,MATCH($AM170,TAX_MODES!$A:$A,0)))</f>
        <v/>
      </c>
    </row>
    <row r="171" ht="14.25" customHeight="1">
      <c r="C171" s="8"/>
      <c r="E171" s="8"/>
      <c r="G171" s="8"/>
      <c r="I171" s="8"/>
      <c r="K171" s="8"/>
      <c r="M171" s="8"/>
      <c r="O171" s="8"/>
      <c r="Q171" s="8"/>
      <c r="S171" s="8"/>
      <c r="V171" s="8"/>
      <c r="X171" s="31"/>
      <c r="Y171" s="31" t="str">
        <f>IF($X171="","",SUMIFS(TARIFF_PROFILES!$D:$D,TARIFF_PROFILES!$A:$A,$X171))</f>
        <v/>
      </c>
      <c r="Z171" s="31" t="str">
        <f>IF($X171="","",SUMIFS(TARIFF_PROFILES!$E:$E,TARIFF_PROFILES!$A:$A,$X171))</f>
        <v/>
      </c>
      <c r="AA171" s="31" t="str">
        <f>IF($X171="","",SUMIFS(TARIFF_PROFILES!$F:$F,TARIFF_PROFILES!$A:$A,$X171))</f>
        <v/>
      </c>
      <c r="AB171" s="31" t="str">
        <f>IF($X171="","",SUMIFS(TARIFF_PROFILES!$G:$G,TARIFF_PROFILES!$A:$A,$X171))</f>
        <v/>
      </c>
      <c r="AC171" s="31" t="str">
        <f>IF($X171="","",SUMIFS(TARIFF_PROFILES!$H:$H,TARIFF_PROFILES!$A:$A,$X171))</f>
        <v/>
      </c>
      <c r="AD171" s="31" t="str">
        <f t="array" ref="AD171">IF($X171="","",INDEX(TARIFF_PROFILES!$J:$J,MATCH($X171,TARIFF_PROFILES!$A:$A,0)))</f>
        <v/>
      </c>
      <c r="AE171" s="31" t="str">
        <f t="array" ref="AE171">IF($X171="","",INDEX(TARIFF_PROFILES!$K:$K,MATCH($X171,TARIFF_PROFILES!$A:$A,0)))</f>
        <v/>
      </c>
      <c r="AG171" s="8"/>
      <c r="AH171" s="8" t="str">
        <f>IF($AG171="","",SUMIFS(OPERATING_COEFFS!$C:$C,OPERATING_COEFFS!$A:$A,"DistanceClass",OPERATING_COEFFS!$B:$B,$AG171))</f>
        <v/>
      </c>
      <c r="AI171" s="8"/>
      <c r="AJ171" s="8" t="str">
        <f>IF($AI171="","",SUMIFS(OPERATING_COEFFS!$C:$C,OPERATING_COEFFS!$A:$A,"SeasonClass",OPERATING_COEFFS!$B:$B,$AI171))</f>
        <v/>
      </c>
      <c r="AK171" s="8"/>
      <c r="AL171" s="8" t="str">
        <f>IF($AK171="","",SUMIFS(OPERATING_COEFFS!$C:$C,OPERATING_COEFFS!$A:$A,"UrgencyClass",OPERATING_COEFFS!$B:$B,$AK171))</f>
        <v/>
      </c>
      <c r="AM171" s="8"/>
      <c r="AN171" s="8" t="str">
        <f t="array" ref="AN171">IF($AM171="","",INDEX(TAX_MODES!$B:$B,MATCH($AM171,TAX_MODES!$A:$A,0)))</f>
        <v/>
      </c>
    </row>
    <row r="172" ht="14.25" customHeight="1">
      <c r="C172" s="8"/>
      <c r="E172" s="8"/>
      <c r="G172" s="8"/>
      <c r="I172" s="8"/>
      <c r="K172" s="8"/>
      <c r="M172" s="8"/>
      <c r="O172" s="8"/>
      <c r="Q172" s="8"/>
      <c r="S172" s="8"/>
      <c r="V172" s="8"/>
      <c r="X172" s="31"/>
      <c r="Y172" s="31" t="str">
        <f>IF($X172="","",SUMIFS(TARIFF_PROFILES!$D:$D,TARIFF_PROFILES!$A:$A,$X172))</f>
        <v/>
      </c>
      <c r="Z172" s="31" t="str">
        <f>IF($X172="","",SUMIFS(TARIFF_PROFILES!$E:$E,TARIFF_PROFILES!$A:$A,$X172))</f>
        <v/>
      </c>
      <c r="AA172" s="31" t="str">
        <f>IF($X172="","",SUMIFS(TARIFF_PROFILES!$F:$F,TARIFF_PROFILES!$A:$A,$X172))</f>
        <v/>
      </c>
      <c r="AB172" s="31" t="str">
        <f>IF($X172="","",SUMIFS(TARIFF_PROFILES!$G:$G,TARIFF_PROFILES!$A:$A,$X172))</f>
        <v/>
      </c>
      <c r="AC172" s="31" t="str">
        <f>IF($X172="","",SUMIFS(TARIFF_PROFILES!$H:$H,TARIFF_PROFILES!$A:$A,$X172))</f>
        <v/>
      </c>
      <c r="AD172" s="31" t="str">
        <f t="array" ref="AD172">IF($X172="","",INDEX(TARIFF_PROFILES!$J:$J,MATCH($X172,TARIFF_PROFILES!$A:$A,0)))</f>
        <v/>
      </c>
      <c r="AE172" s="31" t="str">
        <f t="array" ref="AE172">IF($X172="","",INDEX(TARIFF_PROFILES!$K:$K,MATCH($X172,TARIFF_PROFILES!$A:$A,0)))</f>
        <v/>
      </c>
      <c r="AG172" s="8"/>
      <c r="AH172" s="8" t="str">
        <f>IF($AG172="","",SUMIFS(OPERATING_COEFFS!$C:$C,OPERATING_COEFFS!$A:$A,"DistanceClass",OPERATING_COEFFS!$B:$B,$AG172))</f>
        <v/>
      </c>
      <c r="AI172" s="8"/>
      <c r="AJ172" s="8" t="str">
        <f>IF($AI172="","",SUMIFS(OPERATING_COEFFS!$C:$C,OPERATING_COEFFS!$A:$A,"SeasonClass",OPERATING_COEFFS!$B:$B,$AI172))</f>
        <v/>
      </c>
      <c r="AK172" s="8"/>
      <c r="AL172" s="8" t="str">
        <f>IF($AK172="","",SUMIFS(OPERATING_COEFFS!$C:$C,OPERATING_COEFFS!$A:$A,"UrgencyClass",OPERATING_COEFFS!$B:$B,$AK172))</f>
        <v/>
      </c>
      <c r="AM172" s="8"/>
      <c r="AN172" s="8" t="str">
        <f t="array" ref="AN172">IF($AM172="","",INDEX(TAX_MODES!$B:$B,MATCH($AM172,TAX_MODES!$A:$A,0)))</f>
        <v/>
      </c>
    </row>
    <row r="173" ht="14.25" customHeight="1">
      <c r="C173" s="8"/>
      <c r="E173" s="8"/>
      <c r="G173" s="8"/>
      <c r="I173" s="8"/>
      <c r="K173" s="8"/>
      <c r="M173" s="8"/>
      <c r="O173" s="8"/>
      <c r="Q173" s="8"/>
      <c r="S173" s="8"/>
      <c r="V173" s="8"/>
      <c r="X173" s="31"/>
      <c r="Y173" s="31" t="str">
        <f>IF($X173="","",SUMIFS(TARIFF_PROFILES!$D:$D,TARIFF_PROFILES!$A:$A,$X173))</f>
        <v/>
      </c>
      <c r="Z173" s="31" t="str">
        <f>IF($X173="","",SUMIFS(TARIFF_PROFILES!$E:$E,TARIFF_PROFILES!$A:$A,$X173))</f>
        <v/>
      </c>
      <c r="AA173" s="31" t="str">
        <f>IF($X173="","",SUMIFS(TARIFF_PROFILES!$F:$F,TARIFF_PROFILES!$A:$A,$X173))</f>
        <v/>
      </c>
      <c r="AB173" s="31" t="str">
        <f>IF($X173="","",SUMIFS(TARIFF_PROFILES!$G:$G,TARIFF_PROFILES!$A:$A,$X173))</f>
        <v/>
      </c>
      <c r="AC173" s="31" t="str">
        <f>IF($X173="","",SUMIFS(TARIFF_PROFILES!$H:$H,TARIFF_PROFILES!$A:$A,$X173))</f>
        <v/>
      </c>
      <c r="AD173" s="31" t="str">
        <f t="array" ref="AD173">IF($X173="","",INDEX(TARIFF_PROFILES!$J:$J,MATCH($X173,TARIFF_PROFILES!$A:$A,0)))</f>
        <v/>
      </c>
      <c r="AE173" s="31" t="str">
        <f t="array" ref="AE173">IF($X173="","",INDEX(TARIFF_PROFILES!$K:$K,MATCH($X173,TARIFF_PROFILES!$A:$A,0)))</f>
        <v/>
      </c>
      <c r="AG173" s="8"/>
      <c r="AH173" s="8" t="str">
        <f>IF($AG173="","",SUMIFS(OPERATING_COEFFS!$C:$C,OPERATING_COEFFS!$A:$A,"DistanceClass",OPERATING_COEFFS!$B:$B,$AG173))</f>
        <v/>
      </c>
      <c r="AI173" s="8"/>
      <c r="AJ173" s="8" t="str">
        <f>IF($AI173="","",SUMIFS(OPERATING_COEFFS!$C:$C,OPERATING_COEFFS!$A:$A,"SeasonClass",OPERATING_COEFFS!$B:$B,$AI173))</f>
        <v/>
      </c>
      <c r="AK173" s="8"/>
      <c r="AL173" s="8" t="str">
        <f>IF($AK173="","",SUMIFS(OPERATING_COEFFS!$C:$C,OPERATING_COEFFS!$A:$A,"UrgencyClass",OPERATING_COEFFS!$B:$B,$AK173))</f>
        <v/>
      </c>
      <c r="AM173" s="8"/>
      <c r="AN173" s="8" t="str">
        <f t="array" ref="AN173">IF($AM173="","",INDEX(TAX_MODES!$B:$B,MATCH($AM173,TAX_MODES!$A:$A,0)))</f>
        <v/>
      </c>
    </row>
    <row r="174" ht="14.25" customHeight="1">
      <c r="C174" s="8"/>
      <c r="E174" s="8"/>
      <c r="G174" s="8"/>
      <c r="I174" s="8"/>
      <c r="K174" s="8"/>
      <c r="M174" s="8"/>
      <c r="O174" s="8"/>
      <c r="Q174" s="8"/>
      <c r="S174" s="8"/>
      <c r="V174" s="8"/>
      <c r="X174" s="31"/>
      <c r="Y174" s="31" t="str">
        <f>IF($X174="","",SUMIFS(TARIFF_PROFILES!$D:$D,TARIFF_PROFILES!$A:$A,$X174))</f>
        <v/>
      </c>
      <c r="Z174" s="31" t="str">
        <f>IF($X174="","",SUMIFS(TARIFF_PROFILES!$E:$E,TARIFF_PROFILES!$A:$A,$X174))</f>
        <v/>
      </c>
      <c r="AA174" s="31" t="str">
        <f>IF($X174="","",SUMIFS(TARIFF_PROFILES!$F:$F,TARIFF_PROFILES!$A:$A,$X174))</f>
        <v/>
      </c>
      <c r="AB174" s="31" t="str">
        <f>IF($X174="","",SUMIFS(TARIFF_PROFILES!$G:$G,TARIFF_PROFILES!$A:$A,$X174))</f>
        <v/>
      </c>
      <c r="AC174" s="31" t="str">
        <f>IF($X174="","",SUMIFS(TARIFF_PROFILES!$H:$H,TARIFF_PROFILES!$A:$A,$X174))</f>
        <v/>
      </c>
      <c r="AD174" s="31" t="str">
        <f t="array" ref="AD174">IF($X174="","",INDEX(TARIFF_PROFILES!$J:$J,MATCH($X174,TARIFF_PROFILES!$A:$A,0)))</f>
        <v/>
      </c>
      <c r="AE174" s="31" t="str">
        <f t="array" ref="AE174">IF($X174="","",INDEX(TARIFF_PROFILES!$K:$K,MATCH($X174,TARIFF_PROFILES!$A:$A,0)))</f>
        <v/>
      </c>
      <c r="AG174" s="8"/>
      <c r="AH174" s="8" t="str">
        <f>IF($AG174="","",SUMIFS(OPERATING_COEFFS!$C:$C,OPERATING_COEFFS!$A:$A,"DistanceClass",OPERATING_COEFFS!$B:$B,$AG174))</f>
        <v/>
      </c>
      <c r="AI174" s="8"/>
      <c r="AJ174" s="8" t="str">
        <f>IF($AI174="","",SUMIFS(OPERATING_COEFFS!$C:$C,OPERATING_COEFFS!$A:$A,"SeasonClass",OPERATING_COEFFS!$B:$B,$AI174))</f>
        <v/>
      </c>
      <c r="AK174" s="8"/>
      <c r="AL174" s="8" t="str">
        <f>IF($AK174="","",SUMIFS(OPERATING_COEFFS!$C:$C,OPERATING_COEFFS!$A:$A,"UrgencyClass",OPERATING_COEFFS!$B:$B,$AK174))</f>
        <v/>
      </c>
      <c r="AM174" s="8"/>
      <c r="AN174" s="8" t="str">
        <f t="array" ref="AN174">IF($AM174="","",INDEX(TAX_MODES!$B:$B,MATCH($AM174,TAX_MODES!$A:$A,0)))</f>
        <v/>
      </c>
    </row>
    <row r="175" ht="14.25" customHeight="1">
      <c r="C175" s="8"/>
      <c r="E175" s="8"/>
      <c r="G175" s="8"/>
      <c r="I175" s="8"/>
      <c r="K175" s="8"/>
      <c r="M175" s="8"/>
      <c r="O175" s="8"/>
      <c r="Q175" s="8"/>
      <c r="S175" s="8"/>
      <c r="V175" s="8"/>
      <c r="X175" s="31"/>
      <c r="Y175" s="31" t="str">
        <f>IF($X175="","",SUMIFS(TARIFF_PROFILES!$D:$D,TARIFF_PROFILES!$A:$A,$X175))</f>
        <v/>
      </c>
      <c r="Z175" s="31" t="str">
        <f>IF($X175="","",SUMIFS(TARIFF_PROFILES!$E:$E,TARIFF_PROFILES!$A:$A,$X175))</f>
        <v/>
      </c>
      <c r="AA175" s="31" t="str">
        <f>IF($X175="","",SUMIFS(TARIFF_PROFILES!$F:$F,TARIFF_PROFILES!$A:$A,$X175))</f>
        <v/>
      </c>
      <c r="AB175" s="31" t="str">
        <f>IF($X175="","",SUMIFS(TARIFF_PROFILES!$G:$G,TARIFF_PROFILES!$A:$A,$X175))</f>
        <v/>
      </c>
      <c r="AC175" s="31" t="str">
        <f>IF($X175="","",SUMIFS(TARIFF_PROFILES!$H:$H,TARIFF_PROFILES!$A:$A,$X175))</f>
        <v/>
      </c>
      <c r="AD175" s="31" t="str">
        <f t="array" ref="AD175">IF($X175="","",INDEX(TARIFF_PROFILES!$J:$J,MATCH($X175,TARIFF_PROFILES!$A:$A,0)))</f>
        <v/>
      </c>
      <c r="AE175" s="31" t="str">
        <f t="array" ref="AE175">IF($X175="","",INDEX(TARIFF_PROFILES!$K:$K,MATCH($X175,TARIFF_PROFILES!$A:$A,0)))</f>
        <v/>
      </c>
      <c r="AG175" s="8"/>
      <c r="AH175" s="8" t="str">
        <f>IF($AG175="","",SUMIFS(OPERATING_COEFFS!$C:$C,OPERATING_COEFFS!$A:$A,"DistanceClass",OPERATING_COEFFS!$B:$B,$AG175))</f>
        <v/>
      </c>
      <c r="AI175" s="8"/>
      <c r="AJ175" s="8" t="str">
        <f>IF($AI175="","",SUMIFS(OPERATING_COEFFS!$C:$C,OPERATING_COEFFS!$A:$A,"SeasonClass",OPERATING_COEFFS!$B:$B,$AI175))</f>
        <v/>
      </c>
      <c r="AK175" s="8"/>
      <c r="AL175" s="8" t="str">
        <f>IF($AK175="","",SUMIFS(OPERATING_COEFFS!$C:$C,OPERATING_COEFFS!$A:$A,"UrgencyClass",OPERATING_COEFFS!$B:$B,$AK175))</f>
        <v/>
      </c>
      <c r="AM175" s="8"/>
      <c r="AN175" s="8" t="str">
        <f t="array" ref="AN175">IF($AM175="","",INDEX(TAX_MODES!$B:$B,MATCH($AM175,TAX_MODES!$A:$A,0)))</f>
        <v/>
      </c>
    </row>
    <row r="176" ht="14.25" customHeight="1">
      <c r="C176" s="8"/>
      <c r="E176" s="8"/>
      <c r="G176" s="8"/>
      <c r="I176" s="8"/>
      <c r="K176" s="8"/>
      <c r="M176" s="8"/>
      <c r="O176" s="8"/>
      <c r="Q176" s="8"/>
      <c r="S176" s="8"/>
      <c r="V176" s="8"/>
      <c r="X176" s="31"/>
      <c r="Y176" s="31" t="str">
        <f>IF($X176="","",SUMIFS(TARIFF_PROFILES!$D:$D,TARIFF_PROFILES!$A:$A,$X176))</f>
        <v/>
      </c>
      <c r="Z176" s="31" t="str">
        <f>IF($X176="","",SUMIFS(TARIFF_PROFILES!$E:$E,TARIFF_PROFILES!$A:$A,$X176))</f>
        <v/>
      </c>
      <c r="AA176" s="31" t="str">
        <f>IF($X176="","",SUMIFS(TARIFF_PROFILES!$F:$F,TARIFF_PROFILES!$A:$A,$X176))</f>
        <v/>
      </c>
      <c r="AB176" s="31" t="str">
        <f>IF($X176="","",SUMIFS(TARIFF_PROFILES!$G:$G,TARIFF_PROFILES!$A:$A,$X176))</f>
        <v/>
      </c>
      <c r="AC176" s="31" t="str">
        <f>IF($X176="","",SUMIFS(TARIFF_PROFILES!$H:$H,TARIFF_PROFILES!$A:$A,$X176))</f>
        <v/>
      </c>
      <c r="AD176" s="31" t="str">
        <f t="array" ref="AD176">IF($X176="","",INDEX(TARIFF_PROFILES!$J:$J,MATCH($X176,TARIFF_PROFILES!$A:$A,0)))</f>
        <v/>
      </c>
      <c r="AE176" s="31" t="str">
        <f t="array" ref="AE176">IF($X176="","",INDEX(TARIFF_PROFILES!$K:$K,MATCH($X176,TARIFF_PROFILES!$A:$A,0)))</f>
        <v/>
      </c>
      <c r="AG176" s="8"/>
      <c r="AH176" s="8" t="str">
        <f>IF($AG176="","",SUMIFS(OPERATING_COEFFS!$C:$C,OPERATING_COEFFS!$A:$A,"DistanceClass",OPERATING_COEFFS!$B:$B,$AG176))</f>
        <v/>
      </c>
      <c r="AI176" s="8"/>
      <c r="AJ176" s="8" t="str">
        <f>IF($AI176="","",SUMIFS(OPERATING_COEFFS!$C:$C,OPERATING_COEFFS!$A:$A,"SeasonClass",OPERATING_COEFFS!$B:$B,$AI176))</f>
        <v/>
      </c>
      <c r="AK176" s="8"/>
      <c r="AL176" s="8" t="str">
        <f>IF($AK176="","",SUMIFS(OPERATING_COEFFS!$C:$C,OPERATING_COEFFS!$A:$A,"UrgencyClass",OPERATING_COEFFS!$B:$B,$AK176))</f>
        <v/>
      </c>
      <c r="AM176" s="8"/>
      <c r="AN176" s="8" t="str">
        <f t="array" ref="AN176">IF($AM176="","",INDEX(TAX_MODES!$B:$B,MATCH($AM176,TAX_MODES!$A:$A,0)))</f>
        <v/>
      </c>
    </row>
    <row r="177" ht="14.25" customHeight="1">
      <c r="C177" s="8"/>
      <c r="E177" s="8"/>
      <c r="G177" s="8"/>
      <c r="I177" s="8"/>
      <c r="K177" s="8"/>
      <c r="M177" s="8"/>
      <c r="O177" s="8"/>
      <c r="Q177" s="8"/>
      <c r="S177" s="8"/>
      <c r="V177" s="8"/>
      <c r="X177" s="31"/>
      <c r="Y177" s="31" t="str">
        <f>IF($X177="","",SUMIFS(TARIFF_PROFILES!$D:$D,TARIFF_PROFILES!$A:$A,$X177))</f>
        <v/>
      </c>
      <c r="Z177" s="31" t="str">
        <f>IF($X177="","",SUMIFS(TARIFF_PROFILES!$E:$E,TARIFF_PROFILES!$A:$A,$X177))</f>
        <v/>
      </c>
      <c r="AA177" s="31" t="str">
        <f>IF($X177="","",SUMIFS(TARIFF_PROFILES!$F:$F,TARIFF_PROFILES!$A:$A,$X177))</f>
        <v/>
      </c>
      <c r="AB177" s="31" t="str">
        <f>IF($X177="","",SUMIFS(TARIFF_PROFILES!$G:$G,TARIFF_PROFILES!$A:$A,$X177))</f>
        <v/>
      </c>
      <c r="AC177" s="31" t="str">
        <f>IF($X177="","",SUMIFS(TARIFF_PROFILES!$H:$H,TARIFF_PROFILES!$A:$A,$X177))</f>
        <v/>
      </c>
      <c r="AD177" s="31" t="str">
        <f t="array" ref="AD177">IF($X177="","",INDEX(TARIFF_PROFILES!$J:$J,MATCH($X177,TARIFF_PROFILES!$A:$A,0)))</f>
        <v/>
      </c>
      <c r="AE177" s="31" t="str">
        <f t="array" ref="AE177">IF($X177="","",INDEX(TARIFF_PROFILES!$K:$K,MATCH($X177,TARIFF_PROFILES!$A:$A,0)))</f>
        <v/>
      </c>
      <c r="AG177" s="8"/>
      <c r="AH177" s="8" t="str">
        <f>IF($AG177="","",SUMIFS(OPERATING_COEFFS!$C:$C,OPERATING_COEFFS!$A:$A,"DistanceClass",OPERATING_COEFFS!$B:$B,$AG177))</f>
        <v/>
      </c>
      <c r="AI177" s="8"/>
      <c r="AJ177" s="8" t="str">
        <f>IF($AI177="","",SUMIFS(OPERATING_COEFFS!$C:$C,OPERATING_COEFFS!$A:$A,"SeasonClass",OPERATING_COEFFS!$B:$B,$AI177))</f>
        <v/>
      </c>
      <c r="AK177" s="8"/>
      <c r="AL177" s="8" t="str">
        <f>IF($AK177="","",SUMIFS(OPERATING_COEFFS!$C:$C,OPERATING_COEFFS!$A:$A,"UrgencyClass",OPERATING_COEFFS!$B:$B,$AK177))</f>
        <v/>
      </c>
      <c r="AM177" s="8"/>
      <c r="AN177" s="8" t="str">
        <f t="array" ref="AN177">IF($AM177="","",INDEX(TAX_MODES!$B:$B,MATCH($AM177,TAX_MODES!$A:$A,0)))</f>
        <v/>
      </c>
    </row>
    <row r="178" ht="14.25" customHeight="1">
      <c r="C178" s="8"/>
      <c r="E178" s="8"/>
      <c r="G178" s="8"/>
      <c r="I178" s="8"/>
      <c r="K178" s="8"/>
      <c r="M178" s="8"/>
      <c r="O178" s="8"/>
      <c r="Q178" s="8"/>
      <c r="S178" s="8"/>
      <c r="V178" s="8"/>
      <c r="X178" s="31"/>
      <c r="Y178" s="31" t="str">
        <f>IF($X178="","",SUMIFS(TARIFF_PROFILES!$D:$D,TARIFF_PROFILES!$A:$A,$X178))</f>
        <v/>
      </c>
      <c r="Z178" s="31" t="str">
        <f>IF($X178="","",SUMIFS(TARIFF_PROFILES!$E:$E,TARIFF_PROFILES!$A:$A,$X178))</f>
        <v/>
      </c>
      <c r="AA178" s="31" t="str">
        <f>IF($X178="","",SUMIFS(TARIFF_PROFILES!$F:$F,TARIFF_PROFILES!$A:$A,$X178))</f>
        <v/>
      </c>
      <c r="AB178" s="31" t="str">
        <f>IF($X178="","",SUMIFS(TARIFF_PROFILES!$G:$G,TARIFF_PROFILES!$A:$A,$X178))</f>
        <v/>
      </c>
      <c r="AC178" s="31" t="str">
        <f>IF($X178="","",SUMIFS(TARIFF_PROFILES!$H:$H,TARIFF_PROFILES!$A:$A,$X178))</f>
        <v/>
      </c>
      <c r="AD178" s="31" t="str">
        <f t="array" ref="AD178">IF($X178="","",INDEX(TARIFF_PROFILES!$J:$J,MATCH($X178,TARIFF_PROFILES!$A:$A,0)))</f>
        <v/>
      </c>
      <c r="AE178" s="31" t="str">
        <f t="array" ref="AE178">IF($X178="","",INDEX(TARIFF_PROFILES!$K:$K,MATCH($X178,TARIFF_PROFILES!$A:$A,0)))</f>
        <v/>
      </c>
      <c r="AG178" s="8"/>
      <c r="AH178" s="8" t="str">
        <f>IF($AG178="","",SUMIFS(OPERATING_COEFFS!$C:$C,OPERATING_COEFFS!$A:$A,"DistanceClass",OPERATING_COEFFS!$B:$B,$AG178))</f>
        <v/>
      </c>
      <c r="AI178" s="8"/>
      <c r="AJ178" s="8" t="str">
        <f>IF($AI178="","",SUMIFS(OPERATING_COEFFS!$C:$C,OPERATING_COEFFS!$A:$A,"SeasonClass",OPERATING_COEFFS!$B:$B,$AI178))</f>
        <v/>
      </c>
      <c r="AK178" s="8"/>
      <c r="AL178" s="8" t="str">
        <f>IF($AK178="","",SUMIFS(OPERATING_COEFFS!$C:$C,OPERATING_COEFFS!$A:$A,"UrgencyClass",OPERATING_COEFFS!$B:$B,$AK178))</f>
        <v/>
      </c>
      <c r="AM178" s="8"/>
      <c r="AN178" s="8" t="str">
        <f t="array" ref="AN178">IF($AM178="","",INDEX(TAX_MODES!$B:$B,MATCH($AM178,TAX_MODES!$A:$A,0)))</f>
        <v/>
      </c>
    </row>
    <row r="179" ht="14.25" customHeight="1">
      <c r="C179" s="8"/>
      <c r="E179" s="8"/>
      <c r="G179" s="8"/>
      <c r="I179" s="8"/>
      <c r="K179" s="8"/>
      <c r="M179" s="8"/>
      <c r="O179" s="8"/>
      <c r="Q179" s="8"/>
      <c r="S179" s="8"/>
      <c r="V179" s="8"/>
      <c r="X179" s="31"/>
      <c r="Y179" s="31" t="str">
        <f>IF($X179="","",SUMIFS(TARIFF_PROFILES!$D:$D,TARIFF_PROFILES!$A:$A,$X179))</f>
        <v/>
      </c>
      <c r="Z179" s="31" t="str">
        <f>IF($X179="","",SUMIFS(TARIFF_PROFILES!$E:$E,TARIFF_PROFILES!$A:$A,$X179))</f>
        <v/>
      </c>
      <c r="AA179" s="31" t="str">
        <f>IF($X179="","",SUMIFS(TARIFF_PROFILES!$F:$F,TARIFF_PROFILES!$A:$A,$X179))</f>
        <v/>
      </c>
      <c r="AB179" s="31" t="str">
        <f>IF($X179="","",SUMIFS(TARIFF_PROFILES!$G:$G,TARIFF_PROFILES!$A:$A,$X179))</f>
        <v/>
      </c>
      <c r="AC179" s="31" t="str">
        <f>IF($X179="","",SUMIFS(TARIFF_PROFILES!$H:$H,TARIFF_PROFILES!$A:$A,$X179))</f>
        <v/>
      </c>
      <c r="AD179" s="31" t="str">
        <f t="array" ref="AD179">IF($X179="","",INDEX(TARIFF_PROFILES!$J:$J,MATCH($X179,TARIFF_PROFILES!$A:$A,0)))</f>
        <v/>
      </c>
      <c r="AE179" s="31" t="str">
        <f t="array" ref="AE179">IF($X179="","",INDEX(TARIFF_PROFILES!$K:$K,MATCH($X179,TARIFF_PROFILES!$A:$A,0)))</f>
        <v/>
      </c>
      <c r="AG179" s="8"/>
      <c r="AH179" s="8" t="str">
        <f>IF($AG179="","",SUMIFS(OPERATING_COEFFS!$C:$C,OPERATING_COEFFS!$A:$A,"DistanceClass",OPERATING_COEFFS!$B:$B,$AG179))</f>
        <v/>
      </c>
      <c r="AI179" s="8"/>
      <c r="AJ179" s="8" t="str">
        <f>IF($AI179="","",SUMIFS(OPERATING_COEFFS!$C:$C,OPERATING_COEFFS!$A:$A,"SeasonClass",OPERATING_COEFFS!$B:$B,$AI179))</f>
        <v/>
      </c>
      <c r="AK179" s="8"/>
      <c r="AL179" s="8" t="str">
        <f>IF($AK179="","",SUMIFS(OPERATING_COEFFS!$C:$C,OPERATING_COEFFS!$A:$A,"UrgencyClass",OPERATING_COEFFS!$B:$B,$AK179))</f>
        <v/>
      </c>
      <c r="AM179" s="8"/>
      <c r="AN179" s="8" t="str">
        <f t="array" ref="AN179">IF($AM179="","",INDEX(TAX_MODES!$B:$B,MATCH($AM179,TAX_MODES!$A:$A,0)))</f>
        <v/>
      </c>
    </row>
    <row r="180" ht="14.25" customHeight="1">
      <c r="C180" s="8"/>
      <c r="E180" s="8"/>
      <c r="G180" s="8"/>
      <c r="I180" s="8"/>
      <c r="K180" s="8"/>
      <c r="M180" s="8"/>
      <c r="O180" s="8"/>
      <c r="Q180" s="8"/>
      <c r="S180" s="8"/>
      <c r="V180" s="8"/>
      <c r="X180" s="31"/>
      <c r="Y180" s="31" t="str">
        <f>IF($X180="","",SUMIFS(TARIFF_PROFILES!$D:$D,TARIFF_PROFILES!$A:$A,$X180))</f>
        <v/>
      </c>
      <c r="Z180" s="31" t="str">
        <f>IF($X180="","",SUMIFS(TARIFF_PROFILES!$E:$E,TARIFF_PROFILES!$A:$A,$X180))</f>
        <v/>
      </c>
      <c r="AA180" s="31" t="str">
        <f>IF($X180="","",SUMIFS(TARIFF_PROFILES!$F:$F,TARIFF_PROFILES!$A:$A,$X180))</f>
        <v/>
      </c>
      <c r="AB180" s="31" t="str">
        <f>IF($X180="","",SUMIFS(TARIFF_PROFILES!$G:$G,TARIFF_PROFILES!$A:$A,$X180))</f>
        <v/>
      </c>
      <c r="AC180" s="31" t="str">
        <f>IF($X180="","",SUMIFS(TARIFF_PROFILES!$H:$H,TARIFF_PROFILES!$A:$A,$X180))</f>
        <v/>
      </c>
      <c r="AD180" s="31" t="str">
        <f t="array" ref="AD180">IF($X180="","",INDEX(TARIFF_PROFILES!$J:$J,MATCH($X180,TARIFF_PROFILES!$A:$A,0)))</f>
        <v/>
      </c>
      <c r="AE180" s="31" t="str">
        <f t="array" ref="AE180">IF($X180="","",INDEX(TARIFF_PROFILES!$K:$K,MATCH($X180,TARIFF_PROFILES!$A:$A,0)))</f>
        <v/>
      </c>
      <c r="AG180" s="8"/>
      <c r="AH180" s="8" t="str">
        <f>IF($AG180="","",SUMIFS(OPERATING_COEFFS!$C:$C,OPERATING_COEFFS!$A:$A,"DistanceClass",OPERATING_COEFFS!$B:$B,$AG180))</f>
        <v/>
      </c>
      <c r="AI180" s="8"/>
      <c r="AJ180" s="8" t="str">
        <f>IF($AI180="","",SUMIFS(OPERATING_COEFFS!$C:$C,OPERATING_COEFFS!$A:$A,"SeasonClass",OPERATING_COEFFS!$B:$B,$AI180))</f>
        <v/>
      </c>
      <c r="AK180" s="8"/>
      <c r="AL180" s="8" t="str">
        <f>IF($AK180="","",SUMIFS(OPERATING_COEFFS!$C:$C,OPERATING_COEFFS!$A:$A,"UrgencyClass",OPERATING_COEFFS!$B:$B,$AK180))</f>
        <v/>
      </c>
      <c r="AM180" s="8"/>
      <c r="AN180" s="8" t="str">
        <f t="array" ref="AN180">IF($AM180="","",INDEX(TAX_MODES!$B:$B,MATCH($AM180,TAX_MODES!$A:$A,0)))</f>
        <v/>
      </c>
    </row>
    <row r="181" ht="14.25" customHeight="1">
      <c r="C181" s="8"/>
      <c r="E181" s="8"/>
      <c r="G181" s="8"/>
      <c r="I181" s="8"/>
      <c r="K181" s="8"/>
      <c r="M181" s="8"/>
      <c r="O181" s="8"/>
      <c r="Q181" s="8"/>
      <c r="S181" s="8"/>
      <c r="V181" s="8"/>
      <c r="X181" s="31"/>
      <c r="Y181" s="31" t="str">
        <f>IF($X181="","",SUMIFS(TARIFF_PROFILES!$D:$D,TARIFF_PROFILES!$A:$A,$X181))</f>
        <v/>
      </c>
      <c r="Z181" s="31" t="str">
        <f>IF($X181="","",SUMIFS(TARIFF_PROFILES!$E:$E,TARIFF_PROFILES!$A:$A,$X181))</f>
        <v/>
      </c>
      <c r="AA181" s="31" t="str">
        <f>IF($X181="","",SUMIFS(TARIFF_PROFILES!$F:$F,TARIFF_PROFILES!$A:$A,$X181))</f>
        <v/>
      </c>
      <c r="AB181" s="31" t="str">
        <f>IF($X181="","",SUMIFS(TARIFF_PROFILES!$G:$G,TARIFF_PROFILES!$A:$A,$X181))</f>
        <v/>
      </c>
      <c r="AC181" s="31" t="str">
        <f>IF($X181="","",SUMIFS(TARIFF_PROFILES!$H:$H,TARIFF_PROFILES!$A:$A,$X181))</f>
        <v/>
      </c>
      <c r="AD181" s="31" t="str">
        <f t="array" ref="AD181">IF($X181="","",INDEX(TARIFF_PROFILES!$J:$J,MATCH($X181,TARIFF_PROFILES!$A:$A,0)))</f>
        <v/>
      </c>
      <c r="AE181" s="31" t="str">
        <f t="array" ref="AE181">IF($X181="","",INDEX(TARIFF_PROFILES!$K:$K,MATCH($X181,TARIFF_PROFILES!$A:$A,0)))</f>
        <v/>
      </c>
      <c r="AG181" s="8"/>
      <c r="AH181" s="8" t="str">
        <f>IF($AG181="","",SUMIFS(OPERATING_COEFFS!$C:$C,OPERATING_COEFFS!$A:$A,"DistanceClass",OPERATING_COEFFS!$B:$B,$AG181))</f>
        <v/>
      </c>
      <c r="AI181" s="8"/>
      <c r="AJ181" s="8" t="str">
        <f>IF($AI181="","",SUMIFS(OPERATING_COEFFS!$C:$C,OPERATING_COEFFS!$A:$A,"SeasonClass",OPERATING_COEFFS!$B:$B,$AI181))</f>
        <v/>
      </c>
      <c r="AK181" s="8"/>
      <c r="AL181" s="8" t="str">
        <f>IF($AK181="","",SUMIFS(OPERATING_COEFFS!$C:$C,OPERATING_COEFFS!$A:$A,"UrgencyClass",OPERATING_COEFFS!$B:$B,$AK181))</f>
        <v/>
      </c>
      <c r="AM181" s="8"/>
      <c r="AN181" s="8" t="str">
        <f t="array" ref="AN181">IF($AM181="","",INDEX(TAX_MODES!$B:$B,MATCH($AM181,TAX_MODES!$A:$A,0)))</f>
        <v/>
      </c>
    </row>
    <row r="182" ht="14.25" customHeight="1">
      <c r="C182" s="8"/>
      <c r="E182" s="8"/>
      <c r="G182" s="8"/>
      <c r="I182" s="8"/>
      <c r="K182" s="8"/>
      <c r="M182" s="8"/>
      <c r="O182" s="8"/>
      <c r="Q182" s="8"/>
      <c r="S182" s="8"/>
      <c r="V182" s="8"/>
      <c r="X182" s="31"/>
      <c r="Y182" s="31" t="str">
        <f>IF($X182="","",SUMIFS(TARIFF_PROFILES!$D:$D,TARIFF_PROFILES!$A:$A,$X182))</f>
        <v/>
      </c>
      <c r="Z182" s="31" t="str">
        <f>IF($X182="","",SUMIFS(TARIFF_PROFILES!$E:$E,TARIFF_PROFILES!$A:$A,$X182))</f>
        <v/>
      </c>
      <c r="AA182" s="31" t="str">
        <f>IF($X182="","",SUMIFS(TARIFF_PROFILES!$F:$F,TARIFF_PROFILES!$A:$A,$X182))</f>
        <v/>
      </c>
      <c r="AB182" s="31" t="str">
        <f>IF($X182="","",SUMIFS(TARIFF_PROFILES!$G:$G,TARIFF_PROFILES!$A:$A,$X182))</f>
        <v/>
      </c>
      <c r="AC182" s="31" t="str">
        <f>IF($X182="","",SUMIFS(TARIFF_PROFILES!$H:$H,TARIFF_PROFILES!$A:$A,$X182))</f>
        <v/>
      </c>
      <c r="AD182" s="31" t="str">
        <f t="array" ref="AD182">IF($X182="","",INDEX(TARIFF_PROFILES!$J:$J,MATCH($X182,TARIFF_PROFILES!$A:$A,0)))</f>
        <v/>
      </c>
      <c r="AE182" s="31" t="str">
        <f t="array" ref="AE182">IF($X182="","",INDEX(TARIFF_PROFILES!$K:$K,MATCH($X182,TARIFF_PROFILES!$A:$A,0)))</f>
        <v/>
      </c>
      <c r="AG182" s="8"/>
      <c r="AH182" s="8" t="str">
        <f>IF($AG182="","",SUMIFS(OPERATING_COEFFS!$C:$C,OPERATING_COEFFS!$A:$A,"DistanceClass",OPERATING_COEFFS!$B:$B,$AG182))</f>
        <v/>
      </c>
      <c r="AI182" s="8"/>
      <c r="AJ182" s="8" t="str">
        <f>IF($AI182="","",SUMIFS(OPERATING_COEFFS!$C:$C,OPERATING_COEFFS!$A:$A,"SeasonClass",OPERATING_COEFFS!$B:$B,$AI182))</f>
        <v/>
      </c>
      <c r="AK182" s="8"/>
      <c r="AL182" s="8" t="str">
        <f>IF($AK182="","",SUMIFS(OPERATING_COEFFS!$C:$C,OPERATING_COEFFS!$A:$A,"UrgencyClass",OPERATING_COEFFS!$B:$B,$AK182))</f>
        <v/>
      </c>
      <c r="AM182" s="8"/>
      <c r="AN182" s="8" t="str">
        <f t="array" ref="AN182">IF($AM182="","",INDEX(TAX_MODES!$B:$B,MATCH($AM182,TAX_MODES!$A:$A,0)))</f>
        <v/>
      </c>
    </row>
    <row r="183" ht="14.25" customHeight="1">
      <c r="C183" s="8"/>
      <c r="E183" s="8"/>
      <c r="G183" s="8"/>
      <c r="I183" s="8"/>
      <c r="K183" s="8"/>
      <c r="M183" s="8"/>
      <c r="O183" s="8"/>
      <c r="Q183" s="8"/>
      <c r="S183" s="8"/>
      <c r="V183" s="8"/>
      <c r="X183" s="31"/>
      <c r="Y183" s="31" t="str">
        <f>IF($X183="","",SUMIFS(TARIFF_PROFILES!$D:$D,TARIFF_PROFILES!$A:$A,$X183))</f>
        <v/>
      </c>
      <c r="Z183" s="31" t="str">
        <f>IF($X183="","",SUMIFS(TARIFF_PROFILES!$E:$E,TARIFF_PROFILES!$A:$A,$X183))</f>
        <v/>
      </c>
      <c r="AA183" s="31" t="str">
        <f>IF($X183="","",SUMIFS(TARIFF_PROFILES!$F:$F,TARIFF_PROFILES!$A:$A,$X183))</f>
        <v/>
      </c>
      <c r="AB183" s="31" t="str">
        <f>IF($X183="","",SUMIFS(TARIFF_PROFILES!$G:$G,TARIFF_PROFILES!$A:$A,$X183))</f>
        <v/>
      </c>
      <c r="AC183" s="31" t="str">
        <f>IF($X183="","",SUMIFS(TARIFF_PROFILES!$H:$H,TARIFF_PROFILES!$A:$A,$X183))</f>
        <v/>
      </c>
      <c r="AD183" s="31" t="str">
        <f t="array" ref="AD183">IF($X183="","",INDEX(TARIFF_PROFILES!$J:$J,MATCH($X183,TARIFF_PROFILES!$A:$A,0)))</f>
        <v/>
      </c>
      <c r="AE183" s="31" t="str">
        <f t="array" ref="AE183">IF($X183="","",INDEX(TARIFF_PROFILES!$K:$K,MATCH($X183,TARIFF_PROFILES!$A:$A,0)))</f>
        <v/>
      </c>
      <c r="AG183" s="8"/>
      <c r="AH183" s="8" t="str">
        <f>IF($AG183="","",SUMIFS(OPERATING_COEFFS!$C:$C,OPERATING_COEFFS!$A:$A,"DistanceClass",OPERATING_COEFFS!$B:$B,$AG183))</f>
        <v/>
      </c>
      <c r="AI183" s="8"/>
      <c r="AJ183" s="8" t="str">
        <f>IF($AI183="","",SUMIFS(OPERATING_COEFFS!$C:$C,OPERATING_COEFFS!$A:$A,"SeasonClass",OPERATING_COEFFS!$B:$B,$AI183))</f>
        <v/>
      </c>
      <c r="AK183" s="8"/>
      <c r="AL183" s="8" t="str">
        <f>IF($AK183="","",SUMIFS(OPERATING_COEFFS!$C:$C,OPERATING_COEFFS!$A:$A,"UrgencyClass",OPERATING_COEFFS!$B:$B,$AK183))</f>
        <v/>
      </c>
      <c r="AM183" s="8"/>
      <c r="AN183" s="8" t="str">
        <f t="array" ref="AN183">IF($AM183="","",INDEX(TAX_MODES!$B:$B,MATCH($AM183,TAX_MODES!$A:$A,0)))</f>
        <v/>
      </c>
    </row>
    <row r="184" ht="14.25" customHeight="1">
      <c r="C184" s="8"/>
      <c r="E184" s="8"/>
      <c r="G184" s="8"/>
      <c r="I184" s="8"/>
      <c r="K184" s="8"/>
      <c r="M184" s="8"/>
      <c r="O184" s="8"/>
      <c r="Q184" s="8"/>
      <c r="S184" s="8"/>
      <c r="V184" s="8"/>
      <c r="X184" s="31"/>
      <c r="Y184" s="31" t="str">
        <f>IF($X184="","",SUMIFS(TARIFF_PROFILES!$D:$D,TARIFF_PROFILES!$A:$A,$X184))</f>
        <v/>
      </c>
      <c r="Z184" s="31" t="str">
        <f>IF($X184="","",SUMIFS(TARIFF_PROFILES!$E:$E,TARIFF_PROFILES!$A:$A,$X184))</f>
        <v/>
      </c>
      <c r="AA184" s="31" t="str">
        <f>IF($X184="","",SUMIFS(TARIFF_PROFILES!$F:$F,TARIFF_PROFILES!$A:$A,$X184))</f>
        <v/>
      </c>
      <c r="AB184" s="31" t="str">
        <f>IF($X184="","",SUMIFS(TARIFF_PROFILES!$G:$G,TARIFF_PROFILES!$A:$A,$X184))</f>
        <v/>
      </c>
      <c r="AC184" s="31" t="str">
        <f>IF($X184="","",SUMIFS(TARIFF_PROFILES!$H:$H,TARIFF_PROFILES!$A:$A,$X184))</f>
        <v/>
      </c>
      <c r="AD184" s="31" t="str">
        <f t="array" ref="AD184">IF($X184="","",INDEX(TARIFF_PROFILES!$J:$J,MATCH($X184,TARIFF_PROFILES!$A:$A,0)))</f>
        <v/>
      </c>
      <c r="AE184" s="31" t="str">
        <f t="array" ref="AE184">IF($X184="","",INDEX(TARIFF_PROFILES!$K:$K,MATCH($X184,TARIFF_PROFILES!$A:$A,0)))</f>
        <v/>
      </c>
      <c r="AG184" s="8"/>
      <c r="AH184" s="8" t="str">
        <f>IF($AG184="","",SUMIFS(OPERATING_COEFFS!$C:$C,OPERATING_COEFFS!$A:$A,"DistanceClass",OPERATING_COEFFS!$B:$B,$AG184))</f>
        <v/>
      </c>
      <c r="AI184" s="8"/>
      <c r="AJ184" s="8" t="str">
        <f>IF($AI184="","",SUMIFS(OPERATING_COEFFS!$C:$C,OPERATING_COEFFS!$A:$A,"SeasonClass",OPERATING_COEFFS!$B:$B,$AI184))</f>
        <v/>
      </c>
      <c r="AK184" s="8"/>
      <c r="AL184" s="8" t="str">
        <f>IF($AK184="","",SUMIFS(OPERATING_COEFFS!$C:$C,OPERATING_COEFFS!$A:$A,"UrgencyClass",OPERATING_COEFFS!$B:$B,$AK184))</f>
        <v/>
      </c>
      <c r="AM184" s="8"/>
      <c r="AN184" s="8" t="str">
        <f t="array" ref="AN184">IF($AM184="","",INDEX(TAX_MODES!$B:$B,MATCH($AM184,TAX_MODES!$A:$A,0)))</f>
        <v/>
      </c>
    </row>
    <row r="185" ht="14.25" customHeight="1">
      <c r="C185" s="8"/>
      <c r="E185" s="8"/>
      <c r="G185" s="8"/>
      <c r="I185" s="8"/>
      <c r="K185" s="8"/>
      <c r="M185" s="8"/>
      <c r="O185" s="8"/>
      <c r="Q185" s="8"/>
      <c r="S185" s="8"/>
      <c r="V185" s="8"/>
      <c r="X185" s="31"/>
      <c r="Y185" s="31" t="str">
        <f>IF($X185="","",SUMIFS(TARIFF_PROFILES!$D:$D,TARIFF_PROFILES!$A:$A,$X185))</f>
        <v/>
      </c>
      <c r="Z185" s="31" t="str">
        <f>IF($X185="","",SUMIFS(TARIFF_PROFILES!$E:$E,TARIFF_PROFILES!$A:$A,$X185))</f>
        <v/>
      </c>
      <c r="AA185" s="31" t="str">
        <f>IF($X185="","",SUMIFS(TARIFF_PROFILES!$F:$F,TARIFF_PROFILES!$A:$A,$X185))</f>
        <v/>
      </c>
      <c r="AB185" s="31" t="str">
        <f>IF($X185="","",SUMIFS(TARIFF_PROFILES!$G:$G,TARIFF_PROFILES!$A:$A,$X185))</f>
        <v/>
      </c>
      <c r="AC185" s="31" t="str">
        <f>IF($X185="","",SUMIFS(TARIFF_PROFILES!$H:$H,TARIFF_PROFILES!$A:$A,$X185))</f>
        <v/>
      </c>
      <c r="AD185" s="31" t="str">
        <f t="array" ref="AD185">IF($X185="","",INDEX(TARIFF_PROFILES!$J:$J,MATCH($X185,TARIFF_PROFILES!$A:$A,0)))</f>
        <v/>
      </c>
      <c r="AE185" s="31" t="str">
        <f t="array" ref="AE185">IF($X185="","",INDEX(TARIFF_PROFILES!$K:$K,MATCH($X185,TARIFF_PROFILES!$A:$A,0)))</f>
        <v/>
      </c>
      <c r="AG185" s="8"/>
      <c r="AH185" s="8" t="str">
        <f>IF($AG185="","",SUMIFS(OPERATING_COEFFS!$C:$C,OPERATING_COEFFS!$A:$A,"DistanceClass",OPERATING_COEFFS!$B:$B,$AG185))</f>
        <v/>
      </c>
      <c r="AI185" s="8"/>
      <c r="AJ185" s="8" t="str">
        <f>IF($AI185="","",SUMIFS(OPERATING_COEFFS!$C:$C,OPERATING_COEFFS!$A:$A,"SeasonClass",OPERATING_COEFFS!$B:$B,$AI185))</f>
        <v/>
      </c>
      <c r="AK185" s="8"/>
      <c r="AL185" s="8" t="str">
        <f>IF($AK185="","",SUMIFS(OPERATING_COEFFS!$C:$C,OPERATING_COEFFS!$A:$A,"UrgencyClass",OPERATING_COEFFS!$B:$B,$AK185))</f>
        <v/>
      </c>
      <c r="AM185" s="8"/>
      <c r="AN185" s="8" t="str">
        <f t="array" ref="AN185">IF($AM185="","",INDEX(TAX_MODES!$B:$B,MATCH($AM185,TAX_MODES!$A:$A,0)))</f>
        <v/>
      </c>
    </row>
    <row r="186" ht="14.25" customHeight="1">
      <c r="C186" s="8"/>
      <c r="E186" s="8"/>
      <c r="G186" s="8"/>
      <c r="I186" s="8"/>
      <c r="K186" s="8"/>
      <c r="M186" s="8"/>
      <c r="O186" s="8"/>
      <c r="Q186" s="8"/>
      <c r="S186" s="8"/>
      <c r="V186" s="8"/>
      <c r="X186" s="31"/>
      <c r="Y186" s="31" t="str">
        <f>IF($X186="","",SUMIFS(TARIFF_PROFILES!$D:$D,TARIFF_PROFILES!$A:$A,$X186))</f>
        <v/>
      </c>
      <c r="Z186" s="31" t="str">
        <f>IF($X186="","",SUMIFS(TARIFF_PROFILES!$E:$E,TARIFF_PROFILES!$A:$A,$X186))</f>
        <v/>
      </c>
      <c r="AA186" s="31" t="str">
        <f>IF($X186="","",SUMIFS(TARIFF_PROFILES!$F:$F,TARIFF_PROFILES!$A:$A,$X186))</f>
        <v/>
      </c>
      <c r="AB186" s="31" t="str">
        <f>IF($X186="","",SUMIFS(TARIFF_PROFILES!$G:$G,TARIFF_PROFILES!$A:$A,$X186))</f>
        <v/>
      </c>
      <c r="AC186" s="31" t="str">
        <f>IF($X186="","",SUMIFS(TARIFF_PROFILES!$H:$H,TARIFF_PROFILES!$A:$A,$X186))</f>
        <v/>
      </c>
      <c r="AD186" s="31" t="str">
        <f t="array" ref="AD186">IF($X186="","",INDEX(TARIFF_PROFILES!$J:$J,MATCH($X186,TARIFF_PROFILES!$A:$A,0)))</f>
        <v/>
      </c>
      <c r="AE186" s="31" t="str">
        <f t="array" ref="AE186">IF($X186="","",INDEX(TARIFF_PROFILES!$K:$K,MATCH($X186,TARIFF_PROFILES!$A:$A,0)))</f>
        <v/>
      </c>
      <c r="AG186" s="8"/>
      <c r="AH186" s="8" t="str">
        <f>IF($AG186="","",SUMIFS(OPERATING_COEFFS!$C:$C,OPERATING_COEFFS!$A:$A,"DistanceClass",OPERATING_COEFFS!$B:$B,$AG186))</f>
        <v/>
      </c>
      <c r="AI186" s="8"/>
      <c r="AJ186" s="8" t="str">
        <f>IF($AI186="","",SUMIFS(OPERATING_COEFFS!$C:$C,OPERATING_COEFFS!$A:$A,"SeasonClass",OPERATING_COEFFS!$B:$B,$AI186))</f>
        <v/>
      </c>
      <c r="AK186" s="8"/>
      <c r="AL186" s="8" t="str">
        <f>IF($AK186="","",SUMIFS(OPERATING_COEFFS!$C:$C,OPERATING_COEFFS!$A:$A,"UrgencyClass",OPERATING_COEFFS!$B:$B,$AK186))</f>
        <v/>
      </c>
      <c r="AM186" s="8"/>
      <c r="AN186" s="8" t="str">
        <f t="array" ref="AN186">IF($AM186="","",INDEX(TAX_MODES!$B:$B,MATCH($AM186,TAX_MODES!$A:$A,0)))</f>
        <v/>
      </c>
    </row>
    <row r="187" ht="14.25" customHeight="1">
      <c r="C187" s="8"/>
      <c r="E187" s="8"/>
      <c r="G187" s="8"/>
      <c r="I187" s="8"/>
      <c r="K187" s="8"/>
      <c r="M187" s="8"/>
      <c r="O187" s="8"/>
      <c r="Q187" s="8"/>
      <c r="S187" s="8"/>
      <c r="V187" s="8"/>
      <c r="X187" s="31"/>
      <c r="Y187" s="31" t="str">
        <f>IF($X187="","",SUMIFS(TARIFF_PROFILES!$D:$D,TARIFF_PROFILES!$A:$A,$X187))</f>
        <v/>
      </c>
      <c r="Z187" s="31" t="str">
        <f>IF($X187="","",SUMIFS(TARIFF_PROFILES!$E:$E,TARIFF_PROFILES!$A:$A,$X187))</f>
        <v/>
      </c>
      <c r="AA187" s="31" t="str">
        <f>IF($X187="","",SUMIFS(TARIFF_PROFILES!$F:$F,TARIFF_PROFILES!$A:$A,$X187))</f>
        <v/>
      </c>
      <c r="AB187" s="31" t="str">
        <f>IF($X187="","",SUMIFS(TARIFF_PROFILES!$G:$G,TARIFF_PROFILES!$A:$A,$X187))</f>
        <v/>
      </c>
      <c r="AC187" s="31" t="str">
        <f>IF($X187="","",SUMIFS(TARIFF_PROFILES!$H:$H,TARIFF_PROFILES!$A:$A,$X187))</f>
        <v/>
      </c>
      <c r="AD187" s="31" t="str">
        <f t="array" ref="AD187">IF($X187="","",INDEX(TARIFF_PROFILES!$J:$J,MATCH($X187,TARIFF_PROFILES!$A:$A,0)))</f>
        <v/>
      </c>
      <c r="AE187" s="31" t="str">
        <f t="array" ref="AE187">IF($X187="","",INDEX(TARIFF_PROFILES!$K:$K,MATCH($X187,TARIFF_PROFILES!$A:$A,0)))</f>
        <v/>
      </c>
      <c r="AG187" s="8"/>
      <c r="AH187" s="8" t="str">
        <f>IF($AG187="","",SUMIFS(OPERATING_COEFFS!$C:$C,OPERATING_COEFFS!$A:$A,"DistanceClass",OPERATING_COEFFS!$B:$B,$AG187))</f>
        <v/>
      </c>
      <c r="AI187" s="8"/>
      <c r="AJ187" s="8" t="str">
        <f>IF($AI187="","",SUMIFS(OPERATING_COEFFS!$C:$C,OPERATING_COEFFS!$A:$A,"SeasonClass",OPERATING_COEFFS!$B:$B,$AI187))</f>
        <v/>
      </c>
      <c r="AK187" s="8"/>
      <c r="AL187" s="8" t="str">
        <f>IF($AK187="","",SUMIFS(OPERATING_COEFFS!$C:$C,OPERATING_COEFFS!$A:$A,"UrgencyClass",OPERATING_COEFFS!$B:$B,$AK187))</f>
        <v/>
      </c>
      <c r="AM187" s="8"/>
      <c r="AN187" s="8" t="str">
        <f t="array" ref="AN187">IF($AM187="","",INDEX(TAX_MODES!$B:$B,MATCH($AM187,TAX_MODES!$A:$A,0)))</f>
        <v/>
      </c>
    </row>
    <row r="188" ht="14.25" customHeight="1">
      <c r="C188" s="8"/>
      <c r="E188" s="8"/>
      <c r="G188" s="8"/>
      <c r="I188" s="8"/>
      <c r="K188" s="8"/>
      <c r="M188" s="8"/>
      <c r="O188" s="8"/>
      <c r="Q188" s="8"/>
      <c r="S188" s="8"/>
      <c r="V188" s="8"/>
      <c r="X188" s="31"/>
      <c r="Y188" s="31" t="str">
        <f>IF($X188="","",SUMIFS(TARIFF_PROFILES!$D:$D,TARIFF_PROFILES!$A:$A,$X188))</f>
        <v/>
      </c>
      <c r="Z188" s="31" t="str">
        <f>IF($X188="","",SUMIFS(TARIFF_PROFILES!$E:$E,TARIFF_PROFILES!$A:$A,$X188))</f>
        <v/>
      </c>
      <c r="AA188" s="31" t="str">
        <f>IF($X188="","",SUMIFS(TARIFF_PROFILES!$F:$F,TARIFF_PROFILES!$A:$A,$X188))</f>
        <v/>
      </c>
      <c r="AB188" s="31" t="str">
        <f>IF($X188="","",SUMIFS(TARIFF_PROFILES!$G:$G,TARIFF_PROFILES!$A:$A,$X188))</f>
        <v/>
      </c>
      <c r="AC188" s="31" t="str">
        <f>IF($X188="","",SUMIFS(TARIFF_PROFILES!$H:$H,TARIFF_PROFILES!$A:$A,$X188))</f>
        <v/>
      </c>
      <c r="AD188" s="31" t="str">
        <f t="array" ref="AD188">IF($X188="","",INDEX(TARIFF_PROFILES!$J:$J,MATCH($X188,TARIFF_PROFILES!$A:$A,0)))</f>
        <v/>
      </c>
      <c r="AE188" s="31" t="str">
        <f t="array" ref="AE188">IF($X188="","",INDEX(TARIFF_PROFILES!$K:$K,MATCH($X188,TARIFF_PROFILES!$A:$A,0)))</f>
        <v/>
      </c>
      <c r="AG188" s="8"/>
      <c r="AH188" s="8" t="str">
        <f>IF($AG188="","",SUMIFS(OPERATING_COEFFS!$C:$C,OPERATING_COEFFS!$A:$A,"DistanceClass",OPERATING_COEFFS!$B:$B,$AG188))</f>
        <v/>
      </c>
      <c r="AI188" s="8"/>
      <c r="AJ188" s="8" t="str">
        <f>IF($AI188="","",SUMIFS(OPERATING_COEFFS!$C:$C,OPERATING_COEFFS!$A:$A,"SeasonClass",OPERATING_COEFFS!$B:$B,$AI188))</f>
        <v/>
      </c>
      <c r="AK188" s="8"/>
      <c r="AL188" s="8" t="str">
        <f>IF($AK188="","",SUMIFS(OPERATING_COEFFS!$C:$C,OPERATING_COEFFS!$A:$A,"UrgencyClass",OPERATING_COEFFS!$B:$B,$AK188))</f>
        <v/>
      </c>
      <c r="AM188" s="8"/>
      <c r="AN188" s="8" t="str">
        <f t="array" ref="AN188">IF($AM188="","",INDEX(TAX_MODES!$B:$B,MATCH($AM188,TAX_MODES!$A:$A,0)))</f>
        <v/>
      </c>
    </row>
    <row r="189" ht="14.25" customHeight="1">
      <c r="C189" s="8"/>
      <c r="E189" s="8"/>
      <c r="G189" s="8"/>
      <c r="I189" s="8"/>
      <c r="K189" s="8"/>
      <c r="M189" s="8"/>
      <c r="O189" s="8"/>
      <c r="Q189" s="8"/>
      <c r="S189" s="8"/>
      <c r="V189" s="8"/>
      <c r="X189" s="31"/>
      <c r="Y189" s="31" t="str">
        <f>IF($X189="","",SUMIFS(TARIFF_PROFILES!$D:$D,TARIFF_PROFILES!$A:$A,$X189))</f>
        <v/>
      </c>
      <c r="Z189" s="31" t="str">
        <f>IF($X189="","",SUMIFS(TARIFF_PROFILES!$E:$E,TARIFF_PROFILES!$A:$A,$X189))</f>
        <v/>
      </c>
      <c r="AA189" s="31" t="str">
        <f>IF($X189="","",SUMIFS(TARIFF_PROFILES!$F:$F,TARIFF_PROFILES!$A:$A,$X189))</f>
        <v/>
      </c>
      <c r="AB189" s="31" t="str">
        <f>IF($X189="","",SUMIFS(TARIFF_PROFILES!$G:$G,TARIFF_PROFILES!$A:$A,$X189))</f>
        <v/>
      </c>
      <c r="AC189" s="31" t="str">
        <f>IF($X189="","",SUMIFS(TARIFF_PROFILES!$H:$H,TARIFF_PROFILES!$A:$A,$X189))</f>
        <v/>
      </c>
      <c r="AD189" s="31" t="str">
        <f t="array" ref="AD189">IF($X189="","",INDEX(TARIFF_PROFILES!$J:$J,MATCH($X189,TARIFF_PROFILES!$A:$A,0)))</f>
        <v/>
      </c>
      <c r="AE189" s="31" t="str">
        <f t="array" ref="AE189">IF($X189="","",INDEX(TARIFF_PROFILES!$K:$K,MATCH($X189,TARIFF_PROFILES!$A:$A,0)))</f>
        <v/>
      </c>
      <c r="AG189" s="8"/>
      <c r="AH189" s="8" t="str">
        <f>IF($AG189="","",SUMIFS(OPERATING_COEFFS!$C:$C,OPERATING_COEFFS!$A:$A,"DistanceClass",OPERATING_COEFFS!$B:$B,$AG189))</f>
        <v/>
      </c>
      <c r="AI189" s="8"/>
      <c r="AJ189" s="8" t="str">
        <f>IF($AI189="","",SUMIFS(OPERATING_COEFFS!$C:$C,OPERATING_COEFFS!$A:$A,"SeasonClass",OPERATING_COEFFS!$B:$B,$AI189))</f>
        <v/>
      </c>
      <c r="AK189" s="8"/>
      <c r="AL189" s="8" t="str">
        <f>IF($AK189="","",SUMIFS(OPERATING_COEFFS!$C:$C,OPERATING_COEFFS!$A:$A,"UrgencyClass",OPERATING_COEFFS!$B:$B,$AK189))</f>
        <v/>
      </c>
      <c r="AM189" s="8"/>
      <c r="AN189" s="8" t="str">
        <f t="array" ref="AN189">IF($AM189="","",INDEX(TAX_MODES!$B:$B,MATCH($AM189,TAX_MODES!$A:$A,0)))</f>
        <v/>
      </c>
    </row>
    <row r="190" ht="14.25" customHeight="1">
      <c r="C190" s="8"/>
      <c r="E190" s="8"/>
      <c r="G190" s="8"/>
      <c r="I190" s="8"/>
      <c r="K190" s="8"/>
      <c r="M190" s="8"/>
      <c r="O190" s="8"/>
      <c r="Q190" s="8"/>
      <c r="S190" s="8"/>
      <c r="V190" s="8"/>
      <c r="X190" s="31"/>
      <c r="Y190" s="31" t="str">
        <f>IF($X190="","",SUMIFS(TARIFF_PROFILES!$D:$D,TARIFF_PROFILES!$A:$A,$X190))</f>
        <v/>
      </c>
      <c r="Z190" s="31" t="str">
        <f>IF($X190="","",SUMIFS(TARIFF_PROFILES!$E:$E,TARIFF_PROFILES!$A:$A,$X190))</f>
        <v/>
      </c>
      <c r="AA190" s="31" t="str">
        <f>IF($X190="","",SUMIFS(TARIFF_PROFILES!$F:$F,TARIFF_PROFILES!$A:$A,$X190))</f>
        <v/>
      </c>
      <c r="AB190" s="31" t="str">
        <f>IF($X190="","",SUMIFS(TARIFF_PROFILES!$G:$G,TARIFF_PROFILES!$A:$A,$X190))</f>
        <v/>
      </c>
      <c r="AC190" s="31" t="str">
        <f>IF($X190="","",SUMIFS(TARIFF_PROFILES!$H:$H,TARIFF_PROFILES!$A:$A,$X190))</f>
        <v/>
      </c>
      <c r="AD190" s="31" t="str">
        <f t="array" ref="AD190">IF($X190="","",INDEX(TARIFF_PROFILES!$J:$J,MATCH($X190,TARIFF_PROFILES!$A:$A,0)))</f>
        <v/>
      </c>
      <c r="AE190" s="31" t="str">
        <f t="array" ref="AE190">IF($X190="","",INDEX(TARIFF_PROFILES!$K:$K,MATCH($X190,TARIFF_PROFILES!$A:$A,0)))</f>
        <v/>
      </c>
      <c r="AG190" s="8"/>
      <c r="AH190" s="8" t="str">
        <f>IF($AG190="","",SUMIFS(OPERATING_COEFFS!$C:$C,OPERATING_COEFFS!$A:$A,"DistanceClass",OPERATING_COEFFS!$B:$B,$AG190))</f>
        <v/>
      </c>
      <c r="AI190" s="8"/>
      <c r="AJ190" s="8" t="str">
        <f>IF($AI190="","",SUMIFS(OPERATING_COEFFS!$C:$C,OPERATING_COEFFS!$A:$A,"SeasonClass",OPERATING_COEFFS!$B:$B,$AI190))</f>
        <v/>
      </c>
      <c r="AK190" s="8"/>
      <c r="AL190" s="8" t="str">
        <f>IF($AK190="","",SUMIFS(OPERATING_COEFFS!$C:$C,OPERATING_COEFFS!$A:$A,"UrgencyClass",OPERATING_COEFFS!$B:$B,$AK190))</f>
        <v/>
      </c>
      <c r="AM190" s="8"/>
      <c r="AN190" s="8" t="str">
        <f t="array" ref="AN190">IF($AM190="","",INDEX(TAX_MODES!$B:$B,MATCH($AM190,TAX_MODES!$A:$A,0)))</f>
        <v/>
      </c>
    </row>
    <row r="191" ht="14.25" customHeight="1">
      <c r="C191" s="8"/>
      <c r="E191" s="8"/>
      <c r="G191" s="8"/>
      <c r="I191" s="8"/>
      <c r="K191" s="8"/>
      <c r="M191" s="8"/>
      <c r="O191" s="8"/>
      <c r="Q191" s="8"/>
      <c r="S191" s="8"/>
      <c r="V191" s="8"/>
      <c r="X191" s="31"/>
      <c r="Y191" s="31" t="str">
        <f>IF($X191="","",SUMIFS(TARIFF_PROFILES!$D:$D,TARIFF_PROFILES!$A:$A,$X191))</f>
        <v/>
      </c>
      <c r="Z191" s="31" t="str">
        <f>IF($X191="","",SUMIFS(TARIFF_PROFILES!$E:$E,TARIFF_PROFILES!$A:$A,$X191))</f>
        <v/>
      </c>
      <c r="AA191" s="31" t="str">
        <f>IF($X191="","",SUMIFS(TARIFF_PROFILES!$F:$F,TARIFF_PROFILES!$A:$A,$X191))</f>
        <v/>
      </c>
      <c r="AB191" s="31" t="str">
        <f>IF($X191="","",SUMIFS(TARIFF_PROFILES!$G:$G,TARIFF_PROFILES!$A:$A,$X191))</f>
        <v/>
      </c>
      <c r="AC191" s="31" t="str">
        <f>IF($X191="","",SUMIFS(TARIFF_PROFILES!$H:$H,TARIFF_PROFILES!$A:$A,$X191))</f>
        <v/>
      </c>
      <c r="AD191" s="31" t="str">
        <f t="array" ref="AD191">IF($X191="","",INDEX(TARIFF_PROFILES!$J:$J,MATCH($X191,TARIFF_PROFILES!$A:$A,0)))</f>
        <v/>
      </c>
      <c r="AE191" s="31" t="str">
        <f t="array" ref="AE191">IF($X191="","",INDEX(TARIFF_PROFILES!$K:$K,MATCH($X191,TARIFF_PROFILES!$A:$A,0)))</f>
        <v/>
      </c>
      <c r="AG191" s="8"/>
      <c r="AH191" s="8" t="str">
        <f>IF($AG191="","",SUMIFS(OPERATING_COEFFS!$C:$C,OPERATING_COEFFS!$A:$A,"DistanceClass",OPERATING_COEFFS!$B:$B,$AG191))</f>
        <v/>
      </c>
      <c r="AI191" s="8"/>
      <c r="AJ191" s="8" t="str">
        <f>IF($AI191="","",SUMIFS(OPERATING_COEFFS!$C:$C,OPERATING_COEFFS!$A:$A,"SeasonClass",OPERATING_COEFFS!$B:$B,$AI191))</f>
        <v/>
      </c>
      <c r="AK191" s="8"/>
      <c r="AL191" s="8" t="str">
        <f>IF($AK191="","",SUMIFS(OPERATING_COEFFS!$C:$C,OPERATING_COEFFS!$A:$A,"UrgencyClass",OPERATING_COEFFS!$B:$B,$AK191))</f>
        <v/>
      </c>
      <c r="AM191" s="8"/>
      <c r="AN191" s="8" t="str">
        <f t="array" ref="AN191">IF($AM191="","",INDEX(TAX_MODES!$B:$B,MATCH($AM191,TAX_MODES!$A:$A,0)))</f>
        <v/>
      </c>
    </row>
    <row r="192" ht="14.25" customHeight="1">
      <c r="C192" s="8"/>
      <c r="E192" s="8"/>
      <c r="G192" s="8"/>
      <c r="I192" s="8"/>
      <c r="K192" s="8"/>
      <c r="M192" s="8"/>
      <c r="O192" s="8"/>
      <c r="Q192" s="8"/>
      <c r="S192" s="8"/>
      <c r="V192" s="8"/>
      <c r="X192" s="31"/>
      <c r="Y192" s="31" t="str">
        <f>IF($X192="","",SUMIFS(TARIFF_PROFILES!$D:$D,TARIFF_PROFILES!$A:$A,$X192))</f>
        <v/>
      </c>
      <c r="Z192" s="31" t="str">
        <f>IF($X192="","",SUMIFS(TARIFF_PROFILES!$E:$E,TARIFF_PROFILES!$A:$A,$X192))</f>
        <v/>
      </c>
      <c r="AA192" s="31" t="str">
        <f>IF($X192="","",SUMIFS(TARIFF_PROFILES!$F:$F,TARIFF_PROFILES!$A:$A,$X192))</f>
        <v/>
      </c>
      <c r="AB192" s="31" t="str">
        <f>IF($X192="","",SUMIFS(TARIFF_PROFILES!$G:$G,TARIFF_PROFILES!$A:$A,$X192))</f>
        <v/>
      </c>
      <c r="AC192" s="31" t="str">
        <f>IF($X192="","",SUMIFS(TARIFF_PROFILES!$H:$H,TARIFF_PROFILES!$A:$A,$X192))</f>
        <v/>
      </c>
      <c r="AD192" s="31" t="str">
        <f t="array" ref="AD192">IF($X192="","",INDEX(TARIFF_PROFILES!$J:$J,MATCH($X192,TARIFF_PROFILES!$A:$A,0)))</f>
        <v/>
      </c>
      <c r="AE192" s="31" t="str">
        <f t="array" ref="AE192">IF($X192="","",INDEX(TARIFF_PROFILES!$K:$K,MATCH($X192,TARIFF_PROFILES!$A:$A,0)))</f>
        <v/>
      </c>
      <c r="AG192" s="8"/>
      <c r="AH192" s="8" t="str">
        <f>IF($AG192="","",SUMIFS(OPERATING_COEFFS!$C:$C,OPERATING_COEFFS!$A:$A,"DistanceClass",OPERATING_COEFFS!$B:$B,$AG192))</f>
        <v/>
      </c>
      <c r="AI192" s="8"/>
      <c r="AJ192" s="8" t="str">
        <f>IF($AI192="","",SUMIFS(OPERATING_COEFFS!$C:$C,OPERATING_COEFFS!$A:$A,"SeasonClass",OPERATING_COEFFS!$B:$B,$AI192))</f>
        <v/>
      </c>
      <c r="AK192" s="8"/>
      <c r="AL192" s="8" t="str">
        <f>IF($AK192="","",SUMIFS(OPERATING_COEFFS!$C:$C,OPERATING_COEFFS!$A:$A,"UrgencyClass",OPERATING_COEFFS!$B:$B,$AK192))</f>
        <v/>
      </c>
      <c r="AM192" s="8"/>
      <c r="AN192" s="8" t="str">
        <f t="array" ref="AN192">IF($AM192="","",INDEX(TAX_MODES!$B:$B,MATCH($AM192,TAX_MODES!$A:$A,0)))</f>
        <v/>
      </c>
    </row>
    <row r="193" ht="14.25" customHeight="1">
      <c r="C193" s="8"/>
      <c r="E193" s="8"/>
      <c r="G193" s="8"/>
      <c r="I193" s="8"/>
      <c r="K193" s="8"/>
      <c r="M193" s="8"/>
      <c r="O193" s="8"/>
      <c r="Q193" s="8"/>
      <c r="S193" s="8"/>
      <c r="V193" s="8"/>
      <c r="X193" s="31"/>
      <c r="Y193" s="31" t="str">
        <f>IF($X193="","",SUMIFS(TARIFF_PROFILES!$D:$D,TARIFF_PROFILES!$A:$A,$X193))</f>
        <v/>
      </c>
      <c r="Z193" s="31" t="str">
        <f>IF($X193="","",SUMIFS(TARIFF_PROFILES!$E:$E,TARIFF_PROFILES!$A:$A,$X193))</f>
        <v/>
      </c>
      <c r="AA193" s="31" t="str">
        <f>IF($X193="","",SUMIFS(TARIFF_PROFILES!$F:$F,TARIFF_PROFILES!$A:$A,$X193))</f>
        <v/>
      </c>
      <c r="AB193" s="31" t="str">
        <f>IF($X193="","",SUMIFS(TARIFF_PROFILES!$G:$G,TARIFF_PROFILES!$A:$A,$X193))</f>
        <v/>
      </c>
      <c r="AC193" s="31" t="str">
        <f>IF($X193="","",SUMIFS(TARIFF_PROFILES!$H:$H,TARIFF_PROFILES!$A:$A,$X193))</f>
        <v/>
      </c>
      <c r="AD193" s="31" t="str">
        <f t="array" ref="AD193">IF($X193="","",INDEX(TARIFF_PROFILES!$J:$J,MATCH($X193,TARIFF_PROFILES!$A:$A,0)))</f>
        <v/>
      </c>
      <c r="AE193" s="31" t="str">
        <f t="array" ref="AE193">IF($X193="","",INDEX(TARIFF_PROFILES!$K:$K,MATCH($X193,TARIFF_PROFILES!$A:$A,0)))</f>
        <v/>
      </c>
      <c r="AG193" s="8"/>
      <c r="AH193" s="8" t="str">
        <f>IF($AG193="","",SUMIFS(OPERATING_COEFFS!$C:$C,OPERATING_COEFFS!$A:$A,"DistanceClass",OPERATING_COEFFS!$B:$B,$AG193))</f>
        <v/>
      </c>
      <c r="AI193" s="8"/>
      <c r="AJ193" s="8" t="str">
        <f>IF($AI193="","",SUMIFS(OPERATING_COEFFS!$C:$C,OPERATING_COEFFS!$A:$A,"SeasonClass",OPERATING_COEFFS!$B:$B,$AI193))</f>
        <v/>
      </c>
      <c r="AK193" s="8"/>
      <c r="AL193" s="8" t="str">
        <f>IF($AK193="","",SUMIFS(OPERATING_COEFFS!$C:$C,OPERATING_COEFFS!$A:$A,"UrgencyClass",OPERATING_COEFFS!$B:$B,$AK193))</f>
        <v/>
      </c>
      <c r="AM193" s="8"/>
      <c r="AN193" s="8" t="str">
        <f t="array" ref="AN193">IF($AM193="","",INDEX(TAX_MODES!$B:$B,MATCH($AM193,TAX_MODES!$A:$A,0)))</f>
        <v/>
      </c>
    </row>
    <row r="194" ht="14.25" customHeight="1">
      <c r="C194" s="8"/>
      <c r="E194" s="8"/>
      <c r="G194" s="8"/>
      <c r="I194" s="8"/>
      <c r="K194" s="8"/>
      <c r="M194" s="8"/>
      <c r="O194" s="8"/>
      <c r="Q194" s="8"/>
      <c r="S194" s="8"/>
      <c r="V194" s="8"/>
      <c r="X194" s="31"/>
      <c r="Y194" s="31" t="str">
        <f>IF($X194="","",SUMIFS(TARIFF_PROFILES!$D:$D,TARIFF_PROFILES!$A:$A,$X194))</f>
        <v/>
      </c>
      <c r="Z194" s="31" t="str">
        <f>IF($X194="","",SUMIFS(TARIFF_PROFILES!$E:$E,TARIFF_PROFILES!$A:$A,$X194))</f>
        <v/>
      </c>
      <c r="AA194" s="31" t="str">
        <f>IF($X194="","",SUMIFS(TARIFF_PROFILES!$F:$F,TARIFF_PROFILES!$A:$A,$X194))</f>
        <v/>
      </c>
      <c r="AB194" s="31" t="str">
        <f>IF($X194="","",SUMIFS(TARIFF_PROFILES!$G:$G,TARIFF_PROFILES!$A:$A,$X194))</f>
        <v/>
      </c>
      <c r="AC194" s="31" t="str">
        <f>IF($X194="","",SUMIFS(TARIFF_PROFILES!$H:$H,TARIFF_PROFILES!$A:$A,$X194))</f>
        <v/>
      </c>
      <c r="AD194" s="31" t="str">
        <f t="array" ref="AD194">IF($X194="","",INDEX(TARIFF_PROFILES!$J:$J,MATCH($X194,TARIFF_PROFILES!$A:$A,0)))</f>
        <v/>
      </c>
      <c r="AE194" s="31" t="str">
        <f t="array" ref="AE194">IF($X194="","",INDEX(TARIFF_PROFILES!$K:$K,MATCH($X194,TARIFF_PROFILES!$A:$A,0)))</f>
        <v/>
      </c>
      <c r="AG194" s="8"/>
      <c r="AH194" s="8" t="str">
        <f>IF($AG194="","",SUMIFS(OPERATING_COEFFS!$C:$C,OPERATING_COEFFS!$A:$A,"DistanceClass",OPERATING_COEFFS!$B:$B,$AG194))</f>
        <v/>
      </c>
      <c r="AI194" s="8"/>
      <c r="AJ194" s="8" t="str">
        <f>IF($AI194="","",SUMIFS(OPERATING_COEFFS!$C:$C,OPERATING_COEFFS!$A:$A,"SeasonClass",OPERATING_COEFFS!$B:$B,$AI194))</f>
        <v/>
      </c>
      <c r="AK194" s="8"/>
      <c r="AL194" s="8" t="str">
        <f>IF($AK194="","",SUMIFS(OPERATING_COEFFS!$C:$C,OPERATING_COEFFS!$A:$A,"UrgencyClass",OPERATING_COEFFS!$B:$B,$AK194))</f>
        <v/>
      </c>
      <c r="AM194" s="8"/>
      <c r="AN194" s="8" t="str">
        <f t="array" ref="AN194">IF($AM194="","",INDEX(TAX_MODES!$B:$B,MATCH($AM194,TAX_MODES!$A:$A,0)))</f>
        <v/>
      </c>
    </row>
    <row r="195" ht="14.25" customHeight="1">
      <c r="C195" s="8"/>
      <c r="E195" s="8"/>
      <c r="G195" s="8"/>
      <c r="I195" s="8"/>
      <c r="K195" s="8"/>
      <c r="M195" s="8"/>
      <c r="O195" s="8"/>
      <c r="Q195" s="8"/>
      <c r="S195" s="8"/>
      <c r="V195" s="8"/>
      <c r="X195" s="31"/>
      <c r="Y195" s="31" t="str">
        <f>IF($X195="","",SUMIFS(TARIFF_PROFILES!$D:$D,TARIFF_PROFILES!$A:$A,$X195))</f>
        <v/>
      </c>
      <c r="Z195" s="31" t="str">
        <f>IF($X195="","",SUMIFS(TARIFF_PROFILES!$E:$E,TARIFF_PROFILES!$A:$A,$X195))</f>
        <v/>
      </c>
      <c r="AA195" s="31" t="str">
        <f>IF($X195="","",SUMIFS(TARIFF_PROFILES!$F:$F,TARIFF_PROFILES!$A:$A,$X195))</f>
        <v/>
      </c>
      <c r="AB195" s="31" t="str">
        <f>IF($X195="","",SUMIFS(TARIFF_PROFILES!$G:$G,TARIFF_PROFILES!$A:$A,$X195))</f>
        <v/>
      </c>
      <c r="AC195" s="31" t="str">
        <f>IF($X195="","",SUMIFS(TARIFF_PROFILES!$H:$H,TARIFF_PROFILES!$A:$A,$X195))</f>
        <v/>
      </c>
      <c r="AD195" s="31" t="str">
        <f t="array" ref="AD195">IF($X195="","",INDEX(TARIFF_PROFILES!$J:$J,MATCH($X195,TARIFF_PROFILES!$A:$A,0)))</f>
        <v/>
      </c>
      <c r="AE195" s="31" t="str">
        <f t="array" ref="AE195">IF($X195="","",INDEX(TARIFF_PROFILES!$K:$K,MATCH($X195,TARIFF_PROFILES!$A:$A,0)))</f>
        <v/>
      </c>
      <c r="AG195" s="8"/>
      <c r="AH195" s="8" t="str">
        <f>IF($AG195="","",SUMIFS(OPERATING_COEFFS!$C:$C,OPERATING_COEFFS!$A:$A,"DistanceClass",OPERATING_COEFFS!$B:$B,$AG195))</f>
        <v/>
      </c>
      <c r="AI195" s="8"/>
      <c r="AJ195" s="8" t="str">
        <f>IF($AI195="","",SUMIFS(OPERATING_COEFFS!$C:$C,OPERATING_COEFFS!$A:$A,"SeasonClass",OPERATING_COEFFS!$B:$B,$AI195))</f>
        <v/>
      </c>
      <c r="AK195" s="8"/>
      <c r="AL195" s="8" t="str">
        <f>IF($AK195="","",SUMIFS(OPERATING_COEFFS!$C:$C,OPERATING_COEFFS!$A:$A,"UrgencyClass",OPERATING_COEFFS!$B:$B,$AK195))</f>
        <v/>
      </c>
      <c r="AM195" s="8"/>
      <c r="AN195" s="8" t="str">
        <f t="array" ref="AN195">IF($AM195="","",INDEX(TAX_MODES!$B:$B,MATCH($AM195,TAX_MODES!$A:$A,0)))</f>
        <v/>
      </c>
    </row>
    <row r="196" ht="14.25" customHeight="1">
      <c r="C196" s="8"/>
      <c r="E196" s="8"/>
      <c r="G196" s="8"/>
      <c r="I196" s="8"/>
      <c r="K196" s="8"/>
      <c r="M196" s="8"/>
      <c r="O196" s="8"/>
      <c r="Q196" s="8"/>
      <c r="S196" s="8"/>
      <c r="V196" s="8"/>
      <c r="X196" s="31"/>
      <c r="Y196" s="31" t="str">
        <f>IF($X196="","",SUMIFS(TARIFF_PROFILES!$D:$D,TARIFF_PROFILES!$A:$A,$X196))</f>
        <v/>
      </c>
      <c r="Z196" s="31" t="str">
        <f>IF($X196="","",SUMIFS(TARIFF_PROFILES!$E:$E,TARIFF_PROFILES!$A:$A,$X196))</f>
        <v/>
      </c>
      <c r="AA196" s="31" t="str">
        <f>IF($X196="","",SUMIFS(TARIFF_PROFILES!$F:$F,TARIFF_PROFILES!$A:$A,$X196))</f>
        <v/>
      </c>
      <c r="AB196" s="31" t="str">
        <f>IF($X196="","",SUMIFS(TARIFF_PROFILES!$G:$G,TARIFF_PROFILES!$A:$A,$X196))</f>
        <v/>
      </c>
      <c r="AC196" s="31" t="str">
        <f>IF($X196="","",SUMIFS(TARIFF_PROFILES!$H:$H,TARIFF_PROFILES!$A:$A,$X196))</f>
        <v/>
      </c>
      <c r="AD196" s="31" t="str">
        <f t="array" ref="AD196">IF($X196="","",INDEX(TARIFF_PROFILES!$J:$J,MATCH($X196,TARIFF_PROFILES!$A:$A,0)))</f>
        <v/>
      </c>
      <c r="AE196" s="31" t="str">
        <f t="array" ref="AE196">IF($X196="","",INDEX(TARIFF_PROFILES!$K:$K,MATCH($X196,TARIFF_PROFILES!$A:$A,0)))</f>
        <v/>
      </c>
      <c r="AG196" s="8"/>
      <c r="AH196" s="8" t="str">
        <f>IF($AG196="","",SUMIFS(OPERATING_COEFFS!$C:$C,OPERATING_COEFFS!$A:$A,"DistanceClass",OPERATING_COEFFS!$B:$B,$AG196))</f>
        <v/>
      </c>
      <c r="AI196" s="8"/>
      <c r="AJ196" s="8" t="str">
        <f>IF($AI196="","",SUMIFS(OPERATING_COEFFS!$C:$C,OPERATING_COEFFS!$A:$A,"SeasonClass",OPERATING_COEFFS!$B:$B,$AI196))</f>
        <v/>
      </c>
      <c r="AK196" s="8"/>
      <c r="AL196" s="8" t="str">
        <f>IF($AK196="","",SUMIFS(OPERATING_COEFFS!$C:$C,OPERATING_COEFFS!$A:$A,"UrgencyClass",OPERATING_COEFFS!$B:$B,$AK196))</f>
        <v/>
      </c>
      <c r="AM196" s="8"/>
      <c r="AN196" s="8" t="str">
        <f t="array" ref="AN196">IF($AM196="","",INDEX(TAX_MODES!$B:$B,MATCH($AM196,TAX_MODES!$A:$A,0)))</f>
        <v/>
      </c>
    </row>
    <row r="197" ht="14.25" customHeight="1">
      <c r="C197" s="8"/>
      <c r="E197" s="8"/>
      <c r="G197" s="8"/>
      <c r="I197" s="8"/>
      <c r="K197" s="8"/>
      <c r="M197" s="8"/>
      <c r="O197" s="8"/>
      <c r="Q197" s="8"/>
      <c r="S197" s="8"/>
      <c r="V197" s="8"/>
      <c r="X197" s="31"/>
      <c r="Y197" s="31" t="str">
        <f>IF($X197="","",SUMIFS(TARIFF_PROFILES!$D:$D,TARIFF_PROFILES!$A:$A,$X197))</f>
        <v/>
      </c>
      <c r="Z197" s="31" t="str">
        <f>IF($X197="","",SUMIFS(TARIFF_PROFILES!$E:$E,TARIFF_PROFILES!$A:$A,$X197))</f>
        <v/>
      </c>
      <c r="AA197" s="31" t="str">
        <f>IF($X197="","",SUMIFS(TARIFF_PROFILES!$F:$F,TARIFF_PROFILES!$A:$A,$X197))</f>
        <v/>
      </c>
      <c r="AB197" s="31" t="str">
        <f>IF($X197="","",SUMIFS(TARIFF_PROFILES!$G:$G,TARIFF_PROFILES!$A:$A,$X197))</f>
        <v/>
      </c>
      <c r="AC197" s="31" t="str">
        <f>IF($X197="","",SUMIFS(TARIFF_PROFILES!$H:$H,TARIFF_PROFILES!$A:$A,$X197))</f>
        <v/>
      </c>
      <c r="AD197" s="31" t="str">
        <f t="array" ref="AD197">IF($X197="","",INDEX(TARIFF_PROFILES!$J:$J,MATCH($X197,TARIFF_PROFILES!$A:$A,0)))</f>
        <v/>
      </c>
      <c r="AE197" s="31" t="str">
        <f t="array" ref="AE197">IF($X197="","",INDEX(TARIFF_PROFILES!$K:$K,MATCH($X197,TARIFF_PROFILES!$A:$A,0)))</f>
        <v/>
      </c>
      <c r="AG197" s="8"/>
      <c r="AH197" s="8" t="str">
        <f>IF($AG197="","",SUMIFS(OPERATING_COEFFS!$C:$C,OPERATING_COEFFS!$A:$A,"DistanceClass",OPERATING_COEFFS!$B:$B,$AG197))</f>
        <v/>
      </c>
      <c r="AI197" s="8"/>
      <c r="AJ197" s="8" t="str">
        <f>IF($AI197="","",SUMIFS(OPERATING_COEFFS!$C:$C,OPERATING_COEFFS!$A:$A,"SeasonClass",OPERATING_COEFFS!$B:$B,$AI197))</f>
        <v/>
      </c>
      <c r="AK197" s="8"/>
      <c r="AL197" s="8" t="str">
        <f>IF($AK197="","",SUMIFS(OPERATING_COEFFS!$C:$C,OPERATING_COEFFS!$A:$A,"UrgencyClass",OPERATING_COEFFS!$B:$B,$AK197))</f>
        <v/>
      </c>
      <c r="AM197" s="8"/>
      <c r="AN197" s="8" t="str">
        <f t="array" ref="AN197">IF($AM197="","",INDEX(TAX_MODES!$B:$B,MATCH($AM197,TAX_MODES!$A:$A,0)))</f>
        <v/>
      </c>
    </row>
    <row r="198" ht="14.25" customHeight="1">
      <c r="C198" s="8"/>
      <c r="E198" s="8"/>
      <c r="G198" s="8"/>
      <c r="I198" s="8"/>
      <c r="K198" s="8"/>
      <c r="M198" s="8"/>
      <c r="O198" s="8"/>
      <c r="Q198" s="8"/>
      <c r="S198" s="8"/>
      <c r="V198" s="8"/>
      <c r="X198" s="31"/>
      <c r="Y198" s="31" t="str">
        <f>IF($X198="","",SUMIFS(TARIFF_PROFILES!$D:$D,TARIFF_PROFILES!$A:$A,$X198))</f>
        <v/>
      </c>
      <c r="Z198" s="31" t="str">
        <f>IF($X198="","",SUMIFS(TARIFF_PROFILES!$E:$E,TARIFF_PROFILES!$A:$A,$X198))</f>
        <v/>
      </c>
      <c r="AA198" s="31" t="str">
        <f>IF($X198="","",SUMIFS(TARIFF_PROFILES!$F:$F,TARIFF_PROFILES!$A:$A,$X198))</f>
        <v/>
      </c>
      <c r="AB198" s="31" t="str">
        <f>IF($X198="","",SUMIFS(TARIFF_PROFILES!$G:$G,TARIFF_PROFILES!$A:$A,$X198))</f>
        <v/>
      </c>
      <c r="AC198" s="31" t="str">
        <f>IF($X198="","",SUMIFS(TARIFF_PROFILES!$H:$H,TARIFF_PROFILES!$A:$A,$X198))</f>
        <v/>
      </c>
      <c r="AD198" s="31" t="str">
        <f t="array" ref="AD198">IF($X198="","",INDEX(TARIFF_PROFILES!$J:$J,MATCH($X198,TARIFF_PROFILES!$A:$A,0)))</f>
        <v/>
      </c>
      <c r="AE198" s="31" t="str">
        <f t="array" ref="AE198">IF($X198="","",INDEX(TARIFF_PROFILES!$K:$K,MATCH($X198,TARIFF_PROFILES!$A:$A,0)))</f>
        <v/>
      </c>
      <c r="AG198" s="8"/>
      <c r="AH198" s="8" t="str">
        <f>IF($AG198="","",SUMIFS(OPERATING_COEFFS!$C:$C,OPERATING_COEFFS!$A:$A,"DistanceClass",OPERATING_COEFFS!$B:$B,$AG198))</f>
        <v/>
      </c>
      <c r="AI198" s="8"/>
      <c r="AJ198" s="8" t="str">
        <f>IF($AI198="","",SUMIFS(OPERATING_COEFFS!$C:$C,OPERATING_COEFFS!$A:$A,"SeasonClass",OPERATING_COEFFS!$B:$B,$AI198))</f>
        <v/>
      </c>
      <c r="AK198" s="8"/>
      <c r="AL198" s="8" t="str">
        <f>IF($AK198="","",SUMIFS(OPERATING_COEFFS!$C:$C,OPERATING_COEFFS!$A:$A,"UrgencyClass",OPERATING_COEFFS!$B:$B,$AK198))</f>
        <v/>
      </c>
      <c r="AM198" s="8"/>
      <c r="AN198" s="8" t="str">
        <f t="array" ref="AN198">IF($AM198="","",INDEX(TAX_MODES!$B:$B,MATCH($AM198,TAX_MODES!$A:$A,0)))</f>
        <v/>
      </c>
    </row>
    <row r="199" ht="14.25" customHeight="1">
      <c r="C199" s="8"/>
      <c r="E199" s="8"/>
      <c r="G199" s="8"/>
      <c r="I199" s="8"/>
      <c r="K199" s="8"/>
      <c r="M199" s="8"/>
      <c r="O199" s="8"/>
      <c r="Q199" s="8"/>
      <c r="S199" s="8"/>
      <c r="V199" s="8"/>
      <c r="X199" s="31"/>
      <c r="Y199" s="31" t="str">
        <f>IF($X199="","",SUMIFS(TARIFF_PROFILES!$D:$D,TARIFF_PROFILES!$A:$A,$X199))</f>
        <v/>
      </c>
      <c r="Z199" s="31" t="str">
        <f>IF($X199="","",SUMIFS(TARIFF_PROFILES!$E:$E,TARIFF_PROFILES!$A:$A,$X199))</f>
        <v/>
      </c>
      <c r="AA199" s="31" t="str">
        <f>IF($X199="","",SUMIFS(TARIFF_PROFILES!$F:$F,TARIFF_PROFILES!$A:$A,$X199))</f>
        <v/>
      </c>
      <c r="AB199" s="31" t="str">
        <f>IF($X199="","",SUMIFS(TARIFF_PROFILES!$G:$G,TARIFF_PROFILES!$A:$A,$X199))</f>
        <v/>
      </c>
      <c r="AC199" s="31" t="str">
        <f>IF($X199="","",SUMIFS(TARIFF_PROFILES!$H:$H,TARIFF_PROFILES!$A:$A,$X199))</f>
        <v/>
      </c>
      <c r="AD199" s="31" t="str">
        <f t="array" ref="AD199">IF($X199="","",INDEX(TARIFF_PROFILES!$J:$J,MATCH($X199,TARIFF_PROFILES!$A:$A,0)))</f>
        <v/>
      </c>
      <c r="AE199" s="31" t="str">
        <f t="array" ref="AE199">IF($X199="","",INDEX(TARIFF_PROFILES!$K:$K,MATCH($X199,TARIFF_PROFILES!$A:$A,0)))</f>
        <v/>
      </c>
      <c r="AG199" s="8"/>
      <c r="AH199" s="8" t="str">
        <f>IF($AG199="","",SUMIFS(OPERATING_COEFFS!$C:$C,OPERATING_COEFFS!$A:$A,"DistanceClass",OPERATING_COEFFS!$B:$B,$AG199))</f>
        <v/>
      </c>
      <c r="AI199" s="8"/>
      <c r="AJ199" s="8" t="str">
        <f>IF($AI199="","",SUMIFS(OPERATING_COEFFS!$C:$C,OPERATING_COEFFS!$A:$A,"SeasonClass",OPERATING_COEFFS!$B:$B,$AI199))</f>
        <v/>
      </c>
      <c r="AK199" s="8"/>
      <c r="AL199" s="8" t="str">
        <f>IF($AK199="","",SUMIFS(OPERATING_COEFFS!$C:$C,OPERATING_COEFFS!$A:$A,"UrgencyClass",OPERATING_COEFFS!$B:$B,$AK199))</f>
        <v/>
      </c>
      <c r="AM199" s="8"/>
      <c r="AN199" s="8" t="str">
        <f t="array" ref="AN199">IF($AM199="","",INDEX(TAX_MODES!$B:$B,MATCH($AM199,TAX_MODES!$A:$A,0)))</f>
        <v/>
      </c>
    </row>
    <row r="200" ht="14.25" customHeight="1">
      <c r="C200" s="8"/>
      <c r="E200" s="8"/>
      <c r="G200" s="8"/>
      <c r="I200" s="8"/>
      <c r="K200" s="8"/>
      <c r="M200" s="8"/>
      <c r="O200" s="8"/>
      <c r="Q200" s="8"/>
      <c r="S200" s="8"/>
      <c r="V200" s="8"/>
      <c r="X200" s="31"/>
      <c r="Y200" s="31" t="str">
        <f>IF($X200="","",SUMIFS(TARIFF_PROFILES!$D:$D,TARIFF_PROFILES!$A:$A,$X200))</f>
        <v/>
      </c>
      <c r="Z200" s="31" t="str">
        <f>IF($X200="","",SUMIFS(TARIFF_PROFILES!$E:$E,TARIFF_PROFILES!$A:$A,$X200))</f>
        <v/>
      </c>
      <c r="AA200" s="31" t="str">
        <f>IF($X200="","",SUMIFS(TARIFF_PROFILES!$F:$F,TARIFF_PROFILES!$A:$A,$X200))</f>
        <v/>
      </c>
      <c r="AB200" s="31" t="str">
        <f>IF($X200="","",SUMIFS(TARIFF_PROFILES!$G:$G,TARIFF_PROFILES!$A:$A,$X200))</f>
        <v/>
      </c>
      <c r="AC200" s="31" t="str">
        <f>IF($X200="","",SUMIFS(TARIFF_PROFILES!$H:$H,TARIFF_PROFILES!$A:$A,$X200))</f>
        <v/>
      </c>
      <c r="AD200" s="31" t="str">
        <f t="array" ref="AD200">IF($X200="","",INDEX(TARIFF_PROFILES!$J:$J,MATCH($X200,TARIFF_PROFILES!$A:$A,0)))</f>
        <v/>
      </c>
      <c r="AE200" s="31" t="str">
        <f t="array" ref="AE200">IF($X200="","",INDEX(TARIFF_PROFILES!$K:$K,MATCH($X200,TARIFF_PROFILES!$A:$A,0)))</f>
        <v/>
      </c>
      <c r="AG200" s="8"/>
      <c r="AH200" s="8" t="str">
        <f>IF($AG200="","",SUMIFS(OPERATING_COEFFS!$C:$C,OPERATING_COEFFS!$A:$A,"DistanceClass",OPERATING_COEFFS!$B:$B,$AG200))</f>
        <v/>
      </c>
      <c r="AI200" s="8"/>
      <c r="AJ200" s="8" t="str">
        <f>IF($AI200="","",SUMIFS(OPERATING_COEFFS!$C:$C,OPERATING_COEFFS!$A:$A,"SeasonClass",OPERATING_COEFFS!$B:$B,$AI200))</f>
        <v/>
      </c>
      <c r="AK200" s="8"/>
      <c r="AL200" s="8" t="str">
        <f>IF($AK200="","",SUMIFS(OPERATING_COEFFS!$C:$C,OPERATING_COEFFS!$A:$A,"UrgencyClass",OPERATING_COEFFS!$B:$B,$AK200))</f>
        <v/>
      </c>
      <c r="AM200" s="8"/>
      <c r="AN200" s="8" t="str">
        <f t="array" ref="AN200">IF($AM200="","",INDEX(TAX_MODES!$B:$B,MATCH($AM200,TAX_MODES!$A:$A,0)))</f>
        <v/>
      </c>
    </row>
    <row r="201" ht="14.25" customHeight="1">
      <c r="C201" s="8"/>
      <c r="E201" s="8"/>
      <c r="G201" s="8"/>
      <c r="I201" s="8"/>
      <c r="K201" s="8"/>
      <c r="M201" s="8"/>
      <c r="O201" s="8"/>
      <c r="Q201" s="8"/>
      <c r="S201" s="8"/>
      <c r="V201" s="8"/>
      <c r="X201" s="31"/>
      <c r="Y201" s="31" t="str">
        <f>IF($X201="","",SUMIFS(TARIFF_PROFILES!$D:$D,TARIFF_PROFILES!$A:$A,$X201))</f>
        <v/>
      </c>
      <c r="Z201" s="31" t="str">
        <f>IF($X201="","",SUMIFS(TARIFF_PROFILES!$E:$E,TARIFF_PROFILES!$A:$A,$X201))</f>
        <v/>
      </c>
      <c r="AA201" s="31" t="str">
        <f>IF($X201="","",SUMIFS(TARIFF_PROFILES!$F:$F,TARIFF_PROFILES!$A:$A,$X201))</f>
        <v/>
      </c>
      <c r="AB201" s="31" t="str">
        <f>IF($X201="","",SUMIFS(TARIFF_PROFILES!$G:$G,TARIFF_PROFILES!$A:$A,$X201))</f>
        <v/>
      </c>
      <c r="AC201" s="31" t="str">
        <f>IF($X201="","",SUMIFS(TARIFF_PROFILES!$H:$H,TARIFF_PROFILES!$A:$A,$X201))</f>
        <v/>
      </c>
      <c r="AD201" s="31" t="str">
        <f t="array" ref="AD201">IF($X201="","",INDEX(TARIFF_PROFILES!$J:$J,MATCH($X201,TARIFF_PROFILES!$A:$A,0)))</f>
        <v/>
      </c>
      <c r="AE201" s="31" t="str">
        <f t="array" ref="AE201">IF($X201="","",INDEX(TARIFF_PROFILES!$K:$K,MATCH($X201,TARIFF_PROFILES!$A:$A,0)))</f>
        <v/>
      </c>
      <c r="AG201" s="8"/>
      <c r="AH201" s="8" t="str">
        <f>IF($AG201="","",SUMIFS(OPERATING_COEFFS!$C:$C,OPERATING_COEFFS!$A:$A,"DistanceClass",OPERATING_COEFFS!$B:$B,$AG201))</f>
        <v/>
      </c>
      <c r="AI201" s="8"/>
      <c r="AJ201" s="8" t="str">
        <f>IF($AI201="","",SUMIFS(OPERATING_COEFFS!$C:$C,OPERATING_COEFFS!$A:$A,"SeasonClass",OPERATING_COEFFS!$B:$B,$AI201))</f>
        <v/>
      </c>
      <c r="AK201" s="8"/>
      <c r="AL201" s="8" t="str">
        <f>IF($AK201="","",SUMIFS(OPERATING_COEFFS!$C:$C,OPERATING_COEFFS!$A:$A,"UrgencyClass",OPERATING_COEFFS!$B:$B,$AK201))</f>
        <v/>
      </c>
      <c r="AM201" s="8"/>
      <c r="AN201" s="8" t="str">
        <f t="array" ref="AN201">IF($AM201="","",INDEX(TAX_MODES!$B:$B,MATCH($AM201,TAX_MODES!$A:$A,0)))</f>
        <v/>
      </c>
    </row>
    <row r="202" ht="14.25" customHeight="1">
      <c r="C202" s="8"/>
      <c r="E202" s="8"/>
      <c r="G202" s="8"/>
      <c r="I202" s="8"/>
      <c r="K202" s="8"/>
      <c r="M202" s="8"/>
      <c r="O202" s="8"/>
      <c r="Q202" s="8"/>
      <c r="S202" s="8"/>
      <c r="V202" s="8"/>
      <c r="X202" s="31"/>
      <c r="Y202" s="31" t="str">
        <f>IF($X202="","",SUMIFS(TARIFF_PROFILES!$D:$D,TARIFF_PROFILES!$A:$A,$X202))</f>
        <v/>
      </c>
      <c r="Z202" s="31" t="str">
        <f>IF($X202="","",SUMIFS(TARIFF_PROFILES!$E:$E,TARIFF_PROFILES!$A:$A,$X202))</f>
        <v/>
      </c>
      <c r="AA202" s="31" t="str">
        <f>IF($X202="","",SUMIFS(TARIFF_PROFILES!$F:$F,TARIFF_PROFILES!$A:$A,$X202))</f>
        <v/>
      </c>
      <c r="AB202" s="31" t="str">
        <f>IF($X202="","",SUMIFS(TARIFF_PROFILES!$G:$G,TARIFF_PROFILES!$A:$A,$X202))</f>
        <v/>
      </c>
      <c r="AC202" s="31" t="str">
        <f>IF($X202="","",SUMIFS(TARIFF_PROFILES!$H:$H,TARIFF_PROFILES!$A:$A,$X202))</f>
        <v/>
      </c>
      <c r="AD202" s="31" t="str">
        <f t="array" ref="AD202">IF($X202="","",INDEX(TARIFF_PROFILES!$J:$J,MATCH($X202,TARIFF_PROFILES!$A:$A,0)))</f>
        <v/>
      </c>
      <c r="AE202" s="31" t="str">
        <f t="array" ref="AE202">IF($X202="","",INDEX(TARIFF_PROFILES!$K:$K,MATCH($X202,TARIFF_PROFILES!$A:$A,0)))</f>
        <v/>
      </c>
      <c r="AG202" s="8"/>
      <c r="AH202" s="8" t="str">
        <f>IF($AG202="","",SUMIFS(OPERATING_COEFFS!$C:$C,OPERATING_COEFFS!$A:$A,"DistanceClass",OPERATING_COEFFS!$B:$B,$AG202))</f>
        <v/>
      </c>
      <c r="AI202" s="8"/>
      <c r="AJ202" s="8" t="str">
        <f>IF($AI202="","",SUMIFS(OPERATING_COEFFS!$C:$C,OPERATING_COEFFS!$A:$A,"SeasonClass",OPERATING_COEFFS!$B:$B,$AI202))</f>
        <v/>
      </c>
      <c r="AK202" s="8"/>
      <c r="AL202" s="8" t="str">
        <f>IF($AK202="","",SUMIFS(OPERATING_COEFFS!$C:$C,OPERATING_COEFFS!$A:$A,"UrgencyClass",OPERATING_COEFFS!$B:$B,$AK202))</f>
        <v/>
      </c>
      <c r="AM202" s="8"/>
      <c r="AN202" s="8" t="str">
        <f t="array" ref="AN202">IF($AM202="","",INDEX(TAX_MODES!$B:$B,MATCH($AM202,TAX_MODES!$A:$A,0)))</f>
        <v/>
      </c>
    </row>
    <row r="203" ht="14.25" customHeight="1">
      <c r="C203" s="8"/>
      <c r="E203" s="8"/>
      <c r="G203" s="8"/>
      <c r="I203" s="8"/>
      <c r="K203" s="8"/>
      <c r="M203" s="8"/>
      <c r="O203" s="8"/>
      <c r="Q203" s="8"/>
      <c r="S203" s="8"/>
      <c r="V203" s="8"/>
      <c r="X203" s="31"/>
      <c r="Y203" s="31" t="str">
        <f>IF($X203="","",SUMIFS(TARIFF_PROFILES!$D:$D,TARIFF_PROFILES!$A:$A,$X203))</f>
        <v/>
      </c>
      <c r="Z203" s="31" t="str">
        <f>IF($X203="","",SUMIFS(TARIFF_PROFILES!$E:$E,TARIFF_PROFILES!$A:$A,$X203))</f>
        <v/>
      </c>
      <c r="AA203" s="31" t="str">
        <f>IF($X203="","",SUMIFS(TARIFF_PROFILES!$F:$F,TARIFF_PROFILES!$A:$A,$X203))</f>
        <v/>
      </c>
      <c r="AB203" s="31" t="str">
        <f>IF($X203="","",SUMIFS(TARIFF_PROFILES!$G:$G,TARIFF_PROFILES!$A:$A,$X203))</f>
        <v/>
      </c>
      <c r="AC203" s="31" t="str">
        <f>IF($X203="","",SUMIFS(TARIFF_PROFILES!$H:$H,TARIFF_PROFILES!$A:$A,$X203))</f>
        <v/>
      </c>
      <c r="AD203" s="31" t="str">
        <f t="array" ref="AD203">IF($X203="","",INDEX(TARIFF_PROFILES!$J:$J,MATCH($X203,TARIFF_PROFILES!$A:$A,0)))</f>
        <v/>
      </c>
      <c r="AE203" s="31" t="str">
        <f t="array" ref="AE203">IF($X203="","",INDEX(TARIFF_PROFILES!$K:$K,MATCH($X203,TARIFF_PROFILES!$A:$A,0)))</f>
        <v/>
      </c>
      <c r="AG203" s="8"/>
      <c r="AH203" s="8" t="str">
        <f>IF($AG203="","",SUMIFS(OPERATING_COEFFS!$C:$C,OPERATING_COEFFS!$A:$A,"DistanceClass",OPERATING_COEFFS!$B:$B,$AG203))</f>
        <v/>
      </c>
      <c r="AI203" s="8"/>
      <c r="AJ203" s="8" t="str">
        <f>IF($AI203="","",SUMIFS(OPERATING_COEFFS!$C:$C,OPERATING_COEFFS!$A:$A,"SeasonClass",OPERATING_COEFFS!$B:$B,$AI203))</f>
        <v/>
      </c>
      <c r="AK203" s="8"/>
      <c r="AL203" s="8" t="str">
        <f>IF($AK203="","",SUMIFS(OPERATING_COEFFS!$C:$C,OPERATING_COEFFS!$A:$A,"UrgencyClass",OPERATING_COEFFS!$B:$B,$AK203))</f>
        <v/>
      </c>
      <c r="AM203" s="8"/>
      <c r="AN203" s="8" t="str">
        <f t="array" ref="AN203">IF($AM203="","",INDEX(TAX_MODES!$B:$B,MATCH($AM203,TAX_MODES!$A:$A,0)))</f>
        <v/>
      </c>
    </row>
    <row r="204" ht="14.25" customHeight="1">
      <c r="C204" s="8"/>
      <c r="E204" s="8"/>
      <c r="G204" s="8"/>
      <c r="I204" s="8"/>
      <c r="K204" s="8"/>
      <c r="M204" s="8"/>
      <c r="O204" s="8"/>
      <c r="Q204" s="8"/>
      <c r="S204" s="8"/>
      <c r="V204" s="8"/>
      <c r="X204" s="31"/>
      <c r="Y204" s="31" t="str">
        <f>IF($X204="","",SUMIFS(TARIFF_PROFILES!$D:$D,TARIFF_PROFILES!$A:$A,$X204))</f>
        <v/>
      </c>
      <c r="Z204" s="31" t="str">
        <f>IF($X204="","",SUMIFS(TARIFF_PROFILES!$E:$E,TARIFF_PROFILES!$A:$A,$X204))</f>
        <v/>
      </c>
      <c r="AA204" s="31" t="str">
        <f>IF($X204="","",SUMIFS(TARIFF_PROFILES!$F:$F,TARIFF_PROFILES!$A:$A,$X204))</f>
        <v/>
      </c>
      <c r="AB204" s="31" t="str">
        <f>IF($X204="","",SUMIFS(TARIFF_PROFILES!$G:$G,TARIFF_PROFILES!$A:$A,$X204))</f>
        <v/>
      </c>
      <c r="AC204" s="31" t="str">
        <f>IF($X204="","",SUMIFS(TARIFF_PROFILES!$H:$H,TARIFF_PROFILES!$A:$A,$X204))</f>
        <v/>
      </c>
      <c r="AD204" s="31" t="str">
        <f t="array" ref="AD204">IF($X204="","",INDEX(TARIFF_PROFILES!$J:$J,MATCH($X204,TARIFF_PROFILES!$A:$A,0)))</f>
        <v/>
      </c>
      <c r="AE204" s="31" t="str">
        <f t="array" ref="AE204">IF($X204="","",INDEX(TARIFF_PROFILES!$K:$K,MATCH($X204,TARIFF_PROFILES!$A:$A,0)))</f>
        <v/>
      </c>
      <c r="AG204" s="8"/>
      <c r="AH204" s="8" t="str">
        <f>IF($AG204="","",SUMIFS(OPERATING_COEFFS!$C:$C,OPERATING_COEFFS!$A:$A,"DistanceClass",OPERATING_COEFFS!$B:$B,$AG204))</f>
        <v/>
      </c>
      <c r="AI204" s="8"/>
      <c r="AJ204" s="8" t="str">
        <f>IF($AI204="","",SUMIFS(OPERATING_COEFFS!$C:$C,OPERATING_COEFFS!$A:$A,"SeasonClass",OPERATING_COEFFS!$B:$B,$AI204))</f>
        <v/>
      </c>
      <c r="AK204" s="8"/>
      <c r="AL204" s="8" t="str">
        <f>IF($AK204="","",SUMIFS(OPERATING_COEFFS!$C:$C,OPERATING_COEFFS!$A:$A,"UrgencyClass",OPERATING_COEFFS!$B:$B,$AK204))</f>
        <v/>
      </c>
      <c r="AM204" s="8"/>
      <c r="AN204" s="8" t="str">
        <f t="array" ref="AN204">IF($AM204="","",INDEX(TAX_MODES!$B:$B,MATCH($AM204,TAX_MODES!$A:$A,0)))</f>
        <v/>
      </c>
    </row>
    <row r="205" ht="14.25" customHeight="1">
      <c r="C205" s="8"/>
      <c r="E205" s="8"/>
      <c r="G205" s="8"/>
      <c r="I205" s="8"/>
      <c r="K205" s="8"/>
      <c r="M205" s="8"/>
      <c r="O205" s="8"/>
      <c r="Q205" s="8"/>
      <c r="S205" s="8"/>
      <c r="V205" s="8"/>
      <c r="X205" s="31"/>
      <c r="Y205" s="31" t="str">
        <f>IF($X205="","",SUMIFS(TARIFF_PROFILES!$D:$D,TARIFF_PROFILES!$A:$A,$X205))</f>
        <v/>
      </c>
      <c r="Z205" s="31" t="str">
        <f>IF($X205="","",SUMIFS(TARIFF_PROFILES!$E:$E,TARIFF_PROFILES!$A:$A,$X205))</f>
        <v/>
      </c>
      <c r="AA205" s="31" t="str">
        <f>IF($X205="","",SUMIFS(TARIFF_PROFILES!$F:$F,TARIFF_PROFILES!$A:$A,$X205))</f>
        <v/>
      </c>
      <c r="AB205" s="31" t="str">
        <f>IF($X205="","",SUMIFS(TARIFF_PROFILES!$G:$G,TARIFF_PROFILES!$A:$A,$X205))</f>
        <v/>
      </c>
      <c r="AC205" s="31" t="str">
        <f>IF($X205="","",SUMIFS(TARIFF_PROFILES!$H:$H,TARIFF_PROFILES!$A:$A,$X205))</f>
        <v/>
      </c>
      <c r="AD205" s="31" t="str">
        <f t="array" ref="AD205">IF($X205="","",INDEX(TARIFF_PROFILES!$J:$J,MATCH($X205,TARIFF_PROFILES!$A:$A,0)))</f>
        <v/>
      </c>
      <c r="AE205" s="31" t="str">
        <f t="array" ref="AE205">IF($X205="","",INDEX(TARIFF_PROFILES!$K:$K,MATCH($X205,TARIFF_PROFILES!$A:$A,0)))</f>
        <v/>
      </c>
      <c r="AG205" s="8"/>
      <c r="AH205" s="8" t="str">
        <f>IF($AG205="","",SUMIFS(OPERATING_COEFFS!$C:$C,OPERATING_COEFFS!$A:$A,"DistanceClass",OPERATING_COEFFS!$B:$B,$AG205))</f>
        <v/>
      </c>
      <c r="AI205" s="8"/>
      <c r="AJ205" s="8" t="str">
        <f>IF($AI205="","",SUMIFS(OPERATING_COEFFS!$C:$C,OPERATING_COEFFS!$A:$A,"SeasonClass",OPERATING_COEFFS!$B:$B,$AI205))</f>
        <v/>
      </c>
      <c r="AK205" s="8"/>
      <c r="AL205" s="8" t="str">
        <f>IF($AK205="","",SUMIFS(OPERATING_COEFFS!$C:$C,OPERATING_COEFFS!$A:$A,"UrgencyClass",OPERATING_COEFFS!$B:$B,$AK205))</f>
        <v/>
      </c>
      <c r="AM205" s="8"/>
      <c r="AN205" s="8" t="str">
        <f t="array" ref="AN205">IF($AM205="","",INDEX(TAX_MODES!$B:$B,MATCH($AM205,TAX_MODES!$A:$A,0)))</f>
        <v/>
      </c>
    </row>
    <row r="206" ht="14.25" customHeight="1">
      <c r="C206" s="8"/>
      <c r="E206" s="8"/>
      <c r="G206" s="8"/>
      <c r="I206" s="8"/>
      <c r="K206" s="8"/>
      <c r="M206" s="8"/>
      <c r="O206" s="8"/>
      <c r="Q206" s="8"/>
      <c r="S206" s="8"/>
      <c r="V206" s="8"/>
      <c r="X206" s="31"/>
      <c r="Y206" s="31" t="str">
        <f>IF($X206="","",SUMIFS(TARIFF_PROFILES!$D:$D,TARIFF_PROFILES!$A:$A,$X206))</f>
        <v/>
      </c>
      <c r="Z206" s="31" t="str">
        <f>IF($X206="","",SUMIFS(TARIFF_PROFILES!$E:$E,TARIFF_PROFILES!$A:$A,$X206))</f>
        <v/>
      </c>
      <c r="AA206" s="31" t="str">
        <f>IF($X206="","",SUMIFS(TARIFF_PROFILES!$F:$F,TARIFF_PROFILES!$A:$A,$X206))</f>
        <v/>
      </c>
      <c r="AB206" s="31" t="str">
        <f>IF($X206="","",SUMIFS(TARIFF_PROFILES!$G:$G,TARIFF_PROFILES!$A:$A,$X206))</f>
        <v/>
      </c>
      <c r="AC206" s="31" t="str">
        <f>IF($X206="","",SUMIFS(TARIFF_PROFILES!$H:$H,TARIFF_PROFILES!$A:$A,$X206))</f>
        <v/>
      </c>
      <c r="AD206" s="31" t="str">
        <f t="array" ref="AD206">IF($X206="","",INDEX(TARIFF_PROFILES!$J:$J,MATCH($X206,TARIFF_PROFILES!$A:$A,0)))</f>
        <v/>
      </c>
      <c r="AE206" s="31" t="str">
        <f t="array" ref="AE206">IF($X206="","",INDEX(TARIFF_PROFILES!$K:$K,MATCH($X206,TARIFF_PROFILES!$A:$A,0)))</f>
        <v/>
      </c>
      <c r="AG206" s="8"/>
      <c r="AH206" s="8" t="str">
        <f>IF($AG206="","",SUMIFS(OPERATING_COEFFS!$C:$C,OPERATING_COEFFS!$A:$A,"DistanceClass",OPERATING_COEFFS!$B:$B,$AG206))</f>
        <v/>
      </c>
      <c r="AI206" s="8"/>
      <c r="AJ206" s="8" t="str">
        <f>IF($AI206="","",SUMIFS(OPERATING_COEFFS!$C:$C,OPERATING_COEFFS!$A:$A,"SeasonClass",OPERATING_COEFFS!$B:$B,$AI206))</f>
        <v/>
      </c>
      <c r="AK206" s="8"/>
      <c r="AL206" s="8" t="str">
        <f>IF($AK206="","",SUMIFS(OPERATING_COEFFS!$C:$C,OPERATING_COEFFS!$A:$A,"UrgencyClass",OPERATING_COEFFS!$B:$B,$AK206))</f>
        <v/>
      </c>
      <c r="AM206" s="8"/>
      <c r="AN206" s="8" t="str">
        <f t="array" ref="AN206">IF($AM206="","",INDEX(TAX_MODES!$B:$B,MATCH($AM206,TAX_MODES!$A:$A,0)))</f>
        <v/>
      </c>
    </row>
    <row r="207" ht="14.25" customHeight="1">
      <c r="C207" s="8"/>
      <c r="E207" s="8"/>
      <c r="G207" s="8"/>
      <c r="I207" s="8"/>
      <c r="K207" s="8"/>
      <c r="M207" s="8"/>
      <c r="O207" s="8"/>
      <c r="Q207" s="8"/>
      <c r="S207" s="8"/>
      <c r="V207" s="8"/>
      <c r="X207" s="31"/>
      <c r="Y207" s="31" t="str">
        <f>IF($X207="","",SUMIFS(TARIFF_PROFILES!$D:$D,TARIFF_PROFILES!$A:$A,$X207))</f>
        <v/>
      </c>
      <c r="Z207" s="31" t="str">
        <f>IF($X207="","",SUMIFS(TARIFF_PROFILES!$E:$E,TARIFF_PROFILES!$A:$A,$X207))</f>
        <v/>
      </c>
      <c r="AA207" s="31" t="str">
        <f>IF($X207="","",SUMIFS(TARIFF_PROFILES!$F:$F,TARIFF_PROFILES!$A:$A,$X207))</f>
        <v/>
      </c>
      <c r="AB207" s="31" t="str">
        <f>IF($X207="","",SUMIFS(TARIFF_PROFILES!$G:$G,TARIFF_PROFILES!$A:$A,$X207))</f>
        <v/>
      </c>
      <c r="AC207" s="31" t="str">
        <f>IF($X207="","",SUMIFS(TARIFF_PROFILES!$H:$H,TARIFF_PROFILES!$A:$A,$X207))</f>
        <v/>
      </c>
      <c r="AD207" s="31" t="str">
        <f t="array" ref="AD207">IF($X207="","",INDEX(TARIFF_PROFILES!$J:$J,MATCH($X207,TARIFF_PROFILES!$A:$A,0)))</f>
        <v/>
      </c>
      <c r="AE207" s="31" t="str">
        <f t="array" ref="AE207">IF($X207="","",INDEX(TARIFF_PROFILES!$K:$K,MATCH($X207,TARIFF_PROFILES!$A:$A,0)))</f>
        <v/>
      </c>
      <c r="AG207" s="8"/>
      <c r="AH207" s="8" t="str">
        <f>IF($AG207="","",SUMIFS(OPERATING_COEFFS!$C:$C,OPERATING_COEFFS!$A:$A,"DistanceClass",OPERATING_COEFFS!$B:$B,$AG207))</f>
        <v/>
      </c>
      <c r="AI207" s="8"/>
      <c r="AJ207" s="8" t="str">
        <f>IF($AI207="","",SUMIFS(OPERATING_COEFFS!$C:$C,OPERATING_COEFFS!$A:$A,"SeasonClass",OPERATING_COEFFS!$B:$B,$AI207))</f>
        <v/>
      </c>
      <c r="AK207" s="8"/>
      <c r="AL207" s="8" t="str">
        <f>IF($AK207="","",SUMIFS(OPERATING_COEFFS!$C:$C,OPERATING_COEFFS!$A:$A,"UrgencyClass",OPERATING_COEFFS!$B:$B,$AK207))</f>
        <v/>
      </c>
      <c r="AM207" s="8"/>
      <c r="AN207" s="8" t="str">
        <f t="array" ref="AN207">IF($AM207="","",INDEX(TAX_MODES!$B:$B,MATCH($AM207,TAX_MODES!$A:$A,0)))</f>
        <v/>
      </c>
    </row>
    <row r="208" ht="14.25" customHeight="1">
      <c r="C208" s="8"/>
      <c r="E208" s="8"/>
      <c r="G208" s="8"/>
      <c r="I208" s="8"/>
      <c r="K208" s="8"/>
      <c r="M208" s="8"/>
      <c r="O208" s="8"/>
      <c r="Q208" s="8"/>
      <c r="S208" s="8"/>
      <c r="V208" s="8"/>
      <c r="X208" s="31"/>
      <c r="Y208" s="31" t="str">
        <f>IF($X208="","",SUMIFS(TARIFF_PROFILES!$D:$D,TARIFF_PROFILES!$A:$A,$X208))</f>
        <v/>
      </c>
      <c r="Z208" s="31" t="str">
        <f>IF($X208="","",SUMIFS(TARIFF_PROFILES!$E:$E,TARIFF_PROFILES!$A:$A,$X208))</f>
        <v/>
      </c>
      <c r="AA208" s="31" t="str">
        <f>IF($X208="","",SUMIFS(TARIFF_PROFILES!$F:$F,TARIFF_PROFILES!$A:$A,$X208))</f>
        <v/>
      </c>
      <c r="AB208" s="31" t="str">
        <f>IF($X208="","",SUMIFS(TARIFF_PROFILES!$G:$G,TARIFF_PROFILES!$A:$A,$X208))</f>
        <v/>
      </c>
      <c r="AC208" s="31" t="str">
        <f>IF($X208="","",SUMIFS(TARIFF_PROFILES!$H:$H,TARIFF_PROFILES!$A:$A,$X208))</f>
        <v/>
      </c>
      <c r="AD208" s="31" t="str">
        <f t="array" ref="AD208">IF($X208="","",INDEX(TARIFF_PROFILES!$J:$J,MATCH($X208,TARIFF_PROFILES!$A:$A,0)))</f>
        <v/>
      </c>
      <c r="AE208" s="31" t="str">
        <f t="array" ref="AE208">IF($X208="","",INDEX(TARIFF_PROFILES!$K:$K,MATCH($X208,TARIFF_PROFILES!$A:$A,0)))</f>
        <v/>
      </c>
      <c r="AG208" s="8"/>
      <c r="AH208" s="8" t="str">
        <f>IF($AG208="","",SUMIFS(OPERATING_COEFFS!$C:$C,OPERATING_COEFFS!$A:$A,"DistanceClass",OPERATING_COEFFS!$B:$B,$AG208))</f>
        <v/>
      </c>
      <c r="AI208" s="8"/>
      <c r="AJ208" s="8" t="str">
        <f>IF($AI208="","",SUMIFS(OPERATING_COEFFS!$C:$C,OPERATING_COEFFS!$A:$A,"SeasonClass",OPERATING_COEFFS!$B:$B,$AI208))</f>
        <v/>
      </c>
      <c r="AK208" s="8"/>
      <c r="AL208" s="8" t="str">
        <f>IF($AK208="","",SUMIFS(OPERATING_COEFFS!$C:$C,OPERATING_COEFFS!$A:$A,"UrgencyClass",OPERATING_COEFFS!$B:$B,$AK208))</f>
        <v/>
      </c>
      <c r="AM208" s="8"/>
      <c r="AN208" s="8" t="str">
        <f t="array" ref="AN208">IF($AM208="","",INDEX(TAX_MODES!$B:$B,MATCH($AM208,TAX_MODES!$A:$A,0)))</f>
        <v/>
      </c>
    </row>
    <row r="209" ht="14.25" customHeight="1">
      <c r="C209" s="8"/>
      <c r="E209" s="8"/>
      <c r="G209" s="8"/>
      <c r="I209" s="8"/>
      <c r="K209" s="8"/>
      <c r="M209" s="8"/>
      <c r="O209" s="8"/>
      <c r="Q209" s="8"/>
      <c r="S209" s="8"/>
      <c r="V209" s="8"/>
      <c r="X209" s="31"/>
      <c r="Y209" s="31" t="str">
        <f>IF($X209="","",SUMIFS(TARIFF_PROFILES!$D:$D,TARIFF_PROFILES!$A:$A,$X209))</f>
        <v/>
      </c>
      <c r="Z209" s="31" t="str">
        <f>IF($X209="","",SUMIFS(TARIFF_PROFILES!$E:$E,TARIFF_PROFILES!$A:$A,$X209))</f>
        <v/>
      </c>
      <c r="AA209" s="31" t="str">
        <f>IF($X209="","",SUMIFS(TARIFF_PROFILES!$F:$F,TARIFF_PROFILES!$A:$A,$X209))</f>
        <v/>
      </c>
      <c r="AB209" s="31" t="str">
        <f>IF($X209="","",SUMIFS(TARIFF_PROFILES!$G:$G,TARIFF_PROFILES!$A:$A,$X209))</f>
        <v/>
      </c>
      <c r="AC209" s="31" t="str">
        <f>IF($X209="","",SUMIFS(TARIFF_PROFILES!$H:$H,TARIFF_PROFILES!$A:$A,$X209))</f>
        <v/>
      </c>
      <c r="AD209" s="31" t="str">
        <f t="array" ref="AD209">IF($X209="","",INDEX(TARIFF_PROFILES!$J:$J,MATCH($X209,TARIFF_PROFILES!$A:$A,0)))</f>
        <v/>
      </c>
      <c r="AE209" s="31" t="str">
        <f t="array" ref="AE209">IF($X209="","",INDEX(TARIFF_PROFILES!$K:$K,MATCH($X209,TARIFF_PROFILES!$A:$A,0)))</f>
        <v/>
      </c>
      <c r="AG209" s="8"/>
      <c r="AH209" s="8" t="str">
        <f>IF($AG209="","",SUMIFS(OPERATING_COEFFS!$C:$C,OPERATING_COEFFS!$A:$A,"DistanceClass",OPERATING_COEFFS!$B:$B,$AG209))</f>
        <v/>
      </c>
      <c r="AI209" s="8"/>
      <c r="AJ209" s="8" t="str">
        <f>IF($AI209="","",SUMIFS(OPERATING_COEFFS!$C:$C,OPERATING_COEFFS!$A:$A,"SeasonClass",OPERATING_COEFFS!$B:$B,$AI209))</f>
        <v/>
      </c>
      <c r="AK209" s="8"/>
      <c r="AL209" s="8" t="str">
        <f>IF($AK209="","",SUMIFS(OPERATING_COEFFS!$C:$C,OPERATING_COEFFS!$A:$A,"UrgencyClass",OPERATING_COEFFS!$B:$B,$AK209))</f>
        <v/>
      </c>
      <c r="AM209" s="8"/>
      <c r="AN209" s="8" t="str">
        <f t="array" ref="AN209">IF($AM209="","",INDEX(TAX_MODES!$B:$B,MATCH($AM209,TAX_MODES!$A:$A,0)))</f>
        <v/>
      </c>
    </row>
    <row r="210" ht="14.25" customHeight="1">
      <c r="C210" s="8"/>
      <c r="E210" s="8"/>
      <c r="G210" s="8"/>
      <c r="I210" s="8"/>
      <c r="K210" s="8"/>
      <c r="M210" s="8"/>
      <c r="O210" s="8"/>
      <c r="Q210" s="8"/>
      <c r="S210" s="8"/>
      <c r="V210" s="8"/>
      <c r="X210" s="31"/>
      <c r="Y210" s="31" t="str">
        <f>IF($X210="","",SUMIFS(TARIFF_PROFILES!$D:$D,TARIFF_PROFILES!$A:$A,$X210))</f>
        <v/>
      </c>
      <c r="Z210" s="31" t="str">
        <f>IF($X210="","",SUMIFS(TARIFF_PROFILES!$E:$E,TARIFF_PROFILES!$A:$A,$X210))</f>
        <v/>
      </c>
      <c r="AA210" s="31" t="str">
        <f>IF($X210="","",SUMIFS(TARIFF_PROFILES!$F:$F,TARIFF_PROFILES!$A:$A,$X210))</f>
        <v/>
      </c>
      <c r="AB210" s="31" t="str">
        <f>IF($X210="","",SUMIFS(TARIFF_PROFILES!$G:$G,TARIFF_PROFILES!$A:$A,$X210))</f>
        <v/>
      </c>
      <c r="AC210" s="31" t="str">
        <f>IF($X210="","",SUMIFS(TARIFF_PROFILES!$H:$H,TARIFF_PROFILES!$A:$A,$X210))</f>
        <v/>
      </c>
      <c r="AD210" s="31" t="str">
        <f t="array" ref="AD210">IF($X210="","",INDEX(TARIFF_PROFILES!$J:$J,MATCH($X210,TARIFF_PROFILES!$A:$A,0)))</f>
        <v/>
      </c>
      <c r="AE210" s="31" t="str">
        <f t="array" ref="AE210">IF($X210="","",INDEX(TARIFF_PROFILES!$K:$K,MATCH($X210,TARIFF_PROFILES!$A:$A,0)))</f>
        <v/>
      </c>
      <c r="AG210" s="8"/>
      <c r="AH210" s="8" t="str">
        <f>IF($AG210="","",SUMIFS(OPERATING_COEFFS!$C:$C,OPERATING_COEFFS!$A:$A,"DistanceClass",OPERATING_COEFFS!$B:$B,$AG210))</f>
        <v/>
      </c>
      <c r="AI210" s="8"/>
      <c r="AJ210" s="8" t="str">
        <f>IF($AI210="","",SUMIFS(OPERATING_COEFFS!$C:$C,OPERATING_COEFFS!$A:$A,"SeasonClass",OPERATING_COEFFS!$B:$B,$AI210))</f>
        <v/>
      </c>
      <c r="AK210" s="8"/>
      <c r="AL210" s="8" t="str">
        <f>IF($AK210="","",SUMIFS(OPERATING_COEFFS!$C:$C,OPERATING_COEFFS!$A:$A,"UrgencyClass",OPERATING_COEFFS!$B:$B,$AK210))</f>
        <v/>
      </c>
      <c r="AM210" s="8"/>
      <c r="AN210" s="8" t="str">
        <f t="array" ref="AN210">IF($AM210="","",INDEX(TAX_MODES!$B:$B,MATCH($AM210,TAX_MODES!$A:$A,0)))</f>
        <v/>
      </c>
    </row>
    <row r="211" ht="14.25" customHeight="1">
      <c r="C211" s="8"/>
      <c r="E211" s="8"/>
      <c r="G211" s="8"/>
      <c r="I211" s="8"/>
      <c r="K211" s="8"/>
      <c r="M211" s="8"/>
      <c r="O211" s="8"/>
      <c r="Q211" s="8"/>
      <c r="S211" s="8"/>
      <c r="V211" s="8"/>
      <c r="X211" s="31"/>
      <c r="Y211" s="31" t="str">
        <f>IF($X211="","",SUMIFS(TARIFF_PROFILES!$D:$D,TARIFF_PROFILES!$A:$A,$X211))</f>
        <v/>
      </c>
      <c r="Z211" s="31" t="str">
        <f>IF($X211="","",SUMIFS(TARIFF_PROFILES!$E:$E,TARIFF_PROFILES!$A:$A,$X211))</f>
        <v/>
      </c>
      <c r="AA211" s="31" t="str">
        <f>IF($X211="","",SUMIFS(TARIFF_PROFILES!$F:$F,TARIFF_PROFILES!$A:$A,$X211))</f>
        <v/>
      </c>
      <c r="AB211" s="31" t="str">
        <f>IF($X211="","",SUMIFS(TARIFF_PROFILES!$G:$G,TARIFF_PROFILES!$A:$A,$X211))</f>
        <v/>
      </c>
      <c r="AC211" s="31" t="str">
        <f>IF($X211="","",SUMIFS(TARIFF_PROFILES!$H:$H,TARIFF_PROFILES!$A:$A,$X211))</f>
        <v/>
      </c>
      <c r="AD211" s="31" t="str">
        <f t="array" ref="AD211">IF($X211="","",INDEX(TARIFF_PROFILES!$J:$J,MATCH($X211,TARIFF_PROFILES!$A:$A,0)))</f>
        <v/>
      </c>
      <c r="AE211" s="31" t="str">
        <f t="array" ref="AE211">IF($X211="","",INDEX(TARIFF_PROFILES!$K:$K,MATCH($X211,TARIFF_PROFILES!$A:$A,0)))</f>
        <v/>
      </c>
      <c r="AG211" s="8"/>
      <c r="AH211" s="8" t="str">
        <f>IF($AG211="","",SUMIFS(OPERATING_COEFFS!$C:$C,OPERATING_COEFFS!$A:$A,"DistanceClass",OPERATING_COEFFS!$B:$B,$AG211))</f>
        <v/>
      </c>
      <c r="AI211" s="8"/>
      <c r="AJ211" s="8" t="str">
        <f>IF($AI211="","",SUMIFS(OPERATING_COEFFS!$C:$C,OPERATING_COEFFS!$A:$A,"SeasonClass",OPERATING_COEFFS!$B:$B,$AI211))</f>
        <v/>
      </c>
      <c r="AK211" s="8"/>
      <c r="AL211" s="8" t="str">
        <f>IF($AK211="","",SUMIFS(OPERATING_COEFFS!$C:$C,OPERATING_COEFFS!$A:$A,"UrgencyClass",OPERATING_COEFFS!$B:$B,$AK211))</f>
        <v/>
      </c>
      <c r="AM211" s="8"/>
      <c r="AN211" s="8" t="str">
        <f t="array" ref="AN211">IF($AM211="","",INDEX(TAX_MODES!$B:$B,MATCH($AM211,TAX_MODES!$A:$A,0)))</f>
        <v/>
      </c>
    </row>
    <row r="212" ht="14.25" customHeight="1">
      <c r="C212" s="8"/>
      <c r="E212" s="8"/>
      <c r="G212" s="8"/>
      <c r="I212" s="8"/>
      <c r="K212" s="8"/>
      <c r="M212" s="8"/>
      <c r="O212" s="8"/>
      <c r="Q212" s="8"/>
      <c r="S212" s="8"/>
      <c r="V212" s="8"/>
      <c r="X212" s="31"/>
      <c r="Y212" s="31" t="str">
        <f>IF($X212="","",SUMIFS(TARIFF_PROFILES!$D:$D,TARIFF_PROFILES!$A:$A,$X212))</f>
        <v/>
      </c>
      <c r="Z212" s="31" t="str">
        <f>IF($X212="","",SUMIFS(TARIFF_PROFILES!$E:$E,TARIFF_PROFILES!$A:$A,$X212))</f>
        <v/>
      </c>
      <c r="AA212" s="31" t="str">
        <f>IF($X212="","",SUMIFS(TARIFF_PROFILES!$F:$F,TARIFF_PROFILES!$A:$A,$X212))</f>
        <v/>
      </c>
      <c r="AB212" s="31" t="str">
        <f>IF($X212="","",SUMIFS(TARIFF_PROFILES!$G:$G,TARIFF_PROFILES!$A:$A,$X212))</f>
        <v/>
      </c>
      <c r="AC212" s="31" t="str">
        <f>IF($X212="","",SUMIFS(TARIFF_PROFILES!$H:$H,TARIFF_PROFILES!$A:$A,$X212))</f>
        <v/>
      </c>
      <c r="AD212" s="31" t="str">
        <f t="array" ref="AD212">IF($X212="","",INDEX(TARIFF_PROFILES!$J:$J,MATCH($X212,TARIFF_PROFILES!$A:$A,0)))</f>
        <v/>
      </c>
      <c r="AE212" s="31" t="str">
        <f t="array" ref="AE212">IF($X212="","",INDEX(TARIFF_PROFILES!$K:$K,MATCH($X212,TARIFF_PROFILES!$A:$A,0)))</f>
        <v/>
      </c>
      <c r="AG212" s="8"/>
      <c r="AH212" s="8" t="str">
        <f>IF($AG212="","",SUMIFS(OPERATING_COEFFS!$C:$C,OPERATING_COEFFS!$A:$A,"DistanceClass",OPERATING_COEFFS!$B:$B,$AG212))</f>
        <v/>
      </c>
      <c r="AI212" s="8"/>
      <c r="AJ212" s="8" t="str">
        <f>IF($AI212="","",SUMIFS(OPERATING_COEFFS!$C:$C,OPERATING_COEFFS!$A:$A,"SeasonClass",OPERATING_COEFFS!$B:$B,$AI212))</f>
        <v/>
      </c>
      <c r="AK212" s="8"/>
      <c r="AL212" s="8" t="str">
        <f>IF($AK212="","",SUMIFS(OPERATING_COEFFS!$C:$C,OPERATING_COEFFS!$A:$A,"UrgencyClass",OPERATING_COEFFS!$B:$B,$AK212))</f>
        <v/>
      </c>
      <c r="AM212" s="8"/>
      <c r="AN212" s="8" t="str">
        <f t="array" ref="AN212">IF($AM212="","",INDEX(TAX_MODES!$B:$B,MATCH($AM212,TAX_MODES!$A:$A,0)))</f>
        <v/>
      </c>
    </row>
    <row r="213" ht="14.25" customHeight="1">
      <c r="C213" s="8"/>
      <c r="E213" s="8"/>
      <c r="G213" s="8"/>
      <c r="I213" s="8"/>
      <c r="K213" s="8"/>
      <c r="M213" s="8"/>
      <c r="O213" s="8"/>
      <c r="Q213" s="8"/>
      <c r="S213" s="8"/>
      <c r="V213" s="8"/>
      <c r="X213" s="31"/>
      <c r="Y213" s="31" t="str">
        <f>IF($X213="","",SUMIFS(TARIFF_PROFILES!$D:$D,TARIFF_PROFILES!$A:$A,$X213))</f>
        <v/>
      </c>
      <c r="Z213" s="31" t="str">
        <f>IF($X213="","",SUMIFS(TARIFF_PROFILES!$E:$E,TARIFF_PROFILES!$A:$A,$X213))</f>
        <v/>
      </c>
      <c r="AA213" s="31" t="str">
        <f>IF($X213="","",SUMIFS(TARIFF_PROFILES!$F:$F,TARIFF_PROFILES!$A:$A,$X213))</f>
        <v/>
      </c>
      <c r="AB213" s="31" t="str">
        <f>IF($X213="","",SUMIFS(TARIFF_PROFILES!$G:$G,TARIFF_PROFILES!$A:$A,$X213))</f>
        <v/>
      </c>
      <c r="AC213" s="31" t="str">
        <f>IF($X213="","",SUMIFS(TARIFF_PROFILES!$H:$H,TARIFF_PROFILES!$A:$A,$X213))</f>
        <v/>
      </c>
      <c r="AD213" s="31" t="str">
        <f t="array" ref="AD213">IF($X213="","",INDEX(TARIFF_PROFILES!$J:$J,MATCH($X213,TARIFF_PROFILES!$A:$A,0)))</f>
        <v/>
      </c>
      <c r="AE213" s="31" t="str">
        <f t="array" ref="AE213">IF($X213="","",INDEX(TARIFF_PROFILES!$K:$K,MATCH($X213,TARIFF_PROFILES!$A:$A,0)))</f>
        <v/>
      </c>
      <c r="AG213" s="8"/>
      <c r="AH213" s="8" t="str">
        <f>IF($AG213="","",SUMIFS(OPERATING_COEFFS!$C:$C,OPERATING_COEFFS!$A:$A,"DistanceClass",OPERATING_COEFFS!$B:$B,$AG213))</f>
        <v/>
      </c>
      <c r="AI213" s="8"/>
      <c r="AJ213" s="8" t="str">
        <f>IF($AI213="","",SUMIFS(OPERATING_COEFFS!$C:$C,OPERATING_COEFFS!$A:$A,"SeasonClass",OPERATING_COEFFS!$B:$B,$AI213))</f>
        <v/>
      </c>
      <c r="AK213" s="8"/>
      <c r="AL213" s="8" t="str">
        <f>IF($AK213="","",SUMIFS(OPERATING_COEFFS!$C:$C,OPERATING_COEFFS!$A:$A,"UrgencyClass",OPERATING_COEFFS!$B:$B,$AK213))</f>
        <v/>
      </c>
      <c r="AM213" s="8"/>
      <c r="AN213" s="8" t="str">
        <f t="array" ref="AN213">IF($AM213="","",INDEX(TAX_MODES!$B:$B,MATCH($AM213,TAX_MODES!$A:$A,0)))</f>
        <v/>
      </c>
    </row>
    <row r="214" ht="14.25" customHeight="1">
      <c r="C214" s="8"/>
      <c r="E214" s="8"/>
      <c r="G214" s="8"/>
      <c r="I214" s="8"/>
      <c r="K214" s="8"/>
      <c r="M214" s="8"/>
      <c r="O214" s="8"/>
      <c r="Q214" s="8"/>
      <c r="S214" s="8"/>
      <c r="V214" s="8"/>
      <c r="X214" s="31"/>
      <c r="Y214" s="31" t="str">
        <f>IF($X214="","",SUMIFS(TARIFF_PROFILES!$D:$D,TARIFF_PROFILES!$A:$A,$X214))</f>
        <v/>
      </c>
      <c r="Z214" s="31" t="str">
        <f>IF($X214="","",SUMIFS(TARIFF_PROFILES!$E:$E,TARIFF_PROFILES!$A:$A,$X214))</f>
        <v/>
      </c>
      <c r="AA214" s="31" t="str">
        <f>IF($X214="","",SUMIFS(TARIFF_PROFILES!$F:$F,TARIFF_PROFILES!$A:$A,$X214))</f>
        <v/>
      </c>
      <c r="AB214" s="31" t="str">
        <f>IF($X214="","",SUMIFS(TARIFF_PROFILES!$G:$G,TARIFF_PROFILES!$A:$A,$X214))</f>
        <v/>
      </c>
      <c r="AC214" s="31" t="str">
        <f>IF($X214="","",SUMIFS(TARIFF_PROFILES!$H:$H,TARIFF_PROFILES!$A:$A,$X214))</f>
        <v/>
      </c>
      <c r="AD214" s="31" t="str">
        <f t="array" ref="AD214">IF($X214="","",INDEX(TARIFF_PROFILES!$J:$J,MATCH($X214,TARIFF_PROFILES!$A:$A,0)))</f>
        <v/>
      </c>
      <c r="AE214" s="31" t="str">
        <f t="array" ref="AE214">IF($X214="","",INDEX(TARIFF_PROFILES!$K:$K,MATCH($X214,TARIFF_PROFILES!$A:$A,0)))</f>
        <v/>
      </c>
      <c r="AG214" s="8"/>
      <c r="AH214" s="8" t="str">
        <f>IF($AG214="","",SUMIFS(OPERATING_COEFFS!$C:$C,OPERATING_COEFFS!$A:$A,"DistanceClass",OPERATING_COEFFS!$B:$B,$AG214))</f>
        <v/>
      </c>
      <c r="AI214" s="8"/>
      <c r="AJ214" s="8" t="str">
        <f>IF($AI214="","",SUMIFS(OPERATING_COEFFS!$C:$C,OPERATING_COEFFS!$A:$A,"SeasonClass",OPERATING_COEFFS!$B:$B,$AI214))</f>
        <v/>
      </c>
      <c r="AK214" s="8"/>
      <c r="AL214" s="8" t="str">
        <f>IF($AK214="","",SUMIFS(OPERATING_COEFFS!$C:$C,OPERATING_COEFFS!$A:$A,"UrgencyClass",OPERATING_COEFFS!$B:$B,$AK214))</f>
        <v/>
      </c>
      <c r="AM214" s="8"/>
      <c r="AN214" s="8" t="str">
        <f t="array" ref="AN214">IF($AM214="","",INDEX(TAX_MODES!$B:$B,MATCH($AM214,TAX_MODES!$A:$A,0)))</f>
        <v/>
      </c>
    </row>
    <row r="215" ht="14.25" customHeight="1">
      <c r="C215" s="8"/>
      <c r="E215" s="8"/>
      <c r="G215" s="8"/>
      <c r="I215" s="8"/>
      <c r="K215" s="8"/>
      <c r="M215" s="8"/>
      <c r="O215" s="8"/>
      <c r="Q215" s="8"/>
      <c r="S215" s="8"/>
      <c r="V215" s="8"/>
      <c r="X215" s="31"/>
      <c r="Y215" s="31" t="str">
        <f>IF($X215="","",SUMIFS(TARIFF_PROFILES!$D:$D,TARIFF_PROFILES!$A:$A,$X215))</f>
        <v/>
      </c>
      <c r="Z215" s="31" t="str">
        <f>IF($X215="","",SUMIFS(TARIFF_PROFILES!$E:$E,TARIFF_PROFILES!$A:$A,$X215))</f>
        <v/>
      </c>
      <c r="AA215" s="31" t="str">
        <f>IF($X215="","",SUMIFS(TARIFF_PROFILES!$F:$F,TARIFF_PROFILES!$A:$A,$X215))</f>
        <v/>
      </c>
      <c r="AB215" s="31" t="str">
        <f>IF($X215="","",SUMIFS(TARIFF_PROFILES!$G:$G,TARIFF_PROFILES!$A:$A,$X215))</f>
        <v/>
      </c>
      <c r="AC215" s="31" t="str">
        <f>IF($X215="","",SUMIFS(TARIFF_PROFILES!$H:$H,TARIFF_PROFILES!$A:$A,$X215))</f>
        <v/>
      </c>
      <c r="AD215" s="31" t="str">
        <f t="array" ref="AD215">IF($X215="","",INDEX(TARIFF_PROFILES!$J:$J,MATCH($X215,TARIFF_PROFILES!$A:$A,0)))</f>
        <v/>
      </c>
      <c r="AE215" s="31" t="str">
        <f t="array" ref="AE215">IF($X215="","",INDEX(TARIFF_PROFILES!$K:$K,MATCH($X215,TARIFF_PROFILES!$A:$A,0)))</f>
        <v/>
      </c>
      <c r="AG215" s="8"/>
      <c r="AH215" s="8" t="str">
        <f>IF($AG215="","",SUMIFS(OPERATING_COEFFS!$C:$C,OPERATING_COEFFS!$A:$A,"DistanceClass",OPERATING_COEFFS!$B:$B,$AG215))</f>
        <v/>
      </c>
      <c r="AI215" s="8"/>
      <c r="AJ215" s="8" t="str">
        <f>IF($AI215="","",SUMIFS(OPERATING_COEFFS!$C:$C,OPERATING_COEFFS!$A:$A,"SeasonClass",OPERATING_COEFFS!$B:$B,$AI215))</f>
        <v/>
      </c>
      <c r="AK215" s="8"/>
      <c r="AL215" s="8" t="str">
        <f>IF($AK215="","",SUMIFS(OPERATING_COEFFS!$C:$C,OPERATING_COEFFS!$A:$A,"UrgencyClass",OPERATING_COEFFS!$B:$B,$AK215))</f>
        <v/>
      </c>
      <c r="AM215" s="8"/>
      <c r="AN215" s="8" t="str">
        <f t="array" ref="AN215">IF($AM215="","",INDEX(TAX_MODES!$B:$B,MATCH($AM215,TAX_MODES!$A:$A,0)))</f>
        <v/>
      </c>
    </row>
    <row r="216" ht="14.25" customHeight="1">
      <c r="C216" s="8"/>
      <c r="E216" s="8"/>
      <c r="G216" s="8"/>
      <c r="I216" s="8"/>
      <c r="K216" s="8"/>
      <c r="M216" s="8"/>
      <c r="O216" s="8"/>
      <c r="Q216" s="8"/>
      <c r="S216" s="8"/>
      <c r="V216" s="8"/>
      <c r="X216" s="31"/>
      <c r="Y216" s="31" t="str">
        <f>IF($X216="","",SUMIFS(TARIFF_PROFILES!$D:$D,TARIFF_PROFILES!$A:$A,$X216))</f>
        <v/>
      </c>
      <c r="Z216" s="31" t="str">
        <f>IF($X216="","",SUMIFS(TARIFF_PROFILES!$E:$E,TARIFF_PROFILES!$A:$A,$X216))</f>
        <v/>
      </c>
      <c r="AA216" s="31" t="str">
        <f>IF($X216="","",SUMIFS(TARIFF_PROFILES!$F:$F,TARIFF_PROFILES!$A:$A,$X216))</f>
        <v/>
      </c>
      <c r="AB216" s="31" t="str">
        <f>IF($X216="","",SUMIFS(TARIFF_PROFILES!$G:$G,TARIFF_PROFILES!$A:$A,$X216))</f>
        <v/>
      </c>
      <c r="AC216" s="31" t="str">
        <f>IF($X216="","",SUMIFS(TARIFF_PROFILES!$H:$H,TARIFF_PROFILES!$A:$A,$X216))</f>
        <v/>
      </c>
      <c r="AD216" s="31" t="str">
        <f t="array" ref="AD216">IF($X216="","",INDEX(TARIFF_PROFILES!$J:$J,MATCH($X216,TARIFF_PROFILES!$A:$A,0)))</f>
        <v/>
      </c>
      <c r="AE216" s="31" t="str">
        <f t="array" ref="AE216">IF($X216="","",INDEX(TARIFF_PROFILES!$K:$K,MATCH($X216,TARIFF_PROFILES!$A:$A,0)))</f>
        <v/>
      </c>
      <c r="AG216" s="8"/>
      <c r="AH216" s="8" t="str">
        <f>IF($AG216="","",SUMIFS(OPERATING_COEFFS!$C:$C,OPERATING_COEFFS!$A:$A,"DistanceClass",OPERATING_COEFFS!$B:$B,$AG216))</f>
        <v/>
      </c>
      <c r="AI216" s="8"/>
      <c r="AJ216" s="8" t="str">
        <f>IF($AI216="","",SUMIFS(OPERATING_COEFFS!$C:$C,OPERATING_COEFFS!$A:$A,"SeasonClass",OPERATING_COEFFS!$B:$B,$AI216))</f>
        <v/>
      </c>
      <c r="AK216" s="8"/>
      <c r="AL216" s="8" t="str">
        <f>IF($AK216="","",SUMIFS(OPERATING_COEFFS!$C:$C,OPERATING_COEFFS!$A:$A,"UrgencyClass",OPERATING_COEFFS!$B:$B,$AK216))</f>
        <v/>
      </c>
      <c r="AM216" s="8"/>
      <c r="AN216" s="8" t="str">
        <f t="array" ref="AN216">IF($AM216="","",INDEX(TAX_MODES!$B:$B,MATCH($AM216,TAX_MODES!$A:$A,0)))</f>
        <v/>
      </c>
    </row>
    <row r="217" ht="14.25" customHeight="1">
      <c r="C217" s="8"/>
      <c r="E217" s="8"/>
      <c r="G217" s="8"/>
      <c r="I217" s="8"/>
      <c r="K217" s="8"/>
      <c r="M217" s="8"/>
      <c r="O217" s="8"/>
      <c r="Q217" s="8"/>
      <c r="S217" s="8"/>
      <c r="V217" s="8"/>
      <c r="X217" s="31"/>
      <c r="Y217" s="31" t="str">
        <f>IF($X217="","",SUMIFS(TARIFF_PROFILES!$D:$D,TARIFF_PROFILES!$A:$A,$X217))</f>
        <v/>
      </c>
      <c r="Z217" s="31" t="str">
        <f>IF($X217="","",SUMIFS(TARIFF_PROFILES!$E:$E,TARIFF_PROFILES!$A:$A,$X217))</f>
        <v/>
      </c>
      <c r="AA217" s="31" t="str">
        <f>IF($X217="","",SUMIFS(TARIFF_PROFILES!$F:$F,TARIFF_PROFILES!$A:$A,$X217))</f>
        <v/>
      </c>
      <c r="AB217" s="31" t="str">
        <f>IF($X217="","",SUMIFS(TARIFF_PROFILES!$G:$G,TARIFF_PROFILES!$A:$A,$X217))</f>
        <v/>
      </c>
      <c r="AC217" s="31" t="str">
        <f>IF($X217="","",SUMIFS(TARIFF_PROFILES!$H:$H,TARIFF_PROFILES!$A:$A,$X217))</f>
        <v/>
      </c>
      <c r="AD217" s="31" t="str">
        <f t="array" ref="AD217">IF($X217="","",INDEX(TARIFF_PROFILES!$J:$J,MATCH($X217,TARIFF_PROFILES!$A:$A,0)))</f>
        <v/>
      </c>
      <c r="AE217" s="31" t="str">
        <f t="array" ref="AE217">IF($X217="","",INDEX(TARIFF_PROFILES!$K:$K,MATCH($X217,TARIFF_PROFILES!$A:$A,0)))</f>
        <v/>
      </c>
      <c r="AG217" s="8"/>
      <c r="AH217" s="8" t="str">
        <f>IF($AG217="","",SUMIFS(OPERATING_COEFFS!$C:$C,OPERATING_COEFFS!$A:$A,"DistanceClass",OPERATING_COEFFS!$B:$B,$AG217))</f>
        <v/>
      </c>
      <c r="AI217" s="8"/>
      <c r="AJ217" s="8" t="str">
        <f>IF($AI217="","",SUMIFS(OPERATING_COEFFS!$C:$C,OPERATING_COEFFS!$A:$A,"SeasonClass",OPERATING_COEFFS!$B:$B,$AI217))</f>
        <v/>
      </c>
      <c r="AK217" s="8"/>
      <c r="AL217" s="8" t="str">
        <f>IF($AK217="","",SUMIFS(OPERATING_COEFFS!$C:$C,OPERATING_COEFFS!$A:$A,"UrgencyClass",OPERATING_COEFFS!$B:$B,$AK217))</f>
        <v/>
      </c>
      <c r="AM217" s="8"/>
      <c r="AN217" s="8" t="str">
        <f t="array" ref="AN217">IF($AM217="","",INDEX(TAX_MODES!$B:$B,MATCH($AM217,TAX_MODES!$A:$A,0)))</f>
        <v/>
      </c>
    </row>
    <row r="218" ht="14.25" customHeight="1">
      <c r="C218" s="8"/>
      <c r="E218" s="8"/>
      <c r="G218" s="8"/>
      <c r="I218" s="8"/>
      <c r="K218" s="8"/>
      <c r="M218" s="8"/>
      <c r="O218" s="8"/>
      <c r="Q218" s="8"/>
      <c r="S218" s="8"/>
      <c r="V218" s="8"/>
      <c r="X218" s="31"/>
      <c r="Y218" s="31" t="str">
        <f>IF($X218="","",SUMIFS(TARIFF_PROFILES!$D:$D,TARIFF_PROFILES!$A:$A,$X218))</f>
        <v/>
      </c>
      <c r="Z218" s="31" t="str">
        <f>IF($X218="","",SUMIFS(TARIFF_PROFILES!$E:$E,TARIFF_PROFILES!$A:$A,$X218))</f>
        <v/>
      </c>
      <c r="AA218" s="31" t="str">
        <f>IF($X218="","",SUMIFS(TARIFF_PROFILES!$F:$F,TARIFF_PROFILES!$A:$A,$X218))</f>
        <v/>
      </c>
      <c r="AB218" s="31" t="str">
        <f>IF($X218="","",SUMIFS(TARIFF_PROFILES!$G:$G,TARIFF_PROFILES!$A:$A,$X218))</f>
        <v/>
      </c>
      <c r="AC218" s="31" t="str">
        <f>IF($X218="","",SUMIFS(TARIFF_PROFILES!$H:$H,TARIFF_PROFILES!$A:$A,$X218))</f>
        <v/>
      </c>
      <c r="AD218" s="31" t="str">
        <f t="array" ref="AD218">IF($X218="","",INDEX(TARIFF_PROFILES!$J:$J,MATCH($X218,TARIFF_PROFILES!$A:$A,0)))</f>
        <v/>
      </c>
      <c r="AE218" s="31" t="str">
        <f t="array" ref="AE218">IF($X218="","",INDEX(TARIFF_PROFILES!$K:$K,MATCH($X218,TARIFF_PROFILES!$A:$A,0)))</f>
        <v/>
      </c>
      <c r="AG218" s="8"/>
      <c r="AH218" s="8" t="str">
        <f>IF($AG218="","",SUMIFS(OPERATING_COEFFS!$C:$C,OPERATING_COEFFS!$A:$A,"DistanceClass",OPERATING_COEFFS!$B:$B,$AG218))</f>
        <v/>
      </c>
      <c r="AI218" s="8"/>
      <c r="AJ218" s="8" t="str">
        <f>IF($AI218="","",SUMIFS(OPERATING_COEFFS!$C:$C,OPERATING_COEFFS!$A:$A,"SeasonClass",OPERATING_COEFFS!$B:$B,$AI218))</f>
        <v/>
      </c>
      <c r="AK218" s="8"/>
      <c r="AL218" s="8" t="str">
        <f>IF($AK218="","",SUMIFS(OPERATING_COEFFS!$C:$C,OPERATING_COEFFS!$A:$A,"UrgencyClass",OPERATING_COEFFS!$B:$B,$AK218))</f>
        <v/>
      </c>
      <c r="AM218" s="8"/>
      <c r="AN218" s="8" t="str">
        <f t="array" ref="AN218">IF($AM218="","",INDEX(TAX_MODES!$B:$B,MATCH($AM218,TAX_MODES!$A:$A,0)))</f>
        <v/>
      </c>
    </row>
    <row r="219" ht="14.25" customHeight="1">
      <c r="C219" s="8"/>
      <c r="E219" s="8"/>
      <c r="G219" s="8"/>
      <c r="I219" s="8"/>
      <c r="K219" s="8"/>
      <c r="M219" s="8"/>
      <c r="O219" s="8"/>
      <c r="Q219" s="8"/>
      <c r="S219" s="8"/>
      <c r="V219" s="8"/>
      <c r="X219" s="31"/>
      <c r="Y219" s="31" t="str">
        <f>IF($X219="","",SUMIFS(TARIFF_PROFILES!$D:$D,TARIFF_PROFILES!$A:$A,$X219))</f>
        <v/>
      </c>
      <c r="Z219" s="31" t="str">
        <f>IF($X219="","",SUMIFS(TARIFF_PROFILES!$E:$E,TARIFF_PROFILES!$A:$A,$X219))</f>
        <v/>
      </c>
      <c r="AA219" s="31" t="str">
        <f>IF($X219="","",SUMIFS(TARIFF_PROFILES!$F:$F,TARIFF_PROFILES!$A:$A,$X219))</f>
        <v/>
      </c>
      <c r="AB219" s="31" t="str">
        <f>IF($X219="","",SUMIFS(TARIFF_PROFILES!$G:$G,TARIFF_PROFILES!$A:$A,$X219))</f>
        <v/>
      </c>
      <c r="AC219" s="31" t="str">
        <f>IF($X219="","",SUMIFS(TARIFF_PROFILES!$H:$H,TARIFF_PROFILES!$A:$A,$X219))</f>
        <v/>
      </c>
      <c r="AD219" s="31" t="str">
        <f t="array" ref="AD219">IF($X219="","",INDEX(TARIFF_PROFILES!$J:$J,MATCH($X219,TARIFF_PROFILES!$A:$A,0)))</f>
        <v/>
      </c>
      <c r="AE219" s="31" t="str">
        <f t="array" ref="AE219">IF($X219="","",INDEX(TARIFF_PROFILES!$K:$K,MATCH($X219,TARIFF_PROFILES!$A:$A,0)))</f>
        <v/>
      </c>
      <c r="AG219" s="8"/>
      <c r="AH219" s="8" t="str">
        <f>IF($AG219="","",SUMIFS(OPERATING_COEFFS!$C:$C,OPERATING_COEFFS!$A:$A,"DistanceClass",OPERATING_COEFFS!$B:$B,$AG219))</f>
        <v/>
      </c>
      <c r="AI219" s="8"/>
      <c r="AJ219" s="8" t="str">
        <f>IF($AI219="","",SUMIFS(OPERATING_COEFFS!$C:$C,OPERATING_COEFFS!$A:$A,"SeasonClass",OPERATING_COEFFS!$B:$B,$AI219))</f>
        <v/>
      </c>
      <c r="AK219" s="8"/>
      <c r="AL219" s="8" t="str">
        <f>IF($AK219="","",SUMIFS(OPERATING_COEFFS!$C:$C,OPERATING_COEFFS!$A:$A,"UrgencyClass",OPERATING_COEFFS!$B:$B,$AK219))</f>
        <v/>
      </c>
      <c r="AM219" s="8"/>
      <c r="AN219" s="8" t="str">
        <f t="array" ref="AN219">IF($AM219="","",INDEX(TAX_MODES!$B:$B,MATCH($AM219,TAX_MODES!$A:$A,0)))</f>
        <v/>
      </c>
    </row>
    <row r="220" ht="14.25" customHeight="1">
      <c r="C220" s="8"/>
      <c r="E220" s="8"/>
      <c r="G220" s="8"/>
      <c r="I220" s="8"/>
      <c r="K220" s="8"/>
      <c r="M220" s="8"/>
      <c r="O220" s="8"/>
      <c r="Q220" s="8"/>
      <c r="S220" s="8"/>
      <c r="V220" s="8"/>
      <c r="X220" s="31"/>
      <c r="Y220" s="31" t="str">
        <f>IF($X220="","",SUMIFS(TARIFF_PROFILES!$D:$D,TARIFF_PROFILES!$A:$A,$X220))</f>
        <v/>
      </c>
      <c r="Z220" s="31" t="str">
        <f>IF($X220="","",SUMIFS(TARIFF_PROFILES!$E:$E,TARIFF_PROFILES!$A:$A,$X220))</f>
        <v/>
      </c>
      <c r="AA220" s="31" t="str">
        <f>IF($X220="","",SUMIFS(TARIFF_PROFILES!$F:$F,TARIFF_PROFILES!$A:$A,$X220))</f>
        <v/>
      </c>
      <c r="AB220" s="31" t="str">
        <f>IF($X220="","",SUMIFS(TARIFF_PROFILES!$G:$G,TARIFF_PROFILES!$A:$A,$X220))</f>
        <v/>
      </c>
      <c r="AC220" s="31" t="str">
        <f>IF($X220="","",SUMIFS(TARIFF_PROFILES!$H:$H,TARIFF_PROFILES!$A:$A,$X220))</f>
        <v/>
      </c>
      <c r="AD220" s="31" t="str">
        <f t="array" ref="AD220">IF($X220="","",INDEX(TARIFF_PROFILES!$J:$J,MATCH($X220,TARIFF_PROFILES!$A:$A,0)))</f>
        <v/>
      </c>
      <c r="AE220" s="31" t="str">
        <f t="array" ref="AE220">IF($X220="","",INDEX(TARIFF_PROFILES!$K:$K,MATCH($X220,TARIFF_PROFILES!$A:$A,0)))</f>
        <v/>
      </c>
      <c r="AG220" s="8"/>
      <c r="AH220" s="8" t="str">
        <f>IF($AG220="","",SUMIFS(OPERATING_COEFFS!$C:$C,OPERATING_COEFFS!$A:$A,"DistanceClass",OPERATING_COEFFS!$B:$B,$AG220))</f>
        <v/>
      </c>
      <c r="AI220" s="8"/>
      <c r="AJ220" s="8" t="str">
        <f>IF($AI220="","",SUMIFS(OPERATING_COEFFS!$C:$C,OPERATING_COEFFS!$A:$A,"SeasonClass",OPERATING_COEFFS!$B:$B,$AI220))</f>
        <v/>
      </c>
      <c r="AK220" s="8"/>
      <c r="AL220" s="8" t="str">
        <f>IF($AK220="","",SUMIFS(OPERATING_COEFFS!$C:$C,OPERATING_COEFFS!$A:$A,"UrgencyClass",OPERATING_COEFFS!$B:$B,$AK220))</f>
        <v/>
      </c>
      <c r="AM220" s="8"/>
      <c r="AN220" s="8" t="str">
        <f t="array" ref="AN220">IF($AM220="","",INDEX(TAX_MODES!$B:$B,MATCH($AM220,TAX_MODES!$A:$A,0)))</f>
        <v/>
      </c>
    </row>
    <row r="221" ht="14.25" customHeight="1">
      <c r="C221" s="8"/>
      <c r="E221" s="8"/>
      <c r="G221" s="8"/>
      <c r="I221" s="8"/>
      <c r="K221" s="8"/>
      <c r="M221" s="8"/>
      <c r="O221" s="8"/>
      <c r="Q221" s="8"/>
      <c r="S221" s="8"/>
      <c r="V221" s="8"/>
      <c r="X221" s="31"/>
      <c r="Y221" s="31" t="str">
        <f>IF($X221="","",SUMIFS(TARIFF_PROFILES!$D:$D,TARIFF_PROFILES!$A:$A,$X221))</f>
        <v/>
      </c>
      <c r="Z221" s="31" t="str">
        <f>IF($X221="","",SUMIFS(TARIFF_PROFILES!$E:$E,TARIFF_PROFILES!$A:$A,$X221))</f>
        <v/>
      </c>
      <c r="AA221" s="31" t="str">
        <f>IF($X221="","",SUMIFS(TARIFF_PROFILES!$F:$F,TARIFF_PROFILES!$A:$A,$X221))</f>
        <v/>
      </c>
      <c r="AB221" s="31" t="str">
        <f>IF($X221="","",SUMIFS(TARIFF_PROFILES!$G:$G,TARIFF_PROFILES!$A:$A,$X221))</f>
        <v/>
      </c>
      <c r="AC221" s="31" t="str">
        <f>IF($X221="","",SUMIFS(TARIFF_PROFILES!$H:$H,TARIFF_PROFILES!$A:$A,$X221))</f>
        <v/>
      </c>
      <c r="AD221" s="31" t="str">
        <f t="array" ref="AD221">IF($X221="","",INDEX(TARIFF_PROFILES!$J:$J,MATCH($X221,TARIFF_PROFILES!$A:$A,0)))</f>
        <v/>
      </c>
      <c r="AE221" s="31" t="str">
        <f t="array" ref="AE221">IF($X221="","",INDEX(TARIFF_PROFILES!$K:$K,MATCH($X221,TARIFF_PROFILES!$A:$A,0)))</f>
        <v/>
      </c>
      <c r="AG221" s="8"/>
      <c r="AH221" s="8" t="str">
        <f>IF($AG221="","",SUMIFS(OPERATING_COEFFS!$C:$C,OPERATING_COEFFS!$A:$A,"DistanceClass",OPERATING_COEFFS!$B:$B,$AG221))</f>
        <v/>
      </c>
      <c r="AI221" s="8"/>
      <c r="AJ221" s="8" t="str">
        <f>IF($AI221="","",SUMIFS(OPERATING_COEFFS!$C:$C,OPERATING_COEFFS!$A:$A,"SeasonClass",OPERATING_COEFFS!$B:$B,$AI221))</f>
        <v/>
      </c>
      <c r="AK221" s="8"/>
      <c r="AL221" s="8" t="str">
        <f>IF($AK221="","",SUMIFS(OPERATING_COEFFS!$C:$C,OPERATING_COEFFS!$A:$A,"UrgencyClass",OPERATING_COEFFS!$B:$B,$AK221))</f>
        <v/>
      </c>
      <c r="AM221" s="8"/>
      <c r="AN221" s="8" t="str">
        <f t="array" ref="AN221">IF($AM221="","",INDEX(TAX_MODES!$B:$B,MATCH($AM221,TAX_MODES!$A:$A,0)))</f>
        <v/>
      </c>
    </row>
    <row r="222" ht="14.25" customHeight="1">
      <c r="C222" s="8"/>
      <c r="E222" s="8"/>
      <c r="G222" s="8"/>
      <c r="I222" s="8"/>
      <c r="K222" s="8"/>
      <c r="M222" s="8"/>
      <c r="O222" s="8"/>
      <c r="Q222" s="8"/>
      <c r="S222" s="8"/>
      <c r="V222" s="8"/>
      <c r="X222" s="31"/>
      <c r="Y222" s="31" t="str">
        <f>IF($X222="","",SUMIFS(TARIFF_PROFILES!$D:$D,TARIFF_PROFILES!$A:$A,$X222))</f>
        <v/>
      </c>
      <c r="Z222" s="31" t="str">
        <f>IF($X222="","",SUMIFS(TARIFF_PROFILES!$E:$E,TARIFF_PROFILES!$A:$A,$X222))</f>
        <v/>
      </c>
      <c r="AA222" s="31" t="str">
        <f>IF($X222="","",SUMIFS(TARIFF_PROFILES!$F:$F,TARIFF_PROFILES!$A:$A,$X222))</f>
        <v/>
      </c>
      <c r="AB222" s="31" t="str">
        <f>IF($X222="","",SUMIFS(TARIFF_PROFILES!$G:$G,TARIFF_PROFILES!$A:$A,$X222))</f>
        <v/>
      </c>
      <c r="AC222" s="31" t="str">
        <f>IF($X222="","",SUMIFS(TARIFF_PROFILES!$H:$H,TARIFF_PROFILES!$A:$A,$X222))</f>
        <v/>
      </c>
      <c r="AD222" s="31" t="str">
        <f t="array" ref="AD222">IF($X222="","",INDEX(TARIFF_PROFILES!$J:$J,MATCH($X222,TARIFF_PROFILES!$A:$A,0)))</f>
        <v/>
      </c>
      <c r="AE222" s="31" t="str">
        <f t="array" ref="AE222">IF($X222="","",INDEX(TARIFF_PROFILES!$K:$K,MATCH($X222,TARIFF_PROFILES!$A:$A,0)))</f>
        <v/>
      </c>
      <c r="AG222" s="8"/>
      <c r="AH222" s="8" t="str">
        <f>IF($AG222="","",SUMIFS(OPERATING_COEFFS!$C:$C,OPERATING_COEFFS!$A:$A,"DistanceClass",OPERATING_COEFFS!$B:$B,$AG222))</f>
        <v/>
      </c>
      <c r="AI222" s="8"/>
      <c r="AJ222" s="8" t="str">
        <f>IF($AI222="","",SUMIFS(OPERATING_COEFFS!$C:$C,OPERATING_COEFFS!$A:$A,"SeasonClass",OPERATING_COEFFS!$B:$B,$AI222))</f>
        <v/>
      </c>
      <c r="AK222" s="8"/>
      <c r="AL222" s="8" t="str">
        <f>IF($AK222="","",SUMIFS(OPERATING_COEFFS!$C:$C,OPERATING_COEFFS!$A:$A,"UrgencyClass",OPERATING_COEFFS!$B:$B,$AK222))</f>
        <v/>
      </c>
      <c r="AM222" s="8"/>
      <c r="AN222" s="8" t="str">
        <f t="array" ref="AN222">IF($AM222="","",INDEX(TAX_MODES!$B:$B,MATCH($AM222,TAX_MODES!$A:$A,0)))</f>
        <v/>
      </c>
    </row>
    <row r="223" ht="14.25" customHeight="1">
      <c r="C223" s="8"/>
      <c r="E223" s="8"/>
      <c r="G223" s="8"/>
      <c r="I223" s="8"/>
      <c r="K223" s="8"/>
      <c r="M223" s="8"/>
      <c r="O223" s="8"/>
      <c r="Q223" s="8"/>
      <c r="S223" s="8"/>
      <c r="V223" s="8"/>
      <c r="X223" s="31"/>
      <c r="Y223" s="31" t="str">
        <f>IF($X223="","",SUMIFS(TARIFF_PROFILES!$D:$D,TARIFF_PROFILES!$A:$A,$X223))</f>
        <v/>
      </c>
      <c r="Z223" s="31" t="str">
        <f>IF($X223="","",SUMIFS(TARIFF_PROFILES!$E:$E,TARIFF_PROFILES!$A:$A,$X223))</f>
        <v/>
      </c>
      <c r="AA223" s="31" t="str">
        <f>IF($X223="","",SUMIFS(TARIFF_PROFILES!$F:$F,TARIFF_PROFILES!$A:$A,$X223))</f>
        <v/>
      </c>
      <c r="AB223" s="31" t="str">
        <f>IF($X223="","",SUMIFS(TARIFF_PROFILES!$G:$G,TARIFF_PROFILES!$A:$A,$X223))</f>
        <v/>
      </c>
      <c r="AC223" s="31" t="str">
        <f>IF($X223="","",SUMIFS(TARIFF_PROFILES!$H:$H,TARIFF_PROFILES!$A:$A,$X223))</f>
        <v/>
      </c>
      <c r="AD223" s="31" t="str">
        <f t="array" ref="AD223">IF($X223="","",INDEX(TARIFF_PROFILES!$J:$J,MATCH($X223,TARIFF_PROFILES!$A:$A,0)))</f>
        <v/>
      </c>
      <c r="AE223" s="31" t="str">
        <f t="array" ref="AE223">IF($X223="","",INDEX(TARIFF_PROFILES!$K:$K,MATCH($X223,TARIFF_PROFILES!$A:$A,0)))</f>
        <v/>
      </c>
      <c r="AG223" s="8"/>
      <c r="AH223" s="8" t="str">
        <f>IF($AG223="","",SUMIFS(OPERATING_COEFFS!$C:$C,OPERATING_COEFFS!$A:$A,"DistanceClass",OPERATING_COEFFS!$B:$B,$AG223))</f>
        <v/>
      </c>
      <c r="AI223" s="8"/>
      <c r="AJ223" s="8" t="str">
        <f>IF($AI223="","",SUMIFS(OPERATING_COEFFS!$C:$C,OPERATING_COEFFS!$A:$A,"SeasonClass",OPERATING_COEFFS!$B:$B,$AI223))</f>
        <v/>
      </c>
      <c r="AK223" s="8"/>
      <c r="AL223" s="8" t="str">
        <f>IF($AK223="","",SUMIFS(OPERATING_COEFFS!$C:$C,OPERATING_COEFFS!$A:$A,"UrgencyClass",OPERATING_COEFFS!$B:$B,$AK223))</f>
        <v/>
      </c>
      <c r="AM223" s="8"/>
      <c r="AN223" s="8" t="str">
        <f t="array" ref="AN223">IF($AM223="","",INDEX(TAX_MODES!$B:$B,MATCH($AM223,TAX_MODES!$A:$A,0)))</f>
        <v/>
      </c>
    </row>
    <row r="224" ht="14.25" customHeight="1">
      <c r="C224" s="8"/>
      <c r="E224" s="8"/>
      <c r="G224" s="8"/>
      <c r="I224" s="8"/>
      <c r="K224" s="8"/>
      <c r="M224" s="8"/>
      <c r="O224" s="8"/>
      <c r="Q224" s="8"/>
      <c r="S224" s="8"/>
      <c r="V224" s="8"/>
      <c r="X224" s="31"/>
      <c r="Y224" s="31" t="str">
        <f>IF($X224="","",SUMIFS(TARIFF_PROFILES!$D:$D,TARIFF_PROFILES!$A:$A,$X224))</f>
        <v/>
      </c>
      <c r="Z224" s="31" t="str">
        <f>IF($X224="","",SUMIFS(TARIFF_PROFILES!$E:$E,TARIFF_PROFILES!$A:$A,$X224))</f>
        <v/>
      </c>
      <c r="AA224" s="31" t="str">
        <f>IF($X224="","",SUMIFS(TARIFF_PROFILES!$F:$F,TARIFF_PROFILES!$A:$A,$X224))</f>
        <v/>
      </c>
      <c r="AB224" s="31" t="str">
        <f>IF($X224="","",SUMIFS(TARIFF_PROFILES!$G:$G,TARIFF_PROFILES!$A:$A,$X224))</f>
        <v/>
      </c>
      <c r="AC224" s="31" t="str">
        <f>IF($X224="","",SUMIFS(TARIFF_PROFILES!$H:$H,TARIFF_PROFILES!$A:$A,$X224))</f>
        <v/>
      </c>
      <c r="AD224" s="31" t="str">
        <f t="array" ref="AD224">IF($X224="","",INDEX(TARIFF_PROFILES!$J:$J,MATCH($X224,TARIFF_PROFILES!$A:$A,0)))</f>
        <v/>
      </c>
      <c r="AE224" s="31" t="str">
        <f t="array" ref="AE224">IF($X224="","",INDEX(TARIFF_PROFILES!$K:$K,MATCH($X224,TARIFF_PROFILES!$A:$A,0)))</f>
        <v/>
      </c>
      <c r="AG224" s="8"/>
      <c r="AH224" s="8" t="str">
        <f>IF($AG224="","",SUMIFS(OPERATING_COEFFS!$C:$C,OPERATING_COEFFS!$A:$A,"DistanceClass",OPERATING_COEFFS!$B:$B,$AG224))</f>
        <v/>
      </c>
      <c r="AI224" s="8"/>
      <c r="AJ224" s="8" t="str">
        <f>IF($AI224="","",SUMIFS(OPERATING_COEFFS!$C:$C,OPERATING_COEFFS!$A:$A,"SeasonClass",OPERATING_COEFFS!$B:$B,$AI224))</f>
        <v/>
      </c>
      <c r="AK224" s="8"/>
      <c r="AL224" s="8" t="str">
        <f>IF($AK224="","",SUMIFS(OPERATING_COEFFS!$C:$C,OPERATING_COEFFS!$A:$A,"UrgencyClass",OPERATING_COEFFS!$B:$B,$AK224))</f>
        <v/>
      </c>
      <c r="AM224" s="8"/>
      <c r="AN224" s="8" t="str">
        <f t="array" ref="AN224">IF($AM224="","",INDEX(TAX_MODES!$B:$B,MATCH($AM224,TAX_MODES!$A:$A,0)))</f>
        <v/>
      </c>
    </row>
    <row r="225" ht="14.25" customHeight="1">
      <c r="C225" s="8"/>
      <c r="E225" s="8"/>
      <c r="G225" s="8"/>
      <c r="I225" s="8"/>
      <c r="K225" s="8"/>
      <c r="M225" s="8"/>
      <c r="O225" s="8"/>
      <c r="Q225" s="8"/>
      <c r="S225" s="8"/>
      <c r="V225" s="8"/>
      <c r="X225" s="31"/>
      <c r="Y225" s="31" t="str">
        <f>IF($X225="","",SUMIFS(TARIFF_PROFILES!$D:$D,TARIFF_PROFILES!$A:$A,$X225))</f>
        <v/>
      </c>
      <c r="Z225" s="31" t="str">
        <f>IF($X225="","",SUMIFS(TARIFF_PROFILES!$E:$E,TARIFF_PROFILES!$A:$A,$X225))</f>
        <v/>
      </c>
      <c r="AA225" s="31" t="str">
        <f>IF($X225="","",SUMIFS(TARIFF_PROFILES!$F:$F,TARIFF_PROFILES!$A:$A,$X225))</f>
        <v/>
      </c>
      <c r="AB225" s="31" t="str">
        <f>IF($X225="","",SUMIFS(TARIFF_PROFILES!$G:$G,TARIFF_PROFILES!$A:$A,$X225))</f>
        <v/>
      </c>
      <c r="AC225" s="31" t="str">
        <f>IF($X225="","",SUMIFS(TARIFF_PROFILES!$H:$H,TARIFF_PROFILES!$A:$A,$X225))</f>
        <v/>
      </c>
      <c r="AD225" s="31" t="str">
        <f t="array" ref="AD225">IF($X225="","",INDEX(TARIFF_PROFILES!$J:$J,MATCH($X225,TARIFF_PROFILES!$A:$A,0)))</f>
        <v/>
      </c>
      <c r="AE225" s="31" t="str">
        <f t="array" ref="AE225">IF($X225="","",INDEX(TARIFF_PROFILES!$K:$K,MATCH($X225,TARIFF_PROFILES!$A:$A,0)))</f>
        <v/>
      </c>
      <c r="AG225" s="8"/>
      <c r="AH225" s="8" t="str">
        <f>IF($AG225="","",SUMIFS(OPERATING_COEFFS!$C:$C,OPERATING_COEFFS!$A:$A,"DistanceClass",OPERATING_COEFFS!$B:$B,$AG225))</f>
        <v/>
      </c>
      <c r="AI225" s="8"/>
      <c r="AJ225" s="8" t="str">
        <f>IF($AI225="","",SUMIFS(OPERATING_COEFFS!$C:$C,OPERATING_COEFFS!$A:$A,"SeasonClass",OPERATING_COEFFS!$B:$B,$AI225))</f>
        <v/>
      </c>
      <c r="AK225" s="8"/>
      <c r="AL225" s="8" t="str">
        <f>IF($AK225="","",SUMIFS(OPERATING_COEFFS!$C:$C,OPERATING_COEFFS!$A:$A,"UrgencyClass",OPERATING_COEFFS!$B:$B,$AK225))</f>
        <v/>
      </c>
      <c r="AM225" s="8"/>
      <c r="AN225" s="8" t="str">
        <f t="array" ref="AN225">IF($AM225="","",INDEX(TAX_MODES!$B:$B,MATCH($AM225,TAX_MODES!$A:$A,0)))</f>
        <v/>
      </c>
    </row>
    <row r="226" ht="14.25" customHeight="1">
      <c r="C226" s="8"/>
      <c r="E226" s="8"/>
      <c r="G226" s="8"/>
      <c r="I226" s="8"/>
      <c r="K226" s="8"/>
      <c r="M226" s="8"/>
      <c r="O226" s="8"/>
      <c r="Q226" s="8"/>
      <c r="S226" s="8"/>
      <c r="V226" s="8"/>
      <c r="X226" s="31"/>
      <c r="Y226" s="31" t="str">
        <f>IF($X226="","",SUMIFS(TARIFF_PROFILES!$D:$D,TARIFF_PROFILES!$A:$A,$X226))</f>
        <v/>
      </c>
      <c r="Z226" s="31" t="str">
        <f>IF($X226="","",SUMIFS(TARIFF_PROFILES!$E:$E,TARIFF_PROFILES!$A:$A,$X226))</f>
        <v/>
      </c>
      <c r="AA226" s="31" t="str">
        <f>IF($X226="","",SUMIFS(TARIFF_PROFILES!$F:$F,TARIFF_PROFILES!$A:$A,$X226))</f>
        <v/>
      </c>
      <c r="AB226" s="31" t="str">
        <f>IF($X226="","",SUMIFS(TARIFF_PROFILES!$G:$G,TARIFF_PROFILES!$A:$A,$X226))</f>
        <v/>
      </c>
      <c r="AC226" s="31" t="str">
        <f>IF($X226="","",SUMIFS(TARIFF_PROFILES!$H:$H,TARIFF_PROFILES!$A:$A,$X226))</f>
        <v/>
      </c>
      <c r="AD226" s="31" t="str">
        <f t="array" ref="AD226">IF($X226="","",INDEX(TARIFF_PROFILES!$J:$J,MATCH($X226,TARIFF_PROFILES!$A:$A,0)))</f>
        <v/>
      </c>
      <c r="AE226" s="31" t="str">
        <f t="array" ref="AE226">IF($X226="","",INDEX(TARIFF_PROFILES!$K:$K,MATCH($X226,TARIFF_PROFILES!$A:$A,0)))</f>
        <v/>
      </c>
      <c r="AG226" s="8"/>
      <c r="AH226" s="8" t="str">
        <f>IF($AG226="","",SUMIFS(OPERATING_COEFFS!$C:$C,OPERATING_COEFFS!$A:$A,"DistanceClass",OPERATING_COEFFS!$B:$B,$AG226))</f>
        <v/>
      </c>
      <c r="AI226" s="8"/>
      <c r="AJ226" s="8" t="str">
        <f>IF($AI226="","",SUMIFS(OPERATING_COEFFS!$C:$C,OPERATING_COEFFS!$A:$A,"SeasonClass",OPERATING_COEFFS!$B:$B,$AI226))</f>
        <v/>
      </c>
      <c r="AK226" s="8"/>
      <c r="AL226" s="8" t="str">
        <f>IF($AK226="","",SUMIFS(OPERATING_COEFFS!$C:$C,OPERATING_COEFFS!$A:$A,"UrgencyClass",OPERATING_COEFFS!$B:$B,$AK226))</f>
        <v/>
      </c>
      <c r="AM226" s="8"/>
      <c r="AN226" s="8" t="str">
        <f t="array" ref="AN226">IF($AM226="","",INDEX(TAX_MODES!$B:$B,MATCH($AM226,TAX_MODES!$A:$A,0)))</f>
        <v/>
      </c>
    </row>
    <row r="227" ht="14.25" customHeight="1">
      <c r="C227" s="8"/>
      <c r="E227" s="8"/>
      <c r="G227" s="8"/>
      <c r="I227" s="8"/>
      <c r="K227" s="8"/>
      <c r="M227" s="8"/>
      <c r="O227" s="8"/>
      <c r="Q227" s="8"/>
      <c r="S227" s="8"/>
      <c r="V227" s="8"/>
      <c r="X227" s="31"/>
      <c r="Y227" s="31" t="str">
        <f>IF($X227="","",SUMIFS(TARIFF_PROFILES!$D:$D,TARIFF_PROFILES!$A:$A,$X227))</f>
        <v/>
      </c>
      <c r="Z227" s="31" t="str">
        <f>IF($X227="","",SUMIFS(TARIFF_PROFILES!$E:$E,TARIFF_PROFILES!$A:$A,$X227))</f>
        <v/>
      </c>
      <c r="AA227" s="31" t="str">
        <f>IF($X227="","",SUMIFS(TARIFF_PROFILES!$F:$F,TARIFF_PROFILES!$A:$A,$X227))</f>
        <v/>
      </c>
      <c r="AB227" s="31" t="str">
        <f>IF($X227="","",SUMIFS(TARIFF_PROFILES!$G:$G,TARIFF_PROFILES!$A:$A,$X227))</f>
        <v/>
      </c>
      <c r="AC227" s="31" t="str">
        <f>IF($X227="","",SUMIFS(TARIFF_PROFILES!$H:$H,TARIFF_PROFILES!$A:$A,$X227))</f>
        <v/>
      </c>
      <c r="AD227" s="31" t="str">
        <f t="array" ref="AD227">IF($X227="","",INDEX(TARIFF_PROFILES!$J:$J,MATCH($X227,TARIFF_PROFILES!$A:$A,0)))</f>
        <v/>
      </c>
      <c r="AE227" s="31" t="str">
        <f t="array" ref="AE227">IF($X227="","",INDEX(TARIFF_PROFILES!$K:$K,MATCH($X227,TARIFF_PROFILES!$A:$A,0)))</f>
        <v/>
      </c>
      <c r="AG227" s="8"/>
      <c r="AH227" s="8" t="str">
        <f>IF($AG227="","",SUMIFS(OPERATING_COEFFS!$C:$C,OPERATING_COEFFS!$A:$A,"DistanceClass",OPERATING_COEFFS!$B:$B,$AG227))</f>
        <v/>
      </c>
      <c r="AI227" s="8"/>
      <c r="AJ227" s="8" t="str">
        <f>IF($AI227="","",SUMIFS(OPERATING_COEFFS!$C:$C,OPERATING_COEFFS!$A:$A,"SeasonClass",OPERATING_COEFFS!$B:$B,$AI227))</f>
        <v/>
      </c>
      <c r="AK227" s="8"/>
      <c r="AL227" s="8" t="str">
        <f>IF($AK227="","",SUMIFS(OPERATING_COEFFS!$C:$C,OPERATING_COEFFS!$A:$A,"UrgencyClass",OPERATING_COEFFS!$B:$B,$AK227))</f>
        <v/>
      </c>
      <c r="AM227" s="8"/>
      <c r="AN227" s="8" t="str">
        <f t="array" ref="AN227">IF($AM227="","",INDEX(TAX_MODES!$B:$B,MATCH($AM227,TAX_MODES!$A:$A,0)))</f>
        <v/>
      </c>
    </row>
    <row r="228" ht="14.25" customHeight="1">
      <c r="C228" s="8"/>
      <c r="E228" s="8"/>
      <c r="G228" s="8"/>
      <c r="I228" s="8"/>
      <c r="K228" s="8"/>
      <c r="M228" s="8"/>
      <c r="O228" s="8"/>
      <c r="Q228" s="8"/>
      <c r="S228" s="8"/>
      <c r="V228" s="8"/>
      <c r="X228" s="31"/>
      <c r="Y228" s="31" t="str">
        <f>IF($X228="","",SUMIFS(TARIFF_PROFILES!$D:$D,TARIFF_PROFILES!$A:$A,$X228))</f>
        <v/>
      </c>
      <c r="Z228" s="31" t="str">
        <f>IF($X228="","",SUMIFS(TARIFF_PROFILES!$E:$E,TARIFF_PROFILES!$A:$A,$X228))</f>
        <v/>
      </c>
      <c r="AA228" s="31" t="str">
        <f>IF($X228="","",SUMIFS(TARIFF_PROFILES!$F:$F,TARIFF_PROFILES!$A:$A,$X228))</f>
        <v/>
      </c>
      <c r="AB228" s="31" t="str">
        <f>IF($X228="","",SUMIFS(TARIFF_PROFILES!$G:$G,TARIFF_PROFILES!$A:$A,$X228))</f>
        <v/>
      </c>
      <c r="AC228" s="31" t="str">
        <f>IF($X228="","",SUMIFS(TARIFF_PROFILES!$H:$H,TARIFF_PROFILES!$A:$A,$X228))</f>
        <v/>
      </c>
      <c r="AD228" s="31" t="str">
        <f t="array" ref="AD228">IF($X228="","",INDEX(TARIFF_PROFILES!$J:$J,MATCH($X228,TARIFF_PROFILES!$A:$A,0)))</f>
        <v/>
      </c>
      <c r="AE228" s="31" t="str">
        <f t="array" ref="AE228">IF($X228="","",INDEX(TARIFF_PROFILES!$K:$K,MATCH($X228,TARIFF_PROFILES!$A:$A,0)))</f>
        <v/>
      </c>
      <c r="AG228" s="8"/>
      <c r="AH228" s="8" t="str">
        <f>IF($AG228="","",SUMIFS(OPERATING_COEFFS!$C:$C,OPERATING_COEFFS!$A:$A,"DistanceClass",OPERATING_COEFFS!$B:$B,$AG228))</f>
        <v/>
      </c>
      <c r="AI228" s="8"/>
      <c r="AJ228" s="8" t="str">
        <f>IF($AI228="","",SUMIFS(OPERATING_COEFFS!$C:$C,OPERATING_COEFFS!$A:$A,"SeasonClass",OPERATING_COEFFS!$B:$B,$AI228))</f>
        <v/>
      </c>
      <c r="AK228" s="8"/>
      <c r="AL228" s="8" t="str">
        <f>IF($AK228="","",SUMIFS(OPERATING_COEFFS!$C:$C,OPERATING_COEFFS!$A:$A,"UrgencyClass",OPERATING_COEFFS!$B:$B,$AK228))</f>
        <v/>
      </c>
      <c r="AM228" s="8"/>
      <c r="AN228" s="8" t="str">
        <f t="array" ref="AN228">IF($AM228="","",INDEX(TAX_MODES!$B:$B,MATCH($AM228,TAX_MODES!$A:$A,0)))</f>
        <v/>
      </c>
    </row>
    <row r="229" ht="14.25" customHeight="1">
      <c r="C229" s="8"/>
      <c r="E229" s="8"/>
      <c r="G229" s="8"/>
      <c r="I229" s="8"/>
      <c r="K229" s="8"/>
      <c r="M229" s="8"/>
      <c r="O229" s="8"/>
      <c r="Q229" s="8"/>
      <c r="S229" s="8"/>
      <c r="V229" s="8"/>
      <c r="X229" s="31"/>
      <c r="Y229" s="31" t="str">
        <f>IF($X229="","",SUMIFS(TARIFF_PROFILES!$D:$D,TARIFF_PROFILES!$A:$A,$X229))</f>
        <v/>
      </c>
      <c r="Z229" s="31" t="str">
        <f>IF($X229="","",SUMIFS(TARIFF_PROFILES!$E:$E,TARIFF_PROFILES!$A:$A,$X229))</f>
        <v/>
      </c>
      <c r="AA229" s="31" t="str">
        <f>IF($X229="","",SUMIFS(TARIFF_PROFILES!$F:$F,TARIFF_PROFILES!$A:$A,$X229))</f>
        <v/>
      </c>
      <c r="AB229" s="31" t="str">
        <f>IF($X229="","",SUMIFS(TARIFF_PROFILES!$G:$G,TARIFF_PROFILES!$A:$A,$X229))</f>
        <v/>
      </c>
      <c r="AC229" s="31" t="str">
        <f>IF($X229="","",SUMIFS(TARIFF_PROFILES!$H:$H,TARIFF_PROFILES!$A:$A,$X229))</f>
        <v/>
      </c>
      <c r="AD229" s="31" t="str">
        <f t="array" ref="AD229">IF($X229="","",INDEX(TARIFF_PROFILES!$J:$J,MATCH($X229,TARIFF_PROFILES!$A:$A,0)))</f>
        <v/>
      </c>
      <c r="AE229" s="31" t="str">
        <f t="array" ref="AE229">IF($X229="","",INDEX(TARIFF_PROFILES!$K:$K,MATCH($X229,TARIFF_PROFILES!$A:$A,0)))</f>
        <v/>
      </c>
      <c r="AG229" s="8"/>
      <c r="AH229" s="8" t="str">
        <f>IF($AG229="","",SUMIFS(OPERATING_COEFFS!$C:$C,OPERATING_COEFFS!$A:$A,"DistanceClass",OPERATING_COEFFS!$B:$B,$AG229))</f>
        <v/>
      </c>
      <c r="AI229" s="8"/>
      <c r="AJ229" s="8" t="str">
        <f>IF($AI229="","",SUMIFS(OPERATING_COEFFS!$C:$C,OPERATING_COEFFS!$A:$A,"SeasonClass",OPERATING_COEFFS!$B:$B,$AI229))</f>
        <v/>
      </c>
      <c r="AK229" s="8"/>
      <c r="AL229" s="8" t="str">
        <f>IF($AK229="","",SUMIFS(OPERATING_COEFFS!$C:$C,OPERATING_COEFFS!$A:$A,"UrgencyClass",OPERATING_COEFFS!$B:$B,$AK229))</f>
        <v/>
      </c>
      <c r="AM229" s="8"/>
      <c r="AN229" s="8" t="str">
        <f t="array" ref="AN229">IF($AM229="","",INDEX(TAX_MODES!$B:$B,MATCH($AM229,TAX_MODES!$A:$A,0)))</f>
        <v/>
      </c>
    </row>
    <row r="230" ht="14.25" customHeight="1">
      <c r="C230" s="8"/>
      <c r="E230" s="8"/>
      <c r="G230" s="8"/>
      <c r="I230" s="8"/>
      <c r="K230" s="8"/>
      <c r="M230" s="8"/>
      <c r="O230" s="8"/>
      <c r="Q230" s="8"/>
      <c r="S230" s="8"/>
      <c r="V230" s="8"/>
      <c r="X230" s="31"/>
      <c r="Y230" s="31" t="str">
        <f>IF($X230="","",SUMIFS(TARIFF_PROFILES!$D:$D,TARIFF_PROFILES!$A:$A,$X230))</f>
        <v/>
      </c>
      <c r="Z230" s="31" t="str">
        <f>IF($X230="","",SUMIFS(TARIFF_PROFILES!$E:$E,TARIFF_PROFILES!$A:$A,$X230))</f>
        <v/>
      </c>
      <c r="AA230" s="31" t="str">
        <f>IF($X230="","",SUMIFS(TARIFF_PROFILES!$F:$F,TARIFF_PROFILES!$A:$A,$X230))</f>
        <v/>
      </c>
      <c r="AB230" s="31" t="str">
        <f>IF($X230="","",SUMIFS(TARIFF_PROFILES!$G:$G,TARIFF_PROFILES!$A:$A,$X230))</f>
        <v/>
      </c>
      <c r="AC230" s="31" t="str">
        <f>IF($X230="","",SUMIFS(TARIFF_PROFILES!$H:$H,TARIFF_PROFILES!$A:$A,$X230))</f>
        <v/>
      </c>
      <c r="AD230" s="31" t="str">
        <f t="array" ref="AD230">IF($X230="","",INDEX(TARIFF_PROFILES!$J:$J,MATCH($X230,TARIFF_PROFILES!$A:$A,0)))</f>
        <v/>
      </c>
      <c r="AE230" s="31" t="str">
        <f t="array" ref="AE230">IF($X230="","",INDEX(TARIFF_PROFILES!$K:$K,MATCH($X230,TARIFF_PROFILES!$A:$A,0)))</f>
        <v/>
      </c>
      <c r="AG230" s="8"/>
      <c r="AH230" s="8" t="str">
        <f>IF($AG230="","",SUMIFS(OPERATING_COEFFS!$C:$C,OPERATING_COEFFS!$A:$A,"DistanceClass",OPERATING_COEFFS!$B:$B,$AG230))</f>
        <v/>
      </c>
      <c r="AI230" s="8"/>
      <c r="AJ230" s="8" t="str">
        <f>IF($AI230="","",SUMIFS(OPERATING_COEFFS!$C:$C,OPERATING_COEFFS!$A:$A,"SeasonClass",OPERATING_COEFFS!$B:$B,$AI230))</f>
        <v/>
      </c>
      <c r="AK230" s="8"/>
      <c r="AL230" s="8" t="str">
        <f>IF($AK230="","",SUMIFS(OPERATING_COEFFS!$C:$C,OPERATING_COEFFS!$A:$A,"UrgencyClass",OPERATING_COEFFS!$B:$B,$AK230))</f>
        <v/>
      </c>
      <c r="AM230" s="8"/>
      <c r="AN230" s="8" t="str">
        <f t="array" ref="AN230">IF($AM230="","",INDEX(TAX_MODES!$B:$B,MATCH($AM230,TAX_MODES!$A:$A,0)))</f>
        <v/>
      </c>
    </row>
    <row r="231" ht="14.25" customHeight="1">
      <c r="C231" s="8"/>
      <c r="E231" s="8"/>
      <c r="G231" s="8"/>
      <c r="I231" s="8"/>
      <c r="K231" s="8"/>
      <c r="M231" s="8"/>
      <c r="O231" s="8"/>
      <c r="Q231" s="8"/>
      <c r="S231" s="8"/>
      <c r="V231" s="8"/>
      <c r="X231" s="31"/>
      <c r="Y231" s="31" t="str">
        <f>IF($X231="","",SUMIFS(TARIFF_PROFILES!$D:$D,TARIFF_PROFILES!$A:$A,$X231))</f>
        <v/>
      </c>
      <c r="Z231" s="31" t="str">
        <f>IF($X231="","",SUMIFS(TARIFF_PROFILES!$E:$E,TARIFF_PROFILES!$A:$A,$X231))</f>
        <v/>
      </c>
      <c r="AA231" s="31" t="str">
        <f>IF($X231="","",SUMIFS(TARIFF_PROFILES!$F:$F,TARIFF_PROFILES!$A:$A,$X231))</f>
        <v/>
      </c>
      <c r="AB231" s="31" t="str">
        <f>IF($X231="","",SUMIFS(TARIFF_PROFILES!$G:$G,TARIFF_PROFILES!$A:$A,$X231))</f>
        <v/>
      </c>
      <c r="AC231" s="31" t="str">
        <f>IF($X231="","",SUMIFS(TARIFF_PROFILES!$H:$H,TARIFF_PROFILES!$A:$A,$X231))</f>
        <v/>
      </c>
      <c r="AD231" s="31" t="str">
        <f t="array" ref="AD231">IF($X231="","",INDEX(TARIFF_PROFILES!$J:$J,MATCH($X231,TARIFF_PROFILES!$A:$A,0)))</f>
        <v/>
      </c>
      <c r="AE231" s="31" t="str">
        <f t="array" ref="AE231">IF($X231="","",INDEX(TARIFF_PROFILES!$K:$K,MATCH($X231,TARIFF_PROFILES!$A:$A,0)))</f>
        <v/>
      </c>
      <c r="AG231" s="8"/>
      <c r="AH231" s="8" t="str">
        <f>IF($AG231="","",SUMIFS(OPERATING_COEFFS!$C:$C,OPERATING_COEFFS!$A:$A,"DistanceClass",OPERATING_COEFFS!$B:$B,$AG231))</f>
        <v/>
      </c>
      <c r="AI231" s="8"/>
      <c r="AJ231" s="8" t="str">
        <f>IF($AI231="","",SUMIFS(OPERATING_COEFFS!$C:$C,OPERATING_COEFFS!$A:$A,"SeasonClass",OPERATING_COEFFS!$B:$B,$AI231))</f>
        <v/>
      </c>
      <c r="AK231" s="8"/>
      <c r="AL231" s="8" t="str">
        <f>IF($AK231="","",SUMIFS(OPERATING_COEFFS!$C:$C,OPERATING_COEFFS!$A:$A,"UrgencyClass",OPERATING_COEFFS!$B:$B,$AK231))</f>
        <v/>
      </c>
      <c r="AM231" s="8"/>
      <c r="AN231" s="8" t="str">
        <f t="array" ref="AN231">IF($AM231="","",INDEX(TAX_MODES!$B:$B,MATCH($AM231,TAX_MODES!$A:$A,0)))</f>
        <v/>
      </c>
    </row>
    <row r="232" ht="14.25" customHeight="1">
      <c r="C232" s="8"/>
      <c r="E232" s="8"/>
      <c r="G232" s="8"/>
      <c r="I232" s="8"/>
      <c r="K232" s="8"/>
      <c r="M232" s="8"/>
      <c r="O232" s="8"/>
      <c r="Q232" s="8"/>
      <c r="S232" s="8"/>
      <c r="V232" s="8"/>
      <c r="X232" s="31"/>
      <c r="Y232" s="31" t="str">
        <f>IF($X232="","",SUMIFS(TARIFF_PROFILES!$D:$D,TARIFF_PROFILES!$A:$A,$X232))</f>
        <v/>
      </c>
      <c r="Z232" s="31" t="str">
        <f>IF($X232="","",SUMIFS(TARIFF_PROFILES!$E:$E,TARIFF_PROFILES!$A:$A,$X232))</f>
        <v/>
      </c>
      <c r="AA232" s="31" t="str">
        <f>IF($X232="","",SUMIFS(TARIFF_PROFILES!$F:$F,TARIFF_PROFILES!$A:$A,$X232))</f>
        <v/>
      </c>
      <c r="AB232" s="31" t="str">
        <f>IF($X232="","",SUMIFS(TARIFF_PROFILES!$G:$G,TARIFF_PROFILES!$A:$A,$X232))</f>
        <v/>
      </c>
      <c r="AC232" s="31" t="str">
        <f>IF($X232="","",SUMIFS(TARIFF_PROFILES!$H:$H,TARIFF_PROFILES!$A:$A,$X232))</f>
        <v/>
      </c>
      <c r="AD232" s="31" t="str">
        <f t="array" ref="AD232">IF($X232="","",INDEX(TARIFF_PROFILES!$J:$J,MATCH($X232,TARIFF_PROFILES!$A:$A,0)))</f>
        <v/>
      </c>
      <c r="AE232" s="31" t="str">
        <f t="array" ref="AE232">IF($X232="","",INDEX(TARIFF_PROFILES!$K:$K,MATCH($X232,TARIFF_PROFILES!$A:$A,0)))</f>
        <v/>
      </c>
      <c r="AG232" s="8"/>
      <c r="AH232" s="8" t="str">
        <f>IF($AG232="","",SUMIFS(OPERATING_COEFFS!$C:$C,OPERATING_COEFFS!$A:$A,"DistanceClass",OPERATING_COEFFS!$B:$B,$AG232))</f>
        <v/>
      </c>
      <c r="AI232" s="8"/>
      <c r="AJ232" s="8" t="str">
        <f>IF($AI232="","",SUMIFS(OPERATING_COEFFS!$C:$C,OPERATING_COEFFS!$A:$A,"SeasonClass",OPERATING_COEFFS!$B:$B,$AI232))</f>
        <v/>
      </c>
      <c r="AK232" s="8"/>
      <c r="AL232" s="8" t="str">
        <f>IF($AK232="","",SUMIFS(OPERATING_COEFFS!$C:$C,OPERATING_COEFFS!$A:$A,"UrgencyClass",OPERATING_COEFFS!$B:$B,$AK232))</f>
        <v/>
      </c>
      <c r="AM232" s="8"/>
      <c r="AN232" s="8" t="str">
        <f t="array" ref="AN232">IF($AM232="","",INDEX(TAX_MODES!$B:$B,MATCH($AM232,TAX_MODES!$A:$A,0)))</f>
        <v/>
      </c>
    </row>
    <row r="233" ht="14.25" customHeight="1">
      <c r="C233" s="8"/>
      <c r="E233" s="8"/>
      <c r="G233" s="8"/>
      <c r="I233" s="8"/>
      <c r="K233" s="8"/>
      <c r="M233" s="8"/>
      <c r="O233" s="8"/>
      <c r="Q233" s="8"/>
      <c r="S233" s="8"/>
      <c r="V233" s="8"/>
      <c r="X233" s="31"/>
      <c r="Y233" s="31" t="str">
        <f>IF($X233="","",SUMIFS(TARIFF_PROFILES!$D:$D,TARIFF_PROFILES!$A:$A,$X233))</f>
        <v/>
      </c>
      <c r="Z233" s="31" t="str">
        <f>IF($X233="","",SUMIFS(TARIFF_PROFILES!$E:$E,TARIFF_PROFILES!$A:$A,$X233))</f>
        <v/>
      </c>
      <c r="AA233" s="31" t="str">
        <f>IF($X233="","",SUMIFS(TARIFF_PROFILES!$F:$F,TARIFF_PROFILES!$A:$A,$X233))</f>
        <v/>
      </c>
      <c r="AB233" s="31" t="str">
        <f>IF($X233="","",SUMIFS(TARIFF_PROFILES!$G:$G,TARIFF_PROFILES!$A:$A,$X233))</f>
        <v/>
      </c>
      <c r="AC233" s="31" t="str">
        <f>IF($X233="","",SUMIFS(TARIFF_PROFILES!$H:$H,TARIFF_PROFILES!$A:$A,$X233))</f>
        <v/>
      </c>
      <c r="AD233" s="31" t="str">
        <f t="array" ref="AD233">IF($X233="","",INDEX(TARIFF_PROFILES!$J:$J,MATCH($X233,TARIFF_PROFILES!$A:$A,0)))</f>
        <v/>
      </c>
      <c r="AE233" s="31" t="str">
        <f t="array" ref="AE233">IF($X233="","",INDEX(TARIFF_PROFILES!$K:$K,MATCH($X233,TARIFF_PROFILES!$A:$A,0)))</f>
        <v/>
      </c>
      <c r="AG233" s="8"/>
      <c r="AH233" s="8" t="str">
        <f>IF($AG233="","",SUMIFS(OPERATING_COEFFS!$C:$C,OPERATING_COEFFS!$A:$A,"DistanceClass",OPERATING_COEFFS!$B:$B,$AG233))</f>
        <v/>
      </c>
      <c r="AI233" s="8"/>
      <c r="AJ233" s="8" t="str">
        <f>IF($AI233="","",SUMIFS(OPERATING_COEFFS!$C:$C,OPERATING_COEFFS!$A:$A,"SeasonClass",OPERATING_COEFFS!$B:$B,$AI233))</f>
        <v/>
      </c>
      <c r="AK233" s="8"/>
      <c r="AL233" s="8" t="str">
        <f>IF($AK233="","",SUMIFS(OPERATING_COEFFS!$C:$C,OPERATING_COEFFS!$A:$A,"UrgencyClass",OPERATING_COEFFS!$B:$B,$AK233))</f>
        <v/>
      </c>
      <c r="AM233" s="8"/>
      <c r="AN233" s="8" t="str">
        <f t="array" ref="AN233">IF($AM233="","",INDEX(TAX_MODES!$B:$B,MATCH($AM233,TAX_MODES!$A:$A,0)))</f>
        <v/>
      </c>
    </row>
    <row r="234" ht="14.25" customHeight="1">
      <c r="C234" s="8"/>
      <c r="E234" s="8"/>
      <c r="G234" s="8"/>
      <c r="I234" s="8"/>
      <c r="K234" s="8"/>
      <c r="M234" s="8"/>
      <c r="O234" s="8"/>
      <c r="Q234" s="8"/>
      <c r="S234" s="8"/>
      <c r="V234" s="8"/>
      <c r="X234" s="31"/>
      <c r="Y234" s="31" t="str">
        <f>IF($X234="","",SUMIFS(TARIFF_PROFILES!$D:$D,TARIFF_PROFILES!$A:$A,$X234))</f>
        <v/>
      </c>
      <c r="Z234" s="31" t="str">
        <f>IF($X234="","",SUMIFS(TARIFF_PROFILES!$E:$E,TARIFF_PROFILES!$A:$A,$X234))</f>
        <v/>
      </c>
      <c r="AA234" s="31" t="str">
        <f>IF($X234="","",SUMIFS(TARIFF_PROFILES!$F:$F,TARIFF_PROFILES!$A:$A,$X234))</f>
        <v/>
      </c>
      <c r="AB234" s="31" t="str">
        <f>IF($X234="","",SUMIFS(TARIFF_PROFILES!$G:$G,TARIFF_PROFILES!$A:$A,$X234))</f>
        <v/>
      </c>
      <c r="AC234" s="31" t="str">
        <f>IF($X234="","",SUMIFS(TARIFF_PROFILES!$H:$H,TARIFF_PROFILES!$A:$A,$X234))</f>
        <v/>
      </c>
      <c r="AD234" s="31" t="str">
        <f t="array" ref="AD234">IF($X234="","",INDEX(TARIFF_PROFILES!$J:$J,MATCH($X234,TARIFF_PROFILES!$A:$A,0)))</f>
        <v/>
      </c>
      <c r="AE234" s="31" t="str">
        <f t="array" ref="AE234">IF($X234="","",INDEX(TARIFF_PROFILES!$K:$K,MATCH($X234,TARIFF_PROFILES!$A:$A,0)))</f>
        <v/>
      </c>
      <c r="AG234" s="8"/>
      <c r="AH234" s="8" t="str">
        <f>IF($AG234="","",SUMIFS(OPERATING_COEFFS!$C:$C,OPERATING_COEFFS!$A:$A,"DistanceClass",OPERATING_COEFFS!$B:$B,$AG234))</f>
        <v/>
      </c>
      <c r="AI234" s="8"/>
      <c r="AJ234" s="8" t="str">
        <f>IF($AI234="","",SUMIFS(OPERATING_COEFFS!$C:$C,OPERATING_COEFFS!$A:$A,"SeasonClass",OPERATING_COEFFS!$B:$B,$AI234))</f>
        <v/>
      </c>
      <c r="AK234" s="8"/>
      <c r="AL234" s="8" t="str">
        <f>IF($AK234="","",SUMIFS(OPERATING_COEFFS!$C:$C,OPERATING_COEFFS!$A:$A,"UrgencyClass",OPERATING_COEFFS!$B:$B,$AK234))</f>
        <v/>
      </c>
      <c r="AM234" s="8"/>
      <c r="AN234" s="8" t="str">
        <f t="array" ref="AN234">IF($AM234="","",INDEX(TAX_MODES!$B:$B,MATCH($AM234,TAX_MODES!$A:$A,0)))</f>
        <v/>
      </c>
    </row>
    <row r="235" ht="14.25" customHeight="1">
      <c r="C235" s="8"/>
      <c r="E235" s="8"/>
      <c r="G235" s="8"/>
      <c r="I235" s="8"/>
      <c r="K235" s="8"/>
      <c r="M235" s="8"/>
      <c r="O235" s="8"/>
      <c r="Q235" s="8"/>
      <c r="S235" s="8"/>
      <c r="V235" s="8"/>
      <c r="X235" s="31"/>
      <c r="Y235" s="31" t="str">
        <f>IF($X235="","",SUMIFS(TARIFF_PROFILES!$D:$D,TARIFF_PROFILES!$A:$A,$X235))</f>
        <v/>
      </c>
      <c r="Z235" s="31" t="str">
        <f>IF($X235="","",SUMIFS(TARIFF_PROFILES!$E:$E,TARIFF_PROFILES!$A:$A,$X235))</f>
        <v/>
      </c>
      <c r="AA235" s="31" t="str">
        <f>IF($X235="","",SUMIFS(TARIFF_PROFILES!$F:$F,TARIFF_PROFILES!$A:$A,$X235))</f>
        <v/>
      </c>
      <c r="AB235" s="31" t="str">
        <f>IF($X235="","",SUMIFS(TARIFF_PROFILES!$G:$G,TARIFF_PROFILES!$A:$A,$X235))</f>
        <v/>
      </c>
      <c r="AC235" s="31" t="str">
        <f>IF($X235="","",SUMIFS(TARIFF_PROFILES!$H:$H,TARIFF_PROFILES!$A:$A,$X235))</f>
        <v/>
      </c>
      <c r="AD235" s="31" t="str">
        <f t="array" ref="AD235">IF($X235="","",INDEX(TARIFF_PROFILES!$J:$J,MATCH($X235,TARIFF_PROFILES!$A:$A,0)))</f>
        <v/>
      </c>
      <c r="AE235" s="31" t="str">
        <f t="array" ref="AE235">IF($X235="","",INDEX(TARIFF_PROFILES!$K:$K,MATCH($X235,TARIFF_PROFILES!$A:$A,0)))</f>
        <v/>
      </c>
      <c r="AG235" s="8"/>
      <c r="AH235" s="8" t="str">
        <f>IF($AG235="","",SUMIFS(OPERATING_COEFFS!$C:$C,OPERATING_COEFFS!$A:$A,"DistanceClass",OPERATING_COEFFS!$B:$B,$AG235))</f>
        <v/>
      </c>
      <c r="AI235" s="8"/>
      <c r="AJ235" s="8" t="str">
        <f>IF($AI235="","",SUMIFS(OPERATING_COEFFS!$C:$C,OPERATING_COEFFS!$A:$A,"SeasonClass",OPERATING_COEFFS!$B:$B,$AI235))</f>
        <v/>
      </c>
      <c r="AK235" s="8"/>
      <c r="AL235" s="8" t="str">
        <f>IF($AK235="","",SUMIFS(OPERATING_COEFFS!$C:$C,OPERATING_COEFFS!$A:$A,"UrgencyClass",OPERATING_COEFFS!$B:$B,$AK235))</f>
        <v/>
      </c>
      <c r="AM235" s="8"/>
      <c r="AN235" s="8" t="str">
        <f t="array" ref="AN235">IF($AM235="","",INDEX(TAX_MODES!$B:$B,MATCH($AM235,TAX_MODES!$A:$A,0)))</f>
        <v/>
      </c>
    </row>
    <row r="236" ht="14.25" customHeight="1">
      <c r="C236" s="8"/>
      <c r="E236" s="8"/>
      <c r="G236" s="8"/>
      <c r="I236" s="8"/>
      <c r="K236" s="8"/>
      <c r="M236" s="8"/>
      <c r="O236" s="8"/>
      <c r="Q236" s="8"/>
      <c r="S236" s="8"/>
      <c r="V236" s="8"/>
      <c r="X236" s="31"/>
      <c r="Y236" s="31" t="str">
        <f>IF($X236="","",SUMIFS(TARIFF_PROFILES!$D:$D,TARIFF_PROFILES!$A:$A,$X236))</f>
        <v/>
      </c>
      <c r="Z236" s="31" t="str">
        <f>IF($X236="","",SUMIFS(TARIFF_PROFILES!$E:$E,TARIFF_PROFILES!$A:$A,$X236))</f>
        <v/>
      </c>
      <c r="AA236" s="31" t="str">
        <f>IF($X236="","",SUMIFS(TARIFF_PROFILES!$F:$F,TARIFF_PROFILES!$A:$A,$X236))</f>
        <v/>
      </c>
      <c r="AB236" s="31" t="str">
        <f>IF($X236="","",SUMIFS(TARIFF_PROFILES!$G:$G,TARIFF_PROFILES!$A:$A,$X236))</f>
        <v/>
      </c>
      <c r="AC236" s="31" t="str">
        <f>IF($X236="","",SUMIFS(TARIFF_PROFILES!$H:$H,TARIFF_PROFILES!$A:$A,$X236))</f>
        <v/>
      </c>
      <c r="AD236" s="31" t="str">
        <f t="array" ref="AD236">IF($X236="","",INDEX(TARIFF_PROFILES!$J:$J,MATCH($X236,TARIFF_PROFILES!$A:$A,0)))</f>
        <v/>
      </c>
      <c r="AE236" s="31" t="str">
        <f t="array" ref="AE236">IF($X236="","",INDEX(TARIFF_PROFILES!$K:$K,MATCH($X236,TARIFF_PROFILES!$A:$A,0)))</f>
        <v/>
      </c>
      <c r="AG236" s="8"/>
      <c r="AH236" s="8" t="str">
        <f>IF($AG236="","",SUMIFS(OPERATING_COEFFS!$C:$C,OPERATING_COEFFS!$A:$A,"DistanceClass",OPERATING_COEFFS!$B:$B,$AG236))</f>
        <v/>
      </c>
      <c r="AI236" s="8"/>
      <c r="AJ236" s="8" t="str">
        <f>IF($AI236="","",SUMIFS(OPERATING_COEFFS!$C:$C,OPERATING_COEFFS!$A:$A,"SeasonClass",OPERATING_COEFFS!$B:$B,$AI236))</f>
        <v/>
      </c>
      <c r="AK236" s="8"/>
      <c r="AL236" s="8" t="str">
        <f>IF($AK236="","",SUMIFS(OPERATING_COEFFS!$C:$C,OPERATING_COEFFS!$A:$A,"UrgencyClass",OPERATING_COEFFS!$B:$B,$AK236))</f>
        <v/>
      </c>
      <c r="AM236" s="8"/>
      <c r="AN236" s="8" t="str">
        <f t="array" ref="AN236">IF($AM236="","",INDEX(TAX_MODES!$B:$B,MATCH($AM236,TAX_MODES!$A:$A,0)))</f>
        <v/>
      </c>
    </row>
    <row r="237" ht="14.25" customHeight="1">
      <c r="C237" s="8"/>
      <c r="E237" s="8"/>
      <c r="G237" s="8"/>
      <c r="I237" s="8"/>
      <c r="K237" s="8"/>
      <c r="M237" s="8"/>
      <c r="O237" s="8"/>
      <c r="Q237" s="8"/>
      <c r="S237" s="8"/>
      <c r="V237" s="8"/>
      <c r="X237" s="31"/>
      <c r="Y237" s="31" t="str">
        <f>IF($X237="","",SUMIFS(TARIFF_PROFILES!$D:$D,TARIFF_PROFILES!$A:$A,$X237))</f>
        <v/>
      </c>
      <c r="Z237" s="31" t="str">
        <f>IF($X237="","",SUMIFS(TARIFF_PROFILES!$E:$E,TARIFF_PROFILES!$A:$A,$X237))</f>
        <v/>
      </c>
      <c r="AA237" s="31" t="str">
        <f>IF($X237="","",SUMIFS(TARIFF_PROFILES!$F:$F,TARIFF_PROFILES!$A:$A,$X237))</f>
        <v/>
      </c>
      <c r="AB237" s="31" t="str">
        <f>IF($X237="","",SUMIFS(TARIFF_PROFILES!$G:$G,TARIFF_PROFILES!$A:$A,$X237))</f>
        <v/>
      </c>
      <c r="AC237" s="31" t="str">
        <f>IF($X237="","",SUMIFS(TARIFF_PROFILES!$H:$H,TARIFF_PROFILES!$A:$A,$X237))</f>
        <v/>
      </c>
      <c r="AD237" s="31" t="str">
        <f t="array" ref="AD237">IF($X237="","",INDEX(TARIFF_PROFILES!$J:$J,MATCH($X237,TARIFF_PROFILES!$A:$A,0)))</f>
        <v/>
      </c>
      <c r="AE237" s="31" t="str">
        <f t="array" ref="AE237">IF($X237="","",INDEX(TARIFF_PROFILES!$K:$K,MATCH($X237,TARIFF_PROFILES!$A:$A,0)))</f>
        <v/>
      </c>
      <c r="AG237" s="8"/>
      <c r="AH237" s="8" t="str">
        <f>IF($AG237="","",SUMIFS(OPERATING_COEFFS!$C:$C,OPERATING_COEFFS!$A:$A,"DistanceClass",OPERATING_COEFFS!$B:$B,$AG237))</f>
        <v/>
      </c>
      <c r="AI237" s="8"/>
      <c r="AJ237" s="8" t="str">
        <f>IF($AI237="","",SUMIFS(OPERATING_COEFFS!$C:$C,OPERATING_COEFFS!$A:$A,"SeasonClass",OPERATING_COEFFS!$B:$B,$AI237))</f>
        <v/>
      </c>
      <c r="AK237" s="8"/>
      <c r="AL237" s="8" t="str">
        <f>IF($AK237="","",SUMIFS(OPERATING_COEFFS!$C:$C,OPERATING_COEFFS!$A:$A,"UrgencyClass",OPERATING_COEFFS!$B:$B,$AK237))</f>
        <v/>
      </c>
      <c r="AM237" s="8"/>
      <c r="AN237" s="8" t="str">
        <f t="array" ref="AN237">IF($AM237="","",INDEX(TAX_MODES!$B:$B,MATCH($AM237,TAX_MODES!$A:$A,0)))</f>
        <v/>
      </c>
    </row>
    <row r="238" ht="14.25" customHeight="1">
      <c r="C238" s="8"/>
      <c r="E238" s="8"/>
      <c r="G238" s="8"/>
      <c r="I238" s="8"/>
      <c r="K238" s="8"/>
      <c r="M238" s="8"/>
      <c r="O238" s="8"/>
      <c r="Q238" s="8"/>
      <c r="S238" s="8"/>
      <c r="V238" s="8"/>
      <c r="X238" s="31"/>
      <c r="Y238" s="31" t="str">
        <f>IF($X238="","",SUMIFS(TARIFF_PROFILES!$D:$D,TARIFF_PROFILES!$A:$A,$X238))</f>
        <v/>
      </c>
      <c r="Z238" s="31" t="str">
        <f>IF($X238="","",SUMIFS(TARIFF_PROFILES!$E:$E,TARIFF_PROFILES!$A:$A,$X238))</f>
        <v/>
      </c>
      <c r="AA238" s="31" t="str">
        <f>IF($X238="","",SUMIFS(TARIFF_PROFILES!$F:$F,TARIFF_PROFILES!$A:$A,$X238))</f>
        <v/>
      </c>
      <c r="AB238" s="31" t="str">
        <f>IF($X238="","",SUMIFS(TARIFF_PROFILES!$G:$G,TARIFF_PROFILES!$A:$A,$X238))</f>
        <v/>
      </c>
      <c r="AC238" s="31" t="str">
        <f>IF($X238="","",SUMIFS(TARIFF_PROFILES!$H:$H,TARIFF_PROFILES!$A:$A,$X238))</f>
        <v/>
      </c>
      <c r="AD238" s="31" t="str">
        <f t="array" ref="AD238">IF($X238="","",INDEX(TARIFF_PROFILES!$J:$J,MATCH($X238,TARIFF_PROFILES!$A:$A,0)))</f>
        <v/>
      </c>
      <c r="AE238" s="31" t="str">
        <f t="array" ref="AE238">IF($X238="","",INDEX(TARIFF_PROFILES!$K:$K,MATCH($X238,TARIFF_PROFILES!$A:$A,0)))</f>
        <v/>
      </c>
      <c r="AG238" s="8"/>
      <c r="AH238" s="8" t="str">
        <f>IF($AG238="","",SUMIFS(OPERATING_COEFFS!$C:$C,OPERATING_COEFFS!$A:$A,"DistanceClass",OPERATING_COEFFS!$B:$B,$AG238))</f>
        <v/>
      </c>
      <c r="AI238" s="8"/>
      <c r="AJ238" s="8" t="str">
        <f>IF($AI238="","",SUMIFS(OPERATING_COEFFS!$C:$C,OPERATING_COEFFS!$A:$A,"SeasonClass",OPERATING_COEFFS!$B:$B,$AI238))</f>
        <v/>
      </c>
      <c r="AK238" s="8"/>
      <c r="AL238" s="8" t="str">
        <f>IF($AK238="","",SUMIFS(OPERATING_COEFFS!$C:$C,OPERATING_COEFFS!$A:$A,"UrgencyClass",OPERATING_COEFFS!$B:$B,$AK238))</f>
        <v/>
      </c>
      <c r="AM238" s="8"/>
      <c r="AN238" s="8" t="str">
        <f t="array" ref="AN238">IF($AM238="","",INDEX(TAX_MODES!$B:$B,MATCH($AM238,TAX_MODES!$A:$A,0)))</f>
        <v/>
      </c>
    </row>
    <row r="239" ht="14.25" customHeight="1">
      <c r="C239" s="8"/>
      <c r="E239" s="8"/>
      <c r="G239" s="8"/>
      <c r="I239" s="8"/>
      <c r="K239" s="8"/>
      <c r="M239" s="8"/>
      <c r="O239" s="8"/>
      <c r="Q239" s="8"/>
      <c r="S239" s="8"/>
      <c r="V239" s="8"/>
      <c r="X239" s="31"/>
      <c r="Y239" s="31" t="str">
        <f>IF($X239="","",SUMIFS(TARIFF_PROFILES!$D:$D,TARIFF_PROFILES!$A:$A,$X239))</f>
        <v/>
      </c>
      <c r="Z239" s="31" t="str">
        <f>IF($X239="","",SUMIFS(TARIFF_PROFILES!$E:$E,TARIFF_PROFILES!$A:$A,$X239))</f>
        <v/>
      </c>
      <c r="AA239" s="31" t="str">
        <f>IF($X239="","",SUMIFS(TARIFF_PROFILES!$F:$F,TARIFF_PROFILES!$A:$A,$X239))</f>
        <v/>
      </c>
      <c r="AB239" s="31" t="str">
        <f>IF($X239="","",SUMIFS(TARIFF_PROFILES!$G:$G,TARIFF_PROFILES!$A:$A,$X239))</f>
        <v/>
      </c>
      <c r="AC239" s="31" t="str">
        <f>IF($X239="","",SUMIFS(TARIFF_PROFILES!$H:$H,TARIFF_PROFILES!$A:$A,$X239))</f>
        <v/>
      </c>
      <c r="AD239" s="31" t="str">
        <f t="array" ref="AD239">IF($X239="","",INDEX(TARIFF_PROFILES!$J:$J,MATCH($X239,TARIFF_PROFILES!$A:$A,0)))</f>
        <v/>
      </c>
      <c r="AE239" s="31" t="str">
        <f t="array" ref="AE239">IF($X239="","",INDEX(TARIFF_PROFILES!$K:$K,MATCH($X239,TARIFF_PROFILES!$A:$A,0)))</f>
        <v/>
      </c>
      <c r="AG239" s="8"/>
      <c r="AH239" s="8" t="str">
        <f>IF($AG239="","",SUMIFS(OPERATING_COEFFS!$C:$C,OPERATING_COEFFS!$A:$A,"DistanceClass",OPERATING_COEFFS!$B:$B,$AG239))</f>
        <v/>
      </c>
      <c r="AI239" s="8"/>
      <c r="AJ239" s="8" t="str">
        <f>IF($AI239="","",SUMIFS(OPERATING_COEFFS!$C:$C,OPERATING_COEFFS!$A:$A,"SeasonClass",OPERATING_COEFFS!$B:$B,$AI239))</f>
        <v/>
      </c>
      <c r="AK239" s="8"/>
      <c r="AL239" s="8" t="str">
        <f>IF($AK239="","",SUMIFS(OPERATING_COEFFS!$C:$C,OPERATING_COEFFS!$A:$A,"UrgencyClass",OPERATING_COEFFS!$B:$B,$AK239))</f>
        <v/>
      </c>
      <c r="AM239" s="8"/>
      <c r="AN239" s="8" t="str">
        <f t="array" ref="AN239">IF($AM239="","",INDEX(TAX_MODES!$B:$B,MATCH($AM239,TAX_MODES!$A:$A,0)))</f>
        <v/>
      </c>
    </row>
    <row r="240" ht="14.25" customHeight="1">
      <c r="C240" s="8"/>
      <c r="E240" s="8"/>
      <c r="G240" s="8"/>
      <c r="I240" s="8"/>
      <c r="K240" s="8"/>
      <c r="M240" s="8"/>
      <c r="O240" s="8"/>
      <c r="Q240" s="8"/>
      <c r="S240" s="8"/>
      <c r="V240" s="8"/>
      <c r="X240" s="31"/>
      <c r="Y240" s="31" t="str">
        <f>IF($X240="","",SUMIFS(TARIFF_PROFILES!$D:$D,TARIFF_PROFILES!$A:$A,$X240))</f>
        <v/>
      </c>
      <c r="Z240" s="31" t="str">
        <f>IF($X240="","",SUMIFS(TARIFF_PROFILES!$E:$E,TARIFF_PROFILES!$A:$A,$X240))</f>
        <v/>
      </c>
      <c r="AA240" s="31" t="str">
        <f>IF($X240="","",SUMIFS(TARIFF_PROFILES!$F:$F,TARIFF_PROFILES!$A:$A,$X240))</f>
        <v/>
      </c>
      <c r="AB240" s="31" t="str">
        <f>IF($X240="","",SUMIFS(TARIFF_PROFILES!$G:$G,TARIFF_PROFILES!$A:$A,$X240))</f>
        <v/>
      </c>
      <c r="AC240" s="31" t="str">
        <f>IF($X240="","",SUMIFS(TARIFF_PROFILES!$H:$H,TARIFF_PROFILES!$A:$A,$X240))</f>
        <v/>
      </c>
      <c r="AD240" s="31" t="str">
        <f t="array" ref="AD240">IF($X240="","",INDEX(TARIFF_PROFILES!$J:$J,MATCH($X240,TARIFF_PROFILES!$A:$A,0)))</f>
        <v/>
      </c>
      <c r="AE240" s="31" t="str">
        <f t="array" ref="AE240">IF($X240="","",INDEX(TARIFF_PROFILES!$K:$K,MATCH($X240,TARIFF_PROFILES!$A:$A,0)))</f>
        <v/>
      </c>
      <c r="AG240" s="8"/>
      <c r="AH240" s="8" t="str">
        <f>IF($AG240="","",SUMIFS(OPERATING_COEFFS!$C:$C,OPERATING_COEFFS!$A:$A,"DistanceClass",OPERATING_COEFFS!$B:$B,$AG240))</f>
        <v/>
      </c>
      <c r="AI240" s="8"/>
      <c r="AJ240" s="8" t="str">
        <f>IF($AI240="","",SUMIFS(OPERATING_COEFFS!$C:$C,OPERATING_COEFFS!$A:$A,"SeasonClass",OPERATING_COEFFS!$B:$B,$AI240))</f>
        <v/>
      </c>
      <c r="AK240" s="8"/>
      <c r="AL240" s="8" t="str">
        <f>IF($AK240="","",SUMIFS(OPERATING_COEFFS!$C:$C,OPERATING_COEFFS!$A:$A,"UrgencyClass",OPERATING_COEFFS!$B:$B,$AK240))</f>
        <v/>
      </c>
      <c r="AM240" s="8"/>
      <c r="AN240" s="8" t="str">
        <f t="array" ref="AN240">IF($AM240="","",INDEX(TAX_MODES!$B:$B,MATCH($AM240,TAX_MODES!$A:$A,0)))</f>
        <v/>
      </c>
    </row>
    <row r="241" ht="14.25" customHeight="1">
      <c r="C241" s="8"/>
      <c r="E241" s="8"/>
      <c r="G241" s="8"/>
      <c r="I241" s="8"/>
      <c r="K241" s="8"/>
      <c r="M241" s="8"/>
      <c r="O241" s="8"/>
      <c r="Q241" s="8"/>
      <c r="S241" s="8"/>
      <c r="V241" s="8"/>
      <c r="X241" s="31"/>
      <c r="Y241" s="31" t="str">
        <f>IF($X241="","",SUMIFS(TARIFF_PROFILES!$D:$D,TARIFF_PROFILES!$A:$A,$X241))</f>
        <v/>
      </c>
      <c r="Z241" s="31" t="str">
        <f>IF($X241="","",SUMIFS(TARIFF_PROFILES!$E:$E,TARIFF_PROFILES!$A:$A,$X241))</f>
        <v/>
      </c>
      <c r="AA241" s="31" t="str">
        <f>IF($X241="","",SUMIFS(TARIFF_PROFILES!$F:$F,TARIFF_PROFILES!$A:$A,$X241))</f>
        <v/>
      </c>
      <c r="AB241" s="31" t="str">
        <f>IF($X241="","",SUMIFS(TARIFF_PROFILES!$G:$G,TARIFF_PROFILES!$A:$A,$X241))</f>
        <v/>
      </c>
      <c r="AC241" s="31" t="str">
        <f>IF($X241="","",SUMIFS(TARIFF_PROFILES!$H:$H,TARIFF_PROFILES!$A:$A,$X241))</f>
        <v/>
      </c>
      <c r="AD241" s="31" t="str">
        <f t="array" ref="AD241">IF($X241="","",INDEX(TARIFF_PROFILES!$J:$J,MATCH($X241,TARIFF_PROFILES!$A:$A,0)))</f>
        <v/>
      </c>
      <c r="AE241" s="31" t="str">
        <f t="array" ref="AE241">IF($X241="","",INDEX(TARIFF_PROFILES!$K:$K,MATCH($X241,TARIFF_PROFILES!$A:$A,0)))</f>
        <v/>
      </c>
      <c r="AG241" s="8"/>
      <c r="AH241" s="8" t="str">
        <f>IF($AG241="","",SUMIFS(OPERATING_COEFFS!$C:$C,OPERATING_COEFFS!$A:$A,"DistanceClass",OPERATING_COEFFS!$B:$B,$AG241))</f>
        <v/>
      </c>
      <c r="AI241" s="8"/>
      <c r="AJ241" s="8" t="str">
        <f>IF($AI241="","",SUMIFS(OPERATING_COEFFS!$C:$C,OPERATING_COEFFS!$A:$A,"SeasonClass",OPERATING_COEFFS!$B:$B,$AI241))</f>
        <v/>
      </c>
      <c r="AK241" s="8"/>
      <c r="AL241" s="8" t="str">
        <f>IF($AK241="","",SUMIFS(OPERATING_COEFFS!$C:$C,OPERATING_COEFFS!$A:$A,"UrgencyClass",OPERATING_COEFFS!$B:$B,$AK241))</f>
        <v/>
      </c>
      <c r="AM241" s="8"/>
      <c r="AN241" s="8" t="str">
        <f t="array" ref="AN241">IF($AM241="","",INDEX(TAX_MODES!$B:$B,MATCH($AM241,TAX_MODES!$A:$A,0)))</f>
        <v/>
      </c>
    </row>
    <row r="242" ht="14.25" customHeight="1">
      <c r="C242" s="8"/>
      <c r="E242" s="8"/>
      <c r="G242" s="8"/>
      <c r="I242" s="8"/>
      <c r="K242" s="8"/>
      <c r="M242" s="8"/>
      <c r="O242" s="8"/>
      <c r="Q242" s="8"/>
      <c r="S242" s="8"/>
      <c r="V242" s="8"/>
      <c r="X242" s="31"/>
      <c r="Y242" s="31" t="str">
        <f>IF($X242="","",SUMIFS(TARIFF_PROFILES!$D:$D,TARIFF_PROFILES!$A:$A,$X242))</f>
        <v/>
      </c>
      <c r="Z242" s="31" t="str">
        <f>IF($X242="","",SUMIFS(TARIFF_PROFILES!$E:$E,TARIFF_PROFILES!$A:$A,$X242))</f>
        <v/>
      </c>
      <c r="AA242" s="31" t="str">
        <f>IF($X242="","",SUMIFS(TARIFF_PROFILES!$F:$F,TARIFF_PROFILES!$A:$A,$X242))</f>
        <v/>
      </c>
      <c r="AB242" s="31" t="str">
        <f>IF($X242="","",SUMIFS(TARIFF_PROFILES!$G:$G,TARIFF_PROFILES!$A:$A,$X242))</f>
        <v/>
      </c>
      <c r="AC242" s="31" t="str">
        <f>IF($X242="","",SUMIFS(TARIFF_PROFILES!$H:$H,TARIFF_PROFILES!$A:$A,$X242))</f>
        <v/>
      </c>
      <c r="AD242" s="31" t="str">
        <f t="array" ref="AD242">IF($X242="","",INDEX(TARIFF_PROFILES!$J:$J,MATCH($X242,TARIFF_PROFILES!$A:$A,0)))</f>
        <v/>
      </c>
      <c r="AE242" s="31" t="str">
        <f t="array" ref="AE242">IF($X242="","",INDEX(TARIFF_PROFILES!$K:$K,MATCH($X242,TARIFF_PROFILES!$A:$A,0)))</f>
        <v/>
      </c>
      <c r="AG242" s="8"/>
      <c r="AH242" s="8" t="str">
        <f>IF($AG242="","",SUMIFS(OPERATING_COEFFS!$C:$C,OPERATING_COEFFS!$A:$A,"DistanceClass",OPERATING_COEFFS!$B:$B,$AG242))</f>
        <v/>
      </c>
      <c r="AI242" s="8"/>
      <c r="AJ242" s="8" t="str">
        <f>IF($AI242="","",SUMIFS(OPERATING_COEFFS!$C:$C,OPERATING_COEFFS!$A:$A,"SeasonClass",OPERATING_COEFFS!$B:$B,$AI242))</f>
        <v/>
      </c>
      <c r="AK242" s="8"/>
      <c r="AL242" s="8" t="str">
        <f>IF($AK242="","",SUMIFS(OPERATING_COEFFS!$C:$C,OPERATING_COEFFS!$A:$A,"UrgencyClass",OPERATING_COEFFS!$B:$B,$AK242))</f>
        <v/>
      </c>
      <c r="AM242" s="8"/>
      <c r="AN242" s="8" t="str">
        <f t="array" ref="AN242">IF($AM242="","",INDEX(TAX_MODES!$B:$B,MATCH($AM242,TAX_MODES!$A:$A,0)))</f>
        <v/>
      </c>
    </row>
    <row r="243" ht="14.25" customHeight="1">
      <c r="C243" s="8"/>
      <c r="E243" s="8"/>
      <c r="G243" s="8"/>
      <c r="I243" s="8"/>
      <c r="K243" s="8"/>
      <c r="M243" s="8"/>
      <c r="O243" s="8"/>
      <c r="Q243" s="8"/>
      <c r="S243" s="8"/>
      <c r="V243" s="8"/>
      <c r="X243" s="31"/>
      <c r="Y243" s="31" t="str">
        <f>IF($X243="","",SUMIFS(TARIFF_PROFILES!$D:$D,TARIFF_PROFILES!$A:$A,$X243))</f>
        <v/>
      </c>
      <c r="Z243" s="31" t="str">
        <f>IF($X243="","",SUMIFS(TARIFF_PROFILES!$E:$E,TARIFF_PROFILES!$A:$A,$X243))</f>
        <v/>
      </c>
      <c r="AA243" s="31" t="str">
        <f>IF($X243="","",SUMIFS(TARIFF_PROFILES!$F:$F,TARIFF_PROFILES!$A:$A,$X243))</f>
        <v/>
      </c>
      <c r="AB243" s="31" t="str">
        <f>IF($X243="","",SUMIFS(TARIFF_PROFILES!$G:$G,TARIFF_PROFILES!$A:$A,$X243))</f>
        <v/>
      </c>
      <c r="AC243" s="31" t="str">
        <f>IF($X243="","",SUMIFS(TARIFF_PROFILES!$H:$H,TARIFF_PROFILES!$A:$A,$X243))</f>
        <v/>
      </c>
      <c r="AD243" s="31" t="str">
        <f t="array" ref="AD243">IF($X243="","",INDEX(TARIFF_PROFILES!$J:$J,MATCH($X243,TARIFF_PROFILES!$A:$A,0)))</f>
        <v/>
      </c>
      <c r="AE243" s="31" t="str">
        <f t="array" ref="AE243">IF($X243="","",INDEX(TARIFF_PROFILES!$K:$K,MATCH($X243,TARIFF_PROFILES!$A:$A,0)))</f>
        <v/>
      </c>
      <c r="AG243" s="8"/>
      <c r="AH243" s="8" t="str">
        <f>IF($AG243="","",SUMIFS(OPERATING_COEFFS!$C:$C,OPERATING_COEFFS!$A:$A,"DistanceClass",OPERATING_COEFFS!$B:$B,$AG243))</f>
        <v/>
      </c>
      <c r="AI243" s="8"/>
      <c r="AJ243" s="8" t="str">
        <f>IF($AI243="","",SUMIFS(OPERATING_COEFFS!$C:$C,OPERATING_COEFFS!$A:$A,"SeasonClass",OPERATING_COEFFS!$B:$B,$AI243))</f>
        <v/>
      </c>
      <c r="AK243" s="8"/>
      <c r="AL243" s="8" t="str">
        <f>IF($AK243="","",SUMIFS(OPERATING_COEFFS!$C:$C,OPERATING_COEFFS!$A:$A,"UrgencyClass",OPERATING_COEFFS!$B:$B,$AK243))</f>
        <v/>
      </c>
      <c r="AM243" s="8"/>
      <c r="AN243" s="8" t="str">
        <f t="array" ref="AN243">IF($AM243="","",INDEX(TAX_MODES!$B:$B,MATCH($AM243,TAX_MODES!$A:$A,0)))</f>
        <v/>
      </c>
    </row>
    <row r="244" ht="14.25" customHeight="1">
      <c r="C244" s="8"/>
      <c r="E244" s="8"/>
      <c r="G244" s="8"/>
      <c r="I244" s="8"/>
      <c r="K244" s="8"/>
      <c r="M244" s="8"/>
      <c r="O244" s="8"/>
      <c r="Q244" s="8"/>
      <c r="S244" s="8"/>
      <c r="V244" s="8"/>
      <c r="X244" s="31"/>
      <c r="Y244" s="31" t="str">
        <f>IF($X244="","",SUMIFS(TARIFF_PROFILES!$D:$D,TARIFF_PROFILES!$A:$A,$X244))</f>
        <v/>
      </c>
      <c r="Z244" s="31" t="str">
        <f>IF($X244="","",SUMIFS(TARIFF_PROFILES!$E:$E,TARIFF_PROFILES!$A:$A,$X244))</f>
        <v/>
      </c>
      <c r="AA244" s="31" t="str">
        <f>IF($X244="","",SUMIFS(TARIFF_PROFILES!$F:$F,TARIFF_PROFILES!$A:$A,$X244))</f>
        <v/>
      </c>
      <c r="AB244" s="31" t="str">
        <f>IF($X244="","",SUMIFS(TARIFF_PROFILES!$G:$G,TARIFF_PROFILES!$A:$A,$X244))</f>
        <v/>
      </c>
      <c r="AC244" s="31" t="str">
        <f>IF($X244="","",SUMIFS(TARIFF_PROFILES!$H:$H,TARIFF_PROFILES!$A:$A,$X244))</f>
        <v/>
      </c>
      <c r="AD244" s="31" t="str">
        <f t="array" ref="AD244">IF($X244="","",INDEX(TARIFF_PROFILES!$J:$J,MATCH($X244,TARIFF_PROFILES!$A:$A,0)))</f>
        <v/>
      </c>
      <c r="AE244" s="31" t="str">
        <f t="array" ref="AE244">IF($X244="","",INDEX(TARIFF_PROFILES!$K:$K,MATCH($X244,TARIFF_PROFILES!$A:$A,0)))</f>
        <v/>
      </c>
      <c r="AG244" s="8"/>
      <c r="AH244" s="8" t="str">
        <f>IF($AG244="","",SUMIFS(OPERATING_COEFFS!$C:$C,OPERATING_COEFFS!$A:$A,"DistanceClass",OPERATING_COEFFS!$B:$B,$AG244))</f>
        <v/>
      </c>
      <c r="AI244" s="8"/>
      <c r="AJ244" s="8" t="str">
        <f>IF($AI244="","",SUMIFS(OPERATING_COEFFS!$C:$C,OPERATING_COEFFS!$A:$A,"SeasonClass",OPERATING_COEFFS!$B:$B,$AI244))</f>
        <v/>
      </c>
      <c r="AK244" s="8"/>
      <c r="AL244" s="8" t="str">
        <f>IF($AK244="","",SUMIFS(OPERATING_COEFFS!$C:$C,OPERATING_COEFFS!$A:$A,"UrgencyClass",OPERATING_COEFFS!$B:$B,$AK244))</f>
        <v/>
      </c>
      <c r="AM244" s="8"/>
      <c r="AN244" s="8" t="str">
        <f t="array" ref="AN244">IF($AM244="","",INDEX(TAX_MODES!$B:$B,MATCH($AM244,TAX_MODES!$A:$A,0)))</f>
        <v/>
      </c>
    </row>
    <row r="245" ht="14.25" customHeight="1">
      <c r="C245" s="8"/>
      <c r="E245" s="8"/>
      <c r="G245" s="8"/>
      <c r="I245" s="8"/>
      <c r="K245" s="8"/>
      <c r="M245" s="8"/>
      <c r="O245" s="8"/>
      <c r="Q245" s="8"/>
      <c r="S245" s="8"/>
      <c r="V245" s="8"/>
      <c r="X245" s="31"/>
      <c r="Y245" s="31" t="str">
        <f>IF($X245="","",SUMIFS(TARIFF_PROFILES!$D:$D,TARIFF_PROFILES!$A:$A,$X245))</f>
        <v/>
      </c>
      <c r="Z245" s="31" t="str">
        <f>IF($X245="","",SUMIFS(TARIFF_PROFILES!$E:$E,TARIFF_PROFILES!$A:$A,$X245))</f>
        <v/>
      </c>
      <c r="AA245" s="31" t="str">
        <f>IF($X245="","",SUMIFS(TARIFF_PROFILES!$F:$F,TARIFF_PROFILES!$A:$A,$X245))</f>
        <v/>
      </c>
      <c r="AB245" s="31" t="str">
        <f>IF($X245="","",SUMIFS(TARIFF_PROFILES!$G:$G,TARIFF_PROFILES!$A:$A,$X245))</f>
        <v/>
      </c>
      <c r="AC245" s="31" t="str">
        <f>IF($X245="","",SUMIFS(TARIFF_PROFILES!$H:$H,TARIFF_PROFILES!$A:$A,$X245))</f>
        <v/>
      </c>
      <c r="AD245" s="31" t="str">
        <f t="array" ref="AD245">IF($X245="","",INDEX(TARIFF_PROFILES!$J:$J,MATCH($X245,TARIFF_PROFILES!$A:$A,0)))</f>
        <v/>
      </c>
      <c r="AE245" s="31" t="str">
        <f t="array" ref="AE245">IF($X245="","",INDEX(TARIFF_PROFILES!$K:$K,MATCH($X245,TARIFF_PROFILES!$A:$A,0)))</f>
        <v/>
      </c>
      <c r="AG245" s="8"/>
      <c r="AH245" s="8" t="str">
        <f>IF($AG245="","",SUMIFS(OPERATING_COEFFS!$C:$C,OPERATING_COEFFS!$A:$A,"DistanceClass",OPERATING_COEFFS!$B:$B,$AG245))</f>
        <v/>
      </c>
      <c r="AI245" s="8"/>
      <c r="AJ245" s="8" t="str">
        <f>IF($AI245="","",SUMIFS(OPERATING_COEFFS!$C:$C,OPERATING_COEFFS!$A:$A,"SeasonClass",OPERATING_COEFFS!$B:$B,$AI245))</f>
        <v/>
      </c>
      <c r="AK245" s="8"/>
      <c r="AL245" s="8" t="str">
        <f>IF($AK245="","",SUMIFS(OPERATING_COEFFS!$C:$C,OPERATING_COEFFS!$A:$A,"UrgencyClass",OPERATING_COEFFS!$B:$B,$AK245))</f>
        <v/>
      </c>
      <c r="AM245" s="8"/>
      <c r="AN245" s="8" t="str">
        <f t="array" ref="AN245">IF($AM245="","",INDEX(TAX_MODES!$B:$B,MATCH($AM245,TAX_MODES!$A:$A,0)))</f>
        <v/>
      </c>
    </row>
    <row r="246" ht="14.25" customHeight="1">
      <c r="C246" s="8"/>
      <c r="E246" s="8"/>
      <c r="G246" s="8"/>
      <c r="I246" s="8"/>
      <c r="K246" s="8"/>
      <c r="M246" s="8"/>
      <c r="O246" s="8"/>
      <c r="Q246" s="8"/>
      <c r="S246" s="8"/>
      <c r="V246" s="8"/>
      <c r="X246" s="31"/>
      <c r="Y246" s="31" t="str">
        <f>IF($X246="","",SUMIFS(TARIFF_PROFILES!$D:$D,TARIFF_PROFILES!$A:$A,$X246))</f>
        <v/>
      </c>
      <c r="Z246" s="31" t="str">
        <f>IF($X246="","",SUMIFS(TARIFF_PROFILES!$E:$E,TARIFF_PROFILES!$A:$A,$X246))</f>
        <v/>
      </c>
      <c r="AA246" s="31" t="str">
        <f>IF($X246="","",SUMIFS(TARIFF_PROFILES!$F:$F,TARIFF_PROFILES!$A:$A,$X246))</f>
        <v/>
      </c>
      <c r="AB246" s="31" t="str">
        <f>IF($X246="","",SUMIFS(TARIFF_PROFILES!$G:$G,TARIFF_PROFILES!$A:$A,$X246))</f>
        <v/>
      </c>
      <c r="AC246" s="31" t="str">
        <f>IF($X246="","",SUMIFS(TARIFF_PROFILES!$H:$H,TARIFF_PROFILES!$A:$A,$X246))</f>
        <v/>
      </c>
      <c r="AD246" s="31" t="str">
        <f t="array" ref="AD246">IF($X246="","",INDEX(TARIFF_PROFILES!$J:$J,MATCH($X246,TARIFF_PROFILES!$A:$A,0)))</f>
        <v/>
      </c>
      <c r="AE246" s="31" t="str">
        <f t="array" ref="AE246">IF($X246="","",INDEX(TARIFF_PROFILES!$K:$K,MATCH($X246,TARIFF_PROFILES!$A:$A,0)))</f>
        <v/>
      </c>
      <c r="AG246" s="8"/>
      <c r="AH246" s="8" t="str">
        <f>IF($AG246="","",SUMIFS(OPERATING_COEFFS!$C:$C,OPERATING_COEFFS!$A:$A,"DistanceClass",OPERATING_COEFFS!$B:$B,$AG246))</f>
        <v/>
      </c>
      <c r="AI246" s="8"/>
      <c r="AJ246" s="8" t="str">
        <f>IF($AI246="","",SUMIFS(OPERATING_COEFFS!$C:$C,OPERATING_COEFFS!$A:$A,"SeasonClass",OPERATING_COEFFS!$B:$B,$AI246))</f>
        <v/>
      </c>
      <c r="AK246" s="8"/>
      <c r="AL246" s="8" t="str">
        <f>IF($AK246="","",SUMIFS(OPERATING_COEFFS!$C:$C,OPERATING_COEFFS!$A:$A,"UrgencyClass",OPERATING_COEFFS!$B:$B,$AK246))</f>
        <v/>
      </c>
      <c r="AM246" s="8"/>
      <c r="AN246" s="8" t="str">
        <f t="array" ref="AN246">IF($AM246="","",INDEX(TAX_MODES!$B:$B,MATCH($AM246,TAX_MODES!$A:$A,0)))</f>
        <v/>
      </c>
    </row>
    <row r="247" ht="14.25" customHeight="1">
      <c r="C247" s="8"/>
      <c r="E247" s="8"/>
      <c r="G247" s="8"/>
      <c r="I247" s="8"/>
      <c r="K247" s="8"/>
      <c r="M247" s="8"/>
      <c r="O247" s="8"/>
      <c r="Q247" s="8"/>
      <c r="S247" s="8"/>
      <c r="V247" s="8"/>
      <c r="X247" s="31"/>
      <c r="Y247" s="31" t="str">
        <f>IF($X247="","",SUMIFS(TARIFF_PROFILES!$D:$D,TARIFF_PROFILES!$A:$A,$X247))</f>
        <v/>
      </c>
      <c r="Z247" s="31" t="str">
        <f>IF($X247="","",SUMIFS(TARIFF_PROFILES!$E:$E,TARIFF_PROFILES!$A:$A,$X247))</f>
        <v/>
      </c>
      <c r="AA247" s="31" t="str">
        <f>IF($X247="","",SUMIFS(TARIFF_PROFILES!$F:$F,TARIFF_PROFILES!$A:$A,$X247))</f>
        <v/>
      </c>
      <c r="AB247" s="31" t="str">
        <f>IF($X247="","",SUMIFS(TARIFF_PROFILES!$G:$G,TARIFF_PROFILES!$A:$A,$X247))</f>
        <v/>
      </c>
      <c r="AC247" s="31" t="str">
        <f>IF($X247="","",SUMIFS(TARIFF_PROFILES!$H:$H,TARIFF_PROFILES!$A:$A,$X247))</f>
        <v/>
      </c>
      <c r="AD247" s="31" t="str">
        <f t="array" ref="AD247">IF($X247="","",INDEX(TARIFF_PROFILES!$J:$J,MATCH($X247,TARIFF_PROFILES!$A:$A,0)))</f>
        <v/>
      </c>
      <c r="AE247" s="31" t="str">
        <f t="array" ref="AE247">IF($X247="","",INDEX(TARIFF_PROFILES!$K:$K,MATCH($X247,TARIFF_PROFILES!$A:$A,0)))</f>
        <v/>
      </c>
      <c r="AG247" s="8"/>
      <c r="AH247" s="8" t="str">
        <f>IF($AG247="","",SUMIFS(OPERATING_COEFFS!$C:$C,OPERATING_COEFFS!$A:$A,"DistanceClass",OPERATING_COEFFS!$B:$B,$AG247))</f>
        <v/>
      </c>
      <c r="AI247" s="8"/>
      <c r="AJ247" s="8" t="str">
        <f>IF($AI247="","",SUMIFS(OPERATING_COEFFS!$C:$C,OPERATING_COEFFS!$A:$A,"SeasonClass",OPERATING_COEFFS!$B:$B,$AI247))</f>
        <v/>
      </c>
      <c r="AK247" s="8"/>
      <c r="AL247" s="8" t="str">
        <f>IF($AK247="","",SUMIFS(OPERATING_COEFFS!$C:$C,OPERATING_COEFFS!$A:$A,"UrgencyClass",OPERATING_COEFFS!$B:$B,$AK247))</f>
        <v/>
      </c>
      <c r="AM247" s="8"/>
      <c r="AN247" s="8" t="str">
        <f t="array" ref="AN247">IF($AM247="","",INDEX(TAX_MODES!$B:$B,MATCH($AM247,TAX_MODES!$A:$A,0)))</f>
        <v/>
      </c>
    </row>
    <row r="248" ht="14.25" customHeight="1">
      <c r="C248" s="8"/>
      <c r="E248" s="8"/>
      <c r="G248" s="8"/>
      <c r="I248" s="8"/>
      <c r="K248" s="8"/>
      <c r="M248" s="8"/>
      <c r="O248" s="8"/>
      <c r="Q248" s="8"/>
      <c r="S248" s="8"/>
      <c r="V248" s="8"/>
      <c r="X248" s="31"/>
      <c r="Y248" s="31" t="str">
        <f>IF($X248="","",SUMIFS(TARIFF_PROFILES!$D:$D,TARIFF_PROFILES!$A:$A,$X248))</f>
        <v/>
      </c>
      <c r="Z248" s="31" t="str">
        <f>IF($X248="","",SUMIFS(TARIFF_PROFILES!$E:$E,TARIFF_PROFILES!$A:$A,$X248))</f>
        <v/>
      </c>
      <c r="AA248" s="31" t="str">
        <f>IF($X248="","",SUMIFS(TARIFF_PROFILES!$F:$F,TARIFF_PROFILES!$A:$A,$X248))</f>
        <v/>
      </c>
      <c r="AB248" s="31" t="str">
        <f>IF($X248="","",SUMIFS(TARIFF_PROFILES!$G:$G,TARIFF_PROFILES!$A:$A,$X248))</f>
        <v/>
      </c>
      <c r="AC248" s="31" t="str">
        <f>IF($X248="","",SUMIFS(TARIFF_PROFILES!$H:$H,TARIFF_PROFILES!$A:$A,$X248))</f>
        <v/>
      </c>
      <c r="AD248" s="31" t="str">
        <f t="array" ref="AD248">IF($X248="","",INDEX(TARIFF_PROFILES!$J:$J,MATCH($X248,TARIFF_PROFILES!$A:$A,0)))</f>
        <v/>
      </c>
      <c r="AE248" s="31" t="str">
        <f t="array" ref="AE248">IF($X248="","",INDEX(TARIFF_PROFILES!$K:$K,MATCH($X248,TARIFF_PROFILES!$A:$A,0)))</f>
        <v/>
      </c>
      <c r="AG248" s="8"/>
      <c r="AH248" s="8" t="str">
        <f>IF($AG248="","",SUMIFS(OPERATING_COEFFS!$C:$C,OPERATING_COEFFS!$A:$A,"DistanceClass",OPERATING_COEFFS!$B:$B,$AG248))</f>
        <v/>
      </c>
      <c r="AI248" s="8"/>
      <c r="AJ248" s="8" t="str">
        <f>IF($AI248="","",SUMIFS(OPERATING_COEFFS!$C:$C,OPERATING_COEFFS!$A:$A,"SeasonClass",OPERATING_COEFFS!$B:$B,$AI248))</f>
        <v/>
      </c>
      <c r="AK248" s="8"/>
      <c r="AL248" s="8" t="str">
        <f>IF($AK248="","",SUMIFS(OPERATING_COEFFS!$C:$C,OPERATING_COEFFS!$A:$A,"UrgencyClass",OPERATING_COEFFS!$B:$B,$AK248))</f>
        <v/>
      </c>
      <c r="AM248" s="8"/>
      <c r="AN248" s="8" t="str">
        <f t="array" ref="AN248">IF($AM248="","",INDEX(TAX_MODES!$B:$B,MATCH($AM248,TAX_MODES!$A:$A,0)))</f>
        <v/>
      </c>
    </row>
    <row r="249" ht="14.25" customHeight="1">
      <c r="C249" s="8"/>
      <c r="E249" s="8"/>
      <c r="G249" s="8"/>
      <c r="I249" s="8"/>
      <c r="K249" s="8"/>
      <c r="M249" s="8"/>
      <c r="O249" s="8"/>
      <c r="Q249" s="8"/>
      <c r="S249" s="8"/>
      <c r="V249" s="8"/>
      <c r="X249" s="31"/>
      <c r="Y249" s="31" t="str">
        <f>IF($X249="","",SUMIFS(TARIFF_PROFILES!$D:$D,TARIFF_PROFILES!$A:$A,$X249))</f>
        <v/>
      </c>
      <c r="Z249" s="31" t="str">
        <f>IF($X249="","",SUMIFS(TARIFF_PROFILES!$E:$E,TARIFF_PROFILES!$A:$A,$X249))</f>
        <v/>
      </c>
      <c r="AA249" s="31" t="str">
        <f>IF($X249="","",SUMIFS(TARIFF_PROFILES!$F:$F,TARIFF_PROFILES!$A:$A,$X249))</f>
        <v/>
      </c>
      <c r="AB249" s="31" t="str">
        <f>IF($X249="","",SUMIFS(TARIFF_PROFILES!$G:$G,TARIFF_PROFILES!$A:$A,$X249))</f>
        <v/>
      </c>
      <c r="AC249" s="31" t="str">
        <f>IF($X249="","",SUMIFS(TARIFF_PROFILES!$H:$H,TARIFF_PROFILES!$A:$A,$X249))</f>
        <v/>
      </c>
      <c r="AD249" s="31" t="str">
        <f t="array" ref="AD249">IF($X249="","",INDEX(TARIFF_PROFILES!$J:$J,MATCH($X249,TARIFF_PROFILES!$A:$A,0)))</f>
        <v/>
      </c>
      <c r="AE249" s="31" t="str">
        <f t="array" ref="AE249">IF($X249="","",INDEX(TARIFF_PROFILES!$K:$K,MATCH($X249,TARIFF_PROFILES!$A:$A,0)))</f>
        <v/>
      </c>
      <c r="AG249" s="8"/>
      <c r="AH249" s="8" t="str">
        <f>IF($AG249="","",SUMIFS(OPERATING_COEFFS!$C:$C,OPERATING_COEFFS!$A:$A,"DistanceClass",OPERATING_COEFFS!$B:$B,$AG249))</f>
        <v/>
      </c>
      <c r="AI249" s="8"/>
      <c r="AJ249" s="8" t="str">
        <f>IF($AI249="","",SUMIFS(OPERATING_COEFFS!$C:$C,OPERATING_COEFFS!$A:$A,"SeasonClass",OPERATING_COEFFS!$B:$B,$AI249))</f>
        <v/>
      </c>
      <c r="AK249" s="8"/>
      <c r="AL249" s="8" t="str">
        <f>IF($AK249="","",SUMIFS(OPERATING_COEFFS!$C:$C,OPERATING_COEFFS!$A:$A,"UrgencyClass",OPERATING_COEFFS!$B:$B,$AK249))</f>
        <v/>
      </c>
      <c r="AM249" s="8"/>
      <c r="AN249" s="8" t="str">
        <f t="array" ref="AN249">IF($AM249="","",INDEX(TAX_MODES!$B:$B,MATCH($AM249,TAX_MODES!$A:$A,0)))</f>
        <v/>
      </c>
    </row>
    <row r="250" ht="14.25" customHeight="1">
      <c r="C250" s="8"/>
      <c r="E250" s="8"/>
      <c r="G250" s="8"/>
      <c r="I250" s="8"/>
      <c r="K250" s="8"/>
      <c r="M250" s="8"/>
      <c r="O250" s="8"/>
      <c r="Q250" s="8"/>
      <c r="S250" s="8"/>
      <c r="V250" s="8"/>
      <c r="X250" s="31"/>
      <c r="Y250" s="31" t="str">
        <f>IF($X250="","",SUMIFS(TARIFF_PROFILES!$D:$D,TARIFF_PROFILES!$A:$A,$X250))</f>
        <v/>
      </c>
      <c r="Z250" s="31" t="str">
        <f>IF($X250="","",SUMIFS(TARIFF_PROFILES!$E:$E,TARIFF_PROFILES!$A:$A,$X250))</f>
        <v/>
      </c>
      <c r="AA250" s="31" t="str">
        <f>IF($X250="","",SUMIFS(TARIFF_PROFILES!$F:$F,TARIFF_PROFILES!$A:$A,$X250))</f>
        <v/>
      </c>
      <c r="AB250" s="31" t="str">
        <f>IF($X250="","",SUMIFS(TARIFF_PROFILES!$G:$G,TARIFF_PROFILES!$A:$A,$X250))</f>
        <v/>
      </c>
      <c r="AC250" s="31" t="str">
        <f>IF($X250="","",SUMIFS(TARIFF_PROFILES!$H:$H,TARIFF_PROFILES!$A:$A,$X250))</f>
        <v/>
      </c>
      <c r="AD250" s="31" t="str">
        <f t="array" ref="AD250">IF($X250="","",INDEX(TARIFF_PROFILES!$J:$J,MATCH($X250,TARIFF_PROFILES!$A:$A,0)))</f>
        <v/>
      </c>
      <c r="AE250" s="31" t="str">
        <f t="array" ref="AE250">IF($X250="","",INDEX(TARIFF_PROFILES!$K:$K,MATCH($X250,TARIFF_PROFILES!$A:$A,0)))</f>
        <v/>
      </c>
      <c r="AG250" s="8"/>
      <c r="AH250" s="8" t="str">
        <f>IF($AG250="","",SUMIFS(OPERATING_COEFFS!$C:$C,OPERATING_COEFFS!$A:$A,"DistanceClass",OPERATING_COEFFS!$B:$B,$AG250))</f>
        <v/>
      </c>
      <c r="AI250" s="8"/>
      <c r="AJ250" s="8" t="str">
        <f>IF($AI250="","",SUMIFS(OPERATING_COEFFS!$C:$C,OPERATING_COEFFS!$A:$A,"SeasonClass",OPERATING_COEFFS!$B:$B,$AI250))</f>
        <v/>
      </c>
      <c r="AK250" s="8"/>
      <c r="AL250" s="8" t="str">
        <f>IF($AK250="","",SUMIFS(OPERATING_COEFFS!$C:$C,OPERATING_COEFFS!$A:$A,"UrgencyClass",OPERATING_COEFFS!$B:$B,$AK250))</f>
        <v/>
      </c>
      <c r="AM250" s="8"/>
      <c r="AN250" s="8" t="str">
        <f t="array" ref="AN250">IF($AM250="","",INDEX(TAX_MODES!$B:$B,MATCH($AM250,TAX_MODES!$A:$A,0)))</f>
        <v/>
      </c>
    </row>
    <row r="251" ht="14.25" customHeight="1">
      <c r="C251" s="8"/>
      <c r="E251" s="8"/>
      <c r="G251" s="8"/>
      <c r="I251" s="8"/>
      <c r="K251" s="8"/>
      <c r="M251" s="8"/>
      <c r="O251" s="8"/>
      <c r="Q251" s="8"/>
      <c r="S251" s="8"/>
      <c r="V251" s="8"/>
      <c r="X251" s="31"/>
      <c r="Y251" s="31" t="str">
        <f>IF($X251="","",SUMIFS(TARIFF_PROFILES!$D:$D,TARIFF_PROFILES!$A:$A,$X251))</f>
        <v/>
      </c>
      <c r="Z251" s="31" t="str">
        <f>IF($X251="","",SUMIFS(TARIFF_PROFILES!$E:$E,TARIFF_PROFILES!$A:$A,$X251))</f>
        <v/>
      </c>
      <c r="AA251" s="31" t="str">
        <f>IF($X251="","",SUMIFS(TARIFF_PROFILES!$F:$F,TARIFF_PROFILES!$A:$A,$X251))</f>
        <v/>
      </c>
      <c r="AB251" s="31" t="str">
        <f>IF($X251="","",SUMIFS(TARIFF_PROFILES!$G:$G,TARIFF_PROFILES!$A:$A,$X251))</f>
        <v/>
      </c>
      <c r="AC251" s="31" t="str">
        <f>IF($X251="","",SUMIFS(TARIFF_PROFILES!$H:$H,TARIFF_PROFILES!$A:$A,$X251))</f>
        <v/>
      </c>
      <c r="AD251" s="31" t="str">
        <f t="array" ref="AD251">IF($X251="","",INDEX(TARIFF_PROFILES!$J:$J,MATCH($X251,TARIFF_PROFILES!$A:$A,0)))</f>
        <v/>
      </c>
      <c r="AE251" s="31" t="str">
        <f t="array" ref="AE251">IF($X251="","",INDEX(TARIFF_PROFILES!$K:$K,MATCH($X251,TARIFF_PROFILES!$A:$A,0)))</f>
        <v/>
      </c>
      <c r="AG251" s="8"/>
      <c r="AH251" s="8" t="str">
        <f>IF($AG251="","",SUMIFS(OPERATING_COEFFS!$C:$C,OPERATING_COEFFS!$A:$A,"DistanceClass",OPERATING_COEFFS!$B:$B,$AG251))</f>
        <v/>
      </c>
      <c r="AI251" s="8"/>
      <c r="AJ251" s="8" t="str">
        <f>IF($AI251="","",SUMIFS(OPERATING_COEFFS!$C:$C,OPERATING_COEFFS!$A:$A,"SeasonClass",OPERATING_COEFFS!$B:$B,$AI251))</f>
        <v/>
      </c>
      <c r="AK251" s="8"/>
      <c r="AL251" s="8" t="str">
        <f>IF($AK251="","",SUMIFS(OPERATING_COEFFS!$C:$C,OPERATING_COEFFS!$A:$A,"UrgencyClass",OPERATING_COEFFS!$B:$B,$AK251))</f>
        <v/>
      </c>
      <c r="AM251" s="8"/>
      <c r="AN251" s="8" t="str">
        <f t="array" ref="AN251">IF($AM251="","",INDEX(TAX_MODES!$B:$B,MATCH($AM251,TAX_MODES!$A:$A,0)))</f>
        <v/>
      </c>
    </row>
    <row r="252" ht="14.25" customHeight="1">
      <c r="C252" s="8"/>
      <c r="E252" s="8"/>
      <c r="G252" s="8"/>
      <c r="I252" s="8"/>
      <c r="K252" s="8"/>
      <c r="M252" s="8"/>
      <c r="O252" s="8"/>
      <c r="Q252" s="8"/>
      <c r="S252" s="8"/>
      <c r="V252" s="8"/>
      <c r="X252" s="31"/>
      <c r="Y252" s="31" t="str">
        <f>IF($X252="","",SUMIFS(TARIFF_PROFILES!$D:$D,TARIFF_PROFILES!$A:$A,$X252))</f>
        <v/>
      </c>
      <c r="Z252" s="31" t="str">
        <f>IF($X252="","",SUMIFS(TARIFF_PROFILES!$E:$E,TARIFF_PROFILES!$A:$A,$X252))</f>
        <v/>
      </c>
      <c r="AA252" s="31" t="str">
        <f>IF($X252="","",SUMIFS(TARIFF_PROFILES!$F:$F,TARIFF_PROFILES!$A:$A,$X252))</f>
        <v/>
      </c>
      <c r="AB252" s="31" t="str">
        <f>IF($X252="","",SUMIFS(TARIFF_PROFILES!$G:$G,TARIFF_PROFILES!$A:$A,$X252))</f>
        <v/>
      </c>
      <c r="AC252" s="31" t="str">
        <f>IF($X252="","",SUMIFS(TARIFF_PROFILES!$H:$H,TARIFF_PROFILES!$A:$A,$X252))</f>
        <v/>
      </c>
      <c r="AD252" s="31" t="str">
        <f t="array" ref="AD252">IF($X252="","",INDEX(TARIFF_PROFILES!$J:$J,MATCH($X252,TARIFF_PROFILES!$A:$A,0)))</f>
        <v/>
      </c>
      <c r="AE252" s="31" t="str">
        <f t="array" ref="AE252">IF($X252="","",INDEX(TARIFF_PROFILES!$K:$K,MATCH($X252,TARIFF_PROFILES!$A:$A,0)))</f>
        <v/>
      </c>
      <c r="AG252" s="8"/>
      <c r="AH252" s="8" t="str">
        <f>IF($AG252="","",SUMIFS(OPERATING_COEFFS!$C:$C,OPERATING_COEFFS!$A:$A,"DistanceClass",OPERATING_COEFFS!$B:$B,$AG252))</f>
        <v/>
      </c>
      <c r="AI252" s="8"/>
      <c r="AJ252" s="8" t="str">
        <f>IF($AI252="","",SUMIFS(OPERATING_COEFFS!$C:$C,OPERATING_COEFFS!$A:$A,"SeasonClass",OPERATING_COEFFS!$B:$B,$AI252))</f>
        <v/>
      </c>
      <c r="AK252" s="8"/>
      <c r="AL252" s="8" t="str">
        <f>IF($AK252="","",SUMIFS(OPERATING_COEFFS!$C:$C,OPERATING_COEFFS!$A:$A,"UrgencyClass",OPERATING_COEFFS!$B:$B,$AK252))</f>
        <v/>
      </c>
      <c r="AM252" s="8"/>
      <c r="AN252" s="8" t="str">
        <f t="array" ref="AN252">IF($AM252="","",INDEX(TAX_MODES!$B:$B,MATCH($AM252,TAX_MODES!$A:$A,0)))</f>
        <v/>
      </c>
    </row>
    <row r="253" ht="14.25" customHeight="1">
      <c r="C253" s="8"/>
      <c r="E253" s="8"/>
      <c r="G253" s="8"/>
      <c r="I253" s="8"/>
      <c r="K253" s="8"/>
      <c r="M253" s="8"/>
      <c r="O253" s="8"/>
      <c r="Q253" s="8"/>
      <c r="S253" s="8"/>
      <c r="V253" s="8"/>
      <c r="X253" s="31"/>
      <c r="Y253" s="31" t="str">
        <f>IF($X253="","",SUMIFS(TARIFF_PROFILES!$D:$D,TARIFF_PROFILES!$A:$A,$X253))</f>
        <v/>
      </c>
      <c r="Z253" s="31" t="str">
        <f>IF($X253="","",SUMIFS(TARIFF_PROFILES!$E:$E,TARIFF_PROFILES!$A:$A,$X253))</f>
        <v/>
      </c>
      <c r="AA253" s="31" t="str">
        <f>IF($X253="","",SUMIFS(TARIFF_PROFILES!$F:$F,TARIFF_PROFILES!$A:$A,$X253))</f>
        <v/>
      </c>
      <c r="AB253" s="31" t="str">
        <f>IF($X253="","",SUMIFS(TARIFF_PROFILES!$G:$G,TARIFF_PROFILES!$A:$A,$X253))</f>
        <v/>
      </c>
      <c r="AC253" s="31" t="str">
        <f>IF($X253="","",SUMIFS(TARIFF_PROFILES!$H:$H,TARIFF_PROFILES!$A:$A,$X253))</f>
        <v/>
      </c>
      <c r="AD253" s="31" t="str">
        <f t="array" ref="AD253">IF($X253="","",INDEX(TARIFF_PROFILES!$J:$J,MATCH($X253,TARIFF_PROFILES!$A:$A,0)))</f>
        <v/>
      </c>
      <c r="AE253" s="31" t="str">
        <f t="array" ref="AE253">IF($X253="","",INDEX(TARIFF_PROFILES!$K:$K,MATCH($X253,TARIFF_PROFILES!$A:$A,0)))</f>
        <v/>
      </c>
      <c r="AG253" s="8"/>
      <c r="AH253" s="8" t="str">
        <f>IF($AG253="","",SUMIFS(OPERATING_COEFFS!$C:$C,OPERATING_COEFFS!$A:$A,"DistanceClass",OPERATING_COEFFS!$B:$B,$AG253))</f>
        <v/>
      </c>
      <c r="AI253" s="8"/>
      <c r="AJ253" s="8" t="str">
        <f>IF($AI253="","",SUMIFS(OPERATING_COEFFS!$C:$C,OPERATING_COEFFS!$A:$A,"SeasonClass",OPERATING_COEFFS!$B:$B,$AI253))</f>
        <v/>
      </c>
      <c r="AK253" s="8"/>
      <c r="AL253" s="8" t="str">
        <f>IF($AK253="","",SUMIFS(OPERATING_COEFFS!$C:$C,OPERATING_COEFFS!$A:$A,"UrgencyClass",OPERATING_COEFFS!$B:$B,$AK253))</f>
        <v/>
      </c>
      <c r="AM253" s="8"/>
      <c r="AN253" s="8" t="str">
        <f t="array" ref="AN253">IF($AM253="","",INDEX(TAX_MODES!$B:$B,MATCH($AM253,TAX_MODES!$A:$A,0)))</f>
        <v/>
      </c>
    </row>
    <row r="254" ht="14.25" customHeight="1">
      <c r="C254" s="8"/>
      <c r="E254" s="8"/>
      <c r="G254" s="8"/>
      <c r="I254" s="8"/>
      <c r="K254" s="8"/>
      <c r="M254" s="8"/>
      <c r="O254" s="8"/>
      <c r="Q254" s="8"/>
      <c r="S254" s="8"/>
      <c r="V254" s="8"/>
      <c r="X254" s="31"/>
      <c r="Y254" s="31" t="str">
        <f>IF($X254="","",SUMIFS(TARIFF_PROFILES!$D:$D,TARIFF_PROFILES!$A:$A,$X254))</f>
        <v/>
      </c>
      <c r="Z254" s="31" t="str">
        <f>IF($X254="","",SUMIFS(TARIFF_PROFILES!$E:$E,TARIFF_PROFILES!$A:$A,$X254))</f>
        <v/>
      </c>
      <c r="AA254" s="31" t="str">
        <f>IF($X254="","",SUMIFS(TARIFF_PROFILES!$F:$F,TARIFF_PROFILES!$A:$A,$X254))</f>
        <v/>
      </c>
      <c r="AB254" s="31" t="str">
        <f>IF($X254="","",SUMIFS(TARIFF_PROFILES!$G:$G,TARIFF_PROFILES!$A:$A,$X254))</f>
        <v/>
      </c>
      <c r="AC254" s="31" t="str">
        <f>IF($X254="","",SUMIFS(TARIFF_PROFILES!$H:$H,TARIFF_PROFILES!$A:$A,$X254))</f>
        <v/>
      </c>
      <c r="AD254" s="31" t="str">
        <f t="array" ref="AD254">IF($X254="","",INDEX(TARIFF_PROFILES!$J:$J,MATCH($X254,TARIFF_PROFILES!$A:$A,0)))</f>
        <v/>
      </c>
      <c r="AE254" s="31" t="str">
        <f t="array" ref="AE254">IF($X254="","",INDEX(TARIFF_PROFILES!$K:$K,MATCH($X254,TARIFF_PROFILES!$A:$A,0)))</f>
        <v/>
      </c>
      <c r="AG254" s="8"/>
      <c r="AH254" s="8" t="str">
        <f>IF($AG254="","",SUMIFS(OPERATING_COEFFS!$C:$C,OPERATING_COEFFS!$A:$A,"DistanceClass",OPERATING_COEFFS!$B:$B,$AG254))</f>
        <v/>
      </c>
      <c r="AI254" s="8"/>
      <c r="AJ254" s="8" t="str">
        <f>IF($AI254="","",SUMIFS(OPERATING_COEFFS!$C:$C,OPERATING_COEFFS!$A:$A,"SeasonClass",OPERATING_COEFFS!$B:$B,$AI254))</f>
        <v/>
      </c>
      <c r="AK254" s="8"/>
      <c r="AL254" s="8" t="str">
        <f>IF($AK254="","",SUMIFS(OPERATING_COEFFS!$C:$C,OPERATING_COEFFS!$A:$A,"UrgencyClass",OPERATING_COEFFS!$B:$B,$AK254))</f>
        <v/>
      </c>
      <c r="AM254" s="8"/>
      <c r="AN254" s="8" t="str">
        <f t="array" ref="AN254">IF($AM254="","",INDEX(TAX_MODES!$B:$B,MATCH($AM254,TAX_MODES!$A:$A,0)))</f>
        <v/>
      </c>
    </row>
    <row r="255" ht="14.25" customHeight="1">
      <c r="C255" s="8"/>
      <c r="E255" s="8"/>
      <c r="G255" s="8"/>
      <c r="I255" s="8"/>
      <c r="K255" s="8"/>
      <c r="M255" s="8"/>
      <c r="O255" s="8"/>
      <c r="Q255" s="8"/>
      <c r="S255" s="8"/>
      <c r="V255" s="8"/>
      <c r="X255" s="31"/>
      <c r="Y255" s="31" t="str">
        <f>IF($X255="","",SUMIFS(TARIFF_PROFILES!$D:$D,TARIFF_PROFILES!$A:$A,$X255))</f>
        <v/>
      </c>
      <c r="Z255" s="31" t="str">
        <f>IF($X255="","",SUMIFS(TARIFF_PROFILES!$E:$E,TARIFF_PROFILES!$A:$A,$X255))</f>
        <v/>
      </c>
      <c r="AA255" s="31" t="str">
        <f>IF($X255="","",SUMIFS(TARIFF_PROFILES!$F:$F,TARIFF_PROFILES!$A:$A,$X255))</f>
        <v/>
      </c>
      <c r="AB255" s="31" t="str">
        <f>IF($X255="","",SUMIFS(TARIFF_PROFILES!$G:$G,TARIFF_PROFILES!$A:$A,$X255))</f>
        <v/>
      </c>
      <c r="AC255" s="31" t="str">
        <f>IF($X255="","",SUMIFS(TARIFF_PROFILES!$H:$H,TARIFF_PROFILES!$A:$A,$X255))</f>
        <v/>
      </c>
      <c r="AD255" s="31" t="str">
        <f t="array" ref="AD255">IF($X255="","",INDEX(TARIFF_PROFILES!$J:$J,MATCH($X255,TARIFF_PROFILES!$A:$A,0)))</f>
        <v/>
      </c>
      <c r="AE255" s="31" t="str">
        <f t="array" ref="AE255">IF($X255="","",INDEX(TARIFF_PROFILES!$K:$K,MATCH($X255,TARIFF_PROFILES!$A:$A,0)))</f>
        <v/>
      </c>
      <c r="AG255" s="8"/>
      <c r="AH255" s="8" t="str">
        <f>IF($AG255="","",SUMIFS(OPERATING_COEFFS!$C:$C,OPERATING_COEFFS!$A:$A,"DistanceClass",OPERATING_COEFFS!$B:$B,$AG255))</f>
        <v/>
      </c>
      <c r="AI255" s="8"/>
      <c r="AJ255" s="8" t="str">
        <f>IF($AI255="","",SUMIFS(OPERATING_COEFFS!$C:$C,OPERATING_COEFFS!$A:$A,"SeasonClass",OPERATING_COEFFS!$B:$B,$AI255))</f>
        <v/>
      </c>
      <c r="AK255" s="8"/>
      <c r="AL255" s="8" t="str">
        <f>IF($AK255="","",SUMIFS(OPERATING_COEFFS!$C:$C,OPERATING_COEFFS!$A:$A,"UrgencyClass",OPERATING_COEFFS!$B:$B,$AK255))</f>
        <v/>
      </c>
      <c r="AM255" s="8"/>
      <c r="AN255" s="8" t="str">
        <f t="array" ref="AN255">IF($AM255="","",INDEX(TAX_MODES!$B:$B,MATCH($AM255,TAX_MODES!$A:$A,0)))</f>
        <v/>
      </c>
    </row>
    <row r="256" ht="14.25" customHeight="1">
      <c r="C256" s="8"/>
      <c r="E256" s="8"/>
      <c r="G256" s="8"/>
      <c r="I256" s="8"/>
      <c r="K256" s="8"/>
      <c r="M256" s="8"/>
      <c r="O256" s="8"/>
      <c r="Q256" s="8"/>
      <c r="S256" s="8"/>
      <c r="V256" s="8"/>
      <c r="X256" s="31"/>
      <c r="Y256" s="31" t="str">
        <f>IF($X256="","",SUMIFS(TARIFF_PROFILES!$D:$D,TARIFF_PROFILES!$A:$A,$X256))</f>
        <v/>
      </c>
      <c r="Z256" s="31" t="str">
        <f>IF($X256="","",SUMIFS(TARIFF_PROFILES!$E:$E,TARIFF_PROFILES!$A:$A,$X256))</f>
        <v/>
      </c>
      <c r="AA256" s="31" t="str">
        <f>IF($X256="","",SUMIFS(TARIFF_PROFILES!$F:$F,TARIFF_PROFILES!$A:$A,$X256))</f>
        <v/>
      </c>
      <c r="AB256" s="31" t="str">
        <f>IF($X256="","",SUMIFS(TARIFF_PROFILES!$G:$G,TARIFF_PROFILES!$A:$A,$X256))</f>
        <v/>
      </c>
      <c r="AC256" s="31" t="str">
        <f>IF($X256="","",SUMIFS(TARIFF_PROFILES!$H:$H,TARIFF_PROFILES!$A:$A,$X256))</f>
        <v/>
      </c>
      <c r="AD256" s="31" t="str">
        <f t="array" ref="AD256">IF($X256="","",INDEX(TARIFF_PROFILES!$J:$J,MATCH($X256,TARIFF_PROFILES!$A:$A,0)))</f>
        <v/>
      </c>
      <c r="AE256" s="31" t="str">
        <f t="array" ref="AE256">IF($X256="","",INDEX(TARIFF_PROFILES!$K:$K,MATCH($X256,TARIFF_PROFILES!$A:$A,0)))</f>
        <v/>
      </c>
      <c r="AG256" s="8"/>
      <c r="AH256" s="8" t="str">
        <f>IF($AG256="","",SUMIFS(OPERATING_COEFFS!$C:$C,OPERATING_COEFFS!$A:$A,"DistanceClass",OPERATING_COEFFS!$B:$B,$AG256))</f>
        <v/>
      </c>
      <c r="AI256" s="8"/>
      <c r="AJ256" s="8" t="str">
        <f>IF($AI256="","",SUMIFS(OPERATING_COEFFS!$C:$C,OPERATING_COEFFS!$A:$A,"SeasonClass",OPERATING_COEFFS!$B:$B,$AI256))</f>
        <v/>
      </c>
      <c r="AK256" s="8"/>
      <c r="AL256" s="8" t="str">
        <f>IF($AK256="","",SUMIFS(OPERATING_COEFFS!$C:$C,OPERATING_COEFFS!$A:$A,"UrgencyClass",OPERATING_COEFFS!$B:$B,$AK256))</f>
        <v/>
      </c>
      <c r="AM256" s="8"/>
      <c r="AN256" s="8" t="str">
        <f t="array" ref="AN256">IF($AM256="","",INDEX(TAX_MODES!$B:$B,MATCH($AM256,TAX_MODES!$A:$A,0)))</f>
        <v/>
      </c>
    </row>
    <row r="257" ht="14.25" customHeight="1">
      <c r="C257" s="8"/>
      <c r="E257" s="8"/>
      <c r="G257" s="8"/>
      <c r="I257" s="8"/>
      <c r="K257" s="8"/>
      <c r="M257" s="8"/>
      <c r="O257" s="8"/>
      <c r="Q257" s="8"/>
      <c r="S257" s="8"/>
      <c r="V257" s="8"/>
      <c r="X257" s="31"/>
      <c r="Y257" s="31" t="str">
        <f>IF($X257="","",SUMIFS(TARIFF_PROFILES!$D:$D,TARIFF_PROFILES!$A:$A,$X257))</f>
        <v/>
      </c>
      <c r="Z257" s="31" t="str">
        <f>IF($X257="","",SUMIFS(TARIFF_PROFILES!$E:$E,TARIFF_PROFILES!$A:$A,$X257))</f>
        <v/>
      </c>
      <c r="AA257" s="31" t="str">
        <f>IF($X257="","",SUMIFS(TARIFF_PROFILES!$F:$F,TARIFF_PROFILES!$A:$A,$X257))</f>
        <v/>
      </c>
      <c r="AB257" s="31" t="str">
        <f>IF($X257="","",SUMIFS(TARIFF_PROFILES!$G:$G,TARIFF_PROFILES!$A:$A,$X257))</f>
        <v/>
      </c>
      <c r="AC257" s="31" t="str">
        <f>IF($X257="","",SUMIFS(TARIFF_PROFILES!$H:$H,TARIFF_PROFILES!$A:$A,$X257))</f>
        <v/>
      </c>
      <c r="AD257" s="31" t="str">
        <f t="array" ref="AD257">IF($X257="","",INDEX(TARIFF_PROFILES!$J:$J,MATCH($X257,TARIFF_PROFILES!$A:$A,0)))</f>
        <v/>
      </c>
      <c r="AE257" s="31" t="str">
        <f t="array" ref="AE257">IF($X257="","",INDEX(TARIFF_PROFILES!$K:$K,MATCH($X257,TARIFF_PROFILES!$A:$A,0)))</f>
        <v/>
      </c>
      <c r="AG257" s="8"/>
      <c r="AH257" s="8" t="str">
        <f>IF($AG257="","",SUMIFS(OPERATING_COEFFS!$C:$C,OPERATING_COEFFS!$A:$A,"DistanceClass",OPERATING_COEFFS!$B:$B,$AG257))</f>
        <v/>
      </c>
      <c r="AI257" s="8"/>
      <c r="AJ257" s="8" t="str">
        <f>IF($AI257="","",SUMIFS(OPERATING_COEFFS!$C:$C,OPERATING_COEFFS!$A:$A,"SeasonClass",OPERATING_COEFFS!$B:$B,$AI257))</f>
        <v/>
      </c>
      <c r="AK257" s="8"/>
      <c r="AL257" s="8" t="str">
        <f>IF($AK257="","",SUMIFS(OPERATING_COEFFS!$C:$C,OPERATING_COEFFS!$A:$A,"UrgencyClass",OPERATING_COEFFS!$B:$B,$AK257))</f>
        <v/>
      </c>
      <c r="AM257" s="8"/>
      <c r="AN257" s="8" t="str">
        <f t="array" ref="AN257">IF($AM257="","",INDEX(TAX_MODES!$B:$B,MATCH($AM257,TAX_MODES!$A:$A,0)))</f>
        <v/>
      </c>
    </row>
    <row r="258" ht="14.25" customHeight="1">
      <c r="C258" s="8"/>
      <c r="E258" s="8"/>
      <c r="G258" s="8"/>
      <c r="I258" s="8"/>
      <c r="K258" s="8"/>
      <c r="M258" s="8"/>
      <c r="O258" s="8"/>
      <c r="Q258" s="8"/>
      <c r="S258" s="8"/>
      <c r="V258" s="8"/>
      <c r="X258" s="31"/>
      <c r="Y258" s="31" t="str">
        <f>IF($X258="","",SUMIFS(TARIFF_PROFILES!$D:$D,TARIFF_PROFILES!$A:$A,$X258))</f>
        <v/>
      </c>
      <c r="Z258" s="31" t="str">
        <f>IF($X258="","",SUMIFS(TARIFF_PROFILES!$E:$E,TARIFF_PROFILES!$A:$A,$X258))</f>
        <v/>
      </c>
      <c r="AA258" s="31" t="str">
        <f>IF($X258="","",SUMIFS(TARIFF_PROFILES!$F:$F,TARIFF_PROFILES!$A:$A,$X258))</f>
        <v/>
      </c>
      <c r="AB258" s="31" t="str">
        <f>IF($X258="","",SUMIFS(TARIFF_PROFILES!$G:$G,TARIFF_PROFILES!$A:$A,$X258))</f>
        <v/>
      </c>
      <c r="AC258" s="31" t="str">
        <f>IF($X258="","",SUMIFS(TARIFF_PROFILES!$H:$H,TARIFF_PROFILES!$A:$A,$X258))</f>
        <v/>
      </c>
      <c r="AD258" s="31" t="str">
        <f t="array" ref="AD258">IF($X258="","",INDEX(TARIFF_PROFILES!$J:$J,MATCH($X258,TARIFF_PROFILES!$A:$A,0)))</f>
        <v/>
      </c>
      <c r="AE258" s="31" t="str">
        <f t="array" ref="AE258">IF($X258="","",INDEX(TARIFF_PROFILES!$K:$K,MATCH($X258,TARIFF_PROFILES!$A:$A,0)))</f>
        <v/>
      </c>
      <c r="AG258" s="8"/>
      <c r="AH258" s="8" t="str">
        <f>IF($AG258="","",SUMIFS(OPERATING_COEFFS!$C:$C,OPERATING_COEFFS!$A:$A,"DistanceClass",OPERATING_COEFFS!$B:$B,$AG258))</f>
        <v/>
      </c>
      <c r="AI258" s="8"/>
      <c r="AJ258" s="8" t="str">
        <f>IF($AI258="","",SUMIFS(OPERATING_COEFFS!$C:$C,OPERATING_COEFFS!$A:$A,"SeasonClass",OPERATING_COEFFS!$B:$B,$AI258))</f>
        <v/>
      </c>
      <c r="AK258" s="8"/>
      <c r="AL258" s="8" t="str">
        <f>IF($AK258="","",SUMIFS(OPERATING_COEFFS!$C:$C,OPERATING_COEFFS!$A:$A,"UrgencyClass",OPERATING_COEFFS!$B:$B,$AK258))</f>
        <v/>
      </c>
      <c r="AM258" s="8"/>
      <c r="AN258" s="8" t="str">
        <f t="array" ref="AN258">IF($AM258="","",INDEX(TAX_MODES!$B:$B,MATCH($AM258,TAX_MODES!$A:$A,0)))</f>
        <v/>
      </c>
    </row>
    <row r="259" ht="14.25" customHeight="1">
      <c r="C259" s="8"/>
      <c r="E259" s="8"/>
      <c r="G259" s="8"/>
      <c r="I259" s="8"/>
      <c r="K259" s="8"/>
      <c r="M259" s="8"/>
      <c r="O259" s="8"/>
      <c r="Q259" s="8"/>
      <c r="S259" s="8"/>
      <c r="V259" s="8"/>
      <c r="X259" s="31"/>
      <c r="Y259" s="31" t="str">
        <f>IF($X259="","",SUMIFS(TARIFF_PROFILES!$D:$D,TARIFF_PROFILES!$A:$A,$X259))</f>
        <v/>
      </c>
      <c r="Z259" s="31" t="str">
        <f>IF($X259="","",SUMIFS(TARIFF_PROFILES!$E:$E,TARIFF_PROFILES!$A:$A,$X259))</f>
        <v/>
      </c>
      <c r="AA259" s="31" t="str">
        <f>IF($X259="","",SUMIFS(TARIFF_PROFILES!$F:$F,TARIFF_PROFILES!$A:$A,$X259))</f>
        <v/>
      </c>
      <c r="AB259" s="31" t="str">
        <f>IF($X259="","",SUMIFS(TARIFF_PROFILES!$G:$G,TARIFF_PROFILES!$A:$A,$X259))</f>
        <v/>
      </c>
      <c r="AC259" s="31" t="str">
        <f>IF($X259="","",SUMIFS(TARIFF_PROFILES!$H:$H,TARIFF_PROFILES!$A:$A,$X259))</f>
        <v/>
      </c>
      <c r="AD259" s="31" t="str">
        <f t="array" ref="AD259">IF($X259="","",INDEX(TARIFF_PROFILES!$J:$J,MATCH($X259,TARIFF_PROFILES!$A:$A,0)))</f>
        <v/>
      </c>
      <c r="AE259" s="31" t="str">
        <f t="array" ref="AE259">IF($X259="","",INDEX(TARIFF_PROFILES!$K:$K,MATCH($X259,TARIFF_PROFILES!$A:$A,0)))</f>
        <v/>
      </c>
      <c r="AG259" s="8"/>
      <c r="AH259" s="8" t="str">
        <f>IF($AG259="","",SUMIFS(OPERATING_COEFFS!$C:$C,OPERATING_COEFFS!$A:$A,"DistanceClass",OPERATING_COEFFS!$B:$B,$AG259))</f>
        <v/>
      </c>
      <c r="AI259" s="8"/>
      <c r="AJ259" s="8" t="str">
        <f>IF($AI259="","",SUMIFS(OPERATING_COEFFS!$C:$C,OPERATING_COEFFS!$A:$A,"SeasonClass",OPERATING_COEFFS!$B:$B,$AI259))</f>
        <v/>
      </c>
      <c r="AK259" s="8"/>
      <c r="AL259" s="8" t="str">
        <f>IF($AK259="","",SUMIFS(OPERATING_COEFFS!$C:$C,OPERATING_COEFFS!$A:$A,"UrgencyClass",OPERATING_COEFFS!$B:$B,$AK259))</f>
        <v/>
      </c>
      <c r="AM259" s="8"/>
      <c r="AN259" s="8" t="str">
        <f t="array" ref="AN259">IF($AM259="","",INDEX(TAX_MODES!$B:$B,MATCH($AM259,TAX_MODES!$A:$A,0)))</f>
        <v/>
      </c>
    </row>
    <row r="260" ht="14.25" customHeight="1">
      <c r="C260" s="8"/>
      <c r="E260" s="8"/>
      <c r="G260" s="8"/>
      <c r="I260" s="8"/>
      <c r="K260" s="8"/>
      <c r="M260" s="8"/>
      <c r="O260" s="8"/>
      <c r="Q260" s="8"/>
      <c r="S260" s="8"/>
      <c r="V260" s="8"/>
      <c r="X260" s="31"/>
      <c r="Y260" s="31" t="str">
        <f>IF($X260="","",SUMIFS(TARIFF_PROFILES!$D:$D,TARIFF_PROFILES!$A:$A,$X260))</f>
        <v/>
      </c>
      <c r="Z260" s="31" t="str">
        <f>IF($X260="","",SUMIFS(TARIFF_PROFILES!$E:$E,TARIFF_PROFILES!$A:$A,$X260))</f>
        <v/>
      </c>
      <c r="AA260" s="31" t="str">
        <f>IF($X260="","",SUMIFS(TARIFF_PROFILES!$F:$F,TARIFF_PROFILES!$A:$A,$X260))</f>
        <v/>
      </c>
      <c r="AB260" s="31" t="str">
        <f>IF($X260="","",SUMIFS(TARIFF_PROFILES!$G:$G,TARIFF_PROFILES!$A:$A,$X260))</f>
        <v/>
      </c>
      <c r="AC260" s="31" t="str">
        <f>IF($X260="","",SUMIFS(TARIFF_PROFILES!$H:$H,TARIFF_PROFILES!$A:$A,$X260))</f>
        <v/>
      </c>
      <c r="AD260" s="31" t="str">
        <f t="array" ref="AD260">IF($X260="","",INDEX(TARIFF_PROFILES!$J:$J,MATCH($X260,TARIFF_PROFILES!$A:$A,0)))</f>
        <v/>
      </c>
      <c r="AE260" s="31" t="str">
        <f t="array" ref="AE260">IF($X260="","",INDEX(TARIFF_PROFILES!$K:$K,MATCH($X260,TARIFF_PROFILES!$A:$A,0)))</f>
        <v/>
      </c>
      <c r="AG260" s="8"/>
      <c r="AH260" s="8" t="str">
        <f>IF($AG260="","",SUMIFS(OPERATING_COEFFS!$C:$C,OPERATING_COEFFS!$A:$A,"DistanceClass",OPERATING_COEFFS!$B:$B,$AG260))</f>
        <v/>
      </c>
      <c r="AI260" s="8"/>
      <c r="AJ260" s="8" t="str">
        <f>IF($AI260="","",SUMIFS(OPERATING_COEFFS!$C:$C,OPERATING_COEFFS!$A:$A,"SeasonClass",OPERATING_COEFFS!$B:$B,$AI260))</f>
        <v/>
      </c>
      <c r="AK260" s="8"/>
      <c r="AL260" s="8" t="str">
        <f>IF($AK260="","",SUMIFS(OPERATING_COEFFS!$C:$C,OPERATING_COEFFS!$A:$A,"UrgencyClass",OPERATING_COEFFS!$B:$B,$AK260))</f>
        <v/>
      </c>
      <c r="AM260" s="8"/>
      <c r="AN260" s="8" t="str">
        <f t="array" ref="AN260">IF($AM260="","",INDEX(TAX_MODES!$B:$B,MATCH($AM260,TAX_MODES!$A:$A,0)))</f>
        <v/>
      </c>
    </row>
    <row r="261" ht="14.25" customHeight="1">
      <c r="C261" s="8"/>
      <c r="E261" s="8"/>
      <c r="G261" s="8"/>
      <c r="I261" s="8"/>
      <c r="K261" s="8"/>
      <c r="M261" s="8"/>
      <c r="O261" s="8"/>
      <c r="Q261" s="8"/>
      <c r="S261" s="8"/>
      <c r="V261" s="8"/>
      <c r="X261" s="31"/>
      <c r="Y261" s="31" t="str">
        <f>IF($X261="","",SUMIFS(TARIFF_PROFILES!$D:$D,TARIFF_PROFILES!$A:$A,$X261))</f>
        <v/>
      </c>
      <c r="Z261" s="31" t="str">
        <f>IF($X261="","",SUMIFS(TARIFF_PROFILES!$E:$E,TARIFF_PROFILES!$A:$A,$X261))</f>
        <v/>
      </c>
      <c r="AA261" s="31" t="str">
        <f>IF($X261="","",SUMIFS(TARIFF_PROFILES!$F:$F,TARIFF_PROFILES!$A:$A,$X261))</f>
        <v/>
      </c>
      <c r="AB261" s="31" t="str">
        <f>IF($X261="","",SUMIFS(TARIFF_PROFILES!$G:$G,TARIFF_PROFILES!$A:$A,$X261))</f>
        <v/>
      </c>
      <c r="AC261" s="31" t="str">
        <f>IF($X261="","",SUMIFS(TARIFF_PROFILES!$H:$H,TARIFF_PROFILES!$A:$A,$X261))</f>
        <v/>
      </c>
      <c r="AD261" s="31" t="str">
        <f t="array" ref="AD261">IF($X261="","",INDEX(TARIFF_PROFILES!$J:$J,MATCH($X261,TARIFF_PROFILES!$A:$A,0)))</f>
        <v/>
      </c>
      <c r="AE261" s="31" t="str">
        <f t="array" ref="AE261">IF($X261="","",INDEX(TARIFF_PROFILES!$K:$K,MATCH($X261,TARIFF_PROFILES!$A:$A,0)))</f>
        <v/>
      </c>
      <c r="AG261" s="8"/>
      <c r="AH261" s="8" t="str">
        <f>IF($AG261="","",SUMIFS(OPERATING_COEFFS!$C:$C,OPERATING_COEFFS!$A:$A,"DistanceClass",OPERATING_COEFFS!$B:$B,$AG261))</f>
        <v/>
      </c>
      <c r="AI261" s="8"/>
      <c r="AJ261" s="8" t="str">
        <f>IF($AI261="","",SUMIFS(OPERATING_COEFFS!$C:$C,OPERATING_COEFFS!$A:$A,"SeasonClass",OPERATING_COEFFS!$B:$B,$AI261))</f>
        <v/>
      </c>
      <c r="AK261" s="8"/>
      <c r="AL261" s="8" t="str">
        <f>IF($AK261="","",SUMIFS(OPERATING_COEFFS!$C:$C,OPERATING_COEFFS!$A:$A,"UrgencyClass",OPERATING_COEFFS!$B:$B,$AK261))</f>
        <v/>
      </c>
      <c r="AM261" s="8"/>
      <c r="AN261" s="8" t="str">
        <f t="array" ref="AN261">IF($AM261="","",INDEX(TAX_MODES!$B:$B,MATCH($AM261,TAX_MODES!$A:$A,0)))</f>
        <v/>
      </c>
    </row>
    <row r="262" ht="14.25" customHeight="1">
      <c r="C262" s="8"/>
      <c r="E262" s="8"/>
      <c r="G262" s="8"/>
      <c r="I262" s="8"/>
      <c r="K262" s="8"/>
      <c r="M262" s="8"/>
      <c r="O262" s="8"/>
      <c r="Q262" s="8"/>
      <c r="S262" s="8"/>
      <c r="V262" s="8"/>
      <c r="X262" s="31"/>
      <c r="Y262" s="31" t="str">
        <f>IF($X262="","",SUMIFS(TARIFF_PROFILES!$D:$D,TARIFF_PROFILES!$A:$A,$X262))</f>
        <v/>
      </c>
      <c r="Z262" s="31" t="str">
        <f>IF($X262="","",SUMIFS(TARIFF_PROFILES!$E:$E,TARIFF_PROFILES!$A:$A,$X262))</f>
        <v/>
      </c>
      <c r="AA262" s="31" t="str">
        <f>IF($X262="","",SUMIFS(TARIFF_PROFILES!$F:$F,TARIFF_PROFILES!$A:$A,$X262))</f>
        <v/>
      </c>
      <c r="AB262" s="31" t="str">
        <f>IF($X262="","",SUMIFS(TARIFF_PROFILES!$G:$G,TARIFF_PROFILES!$A:$A,$X262))</f>
        <v/>
      </c>
      <c r="AC262" s="31" t="str">
        <f>IF($X262="","",SUMIFS(TARIFF_PROFILES!$H:$H,TARIFF_PROFILES!$A:$A,$X262))</f>
        <v/>
      </c>
      <c r="AD262" s="31" t="str">
        <f t="array" ref="AD262">IF($X262="","",INDEX(TARIFF_PROFILES!$J:$J,MATCH($X262,TARIFF_PROFILES!$A:$A,0)))</f>
        <v/>
      </c>
      <c r="AE262" s="31" t="str">
        <f t="array" ref="AE262">IF($X262="","",INDEX(TARIFF_PROFILES!$K:$K,MATCH($X262,TARIFF_PROFILES!$A:$A,0)))</f>
        <v/>
      </c>
      <c r="AG262" s="8"/>
      <c r="AH262" s="8" t="str">
        <f>IF($AG262="","",SUMIFS(OPERATING_COEFFS!$C:$C,OPERATING_COEFFS!$A:$A,"DistanceClass",OPERATING_COEFFS!$B:$B,$AG262))</f>
        <v/>
      </c>
      <c r="AI262" s="8"/>
      <c r="AJ262" s="8" t="str">
        <f>IF($AI262="","",SUMIFS(OPERATING_COEFFS!$C:$C,OPERATING_COEFFS!$A:$A,"SeasonClass",OPERATING_COEFFS!$B:$B,$AI262))</f>
        <v/>
      </c>
      <c r="AK262" s="8"/>
      <c r="AL262" s="8" t="str">
        <f>IF($AK262="","",SUMIFS(OPERATING_COEFFS!$C:$C,OPERATING_COEFFS!$A:$A,"UrgencyClass",OPERATING_COEFFS!$B:$B,$AK262))</f>
        <v/>
      </c>
      <c r="AM262" s="8"/>
      <c r="AN262" s="8" t="str">
        <f t="array" ref="AN262">IF($AM262="","",INDEX(TAX_MODES!$B:$B,MATCH($AM262,TAX_MODES!$A:$A,0)))</f>
        <v/>
      </c>
    </row>
    <row r="263" ht="14.25" customHeight="1">
      <c r="C263" s="8"/>
      <c r="E263" s="8"/>
      <c r="G263" s="8"/>
      <c r="I263" s="8"/>
      <c r="K263" s="8"/>
      <c r="M263" s="8"/>
      <c r="O263" s="8"/>
      <c r="Q263" s="8"/>
      <c r="S263" s="8"/>
      <c r="V263" s="8"/>
      <c r="X263" s="31"/>
      <c r="Y263" s="31" t="str">
        <f>IF($X263="","",SUMIFS(TARIFF_PROFILES!$D:$D,TARIFF_PROFILES!$A:$A,$X263))</f>
        <v/>
      </c>
      <c r="Z263" s="31" t="str">
        <f>IF($X263="","",SUMIFS(TARIFF_PROFILES!$E:$E,TARIFF_PROFILES!$A:$A,$X263))</f>
        <v/>
      </c>
      <c r="AA263" s="31" t="str">
        <f>IF($X263="","",SUMIFS(TARIFF_PROFILES!$F:$F,TARIFF_PROFILES!$A:$A,$X263))</f>
        <v/>
      </c>
      <c r="AB263" s="31" t="str">
        <f>IF($X263="","",SUMIFS(TARIFF_PROFILES!$G:$G,TARIFF_PROFILES!$A:$A,$X263))</f>
        <v/>
      </c>
      <c r="AC263" s="31" t="str">
        <f>IF($X263="","",SUMIFS(TARIFF_PROFILES!$H:$H,TARIFF_PROFILES!$A:$A,$X263))</f>
        <v/>
      </c>
      <c r="AD263" s="31" t="str">
        <f t="array" ref="AD263">IF($X263="","",INDEX(TARIFF_PROFILES!$J:$J,MATCH($X263,TARIFF_PROFILES!$A:$A,0)))</f>
        <v/>
      </c>
      <c r="AE263" s="31" t="str">
        <f t="array" ref="AE263">IF($X263="","",INDEX(TARIFF_PROFILES!$K:$K,MATCH($X263,TARIFF_PROFILES!$A:$A,0)))</f>
        <v/>
      </c>
      <c r="AG263" s="8"/>
      <c r="AH263" s="8" t="str">
        <f>IF($AG263="","",SUMIFS(OPERATING_COEFFS!$C:$C,OPERATING_COEFFS!$A:$A,"DistanceClass",OPERATING_COEFFS!$B:$B,$AG263))</f>
        <v/>
      </c>
      <c r="AI263" s="8"/>
      <c r="AJ263" s="8" t="str">
        <f>IF($AI263="","",SUMIFS(OPERATING_COEFFS!$C:$C,OPERATING_COEFFS!$A:$A,"SeasonClass",OPERATING_COEFFS!$B:$B,$AI263))</f>
        <v/>
      </c>
      <c r="AK263" s="8"/>
      <c r="AL263" s="8" t="str">
        <f>IF($AK263="","",SUMIFS(OPERATING_COEFFS!$C:$C,OPERATING_COEFFS!$A:$A,"UrgencyClass",OPERATING_COEFFS!$B:$B,$AK263))</f>
        <v/>
      </c>
      <c r="AM263" s="8"/>
      <c r="AN263" s="8" t="str">
        <f t="array" ref="AN263">IF($AM263="","",INDEX(TAX_MODES!$B:$B,MATCH($AM263,TAX_MODES!$A:$A,0)))</f>
        <v/>
      </c>
    </row>
    <row r="264" ht="14.25" customHeight="1">
      <c r="C264" s="8"/>
      <c r="E264" s="8"/>
      <c r="G264" s="8"/>
      <c r="I264" s="8"/>
      <c r="K264" s="8"/>
      <c r="M264" s="8"/>
      <c r="O264" s="8"/>
      <c r="Q264" s="8"/>
      <c r="S264" s="8"/>
      <c r="V264" s="8"/>
      <c r="X264" s="31"/>
      <c r="Y264" s="31" t="str">
        <f>IF($X264="","",SUMIFS(TARIFF_PROFILES!$D:$D,TARIFF_PROFILES!$A:$A,$X264))</f>
        <v/>
      </c>
      <c r="Z264" s="31" t="str">
        <f>IF($X264="","",SUMIFS(TARIFF_PROFILES!$E:$E,TARIFF_PROFILES!$A:$A,$X264))</f>
        <v/>
      </c>
      <c r="AA264" s="31" t="str">
        <f>IF($X264="","",SUMIFS(TARIFF_PROFILES!$F:$F,TARIFF_PROFILES!$A:$A,$X264))</f>
        <v/>
      </c>
      <c r="AB264" s="31" t="str">
        <f>IF($X264="","",SUMIFS(TARIFF_PROFILES!$G:$G,TARIFF_PROFILES!$A:$A,$X264))</f>
        <v/>
      </c>
      <c r="AC264" s="31" t="str">
        <f>IF($X264="","",SUMIFS(TARIFF_PROFILES!$H:$H,TARIFF_PROFILES!$A:$A,$X264))</f>
        <v/>
      </c>
      <c r="AD264" s="31" t="str">
        <f t="array" ref="AD264">IF($X264="","",INDEX(TARIFF_PROFILES!$J:$J,MATCH($X264,TARIFF_PROFILES!$A:$A,0)))</f>
        <v/>
      </c>
      <c r="AE264" s="31" t="str">
        <f t="array" ref="AE264">IF($X264="","",INDEX(TARIFF_PROFILES!$K:$K,MATCH($X264,TARIFF_PROFILES!$A:$A,0)))</f>
        <v/>
      </c>
      <c r="AG264" s="8"/>
      <c r="AH264" s="8" t="str">
        <f>IF($AG264="","",SUMIFS(OPERATING_COEFFS!$C:$C,OPERATING_COEFFS!$A:$A,"DistanceClass",OPERATING_COEFFS!$B:$B,$AG264))</f>
        <v/>
      </c>
      <c r="AI264" s="8"/>
      <c r="AJ264" s="8" t="str">
        <f>IF($AI264="","",SUMIFS(OPERATING_COEFFS!$C:$C,OPERATING_COEFFS!$A:$A,"SeasonClass",OPERATING_COEFFS!$B:$B,$AI264))</f>
        <v/>
      </c>
      <c r="AK264" s="8"/>
      <c r="AL264" s="8" t="str">
        <f>IF($AK264="","",SUMIFS(OPERATING_COEFFS!$C:$C,OPERATING_COEFFS!$A:$A,"UrgencyClass",OPERATING_COEFFS!$B:$B,$AK264))</f>
        <v/>
      </c>
      <c r="AM264" s="8"/>
      <c r="AN264" s="8" t="str">
        <f t="array" ref="AN264">IF($AM264="","",INDEX(TAX_MODES!$B:$B,MATCH($AM264,TAX_MODES!$A:$A,0)))</f>
        <v/>
      </c>
    </row>
    <row r="265" ht="14.25" customHeight="1">
      <c r="C265" s="8"/>
      <c r="E265" s="8"/>
      <c r="G265" s="8"/>
      <c r="I265" s="8"/>
      <c r="K265" s="8"/>
      <c r="M265" s="8"/>
      <c r="O265" s="8"/>
      <c r="Q265" s="8"/>
      <c r="S265" s="8"/>
      <c r="V265" s="8"/>
      <c r="X265" s="31"/>
      <c r="Y265" s="31" t="str">
        <f>IF($X265="","",SUMIFS(TARIFF_PROFILES!$D:$D,TARIFF_PROFILES!$A:$A,$X265))</f>
        <v/>
      </c>
      <c r="Z265" s="31" t="str">
        <f>IF($X265="","",SUMIFS(TARIFF_PROFILES!$E:$E,TARIFF_PROFILES!$A:$A,$X265))</f>
        <v/>
      </c>
      <c r="AA265" s="31" t="str">
        <f>IF($X265="","",SUMIFS(TARIFF_PROFILES!$F:$F,TARIFF_PROFILES!$A:$A,$X265))</f>
        <v/>
      </c>
      <c r="AB265" s="31" t="str">
        <f>IF($X265="","",SUMIFS(TARIFF_PROFILES!$G:$G,TARIFF_PROFILES!$A:$A,$X265))</f>
        <v/>
      </c>
      <c r="AC265" s="31" t="str">
        <f>IF($X265="","",SUMIFS(TARIFF_PROFILES!$H:$H,TARIFF_PROFILES!$A:$A,$X265))</f>
        <v/>
      </c>
      <c r="AD265" s="31" t="str">
        <f t="array" ref="AD265">IF($X265="","",INDEX(TARIFF_PROFILES!$J:$J,MATCH($X265,TARIFF_PROFILES!$A:$A,0)))</f>
        <v/>
      </c>
      <c r="AE265" s="31" t="str">
        <f t="array" ref="AE265">IF($X265="","",INDEX(TARIFF_PROFILES!$K:$K,MATCH($X265,TARIFF_PROFILES!$A:$A,0)))</f>
        <v/>
      </c>
      <c r="AG265" s="8"/>
      <c r="AH265" s="8" t="str">
        <f>IF($AG265="","",SUMIFS(OPERATING_COEFFS!$C:$C,OPERATING_COEFFS!$A:$A,"DistanceClass",OPERATING_COEFFS!$B:$B,$AG265))</f>
        <v/>
      </c>
      <c r="AI265" s="8"/>
      <c r="AJ265" s="8" t="str">
        <f>IF($AI265="","",SUMIFS(OPERATING_COEFFS!$C:$C,OPERATING_COEFFS!$A:$A,"SeasonClass",OPERATING_COEFFS!$B:$B,$AI265))</f>
        <v/>
      </c>
      <c r="AK265" s="8"/>
      <c r="AL265" s="8" t="str">
        <f>IF($AK265="","",SUMIFS(OPERATING_COEFFS!$C:$C,OPERATING_COEFFS!$A:$A,"UrgencyClass",OPERATING_COEFFS!$B:$B,$AK265))</f>
        <v/>
      </c>
      <c r="AM265" s="8"/>
      <c r="AN265" s="8" t="str">
        <f t="array" ref="AN265">IF($AM265="","",INDEX(TAX_MODES!$B:$B,MATCH($AM265,TAX_MODES!$A:$A,0)))</f>
        <v/>
      </c>
    </row>
    <row r="266" ht="14.25" customHeight="1">
      <c r="C266" s="8"/>
      <c r="E266" s="8"/>
      <c r="G266" s="8"/>
      <c r="I266" s="8"/>
      <c r="K266" s="8"/>
      <c r="M266" s="8"/>
      <c r="O266" s="8"/>
      <c r="Q266" s="8"/>
      <c r="S266" s="8"/>
      <c r="V266" s="8"/>
      <c r="X266" s="31"/>
      <c r="Y266" s="31" t="str">
        <f>IF($X266="","",SUMIFS(TARIFF_PROFILES!$D:$D,TARIFF_PROFILES!$A:$A,$X266))</f>
        <v/>
      </c>
      <c r="Z266" s="31" t="str">
        <f>IF($X266="","",SUMIFS(TARIFF_PROFILES!$E:$E,TARIFF_PROFILES!$A:$A,$X266))</f>
        <v/>
      </c>
      <c r="AA266" s="31" t="str">
        <f>IF($X266="","",SUMIFS(TARIFF_PROFILES!$F:$F,TARIFF_PROFILES!$A:$A,$X266))</f>
        <v/>
      </c>
      <c r="AB266" s="31" t="str">
        <f>IF($X266="","",SUMIFS(TARIFF_PROFILES!$G:$G,TARIFF_PROFILES!$A:$A,$X266))</f>
        <v/>
      </c>
      <c r="AC266" s="31" t="str">
        <f>IF($X266="","",SUMIFS(TARIFF_PROFILES!$H:$H,TARIFF_PROFILES!$A:$A,$X266))</f>
        <v/>
      </c>
      <c r="AD266" s="31" t="str">
        <f t="array" ref="AD266">IF($X266="","",INDEX(TARIFF_PROFILES!$J:$J,MATCH($X266,TARIFF_PROFILES!$A:$A,0)))</f>
        <v/>
      </c>
      <c r="AE266" s="31" t="str">
        <f t="array" ref="AE266">IF($X266="","",INDEX(TARIFF_PROFILES!$K:$K,MATCH($X266,TARIFF_PROFILES!$A:$A,0)))</f>
        <v/>
      </c>
      <c r="AG266" s="8"/>
      <c r="AH266" s="8" t="str">
        <f>IF($AG266="","",SUMIFS(OPERATING_COEFFS!$C:$C,OPERATING_COEFFS!$A:$A,"DistanceClass",OPERATING_COEFFS!$B:$B,$AG266))</f>
        <v/>
      </c>
      <c r="AI266" s="8"/>
      <c r="AJ266" s="8" t="str">
        <f>IF($AI266="","",SUMIFS(OPERATING_COEFFS!$C:$C,OPERATING_COEFFS!$A:$A,"SeasonClass",OPERATING_COEFFS!$B:$B,$AI266))</f>
        <v/>
      </c>
      <c r="AK266" s="8"/>
      <c r="AL266" s="8" t="str">
        <f>IF($AK266="","",SUMIFS(OPERATING_COEFFS!$C:$C,OPERATING_COEFFS!$A:$A,"UrgencyClass",OPERATING_COEFFS!$B:$B,$AK266))</f>
        <v/>
      </c>
      <c r="AM266" s="8"/>
      <c r="AN266" s="8" t="str">
        <f t="array" ref="AN266">IF($AM266="","",INDEX(TAX_MODES!$B:$B,MATCH($AM266,TAX_MODES!$A:$A,0)))</f>
        <v/>
      </c>
    </row>
    <row r="267" ht="14.25" customHeight="1">
      <c r="C267" s="8"/>
      <c r="E267" s="8"/>
      <c r="G267" s="8"/>
      <c r="I267" s="8"/>
      <c r="K267" s="8"/>
      <c r="M267" s="8"/>
      <c r="O267" s="8"/>
      <c r="Q267" s="8"/>
      <c r="S267" s="8"/>
      <c r="V267" s="8"/>
      <c r="X267" s="31"/>
      <c r="Y267" s="31" t="str">
        <f>IF($X267="","",SUMIFS(TARIFF_PROFILES!$D:$D,TARIFF_PROFILES!$A:$A,$X267))</f>
        <v/>
      </c>
      <c r="Z267" s="31" t="str">
        <f>IF($X267="","",SUMIFS(TARIFF_PROFILES!$E:$E,TARIFF_PROFILES!$A:$A,$X267))</f>
        <v/>
      </c>
      <c r="AA267" s="31" t="str">
        <f>IF($X267="","",SUMIFS(TARIFF_PROFILES!$F:$F,TARIFF_PROFILES!$A:$A,$X267))</f>
        <v/>
      </c>
      <c r="AB267" s="31" t="str">
        <f>IF($X267="","",SUMIFS(TARIFF_PROFILES!$G:$G,TARIFF_PROFILES!$A:$A,$X267))</f>
        <v/>
      </c>
      <c r="AC267" s="31" t="str">
        <f>IF($X267="","",SUMIFS(TARIFF_PROFILES!$H:$H,TARIFF_PROFILES!$A:$A,$X267))</f>
        <v/>
      </c>
      <c r="AD267" s="31" t="str">
        <f t="array" ref="AD267">IF($X267="","",INDEX(TARIFF_PROFILES!$J:$J,MATCH($X267,TARIFF_PROFILES!$A:$A,0)))</f>
        <v/>
      </c>
      <c r="AE267" s="31" t="str">
        <f t="array" ref="AE267">IF($X267="","",INDEX(TARIFF_PROFILES!$K:$K,MATCH($X267,TARIFF_PROFILES!$A:$A,0)))</f>
        <v/>
      </c>
      <c r="AG267" s="8"/>
      <c r="AH267" s="8" t="str">
        <f>IF($AG267="","",SUMIFS(OPERATING_COEFFS!$C:$C,OPERATING_COEFFS!$A:$A,"DistanceClass",OPERATING_COEFFS!$B:$B,$AG267))</f>
        <v/>
      </c>
      <c r="AI267" s="8"/>
      <c r="AJ267" s="8" t="str">
        <f>IF($AI267="","",SUMIFS(OPERATING_COEFFS!$C:$C,OPERATING_COEFFS!$A:$A,"SeasonClass",OPERATING_COEFFS!$B:$B,$AI267))</f>
        <v/>
      </c>
      <c r="AK267" s="8"/>
      <c r="AL267" s="8" t="str">
        <f>IF($AK267="","",SUMIFS(OPERATING_COEFFS!$C:$C,OPERATING_COEFFS!$A:$A,"UrgencyClass",OPERATING_COEFFS!$B:$B,$AK267))</f>
        <v/>
      </c>
      <c r="AM267" s="8"/>
      <c r="AN267" s="8" t="str">
        <f t="array" ref="AN267">IF($AM267="","",INDEX(TAX_MODES!$B:$B,MATCH($AM267,TAX_MODES!$A:$A,0)))</f>
        <v/>
      </c>
    </row>
    <row r="268" ht="14.25" customHeight="1">
      <c r="C268" s="8"/>
      <c r="E268" s="8"/>
      <c r="G268" s="8"/>
      <c r="I268" s="8"/>
      <c r="K268" s="8"/>
      <c r="M268" s="8"/>
      <c r="O268" s="8"/>
      <c r="Q268" s="8"/>
      <c r="S268" s="8"/>
      <c r="V268" s="8"/>
      <c r="X268" s="31"/>
      <c r="Y268" s="31" t="str">
        <f>IF($X268="","",SUMIFS(TARIFF_PROFILES!$D:$D,TARIFF_PROFILES!$A:$A,$X268))</f>
        <v/>
      </c>
      <c r="Z268" s="31" t="str">
        <f>IF($X268="","",SUMIFS(TARIFF_PROFILES!$E:$E,TARIFF_PROFILES!$A:$A,$X268))</f>
        <v/>
      </c>
      <c r="AA268" s="31" t="str">
        <f>IF($X268="","",SUMIFS(TARIFF_PROFILES!$F:$F,TARIFF_PROFILES!$A:$A,$X268))</f>
        <v/>
      </c>
      <c r="AB268" s="31" t="str">
        <f>IF($X268="","",SUMIFS(TARIFF_PROFILES!$G:$G,TARIFF_PROFILES!$A:$A,$X268))</f>
        <v/>
      </c>
      <c r="AC268" s="31" t="str">
        <f>IF($X268="","",SUMIFS(TARIFF_PROFILES!$H:$H,TARIFF_PROFILES!$A:$A,$X268))</f>
        <v/>
      </c>
      <c r="AD268" s="31" t="str">
        <f t="array" ref="AD268">IF($X268="","",INDEX(TARIFF_PROFILES!$J:$J,MATCH($X268,TARIFF_PROFILES!$A:$A,0)))</f>
        <v/>
      </c>
      <c r="AE268" s="31" t="str">
        <f t="array" ref="AE268">IF($X268="","",INDEX(TARIFF_PROFILES!$K:$K,MATCH($X268,TARIFF_PROFILES!$A:$A,0)))</f>
        <v/>
      </c>
      <c r="AG268" s="8"/>
      <c r="AH268" s="8" t="str">
        <f>IF($AG268="","",SUMIFS(OPERATING_COEFFS!$C:$C,OPERATING_COEFFS!$A:$A,"DistanceClass",OPERATING_COEFFS!$B:$B,$AG268))</f>
        <v/>
      </c>
      <c r="AI268" s="8"/>
      <c r="AJ268" s="8" t="str">
        <f>IF($AI268="","",SUMIFS(OPERATING_COEFFS!$C:$C,OPERATING_COEFFS!$A:$A,"SeasonClass",OPERATING_COEFFS!$B:$B,$AI268))</f>
        <v/>
      </c>
      <c r="AK268" s="8"/>
      <c r="AL268" s="8" t="str">
        <f>IF($AK268="","",SUMIFS(OPERATING_COEFFS!$C:$C,OPERATING_COEFFS!$A:$A,"UrgencyClass",OPERATING_COEFFS!$B:$B,$AK268))</f>
        <v/>
      </c>
      <c r="AM268" s="8"/>
      <c r="AN268" s="8" t="str">
        <f t="array" ref="AN268">IF($AM268="","",INDEX(TAX_MODES!$B:$B,MATCH($AM268,TAX_MODES!$A:$A,0)))</f>
        <v/>
      </c>
    </row>
    <row r="269" ht="14.25" customHeight="1">
      <c r="C269" s="8"/>
      <c r="E269" s="8"/>
      <c r="G269" s="8"/>
      <c r="I269" s="8"/>
      <c r="K269" s="8"/>
      <c r="M269" s="8"/>
      <c r="O269" s="8"/>
      <c r="Q269" s="8"/>
      <c r="S269" s="8"/>
      <c r="V269" s="8"/>
      <c r="X269" s="31"/>
      <c r="Y269" s="31" t="str">
        <f>IF($X269="","",SUMIFS(TARIFF_PROFILES!$D:$D,TARIFF_PROFILES!$A:$A,$X269))</f>
        <v/>
      </c>
      <c r="Z269" s="31" t="str">
        <f>IF($X269="","",SUMIFS(TARIFF_PROFILES!$E:$E,TARIFF_PROFILES!$A:$A,$X269))</f>
        <v/>
      </c>
      <c r="AA269" s="31" t="str">
        <f>IF($X269="","",SUMIFS(TARIFF_PROFILES!$F:$F,TARIFF_PROFILES!$A:$A,$X269))</f>
        <v/>
      </c>
      <c r="AB269" s="31" t="str">
        <f>IF($X269="","",SUMIFS(TARIFF_PROFILES!$G:$G,TARIFF_PROFILES!$A:$A,$X269))</f>
        <v/>
      </c>
      <c r="AC269" s="31" t="str">
        <f>IF($X269="","",SUMIFS(TARIFF_PROFILES!$H:$H,TARIFF_PROFILES!$A:$A,$X269))</f>
        <v/>
      </c>
      <c r="AD269" s="31" t="str">
        <f t="array" ref="AD269">IF($X269="","",INDEX(TARIFF_PROFILES!$J:$J,MATCH($X269,TARIFF_PROFILES!$A:$A,0)))</f>
        <v/>
      </c>
      <c r="AE269" s="31" t="str">
        <f t="array" ref="AE269">IF($X269="","",INDEX(TARIFF_PROFILES!$K:$K,MATCH($X269,TARIFF_PROFILES!$A:$A,0)))</f>
        <v/>
      </c>
      <c r="AG269" s="8"/>
      <c r="AH269" s="8" t="str">
        <f>IF($AG269="","",SUMIFS(OPERATING_COEFFS!$C:$C,OPERATING_COEFFS!$A:$A,"DistanceClass",OPERATING_COEFFS!$B:$B,$AG269))</f>
        <v/>
      </c>
      <c r="AI269" s="8"/>
      <c r="AJ269" s="8" t="str">
        <f>IF($AI269="","",SUMIFS(OPERATING_COEFFS!$C:$C,OPERATING_COEFFS!$A:$A,"SeasonClass",OPERATING_COEFFS!$B:$B,$AI269))</f>
        <v/>
      </c>
      <c r="AK269" s="8"/>
      <c r="AL269" s="8" t="str">
        <f>IF($AK269="","",SUMIFS(OPERATING_COEFFS!$C:$C,OPERATING_COEFFS!$A:$A,"UrgencyClass",OPERATING_COEFFS!$B:$B,$AK269))</f>
        <v/>
      </c>
      <c r="AM269" s="8"/>
      <c r="AN269" s="8" t="str">
        <f t="array" ref="AN269">IF($AM269="","",INDEX(TAX_MODES!$B:$B,MATCH($AM269,TAX_MODES!$A:$A,0)))</f>
        <v/>
      </c>
    </row>
    <row r="270" ht="14.25" customHeight="1">
      <c r="C270" s="8"/>
      <c r="E270" s="8"/>
      <c r="G270" s="8"/>
      <c r="I270" s="8"/>
      <c r="K270" s="8"/>
      <c r="M270" s="8"/>
      <c r="O270" s="8"/>
      <c r="Q270" s="8"/>
      <c r="S270" s="8"/>
      <c r="V270" s="8"/>
      <c r="X270" s="31"/>
      <c r="Y270" s="31" t="str">
        <f>IF($X270="","",SUMIFS(TARIFF_PROFILES!$D:$D,TARIFF_PROFILES!$A:$A,$X270))</f>
        <v/>
      </c>
      <c r="Z270" s="31" t="str">
        <f>IF($X270="","",SUMIFS(TARIFF_PROFILES!$E:$E,TARIFF_PROFILES!$A:$A,$X270))</f>
        <v/>
      </c>
      <c r="AA270" s="31" t="str">
        <f>IF($X270="","",SUMIFS(TARIFF_PROFILES!$F:$F,TARIFF_PROFILES!$A:$A,$X270))</f>
        <v/>
      </c>
      <c r="AB270" s="31" t="str">
        <f>IF($X270="","",SUMIFS(TARIFF_PROFILES!$G:$G,TARIFF_PROFILES!$A:$A,$X270))</f>
        <v/>
      </c>
      <c r="AC270" s="31" t="str">
        <f>IF($X270="","",SUMIFS(TARIFF_PROFILES!$H:$H,TARIFF_PROFILES!$A:$A,$X270))</f>
        <v/>
      </c>
      <c r="AD270" s="31" t="str">
        <f t="array" ref="AD270">IF($X270="","",INDEX(TARIFF_PROFILES!$J:$J,MATCH($X270,TARIFF_PROFILES!$A:$A,0)))</f>
        <v/>
      </c>
      <c r="AE270" s="31" t="str">
        <f t="array" ref="AE270">IF($X270="","",INDEX(TARIFF_PROFILES!$K:$K,MATCH($X270,TARIFF_PROFILES!$A:$A,0)))</f>
        <v/>
      </c>
      <c r="AG270" s="8"/>
      <c r="AH270" s="8" t="str">
        <f>IF($AG270="","",SUMIFS(OPERATING_COEFFS!$C:$C,OPERATING_COEFFS!$A:$A,"DistanceClass",OPERATING_COEFFS!$B:$B,$AG270))</f>
        <v/>
      </c>
      <c r="AI270" s="8"/>
      <c r="AJ270" s="8" t="str">
        <f>IF($AI270="","",SUMIFS(OPERATING_COEFFS!$C:$C,OPERATING_COEFFS!$A:$A,"SeasonClass",OPERATING_COEFFS!$B:$B,$AI270))</f>
        <v/>
      </c>
      <c r="AK270" s="8"/>
      <c r="AL270" s="8" t="str">
        <f>IF($AK270="","",SUMIFS(OPERATING_COEFFS!$C:$C,OPERATING_COEFFS!$A:$A,"UrgencyClass",OPERATING_COEFFS!$B:$B,$AK270))</f>
        <v/>
      </c>
      <c r="AM270" s="8"/>
      <c r="AN270" s="8" t="str">
        <f t="array" ref="AN270">IF($AM270="","",INDEX(TAX_MODES!$B:$B,MATCH($AM270,TAX_MODES!$A:$A,0)))</f>
        <v/>
      </c>
    </row>
    <row r="271" ht="14.25" customHeight="1">
      <c r="C271" s="8"/>
      <c r="E271" s="8"/>
      <c r="G271" s="8"/>
      <c r="I271" s="8"/>
      <c r="K271" s="8"/>
      <c r="M271" s="8"/>
      <c r="O271" s="8"/>
      <c r="Q271" s="8"/>
      <c r="S271" s="8"/>
      <c r="V271" s="8"/>
      <c r="X271" s="31"/>
      <c r="Y271" s="31" t="str">
        <f>IF($X271="","",SUMIFS(TARIFF_PROFILES!$D:$D,TARIFF_PROFILES!$A:$A,$X271))</f>
        <v/>
      </c>
      <c r="Z271" s="31" t="str">
        <f>IF($X271="","",SUMIFS(TARIFF_PROFILES!$E:$E,TARIFF_PROFILES!$A:$A,$X271))</f>
        <v/>
      </c>
      <c r="AA271" s="31" t="str">
        <f>IF($X271="","",SUMIFS(TARIFF_PROFILES!$F:$F,TARIFF_PROFILES!$A:$A,$X271))</f>
        <v/>
      </c>
      <c r="AB271" s="31" t="str">
        <f>IF($X271="","",SUMIFS(TARIFF_PROFILES!$G:$G,TARIFF_PROFILES!$A:$A,$X271))</f>
        <v/>
      </c>
      <c r="AC271" s="31" t="str">
        <f>IF($X271="","",SUMIFS(TARIFF_PROFILES!$H:$H,TARIFF_PROFILES!$A:$A,$X271))</f>
        <v/>
      </c>
      <c r="AD271" s="31" t="str">
        <f t="array" ref="AD271">IF($X271="","",INDEX(TARIFF_PROFILES!$J:$J,MATCH($X271,TARIFF_PROFILES!$A:$A,0)))</f>
        <v/>
      </c>
      <c r="AE271" s="31" t="str">
        <f t="array" ref="AE271">IF($X271="","",INDEX(TARIFF_PROFILES!$K:$K,MATCH($X271,TARIFF_PROFILES!$A:$A,0)))</f>
        <v/>
      </c>
      <c r="AG271" s="8"/>
      <c r="AH271" s="8" t="str">
        <f>IF($AG271="","",SUMIFS(OPERATING_COEFFS!$C:$C,OPERATING_COEFFS!$A:$A,"DistanceClass",OPERATING_COEFFS!$B:$B,$AG271))</f>
        <v/>
      </c>
      <c r="AI271" s="8"/>
      <c r="AJ271" s="8" t="str">
        <f>IF($AI271="","",SUMIFS(OPERATING_COEFFS!$C:$C,OPERATING_COEFFS!$A:$A,"SeasonClass",OPERATING_COEFFS!$B:$B,$AI271))</f>
        <v/>
      </c>
      <c r="AK271" s="8"/>
      <c r="AL271" s="8" t="str">
        <f>IF($AK271="","",SUMIFS(OPERATING_COEFFS!$C:$C,OPERATING_COEFFS!$A:$A,"UrgencyClass",OPERATING_COEFFS!$B:$B,$AK271))</f>
        <v/>
      </c>
      <c r="AM271" s="8"/>
      <c r="AN271" s="8" t="str">
        <f t="array" ref="AN271">IF($AM271="","",INDEX(TAX_MODES!$B:$B,MATCH($AM271,TAX_MODES!$A:$A,0)))</f>
        <v/>
      </c>
    </row>
    <row r="272" ht="14.25" customHeight="1">
      <c r="C272" s="8"/>
      <c r="E272" s="8"/>
      <c r="G272" s="8"/>
      <c r="I272" s="8"/>
      <c r="K272" s="8"/>
      <c r="M272" s="8"/>
      <c r="O272" s="8"/>
      <c r="Q272" s="8"/>
      <c r="S272" s="8"/>
      <c r="V272" s="8"/>
      <c r="X272" s="31"/>
      <c r="Y272" s="31" t="str">
        <f>IF($X272="","",SUMIFS(TARIFF_PROFILES!$D:$D,TARIFF_PROFILES!$A:$A,$X272))</f>
        <v/>
      </c>
      <c r="Z272" s="31" t="str">
        <f>IF($X272="","",SUMIFS(TARIFF_PROFILES!$E:$E,TARIFF_PROFILES!$A:$A,$X272))</f>
        <v/>
      </c>
      <c r="AA272" s="31" t="str">
        <f>IF($X272="","",SUMIFS(TARIFF_PROFILES!$F:$F,TARIFF_PROFILES!$A:$A,$X272))</f>
        <v/>
      </c>
      <c r="AB272" s="31" t="str">
        <f>IF($X272="","",SUMIFS(TARIFF_PROFILES!$G:$G,TARIFF_PROFILES!$A:$A,$X272))</f>
        <v/>
      </c>
      <c r="AC272" s="31" t="str">
        <f>IF($X272="","",SUMIFS(TARIFF_PROFILES!$H:$H,TARIFF_PROFILES!$A:$A,$X272))</f>
        <v/>
      </c>
      <c r="AD272" s="31" t="str">
        <f t="array" ref="AD272">IF($X272="","",INDEX(TARIFF_PROFILES!$J:$J,MATCH($X272,TARIFF_PROFILES!$A:$A,0)))</f>
        <v/>
      </c>
      <c r="AE272" s="31" t="str">
        <f t="array" ref="AE272">IF($X272="","",INDEX(TARIFF_PROFILES!$K:$K,MATCH($X272,TARIFF_PROFILES!$A:$A,0)))</f>
        <v/>
      </c>
      <c r="AG272" s="8"/>
      <c r="AH272" s="8" t="str">
        <f>IF($AG272="","",SUMIFS(OPERATING_COEFFS!$C:$C,OPERATING_COEFFS!$A:$A,"DistanceClass",OPERATING_COEFFS!$B:$B,$AG272))</f>
        <v/>
      </c>
      <c r="AI272" s="8"/>
      <c r="AJ272" s="8" t="str">
        <f>IF($AI272="","",SUMIFS(OPERATING_COEFFS!$C:$C,OPERATING_COEFFS!$A:$A,"SeasonClass",OPERATING_COEFFS!$B:$B,$AI272))</f>
        <v/>
      </c>
      <c r="AK272" s="8"/>
      <c r="AL272" s="8" t="str">
        <f>IF($AK272="","",SUMIFS(OPERATING_COEFFS!$C:$C,OPERATING_COEFFS!$A:$A,"UrgencyClass",OPERATING_COEFFS!$B:$B,$AK272))</f>
        <v/>
      </c>
      <c r="AM272" s="8"/>
      <c r="AN272" s="8" t="str">
        <f t="array" ref="AN272">IF($AM272="","",INDEX(TAX_MODES!$B:$B,MATCH($AM272,TAX_MODES!$A:$A,0)))</f>
        <v/>
      </c>
    </row>
    <row r="273" ht="14.25" customHeight="1">
      <c r="C273" s="8"/>
      <c r="E273" s="8"/>
      <c r="G273" s="8"/>
      <c r="I273" s="8"/>
      <c r="K273" s="8"/>
      <c r="M273" s="8"/>
      <c r="O273" s="8"/>
      <c r="Q273" s="8"/>
      <c r="S273" s="8"/>
      <c r="V273" s="8"/>
      <c r="X273" s="31"/>
      <c r="Y273" s="31" t="str">
        <f>IF($X273="","",SUMIFS(TARIFF_PROFILES!$D:$D,TARIFF_PROFILES!$A:$A,$X273))</f>
        <v/>
      </c>
      <c r="Z273" s="31" t="str">
        <f>IF($X273="","",SUMIFS(TARIFF_PROFILES!$E:$E,TARIFF_PROFILES!$A:$A,$X273))</f>
        <v/>
      </c>
      <c r="AA273" s="31" t="str">
        <f>IF($X273="","",SUMIFS(TARIFF_PROFILES!$F:$F,TARIFF_PROFILES!$A:$A,$X273))</f>
        <v/>
      </c>
      <c r="AB273" s="31" t="str">
        <f>IF($X273="","",SUMIFS(TARIFF_PROFILES!$G:$G,TARIFF_PROFILES!$A:$A,$X273))</f>
        <v/>
      </c>
      <c r="AC273" s="31" t="str">
        <f>IF($X273="","",SUMIFS(TARIFF_PROFILES!$H:$H,TARIFF_PROFILES!$A:$A,$X273))</f>
        <v/>
      </c>
      <c r="AD273" s="31" t="str">
        <f t="array" ref="AD273">IF($X273="","",INDEX(TARIFF_PROFILES!$J:$J,MATCH($X273,TARIFF_PROFILES!$A:$A,0)))</f>
        <v/>
      </c>
      <c r="AE273" s="31" t="str">
        <f t="array" ref="AE273">IF($X273="","",INDEX(TARIFF_PROFILES!$K:$K,MATCH($X273,TARIFF_PROFILES!$A:$A,0)))</f>
        <v/>
      </c>
      <c r="AG273" s="8"/>
      <c r="AH273" s="8" t="str">
        <f>IF($AG273="","",SUMIFS(OPERATING_COEFFS!$C:$C,OPERATING_COEFFS!$A:$A,"DistanceClass",OPERATING_COEFFS!$B:$B,$AG273))</f>
        <v/>
      </c>
      <c r="AI273" s="8"/>
      <c r="AJ273" s="8" t="str">
        <f>IF($AI273="","",SUMIFS(OPERATING_COEFFS!$C:$C,OPERATING_COEFFS!$A:$A,"SeasonClass",OPERATING_COEFFS!$B:$B,$AI273))</f>
        <v/>
      </c>
      <c r="AK273" s="8"/>
      <c r="AL273" s="8" t="str">
        <f>IF($AK273="","",SUMIFS(OPERATING_COEFFS!$C:$C,OPERATING_COEFFS!$A:$A,"UrgencyClass",OPERATING_COEFFS!$B:$B,$AK273))</f>
        <v/>
      </c>
      <c r="AM273" s="8"/>
      <c r="AN273" s="8" t="str">
        <f t="array" ref="AN273">IF($AM273="","",INDEX(TAX_MODES!$B:$B,MATCH($AM273,TAX_MODES!$A:$A,0)))</f>
        <v/>
      </c>
    </row>
    <row r="274" ht="14.25" customHeight="1">
      <c r="C274" s="8"/>
      <c r="E274" s="8"/>
      <c r="G274" s="8"/>
      <c r="I274" s="8"/>
      <c r="K274" s="8"/>
      <c r="M274" s="8"/>
      <c r="O274" s="8"/>
      <c r="Q274" s="8"/>
      <c r="S274" s="8"/>
      <c r="V274" s="8"/>
      <c r="X274" s="31"/>
      <c r="Y274" s="31" t="str">
        <f>IF($X274="","",SUMIFS(TARIFF_PROFILES!$D:$D,TARIFF_PROFILES!$A:$A,$X274))</f>
        <v/>
      </c>
      <c r="Z274" s="31" t="str">
        <f>IF($X274="","",SUMIFS(TARIFF_PROFILES!$E:$E,TARIFF_PROFILES!$A:$A,$X274))</f>
        <v/>
      </c>
      <c r="AA274" s="31" t="str">
        <f>IF($X274="","",SUMIFS(TARIFF_PROFILES!$F:$F,TARIFF_PROFILES!$A:$A,$X274))</f>
        <v/>
      </c>
      <c r="AB274" s="31" t="str">
        <f>IF($X274="","",SUMIFS(TARIFF_PROFILES!$G:$G,TARIFF_PROFILES!$A:$A,$X274))</f>
        <v/>
      </c>
      <c r="AC274" s="31" t="str">
        <f>IF($X274="","",SUMIFS(TARIFF_PROFILES!$H:$H,TARIFF_PROFILES!$A:$A,$X274))</f>
        <v/>
      </c>
      <c r="AD274" s="31" t="str">
        <f t="array" ref="AD274">IF($X274="","",INDEX(TARIFF_PROFILES!$J:$J,MATCH($X274,TARIFF_PROFILES!$A:$A,0)))</f>
        <v/>
      </c>
      <c r="AE274" s="31" t="str">
        <f t="array" ref="AE274">IF($X274="","",INDEX(TARIFF_PROFILES!$K:$K,MATCH($X274,TARIFF_PROFILES!$A:$A,0)))</f>
        <v/>
      </c>
      <c r="AG274" s="8"/>
      <c r="AH274" s="8" t="str">
        <f>IF($AG274="","",SUMIFS(OPERATING_COEFFS!$C:$C,OPERATING_COEFFS!$A:$A,"DistanceClass",OPERATING_COEFFS!$B:$B,$AG274))</f>
        <v/>
      </c>
      <c r="AI274" s="8"/>
      <c r="AJ274" s="8" t="str">
        <f>IF($AI274="","",SUMIFS(OPERATING_COEFFS!$C:$C,OPERATING_COEFFS!$A:$A,"SeasonClass",OPERATING_COEFFS!$B:$B,$AI274))</f>
        <v/>
      </c>
      <c r="AK274" s="8"/>
      <c r="AL274" s="8" t="str">
        <f>IF($AK274="","",SUMIFS(OPERATING_COEFFS!$C:$C,OPERATING_COEFFS!$A:$A,"UrgencyClass",OPERATING_COEFFS!$B:$B,$AK274))</f>
        <v/>
      </c>
      <c r="AM274" s="8"/>
      <c r="AN274" s="8" t="str">
        <f t="array" ref="AN274">IF($AM274="","",INDEX(TAX_MODES!$B:$B,MATCH($AM274,TAX_MODES!$A:$A,0)))</f>
        <v/>
      </c>
    </row>
    <row r="275" ht="14.25" customHeight="1">
      <c r="C275" s="8"/>
      <c r="E275" s="8"/>
      <c r="G275" s="8"/>
      <c r="I275" s="8"/>
      <c r="K275" s="8"/>
      <c r="M275" s="8"/>
      <c r="O275" s="8"/>
      <c r="Q275" s="8"/>
      <c r="S275" s="8"/>
      <c r="V275" s="8"/>
      <c r="X275" s="31"/>
      <c r="Y275" s="31" t="str">
        <f>IF($X275="","",SUMIFS(TARIFF_PROFILES!$D:$D,TARIFF_PROFILES!$A:$A,$X275))</f>
        <v/>
      </c>
      <c r="Z275" s="31" t="str">
        <f>IF($X275="","",SUMIFS(TARIFF_PROFILES!$E:$E,TARIFF_PROFILES!$A:$A,$X275))</f>
        <v/>
      </c>
      <c r="AA275" s="31" t="str">
        <f>IF($X275="","",SUMIFS(TARIFF_PROFILES!$F:$F,TARIFF_PROFILES!$A:$A,$X275))</f>
        <v/>
      </c>
      <c r="AB275" s="31" t="str">
        <f>IF($X275="","",SUMIFS(TARIFF_PROFILES!$G:$G,TARIFF_PROFILES!$A:$A,$X275))</f>
        <v/>
      </c>
      <c r="AC275" s="31" t="str">
        <f>IF($X275="","",SUMIFS(TARIFF_PROFILES!$H:$H,TARIFF_PROFILES!$A:$A,$X275))</f>
        <v/>
      </c>
      <c r="AD275" s="31" t="str">
        <f t="array" ref="AD275">IF($X275="","",INDEX(TARIFF_PROFILES!$J:$J,MATCH($X275,TARIFF_PROFILES!$A:$A,0)))</f>
        <v/>
      </c>
      <c r="AE275" s="31" t="str">
        <f t="array" ref="AE275">IF($X275="","",INDEX(TARIFF_PROFILES!$K:$K,MATCH($X275,TARIFF_PROFILES!$A:$A,0)))</f>
        <v/>
      </c>
      <c r="AG275" s="8"/>
      <c r="AH275" s="8" t="str">
        <f>IF($AG275="","",SUMIFS(OPERATING_COEFFS!$C:$C,OPERATING_COEFFS!$A:$A,"DistanceClass",OPERATING_COEFFS!$B:$B,$AG275))</f>
        <v/>
      </c>
      <c r="AI275" s="8"/>
      <c r="AJ275" s="8" t="str">
        <f>IF($AI275="","",SUMIFS(OPERATING_COEFFS!$C:$C,OPERATING_COEFFS!$A:$A,"SeasonClass",OPERATING_COEFFS!$B:$B,$AI275))</f>
        <v/>
      </c>
      <c r="AK275" s="8"/>
      <c r="AL275" s="8" t="str">
        <f>IF($AK275="","",SUMIFS(OPERATING_COEFFS!$C:$C,OPERATING_COEFFS!$A:$A,"UrgencyClass",OPERATING_COEFFS!$B:$B,$AK275))</f>
        <v/>
      </c>
      <c r="AM275" s="8"/>
      <c r="AN275" s="8" t="str">
        <f t="array" ref="AN275">IF($AM275="","",INDEX(TAX_MODES!$B:$B,MATCH($AM275,TAX_MODES!$A:$A,0)))</f>
        <v/>
      </c>
    </row>
    <row r="276" ht="14.25" customHeight="1">
      <c r="C276" s="8"/>
      <c r="E276" s="8"/>
      <c r="G276" s="8"/>
      <c r="I276" s="8"/>
      <c r="K276" s="8"/>
      <c r="M276" s="8"/>
      <c r="O276" s="8"/>
      <c r="Q276" s="8"/>
      <c r="S276" s="8"/>
      <c r="V276" s="8"/>
      <c r="X276" s="31"/>
      <c r="Y276" s="31" t="str">
        <f>IF($X276="","",SUMIFS(TARIFF_PROFILES!$D:$D,TARIFF_PROFILES!$A:$A,$X276))</f>
        <v/>
      </c>
      <c r="Z276" s="31" t="str">
        <f>IF($X276="","",SUMIFS(TARIFF_PROFILES!$E:$E,TARIFF_PROFILES!$A:$A,$X276))</f>
        <v/>
      </c>
      <c r="AA276" s="31" t="str">
        <f>IF($X276="","",SUMIFS(TARIFF_PROFILES!$F:$F,TARIFF_PROFILES!$A:$A,$X276))</f>
        <v/>
      </c>
      <c r="AB276" s="31" t="str">
        <f>IF($X276="","",SUMIFS(TARIFF_PROFILES!$G:$G,TARIFF_PROFILES!$A:$A,$X276))</f>
        <v/>
      </c>
      <c r="AC276" s="31" t="str">
        <f>IF($X276="","",SUMIFS(TARIFF_PROFILES!$H:$H,TARIFF_PROFILES!$A:$A,$X276))</f>
        <v/>
      </c>
      <c r="AD276" s="31" t="str">
        <f t="array" ref="AD276">IF($X276="","",INDEX(TARIFF_PROFILES!$J:$J,MATCH($X276,TARIFF_PROFILES!$A:$A,0)))</f>
        <v/>
      </c>
      <c r="AE276" s="31" t="str">
        <f t="array" ref="AE276">IF($X276="","",INDEX(TARIFF_PROFILES!$K:$K,MATCH($X276,TARIFF_PROFILES!$A:$A,0)))</f>
        <v/>
      </c>
      <c r="AG276" s="8"/>
      <c r="AH276" s="8" t="str">
        <f>IF($AG276="","",SUMIFS(OPERATING_COEFFS!$C:$C,OPERATING_COEFFS!$A:$A,"DistanceClass",OPERATING_COEFFS!$B:$B,$AG276))</f>
        <v/>
      </c>
      <c r="AI276" s="8"/>
      <c r="AJ276" s="8" t="str">
        <f>IF($AI276="","",SUMIFS(OPERATING_COEFFS!$C:$C,OPERATING_COEFFS!$A:$A,"SeasonClass",OPERATING_COEFFS!$B:$B,$AI276))</f>
        <v/>
      </c>
      <c r="AK276" s="8"/>
      <c r="AL276" s="8" t="str">
        <f>IF($AK276="","",SUMIFS(OPERATING_COEFFS!$C:$C,OPERATING_COEFFS!$A:$A,"UrgencyClass",OPERATING_COEFFS!$B:$B,$AK276))</f>
        <v/>
      </c>
      <c r="AM276" s="8"/>
      <c r="AN276" s="8" t="str">
        <f t="array" ref="AN276">IF($AM276="","",INDEX(TAX_MODES!$B:$B,MATCH($AM276,TAX_MODES!$A:$A,0)))</f>
        <v/>
      </c>
    </row>
    <row r="277" ht="14.25" customHeight="1">
      <c r="C277" s="8"/>
      <c r="E277" s="8"/>
      <c r="G277" s="8"/>
      <c r="I277" s="8"/>
      <c r="K277" s="8"/>
      <c r="M277" s="8"/>
      <c r="O277" s="8"/>
      <c r="Q277" s="8"/>
      <c r="S277" s="8"/>
      <c r="V277" s="8"/>
      <c r="X277" s="31"/>
      <c r="Y277" s="31" t="str">
        <f>IF($X277="","",SUMIFS(TARIFF_PROFILES!$D:$D,TARIFF_PROFILES!$A:$A,$X277))</f>
        <v/>
      </c>
      <c r="Z277" s="31" t="str">
        <f>IF($X277="","",SUMIFS(TARIFF_PROFILES!$E:$E,TARIFF_PROFILES!$A:$A,$X277))</f>
        <v/>
      </c>
      <c r="AA277" s="31" t="str">
        <f>IF($X277="","",SUMIFS(TARIFF_PROFILES!$F:$F,TARIFF_PROFILES!$A:$A,$X277))</f>
        <v/>
      </c>
      <c r="AB277" s="31" t="str">
        <f>IF($X277="","",SUMIFS(TARIFF_PROFILES!$G:$G,TARIFF_PROFILES!$A:$A,$X277))</f>
        <v/>
      </c>
      <c r="AC277" s="31" t="str">
        <f>IF($X277="","",SUMIFS(TARIFF_PROFILES!$H:$H,TARIFF_PROFILES!$A:$A,$X277))</f>
        <v/>
      </c>
      <c r="AD277" s="31" t="str">
        <f t="array" ref="AD277">IF($X277="","",INDEX(TARIFF_PROFILES!$J:$J,MATCH($X277,TARIFF_PROFILES!$A:$A,0)))</f>
        <v/>
      </c>
      <c r="AE277" s="31" t="str">
        <f t="array" ref="AE277">IF($X277="","",INDEX(TARIFF_PROFILES!$K:$K,MATCH($X277,TARIFF_PROFILES!$A:$A,0)))</f>
        <v/>
      </c>
      <c r="AG277" s="8"/>
      <c r="AH277" s="8" t="str">
        <f>IF($AG277="","",SUMIFS(OPERATING_COEFFS!$C:$C,OPERATING_COEFFS!$A:$A,"DistanceClass",OPERATING_COEFFS!$B:$B,$AG277))</f>
        <v/>
      </c>
      <c r="AI277" s="8"/>
      <c r="AJ277" s="8" t="str">
        <f>IF($AI277="","",SUMIFS(OPERATING_COEFFS!$C:$C,OPERATING_COEFFS!$A:$A,"SeasonClass",OPERATING_COEFFS!$B:$B,$AI277))</f>
        <v/>
      </c>
      <c r="AK277" s="8"/>
      <c r="AL277" s="8" t="str">
        <f>IF($AK277="","",SUMIFS(OPERATING_COEFFS!$C:$C,OPERATING_COEFFS!$A:$A,"UrgencyClass",OPERATING_COEFFS!$B:$B,$AK277))</f>
        <v/>
      </c>
      <c r="AM277" s="8"/>
      <c r="AN277" s="8" t="str">
        <f t="array" ref="AN277">IF($AM277="","",INDEX(TAX_MODES!$B:$B,MATCH($AM277,TAX_MODES!$A:$A,0)))</f>
        <v/>
      </c>
    </row>
    <row r="278" ht="14.25" customHeight="1">
      <c r="C278" s="8"/>
      <c r="E278" s="8"/>
      <c r="G278" s="8"/>
      <c r="I278" s="8"/>
      <c r="K278" s="8"/>
      <c r="M278" s="8"/>
      <c r="O278" s="8"/>
      <c r="Q278" s="8"/>
      <c r="S278" s="8"/>
      <c r="V278" s="8"/>
      <c r="X278" s="31"/>
      <c r="Y278" s="31" t="str">
        <f>IF($X278="","",SUMIFS(TARIFF_PROFILES!$D:$D,TARIFF_PROFILES!$A:$A,$X278))</f>
        <v/>
      </c>
      <c r="Z278" s="31" t="str">
        <f>IF($X278="","",SUMIFS(TARIFF_PROFILES!$E:$E,TARIFF_PROFILES!$A:$A,$X278))</f>
        <v/>
      </c>
      <c r="AA278" s="31" t="str">
        <f>IF($X278="","",SUMIFS(TARIFF_PROFILES!$F:$F,TARIFF_PROFILES!$A:$A,$X278))</f>
        <v/>
      </c>
      <c r="AB278" s="31" t="str">
        <f>IF($X278="","",SUMIFS(TARIFF_PROFILES!$G:$G,TARIFF_PROFILES!$A:$A,$X278))</f>
        <v/>
      </c>
      <c r="AC278" s="31" t="str">
        <f>IF($X278="","",SUMIFS(TARIFF_PROFILES!$H:$H,TARIFF_PROFILES!$A:$A,$X278))</f>
        <v/>
      </c>
      <c r="AD278" s="31" t="str">
        <f t="array" ref="AD278">IF($X278="","",INDEX(TARIFF_PROFILES!$J:$J,MATCH($X278,TARIFF_PROFILES!$A:$A,0)))</f>
        <v/>
      </c>
      <c r="AE278" s="31" t="str">
        <f t="array" ref="AE278">IF($X278="","",INDEX(TARIFF_PROFILES!$K:$K,MATCH($X278,TARIFF_PROFILES!$A:$A,0)))</f>
        <v/>
      </c>
      <c r="AG278" s="8"/>
      <c r="AH278" s="8" t="str">
        <f>IF($AG278="","",SUMIFS(OPERATING_COEFFS!$C:$C,OPERATING_COEFFS!$A:$A,"DistanceClass",OPERATING_COEFFS!$B:$B,$AG278))</f>
        <v/>
      </c>
      <c r="AI278" s="8"/>
      <c r="AJ278" s="8" t="str">
        <f>IF($AI278="","",SUMIFS(OPERATING_COEFFS!$C:$C,OPERATING_COEFFS!$A:$A,"SeasonClass",OPERATING_COEFFS!$B:$B,$AI278))</f>
        <v/>
      </c>
      <c r="AK278" s="8"/>
      <c r="AL278" s="8" t="str">
        <f>IF($AK278="","",SUMIFS(OPERATING_COEFFS!$C:$C,OPERATING_COEFFS!$A:$A,"UrgencyClass",OPERATING_COEFFS!$B:$B,$AK278))</f>
        <v/>
      </c>
      <c r="AM278" s="8"/>
      <c r="AN278" s="8" t="str">
        <f t="array" ref="AN278">IF($AM278="","",INDEX(TAX_MODES!$B:$B,MATCH($AM278,TAX_MODES!$A:$A,0)))</f>
        <v/>
      </c>
    </row>
    <row r="279" ht="14.25" customHeight="1">
      <c r="C279" s="8"/>
      <c r="E279" s="8"/>
      <c r="G279" s="8"/>
      <c r="I279" s="8"/>
      <c r="K279" s="8"/>
      <c r="M279" s="8"/>
      <c r="O279" s="8"/>
      <c r="Q279" s="8"/>
      <c r="S279" s="8"/>
      <c r="V279" s="8"/>
      <c r="X279" s="31"/>
      <c r="Y279" s="31" t="str">
        <f>IF($X279="","",SUMIFS(TARIFF_PROFILES!$D:$D,TARIFF_PROFILES!$A:$A,$X279))</f>
        <v/>
      </c>
      <c r="Z279" s="31" t="str">
        <f>IF($X279="","",SUMIFS(TARIFF_PROFILES!$E:$E,TARIFF_PROFILES!$A:$A,$X279))</f>
        <v/>
      </c>
      <c r="AA279" s="31" t="str">
        <f>IF($X279="","",SUMIFS(TARIFF_PROFILES!$F:$F,TARIFF_PROFILES!$A:$A,$X279))</f>
        <v/>
      </c>
      <c r="AB279" s="31" t="str">
        <f>IF($X279="","",SUMIFS(TARIFF_PROFILES!$G:$G,TARIFF_PROFILES!$A:$A,$X279))</f>
        <v/>
      </c>
      <c r="AC279" s="31" t="str">
        <f>IF($X279="","",SUMIFS(TARIFF_PROFILES!$H:$H,TARIFF_PROFILES!$A:$A,$X279))</f>
        <v/>
      </c>
      <c r="AD279" s="31" t="str">
        <f t="array" ref="AD279">IF($X279="","",INDEX(TARIFF_PROFILES!$J:$J,MATCH($X279,TARIFF_PROFILES!$A:$A,0)))</f>
        <v/>
      </c>
      <c r="AE279" s="31" t="str">
        <f t="array" ref="AE279">IF($X279="","",INDEX(TARIFF_PROFILES!$K:$K,MATCH($X279,TARIFF_PROFILES!$A:$A,0)))</f>
        <v/>
      </c>
      <c r="AG279" s="8"/>
      <c r="AH279" s="8" t="str">
        <f>IF($AG279="","",SUMIFS(OPERATING_COEFFS!$C:$C,OPERATING_COEFFS!$A:$A,"DistanceClass",OPERATING_COEFFS!$B:$B,$AG279))</f>
        <v/>
      </c>
      <c r="AI279" s="8"/>
      <c r="AJ279" s="8" t="str">
        <f>IF($AI279="","",SUMIFS(OPERATING_COEFFS!$C:$C,OPERATING_COEFFS!$A:$A,"SeasonClass",OPERATING_COEFFS!$B:$B,$AI279))</f>
        <v/>
      </c>
      <c r="AK279" s="8"/>
      <c r="AL279" s="8" t="str">
        <f>IF($AK279="","",SUMIFS(OPERATING_COEFFS!$C:$C,OPERATING_COEFFS!$A:$A,"UrgencyClass",OPERATING_COEFFS!$B:$B,$AK279))</f>
        <v/>
      </c>
      <c r="AM279" s="8"/>
      <c r="AN279" s="8" t="str">
        <f t="array" ref="AN279">IF($AM279="","",INDEX(TAX_MODES!$B:$B,MATCH($AM279,TAX_MODES!$A:$A,0)))</f>
        <v/>
      </c>
    </row>
    <row r="280" ht="14.25" customHeight="1">
      <c r="C280" s="8"/>
      <c r="E280" s="8"/>
      <c r="G280" s="8"/>
      <c r="I280" s="8"/>
      <c r="K280" s="8"/>
      <c r="M280" s="8"/>
      <c r="O280" s="8"/>
      <c r="Q280" s="8"/>
      <c r="S280" s="8"/>
      <c r="V280" s="8"/>
      <c r="X280" s="31"/>
      <c r="Y280" s="31" t="str">
        <f>IF($X280="","",SUMIFS(TARIFF_PROFILES!$D:$D,TARIFF_PROFILES!$A:$A,$X280))</f>
        <v/>
      </c>
      <c r="Z280" s="31" t="str">
        <f>IF($X280="","",SUMIFS(TARIFF_PROFILES!$E:$E,TARIFF_PROFILES!$A:$A,$X280))</f>
        <v/>
      </c>
      <c r="AA280" s="31" t="str">
        <f>IF($X280="","",SUMIFS(TARIFF_PROFILES!$F:$F,TARIFF_PROFILES!$A:$A,$X280))</f>
        <v/>
      </c>
      <c r="AB280" s="31" t="str">
        <f>IF($X280="","",SUMIFS(TARIFF_PROFILES!$G:$G,TARIFF_PROFILES!$A:$A,$X280))</f>
        <v/>
      </c>
      <c r="AC280" s="31" t="str">
        <f>IF($X280="","",SUMIFS(TARIFF_PROFILES!$H:$H,TARIFF_PROFILES!$A:$A,$X280))</f>
        <v/>
      </c>
      <c r="AD280" s="31" t="str">
        <f t="array" ref="AD280">IF($X280="","",INDEX(TARIFF_PROFILES!$J:$J,MATCH($X280,TARIFF_PROFILES!$A:$A,0)))</f>
        <v/>
      </c>
      <c r="AE280" s="31" t="str">
        <f t="array" ref="AE280">IF($X280="","",INDEX(TARIFF_PROFILES!$K:$K,MATCH($X280,TARIFF_PROFILES!$A:$A,0)))</f>
        <v/>
      </c>
      <c r="AG280" s="8"/>
      <c r="AH280" s="8" t="str">
        <f>IF($AG280="","",SUMIFS(OPERATING_COEFFS!$C:$C,OPERATING_COEFFS!$A:$A,"DistanceClass",OPERATING_COEFFS!$B:$B,$AG280))</f>
        <v/>
      </c>
      <c r="AI280" s="8"/>
      <c r="AJ280" s="8" t="str">
        <f>IF($AI280="","",SUMIFS(OPERATING_COEFFS!$C:$C,OPERATING_COEFFS!$A:$A,"SeasonClass",OPERATING_COEFFS!$B:$B,$AI280))</f>
        <v/>
      </c>
      <c r="AK280" s="8"/>
      <c r="AL280" s="8" t="str">
        <f>IF($AK280="","",SUMIFS(OPERATING_COEFFS!$C:$C,OPERATING_COEFFS!$A:$A,"UrgencyClass",OPERATING_COEFFS!$B:$B,$AK280))</f>
        <v/>
      </c>
      <c r="AM280" s="8"/>
      <c r="AN280" s="8" t="str">
        <f t="array" ref="AN280">IF($AM280="","",INDEX(TAX_MODES!$B:$B,MATCH($AM280,TAX_MODES!$A:$A,0)))</f>
        <v/>
      </c>
    </row>
    <row r="281" ht="14.25" customHeight="1">
      <c r="C281" s="8"/>
      <c r="E281" s="8"/>
      <c r="G281" s="8"/>
      <c r="I281" s="8"/>
      <c r="K281" s="8"/>
      <c r="M281" s="8"/>
      <c r="O281" s="8"/>
      <c r="Q281" s="8"/>
      <c r="S281" s="8"/>
      <c r="V281" s="8"/>
      <c r="X281" s="31"/>
      <c r="Y281" s="31" t="str">
        <f>IF($X281="","",SUMIFS(TARIFF_PROFILES!$D:$D,TARIFF_PROFILES!$A:$A,$X281))</f>
        <v/>
      </c>
      <c r="Z281" s="31" t="str">
        <f>IF($X281="","",SUMIFS(TARIFF_PROFILES!$E:$E,TARIFF_PROFILES!$A:$A,$X281))</f>
        <v/>
      </c>
      <c r="AA281" s="31" t="str">
        <f>IF($X281="","",SUMIFS(TARIFF_PROFILES!$F:$F,TARIFF_PROFILES!$A:$A,$X281))</f>
        <v/>
      </c>
      <c r="AB281" s="31" t="str">
        <f>IF($X281="","",SUMIFS(TARIFF_PROFILES!$G:$G,TARIFF_PROFILES!$A:$A,$X281))</f>
        <v/>
      </c>
      <c r="AC281" s="31" t="str">
        <f>IF($X281="","",SUMIFS(TARIFF_PROFILES!$H:$H,TARIFF_PROFILES!$A:$A,$X281))</f>
        <v/>
      </c>
      <c r="AD281" s="31" t="str">
        <f t="array" ref="AD281">IF($X281="","",INDEX(TARIFF_PROFILES!$J:$J,MATCH($X281,TARIFF_PROFILES!$A:$A,0)))</f>
        <v/>
      </c>
      <c r="AE281" s="31" t="str">
        <f t="array" ref="AE281">IF($X281="","",INDEX(TARIFF_PROFILES!$K:$K,MATCH($X281,TARIFF_PROFILES!$A:$A,0)))</f>
        <v/>
      </c>
      <c r="AG281" s="8"/>
      <c r="AH281" s="8" t="str">
        <f>IF($AG281="","",SUMIFS(OPERATING_COEFFS!$C:$C,OPERATING_COEFFS!$A:$A,"DistanceClass",OPERATING_COEFFS!$B:$B,$AG281))</f>
        <v/>
      </c>
      <c r="AI281" s="8"/>
      <c r="AJ281" s="8" t="str">
        <f>IF($AI281="","",SUMIFS(OPERATING_COEFFS!$C:$C,OPERATING_COEFFS!$A:$A,"SeasonClass",OPERATING_COEFFS!$B:$B,$AI281))</f>
        <v/>
      </c>
      <c r="AK281" s="8"/>
      <c r="AL281" s="8" t="str">
        <f>IF($AK281="","",SUMIFS(OPERATING_COEFFS!$C:$C,OPERATING_COEFFS!$A:$A,"UrgencyClass",OPERATING_COEFFS!$B:$B,$AK281))</f>
        <v/>
      </c>
      <c r="AM281" s="8"/>
      <c r="AN281" s="8" t="str">
        <f t="array" ref="AN281">IF($AM281="","",INDEX(TAX_MODES!$B:$B,MATCH($AM281,TAX_MODES!$A:$A,0)))</f>
        <v/>
      </c>
    </row>
    <row r="282" ht="14.25" customHeight="1">
      <c r="C282" s="8"/>
      <c r="E282" s="8"/>
      <c r="G282" s="8"/>
      <c r="I282" s="8"/>
      <c r="K282" s="8"/>
      <c r="M282" s="8"/>
      <c r="O282" s="8"/>
      <c r="Q282" s="8"/>
      <c r="S282" s="8"/>
      <c r="V282" s="8"/>
      <c r="X282" s="31"/>
      <c r="Y282" s="31" t="str">
        <f>IF($X282="","",SUMIFS(TARIFF_PROFILES!$D:$D,TARIFF_PROFILES!$A:$A,$X282))</f>
        <v/>
      </c>
      <c r="Z282" s="31" t="str">
        <f>IF($X282="","",SUMIFS(TARIFF_PROFILES!$E:$E,TARIFF_PROFILES!$A:$A,$X282))</f>
        <v/>
      </c>
      <c r="AA282" s="31" t="str">
        <f>IF($X282="","",SUMIFS(TARIFF_PROFILES!$F:$F,TARIFF_PROFILES!$A:$A,$X282))</f>
        <v/>
      </c>
      <c r="AB282" s="31" t="str">
        <f>IF($X282="","",SUMIFS(TARIFF_PROFILES!$G:$G,TARIFF_PROFILES!$A:$A,$X282))</f>
        <v/>
      </c>
      <c r="AC282" s="31" t="str">
        <f>IF($X282="","",SUMIFS(TARIFF_PROFILES!$H:$H,TARIFF_PROFILES!$A:$A,$X282))</f>
        <v/>
      </c>
      <c r="AD282" s="31" t="str">
        <f t="array" ref="AD282">IF($X282="","",INDEX(TARIFF_PROFILES!$J:$J,MATCH($X282,TARIFF_PROFILES!$A:$A,0)))</f>
        <v/>
      </c>
      <c r="AE282" s="31" t="str">
        <f t="array" ref="AE282">IF($X282="","",INDEX(TARIFF_PROFILES!$K:$K,MATCH($X282,TARIFF_PROFILES!$A:$A,0)))</f>
        <v/>
      </c>
      <c r="AG282" s="8"/>
      <c r="AH282" s="8" t="str">
        <f>IF($AG282="","",SUMIFS(OPERATING_COEFFS!$C:$C,OPERATING_COEFFS!$A:$A,"DistanceClass",OPERATING_COEFFS!$B:$B,$AG282))</f>
        <v/>
      </c>
      <c r="AI282" s="8"/>
      <c r="AJ282" s="8" t="str">
        <f>IF($AI282="","",SUMIFS(OPERATING_COEFFS!$C:$C,OPERATING_COEFFS!$A:$A,"SeasonClass",OPERATING_COEFFS!$B:$B,$AI282))</f>
        <v/>
      </c>
      <c r="AK282" s="8"/>
      <c r="AL282" s="8" t="str">
        <f>IF($AK282="","",SUMIFS(OPERATING_COEFFS!$C:$C,OPERATING_COEFFS!$A:$A,"UrgencyClass",OPERATING_COEFFS!$B:$B,$AK282))</f>
        <v/>
      </c>
      <c r="AM282" s="8"/>
      <c r="AN282" s="8" t="str">
        <f t="array" ref="AN282">IF($AM282="","",INDEX(TAX_MODES!$B:$B,MATCH($AM282,TAX_MODES!$A:$A,0)))</f>
        <v/>
      </c>
    </row>
    <row r="283" ht="14.25" customHeight="1">
      <c r="C283" s="8"/>
      <c r="E283" s="8"/>
      <c r="G283" s="8"/>
      <c r="I283" s="8"/>
      <c r="K283" s="8"/>
      <c r="M283" s="8"/>
      <c r="O283" s="8"/>
      <c r="Q283" s="8"/>
      <c r="S283" s="8"/>
      <c r="V283" s="8"/>
      <c r="X283" s="31"/>
      <c r="Y283" s="31" t="str">
        <f>IF($X283="","",SUMIFS(TARIFF_PROFILES!$D:$D,TARIFF_PROFILES!$A:$A,$X283))</f>
        <v/>
      </c>
      <c r="Z283" s="31" t="str">
        <f>IF($X283="","",SUMIFS(TARIFF_PROFILES!$E:$E,TARIFF_PROFILES!$A:$A,$X283))</f>
        <v/>
      </c>
      <c r="AA283" s="31" t="str">
        <f>IF($X283="","",SUMIFS(TARIFF_PROFILES!$F:$F,TARIFF_PROFILES!$A:$A,$X283))</f>
        <v/>
      </c>
      <c r="AB283" s="31" t="str">
        <f>IF($X283="","",SUMIFS(TARIFF_PROFILES!$G:$G,TARIFF_PROFILES!$A:$A,$X283))</f>
        <v/>
      </c>
      <c r="AC283" s="31" t="str">
        <f>IF($X283="","",SUMIFS(TARIFF_PROFILES!$H:$H,TARIFF_PROFILES!$A:$A,$X283))</f>
        <v/>
      </c>
      <c r="AD283" s="31" t="str">
        <f t="array" ref="AD283">IF($X283="","",INDEX(TARIFF_PROFILES!$J:$J,MATCH($X283,TARIFF_PROFILES!$A:$A,0)))</f>
        <v/>
      </c>
      <c r="AE283" s="31" t="str">
        <f t="array" ref="AE283">IF($X283="","",INDEX(TARIFF_PROFILES!$K:$K,MATCH($X283,TARIFF_PROFILES!$A:$A,0)))</f>
        <v/>
      </c>
      <c r="AG283" s="8"/>
      <c r="AH283" s="8" t="str">
        <f>IF($AG283="","",SUMIFS(OPERATING_COEFFS!$C:$C,OPERATING_COEFFS!$A:$A,"DistanceClass",OPERATING_COEFFS!$B:$B,$AG283))</f>
        <v/>
      </c>
      <c r="AI283" s="8"/>
      <c r="AJ283" s="8" t="str">
        <f>IF($AI283="","",SUMIFS(OPERATING_COEFFS!$C:$C,OPERATING_COEFFS!$A:$A,"SeasonClass",OPERATING_COEFFS!$B:$B,$AI283))</f>
        <v/>
      </c>
      <c r="AK283" s="8"/>
      <c r="AL283" s="8" t="str">
        <f>IF($AK283="","",SUMIFS(OPERATING_COEFFS!$C:$C,OPERATING_COEFFS!$A:$A,"UrgencyClass",OPERATING_COEFFS!$B:$B,$AK283))</f>
        <v/>
      </c>
      <c r="AM283" s="8"/>
      <c r="AN283" s="8" t="str">
        <f t="array" ref="AN283">IF($AM283="","",INDEX(TAX_MODES!$B:$B,MATCH($AM283,TAX_MODES!$A:$A,0)))</f>
        <v/>
      </c>
    </row>
    <row r="284" ht="14.25" customHeight="1">
      <c r="C284" s="8"/>
      <c r="E284" s="8"/>
      <c r="G284" s="8"/>
      <c r="I284" s="8"/>
      <c r="K284" s="8"/>
      <c r="M284" s="8"/>
      <c r="O284" s="8"/>
      <c r="Q284" s="8"/>
      <c r="S284" s="8"/>
      <c r="V284" s="8"/>
      <c r="X284" s="31"/>
      <c r="Y284" s="31" t="str">
        <f>IF($X284="","",SUMIFS(TARIFF_PROFILES!$D:$D,TARIFF_PROFILES!$A:$A,$X284))</f>
        <v/>
      </c>
      <c r="Z284" s="31" t="str">
        <f>IF($X284="","",SUMIFS(TARIFF_PROFILES!$E:$E,TARIFF_PROFILES!$A:$A,$X284))</f>
        <v/>
      </c>
      <c r="AA284" s="31" t="str">
        <f>IF($X284="","",SUMIFS(TARIFF_PROFILES!$F:$F,TARIFF_PROFILES!$A:$A,$X284))</f>
        <v/>
      </c>
      <c r="AB284" s="31" t="str">
        <f>IF($X284="","",SUMIFS(TARIFF_PROFILES!$G:$G,TARIFF_PROFILES!$A:$A,$X284))</f>
        <v/>
      </c>
      <c r="AC284" s="31" t="str">
        <f>IF($X284="","",SUMIFS(TARIFF_PROFILES!$H:$H,TARIFF_PROFILES!$A:$A,$X284))</f>
        <v/>
      </c>
      <c r="AD284" s="31" t="str">
        <f t="array" ref="AD284">IF($X284="","",INDEX(TARIFF_PROFILES!$J:$J,MATCH($X284,TARIFF_PROFILES!$A:$A,0)))</f>
        <v/>
      </c>
      <c r="AE284" s="31" t="str">
        <f t="array" ref="AE284">IF($X284="","",INDEX(TARIFF_PROFILES!$K:$K,MATCH($X284,TARIFF_PROFILES!$A:$A,0)))</f>
        <v/>
      </c>
      <c r="AG284" s="8"/>
      <c r="AH284" s="8" t="str">
        <f>IF($AG284="","",SUMIFS(OPERATING_COEFFS!$C:$C,OPERATING_COEFFS!$A:$A,"DistanceClass",OPERATING_COEFFS!$B:$B,$AG284))</f>
        <v/>
      </c>
      <c r="AI284" s="8"/>
      <c r="AJ284" s="8" t="str">
        <f>IF($AI284="","",SUMIFS(OPERATING_COEFFS!$C:$C,OPERATING_COEFFS!$A:$A,"SeasonClass",OPERATING_COEFFS!$B:$B,$AI284))</f>
        <v/>
      </c>
      <c r="AK284" s="8"/>
      <c r="AL284" s="8" t="str">
        <f>IF($AK284="","",SUMIFS(OPERATING_COEFFS!$C:$C,OPERATING_COEFFS!$A:$A,"UrgencyClass",OPERATING_COEFFS!$B:$B,$AK284))</f>
        <v/>
      </c>
      <c r="AM284" s="8"/>
      <c r="AN284" s="8" t="str">
        <f t="array" ref="AN284">IF($AM284="","",INDEX(TAX_MODES!$B:$B,MATCH($AM284,TAX_MODES!$A:$A,0)))</f>
        <v/>
      </c>
    </row>
    <row r="285" ht="14.25" customHeight="1">
      <c r="C285" s="8"/>
      <c r="E285" s="8"/>
      <c r="G285" s="8"/>
      <c r="I285" s="8"/>
      <c r="K285" s="8"/>
      <c r="M285" s="8"/>
      <c r="O285" s="8"/>
      <c r="Q285" s="8"/>
      <c r="S285" s="8"/>
      <c r="V285" s="8"/>
      <c r="X285" s="31"/>
      <c r="Y285" s="31" t="str">
        <f>IF($X285="","",SUMIFS(TARIFF_PROFILES!$D:$D,TARIFF_PROFILES!$A:$A,$X285))</f>
        <v/>
      </c>
      <c r="Z285" s="31" t="str">
        <f>IF($X285="","",SUMIFS(TARIFF_PROFILES!$E:$E,TARIFF_PROFILES!$A:$A,$X285))</f>
        <v/>
      </c>
      <c r="AA285" s="31" t="str">
        <f>IF($X285="","",SUMIFS(TARIFF_PROFILES!$F:$F,TARIFF_PROFILES!$A:$A,$X285))</f>
        <v/>
      </c>
      <c r="AB285" s="31" t="str">
        <f>IF($X285="","",SUMIFS(TARIFF_PROFILES!$G:$G,TARIFF_PROFILES!$A:$A,$X285))</f>
        <v/>
      </c>
      <c r="AC285" s="31" t="str">
        <f>IF($X285="","",SUMIFS(TARIFF_PROFILES!$H:$H,TARIFF_PROFILES!$A:$A,$X285))</f>
        <v/>
      </c>
      <c r="AD285" s="31" t="str">
        <f t="array" ref="AD285">IF($X285="","",INDEX(TARIFF_PROFILES!$J:$J,MATCH($X285,TARIFF_PROFILES!$A:$A,0)))</f>
        <v/>
      </c>
      <c r="AE285" s="31" t="str">
        <f t="array" ref="AE285">IF($X285="","",INDEX(TARIFF_PROFILES!$K:$K,MATCH($X285,TARIFF_PROFILES!$A:$A,0)))</f>
        <v/>
      </c>
      <c r="AG285" s="8"/>
      <c r="AH285" s="8" t="str">
        <f>IF($AG285="","",SUMIFS(OPERATING_COEFFS!$C:$C,OPERATING_COEFFS!$A:$A,"DistanceClass",OPERATING_COEFFS!$B:$B,$AG285))</f>
        <v/>
      </c>
      <c r="AI285" s="8"/>
      <c r="AJ285" s="8" t="str">
        <f>IF($AI285="","",SUMIFS(OPERATING_COEFFS!$C:$C,OPERATING_COEFFS!$A:$A,"SeasonClass",OPERATING_COEFFS!$B:$B,$AI285))</f>
        <v/>
      </c>
      <c r="AK285" s="8"/>
      <c r="AL285" s="8" t="str">
        <f>IF($AK285="","",SUMIFS(OPERATING_COEFFS!$C:$C,OPERATING_COEFFS!$A:$A,"UrgencyClass",OPERATING_COEFFS!$B:$B,$AK285))</f>
        <v/>
      </c>
      <c r="AM285" s="8"/>
      <c r="AN285" s="8" t="str">
        <f t="array" ref="AN285">IF($AM285="","",INDEX(TAX_MODES!$B:$B,MATCH($AM285,TAX_MODES!$A:$A,0)))</f>
        <v/>
      </c>
    </row>
    <row r="286" ht="14.25" customHeight="1">
      <c r="C286" s="8"/>
      <c r="E286" s="8"/>
      <c r="G286" s="8"/>
      <c r="I286" s="8"/>
      <c r="K286" s="8"/>
      <c r="M286" s="8"/>
      <c r="O286" s="8"/>
      <c r="Q286" s="8"/>
      <c r="S286" s="8"/>
      <c r="V286" s="8"/>
      <c r="X286" s="31"/>
      <c r="Y286" s="31" t="str">
        <f>IF($X286="","",SUMIFS(TARIFF_PROFILES!$D:$D,TARIFF_PROFILES!$A:$A,$X286))</f>
        <v/>
      </c>
      <c r="Z286" s="31" t="str">
        <f>IF($X286="","",SUMIFS(TARIFF_PROFILES!$E:$E,TARIFF_PROFILES!$A:$A,$X286))</f>
        <v/>
      </c>
      <c r="AA286" s="31" t="str">
        <f>IF($X286="","",SUMIFS(TARIFF_PROFILES!$F:$F,TARIFF_PROFILES!$A:$A,$X286))</f>
        <v/>
      </c>
      <c r="AB286" s="31" t="str">
        <f>IF($X286="","",SUMIFS(TARIFF_PROFILES!$G:$G,TARIFF_PROFILES!$A:$A,$X286))</f>
        <v/>
      </c>
      <c r="AC286" s="31" t="str">
        <f>IF($X286="","",SUMIFS(TARIFF_PROFILES!$H:$H,TARIFF_PROFILES!$A:$A,$X286))</f>
        <v/>
      </c>
      <c r="AD286" s="31" t="str">
        <f t="array" ref="AD286">IF($X286="","",INDEX(TARIFF_PROFILES!$J:$J,MATCH($X286,TARIFF_PROFILES!$A:$A,0)))</f>
        <v/>
      </c>
      <c r="AE286" s="31" t="str">
        <f t="array" ref="AE286">IF($X286="","",INDEX(TARIFF_PROFILES!$K:$K,MATCH($X286,TARIFF_PROFILES!$A:$A,0)))</f>
        <v/>
      </c>
      <c r="AG286" s="8"/>
      <c r="AH286" s="8" t="str">
        <f>IF($AG286="","",SUMIFS(OPERATING_COEFFS!$C:$C,OPERATING_COEFFS!$A:$A,"DistanceClass",OPERATING_COEFFS!$B:$B,$AG286))</f>
        <v/>
      </c>
      <c r="AI286" s="8"/>
      <c r="AJ286" s="8" t="str">
        <f>IF($AI286="","",SUMIFS(OPERATING_COEFFS!$C:$C,OPERATING_COEFFS!$A:$A,"SeasonClass",OPERATING_COEFFS!$B:$B,$AI286))</f>
        <v/>
      </c>
      <c r="AK286" s="8"/>
      <c r="AL286" s="8" t="str">
        <f>IF($AK286="","",SUMIFS(OPERATING_COEFFS!$C:$C,OPERATING_COEFFS!$A:$A,"UrgencyClass",OPERATING_COEFFS!$B:$B,$AK286))</f>
        <v/>
      </c>
      <c r="AM286" s="8"/>
      <c r="AN286" s="8" t="str">
        <f t="array" ref="AN286">IF($AM286="","",INDEX(TAX_MODES!$B:$B,MATCH($AM286,TAX_MODES!$A:$A,0)))</f>
        <v/>
      </c>
    </row>
    <row r="287" ht="14.25" customHeight="1">
      <c r="C287" s="8"/>
      <c r="E287" s="8"/>
      <c r="G287" s="8"/>
      <c r="I287" s="8"/>
      <c r="K287" s="8"/>
      <c r="M287" s="8"/>
      <c r="O287" s="8"/>
      <c r="Q287" s="8"/>
      <c r="S287" s="8"/>
      <c r="V287" s="8"/>
      <c r="X287" s="31"/>
      <c r="Y287" s="31" t="str">
        <f>IF($X287="","",SUMIFS(TARIFF_PROFILES!$D:$D,TARIFF_PROFILES!$A:$A,$X287))</f>
        <v/>
      </c>
      <c r="Z287" s="31" t="str">
        <f>IF($X287="","",SUMIFS(TARIFF_PROFILES!$E:$E,TARIFF_PROFILES!$A:$A,$X287))</f>
        <v/>
      </c>
      <c r="AA287" s="31" t="str">
        <f>IF($X287="","",SUMIFS(TARIFF_PROFILES!$F:$F,TARIFF_PROFILES!$A:$A,$X287))</f>
        <v/>
      </c>
      <c r="AB287" s="31" t="str">
        <f>IF($X287="","",SUMIFS(TARIFF_PROFILES!$G:$G,TARIFF_PROFILES!$A:$A,$X287))</f>
        <v/>
      </c>
      <c r="AC287" s="31" t="str">
        <f>IF($X287="","",SUMIFS(TARIFF_PROFILES!$H:$H,TARIFF_PROFILES!$A:$A,$X287))</f>
        <v/>
      </c>
      <c r="AD287" s="31" t="str">
        <f t="array" ref="AD287">IF($X287="","",INDEX(TARIFF_PROFILES!$J:$J,MATCH($X287,TARIFF_PROFILES!$A:$A,0)))</f>
        <v/>
      </c>
      <c r="AE287" s="31" t="str">
        <f t="array" ref="AE287">IF($X287="","",INDEX(TARIFF_PROFILES!$K:$K,MATCH($X287,TARIFF_PROFILES!$A:$A,0)))</f>
        <v/>
      </c>
      <c r="AG287" s="8"/>
      <c r="AH287" s="8" t="str">
        <f>IF($AG287="","",SUMIFS(OPERATING_COEFFS!$C:$C,OPERATING_COEFFS!$A:$A,"DistanceClass",OPERATING_COEFFS!$B:$B,$AG287))</f>
        <v/>
      </c>
      <c r="AI287" s="8"/>
      <c r="AJ287" s="8" t="str">
        <f>IF($AI287="","",SUMIFS(OPERATING_COEFFS!$C:$C,OPERATING_COEFFS!$A:$A,"SeasonClass",OPERATING_COEFFS!$B:$B,$AI287))</f>
        <v/>
      </c>
      <c r="AK287" s="8"/>
      <c r="AL287" s="8" t="str">
        <f>IF($AK287="","",SUMIFS(OPERATING_COEFFS!$C:$C,OPERATING_COEFFS!$A:$A,"UrgencyClass",OPERATING_COEFFS!$B:$B,$AK287))</f>
        <v/>
      </c>
      <c r="AM287" s="8"/>
      <c r="AN287" s="8" t="str">
        <f t="array" ref="AN287">IF($AM287="","",INDEX(TAX_MODES!$B:$B,MATCH($AM287,TAX_MODES!$A:$A,0)))</f>
        <v/>
      </c>
    </row>
    <row r="288" ht="14.25" customHeight="1">
      <c r="C288" s="8"/>
      <c r="E288" s="8"/>
      <c r="G288" s="8"/>
      <c r="I288" s="8"/>
      <c r="K288" s="8"/>
      <c r="M288" s="8"/>
      <c r="O288" s="8"/>
      <c r="Q288" s="8"/>
      <c r="S288" s="8"/>
      <c r="V288" s="8"/>
      <c r="X288" s="31"/>
      <c r="Y288" s="31" t="str">
        <f>IF($X288="","",SUMIFS(TARIFF_PROFILES!$D:$D,TARIFF_PROFILES!$A:$A,$X288))</f>
        <v/>
      </c>
      <c r="Z288" s="31" t="str">
        <f>IF($X288="","",SUMIFS(TARIFF_PROFILES!$E:$E,TARIFF_PROFILES!$A:$A,$X288))</f>
        <v/>
      </c>
      <c r="AA288" s="31" t="str">
        <f>IF($X288="","",SUMIFS(TARIFF_PROFILES!$F:$F,TARIFF_PROFILES!$A:$A,$X288))</f>
        <v/>
      </c>
      <c r="AB288" s="31" t="str">
        <f>IF($X288="","",SUMIFS(TARIFF_PROFILES!$G:$G,TARIFF_PROFILES!$A:$A,$X288))</f>
        <v/>
      </c>
      <c r="AC288" s="31" t="str">
        <f>IF($X288="","",SUMIFS(TARIFF_PROFILES!$H:$H,TARIFF_PROFILES!$A:$A,$X288))</f>
        <v/>
      </c>
      <c r="AD288" s="31" t="str">
        <f t="array" ref="AD288">IF($X288="","",INDEX(TARIFF_PROFILES!$J:$J,MATCH($X288,TARIFF_PROFILES!$A:$A,0)))</f>
        <v/>
      </c>
      <c r="AE288" s="31" t="str">
        <f t="array" ref="AE288">IF($X288="","",INDEX(TARIFF_PROFILES!$K:$K,MATCH($X288,TARIFF_PROFILES!$A:$A,0)))</f>
        <v/>
      </c>
      <c r="AG288" s="8"/>
      <c r="AH288" s="8" t="str">
        <f>IF($AG288="","",SUMIFS(OPERATING_COEFFS!$C:$C,OPERATING_COEFFS!$A:$A,"DistanceClass",OPERATING_COEFFS!$B:$B,$AG288))</f>
        <v/>
      </c>
      <c r="AI288" s="8"/>
      <c r="AJ288" s="8" t="str">
        <f>IF($AI288="","",SUMIFS(OPERATING_COEFFS!$C:$C,OPERATING_COEFFS!$A:$A,"SeasonClass",OPERATING_COEFFS!$B:$B,$AI288))</f>
        <v/>
      </c>
      <c r="AK288" s="8"/>
      <c r="AL288" s="8" t="str">
        <f>IF($AK288="","",SUMIFS(OPERATING_COEFFS!$C:$C,OPERATING_COEFFS!$A:$A,"UrgencyClass",OPERATING_COEFFS!$B:$B,$AK288))</f>
        <v/>
      </c>
      <c r="AM288" s="8"/>
      <c r="AN288" s="8" t="str">
        <f t="array" ref="AN288">IF($AM288="","",INDEX(TAX_MODES!$B:$B,MATCH($AM288,TAX_MODES!$A:$A,0)))</f>
        <v/>
      </c>
    </row>
    <row r="289" ht="14.25" customHeight="1">
      <c r="C289" s="8"/>
      <c r="E289" s="8"/>
      <c r="G289" s="8"/>
      <c r="I289" s="8"/>
      <c r="K289" s="8"/>
      <c r="M289" s="8"/>
      <c r="O289" s="8"/>
      <c r="Q289" s="8"/>
      <c r="S289" s="8"/>
      <c r="V289" s="8"/>
      <c r="X289" s="31"/>
      <c r="Y289" s="31" t="str">
        <f>IF($X289="","",SUMIFS(TARIFF_PROFILES!$D:$D,TARIFF_PROFILES!$A:$A,$X289))</f>
        <v/>
      </c>
      <c r="Z289" s="31" t="str">
        <f>IF($X289="","",SUMIFS(TARIFF_PROFILES!$E:$E,TARIFF_PROFILES!$A:$A,$X289))</f>
        <v/>
      </c>
      <c r="AA289" s="31" t="str">
        <f>IF($X289="","",SUMIFS(TARIFF_PROFILES!$F:$F,TARIFF_PROFILES!$A:$A,$X289))</f>
        <v/>
      </c>
      <c r="AB289" s="31" t="str">
        <f>IF($X289="","",SUMIFS(TARIFF_PROFILES!$G:$G,TARIFF_PROFILES!$A:$A,$X289))</f>
        <v/>
      </c>
      <c r="AC289" s="31" t="str">
        <f>IF($X289="","",SUMIFS(TARIFF_PROFILES!$H:$H,TARIFF_PROFILES!$A:$A,$X289))</f>
        <v/>
      </c>
      <c r="AD289" s="31" t="str">
        <f t="array" ref="AD289">IF($X289="","",INDEX(TARIFF_PROFILES!$J:$J,MATCH($X289,TARIFF_PROFILES!$A:$A,0)))</f>
        <v/>
      </c>
      <c r="AE289" s="31" t="str">
        <f t="array" ref="AE289">IF($X289="","",INDEX(TARIFF_PROFILES!$K:$K,MATCH($X289,TARIFF_PROFILES!$A:$A,0)))</f>
        <v/>
      </c>
      <c r="AG289" s="8"/>
      <c r="AH289" s="8" t="str">
        <f>IF($AG289="","",SUMIFS(OPERATING_COEFFS!$C:$C,OPERATING_COEFFS!$A:$A,"DistanceClass",OPERATING_COEFFS!$B:$B,$AG289))</f>
        <v/>
      </c>
      <c r="AI289" s="8"/>
      <c r="AJ289" s="8" t="str">
        <f>IF($AI289="","",SUMIFS(OPERATING_COEFFS!$C:$C,OPERATING_COEFFS!$A:$A,"SeasonClass",OPERATING_COEFFS!$B:$B,$AI289))</f>
        <v/>
      </c>
      <c r="AK289" s="8"/>
      <c r="AL289" s="8" t="str">
        <f>IF($AK289="","",SUMIFS(OPERATING_COEFFS!$C:$C,OPERATING_COEFFS!$A:$A,"UrgencyClass",OPERATING_COEFFS!$B:$B,$AK289))</f>
        <v/>
      </c>
      <c r="AM289" s="8"/>
      <c r="AN289" s="8" t="str">
        <f t="array" ref="AN289">IF($AM289="","",INDEX(TAX_MODES!$B:$B,MATCH($AM289,TAX_MODES!$A:$A,0)))</f>
        <v/>
      </c>
    </row>
    <row r="290" ht="14.25" customHeight="1">
      <c r="C290" s="8"/>
      <c r="E290" s="8"/>
      <c r="G290" s="8"/>
      <c r="I290" s="8"/>
      <c r="K290" s="8"/>
      <c r="M290" s="8"/>
      <c r="O290" s="8"/>
      <c r="Q290" s="8"/>
      <c r="S290" s="8"/>
      <c r="V290" s="8"/>
      <c r="X290" s="31"/>
      <c r="Y290" s="31" t="str">
        <f>IF($X290="","",SUMIFS(TARIFF_PROFILES!$D:$D,TARIFF_PROFILES!$A:$A,$X290))</f>
        <v/>
      </c>
      <c r="Z290" s="31" t="str">
        <f>IF($X290="","",SUMIFS(TARIFF_PROFILES!$E:$E,TARIFF_PROFILES!$A:$A,$X290))</f>
        <v/>
      </c>
      <c r="AA290" s="31" t="str">
        <f>IF($X290="","",SUMIFS(TARIFF_PROFILES!$F:$F,TARIFF_PROFILES!$A:$A,$X290))</f>
        <v/>
      </c>
      <c r="AB290" s="31" t="str">
        <f>IF($X290="","",SUMIFS(TARIFF_PROFILES!$G:$G,TARIFF_PROFILES!$A:$A,$X290))</f>
        <v/>
      </c>
      <c r="AC290" s="31" t="str">
        <f>IF($X290="","",SUMIFS(TARIFF_PROFILES!$H:$H,TARIFF_PROFILES!$A:$A,$X290))</f>
        <v/>
      </c>
      <c r="AD290" s="31" t="str">
        <f t="array" ref="AD290">IF($X290="","",INDEX(TARIFF_PROFILES!$J:$J,MATCH($X290,TARIFF_PROFILES!$A:$A,0)))</f>
        <v/>
      </c>
      <c r="AE290" s="31" t="str">
        <f t="array" ref="AE290">IF($X290="","",INDEX(TARIFF_PROFILES!$K:$K,MATCH($X290,TARIFF_PROFILES!$A:$A,0)))</f>
        <v/>
      </c>
      <c r="AG290" s="8"/>
      <c r="AH290" s="8" t="str">
        <f>IF($AG290="","",SUMIFS(OPERATING_COEFFS!$C:$C,OPERATING_COEFFS!$A:$A,"DistanceClass",OPERATING_COEFFS!$B:$B,$AG290))</f>
        <v/>
      </c>
      <c r="AI290" s="8"/>
      <c r="AJ290" s="8" t="str">
        <f>IF($AI290="","",SUMIFS(OPERATING_COEFFS!$C:$C,OPERATING_COEFFS!$A:$A,"SeasonClass",OPERATING_COEFFS!$B:$B,$AI290))</f>
        <v/>
      </c>
      <c r="AK290" s="8"/>
      <c r="AL290" s="8" t="str">
        <f>IF($AK290="","",SUMIFS(OPERATING_COEFFS!$C:$C,OPERATING_COEFFS!$A:$A,"UrgencyClass",OPERATING_COEFFS!$B:$B,$AK290))</f>
        <v/>
      </c>
      <c r="AM290" s="8"/>
      <c r="AN290" s="8" t="str">
        <f t="array" ref="AN290">IF($AM290="","",INDEX(TAX_MODES!$B:$B,MATCH($AM290,TAX_MODES!$A:$A,0)))</f>
        <v/>
      </c>
    </row>
    <row r="291" ht="14.25" customHeight="1">
      <c r="C291" s="8"/>
      <c r="E291" s="8"/>
      <c r="G291" s="8"/>
      <c r="I291" s="8"/>
      <c r="K291" s="8"/>
      <c r="M291" s="8"/>
      <c r="O291" s="8"/>
      <c r="Q291" s="8"/>
      <c r="S291" s="8"/>
      <c r="V291" s="8"/>
      <c r="X291" s="31"/>
      <c r="Y291" s="31" t="str">
        <f>IF($X291="","",SUMIFS(TARIFF_PROFILES!$D:$D,TARIFF_PROFILES!$A:$A,$X291))</f>
        <v/>
      </c>
      <c r="Z291" s="31" t="str">
        <f>IF($X291="","",SUMIFS(TARIFF_PROFILES!$E:$E,TARIFF_PROFILES!$A:$A,$X291))</f>
        <v/>
      </c>
      <c r="AA291" s="31" t="str">
        <f>IF($X291="","",SUMIFS(TARIFF_PROFILES!$F:$F,TARIFF_PROFILES!$A:$A,$X291))</f>
        <v/>
      </c>
      <c r="AB291" s="31" t="str">
        <f>IF($X291="","",SUMIFS(TARIFF_PROFILES!$G:$G,TARIFF_PROFILES!$A:$A,$X291))</f>
        <v/>
      </c>
      <c r="AC291" s="31" t="str">
        <f>IF($X291="","",SUMIFS(TARIFF_PROFILES!$H:$H,TARIFF_PROFILES!$A:$A,$X291))</f>
        <v/>
      </c>
      <c r="AD291" s="31" t="str">
        <f t="array" ref="AD291">IF($X291="","",INDEX(TARIFF_PROFILES!$J:$J,MATCH($X291,TARIFF_PROFILES!$A:$A,0)))</f>
        <v/>
      </c>
      <c r="AE291" s="31" t="str">
        <f t="array" ref="AE291">IF($X291="","",INDEX(TARIFF_PROFILES!$K:$K,MATCH($X291,TARIFF_PROFILES!$A:$A,0)))</f>
        <v/>
      </c>
      <c r="AG291" s="8"/>
      <c r="AH291" s="8" t="str">
        <f>IF($AG291="","",SUMIFS(OPERATING_COEFFS!$C:$C,OPERATING_COEFFS!$A:$A,"DistanceClass",OPERATING_COEFFS!$B:$B,$AG291))</f>
        <v/>
      </c>
      <c r="AI291" s="8"/>
      <c r="AJ291" s="8" t="str">
        <f>IF($AI291="","",SUMIFS(OPERATING_COEFFS!$C:$C,OPERATING_COEFFS!$A:$A,"SeasonClass",OPERATING_COEFFS!$B:$B,$AI291))</f>
        <v/>
      </c>
      <c r="AK291" s="8"/>
      <c r="AL291" s="8" t="str">
        <f>IF($AK291="","",SUMIFS(OPERATING_COEFFS!$C:$C,OPERATING_COEFFS!$A:$A,"UrgencyClass",OPERATING_COEFFS!$B:$B,$AK291))</f>
        <v/>
      </c>
      <c r="AM291" s="8"/>
      <c r="AN291" s="8" t="str">
        <f t="array" ref="AN291">IF($AM291="","",INDEX(TAX_MODES!$B:$B,MATCH($AM291,TAX_MODES!$A:$A,0)))</f>
        <v/>
      </c>
    </row>
    <row r="292" ht="14.25" customHeight="1">
      <c r="C292" s="8"/>
      <c r="E292" s="8"/>
      <c r="G292" s="8"/>
      <c r="I292" s="8"/>
      <c r="K292" s="8"/>
      <c r="M292" s="8"/>
      <c r="O292" s="8"/>
      <c r="Q292" s="8"/>
      <c r="S292" s="8"/>
      <c r="V292" s="8"/>
      <c r="X292" s="31"/>
      <c r="Y292" s="31" t="str">
        <f>IF($X292="","",SUMIFS(TARIFF_PROFILES!$D:$D,TARIFF_PROFILES!$A:$A,$X292))</f>
        <v/>
      </c>
      <c r="Z292" s="31" t="str">
        <f>IF($X292="","",SUMIFS(TARIFF_PROFILES!$E:$E,TARIFF_PROFILES!$A:$A,$X292))</f>
        <v/>
      </c>
      <c r="AA292" s="31" t="str">
        <f>IF($X292="","",SUMIFS(TARIFF_PROFILES!$F:$F,TARIFF_PROFILES!$A:$A,$X292))</f>
        <v/>
      </c>
      <c r="AB292" s="31" t="str">
        <f>IF($X292="","",SUMIFS(TARIFF_PROFILES!$G:$G,TARIFF_PROFILES!$A:$A,$X292))</f>
        <v/>
      </c>
      <c r="AC292" s="31" t="str">
        <f>IF($X292="","",SUMIFS(TARIFF_PROFILES!$H:$H,TARIFF_PROFILES!$A:$A,$X292))</f>
        <v/>
      </c>
      <c r="AD292" s="31" t="str">
        <f t="array" ref="AD292">IF($X292="","",INDEX(TARIFF_PROFILES!$J:$J,MATCH($X292,TARIFF_PROFILES!$A:$A,0)))</f>
        <v/>
      </c>
      <c r="AE292" s="31" t="str">
        <f t="array" ref="AE292">IF($X292="","",INDEX(TARIFF_PROFILES!$K:$K,MATCH($X292,TARIFF_PROFILES!$A:$A,0)))</f>
        <v/>
      </c>
      <c r="AG292" s="8"/>
      <c r="AH292" s="8" t="str">
        <f>IF($AG292="","",SUMIFS(OPERATING_COEFFS!$C:$C,OPERATING_COEFFS!$A:$A,"DistanceClass",OPERATING_COEFFS!$B:$B,$AG292))</f>
        <v/>
      </c>
      <c r="AI292" s="8"/>
      <c r="AJ292" s="8" t="str">
        <f>IF($AI292="","",SUMIFS(OPERATING_COEFFS!$C:$C,OPERATING_COEFFS!$A:$A,"SeasonClass",OPERATING_COEFFS!$B:$B,$AI292))</f>
        <v/>
      </c>
      <c r="AK292" s="8"/>
      <c r="AL292" s="8" t="str">
        <f>IF($AK292="","",SUMIFS(OPERATING_COEFFS!$C:$C,OPERATING_COEFFS!$A:$A,"UrgencyClass",OPERATING_COEFFS!$B:$B,$AK292))</f>
        <v/>
      </c>
      <c r="AM292" s="8"/>
      <c r="AN292" s="8" t="str">
        <f t="array" ref="AN292">IF($AM292="","",INDEX(TAX_MODES!$B:$B,MATCH($AM292,TAX_MODES!$A:$A,0)))</f>
        <v/>
      </c>
    </row>
    <row r="293" ht="14.25" customHeight="1">
      <c r="C293" s="8"/>
      <c r="E293" s="8"/>
      <c r="G293" s="8"/>
      <c r="I293" s="8"/>
      <c r="K293" s="8"/>
      <c r="M293" s="8"/>
      <c r="O293" s="8"/>
      <c r="Q293" s="8"/>
      <c r="S293" s="8"/>
      <c r="V293" s="8"/>
      <c r="X293" s="31"/>
      <c r="Y293" s="31" t="str">
        <f>IF($X293="","",SUMIFS(TARIFF_PROFILES!$D:$D,TARIFF_PROFILES!$A:$A,$X293))</f>
        <v/>
      </c>
      <c r="Z293" s="31" t="str">
        <f>IF($X293="","",SUMIFS(TARIFF_PROFILES!$E:$E,TARIFF_PROFILES!$A:$A,$X293))</f>
        <v/>
      </c>
      <c r="AA293" s="31" t="str">
        <f>IF($X293="","",SUMIFS(TARIFF_PROFILES!$F:$F,TARIFF_PROFILES!$A:$A,$X293))</f>
        <v/>
      </c>
      <c r="AB293" s="31" t="str">
        <f>IF($X293="","",SUMIFS(TARIFF_PROFILES!$G:$G,TARIFF_PROFILES!$A:$A,$X293))</f>
        <v/>
      </c>
      <c r="AC293" s="31" t="str">
        <f>IF($X293="","",SUMIFS(TARIFF_PROFILES!$H:$H,TARIFF_PROFILES!$A:$A,$X293))</f>
        <v/>
      </c>
      <c r="AD293" s="31" t="str">
        <f t="array" ref="AD293">IF($X293="","",INDEX(TARIFF_PROFILES!$J:$J,MATCH($X293,TARIFF_PROFILES!$A:$A,0)))</f>
        <v/>
      </c>
      <c r="AE293" s="31" t="str">
        <f t="array" ref="AE293">IF($X293="","",INDEX(TARIFF_PROFILES!$K:$K,MATCH($X293,TARIFF_PROFILES!$A:$A,0)))</f>
        <v/>
      </c>
      <c r="AG293" s="8"/>
      <c r="AH293" s="8" t="str">
        <f>IF($AG293="","",SUMIFS(OPERATING_COEFFS!$C:$C,OPERATING_COEFFS!$A:$A,"DistanceClass",OPERATING_COEFFS!$B:$B,$AG293))</f>
        <v/>
      </c>
      <c r="AI293" s="8"/>
      <c r="AJ293" s="8" t="str">
        <f>IF($AI293="","",SUMIFS(OPERATING_COEFFS!$C:$C,OPERATING_COEFFS!$A:$A,"SeasonClass",OPERATING_COEFFS!$B:$B,$AI293))</f>
        <v/>
      </c>
      <c r="AK293" s="8"/>
      <c r="AL293" s="8" t="str">
        <f>IF($AK293="","",SUMIFS(OPERATING_COEFFS!$C:$C,OPERATING_COEFFS!$A:$A,"UrgencyClass",OPERATING_COEFFS!$B:$B,$AK293))</f>
        <v/>
      </c>
      <c r="AM293" s="8"/>
      <c r="AN293" s="8" t="str">
        <f t="array" ref="AN293">IF($AM293="","",INDEX(TAX_MODES!$B:$B,MATCH($AM293,TAX_MODES!$A:$A,0)))</f>
        <v/>
      </c>
    </row>
    <row r="294" ht="14.25" customHeight="1">
      <c r="C294" s="8"/>
      <c r="E294" s="8"/>
      <c r="G294" s="8"/>
      <c r="I294" s="8"/>
      <c r="K294" s="8"/>
      <c r="M294" s="8"/>
      <c r="O294" s="8"/>
      <c r="Q294" s="8"/>
      <c r="S294" s="8"/>
      <c r="V294" s="8"/>
      <c r="X294" s="31"/>
      <c r="Y294" s="31" t="str">
        <f>IF($X294="","",SUMIFS(TARIFF_PROFILES!$D:$D,TARIFF_PROFILES!$A:$A,$X294))</f>
        <v/>
      </c>
      <c r="Z294" s="31" t="str">
        <f>IF($X294="","",SUMIFS(TARIFF_PROFILES!$E:$E,TARIFF_PROFILES!$A:$A,$X294))</f>
        <v/>
      </c>
      <c r="AA294" s="31" t="str">
        <f>IF($X294="","",SUMIFS(TARIFF_PROFILES!$F:$F,TARIFF_PROFILES!$A:$A,$X294))</f>
        <v/>
      </c>
      <c r="AB294" s="31" t="str">
        <f>IF($X294="","",SUMIFS(TARIFF_PROFILES!$G:$G,TARIFF_PROFILES!$A:$A,$X294))</f>
        <v/>
      </c>
      <c r="AC294" s="31" t="str">
        <f>IF($X294="","",SUMIFS(TARIFF_PROFILES!$H:$H,TARIFF_PROFILES!$A:$A,$X294))</f>
        <v/>
      </c>
      <c r="AD294" s="31" t="str">
        <f t="array" ref="AD294">IF($X294="","",INDEX(TARIFF_PROFILES!$J:$J,MATCH($X294,TARIFF_PROFILES!$A:$A,0)))</f>
        <v/>
      </c>
      <c r="AE294" s="31" t="str">
        <f t="array" ref="AE294">IF($X294="","",INDEX(TARIFF_PROFILES!$K:$K,MATCH($X294,TARIFF_PROFILES!$A:$A,0)))</f>
        <v/>
      </c>
      <c r="AG294" s="8"/>
      <c r="AH294" s="8" t="str">
        <f>IF($AG294="","",SUMIFS(OPERATING_COEFFS!$C:$C,OPERATING_COEFFS!$A:$A,"DistanceClass",OPERATING_COEFFS!$B:$B,$AG294))</f>
        <v/>
      </c>
      <c r="AI294" s="8"/>
      <c r="AJ294" s="8" t="str">
        <f>IF($AI294="","",SUMIFS(OPERATING_COEFFS!$C:$C,OPERATING_COEFFS!$A:$A,"SeasonClass",OPERATING_COEFFS!$B:$B,$AI294))</f>
        <v/>
      </c>
      <c r="AK294" s="8"/>
      <c r="AL294" s="8" t="str">
        <f>IF($AK294="","",SUMIFS(OPERATING_COEFFS!$C:$C,OPERATING_COEFFS!$A:$A,"UrgencyClass",OPERATING_COEFFS!$B:$B,$AK294))</f>
        <v/>
      </c>
      <c r="AM294" s="8"/>
      <c r="AN294" s="8" t="str">
        <f t="array" ref="AN294">IF($AM294="","",INDEX(TAX_MODES!$B:$B,MATCH($AM294,TAX_MODES!$A:$A,0)))</f>
        <v/>
      </c>
    </row>
    <row r="295" ht="14.25" customHeight="1">
      <c r="C295" s="8"/>
      <c r="E295" s="8"/>
      <c r="G295" s="8"/>
      <c r="I295" s="8"/>
      <c r="K295" s="8"/>
      <c r="M295" s="8"/>
      <c r="O295" s="8"/>
      <c r="Q295" s="8"/>
      <c r="S295" s="8"/>
      <c r="V295" s="8"/>
      <c r="X295" s="31"/>
      <c r="Y295" s="31" t="str">
        <f>IF($X295="","",SUMIFS(TARIFF_PROFILES!$D:$D,TARIFF_PROFILES!$A:$A,$X295))</f>
        <v/>
      </c>
      <c r="Z295" s="31" t="str">
        <f>IF($X295="","",SUMIFS(TARIFF_PROFILES!$E:$E,TARIFF_PROFILES!$A:$A,$X295))</f>
        <v/>
      </c>
      <c r="AA295" s="31" t="str">
        <f>IF($X295="","",SUMIFS(TARIFF_PROFILES!$F:$F,TARIFF_PROFILES!$A:$A,$X295))</f>
        <v/>
      </c>
      <c r="AB295" s="31" t="str">
        <f>IF($X295="","",SUMIFS(TARIFF_PROFILES!$G:$G,TARIFF_PROFILES!$A:$A,$X295))</f>
        <v/>
      </c>
      <c r="AC295" s="31" t="str">
        <f>IF($X295="","",SUMIFS(TARIFF_PROFILES!$H:$H,TARIFF_PROFILES!$A:$A,$X295))</f>
        <v/>
      </c>
      <c r="AD295" s="31" t="str">
        <f t="array" ref="AD295">IF($X295="","",INDEX(TARIFF_PROFILES!$J:$J,MATCH($X295,TARIFF_PROFILES!$A:$A,0)))</f>
        <v/>
      </c>
      <c r="AE295" s="31" t="str">
        <f t="array" ref="AE295">IF($X295="","",INDEX(TARIFF_PROFILES!$K:$K,MATCH($X295,TARIFF_PROFILES!$A:$A,0)))</f>
        <v/>
      </c>
      <c r="AG295" s="8"/>
      <c r="AH295" s="8" t="str">
        <f>IF($AG295="","",SUMIFS(OPERATING_COEFFS!$C:$C,OPERATING_COEFFS!$A:$A,"DistanceClass",OPERATING_COEFFS!$B:$B,$AG295))</f>
        <v/>
      </c>
      <c r="AI295" s="8"/>
      <c r="AJ295" s="8" t="str">
        <f>IF($AI295="","",SUMIFS(OPERATING_COEFFS!$C:$C,OPERATING_COEFFS!$A:$A,"SeasonClass",OPERATING_COEFFS!$B:$B,$AI295))</f>
        <v/>
      </c>
      <c r="AK295" s="8"/>
      <c r="AL295" s="8" t="str">
        <f>IF($AK295="","",SUMIFS(OPERATING_COEFFS!$C:$C,OPERATING_COEFFS!$A:$A,"UrgencyClass",OPERATING_COEFFS!$B:$B,$AK295))</f>
        <v/>
      </c>
      <c r="AM295" s="8"/>
      <c r="AN295" s="8" t="str">
        <f t="array" ref="AN295">IF($AM295="","",INDEX(TAX_MODES!$B:$B,MATCH($AM295,TAX_MODES!$A:$A,0)))</f>
        <v/>
      </c>
    </row>
    <row r="296" ht="14.25" customHeight="1">
      <c r="C296" s="8"/>
      <c r="E296" s="8"/>
      <c r="G296" s="8"/>
      <c r="I296" s="8"/>
      <c r="K296" s="8"/>
      <c r="M296" s="8"/>
      <c r="O296" s="8"/>
      <c r="Q296" s="8"/>
      <c r="S296" s="8"/>
      <c r="V296" s="8"/>
      <c r="X296" s="31"/>
      <c r="Y296" s="31" t="str">
        <f>IF($X296="","",SUMIFS(TARIFF_PROFILES!$D:$D,TARIFF_PROFILES!$A:$A,$X296))</f>
        <v/>
      </c>
      <c r="Z296" s="31" t="str">
        <f>IF($X296="","",SUMIFS(TARIFF_PROFILES!$E:$E,TARIFF_PROFILES!$A:$A,$X296))</f>
        <v/>
      </c>
      <c r="AA296" s="31" t="str">
        <f>IF($X296="","",SUMIFS(TARIFF_PROFILES!$F:$F,TARIFF_PROFILES!$A:$A,$X296))</f>
        <v/>
      </c>
      <c r="AB296" s="31" t="str">
        <f>IF($X296="","",SUMIFS(TARIFF_PROFILES!$G:$G,TARIFF_PROFILES!$A:$A,$X296))</f>
        <v/>
      </c>
      <c r="AC296" s="31" t="str">
        <f>IF($X296="","",SUMIFS(TARIFF_PROFILES!$H:$H,TARIFF_PROFILES!$A:$A,$X296))</f>
        <v/>
      </c>
      <c r="AD296" s="31" t="str">
        <f t="array" ref="AD296">IF($X296="","",INDEX(TARIFF_PROFILES!$J:$J,MATCH($X296,TARIFF_PROFILES!$A:$A,0)))</f>
        <v/>
      </c>
      <c r="AE296" s="31" t="str">
        <f t="array" ref="AE296">IF($X296="","",INDEX(TARIFF_PROFILES!$K:$K,MATCH($X296,TARIFF_PROFILES!$A:$A,0)))</f>
        <v/>
      </c>
      <c r="AG296" s="8"/>
      <c r="AH296" s="8" t="str">
        <f>IF($AG296="","",SUMIFS(OPERATING_COEFFS!$C:$C,OPERATING_COEFFS!$A:$A,"DistanceClass",OPERATING_COEFFS!$B:$B,$AG296))</f>
        <v/>
      </c>
      <c r="AI296" s="8"/>
      <c r="AJ296" s="8" t="str">
        <f>IF($AI296="","",SUMIFS(OPERATING_COEFFS!$C:$C,OPERATING_COEFFS!$A:$A,"SeasonClass",OPERATING_COEFFS!$B:$B,$AI296))</f>
        <v/>
      </c>
      <c r="AK296" s="8"/>
      <c r="AL296" s="8" t="str">
        <f>IF($AK296="","",SUMIFS(OPERATING_COEFFS!$C:$C,OPERATING_COEFFS!$A:$A,"UrgencyClass",OPERATING_COEFFS!$B:$B,$AK296))</f>
        <v/>
      </c>
      <c r="AM296" s="8"/>
      <c r="AN296" s="8" t="str">
        <f t="array" ref="AN296">IF($AM296="","",INDEX(TAX_MODES!$B:$B,MATCH($AM296,TAX_MODES!$A:$A,0)))</f>
        <v/>
      </c>
    </row>
    <row r="297" ht="14.25" customHeight="1">
      <c r="C297" s="8"/>
      <c r="E297" s="8"/>
      <c r="G297" s="8"/>
      <c r="I297" s="8"/>
      <c r="K297" s="8"/>
      <c r="M297" s="8"/>
      <c r="O297" s="8"/>
      <c r="Q297" s="8"/>
      <c r="S297" s="8"/>
      <c r="V297" s="8"/>
      <c r="X297" s="31"/>
      <c r="Y297" s="31" t="str">
        <f>IF($X297="","",SUMIFS(TARIFF_PROFILES!$D:$D,TARIFF_PROFILES!$A:$A,$X297))</f>
        <v/>
      </c>
      <c r="Z297" s="31" t="str">
        <f>IF($X297="","",SUMIFS(TARIFF_PROFILES!$E:$E,TARIFF_PROFILES!$A:$A,$X297))</f>
        <v/>
      </c>
      <c r="AA297" s="31" t="str">
        <f>IF($X297="","",SUMIFS(TARIFF_PROFILES!$F:$F,TARIFF_PROFILES!$A:$A,$X297))</f>
        <v/>
      </c>
      <c r="AB297" s="31" t="str">
        <f>IF($X297="","",SUMIFS(TARIFF_PROFILES!$G:$G,TARIFF_PROFILES!$A:$A,$X297))</f>
        <v/>
      </c>
      <c r="AC297" s="31" t="str">
        <f>IF($X297="","",SUMIFS(TARIFF_PROFILES!$H:$H,TARIFF_PROFILES!$A:$A,$X297))</f>
        <v/>
      </c>
      <c r="AD297" s="31" t="str">
        <f t="array" ref="AD297">IF($X297="","",INDEX(TARIFF_PROFILES!$J:$J,MATCH($X297,TARIFF_PROFILES!$A:$A,0)))</f>
        <v/>
      </c>
      <c r="AE297" s="31" t="str">
        <f t="array" ref="AE297">IF($X297="","",INDEX(TARIFF_PROFILES!$K:$K,MATCH($X297,TARIFF_PROFILES!$A:$A,0)))</f>
        <v/>
      </c>
      <c r="AG297" s="8"/>
      <c r="AH297" s="8" t="str">
        <f>IF($AG297="","",SUMIFS(OPERATING_COEFFS!$C:$C,OPERATING_COEFFS!$A:$A,"DistanceClass",OPERATING_COEFFS!$B:$B,$AG297))</f>
        <v/>
      </c>
      <c r="AI297" s="8"/>
      <c r="AJ297" s="8" t="str">
        <f>IF($AI297="","",SUMIFS(OPERATING_COEFFS!$C:$C,OPERATING_COEFFS!$A:$A,"SeasonClass",OPERATING_COEFFS!$B:$B,$AI297))</f>
        <v/>
      </c>
      <c r="AK297" s="8"/>
      <c r="AL297" s="8" t="str">
        <f>IF($AK297="","",SUMIFS(OPERATING_COEFFS!$C:$C,OPERATING_COEFFS!$A:$A,"UrgencyClass",OPERATING_COEFFS!$B:$B,$AK297))</f>
        <v/>
      </c>
      <c r="AM297" s="8"/>
      <c r="AN297" s="8" t="str">
        <f t="array" ref="AN297">IF($AM297="","",INDEX(TAX_MODES!$B:$B,MATCH($AM297,TAX_MODES!$A:$A,0)))</f>
        <v/>
      </c>
    </row>
    <row r="298" ht="14.25" customHeight="1">
      <c r="C298" s="8"/>
      <c r="E298" s="8"/>
      <c r="G298" s="8"/>
      <c r="I298" s="8"/>
      <c r="K298" s="8"/>
      <c r="M298" s="8"/>
      <c r="O298" s="8"/>
      <c r="Q298" s="8"/>
      <c r="S298" s="8"/>
      <c r="V298" s="8"/>
      <c r="X298" s="31"/>
      <c r="Y298" s="31" t="str">
        <f>IF($X298="","",SUMIFS(TARIFF_PROFILES!$D:$D,TARIFF_PROFILES!$A:$A,$X298))</f>
        <v/>
      </c>
      <c r="Z298" s="31" t="str">
        <f>IF($X298="","",SUMIFS(TARIFF_PROFILES!$E:$E,TARIFF_PROFILES!$A:$A,$X298))</f>
        <v/>
      </c>
      <c r="AA298" s="31" t="str">
        <f>IF($X298="","",SUMIFS(TARIFF_PROFILES!$F:$F,TARIFF_PROFILES!$A:$A,$X298))</f>
        <v/>
      </c>
      <c r="AB298" s="31" t="str">
        <f>IF($X298="","",SUMIFS(TARIFF_PROFILES!$G:$G,TARIFF_PROFILES!$A:$A,$X298))</f>
        <v/>
      </c>
      <c r="AC298" s="31" t="str">
        <f>IF($X298="","",SUMIFS(TARIFF_PROFILES!$H:$H,TARIFF_PROFILES!$A:$A,$X298))</f>
        <v/>
      </c>
      <c r="AD298" s="31" t="str">
        <f t="array" ref="AD298">IF($X298="","",INDEX(TARIFF_PROFILES!$J:$J,MATCH($X298,TARIFF_PROFILES!$A:$A,0)))</f>
        <v/>
      </c>
      <c r="AE298" s="31" t="str">
        <f t="array" ref="AE298">IF($X298="","",INDEX(TARIFF_PROFILES!$K:$K,MATCH($X298,TARIFF_PROFILES!$A:$A,0)))</f>
        <v/>
      </c>
      <c r="AG298" s="8"/>
      <c r="AH298" s="8" t="str">
        <f>IF($AG298="","",SUMIFS(OPERATING_COEFFS!$C:$C,OPERATING_COEFFS!$A:$A,"DistanceClass",OPERATING_COEFFS!$B:$B,$AG298))</f>
        <v/>
      </c>
      <c r="AI298" s="8"/>
      <c r="AJ298" s="8" t="str">
        <f>IF($AI298="","",SUMIFS(OPERATING_COEFFS!$C:$C,OPERATING_COEFFS!$A:$A,"SeasonClass",OPERATING_COEFFS!$B:$B,$AI298))</f>
        <v/>
      </c>
      <c r="AK298" s="8"/>
      <c r="AL298" s="8" t="str">
        <f>IF($AK298="","",SUMIFS(OPERATING_COEFFS!$C:$C,OPERATING_COEFFS!$A:$A,"UrgencyClass",OPERATING_COEFFS!$B:$B,$AK298))</f>
        <v/>
      </c>
      <c r="AM298" s="8"/>
      <c r="AN298" s="8" t="str">
        <f t="array" ref="AN298">IF($AM298="","",INDEX(TAX_MODES!$B:$B,MATCH($AM298,TAX_MODES!$A:$A,0)))</f>
        <v/>
      </c>
    </row>
    <row r="299" ht="14.25" customHeight="1">
      <c r="C299" s="8"/>
      <c r="E299" s="8"/>
      <c r="G299" s="8"/>
      <c r="I299" s="8"/>
      <c r="K299" s="8"/>
      <c r="M299" s="8"/>
      <c r="O299" s="8"/>
      <c r="Q299" s="8"/>
      <c r="S299" s="8"/>
      <c r="V299" s="8"/>
      <c r="X299" s="31"/>
      <c r="Y299" s="31" t="str">
        <f>IF($X299="","",SUMIFS(TARIFF_PROFILES!$D:$D,TARIFF_PROFILES!$A:$A,$X299))</f>
        <v/>
      </c>
      <c r="Z299" s="31" t="str">
        <f>IF($X299="","",SUMIFS(TARIFF_PROFILES!$E:$E,TARIFF_PROFILES!$A:$A,$X299))</f>
        <v/>
      </c>
      <c r="AA299" s="31" t="str">
        <f>IF($X299="","",SUMIFS(TARIFF_PROFILES!$F:$F,TARIFF_PROFILES!$A:$A,$X299))</f>
        <v/>
      </c>
      <c r="AB299" s="31" t="str">
        <f>IF($X299="","",SUMIFS(TARIFF_PROFILES!$G:$G,TARIFF_PROFILES!$A:$A,$X299))</f>
        <v/>
      </c>
      <c r="AC299" s="31" t="str">
        <f>IF($X299="","",SUMIFS(TARIFF_PROFILES!$H:$H,TARIFF_PROFILES!$A:$A,$X299))</f>
        <v/>
      </c>
      <c r="AD299" s="31" t="str">
        <f t="array" ref="AD299">IF($X299="","",INDEX(TARIFF_PROFILES!$J:$J,MATCH($X299,TARIFF_PROFILES!$A:$A,0)))</f>
        <v/>
      </c>
      <c r="AE299" s="31" t="str">
        <f t="array" ref="AE299">IF($X299="","",INDEX(TARIFF_PROFILES!$K:$K,MATCH($X299,TARIFF_PROFILES!$A:$A,0)))</f>
        <v/>
      </c>
      <c r="AG299" s="8"/>
      <c r="AH299" s="8" t="str">
        <f>IF($AG299="","",SUMIFS(OPERATING_COEFFS!$C:$C,OPERATING_COEFFS!$A:$A,"DistanceClass",OPERATING_COEFFS!$B:$B,$AG299))</f>
        <v/>
      </c>
      <c r="AI299" s="8"/>
      <c r="AJ299" s="8" t="str">
        <f>IF($AI299="","",SUMIFS(OPERATING_COEFFS!$C:$C,OPERATING_COEFFS!$A:$A,"SeasonClass",OPERATING_COEFFS!$B:$B,$AI299))</f>
        <v/>
      </c>
      <c r="AK299" s="8"/>
      <c r="AL299" s="8" t="str">
        <f>IF($AK299="","",SUMIFS(OPERATING_COEFFS!$C:$C,OPERATING_COEFFS!$A:$A,"UrgencyClass",OPERATING_COEFFS!$B:$B,$AK299))</f>
        <v/>
      </c>
      <c r="AM299" s="8"/>
      <c r="AN299" s="8" t="str">
        <f t="array" ref="AN299">IF($AM299="","",INDEX(TAX_MODES!$B:$B,MATCH($AM299,TAX_MODES!$A:$A,0)))</f>
        <v/>
      </c>
    </row>
    <row r="300" ht="14.25" customHeight="1">
      <c r="C300" s="8"/>
      <c r="E300" s="8"/>
      <c r="G300" s="8"/>
      <c r="I300" s="8"/>
      <c r="K300" s="8"/>
      <c r="M300" s="8"/>
      <c r="O300" s="8"/>
      <c r="Q300" s="8"/>
      <c r="S300" s="8"/>
      <c r="V300" s="8"/>
      <c r="X300" s="31"/>
      <c r="Y300" s="31" t="str">
        <f>IF($X300="","",SUMIFS(TARIFF_PROFILES!$D:$D,TARIFF_PROFILES!$A:$A,$X300))</f>
        <v/>
      </c>
      <c r="Z300" s="31" t="str">
        <f>IF($X300="","",SUMIFS(TARIFF_PROFILES!$E:$E,TARIFF_PROFILES!$A:$A,$X300))</f>
        <v/>
      </c>
      <c r="AA300" s="31" t="str">
        <f>IF($X300="","",SUMIFS(TARIFF_PROFILES!$F:$F,TARIFF_PROFILES!$A:$A,$X300))</f>
        <v/>
      </c>
      <c r="AB300" s="31" t="str">
        <f>IF($X300="","",SUMIFS(TARIFF_PROFILES!$G:$G,TARIFF_PROFILES!$A:$A,$X300))</f>
        <v/>
      </c>
      <c r="AC300" s="31" t="str">
        <f>IF($X300="","",SUMIFS(TARIFF_PROFILES!$H:$H,TARIFF_PROFILES!$A:$A,$X300))</f>
        <v/>
      </c>
      <c r="AD300" s="31" t="str">
        <f t="array" ref="AD300">IF($X300="","",INDEX(TARIFF_PROFILES!$J:$J,MATCH($X300,TARIFF_PROFILES!$A:$A,0)))</f>
        <v/>
      </c>
      <c r="AE300" s="31" t="str">
        <f t="array" ref="AE300">IF($X300="","",INDEX(TARIFF_PROFILES!$K:$K,MATCH($X300,TARIFF_PROFILES!$A:$A,0)))</f>
        <v/>
      </c>
      <c r="AG300" s="8"/>
      <c r="AH300" s="8" t="str">
        <f>IF($AG300="","",SUMIFS(OPERATING_COEFFS!$C:$C,OPERATING_COEFFS!$A:$A,"DistanceClass",OPERATING_COEFFS!$B:$B,$AG300))</f>
        <v/>
      </c>
      <c r="AI300" s="8"/>
      <c r="AJ300" s="8" t="str">
        <f>IF($AI300="","",SUMIFS(OPERATING_COEFFS!$C:$C,OPERATING_COEFFS!$A:$A,"SeasonClass",OPERATING_COEFFS!$B:$B,$AI300))</f>
        <v/>
      </c>
      <c r="AK300" s="8"/>
      <c r="AL300" s="8" t="str">
        <f>IF($AK300="","",SUMIFS(OPERATING_COEFFS!$C:$C,OPERATING_COEFFS!$A:$A,"UrgencyClass",OPERATING_COEFFS!$B:$B,$AK300))</f>
        <v/>
      </c>
      <c r="AM300" s="8"/>
      <c r="AN300" s="8" t="str">
        <f t="array" ref="AN300">IF($AM300="","",INDEX(TAX_MODES!$B:$B,MATCH($AM300,TAX_MODES!$A:$A,0)))</f>
        <v/>
      </c>
    </row>
    <row r="301" ht="14.25" customHeight="1">
      <c r="C301" s="8"/>
      <c r="E301" s="8"/>
      <c r="G301" s="8"/>
      <c r="I301" s="8"/>
      <c r="K301" s="8"/>
      <c r="M301" s="8"/>
      <c r="O301" s="8"/>
      <c r="Q301" s="8"/>
      <c r="S301" s="8"/>
      <c r="V301" s="8"/>
      <c r="X301" s="31"/>
      <c r="Y301" s="31" t="str">
        <f>IF($X301="","",SUMIFS(TARIFF_PROFILES!$D:$D,TARIFF_PROFILES!$A:$A,$X301))</f>
        <v/>
      </c>
      <c r="Z301" s="31" t="str">
        <f>IF($X301="","",SUMIFS(TARIFF_PROFILES!$E:$E,TARIFF_PROFILES!$A:$A,$X301))</f>
        <v/>
      </c>
      <c r="AA301" s="31" t="str">
        <f>IF($X301="","",SUMIFS(TARIFF_PROFILES!$F:$F,TARIFF_PROFILES!$A:$A,$X301))</f>
        <v/>
      </c>
      <c r="AB301" s="31" t="str">
        <f>IF($X301="","",SUMIFS(TARIFF_PROFILES!$G:$G,TARIFF_PROFILES!$A:$A,$X301))</f>
        <v/>
      </c>
      <c r="AC301" s="31" t="str">
        <f>IF($X301="","",SUMIFS(TARIFF_PROFILES!$H:$H,TARIFF_PROFILES!$A:$A,$X301))</f>
        <v/>
      </c>
      <c r="AD301" s="31" t="str">
        <f t="array" ref="AD301">IF($X301="","",INDEX(TARIFF_PROFILES!$J:$J,MATCH($X301,TARIFF_PROFILES!$A:$A,0)))</f>
        <v/>
      </c>
      <c r="AE301" s="31" t="str">
        <f t="array" ref="AE301">IF($X301="","",INDEX(TARIFF_PROFILES!$K:$K,MATCH($X301,TARIFF_PROFILES!$A:$A,0)))</f>
        <v/>
      </c>
      <c r="AG301" s="8"/>
      <c r="AH301" s="8" t="str">
        <f>IF($AG301="","",SUMIFS(OPERATING_COEFFS!$C:$C,OPERATING_COEFFS!$A:$A,"DistanceClass",OPERATING_COEFFS!$B:$B,$AG301))</f>
        <v/>
      </c>
      <c r="AI301" s="8"/>
      <c r="AJ301" s="8" t="str">
        <f>IF($AI301="","",SUMIFS(OPERATING_COEFFS!$C:$C,OPERATING_COEFFS!$A:$A,"SeasonClass",OPERATING_COEFFS!$B:$B,$AI301))</f>
        <v/>
      </c>
      <c r="AK301" s="8"/>
      <c r="AL301" s="8" t="str">
        <f>IF($AK301="","",SUMIFS(OPERATING_COEFFS!$C:$C,OPERATING_COEFFS!$A:$A,"UrgencyClass",OPERATING_COEFFS!$B:$B,$AK301))</f>
        <v/>
      </c>
      <c r="AM301" s="8"/>
      <c r="AN301" s="8" t="str">
        <f t="array" ref="AN301">IF($AM301="","",INDEX(TAX_MODES!$B:$B,MATCH($AM301,TAX_MODES!$A:$A,0)))</f>
        <v/>
      </c>
    </row>
    <row r="302" ht="14.25" customHeight="1">
      <c r="C302" s="8"/>
      <c r="E302" s="8"/>
      <c r="G302" s="8"/>
      <c r="I302" s="8"/>
      <c r="K302" s="8"/>
      <c r="M302" s="8"/>
      <c r="O302" s="8"/>
      <c r="Q302" s="8"/>
      <c r="S302" s="8"/>
      <c r="V302" s="8"/>
      <c r="X302" s="31"/>
      <c r="Y302" s="31" t="str">
        <f>IF($X302="","",SUMIFS(TARIFF_PROFILES!$D:$D,TARIFF_PROFILES!$A:$A,$X302))</f>
        <v/>
      </c>
      <c r="Z302" s="31" t="str">
        <f>IF($X302="","",SUMIFS(TARIFF_PROFILES!$E:$E,TARIFF_PROFILES!$A:$A,$X302))</f>
        <v/>
      </c>
      <c r="AA302" s="31" t="str">
        <f>IF($X302="","",SUMIFS(TARIFF_PROFILES!$F:$F,TARIFF_PROFILES!$A:$A,$X302))</f>
        <v/>
      </c>
      <c r="AB302" s="31" t="str">
        <f>IF($X302="","",SUMIFS(TARIFF_PROFILES!$G:$G,TARIFF_PROFILES!$A:$A,$X302))</f>
        <v/>
      </c>
      <c r="AC302" s="31" t="str">
        <f>IF($X302="","",SUMIFS(TARIFF_PROFILES!$H:$H,TARIFF_PROFILES!$A:$A,$X302))</f>
        <v/>
      </c>
      <c r="AD302" s="31" t="str">
        <f t="array" ref="AD302">IF($X302="","",INDEX(TARIFF_PROFILES!$J:$J,MATCH($X302,TARIFF_PROFILES!$A:$A,0)))</f>
        <v/>
      </c>
      <c r="AE302" s="31" t="str">
        <f t="array" ref="AE302">IF($X302="","",INDEX(TARIFF_PROFILES!$K:$K,MATCH($X302,TARIFF_PROFILES!$A:$A,0)))</f>
        <v/>
      </c>
      <c r="AG302" s="8"/>
      <c r="AH302" s="8" t="str">
        <f>IF($AG302="","",SUMIFS(OPERATING_COEFFS!$C:$C,OPERATING_COEFFS!$A:$A,"DistanceClass",OPERATING_COEFFS!$B:$B,$AG302))</f>
        <v/>
      </c>
      <c r="AI302" s="8"/>
      <c r="AJ302" s="8" t="str">
        <f>IF($AI302="","",SUMIFS(OPERATING_COEFFS!$C:$C,OPERATING_COEFFS!$A:$A,"SeasonClass",OPERATING_COEFFS!$B:$B,$AI302))</f>
        <v/>
      </c>
      <c r="AK302" s="8"/>
      <c r="AL302" s="8" t="str">
        <f>IF($AK302="","",SUMIFS(OPERATING_COEFFS!$C:$C,OPERATING_COEFFS!$A:$A,"UrgencyClass",OPERATING_COEFFS!$B:$B,$AK302))</f>
        <v/>
      </c>
      <c r="AM302" s="8"/>
      <c r="AN302" s="8" t="str">
        <f t="array" ref="AN302">IF($AM302="","",INDEX(TAX_MODES!$B:$B,MATCH($AM302,TAX_MODES!$A:$A,0)))</f>
        <v/>
      </c>
    </row>
    <row r="303" ht="14.25" customHeight="1">
      <c r="C303" s="8"/>
      <c r="E303" s="8"/>
      <c r="G303" s="8"/>
      <c r="I303" s="8"/>
      <c r="K303" s="8"/>
      <c r="M303" s="8"/>
      <c r="O303" s="8"/>
      <c r="Q303" s="8"/>
      <c r="S303" s="8"/>
      <c r="V303" s="8"/>
      <c r="X303" s="31"/>
      <c r="Y303" s="31" t="str">
        <f>IF($X303="","",SUMIFS(TARIFF_PROFILES!$D:$D,TARIFF_PROFILES!$A:$A,$X303))</f>
        <v/>
      </c>
      <c r="Z303" s="31" t="str">
        <f>IF($X303="","",SUMIFS(TARIFF_PROFILES!$E:$E,TARIFF_PROFILES!$A:$A,$X303))</f>
        <v/>
      </c>
      <c r="AA303" s="31" t="str">
        <f>IF($X303="","",SUMIFS(TARIFF_PROFILES!$F:$F,TARIFF_PROFILES!$A:$A,$X303))</f>
        <v/>
      </c>
      <c r="AB303" s="31" t="str">
        <f>IF($X303="","",SUMIFS(TARIFF_PROFILES!$G:$G,TARIFF_PROFILES!$A:$A,$X303))</f>
        <v/>
      </c>
      <c r="AC303" s="31" t="str">
        <f>IF($X303="","",SUMIFS(TARIFF_PROFILES!$H:$H,TARIFF_PROFILES!$A:$A,$X303))</f>
        <v/>
      </c>
      <c r="AD303" s="31" t="str">
        <f t="array" ref="AD303">IF($X303="","",INDEX(TARIFF_PROFILES!$J:$J,MATCH($X303,TARIFF_PROFILES!$A:$A,0)))</f>
        <v/>
      </c>
      <c r="AE303" s="31" t="str">
        <f t="array" ref="AE303">IF($X303="","",INDEX(TARIFF_PROFILES!$K:$K,MATCH($X303,TARIFF_PROFILES!$A:$A,0)))</f>
        <v/>
      </c>
      <c r="AG303" s="8"/>
      <c r="AH303" s="8" t="str">
        <f>IF($AG303="","",SUMIFS(OPERATING_COEFFS!$C:$C,OPERATING_COEFFS!$A:$A,"DistanceClass",OPERATING_COEFFS!$B:$B,$AG303))</f>
        <v/>
      </c>
      <c r="AI303" s="8"/>
      <c r="AJ303" s="8" t="str">
        <f>IF($AI303="","",SUMIFS(OPERATING_COEFFS!$C:$C,OPERATING_COEFFS!$A:$A,"SeasonClass",OPERATING_COEFFS!$B:$B,$AI303))</f>
        <v/>
      </c>
      <c r="AK303" s="8"/>
      <c r="AL303" s="8" t="str">
        <f>IF($AK303="","",SUMIFS(OPERATING_COEFFS!$C:$C,OPERATING_COEFFS!$A:$A,"UrgencyClass",OPERATING_COEFFS!$B:$B,$AK303))</f>
        <v/>
      </c>
      <c r="AM303" s="8"/>
      <c r="AN303" s="8" t="str">
        <f t="array" ref="AN303">IF($AM303="","",INDEX(TAX_MODES!$B:$B,MATCH($AM303,TAX_MODES!$A:$A,0)))</f>
        <v/>
      </c>
    </row>
    <row r="304" ht="14.25" customHeight="1">
      <c r="C304" s="8"/>
      <c r="E304" s="8"/>
      <c r="G304" s="8"/>
      <c r="I304" s="8"/>
      <c r="K304" s="8"/>
      <c r="M304" s="8"/>
      <c r="O304" s="8"/>
      <c r="Q304" s="8"/>
      <c r="S304" s="8"/>
      <c r="V304" s="8"/>
      <c r="X304" s="31"/>
      <c r="Y304" s="31" t="str">
        <f>IF($X304="","",SUMIFS(TARIFF_PROFILES!$D:$D,TARIFF_PROFILES!$A:$A,$X304))</f>
        <v/>
      </c>
      <c r="Z304" s="31" t="str">
        <f>IF($X304="","",SUMIFS(TARIFF_PROFILES!$E:$E,TARIFF_PROFILES!$A:$A,$X304))</f>
        <v/>
      </c>
      <c r="AA304" s="31" t="str">
        <f>IF($X304="","",SUMIFS(TARIFF_PROFILES!$F:$F,TARIFF_PROFILES!$A:$A,$X304))</f>
        <v/>
      </c>
      <c r="AB304" s="31" t="str">
        <f>IF($X304="","",SUMIFS(TARIFF_PROFILES!$G:$G,TARIFF_PROFILES!$A:$A,$X304))</f>
        <v/>
      </c>
      <c r="AC304" s="31" t="str">
        <f>IF($X304="","",SUMIFS(TARIFF_PROFILES!$H:$H,TARIFF_PROFILES!$A:$A,$X304))</f>
        <v/>
      </c>
      <c r="AD304" s="31" t="str">
        <f t="array" ref="AD304">IF($X304="","",INDEX(TARIFF_PROFILES!$J:$J,MATCH($X304,TARIFF_PROFILES!$A:$A,0)))</f>
        <v/>
      </c>
      <c r="AE304" s="31" t="str">
        <f t="array" ref="AE304">IF($X304="","",INDEX(TARIFF_PROFILES!$K:$K,MATCH($X304,TARIFF_PROFILES!$A:$A,0)))</f>
        <v/>
      </c>
      <c r="AG304" s="8"/>
      <c r="AH304" s="8" t="str">
        <f>IF($AG304="","",SUMIFS(OPERATING_COEFFS!$C:$C,OPERATING_COEFFS!$A:$A,"DistanceClass",OPERATING_COEFFS!$B:$B,$AG304))</f>
        <v/>
      </c>
      <c r="AI304" s="8"/>
      <c r="AJ304" s="8" t="str">
        <f>IF($AI304="","",SUMIFS(OPERATING_COEFFS!$C:$C,OPERATING_COEFFS!$A:$A,"SeasonClass",OPERATING_COEFFS!$B:$B,$AI304))</f>
        <v/>
      </c>
      <c r="AK304" s="8"/>
      <c r="AL304" s="8" t="str">
        <f>IF($AK304="","",SUMIFS(OPERATING_COEFFS!$C:$C,OPERATING_COEFFS!$A:$A,"UrgencyClass",OPERATING_COEFFS!$B:$B,$AK304))</f>
        <v/>
      </c>
      <c r="AM304" s="8"/>
      <c r="AN304" s="8" t="str">
        <f t="array" ref="AN304">IF($AM304="","",INDEX(TAX_MODES!$B:$B,MATCH($AM304,TAX_MODES!$A:$A,0)))</f>
        <v/>
      </c>
    </row>
    <row r="305" ht="14.25" customHeight="1">
      <c r="C305" s="8"/>
      <c r="E305" s="8"/>
      <c r="G305" s="8"/>
      <c r="I305" s="8"/>
      <c r="K305" s="8"/>
      <c r="M305" s="8"/>
      <c r="O305" s="8"/>
      <c r="Q305" s="8"/>
      <c r="S305" s="8"/>
      <c r="V305" s="8"/>
      <c r="X305" s="31"/>
      <c r="Y305" s="31" t="str">
        <f>IF($X305="","",SUMIFS(TARIFF_PROFILES!$D:$D,TARIFF_PROFILES!$A:$A,$X305))</f>
        <v/>
      </c>
      <c r="Z305" s="31" t="str">
        <f>IF($X305="","",SUMIFS(TARIFF_PROFILES!$E:$E,TARIFF_PROFILES!$A:$A,$X305))</f>
        <v/>
      </c>
      <c r="AA305" s="31" t="str">
        <f>IF($X305="","",SUMIFS(TARIFF_PROFILES!$F:$F,TARIFF_PROFILES!$A:$A,$X305))</f>
        <v/>
      </c>
      <c r="AB305" s="31" t="str">
        <f>IF($X305="","",SUMIFS(TARIFF_PROFILES!$G:$G,TARIFF_PROFILES!$A:$A,$X305))</f>
        <v/>
      </c>
      <c r="AC305" s="31" t="str">
        <f>IF($X305="","",SUMIFS(TARIFF_PROFILES!$H:$H,TARIFF_PROFILES!$A:$A,$X305))</f>
        <v/>
      </c>
      <c r="AD305" s="31" t="str">
        <f t="array" ref="AD305">IF($X305="","",INDEX(TARIFF_PROFILES!$J:$J,MATCH($X305,TARIFF_PROFILES!$A:$A,0)))</f>
        <v/>
      </c>
      <c r="AE305" s="31" t="str">
        <f t="array" ref="AE305">IF($X305="","",INDEX(TARIFF_PROFILES!$K:$K,MATCH($X305,TARIFF_PROFILES!$A:$A,0)))</f>
        <v/>
      </c>
      <c r="AG305" s="8"/>
      <c r="AH305" s="8" t="str">
        <f>IF($AG305="","",SUMIFS(OPERATING_COEFFS!$C:$C,OPERATING_COEFFS!$A:$A,"DistanceClass",OPERATING_COEFFS!$B:$B,$AG305))</f>
        <v/>
      </c>
      <c r="AI305" s="8"/>
      <c r="AJ305" s="8" t="str">
        <f>IF($AI305="","",SUMIFS(OPERATING_COEFFS!$C:$C,OPERATING_COEFFS!$A:$A,"SeasonClass",OPERATING_COEFFS!$B:$B,$AI305))</f>
        <v/>
      </c>
      <c r="AK305" s="8"/>
      <c r="AL305" s="8" t="str">
        <f>IF($AK305="","",SUMIFS(OPERATING_COEFFS!$C:$C,OPERATING_COEFFS!$A:$A,"UrgencyClass",OPERATING_COEFFS!$B:$B,$AK305))</f>
        <v/>
      </c>
      <c r="AM305" s="8"/>
      <c r="AN305" s="8" t="str">
        <f t="array" ref="AN305">IF($AM305="","",INDEX(TAX_MODES!$B:$B,MATCH($AM305,TAX_MODES!$A:$A,0)))</f>
        <v/>
      </c>
    </row>
    <row r="306" ht="14.25" customHeight="1">
      <c r="C306" s="8"/>
      <c r="E306" s="8"/>
      <c r="G306" s="8"/>
      <c r="I306" s="8"/>
      <c r="K306" s="8"/>
      <c r="M306" s="8"/>
      <c r="O306" s="8"/>
      <c r="Q306" s="8"/>
      <c r="S306" s="8"/>
      <c r="V306" s="8"/>
      <c r="X306" s="31"/>
      <c r="Y306" s="31" t="str">
        <f>IF($X306="","",SUMIFS(TARIFF_PROFILES!$D:$D,TARIFF_PROFILES!$A:$A,$X306))</f>
        <v/>
      </c>
      <c r="Z306" s="31" t="str">
        <f>IF($X306="","",SUMIFS(TARIFF_PROFILES!$E:$E,TARIFF_PROFILES!$A:$A,$X306))</f>
        <v/>
      </c>
      <c r="AA306" s="31" t="str">
        <f>IF($X306="","",SUMIFS(TARIFF_PROFILES!$F:$F,TARIFF_PROFILES!$A:$A,$X306))</f>
        <v/>
      </c>
      <c r="AB306" s="31" t="str">
        <f>IF($X306="","",SUMIFS(TARIFF_PROFILES!$G:$G,TARIFF_PROFILES!$A:$A,$X306))</f>
        <v/>
      </c>
      <c r="AC306" s="31" t="str">
        <f>IF($X306="","",SUMIFS(TARIFF_PROFILES!$H:$H,TARIFF_PROFILES!$A:$A,$X306))</f>
        <v/>
      </c>
      <c r="AD306" s="31" t="str">
        <f t="array" ref="AD306">IF($X306="","",INDEX(TARIFF_PROFILES!$J:$J,MATCH($X306,TARIFF_PROFILES!$A:$A,0)))</f>
        <v/>
      </c>
      <c r="AE306" s="31" t="str">
        <f t="array" ref="AE306">IF($X306="","",INDEX(TARIFF_PROFILES!$K:$K,MATCH($X306,TARIFF_PROFILES!$A:$A,0)))</f>
        <v/>
      </c>
      <c r="AG306" s="8"/>
      <c r="AH306" s="8" t="str">
        <f>IF($AG306="","",SUMIFS(OPERATING_COEFFS!$C:$C,OPERATING_COEFFS!$A:$A,"DistanceClass",OPERATING_COEFFS!$B:$B,$AG306))</f>
        <v/>
      </c>
      <c r="AI306" s="8"/>
      <c r="AJ306" s="8" t="str">
        <f>IF($AI306="","",SUMIFS(OPERATING_COEFFS!$C:$C,OPERATING_COEFFS!$A:$A,"SeasonClass",OPERATING_COEFFS!$B:$B,$AI306))</f>
        <v/>
      </c>
      <c r="AK306" s="8"/>
      <c r="AL306" s="8" t="str">
        <f>IF($AK306="","",SUMIFS(OPERATING_COEFFS!$C:$C,OPERATING_COEFFS!$A:$A,"UrgencyClass",OPERATING_COEFFS!$B:$B,$AK306))</f>
        <v/>
      </c>
      <c r="AM306" s="8"/>
      <c r="AN306" s="8" t="str">
        <f t="array" ref="AN306">IF($AM306="","",INDEX(TAX_MODES!$B:$B,MATCH($AM306,TAX_MODES!$A:$A,0)))</f>
        <v/>
      </c>
    </row>
    <row r="307" ht="14.25" customHeight="1">
      <c r="C307" s="8"/>
      <c r="E307" s="8"/>
      <c r="G307" s="8"/>
      <c r="I307" s="8"/>
      <c r="K307" s="8"/>
      <c r="M307" s="8"/>
      <c r="O307" s="8"/>
      <c r="Q307" s="8"/>
      <c r="S307" s="8"/>
      <c r="V307" s="8"/>
      <c r="X307" s="31"/>
      <c r="Y307" s="31" t="str">
        <f>IF($X307="","",SUMIFS(TARIFF_PROFILES!$D:$D,TARIFF_PROFILES!$A:$A,$X307))</f>
        <v/>
      </c>
      <c r="Z307" s="31" t="str">
        <f>IF($X307="","",SUMIFS(TARIFF_PROFILES!$E:$E,TARIFF_PROFILES!$A:$A,$X307))</f>
        <v/>
      </c>
      <c r="AA307" s="31" t="str">
        <f>IF($X307="","",SUMIFS(TARIFF_PROFILES!$F:$F,TARIFF_PROFILES!$A:$A,$X307))</f>
        <v/>
      </c>
      <c r="AB307" s="31" t="str">
        <f>IF($X307="","",SUMIFS(TARIFF_PROFILES!$G:$G,TARIFF_PROFILES!$A:$A,$X307))</f>
        <v/>
      </c>
      <c r="AC307" s="31" t="str">
        <f>IF($X307="","",SUMIFS(TARIFF_PROFILES!$H:$H,TARIFF_PROFILES!$A:$A,$X307))</f>
        <v/>
      </c>
      <c r="AD307" s="31" t="str">
        <f t="array" ref="AD307">IF($X307="","",INDEX(TARIFF_PROFILES!$J:$J,MATCH($X307,TARIFF_PROFILES!$A:$A,0)))</f>
        <v/>
      </c>
      <c r="AE307" s="31" t="str">
        <f t="array" ref="AE307">IF($X307="","",INDEX(TARIFF_PROFILES!$K:$K,MATCH($X307,TARIFF_PROFILES!$A:$A,0)))</f>
        <v/>
      </c>
      <c r="AG307" s="8"/>
      <c r="AH307" s="8" t="str">
        <f>IF($AG307="","",SUMIFS(OPERATING_COEFFS!$C:$C,OPERATING_COEFFS!$A:$A,"DistanceClass",OPERATING_COEFFS!$B:$B,$AG307))</f>
        <v/>
      </c>
      <c r="AI307" s="8"/>
      <c r="AJ307" s="8" t="str">
        <f>IF($AI307="","",SUMIFS(OPERATING_COEFFS!$C:$C,OPERATING_COEFFS!$A:$A,"SeasonClass",OPERATING_COEFFS!$B:$B,$AI307))</f>
        <v/>
      </c>
      <c r="AK307" s="8"/>
      <c r="AL307" s="8" t="str">
        <f>IF($AK307="","",SUMIFS(OPERATING_COEFFS!$C:$C,OPERATING_COEFFS!$A:$A,"UrgencyClass",OPERATING_COEFFS!$B:$B,$AK307))</f>
        <v/>
      </c>
      <c r="AM307" s="8"/>
      <c r="AN307" s="8" t="str">
        <f t="array" ref="AN307">IF($AM307="","",INDEX(TAX_MODES!$B:$B,MATCH($AM307,TAX_MODES!$A:$A,0)))</f>
        <v/>
      </c>
    </row>
    <row r="308" ht="14.25" customHeight="1">
      <c r="C308" s="8"/>
      <c r="E308" s="8"/>
      <c r="G308" s="8"/>
      <c r="I308" s="8"/>
      <c r="K308" s="8"/>
      <c r="M308" s="8"/>
      <c r="O308" s="8"/>
      <c r="Q308" s="8"/>
      <c r="S308" s="8"/>
      <c r="V308" s="8"/>
      <c r="X308" s="31"/>
      <c r="Y308" s="31" t="str">
        <f>IF($X308="","",SUMIFS(TARIFF_PROFILES!$D:$D,TARIFF_PROFILES!$A:$A,$X308))</f>
        <v/>
      </c>
      <c r="Z308" s="31" t="str">
        <f>IF($X308="","",SUMIFS(TARIFF_PROFILES!$E:$E,TARIFF_PROFILES!$A:$A,$X308))</f>
        <v/>
      </c>
      <c r="AA308" s="31" t="str">
        <f>IF($X308="","",SUMIFS(TARIFF_PROFILES!$F:$F,TARIFF_PROFILES!$A:$A,$X308))</f>
        <v/>
      </c>
      <c r="AB308" s="31" t="str">
        <f>IF($X308="","",SUMIFS(TARIFF_PROFILES!$G:$G,TARIFF_PROFILES!$A:$A,$X308))</f>
        <v/>
      </c>
      <c r="AC308" s="31" t="str">
        <f>IF($X308="","",SUMIFS(TARIFF_PROFILES!$H:$H,TARIFF_PROFILES!$A:$A,$X308))</f>
        <v/>
      </c>
      <c r="AD308" s="31" t="str">
        <f t="array" ref="AD308">IF($X308="","",INDEX(TARIFF_PROFILES!$J:$J,MATCH($X308,TARIFF_PROFILES!$A:$A,0)))</f>
        <v/>
      </c>
      <c r="AE308" s="31" t="str">
        <f t="array" ref="AE308">IF($X308="","",INDEX(TARIFF_PROFILES!$K:$K,MATCH($X308,TARIFF_PROFILES!$A:$A,0)))</f>
        <v/>
      </c>
      <c r="AG308" s="8"/>
      <c r="AH308" s="8" t="str">
        <f>IF($AG308="","",SUMIFS(OPERATING_COEFFS!$C:$C,OPERATING_COEFFS!$A:$A,"DistanceClass",OPERATING_COEFFS!$B:$B,$AG308))</f>
        <v/>
      </c>
      <c r="AI308" s="8"/>
      <c r="AJ308" s="8" t="str">
        <f>IF($AI308="","",SUMIFS(OPERATING_COEFFS!$C:$C,OPERATING_COEFFS!$A:$A,"SeasonClass",OPERATING_COEFFS!$B:$B,$AI308))</f>
        <v/>
      </c>
      <c r="AK308" s="8"/>
      <c r="AL308" s="8" t="str">
        <f>IF($AK308="","",SUMIFS(OPERATING_COEFFS!$C:$C,OPERATING_COEFFS!$A:$A,"UrgencyClass",OPERATING_COEFFS!$B:$B,$AK308))</f>
        <v/>
      </c>
      <c r="AM308" s="8"/>
      <c r="AN308" s="8" t="str">
        <f t="array" ref="AN308">IF($AM308="","",INDEX(TAX_MODES!$B:$B,MATCH($AM308,TAX_MODES!$A:$A,0)))</f>
        <v/>
      </c>
    </row>
    <row r="309" ht="14.25" customHeight="1">
      <c r="C309" s="8"/>
      <c r="E309" s="8"/>
      <c r="G309" s="8"/>
      <c r="I309" s="8"/>
      <c r="K309" s="8"/>
      <c r="M309" s="8"/>
      <c r="O309" s="8"/>
      <c r="Q309" s="8"/>
      <c r="S309" s="8"/>
      <c r="V309" s="8"/>
      <c r="X309" s="31"/>
      <c r="Y309" s="31" t="str">
        <f>IF($X309="","",SUMIFS(TARIFF_PROFILES!$D:$D,TARIFF_PROFILES!$A:$A,$X309))</f>
        <v/>
      </c>
      <c r="Z309" s="31" t="str">
        <f>IF($X309="","",SUMIFS(TARIFF_PROFILES!$E:$E,TARIFF_PROFILES!$A:$A,$X309))</f>
        <v/>
      </c>
      <c r="AA309" s="31" t="str">
        <f>IF($X309="","",SUMIFS(TARIFF_PROFILES!$F:$F,TARIFF_PROFILES!$A:$A,$X309))</f>
        <v/>
      </c>
      <c r="AB309" s="31" t="str">
        <f>IF($X309="","",SUMIFS(TARIFF_PROFILES!$G:$G,TARIFF_PROFILES!$A:$A,$X309))</f>
        <v/>
      </c>
      <c r="AC309" s="31" t="str">
        <f>IF($X309="","",SUMIFS(TARIFF_PROFILES!$H:$H,TARIFF_PROFILES!$A:$A,$X309))</f>
        <v/>
      </c>
      <c r="AD309" s="31" t="str">
        <f t="array" ref="AD309">IF($X309="","",INDEX(TARIFF_PROFILES!$J:$J,MATCH($X309,TARIFF_PROFILES!$A:$A,0)))</f>
        <v/>
      </c>
      <c r="AE309" s="31" t="str">
        <f t="array" ref="AE309">IF($X309="","",INDEX(TARIFF_PROFILES!$K:$K,MATCH($X309,TARIFF_PROFILES!$A:$A,0)))</f>
        <v/>
      </c>
      <c r="AG309" s="8"/>
      <c r="AH309" s="8" t="str">
        <f>IF($AG309="","",SUMIFS(OPERATING_COEFFS!$C:$C,OPERATING_COEFFS!$A:$A,"DistanceClass",OPERATING_COEFFS!$B:$B,$AG309))</f>
        <v/>
      </c>
      <c r="AI309" s="8"/>
      <c r="AJ309" s="8" t="str">
        <f>IF($AI309="","",SUMIFS(OPERATING_COEFFS!$C:$C,OPERATING_COEFFS!$A:$A,"SeasonClass",OPERATING_COEFFS!$B:$B,$AI309))</f>
        <v/>
      </c>
      <c r="AK309" s="8"/>
      <c r="AL309" s="8" t="str">
        <f>IF($AK309="","",SUMIFS(OPERATING_COEFFS!$C:$C,OPERATING_COEFFS!$A:$A,"UrgencyClass",OPERATING_COEFFS!$B:$B,$AK309))</f>
        <v/>
      </c>
      <c r="AM309" s="8"/>
      <c r="AN309" s="8" t="str">
        <f t="array" ref="AN309">IF($AM309="","",INDEX(TAX_MODES!$B:$B,MATCH($AM309,TAX_MODES!$A:$A,0)))</f>
        <v/>
      </c>
    </row>
    <row r="310" ht="14.25" customHeight="1">
      <c r="C310" s="8"/>
      <c r="E310" s="8"/>
      <c r="G310" s="8"/>
      <c r="I310" s="8"/>
      <c r="K310" s="8"/>
      <c r="M310" s="8"/>
      <c r="O310" s="8"/>
      <c r="Q310" s="8"/>
      <c r="S310" s="8"/>
      <c r="V310" s="8"/>
      <c r="X310" s="31"/>
      <c r="Y310" s="31" t="str">
        <f>IF($X310="","",SUMIFS(TARIFF_PROFILES!$D:$D,TARIFF_PROFILES!$A:$A,$X310))</f>
        <v/>
      </c>
      <c r="Z310" s="31" t="str">
        <f>IF($X310="","",SUMIFS(TARIFF_PROFILES!$E:$E,TARIFF_PROFILES!$A:$A,$X310))</f>
        <v/>
      </c>
      <c r="AA310" s="31" t="str">
        <f>IF($X310="","",SUMIFS(TARIFF_PROFILES!$F:$F,TARIFF_PROFILES!$A:$A,$X310))</f>
        <v/>
      </c>
      <c r="AB310" s="31" t="str">
        <f>IF($X310="","",SUMIFS(TARIFF_PROFILES!$G:$G,TARIFF_PROFILES!$A:$A,$X310))</f>
        <v/>
      </c>
      <c r="AC310" s="31" t="str">
        <f>IF($X310="","",SUMIFS(TARIFF_PROFILES!$H:$H,TARIFF_PROFILES!$A:$A,$X310))</f>
        <v/>
      </c>
      <c r="AD310" s="31" t="str">
        <f t="array" ref="AD310">IF($X310="","",INDEX(TARIFF_PROFILES!$J:$J,MATCH($X310,TARIFF_PROFILES!$A:$A,0)))</f>
        <v/>
      </c>
      <c r="AE310" s="31" t="str">
        <f t="array" ref="AE310">IF($X310="","",INDEX(TARIFF_PROFILES!$K:$K,MATCH($X310,TARIFF_PROFILES!$A:$A,0)))</f>
        <v/>
      </c>
      <c r="AG310" s="8"/>
      <c r="AH310" s="8" t="str">
        <f>IF($AG310="","",SUMIFS(OPERATING_COEFFS!$C:$C,OPERATING_COEFFS!$A:$A,"DistanceClass",OPERATING_COEFFS!$B:$B,$AG310))</f>
        <v/>
      </c>
      <c r="AI310" s="8"/>
      <c r="AJ310" s="8" t="str">
        <f>IF($AI310="","",SUMIFS(OPERATING_COEFFS!$C:$C,OPERATING_COEFFS!$A:$A,"SeasonClass",OPERATING_COEFFS!$B:$B,$AI310))</f>
        <v/>
      </c>
      <c r="AK310" s="8"/>
      <c r="AL310" s="8" t="str">
        <f>IF($AK310="","",SUMIFS(OPERATING_COEFFS!$C:$C,OPERATING_COEFFS!$A:$A,"UrgencyClass",OPERATING_COEFFS!$B:$B,$AK310))</f>
        <v/>
      </c>
      <c r="AM310" s="8"/>
      <c r="AN310" s="8" t="str">
        <f t="array" ref="AN310">IF($AM310="","",INDEX(TAX_MODES!$B:$B,MATCH($AM310,TAX_MODES!$A:$A,0)))</f>
        <v/>
      </c>
    </row>
    <row r="311" ht="14.25" customHeight="1">
      <c r="C311" s="8"/>
      <c r="E311" s="8"/>
      <c r="G311" s="8"/>
      <c r="I311" s="8"/>
      <c r="K311" s="8"/>
      <c r="M311" s="8"/>
      <c r="O311" s="8"/>
      <c r="Q311" s="8"/>
      <c r="S311" s="8"/>
      <c r="V311" s="8"/>
      <c r="X311" s="31"/>
      <c r="Y311" s="31" t="str">
        <f>IF($X311="","",SUMIFS(TARIFF_PROFILES!$D:$D,TARIFF_PROFILES!$A:$A,$X311))</f>
        <v/>
      </c>
      <c r="Z311" s="31" t="str">
        <f>IF($X311="","",SUMIFS(TARIFF_PROFILES!$E:$E,TARIFF_PROFILES!$A:$A,$X311))</f>
        <v/>
      </c>
      <c r="AA311" s="31" t="str">
        <f>IF($X311="","",SUMIFS(TARIFF_PROFILES!$F:$F,TARIFF_PROFILES!$A:$A,$X311))</f>
        <v/>
      </c>
      <c r="AB311" s="31" t="str">
        <f>IF($X311="","",SUMIFS(TARIFF_PROFILES!$G:$G,TARIFF_PROFILES!$A:$A,$X311))</f>
        <v/>
      </c>
      <c r="AC311" s="31" t="str">
        <f>IF($X311="","",SUMIFS(TARIFF_PROFILES!$H:$H,TARIFF_PROFILES!$A:$A,$X311))</f>
        <v/>
      </c>
      <c r="AD311" s="31" t="str">
        <f t="array" ref="AD311">IF($X311="","",INDEX(TARIFF_PROFILES!$J:$J,MATCH($X311,TARIFF_PROFILES!$A:$A,0)))</f>
        <v/>
      </c>
      <c r="AE311" s="31" t="str">
        <f t="array" ref="AE311">IF($X311="","",INDEX(TARIFF_PROFILES!$K:$K,MATCH($X311,TARIFF_PROFILES!$A:$A,0)))</f>
        <v/>
      </c>
      <c r="AG311" s="8"/>
      <c r="AH311" s="8" t="str">
        <f>IF($AG311="","",SUMIFS(OPERATING_COEFFS!$C:$C,OPERATING_COEFFS!$A:$A,"DistanceClass",OPERATING_COEFFS!$B:$B,$AG311))</f>
        <v/>
      </c>
      <c r="AI311" s="8"/>
      <c r="AJ311" s="8" t="str">
        <f>IF($AI311="","",SUMIFS(OPERATING_COEFFS!$C:$C,OPERATING_COEFFS!$A:$A,"SeasonClass",OPERATING_COEFFS!$B:$B,$AI311))</f>
        <v/>
      </c>
      <c r="AK311" s="8"/>
      <c r="AL311" s="8" t="str">
        <f>IF($AK311="","",SUMIFS(OPERATING_COEFFS!$C:$C,OPERATING_COEFFS!$A:$A,"UrgencyClass",OPERATING_COEFFS!$B:$B,$AK311))</f>
        <v/>
      </c>
      <c r="AM311" s="8"/>
      <c r="AN311" s="8" t="str">
        <f t="array" ref="AN311">IF($AM311="","",INDEX(TAX_MODES!$B:$B,MATCH($AM311,TAX_MODES!$A:$A,0)))</f>
        <v/>
      </c>
    </row>
    <row r="312" ht="14.25" customHeight="1">
      <c r="C312" s="8"/>
      <c r="E312" s="8"/>
      <c r="G312" s="8"/>
      <c r="I312" s="8"/>
      <c r="K312" s="8"/>
      <c r="M312" s="8"/>
      <c r="O312" s="8"/>
      <c r="Q312" s="8"/>
      <c r="S312" s="8"/>
      <c r="V312" s="8"/>
      <c r="X312" s="31"/>
      <c r="Y312" s="31" t="str">
        <f>IF($X312="","",SUMIFS(TARIFF_PROFILES!$D:$D,TARIFF_PROFILES!$A:$A,$X312))</f>
        <v/>
      </c>
      <c r="Z312" s="31" t="str">
        <f>IF($X312="","",SUMIFS(TARIFF_PROFILES!$E:$E,TARIFF_PROFILES!$A:$A,$X312))</f>
        <v/>
      </c>
      <c r="AA312" s="31" t="str">
        <f>IF($X312="","",SUMIFS(TARIFF_PROFILES!$F:$F,TARIFF_PROFILES!$A:$A,$X312))</f>
        <v/>
      </c>
      <c r="AB312" s="31" t="str">
        <f>IF($X312="","",SUMIFS(TARIFF_PROFILES!$G:$G,TARIFF_PROFILES!$A:$A,$X312))</f>
        <v/>
      </c>
      <c r="AC312" s="31" t="str">
        <f>IF($X312="","",SUMIFS(TARIFF_PROFILES!$H:$H,TARIFF_PROFILES!$A:$A,$X312))</f>
        <v/>
      </c>
      <c r="AD312" s="31" t="str">
        <f t="array" ref="AD312">IF($X312="","",INDEX(TARIFF_PROFILES!$J:$J,MATCH($X312,TARIFF_PROFILES!$A:$A,0)))</f>
        <v/>
      </c>
      <c r="AE312" s="31" t="str">
        <f t="array" ref="AE312">IF($X312="","",INDEX(TARIFF_PROFILES!$K:$K,MATCH($X312,TARIFF_PROFILES!$A:$A,0)))</f>
        <v/>
      </c>
      <c r="AG312" s="8"/>
      <c r="AH312" s="8" t="str">
        <f>IF($AG312="","",SUMIFS(OPERATING_COEFFS!$C:$C,OPERATING_COEFFS!$A:$A,"DistanceClass",OPERATING_COEFFS!$B:$B,$AG312))</f>
        <v/>
      </c>
      <c r="AI312" s="8"/>
      <c r="AJ312" s="8" t="str">
        <f>IF($AI312="","",SUMIFS(OPERATING_COEFFS!$C:$C,OPERATING_COEFFS!$A:$A,"SeasonClass",OPERATING_COEFFS!$B:$B,$AI312))</f>
        <v/>
      </c>
      <c r="AK312" s="8"/>
      <c r="AL312" s="8" t="str">
        <f>IF($AK312="","",SUMIFS(OPERATING_COEFFS!$C:$C,OPERATING_COEFFS!$A:$A,"UrgencyClass",OPERATING_COEFFS!$B:$B,$AK312))</f>
        <v/>
      </c>
      <c r="AM312" s="8"/>
      <c r="AN312" s="8" t="str">
        <f t="array" ref="AN312">IF($AM312="","",INDEX(TAX_MODES!$B:$B,MATCH($AM312,TAX_MODES!$A:$A,0)))</f>
        <v/>
      </c>
    </row>
    <row r="313" ht="14.25" customHeight="1">
      <c r="C313" s="8"/>
      <c r="E313" s="8"/>
      <c r="G313" s="8"/>
      <c r="I313" s="8"/>
      <c r="K313" s="8"/>
      <c r="M313" s="8"/>
      <c r="O313" s="8"/>
      <c r="Q313" s="8"/>
      <c r="S313" s="8"/>
      <c r="V313" s="8"/>
      <c r="X313" s="31"/>
      <c r="Y313" s="31" t="str">
        <f>IF($X313="","",SUMIFS(TARIFF_PROFILES!$D:$D,TARIFF_PROFILES!$A:$A,$X313))</f>
        <v/>
      </c>
      <c r="Z313" s="31" t="str">
        <f>IF($X313="","",SUMIFS(TARIFF_PROFILES!$E:$E,TARIFF_PROFILES!$A:$A,$X313))</f>
        <v/>
      </c>
      <c r="AA313" s="31" t="str">
        <f>IF($X313="","",SUMIFS(TARIFF_PROFILES!$F:$F,TARIFF_PROFILES!$A:$A,$X313))</f>
        <v/>
      </c>
      <c r="AB313" s="31" t="str">
        <f>IF($X313="","",SUMIFS(TARIFF_PROFILES!$G:$G,TARIFF_PROFILES!$A:$A,$X313))</f>
        <v/>
      </c>
      <c r="AC313" s="31" t="str">
        <f>IF($X313="","",SUMIFS(TARIFF_PROFILES!$H:$H,TARIFF_PROFILES!$A:$A,$X313))</f>
        <v/>
      </c>
      <c r="AD313" s="31" t="str">
        <f t="array" ref="AD313">IF($X313="","",INDEX(TARIFF_PROFILES!$J:$J,MATCH($X313,TARIFF_PROFILES!$A:$A,0)))</f>
        <v/>
      </c>
      <c r="AE313" s="31" t="str">
        <f t="array" ref="AE313">IF($X313="","",INDEX(TARIFF_PROFILES!$K:$K,MATCH($X313,TARIFF_PROFILES!$A:$A,0)))</f>
        <v/>
      </c>
      <c r="AG313" s="8"/>
      <c r="AH313" s="8" t="str">
        <f>IF($AG313="","",SUMIFS(OPERATING_COEFFS!$C:$C,OPERATING_COEFFS!$A:$A,"DistanceClass",OPERATING_COEFFS!$B:$B,$AG313))</f>
        <v/>
      </c>
      <c r="AI313" s="8"/>
      <c r="AJ313" s="8" t="str">
        <f>IF($AI313="","",SUMIFS(OPERATING_COEFFS!$C:$C,OPERATING_COEFFS!$A:$A,"SeasonClass",OPERATING_COEFFS!$B:$B,$AI313))</f>
        <v/>
      </c>
      <c r="AK313" s="8"/>
      <c r="AL313" s="8" t="str">
        <f>IF($AK313="","",SUMIFS(OPERATING_COEFFS!$C:$C,OPERATING_COEFFS!$A:$A,"UrgencyClass",OPERATING_COEFFS!$B:$B,$AK313))</f>
        <v/>
      </c>
      <c r="AM313" s="8"/>
      <c r="AN313" s="8" t="str">
        <f t="array" ref="AN313">IF($AM313="","",INDEX(TAX_MODES!$B:$B,MATCH($AM313,TAX_MODES!$A:$A,0)))</f>
        <v/>
      </c>
    </row>
    <row r="314" ht="14.25" customHeight="1">
      <c r="C314" s="8"/>
      <c r="E314" s="8"/>
      <c r="G314" s="8"/>
      <c r="I314" s="8"/>
      <c r="K314" s="8"/>
      <c r="M314" s="8"/>
      <c r="O314" s="8"/>
      <c r="Q314" s="8"/>
      <c r="S314" s="8"/>
      <c r="V314" s="8"/>
      <c r="X314" s="31"/>
      <c r="Y314" s="31" t="str">
        <f>IF($X314="","",SUMIFS(TARIFF_PROFILES!$D:$D,TARIFF_PROFILES!$A:$A,$X314))</f>
        <v/>
      </c>
      <c r="Z314" s="31" t="str">
        <f>IF($X314="","",SUMIFS(TARIFF_PROFILES!$E:$E,TARIFF_PROFILES!$A:$A,$X314))</f>
        <v/>
      </c>
      <c r="AA314" s="31" t="str">
        <f>IF($X314="","",SUMIFS(TARIFF_PROFILES!$F:$F,TARIFF_PROFILES!$A:$A,$X314))</f>
        <v/>
      </c>
      <c r="AB314" s="31" t="str">
        <f>IF($X314="","",SUMIFS(TARIFF_PROFILES!$G:$G,TARIFF_PROFILES!$A:$A,$X314))</f>
        <v/>
      </c>
      <c r="AC314" s="31" t="str">
        <f>IF($X314="","",SUMIFS(TARIFF_PROFILES!$H:$H,TARIFF_PROFILES!$A:$A,$X314))</f>
        <v/>
      </c>
      <c r="AD314" s="31" t="str">
        <f t="array" ref="AD314">IF($X314="","",INDEX(TARIFF_PROFILES!$J:$J,MATCH($X314,TARIFF_PROFILES!$A:$A,0)))</f>
        <v/>
      </c>
      <c r="AE314" s="31" t="str">
        <f t="array" ref="AE314">IF($X314="","",INDEX(TARIFF_PROFILES!$K:$K,MATCH($X314,TARIFF_PROFILES!$A:$A,0)))</f>
        <v/>
      </c>
      <c r="AG314" s="8"/>
      <c r="AH314" s="8" t="str">
        <f>IF($AG314="","",SUMIFS(OPERATING_COEFFS!$C:$C,OPERATING_COEFFS!$A:$A,"DistanceClass",OPERATING_COEFFS!$B:$B,$AG314))</f>
        <v/>
      </c>
      <c r="AI314" s="8"/>
      <c r="AJ314" s="8" t="str">
        <f>IF($AI314="","",SUMIFS(OPERATING_COEFFS!$C:$C,OPERATING_COEFFS!$A:$A,"SeasonClass",OPERATING_COEFFS!$B:$B,$AI314))</f>
        <v/>
      </c>
      <c r="AK314" s="8"/>
      <c r="AL314" s="8" t="str">
        <f>IF($AK314="","",SUMIFS(OPERATING_COEFFS!$C:$C,OPERATING_COEFFS!$A:$A,"UrgencyClass",OPERATING_COEFFS!$B:$B,$AK314))</f>
        <v/>
      </c>
      <c r="AM314" s="8"/>
      <c r="AN314" s="8" t="str">
        <f t="array" ref="AN314">IF($AM314="","",INDEX(TAX_MODES!$B:$B,MATCH($AM314,TAX_MODES!$A:$A,0)))</f>
        <v/>
      </c>
    </row>
    <row r="315" ht="14.25" customHeight="1">
      <c r="C315" s="8"/>
      <c r="E315" s="8"/>
      <c r="G315" s="8"/>
      <c r="I315" s="8"/>
      <c r="K315" s="8"/>
      <c r="M315" s="8"/>
      <c r="O315" s="8"/>
      <c r="Q315" s="8"/>
      <c r="S315" s="8"/>
      <c r="V315" s="8"/>
      <c r="X315" s="31"/>
      <c r="Y315" s="31" t="str">
        <f>IF($X315="","",SUMIFS(TARIFF_PROFILES!$D:$D,TARIFF_PROFILES!$A:$A,$X315))</f>
        <v/>
      </c>
      <c r="Z315" s="31" t="str">
        <f>IF($X315="","",SUMIFS(TARIFF_PROFILES!$E:$E,TARIFF_PROFILES!$A:$A,$X315))</f>
        <v/>
      </c>
      <c r="AA315" s="31" t="str">
        <f>IF($X315="","",SUMIFS(TARIFF_PROFILES!$F:$F,TARIFF_PROFILES!$A:$A,$X315))</f>
        <v/>
      </c>
      <c r="AB315" s="31" t="str">
        <f>IF($X315="","",SUMIFS(TARIFF_PROFILES!$G:$G,TARIFF_PROFILES!$A:$A,$X315))</f>
        <v/>
      </c>
      <c r="AC315" s="31" t="str">
        <f>IF($X315="","",SUMIFS(TARIFF_PROFILES!$H:$H,TARIFF_PROFILES!$A:$A,$X315))</f>
        <v/>
      </c>
      <c r="AD315" s="31" t="str">
        <f t="array" ref="AD315">IF($X315="","",INDEX(TARIFF_PROFILES!$J:$J,MATCH($X315,TARIFF_PROFILES!$A:$A,0)))</f>
        <v/>
      </c>
      <c r="AE315" s="31" t="str">
        <f t="array" ref="AE315">IF($X315="","",INDEX(TARIFF_PROFILES!$K:$K,MATCH($X315,TARIFF_PROFILES!$A:$A,0)))</f>
        <v/>
      </c>
      <c r="AG315" s="8"/>
      <c r="AH315" s="8" t="str">
        <f>IF($AG315="","",SUMIFS(OPERATING_COEFFS!$C:$C,OPERATING_COEFFS!$A:$A,"DistanceClass",OPERATING_COEFFS!$B:$B,$AG315))</f>
        <v/>
      </c>
      <c r="AI315" s="8"/>
      <c r="AJ315" s="8" t="str">
        <f>IF($AI315="","",SUMIFS(OPERATING_COEFFS!$C:$C,OPERATING_COEFFS!$A:$A,"SeasonClass",OPERATING_COEFFS!$B:$B,$AI315))</f>
        <v/>
      </c>
      <c r="AK315" s="8"/>
      <c r="AL315" s="8" t="str">
        <f>IF($AK315="","",SUMIFS(OPERATING_COEFFS!$C:$C,OPERATING_COEFFS!$A:$A,"UrgencyClass",OPERATING_COEFFS!$B:$B,$AK315))</f>
        <v/>
      </c>
      <c r="AM315" s="8"/>
      <c r="AN315" s="8" t="str">
        <f t="array" ref="AN315">IF($AM315="","",INDEX(TAX_MODES!$B:$B,MATCH($AM315,TAX_MODES!$A:$A,0)))</f>
        <v/>
      </c>
    </row>
    <row r="316" ht="14.25" customHeight="1">
      <c r="C316" s="8"/>
      <c r="E316" s="8"/>
      <c r="G316" s="8"/>
      <c r="I316" s="8"/>
      <c r="K316" s="8"/>
      <c r="M316" s="8"/>
      <c r="O316" s="8"/>
      <c r="Q316" s="8"/>
      <c r="S316" s="8"/>
      <c r="V316" s="8"/>
      <c r="X316" s="31"/>
      <c r="Y316" s="31" t="str">
        <f>IF($X316="","",SUMIFS(TARIFF_PROFILES!$D:$D,TARIFF_PROFILES!$A:$A,$X316))</f>
        <v/>
      </c>
      <c r="Z316" s="31" t="str">
        <f>IF($X316="","",SUMIFS(TARIFF_PROFILES!$E:$E,TARIFF_PROFILES!$A:$A,$X316))</f>
        <v/>
      </c>
      <c r="AA316" s="31" t="str">
        <f>IF($X316="","",SUMIFS(TARIFF_PROFILES!$F:$F,TARIFF_PROFILES!$A:$A,$X316))</f>
        <v/>
      </c>
      <c r="AB316" s="31" t="str">
        <f>IF($X316="","",SUMIFS(TARIFF_PROFILES!$G:$G,TARIFF_PROFILES!$A:$A,$X316))</f>
        <v/>
      </c>
      <c r="AC316" s="31" t="str">
        <f>IF($X316="","",SUMIFS(TARIFF_PROFILES!$H:$H,TARIFF_PROFILES!$A:$A,$X316))</f>
        <v/>
      </c>
      <c r="AD316" s="31" t="str">
        <f t="array" ref="AD316">IF($X316="","",INDEX(TARIFF_PROFILES!$J:$J,MATCH($X316,TARIFF_PROFILES!$A:$A,0)))</f>
        <v/>
      </c>
      <c r="AE316" s="31" t="str">
        <f t="array" ref="AE316">IF($X316="","",INDEX(TARIFF_PROFILES!$K:$K,MATCH($X316,TARIFF_PROFILES!$A:$A,0)))</f>
        <v/>
      </c>
      <c r="AG316" s="8"/>
      <c r="AH316" s="8" t="str">
        <f>IF($AG316="","",SUMIFS(OPERATING_COEFFS!$C:$C,OPERATING_COEFFS!$A:$A,"DistanceClass",OPERATING_COEFFS!$B:$B,$AG316))</f>
        <v/>
      </c>
      <c r="AI316" s="8"/>
      <c r="AJ316" s="8" t="str">
        <f>IF($AI316="","",SUMIFS(OPERATING_COEFFS!$C:$C,OPERATING_COEFFS!$A:$A,"SeasonClass",OPERATING_COEFFS!$B:$B,$AI316))</f>
        <v/>
      </c>
      <c r="AK316" s="8"/>
      <c r="AL316" s="8" t="str">
        <f>IF($AK316="","",SUMIFS(OPERATING_COEFFS!$C:$C,OPERATING_COEFFS!$A:$A,"UrgencyClass",OPERATING_COEFFS!$B:$B,$AK316))</f>
        <v/>
      </c>
      <c r="AM316" s="8"/>
      <c r="AN316" s="8" t="str">
        <f t="array" ref="AN316">IF($AM316="","",INDEX(TAX_MODES!$B:$B,MATCH($AM316,TAX_MODES!$A:$A,0)))</f>
        <v/>
      </c>
    </row>
    <row r="317" ht="14.25" customHeight="1">
      <c r="C317" s="8"/>
      <c r="E317" s="8"/>
      <c r="G317" s="8"/>
      <c r="I317" s="8"/>
      <c r="K317" s="8"/>
      <c r="M317" s="8"/>
      <c r="O317" s="8"/>
      <c r="Q317" s="8"/>
      <c r="S317" s="8"/>
      <c r="V317" s="8"/>
      <c r="X317" s="31"/>
      <c r="Y317" s="31" t="str">
        <f>IF($X317="","",SUMIFS(TARIFF_PROFILES!$D:$D,TARIFF_PROFILES!$A:$A,$X317))</f>
        <v/>
      </c>
      <c r="Z317" s="31" t="str">
        <f>IF($X317="","",SUMIFS(TARIFF_PROFILES!$E:$E,TARIFF_PROFILES!$A:$A,$X317))</f>
        <v/>
      </c>
      <c r="AA317" s="31" t="str">
        <f>IF($X317="","",SUMIFS(TARIFF_PROFILES!$F:$F,TARIFF_PROFILES!$A:$A,$X317))</f>
        <v/>
      </c>
      <c r="AB317" s="31" t="str">
        <f>IF($X317="","",SUMIFS(TARIFF_PROFILES!$G:$G,TARIFF_PROFILES!$A:$A,$X317))</f>
        <v/>
      </c>
      <c r="AC317" s="31" t="str">
        <f>IF($X317="","",SUMIFS(TARIFF_PROFILES!$H:$H,TARIFF_PROFILES!$A:$A,$X317))</f>
        <v/>
      </c>
      <c r="AD317" s="31" t="str">
        <f t="array" ref="AD317">IF($X317="","",INDEX(TARIFF_PROFILES!$J:$J,MATCH($X317,TARIFF_PROFILES!$A:$A,0)))</f>
        <v/>
      </c>
      <c r="AE317" s="31" t="str">
        <f t="array" ref="AE317">IF($X317="","",INDEX(TARIFF_PROFILES!$K:$K,MATCH($X317,TARIFF_PROFILES!$A:$A,0)))</f>
        <v/>
      </c>
      <c r="AG317" s="8"/>
      <c r="AH317" s="8" t="str">
        <f>IF($AG317="","",SUMIFS(OPERATING_COEFFS!$C:$C,OPERATING_COEFFS!$A:$A,"DistanceClass",OPERATING_COEFFS!$B:$B,$AG317))</f>
        <v/>
      </c>
      <c r="AI317" s="8"/>
      <c r="AJ317" s="8" t="str">
        <f>IF($AI317="","",SUMIFS(OPERATING_COEFFS!$C:$C,OPERATING_COEFFS!$A:$A,"SeasonClass",OPERATING_COEFFS!$B:$B,$AI317))</f>
        <v/>
      </c>
      <c r="AK317" s="8"/>
      <c r="AL317" s="8" t="str">
        <f>IF($AK317="","",SUMIFS(OPERATING_COEFFS!$C:$C,OPERATING_COEFFS!$A:$A,"UrgencyClass",OPERATING_COEFFS!$B:$B,$AK317))</f>
        <v/>
      </c>
      <c r="AM317" s="8"/>
      <c r="AN317" s="8" t="str">
        <f t="array" ref="AN317">IF($AM317="","",INDEX(TAX_MODES!$B:$B,MATCH($AM317,TAX_MODES!$A:$A,0)))</f>
        <v/>
      </c>
    </row>
    <row r="318" ht="14.25" customHeight="1">
      <c r="C318" s="8"/>
      <c r="E318" s="8"/>
      <c r="G318" s="8"/>
      <c r="I318" s="8"/>
      <c r="K318" s="8"/>
      <c r="M318" s="8"/>
      <c r="O318" s="8"/>
      <c r="Q318" s="8"/>
      <c r="S318" s="8"/>
      <c r="V318" s="8"/>
      <c r="X318" s="31"/>
      <c r="Y318" s="31" t="str">
        <f>IF($X318="","",SUMIFS(TARIFF_PROFILES!$D:$D,TARIFF_PROFILES!$A:$A,$X318))</f>
        <v/>
      </c>
      <c r="Z318" s="31" t="str">
        <f>IF($X318="","",SUMIFS(TARIFF_PROFILES!$E:$E,TARIFF_PROFILES!$A:$A,$X318))</f>
        <v/>
      </c>
      <c r="AA318" s="31" t="str">
        <f>IF($X318="","",SUMIFS(TARIFF_PROFILES!$F:$F,TARIFF_PROFILES!$A:$A,$X318))</f>
        <v/>
      </c>
      <c r="AB318" s="31" t="str">
        <f>IF($X318="","",SUMIFS(TARIFF_PROFILES!$G:$G,TARIFF_PROFILES!$A:$A,$X318))</f>
        <v/>
      </c>
      <c r="AC318" s="31" t="str">
        <f>IF($X318="","",SUMIFS(TARIFF_PROFILES!$H:$H,TARIFF_PROFILES!$A:$A,$X318))</f>
        <v/>
      </c>
      <c r="AD318" s="31" t="str">
        <f t="array" ref="AD318">IF($X318="","",INDEX(TARIFF_PROFILES!$J:$J,MATCH($X318,TARIFF_PROFILES!$A:$A,0)))</f>
        <v/>
      </c>
      <c r="AE318" s="31" t="str">
        <f t="array" ref="AE318">IF($X318="","",INDEX(TARIFF_PROFILES!$K:$K,MATCH($X318,TARIFF_PROFILES!$A:$A,0)))</f>
        <v/>
      </c>
      <c r="AG318" s="8"/>
      <c r="AH318" s="8" t="str">
        <f>IF($AG318="","",SUMIFS(OPERATING_COEFFS!$C:$C,OPERATING_COEFFS!$A:$A,"DistanceClass",OPERATING_COEFFS!$B:$B,$AG318))</f>
        <v/>
      </c>
      <c r="AI318" s="8"/>
      <c r="AJ318" s="8" t="str">
        <f>IF($AI318="","",SUMIFS(OPERATING_COEFFS!$C:$C,OPERATING_COEFFS!$A:$A,"SeasonClass",OPERATING_COEFFS!$B:$B,$AI318))</f>
        <v/>
      </c>
      <c r="AK318" s="8"/>
      <c r="AL318" s="8" t="str">
        <f>IF($AK318="","",SUMIFS(OPERATING_COEFFS!$C:$C,OPERATING_COEFFS!$A:$A,"UrgencyClass",OPERATING_COEFFS!$B:$B,$AK318))</f>
        <v/>
      </c>
      <c r="AM318" s="8"/>
      <c r="AN318" s="8" t="str">
        <f t="array" ref="AN318">IF($AM318="","",INDEX(TAX_MODES!$B:$B,MATCH($AM318,TAX_MODES!$A:$A,0)))</f>
        <v/>
      </c>
    </row>
    <row r="319" ht="14.25" customHeight="1">
      <c r="C319" s="8"/>
      <c r="E319" s="8"/>
      <c r="G319" s="8"/>
      <c r="I319" s="8"/>
      <c r="K319" s="8"/>
      <c r="M319" s="8"/>
      <c r="O319" s="8"/>
      <c r="Q319" s="8"/>
      <c r="S319" s="8"/>
      <c r="V319" s="8"/>
      <c r="X319" s="31"/>
      <c r="Y319" s="31" t="str">
        <f>IF($X319="","",SUMIFS(TARIFF_PROFILES!$D:$D,TARIFF_PROFILES!$A:$A,$X319))</f>
        <v/>
      </c>
      <c r="Z319" s="31" t="str">
        <f>IF($X319="","",SUMIFS(TARIFF_PROFILES!$E:$E,TARIFF_PROFILES!$A:$A,$X319))</f>
        <v/>
      </c>
      <c r="AA319" s="31" t="str">
        <f>IF($X319="","",SUMIFS(TARIFF_PROFILES!$F:$F,TARIFF_PROFILES!$A:$A,$X319))</f>
        <v/>
      </c>
      <c r="AB319" s="31" t="str">
        <f>IF($X319="","",SUMIFS(TARIFF_PROFILES!$G:$G,TARIFF_PROFILES!$A:$A,$X319))</f>
        <v/>
      </c>
      <c r="AC319" s="31" t="str">
        <f>IF($X319="","",SUMIFS(TARIFF_PROFILES!$H:$H,TARIFF_PROFILES!$A:$A,$X319))</f>
        <v/>
      </c>
      <c r="AD319" s="31" t="str">
        <f t="array" ref="AD319">IF($X319="","",INDEX(TARIFF_PROFILES!$J:$J,MATCH($X319,TARIFF_PROFILES!$A:$A,0)))</f>
        <v/>
      </c>
      <c r="AE319" s="31" t="str">
        <f t="array" ref="AE319">IF($X319="","",INDEX(TARIFF_PROFILES!$K:$K,MATCH($X319,TARIFF_PROFILES!$A:$A,0)))</f>
        <v/>
      </c>
      <c r="AG319" s="8"/>
      <c r="AH319" s="8" t="str">
        <f>IF($AG319="","",SUMIFS(OPERATING_COEFFS!$C:$C,OPERATING_COEFFS!$A:$A,"DistanceClass",OPERATING_COEFFS!$B:$B,$AG319))</f>
        <v/>
      </c>
      <c r="AI319" s="8"/>
      <c r="AJ319" s="8" t="str">
        <f>IF($AI319="","",SUMIFS(OPERATING_COEFFS!$C:$C,OPERATING_COEFFS!$A:$A,"SeasonClass",OPERATING_COEFFS!$B:$B,$AI319))</f>
        <v/>
      </c>
      <c r="AK319" s="8"/>
      <c r="AL319" s="8" t="str">
        <f>IF($AK319="","",SUMIFS(OPERATING_COEFFS!$C:$C,OPERATING_COEFFS!$A:$A,"UrgencyClass",OPERATING_COEFFS!$B:$B,$AK319))</f>
        <v/>
      </c>
      <c r="AM319" s="8"/>
      <c r="AN319" s="8" t="str">
        <f t="array" ref="AN319">IF($AM319="","",INDEX(TAX_MODES!$B:$B,MATCH($AM319,TAX_MODES!$A:$A,0)))</f>
        <v/>
      </c>
    </row>
    <row r="320" ht="14.25" customHeight="1">
      <c r="C320" s="8"/>
      <c r="E320" s="8"/>
      <c r="G320" s="8"/>
      <c r="I320" s="8"/>
      <c r="K320" s="8"/>
      <c r="M320" s="8"/>
      <c r="O320" s="8"/>
      <c r="Q320" s="8"/>
      <c r="S320" s="8"/>
      <c r="V320" s="8"/>
      <c r="X320" s="31"/>
      <c r="Y320" s="31" t="str">
        <f>IF($X320="","",SUMIFS(TARIFF_PROFILES!$D:$D,TARIFF_PROFILES!$A:$A,$X320))</f>
        <v/>
      </c>
      <c r="Z320" s="31" t="str">
        <f>IF($X320="","",SUMIFS(TARIFF_PROFILES!$E:$E,TARIFF_PROFILES!$A:$A,$X320))</f>
        <v/>
      </c>
      <c r="AA320" s="31" t="str">
        <f>IF($X320="","",SUMIFS(TARIFF_PROFILES!$F:$F,TARIFF_PROFILES!$A:$A,$X320))</f>
        <v/>
      </c>
      <c r="AB320" s="31" t="str">
        <f>IF($X320="","",SUMIFS(TARIFF_PROFILES!$G:$G,TARIFF_PROFILES!$A:$A,$X320))</f>
        <v/>
      </c>
      <c r="AC320" s="31" t="str">
        <f>IF($X320="","",SUMIFS(TARIFF_PROFILES!$H:$H,TARIFF_PROFILES!$A:$A,$X320))</f>
        <v/>
      </c>
      <c r="AD320" s="31" t="str">
        <f t="array" ref="AD320">IF($X320="","",INDEX(TARIFF_PROFILES!$J:$J,MATCH($X320,TARIFF_PROFILES!$A:$A,0)))</f>
        <v/>
      </c>
      <c r="AE320" s="31" t="str">
        <f t="array" ref="AE320">IF($X320="","",INDEX(TARIFF_PROFILES!$K:$K,MATCH($X320,TARIFF_PROFILES!$A:$A,0)))</f>
        <v/>
      </c>
      <c r="AG320" s="8"/>
      <c r="AH320" s="8" t="str">
        <f>IF($AG320="","",SUMIFS(OPERATING_COEFFS!$C:$C,OPERATING_COEFFS!$A:$A,"DistanceClass",OPERATING_COEFFS!$B:$B,$AG320))</f>
        <v/>
      </c>
      <c r="AI320" s="8"/>
      <c r="AJ320" s="8" t="str">
        <f>IF($AI320="","",SUMIFS(OPERATING_COEFFS!$C:$C,OPERATING_COEFFS!$A:$A,"SeasonClass",OPERATING_COEFFS!$B:$B,$AI320))</f>
        <v/>
      </c>
      <c r="AK320" s="8"/>
      <c r="AL320" s="8" t="str">
        <f>IF($AK320="","",SUMIFS(OPERATING_COEFFS!$C:$C,OPERATING_COEFFS!$A:$A,"UrgencyClass",OPERATING_COEFFS!$B:$B,$AK320))</f>
        <v/>
      </c>
      <c r="AM320" s="8"/>
      <c r="AN320" s="8" t="str">
        <f t="array" ref="AN320">IF($AM320="","",INDEX(TAX_MODES!$B:$B,MATCH($AM320,TAX_MODES!$A:$A,0)))</f>
        <v/>
      </c>
    </row>
    <row r="321" ht="14.25" customHeight="1">
      <c r="C321" s="8"/>
      <c r="E321" s="8"/>
      <c r="G321" s="8"/>
      <c r="I321" s="8"/>
      <c r="K321" s="8"/>
      <c r="M321" s="8"/>
      <c r="O321" s="8"/>
      <c r="Q321" s="8"/>
      <c r="S321" s="8"/>
      <c r="V321" s="8"/>
      <c r="X321" s="31"/>
      <c r="Y321" s="31" t="str">
        <f>IF($X321="","",SUMIFS(TARIFF_PROFILES!$D:$D,TARIFF_PROFILES!$A:$A,$X321))</f>
        <v/>
      </c>
      <c r="Z321" s="31" t="str">
        <f>IF($X321="","",SUMIFS(TARIFF_PROFILES!$E:$E,TARIFF_PROFILES!$A:$A,$X321))</f>
        <v/>
      </c>
      <c r="AA321" s="31" t="str">
        <f>IF($X321="","",SUMIFS(TARIFF_PROFILES!$F:$F,TARIFF_PROFILES!$A:$A,$X321))</f>
        <v/>
      </c>
      <c r="AB321" s="31" t="str">
        <f>IF($X321="","",SUMIFS(TARIFF_PROFILES!$G:$G,TARIFF_PROFILES!$A:$A,$X321))</f>
        <v/>
      </c>
      <c r="AC321" s="31" t="str">
        <f>IF($X321="","",SUMIFS(TARIFF_PROFILES!$H:$H,TARIFF_PROFILES!$A:$A,$X321))</f>
        <v/>
      </c>
      <c r="AD321" s="31" t="str">
        <f t="array" ref="AD321">IF($X321="","",INDEX(TARIFF_PROFILES!$J:$J,MATCH($X321,TARIFF_PROFILES!$A:$A,0)))</f>
        <v/>
      </c>
      <c r="AE321" s="31" t="str">
        <f t="array" ref="AE321">IF($X321="","",INDEX(TARIFF_PROFILES!$K:$K,MATCH($X321,TARIFF_PROFILES!$A:$A,0)))</f>
        <v/>
      </c>
      <c r="AG321" s="8"/>
      <c r="AH321" s="8" t="str">
        <f>IF($AG321="","",SUMIFS(OPERATING_COEFFS!$C:$C,OPERATING_COEFFS!$A:$A,"DistanceClass",OPERATING_COEFFS!$B:$B,$AG321))</f>
        <v/>
      </c>
      <c r="AI321" s="8"/>
      <c r="AJ321" s="8" t="str">
        <f>IF($AI321="","",SUMIFS(OPERATING_COEFFS!$C:$C,OPERATING_COEFFS!$A:$A,"SeasonClass",OPERATING_COEFFS!$B:$B,$AI321))</f>
        <v/>
      </c>
      <c r="AK321" s="8"/>
      <c r="AL321" s="8" t="str">
        <f>IF($AK321="","",SUMIFS(OPERATING_COEFFS!$C:$C,OPERATING_COEFFS!$A:$A,"UrgencyClass",OPERATING_COEFFS!$B:$B,$AK321))</f>
        <v/>
      </c>
      <c r="AM321" s="8"/>
      <c r="AN321" s="8" t="str">
        <f t="array" ref="AN321">IF($AM321="","",INDEX(TAX_MODES!$B:$B,MATCH($AM321,TAX_MODES!$A:$A,0)))</f>
        <v/>
      </c>
    </row>
    <row r="322" ht="14.25" customHeight="1">
      <c r="C322" s="8"/>
      <c r="E322" s="8"/>
      <c r="G322" s="8"/>
      <c r="I322" s="8"/>
      <c r="K322" s="8"/>
      <c r="M322" s="8"/>
      <c r="O322" s="8"/>
      <c r="Q322" s="8"/>
      <c r="S322" s="8"/>
      <c r="V322" s="8"/>
      <c r="X322" s="31"/>
      <c r="Y322" s="31" t="str">
        <f>IF($X322="","",SUMIFS(TARIFF_PROFILES!$D:$D,TARIFF_PROFILES!$A:$A,$X322))</f>
        <v/>
      </c>
      <c r="Z322" s="31" t="str">
        <f>IF($X322="","",SUMIFS(TARIFF_PROFILES!$E:$E,TARIFF_PROFILES!$A:$A,$X322))</f>
        <v/>
      </c>
      <c r="AA322" s="31" t="str">
        <f>IF($X322="","",SUMIFS(TARIFF_PROFILES!$F:$F,TARIFF_PROFILES!$A:$A,$X322))</f>
        <v/>
      </c>
      <c r="AB322" s="31" t="str">
        <f>IF($X322="","",SUMIFS(TARIFF_PROFILES!$G:$G,TARIFF_PROFILES!$A:$A,$X322))</f>
        <v/>
      </c>
      <c r="AC322" s="31" t="str">
        <f>IF($X322="","",SUMIFS(TARIFF_PROFILES!$H:$H,TARIFF_PROFILES!$A:$A,$X322))</f>
        <v/>
      </c>
      <c r="AD322" s="31" t="str">
        <f t="array" ref="AD322">IF($X322="","",INDEX(TARIFF_PROFILES!$J:$J,MATCH($X322,TARIFF_PROFILES!$A:$A,0)))</f>
        <v/>
      </c>
      <c r="AE322" s="31" t="str">
        <f t="array" ref="AE322">IF($X322="","",INDEX(TARIFF_PROFILES!$K:$K,MATCH($X322,TARIFF_PROFILES!$A:$A,0)))</f>
        <v/>
      </c>
      <c r="AG322" s="8"/>
      <c r="AH322" s="8" t="str">
        <f>IF($AG322="","",SUMIFS(OPERATING_COEFFS!$C:$C,OPERATING_COEFFS!$A:$A,"DistanceClass",OPERATING_COEFFS!$B:$B,$AG322))</f>
        <v/>
      </c>
      <c r="AI322" s="8"/>
      <c r="AJ322" s="8" t="str">
        <f>IF($AI322="","",SUMIFS(OPERATING_COEFFS!$C:$C,OPERATING_COEFFS!$A:$A,"SeasonClass",OPERATING_COEFFS!$B:$B,$AI322))</f>
        <v/>
      </c>
      <c r="AK322" s="8"/>
      <c r="AL322" s="8" t="str">
        <f>IF($AK322="","",SUMIFS(OPERATING_COEFFS!$C:$C,OPERATING_COEFFS!$A:$A,"UrgencyClass",OPERATING_COEFFS!$B:$B,$AK322))</f>
        <v/>
      </c>
      <c r="AM322" s="8"/>
      <c r="AN322" s="8" t="str">
        <f t="array" ref="AN322">IF($AM322="","",INDEX(TAX_MODES!$B:$B,MATCH($AM322,TAX_MODES!$A:$A,0)))</f>
        <v/>
      </c>
    </row>
    <row r="323" ht="14.25" customHeight="1">
      <c r="C323" s="8"/>
      <c r="E323" s="8"/>
      <c r="G323" s="8"/>
      <c r="I323" s="8"/>
      <c r="K323" s="8"/>
      <c r="M323" s="8"/>
      <c r="O323" s="8"/>
      <c r="Q323" s="8"/>
      <c r="S323" s="8"/>
      <c r="V323" s="8"/>
      <c r="X323" s="31"/>
      <c r="Y323" s="31" t="str">
        <f>IF($X323="","",SUMIFS(TARIFF_PROFILES!$D:$D,TARIFF_PROFILES!$A:$A,$X323))</f>
        <v/>
      </c>
      <c r="Z323" s="31" t="str">
        <f>IF($X323="","",SUMIFS(TARIFF_PROFILES!$E:$E,TARIFF_PROFILES!$A:$A,$X323))</f>
        <v/>
      </c>
      <c r="AA323" s="31" t="str">
        <f>IF($X323="","",SUMIFS(TARIFF_PROFILES!$F:$F,TARIFF_PROFILES!$A:$A,$X323))</f>
        <v/>
      </c>
      <c r="AB323" s="31" t="str">
        <f>IF($X323="","",SUMIFS(TARIFF_PROFILES!$G:$G,TARIFF_PROFILES!$A:$A,$X323))</f>
        <v/>
      </c>
      <c r="AC323" s="31" t="str">
        <f>IF($X323="","",SUMIFS(TARIFF_PROFILES!$H:$H,TARIFF_PROFILES!$A:$A,$X323))</f>
        <v/>
      </c>
      <c r="AD323" s="31" t="str">
        <f t="array" ref="AD323">IF($X323="","",INDEX(TARIFF_PROFILES!$J:$J,MATCH($X323,TARIFF_PROFILES!$A:$A,0)))</f>
        <v/>
      </c>
      <c r="AE323" s="31" t="str">
        <f t="array" ref="AE323">IF($X323="","",INDEX(TARIFF_PROFILES!$K:$K,MATCH($X323,TARIFF_PROFILES!$A:$A,0)))</f>
        <v/>
      </c>
      <c r="AG323" s="8"/>
      <c r="AH323" s="8" t="str">
        <f>IF($AG323="","",SUMIFS(OPERATING_COEFFS!$C:$C,OPERATING_COEFFS!$A:$A,"DistanceClass",OPERATING_COEFFS!$B:$B,$AG323))</f>
        <v/>
      </c>
      <c r="AI323" s="8"/>
      <c r="AJ323" s="8" t="str">
        <f>IF($AI323="","",SUMIFS(OPERATING_COEFFS!$C:$C,OPERATING_COEFFS!$A:$A,"SeasonClass",OPERATING_COEFFS!$B:$B,$AI323))</f>
        <v/>
      </c>
      <c r="AK323" s="8"/>
      <c r="AL323" s="8" t="str">
        <f>IF($AK323="","",SUMIFS(OPERATING_COEFFS!$C:$C,OPERATING_COEFFS!$A:$A,"UrgencyClass",OPERATING_COEFFS!$B:$B,$AK323))</f>
        <v/>
      </c>
      <c r="AM323" s="8"/>
      <c r="AN323" s="8" t="str">
        <f t="array" ref="AN323">IF($AM323="","",INDEX(TAX_MODES!$B:$B,MATCH($AM323,TAX_MODES!$A:$A,0)))</f>
        <v/>
      </c>
    </row>
    <row r="324" ht="14.25" customHeight="1">
      <c r="C324" s="8"/>
      <c r="E324" s="8"/>
      <c r="G324" s="8"/>
      <c r="I324" s="8"/>
      <c r="K324" s="8"/>
      <c r="M324" s="8"/>
      <c r="O324" s="8"/>
      <c r="Q324" s="8"/>
      <c r="S324" s="8"/>
      <c r="V324" s="8"/>
      <c r="X324" s="31"/>
      <c r="Y324" s="31" t="str">
        <f>IF($X324="","",SUMIFS(TARIFF_PROFILES!$D:$D,TARIFF_PROFILES!$A:$A,$X324))</f>
        <v/>
      </c>
      <c r="Z324" s="31" t="str">
        <f>IF($X324="","",SUMIFS(TARIFF_PROFILES!$E:$E,TARIFF_PROFILES!$A:$A,$X324))</f>
        <v/>
      </c>
      <c r="AA324" s="31" t="str">
        <f>IF($X324="","",SUMIFS(TARIFF_PROFILES!$F:$F,TARIFF_PROFILES!$A:$A,$X324))</f>
        <v/>
      </c>
      <c r="AB324" s="31" t="str">
        <f>IF($X324="","",SUMIFS(TARIFF_PROFILES!$G:$G,TARIFF_PROFILES!$A:$A,$X324))</f>
        <v/>
      </c>
      <c r="AC324" s="31" t="str">
        <f>IF($X324="","",SUMIFS(TARIFF_PROFILES!$H:$H,TARIFF_PROFILES!$A:$A,$X324))</f>
        <v/>
      </c>
      <c r="AD324" s="31" t="str">
        <f t="array" ref="AD324">IF($X324="","",INDEX(TARIFF_PROFILES!$J:$J,MATCH($X324,TARIFF_PROFILES!$A:$A,0)))</f>
        <v/>
      </c>
      <c r="AE324" s="31" t="str">
        <f t="array" ref="AE324">IF($X324="","",INDEX(TARIFF_PROFILES!$K:$K,MATCH($X324,TARIFF_PROFILES!$A:$A,0)))</f>
        <v/>
      </c>
      <c r="AG324" s="8"/>
      <c r="AH324" s="8" t="str">
        <f>IF($AG324="","",SUMIFS(OPERATING_COEFFS!$C:$C,OPERATING_COEFFS!$A:$A,"DistanceClass",OPERATING_COEFFS!$B:$B,$AG324))</f>
        <v/>
      </c>
      <c r="AI324" s="8"/>
      <c r="AJ324" s="8" t="str">
        <f>IF($AI324="","",SUMIFS(OPERATING_COEFFS!$C:$C,OPERATING_COEFFS!$A:$A,"SeasonClass",OPERATING_COEFFS!$B:$B,$AI324))</f>
        <v/>
      </c>
      <c r="AK324" s="8"/>
      <c r="AL324" s="8" t="str">
        <f>IF($AK324="","",SUMIFS(OPERATING_COEFFS!$C:$C,OPERATING_COEFFS!$A:$A,"UrgencyClass",OPERATING_COEFFS!$B:$B,$AK324))</f>
        <v/>
      </c>
      <c r="AM324" s="8"/>
      <c r="AN324" s="8" t="str">
        <f t="array" ref="AN324">IF($AM324="","",INDEX(TAX_MODES!$B:$B,MATCH($AM324,TAX_MODES!$A:$A,0)))</f>
        <v/>
      </c>
    </row>
    <row r="325" ht="14.25" customHeight="1">
      <c r="C325" s="8"/>
      <c r="E325" s="8"/>
      <c r="G325" s="8"/>
      <c r="I325" s="8"/>
      <c r="K325" s="8"/>
      <c r="M325" s="8"/>
      <c r="O325" s="8"/>
      <c r="Q325" s="8"/>
      <c r="S325" s="8"/>
      <c r="V325" s="8"/>
      <c r="X325" s="31"/>
      <c r="Y325" s="31" t="str">
        <f>IF($X325="","",SUMIFS(TARIFF_PROFILES!$D:$D,TARIFF_PROFILES!$A:$A,$X325))</f>
        <v/>
      </c>
      <c r="Z325" s="31" t="str">
        <f>IF($X325="","",SUMIFS(TARIFF_PROFILES!$E:$E,TARIFF_PROFILES!$A:$A,$X325))</f>
        <v/>
      </c>
      <c r="AA325" s="31" t="str">
        <f>IF($X325="","",SUMIFS(TARIFF_PROFILES!$F:$F,TARIFF_PROFILES!$A:$A,$X325))</f>
        <v/>
      </c>
      <c r="AB325" s="31" t="str">
        <f>IF($X325="","",SUMIFS(TARIFF_PROFILES!$G:$G,TARIFF_PROFILES!$A:$A,$X325))</f>
        <v/>
      </c>
      <c r="AC325" s="31" t="str">
        <f>IF($X325="","",SUMIFS(TARIFF_PROFILES!$H:$H,TARIFF_PROFILES!$A:$A,$X325))</f>
        <v/>
      </c>
      <c r="AD325" s="31" t="str">
        <f t="array" ref="AD325">IF($X325="","",INDEX(TARIFF_PROFILES!$J:$J,MATCH($X325,TARIFF_PROFILES!$A:$A,0)))</f>
        <v/>
      </c>
      <c r="AE325" s="31" t="str">
        <f t="array" ref="AE325">IF($X325="","",INDEX(TARIFF_PROFILES!$K:$K,MATCH($X325,TARIFF_PROFILES!$A:$A,0)))</f>
        <v/>
      </c>
      <c r="AG325" s="8"/>
      <c r="AH325" s="8" t="str">
        <f>IF($AG325="","",SUMIFS(OPERATING_COEFFS!$C:$C,OPERATING_COEFFS!$A:$A,"DistanceClass",OPERATING_COEFFS!$B:$B,$AG325))</f>
        <v/>
      </c>
      <c r="AI325" s="8"/>
      <c r="AJ325" s="8" t="str">
        <f>IF($AI325="","",SUMIFS(OPERATING_COEFFS!$C:$C,OPERATING_COEFFS!$A:$A,"SeasonClass",OPERATING_COEFFS!$B:$B,$AI325))</f>
        <v/>
      </c>
      <c r="AK325" s="8"/>
      <c r="AL325" s="8" t="str">
        <f>IF($AK325="","",SUMIFS(OPERATING_COEFFS!$C:$C,OPERATING_COEFFS!$A:$A,"UrgencyClass",OPERATING_COEFFS!$B:$B,$AK325))</f>
        <v/>
      </c>
      <c r="AM325" s="8"/>
      <c r="AN325" s="8" t="str">
        <f t="array" ref="AN325">IF($AM325="","",INDEX(TAX_MODES!$B:$B,MATCH($AM325,TAX_MODES!$A:$A,0)))</f>
        <v/>
      </c>
    </row>
    <row r="326" ht="14.25" customHeight="1">
      <c r="C326" s="8"/>
      <c r="E326" s="8"/>
      <c r="G326" s="8"/>
      <c r="I326" s="8"/>
      <c r="K326" s="8"/>
      <c r="M326" s="8"/>
      <c r="O326" s="8"/>
      <c r="Q326" s="8"/>
      <c r="S326" s="8"/>
      <c r="V326" s="8"/>
      <c r="X326" s="31"/>
      <c r="Y326" s="31" t="str">
        <f>IF($X326="","",SUMIFS(TARIFF_PROFILES!$D:$D,TARIFF_PROFILES!$A:$A,$X326))</f>
        <v/>
      </c>
      <c r="Z326" s="31" t="str">
        <f>IF($X326="","",SUMIFS(TARIFF_PROFILES!$E:$E,TARIFF_PROFILES!$A:$A,$X326))</f>
        <v/>
      </c>
      <c r="AA326" s="31" t="str">
        <f>IF($X326="","",SUMIFS(TARIFF_PROFILES!$F:$F,TARIFF_PROFILES!$A:$A,$X326))</f>
        <v/>
      </c>
      <c r="AB326" s="31" t="str">
        <f>IF($X326="","",SUMIFS(TARIFF_PROFILES!$G:$G,TARIFF_PROFILES!$A:$A,$X326))</f>
        <v/>
      </c>
      <c r="AC326" s="31" t="str">
        <f>IF($X326="","",SUMIFS(TARIFF_PROFILES!$H:$H,TARIFF_PROFILES!$A:$A,$X326))</f>
        <v/>
      </c>
      <c r="AD326" s="31" t="str">
        <f t="array" ref="AD326">IF($X326="","",INDEX(TARIFF_PROFILES!$J:$J,MATCH($X326,TARIFF_PROFILES!$A:$A,0)))</f>
        <v/>
      </c>
      <c r="AE326" s="31" t="str">
        <f t="array" ref="AE326">IF($X326="","",INDEX(TARIFF_PROFILES!$K:$K,MATCH($X326,TARIFF_PROFILES!$A:$A,0)))</f>
        <v/>
      </c>
      <c r="AG326" s="8"/>
      <c r="AH326" s="8" t="str">
        <f>IF($AG326="","",SUMIFS(OPERATING_COEFFS!$C:$C,OPERATING_COEFFS!$A:$A,"DistanceClass",OPERATING_COEFFS!$B:$B,$AG326))</f>
        <v/>
      </c>
      <c r="AI326" s="8"/>
      <c r="AJ326" s="8" t="str">
        <f>IF($AI326="","",SUMIFS(OPERATING_COEFFS!$C:$C,OPERATING_COEFFS!$A:$A,"SeasonClass",OPERATING_COEFFS!$B:$B,$AI326))</f>
        <v/>
      </c>
      <c r="AK326" s="8"/>
      <c r="AL326" s="8" t="str">
        <f>IF($AK326="","",SUMIFS(OPERATING_COEFFS!$C:$C,OPERATING_COEFFS!$A:$A,"UrgencyClass",OPERATING_COEFFS!$B:$B,$AK326))</f>
        <v/>
      </c>
      <c r="AM326" s="8"/>
      <c r="AN326" s="8" t="str">
        <f t="array" ref="AN326">IF($AM326="","",INDEX(TAX_MODES!$B:$B,MATCH($AM326,TAX_MODES!$A:$A,0)))</f>
        <v/>
      </c>
    </row>
    <row r="327" ht="14.25" customHeight="1">
      <c r="C327" s="8"/>
      <c r="E327" s="8"/>
      <c r="G327" s="8"/>
      <c r="I327" s="8"/>
      <c r="K327" s="8"/>
      <c r="M327" s="8"/>
      <c r="O327" s="8"/>
      <c r="Q327" s="8"/>
      <c r="S327" s="8"/>
      <c r="V327" s="8"/>
      <c r="X327" s="31"/>
      <c r="Y327" s="31" t="str">
        <f>IF($X327="","",SUMIFS(TARIFF_PROFILES!$D:$D,TARIFF_PROFILES!$A:$A,$X327))</f>
        <v/>
      </c>
      <c r="Z327" s="31" t="str">
        <f>IF($X327="","",SUMIFS(TARIFF_PROFILES!$E:$E,TARIFF_PROFILES!$A:$A,$X327))</f>
        <v/>
      </c>
      <c r="AA327" s="31" t="str">
        <f>IF($X327="","",SUMIFS(TARIFF_PROFILES!$F:$F,TARIFF_PROFILES!$A:$A,$X327))</f>
        <v/>
      </c>
      <c r="AB327" s="31" t="str">
        <f>IF($X327="","",SUMIFS(TARIFF_PROFILES!$G:$G,TARIFF_PROFILES!$A:$A,$X327))</f>
        <v/>
      </c>
      <c r="AC327" s="31" t="str">
        <f>IF($X327="","",SUMIFS(TARIFF_PROFILES!$H:$H,TARIFF_PROFILES!$A:$A,$X327))</f>
        <v/>
      </c>
      <c r="AD327" s="31" t="str">
        <f t="array" ref="AD327">IF($X327="","",INDEX(TARIFF_PROFILES!$J:$J,MATCH($X327,TARIFF_PROFILES!$A:$A,0)))</f>
        <v/>
      </c>
      <c r="AE327" s="31" t="str">
        <f t="array" ref="AE327">IF($X327="","",INDEX(TARIFF_PROFILES!$K:$K,MATCH($X327,TARIFF_PROFILES!$A:$A,0)))</f>
        <v/>
      </c>
      <c r="AG327" s="8"/>
      <c r="AH327" s="8" t="str">
        <f>IF($AG327="","",SUMIFS(OPERATING_COEFFS!$C:$C,OPERATING_COEFFS!$A:$A,"DistanceClass",OPERATING_COEFFS!$B:$B,$AG327))</f>
        <v/>
      </c>
      <c r="AI327" s="8"/>
      <c r="AJ327" s="8" t="str">
        <f>IF($AI327="","",SUMIFS(OPERATING_COEFFS!$C:$C,OPERATING_COEFFS!$A:$A,"SeasonClass",OPERATING_COEFFS!$B:$B,$AI327))</f>
        <v/>
      </c>
      <c r="AK327" s="8"/>
      <c r="AL327" s="8" t="str">
        <f>IF($AK327="","",SUMIFS(OPERATING_COEFFS!$C:$C,OPERATING_COEFFS!$A:$A,"UrgencyClass",OPERATING_COEFFS!$B:$B,$AK327))</f>
        <v/>
      </c>
      <c r="AM327" s="8"/>
      <c r="AN327" s="8" t="str">
        <f t="array" ref="AN327">IF($AM327="","",INDEX(TAX_MODES!$B:$B,MATCH($AM327,TAX_MODES!$A:$A,0)))</f>
        <v/>
      </c>
    </row>
    <row r="328" ht="14.25" customHeight="1">
      <c r="C328" s="8"/>
      <c r="E328" s="8"/>
      <c r="G328" s="8"/>
      <c r="I328" s="8"/>
      <c r="K328" s="8"/>
      <c r="M328" s="8"/>
      <c r="O328" s="8"/>
      <c r="Q328" s="8"/>
      <c r="S328" s="8"/>
      <c r="V328" s="8"/>
      <c r="X328" s="31"/>
      <c r="Y328" s="31" t="str">
        <f>IF($X328="","",SUMIFS(TARIFF_PROFILES!$D:$D,TARIFF_PROFILES!$A:$A,$X328))</f>
        <v/>
      </c>
      <c r="Z328" s="31" t="str">
        <f>IF($X328="","",SUMIFS(TARIFF_PROFILES!$E:$E,TARIFF_PROFILES!$A:$A,$X328))</f>
        <v/>
      </c>
      <c r="AA328" s="31" t="str">
        <f>IF($X328="","",SUMIFS(TARIFF_PROFILES!$F:$F,TARIFF_PROFILES!$A:$A,$X328))</f>
        <v/>
      </c>
      <c r="AB328" s="31" t="str">
        <f>IF($X328="","",SUMIFS(TARIFF_PROFILES!$G:$G,TARIFF_PROFILES!$A:$A,$X328))</f>
        <v/>
      </c>
      <c r="AC328" s="31" t="str">
        <f>IF($X328="","",SUMIFS(TARIFF_PROFILES!$H:$H,TARIFF_PROFILES!$A:$A,$X328))</f>
        <v/>
      </c>
      <c r="AD328" s="31" t="str">
        <f t="array" ref="AD328">IF($X328="","",INDEX(TARIFF_PROFILES!$J:$J,MATCH($X328,TARIFF_PROFILES!$A:$A,0)))</f>
        <v/>
      </c>
      <c r="AE328" s="31" t="str">
        <f t="array" ref="AE328">IF($X328="","",INDEX(TARIFF_PROFILES!$K:$K,MATCH($X328,TARIFF_PROFILES!$A:$A,0)))</f>
        <v/>
      </c>
      <c r="AG328" s="8"/>
      <c r="AH328" s="8" t="str">
        <f>IF($AG328="","",SUMIFS(OPERATING_COEFFS!$C:$C,OPERATING_COEFFS!$A:$A,"DistanceClass",OPERATING_COEFFS!$B:$B,$AG328))</f>
        <v/>
      </c>
      <c r="AI328" s="8"/>
      <c r="AJ328" s="8" t="str">
        <f>IF($AI328="","",SUMIFS(OPERATING_COEFFS!$C:$C,OPERATING_COEFFS!$A:$A,"SeasonClass",OPERATING_COEFFS!$B:$B,$AI328))</f>
        <v/>
      </c>
      <c r="AK328" s="8"/>
      <c r="AL328" s="8" t="str">
        <f>IF($AK328="","",SUMIFS(OPERATING_COEFFS!$C:$C,OPERATING_COEFFS!$A:$A,"UrgencyClass",OPERATING_COEFFS!$B:$B,$AK328))</f>
        <v/>
      </c>
      <c r="AM328" s="8"/>
      <c r="AN328" s="8" t="str">
        <f t="array" ref="AN328">IF($AM328="","",INDEX(TAX_MODES!$B:$B,MATCH($AM328,TAX_MODES!$A:$A,0)))</f>
        <v/>
      </c>
    </row>
    <row r="329" ht="14.25" customHeight="1">
      <c r="C329" s="8"/>
      <c r="E329" s="8"/>
      <c r="G329" s="8"/>
      <c r="I329" s="8"/>
      <c r="K329" s="8"/>
      <c r="M329" s="8"/>
      <c r="O329" s="8"/>
      <c r="Q329" s="8"/>
      <c r="S329" s="8"/>
      <c r="V329" s="8"/>
      <c r="X329" s="31"/>
      <c r="Y329" s="31" t="str">
        <f>IF($X329="","",SUMIFS(TARIFF_PROFILES!$D:$D,TARIFF_PROFILES!$A:$A,$X329))</f>
        <v/>
      </c>
      <c r="Z329" s="31" t="str">
        <f>IF($X329="","",SUMIFS(TARIFF_PROFILES!$E:$E,TARIFF_PROFILES!$A:$A,$X329))</f>
        <v/>
      </c>
      <c r="AA329" s="31" t="str">
        <f>IF($X329="","",SUMIFS(TARIFF_PROFILES!$F:$F,TARIFF_PROFILES!$A:$A,$X329))</f>
        <v/>
      </c>
      <c r="AB329" s="31" t="str">
        <f>IF($X329="","",SUMIFS(TARIFF_PROFILES!$G:$G,TARIFF_PROFILES!$A:$A,$X329))</f>
        <v/>
      </c>
      <c r="AC329" s="31" t="str">
        <f>IF($X329="","",SUMIFS(TARIFF_PROFILES!$H:$H,TARIFF_PROFILES!$A:$A,$X329))</f>
        <v/>
      </c>
      <c r="AD329" s="31" t="str">
        <f t="array" ref="AD329">IF($X329="","",INDEX(TARIFF_PROFILES!$J:$J,MATCH($X329,TARIFF_PROFILES!$A:$A,0)))</f>
        <v/>
      </c>
      <c r="AE329" s="31" t="str">
        <f t="array" ref="AE329">IF($X329="","",INDEX(TARIFF_PROFILES!$K:$K,MATCH($X329,TARIFF_PROFILES!$A:$A,0)))</f>
        <v/>
      </c>
      <c r="AG329" s="8"/>
      <c r="AH329" s="8" t="str">
        <f>IF($AG329="","",SUMIFS(OPERATING_COEFFS!$C:$C,OPERATING_COEFFS!$A:$A,"DistanceClass",OPERATING_COEFFS!$B:$B,$AG329))</f>
        <v/>
      </c>
      <c r="AI329" s="8"/>
      <c r="AJ329" s="8" t="str">
        <f>IF($AI329="","",SUMIFS(OPERATING_COEFFS!$C:$C,OPERATING_COEFFS!$A:$A,"SeasonClass",OPERATING_COEFFS!$B:$B,$AI329))</f>
        <v/>
      </c>
      <c r="AK329" s="8"/>
      <c r="AL329" s="8" t="str">
        <f>IF($AK329="","",SUMIFS(OPERATING_COEFFS!$C:$C,OPERATING_COEFFS!$A:$A,"UrgencyClass",OPERATING_COEFFS!$B:$B,$AK329))</f>
        <v/>
      </c>
      <c r="AM329" s="8"/>
      <c r="AN329" s="8" t="str">
        <f t="array" ref="AN329">IF($AM329="","",INDEX(TAX_MODES!$B:$B,MATCH($AM329,TAX_MODES!$A:$A,0)))</f>
        <v/>
      </c>
    </row>
    <row r="330" ht="14.25" customHeight="1">
      <c r="C330" s="8"/>
      <c r="E330" s="8"/>
      <c r="G330" s="8"/>
      <c r="I330" s="8"/>
      <c r="K330" s="8"/>
      <c r="M330" s="8"/>
      <c r="O330" s="8"/>
      <c r="Q330" s="8"/>
      <c r="S330" s="8"/>
      <c r="V330" s="8"/>
      <c r="X330" s="31"/>
      <c r="Y330" s="31" t="str">
        <f>IF($X330="","",SUMIFS(TARIFF_PROFILES!$D:$D,TARIFF_PROFILES!$A:$A,$X330))</f>
        <v/>
      </c>
      <c r="Z330" s="31" t="str">
        <f>IF($X330="","",SUMIFS(TARIFF_PROFILES!$E:$E,TARIFF_PROFILES!$A:$A,$X330))</f>
        <v/>
      </c>
      <c r="AA330" s="31" t="str">
        <f>IF($X330="","",SUMIFS(TARIFF_PROFILES!$F:$F,TARIFF_PROFILES!$A:$A,$X330))</f>
        <v/>
      </c>
      <c r="AB330" s="31" t="str">
        <f>IF($X330="","",SUMIFS(TARIFF_PROFILES!$G:$G,TARIFF_PROFILES!$A:$A,$X330))</f>
        <v/>
      </c>
      <c r="AC330" s="31" t="str">
        <f>IF($X330="","",SUMIFS(TARIFF_PROFILES!$H:$H,TARIFF_PROFILES!$A:$A,$X330))</f>
        <v/>
      </c>
      <c r="AD330" s="31" t="str">
        <f t="array" ref="AD330">IF($X330="","",INDEX(TARIFF_PROFILES!$J:$J,MATCH($X330,TARIFF_PROFILES!$A:$A,0)))</f>
        <v/>
      </c>
      <c r="AE330" s="31" t="str">
        <f t="array" ref="AE330">IF($X330="","",INDEX(TARIFF_PROFILES!$K:$K,MATCH($X330,TARIFF_PROFILES!$A:$A,0)))</f>
        <v/>
      </c>
      <c r="AG330" s="8"/>
      <c r="AH330" s="8" t="str">
        <f>IF($AG330="","",SUMIFS(OPERATING_COEFFS!$C:$C,OPERATING_COEFFS!$A:$A,"DistanceClass",OPERATING_COEFFS!$B:$B,$AG330))</f>
        <v/>
      </c>
      <c r="AI330" s="8"/>
      <c r="AJ330" s="8" t="str">
        <f>IF($AI330="","",SUMIFS(OPERATING_COEFFS!$C:$C,OPERATING_COEFFS!$A:$A,"SeasonClass",OPERATING_COEFFS!$B:$B,$AI330))</f>
        <v/>
      </c>
      <c r="AK330" s="8"/>
      <c r="AL330" s="8" t="str">
        <f>IF($AK330="","",SUMIFS(OPERATING_COEFFS!$C:$C,OPERATING_COEFFS!$A:$A,"UrgencyClass",OPERATING_COEFFS!$B:$B,$AK330))</f>
        <v/>
      </c>
      <c r="AM330" s="8"/>
      <c r="AN330" s="8" t="str">
        <f t="array" ref="AN330">IF($AM330="","",INDEX(TAX_MODES!$B:$B,MATCH($AM330,TAX_MODES!$A:$A,0)))</f>
        <v/>
      </c>
    </row>
    <row r="331" ht="14.25" customHeight="1">
      <c r="C331" s="8"/>
      <c r="E331" s="8"/>
      <c r="G331" s="8"/>
      <c r="I331" s="8"/>
      <c r="K331" s="8"/>
      <c r="M331" s="8"/>
      <c r="O331" s="8"/>
      <c r="Q331" s="8"/>
      <c r="S331" s="8"/>
      <c r="V331" s="8"/>
      <c r="X331" s="31"/>
      <c r="Y331" s="31" t="str">
        <f>IF($X331="","",SUMIFS(TARIFF_PROFILES!$D:$D,TARIFF_PROFILES!$A:$A,$X331))</f>
        <v/>
      </c>
      <c r="Z331" s="31" t="str">
        <f>IF($X331="","",SUMIFS(TARIFF_PROFILES!$E:$E,TARIFF_PROFILES!$A:$A,$X331))</f>
        <v/>
      </c>
      <c r="AA331" s="31" t="str">
        <f>IF($X331="","",SUMIFS(TARIFF_PROFILES!$F:$F,TARIFF_PROFILES!$A:$A,$X331))</f>
        <v/>
      </c>
      <c r="AB331" s="31" t="str">
        <f>IF($X331="","",SUMIFS(TARIFF_PROFILES!$G:$G,TARIFF_PROFILES!$A:$A,$X331))</f>
        <v/>
      </c>
      <c r="AC331" s="31" t="str">
        <f>IF($X331="","",SUMIFS(TARIFF_PROFILES!$H:$H,TARIFF_PROFILES!$A:$A,$X331))</f>
        <v/>
      </c>
      <c r="AD331" s="31" t="str">
        <f t="array" ref="AD331">IF($X331="","",INDEX(TARIFF_PROFILES!$J:$J,MATCH($X331,TARIFF_PROFILES!$A:$A,0)))</f>
        <v/>
      </c>
      <c r="AE331" s="31" t="str">
        <f t="array" ref="AE331">IF($X331="","",INDEX(TARIFF_PROFILES!$K:$K,MATCH($X331,TARIFF_PROFILES!$A:$A,0)))</f>
        <v/>
      </c>
      <c r="AG331" s="8"/>
      <c r="AH331" s="8" t="str">
        <f>IF($AG331="","",SUMIFS(OPERATING_COEFFS!$C:$C,OPERATING_COEFFS!$A:$A,"DistanceClass",OPERATING_COEFFS!$B:$B,$AG331))</f>
        <v/>
      </c>
      <c r="AI331" s="8"/>
      <c r="AJ331" s="8" t="str">
        <f>IF($AI331="","",SUMIFS(OPERATING_COEFFS!$C:$C,OPERATING_COEFFS!$A:$A,"SeasonClass",OPERATING_COEFFS!$B:$B,$AI331))</f>
        <v/>
      </c>
      <c r="AK331" s="8"/>
      <c r="AL331" s="8" t="str">
        <f>IF($AK331="","",SUMIFS(OPERATING_COEFFS!$C:$C,OPERATING_COEFFS!$A:$A,"UrgencyClass",OPERATING_COEFFS!$B:$B,$AK331))</f>
        <v/>
      </c>
      <c r="AM331" s="8"/>
      <c r="AN331" s="8" t="str">
        <f t="array" ref="AN331">IF($AM331="","",INDEX(TAX_MODES!$B:$B,MATCH($AM331,TAX_MODES!$A:$A,0)))</f>
        <v/>
      </c>
    </row>
    <row r="332" ht="14.25" customHeight="1">
      <c r="C332" s="8"/>
      <c r="E332" s="8"/>
      <c r="G332" s="8"/>
      <c r="I332" s="8"/>
      <c r="K332" s="8"/>
      <c r="M332" s="8"/>
      <c r="O332" s="8"/>
      <c r="Q332" s="8"/>
      <c r="S332" s="8"/>
      <c r="V332" s="8"/>
      <c r="X332" s="31"/>
      <c r="Y332" s="31" t="str">
        <f>IF($X332="","",SUMIFS(TARIFF_PROFILES!$D:$D,TARIFF_PROFILES!$A:$A,$X332))</f>
        <v/>
      </c>
      <c r="Z332" s="31" t="str">
        <f>IF($X332="","",SUMIFS(TARIFF_PROFILES!$E:$E,TARIFF_PROFILES!$A:$A,$X332))</f>
        <v/>
      </c>
      <c r="AA332" s="31" t="str">
        <f>IF($X332="","",SUMIFS(TARIFF_PROFILES!$F:$F,TARIFF_PROFILES!$A:$A,$X332))</f>
        <v/>
      </c>
      <c r="AB332" s="31" t="str">
        <f>IF($X332="","",SUMIFS(TARIFF_PROFILES!$G:$G,TARIFF_PROFILES!$A:$A,$X332))</f>
        <v/>
      </c>
      <c r="AC332" s="31" t="str">
        <f>IF($X332="","",SUMIFS(TARIFF_PROFILES!$H:$H,TARIFF_PROFILES!$A:$A,$X332))</f>
        <v/>
      </c>
      <c r="AD332" s="31" t="str">
        <f t="array" ref="AD332">IF($X332="","",INDEX(TARIFF_PROFILES!$J:$J,MATCH($X332,TARIFF_PROFILES!$A:$A,0)))</f>
        <v/>
      </c>
      <c r="AE332" s="31" t="str">
        <f t="array" ref="AE332">IF($X332="","",INDEX(TARIFF_PROFILES!$K:$K,MATCH($X332,TARIFF_PROFILES!$A:$A,0)))</f>
        <v/>
      </c>
      <c r="AG332" s="8"/>
      <c r="AH332" s="8" t="str">
        <f>IF($AG332="","",SUMIFS(OPERATING_COEFFS!$C:$C,OPERATING_COEFFS!$A:$A,"DistanceClass",OPERATING_COEFFS!$B:$B,$AG332))</f>
        <v/>
      </c>
      <c r="AI332" s="8"/>
      <c r="AJ332" s="8" t="str">
        <f>IF($AI332="","",SUMIFS(OPERATING_COEFFS!$C:$C,OPERATING_COEFFS!$A:$A,"SeasonClass",OPERATING_COEFFS!$B:$B,$AI332))</f>
        <v/>
      </c>
      <c r="AK332" s="8"/>
      <c r="AL332" s="8" t="str">
        <f>IF($AK332="","",SUMIFS(OPERATING_COEFFS!$C:$C,OPERATING_COEFFS!$A:$A,"UrgencyClass",OPERATING_COEFFS!$B:$B,$AK332))</f>
        <v/>
      </c>
      <c r="AM332" s="8"/>
      <c r="AN332" s="8" t="str">
        <f t="array" ref="AN332">IF($AM332="","",INDEX(TAX_MODES!$B:$B,MATCH($AM332,TAX_MODES!$A:$A,0)))</f>
        <v/>
      </c>
    </row>
    <row r="333" ht="14.25" customHeight="1">
      <c r="C333" s="8"/>
      <c r="E333" s="8"/>
      <c r="G333" s="8"/>
      <c r="I333" s="8"/>
      <c r="K333" s="8"/>
      <c r="M333" s="8"/>
      <c r="O333" s="8"/>
      <c r="Q333" s="8"/>
      <c r="S333" s="8"/>
      <c r="V333" s="8"/>
      <c r="X333" s="31"/>
      <c r="Y333" s="31" t="str">
        <f>IF($X333="","",SUMIFS(TARIFF_PROFILES!$D:$D,TARIFF_PROFILES!$A:$A,$X333))</f>
        <v/>
      </c>
      <c r="Z333" s="31" t="str">
        <f>IF($X333="","",SUMIFS(TARIFF_PROFILES!$E:$E,TARIFF_PROFILES!$A:$A,$X333))</f>
        <v/>
      </c>
      <c r="AA333" s="31" t="str">
        <f>IF($X333="","",SUMIFS(TARIFF_PROFILES!$F:$F,TARIFF_PROFILES!$A:$A,$X333))</f>
        <v/>
      </c>
      <c r="AB333" s="31" t="str">
        <f>IF($X333="","",SUMIFS(TARIFF_PROFILES!$G:$G,TARIFF_PROFILES!$A:$A,$X333))</f>
        <v/>
      </c>
      <c r="AC333" s="31" t="str">
        <f>IF($X333="","",SUMIFS(TARIFF_PROFILES!$H:$H,TARIFF_PROFILES!$A:$A,$X333))</f>
        <v/>
      </c>
      <c r="AD333" s="31" t="str">
        <f t="array" ref="AD333">IF($X333="","",INDEX(TARIFF_PROFILES!$J:$J,MATCH($X333,TARIFF_PROFILES!$A:$A,0)))</f>
        <v/>
      </c>
      <c r="AE333" s="31" t="str">
        <f t="array" ref="AE333">IF($X333="","",INDEX(TARIFF_PROFILES!$K:$K,MATCH($X333,TARIFF_PROFILES!$A:$A,0)))</f>
        <v/>
      </c>
      <c r="AG333" s="8"/>
      <c r="AH333" s="8" t="str">
        <f>IF($AG333="","",SUMIFS(OPERATING_COEFFS!$C:$C,OPERATING_COEFFS!$A:$A,"DistanceClass",OPERATING_COEFFS!$B:$B,$AG333))</f>
        <v/>
      </c>
      <c r="AI333" s="8"/>
      <c r="AJ333" s="8" t="str">
        <f>IF($AI333="","",SUMIFS(OPERATING_COEFFS!$C:$C,OPERATING_COEFFS!$A:$A,"SeasonClass",OPERATING_COEFFS!$B:$B,$AI333))</f>
        <v/>
      </c>
      <c r="AK333" s="8"/>
      <c r="AL333" s="8" t="str">
        <f>IF($AK333="","",SUMIFS(OPERATING_COEFFS!$C:$C,OPERATING_COEFFS!$A:$A,"UrgencyClass",OPERATING_COEFFS!$B:$B,$AK333))</f>
        <v/>
      </c>
      <c r="AM333" s="8"/>
      <c r="AN333" s="8" t="str">
        <f t="array" ref="AN333">IF($AM333="","",INDEX(TAX_MODES!$B:$B,MATCH($AM333,TAX_MODES!$A:$A,0)))</f>
        <v/>
      </c>
    </row>
    <row r="334" ht="14.25" customHeight="1">
      <c r="C334" s="8"/>
      <c r="E334" s="8"/>
      <c r="G334" s="8"/>
      <c r="I334" s="8"/>
      <c r="K334" s="8"/>
      <c r="M334" s="8"/>
      <c r="O334" s="8"/>
      <c r="Q334" s="8"/>
      <c r="S334" s="8"/>
      <c r="V334" s="8"/>
      <c r="X334" s="31"/>
      <c r="Y334" s="31" t="str">
        <f>IF($X334="","",SUMIFS(TARIFF_PROFILES!$D:$D,TARIFF_PROFILES!$A:$A,$X334))</f>
        <v/>
      </c>
      <c r="Z334" s="31" t="str">
        <f>IF($X334="","",SUMIFS(TARIFF_PROFILES!$E:$E,TARIFF_PROFILES!$A:$A,$X334))</f>
        <v/>
      </c>
      <c r="AA334" s="31" t="str">
        <f>IF($X334="","",SUMIFS(TARIFF_PROFILES!$F:$F,TARIFF_PROFILES!$A:$A,$X334))</f>
        <v/>
      </c>
      <c r="AB334" s="31" t="str">
        <f>IF($X334="","",SUMIFS(TARIFF_PROFILES!$G:$G,TARIFF_PROFILES!$A:$A,$X334))</f>
        <v/>
      </c>
      <c r="AC334" s="31" t="str">
        <f>IF($X334="","",SUMIFS(TARIFF_PROFILES!$H:$H,TARIFF_PROFILES!$A:$A,$X334))</f>
        <v/>
      </c>
      <c r="AD334" s="31" t="str">
        <f t="array" ref="AD334">IF($X334="","",INDEX(TARIFF_PROFILES!$J:$J,MATCH($X334,TARIFF_PROFILES!$A:$A,0)))</f>
        <v/>
      </c>
      <c r="AE334" s="31" t="str">
        <f t="array" ref="AE334">IF($X334="","",INDEX(TARIFF_PROFILES!$K:$K,MATCH($X334,TARIFF_PROFILES!$A:$A,0)))</f>
        <v/>
      </c>
      <c r="AG334" s="8"/>
      <c r="AH334" s="8" t="str">
        <f>IF($AG334="","",SUMIFS(OPERATING_COEFFS!$C:$C,OPERATING_COEFFS!$A:$A,"DistanceClass",OPERATING_COEFFS!$B:$B,$AG334))</f>
        <v/>
      </c>
      <c r="AI334" s="8"/>
      <c r="AJ334" s="8" t="str">
        <f>IF($AI334="","",SUMIFS(OPERATING_COEFFS!$C:$C,OPERATING_COEFFS!$A:$A,"SeasonClass",OPERATING_COEFFS!$B:$B,$AI334))</f>
        <v/>
      </c>
      <c r="AK334" s="8"/>
      <c r="AL334" s="8" t="str">
        <f>IF($AK334="","",SUMIFS(OPERATING_COEFFS!$C:$C,OPERATING_COEFFS!$A:$A,"UrgencyClass",OPERATING_COEFFS!$B:$B,$AK334))</f>
        <v/>
      </c>
      <c r="AM334" s="8"/>
      <c r="AN334" s="8" t="str">
        <f t="array" ref="AN334">IF($AM334="","",INDEX(TAX_MODES!$B:$B,MATCH($AM334,TAX_MODES!$A:$A,0)))</f>
        <v/>
      </c>
    </row>
    <row r="335" ht="14.25" customHeight="1">
      <c r="C335" s="8"/>
      <c r="E335" s="8"/>
      <c r="G335" s="8"/>
      <c r="I335" s="8"/>
      <c r="K335" s="8"/>
      <c r="M335" s="8"/>
      <c r="O335" s="8"/>
      <c r="Q335" s="8"/>
      <c r="S335" s="8"/>
      <c r="V335" s="8"/>
      <c r="X335" s="31"/>
      <c r="Y335" s="31" t="str">
        <f>IF($X335="","",SUMIFS(TARIFF_PROFILES!$D:$D,TARIFF_PROFILES!$A:$A,$X335))</f>
        <v/>
      </c>
      <c r="Z335" s="31" t="str">
        <f>IF($X335="","",SUMIFS(TARIFF_PROFILES!$E:$E,TARIFF_PROFILES!$A:$A,$X335))</f>
        <v/>
      </c>
      <c r="AA335" s="31" t="str">
        <f>IF($X335="","",SUMIFS(TARIFF_PROFILES!$F:$F,TARIFF_PROFILES!$A:$A,$X335))</f>
        <v/>
      </c>
      <c r="AB335" s="31" t="str">
        <f>IF($X335="","",SUMIFS(TARIFF_PROFILES!$G:$G,TARIFF_PROFILES!$A:$A,$X335))</f>
        <v/>
      </c>
      <c r="AC335" s="31" t="str">
        <f>IF($X335="","",SUMIFS(TARIFF_PROFILES!$H:$H,TARIFF_PROFILES!$A:$A,$X335))</f>
        <v/>
      </c>
      <c r="AD335" s="31" t="str">
        <f t="array" ref="AD335">IF($X335="","",INDEX(TARIFF_PROFILES!$J:$J,MATCH($X335,TARIFF_PROFILES!$A:$A,0)))</f>
        <v/>
      </c>
      <c r="AE335" s="31" t="str">
        <f t="array" ref="AE335">IF($X335="","",INDEX(TARIFF_PROFILES!$K:$K,MATCH($X335,TARIFF_PROFILES!$A:$A,0)))</f>
        <v/>
      </c>
      <c r="AG335" s="8"/>
      <c r="AH335" s="8" t="str">
        <f>IF($AG335="","",SUMIFS(OPERATING_COEFFS!$C:$C,OPERATING_COEFFS!$A:$A,"DistanceClass",OPERATING_COEFFS!$B:$B,$AG335))</f>
        <v/>
      </c>
      <c r="AI335" s="8"/>
      <c r="AJ335" s="8" t="str">
        <f>IF($AI335="","",SUMIFS(OPERATING_COEFFS!$C:$C,OPERATING_COEFFS!$A:$A,"SeasonClass",OPERATING_COEFFS!$B:$B,$AI335))</f>
        <v/>
      </c>
      <c r="AK335" s="8"/>
      <c r="AL335" s="8" t="str">
        <f>IF($AK335="","",SUMIFS(OPERATING_COEFFS!$C:$C,OPERATING_COEFFS!$A:$A,"UrgencyClass",OPERATING_COEFFS!$B:$B,$AK335))</f>
        <v/>
      </c>
      <c r="AM335" s="8"/>
      <c r="AN335" s="8" t="str">
        <f t="array" ref="AN335">IF($AM335="","",INDEX(TAX_MODES!$B:$B,MATCH($AM335,TAX_MODES!$A:$A,0)))</f>
        <v/>
      </c>
    </row>
    <row r="336" ht="14.25" customHeight="1">
      <c r="C336" s="8"/>
      <c r="E336" s="8"/>
      <c r="G336" s="8"/>
      <c r="I336" s="8"/>
      <c r="K336" s="8"/>
      <c r="M336" s="8"/>
      <c r="O336" s="8"/>
      <c r="Q336" s="8"/>
      <c r="S336" s="8"/>
      <c r="V336" s="8"/>
      <c r="X336" s="31"/>
      <c r="Y336" s="31" t="str">
        <f>IF($X336="","",SUMIFS(TARIFF_PROFILES!$D:$D,TARIFF_PROFILES!$A:$A,$X336))</f>
        <v/>
      </c>
      <c r="Z336" s="31" t="str">
        <f>IF($X336="","",SUMIFS(TARIFF_PROFILES!$E:$E,TARIFF_PROFILES!$A:$A,$X336))</f>
        <v/>
      </c>
      <c r="AA336" s="31" t="str">
        <f>IF($X336="","",SUMIFS(TARIFF_PROFILES!$F:$F,TARIFF_PROFILES!$A:$A,$X336))</f>
        <v/>
      </c>
      <c r="AB336" s="31" t="str">
        <f>IF($X336="","",SUMIFS(TARIFF_PROFILES!$G:$G,TARIFF_PROFILES!$A:$A,$X336))</f>
        <v/>
      </c>
      <c r="AC336" s="31" t="str">
        <f>IF($X336="","",SUMIFS(TARIFF_PROFILES!$H:$H,TARIFF_PROFILES!$A:$A,$X336))</f>
        <v/>
      </c>
      <c r="AD336" s="31" t="str">
        <f t="array" ref="AD336">IF($X336="","",INDEX(TARIFF_PROFILES!$J:$J,MATCH($X336,TARIFF_PROFILES!$A:$A,0)))</f>
        <v/>
      </c>
      <c r="AE336" s="31" t="str">
        <f t="array" ref="AE336">IF($X336="","",INDEX(TARIFF_PROFILES!$K:$K,MATCH($X336,TARIFF_PROFILES!$A:$A,0)))</f>
        <v/>
      </c>
      <c r="AG336" s="8"/>
      <c r="AH336" s="8" t="str">
        <f>IF($AG336="","",SUMIFS(OPERATING_COEFFS!$C:$C,OPERATING_COEFFS!$A:$A,"DistanceClass",OPERATING_COEFFS!$B:$B,$AG336))</f>
        <v/>
      </c>
      <c r="AI336" s="8"/>
      <c r="AJ336" s="8" t="str">
        <f>IF($AI336="","",SUMIFS(OPERATING_COEFFS!$C:$C,OPERATING_COEFFS!$A:$A,"SeasonClass",OPERATING_COEFFS!$B:$B,$AI336))</f>
        <v/>
      </c>
      <c r="AK336" s="8"/>
      <c r="AL336" s="8" t="str">
        <f>IF($AK336="","",SUMIFS(OPERATING_COEFFS!$C:$C,OPERATING_COEFFS!$A:$A,"UrgencyClass",OPERATING_COEFFS!$B:$B,$AK336))</f>
        <v/>
      </c>
      <c r="AM336" s="8"/>
      <c r="AN336" s="8" t="str">
        <f t="array" ref="AN336">IF($AM336="","",INDEX(TAX_MODES!$B:$B,MATCH($AM336,TAX_MODES!$A:$A,0)))</f>
        <v/>
      </c>
    </row>
    <row r="337" ht="14.25" customHeight="1">
      <c r="C337" s="8"/>
      <c r="E337" s="8"/>
      <c r="G337" s="8"/>
      <c r="I337" s="8"/>
      <c r="K337" s="8"/>
      <c r="M337" s="8"/>
      <c r="O337" s="8"/>
      <c r="Q337" s="8"/>
      <c r="S337" s="8"/>
      <c r="V337" s="8"/>
      <c r="X337" s="31"/>
      <c r="Y337" s="31" t="str">
        <f>IF($X337="","",SUMIFS(TARIFF_PROFILES!$D:$D,TARIFF_PROFILES!$A:$A,$X337))</f>
        <v/>
      </c>
      <c r="Z337" s="31" t="str">
        <f>IF($X337="","",SUMIFS(TARIFF_PROFILES!$E:$E,TARIFF_PROFILES!$A:$A,$X337))</f>
        <v/>
      </c>
      <c r="AA337" s="31" t="str">
        <f>IF($X337="","",SUMIFS(TARIFF_PROFILES!$F:$F,TARIFF_PROFILES!$A:$A,$X337))</f>
        <v/>
      </c>
      <c r="AB337" s="31" t="str">
        <f>IF($X337="","",SUMIFS(TARIFF_PROFILES!$G:$G,TARIFF_PROFILES!$A:$A,$X337))</f>
        <v/>
      </c>
      <c r="AC337" s="31" t="str">
        <f>IF($X337="","",SUMIFS(TARIFF_PROFILES!$H:$H,TARIFF_PROFILES!$A:$A,$X337))</f>
        <v/>
      </c>
      <c r="AD337" s="31" t="str">
        <f t="array" ref="AD337">IF($X337="","",INDEX(TARIFF_PROFILES!$J:$J,MATCH($X337,TARIFF_PROFILES!$A:$A,0)))</f>
        <v/>
      </c>
      <c r="AE337" s="31" t="str">
        <f t="array" ref="AE337">IF($X337="","",INDEX(TARIFF_PROFILES!$K:$K,MATCH($X337,TARIFF_PROFILES!$A:$A,0)))</f>
        <v/>
      </c>
      <c r="AG337" s="8"/>
      <c r="AH337" s="8" t="str">
        <f>IF($AG337="","",SUMIFS(OPERATING_COEFFS!$C:$C,OPERATING_COEFFS!$A:$A,"DistanceClass",OPERATING_COEFFS!$B:$B,$AG337))</f>
        <v/>
      </c>
      <c r="AI337" s="8"/>
      <c r="AJ337" s="8" t="str">
        <f>IF($AI337="","",SUMIFS(OPERATING_COEFFS!$C:$C,OPERATING_COEFFS!$A:$A,"SeasonClass",OPERATING_COEFFS!$B:$B,$AI337))</f>
        <v/>
      </c>
      <c r="AK337" s="8"/>
      <c r="AL337" s="8" t="str">
        <f>IF($AK337="","",SUMIFS(OPERATING_COEFFS!$C:$C,OPERATING_COEFFS!$A:$A,"UrgencyClass",OPERATING_COEFFS!$B:$B,$AK337))</f>
        <v/>
      </c>
      <c r="AM337" s="8"/>
      <c r="AN337" s="8" t="str">
        <f t="array" ref="AN337">IF($AM337="","",INDEX(TAX_MODES!$B:$B,MATCH($AM337,TAX_MODES!$A:$A,0)))</f>
        <v/>
      </c>
    </row>
    <row r="338" ht="14.25" customHeight="1">
      <c r="C338" s="8"/>
      <c r="E338" s="8"/>
      <c r="G338" s="8"/>
      <c r="I338" s="8"/>
      <c r="K338" s="8"/>
      <c r="M338" s="8"/>
      <c r="O338" s="8"/>
      <c r="Q338" s="8"/>
      <c r="S338" s="8"/>
      <c r="V338" s="8"/>
      <c r="X338" s="31"/>
      <c r="Y338" s="31" t="str">
        <f>IF($X338="","",SUMIFS(TARIFF_PROFILES!$D:$D,TARIFF_PROFILES!$A:$A,$X338))</f>
        <v/>
      </c>
      <c r="Z338" s="31" t="str">
        <f>IF($X338="","",SUMIFS(TARIFF_PROFILES!$E:$E,TARIFF_PROFILES!$A:$A,$X338))</f>
        <v/>
      </c>
      <c r="AA338" s="31" t="str">
        <f>IF($X338="","",SUMIFS(TARIFF_PROFILES!$F:$F,TARIFF_PROFILES!$A:$A,$X338))</f>
        <v/>
      </c>
      <c r="AB338" s="31" t="str">
        <f>IF($X338="","",SUMIFS(TARIFF_PROFILES!$G:$G,TARIFF_PROFILES!$A:$A,$X338))</f>
        <v/>
      </c>
      <c r="AC338" s="31" t="str">
        <f>IF($X338="","",SUMIFS(TARIFF_PROFILES!$H:$H,TARIFF_PROFILES!$A:$A,$X338))</f>
        <v/>
      </c>
      <c r="AD338" s="31" t="str">
        <f t="array" ref="AD338">IF($X338="","",INDEX(TARIFF_PROFILES!$J:$J,MATCH($X338,TARIFF_PROFILES!$A:$A,0)))</f>
        <v/>
      </c>
      <c r="AE338" s="31" t="str">
        <f t="array" ref="AE338">IF($X338="","",INDEX(TARIFF_PROFILES!$K:$K,MATCH($X338,TARIFF_PROFILES!$A:$A,0)))</f>
        <v/>
      </c>
      <c r="AG338" s="8"/>
      <c r="AH338" s="8" t="str">
        <f>IF($AG338="","",SUMIFS(OPERATING_COEFFS!$C:$C,OPERATING_COEFFS!$A:$A,"DistanceClass",OPERATING_COEFFS!$B:$B,$AG338))</f>
        <v/>
      </c>
      <c r="AI338" s="8"/>
      <c r="AJ338" s="8" t="str">
        <f>IF($AI338="","",SUMIFS(OPERATING_COEFFS!$C:$C,OPERATING_COEFFS!$A:$A,"SeasonClass",OPERATING_COEFFS!$B:$B,$AI338))</f>
        <v/>
      </c>
      <c r="AK338" s="8"/>
      <c r="AL338" s="8" t="str">
        <f>IF($AK338="","",SUMIFS(OPERATING_COEFFS!$C:$C,OPERATING_COEFFS!$A:$A,"UrgencyClass",OPERATING_COEFFS!$B:$B,$AK338))</f>
        <v/>
      </c>
      <c r="AM338" s="8"/>
      <c r="AN338" s="8" t="str">
        <f t="array" ref="AN338">IF($AM338="","",INDEX(TAX_MODES!$B:$B,MATCH($AM338,TAX_MODES!$A:$A,0)))</f>
        <v/>
      </c>
    </row>
    <row r="339" ht="14.25" customHeight="1">
      <c r="C339" s="8"/>
      <c r="E339" s="8"/>
      <c r="G339" s="8"/>
      <c r="I339" s="8"/>
      <c r="K339" s="8"/>
      <c r="M339" s="8"/>
      <c r="O339" s="8"/>
      <c r="Q339" s="8"/>
      <c r="S339" s="8"/>
      <c r="V339" s="8"/>
      <c r="X339" s="31"/>
      <c r="Y339" s="31" t="str">
        <f>IF($X339="","",SUMIFS(TARIFF_PROFILES!$D:$D,TARIFF_PROFILES!$A:$A,$X339))</f>
        <v/>
      </c>
      <c r="Z339" s="31" t="str">
        <f>IF($X339="","",SUMIFS(TARIFF_PROFILES!$E:$E,TARIFF_PROFILES!$A:$A,$X339))</f>
        <v/>
      </c>
      <c r="AA339" s="31" t="str">
        <f>IF($X339="","",SUMIFS(TARIFF_PROFILES!$F:$F,TARIFF_PROFILES!$A:$A,$X339))</f>
        <v/>
      </c>
      <c r="AB339" s="31" t="str">
        <f>IF($X339="","",SUMIFS(TARIFF_PROFILES!$G:$G,TARIFF_PROFILES!$A:$A,$X339))</f>
        <v/>
      </c>
      <c r="AC339" s="31" t="str">
        <f>IF($X339="","",SUMIFS(TARIFF_PROFILES!$H:$H,TARIFF_PROFILES!$A:$A,$X339))</f>
        <v/>
      </c>
      <c r="AD339" s="31" t="str">
        <f t="array" ref="AD339">IF($X339="","",INDEX(TARIFF_PROFILES!$J:$J,MATCH($X339,TARIFF_PROFILES!$A:$A,0)))</f>
        <v/>
      </c>
      <c r="AE339" s="31" t="str">
        <f t="array" ref="AE339">IF($X339="","",INDEX(TARIFF_PROFILES!$K:$K,MATCH($X339,TARIFF_PROFILES!$A:$A,0)))</f>
        <v/>
      </c>
      <c r="AG339" s="8"/>
      <c r="AH339" s="8" t="str">
        <f>IF($AG339="","",SUMIFS(OPERATING_COEFFS!$C:$C,OPERATING_COEFFS!$A:$A,"DistanceClass",OPERATING_COEFFS!$B:$B,$AG339))</f>
        <v/>
      </c>
      <c r="AI339" s="8"/>
      <c r="AJ339" s="8" t="str">
        <f>IF($AI339="","",SUMIFS(OPERATING_COEFFS!$C:$C,OPERATING_COEFFS!$A:$A,"SeasonClass",OPERATING_COEFFS!$B:$B,$AI339))</f>
        <v/>
      </c>
      <c r="AK339" s="8"/>
      <c r="AL339" s="8" t="str">
        <f>IF($AK339="","",SUMIFS(OPERATING_COEFFS!$C:$C,OPERATING_COEFFS!$A:$A,"UrgencyClass",OPERATING_COEFFS!$B:$B,$AK339))</f>
        <v/>
      </c>
      <c r="AM339" s="8"/>
      <c r="AN339" s="8" t="str">
        <f t="array" ref="AN339">IF($AM339="","",INDEX(TAX_MODES!$B:$B,MATCH($AM339,TAX_MODES!$A:$A,0)))</f>
        <v/>
      </c>
    </row>
    <row r="340" ht="14.25" customHeight="1">
      <c r="C340" s="8"/>
      <c r="E340" s="8"/>
      <c r="G340" s="8"/>
      <c r="I340" s="8"/>
      <c r="K340" s="8"/>
      <c r="M340" s="8"/>
      <c r="O340" s="8"/>
      <c r="Q340" s="8"/>
      <c r="S340" s="8"/>
      <c r="V340" s="8"/>
      <c r="X340" s="31"/>
      <c r="Y340" s="31" t="str">
        <f>IF($X340="","",SUMIFS(TARIFF_PROFILES!$D:$D,TARIFF_PROFILES!$A:$A,$X340))</f>
        <v/>
      </c>
      <c r="Z340" s="31" t="str">
        <f>IF($X340="","",SUMIFS(TARIFF_PROFILES!$E:$E,TARIFF_PROFILES!$A:$A,$X340))</f>
        <v/>
      </c>
      <c r="AA340" s="31" t="str">
        <f>IF($X340="","",SUMIFS(TARIFF_PROFILES!$F:$F,TARIFF_PROFILES!$A:$A,$X340))</f>
        <v/>
      </c>
      <c r="AB340" s="31" t="str">
        <f>IF($X340="","",SUMIFS(TARIFF_PROFILES!$G:$G,TARIFF_PROFILES!$A:$A,$X340))</f>
        <v/>
      </c>
      <c r="AC340" s="31" t="str">
        <f>IF($X340="","",SUMIFS(TARIFF_PROFILES!$H:$H,TARIFF_PROFILES!$A:$A,$X340))</f>
        <v/>
      </c>
      <c r="AD340" s="31" t="str">
        <f t="array" ref="AD340">IF($X340="","",INDEX(TARIFF_PROFILES!$J:$J,MATCH($X340,TARIFF_PROFILES!$A:$A,0)))</f>
        <v/>
      </c>
      <c r="AE340" s="31" t="str">
        <f t="array" ref="AE340">IF($X340="","",INDEX(TARIFF_PROFILES!$K:$K,MATCH($X340,TARIFF_PROFILES!$A:$A,0)))</f>
        <v/>
      </c>
      <c r="AG340" s="8"/>
      <c r="AH340" s="8" t="str">
        <f>IF($AG340="","",SUMIFS(OPERATING_COEFFS!$C:$C,OPERATING_COEFFS!$A:$A,"DistanceClass",OPERATING_COEFFS!$B:$B,$AG340))</f>
        <v/>
      </c>
      <c r="AI340" s="8"/>
      <c r="AJ340" s="8" t="str">
        <f>IF($AI340="","",SUMIFS(OPERATING_COEFFS!$C:$C,OPERATING_COEFFS!$A:$A,"SeasonClass",OPERATING_COEFFS!$B:$B,$AI340))</f>
        <v/>
      </c>
      <c r="AK340" s="8"/>
      <c r="AL340" s="8" t="str">
        <f>IF($AK340="","",SUMIFS(OPERATING_COEFFS!$C:$C,OPERATING_COEFFS!$A:$A,"UrgencyClass",OPERATING_COEFFS!$B:$B,$AK340))</f>
        <v/>
      </c>
      <c r="AM340" s="8"/>
      <c r="AN340" s="8" t="str">
        <f t="array" ref="AN340">IF($AM340="","",INDEX(TAX_MODES!$B:$B,MATCH($AM340,TAX_MODES!$A:$A,0)))</f>
        <v/>
      </c>
    </row>
    <row r="341" ht="14.25" customHeight="1">
      <c r="C341" s="8"/>
      <c r="E341" s="8"/>
      <c r="G341" s="8"/>
      <c r="I341" s="8"/>
      <c r="K341" s="8"/>
      <c r="M341" s="8"/>
      <c r="O341" s="8"/>
      <c r="Q341" s="8"/>
      <c r="S341" s="8"/>
      <c r="V341" s="8"/>
      <c r="X341" s="31"/>
      <c r="Y341" s="31" t="str">
        <f>IF($X341="","",SUMIFS(TARIFF_PROFILES!$D:$D,TARIFF_PROFILES!$A:$A,$X341))</f>
        <v/>
      </c>
      <c r="Z341" s="31" t="str">
        <f>IF($X341="","",SUMIFS(TARIFF_PROFILES!$E:$E,TARIFF_PROFILES!$A:$A,$X341))</f>
        <v/>
      </c>
      <c r="AA341" s="31" t="str">
        <f>IF($X341="","",SUMIFS(TARIFF_PROFILES!$F:$F,TARIFF_PROFILES!$A:$A,$X341))</f>
        <v/>
      </c>
      <c r="AB341" s="31" t="str">
        <f>IF($X341="","",SUMIFS(TARIFF_PROFILES!$G:$G,TARIFF_PROFILES!$A:$A,$X341))</f>
        <v/>
      </c>
      <c r="AC341" s="31" t="str">
        <f>IF($X341="","",SUMIFS(TARIFF_PROFILES!$H:$H,TARIFF_PROFILES!$A:$A,$X341))</f>
        <v/>
      </c>
      <c r="AD341" s="31" t="str">
        <f t="array" ref="AD341">IF($X341="","",INDEX(TARIFF_PROFILES!$J:$J,MATCH($X341,TARIFF_PROFILES!$A:$A,0)))</f>
        <v/>
      </c>
      <c r="AE341" s="31" t="str">
        <f t="array" ref="AE341">IF($X341="","",INDEX(TARIFF_PROFILES!$K:$K,MATCH($X341,TARIFF_PROFILES!$A:$A,0)))</f>
        <v/>
      </c>
      <c r="AG341" s="8"/>
      <c r="AH341" s="8" t="str">
        <f>IF($AG341="","",SUMIFS(OPERATING_COEFFS!$C:$C,OPERATING_COEFFS!$A:$A,"DistanceClass",OPERATING_COEFFS!$B:$B,$AG341))</f>
        <v/>
      </c>
      <c r="AI341" s="8"/>
      <c r="AJ341" s="8" t="str">
        <f>IF($AI341="","",SUMIFS(OPERATING_COEFFS!$C:$C,OPERATING_COEFFS!$A:$A,"SeasonClass",OPERATING_COEFFS!$B:$B,$AI341))</f>
        <v/>
      </c>
      <c r="AK341" s="8"/>
      <c r="AL341" s="8" t="str">
        <f>IF($AK341="","",SUMIFS(OPERATING_COEFFS!$C:$C,OPERATING_COEFFS!$A:$A,"UrgencyClass",OPERATING_COEFFS!$B:$B,$AK341))</f>
        <v/>
      </c>
      <c r="AM341" s="8"/>
      <c r="AN341" s="8" t="str">
        <f t="array" ref="AN341">IF($AM341="","",INDEX(TAX_MODES!$B:$B,MATCH($AM341,TAX_MODES!$A:$A,0)))</f>
        <v/>
      </c>
    </row>
    <row r="342" ht="14.25" customHeight="1">
      <c r="C342" s="8"/>
      <c r="E342" s="8"/>
      <c r="G342" s="8"/>
      <c r="I342" s="8"/>
      <c r="K342" s="8"/>
      <c r="M342" s="8"/>
      <c r="O342" s="8"/>
      <c r="Q342" s="8"/>
      <c r="S342" s="8"/>
      <c r="V342" s="8"/>
      <c r="X342" s="31"/>
      <c r="Y342" s="31" t="str">
        <f>IF($X342="","",SUMIFS(TARIFF_PROFILES!$D:$D,TARIFF_PROFILES!$A:$A,$X342))</f>
        <v/>
      </c>
      <c r="Z342" s="31" t="str">
        <f>IF($X342="","",SUMIFS(TARIFF_PROFILES!$E:$E,TARIFF_PROFILES!$A:$A,$X342))</f>
        <v/>
      </c>
      <c r="AA342" s="31" t="str">
        <f>IF($X342="","",SUMIFS(TARIFF_PROFILES!$F:$F,TARIFF_PROFILES!$A:$A,$X342))</f>
        <v/>
      </c>
      <c r="AB342" s="31" t="str">
        <f>IF($X342="","",SUMIFS(TARIFF_PROFILES!$G:$G,TARIFF_PROFILES!$A:$A,$X342))</f>
        <v/>
      </c>
      <c r="AC342" s="31" t="str">
        <f>IF($X342="","",SUMIFS(TARIFF_PROFILES!$H:$H,TARIFF_PROFILES!$A:$A,$X342))</f>
        <v/>
      </c>
      <c r="AD342" s="31" t="str">
        <f t="array" ref="AD342">IF($X342="","",INDEX(TARIFF_PROFILES!$J:$J,MATCH($X342,TARIFF_PROFILES!$A:$A,0)))</f>
        <v/>
      </c>
      <c r="AE342" s="31" t="str">
        <f t="array" ref="AE342">IF($X342="","",INDEX(TARIFF_PROFILES!$K:$K,MATCH($X342,TARIFF_PROFILES!$A:$A,0)))</f>
        <v/>
      </c>
      <c r="AG342" s="8"/>
      <c r="AH342" s="8" t="str">
        <f>IF($AG342="","",SUMIFS(OPERATING_COEFFS!$C:$C,OPERATING_COEFFS!$A:$A,"DistanceClass",OPERATING_COEFFS!$B:$B,$AG342))</f>
        <v/>
      </c>
      <c r="AI342" s="8"/>
      <c r="AJ342" s="8" t="str">
        <f>IF($AI342="","",SUMIFS(OPERATING_COEFFS!$C:$C,OPERATING_COEFFS!$A:$A,"SeasonClass",OPERATING_COEFFS!$B:$B,$AI342))</f>
        <v/>
      </c>
      <c r="AK342" s="8"/>
      <c r="AL342" s="8" t="str">
        <f>IF($AK342="","",SUMIFS(OPERATING_COEFFS!$C:$C,OPERATING_COEFFS!$A:$A,"UrgencyClass",OPERATING_COEFFS!$B:$B,$AK342))</f>
        <v/>
      </c>
      <c r="AM342" s="8"/>
      <c r="AN342" s="8" t="str">
        <f t="array" ref="AN342">IF($AM342="","",INDEX(TAX_MODES!$B:$B,MATCH($AM342,TAX_MODES!$A:$A,0)))</f>
        <v/>
      </c>
    </row>
    <row r="343" ht="14.25" customHeight="1">
      <c r="C343" s="8"/>
      <c r="E343" s="8"/>
      <c r="G343" s="8"/>
      <c r="I343" s="8"/>
      <c r="K343" s="8"/>
      <c r="M343" s="8"/>
      <c r="O343" s="8"/>
      <c r="Q343" s="8"/>
      <c r="S343" s="8"/>
      <c r="V343" s="8"/>
      <c r="X343" s="31"/>
      <c r="Y343" s="31" t="str">
        <f>IF($X343="","",SUMIFS(TARIFF_PROFILES!$D:$D,TARIFF_PROFILES!$A:$A,$X343))</f>
        <v/>
      </c>
      <c r="Z343" s="31" t="str">
        <f>IF($X343="","",SUMIFS(TARIFF_PROFILES!$E:$E,TARIFF_PROFILES!$A:$A,$X343))</f>
        <v/>
      </c>
      <c r="AA343" s="31" t="str">
        <f>IF($X343="","",SUMIFS(TARIFF_PROFILES!$F:$F,TARIFF_PROFILES!$A:$A,$X343))</f>
        <v/>
      </c>
      <c r="AB343" s="31" t="str">
        <f>IF($X343="","",SUMIFS(TARIFF_PROFILES!$G:$G,TARIFF_PROFILES!$A:$A,$X343))</f>
        <v/>
      </c>
      <c r="AC343" s="31" t="str">
        <f>IF($X343="","",SUMIFS(TARIFF_PROFILES!$H:$H,TARIFF_PROFILES!$A:$A,$X343))</f>
        <v/>
      </c>
      <c r="AD343" s="31" t="str">
        <f t="array" ref="AD343">IF($X343="","",INDEX(TARIFF_PROFILES!$J:$J,MATCH($X343,TARIFF_PROFILES!$A:$A,0)))</f>
        <v/>
      </c>
      <c r="AE343" s="31" t="str">
        <f t="array" ref="AE343">IF($X343="","",INDEX(TARIFF_PROFILES!$K:$K,MATCH($X343,TARIFF_PROFILES!$A:$A,0)))</f>
        <v/>
      </c>
      <c r="AG343" s="8"/>
      <c r="AH343" s="8" t="str">
        <f>IF($AG343="","",SUMIFS(OPERATING_COEFFS!$C:$C,OPERATING_COEFFS!$A:$A,"DistanceClass",OPERATING_COEFFS!$B:$B,$AG343))</f>
        <v/>
      </c>
      <c r="AI343" s="8"/>
      <c r="AJ343" s="8" t="str">
        <f>IF($AI343="","",SUMIFS(OPERATING_COEFFS!$C:$C,OPERATING_COEFFS!$A:$A,"SeasonClass",OPERATING_COEFFS!$B:$B,$AI343))</f>
        <v/>
      </c>
      <c r="AK343" s="8"/>
      <c r="AL343" s="8" t="str">
        <f>IF($AK343="","",SUMIFS(OPERATING_COEFFS!$C:$C,OPERATING_COEFFS!$A:$A,"UrgencyClass",OPERATING_COEFFS!$B:$B,$AK343))</f>
        <v/>
      </c>
      <c r="AM343" s="8"/>
      <c r="AN343" s="8" t="str">
        <f t="array" ref="AN343">IF($AM343="","",INDEX(TAX_MODES!$B:$B,MATCH($AM343,TAX_MODES!$A:$A,0)))</f>
        <v/>
      </c>
    </row>
    <row r="344" ht="14.25" customHeight="1">
      <c r="C344" s="8"/>
      <c r="E344" s="8"/>
      <c r="G344" s="8"/>
      <c r="I344" s="8"/>
      <c r="K344" s="8"/>
      <c r="M344" s="8"/>
      <c r="O344" s="8"/>
      <c r="Q344" s="8"/>
      <c r="S344" s="8"/>
      <c r="V344" s="8"/>
      <c r="X344" s="31"/>
      <c r="Y344" s="31" t="str">
        <f>IF($X344="","",SUMIFS(TARIFF_PROFILES!$D:$D,TARIFF_PROFILES!$A:$A,$X344))</f>
        <v/>
      </c>
      <c r="Z344" s="31" t="str">
        <f>IF($X344="","",SUMIFS(TARIFF_PROFILES!$E:$E,TARIFF_PROFILES!$A:$A,$X344))</f>
        <v/>
      </c>
      <c r="AA344" s="31" t="str">
        <f>IF($X344="","",SUMIFS(TARIFF_PROFILES!$F:$F,TARIFF_PROFILES!$A:$A,$X344))</f>
        <v/>
      </c>
      <c r="AB344" s="31" t="str">
        <f>IF($X344="","",SUMIFS(TARIFF_PROFILES!$G:$G,TARIFF_PROFILES!$A:$A,$X344))</f>
        <v/>
      </c>
      <c r="AC344" s="31" t="str">
        <f>IF($X344="","",SUMIFS(TARIFF_PROFILES!$H:$H,TARIFF_PROFILES!$A:$A,$X344))</f>
        <v/>
      </c>
      <c r="AD344" s="31" t="str">
        <f t="array" ref="AD344">IF($X344="","",INDEX(TARIFF_PROFILES!$J:$J,MATCH($X344,TARIFF_PROFILES!$A:$A,0)))</f>
        <v/>
      </c>
      <c r="AE344" s="31" t="str">
        <f t="array" ref="AE344">IF($X344="","",INDEX(TARIFF_PROFILES!$K:$K,MATCH($X344,TARIFF_PROFILES!$A:$A,0)))</f>
        <v/>
      </c>
      <c r="AG344" s="8"/>
      <c r="AH344" s="8" t="str">
        <f>IF($AG344="","",SUMIFS(OPERATING_COEFFS!$C:$C,OPERATING_COEFFS!$A:$A,"DistanceClass",OPERATING_COEFFS!$B:$B,$AG344))</f>
        <v/>
      </c>
      <c r="AI344" s="8"/>
      <c r="AJ344" s="8" t="str">
        <f>IF($AI344="","",SUMIFS(OPERATING_COEFFS!$C:$C,OPERATING_COEFFS!$A:$A,"SeasonClass",OPERATING_COEFFS!$B:$B,$AI344))</f>
        <v/>
      </c>
      <c r="AK344" s="8"/>
      <c r="AL344" s="8" t="str">
        <f>IF($AK344="","",SUMIFS(OPERATING_COEFFS!$C:$C,OPERATING_COEFFS!$A:$A,"UrgencyClass",OPERATING_COEFFS!$B:$B,$AK344))</f>
        <v/>
      </c>
      <c r="AM344" s="8"/>
      <c r="AN344" s="8" t="str">
        <f t="array" ref="AN344">IF($AM344="","",INDEX(TAX_MODES!$B:$B,MATCH($AM344,TAX_MODES!$A:$A,0)))</f>
        <v/>
      </c>
    </row>
    <row r="345" ht="14.25" customHeight="1">
      <c r="C345" s="8"/>
      <c r="E345" s="8"/>
      <c r="G345" s="8"/>
      <c r="I345" s="8"/>
      <c r="K345" s="8"/>
      <c r="M345" s="8"/>
      <c r="O345" s="8"/>
      <c r="Q345" s="8"/>
      <c r="S345" s="8"/>
      <c r="V345" s="8"/>
      <c r="X345" s="31"/>
      <c r="Y345" s="31" t="str">
        <f>IF($X345="","",SUMIFS(TARIFF_PROFILES!$D:$D,TARIFF_PROFILES!$A:$A,$X345))</f>
        <v/>
      </c>
      <c r="Z345" s="31" t="str">
        <f>IF($X345="","",SUMIFS(TARIFF_PROFILES!$E:$E,TARIFF_PROFILES!$A:$A,$X345))</f>
        <v/>
      </c>
      <c r="AA345" s="31" t="str">
        <f>IF($X345="","",SUMIFS(TARIFF_PROFILES!$F:$F,TARIFF_PROFILES!$A:$A,$X345))</f>
        <v/>
      </c>
      <c r="AB345" s="31" t="str">
        <f>IF($X345="","",SUMIFS(TARIFF_PROFILES!$G:$G,TARIFF_PROFILES!$A:$A,$X345))</f>
        <v/>
      </c>
      <c r="AC345" s="31" t="str">
        <f>IF($X345="","",SUMIFS(TARIFF_PROFILES!$H:$H,TARIFF_PROFILES!$A:$A,$X345))</f>
        <v/>
      </c>
      <c r="AD345" s="31" t="str">
        <f t="array" ref="AD345">IF($X345="","",INDEX(TARIFF_PROFILES!$J:$J,MATCH($X345,TARIFF_PROFILES!$A:$A,0)))</f>
        <v/>
      </c>
      <c r="AE345" s="31" t="str">
        <f t="array" ref="AE345">IF($X345="","",INDEX(TARIFF_PROFILES!$K:$K,MATCH($X345,TARIFF_PROFILES!$A:$A,0)))</f>
        <v/>
      </c>
      <c r="AG345" s="8"/>
      <c r="AH345" s="8" t="str">
        <f>IF($AG345="","",SUMIFS(OPERATING_COEFFS!$C:$C,OPERATING_COEFFS!$A:$A,"DistanceClass",OPERATING_COEFFS!$B:$B,$AG345))</f>
        <v/>
      </c>
      <c r="AI345" s="8"/>
      <c r="AJ345" s="8" t="str">
        <f>IF($AI345="","",SUMIFS(OPERATING_COEFFS!$C:$C,OPERATING_COEFFS!$A:$A,"SeasonClass",OPERATING_COEFFS!$B:$B,$AI345))</f>
        <v/>
      </c>
      <c r="AK345" s="8"/>
      <c r="AL345" s="8" t="str">
        <f>IF($AK345="","",SUMIFS(OPERATING_COEFFS!$C:$C,OPERATING_COEFFS!$A:$A,"UrgencyClass",OPERATING_COEFFS!$B:$B,$AK345))</f>
        <v/>
      </c>
      <c r="AM345" s="8"/>
      <c r="AN345" s="8" t="str">
        <f t="array" ref="AN345">IF($AM345="","",INDEX(TAX_MODES!$B:$B,MATCH($AM345,TAX_MODES!$A:$A,0)))</f>
        <v/>
      </c>
    </row>
    <row r="346" ht="14.25" customHeight="1">
      <c r="C346" s="8"/>
      <c r="E346" s="8"/>
      <c r="G346" s="8"/>
      <c r="I346" s="8"/>
      <c r="K346" s="8"/>
      <c r="M346" s="8"/>
      <c r="O346" s="8"/>
      <c r="Q346" s="8"/>
      <c r="S346" s="8"/>
      <c r="V346" s="8"/>
      <c r="X346" s="31"/>
      <c r="Y346" s="31" t="str">
        <f>IF($X346="","",SUMIFS(TARIFF_PROFILES!$D:$D,TARIFF_PROFILES!$A:$A,$X346))</f>
        <v/>
      </c>
      <c r="Z346" s="31" t="str">
        <f>IF($X346="","",SUMIFS(TARIFF_PROFILES!$E:$E,TARIFF_PROFILES!$A:$A,$X346))</f>
        <v/>
      </c>
      <c r="AA346" s="31" t="str">
        <f>IF($X346="","",SUMIFS(TARIFF_PROFILES!$F:$F,TARIFF_PROFILES!$A:$A,$X346))</f>
        <v/>
      </c>
      <c r="AB346" s="31" t="str">
        <f>IF($X346="","",SUMIFS(TARIFF_PROFILES!$G:$G,TARIFF_PROFILES!$A:$A,$X346))</f>
        <v/>
      </c>
      <c r="AC346" s="31" t="str">
        <f>IF($X346="","",SUMIFS(TARIFF_PROFILES!$H:$H,TARIFF_PROFILES!$A:$A,$X346))</f>
        <v/>
      </c>
      <c r="AD346" s="31" t="str">
        <f t="array" ref="AD346">IF($X346="","",INDEX(TARIFF_PROFILES!$J:$J,MATCH($X346,TARIFF_PROFILES!$A:$A,0)))</f>
        <v/>
      </c>
      <c r="AE346" s="31" t="str">
        <f t="array" ref="AE346">IF($X346="","",INDEX(TARIFF_PROFILES!$K:$K,MATCH($X346,TARIFF_PROFILES!$A:$A,0)))</f>
        <v/>
      </c>
      <c r="AG346" s="8"/>
      <c r="AH346" s="8" t="str">
        <f>IF($AG346="","",SUMIFS(OPERATING_COEFFS!$C:$C,OPERATING_COEFFS!$A:$A,"DistanceClass",OPERATING_COEFFS!$B:$B,$AG346))</f>
        <v/>
      </c>
      <c r="AI346" s="8"/>
      <c r="AJ346" s="8" t="str">
        <f>IF($AI346="","",SUMIFS(OPERATING_COEFFS!$C:$C,OPERATING_COEFFS!$A:$A,"SeasonClass",OPERATING_COEFFS!$B:$B,$AI346))</f>
        <v/>
      </c>
      <c r="AK346" s="8"/>
      <c r="AL346" s="8" t="str">
        <f>IF($AK346="","",SUMIFS(OPERATING_COEFFS!$C:$C,OPERATING_COEFFS!$A:$A,"UrgencyClass",OPERATING_COEFFS!$B:$B,$AK346))</f>
        <v/>
      </c>
      <c r="AM346" s="8"/>
      <c r="AN346" s="8" t="str">
        <f t="array" ref="AN346">IF($AM346="","",INDEX(TAX_MODES!$B:$B,MATCH($AM346,TAX_MODES!$A:$A,0)))</f>
        <v/>
      </c>
    </row>
    <row r="347" ht="14.25" customHeight="1">
      <c r="C347" s="8"/>
      <c r="E347" s="8"/>
      <c r="G347" s="8"/>
      <c r="I347" s="8"/>
      <c r="K347" s="8"/>
      <c r="M347" s="8"/>
      <c r="O347" s="8"/>
      <c r="Q347" s="8"/>
      <c r="S347" s="8"/>
      <c r="V347" s="8"/>
      <c r="X347" s="31"/>
      <c r="Y347" s="31" t="str">
        <f>IF($X347="","",SUMIFS(TARIFF_PROFILES!$D:$D,TARIFF_PROFILES!$A:$A,$X347))</f>
        <v/>
      </c>
      <c r="Z347" s="31" t="str">
        <f>IF($X347="","",SUMIFS(TARIFF_PROFILES!$E:$E,TARIFF_PROFILES!$A:$A,$X347))</f>
        <v/>
      </c>
      <c r="AA347" s="31" t="str">
        <f>IF($X347="","",SUMIFS(TARIFF_PROFILES!$F:$F,TARIFF_PROFILES!$A:$A,$X347))</f>
        <v/>
      </c>
      <c r="AB347" s="31" t="str">
        <f>IF($X347="","",SUMIFS(TARIFF_PROFILES!$G:$G,TARIFF_PROFILES!$A:$A,$X347))</f>
        <v/>
      </c>
      <c r="AC347" s="31" t="str">
        <f>IF($X347="","",SUMIFS(TARIFF_PROFILES!$H:$H,TARIFF_PROFILES!$A:$A,$X347))</f>
        <v/>
      </c>
      <c r="AD347" s="31" t="str">
        <f t="array" ref="AD347">IF($X347="","",INDEX(TARIFF_PROFILES!$J:$J,MATCH($X347,TARIFF_PROFILES!$A:$A,0)))</f>
        <v/>
      </c>
      <c r="AE347" s="31" t="str">
        <f t="array" ref="AE347">IF($X347="","",INDEX(TARIFF_PROFILES!$K:$K,MATCH($X347,TARIFF_PROFILES!$A:$A,0)))</f>
        <v/>
      </c>
      <c r="AG347" s="8"/>
      <c r="AH347" s="8" t="str">
        <f>IF($AG347="","",SUMIFS(OPERATING_COEFFS!$C:$C,OPERATING_COEFFS!$A:$A,"DistanceClass",OPERATING_COEFFS!$B:$B,$AG347))</f>
        <v/>
      </c>
      <c r="AI347" s="8"/>
      <c r="AJ347" s="8" t="str">
        <f>IF($AI347="","",SUMIFS(OPERATING_COEFFS!$C:$C,OPERATING_COEFFS!$A:$A,"SeasonClass",OPERATING_COEFFS!$B:$B,$AI347))</f>
        <v/>
      </c>
      <c r="AK347" s="8"/>
      <c r="AL347" s="8" t="str">
        <f>IF($AK347="","",SUMIFS(OPERATING_COEFFS!$C:$C,OPERATING_COEFFS!$A:$A,"UrgencyClass",OPERATING_COEFFS!$B:$B,$AK347))</f>
        <v/>
      </c>
      <c r="AM347" s="8"/>
      <c r="AN347" s="8" t="str">
        <f t="array" ref="AN347">IF($AM347="","",INDEX(TAX_MODES!$B:$B,MATCH($AM347,TAX_MODES!$A:$A,0)))</f>
        <v/>
      </c>
    </row>
    <row r="348" ht="14.25" customHeight="1">
      <c r="C348" s="8"/>
      <c r="E348" s="8"/>
      <c r="G348" s="8"/>
      <c r="I348" s="8"/>
      <c r="K348" s="8"/>
      <c r="M348" s="8"/>
      <c r="O348" s="8"/>
      <c r="Q348" s="8"/>
      <c r="S348" s="8"/>
      <c r="V348" s="8"/>
      <c r="X348" s="31"/>
      <c r="Y348" s="31" t="str">
        <f>IF($X348="","",SUMIFS(TARIFF_PROFILES!$D:$D,TARIFF_PROFILES!$A:$A,$X348))</f>
        <v/>
      </c>
      <c r="Z348" s="31" t="str">
        <f>IF($X348="","",SUMIFS(TARIFF_PROFILES!$E:$E,TARIFF_PROFILES!$A:$A,$X348))</f>
        <v/>
      </c>
      <c r="AA348" s="31" t="str">
        <f>IF($X348="","",SUMIFS(TARIFF_PROFILES!$F:$F,TARIFF_PROFILES!$A:$A,$X348))</f>
        <v/>
      </c>
      <c r="AB348" s="31" t="str">
        <f>IF($X348="","",SUMIFS(TARIFF_PROFILES!$G:$G,TARIFF_PROFILES!$A:$A,$X348))</f>
        <v/>
      </c>
      <c r="AC348" s="31" t="str">
        <f>IF($X348="","",SUMIFS(TARIFF_PROFILES!$H:$H,TARIFF_PROFILES!$A:$A,$X348))</f>
        <v/>
      </c>
      <c r="AD348" s="31" t="str">
        <f t="array" ref="AD348">IF($X348="","",INDEX(TARIFF_PROFILES!$J:$J,MATCH($X348,TARIFF_PROFILES!$A:$A,0)))</f>
        <v/>
      </c>
      <c r="AE348" s="31" t="str">
        <f t="array" ref="AE348">IF($X348="","",INDEX(TARIFF_PROFILES!$K:$K,MATCH($X348,TARIFF_PROFILES!$A:$A,0)))</f>
        <v/>
      </c>
      <c r="AG348" s="8"/>
      <c r="AH348" s="8" t="str">
        <f>IF($AG348="","",SUMIFS(OPERATING_COEFFS!$C:$C,OPERATING_COEFFS!$A:$A,"DistanceClass",OPERATING_COEFFS!$B:$B,$AG348))</f>
        <v/>
      </c>
      <c r="AI348" s="8"/>
      <c r="AJ348" s="8" t="str">
        <f>IF($AI348="","",SUMIFS(OPERATING_COEFFS!$C:$C,OPERATING_COEFFS!$A:$A,"SeasonClass",OPERATING_COEFFS!$B:$B,$AI348))</f>
        <v/>
      </c>
      <c r="AK348" s="8"/>
      <c r="AL348" s="8" t="str">
        <f>IF($AK348="","",SUMIFS(OPERATING_COEFFS!$C:$C,OPERATING_COEFFS!$A:$A,"UrgencyClass",OPERATING_COEFFS!$B:$B,$AK348))</f>
        <v/>
      </c>
      <c r="AM348" s="8"/>
      <c r="AN348" s="8" t="str">
        <f t="array" ref="AN348">IF($AM348="","",INDEX(TAX_MODES!$B:$B,MATCH($AM348,TAX_MODES!$A:$A,0)))</f>
        <v/>
      </c>
    </row>
    <row r="349" ht="14.25" customHeight="1">
      <c r="C349" s="8"/>
      <c r="E349" s="8"/>
      <c r="G349" s="8"/>
      <c r="I349" s="8"/>
      <c r="K349" s="8"/>
      <c r="M349" s="8"/>
      <c r="O349" s="8"/>
      <c r="Q349" s="8"/>
      <c r="S349" s="8"/>
      <c r="V349" s="8"/>
      <c r="X349" s="31"/>
      <c r="Y349" s="31" t="str">
        <f>IF($X349="","",SUMIFS(TARIFF_PROFILES!$D:$D,TARIFF_PROFILES!$A:$A,$X349))</f>
        <v/>
      </c>
      <c r="Z349" s="31" t="str">
        <f>IF($X349="","",SUMIFS(TARIFF_PROFILES!$E:$E,TARIFF_PROFILES!$A:$A,$X349))</f>
        <v/>
      </c>
      <c r="AA349" s="31" t="str">
        <f>IF($X349="","",SUMIFS(TARIFF_PROFILES!$F:$F,TARIFF_PROFILES!$A:$A,$X349))</f>
        <v/>
      </c>
      <c r="AB349" s="31" t="str">
        <f>IF($X349="","",SUMIFS(TARIFF_PROFILES!$G:$G,TARIFF_PROFILES!$A:$A,$X349))</f>
        <v/>
      </c>
      <c r="AC349" s="31" t="str">
        <f>IF($X349="","",SUMIFS(TARIFF_PROFILES!$H:$H,TARIFF_PROFILES!$A:$A,$X349))</f>
        <v/>
      </c>
      <c r="AD349" s="31" t="str">
        <f t="array" ref="AD349">IF($X349="","",INDEX(TARIFF_PROFILES!$J:$J,MATCH($X349,TARIFF_PROFILES!$A:$A,0)))</f>
        <v/>
      </c>
      <c r="AE349" s="31" t="str">
        <f t="array" ref="AE349">IF($X349="","",INDEX(TARIFF_PROFILES!$K:$K,MATCH($X349,TARIFF_PROFILES!$A:$A,0)))</f>
        <v/>
      </c>
      <c r="AG349" s="8"/>
      <c r="AH349" s="8" t="str">
        <f>IF($AG349="","",SUMIFS(OPERATING_COEFFS!$C:$C,OPERATING_COEFFS!$A:$A,"DistanceClass",OPERATING_COEFFS!$B:$B,$AG349))</f>
        <v/>
      </c>
      <c r="AI349" s="8"/>
      <c r="AJ349" s="8" t="str">
        <f>IF($AI349="","",SUMIFS(OPERATING_COEFFS!$C:$C,OPERATING_COEFFS!$A:$A,"SeasonClass",OPERATING_COEFFS!$B:$B,$AI349))</f>
        <v/>
      </c>
      <c r="AK349" s="8"/>
      <c r="AL349" s="8" t="str">
        <f>IF($AK349="","",SUMIFS(OPERATING_COEFFS!$C:$C,OPERATING_COEFFS!$A:$A,"UrgencyClass",OPERATING_COEFFS!$B:$B,$AK349))</f>
        <v/>
      </c>
      <c r="AM349" s="8"/>
      <c r="AN349" s="8" t="str">
        <f t="array" ref="AN349">IF($AM349="","",INDEX(TAX_MODES!$B:$B,MATCH($AM349,TAX_MODES!$A:$A,0)))</f>
        <v/>
      </c>
    </row>
    <row r="350" ht="14.25" customHeight="1">
      <c r="C350" s="8"/>
      <c r="E350" s="8"/>
      <c r="G350" s="8"/>
      <c r="I350" s="8"/>
      <c r="K350" s="8"/>
      <c r="M350" s="8"/>
      <c r="O350" s="8"/>
      <c r="Q350" s="8"/>
      <c r="S350" s="8"/>
      <c r="V350" s="8"/>
      <c r="X350" s="31"/>
      <c r="Y350" s="31" t="str">
        <f>IF($X350="","",SUMIFS(TARIFF_PROFILES!$D:$D,TARIFF_PROFILES!$A:$A,$X350))</f>
        <v/>
      </c>
      <c r="Z350" s="31" t="str">
        <f>IF($X350="","",SUMIFS(TARIFF_PROFILES!$E:$E,TARIFF_PROFILES!$A:$A,$X350))</f>
        <v/>
      </c>
      <c r="AA350" s="31" t="str">
        <f>IF($X350="","",SUMIFS(TARIFF_PROFILES!$F:$F,TARIFF_PROFILES!$A:$A,$X350))</f>
        <v/>
      </c>
      <c r="AB350" s="31" t="str">
        <f>IF($X350="","",SUMIFS(TARIFF_PROFILES!$G:$G,TARIFF_PROFILES!$A:$A,$X350))</f>
        <v/>
      </c>
      <c r="AC350" s="31" t="str">
        <f>IF($X350="","",SUMIFS(TARIFF_PROFILES!$H:$H,TARIFF_PROFILES!$A:$A,$X350))</f>
        <v/>
      </c>
      <c r="AD350" s="31" t="str">
        <f t="array" ref="AD350">IF($X350="","",INDEX(TARIFF_PROFILES!$J:$J,MATCH($X350,TARIFF_PROFILES!$A:$A,0)))</f>
        <v/>
      </c>
      <c r="AE350" s="31" t="str">
        <f t="array" ref="AE350">IF($X350="","",INDEX(TARIFF_PROFILES!$K:$K,MATCH($X350,TARIFF_PROFILES!$A:$A,0)))</f>
        <v/>
      </c>
      <c r="AG350" s="8"/>
      <c r="AH350" s="8" t="str">
        <f>IF($AG350="","",SUMIFS(OPERATING_COEFFS!$C:$C,OPERATING_COEFFS!$A:$A,"DistanceClass",OPERATING_COEFFS!$B:$B,$AG350))</f>
        <v/>
      </c>
      <c r="AI350" s="8"/>
      <c r="AJ350" s="8" t="str">
        <f>IF($AI350="","",SUMIFS(OPERATING_COEFFS!$C:$C,OPERATING_COEFFS!$A:$A,"SeasonClass",OPERATING_COEFFS!$B:$B,$AI350))</f>
        <v/>
      </c>
      <c r="AK350" s="8"/>
      <c r="AL350" s="8" t="str">
        <f>IF($AK350="","",SUMIFS(OPERATING_COEFFS!$C:$C,OPERATING_COEFFS!$A:$A,"UrgencyClass",OPERATING_COEFFS!$B:$B,$AK350))</f>
        <v/>
      </c>
      <c r="AM350" s="8"/>
      <c r="AN350" s="8" t="str">
        <f t="array" ref="AN350">IF($AM350="","",INDEX(TAX_MODES!$B:$B,MATCH($AM350,TAX_MODES!$A:$A,0)))</f>
        <v/>
      </c>
    </row>
    <row r="351" ht="14.25" customHeight="1">
      <c r="C351" s="8"/>
      <c r="E351" s="8"/>
      <c r="G351" s="8"/>
      <c r="I351" s="8"/>
      <c r="K351" s="8"/>
      <c r="M351" s="8"/>
      <c r="O351" s="8"/>
      <c r="Q351" s="8"/>
      <c r="S351" s="8"/>
      <c r="V351" s="8"/>
      <c r="X351" s="31"/>
      <c r="Y351" s="31" t="str">
        <f>IF($X351="","",SUMIFS(TARIFF_PROFILES!$D:$D,TARIFF_PROFILES!$A:$A,$X351))</f>
        <v/>
      </c>
      <c r="Z351" s="31" t="str">
        <f>IF($X351="","",SUMIFS(TARIFF_PROFILES!$E:$E,TARIFF_PROFILES!$A:$A,$X351))</f>
        <v/>
      </c>
      <c r="AA351" s="31" t="str">
        <f>IF($X351="","",SUMIFS(TARIFF_PROFILES!$F:$F,TARIFF_PROFILES!$A:$A,$X351))</f>
        <v/>
      </c>
      <c r="AB351" s="31" t="str">
        <f>IF($X351="","",SUMIFS(TARIFF_PROFILES!$G:$G,TARIFF_PROFILES!$A:$A,$X351))</f>
        <v/>
      </c>
      <c r="AC351" s="31" t="str">
        <f>IF($X351="","",SUMIFS(TARIFF_PROFILES!$H:$H,TARIFF_PROFILES!$A:$A,$X351))</f>
        <v/>
      </c>
      <c r="AD351" s="31" t="str">
        <f t="array" ref="AD351">IF($X351="","",INDEX(TARIFF_PROFILES!$J:$J,MATCH($X351,TARIFF_PROFILES!$A:$A,0)))</f>
        <v/>
      </c>
      <c r="AE351" s="31" t="str">
        <f t="array" ref="AE351">IF($X351="","",INDEX(TARIFF_PROFILES!$K:$K,MATCH($X351,TARIFF_PROFILES!$A:$A,0)))</f>
        <v/>
      </c>
      <c r="AG351" s="8"/>
      <c r="AH351" s="8" t="str">
        <f>IF($AG351="","",SUMIFS(OPERATING_COEFFS!$C:$C,OPERATING_COEFFS!$A:$A,"DistanceClass",OPERATING_COEFFS!$B:$B,$AG351))</f>
        <v/>
      </c>
      <c r="AI351" s="8"/>
      <c r="AJ351" s="8" t="str">
        <f>IF($AI351="","",SUMIFS(OPERATING_COEFFS!$C:$C,OPERATING_COEFFS!$A:$A,"SeasonClass",OPERATING_COEFFS!$B:$B,$AI351))</f>
        <v/>
      </c>
      <c r="AK351" s="8"/>
      <c r="AL351" s="8" t="str">
        <f>IF($AK351="","",SUMIFS(OPERATING_COEFFS!$C:$C,OPERATING_COEFFS!$A:$A,"UrgencyClass",OPERATING_COEFFS!$B:$B,$AK351))</f>
        <v/>
      </c>
      <c r="AM351" s="8"/>
      <c r="AN351" s="8" t="str">
        <f t="array" ref="AN351">IF($AM351="","",INDEX(TAX_MODES!$B:$B,MATCH($AM351,TAX_MODES!$A:$A,0)))</f>
        <v/>
      </c>
    </row>
    <row r="352" ht="14.25" customHeight="1">
      <c r="C352" s="8"/>
      <c r="E352" s="8"/>
      <c r="G352" s="8"/>
      <c r="I352" s="8"/>
      <c r="K352" s="8"/>
      <c r="M352" s="8"/>
      <c r="O352" s="8"/>
      <c r="Q352" s="8"/>
      <c r="S352" s="8"/>
      <c r="V352" s="8"/>
      <c r="X352" s="31"/>
      <c r="Y352" s="31" t="str">
        <f>IF($X352="","",SUMIFS(TARIFF_PROFILES!$D:$D,TARIFF_PROFILES!$A:$A,$X352))</f>
        <v/>
      </c>
      <c r="Z352" s="31" t="str">
        <f>IF($X352="","",SUMIFS(TARIFF_PROFILES!$E:$E,TARIFF_PROFILES!$A:$A,$X352))</f>
        <v/>
      </c>
      <c r="AA352" s="31" t="str">
        <f>IF($X352="","",SUMIFS(TARIFF_PROFILES!$F:$F,TARIFF_PROFILES!$A:$A,$X352))</f>
        <v/>
      </c>
      <c r="AB352" s="31" t="str">
        <f>IF($X352="","",SUMIFS(TARIFF_PROFILES!$G:$G,TARIFF_PROFILES!$A:$A,$X352))</f>
        <v/>
      </c>
      <c r="AC352" s="31" t="str">
        <f>IF($X352="","",SUMIFS(TARIFF_PROFILES!$H:$H,TARIFF_PROFILES!$A:$A,$X352))</f>
        <v/>
      </c>
      <c r="AD352" s="31" t="str">
        <f t="array" ref="AD352">IF($X352="","",INDEX(TARIFF_PROFILES!$J:$J,MATCH($X352,TARIFF_PROFILES!$A:$A,0)))</f>
        <v/>
      </c>
      <c r="AE352" s="31" t="str">
        <f t="array" ref="AE352">IF($X352="","",INDEX(TARIFF_PROFILES!$K:$K,MATCH($X352,TARIFF_PROFILES!$A:$A,0)))</f>
        <v/>
      </c>
      <c r="AG352" s="8"/>
      <c r="AH352" s="8" t="str">
        <f>IF($AG352="","",SUMIFS(OPERATING_COEFFS!$C:$C,OPERATING_COEFFS!$A:$A,"DistanceClass",OPERATING_COEFFS!$B:$B,$AG352))</f>
        <v/>
      </c>
      <c r="AI352" s="8"/>
      <c r="AJ352" s="8" t="str">
        <f>IF($AI352="","",SUMIFS(OPERATING_COEFFS!$C:$C,OPERATING_COEFFS!$A:$A,"SeasonClass",OPERATING_COEFFS!$B:$B,$AI352))</f>
        <v/>
      </c>
      <c r="AK352" s="8"/>
      <c r="AL352" s="8" t="str">
        <f>IF($AK352="","",SUMIFS(OPERATING_COEFFS!$C:$C,OPERATING_COEFFS!$A:$A,"UrgencyClass",OPERATING_COEFFS!$B:$B,$AK352))</f>
        <v/>
      </c>
      <c r="AM352" s="8"/>
      <c r="AN352" s="8" t="str">
        <f t="array" ref="AN352">IF($AM352="","",INDEX(TAX_MODES!$B:$B,MATCH($AM352,TAX_MODES!$A:$A,0)))</f>
        <v/>
      </c>
    </row>
    <row r="353" ht="14.25" customHeight="1">
      <c r="C353" s="8"/>
      <c r="E353" s="8"/>
      <c r="G353" s="8"/>
      <c r="I353" s="8"/>
      <c r="K353" s="8"/>
      <c r="M353" s="8"/>
      <c r="O353" s="8"/>
      <c r="Q353" s="8"/>
      <c r="S353" s="8"/>
      <c r="V353" s="8"/>
      <c r="X353" s="31"/>
      <c r="Y353" s="31" t="str">
        <f>IF($X353="","",SUMIFS(TARIFF_PROFILES!$D:$D,TARIFF_PROFILES!$A:$A,$X353))</f>
        <v/>
      </c>
      <c r="Z353" s="31" t="str">
        <f>IF($X353="","",SUMIFS(TARIFF_PROFILES!$E:$E,TARIFF_PROFILES!$A:$A,$X353))</f>
        <v/>
      </c>
      <c r="AA353" s="31" t="str">
        <f>IF($X353="","",SUMIFS(TARIFF_PROFILES!$F:$F,TARIFF_PROFILES!$A:$A,$X353))</f>
        <v/>
      </c>
      <c r="AB353" s="31" t="str">
        <f>IF($X353="","",SUMIFS(TARIFF_PROFILES!$G:$G,TARIFF_PROFILES!$A:$A,$X353))</f>
        <v/>
      </c>
      <c r="AC353" s="31" t="str">
        <f>IF($X353="","",SUMIFS(TARIFF_PROFILES!$H:$H,TARIFF_PROFILES!$A:$A,$X353))</f>
        <v/>
      </c>
      <c r="AD353" s="31" t="str">
        <f t="array" ref="AD353">IF($X353="","",INDEX(TARIFF_PROFILES!$J:$J,MATCH($X353,TARIFF_PROFILES!$A:$A,0)))</f>
        <v/>
      </c>
      <c r="AE353" s="31" t="str">
        <f t="array" ref="AE353">IF($X353="","",INDEX(TARIFF_PROFILES!$K:$K,MATCH($X353,TARIFF_PROFILES!$A:$A,0)))</f>
        <v/>
      </c>
      <c r="AG353" s="8"/>
      <c r="AH353" s="8" t="str">
        <f>IF($AG353="","",SUMIFS(OPERATING_COEFFS!$C:$C,OPERATING_COEFFS!$A:$A,"DistanceClass",OPERATING_COEFFS!$B:$B,$AG353))</f>
        <v/>
      </c>
      <c r="AI353" s="8"/>
      <c r="AJ353" s="8" t="str">
        <f>IF($AI353="","",SUMIFS(OPERATING_COEFFS!$C:$C,OPERATING_COEFFS!$A:$A,"SeasonClass",OPERATING_COEFFS!$B:$B,$AI353))</f>
        <v/>
      </c>
      <c r="AK353" s="8"/>
      <c r="AL353" s="8" t="str">
        <f>IF($AK353="","",SUMIFS(OPERATING_COEFFS!$C:$C,OPERATING_COEFFS!$A:$A,"UrgencyClass",OPERATING_COEFFS!$B:$B,$AK353))</f>
        <v/>
      </c>
      <c r="AM353" s="8"/>
      <c r="AN353" s="8" t="str">
        <f t="array" ref="AN353">IF($AM353="","",INDEX(TAX_MODES!$B:$B,MATCH($AM353,TAX_MODES!$A:$A,0)))</f>
        <v/>
      </c>
    </row>
    <row r="354" ht="14.25" customHeight="1">
      <c r="C354" s="8"/>
      <c r="E354" s="8"/>
      <c r="G354" s="8"/>
      <c r="I354" s="8"/>
      <c r="K354" s="8"/>
      <c r="M354" s="8"/>
      <c r="O354" s="8"/>
      <c r="Q354" s="8"/>
      <c r="S354" s="8"/>
      <c r="V354" s="8"/>
      <c r="X354" s="31"/>
      <c r="Y354" s="31" t="str">
        <f>IF($X354="","",SUMIFS(TARIFF_PROFILES!$D:$D,TARIFF_PROFILES!$A:$A,$X354))</f>
        <v/>
      </c>
      <c r="Z354" s="31" t="str">
        <f>IF($X354="","",SUMIFS(TARIFF_PROFILES!$E:$E,TARIFF_PROFILES!$A:$A,$X354))</f>
        <v/>
      </c>
      <c r="AA354" s="31" t="str">
        <f>IF($X354="","",SUMIFS(TARIFF_PROFILES!$F:$F,TARIFF_PROFILES!$A:$A,$X354))</f>
        <v/>
      </c>
      <c r="AB354" s="31" t="str">
        <f>IF($X354="","",SUMIFS(TARIFF_PROFILES!$G:$G,TARIFF_PROFILES!$A:$A,$X354))</f>
        <v/>
      </c>
      <c r="AC354" s="31" t="str">
        <f>IF($X354="","",SUMIFS(TARIFF_PROFILES!$H:$H,TARIFF_PROFILES!$A:$A,$X354))</f>
        <v/>
      </c>
      <c r="AD354" s="31" t="str">
        <f t="array" ref="AD354">IF($X354="","",INDEX(TARIFF_PROFILES!$J:$J,MATCH($X354,TARIFF_PROFILES!$A:$A,0)))</f>
        <v/>
      </c>
      <c r="AE354" s="31" t="str">
        <f t="array" ref="AE354">IF($X354="","",INDEX(TARIFF_PROFILES!$K:$K,MATCH($X354,TARIFF_PROFILES!$A:$A,0)))</f>
        <v/>
      </c>
      <c r="AG354" s="8"/>
      <c r="AH354" s="8" t="str">
        <f>IF($AG354="","",SUMIFS(OPERATING_COEFFS!$C:$C,OPERATING_COEFFS!$A:$A,"DistanceClass",OPERATING_COEFFS!$B:$B,$AG354))</f>
        <v/>
      </c>
      <c r="AI354" s="8"/>
      <c r="AJ354" s="8" t="str">
        <f>IF($AI354="","",SUMIFS(OPERATING_COEFFS!$C:$C,OPERATING_COEFFS!$A:$A,"SeasonClass",OPERATING_COEFFS!$B:$B,$AI354))</f>
        <v/>
      </c>
      <c r="AK354" s="8"/>
      <c r="AL354" s="8" t="str">
        <f>IF($AK354="","",SUMIFS(OPERATING_COEFFS!$C:$C,OPERATING_COEFFS!$A:$A,"UrgencyClass",OPERATING_COEFFS!$B:$B,$AK354))</f>
        <v/>
      </c>
      <c r="AM354" s="8"/>
      <c r="AN354" s="8" t="str">
        <f t="array" ref="AN354">IF($AM354="","",INDEX(TAX_MODES!$B:$B,MATCH($AM354,TAX_MODES!$A:$A,0)))</f>
        <v/>
      </c>
    </row>
    <row r="355" ht="14.25" customHeight="1">
      <c r="C355" s="8"/>
      <c r="E355" s="8"/>
      <c r="G355" s="8"/>
      <c r="I355" s="8"/>
      <c r="K355" s="8"/>
      <c r="M355" s="8"/>
      <c r="O355" s="8"/>
      <c r="Q355" s="8"/>
      <c r="S355" s="8"/>
      <c r="V355" s="8"/>
      <c r="X355" s="31"/>
      <c r="Y355" s="31" t="str">
        <f>IF($X355="","",SUMIFS(TARIFF_PROFILES!$D:$D,TARIFF_PROFILES!$A:$A,$X355))</f>
        <v/>
      </c>
      <c r="Z355" s="31" t="str">
        <f>IF($X355="","",SUMIFS(TARIFF_PROFILES!$E:$E,TARIFF_PROFILES!$A:$A,$X355))</f>
        <v/>
      </c>
      <c r="AA355" s="31" t="str">
        <f>IF($X355="","",SUMIFS(TARIFF_PROFILES!$F:$F,TARIFF_PROFILES!$A:$A,$X355))</f>
        <v/>
      </c>
      <c r="AB355" s="31" t="str">
        <f>IF($X355="","",SUMIFS(TARIFF_PROFILES!$G:$G,TARIFF_PROFILES!$A:$A,$X355))</f>
        <v/>
      </c>
      <c r="AC355" s="31" t="str">
        <f>IF($X355="","",SUMIFS(TARIFF_PROFILES!$H:$H,TARIFF_PROFILES!$A:$A,$X355))</f>
        <v/>
      </c>
      <c r="AD355" s="31" t="str">
        <f t="array" ref="AD355">IF($X355="","",INDEX(TARIFF_PROFILES!$J:$J,MATCH($X355,TARIFF_PROFILES!$A:$A,0)))</f>
        <v/>
      </c>
      <c r="AE355" s="31" t="str">
        <f t="array" ref="AE355">IF($X355="","",INDEX(TARIFF_PROFILES!$K:$K,MATCH($X355,TARIFF_PROFILES!$A:$A,0)))</f>
        <v/>
      </c>
      <c r="AG355" s="8"/>
      <c r="AH355" s="8" t="str">
        <f>IF($AG355="","",SUMIFS(OPERATING_COEFFS!$C:$C,OPERATING_COEFFS!$A:$A,"DistanceClass",OPERATING_COEFFS!$B:$B,$AG355))</f>
        <v/>
      </c>
      <c r="AI355" s="8"/>
      <c r="AJ355" s="8" t="str">
        <f>IF($AI355="","",SUMIFS(OPERATING_COEFFS!$C:$C,OPERATING_COEFFS!$A:$A,"SeasonClass",OPERATING_COEFFS!$B:$B,$AI355))</f>
        <v/>
      </c>
      <c r="AK355" s="8"/>
      <c r="AL355" s="8" t="str">
        <f>IF($AK355="","",SUMIFS(OPERATING_COEFFS!$C:$C,OPERATING_COEFFS!$A:$A,"UrgencyClass",OPERATING_COEFFS!$B:$B,$AK355))</f>
        <v/>
      </c>
      <c r="AM355" s="8"/>
      <c r="AN355" s="8" t="str">
        <f t="array" ref="AN355">IF($AM355="","",INDEX(TAX_MODES!$B:$B,MATCH($AM355,TAX_MODES!$A:$A,0)))</f>
        <v/>
      </c>
    </row>
    <row r="356" ht="14.25" customHeight="1">
      <c r="C356" s="8"/>
      <c r="E356" s="8"/>
      <c r="G356" s="8"/>
      <c r="I356" s="8"/>
      <c r="K356" s="8"/>
      <c r="M356" s="8"/>
      <c r="O356" s="8"/>
      <c r="Q356" s="8"/>
      <c r="S356" s="8"/>
      <c r="V356" s="8"/>
      <c r="X356" s="31"/>
      <c r="Y356" s="31" t="str">
        <f>IF($X356="","",SUMIFS(TARIFF_PROFILES!$D:$D,TARIFF_PROFILES!$A:$A,$X356))</f>
        <v/>
      </c>
      <c r="Z356" s="31" t="str">
        <f>IF($X356="","",SUMIFS(TARIFF_PROFILES!$E:$E,TARIFF_PROFILES!$A:$A,$X356))</f>
        <v/>
      </c>
      <c r="AA356" s="31" t="str">
        <f>IF($X356="","",SUMIFS(TARIFF_PROFILES!$F:$F,TARIFF_PROFILES!$A:$A,$X356))</f>
        <v/>
      </c>
      <c r="AB356" s="31" t="str">
        <f>IF($X356="","",SUMIFS(TARIFF_PROFILES!$G:$G,TARIFF_PROFILES!$A:$A,$X356))</f>
        <v/>
      </c>
      <c r="AC356" s="31" t="str">
        <f>IF($X356="","",SUMIFS(TARIFF_PROFILES!$H:$H,TARIFF_PROFILES!$A:$A,$X356))</f>
        <v/>
      </c>
      <c r="AD356" s="31" t="str">
        <f t="array" ref="AD356">IF($X356="","",INDEX(TARIFF_PROFILES!$J:$J,MATCH($X356,TARIFF_PROFILES!$A:$A,0)))</f>
        <v/>
      </c>
      <c r="AE356" s="31" t="str">
        <f t="array" ref="AE356">IF($X356="","",INDEX(TARIFF_PROFILES!$K:$K,MATCH($X356,TARIFF_PROFILES!$A:$A,0)))</f>
        <v/>
      </c>
      <c r="AG356" s="8"/>
      <c r="AH356" s="8" t="str">
        <f>IF($AG356="","",SUMIFS(OPERATING_COEFFS!$C:$C,OPERATING_COEFFS!$A:$A,"DistanceClass",OPERATING_COEFFS!$B:$B,$AG356))</f>
        <v/>
      </c>
      <c r="AI356" s="8"/>
      <c r="AJ356" s="8" t="str">
        <f>IF($AI356="","",SUMIFS(OPERATING_COEFFS!$C:$C,OPERATING_COEFFS!$A:$A,"SeasonClass",OPERATING_COEFFS!$B:$B,$AI356))</f>
        <v/>
      </c>
      <c r="AK356" s="8"/>
      <c r="AL356" s="8" t="str">
        <f>IF($AK356="","",SUMIFS(OPERATING_COEFFS!$C:$C,OPERATING_COEFFS!$A:$A,"UrgencyClass",OPERATING_COEFFS!$B:$B,$AK356))</f>
        <v/>
      </c>
      <c r="AM356" s="8"/>
      <c r="AN356" s="8" t="str">
        <f t="array" ref="AN356">IF($AM356="","",INDEX(TAX_MODES!$B:$B,MATCH($AM356,TAX_MODES!$A:$A,0)))</f>
        <v/>
      </c>
    </row>
    <row r="357" ht="14.25" customHeight="1">
      <c r="C357" s="8"/>
      <c r="E357" s="8"/>
      <c r="G357" s="8"/>
      <c r="I357" s="8"/>
      <c r="K357" s="8"/>
      <c r="M357" s="8"/>
      <c r="O357" s="8"/>
      <c r="Q357" s="8"/>
      <c r="S357" s="8"/>
      <c r="V357" s="8"/>
      <c r="X357" s="31"/>
      <c r="Y357" s="31" t="str">
        <f>IF($X357="","",SUMIFS(TARIFF_PROFILES!$D:$D,TARIFF_PROFILES!$A:$A,$X357))</f>
        <v/>
      </c>
      <c r="Z357" s="31" t="str">
        <f>IF($X357="","",SUMIFS(TARIFF_PROFILES!$E:$E,TARIFF_PROFILES!$A:$A,$X357))</f>
        <v/>
      </c>
      <c r="AA357" s="31" t="str">
        <f>IF($X357="","",SUMIFS(TARIFF_PROFILES!$F:$F,TARIFF_PROFILES!$A:$A,$X357))</f>
        <v/>
      </c>
      <c r="AB357" s="31" t="str">
        <f>IF($X357="","",SUMIFS(TARIFF_PROFILES!$G:$G,TARIFF_PROFILES!$A:$A,$X357))</f>
        <v/>
      </c>
      <c r="AC357" s="31" t="str">
        <f>IF($X357="","",SUMIFS(TARIFF_PROFILES!$H:$H,TARIFF_PROFILES!$A:$A,$X357))</f>
        <v/>
      </c>
      <c r="AD357" s="31" t="str">
        <f t="array" ref="AD357">IF($X357="","",INDEX(TARIFF_PROFILES!$J:$J,MATCH($X357,TARIFF_PROFILES!$A:$A,0)))</f>
        <v/>
      </c>
      <c r="AE357" s="31" t="str">
        <f t="array" ref="AE357">IF($X357="","",INDEX(TARIFF_PROFILES!$K:$K,MATCH($X357,TARIFF_PROFILES!$A:$A,0)))</f>
        <v/>
      </c>
      <c r="AG357" s="8"/>
      <c r="AH357" s="8" t="str">
        <f>IF($AG357="","",SUMIFS(OPERATING_COEFFS!$C:$C,OPERATING_COEFFS!$A:$A,"DistanceClass",OPERATING_COEFFS!$B:$B,$AG357))</f>
        <v/>
      </c>
      <c r="AI357" s="8"/>
      <c r="AJ357" s="8" t="str">
        <f>IF($AI357="","",SUMIFS(OPERATING_COEFFS!$C:$C,OPERATING_COEFFS!$A:$A,"SeasonClass",OPERATING_COEFFS!$B:$B,$AI357))</f>
        <v/>
      </c>
      <c r="AK357" s="8"/>
      <c r="AL357" s="8" t="str">
        <f>IF($AK357="","",SUMIFS(OPERATING_COEFFS!$C:$C,OPERATING_COEFFS!$A:$A,"UrgencyClass",OPERATING_COEFFS!$B:$B,$AK357))</f>
        <v/>
      </c>
      <c r="AM357" s="8"/>
      <c r="AN357" s="8" t="str">
        <f t="array" ref="AN357">IF($AM357="","",INDEX(TAX_MODES!$B:$B,MATCH($AM357,TAX_MODES!$A:$A,0)))</f>
        <v/>
      </c>
    </row>
    <row r="358" ht="14.25" customHeight="1">
      <c r="C358" s="8"/>
      <c r="E358" s="8"/>
      <c r="G358" s="8"/>
      <c r="I358" s="8"/>
      <c r="K358" s="8"/>
      <c r="M358" s="8"/>
      <c r="O358" s="8"/>
      <c r="Q358" s="8"/>
      <c r="S358" s="8"/>
      <c r="V358" s="8"/>
      <c r="X358" s="31"/>
      <c r="Y358" s="31" t="str">
        <f>IF($X358="","",SUMIFS(TARIFF_PROFILES!$D:$D,TARIFF_PROFILES!$A:$A,$X358))</f>
        <v/>
      </c>
      <c r="Z358" s="31" t="str">
        <f>IF($X358="","",SUMIFS(TARIFF_PROFILES!$E:$E,TARIFF_PROFILES!$A:$A,$X358))</f>
        <v/>
      </c>
      <c r="AA358" s="31" t="str">
        <f>IF($X358="","",SUMIFS(TARIFF_PROFILES!$F:$F,TARIFF_PROFILES!$A:$A,$X358))</f>
        <v/>
      </c>
      <c r="AB358" s="31" t="str">
        <f>IF($X358="","",SUMIFS(TARIFF_PROFILES!$G:$G,TARIFF_PROFILES!$A:$A,$X358))</f>
        <v/>
      </c>
      <c r="AC358" s="31" t="str">
        <f>IF($X358="","",SUMIFS(TARIFF_PROFILES!$H:$H,TARIFF_PROFILES!$A:$A,$X358))</f>
        <v/>
      </c>
      <c r="AD358" s="31" t="str">
        <f t="array" ref="AD358">IF($X358="","",INDEX(TARIFF_PROFILES!$J:$J,MATCH($X358,TARIFF_PROFILES!$A:$A,0)))</f>
        <v/>
      </c>
      <c r="AE358" s="31" t="str">
        <f t="array" ref="AE358">IF($X358="","",INDEX(TARIFF_PROFILES!$K:$K,MATCH($X358,TARIFF_PROFILES!$A:$A,0)))</f>
        <v/>
      </c>
      <c r="AG358" s="8"/>
      <c r="AH358" s="8" t="str">
        <f>IF($AG358="","",SUMIFS(OPERATING_COEFFS!$C:$C,OPERATING_COEFFS!$A:$A,"DistanceClass",OPERATING_COEFFS!$B:$B,$AG358))</f>
        <v/>
      </c>
      <c r="AI358" s="8"/>
      <c r="AJ358" s="8" t="str">
        <f>IF($AI358="","",SUMIFS(OPERATING_COEFFS!$C:$C,OPERATING_COEFFS!$A:$A,"SeasonClass",OPERATING_COEFFS!$B:$B,$AI358))</f>
        <v/>
      </c>
      <c r="AK358" s="8"/>
      <c r="AL358" s="8" t="str">
        <f>IF($AK358="","",SUMIFS(OPERATING_COEFFS!$C:$C,OPERATING_COEFFS!$A:$A,"UrgencyClass",OPERATING_COEFFS!$B:$B,$AK358))</f>
        <v/>
      </c>
      <c r="AM358" s="8"/>
      <c r="AN358" s="8" t="str">
        <f t="array" ref="AN358">IF($AM358="","",INDEX(TAX_MODES!$B:$B,MATCH($AM358,TAX_MODES!$A:$A,0)))</f>
        <v/>
      </c>
    </row>
    <row r="359" ht="14.25" customHeight="1">
      <c r="C359" s="8"/>
      <c r="E359" s="8"/>
      <c r="G359" s="8"/>
      <c r="I359" s="8"/>
      <c r="K359" s="8"/>
      <c r="M359" s="8"/>
      <c r="O359" s="8"/>
      <c r="Q359" s="8"/>
      <c r="S359" s="8"/>
      <c r="V359" s="8"/>
      <c r="X359" s="31"/>
      <c r="Y359" s="31" t="str">
        <f>IF($X359="","",SUMIFS(TARIFF_PROFILES!$D:$D,TARIFF_PROFILES!$A:$A,$X359))</f>
        <v/>
      </c>
      <c r="Z359" s="31" t="str">
        <f>IF($X359="","",SUMIFS(TARIFF_PROFILES!$E:$E,TARIFF_PROFILES!$A:$A,$X359))</f>
        <v/>
      </c>
      <c r="AA359" s="31" t="str">
        <f>IF($X359="","",SUMIFS(TARIFF_PROFILES!$F:$F,TARIFF_PROFILES!$A:$A,$X359))</f>
        <v/>
      </c>
      <c r="AB359" s="31" t="str">
        <f>IF($X359="","",SUMIFS(TARIFF_PROFILES!$G:$G,TARIFF_PROFILES!$A:$A,$X359))</f>
        <v/>
      </c>
      <c r="AC359" s="31" t="str">
        <f>IF($X359="","",SUMIFS(TARIFF_PROFILES!$H:$H,TARIFF_PROFILES!$A:$A,$X359))</f>
        <v/>
      </c>
      <c r="AD359" s="31" t="str">
        <f t="array" ref="AD359">IF($X359="","",INDEX(TARIFF_PROFILES!$J:$J,MATCH($X359,TARIFF_PROFILES!$A:$A,0)))</f>
        <v/>
      </c>
      <c r="AE359" s="31" t="str">
        <f t="array" ref="AE359">IF($X359="","",INDEX(TARIFF_PROFILES!$K:$K,MATCH($X359,TARIFF_PROFILES!$A:$A,0)))</f>
        <v/>
      </c>
      <c r="AG359" s="8"/>
      <c r="AH359" s="8" t="str">
        <f>IF($AG359="","",SUMIFS(OPERATING_COEFFS!$C:$C,OPERATING_COEFFS!$A:$A,"DistanceClass",OPERATING_COEFFS!$B:$B,$AG359))</f>
        <v/>
      </c>
      <c r="AI359" s="8"/>
      <c r="AJ359" s="8" t="str">
        <f>IF($AI359="","",SUMIFS(OPERATING_COEFFS!$C:$C,OPERATING_COEFFS!$A:$A,"SeasonClass",OPERATING_COEFFS!$B:$B,$AI359))</f>
        <v/>
      </c>
      <c r="AK359" s="8"/>
      <c r="AL359" s="8" t="str">
        <f>IF($AK359="","",SUMIFS(OPERATING_COEFFS!$C:$C,OPERATING_COEFFS!$A:$A,"UrgencyClass",OPERATING_COEFFS!$B:$B,$AK359))</f>
        <v/>
      </c>
      <c r="AM359" s="8"/>
      <c r="AN359" s="8" t="str">
        <f t="array" ref="AN359">IF($AM359="","",INDEX(TAX_MODES!$B:$B,MATCH($AM359,TAX_MODES!$A:$A,0)))</f>
        <v/>
      </c>
    </row>
    <row r="360" ht="14.25" customHeight="1">
      <c r="C360" s="8"/>
      <c r="E360" s="8"/>
      <c r="G360" s="8"/>
      <c r="I360" s="8"/>
      <c r="K360" s="8"/>
      <c r="M360" s="8"/>
      <c r="O360" s="8"/>
      <c r="Q360" s="8"/>
      <c r="S360" s="8"/>
      <c r="V360" s="8"/>
      <c r="X360" s="31"/>
      <c r="Y360" s="31" t="str">
        <f>IF($X360="","",SUMIFS(TARIFF_PROFILES!$D:$D,TARIFF_PROFILES!$A:$A,$X360))</f>
        <v/>
      </c>
      <c r="Z360" s="31" t="str">
        <f>IF($X360="","",SUMIFS(TARIFF_PROFILES!$E:$E,TARIFF_PROFILES!$A:$A,$X360))</f>
        <v/>
      </c>
      <c r="AA360" s="31" t="str">
        <f>IF($X360="","",SUMIFS(TARIFF_PROFILES!$F:$F,TARIFF_PROFILES!$A:$A,$X360))</f>
        <v/>
      </c>
      <c r="AB360" s="31" t="str">
        <f>IF($X360="","",SUMIFS(TARIFF_PROFILES!$G:$G,TARIFF_PROFILES!$A:$A,$X360))</f>
        <v/>
      </c>
      <c r="AC360" s="31" t="str">
        <f>IF($X360="","",SUMIFS(TARIFF_PROFILES!$H:$H,TARIFF_PROFILES!$A:$A,$X360))</f>
        <v/>
      </c>
      <c r="AD360" s="31" t="str">
        <f t="array" ref="AD360">IF($X360="","",INDEX(TARIFF_PROFILES!$J:$J,MATCH($X360,TARIFF_PROFILES!$A:$A,0)))</f>
        <v/>
      </c>
      <c r="AE360" s="31" t="str">
        <f t="array" ref="AE360">IF($X360="","",INDEX(TARIFF_PROFILES!$K:$K,MATCH($X360,TARIFF_PROFILES!$A:$A,0)))</f>
        <v/>
      </c>
      <c r="AG360" s="8"/>
      <c r="AH360" s="8" t="str">
        <f>IF($AG360="","",SUMIFS(OPERATING_COEFFS!$C:$C,OPERATING_COEFFS!$A:$A,"DistanceClass",OPERATING_COEFFS!$B:$B,$AG360))</f>
        <v/>
      </c>
      <c r="AI360" s="8"/>
      <c r="AJ360" s="8" t="str">
        <f>IF($AI360="","",SUMIFS(OPERATING_COEFFS!$C:$C,OPERATING_COEFFS!$A:$A,"SeasonClass",OPERATING_COEFFS!$B:$B,$AI360))</f>
        <v/>
      </c>
      <c r="AK360" s="8"/>
      <c r="AL360" s="8" t="str">
        <f>IF($AK360="","",SUMIFS(OPERATING_COEFFS!$C:$C,OPERATING_COEFFS!$A:$A,"UrgencyClass",OPERATING_COEFFS!$B:$B,$AK360))</f>
        <v/>
      </c>
      <c r="AM360" s="8"/>
      <c r="AN360" s="8" t="str">
        <f t="array" ref="AN360">IF($AM360="","",INDEX(TAX_MODES!$B:$B,MATCH($AM360,TAX_MODES!$A:$A,0)))</f>
        <v/>
      </c>
    </row>
    <row r="361" ht="14.25" customHeight="1">
      <c r="C361" s="8"/>
      <c r="E361" s="8"/>
      <c r="G361" s="8"/>
      <c r="I361" s="8"/>
      <c r="K361" s="8"/>
      <c r="M361" s="8"/>
      <c r="O361" s="8"/>
      <c r="Q361" s="8"/>
      <c r="S361" s="8"/>
      <c r="V361" s="8"/>
      <c r="X361" s="31"/>
      <c r="Y361" s="31" t="str">
        <f>IF($X361="","",SUMIFS(TARIFF_PROFILES!$D:$D,TARIFF_PROFILES!$A:$A,$X361))</f>
        <v/>
      </c>
      <c r="Z361" s="31" t="str">
        <f>IF($X361="","",SUMIFS(TARIFF_PROFILES!$E:$E,TARIFF_PROFILES!$A:$A,$X361))</f>
        <v/>
      </c>
      <c r="AA361" s="31" t="str">
        <f>IF($X361="","",SUMIFS(TARIFF_PROFILES!$F:$F,TARIFF_PROFILES!$A:$A,$X361))</f>
        <v/>
      </c>
      <c r="AB361" s="31" t="str">
        <f>IF($X361="","",SUMIFS(TARIFF_PROFILES!$G:$G,TARIFF_PROFILES!$A:$A,$X361))</f>
        <v/>
      </c>
      <c r="AC361" s="31" t="str">
        <f>IF($X361="","",SUMIFS(TARIFF_PROFILES!$H:$H,TARIFF_PROFILES!$A:$A,$X361))</f>
        <v/>
      </c>
      <c r="AD361" s="31" t="str">
        <f t="array" ref="AD361">IF($X361="","",INDEX(TARIFF_PROFILES!$J:$J,MATCH($X361,TARIFF_PROFILES!$A:$A,0)))</f>
        <v/>
      </c>
      <c r="AE361" s="31" t="str">
        <f t="array" ref="AE361">IF($X361="","",INDEX(TARIFF_PROFILES!$K:$K,MATCH($X361,TARIFF_PROFILES!$A:$A,0)))</f>
        <v/>
      </c>
      <c r="AG361" s="8"/>
      <c r="AH361" s="8" t="str">
        <f>IF($AG361="","",SUMIFS(OPERATING_COEFFS!$C:$C,OPERATING_COEFFS!$A:$A,"DistanceClass",OPERATING_COEFFS!$B:$B,$AG361))</f>
        <v/>
      </c>
      <c r="AI361" s="8"/>
      <c r="AJ361" s="8" t="str">
        <f>IF($AI361="","",SUMIFS(OPERATING_COEFFS!$C:$C,OPERATING_COEFFS!$A:$A,"SeasonClass",OPERATING_COEFFS!$B:$B,$AI361))</f>
        <v/>
      </c>
      <c r="AK361" s="8"/>
      <c r="AL361" s="8" t="str">
        <f>IF($AK361="","",SUMIFS(OPERATING_COEFFS!$C:$C,OPERATING_COEFFS!$A:$A,"UrgencyClass",OPERATING_COEFFS!$B:$B,$AK361))</f>
        <v/>
      </c>
      <c r="AM361" s="8"/>
      <c r="AN361" s="8" t="str">
        <f t="array" ref="AN361">IF($AM361="","",INDEX(TAX_MODES!$B:$B,MATCH($AM361,TAX_MODES!$A:$A,0)))</f>
        <v/>
      </c>
    </row>
    <row r="362" ht="14.25" customHeight="1">
      <c r="C362" s="8"/>
      <c r="E362" s="8"/>
      <c r="G362" s="8"/>
      <c r="I362" s="8"/>
      <c r="K362" s="8"/>
      <c r="M362" s="8"/>
      <c r="O362" s="8"/>
      <c r="Q362" s="8"/>
      <c r="S362" s="8"/>
      <c r="V362" s="8"/>
      <c r="X362" s="31"/>
      <c r="Y362" s="31" t="str">
        <f>IF($X362="","",SUMIFS(TARIFF_PROFILES!$D:$D,TARIFF_PROFILES!$A:$A,$X362))</f>
        <v/>
      </c>
      <c r="Z362" s="31" t="str">
        <f>IF($X362="","",SUMIFS(TARIFF_PROFILES!$E:$E,TARIFF_PROFILES!$A:$A,$X362))</f>
        <v/>
      </c>
      <c r="AA362" s="31" t="str">
        <f>IF($X362="","",SUMIFS(TARIFF_PROFILES!$F:$F,TARIFF_PROFILES!$A:$A,$X362))</f>
        <v/>
      </c>
      <c r="AB362" s="31" t="str">
        <f>IF($X362="","",SUMIFS(TARIFF_PROFILES!$G:$G,TARIFF_PROFILES!$A:$A,$X362))</f>
        <v/>
      </c>
      <c r="AC362" s="31" t="str">
        <f>IF($X362="","",SUMIFS(TARIFF_PROFILES!$H:$H,TARIFF_PROFILES!$A:$A,$X362))</f>
        <v/>
      </c>
      <c r="AD362" s="31" t="str">
        <f t="array" ref="AD362">IF($X362="","",INDEX(TARIFF_PROFILES!$J:$J,MATCH($X362,TARIFF_PROFILES!$A:$A,0)))</f>
        <v/>
      </c>
      <c r="AE362" s="31" t="str">
        <f t="array" ref="AE362">IF($X362="","",INDEX(TARIFF_PROFILES!$K:$K,MATCH($X362,TARIFF_PROFILES!$A:$A,0)))</f>
        <v/>
      </c>
      <c r="AG362" s="8"/>
      <c r="AH362" s="8" t="str">
        <f>IF($AG362="","",SUMIFS(OPERATING_COEFFS!$C:$C,OPERATING_COEFFS!$A:$A,"DistanceClass",OPERATING_COEFFS!$B:$B,$AG362))</f>
        <v/>
      </c>
      <c r="AI362" s="8"/>
      <c r="AJ362" s="8" t="str">
        <f>IF($AI362="","",SUMIFS(OPERATING_COEFFS!$C:$C,OPERATING_COEFFS!$A:$A,"SeasonClass",OPERATING_COEFFS!$B:$B,$AI362))</f>
        <v/>
      </c>
      <c r="AK362" s="8"/>
      <c r="AL362" s="8" t="str">
        <f>IF($AK362="","",SUMIFS(OPERATING_COEFFS!$C:$C,OPERATING_COEFFS!$A:$A,"UrgencyClass",OPERATING_COEFFS!$B:$B,$AK362))</f>
        <v/>
      </c>
      <c r="AM362" s="8"/>
      <c r="AN362" s="8" t="str">
        <f t="array" ref="AN362">IF($AM362="","",INDEX(TAX_MODES!$B:$B,MATCH($AM362,TAX_MODES!$A:$A,0)))</f>
        <v/>
      </c>
    </row>
    <row r="363" ht="14.25" customHeight="1">
      <c r="C363" s="8"/>
      <c r="E363" s="8"/>
      <c r="G363" s="8"/>
      <c r="I363" s="8"/>
      <c r="K363" s="8"/>
      <c r="M363" s="8"/>
      <c r="O363" s="8"/>
      <c r="Q363" s="8"/>
      <c r="S363" s="8"/>
      <c r="V363" s="8"/>
      <c r="X363" s="31"/>
      <c r="Y363" s="31" t="str">
        <f>IF($X363="","",SUMIFS(TARIFF_PROFILES!$D:$D,TARIFF_PROFILES!$A:$A,$X363))</f>
        <v/>
      </c>
      <c r="Z363" s="31" t="str">
        <f>IF($X363="","",SUMIFS(TARIFF_PROFILES!$E:$E,TARIFF_PROFILES!$A:$A,$X363))</f>
        <v/>
      </c>
      <c r="AA363" s="31" t="str">
        <f>IF($X363="","",SUMIFS(TARIFF_PROFILES!$F:$F,TARIFF_PROFILES!$A:$A,$X363))</f>
        <v/>
      </c>
      <c r="AB363" s="31" t="str">
        <f>IF($X363="","",SUMIFS(TARIFF_PROFILES!$G:$G,TARIFF_PROFILES!$A:$A,$X363))</f>
        <v/>
      </c>
      <c r="AC363" s="31" t="str">
        <f>IF($X363="","",SUMIFS(TARIFF_PROFILES!$H:$H,TARIFF_PROFILES!$A:$A,$X363))</f>
        <v/>
      </c>
      <c r="AD363" s="31" t="str">
        <f t="array" ref="AD363">IF($X363="","",INDEX(TARIFF_PROFILES!$J:$J,MATCH($X363,TARIFF_PROFILES!$A:$A,0)))</f>
        <v/>
      </c>
      <c r="AE363" s="31" t="str">
        <f t="array" ref="AE363">IF($X363="","",INDEX(TARIFF_PROFILES!$K:$K,MATCH($X363,TARIFF_PROFILES!$A:$A,0)))</f>
        <v/>
      </c>
      <c r="AG363" s="8"/>
      <c r="AH363" s="8" t="str">
        <f>IF($AG363="","",SUMIFS(OPERATING_COEFFS!$C:$C,OPERATING_COEFFS!$A:$A,"DistanceClass",OPERATING_COEFFS!$B:$B,$AG363))</f>
        <v/>
      </c>
      <c r="AI363" s="8"/>
      <c r="AJ363" s="8" t="str">
        <f>IF($AI363="","",SUMIFS(OPERATING_COEFFS!$C:$C,OPERATING_COEFFS!$A:$A,"SeasonClass",OPERATING_COEFFS!$B:$B,$AI363))</f>
        <v/>
      </c>
      <c r="AK363" s="8"/>
      <c r="AL363" s="8" t="str">
        <f>IF($AK363="","",SUMIFS(OPERATING_COEFFS!$C:$C,OPERATING_COEFFS!$A:$A,"UrgencyClass",OPERATING_COEFFS!$B:$B,$AK363))</f>
        <v/>
      </c>
      <c r="AM363" s="8"/>
      <c r="AN363" s="8" t="str">
        <f t="array" ref="AN363">IF($AM363="","",INDEX(TAX_MODES!$B:$B,MATCH($AM363,TAX_MODES!$A:$A,0)))</f>
        <v/>
      </c>
    </row>
    <row r="364" ht="14.25" customHeight="1">
      <c r="C364" s="8"/>
      <c r="E364" s="8"/>
      <c r="G364" s="8"/>
      <c r="I364" s="8"/>
      <c r="K364" s="8"/>
      <c r="M364" s="8"/>
      <c r="O364" s="8"/>
      <c r="Q364" s="8"/>
      <c r="S364" s="8"/>
      <c r="V364" s="8"/>
      <c r="X364" s="31"/>
      <c r="Y364" s="31" t="str">
        <f>IF($X364="","",SUMIFS(TARIFF_PROFILES!$D:$D,TARIFF_PROFILES!$A:$A,$X364))</f>
        <v/>
      </c>
      <c r="Z364" s="31" t="str">
        <f>IF($X364="","",SUMIFS(TARIFF_PROFILES!$E:$E,TARIFF_PROFILES!$A:$A,$X364))</f>
        <v/>
      </c>
      <c r="AA364" s="31" t="str">
        <f>IF($X364="","",SUMIFS(TARIFF_PROFILES!$F:$F,TARIFF_PROFILES!$A:$A,$X364))</f>
        <v/>
      </c>
      <c r="AB364" s="31" t="str">
        <f>IF($X364="","",SUMIFS(TARIFF_PROFILES!$G:$G,TARIFF_PROFILES!$A:$A,$X364))</f>
        <v/>
      </c>
      <c r="AC364" s="31" t="str">
        <f>IF($X364="","",SUMIFS(TARIFF_PROFILES!$H:$H,TARIFF_PROFILES!$A:$A,$X364))</f>
        <v/>
      </c>
      <c r="AD364" s="31" t="str">
        <f t="array" ref="AD364">IF($X364="","",INDEX(TARIFF_PROFILES!$J:$J,MATCH($X364,TARIFF_PROFILES!$A:$A,0)))</f>
        <v/>
      </c>
      <c r="AE364" s="31" t="str">
        <f t="array" ref="AE364">IF($X364="","",INDEX(TARIFF_PROFILES!$K:$K,MATCH($X364,TARIFF_PROFILES!$A:$A,0)))</f>
        <v/>
      </c>
      <c r="AG364" s="8"/>
      <c r="AH364" s="8" t="str">
        <f>IF($AG364="","",SUMIFS(OPERATING_COEFFS!$C:$C,OPERATING_COEFFS!$A:$A,"DistanceClass",OPERATING_COEFFS!$B:$B,$AG364))</f>
        <v/>
      </c>
      <c r="AI364" s="8"/>
      <c r="AJ364" s="8" t="str">
        <f>IF($AI364="","",SUMIFS(OPERATING_COEFFS!$C:$C,OPERATING_COEFFS!$A:$A,"SeasonClass",OPERATING_COEFFS!$B:$B,$AI364))</f>
        <v/>
      </c>
      <c r="AK364" s="8"/>
      <c r="AL364" s="8" t="str">
        <f>IF($AK364="","",SUMIFS(OPERATING_COEFFS!$C:$C,OPERATING_COEFFS!$A:$A,"UrgencyClass",OPERATING_COEFFS!$B:$B,$AK364))</f>
        <v/>
      </c>
      <c r="AM364" s="8"/>
      <c r="AN364" s="8" t="str">
        <f t="array" ref="AN364">IF($AM364="","",INDEX(TAX_MODES!$B:$B,MATCH($AM364,TAX_MODES!$A:$A,0)))</f>
        <v/>
      </c>
    </row>
    <row r="365" ht="14.25" customHeight="1">
      <c r="C365" s="8"/>
      <c r="E365" s="8"/>
      <c r="G365" s="8"/>
      <c r="I365" s="8"/>
      <c r="K365" s="8"/>
      <c r="M365" s="8"/>
      <c r="O365" s="8"/>
      <c r="Q365" s="8"/>
      <c r="S365" s="8"/>
      <c r="V365" s="8"/>
      <c r="X365" s="31"/>
      <c r="Y365" s="31" t="str">
        <f>IF($X365="","",SUMIFS(TARIFF_PROFILES!$D:$D,TARIFF_PROFILES!$A:$A,$X365))</f>
        <v/>
      </c>
      <c r="Z365" s="31" t="str">
        <f>IF($X365="","",SUMIFS(TARIFF_PROFILES!$E:$E,TARIFF_PROFILES!$A:$A,$X365))</f>
        <v/>
      </c>
      <c r="AA365" s="31" t="str">
        <f>IF($X365="","",SUMIFS(TARIFF_PROFILES!$F:$F,TARIFF_PROFILES!$A:$A,$X365))</f>
        <v/>
      </c>
      <c r="AB365" s="31" t="str">
        <f>IF($X365="","",SUMIFS(TARIFF_PROFILES!$G:$G,TARIFF_PROFILES!$A:$A,$X365))</f>
        <v/>
      </c>
      <c r="AC365" s="31" t="str">
        <f>IF($X365="","",SUMIFS(TARIFF_PROFILES!$H:$H,TARIFF_PROFILES!$A:$A,$X365))</f>
        <v/>
      </c>
      <c r="AD365" s="31" t="str">
        <f t="array" ref="AD365">IF($X365="","",INDEX(TARIFF_PROFILES!$J:$J,MATCH($X365,TARIFF_PROFILES!$A:$A,0)))</f>
        <v/>
      </c>
      <c r="AE365" s="31" t="str">
        <f t="array" ref="AE365">IF($X365="","",INDEX(TARIFF_PROFILES!$K:$K,MATCH($X365,TARIFF_PROFILES!$A:$A,0)))</f>
        <v/>
      </c>
      <c r="AG365" s="8"/>
      <c r="AH365" s="8" t="str">
        <f>IF($AG365="","",SUMIFS(OPERATING_COEFFS!$C:$C,OPERATING_COEFFS!$A:$A,"DistanceClass",OPERATING_COEFFS!$B:$B,$AG365))</f>
        <v/>
      </c>
      <c r="AI365" s="8"/>
      <c r="AJ365" s="8" t="str">
        <f>IF($AI365="","",SUMIFS(OPERATING_COEFFS!$C:$C,OPERATING_COEFFS!$A:$A,"SeasonClass",OPERATING_COEFFS!$B:$B,$AI365))</f>
        <v/>
      </c>
      <c r="AK365" s="8"/>
      <c r="AL365" s="8" t="str">
        <f>IF($AK365="","",SUMIFS(OPERATING_COEFFS!$C:$C,OPERATING_COEFFS!$A:$A,"UrgencyClass",OPERATING_COEFFS!$B:$B,$AK365))</f>
        <v/>
      </c>
      <c r="AM365" s="8"/>
      <c r="AN365" s="8" t="str">
        <f t="array" ref="AN365">IF($AM365="","",INDEX(TAX_MODES!$B:$B,MATCH($AM365,TAX_MODES!$A:$A,0)))</f>
        <v/>
      </c>
    </row>
    <row r="366" ht="14.25" customHeight="1">
      <c r="C366" s="8"/>
      <c r="E366" s="8"/>
      <c r="G366" s="8"/>
      <c r="I366" s="8"/>
      <c r="K366" s="8"/>
      <c r="M366" s="8"/>
      <c r="O366" s="8"/>
      <c r="Q366" s="8"/>
      <c r="S366" s="8"/>
      <c r="V366" s="8"/>
      <c r="X366" s="31"/>
      <c r="Y366" s="31" t="str">
        <f>IF($X366="","",SUMIFS(TARIFF_PROFILES!$D:$D,TARIFF_PROFILES!$A:$A,$X366))</f>
        <v/>
      </c>
      <c r="Z366" s="31" t="str">
        <f>IF($X366="","",SUMIFS(TARIFF_PROFILES!$E:$E,TARIFF_PROFILES!$A:$A,$X366))</f>
        <v/>
      </c>
      <c r="AA366" s="31" t="str">
        <f>IF($X366="","",SUMIFS(TARIFF_PROFILES!$F:$F,TARIFF_PROFILES!$A:$A,$X366))</f>
        <v/>
      </c>
      <c r="AB366" s="31" t="str">
        <f>IF($X366="","",SUMIFS(TARIFF_PROFILES!$G:$G,TARIFF_PROFILES!$A:$A,$X366))</f>
        <v/>
      </c>
      <c r="AC366" s="31" t="str">
        <f>IF($X366="","",SUMIFS(TARIFF_PROFILES!$H:$H,TARIFF_PROFILES!$A:$A,$X366))</f>
        <v/>
      </c>
      <c r="AD366" s="31" t="str">
        <f t="array" ref="AD366">IF($X366="","",INDEX(TARIFF_PROFILES!$J:$J,MATCH($X366,TARIFF_PROFILES!$A:$A,0)))</f>
        <v/>
      </c>
      <c r="AE366" s="31" t="str">
        <f t="array" ref="AE366">IF($X366="","",INDEX(TARIFF_PROFILES!$K:$K,MATCH($X366,TARIFF_PROFILES!$A:$A,0)))</f>
        <v/>
      </c>
      <c r="AG366" s="8"/>
      <c r="AH366" s="8" t="str">
        <f>IF($AG366="","",SUMIFS(OPERATING_COEFFS!$C:$C,OPERATING_COEFFS!$A:$A,"DistanceClass",OPERATING_COEFFS!$B:$B,$AG366))</f>
        <v/>
      </c>
      <c r="AI366" s="8"/>
      <c r="AJ366" s="8" t="str">
        <f>IF($AI366="","",SUMIFS(OPERATING_COEFFS!$C:$C,OPERATING_COEFFS!$A:$A,"SeasonClass",OPERATING_COEFFS!$B:$B,$AI366))</f>
        <v/>
      </c>
      <c r="AK366" s="8"/>
      <c r="AL366" s="8" t="str">
        <f>IF($AK366="","",SUMIFS(OPERATING_COEFFS!$C:$C,OPERATING_COEFFS!$A:$A,"UrgencyClass",OPERATING_COEFFS!$B:$B,$AK366))</f>
        <v/>
      </c>
      <c r="AM366" s="8"/>
      <c r="AN366" s="8" t="str">
        <f t="array" ref="AN366">IF($AM366="","",INDEX(TAX_MODES!$B:$B,MATCH($AM366,TAX_MODES!$A:$A,0)))</f>
        <v/>
      </c>
    </row>
    <row r="367" ht="14.25" customHeight="1">
      <c r="C367" s="8"/>
      <c r="E367" s="8"/>
      <c r="G367" s="8"/>
      <c r="I367" s="8"/>
      <c r="K367" s="8"/>
      <c r="M367" s="8"/>
      <c r="O367" s="8"/>
      <c r="Q367" s="8"/>
      <c r="S367" s="8"/>
      <c r="V367" s="8"/>
      <c r="X367" s="31"/>
      <c r="Y367" s="31" t="str">
        <f>IF($X367="","",SUMIFS(TARIFF_PROFILES!$D:$D,TARIFF_PROFILES!$A:$A,$X367))</f>
        <v/>
      </c>
      <c r="Z367" s="31" t="str">
        <f>IF($X367="","",SUMIFS(TARIFF_PROFILES!$E:$E,TARIFF_PROFILES!$A:$A,$X367))</f>
        <v/>
      </c>
      <c r="AA367" s="31" t="str">
        <f>IF($X367="","",SUMIFS(TARIFF_PROFILES!$F:$F,TARIFF_PROFILES!$A:$A,$X367))</f>
        <v/>
      </c>
      <c r="AB367" s="31" t="str">
        <f>IF($X367="","",SUMIFS(TARIFF_PROFILES!$G:$G,TARIFF_PROFILES!$A:$A,$X367))</f>
        <v/>
      </c>
      <c r="AC367" s="31" t="str">
        <f>IF($X367="","",SUMIFS(TARIFF_PROFILES!$H:$H,TARIFF_PROFILES!$A:$A,$X367))</f>
        <v/>
      </c>
      <c r="AD367" s="31" t="str">
        <f t="array" ref="AD367">IF($X367="","",INDEX(TARIFF_PROFILES!$J:$J,MATCH($X367,TARIFF_PROFILES!$A:$A,0)))</f>
        <v/>
      </c>
      <c r="AE367" s="31" t="str">
        <f t="array" ref="AE367">IF($X367="","",INDEX(TARIFF_PROFILES!$K:$K,MATCH($X367,TARIFF_PROFILES!$A:$A,0)))</f>
        <v/>
      </c>
      <c r="AG367" s="8"/>
      <c r="AH367" s="8" t="str">
        <f>IF($AG367="","",SUMIFS(OPERATING_COEFFS!$C:$C,OPERATING_COEFFS!$A:$A,"DistanceClass",OPERATING_COEFFS!$B:$B,$AG367))</f>
        <v/>
      </c>
      <c r="AI367" s="8"/>
      <c r="AJ367" s="8" t="str">
        <f>IF($AI367="","",SUMIFS(OPERATING_COEFFS!$C:$C,OPERATING_COEFFS!$A:$A,"SeasonClass",OPERATING_COEFFS!$B:$B,$AI367))</f>
        <v/>
      </c>
      <c r="AK367" s="8"/>
      <c r="AL367" s="8" t="str">
        <f>IF($AK367="","",SUMIFS(OPERATING_COEFFS!$C:$C,OPERATING_COEFFS!$A:$A,"UrgencyClass",OPERATING_COEFFS!$B:$B,$AK367))</f>
        <v/>
      </c>
      <c r="AM367" s="8"/>
      <c r="AN367" s="8" t="str">
        <f t="array" ref="AN367">IF($AM367="","",INDEX(TAX_MODES!$B:$B,MATCH($AM367,TAX_MODES!$A:$A,0)))</f>
        <v/>
      </c>
    </row>
    <row r="368" ht="14.25" customHeight="1">
      <c r="C368" s="8"/>
      <c r="E368" s="8"/>
      <c r="G368" s="8"/>
      <c r="I368" s="8"/>
      <c r="K368" s="8"/>
      <c r="M368" s="8"/>
      <c r="O368" s="8"/>
      <c r="Q368" s="8"/>
      <c r="S368" s="8"/>
      <c r="V368" s="8"/>
      <c r="X368" s="31"/>
      <c r="Y368" s="31" t="str">
        <f>IF($X368="","",SUMIFS(TARIFF_PROFILES!$D:$D,TARIFF_PROFILES!$A:$A,$X368))</f>
        <v/>
      </c>
      <c r="Z368" s="31" t="str">
        <f>IF($X368="","",SUMIFS(TARIFF_PROFILES!$E:$E,TARIFF_PROFILES!$A:$A,$X368))</f>
        <v/>
      </c>
      <c r="AA368" s="31" t="str">
        <f>IF($X368="","",SUMIFS(TARIFF_PROFILES!$F:$F,TARIFF_PROFILES!$A:$A,$X368))</f>
        <v/>
      </c>
      <c r="AB368" s="31" t="str">
        <f>IF($X368="","",SUMIFS(TARIFF_PROFILES!$G:$G,TARIFF_PROFILES!$A:$A,$X368))</f>
        <v/>
      </c>
      <c r="AC368" s="31" t="str">
        <f>IF($X368="","",SUMIFS(TARIFF_PROFILES!$H:$H,TARIFF_PROFILES!$A:$A,$X368))</f>
        <v/>
      </c>
      <c r="AD368" s="31" t="str">
        <f t="array" ref="AD368">IF($X368="","",INDEX(TARIFF_PROFILES!$J:$J,MATCH($X368,TARIFF_PROFILES!$A:$A,0)))</f>
        <v/>
      </c>
      <c r="AE368" s="31" t="str">
        <f t="array" ref="AE368">IF($X368="","",INDEX(TARIFF_PROFILES!$K:$K,MATCH($X368,TARIFF_PROFILES!$A:$A,0)))</f>
        <v/>
      </c>
      <c r="AG368" s="8"/>
      <c r="AH368" s="8" t="str">
        <f>IF($AG368="","",SUMIFS(OPERATING_COEFFS!$C:$C,OPERATING_COEFFS!$A:$A,"DistanceClass",OPERATING_COEFFS!$B:$B,$AG368))</f>
        <v/>
      </c>
      <c r="AI368" s="8"/>
      <c r="AJ368" s="8" t="str">
        <f>IF($AI368="","",SUMIFS(OPERATING_COEFFS!$C:$C,OPERATING_COEFFS!$A:$A,"SeasonClass",OPERATING_COEFFS!$B:$B,$AI368))</f>
        <v/>
      </c>
      <c r="AK368" s="8"/>
      <c r="AL368" s="8" t="str">
        <f>IF($AK368="","",SUMIFS(OPERATING_COEFFS!$C:$C,OPERATING_COEFFS!$A:$A,"UrgencyClass",OPERATING_COEFFS!$B:$B,$AK368))</f>
        <v/>
      </c>
      <c r="AM368" s="8"/>
      <c r="AN368" s="8" t="str">
        <f t="array" ref="AN368">IF($AM368="","",INDEX(TAX_MODES!$B:$B,MATCH($AM368,TAX_MODES!$A:$A,0)))</f>
        <v/>
      </c>
    </row>
    <row r="369" ht="14.25" customHeight="1">
      <c r="C369" s="8"/>
      <c r="E369" s="8"/>
      <c r="G369" s="8"/>
      <c r="I369" s="8"/>
      <c r="K369" s="8"/>
      <c r="M369" s="8"/>
      <c r="O369" s="8"/>
      <c r="Q369" s="8"/>
      <c r="S369" s="8"/>
      <c r="V369" s="8"/>
      <c r="X369" s="31"/>
      <c r="Y369" s="31" t="str">
        <f>IF($X369="","",SUMIFS(TARIFF_PROFILES!$D:$D,TARIFF_PROFILES!$A:$A,$X369))</f>
        <v/>
      </c>
      <c r="Z369" s="31" t="str">
        <f>IF($X369="","",SUMIFS(TARIFF_PROFILES!$E:$E,TARIFF_PROFILES!$A:$A,$X369))</f>
        <v/>
      </c>
      <c r="AA369" s="31" t="str">
        <f>IF($X369="","",SUMIFS(TARIFF_PROFILES!$F:$F,TARIFF_PROFILES!$A:$A,$X369))</f>
        <v/>
      </c>
      <c r="AB369" s="31" t="str">
        <f>IF($X369="","",SUMIFS(TARIFF_PROFILES!$G:$G,TARIFF_PROFILES!$A:$A,$X369))</f>
        <v/>
      </c>
      <c r="AC369" s="31" t="str">
        <f>IF($X369="","",SUMIFS(TARIFF_PROFILES!$H:$H,TARIFF_PROFILES!$A:$A,$X369))</f>
        <v/>
      </c>
      <c r="AD369" s="31" t="str">
        <f t="array" ref="AD369">IF($X369="","",INDEX(TARIFF_PROFILES!$J:$J,MATCH($X369,TARIFF_PROFILES!$A:$A,0)))</f>
        <v/>
      </c>
      <c r="AE369" s="31" t="str">
        <f t="array" ref="AE369">IF($X369="","",INDEX(TARIFF_PROFILES!$K:$K,MATCH($X369,TARIFF_PROFILES!$A:$A,0)))</f>
        <v/>
      </c>
      <c r="AG369" s="8"/>
      <c r="AH369" s="8" t="str">
        <f>IF($AG369="","",SUMIFS(OPERATING_COEFFS!$C:$C,OPERATING_COEFFS!$A:$A,"DistanceClass",OPERATING_COEFFS!$B:$B,$AG369))</f>
        <v/>
      </c>
      <c r="AI369" s="8"/>
      <c r="AJ369" s="8" t="str">
        <f>IF($AI369="","",SUMIFS(OPERATING_COEFFS!$C:$C,OPERATING_COEFFS!$A:$A,"SeasonClass",OPERATING_COEFFS!$B:$B,$AI369))</f>
        <v/>
      </c>
      <c r="AK369" s="8"/>
      <c r="AL369" s="8" t="str">
        <f>IF($AK369="","",SUMIFS(OPERATING_COEFFS!$C:$C,OPERATING_COEFFS!$A:$A,"UrgencyClass",OPERATING_COEFFS!$B:$B,$AK369))</f>
        <v/>
      </c>
      <c r="AM369" s="8"/>
      <c r="AN369" s="8" t="str">
        <f t="array" ref="AN369">IF($AM369="","",INDEX(TAX_MODES!$B:$B,MATCH($AM369,TAX_MODES!$A:$A,0)))</f>
        <v/>
      </c>
    </row>
    <row r="370" ht="14.25" customHeight="1">
      <c r="C370" s="8"/>
      <c r="E370" s="8"/>
      <c r="G370" s="8"/>
      <c r="I370" s="8"/>
      <c r="K370" s="8"/>
      <c r="M370" s="8"/>
      <c r="O370" s="8"/>
      <c r="Q370" s="8"/>
      <c r="S370" s="8"/>
      <c r="V370" s="8"/>
      <c r="X370" s="31"/>
      <c r="Y370" s="31" t="str">
        <f>IF($X370="","",SUMIFS(TARIFF_PROFILES!$D:$D,TARIFF_PROFILES!$A:$A,$X370))</f>
        <v/>
      </c>
      <c r="Z370" s="31" t="str">
        <f>IF($X370="","",SUMIFS(TARIFF_PROFILES!$E:$E,TARIFF_PROFILES!$A:$A,$X370))</f>
        <v/>
      </c>
      <c r="AA370" s="31" t="str">
        <f>IF($X370="","",SUMIFS(TARIFF_PROFILES!$F:$F,TARIFF_PROFILES!$A:$A,$X370))</f>
        <v/>
      </c>
      <c r="AB370" s="31" t="str">
        <f>IF($X370="","",SUMIFS(TARIFF_PROFILES!$G:$G,TARIFF_PROFILES!$A:$A,$X370))</f>
        <v/>
      </c>
      <c r="AC370" s="31" t="str">
        <f>IF($X370="","",SUMIFS(TARIFF_PROFILES!$H:$H,TARIFF_PROFILES!$A:$A,$X370))</f>
        <v/>
      </c>
      <c r="AD370" s="31" t="str">
        <f t="array" ref="AD370">IF($X370="","",INDEX(TARIFF_PROFILES!$J:$J,MATCH($X370,TARIFF_PROFILES!$A:$A,0)))</f>
        <v/>
      </c>
      <c r="AE370" s="31" t="str">
        <f t="array" ref="AE370">IF($X370="","",INDEX(TARIFF_PROFILES!$K:$K,MATCH($X370,TARIFF_PROFILES!$A:$A,0)))</f>
        <v/>
      </c>
      <c r="AG370" s="8"/>
      <c r="AH370" s="8" t="str">
        <f>IF($AG370="","",SUMIFS(OPERATING_COEFFS!$C:$C,OPERATING_COEFFS!$A:$A,"DistanceClass",OPERATING_COEFFS!$B:$B,$AG370))</f>
        <v/>
      </c>
      <c r="AI370" s="8"/>
      <c r="AJ370" s="8" t="str">
        <f>IF($AI370="","",SUMIFS(OPERATING_COEFFS!$C:$C,OPERATING_COEFFS!$A:$A,"SeasonClass",OPERATING_COEFFS!$B:$B,$AI370))</f>
        <v/>
      </c>
      <c r="AK370" s="8"/>
      <c r="AL370" s="8" t="str">
        <f>IF($AK370="","",SUMIFS(OPERATING_COEFFS!$C:$C,OPERATING_COEFFS!$A:$A,"UrgencyClass",OPERATING_COEFFS!$B:$B,$AK370))</f>
        <v/>
      </c>
      <c r="AM370" s="8"/>
      <c r="AN370" s="8" t="str">
        <f t="array" ref="AN370">IF($AM370="","",INDEX(TAX_MODES!$B:$B,MATCH($AM370,TAX_MODES!$A:$A,0)))</f>
        <v/>
      </c>
    </row>
    <row r="371" ht="14.25" customHeight="1">
      <c r="C371" s="8"/>
      <c r="E371" s="8"/>
      <c r="G371" s="8"/>
      <c r="I371" s="8"/>
      <c r="K371" s="8"/>
      <c r="M371" s="8"/>
      <c r="O371" s="8"/>
      <c r="Q371" s="8"/>
      <c r="S371" s="8"/>
      <c r="V371" s="8"/>
      <c r="X371" s="31"/>
      <c r="Y371" s="31" t="str">
        <f>IF($X371="","",SUMIFS(TARIFF_PROFILES!$D:$D,TARIFF_PROFILES!$A:$A,$X371))</f>
        <v/>
      </c>
      <c r="Z371" s="31" t="str">
        <f>IF($X371="","",SUMIFS(TARIFF_PROFILES!$E:$E,TARIFF_PROFILES!$A:$A,$X371))</f>
        <v/>
      </c>
      <c r="AA371" s="31" t="str">
        <f>IF($X371="","",SUMIFS(TARIFF_PROFILES!$F:$F,TARIFF_PROFILES!$A:$A,$X371))</f>
        <v/>
      </c>
      <c r="AB371" s="31" t="str">
        <f>IF($X371="","",SUMIFS(TARIFF_PROFILES!$G:$G,TARIFF_PROFILES!$A:$A,$X371))</f>
        <v/>
      </c>
      <c r="AC371" s="31" t="str">
        <f>IF($X371="","",SUMIFS(TARIFF_PROFILES!$H:$H,TARIFF_PROFILES!$A:$A,$X371))</f>
        <v/>
      </c>
      <c r="AD371" s="31" t="str">
        <f t="array" ref="AD371">IF($X371="","",INDEX(TARIFF_PROFILES!$J:$J,MATCH($X371,TARIFF_PROFILES!$A:$A,0)))</f>
        <v/>
      </c>
      <c r="AE371" s="31" t="str">
        <f t="array" ref="AE371">IF($X371="","",INDEX(TARIFF_PROFILES!$K:$K,MATCH($X371,TARIFF_PROFILES!$A:$A,0)))</f>
        <v/>
      </c>
      <c r="AG371" s="8"/>
      <c r="AH371" s="8" t="str">
        <f>IF($AG371="","",SUMIFS(OPERATING_COEFFS!$C:$C,OPERATING_COEFFS!$A:$A,"DistanceClass",OPERATING_COEFFS!$B:$B,$AG371))</f>
        <v/>
      </c>
      <c r="AI371" s="8"/>
      <c r="AJ371" s="8" t="str">
        <f>IF($AI371="","",SUMIFS(OPERATING_COEFFS!$C:$C,OPERATING_COEFFS!$A:$A,"SeasonClass",OPERATING_COEFFS!$B:$B,$AI371))</f>
        <v/>
      </c>
      <c r="AK371" s="8"/>
      <c r="AL371" s="8" t="str">
        <f>IF($AK371="","",SUMIFS(OPERATING_COEFFS!$C:$C,OPERATING_COEFFS!$A:$A,"UrgencyClass",OPERATING_COEFFS!$B:$B,$AK371))</f>
        <v/>
      </c>
      <c r="AM371" s="8"/>
      <c r="AN371" s="8" t="str">
        <f t="array" ref="AN371">IF($AM371="","",INDEX(TAX_MODES!$B:$B,MATCH($AM371,TAX_MODES!$A:$A,0)))</f>
        <v/>
      </c>
    </row>
    <row r="372" ht="14.25" customHeight="1">
      <c r="C372" s="8"/>
      <c r="E372" s="8"/>
      <c r="G372" s="8"/>
      <c r="I372" s="8"/>
      <c r="K372" s="8"/>
      <c r="M372" s="8"/>
      <c r="O372" s="8"/>
      <c r="Q372" s="8"/>
      <c r="S372" s="8"/>
      <c r="V372" s="8"/>
      <c r="X372" s="31"/>
      <c r="Y372" s="31" t="str">
        <f>IF($X372="","",SUMIFS(TARIFF_PROFILES!$D:$D,TARIFF_PROFILES!$A:$A,$X372))</f>
        <v/>
      </c>
      <c r="Z372" s="31" t="str">
        <f>IF($X372="","",SUMIFS(TARIFF_PROFILES!$E:$E,TARIFF_PROFILES!$A:$A,$X372))</f>
        <v/>
      </c>
      <c r="AA372" s="31" t="str">
        <f>IF($X372="","",SUMIFS(TARIFF_PROFILES!$F:$F,TARIFF_PROFILES!$A:$A,$X372))</f>
        <v/>
      </c>
      <c r="AB372" s="31" t="str">
        <f>IF($X372="","",SUMIFS(TARIFF_PROFILES!$G:$G,TARIFF_PROFILES!$A:$A,$X372))</f>
        <v/>
      </c>
      <c r="AC372" s="31" t="str">
        <f>IF($X372="","",SUMIFS(TARIFF_PROFILES!$H:$H,TARIFF_PROFILES!$A:$A,$X372))</f>
        <v/>
      </c>
      <c r="AD372" s="31" t="str">
        <f t="array" ref="AD372">IF($X372="","",INDEX(TARIFF_PROFILES!$J:$J,MATCH($X372,TARIFF_PROFILES!$A:$A,0)))</f>
        <v/>
      </c>
      <c r="AE372" s="31" t="str">
        <f t="array" ref="AE372">IF($X372="","",INDEX(TARIFF_PROFILES!$K:$K,MATCH($X372,TARIFF_PROFILES!$A:$A,0)))</f>
        <v/>
      </c>
      <c r="AG372" s="8"/>
      <c r="AH372" s="8" t="str">
        <f>IF($AG372="","",SUMIFS(OPERATING_COEFFS!$C:$C,OPERATING_COEFFS!$A:$A,"DistanceClass",OPERATING_COEFFS!$B:$B,$AG372))</f>
        <v/>
      </c>
      <c r="AI372" s="8"/>
      <c r="AJ372" s="8" t="str">
        <f>IF($AI372="","",SUMIFS(OPERATING_COEFFS!$C:$C,OPERATING_COEFFS!$A:$A,"SeasonClass",OPERATING_COEFFS!$B:$B,$AI372))</f>
        <v/>
      </c>
      <c r="AK372" s="8"/>
      <c r="AL372" s="8" t="str">
        <f>IF($AK372="","",SUMIFS(OPERATING_COEFFS!$C:$C,OPERATING_COEFFS!$A:$A,"UrgencyClass",OPERATING_COEFFS!$B:$B,$AK372))</f>
        <v/>
      </c>
      <c r="AM372" s="8"/>
      <c r="AN372" s="8" t="str">
        <f t="array" ref="AN372">IF($AM372="","",INDEX(TAX_MODES!$B:$B,MATCH($AM372,TAX_MODES!$A:$A,0)))</f>
        <v/>
      </c>
    </row>
    <row r="373" ht="14.25" customHeight="1">
      <c r="C373" s="8"/>
      <c r="E373" s="8"/>
      <c r="G373" s="8"/>
      <c r="I373" s="8"/>
      <c r="K373" s="8"/>
      <c r="M373" s="8"/>
      <c r="O373" s="8"/>
      <c r="Q373" s="8"/>
      <c r="S373" s="8"/>
      <c r="V373" s="8"/>
      <c r="X373" s="31"/>
      <c r="Y373" s="31" t="str">
        <f>IF($X373="","",SUMIFS(TARIFF_PROFILES!$D:$D,TARIFF_PROFILES!$A:$A,$X373))</f>
        <v/>
      </c>
      <c r="Z373" s="31" t="str">
        <f>IF($X373="","",SUMIFS(TARIFF_PROFILES!$E:$E,TARIFF_PROFILES!$A:$A,$X373))</f>
        <v/>
      </c>
      <c r="AA373" s="31" t="str">
        <f>IF($X373="","",SUMIFS(TARIFF_PROFILES!$F:$F,TARIFF_PROFILES!$A:$A,$X373))</f>
        <v/>
      </c>
      <c r="AB373" s="31" t="str">
        <f>IF($X373="","",SUMIFS(TARIFF_PROFILES!$G:$G,TARIFF_PROFILES!$A:$A,$X373))</f>
        <v/>
      </c>
      <c r="AC373" s="31" t="str">
        <f>IF($X373="","",SUMIFS(TARIFF_PROFILES!$H:$H,TARIFF_PROFILES!$A:$A,$X373))</f>
        <v/>
      </c>
      <c r="AD373" s="31" t="str">
        <f t="array" ref="AD373">IF($X373="","",INDEX(TARIFF_PROFILES!$J:$J,MATCH($X373,TARIFF_PROFILES!$A:$A,0)))</f>
        <v/>
      </c>
      <c r="AE373" s="31" t="str">
        <f t="array" ref="AE373">IF($X373="","",INDEX(TARIFF_PROFILES!$K:$K,MATCH($X373,TARIFF_PROFILES!$A:$A,0)))</f>
        <v/>
      </c>
      <c r="AG373" s="8"/>
      <c r="AH373" s="8" t="str">
        <f>IF($AG373="","",SUMIFS(OPERATING_COEFFS!$C:$C,OPERATING_COEFFS!$A:$A,"DistanceClass",OPERATING_COEFFS!$B:$B,$AG373))</f>
        <v/>
      </c>
      <c r="AI373" s="8"/>
      <c r="AJ373" s="8" t="str">
        <f>IF($AI373="","",SUMIFS(OPERATING_COEFFS!$C:$C,OPERATING_COEFFS!$A:$A,"SeasonClass",OPERATING_COEFFS!$B:$B,$AI373))</f>
        <v/>
      </c>
      <c r="AK373" s="8"/>
      <c r="AL373" s="8" t="str">
        <f>IF($AK373="","",SUMIFS(OPERATING_COEFFS!$C:$C,OPERATING_COEFFS!$A:$A,"UrgencyClass",OPERATING_COEFFS!$B:$B,$AK373))</f>
        <v/>
      </c>
      <c r="AM373" s="8"/>
      <c r="AN373" s="8" t="str">
        <f t="array" ref="AN373">IF($AM373="","",INDEX(TAX_MODES!$B:$B,MATCH($AM373,TAX_MODES!$A:$A,0)))</f>
        <v/>
      </c>
    </row>
    <row r="374" ht="14.25" customHeight="1">
      <c r="C374" s="8"/>
      <c r="E374" s="8"/>
      <c r="G374" s="8"/>
      <c r="I374" s="8"/>
      <c r="K374" s="8"/>
      <c r="M374" s="8"/>
      <c r="O374" s="8"/>
      <c r="Q374" s="8"/>
      <c r="S374" s="8"/>
      <c r="V374" s="8"/>
      <c r="X374" s="31"/>
      <c r="Y374" s="31" t="str">
        <f>IF($X374="","",SUMIFS(TARIFF_PROFILES!$D:$D,TARIFF_PROFILES!$A:$A,$X374))</f>
        <v/>
      </c>
      <c r="Z374" s="31" t="str">
        <f>IF($X374="","",SUMIFS(TARIFF_PROFILES!$E:$E,TARIFF_PROFILES!$A:$A,$X374))</f>
        <v/>
      </c>
      <c r="AA374" s="31" t="str">
        <f>IF($X374="","",SUMIFS(TARIFF_PROFILES!$F:$F,TARIFF_PROFILES!$A:$A,$X374))</f>
        <v/>
      </c>
      <c r="AB374" s="31" t="str">
        <f>IF($X374="","",SUMIFS(TARIFF_PROFILES!$G:$G,TARIFF_PROFILES!$A:$A,$X374))</f>
        <v/>
      </c>
      <c r="AC374" s="31" t="str">
        <f>IF($X374="","",SUMIFS(TARIFF_PROFILES!$H:$H,TARIFF_PROFILES!$A:$A,$X374))</f>
        <v/>
      </c>
      <c r="AD374" s="31" t="str">
        <f t="array" ref="AD374">IF($X374="","",INDEX(TARIFF_PROFILES!$J:$J,MATCH($X374,TARIFF_PROFILES!$A:$A,0)))</f>
        <v/>
      </c>
      <c r="AE374" s="31" t="str">
        <f t="array" ref="AE374">IF($X374="","",INDEX(TARIFF_PROFILES!$K:$K,MATCH($X374,TARIFF_PROFILES!$A:$A,0)))</f>
        <v/>
      </c>
      <c r="AG374" s="8"/>
      <c r="AH374" s="8" t="str">
        <f>IF($AG374="","",SUMIFS(OPERATING_COEFFS!$C:$C,OPERATING_COEFFS!$A:$A,"DistanceClass",OPERATING_COEFFS!$B:$B,$AG374))</f>
        <v/>
      </c>
      <c r="AI374" s="8"/>
      <c r="AJ374" s="8" t="str">
        <f>IF($AI374="","",SUMIFS(OPERATING_COEFFS!$C:$C,OPERATING_COEFFS!$A:$A,"SeasonClass",OPERATING_COEFFS!$B:$B,$AI374))</f>
        <v/>
      </c>
      <c r="AK374" s="8"/>
      <c r="AL374" s="8" t="str">
        <f>IF($AK374="","",SUMIFS(OPERATING_COEFFS!$C:$C,OPERATING_COEFFS!$A:$A,"UrgencyClass",OPERATING_COEFFS!$B:$B,$AK374))</f>
        <v/>
      </c>
      <c r="AM374" s="8"/>
      <c r="AN374" s="8" t="str">
        <f t="array" ref="AN374">IF($AM374="","",INDEX(TAX_MODES!$B:$B,MATCH($AM374,TAX_MODES!$A:$A,0)))</f>
        <v/>
      </c>
    </row>
    <row r="375" ht="14.25" customHeight="1">
      <c r="C375" s="8"/>
      <c r="E375" s="8"/>
      <c r="G375" s="8"/>
      <c r="I375" s="8"/>
      <c r="K375" s="8"/>
      <c r="M375" s="8"/>
      <c r="O375" s="8"/>
      <c r="Q375" s="8"/>
      <c r="S375" s="8"/>
      <c r="V375" s="8"/>
      <c r="X375" s="31"/>
      <c r="Y375" s="31" t="str">
        <f>IF($X375="","",SUMIFS(TARIFF_PROFILES!$D:$D,TARIFF_PROFILES!$A:$A,$X375))</f>
        <v/>
      </c>
      <c r="Z375" s="31" t="str">
        <f>IF($X375="","",SUMIFS(TARIFF_PROFILES!$E:$E,TARIFF_PROFILES!$A:$A,$X375))</f>
        <v/>
      </c>
      <c r="AA375" s="31" t="str">
        <f>IF($X375="","",SUMIFS(TARIFF_PROFILES!$F:$F,TARIFF_PROFILES!$A:$A,$X375))</f>
        <v/>
      </c>
      <c r="AB375" s="31" t="str">
        <f>IF($X375="","",SUMIFS(TARIFF_PROFILES!$G:$G,TARIFF_PROFILES!$A:$A,$X375))</f>
        <v/>
      </c>
      <c r="AC375" s="31" t="str">
        <f>IF($X375="","",SUMIFS(TARIFF_PROFILES!$H:$H,TARIFF_PROFILES!$A:$A,$X375))</f>
        <v/>
      </c>
      <c r="AD375" s="31" t="str">
        <f t="array" ref="AD375">IF($X375="","",INDEX(TARIFF_PROFILES!$J:$J,MATCH($X375,TARIFF_PROFILES!$A:$A,0)))</f>
        <v/>
      </c>
      <c r="AE375" s="31" t="str">
        <f t="array" ref="AE375">IF($X375="","",INDEX(TARIFF_PROFILES!$K:$K,MATCH($X375,TARIFF_PROFILES!$A:$A,0)))</f>
        <v/>
      </c>
      <c r="AG375" s="8"/>
      <c r="AH375" s="8" t="str">
        <f>IF($AG375="","",SUMIFS(OPERATING_COEFFS!$C:$C,OPERATING_COEFFS!$A:$A,"DistanceClass",OPERATING_COEFFS!$B:$B,$AG375))</f>
        <v/>
      </c>
      <c r="AI375" s="8"/>
      <c r="AJ375" s="8" t="str">
        <f>IF($AI375="","",SUMIFS(OPERATING_COEFFS!$C:$C,OPERATING_COEFFS!$A:$A,"SeasonClass",OPERATING_COEFFS!$B:$B,$AI375))</f>
        <v/>
      </c>
      <c r="AK375" s="8"/>
      <c r="AL375" s="8" t="str">
        <f>IF($AK375="","",SUMIFS(OPERATING_COEFFS!$C:$C,OPERATING_COEFFS!$A:$A,"UrgencyClass",OPERATING_COEFFS!$B:$B,$AK375))</f>
        <v/>
      </c>
      <c r="AM375" s="8"/>
      <c r="AN375" s="8" t="str">
        <f t="array" ref="AN375">IF($AM375="","",INDEX(TAX_MODES!$B:$B,MATCH($AM375,TAX_MODES!$A:$A,0)))</f>
        <v/>
      </c>
    </row>
    <row r="376" ht="14.25" customHeight="1">
      <c r="C376" s="8"/>
      <c r="E376" s="8"/>
      <c r="G376" s="8"/>
      <c r="I376" s="8"/>
      <c r="K376" s="8"/>
      <c r="M376" s="8"/>
      <c r="O376" s="8"/>
      <c r="Q376" s="8"/>
      <c r="S376" s="8"/>
      <c r="V376" s="8"/>
      <c r="X376" s="31"/>
      <c r="Y376" s="31" t="str">
        <f>IF($X376="","",SUMIFS(TARIFF_PROFILES!$D:$D,TARIFF_PROFILES!$A:$A,$X376))</f>
        <v/>
      </c>
      <c r="Z376" s="31" t="str">
        <f>IF($X376="","",SUMIFS(TARIFF_PROFILES!$E:$E,TARIFF_PROFILES!$A:$A,$X376))</f>
        <v/>
      </c>
      <c r="AA376" s="31" t="str">
        <f>IF($X376="","",SUMIFS(TARIFF_PROFILES!$F:$F,TARIFF_PROFILES!$A:$A,$X376))</f>
        <v/>
      </c>
      <c r="AB376" s="31" t="str">
        <f>IF($X376="","",SUMIFS(TARIFF_PROFILES!$G:$G,TARIFF_PROFILES!$A:$A,$X376))</f>
        <v/>
      </c>
      <c r="AC376" s="31" t="str">
        <f>IF($X376="","",SUMIFS(TARIFF_PROFILES!$H:$H,TARIFF_PROFILES!$A:$A,$X376))</f>
        <v/>
      </c>
      <c r="AD376" s="31" t="str">
        <f t="array" ref="AD376">IF($X376="","",INDEX(TARIFF_PROFILES!$J:$J,MATCH($X376,TARIFF_PROFILES!$A:$A,0)))</f>
        <v/>
      </c>
      <c r="AE376" s="31" t="str">
        <f t="array" ref="AE376">IF($X376="","",INDEX(TARIFF_PROFILES!$K:$K,MATCH($X376,TARIFF_PROFILES!$A:$A,0)))</f>
        <v/>
      </c>
      <c r="AG376" s="8"/>
      <c r="AH376" s="8" t="str">
        <f>IF($AG376="","",SUMIFS(OPERATING_COEFFS!$C:$C,OPERATING_COEFFS!$A:$A,"DistanceClass",OPERATING_COEFFS!$B:$B,$AG376))</f>
        <v/>
      </c>
      <c r="AI376" s="8"/>
      <c r="AJ376" s="8" t="str">
        <f>IF($AI376="","",SUMIFS(OPERATING_COEFFS!$C:$C,OPERATING_COEFFS!$A:$A,"SeasonClass",OPERATING_COEFFS!$B:$B,$AI376))</f>
        <v/>
      </c>
      <c r="AK376" s="8"/>
      <c r="AL376" s="8" t="str">
        <f>IF($AK376="","",SUMIFS(OPERATING_COEFFS!$C:$C,OPERATING_COEFFS!$A:$A,"UrgencyClass",OPERATING_COEFFS!$B:$B,$AK376))</f>
        <v/>
      </c>
      <c r="AM376" s="8"/>
      <c r="AN376" s="8" t="str">
        <f t="array" ref="AN376">IF($AM376="","",INDEX(TAX_MODES!$B:$B,MATCH($AM376,TAX_MODES!$A:$A,0)))</f>
        <v/>
      </c>
    </row>
    <row r="377" ht="14.25" customHeight="1">
      <c r="C377" s="8"/>
      <c r="E377" s="8"/>
      <c r="G377" s="8"/>
      <c r="I377" s="8"/>
      <c r="K377" s="8"/>
      <c r="M377" s="8"/>
      <c r="O377" s="8"/>
      <c r="Q377" s="8"/>
      <c r="S377" s="8"/>
      <c r="V377" s="8"/>
      <c r="X377" s="31"/>
      <c r="Y377" s="31" t="str">
        <f>IF($X377="","",SUMIFS(TARIFF_PROFILES!$D:$D,TARIFF_PROFILES!$A:$A,$X377))</f>
        <v/>
      </c>
      <c r="Z377" s="31" t="str">
        <f>IF($X377="","",SUMIFS(TARIFF_PROFILES!$E:$E,TARIFF_PROFILES!$A:$A,$X377))</f>
        <v/>
      </c>
      <c r="AA377" s="31" t="str">
        <f>IF($X377="","",SUMIFS(TARIFF_PROFILES!$F:$F,TARIFF_PROFILES!$A:$A,$X377))</f>
        <v/>
      </c>
      <c r="AB377" s="31" t="str">
        <f>IF($X377="","",SUMIFS(TARIFF_PROFILES!$G:$G,TARIFF_PROFILES!$A:$A,$X377))</f>
        <v/>
      </c>
      <c r="AC377" s="31" t="str">
        <f>IF($X377="","",SUMIFS(TARIFF_PROFILES!$H:$H,TARIFF_PROFILES!$A:$A,$X377))</f>
        <v/>
      </c>
      <c r="AD377" s="31" t="str">
        <f t="array" ref="AD377">IF($X377="","",INDEX(TARIFF_PROFILES!$J:$J,MATCH($X377,TARIFF_PROFILES!$A:$A,0)))</f>
        <v/>
      </c>
      <c r="AE377" s="31" t="str">
        <f t="array" ref="AE377">IF($X377="","",INDEX(TARIFF_PROFILES!$K:$K,MATCH($X377,TARIFF_PROFILES!$A:$A,0)))</f>
        <v/>
      </c>
      <c r="AG377" s="8"/>
      <c r="AH377" s="8" t="str">
        <f>IF($AG377="","",SUMIFS(OPERATING_COEFFS!$C:$C,OPERATING_COEFFS!$A:$A,"DistanceClass",OPERATING_COEFFS!$B:$B,$AG377))</f>
        <v/>
      </c>
      <c r="AI377" s="8"/>
      <c r="AJ377" s="8" t="str">
        <f>IF($AI377="","",SUMIFS(OPERATING_COEFFS!$C:$C,OPERATING_COEFFS!$A:$A,"SeasonClass",OPERATING_COEFFS!$B:$B,$AI377))</f>
        <v/>
      </c>
      <c r="AK377" s="8"/>
      <c r="AL377" s="8" t="str">
        <f>IF($AK377="","",SUMIFS(OPERATING_COEFFS!$C:$C,OPERATING_COEFFS!$A:$A,"UrgencyClass",OPERATING_COEFFS!$B:$B,$AK377))</f>
        <v/>
      </c>
      <c r="AM377" s="8"/>
      <c r="AN377" s="8" t="str">
        <f t="array" ref="AN377">IF($AM377="","",INDEX(TAX_MODES!$B:$B,MATCH($AM377,TAX_MODES!$A:$A,0)))</f>
        <v/>
      </c>
    </row>
    <row r="378" ht="14.25" customHeight="1">
      <c r="C378" s="8"/>
      <c r="E378" s="8"/>
      <c r="G378" s="8"/>
      <c r="I378" s="8"/>
      <c r="K378" s="8"/>
      <c r="M378" s="8"/>
      <c r="O378" s="8"/>
      <c r="Q378" s="8"/>
      <c r="S378" s="8"/>
      <c r="V378" s="8"/>
      <c r="X378" s="31"/>
      <c r="Y378" s="31" t="str">
        <f>IF($X378="","",SUMIFS(TARIFF_PROFILES!$D:$D,TARIFF_PROFILES!$A:$A,$X378))</f>
        <v/>
      </c>
      <c r="Z378" s="31" t="str">
        <f>IF($X378="","",SUMIFS(TARIFF_PROFILES!$E:$E,TARIFF_PROFILES!$A:$A,$X378))</f>
        <v/>
      </c>
      <c r="AA378" s="31" t="str">
        <f>IF($X378="","",SUMIFS(TARIFF_PROFILES!$F:$F,TARIFF_PROFILES!$A:$A,$X378))</f>
        <v/>
      </c>
      <c r="AB378" s="31" t="str">
        <f>IF($X378="","",SUMIFS(TARIFF_PROFILES!$G:$G,TARIFF_PROFILES!$A:$A,$X378))</f>
        <v/>
      </c>
      <c r="AC378" s="31" t="str">
        <f>IF($X378="","",SUMIFS(TARIFF_PROFILES!$H:$H,TARIFF_PROFILES!$A:$A,$X378))</f>
        <v/>
      </c>
      <c r="AD378" s="31" t="str">
        <f t="array" ref="AD378">IF($X378="","",INDEX(TARIFF_PROFILES!$J:$J,MATCH($X378,TARIFF_PROFILES!$A:$A,0)))</f>
        <v/>
      </c>
      <c r="AE378" s="31" t="str">
        <f t="array" ref="AE378">IF($X378="","",INDEX(TARIFF_PROFILES!$K:$K,MATCH($X378,TARIFF_PROFILES!$A:$A,0)))</f>
        <v/>
      </c>
      <c r="AG378" s="8"/>
      <c r="AH378" s="8" t="str">
        <f>IF($AG378="","",SUMIFS(OPERATING_COEFFS!$C:$C,OPERATING_COEFFS!$A:$A,"DistanceClass",OPERATING_COEFFS!$B:$B,$AG378))</f>
        <v/>
      </c>
      <c r="AI378" s="8"/>
      <c r="AJ378" s="8" t="str">
        <f>IF($AI378="","",SUMIFS(OPERATING_COEFFS!$C:$C,OPERATING_COEFFS!$A:$A,"SeasonClass",OPERATING_COEFFS!$B:$B,$AI378))</f>
        <v/>
      </c>
      <c r="AK378" s="8"/>
      <c r="AL378" s="8" t="str">
        <f>IF($AK378="","",SUMIFS(OPERATING_COEFFS!$C:$C,OPERATING_COEFFS!$A:$A,"UrgencyClass",OPERATING_COEFFS!$B:$B,$AK378))</f>
        <v/>
      </c>
      <c r="AM378" s="8"/>
      <c r="AN378" s="8" t="str">
        <f t="array" ref="AN378">IF($AM378="","",INDEX(TAX_MODES!$B:$B,MATCH($AM378,TAX_MODES!$A:$A,0)))</f>
        <v/>
      </c>
    </row>
    <row r="379" ht="14.25" customHeight="1">
      <c r="C379" s="8"/>
      <c r="E379" s="8"/>
      <c r="G379" s="8"/>
      <c r="I379" s="8"/>
      <c r="K379" s="8"/>
      <c r="M379" s="8"/>
      <c r="O379" s="8"/>
      <c r="Q379" s="8"/>
      <c r="S379" s="8"/>
      <c r="V379" s="8"/>
      <c r="X379" s="31"/>
      <c r="Y379" s="31" t="str">
        <f>IF($X379="","",SUMIFS(TARIFF_PROFILES!$D:$D,TARIFF_PROFILES!$A:$A,$X379))</f>
        <v/>
      </c>
      <c r="Z379" s="31" t="str">
        <f>IF($X379="","",SUMIFS(TARIFF_PROFILES!$E:$E,TARIFF_PROFILES!$A:$A,$X379))</f>
        <v/>
      </c>
      <c r="AA379" s="31" t="str">
        <f>IF($X379="","",SUMIFS(TARIFF_PROFILES!$F:$F,TARIFF_PROFILES!$A:$A,$X379))</f>
        <v/>
      </c>
      <c r="AB379" s="31" t="str">
        <f>IF($X379="","",SUMIFS(TARIFF_PROFILES!$G:$G,TARIFF_PROFILES!$A:$A,$X379))</f>
        <v/>
      </c>
      <c r="AC379" s="31" t="str">
        <f>IF($X379="","",SUMIFS(TARIFF_PROFILES!$H:$H,TARIFF_PROFILES!$A:$A,$X379))</f>
        <v/>
      </c>
      <c r="AD379" s="31" t="str">
        <f t="array" ref="AD379">IF($X379="","",INDEX(TARIFF_PROFILES!$J:$J,MATCH($X379,TARIFF_PROFILES!$A:$A,0)))</f>
        <v/>
      </c>
      <c r="AE379" s="31" t="str">
        <f t="array" ref="AE379">IF($X379="","",INDEX(TARIFF_PROFILES!$K:$K,MATCH($X379,TARIFF_PROFILES!$A:$A,0)))</f>
        <v/>
      </c>
      <c r="AG379" s="8"/>
      <c r="AH379" s="8" t="str">
        <f>IF($AG379="","",SUMIFS(OPERATING_COEFFS!$C:$C,OPERATING_COEFFS!$A:$A,"DistanceClass",OPERATING_COEFFS!$B:$B,$AG379))</f>
        <v/>
      </c>
      <c r="AI379" s="8"/>
      <c r="AJ379" s="8" t="str">
        <f>IF($AI379="","",SUMIFS(OPERATING_COEFFS!$C:$C,OPERATING_COEFFS!$A:$A,"SeasonClass",OPERATING_COEFFS!$B:$B,$AI379))</f>
        <v/>
      </c>
      <c r="AK379" s="8"/>
      <c r="AL379" s="8" t="str">
        <f>IF($AK379="","",SUMIFS(OPERATING_COEFFS!$C:$C,OPERATING_COEFFS!$A:$A,"UrgencyClass",OPERATING_COEFFS!$B:$B,$AK379))</f>
        <v/>
      </c>
      <c r="AM379" s="8"/>
      <c r="AN379" s="8" t="str">
        <f t="array" ref="AN379">IF($AM379="","",INDEX(TAX_MODES!$B:$B,MATCH($AM379,TAX_MODES!$A:$A,0)))</f>
        <v/>
      </c>
    </row>
    <row r="380" ht="14.25" customHeight="1">
      <c r="C380" s="8"/>
      <c r="E380" s="8"/>
      <c r="G380" s="8"/>
      <c r="I380" s="8"/>
      <c r="K380" s="8"/>
      <c r="M380" s="8"/>
      <c r="O380" s="8"/>
      <c r="Q380" s="8"/>
      <c r="S380" s="8"/>
      <c r="V380" s="8"/>
      <c r="X380" s="31"/>
      <c r="Y380" s="31" t="str">
        <f>IF($X380="","",SUMIFS(TARIFF_PROFILES!$D:$D,TARIFF_PROFILES!$A:$A,$X380))</f>
        <v/>
      </c>
      <c r="Z380" s="31" t="str">
        <f>IF($X380="","",SUMIFS(TARIFF_PROFILES!$E:$E,TARIFF_PROFILES!$A:$A,$X380))</f>
        <v/>
      </c>
      <c r="AA380" s="31" t="str">
        <f>IF($X380="","",SUMIFS(TARIFF_PROFILES!$F:$F,TARIFF_PROFILES!$A:$A,$X380))</f>
        <v/>
      </c>
      <c r="AB380" s="31" t="str">
        <f>IF($X380="","",SUMIFS(TARIFF_PROFILES!$G:$G,TARIFF_PROFILES!$A:$A,$X380))</f>
        <v/>
      </c>
      <c r="AC380" s="31" t="str">
        <f>IF($X380="","",SUMIFS(TARIFF_PROFILES!$H:$H,TARIFF_PROFILES!$A:$A,$X380))</f>
        <v/>
      </c>
      <c r="AD380" s="31" t="str">
        <f t="array" ref="AD380">IF($X380="","",INDEX(TARIFF_PROFILES!$J:$J,MATCH($X380,TARIFF_PROFILES!$A:$A,0)))</f>
        <v/>
      </c>
      <c r="AE380" s="31" t="str">
        <f t="array" ref="AE380">IF($X380="","",INDEX(TARIFF_PROFILES!$K:$K,MATCH($X380,TARIFF_PROFILES!$A:$A,0)))</f>
        <v/>
      </c>
      <c r="AG380" s="8"/>
      <c r="AH380" s="8" t="str">
        <f>IF($AG380="","",SUMIFS(OPERATING_COEFFS!$C:$C,OPERATING_COEFFS!$A:$A,"DistanceClass",OPERATING_COEFFS!$B:$B,$AG380))</f>
        <v/>
      </c>
      <c r="AI380" s="8"/>
      <c r="AJ380" s="8" t="str">
        <f>IF($AI380="","",SUMIFS(OPERATING_COEFFS!$C:$C,OPERATING_COEFFS!$A:$A,"SeasonClass",OPERATING_COEFFS!$B:$B,$AI380))</f>
        <v/>
      </c>
      <c r="AK380" s="8"/>
      <c r="AL380" s="8" t="str">
        <f>IF($AK380="","",SUMIFS(OPERATING_COEFFS!$C:$C,OPERATING_COEFFS!$A:$A,"UrgencyClass",OPERATING_COEFFS!$B:$B,$AK380))</f>
        <v/>
      </c>
      <c r="AM380" s="8"/>
      <c r="AN380" s="8" t="str">
        <f t="array" ref="AN380">IF($AM380="","",INDEX(TAX_MODES!$B:$B,MATCH($AM380,TAX_MODES!$A:$A,0)))</f>
        <v/>
      </c>
    </row>
    <row r="381" ht="14.25" customHeight="1">
      <c r="C381" s="8"/>
      <c r="E381" s="8"/>
      <c r="G381" s="8"/>
      <c r="I381" s="8"/>
      <c r="K381" s="8"/>
      <c r="M381" s="8"/>
      <c r="O381" s="8"/>
      <c r="Q381" s="8"/>
      <c r="S381" s="8"/>
      <c r="V381" s="8"/>
      <c r="X381" s="31"/>
      <c r="Y381" s="31" t="str">
        <f>IF($X381="","",SUMIFS(TARIFF_PROFILES!$D:$D,TARIFF_PROFILES!$A:$A,$X381))</f>
        <v/>
      </c>
      <c r="Z381" s="31" t="str">
        <f>IF($X381="","",SUMIFS(TARIFF_PROFILES!$E:$E,TARIFF_PROFILES!$A:$A,$X381))</f>
        <v/>
      </c>
      <c r="AA381" s="31" t="str">
        <f>IF($X381="","",SUMIFS(TARIFF_PROFILES!$F:$F,TARIFF_PROFILES!$A:$A,$X381))</f>
        <v/>
      </c>
      <c r="AB381" s="31" t="str">
        <f>IF($X381="","",SUMIFS(TARIFF_PROFILES!$G:$G,TARIFF_PROFILES!$A:$A,$X381))</f>
        <v/>
      </c>
      <c r="AC381" s="31" t="str">
        <f>IF($X381="","",SUMIFS(TARIFF_PROFILES!$H:$H,TARIFF_PROFILES!$A:$A,$X381))</f>
        <v/>
      </c>
      <c r="AD381" s="31" t="str">
        <f t="array" ref="AD381">IF($X381="","",INDEX(TARIFF_PROFILES!$J:$J,MATCH($X381,TARIFF_PROFILES!$A:$A,0)))</f>
        <v/>
      </c>
      <c r="AE381" s="31" t="str">
        <f t="array" ref="AE381">IF($X381="","",INDEX(TARIFF_PROFILES!$K:$K,MATCH($X381,TARIFF_PROFILES!$A:$A,0)))</f>
        <v/>
      </c>
      <c r="AG381" s="8"/>
      <c r="AH381" s="8" t="str">
        <f>IF($AG381="","",SUMIFS(OPERATING_COEFFS!$C:$C,OPERATING_COEFFS!$A:$A,"DistanceClass",OPERATING_COEFFS!$B:$B,$AG381))</f>
        <v/>
      </c>
      <c r="AI381" s="8"/>
      <c r="AJ381" s="8" t="str">
        <f>IF($AI381="","",SUMIFS(OPERATING_COEFFS!$C:$C,OPERATING_COEFFS!$A:$A,"SeasonClass",OPERATING_COEFFS!$B:$B,$AI381))</f>
        <v/>
      </c>
      <c r="AK381" s="8"/>
      <c r="AL381" s="8" t="str">
        <f>IF($AK381="","",SUMIFS(OPERATING_COEFFS!$C:$C,OPERATING_COEFFS!$A:$A,"UrgencyClass",OPERATING_COEFFS!$B:$B,$AK381))</f>
        <v/>
      </c>
      <c r="AM381" s="8"/>
      <c r="AN381" s="8" t="str">
        <f t="array" ref="AN381">IF($AM381="","",INDEX(TAX_MODES!$B:$B,MATCH($AM381,TAX_MODES!$A:$A,0)))</f>
        <v/>
      </c>
    </row>
    <row r="382" ht="14.25" customHeight="1">
      <c r="C382" s="8"/>
      <c r="E382" s="8"/>
      <c r="G382" s="8"/>
      <c r="I382" s="8"/>
      <c r="K382" s="8"/>
      <c r="M382" s="8"/>
      <c r="O382" s="8"/>
      <c r="Q382" s="8"/>
      <c r="S382" s="8"/>
      <c r="V382" s="8"/>
      <c r="X382" s="31"/>
      <c r="Y382" s="31" t="str">
        <f>IF($X382="","",SUMIFS(TARIFF_PROFILES!$D:$D,TARIFF_PROFILES!$A:$A,$X382))</f>
        <v/>
      </c>
      <c r="Z382" s="31" t="str">
        <f>IF($X382="","",SUMIFS(TARIFF_PROFILES!$E:$E,TARIFF_PROFILES!$A:$A,$X382))</f>
        <v/>
      </c>
      <c r="AA382" s="31" t="str">
        <f>IF($X382="","",SUMIFS(TARIFF_PROFILES!$F:$F,TARIFF_PROFILES!$A:$A,$X382))</f>
        <v/>
      </c>
      <c r="AB382" s="31" t="str">
        <f>IF($X382="","",SUMIFS(TARIFF_PROFILES!$G:$G,TARIFF_PROFILES!$A:$A,$X382))</f>
        <v/>
      </c>
      <c r="AC382" s="31" t="str">
        <f>IF($X382="","",SUMIFS(TARIFF_PROFILES!$H:$H,TARIFF_PROFILES!$A:$A,$X382))</f>
        <v/>
      </c>
      <c r="AD382" s="31" t="str">
        <f t="array" ref="AD382">IF($X382="","",INDEX(TARIFF_PROFILES!$J:$J,MATCH($X382,TARIFF_PROFILES!$A:$A,0)))</f>
        <v/>
      </c>
      <c r="AE382" s="31" t="str">
        <f t="array" ref="AE382">IF($X382="","",INDEX(TARIFF_PROFILES!$K:$K,MATCH($X382,TARIFF_PROFILES!$A:$A,0)))</f>
        <v/>
      </c>
      <c r="AG382" s="8"/>
      <c r="AH382" s="8" t="str">
        <f>IF($AG382="","",SUMIFS(OPERATING_COEFFS!$C:$C,OPERATING_COEFFS!$A:$A,"DistanceClass",OPERATING_COEFFS!$B:$B,$AG382))</f>
        <v/>
      </c>
      <c r="AI382" s="8"/>
      <c r="AJ382" s="8" t="str">
        <f>IF($AI382="","",SUMIFS(OPERATING_COEFFS!$C:$C,OPERATING_COEFFS!$A:$A,"SeasonClass",OPERATING_COEFFS!$B:$B,$AI382))</f>
        <v/>
      </c>
      <c r="AK382" s="8"/>
      <c r="AL382" s="8" t="str">
        <f>IF($AK382="","",SUMIFS(OPERATING_COEFFS!$C:$C,OPERATING_COEFFS!$A:$A,"UrgencyClass",OPERATING_COEFFS!$B:$B,$AK382))</f>
        <v/>
      </c>
      <c r="AM382" s="8"/>
      <c r="AN382" s="8" t="str">
        <f t="array" ref="AN382">IF($AM382="","",INDEX(TAX_MODES!$B:$B,MATCH($AM382,TAX_MODES!$A:$A,0)))</f>
        <v/>
      </c>
    </row>
    <row r="383" ht="14.25" customHeight="1">
      <c r="C383" s="8"/>
      <c r="E383" s="8"/>
      <c r="G383" s="8"/>
      <c r="I383" s="8"/>
      <c r="K383" s="8"/>
      <c r="M383" s="8"/>
      <c r="O383" s="8"/>
      <c r="Q383" s="8"/>
      <c r="S383" s="8"/>
      <c r="V383" s="8"/>
      <c r="X383" s="31"/>
      <c r="Y383" s="31" t="str">
        <f>IF($X383="","",SUMIFS(TARIFF_PROFILES!$D:$D,TARIFF_PROFILES!$A:$A,$X383))</f>
        <v/>
      </c>
      <c r="Z383" s="31" t="str">
        <f>IF($X383="","",SUMIFS(TARIFF_PROFILES!$E:$E,TARIFF_PROFILES!$A:$A,$X383))</f>
        <v/>
      </c>
      <c r="AA383" s="31" t="str">
        <f>IF($X383="","",SUMIFS(TARIFF_PROFILES!$F:$F,TARIFF_PROFILES!$A:$A,$X383))</f>
        <v/>
      </c>
      <c r="AB383" s="31" t="str">
        <f>IF($X383="","",SUMIFS(TARIFF_PROFILES!$G:$G,TARIFF_PROFILES!$A:$A,$X383))</f>
        <v/>
      </c>
      <c r="AC383" s="31" t="str">
        <f>IF($X383="","",SUMIFS(TARIFF_PROFILES!$H:$H,TARIFF_PROFILES!$A:$A,$X383))</f>
        <v/>
      </c>
      <c r="AD383" s="31" t="str">
        <f t="array" ref="AD383">IF($X383="","",INDEX(TARIFF_PROFILES!$J:$J,MATCH($X383,TARIFF_PROFILES!$A:$A,0)))</f>
        <v/>
      </c>
      <c r="AE383" s="31" t="str">
        <f t="array" ref="AE383">IF($X383="","",INDEX(TARIFF_PROFILES!$K:$K,MATCH($X383,TARIFF_PROFILES!$A:$A,0)))</f>
        <v/>
      </c>
      <c r="AG383" s="8"/>
      <c r="AH383" s="8" t="str">
        <f>IF($AG383="","",SUMIFS(OPERATING_COEFFS!$C:$C,OPERATING_COEFFS!$A:$A,"DistanceClass",OPERATING_COEFFS!$B:$B,$AG383))</f>
        <v/>
      </c>
      <c r="AI383" s="8"/>
      <c r="AJ383" s="8" t="str">
        <f>IF($AI383="","",SUMIFS(OPERATING_COEFFS!$C:$C,OPERATING_COEFFS!$A:$A,"SeasonClass",OPERATING_COEFFS!$B:$B,$AI383))</f>
        <v/>
      </c>
      <c r="AK383" s="8"/>
      <c r="AL383" s="8" t="str">
        <f>IF($AK383="","",SUMIFS(OPERATING_COEFFS!$C:$C,OPERATING_COEFFS!$A:$A,"UrgencyClass",OPERATING_COEFFS!$B:$B,$AK383))</f>
        <v/>
      </c>
      <c r="AM383" s="8"/>
      <c r="AN383" s="8" t="str">
        <f t="array" ref="AN383">IF($AM383="","",INDEX(TAX_MODES!$B:$B,MATCH($AM383,TAX_MODES!$A:$A,0)))</f>
        <v/>
      </c>
    </row>
    <row r="384" ht="14.25" customHeight="1">
      <c r="C384" s="8"/>
      <c r="E384" s="8"/>
      <c r="G384" s="8"/>
      <c r="I384" s="8"/>
      <c r="K384" s="8"/>
      <c r="M384" s="8"/>
      <c r="O384" s="8"/>
      <c r="Q384" s="8"/>
      <c r="S384" s="8"/>
      <c r="V384" s="8"/>
      <c r="X384" s="31"/>
      <c r="Y384" s="31" t="str">
        <f>IF($X384="","",SUMIFS(TARIFF_PROFILES!$D:$D,TARIFF_PROFILES!$A:$A,$X384))</f>
        <v/>
      </c>
      <c r="Z384" s="31" t="str">
        <f>IF($X384="","",SUMIFS(TARIFF_PROFILES!$E:$E,TARIFF_PROFILES!$A:$A,$X384))</f>
        <v/>
      </c>
      <c r="AA384" s="31" t="str">
        <f>IF($X384="","",SUMIFS(TARIFF_PROFILES!$F:$F,TARIFF_PROFILES!$A:$A,$X384))</f>
        <v/>
      </c>
      <c r="AB384" s="31" t="str">
        <f>IF($X384="","",SUMIFS(TARIFF_PROFILES!$G:$G,TARIFF_PROFILES!$A:$A,$X384))</f>
        <v/>
      </c>
      <c r="AC384" s="31" t="str">
        <f>IF($X384="","",SUMIFS(TARIFF_PROFILES!$H:$H,TARIFF_PROFILES!$A:$A,$X384))</f>
        <v/>
      </c>
      <c r="AD384" s="31" t="str">
        <f t="array" ref="AD384">IF($X384="","",INDEX(TARIFF_PROFILES!$J:$J,MATCH($X384,TARIFF_PROFILES!$A:$A,0)))</f>
        <v/>
      </c>
      <c r="AE384" s="31" t="str">
        <f t="array" ref="AE384">IF($X384="","",INDEX(TARIFF_PROFILES!$K:$K,MATCH($X384,TARIFF_PROFILES!$A:$A,0)))</f>
        <v/>
      </c>
      <c r="AG384" s="8"/>
      <c r="AH384" s="8" t="str">
        <f>IF($AG384="","",SUMIFS(OPERATING_COEFFS!$C:$C,OPERATING_COEFFS!$A:$A,"DistanceClass",OPERATING_COEFFS!$B:$B,$AG384))</f>
        <v/>
      </c>
      <c r="AI384" s="8"/>
      <c r="AJ384" s="8" t="str">
        <f>IF($AI384="","",SUMIFS(OPERATING_COEFFS!$C:$C,OPERATING_COEFFS!$A:$A,"SeasonClass",OPERATING_COEFFS!$B:$B,$AI384))</f>
        <v/>
      </c>
      <c r="AK384" s="8"/>
      <c r="AL384" s="8" t="str">
        <f>IF($AK384="","",SUMIFS(OPERATING_COEFFS!$C:$C,OPERATING_COEFFS!$A:$A,"UrgencyClass",OPERATING_COEFFS!$B:$B,$AK384))</f>
        <v/>
      </c>
      <c r="AM384" s="8"/>
      <c r="AN384" s="8" t="str">
        <f t="array" ref="AN384">IF($AM384="","",INDEX(TAX_MODES!$B:$B,MATCH($AM384,TAX_MODES!$A:$A,0)))</f>
        <v/>
      </c>
    </row>
    <row r="385" ht="14.25" customHeight="1">
      <c r="C385" s="8"/>
      <c r="E385" s="8"/>
      <c r="G385" s="8"/>
      <c r="I385" s="8"/>
      <c r="K385" s="8"/>
      <c r="M385" s="8"/>
      <c r="O385" s="8"/>
      <c r="Q385" s="8"/>
      <c r="S385" s="8"/>
      <c r="V385" s="8"/>
      <c r="X385" s="31"/>
      <c r="Y385" s="31" t="str">
        <f>IF($X385="","",SUMIFS(TARIFF_PROFILES!$D:$D,TARIFF_PROFILES!$A:$A,$X385))</f>
        <v/>
      </c>
      <c r="Z385" s="31" t="str">
        <f>IF($X385="","",SUMIFS(TARIFF_PROFILES!$E:$E,TARIFF_PROFILES!$A:$A,$X385))</f>
        <v/>
      </c>
      <c r="AA385" s="31" t="str">
        <f>IF($X385="","",SUMIFS(TARIFF_PROFILES!$F:$F,TARIFF_PROFILES!$A:$A,$X385))</f>
        <v/>
      </c>
      <c r="AB385" s="31" t="str">
        <f>IF($X385="","",SUMIFS(TARIFF_PROFILES!$G:$G,TARIFF_PROFILES!$A:$A,$X385))</f>
        <v/>
      </c>
      <c r="AC385" s="31" t="str">
        <f>IF($X385="","",SUMIFS(TARIFF_PROFILES!$H:$H,TARIFF_PROFILES!$A:$A,$X385))</f>
        <v/>
      </c>
      <c r="AD385" s="31" t="str">
        <f t="array" ref="AD385">IF($X385="","",INDEX(TARIFF_PROFILES!$J:$J,MATCH($X385,TARIFF_PROFILES!$A:$A,0)))</f>
        <v/>
      </c>
      <c r="AE385" s="31" t="str">
        <f t="array" ref="AE385">IF($X385="","",INDEX(TARIFF_PROFILES!$K:$K,MATCH($X385,TARIFF_PROFILES!$A:$A,0)))</f>
        <v/>
      </c>
      <c r="AG385" s="8"/>
      <c r="AH385" s="8" t="str">
        <f>IF($AG385="","",SUMIFS(OPERATING_COEFFS!$C:$C,OPERATING_COEFFS!$A:$A,"DistanceClass",OPERATING_COEFFS!$B:$B,$AG385))</f>
        <v/>
      </c>
      <c r="AI385" s="8"/>
      <c r="AJ385" s="8" t="str">
        <f>IF($AI385="","",SUMIFS(OPERATING_COEFFS!$C:$C,OPERATING_COEFFS!$A:$A,"SeasonClass",OPERATING_COEFFS!$B:$B,$AI385))</f>
        <v/>
      </c>
      <c r="AK385" s="8"/>
      <c r="AL385" s="8" t="str">
        <f>IF($AK385="","",SUMIFS(OPERATING_COEFFS!$C:$C,OPERATING_COEFFS!$A:$A,"UrgencyClass",OPERATING_COEFFS!$B:$B,$AK385))</f>
        <v/>
      </c>
      <c r="AM385" s="8"/>
      <c r="AN385" s="8" t="str">
        <f t="array" ref="AN385">IF($AM385="","",INDEX(TAX_MODES!$B:$B,MATCH($AM385,TAX_MODES!$A:$A,0)))</f>
        <v/>
      </c>
    </row>
    <row r="386" ht="14.25" customHeight="1">
      <c r="C386" s="8"/>
      <c r="E386" s="8"/>
      <c r="G386" s="8"/>
      <c r="I386" s="8"/>
      <c r="K386" s="8"/>
      <c r="M386" s="8"/>
      <c r="O386" s="8"/>
      <c r="Q386" s="8"/>
      <c r="S386" s="8"/>
      <c r="V386" s="8"/>
      <c r="X386" s="31"/>
      <c r="Y386" s="31" t="str">
        <f>IF($X386="","",SUMIFS(TARIFF_PROFILES!$D:$D,TARIFF_PROFILES!$A:$A,$X386))</f>
        <v/>
      </c>
      <c r="Z386" s="31" t="str">
        <f>IF($X386="","",SUMIFS(TARIFF_PROFILES!$E:$E,TARIFF_PROFILES!$A:$A,$X386))</f>
        <v/>
      </c>
      <c r="AA386" s="31" t="str">
        <f>IF($X386="","",SUMIFS(TARIFF_PROFILES!$F:$F,TARIFF_PROFILES!$A:$A,$X386))</f>
        <v/>
      </c>
      <c r="AB386" s="31" t="str">
        <f>IF($X386="","",SUMIFS(TARIFF_PROFILES!$G:$G,TARIFF_PROFILES!$A:$A,$X386))</f>
        <v/>
      </c>
      <c r="AC386" s="31" t="str">
        <f>IF($X386="","",SUMIFS(TARIFF_PROFILES!$H:$H,TARIFF_PROFILES!$A:$A,$X386))</f>
        <v/>
      </c>
      <c r="AD386" s="31" t="str">
        <f t="array" ref="AD386">IF($X386="","",INDEX(TARIFF_PROFILES!$J:$J,MATCH($X386,TARIFF_PROFILES!$A:$A,0)))</f>
        <v/>
      </c>
      <c r="AE386" s="31" t="str">
        <f t="array" ref="AE386">IF($X386="","",INDEX(TARIFF_PROFILES!$K:$K,MATCH($X386,TARIFF_PROFILES!$A:$A,0)))</f>
        <v/>
      </c>
      <c r="AG386" s="8"/>
      <c r="AH386" s="8" t="str">
        <f>IF($AG386="","",SUMIFS(OPERATING_COEFFS!$C:$C,OPERATING_COEFFS!$A:$A,"DistanceClass",OPERATING_COEFFS!$B:$B,$AG386))</f>
        <v/>
      </c>
      <c r="AI386" s="8"/>
      <c r="AJ386" s="8" t="str">
        <f>IF($AI386="","",SUMIFS(OPERATING_COEFFS!$C:$C,OPERATING_COEFFS!$A:$A,"SeasonClass",OPERATING_COEFFS!$B:$B,$AI386))</f>
        <v/>
      </c>
      <c r="AK386" s="8"/>
      <c r="AL386" s="8" t="str">
        <f>IF($AK386="","",SUMIFS(OPERATING_COEFFS!$C:$C,OPERATING_COEFFS!$A:$A,"UrgencyClass",OPERATING_COEFFS!$B:$B,$AK386))</f>
        <v/>
      </c>
      <c r="AM386" s="8"/>
      <c r="AN386" s="8" t="str">
        <f t="array" ref="AN386">IF($AM386="","",INDEX(TAX_MODES!$B:$B,MATCH($AM386,TAX_MODES!$A:$A,0)))</f>
        <v/>
      </c>
    </row>
    <row r="387" ht="14.25" customHeight="1">
      <c r="C387" s="8"/>
      <c r="E387" s="8"/>
      <c r="G387" s="8"/>
      <c r="I387" s="8"/>
      <c r="K387" s="8"/>
      <c r="M387" s="8"/>
      <c r="O387" s="8"/>
      <c r="Q387" s="8"/>
      <c r="S387" s="8"/>
      <c r="V387" s="8"/>
      <c r="X387" s="31"/>
      <c r="Y387" s="31" t="str">
        <f>IF($X387="","",SUMIFS(TARIFF_PROFILES!$D:$D,TARIFF_PROFILES!$A:$A,$X387))</f>
        <v/>
      </c>
      <c r="Z387" s="31" t="str">
        <f>IF($X387="","",SUMIFS(TARIFF_PROFILES!$E:$E,TARIFF_PROFILES!$A:$A,$X387))</f>
        <v/>
      </c>
      <c r="AA387" s="31" t="str">
        <f>IF($X387="","",SUMIFS(TARIFF_PROFILES!$F:$F,TARIFF_PROFILES!$A:$A,$X387))</f>
        <v/>
      </c>
      <c r="AB387" s="31" t="str">
        <f>IF($X387="","",SUMIFS(TARIFF_PROFILES!$G:$G,TARIFF_PROFILES!$A:$A,$X387))</f>
        <v/>
      </c>
      <c r="AC387" s="31" t="str">
        <f>IF($X387="","",SUMIFS(TARIFF_PROFILES!$H:$H,TARIFF_PROFILES!$A:$A,$X387))</f>
        <v/>
      </c>
      <c r="AD387" s="31" t="str">
        <f t="array" ref="AD387">IF($X387="","",INDEX(TARIFF_PROFILES!$J:$J,MATCH($X387,TARIFF_PROFILES!$A:$A,0)))</f>
        <v/>
      </c>
      <c r="AE387" s="31" t="str">
        <f t="array" ref="AE387">IF($X387="","",INDEX(TARIFF_PROFILES!$K:$K,MATCH($X387,TARIFF_PROFILES!$A:$A,0)))</f>
        <v/>
      </c>
      <c r="AG387" s="8"/>
      <c r="AH387" s="8" t="str">
        <f>IF($AG387="","",SUMIFS(OPERATING_COEFFS!$C:$C,OPERATING_COEFFS!$A:$A,"DistanceClass",OPERATING_COEFFS!$B:$B,$AG387))</f>
        <v/>
      </c>
      <c r="AI387" s="8"/>
      <c r="AJ387" s="8" t="str">
        <f>IF($AI387="","",SUMIFS(OPERATING_COEFFS!$C:$C,OPERATING_COEFFS!$A:$A,"SeasonClass",OPERATING_COEFFS!$B:$B,$AI387))</f>
        <v/>
      </c>
      <c r="AK387" s="8"/>
      <c r="AL387" s="8" t="str">
        <f>IF($AK387="","",SUMIFS(OPERATING_COEFFS!$C:$C,OPERATING_COEFFS!$A:$A,"UrgencyClass",OPERATING_COEFFS!$B:$B,$AK387))</f>
        <v/>
      </c>
      <c r="AM387" s="8"/>
      <c r="AN387" s="8" t="str">
        <f t="array" ref="AN387">IF($AM387="","",INDEX(TAX_MODES!$B:$B,MATCH($AM387,TAX_MODES!$A:$A,0)))</f>
        <v/>
      </c>
    </row>
    <row r="388" ht="14.25" customHeight="1">
      <c r="C388" s="8"/>
      <c r="E388" s="8"/>
      <c r="G388" s="8"/>
      <c r="I388" s="8"/>
      <c r="K388" s="8"/>
      <c r="M388" s="8"/>
      <c r="O388" s="8"/>
      <c r="Q388" s="8"/>
      <c r="S388" s="8"/>
      <c r="V388" s="8"/>
      <c r="X388" s="31"/>
      <c r="Y388" s="31" t="str">
        <f>IF($X388="","",SUMIFS(TARIFF_PROFILES!$D:$D,TARIFF_PROFILES!$A:$A,$X388))</f>
        <v/>
      </c>
      <c r="Z388" s="31" t="str">
        <f>IF($X388="","",SUMIFS(TARIFF_PROFILES!$E:$E,TARIFF_PROFILES!$A:$A,$X388))</f>
        <v/>
      </c>
      <c r="AA388" s="31" t="str">
        <f>IF($X388="","",SUMIFS(TARIFF_PROFILES!$F:$F,TARIFF_PROFILES!$A:$A,$X388))</f>
        <v/>
      </c>
      <c r="AB388" s="31" t="str">
        <f>IF($X388="","",SUMIFS(TARIFF_PROFILES!$G:$G,TARIFF_PROFILES!$A:$A,$X388))</f>
        <v/>
      </c>
      <c r="AC388" s="31" t="str">
        <f>IF($X388="","",SUMIFS(TARIFF_PROFILES!$H:$H,TARIFF_PROFILES!$A:$A,$X388))</f>
        <v/>
      </c>
      <c r="AD388" s="31" t="str">
        <f t="array" ref="AD388">IF($X388="","",INDEX(TARIFF_PROFILES!$J:$J,MATCH($X388,TARIFF_PROFILES!$A:$A,0)))</f>
        <v/>
      </c>
      <c r="AE388" s="31" t="str">
        <f t="array" ref="AE388">IF($X388="","",INDEX(TARIFF_PROFILES!$K:$K,MATCH($X388,TARIFF_PROFILES!$A:$A,0)))</f>
        <v/>
      </c>
      <c r="AG388" s="8"/>
      <c r="AH388" s="8" t="str">
        <f>IF($AG388="","",SUMIFS(OPERATING_COEFFS!$C:$C,OPERATING_COEFFS!$A:$A,"DistanceClass",OPERATING_COEFFS!$B:$B,$AG388))</f>
        <v/>
      </c>
      <c r="AI388" s="8"/>
      <c r="AJ388" s="8" t="str">
        <f>IF($AI388="","",SUMIFS(OPERATING_COEFFS!$C:$C,OPERATING_COEFFS!$A:$A,"SeasonClass",OPERATING_COEFFS!$B:$B,$AI388))</f>
        <v/>
      </c>
      <c r="AK388" s="8"/>
      <c r="AL388" s="8" t="str">
        <f>IF($AK388="","",SUMIFS(OPERATING_COEFFS!$C:$C,OPERATING_COEFFS!$A:$A,"UrgencyClass",OPERATING_COEFFS!$B:$B,$AK388))</f>
        <v/>
      </c>
      <c r="AM388" s="8"/>
      <c r="AN388" s="8" t="str">
        <f t="array" ref="AN388">IF($AM388="","",INDEX(TAX_MODES!$B:$B,MATCH($AM388,TAX_MODES!$A:$A,0)))</f>
        <v/>
      </c>
    </row>
    <row r="389" ht="14.25" customHeight="1">
      <c r="C389" s="8"/>
      <c r="E389" s="8"/>
      <c r="G389" s="8"/>
      <c r="I389" s="8"/>
      <c r="K389" s="8"/>
      <c r="M389" s="8"/>
      <c r="O389" s="8"/>
      <c r="Q389" s="8"/>
      <c r="S389" s="8"/>
      <c r="V389" s="8"/>
      <c r="X389" s="31"/>
      <c r="Y389" s="31" t="str">
        <f>IF($X389="","",SUMIFS(TARIFF_PROFILES!$D:$D,TARIFF_PROFILES!$A:$A,$X389))</f>
        <v/>
      </c>
      <c r="Z389" s="31" t="str">
        <f>IF($X389="","",SUMIFS(TARIFF_PROFILES!$E:$E,TARIFF_PROFILES!$A:$A,$X389))</f>
        <v/>
      </c>
      <c r="AA389" s="31" t="str">
        <f>IF($X389="","",SUMIFS(TARIFF_PROFILES!$F:$F,TARIFF_PROFILES!$A:$A,$X389))</f>
        <v/>
      </c>
      <c r="AB389" s="31" t="str">
        <f>IF($X389="","",SUMIFS(TARIFF_PROFILES!$G:$G,TARIFF_PROFILES!$A:$A,$X389))</f>
        <v/>
      </c>
      <c r="AC389" s="31" t="str">
        <f>IF($X389="","",SUMIFS(TARIFF_PROFILES!$H:$H,TARIFF_PROFILES!$A:$A,$X389))</f>
        <v/>
      </c>
      <c r="AD389" s="31" t="str">
        <f t="array" ref="AD389">IF($X389="","",INDEX(TARIFF_PROFILES!$J:$J,MATCH($X389,TARIFF_PROFILES!$A:$A,0)))</f>
        <v/>
      </c>
      <c r="AE389" s="31" t="str">
        <f t="array" ref="AE389">IF($X389="","",INDEX(TARIFF_PROFILES!$K:$K,MATCH($X389,TARIFF_PROFILES!$A:$A,0)))</f>
        <v/>
      </c>
      <c r="AG389" s="8"/>
      <c r="AH389" s="8" t="str">
        <f>IF($AG389="","",SUMIFS(OPERATING_COEFFS!$C:$C,OPERATING_COEFFS!$A:$A,"DistanceClass",OPERATING_COEFFS!$B:$B,$AG389))</f>
        <v/>
      </c>
      <c r="AI389" s="8"/>
      <c r="AJ389" s="8" t="str">
        <f>IF($AI389="","",SUMIFS(OPERATING_COEFFS!$C:$C,OPERATING_COEFFS!$A:$A,"SeasonClass",OPERATING_COEFFS!$B:$B,$AI389))</f>
        <v/>
      </c>
      <c r="AK389" s="8"/>
      <c r="AL389" s="8" t="str">
        <f>IF($AK389="","",SUMIFS(OPERATING_COEFFS!$C:$C,OPERATING_COEFFS!$A:$A,"UrgencyClass",OPERATING_COEFFS!$B:$B,$AK389))</f>
        <v/>
      </c>
      <c r="AM389" s="8"/>
      <c r="AN389" s="8" t="str">
        <f t="array" ref="AN389">IF($AM389="","",INDEX(TAX_MODES!$B:$B,MATCH($AM389,TAX_MODES!$A:$A,0)))</f>
        <v/>
      </c>
    </row>
    <row r="390" ht="14.25" customHeight="1">
      <c r="C390" s="8"/>
      <c r="E390" s="8"/>
      <c r="G390" s="8"/>
      <c r="I390" s="8"/>
      <c r="K390" s="8"/>
      <c r="M390" s="8"/>
      <c r="O390" s="8"/>
      <c r="Q390" s="8"/>
      <c r="S390" s="8"/>
      <c r="V390" s="8"/>
      <c r="X390" s="31"/>
      <c r="Y390" s="31" t="str">
        <f>IF($X390="","",SUMIFS(TARIFF_PROFILES!$D:$D,TARIFF_PROFILES!$A:$A,$X390))</f>
        <v/>
      </c>
      <c r="Z390" s="31" t="str">
        <f>IF($X390="","",SUMIFS(TARIFF_PROFILES!$E:$E,TARIFF_PROFILES!$A:$A,$X390))</f>
        <v/>
      </c>
      <c r="AA390" s="31" t="str">
        <f>IF($X390="","",SUMIFS(TARIFF_PROFILES!$F:$F,TARIFF_PROFILES!$A:$A,$X390))</f>
        <v/>
      </c>
      <c r="AB390" s="31" t="str">
        <f>IF($X390="","",SUMIFS(TARIFF_PROFILES!$G:$G,TARIFF_PROFILES!$A:$A,$X390))</f>
        <v/>
      </c>
      <c r="AC390" s="31" t="str">
        <f>IF($X390="","",SUMIFS(TARIFF_PROFILES!$H:$H,TARIFF_PROFILES!$A:$A,$X390))</f>
        <v/>
      </c>
      <c r="AD390" s="31" t="str">
        <f t="array" ref="AD390">IF($X390="","",INDEX(TARIFF_PROFILES!$J:$J,MATCH($X390,TARIFF_PROFILES!$A:$A,0)))</f>
        <v/>
      </c>
      <c r="AE390" s="31" t="str">
        <f t="array" ref="AE390">IF($X390="","",INDEX(TARIFF_PROFILES!$K:$K,MATCH($X390,TARIFF_PROFILES!$A:$A,0)))</f>
        <v/>
      </c>
      <c r="AG390" s="8"/>
      <c r="AH390" s="8" t="str">
        <f>IF($AG390="","",SUMIFS(OPERATING_COEFFS!$C:$C,OPERATING_COEFFS!$A:$A,"DistanceClass",OPERATING_COEFFS!$B:$B,$AG390))</f>
        <v/>
      </c>
      <c r="AI390" s="8"/>
      <c r="AJ390" s="8" t="str">
        <f>IF($AI390="","",SUMIFS(OPERATING_COEFFS!$C:$C,OPERATING_COEFFS!$A:$A,"SeasonClass",OPERATING_COEFFS!$B:$B,$AI390))</f>
        <v/>
      </c>
      <c r="AK390" s="8"/>
      <c r="AL390" s="8" t="str">
        <f>IF($AK390="","",SUMIFS(OPERATING_COEFFS!$C:$C,OPERATING_COEFFS!$A:$A,"UrgencyClass",OPERATING_COEFFS!$B:$B,$AK390))</f>
        <v/>
      </c>
      <c r="AM390" s="8"/>
      <c r="AN390" s="8" t="str">
        <f t="array" ref="AN390">IF($AM390="","",INDEX(TAX_MODES!$B:$B,MATCH($AM390,TAX_MODES!$A:$A,0)))</f>
        <v/>
      </c>
    </row>
    <row r="391" ht="14.25" customHeight="1">
      <c r="C391" s="8"/>
      <c r="E391" s="8"/>
      <c r="G391" s="8"/>
      <c r="I391" s="8"/>
      <c r="K391" s="8"/>
      <c r="M391" s="8"/>
      <c r="O391" s="8"/>
      <c r="Q391" s="8"/>
      <c r="S391" s="8"/>
      <c r="V391" s="8"/>
      <c r="X391" s="31"/>
      <c r="Y391" s="31" t="str">
        <f>IF($X391="","",SUMIFS(TARIFF_PROFILES!$D:$D,TARIFF_PROFILES!$A:$A,$X391))</f>
        <v/>
      </c>
      <c r="Z391" s="31" t="str">
        <f>IF($X391="","",SUMIFS(TARIFF_PROFILES!$E:$E,TARIFF_PROFILES!$A:$A,$X391))</f>
        <v/>
      </c>
      <c r="AA391" s="31" t="str">
        <f>IF($X391="","",SUMIFS(TARIFF_PROFILES!$F:$F,TARIFF_PROFILES!$A:$A,$X391))</f>
        <v/>
      </c>
      <c r="AB391" s="31" t="str">
        <f>IF($X391="","",SUMIFS(TARIFF_PROFILES!$G:$G,TARIFF_PROFILES!$A:$A,$X391))</f>
        <v/>
      </c>
      <c r="AC391" s="31" t="str">
        <f>IF($X391="","",SUMIFS(TARIFF_PROFILES!$H:$H,TARIFF_PROFILES!$A:$A,$X391))</f>
        <v/>
      </c>
      <c r="AD391" s="31" t="str">
        <f t="array" ref="AD391">IF($X391="","",INDEX(TARIFF_PROFILES!$J:$J,MATCH($X391,TARIFF_PROFILES!$A:$A,0)))</f>
        <v/>
      </c>
      <c r="AE391" s="31" t="str">
        <f t="array" ref="AE391">IF($X391="","",INDEX(TARIFF_PROFILES!$K:$K,MATCH($X391,TARIFF_PROFILES!$A:$A,0)))</f>
        <v/>
      </c>
      <c r="AG391" s="8"/>
      <c r="AH391" s="8" t="str">
        <f>IF($AG391="","",SUMIFS(OPERATING_COEFFS!$C:$C,OPERATING_COEFFS!$A:$A,"DistanceClass",OPERATING_COEFFS!$B:$B,$AG391))</f>
        <v/>
      </c>
      <c r="AI391" s="8"/>
      <c r="AJ391" s="8" t="str">
        <f>IF($AI391="","",SUMIFS(OPERATING_COEFFS!$C:$C,OPERATING_COEFFS!$A:$A,"SeasonClass",OPERATING_COEFFS!$B:$B,$AI391))</f>
        <v/>
      </c>
      <c r="AK391" s="8"/>
      <c r="AL391" s="8" t="str">
        <f>IF($AK391="","",SUMIFS(OPERATING_COEFFS!$C:$C,OPERATING_COEFFS!$A:$A,"UrgencyClass",OPERATING_COEFFS!$B:$B,$AK391))</f>
        <v/>
      </c>
      <c r="AM391" s="8"/>
      <c r="AN391" s="8" t="str">
        <f t="array" ref="AN391">IF($AM391="","",INDEX(TAX_MODES!$B:$B,MATCH($AM391,TAX_MODES!$A:$A,0)))</f>
        <v/>
      </c>
    </row>
    <row r="392" ht="14.25" customHeight="1">
      <c r="C392" s="8"/>
      <c r="E392" s="8"/>
      <c r="G392" s="8"/>
      <c r="I392" s="8"/>
      <c r="K392" s="8"/>
      <c r="M392" s="8"/>
      <c r="O392" s="8"/>
      <c r="Q392" s="8"/>
      <c r="S392" s="8"/>
      <c r="V392" s="8"/>
      <c r="X392" s="31"/>
      <c r="Y392" s="31" t="str">
        <f>IF($X392="","",SUMIFS(TARIFF_PROFILES!$D:$D,TARIFF_PROFILES!$A:$A,$X392))</f>
        <v/>
      </c>
      <c r="Z392" s="31" t="str">
        <f>IF($X392="","",SUMIFS(TARIFF_PROFILES!$E:$E,TARIFF_PROFILES!$A:$A,$X392))</f>
        <v/>
      </c>
      <c r="AA392" s="31" t="str">
        <f>IF($X392="","",SUMIFS(TARIFF_PROFILES!$F:$F,TARIFF_PROFILES!$A:$A,$X392))</f>
        <v/>
      </c>
      <c r="AB392" s="31" t="str">
        <f>IF($X392="","",SUMIFS(TARIFF_PROFILES!$G:$G,TARIFF_PROFILES!$A:$A,$X392))</f>
        <v/>
      </c>
      <c r="AC392" s="31" t="str">
        <f>IF($X392="","",SUMIFS(TARIFF_PROFILES!$H:$H,TARIFF_PROFILES!$A:$A,$X392))</f>
        <v/>
      </c>
      <c r="AD392" s="31" t="str">
        <f t="array" ref="AD392">IF($X392="","",INDEX(TARIFF_PROFILES!$J:$J,MATCH($X392,TARIFF_PROFILES!$A:$A,0)))</f>
        <v/>
      </c>
      <c r="AE392" s="31" t="str">
        <f t="array" ref="AE392">IF($X392="","",INDEX(TARIFF_PROFILES!$K:$K,MATCH($X392,TARIFF_PROFILES!$A:$A,0)))</f>
        <v/>
      </c>
      <c r="AG392" s="8"/>
      <c r="AH392" s="8" t="str">
        <f>IF($AG392="","",SUMIFS(OPERATING_COEFFS!$C:$C,OPERATING_COEFFS!$A:$A,"DistanceClass",OPERATING_COEFFS!$B:$B,$AG392))</f>
        <v/>
      </c>
      <c r="AI392" s="8"/>
      <c r="AJ392" s="8" t="str">
        <f>IF($AI392="","",SUMIFS(OPERATING_COEFFS!$C:$C,OPERATING_COEFFS!$A:$A,"SeasonClass",OPERATING_COEFFS!$B:$B,$AI392))</f>
        <v/>
      </c>
      <c r="AK392" s="8"/>
      <c r="AL392" s="8" t="str">
        <f>IF($AK392="","",SUMIFS(OPERATING_COEFFS!$C:$C,OPERATING_COEFFS!$A:$A,"UrgencyClass",OPERATING_COEFFS!$B:$B,$AK392))</f>
        <v/>
      </c>
      <c r="AM392" s="8"/>
      <c r="AN392" s="8" t="str">
        <f t="array" ref="AN392">IF($AM392="","",INDEX(TAX_MODES!$B:$B,MATCH($AM392,TAX_MODES!$A:$A,0)))</f>
        <v/>
      </c>
    </row>
    <row r="393" ht="14.25" customHeight="1">
      <c r="C393" s="8"/>
      <c r="E393" s="8"/>
      <c r="G393" s="8"/>
      <c r="I393" s="8"/>
      <c r="K393" s="8"/>
      <c r="M393" s="8"/>
      <c r="O393" s="8"/>
      <c r="Q393" s="8"/>
      <c r="S393" s="8"/>
      <c r="V393" s="8"/>
      <c r="X393" s="31"/>
      <c r="Y393" s="31" t="str">
        <f>IF($X393="","",SUMIFS(TARIFF_PROFILES!$D:$D,TARIFF_PROFILES!$A:$A,$X393))</f>
        <v/>
      </c>
      <c r="Z393" s="31" t="str">
        <f>IF($X393="","",SUMIFS(TARIFF_PROFILES!$E:$E,TARIFF_PROFILES!$A:$A,$X393))</f>
        <v/>
      </c>
      <c r="AA393" s="31" t="str">
        <f>IF($X393="","",SUMIFS(TARIFF_PROFILES!$F:$F,TARIFF_PROFILES!$A:$A,$X393))</f>
        <v/>
      </c>
      <c r="AB393" s="31" t="str">
        <f>IF($X393="","",SUMIFS(TARIFF_PROFILES!$G:$G,TARIFF_PROFILES!$A:$A,$X393))</f>
        <v/>
      </c>
      <c r="AC393" s="31" t="str">
        <f>IF($X393="","",SUMIFS(TARIFF_PROFILES!$H:$H,TARIFF_PROFILES!$A:$A,$X393))</f>
        <v/>
      </c>
      <c r="AD393" s="31" t="str">
        <f t="array" ref="AD393">IF($X393="","",INDEX(TARIFF_PROFILES!$J:$J,MATCH($X393,TARIFF_PROFILES!$A:$A,0)))</f>
        <v/>
      </c>
      <c r="AE393" s="31" t="str">
        <f t="array" ref="AE393">IF($X393="","",INDEX(TARIFF_PROFILES!$K:$K,MATCH($X393,TARIFF_PROFILES!$A:$A,0)))</f>
        <v/>
      </c>
      <c r="AG393" s="8"/>
      <c r="AH393" s="8" t="str">
        <f>IF($AG393="","",SUMIFS(OPERATING_COEFFS!$C:$C,OPERATING_COEFFS!$A:$A,"DistanceClass",OPERATING_COEFFS!$B:$B,$AG393))</f>
        <v/>
      </c>
      <c r="AI393" s="8"/>
      <c r="AJ393" s="8" t="str">
        <f>IF($AI393="","",SUMIFS(OPERATING_COEFFS!$C:$C,OPERATING_COEFFS!$A:$A,"SeasonClass",OPERATING_COEFFS!$B:$B,$AI393))</f>
        <v/>
      </c>
      <c r="AK393" s="8"/>
      <c r="AL393" s="8" t="str">
        <f>IF($AK393="","",SUMIFS(OPERATING_COEFFS!$C:$C,OPERATING_COEFFS!$A:$A,"UrgencyClass",OPERATING_COEFFS!$B:$B,$AK393))</f>
        <v/>
      </c>
      <c r="AM393" s="8"/>
      <c r="AN393" s="8" t="str">
        <f t="array" ref="AN393">IF($AM393="","",INDEX(TAX_MODES!$B:$B,MATCH($AM393,TAX_MODES!$A:$A,0)))</f>
        <v/>
      </c>
    </row>
    <row r="394" ht="14.25" customHeight="1">
      <c r="C394" s="8"/>
      <c r="E394" s="8"/>
      <c r="G394" s="8"/>
      <c r="I394" s="8"/>
      <c r="K394" s="8"/>
      <c r="M394" s="8"/>
      <c r="O394" s="8"/>
      <c r="Q394" s="8"/>
      <c r="S394" s="8"/>
      <c r="V394" s="8"/>
      <c r="X394" s="31"/>
      <c r="Y394" s="31" t="str">
        <f>IF($X394="","",SUMIFS(TARIFF_PROFILES!$D:$D,TARIFF_PROFILES!$A:$A,$X394))</f>
        <v/>
      </c>
      <c r="Z394" s="31" t="str">
        <f>IF($X394="","",SUMIFS(TARIFF_PROFILES!$E:$E,TARIFF_PROFILES!$A:$A,$X394))</f>
        <v/>
      </c>
      <c r="AA394" s="31" t="str">
        <f>IF($X394="","",SUMIFS(TARIFF_PROFILES!$F:$F,TARIFF_PROFILES!$A:$A,$X394))</f>
        <v/>
      </c>
      <c r="AB394" s="31" t="str">
        <f>IF($X394="","",SUMIFS(TARIFF_PROFILES!$G:$G,TARIFF_PROFILES!$A:$A,$X394))</f>
        <v/>
      </c>
      <c r="AC394" s="31" t="str">
        <f>IF($X394="","",SUMIFS(TARIFF_PROFILES!$H:$H,TARIFF_PROFILES!$A:$A,$X394))</f>
        <v/>
      </c>
      <c r="AD394" s="31" t="str">
        <f t="array" ref="AD394">IF($X394="","",INDEX(TARIFF_PROFILES!$J:$J,MATCH($X394,TARIFF_PROFILES!$A:$A,0)))</f>
        <v/>
      </c>
      <c r="AE394" s="31" t="str">
        <f t="array" ref="AE394">IF($X394="","",INDEX(TARIFF_PROFILES!$K:$K,MATCH($X394,TARIFF_PROFILES!$A:$A,0)))</f>
        <v/>
      </c>
      <c r="AG394" s="8"/>
      <c r="AH394" s="8" t="str">
        <f>IF($AG394="","",SUMIFS(OPERATING_COEFFS!$C:$C,OPERATING_COEFFS!$A:$A,"DistanceClass",OPERATING_COEFFS!$B:$B,$AG394))</f>
        <v/>
      </c>
      <c r="AI394" s="8"/>
      <c r="AJ394" s="8" t="str">
        <f>IF($AI394="","",SUMIFS(OPERATING_COEFFS!$C:$C,OPERATING_COEFFS!$A:$A,"SeasonClass",OPERATING_COEFFS!$B:$B,$AI394))</f>
        <v/>
      </c>
      <c r="AK394" s="8"/>
      <c r="AL394" s="8" t="str">
        <f>IF($AK394="","",SUMIFS(OPERATING_COEFFS!$C:$C,OPERATING_COEFFS!$A:$A,"UrgencyClass",OPERATING_COEFFS!$B:$B,$AK394))</f>
        <v/>
      </c>
      <c r="AM394" s="8"/>
      <c r="AN394" s="8" t="str">
        <f t="array" ref="AN394">IF($AM394="","",INDEX(TAX_MODES!$B:$B,MATCH($AM394,TAX_MODES!$A:$A,0)))</f>
        <v/>
      </c>
    </row>
    <row r="395" ht="14.25" customHeight="1">
      <c r="C395" s="8"/>
      <c r="E395" s="8"/>
      <c r="G395" s="8"/>
      <c r="I395" s="8"/>
      <c r="K395" s="8"/>
      <c r="M395" s="8"/>
      <c r="O395" s="8"/>
      <c r="Q395" s="8"/>
      <c r="S395" s="8"/>
      <c r="V395" s="8"/>
      <c r="X395" s="31"/>
      <c r="Y395" s="31" t="str">
        <f>IF($X395="","",SUMIFS(TARIFF_PROFILES!$D:$D,TARIFF_PROFILES!$A:$A,$X395))</f>
        <v/>
      </c>
      <c r="Z395" s="31" t="str">
        <f>IF($X395="","",SUMIFS(TARIFF_PROFILES!$E:$E,TARIFF_PROFILES!$A:$A,$X395))</f>
        <v/>
      </c>
      <c r="AA395" s="31" t="str">
        <f>IF($X395="","",SUMIFS(TARIFF_PROFILES!$F:$F,TARIFF_PROFILES!$A:$A,$X395))</f>
        <v/>
      </c>
      <c r="AB395" s="31" t="str">
        <f>IF($X395="","",SUMIFS(TARIFF_PROFILES!$G:$G,TARIFF_PROFILES!$A:$A,$X395))</f>
        <v/>
      </c>
      <c r="AC395" s="31" t="str">
        <f>IF($X395="","",SUMIFS(TARIFF_PROFILES!$H:$H,TARIFF_PROFILES!$A:$A,$X395))</f>
        <v/>
      </c>
      <c r="AD395" s="31" t="str">
        <f t="array" ref="AD395">IF($X395="","",INDEX(TARIFF_PROFILES!$J:$J,MATCH($X395,TARIFF_PROFILES!$A:$A,0)))</f>
        <v/>
      </c>
      <c r="AE395" s="31" t="str">
        <f t="array" ref="AE395">IF($X395="","",INDEX(TARIFF_PROFILES!$K:$K,MATCH($X395,TARIFF_PROFILES!$A:$A,0)))</f>
        <v/>
      </c>
      <c r="AG395" s="8"/>
      <c r="AH395" s="8" t="str">
        <f>IF($AG395="","",SUMIFS(OPERATING_COEFFS!$C:$C,OPERATING_COEFFS!$A:$A,"DistanceClass",OPERATING_COEFFS!$B:$B,$AG395))</f>
        <v/>
      </c>
      <c r="AI395" s="8"/>
      <c r="AJ395" s="8" t="str">
        <f>IF($AI395="","",SUMIFS(OPERATING_COEFFS!$C:$C,OPERATING_COEFFS!$A:$A,"SeasonClass",OPERATING_COEFFS!$B:$B,$AI395))</f>
        <v/>
      </c>
      <c r="AK395" s="8"/>
      <c r="AL395" s="8" t="str">
        <f>IF($AK395="","",SUMIFS(OPERATING_COEFFS!$C:$C,OPERATING_COEFFS!$A:$A,"UrgencyClass",OPERATING_COEFFS!$B:$B,$AK395))</f>
        <v/>
      </c>
      <c r="AM395" s="8"/>
      <c r="AN395" s="8" t="str">
        <f t="array" ref="AN395">IF($AM395="","",INDEX(TAX_MODES!$B:$B,MATCH($AM395,TAX_MODES!$A:$A,0)))</f>
        <v/>
      </c>
    </row>
    <row r="396" ht="14.25" customHeight="1">
      <c r="C396" s="8"/>
      <c r="E396" s="8"/>
      <c r="G396" s="8"/>
      <c r="I396" s="8"/>
      <c r="K396" s="8"/>
      <c r="M396" s="8"/>
      <c r="O396" s="8"/>
      <c r="Q396" s="8"/>
      <c r="S396" s="8"/>
      <c r="V396" s="8"/>
      <c r="X396" s="31"/>
      <c r="Y396" s="31" t="str">
        <f>IF($X396="","",SUMIFS(TARIFF_PROFILES!$D:$D,TARIFF_PROFILES!$A:$A,$X396))</f>
        <v/>
      </c>
      <c r="Z396" s="31" t="str">
        <f>IF($X396="","",SUMIFS(TARIFF_PROFILES!$E:$E,TARIFF_PROFILES!$A:$A,$X396))</f>
        <v/>
      </c>
      <c r="AA396" s="31" t="str">
        <f>IF($X396="","",SUMIFS(TARIFF_PROFILES!$F:$F,TARIFF_PROFILES!$A:$A,$X396))</f>
        <v/>
      </c>
      <c r="AB396" s="31" t="str">
        <f>IF($X396="","",SUMIFS(TARIFF_PROFILES!$G:$G,TARIFF_PROFILES!$A:$A,$X396))</f>
        <v/>
      </c>
      <c r="AC396" s="31" t="str">
        <f>IF($X396="","",SUMIFS(TARIFF_PROFILES!$H:$H,TARIFF_PROFILES!$A:$A,$X396))</f>
        <v/>
      </c>
      <c r="AD396" s="31" t="str">
        <f t="array" ref="AD396">IF($X396="","",INDEX(TARIFF_PROFILES!$J:$J,MATCH($X396,TARIFF_PROFILES!$A:$A,0)))</f>
        <v/>
      </c>
      <c r="AE396" s="31" t="str">
        <f t="array" ref="AE396">IF($X396="","",INDEX(TARIFF_PROFILES!$K:$K,MATCH($X396,TARIFF_PROFILES!$A:$A,0)))</f>
        <v/>
      </c>
      <c r="AG396" s="8"/>
      <c r="AH396" s="8" t="str">
        <f>IF($AG396="","",SUMIFS(OPERATING_COEFFS!$C:$C,OPERATING_COEFFS!$A:$A,"DistanceClass",OPERATING_COEFFS!$B:$B,$AG396))</f>
        <v/>
      </c>
      <c r="AI396" s="8"/>
      <c r="AJ396" s="8" t="str">
        <f>IF($AI396="","",SUMIFS(OPERATING_COEFFS!$C:$C,OPERATING_COEFFS!$A:$A,"SeasonClass",OPERATING_COEFFS!$B:$B,$AI396))</f>
        <v/>
      </c>
      <c r="AK396" s="8"/>
      <c r="AL396" s="8" t="str">
        <f>IF($AK396="","",SUMIFS(OPERATING_COEFFS!$C:$C,OPERATING_COEFFS!$A:$A,"UrgencyClass",OPERATING_COEFFS!$B:$B,$AK396))</f>
        <v/>
      </c>
      <c r="AM396" s="8"/>
      <c r="AN396" s="8" t="str">
        <f t="array" ref="AN396">IF($AM396="","",INDEX(TAX_MODES!$B:$B,MATCH($AM396,TAX_MODES!$A:$A,0)))</f>
        <v/>
      </c>
    </row>
    <row r="397" ht="14.25" customHeight="1">
      <c r="C397" s="8"/>
      <c r="E397" s="8"/>
      <c r="G397" s="8"/>
      <c r="I397" s="8"/>
      <c r="K397" s="8"/>
      <c r="M397" s="8"/>
      <c r="O397" s="8"/>
      <c r="Q397" s="8"/>
      <c r="S397" s="8"/>
      <c r="V397" s="8"/>
      <c r="X397" s="31"/>
      <c r="Y397" s="31" t="str">
        <f>IF($X397="","",SUMIFS(TARIFF_PROFILES!$D:$D,TARIFF_PROFILES!$A:$A,$X397))</f>
        <v/>
      </c>
      <c r="Z397" s="31" t="str">
        <f>IF($X397="","",SUMIFS(TARIFF_PROFILES!$E:$E,TARIFF_PROFILES!$A:$A,$X397))</f>
        <v/>
      </c>
      <c r="AA397" s="31" t="str">
        <f>IF($X397="","",SUMIFS(TARIFF_PROFILES!$F:$F,TARIFF_PROFILES!$A:$A,$X397))</f>
        <v/>
      </c>
      <c r="AB397" s="31" t="str">
        <f>IF($X397="","",SUMIFS(TARIFF_PROFILES!$G:$G,TARIFF_PROFILES!$A:$A,$X397))</f>
        <v/>
      </c>
      <c r="AC397" s="31" t="str">
        <f>IF($X397="","",SUMIFS(TARIFF_PROFILES!$H:$H,TARIFF_PROFILES!$A:$A,$X397))</f>
        <v/>
      </c>
      <c r="AD397" s="31" t="str">
        <f t="array" ref="AD397">IF($X397="","",INDEX(TARIFF_PROFILES!$J:$J,MATCH($X397,TARIFF_PROFILES!$A:$A,0)))</f>
        <v/>
      </c>
      <c r="AE397" s="31" t="str">
        <f t="array" ref="AE397">IF($X397="","",INDEX(TARIFF_PROFILES!$K:$K,MATCH($X397,TARIFF_PROFILES!$A:$A,0)))</f>
        <v/>
      </c>
      <c r="AG397" s="8"/>
      <c r="AH397" s="8" t="str">
        <f>IF($AG397="","",SUMIFS(OPERATING_COEFFS!$C:$C,OPERATING_COEFFS!$A:$A,"DistanceClass",OPERATING_COEFFS!$B:$B,$AG397))</f>
        <v/>
      </c>
      <c r="AI397" s="8"/>
      <c r="AJ397" s="8" t="str">
        <f>IF($AI397="","",SUMIFS(OPERATING_COEFFS!$C:$C,OPERATING_COEFFS!$A:$A,"SeasonClass",OPERATING_COEFFS!$B:$B,$AI397))</f>
        <v/>
      </c>
      <c r="AK397" s="8"/>
      <c r="AL397" s="8" t="str">
        <f>IF($AK397="","",SUMIFS(OPERATING_COEFFS!$C:$C,OPERATING_COEFFS!$A:$A,"UrgencyClass",OPERATING_COEFFS!$B:$B,$AK397))</f>
        <v/>
      </c>
      <c r="AM397" s="8"/>
      <c r="AN397" s="8" t="str">
        <f t="array" ref="AN397">IF($AM397="","",INDEX(TAX_MODES!$B:$B,MATCH($AM397,TAX_MODES!$A:$A,0)))</f>
        <v/>
      </c>
    </row>
    <row r="398" ht="14.25" customHeight="1">
      <c r="C398" s="8"/>
      <c r="E398" s="8"/>
      <c r="G398" s="8"/>
      <c r="I398" s="8"/>
      <c r="K398" s="8"/>
      <c r="M398" s="8"/>
      <c r="O398" s="8"/>
      <c r="Q398" s="8"/>
      <c r="S398" s="8"/>
      <c r="V398" s="8"/>
      <c r="X398" s="31"/>
      <c r="Y398" s="31" t="str">
        <f>IF($X398="","",SUMIFS(TARIFF_PROFILES!$D:$D,TARIFF_PROFILES!$A:$A,$X398))</f>
        <v/>
      </c>
      <c r="Z398" s="31" t="str">
        <f>IF($X398="","",SUMIFS(TARIFF_PROFILES!$E:$E,TARIFF_PROFILES!$A:$A,$X398))</f>
        <v/>
      </c>
      <c r="AA398" s="31" t="str">
        <f>IF($X398="","",SUMIFS(TARIFF_PROFILES!$F:$F,TARIFF_PROFILES!$A:$A,$X398))</f>
        <v/>
      </c>
      <c r="AB398" s="31" t="str">
        <f>IF($X398="","",SUMIFS(TARIFF_PROFILES!$G:$G,TARIFF_PROFILES!$A:$A,$X398))</f>
        <v/>
      </c>
      <c r="AC398" s="31" t="str">
        <f>IF($X398="","",SUMIFS(TARIFF_PROFILES!$H:$H,TARIFF_PROFILES!$A:$A,$X398))</f>
        <v/>
      </c>
      <c r="AD398" s="31" t="str">
        <f t="array" ref="AD398">IF($X398="","",INDEX(TARIFF_PROFILES!$J:$J,MATCH($X398,TARIFF_PROFILES!$A:$A,0)))</f>
        <v/>
      </c>
      <c r="AE398" s="31" t="str">
        <f t="array" ref="AE398">IF($X398="","",INDEX(TARIFF_PROFILES!$K:$K,MATCH($X398,TARIFF_PROFILES!$A:$A,0)))</f>
        <v/>
      </c>
      <c r="AG398" s="8"/>
      <c r="AH398" s="8" t="str">
        <f>IF($AG398="","",SUMIFS(OPERATING_COEFFS!$C:$C,OPERATING_COEFFS!$A:$A,"DistanceClass",OPERATING_COEFFS!$B:$B,$AG398))</f>
        <v/>
      </c>
      <c r="AI398" s="8"/>
      <c r="AJ398" s="8" t="str">
        <f>IF($AI398="","",SUMIFS(OPERATING_COEFFS!$C:$C,OPERATING_COEFFS!$A:$A,"SeasonClass",OPERATING_COEFFS!$B:$B,$AI398))</f>
        <v/>
      </c>
      <c r="AK398" s="8"/>
      <c r="AL398" s="8" t="str">
        <f>IF($AK398="","",SUMIFS(OPERATING_COEFFS!$C:$C,OPERATING_COEFFS!$A:$A,"UrgencyClass",OPERATING_COEFFS!$B:$B,$AK398))</f>
        <v/>
      </c>
      <c r="AM398" s="8"/>
      <c r="AN398" s="8" t="str">
        <f t="array" ref="AN398">IF($AM398="","",INDEX(TAX_MODES!$B:$B,MATCH($AM398,TAX_MODES!$A:$A,0)))</f>
        <v/>
      </c>
    </row>
    <row r="399" ht="14.25" customHeight="1">
      <c r="C399" s="8"/>
      <c r="E399" s="8"/>
      <c r="G399" s="8"/>
      <c r="I399" s="8"/>
      <c r="K399" s="8"/>
      <c r="M399" s="8"/>
      <c r="O399" s="8"/>
      <c r="Q399" s="8"/>
      <c r="S399" s="8"/>
      <c r="V399" s="8"/>
      <c r="X399" s="31"/>
      <c r="Y399" s="31" t="str">
        <f>IF($X399="","",SUMIFS(TARIFF_PROFILES!$D:$D,TARIFF_PROFILES!$A:$A,$X399))</f>
        <v/>
      </c>
      <c r="Z399" s="31" t="str">
        <f>IF($X399="","",SUMIFS(TARIFF_PROFILES!$E:$E,TARIFF_PROFILES!$A:$A,$X399))</f>
        <v/>
      </c>
      <c r="AA399" s="31" t="str">
        <f>IF($X399="","",SUMIFS(TARIFF_PROFILES!$F:$F,TARIFF_PROFILES!$A:$A,$X399))</f>
        <v/>
      </c>
      <c r="AB399" s="31" t="str">
        <f>IF($X399="","",SUMIFS(TARIFF_PROFILES!$G:$G,TARIFF_PROFILES!$A:$A,$X399))</f>
        <v/>
      </c>
      <c r="AC399" s="31" t="str">
        <f>IF($X399="","",SUMIFS(TARIFF_PROFILES!$H:$H,TARIFF_PROFILES!$A:$A,$X399))</f>
        <v/>
      </c>
      <c r="AD399" s="31" t="str">
        <f t="array" ref="AD399">IF($X399="","",INDEX(TARIFF_PROFILES!$J:$J,MATCH($X399,TARIFF_PROFILES!$A:$A,0)))</f>
        <v/>
      </c>
      <c r="AE399" s="31" t="str">
        <f t="array" ref="AE399">IF($X399="","",INDEX(TARIFF_PROFILES!$K:$K,MATCH($X399,TARIFF_PROFILES!$A:$A,0)))</f>
        <v/>
      </c>
      <c r="AG399" s="8"/>
      <c r="AH399" s="8" t="str">
        <f>IF($AG399="","",SUMIFS(OPERATING_COEFFS!$C:$C,OPERATING_COEFFS!$A:$A,"DistanceClass",OPERATING_COEFFS!$B:$B,$AG399))</f>
        <v/>
      </c>
      <c r="AI399" s="8"/>
      <c r="AJ399" s="8" t="str">
        <f>IF($AI399="","",SUMIFS(OPERATING_COEFFS!$C:$C,OPERATING_COEFFS!$A:$A,"SeasonClass",OPERATING_COEFFS!$B:$B,$AI399))</f>
        <v/>
      </c>
      <c r="AK399" s="8"/>
      <c r="AL399" s="8" t="str">
        <f>IF($AK399="","",SUMIFS(OPERATING_COEFFS!$C:$C,OPERATING_COEFFS!$A:$A,"UrgencyClass",OPERATING_COEFFS!$B:$B,$AK399))</f>
        <v/>
      </c>
      <c r="AM399" s="8"/>
      <c r="AN399" s="8" t="str">
        <f t="array" ref="AN399">IF($AM399="","",INDEX(TAX_MODES!$B:$B,MATCH($AM399,TAX_MODES!$A:$A,0)))</f>
        <v/>
      </c>
    </row>
    <row r="400" ht="14.25" customHeight="1">
      <c r="C400" s="8"/>
      <c r="E400" s="8"/>
      <c r="G400" s="8"/>
      <c r="I400" s="8"/>
      <c r="K400" s="8"/>
      <c r="M400" s="8"/>
      <c r="O400" s="8"/>
      <c r="Q400" s="8"/>
      <c r="S400" s="8"/>
      <c r="V400" s="8"/>
      <c r="X400" s="31"/>
      <c r="Y400" s="31" t="str">
        <f>IF($X400="","",SUMIFS(TARIFF_PROFILES!$D:$D,TARIFF_PROFILES!$A:$A,$X400))</f>
        <v/>
      </c>
      <c r="Z400" s="31" t="str">
        <f>IF($X400="","",SUMIFS(TARIFF_PROFILES!$E:$E,TARIFF_PROFILES!$A:$A,$X400))</f>
        <v/>
      </c>
      <c r="AA400" s="31" t="str">
        <f>IF($X400="","",SUMIFS(TARIFF_PROFILES!$F:$F,TARIFF_PROFILES!$A:$A,$X400))</f>
        <v/>
      </c>
      <c r="AB400" s="31" t="str">
        <f>IF($X400="","",SUMIFS(TARIFF_PROFILES!$G:$G,TARIFF_PROFILES!$A:$A,$X400))</f>
        <v/>
      </c>
      <c r="AC400" s="31" t="str">
        <f>IF($X400="","",SUMIFS(TARIFF_PROFILES!$H:$H,TARIFF_PROFILES!$A:$A,$X400))</f>
        <v/>
      </c>
      <c r="AD400" s="31" t="str">
        <f t="array" ref="AD400">IF($X400="","",INDEX(TARIFF_PROFILES!$J:$J,MATCH($X400,TARIFF_PROFILES!$A:$A,0)))</f>
        <v/>
      </c>
      <c r="AE400" s="31" t="str">
        <f t="array" ref="AE400">IF($X400="","",INDEX(TARIFF_PROFILES!$K:$K,MATCH($X400,TARIFF_PROFILES!$A:$A,0)))</f>
        <v/>
      </c>
      <c r="AG400" s="8"/>
      <c r="AH400" s="8" t="str">
        <f>IF($AG400="","",SUMIFS(OPERATING_COEFFS!$C:$C,OPERATING_COEFFS!$A:$A,"DistanceClass",OPERATING_COEFFS!$B:$B,$AG400))</f>
        <v/>
      </c>
      <c r="AI400" s="8"/>
      <c r="AJ400" s="8" t="str">
        <f>IF($AI400="","",SUMIFS(OPERATING_COEFFS!$C:$C,OPERATING_COEFFS!$A:$A,"SeasonClass",OPERATING_COEFFS!$B:$B,$AI400))</f>
        <v/>
      </c>
      <c r="AK400" s="8"/>
      <c r="AL400" s="8" t="str">
        <f>IF($AK400="","",SUMIFS(OPERATING_COEFFS!$C:$C,OPERATING_COEFFS!$A:$A,"UrgencyClass",OPERATING_COEFFS!$B:$B,$AK400))</f>
        <v/>
      </c>
      <c r="AM400" s="8"/>
      <c r="AN400" s="8" t="str">
        <f t="array" ref="AN400">IF($AM400="","",INDEX(TAX_MODES!$B:$B,MATCH($AM400,TAX_MODES!$A:$A,0)))</f>
        <v/>
      </c>
    </row>
    <row r="401" ht="14.25" customHeight="1">
      <c r="C401" s="8"/>
      <c r="E401" s="8"/>
      <c r="G401" s="8"/>
      <c r="I401" s="8"/>
      <c r="K401" s="8"/>
      <c r="M401" s="8"/>
      <c r="O401" s="8"/>
      <c r="Q401" s="8"/>
      <c r="S401" s="8"/>
      <c r="V401" s="8"/>
      <c r="X401" s="31"/>
      <c r="Y401" s="31" t="str">
        <f>IF($X401="","",SUMIFS(TARIFF_PROFILES!$D:$D,TARIFF_PROFILES!$A:$A,$X401))</f>
        <v/>
      </c>
      <c r="Z401" s="31" t="str">
        <f>IF($X401="","",SUMIFS(TARIFF_PROFILES!$E:$E,TARIFF_PROFILES!$A:$A,$X401))</f>
        <v/>
      </c>
      <c r="AA401" s="31" t="str">
        <f>IF($X401="","",SUMIFS(TARIFF_PROFILES!$F:$F,TARIFF_PROFILES!$A:$A,$X401))</f>
        <v/>
      </c>
      <c r="AB401" s="31" t="str">
        <f>IF($X401="","",SUMIFS(TARIFF_PROFILES!$G:$G,TARIFF_PROFILES!$A:$A,$X401))</f>
        <v/>
      </c>
      <c r="AC401" s="31" t="str">
        <f>IF($X401="","",SUMIFS(TARIFF_PROFILES!$H:$H,TARIFF_PROFILES!$A:$A,$X401))</f>
        <v/>
      </c>
      <c r="AD401" s="31" t="str">
        <f t="array" ref="AD401">IF($X401="","",INDEX(TARIFF_PROFILES!$J:$J,MATCH($X401,TARIFF_PROFILES!$A:$A,0)))</f>
        <v/>
      </c>
      <c r="AE401" s="31" t="str">
        <f t="array" ref="AE401">IF($X401="","",INDEX(TARIFF_PROFILES!$K:$K,MATCH($X401,TARIFF_PROFILES!$A:$A,0)))</f>
        <v/>
      </c>
      <c r="AG401" s="8"/>
      <c r="AH401" s="8" t="str">
        <f>IF($AG401="","",SUMIFS(OPERATING_COEFFS!$C:$C,OPERATING_COEFFS!$A:$A,"DistanceClass",OPERATING_COEFFS!$B:$B,$AG401))</f>
        <v/>
      </c>
      <c r="AI401" s="8"/>
      <c r="AJ401" s="8" t="str">
        <f>IF($AI401="","",SUMIFS(OPERATING_COEFFS!$C:$C,OPERATING_COEFFS!$A:$A,"SeasonClass",OPERATING_COEFFS!$B:$B,$AI401))</f>
        <v/>
      </c>
      <c r="AK401" s="8"/>
      <c r="AL401" s="8" t="str">
        <f>IF($AK401="","",SUMIFS(OPERATING_COEFFS!$C:$C,OPERATING_COEFFS!$A:$A,"UrgencyClass",OPERATING_COEFFS!$B:$B,$AK401))</f>
        <v/>
      </c>
      <c r="AM401" s="8"/>
      <c r="AN401" s="8" t="str">
        <f t="array" ref="AN401">IF($AM401="","",INDEX(TAX_MODES!$B:$B,MATCH($AM401,TAX_MODES!$A:$A,0)))</f>
        <v/>
      </c>
    </row>
    <row r="402" ht="14.25" customHeight="1">
      <c r="C402" s="8"/>
      <c r="E402" s="8"/>
      <c r="G402" s="8"/>
      <c r="I402" s="8"/>
      <c r="K402" s="8"/>
      <c r="M402" s="8"/>
      <c r="O402" s="8"/>
      <c r="Q402" s="8"/>
      <c r="S402" s="8"/>
      <c r="V402" s="8"/>
      <c r="X402" s="31"/>
      <c r="Y402" s="31" t="str">
        <f>IF($X402="","",SUMIFS(TARIFF_PROFILES!$D:$D,TARIFF_PROFILES!$A:$A,$X402))</f>
        <v/>
      </c>
      <c r="Z402" s="31" t="str">
        <f>IF($X402="","",SUMIFS(TARIFF_PROFILES!$E:$E,TARIFF_PROFILES!$A:$A,$X402))</f>
        <v/>
      </c>
      <c r="AA402" s="31" t="str">
        <f>IF($X402="","",SUMIFS(TARIFF_PROFILES!$F:$F,TARIFF_PROFILES!$A:$A,$X402))</f>
        <v/>
      </c>
      <c r="AB402" s="31" t="str">
        <f>IF($X402="","",SUMIFS(TARIFF_PROFILES!$G:$G,TARIFF_PROFILES!$A:$A,$X402))</f>
        <v/>
      </c>
      <c r="AC402" s="31" t="str">
        <f>IF($X402="","",SUMIFS(TARIFF_PROFILES!$H:$H,TARIFF_PROFILES!$A:$A,$X402))</f>
        <v/>
      </c>
      <c r="AD402" s="31" t="str">
        <f t="array" ref="AD402">IF($X402="","",INDEX(TARIFF_PROFILES!$J:$J,MATCH($X402,TARIFF_PROFILES!$A:$A,0)))</f>
        <v/>
      </c>
      <c r="AE402" s="31" t="str">
        <f t="array" ref="AE402">IF($X402="","",INDEX(TARIFF_PROFILES!$K:$K,MATCH($X402,TARIFF_PROFILES!$A:$A,0)))</f>
        <v/>
      </c>
      <c r="AG402" s="8"/>
      <c r="AH402" s="8" t="str">
        <f>IF($AG402="","",SUMIFS(OPERATING_COEFFS!$C:$C,OPERATING_COEFFS!$A:$A,"DistanceClass",OPERATING_COEFFS!$B:$B,$AG402))</f>
        <v/>
      </c>
      <c r="AI402" s="8"/>
      <c r="AJ402" s="8" t="str">
        <f>IF($AI402="","",SUMIFS(OPERATING_COEFFS!$C:$C,OPERATING_COEFFS!$A:$A,"SeasonClass",OPERATING_COEFFS!$B:$B,$AI402))</f>
        <v/>
      </c>
      <c r="AK402" s="8"/>
      <c r="AL402" s="8" t="str">
        <f>IF($AK402="","",SUMIFS(OPERATING_COEFFS!$C:$C,OPERATING_COEFFS!$A:$A,"UrgencyClass",OPERATING_COEFFS!$B:$B,$AK402))</f>
        <v/>
      </c>
      <c r="AM402" s="8"/>
      <c r="AN402" s="8" t="str">
        <f t="array" ref="AN402">IF($AM402="","",INDEX(TAX_MODES!$B:$B,MATCH($AM402,TAX_MODES!$A:$A,0)))</f>
        <v/>
      </c>
    </row>
    <row r="403" ht="14.25" customHeight="1">
      <c r="C403" s="8"/>
      <c r="E403" s="8"/>
      <c r="G403" s="8"/>
      <c r="I403" s="8"/>
      <c r="K403" s="8"/>
      <c r="M403" s="8"/>
      <c r="O403" s="8"/>
      <c r="Q403" s="8"/>
      <c r="S403" s="8"/>
      <c r="V403" s="8"/>
      <c r="X403" s="31"/>
      <c r="Y403" s="31" t="str">
        <f>IF($X403="","",SUMIFS(TARIFF_PROFILES!$D:$D,TARIFF_PROFILES!$A:$A,$X403))</f>
        <v/>
      </c>
      <c r="Z403" s="31" t="str">
        <f>IF($X403="","",SUMIFS(TARIFF_PROFILES!$E:$E,TARIFF_PROFILES!$A:$A,$X403))</f>
        <v/>
      </c>
      <c r="AA403" s="31" t="str">
        <f>IF($X403="","",SUMIFS(TARIFF_PROFILES!$F:$F,TARIFF_PROFILES!$A:$A,$X403))</f>
        <v/>
      </c>
      <c r="AB403" s="31" t="str">
        <f>IF($X403="","",SUMIFS(TARIFF_PROFILES!$G:$G,TARIFF_PROFILES!$A:$A,$X403))</f>
        <v/>
      </c>
      <c r="AC403" s="31" t="str">
        <f>IF($X403="","",SUMIFS(TARIFF_PROFILES!$H:$H,TARIFF_PROFILES!$A:$A,$X403))</f>
        <v/>
      </c>
      <c r="AD403" s="31" t="str">
        <f t="array" ref="AD403">IF($X403="","",INDEX(TARIFF_PROFILES!$J:$J,MATCH($X403,TARIFF_PROFILES!$A:$A,0)))</f>
        <v/>
      </c>
      <c r="AE403" s="31" t="str">
        <f t="array" ref="AE403">IF($X403="","",INDEX(TARIFF_PROFILES!$K:$K,MATCH($X403,TARIFF_PROFILES!$A:$A,0)))</f>
        <v/>
      </c>
      <c r="AG403" s="8"/>
      <c r="AH403" s="8" t="str">
        <f>IF($AG403="","",SUMIFS(OPERATING_COEFFS!$C:$C,OPERATING_COEFFS!$A:$A,"DistanceClass",OPERATING_COEFFS!$B:$B,$AG403))</f>
        <v/>
      </c>
      <c r="AI403" s="8"/>
      <c r="AJ403" s="8" t="str">
        <f>IF($AI403="","",SUMIFS(OPERATING_COEFFS!$C:$C,OPERATING_COEFFS!$A:$A,"SeasonClass",OPERATING_COEFFS!$B:$B,$AI403))</f>
        <v/>
      </c>
      <c r="AK403" s="8"/>
      <c r="AL403" s="8" t="str">
        <f>IF($AK403="","",SUMIFS(OPERATING_COEFFS!$C:$C,OPERATING_COEFFS!$A:$A,"UrgencyClass",OPERATING_COEFFS!$B:$B,$AK403))</f>
        <v/>
      </c>
      <c r="AM403" s="8"/>
      <c r="AN403" s="8" t="str">
        <f t="array" ref="AN403">IF($AM403="","",INDEX(TAX_MODES!$B:$B,MATCH($AM403,TAX_MODES!$A:$A,0)))</f>
        <v/>
      </c>
    </row>
    <row r="404" ht="14.25" customHeight="1">
      <c r="C404" s="8"/>
      <c r="E404" s="8"/>
      <c r="G404" s="8"/>
      <c r="I404" s="8"/>
      <c r="K404" s="8"/>
      <c r="M404" s="8"/>
      <c r="O404" s="8"/>
      <c r="Q404" s="8"/>
      <c r="S404" s="8"/>
      <c r="V404" s="8"/>
      <c r="X404" s="31"/>
      <c r="Y404" s="31" t="str">
        <f>IF($X404="","",SUMIFS(TARIFF_PROFILES!$D:$D,TARIFF_PROFILES!$A:$A,$X404))</f>
        <v/>
      </c>
      <c r="Z404" s="31" t="str">
        <f>IF($X404="","",SUMIFS(TARIFF_PROFILES!$E:$E,TARIFF_PROFILES!$A:$A,$X404))</f>
        <v/>
      </c>
      <c r="AA404" s="31" t="str">
        <f>IF($X404="","",SUMIFS(TARIFF_PROFILES!$F:$F,TARIFF_PROFILES!$A:$A,$X404))</f>
        <v/>
      </c>
      <c r="AB404" s="31" t="str">
        <f>IF($X404="","",SUMIFS(TARIFF_PROFILES!$G:$G,TARIFF_PROFILES!$A:$A,$X404))</f>
        <v/>
      </c>
      <c r="AC404" s="31" t="str">
        <f>IF($X404="","",SUMIFS(TARIFF_PROFILES!$H:$H,TARIFF_PROFILES!$A:$A,$X404))</f>
        <v/>
      </c>
      <c r="AD404" s="31" t="str">
        <f t="array" ref="AD404">IF($X404="","",INDEX(TARIFF_PROFILES!$J:$J,MATCH($X404,TARIFF_PROFILES!$A:$A,0)))</f>
        <v/>
      </c>
      <c r="AE404" s="31" t="str">
        <f t="array" ref="AE404">IF($X404="","",INDEX(TARIFF_PROFILES!$K:$K,MATCH($X404,TARIFF_PROFILES!$A:$A,0)))</f>
        <v/>
      </c>
      <c r="AG404" s="8"/>
      <c r="AH404" s="8" t="str">
        <f>IF($AG404="","",SUMIFS(OPERATING_COEFFS!$C:$C,OPERATING_COEFFS!$A:$A,"DistanceClass",OPERATING_COEFFS!$B:$B,$AG404))</f>
        <v/>
      </c>
      <c r="AI404" s="8"/>
      <c r="AJ404" s="8" t="str">
        <f>IF($AI404="","",SUMIFS(OPERATING_COEFFS!$C:$C,OPERATING_COEFFS!$A:$A,"SeasonClass",OPERATING_COEFFS!$B:$B,$AI404))</f>
        <v/>
      </c>
      <c r="AK404" s="8"/>
      <c r="AL404" s="8" t="str">
        <f>IF($AK404="","",SUMIFS(OPERATING_COEFFS!$C:$C,OPERATING_COEFFS!$A:$A,"UrgencyClass",OPERATING_COEFFS!$B:$B,$AK404))</f>
        <v/>
      </c>
      <c r="AM404" s="8"/>
      <c r="AN404" s="8" t="str">
        <f t="array" ref="AN404">IF($AM404="","",INDEX(TAX_MODES!$B:$B,MATCH($AM404,TAX_MODES!$A:$A,0)))</f>
        <v/>
      </c>
    </row>
    <row r="405" ht="14.25" customHeight="1">
      <c r="C405" s="8"/>
      <c r="E405" s="8"/>
      <c r="G405" s="8"/>
      <c r="I405" s="8"/>
      <c r="K405" s="8"/>
      <c r="M405" s="8"/>
      <c r="O405" s="8"/>
      <c r="Q405" s="8"/>
      <c r="S405" s="8"/>
      <c r="V405" s="8"/>
      <c r="X405" s="31"/>
      <c r="Y405" s="31" t="str">
        <f>IF($X405="","",SUMIFS(TARIFF_PROFILES!$D:$D,TARIFF_PROFILES!$A:$A,$X405))</f>
        <v/>
      </c>
      <c r="Z405" s="31" t="str">
        <f>IF($X405="","",SUMIFS(TARIFF_PROFILES!$E:$E,TARIFF_PROFILES!$A:$A,$X405))</f>
        <v/>
      </c>
      <c r="AA405" s="31" t="str">
        <f>IF($X405="","",SUMIFS(TARIFF_PROFILES!$F:$F,TARIFF_PROFILES!$A:$A,$X405))</f>
        <v/>
      </c>
      <c r="AB405" s="31" t="str">
        <f>IF($X405="","",SUMIFS(TARIFF_PROFILES!$G:$G,TARIFF_PROFILES!$A:$A,$X405))</f>
        <v/>
      </c>
      <c r="AC405" s="31" t="str">
        <f>IF($X405="","",SUMIFS(TARIFF_PROFILES!$H:$H,TARIFF_PROFILES!$A:$A,$X405))</f>
        <v/>
      </c>
      <c r="AD405" s="31" t="str">
        <f t="array" ref="AD405">IF($X405="","",INDEX(TARIFF_PROFILES!$J:$J,MATCH($X405,TARIFF_PROFILES!$A:$A,0)))</f>
        <v/>
      </c>
      <c r="AE405" s="31" t="str">
        <f t="array" ref="AE405">IF($X405="","",INDEX(TARIFF_PROFILES!$K:$K,MATCH($X405,TARIFF_PROFILES!$A:$A,0)))</f>
        <v/>
      </c>
      <c r="AG405" s="8"/>
      <c r="AH405" s="8" t="str">
        <f>IF($AG405="","",SUMIFS(OPERATING_COEFFS!$C:$C,OPERATING_COEFFS!$A:$A,"DistanceClass",OPERATING_COEFFS!$B:$B,$AG405))</f>
        <v/>
      </c>
      <c r="AI405" s="8"/>
      <c r="AJ405" s="8" t="str">
        <f>IF($AI405="","",SUMIFS(OPERATING_COEFFS!$C:$C,OPERATING_COEFFS!$A:$A,"SeasonClass",OPERATING_COEFFS!$B:$B,$AI405))</f>
        <v/>
      </c>
      <c r="AK405" s="8"/>
      <c r="AL405" s="8" t="str">
        <f>IF($AK405="","",SUMIFS(OPERATING_COEFFS!$C:$C,OPERATING_COEFFS!$A:$A,"UrgencyClass",OPERATING_COEFFS!$B:$B,$AK405))</f>
        <v/>
      </c>
      <c r="AM405" s="8"/>
      <c r="AN405" s="8" t="str">
        <f t="array" ref="AN405">IF($AM405="","",INDEX(TAX_MODES!$B:$B,MATCH($AM405,TAX_MODES!$A:$A,0)))</f>
        <v/>
      </c>
    </row>
    <row r="406" ht="14.25" customHeight="1">
      <c r="C406" s="8"/>
      <c r="E406" s="8"/>
      <c r="G406" s="8"/>
      <c r="I406" s="8"/>
      <c r="K406" s="8"/>
      <c r="M406" s="8"/>
      <c r="O406" s="8"/>
      <c r="Q406" s="8"/>
      <c r="S406" s="8"/>
      <c r="V406" s="8"/>
      <c r="X406" s="31"/>
      <c r="Y406" s="31" t="str">
        <f>IF($X406="","",SUMIFS(TARIFF_PROFILES!$D:$D,TARIFF_PROFILES!$A:$A,$X406))</f>
        <v/>
      </c>
      <c r="Z406" s="31" t="str">
        <f>IF($X406="","",SUMIFS(TARIFF_PROFILES!$E:$E,TARIFF_PROFILES!$A:$A,$X406))</f>
        <v/>
      </c>
      <c r="AA406" s="31" t="str">
        <f>IF($X406="","",SUMIFS(TARIFF_PROFILES!$F:$F,TARIFF_PROFILES!$A:$A,$X406))</f>
        <v/>
      </c>
      <c r="AB406" s="31" t="str">
        <f>IF($X406="","",SUMIFS(TARIFF_PROFILES!$G:$G,TARIFF_PROFILES!$A:$A,$X406))</f>
        <v/>
      </c>
      <c r="AC406" s="31" t="str">
        <f>IF($X406="","",SUMIFS(TARIFF_PROFILES!$H:$H,TARIFF_PROFILES!$A:$A,$X406))</f>
        <v/>
      </c>
      <c r="AD406" s="31" t="str">
        <f t="array" ref="AD406">IF($X406="","",INDEX(TARIFF_PROFILES!$J:$J,MATCH($X406,TARIFF_PROFILES!$A:$A,0)))</f>
        <v/>
      </c>
      <c r="AE406" s="31" t="str">
        <f t="array" ref="AE406">IF($X406="","",INDEX(TARIFF_PROFILES!$K:$K,MATCH($X406,TARIFF_PROFILES!$A:$A,0)))</f>
        <v/>
      </c>
      <c r="AG406" s="8"/>
      <c r="AH406" s="8" t="str">
        <f>IF($AG406="","",SUMIFS(OPERATING_COEFFS!$C:$C,OPERATING_COEFFS!$A:$A,"DistanceClass",OPERATING_COEFFS!$B:$B,$AG406))</f>
        <v/>
      </c>
      <c r="AI406" s="8"/>
      <c r="AJ406" s="8" t="str">
        <f>IF($AI406="","",SUMIFS(OPERATING_COEFFS!$C:$C,OPERATING_COEFFS!$A:$A,"SeasonClass",OPERATING_COEFFS!$B:$B,$AI406))</f>
        <v/>
      </c>
      <c r="AK406" s="8"/>
      <c r="AL406" s="8" t="str">
        <f>IF($AK406="","",SUMIFS(OPERATING_COEFFS!$C:$C,OPERATING_COEFFS!$A:$A,"UrgencyClass",OPERATING_COEFFS!$B:$B,$AK406))</f>
        <v/>
      </c>
      <c r="AM406" s="8"/>
      <c r="AN406" s="8" t="str">
        <f t="array" ref="AN406">IF($AM406="","",INDEX(TAX_MODES!$B:$B,MATCH($AM406,TAX_MODES!$A:$A,0)))</f>
        <v/>
      </c>
    </row>
    <row r="407" ht="14.25" customHeight="1">
      <c r="C407" s="8"/>
      <c r="E407" s="8"/>
      <c r="G407" s="8"/>
      <c r="I407" s="8"/>
      <c r="K407" s="8"/>
      <c r="M407" s="8"/>
      <c r="O407" s="8"/>
      <c r="Q407" s="8"/>
      <c r="S407" s="8"/>
      <c r="V407" s="8"/>
      <c r="X407" s="31"/>
      <c r="Y407" s="31" t="str">
        <f>IF($X407="","",SUMIFS(TARIFF_PROFILES!$D:$D,TARIFF_PROFILES!$A:$A,$X407))</f>
        <v/>
      </c>
      <c r="Z407" s="31" t="str">
        <f>IF($X407="","",SUMIFS(TARIFF_PROFILES!$E:$E,TARIFF_PROFILES!$A:$A,$X407))</f>
        <v/>
      </c>
      <c r="AA407" s="31" t="str">
        <f>IF($X407="","",SUMIFS(TARIFF_PROFILES!$F:$F,TARIFF_PROFILES!$A:$A,$X407))</f>
        <v/>
      </c>
      <c r="AB407" s="31" t="str">
        <f>IF($X407="","",SUMIFS(TARIFF_PROFILES!$G:$G,TARIFF_PROFILES!$A:$A,$X407))</f>
        <v/>
      </c>
      <c r="AC407" s="31" t="str">
        <f>IF($X407="","",SUMIFS(TARIFF_PROFILES!$H:$H,TARIFF_PROFILES!$A:$A,$X407))</f>
        <v/>
      </c>
      <c r="AD407" s="31" t="str">
        <f t="array" ref="AD407">IF($X407="","",INDEX(TARIFF_PROFILES!$J:$J,MATCH($X407,TARIFF_PROFILES!$A:$A,0)))</f>
        <v/>
      </c>
      <c r="AE407" s="31" t="str">
        <f t="array" ref="AE407">IF($X407="","",INDEX(TARIFF_PROFILES!$K:$K,MATCH($X407,TARIFF_PROFILES!$A:$A,0)))</f>
        <v/>
      </c>
      <c r="AG407" s="8"/>
      <c r="AH407" s="8" t="str">
        <f>IF($AG407="","",SUMIFS(OPERATING_COEFFS!$C:$C,OPERATING_COEFFS!$A:$A,"DistanceClass",OPERATING_COEFFS!$B:$B,$AG407))</f>
        <v/>
      </c>
      <c r="AI407" s="8"/>
      <c r="AJ407" s="8" t="str">
        <f>IF($AI407="","",SUMIFS(OPERATING_COEFFS!$C:$C,OPERATING_COEFFS!$A:$A,"SeasonClass",OPERATING_COEFFS!$B:$B,$AI407))</f>
        <v/>
      </c>
      <c r="AK407" s="8"/>
      <c r="AL407" s="8" t="str">
        <f>IF($AK407="","",SUMIFS(OPERATING_COEFFS!$C:$C,OPERATING_COEFFS!$A:$A,"UrgencyClass",OPERATING_COEFFS!$B:$B,$AK407))</f>
        <v/>
      </c>
      <c r="AM407" s="8"/>
      <c r="AN407" s="8" t="str">
        <f t="array" ref="AN407">IF($AM407="","",INDEX(TAX_MODES!$B:$B,MATCH($AM407,TAX_MODES!$A:$A,0)))</f>
        <v/>
      </c>
    </row>
    <row r="408" ht="14.25" customHeight="1">
      <c r="C408" s="8"/>
      <c r="E408" s="8"/>
      <c r="G408" s="8"/>
      <c r="I408" s="8"/>
      <c r="K408" s="8"/>
      <c r="M408" s="8"/>
      <c r="O408" s="8"/>
      <c r="Q408" s="8"/>
      <c r="S408" s="8"/>
      <c r="V408" s="8"/>
      <c r="X408" s="31"/>
      <c r="Y408" s="31" t="str">
        <f>IF($X408="","",SUMIFS(TARIFF_PROFILES!$D:$D,TARIFF_PROFILES!$A:$A,$X408))</f>
        <v/>
      </c>
      <c r="Z408" s="31" t="str">
        <f>IF($X408="","",SUMIFS(TARIFF_PROFILES!$E:$E,TARIFF_PROFILES!$A:$A,$X408))</f>
        <v/>
      </c>
      <c r="AA408" s="31" t="str">
        <f>IF($X408="","",SUMIFS(TARIFF_PROFILES!$F:$F,TARIFF_PROFILES!$A:$A,$X408))</f>
        <v/>
      </c>
      <c r="AB408" s="31" t="str">
        <f>IF($X408="","",SUMIFS(TARIFF_PROFILES!$G:$G,TARIFF_PROFILES!$A:$A,$X408))</f>
        <v/>
      </c>
      <c r="AC408" s="31" t="str">
        <f>IF($X408="","",SUMIFS(TARIFF_PROFILES!$H:$H,TARIFF_PROFILES!$A:$A,$X408))</f>
        <v/>
      </c>
      <c r="AD408" s="31" t="str">
        <f t="array" ref="AD408">IF($X408="","",INDEX(TARIFF_PROFILES!$J:$J,MATCH($X408,TARIFF_PROFILES!$A:$A,0)))</f>
        <v/>
      </c>
      <c r="AE408" s="31" t="str">
        <f t="array" ref="AE408">IF($X408="","",INDEX(TARIFF_PROFILES!$K:$K,MATCH($X408,TARIFF_PROFILES!$A:$A,0)))</f>
        <v/>
      </c>
      <c r="AG408" s="8"/>
      <c r="AH408" s="8" t="str">
        <f>IF($AG408="","",SUMIFS(OPERATING_COEFFS!$C:$C,OPERATING_COEFFS!$A:$A,"DistanceClass",OPERATING_COEFFS!$B:$B,$AG408))</f>
        <v/>
      </c>
      <c r="AI408" s="8"/>
      <c r="AJ408" s="8" t="str">
        <f>IF($AI408="","",SUMIFS(OPERATING_COEFFS!$C:$C,OPERATING_COEFFS!$A:$A,"SeasonClass",OPERATING_COEFFS!$B:$B,$AI408))</f>
        <v/>
      </c>
      <c r="AK408" s="8"/>
      <c r="AL408" s="8" t="str">
        <f>IF($AK408="","",SUMIFS(OPERATING_COEFFS!$C:$C,OPERATING_COEFFS!$A:$A,"UrgencyClass",OPERATING_COEFFS!$B:$B,$AK408))</f>
        <v/>
      </c>
      <c r="AM408" s="8"/>
      <c r="AN408" s="8" t="str">
        <f t="array" ref="AN408">IF($AM408="","",INDEX(TAX_MODES!$B:$B,MATCH($AM408,TAX_MODES!$A:$A,0)))</f>
        <v/>
      </c>
    </row>
    <row r="409" ht="14.25" customHeight="1">
      <c r="C409" s="8"/>
      <c r="E409" s="8"/>
      <c r="G409" s="8"/>
      <c r="I409" s="8"/>
      <c r="K409" s="8"/>
      <c r="M409" s="8"/>
      <c r="O409" s="8"/>
      <c r="Q409" s="8"/>
      <c r="S409" s="8"/>
      <c r="V409" s="8"/>
      <c r="X409" s="31"/>
      <c r="Y409" s="31" t="str">
        <f>IF($X409="","",SUMIFS(TARIFF_PROFILES!$D:$D,TARIFF_PROFILES!$A:$A,$X409))</f>
        <v/>
      </c>
      <c r="Z409" s="31" t="str">
        <f>IF($X409="","",SUMIFS(TARIFF_PROFILES!$E:$E,TARIFF_PROFILES!$A:$A,$X409))</f>
        <v/>
      </c>
      <c r="AA409" s="31" t="str">
        <f>IF($X409="","",SUMIFS(TARIFF_PROFILES!$F:$F,TARIFF_PROFILES!$A:$A,$X409))</f>
        <v/>
      </c>
      <c r="AB409" s="31" t="str">
        <f>IF($X409="","",SUMIFS(TARIFF_PROFILES!$G:$G,TARIFF_PROFILES!$A:$A,$X409))</f>
        <v/>
      </c>
      <c r="AC409" s="31" t="str">
        <f>IF($X409="","",SUMIFS(TARIFF_PROFILES!$H:$H,TARIFF_PROFILES!$A:$A,$X409))</f>
        <v/>
      </c>
      <c r="AD409" s="31" t="str">
        <f t="array" ref="AD409">IF($X409="","",INDEX(TARIFF_PROFILES!$J:$J,MATCH($X409,TARIFF_PROFILES!$A:$A,0)))</f>
        <v/>
      </c>
      <c r="AE409" s="31" t="str">
        <f t="array" ref="AE409">IF($X409="","",INDEX(TARIFF_PROFILES!$K:$K,MATCH($X409,TARIFF_PROFILES!$A:$A,0)))</f>
        <v/>
      </c>
      <c r="AG409" s="8"/>
      <c r="AH409" s="8" t="str">
        <f>IF($AG409="","",SUMIFS(OPERATING_COEFFS!$C:$C,OPERATING_COEFFS!$A:$A,"DistanceClass",OPERATING_COEFFS!$B:$B,$AG409))</f>
        <v/>
      </c>
      <c r="AI409" s="8"/>
      <c r="AJ409" s="8" t="str">
        <f>IF($AI409="","",SUMIFS(OPERATING_COEFFS!$C:$C,OPERATING_COEFFS!$A:$A,"SeasonClass",OPERATING_COEFFS!$B:$B,$AI409))</f>
        <v/>
      </c>
      <c r="AK409" s="8"/>
      <c r="AL409" s="8" t="str">
        <f>IF($AK409="","",SUMIFS(OPERATING_COEFFS!$C:$C,OPERATING_COEFFS!$A:$A,"UrgencyClass",OPERATING_COEFFS!$B:$B,$AK409))</f>
        <v/>
      </c>
      <c r="AM409" s="8"/>
      <c r="AN409" s="8" t="str">
        <f t="array" ref="AN409">IF($AM409="","",INDEX(TAX_MODES!$B:$B,MATCH($AM409,TAX_MODES!$A:$A,0)))</f>
        <v/>
      </c>
    </row>
    <row r="410" ht="14.25" customHeight="1">
      <c r="C410" s="8"/>
      <c r="E410" s="8"/>
      <c r="G410" s="8"/>
      <c r="I410" s="8"/>
      <c r="K410" s="8"/>
      <c r="M410" s="8"/>
      <c r="O410" s="8"/>
      <c r="Q410" s="8"/>
      <c r="S410" s="8"/>
      <c r="V410" s="8"/>
      <c r="X410" s="31"/>
      <c r="Y410" s="31" t="str">
        <f>IF($X410="","",SUMIFS(TARIFF_PROFILES!$D:$D,TARIFF_PROFILES!$A:$A,$X410))</f>
        <v/>
      </c>
      <c r="Z410" s="31" t="str">
        <f>IF($X410="","",SUMIFS(TARIFF_PROFILES!$E:$E,TARIFF_PROFILES!$A:$A,$X410))</f>
        <v/>
      </c>
      <c r="AA410" s="31" t="str">
        <f>IF($X410="","",SUMIFS(TARIFF_PROFILES!$F:$F,TARIFF_PROFILES!$A:$A,$X410))</f>
        <v/>
      </c>
      <c r="AB410" s="31" t="str">
        <f>IF($X410="","",SUMIFS(TARIFF_PROFILES!$G:$G,TARIFF_PROFILES!$A:$A,$X410))</f>
        <v/>
      </c>
      <c r="AC410" s="31" t="str">
        <f>IF($X410="","",SUMIFS(TARIFF_PROFILES!$H:$H,TARIFF_PROFILES!$A:$A,$X410))</f>
        <v/>
      </c>
      <c r="AD410" s="31" t="str">
        <f t="array" ref="AD410">IF($X410="","",INDEX(TARIFF_PROFILES!$J:$J,MATCH($X410,TARIFF_PROFILES!$A:$A,0)))</f>
        <v/>
      </c>
      <c r="AE410" s="31" t="str">
        <f t="array" ref="AE410">IF($X410="","",INDEX(TARIFF_PROFILES!$K:$K,MATCH($X410,TARIFF_PROFILES!$A:$A,0)))</f>
        <v/>
      </c>
      <c r="AG410" s="8"/>
      <c r="AH410" s="8" t="str">
        <f>IF($AG410="","",SUMIFS(OPERATING_COEFFS!$C:$C,OPERATING_COEFFS!$A:$A,"DistanceClass",OPERATING_COEFFS!$B:$B,$AG410))</f>
        <v/>
      </c>
      <c r="AI410" s="8"/>
      <c r="AJ410" s="8" t="str">
        <f>IF($AI410="","",SUMIFS(OPERATING_COEFFS!$C:$C,OPERATING_COEFFS!$A:$A,"SeasonClass",OPERATING_COEFFS!$B:$B,$AI410))</f>
        <v/>
      </c>
      <c r="AK410" s="8"/>
      <c r="AL410" s="8" t="str">
        <f>IF($AK410="","",SUMIFS(OPERATING_COEFFS!$C:$C,OPERATING_COEFFS!$A:$A,"UrgencyClass",OPERATING_COEFFS!$B:$B,$AK410))</f>
        <v/>
      </c>
      <c r="AM410" s="8"/>
      <c r="AN410" s="8" t="str">
        <f t="array" ref="AN410">IF($AM410="","",INDEX(TAX_MODES!$B:$B,MATCH($AM410,TAX_MODES!$A:$A,0)))</f>
        <v/>
      </c>
    </row>
    <row r="411" ht="14.25" customHeight="1">
      <c r="C411" s="8"/>
      <c r="E411" s="8"/>
      <c r="G411" s="8"/>
      <c r="I411" s="8"/>
      <c r="K411" s="8"/>
      <c r="M411" s="8"/>
      <c r="O411" s="8"/>
      <c r="Q411" s="8"/>
      <c r="S411" s="8"/>
      <c r="V411" s="8"/>
      <c r="X411" s="31"/>
      <c r="Y411" s="31" t="str">
        <f>IF($X411="","",SUMIFS(TARIFF_PROFILES!$D:$D,TARIFF_PROFILES!$A:$A,$X411))</f>
        <v/>
      </c>
      <c r="Z411" s="31" t="str">
        <f>IF($X411="","",SUMIFS(TARIFF_PROFILES!$E:$E,TARIFF_PROFILES!$A:$A,$X411))</f>
        <v/>
      </c>
      <c r="AA411" s="31" t="str">
        <f>IF($X411="","",SUMIFS(TARIFF_PROFILES!$F:$F,TARIFF_PROFILES!$A:$A,$X411))</f>
        <v/>
      </c>
      <c r="AB411" s="31" t="str">
        <f>IF($X411="","",SUMIFS(TARIFF_PROFILES!$G:$G,TARIFF_PROFILES!$A:$A,$X411))</f>
        <v/>
      </c>
      <c r="AC411" s="31" t="str">
        <f>IF($X411="","",SUMIFS(TARIFF_PROFILES!$H:$H,TARIFF_PROFILES!$A:$A,$X411))</f>
        <v/>
      </c>
      <c r="AD411" s="31" t="str">
        <f t="array" ref="AD411">IF($X411="","",INDEX(TARIFF_PROFILES!$J:$J,MATCH($X411,TARIFF_PROFILES!$A:$A,0)))</f>
        <v/>
      </c>
      <c r="AE411" s="31" t="str">
        <f t="array" ref="AE411">IF($X411="","",INDEX(TARIFF_PROFILES!$K:$K,MATCH($X411,TARIFF_PROFILES!$A:$A,0)))</f>
        <v/>
      </c>
      <c r="AG411" s="8"/>
      <c r="AH411" s="8" t="str">
        <f>IF($AG411="","",SUMIFS(OPERATING_COEFFS!$C:$C,OPERATING_COEFFS!$A:$A,"DistanceClass",OPERATING_COEFFS!$B:$B,$AG411))</f>
        <v/>
      </c>
      <c r="AI411" s="8"/>
      <c r="AJ411" s="8" t="str">
        <f>IF($AI411="","",SUMIFS(OPERATING_COEFFS!$C:$C,OPERATING_COEFFS!$A:$A,"SeasonClass",OPERATING_COEFFS!$B:$B,$AI411))</f>
        <v/>
      </c>
      <c r="AK411" s="8"/>
      <c r="AL411" s="8" t="str">
        <f>IF($AK411="","",SUMIFS(OPERATING_COEFFS!$C:$C,OPERATING_COEFFS!$A:$A,"UrgencyClass",OPERATING_COEFFS!$B:$B,$AK411))</f>
        <v/>
      </c>
      <c r="AM411" s="8"/>
      <c r="AN411" s="8" t="str">
        <f t="array" ref="AN411">IF($AM411="","",INDEX(TAX_MODES!$B:$B,MATCH($AM411,TAX_MODES!$A:$A,0)))</f>
        <v/>
      </c>
    </row>
    <row r="412" ht="14.25" customHeight="1">
      <c r="C412" s="8"/>
      <c r="E412" s="8"/>
      <c r="G412" s="8"/>
      <c r="I412" s="8"/>
      <c r="K412" s="8"/>
      <c r="M412" s="8"/>
      <c r="O412" s="8"/>
      <c r="Q412" s="8"/>
      <c r="S412" s="8"/>
      <c r="V412" s="8"/>
      <c r="X412" s="31"/>
      <c r="Y412" s="31" t="str">
        <f>IF($X412="","",SUMIFS(TARIFF_PROFILES!$D:$D,TARIFF_PROFILES!$A:$A,$X412))</f>
        <v/>
      </c>
      <c r="Z412" s="31" t="str">
        <f>IF($X412="","",SUMIFS(TARIFF_PROFILES!$E:$E,TARIFF_PROFILES!$A:$A,$X412))</f>
        <v/>
      </c>
      <c r="AA412" s="31" t="str">
        <f>IF($X412="","",SUMIFS(TARIFF_PROFILES!$F:$F,TARIFF_PROFILES!$A:$A,$X412))</f>
        <v/>
      </c>
      <c r="AB412" s="31" t="str">
        <f>IF($X412="","",SUMIFS(TARIFF_PROFILES!$G:$G,TARIFF_PROFILES!$A:$A,$X412))</f>
        <v/>
      </c>
      <c r="AC412" s="31" t="str">
        <f>IF($X412="","",SUMIFS(TARIFF_PROFILES!$H:$H,TARIFF_PROFILES!$A:$A,$X412))</f>
        <v/>
      </c>
      <c r="AD412" s="31" t="str">
        <f t="array" ref="AD412">IF($X412="","",INDEX(TARIFF_PROFILES!$J:$J,MATCH($X412,TARIFF_PROFILES!$A:$A,0)))</f>
        <v/>
      </c>
      <c r="AE412" s="31" t="str">
        <f t="array" ref="AE412">IF($X412="","",INDEX(TARIFF_PROFILES!$K:$K,MATCH($X412,TARIFF_PROFILES!$A:$A,0)))</f>
        <v/>
      </c>
      <c r="AG412" s="8"/>
      <c r="AH412" s="8" t="str">
        <f>IF($AG412="","",SUMIFS(OPERATING_COEFFS!$C:$C,OPERATING_COEFFS!$A:$A,"DistanceClass",OPERATING_COEFFS!$B:$B,$AG412))</f>
        <v/>
      </c>
      <c r="AI412" s="8"/>
      <c r="AJ412" s="8" t="str">
        <f>IF($AI412="","",SUMIFS(OPERATING_COEFFS!$C:$C,OPERATING_COEFFS!$A:$A,"SeasonClass",OPERATING_COEFFS!$B:$B,$AI412))</f>
        <v/>
      </c>
      <c r="AK412" s="8"/>
      <c r="AL412" s="8" t="str">
        <f>IF($AK412="","",SUMIFS(OPERATING_COEFFS!$C:$C,OPERATING_COEFFS!$A:$A,"UrgencyClass",OPERATING_COEFFS!$B:$B,$AK412))</f>
        <v/>
      </c>
      <c r="AM412" s="8"/>
      <c r="AN412" s="8" t="str">
        <f t="array" ref="AN412">IF($AM412="","",INDEX(TAX_MODES!$B:$B,MATCH($AM412,TAX_MODES!$A:$A,0)))</f>
        <v/>
      </c>
    </row>
    <row r="413" ht="14.25" customHeight="1">
      <c r="C413" s="8"/>
      <c r="E413" s="8"/>
      <c r="G413" s="8"/>
      <c r="I413" s="8"/>
      <c r="K413" s="8"/>
      <c r="M413" s="8"/>
      <c r="O413" s="8"/>
      <c r="Q413" s="8"/>
      <c r="S413" s="8"/>
      <c r="V413" s="8"/>
      <c r="X413" s="31"/>
      <c r="Y413" s="31" t="str">
        <f>IF($X413="","",SUMIFS(TARIFF_PROFILES!$D:$D,TARIFF_PROFILES!$A:$A,$X413))</f>
        <v/>
      </c>
      <c r="Z413" s="31" t="str">
        <f>IF($X413="","",SUMIFS(TARIFF_PROFILES!$E:$E,TARIFF_PROFILES!$A:$A,$X413))</f>
        <v/>
      </c>
      <c r="AA413" s="31" t="str">
        <f>IF($X413="","",SUMIFS(TARIFF_PROFILES!$F:$F,TARIFF_PROFILES!$A:$A,$X413))</f>
        <v/>
      </c>
      <c r="AB413" s="31" t="str">
        <f>IF($X413="","",SUMIFS(TARIFF_PROFILES!$G:$G,TARIFF_PROFILES!$A:$A,$X413))</f>
        <v/>
      </c>
      <c r="AC413" s="31" t="str">
        <f>IF($X413="","",SUMIFS(TARIFF_PROFILES!$H:$H,TARIFF_PROFILES!$A:$A,$X413))</f>
        <v/>
      </c>
      <c r="AD413" s="31" t="str">
        <f t="array" ref="AD413">IF($X413="","",INDEX(TARIFF_PROFILES!$J:$J,MATCH($X413,TARIFF_PROFILES!$A:$A,0)))</f>
        <v/>
      </c>
      <c r="AE413" s="31" t="str">
        <f t="array" ref="AE413">IF($X413="","",INDEX(TARIFF_PROFILES!$K:$K,MATCH($X413,TARIFF_PROFILES!$A:$A,0)))</f>
        <v/>
      </c>
      <c r="AG413" s="8"/>
      <c r="AH413" s="8" t="str">
        <f>IF($AG413="","",SUMIFS(OPERATING_COEFFS!$C:$C,OPERATING_COEFFS!$A:$A,"DistanceClass",OPERATING_COEFFS!$B:$B,$AG413))</f>
        <v/>
      </c>
      <c r="AI413" s="8"/>
      <c r="AJ413" s="8" t="str">
        <f>IF($AI413="","",SUMIFS(OPERATING_COEFFS!$C:$C,OPERATING_COEFFS!$A:$A,"SeasonClass",OPERATING_COEFFS!$B:$B,$AI413))</f>
        <v/>
      </c>
      <c r="AK413" s="8"/>
      <c r="AL413" s="8" t="str">
        <f>IF($AK413="","",SUMIFS(OPERATING_COEFFS!$C:$C,OPERATING_COEFFS!$A:$A,"UrgencyClass",OPERATING_COEFFS!$B:$B,$AK413))</f>
        <v/>
      </c>
      <c r="AM413" s="8"/>
      <c r="AN413" s="8" t="str">
        <f t="array" ref="AN413">IF($AM413="","",INDEX(TAX_MODES!$B:$B,MATCH($AM413,TAX_MODES!$A:$A,0)))</f>
        <v/>
      </c>
    </row>
    <row r="414" ht="14.25" customHeight="1">
      <c r="C414" s="8"/>
      <c r="E414" s="8"/>
      <c r="G414" s="8"/>
      <c r="I414" s="8"/>
      <c r="K414" s="8"/>
      <c r="M414" s="8"/>
      <c r="O414" s="8"/>
      <c r="Q414" s="8"/>
      <c r="S414" s="8"/>
      <c r="V414" s="8"/>
      <c r="X414" s="31"/>
      <c r="Y414" s="31" t="str">
        <f>IF($X414="","",SUMIFS(TARIFF_PROFILES!$D:$D,TARIFF_PROFILES!$A:$A,$X414))</f>
        <v/>
      </c>
      <c r="Z414" s="31" t="str">
        <f>IF($X414="","",SUMIFS(TARIFF_PROFILES!$E:$E,TARIFF_PROFILES!$A:$A,$X414))</f>
        <v/>
      </c>
      <c r="AA414" s="31" t="str">
        <f>IF($X414="","",SUMIFS(TARIFF_PROFILES!$F:$F,TARIFF_PROFILES!$A:$A,$X414))</f>
        <v/>
      </c>
      <c r="AB414" s="31" t="str">
        <f>IF($X414="","",SUMIFS(TARIFF_PROFILES!$G:$G,TARIFF_PROFILES!$A:$A,$X414))</f>
        <v/>
      </c>
      <c r="AC414" s="31" t="str">
        <f>IF($X414="","",SUMIFS(TARIFF_PROFILES!$H:$H,TARIFF_PROFILES!$A:$A,$X414))</f>
        <v/>
      </c>
      <c r="AD414" s="31" t="str">
        <f t="array" ref="AD414">IF($X414="","",INDEX(TARIFF_PROFILES!$J:$J,MATCH($X414,TARIFF_PROFILES!$A:$A,0)))</f>
        <v/>
      </c>
      <c r="AE414" s="31" t="str">
        <f t="array" ref="AE414">IF($X414="","",INDEX(TARIFF_PROFILES!$K:$K,MATCH($X414,TARIFF_PROFILES!$A:$A,0)))</f>
        <v/>
      </c>
      <c r="AG414" s="8"/>
      <c r="AH414" s="8" t="str">
        <f>IF($AG414="","",SUMIFS(OPERATING_COEFFS!$C:$C,OPERATING_COEFFS!$A:$A,"DistanceClass",OPERATING_COEFFS!$B:$B,$AG414))</f>
        <v/>
      </c>
      <c r="AI414" s="8"/>
      <c r="AJ414" s="8" t="str">
        <f>IF($AI414="","",SUMIFS(OPERATING_COEFFS!$C:$C,OPERATING_COEFFS!$A:$A,"SeasonClass",OPERATING_COEFFS!$B:$B,$AI414))</f>
        <v/>
      </c>
      <c r="AK414" s="8"/>
      <c r="AL414" s="8" t="str">
        <f>IF($AK414="","",SUMIFS(OPERATING_COEFFS!$C:$C,OPERATING_COEFFS!$A:$A,"UrgencyClass",OPERATING_COEFFS!$B:$B,$AK414))</f>
        <v/>
      </c>
      <c r="AM414" s="8"/>
      <c r="AN414" s="8" t="str">
        <f t="array" ref="AN414">IF($AM414="","",INDEX(TAX_MODES!$B:$B,MATCH($AM414,TAX_MODES!$A:$A,0)))</f>
        <v/>
      </c>
    </row>
    <row r="415" ht="14.25" customHeight="1">
      <c r="C415" s="8"/>
      <c r="E415" s="8"/>
      <c r="G415" s="8"/>
      <c r="I415" s="8"/>
      <c r="K415" s="8"/>
      <c r="M415" s="8"/>
      <c r="O415" s="8"/>
      <c r="Q415" s="8"/>
      <c r="S415" s="8"/>
      <c r="V415" s="8"/>
      <c r="X415" s="31"/>
      <c r="Y415" s="31" t="str">
        <f>IF($X415="","",SUMIFS(TARIFF_PROFILES!$D:$D,TARIFF_PROFILES!$A:$A,$X415))</f>
        <v/>
      </c>
      <c r="Z415" s="31" t="str">
        <f>IF($X415="","",SUMIFS(TARIFF_PROFILES!$E:$E,TARIFF_PROFILES!$A:$A,$X415))</f>
        <v/>
      </c>
      <c r="AA415" s="31" t="str">
        <f>IF($X415="","",SUMIFS(TARIFF_PROFILES!$F:$F,TARIFF_PROFILES!$A:$A,$X415))</f>
        <v/>
      </c>
      <c r="AB415" s="31" t="str">
        <f>IF($X415="","",SUMIFS(TARIFF_PROFILES!$G:$G,TARIFF_PROFILES!$A:$A,$X415))</f>
        <v/>
      </c>
      <c r="AC415" s="31" t="str">
        <f>IF($X415="","",SUMIFS(TARIFF_PROFILES!$H:$H,TARIFF_PROFILES!$A:$A,$X415))</f>
        <v/>
      </c>
      <c r="AD415" s="31" t="str">
        <f t="array" ref="AD415">IF($X415="","",INDEX(TARIFF_PROFILES!$J:$J,MATCH($X415,TARIFF_PROFILES!$A:$A,0)))</f>
        <v/>
      </c>
      <c r="AE415" s="31" t="str">
        <f t="array" ref="AE415">IF($X415="","",INDEX(TARIFF_PROFILES!$K:$K,MATCH($X415,TARIFF_PROFILES!$A:$A,0)))</f>
        <v/>
      </c>
      <c r="AG415" s="8"/>
      <c r="AH415" s="8" t="str">
        <f>IF($AG415="","",SUMIFS(OPERATING_COEFFS!$C:$C,OPERATING_COEFFS!$A:$A,"DistanceClass",OPERATING_COEFFS!$B:$B,$AG415))</f>
        <v/>
      </c>
      <c r="AI415" s="8"/>
      <c r="AJ415" s="8" t="str">
        <f>IF($AI415="","",SUMIFS(OPERATING_COEFFS!$C:$C,OPERATING_COEFFS!$A:$A,"SeasonClass",OPERATING_COEFFS!$B:$B,$AI415))</f>
        <v/>
      </c>
      <c r="AK415" s="8"/>
      <c r="AL415" s="8" t="str">
        <f>IF($AK415="","",SUMIFS(OPERATING_COEFFS!$C:$C,OPERATING_COEFFS!$A:$A,"UrgencyClass",OPERATING_COEFFS!$B:$B,$AK415))</f>
        <v/>
      </c>
      <c r="AM415" s="8"/>
      <c r="AN415" s="8" t="str">
        <f t="array" ref="AN415">IF($AM415="","",INDEX(TAX_MODES!$B:$B,MATCH($AM415,TAX_MODES!$A:$A,0)))</f>
        <v/>
      </c>
    </row>
    <row r="416" ht="14.25" customHeight="1">
      <c r="C416" s="8"/>
      <c r="E416" s="8"/>
      <c r="G416" s="8"/>
      <c r="I416" s="8"/>
      <c r="K416" s="8"/>
      <c r="M416" s="8"/>
      <c r="O416" s="8"/>
      <c r="Q416" s="8"/>
      <c r="S416" s="8"/>
      <c r="V416" s="8"/>
      <c r="X416" s="31"/>
      <c r="Y416" s="31" t="str">
        <f>IF($X416="","",SUMIFS(TARIFF_PROFILES!$D:$D,TARIFF_PROFILES!$A:$A,$X416))</f>
        <v/>
      </c>
      <c r="Z416" s="31" t="str">
        <f>IF($X416="","",SUMIFS(TARIFF_PROFILES!$E:$E,TARIFF_PROFILES!$A:$A,$X416))</f>
        <v/>
      </c>
      <c r="AA416" s="31" t="str">
        <f>IF($X416="","",SUMIFS(TARIFF_PROFILES!$F:$F,TARIFF_PROFILES!$A:$A,$X416))</f>
        <v/>
      </c>
      <c r="AB416" s="31" t="str">
        <f>IF($X416="","",SUMIFS(TARIFF_PROFILES!$G:$G,TARIFF_PROFILES!$A:$A,$X416))</f>
        <v/>
      </c>
      <c r="AC416" s="31" t="str">
        <f>IF($X416="","",SUMIFS(TARIFF_PROFILES!$H:$H,TARIFF_PROFILES!$A:$A,$X416))</f>
        <v/>
      </c>
      <c r="AD416" s="31" t="str">
        <f t="array" ref="AD416">IF($X416="","",INDEX(TARIFF_PROFILES!$J:$J,MATCH($X416,TARIFF_PROFILES!$A:$A,0)))</f>
        <v/>
      </c>
      <c r="AE416" s="31" t="str">
        <f t="array" ref="AE416">IF($X416="","",INDEX(TARIFF_PROFILES!$K:$K,MATCH($X416,TARIFF_PROFILES!$A:$A,0)))</f>
        <v/>
      </c>
      <c r="AG416" s="8"/>
      <c r="AH416" s="8" t="str">
        <f>IF($AG416="","",SUMIFS(OPERATING_COEFFS!$C:$C,OPERATING_COEFFS!$A:$A,"DistanceClass",OPERATING_COEFFS!$B:$B,$AG416))</f>
        <v/>
      </c>
      <c r="AI416" s="8"/>
      <c r="AJ416" s="8" t="str">
        <f>IF($AI416="","",SUMIFS(OPERATING_COEFFS!$C:$C,OPERATING_COEFFS!$A:$A,"SeasonClass",OPERATING_COEFFS!$B:$B,$AI416))</f>
        <v/>
      </c>
      <c r="AK416" s="8"/>
      <c r="AL416" s="8" t="str">
        <f>IF($AK416="","",SUMIFS(OPERATING_COEFFS!$C:$C,OPERATING_COEFFS!$A:$A,"UrgencyClass",OPERATING_COEFFS!$B:$B,$AK416))</f>
        <v/>
      </c>
      <c r="AM416" s="8"/>
      <c r="AN416" s="8" t="str">
        <f t="array" ref="AN416">IF($AM416="","",INDEX(TAX_MODES!$B:$B,MATCH($AM416,TAX_MODES!$A:$A,0)))</f>
        <v/>
      </c>
    </row>
    <row r="417" ht="14.25" customHeight="1">
      <c r="C417" s="8"/>
      <c r="E417" s="8"/>
      <c r="G417" s="8"/>
      <c r="I417" s="8"/>
      <c r="K417" s="8"/>
      <c r="M417" s="8"/>
      <c r="O417" s="8"/>
      <c r="Q417" s="8"/>
      <c r="S417" s="8"/>
      <c r="V417" s="8"/>
      <c r="X417" s="31"/>
      <c r="Y417" s="31" t="str">
        <f>IF($X417="","",SUMIFS(TARIFF_PROFILES!$D:$D,TARIFF_PROFILES!$A:$A,$X417))</f>
        <v/>
      </c>
      <c r="Z417" s="31" t="str">
        <f>IF($X417="","",SUMIFS(TARIFF_PROFILES!$E:$E,TARIFF_PROFILES!$A:$A,$X417))</f>
        <v/>
      </c>
      <c r="AA417" s="31" t="str">
        <f>IF($X417="","",SUMIFS(TARIFF_PROFILES!$F:$F,TARIFF_PROFILES!$A:$A,$X417))</f>
        <v/>
      </c>
      <c r="AB417" s="31" t="str">
        <f>IF($X417="","",SUMIFS(TARIFF_PROFILES!$G:$G,TARIFF_PROFILES!$A:$A,$X417))</f>
        <v/>
      </c>
      <c r="AC417" s="31" t="str">
        <f>IF($X417="","",SUMIFS(TARIFF_PROFILES!$H:$H,TARIFF_PROFILES!$A:$A,$X417))</f>
        <v/>
      </c>
      <c r="AD417" s="31" t="str">
        <f t="array" ref="AD417">IF($X417="","",INDEX(TARIFF_PROFILES!$J:$J,MATCH($X417,TARIFF_PROFILES!$A:$A,0)))</f>
        <v/>
      </c>
      <c r="AE417" s="31" t="str">
        <f t="array" ref="AE417">IF($X417="","",INDEX(TARIFF_PROFILES!$K:$K,MATCH($X417,TARIFF_PROFILES!$A:$A,0)))</f>
        <v/>
      </c>
      <c r="AG417" s="8"/>
      <c r="AH417" s="8" t="str">
        <f>IF($AG417="","",SUMIFS(OPERATING_COEFFS!$C:$C,OPERATING_COEFFS!$A:$A,"DistanceClass",OPERATING_COEFFS!$B:$B,$AG417))</f>
        <v/>
      </c>
      <c r="AI417" s="8"/>
      <c r="AJ417" s="8" t="str">
        <f>IF($AI417="","",SUMIFS(OPERATING_COEFFS!$C:$C,OPERATING_COEFFS!$A:$A,"SeasonClass",OPERATING_COEFFS!$B:$B,$AI417))</f>
        <v/>
      </c>
      <c r="AK417" s="8"/>
      <c r="AL417" s="8" t="str">
        <f>IF($AK417="","",SUMIFS(OPERATING_COEFFS!$C:$C,OPERATING_COEFFS!$A:$A,"UrgencyClass",OPERATING_COEFFS!$B:$B,$AK417))</f>
        <v/>
      </c>
      <c r="AM417" s="8"/>
      <c r="AN417" s="8" t="str">
        <f t="array" ref="AN417">IF($AM417="","",INDEX(TAX_MODES!$B:$B,MATCH($AM417,TAX_MODES!$A:$A,0)))</f>
        <v/>
      </c>
    </row>
    <row r="418" ht="14.25" customHeight="1">
      <c r="C418" s="8"/>
      <c r="E418" s="8"/>
      <c r="G418" s="8"/>
      <c r="I418" s="8"/>
      <c r="K418" s="8"/>
      <c r="M418" s="8"/>
      <c r="O418" s="8"/>
      <c r="Q418" s="8"/>
      <c r="S418" s="8"/>
      <c r="V418" s="8"/>
      <c r="X418" s="31"/>
      <c r="Y418" s="31" t="str">
        <f>IF($X418="","",SUMIFS(TARIFF_PROFILES!$D:$D,TARIFF_PROFILES!$A:$A,$X418))</f>
        <v/>
      </c>
      <c r="Z418" s="31" t="str">
        <f>IF($X418="","",SUMIFS(TARIFF_PROFILES!$E:$E,TARIFF_PROFILES!$A:$A,$X418))</f>
        <v/>
      </c>
      <c r="AA418" s="31" t="str">
        <f>IF($X418="","",SUMIFS(TARIFF_PROFILES!$F:$F,TARIFF_PROFILES!$A:$A,$X418))</f>
        <v/>
      </c>
      <c r="AB418" s="31" t="str">
        <f>IF($X418="","",SUMIFS(TARIFF_PROFILES!$G:$G,TARIFF_PROFILES!$A:$A,$X418))</f>
        <v/>
      </c>
      <c r="AC418" s="31" t="str">
        <f>IF($X418="","",SUMIFS(TARIFF_PROFILES!$H:$H,TARIFF_PROFILES!$A:$A,$X418))</f>
        <v/>
      </c>
      <c r="AD418" s="31" t="str">
        <f t="array" ref="AD418">IF($X418="","",INDEX(TARIFF_PROFILES!$J:$J,MATCH($X418,TARIFF_PROFILES!$A:$A,0)))</f>
        <v/>
      </c>
      <c r="AE418" s="31" t="str">
        <f t="array" ref="AE418">IF($X418="","",INDEX(TARIFF_PROFILES!$K:$K,MATCH($X418,TARIFF_PROFILES!$A:$A,0)))</f>
        <v/>
      </c>
      <c r="AG418" s="8"/>
      <c r="AH418" s="8" t="str">
        <f>IF($AG418="","",SUMIFS(OPERATING_COEFFS!$C:$C,OPERATING_COEFFS!$A:$A,"DistanceClass",OPERATING_COEFFS!$B:$B,$AG418))</f>
        <v/>
      </c>
      <c r="AI418" s="8"/>
      <c r="AJ418" s="8" t="str">
        <f>IF($AI418="","",SUMIFS(OPERATING_COEFFS!$C:$C,OPERATING_COEFFS!$A:$A,"SeasonClass",OPERATING_COEFFS!$B:$B,$AI418))</f>
        <v/>
      </c>
      <c r="AK418" s="8"/>
      <c r="AL418" s="8" t="str">
        <f>IF($AK418="","",SUMIFS(OPERATING_COEFFS!$C:$C,OPERATING_COEFFS!$A:$A,"UrgencyClass",OPERATING_COEFFS!$B:$B,$AK418))</f>
        <v/>
      </c>
      <c r="AM418" s="8"/>
      <c r="AN418" s="8" t="str">
        <f t="array" ref="AN418">IF($AM418="","",INDEX(TAX_MODES!$B:$B,MATCH($AM418,TAX_MODES!$A:$A,0)))</f>
        <v/>
      </c>
    </row>
    <row r="419" ht="14.25" customHeight="1">
      <c r="C419" s="8"/>
      <c r="E419" s="8"/>
      <c r="G419" s="8"/>
      <c r="I419" s="8"/>
      <c r="K419" s="8"/>
      <c r="M419" s="8"/>
      <c r="O419" s="8"/>
      <c r="Q419" s="8"/>
      <c r="S419" s="8"/>
      <c r="V419" s="8"/>
      <c r="X419" s="31"/>
      <c r="Y419" s="31" t="str">
        <f>IF($X419="","",SUMIFS(TARIFF_PROFILES!$D:$D,TARIFF_PROFILES!$A:$A,$X419))</f>
        <v/>
      </c>
      <c r="Z419" s="31" t="str">
        <f>IF($X419="","",SUMIFS(TARIFF_PROFILES!$E:$E,TARIFF_PROFILES!$A:$A,$X419))</f>
        <v/>
      </c>
      <c r="AA419" s="31" t="str">
        <f>IF($X419="","",SUMIFS(TARIFF_PROFILES!$F:$F,TARIFF_PROFILES!$A:$A,$X419))</f>
        <v/>
      </c>
      <c r="AB419" s="31" t="str">
        <f>IF($X419="","",SUMIFS(TARIFF_PROFILES!$G:$G,TARIFF_PROFILES!$A:$A,$X419))</f>
        <v/>
      </c>
      <c r="AC419" s="31" t="str">
        <f>IF($X419="","",SUMIFS(TARIFF_PROFILES!$H:$H,TARIFF_PROFILES!$A:$A,$X419))</f>
        <v/>
      </c>
      <c r="AD419" s="31" t="str">
        <f t="array" ref="AD419">IF($X419="","",INDEX(TARIFF_PROFILES!$J:$J,MATCH($X419,TARIFF_PROFILES!$A:$A,0)))</f>
        <v/>
      </c>
      <c r="AE419" s="31" t="str">
        <f t="array" ref="AE419">IF($X419="","",INDEX(TARIFF_PROFILES!$K:$K,MATCH($X419,TARIFF_PROFILES!$A:$A,0)))</f>
        <v/>
      </c>
      <c r="AG419" s="8"/>
      <c r="AH419" s="8" t="str">
        <f>IF($AG419="","",SUMIFS(OPERATING_COEFFS!$C:$C,OPERATING_COEFFS!$A:$A,"DistanceClass",OPERATING_COEFFS!$B:$B,$AG419))</f>
        <v/>
      </c>
      <c r="AI419" s="8"/>
      <c r="AJ419" s="8" t="str">
        <f>IF($AI419="","",SUMIFS(OPERATING_COEFFS!$C:$C,OPERATING_COEFFS!$A:$A,"SeasonClass",OPERATING_COEFFS!$B:$B,$AI419))</f>
        <v/>
      </c>
      <c r="AK419" s="8"/>
      <c r="AL419" s="8" t="str">
        <f>IF($AK419="","",SUMIFS(OPERATING_COEFFS!$C:$C,OPERATING_COEFFS!$A:$A,"UrgencyClass",OPERATING_COEFFS!$B:$B,$AK419))</f>
        <v/>
      </c>
      <c r="AM419" s="8"/>
      <c r="AN419" s="8" t="str">
        <f t="array" ref="AN419">IF($AM419="","",INDEX(TAX_MODES!$B:$B,MATCH($AM419,TAX_MODES!$A:$A,0)))</f>
        <v/>
      </c>
    </row>
    <row r="420" ht="14.25" customHeight="1">
      <c r="C420" s="8"/>
      <c r="E420" s="8"/>
      <c r="G420" s="8"/>
      <c r="I420" s="8"/>
      <c r="K420" s="8"/>
      <c r="M420" s="8"/>
      <c r="O420" s="8"/>
      <c r="Q420" s="8"/>
      <c r="S420" s="8"/>
      <c r="V420" s="8"/>
      <c r="X420" s="31"/>
      <c r="Y420" s="31" t="str">
        <f>IF($X420="","",SUMIFS(TARIFF_PROFILES!$D:$D,TARIFF_PROFILES!$A:$A,$X420))</f>
        <v/>
      </c>
      <c r="Z420" s="31" t="str">
        <f>IF($X420="","",SUMIFS(TARIFF_PROFILES!$E:$E,TARIFF_PROFILES!$A:$A,$X420))</f>
        <v/>
      </c>
      <c r="AA420" s="31" t="str">
        <f>IF($X420="","",SUMIFS(TARIFF_PROFILES!$F:$F,TARIFF_PROFILES!$A:$A,$X420))</f>
        <v/>
      </c>
      <c r="AB420" s="31" t="str">
        <f>IF($X420="","",SUMIFS(TARIFF_PROFILES!$G:$G,TARIFF_PROFILES!$A:$A,$X420))</f>
        <v/>
      </c>
      <c r="AC420" s="31" t="str">
        <f>IF($X420="","",SUMIFS(TARIFF_PROFILES!$H:$H,TARIFF_PROFILES!$A:$A,$X420))</f>
        <v/>
      </c>
      <c r="AD420" s="31" t="str">
        <f t="array" ref="AD420">IF($X420="","",INDEX(TARIFF_PROFILES!$J:$J,MATCH($X420,TARIFF_PROFILES!$A:$A,0)))</f>
        <v/>
      </c>
      <c r="AE420" s="31" t="str">
        <f t="array" ref="AE420">IF($X420="","",INDEX(TARIFF_PROFILES!$K:$K,MATCH($X420,TARIFF_PROFILES!$A:$A,0)))</f>
        <v/>
      </c>
      <c r="AG420" s="8"/>
      <c r="AH420" s="8" t="str">
        <f>IF($AG420="","",SUMIFS(OPERATING_COEFFS!$C:$C,OPERATING_COEFFS!$A:$A,"DistanceClass",OPERATING_COEFFS!$B:$B,$AG420))</f>
        <v/>
      </c>
      <c r="AI420" s="8"/>
      <c r="AJ420" s="8" t="str">
        <f>IF($AI420="","",SUMIFS(OPERATING_COEFFS!$C:$C,OPERATING_COEFFS!$A:$A,"SeasonClass",OPERATING_COEFFS!$B:$B,$AI420))</f>
        <v/>
      </c>
      <c r="AK420" s="8"/>
      <c r="AL420" s="8" t="str">
        <f>IF($AK420="","",SUMIFS(OPERATING_COEFFS!$C:$C,OPERATING_COEFFS!$A:$A,"UrgencyClass",OPERATING_COEFFS!$B:$B,$AK420))</f>
        <v/>
      </c>
      <c r="AM420" s="8"/>
      <c r="AN420" s="8" t="str">
        <f t="array" ref="AN420">IF($AM420="","",INDEX(TAX_MODES!$B:$B,MATCH($AM420,TAX_MODES!$A:$A,0)))</f>
        <v/>
      </c>
    </row>
    <row r="421" ht="14.25" customHeight="1">
      <c r="C421" s="8"/>
      <c r="E421" s="8"/>
      <c r="G421" s="8"/>
      <c r="I421" s="8"/>
      <c r="K421" s="8"/>
      <c r="M421" s="8"/>
      <c r="O421" s="8"/>
      <c r="Q421" s="8"/>
      <c r="S421" s="8"/>
      <c r="V421" s="8"/>
      <c r="X421" s="31"/>
      <c r="Y421" s="31" t="str">
        <f>IF($X421="","",SUMIFS(TARIFF_PROFILES!$D:$D,TARIFF_PROFILES!$A:$A,$X421))</f>
        <v/>
      </c>
      <c r="Z421" s="31" t="str">
        <f>IF($X421="","",SUMIFS(TARIFF_PROFILES!$E:$E,TARIFF_PROFILES!$A:$A,$X421))</f>
        <v/>
      </c>
      <c r="AA421" s="31" t="str">
        <f>IF($X421="","",SUMIFS(TARIFF_PROFILES!$F:$F,TARIFF_PROFILES!$A:$A,$X421))</f>
        <v/>
      </c>
      <c r="AB421" s="31" t="str">
        <f>IF($X421="","",SUMIFS(TARIFF_PROFILES!$G:$G,TARIFF_PROFILES!$A:$A,$X421))</f>
        <v/>
      </c>
      <c r="AC421" s="31" t="str">
        <f>IF($X421="","",SUMIFS(TARIFF_PROFILES!$H:$H,TARIFF_PROFILES!$A:$A,$X421))</f>
        <v/>
      </c>
      <c r="AD421" s="31" t="str">
        <f t="array" ref="AD421">IF($X421="","",INDEX(TARIFF_PROFILES!$J:$J,MATCH($X421,TARIFF_PROFILES!$A:$A,0)))</f>
        <v/>
      </c>
      <c r="AE421" s="31" t="str">
        <f t="array" ref="AE421">IF($X421="","",INDEX(TARIFF_PROFILES!$K:$K,MATCH($X421,TARIFF_PROFILES!$A:$A,0)))</f>
        <v/>
      </c>
      <c r="AG421" s="8"/>
      <c r="AH421" s="8" t="str">
        <f>IF($AG421="","",SUMIFS(OPERATING_COEFFS!$C:$C,OPERATING_COEFFS!$A:$A,"DistanceClass",OPERATING_COEFFS!$B:$B,$AG421))</f>
        <v/>
      </c>
      <c r="AI421" s="8"/>
      <c r="AJ421" s="8" t="str">
        <f>IF($AI421="","",SUMIFS(OPERATING_COEFFS!$C:$C,OPERATING_COEFFS!$A:$A,"SeasonClass",OPERATING_COEFFS!$B:$B,$AI421))</f>
        <v/>
      </c>
      <c r="AK421" s="8"/>
      <c r="AL421" s="8" t="str">
        <f>IF($AK421="","",SUMIFS(OPERATING_COEFFS!$C:$C,OPERATING_COEFFS!$A:$A,"UrgencyClass",OPERATING_COEFFS!$B:$B,$AK421))</f>
        <v/>
      </c>
      <c r="AM421" s="8"/>
      <c r="AN421" s="8" t="str">
        <f t="array" ref="AN421">IF($AM421="","",INDEX(TAX_MODES!$B:$B,MATCH($AM421,TAX_MODES!$A:$A,0)))</f>
        <v/>
      </c>
    </row>
    <row r="422" ht="14.25" customHeight="1">
      <c r="C422" s="8"/>
      <c r="E422" s="8"/>
      <c r="G422" s="8"/>
      <c r="I422" s="8"/>
      <c r="K422" s="8"/>
      <c r="M422" s="8"/>
      <c r="O422" s="8"/>
      <c r="Q422" s="8"/>
      <c r="S422" s="8"/>
      <c r="V422" s="8"/>
      <c r="X422" s="31"/>
      <c r="Y422" s="31" t="str">
        <f>IF($X422="","",SUMIFS(TARIFF_PROFILES!$D:$D,TARIFF_PROFILES!$A:$A,$X422))</f>
        <v/>
      </c>
      <c r="Z422" s="31" t="str">
        <f>IF($X422="","",SUMIFS(TARIFF_PROFILES!$E:$E,TARIFF_PROFILES!$A:$A,$X422))</f>
        <v/>
      </c>
      <c r="AA422" s="31" t="str">
        <f>IF($X422="","",SUMIFS(TARIFF_PROFILES!$F:$F,TARIFF_PROFILES!$A:$A,$X422))</f>
        <v/>
      </c>
      <c r="AB422" s="31" t="str">
        <f>IF($X422="","",SUMIFS(TARIFF_PROFILES!$G:$G,TARIFF_PROFILES!$A:$A,$X422))</f>
        <v/>
      </c>
      <c r="AC422" s="31" t="str">
        <f>IF($X422="","",SUMIFS(TARIFF_PROFILES!$H:$H,TARIFF_PROFILES!$A:$A,$X422))</f>
        <v/>
      </c>
      <c r="AD422" s="31" t="str">
        <f t="array" ref="AD422">IF($X422="","",INDEX(TARIFF_PROFILES!$J:$J,MATCH($X422,TARIFF_PROFILES!$A:$A,0)))</f>
        <v/>
      </c>
      <c r="AE422" s="31" t="str">
        <f t="array" ref="AE422">IF($X422="","",INDEX(TARIFF_PROFILES!$K:$K,MATCH($X422,TARIFF_PROFILES!$A:$A,0)))</f>
        <v/>
      </c>
      <c r="AG422" s="8"/>
      <c r="AH422" s="8" t="str">
        <f>IF($AG422="","",SUMIFS(OPERATING_COEFFS!$C:$C,OPERATING_COEFFS!$A:$A,"DistanceClass",OPERATING_COEFFS!$B:$B,$AG422))</f>
        <v/>
      </c>
      <c r="AI422" s="8"/>
      <c r="AJ422" s="8" t="str">
        <f>IF($AI422="","",SUMIFS(OPERATING_COEFFS!$C:$C,OPERATING_COEFFS!$A:$A,"SeasonClass",OPERATING_COEFFS!$B:$B,$AI422))</f>
        <v/>
      </c>
      <c r="AK422" s="8"/>
      <c r="AL422" s="8" t="str">
        <f>IF($AK422="","",SUMIFS(OPERATING_COEFFS!$C:$C,OPERATING_COEFFS!$A:$A,"UrgencyClass",OPERATING_COEFFS!$B:$B,$AK422))</f>
        <v/>
      </c>
      <c r="AM422" s="8"/>
      <c r="AN422" s="8" t="str">
        <f t="array" ref="AN422">IF($AM422="","",INDEX(TAX_MODES!$B:$B,MATCH($AM422,TAX_MODES!$A:$A,0)))</f>
        <v/>
      </c>
    </row>
    <row r="423" ht="14.25" customHeight="1">
      <c r="C423" s="8"/>
      <c r="E423" s="8"/>
      <c r="G423" s="8"/>
      <c r="I423" s="8"/>
      <c r="K423" s="8"/>
      <c r="M423" s="8"/>
      <c r="O423" s="8"/>
      <c r="Q423" s="8"/>
      <c r="S423" s="8"/>
      <c r="V423" s="8"/>
      <c r="X423" s="31"/>
      <c r="Y423" s="31" t="str">
        <f>IF($X423="","",SUMIFS(TARIFF_PROFILES!$D:$D,TARIFF_PROFILES!$A:$A,$X423))</f>
        <v/>
      </c>
      <c r="Z423" s="31" t="str">
        <f>IF($X423="","",SUMIFS(TARIFF_PROFILES!$E:$E,TARIFF_PROFILES!$A:$A,$X423))</f>
        <v/>
      </c>
      <c r="AA423" s="31" t="str">
        <f>IF($X423="","",SUMIFS(TARIFF_PROFILES!$F:$F,TARIFF_PROFILES!$A:$A,$X423))</f>
        <v/>
      </c>
      <c r="AB423" s="31" t="str">
        <f>IF($X423="","",SUMIFS(TARIFF_PROFILES!$G:$G,TARIFF_PROFILES!$A:$A,$X423))</f>
        <v/>
      </c>
      <c r="AC423" s="31" t="str">
        <f>IF($X423="","",SUMIFS(TARIFF_PROFILES!$H:$H,TARIFF_PROFILES!$A:$A,$X423))</f>
        <v/>
      </c>
      <c r="AD423" s="31" t="str">
        <f t="array" ref="AD423">IF($X423="","",INDEX(TARIFF_PROFILES!$J:$J,MATCH($X423,TARIFF_PROFILES!$A:$A,0)))</f>
        <v/>
      </c>
      <c r="AE423" s="31" t="str">
        <f t="array" ref="AE423">IF($X423="","",INDEX(TARIFF_PROFILES!$K:$K,MATCH($X423,TARIFF_PROFILES!$A:$A,0)))</f>
        <v/>
      </c>
      <c r="AG423" s="8"/>
      <c r="AH423" s="8" t="str">
        <f>IF($AG423="","",SUMIFS(OPERATING_COEFFS!$C:$C,OPERATING_COEFFS!$A:$A,"DistanceClass",OPERATING_COEFFS!$B:$B,$AG423))</f>
        <v/>
      </c>
      <c r="AI423" s="8"/>
      <c r="AJ423" s="8" t="str">
        <f>IF($AI423="","",SUMIFS(OPERATING_COEFFS!$C:$C,OPERATING_COEFFS!$A:$A,"SeasonClass",OPERATING_COEFFS!$B:$B,$AI423))</f>
        <v/>
      </c>
      <c r="AK423" s="8"/>
      <c r="AL423" s="8" t="str">
        <f>IF($AK423="","",SUMIFS(OPERATING_COEFFS!$C:$C,OPERATING_COEFFS!$A:$A,"UrgencyClass",OPERATING_COEFFS!$B:$B,$AK423))</f>
        <v/>
      </c>
      <c r="AM423" s="8"/>
      <c r="AN423" s="8" t="str">
        <f t="array" ref="AN423">IF($AM423="","",INDEX(TAX_MODES!$B:$B,MATCH($AM423,TAX_MODES!$A:$A,0)))</f>
        <v/>
      </c>
    </row>
    <row r="424" ht="14.25" customHeight="1">
      <c r="C424" s="8"/>
      <c r="E424" s="8"/>
      <c r="G424" s="8"/>
      <c r="I424" s="8"/>
      <c r="K424" s="8"/>
      <c r="M424" s="8"/>
      <c r="O424" s="8"/>
      <c r="Q424" s="8"/>
      <c r="S424" s="8"/>
      <c r="V424" s="8"/>
      <c r="X424" s="31"/>
      <c r="Y424" s="31" t="str">
        <f>IF($X424="","",SUMIFS(TARIFF_PROFILES!$D:$D,TARIFF_PROFILES!$A:$A,$X424))</f>
        <v/>
      </c>
      <c r="Z424" s="31" t="str">
        <f>IF($X424="","",SUMIFS(TARIFF_PROFILES!$E:$E,TARIFF_PROFILES!$A:$A,$X424))</f>
        <v/>
      </c>
      <c r="AA424" s="31" t="str">
        <f>IF($X424="","",SUMIFS(TARIFF_PROFILES!$F:$F,TARIFF_PROFILES!$A:$A,$X424))</f>
        <v/>
      </c>
      <c r="AB424" s="31" t="str">
        <f>IF($X424="","",SUMIFS(TARIFF_PROFILES!$G:$G,TARIFF_PROFILES!$A:$A,$X424))</f>
        <v/>
      </c>
      <c r="AC424" s="31" t="str">
        <f>IF($X424="","",SUMIFS(TARIFF_PROFILES!$H:$H,TARIFF_PROFILES!$A:$A,$X424))</f>
        <v/>
      </c>
      <c r="AD424" s="31" t="str">
        <f t="array" ref="AD424">IF($X424="","",INDEX(TARIFF_PROFILES!$J:$J,MATCH($X424,TARIFF_PROFILES!$A:$A,0)))</f>
        <v/>
      </c>
      <c r="AE424" s="31" t="str">
        <f t="array" ref="AE424">IF($X424="","",INDEX(TARIFF_PROFILES!$K:$K,MATCH($X424,TARIFF_PROFILES!$A:$A,0)))</f>
        <v/>
      </c>
      <c r="AG424" s="8"/>
      <c r="AH424" s="8" t="str">
        <f>IF($AG424="","",SUMIFS(OPERATING_COEFFS!$C:$C,OPERATING_COEFFS!$A:$A,"DistanceClass",OPERATING_COEFFS!$B:$B,$AG424))</f>
        <v/>
      </c>
      <c r="AI424" s="8"/>
      <c r="AJ424" s="8" t="str">
        <f>IF($AI424="","",SUMIFS(OPERATING_COEFFS!$C:$C,OPERATING_COEFFS!$A:$A,"SeasonClass",OPERATING_COEFFS!$B:$B,$AI424))</f>
        <v/>
      </c>
      <c r="AK424" s="8"/>
      <c r="AL424" s="8" t="str">
        <f>IF($AK424="","",SUMIFS(OPERATING_COEFFS!$C:$C,OPERATING_COEFFS!$A:$A,"UrgencyClass",OPERATING_COEFFS!$B:$B,$AK424))</f>
        <v/>
      </c>
      <c r="AM424" s="8"/>
      <c r="AN424" s="8" t="str">
        <f t="array" ref="AN424">IF($AM424="","",INDEX(TAX_MODES!$B:$B,MATCH($AM424,TAX_MODES!$A:$A,0)))</f>
        <v/>
      </c>
    </row>
    <row r="425" ht="14.25" customHeight="1">
      <c r="C425" s="8"/>
      <c r="E425" s="8"/>
      <c r="G425" s="8"/>
      <c r="I425" s="8"/>
      <c r="K425" s="8"/>
      <c r="M425" s="8"/>
      <c r="O425" s="8"/>
      <c r="Q425" s="8"/>
      <c r="S425" s="8"/>
      <c r="V425" s="8"/>
      <c r="X425" s="31"/>
      <c r="Y425" s="31" t="str">
        <f>IF($X425="","",SUMIFS(TARIFF_PROFILES!$D:$D,TARIFF_PROFILES!$A:$A,$X425))</f>
        <v/>
      </c>
      <c r="Z425" s="31" t="str">
        <f>IF($X425="","",SUMIFS(TARIFF_PROFILES!$E:$E,TARIFF_PROFILES!$A:$A,$X425))</f>
        <v/>
      </c>
      <c r="AA425" s="31" t="str">
        <f>IF($X425="","",SUMIFS(TARIFF_PROFILES!$F:$F,TARIFF_PROFILES!$A:$A,$X425))</f>
        <v/>
      </c>
      <c r="AB425" s="31" t="str">
        <f>IF($X425="","",SUMIFS(TARIFF_PROFILES!$G:$G,TARIFF_PROFILES!$A:$A,$X425))</f>
        <v/>
      </c>
      <c r="AC425" s="31" t="str">
        <f>IF($X425="","",SUMIFS(TARIFF_PROFILES!$H:$H,TARIFF_PROFILES!$A:$A,$X425))</f>
        <v/>
      </c>
      <c r="AD425" s="31" t="str">
        <f t="array" ref="AD425">IF($X425="","",INDEX(TARIFF_PROFILES!$J:$J,MATCH($X425,TARIFF_PROFILES!$A:$A,0)))</f>
        <v/>
      </c>
      <c r="AE425" s="31" t="str">
        <f t="array" ref="AE425">IF($X425="","",INDEX(TARIFF_PROFILES!$K:$K,MATCH($X425,TARIFF_PROFILES!$A:$A,0)))</f>
        <v/>
      </c>
      <c r="AG425" s="8"/>
      <c r="AH425" s="8" t="str">
        <f>IF($AG425="","",SUMIFS(OPERATING_COEFFS!$C:$C,OPERATING_COEFFS!$A:$A,"DistanceClass",OPERATING_COEFFS!$B:$B,$AG425))</f>
        <v/>
      </c>
      <c r="AI425" s="8"/>
      <c r="AJ425" s="8" t="str">
        <f>IF($AI425="","",SUMIFS(OPERATING_COEFFS!$C:$C,OPERATING_COEFFS!$A:$A,"SeasonClass",OPERATING_COEFFS!$B:$B,$AI425))</f>
        <v/>
      </c>
      <c r="AK425" s="8"/>
      <c r="AL425" s="8" t="str">
        <f>IF($AK425="","",SUMIFS(OPERATING_COEFFS!$C:$C,OPERATING_COEFFS!$A:$A,"UrgencyClass",OPERATING_COEFFS!$B:$B,$AK425))</f>
        <v/>
      </c>
      <c r="AM425" s="8"/>
      <c r="AN425" s="8" t="str">
        <f t="array" ref="AN425">IF($AM425="","",INDEX(TAX_MODES!$B:$B,MATCH($AM425,TAX_MODES!$A:$A,0)))</f>
        <v/>
      </c>
    </row>
    <row r="426" ht="14.25" customHeight="1">
      <c r="C426" s="8"/>
      <c r="E426" s="8"/>
      <c r="G426" s="8"/>
      <c r="I426" s="8"/>
      <c r="K426" s="8"/>
      <c r="M426" s="8"/>
      <c r="O426" s="8"/>
      <c r="Q426" s="8"/>
      <c r="S426" s="8"/>
      <c r="V426" s="8"/>
      <c r="X426" s="31"/>
      <c r="Y426" s="31" t="str">
        <f>IF($X426="","",SUMIFS(TARIFF_PROFILES!$D:$D,TARIFF_PROFILES!$A:$A,$X426))</f>
        <v/>
      </c>
      <c r="Z426" s="31" t="str">
        <f>IF($X426="","",SUMIFS(TARIFF_PROFILES!$E:$E,TARIFF_PROFILES!$A:$A,$X426))</f>
        <v/>
      </c>
      <c r="AA426" s="31" t="str">
        <f>IF($X426="","",SUMIFS(TARIFF_PROFILES!$F:$F,TARIFF_PROFILES!$A:$A,$X426))</f>
        <v/>
      </c>
      <c r="AB426" s="31" t="str">
        <f>IF($X426="","",SUMIFS(TARIFF_PROFILES!$G:$G,TARIFF_PROFILES!$A:$A,$X426))</f>
        <v/>
      </c>
      <c r="AC426" s="31" t="str">
        <f>IF($X426="","",SUMIFS(TARIFF_PROFILES!$H:$H,TARIFF_PROFILES!$A:$A,$X426))</f>
        <v/>
      </c>
      <c r="AD426" s="31" t="str">
        <f t="array" ref="AD426">IF($X426="","",INDEX(TARIFF_PROFILES!$J:$J,MATCH($X426,TARIFF_PROFILES!$A:$A,0)))</f>
        <v/>
      </c>
      <c r="AE426" s="31" t="str">
        <f t="array" ref="AE426">IF($X426="","",INDEX(TARIFF_PROFILES!$K:$K,MATCH($X426,TARIFF_PROFILES!$A:$A,0)))</f>
        <v/>
      </c>
      <c r="AG426" s="8"/>
      <c r="AH426" s="8" t="str">
        <f>IF($AG426="","",SUMIFS(OPERATING_COEFFS!$C:$C,OPERATING_COEFFS!$A:$A,"DistanceClass",OPERATING_COEFFS!$B:$B,$AG426))</f>
        <v/>
      </c>
      <c r="AI426" s="8"/>
      <c r="AJ426" s="8" t="str">
        <f>IF($AI426="","",SUMIFS(OPERATING_COEFFS!$C:$C,OPERATING_COEFFS!$A:$A,"SeasonClass",OPERATING_COEFFS!$B:$B,$AI426))</f>
        <v/>
      </c>
      <c r="AK426" s="8"/>
      <c r="AL426" s="8" t="str">
        <f>IF($AK426="","",SUMIFS(OPERATING_COEFFS!$C:$C,OPERATING_COEFFS!$A:$A,"UrgencyClass",OPERATING_COEFFS!$B:$B,$AK426))</f>
        <v/>
      </c>
      <c r="AM426" s="8"/>
      <c r="AN426" s="8" t="str">
        <f t="array" ref="AN426">IF($AM426="","",INDEX(TAX_MODES!$B:$B,MATCH($AM426,TAX_MODES!$A:$A,0)))</f>
        <v/>
      </c>
    </row>
    <row r="427" ht="14.25" customHeight="1">
      <c r="C427" s="8"/>
      <c r="E427" s="8"/>
      <c r="G427" s="8"/>
      <c r="I427" s="8"/>
      <c r="K427" s="8"/>
      <c r="M427" s="8"/>
      <c r="O427" s="8"/>
      <c r="Q427" s="8"/>
      <c r="S427" s="8"/>
      <c r="V427" s="8"/>
      <c r="X427" s="31"/>
      <c r="Y427" s="31" t="str">
        <f>IF($X427="","",SUMIFS(TARIFF_PROFILES!$D:$D,TARIFF_PROFILES!$A:$A,$X427))</f>
        <v/>
      </c>
      <c r="Z427" s="31" t="str">
        <f>IF($X427="","",SUMIFS(TARIFF_PROFILES!$E:$E,TARIFF_PROFILES!$A:$A,$X427))</f>
        <v/>
      </c>
      <c r="AA427" s="31" t="str">
        <f>IF($X427="","",SUMIFS(TARIFF_PROFILES!$F:$F,TARIFF_PROFILES!$A:$A,$X427))</f>
        <v/>
      </c>
      <c r="AB427" s="31" t="str">
        <f>IF($X427="","",SUMIFS(TARIFF_PROFILES!$G:$G,TARIFF_PROFILES!$A:$A,$X427))</f>
        <v/>
      </c>
      <c r="AC427" s="31" t="str">
        <f>IF($X427="","",SUMIFS(TARIFF_PROFILES!$H:$H,TARIFF_PROFILES!$A:$A,$X427))</f>
        <v/>
      </c>
      <c r="AD427" s="31" t="str">
        <f t="array" ref="AD427">IF($X427="","",INDEX(TARIFF_PROFILES!$J:$J,MATCH($X427,TARIFF_PROFILES!$A:$A,0)))</f>
        <v/>
      </c>
      <c r="AE427" s="31" t="str">
        <f t="array" ref="AE427">IF($X427="","",INDEX(TARIFF_PROFILES!$K:$K,MATCH($X427,TARIFF_PROFILES!$A:$A,0)))</f>
        <v/>
      </c>
      <c r="AG427" s="8"/>
      <c r="AH427" s="8" t="str">
        <f>IF($AG427="","",SUMIFS(OPERATING_COEFFS!$C:$C,OPERATING_COEFFS!$A:$A,"DistanceClass",OPERATING_COEFFS!$B:$B,$AG427))</f>
        <v/>
      </c>
      <c r="AI427" s="8"/>
      <c r="AJ427" s="8" t="str">
        <f>IF($AI427="","",SUMIFS(OPERATING_COEFFS!$C:$C,OPERATING_COEFFS!$A:$A,"SeasonClass",OPERATING_COEFFS!$B:$B,$AI427))</f>
        <v/>
      </c>
      <c r="AK427" s="8"/>
      <c r="AL427" s="8" t="str">
        <f>IF($AK427="","",SUMIFS(OPERATING_COEFFS!$C:$C,OPERATING_COEFFS!$A:$A,"UrgencyClass",OPERATING_COEFFS!$B:$B,$AK427))</f>
        <v/>
      </c>
      <c r="AM427" s="8"/>
      <c r="AN427" s="8" t="str">
        <f t="array" ref="AN427">IF($AM427="","",INDEX(TAX_MODES!$B:$B,MATCH($AM427,TAX_MODES!$A:$A,0)))</f>
        <v/>
      </c>
    </row>
    <row r="428" ht="14.25" customHeight="1">
      <c r="C428" s="8"/>
      <c r="E428" s="8"/>
      <c r="G428" s="8"/>
      <c r="I428" s="8"/>
      <c r="K428" s="8"/>
      <c r="M428" s="8"/>
      <c r="O428" s="8"/>
      <c r="Q428" s="8"/>
      <c r="S428" s="8"/>
      <c r="V428" s="8"/>
      <c r="X428" s="31"/>
      <c r="Y428" s="31" t="str">
        <f>IF($X428="","",SUMIFS(TARIFF_PROFILES!$D:$D,TARIFF_PROFILES!$A:$A,$X428))</f>
        <v/>
      </c>
      <c r="Z428" s="31" t="str">
        <f>IF($X428="","",SUMIFS(TARIFF_PROFILES!$E:$E,TARIFF_PROFILES!$A:$A,$X428))</f>
        <v/>
      </c>
      <c r="AA428" s="31" t="str">
        <f>IF($X428="","",SUMIFS(TARIFF_PROFILES!$F:$F,TARIFF_PROFILES!$A:$A,$X428))</f>
        <v/>
      </c>
      <c r="AB428" s="31" t="str">
        <f>IF($X428="","",SUMIFS(TARIFF_PROFILES!$G:$G,TARIFF_PROFILES!$A:$A,$X428))</f>
        <v/>
      </c>
      <c r="AC428" s="31" t="str">
        <f>IF($X428="","",SUMIFS(TARIFF_PROFILES!$H:$H,TARIFF_PROFILES!$A:$A,$X428))</f>
        <v/>
      </c>
      <c r="AD428" s="31" t="str">
        <f t="array" ref="AD428">IF($X428="","",INDEX(TARIFF_PROFILES!$J:$J,MATCH($X428,TARIFF_PROFILES!$A:$A,0)))</f>
        <v/>
      </c>
      <c r="AE428" s="31" t="str">
        <f t="array" ref="AE428">IF($X428="","",INDEX(TARIFF_PROFILES!$K:$K,MATCH($X428,TARIFF_PROFILES!$A:$A,0)))</f>
        <v/>
      </c>
      <c r="AG428" s="8"/>
      <c r="AH428" s="8" t="str">
        <f>IF($AG428="","",SUMIFS(OPERATING_COEFFS!$C:$C,OPERATING_COEFFS!$A:$A,"DistanceClass",OPERATING_COEFFS!$B:$B,$AG428))</f>
        <v/>
      </c>
      <c r="AI428" s="8"/>
      <c r="AJ428" s="8" t="str">
        <f>IF($AI428="","",SUMIFS(OPERATING_COEFFS!$C:$C,OPERATING_COEFFS!$A:$A,"SeasonClass",OPERATING_COEFFS!$B:$B,$AI428))</f>
        <v/>
      </c>
      <c r="AK428" s="8"/>
      <c r="AL428" s="8" t="str">
        <f>IF($AK428="","",SUMIFS(OPERATING_COEFFS!$C:$C,OPERATING_COEFFS!$A:$A,"UrgencyClass",OPERATING_COEFFS!$B:$B,$AK428))</f>
        <v/>
      </c>
      <c r="AM428" s="8"/>
      <c r="AN428" s="8" t="str">
        <f t="array" ref="AN428">IF($AM428="","",INDEX(TAX_MODES!$B:$B,MATCH($AM428,TAX_MODES!$A:$A,0)))</f>
        <v/>
      </c>
    </row>
    <row r="429" ht="14.25" customHeight="1">
      <c r="C429" s="8"/>
      <c r="E429" s="8"/>
      <c r="G429" s="8"/>
      <c r="I429" s="8"/>
      <c r="K429" s="8"/>
      <c r="M429" s="8"/>
      <c r="O429" s="8"/>
      <c r="Q429" s="8"/>
      <c r="S429" s="8"/>
      <c r="V429" s="8"/>
      <c r="X429" s="31"/>
      <c r="Y429" s="31" t="str">
        <f>IF($X429="","",SUMIFS(TARIFF_PROFILES!$D:$D,TARIFF_PROFILES!$A:$A,$X429))</f>
        <v/>
      </c>
      <c r="Z429" s="31" t="str">
        <f>IF($X429="","",SUMIFS(TARIFF_PROFILES!$E:$E,TARIFF_PROFILES!$A:$A,$X429))</f>
        <v/>
      </c>
      <c r="AA429" s="31" t="str">
        <f>IF($X429="","",SUMIFS(TARIFF_PROFILES!$F:$F,TARIFF_PROFILES!$A:$A,$X429))</f>
        <v/>
      </c>
      <c r="AB429" s="31" t="str">
        <f>IF($X429="","",SUMIFS(TARIFF_PROFILES!$G:$G,TARIFF_PROFILES!$A:$A,$X429))</f>
        <v/>
      </c>
      <c r="AC429" s="31" t="str">
        <f>IF($X429="","",SUMIFS(TARIFF_PROFILES!$H:$H,TARIFF_PROFILES!$A:$A,$X429))</f>
        <v/>
      </c>
      <c r="AD429" s="31" t="str">
        <f t="array" ref="AD429">IF($X429="","",INDEX(TARIFF_PROFILES!$J:$J,MATCH($X429,TARIFF_PROFILES!$A:$A,0)))</f>
        <v/>
      </c>
      <c r="AE429" s="31" t="str">
        <f t="array" ref="AE429">IF($X429="","",INDEX(TARIFF_PROFILES!$K:$K,MATCH($X429,TARIFF_PROFILES!$A:$A,0)))</f>
        <v/>
      </c>
      <c r="AG429" s="8"/>
      <c r="AH429" s="8" t="str">
        <f>IF($AG429="","",SUMIFS(OPERATING_COEFFS!$C:$C,OPERATING_COEFFS!$A:$A,"DistanceClass",OPERATING_COEFFS!$B:$B,$AG429))</f>
        <v/>
      </c>
      <c r="AI429" s="8"/>
      <c r="AJ429" s="8" t="str">
        <f>IF($AI429="","",SUMIFS(OPERATING_COEFFS!$C:$C,OPERATING_COEFFS!$A:$A,"SeasonClass",OPERATING_COEFFS!$B:$B,$AI429))</f>
        <v/>
      </c>
      <c r="AK429" s="8"/>
      <c r="AL429" s="8" t="str">
        <f>IF($AK429="","",SUMIFS(OPERATING_COEFFS!$C:$C,OPERATING_COEFFS!$A:$A,"UrgencyClass",OPERATING_COEFFS!$B:$B,$AK429))</f>
        <v/>
      </c>
      <c r="AM429" s="8"/>
      <c r="AN429" s="8" t="str">
        <f t="array" ref="AN429">IF($AM429="","",INDEX(TAX_MODES!$B:$B,MATCH($AM429,TAX_MODES!$A:$A,0)))</f>
        <v/>
      </c>
    </row>
    <row r="430" ht="14.25" customHeight="1">
      <c r="C430" s="8"/>
      <c r="E430" s="8"/>
      <c r="G430" s="8"/>
      <c r="I430" s="8"/>
      <c r="K430" s="8"/>
      <c r="M430" s="8"/>
      <c r="O430" s="8"/>
      <c r="Q430" s="8"/>
      <c r="S430" s="8"/>
      <c r="V430" s="8"/>
      <c r="X430" s="31"/>
      <c r="Y430" s="31" t="str">
        <f>IF($X430="","",SUMIFS(TARIFF_PROFILES!$D:$D,TARIFF_PROFILES!$A:$A,$X430))</f>
        <v/>
      </c>
      <c r="Z430" s="31" t="str">
        <f>IF($X430="","",SUMIFS(TARIFF_PROFILES!$E:$E,TARIFF_PROFILES!$A:$A,$X430))</f>
        <v/>
      </c>
      <c r="AA430" s="31" t="str">
        <f>IF($X430="","",SUMIFS(TARIFF_PROFILES!$F:$F,TARIFF_PROFILES!$A:$A,$X430))</f>
        <v/>
      </c>
      <c r="AB430" s="31" t="str">
        <f>IF($X430="","",SUMIFS(TARIFF_PROFILES!$G:$G,TARIFF_PROFILES!$A:$A,$X430))</f>
        <v/>
      </c>
      <c r="AC430" s="31" t="str">
        <f>IF($X430="","",SUMIFS(TARIFF_PROFILES!$H:$H,TARIFF_PROFILES!$A:$A,$X430))</f>
        <v/>
      </c>
      <c r="AD430" s="31" t="str">
        <f t="array" ref="AD430">IF($X430="","",INDEX(TARIFF_PROFILES!$J:$J,MATCH($X430,TARIFF_PROFILES!$A:$A,0)))</f>
        <v/>
      </c>
      <c r="AE430" s="31" t="str">
        <f t="array" ref="AE430">IF($X430="","",INDEX(TARIFF_PROFILES!$K:$K,MATCH($X430,TARIFF_PROFILES!$A:$A,0)))</f>
        <v/>
      </c>
      <c r="AG430" s="8"/>
      <c r="AH430" s="8" t="str">
        <f>IF($AG430="","",SUMIFS(OPERATING_COEFFS!$C:$C,OPERATING_COEFFS!$A:$A,"DistanceClass",OPERATING_COEFFS!$B:$B,$AG430))</f>
        <v/>
      </c>
      <c r="AI430" s="8"/>
      <c r="AJ430" s="8" t="str">
        <f>IF($AI430="","",SUMIFS(OPERATING_COEFFS!$C:$C,OPERATING_COEFFS!$A:$A,"SeasonClass",OPERATING_COEFFS!$B:$B,$AI430))</f>
        <v/>
      </c>
      <c r="AK430" s="8"/>
      <c r="AL430" s="8" t="str">
        <f>IF($AK430="","",SUMIFS(OPERATING_COEFFS!$C:$C,OPERATING_COEFFS!$A:$A,"UrgencyClass",OPERATING_COEFFS!$B:$B,$AK430))</f>
        <v/>
      </c>
      <c r="AM430" s="8"/>
      <c r="AN430" s="8" t="str">
        <f t="array" ref="AN430">IF($AM430="","",INDEX(TAX_MODES!$B:$B,MATCH($AM430,TAX_MODES!$A:$A,0)))</f>
        <v/>
      </c>
    </row>
    <row r="431" ht="14.25" customHeight="1">
      <c r="C431" s="8"/>
      <c r="E431" s="8"/>
      <c r="G431" s="8"/>
      <c r="I431" s="8"/>
      <c r="K431" s="8"/>
      <c r="M431" s="8"/>
      <c r="O431" s="8"/>
      <c r="Q431" s="8"/>
      <c r="S431" s="8"/>
      <c r="V431" s="8"/>
      <c r="X431" s="31"/>
      <c r="Y431" s="31" t="str">
        <f>IF($X431="","",SUMIFS(TARIFF_PROFILES!$D:$D,TARIFF_PROFILES!$A:$A,$X431))</f>
        <v/>
      </c>
      <c r="Z431" s="31" t="str">
        <f>IF($X431="","",SUMIFS(TARIFF_PROFILES!$E:$E,TARIFF_PROFILES!$A:$A,$X431))</f>
        <v/>
      </c>
      <c r="AA431" s="31" t="str">
        <f>IF($X431="","",SUMIFS(TARIFF_PROFILES!$F:$F,TARIFF_PROFILES!$A:$A,$X431))</f>
        <v/>
      </c>
      <c r="AB431" s="31" t="str">
        <f>IF($X431="","",SUMIFS(TARIFF_PROFILES!$G:$G,TARIFF_PROFILES!$A:$A,$X431))</f>
        <v/>
      </c>
      <c r="AC431" s="31" t="str">
        <f>IF($X431="","",SUMIFS(TARIFF_PROFILES!$H:$H,TARIFF_PROFILES!$A:$A,$X431))</f>
        <v/>
      </c>
      <c r="AD431" s="31" t="str">
        <f t="array" ref="AD431">IF($X431="","",INDEX(TARIFF_PROFILES!$J:$J,MATCH($X431,TARIFF_PROFILES!$A:$A,0)))</f>
        <v/>
      </c>
      <c r="AE431" s="31" t="str">
        <f t="array" ref="AE431">IF($X431="","",INDEX(TARIFF_PROFILES!$K:$K,MATCH($X431,TARIFF_PROFILES!$A:$A,0)))</f>
        <v/>
      </c>
      <c r="AG431" s="8"/>
      <c r="AH431" s="8" t="str">
        <f>IF($AG431="","",SUMIFS(OPERATING_COEFFS!$C:$C,OPERATING_COEFFS!$A:$A,"DistanceClass",OPERATING_COEFFS!$B:$B,$AG431))</f>
        <v/>
      </c>
      <c r="AI431" s="8"/>
      <c r="AJ431" s="8" t="str">
        <f>IF($AI431="","",SUMIFS(OPERATING_COEFFS!$C:$C,OPERATING_COEFFS!$A:$A,"SeasonClass",OPERATING_COEFFS!$B:$B,$AI431))</f>
        <v/>
      </c>
      <c r="AK431" s="8"/>
      <c r="AL431" s="8" t="str">
        <f>IF($AK431="","",SUMIFS(OPERATING_COEFFS!$C:$C,OPERATING_COEFFS!$A:$A,"UrgencyClass",OPERATING_COEFFS!$B:$B,$AK431))</f>
        <v/>
      </c>
      <c r="AM431" s="8"/>
      <c r="AN431" s="8" t="str">
        <f t="array" ref="AN431">IF($AM431="","",INDEX(TAX_MODES!$B:$B,MATCH($AM431,TAX_MODES!$A:$A,0)))</f>
        <v/>
      </c>
    </row>
    <row r="432" ht="14.25" customHeight="1">
      <c r="C432" s="8"/>
      <c r="E432" s="8"/>
      <c r="G432" s="8"/>
      <c r="I432" s="8"/>
      <c r="K432" s="8"/>
      <c r="M432" s="8"/>
      <c r="O432" s="8"/>
      <c r="Q432" s="8"/>
      <c r="S432" s="8"/>
      <c r="V432" s="8"/>
      <c r="X432" s="31"/>
      <c r="Y432" s="31" t="str">
        <f>IF($X432="","",SUMIFS(TARIFF_PROFILES!$D:$D,TARIFF_PROFILES!$A:$A,$X432))</f>
        <v/>
      </c>
      <c r="Z432" s="31" t="str">
        <f>IF($X432="","",SUMIFS(TARIFF_PROFILES!$E:$E,TARIFF_PROFILES!$A:$A,$X432))</f>
        <v/>
      </c>
      <c r="AA432" s="31" t="str">
        <f>IF($X432="","",SUMIFS(TARIFF_PROFILES!$F:$F,TARIFF_PROFILES!$A:$A,$X432))</f>
        <v/>
      </c>
      <c r="AB432" s="31" t="str">
        <f>IF($X432="","",SUMIFS(TARIFF_PROFILES!$G:$G,TARIFF_PROFILES!$A:$A,$X432))</f>
        <v/>
      </c>
      <c r="AC432" s="31" t="str">
        <f>IF($X432="","",SUMIFS(TARIFF_PROFILES!$H:$H,TARIFF_PROFILES!$A:$A,$X432))</f>
        <v/>
      </c>
      <c r="AD432" s="31" t="str">
        <f t="array" ref="AD432">IF($X432="","",INDEX(TARIFF_PROFILES!$J:$J,MATCH($X432,TARIFF_PROFILES!$A:$A,0)))</f>
        <v/>
      </c>
      <c r="AE432" s="31" t="str">
        <f t="array" ref="AE432">IF($X432="","",INDEX(TARIFF_PROFILES!$K:$K,MATCH($X432,TARIFF_PROFILES!$A:$A,0)))</f>
        <v/>
      </c>
      <c r="AG432" s="8"/>
      <c r="AH432" s="8" t="str">
        <f>IF($AG432="","",SUMIFS(OPERATING_COEFFS!$C:$C,OPERATING_COEFFS!$A:$A,"DistanceClass",OPERATING_COEFFS!$B:$B,$AG432))</f>
        <v/>
      </c>
      <c r="AI432" s="8"/>
      <c r="AJ432" s="8" t="str">
        <f>IF($AI432="","",SUMIFS(OPERATING_COEFFS!$C:$C,OPERATING_COEFFS!$A:$A,"SeasonClass",OPERATING_COEFFS!$B:$B,$AI432))</f>
        <v/>
      </c>
      <c r="AK432" s="8"/>
      <c r="AL432" s="8" t="str">
        <f>IF($AK432="","",SUMIFS(OPERATING_COEFFS!$C:$C,OPERATING_COEFFS!$A:$A,"UrgencyClass",OPERATING_COEFFS!$B:$B,$AK432))</f>
        <v/>
      </c>
      <c r="AM432" s="8"/>
      <c r="AN432" s="8" t="str">
        <f t="array" ref="AN432">IF($AM432="","",INDEX(TAX_MODES!$B:$B,MATCH($AM432,TAX_MODES!$A:$A,0)))</f>
        <v/>
      </c>
    </row>
    <row r="433" ht="14.25" customHeight="1">
      <c r="C433" s="8"/>
      <c r="E433" s="8"/>
      <c r="G433" s="8"/>
      <c r="I433" s="8"/>
      <c r="K433" s="8"/>
      <c r="M433" s="8"/>
      <c r="O433" s="8"/>
      <c r="Q433" s="8"/>
      <c r="S433" s="8"/>
      <c r="V433" s="8"/>
      <c r="X433" s="31"/>
      <c r="Y433" s="31" t="str">
        <f>IF($X433="","",SUMIFS(TARIFF_PROFILES!$D:$D,TARIFF_PROFILES!$A:$A,$X433))</f>
        <v/>
      </c>
      <c r="Z433" s="31" t="str">
        <f>IF($X433="","",SUMIFS(TARIFF_PROFILES!$E:$E,TARIFF_PROFILES!$A:$A,$X433))</f>
        <v/>
      </c>
      <c r="AA433" s="31" t="str">
        <f>IF($X433="","",SUMIFS(TARIFF_PROFILES!$F:$F,TARIFF_PROFILES!$A:$A,$X433))</f>
        <v/>
      </c>
      <c r="AB433" s="31" t="str">
        <f>IF($X433="","",SUMIFS(TARIFF_PROFILES!$G:$G,TARIFF_PROFILES!$A:$A,$X433))</f>
        <v/>
      </c>
      <c r="AC433" s="31" t="str">
        <f>IF($X433="","",SUMIFS(TARIFF_PROFILES!$H:$H,TARIFF_PROFILES!$A:$A,$X433))</f>
        <v/>
      </c>
      <c r="AD433" s="31" t="str">
        <f t="array" ref="AD433">IF($X433="","",INDEX(TARIFF_PROFILES!$J:$J,MATCH($X433,TARIFF_PROFILES!$A:$A,0)))</f>
        <v/>
      </c>
      <c r="AE433" s="31" t="str">
        <f t="array" ref="AE433">IF($X433="","",INDEX(TARIFF_PROFILES!$K:$K,MATCH($X433,TARIFF_PROFILES!$A:$A,0)))</f>
        <v/>
      </c>
      <c r="AG433" s="8"/>
      <c r="AH433" s="8" t="str">
        <f>IF($AG433="","",SUMIFS(OPERATING_COEFFS!$C:$C,OPERATING_COEFFS!$A:$A,"DistanceClass",OPERATING_COEFFS!$B:$B,$AG433))</f>
        <v/>
      </c>
      <c r="AI433" s="8"/>
      <c r="AJ433" s="8" t="str">
        <f>IF($AI433="","",SUMIFS(OPERATING_COEFFS!$C:$C,OPERATING_COEFFS!$A:$A,"SeasonClass",OPERATING_COEFFS!$B:$B,$AI433))</f>
        <v/>
      </c>
      <c r="AK433" s="8"/>
      <c r="AL433" s="8" t="str">
        <f>IF($AK433="","",SUMIFS(OPERATING_COEFFS!$C:$C,OPERATING_COEFFS!$A:$A,"UrgencyClass",OPERATING_COEFFS!$B:$B,$AK433))</f>
        <v/>
      </c>
      <c r="AM433" s="8"/>
      <c r="AN433" s="8" t="str">
        <f t="array" ref="AN433">IF($AM433="","",INDEX(TAX_MODES!$B:$B,MATCH($AM433,TAX_MODES!$A:$A,0)))</f>
        <v/>
      </c>
    </row>
    <row r="434" ht="14.25" customHeight="1">
      <c r="C434" s="8"/>
      <c r="E434" s="8"/>
      <c r="G434" s="8"/>
      <c r="I434" s="8"/>
      <c r="K434" s="8"/>
      <c r="M434" s="8"/>
      <c r="O434" s="8"/>
      <c r="Q434" s="8"/>
      <c r="S434" s="8"/>
      <c r="V434" s="8"/>
      <c r="X434" s="31"/>
      <c r="Y434" s="31" t="str">
        <f>IF($X434="","",SUMIFS(TARIFF_PROFILES!$D:$D,TARIFF_PROFILES!$A:$A,$X434))</f>
        <v/>
      </c>
      <c r="Z434" s="31" t="str">
        <f>IF($X434="","",SUMIFS(TARIFF_PROFILES!$E:$E,TARIFF_PROFILES!$A:$A,$X434))</f>
        <v/>
      </c>
      <c r="AA434" s="31" t="str">
        <f>IF($X434="","",SUMIFS(TARIFF_PROFILES!$F:$F,TARIFF_PROFILES!$A:$A,$X434))</f>
        <v/>
      </c>
      <c r="AB434" s="31" t="str">
        <f>IF($X434="","",SUMIFS(TARIFF_PROFILES!$G:$G,TARIFF_PROFILES!$A:$A,$X434))</f>
        <v/>
      </c>
      <c r="AC434" s="31" t="str">
        <f>IF($X434="","",SUMIFS(TARIFF_PROFILES!$H:$H,TARIFF_PROFILES!$A:$A,$X434))</f>
        <v/>
      </c>
      <c r="AD434" s="31" t="str">
        <f t="array" ref="AD434">IF($X434="","",INDEX(TARIFF_PROFILES!$J:$J,MATCH($X434,TARIFF_PROFILES!$A:$A,0)))</f>
        <v/>
      </c>
      <c r="AE434" s="31" t="str">
        <f t="array" ref="AE434">IF($X434="","",INDEX(TARIFF_PROFILES!$K:$K,MATCH($X434,TARIFF_PROFILES!$A:$A,0)))</f>
        <v/>
      </c>
      <c r="AG434" s="8"/>
      <c r="AH434" s="8" t="str">
        <f>IF($AG434="","",SUMIFS(OPERATING_COEFFS!$C:$C,OPERATING_COEFFS!$A:$A,"DistanceClass",OPERATING_COEFFS!$B:$B,$AG434))</f>
        <v/>
      </c>
      <c r="AI434" s="8"/>
      <c r="AJ434" s="8" t="str">
        <f>IF($AI434="","",SUMIFS(OPERATING_COEFFS!$C:$C,OPERATING_COEFFS!$A:$A,"SeasonClass",OPERATING_COEFFS!$B:$B,$AI434))</f>
        <v/>
      </c>
      <c r="AK434" s="8"/>
      <c r="AL434" s="8" t="str">
        <f>IF($AK434="","",SUMIFS(OPERATING_COEFFS!$C:$C,OPERATING_COEFFS!$A:$A,"UrgencyClass",OPERATING_COEFFS!$B:$B,$AK434))</f>
        <v/>
      </c>
      <c r="AM434" s="8"/>
      <c r="AN434" s="8" t="str">
        <f t="array" ref="AN434">IF($AM434="","",INDEX(TAX_MODES!$B:$B,MATCH($AM434,TAX_MODES!$A:$A,0)))</f>
        <v/>
      </c>
    </row>
    <row r="435" ht="14.25" customHeight="1">
      <c r="C435" s="8"/>
      <c r="E435" s="8"/>
      <c r="G435" s="8"/>
      <c r="I435" s="8"/>
      <c r="K435" s="8"/>
      <c r="M435" s="8"/>
      <c r="O435" s="8"/>
      <c r="Q435" s="8"/>
      <c r="S435" s="8"/>
      <c r="V435" s="8"/>
      <c r="X435" s="31"/>
      <c r="Y435" s="31" t="str">
        <f>IF($X435="","",SUMIFS(TARIFF_PROFILES!$D:$D,TARIFF_PROFILES!$A:$A,$X435))</f>
        <v/>
      </c>
      <c r="Z435" s="31" t="str">
        <f>IF($X435="","",SUMIFS(TARIFF_PROFILES!$E:$E,TARIFF_PROFILES!$A:$A,$X435))</f>
        <v/>
      </c>
      <c r="AA435" s="31" t="str">
        <f>IF($X435="","",SUMIFS(TARIFF_PROFILES!$F:$F,TARIFF_PROFILES!$A:$A,$X435))</f>
        <v/>
      </c>
      <c r="AB435" s="31" t="str">
        <f>IF($X435="","",SUMIFS(TARIFF_PROFILES!$G:$G,TARIFF_PROFILES!$A:$A,$X435))</f>
        <v/>
      </c>
      <c r="AC435" s="31" t="str">
        <f>IF($X435="","",SUMIFS(TARIFF_PROFILES!$H:$H,TARIFF_PROFILES!$A:$A,$X435))</f>
        <v/>
      </c>
      <c r="AD435" s="31" t="str">
        <f t="array" ref="AD435">IF($X435="","",INDEX(TARIFF_PROFILES!$J:$J,MATCH($X435,TARIFF_PROFILES!$A:$A,0)))</f>
        <v/>
      </c>
      <c r="AE435" s="31" t="str">
        <f t="array" ref="AE435">IF($X435="","",INDEX(TARIFF_PROFILES!$K:$K,MATCH($X435,TARIFF_PROFILES!$A:$A,0)))</f>
        <v/>
      </c>
      <c r="AG435" s="8"/>
      <c r="AH435" s="8" t="str">
        <f>IF($AG435="","",SUMIFS(OPERATING_COEFFS!$C:$C,OPERATING_COEFFS!$A:$A,"DistanceClass",OPERATING_COEFFS!$B:$B,$AG435))</f>
        <v/>
      </c>
      <c r="AI435" s="8"/>
      <c r="AJ435" s="8" t="str">
        <f>IF($AI435="","",SUMIFS(OPERATING_COEFFS!$C:$C,OPERATING_COEFFS!$A:$A,"SeasonClass",OPERATING_COEFFS!$B:$B,$AI435))</f>
        <v/>
      </c>
      <c r="AK435" s="8"/>
      <c r="AL435" s="8" t="str">
        <f>IF($AK435="","",SUMIFS(OPERATING_COEFFS!$C:$C,OPERATING_COEFFS!$A:$A,"UrgencyClass",OPERATING_COEFFS!$B:$B,$AK435))</f>
        <v/>
      </c>
      <c r="AM435" s="8"/>
      <c r="AN435" s="8" t="str">
        <f t="array" ref="AN435">IF($AM435="","",INDEX(TAX_MODES!$B:$B,MATCH($AM435,TAX_MODES!$A:$A,0)))</f>
        <v/>
      </c>
    </row>
    <row r="436" ht="14.25" customHeight="1">
      <c r="C436" s="8"/>
      <c r="E436" s="8"/>
      <c r="G436" s="8"/>
      <c r="I436" s="8"/>
      <c r="K436" s="8"/>
      <c r="M436" s="8"/>
      <c r="O436" s="8"/>
      <c r="Q436" s="8"/>
      <c r="S436" s="8"/>
      <c r="V436" s="8"/>
      <c r="X436" s="31"/>
      <c r="Y436" s="31" t="str">
        <f>IF($X436="","",SUMIFS(TARIFF_PROFILES!$D:$D,TARIFF_PROFILES!$A:$A,$X436))</f>
        <v/>
      </c>
      <c r="Z436" s="31" t="str">
        <f>IF($X436="","",SUMIFS(TARIFF_PROFILES!$E:$E,TARIFF_PROFILES!$A:$A,$X436))</f>
        <v/>
      </c>
      <c r="AA436" s="31" t="str">
        <f>IF($X436="","",SUMIFS(TARIFF_PROFILES!$F:$F,TARIFF_PROFILES!$A:$A,$X436))</f>
        <v/>
      </c>
      <c r="AB436" s="31" t="str">
        <f>IF($X436="","",SUMIFS(TARIFF_PROFILES!$G:$G,TARIFF_PROFILES!$A:$A,$X436))</f>
        <v/>
      </c>
      <c r="AC436" s="31" t="str">
        <f>IF($X436="","",SUMIFS(TARIFF_PROFILES!$H:$H,TARIFF_PROFILES!$A:$A,$X436))</f>
        <v/>
      </c>
      <c r="AD436" s="31" t="str">
        <f t="array" ref="AD436">IF($X436="","",INDEX(TARIFF_PROFILES!$J:$J,MATCH($X436,TARIFF_PROFILES!$A:$A,0)))</f>
        <v/>
      </c>
      <c r="AE436" s="31" t="str">
        <f t="array" ref="AE436">IF($X436="","",INDEX(TARIFF_PROFILES!$K:$K,MATCH($X436,TARIFF_PROFILES!$A:$A,0)))</f>
        <v/>
      </c>
      <c r="AG436" s="8"/>
      <c r="AH436" s="8" t="str">
        <f>IF($AG436="","",SUMIFS(OPERATING_COEFFS!$C:$C,OPERATING_COEFFS!$A:$A,"DistanceClass",OPERATING_COEFFS!$B:$B,$AG436))</f>
        <v/>
      </c>
      <c r="AI436" s="8"/>
      <c r="AJ436" s="8" t="str">
        <f>IF($AI436="","",SUMIFS(OPERATING_COEFFS!$C:$C,OPERATING_COEFFS!$A:$A,"SeasonClass",OPERATING_COEFFS!$B:$B,$AI436))</f>
        <v/>
      </c>
      <c r="AK436" s="8"/>
      <c r="AL436" s="8" t="str">
        <f>IF($AK436="","",SUMIFS(OPERATING_COEFFS!$C:$C,OPERATING_COEFFS!$A:$A,"UrgencyClass",OPERATING_COEFFS!$B:$B,$AK436))</f>
        <v/>
      </c>
      <c r="AM436" s="8"/>
      <c r="AN436" s="8" t="str">
        <f t="array" ref="AN436">IF($AM436="","",INDEX(TAX_MODES!$B:$B,MATCH($AM436,TAX_MODES!$A:$A,0)))</f>
        <v/>
      </c>
    </row>
    <row r="437" ht="14.25" customHeight="1">
      <c r="C437" s="8"/>
      <c r="E437" s="8"/>
      <c r="G437" s="8"/>
      <c r="I437" s="8"/>
      <c r="K437" s="8"/>
      <c r="M437" s="8"/>
      <c r="O437" s="8"/>
      <c r="Q437" s="8"/>
      <c r="S437" s="8"/>
      <c r="V437" s="8"/>
      <c r="X437" s="31"/>
      <c r="Y437" s="31" t="str">
        <f>IF($X437="","",SUMIFS(TARIFF_PROFILES!$D:$D,TARIFF_PROFILES!$A:$A,$X437))</f>
        <v/>
      </c>
      <c r="Z437" s="31" t="str">
        <f>IF($X437="","",SUMIFS(TARIFF_PROFILES!$E:$E,TARIFF_PROFILES!$A:$A,$X437))</f>
        <v/>
      </c>
      <c r="AA437" s="31" t="str">
        <f>IF($X437="","",SUMIFS(TARIFF_PROFILES!$F:$F,TARIFF_PROFILES!$A:$A,$X437))</f>
        <v/>
      </c>
      <c r="AB437" s="31" t="str">
        <f>IF($X437="","",SUMIFS(TARIFF_PROFILES!$G:$G,TARIFF_PROFILES!$A:$A,$X437))</f>
        <v/>
      </c>
      <c r="AC437" s="31" t="str">
        <f>IF($X437="","",SUMIFS(TARIFF_PROFILES!$H:$H,TARIFF_PROFILES!$A:$A,$X437))</f>
        <v/>
      </c>
      <c r="AD437" s="31" t="str">
        <f t="array" ref="AD437">IF($X437="","",INDEX(TARIFF_PROFILES!$J:$J,MATCH($X437,TARIFF_PROFILES!$A:$A,0)))</f>
        <v/>
      </c>
      <c r="AE437" s="31" t="str">
        <f t="array" ref="AE437">IF($X437="","",INDEX(TARIFF_PROFILES!$K:$K,MATCH($X437,TARIFF_PROFILES!$A:$A,0)))</f>
        <v/>
      </c>
      <c r="AG437" s="8"/>
      <c r="AH437" s="8" t="str">
        <f>IF($AG437="","",SUMIFS(OPERATING_COEFFS!$C:$C,OPERATING_COEFFS!$A:$A,"DistanceClass",OPERATING_COEFFS!$B:$B,$AG437))</f>
        <v/>
      </c>
      <c r="AI437" s="8"/>
      <c r="AJ437" s="8" t="str">
        <f>IF($AI437="","",SUMIFS(OPERATING_COEFFS!$C:$C,OPERATING_COEFFS!$A:$A,"SeasonClass",OPERATING_COEFFS!$B:$B,$AI437))</f>
        <v/>
      </c>
      <c r="AK437" s="8"/>
      <c r="AL437" s="8" t="str">
        <f>IF($AK437="","",SUMIFS(OPERATING_COEFFS!$C:$C,OPERATING_COEFFS!$A:$A,"UrgencyClass",OPERATING_COEFFS!$B:$B,$AK437))</f>
        <v/>
      </c>
      <c r="AM437" s="8"/>
      <c r="AN437" s="8" t="str">
        <f t="array" ref="AN437">IF($AM437="","",INDEX(TAX_MODES!$B:$B,MATCH($AM437,TAX_MODES!$A:$A,0)))</f>
        <v/>
      </c>
    </row>
    <row r="438" ht="14.25" customHeight="1">
      <c r="C438" s="8"/>
      <c r="E438" s="8"/>
      <c r="G438" s="8"/>
      <c r="I438" s="8"/>
      <c r="K438" s="8"/>
      <c r="M438" s="8"/>
      <c r="O438" s="8"/>
      <c r="Q438" s="8"/>
      <c r="S438" s="8"/>
      <c r="V438" s="8"/>
      <c r="X438" s="31"/>
      <c r="Y438" s="31" t="str">
        <f>IF($X438="","",SUMIFS(TARIFF_PROFILES!$D:$D,TARIFF_PROFILES!$A:$A,$X438))</f>
        <v/>
      </c>
      <c r="Z438" s="31" t="str">
        <f>IF($X438="","",SUMIFS(TARIFF_PROFILES!$E:$E,TARIFF_PROFILES!$A:$A,$X438))</f>
        <v/>
      </c>
      <c r="AA438" s="31" t="str">
        <f>IF($X438="","",SUMIFS(TARIFF_PROFILES!$F:$F,TARIFF_PROFILES!$A:$A,$X438))</f>
        <v/>
      </c>
      <c r="AB438" s="31" t="str">
        <f>IF($X438="","",SUMIFS(TARIFF_PROFILES!$G:$G,TARIFF_PROFILES!$A:$A,$X438))</f>
        <v/>
      </c>
      <c r="AC438" s="31" t="str">
        <f>IF($X438="","",SUMIFS(TARIFF_PROFILES!$H:$H,TARIFF_PROFILES!$A:$A,$X438))</f>
        <v/>
      </c>
      <c r="AD438" s="31" t="str">
        <f t="array" ref="AD438">IF($X438="","",INDEX(TARIFF_PROFILES!$J:$J,MATCH($X438,TARIFF_PROFILES!$A:$A,0)))</f>
        <v/>
      </c>
      <c r="AE438" s="31" t="str">
        <f t="array" ref="AE438">IF($X438="","",INDEX(TARIFF_PROFILES!$K:$K,MATCH($X438,TARIFF_PROFILES!$A:$A,0)))</f>
        <v/>
      </c>
      <c r="AG438" s="8"/>
      <c r="AH438" s="8" t="str">
        <f>IF($AG438="","",SUMIFS(OPERATING_COEFFS!$C:$C,OPERATING_COEFFS!$A:$A,"DistanceClass",OPERATING_COEFFS!$B:$B,$AG438))</f>
        <v/>
      </c>
      <c r="AI438" s="8"/>
      <c r="AJ438" s="8" t="str">
        <f>IF($AI438="","",SUMIFS(OPERATING_COEFFS!$C:$C,OPERATING_COEFFS!$A:$A,"SeasonClass",OPERATING_COEFFS!$B:$B,$AI438))</f>
        <v/>
      </c>
      <c r="AK438" s="8"/>
      <c r="AL438" s="8" t="str">
        <f>IF($AK438="","",SUMIFS(OPERATING_COEFFS!$C:$C,OPERATING_COEFFS!$A:$A,"UrgencyClass",OPERATING_COEFFS!$B:$B,$AK438))</f>
        <v/>
      </c>
      <c r="AM438" s="8"/>
      <c r="AN438" s="8" t="str">
        <f t="array" ref="AN438">IF($AM438="","",INDEX(TAX_MODES!$B:$B,MATCH($AM438,TAX_MODES!$A:$A,0)))</f>
        <v/>
      </c>
    </row>
    <row r="439" ht="14.25" customHeight="1">
      <c r="C439" s="8"/>
      <c r="E439" s="8"/>
      <c r="G439" s="8"/>
      <c r="I439" s="8"/>
      <c r="K439" s="8"/>
      <c r="M439" s="8"/>
      <c r="O439" s="8"/>
      <c r="Q439" s="8"/>
      <c r="S439" s="8"/>
      <c r="V439" s="8"/>
      <c r="X439" s="31"/>
      <c r="Y439" s="31" t="str">
        <f>IF($X439="","",SUMIFS(TARIFF_PROFILES!$D:$D,TARIFF_PROFILES!$A:$A,$X439))</f>
        <v/>
      </c>
      <c r="Z439" s="31" t="str">
        <f>IF($X439="","",SUMIFS(TARIFF_PROFILES!$E:$E,TARIFF_PROFILES!$A:$A,$X439))</f>
        <v/>
      </c>
      <c r="AA439" s="31" t="str">
        <f>IF($X439="","",SUMIFS(TARIFF_PROFILES!$F:$F,TARIFF_PROFILES!$A:$A,$X439))</f>
        <v/>
      </c>
      <c r="AB439" s="31" t="str">
        <f>IF($X439="","",SUMIFS(TARIFF_PROFILES!$G:$G,TARIFF_PROFILES!$A:$A,$X439))</f>
        <v/>
      </c>
      <c r="AC439" s="31" t="str">
        <f>IF($X439="","",SUMIFS(TARIFF_PROFILES!$H:$H,TARIFF_PROFILES!$A:$A,$X439))</f>
        <v/>
      </c>
      <c r="AD439" s="31" t="str">
        <f t="array" ref="AD439">IF($X439="","",INDEX(TARIFF_PROFILES!$J:$J,MATCH($X439,TARIFF_PROFILES!$A:$A,0)))</f>
        <v/>
      </c>
      <c r="AE439" s="31" t="str">
        <f t="array" ref="AE439">IF($X439="","",INDEX(TARIFF_PROFILES!$K:$K,MATCH($X439,TARIFF_PROFILES!$A:$A,0)))</f>
        <v/>
      </c>
      <c r="AG439" s="8"/>
      <c r="AH439" s="8" t="str">
        <f>IF($AG439="","",SUMIFS(OPERATING_COEFFS!$C:$C,OPERATING_COEFFS!$A:$A,"DistanceClass",OPERATING_COEFFS!$B:$B,$AG439))</f>
        <v/>
      </c>
      <c r="AI439" s="8"/>
      <c r="AJ439" s="8" t="str">
        <f>IF($AI439="","",SUMIFS(OPERATING_COEFFS!$C:$C,OPERATING_COEFFS!$A:$A,"SeasonClass",OPERATING_COEFFS!$B:$B,$AI439))</f>
        <v/>
      </c>
      <c r="AK439" s="8"/>
      <c r="AL439" s="8" t="str">
        <f>IF($AK439="","",SUMIFS(OPERATING_COEFFS!$C:$C,OPERATING_COEFFS!$A:$A,"UrgencyClass",OPERATING_COEFFS!$B:$B,$AK439))</f>
        <v/>
      </c>
      <c r="AM439" s="8"/>
      <c r="AN439" s="8" t="str">
        <f t="array" ref="AN439">IF($AM439="","",INDEX(TAX_MODES!$B:$B,MATCH($AM439,TAX_MODES!$A:$A,0)))</f>
        <v/>
      </c>
    </row>
    <row r="440" ht="14.25" customHeight="1">
      <c r="C440" s="8"/>
      <c r="E440" s="8"/>
      <c r="G440" s="8"/>
      <c r="I440" s="8"/>
      <c r="K440" s="8"/>
      <c r="M440" s="8"/>
      <c r="O440" s="8"/>
      <c r="Q440" s="8"/>
      <c r="S440" s="8"/>
      <c r="V440" s="8"/>
      <c r="X440" s="31"/>
      <c r="Y440" s="31" t="str">
        <f>IF($X440="","",SUMIFS(TARIFF_PROFILES!$D:$D,TARIFF_PROFILES!$A:$A,$X440))</f>
        <v/>
      </c>
      <c r="Z440" s="31" t="str">
        <f>IF($X440="","",SUMIFS(TARIFF_PROFILES!$E:$E,TARIFF_PROFILES!$A:$A,$X440))</f>
        <v/>
      </c>
      <c r="AA440" s="31" t="str">
        <f>IF($X440="","",SUMIFS(TARIFF_PROFILES!$F:$F,TARIFF_PROFILES!$A:$A,$X440))</f>
        <v/>
      </c>
      <c r="AB440" s="31" t="str">
        <f>IF($X440="","",SUMIFS(TARIFF_PROFILES!$G:$G,TARIFF_PROFILES!$A:$A,$X440))</f>
        <v/>
      </c>
      <c r="AC440" s="31" t="str">
        <f>IF($X440="","",SUMIFS(TARIFF_PROFILES!$H:$H,TARIFF_PROFILES!$A:$A,$X440))</f>
        <v/>
      </c>
      <c r="AD440" s="31" t="str">
        <f t="array" ref="AD440">IF($X440="","",INDEX(TARIFF_PROFILES!$J:$J,MATCH($X440,TARIFF_PROFILES!$A:$A,0)))</f>
        <v/>
      </c>
      <c r="AE440" s="31" t="str">
        <f t="array" ref="AE440">IF($X440="","",INDEX(TARIFF_PROFILES!$K:$K,MATCH($X440,TARIFF_PROFILES!$A:$A,0)))</f>
        <v/>
      </c>
      <c r="AG440" s="8"/>
      <c r="AH440" s="8" t="str">
        <f>IF($AG440="","",SUMIFS(OPERATING_COEFFS!$C:$C,OPERATING_COEFFS!$A:$A,"DistanceClass",OPERATING_COEFFS!$B:$B,$AG440))</f>
        <v/>
      </c>
      <c r="AI440" s="8"/>
      <c r="AJ440" s="8" t="str">
        <f>IF($AI440="","",SUMIFS(OPERATING_COEFFS!$C:$C,OPERATING_COEFFS!$A:$A,"SeasonClass",OPERATING_COEFFS!$B:$B,$AI440))</f>
        <v/>
      </c>
      <c r="AK440" s="8"/>
      <c r="AL440" s="8" t="str">
        <f>IF($AK440="","",SUMIFS(OPERATING_COEFFS!$C:$C,OPERATING_COEFFS!$A:$A,"UrgencyClass",OPERATING_COEFFS!$B:$B,$AK440))</f>
        <v/>
      </c>
      <c r="AM440" s="8"/>
      <c r="AN440" s="8" t="str">
        <f t="array" ref="AN440">IF($AM440="","",INDEX(TAX_MODES!$B:$B,MATCH($AM440,TAX_MODES!$A:$A,0)))</f>
        <v/>
      </c>
    </row>
    <row r="441" ht="14.25" customHeight="1">
      <c r="C441" s="8"/>
      <c r="E441" s="8"/>
      <c r="G441" s="8"/>
      <c r="I441" s="8"/>
      <c r="K441" s="8"/>
      <c r="M441" s="8"/>
      <c r="O441" s="8"/>
      <c r="Q441" s="8"/>
      <c r="S441" s="8"/>
      <c r="V441" s="8"/>
      <c r="X441" s="31"/>
      <c r="Y441" s="31" t="str">
        <f>IF($X441="","",SUMIFS(TARIFF_PROFILES!$D:$D,TARIFF_PROFILES!$A:$A,$X441))</f>
        <v/>
      </c>
      <c r="Z441" s="31" t="str">
        <f>IF($X441="","",SUMIFS(TARIFF_PROFILES!$E:$E,TARIFF_PROFILES!$A:$A,$X441))</f>
        <v/>
      </c>
      <c r="AA441" s="31" t="str">
        <f>IF($X441="","",SUMIFS(TARIFF_PROFILES!$F:$F,TARIFF_PROFILES!$A:$A,$X441))</f>
        <v/>
      </c>
      <c r="AB441" s="31" t="str">
        <f>IF($X441="","",SUMIFS(TARIFF_PROFILES!$G:$G,TARIFF_PROFILES!$A:$A,$X441))</f>
        <v/>
      </c>
      <c r="AC441" s="31" t="str">
        <f>IF($X441="","",SUMIFS(TARIFF_PROFILES!$H:$H,TARIFF_PROFILES!$A:$A,$X441))</f>
        <v/>
      </c>
      <c r="AD441" s="31" t="str">
        <f t="array" ref="AD441">IF($X441="","",INDEX(TARIFF_PROFILES!$J:$J,MATCH($X441,TARIFF_PROFILES!$A:$A,0)))</f>
        <v/>
      </c>
      <c r="AE441" s="31" t="str">
        <f t="array" ref="AE441">IF($X441="","",INDEX(TARIFF_PROFILES!$K:$K,MATCH($X441,TARIFF_PROFILES!$A:$A,0)))</f>
        <v/>
      </c>
      <c r="AG441" s="8"/>
      <c r="AH441" s="8" t="str">
        <f>IF($AG441="","",SUMIFS(OPERATING_COEFFS!$C:$C,OPERATING_COEFFS!$A:$A,"DistanceClass",OPERATING_COEFFS!$B:$B,$AG441))</f>
        <v/>
      </c>
      <c r="AI441" s="8"/>
      <c r="AJ441" s="8" t="str">
        <f>IF($AI441="","",SUMIFS(OPERATING_COEFFS!$C:$C,OPERATING_COEFFS!$A:$A,"SeasonClass",OPERATING_COEFFS!$B:$B,$AI441))</f>
        <v/>
      </c>
      <c r="AK441" s="8"/>
      <c r="AL441" s="8" t="str">
        <f>IF($AK441="","",SUMIFS(OPERATING_COEFFS!$C:$C,OPERATING_COEFFS!$A:$A,"UrgencyClass",OPERATING_COEFFS!$B:$B,$AK441))</f>
        <v/>
      </c>
      <c r="AM441" s="8"/>
      <c r="AN441" s="8" t="str">
        <f t="array" ref="AN441">IF($AM441="","",INDEX(TAX_MODES!$B:$B,MATCH($AM441,TAX_MODES!$A:$A,0)))</f>
        <v/>
      </c>
    </row>
    <row r="442" ht="14.25" customHeight="1">
      <c r="C442" s="8"/>
      <c r="E442" s="8"/>
      <c r="G442" s="8"/>
      <c r="I442" s="8"/>
      <c r="K442" s="8"/>
      <c r="M442" s="8"/>
      <c r="O442" s="8"/>
      <c r="Q442" s="8"/>
      <c r="S442" s="8"/>
      <c r="V442" s="8"/>
      <c r="X442" s="31"/>
      <c r="Y442" s="31" t="str">
        <f>IF($X442="","",SUMIFS(TARIFF_PROFILES!$D:$D,TARIFF_PROFILES!$A:$A,$X442))</f>
        <v/>
      </c>
      <c r="Z442" s="31" t="str">
        <f>IF($X442="","",SUMIFS(TARIFF_PROFILES!$E:$E,TARIFF_PROFILES!$A:$A,$X442))</f>
        <v/>
      </c>
      <c r="AA442" s="31" t="str">
        <f>IF($X442="","",SUMIFS(TARIFF_PROFILES!$F:$F,TARIFF_PROFILES!$A:$A,$X442))</f>
        <v/>
      </c>
      <c r="AB442" s="31" t="str">
        <f>IF($X442="","",SUMIFS(TARIFF_PROFILES!$G:$G,TARIFF_PROFILES!$A:$A,$X442))</f>
        <v/>
      </c>
      <c r="AC442" s="31" t="str">
        <f>IF($X442="","",SUMIFS(TARIFF_PROFILES!$H:$H,TARIFF_PROFILES!$A:$A,$X442))</f>
        <v/>
      </c>
      <c r="AD442" s="31" t="str">
        <f t="array" ref="AD442">IF($X442="","",INDEX(TARIFF_PROFILES!$J:$J,MATCH($X442,TARIFF_PROFILES!$A:$A,0)))</f>
        <v/>
      </c>
      <c r="AE442" s="31" t="str">
        <f t="array" ref="AE442">IF($X442="","",INDEX(TARIFF_PROFILES!$K:$K,MATCH($X442,TARIFF_PROFILES!$A:$A,0)))</f>
        <v/>
      </c>
      <c r="AG442" s="8"/>
      <c r="AH442" s="8" t="str">
        <f>IF($AG442="","",SUMIFS(OPERATING_COEFFS!$C:$C,OPERATING_COEFFS!$A:$A,"DistanceClass",OPERATING_COEFFS!$B:$B,$AG442))</f>
        <v/>
      </c>
      <c r="AI442" s="8"/>
      <c r="AJ442" s="8" t="str">
        <f>IF($AI442="","",SUMIFS(OPERATING_COEFFS!$C:$C,OPERATING_COEFFS!$A:$A,"SeasonClass",OPERATING_COEFFS!$B:$B,$AI442))</f>
        <v/>
      </c>
      <c r="AK442" s="8"/>
      <c r="AL442" s="8" t="str">
        <f>IF($AK442="","",SUMIFS(OPERATING_COEFFS!$C:$C,OPERATING_COEFFS!$A:$A,"UrgencyClass",OPERATING_COEFFS!$B:$B,$AK442))</f>
        <v/>
      </c>
      <c r="AM442" s="8"/>
      <c r="AN442" s="8" t="str">
        <f t="array" ref="AN442">IF($AM442="","",INDEX(TAX_MODES!$B:$B,MATCH($AM442,TAX_MODES!$A:$A,0)))</f>
        <v/>
      </c>
    </row>
    <row r="443" ht="14.25" customHeight="1">
      <c r="C443" s="8"/>
      <c r="E443" s="8"/>
      <c r="G443" s="8"/>
      <c r="I443" s="8"/>
      <c r="K443" s="8"/>
      <c r="M443" s="8"/>
      <c r="O443" s="8"/>
      <c r="Q443" s="8"/>
      <c r="S443" s="8"/>
      <c r="V443" s="8"/>
      <c r="X443" s="31"/>
      <c r="Y443" s="31" t="str">
        <f>IF($X443="","",SUMIFS(TARIFF_PROFILES!$D:$D,TARIFF_PROFILES!$A:$A,$X443))</f>
        <v/>
      </c>
      <c r="Z443" s="31" t="str">
        <f>IF($X443="","",SUMIFS(TARIFF_PROFILES!$E:$E,TARIFF_PROFILES!$A:$A,$X443))</f>
        <v/>
      </c>
      <c r="AA443" s="31" t="str">
        <f>IF($X443="","",SUMIFS(TARIFF_PROFILES!$F:$F,TARIFF_PROFILES!$A:$A,$X443))</f>
        <v/>
      </c>
      <c r="AB443" s="31" t="str">
        <f>IF($X443="","",SUMIFS(TARIFF_PROFILES!$G:$G,TARIFF_PROFILES!$A:$A,$X443))</f>
        <v/>
      </c>
      <c r="AC443" s="31" t="str">
        <f>IF($X443="","",SUMIFS(TARIFF_PROFILES!$H:$H,TARIFF_PROFILES!$A:$A,$X443))</f>
        <v/>
      </c>
      <c r="AD443" s="31" t="str">
        <f t="array" ref="AD443">IF($X443="","",INDEX(TARIFF_PROFILES!$J:$J,MATCH($X443,TARIFF_PROFILES!$A:$A,0)))</f>
        <v/>
      </c>
      <c r="AE443" s="31" t="str">
        <f t="array" ref="AE443">IF($X443="","",INDEX(TARIFF_PROFILES!$K:$K,MATCH($X443,TARIFF_PROFILES!$A:$A,0)))</f>
        <v/>
      </c>
      <c r="AG443" s="8"/>
      <c r="AH443" s="8" t="str">
        <f>IF($AG443="","",SUMIFS(OPERATING_COEFFS!$C:$C,OPERATING_COEFFS!$A:$A,"DistanceClass",OPERATING_COEFFS!$B:$B,$AG443))</f>
        <v/>
      </c>
      <c r="AI443" s="8"/>
      <c r="AJ443" s="8" t="str">
        <f>IF($AI443="","",SUMIFS(OPERATING_COEFFS!$C:$C,OPERATING_COEFFS!$A:$A,"SeasonClass",OPERATING_COEFFS!$B:$B,$AI443))</f>
        <v/>
      </c>
      <c r="AK443" s="8"/>
      <c r="AL443" s="8" t="str">
        <f>IF($AK443="","",SUMIFS(OPERATING_COEFFS!$C:$C,OPERATING_COEFFS!$A:$A,"UrgencyClass",OPERATING_COEFFS!$B:$B,$AK443))</f>
        <v/>
      </c>
      <c r="AM443" s="8"/>
      <c r="AN443" s="8" t="str">
        <f t="array" ref="AN443">IF($AM443="","",INDEX(TAX_MODES!$B:$B,MATCH($AM443,TAX_MODES!$A:$A,0)))</f>
        <v/>
      </c>
    </row>
    <row r="444" ht="14.25" customHeight="1">
      <c r="C444" s="8"/>
      <c r="E444" s="8"/>
      <c r="G444" s="8"/>
      <c r="I444" s="8"/>
      <c r="K444" s="8"/>
      <c r="M444" s="8"/>
      <c r="O444" s="8"/>
      <c r="Q444" s="8"/>
      <c r="S444" s="8"/>
      <c r="V444" s="8"/>
      <c r="X444" s="31"/>
      <c r="Y444" s="31" t="str">
        <f>IF($X444="","",SUMIFS(TARIFF_PROFILES!$D:$D,TARIFF_PROFILES!$A:$A,$X444))</f>
        <v/>
      </c>
      <c r="Z444" s="31" t="str">
        <f>IF($X444="","",SUMIFS(TARIFF_PROFILES!$E:$E,TARIFF_PROFILES!$A:$A,$X444))</f>
        <v/>
      </c>
      <c r="AA444" s="31" t="str">
        <f>IF($X444="","",SUMIFS(TARIFF_PROFILES!$F:$F,TARIFF_PROFILES!$A:$A,$X444))</f>
        <v/>
      </c>
      <c r="AB444" s="31" t="str">
        <f>IF($X444="","",SUMIFS(TARIFF_PROFILES!$G:$G,TARIFF_PROFILES!$A:$A,$X444))</f>
        <v/>
      </c>
      <c r="AC444" s="31" t="str">
        <f>IF($X444="","",SUMIFS(TARIFF_PROFILES!$H:$H,TARIFF_PROFILES!$A:$A,$X444))</f>
        <v/>
      </c>
      <c r="AD444" s="31" t="str">
        <f t="array" ref="AD444">IF($X444="","",INDEX(TARIFF_PROFILES!$J:$J,MATCH($X444,TARIFF_PROFILES!$A:$A,0)))</f>
        <v/>
      </c>
      <c r="AE444" s="31" t="str">
        <f t="array" ref="AE444">IF($X444="","",INDEX(TARIFF_PROFILES!$K:$K,MATCH($X444,TARIFF_PROFILES!$A:$A,0)))</f>
        <v/>
      </c>
      <c r="AG444" s="8"/>
      <c r="AH444" s="8" t="str">
        <f>IF($AG444="","",SUMIFS(OPERATING_COEFFS!$C:$C,OPERATING_COEFFS!$A:$A,"DistanceClass",OPERATING_COEFFS!$B:$B,$AG444))</f>
        <v/>
      </c>
      <c r="AI444" s="8"/>
      <c r="AJ444" s="8" t="str">
        <f>IF($AI444="","",SUMIFS(OPERATING_COEFFS!$C:$C,OPERATING_COEFFS!$A:$A,"SeasonClass",OPERATING_COEFFS!$B:$B,$AI444))</f>
        <v/>
      </c>
      <c r="AK444" s="8"/>
      <c r="AL444" s="8" t="str">
        <f>IF($AK444="","",SUMIFS(OPERATING_COEFFS!$C:$C,OPERATING_COEFFS!$A:$A,"UrgencyClass",OPERATING_COEFFS!$B:$B,$AK444))</f>
        <v/>
      </c>
      <c r="AM444" s="8"/>
      <c r="AN444" s="8" t="str">
        <f t="array" ref="AN444">IF($AM444="","",INDEX(TAX_MODES!$B:$B,MATCH($AM444,TAX_MODES!$A:$A,0)))</f>
        <v/>
      </c>
    </row>
    <row r="445" ht="14.25" customHeight="1">
      <c r="C445" s="8"/>
      <c r="E445" s="8"/>
      <c r="G445" s="8"/>
      <c r="I445" s="8"/>
      <c r="K445" s="8"/>
      <c r="M445" s="8"/>
      <c r="O445" s="8"/>
      <c r="Q445" s="8"/>
      <c r="S445" s="8"/>
      <c r="V445" s="8"/>
      <c r="X445" s="31"/>
      <c r="Y445" s="31" t="str">
        <f>IF($X445="","",SUMIFS(TARIFF_PROFILES!$D:$D,TARIFF_PROFILES!$A:$A,$X445))</f>
        <v/>
      </c>
      <c r="Z445" s="31" t="str">
        <f>IF($X445="","",SUMIFS(TARIFF_PROFILES!$E:$E,TARIFF_PROFILES!$A:$A,$X445))</f>
        <v/>
      </c>
      <c r="AA445" s="31" t="str">
        <f>IF($X445="","",SUMIFS(TARIFF_PROFILES!$F:$F,TARIFF_PROFILES!$A:$A,$X445))</f>
        <v/>
      </c>
      <c r="AB445" s="31" t="str">
        <f>IF($X445="","",SUMIFS(TARIFF_PROFILES!$G:$G,TARIFF_PROFILES!$A:$A,$X445))</f>
        <v/>
      </c>
      <c r="AC445" s="31" t="str">
        <f>IF($X445="","",SUMIFS(TARIFF_PROFILES!$H:$H,TARIFF_PROFILES!$A:$A,$X445))</f>
        <v/>
      </c>
      <c r="AD445" s="31" t="str">
        <f t="array" ref="AD445">IF($X445="","",INDEX(TARIFF_PROFILES!$J:$J,MATCH($X445,TARIFF_PROFILES!$A:$A,0)))</f>
        <v/>
      </c>
      <c r="AE445" s="31" t="str">
        <f t="array" ref="AE445">IF($X445="","",INDEX(TARIFF_PROFILES!$K:$K,MATCH($X445,TARIFF_PROFILES!$A:$A,0)))</f>
        <v/>
      </c>
      <c r="AG445" s="8"/>
      <c r="AH445" s="8" t="str">
        <f>IF($AG445="","",SUMIFS(OPERATING_COEFFS!$C:$C,OPERATING_COEFFS!$A:$A,"DistanceClass",OPERATING_COEFFS!$B:$B,$AG445))</f>
        <v/>
      </c>
      <c r="AI445" s="8"/>
      <c r="AJ445" s="8" t="str">
        <f>IF($AI445="","",SUMIFS(OPERATING_COEFFS!$C:$C,OPERATING_COEFFS!$A:$A,"SeasonClass",OPERATING_COEFFS!$B:$B,$AI445))</f>
        <v/>
      </c>
      <c r="AK445" s="8"/>
      <c r="AL445" s="8" t="str">
        <f>IF($AK445="","",SUMIFS(OPERATING_COEFFS!$C:$C,OPERATING_COEFFS!$A:$A,"UrgencyClass",OPERATING_COEFFS!$B:$B,$AK445))</f>
        <v/>
      </c>
      <c r="AM445" s="8"/>
      <c r="AN445" s="8" t="str">
        <f t="array" ref="AN445">IF($AM445="","",INDEX(TAX_MODES!$B:$B,MATCH($AM445,TAX_MODES!$A:$A,0)))</f>
        <v/>
      </c>
    </row>
    <row r="446" ht="14.25" customHeight="1">
      <c r="C446" s="8"/>
      <c r="E446" s="8"/>
      <c r="G446" s="8"/>
      <c r="I446" s="8"/>
      <c r="K446" s="8"/>
      <c r="M446" s="8"/>
      <c r="O446" s="8"/>
      <c r="Q446" s="8"/>
      <c r="S446" s="8"/>
      <c r="V446" s="8"/>
      <c r="X446" s="31"/>
      <c r="Y446" s="31" t="str">
        <f>IF($X446="","",SUMIFS(TARIFF_PROFILES!$D:$D,TARIFF_PROFILES!$A:$A,$X446))</f>
        <v/>
      </c>
      <c r="Z446" s="31" t="str">
        <f>IF($X446="","",SUMIFS(TARIFF_PROFILES!$E:$E,TARIFF_PROFILES!$A:$A,$X446))</f>
        <v/>
      </c>
      <c r="AA446" s="31" t="str">
        <f>IF($X446="","",SUMIFS(TARIFF_PROFILES!$F:$F,TARIFF_PROFILES!$A:$A,$X446))</f>
        <v/>
      </c>
      <c r="AB446" s="31" t="str">
        <f>IF($X446="","",SUMIFS(TARIFF_PROFILES!$G:$G,TARIFF_PROFILES!$A:$A,$X446))</f>
        <v/>
      </c>
      <c r="AC446" s="31" t="str">
        <f>IF($X446="","",SUMIFS(TARIFF_PROFILES!$H:$H,TARIFF_PROFILES!$A:$A,$X446))</f>
        <v/>
      </c>
      <c r="AD446" s="31" t="str">
        <f t="array" ref="AD446">IF($X446="","",INDEX(TARIFF_PROFILES!$J:$J,MATCH($X446,TARIFF_PROFILES!$A:$A,0)))</f>
        <v/>
      </c>
      <c r="AE446" s="31" t="str">
        <f t="array" ref="AE446">IF($X446="","",INDEX(TARIFF_PROFILES!$K:$K,MATCH($X446,TARIFF_PROFILES!$A:$A,0)))</f>
        <v/>
      </c>
      <c r="AG446" s="8"/>
      <c r="AH446" s="8" t="str">
        <f>IF($AG446="","",SUMIFS(OPERATING_COEFFS!$C:$C,OPERATING_COEFFS!$A:$A,"DistanceClass",OPERATING_COEFFS!$B:$B,$AG446))</f>
        <v/>
      </c>
      <c r="AI446" s="8"/>
      <c r="AJ446" s="8" t="str">
        <f>IF($AI446="","",SUMIFS(OPERATING_COEFFS!$C:$C,OPERATING_COEFFS!$A:$A,"SeasonClass",OPERATING_COEFFS!$B:$B,$AI446))</f>
        <v/>
      </c>
      <c r="AK446" s="8"/>
      <c r="AL446" s="8" t="str">
        <f>IF($AK446="","",SUMIFS(OPERATING_COEFFS!$C:$C,OPERATING_COEFFS!$A:$A,"UrgencyClass",OPERATING_COEFFS!$B:$B,$AK446))</f>
        <v/>
      </c>
      <c r="AM446" s="8"/>
      <c r="AN446" s="8" t="str">
        <f t="array" ref="AN446">IF($AM446="","",INDEX(TAX_MODES!$B:$B,MATCH($AM446,TAX_MODES!$A:$A,0)))</f>
        <v/>
      </c>
    </row>
    <row r="447" ht="14.25" customHeight="1">
      <c r="C447" s="8"/>
      <c r="E447" s="8"/>
      <c r="G447" s="8"/>
      <c r="I447" s="8"/>
      <c r="K447" s="8"/>
      <c r="M447" s="8"/>
      <c r="O447" s="8"/>
      <c r="Q447" s="8"/>
      <c r="S447" s="8"/>
      <c r="V447" s="8"/>
      <c r="X447" s="31"/>
      <c r="Y447" s="31" t="str">
        <f>IF($X447="","",SUMIFS(TARIFF_PROFILES!$D:$D,TARIFF_PROFILES!$A:$A,$X447))</f>
        <v/>
      </c>
      <c r="Z447" s="31" t="str">
        <f>IF($X447="","",SUMIFS(TARIFF_PROFILES!$E:$E,TARIFF_PROFILES!$A:$A,$X447))</f>
        <v/>
      </c>
      <c r="AA447" s="31" t="str">
        <f>IF($X447="","",SUMIFS(TARIFF_PROFILES!$F:$F,TARIFF_PROFILES!$A:$A,$X447))</f>
        <v/>
      </c>
      <c r="AB447" s="31" t="str">
        <f>IF($X447="","",SUMIFS(TARIFF_PROFILES!$G:$G,TARIFF_PROFILES!$A:$A,$X447))</f>
        <v/>
      </c>
      <c r="AC447" s="31" t="str">
        <f>IF($X447="","",SUMIFS(TARIFF_PROFILES!$H:$H,TARIFF_PROFILES!$A:$A,$X447))</f>
        <v/>
      </c>
      <c r="AD447" s="31" t="str">
        <f t="array" ref="AD447">IF($X447="","",INDEX(TARIFF_PROFILES!$J:$J,MATCH($X447,TARIFF_PROFILES!$A:$A,0)))</f>
        <v/>
      </c>
      <c r="AE447" s="31" t="str">
        <f t="array" ref="AE447">IF($X447="","",INDEX(TARIFF_PROFILES!$K:$K,MATCH($X447,TARIFF_PROFILES!$A:$A,0)))</f>
        <v/>
      </c>
      <c r="AG447" s="8"/>
      <c r="AH447" s="8" t="str">
        <f>IF($AG447="","",SUMIFS(OPERATING_COEFFS!$C:$C,OPERATING_COEFFS!$A:$A,"DistanceClass",OPERATING_COEFFS!$B:$B,$AG447))</f>
        <v/>
      </c>
      <c r="AI447" s="8"/>
      <c r="AJ447" s="8" t="str">
        <f>IF($AI447="","",SUMIFS(OPERATING_COEFFS!$C:$C,OPERATING_COEFFS!$A:$A,"SeasonClass",OPERATING_COEFFS!$B:$B,$AI447))</f>
        <v/>
      </c>
      <c r="AK447" s="8"/>
      <c r="AL447" s="8" t="str">
        <f>IF($AK447="","",SUMIFS(OPERATING_COEFFS!$C:$C,OPERATING_COEFFS!$A:$A,"UrgencyClass",OPERATING_COEFFS!$B:$B,$AK447))</f>
        <v/>
      </c>
      <c r="AM447" s="8"/>
      <c r="AN447" s="8" t="str">
        <f t="array" ref="AN447">IF($AM447="","",INDEX(TAX_MODES!$B:$B,MATCH($AM447,TAX_MODES!$A:$A,0)))</f>
        <v/>
      </c>
    </row>
    <row r="448" ht="14.25" customHeight="1">
      <c r="C448" s="8"/>
      <c r="E448" s="8"/>
      <c r="G448" s="8"/>
      <c r="I448" s="8"/>
      <c r="K448" s="8"/>
      <c r="M448" s="8"/>
      <c r="O448" s="8"/>
      <c r="Q448" s="8"/>
      <c r="S448" s="8"/>
      <c r="V448" s="8"/>
      <c r="X448" s="31"/>
      <c r="Y448" s="31" t="str">
        <f>IF($X448="","",SUMIFS(TARIFF_PROFILES!$D:$D,TARIFF_PROFILES!$A:$A,$X448))</f>
        <v/>
      </c>
      <c r="Z448" s="31" t="str">
        <f>IF($X448="","",SUMIFS(TARIFF_PROFILES!$E:$E,TARIFF_PROFILES!$A:$A,$X448))</f>
        <v/>
      </c>
      <c r="AA448" s="31" t="str">
        <f>IF($X448="","",SUMIFS(TARIFF_PROFILES!$F:$F,TARIFF_PROFILES!$A:$A,$X448))</f>
        <v/>
      </c>
      <c r="AB448" s="31" t="str">
        <f>IF($X448="","",SUMIFS(TARIFF_PROFILES!$G:$G,TARIFF_PROFILES!$A:$A,$X448))</f>
        <v/>
      </c>
      <c r="AC448" s="31" t="str">
        <f>IF($X448="","",SUMIFS(TARIFF_PROFILES!$H:$H,TARIFF_PROFILES!$A:$A,$X448))</f>
        <v/>
      </c>
      <c r="AD448" s="31" t="str">
        <f t="array" ref="AD448">IF($X448="","",INDEX(TARIFF_PROFILES!$J:$J,MATCH($X448,TARIFF_PROFILES!$A:$A,0)))</f>
        <v/>
      </c>
      <c r="AE448" s="31" t="str">
        <f t="array" ref="AE448">IF($X448="","",INDEX(TARIFF_PROFILES!$K:$K,MATCH($X448,TARIFF_PROFILES!$A:$A,0)))</f>
        <v/>
      </c>
      <c r="AG448" s="8"/>
      <c r="AH448" s="8" t="str">
        <f>IF($AG448="","",SUMIFS(OPERATING_COEFFS!$C:$C,OPERATING_COEFFS!$A:$A,"DistanceClass",OPERATING_COEFFS!$B:$B,$AG448))</f>
        <v/>
      </c>
      <c r="AI448" s="8"/>
      <c r="AJ448" s="8" t="str">
        <f>IF($AI448="","",SUMIFS(OPERATING_COEFFS!$C:$C,OPERATING_COEFFS!$A:$A,"SeasonClass",OPERATING_COEFFS!$B:$B,$AI448))</f>
        <v/>
      </c>
      <c r="AK448" s="8"/>
      <c r="AL448" s="8" t="str">
        <f>IF($AK448="","",SUMIFS(OPERATING_COEFFS!$C:$C,OPERATING_COEFFS!$A:$A,"UrgencyClass",OPERATING_COEFFS!$B:$B,$AK448))</f>
        <v/>
      </c>
      <c r="AM448" s="8"/>
      <c r="AN448" s="8" t="str">
        <f t="array" ref="AN448">IF($AM448="","",INDEX(TAX_MODES!$B:$B,MATCH($AM448,TAX_MODES!$A:$A,0)))</f>
        <v/>
      </c>
    </row>
    <row r="449" ht="14.25" customHeight="1">
      <c r="C449" s="8"/>
      <c r="E449" s="8"/>
      <c r="G449" s="8"/>
      <c r="I449" s="8"/>
      <c r="K449" s="8"/>
      <c r="M449" s="8"/>
      <c r="O449" s="8"/>
      <c r="Q449" s="8"/>
      <c r="S449" s="8"/>
      <c r="V449" s="8"/>
      <c r="X449" s="31"/>
      <c r="Y449" s="31" t="str">
        <f>IF($X449="","",SUMIFS(TARIFF_PROFILES!$D:$D,TARIFF_PROFILES!$A:$A,$X449))</f>
        <v/>
      </c>
      <c r="Z449" s="31" t="str">
        <f>IF($X449="","",SUMIFS(TARIFF_PROFILES!$E:$E,TARIFF_PROFILES!$A:$A,$X449))</f>
        <v/>
      </c>
      <c r="AA449" s="31" t="str">
        <f>IF($X449="","",SUMIFS(TARIFF_PROFILES!$F:$F,TARIFF_PROFILES!$A:$A,$X449))</f>
        <v/>
      </c>
      <c r="AB449" s="31" t="str">
        <f>IF($X449="","",SUMIFS(TARIFF_PROFILES!$G:$G,TARIFF_PROFILES!$A:$A,$X449))</f>
        <v/>
      </c>
      <c r="AC449" s="31" t="str">
        <f>IF($X449="","",SUMIFS(TARIFF_PROFILES!$H:$H,TARIFF_PROFILES!$A:$A,$X449))</f>
        <v/>
      </c>
      <c r="AD449" s="31" t="str">
        <f t="array" ref="AD449">IF($X449="","",INDEX(TARIFF_PROFILES!$J:$J,MATCH($X449,TARIFF_PROFILES!$A:$A,0)))</f>
        <v/>
      </c>
      <c r="AE449" s="31" t="str">
        <f t="array" ref="AE449">IF($X449="","",INDEX(TARIFF_PROFILES!$K:$K,MATCH($X449,TARIFF_PROFILES!$A:$A,0)))</f>
        <v/>
      </c>
      <c r="AG449" s="8"/>
      <c r="AH449" s="8" t="str">
        <f>IF($AG449="","",SUMIFS(OPERATING_COEFFS!$C:$C,OPERATING_COEFFS!$A:$A,"DistanceClass",OPERATING_COEFFS!$B:$B,$AG449))</f>
        <v/>
      </c>
      <c r="AI449" s="8"/>
      <c r="AJ449" s="8" t="str">
        <f>IF($AI449="","",SUMIFS(OPERATING_COEFFS!$C:$C,OPERATING_COEFFS!$A:$A,"SeasonClass",OPERATING_COEFFS!$B:$B,$AI449))</f>
        <v/>
      </c>
      <c r="AK449" s="8"/>
      <c r="AL449" s="8" t="str">
        <f>IF($AK449="","",SUMIFS(OPERATING_COEFFS!$C:$C,OPERATING_COEFFS!$A:$A,"UrgencyClass",OPERATING_COEFFS!$B:$B,$AK449))</f>
        <v/>
      </c>
      <c r="AM449" s="8"/>
      <c r="AN449" s="8" t="str">
        <f t="array" ref="AN449">IF($AM449="","",INDEX(TAX_MODES!$B:$B,MATCH($AM449,TAX_MODES!$A:$A,0)))</f>
        <v/>
      </c>
    </row>
    <row r="450" ht="14.25" customHeight="1">
      <c r="C450" s="8"/>
      <c r="E450" s="8"/>
      <c r="G450" s="8"/>
      <c r="I450" s="8"/>
      <c r="K450" s="8"/>
      <c r="M450" s="8"/>
      <c r="O450" s="8"/>
      <c r="Q450" s="8"/>
      <c r="S450" s="8"/>
      <c r="V450" s="8"/>
      <c r="X450" s="31"/>
      <c r="Y450" s="31" t="str">
        <f>IF($X450="","",SUMIFS(TARIFF_PROFILES!$D:$D,TARIFF_PROFILES!$A:$A,$X450))</f>
        <v/>
      </c>
      <c r="Z450" s="31" t="str">
        <f>IF($X450="","",SUMIFS(TARIFF_PROFILES!$E:$E,TARIFF_PROFILES!$A:$A,$X450))</f>
        <v/>
      </c>
      <c r="AA450" s="31" t="str">
        <f>IF($X450="","",SUMIFS(TARIFF_PROFILES!$F:$F,TARIFF_PROFILES!$A:$A,$X450))</f>
        <v/>
      </c>
      <c r="AB450" s="31" t="str">
        <f>IF($X450="","",SUMIFS(TARIFF_PROFILES!$G:$G,TARIFF_PROFILES!$A:$A,$X450))</f>
        <v/>
      </c>
      <c r="AC450" s="31" t="str">
        <f>IF($X450="","",SUMIFS(TARIFF_PROFILES!$H:$H,TARIFF_PROFILES!$A:$A,$X450))</f>
        <v/>
      </c>
      <c r="AD450" s="31" t="str">
        <f t="array" ref="AD450">IF($X450="","",INDEX(TARIFF_PROFILES!$J:$J,MATCH($X450,TARIFF_PROFILES!$A:$A,0)))</f>
        <v/>
      </c>
      <c r="AE450" s="31" t="str">
        <f t="array" ref="AE450">IF($X450="","",INDEX(TARIFF_PROFILES!$K:$K,MATCH($X450,TARIFF_PROFILES!$A:$A,0)))</f>
        <v/>
      </c>
      <c r="AG450" s="8"/>
      <c r="AH450" s="8" t="str">
        <f>IF($AG450="","",SUMIFS(OPERATING_COEFFS!$C:$C,OPERATING_COEFFS!$A:$A,"DistanceClass",OPERATING_COEFFS!$B:$B,$AG450))</f>
        <v/>
      </c>
      <c r="AI450" s="8"/>
      <c r="AJ450" s="8" t="str">
        <f>IF($AI450="","",SUMIFS(OPERATING_COEFFS!$C:$C,OPERATING_COEFFS!$A:$A,"SeasonClass",OPERATING_COEFFS!$B:$B,$AI450))</f>
        <v/>
      </c>
      <c r="AK450" s="8"/>
      <c r="AL450" s="8" t="str">
        <f>IF($AK450="","",SUMIFS(OPERATING_COEFFS!$C:$C,OPERATING_COEFFS!$A:$A,"UrgencyClass",OPERATING_COEFFS!$B:$B,$AK450))</f>
        <v/>
      </c>
      <c r="AM450" s="8"/>
      <c r="AN450" s="8" t="str">
        <f t="array" ref="AN450">IF($AM450="","",INDEX(TAX_MODES!$B:$B,MATCH($AM450,TAX_MODES!$A:$A,0)))</f>
        <v/>
      </c>
    </row>
    <row r="451" ht="14.25" customHeight="1">
      <c r="C451" s="8"/>
      <c r="E451" s="8"/>
      <c r="G451" s="8"/>
      <c r="I451" s="8"/>
      <c r="K451" s="8"/>
      <c r="M451" s="8"/>
      <c r="O451" s="8"/>
      <c r="Q451" s="8"/>
      <c r="S451" s="8"/>
      <c r="V451" s="8"/>
      <c r="X451" s="31"/>
      <c r="Y451" s="31" t="str">
        <f>IF($X451="","",SUMIFS(TARIFF_PROFILES!$D:$D,TARIFF_PROFILES!$A:$A,$X451))</f>
        <v/>
      </c>
      <c r="Z451" s="31" t="str">
        <f>IF($X451="","",SUMIFS(TARIFF_PROFILES!$E:$E,TARIFF_PROFILES!$A:$A,$X451))</f>
        <v/>
      </c>
      <c r="AA451" s="31" t="str">
        <f>IF($X451="","",SUMIFS(TARIFF_PROFILES!$F:$F,TARIFF_PROFILES!$A:$A,$X451))</f>
        <v/>
      </c>
      <c r="AB451" s="31" t="str">
        <f>IF($X451="","",SUMIFS(TARIFF_PROFILES!$G:$G,TARIFF_PROFILES!$A:$A,$X451))</f>
        <v/>
      </c>
      <c r="AC451" s="31" t="str">
        <f>IF($X451="","",SUMIFS(TARIFF_PROFILES!$H:$H,TARIFF_PROFILES!$A:$A,$X451))</f>
        <v/>
      </c>
      <c r="AD451" s="31" t="str">
        <f t="array" ref="AD451">IF($X451="","",INDEX(TARIFF_PROFILES!$J:$J,MATCH($X451,TARIFF_PROFILES!$A:$A,0)))</f>
        <v/>
      </c>
      <c r="AE451" s="31" t="str">
        <f t="array" ref="AE451">IF($X451="","",INDEX(TARIFF_PROFILES!$K:$K,MATCH($X451,TARIFF_PROFILES!$A:$A,0)))</f>
        <v/>
      </c>
      <c r="AG451" s="8"/>
      <c r="AH451" s="8" t="str">
        <f>IF($AG451="","",SUMIFS(OPERATING_COEFFS!$C:$C,OPERATING_COEFFS!$A:$A,"DistanceClass",OPERATING_COEFFS!$B:$B,$AG451))</f>
        <v/>
      </c>
      <c r="AI451" s="8"/>
      <c r="AJ451" s="8" t="str">
        <f>IF($AI451="","",SUMIFS(OPERATING_COEFFS!$C:$C,OPERATING_COEFFS!$A:$A,"SeasonClass",OPERATING_COEFFS!$B:$B,$AI451))</f>
        <v/>
      </c>
      <c r="AK451" s="8"/>
      <c r="AL451" s="8" t="str">
        <f>IF($AK451="","",SUMIFS(OPERATING_COEFFS!$C:$C,OPERATING_COEFFS!$A:$A,"UrgencyClass",OPERATING_COEFFS!$B:$B,$AK451))</f>
        <v/>
      </c>
      <c r="AM451" s="8"/>
      <c r="AN451" s="8" t="str">
        <f t="array" ref="AN451">IF($AM451="","",INDEX(TAX_MODES!$B:$B,MATCH($AM451,TAX_MODES!$A:$A,0)))</f>
        <v/>
      </c>
    </row>
    <row r="452" ht="14.25" customHeight="1">
      <c r="C452" s="8"/>
      <c r="E452" s="8"/>
      <c r="G452" s="8"/>
      <c r="I452" s="8"/>
      <c r="K452" s="8"/>
      <c r="M452" s="8"/>
      <c r="O452" s="8"/>
      <c r="Q452" s="8"/>
      <c r="S452" s="8"/>
      <c r="V452" s="8"/>
      <c r="X452" s="31"/>
      <c r="Y452" s="31" t="str">
        <f>IF($X452="","",SUMIFS(TARIFF_PROFILES!$D:$D,TARIFF_PROFILES!$A:$A,$X452))</f>
        <v/>
      </c>
      <c r="Z452" s="31" t="str">
        <f>IF($X452="","",SUMIFS(TARIFF_PROFILES!$E:$E,TARIFF_PROFILES!$A:$A,$X452))</f>
        <v/>
      </c>
      <c r="AA452" s="31" t="str">
        <f>IF($X452="","",SUMIFS(TARIFF_PROFILES!$F:$F,TARIFF_PROFILES!$A:$A,$X452))</f>
        <v/>
      </c>
      <c r="AB452" s="31" t="str">
        <f>IF($X452="","",SUMIFS(TARIFF_PROFILES!$G:$G,TARIFF_PROFILES!$A:$A,$X452))</f>
        <v/>
      </c>
      <c r="AC452" s="31" t="str">
        <f>IF($X452="","",SUMIFS(TARIFF_PROFILES!$H:$H,TARIFF_PROFILES!$A:$A,$X452))</f>
        <v/>
      </c>
      <c r="AD452" s="31" t="str">
        <f t="array" ref="AD452">IF($X452="","",INDEX(TARIFF_PROFILES!$J:$J,MATCH($X452,TARIFF_PROFILES!$A:$A,0)))</f>
        <v/>
      </c>
      <c r="AE452" s="31" t="str">
        <f t="array" ref="AE452">IF($X452="","",INDEX(TARIFF_PROFILES!$K:$K,MATCH($X452,TARIFF_PROFILES!$A:$A,0)))</f>
        <v/>
      </c>
      <c r="AG452" s="8"/>
      <c r="AH452" s="8" t="str">
        <f>IF($AG452="","",SUMIFS(OPERATING_COEFFS!$C:$C,OPERATING_COEFFS!$A:$A,"DistanceClass",OPERATING_COEFFS!$B:$B,$AG452))</f>
        <v/>
      </c>
      <c r="AI452" s="8"/>
      <c r="AJ452" s="8" t="str">
        <f>IF($AI452="","",SUMIFS(OPERATING_COEFFS!$C:$C,OPERATING_COEFFS!$A:$A,"SeasonClass",OPERATING_COEFFS!$B:$B,$AI452))</f>
        <v/>
      </c>
      <c r="AK452" s="8"/>
      <c r="AL452" s="8" t="str">
        <f>IF($AK452="","",SUMIFS(OPERATING_COEFFS!$C:$C,OPERATING_COEFFS!$A:$A,"UrgencyClass",OPERATING_COEFFS!$B:$B,$AK452))</f>
        <v/>
      </c>
      <c r="AM452" s="8"/>
      <c r="AN452" s="8" t="str">
        <f t="array" ref="AN452">IF($AM452="","",INDEX(TAX_MODES!$B:$B,MATCH($AM452,TAX_MODES!$A:$A,0)))</f>
        <v/>
      </c>
    </row>
    <row r="453" ht="14.25" customHeight="1">
      <c r="C453" s="8"/>
      <c r="E453" s="8"/>
      <c r="G453" s="8"/>
      <c r="I453" s="8"/>
      <c r="K453" s="8"/>
      <c r="M453" s="8"/>
      <c r="O453" s="8"/>
      <c r="Q453" s="8"/>
      <c r="S453" s="8"/>
      <c r="V453" s="8"/>
      <c r="X453" s="31"/>
      <c r="Y453" s="31" t="str">
        <f>IF($X453="","",SUMIFS(TARIFF_PROFILES!$D:$D,TARIFF_PROFILES!$A:$A,$X453))</f>
        <v/>
      </c>
      <c r="Z453" s="31" t="str">
        <f>IF($X453="","",SUMIFS(TARIFF_PROFILES!$E:$E,TARIFF_PROFILES!$A:$A,$X453))</f>
        <v/>
      </c>
      <c r="AA453" s="31" t="str">
        <f>IF($X453="","",SUMIFS(TARIFF_PROFILES!$F:$F,TARIFF_PROFILES!$A:$A,$X453))</f>
        <v/>
      </c>
      <c r="AB453" s="31" t="str">
        <f>IF($X453="","",SUMIFS(TARIFF_PROFILES!$G:$G,TARIFF_PROFILES!$A:$A,$X453))</f>
        <v/>
      </c>
      <c r="AC453" s="31" t="str">
        <f>IF($X453="","",SUMIFS(TARIFF_PROFILES!$H:$H,TARIFF_PROFILES!$A:$A,$X453))</f>
        <v/>
      </c>
      <c r="AD453" s="31" t="str">
        <f t="array" ref="AD453">IF($X453="","",INDEX(TARIFF_PROFILES!$J:$J,MATCH($X453,TARIFF_PROFILES!$A:$A,0)))</f>
        <v/>
      </c>
      <c r="AE453" s="31" t="str">
        <f t="array" ref="AE453">IF($X453="","",INDEX(TARIFF_PROFILES!$K:$K,MATCH($X453,TARIFF_PROFILES!$A:$A,0)))</f>
        <v/>
      </c>
      <c r="AG453" s="8"/>
      <c r="AH453" s="8" t="str">
        <f>IF($AG453="","",SUMIFS(OPERATING_COEFFS!$C:$C,OPERATING_COEFFS!$A:$A,"DistanceClass",OPERATING_COEFFS!$B:$B,$AG453))</f>
        <v/>
      </c>
      <c r="AI453" s="8"/>
      <c r="AJ453" s="8" t="str">
        <f>IF($AI453="","",SUMIFS(OPERATING_COEFFS!$C:$C,OPERATING_COEFFS!$A:$A,"SeasonClass",OPERATING_COEFFS!$B:$B,$AI453))</f>
        <v/>
      </c>
      <c r="AK453" s="8"/>
      <c r="AL453" s="8" t="str">
        <f>IF($AK453="","",SUMIFS(OPERATING_COEFFS!$C:$C,OPERATING_COEFFS!$A:$A,"UrgencyClass",OPERATING_COEFFS!$B:$B,$AK453))</f>
        <v/>
      </c>
      <c r="AM453" s="8"/>
      <c r="AN453" s="8" t="str">
        <f t="array" ref="AN453">IF($AM453="","",INDEX(TAX_MODES!$B:$B,MATCH($AM453,TAX_MODES!$A:$A,0)))</f>
        <v/>
      </c>
    </row>
    <row r="454" ht="14.25" customHeight="1">
      <c r="C454" s="8"/>
      <c r="E454" s="8"/>
      <c r="G454" s="8"/>
      <c r="I454" s="8"/>
      <c r="K454" s="8"/>
      <c r="M454" s="8"/>
      <c r="O454" s="8"/>
      <c r="Q454" s="8"/>
      <c r="S454" s="8"/>
      <c r="V454" s="8"/>
      <c r="X454" s="31"/>
      <c r="Y454" s="31" t="str">
        <f>IF($X454="","",SUMIFS(TARIFF_PROFILES!$D:$D,TARIFF_PROFILES!$A:$A,$X454))</f>
        <v/>
      </c>
      <c r="Z454" s="31" t="str">
        <f>IF($X454="","",SUMIFS(TARIFF_PROFILES!$E:$E,TARIFF_PROFILES!$A:$A,$X454))</f>
        <v/>
      </c>
      <c r="AA454" s="31" t="str">
        <f>IF($X454="","",SUMIFS(TARIFF_PROFILES!$F:$F,TARIFF_PROFILES!$A:$A,$X454))</f>
        <v/>
      </c>
      <c r="AB454" s="31" t="str">
        <f>IF($X454="","",SUMIFS(TARIFF_PROFILES!$G:$G,TARIFF_PROFILES!$A:$A,$X454))</f>
        <v/>
      </c>
      <c r="AC454" s="31" t="str">
        <f>IF($X454="","",SUMIFS(TARIFF_PROFILES!$H:$H,TARIFF_PROFILES!$A:$A,$X454))</f>
        <v/>
      </c>
      <c r="AD454" s="31" t="str">
        <f t="array" ref="AD454">IF($X454="","",INDEX(TARIFF_PROFILES!$J:$J,MATCH($X454,TARIFF_PROFILES!$A:$A,0)))</f>
        <v/>
      </c>
      <c r="AE454" s="31" t="str">
        <f t="array" ref="AE454">IF($X454="","",INDEX(TARIFF_PROFILES!$K:$K,MATCH($X454,TARIFF_PROFILES!$A:$A,0)))</f>
        <v/>
      </c>
      <c r="AG454" s="8"/>
      <c r="AH454" s="8" t="str">
        <f>IF($AG454="","",SUMIFS(OPERATING_COEFFS!$C:$C,OPERATING_COEFFS!$A:$A,"DistanceClass",OPERATING_COEFFS!$B:$B,$AG454))</f>
        <v/>
      </c>
      <c r="AI454" s="8"/>
      <c r="AJ454" s="8" t="str">
        <f>IF($AI454="","",SUMIFS(OPERATING_COEFFS!$C:$C,OPERATING_COEFFS!$A:$A,"SeasonClass",OPERATING_COEFFS!$B:$B,$AI454))</f>
        <v/>
      </c>
      <c r="AK454" s="8"/>
      <c r="AL454" s="8" t="str">
        <f>IF($AK454="","",SUMIFS(OPERATING_COEFFS!$C:$C,OPERATING_COEFFS!$A:$A,"UrgencyClass",OPERATING_COEFFS!$B:$B,$AK454))</f>
        <v/>
      </c>
      <c r="AM454" s="8"/>
      <c r="AN454" s="8" t="str">
        <f t="array" ref="AN454">IF($AM454="","",INDEX(TAX_MODES!$B:$B,MATCH($AM454,TAX_MODES!$A:$A,0)))</f>
        <v/>
      </c>
    </row>
    <row r="455" ht="14.25" customHeight="1">
      <c r="C455" s="8"/>
      <c r="E455" s="8"/>
      <c r="G455" s="8"/>
      <c r="I455" s="8"/>
      <c r="K455" s="8"/>
      <c r="M455" s="8"/>
      <c r="O455" s="8"/>
      <c r="Q455" s="8"/>
      <c r="S455" s="8"/>
      <c r="V455" s="8"/>
      <c r="X455" s="31"/>
      <c r="Y455" s="31" t="str">
        <f>IF($X455="","",SUMIFS(TARIFF_PROFILES!$D:$D,TARIFF_PROFILES!$A:$A,$X455))</f>
        <v/>
      </c>
      <c r="Z455" s="31" t="str">
        <f>IF($X455="","",SUMIFS(TARIFF_PROFILES!$E:$E,TARIFF_PROFILES!$A:$A,$X455))</f>
        <v/>
      </c>
      <c r="AA455" s="31" t="str">
        <f>IF($X455="","",SUMIFS(TARIFF_PROFILES!$F:$F,TARIFF_PROFILES!$A:$A,$X455))</f>
        <v/>
      </c>
      <c r="AB455" s="31" t="str">
        <f>IF($X455="","",SUMIFS(TARIFF_PROFILES!$G:$G,TARIFF_PROFILES!$A:$A,$X455))</f>
        <v/>
      </c>
      <c r="AC455" s="31" t="str">
        <f>IF($X455="","",SUMIFS(TARIFF_PROFILES!$H:$H,TARIFF_PROFILES!$A:$A,$X455))</f>
        <v/>
      </c>
      <c r="AD455" s="31" t="str">
        <f t="array" ref="AD455">IF($X455="","",INDEX(TARIFF_PROFILES!$J:$J,MATCH($X455,TARIFF_PROFILES!$A:$A,0)))</f>
        <v/>
      </c>
      <c r="AE455" s="31" t="str">
        <f t="array" ref="AE455">IF($X455="","",INDEX(TARIFF_PROFILES!$K:$K,MATCH($X455,TARIFF_PROFILES!$A:$A,0)))</f>
        <v/>
      </c>
      <c r="AG455" s="8"/>
      <c r="AH455" s="8" t="str">
        <f>IF($AG455="","",SUMIFS(OPERATING_COEFFS!$C:$C,OPERATING_COEFFS!$A:$A,"DistanceClass",OPERATING_COEFFS!$B:$B,$AG455))</f>
        <v/>
      </c>
      <c r="AI455" s="8"/>
      <c r="AJ455" s="8" t="str">
        <f>IF($AI455="","",SUMIFS(OPERATING_COEFFS!$C:$C,OPERATING_COEFFS!$A:$A,"SeasonClass",OPERATING_COEFFS!$B:$B,$AI455))</f>
        <v/>
      </c>
      <c r="AK455" s="8"/>
      <c r="AL455" s="8" t="str">
        <f>IF($AK455="","",SUMIFS(OPERATING_COEFFS!$C:$C,OPERATING_COEFFS!$A:$A,"UrgencyClass",OPERATING_COEFFS!$B:$B,$AK455))</f>
        <v/>
      </c>
      <c r="AM455" s="8"/>
      <c r="AN455" s="8" t="str">
        <f t="array" ref="AN455">IF($AM455="","",INDEX(TAX_MODES!$B:$B,MATCH($AM455,TAX_MODES!$A:$A,0)))</f>
        <v/>
      </c>
    </row>
    <row r="456" ht="14.25" customHeight="1">
      <c r="C456" s="8"/>
      <c r="E456" s="8"/>
      <c r="G456" s="8"/>
      <c r="I456" s="8"/>
      <c r="K456" s="8"/>
      <c r="M456" s="8"/>
      <c r="O456" s="8"/>
      <c r="Q456" s="8"/>
      <c r="S456" s="8"/>
      <c r="V456" s="8"/>
      <c r="X456" s="31"/>
      <c r="Y456" s="31" t="str">
        <f>IF($X456="","",SUMIFS(TARIFF_PROFILES!$D:$D,TARIFF_PROFILES!$A:$A,$X456))</f>
        <v/>
      </c>
      <c r="Z456" s="31" t="str">
        <f>IF($X456="","",SUMIFS(TARIFF_PROFILES!$E:$E,TARIFF_PROFILES!$A:$A,$X456))</f>
        <v/>
      </c>
      <c r="AA456" s="31" t="str">
        <f>IF($X456="","",SUMIFS(TARIFF_PROFILES!$F:$F,TARIFF_PROFILES!$A:$A,$X456))</f>
        <v/>
      </c>
      <c r="AB456" s="31" t="str">
        <f>IF($X456="","",SUMIFS(TARIFF_PROFILES!$G:$G,TARIFF_PROFILES!$A:$A,$X456))</f>
        <v/>
      </c>
      <c r="AC456" s="31" t="str">
        <f>IF($X456="","",SUMIFS(TARIFF_PROFILES!$H:$H,TARIFF_PROFILES!$A:$A,$X456))</f>
        <v/>
      </c>
      <c r="AD456" s="31" t="str">
        <f t="array" ref="AD456">IF($X456="","",INDEX(TARIFF_PROFILES!$J:$J,MATCH($X456,TARIFF_PROFILES!$A:$A,0)))</f>
        <v/>
      </c>
      <c r="AE456" s="31" t="str">
        <f t="array" ref="AE456">IF($X456="","",INDEX(TARIFF_PROFILES!$K:$K,MATCH($X456,TARIFF_PROFILES!$A:$A,0)))</f>
        <v/>
      </c>
      <c r="AG456" s="8"/>
      <c r="AH456" s="8" t="str">
        <f>IF($AG456="","",SUMIFS(OPERATING_COEFFS!$C:$C,OPERATING_COEFFS!$A:$A,"DistanceClass",OPERATING_COEFFS!$B:$B,$AG456))</f>
        <v/>
      </c>
      <c r="AI456" s="8"/>
      <c r="AJ456" s="8" t="str">
        <f>IF($AI456="","",SUMIFS(OPERATING_COEFFS!$C:$C,OPERATING_COEFFS!$A:$A,"SeasonClass",OPERATING_COEFFS!$B:$B,$AI456))</f>
        <v/>
      </c>
      <c r="AK456" s="8"/>
      <c r="AL456" s="8" t="str">
        <f>IF($AK456="","",SUMIFS(OPERATING_COEFFS!$C:$C,OPERATING_COEFFS!$A:$A,"UrgencyClass",OPERATING_COEFFS!$B:$B,$AK456))</f>
        <v/>
      </c>
      <c r="AM456" s="8"/>
      <c r="AN456" s="8" t="str">
        <f t="array" ref="AN456">IF($AM456="","",INDEX(TAX_MODES!$B:$B,MATCH($AM456,TAX_MODES!$A:$A,0)))</f>
        <v/>
      </c>
    </row>
    <row r="457" ht="14.25" customHeight="1">
      <c r="C457" s="8"/>
      <c r="E457" s="8"/>
      <c r="G457" s="8"/>
      <c r="I457" s="8"/>
      <c r="K457" s="8"/>
      <c r="M457" s="8"/>
      <c r="O457" s="8"/>
      <c r="Q457" s="8"/>
      <c r="S457" s="8"/>
      <c r="V457" s="8"/>
      <c r="X457" s="31"/>
      <c r="Y457" s="31" t="str">
        <f>IF($X457="","",SUMIFS(TARIFF_PROFILES!$D:$D,TARIFF_PROFILES!$A:$A,$X457))</f>
        <v/>
      </c>
      <c r="Z457" s="31" t="str">
        <f>IF($X457="","",SUMIFS(TARIFF_PROFILES!$E:$E,TARIFF_PROFILES!$A:$A,$X457))</f>
        <v/>
      </c>
      <c r="AA457" s="31" t="str">
        <f>IF($X457="","",SUMIFS(TARIFF_PROFILES!$F:$F,TARIFF_PROFILES!$A:$A,$X457))</f>
        <v/>
      </c>
      <c r="AB457" s="31" t="str">
        <f>IF($X457="","",SUMIFS(TARIFF_PROFILES!$G:$G,TARIFF_PROFILES!$A:$A,$X457))</f>
        <v/>
      </c>
      <c r="AC457" s="31" t="str">
        <f>IF($X457="","",SUMIFS(TARIFF_PROFILES!$H:$H,TARIFF_PROFILES!$A:$A,$X457))</f>
        <v/>
      </c>
      <c r="AD457" s="31" t="str">
        <f t="array" ref="AD457">IF($X457="","",INDEX(TARIFF_PROFILES!$J:$J,MATCH($X457,TARIFF_PROFILES!$A:$A,0)))</f>
        <v/>
      </c>
      <c r="AE457" s="31" t="str">
        <f t="array" ref="AE457">IF($X457="","",INDEX(TARIFF_PROFILES!$K:$K,MATCH($X457,TARIFF_PROFILES!$A:$A,0)))</f>
        <v/>
      </c>
      <c r="AG457" s="8"/>
      <c r="AH457" s="8" t="str">
        <f>IF($AG457="","",SUMIFS(OPERATING_COEFFS!$C:$C,OPERATING_COEFFS!$A:$A,"DistanceClass",OPERATING_COEFFS!$B:$B,$AG457))</f>
        <v/>
      </c>
      <c r="AI457" s="8"/>
      <c r="AJ457" s="8" t="str">
        <f>IF($AI457="","",SUMIFS(OPERATING_COEFFS!$C:$C,OPERATING_COEFFS!$A:$A,"SeasonClass",OPERATING_COEFFS!$B:$B,$AI457))</f>
        <v/>
      </c>
      <c r="AK457" s="8"/>
      <c r="AL457" s="8" t="str">
        <f>IF($AK457="","",SUMIFS(OPERATING_COEFFS!$C:$C,OPERATING_COEFFS!$A:$A,"UrgencyClass",OPERATING_COEFFS!$B:$B,$AK457))</f>
        <v/>
      </c>
      <c r="AM457" s="8"/>
      <c r="AN457" s="8" t="str">
        <f t="array" ref="AN457">IF($AM457="","",INDEX(TAX_MODES!$B:$B,MATCH($AM457,TAX_MODES!$A:$A,0)))</f>
        <v/>
      </c>
    </row>
    <row r="458" ht="14.25" customHeight="1">
      <c r="C458" s="8"/>
      <c r="E458" s="8"/>
      <c r="G458" s="8"/>
      <c r="I458" s="8"/>
      <c r="K458" s="8"/>
      <c r="M458" s="8"/>
      <c r="O458" s="8"/>
      <c r="Q458" s="8"/>
      <c r="S458" s="8"/>
      <c r="V458" s="8"/>
      <c r="X458" s="31"/>
      <c r="Y458" s="31" t="str">
        <f>IF($X458="","",SUMIFS(TARIFF_PROFILES!$D:$D,TARIFF_PROFILES!$A:$A,$X458))</f>
        <v/>
      </c>
      <c r="Z458" s="31" t="str">
        <f>IF($X458="","",SUMIFS(TARIFF_PROFILES!$E:$E,TARIFF_PROFILES!$A:$A,$X458))</f>
        <v/>
      </c>
      <c r="AA458" s="31" t="str">
        <f>IF($X458="","",SUMIFS(TARIFF_PROFILES!$F:$F,TARIFF_PROFILES!$A:$A,$X458))</f>
        <v/>
      </c>
      <c r="AB458" s="31" t="str">
        <f>IF($X458="","",SUMIFS(TARIFF_PROFILES!$G:$G,TARIFF_PROFILES!$A:$A,$X458))</f>
        <v/>
      </c>
      <c r="AC458" s="31" t="str">
        <f>IF($X458="","",SUMIFS(TARIFF_PROFILES!$H:$H,TARIFF_PROFILES!$A:$A,$X458))</f>
        <v/>
      </c>
      <c r="AD458" s="31" t="str">
        <f t="array" ref="AD458">IF($X458="","",INDEX(TARIFF_PROFILES!$J:$J,MATCH($X458,TARIFF_PROFILES!$A:$A,0)))</f>
        <v/>
      </c>
      <c r="AE458" s="31" t="str">
        <f t="array" ref="AE458">IF($X458="","",INDEX(TARIFF_PROFILES!$K:$K,MATCH($X458,TARIFF_PROFILES!$A:$A,0)))</f>
        <v/>
      </c>
      <c r="AG458" s="8"/>
      <c r="AH458" s="8" t="str">
        <f>IF($AG458="","",SUMIFS(OPERATING_COEFFS!$C:$C,OPERATING_COEFFS!$A:$A,"DistanceClass",OPERATING_COEFFS!$B:$B,$AG458))</f>
        <v/>
      </c>
      <c r="AI458" s="8"/>
      <c r="AJ458" s="8" t="str">
        <f>IF($AI458="","",SUMIFS(OPERATING_COEFFS!$C:$C,OPERATING_COEFFS!$A:$A,"SeasonClass",OPERATING_COEFFS!$B:$B,$AI458))</f>
        <v/>
      </c>
      <c r="AK458" s="8"/>
      <c r="AL458" s="8" t="str">
        <f>IF($AK458="","",SUMIFS(OPERATING_COEFFS!$C:$C,OPERATING_COEFFS!$A:$A,"UrgencyClass",OPERATING_COEFFS!$B:$B,$AK458))</f>
        <v/>
      </c>
      <c r="AM458" s="8"/>
      <c r="AN458" s="8" t="str">
        <f t="array" ref="AN458">IF($AM458="","",INDEX(TAX_MODES!$B:$B,MATCH($AM458,TAX_MODES!$A:$A,0)))</f>
        <v/>
      </c>
    </row>
    <row r="459" ht="14.25" customHeight="1">
      <c r="C459" s="8"/>
      <c r="E459" s="8"/>
      <c r="G459" s="8"/>
      <c r="I459" s="8"/>
      <c r="K459" s="8"/>
      <c r="M459" s="8"/>
      <c r="O459" s="8"/>
      <c r="Q459" s="8"/>
      <c r="S459" s="8"/>
      <c r="V459" s="8"/>
      <c r="X459" s="31"/>
      <c r="Y459" s="31" t="str">
        <f>IF($X459="","",SUMIFS(TARIFF_PROFILES!$D:$D,TARIFF_PROFILES!$A:$A,$X459))</f>
        <v/>
      </c>
      <c r="Z459" s="31" t="str">
        <f>IF($X459="","",SUMIFS(TARIFF_PROFILES!$E:$E,TARIFF_PROFILES!$A:$A,$X459))</f>
        <v/>
      </c>
      <c r="AA459" s="31" t="str">
        <f>IF($X459="","",SUMIFS(TARIFF_PROFILES!$F:$F,TARIFF_PROFILES!$A:$A,$X459))</f>
        <v/>
      </c>
      <c r="AB459" s="31" t="str">
        <f>IF($X459="","",SUMIFS(TARIFF_PROFILES!$G:$G,TARIFF_PROFILES!$A:$A,$X459))</f>
        <v/>
      </c>
      <c r="AC459" s="31" t="str">
        <f>IF($X459="","",SUMIFS(TARIFF_PROFILES!$H:$H,TARIFF_PROFILES!$A:$A,$X459))</f>
        <v/>
      </c>
      <c r="AD459" s="31" t="str">
        <f t="array" ref="AD459">IF($X459="","",INDEX(TARIFF_PROFILES!$J:$J,MATCH($X459,TARIFF_PROFILES!$A:$A,0)))</f>
        <v/>
      </c>
      <c r="AE459" s="31" t="str">
        <f t="array" ref="AE459">IF($X459="","",INDEX(TARIFF_PROFILES!$K:$K,MATCH($X459,TARIFF_PROFILES!$A:$A,0)))</f>
        <v/>
      </c>
      <c r="AG459" s="8"/>
      <c r="AH459" s="8" t="str">
        <f>IF($AG459="","",SUMIFS(OPERATING_COEFFS!$C:$C,OPERATING_COEFFS!$A:$A,"DistanceClass",OPERATING_COEFFS!$B:$B,$AG459))</f>
        <v/>
      </c>
      <c r="AI459" s="8"/>
      <c r="AJ459" s="8" t="str">
        <f>IF($AI459="","",SUMIFS(OPERATING_COEFFS!$C:$C,OPERATING_COEFFS!$A:$A,"SeasonClass",OPERATING_COEFFS!$B:$B,$AI459))</f>
        <v/>
      </c>
      <c r="AK459" s="8"/>
      <c r="AL459" s="8" t="str">
        <f>IF($AK459="","",SUMIFS(OPERATING_COEFFS!$C:$C,OPERATING_COEFFS!$A:$A,"UrgencyClass",OPERATING_COEFFS!$B:$B,$AK459))</f>
        <v/>
      </c>
      <c r="AM459" s="8"/>
      <c r="AN459" s="8" t="str">
        <f t="array" ref="AN459">IF($AM459="","",INDEX(TAX_MODES!$B:$B,MATCH($AM459,TAX_MODES!$A:$A,0)))</f>
        <v/>
      </c>
    </row>
    <row r="460" ht="14.25" customHeight="1">
      <c r="C460" s="8"/>
      <c r="E460" s="8"/>
      <c r="G460" s="8"/>
      <c r="I460" s="8"/>
      <c r="K460" s="8"/>
      <c r="M460" s="8"/>
      <c r="O460" s="8"/>
      <c r="Q460" s="8"/>
      <c r="S460" s="8"/>
      <c r="V460" s="8"/>
      <c r="X460" s="31"/>
      <c r="Y460" s="31" t="str">
        <f>IF($X460="","",SUMIFS(TARIFF_PROFILES!$D:$D,TARIFF_PROFILES!$A:$A,$X460))</f>
        <v/>
      </c>
      <c r="Z460" s="31" t="str">
        <f>IF($X460="","",SUMIFS(TARIFF_PROFILES!$E:$E,TARIFF_PROFILES!$A:$A,$X460))</f>
        <v/>
      </c>
      <c r="AA460" s="31" t="str">
        <f>IF($X460="","",SUMIFS(TARIFF_PROFILES!$F:$F,TARIFF_PROFILES!$A:$A,$X460))</f>
        <v/>
      </c>
      <c r="AB460" s="31" t="str">
        <f>IF($X460="","",SUMIFS(TARIFF_PROFILES!$G:$G,TARIFF_PROFILES!$A:$A,$X460))</f>
        <v/>
      </c>
      <c r="AC460" s="31" t="str">
        <f>IF($X460="","",SUMIFS(TARIFF_PROFILES!$H:$H,TARIFF_PROFILES!$A:$A,$X460))</f>
        <v/>
      </c>
      <c r="AD460" s="31" t="str">
        <f t="array" ref="AD460">IF($X460="","",INDEX(TARIFF_PROFILES!$J:$J,MATCH($X460,TARIFF_PROFILES!$A:$A,0)))</f>
        <v/>
      </c>
      <c r="AE460" s="31" t="str">
        <f t="array" ref="AE460">IF($X460="","",INDEX(TARIFF_PROFILES!$K:$K,MATCH($X460,TARIFF_PROFILES!$A:$A,0)))</f>
        <v/>
      </c>
      <c r="AG460" s="8"/>
      <c r="AH460" s="8" t="str">
        <f>IF($AG460="","",SUMIFS(OPERATING_COEFFS!$C:$C,OPERATING_COEFFS!$A:$A,"DistanceClass",OPERATING_COEFFS!$B:$B,$AG460))</f>
        <v/>
      </c>
      <c r="AI460" s="8"/>
      <c r="AJ460" s="8" t="str">
        <f>IF($AI460="","",SUMIFS(OPERATING_COEFFS!$C:$C,OPERATING_COEFFS!$A:$A,"SeasonClass",OPERATING_COEFFS!$B:$B,$AI460))</f>
        <v/>
      </c>
      <c r="AK460" s="8"/>
      <c r="AL460" s="8" t="str">
        <f>IF($AK460="","",SUMIFS(OPERATING_COEFFS!$C:$C,OPERATING_COEFFS!$A:$A,"UrgencyClass",OPERATING_COEFFS!$B:$B,$AK460))</f>
        <v/>
      </c>
      <c r="AM460" s="8"/>
      <c r="AN460" s="8" t="str">
        <f t="array" ref="AN460">IF($AM460="","",INDEX(TAX_MODES!$B:$B,MATCH($AM460,TAX_MODES!$A:$A,0)))</f>
        <v/>
      </c>
    </row>
    <row r="461" ht="14.25" customHeight="1">
      <c r="C461" s="8"/>
      <c r="E461" s="8"/>
      <c r="G461" s="8"/>
      <c r="I461" s="8"/>
      <c r="K461" s="8"/>
      <c r="M461" s="8"/>
      <c r="O461" s="8"/>
      <c r="Q461" s="8"/>
      <c r="S461" s="8"/>
      <c r="V461" s="8"/>
      <c r="X461" s="31"/>
      <c r="Y461" s="31" t="str">
        <f>IF($X461="","",SUMIFS(TARIFF_PROFILES!$D:$D,TARIFF_PROFILES!$A:$A,$X461))</f>
        <v/>
      </c>
      <c r="Z461" s="31" t="str">
        <f>IF($X461="","",SUMIFS(TARIFF_PROFILES!$E:$E,TARIFF_PROFILES!$A:$A,$X461))</f>
        <v/>
      </c>
      <c r="AA461" s="31" t="str">
        <f>IF($X461="","",SUMIFS(TARIFF_PROFILES!$F:$F,TARIFF_PROFILES!$A:$A,$X461))</f>
        <v/>
      </c>
      <c r="AB461" s="31" t="str">
        <f>IF($X461="","",SUMIFS(TARIFF_PROFILES!$G:$G,TARIFF_PROFILES!$A:$A,$X461))</f>
        <v/>
      </c>
      <c r="AC461" s="31" t="str">
        <f>IF($X461="","",SUMIFS(TARIFF_PROFILES!$H:$H,TARIFF_PROFILES!$A:$A,$X461))</f>
        <v/>
      </c>
      <c r="AD461" s="31" t="str">
        <f t="array" ref="AD461">IF($X461="","",INDEX(TARIFF_PROFILES!$J:$J,MATCH($X461,TARIFF_PROFILES!$A:$A,0)))</f>
        <v/>
      </c>
      <c r="AE461" s="31" t="str">
        <f t="array" ref="AE461">IF($X461="","",INDEX(TARIFF_PROFILES!$K:$K,MATCH($X461,TARIFF_PROFILES!$A:$A,0)))</f>
        <v/>
      </c>
      <c r="AG461" s="8"/>
      <c r="AH461" s="8" t="str">
        <f>IF($AG461="","",SUMIFS(OPERATING_COEFFS!$C:$C,OPERATING_COEFFS!$A:$A,"DistanceClass",OPERATING_COEFFS!$B:$B,$AG461))</f>
        <v/>
      </c>
      <c r="AI461" s="8"/>
      <c r="AJ461" s="8" t="str">
        <f>IF($AI461="","",SUMIFS(OPERATING_COEFFS!$C:$C,OPERATING_COEFFS!$A:$A,"SeasonClass",OPERATING_COEFFS!$B:$B,$AI461))</f>
        <v/>
      </c>
      <c r="AK461" s="8"/>
      <c r="AL461" s="8" t="str">
        <f>IF($AK461="","",SUMIFS(OPERATING_COEFFS!$C:$C,OPERATING_COEFFS!$A:$A,"UrgencyClass",OPERATING_COEFFS!$B:$B,$AK461))</f>
        <v/>
      </c>
      <c r="AM461" s="8"/>
      <c r="AN461" s="8" t="str">
        <f t="array" ref="AN461">IF($AM461="","",INDEX(TAX_MODES!$B:$B,MATCH($AM461,TAX_MODES!$A:$A,0)))</f>
        <v/>
      </c>
    </row>
    <row r="462" ht="14.25" customHeight="1">
      <c r="C462" s="8"/>
      <c r="E462" s="8"/>
      <c r="G462" s="8"/>
      <c r="I462" s="8"/>
      <c r="K462" s="8"/>
      <c r="M462" s="8"/>
      <c r="O462" s="8"/>
      <c r="Q462" s="8"/>
      <c r="S462" s="8"/>
      <c r="V462" s="8"/>
      <c r="X462" s="31"/>
      <c r="Y462" s="31" t="str">
        <f>IF($X462="","",SUMIFS(TARIFF_PROFILES!$D:$D,TARIFF_PROFILES!$A:$A,$X462))</f>
        <v/>
      </c>
      <c r="Z462" s="31" t="str">
        <f>IF($X462="","",SUMIFS(TARIFF_PROFILES!$E:$E,TARIFF_PROFILES!$A:$A,$X462))</f>
        <v/>
      </c>
      <c r="AA462" s="31" t="str">
        <f>IF($X462="","",SUMIFS(TARIFF_PROFILES!$F:$F,TARIFF_PROFILES!$A:$A,$X462))</f>
        <v/>
      </c>
      <c r="AB462" s="31" t="str">
        <f>IF($X462="","",SUMIFS(TARIFF_PROFILES!$G:$G,TARIFF_PROFILES!$A:$A,$X462))</f>
        <v/>
      </c>
      <c r="AC462" s="31" t="str">
        <f>IF($X462="","",SUMIFS(TARIFF_PROFILES!$H:$H,TARIFF_PROFILES!$A:$A,$X462))</f>
        <v/>
      </c>
      <c r="AD462" s="31" t="str">
        <f t="array" ref="AD462">IF($X462="","",INDEX(TARIFF_PROFILES!$J:$J,MATCH($X462,TARIFF_PROFILES!$A:$A,0)))</f>
        <v/>
      </c>
      <c r="AE462" s="31" t="str">
        <f t="array" ref="AE462">IF($X462="","",INDEX(TARIFF_PROFILES!$K:$K,MATCH($X462,TARIFF_PROFILES!$A:$A,0)))</f>
        <v/>
      </c>
      <c r="AG462" s="8"/>
      <c r="AH462" s="8" t="str">
        <f>IF($AG462="","",SUMIFS(OPERATING_COEFFS!$C:$C,OPERATING_COEFFS!$A:$A,"DistanceClass",OPERATING_COEFFS!$B:$B,$AG462))</f>
        <v/>
      </c>
      <c r="AI462" s="8"/>
      <c r="AJ462" s="8" t="str">
        <f>IF($AI462="","",SUMIFS(OPERATING_COEFFS!$C:$C,OPERATING_COEFFS!$A:$A,"SeasonClass",OPERATING_COEFFS!$B:$B,$AI462))</f>
        <v/>
      </c>
      <c r="AK462" s="8"/>
      <c r="AL462" s="8" t="str">
        <f>IF($AK462="","",SUMIFS(OPERATING_COEFFS!$C:$C,OPERATING_COEFFS!$A:$A,"UrgencyClass",OPERATING_COEFFS!$B:$B,$AK462))</f>
        <v/>
      </c>
      <c r="AM462" s="8"/>
      <c r="AN462" s="8" t="str">
        <f t="array" ref="AN462">IF($AM462="","",INDEX(TAX_MODES!$B:$B,MATCH($AM462,TAX_MODES!$A:$A,0)))</f>
        <v/>
      </c>
    </row>
    <row r="463" ht="14.25" customHeight="1">
      <c r="C463" s="8"/>
      <c r="E463" s="8"/>
      <c r="G463" s="8"/>
      <c r="I463" s="8"/>
      <c r="K463" s="8"/>
      <c r="M463" s="8"/>
      <c r="O463" s="8"/>
      <c r="Q463" s="8"/>
      <c r="S463" s="8"/>
      <c r="V463" s="8"/>
      <c r="X463" s="31"/>
      <c r="Y463" s="31" t="str">
        <f>IF($X463="","",SUMIFS(TARIFF_PROFILES!$D:$D,TARIFF_PROFILES!$A:$A,$X463))</f>
        <v/>
      </c>
      <c r="Z463" s="31" t="str">
        <f>IF($X463="","",SUMIFS(TARIFF_PROFILES!$E:$E,TARIFF_PROFILES!$A:$A,$X463))</f>
        <v/>
      </c>
      <c r="AA463" s="31" t="str">
        <f>IF($X463="","",SUMIFS(TARIFF_PROFILES!$F:$F,TARIFF_PROFILES!$A:$A,$X463))</f>
        <v/>
      </c>
      <c r="AB463" s="31" t="str">
        <f>IF($X463="","",SUMIFS(TARIFF_PROFILES!$G:$G,TARIFF_PROFILES!$A:$A,$X463))</f>
        <v/>
      </c>
      <c r="AC463" s="31" t="str">
        <f>IF($X463="","",SUMIFS(TARIFF_PROFILES!$H:$H,TARIFF_PROFILES!$A:$A,$X463))</f>
        <v/>
      </c>
      <c r="AD463" s="31" t="str">
        <f t="array" ref="AD463">IF($X463="","",INDEX(TARIFF_PROFILES!$J:$J,MATCH($X463,TARIFF_PROFILES!$A:$A,0)))</f>
        <v/>
      </c>
      <c r="AE463" s="31" t="str">
        <f t="array" ref="AE463">IF($X463="","",INDEX(TARIFF_PROFILES!$K:$K,MATCH($X463,TARIFF_PROFILES!$A:$A,0)))</f>
        <v/>
      </c>
      <c r="AG463" s="8"/>
      <c r="AH463" s="8" t="str">
        <f>IF($AG463="","",SUMIFS(OPERATING_COEFFS!$C:$C,OPERATING_COEFFS!$A:$A,"DistanceClass",OPERATING_COEFFS!$B:$B,$AG463))</f>
        <v/>
      </c>
      <c r="AI463" s="8"/>
      <c r="AJ463" s="8" t="str">
        <f>IF($AI463="","",SUMIFS(OPERATING_COEFFS!$C:$C,OPERATING_COEFFS!$A:$A,"SeasonClass",OPERATING_COEFFS!$B:$B,$AI463))</f>
        <v/>
      </c>
      <c r="AK463" s="8"/>
      <c r="AL463" s="8" t="str">
        <f>IF($AK463="","",SUMIFS(OPERATING_COEFFS!$C:$C,OPERATING_COEFFS!$A:$A,"UrgencyClass",OPERATING_COEFFS!$B:$B,$AK463))</f>
        <v/>
      </c>
      <c r="AM463" s="8"/>
      <c r="AN463" s="8" t="str">
        <f t="array" ref="AN463">IF($AM463="","",INDEX(TAX_MODES!$B:$B,MATCH($AM463,TAX_MODES!$A:$A,0)))</f>
        <v/>
      </c>
    </row>
    <row r="464" ht="14.25" customHeight="1">
      <c r="C464" s="8"/>
      <c r="E464" s="8"/>
      <c r="G464" s="8"/>
      <c r="I464" s="8"/>
      <c r="K464" s="8"/>
      <c r="M464" s="8"/>
      <c r="O464" s="8"/>
      <c r="Q464" s="8"/>
      <c r="S464" s="8"/>
      <c r="V464" s="8"/>
      <c r="X464" s="31"/>
      <c r="Y464" s="31" t="str">
        <f>IF($X464="","",SUMIFS(TARIFF_PROFILES!$D:$D,TARIFF_PROFILES!$A:$A,$X464))</f>
        <v/>
      </c>
      <c r="Z464" s="31" t="str">
        <f>IF($X464="","",SUMIFS(TARIFF_PROFILES!$E:$E,TARIFF_PROFILES!$A:$A,$X464))</f>
        <v/>
      </c>
      <c r="AA464" s="31" t="str">
        <f>IF($X464="","",SUMIFS(TARIFF_PROFILES!$F:$F,TARIFF_PROFILES!$A:$A,$X464))</f>
        <v/>
      </c>
      <c r="AB464" s="31" t="str">
        <f>IF($X464="","",SUMIFS(TARIFF_PROFILES!$G:$G,TARIFF_PROFILES!$A:$A,$X464))</f>
        <v/>
      </c>
      <c r="AC464" s="31" t="str">
        <f>IF($X464="","",SUMIFS(TARIFF_PROFILES!$H:$H,TARIFF_PROFILES!$A:$A,$X464))</f>
        <v/>
      </c>
      <c r="AD464" s="31" t="str">
        <f t="array" ref="AD464">IF($X464="","",INDEX(TARIFF_PROFILES!$J:$J,MATCH($X464,TARIFF_PROFILES!$A:$A,0)))</f>
        <v/>
      </c>
      <c r="AE464" s="31" t="str">
        <f t="array" ref="AE464">IF($X464="","",INDEX(TARIFF_PROFILES!$K:$K,MATCH($X464,TARIFF_PROFILES!$A:$A,0)))</f>
        <v/>
      </c>
      <c r="AG464" s="8"/>
      <c r="AH464" s="8" t="str">
        <f>IF($AG464="","",SUMIFS(OPERATING_COEFFS!$C:$C,OPERATING_COEFFS!$A:$A,"DistanceClass",OPERATING_COEFFS!$B:$B,$AG464))</f>
        <v/>
      </c>
      <c r="AI464" s="8"/>
      <c r="AJ464" s="8" t="str">
        <f>IF($AI464="","",SUMIFS(OPERATING_COEFFS!$C:$C,OPERATING_COEFFS!$A:$A,"SeasonClass",OPERATING_COEFFS!$B:$B,$AI464))</f>
        <v/>
      </c>
      <c r="AK464" s="8"/>
      <c r="AL464" s="8" t="str">
        <f>IF($AK464="","",SUMIFS(OPERATING_COEFFS!$C:$C,OPERATING_COEFFS!$A:$A,"UrgencyClass",OPERATING_COEFFS!$B:$B,$AK464))</f>
        <v/>
      </c>
      <c r="AM464" s="8"/>
      <c r="AN464" s="8" t="str">
        <f t="array" ref="AN464">IF($AM464="","",INDEX(TAX_MODES!$B:$B,MATCH($AM464,TAX_MODES!$A:$A,0)))</f>
        <v/>
      </c>
    </row>
    <row r="465" ht="14.25" customHeight="1">
      <c r="C465" s="8"/>
      <c r="E465" s="8"/>
      <c r="G465" s="8"/>
      <c r="I465" s="8"/>
      <c r="K465" s="8"/>
      <c r="M465" s="8"/>
      <c r="O465" s="8"/>
      <c r="Q465" s="8"/>
      <c r="S465" s="8"/>
      <c r="V465" s="8"/>
      <c r="X465" s="31"/>
      <c r="Y465" s="31" t="str">
        <f>IF($X465="","",SUMIFS(TARIFF_PROFILES!$D:$D,TARIFF_PROFILES!$A:$A,$X465))</f>
        <v/>
      </c>
      <c r="Z465" s="31" t="str">
        <f>IF($X465="","",SUMIFS(TARIFF_PROFILES!$E:$E,TARIFF_PROFILES!$A:$A,$X465))</f>
        <v/>
      </c>
      <c r="AA465" s="31" t="str">
        <f>IF($X465="","",SUMIFS(TARIFF_PROFILES!$F:$F,TARIFF_PROFILES!$A:$A,$X465))</f>
        <v/>
      </c>
      <c r="AB465" s="31" t="str">
        <f>IF($X465="","",SUMIFS(TARIFF_PROFILES!$G:$G,TARIFF_PROFILES!$A:$A,$X465))</f>
        <v/>
      </c>
      <c r="AC465" s="31" t="str">
        <f>IF($X465="","",SUMIFS(TARIFF_PROFILES!$H:$H,TARIFF_PROFILES!$A:$A,$X465))</f>
        <v/>
      </c>
      <c r="AD465" s="31" t="str">
        <f t="array" ref="AD465">IF($X465="","",INDEX(TARIFF_PROFILES!$J:$J,MATCH($X465,TARIFF_PROFILES!$A:$A,0)))</f>
        <v/>
      </c>
      <c r="AE465" s="31" t="str">
        <f t="array" ref="AE465">IF($X465="","",INDEX(TARIFF_PROFILES!$K:$K,MATCH($X465,TARIFF_PROFILES!$A:$A,0)))</f>
        <v/>
      </c>
      <c r="AG465" s="8"/>
      <c r="AH465" s="8" t="str">
        <f>IF($AG465="","",SUMIFS(OPERATING_COEFFS!$C:$C,OPERATING_COEFFS!$A:$A,"DistanceClass",OPERATING_COEFFS!$B:$B,$AG465))</f>
        <v/>
      </c>
      <c r="AI465" s="8"/>
      <c r="AJ465" s="8" t="str">
        <f>IF($AI465="","",SUMIFS(OPERATING_COEFFS!$C:$C,OPERATING_COEFFS!$A:$A,"SeasonClass",OPERATING_COEFFS!$B:$B,$AI465))</f>
        <v/>
      </c>
      <c r="AK465" s="8"/>
      <c r="AL465" s="8" t="str">
        <f>IF($AK465="","",SUMIFS(OPERATING_COEFFS!$C:$C,OPERATING_COEFFS!$A:$A,"UrgencyClass",OPERATING_COEFFS!$B:$B,$AK465))</f>
        <v/>
      </c>
      <c r="AM465" s="8"/>
      <c r="AN465" s="8" t="str">
        <f t="array" ref="AN465">IF($AM465="","",INDEX(TAX_MODES!$B:$B,MATCH($AM465,TAX_MODES!$A:$A,0)))</f>
        <v/>
      </c>
    </row>
    <row r="466" ht="14.25" customHeight="1">
      <c r="C466" s="8"/>
      <c r="E466" s="8"/>
      <c r="G466" s="8"/>
      <c r="I466" s="8"/>
      <c r="K466" s="8"/>
      <c r="M466" s="8"/>
      <c r="O466" s="8"/>
      <c r="Q466" s="8"/>
      <c r="S466" s="8"/>
      <c r="V466" s="8"/>
      <c r="X466" s="31"/>
      <c r="Y466" s="31" t="str">
        <f>IF($X466="","",SUMIFS(TARIFF_PROFILES!$D:$D,TARIFF_PROFILES!$A:$A,$X466))</f>
        <v/>
      </c>
      <c r="Z466" s="31" t="str">
        <f>IF($X466="","",SUMIFS(TARIFF_PROFILES!$E:$E,TARIFF_PROFILES!$A:$A,$X466))</f>
        <v/>
      </c>
      <c r="AA466" s="31" t="str">
        <f>IF($X466="","",SUMIFS(TARIFF_PROFILES!$F:$F,TARIFF_PROFILES!$A:$A,$X466))</f>
        <v/>
      </c>
      <c r="AB466" s="31" t="str">
        <f>IF($X466="","",SUMIFS(TARIFF_PROFILES!$G:$G,TARIFF_PROFILES!$A:$A,$X466))</f>
        <v/>
      </c>
      <c r="AC466" s="31" t="str">
        <f>IF($X466="","",SUMIFS(TARIFF_PROFILES!$H:$H,TARIFF_PROFILES!$A:$A,$X466))</f>
        <v/>
      </c>
      <c r="AD466" s="31" t="str">
        <f t="array" ref="AD466">IF($X466="","",INDEX(TARIFF_PROFILES!$J:$J,MATCH($X466,TARIFF_PROFILES!$A:$A,0)))</f>
        <v/>
      </c>
      <c r="AE466" s="31" t="str">
        <f t="array" ref="AE466">IF($X466="","",INDEX(TARIFF_PROFILES!$K:$K,MATCH($X466,TARIFF_PROFILES!$A:$A,0)))</f>
        <v/>
      </c>
      <c r="AG466" s="8"/>
      <c r="AH466" s="8" t="str">
        <f>IF($AG466="","",SUMIFS(OPERATING_COEFFS!$C:$C,OPERATING_COEFFS!$A:$A,"DistanceClass",OPERATING_COEFFS!$B:$B,$AG466))</f>
        <v/>
      </c>
      <c r="AI466" s="8"/>
      <c r="AJ466" s="8" t="str">
        <f>IF($AI466="","",SUMIFS(OPERATING_COEFFS!$C:$C,OPERATING_COEFFS!$A:$A,"SeasonClass",OPERATING_COEFFS!$B:$B,$AI466))</f>
        <v/>
      </c>
      <c r="AK466" s="8"/>
      <c r="AL466" s="8" t="str">
        <f>IF($AK466="","",SUMIFS(OPERATING_COEFFS!$C:$C,OPERATING_COEFFS!$A:$A,"UrgencyClass",OPERATING_COEFFS!$B:$B,$AK466))</f>
        <v/>
      </c>
      <c r="AM466" s="8"/>
      <c r="AN466" s="8" t="str">
        <f t="array" ref="AN466">IF($AM466="","",INDEX(TAX_MODES!$B:$B,MATCH($AM466,TAX_MODES!$A:$A,0)))</f>
        <v/>
      </c>
    </row>
    <row r="467" ht="14.25" customHeight="1">
      <c r="C467" s="8"/>
      <c r="E467" s="8"/>
      <c r="G467" s="8"/>
      <c r="I467" s="8"/>
      <c r="K467" s="8"/>
      <c r="M467" s="8"/>
      <c r="O467" s="8"/>
      <c r="Q467" s="8"/>
      <c r="S467" s="8"/>
      <c r="V467" s="8"/>
      <c r="X467" s="31"/>
      <c r="Y467" s="31" t="str">
        <f>IF($X467="","",SUMIFS(TARIFF_PROFILES!$D:$D,TARIFF_PROFILES!$A:$A,$X467))</f>
        <v/>
      </c>
      <c r="Z467" s="31" t="str">
        <f>IF($X467="","",SUMIFS(TARIFF_PROFILES!$E:$E,TARIFF_PROFILES!$A:$A,$X467))</f>
        <v/>
      </c>
      <c r="AA467" s="31" t="str">
        <f>IF($X467="","",SUMIFS(TARIFF_PROFILES!$F:$F,TARIFF_PROFILES!$A:$A,$X467))</f>
        <v/>
      </c>
      <c r="AB467" s="31" t="str">
        <f>IF($X467="","",SUMIFS(TARIFF_PROFILES!$G:$G,TARIFF_PROFILES!$A:$A,$X467))</f>
        <v/>
      </c>
      <c r="AC467" s="31" t="str">
        <f>IF($X467="","",SUMIFS(TARIFF_PROFILES!$H:$H,TARIFF_PROFILES!$A:$A,$X467))</f>
        <v/>
      </c>
      <c r="AD467" s="31" t="str">
        <f t="array" ref="AD467">IF($X467="","",INDEX(TARIFF_PROFILES!$J:$J,MATCH($X467,TARIFF_PROFILES!$A:$A,0)))</f>
        <v/>
      </c>
      <c r="AE467" s="31" t="str">
        <f t="array" ref="AE467">IF($X467="","",INDEX(TARIFF_PROFILES!$K:$K,MATCH($X467,TARIFF_PROFILES!$A:$A,0)))</f>
        <v/>
      </c>
      <c r="AG467" s="8"/>
      <c r="AH467" s="8" t="str">
        <f>IF($AG467="","",SUMIFS(OPERATING_COEFFS!$C:$C,OPERATING_COEFFS!$A:$A,"DistanceClass",OPERATING_COEFFS!$B:$B,$AG467))</f>
        <v/>
      </c>
      <c r="AI467" s="8"/>
      <c r="AJ467" s="8" t="str">
        <f>IF($AI467="","",SUMIFS(OPERATING_COEFFS!$C:$C,OPERATING_COEFFS!$A:$A,"SeasonClass",OPERATING_COEFFS!$B:$B,$AI467))</f>
        <v/>
      </c>
      <c r="AK467" s="8"/>
      <c r="AL467" s="8" t="str">
        <f>IF($AK467="","",SUMIFS(OPERATING_COEFFS!$C:$C,OPERATING_COEFFS!$A:$A,"UrgencyClass",OPERATING_COEFFS!$B:$B,$AK467))</f>
        <v/>
      </c>
      <c r="AM467" s="8"/>
      <c r="AN467" s="8" t="str">
        <f t="array" ref="AN467">IF($AM467="","",INDEX(TAX_MODES!$B:$B,MATCH($AM467,TAX_MODES!$A:$A,0)))</f>
        <v/>
      </c>
    </row>
    <row r="468" ht="14.25" customHeight="1">
      <c r="C468" s="8"/>
      <c r="E468" s="8"/>
      <c r="G468" s="8"/>
      <c r="I468" s="8"/>
      <c r="K468" s="8"/>
      <c r="M468" s="8"/>
      <c r="O468" s="8"/>
      <c r="Q468" s="8"/>
      <c r="S468" s="8"/>
      <c r="V468" s="8"/>
      <c r="X468" s="31"/>
      <c r="Y468" s="31" t="str">
        <f>IF($X468="","",SUMIFS(TARIFF_PROFILES!$D:$D,TARIFF_PROFILES!$A:$A,$X468))</f>
        <v/>
      </c>
      <c r="Z468" s="31" t="str">
        <f>IF($X468="","",SUMIFS(TARIFF_PROFILES!$E:$E,TARIFF_PROFILES!$A:$A,$X468))</f>
        <v/>
      </c>
      <c r="AA468" s="31" t="str">
        <f>IF($X468="","",SUMIFS(TARIFF_PROFILES!$F:$F,TARIFF_PROFILES!$A:$A,$X468))</f>
        <v/>
      </c>
      <c r="AB468" s="31" t="str">
        <f>IF($X468="","",SUMIFS(TARIFF_PROFILES!$G:$G,TARIFF_PROFILES!$A:$A,$X468))</f>
        <v/>
      </c>
      <c r="AC468" s="31" t="str">
        <f>IF($X468="","",SUMIFS(TARIFF_PROFILES!$H:$H,TARIFF_PROFILES!$A:$A,$X468))</f>
        <v/>
      </c>
      <c r="AD468" s="31" t="str">
        <f t="array" ref="AD468">IF($X468="","",INDEX(TARIFF_PROFILES!$J:$J,MATCH($X468,TARIFF_PROFILES!$A:$A,0)))</f>
        <v/>
      </c>
      <c r="AE468" s="31" t="str">
        <f t="array" ref="AE468">IF($X468="","",INDEX(TARIFF_PROFILES!$K:$K,MATCH($X468,TARIFF_PROFILES!$A:$A,0)))</f>
        <v/>
      </c>
      <c r="AG468" s="8"/>
      <c r="AH468" s="8" t="str">
        <f>IF($AG468="","",SUMIFS(OPERATING_COEFFS!$C:$C,OPERATING_COEFFS!$A:$A,"DistanceClass",OPERATING_COEFFS!$B:$B,$AG468))</f>
        <v/>
      </c>
      <c r="AI468" s="8"/>
      <c r="AJ468" s="8" t="str">
        <f>IF($AI468="","",SUMIFS(OPERATING_COEFFS!$C:$C,OPERATING_COEFFS!$A:$A,"SeasonClass",OPERATING_COEFFS!$B:$B,$AI468))</f>
        <v/>
      </c>
      <c r="AK468" s="8"/>
      <c r="AL468" s="8" t="str">
        <f>IF($AK468="","",SUMIFS(OPERATING_COEFFS!$C:$C,OPERATING_COEFFS!$A:$A,"UrgencyClass",OPERATING_COEFFS!$B:$B,$AK468))</f>
        <v/>
      </c>
      <c r="AM468" s="8"/>
      <c r="AN468" s="8" t="str">
        <f t="array" ref="AN468">IF($AM468="","",INDEX(TAX_MODES!$B:$B,MATCH($AM468,TAX_MODES!$A:$A,0)))</f>
        <v/>
      </c>
    </row>
    <row r="469" ht="14.25" customHeight="1">
      <c r="C469" s="8"/>
      <c r="E469" s="8"/>
      <c r="G469" s="8"/>
      <c r="I469" s="8"/>
      <c r="K469" s="8"/>
      <c r="M469" s="8"/>
      <c r="O469" s="8"/>
      <c r="Q469" s="8"/>
      <c r="S469" s="8"/>
      <c r="V469" s="8"/>
      <c r="X469" s="31"/>
      <c r="Y469" s="31" t="str">
        <f>IF($X469="","",SUMIFS(TARIFF_PROFILES!$D:$D,TARIFF_PROFILES!$A:$A,$X469))</f>
        <v/>
      </c>
      <c r="Z469" s="31" t="str">
        <f>IF($X469="","",SUMIFS(TARIFF_PROFILES!$E:$E,TARIFF_PROFILES!$A:$A,$X469))</f>
        <v/>
      </c>
      <c r="AA469" s="31" t="str">
        <f>IF($X469="","",SUMIFS(TARIFF_PROFILES!$F:$F,TARIFF_PROFILES!$A:$A,$X469))</f>
        <v/>
      </c>
      <c r="AB469" s="31" t="str">
        <f>IF($X469="","",SUMIFS(TARIFF_PROFILES!$G:$G,TARIFF_PROFILES!$A:$A,$X469))</f>
        <v/>
      </c>
      <c r="AC469" s="31" t="str">
        <f>IF($X469="","",SUMIFS(TARIFF_PROFILES!$H:$H,TARIFF_PROFILES!$A:$A,$X469))</f>
        <v/>
      </c>
      <c r="AD469" s="31" t="str">
        <f t="array" ref="AD469">IF($X469="","",INDEX(TARIFF_PROFILES!$J:$J,MATCH($X469,TARIFF_PROFILES!$A:$A,0)))</f>
        <v/>
      </c>
      <c r="AE469" s="31" t="str">
        <f t="array" ref="AE469">IF($X469="","",INDEX(TARIFF_PROFILES!$K:$K,MATCH($X469,TARIFF_PROFILES!$A:$A,0)))</f>
        <v/>
      </c>
      <c r="AG469" s="8"/>
      <c r="AH469" s="8" t="str">
        <f>IF($AG469="","",SUMIFS(OPERATING_COEFFS!$C:$C,OPERATING_COEFFS!$A:$A,"DistanceClass",OPERATING_COEFFS!$B:$B,$AG469))</f>
        <v/>
      </c>
      <c r="AI469" s="8"/>
      <c r="AJ469" s="8" t="str">
        <f>IF($AI469="","",SUMIFS(OPERATING_COEFFS!$C:$C,OPERATING_COEFFS!$A:$A,"SeasonClass",OPERATING_COEFFS!$B:$B,$AI469))</f>
        <v/>
      </c>
      <c r="AK469" s="8"/>
      <c r="AL469" s="8" t="str">
        <f>IF($AK469="","",SUMIFS(OPERATING_COEFFS!$C:$C,OPERATING_COEFFS!$A:$A,"UrgencyClass",OPERATING_COEFFS!$B:$B,$AK469))</f>
        <v/>
      </c>
      <c r="AM469" s="8"/>
      <c r="AN469" s="8" t="str">
        <f t="array" ref="AN469">IF($AM469="","",INDEX(TAX_MODES!$B:$B,MATCH($AM469,TAX_MODES!$A:$A,0)))</f>
        <v/>
      </c>
    </row>
    <row r="470" ht="14.25" customHeight="1">
      <c r="C470" s="8"/>
      <c r="E470" s="8"/>
      <c r="G470" s="8"/>
      <c r="I470" s="8"/>
      <c r="K470" s="8"/>
      <c r="M470" s="8"/>
      <c r="O470" s="8"/>
      <c r="Q470" s="8"/>
      <c r="S470" s="8"/>
      <c r="V470" s="8"/>
      <c r="X470" s="31"/>
      <c r="Y470" s="31" t="str">
        <f>IF($X470="","",SUMIFS(TARIFF_PROFILES!$D:$D,TARIFF_PROFILES!$A:$A,$X470))</f>
        <v/>
      </c>
      <c r="Z470" s="31" t="str">
        <f>IF($X470="","",SUMIFS(TARIFF_PROFILES!$E:$E,TARIFF_PROFILES!$A:$A,$X470))</f>
        <v/>
      </c>
      <c r="AA470" s="31" t="str">
        <f>IF($X470="","",SUMIFS(TARIFF_PROFILES!$F:$F,TARIFF_PROFILES!$A:$A,$X470))</f>
        <v/>
      </c>
      <c r="AB470" s="31" t="str">
        <f>IF($X470="","",SUMIFS(TARIFF_PROFILES!$G:$G,TARIFF_PROFILES!$A:$A,$X470))</f>
        <v/>
      </c>
      <c r="AC470" s="31" t="str">
        <f>IF($X470="","",SUMIFS(TARIFF_PROFILES!$H:$H,TARIFF_PROFILES!$A:$A,$X470))</f>
        <v/>
      </c>
      <c r="AD470" s="31" t="str">
        <f t="array" ref="AD470">IF($X470="","",INDEX(TARIFF_PROFILES!$J:$J,MATCH($X470,TARIFF_PROFILES!$A:$A,0)))</f>
        <v/>
      </c>
      <c r="AE470" s="31" t="str">
        <f t="array" ref="AE470">IF($X470="","",INDEX(TARIFF_PROFILES!$K:$K,MATCH($X470,TARIFF_PROFILES!$A:$A,0)))</f>
        <v/>
      </c>
      <c r="AG470" s="8"/>
      <c r="AH470" s="8" t="str">
        <f>IF($AG470="","",SUMIFS(OPERATING_COEFFS!$C:$C,OPERATING_COEFFS!$A:$A,"DistanceClass",OPERATING_COEFFS!$B:$B,$AG470))</f>
        <v/>
      </c>
      <c r="AI470" s="8"/>
      <c r="AJ470" s="8" t="str">
        <f>IF($AI470="","",SUMIFS(OPERATING_COEFFS!$C:$C,OPERATING_COEFFS!$A:$A,"SeasonClass",OPERATING_COEFFS!$B:$B,$AI470))</f>
        <v/>
      </c>
      <c r="AK470" s="8"/>
      <c r="AL470" s="8" t="str">
        <f>IF($AK470="","",SUMIFS(OPERATING_COEFFS!$C:$C,OPERATING_COEFFS!$A:$A,"UrgencyClass",OPERATING_COEFFS!$B:$B,$AK470))</f>
        <v/>
      </c>
      <c r="AM470" s="8"/>
      <c r="AN470" s="8" t="str">
        <f t="array" ref="AN470">IF($AM470="","",INDEX(TAX_MODES!$B:$B,MATCH($AM470,TAX_MODES!$A:$A,0)))</f>
        <v/>
      </c>
    </row>
    <row r="471" ht="14.25" customHeight="1">
      <c r="C471" s="8"/>
      <c r="E471" s="8"/>
      <c r="G471" s="8"/>
      <c r="I471" s="8"/>
      <c r="K471" s="8"/>
      <c r="M471" s="8"/>
      <c r="O471" s="8"/>
      <c r="Q471" s="8"/>
      <c r="S471" s="8"/>
      <c r="V471" s="8"/>
      <c r="X471" s="31"/>
      <c r="Y471" s="31" t="str">
        <f>IF($X471="","",SUMIFS(TARIFF_PROFILES!$D:$D,TARIFF_PROFILES!$A:$A,$X471))</f>
        <v/>
      </c>
      <c r="Z471" s="31" t="str">
        <f>IF($X471="","",SUMIFS(TARIFF_PROFILES!$E:$E,TARIFF_PROFILES!$A:$A,$X471))</f>
        <v/>
      </c>
      <c r="AA471" s="31" t="str">
        <f>IF($X471="","",SUMIFS(TARIFF_PROFILES!$F:$F,TARIFF_PROFILES!$A:$A,$X471))</f>
        <v/>
      </c>
      <c r="AB471" s="31" t="str">
        <f>IF($X471="","",SUMIFS(TARIFF_PROFILES!$G:$G,TARIFF_PROFILES!$A:$A,$X471))</f>
        <v/>
      </c>
      <c r="AC471" s="31" t="str">
        <f>IF($X471="","",SUMIFS(TARIFF_PROFILES!$H:$H,TARIFF_PROFILES!$A:$A,$X471))</f>
        <v/>
      </c>
      <c r="AD471" s="31" t="str">
        <f t="array" ref="AD471">IF($X471="","",INDEX(TARIFF_PROFILES!$J:$J,MATCH($X471,TARIFF_PROFILES!$A:$A,0)))</f>
        <v/>
      </c>
      <c r="AE471" s="31" t="str">
        <f t="array" ref="AE471">IF($X471="","",INDEX(TARIFF_PROFILES!$K:$K,MATCH($X471,TARIFF_PROFILES!$A:$A,0)))</f>
        <v/>
      </c>
      <c r="AG471" s="8"/>
      <c r="AH471" s="8" t="str">
        <f>IF($AG471="","",SUMIFS(OPERATING_COEFFS!$C:$C,OPERATING_COEFFS!$A:$A,"DistanceClass",OPERATING_COEFFS!$B:$B,$AG471))</f>
        <v/>
      </c>
      <c r="AI471" s="8"/>
      <c r="AJ471" s="8" t="str">
        <f>IF($AI471="","",SUMIFS(OPERATING_COEFFS!$C:$C,OPERATING_COEFFS!$A:$A,"SeasonClass",OPERATING_COEFFS!$B:$B,$AI471))</f>
        <v/>
      </c>
      <c r="AK471" s="8"/>
      <c r="AL471" s="8" t="str">
        <f>IF($AK471="","",SUMIFS(OPERATING_COEFFS!$C:$C,OPERATING_COEFFS!$A:$A,"UrgencyClass",OPERATING_COEFFS!$B:$B,$AK471))</f>
        <v/>
      </c>
      <c r="AM471" s="8"/>
      <c r="AN471" s="8" t="str">
        <f t="array" ref="AN471">IF($AM471="","",INDEX(TAX_MODES!$B:$B,MATCH($AM471,TAX_MODES!$A:$A,0)))</f>
        <v/>
      </c>
    </row>
    <row r="472" ht="14.25" customHeight="1">
      <c r="C472" s="8"/>
      <c r="E472" s="8"/>
      <c r="G472" s="8"/>
      <c r="I472" s="8"/>
      <c r="K472" s="8"/>
      <c r="M472" s="8"/>
      <c r="O472" s="8"/>
      <c r="Q472" s="8"/>
      <c r="S472" s="8"/>
      <c r="V472" s="8"/>
      <c r="X472" s="31"/>
      <c r="Y472" s="31" t="str">
        <f>IF($X472="","",SUMIFS(TARIFF_PROFILES!$D:$D,TARIFF_PROFILES!$A:$A,$X472))</f>
        <v/>
      </c>
      <c r="Z472" s="31" t="str">
        <f>IF($X472="","",SUMIFS(TARIFF_PROFILES!$E:$E,TARIFF_PROFILES!$A:$A,$X472))</f>
        <v/>
      </c>
      <c r="AA472" s="31" t="str">
        <f>IF($X472="","",SUMIFS(TARIFF_PROFILES!$F:$F,TARIFF_PROFILES!$A:$A,$X472))</f>
        <v/>
      </c>
      <c r="AB472" s="31" t="str">
        <f>IF($X472="","",SUMIFS(TARIFF_PROFILES!$G:$G,TARIFF_PROFILES!$A:$A,$X472))</f>
        <v/>
      </c>
      <c r="AC472" s="31" t="str">
        <f>IF($X472="","",SUMIFS(TARIFF_PROFILES!$H:$H,TARIFF_PROFILES!$A:$A,$X472))</f>
        <v/>
      </c>
      <c r="AD472" s="31" t="str">
        <f t="array" ref="AD472">IF($X472="","",INDEX(TARIFF_PROFILES!$J:$J,MATCH($X472,TARIFF_PROFILES!$A:$A,0)))</f>
        <v/>
      </c>
      <c r="AE472" s="31" t="str">
        <f t="array" ref="AE472">IF($X472="","",INDEX(TARIFF_PROFILES!$K:$K,MATCH($X472,TARIFF_PROFILES!$A:$A,0)))</f>
        <v/>
      </c>
      <c r="AG472" s="8"/>
      <c r="AH472" s="8" t="str">
        <f>IF($AG472="","",SUMIFS(OPERATING_COEFFS!$C:$C,OPERATING_COEFFS!$A:$A,"DistanceClass",OPERATING_COEFFS!$B:$B,$AG472))</f>
        <v/>
      </c>
      <c r="AI472" s="8"/>
      <c r="AJ472" s="8" t="str">
        <f>IF($AI472="","",SUMIFS(OPERATING_COEFFS!$C:$C,OPERATING_COEFFS!$A:$A,"SeasonClass",OPERATING_COEFFS!$B:$B,$AI472))</f>
        <v/>
      </c>
      <c r="AK472" s="8"/>
      <c r="AL472" s="8" t="str">
        <f>IF($AK472="","",SUMIFS(OPERATING_COEFFS!$C:$C,OPERATING_COEFFS!$A:$A,"UrgencyClass",OPERATING_COEFFS!$B:$B,$AK472))</f>
        <v/>
      </c>
      <c r="AM472" s="8"/>
      <c r="AN472" s="8" t="str">
        <f t="array" ref="AN472">IF($AM472="","",INDEX(TAX_MODES!$B:$B,MATCH($AM472,TAX_MODES!$A:$A,0)))</f>
        <v/>
      </c>
    </row>
    <row r="473" ht="14.25" customHeight="1">
      <c r="C473" s="8"/>
      <c r="E473" s="8"/>
      <c r="G473" s="8"/>
      <c r="I473" s="8"/>
      <c r="K473" s="8"/>
      <c r="M473" s="8"/>
      <c r="O473" s="8"/>
      <c r="Q473" s="8"/>
      <c r="S473" s="8"/>
      <c r="V473" s="8"/>
      <c r="X473" s="31"/>
      <c r="Y473" s="31" t="str">
        <f>IF($X473="","",SUMIFS(TARIFF_PROFILES!$D:$D,TARIFF_PROFILES!$A:$A,$X473))</f>
        <v/>
      </c>
      <c r="Z473" s="31" t="str">
        <f>IF($X473="","",SUMIFS(TARIFF_PROFILES!$E:$E,TARIFF_PROFILES!$A:$A,$X473))</f>
        <v/>
      </c>
      <c r="AA473" s="31" t="str">
        <f>IF($X473="","",SUMIFS(TARIFF_PROFILES!$F:$F,TARIFF_PROFILES!$A:$A,$X473))</f>
        <v/>
      </c>
      <c r="AB473" s="31" t="str">
        <f>IF($X473="","",SUMIFS(TARIFF_PROFILES!$G:$G,TARIFF_PROFILES!$A:$A,$X473))</f>
        <v/>
      </c>
      <c r="AC473" s="31" t="str">
        <f>IF($X473="","",SUMIFS(TARIFF_PROFILES!$H:$H,TARIFF_PROFILES!$A:$A,$X473))</f>
        <v/>
      </c>
      <c r="AD473" s="31" t="str">
        <f t="array" ref="AD473">IF($X473="","",INDEX(TARIFF_PROFILES!$J:$J,MATCH($X473,TARIFF_PROFILES!$A:$A,0)))</f>
        <v/>
      </c>
      <c r="AE473" s="31" t="str">
        <f t="array" ref="AE473">IF($X473="","",INDEX(TARIFF_PROFILES!$K:$K,MATCH($X473,TARIFF_PROFILES!$A:$A,0)))</f>
        <v/>
      </c>
      <c r="AG473" s="8"/>
      <c r="AH473" s="8" t="str">
        <f>IF($AG473="","",SUMIFS(OPERATING_COEFFS!$C:$C,OPERATING_COEFFS!$A:$A,"DistanceClass",OPERATING_COEFFS!$B:$B,$AG473))</f>
        <v/>
      </c>
      <c r="AI473" s="8"/>
      <c r="AJ473" s="8" t="str">
        <f>IF($AI473="","",SUMIFS(OPERATING_COEFFS!$C:$C,OPERATING_COEFFS!$A:$A,"SeasonClass",OPERATING_COEFFS!$B:$B,$AI473))</f>
        <v/>
      </c>
      <c r="AK473" s="8"/>
      <c r="AL473" s="8" t="str">
        <f>IF($AK473="","",SUMIFS(OPERATING_COEFFS!$C:$C,OPERATING_COEFFS!$A:$A,"UrgencyClass",OPERATING_COEFFS!$B:$B,$AK473))</f>
        <v/>
      </c>
      <c r="AM473" s="8"/>
      <c r="AN473" s="8" t="str">
        <f t="array" ref="AN473">IF($AM473="","",INDEX(TAX_MODES!$B:$B,MATCH($AM473,TAX_MODES!$A:$A,0)))</f>
        <v/>
      </c>
    </row>
    <row r="474" ht="14.25" customHeight="1">
      <c r="C474" s="8"/>
      <c r="E474" s="8"/>
      <c r="G474" s="8"/>
      <c r="I474" s="8"/>
      <c r="K474" s="8"/>
      <c r="M474" s="8"/>
      <c r="O474" s="8"/>
      <c r="Q474" s="8"/>
      <c r="S474" s="8"/>
      <c r="V474" s="8"/>
      <c r="X474" s="31"/>
      <c r="Y474" s="31" t="str">
        <f>IF($X474="","",SUMIFS(TARIFF_PROFILES!$D:$D,TARIFF_PROFILES!$A:$A,$X474))</f>
        <v/>
      </c>
      <c r="Z474" s="31" t="str">
        <f>IF($X474="","",SUMIFS(TARIFF_PROFILES!$E:$E,TARIFF_PROFILES!$A:$A,$X474))</f>
        <v/>
      </c>
      <c r="AA474" s="31" t="str">
        <f>IF($X474="","",SUMIFS(TARIFF_PROFILES!$F:$F,TARIFF_PROFILES!$A:$A,$X474))</f>
        <v/>
      </c>
      <c r="AB474" s="31" t="str">
        <f>IF($X474="","",SUMIFS(TARIFF_PROFILES!$G:$G,TARIFF_PROFILES!$A:$A,$X474))</f>
        <v/>
      </c>
      <c r="AC474" s="31" t="str">
        <f>IF($X474="","",SUMIFS(TARIFF_PROFILES!$H:$H,TARIFF_PROFILES!$A:$A,$X474))</f>
        <v/>
      </c>
      <c r="AD474" s="31" t="str">
        <f t="array" ref="AD474">IF($X474="","",INDEX(TARIFF_PROFILES!$J:$J,MATCH($X474,TARIFF_PROFILES!$A:$A,0)))</f>
        <v/>
      </c>
      <c r="AE474" s="31" t="str">
        <f t="array" ref="AE474">IF($X474="","",INDEX(TARIFF_PROFILES!$K:$K,MATCH($X474,TARIFF_PROFILES!$A:$A,0)))</f>
        <v/>
      </c>
      <c r="AG474" s="8"/>
      <c r="AH474" s="8" t="str">
        <f>IF($AG474="","",SUMIFS(OPERATING_COEFFS!$C:$C,OPERATING_COEFFS!$A:$A,"DistanceClass",OPERATING_COEFFS!$B:$B,$AG474))</f>
        <v/>
      </c>
      <c r="AI474" s="8"/>
      <c r="AJ474" s="8" t="str">
        <f>IF($AI474="","",SUMIFS(OPERATING_COEFFS!$C:$C,OPERATING_COEFFS!$A:$A,"SeasonClass",OPERATING_COEFFS!$B:$B,$AI474))</f>
        <v/>
      </c>
      <c r="AK474" s="8"/>
      <c r="AL474" s="8" t="str">
        <f>IF($AK474="","",SUMIFS(OPERATING_COEFFS!$C:$C,OPERATING_COEFFS!$A:$A,"UrgencyClass",OPERATING_COEFFS!$B:$B,$AK474))</f>
        <v/>
      </c>
      <c r="AM474" s="8"/>
      <c r="AN474" s="8" t="str">
        <f t="array" ref="AN474">IF($AM474="","",INDEX(TAX_MODES!$B:$B,MATCH($AM474,TAX_MODES!$A:$A,0)))</f>
        <v/>
      </c>
    </row>
    <row r="475" ht="14.25" customHeight="1">
      <c r="C475" s="8"/>
      <c r="E475" s="8"/>
      <c r="G475" s="8"/>
      <c r="I475" s="8"/>
      <c r="K475" s="8"/>
      <c r="M475" s="8"/>
      <c r="O475" s="8"/>
      <c r="Q475" s="8"/>
      <c r="S475" s="8"/>
      <c r="V475" s="8"/>
      <c r="X475" s="31"/>
      <c r="Y475" s="31" t="str">
        <f>IF($X475="","",SUMIFS(TARIFF_PROFILES!$D:$D,TARIFF_PROFILES!$A:$A,$X475))</f>
        <v/>
      </c>
      <c r="Z475" s="31" t="str">
        <f>IF($X475="","",SUMIFS(TARIFF_PROFILES!$E:$E,TARIFF_PROFILES!$A:$A,$X475))</f>
        <v/>
      </c>
      <c r="AA475" s="31" t="str">
        <f>IF($X475="","",SUMIFS(TARIFF_PROFILES!$F:$F,TARIFF_PROFILES!$A:$A,$X475))</f>
        <v/>
      </c>
      <c r="AB475" s="31" t="str">
        <f>IF($X475="","",SUMIFS(TARIFF_PROFILES!$G:$G,TARIFF_PROFILES!$A:$A,$X475))</f>
        <v/>
      </c>
      <c r="AC475" s="31" t="str">
        <f>IF($X475="","",SUMIFS(TARIFF_PROFILES!$H:$H,TARIFF_PROFILES!$A:$A,$X475))</f>
        <v/>
      </c>
      <c r="AD475" s="31" t="str">
        <f t="array" ref="AD475">IF($X475="","",INDEX(TARIFF_PROFILES!$J:$J,MATCH($X475,TARIFF_PROFILES!$A:$A,0)))</f>
        <v/>
      </c>
      <c r="AE475" s="31" t="str">
        <f t="array" ref="AE475">IF($X475="","",INDEX(TARIFF_PROFILES!$K:$K,MATCH($X475,TARIFF_PROFILES!$A:$A,0)))</f>
        <v/>
      </c>
      <c r="AG475" s="8"/>
      <c r="AH475" s="8" t="str">
        <f>IF($AG475="","",SUMIFS(OPERATING_COEFFS!$C:$C,OPERATING_COEFFS!$A:$A,"DistanceClass",OPERATING_COEFFS!$B:$B,$AG475))</f>
        <v/>
      </c>
      <c r="AI475" s="8"/>
      <c r="AJ475" s="8" t="str">
        <f>IF($AI475="","",SUMIFS(OPERATING_COEFFS!$C:$C,OPERATING_COEFFS!$A:$A,"SeasonClass",OPERATING_COEFFS!$B:$B,$AI475))</f>
        <v/>
      </c>
      <c r="AK475" s="8"/>
      <c r="AL475" s="8" t="str">
        <f>IF($AK475="","",SUMIFS(OPERATING_COEFFS!$C:$C,OPERATING_COEFFS!$A:$A,"UrgencyClass",OPERATING_COEFFS!$B:$B,$AK475))</f>
        <v/>
      </c>
      <c r="AM475" s="8"/>
      <c r="AN475" s="8" t="str">
        <f t="array" ref="AN475">IF($AM475="","",INDEX(TAX_MODES!$B:$B,MATCH($AM475,TAX_MODES!$A:$A,0)))</f>
        <v/>
      </c>
    </row>
    <row r="476" ht="14.25" customHeight="1">
      <c r="C476" s="8"/>
      <c r="E476" s="8"/>
      <c r="G476" s="8"/>
      <c r="I476" s="8"/>
      <c r="K476" s="8"/>
      <c r="M476" s="8"/>
      <c r="O476" s="8"/>
      <c r="Q476" s="8"/>
      <c r="S476" s="8"/>
      <c r="V476" s="8"/>
      <c r="X476" s="31"/>
      <c r="Y476" s="31" t="str">
        <f>IF($X476="","",SUMIFS(TARIFF_PROFILES!$D:$D,TARIFF_PROFILES!$A:$A,$X476))</f>
        <v/>
      </c>
      <c r="Z476" s="31" t="str">
        <f>IF($X476="","",SUMIFS(TARIFF_PROFILES!$E:$E,TARIFF_PROFILES!$A:$A,$X476))</f>
        <v/>
      </c>
      <c r="AA476" s="31" t="str">
        <f>IF($X476="","",SUMIFS(TARIFF_PROFILES!$F:$F,TARIFF_PROFILES!$A:$A,$X476))</f>
        <v/>
      </c>
      <c r="AB476" s="31" t="str">
        <f>IF($X476="","",SUMIFS(TARIFF_PROFILES!$G:$G,TARIFF_PROFILES!$A:$A,$X476))</f>
        <v/>
      </c>
      <c r="AC476" s="31" t="str">
        <f>IF($X476="","",SUMIFS(TARIFF_PROFILES!$H:$H,TARIFF_PROFILES!$A:$A,$X476))</f>
        <v/>
      </c>
      <c r="AD476" s="31" t="str">
        <f t="array" ref="AD476">IF($X476="","",INDEX(TARIFF_PROFILES!$J:$J,MATCH($X476,TARIFF_PROFILES!$A:$A,0)))</f>
        <v/>
      </c>
      <c r="AE476" s="31" t="str">
        <f t="array" ref="AE476">IF($X476="","",INDEX(TARIFF_PROFILES!$K:$K,MATCH($X476,TARIFF_PROFILES!$A:$A,0)))</f>
        <v/>
      </c>
      <c r="AG476" s="8"/>
      <c r="AH476" s="8" t="str">
        <f>IF($AG476="","",SUMIFS(OPERATING_COEFFS!$C:$C,OPERATING_COEFFS!$A:$A,"DistanceClass",OPERATING_COEFFS!$B:$B,$AG476))</f>
        <v/>
      </c>
      <c r="AI476" s="8"/>
      <c r="AJ476" s="8" t="str">
        <f>IF($AI476="","",SUMIFS(OPERATING_COEFFS!$C:$C,OPERATING_COEFFS!$A:$A,"SeasonClass",OPERATING_COEFFS!$B:$B,$AI476))</f>
        <v/>
      </c>
      <c r="AK476" s="8"/>
      <c r="AL476" s="8" t="str">
        <f>IF($AK476="","",SUMIFS(OPERATING_COEFFS!$C:$C,OPERATING_COEFFS!$A:$A,"UrgencyClass",OPERATING_COEFFS!$B:$B,$AK476))</f>
        <v/>
      </c>
      <c r="AM476" s="8"/>
      <c r="AN476" s="8" t="str">
        <f t="array" ref="AN476">IF($AM476="","",INDEX(TAX_MODES!$B:$B,MATCH($AM476,TAX_MODES!$A:$A,0)))</f>
        <v/>
      </c>
    </row>
    <row r="477" ht="14.25" customHeight="1">
      <c r="C477" s="8"/>
      <c r="E477" s="8"/>
      <c r="G477" s="8"/>
      <c r="I477" s="8"/>
      <c r="K477" s="8"/>
      <c r="M477" s="8"/>
      <c r="O477" s="8"/>
      <c r="Q477" s="8"/>
      <c r="S477" s="8"/>
      <c r="V477" s="8"/>
      <c r="X477" s="31"/>
      <c r="Y477" s="31" t="str">
        <f>IF($X477="","",SUMIFS(TARIFF_PROFILES!$D:$D,TARIFF_PROFILES!$A:$A,$X477))</f>
        <v/>
      </c>
      <c r="Z477" s="31" t="str">
        <f>IF($X477="","",SUMIFS(TARIFF_PROFILES!$E:$E,TARIFF_PROFILES!$A:$A,$X477))</f>
        <v/>
      </c>
      <c r="AA477" s="31" t="str">
        <f>IF($X477="","",SUMIFS(TARIFF_PROFILES!$F:$F,TARIFF_PROFILES!$A:$A,$X477))</f>
        <v/>
      </c>
      <c r="AB477" s="31" t="str">
        <f>IF($X477="","",SUMIFS(TARIFF_PROFILES!$G:$G,TARIFF_PROFILES!$A:$A,$X477))</f>
        <v/>
      </c>
      <c r="AC477" s="31" t="str">
        <f>IF($X477="","",SUMIFS(TARIFF_PROFILES!$H:$H,TARIFF_PROFILES!$A:$A,$X477))</f>
        <v/>
      </c>
      <c r="AD477" s="31" t="str">
        <f t="array" ref="AD477">IF($X477="","",INDEX(TARIFF_PROFILES!$J:$J,MATCH($X477,TARIFF_PROFILES!$A:$A,0)))</f>
        <v/>
      </c>
      <c r="AE477" s="31" t="str">
        <f t="array" ref="AE477">IF($X477="","",INDEX(TARIFF_PROFILES!$K:$K,MATCH($X477,TARIFF_PROFILES!$A:$A,0)))</f>
        <v/>
      </c>
      <c r="AG477" s="8"/>
      <c r="AH477" s="8" t="str">
        <f>IF($AG477="","",SUMIFS(OPERATING_COEFFS!$C:$C,OPERATING_COEFFS!$A:$A,"DistanceClass",OPERATING_COEFFS!$B:$B,$AG477))</f>
        <v/>
      </c>
      <c r="AI477" s="8"/>
      <c r="AJ477" s="8" t="str">
        <f>IF($AI477="","",SUMIFS(OPERATING_COEFFS!$C:$C,OPERATING_COEFFS!$A:$A,"SeasonClass",OPERATING_COEFFS!$B:$B,$AI477))</f>
        <v/>
      </c>
      <c r="AK477" s="8"/>
      <c r="AL477" s="8" t="str">
        <f>IF($AK477="","",SUMIFS(OPERATING_COEFFS!$C:$C,OPERATING_COEFFS!$A:$A,"UrgencyClass",OPERATING_COEFFS!$B:$B,$AK477))</f>
        <v/>
      </c>
      <c r="AM477" s="8"/>
      <c r="AN477" s="8" t="str">
        <f t="array" ref="AN477">IF($AM477="","",INDEX(TAX_MODES!$B:$B,MATCH($AM477,TAX_MODES!$A:$A,0)))</f>
        <v/>
      </c>
    </row>
    <row r="478" ht="14.25" customHeight="1">
      <c r="C478" s="8"/>
      <c r="E478" s="8"/>
      <c r="G478" s="8"/>
      <c r="I478" s="8"/>
      <c r="K478" s="8"/>
      <c r="M478" s="8"/>
      <c r="O478" s="8"/>
      <c r="Q478" s="8"/>
      <c r="S478" s="8"/>
      <c r="V478" s="8"/>
      <c r="X478" s="31"/>
      <c r="Y478" s="31" t="str">
        <f>IF($X478="","",SUMIFS(TARIFF_PROFILES!$D:$D,TARIFF_PROFILES!$A:$A,$X478))</f>
        <v/>
      </c>
      <c r="Z478" s="31" t="str">
        <f>IF($X478="","",SUMIFS(TARIFF_PROFILES!$E:$E,TARIFF_PROFILES!$A:$A,$X478))</f>
        <v/>
      </c>
      <c r="AA478" s="31" t="str">
        <f>IF($X478="","",SUMIFS(TARIFF_PROFILES!$F:$F,TARIFF_PROFILES!$A:$A,$X478))</f>
        <v/>
      </c>
      <c r="AB478" s="31" t="str">
        <f>IF($X478="","",SUMIFS(TARIFF_PROFILES!$G:$G,TARIFF_PROFILES!$A:$A,$X478))</f>
        <v/>
      </c>
      <c r="AC478" s="31" t="str">
        <f>IF($X478="","",SUMIFS(TARIFF_PROFILES!$H:$H,TARIFF_PROFILES!$A:$A,$X478))</f>
        <v/>
      </c>
      <c r="AD478" s="31" t="str">
        <f t="array" ref="AD478">IF($X478="","",INDEX(TARIFF_PROFILES!$J:$J,MATCH($X478,TARIFF_PROFILES!$A:$A,0)))</f>
        <v/>
      </c>
      <c r="AE478" s="31" t="str">
        <f t="array" ref="AE478">IF($X478="","",INDEX(TARIFF_PROFILES!$K:$K,MATCH($X478,TARIFF_PROFILES!$A:$A,0)))</f>
        <v/>
      </c>
      <c r="AG478" s="8"/>
      <c r="AH478" s="8" t="str">
        <f>IF($AG478="","",SUMIFS(OPERATING_COEFFS!$C:$C,OPERATING_COEFFS!$A:$A,"DistanceClass",OPERATING_COEFFS!$B:$B,$AG478))</f>
        <v/>
      </c>
      <c r="AI478" s="8"/>
      <c r="AJ478" s="8" t="str">
        <f>IF($AI478="","",SUMIFS(OPERATING_COEFFS!$C:$C,OPERATING_COEFFS!$A:$A,"SeasonClass",OPERATING_COEFFS!$B:$B,$AI478))</f>
        <v/>
      </c>
      <c r="AK478" s="8"/>
      <c r="AL478" s="8" t="str">
        <f>IF($AK478="","",SUMIFS(OPERATING_COEFFS!$C:$C,OPERATING_COEFFS!$A:$A,"UrgencyClass",OPERATING_COEFFS!$B:$B,$AK478))</f>
        <v/>
      </c>
      <c r="AM478" s="8"/>
      <c r="AN478" s="8" t="str">
        <f t="array" ref="AN478">IF($AM478="","",INDEX(TAX_MODES!$B:$B,MATCH($AM478,TAX_MODES!$A:$A,0)))</f>
        <v/>
      </c>
    </row>
    <row r="479" ht="14.25" customHeight="1">
      <c r="C479" s="8"/>
      <c r="E479" s="8"/>
      <c r="G479" s="8"/>
      <c r="I479" s="8"/>
      <c r="K479" s="8"/>
      <c r="M479" s="8"/>
      <c r="O479" s="8"/>
      <c r="Q479" s="8"/>
      <c r="S479" s="8"/>
      <c r="V479" s="8"/>
      <c r="X479" s="31"/>
      <c r="Y479" s="31" t="str">
        <f>IF($X479="","",SUMIFS(TARIFF_PROFILES!$D:$D,TARIFF_PROFILES!$A:$A,$X479))</f>
        <v/>
      </c>
      <c r="Z479" s="31" t="str">
        <f>IF($X479="","",SUMIFS(TARIFF_PROFILES!$E:$E,TARIFF_PROFILES!$A:$A,$X479))</f>
        <v/>
      </c>
      <c r="AA479" s="31" t="str">
        <f>IF($X479="","",SUMIFS(TARIFF_PROFILES!$F:$F,TARIFF_PROFILES!$A:$A,$X479))</f>
        <v/>
      </c>
      <c r="AB479" s="31" t="str">
        <f>IF($X479="","",SUMIFS(TARIFF_PROFILES!$G:$G,TARIFF_PROFILES!$A:$A,$X479))</f>
        <v/>
      </c>
      <c r="AC479" s="31" t="str">
        <f>IF($X479="","",SUMIFS(TARIFF_PROFILES!$H:$H,TARIFF_PROFILES!$A:$A,$X479))</f>
        <v/>
      </c>
      <c r="AD479" s="31" t="str">
        <f t="array" ref="AD479">IF($X479="","",INDEX(TARIFF_PROFILES!$J:$J,MATCH($X479,TARIFF_PROFILES!$A:$A,0)))</f>
        <v/>
      </c>
      <c r="AE479" s="31" t="str">
        <f t="array" ref="AE479">IF($X479="","",INDEX(TARIFF_PROFILES!$K:$K,MATCH($X479,TARIFF_PROFILES!$A:$A,0)))</f>
        <v/>
      </c>
      <c r="AG479" s="8"/>
      <c r="AH479" s="8" t="str">
        <f>IF($AG479="","",SUMIFS(OPERATING_COEFFS!$C:$C,OPERATING_COEFFS!$A:$A,"DistanceClass",OPERATING_COEFFS!$B:$B,$AG479))</f>
        <v/>
      </c>
      <c r="AI479" s="8"/>
      <c r="AJ479" s="8" t="str">
        <f>IF($AI479="","",SUMIFS(OPERATING_COEFFS!$C:$C,OPERATING_COEFFS!$A:$A,"SeasonClass",OPERATING_COEFFS!$B:$B,$AI479))</f>
        <v/>
      </c>
      <c r="AK479" s="8"/>
      <c r="AL479" s="8" t="str">
        <f>IF($AK479="","",SUMIFS(OPERATING_COEFFS!$C:$C,OPERATING_COEFFS!$A:$A,"UrgencyClass",OPERATING_COEFFS!$B:$B,$AK479))</f>
        <v/>
      </c>
      <c r="AM479" s="8"/>
      <c r="AN479" s="8" t="str">
        <f t="array" ref="AN479">IF($AM479="","",INDEX(TAX_MODES!$B:$B,MATCH($AM479,TAX_MODES!$A:$A,0)))</f>
        <v/>
      </c>
    </row>
    <row r="480" ht="14.25" customHeight="1">
      <c r="C480" s="8"/>
      <c r="E480" s="8"/>
      <c r="G480" s="8"/>
      <c r="I480" s="8"/>
      <c r="K480" s="8"/>
      <c r="M480" s="8"/>
      <c r="O480" s="8"/>
      <c r="Q480" s="8"/>
      <c r="S480" s="8"/>
      <c r="V480" s="8"/>
      <c r="X480" s="31"/>
      <c r="Y480" s="31" t="str">
        <f>IF($X480="","",SUMIFS(TARIFF_PROFILES!$D:$D,TARIFF_PROFILES!$A:$A,$X480))</f>
        <v/>
      </c>
      <c r="Z480" s="31" t="str">
        <f>IF($X480="","",SUMIFS(TARIFF_PROFILES!$E:$E,TARIFF_PROFILES!$A:$A,$X480))</f>
        <v/>
      </c>
      <c r="AA480" s="31" t="str">
        <f>IF($X480="","",SUMIFS(TARIFF_PROFILES!$F:$F,TARIFF_PROFILES!$A:$A,$X480))</f>
        <v/>
      </c>
      <c r="AB480" s="31" t="str">
        <f>IF($X480="","",SUMIFS(TARIFF_PROFILES!$G:$G,TARIFF_PROFILES!$A:$A,$X480))</f>
        <v/>
      </c>
      <c r="AC480" s="31" t="str">
        <f>IF($X480="","",SUMIFS(TARIFF_PROFILES!$H:$H,TARIFF_PROFILES!$A:$A,$X480))</f>
        <v/>
      </c>
      <c r="AD480" s="31" t="str">
        <f t="array" ref="AD480">IF($X480="","",INDEX(TARIFF_PROFILES!$J:$J,MATCH($X480,TARIFF_PROFILES!$A:$A,0)))</f>
        <v/>
      </c>
      <c r="AE480" s="31" t="str">
        <f t="array" ref="AE480">IF($X480="","",INDEX(TARIFF_PROFILES!$K:$K,MATCH($X480,TARIFF_PROFILES!$A:$A,0)))</f>
        <v/>
      </c>
      <c r="AG480" s="8"/>
      <c r="AH480" s="8" t="str">
        <f>IF($AG480="","",SUMIFS(OPERATING_COEFFS!$C:$C,OPERATING_COEFFS!$A:$A,"DistanceClass",OPERATING_COEFFS!$B:$B,$AG480))</f>
        <v/>
      </c>
      <c r="AI480" s="8"/>
      <c r="AJ480" s="8" t="str">
        <f>IF($AI480="","",SUMIFS(OPERATING_COEFFS!$C:$C,OPERATING_COEFFS!$A:$A,"SeasonClass",OPERATING_COEFFS!$B:$B,$AI480))</f>
        <v/>
      </c>
      <c r="AK480" s="8"/>
      <c r="AL480" s="8" t="str">
        <f>IF($AK480="","",SUMIFS(OPERATING_COEFFS!$C:$C,OPERATING_COEFFS!$A:$A,"UrgencyClass",OPERATING_COEFFS!$B:$B,$AK480))</f>
        <v/>
      </c>
      <c r="AM480" s="8"/>
      <c r="AN480" s="8" t="str">
        <f t="array" ref="AN480">IF($AM480="","",INDEX(TAX_MODES!$B:$B,MATCH($AM480,TAX_MODES!$A:$A,0)))</f>
        <v/>
      </c>
    </row>
    <row r="481" ht="14.25" customHeight="1">
      <c r="C481" s="8"/>
      <c r="E481" s="8"/>
      <c r="G481" s="8"/>
      <c r="I481" s="8"/>
      <c r="K481" s="8"/>
      <c r="M481" s="8"/>
      <c r="O481" s="8"/>
      <c r="Q481" s="8"/>
      <c r="S481" s="8"/>
      <c r="V481" s="8"/>
      <c r="X481" s="31"/>
      <c r="Y481" s="31" t="str">
        <f>IF($X481="","",SUMIFS(TARIFF_PROFILES!$D:$D,TARIFF_PROFILES!$A:$A,$X481))</f>
        <v/>
      </c>
      <c r="Z481" s="31" t="str">
        <f>IF($X481="","",SUMIFS(TARIFF_PROFILES!$E:$E,TARIFF_PROFILES!$A:$A,$X481))</f>
        <v/>
      </c>
      <c r="AA481" s="31" t="str">
        <f>IF($X481="","",SUMIFS(TARIFF_PROFILES!$F:$F,TARIFF_PROFILES!$A:$A,$X481))</f>
        <v/>
      </c>
      <c r="AB481" s="31" t="str">
        <f>IF($X481="","",SUMIFS(TARIFF_PROFILES!$G:$G,TARIFF_PROFILES!$A:$A,$X481))</f>
        <v/>
      </c>
      <c r="AC481" s="31" t="str">
        <f>IF($X481="","",SUMIFS(TARIFF_PROFILES!$H:$H,TARIFF_PROFILES!$A:$A,$X481))</f>
        <v/>
      </c>
      <c r="AD481" s="31" t="str">
        <f t="array" ref="AD481">IF($X481="","",INDEX(TARIFF_PROFILES!$J:$J,MATCH($X481,TARIFF_PROFILES!$A:$A,0)))</f>
        <v/>
      </c>
      <c r="AE481" s="31" t="str">
        <f t="array" ref="AE481">IF($X481="","",INDEX(TARIFF_PROFILES!$K:$K,MATCH($X481,TARIFF_PROFILES!$A:$A,0)))</f>
        <v/>
      </c>
      <c r="AG481" s="8"/>
      <c r="AH481" s="8" t="str">
        <f>IF($AG481="","",SUMIFS(OPERATING_COEFFS!$C:$C,OPERATING_COEFFS!$A:$A,"DistanceClass",OPERATING_COEFFS!$B:$B,$AG481))</f>
        <v/>
      </c>
      <c r="AI481" s="8"/>
      <c r="AJ481" s="8" t="str">
        <f>IF($AI481="","",SUMIFS(OPERATING_COEFFS!$C:$C,OPERATING_COEFFS!$A:$A,"SeasonClass",OPERATING_COEFFS!$B:$B,$AI481))</f>
        <v/>
      </c>
      <c r="AK481" s="8"/>
      <c r="AL481" s="8" t="str">
        <f>IF($AK481="","",SUMIFS(OPERATING_COEFFS!$C:$C,OPERATING_COEFFS!$A:$A,"UrgencyClass",OPERATING_COEFFS!$B:$B,$AK481))</f>
        <v/>
      </c>
      <c r="AM481" s="8"/>
      <c r="AN481" s="8" t="str">
        <f t="array" ref="AN481">IF($AM481="","",INDEX(TAX_MODES!$B:$B,MATCH($AM481,TAX_MODES!$A:$A,0)))</f>
        <v/>
      </c>
    </row>
    <row r="482" ht="14.25" customHeight="1">
      <c r="C482" s="8"/>
      <c r="E482" s="8"/>
      <c r="G482" s="8"/>
      <c r="I482" s="8"/>
      <c r="K482" s="8"/>
      <c r="M482" s="8"/>
      <c r="O482" s="8"/>
      <c r="Q482" s="8"/>
      <c r="S482" s="8"/>
      <c r="V482" s="8"/>
      <c r="X482" s="31"/>
      <c r="Y482" s="31" t="str">
        <f>IF($X482="","",SUMIFS(TARIFF_PROFILES!$D:$D,TARIFF_PROFILES!$A:$A,$X482))</f>
        <v/>
      </c>
      <c r="Z482" s="31" t="str">
        <f>IF($X482="","",SUMIFS(TARIFF_PROFILES!$E:$E,TARIFF_PROFILES!$A:$A,$X482))</f>
        <v/>
      </c>
      <c r="AA482" s="31" t="str">
        <f>IF($X482="","",SUMIFS(TARIFF_PROFILES!$F:$F,TARIFF_PROFILES!$A:$A,$X482))</f>
        <v/>
      </c>
      <c r="AB482" s="31" t="str">
        <f>IF($X482="","",SUMIFS(TARIFF_PROFILES!$G:$G,TARIFF_PROFILES!$A:$A,$X482))</f>
        <v/>
      </c>
      <c r="AC482" s="31" t="str">
        <f>IF($X482="","",SUMIFS(TARIFF_PROFILES!$H:$H,TARIFF_PROFILES!$A:$A,$X482))</f>
        <v/>
      </c>
      <c r="AD482" s="31" t="str">
        <f t="array" ref="AD482">IF($X482="","",INDEX(TARIFF_PROFILES!$J:$J,MATCH($X482,TARIFF_PROFILES!$A:$A,0)))</f>
        <v/>
      </c>
      <c r="AE482" s="31" t="str">
        <f t="array" ref="AE482">IF($X482="","",INDEX(TARIFF_PROFILES!$K:$K,MATCH($X482,TARIFF_PROFILES!$A:$A,0)))</f>
        <v/>
      </c>
      <c r="AG482" s="8"/>
      <c r="AH482" s="8" t="str">
        <f>IF($AG482="","",SUMIFS(OPERATING_COEFFS!$C:$C,OPERATING_COEFFS!$A:$A,"DistanceClass",OPERATING_COEFFS!$B:$B,$AG482))</f>
        <v/>
      </c>
      <c r="AI482" s="8"/>
      <c r="AJ482" s="8" t="str">
        <f>IF($AI482="","",SUMIFS(OPERATING_COEFFS!$C:$C,OPERATING_COEFFS!$A:$A,"SeasonClass",OPERATING_COEFFS!$B:$B,$AI482))</f>
        <v/>
      </c>
      <c r="AK482" s="8"/>
      <c r="AL482" s="8" t="str">
        <f>IF($AK482="","",SUMIFS(OPERATING_COEFFS!$C:$C,OPERATING_COEFFS!$A:$A,"UrgencyClass",OPERATING_COEFFS!$B:$B,$AK482))</f>
        <v/>
      </c>
      <c r="AM482" s="8"/>
      <c r="AN482" s="8" t="str">
        <f t="array" ref="AN482">IF($AM482="","",INDEX(TAX_MODES!$B:$B,MATCH($AM482,TAX_MODES!$A:$A,0)))</f>
        <v/>
      </c>
    </row>
    <row r="483" ht="14.25" customHeight="1">
      <c r="C483" s="8"/>
      <c r="E483" s="8"/>
      <c r="G483" s="8"/>
      <c r="I483" s="8"/>
      <c r="K483" s="8"/>
      <c r="M483" s="8"/>
      <c r="O483" s="8"/>
      <c r="Q483" s="8"/>
      <c r="S483" s="8"/>
      <c r="V483" s="8"/>
      <c r="X483" s="31"/>
      <c r="Y483" s="31" t="str">
        <f>IF($X483="","",SUMIFS(TARIFF_PROFILES!$D:$D,TARIFF_PROFILES!$A:$A,$X483))</f>
        <v/>
      </c>
      <c r="Z483" s="31" t="str">
        <f>IF($X483="","",SUMIFS(TARIFF_PROFILES!$E:$E,TARIFF_PROFILES!$A:$A,$X483))</f>
        <v/>
      </c>
      <c r="AA483" s="31" t="str">
        <f>IF($X483="","",SUMIFS(TARIFF_PROFILES!$F:$F,TARIFF_PROFILES!$A:$A,$X483))</f>
        <v/>
      </c>
      <c r="AB483" s="31" t="str">
        <f>IF($X483="","",SUMIFS(TARIFF_PROFILES!$G:$G,TARIFF_PROFILES!$A:$A,$X483))</f>
        <v/>
      </c>
      <c r="AC483" s="31" t="str">
        <f>IF($X483="","",SUMIFS(TARIFF_PROFILES!$H:$H,TARIFF_PROFILES!$A:$A,$X483))</f>
        <v/>
      </c>
      <c r="AD483" s="31" t="str">
        <f t="array" ref="AD483">IF($X483="","",INDEX(TARIFF_PROFILES!$J:$J,MATCH($X483,TARIFF_PROFILES!$A:$A,0)))</f>
        <v/>
      </c>
      <c r="AE483" s="31" t="str">
        <f t="array" ref="AE483">IF($X483="","",INDEX(TARIFF_PROFILES!$K:$K,MATCH($X483,TARIFF_PROFILES!$A:$A,0)))</f>
        <v/>
      </c>
      <c r="AG483" s="8"/>
      <c r="AH483" s="8" t="str">
        <f>IF($AG483="","",SUMIFS(OPERATING_COEFFS!$C:$C,OPERATING_COEFFS!$A:$A,"DistanceClass",OPERATING_COEFFS!$B:$B,$AG483))</f>
        <v/>
      </c>
      <c r="AI483" s="8"/>
      <c r="AJ483" s="8" t="str">
        <f>IF($AI483="","",SUMIFS(OPERATING_COEFFS!$C:$C,OPERATING_COEFFS!$A:$A,"SeasonClass",OPERATING_COEFFS!$B:$B,$AI483))</f>
        <v/>
      </c>
      <c r="AK483" s="8"/>
      <c r="AL483" s="8" t="str">
        <f>IF($AK483="","",SUMIFS(OPERATING_COEFFS!$C:$C,OPERATING_COEFFS!$A:$A,"UrgencyClass",OPERATING_COEFFS!$B:$B,$AK483))</f>
        <v/>
      </c>
      <c r="AM483" s="8"/>
      <c r="AN483" s="8" t="str">
        <f t="array" ref="AN483">IF($AM483="","",INDEX(TAX_MODES!$B:$B,MATCH($AM483,TAX_MODES!$A:$A,0)))</f>
        <v/>
      </c>
    </row>
    <row r="484" ht="14.25" customHeight="1">
      <c r="C484" s="8"/>
      <c r="E484" s="8"/>
      <c r="G484" s="8"/>
      <c r="I484" s="8"/>
      <c r="K484" s="8"/>
      <c r="M484" s="8"/>
      <c r="O484" s="8"/>
      <c r="Q484" s="8"/>
      <c r="S484" s="8"/>
      <c r="V484" s="8"/>
      <c r="X484" s="31"/>
      <c r="Y484" s="31" t="str">
        <f>IF($X484="","",SUMIFS(TARIFF_PROFILES!$D:$D,TARIFF_PROFILES!$A:$A,$X484))</f>
        <v/>
      </c>
      <c r="Z484" s="31" t="str">
        <f>IF($X484="","",SUMIFS(TARIFF_PROFILES!$E:$E,TARIFF_PROFILES!$A:$A,$X484))</f>
        <v/>
      </c>
      <c r="AA484" s="31" t="str">
        <f>IF($X484="","",SUMIFS(TARIFF_PROFILES!$F:$F,TARIFF_PROFILES!$A:$A,$X484))</f>
        <v/>
      </c>
      <c r="AB484" s="31" t="str">
        <f>IF($X484="","",SUMIFS(TARIFF_PROFILES!$G:$G,TARIFF_PROFILES!$A:$A,$X484))</f>
        <v/>
      </c>
      <c r="AC484" s="31" t="str">
        <f>IF($X484="","",SUMIFS(TARIFF_PROFILES!$H:$H,TARIFF_PROFILES!$A:$A,$X484))</f>
        <v/>
      </c>
      <c r="AD484" s="31" t="str">
        <f t="array" ref="AD484">IF($X484="","",INDEX(TARIFF_PROFILES!$J:$J,MATCH($X484,TARIFF_PROFILES!$A:$A,0)))</f>
        <v/>
      </c>
      <c r="AE484" s="31" t="str">
        <f t="array" ref="AE484">IF($X484="","",INDEX(TARIFF_PROFILES!$K:$K,MATCH($X484,TARIFF_PROFILES!$A:$A,0)))</f>
        <v/>
      </c>
      <c r="AG484" s="8"/>
      <c r="AH484" s="8" t="str">
        <f>IF($AG484="","",SUMIFS(OPERATING_COEFFS!$C:$C,OPERATING_COEFFS!$A:$A,"DistanceClass",OPERATING_COEFFS!$B:$B,$AG484))</f>
        <v/>
      </c>
      <c r="AI484" s="8"/>
      <c r="AJ484" s="8" t="str">
        <f>IF($AI484="","",SUMIFS(OPERATING_COEFFS!$C:$C,OPERATING_COEFFS!$A:$A,"SeasonClass",OPERATING_COEFFS!$B:$B,$AI484))</f>
        <v/>
      </c>
      <c r="AK484" s="8"/>
      <c r="AL484" s="8" t="str">
        <f>IF($AK484="","",SUMIFS(OPERATING_COEFFS!$C:$C,OPERATING_COEFFS!$A:$A,"UrgencyClass",OPERATING_COEFFS!$B:$B,$AK484))</f>
        <v/>
      </c>
      <c r="AM484" s="8"/>
      <c r="AN484" s="8" t="str">
        <f t="array" ref="AN484">IF($AM484="","",INDEX(TAX_MODES!$B:$B,MATCH($AM484,TAX_MODES!$A:$A,0)))</f>
        <v/>
      </c>
    </row>
    <row r="485" ht="14.25" customHeight="1">
      <c r="C485" s="8"/>
      <c r="E485" s="8"/>
      <c r="G485" s="8"/>
      <c r="I485" s="8"/>
      <c r="K485" s="8"/>
      <c r="M485" s="8"/>
      <c r="O485" s="8"/>
      <c r="Q485" s="8"/>
      <c r="S485" s="8"/>
      <c r="V485" s="8"/>
      <c r="X485" s="31"/>
      <c r="Y485" s="31" t="str">
        <f>IF($X485="","",SUMIFS(TARIFF_PROFILES!$D:$D,TARIFF_PROFILES!$A:$A,$X485))</f>
        <v/>
      </c>
      <c r="Z485" s="31" t="str">
        <f>IF($X485="","",SUMIFS(TARIFF_PROFILES!$E:$E,TARIFF_PROFILES!$A:$A,$X485))</f>
        <v/>
      </c>
      <c r="AA485" s="31" t="str">
        <f>IF($X485="","",SUMIFS(TARIFF_PROFILES!$F:$F,TARIFF_PROFILES!$A:$A,$X485))</f>
        <v/>
      </c>
      <c r="AB485" s="31" t="str">
        <f>IF($X485="","",SUMIFS(TARIFF_PROFILES!$G:$G,TARIFF_PROFILES!$A:$A,$X485))</f>
        <v/>
      </c>
      <c r="AC485" s="31" t="str">
        <f>IF($X485="","",SUMIFS(TARIFF_PROFILES!$H:$H,TARIFF_PROFILES!$A:$A,$X485))</f>
        <v/>
      </c>
      <c r="AD485" s="31" t="str">
        <f t="array" ref="AD485">IF($X485="","",INDEX(TARIFF_PROFILES!$J:$J,MATCH($X485,TARIFF_PROFILES!$A:$A,0)))</f>
        <v/>
      </c>
      <c r="AE485" s="31" t="str">
        <f t="array" ref="AE485">IF($X485="","",INDEX(TARIFF_PROFILES!$K:$K,MATCH($X485,TARIFF_PROFILES!$A:$A,0)))</f>
        <v/>
      </c>
      <c r="AG485" s="8"/>
      <c r="AH485" s="8" t="str">
        <f>IF($AG485="","",SUMIFS(OPERATING_COEFFS!$C:$C,OPERATING_COEFFS!$A:$A,"DistanceClass",OPERATING_COEFFS!$B:$B,$AG485))</f>
        <v/>
      </c>
      <c r="AI485" s="8"/>
      <c r="AJ485" s="8" t="str">
        <f>IF($AI485="","",SUMIFS(OPERATING_COEFFS!$C:$C,OPERATING_COEFFS!$A:$A,"SeasonClass",OPERATING_COEFFS!$B:$B,$AI485))</f>
        <v/>
      </c>
      <c r="AK485" s="8"/>
      <c r="AL485" s="8" t="str">
        <f>IF($AK485="","",SUMIFS(OPERATING_COEFFS!$C:$C,OPERATING_COEFFS!$A:$A,"UrgencyClass",OPERATING_COEFFS!$B:$B,$AK485))</f>
        <v/>
      </c>
      <c r="AM485" s="8"/>
      <c r="AN485" s="8" t="str">
        <f t="array" ref="AN485">IF($AM485="","",INDEX(TAX_MODES!$B:$B,MATCH($AM485,TAX_MODES!$A:$A,0)))</f>
        <v/>
      </c>
    </row>
    <row r="486" ht="14.25" customHeight="1">
      <c r="C486" s="8"/>
      <c r="E486" s="8"/>
      <c r="G486" s="8"/>
      <c r="I486" s="8"/>
      <c r="K486" s="8"/>
      <c r="M486" s="8"/>
      <c r="O486" s="8"/>
      <c r="Q486" s="8"/>
      <c r="S486" s="8"/>
      <c r="V486" s="8"/>
      <c r="X486" s="31"/>
      <c r="Y486" s="31" t="str">
        <f>IF($X486="","",SUMIFS(TARIFF_PROFILES!$D:$D,TARIFF_PROFILES!$A:$A,$X486))</f>
        <v/>
      </c>
      <c r="Z486" s="31" t="str">
        <f>IF($X486="","",SUMIFS(TARIFF_PROFILES!$E:$E,TARIFF_PROFILES!$A:$A,$X486))</f>
        <v/>
      </c>
      <c r="AA486" s="31" t="str">
        <f>IF($X486="","",SUMIFS(TARIFF_PROFILES!$F:$F,TARIFF_PROFILES!$A:$A,$X486))</f>
        <v/>
      </c>
      <c r="AB486" s="31" t="str">
        <f>IF($X486="","",SUMIFS(TARIFF_PROFILES!$G:$G,TARIFF_PROFILES!$A:$A,$X486))</f>
        <v/>
      </c>
      <c r="AC486" s="31" t="str">
        <f>IF($X486="","",SUMIFS(TARIFF_PROFILES!$H:$H,TARIFF_PROFILES!$A:$A,$X486))</f>
        <v/>
      </c>
      <c r="AD486" s="31" t="str">
        <f t="array" ref="AD486">IF($X486="","",INDEX(TARIFF_PROFILES!$J:$J,MATCH($X486,TARIFF_PROFILES!$A:$A,0)))</f>
        <v/>
      </c>
      <c r="AE486" s="31" t="str">
        <f t="array" ref="AE486">IF($X486="","",INDEX(TARIFF_PROFILES!$K:$K,MATCH($X486,TARIFF_PROFILES!$A:$A,0)))</f>
        <v/>
      </c>
      <c r="AG486" s="8"/>
      <c r="AH486" s="8" t="str">
        <f>IF($AG486="","",SUMIFS(OPERATING_COEFFS!$C:$C,OPERATING_COEFFS!$A:$A,"DistanceClass",OPERATING_COEFFS!$B:$B,$AG486))</f>
        <v/>
      </c>
      <c r="AI486" s="8"/>
      <c r="AJ486" s="8" t="str">
        <f>IF($AI486="","",SUMIFS(OPERATING_COEFFS!$C:$C,OPERATING_COEFFS!$A:$A,"SeasonClass",OPERATING_COEFFS!$B:$B,$AI486))</f>
        <v/>
      </c>
      <c r="AK486" s="8"/>
      <c r="AL486" s="8" t="str">
        <f>IF($AK486="","",SUMIFS(OPERATING_COEFFS!$C:$C,OPERATING_COEFFS!$A:$A,"UrgencyClass",OPERATING_COEFFS!$B:$B,$AK486))</f>
        <v/>
      </c>
      <c r="AM486" s="8"/>
      <c r="AN486" s="8" t="str">
        <f t="array" ref="AN486">IF($AM486="","",INDEX(TAX_MODES!$B:$B,MATCH($AM486,TAX_MODES!$A:$A,0)))</f>
        <v/>
      </c>
    </row>
    <row r="487" ht="14.25" customHeight="1">
      <c r="C487" s="8"/>
      <c r="E487" s="8"/>
      <c r="G487" s="8"/>
      <c r="I487" s="8"/>
      <c r="K487" s="8"/>
      <c r="M487" s="8"/>
      <c r="O487" s="8"/>
      <c r="Q487" s="8"/>
      <c r="S487" s="8"/>
      <c r="V487" s="8"/>
      <c r="X487" s="31"/>
      <c r="Y487" s="31" t="str">
        <f>IF($X487="","",SUMIFS(TARIFF_PROFILES!$D:$D,TARIFF_PROFILES!$A:$A,$X487))</f>
        <v/>
      </c>
      <c r="Z487" s="31" t="str">
        <f>IF($X487="","",SUMIFS(TARIFF_PROFILES!$E:$E,TARIFF_PROFILES!$A:$A,$X487))</f>
        <v/>
      </c>
      <c r="AA487" s="31" t="str">
        <f>IF($X487="","",SUMIFS(TARIFF_PROFILES!$F:$F,TARIFF_PROFILES!$A:$A,$X487))</f>
        <v/>
      </c>
      <c r="AB487" s="31" t="str">
        <f>IF($X487="","",SUMIFS(TARIFF_PROFILES!$G:$G,TARIFF_PROFILES!$A:$A,$X487))</f>
        <v/>
      </c>
      <c r="AC487" s="31" t="str">
        <f>IF($X487="","",SUMIFS(TARIFF_PROFILES!$H:$H,TARIFF_PROFILES!$A:$A,$X487))</f>
        <v/>
      </c>
      <c r="AD487" s="31" t="str">
        <f t="array" ref="AD487">IF($X487="","",INDEX(TARIFF_PROFILES!$J:$J,MATCH($X487,TARIFF_PROFILES!$A:$A,0)))</f>
        <v/>
      </c>
      <c r="AE487" s="31" t="str">
        <f t="array" ref="AE487">IF($X487="","",INDEX(TARIFF_PROFILES!$K:$K,MATCH($X487,TARIFF_PROFILES!$A:$A,0)))</f>
        <v/>
      </c>
      <c r="AG487" s="8"/>
      <c r="AH487" s="8" t="str">
        <f>IF($AG487="","",SUMIFS(OPERATING_COEFFS!$C:$C,OPERATING_COEFFS!$A:$A,"DistanceClass",OPERATING_COEFFS!$B:$B,$AG487))</f>
        <v/>
      </c>
      <c r="AI487" s="8"/>
      <c r="AJ487" s="8" t="str">
        <f>IF($AI487="","",SUMIFS(OPERATING_COEFFS!$C:$C,OPERATING_COEFFS!$A:$A,"SeasonClass",OPERATING_COEFFS!$B:$B,$AI487))</f>
        <v/>
      </c>
      <c r="AK487" s="8"/>
      <c r="AL487" s="8" t="str">
        <f>IF($AK487="","",SUMIFS(OPERATING_COEFFS!$C:$C,OPERATING_COEFFS!$A:$A,"UrgencyClass",OPERATING_COEFFS!$B:$B,$AK487))</f>
        <v/>
      </c>
      <c r="AM487" s="8"/>
      <c r="AN487" s="8" t="str">
        <f t="array" ref="AN487">IF($AM487="","",INDEX(TAX_MODES!$B:$B,MATCH($AM487,TAX_MODES!$A:$A,0)))</f>
        <v/>
      </c>
    </row>
    <row r="488" ht="14.25" customHeight="1">
      <c r="C488" s="8"/>
      <c r="E488" s="8"/>
      <c r="G488" s="8"/>
      <c r="I488" s="8"/>
      <c r="K488" s="8"/>
      <c r="M488" s="8"/>
      <c r="O488" s="8"/>
      <c r="Q488" s="8"/>
      <c r="S488" s="8"/>
      <c r="V488" s="8"/>
      <c r="X488" s="31"/>
      <c r="Y488" s="31" t="str">
        <f>IF($X488="","",SUMIFS(TARIFF_PROFILES!$D:$D,TARIFF_PROFILES!$A:$A,$X488))</f>
        <v/>
      </c>
      <c r="Z488" s="31" t="str">
        <f>IF($X488="","",SUMIFS(TARIFF_PROFILES!$E:$E,TARIFF_PROFILES!$A:$A,$X488))</f>
        <v/>
      </c>
      <c r="AA488" s="31" t="str">
        <f>IF($X488="","",SUMIFS(TARIFF_PROFILES!$F:$F,TARIFF_PROFILES!$A:$A,$X488))</f>
        <v/>
      </c>
      <c r="AB488" s="31" t="str">
        <f>IF($X488="","",SUMIFS(TARIFF_PROFILES!$G:$G,TARIFF_PROFILES!$A:$A,$X488))</f>
        <v/>
      </c>
      <c r="AC488" s="31" t="str">
        <f>IF($X488="","",SUMIFS(TARIFF_PROFILES!$H:$H,TARIFF_PROFILES!$A:$A,$X488))</f>
        <v/>
      </c>
      <c r="AD488" s="31" t="str">
        <f t="array" ref="AD488">IF($X488="","",INDEX(TARIFF_PROFILES!$J:$J,MATCH($X488,TARIFF_PROFILES!$A:$A,0)))</f>
        <v/>
      </c>
      <c r="AE488" s="31" t="str">
        <f t="array" ref="AE488">IF($X488="","",INDEX(TARIFF_PROFILES!$K:$K,MATCH($X488,TARIFF_PROFILES!$A:$A,0)))</f>
        <v/>
      </c>
      <c r="AG488" s="8"/>
      <c r="AH488" s="8" t="str">
        <f>IF($AG488="","",SUMIFS(OPERATING_COEFFS!$C:$C,OPERATING_COEFFS!$A:$A,"DistanceClass",OPERATING_COEFFS!$B:$B,$AG488))</f>
        <v/>
      </c>
      <c r="AI488" s="8"/>
      <c r="AJ488" s="8" t="str">
        <f>IF($AI488="","",SUMIFS(OPERATING_COEFFS!$C:$C,OPERATING_COEFFS!$A:$A,"SeasonClass",OPERATING_COEFFS!$B:$B,$AI488))</f>
        <v/>
      </c>
      <c r="AK488" s="8"/>
      <c r="AL488" s="8" t="str">
        <f>IF($AK488="","",SUMIFS(OPERATING_COEFFS!$C:$C,OPERATING_COEFFS!$A:$A,"UrgencyClass",OPERATING_COEFFS!$B:$B,$AK488))</f>
        <v/>
      </c>
      <c r="AM488" s="8"/>
      <c r="AN488" s="8" t="str">
        <f t="array" ref="AN488">IF($AM488="","",INDEX(TAX_MODES!$B:$B,MATCH($AM488,TAX_MODES!$A:$A,0)))</f>
        <v/>
      </c>
    </row>
    <row r="489" ht="14.25" customHeight="1">
      <c r="C489" s="8"/>
      <c r="E489" s="8"/>
      <c r="G489" s="8"/>
      <c r="I489" s="8"/>
      <c r="K489" s="8"/>
      <c r="M489" s="8"/>
      <c r="O489" s="8"/>
      <c r="Q489" s="8"/>
      <c r="S489" s="8"/>
      <c r="V489" s="8"/>
      <c r="X489" s="31"/>
      <c r="Y489" s="31" t="str">
        <f>IF($X489="","",SUMIFS(TARIFF_PROFILES!$D:$D,TARIFF_PROFILES!$A:$A,$X489))</f>
        <v/>
      </c>
      <c r="Z489" s="31" t="str">
        <f>IF($X489="","",SUMIFS(TARIFF_PROFILES!$E:$E,TARIFF_PROFILES!$A:$A,$X489))</f>
        <v/>
      </c>
      <c r="AA489" s="31" t="str">
        <f>IF($X489="","",SUMIFS(TARIFF_PROFILES!$F:$F,TARIFF_PROFILES!$A:$A,$X489))</f>
        <v/>
      </c>
      <c r="AB489" s="31" t="str">
        <f>IF($X489="","",SUMIFS(TARIFF_PROFILES!$G:$G,TARIFF_PROFILES!$A:$A,$X489))</f>
        <v/>
      </c>
      <c r="AC489" s="31" t="str">
        <f>IF($X489="","",SUMIFS(TARIFF_PROFILES!$H:$H,TARIFF_PROFILES!$A:$A,$X489))</f>
        <v/>
      </c>
      <c r="AD489" s="31" t="str">
        <f t="array" ref="AD489">IF($X489="","",INDEX(TARIFF_PROFILES!$J:$J,MATCH($X489,TARIFF_PROFILES!$A:$A,0)))</f>
        <v/>
      </c>
      <c r="AE489" s="31" t="str">
        <f t="array" ref="AE489">IF($X489="","",INDEX(TARIFF_PROFILES!$K:$K,MATCH($X489,TARIFF_PROFILES!$A:$A,0)))</f>
        <v/>
      </c>
      <c r="AG489" s="8"/>
      <c r="AH489" s="8" t="str">
        <f>IF($AG489="","",SUMIFS(OPERATING_COEFFS!$C:$C,OPERATING_COEFFS!$A:$A,"DistanceClass",OPERATING_COEFFS!$B:$B,$AG489))</f>
        <v/>
      </c>
      <c r="AI489" s="8"/>
      <c r="AJ489" s="8" t="str">
        <f>IF($AI489="","",SUMIFS(OPERATING_COEFFS!$C:$C,OPERATING_COEFFS!$A:$A,"SeasonClass",OPERATING_COEFFS!$B:$B,$AI489))</f>
        <v/>
      </c>
      <c r="AK489" s="8"/>
      <c r="AL489" s="8" t="str">
        <f>IF($AK489="","",SUMIFS(OPERATING_COEFFS!$C:$C,OPERATING_COEFFS!$A:$A,"UrgencyClass",OPERATING_COEFFS!$B:$B,$AK489))</f>
        <v/>
      </c>
      <c r="AM489" s="8"/>
      <c r="AN489" s="8" t="str">
        <f t="array" ref="AN489">IF($AM489="","",INDEX(TAX_MODES!$B:$B,MATCH($AM489,TAX_MODES!$A:$A,0)))</f>
        <v/>
      </c>
    </row>
    <row r="490" ht="14.25" customHeight="1">
      <c r="C490" s="8"/>
      <c r="E490" s="8"/>
      <c r="G490" s="8"/>
      <c r="I490" s="8"/>
      <c r="K490" s="8"/>
      <c r="M490" s="8"/>
      <c r="O490" s="8"/>
      <c r="Q490" s="8"/>
      <c r="S490" s="8"/>
      <c r="V490" s="8"/>
      <c r="X490" s="31"/>
      <c r="Y490" s="31" t="str">
        <f>IF($X490="","",SUMIFS(TARIFF_PROFILES!$D:$D,TARIFF_PROFILES!$A:$A,$X490))</f>
        <v/>
      </c>
      <c r="Z490" s="31" t="str">
        <f>IF($X490="","",SUMIFS(TARIFF_PROFILES!$E:$E,TARIFF_PROFILES!$A:$A,$X490))</f>
        <v/>
      </c>
      <c r="AA490" s="31" t="str">
        <f>IF($X490="","",SUMIFS(TARIFF_PROFILES!$F:$F,TARIFF_PROFILES!$A:$A,$X490))</f>
        <v/>
      </c>
      <c r="AB490" s="31" t="str">
        <f>IF($X490="","",SUMIFS(TARIFF_PROFILES!$G:$G,TARIFF_PROFILES!$A:$A,$X490))</f>
        <v/>
      </c>
      <c r="AC490" s="31" t="str">
        <f>IF($X490="","",SUMIFS(TARIFF_PROFILES!$H:$H,TARIFF_PROFILES!$A:$A,$X490))</f>
        <v/>
      </c>
      <c r="AD490" s="31" t="str">
        <f t="array" ref="AD490">IF($X490="","",INDEX(TARIFF_PROFILES!$J:$J,MATCH($X490,TARIFF_PROFILES!$A:$A,0)))</f>
        <v/>
      </c>
      <c r="AE490" s="31" t="str">
        <f t="array" ref="AE490">IF($X490="","",INDEX(TARIFF_PROFILES!$K:$K,MATCH($X490,TARIFF_PROFILES!$A:$A,0)))</f>
        <v/>
      </c>
      <c r="AG490" s="8"/>
      <c r="AH490" s="8" t="str">
        <f>IF($AG490="","",SUMIFS(OPERATING_COEFFS!$C:$C,OPERATING_COEFFS!$A:$A,"DistanceClass",OPERATING_COEFFS!$B:$B,$AG490))</f>
        <v/>
      </c>
      <c r="AI490" s="8"/>
      <c r="AJ490" s="8" t="str">
        <f>IF($AI490="","",SUMIFS(OPERATING_COEFFS!$C:$C,OPERATING_COEFFS!$A:$A,"SeasonClass",OPERATING_COEFFS!$B:$B,$AI490))</f>
        <v/>
      </c>
      <c r="AK490" s="8"/>
      <c r="AL490" s="8" t="str">
        <f>IF($AK490="","",SUMIFS(OPERATING_COEFFS!$C:$C,OPERATING_COEFFS!$A:$A,"UrgencyClass",OPERATING_COEFFS!$B:$B,$AK490))</f>
        <v/>
      </c>
      <c r="AM490" s="8"/>
      <c r="AN490" s="8" t="str">
        <f t="array" ref="AN490">IF($AM490="","",INDEX(TAX_MODES!$B:$B,MATCH($AM490,TAX_MODES!$A:$A,0)))</f>
        <v/>
      </c>
    </row>
    <row r="491" ht="14.25" customHeight="1">
      <c r="C491" s="8"/>
      <c r="E491" s="8"/>
      <c r="G491" s="8"/>
      <c r="I491" s="8"/>
      <c r="K491" s="8"/>
      <c r="M491" s="8"/>
      <c r="O491" s="8"/>
      <c r="Q491" s="8"/>
      <c r="S491" s="8"/>
      <c r="V491" s="8"/>
      <c r="X491" s="31"/>
      <c r="Y491" s="31" t="str">
        <f>IF($X491="","",SUMIFS(TARIFF_PROFILES!$D:$D,TARIFF_PROFILES!$A:$A,$X491))</f>
        <v/>
      </c>
      <c r="Z491" s="31" t="str">
        <f>IF($X491="","",SUMIFS(TARIFF_PROFILES!$E:$E,TARIFF_PROFILES!$A:$A,$X491))</f>
        <v/>
      </c>
      <c r="AA491" s="31" t="str">
        <f>IF($X491="","",SUMIFS(TARIFF_PROFILES!$F:$F,TARIFF_PROFILES!$A:$A,$X491))</f>
        <v/>
      </c>
      <c r="AB491" s="31" t="str">
        <f>IF($X491="","",SUMIFS(TARIFF_PROFILES!$G:$G,TARIFF_PROFILES!$A:$A,$X491))</f>
        <v/>
      </c>
      <c r="AC491" s="31" t="str">
        <f>IF($X491="","",SUMIFS(TARIFF_PROFILES!$H:$H,TARIFF_PROFILES!$A:$A,$X491))</f>
        <v/>
      </c>
      <c r="AD491" s="31" t="str">
        <f t="array" ref="AD491">IF($X491="","",INDEX(TARIFF_PROFILES!$J:$J,MATCH($X491,TARIFF_PROFILES!$A:$A,0)))</f>
        <v/>
      </c>
      <c r="AE491" s="31" t="str">
        <f t="array" ref="AE491">IF($X491="","",INDEX(TARIFF_PROFILES!$K:$K,MATCH($X491,TARIFF_PROFILES!$A:$A,0)))</f>
        <v/>
      </c>
      <c r="AG491" s="8"/>
      <c r="AH491" s="8" t="str">
        <f>IF($AG491="","",SUMIFS(OPERATING_COEFFS!$C:$C,OPERATING_COEFFS!$A:$A,"DistanceClass",OPERATING_COEFFS!$B:$B,$AG491))</f>
        <v/>
      </c>
      <c r="AI491" s="8"/>
      <c r="AJ491" s="8" t="str">
        <f>IF($AI491="","",SUMIFS(OPERATING_COEFFS!$C:$C,OPERATING_COEFFS!$A:$A,"SeasonClass",OPERATING_COEFFS!$B:$B,$AI491))</f>
        <v/>
      </c>
      <c r="AK491" s="8"/>
      <c r="AL491" s="8" t="str">
        <f>IF($AK491="","",SUMIFS(OPERATING_COEFFS!$C:$C,OPERATING_COEFFS!$A:$A,"UrgencyClass",OPERATING_COEFFS!$B:$B,$AK491))</f>
        <v/>
      </c>
      <c r="AM491" s="8"/>
      <c r="AN491" s="8" t="str">
        <f t="array" ref="AN491">IF($AM491="","",INDEX(TAX_MODES!$B:$B,MATCH($AM491,TAX_MODES!$A:$A,0)))</f>
        <v/>
      </c>
    </row>
    <row r="492" ht="14.25" customHeight="1">
      <c r="C492" s="8"/>
      <c r="E492" s="8"/>
      <c r="G492" s="8"/>
      <c r="I492" s="8"/>
      <c r="K492" s="8"/>
      <c r="M492" s="8"/>
      <c r="O492" s="8"/>
      <c r="Q492" s="8"/>
      <c r="S492" s="8"/>
      <c r="V492" s="8"/>
      <c r="X492" s="31"/>
      <c r="Y492" s="31" t="str">
        <f>IF($X492="","",SUMIFS(TARIFF_PROFILES!$D:$D,TARIFF_PROFILES!$A:$A,$X492))</f>
        <v/>
      </c>
      <c r="Z492" s="31" t="str">
        <f>IF($X492="","",SUMIFS(TARIFF_PROFILES!$E:$E,TARIFF_PROFILES!$A:$A,$X492))</f>
        <v/>
      </c>
      <c r="AA492" s="31" t="str">
        <f>IF($X492="","",SUMIFS(TARIFF_PROFILES!$F:$F,TARIFF_PROFILES!$A:$A,$X492))</f>
        <v/>
      </c>
      <c r="AB492" s="31" t="str">
        <f>IF($X492="","",SUMIFS(TARIFF_PROFILES!$G:$G,TARIFF_PROFILES!$A:$A,$X492))</f>
        <v/>
      </c>
      <c r="AC492" s="31" t="str">
        <f>IF($X492="","",SUMIFS(TARIFF_PROFILES!$H:$H,TARIFF_PROFILES!$A:$A,$X492))</f>
        <v/>
      </c>
      <c r="AD492" s="31" t="str">
        <f t="array" ref="AD492">IF($X492="","",INDEX(TARIFF_PROFILES!$J:$J,MATCH($X492,TARIFF_PROFILES!$A:$A,0)))</f>
        <v/>
      </c>
      <c r="AE492" s="31" t="str">
        <f t="array" ref="AE492">IF($X492="","",INDEX(TARIFF_PROFILES!$K:$K,MATCH($X492,TARIFF_PROFILES!$A:$A,0)))</f>
        <v/>
      </c>
      <c r="AG492" s="8"/>
      <c r="AH492" s="8" t="str">
        <f>IF($AG492="","",SUMIFS(OPERATING_COEFFS!$C:$C,OPERATING_COEFFS!$A:$A,"DistanceClass",OPERATING_COEFFS!$B:$B,$AG492))</f>
        <v/>
      </c>
      <c r="AI492" s="8"/>
      <c r="AJ492" s="8" t="str">
        <f>IF($AI492="","",SUMIFS(OPERATING_COEFFS!$C:$C,OPERATING_COEFFS!$A:$A,"SeasonClass",OPERATING_COEFFS!$B:$B,$AI492))</f>
        <v/>
      </c>
      <c r="AK492" s="8"/>
      <c r="AL492" s="8" t="str">
        <f>IF($AK492="","",SUMIFS(OPERATING_COEFFS!$C:$C,OPERATING_COEFFS!$A:$A,"UrgencyClass",OPERATING_COEFFS!$B:$B,$AK492))</f>
        <v/>
      </c>
      <c r="AM492" s="8"/>
      <c r="AN492" s="8" t="str">
        <f t="array" ref="AN492">IF($AM492="","",INDEX(TAX_MODES!$B:$B,MATCH($AM492,TAX_MODES!$A:$A,0)))</f>
        <v/>
      </c>
    </row>
    <row r="493" ht="14.25" customHeight="1">
      <c r="C493" s="8"/>
      <c r="E493" s="8"/>
      <c r="G493" s="8"/>
      <c r="I493" s="8"/>
      <c r="K493" s="8"/>
      <c r="M493" s="8"/>
      <c r="O493" s="8"/>
      <c r="Q493" s="8"/>
      <c r="S493" s="8"/>
      <c r="V493" s="8"/>
      <c r="X493" s="31"/>
      <c r="Y493" s="31" t="str">
        <f>IF($X493="","",SUMIFS(TARIFF_PROFILES!$D:$D,TARIFF_PROFILES!$A:$A,$X493))</f>
        <v/>
      </c>
      <c r="Z493" s="31" t="str">
        <f>IF($X493="","",SUMIFS(TARIFF_PROFILES!$E:$E,TARIFF_PROFILES!$A:$A,$X493))</f>
        <v/>
      </c>
      <c r="AA493" s="31" t="str">
        <f>IF($X493="","",SUMIFS(TARIFF_PROFILES!$F:$F,TARIFF_PROFILES!$A:$A,$X493))</f>
        <v/>
      </c>
      <c r="AB493" s="31" t="str">
        <f>IF($X493="","",SUMIFS(TARIFF_PROFILES!$G:$G,TARIFF_PROFILES!$A:$A,$X493))</f>
        <v/>
      </c>
      <c r="AC493" s="31" t="str">
        <f>IF($X493="","",SUMIFS(TARIFF_PROFILES!$H:$H,TARIFF_PROFILES!$A:$A,$X493))</f>
        <v/>
      </c>
      <c r="AD493" s="31" t="str">
        <f t="array" ref="AD493">IF($X493="","",INDEX(TARIFF_PROFILES!$J:$J,MATCH($X493,TARIFF_PROFILES!$A:$A,0)))</f>
        <v/>
      </c>
      <c r="AE493" s="31" t="str">
        <f t="array" ref="AE493">IF($X493="","",INDEX(TARIFF_PROFILES!$K:$K,MATCH($X493,TARIFF_PROFILES!$A:$A,0)))</f>
        <v/>
      </c>
      <c r="AG493" s="8"/>
      <c r="AH493" s="8" t="str">
        <f>IF($AG493="","",SUMIFS(OPERATING_COEFFS!$C:$C,OPERATING_COEFFS!$A:$A,"DistanceClass",OPERATING_COEFFS!$B:$B,$AG493))</f>
        <v/>
      </c>
      <c r="AI493" s="8"/>
      <c r="AJ493" s="8" t="str">
        <f>IF($AI493="","",SUMIFS(OPERATING_COEFFS!$C:$C,OPERATING_COEFFS!$A:$A,"SeasonClass",OPERATING_COEFFS!$B:$B,$AI493))</f>
        <v/>
      </c>
      <c r="AK493" s="8"/>
      <c r="AL493" s="8" t="str">
        <f>IF($AK493="","",SUMIFS(OPERATING_COEFFS!$C:$C,OPERATING_COEFFS!$A:$A,"UrgencyClass",OPERATING_COEFFS!$B:$B,$AK493))</f>
        <v/>
      </c>
      <c r="AM493" s="8"/>
      <c r="AN493" s="8" t="str">
        <f t="array" ref="AN493">IF($AM493="","",INDEX(TAX_MODES!$B:$B,MATCH($AM493,TAX_MODES!$A:$A,0)))</f>
        <v/>
      </c>
    </row>
    <row r="494" ht="14.25" customHeight="1">
      <c r="C494" s="8"/>
      <c r="E494" s="8"/>
      <c r="G494" s="8"/>
      <c r="I494" s="8"/>
      <c r="K494" s="8"/>
      <c r="M494" s="8"/>
      <c r="O494" s="8"/>
      <c r="Q494" s="8"/>
      <c r="S494" s="8"/>
      <c r="V494" s="8"/>
      <c r="X494" s="31"/>
      <c r="Y494" s="31" t="str">
        <f>IF($X494="","",SUMIFS(TARIFF_PROFILES!$D:$D,TARIFF_PROFILES!$A:$A,$X494))</f>
        <v/>
      </c>
      <c r="Z494" s="31" t="str">
        <f>IF($X494="","",SUMIFS(TARIFF_PROFILES!$E:$E,TARIFF_PROFILES!$A:$A,$X494))</f>
        <v/>
      </c>
      <c r="AA494" s="31" t="str">
        <f>IF($X494="","",SUMIFS(TARIFF_PROFILES!$F:$F,TARIFF_PROFILES!$A:$A,$X494))</f>
        <v/>
      </c>
      <c r="AB494" s="31" t="str">
        <f>IF($X494="","",SUMIFS(TARIFF_PROFILES!$G:$G,TARIFF_PROFILES!$A:$A,$X494))</f>
        <v/>
      </c>
      <c r="AC494" s="31" t="str">
        <f>IF($X494="","",SUMIFS(TARIFF_PROFILES!$H:$H,TARIFF_PROFILES!$A:$A,$X494))</f>
        <v/>
      </c>
      <c r="AD494" s="31" t="str">
        <f t="array" ref="AD494">IF($X494="","",INDEX(TARIFF_PROFILES!$J:$J,MATCH($X494,TARIFF_PROFILES!$A:$A,0)))</f>
        <v/>
      </c>
      <c r="AE494" s="31" t="str">
        <f t="array" ref="AE494">IF($X494="","",INDEX(TARIFF_PROFILES!$K:$K,MATCH($X494,TARIFF_PROFILES!$A:$A,0)))</f>
        <v/>
      </c>
      <c r="AG494" s="8"/>
      <c r="AH494" s="8" t="str">
        <f>IF($AG494="","",SUMIFS(OPERATING_COEFFS!$C:$C,OPERATING_COEFFS!$A:$A,"DistanceClass",OPERATING_COEFFS!$B:$B,$AG494))</f>
        <v/>
      </c>
      <c r="AI494" s="8"/>
      <c r="AJ494" s="8" t="str">
        <f>IF($AI494="","",SUMIFS(OPERATING_COEFFS!$C:$C,OPERATING_COEFFS!$A:$A,"SeasonClass",OPERATING_COEFFS!$B:$B,$AI494))</f>
        <v/>
      </c>
      <c r="AK494" s="8"/>
      <c r="AL494" s="8" t="str">
        <f>IF($AK494="","",SUMIFS(OPERATING_COEFFS!$C:$C,OPERATING_COEFFS!$A:$A,"UrgencyClass",OPERATING_COEFFS!$B:$B,$AK494))</f>
        <v/>
      </c>
      <c r="AM494" s="8"/>
      <c r="AN494" s="8" t="str">
        <f t="array" ref="AN494">IF($AM494="","",INDEX(TAX_MODES!$B:$B,MATCH($AM494,TAX_MODES!$A:$A,0)))</f>
        <v/>
      </c>
    </row>
    <row r="495" ht="14.25" customHeight="1">
      <c r="C495" s="8"/>
      <c r="E495" s="8"/>
      <c r="G495" s="8"/>
      <c r="I495" s="8"/>
      <c r="K495" s="8"/>
      <c r="M495" s="8"/>
      <c r="O495" s="8"/>
      <c r="Q495" s="8"/>
      <c r="S495" s="8"/>
      <c r="V495" s="8"/>
      <c r="X495" s="31"/>
      <c r="Y495" s="31" t="str">
        <f>IF($X495="","",SUMIFS(TARIFF_PROFILES!$D:$D,TARIFF_PROFILES!$A:$A,$X495))</f>
        <v/>
      </c>
      <c r="Z495" s="31" t="str">
        <f>IF($X495="","",SUMIFS(TARIFF_PROFILES!$E:$E,TARIFF_PROFILES!$A:$A,$X495))</f>
        <v/>
      </c>
      <c r="AA495" s="31" t="str">
        <f>IF($X495="","",SUMIFS(TARIFF_PROFILES!$F:$F,TARIFF_PROFILES!$A:$A,$X495))</f>
        <v/>
      </c>
      <c r="AB495" s="31" t="str">
        <f>IF($X495="","",SUMIFS(TARIFF_PROFILES!$G:$G,TARIFF_PROFILES!$A:$A,$X495))</f>
        <v/>
      </c>
      <c r="AC495" s="31" t="str">
        <f>IF($X495="","",SUMIFS(TARIFF_PROFILES!$H:$H,TARIFF_PROFILES!$A:$A,$X495))</f>
        <v/>
      </c>
      <c r="AD495" s="31" t="str">
        <f t="array" ref="AD495">IF($X495="","",INDEX(TARIFF_PROFILES!$J:$J,MATCH($X495,TARIFF_PROFILES!$A:$A,0)))</f>
        <v/>
      </c>
      <c r="AE495" s="31" t="str">
        <f t="array" ref="AE495">IF($X495="","",INDEX(TARIFF_PROFILES!$K:$K,MATCH($X495,TARIFF_PROFILES!$A:$A,0)))</f>
        <v/>
      </c>
      <c r="AG495" s="8"/>
      <c r="AH495" s="8" t="str">
        <f>IF($AG495="","",SUMIFS(OPERATING_COEFFS!$C:$C,OPERATING_COEFFS!$A:$A,"DistanceClass",OPERATING_COEFFS!$B:$B,$AG495))</f>
        <v/>
      </c>
      <c r="AI495" s="8"/>
      <c r="AJ495" s="8" t="str">
        <f>IF($AI495="","",SUMIFS(OPERATING_COEFFS!$C:$C,OPERATING_COEFFS!$A:$A,"SeasonClass",OPERATING_COEFFS!$B:$B,$AI495))</f>
        <v/>
      </c>
      <c r="AK495" s="8"/>
      <c r="AL495" s="8" t="str">
        <f>IF($AK495="","",SUMIFS(OPERATING_COEFFS!$C:$C,OPERATING_COEFFS!$A:$A,"UrgencyClass",OPERATING_COEFFS!$B:$B,$AK495))</f>
        <v/>
      </c>
      <c r="AM495" s="8"/>
      <c r="AN495" s="8" t="str">
        <f t="array" ref="AN495">IF($AM495="","",INDEX(TAX_MODES!$B:$B,MATCH($AM495,TAX_MODES!$A:$A,0)))</f>
        <v/>
      </c>
    </row>
    <row r="496" ht="14.25" customHeight="1">
      <c r="C496" s="8"/>
      <c r="E496" s="8"/>
      <c r="G496" s="8"/>
      <c r="I496" s="8"/>
      <c r="K496" s="8"/>
      <c r="M496" s="8"/>
      <c r="O496" s="8"/>
      <c r="Q496" s="8"/>
      <c r="S496" s="8"/>
      <c r="V496" s="8"/>
      <c r="X496" s="31"/>
      <c r="Y496" s="31" t="str">
        <f>IF($X496="","",SUMIFS(TARIFF_PROFILES!$D:$D,TARIFF_PROFILES!$A:$A,$X496))</f>
        <v/>
      </c>
      <c r="Z496" s="31" t="str">
        <f>IF($X496="","",SUMIFS(TARIFF_PROFILES!$E:$E,TARIFF_PROFILES!$A:$A,$X496))</f>
        <v/>
      </c>
      <c r="AA496" s="31" t="str">
        <f>IF($X496="","",SUMIFS(TARIFF_PROFILES!$F:$F,TARIFF_PROFILES!$A:$A,$X496))</f>
        <v/>
      </c>
      <c r="AB496" s="31" t="str">
        <f>IF($X496="","",SUMIFS(TARIFF_PROFILES!$G:$G,TARIFF_PROFILES!$A:$A,$X496))</f>
        <v/>
      </c>
      <c r="AC496" s="31" t="str">
        <f>IF($X496="","",SUMIFS(TARIFF_PROFILES!$H:$H,TARIFF_PROFILES!$A:$A,$X496))</f>
        <v/>
      </c>
      <c r="AD496" s="31" t="str">
        <f t="array" ref="AD496">IF($X496="","",INDEX(TARIFF_PROFILES!$J:$J,MATCH($X496,TARIFF_PROFILES!$A:$A,0)))</f>
        <v/>
      </c>
      <c r="AE496" s="31" t="str">
        <f t="array" ref="AE496">IF($X496="","",INDEX(TARIFF_PROFILES!$K:$K,MATCH($X496,TARIFF_PROFILES!$A:$A,0)))</f>
        <v/>
      </c>
      <c r="AG496" s="8"/>
      <c r="AH496" s="8" t="str">
        <f>IF($AG496="","",SUMIFS(OPERATING_COEFFS!$C:$C,OPERATING_COEFFS!$A:$A,"DistanceClass",OPERATING_COEFFS!$B:$B,$AG496))</f>
        <v/>
      </c>
      <c r="AI496" s="8"/>
      <c r="AJ496" s="8" t="str">
        <f>IF($AI496="","",SUMIFS(OPERATING_COEFFS!$C:$C,OPERATING_COEFFS!$A:$A,"SeasonClass",OPERATING_COEFFS!$B:$B,$AI496))</f>
        <v/>
      </c>
      <c r="AK496" s="8"/>
      <c r="AL496" s="8" t="str">
        <f>IF($AK496="","",SUMIFS(OPERATING_COEFFS!$C:$C,OPERATING_COEFFS!$A:$A,"UrgencyClass",OPERATING_COEFFS!$B:$B,$AK496))</f>
        <v/>
      </c>
      <c r="AM496" s="8"/>
      <c r="AN496" s="8" t="str">
        <f t="array" ref="AN496">IF($AM496="","",INDEX(TAX_MODES!$B:$B,MATCH($AM496,TAX_MODES!$A:$A,0)))</f>
        <v/>
      </c>
    </row>
    <row r="497" ht="14.25" customHeight="1">
      <c r="C497" s="8"/>
      <c r="E497" s="8"/>
      <c r="G497" s="8"/>
      <c r="I497" s="8"/>
      <c r="K497" s="8"/>
      <c r="M497" s="8"/>
      <c r="O497" s="8"/>
      <c r="Q497" s="8"/>
      <c r="S497" s="8"/>
      <c r="V497" s="8"/>
      <c r="X497" s="31"/>
      <c r="Y497" s="31" t="str">
        <f>IF($X497="","",SUMIFS(TARIFF_PROFILES!$D:$D,TARIFF_PROFILES!$A:$A,$X497))</f>
        <v/>
      </c>
      <c r="Z497" s="31" t="str">
        <f>IF($X497="","",SUMIFS(TARIFF_PROFILES!$E:$E,TARIFF_PROFILES!$A:$A,$X497))</f>
        <v/>
      </c>
      <c r="AA497" s="31" t="str">
        <f>IF($X497="","",SUMIFS(TARIFF_PROFILES!$F:$F,TARIFF_PROFILES!$A:$A,$X497))</f>
        <v/>
      </c>
      <c r="AB497" s="31" t="str">
        <f>IF($X497="","",SUMIFS(TARIFF_PROFILES!$G:$G,TARIFF_PROFILES!$A:$A,$X497))</f>
        <v/>
      </c>
      <c r="AC497" s="31" t="str">
        <f>IF($X497="","",SUMIFS(TARIFF_PROFILES!$H:$H,TARIFF_PROFILES!$A:$A,$X497))</f>
        <v/>
      </c>
      <c r="AD497" s="31" t="str">
        <f t="array" ref="AD497">IF($X497="","",INDEX(TARIFF_PROFILES!$J:$J,MATCH($X497,TARIFF_PROFILES!$A:$A,0)))</f>
        <v/>
      </c>
      <c r="AE497" s="31" t="str">
        <f t="array" ref="AE497">IF($X497="","",INDEX(TARIFF_PROFILES!$K:$K,MATCH($X497,TARIFF_PROFILES!$A:$A,0)))</f>
        <v/>
      </c>
      <c r="AG497" s="8"/>
      <c r="AH497" s="8" t="str">
        <f>IF($AG497="","",SUMIFS(OPERATING_COEFFS!$C:$C,OPERATING_COEFFS!$A:$A,"DistanceClass",OPERATING_COEFFS!$B:$B,$AG497))</f>
        <v/>
      </c>
      <c r="AI497" s="8"/>
      <c r="AJ497" s="8" t="str">
        <f>IF($AI497="","",SUMIFS(OPERATING_COEFFS!$C:$C,OPERATING_COEFFS!$A:$A,"SeasonClass",OPERATING_COEFFS!$B:$B,$AI497))</f>
        <v/>
      </c>
      <c r="AK497" s="8"/>
      <c r="AL497" s="8" t="str">
        <f>IF($AK497="","",SUMIFS(OPERATING_COEFFS!$C:$C,OPERATING_COEFFS!$A:$A,"UrgencyClass",OPERATING_COEFFS!$B:$B,$AK497))</f>
        <v/>
      </c>
      <c r="AM497" s="8"/>
      <c r="AN497" s="8" t="str">
        <f t="array" ref="AN497">IF($AM497="","",INDEX(TAX_MODES!$B:$B,MATCH($AM497,TAX_MODES!$A:$A,0)))</f>
        <v/>
      </c>
    </row>
    <row r="498" ht="14.25" customHeight="1">
      <c r="C498" s="8"/>
      <c r="E498" s="8"/>
      <c r="G498" s="8"/>
      <c r="I498" s="8"/>
      <c r="K498" s="8"/>
      <c r="M498" s="8"/>
      <c r="O498" s="8"/>
      <c r="Q498" s="8"/>
      <c r="S498" s="8"/>
      <c r="V498" s="8"/>
      <c r="X498" s="31"/>
      <c r="Y498" s="31" t="str">
        <f>IF($X498="","",SUMIFS(TARIFF_PROFILES!$D:$D,TARIFF_PROFILES!$A:$A,$X498))</f>
        <v/>
      </c>
      <c r="Z498" s="31" t="str">
        <f>IF($X498="","",SUMIFS(TARIFF_PROFILES!$E:$E,TARIFF_PROFILES!$A:$A,$X498))</f>
        <v/>
      </c>
      <c r="AA498" s="31" t="str">
        <f>IF($X498="","",SUMIFS(TARIFF_PROFILES!$F:$F,TARIFF_PROFILES!$A:$A,$X498))</f>
        <v/>
      </c>
      <c r="AB498" s="31" t="str">
        <f>IF($X498="","",SUMIFS(TARIFF_PROFILES!$G:$G,TARIFF_PROFILES!$A:$A,$X498))</f>
        <v/>
      </c>
      <c r="AC498" s="31" t="str">
        <f>IF($X498="","",SUMIFS(TARIFF_PROFILES!$H:$H,TARIFF_PROFILES!$A:$A,$X498))</f>
        <v/>
      </c>
      <c r="AD498" s="31" t="str">
        <f t="array" ref="AD498">IF($X498="","",INDEX(TARIFF_PROFILES!$J:$J,MATCH($X498,TARIFF_PROFILES!$A:$A,0)))</f>
        <v/>
      </c>
      <c r="AE498" s="31" t="str">
        <f t="array" ref="AE498">IF($X498="","",INDEX(TARIFF_PROFILES!$K:$K,MATCH($X498,TARIFF_PROFILES!$A:$A,0)))</f>
        <v/>
      </c>
      <c r="AG498" s="8"/>
      <c r="AH498" s="8" t="str">
        <f>IF($AG498="","",SUMIFS(OPERATING_COEFFS!$C:$C,OPERATING_COEFFS!$A:$A,"DistanceClass",OPERATING_COEFFS!$B:$B,$AG498))</f>
        <v/>
      </c>
      <c r="AI498" s="8"/>
      <c r="AJ498" s="8" t="str">
        <f>IF($AI498="","",SUMIFS(OPERATING_COEFFS!$C:$C,OPERATING_COEFFS!$A:$A,"SeasonClass",OPERATING_COEFFS!$B:$B,$AI498))</f>
        <v/>
      </c>
      <c r="AK498" s="8"/>
      <c r="AL498" s="8" t="str">
        <f>IF($AK498="","",SUMIFS(OPERATING_COEFFS!$C:$C,OPERATING_COEFFS!$A:$A,"UrgencyClass",OPERATING_COEFFS!$B:$B,$AK498))</f>
        <v/>
      </c>
      <c r="AM498" s="8"/>
      <c r="AN498" s="8" t="str">
        <f t="array" ref="AN498">IF($AM498="","",INDEX(TAX_MODES!$B:$B,MATCH($AM498,TAX_MODES!$A:$A,0)))</f>
        <v/>
      </c>
    </row>
    <row r="499" ht="14.25" customHeight="1">
      <c r="C499" s="8"/>
      <c r="E499" s="8"/>
      <c r="G499" s="8"/>
      <c r="I499" s="8"/>
      <c r="K499" s="8"/>
      <c r="M499" s="8"/>
      <c r="O499" s="8"/>
      <c r="Q499" s="8"/>
      <c r="S499" s="8"/>
      <c r="V499" s="8"/>
      <c r="X499" s="31"/>
      <c r="Y499" s="31" t="str">
        <f>IF($X499="","",SUMIFS(TARIFF_PROFILES!$D:$D,TARIFF_PROFILES!$A:$A,$X499))</f>
        <v/>
      </c>
      <c r="Z499" s="31" t="str">
        <f>IF($X499="","",SUMIFS(TARIFF_PROFILES!$E:$E,TARIFF_PROFILES!$A:$A,$X499))</f>
        <v/>
      </c>
      <c r="AA499" s="31" t="str">
        <f>IF($X499="","",SUMIFS(TARIFF_PROFILES!$F:$F,TARIFF_PROFILES!$A:$A,$X499))</f>
        <v/>
      </c>
      <c r="AB499" s="31" t="str">
        <f>IF($X499="","",SUMIFS(TARIFF_PROFILES!$G:$G,TARIFF_PROFILES!$A:$A,$X499))</f>
        <v/>
      </c>
      <c r="AC499" s="31" t="str">
        <f>IF($X499="","",SUMIFS(TARIFF_PROFILES!$H:$H,TARIFF_PROFILES!$A:$A,$X499))</f>
        <v/>
      </c>
      <c r="AD499" s="31" t="str">
        <f t="array" ref="AD499">IF($X499="","",INDEX(TARIFF_PROFILES!$J:$J,MATCH($X499,TARIFF_PROFILES!$A:$A,0)))</f>
        <v/>
      </c>
      <c r="AE499" s="31" t="str">
        <f t="array" ref="AE499">IF($X499="","",INDEX(TARIFF_PROFILES!$K:$K,MATCH($X499,TARIFF_PROFILES!$A:$A,0)))</f>
        <v/>
      </c>
      <c r="AG499" s="8"/>
      <c r="AH499" s="8" t="str">
        <f>IF($AG499="","",SUMIFS(OPERATING_COEFFS!$C:$C,OPERATING_COEFFS!$A:$A,"DistanceClass",OPERATING_COEFFS!$B:$B,$AG499))</f>
        <v/>
      </c>
      <c r="AI499" s="8"/>
      <c r="AJ499" s="8" t="str">
        <f>IF($AI499="","",SUMIFS(OPERATING_COEFFS!$C:$C,OPERATING_COEFFS!$A:$A,"SeasonClass",OPERATING_COEFFS!$B:$B,$AI499))</f>
        <v/>
      </c>
      <c r="AK499" s="8"/>
      <c r="AL499" s="8" t="str">
        <f>IF($AK499="","",SUMIFS(OPERATING_COEFFS!$C:$C,OPERATING_COEFFS!$A:$A,"UrgencyClass",OPERATING_COEFFS!$B:$B,$AK499))</f>
        <v/>
      </c>
      <c r="AM499" s="8"/>
      <c r="AN499" s="8" t="str">
        <f t="array" ref="AN499">IF($AM499="","",INDEX(TAX_MODES!$B:$B,MATCH($AM499,TAX_MODES!$A:$A,0)))</f>
        <v/>
      </c>
    </row>
    <row r="500" ht="14.25" customHeight="1">
      <c r="C500" s="8"/>
      <c r="E500" s="8"/>
      <c r="G500" s="8"/>
      <c r="I500" s="8"/>
      <c r="K500" s="8"/>
      <c r="M500" s="8"/>
      <c r="O500" s="8"/>
      <c r="Q500" s="8"/>
      <c r="S500" s="8"/>
      <c r="V500" s="8"/>
      <c r="X500" s="31"/>
      <c r="Y500" s="31" t="str">
        <f>IF($X500="","",SUMIFS(TARIFF_PROFILES!$D:$D,TARIFF_PROFILES!$A:$A,$X500))</f>
        <v/>
      </c>
      <c r="Z500" s="31" t="str">
        <f>IF($X500="","",SUMIFS(TARIFF_PROFILES!$E:$E,TARIFF_PROFILES!$A:$A,$X500))</f>
        <v/>
      </c>
      <c r="AA500" s="31" t="str">
        <f>IF($X500="","",SUMIFS(TARIFF_PROFILES!$F:$F,TARIFF_PROFILES!$A:$A,$X500))</f>
        <v/>
      </c>
      <c r="AB500" s="31" t="str">
        <f>IF($X500="","",SUMIFS(TARIFF_PROFILES!$G:$G,TARIFF_PROFILES!$A:$A,$X500))</f>
        <v/>
      </c>
      <c r="AC500" s="31" t="str">
        <f>IF($X500="","",SUMIFS(TARIFF_PROFILES!$H:$H,TARIFF_PROFILES!$A:$A,$X500))</f>
        <v/>
      </c>
      <c r="AD500" s="31" t="str">
        <f t="array" ref="AD500">IF($X500="","",INDEX(TARIFF_PROFILES!$J:$J,MATCH($X500,TARIFF_PROFILES!$A:$A,0)))</f>
        <v/>
      </c>
      <c r="AE500" s="31" t="str">
        <f t="array" ref="AE500">IF($X500="","",INDEX(TARIFF_PROFILES!$K:$K,MATCH($X500,TARIFF_PROFILES!$A:$A,0)))</f>
        <v/>
      </c>
      <c r="AG500" s="8"/>
      <c r="AH500" s="8" t="str">
        <f>IF($AG500="","",SUMIFS(OPERATING_COEFFS!$C:$C,OPERATING_COEFFS!$A:$A,"DistanceClass",OPERATING_COEFFS!$B:$B,$AG500))</f>
        <v/>
      </c>
      <c r="AI500" s="8"/>
      <c r="AJ500" s="8" t="str">
        <f>IF($AI500="","",SUMIFS(OPERATING_COEFFS!$C:$C,OPERATING_COEFFS!$A:$A,"SeasonClass",OPERATING_COEFFS!$B:$B,$AI500))</f>
        <v/>
      </c>
      <c r="AK500" s="8"/>
      <c r="AL500" s="8" t="str">
        <f>IF($AK500="","",SUMIFS(OPERATING_COEFFS!$C:$C,OPERATING_COEFFS!$A:$A,"UrgencyClass",OPERATING_COEFFS!$B:$B,$AK500))</f>
        <v/>
      </c>
      <c r="AM500" s="8"/>
      <c r="AN500" s="8" t="str">
        <f t="array" ref="AN500">IF($AM500="","",INDEX(TAX_MODES!$B:$B,MATCH($AM500,TAX_MODES!$A:$A,0)))</f>
        <v/>
      </c>
    </row>
    <row r="501" ht="14.25" customHeight="1">
      <c r="C501" s="8"/>
      <c r="E501" s="8"/>
      <c r="G501" s="8"/>
      <c r="I501" s="8"/>
      <c r="K501" s="8"/>
      <c r="M501" s="8"/>
      <c r="O501" s="8"/>
      <c r="Q501" s="8"/>
      <c r="S501" s="8"/>
      <c r="V501" s="8"/>
      <c r="X501" s="31"/>
      <c r="Y501" s="31" t="str">
        <f>IF($X501="","",SUMIFS(TARIFF_PROFILES!$D:$D,TARIFF_PROFILES!$A:$A,$X501))</f>
        <v/>
      </c>
      <c r="Z501" s="31" t="str">
        <f>IF($X501="","",SUMIFS(TARIFF_PROFILES!$E:$E,TARIFF_PROFILES!$A:$A,$X501))</f>
        <v/>
      </c>
      <c r="AA501" s="31" t="str">
        <f>IF($X501="","",SUMIFS(TARIFF_PROFILES!$F:$F,TARIFF_PROFILES!$A:$A,$X501))</f>
        <v/>
      </c>
      <c r="AB501" s="31" t="str">
        <f>IF($X501="","",SUMIFS(TARIFF_PROFILES!$G:$G,TARIFF_PROFILES!$A:$A,$X501))</f>
        <v/>
      </c>
      <c r="AC501" s="31" t="str">
        <f>IF($X501="","",SUMIFS(TARIFF_PROFILES!$H:$H,TARIFF_PROFILES!$A:$A,$X501))</f>
        <v/>
      </c>
      <c r="AD501" s="31" t="str">
        <f t="array" ref="AD501">IF($X501="","",INDEX(TARIFF_PROFILES!$J:$J,MATCH($X501,TARIFF_PROFILES!$A:$A,0)))</f>
        <v/>
      </c>
      <c r="AE501" s="31" t="str">
        <f t="array" ref="AE501">IF($X501="","",INDEX(TARIFF_PROFILES!$K:$K,MATCH($X501,TARIFF_PROFILES!$A:$A,0)))</f>
        <v/>
      </c>
      <c r="AG501" s="8"/>
      <c r="AH501" s="8" t="str">
        <f>IF($AG501="","",SUMIFS(OPERATING_COEFFS!$C:$C,OPERATING_COEFFS!$A:$A,"DistanceClass",OPERATING_COEFFS!$B:$B,$AG501))</f>
        <v/>
      </c>
      <c r="AI501" s="8"/>
      <c r="AJ501" s="8" t="str">
        <f>IF($AI501="","",SUMIFS(OPERATING_COEFFS!$C:$C,OPERATING_COEFFS!$A:$A,"SeasonClass",OPERATING_COEFFS!$B:$B,$AI501))</f>
        <v/>
      </c>
      <c r="AK501" s="8"/>
      <c r="AL501" s="8" t="str">
        <f>IF($AK501="","",SUMIFS(OPERATING_COEFFS!$C:$C,OPERATING_COEFFS!$A:$A,"UrgencyClass",OPERATING_COEFFS!$B:$B,$AK501))</f>
        <v/>
      </c>
      <c r="AM501" s="8"/>
      <c r="AN501" s="8" t="str">
        <f t="array" ref="AN501">IF($AM501="","",INDEX(TAX_MODES!$B:$B,MATCH($AM501,TAX_MODES!$A:$A,0)))</f>
        <v/>
      </c>
    </row>
    <row r="502" ht="14.25" customHeight="1">
      <c r="C502" s="8"/>
      <c r="E502" s="8"/>
      <c r="G502" s="8"/>
      <c r="I502" s="8"/>
      <c r="K502" s="8"/>
      <c r="M502" s="8"/>
      <c r="O502" s="8"/>
      <c r="Q502" s="8"/>
      <c r="S502" s="8"/>
      <c r="V502" s="8"/>
      <c r="X502" s="31"/>
      <c r="Y502" s="31" t="str">
        <f>IF($X502="","",SUMIFS(TARIFF_PROFILES!$D:$D,TARIFF_PROFILES!$A:$A,$X502))</f>
        <v/>
      </c>
      <c r="Z502" s="31" t="str">
        <f>IF($X502="","",SUMIFS(TARIFF_PROFILES!$E:$E,TARIFF_PROFILES!$A:$A,$X502))</f>
        <v/>
      </c>
      <c r="AA502" s="31" t="str">
        <f>IF($X502="","",SUMIFS(TARIFF_PROFILES!$F:$F,TARIFF_PROFILES!$A:$A,$X502))</f>
        <v/>
      </c>
      <c r="AB502" s="31" t="str">
        <f>IF($X502="","",SUMIFS(TARIFF_PROFILES!$G:$G,TARIFF_PROFILES!$A:$A,$X502))</f>
        <v/>
      </c>
      <c r="AC502" s="31" t="str">
        <f>IF($X502="","",SUMIFS(TARIFF_PROFILES!$H:$H,TARIFF_PROFILES!$A:$A,$X502))</f>
        <v/>
      </c>
      <c r="AD502" s="31" t="str">
        <f t="array" ref="AD502">IF($X502="","",INDEX(TARIFF_PROFILES!$J:$J,MATCH($X502,TARIFF_PROFILES!$A:$A,0)))</f>
        <v/>
      </c>
      <c r="AE502" s="31" t="str">
        <f t="array" ref="AE502">IF($X502="","",INDEX(TARIFF_PROFILES!$K:$K,MATCH($X502,TARIFF_PROFILES!$A:$A,0)))</f>
        <v/>
      </c>
      <c r="AG502" s="8"/>
      <c r="AH502" s="8" t="str">
        <f>IF($AG502="","",SUMIFS(OPERATING_COEFFS!$C:$C,OPERATING_COEFFS!$A:$A,"DistanceClass",OPERATING_COEFFS!$B:$B,$AG502))</f>
        <v/>
      </c>
      <c r="AI502" s="8"/>
      <c r="AJ502" s="8" t="str">
        <f>IF($AI502="","",SUMIFS(OPERATING_COEFFS!$C:$C,OPERATING_COEFFS!$A:$A,"SeasonClass",OPERATING_COEFFS!$B:$B,$AI502))</f>
        <v/>
      </c>
      <c r="AK502" s="8"/>
      <c r="AL502" s="8" t="str">
        <f>IF($AK502="","",SUMIFS(OPERATING_COEFFS!$C:$C,OPERATING_COEFFS!$A:$A,"UrgencyClass",OPERATING_COEFFS!$B:$B,$AK502))</f>
        <v/>
      </c>
      <c r="AM502" s="8"/>
      <c r="AN502" s="8" t="str">
        <f t="array" ref="AN502">IF($AM502="","",INDEX(TAX_MODES!$B:$B,MATCH($AM502,TAX_MODES!$A:$A,0)))</f>
        <v/>
      </c>
    </row>
    <row r="503" ht="14.25" customHeight="1">
      <c r="C503" s="8"/>
      <c r="E503" s="8"/>
      <c r="G503" s="8"/>
      <c r="I503" s="8"/>
      <c r="K503" s="8"/>
      <c r="M503" s="8"/>
      <c r="O503" s="8"/>
      <c r="Q503" s="8"/>
      <c r="S503" s="8"/>
      <c r="V503" s="8"/>
      <c r="X503" s="31"/>
      <c r="Y503" s="31" t="str">
        <f>IF($X503="","",SUMIFS(TARIFF_PROFILES!$D:$D,TARIFF_PROFILES!$A:$A,$X503))</f>
        <v/>
      </c>
      <c r="Z503" s="31" t="str">
        <f>IF($X503="","",SUMIFS(TARIFF_PROFILES!$E:$E,TARIFF_PROFILES!$A:$A,$X503))</f>
        <v/>
      </c>
      <c r="AA503" s="31" t="str">
        <f>IF($X503="","",SUMIFS(TARIFF_PROFILES!$F:$F,TARIFF_PROFILES!$A:$A,$X503))</f>
        <v/>
      </c>
      <c r="AB503" s="31" t="str">
        <f>IF($X503="","",SUMIFS(TARIFF_PROFILES!$G:$G,TARIFF_PROFILES!$A:$A,$X503))</f>
        <v/>
      </c>
      <c r="AC503" s="31" t="str">
        <f>IF($X503="","",SUMIFS(TARIFF_PROFILES!$H:$H,TARIFF_PROFILES!$A:$A,$X503))</f>
        <v/>
      </c>
      <c r="AD503" s="31" t="str">
        <f t="array" ref="AD503">IF($X503="","",INDEX(TARIFF_PROFILES!$J:$J,MATCH($X503,TARIFF_PROFILES!$A:$A,0)))</f>
        <v/>
      </c>
      <c r="AE503" s="31" t="str">
        <f t="array" ref="AE503">IF($X503="","",INDEX(TARIFF_PROFILES!$K:$K,MATCH($X503,TARIFF_PROFILES!$A:$A,0)))</f>
        <v/>
      </c>
      <c r="AG503" s="8"/>
      <c r="AH503" s="8" t="str">
        <f>IF($AG503="","",SUMIFS(OPERATING_COEFFS!$C:$C,OPERATING_COEFFS!$A:$A,"DistanceClass",OPERATING_COEFFS!$B:$B,$AG503))</f>
        <v/>
      </c>
      <c r="AI503" s="8"/>
      <c r="AJ503" s="8" t="str">
        <f>IF($AI503="","",SUMIFS(OPERATING_COEFFS!$C:$C,OPERATING_COEFFS!$A:$A,"SeasonClass",OPERATING_COEFFS!$B:$B,$AI503))</f>
        <v/>
      </c>
      <c r="AK503" s="8"/>
      <c r="AL503" s="8" t="str">
        <f>IF($AK503="","",SUMIFS(OPERATING_COEFFS!$C:$C,OPERATING_COEFFS!$A:$A,"UrgencyClass",OPERATING_COEFFS!$B:$B,$AK503))</f>
        <v/>
      </c>
      <c r="AM503" s="8"/>
      <c r="AN503" s="8" t="str">
        <f t="array" ref="AN503">IF($AM503="","",INDEX(TAX_MODES!$B:$B,MATCH($AM503,TAX_MODES!$A:$A,0)))</f>
        <v/>
      </c>
    </row>
    <row r="504" ht="14.25" customHeight="1">
      <c r="C504" s="8"/>
      <c r="E504" s="8"/>
      <c r="G504" s="8"/>
      <c r="I504" s="8"/>
      <c r="K504" s="8"/>
      <c r="M504" s="8"/>
      <c r="O504" s="8"/>
      <c r="Q504" s="8"/>
      <c r="S504" s="8"/>
      <c r="V504" s="8"/>
      <c r="X504" s="31"/>
      <c r="Y504" s="31" t="str">
        <f>IF($X504="","",SUMIFS(TARIFF_PROFILES!$D:$D,TARIFF_PROFILES!$A:$A,$X504))</f>
        <v/>
      </c>
      <c r="Z504" s="31" t="str">
        <f>IF($X504="","",SUMIFS(TARIFF_PROFILES!$E:$E,TARIFF_PROFILES!$A:$A,$X504))</f>
        <v/>
      </c>
      <c r="AA504" s="31" t="str">
        <f>IF($X504="","",SUMIFS(TARIFF_PROFILES!$F:$F,TARIFF_PROFILES!$A:$A,$X504))</f>
        <v/>
      </c>
      <c r="AB504" s="31" t="str">
        <f>IF($X504="","",SUMIFS(TARIFF_PROFILES!$G:$G,TARIFF_PROFILES!$A:$A,$X504))</f>
        <v/>
      </c>
      <c r="AC504" s="31" t="str">
        <f>IF($X504="","",SUMIFS(TARIFF_PROFILES!$H:$H,TARIFF_PROFILES!$A:$A,$X504))</f>
        <v/>
      </c>
      <c r="AD504" s="31" t="str">
        <f t="array" ref="AD504">IF($X504="","",INDEX(TARIFF_PROFILES!$J:$J,MATCH($X504,TARIFF_PROFILES!$A:$A,0)))</f>
        <v/>
      </c>
      <c r="AE504" s="31" t="str">
        <f t="array" ref="AE504">IF($X504="","",INDEX(TARIFF_PROFILES!$K:$K,MATCH($X504,TARIFF_PROFILES!$A:$A,0)))</f>
        <v/>
      </c>
      <c r="AG504" s="8"/>
      <c r="AH504" s="8" t="str">
        <f>IF($AG504="","",SUMIFS(OPERATING_COEFFS!$C:$C,OPERATING_COEFFS!$A:$A,"DistanceClass",OPERATING_COEFFS!$B:$B,$AG504))</f>
        <v/>
      </c>
      <c r="AI504" s="8"/>
      <c r="AJ504" s="8" t="str">
        <f>IF($AI504="","",SUMIFS(OPERATING_COEFFS!$C:$C,OPERATING_COEFFS!$A:$A,"SeasonClass",OPERATING_COEFFS!$B:$B,$AI504))</f>
        <v/>
      </c>
      <c r="AK504" s="8"/>
      <c r="AL504" s="8" t="str">
        <f>IF($AK504="","",SUMIFS(OPERATING_COEFFS!$C:$C,OPERATING_COEFFS!$A:$A,"UrgencyClass",OPERATING_COEFFS!$B:$B,$AK504))</f>
        <v/>
      </c>
      <c r="AM504" s="8"/>
      <c r="AN504" s="8" t="str">
        <f t="array" ref="AN504">IF($AM504="","",INDEX(TAX_MODES!$B:$B,MATCH($AM504,TAX_MODES!$A:$A,0)))</f>
        <v/>
      </c>
    </row>
    <row r="505" ht="14.25" customHeight="1">
      <c r="C505" s="8"/>
      <c r="E505" s="8"/>
      <c r="G505" s="8"/>
      <c r="I505" s="8"/>
      <c r="K505" s="8"/>
      <c r="M505" s="8"/>
      <c r="O505" s="8"/>
      <c r="Q505" s="8"/>
      <c r="S505" s="8"/>
      <c r="V505" s="8"/>
      <c r="X505" s="31"/>
      <c r="Y505" s="31" t="str">
        <f>IF($X505="","",SUMIFS(TARIFF_PROFILES!$D:$D,TARIFF_PROFILES!$A:$A,$X505))</f>
        <v/>
      </c>
      <c r="Z505" s="31" t="str">
        <f>IF($X505="","",SUMIFS(TARIFF_PROFILES!$E:$E,TARIFF_PROFILES!$A:$A,$X505))</f>
        <v/>
      </c>
      <c r="AA505" s="31" t="str">
        <f>IF($X505="","",SUMIFS(TARIFF_PROFILES!$F:$F,TARIFF_PROFILES!$A:$A,$X505))</f>
        <v/>
      </c>
      <c r="AB505" s="31" t="str">
        <f>IF($X505="","",SUMIFS(TARIFF_PROFILES!$G:$G,TARIFF_PROFILES!$A:$A,$X505))</f>
        <v/>
      </c>
      <c r="AC505" s="31" t="str">
        <f>IF($X505="","",SUMIFS(TARIFF_PROFILES!$H:$H,TARIFF_PROFILES!$A:$A,$X505))</f>
        <v/>
      </c>
      <c r="AD505" s="31" t="str">
        <f t="array" ref="AD505">IF($X505="","",INDEX(TARIFF_PROFILES!$J:$J,MATCH($X505,TARIFF_PROFILES!$A:$A,0)))</f>
        <v/>
      </c>
      <c r="AE505" s="31" t="str">
        <f t="array" ref="AE505">IF($X505="","",INDEX(TARIFF_PROFILES!$K:$K,MATCH($X505,TARIFF_PROFILES!$A:$A,0)))</f>
        <v/>
      </c>
      <c r="AG505" s="8"/>
      <c r="AH505" s="8" t="str">
        <f>IF($AG505="","",SUMIFS(OPERATING_COEFFS!$C:$C,OPERATING_COEFFS!$A:$A,"DistanceClass",OPERATING_COEFFS!$B:$B,$AG505))</f>
        <v/>
      </c>
      <c r="AI505" s="8"/>
      <c r="AJ505" s="8" t="str">
        <f>IF($AI505="","",SUMIFS(OPERATING_COEFFS!$C:$C,OPERATING_COEFFS!$A:$A,"SeasonClass",OPERATING_COEFFS!$B:$B,$AI505))</f>
        <v/>
      </c>
      <c r="AK505" s="8"/>
      <c r="AL505" s="8" t="str">
        <f>IF($AK505="","",SUMIFS(OPERATING_COEFFS!$C:$C,OPERATING_COEFFS!$A:$A,"UrgencyClass",OPERATING_COEFFS!$B:$B,$AK505))</f>
        <v/>
      </c>
      <c r="AM505" s="8"/>
      <c r="AN505" s="8" t="str">
        <f t="array" ref="AN505">IF($AM505="","",INDEX(TAX_MODES!$B:$B,MATCH($AM505,TAX_MODES!$A:$A,0)))</f>
        <v/>
      </c>
    </row>
    <row r="506" ht="14.25" customHeight="1">
      <c r="C506" s="8"/>
      <c r="E506" s="8"/>
      <c r="G506" s="8"/>
      <c r="I506" s="8"/>
      <c r="K506" s="8"/>
      <c r="M506" s="8"/>
      <c r="O506" s="8"/>
      <c r="Q506" s="8"/>
      <c r="S506" s="8"/>
      <c r="V506" s="8"/>
      <c r="X506" s="31"/>
      <c r="Y506" s="31" t="str">
        <f>IF($X506="","",SUMIFS(TARIFF_PROFILES!$D:$D,TARIFF_PROFILES!$A:$A,$X506))</f>
        <v/>
      </c>
      <c r="Z506" s="31" t="str">
        <f>IF($X506="","",SUMIFS(TARIFF_PROFILES!$E:$E,TARIFF_PROFILES!$A:$A,$X506))</f>
        <v/>
      </c>
      <c r="AA506" s="31" t="str">
        <f>IF($X506="","",SUMIFS(TARIFF_PROFILES!$F:$F,TARIFF_PROFILES!$A:$A,$X506))</f>
        <v/>
      </c>
      <c r="AB506" s="31" t="str">
        <f>IF($X506="","",SUMIFS(TARIFF_PROFILES!$G:$G,TARIFF_PROFILES!$A:$A,$X506))</f>
        <v/>
      </c>
      <c r="AC506" s="31" t="str">
        <f>IF($X506="","",SUMIFS(TARIFF_PROFILES!$H:$H,TARIFF_PROFILES!$A:$A,$X506))</f>
        <v/>
      </c>
      <c r="AD506" s="31" t="str">
        <f t="array" ref="AD506">IF($X506="","",INDEX(TARIFF_PROFILES!$J:$J,MATCH($X506,TARIFF_PROFILES!$A:$A,0)))</f>
        <v/>
      </c>
      <c r="AE506" s="31" t="str">
        <f t="array" ref="AE506">IF($X506="","",INDEX(TARIFF_PROFILES!$K:$K,MATCH($X506,TARIFF_PROFILES!$A:$A,0)))</f>
        <v/>
      </c>
      <c r="AG506" s="8"/>
      <c r="AH506" s="8" t="str">
        <f>IF($AG506="","",SUMIFS(OPERATING_COEFFS!$C:$C,OPERATING_COEFFS!$A:$A,"DistanceClass",OPERATING_COEFFS!$B:$B,$AG506))</f>
        <v/>
      </c>
      <c r="AI506" s="8"/>
      <c r="AJ506" s="8" t="str">
        <f>IF($AI506="","",SUMIFS(OPERATING_COEFFS!$C:$C,OPERATING_COEFFS!$A:$A,"SeasonClass",OPERATING_COEFFS!$B:$B,$AI506))</f>
        <v/>
      </c>
      <c r="AK506" s="8"/>
      <c r="AL506" s="8" t="str">
        <f>IF($AK506="","",SUMIFS(OPERATING_COEFFS!$C:$C,OPERATING_COEFFS!$A:$A,"UrgencyClass",OPERATING_COEFFS!$B:$B,$AK506))</f>
        <v/>
      </c>
      <c r="AM506" s="8"/>
      <c r="AN506" s="8" t="str">
        <f t="array" ref="AN506">IF($AM506="","",INDEX(TAX_MODES!$B:$B,MATCH($AM506,TAX_MODES!$A:$A,0)))</f>
        <v/>
      </c>
    </row>
    <row r="507" ht="14.25" customHeight="1">
      <c r="C507" s="8"/>
      <c r="E507" s="8"/>
      <c r="G507" s="8"/>
      <c r="I507" s="8"/>
      <c r="K507" s="8"/>
      <c r="M507" s="8"/>
      <c r="O507" s="8"/>
      <c r="Q507" s="8"/>
      <c r="S507" s="8"/>
      <c r="V507" s="8"/>
      <c r="X507" s="31"/>
      <c r="Y507" s="31" t="str">
        <f>IF($X507="","",SUMIFS(TARIFF_PROFILES!$D:$D,TARIFF_PROFILES!$A:$A,$X507))</f>
        <v/>
      </c>
      <c r="Z507" s="31" t="str">
        <f>IF($X507="","",SUMIFS(TARIFF_PROFILES!$E:$E,TARIFF_PROFILES!$A:$A,$X507))</f>
        <v/>
      </c>
      <c r="AA507" s="31" t="str">
        <f>IF($X507="","",SUMIFS(TARIFF_PROFILES!$F:$F,TARIFF_PROFILES!$A:$A,$X507))</f>
        <v/>
      </c>
      <c r="AB507" s="31" t="str">
        <f>IF($X507="","",SUMIFS(TARIFF_PROFILES!$G:$G,TARIFF_PROFILES!$A:$A,$X507))</f>
        <v/>
      </c>
      <c r="AC507" s="31" t="str">
        <f>IF($X507="","",SUMIFS(TARIFF_PROFILES!$H:$H,TARIFF_PROFILES!$A:$A,$X507))</f>
        <v/>
      </c>
      <c r="AD507" s="31" t="str">
        <f t="array" ref="AD507">IF($X507="","",INDEX(TARIFF_PROFILES!$J:$J,MATCH($X507,TARIFF_PROFILES!$A:$A,0)))</f>
        <v/>
      </c>
      <c r="AE507" s="31" t="str">
        <f t="array" ref="AE507">IF($X507="","",INDEX(TARIFF_PROFILES!$K:$K,MATCH($X507,TARIFF_PROFILES!$A:$A,0)))</f>
        <v/>
      </c>
      <c r="AG507" s="8"/>
      <c r="AH507" s="8" t="str">
        <f>IF($AG507="","",SUMIFS(OPERATING_COEFFS!$C:$C,OPERATING_COEFFS!$A:$A,"DistanceClass",OPERATING_COEFFS!$B:$B,$AG507))</f>
        <v/>
      </c>
      <c r="AI507" s="8"/>
      <c r="AJ507" s="8" t="str">
        <f>IF($AI507="","",SUMIFS(OPERATING_COEFFS!$C:$C,OPERATING_COEFFS!$A:$A,"SeasonClass",OPERATING_COEFFS!$B:$B,$AI507))</f>
        <v/>
      </c>
      <c r="AK507" s="8"/>
      <c r="AL507" s="8" t="str">
        <f>IF($AK507="","",SUMIFS(OPERATING_COEFFS!$C:$C,OPERATING_COEFFS!$A:$A,"UrgencyClass",OPERATING_COEFFS!$B:$B,$AK507))</f>
        <v/>
      </c>
      <c r="AM507" s="8"/>
      <c r="AN507" s="8" t="str">
        <f t="array" ref="AN507">IF($AM507="","",INDEX(TAX_MODES!$B:$B,MATCH($AM507,TAX_MODES!$A:$A,0)))</f>
        <v/>
      </c>
    </row>
    <row r="508" ht="14.25" customHeight="1">
      <c r="C508" s="8"/>
      <c r="E508" s="8"/>
      <c r="G508" s="8"/>
      <c r="I508" s="8"/>
      <c r="K508" s="8"/>
      <c r="M508" s="8"/>
      <c r="O508" s="8"/>
      <c r="Q508" s="8"/>
      <c r="S508" s="8"/>
      <c r="V508" s="8"/>
      <c r="X508" s="31"/>
      <c r="Y508" s="31" t="str">
        <f>IF($X508="","",SUMIFS(TARIFF_PROFILES!$D:$D,TARIFF_PROFILES!$A:$A,$X508))</f>
        <v/>
      </c>
      <c r="Z508" s="31" t="str">
        <f>IF($X508="","",SUMIFS(TARIFF_PROFILES!$E:$E,TARIFF_PROFILES!$A:$A,$X508))</f>
        <v/>
      </c>
      <c r="AA508" s="31" t="str">
        <f>IF($X508="","",SUMIFS(TARIFF_PROFILES!$F:$F,TARIFF_PROFILES!$A:$A,$X508))</f>
        <v/>
      </c>
      <c r="AB508" s="31" t="str">
        <f>IF($X508="","",SUMIFS(TARIFF_PROFILES!$G:$G,TARIFF_PROFILES!$A:$A,$X508))</f>
        <v/>
      </c>
      <c r="AC508" s="31" t="str">
        <f>IF($X508="","",SUMIFS(TARIFF_PROFILES!$H:$H,TARIFF_PROFILES!$A:$A,$X508))</f>
        <v/>
      </c>
      <c r="AD508" s="31" t="str">
        <f t="array" ref="AD508">IF($X508="","",INDEX(TARIFF_PROFILES!$J:$J,MATCH($X508,TARIFF_PROFILES!$A:$A,0)))</f>
        <v/>
      </c>
      <c r="AE508" s="31" t="str">
        <f t="array" ref="AE508">IF($X508="","",INDEX(TARIFF_PROFILES!$K:$K,MATCH($X508,TARIFF_PROFILES!$A:$A,0)))</f>
        <v/>
      </c>
      <c r="AG508" s="8"/>
      <c r="AH508" s="8" t="str">
        <f>IF($AG508="","",SUMIFS(OPERATING_COEFFS!$C:$C,OPERATING_COEFFS!$A:$A,"DistanceClass",OPERATING_COEFFS!$B:$B,$AG508))</f>
        <v/>
      </c>
      <c r="AI508" s="8"/>
      <c r="AJ508" s="8" t="str">
        <f>IF($AI508="","",SUMIFS(OPERATING_COEFFS!$C:$C,OPERATING_COEFFS!$A:$A,"SeasonClass",OPERATING_COEFFS!$B:$B,$AI508))</f>
        <v/>
      </c>
      <c r="AK508" s="8"/>
      <c r="AL508" s="8" t="str">
        <f>IF($AK508="","",SUMIFS(OPERATING_COEFFS!$C:$C,OPERATING_COEFFS!$A:$A,"UrgencyClass",OPERATING_COEFFS!$B:$B,$AK508))</f>
        <v/>
      </c>
      <c r="AM508" s="8"/>
      <c r="AN508" s="8" t="str">
        <f t="array" ref="AN508">IF($AM508="","",INDEX(TAX_MODES!$B:$B,MATCH($AM508,TAX_MODES!$A:$A,0)))</f>
        <v/>
      </c>
    </row>
    <row r="509" ht="14.25" customHeight="1">
      <c r="C509" s="8"/>
      <c r="E509" s="8"/>
      <c r="G509" s="8"/>
      <c r="I509" s="8"/>
      <c r="K509" s="8"/>
      <c r="M509" s="8"/>
      <c r="O509" s="8"/>
      <c r="Q509" s="8"/>
      <c r="S509" s="8"/>
      <c r="V509" s="8"/>
      <c r="X509" s="31"/>
      <c r="Y509" s="31" t="str">
        <f>IF($X509="","",SUMIFS(TARIFF_PROFILES!$D:$D,TARIFF_PROFILES!$A:$A,$X509))</f>
        <v/>
      </c>
      <c r="Z509" s="31" t="str">
        <f>IF($X509="","",SUMIFS(TARIFF_PROFILES!$E:$E,TARIFF_PROFILES!$A:$A,$X509))</f>
        <v/>
      </c>
      <c r="AA509" s="31" t="str">
        <f>IF($X509="","",SUMIFS(TARIFF_PROFILES!$F:$F,TARIFF_PROFILES!$A:$A,$X509))</f>
        <v/>
      </c>
      <c r="AB509" s="31" t="str">
        <f>IF($X509="","",SUMIFS(TARIFF_PROFILES!$G:$G,TARIFF_PROFILES!$A:$A,$X509))</f>
        <v/>
      </c>
      <c r="AC509" s="31" t="str">
        <f>IF($X509="","",SUMIFS(TARIFF_PROFILES!$H:$H,TARIFF_PROFILES!$A:$A,$X509))</f>
        <v/>
      </c>
      <c r="AD509" s="31" t="str">
        <f t="array" ref="AD509">IF($X509="","",INDEX(TARIFF_PROFILES!$J:$J,MATCH($X509,TARIFF_PROFILES!$A:$A,0)))</f>
        <v/>
      </c>
      <c r="AE509" s="31" t="str">
        <f t="array" ref="AE509">IF($X509="","",INDEX(TARIFF_PROFILES!$K:$K,MATCH($X509,TARIFF_PROFILES!$A:$A,0)))</f>
        <v/>
      </c>
      <c r="AG509" s="8"/>
      <c r="AH509" s="8" t="str">
        <f>IF($AG509="","",SUMIFS(OPERATING_COEFFS!$C:$C,OPERATING_COEFFS!$A:$A,"DistanceClass",OPERATING_COEFFS!$B:$B,$AG509))</f>
        <v/>
      </c>
      <c r="AI509" s="8"/>
      <c r="AJ509" s="8" t="str">
        <f>IF($AI509="","",SUMIFS(OPERATING_COEFFS!$C:$C,OPERATING_COEFFS!$A:$A,"SeasonClass",OPERATING_COEFFS!$B:$B,$AI509))</f>
        <v/>
      </c>
      <c r="AK509" s="8"/>
      <c r="AL509" s="8" t="str">
        <f>IF($AK509="","",SUMIFS(OPERATING_COEFFS!$C:$C,OPERATING_COEFFS!$A:$A,"UrgencyClass",OPERATING_COEFFS!$B:$B,$AK509))</f>
        <v/>
      </c>
      <c r="AM509" s="8"/>
      <c r="AN509" s="8" t="str">
        <f t="array" ref="AN509">IF($AM509="","",INDEX(TAX_MODES!$B:$B,MATCH($AM509,TAX_MODES!$A:$A,0)))</f>
        <v/>
      </c>
    </row>
    <row r="510" ht="14.25" customHeight="1">
      <c r="C510" s="8"/>
      <c r="E510" s="8"/>
      <c r="G510" s="8"/>
      <c r="I510" s="8"/>
      <c r="K510" s="8"/>
      <c r="M510" s="8"/>
      <c r="O510" s="8"/>
      <c r="Q510" s="8"/>
      <c r="S510" s="8"/>
      <c r="V510" s="8"/>
      <c r="X510" s="31"/>
      <c r="Y510" s="31" t="str">
        <f>IF($X510="","",SUMIFS(TARIFF_PROFILES!$D:$D,TARIFF_PROFILES!$A:$A,$X510))</f>
        <v/>
      </c>
      <c r="Z510" s="31" t="str">
        <f>IF($X510="","",SUMIFS(TARIFF_PROFILES!$E:$E,TARIFF_PROFILES!$A:$A,$X510))</f>
        <v/>
      </c>
      <c r="AA510" s="31" t="str">
        <f>IF($X510="","",SUMIFS(TARIFF_PROFILES!$F:$F,TARIFF_PROFILES!$A:$A,$X510))</f>
        <v/>
      </c>
      <c r="AB510" s="31" t="str">
        <f>IF($X510="","",SUMIFS(TARIFF_PROFILES!$G:$G,TARIFF_PROFILES!$A:$A,$X510))</f>
        <v/>
      </c>
      <c r="AC510" s="31" t="str">
        <f>IF($X510="","",SUMIFS(TARIFF_PROFILES!$H:$H,TARIFF_PROFILES!$A:$A,$X510))</f>
        <v/>
      </c>
      <c r="AD510" s="31" t="str">
        <f t="array" ref="AD510">IF($X510="","",INDEX(TARIFF_PROFILES!$J:$J,MATCH($X510,TARIFF_PROFILES!$A:$A,0)))</f>
        <v/>
      </c>
      <c r="AE510" s="31" t="str">
        <f t="array" ref="AE510">IF($X510="","",INDEX(TARIFF_PROFILES!$K:$K,MATCH($X510,TARIFF_PROFILES!$A:$A,0)))</f>
        <v/>
      </c>
      <c r="AG510" s="8"/>
      <c r="AH510" s="8" t="str">
        <f>IF($AG510="","",SUMIFS(OPERATING_COEFFS!$C:$C,OPERATING_COEFFS!$A:$A,"DistanceClass",OPERATING_COEFFS!$B:$B,$AG510))</f>
        <v/>
      </c>
      <c r="AI510" s="8"/>
      <c r="AJ510" s="8" t="str">
        <f>IF($AI510="","",SUMIFS(OPERATING_COEFFS!$C:$C,OPERATING_COEFFS!$A:$A,"SeasonClass",OPERATING_COEFFS!$B:$B,$AI510))</f>
        <v/>
      </c>
      <c r="AK510" s="8"/>
      <c r="AL510" s="8" t="str">
        <f>IF($AK510="","",SUMIFS(OPERATING_COEFFS!$C:$C,OPERATING_COEFFS!$A:$A,"UrgencyClass",OPERATING_COEFFS!$B:$B,$AK510))</f>
        <v/>
      </c>
      <c r="AM510" s="8"/>
      <c r="AN510" s="8" t="str">
        <f t="array" ref="AN510">IF($AM510="","",INDEX(TAX_MODES!$B:$B,MATCH($AM510,TAX_MODES!$A:$A,0)))</f>
        <v/>
      </c>
    </row>
    <row r="511" ht="14.25" customHeight="1">
      <c r="C511" s="8"/>
      <c r="E511" s="8"/>
      <c r="G511" s="8"/>
      <c r="I511" s="8"/>
      <c r="K511" s="8"/>
      <c r="M511" s="8"/>
      <c r="O511" s="8"/>
      <c r="Q511" s="8"/>
      <c r="S511" s="8"/>
      <c r="V511" s="8"/>
      <c r="X511" s="31"/>
      <c r="Y511" s="31" t="str">
        <f>IF($X511="","",SUMIFS(TARIFF_PROFILES!$D:$D,TARIFF_PROFILES!$A:$A,$X511))</f>
        <v/>
      </c>
      <c r="Z511" s="31" t="str">
        <f>IF($X511="","",SUMIFS(TARIFF_PROFILES!$E:$E,TARIFF_PROFILES!$A:$A,$X511))</f>
        <v/>
      </c>
      <c r="AA511" s="31" t="str">
        <f>IF($X511="","",SUMIFS(TARIFF_PROFILES!$F:$F,TARIFF_PROFILES!$A:$A,$X511))</f>
        <v/>
      </c>
      <c r="AB511" s="31" t="str">
        <f>IF($X511="","",SUMIFS(TARIFF_PROFILES!$G:$G,TARIFF_PROFILES!$A:$A,$X511))</f>
        <v/>
      </c>
      <c r="AC511" s="31" t="str">
        <f>IF($X511="","",SUMIFS(TARIFF_PROFILES!$H:$H,TARIFF_PROFILES!$A:$A,$X511))</f>
        <v/>
      </c>
      <c r="AD511" s="31" t="str">
        <f t="array" ref="AD511">IF($X511="","",INDEX(TARIFF_PROFILES!$J:$J,MATCH($X511,TARIFF_PROFILES!$A:$A,0)))</f>
        <v/>
      </c>
      <c r="AE511" s="31" t="str">
        <f t="array" ref="AE511">IF($X511="","",INDEX(TARIFF_PROFILES!$K:$K,MATCH($X511,TARIFF_PROFILES!$A:$A,0)))</f>
        <v/>
      </c>
      <c r="AG511" s="8"/>
      <c r="AH511" s="8" t="str">
        <f>IF($AG511="","",SUMIFS(OPERATING_COEFFS!$C:$C,OPERATING_COEFFS!$A:$A,"DistanceClass",OPERATING_COEFFS!$B:$B,$AG511))</f>
        <v/>
      </c>
      <c r="AI511" s="8"/>
      <c r="AJ511" s="8" t="str">
        <f>IF($AI511="","",SUMIFS(OPERATING_COEFFS!$C:$C,OPERATING_COEFFS!$A:$A,"SeasonClass",OPERATING_COEFFS!$B:$B,$AI511))</f>
        <v/>
      </c>
      <c r="AK511" s="8"/>
      <c r="AL511" s="8" t="str">
        <f>IF($AK511="","",SUMIFS(OPERATING_COEFFS!$C:$C,OPERATING_COEFFS!$A:$A,"UrgencyClass",OPERATING_COEFFS!$B:$B,$AK511))</f>
        <v/>
      </c>
      <c r="AM511" s="8"/>
      <c r="AN511" s="8" t="str">
        <f t="array" ref="AN511">IF($AM511="","",INDEX(TAX_MODES!$B:$B,MATCH($AM511,TAX_MODES!$A:$A,0)))</f>
        <v/>
      </c>
    </row>
    <row r="512" ht="14.25" customHeight="1">
      <c r="C512" s="8"/>
      <c r="E512" s="8"/>
      <c r="G512" s="8"/>
      <c r="I512" s="8"/>
      <c r="K512" s="8"/>
      <c r="M512" s="8"/>
      <c r="O512" s="8"/>
      <c r="Q512" s="8"/>
      <c r="S512" s="8"/>
      <c r="V512" s="8"/>
      <c r="X512" s="31"/>
      <c r="Y512" s="31" t="str">
        <f>IF($X512="","",SUMIFS(TARIFF_PROFILES!$D:$D,TARIFF_PROFILES!$A:$A,$X512))</f>
        <v/>
      </c>
      <c r="Z512" s="31" t="str">
        <f>IF($X512="","",SUMIFS(TARIFF_PROFILES!$E:$E,TARIFF_PROFILES!$A:$A,$X512))</f>
        <v/>
      </c>
      <c r="AA512" s="31" t="str">
        <f>IF($X512="","",SUMIFS(TARIFF_PROFILES!$F:$F,TARIFF_PROFILES!$A:$A,$X512))</f>
        <v/>
      </c>
      <c r="AB512" s="31" t="str">
        <f>IF($X512="","",SUMIFS(TARIFF_PROFILES!$G:$G,TARIFF_PROFILES!$A:$A,$X512))</f>
        <v/>
      </c>
      <c r="AC512" s="31" t="str">
        <f>IF($X512="","",SUMIFS(TARIFF_PROFILES!$H:$H,TARIFF_PROFILES!$A:$A,$X512))</f>
        <v/>
      </c>
      <c r="AD512" s="31" t="str">
        <f t="array" ref="AD512">IF($X512="","",INDEX(TARIFF_PROFILES!$J:$J,MATCH($X512,TARIFF_PROFILES!$A:$A,0)))</f>
        <v/>
      </c>
      <c r="AE512" s="31" t="str">
        <f t="array" ref="AE512">IF($X512="","",INDEX(TARIFF_PROFILES!$K:$K,MATCH($X512,TARIFF_PROFILES!$A:$A,0)))</f>
        <v/>
      </c>
      <c r="AG512" s="8"/>
      <c r="AH512" s="8" t="str">
        <f>IF($AG512="","",SUMIFS(OPERATING_COEFFS!$C:$C,OPERATING_COEFFS!$A:$A,"DistanceClass",OPERATING_COEFFS!$B:$B,$AG512))</f>
        <v/>
      </c>
      <c r="AI512" s="8"/>
      <c r="AJ512" s="8" t="str">
        <f>IF($AI512="","",SUMIFS(OPERATING_COEFFS!$C:$C,OPERATING_COEFFS!$A:$A,"SeasonClass",OPERATING_COEFFS!$B:$B,$AI512))</f>
        <v/>
      </c>
      <c r="AK512" s="8"/>
      <c r="AL512" s="8" t="str">
        <f>IF($AK512="","",SUMIFS(OPERATING_COEFFS!$C:$C,OPERATING_COEFFS!$A:$A,"UrgencyClass",OPERATING_COEFFS!$B:$B,$AK512))</f>
        <v/>
      </c>
      <c r="AM512" s="8"/>
      <c r="AN512" s="8" t="str">
        <f t="array" ref="AN512">IF($AM512="","",INDEX(TAX_MODES!$B:$B,MATCH($AM512,TAX_MODES!$A:$A,0)))</f>
        <v/>
      </c>
    </row>
    <row r="513" ht="14.25" customHeight="1">
      <c r="C513" s="8"/>
      <c r="E513" s="8"/>
      <c r="G513" s="8"/>
      <c r="I513" s="8"/>
      <c r="K513" s="8"/>
      <c r="M513" s="8"/>
      <c r="O513" s="8"/>
      <c r="Q513" s="8"/>
      <c r="S513" s="8"/>
      <c r="V513" s="8"/>
      <c r="X513" s="31"/>
      <c r="Y513" s="31" t="str">
        <f>IF($X513="","",SUMIFS(TARIFF_PROFILES!$D:$D,TARIFF_PROFILES!$A:$A,$X513))</f>
        <v/>
      </c>
      <c r="Z513" s="31" t="str">
        <f>IF($X513="","",SUMIFS(TARIFF_PROFILES!$E:$E,TARIFF_PROFILES!$A:$A,$X513))</f>
        <v/>
      </c>
      <c r="AA513" s="31" t="str">
        <f>IF($X513="","",SUMIFS(TARIFF_PROFILES!$F:$F,TARIFF_PROFILES!$A:$A,$X513))</f>
        <v/>
      </c>
      <c r="AB513" s="31" t="str">
        <f>IF($X513="","",SUMIFS(TARIFF_PROFILES!$G:$G,TARIFF_PROFILES!$A:$A,$X513))</f>
        <v/>
      </c>
      <c r="AC513" s="31" t="str">
        <f>IF($X513="","",SUMIFS(TARIFF_PROFILES!$H:$H,TARIFF_PROFILES!$A:$A,$X513))</f>
        <v/>
      </c>
      <c r="AD513" s="31" t="str">
        <f t="array" ref="AD513">IF($X513="","",INDEX(TARIFF_PROFILES!$J:$J,MATCH($X513,TARIFF_PROFILES!$A:$A,0)))</f>
        <v/>
      </c>
      <c r="AE513" s="31" t="str">
        <f t="array" ref="AE513">IF($X513="","",INDEX(TARIFF_PROFILES!$K:$K,MATCH($X513,TARIFF_PROFILES!$A:$A,0)))</f>
        <v/>
      </c>
      <c r="AG513" s="8"/>
      <c r="AH513" s="8" t="str">
        <f>IF($AG513="","",SUMIFS(OPERATING_COEFFS!$C:$C,OPERATING_COEFFS!$A:$A,"DistanceClass",OPERATING_COEFFS!$B:$B,$AG513))</f>
        <v/>
      </c>
      <c r="AI513" s="8"/>
      <c r="AJ513" s="8" t="str">
        <f>IF($AI513="","",SUMIFS(OPERATING_COEFFS!$C:$C,OPERATING_COEFFS!$A:$A,"SeasonClass",OPERATING_COEFFS!$B:$B,$AI513))</f>
        <v/>
      </c>
      <c r="AK513" s="8"/>
      <c r="AL513" s="8" t="str">
        <f>IF($AK513="","",SUMIFS(OPERATING_COEFFS!$C:$C,OPERATING_COEFFS!$A:$A,"UrgencyClass",OPERATING_COEFFS!$B:$B,$AK513))</f>
        <v/>
      </c>
      <c r="AM513" s="8"/>
      <c r="AN513" s="8" t="str">
        <f t="array" ref="AN513">IF($AM513="","",INDEX(TAX_MODES!$B:$B,MATCH($AM513,TAX_MODES!$A:$A,0)))</f>
        <v/>
      </c>
    </row>
    <row r="514" ht="14.25" customHeight="1">
      <c r="C514" s="8"/>
      <c r="E514" s="8"/>
      <c r="G514" s="8"/>
      <c r="I514" s="8"/>
      <c r="K514" s="8"/>
      <c r="M514" s="8"/>
      <c r="O514" s="8"/>
      <c r="Q514" s="8"/>
      <c r="S514" s="8"/>
      <c r="V514" s="8"/>
      <c r="X514" s="31"/>
      <c r="Y514" s="31" t="str">
        <f>IF($X514="","",SUMIFS(TARIFF_PROFILES!$D:$D,TARIFF_PROFILES!$A:$A,$X514))</f>
        <v/>
      </c>
      <c r="Z514" s="31" t="str">
        <f>IF($X514="","",SUMIFS(TARIFF_PROFILES!$E:$E,TARIFF_PROFILES!$A:$A,$X514))</f>
        <v/>
      </c>
      <c r="AA514" s="31" t="str">
        <f>IF($X514="","",SUMIFS(TARIFF_PROFILES!$F:$F,TARIFF_PROFILES!$A:$A,$X514))</f>
        <v/>
      </c>
      <c r="AB514" s="31" t="str">
        <f>IF($X514="","",SUMIFS(TARIFF_PROFILES!$G:$G,TARIFF_PROFILES!$A:$A,$X514))</f>
        <v/>
      </c>
      <c r="AC514" s="31" t="str">
        <f>IF($X514="","",SUMIFS(TARIFF_PROFILES!$H:$H,TARIFF_PROFILES!$A:$A,$X514))</f>
        <v/>
      </c>
      <c r="AD514" s="31" t="str">
        <f t="array" ref="AD514">IF($X514="","",INDEX(TARIFF_PROFILES!$J:$J,MATCH($X514,TARIFF_PROFILES!$A:$A,0)))</f>
        <v/>
      </c>
      <c r="AE514" s="31" t="str">
        <f t="array" ref="AE514">IF($X514="","",INDEX(TARIFF_PROFILES!$K:$K,MATCH($X514,TARIFF_PROFILES!$A:$A,0)))</f>
        <v/>
      </c>
      <c r="AG514" s="8"/>
      <c r="AH514" s="8" t="str">
        <f>IF($AG514="","",SUMIFS(OPERATING_COEFFS!$C:$C,OPERATING_COEFFS!$A:$A,"DistanceClass",OPERATING_COEFFS!$B:$B,$AG514))</f>
        <v/>
      </c>
      <c r="AI514" s="8"/>
      <c r="AJ514" s="8" t="str">
        <f>IF($AI514="","",SUMIFS(OPERATING_COEFFS!$C:$C,OPERATING_COEFFS!$A:$A,"SeasonClass",OPERATING_COEFFS!$B:$B,$AI514))</f>
        <v/>
      </c>
      <c r="AK514" s="8"/>
      <c r="AL514" s="8" t="str">
        <f>IF($AK514="","",SUMIFS(OPERATING_COEFFS!$C:$C,OPERATING_COEFFS!$A:$A,"UrgencyClass",OPERATING_COEFFS!$B:$B,$AK514))</f>
        <v/>
      </c>
      <c r="AM514" s="8"/>
      <c r="AN514" s="8" t="str">
        <f t="array" ref="AN514">IF($AM514="","",INDEX(TAX_MODES!$B:$B,MATCH($AM514,TAX_MODES!$A:$A,0)))</f>
        <v/>
      </c>
    </row>
    <row r="515" ht="14.25" customHeight="1">
      <c r="C515" s="8"/>
      <c r="E515" s="8"/>
      <c r="G515" s="8"/>
      <c r="I515" s="8"/>
      <c r="K515" s="8"/>
      <c r="M515" s="8"/>
      <c r="O515" s="8"/>
      <c r="Q515" s="8"/>
      <c r="S515" s="8"/>
      <c r="V515" s="8"/>
      <c r="X515" s="31"/>
      <c r="Y515" s="31" t="str">
        <f>IF($X515="","",SUMIFS(TARIFF_PROFILES!$D:$D,TARIFF_PROFILES!$A:$A,$X515))</f>
        <v/>
      </c>
      <c r="Z515" s="31" t="str">
        <f>IF($X515="","",SUMIFS(TARIFF_PROFILES!$E:$E,TARIFF_PROFILES!$A:$A,$X515))</f>
        <v/>
      </c>
      <c r="AA515" s="31" t="str">
        <f>IF($X515="","",SUMIFS(TARIFF_PROFILES!$F:$F,TARIFF_PROFILES!$A:$A,$X515))</f>
        <v/>
      </c>
      <c r="AB515" s="31" t="str">
        <f>IF($X515="","",SUMIFS(TARIFF_PROFILES!$G:$G,TARIFF_PROFILES!$A:$A,$X515))</f>
        <v/>
      </c>
      <c r="AC515" s="31" t="str">
        <f>IF($X515="","",SUMIFS(TARIFF_PROFILES!$H:$H,TARIFF_PROFILES!$A:$A,$X515))</f>
        <v/>
      </c>
      <c r="AD515" s="31" t="str">
        <f t="array" ref="AD515">IF($X515="","",INDEX(TARIFF_PROFILES!$J:$J,MATCH($X515,TARIFF_PROFILES!$A:$A,0)))</f>
        <v/>
      </c>
      <c r="AE515" s="31" t="str">
        <f t="array" ref="AE515">IF($X515="","",INDEX(TARIFF_PROFILES!$K:$K,MATCH($X515,TARIFF_PROFILES!$A:$A,0)))</f>
        <v/>
      </c>
      <c r="AG515" s="8"/>
      <c r="AH515" s="8" t="str">
        <f>IF($AG515="","",SUMIFS(OPERATING_COEFFS!$C:$C,OPERATING_COEFFS!$A:$A,"DistanceClass",OPERATING_COEFFS!$B:$B,$AG515))</f>
        <v/>
      </c>
      <c r="AI515" s="8"/>
      <c r="AJ515" s="8" t="str">
        <f>IF($AI515="","",SUMIFS(OPERATING_COEFFS!$C:$C,OPERATING_COEFFS!$A:$A,"SeasonClass",OPERATING_COEFFS!$B:$B,$AI515))</f>
        <v/>
      </c>
      <c r="AK515" s="8"/>
      <c r="AL515" s="8" t="str">
        <f>IF($AK515="","",SUMIFS(OPERATING_COEFFS!$C:$C,OPERATING_COEFFS!$A:$A,"UrgencyClass",OPERATING_COEFFS!$B:$B,$AK515))</f>
        <v/>
      </c>
      <c r="AM515" s="8"/>
      <c r="AN515" s="8" t="str">
        <f t="array" ref="AN515">IF($AM515="","",INDEX(TAX_MODES!$B:$B,MATCH($AM515,TAX_MODES!$A:$A,0)))</f>
        <v/>
      </c>
    </row>
    <row r="516" ht="14.25" customHeight="1">
      <c r="C516" s="8"/>
      <c r="E516" s="8"/>
      <c r="G516" s="8"/>
      <c r="I516" s="8"/>
      <c r="K516" s="8"/>
      <c r="M516" s="8"/>
      <c r="O516" s="8"/>
      <c r="Q516" s="8"/>
      <c r="S516" s="8"/>
      <c r="V516" s="8"/>
      <c r="X516" s="31"/>
      <c r="Y516" s="31" t="str">
        <f>IF($X516="","",SUMIFS(TARIFF_PROFILES!$D:$D,TARIFF_PROFILES!$A:$A,$X516))</f>
        <v/>
      </c>
      <c r="Z516" s="31" t="str">
        <f>IF($X516="","",SUMIFS(TARIFF_PROFILES!$E:$E,TARIFF_PROFILES!$A:$A,$X516))</f>
        <v/>
      </c>
      <c r="AA516" s="31" t="str">
        <f>IF($X516="","",SUMIFS(TARIFF_PROFILES!$F:$F,TARIFF_PROFILES!$A:$A,$X516))</f>
        <v/>
      </c>
      <c r="AB516" s="31" t="str">
        <f>IF($X516="","",SUMIFS(TARIFF_PROFILES!$G:$G,TARIFF_PROFILES!$A:$A,$X516))</f>
        <v/>
      </c>
      <c r="AC516" s="31" t="str">
        <f>IF($X516="","",SUMIFS(TARIFF_PROFILES!$H:$H,TARIFF_PROFILES!$A:$A,$X516))</f>
        <v/>
      </c>
      <c r="AD516" s="31" t="str">
        <f t="array" ref="AD516">IF($X516="","",INDEX(TARIFF_PROFILES!$J:$J,MATCH($X516,TARIFF_PROFILES!$A:$A,0)))</f>
        <v/>
      </c>
      <c r="AE516" s="31" t="str">
        <f t="array" ref="AE516">IF($X516="","",INDEX(TARIFF_PROFILES!$K:$K,MATCH($X516,TARIFF_PROFILES!$A:$A,0)))</f>
        <v/>
      </c>
      <c r="AG516" s="8"/>
      <c r="AH516" s="8" t="str">
        <f>IF($AG516="","",SUMIFS(OPERATING_COEFFS!$C:$C,OPERATING_COEFFS!$A:$A,"DistanceClass",OPERATING_COEFFS!$B:$B,$AG516))</f>
        <v/>
      </c>
      <c r="AI516" s="8"/>
      <c r="AJ516" s="8" t="str">
        <f>IF($AI516="","",SUMIFS(OPERATING_COEFFS!$C:$C,OPERATING_COEFFS!$A:$A,"SeasonClass",OPERATING_COEFFS!$B:$B,$AI516))</f>
        <v/>
      </c>
      <c r="AK516" s="8"/>
      <c r="AL516" s="8" t="str">
        <f>IF($AK516="","",SUMIFS(OPERATING_COEFFS!$C:$C,OPERATING_COEFFS!$A:$A,"UrgencyClass",OPERATING_COEFFS!$B:$B,$AK516))</f>
        <v/>
      </c>
      <c r="AM516" s="8"/>
      <c r="AN516" s="8" t="str">
        <f t="array" ref="AN516">IF($AM516="","",INDEX(TAX_MODES!$B:$B,MATCH($AM516,TAX_MODES!$A:$A,0)))</f>
        <v/>
      </c>
    </row>
    <row r="517" ht="14.25" customHeight="1">
      <c r="C517" s="8"/>
      <c r="E517" s="8"/>
      <c r="G517" s="8"/>
      <c r="I517" s="8"/>
      <c r="K517" s="8"/>
      <c r="M517" s="8"/>
      <c r="O517" s="8"/>
      <c r="Q517" s="8"/>
      <c r="S517" s="8"/>
      <c r="V517" s="8"/>
      <c r="X517" s="31"/>
      <c r="Y517" s="31" t="str">
        <f>IF($X517="","",SUMIFS(TARIFF_PROFILES!$D:$D,TARIFF_PROFILES!$A:$A,$X517))</f>
        <v/>
      </c>
      <c r="Z517" s="31" t="str">
        <f>IF($X517="","",SUMIFS(TARIFF_PROFILES!$E:$E,TARIFF_PROFILES!$A:$A,$X517))</f>
        <v/>
      </c>
      <c r="AA517" s="31" t="str">
        <f>IF($X517="","",SUMIFS(TARIFF_PROFILES!$F:$F,TARIFF_PROFILES!$A:$A,$X517))</f>
        <v/>
      </c>
      <c r="AB517" s="31" t="str">
        <f>IF($X517="","",SUMIFS(TARIFF_PROFILES!$G:$G,TARIFF_PROFILES!$A:$A,$X517))</f>
        <v/>
      </c>
      <c r="AC517" s="31" t="str">
        <f>IF($X517="","",SUMIFS(TARIFF_PROFILES!$H:$H,TARIFF_PROFILES!$A:$A,$X517))</f>
        <v/>
      </c>
      <c r="AD517" s="31" t="str">
        <f t="array" ref="AD517">IF($X517="","",INDEX(TARIFF_PROFILES!$J:$J,MATCH($X517,TARIFF_PROFILES!$A:$A,0)))</f>
        <v/>
      </c>
      <c r="AE517" s="31" t="str">
        <f t="array" ref="AE517">IF($X517="","",INDEX(TARIFF_PROFILES!$K:$K,MATCH($X517,TARIFF_PROFILES!$A:$A,0)))</f>
        <v/>
      </c>
      <c r="AG517" s="8"/>
      <c r="AH517" s="8" t="str">
        <f>IF($AG517="","",SUMIFS(OPERATING_COEFFS!$C:$C,OPERATING_COEFFS!$A:$A,"DistanceClass",OPERATING_COEFFS!$B:$B,$AG517))</f>
        <v/>
      </c>
      <c r="AI517" s="8"/>
      <c r="AJ517" s="8" t="str">
        <f>IF($AI517="","",SUMIFS(OPERATING_COEFFS!$C:$C,OPERATING_COEFFS!$A:$A,"SeasonClass",OPERATING_COEFFS!$B:$B,$AI517))</f>
        <v/>
      </c>
      <c r="AK517" s="8"/>
      <c r="AL517" s="8" t="str">
        <f>IF($AK517="","",SUMIFS(OPERATING_COEFFS!$C:$C,OPERATING_COEFFS!$A:$A,"UrgencyClass",OPERATING_COEFFS!$B:$B,$AK517))</f>
        <v/>
      </c>
      <c r="AM517" s="8"/>
      <c r="AN517" s="8" t="str">
        <f t="array" ref="AN517">IF($AM517="","",INDEX(TAX_MODES!$B:$B,MATCH($AM517,TAX_MODES!$A:$A,0)))</f>
        <v/>
      </c>
    </row>
    <row r="518" ht="14.25" customHeight="1">
      <c r="C518" s="8"/>
      <c r="E518" s="8"/>
      <c r="G518" s="8"/>
      <c r="I518" s="8"/>
      <c r="K518" s="8"/>
      <c r="M518" s="8"/>
      <c r="O518" s="8"/>
      <c r="Q518" s="8"/>
      <c r="S518" s="8"/>
      <c r="V518" s="8"/>
      <c r="X518" s="31"/>
      <c r="Y518" s="31" t="str">
        <f>IF($X518="","",SUMIFS(TARIFF_PROFILES!$D:$D,TARIFF_PROFILES!$A:$A,$X518))</f>
        <v/>
      </c>
      <c r="Z518" s="31" t="str">
        <f>IF($X518="","",SUMIFS(TARIFF_PROFILES!$E:$E,TARIFF_PROFILES!$A:$A,$X518))</f>
        <v/>
      </c>
      <c r="AA518" s="31" t="str">
        <f>IF($X518="","",SUMIFS(TARIFF_PROFILES!$F:$F,TARIFF_PROFILES!$A:$A,$X518))</f>
        <v/>
      </c>
      <c r="AB518" s="31" t="str">
        <f>IF($X518="","",SUMIFS(TARIFF_PROFILES!$G:$G,TARIFF_PROFILES!$A:$A,$X518))</f>
        <v/>
      </c>
      <c r="AC518" s="31" t="str">
        <f>IF($X518="","",SUMIFS(TARIFF_PROFILES!$H:$H,TARIFF_PROFILES!$A:$A,$X518))</f>
        <v/>
      </c>
      <c r="AD518" s="31" t="str">
        <f t="array" ref="AD518">IF($X518="","",INDEX(TARIFF_PROFILES!$J:$J,MATCH($X518,TARIFF_PROFILES!$A:$A,0)))</f>
        <v/>
      </c>
      <c r="AE518" s="31" t="str">
        <f t="array" ref="AE518">IF($X518="","",INDEX(TARIFF_PROFILES!$K:$K,MATCH($X518,TARIFF_PROFILES!$A:$A,0)))</f>
        <v/>
      </c>
      <c r="AG518" s="8"/>
      <c r="AH518" s="8" t="str">
        <f>IF($AG518="","",SUMIFS(OPERATING_COEFFS!$C:$C,OPERATING_COEFFS!$A:$A,"DistanceClass",OPERATING_COEFFS!$B:$B,$AG518))</f>
        <v/>
      </c>
      <c r="AI518" s="8"/>
      <c r="AJ518" s="8" t="str">
        <f>IF($AI518="","",SUMIFS(OPERATING_COEFFS!$C:$C,OPERATING_COEFFS!$A:$A,"SeasonClass",OPERATING_COEFFS!$B:$B,$AI518))</f>
        <v/>
      </c>
      <c r="AK518" s="8"/>
      <c r="AL518" s="8" t="str">
        <f>IF($AK518="","",SUMIFS(OPERATING_COEFFS!$C:$C,OPERATING_COEFFS!$A:$A,"UrgencyClass",OPERATING_COEFFS!$B:$B,$AK518))</f>
        <v/>
      </c>
      <c r="AM518" s="8"/>
      <c r="AN518" s="8" t="str">
        <f t="array" ref="AN518">IF($AM518="","",INDEX(TAX_MODES!$B:$B,MATCH($AM518,TAX_MODES!$A:$A,0)))</f>
        <v/>
      </c>
    </row>
    <row r="519" ht="14.25" customHeight="1">
      <c r="C519" s="8"/>
      <c r="E519" s="8"/>
      <c r="G519" s="8"/>
      <c r="I519" s="8"/>
      <c r="K519" s="8"/>
      <c r="M519" s="8"/>
      <c r="O519" s="8"/>
      <c r="Q519" s="8"/>
      <c r="S519" s="8"/>
      <c r="V519" s="8"/>
      <c r="X519" s="31"/>
      <c r="Y519" s="31" t="str">
        <f>IF($X519="","",SUMIFS(TARIFF_PROFILES!$D:$D,TARIFF_PROFILES!$A:$A,$X519))</f>
        <v/>
      </c>
      <c r="Z519" s="31" t="str">
        <f>IF($X519="","",SUMIFS(TARIFF_PROFILES!$E:$E,TARIFF_PROFILES!$A:$A,$X519))</f>
        <v/>
      </c>
      <c r="AA519" s="31" t="str">
        <f>IF($X519="","",SUMIFS(TARIFF_PROFILES!$F:$F,TARIFF_PROFILES!$A:$A,$X519))</f>
        <v/>
      </c>
      <c r="AB519" s="31" t="str">
        <f>IF($X519="","",SUMIFS(TARIFF_PROFILES!$G:$G,TARIFF_PROFILES!$A:$A,$X519))</f>
        <v/>
      </c>
      <c r="AC519" s="31" t="str">
        <f>IF($X519="","",SUMIFS(TARIFF_PROFILES!$H:$H,TARIFF_PROFILES!$A:$A,$X519))</f>
        <v/>
      </c>
      <c r="AD519" s="31" t="str">
        <f t="array" ref="AD519">IF($X519="","",INDEX(TARIFF_PROFILES!$J:$J,MATCH($X519,TARIFF_PROFILES!$A:$A,0)))</f>
        <v/>
      </c>
      <c r="AE519" s="31" t="str">
        <f t="array" ref="AE519">IF($X519="","",INDEX(TARIFF_PROFILES!$K:$K,MATCH($X519,TARIFF_PROFILES!$A:$A,0)))</f>
        <v/>
      </c>
      <c r="AG519" s="8"/>
      <c r="AH519" s="8" t="str">
        <f>IF($AG519="","",SUMIFS(OPERATING_COEFFS!$C:$C,OPERATING_COEFFS!$A:$A,"DistanceClass",OPERATING_COEFFS!$B:$B,$AG519))</f>
        <v/>
      </c>
      <c r="AI519" s="8"/>
      <c r="AJ519" s="8" t="str">
        <f>IF($AI519="","",SUMIFS(OPERATING_COEFFS!$C:$C,OPERATING_COEFFS!$A:$A,"SeasonClass",OPERATING_COEFFS!$B:$B,$AI519))</f>
        <v/>
      </c>
      <c r="AK519" s="8"/>
      <c r="AL519" s="8" t="str">
        <f>IF($AK519="","",SUMIFS(OPERATING_COEFFS!$C:$C,OPERATING_COEFFS!$A:$A,"UrgencyClass",OPERATING_COEFFS!$B:$B,$AK519))</f>
        <v/>
      </c>
      <c r="AM519" s="8"/>
      <c r="AN519" s="8" t="str">
        <f t="array" ref="AN519">IF($AM519="","",INDEX(TAX_MODES!$B:$B,MATCH($AM519,TAX_MODES!$A:$A,0)))</f>
        <v/>
      </c>
    </row>
    <row r="520" ht="14.25" customHeight="1">
      <c r="C520" s="8"/>
      <c r="E520" s="8"/>
      <c r="G520" s="8"/>
      <c r="I520" s="8"/>
      <c r="K520" s="8"/>
      <c r="M520" s="8"/>
      <c r="O520" s="8"/>
      <c r="Q520" s="8"/>
      <c r="S520" s="8"/>
      <c r="V520" s="8"/>
      <c r="X520" s="31"/>
      <c r="Y520" s="31" t="str">
        <f>IF($X520="","",SUMIFS(TARIFF_PROFILES!$D:$D,TARIFF_PROFILES!$A:$A,$X520))</f>
        <v/>
      </c>
      <c r="Z520" s="31" t="str">
        <f>IF($X520="","",SUMIFS(TARIFF_PROFILES!$E:$E,TARIFF_PROFILES!$A:$A,$X520))</f>
        <v/>
      </c>
      <c r="AA520" s="31" t="str">
        <f>IF($X520="","",SUMIFS(TARIFF_PROFILES!$F:$F,TARIFF_PROFILES!$A:$A,$X520))</f>
        <v/>
      </c>
      <c r="AB520" s="31" t="str">
        <f>IF($X520="","",SUMIFS(TARIFF_PROFILES!$G:$G,TARIFF_PROFILES!$A:$A,$X520))</f>
        <v/>
      </c>
      <c r="AC520" s="31" t="str">
        <f>IF($X520="","",SUMIFS(TARIFF_PROFILES!$H:$H,TARIFF_PROFILES!$A:$A,$X520))</f>
        <v/>
      </c>
      <c r="AD520" s="31" t="str">
        <f t="array" ref="AD520">IF($X520="","",INDEX(TARIFF_PROFILES!$J:$J,MATCH($X520,TARIFF_PROFILES!$A:$A,0)))</f>
        <v/>
      </c>
      <c r="AE520" s="31" t="str">
        <f t="array" ref="AE520">IF($X520="","",INDEX(TARIFF_PROFILES!$K:$K,MATCH($X520,TARIFF_PROFILES!$A:$A,0)))</f>
        <v/>
      </c>
      <c r="AG520" s="8"/>
      <c r="AH520" s="8" t="str">
        <f>IF($AG520="","",SUMIFS(OPERATING_COEFFS!$C:$C,OPERATING_COEFFS!$A:$A,"DistanceClass",OPERATING_COEFFS!$B:$B,$AG520))</f>
        <v/>
      </c>
      <c r="AI520" s="8"/>
      <c r="AJ520" s="8" t="str">
        <f>IF($AI520="","",SUMIFS(OPERATING_COEFFS!$C:$C,OPERATING_COEFFS!$A:$A,"SeasonClass",OPERATING_COEFFS!$B:$B,$AI520))</f>
        <v/>
      </c>
      <c r="AK520" s="8"/>
      <c r="AL520" s="8" t="str">
        <f>IF($AK520="","",SUMIFS(OPERATING_COEFFS!$C:$C,OPERATING_COEFFS!$A:$A,"UrgencyClass",OPERATING_COEFFS!$B:$B,$AK520))</f>
        <v/>
      </c>
      <c r="AM520" s="8"/>
      <c r="AN520" s="8" t="str">
        <f t="array" ref="AN520">IF($AM520="","",INDEX(TAX_MODES!$B:$B,MATCH($AM520,TAX_MODES!$A:$A,0)))</f>
        <v/>
      </c>
    </row>
    <row r="521" ht="14.25" customHeight="1">
      <c r="C521" s="8"/>
      <c r="E521" s="8"/>
      <c r="G521" s="8"/>
      <c r="I521" s="8"/>
      <c r="K521" s="8"/>
      <c r="M521" s="8"/>
      <c r="O521" s="8"/>
      <c r="Q521" s="8"/>
      <c r="S521" s="8"/>
      <c r="V521" s="8"/>
      <c r="X521" s="31"/>
      <c r="Y521" s="31" t="str">
        <f>IF($X521="","",SUMIFS(TARIFF_PROFILES!$D:$D,TARIFF_PROFILES!$A:$A,$X521))</f>
        <v/>
      </c>
      <c r="Z521" s="31" t="str">
        <f>IF($X521="","",SUMIFS(TARIFF_PROFILES!$E:$E,TARIFF_PROFILES!$A:$A,$X521))</f>
        <v/>
      </c>
      <c r="AA521" s="31" t="str">
        <f>IF($X521="","",SUMIFS(TARIFF_PROFILES!$F:$F,TARIFF_PROFILES!$A:$A,$X521))</f>
        <v/>
      </c>
      <c r="AB521" s="31" t="str">
        <f>IF($X521="","",SUMIFS(TARIFF_PROFILES!$G:$G,TARIFF_PROFILES!$A:$A,$X521))</f>
        <v/>
      </c>
      <c r="AC521" s="31" t="str">
        <f>IF($X521="","",SUMIFS(TARIFF_PROFILES!$H:$H,TARIFF_PROFILES!$A:$A,$X521))</f>
        <v/>
      </c>
      <c r="AD521" s="31" t="str">
        <f t="array" ref="AD521">IF($X521="","",INDEX(TARIFF_PROFILES!$J:$J,MATCH($X521,TARIFF_PROFILES!$A:$A,0)))</f>
        <v/>
      </c>
      <c r="AE521" s="31" t="str">
        <f t="array" ref="AE521">IF($X521="","",INDEX(TARIFF_PROFILES!$K:$K,MATCH($X521,TARIFF_PROFILES!$A:$A,0)))</f>
        <v/>
      </c>
      <c r="AG521" s="8"/>
      <c r="AH521" s="8" t="str">
        <f>IF($AG521="","",SUMIFS(OPERATING_COEFFS!$C:$C,OPERATING_COEFFS!$A:$A,"DistanceClass",OPERATING_COEFFS!$B:$B,$AG521))</f>
        <v/>
      </c>
      <c r="AI521" s="8"/>
      <c r="AJ521" s="8" t="str">
        <f>IF($AI521="","",SUMIFS(OPERATING_COEFFS!$C:$C,OPERATING_COEFFS!$A:$A,"SeasonClass",OPERATING_COEFFS!$B:$B,$AI521))</f>
        <v/>
      </c>
      <c r="AK521" s="8"/>
      <c r="AL521" s="8" t="str">
        <f>IF($AK521="","",SUMIFS(OPERATING_COEFFS!$C:$C,OPERATING_COEFFS!$A:$A,"UrgencyClass",OPERATING_COEFFS!$B:$B,$AK521))</f>
        <v/>
      </c>
      <c r="AM521" s="8"/>
      <c r="AN521" s="8" t="str">
        <f t="array" ref="AN521">IF($AM521="","",INDEX(TAX_MODES!$B:$B,MATCH($AM521,TAX_MODES!$A:$A,0)))</f>
        <v/>
      </c>
    </row>
    <row r="522" ht="14.25" customHeight="1">
      <c r="C522" s="8"/>
      <c r="E522" s="8"/>
      <c r="G522" s="8"/>
      <c r="I522" s="8"/>
      <c r="K522" s="8"/>
      <c r="M522" s="8"/>
      <c r="O522" s="8"/>
      <c r="Q522" s="8"/>
      <c r="S522" s="8"/>
      <c r="V522" s="8"/>
      <c r="X522" s="31"/>
      <c r="Y522" s="31" t="str">
        <f>IF($X522="","",SUMIFS(TARIFF_PROFILES!$D:$D,TARIFF_PROFILES!$A:$A,$X522))</f>
        <v/>
      </c>
      <c r="Z522" s="31" t="str">
        <f>IF($X522="","",SUMIFS(TARIFF_PROFILES!$E:$E,TARIFF_PROFILES!$A:$A,$X522))</f>
        <v/>
      </c>
      <c r="AA522" s="31" t="str">
        <f>IF($X522="","",SUMIFS(TARIFF_PROFILES!$F:$F,TARIFF_PROFILES!$A:$A,$X522))</f>
        <v/>
      </c>
      <c r="AB522" s="31" t="str">
        <f>IF($X522="","",SUMIFS(TARIFF_PROFILES!$G:$G,TARIFF_PROFILES!$A:$A,$X522))</f>
        <v/>
      </c>
      <c r="AC522" s="31" t="str">
        <f>IF($X522="","",SUMIFS(TARIFF_PROFILES!$H:$H,TARIFF_PROFILES!$A:$A,$X522))</f>
        <v/>
      </c>
      <c r="AD522" s="31" t="str">
        <f t="array" ref="AD522">IF($X522="","",INDEX(TARIFF_PROFILES!$J:$J,MATCH($X522,TARIFF_PROFILES!$A:$A,0)))</f>
        <v/>
      </c>
      <c r="AE522" s="31" t="str">
        <f t="array" ref="AE522">IF($X522="","",INDEX(TARIFF_PROFILES!$K:$K,MATCH($X522,TARIFF_PROFILES!$A:$A,0)))</f>
        <v/>
      </c>
      <c r="AG522" s="8"/>
      <c r="AH522" s="8" t="str">
        <f>IF($AG522="","",SUMIFS(OPERATING_COEFFS!$C:$C,OPERATING_COEFFS!$A:$A,"DistanceClass",OPERATING_COEFFS!$B:$B,$AG522))</f>
        <v/>
      </c>
      <c r="AI522" s="8"/>
      <c r="AJ522" s="8" t="str">
        <f>IF($AI522="","",SUMIFS(OPERATING_COEFFS!$C:$C,OPERATING_COEFFS!$A:$A,"SeasonClass",OPERATING_COEFFS!$B:$B,$AI522))</f>
        <v/>
      </c>
      <c r="AK522" s="8"/>
      <c r="AL522" s="8" t="str">
        <f>IF($AK522="","",SUMIFS(OPERATING_COEFFS!$C:$C,OPERATING_COEFFS!$A:$A,"UrgencyClass",OPERATING_COEFFS!$B:$B,$AK522))</f>
        <v/>
      </c>
      <c r="AM522" s="8"/>
      <c r="AN522" s="8" t="str">
        <f t="array" ref="AN522">IF($AM522="","",INDEX(TAX_MODES!$B:$B,MATCH($AM522,TAX_MODES!$A:$A,0)))</f>
        <v/>
      </c>
    </row>
    <row r="523" ht="14.25" customHeight="1">
      <c r="C523" s="8"/>
      <c r="E523" s="8"/>
      <c r="G523" s="8"/>
      <c r="I523" s="8"/>
      <c r="K523" s="8"/>
      <c r="M523" s="8"/>
      <c r="O523" s="8"/>
      <c r="Q523" s="8"/>
      <c r="S523" s="8"/>
      <c r="V523" s="8"/>
      <c r="X523" s="31"/>
      <c r="Y523" s="31" t="str">
        <f>IF($X523="","",SUMIFS(TARIFF_PROFILES!$D:$D,TARIFF_PROFILES!$A:$A,$X523))</f>
        <v/>
      </c>
      <c r="Z523" s="31" t="str">
        <f>IF($X523="","",SUMIFS(TARIFF_PROFILES!$E:$E,TARIFF_PROFILES!$A:$A,$X523))</f>
        <v/>
      </c>
      <c r="AA523" s="31" t="str">
        <f>IF($X523="","",SUMIFS(TARIFF_PROFILES!$F:$F,TARIFF_PROFILES!$A:$A,$X523))</f>
        <v/>
      </c>
      <c r="AB523" s="31" t="str">
        <f>IF($X523="","",SUMIFS(TARIFF_PROFILES!$G:$G,TARIFF_PROFILES!$A:$A,$X523))</f>
        <v/>
      </c>
      <c r="AC523" s="31" t="str">
        <f>IF($X523="","",SUMIFS(TARIFF_PROFILES!$H:$H,TARIFF_PROFILES!$A:$A,$X523))</f>
        <v/>
      </c>
      <c r="AD523" s="31" t="str">
        <f t="array" ref="AD523">IF($X523="","",INDEX(TARIFF_PROFILES!$J:$J,MATCH($X523,TARIFF_PROFILES!$A:$A,0)))</f>
        <v/>
      </c>
      <c r="AE523" s="31" t="str">
        <f t="array" ref="AE523">IF($X523="","",INDEX(TARIFF_PROFILES!$K:$K,MATCH($X523,TARIFF_PROFILES!$A:$A,0)))</f>
        <v/>
      </c>
      <c r="AG523" s="8"/>
      <c r="AH523" s="8" t="str">
        <f>IF($AG523="","",SUMIFS(OPERATING_COEFFS!$C:$C,OPERATING_COEFFS!$A:$A,"DistanceClass",OPERATING_COEFFS!$B:$B,$AG523))</f>
        <v/>
      </c>
      <c r="AI523" s="8"/>
      <c r="AJ523" s="8" t="str">
        <f>IF($AI523="","",SUMIFS(OPERATING_COEFFS!$C:$C,OPERATING_COEFFS!$A:$A,"SeasonClass",OPERATING_COEFFS!$B:$B,$AI523))</f>
        <v/>
      </c>
      <c r="AK523" s="8"/>
      <c r="AL523" s="8" t="str">
        <f>IF($AK523="","",SUMIFS(OPERATING_COEFFS!$C:$C,OPERATING_COEFFS!$A:$A,"UrgencyClass",OPERATING_COEFFS!$B:$B,$AK523))</f>
        <v/>
      </c>
      <c r="AM523" s="8"/>
      <c r="AN523" s="8" t="str">
        <f t="array" ref="AN523">IF($AM523="","",INDEX(TAX_MODES!$B:$B,MATCH($AM523,TAX_MODES!$A:$A,0)))</f>
        <v/>
      </c>
    </row>
    <row r="524" ht="14.25" customHeight="1">
      <c r="C524" s="8"/>
      <c r="E524" s="8"/>
      <c r="G524" s="8"/>
      <c r="I524" s="8"/>
      <c r="K524" s="8"/>
      <c r="M524" s="8"/>
      <c r="O524" s="8"/>
      <c r="Q524" s="8"/>
      <c r="S524" s="8"/>
      <c r="V524" s="8"/>
      <c r="X524" s="31"/>
      <c r="Y524" s="31" t="str">
        <f>IF($X524="","",SUMIFS(TARIFF_PROFILES!$D:$D,TARIFF_PROFILES!$A:$A,$X524))</f>
        <v/>
      </c>
      <c r="Z524" s="31" t="str">
        <f>IF($X524="","",SUMIFS(TARIFF_PROFILES!$E:$E,TARIFF_PROFILES!$A:$A,$X524))</f>
        <v/>
      </c>
      <c r="AA524" s="31" t="str">
        <f>IF($X524="","",SUMIFS(TARIFF_PROFILES!$F:$F,TARIFF_PROFILES!$A:$A,$X524))</f>
        <v/>
      </c>
      <c r="AB524" s="31" t="str">
        <f>IF($X524="","",SUMIFS(TARIFF_PROFILES!$G:$G,TARIFF_PROFILES!$A:$A,$X524))</f>
        <v/>
      </c>
      <c r="AC524" s="31" t="str">
        <f>IF($X524="","",SUMIFS(TARIFF_PROFILES!$H:$H,TARIFF_PROFILES!$A:$A,$X524))</f>
        <v/>
      </c>
      <c r="AD524" s="31" t="str">
        <f t="array" ref="AD524">IF($X524="","",INDEX(TARIFF_PROFILES!$J:$J,MATCH($X524,TARIFF_PROFILES!$A:$A,0)))</f>
        <v/>
      </c>
      <c r="AE524" s="31" t="str">
        <f t="array" ref="AE524">IF($X524="","",INDEX(TARIFF_PROFILES!$K:$K,MATCH($X524,TARIFF_PROFILES!$A:$A,0)))</f>
        <v/>
      </c>
      <c r="AG524" s="8"/>
      <c r="AH524" s="8" t="str">
        <f>IF($AG524="","",SUMIFS(OPERATING_COEFFS!$C:$C,OPERATING_COEFFS!$A:$A,"DistanceClass",OPERATING_COEFFS!$B:$B,$AG524))</f>
        <v/>
      </c>
      <c r="AI524" s="8"/>
      <c r="AJ524" s="8" t="str">
        <f>IF($AI524="","",SUMIFS(OPERATING_COEFFS!$C:$C,OPERATING_COEFFS!$A:$A,"SeasonClass",OPERATING_COEFFS!$B:$B,$AI524))</f>
        <v/>
      </c>
      <c r="AK524" s="8"/>
      <c r="AL524" s="8" t="str">
        <f>IF($AK524="","",SUMIFS(OPERATING_COEFFS!$C:$C,OPERATING_COEFFS!$A:$A,"UrgencyClass",OPERATING_COEFFS!$B:$B,$AK524))</f>
        <v/>
      </c>
      <c r="AM524" s="8"/>
      <c r="AN524" s="8" t="str">
        <f t="array" ref="AN524">IF($AM524="","",INDEX(TAX_MODES!$B:$B,MATCH($AM524,TAX_MODES!$A:$A,0)))</f>
        <v/>
      </c>
    </row>
    <row r="525" ht="14.25" customHeight="1">
      <c r="C525" s="8"/>
      <c r="E525" s="8"/>
      <c r="G525" s="8"/>
      <c r="I525" s="8"/>
      <c r="K525" s="8"/>
      <c r="M525" s="8"/>
      <c r="O525" s="8"/>
      <c r="Q525" s="8"/>
      <c r="S525" s="8"/>
      <c r="V525" s="8"/>
      <c r="X525" s="31"/>
      <c r="Y525" s="31" t="str">
        <f>IF($X525="","",SUMIFS(TARIFF_PROFILES!$D:$D,TARIFF_PROFILES!$A:$A,$X525))</f>
        <v/>
      </c>
      <c r="Z525" s="31" t="str">
        <f>IF($X525="","",SUMIFS(TARIFF_PROFILES!$E:$E,TARIFF_PROFILES!$A:$A,$X525))</f>
        <v/>
      </c>
      <c r="AA525" s="31" t="str">
        <f>IF($X525="","",SUMIFS(TARIFF_PROFILES!$F:$F,TARIFF_PROFILES!$A:$A,$X525))</f>
        <v/>
      </c>
      <c r="AB525" s="31" t="str">
        <f>IF($X525="","",SUMIFS(TARIFF_PROFILES!$G:$G,TARIFF_PROFILES!$A:$A,$X525))</f>
        <v/>
      </c>
      <c r="AC525" s="31" t="str">
        <f>IF($X525="","",SUMIFS(TARIFF_PROFILES!$H:$H,TARIFF_PROFILES!$A:$A,$X525))</f>
        <v/>
      </c>
      <c r="AD525" s="31" t="str">
        <f t="array" ref="AD525">IF($X525="","",INDEX(TARIFF_PROFILES!$J:$J,MATCH($X525,TARIFF_PROFILES!$A:$A,0)))</f>
        <v/>
      </c>
      <c r="AE525" s="31" t="str">
        <f t="array" ref="AE525">IF($X525="","",INDEX(TARIFF_PROFILES!$K:$K,MATCH($X525,TARIFF_PROFILES!$A:$A,0)))</f>
        <v/>
      </c>
      <c r="AG525" s="8"/>
      <c r="AH525" s="8" t="str">
        <f>IF($AG525="","",SUMIFS(OPERATING_COEFFS!$C:$C,OPERATING_COEFFS!$A:$A,"DistanceClass",OPERATING_COEFFS!$B:$B,$AG525))</f>
        <v/>
      </c>
      <c r="AI525" s="8"/>
      <c r="AJ525" s="8" t="str">
        <f>IF($AI525="","",SUMIFS(OPERATING_COEFFS!$C:$C,OPERATING_COEFFS!$A:$A,"SeasonClass",OPERATING_COEFFS!$B:$B,$AI525))</f>
        <v/>
      </c>
      <c r="AK525" s="8"/>
      <c r="AL525" s="8" t="str">
        <f>IF($AK525="","",SUMIFS(OPERATING_COEFFS!$C:$C,OPERATING_COEFFS!$A:$A,"UrgencyClass",OPERATING_COEFFS!$B:$B,$AK525))</f>
        <v/>
      </c>
      <c r="AM525" s="8"/>
      <c r="AN525" s="8" t="str">
        <f t="array" ref="AN525">IF($AM525="","",INDEX(TAX_MODES!$B:$B,MATCH($AM525,TAX_MODES!$A:$A,0)))</f>
        <v/>
      </c>
    </row>
    <row r="526" ht="14.25" customHeight="1">
      <c r="C526" s="8"/>
      <c r="E526" s="8"/>
      <c r="G526" s="8"/>
      <c r="I526" s="8"/>
      <c r="K526" s="8"/>
      <c r="M526" s="8"/>
      <c r="O526" s="8"/>
      <c r="Q526" s="8"/>
      <c r="S526" s="8"/>
      <c r="V526" s="8"/>
      <c r="X526" s="31"/>
      <c r="Y526" s="31" t="str">
        <f>IF($X526="","",SUMIFS(TARIFF_PROFILES!$D:$D,TARIFF_PROFILES!$A:$A,$X526))</f>
        <v/>
      </c>
      <c r="Z526" s="31" t="str">
        <f>IF($X526="","",SUMIFS(TARIFF_PROFILES!$E:$E,TARIFF_PROFILES!$A:$A,$X526))</f>
        <v/>
      </c>
      <c r="AA526" s="31" t="str">
        <f>IF($X526="","",SUMIFS(TARIFF_PROFILES!$F:$F,TARIFF_PROFILES!$A:$A,$X526))</f>
        <v/>
      </c>
      <c r="AB526" s="31" t="str">
        <f>IF($X526="","",SUMIFS(TARIFF_PROFILES!$G:$G,TARIFF_PROFILES!$A:$A,$X526))</f>
        <v/>
      </c>
      <c r="AC526" s="31" t="str">
        <f>IF($X526="","",SUMIFS(TARIFF_PROFILES!$H:$H,TARIFF_PROFILES!$A:$A,$X526))</f>
        <v/>
      </c>
      <c r="AD526" s="31" t="str">
        <f t="array" ref="AD526">IF($X526="","",INDEX(TARIFF_PROFILES!$J:$J,MATCH($X526,TARIFF_PROFILES!$A:$A,0)))</f>
        <v/>
      </c>
      <c r="AE526" s="31" t="str">
        <f t="array" ref="AE526">IF($X526="","",INDEX(TARIFF_PROFILES!$K:$K,MATCH($X526,TARIFF_PROFILES!$A:$A,0)))</f>
        <v/>
      </c>
      <c r="AG526" s="8"/>
      <c r="AH526" s="8" t="str">
        <f>IF($AG526="","",SUMIFS(OPERATING_COEFFS!$C:$C,OPERATING_COEFFS!$A:$A,"DistanceClass",OPERATING_COEFFS!$B:$B,$AG526))</f>
        <v/>
      </c>
      <c r="AI526" s="8"/>
      <c r="AJ526" s="8" t="str">
        <f>IF($AI526="","",SUMIFS(OPERATING_COEFFS!$C:$C,OPERATING_COEFFS!$A:$A,"SeasonClass",OPERATING_COEFFS!$B:$B,$AI526))</f>
        <v/>
      </c>
      <c r="AK526" s="8"/>
      <c r="AL526" s="8" t="str">
        <f>IF($AK526="","",SUMIFS(OPERATING_COEFFS!$C:$C,OPERATING_COEFFS!$A:$A,"UrgencyClass",OPERATING_COEFFS!$B:$B,$AK526))</f>
        <v/>
      </c>
      <c r="AM526" s="8"/>
      <c r="AN526" s="8" t="str">
        <f t="array" ref="AN526">IF($AM526="","",INDEX(TAX_MODES!$B:$B,MATCH($AM526,TAX_MODES!$A:$A,0)))</f>
        <v/>
      </c>
    </row>
    <row r="527" ht="14.25" customHeight="1">
      <c r="C527" s="8"/>
      <c r="E527" s="8"/>
      <c r="G527" s="8"/>
      <c r="I527" s="8"/>
      <c r="K527" s="8"/>
      <c r="M527" s="8"/>
      <c r="O527" s="8"/>
      <c r="Q527" s="8"/>
      <c r="S527" s="8"/>
      <c r="V527" s="8"/>
      <c r="X527" s="31"/>
      <c r="Y527" s="31" t="str">
        <f>IF($X527="","",SUMIFS(TARIFF_PROFILES!$D:$D,TARIFF_PROFILES!$A:$A,$X527))</f>
        <v/>
      </c>
      <c r="Z527" s="31" t="str">
        <f>IF($X527="","",SUMIFS(TARIFF_PROFILES!$E:$E,TARIFF_PROFILES!$A:$A,$X527))</f>
        <v/>
      </c>
      <c r="AA527" s="31" t="str">
        <f>IF($X527="","",SUMIFS(TARIFF_PROFILES!$F:$F,TARIFF_PROFILES!$A:$A,$X527))</f>
        <v/>
      </c>
      <c r="AB527" s="31" t="str">
        <f>IF($X527="","",SUMIFS(TARIFF_PROFILES!$G:$G,TARIFF_PROFILES!$A:$A,$X527))</f>
        <v/>
      </c>
      <c r="AC527" s="31" t="str">
        <f>IF($X527="","",SUMIFS(TARIFF_PROFILES!$H:$H,TARIFF_PROFILES!$A:$A,$X527))</f>
        <v/>
      </c>
      <c r="AD527" s="31" t="str">
        <f t="array" ref="AD527">IF($X527="","",INDEX(TARIFF_PROFILES!$J:$J,MATCH($X527,TARIFF_PROFILES!$A:$A,0)))</f>
        <v/>
      </c>
      <c r="AE527" s="31" t="str">
        <f t="array" ref="AE527">IF($X527="","",INDEX(TARIFF_PROFILES!$K:$K,MATCH($X527,TARIFF_PROFILES!$A:$A,0)))</f>
        <v/>
      </c>
      <c r="AG527" s="8"/>
      <c r="AH527" s="8" t="str">
        <f>IF($AG527="","",SUMIFS(OPERATING_COEFFS!$C:$C,OPERATING_COEFFS!$A:$A,"DistanceClass",OPERATING_COEFFS!$B:$B,$AG527))</f>
        <v/>
      </c>
      <c r="AI527" s="8"/>
      <c r="AJ527" s="8" t="str">
        <f>IF($AI527="","",SUMIFS(OPERATING_COEFFS!$C:$C,OPERATING_COEFFS!$A:$A,"SeasonClass",OPERATING_COEFFS!$B:$B,$AI527))</f>
        <v/>
      </c>
      <c r="AK527" s="8"/>
      <c r="AL527" s="8" t="str">
        <f>IF($AK527="","",SUMIFS(OPERATING_COEFFS!$C:$C,OPERATING_COEFFS!$A:$A,"UrgencyClass",OPERATING_COEFFS!$B:$B,$AK527))</f>
        <v/>
      </c>
      <c r="AM527" s="8"/>
      <c r="AN527" s="8" t="str">
        <f t="array" ref="AN527">IF($AM527="","",INDEX(TAX_MODES!$B:$B,MATCH($AM527,TAX_MODES!$A:$A,0)))</f>
        <v/>
      </c>
    </row>
    <row r="528" ht="14.25" customHeight="1">
      <c r="C528" s="8"/>
      <c r="E528" s="8"/>
      <c r="G528" s="8"/>
      <c r="I528" s="8"/>
      <c r="K528" s="8"/>
      <c r="M528" s="8"/>
      <c r="O528" s="8"/>
      <c r="Q528" s="8"/>
      <c r="S528" s="8"/>
      <c r="V528" s="8"/>
      <c r="X528" s="31"/>
      <c r="Y528" s="31" t="str">
        <f>IF($X528="","",SUMIFS(TARIFF_PROFILES!$D:$D,TARIFF_PROFILES!$A:$A,$X528))</f>
        <v/>
      </c>
      <c r="Z528" s="31" t="str">
        <f>IF($X528="","",SUMIFS(TARIFF_PROFILES!$E:$E,TARIFF_PROFILES!$A:$A,$X528))</f>
        <v/>
      </c>
      <c r="AA528" s="31" t="str">
        <f>IF($X528="","",SUMIFS(TARIFF_PROFILES!$F:$F,TARIFF_PROFILES!$A:$A,$X528))</f>
        <v/>
      </c>
      <c r="AB528" s="31" t="str">
        <f>IF($X528="","",SUMIFS(TARIFF_PROFILES!$G:$G,TARIFF_PROFILES!$A:$A,$X528))</f>
        <v/>
      </c>
      <c r="AC528" s="31" t="str">
        <f>IF($X528="","",SUMIFS(TARIFF_PROFILES!$H:$H,TARIFF_PROFILES!$A:$A,$X528))</f>
        <v/>
      </c>
      <c r="AD528" s="31" t="str">
        <f t="array" ref="AD528">IF($X528="","",INDEX(TARIFF_PROFILES!$J:$J,MATCH($X528,TARIFF_PROFILES!$A:$A,0)))</f>
        <v/>
      </c>
      <c r="AE528" s="31" t="str">
        <f t="array" ref="AE528">IF($X528="","",INDEX(TARIFF_PROFILES!$K:$K,MATCH($X528,TARIFF_PROFILES!$A:$A,0)))</f>
        <v/>
      </c>
      <c r="AG528" s="8"/>
      <c r="AH528" s="8" t="str">
        <f>IF($AG528="","",SUMIFS(OPERATING_COEFFS!$C:$C,OPERATING_COEFFS!$A:$A,"DistanceClass",OPERATING_COEFFS!$B:$B,$AG528))</f>
        <v/>
      </c>
      <c r="AI528" s="8"/>
      <c r="AJ528" s="8" t="str">
        <f>IF($AI528="","",SUMIFS(OPERATING_COEFFS!$C:$C,OPERATING_COEFFS!$A:$A,"SeasonClass",OPERATING_COEFFS!$B:$B,$AI528))</f>
        <v/>
      </c>
      <c r="AK528" s="8"/>
      <c r="AL528" s="8" t="str">
        <f>IF($AK528="","",SUMIFS(OPERATING_COEFFS!$C:$C,OPERATING_COEFFS!$A:$A,"UrgencyClass",OPERATING_COEFFS!$B:$B,$AK528))</f>
        <v/>
      </c>
      <c r="AM528" s="8"/>
      <c r="AN528" s="8" t="str">
        <f t="array" ref="AN528">IF($AM528="","",INDEX(TAX_MODES!$B:$B,MATCH($AM528,TAX_MODES!$A:$A,0)))</f>
        <v/>
      </c>
    </row>
    <row r="529" ht="14.25" customHeight="1">
      <c r="C529" s="8"/>
      <c r="E529" s="8"/>
      <c r="G529" s="8"/>
      <c r="I529" s="8"/>
      <c r="K529" s="8"/>
      <c r="M529" s="8"/>
      <c r="O529" s="8"/>
      <c r="Q529" s="8"/>
      <c r="S529" s="8"/>
      <c r="V529" s="8"/>
      <c r="X529" s="31"/>
      <c r="Y529" s="31" t="str">
        <f>IF($X529="","",SUMIFS(TARIFF_PROFILES!$D:$D,TARIFF_PROFILES!$A:$A,$X529))</f>
        <v/>
      </c>
      <c r="Z529" s="31" t="str">
        <f>IF($X529="","",SUMIFS(TARIFF_PROFILES!$E:$E,TARIFF_PROFILES!$A:$A,$X529))</f>
        <v/>
      </c>
      <c r="AA529" s="31" t="str">
        <f>IF($X529="","",SUMIFS(TARIFF_PROFILES!$F:$F,TARIFF_PROFILES!$A:$A,$X529))</f>
        <v/>
      </c>
      <c r="AB529" s="31" t="str">
        <f>IF($X529="","",SUMIFS(TARIFF_PROFILES!$G:$G,TARIFF_PROFILES!$A:$A,$X529))</f>
        <v/>
      </c>
      <c r="AC529" s="31" t="str">
        <f>IF($X529="","",SUMIFS(TARIFF_PROFILES!$H:$H,TARIFF_PROFILES!$A:$A,$X529))</f>
        <v/>
      </c>
      <c r="AD529" s="31" t="str">
        <f t="array" ref="AD529">IF($X529="","",INDEX(TARIFF_PROFILES!$J:$J,MATCH($X529,TARIFF_PROFILES!$A:$A,0)))</f>
        <v/>
      </c>
      <c r="AE529" s="31" t="str">
        <f t="array" ref="AE529">IF($X529="","",INDEX(TARIFF_PROFILES!$K:$K,MATCH($X529,TARIFF_PROFILES!$A:$A,0)))</f>
        <v/>
      </c>
      <c r="AG529" s="8"/>
      <c r="AH529" s="8" t="str">
        <f>IF($AG529="","",SUMIFS(OPERATING_COEFFS!$C:$C,OPERATING_COEFFS!$A:$A,"DistanceClass",OPERATING_COEFFS!$B:$B,$AG529))</f>
        <v/>
      </c>
      <c r="AI529" s="8"/>
      <c r="AJ529" s="8" t="str">
        <f>IF($AI529="","",SUMIFS(OPERATING_COEFFS!$C:$C,OPERATING_COEFFS!$A:$A,"SeasonClass",OPERATING_COEFFS!$B:$B,$AI529))</f>
        <v/>
      </c>
      <c r="AK529" s="8"/>
      <c r="AL529" s="8" t="str">
        <f>IF($AK529="","",SUMIFS(OPERATING_COEFFS!$C:$C,OPERATING_COEFFS!$A:$A,"UrgencyClass",OPERATING_COEFFS!$B:$B,$AK529))</f>
        <v/>
      </c>
      <c r="AM529" s="8"/>
      <c r="AN529" s="8" t="str">
        <f t="array" ref="AN529">IF($AM529="","",INDEX(TAX_MODES!$B:$B,MATCH($AM529,TAX_MODES!$A:$A,0)))</f>
        <v/>
      </c>
    </row>
    <row r="530" ht="14.25" customHeight="1">
      <c r="C530" s="8"/>
      <c r="E530" s="8"/>
      <c r="G530" s="8"/>
      <c r="I530" s="8"/>
      <c r="K530" s="8"/>
      <c r="M530" s="8"/>
      <c r="O530" s="8"/>
      <c r="Q530" s="8"/>
      <c r="S530" s="8"/>
      <c r="V530" s="8"/>
      <c r="X530" s="31"/>
      <c r="Y530" s="31" t="str">
        <f>IF($X530="","",SUMIFS(TARIFF_PROFILES!$D:$D,TARIFF_PROFILES!$A:$A,$X530))</f>
        <v/>
      </c>
      <c r="Z530" s="31" t="str">
        <f>IF($X530="","",SUMIFS(TARIFF_PROFILES!$E:$E,TARIFF_PROFILES!$A:$A,$X530))</f>
        <v/>
      </c>
      <c r="AA530" s="31" t="str">
        <f>IF($X530="","",SUMIFS(TARIFF_PROFILES!$F:$F,TARIFF_PROFILES!$A:$A,$X530))</f>
        <v/>
      </c>
      <c r="AB530" s="31" t="str">
        <f>IF($X530="","",SUMIFS(TARIFF_PROFILES!$G:$G,TARIFF_PROFILES!$A:$A,$X530))</f>
        <v/>
      </c>
      <c r="AC530" s="31" t="str">
        <f>IF($X530="","",SUMIFS(TARIFF_PROFILES!$H:$H,TARIFF_PROFILES!$A:$A,$X530))</f>
        <v/>
      </c>
      <c r="AD530" s="31" t="str">
        <f t="array" ref="AD530">IF($X530="","",INDEX(TARIFF_PROFILES!$J:$J,MATCH($X530,TARIFF_PROFILES!$A:$A,0)))</f>
        <v/>
      </c>
      <c r="AE530" s="31" t="str">
        <f t="array" ref="AE530">IF($X530="","",INDEX(TARIFF_PROFILES!$K:$K,MATCH($X530,TARIFF_PROFILES!$A:$A,0)))</f>
        <v/>
      </c>
      <c r="AG530" s="8"/>
      <c r="AH530" s="8" t="str">
        <f>IF($AG530="","",SUMIFS(OPERATING_COEFFS!$C:$C,OPERATING_COEFFS!$A:$A,"DistanceClass",OPERATING_COEFFS!$B:$B,$AG530))</f>
        <v/>
      </c>
      <c r="AI530" s="8"/>
      <c r="AJ530" s="8" t="str">
        <f>IF($AI530="","",SUMIFS(OPERATING_COEFFS!$C:$C,OPERATING_COEFFS!$A:$A,"SeasonClass",OPERATING_COEFFS!$B:$B,$AI530))</f>
        <v/>
      </c>
      <c r="AK530" s="8"/>
      <c r="AL530" s="8" t="str">
        <f>IF($AK530="","",SUMIFS(OPERATING_COEFFS!$C:$C,OPERATING_COEFFS!$A:$A,"UrgencyClass",OPERATING_COEFFS!$B:$B,$AK530))</f>
        <v/>
      </c>
      <c r="AM530" s="8"/>
      <c r="AN530" s="8" t="str">
        <f t="array" ref="AN530">IF($AM530="","",INDEX(TAX_MODES!$B:$B,MATCH($AM530,TAX_MODES!$A:$A,0)))</f>
        <v/>
      </c>
    </row>
    <row r="531" ht="14.25" customHeight="1">
      <c r="C531" s="8"/>
      <c r="E531" s="8"/>
      <c r="G531" s="8"/>
      <c r="I531" s="8"/>
      <c r="K531" s="8"/>
      <c r="M531" s="8"/>
      <c r="O531" s="8"/>
      <c r="Q531" s="8"/>
      <c r="S531" s="8"/>
      <c r="V531" s="8"/>
      <c r="X531" s="31"/>
      <c r="Y531" s="31" t="str">
        <f>IF($X531="","",SUMIFS(TARIFF_PROFILES!$D:$D,TARIFF_PROFILES!$A:$A,$X531))</f>
        <v/>
      </c>
      <c r="Z531" s="31" t="str">
        <f>IF($X531="","",SUMIFS(TARIFF_PROFILES!$E:$E,TARIFF_PROFILES!$A:$A,$X531))</f>
        <v/>
      </c>
      <c r="AA531" s="31" t="str">
        <f>IF($X531="","",SUMIFS(TARIFF_PROFILES!$F:$F,TARIFF_PROFILES!$A:$A,$X531))</f>
        <v/>
      </c>
      <c r="AB531" s="31" t="str">
        <f>IF($X531="","",SUMIFS(TARIFF_PROFILES!$G:$G,TARIFF_PROFILES!$A:$A,$X531))</f>
        <v/>
      </c>
      <c r="AC531" s="31" t="str">
        <f>IF($X531="","",SUMIFS(TARIFF_PROFILES!$H:$H,TARIFF_PROFILES!$A:$A,$X531))</f>
        <v/>
      </c>
      <c r="AD531" s="31" t="str">
        <f t="array" ref="AD531">IF($X531="","",INDEX(TARIFF_PROFILES!$J:$J,MATCH($X531,TARIFF_PROFILES!$A:$A,0)))</f>
        <v/>
      </c>
      <c r="AE531" s="31" t="str">
        <f t="array" ref="AE531">IF($X531="","",INDEX(TARIFF_PROFILES!$K:$K,MATCH($X531,TARIFF_PROFILES!$A:$A,0)))</f>
        <v/>
      </c>
      <c r="AG531" s="8"/>
      <c r="AH531" s="8" t="str">
        <f>IF($AG531="","",SUMIFS(OPERATING_COEFFS!$C:$C,OPERATING_COEFFS!$A:$A,"DistanceClass",OPERATING_COEFFS!$B:$B,$AG531))</f>
        <v/>
      </c>
      <c r="AI531" s="8"/>
      <c r="AJ531" s="8" t="str">
        <f>IF($AI531="","",SUMIFS(OPERATING_COEFFS!$C:$C,OPERATING_COEFFS!$A:$A,"SeasonClass",OPERATING_COEFFS!$B:$B,$AI531))</f>
        <v/>
      </c>
      <c r="AK531" s="8"/>
      <c r="AL531" s="8" t="str">
        <f>IF($AK531="","",SUMIFS(OPERATING_COEFFS!$C:$C,OPERATING_COEFFS!$A:$A,"UrgencyClass",OPERATING_COEFFS!$B:$B,$AK531))</f>
        <v/>
      </c>
      <c r="AM531" s="8"/>
      <c r="AN531" s="8" t="str">
        <f t="array" ref="AN531">IF($AM531="","",INDEX(TAX_MODES!$B:$B,MATCH($AM531,TAX_MODES!$A:$A,0)))</f>
        <v/>
      </c>
    </row>
    <row r="532" ht="14.25" customHeight="1">
      <c r="C532" s="8"/>
      <c r="E532" s="8"/>
      <c r="G532" s="8"/>
      <c r="I532" s="8"/>
      <c r="K532" s="8"/>
      <c r="M532" s="8"/>
      <c r="O532" s="8"/>
      <c r="Q532" s="8"/>
      <c r="S532" s="8"/>
      <c r="V532" s="8"/>
      <c r="X532" s="31"/>
      <c r="Y532" s="31" t="str">
        <f>IF($X532="","",SUMIFS(TARIFF_PROFILES!$D:$D,TARIFF_PROFILES!$A:$A,$X532))</f>
        <v/>
      </c>
      <c r="Z532" s="31" t="str">
        <f>IF($X532="","",SUMIFS(TARIFF_PROFILES!$E:$E,TARIFF_PROFILES!$A:$A,$X532))</f>
        <v/>
      </c>
      <c r="AA532" s="31" t="str">
        <f>IF($X532="","",SUMIFS(TARIFF_PROFILES!$F:$F,TARIFF_PROFILES!$A:$A,$X532))</f>
        <v/>
      </c>
      <c r="AB532" s="31" t="str">
        <f>IF($X532="","",SUMIFS(TARIFF_PROFILES!$G:$G,TARIFF_PROFILES!$A:$A,$X532))</f>
        <v/>
      </c>
      <c r="AC532" s="31" t="str">
        <f>IF($X532="","",SUMIFS(TARIFF_PROFILES!$H:$H,TARIFF_PROFILES!$A:$A,$X532))</f>
        <v/>
      </c>
      <c r="AD532" s="31" t="str">
        <f t="array" ref="AD532">IF($X532="","",INDEX(TARIFF_PROFILES!$J:$J,MATCH($X532,TARIFF_PROFILES!$A:$A,0)))</f>
        <v/>
      </c>
      <c r="AE532" s="31" t="str">
        <f t="array" ref="AE532">IF($X532="","",INDEX(TARIFF_PROFILES!$K:$K,MATCH($X532,TARIFF_PROFILES!$A:$A,0)))</f>
        <v/>
      </c>
      <c r="AG532" s="8"/>
      <c r="AH532" s="8" t="str">
        <f>IF($AG532="","",SUMIFS(OPERATING_COEFFS!$C:$C,OPERATING_COEFFS!$A:$A,"DistanceClass",OPERATING_COEFFS!$B:$B,$AG532))</f>
        <v/>
      </c>
      <c r="AI532" s="8"/>
      <c r="AJ532" s="8" t="str">
        <f>IF($AI532="","",SUMIFS(OPERATING_COEFFS!$C:$C,OPERATING_COEFFS!$A:$A,"SeasonClass",OPERATING_COEFFS!$B:$B,$AI532))</f>
        <v/>
      </c>
      <c r="AK532" s="8"/>
      <c r="AL532" s="8" t="str">
        <f>IF($AK532="","",SUMIFS(OPERATING_COEFFS!$C:$C,OPERATING_COEFFS!$A:$A,"UrgencyClass",OPERATING_COEFFS!$B:$B,$AK532))</f>
        <v/>
      </c>
      <c r="AM532" s="8"/>
      <c r="AN532" s="8" t="str">
        <f t="array" ref="AN532">IF($AM532="","",INDEX(TAX_MODES!$B:$B,MATCH($AM532,TAX_MODES!$A:$A,0)))</f>
        <v/>
      </c>
    </row>
    <row r="533" ht="14.25" customHeight="1">
      <c r="C533" s="8"/>
      <c r="E533" s="8"/>
      <c r="G533" s="8"/>
      <c r="I533" s="8"/>
      <c r="K533" s="8"/>
      <c r="M533" s="8"/>
      <c r="O533" s="8"/>
      <c r="Q533" s="8"/>
      <c r="S533" s="8"/>
      <c r="V533" s="8"/>
      <c r="X533" s="31"/>
      <c r="Y533" s="31" t="str">
        <f>IF($X533="","",SUMIFS(TARIFF_PROFILES!$D:$D,TARIFF_PROFILES!$A:$A,$X533))</f>
        <v/>
      </c>
      <c r="Z533" s="31" t="str">
        <f>IF($X533="","",SUMIFS(TARIFF_PROFILES!$E:$E,TARIFF_PROFILES!$A:$A,$X533))</f>
        <v/>
      </c>
      <c r="AA533" s="31" t="str">
        <f>IF($X533="","",SUMIFS(TARIFF_PROFILES!$F:$F,TARIFF_PROFILES!$A:$A,$X533))</f>
        <v/>
      </c>
      <c r="AB533" s="31" t="str">
        <f>IF($X533="","",SUMIFS(TARIFF_PROFILES!$G:$G,TARIFF_PROFILES!$A:$A,$X533))</f>
        <v/>
      </c>
      <c r="AC533" s="31" t="str">
        <f>IF($X533="","",SUMIFS(TARIFF_PROFILES!$H:$H,TARIFF_PROFILES!$A:$A,$X533))</f>
        <v/>
      </c>
      <c r="AD533" s="31" t="str">
        <f t="array" ref="AD533">IF($X533="","",INDEX(TARIFF_PROFILES!$J:$J,MATCH($X533,TARIFF_PROFILES!$A:$A,0)))</f>
        <v/>
      </c>
      <c r="AE533" s="31" t="str">
        <f t="array" ref="AE533">IF($X533="","",INDEX(TARIFF_PROFILES!$K:$K,MATCH($X533,TARIFF_PROFILES!$A:$A,0)))</f>
        <v/>
      </c>
      <c r="AG533" s="8"/>
      <c r="AH533" s="8" t="str">
        <f>IF($AG533="","",SUMIFS(OPERATING_COEFFS!$C:$C,OPERATING_COEFFS!$A:$A,"DistanceClass",OPERATING_COEFFS!$B:$B,$AG533))</f>
        <v/>
      </c>
      <c r="AI533" s="8"/>
      <c r="AJ533" s="8" t="str">
        <f>IF($AI533="","",SUMIFS(OPERATING_COEFFS!$C:$C,OPERATING_COEFFS!$A:$A,"SeasonClass",OPERATING_COEFFS!$B:$B,$AI533))</f>
        <v/>
      </c>
      <c r="AK533" s="8"/>
      <c r="AL533" s="8" t="str">
        <f>IF($AK533="","",SUMIFS(OPERATING_COEFFS!$C:$C,OPERATING_COEFFS!$A:$A,"UrgencyClass",OPERATING_COEFFS!$B:$B,$AK533))</f>
        <v/>
      </c>
      <c r="AM533" s="8"/>
      <c r="AN533" s="8" t="str">
        <f t="array" ref="AN533">IF($AM533="","",INDEX(TAX_MODES!$B:$B,MATCH($AM533,TAX_MODES!$A:$A,0)))</f>
        <v/>
      </c>
    </row>
    <row r="534" ht="14.25" customHeight="1">
      <c r="C534" s="8"/>
      <c r="E534" s="8"/>
      <c r="G534" s="8"/>
      <c r="I534" s="8"/>
      <c r="K534" s="8"/>
      <c r="M534" s="8"/>
      <c r="O534" s="8"/>
      <c r="Q534" s="8"/>
      <c r="S534" s="8"/>
      <c r="V534" s="8"/>
      <c r="X534" s="31"/>
      <c r="Y534" s="31" t="str">
        <f>IF($X534="","",SUMIFS(TARIFF_PROFILES!$D:$D,TARIFF_PROFILES!$A:$A,$X534))</f>
        <v/>
      </c>
      <c r="Z534" s="31" t="str">
        <f>IF($X534="","",SUMIFS(TARIFF_PROFILES!$E:$E,TARIFF_PROFILES!$A:$A,$X534))</f>
        <v/>
      </c>
      <c r="AA534" s="31" t="str">
        <f>IF($X534="","",SUMIFS(TARIFF_PROFILES!$F:$F,TARIFF_PROFILES!$A:$A,$X534))</f>
        <v/>
      </c>
      <c r="AB534" s="31" t="str">
        <f>IF($X534="","",SUMIFS(TARIFF_PROFILES!$G:$G,TARIFF_PROFILES!$A:$A,$X534))</f>
        <v/>
      </c>
      <c r="AC534" s="31" t="str">
        <f>IF($X534="","",SUMIFS(TARIFF_PROFILES!$H:$H,TARIFF_PROFILES!$A:$A,$X534))</f>
        <v/>
      </c>
      <c r="AD534" s="31" t="str">
        <f t="array" ref="AD534">IF($X534="","",INDEX(TARIFF_PROFILES!$J:$J,MATCH($X534,TARIFF_PROFILES!$A:$A,0)))</f>
        <v/>
      </c>
      <c r="AE534" s="31" t="str">
        <f t="array" ref="AE534">IF($X534="","",INDEX(TARIFF_PROFILES!$K:$K,MATCH($X534,TARIFF_PROFILES!$A:$A,0)))</f>
        <v/>
      </c>
      <c r="AG534" s="8"/>
      <c r="AH534" s="8" t="str">
        <f>IF($AG534="","",SUMIFS(OPERATING_COEFFS!$C:$C,OPERATING_COEFFS!$A:$A,"DistanceClass",OPERATING_COEFFS!$B:$B,$AG534))</f>
        <v/>
      </c>
      <c r="AI534" s="8"/>
      <c r="AJ534" s="8" t="str">
        <f>IF($AI534="","",SUMIFS(OPERATING_COEFFS!$C:$C,OPERATING_COEFFS!$A:$A,"SeasonClass",OPERATING_COEFFS!$B:$B,$AI534))</f>
        <v/>
      </c>
      <c r="AK534" s="8"/>
      <c r="AL534" s="8" t="str">
        <f>IF($AK534="","",SUMIFS(OPERATING_COEFFS!$C:$C,OPERATING_COEFFS!$A:$A,"UrgencyClass",OPERATING_COEFFS!$B:$B,$AK534))</f>
        <v/>
      </c>
      <c r="AM534" s="8"/>
      <c r="AN534" s="8" t="str">
        <f t="array" ref="AN534">IF($AM534="","",INDEX(TAX_MODES!$B:$B,MATCH($AM534,TAX_MODES!$A:$A,0)))</f>
        <v/>
      </c>
    </row>
    <row r="535" ht="14.25" customHeight="1">
      <c r="C535" s="8"/>
      <c r="E535" s="8"/>
      <c r="G535" s="8"/>
      <c r="I535" s="8"/>
      <c r="K535" s="8"/>
      <c r="M535" s="8"/>
      <c r="O535" s="8"/>
      <c r="Q535" s="8"/>
      <c r="S535" s="8"/>
      <c r="V535" s="8"/>
      <c r="X535" s="31"/>
      <c r="Y535" s="31" t="str">
        <f>IF($X535="","",SUMIFS(TARIFF_PROFILES!$D:$D,TARIFF_PROFILES!$A:$A,$X535))</f>
        <v/>
      </c>
      <c r="Z535" s="31" t="str">
        <f>IF($X535="","",SUMIFS(TARIFF_PROFILES!$E:$E,TARIFF_PROFILES!$A:$A,$X535))</f>
        <v/>
      </c>
      <c r="AA535" s="31" t="str">
        <f>IF($X535="","",SUMIFS(TARIFF_PROFILES!$F:$F,TARIFF_PROFILES!$A:$A,$X535))</f>
        <v/>
      </c>
      <c r="AB535" s="31" t="str">
        <f>IF($X535="","",SUMIFS(TARIFF_PROFILES!$G:$G,TARIFF_PROFILES!$A:$A,$X535))</f>
        <v/>
      </c>
      <c r="AC535" s="31" t="str">
        <f>IF($X535="","",SUMIFS(TARIFF_PROFILES!$H:$H,TARIFF_PROFILES!$A:$A,$X535))</f>
        <v/>
      </c>
      <c r="AD535" s="31" t="str">
        <f t="array" ref="AD535">IF($X535="","",INDEX(TARIFF_PROFILES!$J:$J,MATCH($X535,TARIFF_PROFILES!$A:$A,0)))</f>
        <v/>
      </c>
      <c r="AE535" s="31" t="str">
        <f t="array" ref="AE535">IF($X535="","",INDEX(TARIFF_PROFILES!$K:$K,MATCH($X535,TARIFF_PROFILES!$A:$A,0)))</f>
        <v/>
      </c>
      <c r="AG535" s="8"/>
      <c r="AH535" s="8" t="str">
        <f>IF($AG535="","",SUMIFS(OPERATING_COEFFS!$C:$C,OPERATING_COEFFS!$A:$A,"DistanceClass",OPERATING_COEFFS!$B:$B,$AG535))</f>
        <v/>
      </c>
      <c r="AI535" s="8"/>
      <c r="AJ535" s="8" t="str">
        <f>IF($AI535="","",SUMIFS(OPERATING_COEFFS!$C:$C,OPERATING_COEFFS!$A:$A,"SeasonClass",OPERATING_COEFFS!$B:$B,$AI535))</f>
        <v/>
      </c>
      <c r="AK535" s="8"/>
      <c r="AL535" s="8" t="str">
        <f>IF($AK535="","",SUMIFS(OPERATING_COEFFS!$C:$C,OPERATING_COEFFS!$A:$A,"UrgencyClass",OPERATING_COEFFS!$B:$B,$AK535))</f>
        <v/>
      </c>
      <c r="AM535" s="8"/>
      <c r="AN535" s="8" t="str">
        <f t="array" ref="AN535">IF($AM535="","",INDEX(TAX_MODES!$B:$B,MATCH($AM535,TAX_MODES!$A:$A,0)))</f>
        <v/>
      </c>
    </row>
    <row r="536" ht="14.25" customHeight="1">
      <c r="C536" s="8"/>
      <c r="E536" s="8"/>
      <c r="G536" s="8"/>
      <c r="I536" s="8"/>
      <c r="K536" s="8"/>
      <c r="M536" s="8"/>
      <c r="O536" s="8"/>
      <c r="Q536" s="8"/>
      <c r="S536" s="8"/>
      <c r="V536" s="8"/>
      <c r="X536" s="31"/>
      <c r="Y536" s="31" t="str">
        <f>IF($X536="","",SUMIFS(TARIFF_PROFILES!$D:$D,TARIFF_PROFILES!$A:$A,$X536))</f>
        <v/>
      </c>
      <c r="Z536" s="31" t="str">
        <f>IF($X536="","",SUMIFS(TARIFF_PROFILES!$E:$E,TARIFF_PROFILES!$A:$A,$X536))</f>
        <v/>
      </c>
      <c r="AA536" s="31" t="str">
        <f>IF($X536="","",SUMIFS(TARIFF_PROFILES!$F:$F,TARIFF_PROFILES!$A:$A,$X536))</f>
        <v/>
      </c>
      <c r="AB536" s="31" t="str">
        <f>IF($X536="","",SUMIFS(TARIFF_PROFILES!$G:$G,TARIFF_PROFILES!$A:$A,$X536))</f>
        <v/>
      </c>
      <c r="AC536" s="31" t="str">
        <f>IF($X536="","",SUMIFS(TARIFF_PROFILES!$H:$H,TARIFF_PROFILES!$A:$A,$X536))</f>
        <v/>
      </c>
      <c r="AD536" s="31" t="str">
        <f t="array" ref="AD536">IF($X536="","",INDEX(TARIFF_PROFILES!$J:$J,MATCH($X536,TARIFF_PROFILES!$A:$A,0)))</f>
        <v/>
      </c>
      <c r="AE536" s="31" t="str">
        <f t="array" ref="AE536">IF($X536="","",INDEX(TARIFF_PROFILES!$K:$K,MATCH($X536,TARIFF_PROFILES!$A:$A,0)))</f>
        <v/>
      </c>
      <c r="AG536" s="8"/>
      <c r="AH536" s="8" t="str">
        <f>IF($AG536="","",SUMIFS(OPERATING_COEFFS!$C:$C,OPERATING_COEFFS!$A:$A,"DistanceClass",OPERATING_COEFFS!$B:$B,$AG536))</f>
        <v/>
      </c>
      <c r="AI536" s="8"/>
      <c r="AJ536" s="8" t="str">
        <f>IF($AI536="","",SUMIFS(OPERATING_COEFFS!$C:$C,OPERATING_COEFFS!$A:$A,"SeasonClass",OPERATING_COEFFS!$B:$B,$AI536))</f>
        <v/>
      </c>
      <c r="AK536" s="8"/>
      <c r="AL536" s="8" t="str">
        <f>IF($AK536="","",SUMIFS(OPERATING_COEFFS!$C:$C,OPERATING_COEFFS!$A:$A,"UrgencyClass",OPERATING_COEFFS!$B:$B,$AK536))</f>
        <v/>
      </c>
      <c r="AM536" s="8"/>
      <c r="AN536" s="8" t="str">
        <f t="array" ref="AN536">IF($AM536="","",INDEX(TAX_MODES!$B:$B,MATCH($AM536,TAX_MODES!$A:$A,0)))</f>
        <v/>
      </c>
    </row>
    <row r="537" ht="14.25" customHeight="1">
      <c r="C537" s="8"/>
      <c r="E537" s="8"/>
      <c r="G537" s="8"/>
      <c r="I537" s="8"/>
      <c r="K537" s="8"/>
      <c r="M537" s="8"/>
      <c r="O537" s="8"/>
      <c r="Q537" s="8"/>
      <c r="S537" s="8"/>
      <c r="V537" s="8"/>
      <c r="X537" s="31"/>
      <c r="Y537" s="31" t="str">
        <f>IF($X537="","",SUMIFS(TARIFF_PROFILES!$D:$D,TARIFF_PROFILES!$A:$A,$X537))</f>
        <v/>
      </c>
      <c r="Z537" s="31" t="str">
        <f>IF($X537="","",SUMIFS(TARIFF_PROFILES!$E:$E,TARIFF_PROFILES!$A:$A,$X537))</f>
        <v/>
      </c>
      <c r="AA537" s="31" t="str">
        <f>IF($X537="","",SUMIFS(TARIFF_PROFILES!$F:$F,TARIFF_PROFILES!$A:$A,$X537))</f>
        <v/>
      </c>
      <c r="AB537" s="31" t="str">
        <f>IF($X537="","",SUMIFS(TARIFF_PROFILES!$G:$G,TARIFF_PROFILES!$A:$A,$X537))</f>
        <v/>
      </c>
      <c r="AC537" s="31" t="str">
        <f>IF($X537="","",SUMIFS(TARIFF_PROFILES!$H:$H,TARIFF_PROFILES!$A:$A,$X537))</f>
        <v/>
      </c>
      <c r="AD537" s="31" t="str">
        <f t="array" ref="AD537">IF($X537="","",INDEX(TARIFF_PROFILES!$J:$J,MATCH($X537,TARIFF_PROFILES!$A:$A,0)))</f>
        <v/>
      </c>
      <c r="AE537" s="31" t="str">
        <f t="array" ref="AE537">IF($X537="","",INDEX(TARIFF_PROFILES!$K:$K,MATCH($X537,TARIFF_PROFILES!$A:$A,0)))</f>
        <v/>
      </c>
      <c r="AG537" s="8"/>
      <c r="AH537" s="8" t="str">
        <f>IF($AG537="","",SUMIFS(OPERATING_COEFFS!$C:$C,OPERATING_COEFFS!$A:$A,"DistanceClass",OPERATING_COEFFS!$B:$B,$AG537))</f>
        <v/>
      </c>
      <c r="AI537" s="8"/>
      <c r="AJ537" s="8" t="str">
        <f>IF($AI537="","",SUMIFS(OPERATING_COEFFS!$C:$C,OPERATING_COEFFS!$A:$A,"SeasonClass",OPERATING_COEFFS!$B:$B,$AI537))</f>
        <v/>
      </c>
      <c r="AK537" s="8"/>
      <c r="AL537" s="8" t="str">
        <f>IF($AK537="","",SUMIFS(OPERATING_COEFFS!$C:$C,OPERATING_COEFFS!$A:$A,"UrgencyClass",OPERATING_COEFFS!$B:$B,$AK537))</f>
        <v/>
      </c>
      <c r="AM537" s="8"/>
      <c r="AN537" s="8" t="str">
        <f t="array" ref="AN537">IF($AM537="","",INDEX(TAX_MODES!$B:$B,MATCH($AM537,TAX_MODES!$A:$A,0)))</f>
        <v/>
      </c>
    </row>
    <row r="538" ht="14.25" customHeight="1">
      <c r="C538" s="8"/>
      <c r="E538" s="8"/>
      <c r="G538" s="8"/>
      <c r="I538" s="8"/>
      <c r="K538" s="8"/>
      <c r="M538" s="8"/>
      <c r="O538" s="8"/>
      <c r="Q538" s="8"/>
      <c r="S538" s="8"/>
      <c r="V538" s="8"/>
      <c r="X538" s="31"/>
      <c r="Y538" s="31" t="str">
        <f>IF($X538="","",SUMIFS(TARIFF_PROFILES!$D:$D,TARIFF_PROFILES!$A:$A,$X538))</f>
        <v/>
      </c>
      <c r="Z538" s="31" t="str">
        <f>IF($X538="","",SUMIFS(TARIFF_PROFILES!$E:$E,TARIFF_PROFILES!$A:$A,$X538))</f>
        <v/>
      </c>
      <c r="AA538" s="31" t="str">
        <f>IF($X538="","",SUMIFS(TARIFF_PROFILES!$F:$F,TARIFF_PROFILES!$A:$A,$X538))</f>
        <v/>
      </c>
      <c r="AB538" s="31" t="str">
        <f>IF($X538="","",SUMIFS(TARIFF_PROFILES!$G:$G,TARIFF_PROFILES!$A:$A,$X538))</f>
        <v/>
      </c>
      <c r="AC538" s="31" t="str">
        <f>IF($X538="","",SUMIFS(TARIFF_PROFILES!$H:$H,TARIFF_PROFILES!$A:$A,$X538))</f>
        <v/>
      </c>
      <c r="AD538" s="31" t="str">
        <f t="array" ref="AD538">IF($X538="","",INDEX(TARIFF_PROFILES!$J:$J,MATCH($X538,TARIFF_PROFILES!$A:$A,0)))</f>
        <v/>
      </c>
      <c r="AE538" s="31" t="str">
        <f t="array" ref="AE538">IF($X538="","",INDEX(TARIFF_PROFILES!$K:$K,MATCH($X538,TARIFF_PROFILES!$A:$A,0)))</f>
        <v/>
      </c>
      <c r="AG538" s="8"/>
      <c r="AH538" s="8" t="str">
        <f>IF($AG538="","",SUMIFS(OPERATING_COEFFS!$C:$C,OPERATING_COEFFS!$A:$A,"DistanceClass",OPERATING_COEFFS!$B:$B,$AG538))</f>
        <v/>
      </c>
      <c r="AI538" s="8"/>
      <c r="AJ538" s="8" t="str">
        <f>IF($AI538="","",SUMIFS(OPERATING_COEFFS!$C:$C,OPERATING_COEFFS!$A:$A,"SeasonClass",OPERATING_COEFFS!$B:$B,$AI538))</f>
        <v/>
      </c>
      <c r="AK538" s="8"/>
      <c r="AL538" s="8" t="str">
        <f>IF($AK538="","",SUMIFS(OPERATING_COEFFS!$C:$C,OPERATING_COEFFS!$A:$A,"UrgencyClass",OPERATING_COEFFS!$B:$B,$AK538))</f>
        <v/>
      </c>
      <c r="AM538" s="8"/>
      <c r="AN538" s="8" t="str">
        <f t="array" ref="AN538">IF($AM538="","",INDEX(TAX_MODES!$B:$B,MATCH($AM538,TAX_MODES!$A:$A,0)))</f>
        <v/>
      </c>
    </row>
    <row r="539" ht="14.25" customHeight="1">
      <c r="C539" s="8"/>
      <c r="E539" s="8"/>
      <c r="G539" s="8"/>
      <c r="I539" s="8"/>
      <c r="K539" s="8"/>
      <c r="M539" s="8"/>
      <c r="O539" s="8"/>
      <c r="Q539" s="8"/>
      <c r="S539" s="8"/>
      <c r="V539" s="8"/>
      <c r="X539" s="31"/>
      <c r="Y539" s="31" t="str">
        <f>IF($X539="","",SUMIFS(TARIFF_PROFILES!$D:$D,TARIFF_PROFILES!$A:$A,$X539))</f>
        <v/>
      </c>
      <c r="Z539" s="31" t="str">
        <f>IF($X539="","",SUMIFS(TARIFF_PROFILES!$E:$E,TARIFF_PROFILES!$A:$A,$X539))</f>
        <v/>
      </c>
      <c r="AA539" s="31" t="str">
        <f>IF($X539="","",SUMIFS(TARIFF_PROFILES!$F:$F,TARIFF_PROFILES!$A:$A,$X539))</f>
        <v/>
      </c>
      <c r="AB539" s="31" t="str">
        <f>IF($X539="","",SUMIFS(TARIFF_PROFILES!$G:$G,TARIFF_PROFILES!$A:$A,$X539))</f>
        <v/>
      </c>
      <c r="AC539" s="31" t="str">
        <f>IF($X539="","",SUMIFS(TARIFF_PROFILES!$H:$H,TARIFF_PROFILES!$A:$A,$X539))</f>
        <v/>
      </c>
      <c r="AD539" s="31" t="str">
        <f t="array" ref="AD539">IF($X539="","",INDEX(TARIFF_PROFILES!$J:$J,MATCH($X539,TARIFF_PROFILES!$A:$A,0)))</f>
        <v/>
      </c>
      <c r="AE539" s="31" t="str">
        <f t="array" ref="AE539">IF($X539="","",INDEX(TARIFF_PROFILES!$K:$K,MATCH($X539,TARIFF_PROFILES!$A:$A,0)))</f>
        <v/>
      </c>
      <c r="AG539" s="8"/>
      <c r="AH539" s="8" t="str">
        <f>IF($AG539="","",SUMIFS(OPERATING_COEFFS!$C:$C,OPERATING_COEFFS!$A:$A,"DistanceClass",OPERATING_COEFFS!$B:$B,$AG539))</f>
        <v/>
      </c>
      <c r="AI539" s="8"/>
      <c r="AJ539" s="8" t="str">
        <f>IF($AI539="","",SUMIFS(OPERATING_COEFFS!$C:$C,OPERATING_COEFFS!$A:$A,"SeasonClass",OPERATING_COEFFS!$B:$B,$AI539))</f>
        <v/>
      </c>
      <c r="AK539" s="8"/>
      <c r="AL539" s="8" t="str">
        <f>IF($AK539="","",SUMIFS(OPERATING_COEFFS!$C:$C,OPERATING_COEFFS!$A:$A,"UrgencyClass",OPERATING_COEFFS!$B:$B,$AK539))</f>
        <v/>
      </c>
      <c r="AM539" s="8"/>
      <c r="AN539" s="8" t="str">
        <f t="array" ref="AN539">IF($AM539="","",INDEX(TAX_MODES!$B:$B,MATCH($AM539,TAX_MODES!$A:$A,0)))</f>
        <v/>
      </c>
    </row>
    <row r="540" ht="14.25" customHeight="1">
      <c r="C540" s="8"/>
      <c r="E540" s="8"/>
      <c r="G540" s="8"/>
      <c r="I540" s="8"/>
      <c r="K540" s="8"/>
      <c r="M540" s="8"/>
      <c r="O540" s="8"/>
      <c r="Q540" s="8"/>
      <c r="S540" s="8"/>
      <c r="V540" s="8"/>
      <c r="X540" s="31"/>
      <c r="Y540" s="31" t="str">
        <f>IF($X540="","",SUMIFS(TARIFF_PROFILES!$D:$D,TARIFF_PROFILES!$A:$A,$X540))</f>
        <v/>
      </c>
      <c r="Z540" s="31" t="str">
        <f>IF($X540="","",SUMIFS(TARIFF_PROFILES!$E:$E,TARIFF_PROFILES!$A:$A,$X540))</f>
        <v/>
      </c>
      <c r="AA540" s="31" t="str">
        <f>IF($X540="","",SUMIFS(TARIFF_PROFILES!$F:$F,TARIFF_PROFILES!$A:$A,$X540))</f>
        <v/>
      </c>
      <c r="AB540" s="31" t="str">
        <f>IF($X540="","",SUMIFS(TARIFF_PROFILES!$G:$G,TARIFF_PROFILES!$A:$A,$X540))</f>
        <v/>
      </c>
      <c r="AC540" s="31" t="str">
        <f>IF($X540="","",SUMIFS(TARIFF_PROFILES!$H:$H,TARIFF_PROFILES!$A:$A,$X540))</f>
        <v/>
      </c>
      <c r="AD540" s="31" t="str">
        <f t="array" ref="AD540">IF($X540="","",INDEX(TARIFF_PROFILES!$J:$J,MATCH($X540,TARIFF_PROFILES!$A:$A,0)))</f>
        <v/>
      </c>
      <c r="AE540" s="31" t="str">
        <f t="array" ref="AE540">IF($X540="","",INDEX(TARIFF_PROFILES!$K:$K,MATCH($X540,TARIFF_PROFILES!$A:$A,0)))</f>
        <v/>
      </c>
      <c r="AG540" s="8"/>
      <c r="AH540" s="8" t="str">
        <f>IF($AG540="","",SUMIFS(OPERATING_COEFFS!$C:$C,OPERATING_COEFFS!$A:$A,"DistanceClass",OPERATING_COEFFS!$B:$B,$AG540))</f>
        <v/>
      </c>
      <c r="AI540" s="8"/>
      <c r="AJ540" s="8" t="str">
        <f>IF($AI540="","",SUMIFS(OPERATING_COEFFS!$C:$C,OPERATING_COEFFS!$A:$A,"SeasonClass",OPERATING_COEFFS!$B:$B,$AI540))</f>
        <v/>
      </c>
      <c r="AK540" s="8"/>
      <c r="AL540" s="8" t="str">
        <f>IF($AK540="","",SUMIFS(OPERATING_COEFFS!$C:$C,OPERATING_COEFFS!$A:$A,"UrgencyClass",OPERATING_COEFFS!$B:$B,$AK540))</f>
        <v/>
      </c>
      <c r="AM540" s="8"/>
      <c r="AN540" s="8" t="str">
        <f t="array" ref="AN540">IF($AM540="","",INDEX(TAX_MODES!$B:$B,MATCH($AM540,TAX_MODES!$A:$A,0)))</f>
        <v/>
      </c>
    </row>
    <row r="541" ht="14.25" customHeight="1">
      <c r="C541" s="8"/>
      <c r="E541" s="8"/>
      <c r="G541" s="8"/>
      <c r="I541" s="8"/>
      <c r="K541" s="8"/>
      <c r="M541" s="8"/>
      <c r="O541" s="8"/>
      <c r="Q541" s="8"/>
      <c r="S541" s="8"/>
      <c r="V541" s="8"/>
      <c r="X541" s="31"/>
      <c r="Y541" s="31" t="str">
        <f>IF($X541="","",SUMIFS(TARIFF_PROFILES!$D:$D,TARIFF_PROFILES!$A:$A,$X541))</f>
        <v/>
      </c>
      <c r="Z541" s="31" t="str">
        <f>IF($X541="","",SUMIFS(TARIFF_PROFILES!$E:$E,TARIFF_PROFILES!$A:$A,$X541))</f>
        <v/>
      </c>
      <c r="AA541" s="31" t="str">
        <f>IF($X541="","",SUMIFS(TARIFF_PROFILES!$F:$F,TARIFF_PROFILES!$A:$A,$X541))</f>
        <v/>
      </c>
      <c r="AB541" s="31" t="str">
        <f>IF($X541="","",SUMIFS(TARIFF_PROFILES!$G:$G,TARIFF_PROFILES!$A:$A,$X541))</f>
        <v/>
      </c>
      <c r="AC541" s="31" t="str">
        <f>IF($X541="","",SUMIFS(TARIFF_PROFILES!$H:$H,TARIFF_PROFILES!$A:$A,$X541))</f>
        <v/>
      </c>
      <c r="AD541" s="31" t="str">
        <f t="array" ref="AD541">IF($X541="","",INDEX(TARIFF_PROFILES!$J:$J,MATCH($X541,TARIFF_PROFILES!$A:$A,0)))</f>
        <v/>
      </c>
      <c r="AE541" s="31" t="str">
        <f t="array" ref="AE541">IF($X541="","",INDEX(TARIFF_PROFILES!$K:$K,MATCH($X541,TARIFF_PROFILES!$A:$A,0)))</f>
        <v/>
      </c>
      <c r="AG541" s="8"/>
      <c r="AH541" s="8" t="str">
        <f>IF($AG541="","",SUMIFS(OPERATING_COEFFS!$C:$C,OPERATING_COEFFS!$A:$A,"DistanceClass",OPERATING_COEFFS!$B:$B,$AG541))</f>
        <v/>
      </c>
      <c r="AI541" s="8"/>
      <c r="AJ541" s="8" t="str">
        <f>IF($AI541="","",SUMIFS(OPERATING_COEFFS!$C:$C,OPERATING_COEFFS!$A:$A,"SeasonClass",OPERATING_COEFFS!$B:$B,$AI541))</f>
        <v/>
      </c>
      <c r="AK541" s="8"/>
      <c r="AL541" s="8" t="str">
        <f>IF($AK541="","",SUMIFS(OPERATING_COEFFS!$C:$C,OPERATING_COEFFS!$A:$A,"UrgencyClass",OPERATING_COEFFS!$B:$B,$AK541))</f>
        <v/>
      </c>
      <c r="AM541" s="8"/>
      <c r="AN541" s="8" t="str">
        <f t="array" ref="AN541">IF($AM541="","",INDEX(TAX_MODES!$B:$B,MATCH($AM541,TAX_MODES!$A:$A,0)))</f>
        <v/>
      </c>
    </row>
    <row r="542" ht="14.25" customHeight="1">
      <c r="C542" s="8"/>
      <c r="E542" s="8"/>
      <c r="G542" s="8"/>
      <c r="I542" s="8"/>
      <c r="K542" s="8"/>
      <c r="M542" s="8"/>
      <c r="O542" s="8"/>
      <c r="Q542" s="8"/>
      <c r="S542" s="8"/>
      <c r="V542" s="8"/>
      <c r="X542" s="31"/>
      <c r="Y542" s="31" t="str">
        <f>IF($X542="","",SUMIFS(TARIFF_PROFILES!$D:$D,TARIFF_PROFILES!$A:$A,$X542))</f>
        <v/>
      </c>
      <c r="Z542" s="31" t="str">
        <f>IF($X542="","",SUMIFS(TARIFF_PROFILES!$E:$E,TARIFF_PROFILES!$A:$A,$X542))</f>
        <v/>
      </c>
      <c r="AA542" s="31" t="str">
        <f>IF($X542="","",SUMIFS(TARIFF_PROFILES!$F:$F,TARIFF_PROFILES!$A:$A,$X542))</f>
        <v/>
      </c>
      <c r="AB542" s="31" t="str">
        <f>IF($X542="","",SUMIFS(TARIFF_PROFILES!$G:$G,TARIFF_PROFILES!$A:$A,$X542))</f>
        <v/>
      </c>
      <c r="AC542" s="31" t="str">
        <f>IF($X542="","",SUMIFS(TARIFF_PROFILES!$H:$H,TARIFF_PROFILES!$A:$A,$X542))</f>
        <v/>
      </c>
      <c r="AD542" s="31" t="str">
        <f t="array" ref="AD542">IF($X542="","",INDEX(TARIFF_PROFILES!$J:$J,MATCH($X542,TARIFF_PROFILES!$A:$A,0)))</f>
        <v/>
      </c>
      <c r="AE542" s="31" t="str">
        <f t="array" ref="AE542">IF($X542="","",INDEX(TARIFF_PROFILES!$K:$K,MATCH($X542,TARIFF_PROFILES!$A:$A,0)))</f>
        <v/>
      </c>
      <c r="AG542" s="8"/>
      <c r="AH542" s="8" t="str">
        <f>IF($AG542="","",SUMIFS(OPERATING_COEFFS!$C:$C,OPERATING_COEFFS!$A:$A,"DistanceClass",OPERATING_COEFFS!$B:$B,$AG542))</f>
        <v/>
      </c>
      <c r="AI542" s="8"/>
      <c r="AJ542" s="8" t="str">
        <f>IF($AI542="","",SUMIFS(OPERATING_COEFFS!$C:$C,OPERATING_COEFFS!$A:$A,"SeasonClass",OPERATING_COEFFS!$B:$B,$AI542))</f>
        <v/>
      </c>
      <c r="AK542" s="8"/>
      <c r="AL542" s="8" t="str">
        <f>IF($AK542="","",SUMIFS(OPERATING_COEFFS!$C:$C,OPERATING_COEFFS!$A:$A,"UrgencyClass",OPERATING_COEFFS!$B:$B,$AK542))</f>
        <v/>
      </c>
      <c r="AM542" s="8"/>
      <c r="AN542" s="8" t="str">
        <f t="array" ref="AN542">IF($AM542="","",INDEX(TAX_MODES!$B:$B,MATCH($AM542,TAX_MODES!$A:$A,0)))</f>
        <v/>
      </c>
    </row>
    <row r="543" ht="14.25" customHeight="1">
      <c r="C543" s="8"/>
      <c r="E543" s="8"/>
      <c r="G543" s="8"/>
      <c r="I543" s="8"/>
      <c r="K543" s="8"/>
      <c r="M543" s="8"/>
      <c r="O543" s="8"/>
      <c r="Q543" s="8"/>
      <c r="S543" s="8"/>
      <c r="V543" s="8"/>
      <c r="X543" s="31"/>
      <c r="Y543" s="31" t="str">
        <f>IF($X543="","",SUMIFS(TARIFF_PROFILES!$D:$D,TARIFF_PROFILES!$A:$A,$X543))</f>
        <v/>
      </c>
      <c r="Z543" s="31" t="str">
        <f>IF($X543="","",SUMIFS(TARIFF_PROFILES!$E:$E,TARIFF_PROFILES!$A:$A,$X543))</f>
        <v/>
      </c>
      <c r="AA543" s="31" t="str">
        <f>IF($X543="","",SUMIFS(TARIFF_PROFILES!$F:$F,TARIFF_PROFILES!$A:$A,$X543))</f>
        <v/>
      </c>
      <c r="AB543" s="31" t="str">
        <f>IF($X543="","",SUMIFS(TARIFF_PROFILES!$G:$G,TARIFF_PROFILES!$A:$A,$X543))</f>
        <v/>
      </c>
      <c r="AC543" s="31" t="str">
        <f>IF($X543="","",SUMIFS(TARIFF_PROFILES!$H:$H,TARIFF_PROFILES!$A:$A,$X543))</f>
        <v/>
      </c>
      <c r="AD543" s="31" t="str">
        <f t="array" ref="AD543">IF($X543="","",INDEX(TARIFF_PROFILES!$J:$J,MATCH($X543,TARIFF_PROFILES!$A:$A,0)))</f>
        <v/>
      </c>
      <c r="AE543" s="31" t="str">
        <f t="array" ref="AE543">IF($X543="","",INDEX(TARIFF_PROFILES!$K:$K,MATCH($X543,TARIFF_PROFILES!$A:$A,0)))</f>
        <v/>
      </c>
      <c r="AG543" s="8"/>
      <c r="AH543" s="8" t="str">
        <f>IF($AG543="","",SUMIFS(OPERATING_COEFFS!$C:$C,OPERATING_COEFFS!$A:$A,"DistanceClass",OPERATING_COEFFS!$B:$B,$AG543))</f>
        <v/>
      </c>
      <c r="AI543" s="8"/>
      <c r="AJ543" s="8" t="str">
        <f>IF($AI543="","",SUMIFS(OPERATING_COEFFS!$C:$C,OPERATING_COEFFS!$A:$A,"SeasonClass",OPERATING_COEFFS!$B:$B,$AI543))</f>
        <v/>
      </c>
      <c r="AK543" s="8"/>
      <c r="AL543" s="8" t="str">
        <f>IF($AK543="","",SUMIFS(OPERATING_COEFFS!$C:$C,OPERATING_COEFFS!$A:$A,"UrgencyClass",OPERATING_COEFFS!$B:$B,$AK543))</f>
        <v/>
      </c>
      <c r="AM543" s="8"/>
      <c r="AN543" s="8" t="str">
        <f t="array" ref="AN543">IF($AM543="","",INDEX(TAX_MODES!$B:$B,MATCH($AM543,TAX_MODES!$A:$A,0)))</f>
        <v/>
      </c>
    </row>
    <row r="544" ht="14.25" customHeight="1">
      <c r="C544" s="8"/>
      <c r="E544" s="8"/>
      <c r="G544" s="8"/>
      <c r="I544" s="8"/>
      <c r="K544" s="8"/>
      <c r="M544" s="8"/>
      <c r="O544" s="8"/>
      <c r="Q544" s="8"/>
      <c r="S544" s="8"/>
      <c r="V544" s="8"/>
      <c r="X544" s="31"/>
      <c r="Y544" s="31" t="str">
        <f>IF($X544="","",SUMIFS(TARIFF_PROFILES!$D:$D,TARIFF_PROFILES!$A:$A,$X544))</f>
        <v/>
      </c>
      <c r="Z544" s="31" t="str">
        <f>IF($X544="","",SUMIFS(TARIFF_PROFILES!$E:$E,TARIFF_PROFILES!$A:$A,$X544))</f>
        <v/>
      </c>
      <c r="AA544" s="31" t="str">
        <f>IF($X544="","",SUMIFS(TARIFF_PROFILES!$F:$F,TARIFF_PROFILES!$A:$A,$X544))</f>
        <v/>
      </c>
      <c r="AB544" s="31" t="str">
        <f>IF($X544="","",SUMIFS(TARIFF_PROFILES!$G:$G,TARIFF_PROFILES!$A:$A,$X544))</f>
        <v/>
      </c>
      <c r="AC544" s="31" t="str">
        <f>IF($X544="","",SUMIFS(TARIFF_PROFILES!$H:$H,TARIFF_PROFILES!$A:$A,$X544))</f>
        <v/>
      </c>
      <c r="AD544" s="31" t="str">
        <f t="array" ref="AD544">IF($X544="","",INDEX(TARIFF_PROFILES!$J:$J,MATCH($X544,TARIFF_PROFILES!$A:$A,0)))</f>
        <v/>
      </c>
      <c r="AE544" s="31" t="str">
        <f t="array" ref="AE544">IF($X544="","",INDEX(TARIFF_PROFILES!$K:$K,MATCH($X544,TARIFF_PROFILES!$A:$A,0)))</f>
        <v/>
      </c>
      <c r="AG544" s="8"/>
      <c r="AH544" s="8" t="str">
        <f>IF($AG544="","",SUMIFS(OPERATING_COEFFS!$C:$C,OPERATING_COEFFS!$A:$A,"DistanceClass",OPERATING_COEFFS!$B:$B,$AG544))</f>
        <v/>
      </c>
      <c r="AI544" s="8"/>
      <c r="AJ544" s="8" t="str">
        <f>IF($AI544="","",SUMIFS(OPERATING_COEFFS!$C:$C,OPERATING_COEFFS!$A:$A,"SeasonClass",OPERATING_COEFFS!$B:$B,$AI544))</f>
        <v/>
      </c>
      <c r="AK544" s="8"/>
      <c r="AL544" s="8" t="str">
        <f>IF($AK544="","",SUMIFS(OPERATING_COEFFS!$C:$C,OPERATING_COEFFS!$A:$A,"UrgencyClass",OPERATING_COEFFS!$B:$B,$AK544))</f>
        <v/>
      </c>
      <c r="AM544" s="8"/>
      <c r="AN544" s="8" t="str">
        <f t="array" ref="AN544">IF($AM544="","",INDEX(TAX_MODES!$B:$B,MATCH($AM544,TAX_MODES!$A:$A,0)))</f>
        <v/>
      </c>
    </row>
    <row r="545" ht="14.25" customHeight="1">
      <c r="C545" s="8"/>
      <c r="E545" s="8"/>
      <c r="G545" s="8"/>
      <c r="I545" s="8"/>
      <c r="K545" s="8"/>
      <c r="M545" s="8"/>
      <c r="O545" s="8"/>
      <c r="Q545" s="8"/>
      <c r="S545" s="8"/>
      <c r="V545" s="8"/>
      <c r="X545" s="31"/>
      <c r="Y545" s="31" t="str">
        <f>IF($X545="","",SUMIFS(TARIFF_PROFILES!$D:$D,TARIFF_PROFILES!$A:$A,$X545))</f>
        <v/>
      </c>
      <c r="Z545" s="31" t="str">
        <f>IF($X545="","",SUMIFS(TARIFF_PROFILES!$E:$E,TARIFF_PROFILES!$A:$A,$X545))</f>
        <v/>
      </c>
      <c r="AA545" s="31" t="str">
        <f>IF($X545="","",SUMIFS(TARIFF_PROFILES!$F:$F,TARIFF_PROFILES!$A:$A,$X545))</f>
        <v/>
      </c>
      <c r="AB545" s="31" t="str">
        <f>IF($X545="","",SUMIFS(TARIFF_PROFILES!$G:$G,TARIFF_PROFILES!$A:$A,$X545))</f>
        <v/>
      </c>
      <c r="AC545" s="31" t="str">
        <f>IF($X545="","",SUMIFS(TARIFF_PROFILES!$H:$H,TARIFF_PROFILES!$A:$A,$X545))</f>
        <v/>
      </c>
      <c r="AD545" s="31" t="str">
        <f t="array" ref="AD545">IF($X545="","",INDEX(TARIFF_PROFILES!$J:$J,MATCH($X545,TARIFF_PROFILES!$A:$A,0)))</f>
        <v/>
      </c>
      <c r="AE545" s="31" t="str">
        <f t="array" ref="AE545">IF($X545="","",INDEX(TARIFF_PROFILES!$K:$K,MATCH($X545,TARIFF_PROFILES!$A:$A,0)))</f>
        <v/>
      </c>
      <c r="AG545" s="8"/>
      <c r="AH545" s="8" t="str">
        <f>IF($AG545="","",SUMIFS(OPERATING_COEFFS!$C:$C,OPERATING_COEFFS!$A:$A,"DistanceClass",OPERATING_COEFFS!$B:$B,$AG545))</f>
        <v/>
      </c>
      <c r="AI545" s="8"/>
      <c r="AJ545" s="8" t="str">
        <f>IF($AI545="","",SUMIFS(OPERATING_COEFFS!$C:$C,OPERATING_COEFFS!$A:$A,"SeasonClass",OPERATING_COEFFS!$B:$B,$AI545))</f>
        <v/>
      </c>
      <c r="AK545" s="8"/>
      <c r="AL545" s="8" t="str">
        <f>IF($AK545="","",SUMIFS(OPERATING_COEFFS!$C:$C,OPERATING_COEFFS!$A:$A,"UrgencyClass",OPERATING_COEFFS!$B:$B,$AK545))</f>
        <v/>
      </c>
      <c r="AM545" s="8"/>
      <c r="AN545" s="8" t="str">
        <f t="array" ref="AN545">IF($AM545="","",INDEX(TAX_MODES!$B:$B,MATCH($AM545,TAX_MODES!$A:$A,0)))</f>
        <v/>
      </c>
    </row>
    <row r="546" ht="14.25" customHeight="1">
      <c r="C546" s="8"/>
      <c r="E546" s="8"/>
      <c r="G546" s="8"/>
      <c r="I546" s="8"/>
      <c r="K546" s="8"/>
      <c r="M546" s="8"/>
      <c r="O546" s="8"/>
      <c r="Q546" s="8"/>
      <c r="S546" s="8"/>
      <c r="V546" s="8"/>
      <c r="X546" s="31"/>
      <c r="Y546" s="31" t="str">
        <f>IF($X546="","",SUMIFS(TARIFF_PROFILES!$D:$D,TARIFF_PROFILES!$A:$A,$X546))</f>
        <v/>
      </c>
      <c r="Z546" s="31" t="str">
        <f>IF($X546="","",SUMIFS(TARIFF_PROFILES!$E:$E,TARIFF_PROFILES!$A:$A,$X546))</f>
        <v/>
      </c>
      <c r="AA546" s="31" t="str">
        <f>IF($X546="","",SUMIFS(TARIFF_PROFILES!$F:$F,TARIFF_PROFILES!$A:$A,$X546))</f>
        <v/>
      </c>
      <c r="AB546" s="31" t="str">
        <f>IF($X546="","",SUMIFS(TARIFF_PROFILES!$G:$G,TARIFF_PROFILES!$A:$A,$X546))</f>
        <v/>
      </c>
      <c r="AC546" s="31" t="str">
        <f>IF($X546="","",SUMIFS(TARIFF_PROFILES!$H:$H,TARIFF_PROFILES!$A:$A,$X546))</f>
        <v/>
      </c>
      <c r="AD546" s="31" t="str">
        <f t="array" ref="AD546">IF($X546="","",INDEX(TARIFF_PROFILES!$J:$J,MATCH($X546,TARIFF_PROFILES!$A:$A,0)))</f>
        <v/>
      </c>
      <c r="AE546" s="31" t="str">
        <f t="array" ref="AE546">IF($X546="","",INDEX(TARIFF_PROFILES!$K:$K,MATCH($X546,TARIFF_PROFILES!$A:$A,0)))</f>
        <v/>
      </c>
      <c r="AG546" s="8"/>
      <c r="AH546" s="8" t="str">
        <f>IF($AG546="","",SUMIFS(OPERATING_COEFFS!$C:$C,OPERATING_COEFFS!$A:$A,"DistanceClass",OPERATING_COEFFS!$B:$B,$AG546))</f>
        <v/>
      </c>
      <c r="AI546" s="8"/>
      <c r="AJ546" s="8" t="str">
        <f>IF($AI546="","",SUMIFS(OPERATING_COEFFS!$C:$C,OPERATING_COEFFS!$A:$A,"SeasonClass",OPERATING_COEFFS!$B:$B,$AI546))</f>
        <v/>
      </c>
      <c r="AK546" s="8"/>
      <c r="AL546" s="8" t="str">
        <f>IF($AK546="","",SUMIFS(OPERATING_COEFFS!$C:$C,OPERATING_COEFFS!$A:$A,"UrgencyClass",OPERATING_COEFFS!$B:$B,$AK546))</f>
        <v/>
      </c>
      <c r="AM546" s="8"/>
      <c r="AN546" s="8" t="str">
        <f t="array" ref="AN546">IF($AM546="","",INDEX(TAX_MODES!$B:$B,MATCH($AM546,TAX_MODES!$A:$A,0)))</f>
        <v/>
      </c>
    </row>
    <row r="547" ht="14.25" customHeight="1">
      <c r="C547" s="8"/>
      <c r="E547" s="8"/>
      <c r="G547" s="8"/>
      <c r="I547" s="8"/>
      <c r="K547" s="8"/>
      <c r="M547" s="8"/>
      <c r="O547" s="8"/>
      <c r="Q547" s="8"/>
      <c r="S547" s="8"/>
      <c r="V547" s="8"/>
      <c r="X547" s="31"/>
      <c r="Y547" s="31" t="str">
        <f>IF($X547="","",SUMIFS(TARIFF_PROFILES!$D:$D,TARIFF_PROFILES!$A:$A,$X547))</f>
        <v/>
      </c>
      <c r="Z547" s="31" t="str">
        <f>IF($X547="","",SUMIFS(TARIFF_PROFILES!$E:$E,TARIFF_PROFILES!$A:$A,$X547))</f>
        <v/>
      </c>
      <c r="AA547" s="31" t="str">
        <f>IF($X547="","",SUMIFS(TARIFF_PROFILES!$F:$F,TARIFF_PROFILES!$A:$A,$X547))</f>
        <v/>
      </c>
      <c r="AB547" s="31" t="str">
        <f>IF($X547="","",SUMIFS(TARIFF_PROFILES!$G:$G,TARIFF_PROFILES!$A:$A,$X547))</f>
        <v/>
      </c>
      <c r="AC547" s="31" t="str">
        <f>IF($X547="","",SUMIFS(TARIFF_PROFILES!$H:$H,TARIFF_PROFILES!$A:$A,$X547))</f>
        <v/>
      </c>
      <c r="AD547" s="31" t="str">
        <f t="array" ref="AD547">IF($X547="","",INDEX(TARIFF_PROFILES!$J:$J,MATCH($X547,TARIFF_PROFILES!$A:$A,0)))</f>
        <v/>
      </c>
      <c r="AE547" s="31" t="str">
        <f t="array" ref="AE547">IF($X547="","",INDEX(TARIFF_PROFILES!$K:$K,MATCH($X547,TARIFF_PROFILES!$A:$A,0)))</f>
        <v/>
      </c>
      <c r="AG547" s="8"/>
      <c r="AH547" s="8" t="str">
        <f>IF($AG547="","",SUMIFS(OPERATING_COEFFS!$C:$C,OPERATING_COEFFS!$A:$A,"DistanceClass",OPERATING_COEFFS!$B:$B,$AG547))</f>
        <v/>
      </c>
      <c r="AI547" s="8"/>
      <c r="AJ547" s="8" t="str">
        <f>IF($AI547="","",SUMIFS(OPERATING_COEFFS!$C:$C,OPERATING_COEFFS!$A:$A,"SeasonClass",OPERATING_COEFFS!$B:$B,$AI547))</f>
        <v/>
      </c>
      <c r="AK547" s="8"/>
      <c r="AL547" s="8" t="str">
        <f>IF($AK547="","",SUMIFS(OPERATING_COEFFS!$C:$C,OPERATING_COEFFS!$A:$A,"UrgencyClass",OPERATING_COEFFS!$B:$B,$AK547))</f>
        <v/>
      </c>
      <c r="AM547" s="8"/>
      <c r="AN547" s="8" t="str">
        <f t="array" ref="AN547">IF($AM547="","",INDEX(TAX_MODES!$B:$B,MATCH($AM547,TAX_MODES!$A:$A,0)))</f>
        <v/>
      </c>
    </row>
    <row r="548" ht="14.25" customHeight="1">
      <c r="C548" s="8"/>
      <c r="E548" s="8"/>
      <c r="G548" s="8"/>
      <c r="I548" s="8"/>
      <c r="K548" s="8"/>
      <c r="M548" s="8"/>
      <c r="O548" s="8"/>
      <c r="Q548" s="8"/>
      <c r="S548" s="8"/>
      <c r="V548" s="8"/>
      <c r="X548" s="31"/>
      <c r="Y548" s="31" t="str">
        <f>IF($X548="","",SUMIFS(TARIFF_PROFILES!$D:$D,TARIFF_PROFILES!$A:$A,$X548))</f>
        <v/>
      </c>
      <c r="Z548" s="31" t="str">
        <f>IF($X548="","",SUMIFS(TARIFF_PROFILES!$E:$E,TARIFF_PROFILES!$A:$A,$X548))</f>
        <v/>
      </c>
      <c r="AA548" s="31" t="str">
        <f>IF($X548="","",SUMIFS(TARIFF_PROFILES!$F:$F,TARIFF_PROFILES!$A:$A,$X548))</f>
        <v/>
      </c>
      <c r="AB548" s="31" t="str">
        <f>IF($X548="","",SUMIFS(TARIFF_PROFILES!$G:$G,TARIFF_PROFILES!$A:$A,$X548))</f>
        <v/>
      </c>
      <c r="AC548" s="31" t="str">
        <f>IF($X548="","",SUMIFS(TARIFF_PROFILES!$H:$H,TARIFF_PROFILES!$A:$A,$X548))</f>
        <v/>
      </c>
      <c r="AD548" s="31" t="str">
        <f t="array" ref="AD548">IF($X548="","",INDEX(TARIFF_PROFILES!$J:$J,MATCH($X548,TARIFF_PROFILES!$A:$A,0)))</f>
        <v/>
      </c>
      <c r="AE548" s="31" t="str">
        <f t="array" ref="AE548">IF($X548="","",INDEX(TARIFF_PROFILES!$K:$K,MATCH($X548,TARIFF_PROFILES!$A:$A,0)))</f>
        <v/>
      </c>
      <c r="AG548" s="8"/>
      <c r="AH548" s="8" t="str">
        <f>IF($AG548="","",SUMIFS(OPERATING_COEFFS!$C:$C,OPERATING_COEFFS!$A:$A,"DistanceClass",OPERATING_COEFFS!$B:$B,$AG548))</f>
        <v/>
      </c>
      <c r="AI548" s="8"/>
      <c r="AJ548" s="8" t="str">
        <f>IF($AI548="","",SUMIFS(OPERATING_COEFFS!$C:$C,OPERATING_COEFFS!$A:$A,"SeasonClass",OPERATING_COEFFS!$B:$B,$AI548))</f>
        <v/>
      </c>
      <c r="AK548" s="8"/>
      <c r="AL548" s="8" t="str">
        <f>IF($AK548="","",SUMIFS(OPERATING_COEFFS!$C:$C,OPERATING_COEFFS!$A:$A,"UrgencyClass",OPERATING_COEFFS!$B:$B,$AK548))</f>
        <v/>
      </c>
      <c r="AM548" s="8"/>
      <c r="AN548" s="8" t="str">
        <f t="array" ref="AN548">IF($AM548="","",INDEX(TAX_MODES!$B:$B,MATCH($AM548,TAX_MODES!$A:$A,0)))</f>
        <v/>
      </c>
    </row>
    <row r="549" ht="14.25" customHeight="1">
      <c r="C549" s="8"/>
      <c r="E549" s="8"/>
      <c r="G549" s="8"/>
      <c r="I549" s="8"/>
      <c r="K549" s="8"/>
      <c r="M549" s="8"/>
      <c r="O549" s="8"/>
      <c r="Q549" s="8"/>
      <c r="S549" s="8"/>
      <c r="V549" s="8"/>
      <c r="X549" s="31"/>
      <c r="Y549" s="31" t="str">
        <f>IF($X549="","",SUMIFS(TARIFF_PROFILES!$D:$D,TARIFF_PROFILES!$A:$A,$X549))</f>
        <v/>
      </c>
      <c r="Z549" s="31" t="str">
        <f>IF($X549="","",SUMIFS(TARIFF_PROFILES!$E:$E,TARIFF_PROFILES!$A:$A,$X549))</f>
        <v/>
      </c>
      <c r="AA549" s="31" t="str">
        <f>IF($X549="","",SUMIFS(TARIFF_PROFILES!$F:$F,TARIFF_PROFILES!$A:$A,$X549))</f>
        <v/>
      </c>
      <c r="AB549" s="31" t="str">
        <f>IF($X549="","",SUMIFS(TARIFF_PROFILES!$G:$G,TARIFF_PROFILES!$A:$A,$X549))</f>
        <v/>
      </c>
      <c r="AC549" s="31" t="str">
        <f>IF($X549="","",SUMIFS(TARIFF_PROFILES!$H:$H,TARIFF_PROFILES!$A:$A,$X549))</f>
        <v/>
      </c>
      <c r="AD549" s="31" t="str">
        <f t="array" ref="AD549">IF($X549="","",INDEX(TARIFF_PROFILES!$J:$J,MATCH($X549,TARIFF_PROFILES!$A:$A,0)))</f>
        <v/>
      </c>
      <c r="AE549" s="31" t="str">
        <f t="array" ref="AE549">IF($X549="","",INDEX(TARIFF_PROFILES!$K:$K,MATCH($X549,TARIFF_PROFILES!$A:$A,0)))</f>
        <v/>
      </c>
      <c r="AG549" s="8"/>
      <c r="AH549" s="8" t="str">
        <f>IF($AG549="","",SUMIFS(OPERATING_COEFFS!$C:$C,OPERATING_COEFFS!$A:$A,"DistanceClass",OPERATING_COEFFS!$B:$B,$AG549))</f>
        <v/>
      </c>
      <c r="AI549" s="8"/>
      <c r="AJ549" s="8" t="str">
        <f>IF($AI549="","",SUMIFS(OPERATING_COEFFS!$C:$C,OPERATING_COEFFS!$A:$A,"SeasonClass",OPERATING_COEFFS!$B:$B,$AI549))</f>
        <v/>
      </c>
      <c r="AK549" s="8"/>
      <c r="AL549" s="8" t="str">
        <f>IF($AK549="","",SUMIFS(OPERATING_COEFFS!$C:$C,OPERATING_COEFFS!$A:$A,"UrgencyClass",OPERATING_COEFFS!$B:$B,$AK549))</f>
        <v/>
      </c>
      <c r="AM549" s="8"/>
      <c r="AN549" s="8" t="str">
        <f t="array" ref="AN549">IF($AM549="","",INDEX(TAX_MODES!$B:$B,MATCH($AM549,TAX_MODES!$A:$A,0)))</f>
        <v/>
      </c>
    </row>
    <row r="550" ht="14.25" customHeight="1">
      <c r="C550" s="8"/>
      <c r="E550" s="8"/>
      <c r="G550" s="8"/>
      <c r="I550" s="8"/>
      <c r="K550" s="8"/>
      <c r="M550" s="8"/>
      <c r="O550" s="8"/>
      <c r="Q550" s="8"/>
      <c r="S550" s="8"/>
      <c r="V550" s="8"/>
      <c r="X550" s="31"/>
      <c r="Y550" s="31" t="str">
        <f>IF($X550="","",SUMIFS(TARIFF_PROFILES!$D:$D,TARIFF_PROFILES!$A:$A,$X550))</f>
        <v/>
      </c>
      <c r="Z550" s="31" t="str">
        <f>IF($X550="","",SUMIFS(TARIFF_PROFILES!$E:$E,TARIFF_PROFILES!$A:$A,$X550))</f>
        <v/>
      </c>
      <c r="AA550" s="31" t="str">
        <f>IF($X550="","",SUMIFS(TARIFF_PROFILES!$F:$F,TARIFF_PROFILES!$A:$A,$X550))</f>
        <v/>
      </c>
      <c r="AB550" s="31" t="str">
        <f>IF($X550="","",SUMIFS(TARIFF_PROFILES!$G:$G,TARIFF_PROFILES!$A:$A,$X550))</f>
        <v/>
      </c>
      <c r="AC550" s="31" t="str">
        <f>IF($X550="","",SUMIFS(TARIFF_PROFILES!$H:$H,TARIFF_PROFILES!$A:$A,$X550))</f>
        <v/>
      </c>
      <c r="AD550" s="31" t="str">
        <f t="array" ref="AD550">IF($X550="","",INDEX(TARIFF_PROFILES!$J:$J,MATCH($X550,TARIFF_PROFILES!$A:$A,0)))</f>
        <v/>
      </c>
      <c r="AE550" s="31" t="str">
        <f t="array" ref="AE550">IF($X550="","",INDEX(TARIFF_PROFILES!$K:$K,MATCH($X550,TARIFF_PROFILES!$A:$A,0)))</f>
        <v/>
      </c>
      <c r="AG550" s="8"/>
      <c r="AH550" s="8" t="str">
        <f>IF($AG550="","",SUMIFS(OPERATING_COEFFS!$C:$C,OPERATING_COEFFS!$A:$A,"DistanceClass",OPERATING_COEFFS!$B:$B,$AG550))</f>
        <v/>
      </c>
      <c r="AI550" s="8"/>
      <c r="AJ550" s="8" t="str">
        <f>IF($AI550="","",SUMIFS(OPERATING_COEFFS!$C:$C,OPERATING_COEFFS!$A:$A,"SeasonClass",OPERATING_COEFFS!$B:$B,$AI550))</f>
        <v/>
      </c>
      <c r="AK550" s="8"/>
      <c r="AL550" s="8" t="str">
        <f>IF($AK550="","",SUMIFS(OPERATING_COEFFS!$C:$C,OPERATING_COEFFS!$A:$A,"UrgencyClass",OPERATING_COEFFS!$B:$B,$AK550))</f>
        <v/>
      </c>
      <c r="AM550" s="8"/>
      <c r="AN550" s="8" t="str">
        <f t="array" ref="AN550">IF($AM550="","",INDEX(TAX_MODES!$B:$B,MATCH($AM550,TAX_MODES!$A:$A,0)))</f>
        <v/>
      </c>
    </row>
    <row r="551" ht="14.25" customHeight="1">
      <c r="C551" s="8"/>
      <c r="E551" s="8"/>
      <c r="G551" s="8"/>
      <c r="I551" s="8"/>
      <c r="K551" s="8"/>
      <c r="M551" s="8"/>
      <c r="O551" s="8"/>
      <c r="Q551" s="8"/>
      <c r="S551" s="8"/>
      <c r="V551" s="8"/>
      <c r="X551" s="31"/>
      <c r="Y551" s="31" t="str">
        <f>IF($X551="","",SUMIFS(TARIFF_PROFILES!$D:$D,TARIFF_PROFILES!$A:$A,$X551))</f>
        <v/>
      </c>
      <c r="Z551" s="31" t="str">
        <f>IF($X551="","",SUMIFS(TARIFF_PROFILES!$E:$E,TARIFF_PROFILES!$A:$A,$X551))</f>
        <v/>
      </c>
      <c r="AA551" s="31" t="str">
        <f>IF($X551="","",SUMIFS(TARIFF_PROFILES!$F:$F,TARIFF_PROFILES!$A:$A,$X551))</f>
        <v/>
      </c>
      <c r="AB551" s="31" t="str">
        <f>IF($X551="","",SUMIFS(TARIFF_PROFILES!$G:$G,TARIFF_PROFILES!$A:$A,$X551))</f>
        <v/>
      </c>
      <c r="AC551" s="31" t="str">
        <f>IF($X551="","",SUMIFS(TARIFF_PROFILES!$H:$H,TARIFF_PROFILES!$A:$A,$X551))</f>
        <v/>
      </c>
      <c r="AD551" s="31" t="str">
        <f t="array" ref="AD551">IF($X551="","",INDEX(TARIFF_PROFILES!$J:$J,MATCH($X551,TARIFF_PROFILES!$A:$A,0)))</f>
        <v/>
      </c>
      <c r="AE551" s="31" t="str">
        <f t="array" ref="AE551">IF($X551="","",INDEX(TARIFF_PROFILES!$K:$K,MATCH($X551,TARIFF_PROFILES!$A:$A,0)))</f>
        <v/>
      </c>
      <c r="AG551" s="8"/>
      <c r="AH551" s="8" t="str">
        <f>IF($AG551="","",SUMIFS(OPERATING_COEFFS!$C:$C,OPERATING_COEFFS!$A:$A,"DistanceClass",OPERATING_COEFFS!$B:$B,$AG551))</f>
        <v/>
      </c>
      <c r="AI551" s="8"/>
      <c r="AJ551" s="8" t="str">
        <f>IF($AI551="","",SUMIFS(OPERATING_COEFFS!$C:$C,OPERATING_COEFFS!$A:$A,"SeasonClass",OPERATING_COEFFS!$B:$B,$AI551))</f>
        <v/>
      </c>
      <c r="AK551" s="8"/>
      <c r="AL551" s="8" t="str">
        <f>IF($AK551="","",SUMIFS(OPERATING_COEFFS!$C:$C,OPERATING_COEFFS!$A:$A,"UrgencyClass",OPERATING_COEFFS!$B:$B,$AK551))</f>
        <v/>
      </c>
      <c r="AM551" s="8"/>
      <c r="AN551" s="8" t="str">
        <f t="array" ref="AN551">IF($AM551="","",INDEX(TAX_MODES!$B:$B,MATCH($AM551,TAX_MODES!$A:$A,0)))</f>
        <v/>
      </c>
    </row>
    <row r="552" ht="14.25" customHeight="1">
      <c r="C552" s="8"/>
      <c r="E552" s="8"/>
      <c r="G552" s="8"/>
      <c r="I552" s="8"/>
      <c r="K552" s="8"/>
      <c r="M552" s="8"/>
      <c r="O552" s="8"/>
      <c r="Q552" s="8"/>
      <c r="S552" s="8"/>
      <c r="V552" s="8"/>
      <c r="X552" s="31"/>
      <c r="Y552" s="31" t="str">
        <f>IF($X552="","",SUMIFS(TARIFF_PROFILES!$D:$D,TARIFF_PROFILES!$A:$A,$X552))</f>
        <v/>
      </c>
      <c r="Z552" s="31" t="str">
        <f>IF($X552="","",SUMIFS(TARIFF_PROFILES!$E:$E,TARIFF_PROFILES!$A:$A,$X552))</f>
        <v/>
      </c>
      <c r="AA552" s="31" t="str">
        <f>IF($X552="","",SUMIFS(TARIFF_PROFILES!$F:$F,TARIFF_PROFILES!$A:$A,$X552))</f>
        <v/>
      </c>
      <c r="AB552" s="31" t="str">
        <f>IF($X552="","",SUMIFS(TARIFF_PROFILES!$G:$G,TARIFF_PROFILES!$A:$A,$X552))</f>
        <v/>
      </c>
      <c r="AC552" s="31" t="str">
        <f>IF($X552="","",SUMIFS(TARIFF_PROFILES!$H:$H,TARIFF_PROFILES!$A:$A,$X552))</f>
        <v/>
      </c>
      <c r="AD552" s="31" t="str">
        <f t="array" ref="AD552">IF($X552="","",INDEX(TARIFF_PROFILES!$J:$J,MATCH($X552,TARIFF_PROFILES!$A:$A,0)))</f>
        <v/>
      </c>
      <c r="AE552" s="31" t="str">
        <f t="array" ref="AE552">IF($X552="","",INDEX(TARIFF_PROFILES!$K:$K,MATCH($X552,TARIFF_PROFILES!$A:$A,0)))</f>
        <v/>
      </c>
      <c r="AG552" s="8"/>
      <c r="AH552" s="8" t="str">
        <f>IF($AG552="","",SUMIFS(OPERATING_COEFFS!$C:$C,OPERATING_COEFFS!$A:$A,"DistanceClass",OPERATING_COEFFS!$B:$B,$AG552))</f>
        <v/>
      </c>
      <c r="AI552" s="8"/>
      <c r="AJ552" s="8" t="str">
        <f>IF($AI552="","",SUMIFS(OPERATING_COEFFS!$C:$C,OPERATING_COEFFS!$A:$A,"SeasonClass",OPERATING_COEFFS!$B:$B,$AI552))</f>
        <v/>
      </c>
      <c r="AK552" s="8"/>
      <c r="AL552" s="8" t="str">
        <f>IF($AK552="","",SUMIFS(OPERATING_COEFFS!$C:$C,OPERATING_COEFFS!$A:$A,"UrgencyClass",OPERATING_COEFFS!$B:$B,$AK552))</f>
        <v/>
      </c>
      <c r="AM552" s="8"/>
      <c r="AN552" s="8" t="str">
        <f t="array" ref="AN552">IF($AM552="","",INDEX(TAX_MODES!$B:$B,MATCH($AM552,TAX_MODES!$A:$A,0)))</f>
        <v/>
      </c>
    </row>
    <row r="553" ht="14.25" customHeight="1">
      <c r="C553" s="8"/>
      <c r="E553" s="8"/>
      <c r="G553" s="8"/>
      <c r="I553" s="8"/>
      <c r="K553" s="8"/>
      <c r="M553" s="8"/>
      <c r="O553" s="8"/>
      <c r="Q553" s="8"/>
      <c r="S553" s="8"/>
      <c r="V553" s="8"/>
      <c r="X553" s="31"/>
      <c r="Y553" s="31" t="str">
        <f>IF($X553="","",SUMIFS(TARIFF_PROFILES!$D:$D,TARIFF_PROFILES!$A:$A,$X553))</f>
        <v/>
      </c>
      <c r="Z553" s="31" t="str">
        <f>IF($X553="","",SUMIFS(TARIFF_PROFILES!$E:$E,TARIFF_PROFILES!$A:$A,$X553))</f>
        <v/>
      </c>
      <c r="AA553" s="31" t="str">
        <f>IF($X553="","",SUMIFS(TARIFF_PROFILES!$F:$F,TARIFF_PROFILES!$A:$A,$X553))</f>
        <v/>
      </c>
      <c r="AB553" s="31" t="str">
        <f>IF($X553="","",SUMIFS(TARIFF_PROFILES!$G:$G,TARIFF_PROFILES!$A:$A,$X553))</f>
        <v/>
      </c>
      <c r="AC553" s="31" t="str">
        <f>IF($X553="","",SUMIFS(TARIFF_PROFILES!$H:$H,TARIFF_PROFILES!$A:$A,$X553))</f>
        <v/>
      </c>
      <c r="AD553" s="31" t="str">
        <f t="array" ref="AD553">IF($X553="","",INDEX(TARIFF_PROFILES!$J:$J,MATCH($X553,TARIFF_PROFILES!$A:$A,0)))</f>
        <v/>
      </c>
      <c r="AE553" s="31" t="str">
        <f t="array" ref="AE553">IF($X553="","",INDEX(TARIFF_PROFILES!$K:$K,MATCH($X553,TARIFF_PROFILES!$A:$A,0)))</f>
        <v/>
      </c>
      <c r="AG553" s="8"/>
      <c r="AH553" s="8" t="str">
        <f>IF($AG553="","",SUMIFS(OPERATING_COEFFS!$C:$C,OPERATING_COEFFS!$A:$A,"DistanceClass",OPERATING_COEFFS!$B:$B,$AG553))</f>
        <v/>
      </c>
      <c r="AI553" s="8"/>
      <c r="AJ553" s="8" t="str">
        <f>IF($AI553="","",SUMIFS(OPERATING_COEFFS!$C:$C,OPERATING_COEFFS!$A:$A,"SeasonClass",OPERATING_COEFFS!$B:$B,$AI553))</f>
        <v/>
      </c>
      <c r="AK553" s="8"/>
      <c r="AL553" s="8" t="str">
        <f>IF($AK553="","",SUMIFS(OPERATING_COEFFS!$C:$C,OPERATING_COEFFS!$A:$A,"UrgencyClass",OPERATING_COEFFS!$B:$B,$AK553))</f>
        <v/>
      </c>
      <c r="AM553" s="8"/>
      <c r="AN553" s="8" t="str">
        <f t="array" ref="AN553">IF($AM553="","",INDEX(TAX_MODES!$B:$B,MATCH($AM553,TAX_MODES!$A:$A,0)))</f>
        <v/>
      </c>
    </row>
    <row r="554" ht="14.25" customHeight="1">
      <c r="C554" s="8"/>
      <c r="E554" s="8"/>
      <c r="G554" s="8"/>
      <c r="I554" s="8"/>
      <c r="K554" s="8"/>
      <c r="M554" s="8"/>
      <c r="O554" s="8"/>
      <c r="Q554" s="8"/>
      <c r="S554" s="8"/>
      <c r="V554" s="8"/>
      <c r="X554" s="31"/>
      <c r="Y554" s="31" t="str">
        <f>IF($X554="","",SUMIFS(TARIFF_PROFILES!$D:$D,TARIFF_PROFILES!$A:$A,$X554))</f>
        <v/>
      </c>
      <c r="Z554" s="31" t="str">
        <f>IF($X554="","",SUMIFS(TARIFF_PROFILES!$E:$E,TARIFF_PROFILES!$A:$A,$X554))</f>
        <v/>
      </c>
      <c r="AA554" s="31" t="str">
        <f>IF($X554="","",SUMIFS(TARIFF_PROFILES!$F:$F,TARIFF_PROFILES!$A:$A,$X554))</f>
        <v/>
      </c>
      <c r="AB554" s="31" t="str">
        <f>IF($X554="","",SUMIFS(TARIFF_PROFILES!$G:$G,TARIFF_PROFILES!$A:$A,$X554))</f>
        <v/>
      </c>
      <c r="AC554" s="31" t="str">
        <f>IF($X554="","",SUMIFS(TARIFF_PROFILES!$H:$H,TARIFF_PROFILES!$A:$A,$X554))</f>
        <v/>
      </c>
      <c r="AD554" s="31" t="str">
        <f t="array" ref="AD554">IF($X554="","",INDEX(TARIFF_PROFILES!$J:$J,MATCH($X554,TARIFF_PROFILES!$A:$A,0)))</f>
        <v/>
      </c>
      <c r="AE554" s="31" t="str">
        <f t="array" ref="AE554">IF($X554="","",INDEX(TARIFF_PROFILES!$K:$K,MATCH($X554,TARIFF_PROFILES!$A:$A,0)))</f>
        <v/>
      </c>
      <c r="AG554" s="8"/>
      <c r="AH554" s="8" t="str">
        <f>IF($AG554="","",SUMIFS(OPERATING_COEFFS!$C:$C,OPERATING_COEFFS!$A:$A,"DistanceClass",OPERATING_COEFFS!$B:$B,$AG554))</f>
        <v/>
      </c>
      <c r="AI554" s="8"/>
      <c r="AJ554" s="8" t="str">
        <f>IF($AI554="","",SUMIFS(OPERATING_COEFFS!$C:$C,OPERATING_COEFFS!$A:$A,"SeasonClass",OPERATING_COEFFS!$B:$B,$AI554))</f>
        <v/>
      </c>
      <c r="AK554" s="8"/>
      <c r="AL554" s="8" t="str">
        <f>IF($AK554="","",SUMIFS(OPERATING_COEFFS!$C:$C,OPERATING_COEFFS!$A:$A,"UrgencyClass",OPERATING_COEFFS!$B:$B,$AK554))</f>
        <v/>
      </c>
      <c r="AM554" s="8"/>
      <c r="AN554" s="8" t="str">
        <f t="array" ref="AN554">IF($AM554="","",INDEX(TAX_MODES!$B:$B,MATCH($AM554,TAX_MODES!$A:$A,0)))</f>
        <v/>
      </c>
    </row>
    <row r="555" ht="14.25" customHeight="1">
      <c r="C555" s="8"/>
      <c r="E555" s="8"/>
      <c r="G555" s="8"/>
      <c r="I555" s="8"/>
      <c r="K555" s="8"/>
      <c r="M555" s="8"/>
      <c r="O555" s="8"/>
      <c r="Q555" s="8"/>
      <c r="S555" s="8"/>
      <c r="V555" s="8"/>
      <c r="X555" s="31"/>
      <c r="Y555" s="31" t="str">
        <f>IF($X555="","",SUMIFS(TARIFF_PROFILES!$D:$D,TARIFF_PROFILES!$A:$A,$X555))</f>
        <v/>
      </c>
      <c r="Z555" s="31" t="str">
        <f>IF($X555="","",SUMIFS(TARIFF_PROFILES!$E:$E,TARIFF_PROFILES!$A:$A,$X555))</f>
        <v/>
      </c>
      <c r="AA555" s="31" t="str">
        <f>IF($X555="","",SUMIFS(TARIFF_PROFILES!$F:$F,TARIFF_PROFILES!$A:$A,$X555))</f>
        <v/>
      </c>
      <c r="AB555" s="31" t="str">
        <f>IF($X555="","",SUMIFS(TARIFF_PROFILES!$G:$G,TARIFF_PROFILES!$A:$A,$X555))</f>
        <v/>
      </c>
      <c r="AC555" s="31" t="str">
        <f>IF($X555="","",SUMIFS(TARIFF_PROFILES!$H:$H,TARIFF_PROFILES!$A:$A,$X555))</f>
        <v/>
      </c>
      <c r="AD555" s="31" t="str">
        <f t="array" ref="AD555">IF($X555="","",INDEX(TARIFF_PROFILES!$J:$J,MATCH($X555,TARIFF_PROFILES!$A:$A,0)))</f>
        <v/>
      </c>
      <c r="AE555" s="31" t="str">
        <f t="array" ref="AE555">IF($X555="","",INDEX(TARIFF_PROFILES!$K:$K,MATCH($X555,TARIFF_PROFILES!$A:$A,0)))</f>
        <v/>
      </c>
      <c r="AG555" s="8"/>
      <c r="AH555" s="8" t="str">
        <f>IF($AG555="","",SUMIFS(OPERATING_COEFFS!$C:$C,OPERATING_COEFFS!$A:$A,"DistanceClass",OPERATING_COEFFS!$B:$B,$AG555))</f>
        <v/>
      </c>
      <c r="AI555" s="8"/>
      <c r="AJ555" s="8" t="str">
        <f>IF($AI555="","",SUMIFS(OPERATING_COEFFS!$C:$C,OPERATING_COEFFS!$A:$A,"SeasonClass",OPERATING_COEFFS!$B:$B,$AI555))</f>
        <v/>
      </c>
      <c r="AK555" s="8"/>
      <c r="AL555" s="8" t="str">
        <f>IF($AK555="","",SUMIFS(OPERATING_COEFFS!$C:$C,OPERATING_COEFFS!$A:$A,"UrgencyClass",OPERATING_COEFFS!$B:$B,$AK555))</f>
        <v/>
      </c>
      <c r="AM555" s="8"/>
      <c r="AN555" s="8" t="str">
        <f t="array" ref="AN555">IF($AM555="","",INDEX(TAX_MODES!$B:$B,MATCH($AM555,TAX_MODES!$A:$A,0)))</f>
        <v/>
      </c>
    </row>
    <row r="556" ht="14.25" customHeight="1">
      <c r="C556" s="8"/>
      <c r="E556" s="8"/>
      <c r="G556" s="8"/>
      <c r="I556" s="8"/>
      <c r="K556" s="8"/>
      <c r="M556" s="8"/>
      <c r="O556" s="8"/>
      <c r="Q556" s="8"/>
      <c r="S556" s="8"/>
      <c r="V556" s="8"/>
      <c r="X556" s="31"/>
      <c r="Y556" s="31" t="str">
        <f>IF($X556="","",SUMIFS(TARIFF_PROFILES!$D:$D,TARIFF_PROFILES!$A:$A,$X556))</f>
        <v/>
      </c>
      <c r="Z556" s="31" t="str">
        <f>IF($X556="","",SUMIFS(TARIFF_PROFILES!$E:$E,TARIFF_PROFILES!$A:$A,$X556))</f>
        <v/>
      </c>
      <c r="AA556" s="31" t="str">
        <f>IF($X556="","",SUMIFS(TARIFF_PROFILES!$F:$F,TARIFF_PROFILES!$A:$A,$X556))</f>
        <v/>
      </c>
      <c r="AB556" s="31" t="str">
        <f>IF($X556="","",SUMIFS(TARIFF_PROFILES!$G:$G,TARIFF_PROFILES!$A:$A,$X556))</f>
        <v/>
      </c>
      <c r="AC556" s="31" t="str">
        <f>IF($X556="","",SUMIFS(TARIFF_PROFILES!$H:$H,TARIFF_PROFILES!$A:$A,$X556))</f>
        <v/>
      </c>
      <c r="AD556" s="31" t="str">
        <f t="array" ref="AD556">IF($X556="","",INDEX(TARIFF_PROFILES!$J:$J,MATCH($X556,TARIFF_PROFILES!$A:$A,0)))</f>
        <v/>
      </c>
      <c r="AE556" s="31" t="str">
        <f t="array" ref="AE556">IF($X556="","",INDEX(TARIFF_PROFILES!$K:$K,MATCH($X556,TARIFF_PROFILES!$A:$A,0)))</f>
        <v/>
      </c>
      <c r="AG556" s="8"/>
      <c r="AH556" s="8" t="str">
        <f>IF($AG556="","",SUMIFS(OPERATING_COEFFS!$C:$C,OPERATING_COEFFS!$A:$A,"DistanceClass",OPERATING_COEFFS!$B:$B,$AG556))</f>
        <v/>
      </c>
      <c r="AI556" s="8"/>
      <c r="AJ556" s="8" t="str">
        <f>IF($AI556="","",SUMIFS(OPERATING_COEFFS!$C:$C,OPERATING_COEFFS!$A:$A,"SeasonClass",OPERATING_COEFFS!$B:$B,$AI556))</f>
        <v/>
      </c>
      <c r="AK556" s="8"/>
      <c r="AL556" s="8" t="str">
        <f>IF($AK556="","",SUMIFS(OPERATING_COEFFS!$C:$C,OPERATING_COEFFS!$A:$A,"UrgencyClass",OPERATING_COEFFS!$B:$B,$AK556))</f>
        <v/>
      </c>
      <c r="AM556" s="8"/>
      <c r="AN556" s="8" t="str">
        <f t="array" ref="AN556">IF($AM556="","",INDEX(TAX_MODES!$B:$B,MATCH($AM556,TAX_MODES!$A:$A,0)))</f>
        <v/>
      </c>
    </row>
    <row r="557" ht="14.25" customHeight="1">
      <c r="C557" s="8"/>
      <c r="E557" s="8"/>
      <c r="G557" s="8"/>
      <c r="I557" s="8"/>
      <c r="K557" s="8"/>
      <c r="M557" s="8"/>
      <c r="O557" s="8"/>
      <c r="Q557" s="8"/>
      <c r="S557" s="8"/>
      <c r="V557" s="8"/>
      <c r="X557" s="31"/>
      <c r="Y557" s="31" t="str">
        <f>IF($X557="","",SUMIFS(TARIFF_PROFILES!$D:$D,TARIFF_PROFILES!$A:$A,$X557))</f>
        <v/>
      </c>
      <c r="Z557" s="31" t="str">
        <f>IF($X557="","",SUMIFS(TARIFF_PROFILES!$E:$E,TARIFF_PROFILES!$A:$A,$X557))</f>
        <v/>
      </c>
      <c r="AA557" s="31" t="str">
        <f>IF($X557="","",SUMIFS(TARIFF_PROFILES!$F:$F,TARIFF_PROFILES!$A:$A,$X557))</f>
        <v/>
      </c>
      <c r="AB557" s="31" t="str">
        <f>IF($X557="","",SUMIFS(TARIFF_PROFILES!$G:$G,TARIFF_PROFILES!$A:$A,$X557))</f>
        <v/>
      </c>
      <c r="AC557" s="31" t="str">
        <f>IF($X557="","",SUMIFS(TARIFF_PROFILES!$H:$H,TARIFF_PROFILES!$A:$A,$X557))</f>
        <v/>
      </c>
      <c r="AD557" s="31" t="str">
        <f t="array" ref="AD557">IF($X557="","",INDEX(TARIFF_PROFILES!$J:$J,MATCH($X557,TARIFF_PROFILES!$A:$A,0)))</f>
        <v/>
      </c>
      <c r="AE557" s="31" t="str">
        <f t="array" ref="AE557">IF($X557="","",INDEX(TARIFF_PROFILES!$K:$K,MATCH($X557,TARIFF_PROFILES!$A:$A,0)))</f>
        <v/>
      </c>
      <c r="AG557" s="8"/>
      <c r="AH557" s="8" t="str">
        <f>IF($AG557="","",SUMIFS(OPERATING_COEFFS!$C:$C,OPERATING_COEFFS!$A:$A,"DistanceClass",OPERATING_COEFFS!$B:$B,$AG557))</f>
        <v/>
      </c>
      <c r="AI557" s="8"/>
      <c r="AJ557" s="8" t="str">
        <f>IF($AI557="","",SUMIFS(OPERATING_COEFFS!$C:$C,OPERATING_COEFFS!$A:$A,"SeasonClass",OPERATING_COEFFS!$B:$B,$AI557))</f>
        <v/>
      </c>
      <c r="AK557" s="8"/>
      <c r="AL557" s="8" t="str">
        <f>IF($AK557="","",SUMIFS(OPERATING_COEFFS!$C:$C,OPERATING_COEFFS!$A:$A,"UrgencyClass",OPERATING_COEFFS!$B:$B,$AK557))</f>
        <v/>
      </c>
      <c r="AM557" s="8"/>
      <c r="AN557" s="8" t="str">
        <f t="array" ref="AN557">IF($AM557="","",INDEX(TAX_MODES!$B:$B,MATCH($AM557,TAX_MODES!$A:$A,0)))</f>
        <v/>
      </c>
    </row>
    <row r="558" ht="14.25" customHeight="1">
      <c r="C558" s="8"/>
      <c r="E558" s="8"/>
      <c r="G558" s="8"/>
      <c r="I558" s="8"/>
      <c r="K558" s="8"/>
      <c r="M558" s="8"/>
      <c r="O558" s="8"/>
      <c r="Q558" s="8"/>
      <c r="S558" s="8"/>
      <c r="V558" s="8"/>
      <c r="X558" s="31"/>
      <c r="Y558" s="31" t="str">
        <f>IF($X558="","",SUMIFS(TARIFF_PROFILES!$D:$D,TARIFF_PROFILES!$A:$A,$X558))</f>
        <v/>
      </c>
      <c r="Z558" s="31" t="str">
        <f>IF($X558="","",SUMIFS(TARIFF_PROFILES!$E:$E,TARIFF_PROFILES!$A:$A,$X558))</f>
        <v/>
      </c>
      <c r="AA558" s="31" t="str">
        <f>IF($X558="","",SUMIFS(TARIFF_PROFILES!$F:$F,TARIFF_PROFILES!$A:$A,$X558))</f>
        <v/>
      </c>
      <c r="AB558" s="31" t="str">
        <f>IF($X558="","",SUMIFS(TARIFF_PROFILES!$G:$G,TARIFF_PROFILES!$A:$A,$X558))</f>
        <v/>
      </c>
      <c r="AC558" s="31" t="str">
        <f>IF($X558="","",SUMIFS(TARIFF_PROFILES!$H:$H,TARIFF_PROFILES!$A:$A,$X558))</f>
        <v/>
      </c>
      <c r="AD558" s="31" t="str">
        <f t="array" ref="AD558">IF($X558="","",INDEX(TARIFF_PROFILES!$J:$J,MATCH($X558,TARIFF_PROFILES!$A:$A,0)))</f>
        <v/>
      </c>
      <c r="AE558" s="31" t="str">
        <f t="array" ref="AE558">IF($X558="","",INDEX(TARIFF_PROFILES!$K:$K,MATCH($X558,TARIFF_PROFILES!$A:$A,0)))</f>
        <v/>
      </c>
      <c r="AG558" s="8"/>
      <c r="AH558" s="8" t="str">
        <f>IF($AG558="","",SUMIFS(OPERATING_COEFFS!$C:$C,OPERATING_COEFFS!$A:$A,"DistanceClass",OPERATING_COEFFS!$B:$B,$AG558))</f>
        <v/>
      </c>
      <c r="AI558" s="8"/>
      <c r="AJ558" s="8" t="str">
        <f>IF($AI558="","",SUMIFS(OPERATING_COEFFS!$C:$C,OPERATING_COEFFS!$A:$A,"SeasonClass",OPERATING_COEFFS!$B:$B,$AI558))</f>
        <v/>
      </c>
      <c r="AK558" s="8"/>
      <c r="AL558" s="8" t="str">
        <f>IF($AK558="","",SUMIFS(OPERATING_COEFFS!$C:$C,OPERATING_COEFFS!$A:$A,"UrgencyClass",OPERATING_COEFFS!$B:$B,$AK558))</f>
        <v/>
      </c>
      <c r="AM558" s="8"/>
      <c r="AN558" s="8" t="str">
        <f t="array" ref="AN558">IF($AM558="","",INDEX(TAX_MODES!$B:$B,MATCH($AM558,TAX_MODES!$A:$A,0)))</f>
        <v/>
      </c>
    </row>
    <row r="559" ht="14.25" customHeight="1">
      <c r="C559" s="8"/>
      <c r="E559" s="8"/>
      <c r="G559" s="8"/>
      <c r="I559" s="8"/>
      <c r="K559" s="8"/>
      <c r="M559" s="8"/>
      <c r="O559" s="8"/>
      <c r="Q559" s="8"/>
      <c r="S559" s="8"/>
      <c r="V559" s="8"/>
      <c r="X559" s="31"/>
      <c r="Y559" s="31" t="str">
        <f>IF($X559="","",SUMIFS(TARIFF_PROFILES!$D:$D,TARIFF_PROFILES!$A:$A,$X559))</f>
        <v/>
      </c>
      <c r="Z559" s="31" t="str">
        <f>IF($X559="","",SUMIFS(TARIFF_PROFILES!$E:$E,TARIFF_PROFILES!$A:$A,$X559))</f>
        <v/>
      </c>
      <c r="AA559" s="31" t="str">
        <f>IF($X559="","",SUMIFS(TARIFF_PROFILES!$F:$F,TARIFF_PROFILES!$A:$A,$X559))</f>
        <v/>
      </c>
      <c r="AB559" s="31" t="str">
        <f>IF($X559="","",SUMIFS(TARIFF_PROFILES!$G:$G,TARIFF_PROFILES!$A:$A,$X559))</f>
        <v/>
      </c>
      <c r="AC559" s="31" t="str">
        <f>IF($X559="","",SUMIFS(TARIFF_PROFILES!$H:$H,TARIFF_PROFILES!$A:$A,$X559))</f>
        <v/>
      </c>
      <c r="AD559" s="31" t="str">
        <f t="array" ref="AD559">IF($X559="","",INDEX(TARIFF_PROFILES!$J:$J,MATCH($X559,TARIFF_PROFILES!$A:$A,0)))</f>
        <v/>
      </c>
      <c r="AE559" s="31" t="str">
        <f t="array" ref="AE559">IF($X559="","",INDEX(TARIFF_PROFILES!$K:$K,MATCH($X559,TARIFF_PROFILES!$A:$A,0)))</f>
        <v/>
      </c>
      <c r="AG559" s="8"/>
      <c r="AH559" s="8" t="str">
        <f>IF($AG559="","",SUMIFS(OPERATING_COEFFS!$C:$C,OPERATING_COEFFS!$A:$A,"DistanceClass",OPERATING_COEFFS!$B:$B,$AG559))</f>
        <v/>
      </c>
      <c r="AI559" s="8"/>
      <c r="AJ559" s="8" t="str">
        <f>IF($AI559="","",SUMIFS(OPERATING_COEFFS!$C:$C,OPERATING_COEFFS!$A:$A,"SeasonClass",OPERATING_COEFFS!$B:$B,$AI559))</f>
        <v/>
      </c>
      <c r="AK559" s="8"/>
      <c r="AL559" s="8" t="str">
        <f>IF($AK559="","",SUMIFS(OPERATING_COEFFS!$C:$C,OPERATING_COEFFS!$A:$A,"UrgencyClass",OPERATING_COEFFS!$B:$B,$AK559))</f>
        <v/>
      </c>
      <c r="AM559" s="8"/>
      <c r="AN559" s="8" t="str">
        <f t="array" ref="AN559">IF($AM559="","",INDEX(TAX_MODES!$B:$B,MATCH($AM559,TAX_MODES!$A:$A,0)))</f>
        <v/>
      </c>
    </row>
    <row r="560" ht="14.25" customHeight="1">
      <c r="C560" s="8"/>
      <c r="E560" s="8"/>
      <c r="G560" s="8"/>
      <c r="I560" s="8"/>
      <c r="K560" s="8"/>
      <c r="M560" s="8"/>
      <c r="O560" s="8"/>
      <c r="Q560" s="8"/>
      <c r="S560" s="8"/>
      <c r="V560" s="8"/>
      <c r="X560" s="31"/>
      <c r="Y560" s="31" t="str">
        <f>IF($X560="","",SUMIFS(TARIFF_PROFILES!$D:$D,TARIFF_PROFILES!$A:$A,$X560))</f>
        <v/>
      </c>
      <c r="Z560" s="31" t="str">
        <f>IF($X560="","",SUMIFS(TARIFF_PROFILES!$E:$E,TARIFF_PROFILES!$A:$A,$X560))</f>
        <v/>
      </c>
      <c r="AA560" s="31" t="str">
        <f>IF($X560="","",SUMIFS(TARIFF_PROFILES!$F:$F,TARIFF_PROFILES!$A:$A,$X560))</f>
        <v/>
      </c>
      <c r="AB560" s="31" t="str">
        <f>IF($X560="","",SUMIFS(TARIFF_PROFILES!$G:$G,TARIFF_PROFILES!$A:$A,$X560))</f>
        <v/>
      </c>
      <c r="AC560" s="31" t="str">
        <f>IF($X560="","",SUMIFS(TARIFF_PROFILES!$H:$H,TARIFF_PROFILES!$A:$A,$X560))</f>
        <v/>
      </c>
      <c r="AD560" s="31" t="str">
        <f t="array" ref="AD560">IF($X560="","",INDEX(TARIFF_PROFILES!$J:$J,MATCH($X560,TARIFF_PROFILES!$A:$A,0)))</f>
        <v/>
      </c>
      <c r="AE560" s="31" t="str">
        <f t="array" ref="AE560">IF($X560="","",INDEX(TARIFF_PROFILES!$K:$K,MATCH($X560,TARIFF_PROFILES!$A:$A,0)))</f>
        <v/>
      </c>
      <c r="AG560" s="8"/>
      <c r="AH560" s="8" t="str">
        <f>IF($AG560="","",SUMIFS(OPERATING_COEFFS!$C:$C,OPERATING_COEFFS!$A:$A,"DistanceClass",OPERATING_COEFFS!$B:$B,$AG560))</f>
        <v/>
      </c>
      <c r="AI560" s="8"/>
      <c r="AJ560" s="8" t="str">
        <f>IF($AI560="","",SUMIFS(OPERATING_COEFFS!$C:$C,OPERATING_COEFFS!$A:$A,"SeasonClass",OPERATING_COEFFS!$B:$B,$AI560))</f>
        <v/>
      </c>
      <c r="AK560" s="8"/>
      <c r="AL560" s="8" t="str">
        <f>IF($AK560="","",SUMIFS(OPERATING_COEFFS!$C:$C,OPERATING_COEFFS!$A:$A,"UrgencyClass",OPERATING_COEFFS!$B:$B,$AK560))</f>
        <v/>
      </c>
      <c r="AM560" s="8"/>
      <c r="AN560" s="8" t="str">
        <f t="array" ref="AN560">IF($AM560="","",INDEX(TAX_MODES!$B:$B,MATCH($AM560,TAX_MODES!$A:$A,0)))</f>
        <v/>
      </c>
    </row>
    <row r="561" ht="14.25" customHeight="1">
      <c r="C561" s="8"/>
      <c r="E561" s="8"/>
      <c r="G561" s="8"/>
      <c r="I561" s="8"/>
      <c r="K561" s="8"/>
      <c r="M561" s="8"/>
      <c r="O561" s="8"/>
      <c r="Q561" s="8"/>
      <c r="S561" s="8"/>
      <c r="V561" s="8"/>
      <c r="X561" s="31"/>
      <c r="Y561" s="31" t="str">
        <f>IF($X561="","",SUMIFS(TARIFF_PROFILES!$D:$D,TARIFF_PROFILES!$A:$A,$X561))</f>
        <v/>
      </c>
      <c r="Z561" s="31" t="str">
        <f>IF($X561="","",SUMIFS(TARIFF_PROFILES!$E:$E,TARIFF_PROFILES!$A:$A,$X561))</f>
        <v/>
      </c>
      <c r="AA561" s="31" t="str">
        <f>IF($X561="","",SUMIFS(TARIFF_PROFILES!$F:$F,TARIFF_PROFILES!$A:$A,$X561))</f>
        <v/>
      </c>
      <c r="AB561" s="31" t="str">
        <f>IF($X561="","",SUMIFS(TARIFF_PROFILES!$G:$G,TARIFF_PROFILES!$A:$A,$X561))</f>
        <v/>
      </c>
      <c r="AC561" s="31" t="str">
        <f>IF($X561="","",SUMIFS(TARIFF_PROFILES!$H:$H,TARIFF_PROFILES!$A:$A,$X561))</f>
        <v/>
      </c>
      <c r="AD561" s="31" t="str">
        <f t="array" ref="AD561">IF($X561="","",INDEX(TARIFF_PROFILES!$J:$J,MATCH($X561,TARIFF_PROFILES!$A:$A,0)))</f>
        <v/>
      </c>
      <c r="AE561" s="31" t="str">
        <f t="array" ref="AE561">IF($X561="","",INDEX(TARIFF_PROFILES!$K:$K,MATCH($X561,TARIFF_PROFILES!$A:$A,0)))</f>
        <v/>
      </c>
      <c r="AG561" s="8"/>
      <c r="AH561" s="8" t="str">
        <f>IF($AG561="","",SUMIFS(OPERATING_COEFFS!$C:$C,OPERATING_COEFFS!$A:$A,"DistanceClass",OPERATING_COEFFS!$B:$B,$AG561))</f>
        <v/>
      </c>
      <c r="AI561" s="8"/>
      <c r="AJ561" s="8" t="str">
        <f>IF($AI561="","",SUMIFS(OPERATING_COEFFS!$C:$C,OPERATING_COEFFS!$A:$A,"SeasonClass",OPERATING_COEFFS!$B:$B,$AI561))</f>
        <v/>
      </c>
      <c r="AK561" s="8"/>
      <c r="AL561" s="8" t="str">
        <f>IF($AK561="","",SUMIFS(OPERATING_COEFFS!$C:$C,OPERATING_COEFFS!$A:$A,"UrgencyClass",OPERATING_COEFFS!$B:$B,$AK561))</f>
        <v/>
      </c>
      <c r="AM561" s="8"/>
      <c r="AN561" s="8" t="str">
        <f t="array" ref="AN561">IF($AM561="","",INDEX(TAX_MODES!$B:$B,MATCH($AM561,TAX_MODES!$A:$A,0)))</f>
        <v/>
      </c>
    </row>
    <row r="562" ht="14.25" customHeight="1">
      <c r="C562" s="8"/>
      <c r="E562" s="8"/>
      <c r="G562" s="8"/>
      <c r="I562" s="8"/>
      <c r="K562" s="8"/>
      <c r="M562" s="8"/>
      <c r="O562" s="8"/>
      <c r="Q562" s="8"/>
      <c r="S562" s="8"/>
      <c r="V562" s="8"/>
      <c r="X562" s="31"/>
      <c r="Y562" s="31" t="str">
        <f>IF($X562="","",SUMIFS(TARIFF_PROFILES!$D:$D,TARIFF_PROFILES!$A:$A,$X562))</f>
        <v/>
      </c>
      <c r="Z562" s="31" t="str">
        <f>IF($X562="","",SUMIFS(TARIFF_PROFILES!$E:$E,TARIFF_PROFILES!$A:$A,$X562))</f>
        <v/>
      </c>
      <c r="AA562" s="31" t="str">
        <f>IF($X562="","",SUMIFS(TARIFF_PROFILES!$F:$F,TARIFF_PROFILES!$A:$A,$X562))</f>
        <v/>
      </c>
      <c r="AB562" s="31" t="str">
        <f>IF($X562="","",SUMIFS(TARIFF_PROFILES!$G:$G,TARIFF_PROFILES!$A:$A,$X562))</f>
        <v/>
      </c>
      <c r="AC562" s="31" t="str">
        <f>IF($X562="","",SUMIFS(TARIFF_PROFILES!$H:$H,TARIFF_PROFILES!$A:$A,$X562))</f>
        <v/>
      </c>
      <c r="AD562" s="31" t="str">
        <f t="array" ref="AD562">IF($X562="","",INDEX(TARIFF_PROFILES!$J:$J,MATCH($X562,TARIFF_PROFILES!$A:$A,0)))</f>
        <v/>
      </c>
      <c r="AE562" s="31" t="str">
        <f t="array" ref="AE562">IF($X562="","",INDEX(TARIFF_PROFILES!$K:$K,MATCH($X562,TARIFF_PROFILES!$A:$A,0)))</f>
        <v/>
      </c>
      <c r="AG562" s="8"/>
      <c r="AH562" s="8" t="str">
        <f>IF($AG562="","",SUMIFS(OPERATING_COEFFS!$C:$C,OPERATING_COEFFS!$A:$A,"DistanceClass",OPERATING_COEFFS!$B:$B,$AG562))</f>
        <v/>
      </c>
      <c r="AI562" s="8"/>
      <c r="AJ562" s="8" t="str">
        <f>IF($AI562="","",SUMIFS(OPERATING_COEFFS!$C:$C,OPERATING_COEFFS!$A:$A,"SeasonClass",OPERATING_COEFFS!$B:$B,$AI562))</f>
        <v/>
      </c>
      <c r="AK562" s="8"/>
      <c r="AL562" s="8" t="str">
        <f>IF($AK562="","",SUMIFS(OPERATING_COEFFS!$C:$C,OPERATING_COEFFS!$A:$A,"UrgencyClass",OPERATING_COEFFS!$B:$B,$AK562))</f>
        <v/>
      </c>
      <c r="AM562" s="8"/>
      <c r="AN562" s="8" t="str">
        <f t="array" ref="AN562">IF($AM562="","",INDEX(TAX_MODES!$B:$B,MATCH($AM562,TAX_MODES!$A:$A,0)))</f>
        <v/>
      </c>
    </row>
    <row r="563" ht="14.25" customHeight="1">
      <c r="C563" s="8"/>
      <c r="E563" s="8"/>
      <c r="G563" s="8"/>
      <c r="I563" s="8"/>
      <c r="K563" s="8"/>
      <c r="M563" s="8"/>
      <c r="O563" s="8"/>
      <c r="Q563" s="8"/>
      <c r="S563" s="8"/>
      <c r="V563" s="8"/>
      <c r="X563" s="31"/>
      <c r="Y563" s="31" t="str">
        <f>IF($X563="","",SUMIFS(TARIFF_PROFILES!$D:$D,TARIFF_PROFILES!$A:$A,$X563))</f>
        <v/>
      </c>
      <c r="Z563" s="31" t="str">
        <f>IF($X563="","",SUMIFS(TARIFF_PROFILES!$E:$E,TARIFF_PROFILES!$A:$A,$X563))</f>
        <v/>
      </c>
      <c r="AA563" s="31" t="str">
        <f>IF($X563="","",SUMIFS(TARIFF_PROFILES!$F:$F,TARIFF_PROFILES!$A:$A,$X563))</f>
        <v/>
      </c>
      <c r="AB563" s="31" t="str">
        <f>IF($X563="","",SUMIFS(TARIFF_PROFILES!$G:$G,TARIFF_PROFILES!$A:$A,$X563))</f>
        <v/>
      </c>
      <c r="AC563" s="31" t="str">
        <f>IF($X563="","",SUMIFS(TARIFF_PROFILES!$H:$H,TARIFF_PROFILES!$A:$A,$X563))</f>
        <v/>
      </c>
      <c r="AD563" s="31" t="str">
        <f t="array" ref="AD563">IF($X563="","",INDEX(TARIFF_PROFILES!$J:$J,MATCH($X563,TARIFF_PROFILES!$A:$A,0)))</f>
        <v/>
      </c>
      <c r="AE563" s="31" t="str">
        <f t="array" ref="AE563">IF($X563="","",INDEX(TARIFF_PROFILES!$K:$K,MATCH($X563,TARIFF_PROFILES!$A:$A,0)))</f>
        <v/>
      </c>
      <c r="AG563" s="8"/>
      <c r="AH563" s="8" t="str">
        <f>IF($AG563="","",SUMIFS(OPERATING_COEFFS!$C:$C,OPERATING_COEFFS!$A:$A,"DistanceClass",OPERATING_COEFFS!$B:$B,$AG563))</f>
        <v/>
      </c>
      <c r="AI563" s="8"/>
      <c r="AJ563" s="8" t="str">
        <f>IF($AI563="","",SUMIFS(OPERATING_COEFFS!$C:$C,OPERATING_COEFFS!$A:$A,"SeasonClass",OPERATING_COEFFS!$B:$B,$AI563))</f>
        <v/>
      </c>
      <c r="AK563" s="8"/>
      <c r="AL563" s="8" t="str">
        <f>IF($AK563="","",SUMIFS(OPERATING_COEFFS!$C:$C,OPERATING_COEFFS!$A:$A,"UrgencyClass",OPERATING_COEFFS!$B:$B,$AK563))</f>
        <v/>
      </c>
      <c r="AM563" s="8"/>
      <c r="AN563" s="8" t="str">
        <f t="array" ref="AN563">IF($AM563="","",INDEX(TAX_MODES!$B:$B,MATCH($AM563,TAX_MODES!$A:$A,0)))</f>
        <v/>
      </c>
    </row>
    <row r="564" ht="14.25" customHeight="1">
      <c r="C564" s="8"/>
      <c r="E564" s="8"/>
      <c r="G564" s="8"/>
      <c r="I564" s="8"/>
      <c r="K564" s="8"/>
      <c r="M564" s="8"/>
      <c r="O564" s="8"/>
      <c r="Q564" s="8"/>
      <c r="S564" s="8"/>
      <c r="V564" s="8"/>
      <c r="X564" s="31"/>
      <c r="Y564" s="31" t="str">
        <f>IF($X564="","",SUMIFS(TARIFF_PROFILES!$D:$D,TARIFF_PROFILES!$A:$A,$X564))</f>
        <v/>
      </c>
      <c r="Z564" s="31" t="str">
        <f>IF($X564="","",SUMIFS(TARIFF_PROFILES!$E:$E,TARIFF_PROFILES!$A:$A,$X564))</f>
        <v/>
      </c>
      <c r="AA564" s="31" t="str">
        <f>IF($X564="","",SUMIFS(TARIFF_PROFILES!$F:$F,TARIFF_PROFILES!$A:$A,$X564))</f>
        <v/>
      </c>
      <c r="AB564" s="31" t="str">
        <f>IF($X564="","",SUMIFS(TARIFF_PROFILES!$G:$G,TARIFF_PROFILES!$A:$A,$X564))</f>
        <v/>
      </c>
      <c r="AC564" s="31" t="str">
        <f>IF($X564="","",SUMIFS(TARIFF_PROFILES!$H:$H,TARIFF_PROFILES!$A:$A,$X564))</f>
        <v/>
      </c>
      <c r="AD564" s="31" t="str">
        <f t="array" ref="AD564">IF($X564="","",INDEX(TARIFF_PROFILES!$J:$J,MATCH($X564,TARIFF_PROFILES!$A:$A,0)))</f>
        <v/>
      </c>
      <c r="AE564" s="31" t="str">
        <f t="array" ref="AE564">IF($X564="","",INDEX(TARIFF_PROFILES!$K:$K,MATCH($X564,TARIFF_PROFILES!$A:$A,0)))</f>
        <v/>
      </c>
      <c r="AG564" s="8"/>
      <c r="AH564" s="8" t="str">
        <f>IF($AG564="","",SUMIFS(OPERATING_COEFFS!$C:$C,OPERATING_COEFFS!$A:$A,"DistanceClass",OPERATING_COEFFS!$B:$B,$AG564))</f>
        <v/>
      </c>
      <c r="AI564" s="8"/>
      <c r="AJ564" s="8" t="str">
        <f>IF($AI564="","",SUMIFS(OPERATING_COEFFS!$C:$C,OPERATING_COEFFS!$A:$A,"SeasonClass",OPERATING_COEFFS!$B:$B,$AI564))</f>
        <v/>
      </c>
      <c r="AK564" s="8"/>
      <c r="AL564" s="8" t="str">
        <f>IF($AK564="","",SUMIFS(OPERATING_COEFFS!$C:$C,OPERATING_COEFFS!$A:$A,"UrgencyClass",OPERATING_COEFFS!$B:$B,$AK564))</f>
        <v/>
      </c>
      <c r="AM564" s="8"/>
      <c r="AN564" s="8" t="str">
        <f t="array" ref="AN564">IF($AM564="","",INDEX(TAX_MODES!$B:$B,MATCH($AM564,TAX_MODES!$A:$A,0)))</f>
        <v/>
      </c>
    </row>
    <row r="565" ht="14.25" customHeight="1">
      <c r="C565" s="8"/>
      <c r="E565" s="8"/>
      <c r="G565" s="8"/>
      <c r="I565" s="8"/>
      <c r="K565" s="8"/>
      <c r="M565" s="8"/>
      <c r="O565" s="8"/>
      <c r="Q565" s="8"/>
      <c r="S565" s="8"/>
      <c r="V565" s="8"/>
      <c r="X565" s="31"/>
      <c r="Y565" s="31" t="str">
        <f>IF($X565="","",SUMIFS(TARIFF_PROFILES!$D:$D,TARIFF_PROFILES!$A:$A,$X565))</f>
        <v/>
      </c>
      <c r="Z565" s="31" t="str">
        <f>IF($X565="","",SUMIFS(TARIFF_PROFILES!$E:$E,TARIFF_PROFILES!$A:$A,$X565))</f>
        <v/>
      </c>
      <c r="AA565" s="31" t="str">
        <f>IF($X565="","",SUMIFS(TARIFF_PROFILES!$F:$F,TARIFF_PROFILES!$A:$A,$X565))</f>
        <v/>
      </c>
      <c r="AB565" s="31" t="str">
        <f>IF($X565="","",SUMIFS(TARIFF_PROFILES!$G:$G,TARIFF_PROFILES!$A:$A,$X565))</f>
        <v/>
      </c>
      <c r="AC565" s="31" t="str">
        <f>IF($X565="","",SUMIFS(TARIFF_PROFILES!$H:$H,TARIFF_PROFILES!$A:$A,$X565))</f>
        <v/>
      </c>
      <c r="AD565" s="31" t="str">
        <f t="array" ref="AD565">IF($X565="","",INDEX(TARIFF_PROFILES!$J:$J,MATCH($X565,TARIFF_PROFILES!$A:$A,0)))</f>
        <v/>
      </c>
      <c r="AE565" s="31" t="str">
        <f t="array" ref="AE565">IF($X565="","",INDEX(TARIFF_PROFILES!$K:$K,MATCH($X565,TARIFF_PROFILES!$A:$A,0)))</f>
        <v/>
      </c>
      <c r="AG565" s="8"/>
      <c r="AH565" s="8" t="str">
        <f>IF($AG565="","",SUMIFS(OPERATING_COEFFS!$C:$C,OPERATING_COEFFS!$A:$A,"DistanceClass",OPERATING_COEFFS!$B:$B,$AG565))</f>
        <v/>
      </c>
      <c r="AI565" s="8"/>
      <c r="AJ565" s="8" t="str">
        <f>IF($AI565="","",SUMIFS(OPERATING_COEFFS!$C:$C,OPERATING_COEFFS!$A:$A,"SeasonClass",OPERATING_COEFFS!$B:$B,$AI565))</f>
        <v/>
      </c>
      <c r="AK565" s="8"/>
      <c r="AL565" s="8" t="str">
        <f>IF($AK565="","",SUMIFS(OPERATING_COEFFS!$C:$C,OPERATING_COEFFS!$A:$A,"UrgencyClass",OPERATING_COEFFS!$B:$B,$AK565))</f>
        <v/>
      </c>
      <c r="AM565" s="8"/>
      <c r="AN565" s="8" t="str">
        <f t="array" ref="AN565">IF($AM565="","",INDEX(TAX_MODES!$B:$B,MATCH($AM565,TAX_MODES!$A:$A,0)))</f>
        <v/>
      </c>
    </row>
    <row r="566" ht="14.25" customHeight="1">
      <c r="C566" s="8"/>
      <c r="E566" s="8"/>
      <c r="G566" s="8"/>
      <c r="I566" s="8"/>
      <c r="K566" s="8"/>
      <c r="M566" s="8"/>
      <c r="O566" s="8"/>
      <c r="Q566" s="8"/>
      <c r="S566" s="8"/>
      <c r="V566" s="8"/>
      <c r="X566" s="31"/>
      <c r="Y566" s="31" t="str">
        <f>IF($X566="","",SUMIFS(TARIFF_PROFILES!$D:$D,TARIFF_PROFILES!$A:$A,$X566))</f>
        <v/>
      </c>
      <c r="Z566" s="31" t="str">
        <f>IF($X566="","",SUMIFS(TARIFF_PROFILES!$E:$E,TARIFF_PROFILES!$A:$A,$X566))</f>
        <v/>
      </c>
      <c r="AA566" s="31" t="str">
        <f>IF($X566="","",SUMIFS(TARIFF_PROFILES!$F:$F,TARIFF_PROFILES!$A:$A,$X566))</f>
        <v/>
      </c>
      <c r="AB566" s="31" t="str">
        <f>IF($X566="","",SUMIFS(TARIFF_PROFILES!$G:$G,TARIFF_PROFILES!$A:$A,$X566))</f>
        <v/>
      </c>
      <c r="AC566" s="31" t="str">
        <f>IF($X566="","",SUMIFS(TARIFF_PROFILES!$H:$H,TARIFF_PROFILES!$A:$A,$X566))</f>
        <v/>
      </c>
      <c r="AD566" s="31" t="str">
        <f t="array" ref="AD566">IF($X566="","",INDEX(TARIFF_PROFILES!$J:$J,MATCH($X566,TARIFF_PROFILES!$A:$A,0)))</f>
        <v/>
      </c>
      <c r="AE566" s="31" t="str">
        <f t="array" ref="AE566">IF($X566="","",INDEX(TARIFF_PROFILES!$K:$K,MATCH($X566,TARIFF_PROFILES!$A:$A,0)))</f>
        <v/>
      </c>
      <c r="AG566" s="8"/>
      <c r="AH566" s="8" t="str">
        <f>IF($AG566="","",SUMIFS(OPERATING_COEFFS!$C:$C,OPERATING_COEFFS!$A:$A,"DistanceClass",OPERATING_COEFFS!$B:$B,$AG566))</f>
        <v/>
      </c>
      <c r="AI566" s="8"/>
      <c r="AJ566" s="8" t="str">
        <f>IF($AI566="","",SUMIFS(OPERATING_COEFFS!$C:$C,OPERATING_COEFFS!$A:$A,"SeasonClass",OPERATING_COEFFS!$B:$B,$AI566))</f>
        <v/>
      </c>
      <c r="AK566" s="8"/>
      <c r="AL566" s="8" t="str">
        <f>IF($AK566="","",SUMIFS(OPERATING_COEFFS!$C:$C,OPERATING_COEFFS!$A:$A,"UrgencyClass",OPERATING_COEFFS!$B:$B,$AK566))</f>
        <v/>
      </c>
      <c r="AM566" s="8"/>
      <c r="AN566" s="8" t="str">
        <f t="array" ref="AN566">IF($AM566="","",INDEX(TAX_MODES!$B:$B,MATCH($AM566,TAX_MODES!$A:$A,0)))</f>
        <v/>
      </c>
    </row>
    <row r="567" ht="14.25" customHeight="1">
      <c r="C567" s="8"/>
      <c r="E567" s="8"/>
      <c r="G567" s="8"/>
      <c r="I567" s="8"/>
      <c r="K567" s="8"/>
      <c r="M567" s="8"/>
      <c r="O567" s="8"/>
      <c r="Q567" s="8"/>
      <c r="S567" s="8"/>
      <c r="V567" s="8"/>
      <c r="X567" s="31"/>
      <c r="Y567" s="31" t="str">
        <f>IF($X567="","",SUMIFS(TARIFF_PROFILES!$D:$D,TARIFF_PROFILES!$A:$A,$X567))</f>
        <v/>
      </c>
      <c r="Z567" s="31" t="str">
        <f>IF($X567="","",SUMIFS(TARIFF_PROFILES!$E:$E,TARIFF_PROFILES!$A:$A,$X567))</f>
        <v/>
      </c>
      <c r="AA567" s="31" t="str">
        <f>IF($X567="","",SUMIFS(TARIFF_PROFILES!$F:$F,TARIFF_PROFILES!$A:$A,$X567))</f>
        <v/>
      </c>
      <c r="AB567" s="31" t="str">
        <f>IF($X567="","",SUMIFS(TARIFF_PROFILES!$G:$G,TARIFF_PROFILES!$A:$A,$X567))</f>
        <v/>
      </c>
      <c r="AC567" s="31" t="str">
        <f>IF($X567="","",SUMIFS(TARIFF_PROFILES!$H:$H,TARIFF_PROFILES!$A:$A,$X567))</f>
        <v/>
      </c>
      <c r="AD567" s="31" t="str">
        <f t="array" ref="AD567">IF($X567="","",INDEX(TARIFF_PROFILES!$J:$J,MATCH($X567,TARIFF_PROFILES!$A:$A,0)))</f>
        <v/>
      </c>
      <c r="AE567" s="31" t="str">
        <f t="array" ref="AE567">IF($X567="","",INDEX(TARIFF_PROFILES!$K:$K,MATCH($X567,TARIFF_PROFILES!$A:$A,0)))</f>
        <v/>
      </c>
      <c r="AG567" s="8"/>
      <c r="AH567" s="8" t="str">
        <f>IF($AG567="","",SUMIFS(OPERATING_COEFFS!$C:$C,OPERATING_COEFFS!$A:$A,"DistanceClass",OPERATING_COEFFS!$B:$B,$AG567))</f>
        <v/>
      </c>
      <c r="AI567" s="8"/>
      <c r="AJ567" s="8" t="str">
        <f>IF($AI567="","",SUMIFS(OPERATING_COEFFS!$C:$C,OPERATING_COEFFS!$A:$A,"SeasonClass",OPERATING_COEFFS!$B:$B,$AI567))</f>
        <v/>
      </c>
      <c r="AK567" s="8"/>
      <c r="AL567" s="8" t="str">
        <f>IF($AK567="","",SUMIFS(OPERATING_COEFFS!$C:$C,OPERATING_COEFFS!$A:$A,"UrgencyClass",OPERATING_COEFFS!$B:$B,$AK567))</f>
        <v/>
      </c>
      <c r="AM567" s="8"/>
      <c r="AN567" s="8" t="str">
        <f t="array" ref="AN567">IF($AM567="","",INDEX(TAX_MODES!$B:$B,MATCH($AM567,TAX_MODES!$A:$A,0)))</f>
        <v/>
      </c>
    </row>
    <row r="568" ht="14.25" customHeight="1">
      <c r="C568" s="8"/>
      <c r="E568" s="8"/>
      <c r="G568" s="8"/>
      <c r="I568" s="8"/>
      <c r="K568" s="8"/>
      <c r="M568" s="8"/>
      <c r="O568" s="8"/>
      <c r="Q568" s="8"/>
      <c r="S568" s="8"/>
      <c r="V568" s="8"/>
      <c r="X568" s="31"/>
      <c r="Y568" s="31" t="str">
        <f>IF($X568="","",SUMIFS(TARIFF_PROFILES!$D:$D,TARIFF_PROFILES!$A:$A,$X568))</f>
        <v/>
      </c>
      <c r="Z568" s="31" t="str">
        <f>IF($X568="","",SUMIFS(TARIFF_PROFILES!$E:$E,TARIFF_PROFILES!$A:$A,$X568))</f>
        <v/>
      </c>
      <c r="AA568" s="31" t="str">
        <f>IF($X568="","",SUMIFS(TARIFF_PROFILES!$F:$F,TARIFF_PROFILES!$A:$A,$X568))</f>
        <v/>
      </c>
      <c r="AB568" s="31" t="str">
        <f>IF($X568="","",SUMIFS(TARIFF_PROFILES!$G:$G,TARIFF_PROFILES!$A:$A,$X568))</f>
        <v/>
      </c>
      <c r="AC568" s="31" t="str">
        <f>IF($X568="","",SUMIFS(TARIFF_PROFILES!$H:$H,TARIFF_PROFILES!$A:$A,$X568))</f>
        <v/>
      </c>
      <c r="AD568" s="31" t="str">
        <f t="array" ref="AD568">IF($X568="","",INDEX(TARIFF_PROFILES!$J:$J,MATCH($X568,TARIFF_PROFILES!$A:$A,0)))</f>
        <v/>
      </c>
      <c r="AE568" s="31" t="str">
        <f t="array" ref="AE568">IF($X568="","",INDEX(TARIFF_PROFILES!$K:$K,MATCH($X568,TARIFF_PROFILES!$A:$A,0)))</f>
        <v/>
      </c>
      <c r="AG568" s="8"/>
      <c r="AH568" s="8" t="str">
        <f>IF($AG568="","",SUMIFS(OPERATING_COEFFS!$C:$C,OPERATING_COEFFS!$A:$A,"DistanceClass",OPERATING_COEFFS!$B:$B,$AG568))</f>
        <v/>
      </c>
      <c r="AI568" s="8"/>
      <c r="AJ568" s="8" t="str">
        <f>IF($AI568="","",SUMIFS(OPERATING_COEFFS!$C:$C,OPERATING_COEFFS!$A:$A,"SeasonClass",OPERATING_COEFFS!$B:$B,$AI568))</f>
        <v/>
      </c>
      <c r="AK568" s="8"/>
      <c r="AL568" s="8" t="str">
        <f>IF($AK568="","",SUMIFS(OPERATING_COEFFS!$C:$C,OPERATING_COEFFS!$A:$A,"UrgencyClass",OPERATING_COEFFS!$B:$B,$AK568))</f>
        <v/>
      </c>
      <c r="AM568" s="8"/>
      <c r="AN568" s="8" t="str">
        <f t="array" ref="AN568">IF($AM568="","",INDEX(TAX_MODES!$B:$B,MATCH($AM568,TAX_MODES!$A:$A,0)))</f>
        <v/>
      </c>
    </row>
    <row r="569" ht="14.25" customHeight="1">
      <c r="C569" s="8"/>
      <c r="E569" s="8"/>
      <c r="G569" s="8"/>
      <c r="I569" s="8"/>
      <c r="K569" s="8"/>
      <c r="M569" s="8"/>
      <c r="O569" s="8"/>
      <c r="Q569" s="8"/>
      <c r="S569" s="8"/>
      <c r="V569" s="8"/>
      <c r="X569" s="31"/>
      <c r="Y569" s="31" t="str">
        <f>IF($X569="","",SUMIFS(TARIFF_PROFILES!$D:$D,TARIFF_PROFILES!$A:$A,$X569))</f>
        <v/>
      </c>
      <c r="Z569" s="31" t="str">
        <f>IF($X569="","",SUMIFS(TARIFF_PROFILES!$E:$E,TARIFF_PROFILES!$A:$A,$X569))</f>
        <v/>
      </c>
      <c r="AA569" s="31" t="str">
        <f>IF($X569="","",SUMIFS(TARIFF_PROFILES!$F:$F,TARIFF_PROFILES!$A:$A,$X569))</f>
        <v/>
      </c>
      <c r="AB569" s="31" t="str">
        <f>IF($X569="","",SUMIFS(TARIFF_PROFILES!$G:$G,TARIFF_PROFILES!$A:$A,$X569))</f>
        <v/>
      </c>
      <c r="AC569" s="31" t="str">
        <f>IF($X569="","",SUMIFS(TARIFF_PROFILES!$H:$H,TARIFF_PROFILES!$A:$A,$X569))</f>
        <v/>
      </c>
      <c r="AD569" s="31" t="str">
        <f t="array" ref="AD569">IF($X569="","",INDEX(TARIFF_PROFILES!$J:$J,MATCH($X569,TARIFF_PROFILES!$A:$A,0)))</f>
        <v/>
      </c>
      <c r="AE569" s="31" t="str">
        <f t="array" ref="AE569">IF($X569="","",INDEX(TARIFF_PROFILES!$K:$K,MATCH($X569,TARIFF_PROFILES!$A:$A,0)))</f>
        <v/>
      </c>
      <c r="AG569" s="8"/>
      <c r="AH569" s="8" t="str">
        <f>IF($AG569="","",SUMIFS(OPERATING_COEFFS!$C:$C,OPERATING_COEFFS!$A:$A,"DistanceClass",OPERATING_COEFFS!$B:$B,$AG569))</f>
        <v/>
      </c>
      <c r="AI569" s="8"/>
      <c r="AJ569" s="8" t="str">
        <f>IF($AI569="","",SUMIFS(OPERATING_COEFFS!$C:$C,OPERATING_COEFFS!$A:$A,"SeasonClass",OPERATING_COEFFS!$B:$B,$AI569))</f>
        <v/>
      </c>
      <c r="AK569" s="8"/>
      <c r="AL569" s="8" t="str">
        <f>IF($AK569="","",SUMIFS(OPERATING_COEFFS!$C:$C,OPERATING_COEFFS!$A:$A,"UrgencyClass",OPERATING_COEFFS!$B:$B,$AK569))</f>
        <v/>
      </c>
      <c r="AM569" s="8"/>
      <c r="AN569" s="8" t="str">
        <f t="array" ref="AN569">IF($AM569="","",INDEX(TAX_MODES!$B:$B,MATCH($AM569,TAX_MODES!$A:$A,0)))</f>
        <v/>
      </c>
    </row>
    <row r="570" ht="14.25" customHeight="1">
      <c r="C570" s="8"/>
      <c r="E570" s="8"/>
      <c r="G570" s="8"/>
      <c r="I570" s="8"/>
      <c r="K570" s="8"/>
      <c r="M570" s="8"/>
      <c r="O570" s="8"/>
      <c r="Q570" s="8"/>
      <c r="S570" s="8"/>
      <c r="V570" s="8"/>
      <c r="X570" s="31"/>
      <c r="Y570" s="31" t="str">
        <f>IF($X570="","",SUMIFS(TARIFF_PROFILES!$D:$D,TARIFF_PROFILES!$A:$A,$X570))</f>
        <v/>
      </c>
      <c r="Z570" s="31" t="str">
        <f>IF($X570="","",SUMIFS(TARIFF_PROFILES!$E:$E,TARIFF_PROFILES!$A:$A,$X570))</f>
        <v/>
      </c>
      <c r="AA570" s="31" t="str">
        <f>IF($X570="","",SUMIFS(TARIFF_PROFILES!$F:$F,TARIFF_PROFILES!$A:$A,$X570))</f>
        <v/>
      </c>
      <c r="AB570" s="31" t="str">
        <f>IF($X570="","",SUMIFS(TARIFF_PROFILES!$G:$G,TARIFF_PROFILES!$A:$A,$X570))</f>
        <v/>
      </c>
      <c r="AC570" s="31" t="str">
        <f>IF($X570="","",SUMIFS(TARIFF_PROFILES!$H:$H,TARIFF_PROFILES!$A:$A,$X570))</f>
        <v/>
      </c>
      <c r="AD570" s="31" t="str">
        <f t="array" ref="AD570">IF($X570="","",INDEX(TARIFF_PROFILES!$J:$J,MATCH($X570,TARIFF_PROFILES!$A:$A,0)))</f>
        <v/>
      </c>
      <c r="AE570" s="31" t="str">
        <f t="array" ref="AE570">IF($X570="","",INDEX(TARIFF_PROFILES!$K:$K,MATCH($X570,TARIFF_PROFILES!$A:$A,0)))</f>
        <v/>
      </c>
      <c r="AG570" s="8"/>
      <c r="AH570" s="8" t="str">
        <f>IF($AG570="","",SUMIFS(OPERATING_COEFFS!$C:$C,OPERATING_COEFFS!$A:$A,"DistanceClass",OPERATING_COEFFS!$B:$B,$AG570))</f>
        <v/>
      </c>
      <c r="AI570" s="8"/>
      <c r="AJ570" s="8" t="str">
        <f>IF($AI570="","",SUMIFS(OPERATING_COEFFS!$C:$C,OPERATING_COEFFS!$A:$A,"SeasonClass",OPERATING_COEFFS!$B:$B,$AI570))</f>
        <v/>
      </c>
      <c r="AK570" s="8"/>
      <c r="AL570" s="8" t="str">
        <f>IF($AK570="","",SUMIFS(OPERATING_COEFFS!$C:$C,OPERATING_COEFFS!$A:$A,"UrgencyClass",OPERATING_COEFFS!$B:$B,$AK570))</f>
        <v/>
      </c>
      <c r="AM570" s="8"/>
      <c r="AN570" s="8" t="str">
        <f t="array" ref="AN570">IF($AM570="","",INDEX(TAX_MODES!$B:$B,MATCH($AM570,TAX_MODES!$A:$A,0)))</f>
        <v/>
      </c>
    </row>
    <row r="571" ht="14.25" customHeight="1">
      <c r="C571" s="8"/>
      <c r="E571" s="8"/>
      <c r="G571" s="8"/>
      <c r="I571" s="8"/>
      <c r="K571" s="8"/>
      <c r="M571" s="8"/>
      <c r="O571" s="8"/>
      <c r="Q571" s="8"/>
      <c r="S571" s="8"/>
      <c r="V571" s="8"/>
      <c r="X571" s="31"/>
      <c r="Y571" s="31" t="str">
        <f>IF($X571="","",SUMIFS(TARIFF_PROFILES!$D:$D,TARIFF_PROFILES!$A:$A,$X571))</f>
        <v/>
      </c>
      <c r="Z571" s="31" t="str">
        <f>IF($X571="","",SUMIFS(TARIFF_PROFILES!$E:$E,TARIFF_PROFILES!$A:$A,$X571))</f>
        <v/>
      </c>
      <c r="AA571" s="31" t="str">
        <f>IF($X571="","",SUMIFS(TARIFF_PROFILES!$F:$F,TARIFF_PROFILES!$A:$A,$X571))</f>
        <v/>
      </c>
      <c r="AB571" s="31" t="str">
        <f>IF($X571="","",SUMIFS(TARIFF_PROFILES!$G:$G,TARIFF_PROFILES!$A:$A,$X571))</f>
        <v/>
      </c>
      <c r="AC571" s="31" t="str">
        <f>IF($X571="","",SUMIFS(TARIFF_PROFILES!$H:$H,TARIFF_PROFILES!$A:$A,$X571))</f>
        <v/>
      </c>
      <c r="AD571" s="31" t="str">
        <f t="array" ref="AD571">IF($X571="","",INDEX(TARIFF_PROFILES!$J:$J,MATCH($X571,TARIFF_PROFILES!$A:$A,0)))</f>
        <v/>
      </c>
      <c r="AE571" s="31" t="str">
        <f t="array" ref="AE571">IF($X571="","",INDEX(TARIFF_PROFILES!$K:$K,MATCH($X571,TARIFF_PROFILES!$A:$A,0)))</f>
        <v/>
      </c>
      <c r="AG571" s="8"/>
      <c r="AH571" s="8" t="str">
        <f>IF($AG571="","",SUMIFS(OPERATING_COEFFS!$C:$C,OPERATING_COEFFS!$A:$A,"DistanceClass",OPERATING_COEFFS!$B:$B,$AG571))</f>
        <v/>
      </c>
      <c r="AI571" s="8"/>
      <c r="AJ571" s="8" t="str">
        <f>IF($AI571="","",SUMIFS(OPERATING_COEFFS!$C:$C,OPERATING_COEFFS!$A:$A,"SeasonClass",OPERATING_COEFFS!$B:$B,$AI571))</f>
        <v/>
      </c>
      <c r="AK571" s="8"/>
      <c r="AL571" s="8" t="str">
        <f>IF($AK571="","",SUMIFS(OPERATING_COEFFS!$C:$C,OPERATING_COEFFS!$A:$A,"UrgencyClass",OPERATING_COEFFS!$B:$B,$AK571))</f>
        <v/>
      </c>
      <c r="AM571" s="8"/>
      <c r="AN571" s="8" t="str">
        <f t="array" ref="AN571">IF($AM571="","",INDEX(TAX_MODES!$B:$B,MATCH($AM571,TAX_MODES!$A:$A,0)))</f>
        <v/>
      </c>
    </row>
    <row r="572" ht="14.25" customHeight="1">
      <c r="C572" s="8"/>
      <c r="E572" s="8"/>
      <c r="G572" s="8"/>
      <c r="I572" s="8"/>
      <c r="K572" s="8"/>
      <c r="M572" s="8"/>
      <c r="O572" s="8"/>
      <c r="Q572" s="8"/>
      <c r="S572" s="8"/>
      <c r="V572" s="8"/>
      <c r="X572" s="31"/>
      <c r="Y572" s="31" t="str">
        <f>IF($X572="","",SUMIFS(TARIFF_PROFILES!$D:$D,TARIFF_PROFILES!$A:$A,$X572))</f>
        <v/>
      </c>
      <c r="Z572" s="31" t="str">
        <f>IF($X572="","",SUMIFS(TARIFF_PROFILES!$E:$E,TARIFF_PROFILES!$A:$A,$X572))</f>
        <v/>
      </c>
      <c r="AA572" s="31" t="str">
        <f>IF($X572="","",SUMIFS(TARIFF_PROFILES!$F:$F,TARIFF_PROFILES!$A:$A,$X572))</f>
        <v/>
      </c>
      <c r="AB572" s="31" t="str">
        <f>IF($X572="","",SUMIFS(TARIFF_PROFILES!$G:$G,TARIFF_PROFILES!$A:$A,$X572))</f>
        <v/>
      </c>
      <c r="AC572" s="31" t="str">
        <f>IF($X572="","",SUMIFS(TARIFF_PROFILES!$H:$H,TARIFF_PROFILES!$A:$A,$X572))</f>
        <v/>
      </c>
      <c r="AD572" s="31" t="str">
        <f t="array" ref="AD572">IF($X572="","",INDEX(TARIFF_PROFILES!$J:$J,MATCH($X572,TARIFF_PROFILES!$A:$A,0)))</f>
        <v/>
      </c>
      <c r="AE572" s="31" t="str">
        <f t="array" ref="AE572">IF($X572="","",INDEX(TARIFF_PROFILES!$K:$K,MATCH($X572,TARIFF_PROFILES!$A:$A,0)))</f>
        <v/>
      </c>
      <c r="AG572" s="8"/>
      <c r="AH572" s="8" t="str">
        <f>IF($AG572="","",SUMIFS(OPERATING_COEFFS!$C:$C,OPERATING_COEFFS!$A:$A,"DistanceClass",OPERATING_COEFFS!$B:$B,$AG572))</f>
        <v/>
      </c>
      <c r="AI572" s="8"/>
      <c r="AJ572" s="8" t="str">
        <f>IF($AI572="","",SUMIFS(OPERATING_COEFFS!$C:$C,OPERATING_COEFFS!$A:$A,"SeasonClass",OPERATING_COEFFS!$B:$B,$AI572))</f>
        <v/>
      </c>
      <c r="AK572" s="8"/>
      <c r="AL572" s="8" t="str">
        <f>IF($AK572="","",SUMIFS(OPERATING_COEFFS!$C:$C,OPERATING_COEFFS!$A:$A,"UrgencyClass",OPERATING_COEFFS!$B:$B,$AK572))</f>
        <v/>
      </c>
      <c r="AM572" s="8"/>
      <c r="AN572" s="8" t="str">
        <f t="array" ref="AN572">IF($AM572="","",INDEX(TAX_MODES!$B:$B,MATCH($AM572,TAX_MODES!$A:$A,0)))</f>
        <v/>
      </c>
    </row>
    <row r="573" ht="14.25" customHeight="1">
      <c r="C573" s="8"/>
      <c r="E573" s="8"/>
      <c r="G573" s="8"/>
      <c r="I573" s="8"/>
      <c r="K573" s="8"/>
      <c r="M573" s="8"/>
      <c r="O573" s="8"/>
      <c r="Q573" s="8"/>
      <c r="S573" s="8"/>
      <c r="V573" s="8"/>
      <c r="X573" s="31"/>
      <c r="Y573" s="31" t="str">
        <f>IF($X573="","",SUMIFS(TARIFF_PROFILES!$D:$D,TARIFF_PROFILES!$A:$A,$X573))</f>
        <v/>
      </c>
      <c r="Z573" s="31" t="str">
        <f>IF($X573="","",SUMIFS(TARIFF_PROFILES!$E:$E,TARIFF_PROFILES!$A:$A,$X573))</f>
        <v/>
      </c>
      <c r="AA573" s="31" t="str">
        <f>IF($X573="","",SUMIFS(TARIFF_PROFILES!$F:$F,TARIFF_PROFILES!$A:$A,$X573))</f>
        <v/>
      </c>
      <c r="AB573" s="31" t="str">
        <f>IF($X573="","",SUMIFS(TARIFF_PROFILES!$G:$G,TARIFF_PROFILES!$A:$A,$X573))</f>
        <v/>
      </c>
      <c r="AC573" s="31" t="str">
        <f>IF($X573="","",SUMIFS(TARIFF_PROFILES!$H:$H,TARIFF_PROFILES!$A:$A,$X573))</f>
        <v/>
      </c>
      <c r="AD573" s="31" t="str">
        <f t="array" ref="AD573">IF($X573="","",INDEX(TARIFF_PROFILES!$J:$J,MATCH($X573,TARIFF_PROFILES!$A:$A,0)))</f>
        <v/>
      </c>
      <c r="AE573" s="31" t="str">
        <f t="array" ref="AE573">IF($X573="","",INDEX(TARIFF_PROFILES!$K:$K,MATCH($X573,TARIFF_PROFILES!$A:$A,0)))</f>
        <v/>
      </c>
      <c r="AG573" s="8"/>
      <c r="AH573" s="8" t="str">
        <f>IF($AG573="","",SUMIFS(OPERATING_COEFFS!$C:$C,OPERATING_COEFFS!$A:$A,"DistanceClass",OPERATING_COEFFS!$B:$B,$AG573))</f>
        <v/>
      </c>
      <c r="AI573" s="8"/>
      <c r="AJ573" s="8" t="str">
        <f>IF($AI573="","",SUMIFS(OPERATING_COEFFS!$C:$C,OPERATING_COEFFS!$A:$A,"SeasonClass",OPERATING_COEFFS!$B:$B,$AI573))</f>
        <v/>
      </c>
      <c r="AK573" s="8"/>
      <c r="AL573" s="8" t="str">
        <f>IF($AK573="","",SUMIFS(OPERATING_COEFFS!$C:$C,OPERATING_COEFFS!$A:$A,"UrgencyClass",OPERATING_COEFFS!$B:$B,$AK573))</f>
        <v/>
      </c>
      <c r="AM573" s="8"/>
      <c r="AN573" s="8" t="str">
        <f t="array" ref="AN573">IF($AM573="","",INDEX(TAX_MODES!$B:$B,MATCH($AM573,TAX_MODES!$A:$A,0)))</f>
        <v/>
      </c>
    </row>
    <row r="574" ht="14.25" customHeight="1">
      <c r="C574" s="8"/>
      <c r="E574" s="8"/>
      <c r="G574" s="8"/>
      <c r="I574" s="8"/>
      <c r="K574" s="8"/>
      <c r="M574" s="8"/>
      <c r="O574" s="8"/>
      <c r="Q574" s="8"/>
      <c r="S574" s="8"/>
      <c r="V574" s="8"/>
      <c r="X574" s="31"/>
      <c r="Y574" s="31" t="str">
        <f>IF($X574="","",SUMIFS(TARIFF_PROFILES!$D:$D,TARIFF_PROFILES!$A:$A,$X574))</f>
        <v/>
      </c>
      <c r="Z574" s="31" t="str">
        <f>IF($X574="","",SUMIFS(TARIFF_PROFILES!$E:$E,TARIFF_PROFILES!$A:$A,$X574))</f>
        <v/>
      </c>
      <c r="AA574" s="31" t="str">
        <f>IF($X574="","",SUMIFS(TARIFF_PROFILES!$F:$F,TARIFF_PROFILES!$A:$A,$X574))</f>
        <v/>
      </c>
      <c r="AB574" s="31" t="str">
        <f>IF($X574="","",SUMIFS(TARIFF_PROFILES!$G:$G,TARIFF_PROFILES!$A:$A,$X574))</f>
        <v/>
      </c>
      <c r="AC574" s="31" t="str">
        <f>IF($X574="","",SUMIFS(TARIFF_PROFILES!$H:$H,TARIFF_PROFILES!$A:$A,$X574))</f>
        <v/>
      </c>
      <c r="AD574" s="31" t="str">
        <f t="array" ref="AD574">IF($X574="","",INDEX(TARIFF_PROFILES!$J:$J,MATCH($X574,TARIFF_PROFILES!$A:$A,0)))</f>
        <v/>
      </c>
      <c r="AE574" s="31" t="str">
        <f t="array" ref="AE574">IF($X574="","",INDEX(TARIFF_PROFILES!$K:$K,MATCH($X574,TARIFF_PROFILES!$A:$A,0)))</f>
        <v/>
      </c>
      <c r="AG574" s="8"/>
      <c r="AH574" s="8" t="str">
        <f>IF($AG574="","",SUMIFS(OPERATING_COEFFS!$C:$C,OPERATING_COEFFS!$A:$A,"DistanceClass",OPERATING_COEFFS!$B:$B,$AG574))</f>
        <v/>
      </c>
      <c r="AI574" s="8"/>
      <c r="AJ574" s="8" t="str">
        <f>IF($AI574="","",SUMIFS(OPERATING_COEFFS!$C:$C,OPERATING_COEFFS!$A:$A,"SeasonClass",OPERATING_COEFFS!$B:$B,$AI574))</f>
        <v/>
      </c>
      <c r="AK574" s="8"/>
      <c r="AL574" s="8" t="str">
        <f>IF($AK574="","",SUMIFS(OPERATING_COEFFS!$C:$C,OPERATING_COEFFS!$A:$A,"UrgencyClass",OPERATING_COEFFS!$B:$B,$AK574))</f>
        <v/>
      </c>
      <c r="AM574" s="8"/>
      <c r="AN574" s="8" t="str">
        <f t="array" ref="AN574">IF($AM574="","",INDEX(TAX_MODES!$B:$B,MATCH($AM574,TAX_MODES!$A:$A,0)))</f>
        <v/>
      </c>
    </row>
    <row r="575" ht="14.25" customHeight="1">
      <c r="C575" s="8"/>
      <c r="E575" s="8"/>
      <c r="G575" s="8"/>
      <c r="I575" s="8"/>
      <c r="K575" s="8"/>
      <c r="M575" s="8"/>
      <c r="O575" s="8"/>
      <c r="Q575" s="8"/>
      <c r="S575" s="8"/>
      <c r="V575" s="8"/>
      <c r="X575" s="31"/>
      <c r="Y575" s="31" t="str">
        <f>IF($X575="","",SUMIFS(TARIFF_PROFILES!$D:$D,TARIFF_PROFILES!$A:$A,$X575))</f>
        <v/>
      </c>
      <c r="Z575" s="31" t="str">
        <f>IF($X575="","",SUMIFS(TARIFF_PROFILES!$E:$E,TARIFF_PROFILES!$A:$A,$X575))</f>
        <v/>
      </c>
      <c r="AA575" s="31" t="str">
        <f>IF($X575="","",SUMIFS(TARIFF_PROFILES!$F:$F,TARIFF_PROFILES!$A:$A,$X575))</f>
        <v/>
      </c>
      <c r="AB575" s="31" t="str">
        <f>IF($X575="","",SUMIFS(TARIFF_PROFILES!$G:$G,TARIFF_PROFILES!$A:$A,$X575))</f>
        <v/>
      </c>
      <c r="AC575" s="31" t="str">
        <f>IF($X575="","",SUMIFS(TARIFF_PROFILES!$H:$H,TARIFF_PROFILES!$A:$A,$X575))</f>
        <v/>
      </c>
      <c r="AD575" s="31" t="str">
        <f t="array" ref="AD575">IF($X575="","",INDEX(TARIFF_PROFILES!$J:$J,MATCH($X575,TARIFF_PROFILES!$A:$A,0)))</f>
        <v/>
      </c>
      <c r="AE575" s="31" t="str">
        <f t="array" ref="AE575">IF($X575="","",INDEX(TARIFF_PROFILES!$K:$K,MATCH($X575,TARIFF_PROFILES!$A:$A,0)))</f>
        <v/>
      </c>
      <c r="AG575" s="8"/>
      <c r="AH575" s="8" t="str">
        <f>IF($AG575="","",SUMIFS(OPERATING_COEFFS!$C:$C,OPERATING_COEFFS!$A:$A,"DistanceClass",OPERATING_COEFFS!$B:$B,$AG575))</f>
        <v/>
      </c>
      <c r="AI575" s="8"/>
      <c r="AJ575" s="8" t="str">
        <f>IF($AI575="","",SUMIFS(OPERATING_COEFFS!$C:$C,OPERATING_COEFFS!$A:$A,"SeasonClass",OPERATING_COEFFS!$B:$B,$AI575))</f>
        <v/>
      </c>
      <c r="AK575" s="8"/>
      <c r="AL575" s="8" t="str">
        <f>IF($AK575="","",SUMIFS(OPERATING_COEFFS!$C:$C,OPERATING_COEFFS!$A:$A,"UrgencyClass",OPERATING_COEFFS!$B:$B,$AK575))</f>
        <v/>
      </c>
      <c r="AM575" s="8"/>
      <c r="AN575" s="8" t="str">
        <f t="array" ref="AN575">IF($AM575="","",INDEX(TAX_MODES!$B:$B,MATCH($AM575,TAX_MODES!$A:$A,0)))</f>
        <v/>
      </c>
    </row>
    <row r="576" ht="14.25" customHeight="1">
      <c r="C576" s="8"/>
      <c r="E576" s="8"/>
      <c r="G576" s="8"/>
      <c r="I576" s="8"/>
      <c r="K576" s="8"/>
      <c r="M576" s="8"/>
      <c r="O576" s="8"/>
      <c r="Q576" s="8"/>
      <c r="S576" s="8"/>
      <c r="V576" s="8"/>
      <c r="X576" s="31"/>
      <c r="Y576" s="31" t="str">
        <f>IF($X576="","",SUMIFS(TARIFF_PROFILES!$D:$D,TARIFF_PROFILES!$A:$A,$X576))</f>
        <v/>
      </c>
      <c r="Z576" s="31" t="str">
        <f>IF($X576="","",SUMIFS(TARIFF_PROFILES!$E:$E,TARIFF_PROFILES!$A:$A,$X576))</f>
        <v/>
      </c>
      <c r="AA576" s="31" t="str">
        <f>IF($X576="","",SUMIFS(TARIFF_PROFILES!$F:$F,TARIFF_PROFILES!$A:$A,$X576))</f>
        <v/>
      </c>
      <c r="AB576" s="31" t="str">
        <f>IF($X576="","",SUMIFS(TARIFF_PROFILES!$G:$G,TARIFF_PROFILES!$A:$A,$X576))</f>
        <v/>
      </c>
      <c r="AC576" s="31" t="str">
        <f>IF($X576="","",SUMIFS(TARIFF_PROFILES!$H:$H,TARIFF_PROFILES!$A:$A,$X576))</f>
        <v/>
      </c>
      <c r="AD576" s="31" t="str">
        <f t="array" ref="AD576">IF($X576="","",INDEX(TARIFF_PROFILES!$J:$J,MATCH($X576,TARIFF_PROFILES!$A:$A,0)))</f>
        <v/>
      </c>
      <c r="AE576" s="31" t="str">
        <f t="array" ref="AE576">IF($X576="","",INDEX(TARIFF_PROFILES!$K:$K,MATCH($X576,TARIFF_PROFILES!$A:$A,0)))</f>
        <v/>
      </c>
      <c r="AG576" s="8"/>
      <c r="AH576" s="8" t="str">
        <f>IF($AG576="","",SUMIFS(OPERATING_COEFFS!$C:$C,OPERATING_COEFFS!$A:$A,"DistanceClass",OPERATING_COEFFS!$B:$B,$AG576))</f>
        <v/>
      </c>
      <c r="AI576" s="8"/>
      <c r="AJ576" s="8" t="str">
        <f>IF($AI576="","",SUMIFS(OPERATING_COEFFS!$C:$C,OPERATING_COEFFS!$A:$A,"SeasonClass",OPERATING_COEFFS!$B:$B,$AI576))</f>
        <v/>
      </c>
      <c r="AK576" s="8"/>
      <c r="AL576" s="8" t="str">
        <f>IF($AK576="","",SUMIFS(OPERATING_COEFFS!$C:$C,OPERATING_COEFFS!$A:$A,"UrgencyClass",OPERATING_COEFFS!$B:$B,$AK576))</f>
        <v/>
      </c>
      <c r="AM576" s="8"/>
      <c r="AN576" s="8" t="str">
        <f t="array" ref="AN576">IF($AM576="","",INDEX(TAX_MODES!$B:$B,MATCH($AM576,TAX_MODES!$A:$A,0)))</f>
        <v/>
      </c>
    </row>
    <row r="577" ht="14.25" customHeight="1">
      <c r="C577" s="8"/>
      <c r="E577" s="8"/>
      <c r="G577" s="8"/>
      <c r="I577" s="8"/>
      <c r="K577" s="8"/>
      <c r="M577" s="8"/>
      <c r="O577" s="8"/>
      <c r="Q577" s="8"/>
      <c r="S577" s="8"/>
      <c r="V577" s="8"/>
      <c r="X577" s="31"/>
      <c r="Y577" s="31" t="str">
        <f>IF($X577="","",SUMIFS(TARIFF_PROFILES!$D:$D,TARIFF_PROFILES!$A:$A,$X577))</f>
        <v/>
      </c>
      <c r="Z577" s="31" t="str">
        <f>IF($X577="","",SUMIFS(TARIFF_PROFILES!$E:$E,TARIFF_PROFILES!$A:$A,$X577))</f>
        <v/>
      </c>
      <c r="AA577" s="31" t="str">
        <f>IF($X577="","",SUMIFS(TARIFF_PROFILES!$F:$F,TARIFF_PROFILES!$A:$A,$X577))</f>
        <v/>
      </c>
      <c r="AB577" s="31" t="str">
        <f>IF($X577="","",SUMIFS(TARIFF_PROFILES!$G:$G,TARIFF_PROFILES!$A:$A,$X577))</f>
        <v/>
      </c>
      <c r="AC577" s="31" t="str">
        <f>IF($X577="","",SUMIFS(TARIFF_PROFILES!$H:$H,TARIFF_PROFILES!$A:$A,$X577))</f>
        <v/>
      </c>
      <c r="AD577" s="31" t="str">
        <f t="array" ref="AD577">IF($X577="","",INDEX(TARIFF_PROFILES!$J:$J,MATCH($X577,TARIFF_PROFILES!$A:$A,0)))</f>
        <v/>
      </c>
      <c r="AE577" s="31" t="str">
        <f t="array" ref="AE577">IF($X577="","",INDEX(TARIFF_PROFILES!$K:$K,MATCH($X577,TARIFF_PROFILES!$A:$A,0)))</f>
        <v/>
      </c>
      <c r="AG577" s="8"/>
      <c r="AH577" s="8" t="str">
        <f>IF($AG577="","",SUMIFS(OPERATING_COEFFS!$C:$C,OPERATING_COEFFS!$A:$A,"DistanceClass",OPERATING_COEFFS!$B:$B,$AG577))</f>
        <v/>
      </c>
      <c r="AI577" s="8"/>
      <c r="AJ577" s="8" t="str">
        <f>IF($AI577="","",SUMIFS(OPERATING_COEFFS!$C:$C,OPERATING_COEFFS!$A:$A,"SeasonClass",OPERATING_COEFFS!$B:$B,$AI577))</f>
        <v/>
      </c>
      <c r="AK577" s="8"/>
      <c r="AL577" s="8" t="str">
        <f>IF($AK577="","",SUMIFS(OPERATING_COEFFS!$C:$C,OPERATING_COEFFS!$A:$A,"UrgencyClass",OPERATING_COEFFS!$B:$B,$AK577))</f>
        <v/>
      </c>
      <c r="AM577" s="8"/>
      <c r="AN577" s="8" t="str">
        <f t="array" ref="AN577">IF($AM577="","",INDEX(TAX_MODES!$B:$B,MATCH($AM577,TAX_MODES!$A:$A,0)))</f>
        <v/>
      </c>
    </row>
    <row r="578" ht="14.25" customHeight="1">
      <c r="C578" s="8"/>
      <c r="E578" s="8"/>
      <c r="G578" s="8"/>
      <c r="I578" s="8"/>
      <c r="K578" s="8"/>
      <c r="M578" s="8"/>
      <c r="O578" s="8"/>
      <c r="Q578" s="8"/>
      <c r="S578" s="8"/>
      <c r="V578" s="8"/>
      <c r="X578" s="31"/>
      <c r="Y578" s="31" t="str">
        <f>IF($X578="","",SUMIFS(TARIFF_PROFILES!$D:$D,TARIFF_PROFILES!$A:$A,$X578))</f>
        <v/>
      </c>
      <c r="Z578" s="31" t="str">
        <f>IF($X578="","",SUMIFS(TARIFF_PROFILES!$E:$E,TARIFF_PROFILES!$A:$A,$X578))</f>
        <v/>
      </c>
      <c r="AA578" s="31" t="str">
        <f>IF($X578="","",SUMIFS(TARIFF_PROFILES!$F:$F,TARIFF_PROFILES!$A:$A,$X578))</f>
        <v/>
      </c>
      <c r="AB578" s="31" t="str">
        <f>IF($X578="","",SUMIFS(TARIFF_PROFILES!$G:$G,TARIFF_PROFILES!$A:$A,$X578))</f>
        <v/>
      </c>
      <c r="AC578" s="31" t="str">
        <f>IF($X578="","",SUMIFS(TARIFF_PROFILES!$H:$H,TARIFF_PROFILES!$A:$A,$X578))</f>
        <v/>
      </c>
      <c r="AD578" s="31" t="str">
        <f t="array" ref="AD578">IF($X578="","",INDEX(TARIFF_PROFILES!$J:$J,MATCH($X578,TARIFF_PROFILES!$A:$A,0)))</f>
        <v/>
      </c>
      <c r="AE578" s="31" t="str">
        <f t="array" ref="AE578">IF($X578="","",INDEX(TARIFF_PROFILES!$K:$K,MATCH($X578,TARIFF_PROFILES!$A:$A,0)))</f>
        <v/>
      </c>
      <c r="AG578" s="8"/>
      <c r="AH578" s="8" t="str">
        <f>IF($AG578="","",SUMIFS(OPERATING_COEFFS!$C:$C,OPERATING_COEFFS!$A:$A,"DistanceClass",OPERATING_COEFFS!$B:$B,$AG578))</f>
        <v/>
      </c>
      <c r="AI578" s="8"/>
      <c r="AJ578" s="8" t="str">
        <f>IF($AI578="","",SUMIFS(OPERATING_COEFFS!$C:$C,OPERATING_COEFFS!$A:$A,"SeasonClass",OPERATING_COEFFS!$B:$B,$AI578))</f>
        <v/>
      </c>
      <c r="AK578" s="8"/>
      <c r="AL578" s="8" t="str">
        <f>IF($AK578="","",SUMIFS(OPERATING_COEFFS!$C:$C,OPERATING_COEFFS!$A:$A,"UrgencyClass",OPERATING_COEFFS!$B:$B,$AK578))</f>
        <v/>
      </c>
      <c r="AM578" s="8"/>
      <c r="AN578" s="8" t="str">
        <f t="array" ref="AN578">IF($AM578="","",INDEX(TAX_MODES!$B:$B,MATCH($AM578,TAX_MODES!$A:$A,0)))</f>
        <v/>
      </c>
    </row>
    <row r="579" ht="14.25" customHeight="1">
      <c r="C579" s="8"/>
      <c r="E579" s="8"/>
      <c r="G579" s="8"/>
      <c r="I579" s="8"/>
      <c r="K579" s="8"/>
      <c r="M579" s="8"/>
      <c r="O579" s="8"/>
      <c r="Q579" s="8"/>
      <c r="S579" s="8"/>
      <c r="V579" s="8"/>
      <c r="X579" s="31"/>
      <c r="Y579" s="31" t="str">
        <f>IF($X579="","",SUMIFS(TARIFF_PROFILES!$D:$D,TARIFF_PROFILES!$A:$A,$X579))</f>
        <v/>
      </c>
      <c r="Z579" s="31" t="str">
        <f>IF($X579="","",SUMIFS(TARIFF_PROFILES!$E:$E,TARIFF_PROFILES!$A:$A,$X579))</f>
        <v/>
      </c>
      <c r="AA579" s="31" t="str">
        <f>IF($X579="","",SUMIFS(TARIFF_PROFILES!$F:$F,TARIFF_PROFILES!$A:$A,$X579))</f>
        <v/>
      </c>
      <c r="AB579" s="31" t="str">
        <f>IF($X579="","",SUMIFS(TARIFF_PROFILES!$G:$G,TARIFF_PROFILES!$A:$A,$X579))</f>
        <v/>
      </c>
      <c r="AC579" s="31" t="str">
        <f>IF($X579="","",SUMIFS(TARIFF_PROFILES!$H:$H,TARIFF_PROFILES!$A:$A,$X579))</f>
        <v/>
      </c>
      <c r="AD579" s="31" t="str">
        <f t="array" ref="AD579">IF($X579="","",INDEX(TARIFF_PROFILES!$J:$J,MATCH($X579,TARIFF_PROFILES!$A:$A,0)))</f>
        <v/>
      </c>
      <c r="AE579" s="31" t="str">
        <f t="array" ref="AE579">IF($X579="","",INDEX(TARIFF_PROFILES!$K:$K,MATCH($X579,TARIFF_PROFILES!$A:$A,0)))</f>
        <v/>
      </c>
      <c r="AG579" s="8"/>
      <c r="AH579" s="8" t="str">
        <f>IF($AG579="","",SUMIFS(OPERATING_COEFFS!$C:$C,OPERATING_COEFFS!$A:$A,"DistanceClass",OPERATING_COEFFS!$B:$B,$AG579))</f>
        <v/>
      </c>
      <c r="AI579" s="8"/>
      <c r="AJ579" s="8" t="str">
        <f>IF($AI579="","",SUMIFS(OPERATING_COEFFS!$C:$C,OPERATING_COEFFS!$A:$A,"SeasonClass",OPERATING_COEFFS!$B:$B,$AI579))</f>
        <v/>
      </c>
      <c r="AK579" s="8"/>
      <c r="AL579" s="8" t="str">
        <f>IF($AK579="","",SUMIFS(OPERATING_COEFFS!$C:$C,OPERATING_COEFFS!$A:$A,"UrgencyClass",OPERATING_COEFFS!$B:$B,$AK579))</f>
        <v/>
      </c>
      <c r="AM579" s="8"/>
      <c r="AN579" s="8" t="str">
        <f t="array" ref="AN579">IF($AM579="","",INDEX(TAX_MODES!$B:$B,MATCH($AM579,TAX_MODES!$A:$A,0)))</f>
        <v/>
      </c>
    </row>
    <row r="580" ht="14.25" customHeight="1">
      <c r="C580" s="8"/>
      <c r="E580" s="8"/>
      <c r="G580" s="8"/>
      <c r="I580" s="8"/>
      <c r="K580" s="8"/>
      <c r="M580" s="8"/>
      <c r="O580" s="8"/>
      <c r="Q580" s="8"/>
      <c r="S580" s="8"/>
      <c r="V580" s="8"/>
      <c r="X580" s="31"/>
      <c r="Y580" s="31" t="str">
        <f>IF($X580="","",SUMIFS(TARIFF_PROFILES!$D:$D,TARIFF_PROFILES!$A:$A,$X580))</f>
        <v/>
      </c>
      <c r="Z580" s="31" t="str">
        <f>IF($X580="","",SUMIFS(TARIFF_PROFILES!$E:$E,TARIFF_PROFILES!$A:$A,$X580))</f>
        <v/>
      </c>
      <c r="AA580" s="31" t="str">
        <f>IF($X580="","",SUMIFS(TARIFF_PROFILES!$F:$F,TARIFF_PROFILES!$A:$A,$X580))</f>
        <v/>
      </c>
      <c r="AB580" s="31" t="str">
        <f>IF($X580="","",SUMIFS(TARIFF_PROFILES!$G:$G,TARIFF_PROFILES!$A:$A,$X580))</f>
        <v/>
      </c>
      <c r="AC580" s="31" t="str">
        <f>IF($X580="","",SUMIFS(TARIFF_PROFILES!$H:$H,TARIFF_PROFILES!$A:$A,$X580))</f>
        <v/>
      </c>
      <c r="AD580" s="31" t="str">
        <f t="array" ref="AD580">IF($X580="","",INDEX(TARIFF_PROFILES!$J:$J,MATCH($X580,TARIFF_PROFILES!$A:$A,0)))</f>
        <v/>
      </c>
      <c r="AE580" s="31" t="str">
        <f t="array" ref="AE580">IF($X580="","",INDEX(TARIFF_PROFILES!$K:$K,MATCH($X580,TARIFF_PROFILES!$A:$A,0)))</f>
        <v/>
      </c>
      <c r="AG580" s="8"/>
      <c r="AH580" s="8" t="str">
        <f>IF($AG580="","",SUMIFS(OPERATING_COEFFS!$C:$C,OPERATING_COEFFS!$A:$A,"DistanceClass",OPERATING_COEFFS!$B:$B,$AG580))</f>
        <v/>
      </c>
      <c r="AI580" s="8"/>
      <c r="AJ580" s="8" t="str">
        <f>IF($AI580="","",SUMIFS(OPERATING_COEFFS!$C:$C,OPERATING_COEFFS!$A:$A,"SeasonClass",OPERATING_COEFFS!$B:$B,$AI580))</f>
        <v/>
      </c>
      <c r="AK580" s="8"/>
      <c r="AL580" s="8" t="str">
        <f>IF($AK580="","",SUMIFS(OPERATING_COEFFS!$C:$C,OPERATING_COEFFS!$A:$A,"UrgencyClass",OPERATING_COEFFS!$B:$B,$AK580))</f>
        <v/>
      </c>
      <c r="AM580" s="8"/>
      <c r="AN580" s="8" t="str">
        <f t="array" ref="AN580">IF($AM580="","",INDEX(TAX_MODES!$B:$B,MATCH($AM580,TAX_MODES!$A:$A,0)))</f>
        <v/>
      </c>
    </row>
    <row r="581" ht="14.25" customHeight="1">
      <c r="C581" s="8"/>
      <c r="E581" s="8"/>
      <c r="G581" s="8"/>
      <c r="I581" s="8"/>
      <c r="K581" s="8"/>
      <c r="M581" s="8"/>
      <c r="O581" s="8"/>
      <c r="Q581" s="8"/>
      <c r="S581" s="8"/>
      <c r="V581" s="8"/>
      <c r="X581" s="31"/>
      <c r="Y581" s="31" t="str">
        <f>IF($X581="","",SUMIFS(TARIFF_PROFILES!$D:$D,TARIFF_PROFILES!$A:$A,$X581))</f>
        <v/>
      </c>
      <c r="Z581" s="31" t="str">
        <f>IF($X581="","",SUMIFS(TARIFF_PROFILES!$E:$E,TARIFF_PROFILES!$A:$A,$X581))</f>
        <v/>
      </c>
      <c r="AA581" s="31" t="str">
        <f>IF($X581="","",SUMIFS(TARIFF_PROFILES!$F:$F,TARIFF_PROFILES!$A:$A,$X581))</f>
        <v/>
      </c>
      <c r="AB581" s="31" t="str">
        <f>IF($X581="","",SUMIFS(TARIFF_PROFILES!$G:$G,TARIFF_PROFILES!$A:$A,$X581))</f>
        <v/>
      </c>
      <c r="AC581" s="31" t="str">
        <f>IF($X581="","",SUMIFS(TARIFF_PROFILES!$H:$H,TARIFF_PROFILES!$A:$A,$X581))</f>
        <v/>
      </c>
      <c r="AD581" s="31" t="str">
        <f t="array" ref="AD581">IF($X581="","",INDEX(TARIFF_PROFILES!$J:$J,MATCH($X581,TARIFF_PROFILES!$A:$A,0)))</f>
        <v/>
      </c>
      <c r="AE581" s="31" t="str">
        <f t="array" ref="AE581">IF($X581="","",INDEX(TARIFF_PROFILES!$K:$K,MATCH($X581,TARIFF_PROFILES!$A:$A,0)))</f>
        <v/>
      </c>
      <c r="AG581" s="8"/>
      <c r="AH581" s="8" t="str">
        <f>IF($AG581="","",SUMIFS(OPERATING_COEFFS!$C:$C,OPERATING_COEFFS!$A:$A,"DistanceClass",OPERATING_COEFFS!$B:$B,$AG581))</f>
        <v/>
      </c>
      <c r="AI581" s="8"/>
      <c r="AJ581" s="8" t="str">
        <f>IF($AI581="","",SUMIFS(OPERATING_COEFFS!$C:$C,OPERATING_COEFFS!$A:$A,"SeasonClass",OPERATING_COEFFS!$B:$B,$AI581))</f>
        <v/>
      </c>
      <c r="AK581" s="8"/>
      <c r="AL581" s="8" t="str">
        <f>IF($AK581="","",SUMIFS(OPERATING_COEFFS!$C:$C,OPERATING_COEFFS!$A:$A,"UrgencyClass",OPERATING_COEFFS!$B:$B,$AK581))</f>
        <v/>
      </c>
      <c r="AM581" s="8"/>
      <c r="AN581" s="8" t="str">
        <f t="array" ref="AN581">IF($AM581="","",INDEX(TAX_MODES!$B:$B,MATCH($AM581,TAX_MODES!$A:$A,0)))</f>
        <v/>
      </c>
    </row>
    <row r="582" ht="14.25" customHeight="1">
      <c r="C582" s="8"/>
      <c r="E582" s="8"/>
      <c r="G582" s="8"/>
      <c r="I582" s="8"/>
      <c r="K582" s="8"/>
      <c r="M582" s="8"/>
      <c r="O582" s="8"/>
      <c r="Q582" s="8"/>
      <c r="S582" s="8"/>
      <c r="V582" s="8"/>
      <c r="X582" s="31"/>
      <c r="Y582" s="31" t="str">
        <f>IF($X582="","",SUMIFS(TARIFF_PROFILES!$D:$D,TARIFF_PROFILES!$A:$A,$X582))</f>
        <v/>
      </c>
      <c r="Z582" s="31" t="str">
        <f>IF($X582="","",SUMIFS(TARIFF_PROFILES!$E:$E,TARIFF_PROFILES!$A:$A,$X582))</f>
        <v/>
      </c>
      <c r="AA582" s="31" t="str">
        <f>IF($X582="","",SUMIFS(TARIFF_PROFILES!$F:$F,TARIFF_PROFILES!$A:$A,$X582))</f>
        <v/>
      </c>
      <c r="AB582" s="31" t="str">
        <f>IF($X582="","",SUMIFS(TARIFF_PROFILES!$G:$G,TARIFF_PROFILES!$A:$A,$X582))</f>
        <v/>
      </c>
      <c r="AC582" s="31" t="str">
        <f>IF($X582="","",SUMIFS(TARIFF_PROFILES!$H:$H,TARIFF_PROFILES!$A:$A,$X582))</f>
        <v/>
      </c>
      <c r="AD582" s="31" t="str">
        <f t="array" ref="AD582">IF($X582="","",INDEX(TARIFF_PROFILES!$J:$J,MATCH($X582,TARIFF_PROFILES!$A:$A,0)))</f>
        <v/>
      </c>
      <c r="AE582" s="31" t="str">
        <f t="array" ref="AE582">IF($X582="","",INDEX(TARIFF_PROFILES!$K:$K,MATCH($X582,TARIFF_PROFILES!$A:$A,0)))</f>
        <v/>
      </c>
      <c r="AG582" s="8"/>
      <c r="AH582" s="8" t="str">
        <f>IF($AG582="","",SUMIFS(OPERATING_COEFFS!$C:$C,OPERATING_COEFFS!$A:$A,"DistanceClass",OPERATING_COEFFS!$B:$B,$AG582))</f>
        <v/>
      </c>
      <c r="AI582" s="8"/>
      <c r="AJ582" s="8" t="str">
        <f>IF($AI582="","",SUMIFS(OPERATING_COEFFS!$C:$C,OPERATING_COEFFS!$A:$A,"SeasonClass",OPERATING_COEFFS!$B:$B,$AI582))</f>
        <v/>
      </c>
      <c r="AK582" s="8"/>
      <c r="AL582" s="8" t="str">
        <f>IF($AK582="","",SUMIFS(OPERATING_COEFFS!$C:$C,OPERATING_COEFFS!$A:$A,"UrgencyClass",OPERATING_COEFFS!$B:$B,$AK582))</f>
        <v/>
      </c>
      <c r="AM582" s="8"/>
      <c r="AN582" s="8" t="str">
        <f t="array" ref="AN582">IF($AM582="","",INDEX(TAX_MODES!$B:$B,MATCH($AM582,TAX_MODES!$A:$A,0)))</f>
        <v/>
      </c>
    </row>
    <row r="583" ht="14.25" customHeight="1">
      <c r="C583" s="8"/>
      <c r="E583" s="8"/>
      <c r="G583" s="8"/>
      <c r="I583" s="8"/>
      <c r="K583" s="8"/>
      <c r="M583" s="8"/>
      <c r="O583" s="8"/>
      <c r="Q583" s="8"/>
      <c r="S583" s="8"/>
      <c r="V583" s="8"/>
      <c r="X583" s="31"/>
      <c r="Y583" s="31" t="str">
        <f>IF($X583="","",SUMIFS(TARIFF_PROFILES!$D:$D,TARIFF_PROFILES!$A:$A,$X583))</f>
        <v/>
      </c>
      <c r="Z583" s="31" t="str">
        <f>IF($X583="","",SUMIFS(TARIFF_PROFILES!$E:$E,TARIFF_PROFILES!$A:$A,$X583))</f>
        <v/>
      </c>
      <c r="AA583" s="31" t="str">
        <f>IF($X583="","",SUMIFS(TARIFF_PROFILES!$F:$F,TARIFF_PROFILES!$A:$A,$X583))</f>
        <v/>
      </c>
      <c r="AB583" s="31" t="str">
        <f>IF($X583="","",SUMIFS(TARIFF_PROFILES!$G:$G,TARIFF_PROFILES!$A:$A,$X583))</f>
        <v/>
      </c>
      <c r="AC583" s="31" t="str">
        <f>IF($X583="","",SUMIFS(TARIFF_PROFILES!$H:$H,TARIFF_PROFILES!$A:$A,$X583))</f>
        <v/>
      </c>
      <c r="AD583" s="31" t="str">
        <f t="array" ref="AD583">IF($X583="","",INDEX(TARIFF_PROFILES!$J:$J,MATCH($X583,TARIFF_PROFILES!$A:$A,0)))</f>
        <v/>
      </c>
      <c r="AE583" s="31" t="str">
        <f t="array" ref="AE583">IF($X583="","",INDEX(TARIFF_PROFILES!$K:$K,MATCH($X583,TARIFF_PROFILES!$A:$A,0)))</f>
        <v/>
      </c>
      <c r="AG583" s="8"/>
      <c r="AH583" s="8" t="str">
        <f>IF($AG583="","",SUMIFS(OPERATING_COEFFS!$C:$C,OPERATING_COEFFS!$A:$A,"DistanceClass",OPERATING_COEFFS!$B:$B,$AG583))</f>
        <v/>
      </c>
      <c r="AI583" s="8"/>
      <c r="AJ583" s="8" t="str">
        <f>IF($AI583="","",SUMIFS(OPERATING_COEFFS!$C:$C,OPERATING_COEFFS!$A:$A,"SeasonClass",OPERATING_COEFFS!$B:$B,$AI583))</f>
        <v/>
      </c>
      <c r="AK583" s="8"/>
      <c r="AL583" s="8" t="str">
        <f>IF($AK583="","",SUMIFS(OPERATING_COEFFS!$C:$C,OPERATING_COEFFS!$A:$A,"UrgencyClass",OPERATING_COEFFS!$B:$B,$AK583))</f>
        <v/>
      </c>
      <c r="AM583" s="8"/>
      <c r="AN583" s="8" t="str">
        <f t="array" ref="AN583">IF($AM583="","",INDEX(TAX_MODES!$B:$B,MATCH($AM583,TAX_MODES!$A:$A,0)))</f>
        <v/>
      </c>
    </row>
    <row r="584" ht="14.25" customHeight="1">
      <c r="C584" s="8"/>
      <c r="E584" s="8"/>
      <c r="G584" s="8"/>
      <c r="I584" s="8"/>
      <c r="K584" s="8"/>
      <c r="M584" s="8"/>
      <c r="O584" s="8"/>
      <c r="Q584" s="8"/>
      <c r="S584" s="8"/>
      <c r="V584" s="8"/>
      <c r="X584" s="31"/>
      <c r="Y584" s="31" t="str">
        <f>IF($X584="","",SUMIFS(TARIFF_PROFILES!$D:$D,TARIFF_PROFILES!$A:$A,$X584))</f>
        <v/>
      </c>
      <c r="Z584" s="31" t="str">
        <f>IF($X584="","",SUMIFS(TARIFF_PROFILES!$E:$E,TARIFF_PROFILES!$A:$A,$X584))</f>
        <v/>
      </c>
      <c r="AA584" s="31" t="str">
        <f>IF($X584="","",SUMIFS(TARIFF_PROFILES!$F:$F,TARIFF_PROFILES!$A:$A,$X584))</f>
        <v/>
      </c>
      <c r="AB584" s="31" t="str">
        <f>IF($X584="","",SUMIFS(TARIFF_PROFILES!$G:$G,TARIFF_PROFILES!$A:$A,$X584))</f>
        <v/>
      </c>
      <c r="AC584" s="31" t="str">
        <f>IF($X584="","",SUMIFS(TARIFF_PROFILES!$H:$H,TARIFF_PROFILES!$A:$A,$X584))</f>
        <v/>
      </c>
      <c r="AD584" s="31" t="str">
        <f t="array" ref="AD584">IF($X584="","",INDEX(TARIFF_PROFILES!$J:$J,MATCH($X584,TARIFF_PROFILES!$A:$A,0)))</f>
        <v/>
      </c>
      <c r="AE584" s="31" t="str">
        <f t="array" ref="AE584">IF($X584="","",INDEX(TARIFF_PROFILES!$K:$K,MATCH($X584,TARIFF_PROFILES!$A:$A,0)))</f>
        <v/>
      </c>
      <c r="AG584" s="8"/>
      <c r="AH584" s="8" t="str">
        <f>IF($AG584="","",SUMIFS(OPERATING_COEFFS!$C:$C,OPERATING_COEFFS!$A:$A,"DistanceClass",OPERATING_COEFFS!$B:$B,$AG584))</f>
        <v/>
      </c>
      <c r="AI584" s="8"/>
      <c r="AJ584" s="8" t="str">
        <f>IF($AI584="","",SUMIFS(OPERATING_COEFFS!$C:$C,OPERATING_COEFFS!$A:$A,"SeasonClass",OPERATING_COEFFS!$B:$B,$AI584))</f>
        <v/>
      </c>
      <c r="AK584" s="8"/>
      <c r="AL584" s="8" t="str">
        <f>IF($AK584="","",SUMIFS(OPERATING_COEFFS!$C:$C,OPERATING_COEFFS!$A:$A,"UrgencyClass",OPERATING_COEFFS!$B:$B,$AK584))</f>
        <v/>
      </c>
      <c r="AM584" s="8"/>
      <c r="AN584" s="8" t="str">
        <f t="array" ref="AN584">IF($AM584="","",INDEX(TAX_MODES!$B:$B,MATCH($AM584,TAX_MODES!$A:$A,0)))</f>
        <v/>
      </c>
    </row>
    <row r="585" ht="14.25" customHeight="1">
      <c r="C585" s="8"/>
      <c r="E585" s="8"/>
      <c r="G585" s="8"/>
      <c r="I585" s="8"/>
      <c r="K585" s="8"/>
      <c r="M585" s="8"/>
      <c r="O585" s="8"/>
      <c r="Q585" s="8"/>
      <c r="S585" s="8"/>
      <c r="V585" s="8"/>
      <c r="X585" s="31"/>
      <c r="Y585" s="31" t="str">
        <f>IF($X585="","",SUMIFS(TARIFF_PROFILES!$D:$D,TARIFF_PROFILES!$A:$A,$X585))</f>
        <v/>
      </c>
      <c r="Z585" s="31" t="str">
        <f>IF($X585="","",SUMIFS(TARIFF_PROFILES!$E:$E,TARIFF_PROFILES!$A:$A,$X585))</f>
        <v/>
      </c>
      <c r="AA585" s="31" t="str">
        <f>IF($X585="","",SUMIFS(TARIFF_PROFILES!$F:$F,TARIFF_PROFILES!$A:$A,$X585))</f>
        <v/>
      </c>
      <c r="AB585" s="31" t="str">
        <f>IF($X585="","",SUMIFS(TARIFF_PROFILES!$G:$G,TARIFF_PROFILES!$A:$A,$X585))</f>
        <v/>
      </c>
      <c r="AC585" s="31" t="str">
        <f>IF($X585="","",SUMIFS(TARIFF_PROFILES!$H:$H,TARIFF_PROFILES!$A:$A,$X585))</f>
        <v/>
      </c>
      <c r="AD585" s="31" t="str">
        <f t="array" ref="AD585">IF($X585="","",INDEX(TARIFF_PROFILES!$J:$J,MATCH($X585,TARIFF_PROFILES!$A:$A,0)))</f>
        <v/>
      </c>
      <c r="AE585" s="31" t="str">
        <f t="array" ref="AE585">IF($X585="","",INDEX(TARIFF_PROFILES!$K:$K,MATCH($X585,TARIFF_PROFILES!$A:$A,0)))</f>
        <v/>
      </c>
      <c r="AG585" s="8"/>
      <c r="AH585" s="8" t="str">
        <f>IF($AG585="","",SUMIFS(OPERATING_COEFFS!$C:$C,OPERATING_COEFFS!$A:$A,"DistanceClass",OPERATING_COEFFS!$B:$B,$AG585))</f>
        <v/>
      </c>
      <c r="AI585" s="8"/>
      <c r="AJ585" s="8" t="str">
        <f>IF($AI585="","",SUMIFS(OPERATING_COEFFS!$C:$C,OPERATING_COEFFS!$A:$A,"SeasonClass",OPERATING_COEFFS!$B:$B,$AI585))</f>
        <v/>
      </c>
      <c r="AK585" s="8"/>
      <c r="AL585" s="8" t="str">
        <f>IF($AK585="","",SUMIFS(OPERATING_COEFFS!$C:$C,OPERATING_COEFFS!$A:$A,"UrgencyClass",OPERATING_COEFFS!$B:$B,$AK585))</f>
        <v/>
      </c>
      <c r="AM585" s="8"/>
      <c r="AN585" s="8" t="str">
        <f t="array" ref="AN585">IF($AM585="","",INDEX(TAX_MODES!$B:$B,MATCH($AM585,TAX_MODES!$A:$A,0)))</f>
        <v/>
      </c>
    </row>
    <row r="586" ht="14.25" customHeight="1">
      <c r="C586" s="8"/>
      <c r="E586" s="8"/>
      <c r="G586" s="8"/>
      <c r="I586" s="8"/>
      <c r="K586" s="8"/>
      <c r="M586" s="8"/>
      <c r="O586" s="8"/>
      <c r="Q586" s="8"/>
      <c r="S586" s="8"/>
      <c r="V586" s="8"/>
      <c r="X586" s="31"/>
      <c r="Y586" s="31" t="str">
        <f>IF($X586="","",SUMIFS(TARIFF_PROFILES!$D:$D,TARIFF_PROFILES!$A:$A,$X586))</f>
        <v/>
      </c>
      <c r="Z586" s="31" t="str">
        <f>IF($X586="","",SUMIFS(TARIFF_PROFILES!$E:$E,TARIFF_PROFILES!$A:$A,$X586))</f>
        <v/>
      </c>
      <c r="AA586" s="31" t="str">
        <f>IF($X586="","",SUMIFS(TARIFF_PROFILES!$F:$F,TARIFF_PROFILES!$A:$A,$X586))</f>
        <v/>
      </c>
      <c r="AB586" s="31" t="str">
        <f>IF($X586="","",SUMIFS(TARIFF_PROFILES!$G:$G,TARIFF_PROFILES!$A:$A,$X586))</f>
        <v/>
      </c>
      <c r="AC586" s="31" t="str">
        <f>IF($X586="","",SUMIFS(TARIFF_PROFILES!$H:$H,TARIFF_PROFILES!$A:$A,$X586))</f>
        <v/>
      </c>
      <c r="AD586" s="31" t="str">
        <f t="array" ref="AD586">IF($X586="","",INDEX(TARIFF_PROFILES!$J:$J,MATCH($X586,TARIFF_PROFILES!$A:$A,0)))</f>
        <v/>
      </c>
      <c r="AE586" s="31" t="str">
        <f t="array" ref="AE586">IF($X586="","",INDEX(TARIFF_PROFILES!$K:$K,MATCH($X586,TARIFF_PROFILES!$A:$A,0)))</f>
        <v/>
      </c>
      <c r="AG586" s="8"/>
      <c r="AH586" s="8" t="str">
        <f>IF($AG586="","",SUMIFS(OPERATING_COEFFS!$C:$C,OPERATING_COEFFS!$A:$A,"DistanceClass",OPERATING_COEFFS!$B:$B,$AG586))</f>
        <v/>
      </c>
      <c r="AI586" s="8"/>
      <c r="AJ586" s="8" t="str">
        <f>IF($AI586="","",SUMIFS(OPERATING_COEFFS!$C:$C,OPERATING_COEFFS!$A:$A,"SeasonClass",OPERATING_COEFFS!$B:$B,$AI586))</f>
        <v/>
      </c>
      <c r="AK586" s="8"/>
      <c r="AL586" s="8" t="str">
        <f>IF($AK586="","",SUMIFS(OPERATING_COEFFS!$C:$C,OPERATING_COEFFS!$A:$A,"UrgencyClass",OPERATING_COEFFS!$B:$B,$AK586))</f>
        <v/>
      </c>
      <c r="AM586" s="8"/>
      <c r="AN586" s="8" t="str">
        <f t="array" ref="AN586">IF($AM586="","",INDEX(TAX_MODES!$B:$B,MATCH($AM586,TAX_MODES!$A:$A,0)))</f>
        <v/>
      </c>
    </row>
    <row r="587" ht="14.25" customHeight="1">
      <c r="C587" s="8"/>
      <c r="E587" s="8"/>
      <c r="G587" s="8"/>
      <c r="I587" s="8"/>
      <c r="K587" s="8"/>
      <c r="M587" s="8"/>
      <c r="O587" s="8"/>
      <c r="Q587" s="8"/>
      <c r="S587" s="8"/>
      <c r="V587" s="8"/>
      <c r="X587" s="31"/>
      <c r="Y587" s="31" t="str">
        <f>IF($X587="","",SUMIFS(TARIFF_PROFILES!$D:$D,TARIFF_PROFILES!$A:$A,$X587))</f>
        <v/>
      </c>
      <c r="Z587" s="31" t="str">
        <f>IF($X587="","",SUMIFS(TARIFF_PROFILES!$E:$E,TARIFF_PROFILES!$A:$A,$X587))</f>
        <v/>
      </c>
      <c r="AA587" s="31" t="str">
        <f>IF($X587="","",SUMIFS(TARIFF_PROFILES!$F:$F,TARIFF_PROFILES!$A:$A,$X587))</f>
        <v/>
      </c>
      <c r="AB587" s="31" t="str">
        <f>IF($X587="","",SUMIFS(TARIFF_PROFILES!$G:$G,TARIFF_PROFILES!$A:$A,$X587))</f>
        <v/>
      </c>
      <c r="AC587" s="31" t="str">
        <f>IF($X587="","",SUMIFS(TARIFF_PROFILES!$H:$H,TARIFF_PROFILES!$A:$A,$X587))</f>
        <v/>
      </c>
      <c r="AD587" s="31" t="str">
        <f t="array" ref="AD587">IF($X587="","",INDEX(TARIFF_PROFILES!$J:$J,MATCH($X587,TARIFF_PROFILES!$A:$A,0)))</f>
        <v/>
      </c>
      <c r="AE587" s="31" t="str">
        <f t="array" ref="AE587">IF($X587="","",INDEX(TARIFF_PROFILES!$K:$K,MATCH($X587,TARIFF_PROFILES!$A:$A,0)))</f>
        <v/>
      </c>
      <c r="AG587" s="8"/>
      <c r="AH587" s="8" t="str">
        <f>IF($AG587="","",SUMIFS(OPERATING_COEFFS!$C:$C,OPERATING_COEFFS!$A:$A,"DistanceClass",OPERATING_COEFFS!$B:$B,$AG587))</f>
        <v/>
      </c>
      <c r="AI587" s="8"/>
      <c r="AJ587" s="8" t="str">
        <f>IF($AI587="","",SUMIFS(OPERATING_COEFFS!$C:$C,OPERATING_COEFFS!$A:$A,"SeasonClass",OPERATING_COEFFS!$B:$B,$AI587))</f>
        <v/>
      </c>
      <c r="AK587" s="8"/>
      <c r="AL587" s="8" t="str">
        <f>IF($AK587="","",SUMIFS(OPERATING_COEFFS!$C:$C,OPERATING_COEFFS!$A:$A,"UrgencyClass",OPERATING_COEFFS!$B:$B,$AK587))</f>
        <v/>
      </c>
      <c r="AM587" s="8"/>
      <c r="AN587" s="8" t="str">
        <f t="array" ref="AN587">IF($AM587="","",INDEX(TAX_MODES!$B:$B,MATCH($AM587,TAX_MODES!$A:$A,0)))</f>
        <v/>
      </c>
    </row>
    <row r="588" ht="14.25" customHeight="1">
      <c r="C588" s="8"/>
      <c r="E588" s="8"/>
      <c r="G588" s="8"/>
      <c r="I588" s="8"/>
      <c r="K588" s="8"/>
      <c r="M588" s="8"/>
      <c r="O588" s="8"/>
      <c r="Q588" s="8"/>
      <c r="S588" s="8"/>
      <c r="V588" s="8"/>
      <c r="X588" s="31"/>
      <c r="Y588" s="31" t="str">
        <f>IF($X588="","",SUMIFS(TARIFF_PROFILES!$D:$D,TARIFF_PROFILES!$A:$A,$X588))</f>
        <v/>
      </c>
      <c r="Z588" s="31" t="str">
        <f>IF($X588="","",SUMIFS(TARIFF_PROFILES!$E:$E,TARIFF_PROFILES!$A:$A,$X588))</f>
        <v/>
      </c>
      <c r="AA588" s="31" t="str">
        <f>IF($X588="","",SUMIFS(TARIFF_PROFILES!$F:$F,TARIFF_PROFILES!$A:$A,$X588))</f>
        <v/>
      </c>
      <c r="AB588" s="31" t="str">
        <f>IF($X588="","",SUMIFS(TARIFF_PROFILES!$G:$G,TARIFF_PROFILES!$A:$A,$X588))</f>
        <v/>
      </c>
      <c r="AC588" s="31" t="str">
        <f>IF($X588="","",SUMIFS(TARIFF_PROFILES!$H:$H,TARIFF_PROFILES!$A:$A,$X588))</f>
        <v/>
      </c>
      <c r="AD588" s="31" t="str">
        <f t="array" ref="AD588">IF($X588="","",INDEX(TARIFF_PROFILES!$J:$J,MATCH($X588,TARIFF_PROFILES!$A:$A,0)))</f>
        <v/>
      </c>
      <c r="AE588" s="31" t="str">
        <f t="array" ref="AE588">IF($X588="","",INDEX(TARIFF_PROFILES!$K:$K,MATCH($X588,TARIFF_PROFILES!$A:$A,0)))</f>
        <v/>
      </c>
      <c r="AG588" s="8"/>
      <c r="AH588" s="8" t="str">
        <f>IF($AG588="","",SUMIFS(OPERATING_COEFFS!$C:$C,OPERATING_COEFFS!$A:$A,"DistanceClass",OPERATING_COEFFS!$B:$B,$AG588))</f>
        <v/>
      </c>
      <c r="AI588" s="8"/>
      <c r="AJ588" s="8" t="str">
        <f>IF($AI588="","",SUMIFS(OPERATING_COEFFS!$C:$C,OPERATING_COEFFS!$A:$A,"SeasonClass",OPERATING_COEFFS!$B:$B,$AI588))</f>
        <v/>
      </c>
      <c r="AK588" s="8"/>
      <c r="AL588" s="8" t="str">
        <f>IF($AK588="","",SUMIFS(OPERATING_COEFFS!$C:$C,OPERATING_COEFFS!$A:$A,"UrgencyClass",OPERATING_COEFFS!$B:$B,$AK588))</f>
        <v/>
      </c>
      <c r="AM588" s="8"/>
      <c r="AN588" s="8" t="str">
        <f t="array" ref="AN588">IF($AM588="","",INDEX(TAX_MODES!$B:$B,MATCH($AM588,TAX_MODES!$A:$A,0)))</f>
        <v/>
      </c>
    </row>
    <row r="589" ht="14.25" customHeight="1">
      <c r="C589" s="8"/>
      <c r="E589" s="8"/>
      <c r="G589" s="8"/>
      <c r="I589" s="8"/>
      <c r="K589" s="8"/>
      <c r="M589" s="8"/>
      <c r="O589" s="8"/>
      <c r="Q589" s="8"/>
      <c r="S589" s="8"/>
      <c r="V589" s="8"/>
      <c r="X589" s="31"/>
      <c r="Y589" s="31" t="str">
        <f>IF($X589="","",SUMIFS(TARIFF_PROFILES!$D:$D,TARIFF_PROFILES!$A:$A,$X589))</f>
        <v/>
      </c>
      <c r="Z589" s="31" t="str">
        <f>IF($X589="","",SUMIFS(TARIFF_PROFILES!$E:$E,TARIFF_PROFILES!$A:$A,$X589))</f>
        <v/>
      </c>
      <c r="AA589" s="31" t="str">
        <f>IF($X589="","",SUMIFS(TARIFF_PROFILES!$F:$F,TARIFF_PROFILES!$A:$A,$X589))</f>
        <v/>
      </c>
      <c r="AB589" s="31" t="str">
        <f>IF($X589="","",SUMIFS(TARIFF_PROFILES!$G:$G,TARIFF_PROFILES!$A:$A,$X589))</f>
        <v/>
      </c>
      <c r="AC589" s="31" t="str">
        <f>IF($X589="","",SUMIFS(TARIFF_PROFILES!$H:$H,TARIFF_PROFILES!$A:$A,$X589))</f>
        <v/>
      </c>
      <c r="AD589" s="31" t="str">
        <f t="array" ref="AD589">IF($X589="","",INDEX(TARIFF_PROFILES!$J:$J,MATCH($X589,TARIFF_PROFILES!$A:$A,0)))</f>
        <v/>
      </c>
      <c r="AE589" s="31" t="str">
        <f t="array" ref="AE589">IF($X589="","",INDEX(TARIFF_PROFILES!$K:$K,MATCH($X589,TARIFF_PROFILES!$A:$A,0)))</f>
        <v/>
      </c>
      <c r="AG589" s="8"/>
      <c r="AH589" s="8" t="str">
        <f>IF($AG589="","",SUMIFS(OPERATING_COEFFS!$C:$C,OPERATING_COEFFS!$A:$A,"DistanceClass",OPERATING_COEFFS!$B:$B,$AG589))</f>
        <v/>
      </c>
      <c r="AI589" s="8"/>
      <c r="AJ589" s="8" t="str">
        <f>IF($AI589="","",SUMIFS(OPERATING_COEFFS!$C:$C,OPERATING_COEFFS!$A:$A,"SeasonClass",OPERATING_COEFFS!$B:$B,$AI589))</f>
        <v/>
      </c>
      <c r="AK589" s="8"/>
      <c r="AL589" s="8" t="str">
        <f>IF($AK589="","",SUMIFS(OPERATING_COEFFS!$C:$C,OPERATING_COEFFS!$A:$A,"UrgencyClass",OPERATING_COEFFS!$B:$B,$AK589))</f>
        <v/>
      </c>
      <c r="AM589" s="8"/>
      <c r="AN589" s="8" t="str">
        <f t="array" ref="AN589">IF($AM589="","",INDEX(TAX_MODES!$B:$B,MATCH($AM589,TAX_MODES!$A:$A,0)))</f>
        <v/>
      </c>
    </row>
    <row r="590" ht="14.25" customHeight="1">
      <c r="C590" s="8"/>
      <c r="E590" s="8"/>
      <c r="G590" s="8"/>
      <c r="I590" s="8"/>
      <c r="K590" s="8"/>
      <c r="M590" s="8"/>
      <c r="O590" s="8"/>
      <c r="Q590" s="8"/>
      <c r="S590" s="8"/>
      <c r="V590" s="8"/>
      <c r="X590" s="31"/>
      <c r="Y590" s="31" t="str">
        <f>IF($X590="","",SUMIFS(TARIFF_PROFILES!$D:$D,TARIFF_PROFILES!$A:$A,$X590))</f>
        <v/>
      </c>
      <c r="Z590" s="31" t="str">
        <f>IF($X590="","",SUMIFS(TARIFF_PROFILES!$E:$E,TARIFF_PROFILES!$A:$A,$X590))</f>
        <v/>
      </c>
      <c r="AA590" s="31" t="str">
        <f>IF($X590="","",SUMIFS(TARIFF_PROFILES!$F:$F,TARIFF_PROFILES!$A:$A,$X590))</f>
        <v/>
      </c>
      <c r="AB590" s="31" t="str">
        <f>IF($X590="","",SUMIFS(TARIFF_PROFILES!$G:$G,TARIFF_PROFILES!$A:$A,$X590))</f>
        <v/>
      </c>
      <c r="AC590" s="31" t="str">
        <f>IF($X590="","",SUMIFS(TARIFF_PROFILES!$H:$H,TARIFF_PROFILES!$A:$A,$X590))</f>
        <v/>
      </c>
      <c r="AD590" s="31" t="str">
        <f t="array" ref="AD590">IF($X590="","",INDEX(TARIFF_PROFILES!$J:$J,MATCH($X590,TARIFF_PROFILES!$A:$A,0)))</f>
        <v/>
      </c>
      <c r="AE590" s="31" t="str">
        <f t="array" ref="AE590">IF($X590="","",INDEX(TARIFF_PROFILES!$K:$K,MATCH($X590,TARIFF_PROFILES!$A:$A,0)))</f>
        <v/>
      </c>
      <c r="AG590" s="8"/>
      <c r="AH590" s="8" t="str">
        <f>IF($AG590="","",SUMIFS(OPERATING_COEFFS!$C:$C,OPERATING_COEFFS!$A:$A,"DistanceClass",OPERATING_COEFFS!$B:$B,$AG590))</f>
        <v/>
      </c>
      <c r="AI590" s="8"/>
      <c r="AJ590" s="8" t="str">
        <f>IF($AI590="","",SUMIFS(OPERATING_COEFFS!$C:$C,OPERATING_COEFFS!$A:$A,"SeasonClass",OPERATING_COEFFS!$B:$B,$AI590))</f>
        <v/>
      </c>
      <c r="AK590" s="8"/>
      <c r="AL590" s="8" t="str">
        <f>IF($AK590="","",SUMIFS(OPERATING_COEFFS!$C:$C,OPERATING_COEFFS!$A:$A,"UrgencyClass",OPERATING_COEFFS!$B:$B,$AK590))</f>
        <v/>
      </c>
      <c r="AM590" s="8"/>
      <c r="AN590" s="8" t="str">
        <f t="array" ref="AN590">IF($AM590="","",INDEX(TAX_MODES!$B:$B,MATCH($AM590,TAX_MODES!$A:$A,0)))</f>
        <v/>
      </c>
    </row>
    <row r="591" ht="14.25" customHeight="1">
      <c r="C591" s="8"/>
      <c r="E591" s="8"/>
      <c r="G591" s="8"/>
      <c r="I591" s="8"/>
      <c r="K591" s="8"/>
      <c r="M591" s="8"/>
      <c r="O591" s="8"/>
      <c r="Q591" s="8"/>
      <c r="S591" s="8"/>
      <c r="V591" s="8"/>
      <c r="X591" s="31"/>
      <c r="Y591" s="31" t="str">
        <f>IF($X591="","",SUMIFS(TARIFF_PROFILES!$D:$D,TARIFF_PROFILES!$A:$A,$X591))</f>
        <v/>
      </c>
      <c r="Z591" s="31" t="str">
        <f>IF($X591="","",SUMIFS(TARIFF_PROFILES!$E:$E,TARIFF_PROFILES!$A:$A,$X591))</f>
        <v/>
      </c>
      <c r="AA591" s="31" t="str">
        <f>IF($X591="","",SUMIFS(TARIFF_PROFILES!$F:$F,TARIFF_PROFILES!$A:$A,$X591))</f>
        <v/>
      </c>
      <c r="AB591" s="31" t="str">
        <f>IF($X591="","",SUMIFS(TARIFF_PROFILES!$G:$G,TARIFF_PROFILES!$A:$A,$X591))</f>
        <v/>
      </c>
      <c r="AC591" s="31" t="str">
        <f>IF($X591="","",SUMIFS(TARIFF_PROFILES!$H:$H,TARIFF_PROFILES!$A:$A,$X591))</f>
        <v/>
      </c>
      <c r="AD591" s="31" t="str">
        <f t="array" ref="AD591">IF($X591="","",INDEX(TARIFF_PROFILES!$J:$J,MATCH($X591,TARIFF_PROFILES!$A:$A,0)))</f>
        <v/>
      </c>
      <c r="AE591" s="31" t="str">
        <f t="array" ref="AE591">IF($X591="","",INDEX(TARIFF_PROFILES!$K:$K,MATCH($X591,TARIFF_PROFILES!$A:$A,0)))</f>
        <v/>
      </c>
      <c r="AG591" s="8"/>
      <c r="AH591" s="8" t="str">
        <f>IF($AG591="","",SUMIFS(OPERATING_COEFFS!$C:$C,OPERATING_COEFFS!$A:$A,"DistanceClass",OPERATING_COEFFS!$B:$B,$AG591))</f>
        <v/>
      </c>
      <c r="AI591" s="8"/>
      <c r="AJ591" s="8" t="str">
        <f>IF($AI591="","",SUMIFS(OPERATING_COEFFS!$C:$C,OPERATING_COEFFS!$A:$A,"SeasonClass",OPERATING_COEFFS!$B:$B,$AI591))</f>
        <v/>
      </c>
      <c r="AK591" s="8"/>
      <c r="AL591" s="8" t="str">
        <f>IF($AK591="","",SUMIFS(OPERATING_COEFFS!$C:$C,OPERATING_COEFFS!$A:$A,"UrgencyClass",OPERATING_COEFFS!$B:$B,$AK591))</f>
        <v/>
      </c>
      <c r="AM591" s="8"/>
      <c r="AN591" s="8" t="str">
        <f t="array" ref="AN591">IF($AM591="","",INDEX(TAX_MODES!$B:$B,MATCH($AM591,TAX_MODES!$A:$A,0)))</f>
        <v/>
      </c>
    </row>
    <row r="592" ht="14.25" customHeight="1">
      <c r="C592" s="8"/>
      <c r="E592" s="8"/>
      <c r="G592" s="8"/>
      <c r="I592" s="8"/>
      <c r="K592" s="8"/>
      <c r="M592" s="8"/>
      <c r="O592" s="8"/>
      <c r="Q592" s="8"/>
      <c r="S592" s="8"/>
      <c r="V592" s="8"/>
      <c r="X592" s="31"/>
      <c r="Y592" s="31" t="str">
        <f>IF($X592="","",SUMIFS(TARIFF_PROFILES!$D:$D,TARIFF_PROFILES!$A:$A,$X592))</f>
        <v/>
      </c>
      <c r="Z592" s="31" t="str">
        <f>IF($X592="","",SUMIFS(TARIFF_PROFILES!$E:$E,TARIFF_PROFILES!$A:$A,$X592))</f>
        <v/>
      </c>
      <c r="AA592" s="31" t="str">
        <f>IF($X592="","",SUMIFS(TARIFF_PROFILES!$F:$F,TARIFF_PROFILES!$A:$A,$X592))</f>
        <v/>
      </c>
      <c r="AB592" s="31" t="str">
        <f>IF($X592="","",SUMIFS(TARIFF_PROFILES!$G:$G,TARIFF_PROFILES!$A:$A,$X592))</f>
        <v/>
      </c>
      <c r="AC592" s="31" t="str">
        <f>IF($X592="","",SUMIFS(TARIFF_PROFILES!$H:$H,TARIFF_PROFILES!$A:$A,$X592))</f>
        <v/>
      </c>
      <c r="AD592" s="31" t="str">
        <f t="array" ref="AD592">IF($X592="","",INDEX(TARIFF_PROFILES!$J:$J,MATCH($X592,TARIFF_PROFILES!$A:$A,0)))</f>
        <v/>
      </c>
      <c r="AE592" s="31" t="str">
        <f t="array" ref="AE592">IF($X592="","",INDEX(TARIFF_PROFILES!$K:$K,MATCH($X592,TARIFF_PROFILES!$A:$A,0)))</f>
        <v/>
      </c>
      <c r="AG592" s="8"/>
      <c r="AH592" s="8" t="str">
        <f>IF($AG592="","",SUMIFS(OPERATING_COEFFS!$C:$C,OPERATING_COEFFS!$A:$A,"DistanceClass",OPERATING_COEFFS!$B:$B,$AG592))</f>
        <v/>
      </c>
      <c r="AI592" s="8"/>
      <c r="AJ592" s="8" t="str">
        <f>IF($AI592="","",SUMIFS(OPERATING_COEFFS!$C:$C,OPERATING_COEFFS!$A:$A,"SeasonClass",OPERATING_COEFFS!$B:$B,$AI592))</f>
        <v/>
      </c>
      <c r="AK592" s="8"/>
      <c r="AL592" s="8" t="str">
        <f>IF($AK592="","",SUMIFS(OPERATING_COEFFS!$C:$C,OPERATING_COEFFS!$A:$A,"UrgencyClass",OPERATING_COEFFS!$B:$B,$AK592))</f>
        <v/>
      </c>
      <c r="AM592" s="8"/>
      <c r="AN592" s="8" t="str">
        <f t="array" ref="AN592">IF($AM592="","",INDEX(TAX_MODES!$B:$B,MATCH($AM592,TAX_MODES!$A:$A,0)))</f>
        <v/>
      </c>
    </row>
    <row r="593" ht="14.25" customHeight="1">
      <c r="C593" s="8"/>
      <c r="E593" s="8"/>
      <c r="G593" s="8"/>
      <c r="I593" s="8"/>
      <c r="K593" s="8"/>
      <c r="M593" s="8"/>
      <c r="O593" s="8"/>
      <c r="Q593" s="8"/>
      <c r="S593" s="8"/>
      <c r="V593" s="8"/>
      <c r="X593" s="31"/>
      <c r="Y593" s="31" t="str">
        <f>IF($X593="","",SUMIFS(TARIFF_PROFILES!$D:$D,TARIFF_PROFILES!$A:$A,$X593))</f>
        <v/>
      </c>
      <c r="Z593" s="31" t="str">
        <f>IF($X593="","",SUMIFS(TARIFF_PROFILES!$E:$E,TARIFF_PROFILES!$A:$A,$X593))</f>
        <v/>
      </c>
      <c r="AA593" s="31" t="str">
        <f>IF($X593="","",SUMIFS(TARIFF_PROFILES!$F:$F,TARIFF_PROFILES!$A:$A,$X593))</f>
        <v/>
      </c>
      <c r="AB593" s="31" t="str">
        <f>IF($X593="","",SUMIFS(TARIFF_PROFILES!$G:$G,TARIFF_PROFILES!$A:$A,$X593))</f>
        <v/>
      </c>
      <c r="AC593" s="31" t="str">
        <f>IF($X593="","",SUMIFS(TARIFF_PROFILES!$H:$H,TARIFF_PROFILES!$A:$A,$X593))</f>
        <v/>
      </c>
      <c r="AD593" s="31" t="str">
        <f t="array" ref="AD593">IF($X593="","",INDEX(TARIFF_PROFILES!$J:$J,MATCH($X593,TARIFF_PROFILES!$A:$A,0)))</f>
        <v/>
      </c>
      <c r="AE593" s="31" t="str">
        <f t="array" ref="AE593">IF($X593="","",INDEX(TARIFF_PROFILES!$K:$K,MATCH($X593,TARIFF_PROFILES!$A:$A,0)))</f>
        <v/>
      </c>
      <c r="AG593" s="8"/>
      <c r="AH593" s="8" t="str">
        <f>IF($AG593="","",SUMIFS(OPERATING_COEFFS!$C:$C,OPERATING_COEFFS!$A:$A,"DistanceClass",OPERATING_COEFFS!$B:$B,$AG593))</f>
        <v/>
      </c>
      <c r="AI593" s="8"/>
      <c r="AJ593" s="8" t="str">
        <f>IF($AI593="","",SUMIFS(OPERATING_COEFFS!$C:$C,OPERATING_COEFFS!$A:$A,"SeasonClass",OPERATING_COEFFS!$B:$B,$AI593))</f>
        <v/>
      </c>
      <c r="AK593" s="8"/>
      <c r="AL593" s="8" t="str">
        <f>IF($AK593="","",SUMIFS(OPERATING_COEFFS!$C:$C,OPERATING_COEFFS!$A:$A,"UrgencyClass",OPERATING_COEFFS!$B:$B,$AK593))</f>
        <v/>
      </c>
      <c r="AM593" s="8"/>
      <c r="AN593" s="8" t="str">
        <f t="array" ref="AN593">IF($AM593="","",INDEX(TAX_MODES!$B:$B,MATCH($AM593,TAX_MODES!$A:$A,0)))</f>
        <v/>
      </c>
    </row>
    <row r="594" ht="14.25" customHeight="1">
      <c r="C594" s="8"/>
      <c r="E594" s="8"/>
      <c r="G594" s="8"/>
      <c r="I594" s="8"/>
      <c r="K594" s="8"/>
      <c r="M594" s="8"/>
      <c r="O594" s="8"/>
      <c r="Q594" s="8"/>
      <c r="S594" s="8"/>
      <c r="V594" s="8"/>
      <c r="X594" s="31"/>
      <c r="Y594" s="31" t="str">
        <f>IF($X594="","",SUMIFS(TARIFF_PROFILES!$D:$D,TARIFF_PROFILES!$A:$A,$X594))</f>
        <v/>
      </c>
      <c r="Z594" s="31" t="str">
        <f>IF($X594="","",SUMIFS(TARIFF_PROFILES!$E:$E,TARIFF_PROFILES!$A:$A,$X594))</f>
        <v/>
      </c>
      <c r="AA594" s="31" t="str">
        <f>IF($X594="","",SUMIFS(TARIFF_PROFILES!$F:$F,TARIFF_PROFILES!$A:$A,$X594))</f>
        <v/>
      </c>
      <c r="AB594" s="31" t="str">
        <f>IF($X594="","",SUMIFS(TARIFF_PROFILES!$G:$G,TARIFF_PROFILES!$A:$A,$X594))</f>
        <v/>
      </c>
      <c r="AC594" s="31" t="str">
        <f>IF($X594="","",SUMIFS(TARIFF_PROFILES!$H:$H,TARIFF_PROFILES!$A:$A,$X594))</f>
        <v/>
      </c>
      <c r="AD594" s="31" t="str">
        <f t="array" ref="AD594">IF($X594="","",INDEX(TARIFF_PROFILES!$J:$J,MATCH($X594,TARIFF_PROFILES!$A:$A,0)))</f>
        <v/>
      </c>
      <c r="AE594" s="31" t="str">
        <f t="array" ref="AE594">IF($X594="","",INDEX(TARIFF_PROFILES!$K:$K,MATCH($X594,TARIFF_PROFILES!$A:$A,0)))</f>
        <v/>
      </c>
      <c r="AG594" s="8"/>
      <c r="AH594" s="8" t="str">
        <f>IF($AG594="","",SUMIFS(OPERATING_COEFFS!$C:$C,OPERATING_COEFFS!$A:$A,"DistanceClass",OPERATING_COEFFS!$B:$B,$AG594))</f>
        <v/>
      </c>
      <c r="AI594" s="8"/>
      <c r="AJ594" s="8" t="str">
        <f>IF($AI594="","",SUMIFS(OPERATING_COEFFS!$C:$C,OPERATING_COEFFS!$A:$A,"SeasonClass",OPERATING_COEFFS!$B:$B,$AI594))</f>
        <v/>
      </c>
      <c r="AK594" s="8"/>
      <c r="AL594" s="8" t="str">
        <f>IF($AK594="","",SUMIFS(OPERATING_COEFFS!$C:$C,OPERATING_COEFFS!$A:$A,"UrgencyClass",OPERATING_COEFFS!$B:$B,$AK594))</f>
        <v/>
      </c>
      <c r="AM594" s="8"/>
      <c r="AN594" s="8" t="str">
        <f t="array" ref="AN594">IF($AM594="","",INDEX(TAX_MODES!$B:$B,MATCH($AM594,TAX_MODES!$A:$A,0)))</f>
        <v/>
      </c>
    </row>
    <row r="595" ht="14.25" customHeight="1">
      <c r="C595" s="8"/>
      <c r="E595" s="8"/>
      <c r="G595" s="8"/>
      <c r="I595" s="8"/>
      <c r="K595" s="8"/>
      <c r="M595" s="8"/>
      <c r="O595" s="8"/>
      <c r="Q595" s="8"/>
      <c r="S595" s="8"/>
      <c r="V595" s="8"/>
      <c r="X595" s="31"/>
      <c r="Y595" s="31" t="str">
        <f>IF($X595="","",SUMIFS(TARIFF_PROFILES!$D:$D,TARIFF_PROFILES!$A:$A,$X595))</f>
        <v/>
      </c>
      <c r="Z595" s="31" t="str">
        <f>IF($X595="","",SUMIFS(TARIFF_PROFILES!$E:$E,TARIFF_PROFILES!$A:$A,$X595))</f>
        <v/>
      </c>
      <c r="AA595" s="31" t="str">
        <f>IF($X595="","",SUMIFS(TARIFF_PROFILES!$F:$F,TARIFF_PROFILES!$A:$A,$X595))</f>
        <v/>
      </c>
      <c r="AB595" s="31" t="str">
        <f>IF($X595="","",SUMIFS(TARIFF_PROFILES!$G:$G,TARIFF_PROFILES!$A:$A,$X595))</f>
        <v/>
      </c>
      <c r="AC595" s="31" t="str">
        <f>IF($X595="","",SUMIFS(TARIFF_PROFILES!$H:$H,TARIFF_PROFILES!$A:$A,$X595))</f>
        <v/>
      </c>
      <c r="AD595" s="31" t="str">
        <f t="array" ref="AD595">IF($X595="","",INDEX(TARIFF_PROFILES!$J:$J,MATCH($X595,TARIFF_PROFILES!$A:$A,0)))</f>
        <v/>
      </c>
      <c r="AE595" s="31" t="str">
        <f t="array" ref="AE595">IF($X595="","",INDEX(TARIFF_PROFILES!$K:$K,MATCH($X595,TARIFF_PROFILES!$A:$A,0)))</f>
        <v/>
      </c>
      <c r="AG595" s="8"/>
      <c r="AH595" s="8" t="str">
        <f>IF($AG595="","",SUMIFS(OPERATING_COEFFS!$C:$C,OPERATING_COEFFS!$A:$A,"DistanceClass",OPERATING_COEFFS!$B:$B,$AG595))</f>
        <v/>
      </c>
      <c r="AI595" s="8"/>
      <c r="AJ595" s="8" t="str">
        <f>IF($AI595="","",SUMIFS(OPERATING_COEFFS!$C:$C,OPERATING_COEFFS!$A:$A,"SeasonClass",OPERATING_COEFFS!$B:$B,$AI595))</f>
        <v/>
      </c>
      <c r="AK595" s="8"/>
      <c r="AL595" s="8" t="str">
        <f>IF($AK595="","",SUMIFS(OPERATING_COEFFS!$C:$C,OPERATING_COEFFS!$A:$A,"UrgencyClass",OPERATING_COEFFS!$B:$B,$AK595))</f>
        <v/>
      </c>
      <c r="AM595" s="8"/>
      <c r="AN595" s="8" t="str">
        <f t="array" ref="AN595">IF($AM595="","",INDEX(TAX_MODES!$B:$B,MATCH($AM595,TAX_MODES!$A:$A,0)))</f>
        <v/>
      </c>
    </row>
    <row r="596" ht="14.25" customHeight="1">
      <c r="C596" s="8"/>
      <c r="E596" s="8"/>
      <c r="G596" s="8"/>
      <c r="I596" s="8"/>
      <c r="K596" s="8"/>
      <c r="M596" s="8"/>
      <c r="O596" s="8"/>
      <c r="Q596" s="8"/>
      <c r="S596" s="8"/>
      <c r="V596" s="8"/>
      <c r="X596" s="31"/>
      <c r="Y596" s="31" t="str">
        <f>IF($X596="","",SUMIFS(TARIFF_PROFILES!$D:$D,TARIFF_PROFILES!$A:$A,$X596))</f>
        <v/>
      </c>
      <c r="Z596" s="31" t="str">
        <f>IF($X596="","",SUMIFS(TARIFF_PROFILES!$E:$E,TARIFF_PROFILES!$A:$A,$X596))</f>
        <v/>
      </c>
      <c r="AA596" s="31" t="str">
        <f>IF($X596="","",SUMIFS(TARIFF_PROFILES!$F:$F,TARIFF_PROFILES!$A:$A,$X596))</f>
        <v/>
      </c>
      <c r="AB596" s="31" t="str">
        <f>IF($X596="","",SUMIFS(TARIFF_PROFILES!$G:$G,TARIFF_PROFILES!$A:$A,$X596))</f>
        <v/>
      </c>
      <c r="AC596" s="31" t="str">
        <f>IF($X596="","",SUMIFS(TARIFF_PROFILES!$H:$H,TARIFF_PROFILES!$A:$A,$X596))</f>
        <v/>
      </c>
      <c r="AD596" s="31" t="str">
        <f t="array" ref="AD596">IF($X596="","",INDEX(TARIFF_PROFILES!$J:$J,MATCH($X596,TARIFF_PROFILES!$A:$A,0)))</f>
        <v/>
      </c>
      <c r="AE596" s="31" t="str">
        <f t="array" ref="AE596">IF($X596="","",INDEX(TARIFF_PROFILES!$K:$K,MATCH($X596,TARIFF_PROFILES!$A:$A,0)))</f>
        <v/>
      </c>
      <c r="AG596" s="8"/>
      <c r="AH596" s="8" t="str">
        <f>IF($AG596="","",SUMIFS(OPERATING_COEFFS!$C:$C,OPERATING_COEFFS!$A:$A,"DistanceClass",OPERATING_COEFFS!$B:$B,$AG596))</f>
        <v/>
      </c>
      <c r="AI596" s="8"/>
      <c r="AJ596" s="8" t="str">
        <f>IF($AI596="","",SUMIFS(OPERATING_COEFFS!$C:$C,OPERATING_COEFFS!$A:$A,"SeasonClass",OPERATING_COEFFS!$B:$B,$AI596))</f>
        <v/>
      </c>
      <c r="AK596" s="8"/>
      <c r="AL596" s="8" t="str">
        <f>IF($AK596="","",SUMIFS(OPERATING_COEFFS!$C:$C,OPERATING_COEFFS!$A:$A,"UrgencyClass",OPERATING_COEFFS!$B:$B,$AK596))</f>
        <v/>
      </c>
      <c r="AM596" s="8"/>
      <c r="AN596" s="8" t="str">
        <f t="array" ref="AN596">IF($AM596="","",INDEX(TAX_MODES!$B:$B,MATCH($AM596,TAX_MODES!$A:$A,0)))</f>
        <v/>
      </c>
    </row>
    <row r="597" ht="14.25" customHeight="1">
      <c r="C597" s="8"/>
      <c r="E597" s="8"/>
      <c r="G597" s="8"/>
      <c r="I597" s="8"/>
      <c r="K597" s="8"/>
      <c r="M597" s="8"/>
      <c r="O597" s="8"/>
      <c r="Q597" s="8"/>
      <c r="S597" s="8"/>
      <c r="V597" s="8"/>
      <c r="X597" s="31"/>
      <c r="Y597" s="31" t="str">
        <f>IF($X597="","",SUMIFS(TARIFF_PROFILES!$D:$D,TARIFF_PROFILES!$A:$A,$X597))</f>
        <v/>
      </c>
      <c r="Z597" s="31" t="str">
        <f>IF($X597="","",SUMIFS(TARIFF_PROFILES!$E:$E,TARIFF_PROFILES!$A:$A,$X597))</f>
        <v/>
      </c>
      <c r="AA597" s="31" t="str">
        <f>IF($X597="","",SUMIFS(TARIFF_PROFILES!$F:$F,TARIFF_PROFILES!$A:$A,$X597))</f>
        <v/>
      </c>
      <c r="AB597" s="31" t="str">
        <f>IF($X597="","",SUMIFS(TARIFF_PROFILES!$G:$G,TARIFF_PROFILES!$A:$A,$X597))</f>
        <v/>
      </c>
      <c r="AC597" s="31" t="str">
        <f>IF($X597="","",SUMIFS(TARIFF_PROFILES!$H:$H,TARIFF_PROFILES!$A:$A,$X597))</f>
        <v/>
      </c>
      <c r="AD597" s="31" t="str">
        <f t="array" ref="AD597">IF($X597="","",INDEX(TARIFF_PROFILES!$J:$J,MATCH($X597,TARIFF_PROFILES!$A:$A,0)))</f>
        <v/>
      </c>
      <c r="AE597" s="31" t="str">
        <f t="array" ref="AE597">IF($X597="","",INDEX(TARIFF_PROFILES!$K:$K,MATCH($X597,TARIFF_PROFILES!$A:$A,0)))</f>
        <v/>
      </c>
      <c r="AG597" s="8"/>
      <c r="AH597" s="8" t="str">
        <f>IF($AG597="","",SUMIFS(OPERATING_COEFFS!$C:$C,OPERATING_COEFFS!$A:$A,"DistanceClass",OPERATING_COEFFS!$B:$B,$AG597))</f>
        <v/>
      </c>
      <c r="AI597" s="8"/>
      <c r="AJ597" s="8" t="str">
        <f>IF($AI597="","",SUMIFS(OPERATING_COEFFS!$C:$C,OPERATING_COEFFS!$A:$A,"SeasonClass",OPERATING_COEFFS!$B:$B,$AI597))</f>
        <v/>
      </c>
      <c r="AK597" s="8"/>
      <c r="AL597" s="8" t="str">
        <f>IF($AK597="","",SUMIFS(OPERATING_COEFFS!$C:$C,OPERATING_COEFFS!$A:$A,"UrgencyClass",OPERATING_COEFFS!$B:$B,$AK597))</f>
        <v/>
      </c>
      <c r="AM597" s="8"/>
      <c r="AN597" s="8" t="str">
        <f t="array" ref="AN597">IF($AM597="","",INDEX(TAX_MODES!$B:$B,MATCH($AM597,TAX_MODES!$A:$A,0)))</f>
        <v/>
      </c>
    </row>
    <row r="598" ht="14.25" customHeight="1">
      <c r="C598" s="8"/>
      <c r="E598" s="8"/>
      <c r="G598" s="8"/>
      <c r="I598" s="8"/>
      <c r="K598" s="8"/>
      <c r="M598" s="8"/>
      <c r="O598" s="8"/>
      <c r="Q598" s="8"/>
      <c r="S598" s="8"/>
      <c r="V598" s="8"/>
      <c r="X598" s="31"/>
      <c r="Y598" s="31" t="str">
        <f>IF($X598="","",SUMIFS(TARIFF_PROFILES!$D:$D,TARIFF_PROFILES!$A:$A,$X598))</f>
        <v/>
      </c>
      <c r="Z598" s="31" t="str">
        <f>IF($X598="","",SUMIFS(TARIFF_PROFILES!$E:$E,TARIFF_PROFILES!$A:$A,$X598))</f>
        <v/>
      </c>
      <c r="AA598" s="31" t="str">
        <f>IF($X598="","",SUMIFS(TARIFF_PROFILES!$F:$F,TARIFF_PROFILES!$A:$A,$X598))</f>
        <v/>
      </c>
      <c r="AB598" s="31" t="str">
        <f>IF($X598="","",SUMIFS(TARIFF_PROFILES!$G:$G,TARIFF_PROFILES!$A:$A,$X598))</f>
        <v/>
      </c>
      <c r="AC598" s="31" t="str">
        <f>IF($X598="","",SUMIFS(TARIFF_PROFILES!$H:$H,TARIFF_PROFILES!$A:$A,$X598))</f>
        <v/>
      </c>
      <c r="AD598" s="31" t="str">
        <f t="array" ref="AD598">IF($X598="","",INDEX(TARIFF_PROFILES!$J:$J,MATCH($X598,TARIFF_PROFILES!$A:$A,0)))</f>
        <v/>
      </c>
      <c r="AE598" s="31" t="str">
        <f t="array" ref="AE598">IF($X598="","",INDEX(TARIFF_PROFILES!$K:$K,MATCH($X598,TARIFF_PROFILES!$A:$A,0)))</f>
        <v/>
      </c>
      <c r="AG598" s="8"/>
      <c r="AH598" s="8" t="str">
        <f>IF($AG598="","",SUMIFS(OPERATING_COEFFS!$C:$C,OPERATING_COEFFS!$A:$A,"DistanceClass",OPERATING_COEFFS!$B:$B,$AG598))</f>
        <v/>
      </c>
      <c r="AI598" s="8"/>
      <c r="AJ598" s="8" t="str">
        <f>IF($AI598="","",SUMIFS(OPERATING_COEFFS!$C:$C,OPERATING_COEFFS!$A:$A,"SeasonClass",OPERATING_COEFFS!$B:$B,$AI598))</f>
        <v/>
      </c>
      <c r="AK598" s="8"/>
      <c r="AL598" s="8" t="str">
        <f>IF($AK598="","",SUMIFS(OPERATING_COEFFS!$C:$C,OPERATING_COEFFS!$A:$A,"UrgencyClass",OPERATING_COEFFS!$B:$B,$AK598))</f>
        <v/>
      </c>
      <c r="AM598" s="8"/>
      <c r="AN598" s="8" t="str">
        <f t="array" ref="AN598">IF($AM598="","",INDEX(TAX_MODES!$B:$B,MATCH($AM598,TAX_MODES!$A:$A,0)))</f>
        <v/>
      </c>
    </row>
    <row r="599" ht="14.25" customHeight="1">
      <c r="C599" s="8"/>
      <c r="E599" s="8"/>
      <c r="G599" s="8"/>
      <c r="I599" s="8"/>
      <c r="K599" s="8"/>
      <c r="M599" s="8"/>
      <c r="O599" s="8"/>
      <c r="Q599" s="8"/>
      <c r="S599" s="8"/>
      <c r="V599" s="8"/>
      <c r="X599" s="31"/>
      <c r="Y599" s="31" t="str">
        <f>IF($X599="","",SUMIFS(TARIFF_PROFILES!$D:$D,TARIFF_PROFILES!$A:$A,$X599))</f>
        <v/>
      </c>
      <c r="Z599" s="31" t="str">
        <f>IF($X599="","",SUMIFS(TARIFF_PROFILES!$E:$E,TARIFF_PROFILES!$A:$A,$X599))</f>
        <v/>
      </c>
      <c r="AA599" s="31" t="str">
        <f>IF($X599="","",SUMIFS(TARIFF_PROFILES!$F:$F,TARIFF_PROFILES!$A:$A,$X599))</f>
        <v/>
      </c>
      <c r="AB599" s="31" t="str">
        <f>IF($X599="","",SUMIFS(TARIFF_PROFILES!$G:$G,TARIFF_PROFILES!$A:$A,$X599))</f>
        <v/>
      </c>
      <c r="AC599" s="31" t="str">
        <f>IF($X599="","",SUMIFS(TARIFF_PROFILES!$H:$H,TARIFF_PROFILES!$A:$A,$X599))</f>
        <v/>
      </c>
      <c r="AD599" s="31" t="str">
        <f t="array" ref="AD599">IF($X599="","",INDEX(TARIFF_PROFILES!$J:$J,MATCH($X599,TARIFF_PROFILES!$A:$A,0)))</f>
        <v/>
      </c>
      <c r="AE599" s="31" t="str">
        <f t="array" ref="AE599">IF($X599="","",INDEX(TARIFF_PROFILES!$K:$K,MATCH($X599,TARIFF_PROFILES!$A:$A,0)))</f>
        <v/>
      </c>
      <c r="AG599" s="8"/>
      <c r="AH599" s="8" t="str">
        <f>IF($AG599="","",SUMIFS(OPERATING_COEFFS!$C:$C,OPERATING_COEFFS!$A:$A,"DistanceClass",OPERATING_COEFFS!$B:$B,$AG599))</f>
        <v/>
      </c>
      <c r="AI599" s="8"/>
      <c r="AJ599" s="8" t="str">
        <f>IF($AI599="","",SUMIFS(OPERATING_COEFFS!$C:$C,OPERATING_COEFFS!$A:$A,"SeasonClass",OPERATING_COEFFS!$B:$B,$AI599))</f>
        <v/>
      </c>
      <c r="AK599" s="8"/>
      <c r="AL599" s="8" t="str">
        <f>IF($AK599="","",SUMIFS(OPERATING_COEFFS!$C:$C,OPERATING_COEFFS!$A:$A,"UrgencyClass",OPERATING_COEFFS!$B:$B,$AK599))</f>
        <v/>
      </c>
      <c r="AM599" s="8"/>
      <c r="AN599" s="8" t="str">
        <f t="array" ref="AN599">IF($AM599="","",INDEX(TAX_MODES!$B:$B,MATCH($AM599,TAX_MODES!$A:$A,0)))</f>
        <v/>
      </c>
    </row>
    <row r="600" ht="14.25" customHeight="1">
      <c r="C600" s="8"/>
      <c r="E600" s="8"/>
      <c r="G600" s="8"/>
      <c r="I600" s="8"/>
      <c r="K600" s="8"/>
      <c r="M600" s="8"/>
      <c r="O600" s="8"/>
      <c r="Q600" s="8"/>
      <c r="S600" s="8"/>
      <c r="V600" s="8"/>
      <c r="X600" s="31"/>
      <c r="Y600" s="31" t="str">
        <f>IF($X600="","",SUMIFS(TARIFF_PROFILES!$D:$D,TARIFF_PROFILES!$A:$A,$X600))</f>
        <v/>
      </c>
      <c r="Z600" s="31" t="str">
        <f>IF($X600="","",SUMIFS(TARIFF_PROFILES!$E:$E,TARIFF_PROFILES!$A:$A,$X600))</f>
        <v/>
      </c>
      <c r="AA600" s="31" t="str">
        <f>IF($X600="","",SUMIFS(TARIFF_PROFILES!$F:$F,TARIFF_PROFILES!$A:$A,$X600))</f>
        <v/>
      </c>
      <c r="AB600" s="31" t="str">
        <f>IF($X600="","",SUMIFS(TARIFF_PROFILES!$G:$G,TARIFF_PROFILES!$A:$A,$X600))</f>
        <v/>
      </c>
      <c r="AC600" s="31" t="str">
        <f>IF($X600="","",SUMIFS(TARIFF_PROFILES!$H:$H,TARIFF_PROFILES!$A:$A,$X600))</f>
        <v/>
      </c>
      <c r="AD600" s="31" t="str">
        <f t="array" ref="AD600">IF($X600="","",INDEX(TARIFF_PROFILES!$J:$J,MATCH($X600,TARIFF_PROFILES!$A:$A,0)))</f>
        <v/>
      </c>
      <c r="AE600" s="31" t="str">
        <f t="array" ref="AE600">IF($X600="","",INDEX(TARIFF_PROFILES!$K:$K,MATCH($X600,TARIFF_PROFILES!$A:$A,0)))</f>
        <v/>
      </c>
      <c r="AG600" s="8"/>
      <c r="AH600" s="8" t="str">
        <f>IF($AG600="","",SUMIFS(OPERATING_COEFFS!$C:$C,OPERATING_COEFFS!$A:$A,"DistanceClass",OPERATING_COEFFS!$B:$B,$AG600))</f>
        <v/>
      </c>
      <c r="AI600" s="8"/>
      <c r="AJ600" s="8" t="str">
        <f>IF($AI600="","",SUMIFS(OPERATING_COEFFS!$C:$C,OPERATING_COEFFS!$A:$A,"SeasonClass",OPERATING_COEFFS!$B:$B,$AI600))</f>
        <v/>
      </c>
      <c r="AK600" s="8"/>
      <c r="AL600" s="8" t="str">
        <f>IF($AK600="","",SUMIFS(OPERATING_COEFFS!$C:$C,OPERATING_COEFFS!$A:$A,"UrgencyClass",OPERATING_COEFFS!$B:$B,$AK600))</f>
        <v/>
      </c>
      <c r="AM600" s="8"/>
      <c r="AN600" s="8" t="str">
        <f t="array" ref="AN600">IF($AM600="","",INDEX(TAX_MODES!$B:$B,MATCH($AM600,TAX_MODES!$A:$A,0)))</f>
        <v/>
      </c>
    </row>
    <row r="601" ht="14.25" customHeight="1">
      <c r="C601" s="8"/>
      <c r="E601" s="8"/>
      <c r="G601" s="8"/>
      <c r="I601" s="8"/>
      <c r="K601" s="8"/>
      <c r="M601" s="8"/>
      <c r="O601" s="8"/>
      <c r="Q601" s="8"/>
      <c r="S601" s="8"/>
      <c r="V601" s="8"/>
      <c r="X601" s="31"/>
      <c r="Y601" s="31" t="str">
        <f>IF($X601="","",SUMIFS(TARIFF_PROFILES!$D:$D,TARIFF_PROFILES!$A:$A,$X601))</f>
        <v/>
      </c>
      <c r="Z601" s="31" t="str">
        <f>IF($X601="","",SUMIFS(TARIFF_PROFILES!$E:$E,TARIFF_PROFILES!$A:$A,$X601))</f>
        <v/>
      </c>
      <c r="AA601" s="31" t="str">
        <f>IF($X601="","",SUMIFS(TARIFF_PROFILES!$F:$F,TARIFF_PROFILES!$A:$A,$X601))</f>
        <v/>
      </c>
      <c r="AB601" s="31" t="str">
        <f>IF($X601="","",SUMIFS(TARIFF_PROFILES!$G:$G,TARIFF_PROFILES!$A:$A,$X601))</f>
        <v/>
      </c>
      <c r="AC601" s="31" t="str">
        <f>IF($X601="","",SUMIFS(TARIFF_PROFILES!$H:$H,TARIFF_PROFILES!$A:$A,$X601))</f>
        <v/>
      </c>
      <c r="AD601" s="31" t="str">
        <f t="array" ref="AD601">IF($X601="","",INDEX(TARIFF_PROFILES!$J:$J,MATCH($X601,TARIFF_PROFILES!$A:$A,0)))</f>
        <v/>
      </c>
      <c r="AE601" s="31" t="str">
        <f t="array" ref="AE601">IF($X601="","",INDEX(TARIFF_PROFILES!$K:$K,MATCH($X601,TARIFF_PROFILES!$A:$A,0)))</f>
        <v/>
      </c>
      <c r="AG601" s="8"/>
      <c r="AH601" s="8" t="str">
        <f>IF($AG601="","",SUMIFS(OPERATING_COEFFS!$C:$C,OPERATING_COEFFS!$A:$A,"DistanceClass",OPERATING_COEFFS!$B:$B,$AG601))</f>
        <v/>
      </c>
      <c r="AI601" s="8"/>
      <c r="AJ601" s="8" t="str">
        <f>IF($AI601="","",SUMIFS(OPERATING_COEFFS!$C:$C,OPERATING_COEFFS!$A:$A,"SeasonClass",OPERATING_COEFFS!$B:$B,$AI601))</f>
        <v/>
      </c>
      <c r="AK601" s="8"/>
      <c r="AL601" s="8" t="str">
        <f>IF($AK601="","",SUMIFS(OPERATING_COEFFS!$C:$C,OPERATING_COEFFS!$A:$A,"UrgencyClass",OPERATING_COEFFS!$B:$B,$AK601))</f>
        <v/>
      </c>
      <c r="AM601" s="8"/>
      <c r="AN601" s="8" t="str">
        <f t="array" ref="AN601">IF($AM601="","",INDEX(TAX_MODES!$B:$B,MATCH($AM601,TAX_MODES!$A:$A,0)))</f>
        <v/>
      </c>
    </row>
    <row r="602" ht="14.25" customHeight="1">
      <c r="C602" s="8"/>
      <c r="E602" s="8"/>
      <c r="G602" s="8"/>
      <c r="I602" s="8"/>
      <c r="K602" s="8"/>
      <c r="M602" s="8"/>
      <c r="O602" s="8"/>
      <c r="Q602" s="8"/>
      <c r="S602" s="8"/>
      <c r="V602" s="8"/>
      <c r="X602" s="31"/>
      <c r="Y602" s="31" t="str">
        <f>IF($X602="","",SUMIFS(TARIFF_PROFILES!$D:$D,TARIFF_PROFILES!$A:$A,$X602))</f>
        <v/>
      </c>
      <c r="Z602" s="31" t="str">
        <f>IF($X602="","",SUMIFS(TARIFF_PROFILES!$E:$E,TARIFF_PROFILES!$A:$A,$X602))</f>
        <v/>
      </c>
      <c r="AA602" s="31" t="str">
        <f>IF($X602="","",SUMIFS(TARIFF_PROFILES!$F:$F,TARIFF_PROFILES!$A:$A,$X602))</f>
        <v/>
      </c>
      <c r="AB602" s="31" t="str">
        <f>IF($X602="","",SUMIFS(TARIFF_PROFILES!$G:$G,TARIFF_PROFILES!$A:$A,$X602))</f>
        <v/>
      </c>
      <c r="AC602" s="31" t="str">
        <f>IF($X602="","",SUMIFS(TARIFF_PROFILES!$H:$H,TARIFF_PROFILES!$A:$A,$X602))</f>
        <v/>
      </c>
      <c r="AD602" s="31" t="str">
        <f t="array" ref="AD602">IF($X602="","",INDEX(TARIFF_PROFILES!$J:$J,MATCH($X602,TARIFF_PROFILES!$A:$A,0)))</f>
        <v/>
      </c>
      <c r="AE602" s="31" t="str">
        <f t="array" ref="AE602">IF($X602="","",INDEX(TARIFF_PROFILES!$K:$K,MATCH($X602,TARIFF_PROFILES!$A:$A,0)))</f>
        <v/>
      </c>
      <c r="AG602" s="8"/>
      <c r="AH602" s="8" t="str">
        <f>IF($AG602="","",SUMIFS(OPERATING_COEFFS!$C:$C,OPERATING_COEFFS!$A:$A,"DistanceClass",OPERATING_COEFFS!$B:$B,$AG602))</f>
        <v/>
      </c>
      <c r="AI602" s="8"/>
      <c r="AJ602" s="8" t="str">
        <f>IF($AI602="","",SUMIFS(OPERATING_COEFFS!$C:$C,OPERATING_COEFFS!$A:$A,"SeasonClass",OPERATING_COEFFS!$B:$B,$AI602))</f>
        <v/>
      </c>
      <c r="AK602" s="8"/>
      <c r="AL602" s="8" t="str">
        <f>IF($AK602="","",SUMIFS(OPERATING_COEFFS!$C:$C,OPERATING_COEFFS!$A:$A,"UrgencyClass",OPERATING_COEFFS!$B:$B,$AK602))</f>
        <v/>
      </c>
      <c r="AM602" s="8"/>
      <c r="AN602" s="8" t="str">
        <f t="array" ref="AN602">IF($AM602="","",INDEX(TAX_MODES!$B:$B,MATCH($AM602,TAX_MODES!$A:$A,0)))</f>
        <v/>
      </c>
    </row>
    <row r="603" ht="14.25" customHeight="1">
      <c r="C603" s="8"/>
      <c r="E603" s="8"/>
      <c r="G603" s="8"/>
      <c r="I603" s="8"/>
      <c r="K603" s="8"/>
      <c r="M603" s="8"/>
      <c r="O603" s="8"/>
      <c r="Q603" s="8"/>
      <c r="S603" s="8"/>
      <c r="V603" s="8"/>
      <c r="X603" s="31"/>
      <c r="Y603" s="31" t="str">
        <f>IF($X603="","",SUMIFS(TARIFF_PROFILES!$D:$D,TARIFF_PROFILES!$A:$A,$X603))</f>
        <v/>
      </c>
      <c r="Z603" s="31" t="str">
        <f>IF($X603="","",SUMIFS(TARIFF_PROFILES!$E:$E,TARIFF_PROFILES!$A:$A,$X603))</f>
        <v/>
      </c>
      <c r="AA603" s="31" t="str">
        <f>IF($X603="","",SUMIFS(TARIFF_PROFILES!$F:$F,TARIFF_PROFILES!$A:$A,$X603))</f>
        <v/>
      </c>
      <c r="AB603" s="31" t="str">
        <f>IF($X603="","",SUMIFS(TARIFF_PROFILES!$G:$G,TARIFF_PROFILES!$A:$A,$X603))</f>
        <v/>
      </c>
      <c r="AC603" s="31" t="str">
        <f>IF($X603="","",SUMIFS(TARIFF_PROFILES!$H:$H,TARIFF_PROFILES!$A:$A,$X603))</f>
        <v/>
      </c>
      <c r="AD603" s="31" t="str">
        <f t="array" ref="AD603">IF($X603="","",INDEX(TARIFF_PROFILES!$J:$J,MATCH($X603,TARIFF_PROFILES!$A:$A,0)))</f>
        <v/>
      </c>
      <c r="AE603" s="31" t="str">
        <f t="array" ref="AE603">IF($X603="","",INDEX(TARIFF_PROFILES!$K:$K,MATCH($X603,TARIFF_PROFILES!$A:$A,0)))</f>
        <v/>
      </c>
      <c r="AG603" s="8"/>
      <c r="AH603" s="8" t="str">
        <f>IF($AG603="","",SUMIFS(OPERATING_COEFFS!$C:$C,OPERATING_COEFFS!$A:$A,"DistanceClass",OPERATING_COEFFS!$B:$B,$AG603))</f>
        <v/>
      </c>
      <c r="AI603" s="8"/>
      <c r="AJ603" s="8" t="str">
        <f>IF($AI603="","",SUMIFS(OPERATING_COEFFS!$C:$C,OPERATING_COEFFS!$A:$A,"SeasonClass",OPERATING_COEFFS!$B:$B,$AI603))</f>
        <v/>
      </c>
      <c r="AK603" s="8"/>
      <c r="AL603" s="8" t="str">
        <f>IF($AK603="","",SUMIFS(OPERATING_COEFFS!$C:$C,OPERATING_COEFFS!$A:$A,"UrgencyClass",OPERATING_COEFFS!$B:$B,$AK603))</f>
        <v/>
      </c>
      <c r="AM603" s="8"/>
      <c r="AN603" s="8" t="str">
        <f t="array" ref="AN603">IF($AM603="","",INDEX(TAX_MODES!$B:$B,MATCH($AM603,TAX_MODES!$A:$A,0)))</f>
        <v/>
      </c>
    </row>
    <row r="604" ht="14.25" customHeight="1">
      <c r="C604" s="8"/>
      <c r="E604" s="8"/>
      <c r="G604" s="8"/>
      <c r="I604" s="8"/>
      <c r="K604" s="8"/>
      <c r="M604" s="8"/>
      <c r="O604" s="8"/>
      <c r="Q604" s="8"/>
      <c r="S604" s="8"/>
      <c r="V604" s="8"/>
      <c r="X604" s="31"/>
      <c r="Y604" s="31" t="str">
        <f>IF($X604="","",SUMIFS(TARIFF_PROFILES!$D:$D,TARIFF_PROFILES!$A:$A,$X604))</f>
        <v/>
      </c>
      <c r="Z604" s="31" t="str">
        <f>IF($X604="","",SUMIFS(TARIFF_PROFILES!$E:$E,TARIFF_PROFILES!$A:$A,$X604))</f>
        <v/>
      </c>
      <c r="AA604" s="31" t="str">
        <f>IF($X604="","",SUMIFS(TARIFF_PROFILES!$F:$F,TARIFF_PROFILES!$A:$A,$X604))</f>
        <v/>
      </c>
      <c r="AB604" s="31" t="str">
        <f>IF($X604="","",SUMIFS(TARIFF_PROFILES!$G:$G,TARIFF_PROFILES!$A:$A,$X604))</f>
        <v/>
      </c>
      <c r="AC604" s="31" t="str">
        <f>IF($X604="","",SUMIFS(TARIFF_PROFILES!$H:$H,TARIFF_PROFILES!$A:$A,$X604))</f>
        <v/>
      </c>
      <c r="AD604" s="31" t="str">
        <f t="array" ref="AD604">IF($X604="","",INDEX(TARIFF_PROFILES!$J:$J,MATCH($X604,TARIFF_PROFILES!$A:$A,0)))</f>
        <v/>
      </c>
      <c r="AE604" s="31" t="str">
        <f t="array" ref="AE604">IF($X604="","",INDEX(TARIFF_PROFILES!$K:$K,MATCH($X604,TARIFF_PROFILES!$A:$A,0)))</f>
        <v/>
      </c>
      <c r="AG604" s="8"/>
      <c r="AH604" s="8" t="str">
        <f>IF($AG604="","",SUMIFS(OPERATING_COEFFS!$C:$C,OPERATING_COEFFS!$A:$A,"DistanceClass",OPERATING_COEFFS!$B:$B,$AG604))</f>
        <v/>
      </c>
      <c r="AI604" s="8"/>
      <c r="AJ604" s="8" t="str">
        <f>IF($AI604="","",SUMIFS(OPERATING_COEFFS!$C:$C,OPERATING_COEFFS!$A:$A,"SeasonClass",OPERATING_COEFFS!$B:$B,$AI604))</f>
        <v/>
      </c>
      <c r="AK604" s="8"/>
      <c r="AL604" s="8" t="str">
        <f>IF($AK604="","",SUMIFS(OPERATING_COEFFS!$C:$C,OPERATING_COEFFS!$A:$A,"UrgencyClass",OPERATING_COEFFS!$B:$B,$AK604))</f>
        <v/>
      </c>
      <c r="AM604" s="8"/>
      <c r="AN604" s="8" t="str">
        <f t="array" ref="AN604">IF($AM604="","",INDEX(TAX_MODES!$B:$B,MATCH($AM604,TAX_MODES!$A:$A,0)))</f>
        <v/>
      </c>
    </row>
    <row r="605" ht="14.25" customHeight="1">
      <c r="C605" s="8"/>
      <c r="E605" s="8"/>
      <c r="G605" s="8"/>
      <c r="I605" s="8"/>
      <c r="K605" s="8"/>
      <c r="M605" s="8"/>
      <c r="O605" s="8"/>
      <c r="Q605" s="8"/>
      <c r="S605" s="8"/>
      <c r="V605" s="8"/>
      <c r="X605" s="31"/>
      <c r="Y605" s="31" t="str">
        <f>IF($X605="","",SUMIFS(TARIFF_PROFILES!$D:$D,TARIFF_PROFILES!$A:$A,$X605))</f>
        <v/>
      </c>
      <c r="Z605" s="31" t="str">
        <f>IF($X605="","",SUMIFS(TARIFF_PROFILES!$E:$E,TARIFF_PROFILES!$A:$A,$X605))</f>
        <v/>
      </c>
      <c r="AA605" s="31" t="str">
        <f>IF($X605="","",SUMIFS(TARIFF_PROFILES!$F:$F,TARIFF_PROFILES!$A:$A,$X605))</f>
        <v/>
      </c>
      <c r="AB605" s="31" t="str">
        <f>IF($X605="","",SUMIFS(TARIFF_PROFILES!$G:$G,TARIFF_PROFILES!$A:$A,$X605))</f>
        <v/>
      </c>
      <c r="AC605" s="31" t="str">
        <f>IF($X605="","",SUMIFS(TARIFF_PROFILES!$H:$H,TARIFF_PROFILES!$A:$A,$X605))</f>
        <v/>
      </c>
      <c r="AD605" s="31" t="str">
        <f t="array" ref="AD605">IF($X605="","",INDEX(TARIFF_PROFILES!$J:$J,MATCH($X605,TARIFF_PROFILES!$A:$A,0)))</f>
        <v/>
      </c>
      <c r="AE605" s="31" t="str">
        <f t="array" ref="AE605">IF($X605="","",INDEX(TARIFF_PROFILES!$K:$K,MATCH($X605,TARIFF_PROFILES!$A:$A,0)))</f>
        <v/>
      </c>
      <c r="AG605" s="8"/>
      <c r="AH605" s="8" t="str">
        <f>IF($AG605="","",SUMIFS(OPERATING_COEFFS!$C:$C,OPERATING_COEFFS!$A:$A,"DistanceClass",OPERATING_COEFFS!$B:$B,$AG605))</f>
        <v/>
      </c>
      <c r="AI605" s="8"/>
      <c r="AJ605" s="8" t="str">
        <f>IF($AI605="","",SUMIFS(OPERATING_COEFFS!$C:$C,OPERATING_COEFFS!$A:$A,"SeasonClass",OPERATING_COEFFS!$B:$B,$AI605))</f>
        <v/>
      </c>
      <c r="AK605" s="8"/>
      <c r="AL605" s="8" t="str">
        <f>IF($AK605="","",SUMIFS(OPERATING_COEFFS!$C:$C,OPERATING_COEFFS!$A:$A,"UrgencyClass",OPERATING_COEFFS!$B:$B,$AK605))</f>
        <v/>
      </c>
      <c r="AM605" s="8"/>
      <c r="AN605" s="8" t="str">
        <f t="array" ref="AN605">IF($AM605="","",INDEX(TAX_MODES!$B:$B,MATCH($AM605,TAX_MODES!$A:$A,0)))</f>
        <v/>
      </c>
    </row>
    <row r="606" ht="14.25" customHeight="1">
      <c r="C606" s="8"/>
      <c r="E606" s="8"/>
      <c r="G606" s="8"/>
      <c r="I606" s="8"/>
      <c r="K606" s="8"/>
      <c r="M606" s="8"/>
      <c r="O606" s="8"/>
      <c r="Q606" s="8"/>
      <c r="S606" s="8"/>
      <c r="V606" s="8"/>
      <c r="X606" s="31"/>
      <c r="Y606" s="31" t="str">
        <f>IF($X606="","",SUMIFS(TARIFF_PROFILES!$D:$D,TARIFF_PROFILES!$A:$A,$X606))</f>
        <v/>
      </c>
      <c r="Z606" s="31" t="str">
        <f>IF($X606="","",SUMIFS(TARIFF_PROFILES!$E:$E,TARIFF_PROFILES!$A:$A,$X606))</f>
        <v/>
      </c>
      <c r="AA606" s="31" t="str">
        <f>IF($X606="","",SUMIFS(TARIFF_PROFILES!$F:$F,TARIFF_PROFILES!$A:$A,$X606))</f>
        <v/>
      </c>
      <c r="AB606" s="31" t="str">
        <f>IF($X606="","",SUMIFS(TARIFF_PROFILES!$G:$G,TARIFF_PROFILES!$A:$A,$X606))</f>
        <v/>
      </c>
      <c r="AC606" s="31" t="str">
        <f>IF($X606="","",SUMIFS(TARIFF_PROFILES!$H:$H,TARIFF_PROFILES!$A:$A,$X606))</f>
        <v/>
      </c>
      <c r="AD606" s="31" t="str">
        <f t="array" ref="AD606">IF($X606="","",INDEX(TARIFF_PROFILES!$J:$J,MATCH($X606,TARIFF_PROFILES!$A:$A,0)))</f>
        <v/>
      </c>
      <c r="AE606" s="31" t="str">
        <f t="array" ref="AE606">IF($X606="","",INDEX(TARIFF_PROFILES!$K:$K,MATCH($X606,TARIFF_PROFILES!$A:$A,0)))</f>
        <v/>
      </c>
      <c r="AG606" s="8"/>
      <c r="AH606" s="8" t="str">
        <f>IF($AG606="","",SUMIFS(OPERATING_COEFFS!$C:$C,OPERATING_COEFFS!$A:$A,"DistanceClass",OPERATING_COEFFS!$B:$B,$AG606))</f>
        <v/>
      </c>
      <c r="AI606" s="8"/>
      <c r="AJ606" s="8" t="str">
        <f>IF($AI606="","",SUMIFS(OPERATING_COEFFS!$C:$C,OPERATING_COEFFS!$A:$A,"SeasonClass",OPERATING_COEFFS!$B:$B,$AI606))</f>
        <v/>
      </c>
      <c r="AK606" s="8"/>
      <c r="AL606" s="8" t="str">
        <f>IF($AK606="","",SUMIFS(OPERATING_COEFFS!$C:$C,OPERATING_COEFFS!$A:$A,"UrgencyClass",OPERATING_COEFFS!$B:$B,$AK606))</f>
        <v/>
      </c>
      <c r="AM606" s="8"/>
      <c r="AN606" s="8" t="str">
        <f t="array" ref="AN606">IF($AM606="","",INDEX(TAX_MODES!$B:$B,MATCH($AM606,TAX_MODES!$A:$A,0)))</f>
        <v/>
      </c>
    </row>
    <row r="607" ht="14.25" customHeight="1">
      <c r="C607" s="8"/>
      <c r="E607" s="8"/>
      <c r="G607" s="8"/>
      <c r="I607" s="8"/>
      <c r="K607" s="8"/>
      <c r="M607" s="8"/>
      <c r="O607" s="8"/>
      <c r="Q607" s="8"/>
      <c r="S607" s="8"/>
      <c r="V607" s="8"/>
      <c r="X607" s="31"/>
      <c r="Y607" s="31" t="str">
        <f>IF($X607="","",SUMIFS(TARIFF_PROFILES!$D:$D,TARIFF_PROFILES!$A:$A,$X607))</f>
        <v/>
      </c>
      <c r="Z607" s="31" t="str">
        <f>IF($X607="","",SUMIFS(TARIFF_PROFILES!$E:$E,TARIFF_PROFILES!$A:$A,$X607))</f>
        <v/>
      </c>
      <c r="AA607" s="31" t="str">
        <f>IF($X607="","",SUMIFS(TARIFF_PROFILES!$F:$F,TARIFF_PROFILES!$A:$A,$X607))</f>
        <v/>
      </c>
      <c r="AB607" s="31" t="str">
        <f>IF($X607="","",SUMIFS(TARIFF_PROFILES!$G:$G,TARIFF_PROFILES!$A:$A,$X607))</f>
        <v/>
      </c>
      <c r="AC607" s="31" t="str">
        <f>IF($X607="","",SUMIFS(TARIFF_PROFILES!$H:$H,TARIFF_PROFILES!$A:$A,$X607))</f>
        <v/>
      </c>
      <c r="AD607" s="31" t="str">
        <f t="array" ref="AD607">IF($X607="","",INDEX(TARIFF_PROFILES!$J:$J,MATCH($X607,TARIFF_PROFILES!$A:$A,0)))</f>
        <v/>
      </c>
      <c r="AE607" s="31" t="str">
        <f t="array" ref="AE607">IF($X607="","",INDEX(TARIFF_PROFILES!$K:$K,MATCH($X607,TARIFF_PROFILES!$A:$A,0)))</f>
        <v/>
      </c>
      <c r="AG607" s="8"/>
      <c r="AH607" s="8" t="str">
        <f>IF($AG607="","",SUMIFS(OPERATING_COEFFS!$C:$C,OPERATING_COEFFS!$A:$A,"DistanceClass",OPERATING_COEFFS!$B:$B,$AG607))</f>
        <v/>
      </c>
      <c r="AI607" s="8"/>
      <c r="AJ607" s="8" t="str">
        <f>IF($AI607="","",SUMIFS(OPERATING_COEFFS!$C:$C,OPERATING_COEFFS!$A:$A,"SeasonClass",OPERATING_COEFFS!$B:$B,$AI607))</f>
        <v/>
      </c>
      <c r="AK607" s="8"/>
      <c r="AL607" s="8" t="str">
        <f>IF($AK607="","",SUMIFS(OPERATING_COEFFS!$C:$C,OPERATING_COEFFS!$A:$A,"UrgencyClass",OPERATING_COEFFS!$B:$B,$AK607))</f>
        <v/>
      </c>
      <c r="AM607" s="8"/>
      <c r="AN607" s="8" t="str">
        <f t="array" ref="AN607">IF($AM607="","",INDEX(TAX_MODES!$B:$B,MATCH($AM607,TAX_MODES!$A:$A,0)))</f>
        <v/>
      </c>
    </row>
    <row r="608" ht="14.25" customHeight="1">
      <c r="C608" s="8"/>
      <c r="E608" s="8"/>
      <c r="G608" s="8"/>
      <c r="I608" s="8"/>
      <c r="K608" s="8"/>
      <c r="M608" s="8"/>
      <c r="O608" s="8"/>
      <c r="Q608" s="8"/>
      <c r="S608" s="8"/>
      <c r="V608" s="8"/>
      <c r="X608" s="31"/>
      <c r="Y608" s="31" t="str">
        <f>IF($X608="","",SUMIFS(TARIFF_PROFILES!$D:$D,TARIFF_PROFILES!$A:$A,$X608))</f>
        <v/>
      </c>
      <c r="Z608" s="31" t="str">
        <f>IF($X608="","",SUMIFS(TARIFF_PROFILES!$E:$E,TARIFF_PROFILES!$A:$A,$X608))</f>
        <v/>
      </c>
      <c r="AA608" s="31" t="str">
        <f>IF($X608="","",SUMIFS(TARIFF_PROFILES!$F:$F,TARIFF_PROFILES!$A:$A,$X608))</f>
        <v/>
      </c>
      <c r="AB608" s="31" t="str">
        <f>IF($X608="","",SUMIFS(TARIFF_PROFILES!$G:$G,TARIFF_PROFILES!$A:$A,$X608))</f>
        <v/>
      </c>
      <c r="AC608" s="31" t="str">
        <f>IF($X608="","",SUMIFS(TARIFF_PROFILES!$H:$H,TARIFF_PROFILES!$A:$A,$X608))</f>
        <v/>
      </c>
      <c r="AD608" s="31" t="str">
        <f t="array" ref="AD608">IF($X608="","",INDEX(TARIFF_PROFILES!$J:$J,MATCH($X608,TARIFF_PROFILES!$A:$A,0)))</f>
        <v/>
      </c>
      <c r="AE608" s="31" t="str">
        <f t="array" ref="AE608">IF($X608="","",INDEX(TARIFF_PROFILES!$K:$K,MATCH($X608,TARIFF_PROFILES!$A:$A,0)))</f>
        <v/>
      </c>
      <c r="AG608" s="8"/>
      <c r="AH608" s="8" t="str">
        <f>IF($AG608="","",SUMIFS(OPERATING_COEFFS!$C:$C,OPERATING_COEFFS!$A:$A,"DistanceClass",OPERATING_COEFFS!$B:$B,$AG608))</f>
        <v/>
      </c>
      <c r="AI608" s="8"/>
      <c r="AJ608" s="8" t="str">
        <f>IF($AI608="","",SUMIFS(OPERATING_COEFFS!$C:$C,OPERATING_COEFFS!$A:$A,"SeasonClass",OPERATING_COEFFS!$B:$B,$AI608))</f>
        <v/>
      </c>
      <c r="AK608" s="8"/>
      <c r="AL608" s="8" t="str">
        <f>IF($AK608="","",SUMIFS(OPERATING_COEFFS!$C:$C,OPERATING_COEFFS!$A:$A,"UrgencyClass",OPERATING_COEFFS!$B:$B,$AK608))</f>
        <v/>
      </c>
      <c r="AM608" s="8"/>
      <c r="AN608" s="8" t="str">
        <f t="array" ref="AN608">IF($AM608="","",INDEX(TAX_MODES!$B:$B,MATCH($AM608,TAX_MODES!$A:$A,0)))</f>
        <v/>
      </c>
    </row>
    <row r="609" ht="14.25" customHeight="1">
      <c r="C609" s="8"/>
      <c r="E609" s="8"/>
      <c r="G609" s="8"/>
      <c r="I609" s="8"/>
      <c r="K609" s="8"/>
      <c r="M609" s="8"/>
      <c r="O609" s="8"/>
      <c r="Q609" s="8"/>
      <c r="S609" s="8"/>
      <c r="V609" s="8"/>
      <c r="X609" s="31"/>
      <c r="Y609" s="31" t="str">
        <f>IF($X609="","",SUMIFS(TARIFF_PROFILES!$D:$D,TARIFF_PROFILES!$A:$A,$X609))</f>
        <v/>
      </c>
      <c r="Z609" s="31" t="str">
        <f>IF($X609="","",SUMIFS(TARIFF_PROFILES!$E:$E,TARIFF_PROFILES!$A:$A,$X609))</f>
        <v/>
      </c>
      <c r="AA609" s="31" t="str">
        <f>IF($X609="","",SUMIFS(TARIFF_PROFILES!$F:$F,TARIFF_PROFILES!$A:$A,$X609))</f>
        <v/>
      </c>
      <c r="AB609" s="31" t="str">
        <f>IF($X609="","",SUMIFS(TARIFF_PROFILES!$G:$G,TARIFF_PROFILES!$A:$A,$X609))</f>
        <v/>
      </c>
      <c r="AC609" s="31" t="str">
        <f>IF($X609="","",SUMIFS(TARIFF_PROFILES!$H:$H,TARIFF_PROFILES!$A:$A,$X609))</f>
        <v/>
      </c>
      <c r="AD609" s="31" t="str">
        <f t="array" ref="AD609">IF($X609="","",INDEX(TARIFF_PROFILES!$J:$J,MATCH($X609,TARIFF_PROFILES!$A:$A,0)))</f>
        <v/>
      </c>
      <c r="AE609" s="31" t="str">
        <f t="array" ref="AE609">IF($X609="","",INDEX(TARIFF_PROFILES!$K:$K,MATCH($X609,TARIFF_PROFILES!$A:$A,0)))</f>
        <v/>
      </c>
      <c r="AG609" s="8"/>
      <c r="AH609" s="8" t="str">
        <f>IF($AG609="","",SUMIFS(OPERATING_COEFFS!$C:$C,OPERATING_COEFFS!$A:$A,"DistanceClass",OPERATING_COEFFS!$B:$B,$AG609))</f>
        <v/>
      </c>
      <c r="AI609" s="8"/>
      <c r="AJ609" s="8" t="str">
        <f>IF($AI609="","",SUMIFS(OPERATING_COEFFS!$C:$C,OPERATING_COEFFS!$A:$A,"SeasonClass",OPERATING_COEFFS!$B:$B,$AI609))</f>
        <v/>
      </c>
      <c r="AK609" s="8"/>
      <c r="AL609" s="8" t="str">
        <f>IF($AK609="","",SUMIFS(OPERATING_COEFFS!$C:$C,OPERATING_COEFFS!$A:$A,"UrgencyClass",OPERATING_COEFFS!$B:$B,$AK609))</f>
        <v/>
      </c>
      <c r="AM609" s="8"/>
      <c r="AN609" s="8" t="str">
        <f t="array" ref="AN609">IF($AM609="","",INDEX(TAX_MODES!$B:$B,MATCH($AM609,TAX_MODES!$A:$A,0)))</f>
        <v/>
      </c>
    </row>
    <row r="610" ht="14.25" customHeight="1">
      <c r="C610" s="8"/>
      <c r="E610" s="8"/>
      <c r="G610" s="8"/>
      <c r="I610" s="8"/>
      <c r="K610" s="8"/>
      <c r="M610" s="8"/>
      <c r="O610" s="8"/>
      <c r="Q610" s="8"/>
      <c r="S610" s="8"/>
      <c r="V610" s="8"/>
      <c r="X610" s="31"/>
      <c r="Y610" s="31" t="str">
        <f>IF($X610="","",SUMIFS(TARIFF_PROFILES!$D:$D,TARIFF_PROFILES!$A:$A,$X610))</f>
        <v/>
      </c>
      <c r="Z610" s="31" t="str">
        <f>IF($X610="","",SUMIFS(TARIFF_PROFILES!$E:$E,TARIFF_PROFILES!$A:$A,$X610))</f>
        <v/>
      </c>
      <c r="AA610" s="31" t="str">
        <f>IF($X610="","",SUMIFS(TARIFF_PROFILES!$F:$F,TARIFF_PROFILES!$A:$A,$X610))</f>
        <v/>
      </c>
      <c r="AB610" s="31" t="str">
        <f>IF($X610="","",SUMIFS(TARIFF_PROFILES!$G:$G,TARIFF_PROFILES!$A:$A,$X610))</f>
        <v/>
      </c>
      <c r="AC610" s="31" t="str">
        <f>IF($X610="","",SUMIFS(TARIFF_PROFILES!$H:$H,TARIFF_PROFILES!$A:$A,$X610))</f>
        <v/>
      </c>
      <c r="AD610" s="31" t="str">
        <f t="array" ref="AD610">IF($X610="","",INDEX(TARIFF_PROFILES!$J:$J,MATCH($X610,TARIFF_PROFILES!$A:$A,0)))</f>
        <v/>
      </c>
      <c r="AE610" s="31" t="str">
        <f t="array" ref="AE610">IF($X610="","",INDEX(TARIFF_PROFILES!$K:$K,MATCH($X610,TARIFF_PROFILES!$A:$A,0)))</f>
        <v/>
      </c>
      <c r="AG610" s="8"/>
      <c r="AH610" s="8" t="str">
        <f>IF($AG610="","",SUMIFS(OPERATING_COEFFS!$C:$C,OPERATING_COEFFS!$A:$A,"DistanceClass",OPERATING_COEFFS!$B:$B,$AG610))</f>
        <v/>
      </c>
      <c r="AI610" s="8"/>
      <c r="AJ610" s="8" t="str">
        <f>IF($AI610="","",SUMIFS(OPERATING_COEFFS!$C:$C,OPERATING_COEFFS!$A:$A,"SeasonClass",OPERATING_COEFFS!$B:$B,$AI610))</f>
        <v/>
      </c>
      <c r="AK610" s="8"/>
      <c r="AL610" s="8" t="str">
        <f>IF($AK610="","",SUMIFS(OPERATING_COEFFS!$C:$C,OPERATING_COEFFS!$A:$A,"UrgencyClass",OPERATING_COEFFS!$B:$B,$AK610))</f>
        <v/>
      </c>
      <c r="AM610" s="8"/>
      <c r="AN610" s="8" t="str">
        <f t="array" ref="AN610">IF($AM610="","",INDEX(TAX_MODES!$B:$B,MATCH($AM610,TAX_MODES!$A:$A,0)))</f>
        <v/>
      </c>
    </row>
    <row r="611" ht="14.25" customHeight="1">
      <c r="C611" s="8"/>
      <c r="E611" s="8"/>
      <c r="G611" s="8"/>
      <c r="I611" s="8"/>
      <c r="K611" s="8"/>
      <c r="M611" s="8"/>
      <c r="O611" s="8"/>
      <c r="Q611" s="8"/>
      <c r="S611" s="8"/>
      <c r="V611" s="8"/>
      <c r="X611" s="31"/>
      <c r="Y611" s="31" t="str">
        <f>IF($X611="","",SUMIFS(TARIFF_PROFILES!$D:$D,TARIFF_PROFILES!$A:$A,$X611))</f>
        <v/>
      </c>
      <c r="Z611" s="31" t="str">
        <f>IF($X611="","",SUMIFS(TARIFF_PROFILES!$E:$E,TARIFF_PROFILES!$A:$A,$X611))</f>
        <v/>
      </c>
      <c r="AA611" s="31" t="str">
        <f>IF($X611="","",SUMIFS(TARIFF_PROFILES!$F:$F,TARIFF_PROFILES!$A:$A,$X611))</f>
        <v/>
      </c>
      <c r="AB611" s="31" t="str">
        <f>IF($X611="","",SUMIFS(TARIFF_PROFILES!$G:$G,TARIFF_PROFILES!$A:$A,$X611))</f>
        <v/>
      </c>
      <c r="AC611" s="31" t="str">
        <f>IF($X611="","",SUMIFS(TARIFF_PROFILES!$H:$H,TARIFF_PROFILES!$A:$A,$X611))</f>
        <v/>
      </c>
      <c r="AD611" s="31" t="str">
        <f t="array" ref="AD611">IF($X611="","",INDEX(TARIFF_PROFILES!$J:$J,MATCH($X611,TARIFF_PROFILES!$A:$A,0)))</f>
        <v/>
      </c>
      <c r="AE611" s="31" t="str">
        <f t="array" ref="AE611">IF($X611="","",INDEX(TARIFF_PROFILES!$K:$K,MATCH($X611,TARIFF_PROFILES!$A:$A,0)))</f>
        <v/>
      </c>
      <c r="AG611" s="8"/>
      <c r="AH611" s="8" t="str">
        <f>IF($AG611="","",SUMIFS(OPERATING_COEFFS!$C:$C,OPERATING_COEFFS!$A:$A,"DistanceClass",OPERATING_COEFFS!$B:$B,$AG611))</f>
        <v/>
      </c>
      <c r="AI611" s="8"/>
      <c r="AJ611" s="8" t="str">
        <f>IF($AI611="","",SUMIFS(OPERATING_COEFFS!$C:$C,OPERATING_COEFFS!$A:$A,"SeasonClass",OPERATING_COEFFS!$B:$B,$AI611))</f>
        <v/>
      </c>
      <c r="AK611" s="8"/>
      <c r="AL611" s="8" t="str">
        <f>IF($AK611="","",SUMIFS(OPERATING_COEFFS!$C:$C,OPERATING_COEFFS!$A:$A,"UrgencyClass",OPERATING_COEFFS!$B:$B,$AK611))</f>
        <v/>
      </c>
      <c r="AM611" s="8"/>
      <c r="AN611" s="8" t="str">
        <f t="array" ref="AN611">IF($AM611="","",INDEX(TAX_MODES!$B:$B,MATCH($AM611,TAX_MODES!$A:$A,0)))</f>
        <v/>
      </c>
    </row>
    <row r="612" ht="14.25" customHeight="1">
      <c r="C612" s="8"/>
      <c r="E612" s="8"/>
      <c r="G612" s="8"/>
      <c r="I612" s="8"/>
      <c r="K612" s="8"/>
      <c r="M612" s="8"/>
      <c r="O612" s="8"/>
      <c r="Q612" s="8"/>
      <c r="S612" s="8"/>
      <c r="V612" s="8"/>
      <c r="X612" s="31"/>
      <c r="Y612" s="31" t="str">
        <f>IF($X612="","",SUMIFS(TARIFF_PROFILES!$D:$D,TARIFF_PROFILES!$A:$A,$X612))</f>
        <v/>
      </c>
      <c r="Z612" s="31" t="str">
        <f>IF($X612="","",SUMIFS(TARIFF_PROFILES!$E:$E,TARIFF_PROFILES!$A:$A,$X612))</f>
        <v/>
      </c>
      <c r="AA612" s="31" t="str">
        <f>IF($X612="","",SUMIFS(TARIFF_PROFILES!$F:$F,TARIFF_PROFILES!$A:$A,$X612))</f>
        <v/>
      </c>
      <c r="AB612" s="31" t="str">
        <f>IF($X612="","",SUMIFS(TARIFF_PROFILES!$G:$G,TARIFF_PROFILES!$A:$A,$X612))</f>
        <v/>
      </c>
      <c r="AC612" s="31" t="str">
        <f>IF($X612="","",SUMIFS(TARIFF_PROFILES!$H:$H,TARIFF_PROFILES!$A:$A,$X612))</f>
        <v/>
      </c>
      <c r="AD612" s="31" t="str">
        <f t="array" ref="AD612">IF($X612="","",INDEX(TARIFF_PROFILES!$J:$J,MATCH($X612,TARIFF_PROFILES!$A:$A,0)))</f>
        <v/>
      </c>
      <c r="AE612" s="31" t="str">
        <f t="array" ref="AE612">IF($X612="","",INDEX(TARIFF_PROFILES!$K:$K,MATCH($X612,TARIFF_PROFILES!$A:$A,0)))</f>
        <v/>
      </c>
      <c r="AG612" s="8"/>
      <c r="AH612" s="8" t="str">
        <f>IF($AG612="","",SUMIFS(OPERATING_COEFFS!$C:$C,OPERATING_COEFFS!$A:$A,"DistanceClass",OPERATING_COEFFS!$B:$B,$AG612))</f>
        <v/>
      </c>
      <c r="AI612" s="8"/>
      <c r="AJ612" s="8" t="str">
        <f>IF($AI612="","",SUMIFS(OPERATING_COEFFS!$C:$C,OPERATING_COEFFS!$A:$A,"SeasonClass",OPERATING_COEFFS!$B:$B,$AI612))</f>
        <v/>
      </c>
      <c r="AK612" s="8"/>
      <c r="AL612" s="8" t="str">
        <f>IF($AK612="","",SUMIFS(OPERATING_COEFFS!$C:$C,OPERATING_COEFFS!$A:$A,"UrgencyClass",OPERATING_COEFFS!$B:$B,$AK612))</f>
        <v/>
      </c>
      <c r="AM612" s="8"/>
      <c r="AN612" s="8" t="str">
        <f t="array" ref="AN612">IF($AM612="","",INDEX(TAX_MODES!$B:$B,MATCH($AM612,TAX_MODES!$A:$A,0)))</f>
        <v/>
      </c>
    </row>
    <row r="613" ht="14.25" customHeight="1">
      <c r="C613" s="8"/>
      <c r="E613" s="8"/>
      <c r="G613" s="8"/>
      <c r="I613" s="8"/>
      <c r="K613" s="8"/>
      <c r="M613" s="8"/>
      <c r="O613" s="8"/>
      <c r="Q613" s="8"/>
      <c r="S613" s="8"/>
      <c r="V613" s="8"/>
      <c r="X613" s="31"/>
      <c r="Y613" s="31" t="str">
        <f>IF($X613="","",SUMIFS(TARIFF_PROFILES!$D:$D,TARIFF_PROFILES!$A:$A,$X613))</f>
        <v/>
      </c>
      <c r="Z613" s="31" t="str">
        <f>IF($X613="","",SUMIFS(TARIFF_PROFILES!$E:$E,TARIFF_PROFILES!$A:$A,$X613))</f>
        <v/>
      </c>
      <c r="AA613" s="31" t="str">
        <f>IF($X613="","",SUMIFS(TARIFF_PROFILES!$F:$F,TARIFF_PROFILES!$A:$A,$X613))</f>
        <v/>
      </c>
      <c r="AB613" s="31" t="str">
        <f>IF($X613="","",SUMIFS(TARIFF_PROFILES!$G:$G,TARIFF_PROFILES!$A:$A,$X613))</f>
        <v/>
      </c>
      <c r="AC613" s="31" t="str">
        <f>IF($X613="","",SUMIFS(TARIFF_PROFILES!$H:$H,TARIFF_PROFILES!$A:$A,$X613))</f>
        <v/>
      </c>
      <c r="AD613" s="31" t="str">
        <f t="array" ref="AD613">IF($X613="","",INDEX(TARIFF_PROFILES!$J:$J,MATCH($X613,TARIFF_PROFILES!$A:$A,0)))</f>
        <v/>
      </c>
      <c r="AE613" s="31" t="str">
        <f t="array" ref="AE613">IF($X613="","",INDEX(TARIFF_PROFILES!$K:$K,MATCH($X613,TARIFF_PROFILES!$A:$A,0)))</f>
        <v/>
      </c>
      <c r="AG613" s="8"/>
      <c r="AH613" s="8" t="str">
        <f>IF($AG613="","",SUMIFS(OPERATING_COEFFS!$C:$C,OPERATING_COEFFS!$A:$A,"DistanceClass",OPERATING_COEFFS!$B:$B,$AG613))</f>
        <v/>
      </c>
      <c r="AI613" s="8"/>
      <c r="AJ613" s="8" t="str">
        <f>IF($AI613="","",SUMIFS(OPERATING_COEFFS!$C:$C,OPERATING_COEFFS!$A:$A,"SeasonClass",OPERATING_COEFFS!$B:$B,$AI613))</f>
        <v/>
      </c>
      <c r="AK613" s="8"/>
      <c r="AL613" s="8" t="str">
        <f>IF($AK613="","",SUMIFS(OPERATING_COEFFS!$C:$C,OPERATING_COEFFS!$A:$A,"UrgencyClass",OPERATING_COEFFS!$B:$B,$AK613))</f>
        <v/>
      </c>
      <c r="AM613" s="8"/>
      <c r="AN613" s="8" t="str">
        <f t="array" ref="AN613">IF($AM613="","",INDEX(TAX_MODES!$B:$B,MATCH($AM613,TAX_MODES!$A:$A,0)))</f>
        <v/>
      </c>
    </row>
    <row r="614" ht="14.25" customHeight="1">
      <c r="C614" s="8"/>
      <c r="E614" s="8"/>
      <c r="G614" s="8"/>
      <c r="I614" s="8"/>
      <c r="K614" s="8"/>
      <c r="M614" s="8"/>
      <c r="O614" s="8"/>
      <c r="Q614" s="8"/>
      <c r="S614" s="8"/>
      <c r="V614" s="8"/>
      <c r="X614" s="31"/>
      <c r="Y614" s="31" t="str">
        <f>IF($X614="","",SUMIFS(TARIFF_PROFILES!$D:$D,TARIFF_PROFILES!$A:$A,$X614))</f>
        <v/>
      </c>
      <c r="Z614" s="31" t="str">
        <f>IF($X614="","",SUMIFS(TARIFF_PROFILES!$E:$E,TARIFF_PROFILES!$A:$A,$X614))</f>
        <v/>
      </c>
      <c r="AA614" s="31" t="str">
        <f>IF($X614="","",SUMIFS(TARIFF_PROFILES!$F:$F,TARIFF_PROFILES!$A:$A,$X614))</f>
        <v/>
      </c>
      <c r="AB614" s="31" t="str">
        <f>IF($X614="","",SUMIFS(TARIFF_PROFILES!$G:$G,TARIFF_PROFILES!$A:$A,$X614))</f>
        <v/>
      </c>
      <c r="AC614" s="31" t="str">
        <f>IF($X614="","",SUMIFS(TARIFF_PROFILES!$H:$H,TARIFF_PROFILES!$A:$A,$X614))</f>
        <v/>
      </c>
      <c r="AD614" s="31" t="str">
        <f t="array" ref="AD614">IF($X614="","",INDEX(TARIFF_PROFILES!$J:$J,MATCH($X614,TARIFF_PROFILES!$A:$A,0)))</f>
        <v/>
      </c>
      <c r="AE614" s="31" t="str">
        <f t="array" ref="AE614">IF($X614="","",INDEX(TARIFF_PROFILES!$K:$K,MATCH($X614,TARIFF_PROFILES!$A:$A,0)))</f>
        <v/>
      </c>
      <c r="AG614" s="8"/>
      <c r="AH614" s="8" t="str">
        <f>IF($AG614="","",SUMIFS(OPERATING_COEFFS!$C:$C,OPERATING_COEFFS!$A:$A,"DistanceClass",OPERATING_COEFFS!$B:$B,$AG614))</f>
        <v/>
      </c>
      <c r="AI614" s="8"/>
      <c r="AJ614" s="8" t="str">
        <f>IF($AI614="","",SUMIFS(OPERATING_COEFFS!$C:$C,OPERATING_COEFFS!$A:$A,"SeasonClass",OPERATING_COEFFS!$B:$B,$AI614))</f>
        <v/>
      </c>
      <c r="AK614" s="8"/>
      <c r="AL614" s="8" t="str">
        <f>IF($AK614="","",SUMIFS(OPERATING_COEFFS!$C:$C,OPERATING_COEFFS!$A:$A,"UrgencyClass",OPERATING_COEFFS!$B:$B,$AK614))</f>
        <v/>
      </c>
      <c r="AM614" s="8"/>
      <c r="AN614" s="8" t="str">
        <f t="array" ref="AN614">IF($AM614="","",INDEX(TAX_MODES!$B:$B,MATCH($AM614,TAX_MODES!$A:$A,0)))</f>
        <v/>
      </c>
    </row>
    <row r="615" ht="14.25" customHeight="1">
      <c r="C615" s="8"/>
      <c r="E615" s="8"/>
      <c r="G615" s="8"/>
      <c r="I615" s="8"/>
      <c r="K615" s="8"/>
      <c r="M615" s="8"/>
      <c r="O615" s="8"/>
      <c r="Q615" s="8"/>
      <c r="S615" s="8"/>
      <c r="V615" s="8"/>
      <c r="X615" s="31"/>
      <c r="Y615" s="31" t="str">
        <f>IF($X615="","",SUMIFS(TARIFF_PROFILES!$D:$D,TARIFF_PROFILES!$A:$A,$X615))</f>
        <v/>
      </c>
      <c r="Z615" s="31" t="str">
        <f>IF($X615="","",SUMIFS(TARIFF_PROFILES!$E:$E,TARIFF_PROFILES!$A:$A,$X615))</f>
        <v/>
      </c>
      <c r="AA615" s="31" t="str">
        <f>IF($X615="","",SUMIFS(TARIFF_PROFILES!$F:$F,TARIFF_PROFILES!$A:$A,$X615))</f>
        <v/>
      </c>
      <c r="AB615" s="31" t="str">
        <f>IF($X615="","",SUMIFS(TARIFF_PROFILES!$G:$G,TARIFF_PROFILES!$A:$A,$X615))</f>
        <v/>
      </c>
      <c r="AC615" s="31" t="str">
        <f>IF($X615="","",SUMIFS(TARIFF_PROFILES!$H:$H,TARIFF_PROFILES!$A:$A,$X615))</f>
        <v/>
      </c>
      <c r="AD615" s="31" t="str">
        <f t="array" ref="AD615">IF($X615="","",INDEX(TARIFF_PROFILES!$J:$J,MATCH($X615,TARIFF_PROFILES!$A:$A,0)))</f>
        <v/>
      </c>
      <c r="AE615" s="31" t="str">
        <f t="array" ref="AE615">IF($X615="","",INDEX(TARIFF_PROFILES!$K:$K,MATCH($X615,TARIFF_PROFILES!$A:$A,0)))</f>
        <v/>
      </c>
      <c r="AG615" s="8"/>
      <c r="AH615" s="8" t="str">
        <f>IF($AG615="","",SUMIFS(OPERATING_COEFFS!$C:$C,OPERATING_COEFFS!$A:$A,"DistanceClass",OPERATING_COEFFS!$B:$B,$AG615))</f>
        <v/>
      </c>
      <c r="AI615" s="8"/>
      <c r="AJ615" s="8" t="str">
        <f>IF($AI615="","",SUMIFS(OPERATING_COEFFS!$C:$C,OPERATING_COEFFS!$A:$A,"SeasonClass",OPERATING_COEFFS!$B:$B,$AI615))</f>
        <v/>
      </c>
      <c r="AK615" s="8"/>
      <c r="AL615" s="8" t="str">
        <f>IF($AK615="","",SUMIFS(OPERATING_COEFFS!$C:$C,OPERATING_COEFFS!$A:$A,"UrgencyClass",OPERATING_COEFFS!$B:$B,$AK615))</f>
        <v/>
      </c>
      <c r="AM615" s="8"/>
      <c r="AN615" s="8" t="str">
        <f t="array" ref="AN615">IF($AM615="","",INDEX(TAX_MODES!$B:$B,MATCH($AM615,TAX_MODES!$A:$A,0)))</f>
        <v/>
      </c>
    </row>
    <row r="616" ht="14.25" customHeight="1">
      <c r="C616" s="8"/>
      <c r="E616" s="8"/>
      <c r="G616" s="8"/>
      <c r="I616" s="8"/>
      <c r="K616" s="8"/>
      <c r="M616" s="8"/>
      <c r="O616" s="8"/>
      <c r="Q616" s="8"/>
      <c r="S616" s="8"/>
      <c r="V616" s="8"/>
      <c r="X616" s="31"/>
      <c r="Y616" s="31" t="str">
        <f>IF($X616="","",SUMIFS(TARIFF_PROFILES!$D:$D,TARIFF_PROFILES!$A:$A,$X616))</f>
        <v/>
      </c>
      <c r="Z616" s="31" t="str">
        <f>IF($X616="","",SUMIFS(TARIFF_PROFILES!$E:$E,TARIFF_PROFILES!$A:$A,$X616))</f>
        <v/>
      </c>
      <c r="AA616" s="31" t="str">
        <f>IF($X616="","",SUMIFS(TARIFF_PROFILES!$F:$F,TARIFF_PROFILES!$A:$A,$X616))</f>
        <v/>
      </c>
      <c r="AB616" s="31" t="str">
        <f>IF($X616="","",SUMIFS(TARIFF_PROFILES!$G:$G,TARIFF_PROFILES!$A:$A,$X616))</f>
        <v/>
      </c>
      <c r="AC616" s="31" t="str">
        <f>IF($X616="","",SUMIFS(TARIFF_PROFILES!$H:$H,TARIFF_PROFILES!$A:$A,$X616))</f>
        <v/>
      </c>
      <c r="AD616" s="31" t="str">
        <f t="array" ref="AD616">IF($X616="","",INDEX(TARIFF_PROFILES!$J:$J,MATCH($X616,TARIFF_PROFILES!$A:$A,0)))</f>
        <v/>
      </c>
      <c r="AE616" s="31" t="str">
        <f t="array" ref="AE616">IF($X616="","",INDEX(TARIFF_PROFILES!$K:$K,MATCH($X616,TARIFF_PROFILES!$A:$A,0)))</f>
        <v/>
      </c>
      <c r="AG616" s="8"/>
      <c r="AH616" s="8" t="str">
        <f>IF($AG616="","",SUMIFS(OPERATING_COEFFS!$C:$C,OPERATING_COEFFS!$A:$A,"DistanceClass",OPERATING_COEFFS!$B:$B,$AG616))</f>
        <v/>
      </c>
      <c r="AI616" s="8"/>
      <c r="AJ616" s="8" t="str">
        <f>IF($AI616="","",SUMIFS(OPERATING_COEFFS!$C:$C,OPERATING_COEFFS!$A:$A,"SeasonClass",OPERATING_COEFFS!$B:$B,$AI616))</f>
        <v/>
      </c>
      <c r="AK616" s="8"/>
      <c r="AL616" s="8" t="str">
        <f>IF($AK616="","",SUMIFS(OPERATING_COEFFS!$C:$C,OPERATING_COEFFS!$A:$A,"UrgencyClass",OPERATING_COEFFS!$B:$B,$AK616))</f>
        <v/>
      </c>
      <c r="AM616" s="8"/>
      <c r="AN616" s="8" t="str">
        <f t="array" ref="AN616">IF($AM616="","",INDEX(TAX_MODES!$B:$B,MATCH($AM616,TAX_MODES!$A:$A,0)))</f>
        <v/>
      </c>
    </row>
    <row r="617" ht="14.25" customHeight="1">
      <c r="C617" s="8"/>
      <c r="E617" s="8"/>
      <c r="G617" s="8"/>
      <c r="I617" s="8"/>
      <c r="K617" s="8"/>
      <c r="M617" s="8"/>
      <c r="O617" s="8"/>
      <c r="Q617" s="8"/>
      <c r="S617" s="8"/>
      <c r="V617" s="8"/>
      <c r="X617" s="31"/>
      <c r="Y617" s="31" t="str">
        <f>IF($X617="","",SUMIFS(TARIFF_PROFILES!$D:$D,TARIFF_PROFILES!$A:$A,$X617))</f>
        <v/>
      </c>
      <c r="Z617" s="31" t="str">
        <f>IF($X617="","",SUMIFS(TARIFF_PROFILES!$E:$E,TARIFF_PROFILES!$A:$A,$X617))</f>
        <v/>
      </c>
      <c r="AA617" s="31" t="str">
        <f>IF($X617="","",SUMIFS(TARIFF_PROFILES!$F:$F,TARIFF_PROFILES!$A:$A,$X617))</f>
        <v/>
      </c>
      <c r="AB617" s="31" t="str">
        <f>IF($X617="","",SUMIFS(TARIFF_PROFILES!$G:$G,TARIFF_PROFILES!$A:$A,$X617))</f>
        <v/>
      </c>
      <c r="AC617" s="31" t="str">
        <f>IF($X617="","",SUMIFS(TARIFF_PROFILES!$H:$H,TARIFF_PROFILES!$A:$A,$X617))</f>
        <v/>
      </c>
      <c r="AD617" s="31" t="str">
        <f t="array" ref="AD617">IF($X617="","",INDEX(TARIFF_PROFILES!$J:$J,MATCH($X617,TARIFF_PROFILES!$A:$A,0)))</f>
        <v/>
      </c>
      <c r="AE617" s="31" t="str">
        <f t="array" ref="AE617">IF($X617="","",INDEX(TARIFF_PROFILES!$K:$K,MATCH($X617,TARIFF_PROFILES!$A:$A,0)))</f>
        <v/>
      </c>
      <c r="AG617" s="8"/>
      <c r="AH617" s="8" t="str">
        <f>IF($AG617="","",SUMIFS(OPERATING_COEFFS!$C:$C,OPERATING_COEFFS!$A:$A,"DistanceClass",OPERATING_COEFFS!$B:$B,$AG617))</f>
        <v/>
      </c>
      <c r="AI617" s="8"/>
      <c r="AJ617" s="8" t="str">
        <f>IF($AI617="","",SUMIFS(OPERATING_COEFFS!$C:$C,OPERATING_COEFFS!$A:$A,"SeasonClass",OPERATING_COEFFS!$B:$B,$AI617))</f>
        <v/>
      </c>
      <c r="AK617" s="8"/>
      <c r="AL617" s="8" t="str">
        <f>IF($AK617="","",SUMIFS(OPERATING_COEFFS!$C:$C,OPERATING_COEFFS!$A:$A,"UrgencyClass",OPERATING_COEFFS!$B:$B,$AK617))</f>
        <v/>
      </c>
      <c r="AM617" s="8"/>
      <c r="AN617" s="8" t="str">
        <f t="array" ref="AN617">IF($AM617="","",INDEX(TAX_MODES!$B:$B,MATCH($AM617,TAX_MODES!$A:$A,0)))</f>
        <v/>
      </c>
    </row>
    <row r="618" ht="14.25" customHeight="1">
      <c r="C618" s="8"/>
      <c r="E618" s="8"/>
      <c r="G618" s="8"/>
      <c r="I618" s="8"/>
      <c r="K618" s="8"/>
      <c r="M618" s="8"/>
      <c r="O618" s="8"/>
      <c r="Q618" s="8"/>
      <c r="S618" s="8"/>
      <c r="V618" s="8"/>
      <c r="X618" s="31"/>
      <c r="Y618" s="31" t="str">
        <f>IF($X618="","",SUMIFS(TARIFF_PROFILES!$D:$D,TARIFF_PROFILES!$A:$A,$X618))</f>
        <v/>
      </c>
      <c r="Z618" s="31" t="str">
        <f>IF($X618="","",SUMIFS(TARIFF_PROFILES!$E:$E,TARIFF_PROFILES!$A:$A,$X618))</f>
        <v/>
      </c>
      <c r="AA618" s="31" t="str">
        <f>IF($X618="","",SUMIFS(TARIFF_PROFILES!$F:$F,TARIFF_PROFILES!$A:$A,$X618))</f>
        <v/>
      </c>
      <c r="AB618" s="31" t="str">
        <f>IF($X618="","",SUMIFS(TARIFF_PROFILES!$G:$G,TARIFF_PROFILES!$A:$A,$X618))</f>
        <v/>
      </c>
      <c r="AC618" s="31" t="str">
        <f>IF($X618="","",SUMIFS(TARIFF_PROFILES!$H:$H,TARIFF_PROFILES!$A:$A,$X618))</f>
        <v/>
      </c>
      <c r="AD618" s="31" t="str">
        <f t="array" ref="AD618">IF($X618="","",INDEX(TARIFF_PROFILES!$J:$J,MATCH($X618,TARIFF_PROFILES!$A:$A,0)))</f>
        <v/>
      </c>
      <c r="AE618" s="31" t="str">
        <f t="array" ref="AE618">IF($X618="","",INDEX(TARIFF_PROFILES!$K:$K,MATCH($X618,TARIFF_PROFILES!$A:$A,0)))</f>
        <v/>
      </c>
      <c r="AG618" s="8"/>
      <c r="AH618" s="8" t="str">
        <f>IF($AG618="","",SUMIFS(OPERATING_COEFFS!$C:$C,OPERATING_COEFFS!$A:$A,"DistanceClass",OPERATING_COEFFS!$B:$B,$AG618))</f>
        <v/>
      </c>
      <c r="AI618" s="8"/>
      <c r="AJ618" s="8" t="str">
        <f>IF($AI618="","",SUMIFS(OPERATING_COEFFS!$C:$C,OPERATING_COEFFS!$A:$A,"SeasonClass",OPERATING_COEFFS!$B:$B,$AI618))</f>
        <v/>
      </c>
      <c r="AK618" s="8"/>
      <c r="AL618" s="8" t="str">
        <f>IF($AK618="","",SUMIFS(OPERATING_COEFFS!$C:$C,OPERATING_COEFFS!$A:$A,"UrgencyClass",OPERATING_COEFFS!$B:$B,$AK618))</f>
        <v/>
      </c>
      <c r="AM618" s="8"/>
      <c r="AN618" s="8" t="str">
        <f t="array" ref="AN618">IF($AM618="","",INDEX(TAX_MODES!$B:$B,MATCH($AM618,TAX_MODES!$A:$A,0)))</f>
        <v/>
      </c>
    </row>
    <row r="619" ht="14.25" customHeight="1">
      <c r="C619" s="8"/>
      <c r="E619" s="8"/>
      <c r="G619" s="8"/>
      <c r="I619" s="8"/>
      <c r="K619" s="8"/>
      <c r="M619" s="8"/>
      <c r="O619" s="8"/>
      <c r="Q619" s="8"/>
      <c r="S619" s="8"/>
      <c r="V619" s="8"/>
      <c r="X619" s="31"/>
      <c r="Y619" s="31" t="str">
        <f>IF($X619="","",SUMIFS(TARIFF_PROFILES!$D:$D,TARIFF_PROFILES!$A:$A,$X619))</f>
        <v/>
      </c>
      <c r="Z619" s="31" t="str">
        <f>IF($X619="","",SUMIFS(TARIFF_PROFILES!$E:$E,TARIFF_PROFILES!$A:$A,$X619))</f>
        <v/>
      </c>
      <c r="AA619" s="31" t="str">
        <f>IF($X619="","",SUMIFS(TARIFF_PROFILES!$F:$F,TARIFF_PROFILES!$A:$A,$X619))</f>
        <v/>
      </c>
      <c r="AB619" s="31" t="str">
        <f>IF($X619="","",SUMIFS(TARIFF_PROFILES!$G:$G,TARIFF_PROFILES!$A:$A,$X619))</f>
        <v/>
      </c>
      <c r="AC619" s="31" t="str">
        <f>IF($X619="","",SUMIFS(TARIFF_PROFILES!$H:$H,TARIFF_PROFILES!$A:$A,$X619))</f>
        <v/>
      </c>
      <c r="AD619" s="31" t="str">
        <f t="array" ref="AD619">IF($X619="","",INDEX(TARIFF_PROFILES!$J:$J,MATCH($X619,TARIFF_PROFILES!$A:$A,0)))</f>
        <v/>
      </c>
      <c r="AE619" s="31" t="str">
        <f t="array" ref="AE619">IF($X619="","",INDEX(TARIFF_PROFILES!$K:$K,MATCH($X619,TARIFF_PROFILES!$A:$A,0)))</f>
        <v/>
      </c>
      <c r="AG619" s="8"/>
      <c r="AH619" s="8" t="str">
        <f>IF($AG619="","",SUMIFS(OPERATING_COEFFS!$C:$C,OPERATING_COEFFS!$A:$A,"DistanceClass",OPERATING_COEFFS!$B:$B,$AG619))</f>
        <v/>
      </c>
      <c r="AI619" s="8"/>
      <c r="AJ619" s="8" t="str">
        <f>IF($AI619="","",SUMIFS(OPERATING_COEFFS!$C:$C,OPERATING_COEFFS!$A:$A,"SeasonClass",OPERATING_COEFFS!$B:$B,$AI619))</f>
        <v/>
      </c>
      <c r="AK619" s="8"/>
      <c r="AL619" s="8" t="str">
        <f>IF($AK619="","",SUMIFS(OPERATING_COEFFS!$C:$C,OPERATING_COEFFS!$A:$A,"UrgencyClass",OPERATING_COEFFS!$B:$B,$AK619))</f>
        <v/>
      </c>
      <c r="AM619" s="8"/>
      <c r="AN619" s="8" t="str">
        <f t="array" ref="AN619">IF($AM619="","",INDEX(TAX_MODES!$B:$B,MATCH($AM619,TAX_MODES!$A:$A,0)))</f>
        <v/>
      </c>
    </row>
    <row r="620" ht="14.25" customHeight="1">
      <c r="C620" s="8"/>
      <c r="E620" s="8"/>
      <c r="G620" s="8"/>
      <c r="I620" s="8"/>
      <c r="K620" s="8"/>
      <c r="M620" s="8"/>
      <c r="O620" s="8"/>
      <c r="Q620" s="8"/>
      <c r="S620" s="8"/>
      <c r="V620" s="8"/>
      <c r="X620" s="31"/>
      <c r="Y620" s="31" t="str">
        <f>IF($X620="","",SUMIFS(TARIFF_PROFILES!$D:$D,TARIFF_PROFILES!$A:$A,$X620))</f>
        <v/>
      </c>
      <c r="Z620" s="31" t="str">
        <f>IF($X620="","",SUMIFS(TARIFF_PROFILES!$E:$E,TARIFF_PROFILES!$A:$A,$X620))</f>
        <v/>
      </c>
      <c r="AA620" s="31" t="str">
        <f>IF($X620="","",SUMIFS(TARIFF_PROFILES!$F:$F,TARIFF_PROFILES!$A:$A,$X620))</f>
        <v/>
      </c>
      <c r="AB620" s="31" t="str">
        <f>IF($X620="","",SUMIFS(TARIFF_PROFILES!$G:$G,TARIFF_PROFILES!$A:$A,$X620))</f>
        <v/>
      </c>
      <c r="AC620" s="31" t="str">
        <f>IF($X620="","",SUMIFS(TARIFF_PROFILES!$H:$H,TARIFF_PROFILES!$A:$A,$X620))</f>
        <v/>
      </c>
      <c r="AD620" s="31" t="str">
        <f t="array" ref="AD620">IF($X620="","",INDEX(TARIFF_PROFILES!$J:$J,MATCH($X620,TARIFF_PROFILES!$A:$A,0)))</f>
        <v/>
      </c>
      <c r="AE620" s="31" t="str">
        <f t="array" ref="AE620">IF($X620="","",INDEX(TARIFF_PROFILES!$K:$K,MATCH($X620,TARIFF_PROFILES!$A:$A,0)))</f>
        <v/>
      </c>
      <c r="AG620" s="8"/>
      <c r="AH620" s="8" t="str">
        <f>IF($AG620="","",SUMIFS(OPERATING_COEFFS!$C:$C,OPERATING_COEFFS!$A:$A,"DistanceClass",OPERATING_COEFFS!$B:$B,$AG620))</f>
        <v/>
      </c>
      <c r="AI620" s="8"/>
      <c r="AJ620" s="8" t="str">
        <f>IF($AI620="","",SUMIFS(OPERATING_COEFFS!$C:$C,OPERATING_COEFFS!$A:$A,"SeasonClass",OPERATING_COEFFS!$B:$B,$AI620))</f>
        <v/>
      </c>
      <c r="AK620" s="8"/>
      <c r="AL620" s="8" t="str">
        <f>IF($AK620="","",SUMIFS(OPERATING_COEFFS!$C:$C,OPERATING_COEFFS!$A:$A,"UrgencyClass",OPERATING_COEFFS!$B:$B,$AK620))</f>
        <v/>
      </c>
      <c r="AM620" s="8"/>
      <c r="AN620" s="8" t="str">
        <f t="array" ref="AN620">IF($AM620="","",INDEX(TAX_MODES!$B:$B,MATCH($AM620,TAX_MODES!$A:$A,0)))</f>
        <v/>
      </c>
    </row>
    <row r="621" ht="14.25" customHeight="1">
      <c r="C621" s="8"/>
      <c r="E621" s="8"/>
      <c r="G621" s="8"/>
      <c r="I621" s="8"/>
      <c r="K621" s="8"/>
      <c r="M621" s="8"/>
      <c r="O621" s="8"/>
      <c r="Q621" s="8"/>
      <c r="S621" s="8"/>
      <c r="V621" s="8"/>
      <c r="X621" s="31"/>
      <c r="Y621" s="31" t="str">
        <f>IF($X621="","",SUMIFS(TARIFF_PROFILES!$D:$D,TARIFF_PROFILES!$A:$A,$X621))</f>
        <v/>
      </c>
      <c r="Z621" s="31" t="str">
        <f>IF($X621="","",SUMIFS(TARIFF_PROFILES!$E:$E,TARIFF_PROFILES!$A:$A,$X621))</f>
        <v/>
      </c>
      <c r="AA621" s="31" t="str">
        <f>IF($X621="","",SUMIFS(TARIFF_PROFILES!$F:$F,TARIFF_PROFILES!$A:$A,$X621))</f>
        <v/>
      </c>
      <c r="AB621" s="31" t="str">
        <f>IF($X621="","",SUMIFS(TARIFF_PROFILES!$G:$G,TARIFF_PROFILES!$A:$A,$X621))</f>
        <v/>
      </c>
      <c r="AC621" s="31" t="str">
        <f>IF($X621="","",SUMIFS(TARIFF_PROFILES!$H:$H,TARIFF_PROFILES!$A:$A,$X621))</f>
        <v/>
      </c>
      <c r="AD621" s="31" t="str">
        <f t="array" ref="AD621">IF($X621="","",INDEX(TARIFF_PROFILES!$J:$J,MATCH($X621,TARIFF_PROFILES!$A:$A,0)))</f>
        <v/>
      </c>
      <c r="AE621" s="31" t="str">
        <f t="array" ref="AE621">IF($X621="","",INDEX(TARIFF_PROFILES!$K:$K,MATCH($X621,TARIFF_PROFILES!$A:$A,0)))</f>
        <v/>
      </c>
      <c r="AG621" s="8"/>
      <c r="AH621" s="8" t="str">
        <f>IF($AG621="","",SUMIFS(OPERATING_COEFFS!$C:$C,OPERATING_COEFFS!$A:$A,"DistanceClass",OPERATING_COEFFS!$B:$B,$AG621))</f>
        <v/>
      </c>
      <c r="AI621" s="8"/>
      <c r="AJ621" s="8" t="str">
        <f>IF($AI621="","",SUMIFS(OPERATING_COEFFS!$C:$C,OPERATING_COEFFS!$A:$A,"SeasonClass",OPERATING_COEFFS!$B:$B,$AI621))</f>
        <v/>
      </c>
      <c r="AK621" s="8"/>
      <c r="AL621" s="8" t="str">
        <f>IF($AK621="","",SUMIFS(OPERATING_COEFFS!$C:$C,OPERATING_COEFFS!$A:$A,"UrgencyClass",OPERATING_COEFFS!$B:$B,$AK621))</f>
        <v/>
      </c>
      <c r="AM621" s="8"/>
      <c r="AN621" s="8" t="str">
        <f t="array" ref="AN621">IF($AM621="","",INDEX(TAX_MODES!$B:$B,MATCH($AM621,TAX_MODES!$A:$A,0)))</f>
        <v/>
      </c>
    </row>
    <row r="622" ht="14.25" customHeight="1">
      <c r="C622" s="8"/>
      <c r="E622" s="8"/>
      <c r="G622" s="8"/>
      <c r="I622" s="8"/>
      <c r="K622" s="8"/>
      <c r="M622" s="8"/>
      <c r="O622" s="8"/>
      <c r="Q622" s="8"/>
      <c r="S622" s="8"/>
      <c r="V622" s="8"/>
      <c r="X622" s="31"/>
      <c r="Y622" s="31" t="str">
        <f>IF($X622="","",SUMIFS(TARIFF_PROFILES!$D:$D,TARIFF_PROFILES!$A:$A,$X622))</f>
        <v/>
      </c>
      <c r="Z622" s="31" t="str">
        <f>IF($X622="","",SUMIFS(TARIFF_PROFILES!$E:$E,TARIFF_PROFILES!$A:$A,$X622))</f>
        <v/>
      </c>
      <c r="AA622" s="31" t="str">
        <f>IF($X622="","",SUMIFS(TARIFF_PROFILES!$F:$F,TARIFF_PROFILES!$A:$A,$X622))</f>
        <v/>
      </c>
      <c r="AB622" s="31" t="str">
        <f>IF($X622="","",SUMIFS(TARIFF_PROFILES!$G:$G,TARIFF_PROFILES!$A:$A,$X622))</f>
        <v/>
      </c>
      <c r="AC622" s="31" t="str">
        <f>IF($X622="","",SUMIFS(TARIFF_PROFILES!$H:$H,TARIFF_PROFILES!$A:$A,$X622))</f>
        <v/>
      </c>
      <c r="AD622" s="31" t="str">
        <f t="array" ref="AD622">IF($X622="","",INDEX(TARIFF_PROFILES!$J:$J,MATCH($X622,TARIFF_PROFILES!$A:$A,0)))</f>
        <v/>
      </c>
      <c r="AE622" s="31" t="str">
        <f t="array" ref="AE622">IF($X622="","",INDEX(TARIFF_PROFILES!$K:$K,MATCH($X622,TARIFF_PROFILES!$A:$A,0)))</f>
        <v/>
      </c>
      <c r="AG622" s="8"/>
      <c r="AH622" s="8" t="str">
        <f>IF($AG622="","",SUMIFS(OPERATING_COEFFS!$C:$C,OPERATING_COEFFS!$A:$A,"DistanceClass",OPERATING_COEFFS!$B:$B,$AG622))</f>
        <v/>
      </c>
      <c r="AI622" s="8"/>
      <c r="AJ622" s="8" t="str">
        <f>IF($AI622="","",SUMIFS(OPERATING_COEFFS!$C:$C,OPERATING_COEFFS!$A:$A,"SeasonClass",OPERATING_COEFFS!$B:$B,$AI622))</f>
        <v/>
      </c>
      <c r="AK622" s="8"/>
      <c r="AL622" s="8" t="str">
        <f>IF($AK622="","",SUMIFS(OPERATING_COEFFS!$C:$C,OPERATING_COEFFS!$A:$A,"UrgencyClass",OPERATING_COEFFS!$B:$B,$AK622))</f>
        <v/>
      </c>
      <c r="AM622" s="8"/>
      <c r="AN622" s="8" t="str">
        <f t="array" ref="AN622">IF($AM622="","",INDEX(TAX_MODES!$B:$B,MATCH($AM622,TAX_MODES!$A:$A,0)))</f>
        <v/>
      </c>
    </row>
    <row r="623" ht="14.25" customHeight="1">
      <c r="C623" s="8"/>
      <c r="E623" s="8"/>
      <c r="G623" s="8"/>
      <c r="I623" s="8"/>
      <c r="K623" s="8"/>
      <c r="M623" s="8"/>
      <c r="O623" s="8"/>
      <c r="Q623" s="8"/>
      <c r="S623" s="8"/>
      <c r="V623" s="8"/>
      <c r="X623" s="31"/>
      <c r="Y623" s="31" t="str">
        <f>IF($X623="","",SUMIFS(TARIFF_PROFILES!$D:$D,TARIFF_PROFILES!$A:$A,$X623))</f>
        <v/>
      </c>
      <c r="Z623" s="31" t="str">
        <f>IF($X623="","",SUMIFS(TARIFF_PROFILES!$E:$E,TARIFF_PROFILES!$A:$A,$X623))</f>
        <v/>
      </c>
      <c r="AA623" s="31" t="str">
        <f>IF($X623="","",SUMIFS(TARIFF_PROFILES!$F:$F,TARIFF_PROFILES!$A:$A,$X623))</f>
        <v/>
      </c>
      <c r="AB623" s="31" t="str">
        <f>IF($X623="","",SUMIFS(TARIFF_PROFILES!$G:$G,TARIFF_PROFILES!$A:$A,$X623))</f>
        <v/>
      </c>
      <c r="AC623" s="31" t="str">
        <f>IF($X623="","",SUMIFS(TARIFF_PROFILES!$H:$H,TARIFF_PROFILES!$A:$A,$X623))</f>
        <v/>
      </c>
      <c r="AD623" s="31" t="str">
        <f t="array" ref="AD623">IF($X623="","",INDEX(TARIFF_PROFILES!$J:$J,MATCH($X623,TARIFF_PROFILES!$A:$A,0)))</f>
        <v/>
      </c>
      <c r="AE623" s="31" t="str">
        <f t="array" ref="AE623">IF($X623="","",INDEX(TARIFF_PROFILES!$K:$K,MATCH($X623,TARIFF_PROFILES!$A:$A,0)))</f>
        <v/>
      </c>
      <c r="AG623" s="8"/>
      <c r="AH623" s="8" t="str">
        <f>IF($AG623="","",SUMIFS(OPERATING_COEFFS!$C:$C,OPERATING_COEFFS!$A:$A,"DistanceClass",OPERATING_COEFFS!$B:$B,$AG623))</f>
        <v/>
      </c>
      <c r="AI623" s="8"/>
      <c r="AJ623" s="8" t="str">
        <f>IF($AI623="","",SUMIFS(OPERATING_COEFFS!$C:$C,OPERATING_COEFFS!$A:$A,"SeasonClass",OPERATING_COEFFS!$B:$B,$AI623))</f>
        <v/>
      </c>
      <c r="AK623" s="8"/>
      <c r="AL623" s="8" t="str">
        <f>IF($AK623="","",SUMIFS(OPERATING_COEFFS!$C:$C,OPERATING_COEFFS!$A:$A,"UrgencyClass",OPERATING_COEFFS!$B:$B,$AK623))</f>
        <v/>
      </c>
      <c r="AM623" s="8"/>
      <c r="AN623" s="8" t="str">
        <f t="array" ref="AN623">IF($AM623="","",INDEX(TAX_MODES!$B:$B,MATCH($AM623,TAX_MODES!$A:$A,0)))</f>
        <v/>
      </c>
    </row>
    <row r="624" ht="14.25" customHeight="1">
      <c r="C624" s="8"/>
      <c r="E624" s="8"/>
      <c r="G624" s="8"/>
      <c r="I624" s="8"/>
      <c r="K624" s="8"/>
      <c r="M624" s="8"/>
      <c r="O624" s="8"/>
      <c r="Q624" s="8"/>
      <c r="S624" s="8"/>
      <c r="V624" s="8"/>
      <c r="X624" s="31"/>
      <c r="Y624" s="31" t="str">
        <f>IF($X624="","",SUMIFS(TARIFF_PROFILES!$D:$D,TARIFF_PROFILES!$A:$A,$X624))</f>
        <v/>
      </c>
      <c r="Z624" s="31" t="str">
        <f>IF($X624="","",SUMIFS(TARIFF_PROFILES!$E:$E,TARIFF_PROFILES!$A:$A,$X624))</f>
        <v/>
      </c>
      <c r="AA624" s="31" t="str">
        <f>IF($X624="","",SUMIFS(TARIFF_PROFILES!$F:$F,TARIFF_PROFILES!$A:$A,$X624))</f>
        <v/>
      </c>
      <c r="AB624" s="31" t="str">
        <f>IF($X624="","",SUMIFS(TARIFF_PROFILES!$G:$G,TARIFF_PROFILES!$A:$A,$X624))</f>
        <v/>
      </c>
      <c r="AC624" s="31" t="str">
        <f>IF($X624="","",SUMIFS(TARIFF_PROFILES!$H:$H,TARIFF_PROFILES!$A:$A,$X624))</f>
        <v/>
      </c>
      <c r="AD624" s="31" t="str">
        <f t="array" ref="AD624">IF($X624="","",INDEX(TARIFF_PROFILES!$J:$J,MATCH($X624,TARIFF_PROFILES!$A:$A,0)))</f>
        <v/>
      </c>
      <c r="AE624" s="31" t="str">
        <f t="array" ref="AE624">IF($X624="","",INDEX(TARIFF_PROFILES!$K:$K,MATCH($X624,TARIFF_PROFILES!$A:$A,0)))</f>
        <v/>
      </c>
      <c r="AG624" s="8"/>
      <c r="AH624" s="8" t="str">
        <f>IF($AG624="","",SUMIFS(OPERATING_COEFFS!$C:$C,OPERATING_COEFFS!$A:$A,"DistanceClass",OPERATING_COEFFS!$B:$B,$AG624))</f>
        <v/>
      </c>
      <c r="AI624" s="8"/>
      <c r="AJ624" s="8" t="str">
        <f>IF($AI624="","",SUMIFS(OPERATING_COEFFS!$C:$C,OPERATING_COEFFS!$A:$A,"SeasonClass",OPERATING_COEFFS!$B:$B,$AI624))</f>
        <v/>
      </c>
      <c r="AK624" s="8"/>
      <c r="AL624" s="8" t="str">
        <f>IF($AK624="","",SUMIFS(OPERATING_COEFFS!$C:$C,OPERATING_COEFFS!$A:$A,"UrgencyClass",OPERATING_COEFFS!$B:$B,$AK624))</f>
        <v/>
      </c>
      <c r="AM624" s="8"/>
      <c r="AN624" s="8" t="str">
        <f t="array" ref="AN624">IF($AM624="","",INDEX(TAX_MODES!$B:$B,MATCH($AM624,TAX_MODES!$A:$A,0)))</f>
        <v/>
      </c>
    </row>
    <row r="625" ht="14.25" customHeight="1">
      <c r="C625" s="8"/>
      <c r="E625" s="8"/>
      <c r="G625" s="8"/>
      <c r="I625" s="8"/>
      <c r="K625" s="8"/>
      <c r="M625" s="8"/>
      <c r="O625" s="8"/>
      <c r="Q625" s="8"/>
      <c r="S625" s="8"/>
      <c r="V625" s="8"/>
      <c r="X625" s="31"/>
      <c r="Y625" s="31" t="str">
        <f>IF($X625="","",SUMIFS(TARIFF_PROFILES!$D:$D,TARIFF_PROFILES!$A:$A,$X625))</f>
        <v/>
      </c>
      <c r="Z625" s="31" t="str">
        <f>IF($X625="","",SUMIFS(TARIFF_PROFILES!$E:$E,TARIFF_PROFILES!$A:$A,$X625))</f>
        <v/>
      </c>
      <c r="AA625" s="31" t="str">
        <f>IF($X625="","",SUMIFS(TARIFF_PROFILES!$F:$F,TARIFF_PROFILES!$A:$A,$X625))</f>
        <v/>
      </c>
      <c r="AB625" s="31" t="str">
        <f>IF($X625="","",SUMIFS(TARIFF_PROFILES!$G:$G,TARIFF_PROFILES!$A:$A,$X625))</f>
        <v/>
      </c>
      <c r="AC625" s="31" t="str">
        <f>IF($X625="","",SUMIFS(TARIFF_PROFILES!$H:$H,TARIFF_PROFILES!$A:$A,$X625))</f>
        <v/>
      </c>
      <c r="AD625" s="31" t="str">
        <f t="array" ref="AD625">IF($X625="","",INDEX(TARIFF_PROFILES!$J:$J,MATCH($X625,TARIFF_PROFILES!$A:$A,0)))</f>
        <v/>
      </c>
      <c r="AE625" s="31" t="str">
        <f t="array" ref="AE625">IF($X625="","",INDEX(TARIFF_PROFILES!$K:$K,MATCH($X625,TARIFF_PROFILES!$A:$A,0)))</f>
        <v/>
      </c>
      <c r="AG625" s="8"/>
      <c r="AH625" s="8" t="str">
        <f>IF($AG625="","",SUMIFS(OPERATING_COEFFS!$C:$C,OPERATING_COEFFS!$A:$A,"DistanceClass",OPERATING_COEFFS!$B:$B,$AG625))</f>
        <v/>
      </c>
      <c r="AI625" s="8"/>
      <c r="AJ625" s="8" t="str">
        <f>IF($AI625="","",SUMIFS(OPERATING_COEFFS!$C:$C,OPERATING_COEFFS!$A:$A,"SeasonClass",OPERATING_COEFFS!$B:$B,$AI625))</f>
        <v/>
      </c>
      <c r="AK625" s="8"/>
      <c r="AL625" s="8" t="str">
        <f>IF($AK625="","",SUMIFS(OPERATING_COEFFS!$C:$C,OPERATING_COEFFS!$A:$A,"UrgencyClass",OPERATING_COEFFS!$B:$B,$AK625))</f>
        <v/>
      </c>
      <c r="AM625" s="8"/>
      <c r="AN625" s="8" t="str">
        <f t="array" ref="AN625">IF($AM625="","",INDEX(TAX_MODES!$B:$B,MATCH($AM625,TAX_MODES!$A:$A,0)))</f>
        <v/>
      </c>
    </row>
    <row r="626" ht="14.25" customHeight="1">
      <c r="C626" s="8"/>
      <c r="E626" s="8"/>
      <c r="G626" s="8"/>
      <c r="I626" s="8"/>
      <c r="K626" s="8"/>
      <c r="M626" s="8"/>
      <c r="O626" s="8"/>
      <c r="Q626" s="8"/>
      <c r="S626" s="8"/>
      <c r="V626" s="8"/>
      <c r="X626" s="31"/>
      <c r="Y626" s="31" t="str">
        <f>IF($X626="","",SUMIFS(TARIFF_PROFILES!$D:$D,TARIFF_PROFILES!$A:$A,$X626))</f>
        <v/>
      </c>
      <c r="Z626" s="31" t="str">
        <f>IF($X626="","",SUMIFS(TARIFF_PROFILES!$E:$E,TARIFF_PROFILES!$A:$A,$X626))</f>
        <v/>
      </c>
      <c r="AA626" s="31" t="str">
        <f>IF($X626="","",SUMIFS(TARIFF_PROFILES!$F:$F,TARIFF_PROFILES!$A:$A,$X626))</f>
        <v/>
      </c>
      <c r="AB626" s="31" t="str">
        <f>IF($X626="","",SUMIFS(TARIFF_PROFILES!$G:$G,TARIFF_PROFILES!$A:$A,$X626))</f>
        <v/>
      </c>
      <c r="AC626" s="31" t="str">
        <f>IF($X626="","",SUMIFS(TARIFF_PROFILES!$H:$H,TARIFF_PROFILES!$A:$A,$X626))</f>
        <v/>
      </c>
      <c r="AD626" s="31" t="str">
        <f t="array" ref="AD626">IF($X626="","",INDEX(TARIFF_PROFILES!$J:$J,MATCH($X626,TARIFF_PROFILES!$A:$A,0)))</f>
        <v/>
      </c>
      <c r="AE626" s="31" t="str">
        <f t="array" ref="AE626">IF($X626="","",INDEX(TARIFF_PROFILES!$K:$K,MATCH($X626,TARIFF_PROFILES!$A:$A,0)))</f>
        <v/>
      </c>
      <c r="AG626" s="8"/>
      <c r="AH626" s="8" t="str">
        <f>IF($AG626="","",SUMIFS(OPERATING_COEFFS!$C:$C,OPERATING_COEFFS!$A:$A,"DistanceClass",OPERATING_COEFFS!$B:$B,$AG626))</f>
        <v/>
      </c>
      <c r="AI626" s="8"/>
      <c r="AJ626" s="8" t="str">
        <f>IF($AI626="","",SUMIFS(OPERATING_COEFFS!$C:$C,OPERATING_COEFFS!$A:$A,"SeasonClass",OPERATING_COEFFS!$B:$B,$AI626))</f>
        <v/>
      </c>
      <c r="AK626" s="8"/>
      <c r="AL626" s="8" t="str">
        <f>IF($AK626="","",SUMIFS(OPERATING_COEFFS!$C:$C,OPERATING_COEFFS!$A:$A,"UrgencyClass",OPERATING_COEFFS!$B:$B,$AK626))</f>
        <v/>
      </c>
      <c r="AM626" s="8"/>
      <c r="AN626" s="8" t="str">
        <f t="array" ref="AN626">IF($AM626="","",INDEX(TAX_MODES!$B:$B,MATCH($AM626,TAX_MODES!$A:$A,0)))</f>
        <v/>
      </c>
    </row>
    <row r="627" ht="14.25" customHeight="1">
      <c r="C627" s="8"/>
      <c r="E627" s="8"/>
      <c r="G627" s="8"/>
      <c r="I627" s="8"/>
      <c r="K627" s="8"/>
      <c r="M627" s="8"/>
      <c r="O627" s="8"/>
      <c r="Q627" s="8"/>
      <c r="S627" s="8"/>
      <c r="V627" s="8"/>
      <c r="X627" s="31"/>
      <c r="Y627" s="31" t="str">
        <f>IF($X627="","",SUMIFS(TARIFF_PROFILES!$D:$D,TARIFF_PROFILES!$A:$A,$X627))</f>
        <v/>
      </c>
      <c r="Z627" s="31" t="str">
        <f>IF($X627="","",SUMIFS(TARIFF_PROFILES!$E:$E,TARIFF_PROFILES!$A:$A,$X627))</f>
        <v/>
      </c>
      <c r="AA627" s="31" t="str">
        <f>IF($X627="","",SUMIFS(TARIFF_PROFILES!$F:$F,TARIFF_PROFILES!$A:$A,$X627))</f>
        <v/>
      </c>
      <c r="AB627" s="31" t="str">
        <f>IF($X627="","",SUMIFS(TARIFF_PROFILES!$G:$G,TARIFF_PROFILES!$A:$A,$X627))</f>
        <v/>
      </c>
      <c r="AC627" s="31" t="str">
        <f>IF($X627="","",SUMIFS(TARIFF_PROFILES!$H:$H,TARIFF_PROFILES!$A:$A,$X627))</f>
        <v/>
      </c>
      <c r="AD627" s="31" t="str">
        <f t="array" ref="AD627">IF($X627="","",INDEX(TARIFF_PROFILES!$J:$J,MATCH($X627,TARIFF_PROFILES!$A:$A,0)))</f>
        <v/>
      </c>
      <c r="AE627" s="31" t="str">
        <f t="array" ref="AE627">IF($X627="","",INDEX(TARIFF_PROFILES!$K:$K,MATCH($X627,TARIFF_PROFILES!$A:$A,0)))</f>
        <v/>
      </c>
      <c r="AG627" s="8"/>
      <c r="AH627" s="8" t="str">
        <f>IF($AG627="","",SUMIFS(OPERATING_COEFFS!$C:$C,OPERATING_COEFFS!$A:$A,"DistanceClass",OPERATING_COEFFS!$B:$B,$AG627))</f>
        <v/>
      </c>
      <c r="AI627" s="8"/>
      <c r="AJ627" s="8" t="str">
        <f>IF($AI627="","",SUMIFS(OPERATING_COEFFS!$C:$C,OPERATING_COEFFS!$A:$A,"SeasonClass",OPERATING_COEFFS!$B:$B,$AI627))</f>
        <v/>
      </c>
      <c r="AK627" s="8"/>
      <c r="AL627" s="8" t="str">
        <f>IF($AK627="","",SUMIFS(OPERATING_COEFFS!$C:$C,OPERATING_COEFFS!$A:$A,"UrgencyClass",OPERATING_COEFFS!$B:$B,$AK627))</f>
        <v/>
      </c>
      <c r="AM627" s="8"/>
      <c r="AN627" s="8" t="str">
        <f t="array" ref="AN627">IF($AM627="","",INDEX(TAX_MODES!$B:$B,MATCH($AM627,TAX_MODES!$A:$A,0)))</f>
        <v/>
      </c>
    </row>
    <row r="628" ht="14.25" customHeight="1">
      <c r="C628" s="8"/>
      <c r="E628" s="8"/>
      <c r="G628" s="8"/>
      <c r="I628" s="8"/>
      <c r="K628" s="8"/>
      <c r="M628" s="8"/>
      <c r="O628" s="8"/>
      <c r="Q628" s="8"/>
      <c r="S628" s="8"/>
      <c r="V628" s="8"/>
      <c r="X628" s="31"/>
      <c r="Y628" s="31" t="str">
        <f>IF($X628="","",SUMIFS(TARIFF_PROFILES!$D:$D,TARIFF_PROFILES!$A:$A,$X628))</f>
        <v/>
      </c>
      <c r="Z628" s="31" t="str">
        <f>IF($X628="","",SUMIFS(TARIFF_PROFILES!$E:$E,TARIFF_PROFILES!$A:$A,$X628))</f>
        <v/>
      </c>
      <c r="AA628" s="31" t="str">
        <f>IF($X628="","",SUMIFS(TARIFF_PROFILES!$F:$F,TARIFF_PROFILES!$A:$A,$X628))</f>
        <v/>
      </c>
      <c r="AB628" s="31" t="str">
        <f>IF($X628="","",SUMIFS(TARIFF_PROFILES!$G:$G,TARIFF_PROFILES!$A:$A,$X628))</f>
        <v/>
      </c>
      <c r="AC628" s="31" t="str">
        <f>IF($X628="","",SUMIFS(TARIFF_PROFILES!$H:$H,TARIFF_PROFILES!$A:$A,$X628))</f>
        <v/>
      </c>
      <c r="AD628" s="31" t="str">
        <f t="array" ref="AD628">IF($X628="","",INDEX(TARIFF_PROFILES!$J:$J,MATCH($X628,TARIFF_PROFILES!$A:$A,0)))</f>
        <v/>
      </c>
      <c r="AE628" s="31" t="str">
        <f t="array" ref="AE628">IF($X628="","",INDEX(TARIFF_PROFILES!$K:$K,MATCH($X628,TARIFF_PROFILES!$A:$A,0)))</f>
        <v/>
      </c>
      <c r="AG628" s="8"/>
      <c r="AH628" s="8" t="str">
        <f>IF($AG628="","",SUMIFS(OPERATING_COEFFS!$C:$C,OPERATING_COEFFS!$A:$A,"DistanceClass",OPERATING_COEFFS!$B:$B,$AG628))</f>
        <v/>
      </c>
      <c r="AI628" s="8"/>
      <c r="AJ628" s="8" t="str">
        <f>IF($AI628="","",SUMIFS(OPERATING_COEFFS!$C:$C,OPERATING_COEFFS!$A:$A,"SeasonClass",OPERATING_COEFFS!$B:$B,$AI628))</f>
        <v/>
      </c>
      <c r="AK628" s="8"/>
      <c r="AL628" s="8" t="str">
        <f>IF($AK628="","",SUMIFS(OPERATING_COEFFS!$C:$C,OPERATING_COEFFS!$A:$A,"UrgencyClass",OPERATING_COEFFS!$B:$B,$AK628))</f>
        <v/>
      </c>
      <c r="AM628" s="8"/>
      <c r="AN628" s="8" t="str">
        <f t="array" ref="AN628">IF($AM628="","",INDEX(TAX_MODES!$B:$B,MATCH($AM628,TAX_MODES!$A:$A,0)))</f>
        <v/>
      </c>
    </row>
    <row r="629" ht="14.25" customHeight="1">
      <c r="C629" s="8"/>
      <c r="E629" s="8"/>
      <c r="G629" s="8"/>
      <c r="I629" s="8"/>
      <c r="K629" s="8"/>
      <c r="M629" s="8"/>
      <c r="O629" s="8"/>
      <c r="Q629" s="8"/>
      <c r="S629" s="8"/>
      <c r="V629" s="8"/>
      <c r="X629" s="31"/>
      <c r="Y629" s="31" t="str">
        <f>IF($X629="","",SUMIFS(TARIFF_PROFILES!$D:$D,TARIFF_PROFILES!$A:$A,$X629))</f>
        <v/>
      </c>
      <c r="Z629" s="31" t="str">
        <f>IF($X629="","",SUMIFS(TARIFF_PROFILES!$E:$E,TARIFF_PROFILES!$A:$A,$X629))</f>
        <v/>
      </c>
      <c r="AA629" s="31" t="str">
        <f>IF($X629="","",SUMIFS(TARIFF_PROFILES!$F:$F,TARIFF_PROFILES!$A:$A,$X629))</f>
        <v/>
      </c>
      <c r="AB629" s="31" t="str">
        <f>IF($X629="","",SUMIFS(TARIFF_PROFILES!$G:$G,TARIFF_PROFILES!$A:$A,$X629))</f>
        <v/>
      </c>
      <c r="AC629" s="31" t="str">
        <f>IF($X629="","",SUMIFS(TARIFF_PROFILES!$H:$H,TARIFF_PROFILES!$A:$A,$X629))</f>
        <v/>
      </c>
      <c r="AD629" s="31" t="str">
        <f t="array" ref="AD629">IF($X629="","",INDEX(TARIFF_PROFILES!$J:$J,MATCH($X629,TARIFF_PROFILES!$A:$A,0)))</f>
        <v/>
      </c>
      <c r="AE629" s="31" t="str">
        <f t="array" ref="AE629">IF($X629="","",INDEX(TARIFF_PROFILES!$K:$K,MATCH($X629,TARIFF_PROFILES!$A:$A,0)))</f>
        <v/>
      </c>
      <c r="AG629" s="8"/>
      <c r="AH629" s="8" t="str">
        <f>IF($AG629="","",SUMIFS(OPERATING_COEFFS!$C:$C,OPERATING_COEFFS!$A:$A,"DistanceClass",OPERATING_COEFFS!$B:$B,$AG629))</f>
        <v/>
      </c>
      <c r="AI629" s="8"/>
      <c r="AJ629" s="8" t="str">
        <f>IF($AI629="","",SUMIFS(OPERATING_COEFFS!$C:$C,OPERATING_COEFFS!$A:$A,"SeasonClass",OPERATING_COEFFS!$B:$B,$AI629))</f>
        <v/>
      </c>
      <c r="AK629" s="8"/>
      <c r="AL629" s="8" t="str">
        <f>IF($AK629="","",SUMIFS(OPERATING_COEFFS!$C:$C,OPERATING_COEFFS!$A:$A,"UrgencyClass",OPERATING_COEFFS!$B:$B,$AK629))</f>
        <v/>
      </c>
      <c r="AM629" s="8"/>
      <c r="AN629" s="8" t="str">
        <f t="array" ref="AN629">IF($AM629="","",INDEX(TAX_MODES!$B:$B,MATCH($AM629,TAX_MODES!$A:$A,0)))</f>
        <v/>
      </c>
    </row>
    <row r="630" ht="14.25" customHeight="1">
      <c r="C630" s="8"/>
      <c r="E630" s="8"/>
      <c r="G630" s="8"/>
      <c r="I630" s="8"/>
      <c r="K630" s="8"/>
      <c r="M630" s="8"/>
      <c r="O630" s="8"/>
      <c r="Q630" s="8"/>
      <c r="S630" s="8"/>
      <c r="V630" s="8"/>
      <c r="X630" s="31"/>
      <c r="Y630" s="31" t="str">
        <f>IF($X630="","",SUMIFS(TARIFF_PROFILES!$D:$D,TARIFF_PROFILES!$A:$A,$X630))</f>
        <v/>
      </c>
      <c r="Z630" s="31" t="str">
        <f>IF($X630="","",SUMIFS(TARIFF_PROFILES!$E:$E,TARIFF_PROFILES!$A:$A,$X630))</f>
        <v/>
      </c>
      <c r="AA630" s="31" t="str">
        <f>IF($X630="","",SUMIFS(TARIFF_PROFILES!$F:$F,TARIFF_PROFILES!$A:$A,$X630))</f>
        <v/>
      </c>
      <c r="AB630" s="31" t="str">
        <f>IF($X630="","",SUMIFS(TARIFF_PROFILES!$G:$G,TARIFF_PROFILES!$A:$A,$X630))</f>
        <v/>
      </c>
      <c r="AC630" s="31" t="str">
        <f>IF($X630="","",SUMIFS(TARIFF_PROFILES!$H:$H,TARIFF_PROFILES!$A:$A,$X630))</f>
        <v/>
      </c>
      <c r="AD630" s="31" t="str">
        <f t="array" ref="AD630">IF($X630="","",INDEX(TARIFF_PROFILES!$J:$J,MATCH($X630,TARIFF_PROFILES!$A:$A,0)))</f>
        <v/>
      </c>
      <c r="AE630" s="31" t="str">
        <f t="array" ref="AE630">IF($X630="","",INDEX(TARIFF_PROFILES!$K:$K,MATCH($X630,TARIFF_PROFILES!$A:$A,0)))</f>
        <v/>
      </c>
      <c r="AG630" s="8"/>
      <c r="AH630" s="8" t="str">
        <f>IF($AG630="","",SUMIFS(OPERATING_COEFFS!$C:$C,OPERATING_COEFFS!$A:$A,"DistanceClass",OPERATING_COEFFS!$B:$B,$AG630))</f>
        <v/>
      </c>
      <c r="AI630" s="8"/>
      <c r="AJ630" s="8" t="str">
        <f>IF($AI630="","",SUMIFS(OPERATING_COEFFS!$C:$C,OPERATING_COEFFS!$A:$A,"SeasonClass",OPERATING_COEFFS!$B:$B,$AI630))</f>
        <v/>
      </c>
      <c r="AK630" s="8"/>
      <c r="AL630" s="8" t="str">
        <f>IF($AK630="","",SUMIFS(OPERATING_COEFFS!$C:$C,OPERATING_COEFFS!$A:$A,"UrgencyClass",OPERATING_COEFFS!$B:$B,$AK630))</f>
        <v/>
      </c>
      <c r="AM630" s="8"/>
      <c r="AN630" s="8" t="str">
        <f t="array" ref="AN630">IF($AM630="","",INDEX(TAX_MODES!$B:$B,MATCH($AM630,TAX_MODES!$A:$A,0)))</f>
        <v/>
      </c>
    </row>
    <row r="631" ht="14.25" customHeight="1">
      <c r="C631" s="8"/>
      <c r="E631" s="8"/>
      <c r="G631" s="8"/>
      <c r="I631" s="8"/>
      <c r="K631" s="8"/>
      <c r="M631" s="8"/>
      <c r="O631" s="8"/>
      <c r="Q631" s="8"/>
      <c r="S631" s="8"/>
      <c r="V631" s="8"/>
      <c r="X631" s="31"/>
      <c r="Y631" s="31" t="str">
        <f>IF($X631="","",SUMIFS(TARIFF_PROFILES!$D:$D,TARIFF_PROFILES!$A:$A,$X631))</f>
        <v/>
      </c>
      <c r="Z631" s="31" t="str">
        <f>IF($X631="","",SUMIFS(TARIFF_PROFILES!$E:$E,TARIFF_PROFILES!$A:$A,$X631))</f>
        <v/>
      </c>
      <c r="AA631" s="31" t="str">
        <f>IF($X631="","",SUMIFS(TARIFF_PROFILES!$F:$F,TARIFF_PROFILES!$A:$A,$X631))</f>
        <v/>
      </c>
      <c r="AB631" s="31" t="str">
        <f>IF($X631="","",SUMIFS(TARIFF_PROFILES!$G:$G,TARIFF_PROFILES!$A:$A,$X631))</f>
        <v/>
      </c>
      <c r="AC631" s="31" t="str">
        <f>IF($X631="","",SUMIFS(TARIFF_PROFILES!$H:$H,TARIFF_PROFILES!$A:$A,$X631))</f>
        <v/>
      </c>
      <c r="AD631" s="31" t="str">
        <f t="array" ref="AD631">IF($X631="","",INDEX(TARIFF_PROFILES!$J:$J,MATCH($X631,TARIFF_PROFILES!$A:$A,0)))</f>
        <v/>
      </c>
      <c r="AE631" s="31" t="str">
        <f t="array" ref="AE631">IF($X631="","",INDEX(TARIFF_PROFILES!$K:$K,MATCH($X631,TARIFF_PROFILES!$A:$A,0)))</f>
        <v/>
      </c>
      <c r="AG631" s="8"/>
      <c r="AH631" s="8" t="str">
        <f>IF($AG631="","",SUMIFS(OPERATING_COEFFS!$C:$C,OPERATING_COEFFS!$A:$A,"DistanceClass",OPERATING_COEFFS!$B:$B,$AG631))</f>
        <v/>
      </c>
      <c r="AI631" s="8"/>
      <c r="AJ631" s="8" t="str">
        <f>IF($AI631="","",SUMIFS(OPERATING_COEFFS!$C:$C,OPERATING_COEFFS!$A:$A,"SeasonClass",OPERATING_COEFFS!$B:$B,$AI631))</f>
        <v/>
      </c>
      <c r="AK631" s="8"/>
      <c r="AL631" s="8" t="str">
        <f>IF($AK631="","",SUMIFS(OPERATING_COEFFS!$C:$C,OPERATING_COEFFS!$A:$A,"UrgencyClass",OPERATING_COEFFS!$B:$B,$AK631))</f>
        <v/>
      </c>
      <c r="AM631" s="8"/>
      <c r="AN631" s="8" t="str">
        <f t="array" ref="AN631">IF($AM631="","",INDEX(TAX_MODES!$B:$B,MATCH($AM631,TAX_MODES!$A:$A,0)))</f>
        <v/>
      </c>
    </row>
    <row r="632" ht="14.25" customHeight="1">
      <c r="C632" s="8"/>
      <c r="E632" s="8"/>
      <c r="G632" s="8"/>
      <c r="I632" s="8"/>
      <c r="K632" s="8"/>
      <c r="M632" s="8"/>
      <c r="O632" s="8"/>
      <c r="Q632" s="8"/>
      <c r="S632" s="8"/>
      <c r="V632" s="8"/>
      <c r="X632" s="31"/>
      <c r="Y632" s="31" t="str">
        <f>IF($X632="","",SUMIFS(TARIFF_PROFILES!$D:$D,TARIFF_PROFILES!$A:$A,$X632))</f>
        <v/>
      </c>
      <c r="Z632" s="31" t="str">
        <f>IF($X632="","",SUMIFS(TARIFF_PROFILES!$E:$E,TARIFF_PROFILES!$A:$A,$X632))</f>
        <v/>
      </c>
      <c r="AA632" s="31" t="str">
        <f>IF($X632="","",SUMIFS(TARIFF_PROFILES!$F:$F,TARIFF_PROFILES!$A:$A,$X632))</f>
        <v/>
      </c>
      <c r="AB632" s="31" t="str">
        <f>IF($X632="","",SUMIFS(TARIFF_PROFILES!$G:$G,TARIFF_PROFILES!$A:$A,$X632))</f>
        <v/>
      </c>
      <c r="AC632" s="31" t="str">
        <f>IF($X632="","",SUMIFS(TARIFF_PROFILES!$H:$H,TARIFF_PROFILES!$A:$A,$X632))</f>
        <v/>
      </c>
      <c r="AD632" s="31" t="str">
        <f t="array" ref="AD632">IF($X632="","",INDEX(TARIFF_PROFILES!$J:$J,MATCH($X632,TARIFF_PROFILES!$A:$A,0)))</f>
        <v/>
      </c>
      <c r="AE632" s="31" t="str">
        <f t="array" ref="AE632">IF($X632="","",INDEX(TARIFF_PROFILES!$K:$K,MATCH($X632,TARIFF_PROFILES!$A:$A,0)))</f>
        <v/>
      </c>
      <c r="AG632" s="8"/>
      <c r="AH632" s="8" t="str">
        <f>IF($AG632="","",SUMIFS(OPERATING_COEFFS!$C:$C,OPERATING_COEFFS!$A:$A,"DistanceClass",OPERATING_COEFFS!$B:$B,$AG632))</f>
        <v/>
      </c>
      <c r="AI632" s="8"/>
      <c r="AJ632" s="8" t="str">
        <f>IF($AI632="","",SUMIFS(OPERATING_COEFFS!$C:$C,OPERATING_COEFFS!$A:$A,"SeasonClass",OPERATING_COEFFS!$B:$B,$AI632))</f>
        <v/>
      </c>
      <c r="AK632" s="8"/>
      <c r="AL632" s="8" t="str">
        <f>IF($AK632="","",SUMIFS(OPERATING_COEFFS!$C:$C,OPERATING_COEFFS!$A:$A,"UrgencyClass",OPERATING_COEFFS!$B:$B,$AK632))</f>
        <v/>
      </c>
      <c r="AM632" s="8"/>
      <c r="AN632" s="8" t="str">
        <f t="array" ref="AN632">IF($AM632="","",INDEX(TAX_MODES!$B:$B,MATCH($AM632,TAX_MODES!$A:$A,0)))</f>
        <v/>
      </c>
    </row>
    <row r="633" ht="14.25" customHeight="1">
      <c r="C633" s="8"/>
      <c r="E633" s="8"/>
      <c r="G633" s="8"/>
      <c r="I633" s="8"/>
      <c r="K633" s="8"/>
      <c r="M633" s="8"/>
      <c r="O633" s="8"/>
      <c r="Q633" s="8"/>
      <c r="S633" s="8"/>
      <c r="V633" s="8"/>
      <c r="X633" s="31"/>
      <c r="Y633" s="31" t="str">
        <f>IF($X633="","",SUMIFS(TARIFF_PROFILES!$D:$D,TARIFF_PROFILES!$A:$A,$X633))</f>
        <v/>
      </c>
      <c r="Z633" s="31" t="str">
        <f>IF($X633="","",SUMIFS(TARIFF_PROFILES!$E:$E,TARIFF_PROFILES!$A:$A,$X633))</f>
        <v/>
      </c>
      <c r="AA633" s="31" t="str">
        <f>IF($X633="","",SUMIFS(TARIFF_PROFILES!$F:$F,TARIFF_PROFILES!$A:$A,$X633))</f>
        <v/>
      </c>
      <c r="AB633" s="31" t="str">
        <f>IF($X633="","",SUMIFS(TARIFF_PROFILES!$G:$G,TARIFF_PROFILES!$A:$A,$X633))</f>
        <v/>
      </c>
      <c r="AC633" s="31" t="str">
        <f>IF($X633="","",SUMIFS(TARIFF_PROFILES!$H:$H,TARIFF_PROFILES!$A:$A,$X633))</f>
        <v/>
      </c>
      <c r="AD633" s="31" t="str">
        <f t="array" ref="AD633">IF($X633="","",INDEX(TARIFF_PROFILES!$J:$J,MATCH($X633,TARIFF_PROFILES!$A:$A,0)))</f>
        <v/>
      </c>
      <c r="AE633" s="31" t="str">
        <f t="array" ref="AE633">IF($X633="","",INDEX(TARIFF_PROFILES!$K:$K,MATCH($X633,TARIFF_PROFILES!$A:$A,0)))</f>
        <v/>
      </c>
      <c r="AG633" s="8"/>
      <c r="AH633" s="8" t="str">
        <f>IF($AG633="","",SUMIFS(OPERATING_COEFFS!$C:$C,OPERATING_COEFFS!$A:$A,"DistanceClass",OPERATING_COEFFS!$B:$B,$AG633))</f>
        <v/>
      </c>
      <c r="AI633" s="8"/>
      <c r="AJ633" s="8" t="str">
        <f>IF($AI633="","",SUMIFS(OPERATING_COEFFS!$C:$C,OPERATING_COEFFS!$A:$A,"SeasonClass",OPERATING_COEFFS!$B:$B,$AI633))</f>
        <v/>
      </c>
      <c r="AK633" s="8"/>
      <c r="AL633" s="8" t="str">
        <f>IF($AK633="","",SUMIFS(OPERATING_COEFFS!$C:$C,OPERATING_COEFFS!$A:$A,"UrgencyClass",OPERATING_COEFFS!$B:$B,$AK633))</f>
        <v/>
      </c>
      <c r="AM633" s="8"/>
      <c r="AN633" s="8" t="str">
        <f t="array" ref="AN633">IF($AM633="","",INDEX(TAX_MODES!$B:$B,MATCH($AM633,TAX_MODES!$A:$A,0)))</f>
        <v/>
      </c>
    </row>
    <row r="634" ht="14.25" customHeight="1">
      <c r="C634" s="8"/>
      <c r="E634" s="8"/>
      <c r="G634" s="8"/>
      <c r="I634" s="8"/>
      <c r="K634" s="8"/>
      <c r="M634" s="8"/>
      <c r="O634" s="8"/>
      <c r="Q634" s="8"/>
      <c r="S634" s="8"/>
      <c r="V634" s="8"/>
      <c r="X634" s="31"/>
      <c r="Y634" s="31" t="str">
        <f>IF($X634="","",SUMIFS(TARIFF_PROFILES!$D:$D,TARIFF_PROFILES!$A:$A,$X634))</f>
        <v/>
      </c>
      <c r="Z634" s="31" t="str">
        <f>IF($X634="","",SUMIFS(TARIFF_PROFILES!$E:$E,TARIFF_PROFILES!$A:$A,$X634))</f>
        <v/>
      </c>
      <c r="AA634" s="31" t="str">
        <f>IF($X634="","",SUMIFS(TARIFF_PROFILES!$F:$F,TARIFF_PROFILES!$A:$A,$X634))</f>
        <v/>
      </c>
      <c r="AB634" s="31" t="str">
        <f>IF($X634="","",SUMIFS(TARIFF_PROFILES!$G:$G,TARIFF_PROFILES!$A:$A,$X634))</f>
        <v/>
      </c>
      <c r="AC634" s="31" t="str">
        <f>IF($X634="","",SUMIFS(TARIFF_PROFILES!$H:$H,TARIFF_PROFILES!$A:$A,$X634))</f>
        <v/>
      </c>
      <c r="AD634" s="31" t="str">
        <f t="array" ref="AD634">IF($X634="","",INDEX(TARIFF_PROFILES!$J:$J,MATCH($X634,TARIFF_PROFILES!$A:$A,0)))</f>
        <v/>
      </c>
      <c r="AE634" s="31" t="str">
        <f t="array" ref="AE634">IF($X634="","",INDEX(TARIFF_PROFILES!$K:$K,MATCH($X634,TARIFF_PROFILES!$A:$A,0)))</f>
        <v/>
      </c>
      <c r="AG634" s="8"/>
      <c r="AH634" s="8" t="str">
        <f>IF($AG634="","",SUMIFS(OPERATING_COEFFS!$C:$C,OPERATING_COEFFS!$A:$A,"DistanceClass",OPERATING_COEFFS!$B:$B,$AG634))</f>
        <v/>
      </c>
      <c r="AI634" s="8"/>
      <c r="AJ634" s="8" t="str">
        <f>IF($AI634="","",SUMIFS(OPERATING_COEFFS!$C:$C,OPERATING_COEFFS!$A:$A,"SeasonClass",OPERATING_COEFFS!$B:$B,$AI634))</f>
        <v/>
      </c>
      <c r="AK634" s="8"/>
      <c r="AL634" s="8" t="str">
        <f>IF($AK634="","",SUMIFS(OPERATING_COEFFS!$C:$C,OPERATING_COEFFS!$A:$A,"UrgencyClass",OPERATING_COEFFS!$B:$B,$AK634))</f>
        <v/>
      </c>
      <c r="AM634" s="8"/>
      <c r="AN634" s="8" t="str">
        <f t="array" ref="AN634">IF($AM634="","",INDEX(TAX_MODES!$B:$B,MATCH($AM634,TAX_MODES!$A:$A,0)))</f>
        <v/>
      </c>
    </row>
    <row r="635" ht="14.25" customHeight="1">
      <c r="C635" s="8"/>
      <c r="E635" s="8"/>
      <c r="G635" s="8"/>
      <c r="I635" s="8"/>
      <c r="K635" s="8"/>
      <c r="M635" s="8"/>
      <c r="O635" s="8"/>
      <c r="Q635" s="8"/>
      <c r="S635" s="8"/>
      <c r="V635" s="8"/>
      <c r="X635" s="31"/>
      <c r="Y635" s="31" t="str">
        <f>IF($X635="","",SUMIFS(TARIFF_PROFILES!$D:$D,TARIFF_PROFILES!$A:$A,$X635))</f>
        <v/>
      </c>
      <c r="Z635" s="31" t="str">
        <f>IF($X635="","",SUMIFS(TARIFF_PROFILES!$E:$E,TARIFF_PROFILES!$A:$A,$X635))</f>
        <v/>
      </c>
      <c r="AA635" s="31" t="str">
        <f>IF($X635="","",SUMIFS(TARIFF_PROFILES!$F:$F,TARIFF_PROFILES!$A:$A,$X635))</f>
        <v/>
      </c>
      <c r="AB635" s="31" t="str">
        <f>IF($X635="","",SUMIFS(TARIFF_PROFILES!$G:$G,TARIFF_PROFILES!$A:$A,$X635))</f>
        <v/>
      </c>
      <c r="AC635" s="31" t="str">
        <f>IF($X635="","",SUMIFS(TARIFF_PROFILES!$H:$H,TARIFF_PROFILES!$A:$A,$X635))</f>
        <v/>
      </c>
      <c r="AD635" s="31" t="str">
        <f t="array" ref="AD635">IF($X635="","",INDEX(TARIFF_PROFILES!$J:$J,MATCH($X635,TARIFF_PROFILES!$A:$A,0)))</f>
        <v/>
      </c>
      <c r="AE635" s="31" t="str">
        <f t="array" ref="AE635">IF($X635="","",INDEX(TARIFF_PROFILES!$K:$K,MATCH($X635,TARIFF_PROFILES!$A:$A,0)))</f>
        <v/>
      </c>
      <c r="AG635" s="8"/>
      <c r="AH635" s="8" t="str">
        <f>IF($AG635="","",SUMIFS(OPERATING_COEFFS!$C:$C,OPERATING_COEFFS!$A:$A,"DistanceClass",OPERATING_COEFFS!$B:$B,$AG635))</f>
        <v/>
      </c>
      <c r="AI635" s="8"/>
      <c r="AJ635" s="8" t="str">
        <f>IF($AI635="","",SUMIFS(OPERATING_COEFFS!$C:$C,OPERATING_COEFFS!$A:$A,"SeasonClass",OPERATING_COEFFS!$B:$B,$AI635))</f>
        <v/>
      </c>
      <c r="AK635" s="8"/>
      <c r="AL635" s="8" t="str">
        <f>IF($AK635="","",SUMIFS(OPERATING_COEFFS!$C:$C,OPERATING_COEFFS!$A:$A,"UrgencyClass",OPERATING_COEFFS!$B:$B,$AK635))</f>
        <v/>
      </c>
      <c r="AM635" s="8"/>
      <c r="AN635" s="8" t="str">
        <f t="array" ref="AN635">IF($AM635="","",INDEX(TAX_MODES!$B:$B,MATCH($AM635,TAX_MODES!$A:$A,0)))</f>
        <v/>
      </c>
    </row>
    <row r="636" ht="14.25" customHeight="1">
      <c r="C636" s="8"/>
      <c r="E636" s="8"/>
      <c r="G636" s="8"/>
      <c r="I636" s="8"/>
      <c r="K636" s="8"/>
      <c r="M636" s="8"/>
      <c r="O636" s="8"/>
      <c r="Q636" s="8"/>
      <c r="S636" s="8"/>
      <c r="V636" s="8"/>
      <c r="X636" s="31"/>
      <c r="Y636" s="31" t="str">
        <f>IF($X636="","",SUMIFS(TARIFF_PROFILES!$D:$D,TARIFF_PROFILES!$A:$A,$X636))</f>
        <v/>
      </c>
      <c r="Z636" s="31" t="str">
        <f>IF($X636="","",SUMIFS(TARIFF_PROFILES!$E:$E,TARIFF_PROFILES!$A:$A,$X636))</f>
        <v/>
      </c>
      <c r="AA636" s="31" t="str">
        <f>IF($X636="","",SUMIFS(TARIFF_PROFILES!$F:$F,TARIFF_PROFILES!$A:$A,$X636))</f>
        <v/>
      </c>
      <c r="AB636" s="31" t="str">
        <f>IF($X636="","",SUMIFS(TARIFF_PROFILES!$G:$G,TARIFF_PROFILES!$A:$A,$X636))</f>
        <v/>
      </c>
      <c r="AC636" s="31" t="str">
        <f>IF($X636="","",SUMIFS(TARIFF_PROFILES!$H:$H,TARIFF_PROFILES!$A:$A,$X636))</f>
        <v/>
      </c>
      <c r="AD636" s="31" t="str">
        <f t="array" ref="AD636">IF($X636="","",INDEX(TARIFF_PROFILES!$J:$J,MATCH($X636,TARIFF_PROFILES!$A:$A,0)))</f>
        <v/>
      </c>
      <c r="AE636" s="31" t="str">
        <f t="array" ref="AE636">IF($X636="","",INDEX(TARIFF_PROFILES!$K:$K,MATCH($X636,TARIFF_PROFILES!$A:$A,0)))</f>
        <v/>
      </c>
      <c r="AG636" s="8"/>
      <c r="AH636" s="8" t="str">
        <f>IF($AG636="","",SUMIFS(OPERATING_COEFFS!$C:$C,OPERATING_COEFFS!$A:$A,"DistanceClass",OPERATING_COEFFS!$B:$B,$AG636))</f>
        <v/>
      </c>
      <c r="AI636" s="8"/>
      <c r="AJ636" s="8" t="str">
        <f>IF($AI636="","",SUMIFS(OPERATING_COEFFS!$C:$C,OPERATING_COEFFS!$A:$A,"SeasonClass",OPERATING_COEFFS!$B:$B,$AI636))</f>
        <v/>
      </c>
      <c r="AK636" s="8"/>
      <c r="AL636" s="8" t="str">
        <f>IF($AK636="","",SUMIFS(OPERATING_COEFFS!$C:$C,OPERATING_COEFFS!$A:$A,"UrgencyClass",OPERATING_COEFFS!$B:$B,$AK636))</f>
        <v/>
      </c>
      <c r="AM636" s="8"/>
      <c r="AN636" s="8" t="str">
        <f t="array" ref="AN636">IF($AM636="","",INDEX(TAX_MODES!$B:$B,MATCH($AM636,TAX_MODES!$A:$A,0)))</f>
        <v/>
      </c>
    </row>
    <row r="637" ht="14.25" customHeight="1">
      <c r="C637" s="8"/>
      <c r="E637" s="8"/>
      <c r="G637" s="8"/>
      <c r="I637" s="8"/>
      <c r="K637" s="8"/>
      <c r="M637" s="8"/>
      <c r="O637" s="8"/>
      <c r="Q637" s="8"/>
      <c r="S637" s="8"/>
      <c r="V637" s="8"/>
      <c r="X637" s="31"/>
      <c r="Y637" s="31" t="str">
        <f>IF($X637="","",SUMIFS(TARIFF_PROFILES!$D:$D,TARIFF_PROFILES!$A:$A,$X637))</f>
        <v/>
      </c>
      <c r="Z637" s="31" t="str">
        <f>IF($X637="","",SUMIFS(TARIFF_PROFILES!$E:$E,TARIFF_PROFILES!$A:$A,$X637))</f>
        <v/>
      </c>
      <c r="AA637" s="31" t="str">
        <f>IF($X637="","",SUMIFS(TARIFF_PROFILES!$F:$F,TARIFF_PROFILES!$A:$A,$X637))</f>
        <v/>
      </c>
      <c r="AB637" s="31" t="str">
        <f>IF($X637="","",SUMIFS(TARIFF_PROFILES!$G:$G,TARIFF_PROFILES!$A:$A,$X637))</f>
        <v/>
      </c>
      <c r="AC637" s="31" t="str">
        <f>IF($X637="","",SUMIFS(TARIFF_PROFILES!$H:$H,TARIFF_PROFILES!$A:$A,$X637))</f>
        <v/>
      </c>
      <c r="AD637" s="31" t="str">
        <f t="array" ref="AD637">IF($X637="","",INDEX(TARIFF_PROFILES!$J:$J,MATCH($X637,TARIFF_PROFILES!$A:$A,0)))</f>
        <v/>
      </c>
      <c r="AE637" s="31" t="str">
        <f t="array" ref="AE637">IF($X637="","",INDEX(TARIFF_PROFILES!$K:$K,MATCH($X637,TARIFF_PROFILES!$A:$A,0)))</f>
        <v/>
      </c>
      <c r="AG637" s="8"/>
      <c r="AH637" s="8" t="str">
        <f>IF($AG637="","",SUMIFS(OPERATING_COEFFS!$C:$C,OPERATING_COEFFS!$A:$A,"DistanceClass",OPERATING_COEFFS!$B:$B,$AG637))</f>
        <v/>
      </c>
      <c r="AI637" s="8"/>
      <c r="AJ637" s="8" t="str">
        <f>IF($AI637="","",SUMIFS(OPERATING_COEFFS!$C:$C,OPERATING_COEFFS!$A:$A,"SeasonClass",OPERATING_COEFFS!$B:$B,$AI637))</f>
        <v/>
      </c>
      <c r="AK637" s="8"/>
      <c r="AL637" s="8" t="str">
        <f>IF($AK637="","",SUMIFS(OPERATING_COEFFS!$C:$C,OPERATING_COEFFS!$A:$A,"UrgencyClass",OPERATING_COEFFS!$B:$B,$AK637))</f>
        <v/>
      </c>
      <c r="AM637" s="8"/>
      <c r="AN637" s="8" t="str">
        <f t="array" ref="AN637">IF($AM637="","",INDEX(TAX_MODES!$B:$B,MATCH($AM637,TAX_MODES!$A:$A,0)))</f>
        <v/>
      </c>
    </row>
    <row r="638" ht="14.25" customHeight="1">
      <c r="C638" s="8"/>
      <c r="E638" s="8"/>
      <c r="G638" s="8"/>
      <c r="I638" s="8"/>
      <c r="K638" s="8"/>
      <c r="M638" s="8"/>
      <c r="O638" s="8"/>
      <c r="Q638" s="8"/>
      <c r="S638" s="8"/>
      <c r="V638" s="8"/>
      <c r="X638" s="31"/>
      <c r="Y638" s="31" t="str">
        <f>IF($X638="","",SUMIFS(TARIFF_PROFILES!$D:$D,TARIFF_PROFILES!$A:$A,$X638))</f>
        <v/>
      </c>
      <c r="Z638" s="31" t="str">
        <f>IF($X638="","",SUMIFS(TARIFF_PROFILES!$E:$E,TARIFF_PROFILES!$A:$A,$X638))</f>
        <v/>
      </c>
      <c r="AA638" s="31" t="str">
        <f>IF($X638="","",SUMIFS(TARIFF_PROFILES!$F:$F,TARIFF_PROFILES!$A:$A,$X638))</f>
        <v/>
      </c>
      <c r="AB638" s="31" t="str">
        <f>IF($X638="","",SUMIFS(TARIFF_PROFILES!$G:$G,TARIFF_PROFILES!$A:$A,$X638))</f>
        <v/>
      </c>
      <c r="AC638" s="31" t="str">
        <f>IF($X638="","",SUMIFS(TARIFF_PROFILES!$H:$H,TARIFF_PROFILES!$A:$A,$X638))</f>
        <v/>
      </c>
      <c r="AD638" s="31" t="str">
        <f t="array" ref="AD638">IF($X638="","",INDEX(TARIFF_PROFILES!$J:$J,MATCH($X638,TARIFF_PROFILES!$A:$A,0)))</f>
        <v/>
      </c>
      <c r="AE638" s="31" t="str">
        <f t="array" ref="AE638">IF($X638="","",INDEX(TARIFF_PROFILES!$K:$K,MATCH($X638,TARIFF_PROFILES!$A:$A,0)))</f>
        <v/>
      </c>
      <c r="AG638" s="8"/>
      <c r="AH638" s="8" t="str">
        <f>IF($AG638="","",SUMIFS(OPERATING_COEFFS!$C:$C,OPERATING_COEFFS!$A:$A,"DistanceClass",OPERATING_COEFFS!$B:$B,$AG638))</f>
        <v/>
      </c>
      <c r="AI638" s="8"/>
      <c r="AJ638" s="8" t="str">
        <f>IF($AI638="","",SUMIFS(OPERATING_COEFFS!$C:$C,OPERATING_COEFFS!$A:$A,"SeasonClass",OPERATING_COEFFS!$B:$B,$AI638))</f>
        <v/>
      </c>
      <c r="AK638" s="8"/>
      <c r="AL638" s="8" t="str">
        <f>IF($AK638="","",SUMIFS(OPERATING_COEFFS!$C:$C,OPERATING_COEFFS!$A:$A,"UrgencyClass",OPERATING_COEFFS!$B:$B,$AK638))</f>
        <v/>
      </c>
      <c r="AM638" s="8"/>
      <c r="AN638" s="8" t="str">
        <f t="array" ref="AN638">IF($AM638="","",INDEX(TAX_MODES!$B:$B,MATCH($AM638,TAX_MODES!$A:$A,0)))</f>
        <v/>
      </c>
    </row>
    <row r="639" ht="14.25" customHeight="1">
      <c r="C639" s="8"/>
      <c r="E639" s="8"/>
      <c r="G639" s="8"/>
      <c r="I639" s="8"/>
      <c r="K639" s="8"/>
      <c r="M639" s="8"/>
      <c r="O639" s="8"/>
      <c r="Q639" s="8"/>
      <c r="S639" s="8"/>
      <c r="V639" s="8"/>
      <c r="X639" s="31"/>
      <c r="Y639" s="31" t="str">
        <f>IF($X639="","",SUMIFS(TARIFF_PROFILES!$D:$D,TARIFF_PROFILES!$A:$A,$X639))</f>
        <v/>
      </c>
      <c r="Z639" s="31" t="str">
        <f>IF($X639="","",SUMIFS(TARIFF_PROFILES!$E:$E,TARIFF_PROFILES!$A:$A,$X639))</f>
        <v/>
      </c>
      <c r="AA639" s="31" t="str">
        <f>IF($X639="","",SUMIFS(TARIFF_PROFILES!$F:$F,TARIFF_PROFILES!$A:$A,$X639))</f>
        <v/>
      </c>
      <c r="AB639" s="31" t="str">
        <f>IF($X639="","",SUMIFS(TARIFF_PROFILES!$G:$G,TARIFF_PROFILES!$A:$A,$X639))</f>
        <v/>
      </c>
      <c r="AC639" s="31" t="str">
        <f>IF($X639="","",SUMIFS(TARIFF_PROFILES!$H:$H,TARIFF_PROFILES!$A:$A,$X639))</f>
        <v/>
      </c>
      <c r="AD639" s="31" t="str">
        <f t="array" ref="AD639">IF($X639="","",INDEX(TARIFF_PROFILES!$J:$J,MATCH($X639,TARIFF_PROFILES!$A:$A,0)))</f>
        <v/>
      </c>
      <c r="AE639" s="31" t="str">
        <f t="array" ref="AE639">IF($X639="","",INDEX(TARIFF_PROFILES!$K:$K,MATCH($X639,TARIFF_PROFILES!$A:$A,0)))</f>
        <v/>
      </c>
      <c r="AG639" s="8"/>
      <c r="AH639" s="8" t="str">
        <f>IF($AG639="","",SUMIFS(OPERATING_COEFFS!$C:$C,OPERATING_COEFFS!$A:$A,"DistanceClass",OPERATING_COEFFS!$B:$B,$AG639))</f>
        <v/>
      </c>
      <c r="AI639" s="8"/>
      <c r="AJ639" s="8" t="str">
        <f>IF($AI639="","",SUMIFS(OPERATING_COEFFS!$C:$C,OPERATING_COEFFS!$A:$A,"SeasonClass",OPERATING_COEFFS!$B:$B,$AI639))</f>
        <v/>
      </c>
      <c r="AK639" s="8"/>
      <c r="AL639" s="8" t="str">
        <f>IF($AK639="","",SUMIFS(OPERATING_COEFFS!$C:$C,OPERATING_COEFFS!$A:$A,"UrgencyClass",OPERATING_COEFFS!$B:$B,$AK639))</f>
        <v/>
      </c>
      <c r="AM639" s="8"/>
      <c r="AN639" s="8" t="str">
        <f t="array" ref="AN639">IF($AM639="","",INDEX(TAX_MODES!$B:$B,MATCH($AM639,TAX_MODES!$A:$A,0)))</f>
        <v/>
      </c>
    </row>
    <row r="640" ht="14.25" customHeight="1">
      <c r="C640" s="8"/>
      <c r="E640" s="8"/>
      <c r="G640" s="8"/>
      <c r="I640" s="8"/>
      <c r="K640" s="8"/>
      <c r="M640" s="8"/>
      <c r="O640" s="8"/>
      <c r="Q640" s="8"/>
      <c r="S640" s="8"/>
      <c r="V640" s="8"/>
      <c r="X640" s="31"/>
      <c r="Y640" s="31" t="str">
        <f>IF($X640="","",SUMIFS(TARIFF_PROFILES!$D:$D,TARIFF_PROFILES!$A:$A,$X640))</f>
        <v/>
      </c>
      <c r="Z640" s="31" t="str">
        <f>IF($X640="","",SUMIFS(TARIFF_PROFILES!$E:$E,TARIFF_PROFILES!$A:$A,$X640))</f>
        <v/>
      </c>
      <c r="AA640" s="31" t="str">
        <f>IF($X640="","",SUMIFS(TARIFF_PROFILES!$F:$F,TARIFF_PROFILES!$A:$A,$X640))</f>
        <v/>
      </c>
      <c r="AB640" s="31" t="str">
        <f>IF($X640="","",SUMIFS(TARIFF_PROFILES!$G:$G,TARIFF_PROFILES!$A:$A,$X640))</f>
        <v/>
      </c>
      <c r="AC640" s="31" t="str">
        <f>IF($X640="","",SUMIFS(TARIFF_PROFILES!$H:$H,TARIFF_PROFILES!$A:$A,$X640))</f>
        <v/>
      </c>
      <c r="AD640" s="31" t="str">
        <f t="array" ref="AD640">IF($X640="","",INDEX(TARIFF_PROFILES!$J:$J,MATCH($X640,TARIFF_PROFILES!$A:$A,0)))</f>
        <v/>
      </c>
      <c r="AE640" s="31" t="str">
        <f t="array" ref="AE640">IF($X640="","",INDEX(TARIFF_PROFILES!$K:$K,MATCH($X640,TARIFF_PROFILES!$A:$A,0)))</f>
        <v/>
      </c>
      <c r="AG640" s="8"/>
      <c r="AH640" s="8" t="str">
        <f>IF($AG640="","",SUMIFS(OPERATING_COEFFS!$C:$C,OPERATING_COEFFS!$A:$A,"DistanceClass",OPERATING_COEFFS!$B:$B,$AG640))</f>
        <v/>
      </c>
      <c r="AI640" s="8"/>
      <c r="AJ640" s="8" t="str">
        <f>IF($AI640="","",SUMIFS(OPERATING_COEFFS!$C:$C,OPERATING_COEFFS!$A:$A,"SeasonClass",OPERATING_COEFFS!$B:$B,$AI640))</f>
        <v/>
      </c>
      <c r="AK640" s="8"/>
      <c r="AL640" s="8" t="str">
        <f>IF($AK640="","",SUMIFS(OPERATING_COEFFS!$C:$C,OPERATING_COEFFS!$A:$A,"UrgencyClass",OPERATING_COEFFS!$B:$B,$AK640))</f>
        <v/>
      </c>
      <c r="AM640" s="8"/>
      <c r="AN640" s="8" t="str">
        <f t="array" ref="AN640">IF($AM640="","",INDEX(TAX_MODES!$B:$B,MATCH($AM640,TAX_MODES!$A:$A,0)))</f>
        <v/>
      </c>
    </row>
    <row r="641" ht="14.25" customHeight="1">
      <c r="C641" s="8"/>
      <c r="E641" s="8"/>
      <c r="G641" s="8"/>
      <c r="I641" s="8"/>
      <c r="K641" s="8"/>
      <c r="M641" s="8"/>
      <c r="O641" s="8"/>
      <c r="Q641" s="8"/>
      <c r="S641" s="8"/>
      <c r="V641" s="8"/>
      <c r="X641" s="31"/>
      <c r="Y641" s="31" t="str">
        <f>IF($X641="","",SUMIFS(TARIFF_PROFILES!$D:$D,TARIFF_PROFILES!$A:$A,$X641))</f>
        <v/>
      </c>
      <c r="Z641" s="31" t="str">
        <f>IF($X641="","",SUMIFS(TARIFF_PROFILES!$E:$E,TARIFF_PROFILES!$A:$A,$X641))</f>
        <v/>
      </c>
      <c r="AA641" s="31" t="str">
        <f>IF($X641="","",SUMIFS(TARIFF_PROFILES!$F:$F,TARIFF_PROFILES!$A:$A,$X641))</f>
        <v/>
      </c>
      <c r="AB641" s="31" t="str">
        <f>IF($X641="","",SUMIFS(TARIFF_PROFILES!$G:$G,TARIFF_PROFILES!$A:$A,$X641))</f>
        <v/>
      </c>
      <c r="AC641" s="31" t="str">
        <f>IF($X641="","",SUMIFS(TARIFF_PROFILES!$H:$H,TARIFF_PROFILES!$A:$A,$X641))</f>
        <v/>
      </c>
      <c r="AD641" s="31" t="str">
        <f t="array" ref="AD641">IF($X641="","",INDEX(TARIFF_PROFILES!$J:$J,MATCH($X641,TARIFF_PROFILES!$A:$A,0)))</f>
        <v/>
      </c>
      <c r="AE641" s="31" t="str">
        <f t="array" ref="AE641">IF($X641="","",INDEX(TARIFF_PROFILES!$K:$K,MATCH($X641,TARIFF_PROFILES!$A:$A,0)))</f>
        <v/>
      </c>
      <c r="AG641" s="8"/>
      <c r="AH641" s="8" t="str">
        <f>IF($AG641="","",SUMIFS(OPERATING_COEFFS!$C:$C,OPERATING_COEFFS!$A:$A,"DistanceClass",OPERATING_COEFFS!$B:$B,$AG641))</f>
        <v/>
      </c>
      <c r="AI641" s="8"/>
      <c r="AJ641" s="8" t="str">
        <f>IF($AI641="","",SUMIFS(OPERATING_COEFFS!$C:$C,OPERATING_COEFFS!$A:$A,"SeasonClass",OPERATING_COEFFS!$B:$B,$AI641))</f>
        <v/>
      </c>
      <c r="AK641" s="8"/>
      <c r="AL641" s="8" t="str">
        <f>IF($AK641="","",SUMIFS(OPERATING_COEFFS!$C:$C,OPERATING_COEFFS!$A:$A,"UrgencyClass",OPERATING_COEFFS!$B:$B,$AK641))</f>
        <v/>
      </c>
      <c r="AM641" s="8"/>
      <c r="AN641" s="8" t="str">
        <f t="array" ref="AN641">IF($AM641="","",INDEX(TAX_MODES!$B:$B,MATCH($AM641,TAX_MODES!$A:$A,0)))</f>
        <v/>
      </c>
    </row>
    <row r="642" ht="14.25" customHeight="1">
      <c r="C642" s="8"/>
      <c r="E642" s="8"/>
      <c r="G642" s="8"/>
      <c r="I642" s="8"/>
      <c r="K642" s="8"/>
      <c r="M642" s="8"/>
      <c r="O642" s="8"/>
      <c r="Q642" s="8"/>
      <c r="S642" s="8"/>
      <c r="V642" s="8"/>
      <c r="X642" s="31"/>
      <c r="Y642" s="31" t="str">
        <f>IF($X642="","",SUMIFS(TARIFF_PROFILES!$D:$D,TARIFF_PROFILES!$A:$A,$X642))</f>
        <v/>
      </c>
      <c r="Z642" s="31" t="str">
        <f>IF($X642="","",SUMIFS(TARIFF_PROFILES!$E:$E,TARIFF_PROFILES!$A:$A,$X642))</f>
        <v/>
      </c>
      <c r="AA642" s="31" t="str">
        <f>IF($X642="","",SUMIFS(TARIFF_PROFILES!$F:$F,TARIFF_PROFILES!$A:$A,$X642))</f>
        <v/>
      </c>
      <c r="AB642" s="31" t="str">
        <f>IF($X642="","",SUMIFS(TARIFF_PROFILES!$G:$G,TARIFF_PROFILES!$A:$A,$X642))</f>
        <v/>
      </c>
      <c r="AC642" s="31" t="str">
        <f>IF($X642="","",SUMIFS(TARIFF_PROFILES!$H:$H,TARIFF_PROFILES!$A:$A,$X642))</f>
        <v/>
      </c>
      <c r="AD642" s="31" t="str">
        <f t="array" ref="AD642">IF($X642="","",INDEX(TARIFF_PROFILES!$J:$J,MATCH($X642,TARIFF_PROFILES!$A:$A,0)))</f>
        <v/>
      </c>
      <c r="AE642" s="31" t="str">
        <f t="array" ref="AE642">IF($X642="","",INDEX(TARIFF_PROFILES!$K:$K,MATCH($X642,TARIFF_PROFILES!$A:$A,0)))</f>
        <v/>
      </c>
      <c r="AG642" s="8"/>
      <c r="AH642" s="8" t="str">
        <f>IF($AG642="","",SUMIFS(OPERATING_COEFFS!$C:$C,OPERATING_COEFFS!$A:$A,"DistanceClass",OPERATING_COEFFS!$B:$B,$AG642))</f>
        <v/>
      </c>
      <c r="AI642" s="8"/>
      <c r="AJ642" s="8" t="str">
        <f>IF($AI642="","",SUMIFS(OPERATING_COEFFS!$C:$C,OPERATING_COEFFS!$A:$A,"SeasonClass",OPERATING_COEFFS!$B:$B,$AI642))</f>
        <v/>
      </c>
      <c r="AK642" s="8"/>
      <c r="AL642" s="8" t="str">
        <f>IF($AK642="","",SUMIFS(OPERATING_COEFFS!$C:$C,OPERATING_COEFFS!$A:$A,"UrgencyClass",OPERATING_COEFFS!$B:$B,$AK642))</f>
        <v/>
      </c>
      <c r="AM642" s="8"/>
      <c r="AN642" s="8" t="str">
        <f t="array" ref="AN642">IF($AM642="","",INDEX(TAX_MODES!$B:$B,MATCH($AM642,TAX_MODES!$A:$A,0)))</f>
        <v/>
      </c>
    </row>
    <row r="643" ht="14.25" customHeight="1">
      <c r="C643" s="8"/>
      <c r="E643" s="8"/>
      <c r="G643" s="8"/>
      <c r="I643" s="8"/>
      <c r="K643" s="8"/>
      <c r="M643" s="8"/>
      <c r="O643" s="8"/>
      <c r="Q643" s="8"/>
      <c r="S643" s="8"/>
      <c r="V643" s="8"/>
      <c r="X643" s="31"/>
      <c r="Y643" s="31" t="str">
        <f>IF($X643="","",SUMIFS(TARIFF_PROFILES!$D:$D,TARIFF_PROFILES!$A:$A,$X643))</f>
        <v/>
      </c>
      <c r="Z643" s="31" t="str">
        <f>IF($X643="","",SUMIFS(TARIFF_PROFILES!$E:$E,TARIFF_PROFILES!$A:$A,$X643))</f>
        <v/>
      </c>
      <c r="AA643" s="31" t="str">
        <f>IF($X643="","",SUMIFS(TARIFF_PROFILES!$F:$F,TARIFF_PROFILES!$A:$A,$X643))</f>
        <v/>
      </c>
      <c r="AB643" s="31" t="str">
        <f>IF($X643="","",SUMIFS(TARIFF_PROFILES!$G:$G,TARIFF_PROFILES!$A:$A,$X643))</f>
        <v/>
      </c>
      <c r="AC643" s="31" t="str">
        <f>IF($X643="","",SUMIFS(TARIFF_PROFILES!$H:$H,TARIFF_PROFILES!$A:$A,$X643))</f>
        <v/>
      </c>
      <c r="AD643" s="31" t="str">
        <f t="array" ref="AD643">IF($X643="","",INDEX(TARIFF_PROFILES!$J:$J,MATCH($X643,TARIFF_PROFILES!$A:$A,0)))</f>
        <v/>
      </c>
      <c r="AE643" s="31" t="str">
        <f t="array" ref="AE643">IF($X643="","",INDEX(TARIFF_PROFILES!$K:$K,MATCH($X643,TARIFF_PROFILES!$A:$A,0)))</f>
        <v/>
      </c>
      <c r="AG643" s="8"/>
      <c r="AH643" s="8" t="str">
        <f>IF($AG643="","",SUMIFS(OPERATING_COEFFS!$C:$C,OPERATING_COEFFS!$A:$A,"DistanceClass",OPERATING_COEFFS!$B:$B,$AG643))</f>
        <v/>
      </c>
      <c r="AI643" s="8"/>
      <c r="AJ643" s="8" t="str">
        <f>IF($AI643="","",SUMIFS(OPERATING_COEFFS!$C:$C,OPERATING_COEFFS!$A:$A,"SeasonClass",OPERATING_COEFFS!$B:$B,$AI643))</f>
        <v/>
      </c>
      <c r="AK643" s="8"/>
      <c r="AL643" s="8" t="str">
        <f>IF($AK643="","",SUMIFS(OPERATING_COEFFS!$C:$C,OPERATING_COEFFS!$A:$A,"UrgencyClass",OPERATING_COEFFS!$B:$B,$AK643))</f>
        <v/>
      </c>
      <c r="AM643" s="8"/>
      <c r="AN643" s="8" t="str">
        <f t="array" ref="AN643">IF($AM643="","",INDEX(TAX_MODES!$B:$B,MATCH($AM643,TAX_MODES!$A:$A,0)))</f>
        <v/>
      </c>
    </row>
    <row r="644" ht="14.25" customHeight="1">
      <c r="C644" s="8"/>
      <c r="E644" s="8"/>
      <c r="G644" s="8"/>
      <c r="I644" s="8"/>
      <c r="K644" s="8"/>
      <c r="M644" s="8"/>
      <c r="O644" s="8"/>
      <c r="Q644" s="8"/>
      <c r="S644" s="8"/>
      <c r="V644" s="8"/>
      <c r="X644" s="31"/>
      <c r="Y644" s="31" t="str">
        <f>IF($X644="","",SUMIFS(TARIFF_PROFILES!$D:$D,TARIFF_PROFILES!$A:$A,$X644))</f>
        <v/>
      </c>
      <c r="Z644" s="31" t="str">
        <f>IF($X644="","",SUMIFS(TARIFF_PROFILES!$E:$E,TARIFF_PROFILES!$A:$A,$X644))</f>
        <v/>
      </c>
      <c r="AA644" s="31" t="str">
        <f>IF($X644="","",SUMIFS(TARIFF_PROFILES!$F:$F,TARIFF_PROFILES!$A:$A,$X644))</f>
        <v/>
      </c>
      <c r="AB644" s="31" t="str">
        <f>IF($X644="","",SUMIFS(TARIFF_PROFILES!$G:$G,TARIFF_PROFILES!$A:$A,$X644))</f>
        <v/>
      </c>
      <c r="AC644" s="31" t="str">
        <f>IF($X644="","",SUMIFS(TARIFF_PROFILES!$H:$H,TARIFF_PROFILES!$A:$A,$X644))</f>
        <v/>
      </c>
      <c r="AD644" s="31" t="str">
        <f t="array" ref="AD644">IF($X644="","",INDEX(TARIFF_PROFILES!$J:$J,MATCH($X644,TARIFF_PROFILES!$A:$A,0)))</f>
        <v/>
      </c>
      <c r="AE644" s="31" t="str">
        <f t="array" ref="AE644">IF($X644="","",INDEX(TARIFF_PROFILES!$K:$K,MATCH($X644,TARIFF_PROFILES!$A:$A,0)))</f>
        <v/>
      </c>
      <c r="AG644" s="8"/>
      <c r="AH644" s="8" t="str">
        <f>IF($AG644="","",SUMIFS(OPERATING_COEFFS!$C:$C,OPERATING_COEFFS!$A:$A,"DistanceClass",OPERATING_COEFFS!$B:$B,$AG644))</f>
        <v/>
      </c>
      <c r="AI644" s="8"/>
      <c r="AJ644" s="8" t="str">
        <f>IF($AI644="","",SUMIFS(OPERATING_COEFFS!$C:$C,OPERATING_COEFFS!$A:$A,"SeasonClass",OPERATING_COEFFS!$B:$B,$AI644))</f>
        <v/>
      </c>
      <c r="AK644" s="8"/>
      <c r="AL644" s="8" t="str">
        <f>IF($AK644="","",SUMIFS(OPERATING_COEFFS!$C:$C,OPERATING_COEFFS!$A:$A,"UrgencyClass",OPERATING_COEFFS!$B:$B,$AK644))</f>
        <v/>
      </c>
      <c r="AM644" s="8"/>
      <c r="AN644" s="8" t="str">
        <f t="array" ref="AN644">IF($AM644="","",INDEX(TAX_MODES!$B:$B,MATCH($AM644,TAX_MODES!$A:$A,0)))</f>
        <v/>
      </c>
    </row>
    <row r="645" ht="14.25" customHeight="1">
      <c r="C645" s="8"/>
      <c r="E645" s="8"/>
      <c r="G645" s="8"/>
      <c r="I645" s="8"/>
      <c r="K645" s="8"/>
      <c r="M645" s="8"/>
      <c r="O645" s="8"/>
      <c r="Q645" s="8"/>
      <c r="S645" s="8"/>
      <c r="V645" s="8"/>
      <c r="X645" s="31"/>
      <c r="Y645" s="31" t="str">
        <f>IF($X645="","",SUMIFS(TARIFF_PROFILES!$D:$D,TARIFF_PROFILES!$A:$A,$X645))</f>
        <v/>
      </c>
      <c r="Z645" s="31" t="str">
        <f>IF($X645="","",SUMIFS(TARIFF_PROFILES!$E:$E,TARIFF_PROFILES!$A:$A,$X645))</f>
        <v/>
      </c>
      <c r="AA645" s="31" t="str">
        <f>IF($X645="","",SUMIFS(TARIFF_PROFILES!$F:$F,TARIFF_PROFILES!$A:$A,$X645))</f>
        <v/>
      </c>
      <c r="AB645" s="31" t="str">
        <f>IF($X645="","",SUMIFS(TARIFF_PROFILES!$G:$G,TARIFF_PROFILES!$A:$A,$X645))</f>
        <v/>
      </c>
      <c r="AC645" s="31" t="str">
        <f>IF($X645="","",SUMIFS(TARIFF_PROFILES!$H:$H,TARIFF_PROFILES!$A:$A,$X645))</f>
        <v/>
      </c>
      <c r="AD645" s="31" t="str">
        <f t="array" ref="AD645">IF($X645="","",INDEX(TARIFF_PROFILES!$J:$J,MATCH($X645,TARIFF_PROFILES!$A:$A,0)))</f>
        <v/>
      </c>
      <c r="AE645" s="31" t="str">
        <f t="array" ref="AE645">IF($X645="","",INDEX(TARIFF_PROFILES!$K:$K,MATCH($X645,TARIFF_PROFILES!$A:$A,0)))</f>
        <v/>
      </c>
      <c r="AG645" s="8"/>
      <c r="AH645" s="8" t="str">
        <f>IF($AG645="","",SUMIFS(OPERATING_COEFFS!$C:$C,OPERATING_COEFFS!$A:$A,"DistanceClass",OPERATING_COEFFS!$B:$B,$AG645))</f>
        <v/>
      </c>
      <c r="AI645" s="8"/>
      <c r="AJ645" s="8" t="str">
        <f>IF($AI645="","",SUMIFS(OPERATING_COEFFS!$C:$C,OPERATING_COEFFS!$A:$A,"SeasonClass",OPERATING_COEFFS!$B:$B,$AI645))</f>
        <v/>
      </c>
      <c r="AK645" s="8"/>
      <c r="AL645" s="8" t="str">
        <f>IF($AK645="","",SUMIFS(OPERATING_COEFFS!$C:$C,OPERATING_COEFFS!$A:$A,"UrgencyClass",OPERATING_COEFFS!$B:$B,$AK645))</f>
        <v/>
      </c>
      <c r="AM645" s="8"/>
      <c r="AN645" s="8" t="str">
        <f t="array" ref="AN645">IF($AM645="","",INDEX(TAX_MODES!$B:$B,MATCH($AM645,TAX_MODES!$A:$A,0)))</f>
        <v/>
      </c>
    </row>
    <row r="646" ht="14.25" customHeight="1">
      <c r="C646" s="8"/>
      <c r="E646" s="8"/>
      <c r="G646" s="8"/>
      <c r="I646" s="8"/>
      <c r="K646" s="8"/>
      <c r="M646" s="8"/>
      <c r="O646" s="8"/>
      <c r="Q646" s="8"/>
      <c r="S646" s="8"/>
      <c r="V646" s="8"/>
      <c r="X646" s="31"/>
      <c r="Y646" s="31" t="str">
        <f>IF($X646="","",SUMIFS(TARIFF_PROFILES!$D:$D,TARIFF_PROFILES!$A:$A,$X646))</f>
        <v/>
      </c>
      <c r="Z646" s="31" t="str">
        <f>IF($X646="","",SUMIFS(TARIFF_PROFILES!$E:$E,TARIFF_PROFILES!$A:$A,$X646))</f>
        <v/>
      </c>
      <c r="AA646" s="31" t="str">
        <f>IF($X646="","",SUMIFS(TARIFF_PROFILES!$F:$F,TARIFF_PROFILES!$A:$A,$X646))</f>
        <v/>
      </c>
      <c r="AB646" s="31" t="str">
        <f>IF($X646="","",SUMIFS(TARIFF_PROFILES!$G:$G,TARIFF_PROFILES!$A:$A,$X646))</f>
        <v/>
      </c>
      <c r="AC646" s="31" t="str">
        <f>IF($X646="","",SUMIFS(TARIFF_PROFILES!$H:$H,TARIFF_PROFILES!$A:$A,$X646))</f>
        <v/>
      </c>
      <c r="AD646" s="31" t="str">
        <f t="array" ref="AD646">IF($X646="","",INDEX(TARIFF_PROFILES!$J:$J,MATCH($X646,TARIFF_PROFILES!$A:$A,0)))</f>
        <v/>
      </c>
      <c r="AE646" s="31" t="str">
        <f t="array" ref="AE646">IF($X646="","",INDEX(TARIFF_PROFILES!$K:$K,MATCH($X646,TARIFF_PROFILES!$A:$A,0)))</f>
        <v/>
      </c>
      <c r="AG646" s="8"/>
      <c r="AH646" s="8" t="str">
        <f>IF($AG646="","",SUMIFS(OPERATING_COEFFS!$C:$C,OPERATING_COEFFS!$A:$A,"DistanceClass",OPERATING_COEFFS!$B:$B,$AG646))</f>
        <v/>
      </c>
      <c r="AI646" s="8"/>
      <c r="AJ646" s="8" t="str">
        <f>IF($AI646="","",SUMIFS(OPERATING_COEFFS!$C:$C,OPERATING_COEFFS!$A:$A,"SeasonClass",OPERATING_COEFFS!$B:$B,$AI646))</f>
        <v/>
      </c>
      <c r="AK646" s="8"/>
      <c r="AL646" s="8" t="str">
        <f>IF($AK646="","",SUMIFS(OPERATING_COEFFS!$C:$C,OPERATING_COEFFS!$A:$A,"UrgencyClass",OPERATING_COEFFS!$B:$B,$AK646))</f>
        <v/>
      </c>
      <c r="AM646" s="8"/>
      <c r="AN646" s="8" t="str">
        <f t="array" ref="AN646">IF($AM646="","",INDEX(TAX_MODES!$B:$B,MATCH($AM646,TAX_MODES!$A:$A,0)))</f>
        <v/>
      </c>
    </row>
    <row r="647" ht="14.25" customHeight="1">
      <c r="C647" s="8"/>
      <c r="E647" s="8"/>
      <c r="G647" s="8"/>
      <c r="I647" s="8"/>
      <c r="K647" s="8"/>
      <c r="M647" s="8"/>
      <c r="O647" s="8"/>
      <c r="Q647" s="8"/>
      <c r="S647" s="8"/>
      <c r="V647" s="8"/>
      <c r="X647" s="31"/>
      <c r="Y647" s="31" t="str">
        <f>IF($X647="","",SUMIFS(TARIFF_PROFILES!$D:$D,TARIFF_PROFILES!$A:$A,$X647))</f>
        <v/>
      </c>
      <c r="Z647" s="31" t="str">
        <f>IF($X647="","",SUMIFS(TARIFF_PROFILES!$E:$E,TARIFF_PROFILES!$A:$A,$X647))</f>
        <v/>
      </c>
      <c r="AA647" s="31" t="str">
        <f>IF($X647="","",SUMIFS(TARIFF_PROFILES!$F:$F,TARIFF_PROFILES!$A:$A,$X647))</f>
        <v/>
      </c>
      <c r="AB647" s="31" t="str">
        <f>IF($X647="","",SUMIFS(TARIFF_PROFILES!$G:$G,TARIFF_PROFILES!$A:$A,$X647))</f>
        <v/>
      </c>
      <c r="AC647" s="31" t="str">
        <f>IF($X647="","",SUMIFS(TARIFF_PROFILES!$H:$H,TARIFF_PROFILES!$A:$A,$X647))</f>
        <v/>
      </c>
      <c r="AD647" s="31" t="str">
        <f t="array" ref="AD647">IF($X647="","",INDEX(TARIFF_PROFILES!$J:$J,MATCH($X647,TARIFF_PROFILES!$A:$A,0)))</f>
        <v/>
      </c>
      <c r="AE647" s="31" t="str">
        <f t="array" ref="AE647">IF($X647="","",INDEX(TARIFF_PROFILES!$K:$K,MATCH($X647,TARIFF_PROFILES!$A:$A,0)))</f>
        <v/>
      </c>
      <c r="AG647" s="8"/>
      <c r="AH647" s="8" t="str">
        <f>IF($AG647="","",SUMIFS(OPERATING_COEFFS!$C:$C,OPERATING_COEFFS!$A:$A,"DistanceClass",OPERATING_COEFFS!$B:$B,$AG647))</f>
        <v/>
      </c>
      <c r="AI647" s="8"/>
      <c r="AJ647" s="8" t="str">
        <f>IF($AI647="","",SUMIFS(OPERATING_COEFFS!$C:$C,OPERATING_COEFFS!$A:$A,"SeasonClass",OPERATING_COEFFS!$B:$B,$AI647))</f>
        <v/>
      </c>
      <c r="AK647" s="8"/>
      <c r="AL647" s="8" t="str">
        <f>IF($AK647="","",SUMIFS(OPERATING_COEFFS!$C:$C,OPERATING_COEFFS!$A:$A,"UrgencyClass",OPERATING_COEFFS!$B:$B,$AK647))</f>
        <v/>
      </c>
      <c r="AM647" s="8"/>
      <c r="AN647" s="8" t="str">
        <f t="array" ref="AN647">IF($AM647="","",INDEX(TAX_MODES!$B:$B,MATCH($AM647,TAX_MODES!$A:$A,0)))</f>
        <v/>
      </c>
    </row>
    <row r="648" ht="14.25" customHeight="1">
      <c r="C648" s="8"/>
      <c r="E648" s="8"/>
      <c r="G648" s="8"/>
      <c r="I648" s="8"/>
      <c r="K648" s="8"/>
      <c r="M648" s="8"/>
      <c r="O648" s="8"/>
      <c r="Q648" s="8"/>
      <c r="S648" s="8"/>
      <c r="V648" s="8"/>
      <c r="X648" s="31"/>
      <c r="Y648" s="31" t="str">
        <f>IF($X648="","",SUMIFS(TARIFF_PROFILES!$D:$D,TARIFF_PROFILES!$A:$A,$X648))</f>
        <v/>
      </c>
      <c r="Z648" s="31" t="str">
        <f>IF($X648="","",SUMIFS(TARIFF_PROFILES!$E:$E,TARIFF_PROFILES!$A:$A,$X648))</f>
        <v/>
      </c>
      <c r="AA648" s="31" t="str">
        <f>IF($X648="","",SUMIFS(TARIFF_PROFILES!$F:$F,TARIFF_PROFILES!$A:$A,$X648))</f>
        <v/>
      </c>
      <c r="AB648" s="31" t="str">
        <f>IF($X648="","",SUMIFS(TARIFF_PROFILES!$G:$G,TARIFF_PROFILES!$A:$A,$X648))</f>
        <v/>
      </c>
      <c r="AC648" s="31" t="str">
        <f>IF($X648="","",SUMIFS(TARIFF_PROFILES!$H:$H,TARIFF_PROFILES!$A:$A,$X648))</f>
        <v/>
      </c>
      <c r="AD648" s="31" t="str">
        <f t="array" ref="AD648">IF($X648="","",INDEX(TARIFF_PROFILES!$J:$J,MATCH($X648,TARIFF_PROFILES!$A:$A,0)))</f>
        <v/>
      </c>
      <c r="AE648" s="31" t="str">
        <f t="array" ref="AE648">IF($X648="","",INDEX(TARIFF_PROFILES!$K:$K,MATCH($X648,TARIFF_PROFILES!$A:$A,0)))</f>
        <v/>
      </c>
      <c r="AG648" s="8"/>
      <c r="AH648" s="8" t="str">
        <f>IF($AG648="","",SUMIFS(OPERATING_COEFFS!$C:$C,OPERATING_COEFFS!$A:$A,"DistanceClass",OPERATING_COEFFS!$B:$B,$AG648))</f>
        <v/>
      </c>
      <c r="AI648" s="8"/>
      <c r="AJ648" s="8" t="str">
        <f>IF($AI648="","",SUMIFS(OPERATING_COEFFS!$C:$C,OPERATING_COEFFS!$A:$A,"SeasonClass",OPERATING_COEFFS!$B:$B,$AI648))</f>
        <v/>
      </c>
      <c r="AK648" s="8"/>
      <c r="AL648" s="8" t="str">
        <f>IF($AK648="","",SUMIFS(OPERATING_COEFFS!$C:$C,OPERATING_COEFFS!$A:$A,"UrgencyClass",OPERATING_COEFFS!$B:$B,$AK648))</f>
        <v/>
      </c>
      <c r="AM648" s="8"/>
      <c r="AN648" s="8" t="str">
        <f t="array" ref="AN648">IF($AM648="","",INDEX(TAX_MODES!$B:$B,MATCH($AM648,TAX_MODES!$A:$A,0)))</f>
        <v/>
      </c>
    </row>
    <row r="649" ht="14.25" customHeight="1">
      <c r="C649" s="8"/>
      <c r="E649" s="8"/>
      <c r="G649" s="8"/>
      <c r="I649" s="8"/>
      <c r="K649" s="8"/>
      <c r="M649" s="8"/>
      <c r="O649" s="8"/>
      <c r="Q649" s="8"/>
      <c r="S649" s="8"/>
      <c r="V649" s="8"/>
      <c r="X649" s="31"/>
      <c r="Y649" s="31" t="str">
        <f>IF($X649="","",SUMIFS(TARIFF_PROFILES!$D:$D,TARIFF_PROFILES!$A:$A,$X649))</f>
        <v/>
      </c>
      <c r="Z649" s="31" t="str">
        <f>IF($X649="","",SUMIFS(TARIFF_PROFILES!$E:$E,TARIFF_PROFILES!$A:$A,$X649))</f>
        <v/>
      </c>
      <c r="AA649" s="31" t="str">
        <f>IF($X649="","",SUMIFS(TARIFF_PROFILES!$F:$F,TARIFF_PROFILES!$A:$A,$X649))</f>
        <v/>
      </c>
      <c r="AB649" s="31" t="str">
        <f>IF($X649="","",SUMIFS(TARIFF_PROFILES!$G:$G,TARIFF_PROFILES!$A:$A,$X649))</f>
        <v/>
      </c>
      <c r="AC649" s="31" t="str">
        <f>IF($X649="","",SUMIFS(TARIFF_PROFILES!$H:$H,TARIFF_PROFILES!$A:$A,$X649))</f>
        <v/>
      </c>
      <c r="AD649" s="31" t="str">
        <f t="array" ref="AD649">IF($X649="","",INDEX(TARIFF_PROFILES!$J:$J,MATCH($X649,TARIFF_PROFILES!$A:$A,0)))</f>
        <v/>
      </c>
      <c r="AE649" s="31" t="str">
        <f t="array" ref="AE649">IF($X649="","",INDEX(TARIFF_PROFILES!$K:$K,MATCH($X649,TARIFF_PROFILES!$A:$A,0)))</f>
        <v/>
      </c>
      <c r="AG649" s="8"/>
      <c r="AH649" s="8" t="str">
        <f>IF($AG649="","",SUMIFS(OPERATING_COEFFS!$C:$C,OPERATING_COEFFS!$A:$A,"DistanceClass",OPERATING_COEFFS!$B:$B,$AG649))</f>
        <v/>
      </c>
      <c r="AI649" s="8"/>
      <c r="AJ649" s="8" t="str">
        <f>IF($AI649="","",SUMIFS(OPERATING_COEFFS!$C:$C,OPERATING_COEFFS!$A:$A,"SeasonClass",OPERATING_COEFFS!$B:$B,$AI649))</f>
        <v/>
      </c>
      <c r="AK649" s="8"/>
      <c r="AL649" s="8" t="str">
        <f>IF($AK649="","",SUMIFS(OPERATING_COEFFS!$C:$C,OPERATING_COEFFS!$A:$A,"UrgencyClass",OPERATING_COEFFS!$B:$B,$AK649))</f>
        <v/>
      </c>
      <c r="AM649" s="8"/>
      <c r="AN649" s="8" t="str">
        <f t="array" ref="AN649">IF($AM649="","",INDEX(TAX_MODES!$B:$B,MATCH($AM649,TAX_MODES!$A:$A,0)))</f>
        <v/>
      </c>
    </row>
    <row r="650" ht="14.25" customHeight="1">
      <c r="C650" s="8"/>
      <c r="E650" s="8"/>
      <c r="G650" s="8"/>
      <c r="I650" s="8"/>
      <c r="K650" s="8"/>
      <c r="M650" s="8"/>
      <c r="O650" s="8"/>
      <c r="Q650" s="8"/>
      <c r="S650" s="8"/>
      <c r="V650" s="8"/>
      <c r="X650" s="31"/>
      <c r="Y650" s="31" t="str">
        <f>IF($X650="","",SUMIFS(TARIFF_PROFILES!$D:$D,TARIFF_PROFILES!$A:$A,$X650))</f>
        <v/>
      </c>
      <c r="Z650" s="31" t="str">
        <f>IF($X650="","",SUMIFS(TARIFF_PROFILES!$E:$E,TARIFF_PROFILES!$A:$A,$X650))</f>
        <v/>
      </c>
      <c r="AA650" s="31" t="str">
        <f>IF($X650="","",SUMIFS(TARIFF_PROFILES!$F:$F,TARIFF_PROFILES!$A:$A,$X650))</f>
        <v/>
      </c>
      <c r="AB650" s="31" t="str">
        <f>IF($X650="","",SUMIFS(TARIFF_PROFILES!$G:$G,TARIFF_PROFILES!$A:$A,$X650))</f>
        <v/>
      </c>
      <c r="AC650" s="31" t="str">
        <f>IF($X650="","",SUMIFS(TARIFF_PROFILES!$H:$H,TARIFF_PROFILES!$A:$A,$X650))</f>
        <v/>
      </c>
      <c r="AD650" s="31" t="str">
        <f t="array" ref="AD650">IF($X650="","",INDEX(TARIFF_PROFILES!$J:$J,MATCH($X650,TARIFF_PROFILES!$A:$A,0)))</f>
        <v/>
      </c>
      <c r="AE650" s="31" t="str">
        <f t="array" ref="AE650">IF($X650="","",INDEX(TARIFF_PROFILES!$K:$K,MATCH($X650,TARIFF_PROFILES!$A:$A,0)))</f>
        <v/>
      </c>
      <c r="AG650" s="8"/>
      <c r="AH650" s="8" t="str">
        <f>IF($AG650="","",SUMIFS(OPERATING_COEFFS!$C:$C,OPERATING_COEFFS!$A:$A,"DistanceClass",OPERATING_COEFFS!$B:$B,$AG650))</f>
        <v/>
      </c>
      <c r="AI650" s="8"/>
      <c r="AJ650" s="8" t="str">
        <f>IF($AI650="","",SUMIFS(OPERATING_COEFFS!$C:$C,OPERATING_COEFFS!$A:$A,"SeasonClass",OPERATING_COEFFS!$B:$B,$AI650))</f>
        <v/>
      </c>
      <c r="AK650" s="8"/>
      <c r="AL650" s="8" t="str">
        <f>IF($AK650="","",SUMIFS(OPERATING_COEFFS!$C:$C,OPERATING_COEFFS!$A:$A,"UrgencyClass",OPERATING_COEFFS!$B:$B,$AK650))</f>
        <v/>
      </c>
      <c r="AM650" s="8"/>
      <c r="AN650" s="8" t="str">
        <f t="array" ref="AN650">IF($AM650="","",INDEX(TAX_MODES!$B:$B,MATCH($AM650,TAX_MODES!$A:$A,0)))</f>
        <v/>
      </c>
    </row>
    <row r="651" ht="14.25" customHeight="1">
      <c r="C651" s="8"/>
      <c r="E651" s="8"/>
      <c r="G651" s="8"/>
      <c r="I651" s="8"/>
      <c r="K651" s="8"/>
      <c r="M651" s="8"/>
      <c r="O651" s="8"/>
      <c r="Q651" s="8"/>
      <c r="S651" s="8"/>
      <c r="V651" s="8"/>
      <c r="X651" s="31"/>
      <c r="Y651" s="31" t="str">
        <f>IF($X651="","",SUMIFS(TARIFF_PROFILES!$D:$D,TARIFF_PROFILES!$A:$A,$X651))</f>
        <v/>
      </c>
      <c r="Z651" s="31" t="str">
        <f>IF($X651="","",SUMIFS(TARIFF_PROFILES!$E:$E,TARIFF_PROFILES!$A:$A,$X651))</f>
        <v/>
      </c>
      <c r="AA651" s="31" t="str">
        <f>IF($X651="","",SUMIFS(TARIFF_PROFILES!$F:$F,TARIFF_PROFILES!$A:$A,$X651))</f>
        <v/>
      </c>
      <c r="AB651" s="31" t="str">
        <f>IF($X651="","",SUMIFS(TARIFF_PROFILES!$G:$G,TARIFF_PROFILES!$A:$A,$X651))</f>
        <v/>
      </c>
      <c r="AC651" s="31" t="str">
        <f>IF($X651="","",SUMIFS(TARIFF_PROFILES!$H:$H,TARIFF_PROFILES!$A:$A,$X651))</f>
        <v/>
      </c>
      <c r="AD651" s="31" t="str">
        <f t="array" ref="AD651">IF($X651="","",INDEX(TARIFF_PROFILES!$J:$J,MATCH($X651,TARIFF_PROFILES!$A:$A,0)))</f>
        <v/>
      </c>
      <c r="AE651" s="31" t="str">
        <f t="array" ref="AE651">IF($X651="","",INDEX(TARIFF_PROFILES!$K:$K,MATCH($X651,TARIFF_PROFILES!$A:$A,0)))</f>
        <v/>
      </c>
      <c r="AG651" s="8"/>
      <c r="AH651" s="8" t="str">
        <f>IF($AG651="","",SUMIFS(OPERATING_COEFFS!$C:$C,OPERATING_COEFFS!$A:$A,"DistanceClass",OPERATING_COEFFS!$B:$B,$AG651))</f>
        <v/>
      </c>
      <c r="AI651" s="8"/>
      <c r="AJ651" s="8" t="str">
        <f>IF($AI651="","",SUMIFS(OPERATING_COEFFS!$C:$C,OPERATING_COEFFS!$A:$A,"SeasonClass",OPERATING_COEFFS!$B:$B,$AI651))</f>
        <v/>
      </c>
      <c r="AK651" s="8"/>
      <c r="AL651" s="8" t="str">
        <f>IF($AK651="","",SUMIFS(OPERATING_COEFFS!$C:$C,OPERATING_COEFFS!$A:$A,"UrgencyClass",OPERATING_COEFFS!$B:$B,$AK651))</f>
        <v/>
      </c>
      <c r="AM651" s="8"/>
      <c r="AN651" s="8" t="str">
        <f t="array" ref="AN651">IF($AM651="","",INDEX(TAX_MODES!$B:$B,MATCH($AM651,TAX_MODES!$A:$A,0)))</f>
        <v/>
      </c>
    </row>
    <row r="652" ht="14.25" customHeight="1">
      <c r="C652" s="8"/>
      <c r="E652" s="8"/>
      <c r="G652" s="8"/>
      <c r="I652" s="8"/>
      <c r="K652" s="8"/>
      <c r="M652" s="8"/>
      <c r="O652" s="8"/>
      <c r="Q652" s="8"/>
      <c r="S652" s="8"/>
      <c r="V652" s="8"/>
      <c r="X652" s="31"/>
      <c r="Y652" s="31" t="str">
        <f>IF($X652="","",SUMIFS(TARIFF_PROFILES!$D:$D,TARIFF_PROFILES!$A:$A,$X652))</f>
        <v/>
      </c>
      <c r="Z652" s="31" t="str">
        <f>IF($X652="","",SUMIFS(TARIFF_PROFILES!$E:$E,TARIFF_PROFILES!$A:$A,$X652))</f>
        <v/>
      </c>
      <c r="AA652" s="31" t="str">
        <f>IF($X652="","",SUMIFS(TARIFF_PROFILES!$F:$F,TARIFF_PROFILES!$A:$A,$X652))</f>
        <v/>
      </c>
      <c r="AB652" s="31" t="str">
        <f>IF($X652="","",SUMIFS(TARIFF_PROFILES!$G:$G,TARIFF_PROFILES!$A:$A,$X652))</f>
        <v/>
      </c>
      <c r="AC652" s="31" t="str">
        <f>IF($X652="","",SUMIFS(TARIFF_PROFILES!$H:$H,TARIFF_PROFILES!$A:$A,$X652))</f>
        <v/>
      </c>
      <c r="AD652" s="31" t="str">
        <f t="array" ref="AD652">IF($X652="","",INDEX(TARIFF_PROFILES!$J:$J,MATCH($X652,TARIFF_PROFILES!$A:$A,0)))</f>
        <v/>
      </c>
      <c r="AE652" s="31" t="str">
        <f t="array" ref="AE652">IF($X652="","",INDEX(TARIFF_PROFILES!$K:$K,MATCH($X652,TARIFF_PROFILES!$A:$A,0)))</f>
        <v/>
      </c>
      <c r="AG652" s="8"/>
      <c r="AH652" s="8" t="str">
        <f>IF($AG652="","",SUMIFS(OPERATING_COEFFS!$C:$C,OPERATING_COEFFS!$A:$A,"DistanceClass",OPERATING_COEFFS!$B:$B,$AG652))</f>
        <v/>
      </c>
      <c r="AI652" s="8"/>
      <c r="AJ652" s="8" t="str">
        <f>IF($AI652="","",SUMIFS(OPERATING_COEFFS!$C:$C,OPERATING_COEFFS!$A:$A,"SeasonClass",OPERATING_COEFFS!$B:$B,$AI652))</f>
        <v/>
      </c>
      <c r="AK652" s="8"/>
      <c r="AL652" s="8" t="str">
        <f>IF($AK652="","",SUMIFS(OPERATING_COEFFS!$C:$C,OPERATING_COEFFS!$A:$A,"UrgencyClass",OPERATING_COEFFS!$B:$B,$AK652))</f>
        <v/>
      </c>
      <c r="AM652" s="8"/>
      <c r="AN652" s="8" t="str">
        <f t="array" ref="AN652">IF($AM652="","",INDEX(TAX_MODES!$B:$B,MATCH($AM652,TAX_MODES!$A:$A,0)))</f>
        <v/>
      </c>
    </row>
    <row r="653" ht="14.25" customHeight="1">
      <c r="C653" s="8"/>
      <c r="E653" s="8"/>
      <c r="G653" s="8"/>
      <c r="I653" s="8"/>
      <c r="K653" s="8"/>
      <c r="M653" s="8"/>
      <c r="O653" s="8"/>
      <c r="Q653" s="8"/>
      <c r="S653" s="8"/>
      <c r="V653" s="8"/>
      <c r="X653" s="31"/>
      <c r="Y653" s="31" t="str">
        <f>IF($X653="","",SUMIFS(TARIFF_PROFILES!$D:$D,TARIFF_PROFILES!$A:$A,$X653))</f>
        <v/>
      </c>
      <c r="Z653" s="31" t="str">
        <f>IF($X653="","",SUMIFS(TARIFF_PROFILES!$E:$E,TARIFF_PROFILES!$A:$A,$X653))</f>
        <v/>
      </c>
      <c r="AA653" s="31" t="str">
        <f>IF($X653="","",SUMIFS(TARIFF_PROFILES!$F:$F,TARIFF_PROFILES!$A:$A,$X653))</f>
        <v/>
      </c>
      <c r="AB653" s="31" t="str">
        <f>IF($X653="","",SUMIFS(TARIFF_PROFILES!$G:$G,TARIFF_PROFILES!$A:$A,$X653))</f>
        <v/>
      </c>
      <c r="AC653" s="31" t="str">
        <f>IF($X653="","",SUMIFS(TARIFF_PROFILES!$H:$H,TARIFF_PROFILES!$A:$A,$X653))</f>
        <v/>
      </c>
      <c r="AD653" s="31" t="str">
        <f t="array" ref="AD653">IF($X653="","",INDEX(TARIFF_PROFILES!$J:$J,MATCH($X653,TARIFF_PROFILES!$A:$A,0)))</f>
        <v/>
      </c>
      <c r="AE653" s="31" t="str">
        <f t="array" ref="AE653">IF($X653="","",INDEX(TARIFF_PROFILES!$K:$K,MATCH($X653,TARIFF_PROFILES!$A:$A,0)))</f>
        <v/>
      </c>
      <c r="AG653" s="8"/>
      <c r="AH653" s="8" t="str">
        <f>IF($AG653="","",SUMIFS(OPERATING_COEFFS!$C:$C,OPERATING_COEFFS!$A:$A,"DistanceClass",OPERATING_COEFFS!$B:$B,$AG653))</f>
        <v/>
      </c>
      <c r="AI653" s="8"/>
      <c r="AJ653" s="8" t="str">
        <f>IF($AI653="","",SUMIFS(OPERATING_COEFFS!$C:$C,OPERATING_COEFFS!$A:$A,"SeasonClass",OPERATING_COEFFS!$B:$B,$AI653))</f>
        <v/>
      </c>
      <c r="AK653" s="8"/>
      <c r="AL653" s="8" t="str">
        <f>IF($AK653="","",SUMIFS(OPERATING_COEFFS!$C:$C,OPERATING_COEFFS!$A:$A,"UrgencyClass",OPERATING_COEFFS!$B:$B,$AK653))</f>
        <v/>
      </c>
      <c r="AM653" s="8"/>
      <c r="AN653" s="8" t="str">
        <f t="array" ref="AN653">IF($AM653="","",INDEX(TAX_MODES!$B:$B,MATCH($AM653,TAX_MODES!$A:$A,0)))</f>
        <v/>
      </c>
    </row>
    <row r="654" ht="14.25" customHeight="1">
      <c r="C654" s="8"/>
      <c r="E654" s="8"/>
      <c r="G654" s="8"/>
      <c r="I654" s="8"/>
      <c r="K654" s="8"/>
      <c r="M654" s="8"/>
      <c r="O654" s="8"/>
      <c r="Q654" s="8"/>
      <c r="S654" s="8"/>
      <c r="V654" s="8"/>
      <c r="X654" s="31"/>
      <c r="Y654" s="31" t="str">
        <f>IF($X654="","",SUMIFS(TARIFF_PROFILES!$D:$D,TARIFF_PROFILES!$A:$A,$X654))</f>
        <v/>
      </c>
      <c r="Z654" s="31" t="str">
        <f>IF($X654="","",SUMIFS(TARIFF_PROFILES!$E:$E,TARIFF_PROFILES!$A:$A,$X654))</f>
        <v/>
      </c>
      <c r="AA654" s="31" t="str">
        <f>IF($X654="","",SUMIFS(TARIFF_PROFILES!$F:$F,TARIFF_PROFILES!$A:$A,$X654))</f>
        <v/>
      </c>
      <c r="AB654" s="31" t="str">
        <f>IF($X654="","",SUMIFS(TARIFF_PROFILES!$G:$G,TARIFF_PROFILES!$A:$A,$X654))</f>
        <v/>
      </c>
      <c r="AC654" s="31" t="str">
        <f>IF($X654="","",SUMIFS(TARIFF_PROFILES!$H:$H,TARIFF_PROFILES!$A:$A,$X654))</f>
        <v/>
      </c>
      <c r="AD654" s="31" t="str">
        <f t="array" ref="AD654">IF($X654="","",INDEX(TARIFF_PROFILES!$J:$J,MATCH($X654,TARIFF_PROFILES!$A:$A,0)))</f>
        <v/>
      </c>
      <c r="AE654" s="31" t="str">
        <f t="array" ref="AE654">IF($X654="","",INDEX(TARIFF_PROFILES!$K:$K,MATCH($X654,TARIFF_PROFILES!$A:$A,0)))</f>
        <v/>
      </c>
      <c r="AG654" s="8"/>
      <c r="AH654" s="8" t="str">
        <f>IF($AG654="","",SUMIFS(OPERATING_COEFFS!$C:$C,OPERATING_COEFFS!$A:$A,"DistanceClass",OPERATING_COEFFS!$B:$B,$AG654))</f>
        <v/>
      </c>
      <c r="AI654" s="8"/>
      <c r="AJ654" s="8" t="str">
        <f>IF($AI654="","",SUMIFS(OPERATING_COEFFS!$C:$C,OPERATING_COEFFS!$A:$A,"SeasonClass",OPERATING_COEFFS!$B:$B,$AI654))</f>
        <v/>
      </c>
      <c r="AK654" s="8"/>
      <c r="AL654" s="8" t="str">
        <f>IF($AK654="","",SUMIFS(OPERATING_COEFFS!$C:$C,OPERATING_COEFFS!$A:$A,"UrgencyClass",OPERATING_COEFFS!$B:$B,$AK654))</f>
        <v/>
      </c>
      <c r="AM654" s="8"/>
      <c r="AN654" s="8" t="str">
        <f t="array" ref="AN654">IF($AM654="","",INDEX(TAX_MODES!$B:$B,MATCH($AM654,TAX_MODES!$A:$A,0)))</f>
        <v/>
      </c>
    </row>
    <row r="655" ht="14.25" customHeight="1">
      <c r="C655" s="8"/>
      <c r="E655" s="8"/>
      <c r="G655" s="8"/>
      <c r="I655" s="8"/>
      <c r="K655" s="8"/>
      <c r="M655" s="8"/>
      <c r="O655" s="8"/>
      <c r="Q655" s="8"/>
      <c r="S655" s="8"/>
      <c r="V655" s="8"/>
      <c r="X655" s="31"/>
      <c r="Y655" s="31" t="str">
        <f>IF($X655="","",SUMIFS(TARIFF_PROFILES!$D:$D,TARIFF_PROFILES!$A:$A,$X655))</f>
        <v/>
      </c>
      <c r="Z655" s="31" t="str">
        <f>IF($X655="","",SUMIFS(TARIFF_PROFILES!$E:$E,TARIFF_PROFILES!$A:$A,$X655))</f>
        <v/>
      </c>
      <c r="AA655" s="31" t="str">
        <f>IF($X655="","",SUMIFS(TARIFF_PROFILES!$F:$F,TARIFF_PROFILES!$A:$A,$X655))</f>
        <v/>
      </c>
      <c r="AB655" s="31" t="str">
        <f>IF($X655="","",SUMIFS(TARIFF_PROFILES!$G:$G,TARIFF_PROFILES!$A:$A,$X655))</f>
        <v/>
      </c>
      <c r="AC655" s="31" t="str">
        <f>IF($X655="","",SUMIFS(TARIFF_PROFILES!$H:$H,TARIFF_PROFILES!$A:$A,$X655))</f>
        <v/>
      </c>
      <c r="AD655" s="31" t="str">
        <f t="array" ref="AD655">IF($X655="","",INDEX(TARIFF_PROFILES!$J:$J,MATCH($X655,TARIFF_PROFILES!$A:$A,0)))</f>
        <v/>
      </c>
      <c r="AE655" s="31" t="str">
        <f t="array" ref="AE655">IF($X655="","",INDEX(TARIFF_PROFILES!$K:$K,MATCH($X655,TARIFF_PROFILES!$A:$A,0)))</f>
        <v/>
      </c>
      <c r="AG655" s="8"/>
      <c r="AH655" s="8" t="str">
        <f>IF($AG655="","",SUMIFS(OPERATING_COEFFS!$C:$C,OPERATING_COEFFS!$A:$A,"DistanceClass",OPERATING_COEFFS!$B:$B,$AG655))</f>
        <v/>
      </c>
      <c r="AI655" s="8"/>
      <c r="AJ655" s="8" t="str">
        <f>IF($AI655="","",SUMIFS(OPERATING_COEFFS!$C:$C,OPERATING_COEFFS!$A:$A,"SeasonClass",OPERATING_COEFFS!$B:$B,$AI655))</f>
        <v/>
      </c>
      <c r="AK655" s="8"/>
      <c r="AL655" s="8" t="str">
        <f>IF($AK655="","",SUMIFS(OPERATING_COEFFS!$C:$C,OPERATING_COEFFS!$A:$A,"UrgencyClass",OPERATING_COEFFS!$B:$B,$AK655))</f>
        <v/>
      </c>
      <c r="AM655" s="8"/>
      <c r="AN655" s="8" t="str">
        <f t="array" ref="AN655">IF($AM655="","",INDEX(TAX_MODES!$B:$B,MATCH($AM655,TAX_MODES!$A:$A,0)))</f>
        <v/>
      </c>
    </row>
    <row r="656" ht="14.25" customHeight="1">
      <c r="C656" s="8"/>
      <c r="E656" s="8"/>
      <c r="G656" s="8"/>
      <c r="I656" s="8"/>
      <c r="K656" s="8"/>
      <c r="M656" s="8"/>
      <c r="O656" s="8"/>
      <c r="Q656" s="8"/>
      <c r="S656" s="8"/>
      <c r="V656" s="8"/>
      <c r="X656" s="31"/>
      <c r="Y656" s="31" t="str">
        <f>IF($X656="","",SUMIFS(TARIFF_PROFILES!$D:$D,TARIFF_PROFILES!$A:$A,$X656))</f>
        <v/>
      </c>
      <c r="Z656" s="31" t="str">
        <f>IF($X656="","",SUMIFS(TARIFF_PROFILES!$E:$E,TARIFF_PROFILES!$A:$A,$X656))</f>
        <v/>
      </c>
      <c r="AA656" s="31" t="str">
        <f>IF($X656="","",SUMIFS(TARIFF_PROFILES!$F:$F,TARIFF_PROFILES!$A:$A,$X656))</f>
        <v/>
      </c>
      <c r="AB656" s="31" t="str">
        <f>IF($X656="","",SUMIFS(TARIFF_PROFILES!$G:$G,TARIFF_PROFILES!$A:$A,$X656))</f>
        <v/>
      </c>
      <c r="AC656" s="31" t="str">
        <f>IF($X656="","",SUMIFS(TARIFF_PROFILES!$H:$H,TARIFF_PROFILES!$A:$A,$X656))</f>
        <v/>
      </c>
      <c r="AD656" s="31" t="str">
        <f t="array" ref="AD656">IF($X656="","",INDEX(TARIFF_PROFILES!$J:$J,MATCH($X656,TARIFF_PROFILES!$A:$A,0)))</f>
        <v/>
      </c>
      <c r="AE656" s="31" t="str">
        <f t="array" ref="AE656">IF($X656="","",INDEX(TARIFF_PROFILES!$K:$K,MATCH($X656,TARIFF_PROFILES!$A:$A,0)))</f>
        <v/>
      </c>
      <c r="AG656" s="8"/>
      <c r="AH656" s="8" t="str">
        <f>IF($AG656="","",SUMIFS(OPERATING_COEFFS!$C:$C,OPERATING_COEFFS!$A:$A,"DistanceClass",OPERATING_COEFFS!$B:$B,$AG656))</f>
        <v/>
      </c>
      <c r="AI656" s="8"/>
      <c r="AJ656" s="8" t="str">
        <f>IF($AI656="","",SUMIFS(OPERATING_COEFFS!$C:$C,OPERATING_COEFFS!$A:$A,"SeasonClass",OPERATING_COEFFS!$B:$B,$AI656))</f>
        <v/>
      </c>
      <c r="AK656" s="8"/>
      <c r="AL656" s="8" t="str">
        <f>IF($AK656="","",SUMIFS(OPERATING_COEFFS!$C:$C,OPERATING_COEFFS!$A:$A,"UrgencyClass",OPERATING_COEFFS!$B:$B,$AK656))</f>
        <v/>
      </c>
      <c r="AM656" s="8"/>
      <c r="AN656" s="8" t="str">
        <f t="array" ref="AN656">IF($AM656="","",INDEX(TAX_MODES!$B:$B,MATCH($AM656,TAX_MODES!$A:$A,0)))</f>
        <v/>
      </c>
    </row>
    <row r="657" ht="14.25" customHeight="1">
      <c r="C657" s="8"/>
      <c r="E657" s="8"/>
      <c r="G657" s="8"/>
      <c r="I657" s="8"/>
      <c r="K657" s="8"/>
      <c r="M657" s="8"/>
      <c r="O657" s="8"/>
      <c r="Q657" s="8"/>
      <c r="S657" s="8"/>
      <c r="V657" s="8"/>
      <c r="X657" s="31"/>
      <c r="Y657" s="31" t="str">
        <f>IF($X657="","",SUMIFS(TARIFF_PROFILES!$D:$D,TARIFF_PROFILES!$A:$A,$X657))</f>
        <v/>
      </c>
      <c r="Z657" s="31" t="str">
        <f>IF($X657="","",SUMIFS(TARIFF_PROFILES!$E:$E,TARIFF_PROFILES!$A:$A,$X657))</f>
        <v/>
      </c>
      <c r="AA657" s="31" t="str">
        <f>IF($X657="","",SUMIFS(TARIFF_PROFILES!$F:$F,TARIFF_PROFILES!$A:$A,$X657))</f>
        <v/>
      </c>
      <c r="AB657" s="31" t="str">
        <f>IF($X657="","",SUMIFS(TARIFF_PROFILES!$G:$G,TARIFF_PROFILES!$A:$A,$X657))</f>
        <v/>
      </c>
      <c r="AC657" s="31" t="str">
        <f>IF($X657="","",SUMIFS(TARIFF_PROFILES!$H:$H,TARIFF_PROFILES!$A:$A,$X657))</f>
        <v/>
      </c>
      <c r="AD657" s="31" t="str">
        <f t="array" ref="AD657">IF($X657="","",INDEX(TARIFF_PROFILES!$J:$J,MATCH($X657,TARIFF_PROFILES!$A:$A,0)))</f>
        <v/>
      </c>
      <c r="AE657" s="31" t="str">
        <f t="array" ref="AE657">IF($X657="","",INDEX(TARIFF_PROFILES!$K:$K,MATCH($X657,TARIFF_PROFILES!$A:$A,0)))</f>
        <v/>
      </c>
      <c r="AG657" s="8"/>
      <c r="AH657" s="8" t="str">
        <f>IF($AG657="","",SUMIFS(OPERATING_COEFFS!$C:$C,OPERATING_COEFFS!$A:$A,"DistanceClass",OPERATING_COEFFS!$B:$B,$AG657))</f>
        <v/>
      </c>
      <c r="AI657" s="8"/>
      <c r="AJ657" s="8" t="str">
        <f>IF($AI657="","",SUMIFS(OPERATING_COEFFS!$C:$C,OPERATING_COEFFS!$A:$A,"SeasonClass",OPERATING_COEFFS!$B:$B,$AI657))</f>
        <v/>
      </c>
      <c r="AK657" s="8"/>
      <c r="AL657" s="8" t="str">
        <f>IF($AK657="","",SUMIFS(OPERATING_COEFFS!$C:$C,OPERATING_COEFFS!$A:$A,"UrgencyClass",OPERATING_COEFFS!$B:$B,$AK657))</f>
        <v/>
      </c>
      <c r="AM657" s="8"/>
      <c r="AN657" s="8" t="str">
        <f t="array" ref="AN657">IF($AM657="","",INDEX(TAX_MODES!$B:$B,MATCH($AM657,TAX_MODES!$A:$A,0)))</f>
        <v/>
      </c>
    </row>
    <row r="658" ht="14.25" customHeight="1">
      <c r="C658" s="8"/>
      <c r="E658" s="8"/>
      <c r="G658" s="8"/>
      <c r="I658" s="8"/>
      <c r="K658" s="8"/>
      <c r="M658" s="8"/>
      <c r="O658" s="8"/>
      <c r="Q658" s="8"/>
      <c r="S658" s="8"/>
      <c r="V658" s="8"/>
      <c r="X658" s="31"/>
      <c r="Y658" s="31" t="str">
        <f>IF($X658="","",SUMIFS(TARIFF_PROFILES!$D:$D,TARIFF_PROFILES!$A:$A,$X658))</f>
        <v/>
      </c>
      <c r="Z658" s="31" t="str">
        <f>IF($X658="","",SUMIFS(TARIFF_PROFILES!$E:$E,TARIFF_PROFILES!$A:$A,$X658))</f>
        <v/>
      </c>
      <c r="AA658" s="31" t="str">
        <f>IF($X658="","",SUMIFS(TARIFF_PROFILES!$F:$F,TARIFF_PROFILES!$A:$A,$X658))</f>
        <v/>
      </c>
      <c r="AB658" s="31" t="str">
        <f>IF($X658="","",SUMIFS(TARIFF_PROFILES!$G:$G,TARIFF_PROFILES!$A:$A,$X658))</f>
        <v/>
      </c>
      <c r="AC658" s="31" t="str">
        <f>IF($X658="","",SUMIFS(TARIFF_PROFILES!$H:$H,TARIFF_PROFILES!$A:$A,$X658))</f>
        <v/>
      </c>
      <c r="AD658" s="31" t="str">
        <f t="array" ref="AD658">IF($X658="","",INDEX(TARIFF_PROFILES!$J:$J,MATCH($X658,TARIFF_PROFILES!$A:$A,0)))</f>
        <v/>
      </c>
      <c r="AE658" s="31" t="str">
        <f t="array" ref="AE658">IF($X658="","",INDEX(TARIFF_PROFILES!$K:$K,MATCH($X658,TARIFF_PROFILES!$A:$A,0)))</f>
        <v/>
      </c>
      <c r="AG658" s="8"/>
      <c r="AH658" s="8" t="str">
        <f>IF($AG658="","",SUMIFS(OPERATING_COEFFS!$C:$C,OPERATING_COEFFS!$A:$A,"DistanceClass",OPERATING_COEFFS!$B:$B,$AG658))</f>
        <v/>
      </c>
      <c r="AI658" s="8"/>
      <c r="AJ658" s="8" t="str">
        <f>IF($AI658="","",SUMIFS(OPERATING_COEFFS!$C:$C,OPERATING_COEFFS!$A:$A,"SeasonClass",OPERATING_COEFFS!$B:$B,$AI658))</f>
        <v/>
      </c>
      <c r="AK658" s="8"/>
      <c r="AL658" s="8" t="str">
        <f>IF($AK658="","",SUMIFS(OPERATING_COEFFS!$C:$C,OPERATING_COEFFS!$A:$A,"UrgencyClass",OPERATING_COEFFS!$B:$B,$AK658))</f>
        <v/>
      </c>
      <c r="AM658" s="8"/>
      <c r="AN658" s="8" t="str">
        <f t="array" ref="AN658">IF($AM658="","",INDEX(TAX_MODES!$B:$B,MATCH($AM658,TAX_MODES!$A:$A,0)))</f>
        <v/>
      </c>
    </row>
    <row r="659" ht="14.25" customHeight="1">
      <c r="C659" s="8"/>
      <c r="E659" s="8"/>
      <c r="G659" s="8"/>
      <c r="I659" s="8"/>
      <c r="K659" s="8"/>
      <c r="M659" s="8"/>
      <c r="O659" s="8"/>
      <c r="Q659" s="8"/>
      <c r="S659" s="8"/>
      <c r="V659" s="8"/>
      <c r="X659" s="31"/>
      <c r="Y659" s="31" t="str">
        <f>IF($X659="","",SUMIFS(TARIFF_PROFILES!$D:$D,TARIFF_PROFILES!$A:$A,$X659))</f>
        <v/>
      </c>
      <c r="Z659" s="31" t="str">
        <f>IF($X659="","",SUMIFS(TARIFF_PROFILES!$E:$E,TARIFF_PROFILES!$A:$A,$X659))</f>
        <v/>
      </c>
      <c r="AA659" s="31" t="str">
        <f>IF($X659="","",SUMIFS(TARIFF_PROFILES!$F:$F,TARIFF_PROFILES!$A:$A,$X659))</f>
        <v/>
      </c>
      <c r="AB659" s="31" t="str">
        <f>IF($X659="","",SUMIFS(TARIFF_PROFILES!$G:$G,TARIFF_PROFILES!$A:$A,$X659))</f>
        <v/>
      </c>
      <c r="AC659" s="31" t="str">
        <f>IF($X659="","",SUMIFS(TARIFF_PROFILES!$H:$H,TARIFF_PROFILES!$A:$A,$X659))</f>
        <v/>
      </c>
      <c r="AD659" s="31" t="str">
        <f t="array" ref="AD659">IF($X659="","",INDEX(TARIFF_PROFILES!$J:$J,MATCH($X659,TARIFF_PROFILES!$A:$A,0)))</f>
        <v/>
      </c>
      <c r="AE659" s="31" t="str">
        <f t="array" ref="AE659">IF($X659="","",INDEX(TARIFF_PROFILES!$K:$K,MATCH($X659,TARIFF_PROFILES!$A:$A,0)))</f>
        <v/>
      </c>
      <c r="AG659" s="8"/>
      <c r="AH659" s="8" t="str">
        <f>IF($AG659="","",SUMIFS(OPERATING_COEFFS!$C:$C,OPERATING_COEFFS!$A:$A,"DistanceClass",OPERATING_COEFFS!$B:$B,$AG659))</f>
        <v/>
      </c>
      <c r="AI659" s="8"/>
      <c r="AJ659" s="8" t="str">
        <f>IF($AI659="","",SUMIFS(OPERATING_COEFFS!$C:$C,OPERATING_COEFFS!$A:$A,"SeasonClass",OPERATING_COEFFS!$B:$B,$AI659))</f>
        <v/>
      </c>
      <c r="AK659" s="8"/>
      <c r="AL659" s="8" t="str">
        <f>IF($AK659="","",SUMIFS(OPERATING_COEFFS!$C:$C,OPERATING_COEFFS!$A:$A,"UrgencyClass",OPERATING_COEFFS!$B:$B,$AK659))</f>
        <v/>
      </c>
      <c r="AM659" s="8"/>
      <c r="AN659" s="8" t="str">
        <f t="array" ref="AN659">IF($AM659="","",INDEX(TAX_MODES!$B:$B,MATCH($AM659,TAX_MODES!$A:$A,0)))</f>
        <v/>
      </c>
    </row>
    <row r="660" ht="14.25" customHeight="1">
      <c r="C660" s="8"/>
      <c r="E660" s="8"/>
      <c r="G660" s="8"/>
      <c r="I660" s="8"/>
      <c r="K660" s="8"/>
      <c r="M660" s="8"/>
      <c r="O660" s="8"/>
      <c r="Q660" s="8"/>
      <c r="S660" s="8"/>
      <c r="V660" s="8"/>
      <c r="X660" s="31"/>
      <c r="Y660" s="31" t="str">
        <f>IF($X660="","",SUMIFS(TARIFF_PROFILES!$D:$D,TARIFF_PROFILES!$A:$A,$X660))</f>
        <v/>
      </c>
      <c r="Z660" s="31" t="str">
        <f>IF($X660="","",SUMIFS(TARIFF_PROFILES!$E:$E,TARIFF_PROFILES!$A:$A,$X660))</f>
        <v/>
      </c>
      <c r="AA660" s="31" t="str">
        <f>IF($X660="","",SUMIFS(TARIFF_PROFILES!$F:$F,TARIFF_PROFILES!$A:$A,$X660))</f>
        <v/>
      </c>
      <c r="AB660" s="31" t="str">
        <f>IF($X660="","",SUMIFS(TARIFF_PROFILES!$G:$G,TARIFF_PROFILES!$A:$A,$X660))</f>
        <v/>
      </c>
      <c r="AC660" s="31" t="str">
        <f>IF($X660="","",SUMIFS(TARIFF_PROFILES!$H:$H,TARIFF_PROFILES!$A:$A,$X660))</f>
        <v/>
      </c>
      <c r="AD660" s="31" t="str">
        <f t="array" ref="AD660">IF($X660="","",INDEX(TARIFF_PROFILES!$J:$J,MATCH($X660,TARIFF_PROFILES!$A:$A,0)))</f>
        <v/>
      </c>
      <c r="AE660" s="31" t="str">
        <f t="array" ref="AE660">IF($X660="","",INDEX(TARIFF_PROFILES!$K:$K,MATCH($X660,TARIFF_PROFILES!$A:$A,0)))</f>
        <v/>
      </c>
      <c r="AG660" s="8"/>
      <c r="AH660" s="8" t="str">
        <f>IF($AG660="","",SUMIFS(OPERATING_COEFFS!$C:$C,OPERATING_COEFFS!$A:$A,"DistanceClass",OPERATING_COEFFS!$B:$B,$AG660))</f>
        <v/>
      </c>
      <c r="AI660" s="8"/>
      <c r="AJ660" s="8" t="str">
        <f>IF($AI660="","",SUMIFS(OPERATING_COEFFS!$C:$C,OPERATING_COEFFS!$A:$A,"SeasonClass",OPERATING_COEFFS!$B:$B,$AI660))</f>
        <v/>
      </c>
      <c r="AK660" s="8"/>
      <c r="AL660" s="8" t="str">
        <f>IF($AK660="","",SUMIFS(OPERATING_COEFFS!$C:$C,OPERATING_COEFFS!$A:$A,"UrgencyClass",OPERATING_COEFFS!$B:$B,$AK660))</f>
        <v/>
      </c>
      <c r="AM660" s="8"/>
      <c r="AN660" s="8" t="str">
        <f t="array" ref="AN660">IF($AM660="","",INDEX(TAX_MODES!$B:$B,MATCH($AM660,TAX_MODES!$A:$A,0)))</f>
        <v/>
      </c>
    </row>
    <row r="661" ht="14.25" customHeight="1">
      <c r="C661" s="8"/>
      <c r="E661" s="8"/>
      <c r="G661" s="8"/>
      <c r="I661" s="8"/>
      <c r="K661" s="8"/>
      <c r="M661" s="8"/>
      <c r="O661" s="8"/>
      <c r="Q661" s="8"/>
      <c r="S661" s="8"/>
      <c r="V661" s="8"/>
      <c r="X661" s="31"/>
      <c r="Y661" s="31" t="str">
        <f>IF($X661="","",SUMIFS(TARIFF_PROFILES!$D:$D,TARIFF_PROFILES!$A:$A,$X661))</f>
        <v/>
      </c>
      <c r="Z661" s="31" t="str">
        <f>IF($X661="","",SUMIFS(TARIFF_PROFILES!$E:$E,TARIFF_PROFILES!$A:$A,$X661))</f>
        <v/>
      </c>
      <c r="AA661" s="31" t="str">
        <f>IF($X661="","",SUMIFS(TARIFF_PROFILES!$F:$F,TARIFF_PROFILES!$A:$A,$X661))</f>
        <v/>
      </c>
      <c r="AB661" s="31" t="str">
        <f>IF($X661="","",SUMIFS(TARIFF_PROFILES!$G:$G,TARIFF_PROFILES!$A:$A,$X661))</f>
        <v/>
      </c>
      <c r="AC661" s="31" t="str">
        <f>IF($X661="","",SUMIFS(TARIFF_PROFILES!$H:$H,TARIFF_PROFILES!$A:$A,$X661))</f>
        <v/>
      </c>
      <c r="AD661" s="31" t="str">
        <f t="array" ref="AD661">IF($X661="","",INDEX(TARIFF_PROFILES!$J:$J,MATCH($X661,TARIFF_PROFILES!$A:$A,0)))</f>
        <v/>
      </c>
      <c r="AE661" s="31" t="str">
        <f t="array" ref="AE661">IF($X661="","",INDEX(TARIFF_PROFILES!$K:$K,MATCH($X661,TARIFF_PROFILES!$A:$A,0)))</f>
        <v/>
      </c>
      <c r="AG661" s="8"/>
      <c r="AH661" s="8" t="str">
        <f>IF($AG661="","",SUMIFS(OPERATING_COEFFS!$C:$C,OPERATING_COEFFS!$A:$A,"DistanceClass",OPERATING_COEFFS!$B:$B,$AG661))</f>
        <v/>
      </c>
      <c r="AI661" s="8"/>
      <c r="AJ661" s="8" t="str">
        <f>IF($AI661="","",SUMIFS(OPERATING_COEFFS!$C:$C,OPERATING_COEFFS!$A:$A,"SeasonClass",OPERATING_COEFFS!$B:$B,$AI661))</f>
        <v/>
      </c>
      <c r="AK661" s="8"/>
      <c r="AL661" s="8" t="str">
        <f>IF($AK661="","",SUMIFS(OPERATING_COEFFS!$C:$C,OPERATING_COEFFS!$A:$A,"UrgencyClass",OPERATING_COEFFS!$B:$B,$AK661))</f>
        <v/>
      </c>
      <c r="AM661" s="8"/>
      <c r="AN661" s="8" t="str">
        <f t="array" ref="AN661">IF($AM661="","",INDEX(TAX_MODES!$B:$B,MATCH($AM661,TAX_MODES!$A:$A,0)))</f>
        <v/>
      </c>
    </row>
    <row r="662" ht="14.25" customHeight="1">
      <c r="C662" s="8"/>
      <c r="E662" s="8"/>
      <c r="G662" s="8"/>
      <c r="I662" s="8"/>
      <c r="K662" s="8"/>
      <c r="M662" s="8"/>
      <c r="O662" s="8"/>
      <c r="Q662" s="8"/>
      <c r="S662" s="8"/>
      <c r="V662" s="8"/>
      <c r="X662" s="31"/>
      <c r="Y662" s="31" t="str">
        <f>IF($X662="","",SUMIFS(TARIFF_PROFILES!$D:$D,TARIFF_PROFILES!$A:$A,$X662))</f>
        <v/>
      </c>
      <c r="Z662" s="31" t="str">
        <f>IF($X662="","",SUMIFS(TARIFF_PROFILES!$E:$E,TARIFF_PROFILES!$A:$A,$X662))</f>
        <v/>
      </c>
      <c r="AA662" s="31" t="str">
        <f>IF($X662="","",SUMIFS(TARIFF_PROFILES!$F:$F,TARIFF_PROFILES!$A:$A,$X662))</f>
        <v/>
      </c>
      <c r="AB662" s="31" t="str">
        <f>IF($X662="","",SUMIFS(TARIFF_PROFILES!$G:$G,TARIFF_PROFILES!$A:$A,$X662))</f>
        <v/>
      </c>
      <c r="AC662" s="31" t="str">
        <f>IF($X662="","",SUMIFS(TARIFF_PROFILES!$H:$H,TARIFF_PROFILES!$A:$A,$X662))</f>
        <v/>
      </c>
      <c r="AD662" s="31" t="str">
        <f t="array" ref="AD662">IF($X662="","",INDEX(TARIFF_PROFILES!$J:$J,MATCH($X662,TARIFF_PROFILES!$A:$A,0)))</f>
        <v/>
      </c>
      <c r="AE662" s="31" t="str">
        <f t="array" ref="AE662">IF($X662="","",INDEX(TARIFF_PROFILES!$K:$K,MATCH($X662,TARIFF_PROFILES!$A:$A,0)))</f>
        <v/>
      </c>
      <c r="AG662" s="8"/>
      <c r="AH662" s="8" t="str">
        <f>IF($AG662="","",SUMIFS(OPERATING_COEFFS!$C:$C,OPERATING_COEFFS!$A:$A,"DistanceClass",OPERATING_COEFFS!$B:$B,$AG662))</f>
        <v/>
      </c>
      <c r="AI662" s="8"/>
      <c r="AJ662" s="8" t="str">
        <f>IF($AI662="","",SUMIFS(OPERATING_COEFFS!$C:$C,OPERATING_COEFFS!$A:$A,"SeasonClass",OPERATING_COEFFS!$B:$B,$AI662))</f>
        <v/>
      </c>
      <c r="AK662" s="8"/>
      <c r="AL662" s="8" t="str">
        <f>IF($AK662="","",SUMIFS(OPERATING_COEFFS!$C:$C,OPERATING_COEFFS!$A:$A,"UrgencyClass",OPERATING_COEFFS!$B:$B,$AK662))</f>
        <v/>
      </c>
      <c r="AM662" s="8"/>
      <c r="AN662" s="8" t="str">
        <f t="array" ref="AN662">IF($AM662="","",INDEX(TAX_MODES!$B:$B,MATCH($AM662,TAX_MODES!$A:$A,0)))</f>
        <v/>
      </c>
    </row>
    <row r="663" ht="14.25" customHeight="1">
      <c r="C663" s="8"/>
      <c r="E663" s="8"/>
      <c r="G663" s="8"/>
      <c r="I663" s="8"/>
      <c r="K663" s="8"/>
      <c r="M663" s="8"/>
      <c r="O663" s="8"/>
      <c r="Q663" s="8"/>
      <c r="S663" s="8"/>
      <c r="V663" s="8"/>
      <c r="X663" s="31"/>
      <c r="Y663" s="31" t="str">
        <f>IF($X663="","",SUMIFS(TARIFF_PROFILES!$D:$D,TARIFF_PROFILES!$A:$A,$X663))</f>
        <v/>
      </c>
      <c r="Z663" s="31" t="str">
        <f>IF($X663="","",SUMIFS(TARIFF_PROFILES!$E:$E,TARIFF_PROFILES!$A:$A,$X663))</f>
        <v/>
      </c>
      <c r="AA663" s="31" t="str">
        <f>IF($X663="","",SUMIFS(TARIFF_PROFILES!$F:$F,TARIFF_PROFILES!$A:$A,$X663))</f>
        <v/>
      </c>
      <c r="AB663" s="31" t="str">
        <f>IF($X663="","",SUMIFS(TARIFF_PROFILES!$G:$G,TARIFF_PROFILES!$A:$A,$X663))</f>
        <v/>
      </c>
      <c r="AC663" s="31" t="str">
        <f>IF($X663="","",SUMIFS(TARIFF_PROFILES!$H:$H,TARIFF_PROFILES!$A:$A,$X663))</f>
        <v/>
      </c>
      <c r="AD663" s="31" t="str">
        <f t="array" ref="AD663">IF($X663="","",INDEX(TARIFF_PROFILES!$J:$J,MATCH($X663,TARIFF_PROFILES!$A:$A,0)))</f>
        <v/>
      </c>
      <c r="AE663" s="31" t="str">
        <f t="array" ref="AE663">IF($X663="","",INDEX(TARIFF_PROFILES!$K:$K,MATCH($X663,TARIFF_PROFILES!$A:$A,0)))</f>
        <v/>
      </c>
      <c r="AG663" s="8"/>
      <c r="AH663" s="8" t="str">
        <f>IF($AG663="","",SUMIFS(OPERATING_COEFFS!$C:$C,OPERATING_COEFFS!$A:$A,"DistanceClass",OPERATING_COEFFS!$B:$B,$AG663))</f>
        <v/>
      </c>
      <c r="AI663" s="8"/>
      <c r="AJ663" s="8" t="str">
        <f>IF($AI663="","",SUMIFS(OPERATING_COEFFS!$C:$C,OPERATING_COEFFS!$A:$A,"SeasonClass",OPERATING_COEFFS!$B:$B,$AI663))</f>
        <v/>
      </c>
      <c r="AK663" s="8"/>
      <c r="AL663" s="8" t="str">
        <f>IF($AK663="","",SUMIFS(OPERATING_COEFFS!$C:$C,OPERATING_COEFFS!$A:$A,"UrgencyClass",OPERATING_COEFFS!$B:$B,$AK663))</f>
        <v/>
      </c>
      <c r="AM663" s="8"/>
      <c r="AN663" s="8" t="str">
        <f t="array" ref="AN663">IF($AM663="","",INDEX(TAX_MODES!$B:$B,MATCH($AM663,TAX_MODES!$A:$A,0)))</f>
        <v/>
      </c>
    </row>
    <row r="664" ht="14.25" customHeight="1">
      <c r="C664" s="8"/>
      <c r="E664" s="8"/>
      <c r="G664" s="8"/>
      <c r="I664" s="8"/>
      <c r="K664" s="8"/>
      <c r="M664" s="8"/>
      <c r="O664" s="8"/>
      <c r="Q664" s="8"/>
      <c r="S664" s="8"/>
      <c r="V664" s="8"/>
      <c r="X664" s="31"/>
      <c r="Y664" s="31" t="str">
        <f>IF($X664="","",SUMIFS(TARIFF_PROFILES!$D:$D,TARIFF_PROFILES!$A:$A,$X664))</f>
        <v/>
      </c>
      <c r="Z664" s="31" t="str">
        <f>IF($X664="","",SUMIFS(TARIFF_PROFILES!$E:$E,TARIFF_PROFILES!$A:$A,$X664))</f>
        <v/>
      </c>
      <c r="AA664" s="31" t="str">
        <f>IF($X664="","",SUMIFS(TARIFF_PROFILES!$F:$F,TARIFF_PROFILES!$A:$A,$X664))</f>
        <v/>
      </c>
      <c r="AB664" s="31" t="str">
        <f>IF($X664="","",SUMIFS(TARIFF_PROFILES!$G:$G,TARIFF_PROFILES!$A:$A,$X664))</f>
        <v/>
      </c>
      <c r="AC664" s="31" t="str">
        <f>IF($X664="","",SUMIFS(TARIFF_PROFILES!$H:$H,TARIFF_PROFILES!$A:$A,$X664))</f>
        <v/>
      </c>
      <c r="AD664" s="31" t="str">
        <f t="array" ref="AD664">IF($X664="","",INDEX(TARIFF_PROFILES!$J:$J,MATCH($X664,TARIFF_PROFILES!$A:$A,0)))</f>
        <v/>
      </c>
      <c r="AE664" s="31" t="str">
        <f t="array" ref="AE664">IF($X664="","",INDEX(TARIFF_PROFILES!$K:$K,MATCH($X664,TARIFF_PROFILES!$A:$A,0)))</f>
        <v/>
      </c>
      <c r="AG664" s="8"/>
      <c r="AH664" s="8" t="str">
        <f>IF($AG664="","",SUMIFS(OPERATING_COEFFS!$C:$C,OPERATING_COEFFS!$A:$A,"DistanceClass",OPERATING_COEFFS!$B:$B,$AG664))</f>
        <v/>
      </c>
      <c r="AI664" s="8"/>
      <c r="AJ664" s="8" t="str">
        <f>IF($AI664="","",SUMIFS(OPERATING_COEFFS!$C:$C,OPERATING_COEFFS!$A:$A,"SeasonClass",OPERATING_COEFFS!$B:$B,$AI664))</f>
        <v/>
      </c>
      <c r="AK664" s="8"/>
      <c r="AL664" s="8" t="str">
        <f>IF($AK664="","",SUMIFS(OPERATING_COEFFS!$C:$C,OPERATING_COEFFS!$A:$A,"UrgencyClass",OPERATING_COEFFS!$B:$B,$AK664))</f>
        <v/>
      </c>
      <c r="AM664" s="8"/>
      <c r="AN664" s="8" t="str">
        <f t="array" ref="AN664">IF($AM664="","",INDEX(TAX_MODES!$B:$B,MATCH($AM664,TAX_MODES!$A:$A,0)))</f>
        <v/>
      </c>
    </row>
    <row r="665" ht="14.25" customHeight="1">
      <c r="C665" s="8"/>
      <c r="E665" s="8"/>
      <c r="G665" s="8"/>
      <c r="I665" s="8"/>
      <c r="K665" s="8"/>
      <c r="M665" s="8"/>
      <c r="O665" s="8"/>
      <c r="Q665" s="8"/>
      <c r="S665" s="8"/>
      <c r="V665" s="8"/>
      <c r="X665" s="31"/>
      <c r="Y665" s="31" t="str">
        <f>IF($X665="","",SUMIFS(TARIFF_PROFILES!$D:$D,TARIFF_PROFILES!$A:$A,$X665))</f>
        <v/>
      </c>
      <c r="Z665" s="31" t="str">
        <f>IF($X665="","",SUMIFS(TARIFF_PROFILES!$E:$E,TARIFF_PROFILES!$A:$A,$X665))</f>
        <v/>
      </c>
      <c r="AA665" s="31" t="str">
        <f>IF($X665="","",SUMIFS(TARIFF_PROFILES!$F:$F,TARIFF_PROFILES!$A:$A,$X665))</f>
        <v/>
      </c>
      <c r="AB665" s="31" t="str">
        <f>IF($X665="","",SUMIFS(TARIFF_PROFILES!$G:$G,TARIFF_PROFILES!$A:$A,$X665))</f>
        <v/>
      </c>
      <c r="AC665" s="31" t="str">
        <f>IF($X665="","",SUMIFS(TARIFF_PROFILES!$H:$H,TARIFF_PROFILES!$A:$A,$X665))</f>
        <v/>
      </c>
      <c r="AD665" s="31" t="str">
        <f t="array" ref="AD665">IF($X665="","",INDEX(TARIFF_PROFILES!$J:$J,MATCH($X665,TARIFF_PROFILES!$A:$A,0)))</f>
        <v/>
      </c>
      <c r="AE665" s="31" t="str">
        <f t="array" ref="AE665">IF($X665="","",INDEX(TARIFF_PROFILES!$K:$K,MATCH($X665,TARIFF_PROFILES!$A:$A,0)))</f>
        <v/>
      </c>
      <c r="AG665" s="8"/>
      <c r="AH665" s="8" t="str">
        <f>IF($AG665="","",SUMIFS(OPERATING_COEFFS!$C:$C,OPERATING_COEFFS!$A:$A,"DistanceClass",OPERATING_COEFFS!$B:$B,$AG665))</f>
        <v/>
      </c>
      <c r="AI665" s="8"/>
      <c r="AJ665" s="8" t="str">
        <f>IF($AI665="","",SUMIFS(OPERATING_COEFFS!$C:$C,OPERATING_COEFFS!$A:$A,"SeasonClass",OPERATING_COEFFS!$B:$B,$AI665))</f>
        <v/>
      </c>
      <c r="AK665" s="8"/>
      <c r="AL665" s="8" t="str">
        <f>IF($AK665="","",SUMIFS(OPERATING_COEFFS!$C:$C,OPERATING_COEFFS!$A:$A,"UrgencyClass",OPERATING_COEFFS!$B:$B,$AK665))</f>
        <v/>
      </c>
      <c r="AM665" s="8"/>
      <c r="AN665" s="8" t="str">
        <f t="array" ref="AN665">IF($AM665="","",INDEX(TAX_MODES!$B:$B,MATCH($AM665,TAX_MODES!$A:$A,0)))</f>
        <v/>
      </c>
    </row>
    <row r="666" ht="14.25" customHeight="1">
      <c r="C666" s="8"/>
      <c r="E666" s="8"/>
      <c r="G666" s="8"/>
      <c r="I666" s="8"/>
      <c r="K666" s="8"/>
      <c r="M666" s="8"/>
      <c r="O666" s="8"/>
      <c r="Q666" s="8"/>
      <c r="S666" s="8"/>
      <c r="V666" s="8"/>
      <c r="X666" s="31"/>
      <c r="Y666" s="31" t="str">
        <f>IF($X666="","",SUMIFS(TARIFF_PROFILES!$D:$D,TARIFF_PROFILES!$A:$A,$X666))</f>
        <v/>
      </c>
      <c r="Z666" s="31" t="str">
        <f>IF($X666="","",SUMIFS(TARIFF_PROFILES!$E:$E,TARIFF_PROFILES!$A:$A,$X666))</f>
        <v/>
      </c>
      <c r="AA666" s="31" t="str">
        <f>IF($X666="","",SUMIFS(TARIFF_PROFILES!$F:$F,TARIFF_PROFILES!$A:$A,$X666))</f>
        <v/>
      </c>
      <c r="AB666" s="31" t="str">
        <f>IF($X666="","",SUMIFS(TARIFF_PROFILES!$G:$G,TARIFF_PROFILES!$A:$A,$X666))</f>
        <v/>
      </c>
      <c r="AC666" s="31" t="str">
        <f>IF($X666="","",SUMIFS(TARIFF_PROFILES!$H:$H,TARIFF_PROFILES!$A:$A,$X666))</f>
        <v/>
      </c>
      <c r="AD666" s="31" t="str">
        <f t="array" ref="AD666">IF($X666="","",INDEX(TARIFF_PROFILES!$J:$J,MATCH($X666,TARIFF_PROFILES!$A:$A,0)))</f>
        <v/>
      </c>
      <c r="AE666" s="31" t="str">
        <f t="array" ref="AE666">IF($X666="","",INDEX(TARIFF_PROFILES!$K:$K,MATCH($X666,TARIFF_PROFILES!$A:$A,0)))</f>
        <v/>
      </c>
      <c r="AG666" s="8"/>
      <c r="AH666" s="8" t="str">
        <f>IF($AG666="","",SUMIFS(OPERATING_COEFFS!$C:$C,OPERATING_COEFFS!$A:$A,"DistanceClass",OPERATING_COEFFS!$B:$B,$AG666))</f>
        <v/>
      </c>
      <c r="AI666" s="8"/>
      <c r="AJ666" s="8" t="str">
        <f>IF($AI666="","",SUMIFS(OPERATING_COEFFS!$C:$C,OPERATING_COEFFS!$A:$A,"SeasonClass",OPERATING_COEFFS!$B:$B,$AI666))</f>
        <v/>
      </c>
      <c r="AK666" s="8"/>
      <c r="AL666" s="8" t="str">
        <f>IF($AK666="","",SUMIFS(OPERATING_COEFFS!$C:$C,OPERATING_COEFFS!$A:$A,"UrgencyClass",OPERATING_COEFFS!$B:$B,$AK666))</f>
        <v/>
      </c>
      <c r="AM666" s="8"/>
      <c r="AN666" s="8" t="str">
        <f t="array" ref="AN666">IF($AM666="","",INDEX(TAX_MODES!$B:$B,MATCH($AM666,TAX_MODES!$A:$A,0)))</f>
        <v/>
      </c>
    </row>
    <row r="667" ht="14.25" customHeight="1">
      <c r="C667" s="8"/>
      <c r="E667" s="8"/>
      <c r="G667" s="8"/>
      <c r="I667" s="8"/>
      <c r="K667" s="8"/>
      <c r="M667" s="8"/>
      <c r="O667" s="8"/>
      <c r="Q667" s="8"/>
      <c r="S667" s="8"/>
      <c r="V667" s="8"/>
      <c r="X667" s="31"/>
      <c r="Y667" s="31" t="str">
        <f>IF($X667="","",SUMIFS(TARIFF_PROFILES!$D:$D,TARIFF_PROFILES!$A:$A,$X667))</f>
        <v/>
      </c>
      <c r="Z667" s="31" t="str">
        <f>IF($X667="","",SUMIFS(TARIFF_PROFILES!$E:$E,TARIFF_PROFILES!$A:$A,$X667))</f>
        <v/>
      </c>
      <c r="AA667" s="31" t="str">
        <f>IF($X667="","",SUMIFS(TARIFF_PROFILES!$F:$F,TARIFF_PROFILES!$A:$A,$X667))</f>
        <v/>
      </c>
      <c r="AB667" s="31" t="str">
        <f>IF($X667="","",SUMIFS(TARIFF_PROFILES!$G:$G,TARIFF_PROFILES!$A:$A,$X667))</f>
        <v/>
      </c>
      <c r="AC667" s="31" t="str">
        <f>IF($X667="","",SUMIFS(TARIFF_PROFILES!$H:$H,TARIFF_PROFILES!$A:$A,$X667))</f>
        <v/>
      </c>
      <c r="AD667" s="31" t="str">
        <f t="array" ref="AD667">IF($X667="","",INDEX(TARIFF_PROFILES!$J:$J,MATCH($X667,TARIFF_PROFILES!$A:$A,0)))</f>
        <v/>
      </c>
      <c r="AE667" s="31" t="str">
        <f t="array" ref="AE667">IF($X667="","",INDEX(TARIFF_PROFILES!$K:$K,MATCH($X667,TARIFF_PROFILES!$A:$A,0)))</f>
        <v/>
      </c>
      <c r="AG667" s="8"/>
      <c r="AH667" s="8" t="str">
        <f>IF($AG667="","",SUMIFS(OPERATING_COEFFS!$C:$C,OPERATING_COEFFS!$A:$A,"DistanceClass",OPERATING_COEFFS!$B:$B,$AG667))</f>
        <v/>
      </c>
      <c r="AI667" s="8"/>
      <c r="AJ667" s="8" t="str">
        <f>IF($AI667="","",SUMIFS(OPERATING_COEFFS!$C:$C,OPERATING_COEFFS!$A:$A,"SeasonClass",OPERATING_COEFFS!$B:$B,$AI667))</f>
        <v/>
      </c>
      <c r="AK667" s="8"/>
      <c r="AL667" s="8" t="str">
        <f>IF($AK667="","",SUMIFS(OPERATING_COEFFS!$C:$C,OPERATING_COEFFS!$A:$A,"UrgencyClass",OPERATING_COEFFS!$B:$B,$AK667))</f>
        <v/>
      </c>
      <c r="AM667" s="8"/>
      <c r="AN667" s="8" t="str">
        <f t="array" ref="AN667">IF($AM667="","",INDEX(TAX_MODES!$B:$B,MATCH($AM667,TAX_MODES!$A:$A,0)))</f>
        <v/>
      </c>
    </row>
    <row r="668" ht="14.25" customHeight="1">
      <c r="C668" s="8"/>
      <c r="E668" s="8"/>
      <c r="G668" s="8"/>
      <c r="I668" s="8"/>
      <c r="K668" s="8"/>
      <c r="M668" s="8"/>
      <c r="O668" s="8"/>
      <c r="Q668" s="8"/>
      <c r="S668" s="8"/>
      <c r="V668" s="8"/>
      <c r="X668" s="31"/>
      <c r="Y668" s="31" t="str">
        <f>IF($X668="","",SUMIFS(TARIFF_PROFILES!$D:$D,TARIFF_PROFILES!$A:$A,$X668))</f>
        <v/>
      </c>
      <c r="Z668" s="31" t="str">
        <f>IF($X668="","",SUMIFS(TARIFF_PROFILES!$E:$E,TARIFF_PROFILES!$A:$A,$X668))</f>
        <v/>
      </c>
      <c r="AA668" s="31" t="str">
        <f>IF($X668="","",SUMIFS(TARIFF_PROFILES!$F:$F,TARIFF_PROFILES!$A:$A,$X668))</f>
        <v/>
      </c>
      <c r="AB668" s="31" t="str">
        <f>IF($X668="","",SUMIFS(TARIFF_PROFILES!$G:$G,TARIFF_PROFILES!$A:$A,$X668))</f>
        <v/>
      </c>
      <c r="AC668" s="31" t="str">
        <f>IF($X668="","",SUMIFS(TARIFF_PROFILES!$H:$H,TARIFF_PROFILES!$A:$A,$X668))</f>
        <v/>
      </c>
      <c r="AD668" s="31" t="str">
        <f t="array" ref="AD668">IF($X668="","",INDEX(TARIFF_PROFILES!$J:$J,MATCH($X668,TARIFF_PROFILES!$A:$A,0)))</f>
        <v/>
      </c>
      <c r="AE668" s="31" t="str">
        <f t="array" ref="AE668">IF($X668="","",INDEX(TARIFF_PROFILES!$K:$K,MATCH($X668,TARIFF_PROFILES!$A:$A,0)))</f>
        <v/>
      </c>
      <c r="AG668" s="8"/>
      <c r="AH668" s="8" t="str">
        <f>IF($AG668="","",SUMIFS(OPERATING_COEFFS!$C:$C,OPERATING_COEFFS!$A:$A,"DistanceClass",OPERATING_COEFFS!$B:$B,$AG668))</f>
        <v/>
      </c>
      <c r="AI668" s="8"/>
      <c r="AJ668" s="8" t="str">
        <f>IF($AI668="","",SUMIFS(OPERATING_COEFFS!$C:$C,OPERATING_COEFFS!$A:$A,"SeasonClass",OPERATING_COEFFS!$B:$B,$AI668))</f>
        <v/>
      </c>
      <c r="AK668" s="8"/>
      <c r="AL668" s="8" t="str">
        <f>IF($AK668="","",SUMIFS(OPERATING_COEFFS!$C:$C,OPERATING_COEFFS!$A:$A,"UrgencyClass",OPERATING_COEFFS!$B:$B,$AK668))</f>
        <v/>
      </c>
      <c r="AM668" s="8"/>
      <c r="AN668" s="8" t="str">
        <f t="array" ref="AN668">IF($AM668="","",INDEX(TAX_MODES!$B:$B,MATCH($AM668,TAX_MODES!$A:$A,0)))</f>
        <v/>
      </c>
    </row>
    <row r="669" ht="14.25" customHeight="1">
      <c r="C669" s="8"/>
      <c r="E669" s="8"/>
      <c r="G669" s="8"/>
      <c r="I669" s="8"/>
      <c r="K669" s="8"/>
      <c r="M669" s="8"/>
      <c r="O669" s="8"/>
      <c r="Q669" s="8"/>
      <c r="S669" s="8"/>
      <c r="V669" s="8"/>
      <c r="X669" s="31"/>
      <c r="Y669" s="31" t="str">
        <f>IF($X669="","",SUMIFS(TARIFF_PROFILES!$D:$D,TARIFF_PROFILES!$A:$A,$X669))</f>
        <v/>
      </c>
      <c r="Z669" s="31" t="str">
        <f>IF($X669="","",SUMIFS(TARIFF_PROFILES!$E:$E,TARIFF_PROFILES!$A:$A,$X669))</f>
        <v/>
      </c>
      <c r="AA669" s="31" t="str">
        <f>IF($X669="","",SUMIFS(TARIFF_PROFILES!$F:$F,TARIFF_PROFILES!$A:$A,$X669))</f>
        <v/>
      </c>
      <c r="AB669" s="31" t="str">
        <f>IF($X669="","",SUMIFS(TARIFF_PROFILES!$G:$G,TARIFF_PROFILES!$A:$A,$X669))</f>
        <v/>
      </c>
      <c r="AC669" s="31" t="str">
        <f>IF($X669="","",SUMIFS(TARIFF_PROFILES!$H:$H,TARIFF_PROFILES!$A:$A,$X669))</f>
        <v/>
      </c>
      <c r="AD669" s="31" t="str">
        <f t="array" ref="AD669">IF($X669="","",INDEX(TARIFF_PROFILES!$J:$J,MATCH($X669,TARIFF_PROFILES!$A:$A,0)))</f>
        <v/>
      </c>
      <c r="AE669" s="31" t="str">
        <f t="array" ref="AE669">IF($X669="","",INDEX(TARIFF_PROFILES!$K:$K,MATCH($X669,TARIFF_PROFILES!$A:$A,0)))</f>
        <v/>
      </c>
      <c r="AG669" s="8"/>
      <c r="AH669" s="8" t="str">
        <f>IF($AG669="","",SUMIFS(OPERATING_COEFFS!$C:$C,OPERATING_COEFFS!$A:$A,"DistanceClass",OPERATING_COEFFS!$B:$B,$AG669))</f>
        <v/>
      </c>
      <c r="AI669" s="8"/>
      <c r="AJ669" s="8" t="str">
        <f>IF($AI669="","",SUMIFS(OPERATING_COEFFS!$C:$C,OPERATING_COEFFS!$A:$A,"SeasonClass",OPERATING_COEFFS!$B:$B,$AI669))</f>
        <v/>
      </c>
      <c r="AK669" s="8"/>
      <c r="AL669" s="8" t="str">
        <f>IF($AK669="","",SUMIFS(OPERATING_COEFFS!$C:$C,OPERATING_COEFFS!$A:$A,"UrgencyClass",OPERATING_COEFFS!$B:$B,$AK669))</f>
        <v/>
      </c>
      <c r="AM669" s="8"/>
      <c r="AN669" s="8" t="str">
        <f t="array" ref="AN669">IF($AM669="","",INDEX(TAX_MODES!$B:$B,MATCH($AM669,TAX_MODES!$A:$A,0)))</f>
        <v/>
      </c>
    </row>
    <row r="670" ht="14.25" customHeight="1">
      <c r="C670" s="8"/>
      <c r="E670" s="8"/>
      <c r="G670" s="8"/>
      <c r="I670" s="8"/>
      <c r="K670" s="8"/>
      <c r="M670" s="8"/>
      <c r="O670" s="8"/>
      <c r="Q670" s="8"/>
      <c r="S670" s="8"/>
      <c r="V670" s="8"/>
      <c r="X670" s="31"/>
      <c r="Y670" s="31" t="str">
        <f>IF($X670="","",SUMIFS(TARIFF_PROFILES!$D:$D,TARIFF_PROFILES!$A:$A,$X670))</f>
        <v/>
      </c>
      <c r="Z670" s="31" t="str">
        <f>IF($X670="","",SUMIFS(TARIFF_PROFILES!$E:$E,TARIFF_PROFILES!$A:$A,$X670))</f>
        <v/>
      </c>
      <c r="AA670" s="31" t="str">
        <f>IF($X670="","",SUMIFS(TARIFF_PROFILES!$F:$F,TARIFF_PROFILES!$A:$A,$X670))</f>
        <v/>
      </c>
      <c r="AB670" s="31" t="str">
        <f>IF($X670="","",SUMIFS(TARIFF_PROFILES!$G:$G,TARIFF_PROFILES!$A:$A,$X670))</f>
        <v/>
      </c>
      <c r="AC670" s="31" t="str">
        <f>IF($X670="","",SUMIFS(TARIFF_PROFILES!$H:$H,TARIFF_PROFILES!$A:$A,$X670))</f>
        <v/>
      </c>
      <c r="AD670" s="31" t="str">
        <f t="array" ref="AD670">IF($X670="","",INDEX(TARIFF_PROFILES!$J:$J,MATCH($X670,TARIFF_PROFILES!$A:$A,0)))</f>
        <v/>
      </c>
      <c r="AE670" s="31" t="str">
        <f t="array" ref="AE670">IF($X670="","",INDEX(TARIFF_PROFILES!$K:$K,MATCH($X670,TARIFF_PROFILES!$A:$A,0)))</f>
        <v/>
      </c>
      <c r="AG670" s="8"/>
      <c r="AH670" s="8" t="str">
        <f>IF($AG670="","",SUMIFS(OPERATING_COEFFS!$C:$C,OPERATING_COEFFS!$A:$A,"DistanceClass",OPERATING_COEFFS!$B:$B,$AG670))</f>
        <v/>
      </c>
      <c r="AI670" s="8"/>
      <c r="AJ670" s="8" t="str">
        <f>IF($AI670="","",SUMIFS(OPERATING_COEFFS!$C:$C,OPERATING_COEFFS!$A:$A,"SeasonClass",OPERATING_COEFFS!$B:$B,$AI670))</f>
        <v/>
      </c>
      <c r="AK670" s="8"/>
      <c r="AL670" s="8" t="str">
        <f>IF($AK670="","",SUMIFS(OPERATING_COEFFS!$C:$C,OPERATING_COEFFS!$A:$A,"UrgencyClass",OPERATING_COEFFS!$B:$B,$AK670))</f>
        <v/>
      </c>
      <c r="AM670" s="8"/>
      <c r="AN670" s="8" t="str">
        <f t="array" ref="AN670">IF($AM670="","",INDEX(TAX_MODES!$B:$B,MATCH($AM670,TAX_MODES!$A:$A,0)))</f>
        <v/>
      </c>
    </row>
    <row r="671" ht="14.25" customHeight="1">
      <c r="C671" s="8"/>
      <c r="E671" s="8"/>
      <c r="G671" s="8"/>
      <c r="I671" s="8"/>
      <c r="K671" s="8"/>
      <c r="M671" s="8"/>
      <c r="O671" s="8"/>
      <c r="Q671" s="8"/>
      <c r="S671" s="8"/>
      <c r="V671" s="8"/>
      <c r="X671" s="31"/>
      <c r="Y671" s="31" t="str">
        <f>IF($X671="","",SUMIFS(TARIFF_PROFILES!$D:$D,TARIFF_PROFILES!$A:$A,$X671))</f>
        <v/>
      </c>
      <c r="Z671" s="31" t="str">
        <f>IF($X671="","",SUMIFS(TARIFF_PROFILES!$E:$E,TARIFF_PROFILES!$A:$A,$X671))</f>
        <v/>
      </c>
      <c r="AA671" s="31" t="str">
        <f>IF($X671="","",SUMIFS(TARIFF_PROFILES!$F:$F,TARIFF_PROFILES!$A:$A,$X671))</f>
        <v/>
      </c>
      <c r="AB671" s="31" t="str">
        <f>IF($X671="","",SUMIFS(TARIFF_PROFILES!$G:$G,TARIFF_PROFILES!$A:$A,$X671))</f>
        <v/>
      </c>
      <c r="AC671" s="31" t="str">
        <f>IF($X671="","",SUMIFS(TARIFF_PROFILES!$H:$H,TARIFF_PROFILES!$A:$A,$X671))</f>
        <v/>
      </c>
      <c r="AD671" s="31" t="str">
        <f t="array" ref="AD671">IF($X671="","",INDEX(TARIFF_PROFILES!$J:$J,MATCH($X671,TARIFF_PROFILES!$A:$A,0)))</f>
        <v/>
      </c>
      <c r="AE671" s="31" t="str">
        <f t="array" ref="AE671">IF($X671="","",INDEX(TARIFF_PROFILES!$K:$K,MATCH($X671,TARIFF_PROFILES!$A:$A,0)))</f>
        <v/>
      </c>
      <c r="AG671" s="8"/>
      <c r="AH671" s="8" t="str">
        <f>IF($AG671="","",SUMIFS(OPERATING_COEFFS!$C:$C,OPERATING_COEFFS!$A:$A,"DistanceClass",OPERATING_COEFFS!$B:$B,$AG671))</f>
        <v/>
      </c>
      <c r="AI671" s="8"/>
      <c r="AJ671" s="8" t="str">
        <f>IF($AI671="","",SUMIFS(OPERATING_COEFFS!$C:$C,OPERATING_COEFFS!$A:$A,"SeasonClass",OPERATING_COEFFS!$B:$B,$AI671))</f>
        <v/>
      </c>
      <c r="AK671" s="8"/>
      <c r="AL671" s="8" t="str">
        <f>IF($AK671="","",SUMIFS(OPERATING_COEFFS!$C:$C,OPERATING_COEFFS!$A:$A,"UrgencyClass",OPERATING_COEFFS!$B:$B,$AK671))</f>
        <v/>
      </c>
      <c r="AM671" s="8"/>
      <c r="AN671" s="8" t="str">
        <f t="array" ref="AN671">IF($AM671="","",INDEX(TAX_MODES!$B:$B,MATCH($AM671,TAX_MODES!$A:$A,0)))</f>
        <v/>
      </c>
    </row>
    <row r="672" ht="14.25" customHeight="1">
      <c r="C672" s="8"/>
      <c r="E672" s="8"/>
      <c r="G672" s="8"/>
      <c r="I672" s="8"/>
      <c r="K672" s="8"/>
      <c r="M672" s="8"/>
      <c r="O672" s="8"/>
      <c r="Q672" s="8"/>
      <c r="S672" s="8"/>
      <c r="V672" s="8"/>
      <c r="X672" s="31"/>
      <c r="Y672" s="31" t="str">
        <f>IF($X672="","",SUMIFS(TARIFF_PROFILES!$D:$D,TARIFF_PROFILES!$A:$A,$X672))</f>
        <v/>
      </c>
      <c r="Z672" s="31" t="str">
        <f>IF($X672="","",SUMIFS(TARIFF_PROFILES!$E:$E,TARIFF_PROFILES!$A:$A,$X672))</f>
        <v/>
      </c>
      <c r="AA672" s="31" t="str">
        <f>IF($X672="","",SUMIFS(TARIFF_PROFILES!$F:$F,TARIFF_PROFILES!$A:$A,$X672))</f>
        <v/>
      </c>
      <c r="AB672" s="31" t="str">
        <f>IF($X672="","",SUMIFS(TARIFF_PROFILES!$G:$G,TARIFF_PROFILES!$A:$A,$X672))</f>
        <v/>
      </c>
      <c r="AC672" s="31" t="str">
        <f>IF($X672="","",SUMIFS(TARIFF_PROFILES!$H:$H,TARIFF_PROFILES!$A:$A,$X672))</f>
        <v/>
      </c>
      <c r="AD672" s="31" t="str">
        <f t="array" ref="AD672">IF($X672="","",INDEX(TARIFF_PROFILES!$J:$J,MATCH($X672,TARIFF_PROFILES!$A:$A,0)))</f>
        <v/>
      </c>
      <c r="AE672" s="31" t="str">
        <f t="array" ref="AE672">IF($X672="","",INDEX(TARIFF_PROFILES!$K:$K,MATCH($X672,TARIFF_PROFILES!$A:$A,0)))</f>
        <v/>
      </c>
      <c r="AG672" s="8"/>
      <c r="AH672" s="8" t="str">
        <f>IF($AG672="","",SUMIFS(OPERATING_COEFFS!$C:$C,OPERATING_COEFFS!$A:$A,"DistanceClass",OPERATING_COEFFS!$B:$B,$AG672))</f>
        <v/>
      </c>
      <c r="AI672" s="8"/>
      <c r="AJ672" s="8" t="str">
        <f>IF($AI672="","",SUMIFS(OPERATING_COEFFS!$C:$C,OPERATING_COEFFS!$A:$A,"SeasonClass",OPERATING_COEFFS!$B:$B,$AI672))</f>
        <v/>
      </c>
      <c r="AK672" s="8"/>
      <c r="AL672" s="8" t="str">
        <f>IF($AK672="","",SUMIFS(OPERATING_COEFFS!$C:$C,OPERATING_COEFFS!$A:$A,"UrgencyClass",OPERATING_COEFFS!$B:$B,$AK672))</f>
        <v/>
      </c>
      <c r="AM672" s="8"/>
      <c r="AN672" s="8" t="str">
        <f t="array" ref="AN672">IF($AM672="","",INDEX(TAX_MODES!$B:$B,MATCH($AM672,TAX_MODES!$A:$A,0)))</f>
        <v/>
      </c>
    </row>
    <row r="673" ht="14.25" customHeight="1">
      <c r="C673" s="8"/>
      <c r="E673" s="8"/>
      <c r="G673" s="8"/>
      <c r="I673" s="8"/>
      <c r="K673" s="8"/>
      <c r="M673" s="8"/>
      <c r="O673" s="8"/>
      <c r="Q673" s="8"/>
      <c r="S673" s="8"/>
      <c r="V673" s="8"/>
      <c r="X673" s="31"/>
      <c r="Y673" s="31" t="str">
        <f>IF($X673="","",SUMIFS(TARIFF_PROFILES!$D:$D,TARIFF_PROFILES!$A:$A,$X673))</f>
        <v/>
      </c>
      <c r="Z673" s="31" t="str">
        <f>IF($X673="","",SUMIFS(TARIFF_PROFILES!$E:$E,TARIFF_PROFILES!$A:$A,$X673))</f>
        <v/>
      </c>
      <c r="AA673" s="31" t="str">
        <f>IF($X673="","",SUMIFS(TARIFF_PROFILES!$F:$F,TARIFF_PROFILES!$A:$A,$X673))</f>
        <v/>
      </c>
      <c r="AB673" s="31" t="str">
        <f>IF($X673="","",SUMIFS(TARIFF_PROFILES!$G:$G,TARIFF_PROFILES!$A:$A,$X673))</f>
        <v/>
      </c>
      <c r="AC673" s="31" t="str">
        <f>IF($X673="","",SUMIFS(TARIFF_PROFILES!$H:$H,TARIFF_PROFILES!$A:$A,$X673))</f>
        <v/>
      </c>
      <c r="AD673" s="31" t="str">
        <f t="array" ref="AD673">IF($X673="","",INDEX(TARIFF_PROFILES!$J:$J,MATCH($X673,TARIFF_PROFILES!$A:$A,0)))</f>
        <v/>
      </c>
      <c r="AE673" s="31" t="str">
        <f t="array" ref="AE673">IF($X673="","",INDEX(TARIFF_PROFILES!$K:$K,MATCH($X673,TARIFF_PROFILES!$A:$A,0)))</f>
        <v/>
      </c>
      <c r="AG673" s="8"/>
      <c r="AH673" s="8" t="str">
        <f>IF($AG673="","",SUMIFS(OPERATING_COEFFS!$C:$C,OPERATING_COEFFS!$A:$A,"DistanceClass",OPERATING_COEFFS!$B:$B,$AG673))</f>
        <v/>
      </c>
      <c r="AI673" s="8"/>
      <c r="AJ673" s="8" t="str">
        <f>IF($AI673="","",SUMIFS(OPERATING_COEFFS!$C:$C,OPERATING_COEFFS!$A:$A,"SeasonClass",OPERATING_COEFFS!$B:$B,$AI673))</f>
        <v/>
      </c>
      <c r="AK673" s="8"/>
      <c r="AL673" s="8" t="str">
        <f>IF($AK673="","",SUMIFS(OPERATING_COEFFS!$C:$C,OPERATING_COEFFS!$A:$A,"UrgencyClass",OPERATING_COEFFS!$B:$B,$AK673))</f>
        <v/>
      </c>
      <c r="AM673" s="8"/>
      <c r="AN673" s="8" t="str">
        <f t="array" ref="AN673">IF($AM673="","",INDEX(TAX_MODES!$B:$B,MATCH($AM673,TAX_MODES!$A:$A,0)))</f>
        <v/>
      </c>
    </row>
    <row r="674" ht="14.25" customHeight="1">
      <c r="C674" s="8"/>
      <c r="E674" s="8"/>
      <c r="G674" s="8"/>
      <c r="I674" s="8"/>
      <c r="K674" s="8"/>
      <c r="M674" s="8"/>
      <c r="O674" s="8"/>
      <c r="Q674" s="8"/>
      <c r="S674" s="8"/>
      <c r="V674" s="8"/>
      <c r="X674" s="31"/>
      <c r="Y674" s="31" t="str">
        <f>IF($X674="","",SUMIFS(TARIFF_PROFILES!$D:$D,TARIFF_PROFILES!$A:$A,$X674))</f>
        <v/>
      </c>
      <c r="Z674" s="31" t="str">
        <f>IF($X674="","",SUMIFS(TARIFF_PROFILES!$E:$E,TARIFF_PROFILES!$A:$A,$X674))</f>
        <v/>
      </c>
      <c r="AA674" s="31" t="str">
        <f>IF($X674="","",SUMIFS(TARIFF_PROFILES!$F:$F,TARIFF_PROFILES!$A:$A,$X674))</f>
        <v/>
      </c>
      <c r="AB674" s="31" t="str">
        <f>IF($X674="","",SUMIFS(TARIFF_PROFILES!$G:$G,TARIFF_PROFILES!$A:$A,$X674))</f>
        <v/>
      </c>
      <c r="AC674" s="31" t="str">
        <f>IF($X674="","",SUMIFS(TARIFF_PROFILES!$H:$H,TARIFF_PROFILES!$A:$A,$X674))</f>
        <v/>
      </c>
      <c r="AD674" s="31" t="str">
        <f t="array" ref="AD674">IF($X674="","",INDEX(TARIFF_PROFILES!$J:$J,MATCH($X674,TARIFF_PROFILES!$A:$A,0)))</f>
        <v/>
      </c>
      <c r="AE674" s="31" t="str">
        <f t="array" ref="AE674">IF($X674="","",INDEX(TARIFF_PROFILES!$K:$K,MATCH($X674,TARIFF_PROFILES!$A:$A,0)))</f>
        <v/>
      </c>
      <c r="AG674" s="8"/>
      <c r="AH674" s="8" t="str">
        <f>IF($AG674="","",SUMIFS(OPERATING_COEFFS!$C:$C,OPERATING_COEFFS!$A:$A,"DistanceClass",OPERATING_COEFFS!$B:$B,$AG674))</f>
        <v/>
      </c>
      <c r="AI674" s="8"/>
      <c r="AJ674" s="8" t="str">
        <f>IF($AI674="","",SUMIFS(OPERATING_COEFFS!$C:$C,OPERATING_COEFFS!$A:$A,"SeasonClass",OPERATING_COEFFS!$B:$B,$AI674))</f>
        <v/>
      </c>
      <c r="AK674" s="8"/>
      <c r="AL674" s="8" t="str">
        <f>IF($AK674="","",SUMIFS(OPERATING_COEFFS!$C:$C,OPERATING_COEFFS!$A:$A,"UrgencyClass",OPERATING_COEFFS!$B:$B,$AK674))</f>
        <v/>
      </c>
      <c r="AM674" s="8"/>
      <c r="AN674" s="8" t="str">
        <f t="array" ref="AN674">IF($AM674="","",INDEX(TAX_MODES!$B:$B,MATCH($AM674,TAX_MODES!$A:$A,0)))</f>
        <v/>
      </c>
    </row>
    <row r="675" ht="14.25" customHeight="1">
      <c r="C675" s="8"/>
      <c r="E675" s="8"/>
      <c r="G675" s="8"/>
      <c r="I675" s="8"/>
      <c r="K675" s="8"/>
      <c r="M675" s="8"/>
      <c r="O675" s="8"/>
      <c r="Q675" s="8"/>
      <c r="S675" s="8"/>
      <c r="V675" s="8"/>
      <c r="X675" s="31"/>
      <c r="Y675" s="31" t="str">
        <f>IF($X675="","",SUMIFS(TARIFF_PROFILES!$D:$D,TARIFF_PROFILES!$A:$A,$X675))</f>
        <v/>
      </c>
      <c r="Z675" s="31" t="str">
        <f>IF($X675="","",SUMIFS(TARIFF_PROFILES!$E:$E,TARIFF_PROFILES!$A:$A,$X675))</f>
        <v/>
      </c>
      <c r="AA675" s="31" t="str">
        <f>IF($X675="","",SUMIFS(TARIFF_PROFILES!$F:$F,TARIFF_PROFILES!$A:$A,$X675))</f>
        <v/>
      </c>
      <c r="AB675" s="31" t="str">
        <f>IF($X675="","",SUMIFS(TARIFF_PROFILES!$G:$G,TARIFF_PROFILES!$A:$A,$X675))</f>
        <v/>
      </c>
      <c r="AC675" s="31" t="str">
        <f>IF($X675="","",SUMIFS(TARIFF_PROFILES!$H:$H,TARIFF_PROFILES!$A:$A,$X675))</f>
        <v/>
      </c>
      <c r="AD675" s="31" t="str">
        <f t="array" ref="AD675">IF($X675="","",INDEX(TARIFF_PROFILES!$J:$J,MATCH($X675,TARIFF_PROFILES!$A:$A,0)))</f>
        <v/>
      </c>
      <c r="AE675" s="31" t="str">
        <f t="array" ref="AE675">IF($X675="","",INDEX(TARIFF_PROFILES!$K:$K,MATCH($X675,TARIFF_PROFILES!$A:$A,0)))</f>
        <v/>
      </c>
      <c r="AG675" s="8"/>
      <c r="AH675" s="8" t="str">
        <f>IF($AG675="","",SUMIFS(OPERATING_COEFFS!$C:$C,OPERATING_COEFFS!$A:$A,"DistanceClass",OPERATING_COEFFS!$B:$B,$AG675))</f>
        <v/>
      </c>
      <c r="AI675" s="8"/>
      <c r="AJ675" s="8" t="str">
        <f>IF($AI675="","",SUMIFS(OPERATING_COEFFS!$C:$C,OPERATING_COEFFS!$A:$A,"SeasonClass",OPERATING_COEFFS!$B:$B,$AI675))</f>
        <v/>
      </c>
      <c r="AK675" s="8"/>
      <c r="AL675" s="8" t="str">
        <f>IF($AK675="","",SUMIFS(OPERATING_COEFFS!$C:$C,OPERATING_COEFFS!$A:$A,"UrgencyClass",OPERATING_COEFFS!$B:$B,$AK675))</f>
        <v/>
      </c>
      <c r="AM675" s="8"/>
      <c r="AN675" s="8" t="str">
        <f t="array" ref="AN675">IF($AM675="","",INDEX(TAX_MODES!$B:$B,MATCH($AM675,TAX_MODES!$A:$A,0)))</f>
        <v/>
      </c>
    </row>
    <row r="676" ht="14.25" customHeight="1">
      <c r="C676" s="8"/>
      <c r="E676" s="8"/>
      <c r="G676" s="8"/>
      <c r="I676" s="8"/>
      <c r="K676" s="8"/>
      <c r="M676" s="8"/>
      <c r="O676" s="8"/>
      <c r="Q676" s="8"/>
      <c r="S676" s="8"/>
      <c r="V676" s="8"/>
      <c r="X676" s="31"/>
      <c r="Y676" s="31" t="str">
        <f>IF($X676="","",SUMIFS(TARIFF_PROFILES!$D:$D,TARIFF_PROFILES!$A:$A,$X676))</f>
        <v/>
      </c>
      <c r="Z676" s="31" t="str">
        <f>IF($X676="","",SUMIFS(TARIFF_PROFILES!$E:$E,TARIFF_PROFILES!$A:$A,$X676))</f>
        <v/>
      </c>
      <c r="AA676" s="31" t="str">
        <f>IF($X676="","",SUMIFS(TARIFF_PROFILES!$F:$F,TARIFF_PROFILES!$A:$A,$X676))</f>
        <v/>
      </c>
      <c r="AB676" s="31" t="str">
        <f>IF($X676="","",SUMIFS(TARIFF_PROFILES!$G:$G,TARIFF_PROFILES!$A:$A,$X676))</f>
        <v/>
      </c>
      <c r="AC676" s="31" t="str">
        <f>IF($X676="","",SUMIFS(TARIFF_PROFILES!$H:$H,TARIFF_PROFILES!$A:$A,$X676))</f>
        <v/>
      </c>
      <c r="AD676" s="31" t="str">
        <f t="array" ref="AD676">IF($X676="","",INDEX(TARIFF_PROFILES!$J:$J,MATCH($X676,TARIFF_PROFILES!$A:$A,0)))</f>
        <v/>
      </c>
      <c r="AE676" s="31" t="str">
        <f t="array" ref="AE676">IF($X676="","",INDEX(TARIFF_PROFILES!$K:$K,MATCH($X676,TARIFF_PROFILES!$A:$A,0)))</f>
        <v/>
      </c>
      <c r="AG676" s="8"/>
      <c r="AH676" s="8" t="str">
        <f>IF($AG676="","",SUMIFS(OPERATING_COEFFS!$C:$C,OPERATING_COEFFS!$A:$A,"DistanceClass",OPERATING_COEFFS!$B:$B,$AG676))</f>
        <v/>
      </c>
      <c r="AI676" s="8"/>
      <c r="AJ676" s="8" t="str">
        <f>IF($AI676="","",SUMIFS(OPERATING_COEFFS!$C:$C,OPERATING_COEFFS!$A:$A,"SeasonClass",OPERATING_COEFFS!$B:$B,$AI676))</f>
        <v/>
      </c>
      <c r="AK676" s="8"/>
      <c r="AL676" s="8" t="str">
        <f>IF($AK676="","",SUMIFS(OPERATING_COEFFS!$C:$C,OPERATING_COEFFS!$A:$A,"UrgencyClass",OPERATING_COEFFS!$B:$B,$AK676))</f>
        <v/>
      </c>
      <c r="AM676" s="8"/>
      <c r="AN676" s="8" t="str">
        <f t="array" ref="AN676">IF($AM676="","",INDEX(TAX_MODES!$B:$B,MATCH($AM676,TAX_MODES!$A:$A,0)))</f>
        <v/>
      </c>
    </row>
    <row r="677" ht="14.25" customHeight="1">
      <c r="C677" s="8"/>
      <c r="E677" s="8"/>
      <c r="G677" s="8"/>
      <c r="I677" s="8"/>
      <c r="K677" s="8"/>
      <c r="M677" s="8"/>
      <c r="O677" s="8"/>
      <c r="Q677" s="8"/>
      <c r="S677" s="8"/>
      <c r="V677" s="8"/>
      <c r="X677" s="31"/>
      <c r="Y677" s="31" t="str">
        <f>IF($X677="","",SUMIFS(TARIFF_PROFILES!$D:$D,TARIFF_PROFILES!$A:$A,$X677))</f>
        <v/>
      </c>
      <c r="Z677" s="31" t="str">
        <f>IF($X677="","",SUMIFS(TARIFF_PROFILES!$E:$E,TARIFF_PROFILES!$A:$A,$X677))</f>
        <v/>
      </c>
      <c r="AA677" s="31" t="str">
        <f>IF($X677="","",SUMIFS(TARIFF_PROFILES!$F:$F,TARIFF_PROFILES!$A:$A,$X677))</f>
        <v/>
      </c>
      <c r="AB677" s="31" t="str">
        <f>IF($X677="","",SUMIFS(TARIFF_PROFILES!$G:$G,TARIFF_PROFILES!$A:$A,$X677))</f>
        <v/>
      </c>
      <c r="AC677" s="31" t="str">
        <f>IF($X677="","",SUMIFS(TARIFF_PROFILES!$H:$H,TARIFF_PROFILES!$A:$A,$X677))</f>
        <v/>
      </c>
      <c r="AD677" s="31" t="str">
        <f t="array" ref="AD677">IF($X677="","",INDEX(TARIFF_PROFILES!$J:$J,MATCH($X677,TARIFF_PROFILES!$A:$A,0)))</f>
        <v/>
      </c>
      <c r="AE677" s="31" t="str">
        <f t="array" ref="AE677">IF($X677="","",INDEX(TARIFF_PROFILES!$K:$K,MATCH($X677,TARIFF_PROFILES!$A:$A,0)))</f>
        <v/>
      </c>
      <c r="AG677" s="8"/>
      <c r="AH677" s="8" t="str">
        <f>IF($AG677="","",SUMIFS(OPERATING_COEFFS!$C:$C,OPERATING_COEFFS!$A:$A,"DistanceClass",OPERATING_COEFFS!$B:$B,$AG677))</f>
        <v/>
      </c>
      <c r="AI677" s="8"/>
      <c r="AJ677" s="8" t="str">
        <f>IF($AI677="","",SUMIFS(OPERATING_COEFFS!$C:$C,OPERATING_COEFFS!$A:$A,"SeasonClass",OPERATING_COEFFS!$B:$B,$AI677))</f>
        <v/>
      </c>
      <c r="AK677" s="8"/>
      <c r="AL677" s="8" t="str">
        <f>IF($AK677="","",SUMIFS(OPERATING_COEFFS!$C:$C,OPERATING_COEFFS!$A:$A,"UrgencyClass",OPERATING_COEFFS!$B:$B,$AK677))</f>
        <v/>
      </c>
      <c r="AM677" s="8"/>
      <c r="AN677" s="8" t="str">
        <f t="array" ref="AN677">IF($AM677="","",INDEX(TAX_MODES!$B:$B,MATCH($AM677,TAX_MODES!$A:$A,0)))</f>
        <v/>
      </c>
    </row>
    <row r="678" ht="14.25" customHeight="1">
      <c r="C678" s="8"/>
      <c r="E678" s="8"/>
      <c r="G678" s="8"/>
      <c r="I678" s="8"/>
      <c r="K678" s="8"/>
      <c r="M678" s="8"/>
      <c r="O678" s="8"/>
      <c r="Q678" s="8"/>
      <c r="S678" s="8"/>
      <c r="V678" s="8"/>
      <c r="X678" s="31"/>
      <c r="Y678" s="31" t="str">
        <f>IF($X678="","",SUMIFS(TARIFF_PROFILES!$D:$D,TARIFF_PROFILES!$A:$A,$X678))</f>
        <v/>
      </c>
      <c r="Z678" s="31" t="str">
        <f>IF($X678="","",SUMIFS(TARIFF_PROFILES!$E:$E,TARIFF_PROFILES!$A:$A,$X678))</f>
        <v/>
      </c>
      <c r="AA678" s="31" t="str">
        <f>IF($X678="","",SUMIFS(TARIFF_PROFILES!$F:$F,TARIFF_PROFILES!$A:$A,$X678))</f>
        <v/>
      </c>
      <c r="AB678" s="31" t="str">
        <f>IF($X678="","",SUMIFS(TARIFF_PROFILES!$G:$G,TARIFF_PROFILES!$A:$A,$X678))</f>
        <v/>
      </c>
      <c r="AC678" s="31" t="str">
        <f>IF($X678="","",SUMIFS(TARIFF_PROFILES!$H:$H,TARIFF_PROFILES!$A:$A,$X678))</f>
        <v/>
      </c>
      <c r="AD678" s="31" t="str">
        <f t="array" ref="AD678">IF($X678="","",INDEX(TARIFF_PROFILES!$J:$J,MATCH($X678,TARIFF_PROFILES!$A:$A,0)))</f>
        <v/>
      </c>
      <c r="AE678" s="31" t="str">
        <f t="array" ref="AE678">IF($X678="","",INDEX(TARIFF_PROFILES!$K:$K,MATCH($X678,TARIFF_PROFILES!$A:$A,0)))</f>
        <v/>
      </c>
      <c r="AG678" s="8"/>
      <c r="AH678" s="8" t="str">
        <f>IF($AG678="","",SUMIFS(OPERATING_COEFFS!$C:$C,OPERATING_COEFFS!$A:$A,"DistanceClass",OPERATING_COEFFS!$B:$B,$AG678))</f>
        <v/>
      </c>
      <c r="AI678" s="8"/>
      <c r="AJ678" s="8" t="str">
        <f>IF($AI678="","",SUMIFS(OPERATING_COEFFS!$C:$C,OPERATING_COEFFS!$A:$A,"SeasonClass",OPERATING_COEFFS!$B:$B,$AI678))</f>
        <v/>
      </c>
      <c r="AK678" s="8"/>
      <c r="AL678" s="8" t="str">
        <f>IF($AK678="","",SUMIFS(OPERATING_COEFFS!$C:$C,OPERATING_COEFFS!$A:$A,"UrgencyClass",OPERATING_COEFFS!$B:$B,$AK678))</f>
        <v/>
      </c>
      <c r="AM678" s="8"/>
      <c r="AN678" s="8" t="str">
        <f t="array" ref="AN678">IF($AM678="","",INDEX(TAX_MODES!$B:$B,MATCH($AM678,TAX_MODES!$A:$A,0)))</f>
        <v/>
      </c>
    </row>
    <row r="679" ht="14.25" customHeight="1">
      <c r="C679" s="8"/>
      <c r="E679" s="8"/>
      <c r="G679" s="8"/>
      <c r="I679" s="8"/>
      <c r="K679" s="8"/>
      <c r="M679" s="8"/>
      <c r="O679" s="8"/>
      <c r="Q679" s="8"/>
      <c r="S679" s="8"/>
      <c r="V679" s="8"/>
      <c r="X679" s="31"/>
      <c r="Y679" s="31" t="str">
        <f>IF($X679="","",SUMIFS(TARIFF_PROFILES!$D:$D,TARIFF_PROFILES!$A:$A,$X679))</f>
        <v/>
      </c>
      <c r="Z679" s="31" t="str">
        <f>IF($X679="","",SUMIFS(TARIFF_PROFILES!$E:$E,TARIFF_PROFILES!$A:$A,$X679))</f>
        <v/>
      </c>
      <c r="AA679" s="31" t="str">
        <f>IF($X679="","",SUMIFS(TARIFF_PROFILES!$F:$F,TARIFF_PROFILES!$A:$A,$X679))</f>
        <v/>
      </c>
      <c r="AB679" s="31" t="str">
        <f>IF($X679="","",SUMIFS(TARIFF_PROFILES!$G:$G,TARIFF_PROFILES!$A:$A,$X679))</f>
        <v/>
      </c>
      <c r="AC679" s="31" t="str">
        <f>IF($X679="","",SUMIFS(TARIFF_PROFILES!$H:$H,TARIFF_PROFILES!$A:$A,$X679))</f>
        <v/>
      </c>
      <c r="AD679" s="31" t="str">
        <f t="array" ref="AD679">IF($X679="","",INDEX(TARIFF_PROFILES!$J:$J,MATCH($X679,TARIFF_PROFILES!$A:$A,0)))</f>
        <v/>
      </c>
      <c r="AE679" s="31" t="str">
        <f t="array" ref="AE679">IF($X679="","",INDEX(TARIFF_PROFILES!$K:$K,MATCH($X679,TARIFF_PROFILES!$A:$A,0)))</f>
        <v/>
      </c>
      <c r="AG679" s="8"/>
      <c r="AH679" s="8" t="str">
        <f>IF($AG679="","",SUMIFS(OPERATING_COEFFS!$C:$C,OPERATING_COEFFS!$A:$A,"DistanceClass",OPERATING_COEFFS!$B:$B,$AG679))</f>
        <v/>
      </c>
      <c r="AI679" s="8"/>
      <c r="AJ679" s="8" t="str">
        <f>IF($AI679="","",SUMIFS(OPERATING_COEFFS!$C:$C,OPERATING_COEFFS!$A:$A,"SeasonClass",OPERATING_COEFFS!$B:$B,$AI679))</f>
        <v/>
      </c>
      <c r="AK679" s="8"/>
      <c r="AL679" s="8" t="str">
        <f>IF($AK679="","",SUMIFS(OPERATING_COEFFS!$C:$C,OPERATING_COEFFS!$A:$A,"UrgencyClass",OPERATING_COEFFS!$B:$B,$AK679))</f>
        <v/>
      </c>
      <c r="AM679" s="8"/>
      <c r="AN679" s="8" t="str">
        <f t="array" ref="AN679">IF($AM679="","",INDEX(TAX_MODES!$B:$B,MATCH($AM679,TAX_MODES!$A:$A,0)))</f>
        <v/>
      </c>
    </row>
    <row r="680" ht="14.25" customHeight="1">
      <c r="C680" s="8"/>
      <c r="E680" s="8"/>
      <c r="G680" s="8"/>
      <c r="I680" s="8"/>
      <c r="K680" s="8"/>
      <c r="M680" s="8"/>
      <c r="O680" s="8"/>
      <c r="Q680" s="8"/>
      <c r="S680" s="8"/>
      <c r="V680" s="8"/>
      <c r="X680" s="31"/>
      <c r="Y680" s="31" t="str">
        <f>IF($X680="","",SUMIFS(TARIFF_PROFILES!$D:$D,TARIFF_PROFILES!$A:$A,$X680))</f>
        <v/>
      </c>
      <c r="Z680" s="31" t="str">
        <f>IF($X680="","",SUMIFS(TARIFF_PROFILES!$E:$E,TARIFF_PROFILES!$A:$A,$X680))</f>
        <v/>
      </c>
      <c r="AA680" s="31" t="str">
        <f>IF($X680="","",SUMIFS(TARIFF_PROFILES!$F:$F,TARIFF_PROFILES!$A:$A,$X680))</f>
        <v/>
      </c>
      <c r="AB680" s="31" t="str">
        <f>IF($X680="","",SUMIFS(TARIFF_PROFILES!$G:$G,TARIFF_PROFILES!$A:$A,$X680))</f>
        <v/>
      </c>
      <c r="AC680" s="31" t="str">
        <f>IF($X680="","",SUMIFS(TARIFF_PROFILES!$H:$H,TARIFF_PROFILES!$A:$A,$X680))</f>
        <v/>
      </c>
      <c r="AD680" s="31" t="str">
        <f t="array" ref="AD680">IF($X680="","",INDEX(TARIFF_PROFILES!$J:$J,MATCH($X680,TARIFF_PROFILES!$A:$A,0)))</f>
        <v/>
      </c>
      <c r="AE680" s="31" t="str">
        <f t="array" ref="AE680">IF($X680="","",INDEX(TARIFF_PROFILES!$K:$K,MATCH($X680,TARIFF_PROFILES!$A:$A,0)))</f>
        <v/>
      </c>
      <c r="AG680" s="8"/>
      <c r="AH680" s="8" t="str">
        <f>IF($AG680="","",SUMIFS(OPERATING_COEFFS!$C:$C,OPERATING_COEFFS!$A:$A,"DistanceClass",OPERATING_COEFFS!$B:$B,$AG680))</f>
        <v/>
      </c>
      <c r="AI680" s="8"/>
      <c r="AJ680" s="8" t="str">
        <f>IF($AI680="","",SUMIFS(OPERATING_COEFFS!$C:$C,OPERATING_COEFFS!$A:$A,"SeasonClass",OPERATING_COEFFS!$B:$B,$AI680))</f>
        <v/>
      </c>
      <c r="AK680" s="8"/>
      <c r="AL680" s="8" t="str">
        <f>IF($AK680="","",SUMIFS(OPERATING_COEFFS!$C:$C,OPERATING_COEFFS!$A:$A,"UrgencyClass",OPERATING_COEFFS!$B:$B,$AK680))</f>
        <v/>
      </c>
      <c r="AM680" s="8"/>
      <c r="AN680" s="8" t="str">
        <f t="array" ref="AN680">IF($AM680="","",INDEX(TAX_MODES!$B:$B,MATCH($AM680,TAX_MODES!$A:$A,0)))</f>
        <v/>
      </c>
    </row>
    <row r="681" ht="14.25" customHeight="1">
      <c r="C681" s="8"/>
      <c r="E681" s="8"/>
      <c r="G681" s="8"/>
      <c r="I681" s="8"/>
      <c r="K681" s="8"/>
      <c r="M681" s="8"/>
      <c r="O681" s="8"/>
      <c r="Q681" s="8"/>
      <c r="S681" s="8"/>
      <c r="V681" s="8"/>
      <c r="X681" s="31"/>
      <c r="Y681" s="31" t="str">
        <f>IF($X681="","",SUMIFS(TARIFF_PROFILES!$D:$D,TARIFF_PROFILES!$A:$A,$X681))</f>
        <v/>
      </c>
      <c r="Z681" s="31" t="str">
        <f>IF($X681="","",SUMIFS(TARIFF_PROFILES!$E:$E,TARIFF_PROFILES!$A:$A,$X681))</f>
        <v/>
      </c>
      <c r="AA681" s="31" t="str">
        <f>IF($X681="","",SUMIFS(TARIFF_PROFILES!$F:$F,TARIFF_PROFILES!$A:$A,$X681))</f>
        <v/>
      </c>
      <c r="AB681" s="31" t="str">
        <f>IF($X681="","",SUMIFS(TARIFF_PROFILES!$G:$G,TARIFF_PROFILES!$A:$A,$X681))</f>
        <v/>
      </c>
      <c r="AC681" s="31" t="str">
        <f>IF($X681="","",SUMIFS(TARIFF_PROFILES!$H:$H,TARIFF_PROFILES!$A:$A,$X681))</f>
        <v/>
      </c>
      <c r="AD681" s="31" t="str">
        <f t="array" ref="AD681">IF($X681="","",INDEX(TARIFF_PROFILES!$J:$J,MATCH($X681,TARIFF_PROFILES!$A:$A,0)))</f>
        <v/>
      </c>
      <c r="AE681" s="31" t="str">
        <f t="array" ref="AE681">IF($X681="","",INDEX(TARIFF_PROFILES!$K:$K,MATCH($X681,TARIFF_PROFILES!$A:$A,0)))</f>
        <v/>
      </c>
      <c r="AG681" s="8"/>
      <c r="AH681" s="8" t="str">
        <f>IF($AG681="","",SUMIFS(OPERATING_COEFFS!$C:$C,OPERATING_COEFFS!$A:$A,"DistanceClass",OPERATING_COEFFS!$B:$B,$AG681))</f>
        <v/>
      </c>
      <c r="AI681" s="8"/>
      <c r="AJ681" s="8" t="str">
        <f>IF($AI681="","",SUMIFS(OPERATING_COEFFS!$C:$C,OPERATING_COEFFS!$A:$A,"SeasonClass",OPERATING_COEFFS!$B:$B,$AI681))</f>
        <v/>
      </c>
      <c r="AK681" s="8"/>
      <c r="AL681" s="8" t="str">
        <f>IF($AK681="","",SUMIFS(OPERATING_COEFFS!$C:$C,OPERATING_COEFFS!$A:$A,"UrgencyClass",OPERATING_COEFFS!$B:$B,$AK681))</f>
        <v/>
      </c>
      <c r="AM681" s="8"/>
      <c r="AN681" s="8" t="str">
        <f t="array" ref="AN681">IF($AM681="","",INDEX(TAX_MODES!$B:$B,MATCH($AM681,TAX_MODES!$A:$A,0)))</f>
        <v/>
      </c>
    </row>
    <row r="682" ht="14.25" customHeight="1">
      <c r="C682" s="8"/>
      <c r="E682" s="8"/>
      <c r="G682" s="8"/>
      <c r="I682" s="8"/>
      <c r="K682" s="8"/>
      <c r="M682" s="8"/>
      <c r="O682" s="8"/>
      <c r="Q682" s="8"/>
      <c r="S682" s="8"/>
      <c r="V682" s="8"/>
      <c r="X682" s="31"/>
      <c r="Y682" s="31" t="str">
        <f>IF($X682="","",SUMIFS(TARIFF_PROFILES!$D:$D,TARIFF_PROFILES!$A:$A,$X682))</f>
        <v/>
      </c>
      <c r="Z682" s="31" t="str">
        <f>IF($X682="","",SUMIFS(TARIFF_PROFILES!$E:$E,TARIFF_PROFILES!$A:$A,$X682))</f>
        <v/>
      </c>
      <c r="AA682" s="31" t="str">
        <f>IF($X682="","",SUMIFS(TARIFF_PROFILES!$F:$F,TARIFF_PROFILES!$A:$A,$X682))</f>
        <v/>
      </c>
      <c r="AB682" s="31" t="str">
        <f>IF($X682="","",SUMIFS(TARIFF_PROFILES!$G:$G,TARIFF_PROFILES!$A:$A,$X682))</f>
        <v/>
      </c>
      <c r="AC682" s="31" t="str">
        <f>IF($X682="","",SUMIFS(TARIFF_PROFILES!$H:$H,TARIFF_PROFILES!$A:$A,$X682))</f>
        <v/>
      </c>
      <c r="AD682" s="31" t="str">
        <f t="array" ref="AD682">IF($X682="","",INDEX(TARIFF_PROFILES!$J:$J,MATCH($X682,TARIFF_PROFILES!$A:$A,0)))</f>
        <v/>
      </c>
      <c r="AE682" s="31" t="str">
        <f t="array" ref="AE682">IF($X682="","",INDEX(TARIFF_PROFILES!$K:$K,MATCH($X682,TARIFF_PROFILES!$A:$A,0)))</f>
        <v/>
      </c>
      <c r="AG682" s="8"/>
      <c r="AH682" s="8" t="str">
        <f>IF($AG682="","",SUMIFS(OPERATING_COEFFS!$C:$C,OPERATING_COEFFS!$A:$A,"DistanceClass",OPERATING_COEFFS!$B:$B,$AG682))</f>
        <v/>
      </c>
      <c r="AI682" s="8"/>
      <c r="AJ682" s="8" t="str">
        <f>IF($AI682="","",SUMIFS(OPERATING_COEFFS!$C:$C,OPERATING_COEFFS!$A:$A,"SeasonClass",OPERATING_COEFFS!$B:$B,$AI682))</f>
        <v/>
      </c>
      <c r="AK682" s="8"/>
      <c r="AL682" s="8" t="str">
        <f>IF($AK682="","",SUMIFS(OPERATING_COEFFS!$C:$C,OPERATING_COEFFS!$A:$A,"UrgencyClass",OPERATING_COEFFS!$B:$B,$AK682))</f>
        <v/>
      </c>
      <c r="AM682" s="8"/>
      <c r="AN682" s="8" t="str">
        <f t="array" ref="AN682">IF($AM682="","",INDEX(TAX_MODES!$B:$B,MATCH($AM682,TAX_MODES!$A:$A,0)))</f>
        <v/>
      </c>
    </row>
    <row r="683" ht="14.25" customHeight="1">
      <c r="C683" s="8"/>
      <c r="E683" s="8"/>
      <c r="G683" s="8"/>
      <c r="I683" s="8"/>
      <c r="K683" s="8"/>
      <c r="M683" s="8"/>
      <c r="O683" s="8"/>
      <c r="Q683" s="8"/>
      <c r="S683" s="8"/>
      <c r="V683" s="8"/>
      <c r="X683" s="31"/>
      <c r="Y683" s="31" t="str">
        <f>IF($X683="","",SUMIFS(TARIFF_PROFILES!$D:$D,TARIFF_PROFILES!$A:$A,$X683))</f>
        <v/>
      </c>
      <c r="Z683" s="31" t="str">
        <f>IF($X683="","",SUMIFS(TARIFF_PROFILES!$E:$E,TARIFF_PROFILES!$A:$A,$X683))</f>
        <v/>
      </c>
      <c r="AA683" s="31" t="str">
        <f>IF($X683="","",SUMIFS(TARIFF_PROFILES!$F:$F,TARIFF_PROFILES!$A:$A,$X683))</f>
        <v/>
      </c>
      <c r="AB683" s="31" t="str">
        <f>IF($X683="","",SUMIFS(TARIFF_PROFILES!$G:$G,TARIFF_PROFILES!$A:$A,$X683))</f>
        <v/>
      </c>
      <c r="AC683" s="31" t="str">
        <f>IF($X683="","",SUMIFS(TARIFF_PROFILES!$H:$H,TARIFF_PROFILES!$A:$A,$X683))</f>
        <v/>
      </c>
      <c r="AD683" s="31" t="str">
        <f t="array" ref="AD683">IF($X683="","",INDEX(TARIFF_PROFILES!$J:$J,MATCH($X683,TARIFF_PROFILES!$A:$A,0)))</f>
        <v/>
      </c>
      <c r="AE683" s="31" t="str">
        <f t="array" ref="AE683">IF($X683="","",INDEX(TARIFF_PROFILES!$K:$K,MATCH($X683,TARIFF_PROFILES!$A:$A,0)))</f>
        <v/>
      </c>
      <c r="AG683" s="8"/>
      <c r="AH683" s="8" t="str">
        <f>IF($AG683="","",SUMIFS(OPERATING_COEFFS!$C:$C,OPERATING_COEFFS!$A:$A,"DistanceClass",OPERATING_COEFFS!$B:$B,$AG683))</f>
        <v/>
      </c>
      <c r="AI683" s="8"/>
      <c r="AJ683" s="8" t="str">
        <f>IF($AI683="","",SUMIFS(OPERATING_COEFFS!$C:$C,OPERATING_COEFFS!$A:$A,"SeasonClass",OPERATING_COEFFS!$B:$B,$AI683))</f>
        <v/>
      </c>
      <c r="AK683" s="8"/>
      <c r="AL683" s="8" t="str">
        <f>IF($AK683="","",SUMIFS(OPERATING_COEFFS!$C:$C,OPERATING_COEFFS!$A:$A,"UrgencyClass",OPERATING_COEFFS!$B:$B,$AK683))</f>
        <v/>
      </c>
      <c r="AM683" s="8"/>
      <c r="AN683" s="8" t="str">
        <f t="array" ref="AN683">IF($AM683="","",INDEX(TAX_MODES!$B:$B,MATCH($AM683,TAX_MODES!$A:$A,0)))</f>
        <v/>
      </c>
    </row>
    <row r="684" ht="14.25" customHeight="1">
      <c r="C684" s="8"/>
      <c r="E684" s="8"/>
      <c r="G684" s="8"/>
      <c r="I684" s="8"/>
      <c r="K684" s="8"/>
      <c r="M684" s="8"/>
      <c r="O684" s="8"/>
      <c r="Q684" s="8"/>
      <c r="S684" s="8"/>
      <c r="V684" s="8"/>
      <c r="X684" s="31"/>
      <c r="Y684" s="31" t="str">
        <f>IF($X684="","",SUMIFS(TARIFF_PROFILES!$D:$D,TARIFF_PROFILES!$A:$A,$X684))</f>
        <v/>
      </c>
      <c r="Z684" s="31" t="str">
        <f>IF($X684="","",SUMIFS(TARIFF_PROFILES!$E:$E,TARIFF_PROFILES!$A:$A,$X684))</f>
        <v/>
      </c>
      <c r="AA684" s="31" t="str">
        <f>IF($X684="","",SUMIFS(TARIFF_PROFILES!$F:$F,TARIFF_PROFILES!$A:$A,$X684))</f>
        <v/>
      </c>
      <c r="AB684" s="31" t="str">
        <f>IF($X684="","",SUMIFS(TARIFF_PROFILES!$G:$G,TARIFF_PROFILES!$A:$A,$X684))</f>
        <v/>
      </c>
      <c r="AC684" s="31" t="str">
        <f>IF($X684="","",SUMIFS(TARIFF_PROFILES!$H:$H,TARIFF_PROFILES!$A:$A,$X684))</f>
        <v/>
      </c>
      <c r="AD684" s="31" t="str">
        <f t="array" ref="AD684">IF($X684="","",INDEX(TARIFF_PROFILES!$J:$J,MATCH($X684,TARIFF_PROFILES!$A:$A,0)))</f>
        <v/>
      </c>
      <c r="AE684" s="31" t="str">
        <f t="array" ref="AE684">IF($X684="","",INDEX(TARIFF_PROFILES!$K:$K,MATCH($X684,TARIFF_PROFILES!$A:$A,0)))</f>
        <v/>
      </c>
      <c r="AG684" s="8"/>
      <c r="AH684" s="8" t="str">
        <f>IF($AG684="","",SUMIFS(OPERATING_COEFFS!$C:$C,OPERATING_COEFFS!$A:$A,"DistanceClass",OPERATING_COEFFS!$B:$B,$AG684))</f>
        <v/>
      </c>
      <c r="AI684" s="8"/>
      <c r="AJ684" s="8" t="str">
        <f>IF($AI684="","",SUMIFS(OPERATING_COEFFS!$C:$C,OPERATING_COEFFS!$A:$A,"SeasonClass",OPERATING_COEFFS!$B:$B,$AI684))</f>
        <v/>
      </c>
      <c r="AK684" s="8"/>
      <c r="AL684" s="8" t="str">
        <f>IF($AK684="","",SUMIFS(OPERATING_COEFFS!$C:$C,OPERATING_COEFFS!$A:$A,"UrgencyClass",OPERATING_COEFFS!$B:$B,$AK684))</f>
        <v/>
      </c>
      <c r="AM684" s="8"/>
      <c r="AN684" s="8" t="str">
        <f t="array" ref="AN684">IF($AM684="","",INDEX(TAX_MODES!$B:$B,MATCH($AM684,TAX_MODES!$A:$A,0)))</f>
        <v/>
      </c>
    </row>
    <row r="685" ht="14.25" customHeight="1">
      <c r="C685" s="8"/>
      <c r="E685" s="8"/>
      <c r="G685" s="8"/>
      <c r="I685" s="8"/>
      <c r="K685" s="8"/>
      <c r="M685" s="8"/>
      <c r="O685" s="8"/>
      <c r="Q685" s="8"/>
      <c r="S685" s="8"/>
      <c r="V685" s="8"/>
      <c r="X685" s="31"/>
      <c r="Y685" s="31" t="str">
        <f>IF($X685="","",SUMIFS(TARIFF_PROFILES!$D:$D,TARIFF_PROFILES!$A:$A,$X685))</f>
        <v/>
      </c>
      <c r="Z685" s="31" t="str">
        <f>IF($X685="","",SUMIFS(TARIFF_PROFILES!$E:$E,TARIFF_PROFILES!$A:$A,$X685))</f>
        <v/>
      </c>
      <c r="AA685" s="31" t="str">
        <f>IF($X685="","",SUMIFS(TARIFF_PROFILES!$F:$F,TARIFF_PROFILES!$A:$A,$X685))</f>
        <v/>
      </c>
      <c r="AB685" s="31" t="str">
        <f>IF($X685="","",SUMIFS(TARIFF_PROFILES!$G:$G,TARIFF_PROFILES!$A:$A,$X685))</f>
        <v/>
      </c>
      <c r="AC685" s="31" t="str">
        <f>IF($X685="","",SUMIFS(TARIFF_PROFILES!$H:$H,TARIFF_PROFILES!$A:$A,$X685))</f>
        <v/>
      </c>
      <c r="AD685" s="31" t="str">
        <f t="array" ref="AD685">IF($X685="","",INDEX(TARIFF_PROFILES!$J:$J,MATCH($X685,TARIFF_PROFILES!$A:$A,0)))</f>
        <v/>
      </c>
      <c r="AE685" s="31" t="str">
        <f t="array" ref="AE685">IF($X685="","",INDEX(TARIFF_PROFILES!$K:$K,MATCH($X685,TARIFF_PROFILES!$A:$A,0)))</f>
        <v/>
      </c>
      <c r="AG685" s="8"/>
      <c r="AH685" s="8" t="str">
        <f>IF($AG685="","",SUMIFS(OPERATING_COEFFS!$C:$C,OPERATING_COEFFS!$A:$A,"DistanceClass",OPERATING_COEFFS!$B:$B,$AG685))</f>
        <v/>
      </c>
      <c r="AI685" s="8"/>
      <c r="AJ685" s="8" t="str">
        <f>IF($AI685="","",SUMIFS(OPERATING_COEFFS!$C:$C,OPERATING_COEFFS!$A:$A,"SeasonClass",OPERATING_COEFFS!$B:$B,$AI685))</f>
        <v/>
      </c>
      <c r="AK685" s="8"/>
      <c r="AL685" s="8" t="str">
        <f>IF($AK685="","",SUMIFS(OPERATING_COEFFS!$C:$C,OPERATING_COEFFS!$A:$A,"UrgencyClass",OPERATING_COEFFS!$B:$B,$AK685))</f>
        <v/>
      </c>
      <c r="AM685" s="8"/>
      <c r="AN685" s="8" t="str">
        <f t="array" ref="AN685">IF($AM685="","",INDEX(TAX_MODES!$B:$B,MATCH($AM685,TAX_MODES!$A:$A,0)))</f>
        <v/>
      </c>
    </row>
    <row r="686" ht="14.25" customHeight="1">
      <c r="C686" s="8"/>
      <c r="E686" s="8"/>
      <c r="G686" s="8"/>
      <c r="I686" s="8"/>
      <c r="K686" s="8"/>
      <c r="M686" s="8"/>
      <c r="O686" s="8"/>
      <c r="Q686" s="8"/>
      <c r="S686" s="8"/>
      <c r="V686" s="8"/>
      <c r="X686" s="31"/>
      <c r="Y686" s="31" t="str">
        <f>IF($X686="","",SUMIFS(TARIFF_PROFILES!$D:$D,TARIFF_PROFILES!$A:$A,$X686))</f>
        <v/>
      </c>
      <c r="Z686" s="31" t="str">
        <f>IF($X686="","",SUMIFS(TARIFF_PROFILES!$E:$E,TARIFF_PROFILES!$A:$A,$X686))</f>
        <v/>
      </c>
      <c r="AA686" s="31" t="str">
        <f>IF($X686="","",SUMIFS(TARIFF_PROFILES!$F:$F,TARIFF_PROFILES!$A:$A,$X686))</f>
        <v/>
      </c>
      <c r="AB686" s="31" t="str">
        <f>IF($X686="","",SUMIFS(TARIFF_PROFILES!$G:$G,TARIFF_PROFILES!$A:$A,$X686))</f>
        <v/>
      </c>
      <c r="AC686" s="31" t="str">
        <f>IF($X686="","",SUMIFS(TARIFF_PROFILES!$H:$H,TARIFF_PROFILES!$A:$A,$X686))</f>
        <v/>
      </c>
      <c r="AD686" s="31" t="str">
        <f t="array" ref="AD686">IF($X686="","",INDEX(TARIFF_PROFILES!$J:$J,MATCH($X686,TARIFF_PROFILES!$A:$A,0)))</f>
        <v/>
      </c>
      <c r="AE686" s="31" t="str">
        <f t="array" ref="AE686">IF($X686="","",INDEX(TARIFF_PROFILES!$K:$K,MATCH($X686,TARIFF_PROFILES!$A:$A,0)))</f>
        <v/>
      </c>
      <c r="AG686" s="8"/>
      <c r="AH686" s="8" t="str">
        <f>IF($AG686="","",SUMIFS(OPERATING_COEFFS!$C:$C,OPERATING_COEFFS!$A:$A,"DistanceClass",OPERATING_COEFFS!$B:$B,$AG686))</f>
        <v/>
      </c>
      <c r="AI686" s="8"/>
      <c r="AJ686" s="8" t="str">
        <f>IF($AI686="","",SUMIFS(OPERATING_COEFFS!$C:$C,OPERATING_COEFFS!$A:$A,"SeasonClass",OPERATING_COEFFS!$B:$B,$AI686))</f>
        <v/>
      </c>
      <c r="AK686" s="8"/>
      <c r="AL686" s="8" t="str">
        <f>IF($AK686="","",SUMIFS(OPERATING_COEFFS!$C:$C,OPERATING_COEFFS!$A:$A,"UrgencyClass",OPERATING_COEFFS!$B:$B,$AK686))</f>
        <v/>
      </c>
      <c r="AM686" s="8"/>
      <c r="AN686" s="8" t="str">
        <f t="array" ref="AN686">IF($AM686="","",INDEX(TAX_MODES!$B:$B,MATCH($AM686,TAX_MODES!$A:$A,0)))</f>
        <v/>
      </c>
    </row>
    <row r="687" ht="14.25" customHeight="1">
      <c r="C687" s="8"/>
      <c r="E687" s="8"/>
      <c r="G687" s="8"/>
      <c r="I687" s="8"/>
      <c r="K687" s="8"/>
      <c r="M687" s="8"/>
      <c r="O687" s="8"/>
      <c r="Q687" s="8"/>
      <c r="S687" s="8"/>
      <c r="V687" s="8"/>
      <c r="X687" s="31"/>
      <c r="Y687" s="31" t="str">
        <f>IF($X687="","",SUMIFS(TARIFF_PROFILES!$D:$D,TARIFF_PROFILES!$A:$A,$X687))</f>
        <v/>
      </c>
      <c r="Z687" s="31" t="str">
        <f>IF($X687="","",SUMIFS(TARIFF_PROFILES!$E:$E,TARIFF_PROFILES!$A:$A,$X687))</f>
        <v/>
      </c>
      <c r="AA687" s="31" t="str">
        <f>IF($X687="","",SUMIFS(TARIFF_PROFILES!$F:$F,TARIFF_PROFILES!$A:$A,$X687))</f>
        <v/>
      </c>
      <c r="AB687" s="31" t="str">
        <f>IF($X687="","",SUMIFS(TARIFF_PROFILES!$G:$G,TARIFF_PROFILES!$A:$A,$X687))</f>
        <v/>
      </c>
      <c r="AC687" s="31" t="str">
        <f>IF($X687="","",SUMIFS(TARIFF_PROFILES!$H:$H,TARIFF_PROFILES!$A:$A,$X687))</f>
        <v/>
      </c>
      <c r="AD687" s="31" t="str">
        <f t="array" ref="AD687">IF($X687="","",INDEX(TARIFF_PROFILES!$J:$J,MATCH($X687,TARIFF_PROFILES!$A:$A,0)))</f>
        <v/>
      </c>
      <c r="AE687" s="31" t="str">
        <f t="array" ref="AE687">IF($X687="","",INDEX(TARIFF_PROFILES!$K:$K,MATCH($X687,TARIFF_PROFILES!$A:$A,0)))</f>
        <v/>
      </c>
      <c r="AG687" s="8"/>
      <c r="AH687" s="8" t="str">
        <f>IF($AG687="","",SUMIFS(OPERATING_COEFFS!$C:$C,OPERATING_COEFFS!$A:$A,"DistanceClass",OPERATING_COEFFS!$B:$B,$AG687))</f>
        <v/>
      </c>
      <c r="AI687" s="8"/>
      <c r="AJ687" s="8" t="str">
        <f>IF($AI687="","",SUMIFS(OPERATING_COEFFS!$C:$C,OPERATING_COEFFS!$A:$A,"SeasonClass",OPERATING_COEFFS!$B:$B,$AI687))</f>
        <v/>
      </c>
      <c r="AK687" s="8"/>
      <c r="AL687" s="8" t="str">
        <f>IF($AK687="","",SUMIFS(OPERATING_COEFFS!$C:$C,OPERATING_COEFFS!$A:$A,"UrgencyClass",OPERATING_COEFFS!$B:$B,$AK687))</f>
        <v/>
      </c>
      <c r="AM687" s="8"/>
      <c r="AN687" s="8" t="str">
        <f t="array" ref="AN687">IF($AM687="","",INDEX(TAX_MODES!$B:$B,MATCH($AM687,TAX_MODES!$A:$A,0)))</f>
        <v/>
      </c>
    </row>
    <row r="688" ht="14.25" customHeight="1">
      <c r="C688" s="8"/>
      <c r="E688" s="8"/>
      <c r="G688" s="8"/>
      <c r="I688" s="8"/>
      <c r="K688" s="8"/>
      <c r="M688" s="8"/>
      <c r="O688" s="8"/>
      <c r="Q688" s="8"/>
      <c r="S688" s="8"/>
      <c r="V688" s="8"/>
      <c r="X688" s="31"/>
      <c r="Y688" s="31" t="str">
        <f>IF($X688="","",SUMIFS(TARIFF_PROFILES!$D:$D,TARIFF_PROFILES!$A:$A,$X688))</f>
        <v/>
      </c>
      <c r="Z688" s="31" t="str">
        <f>IF($X688="","",SUMIFS(TARIFF_PROFILES!$E:$E,TARIFF_PROFILES!$A:$A,$X688))</f>
        <v/>
      </c>
      <c r="AA688" s="31" t="str">
        <f>IF($X688="","",SUMIFS(TARIFF_PROFILES!$F:$F,TARIFF_PROFILES!$A:$A,$X688))</f>
        <v/>
      </c>
      <c r="AB688" s="31" t="str">
        <f>IF($X688="","",SUMIFS(TARIFF_PROFILES!$G:$G,TARIFF_PROFILES!$A:$A,$X688))</f>
        <v/>
      </c>
      <c r="AC688" s="31" t="str">
        <f>IF($X688="","",SUMIFS(TARIFF_PROFILES!$H:$H,TARIFF_PROFILES!$A:$A,$X688))</f>
        <v/>
      </c>
      <c r="AD688" s="31" t="str">
        <f t="array" ref="AD688">IF($X688="","",INDEX(TARIFF_PROFILES!$J:$J,MATCH($X688,TARIFF_PROFILES!$A:$A,0)))</f>
        <v/>
      </c>
      <c r="AE688" s="31" t="str">
        <f t="array" ref="AE688">IF($X688="","",INDEX(TARIFF_PROFILES!$K:$K,MATCH($X688,TARIFF_PROFILES!$A:$A,0)))</f>
        <v/>
      </c>
      <c r="AG688" s="8"/>
      <c r="AH688" s="8" t="str">
        <f>IF($AG688="","",SUMIFS(OPERATING_COEFFS!$C:$C,OPERATING_COEFFS!$A:$A,"DistanceClass",OPERATING_COEFFS!$B:$B,$AG688))</f>
        <v/>
      </c>
      <c r="AI688" s="8"/>
      <c r="AJ688" s="8" t="str">
        <f>IF($AI688="","",SUMIFS(OPERATING_COEFFS!$C:$C,OPERATING_COEFFS!$A:$A,"SeasonClass",OPERATING_COEFFS!$B:$B,$AI688))</f>
        <v/>
      </c>
      <c r="AK688" s="8"/>
      <c r="AL688" s="8" t="str">
        <f>IF($AK688="","",SUMIFS(OPERATING_COEFFS!$C:$C,OPERATING_COEFFS!$A:$A,"UrgencyClass",OPERATING_COEFFS!$B:$B,$AK688))</f>
        <v/>
      </c>
      <c r="AM688" s="8"/>
      <c r="AN688" s="8" t="str">
        <f t="array" ref="AN688">IF($AM688="","",INDEX(TAX_MODES!$B:$B,MATCH($AM688,TAX_MODES!$A:$A,0)))</f>
        <v/>
      </c>
    </row>
    <row r="689" ht="14.25" customHeight="1">
      <c r="C689" s="8"/>
      <c r="E689" s="8"/>
      <c r="G689" s="8"/>
      <c r="I689" s="8"/>
      <c r="K689" s="8"/>
      <c r="M689" s="8"/>
      <c r="O689" s="8"/>
      <c r="Q689" s="8"/>
      <c r="S689" s="8"/>
      <c r="V689" s="8"/>
      <c r="X689" s="31"/>
      <c r="Y689" s="31" t="str">
        <f>IF($X689="","",SUMIFS(TARIFF_PROFILES!$D:$D,TARIFF_PROFILES!$A:$A,$X689))</f>
        <v/>
      </c>
      <c r="Z689" s="31" t="str">
        <f>IF($X689="","",SUMIFS(TARIFF_PROFILES!$E:$E,TARIFF_PROFILES!$A:$A,$X689))</f>
        <v/>
      </c>
      <c r="AA689" s="31" t="str">
        <f>IF($X689="","",SUMIFS(TARIFF_PROFILES!$F:$F,TARIFF_PROFILES!$A:$A,$X689))</f>
        <v/>
      </c>
      <c r="AB689" s="31" t="str">
        <f>IF($X689="","",SUMIFS(TARIFF_PROFILES!$G:$G,TARIFF_PROFILES!$A:$A,$X689))</f>
        <v/>
      </c>
      <c r="AC689" s="31" t="str">
        <f>IF($X689="","",SUMIFS(TARIFF_PROFILES!$H:$H,TARIFF_PROFILES!$A:$A,$X689))</f>
        <v/>
      </c>
      <c r="AD689" s="31" t="str">
        <f t="array" ref="AD689">IF($X689="","",INDEX(TARIFF_PROFILES!$J:$J,MATCH($X689,TARIFF_PROFILES!$A:$A,0)))</f>
        <v/>
      </c>
      <c r="AE689" s="31" t="str">
        <f t="array" ref="AE689">IF($X689="","",INDEX(TARIFF_PROFILES!$K:$K,MATCH($X689,TARIFF_PROFILES!$A:$A,0)))</f>
        <v/>
      </c>
      <c r="AG689" s="8"/>
      <c r="AH689" s="8" t="str">
        <f>IF($AG689="","",SUMIFS(OPERATING_COEFFS!$C:$C,OPERATING_COEFFS!$A:$A,"DistanceClass",OPERATING_COEFFS!$B:$B,$AG689))</f>
        <v/>
      </c>
      <c r="AI689" s="8"/>
      <c r="AJ689" s="8" t="str">
        <f>IF($AI689="","",SUMIFS(OPERATING_COEFFS!$C:$C,OPERATING_COEFFS!$A:$A,"SeasonClass",OPERATING_COEFFS!$B:$B,$AI689))</f>
        <v/>
      </c>
      <c r="AK689" s="8"/>
      <c r="AL689" s="8" t="str">
        <f>IF($AK689="","",SUMIFS(OPERATING_COEFFS!$C:$C,OPERATING_COEFFS!$A:$A,"UrgencyClass",OPERATING_COEFFS!$B:$B,$AK689))</f>
        <v/>
      </c>
      <c r="AM689" s="8"/>
      <c r="AN689" s="8" t="str">
        <f t="array" ref="AN689">IF($AM689="","",INDEX(TAX_MODES!$B:$B,MATCH($AM689,TAX_MODES!$A:$A,0)))</f>
        <v/>
      </c>
    </row>
    <row r="690" ht="14.25" customHeight="1">
      <c r="C690" s="8"/>
      <c r="E690" s="8"/>
      <c r="G690" s="8"/>
      <c r="I690" s="8"/>
      <c r="K690" s="8"/>
      <c r="M690" s="8"/>
      <c r="O690" s="8"/>
      <c r="Q690" s="8"/>
      <c r="S690" s="8"/>
      <c r="V690" s="8"/>
      <c r="X690" s="31"/>
      <c r="Y690" s="31" t="str">
        <f>IF($X690="","",SUMIFS(TARIFF_PROFILES!$D:$D,TARIFF_PROFILES!$A:$A,$X690))</f>
        <v/>
      </c>
      <c r="Z690" s="31" t="str">
        <f>IF($X690="","",SUMIFS(TARIFF_PROFILES!$E:$E,TARIFF_PROFILES!$A:$A,$X690))</f>
        <v/>
      </c>
      <c r="AA690" s="31" t="str">
        <f>IF($X690="","",SUMIFS(TARIFF_PROFILES!$F:$F,TARIFF_PROFILES!$A:$A,$X690))</f>
        <v/>
      </c>
      <c r="AB690" s="31" t="str">
        <f>IF($X690="","",SUMIFS(TARIFF_PROFILES!$G:$G,TARIFF_PROFILES!$A:$A,$X690))</f>
        <v/>
      </c>
      <c r="AC690" s="31" t="str">
        <f>IF($X690="","",SUMIFS(TARIFF_PROFILES!$H:$H,TARIFF_PROFILES!$A:$A,$X690))</f>
        <v/>
      </c>
      <c r="AD690" s="31" t="str">
        <f t="array" ref="AD690">IF($X690="","",INDEX(TARIFF_PROFILES!$J:$J,MATCH($X690,TARIFF_PROFILES!$A:$A,0)))</f>
        <v/>
      </c>
      <c r="AE690" s="31" t="str">
        <f t="array" ref="AE690">IF($X690="","",INDEX(TARIFF_PROFILES!$K:$K,MATCH($X690,TARIFF_PROFILES!$A:$A,0)))</f>
        <v/>
      </c>
      <c r="AG690" s="8"/>
      <c r="AH690" s="8" t="str">
        <f>IF($AG690="","",SUMIFS(OPERATING_COEFFS!$C:$C,OPERATING_COEFFS!$A:$A,"DistanceClass",OPERATING_COEFFS!$B:$B,$AG690))</f>
        <v/>
      </c>
      <c r="AI690" s="8"/>
      <c r="AJ690" s="8" t="str">
        <f>IF($AI690="","",SUMIFS(OPERATING_COEFFS!$C:$C,OPERATING_COEFFS!$A:$A,"SeasonClass",OPERATING_COEFFS!$B:$B,$AI690))</f>
        <v/>
      </c>
      <c r="AK690" s="8"/>
      <c r="AL690" s="8" t="str">
        <f>IF($AK690="","",SUMIFS(OPERATING_COEFFS!$C:$C,OPERATING_COEFFS!$A:$A,"UrgencyClass",OPERATING_COEFFS!$B:$B,$AK690))</f>
        <v/>
      </c>
      <c r="AM690" s="8"/>
      <c r="AN690" s="8" t="str">
        <f t="array" ref="AN690">IF($AM690="","",INDEX(TAX_MODES!$B:$B,MATCH($AM690,TAX_MODES!$A:$A,0)))</f>
        <v/>
      </c>
    </row>
    <row r="691" ht="14.25" customHeight="1">
      <c r="C691" s="8"/>
      <c r="E691" s="8"/>
      <c r="G691" s="8"/>
      <c r="I691" s="8"/>
      <c r="K691" s="8"/>
      <c r="M691" s="8"/>
      <c r="O691" s="8"/>
      <c r="Q691" s="8"/>
      <c r="S691" s="8"/>
      <c r="V691" s="8"/>
      <c r="X691" s="31"/>
      <c r="Y691" s="31" t="str">
        <f>IF($X691="","",SUMIFS(TARIFF_PROFILES!$D:$D,TARIFF_PROFILES!$A:$A,$X691))</f>
        <v/>
      </c>
      <c r="Z691" s="31" t="str">
        <f>IF($X691="","",SUMIFS(TARIFF_PROFILES!$E:$E,TARIFF_PROFILES!$A:$A,$X691))</f>
        <v/>
      </c>
      <c r="AA691" s="31" t="str">
        <f>IF($X691="","",SUMIFS(TARIFF_PROFILES!$F:$F,TARIFF_PROFILES!$A:$A,$X691))</f>
        <v/>
      </c>
      <c r="AB691" s="31" t="str">
        <f>IF($X691="","",SUMIFS(TARIFF_PROFILES!$G:$G,TARIFF_PROFILES!$A:$A,$X691))</f>
        <v/>
      </c>
      <c r="AC691" s="31" t="str">
        <f>IF($X691="","",SUMIFS(TARIFF_PROFILES!$H:$H,TARIFF_PROFILES!$A:$A,$X691))</f>
        <v/>
      </c>
      <c r="AD691" s="31" t="str">
        <f t="array" ref="AD691">IF($X691="","",INDEX(TARIFF_PROFILES!$J:$J,MATCH($X691,TARIFF_PROFILES!$A:$A,0)))</f>
        <v/>
      </c>
      <c r="AE691" s="31" t="str">
        <f t="array" ref="AE691">IF($X691="","",INDEX(TARIFF_PROFILES!$K:$K,MATCH($X691,TARIFF_PROFILES!$A:$A,0)))</f>
        <v/>
      </c>
      <c r="AG691" s="8"/>
      <c r="AH691" s="8" t="str">
        <f>IF($AG691="","",SUMIFS(OPERATING_COEFFS!$C:$C,OPERATING_COEFFS!$A:$A,"DistanceClass",OPERATING_COEFFS!$B:$B,$AG691))</f>
        <v/>
      </c>
      <c r="AI691" s="8"/>
      <c r="AJ691" s="8" t="str">
        <f>IF($AI691="","",SUMIFS(OPERATING_COEFFS!$C:$C,OPERATING_COEFFS!$A:$A,"SeasonClass",OPERATING_COEFFS!$B:$B,$AI691))</f>
        <v/>
      </c>
      <c r="AK691" s="8"/>
      <c r="AL691" s="8" t="str">
        <f>IF($AK691="","",SUMIFS(OPERATING_COEFFS!$C:$C,OPERATING_COEFFS!$A:$A,"UrgencyClass",OPERATING_COEFFS!$B:$B,$AK691))</f>
        <v/>
      </c>
      <c r="AM691" s="8"/>
      <c r="AN691" s="8" t="str">
        <f t="array" ref="AN691">IF($AM691="","",INDEX(TAX_MODES!$B:$B,MATCH($AM691,TAX_MODES!$A:$A,0)))</f>
        <v/>
      </c>
    </row>
    <row r="692" ht="14.25" customHeight="1">
      <c r="C692" s="8"/>
      <c r="E692" s="8"/>
      <c r="G692" s="8"/>
      <c r="I692" s="8"/>
      <c r="K692" s="8"/>
      <c r="M692" s="8"/>
      <c r="O692" s="8"/>
      <c r="Q692" s="8"/>
      <c r="S692" s="8"/>
      <c r="V692" s="8"/>
      <c r="X692" s="31"/>
      <c r="Y692" s="31" t="str">
        <f>IF($X692="","",SUMIFS(TARIFF_PROFILES!$D:$D,TARIFF_PROFILES!$A:$A,$X692))</f>
        <v/>
      </c>
      <c r="Z692" s="31" t="str">
        <f>IF($X692="","",SUMIFS(TARIFF_PROFILES!$E:$E,TARIFF_PROFILES!$A:$A,$X692))</f>
        <v/>
      </c>
      <c r="AA692" s="31" t="str">
        <f>IF($X692="","",SUMIFS(TARIFF_PROFILES!$F:$F,TARIFF_PROFILES!$A:$A,$X692))</f>
        <v/>
      </c>
      <c r="AB692" s="31" t="str">
        <f>IF($X692="","",SUMIFS(TARIFF_PROFILES!$G:$G,TARIFF_PROFILES!$A:$A,$X692))</f>
        <v/>
      </c>
      <c r="AC692" s="31" t="str">
        <f>IF($X692="","",SUMIFS(TARIFF_PROFILES!$H:$H,TARIFF_PROFILES!$A:$A,$X692))</f>
        <v/>
      </c>
      <c r="AD692" s="31" t="str">
        <f t="array" ref="AD692">IF($X692="","",INDEX(TARIFF_PROFILES!$J:$J,MATCH($X692,TARIFF_PROFILES!$A:$A,0)))</f>
        <v/>
      </c>
      <c r="AE692" s="31" t="str">
        <f t="array" ref="AE692">IF($X692="","",INDEX(TARIFF_PROFILES!$K:$K,MATCH($X692,TARIFF_PROFILES!$A:$A,0)))</f>
        <v/>
      </c>
      <c r="AG692" s="8"/>
      <c r="AH692" s="8" t="str">
        <f>IF($AG692="","",SUMIFS(OPERATING_COEFFS!$C:$C,OPERATING_COEFFS!$A:$A,"DistanceClass",OPERATING_COEFFS!$B:$B,$AG692))</f>
        <v/>
      </c>
      <c r="AI692" s="8"/>
      <c r="AJ692" s="8" t="str">
        <f>IF($AI692="","",SUMIFS(OPERATING_COEFFS!$C:$C,OPERATING_COEFFS!$A:$A,"SeasonClass",OPERATING_COEFFS!$B:$B,$AI692))</f>
        <v/>
      </c>
      <c r="AK692" s="8"/>
      <c r="AL692" s="8" t="str">
        <f>IF($AK692="","",SUMIFS(OPERATING_COEFFS!$C:$C,OPERATING_COEFFS!$A:$A,"UrgencyClass",OPERATING_COEFFS!$B:$B,$AK692))</f>
        <v/>
      </c>
      <c r="AM692" s="8"/>
      <c r="AN692" s="8" t="str">
        <f t="array" ref="AN692">IF($AM692="","",INDEX(TAX_MODES!$B:$B,MATCH($AM692,TAX_MODES!$A:$A,0)))</f>
        <v/>
      </c>
    </row>
    <row r="693" ht="14.25" customHeight="1">
      <c r="C693" s="8"/>
      <c r="E693" s="8"/>
      <c r="G693" s="8"/>
      <c r="I693" s="8"/>
      <c r="K693" s="8"/>
      <c r="M693" s="8"/>
      <c r="O693" s="8"/>
      <c r="Q693" s="8"/>
      <c r="S693" s="8"/>
      <c r="V693" s="8"/>
      <c r="X693" s="31"/>
      <c r="Y693" s="31" t="str">
        <f>IF($X693="","",SUMIFS(TARIFF_PROFILES!$D:$D,TARIFF_PROFILES!$A:$A,$X693))</f>
        <v/>
      </c>
      <c r="Z693" s="31" t="str">
        <f>IF($X693="","",SUMIFS(TARIFF_PROFILES!$E:$E,TARIFF_PROFILES!$A:$A,$X693))</f>
        <v/>
      </c>
      <c r="AA693" s="31" t="str">
        <f>IF($X693="","",SUMIFS(TARIFF_PROFILES!$F:$F,TARIFF_PROFILES!$A:$A,$X693))</f>
        <v/>
      </c>
      <c r="AB693" s="31" t="str">
        <f>IF($X693="","",SUMIFS(TARIFF_PROFILES!$G:$G,TARIFF_PROFILES!$A:$A,$X693))</f>
        <v/>
      </c>
      <c r="AC693" s="31" t="str">
        <f>IF($X693="","",SUMIFS(TARIFF_PROFILES!$H:$H,TARIFF_PROFILES!$A:$A,$X693))</f>
        <v/>
      </c>
      <c r="AD693" s="31" t="str">
        <f t="array" ref="AD693">IF($X693="","",INDEX(TARIFF_PROFILES!$J:$J,MATCH($X693,TARIFF_PROFILES!$A:$A,0)))</f>
        <v/>
      </c>
      <c r="AE693" s="31" t="str">
        <f t="array" ref="AE693">IF($X693="","",INDEX(TARIFF_PROFILES!$K:$K,MATCH($X693,TARIFF_PROFILES!$A:$A,0)))</f>
        <v/>
      </c>
      <c r="AG693" s="8"/>
      <c r="AH693" s="8" t="str">
        <f>IF($AG693="","",SUMIFS(OPERATING_COEFFS!$C:$C,OPERATING_COEFFS!$A:$A,"DistanceClass",OPERATING_COEFFS!$B:$B,$AG693))</f>
        <v/>
      </c>
      <c r="AI693" s="8"/>
      <c r="AJ693" s="8" t="str">
        <f>IF($AI693="","",SUMIFS(OPERATING_COEFFS!$C:$C,OPERATING_COEFFS!$A:$A,"SeasonClass",OPERATING_COEFFS!$B:$B,$AI693))</f>
        <v/>
      </c>
      <c r="AK693" s="8"/>
      <c r="AL693" s="8" t="str">
        <f>IF($AK693="","",SUMIFS(OPERATING_COEFFS!$C:$C,OPERATING_COEFFS!$A:$A,"UrgencyClass",OPERATING_COEFFS!$B:$B,$AK693))</f>
        <v/>
      </c>
      <c r="AM693" s="8"/>
      <c r="AN693" s="8" t="str">
        <f t="array" ref="AN693">IF($AM693="","",INDEX(TAX_MODES!$B:$B,MATCH($AM693,TAX_MODES!$A:$A,0)))</f>
        <v/>
      </c>
    </row>
    <row r="694" ht="14.25" customHeight="1">
      <c r="C694" s="8"/>
      <c r="E694" s="8"/>
      <c r="G694" s="8"/>
      <c r="I694" s="8"/>
      <c r="K694" s="8"/>
      <c r="M694" s="8"/>
      <c r="O694" s="8"/>
      <c r="Q694" s="8"/>
      <c r="S694" s="8"/>
      <c r="V694" s="8"/>
      <c r="X694" s="31"/>
      <c r="Y694" s="31" t="str">
        <f>IF($X694="","",SUMIFS(TARIFF_PROFILES!$D:$D,TARIFF_PROFILES!$A:$A,$X694))</f>
        <v/>
      </c>
      <c r="Z694" s="31" t="str">
        <f>IF($X694="","",SUMIFS(TARIFF_PROFILES!$E:$E,TARIFF_PROFILES!$A:$A,$X694))</f>
        <v/>
      </c>
      <c r="AA694" s="31" t="str">
        <f>IF($X694="","",SUMIFS(TARIFF_PROFILES!$F:$F,TARIFF_PROFILES!$A:$A,$X694))</f>
        <v/>
      </c>
      <c r="AB694" s="31" t="str">
        <f>IF($X694="","",SUMIFS(TARIFF_PROFILES!$G:$G,TARIFF_PROFILES!$A:$A,$X694))</f>
        <v/>
      </c>
      <c r="AC694" s="31" t="str">
        <f>IF($X694="","",SUMIFS(TARIFF_PROFILES!$H:$H,TARIFF_PROFILES!$A:$A,$X694))</f>
        <v/>
      </c>
      <c r="AD694" s="31" t="str">
        <f t="array" ref="AD694">IF($X694="","",INDEX(TARIFF_PROFILES!$J:$J,MATCH($X694,TARIFF_PROFILES!$A:$A,0)))</f>
        <v/>
      </c>
      <c r="AE694" s="31" t="str">
        <f t="array" ref="AE694">IF($X694="","",INDEX(TARIFF_PROFILES!$K:$K,MATCH($X694,TARIFF_PROFILES!$A:$A,0)))</f>
        <v/>
      </c>
      <c r="AG694" s="8"/>
      <c r="AH694" s="8" t="str">
        <f>IF($AG694="","",SUMIFS(OPERATING_COEFFS!$C:$C,OPERATING_COEFFS!$A:$A,"DistanceClass",OPERATING_COEFFS!$B:$B,$AG694))</f>
        <v/>
      </c>
      <c r="AI694" s="8"/>
      <c r="AJ694" s="8" t="str">
        <f>IF($AI694="","",SUMIFS(OPERATING_COEFFS!$C:$C,OPERATING_COEFFS!$A:$A,"SeasonClass",OPERATING_COEFFS!$B:$B,$AI694))</f>
        <v/>
      </c>
      <c r="AK694" s="8"/>
      <c r="AL694" s="8" t="str">
        <f>IF($AK694="","",SUMIFS(OPERATING_COEFFS!$C:$C,OPERATING_COEFFS!$A:$A,"UrgencyClass",OPERATING_COEFFS!$B:$B,$AK694))</f>
        <v/>
      </c>
      <c r="AM694" s="8"/>
      <c r="AN694" s="8" t="str">
        <f t="array" ref="AN694">IF($AM694="","",INDEX(TAX_MODES!$B:$B,MATCH($AM694,TAX_MODES!$A:$A,0)))</f>
        <v/>
      </c>
    </row>
    <row r="695" ht="14.25" customHeight="1">
      <c r="C695" s="8"/>
      <c r="E695" s="8"/>
      <c r="G695" s="8"/>
      <c r="I695" s="8"/>
      <c r="K695" s="8"/>
      <c r="M695" s="8"/>
      <c r="O695" s="8"/>
      <c r="Q695" s="8"/>
      <c r="S695" s="8"/>
      <c r="V695" s="8"/>
      <c r="X695" s="31"/>
      <c r="Y695" s="31" t="str">
        <f>IF($X695="","",SUMIFS(TARIFF_PROFILES!$D:$D,TARIFF_PROFILES!$A:$A,$X695))</f>
        <v/>
      </c>
      <c r="Z695" s="31" t="str">
        <f>IF($X695="","",SUMIFS(TARIFF_PROFILES!$E:$E,TARIFF_PROFILES!$A:$A,$X695))</f>
        <v/>
      </c>
      <c r="AA695" s="31" t="str">
        <f>IF($X695="","",SUMIFS(TARIFF_PROFILES!$F:$F,TARIFF_PROFILES!$A:$A,$X695))</f>
        <v/>
      </c>
      <c r="AB695" s="31" t="str">
        <f>IF($X695="","",SUMIFS(TARIFF_PROFILES!$G:$G,TARIFF_PROFILES!$A:$A,$X695))</f>
        <v/>
      </c>
      <c r="AC695" s="31" t="str">
        <f>IF($X695="","",SUMIFS(TARIFF_PROFILES!$H:$H,TARIFF_PROFILES!$A:$A,$X695))</f>
        <v/>
      </c>
      <c r="AD695" s="31" t="str">
        <f t="array" ref="AD695">IF($X695="","",INDEX(TARIFF_PROFILES!$J:$J,MATCH($X695,TARIFF_PROFILES!$A:$A,0)))</f>
        <v/>
      </c>
      <c r="AE695" s="31" t="str">
        <f t="array" ref="AE695">IF($X695="","",INDEX(TARIFF_PROFILES!$K:$K,MATCH($X695,TARIFF_PROFILES!$A:$A,0)))</f>
        <v/>
      </c>
      <c r="AG695" s="8"/>
      <c r="AH695" s="8" t="str">
        <f>IF($AG695="","",SUMIFS(OPERATING_COEFFS!$C:$C,OPERATING_COEFFS!$A:$A,"DistanceClass",OPERATING_COEFFS!$B:$B,$AG695))</f>
        <v/>
      </c>
      <c r="AI695" s="8"/>
      <c r="AJ695" s="8" t="str">
        <f>IF($AI695="","",SUMIFS(OPERATING_COEFFS!$C:$C,OPERATING_COEFFS!$A:$A,"SeasonClass",OPERATING_COEFFS!$B:$B,$AI695))</f>
        <v/>
      </c>
      <c r="AK695" s="8"/>
      <c r="AL695" s="8" t="str">
        <f>IF($AK695="","",SUMIFS(OPERATING_COEFFS!$C:$C,OPERATING_COEFFS!$A:$A,"UrgencyClass",OPERATING_COEFFS!$B:$B,$AK695))</f>
        <v/>
      </c>
      <c r="AM695" s="8"/>
      <c r="AN695" s="8" t="str">
        <f t="array" ref="AN695">IF($AM695="","",INDEX(TAX_MODES!$B:$B,MATCH($AM695,TAX_MODES!$A:$A,0)))</f>
        <v/>
      </c>
    </row>
    <row r="696" ht="14.25" customHeight="1">
      <c r="C696" s="8"/>
      <c r="E696" s="8"/>
      <c r="G696" s="8"/>
      <c r="I696" s="8"/>
      <c r="K696" s="8"/>
      <c r="M696" s="8"/>
      <c r="O696" s="8"/>
      <c r="Q696" s="8"/>
      <c r="S696" s="8"/>
      <c r="V696" s="8"/>
      <c r="X696" s="31"/>
      <c r="Y696" s="31" t="str">
        <f>IF($X696="","",SUMIFS(TARIFF_PROFILES!$D:$D,TARIFF_PROFILES!$A:$A,$X696))</f>
        <v/>
      </c>
      <c r="Z696" s="31" t="str">
        <f>IF($X696="","",SUMIFS(TARIFF_PROFILES!$E:$E,TARIFF_PROFILES!$A:$A,$X696))</f>
        <v/>
      </c>
      <c r="AA696" s="31" t="str">
        <f>IF($X696="","",SUMIFS(TARIFF_PROFILES!$F:$F,TARIFF_PROFILES!$A:$A,$X696))</f>
        <v/>
      </c>
      <c r="AB696" s="31" t="str">
        <f>IF($X696="","",SUMIFS(TARIFF_PROFILES!$G:$G,TARIFF_PROFILES!$A:$A,$X696))</f>
        <v/>
      </c>
      <c r="AC696" s="31" t="str">
        <f>IF($X696="","",SUMIFS(TARIFF_PROFILES!$H:$H,TARIFF_PROFILES!$A:$A,$X696))</f>
        <v/>
      </c>
      <c r="AD696" s="31" t="str">
        <f t="array" ref="AD696">IF($X696="","",INDEX(TARIFF_PROFILES!$J:$J,MATCH($X696,TARIFF_PROFILES!$A:$A,0)))</f>
        <v/>
      </c>
      <c r="AE696" s="31" t="str">
        <f t="array" ref="AE696">IF($X696="","",INDEX(TARIFF_PROFILES!$K:$K,MATCH($X696,TARIFF_PROFILES!$A:$A,0)))</f>
        <v/>
      </c>
      <c r="AG696" s="8"/>
      <c r="AH696" s="8" t="str">
        <f>IF($AG696="","",SUMIFS(OPERATING_COEFFS!$C:$C,OPERATING_COEFFS!$A:$A,"DistanceClass",OPERATING_COEFFS!$B:$B,$AG696))</f>
        <v/>
      </c>
      <c r="AI696" s="8"/>
      <c r="AJ696" s="8" t="str">
        <f>IF($AI696="","",SUMIFS(OPERATING_COEFFS!$C:$C,OPERATING_COEFFS!$A:$A,"SeasonClass",OPERATING_COEFFS!$B:$B,$AI696))</f>
        <v/>
      </c>
      <c r="AK696" s="8"/>
      <c r="AL696" s="8" t="str">
        <f>IF($AK696="","",SUMIFS(OPERATING_COEFFS!$C:$C,OPERATING_COEFFS!$A:$A,"UrgencyClass",OPERATING_COEFFS!$B:$B,$AK696))</f>
        <v/>
      </c>
      <c r="AM696" s="8"/>
      <c r="AN696" s="8" t="str">
        <f t="array" ref="AN696">IF($AM696="","",INDEX(TAX_MODES!$B:$B,MATCH($AM696,TAX_MODES!$A:$A,0)))</f>
        <v/>
      </c>
    </row>
    <row r="697" ht="14.25" customHeight="1">
      <c r="C697" s="8"/>
      <c r="E697" s="8"/>
      <c r="G697" s="8"/>
      <c r="I697" s="8"/>
      <c r="K697" s="8"/>
      <c r="M697" s="8"/>
      <c r="O697" s="8"/>
      <c r="Q697" s="8"/>
      <c r="S697" s="8"/>
      <c r="V697" s="8"/>
      <c r="X697" s="31"/>
      <c r="Y697" s="31" t="str">
        <f>IF($X697="","",SUMIFS(TARIFF_PROFILES!$D:$D,TARIFF_PROFILES!$A:$A,$X697))</f>
        <v/>
      </c>
      <c r="Z697" s="31" t="str">
        <f>IF($X697="","",SUMIFS(TARIFF_PROFILES!$E:$E,TARIFF_PROFILES!$A:$A,$X697))</f>
        <v/>
      </c>
      <c r="AA697" s="31" t="str">
        <f>IF($X697="","",SUMIFS(TARIFF_PROFILES!$F:$F,TARIFF_PROFILES!$A:$A,$X697))</f>
        <v/>
      </c>
      <c r="AB697" s="31" t="str">
        <f>IF($X697="","",SUMIFS(TARIFF_PROFILES!$G:$G,TARIFF_PROFILES!$A:$A,$X697))</f>
        <v/>
      </c>
      <c r="AC697" s="31" t="str">
        <f>IF($X697="","",SUMIFS(TARIFF_PROFILES!$H:$H,TARIFF_PROFILES!$A:$A,$X697))</f>
        <v/>
      </c>
      <c r="AD697" s="31" t="str">
        <f t="array" ref="AD697">IF($X697="","",INDEX(TARIFF_PROFILES!$J:$J,MATCH($X697,TARIFF_PROFILES!$A:$A,0)))</f>
        <v/>
      </c>
      <c r="AE697" s="31" t="str">
        <f t="array" ref="AE697">IF($X697="","",INDEX(TARIFF_PROFILES!$K:$K,MATCH($X697,TARIFF_PROFILES!$A:$A,0)))</f>
        <v/>
      </c>
      <c r="AG697" s="8"/>
      <c r="AH697" s="8" t="str">
        <f>IF($AG697="","",SUMIFS(OPERATING_COEFFS!$C:$C,OPERATING_COEFFS!$A:$A,"DistanceClass",OPERATING_COEFFS!$B:$B,$AG697))</f>
        <v/>
      </c>
      <c r="AI697" s="8"/>
      <c r="AJ697" s="8" t="str">
        <f>IF($AI697="","",SUMIFS(OPERATING_COEFFS!$C:$C,OPERATING_COEFFS!$A:$A,"SeasonClass",OPERATING_COEFFS!$B:$B,$AI697))</f>
        <v/>
      </c>
      <c r="AK697" s="8"/>
      <c r="AL697" s="8" t="str">
        <f>IF($AK697="","",SUMIFS(OPERATING_COEFFS!$C:$C,OPERATING_COEFFS!$A:$A,"UrgencyClass",OPERATING_COEFFS!$B:$B,$AK697))</f>
        <v/>
      </c>
      <c r="AM697" s="8"/>
      <c r="AN697" s="8" t="str">
        <f t="array" ref="AN697">IF($AM697="","",INDEX(TAX_MODES!$B:$B,MATCH($AM697,TAX_MODES!$A:$A,0)))</f>
        <v/>
      </c>
    </row>
    <row r="698" ht="14.25" customHeight="1">
      <c r="C698" s="8"/>
      <c r="E698" s="8"/>
      <c r="G698" s="8"/>
      <c r="I698" s="8"/>
      <c r="K698" s="8"/>
      <c r="M698" s="8"/>
      <c r="O698" s="8"/>
      <c r="Q698" s="8"/>
      <c r="S698" s="8"/>
      <c r="V698" s="8"/>
      <c r="X698" s="31"/>
      <c r="Y698" s="31" t="str">
        <f>IF($X698="","",SUMIFS(TARIFF_PROFILES!$D:$D,TARIFF_PROFILES!$A:$A,$X698))</f>
        <v/>
      </c>
      <c r="Z698" s="31" t="str">
        <f>IF($X698="","",SUMIFS(TARIFF_PROFILES!$E:$E,TARIFF_PROFILES!$A:$A,$X698))</f>
        <v/>
      </c>
      <c r="AA698" s="31" t="str">
        <f>IF($X698="","",SUMIFS(TARIFF_PROFILES!$F:$F,TARIFF_PROFILES!$A:$A,$X698))</f>
        <v/>
      </c>
      <c r="AB698" s="31" t="str">
        <f>IF($X698="","",SUMIFS(TARIFF_PROFILES!$G:$G,TARIFF_PROFILES!$A:$A,$X698))</f>
        <v/>
      </c>
      <c r="AC698" s="31" t="str">
        <f>IF($X698="","",SUMIFS(TARIFF_PROFILES!$H:$H,TARIFF_PROFILES!$A:$A,$X698))</f>
        <v/>
      </c>
      <c r="AD698" s="31" t="str">
        <f t="array" ref="AD698">IF($X698="","",INDEX(TARIFF_PROFILES!$J:$J,MATCH($X698,TARIFF_PROFILES!$A:$A,0)))</f>
        <v/>
      </c>
      <c r="AE698" s="31" t="str">
        <f t="array" ref="AE698">IF($X698="","",INDEX(TARIFF_PROFILES!$K:$K,MATCH($X698,TARIFF_PROFILES!$A:$A,0)))</f>
        <v/>
      </c>
      <c r="AG698" s="8"/>
      <c r="AH698" s="8" t="str">
        <f>IF($AG698="","",SUMIFS(OPERATING_COEFFS!$C:$C,OPERATING_COEFFS!$A:$A,"DistanceClass",OPERATING_COEFFS!$B:$B,$AG698))</f>
        <v/>
      </c>
      <c r="AI698" s="8"/>
      <c r="AJ698" s="8" t="str">
        <f>IF($AI698="","",SUMIFS(OPERATING_COEFFS!$C:$C,OPERATING_COEFFS!$A:$A,"SeasonClass",OPERATING_COEFFS!$B:$B,$AI698))</f>
        <v/>
      </c>
      <c r="AK698" s="8"/>
      <c r="AL698" s="8" t="str">
        <f>IF($AK698="","",SUMIFS(OPERATING_COEFFS!$C:$C,OPERATING_COEFFS!$A:$A,"UrgencyClass",OPERATING_COEFFS!$B:$B,$AK698))</f>
        <v/>
      </c>
      <c r="AM698" s="8"/>
      <c r="AN698" s="8" t="str">
        <f t="array" ref="AN698">IF($AM698="","",INDEX(TAX_MODES!$B:$B,MATCH($AM698,TAX_MODES!$A:$A,0)))</f>
        <v/>
      </c>
    </row>
    <row r="699" ht="14.25" customHeight="1">
      <c r="C699" s="8"/>
      <c r="E699" s="8"/>
      <c r="G699" s="8"/>
      <c r="I699" s="8"/>
      <c r="K699" s="8"/>
      <c r="M699" s="8"/>
      <c r="O699" s="8"/>
      <c r="Q699" s="8"/>
      <c r="S699" s="8"/>
      <c r="V699" s="8"/>
      <c r="X699" s="31"/>
      <c r="Y699" s="31" t="str">
        <f>IF($X699="","",SUMIFS(TARIFF_PROFILES!$D:$D,TARIFF_PROFILES!$A:$A,$X699))</f>
        <v/>
      </c>
      <c r="Z699" s="31" t="str">
        <f>IF($X699="","",SUMIFS(TARIFF_PROFILES!$E:$E,TARIFF_PROFILES!$A:$A,$X699))</f>
        <v/>
      </c>
      <c r="AA699" s="31" t="str">
        <f>IF($X699="","",SUMIFS(TARIFF_PROFILES!$F:$F,TARIFF_PROFILES!$A:$A,$X699))</f>
        <v/>
      </c>
      <c r="AB699" s="31" t="str">
        <f>IF($X699="","",SUMIFS(TARIFF_PROFILES!$G:$G,TARIFF_PROFILES!$A:$A,$X699))</f>
        <v/>
      </c>
      <c r="AC699" s="31" t="str">
        <f>IF($X699="","",SUMIFS(TARIFF_PROFILES!$H:$H,TARIFF_PROFILES!$A:$A,$X699))</f>
        <v/>
      </c>
      <c r="AD699" s="31" t="str">
        <f t="array" ref="AD699">IF($X699="","",INDEX(TARIFF_PROFILES!$J:$J,MATCH($X699,TARIFF_PROFILES!$A:$A,0)))</f>
        <v/>
      </c>
      <c r="AE699" s="31" t="str">
        <f t="array" ref="AE699">IF($X699="","",INDEX(TARIFF_PROFILES!$K:$K,MATCH($X699,TARIFF_PROFILES!$A:$A,0)))</f>
        <v/>
      </c>
      <c r="AG699" s="8"/>
      <c r="AH699" s="8" t="str">
        <f>IF($AG699="","",SUMIFS(OPERATING_COEFFS!$C:$C,OPERATING_COEFFS!$A:$A,"DistanceClass",OPERATING_COEFFS!$B:$B,$AG699))</f>
        <v/>
      </c>
      <c r="AI699" s="8"/>
      <c r="AJ699" s="8" t="str">
        <f>IF($AI699="","",SUMIFS(OPERATING_COEFFS!$C:$C,OPERATING_COEFFS!$A:$A,"SeasonClass",OPERATING_COEFFS!$B:$B,$AI699))</f>
        <v/>
      </c>
      <c r="AK699" s="8"/>
      <c r="AL699" s="8" t="str">
        <f>IF($AK699="","",SUMIFS(OPERATING_COEFFS!$C:$C,OPERATING_COEFFS!$A:$A,"UrgencyClass",OPERATING_COEFFS!$B:$B,$AK699))</f>
        <v/>
      </c>
      <c r="AM699" s="8"/>
      <c r="AN699" s="8" t="str">
        <f t="array" ref="AN699">IF($AM699="","",INDEX(TAX_MODES!$B:$B,MATCH($AM699,TAX_MODES!$A:$A,0)))</f>
        <v/>
      </c>
    </row>
    <row r="700" ht="14.25" customHeight="1">
      <c r="C700" s="8"/>
      <c r="E700" s="8"/>
      <c r="G700" s="8"/>
      <c r="I700" s="8"/>
      <c r="K700" s="8"/>
      <c r="M700" s="8"/>
      <c r="O700" s="8"/>
      <c r="Q700" s="8"/>
      <c r="S700" s="8"/>
      <c r="V700" s="8"/>
      <c r="X700" s="31"/>
      <c r="Y700" s="31" t="str">
        <f>IF($X700="","",SUMIFS(TARIFF_PROFILES!$D:$D,TARIFF_PROFILES!$A:$A,$X700))</f>
        <v/>
      </c>
      <c r="Z700" s="31" t="str">
        <f>IF($X700="","",SUMIFS(TARIFF_PROFILES!$E:$E,TARIFF_PROFILES!$A:$A,$X700))</f>
        <v/>
      </c>
      <c r="AA700" s="31" t="str">
        <f>IF($X700="","",SUMIFS(TARIFF_PROFILES!$F:$F,TARIFF_PROFILES!$A:$A,$X700))</f>
        <v/>
      </c>
      <c r="AB700" s="31" t="str">
        <f>IF($X700="","",SUMIFS(TARIFF_PROFILES!$G:$G,TARIFF_PROFILES!$A:$A,$X700))</f>
        <v/>
      </c>
      <c r="AC700" s="31" t="str">
        <f>IF($X700="","",SUMIFS(TARIFF_PROFILES!$H:$H,TARIFF_PROFILES!$A:$A,$X700))</f>
        <v/>
      </c>
      <c r="AD700" s="31" t="str">
        <f t="array" ref="AD700">IF($X700="","",INDEX(TARIFF_PROFILES!$J:$J,MATCH($X700,TARIFF_PROFILES!$A:$A,0)))</f>
        <v/>
      </c>
      <c r="AE700" s="31" t="str">
        <f t="array" ref="AE700">IF($X700="","",INDEX(TARIFF_PROFILES!$K:$K,MATCH($X700,TARIFF_PROFILES!$A:$A,0)))</f>
        <v/>
      </c>
      <c r="AG700" s="8"/>
      <c r="AH700" s="8" t="str">
        <f>IF($AG700="","",SUMIFS(OPERATING_COEFFS!$C:$C,OPERATING_COEFFS!$A:$A,"DistanceClass",OPERATING_COEFFS!$B:$B,$AG700))</f>
        <v/>
      </c>
      <c r="AI700" s="8"/>
      <c r="AJ700" s="8" t="str">
        <f>IF($AI700="","",SUMIFS(OPERATING_COEFFS!$C:$C,OPERATING_COEFFS!$A:$A,"SeasonClass",OPERATING_COEFFS!$B:$B,$AI700))</f>
        <v/>
      </c>
      <c r="AK700" s="8"/>
      <c r="AL700" s="8" t="str">
        <f>IF($AK700="","",SUMIFS(OPERATING_COEFFS!$C:$C,OPERATING_COEFFS!$A:$A,"UrgencyClass",OPERATING_COEFFS!$B:$B,$AK700))</f>
        <v/>
      </c>
      <c r="AM700" s="8"/>
      <c r="AN700" s="8" t="str">
        <f t="array" ref="AN700">IF($AM700="","",INDEX(TAX_MODES!$B:$B,MATCH($AM700,TAX_MODES!$A:$A,0)))</f>
        <v/>
      </c>
    </row>
    <row r="701" ht="14.25" customHeight="1">
      <c r="C701" s="8"/>
      <c r="E701" s="8"/>
      <c r="G701" s="8"/>
      <c r="I701" s="8"/>
      <c r="K701" s="8"/>
      <c r="M701" s="8"/>
      <c r="O701" s="8"/>
      <c r="Q701" s="8"/>
      <c r="S701" s="8"/>
      <c r="V701" s="8"/>
      <c r="X701" s="31"/>
      <c r="Y701" s="31" t="str">
        <f>IF($X701="","",SUMIFS(TARIFF_PROFILES!$D:$D,TARIFF_PROFILES!$A:$A,$X701))</f>
        <v/>
      </c>
      <c r="Z701" s="31" t="str">
        <f>IF($X701="","",SUMIFS(TARIFF_PROFILES!$E:$E,TARIFF_PROFILES!$A:$A,$X701))</f>
        <v/>
      </c>
      <c r="AA701" s="31" t="str">
        <f>IF($X701="","",SUMIFS(TARIFF_PROFILES!$F:$F,TARIFF_PROFILES!$A:$A,$X701))</f>
        <v/>
      </c>
      <c r="AB701" s="31" t="str">
        <f>IF($X701="","",SUMIFS(TARIFF_PROFILES!$G:$G,TARIFF_PROFILES!$A:$A,$X701))</f>
        <v/>
      </c>
      <c r="AC701" s="31" t="str">
        <f>IF($X701="","",SUMIFS(TARIFF_PROFILES!$H:$H,TARIFF_PROFILES!$A:$A,$X701))</f>
        <v/>
      </c>
      <c r="AD701" s="31" t="str">
        <f t="array" ref="AD701">IF($X701="","",INDEX(TARIFF_PROFILES!$J:$J,MATCH($X701,TARIFF_PROFILES!$A:$A,0)))</f>
        <v/>
      </c>
      <c r="AE701" s="31" t="str">
        <f t="array" ref="AE701">IF($X701="","",INDEX(TARIFF_PROFILES!$K:$K,MATCH($X701,TARIFF_PROFILES!$A:$A,0)))</f>
        <v/>
      </c>
      <c r="AG701" s="8"/>
      <c r="AH701" s="8" t="str">
        <f>IF($AG701="","",SUMIFS(OPERATING_COEFFS!$C:$C,OPERATING_COEFFS!$A:$A,"DistanceClass",OPERATING_COEFFS!$B:$B,$AG701))</f>
        <v/>
      </c>
      <c r="AI701" s="8"/>
      <c r="AJ701" s="8" t="str">
        <f>IF($AI701="","",SUMIFS(OPERATING_COEFFS!$C:$C,OPERATING_COEFFS!$A:$A,"SeasonClass",OPERATING_COEFFS!$B:$B,$AI701))</f>
        <v/>
      </c>
      <c r="AK701" s="8"/>
      <c r="AL701" s="8" t="str">
        <f>IF($AK701="","",SUMIFS(OPERATING_COEFFS!$C:$C,OPERATING_COEFFS!$A:$A,"UrgencyClass",OPERATING_COEFFS!$B:$B,$AK701))</f>
        <v/>
      </c>
      <c r="AM701" s="8"/>
      <c r="AN701" s="8" t="str">
        <f t="array" ref="AN701">IF($AM701="","",INDEX(TAX_MODES!$B:$B,MATCH($AM701,TAX_MODES!$A:$A,0)))</f>
        <v/>
      </c>
    </row>
    <row r="702" ht="14.25" customHeight="1">
      <c r="C702" s="8"/>
      <c r="E702" s="8"/>
      <c r="G702" s="8"/>
      <c r="I702" s="8"/>
      <c r="K702" s="8"/>
      <c r="M702" s="8"/>
      <c r="O702" s="8"/>
      <c r="Q702" s="8"/>
      <c r="S702" s="8"/>
      <c r="V702" s="8"/>
      <c r="X702" s="31"/>
      <c r="Y702" s="31" t="str">
        <f>IF($X702="","",SUMIFS(TARIFF_PROFILES!$D:$D,TARIFF_PROFILES!$A:$A,$X702))</f>
        <v/>
      </c>
      <c r="Z702" s="31" t="str">
        <f>IF($X702="","",SUMIFS(TARIFF_PROFILES!$E:$E,TARIFF_PROFILES!$A:$A,$X702))</f>
        <v/>
      </c>
      <c r="AA702" s="31" t="str">
        <f>IF($X702="","",SUMIFS(TARIFF_PROFILES!$F:$F,TARIFF_PROFILES!$A:$A,$X702))</f>
        <v/>
      </c>
      <c r="AB702" s="31" t="str">
        <f>IF($X702="","",SUMIFS(TARIFF_PROFILES!$G:$G,TARIFF_PROFILES!$A:$A,$X702))</f>
        <v/>
      </c>
      <c r="AC702" s="31" t="str">
        <f>IF($X702="","",SUMIFS(TARIFF_PROFILES!$H:$H,TARIFF_PROFILES!$A:$A,$X702))</f>
        <v/>
      </c>
      <c r="AD702" s="31" t="str">
        <f t="array" ref="AD702">IF($X702="","",INDEX(TARIFF_PROFILES!$J:$J,MATCH($X702,TARIFF_PROFILES!$A:$A,0)))</f>
        <v/>
      </c>
      <c r="AE702" s="31" t="str">
        <f t="array" ref="AE702">IF($X702="","",INDEX(TARIFF_PROFILES!$K:$K,MATCH($X702,TARIFF_PROFILES!$A:$A,0)))</f>
        <v/>
      </c>
      <c r="AG702" s="8"/>
      <c r="AH702" s="8" t="str">
        <f>IF($AG702="","",SUMIFS(OPERATING_COEFFS!$C:$C,OPERATING_COEFFS!$A:$A,"DistanceClass",OPERATING_COEFFS!$B:$B,$AG702))</f>
        <v/>
      </c>
      <c r="AI702" s="8"/>
      <c r="AJ702" s="8" t="str">
        <f>IF($AI702="","",SUMIFS(OPERATING_COEFFS!$C:$C,OPERATING_COEFFS!$A:$A,"SeasonClass",OPERATING_COEFFS!$B:$B,$AI702))</f>
        <v/>
      </c>
      <c r="AK702" s="8"/>
      <c r="AL702" s="8" t="str">
        <f>IF($AK702="","",SUMIFS(OPERATING_COEFFS!$C:$C,OPERATING_COEFFS!$A:$A,"UrgencyClass",OPERATING_COEFFS!$B:$B,$AK702))</f>
        <v/>
      </c>
      <c r="AM702" s="8"/>
      <c r="AN702" s="8" t="str">
        <f t="array" ref="AN702">IF($AM702="","",INDEX(TAX_MODES!$B:$B,MATCH($AM702,TAX_MODES!$A:$A,0)))</f>
        <v/>
      </c>
    </row>
    <row r="703" ht="14.25" customHeight="1">
      <c r="C703" s="8"/>
      <c r="E703" s="8"/>
      <c r="G703" s="8"/>
      <c r="I703" s="8"/>
      <c r="K703" s="8"/>
      <c r="M703" s="8"/>
      <c r="O703" s="8"/>
      <c r="Q703" s="8"/>
      <c r="S703" s="8"/>
      <c r="V703" s="8"/>
      <c r="X703" s="31"/>
      <c r="Y703" s="31" t="str">
        <f>IF($X703="","",SUMIFS(TARIFF_PROFILES!$D:$D,TARIFF_PROFILES!$A:$A,$X703))</f>
        <v/>
      </c>
      <c r="Z703" s="31" t="str">
        <f>IF($X703="","",SUMIFS(TARIFF_PROFILES!$E:$E,TARIFF_PROFILES!$A:$A,$X703))</f>
        <v/>
      </c>
      <c r="AA703" s="31" t="str">
        <f>IF($X703="","",SUMIFS(TARIFF_PROFILES!$F:$F,TARIFF_PROFILES!$A:$A,$X703))</f>
        <v/>
      </c>
      <c r="AB703" s="31" t="str">
        <f>IF($X703="","",SUMIFS(TARIFF_PROFILES!$G:$G,TARIFF_PROFILES!$A:$A,$X703))</f>
        <v/>
      </c>
      <c r="AC703" s="31" t="str">
        <f>IF($X703="","",SUMIFS(TARIFF_PROFILES!$H:$H,TARIFF_PROFILES!$A:$A,$X703))</f>
        <v/>
      </c>
      <c r="AD703" s="31" t="str">
        <f t="array" ref="AD703">IF($X703="","",INDEX(TARIFF_PROFILES!$J:$J,MATCH($X703,TARIFF_PROFILES!$A:$A,0)))</f>
        <v/>
      </c>
      <c r="AE703" s="31" t="str">
        <f t="array" ref="AE703">IF($X703="","",INDEX(TARIFF_PROFILES!$K:$K,MATCH($X703,TARIFF_PROFILES!$A:$A,0)))</f>
        <v/>
      </c>
      <c r="AG703" s="8"/>
      <c r="AH703" s="8" t="str">
        <f>IF($AG703="","",SUMIFS(OPERATING_COEFFS!$C:$C,OPERATING_COEFFS!$A:$A,"DistanceClass",OPERATING_COEFFS!$B:$B,$AG703))</f>
        <v/>
      </c>
      <c r="AI703" s="8"/>
      <c r="AJ703" s="8" t="str">
        <f>IF($AI703="","",SUMIFS(OPERATING_COEFFS!$C:$C,OPERATING_COEFFS!$A:$A,"SeasonClass",OPERATING_COEFFS!$B:$B,$AI703))</f>
        <v/>
      </c>
      <c r="AK703" s="8"/>
      <c r="AL703" s="8" t="str">
        <f>IF($AK703="","",SUMIFS(OPERATING_COEFFS!$C:$C,OPERATING_COEFFS!$A:$A,"UrgencyClass",OPERATING_COEFFS!$B:$B,$AK703))</f>
        <v/>
      </c>
      <c r="AM703" s="8"/>
      <c r="AN703" s="8" t="str">
        <f t="array" ref="AN703">IF($AM703="","",INDEX(TAX_MODES!$B:$B,MATCH($AM703,TAX_MODES!$A:$A,0)))</f>
        <v/>
      </c>
    </row>
    <row r="704" ht="14.25" customHeight="1">
      <c r="C704" s="8"/>
      <c r="E704" s="8"/>
      <c r="G704" s="8"/>
      <c r="I704" s="8"/>
      <c r="K704" s="8"/>
      <c r="M704" s="8"/>
      <c r="O704" s="8"/>
      <c r="Q704" s="8"/>
      <c r="S704" s="8"/>
      <c r="V704" s="8"/>
      <c r="X704" s="31"/>
      <c r="Y704" s="31" t="str">
        <f>IF($X704="","",SUMIFS(TARIFF_PROFILES!$D:$D,TARIFF_PROFILES!$A:$A,$X704))</f>
        <v/>
      </c>
      <c r="Z704" s="31" t="str">
        <f>IF($X704="","",SUMIFS(TARIFF_PROFILES!$E:$E,TARIFF_PROFILES!$A:$A,$X704))</f>
        <v/>
      </c>
      <c r="AA704" s="31" t="str">
        <f>IF($X704="","",SUMIFS(TARIFF_PROFILES!$F:$F,TARIFF_PROFILES!$A:$A,$X704))</f>
        <v/>
      </c>
      <c r="AB704" s="31" t="str">
        <f>IF($X704="","",SUMIFS(TARIFF_PROFILES!$G:$G,TARIFF_PROFILES!$A:$A,$X704))</f>
        <v/>
      </c>
      <c r="AC704" s="31" t="str">
        <f>IF($X704="","",SUMIFS(TARIFF_PROFILES!$H:$H,TARIFF_PROFILES!$A:$A,$X704))</f>
        <v/>
      </c>
      <c r="AD704" s="31" t="str">
        <f t="array" ref="AD704">IF($X704="","",INDEX(TARIFF_PROFILES!$J:$J,MATCH($X704,TARIFF_PROFILES!$A:$A,0)))</f>
        <v/>
      </c>
      <c r="AE704" s="31" t="str">
        <f t="array" ref="AE704">IF($X704="","",INDEX(TARIFF_PROFILES!$K:$K,MATCH($X704,TARIFF_PROFILES!$A:$A,0)))</f>
        <v/>
      </c>
      <c r="AG704" s="8"/>
      <c r="AH704" s="8" t="str">
        <f>IF($AG704="","",SUMIFS(OPERATING_COEFFS!$C:$C,OPERATING_COEFFS!$A:$A,"DistanceClass",OPERATING_COEFFS!$B:$B,$AG704))</f>
        <v/>
      </c>
      <c r="AI704" s="8"/>
      <c r="AJ704" s="8" t="str">
        <f>IF($AI704="","",SUMIFS(OPERATING_COEFFS!$C:$C,OPERATING_COEFFS!$A:$A,"SeasonClass",OPERATING_COEFFS!$B:$B,$AI704))</f>
        <v/>
      </c>
      <c r="AK704" s="8"/>
      <c r="AL704" s="8" t="str">
        <f>IF($AK704="","",SUMIFS(OPERATING_COEFFS!$C:$C,OPERATING_COEFFS!$A:$A,"UrgencyClass",OPERATING_COEFFS!$B:$B,$AK704))</f>
        <v/>
      </c>
      <c r="AM704" s="8"/>
      <c r="AN704" s="8" t="str">
        <f t="array" ref="AN704">IF($AM704="","",INDEX(TAX_MODES!$B:$B,MATCH($AM704,TAX_MODES!$A:$A,0)))</f>
        <v/>
      </c>
    </row>
    <row r="705" ht="14.25" customHeight="1">
      <c r="C705" s="8"/>
      <c r="E705" s="8"/>
      <c r="G705" s="8"/>
      <c r="I705" s="8"/>
      <c r="K705" s="8"/>
      <c r="M705" s="8"/>
      <c r="O705" s="8"/>
      <c r="Q705" s="8"/>
      <c r="S705" s="8"/>
      <c r="V705" s="8"/>
      <c r="X705" s="31"/>
      <c r="Y705" s="31" t="str">
        <f>IF($X705="","",SUMIFS(TARIFF_PROFILES!$D:$D,TARIFF_PROFILES!$A:$A,$X705))</f>
        <v/>
      </c>
      <c r="Z705" s="31" t="str">
        <f>IF($X705="","",SUMIFS(TARIFF_PROFILES!$E:$E,TARIFF_PROFILES!$A:$A,$X705))</f>
        <v/>
      </c>
      <c r="AA705" s="31" t="str">
        <f>IF($X705="","",SUMIFS(TARIFF_PROFILES!$F:$F,TARIFF_PROFILES!$A:$A,$X705))</f>
        <v/>
      </c>
      <c r="AB705" s="31" t="str">
        <f>IF($X705="","",SUMIFS(TARIFF_PROFILES!$G:$G,TARIFF_PROFILES!$A:$A,$X705))</f>
        <v/>
      </c>
      <c r="AC705" s="31" t="str">
        <f>IF($X705="","",SUMIFS(TARIFF_PROFILES!$H:$H,TARIFF_PROFILES!$A:$A,$X705))</f>
        <v/>
      </c>
      <c r="AD705" s="31" t="str">
        <f t="array" ref="AD705">IF($X705="","",INDEX(TARIFF_PROFILES!$J:$J,MATCH($X705,TARIFF_PROFILES!$A:$A,0)))</f>
        <v/>
      </c>
      <c r="AE705" s="31" t="str">
        <f t="array" ref="AE705">IF($X705="","",INDEX(TARIFF_PROFILES!$K:$K,MATCH($X705,TARIFF_PROFILES!$A:$A,0)))</f>
        <v/>
      </c>
      <c r="AG705" s="8"/>
      <c r="AH705" s="8" t="str">
        <f>IF($AG705="","",SUMIFS(OPERATING_COEFFS!$C:$C,OPERATING_COEFFS!$A:$A,"DistanceClass",OPERATING_COEFFS!$B:$B,$AG705))</f>
        <v/>
      </c>
      <c r="AI705" s="8"/>
      <c r="AJ705" s="8" t="str">
        <f>IF($AI705="","",SUMIFS(OPERATING_COEFFS!$C:$C,OPERATING_COEFFS!$A:$A,"SeasonClass",OPERATING_COEFFS!$B:$B,$AI705))</f>
        <v/>
      </c>
      <c r="AK705" s="8"/>
      <c r="AL705" s="8" t="str">
        <f>IF($AK705="","",SUMIFS(OPERATING_COEFFS!$C:$C,OPERATING_COEFFS!$A:$A,"UrgencyClass",OPERATING_COEFFS!$B:$B,$AK705))</f>
        <v/>
      </c>
      <c r="AM705" s="8"/>
      <c r="AN705" s="8" t="str">
        <f t="array" ref="AN705">IF($AM705="","",INDEX(TAX_MODES!$B:$B,MATCH($AM705,TAX_MODES!$A:$A,0)))</f>
        <v/>
      </c>
    </row>
    <row r="706" ht="14.25" customHeight="1">
      <c r="C706" s="8"/>
      <c r="E706" s="8"/>
      <c r="G706" s="8"/>
      <c r="I706" s="8"/>
      <c r="K706" s="8"/>
      <c r="M706" s="8"/>
      <c r="O706" s="8"/>
      <c r="Q706" s="8"/>
      <c r="S706" s="8"/>
      <c r="V706" s="8"/>
      <c r="X706" s="31"/>
      <c r="Y706" s="31" t="str">
        <f>IF($X706="","",SUMIFS(TARIFF_PROFILES!$D:$D,TARIFF_PROFILES!$A:$A,$X706))</f>
        <v/>
      </c>
      <c r="Z706" s="31" t="str">
        <f>IF($X706="","",SUMIFS(TARIFF_PROFILES!$E:$E,TARIFF_PROFILES!$A:$A,$X706))</f>
        <v/>
      </c>
      <c r="AA706" s="31" t="str">
        <f>IF($X706="","",SUMIFS(TARIFF_PROFILES!$F:$F,TARIFF_PROFILES!$A:$A,$X706))</f>
        <v/>
      </c>
      <c r="AB706" s="31" t="str">
        <f>IF($X706="","",SUMIFS(TARIFF_PROFILES!$G:$G,TARIFF_PROFILES!$A:$A,$X706))</f>
        <v/>
      </c>
      <c r="AC706" s="31" t="str">
        <f>IF($X706="","",SUMIFS(TARIFF_PROFILES!$H:$H,TARIFF_PROFILES!$A:$A,$X706))</f>
        <v/>
      </c>
      <c r="AD706" s="31" t="str">
        <f t="array" ref="AD706">IF($X706="","",INDEX(TARIFF_PROFILES!$J:$J,MATCH($X706,TARIFF_PROFILES!$A:$A,0)))</f>
        <v/>
      </c>
      <c r="AE706" s="31" t="str">
        <f t="array" ref="AE706">IF($X706="","",INDEX(TARIFF_PROFILES!$K:$K,MATCH($X706,TARIFF_PROFILES!$A:$A,0)))</f>
        <v/>
      </c>
      <c r="AG706" s="8"/>
      <c r="AH706" s="8" t="str">
        <f>IF($AG706="","",SUMIFS(OPERATING_COEFFS!$C:$C,OPERATING_COEFFS!$A:$A,"DistanceClass",OPERATING_COEFFS!$B:$B,$AG706))</f>
        <v/>
      </c>
      <c r="AI706" s="8"/>
      <c r="AJ706" s="8" t="str">
        <f>IF($AI706="","",SUMIFS(OPERATING_COEFFS!$C:$C,OPERATING_COEFFS!$A:$A,"SeasonClass",OPERATING_COEFFS!$B:$B,$AI706))</f>
        <v/>
      </c>
      <c r="AK706" s="8"/>
      <c r="AL706" s="8" t="str">
        <f>IF($AK706="","",SUMIFS(OPERATING_COEFFS!$C:$C,OPERATING_COEFFS!$A:$A,"UrgencyClass",OPERATING_COEFFS!$B:$B,$AK706))</f>
        <v/>
      </c>
      <c r="AM706" s="8"/>
      <c r="AN706" s="8" t="str">
        <f t="array" ref="AN706">IF($AM706="","",INDEX(TAX_MODES!$B:$B,MATCH($AM706,TAX_MODES!$A:$A,0)))</f>
        <v/>
      </c>
    </row>
    <row r="707" ht="14.25" customHeight="1">
      <c r="C707" s="8"/>
      <c r="E707" s="8"/>
      <c r="G707" s="8"/>
      <c r="I707" s="8"/>
      <c r="K707" s="8"/>
      <c r="M707" s="8"/>
      <c r="O707" s="8"/>
      <c r="Q707" s="8"/>
      <c r="S707" s="8"/>
      <c r="V707" s="8"/>
      <c r="X707" s="31"/>
      <c r="Y707" s="31" t="str">
        <f>IF($X707="","",SUMIFS(TARIFF_PROFILES!$D:$D,TARIFF_PROFILES!$A:$A,$X707))</f>
        <v/>
      </c>
      <c r="Z707" s="31" t="str">
        <f>IF($X707="","",SUMIFS(TARIFF_PROFILES!$E:$E,TARIFF_PROFILES!$A:$A,$X707))</f>
        <v/>
      </c>
      <c r="AA707" s="31" t="str">
        <f>IF($X707="","",SUMIFS(TARIFF_PROFILES!$F:$F,TARIFF_PROFILES!$A:$A,$X707))</f>
        <v/>
      </c>
      <c r="AB707" s="31" t="str">
        <f>IF($X707="","",SUMIFS(TARIFF_PROFILES!$G:$G,TARIFF_PROFILES!$A:$A,$X707))</f>
        <v/>
      </c>
      <c r="AC707" s="31" t="str">
        <f>IF($X707="","",SUMIFS(TARIFF_PROFILES!$H:$H,TARIFF_PROFILES!$A:$A,$X707))</f>
        <v/>
      </c>
      <c r="AD707" s="31" t="str">
        <f t="array" ref="AD707">IF($X707="","",INDEX(TARIFF_PROFILES!$J:$J,MATCH($X707,TARIFF_PROFILES!$A:$A,0)))</f>
        <v/>
      </c>
      <c r="AE707" s="31" t="str">
        <f t="array" ref="AE707">IF($X707="","",INDEX(TARIFF_PROFILES!$K:$K,MATCH($X707,TARIFF_PROFILES!$A:$A,0)))</f>
        <v/>
      </c>
      <c r="AG707" s="8"/>
      <c r="AH707" s="8" t="str">
        <f>IF($AG707="","",SUMIFS(OPERATING_COEFFS!$C:$C,OPERATING_COEFFS!$A:$A,"DistanceClass",OPERATING_COEFFS!$B:$B,$AG707))</f>
        <v/>
      </c>
      <c r="AI707" s="8"/>
      <c r="AJ707" s="8" t="str">
        <f>IF($AI707="","",SUMIFS(OPERATING_COEFFS!$C:$C,OPERATING_COEFFS!$A:$A,"SeasonClass",OPERATING_COEFFS!$B:$B,$AI707))</f>
        <v/>
      </c>
      <c r="AK707" s="8"/>
      <c r="AL707" s="8" t="str">
        <f>IF($AK707="","",SUMIFS(OPERATING_COEFFS!$C:$C,OPERATING_COEFFS!$A:$A,"UrgencyClass",OPERATING_COEFFS!$B:$B,$AK707))</f>
        <v/>
      </c>
      <c r="AM707" s="8"/>
      <c r="AN707" s="8" t="str">
        <f t="array" ref="AN707">IF($AM707="","",INDEX(TAX_MODES!$B:$B,MATCH($AM707,TAX_MODES!$A:$A,0)))</f>
        <v/>
      </c>
    </row>
    <row r="708" ht="14.25" customHeight="1">
      <c r="C708" s="8"/>
      <c r="E708" s="8"/>
      <c r="G708" s="8"/>
      <c r="I708" s="8"/>
      <c r="K708" s="8"/>
      <c r="M708" s="8"/>
      <c r="O708" s="8"/>
      <c r="Q708" s="8"/>
      <c r="S708" s="8"/>
      <c r="V708" s="8"/>
      <c r="X708" s="31"/>
      <c r="Y708" s="31" t="str">
        <f>IF($X708="","",SUMIFS(TARIFF_PROFILES!$D:$D,TARIFF_PROFILES!$A:$A,$X708))</f>
        <v/>
      </c>
      <c r="Z708" s="31" t="str">
        <f>IF($X708="","",SUMIFS(TARIFF_PROFILES!$E:$E,TARIFF_PROFILES!$A:$A,$X708))</f>
        <v/>
      </c>
      <c r="AA708" s="31" t="str">
        <f>IF($X708="","",SUMIFS(TARIFF_PROFILES!$F:$F,TARIFF_PROFILES!$A:$A,$X708))</f>
        <v/>
      </c>
      <c r="AB708" s="31" t="str">
        <f>IF($X708="","",SUMIFS(TARIFF_PROFILES!$G:$G,TARIFF_PROFILES!$A:$A,$X708))</f>
        <v/>
      </c>
      <c r="AC708" s="31" t="str">
        <f>IF($X708="","",SUMIFS(TARIFF_PROFILES!$H:$H,TARIFF_PROFILES!$A:$A,$X708))</f>
        <v/>
      </c>
      <c r="AD708" s="31" t="str">
        <f t="array" ref="AD708">IF($X708="","",INDEX(TARIFF_PROFILES!$J:$J,MATCH($X708,TARIFF_PROFILES!$A:$A,0)))</f>
        <v/>
      </c>
      <c r="AE708" s="31" t="str">
        <f t="array" ref="AE708">IF($X708="","",INDEX(TARIFF_PROFILES!$K:$K,MATCH($X708,TARIFF_PROFILES!$A:$A,0)))</f>
        <v/>
      </c>
      <c r="AG708" s="8"/>
      <c r="AH708" s="8" t="str">
        <f>IF($AG708="","",SUMIFS(OPERATING_COEFFS!$C:$C,OPERATING_COEFFS!$A:$A,"DistanceClass",OPERATING_COEFFS!$B:$B,$AG708))</f>
        <v/>
      </c>
      <c r="AI708" s="8"/>
      <c r="AJ708" s="8" t="str">
        <f>IF($AI708="","",SUMIFS(OPERATING_COEFFS!$C:$C,OPERATING_COEFFS!$A:$A,"SeasonClass",OPERATING_COEFFS!$B:$B,$AI708))</f>
        <v/>
      </c>
      <c r="AK708" s="8"/>
      <c r="AL708" s="8" t="str">
        <f>IF($AK708="","",SUMIFS(OPERATING_COEFFS!$C:$C,OPERATING_COEFFS!$A:$A,"UrgencyClass",OPERATING_COEFFS!$B:$B,$AK708))</f>
        <v/>
      </c>
      <c r="AM708" s="8"/>
      <c r="AN708" s="8" t="str">
        <f t="array" ref="AN708">IF($AM708="","",INDEX(TAX_MODES!$B:$B,MATCH($AM708,TAX_MODES!$A:$A,0)))</f>
        <v/>
      </c>
    </row>
    <row r="709" ht="14.25" customHeight="1">
      <c r="C709" s="8"/>
      <c r="E709" s="8"/>
      <c r="G709" s="8"/>
      <c r="I709" s="8"/>
      <c r="K709" s="8"/>
      <c r="M709" s="8"/>
      <c r="O709" s="8"/>
      <c r="Q709" s="8"/>
      <c r="S709" s="8"/>
      <c r="V709" s="8"/>
      <c r="X709" s="31"/>
      <c r="Y709" s="31" t="str">
        <f>IF($X709="","",SUMIFS(TARIFF_PROFILES!$D:$D,TARIFF_PROFILES!$A:$A,$X709))</f>
        <v/>
      </c>
      <c r="Z709" s="31" t="str">
        <f>IF($X709="","",SUMIFS(TARIFF_PROFILES!$E:$E,TARIFF_PROFILES!$A:$A,$X709))</f>
        <v/>
      </c>
      <c r="AA709" s="31" t="str">
        <f>IF($X709="","",SUMIFS(TARIFF_PROFILES!$F:$F,TARIFF_PROFILES!$A:$A,$X709))</f>
        <v/>
      </c>
      <c r="AB709" s="31" t="str">
        <f>IF($X709="","",SUMIFS(TARIFF_PROFILES!$G:$G,TARIFF_PROFILES!$A:$A,$X709))</f>
        <v/>
      </c>
      <c r="AC709" s="31" t="str">
        <f>IF($X709="","",SUMIFS(TARIFF_PROFILES!$H:$H,TARIFF_PROFILES!$A:$A,$X709))</f>
        <v/>
      </c>
      <c r="AD709" s="31" t="str">
        <f t="array" ref="AD709">IF($X709="","",INDEX(TARIFF_PROFILES!$J:$J,MATCH($X709,TARIFF_PROFILES!$A:$A,0)))</f>
        <v/>
      </c>
      <c r="AE709" s="31" t="str">
        <f t="array" ref="AE709">IF($X709="","",INDEX(TARIFF_PROFILES!$K:$K,MATCH($X709,TARIFF_PROFILES!$A:$A,0)))</f>
        <v/>
      </c>
      <c r="AG709" s="8"/>
      <c r="AH709" s="8" t="str">
        <f>IF($AG709="","",SUMIFS(OPERATING_COEFFS!$C:$C,OPERATING_COEFFS!$A:$A,"DistanceClass",OPERATING_COEFFS!$B:$B,$AG709))</f>
        <v/>
      </c>
      <c r="AI709" s="8"/>
      <c r="AJ709" s="8" t="str">
        <f>IF($AI709="","",SUMIFS(OPERATING_COEFFS!$C:$C,OPERATING_COEFFS!$A:$A,"SeasonClass",OPERATING_COEFFS!$B:$B,$AI709))</f>
        <v/>
      </c>
      <c r="AK709" s="8"/>
      <c r="AL709" s="8" t="str">
        <f>IF($AK709="","",SUMIFS(OPERATING_COEFFS!$C:$C,OPERATING_COEFFS!$A:$A,"UrgencyClass",OPERATING_COEFFS!$B:$B,$AK709))</f>
        <v/>
      </c>
      <c r="AM709" s="8"/>
      <c r="AN709" s="8" t="str">
        <f t="array" ref="AN709">IF($AM709="","",INDEX(TAX_MODES!$B:$B,MATCH($AM709,TAX_MODES!$A:$A,0)))</f>
        <v/>
      </c>
    </row>
    <row r="710" ht="14.25" customHeight="1">
      <c r="C710" s="8"/>
      <c r="E710" s="8"/>
      <c r="G710" s="8"/>
      <c r="I710" s="8"/>
      <c r="K710" s="8"/>
      <c r="M710" s="8"/>
      <c r="O710" s="8"/>
      <c r="Q710" s="8"/>
      <c r="S710" s="8"/>
      <c r="V710" s="8"/>
      <c r="X710" s="31"/>
      <c r="Y710" s="31" t="str">
        <f>IF($X710="","",SUMIFS(TARIFF_PROFILES!$D:$D,TARIFF_PROFILES!$A:$A,$X710))</f>
        <v/>
      </c>
      <c r="Z710" s="31" t="str">
        <f>IF($X710="","",SUMIFS(TARIFF_PROFILES!$E:$E,TARIFF_PROFILES!$A:$A,$X710))</f>
        <v/>
      </c>
      <c r="AA710" s="31" t="str">
        <f>IF($X710="","",SUMIFS(TARIFF_PROFILES!$F:$F,TARIFF_PROFILES!$A:$A,$X710))</f>
        <v/>
      </c>
      <c r="AB710" s="31" t="str">
        <f>IF($X710="","",SUMIFS(TARIFF_PROFILES!$G:$G,TARIFF_PROFILES!$A:$A,$X710))</f>
        <v/>
      </c>
      <c r="AC710" s="31" t="str">
        <f>IF($X710="","",SUMIFS(TARIFF_PROFILES!$H:$H,TARIFF_PROFILES!$A:$A,$X710))</f>
        <v/>
      </c>
      <c r="AD710" s="31" t="str">
        <f t="array" ref="AD710">IF($X710="","",INDEX(TARIFF_PROFILES!$J:$J,MATCH($X710,TARIFF_PROFILES!$A:$A,0)))</f>
        <v/>
      </c>
      <c r="AE710" s="31" t="str">
        <f t="array" ref="AE710">IF($X710="","",INDEX(TARIFF_PROFILES!$K:$K,MATCH($X710,TARIFF_PROFILES!$A:$A,0)))</f>
        <v/>
      </c>
      <c r="AG710" s="8"/>
      <c r="AH710" s="8" t="str">
        <f>IF($AG710="","",SUMIFS(OPERATING_COEFFS!$C:$C,OPERATING_COEFFS!$A:$A,"DistanceClass",OPERATING_COEFFS!$B:$B,$AG710))</f>
        <v/>
      </c>
      <c r="AI710" s="8"/>
      <c r="AJ710" s="8" t="str">
        <f>IF($AI710="","",SUMIFS(OPERATING_COEFFS!$C:$C,OPERATING_COEFFS!$A:$A,"SeasonClass",OPERATING_COEFFS!$B:$B,$AI710))</f>
        <v/>
      </c>
      <c r="AK710" s="8"/>
      <c r="AL710" s="8" t="str">
        <f>IF($AK710="","",SUMIFS(OPERATING_COEFFS!$C:$C,OPERATING_COEFFS!$A:$A,"UrgencyClass",OPERATING_COEFFS!$B:$B,$AK710))</f>
        <v/>
      </c>
      <c r="AM710" s="8"/>
      <c r="AN710" s="8" t="str">
        <f t="array" ref="AN710">IF($AM710="","",INDEX(TAX_MODES!$B:$B,MATCH($AM710,TAX_MODES!$A:$A,0)))</f>
        <v/>
      </c>
    </row>
    <row r="711" ht="14.25" customHeight="1">
      <c r="C711" s="8"/>
      <c r="E711" s="8"/>
      <c r="G711" s="8"/>
      <c r="I711" s="8"/>
      <c r="K711" s="8"/>
      <c r="M711" s="8"/>
      <c r="O711" s="8"/>
      <c r="Q711" s="8"/>
      <c r="S711" s="8"/>
      <c r="V711" s="8"/>
      <c r="X711" s="31"/>
      <c r="Y711" s="31" t="str">
        <f>IF($X711="","",SUMIFS(TARIFF_PROFILES!$D:$D,TARIFF_PROFILES!$A:$A,$X711))</f>
        <v/>
      </c>
      <c r="Z711" s="31" t="str">
        <f>IF($X711="","",SUMIFS(TARIFF_PROFILES!$E:$E,TARIFF_PROFILES!$A:$A,$X711))</f>
        <v/>
      </c>
      <c r="AA711" s="31" t="str">
        <f>IF($X711="","",SUMIFS(TARIFF_PROFILES!$F:$F,TARIFF_PROFILES!$A:$A,$X711))</f>
        <v/>
      </c>
      <c r="AB711" s="31" t="str">
        <f>IF($X711="","",SUMIFS(TARIFF_PROFILES!$G:$G,TARIFF_PROFILES!$A:$A,$X711))</f>
        <v/>
      </c>
      <c r="AC711" s="31" t="str">
        <f>IF($X711="","",SUMIFS(TARIFF_PROFILES!$H:$H,TARIFF_PROFILES!$A:$A,$X711))</f>
        <v/>
      </c>
      <c r="AD711" s="31" t="str">
        <f t="array" ref="AD711">IF($X711="","",INDEX(TARIFF_PROFILES!$J:$J,MATCH($X711,TARIFF_PROFILES!$A:$A,0)))</f>
        <v/>
      </c>
      <c r="AE711" s="31" t="str">
        <f t="array" ref="AE711">IF($X711="","",INDEX(TARIFF_PROFILES!$K:$K,MATCH($X711,TARIFF_PROFILES!$A:$A,0)))</f>
        <v/>
      </c>
      <c r="AG711" s="8"/>
      <c r="AH711" s="8" t="str">
        <f>IF($AG711="","",SUMIFS(OPERATING_COEFFS!$C:$C,OPERATING_COEFFS!$A:$A,"DistanceClass",OPERATING_COEFFS!$B:$B,$AG711))</f>
        <v/>
      </c>
      <c r="AI711" s="8"/>
      <c r="AJ711" s="8" t="str">
        <f>IF($AI711="","",SUMIFS(OPERATING_COEFFS!$C:$C,OPERATING_COEFFS!$A:$A,"SeasonClass",OPERATING_COEFFS!$B:$B,$AI711))</f>
        <v/>
      </c>
      <c r="AK711" s="8"/>
      <c r="AL711" s="8" t="str">
        <f>IF($AK711="","",SUMIFS(OPERATING_COEFFS!$C:$C,OPERATING_COEFFS!$A:$A,"UrgencyClass",OPERATING_COEFFS!$B:$B,$AK711))</f>
        <v/>
      </c>
      <c r="AM711" s="8"/>
      <c r="AN711" s="8" t="str">
        <f t="array" ref="AN711">IF($AM711="","",INDEX(TAX_MODES!$B:$B,MATCH($AM711,TAX_MODES!$A:$A,0)))</f>
        <v/>
      </c>
    </row>
    <row r="712" ht="14.25" customHeight="1">
      <c r="C712" s="8"/>
      <c r="E712" s="8"/>
      <c r="G712" s="8"/>
      <c r="I712" s="8"/>
      <c r="K712" s="8"/>
      <c r="M712" s="8"/>
      <c r="O712" s="8"/>
      <c r="Q712" s="8"/>
      <c r="S712" s="8"/>
      <c r="V712" s="8"/>
      <c r="X712" s="31"/>
      <c r="Y712" s="31" t="str">
        <f>IF($X712="","",SUMIFS(TARIFF_PROFILES!$D:$D,TARIFF_PROFILES!$A:$A,$X712))</f>
        <v/>
      </c>
      <c r="Z712" s="31" t="str">
        <f>IF($X712="","",SUMIFS(TARIFF_PROFILES!$E:$E,TARIFF_PROFILES!$A:$A,$X712))</f>
        <v/>
      </c>
      <c r="AA712" s="31" t="str">
        <f>IF($X712="","",SUMIFS(TARIFF_PROFILES!$F:$F,TARIFF_PROFILES!$A:$A,$X712))</f>
        <v/>
      </c>
      <c r="AB712" s="31" t="str">
        <f>IF($X712="","",SUMIFS(TARIFF_PROFILES!$G:$G,TARIFF_PROFILES!$A:$A,$X712))</f>
        <v/>
      </c>
      <c r="AC712" s="31" t="str">
        <f>IF($X712="","",SUMIFS(TARIFF_PROFILES!$H:$H,TARIFF_PROFILES!$A:$A,$X712))</f>
        <v/>
      </c>
      <c r="AD712" s="31" t="str">
        <f t="array" ref="AD712">IF($X712="","",INDEX(TARIFF_PROFILES!$J:$J,MATCH($X712,TARIFF_PROFILES!$A:$A,0)))</f>
        <v/>
      </c>
      <c r="AE712" s="31" t="str">
        <f t="array" ref="AE712">IF($X712="","",INDEX(TARIFF_PROFILES!$K:$K,MATCH($X712,TARIFF_PROFILES!$A:$A,0)))</f>
        <v/>
      </c>
      <c r="AG712" s="8"/>
      <c r="AH712" s="8" t="str">
        <f>IF($AG712="","",SUMIFS(OPERATING_COEFFS!$C:$C,OPERATING_COEFFS!$A:$A,"DistanceClass",OPERATING_COEFFS!$B:$B,$AG712))</f>
        <v/>
      </c>
      <c r="AI712" s="8"/>
      <c r="AJ712" s="8" t="str">
        <f>IF($AI712="","",SUMIFS(OPERATING_COEFFS!$C:$C,OPERATING_COEFFS!$A:$A,"SeasonClass",OPERATING_COEFFS!$B:$B,$AI712))</f>
        <v/>
      </c>
      <c r="AK712" s="8"/>
      <c r="AL712" s="8" t="str">
        <f>IF($AK712="","",SUMIFS(OPERATING_COEFFS!$C:$C,OPERATING_COEFFS!$A:$A,"UrgencyClass",OPERATING_COEFFS!$B:$B,$AK712))</f>
        <v/>
      </c>
      <c r="AM712" s="8"/>
      <c r="AN712" s="8" t="str">
        <f t="array" ref="AN712">IF($AM712="","",INDEX(TAX_MODES!$B:$B,MATCH($AM712,TAX_MODES!$A:$A,0)))</f>
        <v/>
      </c>
    </row>
    <row r="713" ht="14.25" customHeight="1">
      <c r="C713" s="8"/>
      <c r="E713" s="8"/>
      <c r="G713" s="8"/>
      <c r="I713" s="8"/>
      <c r="K713" s="8"/>
      <c r="M713" s="8"/>
      <c r="O713" s="8"/>
      <c r="Q713" s="8"/>
      <c r="S713" s="8"/>
      <c r="V713" s="8"/>
      <c r="X713" s="31"/>
      <c r="Y713" s="31" t="str">
        <f>IF($X713="","",SUMIFS(TARIFF_PROFILES!$D:$D,TARIFF_PROFILES!$A:$A,$X713))</f>
        <v/>
      </c>
      <c r="Z713" s="31" t="str">
        <f>IF($X713="","",SUMIFS(TARIFF_PROFILES!$E:$E,TARIFF_PROFILES!$A:$A,$X713))</f>
        <v/>
      </c>
      <c r="AA713" s="31" t="str">
        <f>IF($X713="","",SUMIFS(TARIFF_PROFILES!$F:$F,TARIFF_PROFILES!$A:$A,$X713))</f>
        <v/>
      </c>
      <c r="AB713" s="31" t="str">
        <f>IF($X713="","",SUMIFS(TARIFF_PROFILES!$G:$G,TARIFF_PROFILES!$A:$A,$X713))</f>
        <v/>
      </c>
      <c r="AC713" s="31" t="str">
        <f>IF($X713="","",SUMIFS(TARIFF_PROFILES!$H:$H,TARIFF_PROFILES!$A:$A,$X713))</f>
        <v/>
      </c>
      <c r="AD713" s="31" t="str">
        <f t="array" ref="AD713">IF($X713="","",INDEX(TARIFF_PROFILES!$J:$J,MATCH($X713,TARIFF_PROFILES!$A:$A,0)))</f>
        <v/>
      </c>
      <c r="AE713" s="31" t="str">
        <f t="array" ref="AE713">IF($X713="","",INDEX(TARIFF_PROFILES!$K:$K,MATCH($X713,TARIFF_PROFILES!$A:$A,0)))</f>
        <v/>
      </c>
      <c r="AG713" s="8"/>
      <c r="AH713" s="8" t="str">
        <f>IF($AG713="","",SUMIFS(OPERATING_COEFFS!$C:$C,OPERATING_COEFFS!$A:$A,"DistanceClass",OPERATING_COEFFS!$B:$B,$AG713))</f>
        <v/>
      </c>
      <c r="AI713" s="8"/>
      <c r="AJ713" s="8" t="str">
        <f>IF($AI713="","",SUMIFS(OPERATING_COEFFS!$C:$C,OPERATING_COEFFS!$A:$A,"SeasonClass",OPERATING_COEFFS!$B:$B,$AI713))</f>
        <v/>
      </c>
      <c r="AK713" s="8"/>
      <c r="AL713" s="8" t="str">
        <f>IF($AK713="","",SUMIFS(OPERATING_COEFFS!$C:$C,OPERATING_COEFFS!$A:$A,"UrgencyClass",OPERATING_COEFFS!$B:$B,$AK713))</f>
        <v/>
      </c>
      <c r="AM713" s="8"/>
      <c r="AN713" s="8" t="str">
        <f t="array" ref="AN713">IF($AM713="","",INDEX(TAX_MODES!$B:$B,MATCH($AM713,TAX_MODES!$A:$A,0)))</f>
        <v/>
      </c>
    </row>
    <row r="714" ht="14.25" customHeight="1">
      <c r="C714" s="8"/>
      <c r="E714" s="8"/>
      <c r="G714" s="8"/>
      <c r="I714" s="8"/>
      <c r="K714" s="8"/>
      <c r="M714" s="8"/>
      <c r="O714" s="8"/>
      <c r="Q714" s="8"/>
      <c r="S714" s="8"/>
      <c r="V714" s="8"/>
      <c r="X714" s="31"/>
      <c r="Y714" s="31" t="str">
        <f>IF($X714="","",SUMIFS(TARIFF_PROFILES!$D:$D,TARIFF_PROFILES!$A:$A,$X714))</f>
        <v/>
      </c>
      <c r="Z714" s="31" t="str">
        <f>IF($X714="","",SUMIFS(TARIFF_PROFILES!$E:$E,TARIFF_PROFILES!$A:$A,$X714))</f>
        <v/>
      </c>
      <c r="AA714" s="31" t="str">
        <f>IF($X714="","",SUMIFS(TARIFF_PROFILES!$F:$F,TARIFF_PROFILES!$A:$A,$X714))</f>
        <v/>
      </c>
      <c r="AB714" s="31" t="str">
        <f>IF($X714="","",SUMIFS(TARIFF_PROFILES!$G:$G,TARIFF_PROFILES!$A:$A,$X714))</f>
        <v/>
      </c>
      <c r="AC714" s="31" t="str">
        <f>IF($X714="","",SUMIFS(TARIFF_PROFILES!$H:$H,TARIFF_PROFILES!$A:$A,$X714))</f>
        <v/>
      </c>
      <c r="AD714" s="31" t="str">
        <f t="array" ref="AD714">IF($X714="","",INDEX(TARIFF_PROFILES!$J:$J,MATCH($X714,TARIFF_PROFILES!$A:$A,0)))</f>
        <v/>
      </c>
      <c r="AE714" s="31" t="str">
        <f t="array" ref="AE714">IF($X714="","",INDEX(TARIFF_PROFILES!$K:$K,MATCH($X714,TARIFF_PROFILES!$A:$A,0)))</f>
        <v/>
      </c>
      <c r="AG714" s="8"/>
      <c r="AH714" s="8" t="str">
        <f>IF($AG714="","",SUMIFS(OPERATING_COEFFS!$C:$C,OPERATING_COEFFS!$A:$A,"DistanceClass",OPERATING_COEFFS!$B:$B,$AG714))</f>
        <v/>
      </c>
      <c r="AI714" s="8"/>
      <c r="AJ714" s="8" t="str">
        <f>IF($AI714="","",SUMIFS(OPERATING_COEFFS!$C:$C,OPERATING_COEFFS!$A:$A,"SeasonClass",OPERATING_COEFFS!$B:$B,$AI714))</f>
        <v/>
      </c>
      <c r="AK714" s="8"/>
      <c r="AL714" s="8" t="str">
        <f>IF($AK714="","",SUMIFS(OPERATING_COEFFS!$C:$C,OPERATING_COEFFS!$A:$A,"UrgencyClass",OPERATING_COEFFS!$B:$B,$AK714))</f>
        <v/>
      </c>
      <c r="AM714" s="8"/>
      <c r="AN714" s="8" t="str">
        <f t="array" ref="AN714">IF($AM714="","",INDEX(TAX_MODES!$B:$B,MATCH($AM714,TAX_MODES!$A:$A,0)))</f>
        <v/>
      </c>
    </row>
    <row r="715" ht="14.25" customHeight="1">
      <c r="C715" s="8"/>
      <c r="E715" s="8"/>
      <c r="G715" s="8"/>
      <c r="I715" s="8"/>
      <c r="K715" s="8"/>
      <c r="M715" s="8"/>
      <c r="O715" s="8"/>
      <c r="Q715" s="8"/>
      <c r="S715" s="8"/>
      <c r="V715" s="8"/>
      <c r="X715" s="31"/>
      <c r="Y715" s="31" t="str">
        <f>IF($X715="","",SUMIFS(TARIFF_PROFILES!$D:$D,TARIFF_PROFILES!$A:$A,$X715))</f>
        <v/>
      </c>
      <c r="Z715" s="31" t="str">
        <f>IF($X715="","",SUMIFS(TARIFF_PROFILES!$E:$E,TARIFF_PROFILES!$A:$A,$X715))</f>
        <v/>
      </c>
      <c r="AA715" s="31" t="str">
        <f>IF($X715="","",SUMIFS(TARIFF_PROFILES!$F:$F,TARIFF_PROFILES!$A:$A,$X715))</f>
        <v/>
      </c>
      <c r="AB715" s="31" t="str">
        <f>IF($X715="","",SUMIFS(TARIFF_PROFILES!$G:$G,TARIFF_PROFILES!$A:$A,$X715))</f>
        <v/>
      </c>
      <c r="AC715" s="31" t="str">
        <f>IF($X715="","",SUMIFS(TARIFF_PROFILES!$H:$H,TARIFF_PROFILES!$A:$A,$X715))</f>
        <v/>
      </c>
      <c r="AD715" s="31" t="str">
        <f t="array" ref="AD715">IF($X715="","",INDEX(TARIFF_PROFILES!$J:$J,MATCH($X715,TARIFF_PROFILES!$A:$A,0)))</f>
        <v/>
      </c>
      <c r="AE715" s="31" t="str">
        <f t="array" ref="AE715">IF($X715="","",INDEX(TARIFF_PROFILES!$K:$K,MATCH($X715,TARIFF_PROFILES!$A:$A,0)))</f>
        <v/>
      </c>
      <c r="AG715" s="8"/>
      <c r="AH715" s="8" t="str">
        <f>IF($AG715="","",SUMIFS(OPERATING_COEFFS!$C:$C,OPERATING_COEFFS!$A:$A,"DistanceClass",OPERATING_COEFFS!$B:$B,$AG715))</f>
        <v/>
      </c>
      <c r="AI715" s="8"/>
      <c r="AJ715" s="8" t="str">
        <f>IF($AI715="","",SUMIFS(OPERATING_COEFFS!$C:$C,OPERATING_COEFFS!$A:$A,"SeasonClass",OPERATING_COEFFS!$B:$B,$AI715))</f>
        <v/>
      </c>
      <c r="AK715" s="8"/>
      <c r="AL715" s="8" t="str">
        <f>IF($AK715="","",SUMIFS(OPERATING_COEFFS!$C:$C,OPERATING_COEFFS!$A:$A,"UrgencyClass",OPERATING_COEFFS!$B:$B,$AK715))</f>
        <v/>
      </c>
      <c r="AM715" s="8"/>
      <c r="AN715" s="8" t="str">
        <f t="array" ref="AN715">IF($AM715="","",INDEX(TAX_MODES!$B:$B,MATCH($AM715,TAX_MODES!$A:$A,0)))</f>
        <v/>
      </c>
    </row>
    <row r="716" ht="14.25" customHeight="1">
      <c r="C716" s="8"/>
      <c r="E716" s="8"/>
      <c r="G716" s="8"/>
      <c r="I716" s="8"/>
      <c r="K716" s="8"/>
      <c r="M716" s="8"/>
      <c r="O716" s="8"/>
      <c r="Q716" s="8"/>
      <c r="S716" s="8"/>
      <c r="V716" s="8"/>
      <c r="X716" s="31"/>
      <c r="Y716" s="31" t="str">
        <f>IF($X716="","",SUMIFS(TARIFF_PROFILES!$D:$D,TARIFF_PROFILES!$A:$A,$X716))</f>
        <v/>
      </c>
      <c r="Z716" s="31" t="str">
        <f>IF($X716="","",SUMIFS(TARIFF_PROFILES!$E:$E,TARIFF_PROFILES!$A:$A,$X716))</f>
        <v/>
      </c>
      <c r="AA716" s="31" t="str">
        <f>IF($X716="","",SUMIFS(TARIFF_PROFILES!$F:$F,TARIFF_PROFILES!$A:$A,$X716))</f>
        <v/>
      </c>
      <c r="AB716" s="31" t="str">
        <f>IF($X716="","",SUMIFS(TARIFF_PROFILES!$G:$G,TARIFF_PROFILES!$A:$A,$X716))</f>
        <v/>
      </c>
      <c r="AC716" s="31" t="str">
        <f>IF($X716="","",SUMIFS(TARIFF_PROFILES!$H:$H,TARIFF_PROFILES!$A:$A,$X716))</f>
        <v/>
      </c>
      <c r="AD716" s="31" t="str">
        <f t="array" ref="AD716">IF($X716="","",INDEX(TARIFF_PROFILES!$J:$J,MATCH($X716,TARIFF_PROFILES!$A:$A,0)))</f>
        <v/>
      </c>
      <c r="AE716" s="31" t="str">
        <f t="array" ref="AE716">IF($X716="","",INDEX(TARIFF_PROFILES!$K:$K,MATCH($X716,TARIFF_PROFILES!$A:$A,0)))</f>
        <v/>
      </c>
      <c r="AG716" s="8"/>
      <c r="AH716" s="8" t="str">
        <f>IF($AG716="","",SUMIFS(OPERATING_COEFFS!$C:$C,OPERATING_COEFFS!$A:$A,"DistanceClass",OPERATING_COEFFS!$B:$B,$AG716))</f>
        <v/>
      </c>
      <c r="AI716" s="8"/>
      <c r="AJ716" s="8" t="str">
        <f>IF($AI716="","",SUMIFS(OPERATING_COEFFS!$C:$C,OPERATING_COEFFS!$A:$A,"SeasonClass",OPERATING_COEFFS!$B:$B,$AI716))</f>
        <v/>
      </c>
      <c r="AK716" s="8"/>
      <c r="AL716" s="8" t="str">
        <f>IF($AK716="","",SUMIFS(OPERATING_COEFFS!$C:$C,OPERATING_COEFFS!$A:$A,"UrgencyClass",OPERATING_COEFFS!$B:$B,$AK716))</f>
        <v/>
      </c>
      <c r="AM716" s="8"/>
      <c r="AN716" s="8" t="str">
        <f t="array" ref="AN716">IF($AM716="","",INDEX(TAX_MODES!$B:$B,MATCH($AM716,TAX_MODES!$A:$A,0)))</f>
        <v/>
      </c>
    </row>
    <row r="717" ht="14.25" customHeight="1">
      <c r="C717" s="8"/>
      <c r="E717" s="8"/>
      <c r="G717" s="8"/>
      <c r="I717" s="8"/>
      <c r="K717" s="8"/>
      <c r="M717" s="8"/>
      <c r="O717" s="8"/>
      <c r="Q717" s="8"/>
      <c r="S717" s="8"/>
      <c r="V717" s="8"/>
      <c r="X717" s="31"/>
      <c r="Y717" s="31" t="str">
        <f>IF($X717="","",SUMIFS(TARIFF_PROFILES!$D:$D,TARIFF_PROFILES!$A:$A,$X717))</f>
        <v/>
      </c>
      <c r="Z717" s="31" t="str">
        <f>IF($X717="","",SUMIFS(TARIFF_PROFILES!$E:$E,TARIFF_PROFILES!$A:$A,$X717))</f>
        <v/>
      </c>
      <c r="AA717" s="31" t="str">
        <f>IF($X717="","",SUMIFS(TARIFF_PROFILES!$F:$F,TARIFF_PROFILES!$A:$A,$X717))</f>
        <v/>
      </c>
      <c r="AB717" s="31" t="str">
        <f>IF($X717="","",SUMIFS(TARIFF_PROFILES!$G:$G,TARIFF_PROFILES!$A:$A,$X717))</f>
        <v/>
      </c>
      <c r="AC717" s="31" t="str">
        <f>IF($X717="","",SUMIFS(TARIFF_PROFILES!$H:$H,TARIFF_PROFILES!$A:$A,$X717))</f>
        <v/>
      </c>
      <c r="AD717" s="31" t="str">
        <f t="array" ref="AD717">IF($X717="","",INDEX(TARIFF_PROFILES!$J:$J,MATCH($X717,TARIFF_PROFILES!$A:$A,0)))</f>
        <v/>
      </c>
      <c r="AE717" s="31" t="str">
        <f t="array" ref="AE717">IF($X717="","",INDEX(TARIFF_PROFILES!$K:$K,MATCH($X717,TARIFF_PROFILES!$A:$A,0)))</f>
        <v/>
      </c>
      <c r="AG717" s="8"/>
      <c r="AH717" s="8" t="str">
        <f>IF($AG717="","",SUMIFS(OPERATING_COEFFS!$C:$C,OPERATING_COEFFS!$A:$A,"DistanceClass",OPERATING_COEFFS!$B:$B,$AG717))</f>
        <v/>
      </c>
      <c r="AI717" s="8"/>
      <c r="AJ717" s="8" t="str">
        <f>IF($AI717="","",SUMIFS(OPERATING_COEFFS!$C:$C,OPERATING_COEFFS!$A:$A,"SeasonClass",OPERATING_COEFFS!$B:$B,$AI717))</f>
        <v/>
      </c>
      <c r="AK717" s="8"/>
      <c r="AL717" s="8" t="str">
        <f>IF($AK717="","",SUMIFS(OPERATING_COEFFS!$C:$C,OPERATING_COEFFS!$A:$A,"UrgencyClass",OPERATING_COEFFS!$B:$B,$AK717))</f>
        <v/>
      </c>
      <c r="AM717" s="8"/>
      <c r="AN717" s="8" t="str">
        <f t="array" ref="AN717">IF($AM717="","",INDEX(TAX_MODES!$B:$B,MATCH($AM717,TAX_MODES!$A:$A,0)))</f>
        <v/>
      </c>
    </row>
    <row r="718" ht="14.25" customHeight="1">
      <c r="C718" s="8"/>
      <c r="E718" s="8"/>
      <c r="G718" s="8"/>
      <c r="I718" s="8"/>
      <c r="K718" s="8"/>
      <c r="M718" s="8"/>
      <c r="O718" s="8"/>
      <c r="Q718" s="8"/>
      <c r="S718" s="8"/>
      <c r="V718" s="8"/>
      <c r="X718" s="31"/>
      <c r="Y718" s="31" t="str">
        <f>IF($X718="","",SUMIFS(TARIFF_PROFILES!$D:$D,TARIFF_PROFILES!$A:$A,$X718))</f>
        <v/>
      </c>
      <c r="Z718" s="31" t="str">
        <f>IF($X718="","",SUMIFS(TARIFF_PROFILES!$E:$E,TARIFF_PROFILES!$A:$A,$X718))</f>
        <v/>
      </c>
      <c r="AA718" s="31" t="str">
        <f>IF($X718="","",SUMIFS(TARIFF_PROFILES!$F:$F,TARIFF_PROFILES!$A:$A,$X718))</f>
        <v/>
      </c>
      <c r="AB718" s="31" t="str">
        <f>IF($X718="","",SUMIFS(TARIFF_PROFILES!$G:$G,TARIFF_PROFILES!$A:$A,$X718))</f>
        <v/>
      </c>
      <c r="AC718" s="31" t="str">
        <f>IF($X718="","",SUMIFS(TARIFF_PROFILES!$H:$H,TARIFF_PROFILES!$A:$A,$X718))</f>
        <v/>
      </c>
      <c r="AD718" s="31" t="str">
        <f t="array" ref="AD718">IF($X718="","",INDEX(TARIFF_PROFILES!$J:$J,MATCH($X718,TARIFF_PROFILES!$A:$A,0)))</f>
        <v/>
      </c>
      <c r="AE718" s="31" t="str">
        <f t="array" ref="AE718">IF($X718="","",INDEX(TARIFF_PROFILES!$K:$K,MATCH($X718,TARIFF_PROFILES!$A:$A,0)))</f>
        <v/>
      </c>
      <c r="AG718" s="8"/>
      <c r="AH718" s="8" t="str">
        <f>IF($AG718="","",SUMIFS(OPERATING_COEFFS!$C:$C,OPERATING_COEFFS!$A:$A,"DistanceClass",OPERATING_COEFFS!$B:$B,$AG718))</f>
        <v/>
      </c>
      <c r="AI718" s="8"/>
      <c r="AJ718" s="8" t="str">
        <f>IF($AI718="","",SUMIFS(OPERATING_COEFFS!$C:$C,OPERATING_COEFFS!$A:$A,"SeasonClass",OPERATING_COEFFS!$B:$B,$AI718))</f>
        <v/>
      </c>
      <c r="AK718" s="8"/>
      <c r="AL718" s="8" t="str">
        <f>IF($AK718="","",SUMIFS(OPERATING_COEFFS!$C:$C,OPERATING_COEFFS!$A:$A,"UrgencyClass",OPERATING_COEFFS!$B:$B,$AK718))</f>
        <v/>
      </c>
      <c r="AM718" s="8"/>
      <c r="AN718" s="8" t="str">
        <f t="array" ref="AN718">IF($AM718="","",INDEX(TAX_MODES!$B:$B,MATCH($AM718,TAX_MODES!$A:$A,0)))</f>
        <v/>
      </c>
    </row>
    <row r="719" ht="14.25" customHeight="1">
      <c r="C719" s="8"/>
      <c r="E719" s="8"/>
      <c r="G719" s="8"/>
      <c r="I719" s="8"/>
      <c r="K719" s="8"/>
      <c r="M719" s="8"/>
      <c r="O719" s="8"/>
      <c r="Q719" s="8"/>
      <c r="S719" s="8"/>
      <c r="V719" s="8"/>
      <c r="X719" s="31"/>
      <c r="Y719" s="31" t="str">
        <f>IF($X719="","",SUMIFS(TARIFF_PROFILES!$D:$D,TARIFF_PROFILES!$A:$A,$X719))</f>
        <v/>
      </c>
      <c r="Z719" s="31" t="str">
        <f>IF($X719="","",SUMIFS(TARIFF_PROFILES!$E:$E,TARIFF_PROFILES!$A:$A,$X719))</f>
        <v/>
      </c>
      <c r="AA719" s="31" t="str">
        <f>IF($X719="","",SUMIFS(TARIFF_PROFILES!$F:$F,TARIFF_PROFILES!$A:$A,$X719))</f>
        <v/>
      </c>
      <c r="AB719" s="31" t="str">
        <f>IF($X719="","",SUMIFS(TARIFF_PROFILES!$G:$G,TARIFF_PROFILES!$A:$A,$X719))</f>
        <v/>
      </c>
      <c r="AC719" s="31" t="str">
        <f>IF($X719="","",SUMIFS(TARIFF_PROFILES!$H:$H,TARIFF_PROFILES!$A:$A,$X719))</f>
        <v/>
      </c>
      <c r="AD719" s="31" t="str">
        <f t="array" ref="AD719">IF($X719="","",INDEX(TARIFF_PROFILES!$J:$J,MATCH($X719,TARIFF_PROFILES!$A:$A,0)))</f>
        <v/>
      </c>
      <c r="AE719" s="31" t="str">
        <f t="array" ref="AE719">IF($X719="","",INDEX(TARIFF_PROFILES!$K:$K,MATCH($X719,TARIFF_PROFILES!$A:$A,0)))</f>
        <v/>
      </c>
      <c r="AG719" s="8"/>
      <c r="AH719" s="8" t="str">
        <f>IF($AG719="","",SUMIFS(OPERATING_COEFFS!$C:$C,OPERATING_COEFFS!$A:$A,"DistanceClass",OPERATING_COEFFS!$B:$B,$AG719))</f>
        <v/>
      </c>
      <c r="AI719" s="8"/>
      <c r="AJ719" s="8" t="str">
        <f>IF($AI719="","",SUMIFS(OPERATING_COEFFS!$C:$C,OPERATING_COEFFS!$A:$A,"SeasonClass",OPERATING_COEFFS!$B:$B,$AI719))</f>
        <v/>
      </c>
      <c r="AK719" s="8"/>
      <c r="AL719" s="8" t="str">
        <f>IF($AK719="","",SUMIFS(OPERATING_COEFFS!$C:$C,OPERATING_COEFFS!$A:$A,"UrgencyClass",OPERATING_COEFFS!$B:$B,$AK719))</f>
        <v/>
      </c>
      <c r="AM719" s="8"/>
      <c r="AN719" s="8" t="str">
        <f t="array" ref="AN719">IF($AM719="","",INDEX(TAX_MODES!$B:$B,MATCH($AM719,TAX_MODES!$A:$A,0)))</f>
        <v/>
      </c>
    </row>
    <row r="720" ht="14.25" customHeight="1">
      <c r="C720" s="8"/>
      <c r="E720" s="8"/>
      <c r="G720" s="8"/>
      <c r="I720" s="8"/>
      <c r="K720" s="8"/>
      <c r="M720" s="8"/>
      <c r="O720" s="8"/>
      <c r="Q720" s="8"/>
      <c r="S720" s="8"/>
      <c r="V720" s="8"/>
      <c r="X720" s="31"/>
      <c r="Y720" s="31" t="str">
        <f>IF($X720="","",SUMIFS(TARIFF_PROFILES!$D:$D,TARIFF_PROFILES!$A:$A,$X720))</f>
        <v/>
      </c>
      <c r="Z720" s="31" t="str">
        <f>IF($X720="","",SUMIFS(TARIFF_PROFILES!$E:$E,TARIFF_PROFILES!$A:$A,$X720))</f>
        <v/>
      </c>
      <c r="AA720" s="31" t="str">
        <f>IF($X720="","",SUMIFS(TARIFF_PROFILES!$F:$F,TARIFF_PROFILES!$A:$A,$X720))</f>
        <v/>
      </c>
      <c r="AB720" s="31" t="str">
        <f>IF($X720="","",SUMIFS(TARIFF_PROFILES!$G:$G,TARIFF_PROFILES!$A:$A,$X720))</f>
        <v/>
      </c>
      <c r="AC720" s="31" t="str">
        <f>IF($X720="","",SUMIFS(TARIFF_PROFILES!$H:$H,TARIFF_PROFILES!$A:$A,$X720))</f>
        <v/>
      </c>
      <c r="AD720" s="31" t="str">
        <f t="array" ref="AD720">IF($X720="","",INDEX(TARIFF_PROFILES!$J:$J,MATCH($X720,TARIFF_PROFILES!$A:$A,0)))</f>
        <v/>
      </c>
      <c r="AE720" s="31" t="str">
        <f t="array" ref="AE720">IF($X720="","",INDEX(TARIFF_PROFILES!$K:$K,MATCH($X720,TARIFF_PROFILES!$A:$A,0)))</f>
        <v/>
      </c>
      <c r="AG720" s="8"/>
      <c r="AH720" s="8" t="str">
        <f>IF($AG720="","",SUMIFS(OPERATING_COEFFS!$C:$C,OPERATING_COEFFS!$A:$A,"DistanceClass",OPERATING_COEFFS!$B:$B,$AG720))</f>
        <v/>
      </c>
      <c r="AI720" s="8"/>
      <c r="AJ720" s="8" t="str">
        <f>IF($AI720="","",SUMIFS(OPERATING_COEFFS!$C:$C,OPERATING_COEFFS!$A:$A,"SeasonClass",OPERATING_COEFFS!$B:$B,$AI720))</f>
        <v/>
      </c>
      <c r="AK720" s="8"/>
      <c r="AL720" s="8" t="str">
        <f>IF($AK720="","",SUMIFS(OPERATING_COEFFS!$C:$C,OPERATING_COEFFS!$A:$A,"UrgencyClass",OPERATING_COEFFS!$B:$B,$AK720))</f>
        <v/>
      </c>
      <c r="AM720" s="8"/>
      <c r="AN720" s="8" t="str">
        <f t="array" ref="AN720">IF($AM720="","",INDEX(TAX_MODES!$B:$B,MATCH($AM720,TAX_MODES!$A:$A,0)))</f>
        <v/>
      </c>
    </row>
    <row r="721" ht="14.25" customHeight="1">
      <c r="C721" s="8"/>
      <c r="E721" s="8"/>
      <c r="G721" s="8"/>
      <c r="I721" s="8"/>
      <c r="K721" s="8"/>
      <c r="M721" s="8"/>
      <c r="O721" s="8"/>
      <c r="Q721" s="8"/>
      <c r="S721" s="8"/>
      <c r="V721" s="8"/>
      <c r="X721" s="31"/>
      <c r="Y721" s="31" t="str">
        <f>IF($X721="","",SUMIFS(TARIFF_PROFILES!$D:$D,TARIFF_PROFILES!$A:$A,$X721))</f>
        <v/>
      </c>
      <c r="Z721" s="31" t="str">
        <f>IF($X721="","",SUMIFS(TARIFF_PROFILES!$E:$E,TARIFF_PROFILES!$A:$A,$X721))</f>
        <v/>
      </c>
      <c r="AA721" s="31" t="str">
        <f>IF($X721="","",SUMIFS(TARIFF_PROFILES!$F:$F,TARIFF_PROFILES!$A:$A,$X721))</f>
        <v/>
      </c>
      <c r="AB721" s="31" t="str">
        <f>IF($X721="","",SUMIFS(TARIFF_PROFILES!$G:$G,TARIFF_PROFILES!$A:$A,$X721))</f>
        <v/>
      </c>
      <c r="AC721" s="31" t="str">
        <f>IF($X721="","",SUMIFS(TARIFF_PROFILES!$H:$H,TARIFF_PROFILES!$A:$A,$X721))</f>
        <v/>
      </c>
      <c r="AD721" s="31" t="str">
        <f t="array" ref="AD721">IF($X721="","",INDEX(TARIFF_PROFILES!$J:$J,MATCH($X721,TARIFF_PROFILES!$A:$A,0)))</f>
        <v/>
      </c>
      <c r="AE721" s="31" t="str">
        <f t="array" ref="AE721">IF($X721="","",INDEX(TARIFF_PROFILES!$K:$K,MATCH($X721,TARIFF_PROFILES!$A:$A,0)))</f>
        <v/>
      </c>
      <c r="AG721" s="8"/>
      <c r="AH721" s="8" t="str">
        <f>IF($AG721="","",SUMIFS(OPERATING_COEFFS!$C:$C,OPERATING_COEFFS!$A:$A,"DistanceClass",OPERATING_COEFFS!$B:$B,$AG721))</f>
        <v/>
      </c>
      <c r="AI721" s="8"/>
      <c r="AJ721" s="8" t="str">
        <f>IF($AI721="","",SUMIFS(OPERATING_COEFFS!$C:$C,OPERATING_COEFFS!$A:$A,"SeasonClass",OPERATING_COEFFS!$B:$B,$AI721))</f>
        <v/>
      </c>
      <c r="AK721" s="8"/>
      <c r="AL721" s="8" t="str">
        <f>IF($AK721="","",SUMIFS(OPERATING_COEFFS!$C:$C,OPERATING_COEFFS!$A:$A,"UrgencyClass",OPERATING_COEFFS!$B:$B,$AK721))</f>
        <v/>
      </c>
      <c r="AM721" s="8"/>
      <c r="AN721" s="8" t="str">
        <f t="array" ref="AN721">IF($AM721="","",INDEX(TAX_MODES!$B:$B,MATCH($AM721,TAX_MODES!$A:$A,0)))</f>
        <v/>
      </c>
    </row>
    <row r="722" ht="14.25" customHeight="1">
      <c r="C722" s="8"/>
      <c r="E722" s="8"/>
      <c r="G722" s="8"/>
      <c r="I722" s="8"/>
      <c r="K722" s="8"/>
      <c r="M722" s="8"/>
      <c r="O722" s="8"/>
      <c r="Q722" s="8"/>
      <c r="S722" s="8"/>
      <c r="V722" s="8"/>
      <c r="X722" s="31"/>
      <c r="Y722" s="31" t="str">
        <f>IF($X722="","",SUMIFS(TARIFF_PROFILES!$D:$D,TARIFF_PROFILES!$A:$A,$X722))</f>
        <v/>
      </c>
      <c r="Z722" s="31" t="str">
        <f>IF($X722="","",SUMIFS(TARIFF_PROFILES!$E:$E,TARIFF_PROFILES!$A:$A,$X722))</f>
        <v/>
      </c>
      <c r="AA722" s="31" t="str">
        <f>IF($X722="","",SUMIFS(TARIFF_PROFILES!$F:$F,TARIFF_PROFILES!$A:$A,$X722))</f>
        <v/>
      </c>
      <c r="AB722" s="31" t="str">
        <f>IF($X722="","",SUMIFS(TARIFF_PROFILES!$G:$G,TARIFF_PROFILES!$A:$A,$X722))</f>
        <v/>
      </c>
      <c r="AC722" s="31" t="str">
        <f>IF($X722="","",SUMIFS(TARIFF_PROFILES!$H:$H,TARIFF_PROFILES!$A:$A,$X722))</f>
        <v/>
      </c>
      <c r="AD722" s="31" t="str">
        <f t="array" ref="AD722">IF($X722="","",INDEX(TARIFF_PROFILES!$J:$J,MATCH($X722,TARIFF_PROFILES!$A:$A,0)))</f>
        <v/>
      </c>
      <c r="AE722" s="31" t="str">
        <f t="array" ref="AE722">IF($X722="","",INDEX(TARIFF_PROFILES!$K:$K,MATCH($X722,TARIFF_PROFILES!$A:$A,0)))</f>
        <v/>
      </c>
      <c r="AG722" s="8"/>
      <c r="AH722" s="8" t="str">
        <f>IF($AG722="","",SUMIFS(OPERATING_COEFFS!$C:$C,OPERATING_COEFFS!$A:$A,"DistanceClass",OPERATING_COEFFS!$B:$B,$AG722))</f>
        <v/>
      </c>
      <c r="AI722" s="8"/>
      <c r="AJ722" s="8" t="str">
        <f>IF($AI722="","",SUMIFS(OPERATING_COEFFS!$C:$C,OPERATING_COEFFS!$A:$A,"SeasonClass",OPERATING_COEFFS!$B:$B,$AI722))</f>
        <v/>
      </c>
      <c r="AK722" s="8"/>
      <c r="AL722" s="8" t="str">
        <f>IF($AK722="","",SUMIFS(OPERATING_COEFFS!$C:$C,OPERATING_COEFFS!$A:$A,"UrgencyClass",OPERATING_COEFFS!$B:$B,$AK722))</f>
        <v/>
      </c>
      <c r="AM722" s="8"/>
      <c r="AN722" s="8" t="str">
        <f t="array" ref="AN722">IF($AM722="","",INDEX(TAX_MODES!$B:$B,MATCH($AM722,TAX_MODES!$A:$A,0)))</f>
        <v/>
      </c>
    </row>
    <row r="723" ht="14.25" customHeight="1">
      <c r="C723" s="8"/>
      <c r="E723" s="8"/>
      <c r="G723" s="8"/>
      <c r="I723" s="8"/>
      <c r="K723" s="8"/>
      <c r="M723" s="8"/>
      <c r="O723" s="8"/>
      <c r="Q723" s="8"/>
      <c r="S723" s="8"/>
      <c r="V723" s="8"/>
      <c r="X723" s="31"/>
      <c r="Y723" s="31" t="str">
        <f>IF($X723="","",SUMIFS(TARIFF_PROFILES!$D:$D,TARIFF_PROFILES!$A:$A,$X723))</f>
        <v/>
      </c>
      <c r="Z723" s="31" t="str">
        <f>IF($X723="","",SUMIFS(TARIFF_PROFILES!$E:$E,TARIFF_PROFILES!$A:$A,$X723))</f>
        <v/>
      </c>
      <c r="AA723" s="31" t="str">
        <f>IF($X723="","",SUMIFS(TARIFF_PROFILES!$F:$F,TARIFF_PROFILES!$A:$A,$X723))</f>
        <v/>
      </c>
      <c r="AB723" s="31" t="str">
        <f>IF($X723="","",SUMIFS(TARIFF_PROFILES!$G:$G,TARIFF_PROFILES!$A:$A,$X723))</f>
        <v/>
      </c>
      <c r="AC723" s="31" t="str">
        <f>IF($X723="","",SUMIFS(TARIFF_PROFILES!$H:$H,TARIFF_PROFILES!$A:$A,$X723))</f>
        <v/>
      </c>
      <c r="AD723" s="31" t="str">
        <f t="array" ref="AD723">IF($X723="","",INDEX(TARIFF_PROFILES!$J:$J,MATCH($X723,TARIFF_PROFILES!$A:$A,0)))</f>
        <v/>
      </c>
      <c r="AE723" s="31" t="str">
        <f t="array" ref="AE723">IF($X723="","",INDEX(TARIFF_PROFILES!$K:$K,MATCH($X723,TARIFF_PROFILES!$A:$A,0)))</f>
        <v/>
      </c>
      <c r="AG723" s="8"/>
      <c r="AH723" s="8" t="str">
        <f>IF($AG723="","",SUMIFS(OPERATING_COEFFS!$C:$C,OPERATING_COEFFS!$A:$A,"DistanceClass",OPERATING_COEFFS!$B:$B,$AG723))</f>
        <v/>
      </c>
      <c r="AI723" s="8"/>
      <c r="AJ723" s="8" t="str">
        <f>IF($AI723="","",SUMIFS(OPERATING_COEFFS!$C:$C,OPERATING_COEFFS!$A:$A,"SeasonClass",OPERATING_COEFFS!$B:$B,$AI723))</f>
        <v/>
      </c>
      <c r="AK723" s="8"/>
      <c r="AL723" s="8" t="str">
        <f>IF($AK723="","",SUMIFS(OPERATING_COEFFS!$C:$C,OPERATING_COEFFS!$A:$A,"UrgencyClass",OPERATING_COEFFS!$B:$B,$AK723))</f>
        <v/>
      </c>
      <c r="AM723" s="8"/>
      <c r="AN723" s="8" t="str">
        <f t="array" ref="AN723">IF($AM723="","",INDEX(TAX_MODES!$B:$B,MATCH($AM723,TAX_MODES!$A:$A,0)))</f>
        <v/>
      </c>
    </row>
    <row r="724" ht="14.25" customHeight="1">
      <c r="C724" s="8"/>
      <c r="E724" s="8"/>
      <c r="G724" s="8"/>
      <c r="I724" s="8"/>
      <c r="K724" s="8"/>
      <c r="M724" s="8"/>
      <c r="O724" s="8"/>
      <c r="Q724" s="8"/>
      <c r="S724" s="8"/>
      <c r="V724" s="8"/>
      <c r="X724" s="31"/>
      <c r="Y724" s="31" t="str">
        <f>IF($X724="","",SUMIFS(TARIFF_PROFILES!$D:$D,TARIFF_PROFILES!$A:$A,$X724))</f>
        <v/>
      </c>
      <c r="Z724" s="31" t="str">
        <f>IF($X724="","",SUMIFS(TARIFF_PROFILES!$E:$E,TARIFF_PROFILES!$A:$A,$X724))</f>
        <v/>
      </c>
      <c r="AA724" s="31" t="str">
        <f>IF($X724="","",SUMIFS(TARIFF_PROFILES!$F:$F,TARIFF_PROFILES!$A:$A,$X724))</f>
        <v/>
      </c>
      <c r="AB724" s="31" t="str">
        <f>IF($X724="","",SUMIFS(TARIFF_PROFILES!$G:$G,TARIFF_PROFILES!$A:$A,$X724))</f>
        <v/>
      </c>
      <c r="AC724" s="31" t="str">
        <f>IF($X724="","",SUMIFS(TARIFF_PROFILES!$H:$H,TARIFF_PROFILES!$A:$A,$X724))</f>
        <v/>
      </c>
      <c r="AD724" s="31" t="str">
        <f t="array" ref="AD724">IF($X724="","",INDEX(TARIFF_PROFILES!$J:$J,MATCH($X724,TARIFF_PROFILES!$A:$A,0)))</f>
        <v/>
      </c>
      <c r="AE724" s="31" t="str">
        <f t="array" ref="AE724">IF($X724="","",INDEX(TARIFF_PROFILES!$K:$K,MATCH($X724,TARIFF_PROFILES!$A:$A,0)))</f>
        <v/>
      </c>
      <c r="AG724" s="8"/>
      <c r="AH724" s="8" t="str">
        <f>IF($AG724="","",SUMIFS(OPERATING_COEFFS!$C:$C,OPERATING_COEFFS!$A:$A,"DistanceClass",OPERATING_COEFFS!$B:$B,$AG724))</f>
        <v/>
      </c>
      <c r="AI724" s="8"/>
      <c r="AJ724" s="8" t="str">
        <f>IF($AI724="","",SUMIFS(OPERATING_COEFFS!$C:$C,OPERATING_COEFFS!$A:$A,"SeasonClass",OPERATING_COEFFS!$B:$B,$AI724))</f>
        <v/>
      </c>
      <c r="AK724" s="8"/>
      <c r="AL724" s="8" t="str">
        <f>IF($AK724="","",SUMIFS(OPERATING_COEFFS!$C:$C,OPERATING_COEFFS!$A:$A,"UrgencyClass",OPERATING_COEFFS!$B:$B,$AK724))</f>
        <v/>
      </c>
      <c r="AM724" s="8"/>
      <c r="AN724" s="8" t="str">
        <f t="array" ref="AN724">IF($AM724="","",INDEX(TAX_MODES!$B:$B,MATCH($AM724,TAX_MODES!$A:$A,0)))</f>
        <v/>
      </c>
    </row>
    <row r="725" ht="14.25" customHeight="1">
      <c r="C725" s="8"/>
      <c r="E725" s="8"/>
      <c r="G725" s="8"/>
      <c r="I725" s="8"/>
      <c r="K725" s="8"/>
      <c r="M725" s="8"/>
      <c r="O725" s="8"/>
      <c r="Q725" s="8"/>
      <c r="S725" s="8"/>
      <c r="V725" s="8"/>
      <c r="X725" s="31"/>
      <c r="Y725" s="31" t="str">
        <f>IF($X725="","",SUMIFS(TARIFF_PROFILES!$D:$D,TARIFF_PROFILES!$A:$A,$X725))</f>
        <v/>
      </c>
      <c r="Z725" s="31" t="str">
        <f>IF($X725="","",SUMIFS(TARIFF_PROFILES!$E:$E,TARIFF_PROFILES!$A:$A,$X725))</f>
        <v/>
      </c>
      <c r="AA725" s="31" t="str">
        <f>IF($X725="","",SUMIFS(TARIFF_PROFILES!$F:$F,TARIFF_PROFILES!$A:$A,$X725))</f>
        <v/>
      </c>
      <c r="AB725" s="31" t="str">
        <f>IF($X725="","",SUMIFS(TARIFF_PROFILES!$G:$G,TARIFF_PROFILES!$A:$A,$X725))</f>
        <v/>
      </c>
      <c r="AC725" s="31" t="str">
        <f>IF($X725="","",SUMIFS(TARIFF_PROFILES!$H:$H,TARIFF_PROFILES!$A:$A,$X725))</f>
        <v/>
      </c>
      <c r="AD725" s="31" t="str">
        <f t="array" ref="AD725">IF($X725="","",INDEX(TARIFF_PROFILES!$J:$J,MATCH($X725,TARIFF_PROFILES!$A:$A,0)))</f>
        <v/>
      </c>
      <c r="AE725" s="31" t="str">
        <f t="array" ref="AE725">IF($X725="","",INDEX(TARIFF_PROFILES!$K:$K,MATCH($X725,TARIFF_PROFILES!$A:$A,0)))</f>
        <v/>
      </c>
      <c r="AG725" s="8"/>
      <c r="AH725" s="8" t="str">
        <f>IF($AG725="","",SUMIFS(OPERATING_COEFFS!$C:$C,OPERATING_COEFFS!$A:$A,"DistanceClass",OPERATING_COEFFS!$B:$B,$AG725))</f>
        <v/>
      </c>
      <c r="AI725" s="8"/>
      <c r="AJ725" s="8" t="str">
        <f>IF($AI725="","",SUMIFS(OPERATING_COEFFS!$C:$C,OPERATING_COEFFS!$A:$A,"SeasonClass",OPERATING_COEFFS!$B:$B,$AI725))</f>
        <v/>
      </c>
      <c r="AK725" s="8"/>
      <c r="AL725" s="8" t="str">
        <f>IF($AK725="","",SUMIFS(OPERATING_COEFFS!$C:$C,OPERATING_COEFFS!$A:$A,"UrgencyClass",OPERATING_COEFFS!$B:$B,$AK725))</f>
        <v/>
      </c>
      <c r="AM725" s="8"/>
      <c r="AN725" s="8" t="str">
        <f t="array" ref="AN725">IF($AM725="","",INDEX(TAX_MODES!$B:$B,MATCH($AM725,TAX_MODES!$A:$A,0)))</f>
        <v/>
      </c>
    </row>
    <row r="726" ht="14.25" customHeight="1">
      <c r="C726" s="8"/>
      <c r="E726" s="8"/>
      <c r="G726" s="8"/>
      <c r="I726" s="8"/>
      <c r="K726" s="8"/>
      <c r="M726" s="8"/>
      <c r="O726" s="8"/>
      <c r="Q726" s="8"/>
      <c r="S726" s="8"/>
      <c r="V726" s="8"/>
      <c r="X726" s="31"/>
      <c r="Y726" s="31" t="str">
        <f>IF($X726="","",SUMIFS(TARIFF_PROFILES!$D:$D,TARIFF_PROFILES!$A:$A,$X726))</f>
        <v/>
      </c>
      <c r="Z726" s="31" t="str">
        <f>IF($X726="","",SUMIFS(TARIFF_PROFILES!$E:$E,TARIFF_PROFILES!$A:$A,$X726))</f>
        <v/>
      </c>
      <c r="AA726" s="31" t="str">
        <f>IF($X726="","",SUMIFS(TARIFF_PROFILES!$F:$F,TARIFF_PROFILES!$A:$A,$X726))</f>
        <v/>
      </c>
      <c r="AB726" s="31" t="str">
        <f>IF($X726="","",SUMIFS(TARIFF_PROFILES!$G:$G,TARIFF_PROFILES!$A:$A,$X726))</f>
        <v/>
      </c>
      <c r="AC726" s="31" t="str">
        <f>IF($X726="","",SUMIFS(TARIFF_PROFILES!$H:$H,TARIFF_PROFILES!$A:$A,$X726))</f>
        <v/>
      </c>
      <c r="AD726" s="31" t="str">
        <f t="array" ref="AD726">IF($X726="","",INDEX(TARIFF_PROFILES!$J:$J,MATCH($X726,TARIFF_PROFILES!$A:$A,0)))</f>
        <v/>
      </c>
      <c r="AE726" s="31" t="str">
        <f t="array" ref="AE726">IF($X726="","",INDEX(TARIFF_PROFILES!$K:$K,MATCH($X726,TARIFF_PROFILES!$A:$A,0)))</f>
        <v/>
      </c>
      <c r="AG726" s="8"/>
      <c r="AH726" s="8" t="str">
        <f>IF($AG726="","",SUMIFS(OPERATING_COEFFS!$C:$C,OPERATING_COEFFS!$A:$A,"DistanceClass",OPERATING_COEFFS!$B:$B,$AG726))</f>
        <v/>
      </c>
      <c r="AI726" s="8"/>
      <c r="AJ726" s="8" t="str">
        <f>IF($AI726="","",SUMIFS(OPERATING_COEFFS!$C:$C,OPERATING_COEFFS!$A:$A,"SeasonClass",OPERATING_COEFFS!$B:$B,$AI726))</f>
        <v/>
      </c>
      <c r="AK726" s="8"/>
      <c r="AL726" s="8" t="str">
        <f>IF($AK726="","",SUMIFS(OPERATING_COEFFS!$C:$C,OPERATING_COEFFS!$A:$A,"UrgencyClass",OPERATING_COEFFS!$B:$B,$AK726))</f>
        <v/>
      </c>
      <c r="AM726" s="8"/>
      <c r="AN726" s="8" t="str">
        <f t="array" ref="AN726">IF($AM726="","",INDEX(TAX_MODES!$B:$B,MATCH($AM726,TAX_MODES!$A:$A,0)))</f>
        <v/>
      </c>
    </row>
    <row r="727" ht="14.25" customHeight="1">
      <c r="C727" s="8"/>
      <c r="E727" s="8"/>
      <c r="G727" s="8"/>
      <c r="I727" s="8"/>
      <c r="K727" s="8"/>
      <c r="M727" s="8"/>
      <c r="O727" s="8"/>
      <c r="Q727" s="8"/>
      <c r="S727" s="8"/>
      <c r="V727" s="8"/>
      <c r="X727" s="31"/>
      <c r="Y727" s="31" t="str">
        <f>IF($X727="","",SUMIFS(TARIFF_PROFILES!$D:$D,TARIFF_PROFILES!$A:$A,$X727))</f>
        <v/>
      </c>
      <c r="Z727" s="31" t="str">
        <f>IF($X727="","",SUMIFS(TARIFF_PROFILES!$E:$E,TARIFF_PROFILES!$A:$A,$X727))</f>
        <v/>
      </c>
      <c r="AA727" s="31" t="str">
        <f>IF($X727="","",SUMIFS(TARIFF_PROFILES!$F:$F,TARIFF_PROFILES!$A:$A,$X727))</f>
        <v/>
      </c>
      <c r="AB727" s="31" t="str">
        <f>IF($X727="","",SUMIFS(TARIFF_PROFILES!$G:$G,TARIFF_PROFILES!$A:$A,$X727))</f>
        <v/>
      </c>
      <c r="AC727" s="31" t="str">
        <f>IF($X727="","",SUMIFS(TARIFF_PROFILES!$H:$H,TARIFF_PROFILES!$A:$A,$X727))</f>
        <v/>
      </c>
      <c r="AD727" s="31" t="str">
        <f t="array" ref="AD727">IF($X727="","",INDEX(TARIFF_PROFILES!$J:$J,MATCH($X727,TARIFF_PROFILES!$A:$A,0)))</f>
        <v/>
      </c>
      <c r="AE727" s="31" t="str">
        <f t="array" ref="AE727">IF($X727="","",INDEX(TARIFF_PROFILES!$K:$K,MATCH($X727,TARIFF_PROFILES!$A:$A,0)))</f>
        <v/>
      </c>
      <c r="AG727" s="8"/>
      <c r="AH727" s="8" t="str">
        <f>IF($AG727="","",SUMIFS(OPERATING_COEFFS!$C:$C,OPERATING_COEFFS!$A:$A,"DistanceClass",OPERATING_COEFFS!$B:$B,$AG727))</f>
        <v/>
      </c>
      <c r="AI727" s="8"/>
      <c r="AJ727" s="8" t="str">
        <f>IF($AI727="","",SUMIFS(OPERATING_COEFFS!$C:$C,OPERATING_COEFFS!$A:$A,"SeasonClass",OPERATING_COEFFS!$B:$B,$AI727))</f>
        <v/>
      </c>
      <c r="AK727" s="8"/>
      <c r="AL727" s="8" t="str">
        <f>IF($AK727="","",SUMIFS(OPERATING_COEFFS!$C:$C,OPERATING_COEFFS!$A:$A,"UrgencyClass",OPERATING_COEFFS!$B:$B,$AK727))</f>
        <v/>
      </c>
      <c r="AM727" s="8"/>
      <c r="AN727" s="8" t="str">
        <f t="array" ref="AN727">IF($AM727="","",INDEX(TAX_MODES!$B:$B,MATCH($AM727,TAX_MODES!$A:$A,0)))</f>
        <v/>
      </c>
    </row>
    <row r="728" ht="14.25" customHeight="1">
      <c r="C728" s="8"/>
      <c r="E728" s="8"/>
      <c r="G728" s="8"/>
      <c r="I728" s="8"/>
      <c r="K728" s="8"/>
      <c r="M728" s="8"/>
      <c r="O728" s="8"/>
      <c r="Q728" s="8"/>
      <c r="S728" s="8"/>
      <c r="V728" s="8"/>
      <c r="X728" s="31"/>
      <c r="Y728" s="31" t="str">
        <f>IF($X728="","",SUMIFS(TARIFF_PROFILES!$D:$D,TARIFF_PROFILES!$A:$A,$X728))</f>
        <v/>
      </c>
      <c r="Z728" s="31" t="str">
        <f>IF($X728="","",SUMIFS(TARIFF_PROFILES!$E:$E,TARIFF_PROFILES!$A:$A,$X728))</f>
        <v/>
      </c>
      <c r="AA728" s="31" t="str">
        <f>IF($X728="","",SUMIFS(TARIFF_PROFILES!$F:$F,TARIFF_PROFILES!$A:$A,$X728))</f>
        <v/>
      </c>
      <c r="AB728" s="31" t="str">
        <f>IF($X728="","",SUMIFS(TARIFF_PROFILES!$G:$G,TARIFF_PROFILES!$A:$A,$X728))</f>
        <v/>
      </c>
      <c r="AC728" s="31" t="str">
        <f>IF($X728="","",SUMIFS(TARIFF_PROFILES!$H:$H,TARIFF_PROFILES!$A:$A,$X728))</f>
        <v/>
      </c>
      <c r="AD728" s="31" t="str">
        <f t="array" ref="AD728">IF($X728="","",INDEX(TARIFF_PROFILES!$J:$J,MATCH($X728,TARIFF_PROFILES!$A:$A,0)))</f>
        <v/>
      </c>
      <c r="AE728" s="31" t="str">
        <f t="array" ref="AE728">IF($X728="","",INDEX(TARIFF_PROFILES!$K:$K,MATCH($X728,TARIFF_PROFILES!$A:$A,0)))</f>
        <v/>
      </c>
      <c r="AG728" s="8"/>
      <c r="AH728" s="8" t="str">
        <f>IF($AG728="","",SUMIFS(OPERATING_COEFFS!$C:$C,OPERATING_COEFFS!$A:$A,"DistanceClass",OPERATING_COEFFS!$B:$B,$AG728))</f>
        <v/>
      </c>
      <c r="AI728" s="8"/>
      <c r="AJ728" s="8" t="str">
        <f>IF($AI728="","",SUMIFS(OPERATING_COEFFS!$C:$C,OPERATING_COEFFS!$A:$A,"SeasonClass",OPERATING_COEFFS!$B:$B,$AI728))</f>
        <v/>
      </c>
      <c r="AK728" s="8"/>
      <c r="AL728" s="8" t="str">
        <f>IF($AK728="","",SUMIFS(OPERATING_COEFFS!$C:$C,OPERATING_COEFFS!$A:$A,"UrgencyClass",OPERATING_COEFFS!$B:$B,$AK728))</f>
        <v/>
      </c>
      <c r="AM728" s="8"/>
      <c r="AN728" s="8" t="str">
        <f t="array" ref="AN728">IF($AM728="","",INDEX(TAX_MODES!$B:$B,MATCH($AM728,TAX_MODES!$A:$A,0)))</f>
        <v/>
      </c>
    </row>
    <row r="729" ht="14.25" customHeight="1">
      <c r="C729" s="8"/>
      <c r="E729" s="8"/>
      <c r="G729" s="8"/>
      <c r="I729" s="8"/>
      <c r="K729" s="8"/>
      <c r="M729" s="8"/>
      <c r="O729" s="8"/>
      <c r="Q729" s="8"/>
      <c r="S729" s="8"/>
      <c r="V729" s="8"/>
      <c r="X729" s="31"/>
      <c r="Y729" s="31" t="str">
        <f>IF($X729="","",SUMIFS(TARIFF_PROFILES!$D:$D,TARIFF_PROFILES!$A:$A,$X729))</f>
        <v/>
      </c>
      <c r="Z729" s="31" t="str">
        <f>IF($X729="","",SUMIFS(TARIFF_PROFILES!$E:$E,TARIFF_PROFILES!$A:$A,$X729))</f>
        <v/>
      </c>
      <c r="AA729" s="31" t="str">
        <f>IF($X729="","",SUMIFS(TARIFF_PROFILES!$F:$F,TARIFF_PROFILES!$A:$A,$X729))</f>
        <v/>
      </c>
      <c r="AB729" s="31" t="str">
        <f>IF($X729="","",SUMIFS(TARIFF_PROFILES!$G:$G,TARIFF_PROFILES!$A:$A,$X729))</f>
        <v/>
      </c>
      <c r="AC729" s="31" t="str">
        <f>IF($X729="","",SUMIFS(TARIFF_PROFILES!$H:$H,TARIFF_PROFILES!$A:$A,$X729))</f>
        <v/>
      </c>
      <c r="AD729" s="31" t="str">
        <f t="array" ref="AD729">IF($X729="","",INDEX(TARIFF_PROFILES!$J:$J,MATCH($X729,TARIFF_PROFILES!$A:$A,0)))</f>
        <v/>
      </c>
      <c r="AE729" s="31" t="str">
        <f t="array" ref="AE729">IF($X729="","",INDEX(TARIFF_PROFILES!$K:$K,MATCH($X729,TARIFF_PROFILES!$A:$A,0)))</f>
        <v/>
      </c>
      <c r="AG729" s="8"/>
      <c r="AH729" s="8" t="str">
        <f>IF($AG729="","",SUMIFS(OPERATING_COEFFS!$C:$C,OPERATING_COEFFS!$A:$A,"DistanceClass",OPERATING_COEFFS!$B:$B,$AG729))</f>
        <v/>
      </c>
      <c r="AI729" s="8"/>
      <c r="AJ729" s="8" t="str">
        <f>IF($AI729="","",SUMIFS(OPERATING_COEFFS!$C:$C,OPERATING_COEFFS!$A:$A,"SeasonClass",OPERATING_COEFFS!$B:$B,$AI729))</f>
        <v/>
      </c>
      <c r="AK729" s="8"/>
      <c r="AL729" s="8" t="str">
        <f>IF($AK729="","",SUMIFS(OPERATING_COEFFS!$C:$C,OPERATING_COEFFS!$A:$A,"UrgencyClass",OPERATING_COEFFS!$B:$B,$AK729))</f>
        <v/>
      </c>
      <c r="AM729" s="8"/>
      <c r="AN729" s="8" t="str">
        <f t="array" ref="AN729">IF($AM729="","",INDEX(TAX_MODES!$B:$B,MATCH($AM729,TAX_MODES!$A:$A,0)))</f>
        <v/>
      </c>
    </row>
    <row r="730" ht="14.25" customHeight="1">
      <c r="C730" s="8"/>
      <c r="E730" s="8"/>
      <c r="G730" s="8"/>
      <c r="I730" s="8"/>
      <c r="K730" s="8"/>
      <c r="M730" s="8"/>
      <c r="O730" s="8"/>
      <c r="Q730" s="8"/>
      <c r="S730" s="8"/>
      <c r="V730" s="8"/>
      <c r="X730" s="31"/>
      <c r="Y730" s="31" t="str">
        <f>IF($X730="","",SUMIFS(TARIFF_PROFILES!$D:$D,TARIFF_PROFILES!$A:$A,$X730))</f>
        <v/>
      </c>
      <c r="Z730" s="31" t="str">
        <f>IF($X730="","",SUMIFS(TARIFF_PROFILES!$E:$E,TARIFF_PROFILES!$A:$A,$X730))</f>
        <v/>
      </c>
      <c r="AA730" s="31" t="str">
        <f>IF($X730="","",SUMIFS(TARIFF_PROFILES!$F:$F,TARIFF_PROFILES!$A:$A,$X730))</f>
        <v/>
      </c>
      <c r="AB730" s="31" t="str">
        <f>IF($X730="","",SUMIFS(TARIFF_PROFILES!$G:$G,TARIFF_PROFILES!$A:$A,$X730))</f>
        <v/>
      </c>
      <c r="AC730" s="31" t="str">
        <f>IF($X730="","",SUMIFS(TARIFF_PROFILES!$H:$H,TARIFF_PROFILES!$A:$A,$X730))</f>
        <v/>
      </c>
      <c r="AD730" s="31" t="str">
        <f t="array" ref="AD730">IF($X730="","",INDEX(TARIFF_PROFILES!$J:$J,MATCH($X730,TARIFF_PROFILES!$A:$A,0)))</f>
        <v/>
      </c>
      <c r="AE730" s="31" t="str">
        <f t="array" ref="AE730">IF($X730="","",INDEX(TARIFF_PROFILES!$K:$K,MATCH($X730,TARIFF_PROFILES!$A:$A,0)))</f>
        <v/>
      </c>
      <c r="AG730" s="8"/>
      <c r="AH730" s="8" t="str">
        <f>IF($AG730="","",SUMIFS(OPERATING_COEFFS!$C:$C,OPERATING_COEFFS!$A:$A,"DistanceClass",OPERATING_COEFFS!$B:$B,$AG730))</f>
        <v/>
      </c>
      <c r="AI730" s="8"/>
      <c r="AJ730" s="8" t="str">
        <f>IF($AI730="","",SUMIFS(OPERATING_COEFFS!$C:$C,OPERATING_COEFFS!$A:$A,"SeasonClass",OPERATING_COEFFS!$B:$B,$AI730))</f>
        <v/>
      </c>
      <c r="AK730" s="8"/>
      <c r="AL730" s="8" t="str">
        <f>IF($AK730="","",SUMIFS(OPERATING_COEFFS!$C:$C,OPERATING_COEFFS!$A:$A,"UrgencyClass",OPERATING_COEFFS!$B:$B,$AK730))</f>
        <v/>
      </c>
      <c r="AM730" s="8"/>
      <c r="AN730" s="8" t="str">
        <f t="array" ref="AN730">IF($AM730="","",INDEX(TAX_MODES!$B:$B,MATCH($AM730,TAX_MODES!$A:$A,0)))</f>
        <v/>
      </c>
    </row>
    <row r="731" ht="14.25" customHeight="1">
      <c r="C731" s="8"/>
      <c r="E731" s="8"/>
      <c r="G731" s="8"/>
      <c r="I731" s="8"/>
      <c r="K731" s="8"/>
      <c r="M731" s="8"/>
      <c r="O731" s="8"/>
      <c r="Q731" s="8"/>
      <c r="S731" s="8"/>
      <c r="V731" s="8"/>
      <c r="X731" s="31"/>
      <c r="Y731" s="31" t="str">
        <f>IF($X731="","",SUMIFS(TARIFF_PROFILES!$D:$D,TARIFF_PROFILES!$A:$A,$X731))</f>
        <v/>
      </c>
      <c r="Z731" s="31" t="str">
        <f>IF($X731="","",SUMIFS(TARIFF_PROFILES!$E:$E,TARIFF_PROFILES!$A:$A,$X731))</f>
        <v/>
      </c>
      <c r="AA731" s="31" t="str">
        <f>IF($X731="","",SUMIFS(TARIFF_PROFILES!$F:$F,TARIFF_PROFILES!$A:$A,$X731))</f>
        <v/>
      </c>
      <c r="AB731" s="31" t="str">
        <f>IF($X731="","",SUMIFS(TARIFF_PROFILES!$G:$G,TARIFF_PROFILES!$A:$A,$X731))</f>
        <v/>
      </c>
      <c r="AC731" s="31" t="str">
        <f>IF($X731="","",SUMIFS(TARIFF_PROFILES!$H:$H,TARIFF_PROFILES!$A:$A,$X731))</f>
        <v/>
      </c>
      <c r="AD731" s="31" t="str">
        <f t="array" ref="AD731">IF($X731="","",INDEX(TARIFF_PROFILES!$J:$J,MATCH($X731,TARIFF_PROFILES!$A:$A,0)))</f>
        <v/>
      </c>
      <c r="AE731" s="31" t="str">
        <f t="array" ref="AE731">IF($X731="","",INDEX(TARIFF_PROFILES!$K:$K,MATCH($X731,TARIFF_PROFILES!$A:$A,0)))</f>
        <v/>
      </c>
      <c r="AG731" s="8"/>
      <c r="AH731" s="8" t="str">
        <f>IF($AG731="","",SUMIFS(OPERATING_COEFFS!$C:$C,OPERATING_COEFFS!$A:$A,"DistanceClass",OPERATING_COEFFS!$B:$B,$AG731))</f>
        <v/>
      </c>
      <c r="AI731" s="8"/>
      <c r="AJ731" s="8" t="str">
        <f>IF($AI731="","",SUMIFS(OPERATING_COEFFS!$C:$C,OPERATING_COEFFS!$A:$A,"SeasonClass",OPERATING_COEFFS!$B:$B,$AI731))</f>
        <v/>
      </c>
      <c r="AK731" s="8"/>
      <c r="AL731" s="8" t="str">
        <f>IF($AK731="","",SUMIFS(OPERATING_COEFFS!$C:$C,OPERATING_COEFFS!$A:$A,"UrgencyClass",OPERATING_COEFFS!$B:$B,$AK731))</f>
        <v/>
      </c>
      <c r="AM731" s="8"/>
      <c r="AN731" s="8" t="str">
        <f t="array" ref="AN731">IF($AM731="","",INDEX(TAX_MODES!$B:$B,MATCH($AM731,TAX_MODES!$A:$A,0)))</f>
        <v/>
      </c>
    </row>
    <row r="732" ht="14.25" customHeight="1">
      <c r="C732" s="8"/>
      <c r="E732" s="8"/>
      <c r="G732" s="8"/>
      <c r="I732" s="8"/>
      <c r="K732" s="8"/>
      <c r="M732" s="8"/>
      <c r="O732" s="8"/>
      <c r="Q732" s="8"/>
      <c r="S732" s="8"/>
      <c r="V732" s="8"/>
      <c r="X732" s="31"/>
      <c r="Y732" s="31" t="str">
        <f>IF($X732="","",SUMIFS(TARIFF_PROFILES!$D:$D,TARIFF_PROFILES!$A:$A,$X732))</f>
        <v/>
      </c>
      <c r="Z732" s="31" t="str">
        <f>IF($X732="","",SUMIFS(TARIFF_PROFILES!$E:$E,TARIFF_PROFILES!$A:$A,$X732))</f>
        <v/>
      </c>
      <c r="AA732" s="31" t="str">
        <f>IF($X732="","",SUMIFS(TARIFF_PROFILES!$F:$F,TARIFF_PROFILES!$A:$A,$X732))</f>
        <v/>
      </c>
      <c r="AB732" s="31" t="str">
        <f>IF($X732="","",SUMIFS(TARIFF_PROFILES!$G:$G,TARIFF_PROFILES!$A:$A,$X732))</f>
        <v/>
      </c>
      <c r="AC732" s="31" t="str">
        <f>IF($X732="","",SUMIFS(TARIFF_PROFILES!$H:$H,TARIFF_PROFILES!$A:$A,$X732))</f>
        <v/>
      </c>
      <c r="AD732" s="31" t="str">
        <f t="array" ref="AD732">IF($X732="","",INDEX(TARIFF_PROFILES!$J:$J,MATCH($X732,TARIFF_PROFILES!$A:$A,0)))</f>
        <v/>
      </c>
      <c r="AE732" s="31" t="str">
        <f t="array" ref="AE732">IF($X732="","",INDEX(TARIFF_PROFILES!$K:$K,MATCH($X732,TARIFF_PROFILES!$A:$A,0)))</f>
        <v/>
      </c>
      <c r="AG732" s="8"/>
      <c r="AH732" s="8" t="str">
        <f>IF($AG732="","",SUMIFS(OPERATING_COEFFS!$C:$C,OPERATING_COEFFS!$A:$A,"DistanceClass",OPERATING_COEFFS!$B:$B,$AG732))</f>
        <v/>
      </c>
      <c r="AI732" s="8"/>
      <c r="AJ732" s="8" t="str">
        <f>IF($AI732="","",SUMIFS(OPERATING_COEFFS!$C:$C,OPERATING_COEFFS!$A:$A,"SeasonClass",OPERATING_COEFFS!$B:$B,$AI732))</f>
        <v/>
      </c>
      <c r="AK732" s="8"/>
      <c r="AL732" s="8" t="str">
        <f>IF($AK732="","",SUMIFS(OPERATING_COEFFS!$C:$C,OPERATING_COEFFS!$A:$A,"UrgencyClass",OPERATING_COEFFS!$B:$B,$AK732))</f>
        <v/>
      </c>
      <c r="AM732" s="8"/>
      <c r="AN732" s="8" t="str">
        <f t="array" ref="AN732">IF($AM732="","",INDEX(TAX_MODES!$B:$B,MATCH($AM732,TAX_MODES!$A:$A,0)))</f>
        <v/>
      </c>
    </row>
    <row r="733" ht="14.25" customHeight="1">
      <c r="C733" s="8"/>
      <c r="E733" s="8"/>
      <c r="G733" s="8"/>
      <c r="I733" s="8"/>
      <c r="K733" s="8"/>
      <c r="M733" s="8"/>
      <c r="O733" s="8"/>
      <c r="Q733" s="8"/>
      <c r="S733" s="8"/>
      <c r="V733" s="8"/>
      <c r="X733" s="31"/>
      <c r="Y733" s="31" t="str">
        <f>IF($X733="","",SUMIFS(TARIFF_PROFILES!$D:$D,TARIFF_PROFILES!$A:$A,$X733))</f>
        <v/>
      </c>
      <c r="Z733" s="31" t="str">
        <f>IF($X733="","",SUMIFS(TARIFF_PROFILES!$E:$E,TARIFF_PROFILES!$A:$A,$X733))</f>
        <v/>
      </c>
      <c r="AA733" s="31" t="str">
        <f>IF($X733="","",SUMIFS(TARIFF_PROFILES!$F:$F,TARIFF_PROFILES!$A:$A,$X733))</f>
        <v/>
      </c>
      <c r="AB733" s="31" t="str">
        <f>IF($X733="","",SUMIFS(TARIFF_PROFILES!$G:$G,TARIFF_PROFILES!$A:$A,$X733))</f>
        <v/>
      </c>
      <c r="AC733" s="31" t="str">
        <f>IF($X733="","",SUMIFS(TARIFF_PROFILES!$H:$H,TARIFF_PROFILES!$A:$A,$X733))</f>
        <v/>
      </c>
      <c r="AD733" s="31" t="str">
        <f t="array" ref="AD733">IF($X733="","",INDEX(TARIFF_PROFILES!$J:$J,MATCH($X733,TARIFF_PROFILES!$A:$A,0)))</f>
        <v/>
      </c>
      <c r="AE733" s="31" t="str">
        <f t="array" ref="AE733">IF($X733="","",INDEX(TARIFF_PROFILES!$K:$K,MATCH($X733,TARIFF_PROFILES!$A:$A,0)))</f>
        <v/>
      </c>
      <c r="AG733" s="8"/>
      <c r="AH733" s="8" t="str">
        <f>IF($AG733="","",SUMIFS(OPERATING_COEFFS!$C:$C,OPERATING_COEFFS!$A:$A,"DistanceClass",OPERATING_COEFFS!$B:$B,$AG733))</f>
        <v/>
      </c>
      <c r="AI733" s="8"/>
      <c r="AJ733" s="8" t="str">
        <f>IF($AI733="","",SUMIFS(OPERATING_COEFFS!$C:$C,OPERATING_COEFFS!$A:$A,"SeasonClass",OPERATING_COEFFS!$B:$B,$AI733))</f>
        <v/>
      </c>
      <c r="AK733" s="8"/>
      <c r="AL733" s="8" t="str">
        <f>IF($AK733="","",SUMIFS(OPERATING_COEFFS!$C:$C,OPERATING_COEFFS!$A:$A,"UrgencyClass",OPERATING_COEFFS!$B:$B,$AK733))</f>
        <v/>
      </c>
      <c r="AM733" s="8"/>
      <c r="AN733" s="8" t="str">
        <f t="array" ref="AN733">IF($AM733="","",INDEX(TAX_MODES!$B:$B,MATCH($AM733,TAX_MODES!$A:$A,0)))</f>
        <v/>
      </c>
    </row>
    <row r="734" ht="14.25" customHeight="1">
      <c r="C734" s="8"/>
      <c r="E734" s="8"/>
      <c r="G734" s="8"/>
      <c r="I734" s="8"/>
      <c r="K734" s="8"/>
      <c r="M734" s="8"/>
      <c r="O734" s="8"/>
      <c r="Q734" s="8"/>
      <c r="S734" s="8"/>
      <c r="V734" s="8"/>
      <c r="X734" s="31"/>
      <c r="Y734" s="31" t="str">
        <f>IF($X734="","",SUMIFS(TARIFF_PROFILES!$D:$D,TARIFF_PROFILES!$A:$A,$X734))</f>
        <v/>
      </c>
      <c r="Z734" s="31" t="str">
        <f>IF($X734="","",SUMIFS(TARIFF_PROFILES!$E:$E,TARIFF_PROFILES!$A:$A,$X734))</f>
        <v/>
      </c>
      <c r="AA734" s="31" t="str">
        <f>IF($X734="","",SUMIFS(TARIFF_PROFILES!$F:$F,TARIFF_PROFILES!$A:$A,$X734))</f>
        <v/>
      </c>
      <c r="AB734" s="31" t="str">
        <f>IF($X734="","",SUMIFS(TARIFF_PROFILES!$G:$G,TARIFF_PROFILES!$A:$A,$X734))</f>
        <v/>
      </c>
      <c r="AC734" s="31" t="str">
        <f>IF($X734="","",SUMIFS(TARIFF_PROFILES!$H:$H,TARIFF_PROFILES!$A:$A,$X734))</f>
        <v/>
      </c>
      <c r="AD734" s="31" t="str">
        <f t="array" ref="AD734">IF($X734="","",INDEX(TARIFF_PROFILES!$J:$J,MATCH($X734,TARIFF_PROFILES!$A:$A,0)))</f>
        <v/>
      </c>
      <c r="AE734" s="31" t="str">
        <f t="array" ref="AE734">IF($X734="","",INDEX(TARIFF_PROFILES!$K:$K,MATCH($X734,TARIFF_PROFILES!$A:$A,0)))</f>
        <v/>
      </c>
      <c r="AG734" s="8"/>
      <c r="AH734" s="8" t="str">
        <f>IF($AG734="","",SUMIFS(OPERATING_COEFFS!$C:$C,OPERATING_COEFFS!$A:$A,"DistanceClass",OPERATING_COEFFS!$B:$B,$AG734))</f>
        <v/>
      </c>
      <c r="AI734" s="8"/>
      <c r="AJ734" s="8" t="str">
        <f>IF($AI734="","",SUMIFS(OPERATING_COEFFS!$C:$C,OPERATING_COEFFS!$A:$A,"SeasonClass",OPERATING_COEFFS!$B:$B,$AI734))</f>
        <v/>
      </c>
      <c r="AK734" s="8"/>
      <c r="AL734" s="8" t="str">
        <f>IF($AK734="","",SUMIFS(OPERATING_COEFFS!$C:$C,OPERATING_COEFFS!$A:$A,"UrgencyClass",OPERATING_COEFFS!$B:$B,$AK734))</f>
        <v/>
      </c>
      <c r="AM734" s="8"/>
      <c r="AN734" s="8" t="str">
        <f t="array" ref="AN734">IF($AM734="","",INDEX(TAX_MODES!$B:$B,MATCH($AM734,TAX_MODES!$A:$A,0)))</f>
        <v/>
      </c>
    </row>
    <row r="735" ht="14.25" customHeight="1">
      <c r="C735" s="8"/>
      <c r="E735" s="8"/>
      <c r="G735" s="8"/>
      <c r="I735" s="8"/>
      <c r="K735" s="8"/>
      <c r="M735" s="8"/>
      <c r="O735" s="8"/>
      <c r="Q735" s="8"/>
      <c r="S735" s="8"/>
      <c r="V735" s="8"/>
      <c r="X735" s="31"/>
      <c r="Y735" s="31" t="str">
        <f>IF($X735="","",SUMIFS(TARIFF_PROFILES!$D:$D,TARIFF_PROFILES!$A:$A,$X735))</f>
        <v/>
      </c>
      <c r="Z735" s="31" t="str">
        <f>IF($X735="","",SUMIFS(TARIFF_PROFILES!$E:$E,TARIFF_PROFILES!$A:$A,$X735))</f>
        <v/>
      </c>
      <c r="AA735" s="31" t="str">
        <f>IF($X735="","",SUMIFS(TARIFF_PROFILES!$F:$F,TARIFF_PROFILES!$A:$A,$X735))</f>
        <v/>
      </c>
      <c r="AB735" s="31" t="str">
        <f>IF($X735="","",SUMIFS(TARIFF_PROFILES!$G:$G,TARIFF_PROFILES!$A:$A,$X735))</f>
        <v/>
      </c>
      <c r="AC735" s="31" t="str">
        <f>IF($X735="","",SUMIFS(TARIFF_PROFILES!$H:$H,TARIFF_PROFILES!$A:$A,$X735))</f>
        <v/>
      </c>
      <c r="AD735" s="31" t="str">
        <f t="array" ref="AD735">IF($X735="","",INDEX(TARIFF_PROFILES!$J:$J,MATCH($X735,TARIFF_PROFILES!$A:$A,0)))</f>
        <v/>
      </c>
      <c r="AE735" s="31" t="str">
        <f t="array" ref="AE735">IF($X735="","",INDEX(TARIFF_PROFILES!$K:$K,MATCH($X735,TARIFF_PROFILES!$A:$A,0)))</f>
        <v/>
      </c>
      <c r="AG735" s="8"/>
      <c r="AH735" s="8" t="str">
        <f>IF($AG735="","",SUMIFS(OPERATING_COEFFS!$C:$C,OPERATING_COEFFS!$A:$A,"DistanceClass",OPERATING_COEFFS!$B:$B,$AG735))</f>
        <v/>
      </c>
      <c r="AI735" s="8"/>
      <c r="AJ735" s="8" t="str">
        <f>IF($AI735="","",SUMIFS(OPERATING_COEFFS!$C:$C,OPERATING_COEFFS!$A:$A,"SeasonClass",OPERATING_COEFFS!$B:$B,$AI735))</f>
        <v/>
      </c>
      <c r="AK735" s="8"/>
      <c r="AL735" s="8" t="str">
        <f>IF($AK735="","",SUMIFS(OPERATING_COEFFS!$C:$C,OPERATING_COEFFS!$A:$A,"UrgencyClass",OPERATING_COEFFS!$B:$B,$AK735))</f>
        <v/>
      </c>
      <c r="AM735" s="8"/>
      <c r="AN735" s="8" t="str">
        <f t="array" ref="AN735">IF($AM735="","",INDEX(TAX_MODES!$B:$B,MATCH($AM735,TAX_MODES!$A:$A,0)))</f>
        <v/>
      </c>
    </row>
    <row r="736" ht="14.25" customHeight="1">
      <c r="C736" s="8"/>
      <c r="E736" s="8"/>
      <c r="G736" s="8"/>
      <c r="I736" s="8"/>
      <c r="K736" s="8"/>
      <c r="M736" s="8"/>
      <c r="O736" s="8"/>
      <c r="Q736" s="8"/>
      <c r="S736" s="8"/>
      <c r="V736" s="8"/>
      <c r="X736" s="31"/>
      <c r="Y736" s="31" t="str">
        <f>IF($X736="","",SUMIFS(TARIFF_PROFILES!$D:$D,TARIFF_PROFILES!$A:$A,$X736))</f>
        <v/>
      </c>
      <c r="Z736" s="31" t="str">
        <f>IF($X736="","",SUMIFS(TARIFF_PROFILES!$E:$E,TARIFF_PROFILES!$A:$A,$X736))</f>
        <v/>
      </c>
      <c r="AA736" s="31" t="str">
        <f>IF($X736="","",SUMIFS(TARIFF_PROFILES!$F:$F,TARIFF_PROFILES!$A:$A,$X736))</f>
        <v/>
      </c>
      <c r="AB736" s="31" t="str">
        <f>IF($X736="","",SUMIFS(TARIFF_PROFILES!$G:$G,TARIFF_PROFILES!$A:$A,$X736))</f>
        <v/>
      </c>
      <c r="AC736" s="31" t="str">
        <f>IF($X736="","",SUMIFS(TARIFF_PROFILES!$H:$H,TARIFF_PROFILES!$A:$A,$X736))</f>
        <v/>
      </c>
      <c r="AD736" s="31" t="str">
        <f t="array" ref="AD736">IF($X736="","",INDEX(TARIFF_PROFILES!$J:$J,MATCH($X736,TARIFF_PROFILES!$A:$A,0)))</f>
        <v/>
      </c>
      <c r="AE736" s="31" t="str">
        <f t="array" ref="AE736">IF($X736="","",INDEX(TARIFF_PROFILES!$K:$K,MATCH($X736,TARIFF_PROFILES!$A:$A,0)))</f>
        <v/>
      </c>
      <c r="AG736" s="8"/>
      <c r="AH736" s="8" t="str">
        <f>IF($AG736="","",SUMIFS(OPERATING_COEFFS!$C:$C,OPERATING_COEFFS!$A:$A,"DistanceClass",OPERATING_COEFFS!$B:$B,$AG736))</f>
        <v/>
      </c>
      <c r="AI736" s="8"/>
      <c r="AJ736" s="8" t="str">
        <f>IF($AI736="","",SUMIFS(OPERATING_COEFFS!$C:$C,OPERATING_COEFFS!$A:$A,"SeasonClass",OPERATING_COEFFS!$B:$B,$AI736))</f>
        <v/>
      </c>
      <c r="AK736" s="8"/>
      <c r="AL736" s="8" t="str">
        <f>IF($AK736="","",SUMIFS(OPERATING_COEFFS!$C:$C,OPERATING_COEFFS!$A:$A,"UrgencyClass",OPERATING_COEFFS!$B:$B,$AK736))</f>
        <v/>
      </c>
      <c r="AM736" s="8"/>
      <c r="AN736" s="8" t="str">
        <f t="array" ref="AN736">IF($AM736="","",INDEX(TAX_MODES!$B:$B,MATCH($AM736,TAX_MODES!$A:$A,0)))</f>
        <v/>
      </c>
    </row>
    <row r="737" ht="14.25" customHeight="1">
      <c r="C737" s="8"/>
      <c r="E737" s="8"/>
      <c r="G737" s="8"/>
      <c r="I737" s="8"/>
      <c r="K737" s="8"/>
      <c r="M737" s="8"/>
      <c r="O737" s="8"/>
      <c r="Q737" s="8"/>
      <c r="S737" s="8"/>
      <c r="V737" s="8"/>
      <c r="X737" s="31"/>
      <c r="Y737" s="31" t="str">
        <f>IF($X737="","",SUMIFS(TARIFF_PROFILES!$D:$D,TARIFF_PROFILES!$A:$A,$X737))</f>
        <v/>
      </c>
      <c r="Z737" s="31" t="str">
        <f>IF($X737="","",SUMIFS(TARIFF_PROFILES!$E:$E,TARIFF_PROFILES!$A:$A,$X737))</f>
        <v/>
      </c>
      <c r="AA737" s="31" t="str">
        <f>IF($X737="","",SUMIFS(TARIFF_PROFILES!$F:$F,TARIFF_PROFILES!$A:$A,$X737))</f>
        <v/>
      </c>
      <c r="AB737" s="31" t="str">
        <f>IF($X737="","",SUMIFS(TARIFF_PROFILES!$G:$G,TARIFF_PROFILES!$A:$A,$X737))</f>
        <v/>
      </c>
      <c r="AC737" s="31" t="str">
        <f>IF($X737="","",SUMIFS(TARIFF_PROFILES!$H:$H,TARIFF_PROFILES!$A:$A,$X737))</f>
        <v/>
      </c>
      <c r="AD737" s="31" t="str">
        <f t="array" ref="AD737">IF($X737="","",INDEX(TARIFF_PROFILES!$J:$J,MATCH($X737,TARIFF_PROFILES!$A:$A,0)))</f>
        <v/>
      </c>
      <c r="AE737" s="31" t="str">
        <f t="array" ref="AE737">IF($X737="","",INDEX(TARIFF_PROFILES!$K:$K,MATCH($X737,TARIFF_PROFILES!$A:$A,0)))</f>
        <v/>
      </c>
      <c r="AG737" s="8"/>
      <c r="AH737" s="8" t="str">
        <f>IF($AG737="","",SUMIFS(OPERATING_COEFFS!$C:$C,OPERATING_COEFFS!$A:$A,"DistanceClass",OPERATING_COEFFS!$B:$B,$AG737))</f>
        <v/>
      </c>
      <c r="AI737" s="8"/>
      <c r="AJ737" s="8" t="str">
        <f>IF($AI737="","",SUMIFS(OPERATING_COEFFS!$C:$C,OPERATING_COEFFS!$A:$A,"SeasonClass",OPERATING_COEFFS!$B:$B,$AI737))</f>
        <v/>
      </c>
      <c r="AK737" s="8"/>
      <c r="AL737" s="8" t="str">
        <f>IF($AK737="","",SUMIFS(OPERATING_COEFFS!$C:$C,OPERATING_COEFFS!$A:$A,"UrgencyClass",OPERATING_COEFFS!$B:$B,$AK737))</f>
        <v/>
      </c>
      <c r="AM737" s="8"/>
      <c r="AN737" s="8" t="str">
        <f t="array" ref="AN737">IF($AM737="","",INDEX(TAX_MODES!$B:$B,MATCH($AM737,TAX_MODES!$A:$A,0)))</f>
        <v/>
      </c>
    </row>
    <row r="738" ht="14.25" customHeight="1">
      <c r="C738" s="8"/>
      <c r="E738" s="8"/>
      <c r="G738" s="8"/>
      <c r="I738" s="8"/>
      <c r="K738" s="8"/>
      <c r="M738" s="8"/>
      <c r="O738" s="8"/>
      <c r="Q738" s="8"/>
      <c r="S738" s="8"/>
      <c r="V738" s="8"/>
      <c r="X738" s="31"/>
      <c r="Y738" s="31" t="str">
        <f>IF($X738="","",SUMIFS(TARIFF_PROFILES!$D:$D,TARIFF_PROFILES!$A:$A,$X738))</f>
        <v/>
      </c>
      <c r="Z738" s="31" t="str">
        <f>IF($X738="","",SUMIFS(TARIFF_PROFILES!$E:$E,TARIFF_PROFILES!$A:$A,$X738))</f>
        <v/>
      </c>
      <c r="AA738" s="31" t="str">
        <f>IF($X738="","",SUMIFS(TARIFF_PROFILES!$F:$F,TARIFF_PROFILES!$A:$A,$X738))</f>
        <v/>
      </c>
      <c r="AB738" s="31" t="str">
        <f>IF($X738="","",SUMIFS(TARIFF_PROFILES!$G:$G,TARIFF_PROFILES!$A:$A,$X738))</f>
        <v/>
      </c>
      <c r="AC738" s="31" t="str">
        <f>IF($X738="","",SUMIFS(TARIFF_PROFILES!$H:$H,TARIFF_PROFILES!$A:$A,$X738))</f>
        <v/>
      </c>
      <c r="AD738" s="31" t="str">
        <f t="array" ref="AD738">IF($X738="","",INDEX(TARIFF_PROFILES!$J:$J,MATCH($X738,TARIFF_PROFILES!$A:$A,0)))</f>
        <v/>
      </c>
      <c r="AE738" s="31" t="str">
        <f t="array" ref="AE738">IF($X738="","",INDEX(TARIFF_PROFILES!$K:$K,MATCH($X738,TARIFF_PROFILES!$A:$A,0)))</f>
        <v/>
      </c>
      <c r="AG738" s="8"/>
      <c r="AH738" s="8" t="str">
        <f>IF($AG738="","",SUMIFS(OPERATING_COEFFS!$C:$C,OPERATING_COEFFS!$A:$A,"DistanceClass",OPERATING_COEFFS!$B:$B,$AG738))</f>
        <v/>
      </c>
      <c r="AI738" s="8"/>
      <c r="AJ738" s="8" t="str">
        <f>IF($AI738="","",SUMIFS(OPERATING_COEFFS!$C:$C,OPERATING_COEFFS!$A:$A,"SeasonClass",OPERATING_COEFFS!$B:$B,$AI738))</f>
        <v/>
      </c>
      <c r="AK738" s="8"/>
      <c r="AL738" s="8" t="str">
        <f>IF($AK738="","",SUMIFS(OPERATING_COEFFS!$C:$C,OPERATING_COEFFS!$A:$A,"UrgencyClass",OPERATING_COEFFS!$B:$B,$AK738))</f>
        <v/>
      </c>
      <c r="AM738" s="8"/>
      <c r="AN738" s="8" t="str">
        <f t="array" ref="AN738">IF($AM738="","",INDEX(TAX_MODES!$B:$B,MATCH($AM738,TAX_MODES!$A:$A,0)))</f>
        <v/>
      </c>
    </row>
    <row r="739" ht="14.25" customHeight="1">
      <c r="C739" s="8"/>
      <c r="E739" s="8"/>
      <c r="G739" s="8"/>
      <c r="I739" s="8"/>
      <c r="K739" s="8"/>
      <c r="M739" s="8"/>
      <c r="O739" s="8"/>
      <c r="Q739" s="8"/>
      <c r="S739" s="8"/>
      <c r="V739" s="8"/>
      <c r="X739" s="31"/>
      <c r="Y739" s="31" t="str">
        <f>IF($X739="","",SUMIFS(TARIFF_PROFILES!$D:$D,TARIFF_PROFILES!$A:$A,$X739))</f>
        <v/>
      </c>
      <c r="Z739" s="31" t="str">
        <f>IF($X739="","",SUMIFS(TARIFF_PROFILES!$E:$E,TARIFF_PROFILES!$A:$A,$X739))</f>
        <v/>
      </c>
      <c r="AA739" s="31" t="str">
        <f>IF($X739="","",SUMIFS(TARIFF_PROFILES!$F:$F,TARIFF_PROFILES!$A:$A,$X739))</f>
        <v/>
      </c>
      <c r="AB739" s="31" t="str">
        <f>IF($X739="","",SUMIFS(TARIFF_PROFILES!$G:$G,TARIFF_PROFILES!$A:$A,$X739))</f>
        <v/>
      </c>
      <c r="AC739" s="31" t="str">
        <f>IF($X739="","",SUMIFS(TARIFF_PROFILES!$H:$H,TARIFF_PROFILES!$A:$A,$X739))</f>
        <v/>
      </c>
      <c r="AD739" s="31" t="str">
        <f t="array" ref="AD739">IF($X739="","",INDEX(TARIFF_PROFILES!$J:$J,MATCH($X739,TARIFF_PROFILES!$A:$A,0)))</f>
        <v/>
      </c>
      <c r="AE739" s="31" t="str">
        <f t="array" ref="AE739">IF($X739="","",INDEX(TARIFF_PROFILES!$K:$K,MATCH($X739,TARIFF_PROFILES!$A:$A,0)))</f>
        <v/>
      </c>
      <c r="AG739" s="8"/>
      <c r="AH739" s="8" t="str">
        <f>IF($AG739="","",SUMIFS(OPERATING_COEFFS!$C:$C,OPERATING_COEFFS!$A:$A,"DistanceClass",OPERATING_COEFFS!$B:$B,$AG739))</f>
        <v/>
      </c>
      <c r="AI739" s="8"/>
      <c r="AJ739" s="8" t="str">
        <f>IF($AI739="","",SUMIFS(OPERATING_COEFFS!$C:$C,OPERATING_COEFFS!$A:$A,"SeasonClass",OPERATING_COEFFS!$B:$B,$AI739))</f>
        <v/>
      </c>
      <c r="AK739" s="8"/>
      <c r="AL739" s="8" t="str">
        <f>IF($AK739="","",SUMIFS(OPERATING_COEFFS!$C:$C,OPERATING_COEFFS!$A:$A,"UrgencyClass",OPERATING_COEFFS!$B:$B,$AK739))</f>
        <v/>
      </c>
      <c r="AM739" s="8"/>
      <c r="AN739" s="8" t="str">
        <f t="array" ref="AN739">IF($AM739="","",INDEX(TAX_MODES!$B:$B,MATCH($AM739,TAX_MODES!$A:$A,0)))</f>
        <v/>
      </c>
    </row>
    <row r="740" ht="14.25" customHeight="1">
      <c r="C740" s="8"/>
      <c r="E740" s="8"/>
      <c r="G740" s="8"/>
      <c r="I740" s="8"/>
      <c r="K740" s="8"/>
      <c r="M740" s="8"/>
      <c r="O740" s="8"/>
      <c r="Q740" s="8"/>
      <c r="S740" s="8"/>
      <c r="V740" s="8"/>
      <c r="X740" s="31"/>
      <c r="Y740" s="31" t="str">
        <f>IF($X740="","",SUMIFS(TARIFF_PROFILES!$D:$D,TARIFF_PROFILES!$A:$A,$X740))</f>
        <v/>
      </c>
      <c r="Z740" s="31" t="str">
        <f>IF($X740="","",SUMIFS(TARIFF_PROFILES!$E:$E,TARIFF_PROFILES!$A:$A,$X740))</f>
        <v/>
      </c>
      <c r="AA740" s="31" t="str">
        <f>IF($X740="","",SUMIFS(TARIFF_PROFILES!$F:$F,TARIFF_PROFILES!$A:$A,$X740))</f>
        <v/>
      </c>
      <c r="AB740" s="31" t="str">
        <f>IF($X740="","",SUMIFS(TARIFF_PROFILES!$G:$G,TARIFF_PROFILES!$A:$A,$X740))</f>
        <v/>
      </c>
      <c r="AC740" s="31" t="str">
        <f>IF($X740="","",SUMIFS(TARIFF_PROFILES!$H:$H,TARIFF_PROFILES!$A:$A,$X740))</f>
        <v/>
      </c>
      <c r="AD740" s="31" t="str">
        <f t="array" ref="AD740">IF($X740="","",INDEX(TARIFF_PROFILES!$J:$J,MATCH($X740,TARIFF_PROFILES!$A:$A,0)))</f>
        <v/>
      </c>
      <c r="AE740" s="31" t="str">
        <f t="array" ref="AE740">IF($X740="","",INDEX(TARIFF_PROFILES!$K:$K,MATCH($X740,TARIFF_PROFILES!$A:$A,0)))</f>
        <v/>
      </c>
      <c r="AG740" s="8"/>
      <c r="AH740" s="8" t="str">
        <f>IF($AG740="","",SUMIFS(OPERATING_COEFFS!$C:$C,OPERATING_COEFFS!$A:$A,"DistanceClass",OPERATING_COEFFS!$B:$B,$AG740))</f>
        <v/>
      </c>
      <c r="AI740" s="8"/>
      <c r="AJ740" s="8" t="str">
        <f>IF($AI740="","",SUMIFS(OPERATING_COEFFS!$C:$C,OPERATING_COEFFS!$A:$A,"SeasonClass",OPERATING_COEFFS!$B:$B,$AI740))</f>
        <v/>
      </c>
      <c r="AK740" s="8"/>
      <c r="AL740" s="8" t="str">
        <f>IF($AK740="","",SUMIFS(OPERATING_COEFFS!$C:$C,OPERATING_COEFFS!$A:$A,"UrgencyClass",OPERATING_COEFFS!$B:$B,$AK740))</f>
        <v/>
      </c>
      <c r="AM740" s="8"/>
      <c r="AN740" s="8" t="str">
        <f t="array" ref="AN740">IF($AM740="","",INDEX(TAX_MODES!$B:$B,MATCH($AM740,TAX_MODES!$A:$A,0)))</f>
        <v/>
      </c>
    </row>
    <row r="741" ht="14.25" customHeight="1">
      <c r="C741" s="8"/>
      <c r="E741" s="8"/>
      <c r="G741" s="8"/>
      <c r="I741" s="8"/>
      <c r="K741" s="8"/>
      <c r="M741" s="8"/>
      <c r="O741" s="8"/>
      <c r="Q741" s="8"/>
      <c r="S741" s="8"/>
      <c r="V741" s="8"/>
      <c r="X741" s="31"/>
      <c r="Y741" s="31" t="str">
        <f>IF($X741="","",SUMIFS(TARIFF_PROFILES!$D:$D,TARIFF_PROFILES!$A:$A,$X741))</f>
        <v/>
      </c>
      <c r="Z741" s="31" t="str">
        <f>IF($X741="","",SUMIFS(TARIFF_PROFILES!$E:$E,TARIFF_PROFILES!$A:$A,$X741))</f>
        <v/>
      </c>
      <c r="AA741" s="31" t="str">
        <f>IF($X741="","",SUMIFS(TARIFF_PROFILES!$F:$F,TARIFF_PROFILES!$A:$A,$X741))</f>
        <v/>
      </c>
      <c r="AB741" s="31" t="str">
        <f>IF($X741="","",SUMIFS(TARIFF_PROFILES!$G:$G,TARIFF_PROFILES!$A:$A,$X741))</f>
        <v/>
      </c>
      <c r="AC741" s="31" t="str">
        <f>IF($X741="","",SUMIFS(TARIFF_PROFILES!$H:$H,TARIFF_PROFILES!$A:$A,$X741))</f>
        <v/>
      </c>
      <c r="AD741" s="31" t="str">
        <f t="array" ref="AD741">IF($X741="","",INDEX(TARIFF_PROFILES!$J:$J,MATCH($X741,TARIFF_PROFILES!$A:$A,0)))</f>
        <v/>
      </c>
      <c r="AE741" s="31" t="str">
        <f t="array" ref="AE741">IF($X741="","",INDEX(TARIFF_PROFILES!$K:$K,MATCH($X741,TARIFF_PROFILES!$A:$A,0)))</f>
        <v/>
      </c>
      <c r="AG741" s="8"/>
      <c r="AH741" s="8" t="str">
        <f>IF($AG741="","",SUMIFS(OPERATING_COEFFS!$C:$C,OPERATING_COEFFS!$A:$A,"DistanceClass",OPERATING_COEFFS!$B:$B,$AG741))</f>
        <v/>
      </c>
      <c r="AI741" s="8"/>
      <c r="AJ741" s="8" t="str">
        <f>IF($AI741="","",SUMIFS(OPERATING_COEFFS!$C:$C,OPERATING_COEFFS!$A:$A,"SeasonClass",OPERATING_COEFFS!$B:$B,$AI741))</f>
        <v/>
      </c>
      <c r="AK741" s="8"/>
      <c r="AL741" s="8" t="str">
        <f>IF($AK741="","",SUMIFS(OPERATING_COEFFS!$C:$C,OPERATING_COEFFS!$A:$A,"UrgencyClass",OPERATING_COEFFS!$B:$B,$AK741))</f>
        <v/>
      </c>
      <c r="AM741" s="8"/>
      <c r="AN741" s="8" t="str">
        <f t="array" ref="AN741">IF($AM741="","",INDEX(TAX_MODES!$B:$B,MATCH($AM741,TAX_MODES!$A:$A,0)))</f>
        <v/>
      </c>
    </row>
    <row r="742" ht="14.25" customHeight="1">
      <c r="C742" s="8"/>
      <c r="E742" s="8"/>
      <c r="G742" s="8"/>
      <c r="I742" s="8"/>
      <c r="K742" s="8"/>
      <c r="M742" s="8"/>
      <c r="O742" s="8"/>
      <c r="Q742" s="8"/>
      <c r="S742" s="8"/>
      <c r="V742" s="8"/>
      <c r="X742" s="31"/>
      <c r="Y742" s="31" t="str">
        <f>IF($X742="","",SUMIFS(TARIFF_PROFILES!$D:$D,TARIFF_PROFILES!$A:$A,$X742))</f>
        <v/>
      </c>
      <c r="Z742" s="31" t="str">
        <f>IF($X742="","",SUMIFS(TARIFF_PROFILES!$E:$E,TARIFF_PROFILES!$A:$A,$X742))</f>
        <v/>
      </c>
      <c r="AA742" s="31" t="str">
        <f>IF($X742="","",SUMIFS(TARIFF_PROFILES!$F:$F,TARIFF_PROFILES!$A:$A,$X742))</f>
        <v/>
      </c>
      <c r="AB742" s="31" t="str">
        <f>IF($X742="","",SUMIFS(TARIFF_PROFILES!$G:$G,TARIFF_PROFILES!$A:$A,$X742))</f>
        <v/>
      </c>
      <c r="AC742" s="31" t="str">
        <f>IF($X742="","",SUMIFS(TARIFF_PROFILES!$H:$H,TARIFF_PROFILES!$A:$A,$X742))</f>
        <v/>
      </c>
      <c r="AD742" s="31" t="str">
        <f t="array" ref="AD742">IF($X742="","",INDEX(TARIFF_PROFILES!$J:$J,MATCH($X742,TARIFF_PROFILES!$A:$A,0)))</f>
        <v/>
      </c>
      <c r="AE742" s="31" t="str">
        <f t="array" ref="AE742">IF($X742="","",INDEX(TARIFF_PROFILES!$K:$K,MATCH($X742,TARIFF_PROFILES!$A:$A,0)))</f>
        <v/>
      </c>
      <c r="AG742" s="8"/>
      <c r="AH742" s="8" t="str">
        <f>IF($AG742="","",SUMIFS(OPERATING_COEFFS!$C:$C,OPERATING_COEFFS!$A:$A,"DistanceClass",OPERATING_COEFFS!$B:$B,$AG742))</f>
        <v/>
      </c>
      <c r="AI742" s="8"/>
      <c r="AJ742" s="8" t="str">
        <f>IF($AI742="","",SUMIFS(OPERATING_COEFFS!$C:$C,OPERATING_COEFFS!$A:$A,"SeasonClass",OPERATING_COEFFS!$B:$B,$AI742))</f>
        <v/>
      </c>
      <c r="AK742" s="8"/>
      <c r="AL742" s="8" t="str">
        <f>IF($AK742="","",SUMIFS(OPERATING_COEFFS!$C:$C,OPERATING_COEFFS!$A:$A,"UrgencyClass",OPERATING_COEFFS!$B:$B,$AK742))</f>
        <v/>
      </c>
      <c r="AM742" s="8"/>
      <c r="AN742" s="8" t="str">
        <f t="array" ref="AN742">IF($AM742="","",INDEX(TAX_MODES!$B:$B,MATCH($AM742,TAX_MODES!$A:$A,0)))</f>
        <v/>
      </c>
    </row>
    <row r="743" ht="14.25" customHeight="1">
      <c r="C743" s="8"/>
      <c r="E743" s="8"/>
      <c r="G743" s="8"/>
      <c r="I743" s="8"/>
      <c r="K743" s="8"/>
      <c r="M743" s="8"/>
      <c r="O743" s="8"/>
      <c r="Q743" s="8"/>
      <c r="S743" s="8"/>
      <c r="V743" s="8"/>
      <c r="X743" s="31"/>
      <c r="Y743" s="31" t="str">
        <f>IF($X743="","",SUMIFS(TARIFF_PROFILES!$D:$D,TARIFF_PROFILES!$A:$A,$X743))</f>
        <v/>
      </c>
      <c r="Z743" s="31" t="str">
        <f>IF($X743="","",SUMIFS(TARIFF_PROFILES!$E:$E,TARIFF_PROFILES!$A:$A,$X743))</f>
        <v/>
      </c>
      <c r="AA743" s="31" t="str">
        <f>IF($X743="","",SUMIFS(TARIFF_PROFILES!$F:$F,TARIFF_PROFILES!$A:$A,$X743))</f>
        <v/>
      </c>
      <c r="AB743" s="31" t="str">
        <f>IF($X743="","",SUMIFS(TARIFF_PROFILES!$G:$G,TARIFF_PROFILES!$A:$A,$X743))</f>
        <v/>
      </c>
      <c r="AC743" s="31" t="str">
        <f>IF($X743="","",SUMIFS(TARIFF_PROFILES!$H:$H,TARIFF_PROFILES!$A:$A,$X743))</f>
        <v/>
      </c>
      <c r="AD743" s="31" t="str">
        <f t="array" ref="AD743">IF($X743="","",INDEX(TARIFF_PROFILES!$J:$J,MATCH($X743,TARIFF_PROFILES!$A:$A,0)))</f>
        <v/>
      </c>
      <c r="AE743" s="31" t="str">
        <f t="array" ref="AE743">IF($X743="","",INDEX(TARIFF_PROFILES!$K:$K,MATCH($X743,TARIFF_PROFILES!$A:$A,0)))</f>
        <v/>
      </c>
      <c r="AG743" s="8"/>
      <c r="AH743" s="8" t="str">
        <f>IF($AG743="","",SUMIFS(OPERATING_COEFFS!$C:$C,OPERATING_COEFFS!$A:$A,"DistanceClass",OPERATING_COEFFS!$B:$B,$AG743))</f>
        <v/>
      </c>
      <c r="AI743" s="8"/>
      <c r="AJ743" s="8" t="str">
        <f>IF($AI743="","",SUMIFS(OPERATING_COEFFS!$C:$C,OPERATING_COEFFS!$A:$A,"SeasonClass",OPERATING_COEFFS!$B:$B,$AI743))</f>
        <v/>
      </c>
      <c r="AK743" s="8"/>
      <c r="AL743" s="8" t="str">
        <f>IF($AK743="","",SUMIFS(OPERATING_COEFFS!$C:$C,OPERATING_COEFFS!$A:$A,"UrgencyClass",OPERATING_COEFFS!$B:$B,$AK743))</f>
        <v/>
      </c>
      <c r="AM743" s="8"/>
      <c r="AN743" s="8" t="str">
        <f t="array" ref="AN743">IF($AM743="","",INDEX(TAX_MODES!$B:$B,MATCH($AM743,TAX_MODES!$A:$A,0)))</f>
        <v/>
      </c>
    </row>
    <row r="744" ht="14.25" customHeight="1">
      <c r="C744" s="8"/>
      <c r="E744" s="8"/>
      <c r="G744" s="8"/>
      <c r="I744" s="8"/>
      <c r="K744" s="8"/>
      <c r="M744" s="8"/>
      <c r="O744" s="8"/>
      <c r="Q744" s="8"/>
      <c r="S744" s="8"/>
      <c r="V744" s="8"/>
      <c r="X744" s="31"/>
      <c r="Y744" s="31" t="str">
        <f>IF($X744="","",SUMIFS(TARIFF_PROFILES!$D:$D,TARIFF_PROFILES!$A:$A,$X744))</f>
        <v/>
      </c>
      <c r="Z744" s="31" t="str">
        <f>IF($X744="","",SUMIFS(TARIFF_PROFILES!$E:$E,TARIFF_PROFILES!$A:$A,$X744))</f>
        <v/>
      </c>
      <c r="AA744" s="31" t="str">
        <f>IF($X744="","",SUMIFS(TARIFF_PROFILES!$F:$F,TARIFF_PROFILES!$A:$A,$X744))</f>
        <v/>
      </c>
      <c r="AB744" s="31" t="str">
        <f>IF($X744="","",SUMIFS(TARIFF_PROFILES!$G:$G,TARIFF_PROFILES!$A:$A,$X744))</f>
        <v/>
      </c>
      <c r="AC744" s="31" t="str">
        <f>IF($X744="","",SUMIFS(TARIFF_PROFILES!$H:$H,TARIFF_PROFILES!$A:$A,$X744))</f>
        <v/>
      </c>
      <c r="AD744" s="31" t="str">
        <f t="array" ref="AD744">IF($X744="","",INDEX(TARIFF_PROFILES!$J:$J,MATCH($X744,TARIFF_PROFILES!$A:$A,0)))</f>
        <v/>
      </c>
      <c r="AE744" s="31" t="str">
        <f t="array" ref="AE744">IF($X744="","",INDEX(TARIFF_PROFILES!$K:$K,MATCH($X744,TARIFF_PROFILES!$A:$A,0)))</f>
        <v/>
      </c>
      <c r="AG744" s="8"/>
      <c r="AH744" s="8" t="str">
        <f>IF($AG744="","",SUMIFS(OPERATING_COEFFS!$C:$C,OPERATING_COEFFS!$A:$A,"DistanceClass",OPERATING_COEFFS!$B:$B,$AG744))</f>
        <v/>
      </c>
      <c r="AI744" s="8"/>
      <c r="AJ744" s="8" t="str">
        <f>IF($AI744="","",SUMIFS(OPERATING_COEFFS!$C:$C,OPERATING_COEFFS!$A:$A,"SeasonClass",OPERATING_COEFFS!$B:$B,$AI744))</f>
        <v/>
      </c>
      <c r="AK744" s="8"/>
      <c r="AL744" s="8" t="str">
        <f>IF($AK744="","",SUMIFS(OPERATING_COEFFS!$C:$C,OPERATING_COEFFS!$A:$A,"UrgencyClass",OPERATING_COEFFS!$B:$B,$AK744))</f>
        <v/>
      </c>
      <c r="AM744" s="8"/>
      <c r="AN744" s="8" t="str">
        <f t="array" ref="AN744">IF($AM744="","",INDEX(TAX_MODES!$B:$B,MATCH($AM744,TAX_MODES!$A:$A,0)))</f>
        <v/>
      </c>
    </row>
    <row r="745" ht="14.25" customHeight="1">
      <c r="C745" s="8"/>
      <c r="E745" s="8"/>
      <c r="G745" s="8"/>
      <c r="I745" s="8"/>
      <c r="K745" s="8"/>
      <c r="M745" s="8"/>
      <c r="O745" s="8"/>
      <c r="Q745" s="8"/>
      <c r="S745" s="8"/>
      <c r="V745" s="8"/>
      <c r="X745" s="31"/>
      <c r="Y745" s="31" t="str">
        <f>IF($X745="","",SUMIFS(TARIFF_PROFILES!$D:$D,TARIFF_PROFILES!$A:$A,$X745))</f>
        <v/>
      </c>
      <c r="Z745" s="31" t="str">
        <f>IF($X745="","",SUMIFS(TARIFF_PROFILES!$E:$E,TARIFF_PROFILES!$A:$A,$X745))</f>
        <v/>
      </c>
      <c r="AA745" s="31" t="str">
        <f>IF($X745="","",SUMIFS(TARIFF_PROFILES!$F:$F,TARIFF_PROFILES!$A:$A,$X745))</f>
        <v/>
      </c>
      <c r="AB745" s="31" t="str">
        <f>IF($X745="","",SUMIFS(TARIFF_PROFILES!$G:$G,TARIFF_PROFILES!$A:$A,$X745))</f>
        <v/>
      </c>
      <c r="AC745" s="31" t="str">
        <f>IF($X745="","",SUMIFS(TARIFF_PROFILES!$H:$H,TARIFF_PROFILES!$A:$A,$X745))</f>
        <v/>
      </c>
      <c r="AD745" s="31" t="str">
        <f t="array" ref="AD745">IF($X745="","",INDEX(TARIFF_PROFILES!$J:$J,MATCH($X745,TARIFF_PROFILES!$A:$A,0)))</f>
        <v/>
      </c>
      <c r="AE745" s="31" t="str">
        <f t="array" ref="AE745">IF($X745="","",INDEX(TARIFF_PROFILES!$K:$K,MATCH($X745,TARIFF_PROFILES!$A:$A,0)))</f>
        <v/>
      </c>
      <c r="AG745" s="8"/>
      <c r="AH745" s="8" t="str">
        <f>IF($AG745="","",SUMIFS(OPERATING_COEFFS!$C:$C,OPERATING_COEFFS!$A:$A,"DistanceClass",OPERATING_COEFFS!$B:$B,$AG745))</f>
        <v/>
      </c>
      <c r="AI745" s="8"/>
      <c r="AJ745" s="8" t="str">
        <f>IF($AI745="","",SUMIFS(OPERATING_COEFFS!$C:$C,OPERATING_COEFFS!$A:$A,"SeasonClass",OPERATING_COEFFS!$B:$B,$AI745))</f>
        <v/>
      </c>
      <c r="AK745" s="8"/>
      <c r="AL745" s="8" t="str">
        <f>IF($AK745="","",SUMIFS(OPERATING_COEFFS!$C:$C,OPERATING_COEFFS!$A:$A,"UrgencyClass",OPERATING_COEFFS!$B:$B,$AK745))</f>
        <v/>
      </c>
      <c r="AM745" s="8"/>
      <c r="AN745" s="8" t="str">
        <f t="array" ref="AN745">IF($AM745="","",INDEX(TAX_MODES!$B:$B,MATCH($AM745,TAX_MODES!$A:$A,0)))</f>
        <v/>
      </c>
    </row>
    <row r="746" ht="14.25" customHeight="1">
      <c r="C746" s="8"/>
      <c r="E746" s="8"/>
      <c r="G746" s="8"/>
      <c r="I746" s="8"/>
      <c r="K746" s="8"/>
      <c r="M746" s="8"/>
      <c r="O746" s="8"/>
      <c r="Q746" s="8"/>
      <c r="S746" s="8"/>
      <c r="V746" s="8"/>
      <c r="X746" s="31"/>
      <c r="Y746" s="31" t="str">
        <f>IF($X746="","",SUMIFS(TARIFF_PROFILES!$D:$D,TARIFF_PROFILES!$A:$A,$X746))</f>
        <v/>
      </c>
      <c r="Z746" s="31" t="str">
        <f>IF($X746="","",SUMIFS(TARIFF_PROFILES!$E:$E,TARIFF_PROFILES!$A:$A,$X746))</f>
        <v/>
      </c>
      <c r="AA746" s="31" t="str">
        <f>IF($X746="","",SUMIFS(TARIFF_PROFILES!$F:$F,TARIFF_PROFILES!$A:$A,$X746))</f>
        <v/>
      </c>
      <c r="AB746" s="31" t="str">
        <f>IF($X746="","",SUMIFS(TARIFF_PROFILES!$G:$G,TARIFF_PROFILES!$A:$A,$X746))</f>
        <v/>
      </c>
      <c r="AC746" s="31" t="str">
        <f>IF($X746="","",SUMIFS(TARIFF_PROFILES!$H:$H,TARIFF_PROFILES!$A:$A,$X746))</f>
        <v/>
      </c>
      <c r="AD746" s="31" t="str">
        <f t="array" ref="AD746">IF($X746="","",INDEX(TARIFF_PROFILES!$J:$J,MATCH($X746,TARIFF_PROFILES!$A:$A,0)))</f>
        <v/>
      </c>
      <c r="AE746" s="31" t="str">
        <f t="array" ref="AE746">IF($X746="","",INDEX(TARIFF_PROFILES!$K:$K,MATCH($X746,TARIFF_PROFILES!$A:$A,0)))</f>
        <v/>
      </c>
      <c r="AG746" s="8"/>
      <c r="AH746" s="8" t="str">
        <f>IF($AG746="","",SUMIFS(OPERATING_COEFFS!$C:$C,OPERATING_COEFFS!$A:$A,"DistanceClass",OPERATING_COEFFS!$B:$B,$AG746))</f>
        <v/>
      </c>
      <c r="AI746" s="8"/>
      <c r="AJ746" s="8" t="str">
        <f>IF($AI746="","",SUMIFS(OPERATING_COEFFS!$C:$C,OPERATING_COEFFS!$A:$A,"SeasonClass",OPERATING_COEFFS!$B:$B,$AI746))</f>
        <v/>
      </c>
      <c r="AK746" s="8"/>
      <c r="AL746" s="8" t="str">
        <f>IF($AK746="","",SUMIFS(OPERATING_COEFFS!$C:$C,OPERATING_COEFFS!$A:$A,"UrgencyClass",OPERATING_COEFFS!$B:$B,$AK746))</f>
        <v/>
      </c>
      <c r="AM746" s="8"/>
      <c r="AN746" s="8" t="str">
        <f t="array" ref="AN746">IF($AM746="","",INDEX(TAX_MODES!$B:$B,MATCH($AM746,TAX_MODES!$A:$A,0)))</f>
        <v/>
      </c>
    </row>
    <row r="747" ht="14.25" customHeight="1">
      <c r="C747" s="8"/>
      <c r="E747" s="8"/>
      <c r="G747" s="8"/>
      <c r="I747" s="8"/>
      <c r="K747" s="8"/>
      <c r="M747" s="8"/>
      <c r="O747" s="8"/>
      <c r="Q747" s="8"/>
      <c r="S747" s="8"/>
      <c r="V747" s="8"/>
      <c r="X747" s="31"/>
      <c r="Y747" s="31" t="str">
        <f>IF($X747="","",SUMIFS(TARIFF_PROFILES!$D:$D,TARIFF_PROFILES!$A:$A,$X747))</f>
        <v/>
      </c>
      <c r="Z747" s="31" t="str">
        <f>IF($X747="","",SUMIFS(TARIFF_PROFILES!$E:$E,TARIFF_PROFILES!$A:$A,$X747))</f>
        <v/>
      </c>
      <c r="AA747" s="31" t="str">
        <f>IF($X747="","",SUMIFS(TARIFF_PROFILES!$F:$F,TARIFF_PROFILES!$A:$A,$X747))</f>
        <v/>
      </c>
      <c r="AB747" s="31" t="str">
        <f>IF($X747="","",SUMIFS(TARIFF_PROFILES!$G:$G,TARIFF_PROFILES!$A:$A,$X747))</f>
        <v/>
      </c>
      <c r="AC747" s="31" t="str">
        <f>IF($X747="","",SUMIFS(TARIFF_PROFILES!$H:$H,TARIFF_PROFILES!$A:$A,$X747))</f>
        <v/>
      </c>
      <c r="AD747" s="31" t="str">
        <f t="array" ref="AD747">IF($X747="","",INDEX(TARIFF_PROFILES!$J:$J,MATCH($X747,TARIFF_PROFILES!$A:$A,0)))</f>
        <v/>
      </c>
      <c r="AE747" s="31" t="str">
        <f t="array" ref="AE747">IF($X747="","",INDEX(TARIFF_PROFILES!$K:$K,MATCH($X747,TARIFF_PROFILES!$A:$A,0)))</f>
        <v/>
      </c>
      <c r="AG747" s="8"/>
      <c r="AH747" s="8" t="str">
        <f>IF($AG747="","",SUMIFS(OPERATING_COEFFS!$C:$C,OPERATING_COEFFS!$A:$A,"DistanceClass",OPERATING_COEFFS!$B:$B,$AG747))</f>
        <v/>
      </c>
      <c r="AI747" s="8"/>
      <c r="AJ747" s="8" t="str">
        <f>IF($AI747="","",SUMIFS(OPERATING_COEFFS!$C:$C,OPERATING_COEFFS!$A:$A,"SeasonClass",OPERATING_COEFFS!$B:$B,$AI747))</f>
        <v/>
      </c>
      <c r="AK747" s="8"/>
      <c r="AL747" s="8" t="str">
        <f>IF($AK747="","",SUMIFS(OPERATING_COEFFS!$C:$C,OPERATING_COEFFS!$A:$A,"UrgencyClass",OPERATING_COEFFS!$B:$B,$AK747))</f>
        <v/>
      </c>
      <c r="AM747" s="8"/>
      <c r="AN747" s="8" t="str">
        <f t="array" ref="AN747">IF($AM747="","",INDEX(TAX_MODES!$B:$B,MATCH($AM747,TAX_MODES!$A:$A,0)))</f>
        <v/>
      </c>
    </row>
    <row r="748" ht="14.25" customHeight="1">
      <c r="C748" s="8"/>
      <c r="E748" s="8"/>
      <c r="G748" s="8"/>
      <c r="I748" s="8"/>
      <c r="K748" s="8"/>
      <c r="M748" s="8"/>
      <c r="O748" s="8"/>
      <c r="Q748" s="8"/>
      <c r="S748" s="8"/>
      <c r="V748" s="8"/>
      <c r="X748" s="31"/>
      <c r="Y748" s="31" t="str">
        <f>IF($X748="","",SUMIFS(TARIFF_PROFILES!$D:$D,TARIFF_PROFILES!$A:$A,$X748))</f>
        <v/>
      </c>
      <c r="Z748" s="31" t="str">
        <f>IF($X748="","",SUMIFS(TARIFF_PROFILES!$E:$E,TARIFF_PROFILES!$A:$A,$X748))</f>
        <v/>
      </c>
      <c r="AA748" s="31" t="str">
        <f>IF($X748="","",SUMIFS(TARIFF_PROFILES!$F:$F,TARIFF_PROFILES!$A:$A,$X748))</f>
        <v/>
      </c>
      <c r="AB748" s="31" t="str">
        <f>IF($X748="","",SUMIFS(TARIFF_PROFILES!$G:$G,TARIFF_PROFILES!$A:$A,$X748))</f>
        <v/>
      </c>
      <c r="AC748" s="31" t="str">
        <f>IF($X748="","",SUMIFS(TARIFF_PROFILES!$H:$H,TARIFF_PROFILES!$A:$A,$X748))</f>
        <v/>
      </c>
      <c r="AD748" s="31" t="str">
        <f t="array" ref="AD748">IF($X748="","",INDEX(TARIFF_PROFILES!$J:$J,MATCH($X748,TARIFF_PROFILES!$A:$A,0)))</f>
        <v/>
      </c>
      <c r="AE748" s="31" t="str">
        <f t="array" ref="AE748">IF($X748="","",INDEX(TARIFF_PROFILES!$K:$K,MATCH($X748,TARIFF_PROFILES!$A:$A,0)))</f>
        <v/>
      </c>
      <c r="AG748" s="8"/>
      <c r="AH748" s="8" t="str">
        <f>IF($AG748="","",SUMIFS(OPERATING_COEFFS!$C:$C,OPERATING_COEFFS!$A:$A,"DistanceClass",OPERATING_COEFFS!$B:$B,$AG748))</f>
        <v/>
      </c>
      <c r="AI748" s="8"/>
      <c r="AJ748" s="8" t="str">
        <f>IF($AI748="","",SUMIFS(OPERATING_COEFFS!$C:$C,OPERATING_COEFFS!$A:$A,"SeasonClass",OPERATING_COEFFS!$B:$B,$AI748))</f>
        <v/>
      </c>
      <c r="AK748" s="8"/>
      <c r="AL748" s="8" t="str">
        <f>IF($AK748="","",SUMIFS(OPERATING_COEFFS!$C:$C,OPERATING_COEFFS!$A:$A,"UrgencyClass",OPERATING_COEFFS!$B:$B,$AK748))</f>
        <v/>
      </c>
      <c r="AM748" s="8"/>
      <c r="AN748" s="8" t="str">
        <f t="array" ref="AN748">IF($AM748="","",INDEX(TAX_MODES!$B:$B,MATCH($AM748,TAX_MODES!$A:$A,0)))</f>
        <v/>
      </c>
    </row>
    <row r="749" ht="14.25" customHeight="1">
      <c r="C749" s="8"/>
      <c r="E749" s="8"/>
      <c r="G749" s="8"/>
      <c r="I749" s="8"/>
      <c r="K749" s="8"/>
      <c r="M749" s="8"/>
      <c r="O749" s="8"/>
      <c r="Q749" s="8"/>
      <c r="S749" s="8"/>
      <c r="V749" s="8"/>
      <c r="X749" s="31"/>
      <c r="Y749" s="31" t="str">
        <f>IF($X749="","",SUMIFS(TARIFF_PROFILES!$D:$D,TARIFF_PROFILES!$A:$A,$X749))</f>
        <v/>
      </c>
      <c r="Z749" s="31" t="str">
        <f>IF($X749="","",SUMIFS(TARIFF_PROFILES!$E:$E,TARIFF_PROFILES!$A:$A,$X749))</f>
        <v/>
      </c>
      <c r="AA749" s="31" t="str">
        <f>IF($X749="","",SUMIFS(TARIFF_PROFILES!$F:$F,TARIFF_PROFILES!$A:$A,$X749))</f>
        <v/>
      </c>
      <c r="AB749" s="31" t="str">
        <f>IF($X749="","",SUMIFS(TARIFF_PROFILES!$G:$G,TARIFF_PROFILES!$A:$A,$X749))</f>
        <v/>
      </c>
      <c r="AC749" s="31" t="str">
        <f>IF($X749="","",SUMIFS(TARIFF_PROFILES!$H:$H,TARIFF_PROFILES!$A:$A,$X749))</f>
        <v/>
      </c>
      <c r="AD749" s="31" t="str">
        <f t="array" ref="AD749">IF($X749="","",INDEX(TARIFF_PROFILES!$J:$J,MATCH($X749,TARIFF_PROFILES!$A:$A,0)))</f>
        <v/>
      </c>
      <c r="AE749" s="31" t="str">
        <f t="array" ref="AE749">IF($X749="","",INDEX(TARIFF_PROFILES!$K:$K,MATCH($X749,TARIFF_PROFILES!$A:$A,0)))</f>
        <v/>
      </c>
      <c r="AG749" s="8"/>
      <c r="AH749" s="8" t="str">
        <f>IF($AG749="","",SUMIFS(OPERATING_COEFFS!$C:$C,OPERATING_COEFFS!$A:$A,"DistanceClass",OPERATING_COEFFS!$B:$B,$AG749))</f>
        <v/>
      </c>
      <c r="AI749" s="8"/>
      <c r="AJ749" s="8" t="str">
        <f>IF($AI749="","",SUMIFS(OPERATING_COEFFS!$C:$C,OPERATING_COEFFS!$A:$A,"SeasonClass",OPERATING_COEFFS!$B:$B,$AI749))</f>
        <v/>
      </c>
      <c r="AK749" s="8"/>
      <c r="AL749" s="8" t="str">
        <f>IF($AK749="","",SUMIFS(OPERATING_COEFFS!$C:$C,OPERATING_COEFFS!$A:$A,"UrgencyClass",OPERATING_COEFFS!$B:$B,$AK749))</f>
        <v/>
      </c>
      <c r="AM749" s="8"/>
      <c r="AN749" s="8" t="str">
        <f t="array" ref="AN749">IF($AM749="","",INDEX(TAX_MODES!$B:$B,MATCH($AM749,TAX_MODES!$A:$A,0)))</f>
        <v/>
      </c>
    </row>
    <row r="750" ht="14.25" customHeight="1">
      <c r="C750" s="8"/>
      <c r="E750" s="8"/>
      <c r="G750" s="8"/>
      <c r="I750" s="8"/>
      <c r="K750" s="8"/>
      <c r="M750" s="8"/>
      <c r="O750" s="8"/>
      <c r="Q750" s="8"/>
      <c r="S750" s="8"/>
      <c r="V750" s="8"/>
      <c r="X750" s="31"/>
      <c r="Y750" s="31" t="str">
        <f>IF($X750="","",SUMIFS(TARIFF_PROFILES!$D:$D,TARIFF_PROFILES!$A:$A,$X750))</f>
        <v/>
      </c>
      <c r="Z750" s="31" t="str">
        <f>IF($X750="","",SUMIFS(TARIFF_PROFILES!$E:$E,TARIFF_PROFILES!$A:$A,$X750))</f>
        <v/>
      </c>
      <c r="AA750" s="31" t="str">
        <f>IF($X750="","",SUMIFS(TARIFF_PROFILES!$F:$F,TARIFF_PROFILES!$A:$A,$X750))</f>
        <v/>
      </c>
      <c r="AB750" s="31" t="str">
        <f>IF($X750="","",SUMIFS(TARIFF_PROFILES!$G:$G,TARIFF_PROFILES!$A:$A,$X750))</f>
        <v/>
      </c>
      <c r="AC750" s="31" t="str">
        <f>IF($X750="","",SUMIFS(TARIFF_PROFILES!$H:$H,TARIFF_PROFILES!$A:$A,$X750))</f>
        <v/>
      </c>
      <c r="AD750" s="31" t="str">
        <f t="array" ref="AD750">IF($X750="","",INDEX(TARIFF_PROFILES!$J:$J,MATCH($X750,TARIFF_PROFILES!$A:$A,0)))</f>
        <v/>
      </c>
      <c r="AE750" s="31" t="str">
        <f t="array" ref="AE750">IF($X750="","",INDEX(TARIFF_PROFILES!$K:$K,MATCH($X750,TARIFF_PROFILES!$A:$A,0)))</f>
        <v/>
      </c>
      <c r="AG750" s="8"/>
      <c r="AH750" s="8" t="str">
        <f>IF($AG750="","",SUMIFS(OPERATING_COEFFS!$C:$C,OPERATING_COEFFS!$A:$A,"DistanceClass",OPERATING_COEFFS!$B:$B,$AG750))</f>
        <v/>
      </c>
      <c r="AI750" s="8"/>
      <c r="AJ750" s="8" t="str">
        <f>IF($AI750="","",SUMIFS(OPERATING_COEFFS!$C:$C,OPERATING_COEFFS!$A:$A,"SeasonClass",OPERATING_COEFFS!$B:$B,$AI750))</f>
        <v/>
      </c>
      <c r="AK750" s="8"/>
      <c r="AL750" s="8" t="str">
        <f>IF($AK750="","",SUMIFS(OPERATING_COEFFS!$C:$C,OPERATING_COEFFS!$A:$A,"UrgencyClass",OPERATING_COEFFS!$B:$B,$AK750))</f>
        <v/>
      </c>
      <c r="AM750" s="8"/>
      <c r="AN750" s="8" t="str">
        <f t="array" ref="AN750">IF($AM750="","",INDEX(TAX_MODES!$B:$B,MATCH($AM750,TAX_MODES!$A:$A,0)))</f>
        <v/>
      </c>
    </row>
    <row r="751" ht="14.25" customHeight="1">
      <c r="C751" s="8"/>
      <c r="E751" s="8"/>
      <c r="G751" s="8"/>
      <c r="I751" s="8"/>
      <c r="K751" s="8"/>
      <c r="M751" s="8"/>
      <c r="O751" s="8"/>
      <c r="Q751" s="8"/>
      <c r="S751" s="8"/>
      <c r="V751" s="8"/>
      <c r="X751" s="31"/>
      <c r="Y751" s="31" t="str">
        <f>IF($X751="","",SUMIFS(TARIFF_PROFILES!$D:$D,TARIFF_PROFILES!$A:$A,$X751))</f>
        <v/>
      </c>
      <c r="Z751" s="31" t="str">
        <f>IF($X751="","",SUMIFS(TARIFF_PROFILES!$E:$E,TARIFF_PROFILES!$A:$A,$X751))</f>
        <v/>
      </c>
      <c r="AA751" s="31" t="str">
        <f>IF($X751="","",SUMIFS(TARIFF_PROFILES!$F:$F,TARIFF_PROFILES!$A:$A,$X751))</f>
        <v/>
      </c>
      <c r="AB751" s="31" t="str">
        <f>IF($X751="","",SUMIFS(TARIFF_PROFILES!$G:$G,TARIFF_PROFILES!$A:$A,$X751))</f>
        <v/>
      </c>
      <c r="AC751" s="31" t="str">
        <f>IF($X751="","",SUMIFS(TARIFF_PROFILES!$H:$H,TARIFF_PROFILES!$A:$A,$X751))</f>
        <v/>
      </c>
      <c r="AD751" s="31" t="str">
        <f t="array" ref="AD751">IF($X751="","",INDEX(TARIFF_PROFILES!$J:$J,MATCH($X751,TARIFF_PROFILES!$A:$A,0)))</f>
        <v/>
      </c>
      <c r="AE751" s="31" t="str">
        <f t="array" ref="AE751">IF($X751="","",INDEX(TARIFF_PROFILES!$K:$K,MATCH($X751,TARIFF_PROFILES!$A:$A,0)))</f>
        <v/>
      </c>
      <c r="AG751" s="8"/>
      <c r="AH751" s="8" t="str">
        <f>IF($AG751="","",SUMIFS(OPERATING_COEFFS!$C:$C,OPERATING_COEFFS!$A:$A,"DistanceClass",OPERATING_COEFFS!$B:$B,$AG751))</f>
        <v/>
      </c>
      <c r="AI751" s="8"/>
      <c r="AJ751" s="8" t="str">
        <f>IF($AI751="","",SUMIFS(OPERATING_COEFFS!$C:$C,OPERATING_COEFFS!$A:$A,"SeasonClass",OPERATING_COEFFS!$B:$B,$AI751))</f>
        <v/>
      </c>
      <c r="AK751" s="8"/>
      <c r="AL751" s="8" t="str">
        <f>IF($AK751="","",SUMIFS(OPERATING_COEFFS!$C:$C,OPERATING_COEFFS!$A:$A,"UrgencyClass",OPERATING_COEFFS!$B:$B,$AK751))</f>
        <v/>
      </c>
      <c r="AM751" s="8"/>
      <c r="AN751" s="8" t="str">
        <f t="array" ref="AN751">IF($AM751="","",INDEX(TAX_MODES!$B:$B,MATCH($AM751,TAX_MODES!$A:$A,0)))</f>
        <v/>
      </c>
    </row>
    <row r="752" ht="14.25" customHeight="1">
      <c r="C752" s="8"/>
      <c r="E752" s="8"/>
      <c r="G752" s="8"/>
      <c r="I752" s="8"/>
      <c r="K752" s="8"/>
      <c r="M752" s="8"/>
      <c r="O752" s="8"/>
      <c r="Q752" s="8"/>
      <c r="S752" s="8"/>
      <c r="V752" s="8"/>
      <c r="X752" s="31"/>
      <c r="Y752" s="31" t="str">
        <f>IF($X752="","",SUMIFS(TARIFF_PROFILES!$D:$D,TARIFF_PROFILES!$A:$A,$X752))</f>
        <v/>
      </c>
      <c r="Z752" s="31" t="str">
        <f>IF($X752="","",SUMIFS(TARIFF_PROFILES!$E:$E,TARIFF_PROFILES!$A:$A,$X752))</f>
        <v/>
      </c>
      <c r="AA752" s="31" t="str">
        <f>IF($X752="","",SUMIFS(TARIFF_PROFILES!$F:$F,TARIFF_PROFILES!$A:$A,$X752))</f>
        <v/>
      </c>
      <c r="AB752" s="31" t="str">
        <f>IF($X752="","",SUMIFS(TARIFF_PROFILES!$G:$G,TARIFF_PROFILES!$A:$A,$X752))</f>
        <v/>
      </c>
      <c r="AC752" s="31" t="str">
        <f>IF($X752="","",SUMIFS(TARIFF_PROFILES!$H:$H,TARIFF_PROFILES!$A:$A,$X752))</f>
        <v/>
      </c>
      <c r="AD752" s="31" t="str">
        <f t="array" ref="AD752">IF($X752="","",INDEX(TARIFF_PROFILES!$J:$J,MATCH($X752,TARIFF_PROFILES!$A:$A,0)))</f>
        <v/>
      </c>
      <c r="AE752" s="31" t="str">
        <f t="array" ref="AE752">IF($X752="","",INDEX(TARIFF_PROFILES!$K:$K,MATCH($X752,TARIFF_PROFILES!$A:$A,0)))</f>
        <v/>
      </c>
      <c r="AG752" s="8"/>
      <c r="AH752" s="8" t="str">
        <f>IF($AG752="","",SUMIFS(OPERATING_COEFFS!$C:$C,OPERATING_COEFFS!$A:$A,"DistanceClass",OPERATING_COEFFS!$B:$B,$AG752))</f>
        <v/>
      </c>
      <c r="AI752" s="8"/>
      <c r="AJ752" s="8" t="str">
        <f>IF($AI752="","",SUMIFS(OPERATING_COEFFS!$C:$C,OPERATING_COEFFS!$A:$A,"SeasonClass",OPERATING_COEFFS!$B:$B,$AI752))</f>
        <v/>
      </c>
      <c r="AK752" s="8"/>
      <c r="AL752" s="8" t="str">
        <f>IF($AK752="","",SUMIFS(OPERATING_COEFFS!$C:$C,OPERATING_COEFFS!$A:$A,"UrgencyClass",OPERATING_COEFFS!$B:$B,$AK752))</f>
        <v/>
      </c>
      <c r="AM752" s="8"/>
      <c r="AN752" s="8" t="str">
        <f t="array" ref="AN752">IF($AM752="","",INDEX(TAX_MODES!$B:$B,MATCH($AM752,TAX_MODES!$A:$A,0)))</f>
        <v/>
      </c>
    </row>
    <row r="753" ht="14.25" customHeight="1">
      <c r="C753" s="8"/>
      <c r="E753" s="8"/>
      <c r="G753" s="8"/>
      <c r="I753" s="8"/>
      <c r="K753" s="8"/>
      <c r="M753" s="8"/>
      <c r="O753" s="8"/>
      <c r="Q753" s="8"/>
      <c r="S753" s="8"/>
      <c r="V753" s="8"/>
      <c r="X753" s="31"/>
      <c r="Y753" s="31" t="str">
        <f>IF($X753="","",SUMIFS(TARIFF_PROFILES!$D:$D,TARIFF_PROFILES!$A:$A,$X753))</f>
        <v/>
      </c>
      <c r="Z753" s="31" t="str">
        <f>IF($X753="","",SUMIFS(TARIFF_PROFILES!$E:$E,TARIFF_PROFILES!$A:$A,$X753))</f>
        <v/>
      </c>
      <c r="AA753" s="31" t="str">
        <f>IF($X753="","",SUMIFS(TARIFF_PROFILES!$F:$F,TARIFF_PROFILES!$A:$A,$X753))</f>
        <v/>
      </c>
      <c r="AB753" s="31" t="str">
        <f>IF($X753="","",SUMIFS(TARIFF_PROFILES!$G:$G,TARIFF_PROFILES!$A:$A,$X753))</f>
        <v/>
      </c>
      <c r="AC753" s="31" t="str">
        <f>IF($X753="","",SUMIFS(TARIFF_PROFILES!$H:$H,TARIFF_PROFILES!$A:$A,$X753))</f>
        <v/>
      </c>
      <c r="AD753" s="31" t="str">
        <f t="array" ref="AD753">IF($X753="","",INDEX(TARIFF_PROFILES!$J:$J,MATCH($X753,TARIFF_PROFILES!$A:$A,0)))</f>
        <v/>
      </c>
      <c r="AE753" s="31" t="str">
        <f t="array" ref="AE753">IF($X753="","",INDEX(TARIFF_PROFILES!$K:$K,MATCH($X753,TARIFF_PROFILES!$A:$A,0)))</f>
        <v/>
      </c>
      <c r="AG753" s="8"/>
      <c r="AH753" s="8" t="str">
        <f>IF($AG753="","",SUMIFS(OPERATING_COEFFS!$C:$C,OPERATING_COEFFS!$A:$A,"DistanceClass",OPERATING_COEFFS!$B:$B,$AG753))</f>
        <v/>
      </c>
      <c r="AI753" s="8"/>
      <c r="AJ753" s="8" t="str">
        <f>IF($AI753="","",SUMIFS(OPERATING_COEFFS!$C:$C,OPERATING_COEFFS!$A:$A,"SeasonClass",OPERATING_COEFFS!$B:$B,$AI753))</f>
        <v/>
      </c>
      <c r="AK753" s="8"/>
      <c r="AL753" s="8" t="str">
        <f>IF($AK753="","",SUMIFS(OPERATING_COEFFS!$C:$C,OPERATING_COEFFS!$A:$A,"UrgencyClass",OPERATING_COEFFS!$B:$B,$AK753))</f>
        <v/>
      </c>
      <c r="AM753" s="8"/>
      <c r="AN753" s="8" t="str">
        <f t="array" ref="AN753">IF($AM753="","",INDEX(TAX_MODES!$B:$B,MATCH($AM753,TAX_MODES!$A:$A,0)))</f>
        <v/>
      </c>
    </row>
    <row r="754" ht="14.25" customHeight="1">
      <c r="C754" s="8"/>
      <c r="E754" s="8"/>
      <c r="G754" s="8"/>
      <c r="I754" s="8"/>
      <c r="K754" s="8"/>
      <c r="M754" s="8"/>
      <c r="O754" s="8"/>
      <c r="Q754" s="8"/>
      <c r="S754" s="8"/>
      <c r="V754" s="8"/>
      <c r="X754" s="31"/>
      <c r="Y754" s="31" t="str">
        <f>IF($X754="","",SUMIFS(TARIFF_PROFILES!$D:$D,TARIFF_PROFILES!$A:$A,$X754))</f>
        <v/>
      </c>
      <c r="Z754" s="31" t="str">
        <f>IF($X754="","",SUMIFS(TARIFF_PROFILES!$E:$E,TARIFF_PROFILES!$A:$A,$X754))</f>
        <v/>
      </c>
      <c r="AA754" s="31" t="str">
        <f>IF($X754="","",SUMIFS(TARIFF_PROFILES!$F:$F,TARIFF_PROFILES!$A:$A,$X754))</f>
        <v/>
      </c>
      <c r="AB754" s="31" t="str">
        <f>IF($X754="","",SUMIFS(TARIFF_PROFILES!$G:$G,TARIFF_PROFILES!$A:$A,$X754))</f>
        <v/>
      </c>
      <c r="AC754" s="31" t="str">
        <f>IF($X754="","",SUMIFS(TARIFF_PROFILES!$H:$H,TARIFF_PROFILES!$A:$A,$X754))</f>
        <v/>
      </c>
      <c r="AD754" s="31" t="str">
        <f t="array" ref="AD754">IF($X754="","",INDEX(TARIFF_PROFILES!$J:$J,MATCH($X754,TARIFF_PROFILES!$A:$A,0)))</f>
        <v/>
      </c>
      <c r="AE754" s="31" t="str">
        <f t="array" ref="AE754">IF($X754="","",INDEX(TARIFF_PROFILES!$K:$K,MATCH($X754,TARIFF_PROFILES!$A:$A,0)))</f>
        <v/>
      </c>
      <c r="AG754" s="8"/>
      <c r="AH754" s="8" t="str">
        <f>IF($AG754="","",SUMIFS(OPERATING_COEFFS!$C:$C,OPERATING_COEFFS!$A:$A,"DistanceClass",OPERATING_COEFFS!$B:$B,$AG754))</f>
        <v/>
      </c>
      <c r="AI754" s="8"/>
      <c r="AJ754" s="8" t="str">
        <f>IF($AI754="","",SUMIFS(OPERATING_COEFFS!$C:$C,OPERATING_COEFFS!$A:$A,"SeasonClass",OPERATING_COEFFS!$B:$B,$AI754))</f>
        <v/>
      </c>
      <c r="AK754" s="8"/>
      <c r="AL754" s="8" t="str">
        <f>IF($AK754="","",SUMIFS(OPERATING_COEFFS!$C:$C,OPERATING_COEFFS!$A:$A,"UrgencyClass",OPERATING_COEFFS!$B:$B,$AK754))</f>
        <v/>
      </c>
      <c r="AM754" s="8"/>
      <c r="AN754" s="8" t="str">
        <f t="array" ref="AN754">IF($AM754="","",INDEX(TAX_MODES!$B:$B,MATCH($AM754,TAX_MODES!$A:$A,0)))</f>
        <v/>
      </c>
    </row>
    <row r="755" ht="14.25" customHeight="1">
      <c r="C755" s="8"/>
      <c r="E755" s="8"/>
      <c r="G755" s="8"/>
      <c r="I755" s="8"/>
      <c r="K755" s="8"/>
      <c r="M755" s="8"/>
      <c r="O755" s="8"/>
      <c r="Q755" s="8"/>
      <c r="S755" s="8"/>
      <c r="V755" s="8"/>
      <c r="X755" s="31"/>
      <c r="Y755" s="31" t="str">
        <f>IF($X755="","",SUMIFS(TARIFF_PROFILES!$D:$D,TARIFF_PROFILES!$A:$A,$X755))</f>
        <v/>
      </c>
      <c r="Z755" s="31" t="str">
        <f>IF($X755="","",SUMIFS(TARIFF_PROFILES!$E:$E,TARIFF_PROFILES!$A:$A,$X755))</f>
        <v/>
      </c>
      <c r="AA755" s="31" t="str">
        <f>IF($X755="","",SUMIFS(TARIFF_PROFILES!$F:$F,TARIFF_PROFILES!$A:$A,$X755))</f>
        <v/>
      </c>
      <c r="AB755" s="31" t="str">
        <f>IF($X755="","",SUMIFS(TARIFF_PROFILES!$G:$G,TARIFF_PROFILES!$A:$A,$X755))</f>
        <v/>
      </c>
      <c r="AC755" s="31" t="str">
        <f>IF($X755="","",SUMIFS(TARIFF_PROFILES!$H:$H,TARIFF_PROFILES!$A:$A,$X755))</f>
        <v/>
      </c>
      <c r="AD755" s="31" t="str">
        <f t="array" ref="AD755">IF($X755="","",INDEX(TARIFF_PROFILES!$J:$J,MATCH($X755,TARIFF_PROFILES!$A:$A,0)))</f>
        <v/>
      </c>
      <c r="AE755" s="31" t="str">
        <f t="array" ref="AE755">IF($X755="","",INDEX(TARIFF_PROFILES!$K:$K,MATCH($X755,TARIFF_PROFILES!$A:$A,0)))</f>
        <v/>
      </c>
      <c r="AG755" s="8"/>
      <c r="AH755" s="8" t="str">
        <f>IF($AG755="","",SUMIFS(OPERATING_COEFFS!$C:$C,OPERATING_COEFFS!$A:$A,"DistanceClass",OPERATING_COEFFS!$B:$B,$AG755))</f>
        <v/>
      </c>
      <c r="AI755" s="8"/>
      <c r="AJ755" s="8" t="str">
        <f>IF($AI755="","",SUMIFS(OPERATING_COEFFS!$C:$C,OPERATING_COEFFS!$A:$A,"SeasonClass",OPERATING_COEFFS!$B:$B,$AI755))</f>
        <v/>
      </c>
      <c r="AK755" s="8"/>
      <c r="AL755" s="8" t="str">
        <f>IF($AK755="","",SUMIFS(OPERATING_COEFFS!$C:$C,OPERATING_COEFFS!$A:$A,"UrgencyClass",OPERATING_COEFFS!$B:$B,$AK755))</f>
        <v/>
      </c>
      <c r="AM755" s="8"/>
      <c r="AN755" s="8" t="str">
        <f t="array" ref="AN755">IF($AM755="","",INDEX(TAX_MODES!$B:$B,MATCH($AM755,TAX_MODES!$A:$A,0)))</f>
        <v/>
      </c>
    </row>
    <row r="756" ht="14.25" customHeight="1">
      <c r="C756" s="8"/>
      <c r="E756" s="8"/>
      <c r="G756" s="8"/>
      <c r="I756" s="8"/>
      <c r="K756" s="8"/>
      <c r="M756" s="8"/>
      <c r="O756" s="8"/>
      <c r="Q756" s="8"/>
      <c r="S756" s="8"/>
      <c r="V756" s="8"/>
      <c r="X756" s="31"/>
      <c r="Y756" s="31" t="str">
        <f>IF($X756="","",SUMIFS(TARIFF_PROFILES!$D:$D,TARIFF_PROFILES!$A:$A,$X756))</f>
        <v/>
      </c>
      <c r="Z756" s="31" t="str">
        <f>IF($X756="","",SUMIFS(TARIFF_PROFILES!$E:$E,TARIFF_PROFILES!$A:$A,$X756))</f>
        <v/>
      </c>
      <c r="AA756" s="31" t="str">
        <f>IF($X756="","",SUMIFS(TARIFF_PROFILES!$F:$F,TARIFF_PROFILES!$A:$A,$X756))</f>
        <v/>
      </c>
      <c r="AB756" s="31" t="str">
        <f>IF($X756="","",SUMIFS(TARIFF_PROFILES!$G:$G,TARIFF_PROFILES!$A:$A,$X756))</f>
        <v/>
      </c>
      <c r="AC756" s="31" t="str">
        <f>IF($X756="","",SUMIFS(TARIFF_PROFILES!$H:$H,TARIFF_PROFILES!$A:$A,$X756))</f>
        <v/>
      </c>
      <c r="AD756" s="31" t="str">
        <f t="array" ref="AD756">IF($X756="","",INDEX(TARIFF_PROFILES!$J:$J,MATCH($X756,TARIFF_PROFILES!$A:$A,0)))</f>
        <v/>
      </c>
      <c r="AE756" s="31" t="str">
        <f t="array" ref="AE756">IF($X756="","",INDEX(TARIFF_PROFILES!$K:$K,MATCH($X756,TARIFF_PROFILES!$A:$A,0)))</f>
        <v/>
      </c>
      <c r="AG756" s="8"/>
      <c r="AH756" s="8" t="str">
        <f>IF($AG756="","",SUMIFS(OPERATING_COEFFS!$C:$C,OPERATING_COEFFS!$A:$A,"DistanceClass",OPERATING_COEFFS!$B:$B,$AG756))</f>
        <v/>
      </c>
      <c r="AI756" s="8"/>
      <c r="AJ756" s="8" t="str">
        <f>IF($AI756="","",SUMIFS(OPERATING_COEFFS!$C:$C,OPERATING_COEFFS!$A:$A,"SeasonClass",OPERATING_COEFFS!$B:$B,$AI756))</f>
        <v/>
      </c>
      <c r="AK756" s="8"/>
      <c r="AL756" s="8" t="str">
        <f>IF($AK756="","",SUMIFS(OPERATING_COEFFS!$C:$C,OPERATING_COEFFS!$A:$A,"UrgencyClass",OPERATING_COEFFS!$B:$B,$AK756))</f>
        <v/>
      </c>
      <c r="AM756" s="8"/>
      <c r="AN756" s="8" t="str">
        <f t="array" ref="AN756">IF($AM756="","",INDEX(TAX_MODES!$B:$B,MATCH($AM756,TAX_MODES!$A:$A,0)))</f>
        <v/>
      </c>
    </row>
    <row r="757" ht="14.25" customHeight="1">
      <c r="C757" s="8"/>
      <c r="E757" s="8"/>
      <c r="G757" s="8"/>
      <c r="I757" s="8"/>
      <c r="K757" s="8"/>
      <c r="M757" s="8"/>
      <c r="O757" s="8"/>
      <c r="Q757" s="8"/>
      <c r="S757" s="8"/>
      <c r="V757" s="8"/>
      <c r="X757" s="31"/>
      <c r="Y757" s="31" t="str">
        <f>IF($X757="","",SUMIFS(TARIFF_PROFILES!$D:$D,TARIFF_PROFILES!$A:$A,$X757))</f>
        <v/>
      </c>
      <c r="Z757" s="31" t="str">
        <f>IF($X757="","",SUMIFS(TARIFF_PROFILES!$E:$E,TARIFF_PROFILES!$A:$A,$X757))</f>
        <v/>
      </c>
      <c r="AA757" s="31" t="str">
        <f>IF($X757="","",SUMIFS(TARIFF_PROFILES!$F:$F,TARIFF_PROFILES!$A:$A,$X757))</f>
        <v/>
      </c>
      <c r="AB757" s="31" t="str">
        <f>IF($X757="","",SUMIFS(TARIFF_PROFILES!$G:$G,TARIFF_PROFILES!$A:$A,$X757))</f>
        <v/>
      </c>
      <c r="AC757" s="31" t="str">
        <f>IF($X757="","",SUMIFS(TARIFF_PROFILES!$H:$H,TARIFF_PROFILES!$A:$A,$X757))</f>
        <v/>
      </c>
      <c r="AD757" s="31" t="str">
        <f t="array" ref="AD757">IF($X757="","",INDEX(TARIFF_PROFILES!$J:$J,MATCH($X757,TARIFF_PROFILES!$A:$A,0)))</f>
        <v/>
      </c>
      <c r="AE757" s="31" t="str">
        <f t="array" ref="AE757">IF($X757="","",INDEX(TARIFF_PROFILES!$K:$K,MATCH($X757,TARIFF_PROFILES!$A:$A,0)))</f>
        <v/>
      </c>
      <c r="AG757" s="8"/>
      <c r="AH757" s="8" t="str">
        <f>IF($AG757="","",SUMIFS(OPERATING_COEFFS!$C:$C,OPERATING_COEFFS!$A:$A,"DistanceClass",OPERATING_COEFFS!$B:$B,$AG757))</f>
        <v/>
      </c>
      <c r="AI757" s="8"/>
      <c r="AJ757" s="8" t="str">
        <f>IF($AI757="","",SUMIFS(OPERATING_COEFFS!$C:$C,OPERATING_COEFFS!$A:$A,"SeasonClass",OPERATING_COEFFS!$B:$B,$AI757))</f>
        <v/>
      </c>
      <c r="AK757" s="8"/>
      <c r="AL757" s="8" t="str">
        <f>IF($AK757="","",SUMIFS(OPERATING_COEFFS!$C:$C,OPERATING_COEFFS!$A:$A,"UrgencyClass",OPERATING_COEFFS!$B:$B,$AK757))</f>
        <v/>
      </c>
      <c r="AM757" s="8"/>
      <c r="AN757" s="8" t="str">
        <f t="array" ref="AN757">IF($AM757="","",INDEX(TAX_MODES!$B:$B,MATCH($AM757,TAX_MODES!$A:$A,0)))</f>
        <v/>
      </c>
    </row>
    <row r="758" ht="14.25" customHeight="1">
      <c r="C758" s="8"/>
      <c r="E758" s="8"/>
      <c r="G758" s="8"/>
      <c r="I758" s="8"/>
      <c r="K758" s="8"/>
      <c r="M758" s="8"/>
      <c r="O758" s="8"/>
      <c r="Q758" s="8"/>
      <c r="S758" s="8"/>
      <c r="V758" s="8"/>
      <c r="X758" s="31"/>
      <c r="Y758" s="31" t="str">
        <f>IF($X758="","",SUMIFS(TARIFF_PROFILES!$D:$D,TARIFF_PROFILES!$A:$A,$X758))</f>
        <v/>
      </c>
      <c r="Z758" s="31" t="str">
        <f>IF($X758="","",SUMIFS(TARIFF_PROFILES!$E:$E,TARIFF_PROFILES!$A:$A,$X758))</f>
        <v/>
      </c>
      <c r="AA758" s="31" t="str">
        <f>IF($X758="","",SUMIFS(TARIFF_PROFILES!$F:$F,TARIFF_PROFILES!$A:$A,$X758))</f>
        <v/>
      </c>
      <c r="AB758" s="31" t="str">
        <f>IF($X758="","",SUMIFS(TARIFF_PROFILES!$G:$G,TARIFF_PROFILES!$A:$A,$X758))</f>
        <v/>
      </c>
      <c r="AC758" s="31" t="str">
        <f>IF($X758="","",SUMIFS(TARIFF_PROFILES!$H:$H,TARIFF_PROFILES!$A:$A,$X758))</f>
        <v/>
      </c>
      <c r="AD758" s="31" t="str">
        <f t="array" ref="AD758">IF($X758="","",INDEX(TARIFF_PROFILES!$J:$J,MATCH($X758,TARIFF_PROFILES!$A:$A,0)))</f>
        <v/>
      </c>
      <c r="AE758" s="31" t="str">
        <f t="array" ref="AE758">IF($X758="","",INDEX(TARIFF_PROFILES!$K:$K,MATCH($X758,TARIFF_PROFILES!$A:$A,0)))</f>
        <v/>
      </c>
      <c r="AG758" s="8"/>
      <c r="AH758" s="8" t="str">
        <f>IF($AG758="","",SUMIFS(OPERATING_COEFFS!$C:$C,OPERATING_COEFFS!$A:$A,"DistanceClass",OPERATING_COEFFS!$B:$B,$AG758))</f>
        <v/>
      </c>
      <c r="AI758" s="8"/>
      <c r="AJ758" s="8" t="str">
        <f>IF($AI758="","",SUMIFS(OPERATING_COEFFS!$C:$C,OPERATING_COEFFS!$A:$A,"SeasonClass",OPERATING_COEFFS!$B:$B,$AI758))</f>
        <v/>
      </c>
      <c r="AK758" s="8"/>
      <c r="AL758" s="8" t="str">
        <f>IF($AK758="","",SUMIFS(OPERATING_COEFFS!$C:$C,OPERATING_COEFFS!$A:$A,"UrgencyClass",OPERATING_COEFFS!$B:$B,$AK758))</f>
        <v/>
      </c>
      <c r="AM758" s="8"/>
      <c r="AN758" s="8" t="str">
        <f t="array" ref="AN758">IF($AM758="","",INDEX(TAX_MODES!$B:$B,MATCH($AM758,TAX_MODES!$A:$A,0)))</f>
        <v/>
      </c>
    </row>
    <row r="759" ht="14.25" customHeight="1">
      <c r="C759" s="8"/>
      <c r="E759" s="8"/>
      <c r="G759" s="8"/>
      <c r="I759" s="8"/>
      <c r="K759" s="8"/>
      <c r="M759" s="8"/>
      <c r="O759" s="8"/>
      <c r="Q759" s="8"/>
      <c r="S759" s="8"/>
      <c r="V759" s="8"/>
      <c r="X759" s="31"/>
      <c r="Y759" s="31" t="str">
        <f>IF($X759="","",SUMIFS(TARIFF_PROFILES!$D:$D,TARIFF_PROFILES!$A:$A,$X759))</f>
        <v/>
      </c>
      <c r="Z759" s="31" t="str">
        <f>IF($X759="","",SUMIFS(TARIFF_PROFILES!$E:$E,TARIFF_PROFILES!$A:$A,$X759))</f>
        <v/>
      </c>
      <c r="AA759" s="31" t="str">
        <f>IF($X759="","",SUMIFS(TARIFF_PROFILES!$F:$F,TARIFF_PROFILES!$A:$A,$X759))</f>
        <v/>
      </c>
      <c r="AB759" s="31" t="str">
        <f>IF($X759="","",SUMIFS(TARIFF_PROFILES!$G:$G,TARIFF_PROFILES!$A:$A,$X759))</f>
        <v/>
      </c>
      <c r="AC759" s="31" t="str">
        <f>IF($X759="","",SUMIFS(TARIFF_PROFILES!$H:$H,TARIFF_PROFILES!$A:$A,$X759))</f>
        <v/>
      </c>
      <c r="AD759" s="31" t="str">
        <f t="array" ref="AD759">IF($X759="","",INDEX(TARIFF_PROFILES!$J:$J,MATCH($X759,TARIFF_PROFILES!$A:$A,0)))</f>
        <v/>
      </c>
      <c r="AE759" s="31" t="str">
        <f t="array" ref="AE759">IF($X759="","",INDEX(TARIFF_PROFILES!$K:$K,MATCH($X759,TARIFF_PROFILES!$A:$A,0)))</f>
        <v/>
      </c>
      <c r="AG759" s="8"/>
      <c r="AH759" s="8" t="str">
        <f>IF($AG759="","",SUMIFS(OPERATING_COEFFS!$C:$C,OPERATING_COEFFS!$A:$A,"DistanceClass",OPERATING_COEFFS!$B:$B,$AG759))</f>
        <v/>
      </c>
      <c r="AI759" s="8"/>
      <c r="AJ759" s="8" t="str">
        <f>IF($AI759="","",SUMIFS(OPERATING_COEFFS!$C:$C,OPERATING_COEFFS!$A:$A,"SeasonClass",OPERATING_COEFFS!$B:$B,$AI759))</f>
        <v/>
      </c>
      <c r="AK759" s="8"/>
      <c r="AL759" s="8" t="str">
        <f>IF($AK759="","",SUMIFS(OPERATING_COEFFS!$C:$C,OPERATING_COEFFS!$A:$A,"UrgencyClass",OPERATING_COEFFS!$B:$B,$AK759))</f>
        <v/>
      </c>
      <c r="AM759" s="8"/>
      <c r="AN759" s="8" t="str">
        <f t="array" ref="AN759">IF($AM759="","",INDEX(TAX_MODES!$B:$B,MATCH($AM759,TAX_MODES!$A:$A,0)))</f>
        <v/>
      </c>
    </row>
    <row r="760" ht="14.25" customHeight="1">
      <c r="C760" s="8"/>
      <c r="E760" s="8"/>
      <c r="G760" s="8"/>
      <c r="I760" s="8"/>
      <c r="K760" s="8"/>
      <c r="M760" s="8"/>
      <c r="O760" s="8"/>
      <c r="Q760" s="8"/>
      <c r="S760" s="8"/>
      <c r="V760" s="8"/>
      <c r="X760" s="31"/>
      <c r="Y760" s="31" t="str">
        <f>IF($X760="","",SUMIFS(TARIFF_PROFILES!$D:$D,TARIFF_PROFILES!$A:$A,$X760))</f>
        <v/>
      </c>
      <c r="Z760" s="31" t="str">
        <f>IF($X760="","",SUMIFS(TARIFF_PROFILES!$E:$E,TARIFF_PROFILES!$A:$A,$X760))</f>
        <v/>
      </c>
      <c r="AA760" s="31" t="str">
        <f>IF($X760="","",SUMIFS(TARIFF_PROFILES!$F:$F,TARIFF_PROFILES!$A:$A,$X760))</f>
        <v/>
      </c>
      <c r="AB760" s="31" t="str">
        <f>IF($X760="","",SUMIFS(TARIFF_PROFILES!$G:$G,TARIFF_PROFILES!$A:$A,$X760))</f>
        <v/>
      </c>
      <c r="AC760" s="31" t="str">
        <f>IF($X760="","",SUMIFS(TARIFF_PROFILES!$H:$H,TARIFF_PROFILES!$A:$A,$X760))</f>
        <v/>
      </c>
      <c r="AD760" s="31" t="str">
        <f t="array" ref="AD760">IF($X760="","",INDEX(TARIFF_PROFILES!$J:$J,MATCH($X760,TARIFF_PROFILES!$A:$A,0)))</f>
        <v/>
      </c>
      <c r="AE760" s="31" t="str">
        <f t="array" ref="AE760">IF($X760="","",INDEX(TARIFF_PROFILES!$K:$K,MATCH($X760,TARIFF_PROFILES!$A:$A,0)))</f>
        <v/>
      </c>
      <c r="AG760" s="8"/>
      <c r="AH760" s="8" t="str">
        <f>IF($AG760="","",SUMIFS(OPERATING_COEFFS!$C:$C,OPERATING_COEFFS!$A:$A,"DistanceClass",OPERATING_COEFFS!$B:$B,$AG760))</f>
        <v/>
      </c>
      <c r="AI760" s="8"/>
      <c r="AJ760" s="8" t="str">
        <f>IF($AI760="","",SUMIFS(OPERATING_COEFFS!$C:$C,OPERATING_COEFFS!$A:$A,"SeasonClass",OPERATING_COEFFS!$B:$B,$AI760))</f>
        <v/>
      </c>
      <c r="AK760" s="8"/>
      <c r="AL760" s="8" t="str">
        <f>IF($AK760="","",SUMIFS(OPERATING_COEFFS!$C:$C,OPERATING_COEFFS!$A:$A,"UrgencyClass",OPERATING_COEFFS!$B:$B,$AK760))</f>
        <v/>
      </c>
      <c r="AM760" s="8"/>
      <c r="AN760" s="8" t="str">
        <f t="array" ref="AN760">IF($AM760="","",INDEX(TAX_MODES!$B:$B,MATCH($AM760,TAX_MODES!$A:$A,0)))</f>
        <v/>
      </c>
    </row>
    <row r="761" ht="14.25" customHeight="1">
      <c r="C761" s="8"/>
      <c r="E761" s="8"/>
      <c r="G761" s="8"/>
      <c r="I761" s="8"/>
      <c r="K761" s="8"/>
      <c r="M761" s="8"/>
      <c r="O761" s="8"/>
      <c r="Q761" s="8"/>
      <c r="S761" s="8"/>
      <c r="V761" s="8"/>
      <c r="X761" s="31"/>
      <c r="Y761" s="31" t="str">
        <f>IF($X761="","",SUMIFS(TARIFF_PROFILES!$D:$D,TARIFF_PROFILES!$A:$A,$X761))</f>
        <v/>
      </c>
      <c r="Z761" s="31" t="str">
        <f>IF($X761="","",SUMIFS(TARIFF_PROFILES!$E:$E,TARIFF_PROFILES!$A:$A,$X761))</f>
        <v/>
      </c>
      <c r="AA761" s="31" t="str">
        <f>IF($X761="","",SUMIFS(TARIFF_PROFILES!$F:$F,TARIFF_PROFILES!$A:$A,$X761))</f>
        <v/>
      </c>
      <c r="AB761" s="31" t="str">
        <f>IF($X761="","",SUMIFS(TARIFF_PROFILES!$G:$G,TARIFF_PROFILES!$A:$A,$X761))</f>
        <v/>
      </c>
      <c r="AC761" s="31" t="str">
        <f>IF($X761="","",SUMIFS(TARIFF_PROFILES!$H:$H,TARIFF_PROFILES!$A:$A,$X761))</f>
        <v/>
      </c>
      <c r="AD761" s="31" t="str">
        <f t="array" ref="AD761">IF($X761="","",INDEX(TARIFF_PROFILES!$J:$J,MATCH($X761,TARIFF_PROFILES!$A:$A,0)))</f>
        <v/>
      </c>
      <c r="AE761" s="31" t="str">
        <f t="array" ref="AE761">IF($X761="","",INDEX(TARIFF_PROFILES!$K:$K,MATCH($X761,TARIFF_PROFILES!$A:$A,0)))</f>
        <v/>
      </c>
      <c r="AG761" s="8"/>
      <c r="AH761" s="8" t="str">
        <f>IF($AG761="","",SUMIFS(OPERATING_COEFFS!$C:$C,OPERATING_COEFFS!$A:$A,"DistanceClass",OPERATING_COEFFS!$B:$B,$AG761))</f>
        <v/>
      </c>
      <c r="AI761" s="8"/>
      <c r="AJ761" s="8" t="str">
        <f>IF($AI761="","",SUMIFS(OPERATING_COEFFS!$C:$C,OPERATING_COEFFS!$A:$A,"SeasonClass",OPERATING_COEFFS!$B:$B,$AI761))</f>
        <v/>
      </c>
      <c r="AK761" s="8"/>
      <c r="AL761" s="8" t="str">
        <f>IF($AK761="","",SUMIFS(OPERATING_COEFFS!$C:$C,OPERATING_COEFFS!$A:$A,"UrgencyClass",OPERATING_COEFFS!$B:$B,$AK761))</f>
        <v/>
      </c>
      <c r="AM761" s="8"/>
      <c r="AN761" s="8" t="str">
        <f t="array" ref="AN761">IF($AM761="","",INDEX(TAX_MODES!$B:$B,MATCH($AM761,TAX_MODES!$A:$A,0)))</f>
        <v/>
      </c>
    </row>
    <row r="762" ht="14.25" customHeight="1">
      <c r="C762" s="8"/>
      <c r="E762" s="8"/>
      <c r="G762" s="8"/>
      <c r="I762" s="8"/>
      <c r="K762" s="8"/>
      <c r="M762" s="8"/>
      <c r="O762" s="8"/>
      <c r="Q762" s="8"/>
      <c r="S762" s="8"/>
      <c r="V762" s="8"/>
      <c r="X762" s="31"/>
      <c r="Y762" s="31" t="str">
        <f>IF($X762="","",SUMIFS(TARIFF_PROFILES!$D:$D,TARIFF_PROFILES!$A:$A,$X762))</f>
        <v/>
      </c>
      <c r="Z762" s="31" t="str">
        <f>IF($X762="","",SUMIFS(TARIFF_PROFILES!$E:$E,TARIFF_PROFILES!$A:$A,$X762))</f>
        <v/>
      </c>
      <c r="AA762" s="31" t="str">
        <f>IF($X762="","",SUMIFS(TARIFF_PROFILES!$F:$F,TARIFF_PROFILES!$A:$A,$X762))</f>
        <v/>
      </c>
      <c r="AB762" s="31" t="str">
        <f>IF($X762="","",SUMIFS(TARIFF_PROFILES!$G:$G,TARIFF_PROFILES!$A:$A,$X762))</f>
        <v/>
      </c>
      <c r="AC762" s="31" t="str">
        <f>IF($X762="","",SUMIFS(TARIFF_PROFILES!$H:$H,TARIFF_PROFILES!$A:$A,$X762))</f>
        <v/>
      </c>
      <c r="AD762" s="31" t="str">
        <f t="array" ref="AD762">IF($X762="","",INDEX(TARIFF_PROFILES!$J:$J,MATCH($X762,TARIFF_PROFILES!$A:$A,0)))</f>
        <v/>
      </c>
      <c r="AE762" s="31" t="str">
        <f t="array" ref="AE762">IF($X762="","",INDEX(TARIFF_PROFILES!$K:$K,MATCH($X762,TARIFF_PROFILES!$A:$A,0)))</f>
        <v/>
      </c>
      <c r="AG762" s="8"/>
      <c r="AH762" s="8" t="str">
        <f>IF($AG762="","",SUMIFS(OPERATING_COEFFS!$C:$C,OPERATING_COEFFS!$A:$A,"DistanceClass",OPERATING_COEFFS!$B:$B,$AG762))</f>
        <v/>
      </c>
      <c r="AI762" s="8"/>
      <c r="AJ762" s="8" t="str">
        <f>IF($AI762="","",SUMIFS(OPERATING_COEFFS!$C:$C,OPERATING_COEFFS!$A:$A,"SeasonClass",OPERATING_COEFFS!$B:$B,$AI762))</f>
        <v/>
      </c>
      <c r="AK762" s="8"/>
      <c r="AL762" s="8" t="str">
        <f>IF($AK762="","",SUMIFS(OPERATING_COEFFS!$C:$C,OPERATING_COEFFS!$A:$A,"UrgencyClass",OPERATING_COEFFS!$B:$B,$AK762))</f>
        <v/>
      </c>
      <c r="AM762" s="8"/>
      <c r="AN762" s="8" t="str">
        <f t="array" ref="AN762">IF($AM762="","",INDEX(TAX_MODES!$B:$B,MATCH($AM762,TAX_MODES!$A:$A,0)))</f>
        <v/>
      </c>
    </row>
    <row r="763" ht="14.25" customHeight="1">
      <c r="C763" s="8"/>
      <c r="E763" s="8"/>
      <c r="G763" s="8"/>
      <c r="I763" s="8"/>
      <c r="K763" s="8"/>
      <c r="M763" s="8"/>
      <c r="O763" s="8"/>
      <c r="Q763" s="8"/>
      <c r="S763" s="8"/>
      <c r="V763" s="8"/>
      <c r="X763" s="31"/>
      <c r="Y763" s="31" t="str">
        <f>IF($X763="","",SUMIFS(TARIFF_PROFILES!$D:$D,TARIFF_PROFILES!$A:$A,$X763))</f>
        <v/>
      </c>
      <c r="Z763" s="31" t="str">
        <f>IF($X763="","",SUMIFS(TARIFF_PROFILES!$E:$E,TARIFF_PROFILES!$A:$A,$X763))</f>
        <v/>
      </c>
      <c r="AA763" s="31" t="str">
        <f>IF($X763="","",SUMIFS(TARIFF_PROFILES!$F:$F,TARIFF_PROFILES!$A:$A,$X763))</f>
        <v/>
      </c>
      <c r="AB763" s="31" t="str">
        <f>IF($X763="","",SUMIFS(TARIFF_PROFILES!$G:$G,TARIFF_PROFILES!$A:$A,$X763))</f>
        <v/>
      </c>
      <c r="AC763" s="31" t="str">
        <f>IF($X763="","",SUMIFS(TARIFF_PROFILES!$H:$H,TARIFF_PROFILES!$A:$A,$X763))</f>
        <v/>
      </c>
      <c r="AD763" s="31" t="str">
        <f t="array" ref="AD763">IF($X763="","",INDEX(TARIFF_PROFILES!$J:$J,MATCH($X763,TARIFF_PROFILES!$A:$A,0)))</f>
        <v/>
      </c>
      <c r="AE763" s="31" t="str">
        <f t="array" ref="AE763">IF($X763="","",INDEX(TARIFF_PROFILES!$K:$K,MATCH($X763,TARIFF_PROFILES!$A:$A,0)))</f>
        <v/>
      </c>
      <c r="AG763" s="8"/>
      <c r="AH763" s="8" t="str">
        <f>IF($AG763="","",SUMIFS(OPERATING_COEFFS!$C:$C,OPERATING_COEFFS!$A:$A,"DistanceClass",OPERATING_COEFFS!$B:$B,$AG763))</f>
        <v/>
      </c>
      <c r="AI763" s="8"/>
      <c r="AJ763" s="8" t="str">
        <f>IF($AI763="","",SUMIFS(OPERATING_COEFFS!$C:$C,OPERATING_COEFFS!$A:$A,"SeasonClass",OPERATING_COEFFS!$B:$B,$AI763))</f>
        <v/>
      </c>
      <c r="AK763" s="8"/>
      <c r="AL763" s="8" t="str">
        <f>IF($AK763="","",SUMIFS(OPERATING_COEFFS!$C:$C,OPERATING_COEFFS!$A:$A,"UrgencyClass",OPERATING_COEFFS!$B:$B,$AK763))</f>
        <v/>
      </c>
      <c r="AM763" s="8"/>
      <c r="AN763" s="8" t="str">
        <f t="array" ref="AN763">IF($AM763="","",INDEX(TAX_MODES!$B:$B,MATCH($AM763,TAX_MODES!$A:$A,0)))</f>
        <v/>
      </c>
    </row>
    <row r="764" ht="14.25" customHeight="1">
      <c r="C764" s="8"/>
      <c r="E764" s="8"/>
      <c r="G764" s="8"/>
      <c r="I764" s="8"/>
      <c r="K764" s="8"/>
      <c r="M764" s="8"/>
      <c r="O764" s="8"/>
      <c r="Q764" s="8"/>
      <c r="S764" s="8"/>
      <c r="V764" s="8"/>
      <c r="X764" s="31"/>
      <c r="Y764" s="31" t="str">
        <f>IF($X764="","",SUMIFS(TARIFF_PROFILES!$D:$D,TARIFF_PROFILES!$A:$A,$X764))</f>
        <v/>
      </c>
      <c r="Z764" s="31" t="str">
        <f>IF($X764="","",SUMIFS(TARIFF_PROFILES!$E:$E,TARIFF_PROFILES!$A:$A,$X764))</f>
        <v/>
      </c>
      <c r="AA764" s="31" t="str">
        <f>IF($X764="","",SUMIFS(TARIFF_PROFILES!$F:$F,TARIFF_PROFILES!$A:$A,$X764))</f>
        <v/>
      </c>
      <c r="AB764" s="31" t="str">
        <f>IF($X764="","",SUMIFS(TARIFF_PROFILES!$G:$G,TARIFF_PROFILES!$A:$A,$X764))</f>
        <v/>
      </c>
      <c r="AC764" s="31" t="str">
        <f>IF($X764="","",SUMIFS(TARIFF_PROFILES!$H:$H,TARIFF_PROFILES!$A:$A,$X764))</f>
        <v/>
      </c>
      <c r="AD764" s="31" t="str">
        <f t="array" ref="AD764">IF($X764="","",INDEX(TARIFF_PROFILES!$J:$J,MATCH($X764,TARIFF_PROFILES!$A:$A,0)))</f>
        <v/>
      </c>
      <c r="AE764" s="31" t="str">
        <f t="array" ref="AE764">IF($X764="","",INDEX(TARIFF_PROFILES!$K:$K,MATCH($X764,TARIFF_PROFILES!$A:$A,0)))</f>
        <v/>
      </c>
      <c r="AG764" s="8"/>
      <c r="AH764" s="8" t="str">
        <f>IF($AG764="","",SUMIFS(OPERATING_COEFFS!$C:$C,OPERATING_COEFFS!$A:$A,"DistanceClass",OPERATING_COEFFS!$B:$B,$AG764))</f>
        <v/>
      </c>
      <c r="AI764" s="8"/>
      <c r="AJ764" s="8" t="str">
        <f>IF($AI764="","",SUMIFS(OPERATING_COEFFS!$C:$C,OPERATING_COEFFS!$A:$A,"SeasonClass",OPERATING_COEFFS!$B:$B,$AI764))</f>
        <v/>
      </c>
      <c r="AK764" s="8"/>
      <c r="AL764" s="8" t="str">
        <f>IF($AK764="","",SUMIFS(OPERATING_COEFFS!$C:$C,OPERATING_COEFFS!$A:$A,"UrgencyClass",OPERATING_COEFFS!$B:$B,$AK764))</f>
        <v/>
      </c>
      <c r="AM764" s="8"/>
      <c r="AN764" s="8" t="str">
        <f t="array" ref="AN764">IF($AM764="","",INDEX(TAX_MODES!$B:$B,MATCH($AM764,TAX_MODES!$A:$A,0)))</f>
        <v/>
      </c>
    </row>
    <row r="765" ht="14.25" customHeight="1">
      <c r="C765" s="8"/>
      <c r="E765" s="8"/>
      <c r="G765" s="8"/>
      <c r="I765" s="8"/>
      <c r="K765" s="8"/>
      <c r="M765" s="8"/>
      <c r="O765" s="8"/>
      <c r="Q765" s="8"/>
      <c r="S765" s="8"/>
      <c r="V765" s="8"/>
      <c r="X765" s="31"/>
      <c r="Y765" s="31" t="str">
        <f>IF($X765="","",SUMIFS(TARIFF_PROFILES!$D:$D,TARIFF_PROFILES!$A:$A,$X765))</f>
        <v/>
      </c>
      <c r="Z765" s="31" t="str">
        <f>IF($X765="","",SUMIFS(TARIFF_PROFILES!$E:$E,TARIFF_PROFILES!$A:$A,$X765))</f>
        <v/>
      </c>
      <c r="AA765" s="31" t="str">
        <f>IF($X765="","",SUMIFS(TARIFF_PROFILES!$F:$F,TARIFF_PROFILES!$A:$A,$X765))</f>
        <v/>
      </c>
      <c r="AB765" s="31" t="str">
        <f>IF($X765="","",SUMIFS(TARIFF_PROFILES!$G:$G,TARIFF_PROFILES!$A:$A,$X765))</f>
        <v/>
      </c>
      <c r="AC765" s="31" t="str">
        <f>IF($X765="","",SUMIFS(TARIFF_PROFILES!$H:$H,TARIFF_PROFILES!$A:$A,$X765))</f>
        <v/>
      </c>
      <c r="AD765" s="31" t="str">
        <f t="array" ref="AD765">IF($X765="","",INDEX(TARIFF_PROFILES!$J:$J,MATCH($X765,TARIFF_PROFILES!$A:$A,0)))</f>
        <v/>
      </c>
      <c r="AE765" s="31" t="str">
        <f t="array" ref="AE765">IF($X765="","",INDEX(TARIFF_PROFILES!$K:$K,MATCH($X765,TARIFF_PROFILES!$A:$A,0)))</f>
        <v/>
      </c>
      <c r="AG765" s="8"/>
      <c r="AH765" s="8" t="str">
        <f>IF($AG765="","",SUMIFS(OPERATING_COEFFS!$C:$C,OPERATING_COEFFS!$A:$A,"DistanceClass",OPERATING_COEFFS!$B:$B,$AG765))</f>
        <v/>
      </c>
      <c r="AI765" s="8"/>
      <c r="AJ765" s="8" t="str">
        <f>IF($AI765="","",SUMIFS(OPERATING_COEFFS!$C:$C,OPERATING_COEFFS!$A:$A,"SeasonClass",OPERATING_COEFFS!$B:$B,$AI765))</f>
        <v/>
      </c>
      <c r="AK765" s="8"/>
      <c r="AL765" s="8" t="str">
        <f>IF($AK765="","",SUMIFS(OPERATING_COEFFS!$C:$C,OPERATING_COEFFS!$A:$A,"UrgencyClass",OPERATING_COEFFS!$B:$B,$AK765))</f>
        <v/>
      </c>
      <c r="AM765" s="8"/>
      <c r="AN765" s="8" t="str">
        <f t="array" ref="AN765">IF($AM765="","",INDEX(TAX_MODES!$B:$B,MATCH($AM765,TAX_MODES!$A:$A,0)))</f>
        <v/>
      </c>
    </row>
    <row r="766" ht="14.25" customHeight="1">
      <c r="C766" s="8"/>
      <c r="E766" s="8"/>
      <c r="G766" s="8"/>
      <c r="I766" s="8"/>
      <c r="K766" s="8"/>
      <c r="M766" s="8"/>
      <c r="O766" s="8"/>
      <c r="Q766" s="8"/>
      <c r="S766" s="8"/>
      <c r="V766" s="8"/>
      <c r="X766" s="31"/>
      <c r="Y766" s="31" t="str">
        <f>IF($X766="","",SUMIFS(TARIFF_PROFILES!$D:$D,TARIFF_PROFILES!$A:$A,$X766))</f>
        <v/>
      </c>
      <c r="Z766" s="31" t="str">
        <f>IF($X766="","",SUMIFS(TARIFF_PROFILES!$E:$E,TARIFF_PROFILES!$A:$A,$X766))</f>
        <v/>
      </c>
      <c r="AA766" s="31" t="str">
        <f>IF($X766="","",SUMIFS(TARIFF_PROFILES!$F:$F,TARIFF_PROFILES!$A:$A,$X766))</f>
        <v/>
      </c>
      <c r="AB766" s="31" t="str">
        <f>IF($X766="","",SUMIFS(TARIFF_PROFILES!$G:$G,TARIFF_PROFILES!$A:$A,$X766))</f>
        <v/>
      </c>
      <c r="AC766" s="31" t="str">
        <f>IF($X766="","",SUMIFS(TARIFF_PROFILES!$H:$H,TARIFF_PROFILES!$A:$A,$X766))</f>
        <v/>
      </c>
      <c r="AD766" s="31" t="str">
        <f t="array" ref="AD766">IF($X766="","",INDEX(TARIFF_PROFILES!$J:$J,MATCH($X766,TARIFF_PROFILES!$A:$A,0)))</f>
        <v/>
      </c>
      <c r="AE766" s="31" t="str">
        <f t="array" ref="AE766">IF($X766="","",INDEX(TARIFF_PROFILES!$K:$K,MATCH($X766,TARIFF_PROFILES!$A:$A,0)))</f>
        <v/>
      </c>
      <c r="AG766" s="8"/>
      <c r="AH766" s="8" t="str">
        <f>IF($AG766="","",SUMIFS(OPERATING_COEFFS!$C:$C,OPERATING_COEFFS!$A:$A,"DistanceClass",OPERATING_COEFFS!$B:$B,$AG766))</f>
        <v/>
      </c>
      <c r="AI766" s="8"/>
      <c r="AJ766" s="8" t="str">
        <f>IF($AI766="","",SUMIFS(OPERATING_COEFFS!$C:$C,OPERATING_COEFFS!$A:$A,"SeasonClass",OPERATING_COEFFS!$B:$B,$AI766))</f>
        <v/>
      </c>
      <c r="AK766" s="8"/>
      <c r="AL766" s="8" t="str">
        <f>IF($AK766="","",SUMIFS(OPERATING_COEFFS!$C:$C,OPERATING_COEFFS!$A:$A,"UrgencyClass",OPERATING_COEFFS!$B:$B,$AK766))</f>
        <v/>
      </c>
      <c r="AM766" s="8"/>
      <c r="AN766" s="8" t="str">
        <f t="array" ref="AN766">IF($AM766="","",INDEX(TAX_MODES!$B:$B,MATCH($AM766,TAX_MODES!$A:$A,0)))</f>
        <v/>
      </c>
    </row>
    <row r="767" ht="14.25" customHeight="1">
      <c r="C767" s="8"/>
      <c r="E767" s="8"/>
      <c r="G767" s="8"/>
      <c r="I767" s="8"/>
      <c r="K767" s="8"/>
      <c r="M767" s="8"/>
      <c r="O767" s="8"/>
      <c r="Q767" s="8"/>
      <c r="S767" s="8"/>
      <c r="V767" s="8"/>
      <c r="X767" s="31"/>
      <c r="Y767" s="31" t="str">
        <f>IF($X767="","",SUMIFS(TARIFF_PROFILES!$D:$D,TARIFF_PROFILES!$A:$A,$X767))</f>
        <v/>
      </c>
      <c r="Z767" s="31" t="str">
        <f>IF($X767="","",SUMIFS(TARIFF_PROFILES!$E:$E,TARIFF_PROFILES!$A:$A,$X767))</f>
        <v/>
      </c>
      <c r="AA767" s="31" t="str">
        <f>IF($X767="","",SUMIFS(TARIFF_PROFILES!$F:$F,TARIFF_PROFILES!$A:$A,$X767))</f>
        <v/>
      </c>
      <c r="AB767" s="31" t="str">
        <f>IF($X767="","",SUMIFS(TARIFF_PROFILES!$G:$G,TARIFF_PROFILES!$A:$A,$X767))</f>
        <v/>
      </c>
      <c r="AC767" s="31" t="str">
        <f>IF($X767="","",SUMIFS(TARIFF_PROFILES!$H:$H,TARIFF_PROFILES!$A:$A,$X767))</f>
        <v/>
      </c>
      <c r="AD767" s="31" t="str">
        <f t="array" ref="AD767">IF($X767="","",INDEX(TARIFF_PROFILES!$J:$J,MATCH($X767,TARIFF_PROFILES!$A:$A,0)))</f>
        <v/>
      </c>
      <c r="AE767" s="31" t="str">
        <f t="array" ref="AE767">IF($X767="","",INDEX(TARIFF_PROFILES!$K:$K,MATCH($X767,TARIFF_PROFILES!$A:$A,0)))</f>
        <v/>
      </c>
      <c r="AG767" s="8"/>
      <c r="AH767" s="8" t="str">
        <f>IF($AG767="","",SUMIFS(OPERATING_COEFFS!$C:$C,OPERATING_COEFFS!$A:$A,"DistanceClass",OPERATING_COEFFS!$B:$B,$AG767))</f>
        <v/>
      </c>
      <c r="AI767" s="8"/>
      <c r="AJ767" s="8" t="str">
        <f>IF($AI767="","",SUMIFS(OPERATING_COEFFS!$C:$C,OPERATING_COEFFS!$A:$A,"SeasonClass",OPERATING_COEFFS!$B:$B,$AI767))</f>
        <v/>
      </c>
      <c r="AK767" s="8"/>
      <c r="AL767" s="8" t="str">
        <f>IF($AK767="","",SUMIFS(OPERATING_COEFFS!$C:$C,OPERATING_COEFFS!$A:$A,"UrgencyClass",OPERATING_COEFFS!$B:$B,$AK767))</f>
        <v/>
      </c>
      <c r="AM767" s="8"/>
      <c r="AN767" s="8" t="str">
        <f t="array" ref="AN767">IF($AM767="","",INDEX(TAX_MODES!$B:$B,MATCH($AM767,TAX_MODES!$A:$A,0)))</f>
        <v/>
      </c>
    </row>
    <row r="768" ht="14.25" customHeight="1">
      <c r="C768" s="8"/>
      <c r="E768" s="8"/>
      <c r="G768" s="8"/>
      <c r="I768" s="8"/>
      <c r="K768" s="8"/>
      <c r="M768" s="8"/>
      <c r="O768" s="8"/>
      <c r="Q768" s="8"/>
      <c r="S768" s="8"/>
      <c r="V768" s="8"/>
      <c r="X768" s="31"/>
      <c r="Y768" s="31" t="str">
        <f>IF($X768="","",SUMIFS(TARIFF_PROFILES!$D:$D,TARIFF_PROFILES!$A:$A,$X768))</f>
        <v/>
      </c>
      <c r="Z768" s="31" t="str">
        <f>IF($X768="","",SUMIFS(TARIFF_PROFILES!$E:$E,TARIFF_PROFILES!$A:$A,$X768))</f>
        <v/>
      </c>
      <c r="AA768" s="31" t="str">
        <f>IF($X768="","",SUMIFS(TARIFF_PROFILES!$F:$F,TARIFF_PROFILES!$A:$A,$X768))</f>
        <v/>
      </c>
      <c r="AB768" s="31" t="str">
        <f>IF($X768="","",SUMIFS(TARIFF_PROFILES!$G:$G,TARIFF_PROFILES!$A:$A,$X768))</f>
        <v/>
      </c>
      <c r="AC768" s="31" t="str">
        <f>IF($X768="","",SUMIFS(TARIFF_PROFILES!$H:$H,TARIFF_PROFILES!$A:$A,$X768))</f>
        <v/>
      </c>
      <c r="AD768" s="31" t="str">
        <f t="array" ref="AD768">IF($X768="","",INDEX(TARIFF_PROFILES!$J:$J,MATCH($X768,TARIFF_PROFILES!$A:$A,0)))</f>
        <v/>
      </c>
      <c r="AE768" s="31" t="str">
        <f t="array" ref="AE768">IF($X768="","",INDEX(TARIFF_PROFILES!$K:$K,MATCH($X768,TARIFF_PROFILES!$A:$A,0)))</f>
        <v/>
      </c>
      <c r="AG768" s="8"/>
      <c r="AH768" s="8" t="str">
        <f>IF($AG768="","",SUMIFS(OPERATING_COEFFS!$C:$C,OPERATING_COEFFS!$A:$A,"DistanceClass",OPERATING_COEFFS!$B:$B,$AG768))</f>
        <v/>
      </c>
      <c r="AI768" s="8"/>
      <c r="AJ768" s="8" t="str">
        <f>IF($AI768="","",SUMIFS(OPERATING_COEFFS!$C:$C,OPERATING_COEFFS!$A:$A,"SeasonClass",OPERATING_COEFFS!$B:$B,$AI768))</f>
        <v/>
      </c>
      <c r="AK768" s="8"/>
      <c r="AL768" s="8" t="str">
        <f>IF($AK768="","",SUMIFS(OPERATING_COEFFS!$C:$C,OPERATING_COEFFS!$A:$A,"UrgencyClass",OPERATING_COEFFS!$B:$B,$AK768))</f>
        <v/>
      </c>
      <c r="AM768" s="8"/>
      <c r="AN768" s="8" t="str">
        <f t="array" ref="AN768">IF($AM768="","",INDEX(TAX_MODES!$B:$B,MATCH($AM768,TAX_MODES!$A:$A,0)))</f>
        <v/>
      </c>
    </row>
    <row r="769" ht="14.25" customHeight="1">
      <c r="C769" s="8"/>
      <c r="E769" s="8"/>
      <c r="G769" s="8"/>
      <c r="I769" s="8"/>
      <c r="K769" s="8"/>
      <c r="M769" s="8"/>
      <c r="O769" s="8"/>
      <c r="Q769" s="8"/>
      <c r="S769" s="8"/>
      <c r="V769" s="8"/>
      <c r="X769" s="31"/>
      <c r="Y769" s="31" t="str">
        <f>IF($X769="","",SUMIFS(TARIFF_PROFILES!$D:$D,TARIFF_PROFILES!$A:$A,$X769))</f>
        <v/>
      </c>
      <c r="Z769" s="31" t="str">
        <f>IF($X769="","",SUMIFS(TARIFF_PROFILES!$E:$E,TARIFF_PROFILES!$A:$A,$X769))</f>
        <v/>
      </c>
      <c r="AA769" s="31" t="str">
        <f>IF($X769="","",SUMIFS(TARIFF_PROFILES!$F:$F,TARIFF_PROFILES!$A:$A,$X769))</f>
        <v/>
      </c>
      <c r="AB769" s="31" t="str">
        <f>IF($X769="","",SUMIFS(TARIFF_PROFILES!$G:$G,TARIFF_PROFILES!$A:$A,$X769))</f>
        <v/>
      </c>
      <c r="AC769" s="31" t="str">
        <f>IF($X769="","",SUMIFS(TARIFF_PROFILES!$H:$H,TARIFF_PROFILES!$A:$A,$X769))</f>
        <v/>
      </c>
      <c r="AD769" s="31" t="str">
        <f t="array" ref="AD769">IF($X769="","",INDEX(TARIFF_PROFILES!$J:$J,MATCH($X769,TARIFF_PROFILES!$A:$A,0)))</f>
        <v/>
      </c>
      <c r="AE769" s="31" t="str">
        <f t="array" ref="AE769">IF($X769="","",INDEX(TARIFF_PROFILES!$K:$K,MATCH($X769,TARIFF_PROFILES!$A:$A,0)))</f>
        <v/>
      </c>
      <c r="AG769" s="8"/>
      <c r="AH769" s="8" t="str">
        <f>IF($AG769="","",SUMIFS(OPERATING_COEFFS!$C:$C,OPERATING_COEFFS!$A:$A,"DistanceClass",OPERATING_COEFFS!$B:$B,$AG769))</f>
        <v/>
      </c>
      <c r="AI769" s="8"/>
      <c r="AJ769" s="8" t="str">
        <f>IF($AI769="","",SUMIFS(OPERATING_COEFFS!$C:$C,OPERATING_COEFFS!$A:$A,"SeasonClass",OPERATING_COEFFS!$B:$B,$AI769))</f>
        <v/>
      </c>
      <c r="AK769" s="8"/>
      <c r="AL769" s="8" t="str">
        <f>IF($AK769="","",SUMIFS(OPERATING_COEFFS!$C:$C,OPERATING_COEFFS!$A:$A,"UrgencyClass",OPERATING_COEFFS!$B:$B,$AK769))</f>
        <v/>
      </c>
      <c r="AM769" s="8"/>
      <c r="AN769" s="8" t="str">
        <f t="array" ref="AN769">IF($AM769="","",INDEX(TAX_MODES!$B:$B,MATCH($AM769,TAX_MODES!$A:$A,0)))</f>
        <v/>
      </c>
    </row>
    <row r="770" ht="14.25" customHeight="1">
      <c r="C770" s="8"/>
      <c r="E770" s="8"/>
      <c r="G770" s="8"/>
      <c r="I770" s="8"/>
      <c r="K770" s="8"/>
      <c r="M770" s="8"/>
      <c r="O770" s="8"/>
      <c r="Q770" s="8"/>
      <c r="S770" s="8"/>
      <c r="V770" s="8"/>
      <c r="X770" s="31"/>
      <c r="Y770" s="31" t="str">
        <f>IF($X770="","",SUMIFS(TARIFF_PROFILES!$D:$D,TARIFF_PROFILES!$A:$A,$X770))</f>
        <v/>
      </c>
      <c r="Z770" s="31" t="str">
        <f>IF($X770="","",SUMIFS(TARIFF_PROFILES!$E:$E,TARIFF_PROFILES!$A:$A,$X770))</f>
        <v/>
      </c>
      <c r="AA770" s="31" t="str">
        <f>IF($X770="","",SUMIFS(TARIFF_PROFILES!$F:$F,TARIFF_PROFILES!$A:$A,$X770))</f>
        <v/>
      </c>
      <c r="AB770" s="31" t="str">
        <f>IF($X770="","",SUMIFS(TARIFF_PROFILES!$G:$G,TARIFF_PROFILES!$A:$A,$X770))</f>
        <v/>
      </c>
      <c r="AC770" s="31" t="str">
        <f>IF($X770="","",SUMIFS(TARIFF_PROFILES!$H:$H,TARIFF_PROFILES!$A:$A,$X770))</f>
        <v/>
      </c>
      <c r="AD770" s="31" t="str">
        <f t="array" ref="AD770">IF($X770="","",INDEX(TARIFF_PROFILES!$J:$J,MATCH($X770,TARIFF_PROFILES!$A:$A,0)))</f>
        <v/>
      </c>
      <c r="AE770" s="31" t="str">
        <f t="array" ref="AE770">IF($X770="","",INDEX(TARIFF_PROFILES!$K:$K,MATCH($X770,TARIFF_PROFILES!$A:$A,0)))</f>
        <v/>
      </c>
      <c r="AG770" s="8"/>
      <c r="AH770" s="8" t="str">
        <f>IF($AG770="","",SUMIFS(OPERATING_COEFFS!$C:$C,OPERATING_COEFFS!$A:$A,"DistanceClass",OPERATING_COEFFS!$B:$B,$AG770))</f>
        <v/>
      </c>
      <c r="AI770" s="8"/>
      <c r="AJ770" s="8" t="str">
        <f>IF($AI770="","",SUMIFS(OPERATING_COEFFS!$C:$C,OPERATING_COEFFS!$A:$A,"SeasonClass",OPERATING_COEFFS!$B:$B,$AI770))</f>
        <v/>
      </c>
      <c r="AK770" s="8"/>
      <c r="AL770" s="8" t="str">
        <f>IF($AK770="","",SUMIFS(OPERATING_COEFFS!$C:$C,OPERATING_COEFFS!$A:$A,"UrgencyClass",OPERATING_COEFFS!$B:$B,$AK770))</f>
        <v/>
      </c>
      <c r="AM770" s="8"/>
      <c r="AN770" s="8" t="str">
        <f t="array" ref="AN770">IF($AM770="","",INDEX(TAX_MODES!$B:$B,MATCH($AM770,TAX_MODES!$A:$A,0)))</f>
        <v/>
      </c>
    </row>
    <row r="771" ht="14.25" customHeight="1">
      <c r="C771" s="8"/>
      <c r="E771" s="8"/>
      <c r="G771" s="8"/>
      <c r="I771" s="8"/>
      <c r="K771" s="8"/>
      <c r="M771" s="8"/>
      <c r="O771" s="8"/>
      <c r="Q771" s="8"/>
      <c r="S771" s="8"/>
      <c r="V771" s="8"/>
      <c r="X771" s="31"/>
      <c r="Y771" s="31" t="str">
        <f>IF($X771="","",SUMIFS(TARIFF_PROFILES!$D:$D,TARIFF_PROFILES!$A:$A,$X771))</f>
        <v/>
      </c>
      <c r="Z771" s="31" t="str">
        <f>IF($X771="","",SUMIFS(TARIFF_PROFILES!$E:$E,TARIFF_PROFILES!$A:$A,$X771))</f>
        <v/>
      </c>
      <c r="AA771" s="31" t="str">
        <f>IF($X771="","",SUMIFS(TARIFF_PROFILES!$F:$F,TARIFF_PROFILES!$A:$A,$X771))</f>
        <v/>
      </c>
      <c r="AB771" s="31" t="str">
        <f>IF($X771="","",SUMIFS(TARIFF_PROFILES!$G:$G,TARIFF_PROFILES!$A:$A,$X771))</f>
        <v/>
      </c>
      <c r="AC771" s="31" t="str">
        <f>IF($X771="","",SUMIFS(TARIFF_PROFILES!$H:$H,TARIFF_PROFILES!$A:$A,$X771))</f>
        <v/>
      </c>
      <c r="AD771" s="31" t="str">
        <f t="array" ref="AD771">IF($X771="","",INDEX(TARIFF_PROFILES!$J:$J,MATCH($X771,TARIFF_PROFILES!$A:$A,0)))</f>
        <v/>
      </c>
      <c r="AE771" s="31" t="str">
        <f t="array" ref="AE771">IF($X771="","",INDEX(TARIFF_PROFILES!$K:$K,MATCH($X771,TARIFF_PROFILES!$A:$A,0)))</f>
        <v/>
      </c>
      <c r="AG771" s="8"/>
      <c r="AH771" s="8" t="str">
        <f>IF($AG771="","",SUMIFS(OPERATING_COEFFS!$C:$C,OPERATING_COEFFS!$A:$A,"DistanceClass",OPERATING_COEFFS!$B:$B,$AG771))</f>
        <v/>
      </c>
      <c r="AI771" s="8"/>
      <c r="AJ771" s="8" t="str">
        <f>IF($AI771="","",SUMIFS(OPERATING_COEFFS!$C:$C,OPERATING_COEFFS!$A:$A,"SeasonClass",OPERATING_COEFFS!$B:$B,$AI771))</f>
        <v/>
      </c>
      <c r="AK771" s="8"/>
      <c r="AL771" s="8" t="str">
        <f>IF($AK771="","",SUMIFS(OPERATING_COEFFS!$C:$C,OPERATING_COEFFS!$A:$A,"UrgencyClass",OPERATING_COEFFS!$B:$B,$AK771))</f>
        <v/>
      </c>
      <c r="AM771" s="8"/>
      <c r="AN771" s="8" t="str">
        <f t="array" ref="AN771">IF($AM771="","",INDEX(TAX_MODES!$B:$B,MATCH($AM771,TAX_MODES!$A:$A,0)))</f>
        <v/>
      </c>
    </row>
    <row r="772" ht="14.25" customHeight="1">
      <c r="C772" s="8"/>
      <c r="E772" s="8"/>
      <c r="G772" s="8"/>
      <c r="I772" s="8"/>
      <c r="K772" s="8"/>
      <c r="M772" s="8"/>
      <c r="O772" s="8"/>
      <c r="Q772" s="8"/>
      <c r="S772" s="8"/>
      <c r="V772" s="8"/>
      <c r="X772" s="31"/>
      <c r="Y772" s="31" t="str">
        <f>IF($X772="","",SUMIFS(TARIFF_PROFILES!$D:$D,TARIFF_PROFILES!$A:$A,$X772))</f>
        <v/>
      </c>
      <c r="Z772" s="31" t="str">
        <f>IF($X772="","",SUMIFS(TARIFF_PROFILES!$E:$E,TARIFF_PROFILES!$A:$A,$X772))</f>
        <v/>
      </c>
      <c r="AA772" s="31" t="str">
        <f>IF($X772="","",SUMIFS(TARIFF_PROFILES!$F:$F,TARIFF_PROFILES!$A:$A,$X772))</f>
        <v/>
      </c>
      <c r="AB772" s="31" t="str">
        <f>IF($X772="","",SUMIFS(TARIFF_PROFILES!$G:$G,TARIFF_PROFILES!$A:$A,$X772))</f>
        <v/>
      </c>
      <c r="AC772" s="31" t="str">
        <f>IF($X772="","",SUMIFS(TARIFF_PROFILES!$H:$H,TARIFF_PROFILES!$A:$A,$X772))</f>
        <v/>
      </c>
      <c r="AD772" s="31" t="str">
        <f t="array" ref="AD772">IF($X772="","",INDEX(TARIFF_PROFILES!$J:$J,MATCH($X772,TARIFF_PROFILES!$A:$A,0)))</f>
        <v/>
      </c>
      <c r="AE772" s="31" t="str">
        <f t="array" ref="AE772">IF($X772="","",INDEX(TARIFF_PROFILES!$K:$K,MATCH($X772,TARIFF_PROFILES!$A:$A,0)))</f>
        <v/>
      </c>
      <c r="AG772" s="8"/>
      <c r="AH772" s="8" t="str">
        <f>IF($AG772="","",SUMIFS(OPERATING_COEFFS!$C:$C,OPERATING_COEFFS!$A:$A,"DistanceClass",OPERATING_COEFFS!$B:$B,$AG772))</f>
        <v/>
      </c>
      <c r="AI772" s="8"/>
      <c r="AJ772" s="8" t="str">
        <f>IF($AI772="","",SUMIFS(OPERATING_COEFFS!$C:$C,OPERATING_COEFFS!$A:$A,"SeasonClass",OPERATING_COEFFS!$B:$B,$AI772))</f>
        <v/>
      </c>
      <c r="AK772" s="8"/>
      <c r="AL772" s="8" t="str">
        <f>IF($AK772="","",SUMIFS(OPERATING_COEFFS!$C:$C,OPERATING_COEFFS!$A:$A,"UrgencyClass",OPERATING_COEFFS!$B:$B,$AK772))</f>
        <v/>
      </c>
      <c r="AM772" s="8"/>
      <c r="AN772" s="8" t="str">
        <f t="array" ref="AN772">IF($AM772="","",INDEX(TAX_MODES!$B:$B,MATCH($AM772,TAX_MODES!$A:$A,0)))</f>
        <v/>
      </c>
    </row>
    <row r="773" ht="14.25" customHeight="1">
      <c r="C773" s="8"/>
      <c r="E773" s="8"/>
      <c r="G773" s="8"/>
      <c r="I773" s="8"/>
      <c r="K773" s="8"/>
      <c r="M773" s="8"/>
      <c r="O773" s="8"/>
      <c r="Q773" s="8"/>
      <c r="S773" s="8"/>
      <c r="V773" s="8"/>
      <c r="X773" s="31"/>
      <c r="Y773" s="31" t="str">
        <f>IF($X773="","",SUMIFS(TARIFF_PROFILES!$D:$D,TARIFF_PROFILES!$A:$A,$X773))</f>
        <v/>
      </c>
      <c r="Z773" s="31" t="str">
        <f>IF($X773="","",SUMIFS(TARIFF_PROFILES!$E:$E,TARIFF_PROFILES!$A:$A,$X773))</f>
        <v/>
      </c>
      <c r="AA773" s="31" t="str">
        <f>IF($X773="","",SUMIFS(TARIFF_PROFILES!$F:$F,TARIFF_PROFILES!$A:$A,$X773))</f>
        <v/>
      </c>
      <c r="AB773" s="31" t="str">
        <f>IF($X773="","",SUMIFS(TARIFF_PROFILES!$G:$G,TARIFF_PROFILES!$A:$A,$X773))</f>
        <v/>
      </c>
      <c r="AC773" s="31" t="str">
        <f>IF($X773="","",SUMIFS(TARIFF_PROFILES!$H:$H,TARIFF_PROFILES!$A:$A,$X773))</f>
        <v/>
      </c>
      <c r="AD773" s="31" t="str">
        <f t="array" ref="AD773">IF($X773="","",INDEX(TARIFF_PROFILES!$J:$J,MATCH($X773,TARIFF_PROFILES!$A:$A,0)))</f>
        <v/>
      </c>
      <c r="AE773" s="31" t="str">
        <f t="array" ref="AE773">IF($X773="","",INDEX(TARIFF_PROFILES!$K:$K,MATCH($X773,TARIFF_PROFILES!$A:$A,0)))</f>
        <v/>
      </c>
      <c r="AG773" s="8"/>
      <c r="AH773" s="8" t="str">
        <f>IF($AG773="","",SUMIFS(OPERATING_COEFFS!$C:$C,OPERATING_COEFFS!$A:$A,"DistanceClass",OPERATING_COEFFS!$B:$B,$AG773))</f>
        <v/>
      </c>
      <c r="AI773" s="8"/>
      <c r="AJ773" s="8" t="str">
        <f>IF($AI773="","",SUMIFS(OPERATING_COEFFS!$C:$C,OPERATING_COEFFS!$A:$A,"SeasonClass",OPERATING_COEFFS!$B:$B,$AI773))</f>
        <v/>
      </c>
      <c r="AK773" s="8"/>
      <c r="AL773" s="8" t="str">
        <f>IF($AK773="","",SUMIFS(OPERATING_COEFFS!$C:$C,OPERATING_COEFFS!$A:$A,"UrgencyClass",OPERATING_COEFFS!$B:$B,$AK773))</f>
        <v/>
      </c>
      <c r="AM773" s="8"/>
      <c r="AN773" s="8" t="str">
        <f t="array" ref="AN773">IF($AM773="","",INDEX(TAX_MODES!$B:$B,MATCH($AM773,TAX_MODES!$A:$A,0)))</f>
        <v/>
      </c>
    </row>
    <row r="774" ht="14.25" customHeight="1">
      <c r="C774" s="8"/>
      <c r="E774" s="8"/>
      <c r="G774" s="8"/>
      <c r="I774" s="8"/>
      <c r="K774" s="8"/>
      <c r="M774" s="8"/>
      <c r="O774" s="8"/>
      <c r="Q774" s="8"/>
      <c r="S774" s="8"/>
      <c r="V774" s="8"/>
      <c r="X774" s="31"/>
      <c r="Y774" s="31" t="str">
        <f>IF($X774="","",SUMIFS(TARIFF_PROFILES!$D:$D,TARIFF_PROFILES!$A:$A,$X774))</f>
        <v/>
      </c>
      <c r="Z774" s="31" t="str">
        <f>IF($X774="","",SUMIFS(TARIFF_PROFILES!$E:$E,TARIFF_PROFILES!$A:$A,$X774))</f>
        <v/>
      </c>
      <c r="AA774" s="31" t="str">
        <f>IF($X774="","",SUMIFS(TARIFF_PROFILES!$F:$F,TARIFF_PROFILES!$A:$A,$X774))</f>
        <v/>
      </c>
      <c r="AB774" s="31" t="str">
        <f>IF($X774="","",SUMIFS(TARIFF_PROFILES!$G:$G,TARIFF_PROFILES!$A:$A,$X774))</f>
        <v/>
      </c>
      <c r="AC774" s="31" t="str">
        <f>IF($X774="","",SUMIFS(TARIFF_PROFILES!$H:$H,TARIFF_PROFILES!$A:$A,$X774))</f>
        <v/>
      </c>
      <c r="AD774" s="31" t="str">
        <f t="array" ref="AD774">IF($X774="","",INDEX(TARIFF_PROFILES!$J:$J,MATCH($X774,TARIFF_PROFILES!$A:$A,0)))</f>
        <v/>
      </c>
      <c r="AE774" s="31" t="str">
        <f t="array" ref="AE774">IF($X774="","",INDEX(TARIFF_PROFILES!$K:$K,MATCH($X774,TARIFF_PROFILES!$A:$A,0)))</f>
        <v/>
      </c>
      <c r="AG774" s="8"/>
      <c r="AH774" s="8" t="str">
        <f>IF($AG774="","",SUMIFS(OPERATING_COEFFS!$C:$C,OPERATING_COEFFS!$A:$A,"DistanceClass",OPERATING_COEFFS!$B:$B,$AG774))</f>
        <v/>
      </c>
      <c r="AI774" s="8"/>
      <c r="AJ774" s="8" t="str">
        <f>IF($AI774="","",SUMIFS(OPERATING_COEFFS!$C:$C,OPERATING_COEFFS!$A:$A,"SeasonClass",OPERATING_COEFFS!$B:$B,$AI774))</f>
        <v/>
      </c>
      <c r="AK774" s="8"/>
      <c r="AL774" s="8" t="str">
        <f>IF($AK774="","",SUMIFS(OPERATING_COEFFS!$C:$C,OPERATING_COEFFS!$A:$A,"UrgencyClass",OPERATING_COEFFS!$B:$B,$AK774))</f>
        <v/>
      </c>
      <c r="AM774" s="8"/>
      <c r="AN774" s="8" t="str">
        <f t="array" ref="AN774">IF($AM774="","",INDEX(TAX_MODES!$B:$B,MATCH($AM774,TAX_MODES!$A:$A,0)))</f>
        <v/>
      </c>
    </row>
    <row r="775" ht="14.25" customHeight="1">
      <c r="C775" s="8"/>
      <c r="E775" s="8"/>
      <c r="G775" s="8"/>
      <c r="I775" s="8"/>
      <c r="K775" s="8"/>
      <c r="M775" s="8"/>
      <c r="O775" s="8"/>
      <c r="Q775" s="8"/>
      <c r="S775" s="8"/>
      <c r="V775" s="8"/>
      <c r="X775" s="31"/>
      <c r="Y775" s="31" t="str">
        <f>IF($X775="","",SUMIFS(TARIFF_PROFILES!$D:$D,TARIFF_PROFILES!$A:$A,$X775))</f>
        <v/>
      </c>
      <c r="Z775" s="31" t="str">
        <f>IF($X775="","",SUMIFS(TARIFF_PROFILES!$E:$E,TARIFF_PROFILES!$A:$A,$X775))</f>
        <v/>
      </c>
      <c r="AA775" s="31" t="str">
        <f>IF($X775="","",SUMIFS(TARIFF_PROFILES!$F:$F,TARIFF_PROFILES!$A:$A,$X775))</f>
        <v/>
      </c>
      <c r="AB775" s="31" t="str">
        <f>IF($X775="","",SUMIFS(TARIFF_PROFILES!$G:$G,TARIFF_PROFILES!$A:$A,$X775))</f>
        <v/>
      </c>
      <c r="AC775" s="31" t="str">
        <f>IF($X775="","",SUMIFS(TARIFF_PROFILES!$H:$H,TARIFF_PROFILES!$A:$A,$X775))</f>
        <v/>
      </c>
      <c r="AD775" s="31" t="str">
        <f t="array" ref="AD775">IF($X775="","",INDEX(TARIFF_PROFILES!$J:$J,MATCH($X775,TARIFF_PROFILES!$A:$A,0)))</f>
        <v/>
      </c>
      <c r="AE775" s="31" t="str">
        <f t="array" ref="AE775">IF($X775="","",INDEX(TARIFF_PROFILES!$K:$K,MATCH($X775,TARIFF_PROFILES!$A:$A,0)))</f>
        <v/>
      </c>
      <c r="AG775" s="8"/>
      <c r="AH775" s="8" t="str">
        <f>IF($AG775="","",SUMIFS(OPERATING_COEFFS!$C:$C,OPERATING_COEFFS!$A:$A,"DistanceClass",OPERATING_COEFFS!$B:$B,$AG775))</f>
        <v/>
      </c>
      <c r="AI775" s="8"/>
      <c r="AJ775" s="8" t="str">
        <f>IF($AI775="","",SUMIFS(OPERATING_COEFFS!$C:$C,OPERATING_COEFFS!$A:$A,"SeasonClass",OPERATING_COEFFS!$B:$B,$AI775))</f>
        <v/>
      </c>
      <c r="AK775" s="8"/>
      <c r="AL775" s="8" t="str">
        <f>IF($AK775="","",SUMIFS(OPERATING_COEFFS!$C:$C,OPERATING_COEFFS!$A:$A,"UrgencyClass",OPERATING_COEFFS!$B:$B,$AK775))</f>
        <v/>
      </c>
      <c r="AM775" s="8"/>
      <c r="AN775" s="8" t="str">
        <f t="array" ref="AN775">IF($AM775="","",INDEX(TAX_MODES!$B:$B,MATCH($AM775,TAX_MODES!$A:$A,0)))</f>
        <v/>
      </c>
    </row>
    <row r="776" ht="14.25" customHeight="1">
      <c r="C776" s="8"/>
      <c r="E776" s="8"/>
      <c r="G776" s="8"/>
      <c r="I776" s="8"/>
      <c r="K776" s="8"/>
      <c r="M776" s="8"/>
      <c r="O776" s="8"/>
      <c r="Q776" s="8"/>
      <c r="S776" s="8"/>
      <c r="V776" s="8"/>
      <c r="X776" s="31"/>
      <c r="Y776" s="31" t="str">
        <f>IF($X776="","",SUMIFS(TARIFF_PROFILES!$D:$D,TARIFF_PROFILES!$A:$A,$X776))</f>
        <v/>
      </c>
      <c r="Z776" s="31" t="str">
        <f>IF($X776="","",SUMIFS(TARIFF_PROFILES!$E:$E,TARIFF_PROFILES!$A:$A,$X776))</f>
        <v/>
      </c>
      <c r="AA776" s="31" t="str">
        <f>IF($X776="","",SUMIFS(TARIFF_PROFILES!$F:$F,TARIFF_PROFILES!$A:$A,$X776))</f>
        <v/>
      </c>
      <c r="AB776" s="31" t="str">
        <f>IF($X776="","",SUMIFS(TARIFF_PROFILES!$G:$G,TARIFF_PROFILES!$A:$A,$X776))</f>
        <v/>
      </c>
      <c r="AC776" s="31" t="str">
        <f>IF($X776="","",SUMIFS(TARIFF_PROFILES!$H:$H,TARIFF_PROFILES!$A:$A,$X776))</f>
        <v/>
      </c>
      <c r="AD776" s="31" t="str">
        <f t="array" ref="AD776">IF($X776="","",INDEX(TARIFF_PROFILES!$J:$J,MATCH($X776,TARIFF_PROFILES!$A:$A,0)))</f>
        <v/>
      </c>
      <c r="AE776" s="31" t="str">
        <f t="array" ref="AE776">IF($X776="","",INDEX(TARIFF_PROFILES!$K:$K,MATCH($X776,TARIFF_PROFILES!$A:$A,0)))</f>
        <v/>
      </c>
      <c r="AG776" s="8"/>
      <c r="AH776" s="8" t="str">
        <f>IF($AG776="","",SUMIFS(OPERATING_COEFFS!$C:$C,OPERATING_COEFFS!$A:$A,"DistanceClass",OPERATING_COEFFS!$B:$B,$AG776))</f>
        <v/>
      </c>
      <c r="AI776" s="8"/>
      <c r="AJ776" s="8" t="str">
        <f>IF($AI776="","",SUMIFS(OPERATING_COEFFS!$C:$C,OPERATING_COEFFS!$A:$A,"SeasonClass",OPERATING_COEFFS!$B:$B,$AI776))</f>
        <v/>
      </c>
      <c r="AK776" s="8"/>
      <c r="AL776" s="8" t="str">
        <f>IF($AK776="","",SUMIFS(OPERATING_COEFFS!$C:$C,OPERATING_COEFFS!$A:$A,"UrgencyClass",OPERATING_COEFFS!$B:$B,$AK776))</f>
        <v/>
      </c>
      <c r="AM776" s="8"/>
      <c r="AN776" s="8" t="str">
        <f t="array" ref="AN776">IF($AM776="","",INDEX(TAX_MODES!$B:$B,MATCH($AM776,TAX_MODES!$A:$A,0)))</f>
        <v/>
      </c>
    </row>
    <row r="777" ht="14.25" customHeight="1">
      <c r="C777" s="8"/>
      <c r="E777" s="8"/>
      <c r="G777" s="8"/>
      <c r="I777" s="8"/>
      <c r="K777" s="8"/>
      <c r="M777" s="8"/>
      <c r="O777" s="8"/>
      <c r="Q777" s="8"/>
      <c r="S777" s="8"/>
      <c r="V777" s="8"/>
      <c r="X777" s="31"/>
      <c r="Y777" s="31" t="str">
        <f>IF($X777="","",SUMIFS(TARIFF_PROFILES!$D:$D,TARIFF_PROFILES!$A:$A,$X777))</f>
        <v/>
      </c>
      <c r="Z777" s="31" t="str">
        <f>IF($X777="","",SUMIFS(TARIFF_PROFILES!$E:$E,TARIFF_PROFILES!$A:$A,$X777))</f>
        <v/>
      </c>
      <c r="AA777" s="31" t="str">
        <f>IF($X777="","",SUMIFS(TARIFF_PROFILES!$F:$F,TARIFF_PROFILES!$A:$A,$X777))</f>
        <v/>
      </c>
      <c r="AB777" s="31" t="str">
        <f>IF($X777="","",SUMIFS(TARIFF_PROFILES!$G:$G,TARIFF_PROFILES!$A:$A,$X777))</f>
        <v/>
      </c>
      <c r="AC777" s="31" t="str">
        <f>IF($X777="","",SUMIFS(TARIFF_PROFILES!$H:$H,TARIFF_PROFILES!$A:$A,$X777))</f>
        <v/>
      </c>
      <c r="AD777" s="31" t="str">
        <f t="array" ref="AD777">IF($X777="","",INDEX(TARIFF_PROFILES!$J:$J,MATCH($X777,TARIFF_PROFILES!$A:$A,0)))</f>
        <v/>
      </c>
      <c r="AE777" s="31" t="str">
        <f t="array" ref="AE777">IF($X777="","",INDEX(TARIFF_PROFILES!$K:$K,MATCH($X777,TARIFF_PROFILES!$A:$A,0)))</f>
        <v/>
      </c>
      <c r="AG777" s="8"/>
      <c r="AH777" s="8" t="str">
        <f>IF($AG777="","",SUMIFS(OPERATING_COEFFS!$C:$C,OPERATING_COEFFS!$A:$A,"DistanceClass",OPERATING_COEFFS!$B:$B,$AG777))</f>
        <v/>
      </c>
      <c r="AI777" s="8"/>
      <c r="AJ777" s="8" t="str">
        <f>IF($AI777="","",SUMIFS(OPERATING_COEFFS!$C:$C,OPERATING_COEFFS!$A:$A,"SeasonClass",OPERATING_COEFFS!$B:$B,$AI777))</f>
        <v/>
      </c>
      <c r="AK777" s="8"/>
      <c r="AL777" s="8" t="str">
        <f>IF($AK777="","",SUMIFS(OPERATING_COEFFS!$C:$C,OPERATING_COEFFS!$A:$A,"UrgencyClass",OPERATING_COEFFS!$B:$B,$AK777))</f>
        <v/>
      </c>
      <c r="AM777" s="8"/>
      <c r="AN777" s="8" t="str">
        <f t="array" ref="AN777">IF($AM777="","",INDEX(TAX_MODES!$B:$B,MATCH($AM777,TAX_MODES!$A:$A,0)))</f>
        <v/>
      </c>
    </row>
    <row r="778" ht="14.25" customHeight="1">
      <c r="C778" s="8"/>
      <c r="E778" s="8"/>
      <c r="G778" s="8"/>
      <c r="I778" s="8"/>
      <c r="K778" s="8"/>
      <c r="M778" s="8"/>
      <c r="O778" s="8"/>
      <c r="Q778" s="8"/>
      <c r="S778" s="8"/>
      <c r="V778" s="8"/>
      <c r="X778" s="31"/>
      <c r="Y778" s="31" t="str">
        <f>IF($X778="","",SUMIFS(TARIFF_PROFILES!$D:$D,TARIFF_PROFILES!$A:$A,$X778))</f>
        <v/>
      </c>
      <c r="Z778" s="31" t="str">
        <f>IF($X778="","",SUMIFS(TARIFF_PROFILES!$E:$E,TARIFF_PROFILES!$A:$A,$X778))</f>
        <v/>
      </c>
      <c r="AA778" s="31" t="str">
        <f>IF($X778="","",SUMIFS(TARIFF_PROFILES!$F:$F,TARIFF_PROFILES!$A:$A,$X778))</f>
        <v/>
      </c>
      <c r="AB778" s="31" t="str">
        <f>IF($X778="","",SUMIFS(TARIFF_PROFILES!$G:$G,TARIFF_PROFILES!$A:$A,$X778))</f>
        <v/>
      </c>
      <c r="AC778" s="31" t="str">
        <f>IF($X778="","",SUMIFS(TARIFF_PROFILES!$H:$H,TARIFF_PROFILES!$A:$A,$X778))</f>
        <v/>
      </c>
      <c r="AD778" s="31" t="str">
        <f t="array" ref="AD778">IF($X778="","",INDEX(TARIFF_PROFILES!$J:$J,MATCH($X778,TARIFF_PROFILES!$A:$A,0)))</f>
        <v/>
      </c>
      <c r="AE778" s="31" t="str">
        <f t="array" ref="AE778">IF($X778="","",INDEX(TARIFF_PROFILES!$K:$K,MATCH($X778,TARIFF_PROFILES!$A:$A,0)))</f>
        <v/>
      </c>
      <c r="AG778" s="8"/>
      <c r="AH778" s="8" t="str">
        <f>IF($AG778="","",SUMIFS(OPERATING_COEFFS!$C:$C,OPERATING_COEFFS!$A:$A,"DistanceClass",OPERATING_COEFFS!$B:$B,$AG778))</f>
        <v/>
      </c>
      <c r="AI778" s="8"/>
      <c r="AJ778" s="8" t="str">
        <f>IF($AI778="","",SUMIFS(OPERATING_COEFFS!$C:$C,OPERATING_COEFFS!$A:$A,"SeasonClass",OPERATING_COEFFS!$B:$B,$AI778))</f>
        <v/>
      </c>
      <c r="AK778" s="8"/>
      <c r="AL778" s="8" t="str">
        <f>IF($AK778="","",SUMIFS(OPERATING_COEFFS!$C:$C,OPERATING_COEFFS!$A:$A,"UrgencyClass",OPERATING_COEFFS!$B:$B,$AK778))</f>
        <v/>
      </c>
      <c r="AM778" s="8"/>
      <c r="AN778" s="8" t="str">
        <f t="array" ref="AN778">IF($AM778="","",INDEX(TAX_MODES!$B:$B,MATCH($AM778,TAX_MODES!$A:$A,0)))</f>
        <v/>
      </c>
    </row>
    <row r="779" ht="14.25" customHeight="1">
      <c r="C779" s="8"/>
      <c r="E779" s="8"/>
      <c r="G779" s="8"/>
      <c r="I779" s="8"/>
      <c r="K779" s="8"/>
      <c r="M779" s="8"/>
      <c r="O779" s="8"/>
      <c r="Q779" s="8"/>
      <c r="S779" s="8"/>
      <c r="V779" s="8"/>
      <c r="X779" s="31"/>
      <c r="Y779" s="31" t="str">
        <f>IF($X779="","",SUMIFS(TARIFF_PROFILES!$D:$D,TARIFF_PROFILES!$A:$A,$X779))</f>
        <v/>
      </c>
      <c r="Z779" s="31" t="str">
        <f>IF($X779="","",SUMIFS(TARIFF_PROFILES!$E:$E,TARIFF_PROFILES!$A:$A,$X779))</f>
        <v/>
      </c>
      <c r="AA779" s="31" t="str">
        <f>IF($X779="","",SUMIFS(TARIFF_PROFILES!$F:$F,TARIFF_PROFILES!$A:$A,$X779))</f>
        <v/>
      </c>
      <c r="AB779" s="31" t="str">
        <f>IF($X779="","",SUMIFS(TARIFF_PROFILES!$G:$G,TARIFF_PROFILES!$A:$A,$X779))</f>
        <v/>
      </c>
      <c r="AC779" s="31" t="str">
        <f>IF($X779="","",SUMIFS(TARIFF_PROFILES!$H:$H,TARIFF_PROFILES!$A:$A,$X779))</f>
        <v/>
      </c>
      <c r="AD779" s="31" t="str">
        <f t="array" ref="AD779">IF($X779="","",INDEX(TARIFF_PROFILES!$J:$J,MATCH($X779,TARIFF_PROFILES!$A:$A,0)))</f>
        <v/>
      </c>
      <c r="AE779" s="31" t="str">
        <f t="array" ref="AE779">IF($X779="","",INDEX(TARIFF_PROFILES!$K:$K,MATCH($X779,TARIFF_PROFILES!$A:$A,0)))</f>
        <v/>
      </c>
      <c r="AG779" s="8"/>
      <c r="AH779" s="8" t="str">
        <f>IF($AG779="","",SUMIFS(OPERATING_COEFFS!$C:$C,OPERATING_COEFFS!$A:$A,"DistanceClass",OPERATING_COEFFS!$B:$B,$AG779))</f>
        <v/>
      </c>
      <c r="AI779" s="8"/>
      <c r="AJ779" s="8" t="str">
        <f>IF($AI779="","",SUMIFS(OPERATING_COEFFS!$C:$C,OPERATING_COEFFS!$A:$A,"SeasonClass",OPERATING_COEFFS!$B:$B,$AI779))</f>
        <v/>
      </c>
      <c r="AK779" s="8"/>
      <c r="AL779" s="8" t="str">
        <f>IF($AK779="","",SUMIFS(OPERATING_COEFFS!$C:$C,OPERATING_COEFFS!$A:$A,"UrgencyClass",OPERATING_COEFFS!$B:$B,$AK779))</f>
        <v/>
      </c>
      <c r="AM779" s="8"/>
      <c r="AN779" s="8" t="str">
        <f t="array" ref="AN779">IF($AM779="","",INDEX(TAX_MODES!$B:$B,MATCH($AM779,TAX_MODES!$A:$A,0)))</f>
        <v/>
      </c>
    </row>
    <row r="780" ht="14.25" customHeight="1">
      <c r="C780" s="8"/>
      <c r="E780" s="8"/>
      <c r="G780" s="8"/>
      <c r="I780" s="8"/>
      <c r="K780" s="8"/>
      <c r="M780" s="8"/>
      <c r="O780" s="8"/>
      <c r="Q780" s="8"/>
      <c r="S780" s="8"/>
      <c r="V780" s="8"/>
      <c r="X780" s="31"/>
      <c r="Y780" s="31" t="str">
        <f>IF($X780="","",SUMIFS(TARIFF_PROFILES!$D:$D,TARIFF_PROFILES!$A:$A,$X780))</f>
        <v/>
      </c>
      <c r="Z780" s="31" t="str">
        <f>IF($X780="","",SUMIFS(TARIFF_PROFILES!$E:$E,TARIFF_PROFILES!$A:$A,$X780))</f>
        <v/>
      </c>
      <c r="AA780" s="31" t="str">
        <f>IF($X780="","",SUMIFS(TARIFF_PROFILES!$F:$F,TARIFF_PROFILES!$A:$A,$X780))</f>
        <v/>
      </c>
      <c r="AB780" s="31" t="str">
        <f>IF($X780="","",SUMIFS(TARIFF_PROFILES!$G:$G,TARIFF_PROFILES!$A:$A,$X780))</f>
        <v/>
      </c>
      <c r="AC780" s="31" t="str">
        <f>IF($X780="","",SUMIFS(TARIFF_PROFILES!$H:$H,TARIFF_PROFILES!$A:$A,$X780))</f>
        <v/>
      </c>
      <c r="AD780" s="31" t="str">
        <f t="array" ref="AD780">IF($X780="","",INDEX(TARIFF_PROFILES!$J:$J,MATCH($X780,TARIFF_PROFILES!$A:$A,0)))</f>
        <v/>
      </c>
      <c r="AE780" s="31" t="str">
        <f t="array" ref="AE780">IF($X780="","",INDEX(TARIFF_PROFILES!$K:$K,MATCH($X780,TARIFF_PROFILES!$A:$A,0)))</f>
        <v/>
      </c>
      <c r="AG780" s="8"/>
      <c r="AH780" s="8" t="str">
        <f>IF($AG780="","",SUMIFS(OPERATING_COEFFS!$C:$C,OPERATING_COEFFS!$A:$A,"DistanceClass",OPERATING_COEFFS!$B:$B,$AG780))</f>
        <v/>
      </c>
      <c r="AI780" s="8"/>
      <c r="AJ780" s="8" t="str">
        <f>IF($AI780="","",SUMIFS(OPERATING_COEFFS!$C:$C,OPERATING_COEFFS!$A:$A,"SeasonClass",OPERATING_COEFFS!$B:$B,$AI780))</f>
        <v/>
      </c>
      <c r="AK780" s="8"/>
      <c r="AL780" s="8" t="str">
        <f>IF($AK780="","",SUMIFS(OPERATING_COEFFS!$C:$C,OPERATING_COEFFS!$A:$A,"UrgencyClass",OPERATING_COEFFS!$B:$B,$AK780))</f>
        <v/>
      </c>
      <c r="AM780" s="8"/>
      <c r="AN780" s="8" t="str">
        <f t="array" ref="AN780">IF($AM780="","",INDEX(TAX_MODES!$B:$B,MATCH($AM780,TAX_MODES!$A:$A,0)))</f>
        <v/>
      </c>
    </row>
    <row r="781" ht="14.25" customHeight="1">
      <c r="C781" s="8"/>
      <c r="E781" s="8"/>
      <c r="G781" s="8"/>
      <c r="I781" s="8"/>
      <c r="K781" s="8"/>
      <c r="M781" s="8"/>
      <c r="O781" s="8"/>
      <c r="Q781" s="8"/>
      <c r="S781" s="8"/>
      <c r="V781" s="8"/>
      <c r="X781" s="31"/>
      <c r="Y781" s="31" t="str">
        <f>IF($X781="","",SUMIFS(TARIFF_PROFILES!$D:$D,TARIFF_PROFILES!$A:$A,$X781))</f>
        <v/>
      </c>
      <c r="Z781" s="31" t="str">
        <f>IF($X781="","",SUMIFS(TARIFF_PROFILES!$E:$E,TARIFF_PROFILES!$A:$A,$X781))</f>
        <v/>
      </c>
      <c r="AA781" s="31" t="str">
        <f>IF($X781="","",SUMIFS(TARIFF_PROFILES!$F:$F,TARIFF_PROFILES!$A:$A,$X781))</f>
        <v/>
      </c>
      <c r="AB781" s="31" t="str">
        <f>IF($X781="","",SUMIFS(TARIFF_PROFILES!$G:$G,TARIFF_PROFILES!$A:$A,$X781))</f>
        <v/>
      </c>
      <c r="AC781" s="31" t="str">
        <f>IF($X781="","",SUMIFS(TARIFF_PROFILES!$H:$H,TARIFF_PROFILES!$A:$A,$X781))</f>
        <v/>
      </c>
      <c r="AD781" s="31" t="str">
        <f t="array" ref="AD781">IF($X781="","",INDEX(TARIFF_PROFILES!$J:$J,MATCH($X781,TARIFF_PROFILES!$A:$A,0)))</f>
        <v/>
      </c>
      <c r="AE781" s="31" t="str">
        <f t="array" ref="AE781">IF($X781="","",INDEX(TARIFF_PROFILES!$K:$K,MATCH($X781,TARIFF_PROFILES!$A:$A,0)))</f>
        <v/>
      </c>
      <c r="AG781" s="8"/>
      <c r="AH781" s="8" t="str">
        <f>IF($AG781="","",SUMIFS(OPERATING_COEFFS!$C:$C,OPERATING_COEFFS!$A:$A,"DistanceClass",OPERATING_COEFFS!$B:$B,$AG781))</f>
        <v/>
      </c>
      <c r="AI781" s="8"/>
      <c r="AJ781" s="8" t="str">
        <f>IF($AI781="","",SUMIFS(OPERATING_COEFFS!$C:$C,OPERATING_COEFFS!$A:$A,"SeasonClass",OPERATING_COEFFS!$B:$B,$AI781))</f>
        <v/>
      </c>
      <c r="AK781" s="8"/>
      <c r="AL781" s="8" t="str">
        <f>IF($AK781="","",SUMIFS(OPERATING_COEFFS!$C:$C,OPERATING_COEFFS!$A:$A,"UrgencyClass",OPERATING_COEFFS!$B:$B,$AK781))</f>
        <v/>
      </c>
      <c r="AM781" s="8"/>
      <c r="AN781" s="8" t="str">
        <f t="array" ref="AN781">IF($AM781="","",INDEX(TAX_MODES!$B:$B,MATCH($AM781,TAX_MODES!$A:$A,0)))</f>
        <v/>
      </c>
    </row>
    <row r="782" ht="14.25" customHeight="1">
      <c r="C782" s="8"/>
      <c r="E782" s="8"/>
      <c r="G782" s="8"/>
      <c r="I782" s="8"/>
      <c r="K782" s="8"/>
      <c r="M782" s="8"/>
      <c r="O782" s="8"/>
      <c r="Q782" s="8"/>
      <c r="S782" s="8"/>
      <c r="V782" s="8"/>
      <c r="X782" s="31"/>
      <c r="Y782" s="31" t="str">
        <f>IF($X782="","",SUMIFS(TARIFF_PROFILES!$D:$D,TARIFF_PROFILES!$A:$A,$X782))</f>
        <v/>
      </c>
      <c r="Z782" s="31" t="str">
        <f>IF($X782="","",SUMIFS(TARIFF_PROFILES!$E:$E,TARIFF_PROFILES!$A:$A,$X782))</f>
        <v/>
      </c>
      <c r="AA782" s="31" t="str">
        <f>IF($X782="","",SUMIFS(TARIFF_PROFILES!$F:$F,TARIFF_PROFILES!$A:$A,$X782))</f>
        <v/>
      </c>
      <c r="AB782" s="31" t="str">
        <f>IF($X782="","",SUMIFS(TARIFF_PROFILES!$G:$G,TARIFF_PROFILES!$A:$A,$X782))</f>
        <v/>
      </c>
      <c r="AC782" s="31" t="str">
        <f>IF($X782="","",SUMIFS(TARIFF_PROFILES!$H:$H,TARIFF_PROFILES!$A:$A,$X782))</f>
        <v/>
      </c>
      <c r="AD782" s="31" t="str">
        <f t="array" ref="AD782">IF($X782="","",INDEX(TARIFF_PROFILES!$J:$J,MATCH($X782,TARIFF_PROFILES!$A:$A,0)))</f>
        <v/>
      </c>
      <c r="AE782" s="31" t="str">
        <f t="array" ref="AE782">IF($X782="","",INDEX(TARIFF_PROFILES!$K:$K,MATCH($X782,TARIFF_PROFILES!$A:$A,0)))</f>
        <v/>
      </c>
      <c r="AG782" s="8"/>
      <c r="AH782" s="8" t="str">
        <f>IF($AG782="","",SUMIFS(OPERATING_COEFFS!$C:$C,OPERATING_COEFFS!$A:$A,"DistanceClass",OPERATING_COEFFS!$B:$B,$AG782))</f>
        <v/>
      </c>
      <c r="AI782" s="8"/>
      <c r="AJ782" s="8" t="str">
        <f>IF($AI782="","",SUMIFS(OPERATING_COEFFS!$C:$C,OPERATING_COEFFS!$A:$A,"SeasonClass",OPERATING_COEFFS!$B:$B,$AI782))</f>
        <v/>
      </c>
      <c r="AK782" s="8"/>
      <c r="AL782" s="8" t="str">
        <f>IF($AK782="","",SUMIFS(OPERATING_COEFFS!$C:$C,OPERATING_COEFFS!$A:$A,"UrgencyClass",OPERATING_COEFFS!$B:$B,$AK782))</f>
        <v/>
      </c>
      <c r="AM782" s="8"/>
      <c r="AN782" s="8" t="str">
        <f t="array" ref="AN782">IF($AM782="","",INDEX(TAX_MODES!$B:$B,MATCH($AM782,TAX_MODES!$A:$A,0)))</f>
        <v/>
      </c>
    </row>
    <row r="783" ht="14.25" customHeight="1">
      <c r="C783" s="8"/>
      <c r="E783" s="8"/>
      <c r="G783" s="8"/>
      <c r="I783" s="8"/>
      <c r="K783" s="8"/>
      <c r="M783" s="8"/>
      <c r="O783" s="8"/>
      <c r="Q783" s="8"/>
      <c r="S783" s="8"/>
      <c r="V783" s="8"/>
      <c r="X783" s="31"/>
      <c r="Y783" s="31" t="str">
        <f>IF($X783="","",SUMIFS(TARIFF_PROFILES!$D:$D,TARIFF_PROFILES!$A:$A,$X783))</f>
        <v/>
      </c>
      <c r="Z783" s="31" t="str">
        <f>IF($X783="","",SUMIFS(TARIFF_PROFILES!$E:$E,TARIFF_PROFILES!$A:$A,$X783))</f>
        <v/>
      </c>
      <c r="AA783" s="31" t="str">
        <f>IF($X783="","",SUMIFS(TARIFF_PROFILES!$F:$F,TARIFF_PROFILES!$A:$A,$X783))</f>
        <v/>
      </c>
      <c r="AB783" s="31" t="str">
        <f>IF($X783="","",SUMIFS(TARIFF_PROFILES!$G:$G,TARIFF_PROFILES!$A:$A,$X783))</f>
        <v/>
      </c>
      <c r="AC783" s="31" t="str">
        <f>IF($X783="","",SUMIFS(TARIFF_PROFILES!$H:$H,TARIFF_PROFILES!$A:$A,$X783))</f>
        <v/>
      </c>
      <c r="AD783" s="31" t="str">
        <f t="array" ref="AD783">IF($X783="","",INDEX(TARIFF_PROFILES!$J:$J,MATCH($X783,TARIFF_PROFILES!$A:$A,0)))</f>
        <v/>
      </c>
      <c r="AE783" s="31" t="str">
        <f t="array" ref="AE783">IF($X783="","",INDEX(TARIFF_PROFILES!$K:$K,MATCH($X783,TARIFF_PROFILES!$A:$A,0)))</f>
        <v/>
      </c>
      <c r="AG783" s="8"/>
      <c r="AH783" s="8" t="str">
        <f>IF($AG783="","",SUMIFS(OPERATING_COEFFS!$C:$C,OPERATING_COEFFS!$A:$A,"DistanceClass",OPERATING_COEFFS!$B:$B,$AG783))</f>
        <v/>
      </c>
      <c r="AI783" s="8"/>
      <c r="AJ783" s="8" t="str">
        <f>IF($AI783="","",SUMIFS(OPERATING_COEFFS!$C:$C,OPERATING_COEFFS!$A:$A,"SeasonClass",OPERATING_COEFFS!$B:$B,$AI783))</f>
        <v/>
      </c>
      <c r="AK783" s="8"/>
      <c r="AL783" s="8" t="str">
        <f>IF($AK783="","",SUMIFS(OPERATING_COEFFS!$C:$C,OPERATING_COEFFS!$A:$A,"UrgencyClass",OPERATING_COEFFS!$B:$B,$AK783))</f>
        <v/>
      </c>
      <c r="AM783" s="8"/>
      <c r="AN783" s="8" t="str">
        <f t="array" ref="AN783">IF($AM783="","",INDEX(TAX_MODES!$B:$B,MATCH($AM783,TAX_MODES!$A:$A,0)))</f>
        <v/>
      </c>
    </row>
    <row r="784" ht="14.25" customHeight="1">
      <c r="C784" s="8"/>
      <c r="E784" s="8"/>
      <c r="G784" s="8"/>
      <c r="I784" s="8"/>
      <c r="K784" s="8"/>
      <c r="M784" s="8"/>
      <c r="O784" s="8"/>
      <c r="Q784" s="8"/>
      <c r="S784" s="8"/>
      <c r="V784" s="8"/>
      <c r="X784" s="31"/>
      <c r="Y784" s="31" t="str">
        <f>IF($X784="","",SUMIFS(TARIFF_PROFILES!$D:$D,TARIFF_PROFILES!$A:$A,$X784))</f>
        <v/>
      </c>
      <c r="Z784" s="31" t="str">
        <f>IF($X784="","",SUMIFS(TARIFF_PROFILES!$E:$E,TARIFF_PROFILES!$A:$A,$X784))</f>
        <v/>
      </c>
      <c r="AA784" s="31" t="str">
        <f>IF($X784="","",SUMIFS(TARIFF_PROFILES!$F:$F,TARIFF_PROFILES!$A:$A,$X784))</f>
        <v/>
      </c>
      <c r="AB784" s="31" t="str">
        <f>IF($X784="","",SUMIFS(TARIFF_PROFILES!$G:$G,TARIFF_PROFILES!$A:$A,$X784))</f>
        <v/>
      </c>
      <c r="AC784" s="31" t="str">
        <f>IF($X784="","",SUMIFS(TARIFF_PROFILES!$H:$H,TARIFF_PROFILES!$A:$A,$X784))</f>
        <v/>
      </c>
      <c r="AD784" s="31" t="str">
        <f t="array" ref="AD784">IF($X784="","",INDEX(TARIFF_PROFILES!$J:$J,MATCH($X784,TARIFF_PROFILES!$A:$A,0)))</f>
        <v/>
      </c>
      <c r="AE784" s="31" t="str">
        <f t="array" ref="AE784">IF($X784="","",INDEX(TARIFF_PROFILES!$K:$K,MATCH($X784,TARIFF_PROFILES!$A:$A,0)))</f>
        <v/>
      </c>
      <c r="AG784" s="8"/>
      <c r="AH784" s="8" t="str">
        <f>IF($AG784="","",SUMIFS(OPERATING_COEFFS!$C:$C,OPERATING_COEFFS!$A:$A,"DistanceClass",OPERATING_COEFFS!$B:$B,$AG784))</f>
        <v/>
      </c>
      <c r="AI784" s="8"/>
      <c r="AJ784" s="8" t="str">
        <f>IF($AI784="","",SUMIFS(OPERATING_COEFFS!$C:$C,OPERATING_COEFFS!$A:$A,"SeasonClass",OPERATING_COEFFS!$B:$B,$AI784))</f>
        <v/>
      </c>
      <c r="AK784" s="8"/>
      <c r="AL784" s="8" t="str">
        <f>IF($AK784="","",SUMIFS(OPERATING_COEFFS!$C:$C,OPERATING_COEFFS!$A:$A,"UrgencyClass",OPERATING_COEFFS!$B:$B,$AK784))</f>
        <v/>
      </c>
      <c r="AM784" s="8"/>
      <c r="AN784" s="8" t="str">
        <f t="array" ref="AN784">IF($AM784="","",INDEX(TAX_MODES!$B:$B,MATCH($AM784,TAX_MODES!$A:$A,0)))</f>
        <v/>
      </c>
    </row>
    <row r="785" ht="14.25" customHeight="1">
      <c r="C785" s="8"/>
      <c r="E785" s="8"/>
      <c r="G785" s="8"/>
      <c r="I785" s="8"/>
      <c r="K785" s="8"/>
      <c r="M785" s="8"/>
      <c r="O785" s="8"/>
      <c r="Q785" s="8"/>
      <c r="S785" s="8"/>
      <c r="V785" s="8"/>
      <c r="X785" s="31"/>
      <c r="Y785" s="31" t="str">
        <f>IF($X785="","",SUMIFS(TARIFF_PROFILES!$D:$D,TARIFF_PROFILES!$A:$A,$X785))</f>
        <v/>
      </c>
      <c r="Z785" s="31" t="str">
        <f>IF($X785="","",SUMIFS(TARIFF_PROFILES!$E:$E,TARIFF_PROFILES!$A:$A,$X785))</f>
        <v/>
      </c>
      <c r="AA785" s="31" t="str">
        <f>IF($X785="","",SUMIFS(TARIFF_PROFILES!$F:$F,TARIFF_PROFILES!$A:$A,$X785))</f>
        <v/>
      </c>
      <c r="AB785" s="31" t="str">
        <f>IF($X785="","",SUMIFS(TARIFF_PROFILES!$G:$G,TARIFF_PROFILES!$A:$A,$X785))</f>
        <v/>
      </c>
      <c r="AC785" s="31" t="str">
        <f>IF($X785="","",SUMIFS(TARIFF_PROFILES!$H:$H,TARIFF_PROFILES!$A:$A,$X785))</f>
        <v/>
      </c>
      <c r="AD785" s="31" t="str">
        <f t="array" ref="AD785">IF($X785="","",INDEX(TARIFF_PROFILES!$J:$J,MATCH($X785,TARIFF_PROFILES!$A:$A,0)))</f>
        <v/>
      </c>
      <c r="AE785" s="31" t="str">
        <f t="array" ref="AE785">IF($X785="","",INDEX(TARIFF_PROFILES!$K:$K,MATCH($X785,TARIFF_PROFILES!$A:$A,0)))</f>
        <v/>
      </c>
      <c r="AG785" s="8"/>
      <c r="AH785" s="8" t="str">
        <f>IF($AG785="","",SUMIFS(OPERATING_COEFFS!$C:$C,OPERATING_COEFFS!$A:$A,"DistanceClass",OPERATING_COEFFS!$B:$B,$AG785))</f>
        <v/>
      </c>
      <c r="AI785" s="8"/>
      <c r="AJ785" s="8" t="str">
        <f>IF($AI785="","",SUMIFS(OPERATING_COEFFS!$C:$C,OPERATING_COEFFS!$A:$A,"SeasonClass",OPERATING_COEFFS!$B:$B,$AI785))</f>
        <v/>
      </c>
      <c r="AK785" s="8"/>
      <c r="AL785" s="8" t="str">
        <f>IF($AK785="","",SUMIFS(OPERATING_COEFFS!$C:$C,OPERATING_COEFFS!$A:$A,"UrgencyClass",OPERATING_COEFFS!$B:$B,$AK785))</f>
        <v/>
      </c>
      <c r="AM785" s="8"/>
      <c r="AN785" s="8" t="str">
        <f t="array" ref="AN785">IF($AM785="","",INDEX(TAX_MODES!$B:$B,MATCH($AM785,TAX_MODES!$A:$A,0)))</f>
        <v/>
      </c>
    </row>
    <row r="786" ht="14.25" customHeight="1">
      <c r="C786" s="8"/>
      <c r="E786" s="8"/>
      <c r="G786" s="8"/>
      <c r="I786" s="8"/>
      <c r="K786" s="8"/>
      <c r="M786" s="8"/>
      <c r="O786" s="8"/>
      <c r="Q786" s="8"/>
      <c r="S786" s="8"/>
      <c r="V786" s="8"/>
      <c r="X786" s="31"/>
      <c r="Y786" s="31" t="str">
        <f>IF($X786="","",SUMIFS(TARIFF_PROFILES!$D:$D,TARIFF_PROFILES!$A:$A,$X786))</f>
        <v/>
      </c>
      <c r="Z786" s="31" t="str">
        <f>IF($X786="","",SUMIFS(TARIFF_PROFILES!$E:$E,TARIFF_PROFILES!$A:$A,$X786))</f>
        <v/>
      </c>
      <c r="AA786" s="31" t="str">
        <f>IF($X786="","",SUMIFS(TARIFF_PROFILES!$F:$F,TARIFF_PROFILES!$A:$A,$X786))</f>
        <v/>
      </c>
      <c r="AB786" s="31" t="str">
        <f>IF($X786="","",SUMIFS(TARIFF_PROFILES!$G:$G,TARIFF_PROFILES!$A:$A,$X786))</f>
        <v/>
      </c>
      <c r="AC786" s="31" t="str">
        <f>IF($X786="","",SUMIFS(TARIFF_PROFILES!$H:$H,TARIFF_PROFILES!$A:$A,$X786))</f>
        <v/>
      </c>
      <c r="AD786" s="31" t="str">
        <f t="array" ref="AD786">IF($X786="","",INDEX(TARIFF_PROFILES!$J:$J,MATCH($X786,TARIFF_PROFILES!$A:$A,0)))</f>
        <v/>
      </c>
      <c r="AE786" s="31" t="str">
        <f t="array" ref="AE786">IF($X786="","",INDEX(TARIFF_PROFILES!$K:$K,MATCH($X786,TARIFF_PROFILES!$A:$A,0)))</f>
        <v/>
      </c>
      <c r="AG786" s="8"/>
      <c r="AH786" s="8" t="str">
        <f>IF($AG786="","",SUMIFS(OPERATING_COEFFS!$C:$C,OPERATING_COEFFS!$A:$A,"DistanceClass",OPERATING_COEFFS!$B:$B,$AG786))</f>
        <v/>
      </c>
      <c r="AI786" s="8"/>
      <c r="AJ786" s="8" t="str">
        <f>IF($AI786="","",SUMIFS(OPERATING_COEFFS!$C:$C,OPERATING_COEFFS!$A:$A,"SeasonClass",OPERATING_COEFFS!$B:$B,$AI786))</f>
        <v/>
      </c>
      <c r="AK786" s="8"/>
      <c r="AL786" s="8" t="str">
        <f>IF($AK786="","",SUMIFS(OPERATING_COEFFS!$C:$C,OPERATING_COEFFS!$A:$A,"UrgencyClass",OPERATING_COEFFS!$B:$B,$AK786))</f>
        <v/>
      </c>
      <c r="AM786" s="8"/>
      <c r="AN786" s="8" t="str">
        <f t="array" ref="AN786">IF($AM786="","",INDEX(TAX_MODES!$B:$B,MATCH($AM786,TAX_MODES!$A:$A,0)))</f>
        <v/>
      </c>
    </row>
    <row r="787" ht="14.25" customHeight="1">
      <c r="C787" s="8"/>
      <c r="E787" s="8"/>
      <c r="G787" s="8"/>
      <c r="I787" s="8"/>
      <c r="K787" s="8"/>
      <c r="M787" s="8"/>
      <c r="O787" s="8"/>
      <c r="Q787" s="8"/>
      <c r="S787" s="8"/>
      <c r="V787" s="8"/>
      <c r="X787" s="31"/>
      <c r="Y787" s="31" t="str">
        <f>IF($X787="","",SUMIFS(TARIFF_PROFILES!$D:$D,TARIFF_PROFILES!$A:$A,$X787))</f>
        <v/>
      </c>
      <c r="Z787" s="31" t="str">
        <f>IF($X787="","",SUMIFS(TARIFF_PROFILES!$E:$E,TARIFF_PROFILES!$A:$A,$X787))</f>
        <v/>
      </c>
      <c r="AA787" s="31" t="str">
        <f>IF($X787="","",SUMIFS(TARIFF_PROFILES!$F:$F,TARIFF_PROFILES!$A:$A,$X787))</f>
        <v/>
      </c>
      <c r="AB787" s="31" t="str">
        <f>IF($X787="","",SUMIFS(TARIFF_PROFILES!$G:$G,TARIFF_PROFILES!$A:$A,$X787))</f>
        <v/>
      </c>
      <c r="AC787" s="31" t="str">
        <f>IF($X787="","",SUMIFS(TARIFF_PROFILES!$H:$H,TARIFF_PROFILES!$A:$A,$X787))</f>
        <v/>
      </c>
      <c r="AD787" s="31" t="str">
        <f t="array" ref="AD787">IF($X787="","",INDEX(TARIFF_PROFILES!$J:$J,MATCH($X787,TARIFF_PROFILES!$A:$A,0)))</f>
        <v/>
      </c>
      <c r="AE787" s="31" t="str">
        <f t="array" ref="AE787">IF($X787="","",INDEX(TARIFF_PROFILES!$K:$K,MATCH($X787,TARIFF_PROFILES!$A:$A,0)))</f>
        <v/>
      </c>
      <c r="AG787" s="8"/>
      <c r="AH787" s="8" t="str">
        <f>IF($AG787="","",SUMIFS(OPERATING_COEFFS!$C:$C,OPERATING_COEFFS!$A:$A,"DistanceClass",OPERATING_COEFFS!$B:$B,$AG787))</f>
        <v/>
      </c>
      <c r="AI787" s="8"/>
      <c r="AJ787" s="8" t="str">
        <f>IF($AI787="","",SUMIFS(OPERATING_COEFFS!$C:$C,OPERATING_COEFFS!$A:$A,"SeasonClass",OPERATING_COEFFS!$B:$B,$AI787))</f>
        <v/>
      </c>
      <c r="AK787" s="8"/>
      <c r="AL787" s="8" t="str">
        <f>IF($AK787="","",SUMIFS(OPERATING_COEFFS!$C:$C,OPERATING_COEFFS!$A:$A,"UrgencyClass",OPERATING_COEFFS!$B:$B,$AK787))</f>
        <v/>
      </c>
      <c r="AM787" s="8"/>
      <c r="AN787" s="8" t="str">
        <f t="array" ref="AN787">IF($AM787="","",INDEX(TAX_MODES!$B:$B,MATCH($AM787,TAX_MODES!$A:$A,0)))</f>
        <v/>
      </c>
    </row>
    <row r="788" ht="14.25" customHeight="1">
      <c r="C788" s="8"/>
      <c r="E788" s="8"/>
      <c r="G788" s="8"/>
      <c r="I788" s="8"/>
      <c r="K788" s="8"/>
      <c r="M788" s="8"/>
      <c r="O788" s="8"/>
      <c r="Q788" s="8"/>
      <c r="S788" s="8"/>
      <c r="V788" s="8"/>
      <c r="X788" s="31"/>
      <c r="Y788" s="31" t="str">
        <f>IF($X788="","",SUMIFS(TARIFF_PROFILES!$D:$D,TARIFF_PROFILES!$A:$A,$X788))</f>
        <v/>
      </c>
      <c r="Z788" s="31" t="str">
        <f>IF($X788="","",SUMIFS(TARIFF_PROFILES!$E:$E,TARIFF_PROFILES!$A:$A,$X788))</f>
        <v/>
      </c>
      <c r="AA788" s="31" t="str">
        <f>IF($X788="","",SUMIFS(TARIFF_PROFILES!$F:$F,TARIFF_PROFILES!$A:$A,$X788))</f>
        <v/>
      </c>
      <c r="AB788" s="31" t="str">
        <f>IF($X788="","",SUMIFS(TARIFF_PROFILES!$G:$G,TARIFF_PROFILES!$A:$A,$X788))</f>
        <v/>
      </c>
      <c r="AC788" s="31" t="str">
        <f>IF($X788="","",SUMIFS(TARIFF_PROFILES!$H:$H,TARIFF_PROFILES!$A:$A,$X788))</f>
        <v/>
      </c>
      <c r="AD788" s="31" t="str">
        <f t="array" ref="AD788">IF($X788="","",INDEX(TARIFF_PROFILES!$J:$J,MATCH($X788,TARIFF_PROFILES!$A:$A,0)))</f>
        <v/>
      </c>
      <c r="AE788" s="31" t="str">
        <f t="array" ref="AE788">IF($X788="","",INDEX(TARIFF_PROFILES!$K:$K,MATCH($X788,TARIFF_PROFILES!$A:$A,0)))</f>
        <v/>
      </c>
      <c r="AG788" s="8"/>
      <c r="AH788" s="8" t="str">
        <f>IF($AG788="","",SUMIFS(OPERATING_COEFFS!$C:$C,OPERATING_COEFFS!$A:$A,"DistanceClass",OPERATING_COEFFS!$B:$B,$AG788))</f>
        <v/>
      </c>
      <c r="AI788" s="8"/>
      <c r="AJ788" s="8" t="str">
        <f>IF($AI788="","",SUMIFS(OPERATING_COEFFS!$C:$C,OPERATING_COEFFS!$A:$A,"SeasonClass",OPERATING_COEFFS!$B:$B,$AI788))</f>
        <v/>
      </c>
      <c r="AK788" s="8"/>
      <c r="AL788" s="8" t="str">
        <f>IF($AK788="","",SUMIFS(OPERATING_COEFFS!$C:$C,OPERATING_COEFFS!$A:$A,"UrgencyClass",OPERATING_COEFFS!$B:$B,$AK788))</f>
        <v/>
      </c>
      <c r="AM788" s="8"/>
      <c r="AN788" s="8" t="str">
        <f t="array" ref="AN788">IF($AM788="","",INDEX(TAX_MODES!$B:$B,MATCH($AM788,TAX_MODES!$A:$A,0)))</f>
        <v/>
      </c>
    </row>
    <row r="789" ht="14.25" customHeight="1">
      <c r="C789" s="8"/>
      <c r="E789" s="8"/>
      <c r="G789" s="8"/>
      <c r="I789" s="8"/>
      <c r="K789" s="8"/>
      <c r="M789" s="8"/>
      <c r="O789" s="8"/>
      <c r="Q789" s="8"/>
      <c r="S789" s="8"/>
      <c r="V789" s="8"/>
      <c r="X789" s="31"/>
      <c r="Y789" s="31" t="str">
        <f>IF($X789="","",SUMIFS(TARIFF_PROFILES!$D:$D,TARIFF_PROFILES!$A:$A,$X789))</f>
        <v/>
      </c>
      <c r="Z789" s="31" t="str">
        <f>IF($X789="","",SUMIFS(TARIFF_PROFILES!$E:$E,TARIFF_PROFILES!$A:$A,$X789))</f>
        <v/>
      </c>
      <c r="AA789" s="31" t="str">
        <f>IF($X789="","",SUMIFS(TARIFF_PROFILES!$F:$F,TARIFF_PROFILES!$A:$A,$X789))</f>
        <v/>
      </c>
      <c r="AB789" s="31" t="str">
        <f>IF($X789="","",SUMIFS(TARIFF_PROFILES!$G:$G,TARIFF_PROFILES!$A:$A,$X789))</f>
        <v/>
      </c>
      <c r="AC789" s="31" t="str">
        <f>IF($X789="","",SUMIFS(TARIFF_PROFILES!$H:$H,TARIFF_PROFILES!$A:$A,$X789))</f>
        <v/>
      </c>
      <c r="AD789" s="31" t="str">
        <f t="array" ref="AD789">IF($X789="","",INDEX(TARIFF_PROFILES!$J:$J,MATCH($X789,TARIFF_PROFILES!$A:$A,0)))</f>
        <v/>
      </c>
      <c r="AE789" s="31" t="str">
        <f t="array" ref="AE789">IF($X789="","",INDEX(TARIFF_PROFILES!$K:$K,MATCH($X789,TARIFF_PROFILES!$A:$A,0)))</f>
        <v/>
      </c>
      <c r="AG789" s="8"/>
      <c r="AH789" s="8" t="str">
        <f>IF($AG789="","",SUMIFS(OPERATING_COEFFS!$C:$C,OPERATING_COEFFS!$A:$A,"DistanceClass",OPERATING_COEFFS!$B:$B,$AG789))</f>
        <v/>
      </c>
      <c r="AI789" s="8"/>
      <c r="AJ789" s="8" t="str">
        <f>IF($AI789="","",SUMIFS(OPERATING_COEFFS!$C:$C,OPERATING_COEFFS!$A:$A,"SeasonClass",OPERATING_COEFFS!$B:$B,$AI789))</f>
        <v/>
      </c>
      <c r="AK789" s="8"/>
      <c r="AL789" s="8" t="str">
        <f>IF($AK789="","",SUMIFS(OPERATING_COEFFS!$C:$C,OPERATING_COEFFS!$A:$A,"UrgencyClass",OPERATING_COEFFS!$B:$B,$AK789))</f>
        <v/>
      </c>
      <c r="AM789" s="8"/>
      <c r="AN789" s="8" t="str">
        <f t="array" ref="AN789">IF($AM789="","",INDEX(TAX_MODES!$B:$B,MATCH($AM789,TAX_MODES!$A:$A,0)))</f>
        <v/>
      </c>
    </row>
    <row r="790" ht="14.25" customHeight="1">
      <c r="C790" s="8"/>
      <c r="E790" s="8"/>
      <c r="G790" s="8"/>
      <c r="I790" s="8"/>
      <c r="K790" s="8"/>
      <c r="M790" s="8"/>
      <c r="O790" s="8"/>
      <c r="Q790" s="8"/>
      <c r="S790" s="8"/>
      <c r="V790" s="8"/>
      <c r="X790" s="31"/>
      <c r="Y790" s="31" t="str">
        <f>IF($X790="","",SUMIFS(TARIFF_PROFILES!$D:$D,TARIFF_PROFILES!$A:$A,$X790))</f>
        <v/>
      </c>
      <c r="Z790" s="31" t="str">
        <f>IF($X790="","",SUMIFS(TARIFF_PROFILES!$E:$E,TARIFF_PROFILES!$A:$A,$X790))</f>
        <v/>
      </c>
      <c r="AA790" s="31" t="str">
        <f>IF($X790="","",SUMIFS(TARIFF_PROFILES!$F:$F,TARIFF_PROFILES!$A:$A,$X790))</f>
        <v/>
      </c>
      <c r="AB790" s="31" t="str">
        <f>IF($X790="","",SUMIFS(TARIFF_PROFILES!$G:$G,TARIFF_PROFILES!$A:$A,$X790))</f>
        <v/>
      </c>
      <c r="AC790" s="31" t="str">
        <f>IF($X790="","",SUMIFS(TARIFF_PROFILES!$H:$H,TARIFF_PROFILES!$A:$A,$X790))</f>
        <v/>
      </c>
      <c r="AD790" s="31" t="str">
        <f t="array" ref="AD790">IF($X790="","",INDEX(TARIFF_PROFILES!$J:$J,MATCH($X790,TARIFF_PROFILES!$A:$A,0)))</f>
        <v/>
      </c>
      <c r="AE790" s="31" t="str">
        <f t="array" ref="AE790">IF($X790="","",INDEX(TARIFF_PROFILES!$K:$K,MATCH($X790,TARIFF_PROFILES!$A:$A,0)))</f>
        <v/>
      </c>
      <c r="AG790" s="8"/>
      <c r="AH790" s="8" t="str">
        <f>IF($AG790="","",SUMIFS(OPERATING_COEFFS!$C:$C,OPERATING_COEFFS!$A:$A,"DistanceClass",OPERATING_COEFFS!$B:$B,$AG790))</f>
        <v/>
      </c>
      <c r="AI790" s="8"/>
      <c r="AJ790" s="8" t="str">
        <f>IF($AI790="","",SUMIFS(OPERATING_COEFFS!$C:$C,OPERATING_COEFFS!$A:$A,"SeasonClass",OPERATING_COEFFS!$B:$B,$AI790))</f>
        <v/>
      </c>
      <c r="AK790" s="8"/>
      <c r="AL790" s="8" t="str">
        <f>IF($AK790="","",SUMIFS(OPERATING_COEFFS!$C:$C,OPERATING_COEFFS!$A:$A,"UrgencyClass",OPERATING_COEFFS!$B:$B,$AK790))</f>
        <v/>
      </c>
      <c r="AM790" s="8"/>
      <c r="AN790" s="8" t="str">
        <f t="array" ref="AN790">IF($AM790="","",INDEX(TAX_MODES!$B:$B,MATCH($AM790,TAX_MODES!$A:$A,0)))</f>
        <v/>
      </c>
    </row>
    <row r="791" ht="14.25" customHeight="1">
      <c r="C791" s="8"/>
      <c r="E791" s="8"/>
      <c r="G791" s="8"/>
      <c r="I791" s="8"/>
      <c r="K791" s="8"/>
      <c r="M791" s="8"/>
      <c r="O791" s="8"/>
      <c r="Q791" s="8"/>
      <c r="S791" s="8"/>
      <c r="V791" s="8"/>
      <c r="X791" s="31"/>
      <c r="Y791" s="31" t="str">
        <f>IF($X791="","",SUMIFS(TARIFF_PROFILES!$D:$D,TARIFF_PROFILES!$A:$A,$X791))</f>
        <v/>
      </c>
      <c r="Z791" s="31" t="str">
        <f>IF($X791="","",SUMIFS(TARIFF_PROFILES!$E:$E,TARIFF_PROFILES!$A:$A,$X791))</f>
        <v/>
      </c>
      <c r="AA791" s="31" t="str">
        <f>IF($X791="","",SUMIFS(TARIFF_PROFILES!$F:$F,TARIFF_PROFILES!$A:$A,$X791))</f>
        <v/>
      </c>
      <c r="AB791" s="31" t="str">
        <f>IF($X791="","",SUMIFS(TARIFF_PROFILES!$G:$G,TARIFF_PROFILES!$A:$A,$X791))</f>
        <v/>
      </c>
      <c r="AC791" s="31" t="str">
        <f>IF($X791="","",SUMIFS(TARIFF_PROFILES!$H:$H,TARIFF_PROFILES!$A:$A,$X791))</f>
        <v/>
      </c>
      <c r="AD791" s="31" t="str">
        <f t="array" ref="AD791">IF($X791="","",INDEX(TARIFF_PROFILES!$J:$J,MATCH($X791,TARIFF_PROFILES!$A:$A,0)))</f>
        <v/>
      </c>
      <c r="AE791" s="31" t="str">
        <f t="array" ref="AE791">IF($X791="","",INDEX(TARIFF_PROFILES!$K:$K,MATCH($X791,TARIFF_PROFILES!$A:$A,0)))</f>
        <v/>
      </c>
      <c r="AG791" s="8"/>
      <c r="AH791" s="8" t="str">
        <f>IF($AG791="","",SUMIFS(OPERATING_COEFFS!$C:$C,OPERATING_COEFFS!$A:$A,"DistanceClass",OPERATING_COEFFS!$B:$B,$AG791))</f>
        <v/>
      </c>
      <c r="AI791" s="8"/>
      <c r="AJ791" s="8" t="str">
        <f>IF($AI791="","",SUMIFS(OPERATING_COEFFS!$C:$C,OPERATING_COEFFS!$A:$A,"SeasonClass",OPERATING_COEFFS!$B:$B,$AI791))</f>
        <v/>
      </c>
      <c r="AK791" s="8"/>
      <c r="AL791" s="8" t="str">
        <f>IF($AK791="","",SUMIFS(OPERATING_COEFFS!$C:$C,OPERATING_COEFFS!$A:$A,"UrgencyClass",OPERATING_COEFFS!$B:$B,$AK791))</f>
        <v/>
      </c>
      <c r="AM791" s="8"/>
      <c r="AN791" s="8" t="str">
        <f t="array" ref="AN791">IF($AM791="","",INDEX(TAX_MODES!$B:$B,MATCH($AM791,TAX_MODES!$A:$A,0)))</f>
        <v/>
      </c>
    </row>
    <row r="792" ht="14.25" customHeight="1">
      <c r="C792" s="8"/>
      <c r="E792" s="8"/>
      <c r="G792" s="8"/>
      <c r="I792" s="8"/>
      <c r="K792" s="8"/>
      <c r="M792" s="8"/>
      <c r="O792" s="8"/>
      <c r="Q792" s="8"/>
      <c r="S792" s="8"/>
      <c r="V792" s="8"/>
      <c r="X792" s="31"/>
      <c r="Y792" s="31" t="str">
        <f>IF($X792="","",SUMIFS(TARIFF_PROFILES!$D:$D,TARIFF_PROFILES!$A:$A,$X792))</f>
        <v/>
      </c>
      <c r="Z792" s="31" t="str">
        <f>IF($X792="","",SUMIFS(TARIFF_PROFILES!$E:$E,TARIFF_PROFILES!$A:$A,$X792))</f>
        <v/>
      </c>
      <c r="AA792" s="31" t="str">
        <f>IF($X792="","",SUMIFS(TARIFF_PROFILES!$F:$F,TARIFF_PROFILES!$A:$A,$X792))</f>
        <v/>
      </c>
      <c r="AB792" s="31" t="str">
        <f>IF($X792="","",SUMIFS(TARIFF_PROFILES!$G:$G,TARIFF_PROFILES!$A:$A,$X792))</f>
        <v/>
      </c>
      <c r="AC792" s="31" t="str">
        <f>IF($X792="","",SUMIFS(TARIFF_PROFILES!$H:$H,TARIFF_PROFILES!$A:$A,$X792))</f>
        <v/>
      </c>
      <c r="AD792" s="31" t="str">
        <f t="array" ref="AD792">IF($X792="","",INDEX(TARIFF_PROFILES!$J:$J,MATCH($X792,TARIFF_PROFILES!$A:$A,0)))</f>
        <v/>
      </c>
      <c r="AE792" s="31" t="str">
        <f t="array" ref="AE792">IF($X792="","",INDEX(TARIFF_PROFILES!$K:$K,MATCH($X792,TARIFF_PROFILES!$A:$A,0)))</f>
        <v/>
      </c>
      <c r="AG792" s="8"/>
      <c r="AH792" s="8" t="str">
        <f>IF($AG792="","",SUMIFS(OPERATING_COEFFS!$C:$C,OPERATING_COEFFS!$A:$A,"DistanceClass",OPERATING_COEFFS!$B:$B,$AG792))</f>
        <v/>
      </c>
      <c r="AI792" s="8"/>
      <c r="AJ792" s="8" t="str">
        <f>IF($AI792="","",SUMIFS(OPERATING_COEFFS!$C:$C,OPERATING_COEFFS!$A:$A,"SeasonClass",OPERATING_COEFFS!$B:$B,$AI792))</f>
        <v/>
      </c>
      <c r="AK792" s="8"/>
      <c r="AL792" s="8" t="str">
        <f>IF($AK792="","",SUMIFS(OPERATING_COEFFS!$C:$C,OPERATING_COEFFS!$A:$A,"UrgencyClass",OPERATING_COEFFS!$B:$B,$AK792))</f>
        <v/>
      </c>
      <c r="AM792" s="8"/>
      <c r="AN792" s="8" t="str">
        <f t="array" ref="AN792">IF($AM792="","",INDEX(TAX_MODES!$B:$B,MATCH($AM792,TAX_MODES!$A:$A,0)))</f>
        <v/>
      </c>
    </row>
    <row r="793" ht="14.25" customHeight="1">
      <c r="C793" s="8"/>
      <c r="E793" s="8"/>
      <c r="G793" s="8"/>
      <c r="I793" s="8"/>
      <c r="K793" s="8"/>
      <c r="M793" s="8"/>
      <c r="O793" s="8"/>
      <c r="Q793" s="8"/>
      <c r="S793" s="8"/>
      <c r="V793" s="8"/>
      <c r="X793" s="31"/>
      <c r="Y793" s="31" t="str">
        <f>IF($X793="","",SUMIFS(TARIFF_PROFILES!$D:$D,TARIFF_PROFILES!$A:$A,$X793))</f>
        <v/>
      </c>
      <c r="Z793" s="31" t="str">
        <f>IF($X793="","",SUMIFS(TARIFF_PROFILES!$E:$E,TARIFF_PROFILES!$A:$A,$X793))</f>
        <v/>
      </c>
      <c r="AA793" s="31" t="str">
        <f>IF($X793="","",SUMIFS(TARIFF_PROFILES!$F:$F,TARIFF_PROFILES!$A:$A,$X793))</f>
        <v/>
      </c>
      <c r="AB793" s="31" t="str">
        <f>IF($X793="","",SUMIFS(TARIFF_PROFILES!$G:$G,TARIFF_PROFILES!$A:$A,$X793))</f>
        <v/>
      </c>
      <c r="AC793" s="31" t="str">
        <f>IF($X793="","",SUMIFS(TARIFF_PROFILES!$H:$H,TARIFF_PROFILES!$A:$A,$X793))</f>
        <v/>
      </c>
      <c r="AD793" s="31" t="str">
        <f t="array" ref="AD793">IF($X793="","",INDEX(TARIFF_PROFILES!$J:$J,MATCH($X793,TARIFF_PROFILES!$A:$A,0)))</f>
        <v/>
      </c>
      <c r="AE793" s="31" t="str">
        <f t="array" ref="AE793">IF($X793="","",INDEX(TARIFF_PROFILES!$K:$K,MATCH($X793,TARIFF_PROFILES!$A:$A,0)))</f>
        <v/>
      </c>
      <c r="AG793" s="8"/>
      <c r="AH793" s="8" t="str">
        <f>IF($AG793="","",SUMIFS(OPERATING_COEFFS!$C:$C,OPERATING_COEFFS!$A:$A,"DistanceClass",OPERATING_COEFFS!$B:$B,$AG793))</f>
        <v/>
      </c>
      <c r="AI793" s="8"/>
      <c r="AJ793" s="8" t="str">
        <f>IF($AI793="","",SUMIFS(OPERATING_COEFFS!$C:$C,OPERATING_COEFFS!$A:$A,"SeasonClass",OPERATING_COEFFS!$B:$B,$AI793))</f>
        <v/>
      </c>
      <c r="AK793" s="8"/>
      <c r="AL793" s="8" t="str">
        <f>IF($AK793="","",SUMIFS(OPERATING_COEFFS!$C:$C,OPERATING_COEFFS!$A:$A,"UrgencyClass",OPERATING_COEFFS!$B:$B,$AK793))</f>
        <v/>
      </c>
      <c r="AM793" s="8"/>
      <c r="AN793" s="8" t="str">
        <f t="array" ref="AN793">IF($AM793="","",INDEX(TAX_MODES!$B:$B,MATCH($AM793,TAX_MODES!$A:$A,0)))</f>
        <v/>
      </c>
    </row>
    <row r="794" ht="14.25" customHeight="1">
      <c r="C794" s="8"/>
      <c r="E794" s="8"/>
      <c r="G794" s="8"/>
      <c r="I794" s="8"/>
      <c r="K794" s="8"/>
      <c r="M794" s="8"/>
      <c r="O794" s="8"/>
      <c r="Q794" s="8"/>
      <c r="S794" s="8"/>
      <c r="V794" s="8"/>
      <c r="X794" s="31"/>
      <c r="Y794" s="31" t="str">
        <f>IF($X794="","",SUMIFS(TARIFF_PROFILES!$D:$D,TARIFF_PROFILES!$A:$A,$X794))</f>
        <v/>
      </c>
      <c r="Z794" s="31" t="str">
        <f>IF($X794="","",SUMIFS(TARIFF_PROFILES!$E:$E,TARIFF_PROFILES!$A:$A,$X794))</f>
        <v/>
      </c>
      <c r="AA794" s="31" t="str">
        <f>IF($X794="","",SUMIFS(TARIFF_PROFILES!$F:$F,TARIFF_PROFILES!$A:$A,$X794))</f>
        <v/>
      </c>
      <c r="AB794" s="31" t="str">
        <f>IF($X794="","",SUMIFS(TARIFF_PROFILES!$G:$G,TARIFF_PROFILES!$A:$A,$X794))</f>
        <v/>
      </c>
      <c r="AC794" s="31" t="str">
        <f>IF($X794="","",SUMIFS(TARIFF_PROFILES!$H:$H,TARIFF_PROFILES!$A:$A,$X794))</f>
        <v/>
      </c>
      <c r="AD794" s="31" t="str">
        <f t="array" ref="AD794">IF($X794="","",INDEX(TARIFF_PROFILES!$J:$J,MATCH($X794,TARIFF_PROFILES!$A:$A,0)))</f>
        <v/>
      </c>
      <c r="AE794" s="31" t="str">
        <f t="array" ref="AE794">IF($X794="","",INDEX(TARIFF_PROFILES!$K:$K,MATCH($X794,TARIFF_PROFILES!$A:$A,0)))</f>
        <v/>
      </c>
      <c r="AG794" s="8"/>
      <c r="AH794" s="8" t="str">
        <f>IF($AG794="","",SUMIFS(OPERATING_COEFFS!$C:$C,OPERATING_COEFFS!$A:$A,"DistanceClass",OPERATING_COEFFS!$B:$B,$AG794))</f>
        <v/>
      </c>
      <c r="AI794" s="8"/>
      <c r="AJ794" s="8" t="str">
        <f>IF($AI794="","",SUMIFS(OPERATING_COEFFS!$C:$C,OPERATING_COEFFS!$A:$A,"SeasonClass",OPERATING_COEFFS!$B:$B,$AI794))</f>
        <v/>
      </c>
      <c r="AK794" s="8"/>
      <c r="AL794" s="8" t="str">
        <f>IF($AK794="","",SUMIFS(OPERATING_COEFFS!$C:$C,OPERATING_COEFFS!$A:$A,"UrgencyClass",OPERATING_COEFFS!$B:$B,$AK794))</f>
        <v/>
      </c>
      <c r="AM794" s="8"/>
      <c r="AN794" s="8" t="str">
        <f t="array" ref="AN794">IF($AM794="","",INDEX(TAX_MODES!$B:$B,MATCH($AM794,TAX_MODES!$A:$A,0)))</f>
        <v/>
      </c>
    </row>
    <row r="795" ht="14.25" customHeight="1">
      <c r="C795" s="8"/>
      <c r="E795" s="8"/>
      <c r="G795" s="8"/>
      <c r="I795" s="8"/>
      <c r="K795" s="8"/>
      <c r="M795" s="8"/>
      <c r="O795" s="8"/>
      <c r="Q795" s="8"/>
      <c r="S795" s="8"/>
      <c r="V795" s="8"/>
      <c r="X795" s="31"/>
      <c r="Y795" s="31" t="str">
        <f>IF($X795="","",SUMIFS(TARIFF_PROFILES!$D:$D,TARIFF_PROFILES!$A:$A,$X795))</f>
        <v/>
      </c>
      <c r="Z795" s="31" t="str">
        <f>IF($X795="","",SUMIFS(TARIFF_PROFILES!$E:$E,TARIFF_PROFILES!$A:$A,$X795))</f>
        <v/>
      </c>
      <c r="AA795" s="31" t="str">
        <f>IF($X795="","",SUMIFS(TARIFF_PROFILES!$F:$F,TARIFF_PROFILES!$A:$A,$X795))</f>
        <v/>
      </c>
      <c r="AB795" s="31" t="str">
        <f>IF($X795="","",SUMIFS(TARIFF_PROFILES!$G:$G,TARIFF_PROFILES!$A:$A,$X795))</f>
        <v/>
      </c>
      <c r="AC795" s="31" t="str">
        <f>IF($X795="","",SUMIFS(TARIFF_PROFILES!$H:$H,TARIFF_PROFILES!$A:$A,$X795))</f>
        <v/>
      </c>
      <c r="AD795" s="31" t="str">
        <f t="array" ref="AD795">IF($X795="","",INDEX(TARIFF_PROFILES!$J:$J,MATCH($X795,TARIFF_PROFILES!$A:$A,0)))</f>
        <v/>
      </c>
      <c r="AE795" s="31" t="str">
        <f t="array" ref="AE795">IF($X795="","",INDEX(TARIFF_PROFILES!$K:$K,MATCH($X795,TARIFF_PROFILES!$A:$A,0)))</f>
        <v/>
      </c>
      <c r="AG795" s="8"/>
      <c r="AH795" s="8" t="str">
        <f>IF($AG795="","",SUMIFS(OPERATING_COEFFS!$C:$C,OPERATING_COEFFS!$A:$A,"DistanceClass",OPERATING_COEFFS!$B:$B,$AG795))</f>
        <v/>
      </c>
      <c r="AI795" s="8"/>
      <c r="AJ795" s="8" t="str">
        <f>IF($AI795="","",SUMIFS(OPERATING_COEFFS!$C:$C,OPERATING_COEFFS!$A:$A,"SeasonClass",OPERATING_COEFFS!$B:$B,$AI795))</f>
        <v/>
      </c>
      <c r="AK795" s="8"/>
      <c r="AL795" s="8" t="str">
        <f>IF($AK795="","",SUMIFS(OPERATING_COEFFS!$C:$C,OPERATING_COEFFS!$A:$A,"UrgencyClass",OPERATING_COEFFS!$B:$B,$AK795))</f>
        <v/>
      </c>
      <c r="AM795" s="8"/>
      <c r="AN795" s="8" t="str">
        <f t="array" ref="AN795">IF($AM795="","",INDEX(TAX_MODES!$B:$B,MATCH($AM795,TAX_MODES!$A:$A,0)))</f>
        <v/>
      </c>
    </row>
    <row r="796" ht="14.25" customHeight="1">
      <c r="C796" s="8"/>
      <c r="E796" s="8"/>
      <c r="G796" s="8"/>
      <c r="I796" s="8"/>
      <c r="K796" s="8"/>
      <c r="M796" s="8"/>
      <c r="O796" s="8"/>
      <c r="Q796" s="8"/>
      <c r="S796" s="8"/>
      <c r="V796" s="8"/>
      <c r="X796" s="31"/>
      <c r="Y796" s="31" t="str">
        <f>IF($X796="","",SUMIFS(TARIFF_PROFILES!$D:$D,TARIFF_PROFILES!$A:$A,$X796))</f>
        <v/>
      </c>
      <c r="Z796" s="31" t="str">
        <f>IF($X796="","",SUMIFS(TARIFF_PROFILES!$E:$E,TARIFF_PROFILES!$A:$A,$X796))</f>
        <v/>
      </c>
      <c r="AA796" s="31" t="str">
        <f>IF($X796="","",SUMIFS(TARIFF_PROFILES!$F:$F,TARIFF_PROFILES!$A:$A,$X796))</f>
        <v/>
      </c>
      <c r="AB796" s="31" t="str">
        <f>IF($X796="","",SUMIFS(TARIFF_PROFILES!$G:$G,TARIFF_PROFILES!$A:$A,$X796))</f>
        <v/>
      </c>
      <c r="AC796" s="31" t="str">
        <f>IF($X796="","",SUMIFS(TARIFF_PROFILES!$H:$H,TARIFF_PROFILES!$A:$A,$X796))</f>
        <v/>
      </c>
      <c r="AD796" s="31" t="str">
        <f t="array" ref="AD796">IF($X796="","",INDEX(TARIFF_PROFILES!$J:$J,MATCH($X796,TARIFF_PROFILES!$A:$A,0)))</f>
        <v/>
      </c>
      <c r="AE796" s="31" t="str">
        <f t="array" ref="AE796">IF($X796="","",INDEX(TARIFF_PROFILES!$K:$K,MATCH($X796,TARIFF_PROFILES!$A:$A,0)))</f>
        <v/>
      </c>
      <c r="AG796" s="8"/>
      <c r="AH796" s="8" t="str">
        <f>IF($AG796="","",SUMIFS(OPERATING_COEFFS!$C:$C,OPERATING_COEFFS!$A:$A,"DistanceClass",OPERATING_COEFFS!$B:$B,$AG796))</f>
        <v/>
      </c>
      <c r="AI796" s="8"/>
      <c r="AJ796" s="8" t="str">
        <f>IF($AI796="","",SUMIFS(OPERATING_COEFFS!$C:$C,OPERATING_COEFFS!$A:$A,"SeasonClass",OPERATING_COEFFS!$B:$B,$AI796))</f>
        <v/>
      </c>
      <c r="AK796" s="8"/>
      <c r="AL796" s="8" t="str">
        <f>IF($AK796="","",SUMIFS(OPERATING_COEFFS!$C:$C,OPERATING_COEFFS!$A:$A,"UrgencyClass",OPERATING_COEFFS!$B:$B,$AK796))</f>
        <v/>
      </c>
      <c r="AM796" s="8"/>
      <c r="AN796" s="8" t="str">
        <f t="array" ref="AN796">IF($AM796="","",INDEX(TAX_MODES!$B:$B,MATCH($AM796,TAX_MODES!$A:$A,0)))</f>
        <v/>
      </c>
    </row>
    <row r="797" ht="14.25" customHeight="1">
      <c r="C797" s="8"/>
      <c r="E797" s="8"/>
      <c r="G797" s="8"/>
      <c r="I797" s="8"/>
      <c r="K797" s="8"/>
      <c r="M797" s="8"/>
      <c r="O797" s="8"/>
      <c r="Q797" s="8"/>
      <c r="S797" s="8"/>
      <c r="V797" s="8"/>
      <c r="X797" s="31"/>
      <c r="Y797" s="31" t="str">
        <f>IF($X797="","",SUMIFS(TARIFF_PROFILES!$D:$D,TARIFF_PROFILES!$A:$A,$X797))</f>
        <v/>
      </c>
      <c r="Z797" s="31" t="str">
        <f>IF($X797="","",SUMIFS(TARIFF_PROFILES!$E:$E,TARIFF_PROFILES!$A:$A,$X797))</f>
        <v/>
      </c>
      <c r="AA797" s="31" t="str">
        <f>IF($X797="","",SUMIFS(TARIFF_PROFILES!$F:$F,TARIFF_PROFILES!$A:$A,$X797))</f>
        <v/>
      </c>
      <c r="AB797" s="31" t="str">
        <f>IF($X797="","",SUMIFS(TARIFF_PROFILES!$G:$G,TARIFF_PROFILES!$A:$A,$X797))</f>
        <v/>
      </c>
      <c r="AC797" s="31" t="str">
        <f>IF($X797="","",SUMIFS(TARIFF_PROFILES!$H:$H,TARIFF_PROFILES!$A:$A,$X797))</f>
        <v/>
      </c>
      <c r="AD797" s="31" t="str">
        <f t="array" ref="AD797">IF($X797="","",INDEX(TARIFF_PROFILES!$J:$J,MATCH($X797,TARIFF_PROFILES!$A:$A,0)))</f>
        <v/>
      </c>
      <c r="AE797" s="31" t="str">
        <f t="array" ref="AE797">IF($X797="","",INDEX(TARIFF_PROFILES!$K:$K,MATCH($X797,TARIFF_PROFILES!$A:$A,0)))</f>
        <v/>
      </c>
      <c r="AG797" s="8"/>
      <c r="AH797" s="8" t="str">
        <f>IF($AG797="","",SUMIFS(OPERATING_COEFFS!$C:$C,OPERATING_COEFFS!$A:$A,"DistanceClass",OPERATING_COEFFS!$B:$B,$AG797))</f>
        <v/>
      </c>
      <c r="AI797" s="8"/>
      <c r="AJ797" s="8" t="str">
        <f>IF($AI797="","",SUMIFS(OPERATING_COEFFS!$C:$C,OPERATING_COEFFS!$A:$A,"SeasonClass",OPERATING_COEFFS!$B:$B,$AI797))</f>
        <v/>
      </c>
      <c r="AK797" s="8"/>
      <c r="AL797" s="8" t="str">
        <f>IF($AK797="","",SUMIFS(OPERATING_COEFFS!$C:$C,OPERATING_COEFFS!$A:$A,"UrgencyClass",OPERATING_COEFFS!$B:$B,$AK797))</f>
        <v/>
      </c>
      <c r="AM797" s="8"/>
      <c r="AN797" s="8" t="str">
        <f t="array" ref="AN797">IF($AM797="","",INDEX(TAX_MODES!$B:$B,MATCH($AM797,TAX_MODES!$A:$A,0)))</f>
        <v/>
      </c>
    </row>
    <row r="798" ht="14.25" customHeight="1">
      <c r="C798" s="8"/>
      <c r="E798" s="8"/>
      <c r="G798" s="8"/>
      <c r="I798" s="8"/>
      <c r="K798" s="8"/>
      <c r="M798" s="8"/>
      <c r="O798" s="8"/>
      <c r="Q798" s="8"/>
      <c r="S798" s="8"/>
      <c r="V798" s="8"/>
      <c r="X798" s="31"/>
      <c r="Y798" s="31" t="str">
        <f>IF($X798="","",SUMIFS(TARIFF_PROFILES!$D:$D,TARIFF_PROFILES!$A:$A,$X798))</f>
        <v/>
      </c>
      <c r="Z798" s="31" t="str">
        <f>IF($X798="","",SUMIFS(TARIFF_PROFILES!$E:$E,TARIFF_PROFILES!$A:$A,$X798))</f>
        <v/>
      </c>
      <c r="AA798" s="31" t="str">
        <f>IF($X798="","",SUMIFS(TARIFF_PROFILES!$F:$F,TARIFF_PROFILES!$A:$A,$X798))</f>
        <v/>
      </c>
      <c r="AB798" s="31" t="str">
        <f>IF($X798="","",SUMIFS(TARIFF_PROFILES!$G:$G,TARIFF_PROFILES!$A:$A,$X798))</f>
        <v/>
      </c>
      <c r="AC798" s="31" t="str">
        <f>IF($X798="","",SUMIFS(TARIFF_PROFILES!$H:$H,TARIFF_PROFILES!$A:$A,$X798))</f>
        <v/>
      </c>
      <c r="AD798" s="31" t="str">
        <f t="array" ref="AD798">IF($X798="","",INDEX(TARIFF_PROFILES!$J:$J,MATCH($X798,TARIFF_PROFILES!$A:$A,0)))</f>
        <v/>
      </c>
      <c r="AE798" s="31" t="str">
        <f t="array" ref="AE798">IF($X798="","",INDEX(TARIFF_PROFILES!$K:$K,MATCH($X798,TARIFF_PROFILES!$A:$A,0)))</f>
        <v/>
      </c>
      <c r="AG798" s="8"/>
      <c r="AH798" s="8" t="str">
        <f>IF($AG798="","",SUMIFS(OPERATING_COEFFS!$C:$C,OPERATING_COEFFS!$A:$A,"DistanceClass",OPERATING_COEFFS!$B:$B,$AG798))</f>
        <v/>
      </c>
      <c r="AI798" s="8"/>
      <c r="AJ798" s="8" t="str">
        <f>IF($AI798="","",SUMIFS(OPERATING_COEFFS!$C:$C,OPERATING_COEFFS!$A:$A,"SeasonClass",OPERATING_COEFFS!$B:$B,$AI798))</f>
        <v/>
      </c>
      <c r="AK798" s="8"/>
      <c r="AL798" s="8" t="str">
        <f>IF($AK798="","",SUMIFS(OPERATING_COEFFS!$C:$C,OPERATING_COEFFS!$A:$A,"UrgencyClass",OPERATING_COEFFS!$B:$B,$AK798))</f>
        <v/>
      </c>
      <c r="AM798" s="8"/>
      <c r="AN798" s="8" t="str">
        <f t="array" ref="AN798">IF($AM798="","",INDEX(TAX_MODES!$B:$B,MATCH($AM798,TAX_MODES!$A:$A,0)))</f>
        <v/>
      </c>
    </row>
    <row r="799" ht="14.25" customHeight="1">
      <c r="C799" s="8"/>
      <c r="E799" s="8"/>
      <c r="G799" s="8"/>
      <c r="I799" s="8"/>
      <c r="K799" s="8"/>
      <c r="M799" s="8"/>
      <c r="O799" s="8"/>
      <c r="Q799" s="8"/>
      <c r="S799" s="8"/>
      <c r="V799" s="8"/>
      <c r="X799" s="31"/>
      <c r="Y799" s="31" t="str">
        <f>IF($X799="","",SUMIFS(TARIFF_PROFILES!$D:$D,TARIFF_PROFILES!$A:$A,$X799))</f>
        <v/>
      </c>
      <c r="Z799" s="31" t="str">
        <f>IF($X799="","",SUMIFS(TARIFF_PROFILES!$E:$E,TARIFF_PROFILES!$A:$A,$X799))</f>
        <v/>
      </c>
      <c r="AA799" s="31" t="str">
        <f>IF($X799="","",SUMIFS(TARIFF_PROFILES!$F:$F,TARIFF_PROFILES!$A:$A,$X799))</f>
        <v/>
      </c>
      <c r="AB799" s="31" t="str">
        <f>IF($X799="","",SUMIFS(TARIFF_PROFILES!$G:$G,TARIFF_PROFILES!$A:$A,$X799))</f>
        <v/>
      </c>
      <c r="AC799" s="31" t="str">
        <f>IF($X799="","",SUMIFS(TARIFF_PROFILES!$H:$H,TARIFF_PROFILES!$A:$A,$X799))</f>
        <v/>
      </c>
      <c r="AD799" s="31" t="str">
        <f t="array" ref="AD799">IF($X799="","",INDEX(TARIFF_PROFILES!$J:$J,MATCH($X799,TARIFF_PROFILES!$A:$A,0)))</f>
        <v/>
      </c>
      <c r="AE799" s="31" t="str">
        <f t="array" ref="AE799">IF($X799="","",INDEX(TARIFF_PROFILES!$K:$K,MATCH($X799,TARIFF_PROFILES!$A:$A,0)))</f>
        <v/>
      </c>
      <c r="AG799" s="8"/>
      <c r="AH799" s="8" t="str">
        <f>IF($AG799="","",SUMIFS(OPERATING_COEFFS!$C:$C,OPERATING_COEFFS!$A:$A,"DistanceClass",OPERATING_COEFFS!$B:$B,$AG799))</f>
        <v/>
      </c>
      <c r="AI799" s="8"/>
      <c r="AJ799" s="8" t="str">
        <f>IF($AI799="","",SUMIFS(OPERATING_COEFFS!$C:$C,OPERATING_COEFFS!$A:$A,"SeasonClass",OPERATING_COEFFS!$B:$B,$AI799))</f>
        <v/>
      </c>
      <c r="AK799" s="8"/>
      <c r="AL799" s="8" t="str">
        <f>IF($AK799="","",SUMIFS(OPERATING_COEFFS!$C:$C,OPERATING_COEFFS!$A:$A,"UrgencyClass",OPERATING_COEFFS!$B:$B,$AK799))</f>
        <v/>
      </c>
      <c r="AM799" s="8"/>
      <c r="AN799" s="8" t="str">
        <f t="array" ref="AN799">IF($AM799="","",INDEX(TAX_MODES!$B:$B,MATCH($AM799,TAX_MODES!$A:$A,0)))</f>
        <v/>
      </c>
    </row>
    <row r="800" ht="14.25" customHeight="1">
      <c r="C800" s="8"/>
      <c r="E800" s="8"/>
      <c r="G800" s="8"/>
      <c r="I800" s="8"/>
      <c r="K800" s="8"/>
      <c r="M800" s="8"/>
      <c r="O800" s="8"/>
      <c r="Q800" s="8"/>
      <c r="S800" s="8"/>
      <c r="V800" s="8"/>
      <c r="X800" s="31"/>
      <c r="Y800" s="31" t="str">
        <f>IF($X800="","",SUMIFS(TARIFF_PROFILES!$D:$D,TARIFF_PROFILES!$A:$A,$X800))</f>
        <v/>
      </c>
      <c r="Z800" s="31" t="str">
        <f>IF($X800="","",SUMIFS(TARIFF_PROFILES!$E:$E,TARIFF_PROFILES!$A:$A,$X800))</f>
        <v/>
      </c>
      <c r="AA800" s="31" t="str">
        <f>IF($X800="","",SUMIFS(TARIFF_PROFILES!$F:$F,TARIFF_PROFILES!$A:$A,$X800))</f>
        <v/>
      </c>
      <c r="AB800" s="31" t="str">
        <f>IF($X800="","",SUMIFS(TARIFF_PROFILES!$G:$G,TARIFF_PROFILES!$A:$A,$X800))</f>
        <v/>
      </c>
      <c r="AC800" s="31" t="str">
        <f>IF($X800="","",SUMIFS(TARIFF_PROFILES!$H:$H,TARIFF_PROFILES!$A:$A,$X800))</f>
        <v/>
      </c>
      <c r="AD800" s="31" t="str">
        <f t="array" ref="AD800">IF($X800="","",INDEX(TARIFF_PROFILES!$J:$J,MATCH($X800,TARIFF_PROFILES!$A:$A,0)))</f>
        <v/>
      </c>
      <c r="AE800" s="31" t="str">
        <f t="array" ref="AE800">IF($X800="","",INDEX(TARIFF_PROFILES!$K:$K,MATCH($X800,TARIFF_PROFILES!$A:$A,0)))</f>
        <v/>
      </c>
      <c r="AG800" s="8"/>
      <c r="AH800" s="8" t="str">
        <f>IF($AG800="","",SUMIFS(OPERATING_COEFFS!$C:$C,OPERATING_COEFFS!$A:$A,"DistanceClass",OPERATING_COEFFS!$B:$B,$AG800))</f>
        <v/>
      </c>
      <c r="AI800" s="8"/>
      <c r="AJ800" s="8" t="str">
        <f>IF($AI800="","",SUMIFS(OPERATING_COEFFS!$C:$C,OPERATING_COEFFS!$A:$A,"SeasonClass",OPERATING_COEFFS!$B:$B,$AI800))</f>
        <v/>
      </c>
      <c r="AK800" s="8"/>
      <c r="AL800" s="8" t="str">
        <f>IF($AK800="","",SUMIFS(OPERATING_COEFFS!$C:$C,OPERATING_COEFFS!$A:$A,"UrgencyClass",OPERATING_COEFFS!$B:$B,$AK800))</f>
        <v/>
      </c>
      <c r="AM800" s="8"/>
      <c r="AN800" s="8" t="str">
        <f t="array" ref="AN800">IF($AM800="","",INDEX(TAX_MODES!$B:$B,MATCH($AM800,TAX_MODES!$A:$A,0)))</f>
        <v/>
      </c>
    </row>
    <row r="801" ht="14.25" customHeight="1">
      <c r="C801" s="8"/>
      <c r="E801" s="8"/>
      <c r="G801" s="8"/>
      <c r="I801" s="8"/>
      <c r="K801" s="8"/>
      <c r="M801" s="8"/>
      <c r="O801" s="8"/>
      <c r="Q801" s="8"/>
      <c r="S801" s="8"/>
      <c r="V801" s="8"/>
      <c r="X801" s="31"/>
      <c r="Y801" s="31" t="str">
        <f>IF($X801="","",SUMIFS(TARIFF_PROFILES!$D:$D,TARIFF_PROFILES!$A:$A,$X801))</f>
        <v/>
      </c>
      <c r="Z801" s="31" t="str">
        <f>IF($X801="","",SUMIFS(TARIFF_PROFILES!$E:$E,TARIFF_PROFILES!$A:$A,$X801))</f>
        <v/>
      </c>
      <c r="AA801" s="31" t="str">
        <f>IF($X801="","",SUMIFS(TARIFF_PROFILES!$F:$F,TARIFF_PROFILES!$A:$A,$X801))</f>
        <v/>
      </c>
      <c r="AB801" s="31" t="str">
        <f>IF($X801="","",SUMIFS(TARIFF_PROFILES!$G:$G,TARIFF_PROFILES!$A:$A,$X801))</f>
        <v/>
      </c>
      <c r="AC801" s="31" t="str">
        <f>IF($X801="","",SUMIFS(TARIFF_PROFILES!$H:$H,TARIFF_PROFILES!$A:$A,$X801))</f>
        <v/>
      </c>
      <c r="AD801" s="31" t="str">
        <f t="array" ref="AD801">IF($X801="","",INDEX(TARIFF_PROFILES!$J:$J,MATCH($X801,TARIFF_PROFILES!$A:$A,0)))</f>
        <v/>
      </c>
      <c r="AE801" s="31" t="str">
        <f t="array" ref="AE801">IF($X801="","",INDEX(TARIFF_PROFILES!$K:$K,MATCH($X801,TARIFF_PROFILES!$A:$A,0)))</f>
        <v/>
      </c>
      <c r="AG801" s="8"/>
      <c r="AH801" s="8" t="str">
        <f>IF($AG801="","",SUMIFS(OPERATING_COEFFS!$C:$C,OPERATING_COEFFS!$A:$A,"DistanceClass",OPERATING_COEFFS!$B:$B,$AG801))</f>
        <v/>
      </c>
      <c r="AI801" s="8"/>
      <c r="AJ801" s="8" t="str">
        <f>IF($AI801="","",SUMIFS(OPERATING_COEFFS!$C:$C,OPERATING_COEFFS!$A:$A,"SeasonClass",OPERATING_COEFFS!$B:$B,$AI801))</f>
        <v/>
      </c>
      <c r="AK801" s="8"/>
      <c r="AL801" s="8" t="str">
        <f>IF($AK801="","",SUMIFS(OPERATING_COEFFS!$C:$C,OPERATING_COEFFS!$A:$A,"UrgencyClass",OPERATING_COEFFS!$B:$B,$AK801))</f>
        <v/>
      </c>
      <c r="AM801" s="8"/>
      <c r="AN801" s="8" t="str">
        <f t="array" ref="AN801">IF($AM801="","",INDEX(TAX_MODES!$B:$B,MATCH($AM801,TAX_MODES!$A:$A,0)))</f>
        <v/>
      </c>
    </row>
    <row r="802" ht="14.25" customHeight="1">
      <c r="C802" s="8"/>
      <c r="E802" s="8"/>
      <c r="G802" s="8"/>
      <c r="I802" s="8"/>
      <c r="K802" s="8"/>
      <c r="M802" s="8"/>
      <c r="O802" s="8"/>
      <c r="Q802" s="8"/>
      <c r="S802" s="8"/>
      <c r="V802" s="8"/>
      <c r="X802" s="31"/>
      <c r="Y802" s="31" t="str">
        <f>IF($X802="","",SUMIFS(TARIFF_PROFILES!$D:$D,TARIFF_PROFILES!$A:$A,$X802))</f>
        <v/>
      </c>
      <c r="Z802" s="31" t="str">
        <f>IF($X802="","",SUMIFS(TARIFF_PROFILES!$E:$E,TARIFF_PROFILES!$A:$A,$X802))</f>
        <v/>
      </c>
      <c r="AA802" s="31" t="str">
        <f>IF($X802="","",SUMIFS(TARIFF_PROFILES!$F:$F,TARIFF_PROFILES!$A:$A,$X802))</f>
        <v/>
      </c>
      <c r="AB802" s="31" t="str">
        <f>IF($X802="","",SUMIFS(TARIFF_PROFILES!$G:$G,TARIFF_PROFILES!$A:$A,$X802))</f>
        <v/>
      </c>
      <c r="AC802" s="31" t="str">
        <f>IF($X802="","",SUMIFS(TARIFF_PROFILES!$H:$H,TARIFF_PROFILES!$A:$A,$X802))</f>
        <v/>
      </c>
      <c r="AD802" s="31" t="str">
        <f t="array" ref="AD802">IF($X802="","",INDEX(TARIFF_PROFILES!$J:$J,MATCH($X802,TARIFF_PROFILES!$A:$A,0)))</f>
        <v/>
      </c>
      <c r="AE802" s="31" t="str">
        <f t="array" ref="AE802">IF($X802="","",INDEX(TARIFF_PROFILES!$K:$K,MATCH($X802,TARIFF_PROFILES!$A:$A,0)))</f>
        <v/>
      </c>
      <c r="AG802" s="8"/>
      <c r="AH802" s="8" t="str">
        <f>IF($AG802="","",SUMIFS(OPERATING_COEFFS!$C:$C,OPERATING_COEFFS!$A:$A,"DistanceClass",OPERATING_COEFFS!$B:$B,$AG802))</f>
        <v/>
      </c>
      <c r="AI802" s="8"/>
      <c r="AJ802" s="8" t="str">
        <f>IF($AI802="","",SUMIFS(OPERATING_COEFFS!$C:$C,OPERATING_COEFFS!$A:$A,"SeasonClass",OPERATING_COEFFS!$B:$B,$AI802))</f>
        <v/>
      </c>
      <c r="AK802" s="8"/>
      <c r="AL802" s="8" t="str">
        <f>IF($AK802="","",SUMIFS(OPERATING_COEFFS!$C:$C,OPERATING_COEFFS!$A:$A,"UrgencyClass",OPERATING_COEFFS!$B:$B,$AK802))</f>
        <v/>
      </c>
      <c r="AM802" s="8"/>
      <c r="AN802" s="8" t="str">
        <f t="array" ref="AN802">IF($AM802="","",INDEX(TAX_MODES!$B:$B,MATCH($AM802,TAX_MODES!$A:$A,0)))</f>
        <v/>
      </c>
    </row>
    <row r="803" ht="14.25" customHeight="1">
      <c r="C803" s="8"/>
      <c r="E803" s="8"/>
      <c r="G803" s="8"/>
      <c r="I803" s="8"/>
      <c r="K803" s="8"/>
      <c r="M803" s="8"/>
      <c r="O803" s="8"/>
      <c r="Q803" s="8"/>
      <c r="S803" s="8"/>
      <c r="V803" s="8"/>
      <c r="X803" s="31"/>
      <c r="Y803" s="31" t="str">
        <f>IF($X803="","",SUMIFS(TARIFF_PROFILES!$D:$D,TARIFF_PROFILES!$A:$A,$X803))</f>
        <v/>
      </c>
      <c r="Z803" s="31" t="str">
        <f>IF($X803="","",SUMIFS(TARIFF_PROFILES!$E:$E,TARIFF_PROFILES!$A:$A,$X803))</f>
        <v/>
      </c>
      <c r="AA803" s="31" t="str">
        <f>IF($X803="","",SUMIFS(TARIFF_PROFILES!$F:$F,TARIFF_PROFILES!$A:$A,$X803))</f>
        <v/>
      </c>
      <c r="AB803" s="31" t="str">
        <f>IF($X803="","",SUMIFS(TARIFF_PROFILES!$G:$G,TARIFF_PROFILES!$A:$A,$X803))</f>
        <v/>
      </c>
      <c r="AC803" s="31" t="str">
        <f>IF($X803="","",SUMIFS(TARIFF_PROFILES!$H:$H,TARIFF_PROFILES!$A:$A,$X803))</f>
        <v/>
      </c>
      <c r="AD803" s="31" t="str">
        <f t="array" ref="AD803">IF($X803="","",INDEX(TARIFF_PROFILES!$J:$J,MATCH($X803,TARIFF_PROFILES!$A:$A,0)))</f>
        <v/>
      </c>
      <c r="AE803" s="31" t="str">
        <f t="array" ref="AE803">IF($X803="","",INDEX(TARIFF_PROFILES!$K:$K,MATCH($X803,TARIFF_PROFILES!$A:$A,0)))</f>
        <v/>
      </c>
      <c r="AG803" s="8"/>
      <c r="AH803" s="8" t="str">
        <f>IF($AG803="","",SUMIFS(OPERATING_COEFFS!$C:$C,OPERATING_COEFFS!$A:$A,"DistanceClass",OPERATING_COEFFS!$B:$B,$AG803))</f>
        <v/>
      </c>
      <c r="AI803" s="8"/>
      <c r="AJ803" s="8" t="str">
        <f>IF($AI803="","",SUMIFS(OPERATING_COEFFS!$C:$C,OPERATING_COEFFS!$A:$A,"SeasonClass",OPERATING_COEFFS!$B:$B,$AI803))</f>
        <v/>
      </c>
      <c r="AK803" s="8"/>
      <c r="AL803" s="8" t="str">
        <f>IF($AK803="","",SUMIFS(OPERATING_COEFFS!$C:$C,OPERATING_COEFFS!$A:$A,"UrgencyClass",OPERATING_COEFFS!$B:$B,$AK803))</f>
        <v/>
      </c>
      <c r="AM803" s="8"/>
      <c r="AN803" s="8" t="str">
        <f t="array" ref="AN803">IF($AM803="","",INDEX(TAX_MODES!$B:$B,MATCH($AM803,TAX_MODES!$A:$A,0)))</f>
        <v/>
      </c>
    </row>
    <row r="804" ht="14.25" customHeight="1">
      <c r="C804" s="8"/>
      <c r="E804" s="8"/>
      <c r="G804" s="8"/>
      <c r="I804" s="8"/>
      <c r="K804" s="8"/>
      <c r="M804" s="8"/>
      <c r="O804" s="8"/>
      <c r="Q804" s="8"/>
      <c r="S804" s="8"/>
      <c r="V804" s="8"/>
      <c r="X804" s="31"/>
      <c r="Y804" s="31" t="str">
        <f>IF($X804="","",SUMIFS(TARIFF_PROFILES!$D:$D,TARIFF_PROFILES!$A:$A,$X804))</f>
        <v/>
      </c>
      <c r="Z804" s="31" t="str">
        <f>IF($X804="","",SUMIFS(TARIFF_PROFILES!$E:$E,TARIFF_PROFILES!$A:$A,$X804))</f>
        <v/>
      </c>
      <c r="AA804" s="31" t="str">
        <f>IF($X804="","",SUMIFS(TARIFF_PROFILES!$F:$F,TARIFF_PROFILES!$A:$A,$X804))</f>
        <v/>
      </c>
      <c r="AB804" s="31" t="str">
        <f>IF($X804="","",SUMIFS(TARIFF_PROFILES!$G:$G,TARIFF_PROFILES!$A:$A,$X804))</f>
        <v/>
      </c>
      <c r="AC804" s="31" t="str">
        <f>IF($X804="","",SUMIFS(TARIFF_PROFILES!$H:$H,TARIFF_PROFILES!$A:$A,$X804))</f>
        <v/>
      </c>
      <c r="AD804" s="31" t="str">
        <f t="array" ref="AD804">IF($X804="","",INDEX(TARIFF_PROFILES!$J:$J,MATCH($X804,TARIFF_PROFILES!$A:$A,0)))</f>
        <v/>
      </c>
      <c r="AE804" s="31" t="str">
        <f t="array" ref="AE804">IF($X804="","",INDEX(TARIFF_PROFILES!$K:$K,MATCH($X804,TARIFF_PROFILES!$A:$A,0)))</f>
        <v/>
      </c>
      <c r="AG804" s="8"/>
      <c r="AH804" s="8" t="str">
        <f>IF($AG804="","",SUMIFS(OPERATING_COEFFS!$C:$C,OPERATING_COEFFS!$A:$A,"DistanceClass",OPERATING_COEFFS!$B:$B,$AG804))</f>
        <v/>
      </c>
      <c r="AI804" s="8"/>
      <c r="AJ804" s="8" t="str">
        <f>IF($AI804="","",SUMIFS(OPERATING_COEFFS!$C:$C,OPERATING_COEFFS!$A:$A,"SeasonClass",OPERATING_COEFFS!$B:$B,$AI804))</f>
        <v/>
      </c>
      <c r="AK804" s="8"/>
      <c r="AL804" s="8" t="str">
        <f>IF($AK804="","",SUMIFS(OPERATING_COEFFS!$C:$C,OPERATING_COEFFS!$A:$A,"UrgencyClass",OPERATING_COEFFS!$B:$B,$AK804))</f>
        <v/>
      </c>
      <c r="AM804" s="8"/>
      <c r="AN804" s="8" t="str">
        <f t="array" ref="AN804">IF($AM804="","",INDEX(TAX_MODES!$B:$B,MATCH($AM804,TAX_MODES!$A:$A,0)))</f>
        <v/>
      </c>
    </row>
    <row r="805" ht="14.25" customHeight="1">
      <c r="C805" s="8"/>
      <c r="E805" s="8"/>
      <c r="G805" s="8"/>
      <c r="I805" s="8"/>
      <c r="K805" s="8"/>
      <c r="M805" s="8"/>
      <c r="O805" s="8"/>
      <c r="Q805" s="8"/>
      <c r="S805" s="8"/>
      <c r="V805" s="8"/>
      <c r="X805" s="31"/>
      <c r="Y805" s="31" t="str">
        <f>IF($X805="","",SUMIFS(TARIFF_PROFILES!$D:$D,TARIFF_PROFILES!$A:$A,$X805))</f>
        <v/>
      </c>
      <c r="Z805" s="31" t="str">
        <f>IF($X805="","",SUMIFS(TARIFF_PROFILES!$E:$E,TARIFF_PROFILES!$A:$A,$X805))</f>
        <v/>
      </c>
      <c r="AA805" s="31" t="str">
        <f>IF($X805="","",SUMIFS(TARIFF_PROFILES!$F:$F,TARIFF_PROFILES!$A:$A,$X805))</f>
        <v/>
      </c>
      <c r="AB805" s="31" t="str">
        <f>IF($X805="","",SUMIFS(TARIFF_PROFILES!$G:$G,TARIFF_PROFILES!$A:$A,$X805))</f>
        <v/>
      </c>
      <c r="AC805" s="31" t="str">
        <f>IF($X805="","",SUMIFS(TARIFF_PROFILES!$H:$H,TARIFF_PROFILES!$A:$A,$X805))</f>
        <v/>
      </c>
      <c r="AD805" s="31" t="str">
        <f t="array" ref="AD805">IF($X805="","",INDEX(TARIFF_PROFILES!$J:$J,MATCH($X805,TARIFF_PROFILES!$A:$A,0)))</f>
        <v/>
      </c>
      <c r="AE805" s="31" t="str">
        <f t="array" ref="AE805">IF($X805="","",INDEX(TARIFF_PROFILES!$K:$K,MATCH($X805,TARIFF_PROFILES!$A:$A,0)))</f>
        <v/>
      </c>
      <c r="AG805" s="8"/>
      <c r="AH805" s="8" t="str">
        <f>IF($AG805="","",SUMIFS(OPERATING_COEFFS!$C:$C,OPERATING_COEFFS!$A:$A,"DistanceClass",OPERATING_COEFFS!$B:$B,$AG805))</f>
        <v/>
      </c>
      <c r="AI805" s="8"/>
      <c r="AJ805" s="8" t="str">
        <f>IF($AI805="","",SUMIFS(OPERATING_COEFFS!$C:$C,OPERATING_COEFFS!$A:$A,"SeasonClass",OPERATING_COEFFS!$B:$B,$AI805))</f>
        <v/>
      </c>
      <c r="AK805" s="8"/>
      <c r="AL805" s="8" t="str">
        <f>IF($AK805="","",SUMIFS(OPERATING_COEFFS!$C:$C,OPERATING_COEFFS!$A:$A,"UrgencyClass",OPERATING_COEFFS!$B:$B,$AK805))</f>
        <v/>
      </c>
      <c r="AM805" s="8"/>
      <c r="AN805" s="8" t="str">
        <f t="array" ref="AN805">IF($AM805="","",INDEX(TAX_MODES!$B:$B,MATCH($AM805,TAX_MODES!$A:$A,0)))</f>
        <v/>
      </c>
    </row>
    <row r="806" ht="14.25" customHeight="1">
      <c r="C806" s="8"/>
      <c r="E806" s="8"/>
      <c r="G806" s="8"/>
      <c r="I806" s="8"/>
      <c r="K806" s="8"/>
      <c r="M806" s="8"/>
      <c r="O806" s="8"/>
      <c r="Q806" s="8"/>
      <c r="S806" s="8"/>
      <c r="V806" s="8"/>
      <c r="X806" s="31"/>
      <c r="Y806" s="31" t="str">
        <f>IF($X806="","",SUMIFS(TARIFF_PROFILES!$D:$D,TARIFF_PROFILES!$A:$A,$X806))</f>
        <v/>
      </c>
      <c r="Z806" s="31" t="str">
        <f>IF($X806="","",SUMIFS(TARIFF_PROFILES!$E:$E,TARIFF_PROFILES!$A:$A,$X806))</f>
        <v/>
      </c>
      <c r="AA806" s="31" t="str">
        <f>IF($X806="","",SUMIFS(TARIFF_PROFILES!$F:$F,TARIFF_PROFILES!$A:$A,$X806))</f>
        <v/>
      </c>
      <c r="AB806" s="31" t="str">
        <f>IF($X806="","",SUMIFS(TARIFF_PROFILES!$G:$G,TARIFF_PROFILES!$A:$A,$X806))</f>
        <v/>
      </c>
      <c r="AC806" s="31" t="str">
        <f>IF($X806="","",SUMIFS(TARIFF_PROFILES!$H:$H,TARIFF_PROFILES!$A:$A,$X806))</f>
        <v/>
      </c>
      <c r="AD806" s="31" t="str">
        <f t="array" ref="AD806">IF($X806="","",INDEX(TARIFF_PROFILES!$J:$J,MATCH($X806,TARIFF_PROFILES!$A:$A,0)))</f>
        <v/>
      </c>
      <c r="AE806" s="31" t="str">
        <f t="array" ref="AE806">IF($X806="","",INDEX(TARIFF_PROFILES!$K:$K,MATCH($X806,TARIFF_PROFILES!$A:$A,0)))</f>
        <v/>
      </c>
      <c r="AG806" s="8"/>
      <c r="AH806" s="8" t="str">
        <f>IF($AG806="","",SUMIFS(OPERATING_COEFFS!$C:$C,OPERATING_COEFFS!$A:$A,"DistanceClass",OPERATING_COEFFS!$B:$B,$AG806))</f>
        <v/>
      </c>
      <c r="AI806" s="8"/>
      <c r="AJ806" s="8" t="str">
        <f>IF($AI806="","",SUMIFS(OPERATING_COEFFS!$C:$C,OPERATING_COEFFS!$A:$A,"SeasonClass",OPERATING_COEFFS!$B:$B,$AI806))</f>
        <v/>
      </c>
      <c r="AK806" s="8"/>
      <c r="AL806" s="8" t="str">
        <f>IF($AK806="","",SUMIFS(OPERATING_COEFFS!$C:$C,OPERATING_COEFFS!$A:$A,"UrgencyClass",OPERATING_COEFFS!$B:$B,$AK806))</f>
        <v/>
      </c>
      <c r="AM806" s="8"/>
      <c r="AN806" s="8" t="str">
        <f t="array" ref="AN806">IF($AM806="","",INDEX(TAX_MODES!$B:$B,MATCH($AM806,TAX_MODES!$A:$A,0)))</f>
        <v/>
      </c>
    </row>
    <row r="807" ht="14.25" customHeight="1">
      <c r="C807" s="8"/>
      <c r="E807" s="8"/>
      <c r="G807" s="8"/>
      <c r="I807" s="8"/>
      <c r="K807" s="8"/>
      <c r="M807" s="8"/>
      <c r="O807" s="8"/>
      <c r="Q807" s="8"/>
      <c r="S807" s="8"/>
      <c r="V807" s="8"/>
      <c r="X807" s="31"/>
      <c r="Y807" s="31" t="str">
        <f>IF($X807="","",SUMIFS(TARIFF_PROFILES!$D:$D,TARIFF_PROFILES!$A:$A,$X807))</f>
        <v/>
      </c>
      <c r="Z807" s="31" t="str">
        <f>IF($X807="","",SUMIFS(TARIFF_PROFILES!$E:$E,TARIFF_PROFILES!$A:$A,$X807))</f>
        <v/>
      </c>
      <c r="AA807" s="31" t="str">
        <f>IF($X807="","",SUMIFS(TARIFF_PROFILES!$F:$F,TARIFF_PROFILES!$A:$A,$X807))</f>
        <v/>
      </c>
      <c r="AB807" s="31" t="str">
        <f>IF($X807="","",SUMIFS(TARIFF_PROFILES!$G:$G,TARIFF_PROFILES!$A:$A,$X807))</f>
        <v/>
      </c>
      <c r="AC807" s="31" t="str">
        <f>IF($X807="","",SUMIFS(TARIFF_PROFILES!$H:$H,TARIFF_PROFILES!$A:$A,$X807))</f>
        <v/>
      </c>
      <c r="AD807" s="31" t="str">
        <f t="array" ref="AD807">IF($X807="","",INDEX(TARIFF_PROFILES!$J:$J,MATCH($X807,TARIFF_PROFILES!$A:$A,0)))</f>
        <v/>
      </c>
      <c r="AE807" s="31" t="str">
        <f t="array" ref="AE807">IF($X807="","",INDEX(TARIFF_PROFILES!$K:$K,MATCH($X807,TARIFF_PROFILES!$A:$A,0)))</f>
        <v/>
      </c>
      <c r="AG807" s="8"/>
      <c r="AH807" s="8" t="str">
        <f>IF($AG807="","",SUMIFS(OPERATING_COEFFS!$C:$C,OPERATING_COEFFS!$A:$A,"DistanceClass",OPERATING_COEFFS!$B:$B,$AG807))</f>
        <v/>
      </c>
      <c r="AI807" s="8"/>
      <c r="AJ807" s="8" t="str">
        <f>IF($AI807="","",SUMIFS(OPERATING_COEFFS!$C:$C,OPERATING_COEFFS!$A:$A,"SeasonClass",OPERATING_COEFFS!$B:$B,$AI807))</f>
        <v/>
      </c>
      <c r="AK807" s="8"/>
      <c r="AL807" s="8" t="str">
        <f>IF($AK807="","",SUMIFS(OPERATING_COEFFS!$C:$C,OPERATING_COEFFS!$A:$A,"UrgencyClass",OPERATING_COEFFS!$B:$B,$AK807))</f>
        <v/>
      </c>
      <c r="AM807" s="8"/>
      <c r="AN807" s="8" t="str">
        <f t="array" ref="AN807">IF($AM807="","",INDEX(TAX_MODES!$B:$B,MATCH($AM807,TAX_MODES!$A:$A,0)))</f>
        <v/>
      </c>
    </row>
    <row r="808" ht="14.25" customHeight="1">
      <c r="C808" s="8"/>
      <c r="E808" s="8"/>
      <c r="G808" s="8"/>
      <c r="I808" s="8"/>
      <c r="K808" s="8"/>
      <c r="M808" s="8"/>
      <c r="O808" s="8"/>
      <c r="Q808" s="8"/>
      <c r="S808" s="8"/>
      <c r="V808" s="8"/>
      <c r="X808" s="31"/>
      <c r="Y808" s="31" t="str">
        <f>IF($X808="","",SUMIFS(TARIFF_PROFILES!$D:$D,TARIFF_PROFILES!$A:$A,$X808))</f>
        <v/>
      </c>
      <c r="Z808" s="31" t="str">
        <f>IF($X808="","",SUMIFS(TARIFF_PROFILES!$E:$E,TARIFF_PROFILES!$A:$A,$X808))</f>
        <v/>
      </c>
      <c r="AA808" s="31" t="str">
        <f>IF($X808="","",SUMIFS(TARIFF_PROFILES!$F:$F,TARIFF_PROFILES!$A:$A,$X808))</f>
        <v/>
      </c>
      <c r="AB808" s="31" t="str">
        <f>IF($X808="","",SUMIFS(TARIFF_PROFILES!$G:$G,TARIFF_PROFILES!$A:$A,$X808))</f>
        <v/>
      </c>
      <c r="AC808" s="31" t="str">
        <f>IF($X808="","",SUMIFS(TARIFF_PROFILES!$H:$H,TARIFF_PROFILES!$A:$A,$X808))</f>
        <v/>
      </c>
      <c r="AD808" s="31" t="str">
        <f t="array" ref="AD808">IF($X808="","",INDEX(TARIFF_PROFILES!$J:$J,MATCH($X808,TARIFF_PROFILES!$A:$A,0)))</f>
        <v/>
      </c>
      <c r="AE808" s="31" t="str">
        <f t="array" ref="AE808">IF($X808="","",INDEX(TARIFF_PROFILES!$K:$K,MATCH($X808,TARIFF_PROFILES!$A:$A,0)))</f>
        <v/>
      </c>
      <c r="AG808" s="8"/>
      <c r="AH808" s="8" t="str">
        <f>IF($AG808="","",SUMIFS(OPERATING_COEFFS!$C:$C,OPERATING_COEFFS!$A:$A,"DistanceClass",OPERATING_COEFFS!$B:$B,$AG808))</f>
        <v/>
      </c>
      <c r="AI808" s="8"/>
      <c r="AJ808" s="8" t="str">
        <f>IF($AI808="","",SUMIFS(OPERATING_COEFFS!$C:$C,OPERATING_COEFFS!$A:$A,"SeasonClass",OPERATING_COEFFS!$B:$B,$AI808))</f>
        <v/>
      </c>
      <c r="AK808" s="8"/>
      <c r="AL808" s="8" t="str">
        <f>IF($AK808="","",SUMIFS(OPERATING_COEFFS!$C:$C,OPERATING_COEFFS!$A:$A,"UrgencyClass",OPERATING_COEFFS!$B:$B,$AK808))</f>
        <v/>
      </c>
      <c r="AM808" s="8"/>
      <c r="AN808" s="8" t="str">
        <f t="array" ref="AN808">IF($AM808="","",INDEX(TAX_MODES!$B:$B,MATCH($AM808,TAX_MODES!$A:$A,0)))</f>
        <v/>
      </c>
    </row>
    <row r="809" ht="14.25" customHeight="1">
      <c r="C809" s="8"/>
      <c r="E809" s="8"/>
      <c r="G809" s="8"/>
      <c r="I809" s="8"/>
      <c r="K809" s="8"/>
      <c r="M809" s="8"/>
      <c r="O809" s="8"/>
      <c r="Q809" s="8"/>
      <c r="S809" s="8"/>
      <c r="V809" s="8"/>
      <c r="X809" s="31"/>
      <c r="Y809" s="31" t="str">
        <f>IF($X809="","",SUMIFS(TARIFF_PROFILES!$D:$D,TARIFF_PROFILES!$A:$A,$X809))</f>
        <v/>
      </c>
      <c r="Z809" s="31" t="str">
        <f>IF($X809="","",SUMIFS(TARIFF_PROFILES!$E:$E,TARIFF_PROFILES!$A:$A,$X809))</f>
        <v/>
      </c>
      <c r="AA809" s="31" t="str">
        <f>IF($X809="","",SUMIFS(TARIFF_PROFILES!$F:$F,TARIFF_PROFILES!$A:$A,$X809))</f>
        <v/>
      </c>
      <c r="AB809" s="31" t="str">
        <f>IF($X809="","",SUMIFS(TARIFF_PROFILES!$G:$G,TARIFF_PROFILES!$A:$A,$X809))</f>
        <v/>
      </c>
      <c r="AC809" s="31" t="str">
        <f>IF($X809="","",SUMIFS(TARIFF_PROFILES!$H:$H,TARIFF_PROFILES!$A:$A,$X809))</f>
        <v/>
      </c>
      <c r="AD809" s="31" t="str">
        <f t="array" ref="AD809">IF($X809="","",INDEX(TARIFF_PROFILES!$J:$J,MATCH($X809,TARIFF_PROFILES!$A:$A,0)))</f>
        <v/>
      </c>
      <c r="AE809" s="31" t="str">
        <f t="array" ref="AE809">IF($X809="","",INDEX(TARIFF_PROFILES!$K:$K,MATCH($X809,TARIFF_PROFILES!$A:$A,0)))</f>
        <v/>
      </c>
      <c r="AG809" s="8"/>
      <c r="AH809" s="8" t="str">
        <f>IF($AG809="","",SUMIFS(OPERATING_COEFFS!$C:$C,OPERATING_COEFFS!$A:$A,"DistanceClass",OPERATING_COEFFS!$B:$B,$AG809))</f>
        <v/>
      </c>
      <c r="AI809" s="8"/>
      <c r="AJ809" s="8" t="str">
        <f>IF($AI809="","",SUMIFS(OPERATING_COEFFS!$C:$C,OPERATING_COEFFS!$A:$A,"SeasonClass",OPERATING_COEFFS!$B:$B,$AI809))</f>
        <v/>
      </c>
      <c r="AK809" s="8"/>
      <c r="AL809" s="8" t="str">
        <f>IF($AK809="","",SUMIFS(OPERATING_COEFFS!$C:$C,OPERATING_COEFFS!$A:$A,"UrgencyClass",OPERATING_COEFFS!$B:$B,$AK809))</f>
        <v/>
      </c>
      <c r="AM809" s="8"/>
      <c r="AN809" s="8" t="str">
        <f t="array" ref="AN809">IF($AM809="","",INDEX(TAX_MODES!$B:$B,MATCH($AM809,TAX_MODES!$A:$A,0)))</f>
        <v/>
      </c>
    </row>
    <row r="810" ht="14.25" customHeight="1">
      <c r="C810" s="8"/>
      <c r="E810" s="8"/>
      <c r="G810" s="8"/>
      <c r="I810" s="8"/>
      <c r="K810" s="8"/>
      <c r="M810" s="8"/>
      <c r="O810" s="8"/>
      <c r="Q810" s="8"/>
      <c r="S810" s="8"/>
      <c r="V810" s="8"/>
      <c r="X810" s="31"/>
      <c r="Y810" s="31" t="str">
        <f>IF($X810="","",SUMIFS(TARIFF_PROFILES!$D:$D,TARIFF_PROFILES!$A:$A,$X810))</f>
        <v/>
      </c>
      <c r="Z810" s="31" t="str">
        <f>IF($X810="","",SUMIFS(TARIFF_PROFILES!$E:$E,TARIFF_PROFILES!$A:$A,$X810))</f>
        <v/>
      </c>
      <c r="AA810" s="31" t="str">
        <f>IF($X810="","",SUMIFS(TARIFF_PROFILES!$F:$F,TARIFF_PROFILES!$A:$A,$X810))</f>
        <v/>
      </c>
      <c r="AB810" s="31" t="str">
        <f>IF($X810="","",SUMIFS(TARIFF_PROFILES!$G:$G,TARIFF_PROFILES!$A:$A,$X810))</f>
        <v/>
      </c>
      <c r="AC810" s="31" t="str">
        <f>IF($X810="","",SUMIFS(TARIFF_PROFILES!$H:$H,TARIFF_PROFILES!$A:$A,$X810))</f>
        <v/>
      </c>
      <c r="AD810" s="31" t="str">
        <f t="array" ref="AD810">IF($X810="","",INDEX(TARIFF_PROFILES!$J:$J,MATCH($X810,TARIFF_PROFILES!$A:$A,0)))</f>
        <v/>
      </c>
      <c r="AE810" s="31" t="str">
        <f t="array" ref="AE810">IF($X810="","",INDEX(TARIFF_PROFILES!$K:$K,MATCH($X810,TARIFF_PROFILES!$A:$A,0)))</f>
        <v/>
      </c>
      <c r="AG810" s="8"/>
      <c r="AH810" s="8" t="str">
        <f>IF($AG810="","",SUMIFS(OPERATING_COEFFS!$C:$C,OPERATING_COEFFS!$A:$A,"DistanceClass",OPERATING_COEFFS!$B:$B,$AG810))</f>
        <v/>
      </c>
      <c r="AI810" s="8"/>
      <c r="AJ810" s="8" t="str">
        <f>IF($AI810="","",SUMIFS(OPERATING_COEFFS!$C:$C,OPERATING_COEFFS!$A:$A,"SeasonClass",OPERATING_COEFFS!$B:$B,$AI810))</f>
        <v/>
      </c>
      <c r="AK810" s="8"/>
      <c r="AL810" s="8" t="str">
        <f>IF($AK810="","",SUMIFS(OPERATING_COEFFS!$C:$C,OPERATING_COEFFS!$A:$A,"UrgencyClass",OPERATING_COEFFS!$B:$B,$AK810))</f>
        <v/>
      </c>
      <c r="AM810" s="8"/>
      <c r="AN810" s="8" t="str">
        <f t="array" ref="AN810">IF($AM810="","",INDEX(TAX_MODES!$B:$B,MATCH($AM810,TAX_MODES!$A:$A,0)))</f>
        <v/>
      </c>
    </row>
    <row r="811" ht="14.25" customHeight="1">
      <c r="C811" s="8"/>
      <c r="E811" s="8"/>
      <c r="G811" s="8"/>
      <c r="I811" s="8"/>
      <c r="K811" s="8"/>
      <c r="M811" s="8"/>
      <c r="O811" s="8"/>
      <c r="Q811" s="8"/>
      <c r="S811" s="8"/>
      <c r="V811" s="8"/>
      <c r="X811" s="31"/>
      <c r="Y811" s="31" t="str">
        <f>IF($X811="","",SUMIFS(TARIFF_PROFILES!$D:$D,TARIFF_PROFILES!$A:$A,$X811))</f>
        <v/>
      </c>
      <c r="Z811" s="31" t="str">
        <f>IF($X811="","",SUMIFS(TARIFF_PROFILES!$E:$E,TARIFF_PROFILES!$A:$A,$X811))</f>
        <v/>
      </c>
      <c r="AA811" s="31" t="str">
        <f>IF($X811="","",SUMIFS(TARIFF_PROFILES!$F:$F,TARIFF_PROFILES!$A:$A,$X811))</f>
        <v/>
      </c>
      <c r="AB811" s="31" t="str">
        <f>IF($X811="","",SUMIFS(TARIFF_PROFILES!$G:$G,TARIFF_PROFILES!$A:$A,$X811))</f>
        <v/>
      </c>
      <c r="AC811" s="31" t="str">
        <f>IF($X811="","",SUMIFS(TARIFF_PROFILES!$H:$H,TARIFF_PROFILES!$A:$A,$X811))</f>
        <v/>
      </c>
      <c r="AD811" s="31" t="str">
        <f t="array" ref="AD811">IF($X811="","",INDEX(TARIFF_PROFILES!$J:$J,MATCH($X811,TARIFF_PROFILES!$A:$A,0)))</f>
        <v/>
      </c>
      <c r="AE811" s="31" t="str">
        <f t="array" ref="AE811">IF($X811="","",INDEX(TARIFF_PROFILES!$K:$K,MATCH($X811,TARIFF_PROFILES!$A:$A,0)))</f>
        <v/>
      </c>
      <c r="AG811" s="8"/>
      <c r="AH811" s="8" t="str">
        <f>IF($AG811="","",SUMIFS(OPERATING_COEFFS!$C:$C,OPERATING_COEFFS!$A:$A,"DistanceClass",OPERATING_COEFFS!$B:$B,$AG811))</f>
        <v/>
      </c>
      <c r="AI811" s="8"/>
      <c r="AJ811" s="8" t="str">
        <f>IF($AI811="","",SUMIFS(OPERATING_COEFFS!$C:$C,OPERATING_COEFFS!$A:$A,"SeasonClass",OPERATING_COEFFS!$B:$B,$AI811))</f>
        <v/>
      </c>
      <c r="AK811" s="8"/>
      <c r="AL811" s="8" t="str">
        <f>IF($AK811="","",SUMIFS(OPERATING_COEFFS!$C:$C,OPERATING_COEFFS!$A:$A,"UrgencyClass",OPERATING_COEFFS!$B:$B,$AK811))</f>
        <v/>
      </c>
      <c r="AM811" s="8"/>
      <c r="AN811" s="8" t="str">
        <f t="array" ref="AN811">IF($AM811="","",INDEX(TAX_MODES!$B:$B,MATCH($AM811,TAX_MODES!$A:$A,0)))</f>
        <v/>
      </c>
    </row>
    <row r="812" ht="14.25" customHeight="1">
      <c r="C812" s="8"/>
      <c r="E812" s="8"/>
      <c r="G812" s="8"/>
      <c r="I812" s="8"/>
      <c r="K812" s="8"/>
      <c r="M812" s="8"/>
      <c r="O812" s="8"/>
      <c r="Q812" s="8"/>
      <c r="S812" s="8"/>
      <c r="V812" s="8"/>
      <c r="X812" s="31"/>
      <c r="Y812" s="31" t="str">
        <f>IF($X812="","",SUMIFS(TARIFF_PROFILES!$D:$D,TARIFF_PROFILES!$A:$A,$X812))</f>
        <v/>
      </c>
      <c r="Z812" s="31" t="str">
        <f>IF($X812="","",SUMIFS(TARIFF_PROFILES!$E:$E,TARIFF_PROFILES!$A:$A,$X812))</f>
        <v/>
      </c>
      <c r="AA812" s="31" t="str">
        <f>IF($X812="","",SUMIFS(TARIFF_PROFILES!$F:$F,TARIFF_PROFILES!$A:$A,$X812))</f>
        <v/>
      </c>
      <c r="AB812" s="31" t="str">
        <f>IF($X812="","",SUMIFS(TARIFF_PROFILES!$G:$G,TARIFF_PROFILES!$A:$A,$X812))</f>
        <v/>
      </c>
      <c r="AC812" s="31" t="str">
        <f>IF($X812="","",SUMIFS(TARIFF_PROFILES!$H:$H,TARIFF_PROFILES!$A:$A,$X812))</f>
        <v/>
      </c>
      <c r="AD812" s="31" t="str">
        <f t="array" ref="AD812">IF($X812="","",INDEX(TARIFF_PROFILES!$J:$J,MATCH($X812,TARIFF_PROFILES!$A:$A,0)))</f>
        <v/>
      </c>
      <c r="AE812" s="31" t="str">
        <f t="array" ref="AE812">IF($X812="","",INDEX(TARIFF_PROFILES!$K:$K,MATCH($X812,TARIFF_PROFILES!$A:$A,0)))</f>
        <v/>
      </c>
      <c r="AG812" s="8"/>
      <c r="AH812" s="8" t="str">
        <f>IF($AG812="","",SUMIFS(OPERATING_COEFFS!$C:$C,OPERATING_COEFFS!$A:$A,"DistanceClass",OPERATING_COEFFS!$B:$B,$AG812))</f>
        <v/>
      </c>
      <c r="AI812" s="8"/>
      <c r="AJ812" s="8" t="str">
        <f>IF($AI812="","",SUMIFS(OPERATING_COEFFS!$C:$C,OPERATING_COEFFS!$A:$A,"SeasonClass",OPERATING_COEFFS!$B:$B,$AI812))</f>
        <v/>
      </c>
      <c r="AK812" s="8"/>
      <c r="AL812" s="8" t="str">
        <f>IF($AK812="","",SUMIFS(OPERATING_COEFFS!$C:$C,OPERATING_COEFFS!$A:$A,"UrgencyClass",OPERATING_COEFFS!$B:$B,$AK812))</f>
        <v/>
      </c>
      <c r="AM812" s="8"/>
      <c r="AN812" s="8" t="str">
        <f t="array" ref="AN812">IF($AM812="","",INDEX(TAX_MODES!$B:$B,MATCH($AM812,TAX_MODES!$A:$A,0)))</f>
        <v/>
      </c>
    </row>
    <row r="813" ht="14.25" customHeight="1">
      <c r="C813" s="8"/>
      <c r="E813" s="8"/>
      <c r="G813" s="8"/>
      <c r="I813" s="8"/>
      <c r="K813" s="8"/>
      <c r="M813" s="8"/>
      <c r="O813" s="8"/>
      <c r="Q813" s="8"/>
      <c r="S813" s="8"/>
      <c r="V813" s="8"/>
      <c r="X813" s="31"/>
      <c r="Y813" s="31" t="str">
        <f>IF($X813="","",SUMIFS(TARIFF_PROFILES!$D:$D,TARIFF_PROFILES!$A:$A,$X813))</f>
        <v/>
      </c>
      <c r="Z813" s="31" t="str">
        <f>IF($X813="","",SUMIFS(TARIFF_PROFILES!$E:$E,TARIFF_PROFILES!$A:$A,$X813))</f>
        <v/>
      </c>
      <c r="AA813" s="31" t="str">
        <f>IF($X813="","",SUMIFS(TARIFF_PROFILES!$F:$F,TARIFF_PROFILES!$A:$A,$X813))</f>
        <v/>
      </c>
      <c r="AB813" s="31" t="str">
        <f>IF($X813="","",SUMIFS(TARIFF_PROFILES!$G:$G,TARIFF_PROFILES!$A:$A,$X813))</f>
        <v/>
      </c>
      <c r="AC813" s="31" t="str">
        <f>IF($X813="","",SUMIFS(TARIFF_PROFILES!$H:$H,TARIFF_PROFILES!$A:$A,$X813))</f>
        <v/>
      </c>
      <c r="AD813" s="31" t="str">
        <f t="array" ref="AD813">IF($X813="","",INDEX(TARIFF_PROFILES!$J:$J,MATCH($X813,TARIFF_PROFILES!$A:$A,0)))</f>
        <v/>
      </c>
      <c r="AE813" s="31" t="str">
        <f t="array" ref="AE813">IF($X813="","",INDEX(TARIFF_PROFILES!$K:$K,MATCH($X813,TARIFF_PROFILES!$A:$A,0)))</f>
        <v/>
      </c>
      <c r="AG813" s="8"/>
      <c r="AH813" s="8" t="str">
        <f>IF($AG813="","",SUMIFS(OPERATING_COEFFS!$C:$C,OPERATING_COEFFS!$A:$A,"DistanceClass",OPERATING_COEFFS!$B:$B,$AG813))</f>
        <v/>
      </c>
      <c r="AI813" s="8"/>
      <c r="AJ813" s="8" t="str">
        <f>IF($AI813="","",SUMIFS(OPERATING_COEFFS!$C:$C,OPERATING_COEFFS!$A:$A,"SeasonClass",OPERATING_COEFFS!$B:$B,$AI813))</f>
        <v/>
      </c>
      <c r="AK813" s="8"/>
      <c r="AL813" s="8" t="str">
        <f>IF($AK813="","",SUMIFS(OPERATING_COEFFS!$C:$C,OPERATING_COEFFS!$A:$A,"UrgencyClass",OPERATING_COEFFS!$B:$B,$AK813))</f>
        <v/>
      </c>
      <c r="AM813" s="8"/>
      <c r="AN813" s="8" t="str">
        <f t="array" ref="AN813">IF($AM813="","",INDEX(TAX_MODES!$B:$B,MATCH($AM813,TAX_MODES!$A:$A,0)))</f>
        <v/>
      </c>
    </row>
    <row r="814" ht="14.25" customHeight="1">
      <c r="C814" s="8"/>
      <c r="E814" s="8"/>
      <c r="G814" s="8"/>
      <c r="I814" s="8"/>
      <c r="K814" s="8"/>
      <c r="M814" s="8"/>
      <c r="O814" s="8"/>
      <c r="Q814" s="8"/>
      <c r="S814" s="8"/>
      <c r="V814" s="8"/>
      <c r="X814" s="31"/>
      <c r="Y814" s="31" t="str">
        <f>IF($X814="","",SUMIFS(TARIFF_PROFILES!$D:$D,TARIFF_PROFILES!$A:$A,$X814))</f>
        <v/>
      </c>
      <c r="Z814" s="31" t="str">
        <f>IF($X814="","",SUMIFS(TARIFF_PROFILES!$E:$E,TARIFF_PROFILES!$A:$A,$X814))</f>
        <v/>
      </c>
      <c r="AA814" s="31" t="str">
        <f>IF($X814="","",SUMIFS(TARIFF_PROFILES!$F:$F,TARIFF_PROFILES!$A:$A,$X814))</f>
        <v/>
      </c>
      <c r="AB814" s="31" t="str">
        <f>IF($X814="","",SUMIFS(TARIFF_PROFILES!$G:$G,TARIFF_PROFILES!$A:$A,$X814))</f>
        <v/>
      </c>
      <c r="AC814" s="31" t="str">
        <f>IF($X814="","",SUMIFS(TARIFF_PROFILES!$H:$H,TARIFF_PROFILES!$A:$A,$X814))</f>
        <v/>
      </c>
      <c r="AD814" s="31" t="str">
        <f t="array" ref="AD814">IF($X814="","",INDEX(TARIFF_PROFILES!$J:$J,MATCH($X814,TARIFF_PROFILES!$A:$A,0)))</f>
        <v/>
      </c>
      <c r="AE814" s="31" t="str">
        <f t="array" ref="AE814">IF($X814="","",INDEX(TARIFF_PROFILES!$K:$K,MATCH($X814,TARIFF_PROFILES!$A:$A,0)))</f>
        <v/>
      </c>
      <c r="AG814" s="8"/>
      <c r="AH814" s="8" t="str">
        <f>IF($AG814="","",SUMIFS(OPERATING_COEFFS!$C:$C,OPERATING_COEFFS!$A:$A,"DistanceClass",OPERATING_COEFFS!$B:$B,$AG814))</f>
        <v/>
      </c>
      <c r="AI814" s="8"/>
      <c r="AJ814" s="8" t="str">
        <f>IF($AI814="","",SUMIFS(OPERATING_COEFFS!$C:$C,OPERATING_COEFFS!$A:$A,"SeasonClass",OPERATING_COEFFS!$B:$B,$AI814))</f>
        <v/>
      </c>
      <c r="AK814" s="8"/>
      <c r="AL814" s="8" t="str">
        <f>IF($AK814="","",SUMIFS(OPERATING_COEFFS!$C:$C,OPERATING_COEFFS!$A:$A,"UrgencyClass",OPERATING_COEFFS!$B:$B,$AK814))</f>
        <v/>
      </c>
      <c r="AM814" s="8"/>
      <c r="AN814" s="8" t="str">
        <f t="array" ref="AN814">IF($AM814="","",INDEX(TAX_MODES!$B:$B,MATCH($AM814,TAX_MODES!$A:$A,0)))</f>
        <v/>
      </c>
    </row>
    <row r="815" ht="14.25" customHeight="1">
      <c r="C815" s="8"/>
      <c r="E815" s="8"/>
      <c r="G815" s="8"/>
      <c r="I815" s="8"/>
      <c r="K815" s="8"/>
      <c r="M815" s="8"/>
      <c r="O815" s="8"/>
      <c r="Q815" s="8"/>
      <c r="S815" s="8"/>
      <c r="V815" s="8"/>
      <c r="X815" s="31"/>
      <c r="Y815" s="31" t="str">
        <f>IF($X815="","",SUMIFS(TARIFF_PROFILES!$D:$D,TARIFF_PROFILES!$A:$A,$X815))</f>
        <v/>
      </c>
      <c r="Z815" s="31" t="str">
        <f>IF($X815="","",SUMIFS(TARIFF_PROFILES!$E:$E,TARIFF_PROFILES!$A:$A,$X815))</f>
        <v/>
      </c>
      <c r="AA815" s="31" t="str">
        <f>IF($X815="","",SUMIFS(TARIFF_PROFILES!$F:$F,TARIFF_PROFILES!$A:$A,$X815))</f>
        <v/>
      </c>
      <c r="AB815" s="31" t="str">
        <f>IF($X815="","",SUMIFS(TARIFF_PROFILES!$G:$G,TARIFF_PROFILES!$A:$A,$X815))</f>
        <v/>
      </c>
      <c r="AC815" s="31" t="str">
        <f>IF($X815="","",SUMIFS(TARIFF_PROFILES!$H:$H,TARIFF_PROFILES!$A:$A,$X815))</f>
        <v/>
      </c>
      <c r="AD815" s="31" t="str">
        <f t="array" ref="AD815">IF($X815="","",INDEX(TARIFF_PROFILES!$J:$J,MATCH($X815,TARIFF_PROFILES!$A:$A,0)))</f>
        <v/>
      </c>
      <c r="AE815" s="31" t="str">
        <f t="array" ref="AE815">IF($X815="","",INDEX(TARIFF_PROFILES!$K:$K,MATCH($X815,TARIFF_PROFILES!$A:$A,0)))</f>
        <v/>
      </c>
      <c r="AG815" s="8"/>
      <c r="AH815" s="8" t="str">
        <f>IF($AG815="","",SUMIFS(OPERATING_COEFFS!$C:$C,OPERATING_COEFFS!$A:$A,"DistanceClass",OPERATING_COEFFS!$B:$B,$AG815))</f>
        <v/>
      </c>
      <c r="AI815" s="8"/>
      <c r="AJ815" s="8" t="str">
        <f>IF($AI815="","",SUMIFS(OPERATING_COEFFS!$C:$C,OPERATING_COEFFS!$A:$A,"SeasonClass",OPERATING_COEFFS!$B:$B,$AI815))</f>
        <v/>
      </c>
      <c r="AK815" s="8"/>
      <c r="AL815" s="8" t="str">
        <f>IF($AK815="","",SUMIFS(OPERATING_COEFFS!$C:$C,OPERATING_COEFFS!$A:$A,"UrgencyClass",OPERATING_COEFFS!$B:$B,$AK815))</f>
        <v/>
      </c>
      <c r="AM815" s="8"/>
      <c r="AN815" s="8" t="str">
        <f t="array" ref="AN815">IF($AM815="","",INDEX(TAX_MODES!$B:$B,MATCH($AM815,TAX_MODES!$A:$A,0)))</f>
        <v/>
      </c>
    </row>
    <row r="816" ht="14.25" customHeight="1">
      <c r="C816" s="8"/>
      <c r="E816" s="8"/>
      <c r="G816" s="8"/>
      <c r="I816" s="8"/>
      <c r="K816" s="8"/>
      <c r="M816" s="8"/>
      <c r="O816" s="8"/>
      <c r="Q816" s="8"/>
      <c r="S816" s="8"/>
      <c r="V816" s="8"/>
      <c r="X816" s="31"/>
      <c r="Y816" s="31" t="str">
        <f>IF($X816="","",SUMIFS(TARIFF_PROFILES!$D:$D,TARIFF_PROFILES!$A:$A,$X816))</f>
        <v/>
      </c>
      <c r="Z816" s="31" t="str">
        <f>IF($X816="","",SUMIFS(TARIFF_PROFILES!$E:$E,TARIFF_PROFILES!$A:$A,$X816))</f>
        <v/>
      </c>
      <c r="AA816" s="31" t="str">
        <f>IF($X816="","",SUMIFS(TARIFF_PROFILES!$F:$F,TARIFF_PROFILES!$A:$A,$X816))</f>
        <v/>
      </c>
      <c r="AB816" s="31" t="str">
        <f>IF($X816="","",SUMIFS(TARIFF_PROFILES!$G:$G,TARIFF_PROFILES!$A:$A,$X816))</f>
        <v/>
      </c>
      <c r="AC816" s="31" t="str">
        <f>IF($X816="","",SUMIFS(TARIFF_PROFILES!$H:$H,TARIFF_PROFILES!$A:$A,$X816))</f>
        <v/>
      </c>
      <c r="AD816" s="31" t="str">
        <f t="array" ref="AD816">IF($X816="","",INDEX(TARIFF_PROFILES!$J:$J,MATCH($X816,TARIFF_PROFILES!$A:$A,0)))</f>
        <v/>
      </c>
      <c r="AE816" s="31" t="str">
        <f t="array" ref="AE816">IF($X816="","",INDEX(TARIFF_PROFILES!$K:$K,MATCH($X816,TARIFF_PROFILES!$A:$A,0)))</f>
        <v/>
      </c>
      <c r="AG816" s="8"/>
      <c r="AH816" s="8" t="str">
        <f>IF($AG816="","",SUMIFS(OPERATING_COEFFS!$C:$C,OPERATING_COEFFS!$A:$A,"DistanceClass",OPERATING_COEFFS!$B:$B,$AG816))</f>
        <v/>
      </c>
      <c r="AI816" s="8"/>
      <c r="AJ816" s="8" t="str">
        <f>IF($AI816="","",SUMIFS(OPERATING_COEFFS!$C:$C,OPERATING_COEFFS!$A:$A,"SeasonClass",OPERATING_COEFFS!$B:$B,$AI816))</f>
        <v/>
      </c>
      <c r="AK816" s="8"/>
      <c r="AL816" s="8" t="str">
        <f>IF($AK816="","",SUMIFS(OPERATING_COEFFS!$C:$C,OPERATING_COEFFS!$A:$A,"UrgencyClass",OPERATING_COEFFS!$B:$B,$AK816))</f>
        <v/>
      </c>
      <c r="AM816" s="8"/>
      <c r="AN816" s="8" t="str">
        <f t="array" ref="AN816">IF($AM816="","",INDEX(TAX_MODES!$B:$B,MATCH($AM816,TAX_MODES!$A:$A,0)))</f>
        <v/>
      </c>
    </row>
    <row r="817" ht="14.25" customHeight="1">
      <c r="C817" s="8"/>
      <c r="E817" s="8"/>
      <c r="G817" s="8"/>
      <c r="I817" s="8"/>
      <c r="K817" s="8"/>
      <c r="M817" s="8"/>
      <c r="O817" s="8"/>
      <c r="Q817" s="8"/>
      <c r="S817" s="8"/>
      <c r="V817" s="8"/>
      <c r="X817" s="31"/>
      <c r="Y817" s="31" t="str">
        <f>IF($X817="","",SUMIFS(TARIFF_PROFILES!$D:$D,TARIFF_PROFILES!$A:$A,$X817))</f>
        <v/>
      </c>
      <c r="Z817" s="31" t="str">
        <f>IF($X817="","",SUMIFS(TARIFF_PROFILES!$E:$E,TARIFF_PROFILES!$A:$A,$X817))</f>
        <v/>
      </c>
      <c r="AA817" s="31" t="str">
        <f>IF($X817="","",SUMIFS(TARIFF_PROFILES!$F:$F,TARIFF_PROFILES!$A:$A,$X817))</f>
        <v/>
      </c>
      <c r="AB817" s="31" t="str">
        <f>IF($X817="","",SUMIFS(TARIFF_PROFILES!$G:$G,TARIFF_PROFILES!$A:$A,$X817))</f>
        <v/>
      </c>
      <c r="AC817" s="31" t="str">
        <f>IF($X817="","",SUMIFS(TARIFF_PROFILES!$H:$H,TARIFF_PROFILES!$A:$A,$X817))</f>
        <v/>
      </c>
      <c r="AD817" s="31" t="str">
        <f t="array" ref="AD817">IF($X817="","",INDEX(TARIFF_PROFILES!$J:$J,MATCH($X817,TARIFF_PROFILES!$A:$A,0)))</f>
        <v/>
      </c>
      <c r="AE817" s="31" t="str">
        <f t="array" ref="AE817">IF($X817="","",INDEX(TARIFF_PROFILES!$K:$K,MATCH($X817,TARIFF_PROFILES!$A:$A,0)))</f>
        <v/>
      </c>
      <c r="AG817" s="8"/>
      <c r="AH817" s="8" t="str">
        <f>IF($AG817="","",SUMIFS(OPERATING_COEFFS!$C:$C,OPERATING_COEFFS!$A:$A,"DistanceClass",OPERATING_COEFFS!$B:$B,$AG817))</f>
        <v/>
      </c>
      <c r="AI817" s="8"/>
      <c r="AJ817" s="8" t="str">
        <f>IF($AI817="","",SUMIFS(OPERATING_COEFFS!$C:$C,OPERATING_COEFFS!$A:$A,"SeasonClass",OPERATING_COEFFS!$B:$B,$AI817))</f>
        <v/>
      </c>
      <c r="AK817" s="8"/>
      <c r="AL817" s="8" t="str">
        <f>IF($AK817="","",SUMIFS(OPERATING_COEFFS!$C:$C,OPERATING_COEFFS!$A:$A,"UrgencyClass",OPERATING_COEFFS!$B:$B,$AK817))</f>
        <v/>
      </c>
      <c r="AM817" s="8"/>
      <c r="AN817" s="8" t="str">
        <f t="array" ref="AN817">IF($AM817="","",INDEX(TAX_MODES!$B:$B,MATCH($AM817,TAX_MODES!$A:$A,0)))</f>
        <v/>
      </c>
    </row>
    <row r="818" ht="14.25" customHeight="1">
      <c r="C818" s="8"/>
      <c r="E818" s="8"/>
      <c r="G818" s="8"/>
      <c r="I818" s="8"/>
      <c r="K818" s="8"/>
      <c r="M818" s="8"/>
      <c r="O818" s="8"/>
      <c r="Q818" s="8"/>
      <c r="S818" s="8"/>
      <c r="V818" s="8"/>
      <c r="X818" s="31"/>
      <c r="Y818" s="31" t="str">
        <f>IF($X818="","",SUMIFS(TARIFF_PROFILES!$D:$D,TARIFF_PROFILES!$A:$A,$X818))</f>
        <v/>
      </c>
      <c r="Z818" s="31" t="str">
        <f>IF($X818="","",SUMIFS(TARIFF_PROFILES!$E:$E,TARIFF_PROFILES!$A:$A,$X818))</f>
        <v/>
      </c>
      <c r="AA818" s="31" t="str">
        <f>IF($X818="","",SUMIFS(TARIFF_PROFILES!$F:$F,TARIFF_PROFILES!$A:$A,$X818))</f>
        <v/>
      </c>
      <c r="AB818" s="31" t="str">
        <f>IF($X818="","",SUMIFS(TARIFF_PROFILES!$G:$G,TARIFF_PROFILES!$A:$A,$X818))</f>
        <v/>
      </c>
      <c r="AC818" s="31" t="str">
        <f>IF($X818="","",SUMIFS(TARIFF_PROFILES!$H:$H,TARIFF_PROFILES!$A:$A,$X818))</f>
        <v/>
      </c>
      <c r="AD818" s="31" t="str">
        <f t="array" ref="AD818">IF($X818="","",INDEX(TARIFF_PROFILES!$J:$J,MATCH($X818,TARIFF_PROFILES!$A:$A,0)))</f>
        <v/>
      </c>
      <c r="AE818" s="31" t="str">
        <f t="array" ref="AE818">IF($X818="","",INDEX(TARIFF_PROFILES!$K:$K,MATCH($X818,TARIFF_PROFILES!$A:$A,0)))</f>
        <v/>
      </c>
      <c r="AG818" s="8"/>
      <c r="AH818" s="8" t="str">
        <f>IF($AG818="","",SUMIFS(OPERATING_COEFFS!$C:$C,OPERATING_COEFFS!$A:$A,"DistanceClass",OPERATING_COEFFS!$B:$B,$AG818))</f>
        <v/>
      </c>
      <c r="AI818" s="8"/>
      <c r="AJ818" s="8" t="str">
        <f>IF($AI818="","",SUMIFS(OPERATING_COEFFS!$C:$C,OPERATING_COEFFS!$A:$A,"SeasonClass",OPERATING_COEFFS!$B:$B,$AI818))</f>
        <v/>
      </c>
      <c r="AK818" s="8"/>
      <c r="AL818" s="8" t="str">
        <f>IF($AK818="","",SUMIFS(OPERATING_COEFFS!$C:$C,OPERATING_COEFFS!$A:$A,"UrgencyClass",OPERATING_COEFFS!$B:$B,$AK818))</f>
        <v/>
      </c>
      <c r="AM818" s="8"/>
      <c r="AN818" s="8" t="str">
        <f t="array" ref="AN818">IF($AM818="","",INDEX(TAX_MODES!$B:$B,MATCH($AM818,TAX_MODES!$A:$A,0)))</f>
        <v/>
      </c>
    </row>
    <row r="819" ht="14.25" customHeight="1">
      <c r="C819" s="8"/>
      <c r="E819" s="8"/>
      <c r="G819" s="8"/>
      <c r="I819" s="8"/>
      <c r="K819" s="8"/>
      <c r="M819" s="8"/>
      <c r="O819" s="8"/>
      <c r="Q819" s="8"/>
      <c r="S819" s="8"/>
      <c r="V819" s="8"/>
      <c r="X819" s="31"/>
      <c r="Y819" s="31" t="str">
        <f>IF($X819="","",SUMIFS(TARIFF_PROFILES!$D:$D,TARIFF_PROFILES!$A:$A,$X819))</f>
        <v/>
      </c>
      <c r="Z819" s="31" t="str">
        <f>IF($X819="","",SUMIFS(TARIFF_PROFILES!$E:$E,TARIFF_PROFILES!$A:$A,$X819))</f>
        <v/>
      </c>
      <c r="AA819" s="31" t="str">
        <f>IF($X819="","",SUMIFS(TARIFF_PROFILES!$F:$F,TARIFF_PROFILES!$A:$A,$X819))</f>
        <v/>
      </c>
      <c r="AB819" s="31" t="str">
        <f>IF($X819="","",SUMIFS(TARIFF_PROFILES!$G:$G,TARIFF_PROFILES!$A:$A,$X819))</f>
        <v/>
      </c>
      <c r="AC819" s="31" t="str">
        <f>IF($X819="","",SUMIFS(TARIFF_PROFILES!$H:$H,TARIFF_PROFILES!$A:$A,$X819))</f>
        <v/>
      </c>
      <c r="AD819" s="31" t="str">
        <f t="array" ref="AD819">IF($X819="","",INDEX(TARIFF_PROFILES!$J:$J,MATCH($X819,TARIFF_PROFILES!$A:$A,0)))</f>
        <v/>
      </c>
      <c r="AE819" s="31" t="str">
        <f t="array" ref="AE819">IF($X819="","",INDEX(TARIFF_PROFILES!$K:$K,MATCH($X819,TARIFF_PROFILES!$A:$A,0)))</f>
        <v/>
      </c>
      <c r="AG819" s="8"/>
      <c r="AH819" s="8" t="str">
        <f>IF($AG819="","",SUMIFS(OPERATING_COEFFS!$C:$C,OPERATING_COEFFS!$A:$A,"DistanceClass",OPERATING_COEFFS!$B:$B,$AG819))</f>
        <v/>
      </c>
      <c r="AI819" s="8"/>
      <c r="AJ819" s="8" t="str">
        <f>IF($AI819="","",SUMIFS(OPERATING_COEFFS!$C:$C,OPERATING_COEFFS!$A:$A,"SeasonClass",OPERATING_COEFFS!$B:$B,$AI819))</f>
        <v/>
      </c>
      <c r="AK819" s="8"/>
      <c r="AL819" s="8" t="str">
        <f>IF($AK819="","",SUMIFS(OPERATING_COEFFS!$C:$C,OPERATING_COEFFS!$A:$A,"UrgencyClass",OPERATING_COEFFS!$B:$B,$AK819))</f>
        <v/>
      </c>
      <c r="AM819" s="8"/>
      <c r="AN819" s="8" t="str">
        <f t="array" ref="AN819">IF($AM819="","",INDEX(TAX_MODES!$B:$B,MATCH($AM819,TAX_MODES!$A:$A,0)))</f>
        <v/>
      </c>
    </row>
    <row r="820" ht="14.25" customHeight="1">
      <c r="C820" s="8"/>
      <c r="E820" s="8"/>
      <c r="G820" s="8"/>
      <c r="I820" s="8"/>
      <c r="K820" s="8"/>
      <c r="M820" s="8"/>
      <c r="O820" s="8"/>
      <c r="Q820" s="8"/>
      <c r="S820" s="8"/>
      <c r="V820" s="8"/>
      <c r="X820" s="31"/>
      <c r="Y820" s="31" t="str">
        <f>IF($X820="","",SUMIFS(TARIFF_PROFILES!$D:$D,TARIFF_PROFILES!$A:$A,$X820))</f>
        <v/>
      </c>
      <c r="Z820" s="31" t="str">
        <f>IF($X820="","",SUMIFS(TARIFF_PROFILES!$E:$E,TARIFF_PROFILES!$A:$A,$X820))</f>
        <v/>
      </c>
      <c r="AA820" s="31" t="str">
        <f>IF($X820="","",SUMIFS(TARIFF_PROFILES!$F:$F,TARIFF_PROFILES!$A:$A,$X820))</f>
        <v/>
      </c>
      <c r="AB820" s="31" t="str">
        <f>IF($X820="","",SUMIFS(TARIFF_PROFILES!$G:$G,TARIFF_PROFILES!$A:$A,$X820))</f>
        <v/>
      </c>
      <c r="AC820" s="31" t="str">
        <f>IF($X820="","",SUMIFS(TARIFF_PROFILES!$H:$H,TARIFF_PROFILES!$A:$A,$X820))</f>
        <v/>
      </c>
      <c r="AD820" s="31" t="str">
        <f t="array" ref="AD820">IF($X820="","",INDEX(TARIFF_PROFILES!$J:$J,MATCH($X820,TARIFF_PROFILES!$A:$A,0)))</f>
        <v/>
      </c>
      <c r="AE820" s="31" t="str">
        <f t="array" ref="AE820">IF($X820="","",INDEX(TARIFF_PROFILES!$K:$K,MATCH($X820,TARIFF_PROFILES!$A:$A,0)))</f>
        <v/>
      </c>
      <c r="AG820" s="8"/>
      <c r="AH820" s="8" t="str">
        <f>IF($AG820="","",SUMIFS(OPERATING_COEFFS!$C:$C,OPERATING_COEFFS!$A:$A,"DistanceClass",OPERATING_COEFFS!$B:$B,$AG820))</f>
        <v/>
      </c>
      <c r="AI820" s="8"/>
      <c r="AJ820" s="8" t="str">
        <f>IF($AI820="","",SUMIFS(OPERATING_COEFFS!$C:$C,OPERATING_COEFFS!$A:$A,"SeasonClass",OPERATING_COEFFS!$B:$B,$AI820))</f>
        <v/>
      </c>
      <c r="AK820" s="8"/>
      <c r="AL820" s="8" t="str">
        <f>IF($AK820="","",SUMIFS(OPERATING_COEFFS!$C:$C,OPERATING_COEFFS!$A:$A,"UrgencyClass",OPERATING_COEFFS!$B:$B,$AK820))</f>
        <v/>
      </c>
      <c r="AM820" s="8"/>
      <c r="AN820" s="8" t="str">
        <f t="array" ref="AN820">IF($AM820="","",INDEX(TAX_MODES!$B:$B,MATCH($AM820,TAX_MODES!$A:$A,0)))</f>
        <v/>
      </c>
    </row>
    <row r="821" ht="14.25" customHeight="1">
      <c r="C821" s="8"/>
      <c r="E821" s="8"/>
      <c r="G821" s="8"/>
      <c r="I821" s="8"/>
      <c r="K821" s="8"/>
      <c r="M821" s="8"/>
      <c r="O821" s="8"/>
      <c r="Q821" s="8"/>
      <c r="S821" s="8"/>
      <c r="V821" s="8"/>
      <c r="X821" s="31"/>
      <c r="Y821" s="31" t="str">
        <f>IF($X821="","",SUMIFS(TARIFF_PROFILES!$D:$D,TARIFF_PROFILES!$A:$A,$X821))</f>
        <v/>
      </c>
      <c r="Z821" s="31" t="str">
        <f>IF($X821="","",SUMIFS(TARIFF_PROFILES!$E:$E,TARIFF_PROFILES!$A:$A,$X821))</f>
        <v/>
      </c>
      <c r="AA821" s="31" t="str">
        <f>IF($X821="","",SUMIFS(TARIFF_PROFILES!$F:$F,TARIFF_PROFILES!$A:$A,$X821))</f>
        <v/>
      </c>
      <c r="AB821" s="31" t="str">
        <f>IF($X821="","",SUMIFS(TARIFF_PROFILES!$G:$G,TARIFF_PROFILES!$A:$A,$X821))</f>
        <v/>
      </c>
      <c r="AC821" s="31" t="str">
        <f>IF($X821="","",SUMIFS(TARIFF_PROFILES!$H:$H,TARIFF_PROFILES!$A:$A,$X821))</f>
        <v/>
      </c>
      <c r="AD821" s="31" t="str">
        <f t="array" ref="AD821">IF($X821="","",INDEX(TARIFF_PROFILES!$J:$J,MATCH($X821,TARIFF_PROFILES!$A:$A,0)))</f>
        <v/>
      </c>
      <c r="AE821" s="31" t="str">
        <f t="array" ref="AE821">IF($X821="","",INDEX(TARIFF_PROFILES!$K:$K,MATCH($X821,TARIFF_PROFILES!$A:$A,0)))</f>
        <v/>
      </c>
      <c r="AG821" s="8"/>
      <c r="AH821" s="8" t="str">
        <f>IF($AG821="","",SUMIFS(OPERATING_COEFFS!$C:$C,OPERATING_COEFFS!$A:$A,"DistanceClass",OPERATING_COEFFS!$B:$B,$AG821))</f>
        <v/>
      </c>
      <c r="AI821" s="8"/>
      <c r="AJ821" s="8" t="str">
        <f>IF($AI821="","",SUMIFS(OPERATING_COEFFS!$C:$C,OPERATING_COEFFS!$A:$A,"SeasonClass",OPERATING_COEFFS!$B:$B,$AI821))</f>
        <v/>
      </c>
      <c r="AK821" s="8"/>
      <c r="AL821" s="8" t="str">
        <f>IF($AK821="","",SUMIFS(OPERATING_COEFFS!$C:$C,OPERATING_COEFFS!$A:$A,"UrgencyClass",OPERATING_COEFFS!$B:$B,$AK821))</f>
        <v/>
      </c>
      <c r="AM821" s="8"/>
      <c r="AN821" s="8" t="str">
        <f t="array" ref="AN821">IF($AM821="","",INDEX(TAX_MODES!$B:$B,MATCH($AM821,TAX_MODES!$A:$A,0)))</f>
        <v/>
      </c>
    </row>
    <row r="822" ht="14.25" customHeight="1">
      <c r="C822" s="8"/>
      <c r="E822" s="8"/>
      <c r="G822" s="8"/>
      <c r="I822" s="8"/>
      <c r="K822" s="8"/>
      <c r="M822" s="8"/>
      <c r="O822" s="8"/>
      <c r="Q822" s="8"/>
      <c r="S822" s="8"/>
      <c r="V822" s="8"/>
      <c r="X822" s="31"/>
      <c r="Y822" s="31" t="str">
        <f>IF($X822="","",SUMIFS(TARIFF_PROFILES!$D:$D,TARIFF_PROFILES!$A:$A,$X822))</f>
        <v/>
      </c>
      <c r="Z822" s="31" t="str">
        <f>IF($X822="","",SUMIFS(TARIFF_PROFILES!$E:$E,TARIFF_PROFILES!$A:$A,$X822))</f>
        <v/>
      </c>
      <c r="AA822" s="31" t="str">
        <f>IF($X822="","",SUMIFS(TARIFF_PROFILES!$F:$F,TARIFF_PROFILES!$A:$A,$X822))</f>
        <v/>
      </c>
      <c r="AB822" s="31" t="str">
        <f>IF($X822="","",SUMIFS(TARIFF_PROFILES!$G:$G,TARIFF_PROFILES!$A:$A,$X822))</f>
        <v/>
      </c>
      <c r="AC822" s="31" t="str">
        <f>IF($X822="","",SUMIFS(TARIFF_PROFILES!$H:$H,TARIFF_PROFILES!$A:$A,$X822))</f>
        <v/>
      </c>
      <c r="AD822" s="31" t="str">
        <f t="array" ref="AD822">IF($X822="","",INDEX(TARIFF_PROFILES!$J:$J,MATCH($X822,TARIFF_PROFILES!$A:$A,0)))</f>
        <v/>
      </c>
      <c r="AE822" s="31" t="str">
        <f t="array" ref="AE822">IF($X822="","",INDEX(TARIFF_PROFILES!$K:$K,MATCH($X822,TARIFF_PROFILES!$A:$A,0)))</f>
        <v/>
      </c>
      <c r="AG822" s="8"/>
      <c r="AH822" s="8" t="str">
        <f>IF($AG822="","",SUMIFS(OPERATING_COEFFS!$C:$C,OPERATING_COEFFS!$A:$A,"DistanceClass",OPERATING_COEFFS!$B:$B,$AG822))</f>
        <v/>
      </c>
      <c r="AI822" s="8"/>
      <c r="AJ822" s="8" t="str">
        <f>IF($AI822="","",SUMIFS(OPERATING_COEFFS!$C:$C,OPERATING_COEFFS!$A:$A,"SeasonClass",OPERATING_COEFFS!$B:$B,$AI822))</f>
        <v/>
      </c>
      <c r="AK822" s="8"/>
      <c r="AL822" s="8" t="str">
        <f>IF($AK822="","",SUMIFS(OPERATING_COEFFS!$C:$C,OPERATING_COEFFS!$A:$A,"UrgencyClass",OPERATING_COEFFS!$B:$B,$AK822))</f>
        <v/>
      </c>
      <c r="AM822" s="8"/>
      <c r="AN822" s="8" t="str">
        <f t="array" ref="AN822">IF($AM822="","",INDEX(TAX_MODES!$B:$B,MATCH($AM822,TAX_MODES!$A:$A,0)))</f>
        <v/>
      </c>
    </row>
    <row r="823" ht="14.25" customHeight="1">
      <c r="C823" s="8"/>
      <c r="E823" s="8"/>
      <c r="G823" s="8"/>
      <c r="I823" s="8"/>
      <c r="K823" s="8"/>
      <c r="M823" s="8"/>
      <c r="O823" s="8"/>
      <c r="Q823" s="8"/>
      <c r="S823" s="8"/>
      <c r="V823" s="8"/>
      <c r="X823" s="31"/>
      <c r="Y823" s="31" t="str">
        <f>IF($X823="","",SUMIFS(TARIFF_PROFILES!$D:$D,TARIFF_PROFILES!$A:$A,$X823))</f>
        <v/>
      </c>
      <c r="Z823" s="31" t="str">
        <f>IF($X823="","",SUMIFS(TARIFF_PROFILES!$E:$E,TARIFF_PROFILES!$A:$A,$X823))</f>
        <v/>
      </c>
      <c r="AA823" s="31" t="str">
        <f>IF($X823="","",SUMIFS(TARIFF_PROFILES!$F:$F,TARIFF_PROFILES!$A:$A,$X823))</f>
        <v/>
      </c>
      <c r="AB823" s="31" t="str">
        <f>IF($X823="","",SUMIFS(TARIFF_PROFILES!$G:$G,TARIFF_PROFILES!$A:$A,$X823))</f>
        <v/>
      </c>
      <c r="AC823" s="31" t="str">
        <f>IF($X823="","",SUMIFS(TARIFF_PROFILES!$H:$H,TARIFF_PROFILES!$A:$A,$X823))</f>
        <v/>
      </c>
      <c r="AD823" s="31" t="str">
        <f t="array" ref="AD823">IF($X823="","",INDEX(TARIFF_PROFILES!$J:$J,MATCH($X823,TARIFF_PROFILES!$A:$A,0)))</f>
        <v/>
      </c>
      <c r="AE823" s="31" t="str">
        <f t="array" ref="AE823">IF($X823="","",INDEX(TARIFF_PROFILES!$K:$K,MATCH($X823,TARIFF_PROFILES!$A:$A,0)))</f>
        <v/>
      </c>
      <c r="AG823" s="8"/>
      <c r="AH823" s="8" t="str">
        <f>IF($AG823="","",SUMIFS(OPERATING_COEFFS!$C:$C,OPERATING_COEFFS!$A:$A,"DistanceClass",OPERATING_COEFFS!$B:$B,$AG823))</f>
        <v/>
      </c>
      <c r="AI823" s="8"/>
      <c r="AJ823" s="8" t="str">
        <f>IF($AI823="","",SUMIFS(OPERATING_COEFFS!$C:$C,OPERATING_COEFFS!$A:$A,"SeasonClass",OPERATING_COEFFS!$B:$B,$AI823))</f>
        <v/>
      </c>
      <c r="AK823" s="8"/>
      <c r="AL823" s="8" t="str">
        <f>IF($AK823="","",SUMIFS(OPERATING_COEFFS!$C:$C,OPERATING_COEFFS!$A:$A,"UrgencyClass",OPERATING_COEFFS!$B:$B,$AK823))</f>
        <v/>
      </c>
      <c r="AM823" s="8"/>
      <c r="AN823" s="8" t="str">
        <f t="array" ref="AN823">IF($AM823="","",INDEX(TAX_MODES!$B:$B,MATCH($AM823,TAX_MODES!$A:$A,0)))</f>
        <v/>
      </c>
    </row>
    <row r="824" ht="14.25" customHeight="1">
      <c r="C824" s="8"/>
      <c r="E824" s="8"/>
      <c r="G824" s="8"/>
      <c r="I824" s="8"/>
      <c r="K824" s="8"/>
      <c r="M824" s="8"/>
      <c r="O824" s="8"/>
      <c r="Q824" s="8"/>
      <c r="S824" s="8"/>
      <c r="V824" s="8"/>
      <c r="X824" s="31"/>
      <c r="Y824" s="31" t="str">
        <f>IF($X824="","",SUMIFS(TARIFF_PROFILES!$D:$D,TARIFF_PROFILES!$A:$A,$X824))</f>
        <v/>
      </c>
      <c r="Z824" s="31" t="str">
        <f>IF($X824="","",SUMIFS(TARIFF_PROFILES!$E:$E,TARIFF_PROFILES!$A:$A,$X824))</f>
        <v/>
      </c>
      <c r="AA824" s="31" t="str">
        <f>IF($X824="","",SUMIFS(TARIFF_PROFILES!$F:$F,TARIFF_PROFILES!$A:$A,$X824))</f>
        <v/>
      </c>
      <c r="AB824" s="31" t="str">
        <f>IF($X824="","",SUMIFS(TARIFF_PROFILES!$G:$G,TARIFF_PROFILES!$A:$A,$X824))</f>
        <v/>
      </c>
      <c r="AC824" s="31" t="str">
        <f>IF($X824="","",SUMIFS(TARIFF_PROFILES!$H:$H,TARIFF_PROFILES!$A:$A,$X824))</f>
        <v/>
      </c>
      <c r="AD824" s="31" t="str">
        <f t="array" ref="AD824">IF($X824="","",INDEX(TARIFF_PROFILES!$J:$J,MATCH($X824,TARIFF_PROFILES!$A:$A,0)))</f>
        <v/>
      </c>
      <c r="AE824" s="31" t="str">
        <f t="array" ref="AE824">IF($X824="","",INDEX(TARIFF_PROFILES!$K:$K,MATCH($X824,TARIFF_PROFILES!$A:$A,0)))</f>
        <v/>
      </c>
      <c r="AG824" s="8"/>
      <c r="AH824" s="8" t="str">
        <f>IF($AG824="","",SUMIFS(OPERATING_COEFFS!$C:$C,OPERATING_COEFFS!$A:$A,"DistanceClass",OPERATING_COEFFS!$B:$B,$AG824))</f>
        <v/>
      </c>
      <c r="AI824" s="8"/>
      <c r="AJ824" s="8" t="str">
        <f>IF($AI824="","",SUMIFS(OPERATING_COEFFS!$C:$C,OPERATING_COEFFS!$A:$A,"SeasonClass",OPERATING_COEFFS!$B:$B,$AI824))</f>
        <v/>
      </c>
      <c r="AK824" s="8"/>
      <c r="AL824" s="8" t="str">
        <f>IF($AK824="","",SUMIFS(OPERATING_COEFFS!$C:$C,OPERATING_COEFFS!$A:$A,"UrgencyClass",OPERATING_COEFFS!$B:$B,$AK824))</f>
        <v/>
      </c>
      <c r="AM824" s="8"/>
      <c r="AN824" s="8" t="str">
        <f t="array" ref="AN824">IF($AM824="","",INDEX(TAX_MODES!$B:$B,MATCH($AM824,TAX_MODES!$A:$A,0)))</f>
        <v/>
      </c>
    </row>
    <row r="825" ht="14.25" customHeight="1">
      <c r="C825" s="8"/>
      <c r="E825" s="8"/>
      <c r="G825" s="8"/>
      <c r="I825" s="8"/>
      <c r="K825" s="8"/>
      <c r="M825" s="8"/>
      <c r="O825" s="8"/>
      <c r="Q825" s="8"/>
      <c r="S825" s="8"/>
      <c r="V825" s="8"/>
      <c r="X825" s="31"/>
      <c r="Y825" s="31" t="str">
        <f>IF($X825="","",SUMIFS(TARIFF_PROFILES!$D:$D,TARIFF_PROFILES!$A:$A,$X825))</f>
        <v/>
      </c>
      <c r="Z825" s="31" t="str">
        <f>IF($X825="","",SUMIFS(TARIFF_PROFILES!$E:$E,TARIFF_PROFILES!$A:$A,$X825))</f>
        <v/>
      </c>
      <c r="AA825" s="31" t="str">
        <f>IF($X825="","",SUMIFS(TARIFF_PROFILES!$F:$F,TARIFF_PROFILES!$A:$A,$X825))</f>
        <v/>
      </c>
      <c r="AB825" s="31" t="str">
        <f>IF($X825="","",SUMIFS(TARIFF_PROFILES!$G:$G,TARIFF_PROFILES!$A:$A,$X825))</f>
        <v/>
      </c>
      <c r="AC825" s="31" t="str">
        <f>IF($X825="","",SUMIFS(TARIFF_PROFILES!$H:$H,TARIFF_PROFILES!$A:$A,$X825))</f>
        <v/>
      </c>
      <c r="AD825" s="31" t="str">
        <f t="array" ref="AD825">IF($X825="","",INDEX(TARIFF_PROFILES!$J:$J,MATCH($X825,TARIFF_PROFILES!$A:$A,0)))</f>
        <v/>
      </c>
      <c r="AE825" s="31" t="str">
        <f t="array" ref="AE825">IF($X825="","",INDEX(TARIFF_PROFILES!$K:$K,MATCH($X825,TARIFF_PROFILES!$A:$A,0)))</f>
        <v/>
      </c>
      <c r="AG825" s="8"/>
      <c r="AH825" s="8" t="str">
        <f>IF($AG825="","",SUMIFS(OPERATING_COEFFS!$C:$C,OPERATING_COEFFS!$A:$A,"DistanceClass",OPERATING_COEFFS!$B:$B,$AG825))</f>
        <v/>
      </c>
      <c r="AI825" s="8"/>
      <c r="AJ825" s="8" t="str">
        <f>IF($AI825="","",SUMIFS(OPERATING_COEFFS!$C:$C,OPERATING_COEFFS!$A:$A,"SeasonClass",OPERATING_COEFFS!$B:$B,$AI825))</f>
        <v/>
      </c>
      <c r="AK825" s="8"/>
      <c r="AL825" s="8" t="str">
        <f>IF($AK825="","",SUMIFS(OPERATING_COEFFS!$C:$C,OPERATING_COEFFS!$A:$A,"UrgencyClass",OPERATING_COEFFS!$B:$B,$AK825))</f>
        <v/>
      </c>
      <c r="AM825" s="8"/>
      <c r="AN825" s="8" t="str">
        <f t="array" ref="AN825">IF($AM825="","",INDEX(TAX_MODES!$B:$B,MATCH($AM825,TAX_MODES!$A:$A,0)))</f>
        <v/>
      </c>
    </row>
    <row r="826" ht="14.25" customHeight="1">
      <c r="C826" s="8"/>
      <c r="E826" s="8"/>
      <c r="G826" s="8"/>
      <c r="I826" s="8"/>
      <c r="K826" s="8"/>
      <c r="M826" s="8"/>
      <c r="O826" s="8"/>
      <c r="Q826" s="8"/>
      <c r="S826" s="8"/>
      <c r="V826" s="8"/>
      <c r="X826" s="31"/>
      <c r="Y826" s="31" t="str">
        <f>IF($X826="","",SUMIFS(TARIFF_PROFILES!$D:$D,TARIFF_PROFILES!$A:$A,$X826))</f>
        <v/>
      </c>
      <c r="Z826" s="31" t="str">
        <f>IF($X826="","",SUMIFS(TARIFF_PROFILES!$E:$E,TARIFF_PROFILES!$A:$A,$X826))</f>
        <v/>
      </c>
      <c r="AA826" s="31" t="str">
        <f>IF($X826="","",SUMIFS(TARIFF_PROFILES!$F:$F,TARIFF_PROFILES!$A:$A,$X826))</f>
        <v/>
      </c>
      <c r="AB826" s="31" t="str">
        <f>IF($X826="","",SUMIFS(TARIFF_PROFILES!$G:$G,TARIFF_PROFILES!$A:$A,$X826))</f>
        <v/>
      </c>
      <c r="AC826" s="31" t="str">
        <f>IF($X826="","",SUMIFS(TARIFF_PROFILES!$H:$H,TARIFF_PROFILES!$A:$A,$X826))</f>
        <v/>
      </c>
      <c r="AD826" s="31" t="str">
        <f t="array" ref="AD826">IF($X826="","",INDEX(TARIFF_PROFILES!$J:$J,MATCH($X826,TARIFF_PROFILES!$A:$A,0)))</f>
        <v/>
      </c>
      <c r="AE826" s="31" t="str">
        <f t="array" ref="AE826">IF($X826="","",INDEX(TARIFF_PROFILES!$K:$K,MATCH($X826,TARIFF_PROFILES!$A:$A,0)))</f>
        <v/>
      </c>
      <c r="AG826" s="8"/>
      <c r="AH826" s="8" t="str">
        <f>IF($AG826="","",SUMIFS(OPERATING_COEFFS!$C:$C,OPERATING_COEFFS!$A:$A,"DistanceClass",OPERATING_COEFFS!$B:$B,$AG826))</f>
        <v/>
      </c>
      <c r="AI826" s="8"/>
      <c r="AJ826" s="8" t="str">
        <f>IF($AI826="","",SUMIFS(OPERATING_COEFFS!$C:$C,OPERATING_COEFFS!$A:$A,"SeasonClass",OPERATING_COEFFS!$B:$B,$AI826))</f>
        <v/>
      </c>
      <c r="AK826" s="8"/>
      <c r="AL826" s="8" t="str">
        <f>IF($AK826="","",SUMIFS(OPERATING_COEFFS!$C:$C,OPERATING_COEFFS!$A:$A,"UrgencyClass",OPERATING_COEFFS!$B:$B,$AK826))</f>
        <v/>
      </c>
      <c r="AM826" s="8"/>
      <c r="AN826" s="8" t="str">
        <f t="array" ref="AN826">IF($AM826="","",INDEX(TAX_MODES!$B:$B,MATCH($AM826,TAX_MODES!$A:$A,0)))</f>
        <v/>
      </c>
    </row>
    <row r="827" ht="14.25" customHeight="1">
      <c r="C827" s="8"/>
      <c r="E827" s="8"/>
      <c r="G827" s="8"/>
      <c r="I827" s="8"/>
      <c r="K827" s="8"/>
      <c r="M827" s="8"/>
      <c r="O827" s="8"/>
      <c r="Q827" s="8"/>
      <c r="S827" s="8"/>
      <c r="V827" s="8"/>
      <c r="X827" s="31"/>
      <c r="Y827" s="31" t="str">
        <f>IF($X827="","",SUMIFS(TARIFF_PROFILES!$D:$D,TARIFF_PROFILES!$A:$A,$X827))</f>
        <v/>
      </c>
      <c r="Z827" s="31" t="str">
        <f>IF($X827="","",SUMIFS(TARIFF_PROFILES!$E:$E,TARIFF_PROFILES!$A:$A,$X827))</f>
        <v/>
      </c>
      <c r="AA827" s="31" t="str">
        <f>IF($X827="","",SUMIFS(TARIFF_PROFILES!$F:$F,TARIFF_PROFILES!$A:$A,$X827))</f>
        <v/>
      </c>
      <c r="AB827" s="31" t="str">
        <f>IF($X827="","",SUMIFS(TARIFF_PROFILES!$G:$G,TARIFF_PROFILES!$A:$A,$X827))</f>
        <v/>
      </c>
      <c r="AC827" s="31" t="str">
        <f>IF($X827="","",SUMIFS(TARIFF_PROFILES!$H:$H,TARIFF_PROFILES!$A:$A,$X827))</f>
        <v/>
      </c>
      <c r="AD827" s="31" t="str">
        <f t="array" ref="AD827">IF($X827="","",INDEX(TARIFF_PROFILES!$J:$J,MATCH($X827,TARIFF_PROFILES!$A:$A,0)))</f>
        <v/>
      </c>
      <c r="AE827" s="31" t="str">
        <f t="array" ref="AE827">IF($X827="","",INDEX(TARIFF_PROFILES!$K:$K,MATCH($X827,TARIFF_PROFILES!$A:$A,0)))</f>
        <v/>
      </c>
      <c r="AG827" s="8"/>
      <c r="AH827" s="8" t="str">
        <f>IF($AG827="","",SUMIFS(OPERATING_COEFFS!$C:$C,OPERATING_COEFFS!$A:$A,"DistanceClass",OPERATING_COEFFS!$B:$B,$AG827))</f>
        <v/>
      </c>
      <c r="AI827" s="8"/>
      <c r="AJ827" s="8" t="str">
        <f>IF($AI827="","",SUMIFS(OPERATING_COEFFS!$C:$C,OPERATING_COEFFS!$A:$A,"SeasonClass",OPERATING_COEFFS!$B:$B,$AI827))</f>
        <v/>
      </c>
      <c r="AK827" s="8"/>
      <c r="AL827" s="8" t="str">
        <f>IF($AK827="","",SUMIFS(OPERATING_COEFFS!$C:$C,OPERATING_COEFFS!$A:$A,"UrgencyClass",OPERATING_COEFFS!$B:$B,$AK827))</f>
        <v/>
      </c>
      <c r="AM827" s="8"/>
      <c r="AN827" s="8" t="str">
        <f t="array" ref="AN827">IF($AM827="","",INDEX(TAX_MODES!$B:$B,MATCH($AM827,TAX_MODES!$A:$A,0)))</f>
        <v/>
      </c>
    </row>
    <row r="828" ht="14.25" customHeight="1">
      <c r="C828" s="8"/>
      <c r="E828" s="8"/>
      <c r="G828" s="8"/>
      <c r="I828" s="8"/>
      <c r="K828" s="8"/>
      <c r="M828" s="8"/>
      <c r="O828" s="8"/>
      <c r="Q828" s="8"/>
      <c r="S828" s="8"/>
      <c r="V828" s="8"/>
      <c r="X828" s="31"/>
      <c r="Y828" s="31" t="str">
        <f>IF($X828="","",SUMIFS(TARIFF_PROFILES!$D:$D,TARIFF_PROFILES!$A:$A,$X828))</f>
        <v/>
      </c>
      <c r="Z828" s="31" t="str">
        <f>IF($X828="","",SUMIFS(TARIFF_PROFILES!$E:$E,TARIFF_PROFILES!$A:$A,$X828))</f>
        <v/>
      </c>
      <c r="AA828" s="31" t="str">
        <f>IF($X828="","",SUMIFS(TARIFF_PROFILES!$F:$F,TARIFF_PROFILES!$A:$A,$X828))</f>
        <v/>
      </c>
      <c r="AB828" s="31" t="str">
        <f>IF($X828="","",SUMIFS(TARIFF_PROFILES!$G:$G,TARIFF_PROFILES!$A:$A,$X828))</f>
        <v/>
      </c>
      <c r="AC828" s="31" t="str">
        <f>IF($X828="","",SUMIFS(TARIFF_PROFILES!$H:$H,TARIFF_PROFILES!$A:$A,$X828))</f>
        <v/>
      </c>
      <c r="AD828" s="31" t="str">
        <f t="array" ref="AD828">IF($X828="","",INDEX(TARIFF_PROFILES!$J:$J,MATCH($X828,TARIFF_PROFILES!$A:$A,0)))</f>
        <v/>
      </c>
      <c r="AE828" s="31" t="str">
        <f t="array" ref="AE828">IF($X828="","",INDEX(TARIFF_PROFILES!$K:$K,MATCH($X828,TARIFF_PROFILES!$A:$A,0)))</f>
        <v/>
      </c>
      <c r="AG828" s="8"/>
      <c r="AH828" s="8" t="str">
        <f>IF($AG828="","",SUMIFS(OPERATING_COEFFS!$C:$C,OPERATING_COEFFS!$A:$A,"DistanceClass",OPERATING_COEFFS!$B:$B,$AG828))</f>
        <v/>
      </c>
      <c r="AI828" s="8"/>
      <c r="AJ828" s="8" t="str">
        <f>IF($AI828="","",SUMIFS(OPERATING_COEFFS!$C:$C,OPERATING_COEFFS!$A:$A,"SeasonClass",OPERATING_COEFFS!$B:$B,$AI828))</f>
        <v/>
      </c>
      <c r="AK828" s="8"/>
      <c r="AL828" s="8" t="str">
        <f>IF($AK828="","",SUMIFS(OPERATING_COEFFS!$C:$C,OPERATING_COEFFS!$A:$A,"UrgencyClass",OPERATING_COEFFS!$B:$B,$AK828))</f>
        <v/>
      </c>
      <c r="AM828" s="8"/>
      <c r="AN828" s="8" t="str">
        <f t="array" ref="AN828">IF($AM828="","",INDEX(TAX_MODES!$B:$B,MATCH($AM828,TAX_MODES!$A:$A,0)))</f>
        <v/>
      </c>
    </row>
    <row r="829" ht="14.25" customHeight="1">
      <c r="C829" s="8"/>
      <c r="E829" s="8"/>
      <c r="G829" s="8"/>
      <c r="I829" s="8"/>
      <c r="K829" s="8"/>
      <c r="M829" s="8"/>
      <c r="O829" s="8"/>
      <c r="Q829" s="8"/>
      <c r="S829" s="8"/>
      <c r="V829" s="8"/>
      <c r="X829" s="31"/>
      <c r="Y829" s="31" t="str">
        <f>IF($X829="","",SUMIFS(TARIFF_PROFILES!$D:$D,TARIFF_PROFILES!$A:$A,$X829))</f>
        <v/>
      </c>
      <c r="Z829" s="31" t="str">
        <f>IF($X829="","",SUMIFS(TARIFF_PROFILES!$E:$E,TARIFF_PROFILES!$A:$A,$X829))</f>
        <v/>
      </c>
      <c r="AA829" s="31" t="str">
        <f>IF($X829="","",SUMIFS(TARIFF_PROFILES!$F:$F,TARIFF_PROFILES!$A:$A,$X829))</f>
        <v/>
      </c>
      <c r="AB829" s="31" t="str">
        <f>IF($X829="","",SUMIFS(TARIFF_PROFILES!$G:$G,TARIFF_PROFILES!$A:$A,$X829))</f>
        <v/>
      </c>
      <c r="AC829" s="31" t="str">
        <f>IF($X829="","",SUMIFS(TARIFF_PROFILES!$H:$H,TARIFF_PROFILES!$A:$A,$X829))</f>
        <v/>
      </c>
      <c r="AD829" s="31" t="str">
        <f t="array" ref="AD829">IF($X829="","",INDEX(TARIFF_PROFILES!$J:$J,MATCH($X829,TARIFF_PROFILES!$A:$A,0)))</f>
        <v/>
      </c>
      <c r="AE829" s="31" t="str">
        <f t="array" ref="AE829">IF($X829="","",INDEX(TARIFF_PROFILES!$K:$K,MATCH($X829,TARIFF_PROFILES!$A:$A,0)))</f>
        <v/>
      </c>
      <c r="AG829" s="8"/>
      <c r="AH829" s="8" t="str">
        <f>IF($AG829="","",SUMIFS(OPERATING_COEFFS!$C:$C,OPERATING_COEFFS!$A:$A,"DistanceClass",OPERATING_COEFFS!$B:$B,$AG829))</f>
        <v/>
      </c>
      <c r="AI829" s="8"/>
      <c r="AJ829" s="8" t="str">
        <f>IF($AI829="","",SUMIFS(OPERATING_COEFFS!$C:$C,OPERATING_COEFFS!$A:$A,"SeasonClass",OPERATING_COEFFS!$B:$B,$AI829))</f>
        <v/>
      </c>
      <c r="AK829" s="8"/>
      <c r="AL829" s="8" t="str">
        <f>IF($AK829="","",SUMIFS(OPERATING_COEFFS!$C:$C,OPERATING_COEFFS!$A:$A,"UrgencyClass",OPERATING_COEFFS!$B:$B,$AK829))</f>
        <v/>
      </c>
      <c r="AM829" s="8"/>
      <c r="AN829" s="8" t="str">
        <f t="array" ref="AN829">IF($AM829="","",INDEX(TAX_MODES!$B:$B,MATCH($AM829,TAX_MODES!$A:$A,0)))</f>
        <v/>
      </c>
    </row>
    <row r="830" ht="14.25" customHeight="1">
      <c r="C830" s="8"/>
      <c r="E830" s="8"/>
      <c r="G830" s="8"/>
      <c r="I830" s="8"/>
      <c r="K830" s="8"/>
      <c r="M830" s="8"/>
      <c r="O830" s="8"/>
      <c r="Q830" s="8"/>
      <c r="S830" s="8"/>
      <c r="V830" s="8"/>
      <c r="X830" s="31"/>
      <c r="Y830" s="31" t="str">
        <f>IF($X830="","",SUMIFS(TARIFF_PROFILES!$D:$D,TARIFF_PROFILES!$A:$A,$X830))</f>
        <v/>
      </c>
      <c r="Z830" s="31" t="str">
        <f>IF($X830="","",SUMIFS(TARIFF_PROFILES!$E:$E,TARIFF_PROFILES!$A:$A,$X830))</f>
        <v/>
      </c>
      <c r="AA830" s="31" t="str">
        <f>IF($X830="","",SUMIFS(TARIFF_PROFILES!$F:$F,TARIFF_PROFILES!$A:$A,$X830))</f>
        <v/>
      </c>
      <c r="AB830" s="31" t="str">
        <f>IF($X830="","",SUMIFS(TARIFF_PROFILES!$G:$G,TARIFF_PROFILES!$A:$A,$X830))</f>
        <v/>
      </c>
      <c r="AC830" s="31" t="str">
        <f>IF($X830="","",SUMIFS(TARIFF_PROFILES!$H:$H,TARIFF_PROFILES!$A:$A,$X830))</f>
        <v/>
      </c>
      <c r="AD830" s="31" t="str">
        <f t="array" ref="AD830">IF($X830="","",INDEX(TARIFF_PROFILES!$J:$J,MATCH($X830,TARIFF_PROFILES!$A:$A,0)))</f>
        <v/>
      </c>
      <c r="AE830" s="31" t="str">
        <f t="array" ref="AE830">IF($X830="","",INDEX(TARIFF_PROFILES!$K:$K,MATCH($X830,TARIFF_PROFILES!$A:$A,0)))</f>
        <v/>
      </c>
      <c r="AG830" s="8"/>
      <c r="AH830" s="8" t="str">
        <f>IF($AG830="","",SUMIFS(OPERATING_COEFFS!$C:$C,OPERATING_COEFFS!$A:$A,"DistanceClass",OPERATING_COEFFS!$B:$B,$AG830))</f>
        <v/>
      </c>
      <c r="AI830" s="8"/>
      <c r="AJ830" s="8" t="str">
        <f>IF($AI830="","",SUMIFS(OPERATING_COEFFS!$C:$C,OPERATING_COEFFS!$A:$A,"SeasonClass",OPERATING_COEFFS!$B:$B,$AI830))</f>
        <v/>
      </c>
      <c r="AK830" s="8"/>
      <c r="AL830" s="8" t="str">
        <f>IF($AK830="","",SUMIFS(OPERATING_COEFFS!$C:$C,OPERATING_COEFFS!$A:$A,"UrgencyClass",OPERATING_COEFFS!$B:$B,$AK830))</f>
        <v/>
      </c>
      <c r="AM830" s="8"/>
      <c r="AN830" s="8" t="str">
        <f t="array" ref="AN830">IF($AM830="","",INDEX(TAX_MODES!$B:$B,MATCH($AM830,TAX_MODES!$A:$A,0)))</f>
        <v/>
      </c>
    </row>
    <row r="831" ht="14.25" customHeight="1">
      <c r="C831" s="8"/>
      <c r="E831" s="8"/>
      <c r="G831" s="8"/>
      <c r="I831" s="8"/>
      <c r="K831" s="8"/>
      <c r="M831" s="8"/>
      <c r="O831" s="8"/>
      <c r="Q831" s="8"/>
      <c r="S831" s="8"/>
      <c r="V831" s="8"/>
      <c r="X831" s="31"/>
      <c r="Y831" s="31" t="str">
        <f>IF($X831="","",SUMIFS(TARIFF_PROFILES!$D:$D,TARIFF_PROFILES!$A:$A,$X831))</f>
        <v/>
      </c>
      <c r="Z831" s="31" t="str">
        <f>IF($X831="","",SUMIFS(TARIFF_PROFILES!$E:$E,TARIFF_PROFILES!$A:$A,$X831))</f>
        <v/>
      </c>
      <c r="AA831" s="31" t="str">
        <f>IF($X831="","",SUMIFS(TARIFF_PROFILES!$F:$F,TARIFF_PROFILES!$A:$A,$X831))</f>
        <v/>
      </c>
      <c r="AB831" s="31" t="str">
        <f>IF($X831="","",SUMIFS(TARIFF_PROFILES!$G:$G,TARIFF_PROFILES!$A:$A,$X831))</f>
        <v/>
      </c>
      <c r="AC831" s="31" t="str">
        <f>IF($X831="","",SUMIFS(TARIFF_PROFILES!$H:$H,TARIFF_PROFILES!$A:$A,$X831))</f>
        <v/>
      </c>
      <c r="AD831" s="31" t="str">
        <f t="array" ref="AD831">IF($X831="","",INDEX(TARIFF_PROFILES!$J:$J,MATCH($X831,TARIFF_PROFILES!$A:$A,0)))</f>
        <v/>
      </c>
      <c r="AE831" s="31" t="str">
        <f t="array" ref="AE831">IF($X831="","",INDEX(TARIFF_PROFILES!$K:$K,MATCH($X831,TARIFF_PROFILES!$A:$A,0)))</f>
        <v/>
      </c>
      <c r="AG831" s="8"/>
      <c r="AH831" s="8" t="str">
        <f>IF($AG831="","",SUMIFS(OPERATING_COEFFS!$C:$C,OPERATING_COEFFS!$A:$A,"DistanceClass",OPERATING_COEFFS!$B:$B,$AG831))</f>
        <v/>
      </c>
      <c r="AI831" s="8"/>
      <c r="AJ831" s="8" t="str">
        <f>IF($AI831="","",SUMIFS(OPERATING_COEFFS!$C:$C,OPERATING_COEFFS!$A:$A,"SeasonClass",OPERATING_COEFFS!$B:$B,$AI831))</f>
        <v/>
      </c>
      <c r="AK831" s="8"/>
      <c r="AL831" s="8" t="str">
        <f>IF($AK831="","",SUMIFS(OPERATING_COEFFS!$C:$C,OPERATING_COEFFS!$A:$A,"UrgencyClass",OPERATING_COEFFS!$B:$B,$AK831))</f>
        <v/>
      </c>
      <c r="AM831" s="8"/>
      <c r="AN831" s="8" t="str">
        <f t="array" ref="AN831">IF($AM831="","",INDEX(TAX_MODES!$B:$B,MATCH($AM831,TAX_MODES!$A:$A,0)))</f>
        <v/>
      </c>
    </row>
    <row r="832" ht="14.25" customHeight="1">
      <c r="C832" s="8"/>
      <c r="E832" s="8"/>
      <c r="G832" s="8"/>
      <c r="I832" s="8"/>
      <c r="K832" s="8"/>
      <c r="M832" s="8"/>
      <c r="O832" s="8"/>
      <c r="Q832" s="8"/>
      <c r="S832" s="8"/>
      <c r="V832" s="8"/>
      <c r="X832" s="31"/>
      <c r="Y832" s="31" t="str">
        <f>IF($X832="","",SUMIFS(TARIFF_PROFILES!$D:$D,TARIFF_PROFILES!$A:$A,$X832))</f>
        <v/>
      </c>
      <c r="Z832" s="31" t="str">
        <f>IF($X832="","",SUMIFS(TARIFF_PROFILES!$E:$E,TARIFF_PROFILES!$A:$A,$X832))</f>
        <v/>
      </c>
      <c r="AA832" s="31" t="str">
        <f>IF($X832="","",SUMIFS(TARIFF_PROFILES!$F:$F,TARIFF_PROFILES!$A:$A,$X832))</f>
        <v/>
      </c>
      <c r="AB832" s="31" t="str">
        <f>IF($X832="","",SUMIFS(TARIFF_PROFILES!$G:$G,TARIFF_PROFILES!$A:$A,$X832))</f>
        <v/>
      </c>
      <c r="AC832" s="31" t="str">
        <f>IF($X832="","",SUMIFS(TARIFF_PROFILES!$H:$H,TARIFF_PROFILES!$A:$A,$X832))</f>
        <v/>
      </c>
      <c r="AD832" s="31" t="str">
        <f t="array" ref="AD832">IF($X832="","",INDEX(TARIFF_PROFILES!$J:$J,MATCH($X832,TARIFF_PROFILES!$A:$A,0)))</f>
        <v/>
      </c>
      <c r="AE832" s="31" t="str">
        <f t="array" ref="AE832">IF($X832="","",INDEX(TARIFF_PROFILES!$K:$K,MATCH($X832,TARIFF_PROFILES!$A:$A,0)))</f>
        <v/>
      </c>
      <c r="AG832" s="8"/>
      <c r="AH832" s="8" t="str">
        <f>IF($AG832="","",SUMIFS(OPERATING_COEFFS!$C:$C,OPERATING_COEFFS!$A:$A,"DistanceClass",OPERATING_COEFFS!$B:$B,$AG832))</f>
        <v/>
      </c>
      <c r="AI832" s="8"/>
      <c r="AJ832" s="8" t="str">
        <f>IF($AI832="","",SUMIFS(OPERATING_COEFFS!$C:$C,OPERATING_COEFFS!$A:$A,"SeasonClass",OPERATING_COEFFS!$B:$B,$AI832))</f>
        <v/>
      </c>
      <c r="AK832" s="8"/>
      <c r="AL832" s="8" t="str">
        <f>IF($AK832="","",SUMIFS(OPERATING_COEFFS!$C:$C,OPERATING_COEFFS!$A:$A,"UrgencyClass",OPERATING_COEFFS!$B:$B,$AK832))</f>
        <v/>
      </c>
      <c r="AM832" s="8"/>
      <c r="AN832" s="8" t="str">
        <f t="array" ref="AN832">IF($AM832="","",INDEX(TAX_MODES!$B:$B,MATCH($AM832,TAX_MODES!$A:$A,0)))</f>
        <v/>
      </c>
    </row>
    <row r="833" ht="14.25" customHeight="1">
      <c r="C833" s="8"/>
      <c r="E833" s="8"/>
      <c r="G833" s="8"/>
      <c r="I833" s="8"/>
      <c r="K833" s="8"/>
      <c r="M833" s="8"/>
      <c r="O833" s="8"/>
      <c r="Q833" s="8"/>
      <c r="S833" s="8"/>
      <c r="V833" s="8"/>
      <c r="X833" s="31"/>
      <c r="Y833" s="31" t="str">
        <f>IF($X833="","",SUMIFS(TARIFF_PROFILES!$D:$D,TARIFF_PROFILES!$A:$A,$X833))</f>
        <v/>
      </c>
      <c r="Z833" s="31" t="str">
        <f>IF($X833="","",SUMIFS(TARIFF_PROFILES!$E:$E,TARIFF_PROFILES!$A:$A,$X833))</f>
        <v/>
      </c>
      <c r="AA833" s="31" t="str">
        <f>IF($X833="","",SUMIFS(TARIFF_PROFILES!$F:$F,TARIFF_PROFILES!$A:$A,$X833))</f>
        <v/>
      </c>
      <c r="AB833" s="31" t="str">
        <f>IF($X833="","",SUMIFS(TARIFF_PROFILES!$G:$G,TARIFF_PROFILES!$A:$A,$X833))</f>
        <v/>
      </c>
      <c r="AC833" s="31" t="str">
        <f>IF($X833="","",SUMIFS(TARIFF_PROFILES!$H:$H,TARIFF_PROFILES!$A:$A,$X833))</f>
        <v/>
      </c>
      <c r="AD833" s="31" t="str">
        <f t="array" ref="AD833">IF($X833="","",INDEX(TARIFF_PROFILES!$J:$J,MATCH($X833,TARIFF_PROFILES!$A:$A,0)))</f>
        <v/>
      </c>
      <c r="AE833" s="31" t="str">
        <f t="array" ref="AE833">IF($X833="","",INDEX(TARIFF_PROFILES!$K:$K,MATCH($X833,TARIFF_PROFILES!$A:$A,0)))</f>
        <v/>
      </c>
      <c r="AG833" s="8"/>
      <c r="AH833" s="8" t="str">
        <f>IF($AG833="","",SUMIFS(OPERATING_COEFFS!$C:$C,OPERATING_COEFFS!$A:$A,"DistanceClass",OPERATING_COEFFS!$B:$B,$AG833))</f>
        <v/>
      </c>
      <c r="AI833" s="8"/>
      <c r="AJ833" s="8" t="str">
        <f>IF($AI833="","",SUMIFS(OPERATING_COEFFS!$C:$C,OPERATING_COEFFS!$A:$A,"SeasonClass",OPERATING_COEFFS!$B:$B,$AI833))</f>
        <v/>
      </c>
      <c r="AK833" s="8"/>
      <c r="AL833" s="8" t="str">
        <f>IF($AK833="","",SUMIFS(OPERATING_COEFFS!$C:$C,OPERATING_COEFFS!$A:$A,"UrgencyClass",OPERATING_COEFFS!$B:$B,$AK833))</f>
        <v/>
      </c>
      <c r="AM833" s="8"/>
      <c r="AN833" s="8" t="str">
        <f t="array" ref="AN833">IF($AM833="","",INDEX(TAX_MODES!$B:$B,MATCH($AM833,TAX_MODES!$A:$A,0)))</f>
        <v/>
      </c>
    </row>
    <row r="834" ht="14.25" customHeight="1">
      <c r="C834" s="8"/>
      <c r="E834" s="8"/>
      <c r="G834" s="8"/>
      <c r="I834" s="8"/>
      <c r="K834" s="8"/>
      <c r="M834" s="8"/>
      <c r="O834" s="8"/>
      <c r="Q834" s="8"/>
      <c r="S834" s="8"/>
      <c r="V834" s="8"/>
      <c r="X834" s="31"/>
      <c r="Y834" s="31" t="str">
        <f>IF($X834="","",SUMIFS(TARIFF_PROFILES!$D:$D,TARIFF_PROFILES!$A:$A,$X834))</f>
        <v/>
      </c>
      <c r="Z834" s="31" t="str">
        <f>IF($X834="","",SUMIFS(TARIFF_PROFILES!$E:$E,TARIFF_PROFILES!$A:$A,$X834))</f>
        <v/>
      </c>
      <c r="AA834" s="31" t="str">
        <f>IF($X834="","",SUMIFS(TARIFF_PROFILES!$F:$F,TARIFF_PROFILES!$A:$A,$X834))</f>
        <v/>
      </c>
      <c r="AB834" s="31" t="str">
        <f>IF($X834="","",SUMIFS(TARIFF_PROFILES!$G:$G,TARIFF_PROFILES!$A:$A,$X834))</f>
        <v/>
      </c>
      <c r="AC834" s="31" t="str">
        <f>IF($X834="","",SUMIFS(TARIFF_PROFILES!$H:$H,TARIFF_PROFILES!$A:$A,$X834))</f>
        <v/>
      </c>
      <c r="AD834" s="31" t="str">
        <f t="array" ref="AD834">IF($X834="","",INDEX(TARIFF_PROFILES!$J:$J,MATCH($X834,TARIFF_PROFILES!$A:$A,0)))</f>
        <v/>
      </c>
      <c r="AE834" s="31" t="str">
        <f t="array" ref="AE834">IF($X834="","",INDEX(TARIFF_PROFILES!$K:$K,MATCH($X834,TARIFF_PROFILES!$A:$A,0)))</f>
        <v/>
      </c>
      <c r="AG834" s="8"/>
      <c r="AH834" s="8" t="str">
        <f>IF($AG834="","",SUMIFS(OPERATING_COEFFS!$C:$C,OPERATING_COEFFS!$A:$A,"DistanceClass",OPERATING_COEFFS!$B:$B,$AG834))</f>
        <v/>
      </c>
      <c r="AI834" s="8"/>
      <c r="AJ834" s="8" t="str">
        <f>IF($AI834="","",SUMIFS(OPERATING_COEFFS!$C:$C,OPERATING_COEFFS!$A:$A,"SeasonClass",OPERATING_COEFFS!$B:$B,$AI834))</f>
        <v/>
      </c>
      <c r="AK834" s="8"/>
      <c r="AL834" s="8" t="str">
        <f>IF($AK834="","",SUMIFS(OPERATING_COEFFS!$C:$C,OPERATING_COEFFS!$A:$A,"UrgencyClass",OPERATING_COEFFS!$B:$B,$AK834))</f>
        <v/>
      </c>
      <c r="AM834" s="8"/>
      <c r="AN834" s="8" t="str">
        <f t="array" ref="AN834">IF($AM834="","",INDEX(TAX_MODES!$B:$B,MATCH($AM834,TAX_MODES!$A:$A,0)))</f>
        <v/>
      </c>
    </row>
    <row r="835" ht="14.25" customHeight="1">
      <c r="C835" s="8"/>
      <c r="E835" s="8"/>
      <c r="G835" s="8"/>
      <c r="I835" s="8"/>
      <c r="K835" s="8"/>
      <c r="M835" s="8"/>
      <c r="O835" s="8"/>
      <c r="Q835" s="8"/>
      <c r="S835" s="8"/>
      <c r="V835" s="8"/>
      <c r="X835" s="31"/>
      <c r="Y835" s="31" t="str">
        <f>IF($X835="","",SUMIFS(TARIFF_PROFILES!$D:$D,TARIFF_PROFILES!$A:$A,$X835))</f>
        <v/>
      </c>
      <c r="Z835" s="31" t="str">
        <f>IF($X835="","",SUMIFS(TARIFF_PROFILES!$E:$E,TARIFF_PROFILES!$A:$A,$X835))</f>
        <v/>
      </c>
      <c r="AA835" s="31" t="str">
        <f>IF($X835="","",SUMIFS(TARIFF_PROFILES!$F:$F,TARIFF_PROFILES!$A:$A,$X835))</f>
        <v/>
      </c>
      <c r="AB835" s="31" t="str">
        <f>IF($X835="","",SUMIFS(TARIFF_PROFILES!$G:$G,TARIFF_PROFILES!$A:$A,$X835))</f>
        <v/>
      </c>
      <c r="AC835" s="31" t="str">
        <f>IF($X835="","",SUMIFS(TARIFF_PROFILES!$H:$H,TARIFF_PROFILES!$A:$A,$X835))</f>
        <v/>
      </c>
      <c r="AD835" s="31" t="str">
        <f t="array" ref="AD835">IF($X835="","",INDEX(TARIFF_PROFILES!$J:$J,MATCH($X835,TARIFF_PROFILES!$A:$A,0)))</f>
        <v/>
      </c>
      <c r="AE835" s="31" t="str">
        <f t="array" ref="AE835">IF($X835="","",INDEX(TARIFF_PROFILES!$K:$K,MATCH($X835,TARIFF_PROFILES!$A:$A,0)))</f>
        <v/>
      </c>
      <c r="AG835" s="8"/>
      <c r="AH835" s="8" t="str">
        <f>IF($AG835="","",SUMIFS(OPERATING_COEFFS!$C:$C,OPERATING_COEFFS!$A:$A,"DistanceClass",OPERATING_COEFFS!$B:$B,$AG835))</f>
        <v/>
      </c>
      <c r="AI835" s="8"/>
      <c r="AJ835" s="8" t="str">
        <f>IF($AI835="","",SUMIFS(OPERATING_COEFFS!$C:$C,OPERATING_COEFFS!$A:$A,"SeasonClass",OPERATING_COEFFS!$B:$B,$AI835))</f>
        <v/>
      </c>
      <c r="AK835" s="8"/>
      <c r="AL835" s="8" t="str">
        <f>IF($AK835="","",SUMIFS(OPERATING_COEFFS!$C:$C,OPERATING_COEFFS!$A:$A,"UrgencyClass",OPERATING_COEFFS!$B:$B,$AK835))</f>
        <v/>
      </c>
      <c r="AM835" s="8"/>
      <c r="AN835" s="8" t="str">
        <f t="array" ref="AN835">IF($AM835="","",INDEX(TAX_MODES!$B:$B,MATCH($AM835,TAX_MODES!$A:$A,0)))</f>
        <v/>
      </c>
    </row>
    <row r="836" ht="14.25" customHeight="1">
      <c r="C836" s="8"/>
      <c r="E836" s="8"/>
      <c r="G836" s="8"/>
      <c r="I836" s="8"/>
      <c r="K836" s="8"/>
      <c r="M836" s="8"/>
      <c r="O836" s="8"/>
      <c r="Q836" s="8"/>
      <c r="S836" s="8"/>
      <c r="V836" s="8"/>
      <c r="X836" s="31"/>
      <c r="Y836" s="31" t="str">
        <f>IF($X836="","",SUMIFS(TARIFF_PROFILES!$D:$D,TARIFF_PROFILES!$A:$A,$X836))</f>
        <v/>
      </c>
      <c r="Z836" s="31" t="str">
        <f>IF($X836="","",SUMIFS(TARIFF_PROFILES!$E:$E,TARIFF_PROFILES!$A:$A,$X836))</f>
        <v/>
      </c>
      <c r="AA836" s="31" t="str">
        <f>IF($X836="","",SUMIFS(TARIFF_PROFILES!$F:$F,TARIFF_PROFILES!$A:$A,$X836))</f>
        <v/>
      </c>
      <c r="AB836" s="31" t="str">
        <f>IF($X836="","",SUMIFS(TARIFF_PROFILES!$G:$G,TARIFF_PROFILES!$A:$A,$X836))</f>
        <v/>
      </c>
      <c r="AC836" s="31" t="str">
        <f>IF($X836="","",SUMIFS(TARIFF_PROFILES!$H:$H,TARIFF_PROFILES!$A:$A,$X836))</f>
        <v/>
      </c>
      <c r="AD836" s="31" t="str">
        <f t="array" ref="AD836">IF($X836="","",INDEX(TARIFF_PROFILES!$J:$J,MATCH($X836,TARIFF_PROFILES!$A:$A,0)))</f>
        <v/>
      </c>
      <c r="AE836" s="31" t="str">
        <f t="array" ref="AE836">IF($X836="","",INDEX(TARIFF_PROFILES!$K:$K,MATCH($X836,TARIFF_PROFILES!$A:$A,0)))</f>
        <v/>
      </c>
      <c r="AG836" s="8"/>
      <c r="AH836" s="8" t="str">
        <f>IF($AG836="","",SUMIFS(OPERATING_COEFFS!$C:$C,OPERATING_COEFFS!$A:$A,"DistanceClass",OPERATING_COEFFS!$B:$B,$AG836))</f>
        <v/>
      </c>
      <c r="AI836" s="8"/>
      <c r="AJ836" s="8" t="str">
        <f>IF($AI836="","",SUMIFS(OPERATING_COEFFS!$C:$C,OPERATING_COEFFS!$A:$A,"SeasonClass",OPERATING_COEFFS!$B:$B,$AI836))</f>
        <v/>
      </c>
      <c r="AK836" s="8"/>
      <c r="AL836" s="8" t="str">
        <f>IF($AK836="","",SUMIFS(OPERATING_COEFFS!$C:$C,OPERATING_COEFFS!$A:$A,"UrgencyClass",OPERATING_COEFFS!$B:$B,$AK836))</f>
        <v/>
      </c>
      <c r="AM836" s="8"/>
      <c r="AN836" s="8" t="str">
        <f t="array" ref="AN836">IF($AM836="","",INDEX(TAX_MODES!$B:$B,MATCH($AM836,TAX_MODES!$A:$A,0)))</f>
        <v/>
      </c>
    </row>
    <row r="837" ht="14.25" customHeight="1">
      <c r="C837" s="8"/>
      <c r="E837" s="8"/>
      <c r="G837" s="8"/>
      <c r="I837" s="8"/>
      <c r="K837" s="8"/>
      <c r="M837" s="8"/>
      <c r="O837" s="8"/>
      <c r="Q837" s="8"/>
      <c r="S837" s="8"/>
      <c r="V837" s="8"/>
      <c r="X837" s="31"/>
      <c r="Y837" s="31" t="str">
        <f>IF($X837="","",SUMIFS(TARIFF_PROFILES!$D:$D,TARIFF_PROFILES!$A:$A,$X837))</f>
        <v/>
      </c>
      <c r="Z837" s="31" t="str">
        <f>IF($X837="","",SUMIFS(TARIFF_PROFILES!$E:$E,TARIFF_PROFILES!$A:$A,$X837))</f>
        <v/>
      </c>
      <c r="AA837" s="31" t="str">
        <f>IF($X837="","",SUMIFS(TARIFF_PROFILES!$F:$F,TARIFF_PROFILES!$A:$A,$X837))</f>
        <v/>
      </c>
      <c r="AB837" s="31" t="str">
        <f>IF($X837="","",SUMIFS(TARIFF_PROFILES!$G:$G,TARIFF_PROFILES!$A:$A,$X837))</f>
        <v/>
      </c>
      <c r="AC837" s="31" t="str">
        <f>IF($X837="","",SUMIFS(TARIFF_PROFILES!$H:$H,TARIFF_PROFILES!$A:$A,$X837))</f>
        <v/>
      </c>
      <c r="AD837" s="31" t="str">
        <f t="array" ref="AD837">IF($X837="","",INDEX(TARIFF_PROFILES!$J:$J,MATCH($X837,TARIFF_PROFILES!$A:$A,0)))</f>
        <v/>
      </c>
      <c r="AE837" s="31" t="str">
        <f t="array" ref="AE837">IF($X837="","",INDEX(TARIFF_PROFILES!$K:$K,MATCH($X837,TARIFF_PROFILES!$A:$A,0)))</f>
        <v/>
      </c>
      <c r="AG837" s="8"/>
      <c r="AH837" s="8" t="str">
        <f>IF($AG837="","",SUMIFS(OPERATING_COEFFS!$C:$C,OPERATING_COEFFS!$A:$A,"DistanceClass",OPERATING_COEFFS!$B:$B,$AG837))</f>
        <v/>
      </c>
      <c r="AI837" s="8"/>
      <c r="AJ837" s="8" t="str">
        <f>IF($AI837="","",SUMIFS(OPERATING_COEFFS!$C:$C,OPERATING_COEFFS!$A:$A,"SeasonClass",OPERATING_COEFFS!$B:$B,$AI837))</f>
        <v/>
      </c>
      <c r="AK837" s="8"/>
      <c r="AL837" s="8" t="str">
        <f>IF($AK837="","",SUMIFS(OPERATING_COEFFS!$C:$C,OPERATING_COEFFS!$A:$A,"UrgencyClass",OPERATING_COEFFS!$B:$B,$AK837))</f>
        <v/>
      </c>
      <c r="AM837" s="8"/>
      <c r="AN837" s="8" t="str">
        <f t="array" ref="AN837">IF($AM837="","",INDEX(TAX_MODES!$B:$B,MATCH($AM837,TAX_MODES!$A:$A,0)))</f>
        <v/>
      </c>
    </row>
    <row r="838" ht="14.25" customHeight="1">
      <c r="C838" s="8"/>
      <c r="E838" s="8"/>
      <c r="G838" s="8"/>
      <c r="I838" s="8"/>
      <c r="K838" s="8"/>
      <c r="M838" s="8"/>
      <c r="O838" s="8"/>
      <c r="Q838" s="8"/>
      <c r="S838" s="8"/>
      <c r="V838" s="8"/>
      <c r="X838" s="31"/>
      <c r="Y838" s="31" t="str">
        <f>IF($X838="","",SUMIFS(TARIFF_PROFILES!$D:$D,TARIFF_PROFILES!$A:$A,$X838))</f>
        <v/>
      </c>
      <c r="Z838" s="31" t="str">
        <f>IF($X838="","",SUMIFS(TARIFF_PROFILES!$E:$E,TARIFF_PROFILES!$A:$A,$X838))</f>
        <v/>
      </c>
      <c r="AA838" s="31" t="str">
        <f>IF($X838="","",SUMIFS(TARIFF_PROFILES!$F:$F,TARIFF_PROFILES!$A:$A,$X838))</f>
        <v/>
      </c>
      <c r="AB838" s="31" t="str">
        <f>IF($X838="","",SUMIFS(TARIFF_PROFILES!$G:$G,TARIFF_PROFILES!$A:$A,$X838))</f>
        <v/>
      </c>
      <c r="AC838" s="31" t="str">
        <f>IF($X838="","",SUMIFS(TARIFF_PROFILES!$H:$H,TARIFF_PROFILES!$A:$A,$X838))</f>
        <v/>
      </c>
      <c r="AD838" s="31" t="str">
        <f t="array" ref="AD838">IF($X838="","",INDEX(TARIFF_PROFILES!$J:$J,MATCH($X838,TARIFF_PROFILES!$A:$A,0)))</f>
        <v/>
      </c>
      <c r="AE838" s="31" t="str">
        <f t="array" ref="AE838">IF($X838="","",INDEX(TARIFF_PROFILES!$K:$K,MATCH($X838,TARIFF_PROFILES!$A:$A,0)))</f>
        <v/>
      </c>
      <c r="AG838" s="8"/>
      <c r="AH838" s="8" t="str">
        <f>IF($AG838="","",SUMIFS(OPERATING_COEFFS!$C:$C,OPERATING_COEFFS!$A:$A,"DistanceClass",OPERATING_COEFFS!$B:$B,$AG838))</f>
        <v/>
      </c>
      <c r="AI838" s="8"/>
      <c r="AJ838" s="8" t="str">
        <f>IF($AI838="","",SUMIFS(OPERATING_COEFFS!$C:$C,OPERATING_COEFFS!$A:$A,"SeasonClass",OPERATING_COEFFS!$B:$B,$AI838))</f>
        <v/>
      </c>
      <c r="AK838" s="8"/>
      <c r="AL838" s="8" t="str">
        <f>IF($AK838="","",SUMIFS(OPERATING_COEFFS!$C:$C,OPERATING_COEFFS!$A:$A,"UrgencyClass",OPERATING_COEFFS!$B:$B,$AK838))</f>
        <v/>
      </c>
      <c r="AM838" s="8"/>
      <c r="AN838" s="8" t="str">
        <f t="array" ref="AN838">IF($AM838="","",INDEX(TAX_MODES!$B:$B,MATCH($AM838,TAX_MODES!$A:$A,0)))</f>
        <v/>
      </c>
    </row>
    <row r="839" ht="14.25" customHeight="1">
      <c r="C839" s="8"/>
      <c r="E839" s="8"/>
      <c r="G839" s="8"/>
      <c r="I839" s="8"/>
      <c r="K839" s="8"/>
      <c r="M839" s="8"/>
      <c r="O839" s="8"/>
      <c r="Q839" s="8"/>
      <c r="S839" s="8"/>
      <c r="V839" s="8"/>
      <c r="X839" s="31"/>
      <c r="Y839" s="31" t="str">
        <f>IF($X839="","",SUMIFS(TARIFF_PROFILES!$D:$D,TARIFF_PROFILES!$A:$A,$X839))</f>
        <v/>
      </c>
      <c r="Z839" s="31" t="str">
        <f>IF($X839="","",SUMIFS(TARIFF_PROFILES!$E:$E,TARIFF_PROFILES!$A:$A,$X839))</f>
        <v/>
      </c>
      <c r="AA839" s="31" t="str">
        <f>IF($X839="","",SUMIFS(TARIFF_PROFILES!$F:$F,TARIFF_PROFILES!$A:$A,$X839))</f>
        <v/>
      </c>
      <c r="AB839" s="31" t="str">
        <f>IF($X839="","",SUMIFS(TARIFF_PROFILES!$G:$G,TARIFF_PROFILES!$A:$A,$X839))</f>
        <v/>
      </c>
      <c r="AC839" s="31" t="str">
        <f>IF($X839="","",SUMIFS(TARIFF_PROFILES!$H:$H,TARIFF_PROFILES!$A:$A,$X839))</f>
        <v/>
      </c>
      <c r="AD839" s="31" t="str">
        <f t="array" ref="AD839">IF($X839="","",INDEX(TARIFF_PROFILES!$J:$J,MATCH($X839,TARIFF_PROFILES!$A:$A,0)))</f>
        <v/>
      </c>
      <c r="AE839" s="31" t="str">
        <f t="array" ref="AE839">IF($X839="","",INDEX(TARIFF_PROFILES!$K:$K,MATCH($X839,TARIFF_PROFILES!$A:$A,0)))</f>
        <v/>
      </c>
      <c r="AG839" s="8"/>
      <c r="AH839" s="8" t="str">
        <f>IF($AG839="","",SUMIFS(OPERATING_COEFFS!$C:$C,OPERATING_COEFFS!$A:$A,"DistanceClass",OPERATING_COEFFS!$B:$B,$AG839))</f>
        <v/>
      </c>
      <c r="AI839" s="8"/>
      <c r="AJ839" s="8" t="str">
        <f>IF($AI839="","",SUMIFS(OPERATING_COEFFS!$C:$C,OPERATING_COEFFS!$A:$A,"SeasonClass",OPERATING_COEFFS!$B:$B,$AI839))</f>
        <v/>
      </c>
      <c r="AK839" s="8"/>
      <c r="AL839" s="8" t="str">
        <f>IF($AK839="","",SUMIFS(OPERATING_COEFFS!$C:$C,OPERATING_COEFFS!$A:$A,"UrgencyClass",OPERATING_COEFFS!$B:$B,$AK839))</f>
        <v/>
      </c>
      <c r="AM839" s="8"/>
      <c r="AN839" s="8" t="str">
        <f t="array" ref="AN839">IF($AM839="","",INDEX(TAX_MODES!$B:$B,MATCH($AM839,TAX_MODES!$A:$A,0)))</f>
        <v/>
      </c>
    </row>
    <row r="840" ht="14.25" customHeight="1">
      <c r="C840" s="8"/>
      <c r="E840" s="8"/>
      <c r="G840" s="8"/>
      <c r="I840" s="8"/>
      <c r="K840" s="8"/>
      <c r="M840" s="8"/>
      <c r="O840" s="8"/>
      <c r="Q840" s="8"/>
      <c r="S840" s="8"/>
      <c r="V840" s="8"/>
      <c r="X840" s="31"/>
      <c r="Y840" s="31" t="str">
        <f>IF($X840="","",SUMIFS(TARIFF_PROFILES!$D:$D,TARIFF_PROFILES!$A:$A,$X840))</f>
        <v/>
      </c>
      <c r="Z840" s="31" t="str">
        <f>IF($X840="","",SUMIFS(TARIFF_PROFILES!$E:$E,TARIFF_PROFILES!$A:$A,$X840))</f>
        <v/>
      </c>
      <c r="AA840" s="31" t="str">
        <f>IF($X840="","",SUMIFS(TARIFF_PROFILES!$F:$F,TARIFF_PROFILES!$A:$A,$X840))</f>
        <v/>
      </c>
      <c r="AB840" s="31" t="str">
        <f>IF($X840="","",SUMIFS(TARIFF_PROFILES!$G:$G,TARIFF_PROFILES!$A:$A,$X840))</f>
        <v/>
      </c>
      <c r="AC840" s="31" t="str">
        <f>IF($X840="","",SUMIFS(TARIFF_PROFILES!$H:$H,TARIFF_PROFILES!$A:$A,$X840))</f>
        <v/>
      </c>
      <c r="AD840" s="31" t="str">
        <f t="array" ref="AD840">IF($X840="","",INDEX(TARIFF_PROFILES!$J:$J,MATCH($X840,TARIFF_PROFILES!$A:$A,0)))</f>
        <v/>
      </c>
      <c r="AE840" s="31" t="str">
        <f t="array" ref="AE840">IF($X840="","",INDEX(TARIFF_PROFILES!$K:$K,MATCH($X840,TARIFF_PROFILES!$A:$A,0)))</f>
        <v/>
      </c>
      <c r="AG840" s="8"/>
      <c r="AH840" s="8" t="str">
        <f>IF($AG840="","",SUMIFS(OPERATING_COEFFS!$C:$C,OPERATING_COEFFS!$A:$A,"DistanceClass",OPERATING_COEFFS!$B:$B,$AG840))</f>
        <v/>
      </c>
      <c r="AI840" s="8"/>
      <c r="AJ840" s="8" t="str">
        <f>IF($AI840="","",SUMIFS(OPERATING_COEFFS!$C:$C,OPERATING_COEFFS!$A:$A,"SeasonClass",OPERATING_COEFFS!$B:$B,$AI840))</f>
        <v/>
      </c>
      <c r="AK840" s="8"/>
      <c r="AL840" s="8" t="str">
        <f>IF($AK840="","",SUMIFS(OPERATING_COEFFS!$C:$C,OPERATING_COEFFS!$A:$A,"UrgencyClass",OPERATING_COEFFS!$B:$B,$AK840))</f>
        <v/>
      </c>
      <c r="AM840" s="8"/>
      <c r="AN840" s="8" t="str">
        <f t="array" ref="AN840">IF($AM840="","",INDEX(TAX_MODES!$B:$B,MATCH($AM840,TAX_MODES!$A:$A,0)))</f>
        <v/>
      </c>
    </row>
    <row r="841" ht="14.25" customHeight="1">
      <c r="C841" s="8"/>
      <c r="E841" s="8"/>
      <c r="G841" s="8"/>
      <c r="I841" s="8"/>
      <c r="K841" s="8"/>
      <c r="M841" s="8"/>
      <c r="O841" s="8"/>
      <c r="Q841" s="8"/>
      <c r="S841" s="8"/>
      <c r="V841" s="8"/>
      <c r="X841" s="31"/>
      <c r="Y841" s="31" t="str">
        <f>IF($X841="","",SUMIFS(TARIFF_PROFILES!$D:$D,TARIFF_PROFILES!$A:$A,$X841))</f>
        <v/>
      </c>
      <c r="Z841" s="31" t="str">
        <f>IF($X841="","",SUMIFS(TARIFF_PROFILES!$E:$E,TARIFF_PROFILES!$A:$A,$X841))</f>
        <v/>
      </c>
      <c r="AA841" s="31" t="str">
        <f>IF($X841="","",SUMIFS(TARIFF_PROFILES!$F:$F,TARIFF_PROFILES!$A:$A,$X841))</f>
        <v/>
      </c>
      <c r="AB841" s="31" t="str">
        <f>IF($X841="","",SUMIFS(TARIFF_PROFILES!$G:$G,TARIFF_PROFILES!$A:$A,$X841))</f>
        <v/>
      </c>
      <c r="AC841" s="31" t="str">
        <f>IF($X841="","",SUMIFS(TARIFF_PROFILES!$H:$H,TARIFF_PROFILES!$A:$A,$X841))</f>
        <v/>
      </c>
      <c r="AD841" s="31" t="str">
        <f t="array" ref="AD841">IF($X841="","",INDEX(TARIFF_PROFILES!$J:$J,MATCH($X841,TARIFF_PROFILES!$A:$A,0)))</f>
        <v/>
      </c>
      <c r="AE841" s="31" t="str">
        <f t="array" ref="AE841">IF($X841="","",INDEX(TARIFF_PROFILES!$K:$K,MATCH($X841,TARIFF_PROFILES!$A:$A,0)))</f>
        <v/>
      </c>
      <c r="AG841" s="8"/>
      <c r="AH841" s="8" t="str">
        <f>IF($AG841="","",SUMIFS(OPERATING_COEFFS!$C:$C,OPERATING_COEFFS!$A:$A,"DistanceClass",OPERATING_COEFFS!$B:$B,$AG841))</f>
        <v/>
      </c>
      <c r="AI841" s="8"/>
      <c r="AJ841" s="8" t="str">
        <f>IF($AI841="","",SUMIFS(OPERATING_COEFFS!$C:$C,OPERATING_COEFFS!$A:$A,"SeasonClass",OPERATING_COEFFS!$B:$B,$AI841))</f>
        <v/>
      </c>
      <c r="AK841" s="8"/>
      <c r="AL841" s="8" t="str">
        <f>IF($AK841="","",SUMIFS(OPERATING_COEFFS!$C:$C,OPERATING_COEFFS!$A:$A,"UrgencyClass",OPERATING_COEFFS!$B:$B,$AK841))</f>
        <v/>
      </c>
      <c r="AM841" s="8"/>
      <c r="AN841" s="8" t="str">
        <f t="array" ref="AN841">IF($AM841="","",INDEX(TAX_MODES!$B:$B,MATCH($AM841,TAX_MODES!$A:$A,0)))</f>
        <v/>
      </c>
    </row>
    <row r="842" ht="14.25" customHeight="1">
      <c r="C842" s="8"/>
      <c r="E842" s="8"/>
      <c r="G842" s="8"/>
      <c r="I842" s="8"/>
      <c r="K842" s="8"/>
      <c r="M842" s="8"/>
      <c r="O842" s="8"/>
      <c r="Q842" s="8"/>
      <c r="S842" s="8"/>
      <c r="V842" s="8"/>
      <c r="X842" s="31"/>
      <c r="Y842" s="31" t="str">
        <f>IF($X842="","",SUMIFS(TARIFF_PROFILES!$D:$D,TARIFF_PROFILES!$A:$A,$X842))</f>
        <v/>
      </c>
      <c r="Z842" s="31" t="str">
        <f>IF($X842="","",SUMIFS(TARIFF_PROFILES!$E:$E,TARIFF_PROFILES!$A:$A,$X842))</f>
        <v/>
      </c>
      <c r="AA842" s="31" t="str">
        <f>IF($X842="","",SUMIFS(TARIFF_PROFILES!$F:$F,TARIFF_PROFILES!$A:$A,$X842))</f>
        <v/>
      </c>
      <c r="AB842" s="31" t="str">
        <f>IF($X842="","",SUMIFS(TARIFF_PROFILES!$G:$G,TARIFF_PROFILES!$A:$A,$X842))</f>
        <v/>
      </c>
      <c r="AC842" s="31" t="str">
        <f>IF($X842="","",SUMIFS(TARIFF_PROFILES!$H:$H,TARIFF_PROFILES!$A:$A,$X842))</f>
        <v/>
      </c>
      <c r="AD842" s="31" t="str">
        <f t="array" ref="AD842">IF($X842="","",INDEX(TARIFF_PROFILES!$J:$J,MATCH($X842,TARIFF_PROFILES!$A:$A,0)))</f>
        <v/>
      </c>
      <c r="AE842" s="31" t="str">
        <f t="array" ref="AE842">IF($X842="","",INDEX(TARIFF_PROFILES!$K:$K,MATCH($X842,TARIFF_PROFILES!$A:$A,0)))</f>
        <v/>
      </c>
      <c r="AG842" s="8"/>
      <c r="AH842" s="8" t="str">
        <f>IF($AG842="","",SUMIFS(OPERATING_COEFFS!$C:$C,OPERATING_COEFFS!$A:$A,"DistanceClass",OPERATING_COEFFS!$B:$B,$AG842))</f>
        <v/>
      </c>
      <c r="AI842" s="8"/>
      <c r="AJ842" s="8" t="str">
        <f>IF($AI842="","",SUMIFS(OPERATING_COEFFS!$C:$C,OPERATING_COEFFS!$A:$A,"SeasonClass",OPERATING_COEFFS!$B:$B,$AI842))</f>
        <v/>
      </c>
      <c r="AK842" s="8"/>
      <c r="AL842" s="8" t="str">
        <f>IF($AK842="","",SUMIFS(OPERATING_COEFFS!$C:$C,OPERATING_COEFFS!$A:$A,"UrgencyClass",OPERATING_COEFFS!$B:$B,$AK842))</f>
        <v/>
      </c>
      <c r="AM842" s="8"/>
      <c r="AN842" s="8" t="str">
        <f t="array" ref="AN842">IF($AM842="","",INDEX(TAX_MODES!$B:$B,MATCH($AM842,TAX_MODES!$A:$A,0)))</f>
        <v/>
      </c>
    </row>
    <row r="843" ht="14.25" customHeight="1">
      <c r="C843" s="8"/>
      <c r="E843" s="8"/>
      <c r="G843" s="8"/>
      <c r="I843" s="8"/>
      <c r="K843" s="8"/>
      <c r="M843" s="8"/>
      <c r="O843" s="8"/>
      <c r="Q843" s="8"/>
      <c r="S843" s="8"/>
      <c r="V843" s="8"/>
      <c r="X843" s="31"/>
      <c r="Y843" s="31" t="str">
        <f>IF($X843="","",SUMIFS(TARIFF_PROFILES!$D:$D,TARIFF_PROFILES!$A:$A,$X843))</f>
        <v/>
      </c>
      <c r="Z843" s="31" t="str">
        <f>IF($X843="","",SUMIFS(TARIFF_PROFILES!$E:$E,TARIFF_PROFILES!$A:$A,$X843))</f>
        <v/>
      </c>
      <c r="AA843" s="31" t="str">
        <f>IF($X843="","",SUMIFS(TARIFF_PROFILES!$F:$F,TARIFF_PROFILES!$A:$A,$X843))</f>
        <v/>
      </c>
      <c r="AB843" s="31" t="str">
        <f>IF($X843="","",SUMIFS(TARIFF_PROFILES!$G:$G,TARIFF_PROFILES!$A:$A,$X843))</f>
        <v/>
      </c>
      <c r="AC843" s="31" t="str">
        <f>IF($X843="","",SUMIFS(TARIFF_PROFILES!$H:$H,TARIFF_PROFILES!$A:$A,$X843))</f>
        <v/>
      </c>
      <c r="AD843" s="31" t="str">
        <f t="array" ref="AD843">IF($X843="","",INDEX(TARIFF_PROFILES!$J:$J,MATCH($X843,TARIFF_PROFILES!$A:$A,0)))</f>
        <v/>
      </c>
      <c r="AE843" s="31" t="str">
        <f t="array" ref="AE843">IF($X843="","",INDEX(TARIFF_PROFILES!$K:$K,MATCH($X843,TARIFF_PROFILES!$A:$A,0)))</f>
        <v/>
      </c>
      <c r="AG843" s="8"/>
      <c r="AH843" s="8" t="str">
        <f>IF($AG843="","",SUMIFS(OPERATING_COEFFS!$C:$C,OPERATING_COEFFS!$A:$A,"DistanceClass",OPERATING_COEFFS!$B:$B,$AG843))</f>
        <v/>
      </c>
      <c r="AI843" s="8"/>
      <c r="AJ843" s="8" t="str">
        <f>IF($AI843="","",SUMIFS(OPERATING_COEFFS!$C:$C,OPERATING_COEFFS!$A:$A,"SeasonClass",OPERATING_COEFFS!$B:$B,$AI843))</f>
        <v/>
      </c>
      <c r="AK843" s="8"/>
      <c r="AL843" s="8" t="str">
        <f>IF($AK843="","",SUMIFS(OPERATING_COEFFS!$C:$C,OPERATING_COEFFS!$A:$A,"UrgencyClass",OPERATING_COEFFS!$B:$B,$AK843))</f>
        <v/>
      </c>
      <c r="AM843" s="8"/>
      <c r="AN843" s="8" t="str">
        <f t="array" ref="AN843">IF($AM843="","",INDEX(TAX_MODES!$B:$B,MATCH($AM843,TAX_MODES!$A:$A,0)))</f>
        <v/>
      </c>
    </row>
    <row r="844" ht="14.25" customHeight="1">
      <c r="C844" s="8"/>
      <c r="E844" s="8"/>
      <c r="G844" s="8"/>
      <c r="I844" s="8"/>
      <c r="K844" s="8"/>
      <c r="M844" s="8"/>
      <c r="O844" s="8"/>
      <c r="Q844" s="8"/>
      <c r="S844" s="8"/>
      <c r="V844" s="8"/>
      <c r="X844" s="31"/>
      <c r="Y844" s="31" t="str">
        <f>IF($X844="","",SUMIFS(TARIFF_PROFILES!$D:$D,TARIFF_PROFILES!$A:$A,$X844))</f>
        <v/>
      </c>
      <c r="Z844" s="31" t="str">
        <f>IF($X844="","",SUMIFS(TARIFF_PROFILES!$E:$E,TARIFF_PROFILES!$A:$A,$X844))</f>
        <v/>
      </c>
      <c r="AA844" s="31" t="str">
        <f>IF($X844="","",SUMIFS(TARIFF_PROFILES!$F:$F,TARIFF_PROFILES!$A:$A,$X844))</f>
        <v/>
      </c>
      <c r="AB844" s="31" t="str">
        <f>IF($X844="","",SUMIFS(TARIFF_PROFILES!$G:$G,TARIFF_PROFILES!$A:$A,$X844))</f>
        <v/>
      </c>
      <c r="AC844" s="31" t="str">
        <f>IF($X844="","",SUMIFS(TARIFF_PROFILES!$H:$H,TARIFF_PROFILES!$A:$A,$X844))</f>
        <v/>
      </c>
      <c r="AD844" s="31" t="str">
        <f t="array" ref="AD844">IF($X844="","",INDEX(TARIFF_PROFILES!$J:$J,MATCH($X844,TARIFF_PROFILES!$A:$A,0)))</f>
        <v/>
      </c>
      <c r="AE844" s="31" t="str">
        <f t="array" ref="AE844">IF($X844="","",INDEX(TARIFF_PROFILES!$K:$K,MATCH($X844,TARIFF_PROFILES!$A:$A,0)))</f>
        <v/>
      </c>
      <c r="AG844" s="8"/>
      <c r="AH844" s="8" t="str">
        <f>IF($AG844="","",SUMIFS(OPERATING_COEFFS!$C:$C,OPERATING_COEFFS!$A:$A,"DistanceClass",OPERATING_COEFFS!$B:$B,$AG844))</f>
        <v/>
      </c>
      <c r="AI844" s="8"/>
      <c r="AJ844" s="8" t="str">
        <f>IF($AI844="","",SUMIFS(OPERATING_COEFFS!$C:$C,OPERATING_COEFFS!$A:$A,"SeasonClass",OPERATING_COEFFS!$B:$B,$AI844))</f>
        <v/>
      </c>
      <c r="AK844" s="8"/>
      <c r="AL844" s="8" t="str">
        <f>IF($AK844="","",SUMIFS(OPERATING_COEFFS!$C:$C,OPERATING_COEFFS!$A:$A,"UrgencyClass",OPERATING_COEFFS!$B:$B,$AK844))</f>
        <v/>
      </c>
      <c r="AM844" s="8"/>
      <c r="AN844" s="8" t="str">
        <f t="array" ref="AN844">IF($AM844="","",INDEX(TAX_MODES!$B:$B,MATCH($AM844,TAX_MODES!$A:$A,0)))</f>
        <v/>
      </c>
    </row>
    <row r="845" ht="14.25" customHeight="1">
      <c r="C845" s="8"/>
      <c r="E845" s="8"/>
      <c r="G845" s="8"/>
      <c r="I845" s="8"/>
      <c r="K845" s="8"/>
      <c r="M845" s="8"/>
      <c r="O845" s="8"/>
      <c r="Q845" s="8"/>
      <c r="S845" s="8"/>
      <c r="V845" s="8"/>
      <c r="X845" s="31"/>
      <c r="Y845" s="31" t="str">
        <f>IF($X845="","",SUMIFS(TARIFF_PROFILES!$D:$D,TARIFF_PROFILES!$A:$A,$X845))</f>
        <v/>
      </c>
      <c r="Z845" s="31" t="str">
        <f>IF($X845="","",SUMIFS(TARIFF_PROFILES!$E:$E,TARIFF_PROFILES!$A:$A,$X845))</f>
        <v/>
      </c>
      <c r="AA845" s="31" t="str">
        <f>IF($X845="","",SUMIFS(TARIFF_PROFILES!$F:$F,TARIFF_PROFILES!$A:$A,$X845))</f>
        <v/>
      </c>
      <c r="AB845" s="31" t="str">
        <f>IF($X845="","",SUMIFS(TARIFF_PROFILES!$G:$G,TARIFF_PROFILES!$A:$A,$X845))</f>
        <v/>
      </c>
      <c r="AC845" s="31" t="str">
        <f>IF($X845="","",SUMIFS(TARIFF_PROFILES!$H:$H,TARIFF_PROFILES!$A:$A,$X845))</f>
        <v/>
      </c>
      <c r="AD845" s="31" t="str">
        <f t="array" ref="AD845">IF($X845="","",INDEX(TARIFF_PROFILES!$J:$J,MATCH($X845,TARIFF_PROFILES!$A:$A,0)))</f>
        <v/>
      </c>
      <c r="AE845" s="31" t="str">
        <f t="array" ref="AE845">IF($X845="","",INDEX(TARIFF_PROFILES!$K:$K,MATCH($X845,TARIFF_PROFILES!$A:$A,0)))</f>
        <v/>
      </c>
      <c r="AG845" s="8"/>
      <c r="AH845" s="8" t="str">
        <f>IF($AG845="","",SUMIFS(OPERATING_COEFFS!$C:$C,OPERATING_COEFFS!$A:$A,"DistanceClass",OPERATING_COEFFS!$B:$B,$AG845))</f>
        <v/>
      </c>
      <c r="AI845" s="8"/>
      <c r="AJ845" s="8" t="str">
        <f>IF($AI845="","",SUMIFS(OPERATING_COEFFS!$C:$C,OPERATING_COEFFS!$A:$A,"SeasonClass",OPERATING_COEFFS!$B:$B,$AI845))</f>
        <v/>
      </c>
      <c r="AK845" s="8"/>
      <c r="AL845" s="8" t="str">
        <f>IF($AK845="","",SUMIFS(OPERATING_COEFFS!$C:$C,OPERATING_COEFFS!$A:$A,"UrgencyClass",OPERATING_COEFFS!$B:$B,$AK845))</f>
        <v/>
      </c>
      <c r="AM845" s="8"/>
      <c r="AN845" s="8" t="str">
        <f t="array" ref="AN845">IF($AM845="","",INDEX(TAX_MODES!$B:$B,MATCH($AM845,TAX_MODES!$A:$A,0)))</f>
        <v/>
      </c>
    </row>
    <row r="846" ht="14.25" customHeight="1">
      <c r="C846" s="8"/>
      <c r="E846" s="8"/>
      <c r="G846" s="8"/>
      <c r="I846" s="8"/>
      <c r="K846" s="8"/>
      <c r="M846" s="8"/>
      <c r="O846" s="8"/>
      <c r="Q846" s="8"/>
      <c r="S846" s="8"/>
      <c r="V846" s="8"/>
      <c r="X846" s="31"/>
      <c r="Y846" s="31" t="str">
        <f>IF($X846="","",SUMIFS(TARIFF_PROFILES!$D:$D,TARIFF_PROFILES!$A:$A,$X846))</f>
        <v/>
      </c>
      <c r="Z846" s="31" t="str">
        <f>IF($X846="","",SUMIFS(TARIFF_PROFILES!$E:$E,TARIFF_PROFILES!$A:$A,$X846))</f>
        <v/>
      </c>
      <c r="AA846" s="31" t="str">
        <f>IF($X846="","",SUMIFS(TARIFF_PROFILES!$F:$F,TARIFF_PROFILES!$A:$A,$X846))</f>
        <v/>
      </c>
      <c r="AB846" s="31" t="str">
        <f>IF($X846="","",SUMIFS(TARIFF_PROFILES!$G:$G,TARIFF_PROFILES!$A:$A,$X846))</f>
        <v/>
      </c>
      <c r="AC846" s="31" t="str">
        <f>IF($X846="","",SUMIFS(TARIFF_PROFILES!$H:$H,TARIFF_PROFILES!$A:$A,$X846))</f>
        <v/>
      </c>
      <c r="AD846" s="31" t="str">
        <f t="array" ref="AD846">IF($X846="","",INDEX(TARIFF_PROFILES!$J:$J,MATCH($X846,TARIFF_PROFILES!$A:$A,0)))</f>
        <v/>
      </c>
      <c r="AE846" s="31" t="str">
        <f t="array" ref="AE846">IF($X846="","",INDEX(TARIFF_PROFILES!$K:$K,MATCH($X846,TARIFF_PROFILES!$A:$A,0)))</f>
        <v/>
      </c>
      <c r="AG846" s="8"/>
      <c r="AH846" s="8" t="str">
        <f>IF($AG846="","",SUMIFS(OPERATING_COEFFS!$C:$C,OPERATING_COEFFS!$A:$A,"DistanceClass",OPERATING_COEFFS!$B:$B,$AG846))</f>
        <v/>
      </c>
      <c r="AI846" s="8"/>
      <c r="AJ846" s="8" t="str">
        <f>IF($AI846="","",SUMIFS(OPERATING_COEFFS!$C:$C,OPERATING_COEFFS!$A:$A,"SeasonClass",OPERATING_COEFFS!$B:$B,$AI846))</f>
        <v/>
      </c>
      <c r="AK846" s="8"/>
      <c r="AL846" s="8" t="str">
        <f>IF($AK846="","",SUMIFS(OPERATING_COEFFS!$C:$C,OPERATING_COEFFS!$A:$A,"UrgencyClass",OPERATING_COEFFS!$B:$B,$AK846))</f>
        <v/>
      </c>
      <c r="AM846" s="8"/>
      <c r="AN846" s="8" t="str">
        <f t="array" ref="AN846">IF($AM846="","",INDEX(TAX_MODES!$B:$B,MATCH($AM846,TAX_MODES!$A:$A,0)))</f>
        <v/>
      </c>
    </row>
    <row r="847" ht="14.25" customHeight="1">
      <c r="C847" s="8"/>
      <c r="E847" s="8"/>
      <c r="G847" s="8"/>
      <c r="I847" s="8"/>
      <c r="K847" s="8"/>
      <c r="M847" s="8"/>
      <c r="O847" s="8"/>
      <c r="Q847" s="8"/>
      <c r="S847" s="8"/>
      <c r="V847" s="8"/>
      <c r="X847" s="31"/>
      <c r="Y847" s="31" t="str">
        <f>IF($X847="","",SUMIFS(TARIFF_PROFILES!$D:$D,TARIFF_PROFILES!$A:$A,$X847))</f>
        <v/>
      </c>
      <c r="Z847" s="31" t="str">
        <f>IF($X847="","",SUMIFS(TARIFF_PROFILES!$E:$E,TARIFF_PROFILES!$A:$A,$X847))</f>
        <v/>
      </c>
      <c r="AA847" s="31" t="str">
        <f>IF($X847="","",SUMIFS(TARIFF_PROFILES!$F:$F,TARIFF_PROFILES!$A:$A,$X847))</f>
        <v/>
      </c>
      <c r="AB847" s="31" t="str">
        <f>IF($X847="","",SUMIFS(TARIFF_PROFILES!$G:$G,TARIFF_PROFILES!$A:$A,$X847))</f>
        <v/>
      </c>
      <c r="AC847" s="31" t="str">
        <f>IF($X847="","",SUMIFS(TARIFF_PROFILES!$H:$H,TARIFF_PROFILES!$A:$A,$X847))</f>
        <v/>
      </c>
      <c r="AD847" s="31" t="str">
        <f t="array" ref="AD847">IF($X847="","",INDEX(TARIFF_PROFILES!$J:$J,MATCH($X847,TARIFF_PROFILES!$A:$A,0)))</f>
        <v/>
      </c>
      <c r="AE847" s="31" t="str">
        <f t="array" ref="AE847">IF($X847="","",INDEX(TARIFF_PROFILES!$K:$K,MATCH($X847,TARIFF_PROFILES!$A:$A,0)))</f>
        <v/>
      </c>
      <c r="AG847" s="8"/>
      <c r="AH847" s="8" t="str">
        <f>IF($AG847="","",SUMIFS(OPERATING_COEFFS!$C:$C,OPERATING_COEFFS!$A:$A,"DistanceClass",OPERATING_COEFFS!$B:$B,$AG847))</f>
        <v/>
      </c>
      <c r="AI847" s="8"/>
      <c r="AJ847" s="8" t="str">
        <f>IF($AI847="","",SUMIFS(OPERATING_COEFFS!$C:$C,OPERATING_COEFFS!$A:$A,"SeasonClass",OPERATING_COEFFS!$B:$B,$AI847))</f>
        <v/>
      </c>
      <c r="AK847" s="8"/>
      <c r="AL847" s="8" t="str">
        <f>IF($AK847="","",SUMIFS(OPERATING_COEFFS!$C:$C,OPERATING_COEFFS!$A:$A,"UrgencyClass",OPERATING_COEFFS!$B:$B,$AK847))</f>
        <v/>
      </c>
      <c r="AM847" s="8"/>
      <c r="AN847" s="8" t="str">
        <f t="array" ref="AN847">IF($AM847="","",INDEX(TAX_MODES!$B:$B,MATCH($AM847,TAX_MODES!$A:$A,0)))</f>
        <v/>
      </c>
    </row>
    <row r="848" ht="14.25" customHeight="1">
      <c r="C848" s="8"/>
      <c r="E848" s="8"/>
      <c r="G848" s="8"/>
      <c r="I848" s="8"/>
      <c r="K848" s="8"/>
      <c r="M848" s="8"/>
      <c r="O848" s="8"/>
      <c r="Q848" s="8"/>
      <c r="S848" s="8"/>
      <c r="V848" s="8"/>
      <c r="X848" s="31"/>
      <c r="Y848" s="31" t="str">
        <f>IF($X848="","",SUMIFS(TARIFF_PROFILES!$D:$D,TARIFF_PROFILES!$A:$A,$X848))</f>
        <v/>
      </c>
      <c r="Z848" s="31" t="str">
        <f>IF($X848="","",SUMIFS(TARIFF_PROFILES!$E:$E,TARIFF_PROFILES!$A:$A,$X848))</f>
        <v/>
      </c>
      <c r="AA848" s="31" t="str">
        <f>IF($X848="","",SUMIFS(TARIFF_PROFILES!$F:$F,TARIFF_PROFILES!$A:$A,$X848))</f>
        <v/>
      </c>
      <c r="AB848" s="31" t="str">
        <f>IF($X848="","",SUMIFS(TARIFF_PROFILES!$G:$G,TARIFF_PROFILES!$A:$A,$X848))</f>
        <v/>
      </c>
      <c r="AC848" s="31" t="str">
        <f>IF($X848="","",SUMIFS(TARIFF_PROFILES!$H:$H,TARIFF_PROFILES!$A:$A,$X848))</f>
        <v/>
      </c>
      <c r="AD848" s="31" t="str">
        <f t="array" ref="AD848">IF($X848="","",INDEX(TARIFF_PROFILES!$J:$J,MATCH($X848,TARIFF_PROFILES!$A:$A,0)))</f>
        <v/>
      </c>
      <c r="AE848" s="31" t="str">
        <f t="array" ref="AE848">IF($X848="","",INDEX(TARIFF_PROFILES!$K:$K,MATCH($X848,TARIFF_PROFILES!$A:$A,0)))</f>
        <v/>
      </c>
      <c r="AG848" s="8"/>
      <c r="AH848" s="8" t="str">
        <f>IF($AG848="","",SUMIFS(OPERATING_COEFFS!$C:$C,OPERATING_COEFFS!$A:$A,"DistanceClass",OPERATING_COEFFS!$B:$B,$AG848))</f>
        <v/>
      </c>
      <c r="AI848" s="8"/>
      <c r="AJ848" s="8" t="str">
        <f>IF($AI848="","",SUMIFS(OPERATING_COEFFS!$C:$C,OPERATING_COEFFS!$A:$A,"SeasonClass",OPERATING_COEFFS!$B:$B,$AI848))</f>
        <v/>
      </c>
      <c r="AK848" s="8"/>
      <c r="AL848" s="8" t="str">
        <f>IF($AK848="","",SUMIFS(OPERATING_COEFFS!$C:$C,OPERATING_COEFFS!$A:$A,"UrgencyClass",OPERATING_COEFFS!$B:$B,$AK848))</f>
        <v/>
      </c>
      <c r="AM848" s="8"/>
      <c r="AN848" s="8" t="str">
        <f t="array" ref="AN848">IF($AM848="","",INDEX(TAX_MODES!$B:$B,MATCH($AM848,TAX_MODES!$A:$A,0)))</f>
        <v/>
      </c>
    </row>
    <row r="849" ht="14.25" customHeight="1">
      <c r="C849" s="8"/>
      <c r="E849" s="8"/>
      <c r="G849" s="8"/>
      <c r="I849" s="8"/>
      <c r="K849" s="8"/>
      <c r="M849" s="8"/>
      <c r="O849" s="8"/>
      <c r="Q849" s="8"/>
      <c r="S849" s="8"/>
      <c r="V849" s="8"/>
      <c r="X849" s="31"/>
      <c r="Y849" s="31" t="str">
        <f>IF($X849="","",SUMIFS(TARIFF_PROFILES!$D:$D,TARIFF_PROFILES!$A:$A,$X849))</f>
        <v/>
      </c>
      <c r="Z849" s="31" t="str">
        <f>IF($X849="","",SUMIFS(TARIFF_PROFILES!$E:$E,TARIFF_PROFILES!$A:$A,$X849))</f>
        <v/>
      </c>
      <c r="AA849" s="31" t="str">
        <f>IF($X849="","",SUMIFS(TARIFF_PROFILES!$F:$F,TARIFF_PROFILES!$A:$A,$X849))</f>
        <v/>
      </c>
      <c r="AB849" s="31" t="str">
        <f>IF($X849="","",SUMIFS(TARIFF_PROFILES!$G:$G,TARIFF_PROFILES!$A:$A,$X849))</f>
        <v/>
      </c>
      <c r="AC849" s="31" t="str">
        <f>IF($X849="","",SUMIFS(TARIFF_PROFILES!$H:$H,TARIFF_PROFILES!$A:$A,$X849))</f>
        <v/>
      </c>
      <c r="AD849" s="31" t="str">
        <f t="array" ref="AD849">IF($X849="","",INDEX(TARIFF_PROFILES!$J:$J,MATCH($X849,TARIFF_PROFILES!$A:$A,0)))</f>
        <v/>
      </c>
      <c r="AE849" s="31" t="str">
        <f t="array" ref="AE849">IF($X849="","",INDEX(TARIFF_PROFILES!$K:$K,MATCH($X849,TARIFF_PROFILES!$A:$A,0)))</f>
        <v/>
      </c>
      <c r="AG849" s="8"/>
      <c r="AH849" s="8" t="str">
        <f>IF($AG849="","",SUMIFS(OPERATING_COEFFS!$C:$C,OPERATING_COEFFS!$A:$A,"DistanceClass",OPERATING_COEFFS!$B:$B,$AG849))</f>
        <v/>
      </c>
      <c r="AI849" s="8"/>
      <c r="AJ849" s="8" t="str">
        <f>IF($AI849="","",SUMIFS(OPERATING_COEFFS!$C:$C,OPERATING_COEFFS!$A:$A,"SeasonClass",OPERATING_COEFFS!$B:$B,$AI849))</f>
        <v/>
      </c>
      <c r="AK849" s="8"/>
      <c r="AL849" s="8" t="str">
        <f>IF($AK849="","",SUMIFS(OPERATING_COEFFS!$C:$C,OPERATING_COEFFS!$A:$A,"UrgencyClass",OPERATING_COEFFS!$B:$B,$AK849))</f>
        <v/>
      </c>
      <c r="AM849" s="8"/>
      <c r="AN849" s="8" t="str">
        <f t="array" ref="AN849">IF($AM849="","",INDEX(TAX_MODES!$B:$B,MATCH($AM849,TAX_MODES!$A:$A,0)))</f>
        <v/>
      </c>
    </row>
    <row r="850" ht="14.25" customHeight="1">
      <c r="C850" s="8"/>
      <c r="E850" s="8"/>
      <c r="G850" s="8"/>
      <c r="I850" s="8"/>
      <c r="K850" s="8"/>
      <c r="M850" s="8"/>
      <c r="O850" s="8"/>
      <c r="Q850" s="8"/>
      <c r="S850" s="8"/>
      <c r="V850" s="8"/>
      <c r="X850" s="31"/>
      <c r="Y850" s="31" t="str">
        <f>IF($X850="","",SUMIFS(TARIFF_PROFILES!$D:$D,TARIFF_PROFILES!$A:$A,$X850))</f>
        <v/>
      </c>
      <c r="Z850" s="31" t="str">
        <f>IF($X850="","",SUMIFS(TARIFF_PROFILES!$E:$E,TARIFF_PROFILES!$A:$A,$X850))</f>
        <v/>
      </c>
      <c r="AA850" s="31" t="str">
        <f>IF($X850="","",SUMIFS(TARIFF_PROFILES!$F:$F,TARIFF_PROFILES!$A:$A,$X850))</f>
        <v/>
      </c>
      <c r="AB850" s="31" t="str">
        <f>IF($X850="","",SUMIFS(TARIFF_PROFILES!$G:$G,TARIFF_PROFILES!$A:$A,$X850))</f>
        <v/>
      </c>
      <c r="AC850" s="31" t="str">
        <f>IF($X850="","",SUMIFS(TARIFF_PROFILES!$H:$H,TARIFF_PROFILES!$A:$A,$X850))</f>
        <v/>
      </c>
      <c r="AD850" s="31" t="str">
        <f t="array" ref="AD850">IF($X850="","",INDEX(TARIFF_PROFILES!$J:$J,MATCH($X850,TARIFF_PROFILES!$A:$A,0)))</f>
        <v/>
      </c>
      <c r="AE850" s="31" t="str">
        <f t="array" ref="AE850">IF($X850="","",INDEX(TARIFF_PROFILES!$K:$K,MATCH($X850,TARIFF_PROFILES!$A:$A,0)))</f>
        <v/>
      </c>
      <c r="AG850" s="8"/>
      <c r="AH850" s="8" t="str">
        <f>IF($AG850="","",SUMIFS(OPERATING_COEFFS!$C:$C,OPERATING_COEFFS!$A:$A,"DistanceClass",OPERATING_COEFFS!$B:$B,$AG850))</f>
        <v/>
      </c>
      <c r="AI850" s="8"/>
      <c r="AJ850" s="8" t="str">
        <f>IF($AI850="","",SUMIFS(OPERATING_COEFFS!$C:$C,OPERATING_COEFFS!$A:$A,"SeasonClass",OPERATING_COEFFS!$B:$B,$AI850))</f>
        <v/>
      </c>
      <c r="AK850" s="8"/>
      <c r="AL850" s="8" t="str">
        <f>IF($AK850="","",SUMIFS(OPERATING_COEFFS!$C:$C,OPERATING_COEFFS!$A:$A,"UrgencyClass",OPERATING_COEFFS!$B:$B,$AK850))</f>
        <v/>
      </c>
      <c r="AM850" s="8"/>
      <c r="AN850" s="8" t="str">
        <f t="array" ref="AN850">IF($AM850="","",INDEX(TAX_MODES!$B:$B,MATCH($AM850,TAX_MODES!$A:$A,0)))</f>
        <v/>
      </c>
    </row>
    <row r="851" ht="14.25" customHeight="1">
      <c r="C851" s="8"/>
      <c r="E851" s="8"/>
      <c r="G851" s="8"/>
      <c r="I851" s="8"/>
      <c r="K851" s="8"/>
      <c r="M851" s="8"/>
      <c r="O851" s="8"/>
      <c r="Q851" s="8"/>
      <c r="S851" s="8"/>
      <c r="V851" s="8"/>
      <c r="X851" s="31"/>
      <c r="Y851" s="31" t="str">
        <f>IF($X851="","",SUMIFS(TARIFF_PROFILES!$D:$D,TARIFF_PROFILES!$A:$A,$X851))</f>
        <v/>
      </c>
      <c r="Z851" s="31" t="str">
        <f>IF($X851="","",SUMIFS(TARIFF_PROFILES!$E:$E,TARIFF_PROFILES!$A:$A,$X851))</f>
        <v/>
      </c>
      <c r="AA851" s="31" t="str">
        <f>IF($X851="","",SUMIFS(TARIFF_PROFILES!$F:$F,TARIFF_PROFILES!$A:$A,$X851))</f>
        <v/>
      </c>
      <c r="AB851" s="31" t="str">
        <f>IF($X851="","",SUMIFS(TARIFF_PROFILES!$G:$G,TARIFF_PROFILES!$A:$A,$X851))</f>
        <v/>
      </c>
      <c r="AC851" s="31" t="str">
        <f>IF($X851="","",SUMIFS(TARIFF_PROFILES!$H:$H,TARIFF_PROFILES!$A:$A,$X851))</f>
        <v/>
      </c>
      <c r="AD851" s="31" t="str">
        <f t="array" ref="AD851">IF($X851="","",INDEX(TARIFF_PROFILES!$J:$J,MATCH($X851,TARIFF_PROFILES!$A:$A,0)))</f>
        <v/>
      </c>
      <c r="AE851" s="31" t="str">
        <f t="array" ref="AE851">IF($X851="","",INDEX(TARIFF_PROFILES!$K:$K,MATCH($X851,TARIFF_PROFILES!$A:$A,0)))</f>
        <v/>
      </c>
      <c r="AG851" s="8"/>
      <c r="AH851" s="8" t="str">
        <f>IF($AG851="","",SUMIFS(OPERATING_COEFFS!$C:$C,OPERATING_COEFFS!$A:$A,"DistanceClass",OPERATING_COEFFS!$B:$B,$AG851))</f>
        <v/>
      </c>
      <c r="AI851" s="8"/>
      <c r="AJ851" s="8" t="str">
        <f>IF($AI851="","",SUMIFS(OPERATING_COEFFS!$C:$C,OPERATING_COEFFS!$A:$A,"SeasonClass",OPERATING_COEFFS!$B:$B,$AI851))</f>
        <v/>
      </c>
      <c r="AK851" s="8"/>
      <c r="AL851" s="8" t="str">
        <f>IF($AK851="","",SUMIFS(OPERATING_COEFFS!$C:$C,OPERATING_COEFFS!$A:$A,"UrgencyClass",OPERATING_COEFFS!$B:$B,$AK851))</f>
        <v/>
      </c>
      <c r="AM851" s="8"/>
      <c r="AN851" s="8" t="str">
        <f t="array" ref="AN851">IF($AM851="","",INDEX(TAX_MODES!$B:$B,MATCH($AM851,TAX_MODES!$A:$A,0)))</f>
        <v/>
      </c>
    </row>
    <row r="852" ht="14.25" customHeight="1">
      <c r="C852" s="8"/>
      <c r="E852" s="8"/>
      <c r="G852" s="8"/>
      <c r="I852" s="8"/>
      <c r="K852" s="8"/>
      <c r="M852" s="8"/>
      <c r="O852" s="8"/>
      <c r="Q852" s="8"/>
      <c r="S852" s="8"/>
      <c r="V852" s="8"/>
      <c r="X852" s="31"/>
      <c r="Y852" s="31" t="str">
        <f>IF($X852="","",SUMIFS(TARIFF_PROFILES!$D:$D,TARIFF_PROFILES!$A:$A,$X852))</f>
        <v/>
      </c>
      <c r="Z852" s="31" t="str">
        <f>IF($X852="","",SUMIFS(TARIFF_PROFILES!$E:$E,TARIFF_PROFILES!$A:$A,$X852))</f>
        <v/>
      </c>
      <c r="AA852" s="31" t="str">
        <f>IF($X852="","",SUMIFS(TARIFF_PROFILES!$F:$F,TARIFF_PROFILES!$A:$A,$X852))</f>
        <v/>
      </c>
      <c r="AB852" s="31" t="str">
        <f>IF($X852="","",SUMIFS(TARIFF_PROFILES!$G:$G,TARIFF_PROFILES!$A:$A,$X852))</f>
        <v/>
      </c>
      <c r="AC852" s="31" t="str">
        <f>IF($X852="","",SUMIFS(TARIFF_PROFILES!$H:$H,TARIFF_PROFILES!$A:$A,$X852))</f>
        <v/>
      </c>
      <c r="AD852" s="31" t="str">
        <f t="array" ref="AD852">IF($X852="","",INDEX(TARIFF_PROFILES!$J:$J,MATCH($X852,TARIFF_PROFILES!$A:$A,0)))</f>
        <v/>
      </c>
      <c r="AE852" s="31" t="str">
        <f t="array" ref="AE852">IF($X852="","",INDEX(TARIFF_PROFILES!$K:$K,MATCH($X852,TARIFF_PROFILES!$A:$A,0)))</f>
        <v/>
      </c>
      <c r="AG852" s="8"/>
      <c r="AH852" s="8" t="str">
        <f>IF($AG852="","",SUMIFS(OPERATING_COEFFS!$C:$C,OPERATING_COEFFS!$A:$A,"DistanceClass",OPERATING_COEFFS!$B:$B,$AG852))</f>
        <v/>
      </c>
      <c r="AI852" s="8"/>
      <c r="AJ852" s="8" t="str">
        <f>IF($AI852="","",SUMIFS(OPERATING_COEFFS!$C:$C,OPERATING_COEFFS!$A:$A,"SeasonClass",OPERATING_COEFFS!$B:$B,$AI852))</f>
        <v/>
      </c>
      <c r="AK852" s="8"/>
      <c r="AL852" s="8" t="str">
        <f>IF($AK852="","",SUMIFS(OPERATING_COEFFS!$C:$C,OPERATING_COEFFS!$A:$A,"UrgencyClass",OPERATING_COEFFS!$B:$B,$AK852))</f>
        <v/>
      </c>
      <c r="AM852" s="8"/>
      <c r="AN852" s="8" t="str">
        <f t="array" ref="AN852">IF($AM852="","",INDEX(TAX_MODES!$B:$B,MATCH($AM852,TAX_MODES!$A:$A,0)))</f>
        <v/>
      </c>
    </row>
    <row r="853" ht="14.25" customHeight="1">
      <c r="C853" s="8"/>
      <c r="E853" s="8"/>
      <c r="G853" s="8"/>
      <c r="I853" s="8"/>
      <c r="K853" s="8"/>
      <c r="M853" s="8"/>
      <c r="O853" s="8"/>
      <c r="Q853" s="8"/>
      <c r="S853" s="8"/>
      <c r="V853" s="8"/>
      <c r="X853" s="31"/>
      <c r="Y853" s="31" t="str">
        <f>IF($X853="","",SUMIFS(TARIFF_PROFILES!$D:$D,TARIFF_PROFILES!$A:$A,$X853))</f>
        <v/>
      </c>
      <c r="Z853" s="31" t="str">
        <f>IF($X853="","",SUMIFS(TARIFF_PROFILES!$E:$E,TARIFF_PROFILES!$A:$A,$X853))</f>
        <v/>
      </c>
      <c r="AA853" s="31" t="str">
        <f>IF($X853="","",SUMIFS(TARIFF_PROFILES!$F:$F,TARIFF_PROFILES!$A:$A,$X853))</f>
        <v/>
      </c>
      <c r="AB853" s="31" t="str">
        <f>IF($X853="","",SUMIFS(TARIFF_PROFILES!$G:$G,TARIFF_PROFILES!$A:$A,$X853))</f>
        <v/>
      </c>
      <c r="AC853" s="31" t="str">
        <f>IF($X853="","",SUMIFS(TARIFF_PROFILES!$H:$H,TARIFF_PROFILES!$A:$A,$X853))</f>
        <v/>
      </c>
      <c r="AD853" s="31" t="str">
        <f t="array" ref="AD853">IF($X853="","",INDEX(TARIFF_PROFILES!$J:$J,MATCH($X853,TARIFF_PROFILES!$A:$A,0)))</f>
        <v/>
      </c>
      <c r="AE853" s="31" t="str">
        <f t="array" ref="AE853">IF($X853="","",INDEX(TARIFF_PROFILES!$K:$K,MATCH($X853,TARIFF_PROFILES!$A:$A,0)))</f>
        <v/>
      </c>
      <c r="AG853" s="8"/>
      <c r="AH853" s="8" t="str">
        <f>IF($AG853="","",SUMIFS(OPERATING_COEFFS!$C:$C,OPERATING_COEFFS!$A:$A,"DistanceClass",OPERATING_COEFFS!$B:$B,$AG853))</f>
        <v/>
      </c>
      <c r="AI853" s="8"/>
      <c r="AJ853" s="8" t="str">
        <f>IF($AI853="","",SUMIFS(OPERATING_COEFFS!$C:$C,OPERATING_COEFFS!$A:$A,"SeasonClass",OPERATING_COEFFS!$B:$B,$AI853))</f>
        <v/>
      </c>
      <c r="AK853" s="8"/>
      <c r="AL853" s="8" t="str">
        <f>IF($AK853="","",SUMIFS(OPERATING_COEFFS!$C:$C,OPERATING_COEFFS!$A:$A,"UrgencyClass",OPERATING_COEFFS!$B:$B,$AK853))</f>
        <v/>
      </c>
      <c r="AM853" s="8"/>
      <c r="AN853" s="8" t="str">
        <f t="array" ref="AN853">IF($AM853="","",INDEX(TAX_MODES!$B:$B,MATCH($AM853,TAX_MODES!$A:$A,0)))</f>
        <v/>
      </c>
    </row>
    <row r="854" ht="14.25" customHeight="1">
      <c r="C854" s="8"/>
      <c r="E854" s="8"/>
      <c r="G854" s="8"/>
      <c r="I854" s="8"/>
      <c r="K854" s="8"/>
      <c r="M854" s="8"/>
      <c r="O854" s="8"/>
      <c r="Q854" s="8"/>
      <c r="S854" s="8"/>
      <c r="V854" s="8"/>
      <c r="X854" s="31"/>
      <c r="Y854" s="31" t="str">
        <f>IF($X854="","",SUMIFS(TARIFF_PROFILES!$D:$D,TARIFF_PROFILES!$A:$A,$X854))</f>
        <v/>
      </c>
      <c r="Z854" s="31" t="str">
        <f>IF($X854="","",SUMIFS(TARIFF_PROFILES!$E:$E,TARIFF_PROFILES!$A:$A,$X854))</f>
        <v/>
      </c>
      <c r="AA854" s="31" t="str">
        <f>IF($X854="","",SUMIFS(TARIFF_PROFILES!$F:$F,TARIFF_PROFILES!$A:$A,$X854))</f>
        <v/>
      </c>
      <c r="AB854" s="31" t="str">
        <f>IF($X854="","",SUMIFS(TARIFF_PROFILES!$G:$G,TARIFF_PROFILES!$A:$A,$X854))</f>
        <v/>
      </c>
      <c r="AC854" s="31" t="str">
        <f>IF($X854="","",SUMIFS(TARIFF_PROFILES!$H:$H,TARIFF_PROFILES!$A:$A,$X854))</f>
        <v/>
      </c>
      <c r="AD854" s="31" t="str">
        <f t="array" ref="AD854">IF($X854="","",INDEX(TARIFF_PROFILES!$J:$J,MATCH($X854,TARIFF_PROFILES!$A:$A,0)))</f>
        <v/>
      </c>
      <c r="AE854" s="31" t="str">
        <f t="array" ref="AE854">IF($X854="","",INDEX(TARIFF_PROFILES!$K:$K,MATCH($X854,TARIFF_PROFILES!$A:$A,0)))</f>
        <v/>
      </c>
      <c r="AG854" s="8"/>
      <c r="AH854" s="8" t="str">
        <f>IF($AG854="","",SUMIFS(OPERATING_COEFFS!$C:$C,OPERATING_COEFFS!$A:$A,"DistanceClass",OPERATING_COEFFS!$B:$B,$AG854))</f>
        <v/>
      </c>
      <c r="AI854" s="8"/>
      <c r="AJ854" s="8" t="str">
        <f>IF($AI854="","",SUMIFS(OPERATING_COEFFS!$C:$C,OPERATING_COEFFS!$A:$A,"SeasonClass",OPERATING_COEFFS!$B:$B,$AI854))</f>
        <v/>
      </c>
      <c r="AK854" s="8"/>
      <c r="AL854" s="8" t="str">
        <f>IF($AK854="","",SUMIFS(OPERATING_COEFFS!$C:$C,OPERATING_COEFFS!$A:$A,"UrgencyClass",OPERATING_COEFFS!$B:$B,$AK854))</f>
        <v/>
      </c>
      <c r="AM854" s="8"/>
      <c r="AN854" s="8" t="str">
        <f t="array" ref="AN854">IF($AM854="","",INDEX(TAX_MODES!$B:$B,MATCH($AM854,TAX_MODES!$A:$A,0)))</f>
        <v/>
      </c>
    </row>
    <row r="855" ht="14.25" customHeight="1">
      <c r="C855" s="8"/>
      <c r="E855" s="8"/>
      <c r="G855" s="8"/>
      <c r="I855" s="8"/>
      <c r="K855" s="8"/>
      <c r="M855" s="8"/>
      <c r="O855" s="8"/>
      <c r="Q855" s="8"/>
      <c r="S855" s="8"/>
      <c r="V855" s="8"/>
      <c r="X855" s="31"/>
      <c r="Y855" s="31" t="str">
        <f>IF($X855="","",SUMIFS(TARIFF_PROFILES!$D:$D,TARIFF_PROFILES!$A:$A,$X855))</f>
        <v/>
      </c>
      <c r="Z855" s="31" t="str">
        <f>IF($X855="","",SUMIFS(TARIFF_PROFILES!$E:$E,TARIFF_PROFILES!$A:$A,$X855))</f>
        <v/>
      </c>
      <c r="AA855" s="31" t="str">
        <f>IF($X855="","",SUMIFS(TARIFF_PROFILES!$F:$F,TARIFF_PROFILES!$A:$A,$X855))</f>
        <v/>
      </c>
      <c r="AB855" s="31" t="str">
        <f>IF($X855="","",SUMIFS(TARIFF_PROFILES!$G:$G,TARIFF_PROFILES!$A:$A,$X855))</f>
        <v/>
      </c>
      <c r="AC855" s="31" t="str">
        <f>IF($X855="","",SUMIFS(TARIFF_PROFILES!$H:$H,TARIFF_PROFILES!$A:$A,$X855))</f>
        <v/>
      </c>
      <c r="AD855" s="31" t="str">
        <f t="array" ref="AD855">IF($X855="","",INDEX(TARIFF_PROFILES!$J:$J,MATCH($X855,TARIFF_PROFILES!$A:$A,0)))</f>
        <v/>
      </c>
      <c r="AE855" s="31" t="str">
        <f t="array" ref="AE855">IF($X855="","",INDEX(TARIFF_PROFILES!$K:$K,MATCH($X855,TARIFF_PROFILES!$A:$A,0)))</f>
        <v/>
      </c>
      <c r="AG855" s="8"/>
      <c r="AH855" s="8" t="str">
        <f>IF($AG855="","",SUMIFS(OPERATING_COEFFS!$C:$C,OPERATING_COEFFS!$A:$A,"DistanceClass",OPERATING_COEFFS!$B:$B,$AG855))</f>
        <v/>
      </c>
      <c r="AI855" s="8"/>
      <c r="AJ855" s="8" t="str">
        <f>IF($AI855="","",SUMIFS(OPERATING_COEFFS!$C:$C,OPERATING_COEFFS!$A:$A,"SeasonClass",OPERATING_COEFFS!$B:$B,$AI855))</f>
        <v/>
      </c>
      <c r="AK855" s="8"/>
      <c r="AL855" s="8" t="str">
        <f>IF($AK855="","",SUMIFS(OPERATING_COEFFS!$C:$C,OPERATING_COEFFS!$A:$A,"UrgencyClass",OPERATING_COEFFS!$B:$B,$AK855))</f>
        <v/>
      </c>
      <c r="AM855" s="8"/>
      <c r="AN855" s="8" t="str">
        <f t="array" ref="AN855">IF($AM855="","",INDEX(TAX_MODES!$B:$B,MATCH($AM855,TAX_MODES!$A:$A,0)))</f>
        <v/>
      </c>
    </row>
    <row r="856" ht="14.25" customHeight="1">
      <c r="C856" s="8"/>
      <c r="E856" s="8"/>
      <c r="G856" s="8"/>
      <c r="I856" s="8"/>
      <c r="K856" s="8"/>
      <c r="M856" s="8"/>
      <c r="O856" s="8"/>
      <c r="Q856" s="8"/>
      <c r="S856" s="8"/>
      <c r="V856" s="8"/>
      <c r="X856" s="31"/>
      <c r="Y856" s="31" t="str">
        <f>IF($X856="","",SUMIFS(TARIFF_PROFILES!$D:$D,TARIFF_PROFILES!$A:$A,$X856))</f>
        <v/>
      </c>
      <c r="Z856" s="31" t="str">
        <f>IF($X856="","",SUMIFS(TARIFF_PROFILES!$E:$E,TARIFF_PROFILES!$A:$A,$X856))</f>
        <v/>
      </c>
      <c r="AA856" s="31" t="str">
        <f>IF($X856="","",SUMIFS(TARIFF_PROFILES!$F:$F,TARIFF_PROFILES!$A:$A,$X856))</f>
        <v/>
      </c>
      <c r="AB856" s="31" t="str">
        <f>IF($X856="","",SUMIFS(TARIFF_PROFILES!$G:$G,TARIFF_PROFILES!$A:$A,$X856))</f>
        <v/>
      </c>
      <c r="AC856" s="31" t="str">
        <f>IF($X856="","",SUMIFS(TARIFF_PROFILES!$H:$H,TARIFF_PROFILES!$A:$A,$X856))</f>
        <v/>
      </c>
      <c r="AD856" s="31" t="str">
        <f t="array" ref="AD856">IF($X856="","",INDEX(TARIFF_PROFILES!$J:$J,MATCH($X856,TARIFF_PROFILES!$A:$A,0)))</f>
        <v/>
      </c>
      <c r="AE856" s="31" t="str">
        <f t="array" ref="AE856">IF($X856="","",INDEX(TARIFF_PROFILES!$K:$K,MATCH($X856,TARIFF_PROFILES!$A:$A,0)))</f>
        <v/>
      </c>
      <c r="AG856" s="8"/>
      <c r="AH856" s="8" t="str">
        <f>IF($AG856="","",SUMIFS(OPERATING_COEFFS!$C:$C,OPERATING_COEFFS!$A:$A,"DistanceClass",OPERATING_COEFFS!$B:$B,$AG856))</f>
        <v/>
      </c>
      <c r="AI856" s="8"/>
      <c r="AJ856" s="8" t="str">
        <f>IF($AI856="","",SUMIFS(OPERATING_COEFFS!$C:$C,OPERATING_COEFFS!$A:$A,"SeasonClass",OPERATING_COEFFS!$B:$B,$AI856))</f>
        <v/>
      </c>
      <c r="AK856" s="8"/>
      <c r="AL856" s="8" t="str">
        <f>IF($AK856="","",SUMIFS(OPERATING_COEFFS!$C:$C,OPERATING_COEFFS!$A:$A,"UrgencyClass",OPERATING_COEFFS!$B:$B,$AK856))</f>
        <v/>
      </c>
      <c r="AM856" s="8"/>
      <c r="AN856" s="8" t="str">
        <f t="array" ref="AN856">IF($AM856="","",INDEX(TAX_MODES!$B:$B,MATCH($AM856,TAX_MODES!$A:$A,0)))</f>
        <v/>
      </c>
    </row>
    <row r="857" ht="14.25" customHeight="1">
      <c r="C857" s="8"/>
      <c r="E857" s="8"/>
      <c r="G857" s="8"/>
      <c r="I857" s="8"/>
      <c r="K857" s="8"/>
      <c r="M857" s="8"/>
      <c r="O857" s="8"/>
      <c r="Q857" s="8"/>
      <c r="S857" s="8"/>
      <c r="V857" s="8"/>
      <c r="X857" s="31"/>
      <c r="Y857" s="31" t="str">
        <f>IF($X857="","",SUMIFS(TARIFF_PROFILES!$D:$D,TARIFF_PROFILES!$A:$A,$X857))</f>
        <v/>
      </c>
      <c r="Z857" s="31" t="str">
        <f>IF($X857="","",SUMIFS(TARIFF_PROFILES!$E:$E,TARIFF_PROFILES!$A:$A,$X857))</f>
        <v/>
      </c>
      <c r="AA857" s="31" t="str">
        <f>IF($X857="","",SUMIFS(TARIFF_PROFILES!$F:$F,TARIFF_PROFILES!$A:$A,$X857))</f>
        <v/>
      </c>
      <c r="AB857" s="31" t="str">
        <f>IF($X857="","",SUMIFS(TARIFF_PROFILES!$G:$G,TARIFF_PROFILES!$A:$A,$X857))</f>
        <v/>
      </c>
      <c r="AC857" s="31" t="str">
        <f>IF($X857="","",SUMIFS(TARIFF_PROFILES!$H:$H,TARIFF_PROFILES!$A:$A,$X857))</f>
        <v/>
      </c>
      <c r="AD857" s="31" t="str">
        <f t="array" ref="AD857">IF($X857="","",INDEX(TARIFF_PROFILES!$J:$J,MATCH($X857,TARIFF_PROFILES!$A:$A,0)))</f>
        <v/>
      </c>
      <c r="AE857" s="31" t="str">
        <f t="array" ref="AE857">IF($X857="","",INDEX(TARIFF_PROFILES!$K:$K,MATCH($X857,TARIFF_PROFILES!$A:$A,0)))</f>
        <v/>
      </c>
      <c r="AG857" s="8"/>
      <c r="AH857" s="8" t="str">
        <f>IF($AG857="","",SUMIFS(OPERATING_COEFFS!$C:$C,OPERATING_COEFFS!$A:$A,"DistanceClass",OPERATING_COEFFS!$B:$B,$AG857))</f>
        <v/>
      </c>
      <c r="AI857" s="8"/>
      <c r="AJ857" s="8" t="str">
        <f>IF($AI857="","",SUMIFS(OPERATING_COEFFS!$C:$C,OPERATING_COEFFS!$A:$A,"SeasonClass",OPERATING_COEFFS!$B:$B,$AI857))</f>
        <v/>
      </c>
      <c r="AK857" s="8"/>
      <c r="AL857" s="8" t="str">
        <f>IF($AK857="","",SUMIFS(OPERATING_COEFFS!$C:$C,OPERATING_COEFFS!$A:$A,"UrgencyClass",OPERATING_COEFFS!$B:$B,$AK857))</f>
        <v/>
      </c>
      <c r="AM857" s="8"/>
      <c r="AN857" s="8" t="str">
        <f t="array" ref="AN857">IF($AM857="","",INDEX(TAX_MODES!$B:$B,MATCH($AM857,TAX_MODES!$A:$A,0)))</f>
        <v/>
      </c>
    </row>
    <row r="858" ht="14.25" customHeight="1">
      <c r="C858" s="8"/>
      <c r="E858" s="8"/>
      <c r="G858" s="8"/>
      <c r="I858" s="8"/>
      <c r="K858" s="8"/>
      <c r="M858" s="8"/>
      <c r="O858" s="8"/>
      <c r="Q858" s="8"/>
      <c r="S858" s="8"/>
      <c r="V858" s="8"/>
      <c r="X858" s="31"/>
      <c r="Y858" s="31" t="str">
        <f>IF($X858="","",SUMIFS(TARIFF_PROFILES!$D:$D,TARIFF_PROFILES!$A:$A,$X858))</f>
        <v/>
      </c>
      <c r="Z858" s="31" t="str">
        <f>IF($X858="","",SUMIFS(TARIFF_PROFILES!$E:$E,TARIFF_PROFILES!$A:$A,$X858))</f>
        <v/>
      </c>
      <c r="AA858" s="31" t="str">
        <f>IF($X858="","",SUMIFS(TARIFF_PROFILES!$F:$F,TARIFF_PROFILES!$A:$A,$X858))</f>
        <v/>
      </c>
      <c r="AB858" s="31" t="str">
        <f>IF($X858="","",SUMIFS(TARIFF_PROFILES!$G:$G,TARIFF_PROFILES!$A:$A,$X858))</f>
        <v/>
      </c>
      <c r="AC858" s="31" t="str">
        <f>IF($X858="","",SUMIFS(TARIFF_PROFILES!$H:$H,TARIFF_PROFILES!$A:$A,$X858))</f>
        <v/>
      </c>
      <c r="AD858" s="31" t="str">
        <f t="array" ref="AD858">IF($X858="","",INDEX(TARIFF_PROFILES!$J:$J,MATCH($X858,TARIFF_PROFILES!$A:$A,0)))</f>
        <v/>
      </c>
      <c r="AE858" s="31" t="str">
        <f t="array" ref="AE858">IF($X858="","",INDEX(TARIFF_PROFILES!$K:$K,MATCH($X858,TARIFF_PROFILES!$A:$A,0)))</f>
        <v/>
      </c>
      <c r="AG858" s="8"/>
      <c r="AH858" s="8" t="str">
        <f>IF($AG858="","",SUMIFS(OPERATING_COEFFS!$C:$C,OPERATING_COEFFS!$A:$A,"DistanceClass",OPERATING_COEFFS!$B:$B,$AG858))</f>
        <v/>
      </c>
      <c r="AI858" s="8"/>
      <c r="AJ858" s="8" t="str">
        <f>IF($AI858="","",SUMIFS(OPERATING_COEFFS!$C:$C,OPERATING_COEFFS!$A:$A,"SeasonClass",OPERATING_COEFFS!$B:$B,$AI858))</f>
        <v/>
      </c>
      <c r="AK858" s="8"/>
      <c r="AL858" s="8" t="str">
        <f>IF($AK858="","",SUMIFS(OPERATING_COEFFS!$C:$C,OPERATING_COEFFS!$A:$A,"UrgencyClass",OPERATING_COEFFS!$B:$B,$AK858))</f>
        <v/>
      </c>
      <c r="AM858" s="8"/>
      <c r="AN858" s="8" t="str">
        <f t="array" ref="AN858">IF($AM858="","",INDEX(TAX_MODES!$B:$B,MATCH($AM858,TAX_MODES!$A:$A,0)))</f>
        <v/>
      </c>
    </row>
    <row r="859" ht="14.25" customHeight="1">
      <c r="C859" s="8"/>
      <c r="E859" s="8"/>
      <c r="G859" s="8"/>
      <c r="I859" s="8"/>
      <c r="K859" s="8"/>
      <c r="M859" s="8"/>
      <c r="O859" s="8"/>
      <c r="Q859" s="8"/>
      <c r="S859" s="8"/>
      <c r="V859" s="8"/>
      <c r="X859" s="31"/>
      <c r="Y859" s="31" t="str">
        <f>IF($X859="","",SUMIFS(TARIFF_PROFILES!$D:$D,TARIFF_PROFILES!$A:$A,$X859))</f>
        <v/>
      </c>
      <c r="Z859" s="31" t="str">
        <f>IF($X859="","",SUMIFS(TARIFF_PROFILES!$E:$E,TARIFF_PROFILES!$A:$A,$X859))</f>
        <v/>
      </c>
      <c r="AA859" s="31" t="str">
        <f>IF($X859="","",SUMIFS(TARIFF_PROFILES!$F:$F,TARIFF_PROFILES!$A:$A,$X859))</f>
        <v/>
      </c>
      <c r="AB859" s="31" t="str">
        <f>IF($X859="","",SUMIFS(TARIFF_PROFILES!$G:$G,TARIFF_PROFILES!$A:$A,$X859))</f>
        <v/>
      </c>
      <c r="AC859" s="31" t="str">
        <f>IF($X859="","",SUMIFS(TARIFF_PROFILES!$H:$H,TARIFF_PROFILES!$A:$A,$X859))</f>
        <v/>
      </c>
      <c r="AD859" s="31" t="str">
        <f t="array" ref="AD859">IF($X859="","",INDEX(TARIFF_PROFILES!$J:$J,MATCH($X859,TARIFF_PROFILES!$A:$A,0)))</f>
        <v/>
      </c>
      <c r="AE859" s="31" t="str">
        <f t="array" ref="AE859">IF($X859="","",INDEX(TARIFF_PROFILES!$K:$K,MATCH($X859,TARIFF_PROFILES!$A:$A,0)))</f>
        <v/>
      </c>
      <c r="AG859" s="8"/>
      <c r="AH859" s="8" t="str">
        <f>IF($AG859="","",SUMIFS(OPERATING_COEFFS!$C:$C,OPERATING_COEFFS!$A:$A,"DistanceClass",OPERATING_COEFFS!$B:$B,$AG859))</f>
        <v/>
      </c>
      <c r="AI859" s="8"/>
      <c r="AJ859" s="8" t="str">
        <f>IF($AI859="","",SUMIFS(OPERATING_COEFFS!$C:$C,OPERATING_COEFFS!$A:$A,"SeasonClass",OPERATING_COEFFS!$B:$B,$AI859))</f>
        <v/>
      </c>
      <c r="AK859" s="8"/>
      <c r="AL859" s="8" t="str">
        <f>IF($AK859="","",SUMIFS(OPERATING_COEFFS!$C:$C,OPERATING_COEFFS!$A:$A,"UrgencyClass",OPERATING_COEFFS!$B:$B,$AK859))</f>
        <v/>
      </c>
      <c r="AM859" s="8"/>
      <c r="AN859" s="8" t="str">
        <f t="array" ref="AN859">IF($AM859="","",INDEX(TAX_MODES!$B:$B,MATCH($AM859,TAX_MODES!$A:$A,0)))</f>
        <v/>
      </c>
    </row>
    <row r="860" ht="14.25" customHeight="1">
      <c r="C860" s="8"/>
      <c r="E860" s="8"/>
      <c r="G860" s="8"/>
      <c r="I860" s="8"/>
      <c r="K860" s="8"/>
      <c r="M860" s="8"/>
      <c r="O860" s="8"/>
      <c r="Q860" s="8"/>
      <c r="S860" s="8"/>
      <c r="V860" s="8"/>
      <c r="X860" s="31"/>
      <c r="Y860" s="31" t="str">
        <f>IF($X860="","",SUMIFS(TARIFF_PROFILES!$D:$D,TARIFF_PROFILES!$A:$A,$X860))</f>
        <v/>
      </c>
      <c r="Z860" s="31" t="str">
        <f>IF($X860="","",SUMIFS(TARIFF_PROFILES!$E:$E,TARIFF_PROFILES!$A:$A,$X860))</f>
        <v/>
      </c>
      <c r="AA860" s="31" t="str">
        <f>IF($X860="","",SUMIFS(TARIFF_PROFILES!$F:$F,TARIFF_PROFILES!$A:$A,$X860))</f>
        <v/>
      </c>
      <c r="AB860" s="31" t="str">
        <f>IF($X860="","",SUMIFS(TARIFF_PROFILES!$G:$G,TARIFF_PROFILES!$A:$A,$X860))</f>
        <v/>
      </c>
      <c r="AC860" s="31" t="str">
        <f>IF($X860="","",SUMIFS(TARIFF_PROFILES!$H:$H,TARIFF_PROFILES!$A:$A,$X860))</f>
        <v/>
      </c>
      <c r="AD860" s="31" t="str">
        <f t="array" ref="AD860">IF($X860="","",INDEX(TARIFF_PROFILES!$J:$J,MATCH($X860,TARIFF_PROFILES!$A:$A,0)))</f>
        <v/>
      </c>
      <c r="AE860" s="31" t="str">
        <f t="array" ref="AE860">IF($X860="","",INDEX(TARIFF_PROFILES!$K:$K,MATCH($X860,TARIFF_PROFILES!$A:$A,0)))</f>
        <v/>
      </c>
      <c r="AG860" s="8"/>
      <c r="AH860" s="8" t="str">
        <f>IF($AG860="","",SUMIFS(OPERATING_COEFFS!$C:$C,OPERATING_COEFFS!$A:$A,"DistanceClass",OPERATING_COEFFS!$B:$B,$AG860))</f>
        <v/>
      </c>
      <c r="AI860" s="8"/>
      <c r="AJ860" s="8" t="str">
        <f>IF($AI860="","",SUMIFS(OPERATING_COEFFS!$C:$C,OPERATING_COEFFS!$A:$A,"SeasonClass",OPERATING_COEFFS!$B:$B,$AI860))</f>
        <v/>
      </c>
      <c r="AK860" s="8"/>
      <c r="AL860" s="8" t="str">
        <f>IF($AK860="","",SUMIFS(OPERATING_COEFFS!$C:$C,OPERATING_COEFFS!$A:$A,"UrgencyClass",OPERATING_COEFFS!$B:$B,$AK860))</f>
        <v/>
      </c>
      <c r="AM860" s="8"/>
      <c r="AN860" s="8" t="str">
        <f t="array" ref="AN860">IF($AM860="","",INDEX(TAX_MODES!$B:$B,MATCH($AM860,TAX_MODES!$A:$A,0)))</f>
        <v/>
      </c>
    </row>
    <row r="861" ht="14.25" customHeight="1">
      <c r="C861" s="8"/>
      <c r="E861" s="8"/>
      <c r="G861" s="8"/>
      <c r="I861" s="8"/>
      <c r="K861" s="8"/>
      <c r="M861" s="8"/>
      <c r="O861" s="8"/>
      <c r="Q861" s="8"/>
      <c r="S861" s="8"/>
      <c r="V861" s="8"/>
      <c r="X861" s="31"/>
      <c r="Y861" s="31" t="str">
        <f>IF($X861="","",SUMIFS(TARIFF_PROFILES!$D:$D,TARIFF_PROFILES!$A:$A,$X861))</f>
        <v/>
      </c>
      <c r="Z861" s="31" t="str">
        <f>IF($X861="","",SUMIFS(TARIFF_PROFILES!$E:$E,TARIFF_PROFILES!$A:$A,$X861))</f>
        <v/>
      </c>
      <c r="AA861" s="31" t="str">
        <f>IF($X861="","",SUMIFS(TARIFF_PROFILES!$F:$F,TARIFF_PROFILES!$A:$A,$X861))</f>
        <v/>
      </c>
      <c r="AB861" s="31" t="str">
        <f>IF($X861="","",SUMIFS(TARIFF_PROFILES!$G:$G,TARIFF_PROFILES!$A:$A,$X861))</f>
        <v/>
      </c>
      <c r="AC861" s="31" t="str">
        <f>IF($X861="","",SUMIFS(TARIFF_PROFILES!$H:$H,TARIFF_PROFILES!$A:$A,$X861))</f>
        <v/>
      </c>
      <c r="AD861" s="31" t="str">
        <f t="array" ref="AD861">IF($X861="","",INDEX(TARIFF_PROFILES!$J:$J,MATCH($X861,TARIFF_PROFILES!$A:$A,0)))</f>
        <v/>
      </c>
      <c r="AE861" s="31" t="str">
        <f t="array" ref="AE861">IF($X861="","",INDEX(TARIFF_PROFILES!$K:$K,MATCH($X861,TARIFF_PROFILES!$A:$A,0)))</f>
        <v/>
      </c>
      <c r="AG861" s="8"/>
      <c r="AH861" s="8" t="str">
        <f>IF($AG861="","",SUMIFS(OPERATING_COEFFS!$C:$C,OPERATING_COEFFS!$A:$A,"DistanceClass",OPERATING_COEFFS!$B:$B,$AG861))</f>
        <v/>
      </c>
      <c r="AI861" s="8"/>
      <c r="AJ861" s="8" t="str">
        <f>IF($AI861="","",SUMIFS(OPERATING_COEFFS!$C:$C,OPERATING_COEFFS!$A:$A,"SeasonClass",OPERATING_COEFFS!$B:$B,$AI861))</f>
        <v/>
      </c>
      <c r="AK861" s="8"/>
      <c r="AL861" s="8" t="str">
        <f>IF($AK861="","",SUMIFS(OPERATING_COEFFS!$C:$C,OPERATING_COEFFS!$A:$A,"UrgencyClass",OPERATING_COEFFS!$B:$B,$AK861))</f>
        <v/>
      </c>
      <c r="AM861" s="8"/>
      <c r="AN861" s="8" t="str">
        <f t="array" ref="AN861">IF($AM861="","",INDEX(TAX_MODES!$B:$B,MATCH($AM861,TAX_MODES!$A:$A,0)))</f>
        <v/>
      </c>
    </row>
    <row r="862" ht="14.25" customHeight="1">
      <c r="C862" s="8"/>
      <c r="E862" s="8"/>
      <c r="G862" s="8"/>
      <c r="I862" s="8"/>
      <c r="K862" s="8"/>
      <c r="M862" s="8"/>
      <c r="O862" s="8"/>
      <c r="Q862" s="8"/>
      <c r="S862" s="8"/>
      <c r="V862" s="8"/>
      <c r="X862" s="31"/>
      <c r="Y862" s="31" t="str">
        <f>IF($X862="","",SUMIFS(TARIFF_PROFILES!$D:$D,TARIFF_PROFILES!$A:$A,$X862))</f>
        <v/>
      </c>
      <c r="Z862" s="31" t="str">
        <f>IF($X862="","",SUMIFS(TARIFF_PROFILES!$E:$E,TARIFF_PROFILES!$A:$A,$X862))</f>
        <v/>
      </c>
      <c r="AA862" s="31" t="str">
        <f>IF($X862="","",SUMIFS(TARIFF_PROFILES!$F:$F,TARIFF_PROFILES!$A:$A,$X862))</f>
        <v/>
      </c>
      <c r="AB862" s="31" t="str">
        <f>IF($X862="","",SUMIFS(TARIFF_PROFILES!$G:$G,TARIFF_PROFILES!$A:$A,$X862))</f>
        <v/>
      </c>
      <c r="AC862" s="31" t="str">
        <f>IF($X862="","",SUMIFS(TARIFF_PROFILES!$H:$H,TARIFF_PROFILES!$A:$A,$X862))</f>
        <v/>
      </c>
      <c r="AD862" s="31" t="str">
        <f t="array" ref="AD862">IF($X862="","",INDEX(TARIFF_PROFILES!$J:$J,MATCH($X862,TARIFF_PROFILES!$A:$A,0)))</f>
        <v/>
      </c>
      <c r="AE862" s="31" t="str">
        <f t="array" ref="AE862">IF($X862="","",INDEX(TARIFF_PROFILES!$K:$K,MATCH($X862,TARIFF_PROFILES!$A:$A,0)))</f>
        <v/>
      </c>
      <c r="AG862" s="8"/>
      <c r="AH862" s="8" t="str">
        <f>IF($AG862="","",SUMIFS(OPERATING_COEFFS!$C:$C,OPERATING_COEFFS!$A:$A,"DistanceClass",OPERATING_COEFFS!$B:$B,$AG862))</f>
        <v/>
      </c>
      <c r="AI862" s="8"/>
      <c r="AJ862" s="8" t="str">
        <f>IF($AI862="","",SUMIFS(OPERATING_COEFFS!$C:$C,OPERATING_COEFFS!$A:$A,"SeasonClass",OPERATING_COEFFS!$B:$B,$AI862))</f>
        <v/>
      </c>
      <c r="AK862" s="8"/>
      <c r="AL862" s="8" t="str">
        <f>IF($AK862="","",SUMIFS(OPERATING_COEFFS!$C:$C,OPERATING_COEFFS!$A:$A,"UrgencyClass",OPERATING_COEFFS!$B:$B,$AK862))</f>
        <v/>
      </c>
      <c r="AM862" s="8"/>
      <c r="AN862" s="8" t="str">
        <f t="array" ref="AN862">IF($AM862="","",INDEX(TAX_MODES!$B:$B,MATCH($AM862,TAX_MODES!$A:$A,0)))</f>
        <v/>
      </c>
    </row>
    <row r="863" ht="14.25" customHeight="1">
      <c r="C863" s="8"/>
      <c r="E863" s="8"/>
      <c r="G863" s="8"/>
      <c r="I863" s="8"/>
      <c r="K863" s="8"/>
      <c r="M863" s="8"/>
      <c r="O863" s="8"/>
      <c r="Q863" s="8"/>
      <c r="S863" s="8"/>
      <c r="V863" s="8"/>
      <c r="X863" s="31"/>
      <c r="Y863" s="31" t="str">
        <f>IF($X863="","",SUMIFS(TARIFF_PROFILES!$D:$D,TARIFF_PROFILES!$A:$A,$X863))</f>
        <v/>
      </c>
      <c r="Z863" s="31" t="str">
        <f>IF($X863="","",SUMIFS(TARIFF_PROFILES!$E:$E,TARIFF_PROFILES!$A:$A,$X863))</f>
        <v/>
      </c>
      <c r="AA863" s="31" t="str">
        <f>IF($X863="","",SUMIFS(TARIFF_PROFILES!$F:$F,TARIFF_PROFILES!$A:$A,$X863))</f>
        <v/>
      </c>
      <c r="AB863" s="31" t="str">
        <f>IF($X863="","",SUMIFS(TARIFF_PROFILES!$G:$G,TARIFF_PROFILES!$A:$A,$X863))</f>
        <v/>
      </c>
      <c r="AC863" s="31" t="str">
        <f>IF($X863="","",SUMIFS(TARIFF_PROFILES!$H:$H,TARIFF_PROFILES!$A:$A,$X863))</f>
        <v/>
      </c>
      <c r="AD863" s="31" t="str">
        <f t="array" ref="AD863">IF($X863="","",INDEX(TARIFF_PROFILES!$J:$J,MATCH($X863,TARIFF_PROFILES!$A:$A,0)))</f>
        <v/>
      </c>
      <c r="AE863" s="31" t="str">
        <f t="array" ref="AE863">IF($X863="","",INDEX(TARIFF_PROFILES!$K:$K,MATCH($X863,TARIFF_PROFILES!$A:$A,0)))</f>
        <v/>
      </c>
      <c r="AG863" s="8"/>
      <c r="AH863" s="8" t="str">
        <f>IF($AG863="","",SUMIFS(OPERATING_COEFFS!$C:$C,OPERATING_COEFFS!$A:$A,"DistanceClass",OPERATING_COEFFS!$B:$B,$AG863))</f>
        <v/>
      </c>
      <c r="AI863" s="8"/>
      <c r="AJ863" s="8" t="str">
        <f>IF($AI863="","",SUMIFS(OPERATING_COEFFS!$C:$C,OPERATING_COEFFS!$A:$A,"SeasonClass",OPERATING_COEFFS!$B:$B,$AI863))</f>
        <v/>
      </c>
      <c r="AK863" s="8"/>
      <c r="AL863" s="8" t="str">
        <f>IF($AK863="","",SUMIFS(OPERATING_COEFFS!$C:$C,OPERATING_COEFFS!$A:$A,"UrgencyClass",OPERATING_COEFFS!$B:$B,$AK863))</f>
        <v/>
      </c>
      <c r="AM863" s="8"/>
      <c r="AN863" s="8" t="str">
        <f t="array" ref="AN863">IF($AM863="","",INDEX(TAX_MODES!$B:$B,MATCH($AM863,TAX_MODES!$A:$A,0)))</f>
        <v/>
      </c>
    </row>
    <row r="864" ht="14.25" customHeight="1">
      <c r="C864" s="8"/>
      <c r="E864" s="8"/>
      <c r="G864" s="8"/>
      <c r="I864" s="8"/>
      <c r="K864" s="8"/>
      <c r="M864" s="8"/>
      <c r="O864" s="8"/>
      <c r="Q864" s="8"/>
      <c r="S864" s="8"/>
      <c r="V864" s="8"/>
      <c r="X864" s="31"/>
      <c r="Y864" s="31" t="str">
        <f>IF($X864="","",SUMIFS(TARIFF_PROFILES!$D:$D,TARIFF_PROFILES!$A:$A,$X864))</f>
        <v/>
      </c>
      <c r="Z864" s="31" t="str">
        <f>IF($X864="","",SUMIFS(TARIFF_PROFILES!$E:$E,TARIFF_PROFILES!$A:$A,$X864))</f>
        <v/>
      </c>
      <c r="AA864" s="31" t="str">
        <f>IF($X864="","",SUMIFS(TARIFF_PROFILES!$F:$F,TARIFF_PROFILES!$A:$A,$X864))</f>
        <v/>
      </c>
      <c r="AB864" s="31" t="str">
        <f>IF($X864="","",SUMIFS(TARIFF_PROFILES!$G:$G,TARIFF_PROFILES!$A:$A,$X864))</f>
        <v/>
      </c>
      <c r="AC864" s="31" t="str">
        <f>IF($X864="","",SUMIFS(TARIFF_PROFILES!$H:$H,TARIFF_PROFILES!$A:$A,$X864))</f>
        <v/>
      </c>
      <c r="AD864" s="31" t="str">
        <f t="array" ref="AD864">IF($X864="","",INDEX(TARIFF_PROFILES!$J:$J,MATCH($X864,TARIFF_PROFILES!$A:$A,0)))</f>
        <v/>
      </c>
      <c r="AE864" s="31" t="str">
        <f t="array" ref="AE864">IF($X864="","",INDEX(TARIFF_PROFILES!$K:$K,MATCH($X864,TARIFF_PROFILES!$A:$A,0)))</f>
        <v/>
      </c>
      <c r="AG864" s="8"/>
      <c r="AH864" s="8" t="str">
        <f>IF($AG864="","",SUMIFS(OPERATING_COEFFS!$C:$C,OPERATING_COEFFS!$A:$A,"DistanceClass",OPERATING_COEFFS!$B:$B,$AG864))</f>
        <v/>
      </c>
      <c r="AI864" s="8"/>
      <c r="AJ864" s="8" t="str">
        <f>IF($AI864="","",SUMIFS(OPERATING_COEFFS!$C:$C,OPERATING_COEFFS!$A:$A,"SeasonClass",OPERATING_COEFFS!$B:$B,$AI864))</f>
        <v/>
      </c>
      <c r="AK864" s="8"/>
      <c r="AL864" s="8" t="str">
        <f>IF($AK864="","",SUMIFS(OPERATING_COEFFS!$C:$C,OPERATING_COEFFS!$A:$A,"UrgencyClass",OPERATING_COEFFS!$B:$B,$AK864))</f>
        <v/>
      </c>
      <c r="AM864" s="8"/>
      <c r="AN864" s="8" t="str">
        <f t="array" ref="AN864">IF($AM864="","",INDEX(TAX_MODES!$B:$B,MATCH($AM864,TAX_MODES!$A:$A,0)))</f>
        <v/>
      </c>
    </row>
    <row r="865" ht="14.25" customHeight="1">
      <c r="C865" s="8"/>
      <c r="E865" s="8"/>
      <c r="G865" s="8"/>
      <c r="I865" s="8"/>
      <c r="K865" s="8"/>
      <c r="M865" s="8"/>
      <c r="O865" s="8"/>
      <c r="Q865" s="8"/>
      <c r="S865" s="8"/>
      <c r="V865" s="8"/>
      <c r="X865" s="31"/>
      <c r="Y865" s="31" t="str">
        <f>IF($X865="","",SUMIFS(TARIFF_PROFILES!$D:$D,TARIFF_PROFILES!$A:$A,$X865))</f>
        <v/>
      </c>
      <c r="Z865" s="31" t="str">
        <f>IF($X865="","",SUMIFS(TARIFF_PROFILES!$E:$E,TARIFF_PROFILES!$A:$A,$X865))</f>
        <v/>
      </c>
      <c r="AA865" s="31" t="str">
        <f>IF($X865="","",SUMIFS(TARIFF_PROFILES!$F:$F,TARIFF_PROFILES!$A:$A,$X865))</f>
        <v/>
      </c>
      <c r="AB865" s="31" t="str">
        <f>IF($X865="","",SUMIFS(TARIFF_PROFILES!$G:$G,TARIFF_PROFILES!$A:$A,$X865))</f>
        <v/>
      </c>
      <c r="AC865" s="31" t="str">
        <f>IF($X865="","",SUMIFS(TARIFF_PROFILES!$H:$H,TARIFF_PROFILES!$A:$A,$X865))</f>
        <v/>
      </c>
      <c r="AD865" s="31" t="str">
        <f t="array" ref="AD865">IF($X865="","",INDEX(TARIFF_PROFILES!$J:$J,MATCH($X865,TARIFF_PROFILES!$A:$A,0)))</f>
        <v/>
      </c>
      <c r="AE865" s="31" t="str">
        <f t="array" ref="AE865">IF($X865="","",INDEX(TARIFF_PROFILES!$K:$K,MATCH($X865,TARIFF_PROFILES!$A:$A,0)))</f>
        <v/>
      </c>
      <c r="AG865" s="8"/>
      <c r="AH865" s="8" t="str">
        <f>IF($AG865="","",SUMIFS(OPERATING_COEFFS!$C:$C,OPERATING_COEFFS!$A:$A,"DistanceClass",OPERATING_COEFFS!$B:$B,$AG865))</f>
        <v/>
      </c>
      <c r="AI865" s="8"/>
      <c r="AJ865" s="8" t="str">
        <f>IF($AI865="","",SUMIFS(OPERATING_COEFFS!$C:$C,OPERATING_COEFFS!$A:$A,"SeasonClass",OPERATING_COEFFS!$B:$B,$AI865))</f>
        <v/>
      </c>
      <c r="AK865" s="8"/>
      <c r="AL865" s="8" t="str">
        <f>IF($AK865="","",SUMIFS(OPERATING_COEFFS!$C:$C,OPERATING_COEFFS!$A:$A,"UrgencyClass",OPERATING_COEFFS!$B:$B,$AK865))</f>
        <v/>
      </c>
      <c r="AM865" s="8"/>
      <c r="AN865" s="8" t="str">
        <f t="array" ref="AN865">IF($AM865="","",INDEX(TAX_MODES!$B:$B,MATCH($AM865,TAX_MODES!$A:$A,0)))</f>
        <v/>
      </c>
    </row>
    <row r="866" ht="14.25" customHeight="1">
      <c r="C866" s="8"/>
      <c r="E866" s="8"/>
      <c r="G866" s="8"/>
      <c r="I866" s="8"/>
      <c r="K866" s="8"/>
      <c r="M866" s="8"/>
      <c r="O866" s="8"/>
      <c r="Q866" s="8"/>
      <c r="S866" s="8"/>
      <c r="V866" s="8"/>
      <c r="X866" s="31"/>
      <c r="Y866" s="31" t="str">
        <f>IF($X866="","",SUMIFS(TARIFF_PROFILES!$D:$D,TARIFF_PROFILES!$A:$A,$X866))</f>
        <v/>
      </c>
      <c r="Z866" s="31" t="str">
        <f>IF($X866="","",SUMIFS(TARIFF_PROFILES!$E:$E,TARIFF_PROFILES!$A:$A,$X866))</f>
        <v/>
      </c>
      <c r="AA866" s="31" t="str">
        <f>IF($X866="","",SUMIFS(TARIFF_PROFILES!$F:$F,TARIFF_PROFILES!$A:$A,$X866))</f>
        <v/>
      </c>
      <c r="AB866" s="31" t="str">
        <f>IF($X866="","",SUMIFS(TARIFF_PROFILES!$G:$G,TARIFF_PROFILES!$A:$A,$X866))</f>
        <v/>
      </c>
      <c r="AC866" s="31" t="str">
        <f>IF($X866="","",SUMIFS(TARIFF_PROFILES!$H:$H,TARIFF_PROFILES!$A:$A,$X866))</f>
        <v/>
      </c>
      <c r="AD866" s="31" t="str">
        <f t="array" ref="AD866">IF($X866="","",INDEX(TARIFF_PROFILES!$J:$J,MATCH($X866,TARIFF_PROFILES!$A:$A,0)))</f>
        <v/>
      </c>
      <c r="AE866" s="31" t="str">
        <f t="array" ref="AE866">IF($X866="","",INDEX(TARIFF_PROFILES!$K:$K,MATCH($X866,TARIFF_PROFILES!$A:$A,0)))</f>
        <v/>
      </c>
      <c r="AG866" s="8"/>
      <c r="AH866" s="8" t="str">
        <f>IF($AG866="","",SUMIFS(OPERATING_COEFFS!$C:$C,OPERATING_COEFFS!$A:$A,"DistanceClass",OPERATING_COEFFS!$B:$B,$AG866))</f>
        <v/>
      </c>
      <c r="AI866" s="8"/>
      <c r="AJ866" s="8" t="str">
        <f>IF($AI866="","",SUMIFS(OPERATING_COEFFS!$C:$C,OPERATING_COEFFS!$A:$A,"SeasonClass",OPERATING_COEFFS!$B:$B,$AI866))</f>
        <v/>
      </c>
      <c r="AK866" s="8"/>
      <c r="AL866" s="8" t="str">
        <f>IF($AK866="","",SUMIFS(OPERATING_COEFFS!$C:$C,OPERATING_COEFFS!$A:$A,"UrgencyClass",OPERATING_COEFFS!$B:$B,$AK866))</f>
        <v/>
      </c>
      <c r="AM866" s="8"/>
      <c r="AN866" s="8" t="str">
        <f t="array" ref="AN866">IF($AM866="","",INDEX(TAX_MODES!$B:$B,MATCH($AM866,TAX_MODES!$A:$A,0)))</f>
        <v/>
      </c>
    </row>
    <row r="867" ht="14.25" customHeight="1">
      <c r="C867" s="8"/>
      <c r="E867" s="8"/>
      <c r="G867" s="8"/>
      <c r="I867" s="8"/>
      <c r="K867" s="8"/>
      <c r="M867" s="8"/>
      <c r="O867" s="8"/>
      <c r="Q867" s="8"/>
      <c r="S867" s="8"/>
      <c r="V867" s="8"/>
      <c r="X867" s="31"/>
      <c r="Y867" s="31" t="str">
        <f>IF($X867="","",SUMIFS(TARIFF_PROFILES!$D:$D,TARIFF_PROFILES!$A:$A,$X867))</f>
        <v/>
      </c>
      <c r="Z867" s="31" t="str">
        <f>IF($X867="","",SUMIFS(TARIFF_PROFILES!$E:$E,TARIFF_PROFILES!$A:$A,$X867))</f>
        <v/>
      </c>
      <c r="AA867" s="31" t="str">
        <f>IF($X867="","",SUMIFS(TARIFF_PROFILES!$F:$F,TARIFF_PROFILES!$A:$A,$X867))</f>
        <v/>
      </c>
      <c r="AB867" s="31" t="str">
        <f>IF($X867="","",SUMIFS(TARIFF_PROFILES!$G:$G,TARIFF_PROFILES!$A:$A,$X867))</f>
        <v/>
      </c>
      <c r="AC867" s="31" t="str">
        <f>IF($X867="","",SUMIFS(TARIFF_PROFILES!$H:$H,TARIFF_PROFILES!$A:$A,$X867))</f>
        <v/>
      </c>
      <c r="AD867" s="31" t="str">
        <f t="array" ref="AD867">IF($X867="","",INDEX(TARIFF_PROFILES!$J:$J,MATCH($X867,TARIFF_PROFILES!$A:$A,0)))</f>
        <v/>
      </c>
      <c r="AE867" s="31" t="str">
        <f t="array" ref="AE867">IF($X867="","",INDEX(TARIFF_PROFILES!$K:$K,MATCH($X867,TARIFF_PROFILES!$A:$A,0)))</f>
        <v/>
      </c>
      <c r="AG867" s="8"/>
      <c r="AH867" s="8" t="str">
        <f>IF($AG867="","",SUMIFS(OPERATING_COEFFS!$C:$C,OPERATING_COEFFS!$A:$A,"DistanceClass",OPERATING_COEFFS!$B:$B,$AG867))</f>
        <v/>
      </c>
      <c r="AI867" s="8"/>
      <c r="AJ867" s="8" t="str">
        <f>IF($AI867="","",SUMIFS(OPERATING_COEFFS!$C:$C,OPERATING_COEFFS!$A:$A,"SeasonClass",OPERATING_COEFFS!$B:$B,$AI867))</f>
        <v/>
      </c>
      <c r="AK867" s="8"/>
      <c r="AL867" s="8" t="str">
        <f>IF($AK867="","",SUMIFS(OPERATING_COEFFS!$C:$C,OPERATING_COEFFS!$A:$A,"UrgencyClass",OPERATING_COEFFS!$B:$B,$AK867))</f>
        <v/>
      </c>
      <c r="AM867" s="8"/>
      <c r="AN867" s="8" t="str">
        <f t="array" ref="AN867">IF($AM867="","",INDEX(TAX_MODES!$B:$B,MATCH($AM867,TAX_MODES!$A:$A,0)))</f>
        <v/>
      </c>
    </row>
    <row r="868" ht="14.25" customHeight="1">
      <c r="C868" s="8"/>
      <c r="E868" s="8"/>
      <c r="G868" s="8"/>
      <c r="I868" s="8"/>
      <c r="K868" s="8"/>
      <c r="M868" s="8"/>
      <c r="O868" s="8"/>
      <c r="Q868" s="8"/>
      <c r="S868" s="8"/>
      <c r="V868" s="8"/>
      <c r="X868" s="31"/>
      <c r="Y868" s="31" t="str">
        <f>IF($X868="","",SUMIFS(TARIFF_PROFILES!$D:$D,TARIFF_PROFILES!$A:$A,$X868))</f>
        <v/>
      </c>
      <c r="Z868" s="31" t="str">
        <f>IF($X868="","",SUMIFS(TARIFF_PROFILES!$E:$E,TARIFF_PROFILES!$A:$A,$X868))</f>
        <v/>
      </c>
      <c r="AA868" s="31" t="str">
        <f>IF($X868="","",SUMIFS(TARIFF_PROFILES!$F:$F,TARIFF_PROFILES!$A:$A,$X868))</f>
        <v/>
      </c>
      <c r="AB868" s="31" t="str">
        <f>IF($X868="","",SUMIFS(TARIFF_PROFILES!$G:$G,TARIFF_PROFILES!$A:$A,$X868))</f>
        <v/>
      </c>
      <c r="AC868" s="31" t="str">
        <f>IF($X868="","",SUMIFS(TARIFF_PROFILES!$H:$H,TARIFF_PROFILES!$A:$A,$X868))</f>
        <v/>
      </c>
      <c r="AD868" s="31" t="str">
        <f t="array" ref="AD868">IF($X868="","",INDEX(TARIFF_PROFILES!$J:$J,MATCH($X868,TARIFF_PROFILES!$A:$A,0)))</f>
        <v/>
      </c>
      <c r="AE868" s="31" t="str">
        <f t="array" ref="AE868">IF($X868="","",INDEX(TARIFF_PROFILES!$K:$K,MATCH($X868,TARIFF_PROFILES!$A:$A,0)))</f>
        <v/>
      </c>
      <c r="AG868" s="8"/>
      <c r="AH868" s="8" t="str">
        <f>IF($AG868="","",SUMIFS(OPERATING_COEFFS!$C:$C,OPERATING_COEFFS!$A:$A,"DistanceClass",OPERATING_COEFFS!$B:$B,$AG868))</f>
        <v/>
      </c>
      <c r="AI868" s="8"/>
      <c r="AJ868" s="8" t="str">
        <f>IF($AI868="","",SUMIFS(OPERATING_COEFFS!$C:$C,OPERATING_COEFFS!$A:$A,"SeasonClass",OPERATING_COEFFS!$B:$B,$AI868))</f>
        <v/>
      </c>
      <c r="AK868" s="8"/>
      <c r="AL868" s="8" t="str">
        <f>IF($AK868="","",SUMIFS(OPERATING_COEFFS!$C:$C,OPERATING_COEFFS!$A:$A,"UrgencyClass",OPERATING_COEFFS!$B:$B,$AK868))</f>
        <v/>
      </c>
      <c r="AM868" s="8"/>
      <c r="AN868" s="8" t="str">
        <f t="array" ref="AN868">IF($AM868="","",INDEX(TAX_MODES!$B:$B,MATCH($AM868,TAX_MODES!$A:$A,0)))</f>
        <v/>
      </c>
    </row>
    <row r="869" ht="14.25" customHeight="1">
      <c r="C869" s="8"/>
      <c r="E869" s="8"/>
      <c r="G869" s="8"/>
      <c r="I869" s="8"/>
      <c r="K869" s="8"/>
      <c r="M869" s="8"/>
      <c r="O869" s="8"/>
      <c r="Q869" s="8"/>
      <c r="S869" s="8"/>
      <c r="V869" s="8"/>
      <c r="X869" s="31"/>
      <c r="Y869" s="31" t="str">
        <f>IF($X869="","",SUMIFS(TARIFF_PROFILES!$D:$D,TARIFF_PROFILES!$A:$A,$X869))</f>
        <v/>
      </c>
      <c r="Z869" s="31" t="str">
        <f>IF($X869="","",SUMIFS(TARIFF_PROFILES!$E:$E,TARIFF_PROFILES!$A:$A,$X869))</f>
        <v/>
      </c>
      <c r="AA869" s="31" t="str">
        <f>IF($X869="","",SUMIFS(TARIFF_PROFILES!$F:$F,TARIFF_PROFILES!$A:$A,$X869))</f>
        <v/>
      </c>
      <c r="AB869" s="31" t="str">
        <f>IF($X869="","",SUMIFS(TARIFF_PROFILES!$G:$G,TARIFF_PROFILES!$A:$A,$X869))</f>
        <v/>
      </c>
      <c r="AC869" s="31" t="str">
        <f>IF($X869="","",SUMIFS(TARIFF_PROFILES!$H:$H,TARIFF_PROFILES!$A:$A,$X869))</f>
        <v/>
      </c>
      <c r="AD869" s="31" t="str">
        <f t="array" ref="AD869">IF($X869="","",INDEX(TARIFF_PROFILES!$J:$J,MATCH($X869,TARIFF_PROFILES!$A:$A,0)))</f>
        <v/>
      </c>
      <c r="AE869" s="31" t="str">
        <f t="array" ref="AE869">IF($X869="","",INDEX(TARIFF_PROFILES!$K:$K,MATCH($X869,TARIFF_PROFILES!$A:$A,0)))</f>
        <v/>
      </c>
      <c r="AG869" s="8"/>
      <c r="AH869" s="8" t="str">
        <f>IF($AG869="","",SUMIFS(OPERATING_COEFFS!$C:$C,OPERATING_COEFFS!$A:$A,"DistanceClass",OPERATING_COEFFS!$B:$B,$AG869))</f>
        <v/>
      </c>
      <c r="AI869" s="8"/>
      <c r="AJ869" s="8" t="str">
        <f>IF($AI869="","",SUMIFS(OPERATING_COEFFS!$C:$C,OPERATING_COEFFS!$A:$A,"SeasonClass",OPERATING_COEFFS!$B:$B,$AI869))</f>
        <v/>
      </c>
      <c r="AK869" s="8"/>
      <c r="AL869" s="8" t="str">
        <f>IF($AK869="","",SUMIFS(OPERATING_COEFFS!$C:$C,OPERATING_COEFFS!$A:$A,"UrgencyClass",OPERATING_COEFFS!$B:$B,$AK869))</f>
        <v/>
      </c>
      <c r="AM869" s="8"/>
      <c r="AN869" s="8" t="str">
        <f t="array" ref="AN869">IF($AM869="","",INDEX(TAX_MODES!$B:$B,MATCH($AM869,TAX_MODES!$A:$A,0)))</f>
        <v/>
      </c>
    </row>
    <row r="870" ht="14.25" customHeight="1">
      <c r="C870" s="8"/>
      <c r="E870" s="8"/>
      <c r="G870" s="8"/>
      <c r="I870" s="8"/>
      <c r="K870" s="8"/>
      <c r="M870" s="8"/>
      <c r="O870" s="8"/>
      <c r="Q870" s="8"/>
      <c r="S870" s="8"/>
      <c r="V870" s="8"/>
      <c r="X870" s="31"/>
      <c r="Y870" s="31" t="str">
        <f>IF($X870="","",SUMIFS(TARIFF_PROFILES!$D:$D,TARIFF_PROFILES!$A:$A,$X870))</f>
        <v/>
      </c>
      <c r="Z870" s="31" t="str">
        <f>IF($X870="","",SUMIFS(TARIFF_PROFILES!$E:$E,TARIFF_PROFILES!$A:$A,$X870))</f>
        <v/>
      </c>
      <c r="AA870" s="31" t="str">
        <f>IF($X870="","",SUMIFS(TARIFF_PROFILES!$F:$F,TARIFF_PROFILES!$A:$A,$X870))</f>
        <v/>
      </c>
      <c r="AB870" s="31" t="str">
        <f>IF($X870="","",SUMIFS(TARIFF_PROFILES!$G:$G,TARIFF_PROFILES!$A:$A,$X870))</f>
        <v/>
      </c>
      <c r="AC870" s="31" t="str">
        <f>IF($X870="","",SUMIFS(TARIFF_PROFILES!$H:$H,TARIFF_PROFILES!$A:$A,$X870))</f>
        <v/>
      </c>
      <c r="AD870" s="31" t="str">
        <f t="array" ref="AD870">IF($X870="","",INDEX(TARIFF_PROFILES!$J:$J,MATCH($X870,TARIFF_PROFILES!$A:$A,0)))</f>
        <v/>
      </c>
      <c r="AE870" s="31" t="str">
        <f t="array" ref="AE870">IF($X870="","",INDEX(TARIFF_PROFILES!$K:$K,MATCH($X870,TARIFF_PROFILES!$A:$A,0)))</f>
        <v/>
      </c>
      <c r="AG870" s="8"/>
      <c r="AH870" s="8" t="str">
        <f>IF($AG870="","",SUMIFS(OPERATING_COEFFS!$C:$C,OPERATING_COEFFS!$A:$A,"DistanceClass",OPERATING_COEFFS!$B:$B,$AG870))</f>
        <v/>
      </c>
      <c r="AI870" s="8"/>
      <c r="AJ870" s="8" t="str">
        <f>IF($AI870="","",SUMIFS(OPERATING_COEFFS!$C:$C,OPERATING_COEFFS!$A:$A,"SeasonClass",OPERATING_COEFFS!$B:$B,$AI870))</f>
        <v/>
      </c>
      <c r="AK870" s="8"/>
      <c r="AL870" s="8" t="str">
        <f>IF($AK870="","",SUMIFS(OPERATING_COEFFS!$C:$C,OPERATING_COEFFS!$A:$A,"UrgencyClass",OPERATING_COEFFS!$B:$B,$AK870))</f>
        <v/>
      </c>
      <c r="AM870" s="8"/>
      <c r="AN870" s="8" t="str">
        <f t="array" ref="AN870">IF($AM870="","",INDEX(TAX_MODES!$B:$B,MATCH($AM870,TAX_MODES!$A:$A,0)))</f>
        <v/>
      </c>
    </row>
    <row r="871" ht="14.25" customHeight="1">
      <c r="C871" s="8"/>
      <c r="E871" s="8"/>
      <c r="G871" s="8"/>
      <c r="I871" s="8"/>
      <c r="K871" s="8"/>
      <c r="M871" s="8"/>
      <c r="O871" s="8"/>
      <c r="Q871" s="8"/>
      <c r="S871" s="8"/>
      <c r="V871" s="8"/>
      <c r="X871" s="31"/>
      <c r="Y871" s="31" t="str">
        <f>IF($X871="","",SUMIFS(TARIFF_PROFILES!$D:$D,TARIFF_PROFILES!$A:$A,$X871))</f>
        <v/>
      </c>
      <c r="Z871" s="31" t="str">
        <f>IF($X871="","",SUMIFS(TARIFF_PROFILES!$E:$E,TARIFF_PROFILES!$A:$A,$X871))</f>
        <v/>
      </c>
      <c r="AA871" s="31" t="str">
        <f>IF($X871="","",SUMIFS(TARIFF_PROFILES!$F:$F,TARIFF_PROFILES!$A:$A,$X871))</f>
        <v/>
      </c>
      <c r="AB871" s="31" t="str">
        <f>IF($X871="","",SUMIFS(TARIFF_PROFILES!$G:$G,TARIFF_PROFILES!$A:$A,$X871))</f>
        <v/>
      </c>
      <c r="AC871" s="31" t="str">
        <f>IF($X871="","",SUMIFS(TARIFF_PROFILES!$H:$H,TARIFF_PROFILES!$A:$A,$X871))</f>
        <v/>
      </c>
      <c r="AD871" s="31" t="str">
        <f t="array" ref="AD871">IF($X871="","",INDEX(TARIFF_PROFILES!$J:$J,MATCH($X871,TARIFF_PROFILES!$A:$A,0)))</f>
        <v/>
      </c>
      <c r="AE871" s="31" t="str">
        <f t="array" ref="AE871">IF($X871="","",INDEX(TARIFF_PROFILES!$K:$K,MATCH($X871,TARIFF_PROFILES!$A:$A,0)))</f>
        <v/>
      </c>
      <c r="AG871" s="8"/>
      <c r="AH871" s="8" t="str">
        <f>IF($AG871="","",SUMIFS(OPERATING_COEFFS!$C:$C,OPERATING_COEFFS!$A:$A,"DistanceClass",OPERATING_COEFFS!$B:$B,$AG871))</f>
        <v/>
      </c>
      <c r="AI871" s="8"/>
      <c r="AJ871" s="8" t="str">
        <f>IF($AI871="","",SUMIFS(OPERATING_COEFFS!$C:$C,OPERATING_COEFFS!$A:$A,"SeasonClass",OPERATING_COEFFS!$B:$B,$AI871))</f>
        <v/>
      </c>
      <c r="AK871" s="8"/>
      <c r="AL871" s="8" t="str">
        <f>IF($AK871="","",SUMIFS(OPERATING_COEFFS!$C:$C,OPERATING_COEFFS!$A:$A,"UrgencyClass",OPERATING_COEFFS!$B:$B,$AK871))</f>
        <v/>
      </c>
      <c r="AM871" s="8"/>
      <c r="AN871" s="8" t="str">
        <f t="array" ref="AN871">IF($AM871="","",INDEX(TAX_MODES!$B:$B,MATCH($AM871,TAX_MODES!$A:$A,0)))</f>
        <v/>
      </c>
    </row>
    <row r="872" ht="14.25" customHeight="1">
      <c r="C872" s="8"/>
      <c r="E872" s="8"/>
      <c r="G872" s="8"/>
      <c r="I872" s="8"/>
      <c r="K872" s="8"/>
      <c r="M872" s="8"/>
      <c r="O872" s="8"/>
      <c r="Q872" s="8"/>
      <c r="S872" s="8"/>
      <c r="V872" s="8"/>
      <c r="X872" s="31"/>
      <c r="Y872" s="31" t="str">
        <f>IF($X872="","",SUMIFS(TARIFF_PROFILES!$D:$D,TARIFF_PROFILES!$A:$A,$X872))</f>
        <v/>
      </c>
      <c r="Z872" s="31" t="str">
        <f>IF($X872="","",SUMIFS(TARIFF_PROFILES!$E:$E,TARIFF_PROFILES!$A:$A,$X872))</f>
        <v/>
      </c>
      <c r="AA872" s="31" t="str">
        <f>IF($X872="","",SUMIFS(TARIFF_PROFILES!$F:$F,TARIFF_PROFILES!$A:$A,$X872))</f>
        <v/>
      </c>
      <c r="AB872" s="31" t="str">
        <f>IF($X872="","",SUMIFS(TARIFF_PROFILES!$G:$G,TARIFF_PROFILES!$A:$A,$X872))</f>
        <v/>
      </c>
      <c r="AC872" s="31" t="str">
        <f>IF($X872="","",SUMIFS(TARIFF_PROFILES!$H:$H,TARIFF_PROFILES!$A:$A,$X872))</f>
        <v/>
      </c>
      <c r="AD872" s="31" t="str">
        <f t="array" ref="AD872">IF($X872="","",INDEX(TARIFF_PROFILES!$J:$J,MATCH($X872,TARIFF_PROFILES!$A:$A,0)))</f>
        <v/>
      </c>
      <c r="AE872" s="31" t="str">
        <f t="array" ref="AE872">IF($X872="","",INDEX(TARIFF_PROFILES!$K:$K,MATCH($X872,TARIFF_PROFILES!$A:$A,0)))</f>
        <v/>
      </c>
      <c r="AG872" s="8"/>
      <c r="AH872" s="8" t="str">
        <f>IF($AG872="","",SUMIFS(OPERATING_COEFFS!$C:$C,OPERATING_COEFFS!$A:$A,"DistanceClass",OPERATING_COEFFS!$B:$B,$AG872))</f>
        <v/>
      </c>
      <c r="AI872" s="8"/>
      <c r="AJ872" s="8" t="str">
        <f>IF($AI872="","",SUMIFS(OPERATING_COEFFS!$C:$C,OPERATING_COEFFS!$A:$A,"SeasonClass",OPERATING_COEFFS!$B:$B,$AI872))</f>
        <v/>
      </c>
      <c r="AK872" s="8"/>
      <c r="AL872" s="8" t="str">
        <f>IF($AK872="","",SUMIFS(OPERATING_COEFFS!$C:$C,OPERATING_COEFFS!$A:$A,"UrgencyClass",OPERATING_COEFFS!$B:$B,$AK872))</f>
        <v/>
      </c>
      <c r="AM872" s="8"/>
      <c r="AN872" s="8" t="str">
        <f t="array" ref="AN872">IF($AM872="","",INDEX(TAX_MODES!$B:$B,MATCH($AM872,TAX_MODES!$A:$A,0)))</f>
        <v/>
      </c>
    </row>
    <row r="873" ht="14.25" customHeight="1">
      <c r="C873" s="8"/>
      <c r="E873" s="8"/>
      <c r="G873" s="8"/>
      <c r="I873" s="8"/>
      <c r="K873" s="8"/>
      <c r="M873" s="8"/>
      <c r="O873" s="8"/>
      <c r="Q873" s="8"/>
      <c r="S873" s="8"/>
      <c r="V873" s="8"/>
      <c r="X873" s="31"/>
      <c r="Y873" s="31" t="str">
        <f>IF($X873="","",SUMIFS(TARIFF_PROFILES!$D:$D,TARIFF_PROFILES!$A:$A,$X873))</f>
        <v/>
      </c>
      <c r="Z873" s="31" t="str">
        <f>IF($X873="","",SUMIFS(TARIFF_PROFILES!$E:$E,TARIFF_PROFILES!$A:$A,$X873))</f>
        <v/>
      </c>
      <c r="AA873" s="31" t="str">
        <f>IF($X873="","",SUMIFS(TARIFF_PROFILES!$F:$F,TARIFF_PROFILES!$A:$A,$X873))</f>
        <v/>
      </c>
      <c r="AB873" s="31" t="str">
        <f>IF($X873="","",SUMIFS(TARIFF_PROFILES!$G:$G,TARIFF_PROFILES!$A:$A,$X873))</f>
        <v/>
      </c>
      <c r="AC873" s="31" t="str">
        <f>IF($X873="","",SUMIFS(TARIFF_PROFILES!$H:$H,TARIFF_PROFILES!$A:$A,$X873))</f>
        <v/>
      </c>
      <c r="AD873" s="31" t="str">
        <f t="array" ref="AD873">IF($X873="","",INDEX(TARIFF_PROFILES!$J:$J,MATCH($X873,TARIFF_PROFILES!$A:$A,0)))</f>
        <v/>
      </c>
      <c r="AE873" s="31" t="str">
        <f t="array" ref="AE873">IF($X873="","",INDEX(TARIFF_PROFILES!$K:$K,MATCH($X873,TARIFF_PROFILES!$A:$A,0)))</f>
        <v/>
      </c>
      <c r="AG873" s="8"/>
      <c r="AH873" s="8" t="str">
        <f>IF($AG873="","",SUMIFS(OPERATING_COEFFS!$C:$C,OPERATING_COEFFS!$A:$A,"DistanceClass",OPERATING_COEFFS!$B:$B,$AG873))</f>
        <v/>
      </c>
      <c r="AI873" s="8"/>
      <c r="AJ873" s="8" t="str">
        <f>IF($AI873="","",SUMIFS(OPERATING_COEFFS!$C:$C,OPERATING_COEFFS!$A:$A,"SeasonClass",OPERATING_COEFFS!$B:$B,$AI873))</f>
        <v/>
      </c>
      <c r="AK873" s="8"/>
      <c r="AL873" s="8" t="str">
        <f>IF($AK873="","",SUMIFS(OPERATING_COEFFS!$C:$C,OPERATING_COEFFS!$A:$A,"UrgencyClass",OPERATING_COEFFS!$B:$B,$AK873))</f>
        <v/>
      </c>
      <c r="AM873" s="8"/>
      <c r="AN873" s="8" t="str">
        <f t="array" ref="AN873">IF($AM873="","",INDEX(TAX_MODES!$B:$B,MATCH($AM873,TAX_MODES!$A:$A,0)))</f>
        <v/>
      </c>
    </row>
    <row r="874" ht="14.25" customHeight="1">
      <c r="C874" s="8"/>
      <c r="E874" s="8"/>
      <c r="G874" s="8"/>
      <c r="I874" s="8"/>
      <c r="K874" s="8"/>
      <c r="M874" s="8"/>
      <c r="O874" s="8"/>
      <c r="Q874" s="8"/>
      <c r="S874" s="8"/>
      <c r="V874" s="8"/>
      <c r="X874" s="31"/>
      <c r="Y874" s="31" t="str">
        <f>IF($X874="","",SUMIFS(TARIFF_PROFILES!$D:$D,TARIFF_PROFILES!$A:$A,$X874))</f>
        <v/>
      </c>
      <c r="Z874" s="31" t="str">
        <f>IF($X874="","",SUMIFS(TARIFF_PROFILES!$E:$E,TARIFF_PROFILES!$A:$A,$X874))</f>
        <v/>
      </c>
      <c r="AA874" s="31" t="str">
        <f>IF($X874="","",SUMIFS(TARIFF_PROFILES!$F:$F,TARIFF_PROFILES!$A:$A,$X874))</f>
        <v/>
      </c>
      <c r="AB874" s="31" t="str">
        <f>IF($X874="","",SUMIFS(TARIFF_PROFILES!$G:$G,TARIFF_PROFILES!$A:$A,$X874))</f>
        <v/>
      </c>
      <c r="AC874" s="31" t="str">
        <f>IF($X874="","",SUMIFS(TARIFF_PROFILES!$H:$H,TARIFF_PROFILES!$A:$A,$X874))</f>
        <v/>
      </c>
      <c r="AD874" s="31" t="str">
        <f t="array" ref="AD874">IF($X874="","",INDEX(TARIFF_PROFILES!$J:$J,MATCH($X874,TARIFF_PROFILES!$A:$A,0)))</f>
        <v/>
      </c>
      <c r="AE874" s="31" t="str">
        <f t="array" ref="AE874">IF($X874="","",INDEX(TARIFF_PROFILES!$K:$K,MATCH($X874,TARIFF_PROFILES!$A:$A,0)))</f>
        <v/>
      </c>
      <c r="AG874" s="8"/>
      <c r="AH874" s="8" t="str">
        <f>IF($AG874="","",SUMIFS(OPERATING_COEFFS!$C:$C,OPERATING_COEFFS!$A:$A,"DistanceClass",OPERATING_COEFFS!$B:$B,$AG874))</f>
        <v/>
      </c>
      <c r="AI874" s="8"/>
      <c r="AJ874" s="8" t="str">
        <f>IF($AI874="","",SUMIFS(OPERATING_COEFFS!$C:$C,OPERATING_COEFFS!$A:$A,"SeasonClass",OPERATING_COEFFS!$B:$B,$AI874))</f>
        <v/>
      </c>
      <c r="AK874" s="8"/>
      <c r="AL874" s="8" t="str">
        <f>IF($AK874="","",SUMIFS(OPERATING_COEFFS!$C:$C,OPERATING_COEFFS!$A:$A,"UrgencyClass",OPERATING_COEFFS!$B:$B,$AK874))</f>
        <v/>
      </c>
      <c r="AM874" s="8"/>
      <c r="AN874" s="8" t="str">
        <f t="array" ref="AN874">IF($AM874="","",INDEX(TAX_MODES!$B:$B,MATCH($AM874,TAX_MODES!$A:$A,0)))</f>
        <v/>
      </c>
    </row>
    <row r="875" ht="14.25" customHeight="1">
      <c r="C875" s="8"/>
      <c r="E875" s="8"/>
      <c r="G875" s="8"/>
      <c r="I875" s="8"/>
      <c r="K875" s="8"/>
      <c r="M875" s="8"/>
      <c r="O875" s="8"/>
      <c r="Q875" s="8"/>
      <c r="S875" s="8"/>
      <c r="V875" s="8"/>
      <c r="X875" s="31"/>
      <c r="Y875" s="31" t="str">
        <f>IF($X875="","",SUMIFS(TARIFF_PROFILES!$D:$D,TARIFF_PROFILES!$A:$A,$X875))</f>
        <v/>
      </c>
      <c r="Z875" s="31" t="str">
        <f>IF($X875="","",SUMIFS(TARIFF_PROFILES!$E:$E,TARIFF_PROFILES!$A:$A,$X875))</f>
        <v/>
      </c>
      <c r="AA875" s="31" t="str">
        <f>IF($X875="","",SUMIFS(TARIFF_PROFILES!$F:$F,TARIFF_PROFILES!$A:$A,$X875))</f>
        <v/>
      </c>
      <c r="AB875" s="31" t="str">
        <f>IF($X875="","",SUMIFS(TARIFF_PROFILES!$G:$G,TARIFF_PROFILES!$A:$A,$X875))</f>
        <v/>
      </c>
      <c r="AC875" s="31" t="str">
        <f>IF($X875="","",SUMIFS(TARIFF_PROFILES!$H:$H,TARIFF_PROFILES!$A:$A,$X875))</f>
        <v/>
      </c>
      <c r="AD875" s="31" t="str">
        <f t="array" ref="AD875">IF($X875="","",INDEX(TARIFF_PROFILES!$J:$J,MATCH($X875,TARIFF_PROFILES!$A:$A,0)))</f>
        <v/>
      </c>
      <c r="AE875" s="31" t="str">
        <f t="array" ref="AE875">IF($X875="","",INDEX(TARIFF_PROFILES!$K:$K,MATCH($X875,TARIFF_PROFILES!$A:$A,0)))</f>
        <v/>
      </c>
      <c r="AG875" s="8"/>
      <c r="AH875" s="8" t="str">
        <f>IF($AG875="","",SUMIFS(OPERATING_COEFFS!$C:$C,OPERATING_COEFFS!$A:$A,"DistanceClass",OPERATING_COEFFS!$B:$B,$AG875))</f>
        <v/>
      </c>
      <c r="AI875" s="8"/>
      <c r="AJ875" s="8" t="str">
        <f>IF($AI875="","",SUMIFS(OPERATING_COEFFS!$C:$C,OPERATING_COEFFS!$A:$A,"SeasonClass",OPERATING_COEFFS!$B:$B,$AI875))</f>
        <v/>
      </c>
      <c r="AK875" s="8"/>
      <c r="AL875" s="8" t="str">
        <f>IF($AK875="","",SUMIFS(OPERATING_COEFFS!$C:$C,OPERATING_COEFFS!$A:$A,"UrgencyClass",OPERATING_COEFFS!$B:$B,$AK875))</f>
        <v/>
      </c>
      <c r="AM875" s="8"/>
      <c r="AN875" s="8" t="str">
        <f t="array" ref="AN875">IF($AM875="","",INDEX(TAX_MODES!$B:$B,MATCH($AM875,TAX_MODES!$A:$A,0)))</f>
        <v/>
      </c>
    </row>
    <row r="876" ht="14.25" customHeight="1">
      <c r="C876" s="8"/>
      <c r="E876" s="8"/>
      <c r="G876" s="8"/>
      <c r="I876" s="8"/>
      <c r="K876" s="8"/>
      <c r="M876" s="8"/>
      <c r="O876" s="8"/>
      <c r="Q876" s="8"/>
      <c r="S876" s="8"/>
      <c r="V876" s="8"/>
      <c r="X876" s="31"/>
      <c r="Y876" s="31" t="str">
        <f>IF($X876="","",SUMIFS(TARIFF_PROFILES!$D:$D,TARIFF_PROFILES!$A:$A,$X876))</f>
        <v/>
      </c>
      <c r="Z876" s="31" t="str">
        <f>IF($X876="","",SUMIFS(TARIFF_PROFILES!$E:$E,TARIFF_PROFILES!$A:$A,$X876))</f>
        <v/>
      </c>
      <c r="AA876" s="31" t="str">
        <f>IF($X876="","",SUMIFS(TARIFF_PROFILES!$F:$F,TARIFF_PROFILES!$A:$A,$X876))</f>
        <v/>
      </c>
      <c r="AB876" s="31" t="str">
        <f>IF($X876="","",SUMIFS(TARIFF_PROFILES!$G:$G,TARIFF_PROFILES!$A:$A,$X876))</f>
        <v/>
      </c>
      <c r="AC876" s="31" t="str">
        <f>IF($X876="","",SUMIFS(TARIFF_PROFILES!$H:$H,TARIFF_PROFILES!$A:$A,$X876))</f>
        <v/>
      </c>
      <c r="AD876" s="31" t="str">
        <f t="array" ref="AD876">IF($X876="","",INDEX(TARIFF_PROFILES!$J:$J,MATCH($X876,TARIFF_PROFILES!$A:$A,0)))</f>
        <v/>
      </c>
      <c r="AE876" s="31" t="str">
        <f t="array" ref="AE876">IF($X876="","",INDEX(TARIFF_PROFILES!$K:$K,MATCH($X876,TARIFF_PROFILES!$A:$A,0)))</f>
        <v/>
      </c>
      <c r="AG876" s="8"/>
      <c r="AH876" s="8" t="str">
        <f>IF($AG876="","",SUMIFS(OPERATING_COEFFS!$C:$C,OPERATING_COEFFS!$A:$A,"DistanceClass",OPERATING_COEFFS!$B:$B,$AG876))</f>
        <v/>
      </c>
      <c r="AI876" s="8"/>
      <c r="AJ876" s="8" t="str">
        <f>IF($AI876="","",SUMIFS(OPERATING_COEFFS!$C:$C,OPERATING_COEFFS!$A:$A,"SeasonClass",OPERATING_COEFFS!$B:$B,$AI876))</f>
        <v/>
      </c>
      <c r="AK876" s="8"/>
      <c r="AL876" s="8" t="str">
        <f>IF($AK876="","",SUMIFS(OPERATING_COEFFS!$C:$C,OPERATING_COEFFS!$A:$A,"UrgencyClass",OPERATING_COEFFS!$B:$B,$AK876))</f>
        <v/>
      </c>
      <c r="AM876" s="8"/>
      <c r="AN876" s="8" t="str">
        <f t="array" ref="AN876">IF($AM876="","",INDEX(TAX_MODES!$B:$B,MATCH($AM876,TAX_MODES!$A:$A,0)))</f>
        <v/>
      </c>
    </row>
    <row r="877" ht="14.25" customHeight="1">
      <c r="C877" s="8"/>
      <c r="E877" s="8"/>
      <c r="G877" s="8"/>
      <c r="I877" s="8"/>
      <c r="K877" s="8"/>
      <c r="M877" s="8"/>
      <c r="O877" s="8"/>
      <c r="Q877" s="8"/>
      <c r="S877" s="8"/>
      <c r="V877" s="8"/>
      <c r="X877" s="31"/>
      <c r="Y877" s="31" t="str">
        <f>IF($X877="","",SUMIFS(TARIFF_PROFILES!$D:$D,TARIFF_PROFILES!$A:$A,$X877))</f>
        <v/>
      </c>
      <c r="Z877" s="31" t="str">
        <f>IF($X877="","",SUMIFS(TARIFF_PROFILES!$E:$E,TARIFF_PROFILES!$A:$A,$X877))</f>
        <v/>
      </c>
      <c r="AA877" s="31" t="str">
        <f>IF($X877="","",SUMIFS(TARIFF_PROFILES!$F:$F,TARIFF_PROFILES!$A:$A,$X877))</f>
        <v/>
      </c>
      <c r="AB877" s="31" t="str">
        <f>IF($X877="","",SUMIFS(TARIFF_PROFILES!$G:$G,TARIFF_PROFILES!$A:$A,$X877))</f>
        <v/>
      </c>
      <c r="AC877" s="31" t="str">
        <f>IF($X877="","",SUMIFS(TARIFF_PROFILES!$H:$H,TARIFF_PROFILES!$A:$A,$X877))</f>
        <v/>
      </c>
      <c r="AD877" s="31" t="str">
        <f t="array" ref="AD877">IF($X877="","",INDEX(TARIFF_PROFILES!$J:$J,MATCH($X877,TARIFF_PROFILES!$A:$A,0)))</f>
        <v/>
      </c>
      <c r="AE877" s="31" t="str">
        <f t="array" ref="AE877">IF($X877="","",INDEX(TARIFF_PROFILES!$K:$K,MATCH($X877,TARIFF_PROFILES!$A:$A,0)))</f>
        <v/>
      </c>
      <c r="AG877" s="8"/>
      <c r="AH877" s="8" t="str">
        <f>IF($AG877="","",SUMIFS(OPERATING_COEFFS!$C:$C,OPERATING_COEFFS!$A:$A,"DistanceClass",OPERATING_COEFFS!$B:$B,$AG877))</f>
        <v/>
      </c>
      <c r="AI877" s="8"/>
      <c r="AJ877" s="8" t="str">
        <f>IF($AI877="","",SUMIFS(OPERATING_COEFFS!$C:$C,OPERATING_COEFFS!$A:$A,"SeasonClass",OPERATING_COEFFS!$B:$B,$AI877))</f>
        <v/>
      </c>
      <c r="AK877" s="8"/>
      <c r="AL877" s="8" t="str">
        <f>IF($AK877="","",SUMIFS(OPERATING_COEFFS!$C:$C,OPERATING_COEFFS!$A:$A,"UrgencyClass",OPERATING_COEFFS!$B:$B,$AK877))</f>
        <v/>
      </c>
      <c r="AM877" s="8"/>
      <c r="AN877" s="8" t="str">
        <f t="array" ref="AN877">IF($AM877="","",INDEX(TAX_MODES!$B:$B,MATCH($AM877,TAX_MODES!$A:$A,0)))</f>
        <v/>
      </c>
    </row>
    <row r="878" ht="14.25" customHeight="1">
      <c r="C878" s="8"/>
      <c r="E878" s="8"/>
      <c r="G878" s="8"/>
      <c r="I878" s="8"/>
      <c r="K878" s="8"/>
      <c r="M878" s="8"/>
      <c r="O878" s="8"/>
      <c r="Q878" s="8"/>
      <c r="S878" s="8"/>
      <c r="V878" s="8"/>
      <c r="X878" s="31"/>
      <c r="Y878" s="31" t="str">
        <f>IF($X878="","",SUMIFS(TARIFF_PROFILES!$D:$D,TARIFF_PROFILES!$A:$A,$X878))</f>
        <v/>
      </c>
      <c r="Z878" s="31" t="str">
        <f>IF($X878="","",SUMIFS(TARIFF_PROFILES!$E:$E,TARIFF_PROFILES!$A:$A,$X878))</f>
        <v/>
      </c>
      <c r="AA878" s="31" t="str">
        <f>IF($X878="","",SUMIFS(TARIFF_PROFILES!$F:$F,TARIFF_PROFILES!$A:$A,$X878))</f>
        <v/>
      </c>
      <c r="AB878" s="31" t="str">
        <f>IF($X878="","",SUMIFS(TARIFF_PROFILES!$G:$G,TARIFF_PROFILES!$A:$A,$X878))</f>
        <v/>
      </c>
      <c r="AC878" s="31" t="str">
        <f>IF($X878="","",SUMIFS(TARIFF_PROFILES!$H:$H,TARIFF_PROFILES!$A:$A,$X878))</f>
        <v/>
      </c>
      <c r="AD878" s="31" t="str">
        <f t="array" ref="AD878">IF($X878="","",INDEX(TARIFF_PROFILES!$J:$J,MATCH($X878,TARIFF_PROFILES!$A:$A,0)))</f>
        <v/>
      </c>
      <c r="AE878" s="31" t="str">
        <f t="array" ref="AE878">IF($X878="","",INDEX(TARIFF_PROFILES!$K:$K,MATCH($X878,TARIFF_PROFILES!$A:$A,0)))</f>
        <v/>
      </c>
      <c r="AG878" s="8"/>
      <c r="AH878" s="8" t="str">
        <f>IF($AG878="","",SUMIFS(OPERATING_COEFFS!$C:$C,OPERATING_COEFFS!$A:$A,"DistanceClass",OPERATING_COEFFS!$B:$B,$AG878))</f>
        <v/>
      </c>
      <c r="AI878" s="8"/>
      <c r="AJ878" s="8" t="str">
        <f>IF($AI878="","",SUMIFS(OPERATING_COEFFS!$C:$C,OPERATING_COEFFS!$A:$A,"SeasonClass",OPERATING_COEFFS!$B:$B,$AI878))</f>
        <v/>
      </c>
      <c r="AK878" s="8"/>
      <c r="AL878" s="8" t="str">
        <f>IF($AK878="","",SUMIFS(OPERATING_COEFFS!$C:$C,OPERATING_COEFFS!$A:$A,"UrgencyClass",OPERATING_COEFFS!$B:$B,$AK878))</f>
        <v/>
      </c>
      <c r="AM878" s="8"/>
      <c r="AN878" s="8" t="str">
        <f t="array" ref="AN878">IF($AM878="","",INDEX(TAX_MODES!$B:$B,MATCH($AM878,TAX_MODES!$A:$A,0)))</f>
        <v/>
      </c>
    </row>
    <row r="879" ht="14.25" customHeight="1">
      <c r="C879" s="8"/>
      <c r="E879" s="8"/>
      <c r="G879" s="8"/>
      <c r="I879" s="8"/>
      <c r="K879" s="8"/>
      <c r="M879" s="8"/>
      <c r="O879" s="8"/>
      <c r="Q879" s="8"/>
      <c r="S879" s="8"/>
      <c r="V879" s="8"/>
      <c r="X879" s="31"/>
      <c r="Y879" s="31" t="str">
        <f>IF($X879="","",SUMIFS(TARIFF_PROFILES!$D:$D,TARIFF_PROFILES!$A:$A,$X879))</f>
        <v/>
      </c>
      <c r="Z879" s="31" t="str">
        <f>IF($X879="","",SUMIFS(TARIFF_PROFILES!$E:$E,TARIFF_PROFILES!$A:$A,$X879))</f>
        <v/>
      </c>
      <c r="AA879" s="31" t="str">
        <f>IF($X879="","",SUMIFS(TARIFF_PROFILES!$F:$F,TARIFF_PROFILES!$A:$A,$X879))</f>
        <v/>
      </c>
      <c r="AB879" s="31" t="str">
        <f>IF($X879="","",SUMIFS(TARIFF_PROFILES!$G:$G,TARIFF_PROFILES!$A:$A,$X879))</f>
        <v/>
      </c>
      <c r="AC879" s="31" t="str">
        <f>IF($X879="","",SUMIFS(TARIFF_PROFILES!$H:$H,TARIFF_PROFILES!$A:$A,$X879))</f>
        <v/>
      </c>
      <c r="AD879" s="31" t="str">
        <f t="array" ref="AD879">IF($X879="","",INDEX(TARIFF_PROFILES!$J:$J,MATCH($X879,TARIFF_PROFILES!$A:$A,0)))</f>
        <v/>
      </c>
      <c r="AE879" s="31" t="str">
        <f t="array" ref="AE879">IF($X879="","",INDEX(TARIFF_PROFILES!$K:$K,MATCH($X879,TARIFF_PROFILES!$A:$A,0)))</f>
        <v/>
      </c>
      <c r="AG879" s="8"/>
      <c r="AH879" s="8" t="str">
        <f>IF($AG879="","",SUMIFS(OPERATING_COEFFS!$C:$C,OPERATING_COEFFS!$A:$A,"DistanceClass",OPERATING_COEFFS!$B:$B,$AG879))</f>
        <v/>
      </c>
      <c r="AI879" s="8"/>
      <c r="AJ879" s="8" t="str">
        <f>IF($AI879="","",SUMIFS(OPERATING_COEFFS!$C:$C,OPERATING_COEFFS!$A:$A,"SeasonClass",OPERATING_COEFFS!$B:$B,$AI879))</f>
        <v/>
      </c>
      <c r="AK879" s="8"/>
      <c r="AL879" s="8" t="str">
        <f>IF($AK879="","",SUMIFS(OPERATING_COEFFS!$C:$C,OPERATING_COEFFS!$A:$A,"UrgencyClass",OPERATING_COEFFS!$B:$B,$AK879))</f>
        <v/>
      </c>
      <c r="AM879" s="8"/>
      <c r="AN879" s="8" t="str">
        <f t="array" ref="AN879">IF($AM879="","",INDEX(TAX_MODES!$B:$B,MATCH($AM879,TAX_MODES!$A:$A,0)))</f>
        <v/>
      </c>
    </row>
    <row r="880" ht="14.25" customHeight="1">
      <c r="C880" s="8"/>
      <c r="E880" s="8"/>
      <c r="G880" s="8"/>
      <c r="I880" s="8"/>
      <c r="K880" s="8"/>
      <c r="M880" s="8"/>
      <c r="O880" s="8"/>
      <c r="Q880" s="8"/>
      <c r="S880" s="8"/>
      <c r="V880" s="8"/>
      <c r="X880" s="31"/>
      <c r="Y880" s="31" t="str">
        <f>IF($X880="","",SUMIFS(TARIFF_PROFILES!$D:$D,TARIFF_PROFILES!$A:$A,$X880))</f>
        <v/>
      </c>
      <c r="Z880" s="31" t="str">
        <f>IF($X880="","",SUMIFS(TARIFF_PROFILES!$E:$E,TARIFF_PROFILES!$A:$A,$X880))</f>
        <v/>
      </c>
      <c r="AA880" s="31" t="str">
        <f>IF($X880="","",SUMIFS(TARIFF_PROFILES!$F:$F,TARIFF_PROFILES!$A:$A,$X880))</f>
        <v/>
      </c>
      <c r="AB880" s="31" t="str">
        <f>IF($X880="","",SUMIFS(TARIFF_PROFILES!$G:$G,TARIFF_PROFILES!$A:$A,$X880))</f>
        <v/>
      </c>
      <c r="AC880" s="31" t="str">
        <f>IF($X880="","",SUMIFS(TARIFF_PROFILES!$H:$H,TARIFF_PROFILES!$A:$A,$X880))</f>
        <v/>
      </c>
      <c r="AD880" s="31" t="str">
        <f t="array" ref="AD880">IF($X880="","",INDEX(TARIFF_PROFILES!$J:$J,MATCH($X880,TARIFF_PROFILES!$A:$A,0)))</f>
        <v/>
      </c>
      <c r="AE880" s="31" t="str">
        <f t="array" ref="AE880">IF($X880="","",INDEX(TARIFF_PROFILES!$K:$K,MATCH($X880,TARIFF_PROFILES!$A:$A,0)))</f>
        <v/>
      </c>
      <c r="AG880" s="8"/>
      <c r="AH880" s="8" t="str">
        <f>IF($AG880="","",SUMIFS(OPERATING_COEFFS!$C:$C,OPERATING_COEFFS!$A:$A,"DistanceClass",OPERATING_COEFFS!$B:$B,$AG880))</f>
        <v/>
      </c>
      <c r="AI880" s="8"/>
      <c r="AJ880" s="8" t="str">
        <f>IF($AI880="","",SUMIFS(OPERATING_COEFFS!$C:$C,OPERATING_COEFFS!$A:$A,"SeasonClass",OPERATING_COEFFS!$B:$B,$AI880))</f>
        <v/>
      </c>
      <c r="AK880" s="8"/>
      <c r="AL880" s="8" t="str">
        <f>IF($AK880="","",SUMIFS(OPERATING_COEFFS!$C:$C,OPERATING_COEFFS!$A:$A,"UrgencyClass",OPERATING_COEFFS!$B:$B,$AK880))</f>
        <v/>
      </c>
      <c r="AM880" s="8"/>
      <c r="AN880" s="8" t="str">
        <f t="array" ref="AN880">IF($AM880="","",INDEX(TAX_MODES!$B:$B,MATCH($AM880,TAX_MODES!$A:$A,0)))</f>
        <v/>
      </c>
    </row>
    <row r="881" ht="14.25" customHeight="1">
      <c r="C881" s="8"/>
      <c r="E881" s="8"/>
      <c r="G881" s="8"/>
      <c r="I881" s="8"/>
      <c r="K881" s="8"/>
      <c r="M881" s="8"/>
      <c r="O881" s="8"/>
      <c r="Q881" s="8"/>
      <c r="S881" s="8"/>
      <c r="V881" s="8"/>
      <c r="X881" s="31"/>
      <c r="Y881" s="31" t="str">
        <f>IF($X881="","",SUMIFS(TARIFF_PROFILES!$D:$D,TARIFF_PROFILES!$A:$A,$X881))</f>
        <v/>
      </c>
      <c r="Z881" s="31" t="str">
        <f>IF($X881="","",SUMIFS(TARIFF_PROFILES!$E:$E,TARIFF_PROFILES!$A:$A,$X881))</f>
        <v/>
      </c>
      <c r="AA881" s="31" t="str">
        <f>IF($X881="","",SUMIFS(TARIFF_PROFILES!$F:$F,TARIFF_PROFILES!$A:$A,$X881))</f>
        <v/>
      </c>
      <c r="AB881" s="31" t="str">
        <f>IF($X881="","",SUMIFS(TARIFF_PROFILES!$G:$G,TARIFF_PROFILES!$A:$A,$X881))</f>
        <v/>
      </c>
      <c r="AC881" s="31" t="str">
        <f>IF($X881="","",SUMIFS(TARIFF_PROFILES!$H:$H,TARIFF_PROFILES!$A:$A,$X881))</f>
        <v/>
      </c>
      <c r="AD881" s="31" t="str">
        <f t="array" ref="AD881">IF($X881="","",INDEX(TARIFF_PROFILES!$J:$J,MATCH($X881,TARIFF_PROFILES!$A:$A,0)))</f>
        <v/>
      </c>
      <c r="AE881" s="31" t="str">
        <f t="array" ref="AE881">IF($X881="","",INDEX(TARIFF_PROFILES!$K:$K,MATCH($X881,TARIFF_PROFILES!$A:$A,0)))</f>
        <v/>
      </c>
      <c r="AG881" s="8"/>
      <c r="AH881" s="8" t="str">
        <f>IF($AG881="","",SUMIFS(OPERATING_COEFFS!$C:$C,OPERATING_COEFFS!$A:$A,"DistanceClass",OPERATING_COEFFS!$B:$B,$AG881))</f>
        <v/>
      </c>
      <c r="AI881" s="8"/>
      <c r="AJ881" s="8" t="str">
        <f>IF($AI881="","",SUMIFS(OPERATING_COEFFS!$C:$C,OPERATING_COEFFS!$A:$A,"SeasonClass",OPERATING_COEFFS!$B:$B,$AI881))</f>
        <v/>
      </c>
      <c r="AK881" s="8"/>
      <c r="AL881" s="8" t="str">
        <f>IF($AK881="","",SUMIFS(OPERATING_COEFFS!$C:$C,OPERATING_COEFFS!$A:$A,"UrgencyClass",OPERATING_COEFFS!$B:$B,$AK881))</f>
        <v/>
      </c>
      <c r="AM881" s="8"/>
      <c r="AN881" s="8" t="str">
        <f t="array" ref="AN881">IF($AM881="","",INDEX(TAX_MODES!$B:$B,MATCH($AM881,TAX_MODES!$A:$A,0)))</f>
        <v/>
      </c>
    </row>
    <row r="882" ht="14.25" customHeight="1">
      <c r="C882" s="8"/>
      <c r="E882" s="8"/>
      <c r="G882" s="8"/>
      <c r="I882" s="8"/>
      <c r="K882" s="8"/>
      <c r="M882" s="8"/>
      <c r="O882" s="8"/>
      <c r="Q882" s="8"/>
      <c r="S882" s="8"/>
      <c r="V882" s="8"/>
      <c r="X882" s="31"/>
      <c r="Y882" s="31" t="str">
        <f>IF($X882="","",SUMIFS(TARIFF_PROFILES!$D:$D,TARIFF_PROFILES!$A:$A,$X882))</f>
        <v/>
      </c>
      <c r="Z882" s="31" t="str">
        <f>IF($X882="","",SUMIFS(TARIFF_PROFILES!$E:$E,TARIFF_PROFILES!$A:$A,$X882))</f>
        <v/>
      </c>
      <c r="AA882" s="31" t="str">
        <f>IF($X882="","",SUMIFS(TARIFF_PROFILES!$F:$F,TARIFF_PROFILES!$A:$A,$X882))</f>
        <v/>
      </c>
      <c r="AB882" s="31" t="str">
        <f>IF($X882="","",SUMIFS(TARIFF_PROFILES!$G:$G,TARIFF_PROFILES!$A:$A,$X882))</f>
        <v/>
      </c>
      <c r="AC882" s="31" t="str">
        <f>IF($X882="","",SUMIFS(TARIFF_PROFILES!$H:$H,TARIFF_PROFILES!$A:$A,$X882))</f>
        <v/>
      </c>
      <c r="AD882" s="31" t="str">
        <f t="array" ref="AD882">IF($X882="","",INDEX(TARIFF_PROFILES!$J:$J,MATCH($X882,TARIFF_PROFILES!$A:$A,0)))</f>
        <v/>
      </c>
      <c r="AE882" s="31" t="str">
        <f t="array" ref="AE882">IF($X882="","",INDEX(TARIFF_PROFILES!$K:$K,MATCH($X882,TARIFF_PROFILES!$A:$A,0)))</f>
        <v/>
      </c>
      <c r="AG882" s="8"/>
      <c r="AH882" s="8" t="str">
        <f>IF($AG882="","",SUMIFS(OPERATING_COEFFS!$C:$C,OPERATING_COEFFS!$A:$A,"DistanceClass",OPERATING_COEFFS!$B:$B,$AG882))</f>
        <v/>
      </c>
      <c r="AI882" s="8"/>
      <c r="AJ882" s="8" t="str">
        <f>IF($AI882="","",SUMIFS(OPERATING_COEFFS!$C:$C,OPERATING_COEFFS!$A:$A,"SeasonClass",OPERATING_COEFFS!$B:$B,$AI882))</f>
        <v/>
      </c>
      <c r="AK882" s="8"/>
      <c r="AL882" s="8" t="str">
        <f>IF($AK882="","",SUMIFS(OPERATING_COEFFS!$C:$C,OPERATING_COEFFS!$A:$A,"UrgencyClass",OPERATING_COEFFS!$B:$B,$AK882))</f>
        <v/>
      </c>
      <c r="AM882" s="8"/>
      <c r="AN882" s="8" t="str">
        <f t="array" ref="AN882">IF($AM882="","",INDEX(TAX_MODES!$B:$B,MATCH($AM882,TAX_MODES!$A:$A,0)))</f>
        <v/>
      </c>
    </row>
    <row r="883" ht="14.25" customHeight="1">
      <c r="C883" s="8"/>
      <c r="E883" s="8"/>
      <c r="G883" s="8"/>
      <c r="I883" s="8"/>
      <c r="K883" s="8"/>
      <c r="M883" s="8"/>
      <c r="O883" s="8"/>
      <c r="Q883" s="8"/>
      <c r="S883" s="8"/>
      <c r="V883" s="8"/>
      <c r="X883" s="31"/>
      <c r="Y883" s="31" t="str">
        <f>IF($X883="","",SUMIFS(TARIFF_PROFILES!$D:$D,TARIFF_PROFILES!$A:$A,$X883))</f>
        <v/>
      </c>
      <c r="Z883" s="31" t="str">
        <f>IF($X883="","",SUMIFS(TARIFF_PROFILES!$E:$E,TARIFF_PROFILES!$A:$A,$X883))</f>
        <v/>
      </c>
      <c r="AA883" s="31" t="str">
        <f>IF($X883="","",SUMIFS(TARIFF_PROFILES!$F:$F,TARIFF_PROFILES!$A:$A,$X883))</f>
        <v/>
      </c>
      <c r="AB883" s="31" t="str">
        <f>IF($X883="","",SUMIFS(TARIFF_PROFILES!$G:$G,TARIFF_PROFILES!$A:$A,$X883))</f>
        <v/>
      </c>
      <c r="AC883" s="31" t="str">
        <f>IF($X883="","",SUMIFS(TARIFF_PROFILES!$H:$H,TARIFF_PROFILES!$A:$A,$X883))</f>
        <v/>
      </c>
      <c r="AD883" s="31" t="str">
        <f t="array" ref="AD883">IF($X883="","",INDEX(TARIFF_PROFILES!$J:$J,MATCH($X883,TARIFF_PROFILES!$A:$A,0)))</f>
        <v/>
      </c>
      <c r="AE883" s="31" t="str">
        <f t="array" ref="AE883">IF($X883="","",INDEX(TARIFF_PROFILES!$K:$K,MATCH($X883,TARIFF_PROFILES!$A:$A,0)))</f>
        <v/>
      </c>
      <c r="AG883" s="8"/>
      <c r="AH883" s="8" t="str">
        <f>IF($AG883="","",SUMIFS(OPERATING_COEFFS!$C:$C,OPERATING_COEFFS!$A:$A,"DistanceClass",OPERATING_COEFFS!$B:$B,$AG883))</f>
        <v/>
      </c>
      <c r="AI883" s="8"/>
      <c r="AJ883" s="8" t="str">
        <f>IF($AI883="","",SUMIFS(OPERATING_COEFFS!$C:$C,OPERATING_COEFFS!$A:$A,"SeasonClass",OPERATING_COEFFS!$B:$B,$AI883))</f>
        <v/>
      </c>
      <c r="AK883" s="8"/>
      <c r="AL883" s="8" t="str">
        <f>IF($AK883="","",SUMIFS(OPERATING_COEFFS!$C:$C,OPERATING_COEFFS!$A:$A,"UrgencyClass",OPERATING_COEFFS!$B:$B,$AK883))</f>
        <v/>
      </c>
      <c r="AM883" s="8"/>
      <c r="AN883" s="8" t="str">
        <f t="array" ref="AN883">IF($AM883="","",INDEX(TAX_MODES!$B:$B,MATCH($AM883,TAX_MODES!$A:$A,0)))</f>
        <v/>
      </c>
    </row>
    <row r="884" ht="14.25" customHeight="1">
      <c r="C884" s="8"/>
      <c r="E884" s="8"/>
      <c r="G884" s="8"/>
      <c r="I884" s="8"/>
      <c r="K884" s="8"/>
      <c r="M884" s="8"/>
      <c r="O884" s="8"/>
      <c r="Q884" s="8"/>
      <c r="S884" s="8"/>
      <c r="V884" s="8"/>
      <c r="X884" s="31"/>
      <c r="Y884" s="31" t="str">
        <f>IF($X884="","",SUMIFS(TARIFF_PROFILES!$D:$D,TARIFF_PROFILES!$A:$A,$X884))</f>
        <v/>
      </c>
      <c r="Z884" s="31" t="str">
        <f>IF($X884="","",SUMIFS(TARIFF_PROFILES!$E:$E,TARIFF_PROFILES!$A:$A,$X884))</f>
        <v/>
      </c>
      <c r="AA884" s="31" t="str">
        <f>IF($X884="","",SUMIFS(TARIFF_PROFILES!$F:$F,TARIFF_PROFILES!$A:$A,$X884))</f>
        <v/>
      </c>
      <c r="AB884" s="31" t="str">
        <f>IF($X884="","",SUMIFS(TARIFF_PROFILES!$G:$G,TARIFF_PROFILES!$A:$A,$X884))</f>
        <v/>
      </c>
      <c r="AC884" s="31" t="str">
        <f>IF($X884="","",SUMIFS(TARIFF_PROFILES!$H:$H,TARIFF_PROFILES!$A:$A,$X884))</f>
        <v/>
      </c>
      <c r="AD884" s="31" t="str">
        <f t="array" ref="AD884">IF($X884="","",INDEX(TARIFF_PROFILES!$J:$J,MATCH($X884,TARIFF_PROFILES!$A:$A,0)))</f>
        <v/>
      </c>
      <c r="AE884" s="31" t="str">
        <f t="array" ref="AE884">IF($X884="","",INDEX(TARIFF_PROFILES!$K:$K,MATCH($X884,TARIFF_PROFILES!$A:$A,0)))</f>
        <v/>
      </c>
      <c r="AG884" s="8"/>
      <c r="AH884" s="8" t="str">
        <f>IF($AG884="","",SUMIFS(OPERATING_COEFFS!$C:$C,OPERATING_COEFFS!$A:$A,"DistanceClass",OPERATING_COEFFS!$B:$B,$AG884))</f>
        <v/>
      </c>
      <c r="AI884" s="8"/>
      <c r="AJ884" s="8" t="str">
        <f>IF($AI884="","",SUMIFS(OPERATING_COEFFS!$C:$C,OPERATING_COEFFS!$A:$A,"SeasonClass",OPERATING_COEFFS!$B:$B,$AI884))</f>
        <v/>
      </c>
      <c r="AK884" s="8"/>
      <c r="AL884" s="8" t="str">
        <f>IF($AK884="","",SUMIFS(OPERATING_COEFFS!$C:$C,OPERATING_COEFFS!$A:$A,"UrgencyClass",OPERATING_COEFFS!$B:$B,$AK884))</f>
        <v/>
      </c>
      <c r="AM884" s="8"/>
      <c r="AN884" s="8" t="str">
        <f t="array" ref="AN884">IF($AM884="","",INDEX(TAX_MODES!$B:$B,MATCH($AM884,TAX_MODES!$A:$A,0)))</f>
        <v/>
      </c>
    </row>
    <row r="885" ht="14.25" customHeight="1">
      <c r="C885" s="8"/>
      <c r="E885" s="8"/>
      <c r="G885" s="8"/>
      <c r="I885" s="8"/>
      <c r="K885" s="8"/>
      <c r="M885" s="8"/>
      <c r="O885" s="8"/>
      <c r="Q885" s="8"/>
      <c r="S885" s="8"/>
      <c r="V885" s="8"/>
      <c r="X885" s="31"/>
      <c r="Y885" s="31" t="str">
        <f>IF($X885="","",SUMIFS(TARIFF_PROFILES!$D:$D,TARIFF_PROFILES!$A:$A,$X885))</f>
        <v/>
      </c>
      <c r="Z885" s="31" t="str">
        <f>IF($X885="","",SUMIFS(TARIFF_PROFILES!$E:$E,TARIFF_PROFILES!$A:$A,$X885))</f>
        <v/>
      </c>
      <c r="AA885" s="31" t="str">
        <f>IF($X885="","",SUMIFS(TARIFF_PROFILES!$F:$F,TARIFF_PROFILES!$A:$A,$X885))</f>
        <v/>
      </c>
      <c r="AB885" s="31" t="str">
        <f>IF($X885="","",SUMIFS(TARIFF_PROFILES!$G:$G,TARIFF_PROFILES!$A:$A,$X885))</f>
        <v/>
      </c>
      <c r="AC885" s="31" t="str">
        <f>IF($X885="","",SUMIFS(TARIFF_PROFILES!$H:$H,TARIFF_PROFILES!$A:$A,$X885))</f>
        <v/>
      </c>
      <c r="AD885" s="31" t="str">
        <f t="array" ref="AD885">IF($X885="","",INDEX(TARIFF_PROFILES!$J:$J,MATCH($X885,TARIFF_PROFILES!$A:$A,0)))</f>
        <v/>
      </c>
      <c r="AE885" s="31" t="str">
        <f t="array" ref="AE885">IF($X885="","",INDEX(TARIFF_PROFILES!$K:$K,MATCH($X885,TARIFF_PROFILES!$A:$A,0)))</f>
        <v/>
      </c>
      <c r="AG885" s="8"/>
      <c r="AH885" s="8" t="str">
        <f>IF($AG885="","",SUMIFS(OPERATING_COEFFS!$C:$C,OPERATING_COEFFS!$A:$A,"DistanceClass",OPERATING_COEFFS!$B:$B,$AG885))</f>
        <v/>
      </c>
      <c r="AI885" s="8"/>
      <c r="AJ885" s="8" t="str">
        <f>IF($AI885="","",SUMIFS(OPERATING_COEFFS!$C:$C,OPERATING_COEFFS!$A:$A,"SeasonClass",OPERATING_COEFFS!$B:$B,$AI885))</f>
        <v/>
      </c>
      <c r="AK885" s="8"/>
      <c r="AL885" s="8" t="str">
        <f>IF($AK885="","",SUMIFS(OPERATING_COEFFS!$C:$C,OPERATING_COEFFS!$A:$A,"UrgencyClass",OPERATING_COEFFS!$B:$B,$AK885))</f>
        <v/>
      </c>
      <c r="AM885" s="8"/>
      <c r="AN885" s="8" t="str">
        <f t="array" ref="AN885">IF($AM885="","",INDEX(TAX_MODES!$B:$B,MATCH($AM885,TAX_MODES!$A:$A,0)))</f>
        <v/>
      </c>
    </row>
    <row r="886" ht="14.25" customHeight="1">
      <c r="C886" s="8"/>
      <c r="E886" s="8"/>
      <c r="G886" s="8"/>
      <c r="I886" s="8"/>
      <c r="K886" s="8"/>
      <c r="M886" s="8"/>
      <c r="O886" s="8"/>
      <c r="Q886" s="8"/>
      <c r="S886" s="8"/>
      <c r="V886" s="8"/>
      <c r="X886" s="31"/>
      <c r="Y886" s="31" t="str">
        <f>IF($X886="","",SUMIFS(TARIFF_PROFILES!$D:$D,TARIFF_PROFILES!$A:$A,$X886))</f>
        <v/>
      </c>
      <c r="Z886" s="31" t="str">
        <f>IF($X886="","",SUMIFS(TARIFF_PROFILES!$E:$E,TARIFF_PROFILES!$A:$A,$X886))</f>
        <v/>
      </c>
      <c r="AA886" s="31" t="str">
        <f>IF($X886="","",SUMIFS(TARIFF_PROFILES!$F:$F,TARIFF_PROFILES!$A:$A,$X886))</f>
        <v/>
      </c>
      <c r="AB886" s="31" t="str">
        <f>IF($X886="","",SUMIFS(TARIFF_PROFILES!$G:$G,TARIFF_PROFILES!$A:$A,$X886))</f>
        <v/>
      </c>
      <c r="AC886" s="31" t="str">
        <f>IF($X886="","",SUMIFS(TARIFF_PROFILES!$H:$H,TARIFF_PROFILES!$A:$A,$X886))</f>
        <v/>
      </c>
      <c r="AD886" s="31" t="str">
        <f t="array" ref="AD886">IF($X886="","",INDEX(TARIFF_PROFILES!$J:$J,MATCH($X886,TARIFF_PROFILES!$A:$A,0)))</f>
        <v/>
      </c>
      <c r="AE886" s="31" t="str">
        <f t="array" ref="AE886">IF($X886="","",INDEX(TARIFF_PROFILES!$K:$K,MATCH($X886,TARIFF_PROFILES!$A:$A,0)))</f>
        <v/>
      </c>
      <c r="AG886" s="8"/>
      <c r="AH886" s="8" t="str">
        <f>IF($AG886="","",SUMIFS(OPERATING_COEFFS!$C:$C,OPERATING_COEFFS!$A:$A,"DistanceClass",OPERATING_COEFFS!$B:$B,$AG886))</f>
        <v/>
      </c>
      <c r="AI886" s="8"/>
      <c r="AJ886" s="8" t="str">
        <f>IF($AI886="","",SUMIFS(OPERATING_COEFFS!$C:$C,OPERATING_COEFFS!$A:$A,"SeasonClass",OPERATING_COEFFS!$B:$B,$AI886))</f>
        <v/>
      </c>
      <c r="AK886" s="8"/>
      <c r="AL886" s="8" t="str">
        <f>IF($AK886="","",SUMIFS(OPERATING_COEFFS!$C:$C,OPERATING_COEFFS!$A:$A,"UrgencyClass",OPERATING_COEFFS!$B:$B,$AK886))</f>
        <v/>
      </c>
      <c r="AM886" s="8"/>
      <c r="AN886" s="8" t="str">
        <f t="array" ref="AN886">IF($AM886="","",INDEX(TAX_MODES!$B:$B,MATCH($AM886,TAX_MODES!$A:$A,0)))</f>
        <v/>
      </c>
    </row>
    <row r="887" ht="14.25" customHeight="1">
      <c r="C887" s="8"/>
      <c r="E887" s="8"/>
      <c r="G887" s="8"/>
      <c r="I887" s="8"/>
      <c r="K887" s="8"/>
      <c r="M887" s="8"/>
      <c r="O887" s="8"/>
      <c r="Q887" s="8"/>
      <c r="S887" s="8"/>
      <c r="V887" s="8"/>
      <c r="X887" s="31"/>
      <c r="Y887" s="31" t="str">
        <f>IF($X887="","",SUMIFS(TARIFF_PROFILES!$D:$D,TARIFF_PROFILES!$A:$A,$X887))</f>
        <v/>
      </c>
      <c r="Z887" s="31" t="str">
        <f>IF($X887="","",SUMIFS(TARIFF_PROFILES!$E:$E,TARIFF_PROFILES!$A:$A,$X887))</f>
        <v/>
      </c>
      <c r="AA887" s="31" t="str">
        <f>IF($X887="","",SUMIFS(TARIFF_PROFILES!$F:$F,TARIFF_PROFILES!$A:$A,$X887))</f>
        <v/>
      </c>
      <c r="AB887" s="31" t="str">
        <f>IF($X887="","",SUMIFS(TARIFF_PROFILES!$G:$G,TARIFF_PROFILES!$A:$A,$X887))</f>
        <v/>
      </c>
      <c r="AC887" s="31" t="str">
        <f>IF($X887="","",SUMIFS(TARIFF_PROFILES!$H:$H,TARIFF_PROFILES!$A:$A,$X887))</f>
        <v/>
      </c>
      <c r="AD887" s="31" t="str">
        <f t="array" ref="AD887">IF($X887="","",INDEX(TARIFF_PROFILES!$J:$J,MATCH($X887,TARIFF_PROFILES!$A:$A,0)))</f>
        <v/>
      </c>
      <c r="AE887" s="31" t="str">
        <f t="array" ref="AE887">IF($X887="","",INDEX(TARIFF_PROFILES!$K:$K,MATCH($X887,TARIFF_PROFILES!$A:$A,0)))</f>
        <v/>
      </c>
      <c r="AG887" s="8"/>
      <c r="AH887" s="8" t="str">
        <f>IF($AG887="","",SUMIFS(OPERATING_COEFFS!$C:$C,OPERATING_COEFFS!$A:$A,"DistanceClass",OPERATING_COEFFS!$B:$B,$AG887))</f>
        <v/>
      </c>
      <c r="AI887" s="8"/>
      <c r="AJ887" s="8" t="str">
        <f>IF($AI887="","",SUMIFS(OPERATING_COEFFS!$C:$C,OPERATING_COEFFS!$A:$A,"SeasonClass",OPERATING_COEFFS!$B:$B,$AI887))</f>
        <v/>
      </c>
      <c r="AK887" s="8"/>
      <c r="AL887" s="8" t="str">
        <f>IF($AK887="","",SUMIFS(OPERATING_COEFFS!$C:$C,OPERATING_COEFFS!$A:$A,"UrgencyClass",OPERATING_COEFFS!$B:$B,$AK887))</f>
        <v/>
      </c>
      <c r="AM887" s="8"/>
      <c r="AN887" s="8" t="str">
        <f t="array" ref="AN887">IF($AM887="","",INDEX(TAX_MODES!$B:$B,MATCH($AM887,TAX_MODES!$A:$A,0)))</f>
        <v/>
      </c>
    </row>
    <row r="888" ht="14.25" customHeight="1">
      <c r="C888" s="8"/>
      <c r="E888" s="8"/>
      <c r="G888" s="8"/>
      <c r="I888" s="8"/>
      <c r="K888" s="8"/>
      <c r="M888" s="8"/>
      <c r="O888" s="8"/>
      <c r="Q888" s="8"/>
      <c r="S888" s="8"/>
      <c r="V888" s="8"/>
      <c r="X888" s="31"/>
      <c r="Y888" s="31" t="str">
        <f>IF($X888="","",SUMIFS(TARIFF_PROFILES!$D:$D,TARIFF_PROFILES!$A:$A,$X888))</f>
        <v/>
      </c>
      <c r="Z888" s="31" t="str">
        <f>IF($X888="","",SUMIFS(TARIFF_PROFILES!$E:$E,TARIFF_PROFILES!$A:$A,$X888))</f>
        <v/>
      </c>
      <c r="AA888" s="31" t="str">
        <f>IF($X888="","",SUMIFS(TARIFF_PROFILES!$F:$F,TARIFF_PROFILES!$A:$A,$X888))</f>
        <v/>
      </c>
      <c r="AB888" s="31" t="str">
        <f>IF($X888="","",SUMIFS(TARIFF_PROFILES!$G:$G,TARIFF_PROFILES!$A:$A,$X888))</f>
        <v/>
      </c>
      <c r="AC888" s="31" t="str">
        <f>IF($X888="","",SUMIFS(TARIFF_PROFILES!$H:$H,TARIFF_PROFILES!$A:$A,$X888))</f>
        <v/>
      </c>
      <c r="AD888" s="31" t="str">
        <f t="array" ref="AD888">IF($X888="","",INDEX(TARIFF_PROFILES!$J:$J,MATCH($X888,TARIFF_PROFILES!$A:$A,0)))</f>
        <v/>
      </c>
      <c r="AE888" s="31" t="str">
        <f t="array" ref="AE888">IF($X888="","",INDEX(TARIFF_PROFILES!$K:$K,MATCH($X888,TARIFF_PROFILES!$A:$A,0)))</f>
        <v/>
      </c>
      <c r="AG888" s="8"/>
      <c r="AH888" s="8" t="str">
        <f>IF($AG888="","",SUMIFS(OPERATING_COEFFS!$C:$C,OPERATING_COEFFS!$A:$A,"DistanceClass",OPERATING_COEFFS!$B:$B,$AG888))</f>
        <v/>
      </c>
      <c r="AI888" s="8"/>
      <c r="AJ888" s="8" t="str">
        <f>IF($AI888="","",SUMIFS(OPERATING_COEFFS!$C:$C,OPERATING_COEFFS!$A:$A,"SeasonClass",OPERATING_COEFFS!$B:$B,$AI888))</f>
        <v/>
      </c>
      <c r="AK888" s="8"/>
      <c r="AL888" s="8" t="str">
        <f>IF($AK888="","",SUMIFS(OPERATING_COEFFS!$C:$C,OPERATING_COEFFS!$A:$A,"UrgencyClass",OPERATING_COEFFS!$B:$B,$AK888))</f>
        <v/>
      </c>
      <c r="AM888" s="8"/>
      <c r="AN888" s="8" t="str">
        <f t="array" ref="AN888">IF($AM888="","",INDEX(TAX_MODES!$B:$B,MATCH($AM888,TAX_MODES!$A:$A,0)))</f>
        <v/>
      </c>
    </row>
    <row r="889" ht="14.25" customHeight="1">
      <c r="C889" s="8"/>
      <c r="E889" s="8"/>
      <c r="G889" s="8"/>
      <c r="I889" s="8"/>
      <c r="K889" s="8"/>
      <c r="M889" s="8"/>
      <c r="O889" s="8"/>
      <c r="Q889" s="8"/>
      <c r="S889" s="8"/>
      <c r="V889" s="8"/>
      <c r="X889" s="31"/>
      <c r="Y889" s="31" t="str">
        <f>IF($X889="","",SUMIFS(TARIFF_PROFILES!$D:$D,TARIFF_PROFILES!$A:$A,$X889))</f>
        <v/>
      </c>
      <c r="Z889" s="31" t="str">
        <f>IF($X889="","",SUMIFS(TARIFF_PROFILES!$E:$E,TARIFF_PROFILES!$A:$A,$X889))</f>
        <v/>
      </c>
      <c r="AA889" s="31" t="str">
        <f>IF($X889="","",SUMIFS(TARIFF_PROFILES!$F:$F,TARIFF_PROFILES!$A:$A,$X889))</f>
        <v/>
      </c>
      <c r="AB889" s="31" t="str">
        <f>IF($X889="","",SUMIFS(TARIFF_PROFILES!$G:$G,TARIFF_PROFILES!$A:$A,$X889))</f>
        <v/>
      </c>
      <c r="AC889" s="31" t="str">
        <f>IF($X889="","",SUMIFS(TARIFF_PROFILES!$H:$H,TARIFF_PROFILES!$A:$A,$X889))</f>
        <v/>
      </c>
      <c r="AD889" s="31" t="str">
        <f t="array" ref="AD889">IF($X889="","",INDEX(TARIFF_PROFILES!$J:$J,MATCH($X889,TARIFF_PROFILES!$A:$A,0)))</f>
        <v/>
      </c>
      <c r="AE889" s="31" t="str">
        <f t="array" ref="AE889">IF($X889="","",INDEX(TARIFF_PROFILES!$K:$K,MATCH($X889,TARIFF_PROFILES!$A:$A,0)))</f>
        <v/>
      </c>
      <c r="AG889" s="8"/>
      <c r="AH889" s="8" t="str">
        <f>IF($AG889="","",SUMIFS(OPERATING_COEFFS!$C:$C,OPERATING_COEFFS!$A:$A,"DistanceClass",OPERATING_COEFFS!$B:$B,$AG889))</f>
        <v/>
      </c>
      <c r="AI889" s="8"/>
      <c r="AJ889" s="8" t="str">
        <f>IF($AI889="","",SUMIFS(OPERATING_COEFFS!$C:$C,OPERATING_COEFFS!$A:$A,"SeasonClass",OPERATING_COEFFS!$B:$B,$AI889))</f>
        <v/>
      </c>
      <c r="AK889" s="8"/>
      <c r="AL889" s="8" t="str">
        <f>IF($AK889="","",SUMIFS(OPERATING_COEFFS!$C:$C,OPERATING_COEFFS!$A:$A,"UrgencyClass",OPERATING_COEFFS!$B:$B,$AK889))</f>
        <v/>
      </c>
      <c r="AM889" s="8"/>
      <c r="AN889" s="8" t="str">
        <f t="array" ref="AN889">IF($AM889="","",INDEX(TAX_MODES!$B:$B,MATCH($AM889,TAX_MODES!$A:$A,0)))</f>
        <v/>
      </c>
    </row>
    <row r="890" ht="14.25" customHeight="1">
      <c r="C890" s="8"/>
      <c r="E890" s="8"/>
      <c r="G890" s="8"/>
      <c r="I890" s="8"/>
      <c r="K890" s="8"/>
      <c r="M890" s="8"/>
      <c r="O890" s="8"/>
      <c r="Q890" s="8"/>
      <c r="S890" s="8"/>
      <c r="V890" s="8"/>
      <c r="X890" s="31"/>
      <c r="Y890" s="31" t="str">
        <f>IF($X890="","",SUMIFS(TARIFF_PROFILES!$D:$D,TARIFF_PROFILES!$A:$A,$X890))</f>
        <v/>
      </c>
      <c r="Z890" s="31" t="str">
        <f>IF($X890="","",SUMIFS(TARIFF_PROFILES!$E:$E,TARIFF_PROFILES!$A:$A,$X890))</f>
        <v/>
      </c>
      <c r="AA890" s="31" t="str">
        <f>IF($X890="","",SUMIFS(TARIFF_PROFILES!$F:$F,TARIFF_PROFILES!$A:$A,$X890))</f>
        <v/>
      </c>
      <c r="AB890" s="31" t="str">
        <f>IF($X890="","",SUMIFS(TARIFF_PROFILES!$G:$G,TARIFF_PROFILES!$A:$A,$X890))</f>
        <v/>
      </c>
      <c r="AC890" s="31" t="str">
        <f>IF($X890="","",SUMIFS(TARIFF_PROFILES!$H:$H,TARIFF_PROFILES!$A:$A,$X890))</f>
        <v/>
      </c>
      <c r="AD890" s="31" t="str">
        <f t="array" ref="AD890">IF($X890="","",INDEX(TARIFF_PROFILES!$J:$J,MATCH($X890,TARIFF_PROFILES!$A:$A,0)))</f>
        <v/>
      </c>
      <c r="AE890" s="31" t="str">
        <f t="array" ref="AE890">IF($X890="","",INDEX(TARIFF_PROFILES!$K:$K,MATCH($X890,TARIFF_PROFILES!$A:$A,0)))</f>
        <v/>
      </c>
      <c r="AG890" s="8"/>
      <c r="AH890" s="8" t="str">
        <f>IF($AG890="","",SUMIFS(OPERATING_COEFFS!$C:$C,OPERATING_COEFFS!$A:$A,"DistanceClass",OPERATING_COEFFS!$B:$B,$AG890))</f>
        <v/>
      </c>
      <c r="AI890" s="8"/>
      <c r="AJ890" s="8" t="str">
        <f>IF($AI890="","",SUMIFS(OPERATING_COEFFS!$C:$C,OPERATING_COEFFS!$A:$A,"SeasonClass",OPERATING_COEFFS!$B:$B,$AI890))</f>
        <v/>
      </c>
      <c r="AK890" s="8"/>
      <c r="AL890" s="8" t="str">
        <f>IF($AK890="","",SUMIFS(OPERATING_COEFFS!$C:$C,OPERATING_COEFFS!$A:$A,"UrgencyClass",OPERATING_COEFFS!$B:$B,$AK890))</f>
        <v/>
      </c>
      <c r="AM890" s="8"/>
      <c r="AN890" s="8" t="str">
        <f t="array" ref="AN890">IF($AM890="","",INDEX(TAX_MODES!$B:$B,MATCH($AM890,TAX_MODES!$A:$A,0)))</f>
        <v/>
      </c>
    </row>
    <row r="891" ht="14.25" customHeight="1">
      <c r="C891" s="8"/>
      <c r="E891" s="8"/>
      <c r="G891" s="8"/>
      <c r="I891" s="8"/>
      <c r="K891" s="8"/>
      <c r="M891" s="8"/>
      <c r="O891" s="8"/>
      <c r="Q891" s="8"/>
      <c r="S891" s="8"/>
      <c r="V891" s="8"/>
      <c r="X891" s="31"/>
      <c r="Y891" s="31" t="str">
        <f>IF($X891="","",SUMIFS(TARIFF_PROFILES!$D:$D,TARIFF_PROFILES!$A:$A,$X891))</f>
        <v/>
      </c>
      <c r="Z891" s="31" t="str">
        <f>IF($X891="","",SUMIFS(TARIFF_PROFILES!$E:$E,TARIFF_PROFILES!$A:$A,$X891))</f>
        <v/>
      </c>
      <c r="AA891" s="31" t="str">
        <f>IF($X891="","",SUMIFS(TARIFF_PROFILES!$F:$F,TARIFF_PROFILES!$A:$A,$X891))</f>
        <v/>
      </c>
      <c r="AB891" s="31" t="str">
        <f>IF($X891="","",SUMIFS(TARIFF_PROFILES!$G:$G,TARIFF_PROFILES!$A:$A,$X891))</f>
        <v/>
      </c>
      <c r="AC891" s="31" t="str">
        <f>IF($X891="","",SUMIFS(TARIFF_PROFILES!$H:$H,TARIFF_PROFILES!$A:$A,$X891))</f>
        <v/>
      </c>
      <c r="AD891" s="31" t="str">
        <f t="array" ref="AD891">IF($X891="","",INDEX(TARIFF_PROFILES!$J:$J,MATCH($X891,TARIFF_PROFILES!$A:$A,0)))</f>
        <v/>
      </c>
      <c r="AE891" s="31" t="str">
        <f t="array" ref="AE891">IF($X891="","",INDEX(TARIFF_PROFILES!$K:$K,MATCH($X891,TARIFF_PROFILES!$A:$A,0)))</f>
        <v/>
      </c>
      <c r="AG891" s="8"/>
      <c r="AH891" s="8" t="str">
        <f>IF($AG891="","",SUMIFS(OPERATING_COEFFS!$C:$C,OPERATING_COEFFS!$A:$A,"DistanceClass",OPERATING_COEFFS!$B:$B,$AG891))</f>
        <v/>
      </c>
      <c r="AI891" s="8"/>
      <c r="AJ891" s="8" t="str">
        <f>IF($AI891="","",SUMIFS(OPERATING_COEFFS!$C:$C,OPERATING_COEFFS!$A:$A,"SeasonClass",OPERATING_COEFFS!$B:$B,$AI891))</f>
        <v/>
      </c>
      <c r="AK891" s="8"/>
      <c r="AL891" s="8" t="str">
        <f>IF($AK891="","",SUMIFS(OPERATING_COEFFS!$C:$C,OPERATING_COEFFS!$A:$A,"UrgencyClass",OPERATING_COEFFS!$B:$B,$AK891))</f>
        <v/>
      </c>
      <c r="AM891" s="8"/>
      <c r="AN891" s="8" t="str">
        <f t="array" ref="AN891">IF($AM891="","",INDEX(TAX_MODES!$B:$B,MATCH($AM891,TAX_MODES!$A:$A,0)))</f>
        <v/>
      </c>
    </row>
    <row r="892" ht="14.25" customHeight="1">
      <c r="C892" s="8"/>
      <c r="E892" s="8"/>
      <c r="G892" s="8"/>
      <c r="I892" s="8"/>
      <c r="K892" s="8"/>
      <c r="M892" s="8"/>
      <c r="O892" s="8"/>
      <c r="Q892" s="8"/>
      <c r="S892" s="8"/>
      <c r="V892" s="8"/>
      <c r="X892" s="31"/>
      <c r="Y892" s="31" t="str">
        <f>IF($X892="","",SUMIFS(TARIFF_PROFILES!$D:$D,TARIFF_PROFILES!$A:$A,$X892))</f>
        <v/>
      </c>
      <c r="Z892" s="31" t="str">
        <f>IF($X892="","",SUMIFS(TARIFF_PROFILES!$E:$E,TARIFF_PROFILES!$A:$A,$X892))</f>
        <v/>
      </c>
      <c r="AA892" s="31" t="str">
        <f>IF($X892="","",SUMIFS(TARIFF_PROFILES!$F:$F,TARIFF_PROFILES!$A:$A,$X892))</f>
        <v/>
      </c>
      <c r="AB892" s="31" t="str">
        <f>IF($X892="","",SUMIFS(TARIFF_PROFILES!$G:$G,TARIFF_PROFILES!$A:$A,$X892))</f>
        <v/>
      </c>
      <c r="AC892" s="31" t="str">
        <f>IF($X892="","",SUMIFS(TARIFF_PROFILES!$H:$H,TARIFF_PROFILES!$A:$A,$X892))</f>
        <v/>
      </c>
      <c r="AD892" s="31" t="str">
        <f t="array" ref="AD892">IF($X892="","",INDEX(TARIFF_PROFILES!$J:$J,MATCH($X892,TARIFF_PROFILES!$A:$A,0)))</f>
        <v/>
      </c>
      <c r="AE892" s="31" t="str">
        <f t="array" ref="AE892">IF($X892="","",INDEX(TARIFF_PROFILES!$K:$K,MATCH($X892,TARIFF_PROFILES!$A:$A,0)))</f>
        <v/>
      </c>
      <c r="AG892" s="8"/>
      <c r="AH892" s="8" t="str">
        <f>IF($AG892="","",SUMIFS(OPERATING_COEFFS!$C:$C,OPERATING_COEFFS!$A:$A,"DistanceClass",OPERATING_COEFFS!$B:$B,$AG892))</f>
        <v/>
      </c>
      <c r="AI892" s="8"/>
      <c r="AJ892" s="8" t="str">
        <f>IF($AI892="","",SUMIFS(OPERATING_COEFFS!$C:$C,OPERATING_COEFFS!$A:$A,"SeasonClass",OPERATING_COEFFS!$B:$B,$AI892))</f>
        <v/>
      </c>
      <c r="AK892" s="8"/>
      <c r="AL892" s="8" t="str">
        <f>IF($AK892="","",SUMIFS(OPERATING_COEFFS!$C:$C,OPERATING_COEFFS!$A:$A,"UrgencyClass",OPERATING_COEFFS!$B:$B,$AK892))</f>
        <v/>
      </c>
      <c r="AM892" s="8"/>
      <c r="AN892" s="8" t="str">
        <f t="array" ref="AN892">IF($AM892="","",INDEX(TAX_MODES!$B:$B,MATCH($AM892,TAX_MODES!$A:$A,0)))</f>
        <v/>
      </c>
    </row>
    <row r="893" ht="14.25" customHeight="1">
      <c r="C893" s="8"/>
      <c r="E893" s="8"/>
      <c r="G893" s="8"/>
      <c r="I893" s="8"/>
      <c r="K893" s="8"/>
      <c r="M893" s="8"/>
      <c r="O893" s="8"/>
      <c r="Q893" s="8"/>
      <c r="S893" s="8"/>
      <c r="V893" s="8"/>
      <c r="X893" s="31"/>
      <c r="Y893" s="31" t="str">
        <f>IF($X893="","",SUMIFS(TARIFF_PROFILES!$D:$D,TARIFF_PROFILES!$A:$A,$X893))</f>
        <v/>
      </c>
      <c r="Z893" s="31" t="str">
        <f>IF($X893="","",SUMIFS(TARIFF_PROFILES!$E:$E,TARIFF_PROFILES!$A:$A,$X893))</f>
        <v/>
      </c>
      <c r="AA893" s="31" t="str">
        <f>IF($X893="","",SUMIFS(TARIFF_PROFILES!$F:$F,TARIFF_PROFILES!$A:$A,$X893))</f>
        <v/>
      </c>
      <c r="AB893" s="31" t="str">
        <f>IF($X893="","",SUMIFS(TARIFF_PROFILES!$G:$G,TARIFF_PROFILES!$A:$A,$X893))</f>
        <v/>
      </c>
      <c r="AC893" s="31" t="str">
        <f>IF($X893="","",SUMIFS(TARIFF_PROFILES!$H:$H,TARIFF_PROFILES!$A:$A,$X893))</f>
        <v/>
      </c>
      <c r="AD893" s="31" t="str">
        <f t="array" ref="AD893">IF($X893="","",INDEX(TARIFF_PROFILES!$J:$J,MATCH($X893,TARIFF_PROFILES!$A:$A,0)))</f>
        <v/>
      </c>
      <c r="AE893" s="31" t="str">
        <f t="array" ref="AE893">IF($X893="","",INDEX(TARIFF_PROFILES!$K:$K,MATCH($X893,TARIFF_PROFILES!$A:$A,0)))</f>
        <v/>
      </c>
      <c r="AG893" s="8"/>
      <c r="AH893" s="8" t="str">
        <f>IF($AG893="","",SUMIFS(OPERATING_COEFFS!$C:$C,OPERATING_COEFFS!$A:$A,"DistanceClass",OPERATING_COEFFS!$B:$B,$AG893))</f>
        <v/>
      </c>
      <c r="AI893" s="8"/>
      <c r="AJ893" s="8" t="str">
        <f>IF($AI893="","",SUMIFS(OPERATING_COEFFS!$C:$C,OPERATING_COEFFS!$A:$A,"SeasonClass",OPERATING_COEFFS!$B:$B,$AI893))</f>
        <v/>
      </c>
      <c r="AK893" s="8"/>
      <c r="AL893" s="8" t="str">
        <f>IF($AK893="","",SUMIFS(OPERATING_COEFFS!$C:$C,OPERATING_COEFFS!$A:$A,"UrgencyClass",OPERATING_COEFFS!$B:$B,$AK893))</f>
        <v/>
      </c>
      <c r="AM893" s="8"/>
      <c r="AN893" s="8" t="str">
        <f t="array" ref="AN893">IF($AM893="","",INDEX(TAX_MODES!$B:$B,MATCH($AM893,TAX_MODES!$A:$A,0)))</f>
        <v/>
      </c>
    </row>
    <row r="894" ht="14.25" customHeight="1">
      <c r="C894" s="8"/>
      <c r="E894" s="8"/>
      <c r="G894" s="8"/>
      <c r="I894" s="8"/>
      <c r="K894" s="8"/>
      <c r="M894" s="8"/>
      <c r="O894" s="8"/>
      <c r="Q894" s="8"/>
      <c r="S894" s="8"/>
      <c r="V894" s="8"/>
      <c r="X894" s="31"/>
      <c r="Y894" s="31" t="str">
        <f>IF($X894="","",SUMIFS(TARIFF_PROFILES!$D:$D,TARIFF_PROFILES!$A:$A,$X894))</f>
        <v/>
      </c>
      <c r="Z894" s="31" t="str">
        <f>IF($X894="","",SUMIFS(TARIFF_PROFILES!$E:$E,TARIFF_PROFILES!$A:$A,$X894))</f>
        <v/>
      </c>
      <c r="AA894" s="31" t="str">
        <f>IF($X894="","",SUMIFS(TARIFF_PROFILES!$F:$F,TARIFF_PROFILES!$A:$A,$X894))</f>
        <v/>
      </c>
      <c r="AB894" s="31" t="str">
        <f>IF($X894="","",SUMIFS(TARIFF_PROFILES!$G:$G,TARIFF_PROFILES!$A:$A,$X894))</f>
        <v/>
      </c>
      <c r="AC894" s="31" t="str">
        <f>IF($X894="","",SUMIFS(TARIFF_PROFILES!$H:$H,TARIFF_PROFILES!$A:$A,$X894))</f>
        <v/>
      </c>
      <c r="AD894" s="31" t="str">
        <f t="array" ref="AD894">IF($X894="","",INDEX(TARIFF_PROFILES!$J:$J,MATCH($X894,TARIFF_PROFILES!$A:$A,0)))</f>
        <v/>
      </c>
      <c r="AE894" s="31" t="str">
        <f t="array" ref="AE894">IF($X894="","",INDEX(TARIFF_PROFILES!$K:$K,MATCH($X894,TARIFF_PROFILES!$A:$A,0)))</f>
        <v/>
      </c>
      <c r="AG894" s="8"/>
      <c r="AH894" s="8" t="str">
        <f>IF($AG894="","",SUMIFS(OPERATING_COEFFS!$C:$C,OPERATING_COEFFS!$A:$A,"DistanceClass",OPERATING_COEFFS!$B:$B,$AG894))</f>
        <v/>
      </c>
      <c r="AI894" s="8"/>
      <c r="AJ894" s="8" t="str">
        <f>IF($AI894="","",SUMIFS(OPERATING_COEFFS!$C:$C,OPERATING_COEFFS!$A:$A,"SeasonClass",OPERATING_COEFFS!$B:$B,$AI894))</f>
        <v/>
      </c>
      <c r="AK894" s="8"/>
      <c r="AL894" s="8" t="str">
        <f>IF($AK894="","",SUMIFS(OPERATING_COEFFS!$C:$C,OPERATING_COEFFS!$A:$A,"UrgencyClass",OPERATING_COEFFS!$B:$B,$AK894))</f>
        <v/>
      </c>
      <c r="AM894" s="8"/>
      <c r="AN894" s="8" t="str">
        <f t="array" ref="AN894">IF($AM894="","",INDEX(TAX_MODES!$B:$B,MATCH($AM894,TAX_MODES!$A:$A,0)))</f>
        <v/>
      </c>
    </row>
    <row r="895" ht="14.25" customHeight="1">
      <c r="C895" s="8"/>
      <c r="E895" s="8"/>
      <c r="G895" s="8"/>
      <c r="I895" s="8"/>
      <c r="K895" s="8"/>
      <c r="M895" s="8"/>
      <c r="O895" s="8"/>
      <c r="Q895" s="8"/>
      <c r="S895" s="8"/>
      <c r="V895" s="8"/>
      <c r="X895" s="31"/>
      <c r="Y895" s="31" t="str">
        <f>IF($X895="","",SUMIFS(TARIFF_PROFILES!$D:$D,TARIFF_PROFILES!$A:$A,$X895))</f>
        <v/>
      </c>
      <c r="Z895" s="31" t="str">
        <f>IF($X895="","",SUMIFS(TARIFF_PROFILES!$E:$E,TARIFF_PROFILES!$A:$A,$X895))</f>
        <v/>
      </c>
      <c r="AA895" s="31" t="str">
        <f>IF($X895="","",SUMIFS(TARIFF_PROFILES!$F:$F,TARIFF_PROFILES!$A:$A,$X895))</f>
        <v/>
      </c>
      <c r="AB895" s="31" t="str">
        <f>IF($X895="","",SUMIFS(TARIFF_PROFILES!$G:$G,TARIFF_PROFILES!$A:$A,$X895))</f>
        <v/>
      </c>
      <c r="AC895" s="31" t="str">
        <f>IF($X895="","",SUMIFS(TARIFF_PROFILES!$H:$H,TARIFF_PROFILES!$A:$A,$X895))</f>
        <v/>
      </c>
      <c r="AD895" s="31" t="str">
        <f t="array" ref="AD895">IF($X895="","",INDEX(TARIFF_PROFILES!$J:$J,MATCH($X895,TARIFF_PROFILES!$A:$A,0)))</f>
        <v/>
      </c>
      <c r="AE895" s="31" t="str">
        <f t="array" ref="AE895">IF($X895="","",INDEX(TARIFF_PROFILES!$K:$K,MATCH($X895,TARIFF_PROFILES!$A:$A,0)))</f>
        <v/>
      </c>
      <c r="AG895" s="8"/>
      <c r="AH895" s="8" t="str">
        <f>IF($AG895="","",SUMIFS(OPERATING_COEFFS!$C:$C,OPERATING_COEFFS!$A:$A,"DistanceClass",OPERATING_COEFFS!$B:$B,$AG895))</f>
        <v/>
      </c>
      <c r="AI895" s="8"/>
      <c r="AJ895" s="8" t="str">
        <f>IF($AI895="","",SUMIFS(OPERATING_COEFFS!$C:$C,OPERATING_COEFFS!$A:$A,"SeasonClass",OPERATING_COEFFS!$B:$B,$AI895))</f>
        <v/>
      </c>
      <c r="AK895" s="8"/>
      <c r="AL895" s="8" t="str">
        <f>IF($AK895="","",SUMIFS(OPERATING_COEFFS!$C:$C,OPERATING_COEFFS!$A:$A,"UrgencyClass",OPERATING_COEFFS!$B:$B,$AK895))</f>
        <v/>
      </c>
      <c r="AM895" s="8"/>
      <c r="AN895" s="8" t="str">
        <f t="array" ref="AN895">IF($AM895="","",INDEX(TAX_MODES!$B:$B,MATCH($AM895,TAX_MODES!$A:$A,0)))</f>
        <v/>
      </c>
    </row>
    <row r="896" ht="14.25" customHeight="1">
      <c r="C896" s="8"/>
      <c r="E896" s="8"/>
      <c r="G896" s="8"/>
      <c r="I896" s="8"/>
      <c r="K896" s="8"/>
      <c r="M896" s="8"/>
      <c r="O896" s="8"/>
      <c r="Q896" s="8"/>
      <c r="S896" s="8"/>
      <c r="V896" s="8"/>
      <c r="X896" s="31"/>
      <c r="Y896" s="31" t="str">
        <f>IF($X896="","",SUMIFS(TARIFF_PROFILES!$D:$D,TARIFF_PROFILES!$A:$A,$X896))</f>
        <v/>
      </c>
      <c r="Z896" s="31" t="str">
        <f>IF($X896="","",SUMIFS(TARIFF_PROFILES!$E:$E,TARIFF_PROFILES!$A:$A,$X896))</f>
        <v/>
      </c>
      <c r="AA896" s="31" t="str">
        <f>IF($X896="","",SUMIFS(TARIFF_PROFILES!$F:$F,TARIFF_PROFILES!$A:$A,$X896))</f>
        <v/>
      </c>
      <c r="AB896" s="31" t="str">
        <f>IF($X896="","",SUMIFS(TARIFF_PROFILES!$G:$G,TARIFF_PROFILES!$A:$A,$X896))</f>
        <v/>
      </c>
      <c r="AC896" s="31" t="str">
        <f>IF($X896="","",SUMIFS(TARIFF_PROFILES!$H:$H,TARIFF_PROFILES!$A:$A,$X896))</f>
        <v/>
      </c>
      <c r="AD896" s="31" t="str">
        <f t="array" ref="AD896">IF($X896="","",INDEX(TARIFF_PROFILES!$J:$J,MATCH($X896,TARIFF_PROFILES!$A:$A,0)))</f>
        <v/>
      </c>
      <c r="AE896" s="31" t="str">
        <f t="array" ref="AE896">IF($X896="","",INDEX(TARIFF_PROFILES!$K:$K,MATCH($X896,TARIFF_PROFILES!$A:$A,0)))</f>
        <v/>
      </c>
      <c r="AG896" s="8"/>
      <c r="AH896" s="8" t="str">
        <f>IF($AG896="","",SUMIFS(OPERATING_COEFFS!$C:$C,OPERATING_COEFFS!$A:$A,"DistanceClass",OPERATING_COEFFS!$B:$B,$AG896))</f>
        <v/>
      </c>
      <c r="AI896" s="8"/>
      <c r="AJ896" s="8" t="str">
        <f>IF($AI896="","",SUMIFS(OPERATING_COEFFS!$C:$C,OPERATING_COEFFS!$A:$A,"SeasonClass",OPERATING_COEFFS!$B:$B,$AI896))</f>
        <v/>
      </c>
      <c r="AK896" s="8"/>
      <c r="AL896" s="8" t="str">
        <f>IF($AK896="","",SUMIFS(OPERATING_COEFFS!$C:$C,OPERATING_COEFFS!$A:$A,"UrgencyClass",OPERATING_COEFFS!$B:$B,$AK896))</f>
        <v/>
      </c>
      <c r="AM896" s="8"/>
      <c r="AN896" s="8" t="str">
        <f t="array" ref="AN896">IF($AM896="","",INDEX(TAX_MODES!$B:$B,MATCH($AM896,TAX_MODES!$A:$A,0)))</f>
        <v/>
      </c>
    </row>
    <row r="897" ht="14.25" customHeight="1">
      <c r="C897" s="8"/>
      <c r="E897" s="8"/>
      <c r="G897" s="8"/>
      <c r="I897" s="8"/>
      <c r="K897" s="8"/>
      <c r="M897" s="8"/>
      <c r="O897" s="8"/>
      <c r="Q897" s="8"/>
      <c r="S897" s="8"/>
      <c r="V897" s="8"/>
      <c r="X897" s="31"/>
      <c r="Y897" s="31" t="str">
        <f>IF($X897="","",SUMIFS(TARIFF_PROFILES!$D:$D,TARIFF_PROFILES!$A:$A,$X897))</f>
        <v/>
      </c>
      <c r="Z897" s="31" t="str">
        <f>IF($X897="","",SUMIFS(TARIFF_PROFILES!$E:$E,TARIFF_PROFILES!$A:$A,$X897))</f>
        <v/>
      </c>
      <c r="AA897" s="31" t="str">
        <f>IF($X897="","",SUMIFS(TARIFF_PROFILES!$F:$F,TARIFF_PROFILES!$A:$A,$X897))</f>
        <v/>
      </c>
      <c r="AB897" s="31" t="str">
        <f>IF($X897="","",SUMIFS(TARIFF_PROFILES!$G:$G,TARIFF_PROFILES!$A:$A,$X897))</f>
        <v/>
      </c>
      <c r="AC897" s="31" t="str">
        <f>IF($X897="","",SUMIFS(TARIFF_PROFILES!$H:$H,TARIFF_PROFILES!$A:$A,$X897))</f>
        <v/>
      </c>
      <c r="AD897" s="31" t="str">
        <f t="array" ref="AD897">IF($X897="","",INDEX(TARIFF_PROFILES!$J:$J,MATCH($X897,TARIFF_PROFILES!$A:$A,0)))</f>
        <v/>
      </c>
      <c r="AE897" s="31" t="str">
        <f t="array" ref="AE897">IF($X897="","",INDEX(TARIFF_PROFILES!$K:$K,MATCH($X897,TARIFF_PROFILES!$A:$A,0)))</f>
        <v/>
      </c>
      <c r="AG897" s="8"/>
      <c r="AH897" s="8" t="str">
        <f>IF($AG897="","",SUMIFS(OPERATING_COEFFS!$C:$C,OPERATING_COEFFS!$A:$A,"DistanceClass",OPERATING_COEFFS!$B:$B,$AG897))</f>
        <v/>
      </c>
      <c r="AI897" s="8"/>
      <c r="AJ897" s="8" t="str">
        <f>IF($AI897="","",SUMIFS(OPERATING_COEFFS!$C:$C,OPERATING_COEFFS!$A:$A,"SeasonClass",OPERATING_COEFFS!$B:$B,$AI897))</f>
        <v/>
      </c>
      <c r="AK897" s="8"/>
      <c r="AL897" s="8" t="str">
        <f>IF($AK897="","",SUMIFS(OPERATING_COEFFS!$C:$C,OPERATING_COEFFS!$A:$A,"UrgencyClass",OPERATING_COEFFS!$B:$B,$AK897))</f>
        <v/>
      </c>
      <c r="AM897" s="8"/>
      <c r="AN897" s="8" t="str">
        <f t="array" ref="AN897">IF($AM897="","",INDEX(TAX_MODES!$B:$B,MATCH($AM897,TAX_MODES!$A:$A,0)))</f>
        <v/>
      </c>
    </row>
    <row r="898" ht="14.25" customHeight="1">
      <c r="C898" s="8"/>
      <c r="E898" s="8"/>
      <c r="G898" s="8"/>
      <c r="I898" s="8"/>
      <c r="K898" s="8"/>
      <c r="M898" s="8"/>
      <c r="O898" s="8"/>
      <c r="Q898" s="8"/>
      <c r="S898" s="8"/>
      <c r="V898" s="8"/>
      <c r="X898" s="31"/>
      <c r="Y898" s="31" t="str">
        <f>IF($X898="","",SUMIFS(TARIFF_PROFILES!$D:$D,TARIFF_PROFILES!$A:$A,$X898))</f>
        <v/>
      </c>
      <c r="Z898" s="31" t="str">
        <f>IF($X898="","",SUMIFS(TARIFF_PROFILES!$E:$E,TARIFF_PROFILES!$A:$A,$X898))</f>
        <v/>
      </c>
      <c r="AA898" s="31" t="str">
        <f>IF($X898="","",SUMIFS(TARIFF_PROFILES!$F:$F,TARIFF_PROFILES!$A:$A,$X898))</f>
        <v/>
      </c>
      <c r="AB898" s="31" t="str">
        <f>IF($X898="","",SUMIFS(TARIFF_PROFILES!$G:$G,TARIFF_PROFILES!$A:$A,$X898))</f>
        <v/>
      </c>
      <c r="AC898" s="31" t="str">
        <f>IF($X898="","",SUMIFS(TARIFF_PROFILES!$H:$H,TARIFF_PROFILES!$A:$A,$X898))</f>
        <v/>
      </c>
      <c r="AD898" s="31" t="str">
        <f t="array" ref="AD898">IF($X898="","",INDEX(TARIFF_PROFILES!$J:$J,MATCH($X898,TARIFF_PROFILES!$A:$A,0)))</f>
        <v/>
      </c>
      <c r="AE898" s="31" t="str">
        <f t="array" ref="AE898">IF($X898="","",INDEX(TARIFF_PROFILES!$K:$K,MATCH($X898,TARIFF_PROFILES!$A:$A,0)))</f>
        <v/>
      </c>
      <c r="AG898" s="8"/>
      <c r="AH898" s="8" t="str">
        <f>IF($AG898="","",SUMIFS(OPERATING_COEFFS!$C:$C,OPERATING_COEFFS!$A:$A,"DistanceClass",OPERATING_COEFFS!$B:$B,$AG898))</f>
        <v/>
      </c>
      <c r="AI898" s="8"/>
      <c r="AJ898" s="8" t="str">
        <f>IF($AI898="","",SUMIFS(OPERATING_COEFFS!$C:$C,OPERATING_COEFFS!$A:$A,"SeasonClass",OPERATING_COEFFS!$B:$B,$AI898))</f>
        <v/>
      </c>
      <c r="AK898" s="8"/>
      <c r="AL898" s="8" t="str">
        <f>IF($AK898="","",SUMIFS(OPERATING_COEFFS!$C:$C,OPERATING_COEFFS!$A:$A,"UrgencyClass",OPERATING_COEFFS!$B:$B,$AK898))</f>
        <v/>
      </c>
      <c r="AM898" s="8"/>
      <c r="AN898" s="8" t="str">
        <f t="array" ref="AN898">IF($AM898="","",INDEX(TAX_MODES!$B:$B,MATCH($AM898,TAX_MODES!$A:$A,0)))</f>
        <v/>
      </c>
    </row>
    <row r="899" ht="14.25" customHeight="1">
      <c r="C899" s="8"/>
      <c r="E899" s="8"/>
      <c r="G899" s="8"/>
      <c r="I899" s="8"/>
      <c r="K899" s="8"/>
      <c r="M899" s="8"/>
      <c r="O899" s="8"/>
      <c r="Q899" s="8"/>
      <c r="S899" s="8"/>
      <c r="V899" s="8"/>
      <c r="X899" s="31"/>
      <c r="Y899" s="31" t="str">
        <f>IF($X899="","",SUMIFS(TARIFF_PROFILES!$D:$D,TARIFF_PROFILES!$A:$A,$X899))</f>
        <v/>
      </c>
      <c r="Z899" s="31" t="str">
        <f>IF($X899="","",SUMIFS(TARIFF_PROFILES!$E:$E,TARIFF_PROFILES!$A:$A,$X899))</f>
        <v/>
      </c>
      <c r="AA899" s="31" t="str">
        <f>IF($X899="","",SUMIFS(TARIFF_PROFILES!$F:$F,TARIFF_PROFILES!$A:$A,$X899))</f>
        <v/>
      </c>
      <c r="AB899" s="31" t="str">
        <f>IF($X899="","",SUMIFS(TARIFF_PROFILES!$G:$G,TARIFF_PROFILES!$A:$A,$X899))</f>
        <v/>
      </c>
      <c r="AC899" s="31" t="str">
        <f>IF($X899="","",SUMIFS(TARIFF_PROFILES!$H:$H,TARIFF_PROFILES!$A:$A,$X899))</f>
        <v/>
      </c>
      <c r="AD899" s="31" t="str">
        <f t="array" ref="AD899">IF($X899="","",INDEX(TARIFF_PROFILES!$J:$J,MATCH($X899,TARIFF_PROFILES!$A:$A,0)))</f>
        <v/>
      </c>
      <c r="AE899" s="31" t="str">
        <f t="array" ref="AE899">IF($X899="","",INDEX(TARIFF_PROFILES!$K:$K,MATCH($X899,TARIFF_PROFILES!$A:$A,0)))</f>
        <v/>
      </c>
      <c r="AG899" s="8"/>
      <c r="AH899" s="8" t="str">
        <f>IF($AG899="","",SUMIFS(OPERATING_COEFFS!$C:$C,OPERATING_COEFFS!$A:$A,"DistanceClass",OPERATING_COEFFS!$B:$B,$AG899))</f>
        <v/>
      </c>
      <c r="AI899" s="8"/>
      <c r="AJ899" s="8" t="str">
        <f>IF($AI899="","",SUMIFS(OPERATING_COEFFS!$C:$C,OPERATING_COEFFS!$A:$A,"SeasonClass",OPERATING_COEFFS!$B:$B,$AI899))</f>
        <v/>
      </c>
      <c r="AK899" s="8"/>
      <c r="AL899" s="8" t="str">
        <f>IF($AK899="","",SUMIFS(OPERATING_COEFFS!$C:$C,OPERATING_COEFFS!$A:$A,"UrgencyClass",OPERATING_COEFFS!$B:$B,$AK899))</f>
        <v/>
      </c>
      <c r="AM899" s="8"/>
      <c r="AN899" s="8" t="str">
        <f t="array" ref="AN899">IF($AM899="","",INDEX(TAX_MODES!$B:$B,MATCH($AM899,TAX_MODES!$A:$A,0)))</f>
        <v/>
      </c>
    </row>
    <row r="900" ht="14.25" customHeight="1">
      <c r="C900" s="8"/>
      <c r="E900" s="8"/>
      <c r="G900" s="8"/>
      <c r="I900" s="8"/>
      <c r="K900" s="8"/>
      <c r="M900" s="8"/>
      <c r="O900" s="8"/>
      <c r="Q900" s="8"/>
      <c r="S900" s="8"/>
      <c r="V900" s="8"/>
      <c r="X900" s="31"/>
      <c r="Y900" s="31" t="str">
        <f>IF($X900="","",SUMIFS(TARIFF_PROFILES!$D:$D,TARIFF_PROFILES!$A:$A,$X900))</f>
        <v/>
      </c>
      <c r="Z900" s="31" t="str">
        <f>IF($X900="","",SUMIFS(TARIFF_PROFILES!$E:$E,TARIFF_PROFILES!$A:$A,$X900))</f>
        <v/>
      </c>
      <c r="AA900" s="31" t="str">
        <f>IF($X900="","",SUMIFS(TARIFF_PROFILES!$F:$F,TARIFF_PROFILES!$A:$A,$X900))</f>
        <v/>
      </c>
      <c r="AB900" s="31" t="str">
        <f>IF($X900="","",SUMIFS(TARIFF_PROFILES!$G:$G,TARIFF_PROFILES!$A:$A,$X900))</f>
        <v/>
      </c>
      <c r="AC900" s="31" t="str">
        <f>IF($X900="","",SUMIFS(TARIFF_PROFILES!$H:$H,TARIFF_PROFILES!$A:$A,$X900))</f>
        <v/>
      </c>
      <c r="AD900" s="31" t="str">
        <f t="array" ref="AD900">IF($X900="","",INDEX(TARIFF_PROFILES!$J:$J,MATCH($X900,TARIFF_PROFILES!$A:$A,0)))</f>
        <v/>
      </c>
      <c r="AE900" s="31" t="str">
        <f t="array" ref="AE900">IF($X900="","",INDEX(TARIFF_PROFILES!$K:$K,MATCH($X900,TARIFF_PROFILES!$A:$A,0)))</f>
        <v/>
      </c>
      <c r="AG900" s="8"/>
      <c r="AH900" s="8" t="str">
        <f>IF($AG900="","",SUMIFS(OPERATING_COEFFS!$C:$C,OPERATING_COEFFS!$A:$A,"DistanceClass",OPERATING_COEFFS!$B:$B,$AG900))</f>
        <v/>
      </c>
      <c r="AI900" s="8"/>
      <c r="AJ900" s="8" t="str">
        <f>IF($AI900="","",SUMIFS(OPERATING_COEFFS!$C:$C,OPERATING_COEFFS!$A:$A,"SeasonClass",OPERATING_COEFFS!$B:$B,$AI900))</f>
        <v/>
      </c>
      <c r="AK900" s="8"/>
      <c r="AL900" s="8" t="str">
        <f>IF($AK900="","",SUMIFS(OPERATING_COEFFS!$C:$C,OPERATING_COEFFS!$A:$A,"UrgencyClass",OPERATING_COEFFS!$B:$B,$AK900))</f>
        <v/>
      </c>
      <c r="AM900" s="8"/>
      <c r="AN900" s="8" t="str">
        <f t="array" ref="AN900">IF($AM900="","",INDEX(TAX_MODES!$B:$B,MATCH($AM900,TAX_MODES!$A:$A,0)))</f>
        <v/>
      </c>
    </row>
    <row r="901" ht="14.25" customHeight="1">
      <c r="C901" s="8"/>
      <c r="E901" s="8"/>
      <c r="G901" s="8"/>
      <c r="I901" s="8"/>
      <c r="K901" s="8"/>
      <c r="M901" s="8"/>
      <c r="O901" s="8"/>
      <c r="Q901" s="8"/>
      <c r="S901" s="8"/>
      <c r="V901" s="8"/>
      <c r="X901" s="31"/>
      <c r="Y901" s="31" t="str">
        <f>IF($X901="","",SUMIFS(TARIFF_PROFILES!$D:$D,TARIFF_PROFILES!$A:$A,$X901))</f>
        <v/>
      </c>
      <c r="Z901" s="31" t="str">
        <f>IF($X901="","",SUMIFS(TARIFF_PROFILES!$E:$E,TARIFF_PROFILES!$A:$A,$X901))</f>
        <v/>
      </c>
      <c r="AA901" s="31" t="str">
        <f>IF($X901="","",SUMIFS(TARIFF_PROFILES!$F:$F,TARIFF_PROFILES!$A:$A,$X901))</f>
        <v/>
      </c>
      <c r="AB901" s="31" t="str">
        <f>IF($X901="","",SUMIFS(TARIFF_PROFILES!$G:$G,TARIFF_PROFILES!$A:$A,$X901))</f>
        <v/>
      </c>
      <c r="AC901" s="31" t="str">
        <f>IF($X901="","",SUMIFS(TARIFF_PROFILES!$H:$H,TARIFF_PROFILES!$A:$A,$X901))</f>
        <v/>
      </c>
      <c r="AD901" s="31" t="str">
        <f t="array" ref="AD901">IF($X901="","",INDEX(TARIFF_PROFILES!$J:$J,MATCH($X901,TARIFF_PROFILES!$A:$A,0)))</f>
        <v/>
      </c>
      <c r="AE901" s="31" t="str">
        <f t="array" ref="AE901">IF($X901="","",INDEX(TARIFF_PROFILES!$K:$K,MATCH($X901,TARIFF_PROFILES!$A:$A,0)))</f>
        <v/>
      </c>
      <c r="AG901" s="8"/>
      <c r="AH901" s="8" t="str">
        <f>IF($AG901="","",SUMIFS(OPERATING_COEFFS!$C:$C,OPERATING_COEFFS!$A:$A,"DistanceClass",OPERATING_COEFFS!$B:$B,$AG901))</f>
        <v/>
      </c>
      <c r="AI901" s="8"/>
      <c r="AJ901" s="8" t="str">
        <f>IF($AI901="","",SUMIFS(OPERATING_COEFFS!$C:$C,OPERATING_COEFFS!$A:$A,"SeasonClass",OPERATING_COEFFS!$B:$B,$AI901))</f>
        <v/>
      </c>
      <c r="AK901" s="8"/>
      <c r="AL901" s="8" t="str">
        <f>IF($AK901="","",SUMIFS(OPERATING_COEFFS!$C:$C,OPERATING_COEFFS!$A:$A,"UrgencyClass",OPERATING_COEFFS!$B:$B,$AK901))</f>
        <v/>
      </c>
      <c r="AM901" s="8"/>
      <c r="AN901" s="8" t="str">
        <f t="array" ref="AN901">IF($AM901="","",INDEX(TAX_MODES!$B:$B,MATCH($AM901,TAX_MODES!$A:$A,0)))</f>
        <v/>
      </c>
    </row>
    <row r="902" ht="14.25" customHeight="1">
      <c r="C902" s="8"/>
      <c r="E902" s="8"/>
      <c r="G902" s="8"/>
      <c r="I902" s="8"/>
      <c r="K902" s="8"/>
      <c r="M902" s="8"/>
      <c r="O902" s="8"/>
      <c r="Q902" s="8"/>
      <c r="S902" s="8"/>
      <c r="V902" s="8"/>
      <c r="X902" s="31"/>
      <c r="Y902" s="31" t="str">
        <f>IF($X902="","",SUMIFS(TARIFF_PROFILES!$D:$D,TARIFF_PROFILES!$A:$A,$X902))</f>
        <v/>
      </c>
      <c r="Z902" s="31" t="str">
        <f>IF($X902="","",SUMIFS(TARIFF_PROFILES!$E:$E,TARIFF_PROFILES!$A:$A,$X902))</f>
        <v/>
      </c>
      <c r="AA902" s="31" t="str">
        <f>IF($X902="","",SUMIFS(TARIFF_PROFILES!$F:$F,TARIFF_PROFILES!$A:$A,$X902))</f>
        <v/>
      </c>
      <c r="AB902" s="31" t="str">
        <f>IF($X902="","",SUMIFS(TARIFF_PROFILES!$G:$G,TARIFF_PROFILES!$A:$A,$X902))</f>
        <v/>
      </c>
      <c r="AC902" s="31" t="str">
        <f>IF($X902="","",SUMIFS(TARIFF_PROFILES!$H:$H,TARIFF_PROFILES!$A:$A,$X902))</f>
        <v/>
      </c>
      <c r="AD902" s="31" t="str">
        <f t="array" ref="AD902">IF($X902="","",INDEX(TARIFF_PROFILES!$J:$J,MATCH($X902,TARIFF_PROFILES!$A:$A,0)))</f>
        <v/>
      </c>
      <c r="AE902" s="31" t="str">
        <f t="array" ref="AE902">IF($X902="","",INDEX(TARIFF_PROFILES!$K:$K,MATCH($X902,TARIFF_PROFILES!$A:$A,0)))</f>
        <v/>
      </c>
      <c r="AG902" s="8"/>
      <c r="AH902" s="8" t="str">
        <f>IF($AG902="","",SUMIFS(OPERATING_COEFFS!$C:$C,OPERATING_COEFFS!$A:$A,"DistanceClass",OPERATING_COEFFS!$B:$B,$AG902))</f>
        <v/>
      </c>
      <c r="AI902" s="8"/>
      <c r="AJ902" s="8" t="str">
        <f>IF($AI902="","",SUMIFS(OPERATING_COEFFS!$C:$C,OPERATING_COEFFS!$A:$A,"SeasonClass",OPERATING_COEFFS!$B:$B,$AI902))</f>
        <v/>
      </c>
      <c r="AK902" s="8"/>
      <c r="AL902" s="8" t="str">
        <f>IF($AK902="","",SUMIFS(OPERATING_COEFFS!$C:$C,OPERATING_COEFFS!$A:$A,"UrgencyClass",OPERATING_COEFFS!$B:$B,$AK902))</f>
        <v/>
      </c>
      <c r="AM902" s="8"/>
      <c r="AN902" s="8" t="str">
        <f t="array" ref="AN902">IF($AM902="","",INDEX(TAX_MODES!$B:$B,MATCH($AM902,TAX_MODES!$A:$A,0)))</f>
        <v/>
      </c>
    </row>
    <row r="903" ht="14.25" customHeight="1">
      <c r="C903" s="8"/>
      <c r="E903" s="8"/>
      <c r="G903" s="8"/>
      <c r="I903" s="8"/>
      <c r="K903" s="8"/>
      <c r="M903" s="8"/>
      <c r="O903" s="8"/>
      <c r="Q903" s="8"/>
      <c r="S903" s="8"/>
      <c r="V903" s="8"/>
      <c r="X903" s="31"/>
      <c r="Y903" s="31" t="str">
        <f>IF($X903="","",SUMIFS(TARIFF_PROFILES!$D:$D,TARIFF_PROFILES!$A:$A,$X903))</f>
        <v/>
      </c>
      <c r="Z903" s="31" t="str">
        <f>IF($X903="","",SUMIFS(TARIFF_PROFILES!$E:$E,TARIFF_PROFILES!$A:$A,$X903))</f>
        <v/>
      </c>
      <c r="AA903" s="31" t="str">
        <f>IF($X903="","",SUMIFS(TARIFF_PROFILES!$F:$F,TARIFF_PROFILES!$A:$A,$X903))</f>
        <v/>
      </c>
      <c r="AB903" s="31" t="str">
        <f>IF($X903="","",SUMIFS(TARIFF_PROFILES!$G:$G,TARIFF_PROFILES!$A:$A,$X903))</f>
        <v/>
      </c>
      <c r="AC903" s="31" t="str">
        <f>IF($X903="","",SUMIFS(TARIFF_PROFILES!$H:$H,TARIFF_PROFILES!$A:$A,$X903))</f>
        <v/>
      </c>
      <c r="AD903" s="31" t="str">
        <f t="array" ref="AD903">IF($X903="","",INDEX(TARIFF_PROFILES!$J:$J,MATCH($X903,TARIFF_PROFILES!$A:$A,0)))</f>
        <v/>
      </c>
      <c r="AE903" s="31" t="str">
        <f t="array" ref="AE903">IF($X903="","",INDEX(TARIFF_PROFILES!$K:$K,MATCH($X903,TARIFF_PROFILES!$A:$A,0)))</f>
        <v/>
      </c>
      <c r="AG903" s="8"/>
      <c r="AH903" s="8" t="str">
        <f>IF($AG903="","",SUMIFS(OPERATING_COEFFS!$C:$C,OPERATING_COEFFS!$A:$A,"DistanceClass",OPERATING_COEFFS!$B:$B,$AG903))</f>
        <v/>
      </c>
      <c r="AI903" s="8"/>
      <c r="AJ903" s="8" t="str">
        <f>IF($AI903="","",SUMIFS(OPERATING_COEFFS!$C:$C,OPERATING_COEFFS!$A:$A,"SeasonClass",OPERATING_COEFFS!$B:$B,$AI903))</f>
        <v/>
      </c>
      <c r="AK903" s="8"/>
      <c r="AL903" s="8" t="str">
        <f>IF($AK903="","",SUMIFS(OPERATING_COEFFS!$C:$C,OPERATING_COEFFS!$A:$A,"UrgencyClass",OPERATING_COEFFS!$B:$B,$AK903))</f>
        <v/>
      </c>
      <c r="AM903" s="8"/>
      <c r="AN903" s="8" t="str">
        <f t="array" ref="AN903">IF($AM903="","",INDEX(TAX_MODES!$B:$B,MATCH($AM903,TAX_MODES!$A:$A,0)))</f>
        <v/>
      </c>
    </row>
    <row r="904" ht="14.25" customHeight="1">
      <c r="C904" s="8"/>
      <c r="E904" s="8"/>
      <c r="G904" s="8"/>
      <c r="I904" s="8"/>
      <c r="K904" s="8"/>
      <c r="M904" s="8"/>
      <c r="O904" s="8"/>
      <c r="Q904" s="8"/>
      <c r="S904" s="8"/>
      <c r="V904" s="8"/>
      <c r="X904" s="31"/>
      <c r="Y904" s="31" t="str">
        <f>IF($X904="","",SUMIFS(TARIFF_PROFILES!$D:$D,TARIFF_PROFILES!$A:$A,$X904))</f>
        <v/>
      </c>
      <c r="Z904" s="31" t="str">
        <f>IF($X904="","",SUMIFS(TARIFF_PROFILES!$E:$E,TARIFF_PROFILES!$A:$A,$X904))</f>
        <v/>
      </c>
      <c r="AA904" s="31" t="str">
        <f>IF($X904="","",SUMIFS(TARIFF_PROFILES!$F:$F,TARIFF_PROFILES!$A:$A,$X904))</f>
        <v/>
      </c>
      <c r="AB904" s="31" t="str">
        <f>IF($X904="","",SUMIFS(TARIFF_PROFILES!$G:$G,TARIFF_PROFILES!$A:$A,$X904))</f>
        <v/>
      </c>
      <c r="AC904" s="31" t="str">
        <f>IF($X904="","",SUMIFS(TARIFF_PROFILES!$H:$H,TARIFF_PROFILES!$A:$A,$X904))</f>
        <v/>
      </c>
      <c r="AD904" s="31" t="str">
        <f t="array" ref="AD904">IF($X904="","",INDEX(TARIFF_PROFILES!$J:$J,MATCH($X904,TARIFF_PROFILES!$A:$A,0)))</f>
        <v/>
      </c>
      <c r="AE904" s="31" t="str">
        <f t="array" ref="AE904">IF($X904="","",INDEX(TARIFF_PROFILES!$K:$K,MATCH($X904,TARIFF_PROFILES!$A:$A,0)))</f>
        <v/>
      </c>
      <c r="AG904" s="8"/>
      <c r="AH904" s="8" t="str">
        <f>IF($AG904="","",SUMIFS(OPERATING_COEFFS!$C:$C,OPERATING_COEFFS!$A:$A,"DistanceClass",OPERATING_COEFFS!$B:$B,$AG904))</f>
        <v/>
      </c>
      <c r="AI904" s="8"/>
      <c r="AJ904" s="8" t="str">
        <f>IF($AI904="","",SUMIFS(OPERATING_COEFFS!$C:$C,OPERATING_COEFFS!$A:$A,"SeasonClass",OPERATING_COEFFS!$B:$B,$AI904))</f>
        <v/>
      </c>
      <c r="AK904" s="8"/>
      <c r="AL904" s="8" t="str">
        <f>IF($AK904="","",SUMIFS(OPERATING_COEFFS!$C:$C,OPERATING_COEFFS!$A:$A,"UrgencyClass",OPERATING_COEFFS!$B:$B,$AK904))</f>
        <v/>
      </c>
      <c r="AM904" s="8"/>
      <c r="AN904" s="8" t="str">
        <f t="array" ref="AN904">IF($AM904="","",INDEX(TAX_MODES!$B:$B,MATCH($AM904,TAX_MODES!$A:$A,0)))</f>
        <v/>
      </c>
    </row>
    <row r="905" ht="14.25" customHeight="1">
      <c r="C905" s="8"/>
      <c r="E905" s="8"/>
      <c r="G905" s="8"/>
      <c r="I905" s="8"/>
      <c r="K905" s="8"/>
      <c r="M905" s="8"/>
      <c r="O905" s="8"/>
      <c r="Q905" s="8"/>
      <c r="S905" s="8"/>
      <c r="V905" s="8"/>
      <c r="X905" s="31"/>
      <c r="Y905" s="31" t="str">
        <f>IF($X905="","",SUMIFS(TARIFF_PROFILES!$D:$D,TARIFF_PROFILES!$A:$A,$X905))</f>
        <v/>
      </c>
      <c r="Z905" s="31" t="str">
        <f>IF($X905="","",SUMIFS(TARIFF_PROFILES!$E:$E,TARIFF_PROFILES!$A:$A,$X905))</f>
        <v/>
      </c>
      <c r="AA905" s="31" t="str">
        <f>IF($X905="","",SUMIFS(TARIFF_PROFILES!$F:$F,TARIFF_PROFILES!$A:$A,$X905))</f>
        <v/>
      </c>
      <c r="AB905" s="31" t="str">
        <f>IF($X905="","",SUMIFS(TARIFF_PROFILES!$G:$G,TARIFF_PROFILES!$A:$A,$X905))</f>
        <v/>
      </c>
      <c r="AC905" s="31" t="str">
        <f>IF($X905="","",SUMIFS(TARIFF_PROFILES!$H:$H,TARIFF_PROFILES!$A:$A,$X905))</f>
        <v/>
      </c>
      <c r="AD905" s="31" t="str">
        <f t="array" ref="AD905">IF($X905="","",INDEX(TARIFF_PROFILES!$J:$J,MATCH($X905,TARIFF_PROFILES!$A:$A,0)))</f>
        <v/>
      </c>
      <c r="AE905" s="31" t="str">
        <f t="array" ref="AE905">IF($X905="","",INDEX(TARIFF_PROFILES!$K:$K,MATCH($X905,TARIFF_PROFILES!$A:$A,0)))</f>
        <v/>
      </c>
      <c r="AG905" s="8"/>
      <c r="AH905" s="8" t="str">
        <f>IF($AG905="","",SUMIFS(OPERATING_COEFFS!$C:$C,OPERATING_COEFFS!$A:$A,"DistanceClass",OPERATING_COEFFS!$B:$B,$AG905))</f>
        <v/>
      </c>
      <c r="AI905" s="8"/>
      <c r="AJ905" s="8" t="str">
        <f>IF($AI905="","",SUMIFS(OPERATING_COEFFS!$C:$C,OPERATING_COEFFS!$A:$A,"SeasonClass",OPERATING_COEFFS!$B:$B,$AI905))</f>
        <v/>
      </c>
      <c r="AK905" s="8"/>
      <c r="AL905" s="8" t="str">
        <f>IF($AK905="","",SUMIFS(OPERATING_COEFFS!$C:$C,OPERATING_COEFFS!$A:$A,"UrgencyClass",OPERATING_COEFFS!$B:$B,$AK905))</f>
        <v/>
      </c>
      <c r="AM905" s="8"/>
      <c r="AN905" s="8" t="str">
        <f t="array" ref="AN905">IF($AM905="","",INDEX(TAX_MODES!$B:$B,MATCH($AM905,TAX_MODES!$A:$A,0)))</f>
        <v/>
      </c>
    </row>
    <row r="906" ht="14.25" customHeight="1">
      <c r="C906" s="8"/>
      <c r="E906" s="8"/>
      <c r="G906" s="8"/>
      <c r="I906" s="8"/>
      <c r="K906" s="8"/>
      <c r="M906" s="8"/>
      <c r="O906" s="8"/>
      <c r="Q906" s="8"/>
      <c r="S906" s="8"/>
      <c r="V906" s="8"/>
      <c r="X906" s="31"/>
      <c r="Y906" s="31" t="str">
        <f>IF($X906="","",SUMIFS(TARIFF_PROFILES!$D:$D,TARIFF_PROFILES!$A:$A,$X906))</f>
        <v/>
      </c>
      <c r="Z906" s="31" t="str">
        <f>IF($X906="","",SUMIFS(TARIFF_PROFILES!$E:$E,TARIFF_PROFILES!$A:$A,$X906))</f>
        <v/>
      </c>
      <c r="AA906" s="31" t="str">
        <f>IF($X906="","",SUMIFS(TARIFF_PROFILES!$F:$F,TARIFF_PROFILES!$A:$A,$X906))</f>
        <v/>
      </c>
      <c r="AB906" s="31" t="str">
        <f>IF($X906="","",SUMIFS(TARIFF_PROFILES!$G:$G,TARIFF_PROFILES!$A:$A,$X906))</f>
        <v/>
      </c>
      <c r="AC906" s="31" t="str">
        <f>IF($X906="","",SUMIFS(TARIFF_PROFILES!$H:$H,TARIFF_PROFILES!$A:$A,$X906))</f>
        <v/>
      </c>
      <c r="AD906" s="31" t="str">
        <f t="array" ref="AD906">IF($X906="","",INDEX(TARIFF_PROFILES!$J:$J,MATCH($X906,TARIFF_PROFILES!$A:$A,0)))</f>
        <v/>
      </c>
      <c r="AE906" s="31" t="str">
        <f t="array" ref="AE906">IF($X906="","",INDEX(TARIFF_PROFILES!$K:$K,MATCH($X906,TARIFF_PROFILES!$A:$A,0)))</f>
        <v/>
      </c>
      <c r="AG906" s="8"/>
      <c r="AH906" s="8" t="str">
        <f>IF($AG906="","",SUMIFS(OPERATING_COEFFS!$C:$C,OPERATING_COEFFS!$A:$A,"DistanceClass",OPERATING_COEFFS!$B:$B,$AG906))</f>
        <v/>
      </c>
      <c r="AI906" s="8"/>
      <c r="AJ906" s="8" t="str">
        <f>IF($AI906="","",SUMIFS(OPERATING_COEFFS!$C:$C,OPERATING_COEFFS!$A:$A,"SeasonClass",OPERATING_COEFFS!$B:$B,$AI906))</f>
        <v/>
      </c>
      <c r="AK906" s="8"/>
      <c r="AL906" s="8" t="str">
        <f>IF($AK906="","",SUMIFS(OPERATING_COEFFS!$C:$C,OPERATING_COEFFS!$A:$A,"UrgencyClass",OPERATING_COEFFS!$B:$B,$AK906))</f>
        <v/>
      </c>
      <c r="AM906" s="8"/>
      <c r="AN906" s="8" t="str">
        <f t="array" ref="AN906">IF($AM906="","",INDEX(TAX_MODES!$B:$B,MATCH($AM906,TAX_MODES!$A:$A,0)))</f>
        <v/>
      </c>
    </row>
    <row r="907" ht="14.25" customHeight="1">
      <c r="C907" s="8"/>
      <c r="E907" s="8"/>
      <c r="G907" s="8"/>
      <c r="I907" s="8"/>
      <c r="K907" s="8"/>
      <c r="M907" s="8"/>
      <c r="O907" s="8"/>
      <c r="Q907" s="8"/>
      <c r="S907" s="8"/>
      <c r="V907" s="8"/>
      <c r="X907" s="31"/>
      <c r="Y907" s="31" t="str">
        <f>IF($X907="","",SUMIFS(TARIFF_PROFILES!$D:$D,TARIFF_PROFILES!$A:$A,$X907))</f>
        <v/>
      </c>
      <c r="Z907" s="31" t="str">
        <f>IF($X907="","",SUMIFS(TARIFF_PROFILES!$E:$E,TARIFF_PROFILES!$A:$A,$X907))</f>
        <v/>
      </c>
      <c r="AA907" s="31" t="str">
        <f>IF($X907="","",SUMIFS(TARIFF_PROFILES!$F:$F,TARIFF_PROFILES!$A:$A,$X907))</f>
        <v/>
      </c>
      <c r="AB907" s="31" t="str">
        <f>IF($X907="","",SUMIFS(TARIFF_PROFILES!$G:$G,TARIFF_PROFILES!$A:$A,$X907))</f>
        <v/>
      </c>
      <c r="AC907" s="31" t="str">
        <f>IF($X907="","",SUMIFS(TARIFF_PROFILES!$H:$H,TARIFF_PROFILES!$A:$A,$X907))</f>
        <v/>
      </c>
      <c r="AD907" s="31" t="str">
        <f t="array" ref="AD907">IF($X907="","",INDEX(TARIFF_PROFILES!$J:$J,MATCH($X907,TARIFF_PROFILES!$A:$A,0)))</f>
        <v/>
      </c>
      <c r="AE907" s="31" t="str">
        <f t="array" ref="AE907">IF($X907="","",INDEX(TARIFF_PROFILES!$K:$K,MATCH($X907,TARIFF_PROFILES!$A:$A,0)))</f>
        <v/>
      </c>
      <c r="AG907" s="8"/>
      <c r="AH907" s="8" t="str">
        <f>IF($AG907="","",SUMIFS(OPERATING_COEFFS!$C:$C,OPERATING_COEFFS!$A:$A,"DistanceClass",OPERATING_COEFFS!$B:$B,$AG907))</f>
        <v/>
      </c>
      <c r="AI907" s="8"/>
      <c r="AJ907" s="8" t="str">
        <f>IF($AI907="","",SUMIFS(OPERATING_COEFFS!$C:$C,OPERATING_COEFFS!$A:$A,"SeasonClass",OPERATING_COEFFS!$B:$B,$AI907))</f>
        <v/>
      </c>
      <c r="AK907" s="8"/>
      <c r="AL907" s="8" t="str">
        <f>IF($AK907="","",SUMIFS(OPERATING_COEFFS!$C:$C,OPERATING_COEFFS!$A:$A,"UrgencyClass",OPERATING_COEFFS!$B:$B,$AK907))</f>
        <v/>
      </c>
      <c r="AM907" s="8"/>
      <c r="AN907" s="8" t="str">
        <f t="array" ref="AN907">IF($AM907="","",INDEX(TAX_MODES!$B:$B,MATCH($AM907,TAX_MODES!$A:$A,0)))</f>
        <v/>
      </c>
    </row>
    <row r="908" ht="14.25" customHeight="1">
      <c r="C908" s="8"/>
      <c r="E908" s="8"/>
      <c r="G908" s="8"/>
      <c r="I908" s="8"/>
      <c r="K908" s="8"/>
      <c r="M908" s="8"/>
      <c r="O908" s="8"/>
      <c r="Q908" s="8"/>
      <c r="S908" s="8"/>
      <c r="V908" s="8"/>
      <c r="X908" s="31"/>
      <c r="Y908" s="31" t="str">
        <f>IF($X908="","",SUMIFS(TARIFF_PROFILES!$D:$D,TARIFF_PROFILES!$A:$A,$X908))</f>
        <v/>
      </c>
      <c r="Z908" s="31" t="str">
        <f>IF($X908="","",SUMIFS(TARIFF_PROFILES!$E:$E,TARIFF_PROFILES!$A:$A,$X908))</f>
        <v/>
      </c>
      <c r="AA908" s="31" t="str">
        <f>IF($X908="","",SUMIFS(TARIFF_PROFILES!$F:$F,TARIFF_PROFILES!$A:$A,$X908))</f>
        <v/>
      </c>
      <c r="AB908" s="31" t="str">
        <f>IF($X908="","",SUMIFS(TARIFF_PROFILES!$G:$G,TARIFF_PROFILES!$A:$A,$X908))</f>
        <v/>
      </c>
      <c r="AC908" s="31" t="str">
        <f>IF($X908="","",SUMIFS(TARIFF_PROFILES!$H:$H,TARIFF_PROFILES!$A:$A,$X908))</f>
        <v/>
      </c>
      <c r="AD908" s="31" t="str">
        <f t="array" ref="AD908">IF($X908="","",INDEX(TARIFF_PROFILES!$J:$J,MATCH($X908,TARIFF_PROFILES!$A:$A,0)))</f>
        <v/>
      </c>
      <c r="AE908" s="31" t="str">
        <f t="array" ref="AE908">IF($X908="","",INDEX(TARIFF_PROFILES!$K:$K,MATCH($X908,TARIFF_PROFILES!$A:$A,0)))</f>
        <v/>
      </c>
      <c r="AG908" s="8"/>
      <c r="AH908" s="8" t="str">
        <f>IF($AG908="","",SUMIFS(OPERATING_COEFFS!$C:$C,OPERATING_COEFFS!$A:$A,"DistanceClass",OPERATING_COEFFS!$B:$B,$AG908))</f>
        <v/>
      </c>
      <c r="AI908" s="8"/>
      <c r="AJ908" s="8" t="str">
        <f>IF($AI908="","",SUMIFS(OPERATING_COEFFS!$C:$C,OPERATING_COEFFS!$A:$A,"SeasonClass",OPERATING_COEFFS!$B:$B,$AI908))</f>
        <v/>
      </c>
      <c r="AK908" s="8"/>
      <c r="AL908" s="8" t="str">
        <f>IF($AK908="","",SUMIFS(OPERATING_COEFFS!$C:$C,OPERATING_COEFFS!$A:$A,"UrgencyClass",OPERATING_COEFFS!$B:$B,$AK908))</f>
        <v/>
      </c>
      <c r="AM908" s="8"/>
      <c r="AN908" s="8" t="str">
        <f t="array" ref="AN908">IF($AM908="","",INDEX(TAX_MODES!$B:$B,MATCH($AM908,TAX_MODES!$A:$A,0)))</f>
        <v/>
      </c>
    </row>
    <row r="909" ht="14.25" customHeight="1">
      <c r="C909" s="8"/>
      <c r="E909" s="8"/>
      <c r="G909" s="8"/>
      <c r="I909" s="8"/>
      <c r="K909" s="8"/>
      <c r="M909" s="8"/>
      <c r="O909" s="8"/>
      <c r="Q909" s="8"/>
      <c r="S909" s="8"/>
      <c r="V909" s="8"/>
      <c r="X909" s="31"/>
      <c r="Y909" s="31" t="str">
        <f>IF($X909="","",SUMIFS(TARIFF_PROFILES!$D:$D,TARIFF_PROFILES!$A:$A,$X909))</f>
        <v/>
      </c>
      <c r="Z909" s="31" t="str">
        <f>IF($X909="","",SUMIFS(TARIFF_PROFILES!$E:$E,TARIFF_PROFILES!$A:$A,$X909))</f>
        <v/>
      </c>
      <c r="AA909" s="31" t="str">
        <f>IF($X909="","",SUMIFS(TARIFF_PROFILES!$F:$F,TARIFF_PROFILES!$A:$A,$X909))</f>
        <v/>
      </c>
      <c r="AB909" s="31" t="str">
        <f>IF($X909="","",SUMIFS(TARIFF_PROFILES!$G:$G,TARIFF_PROFILES!$A:$A,$X909))</f>
        <v/>
      </c>
      <c r="AC909" s="31" t="str">
        <f>IF($X909="","",SUMIFS(TARIFF_PROFILES!$H:$H,TARIFF_PROFILES!$A:$A,$X909))</f>
        <v/>
      </c>
      <c r="AD909" s="31" t="str">
        <f t="array" ref="AD909">IF($X909="","",INDEX(TARIFF_PROFILES!$J:$J,MATCH($X909,TARIFF_PROFILES!$A:$A,0)))</f>
        <v/>
      </c>
      <c r="AE909" s="31" t="str">
        <f t="array" ref="AE909">IF($X909="","",INDEX(TARIFF_PROFILES!$K:$K,MATCH($X909,TARIFF_PROFILES!$A:$A,0)))</f>
        <v/>
      </c>
      <c r="AG909" s="8"/>
      <c r="AH909" s="8" t="str">
        <f>IF($AG909="","",SUMIFS(OPERATING_COEFFS!$C:$C,OPERATING_COEFFS!$A:$A,"DistanceClass",OPERATING_COEFFS!$B:$B,$AG909))</f>
        <v/>
      </c>
      <c r="AI909" s="8"/>
      <c r="AJ909" s="8" t="str">
        <f>IF($AI909="","",SUMIFS(OPERATING_COEFFS!$C:$C,OPERATING_COEFFS!$A:$A,"SeasonClass",OPERATING_COEFFS!$B:$B,$AI909))</f>
        <v/>
      </c>
      <c r="AK909" s="8"/>
      <c r="AL909" s="8" t="str">
        <f>IF($AK909="","",SUMIFS(OPERATING_COEFFS!$C:$C,OPERATING_COEFFS!$A:$A,"UrgencyClass",OPERATING_COEFFS!$B:$B,$AK909))</f>
        <v/>
      </c>
      <c r="AM909" s="8"/>
      <c r="AN909" s="8" t="str">
        <f t="array" ref="AN909">IF($AM909="","",INDEX(TAX_MODES!$B:$B,MATCH($AM909,TAX_MODES!$A:$A,0)))</f>
        <v/>
      </c>
    </row>
    <row r="910" ht="14.25" customHeight="1">
      <c r="C910" s="8"/>
      <c r="E910" s="8"/>
      <c r="G910" s="8"/>
      <c r="I910" s="8"/>
      <c r="K910" s="8"/>
      <c r="M910" s="8"/>
      <c r="O910" s="8"/>
      <c r="Q910" s="8"/>
      <c r="S910" s="8"/>
      <c r="V910" s="8"/>
      <c r="X910" s="31"/>
      <c r="Y910" s="31" t="str">
        <f>IF($X910="","",SUMIFS(TARIFF_PROFILES!$D:$D,TARIFF_PROFILES!$A:$A,$X910))</f>
        <v/>
      </c>
      <c r="Z910" s="31" t="str">
        <f>IF($X910="","",SUMIFS(TARIFF_PROFILES!$E:$E,TARIFF_PROFILES!$A:$A,$X910))</f>
        <v/>
      </c>
      <c r="AA910" s="31" t="str">
        <f>IF($X910="","",SUMIFS(TARIFF_PROFILES!$F:$F,TARIFF_PROFILES!$A:$A,$X910))</f>
        <v/>
      </c>
      <c r="AB910" s="31" t="str">
        <f>IF($X910="","",SUMIFS(TARIFF_PROFILES!$G:$G,TARIFF_PROFILES!$A:$A,$X910))</f>
        <v/>
      </c>
      <c r="AC910" s="31" t="str">
        <f>IF($X910="","",SUMIFS(TARIFF_PROFILES!$H:$H,TARIFF_PROFILES!$A:$A,$X910))</f>
        <v/>
      </c>
      <c r="AD910" s="31" t="str">
        <f t="array" ref="AD910">IF($X910="","",INDEX(TARIFF_PROFILES!$J:$J,MATCH($X910,TARIFF_PROFILES!$A:$A,0)))</f>
        <v/>
      </c>
      <c r="AE910" s="31" t="str">
        <f t="array" ref="AE910">IF($X910="","",INDEX(TARIFF_PROFILES!$K:$K,MATCH($X910,TARIFF_PROFILES!$A:$A,0)))</f>
        <v/>
      </c>
      <c r="AG910" s="8"/>
      <c r="AH910" s="8" t="str">
        <f>IF($AG910="","",SUMIFS(OPERATING_COEFFS!$C:$C,OPERATING_COEFFS!$A:$A,"DistanceClass",OPERATING_COEFFS!$B:$B,$AG910))</f>
        <v/>
      </c>
      <c r="AI910" s="8"/>
      <c r="AJ910" s="8" t="str">
        <f>IF($AI910="","",SUMIFS(OPERATING_COEFFS!$C:$C,OPERATING_COEFFS!$A:$A,"SeasonClass",OPERATING_COEFFS!$B:$B,$AI910))</f>
        <v/>
      </c>
      <c r="AK910" s="8"/>
      <c r="AL910" s="8" t="str">
        <f>IF($AK910="","",SUMIFS(OPERATING_COEFFS!$C:$C,OPERATING_COEFFS!$A:$A,"UrgencyClass",OPERATING_COEFFS!$B:$B,$AK910))</f>
        <v/>
      </c>
      <c r="AM910" s="8"/>
      <c r="AN910" s="8" t="str">
        <f t="array" ref="AN910">IF($AM910="","",INDEX(TAX_MODES!$B:$B,MATCH($AM910,TAX_MODES!$A:$A,0)))</f>
        <v/>
      </c>
    </row>
    <row r="911" ht="14.25" customHeight="1">
      <c r="C911" s="8"/>
      <c r="E911" s="8"/>
      <c r="G911" s="8"/>
      <c r="I911" s="8"/>
      <c r="K911" s="8"/>
      <c r="M911" s="8"/>
      <c r="O911" s="8"/>
      <c r="Q911" s="8"/>
      <c r="S911" s="8"/>
      <c r="V911" s="8"/>
      <c r="X911" s="31"/>
      <c r="Y911" s="31" t="str">
        <f>IF($X911="","",SUMIFS(TARIFF_PROFILES!$D:$D,TARIFF_PROFILES!$A:$A,$X911))</f>
        <v/>
      </c>
      <c r="Z911" s="31" t="str">
        <f>IF($X911="","",SUMIFS(TARIFF_PROFILES!$E:$E,TARIFF_PROFILES!$A:$A,$X911))</f>
        <v/>
      </c>
      <c r="AA911" s="31" t="str">
        <f>IF($X911="","",SUMIFS(TARIFF_PROFILES!$F:$F,TARIFF_PROFILES!$A:$A,$X911))</f>
        <v/>
      </c>
      <c r="AB911" s="31" t="str">
        <f>IF($X911="","",SUMIFS(TARIFF_PROFILES!$G:$G,TARIFF_PROFILES!$A:$A,$X911))</f>
        <v/>
      </c>
      <c r="AC911" s="31" t="str">
        <f>IF($X911="","",SUMIFS(TARIFF_PROFILES!$H:$H,TARIFF_PROFILES!$A:$A,$X911))</f>
        <v/>
      </c>
      <c r="AD911" s="31" t="str">
        <f t="array" ref="AD911">IF($X911="","",INDEX(TARIFF_PROFILES!$J:$J,MATCH($X911,TARIFF_PROFILES!$A:$A,0)))</f>
        <v/>
      </c>
      <c r="AE911" s="31" t="str">
        <f t="array" ref="AE911">IF($X911="","",INDEX(TARIFF_PROFILES!$K:$K,MATCH($X911,TARIFF_PROFILES!$A:$A,0)))</f>
        <v/>
      </c>
      <c r="AG911" s="8"/>
      <c r="AH911" s="8" t="str">
        <f>IF($AG911="","",SUMIFS(OPERATING_COEFFS!$C:$C,OPERATING_COEFFS!$A:$A,"DistanceClass",OPERATING_COEFFS!$B:$B,$AG911))</f>
        <v/>
      </c>
      <c r="AI911" s="8"/>
      <c r="AJ911" s="8" t="str">
        <f>IF($AI911="","",SUMIFS(OPERATING_COEFFS!$C:$C,OPERATING_COEFFS!$A:$A,"SeasonClass",OPERATING_COEFFS!$B:$B,$AI911))</f>
        <v/>
      </c>
      <c r="AK911" s="8"/>
      <c r="AL911" s="8" t="str">
        <f>IF($AK911="","",SUMIFS(OPERATING_COEFFS!$C:$C,OPERATING_COEFFS!$A:$A,"UrgencyClass",OPERATING_COEFFS!$B:$B,$AK911))</f>
        <v/>
      </c>
      <c r="AM911" s="8"/>
      <c r="AN911" s="8" t="str">
        <f t="array" ref="AN911">IF($AM911="","",INDEX(TAX_MODES!$B:$B,MATCH($AM911,TAX_MODES!$A:$A,0)))</f>
        <v/>
      </c>
    </row>
    <row r="912" ht="14.25" customHeight="1">
      <c r="C912" s="8"/>
      <c r="E912" s="8"/>
      <c r="G912" s="8"/>
      <c r="I912" s="8"/>
      <c r="K912" s="8"/>
      <c r="M912" s="8"/>
      <c r="O912" s="8"/>
      <c r="Q912" s="8"/>
      <c r="S912" s="8"/>
      <c r="V912" s="8"/>
      <c r="X912" s="31"/>
      <c r="Y912" s="31" t="str">
        <f>IF($X912="","",SUMIFS(TARIFF_PROFILES!$D:$D,TARIFF_PROFILES!$A:$A,$X912))</f>
        <v/>
      </c>
      <c r="Z912" s="31" t="str">
        <f>IF($X912="","",SUMIFS(TARIFF_PROFILES!$E:$E,TARIFF_PROFILES!$A:$A,$X912))</f>
        <v/>
      </c>
      <c r="AA912" s="31" t="str">
        <f>IF($X912="","",SUMIFS(TARIFF_PROFILES!$F:$F,TARIFF_PROFILES!$A:$A,$X912))</f>
        <v/>
      </c>
      <c r="AB912" s="31" t="str">
        <f>IF($X912="","",SUMIFS(TARIFF_PROFILES!$G:$G,TARIFF_PROFILES!$A:$A,$X912))</f>
        <v/>
      </c>
      <c r="AC912" s="31" t="str">
        <f>IF($X912="","",SUMIFS(TARIFF_PROFILES!$H:$H,TARIFF_PROFILES!$A:$A,$X912))</f>
        <v/>
      </c>
      <c r="AD912" s="31" t="str">
        <f t="array" ref="AD912">IF($X912="","",INDEX(TARIFF_PROFILES!$J:$J,MATCH($X912,TARIFF_PROFILES!$A:$A,0)))</f>
        <v/>
      </c>
      <c r="AE912" s="31" t="str">
        <f t="array" ref="AE912">IF($X912="","",INDEX(TARIFF_PROFILES!$K:$K,MATCH($X912,TARIFF_PROFILES!$A:$A,0)))</f>
        <v/>
      </c>
      <c r="AG912" s="8"/>
      <c r="AH912" s="8" t="str">
        <f>IF($AG912="","",SUMIFS(OPERATING_COEFFS!$C:$C,OPERATING_COEFFS!$A:$A,"DistanceClass",OPERATING_COEFFS!$B:$B,$AG912))</f>
        <v/>
      </c>
      <c r="AI912" s="8"/>
      <c r="AJ912" s="8" t="str">
        <f>IF($AI912="","",SUMIFS(OPERATING_COEFFS!$C:$C,OPERATING_COEFFS!$A:$A,"SeasonClass",OPERATING_COEFFS!$B:$B,$AI912))</f>
        <v/>
      </c>
      <c r="AK912" s="8"/>
      <c r="AL912" s="8" t="str">
        <f>IF($AK912="","",SUMIFS(OPERATING_COEFFS!$C:$C,OPERATING_COEFFS!$A:$A,"UrgencyClass",OPERATING_COEFFS!$B:$B,$AK912))</f>
        <v/>
      </c>
      <c r="AM912" s="8"/>
      <c r="AN912" s="8" t="str">
        <f t="array" ref="AN912">IF($AM912="","",INDEX(TAX_MODES!$B:$B,MATCH($AM912,TAX_MODES!$A:$A,0)))</f>
        <v/>
      </c>
    </row>
    <row r="913" ht="14.25" customHeight="1">
      <c r="C913" s="8"/>
      <c r="E913" s="8"/>
      <c r="G913" s="8"/>
      <c r="I913" s="8"/>
      <c r="K913" s="8"/>
      <c r="M913" s="8"/>
      <c r="O913" s="8"/>
      <c r="Q913" s="8"/>
      <c r="S913" s="8"/>
      <c r="V913" s="8"/>
      <c r="X913" s="31"/>
      <c r="Y913" s="31" t="str">
        <f>IF($X913="","",SUMIFS(TARIFF_PROFILES!$D:$D,TARIFF_PROFILES!$A:$A,$X913))</f>
        <v/>
      </c>
      <c r="Z913" s="31" t="str">
        <f>IF($X913="","",SUMIFS(TARIFF_PROFILES!$E:$E,TARIFF_PROFILES!$A:$A,$X913))</f>
        <v/>
      </c>
      <c r="AA913" s="31" t="str">
        <f>IF($X913="","",SUMIFS(TARIFF_PROFILES!$F:$F,TARIFF_PROFILES!$A:$A,$X913))</f>
        <v/>
      </c>
      <c r="AB913" s="31" t="str">
        <f>IF($X913="","",SUMIFS(TARIFF_PROFILES!$G:$G,TARIFF_PROFILES!$A:$A,$X913))</f>
        <v/>
      </c>
      <c r="AC913" s="31" t="str">
        <f>IF($X913="","",SUMIFS(TARIFF_PROFILES!$H:$H,TARIFF_PROFILES!$A:$A,$X913))</f>
        <v/>
      </c>
      <c r="AD913" s="31" t="str">
        <f t="array" ref="AD913">IF($X913="","",INDEX(TARIFF_PROFILES!$J:$J,MATCH($X913,TARIFF_PROFILES!$A:$A,0)))</f>
        <v/>
      </c>
      <c r="AE913" s="31" t="str">
        <f t="array" ref="AE913">IF($X913="","",INDEX(TARIFF_PROFILES!$K:$K,MATCH($X913,TARIFF_PROFILES!$A:$A,0)))</f>
        <v/>
      </c>
      <c r="AG913" s="8"/>
      <c r="AH913" s="8" t="str">
        <f>IF($AG913="","",SUMIFS(OPERATING_COEFFS!$C:$C,OPERATING_COEFFS!$A:$A,"DistanceClass",OPERATING_COEFFS!$B:$B,$AG913))</f>
        <v/>
      </c>
      <c r="AI913" s="8"/>
      <c r="AJ913" s="8" t="str">
        <f>IF($AI913="","",SUMIFS(OPERATING_COEFFS!$C:$C,OPERATING_COEFFS!$A:$A,"SeasonClass",OPERATING_COEFFS!$B:$B,$AI913))</f>
        <v/>
      </c>
      <c r="AK913" s="8"/>
      <c r="AL913" s="8" t="str">
        <f>IF($AK913="","",SUMIFS(OPERATING_COEFFS!$C:$C,OPERATING_COEFFS!$A:$A,"UrgencyClass",OPERATING_COEFFS!$B:$B,$AK913))</f>
        <v/>
      </c>
      <c r="AM913" s="8"/>
      <c r="AN913" s="8" t="str">
        <f t="array" ref="AN913">IF($AM913="","",INDEX(TAX_MODES!$B:$B,MATCH($AM913,TAX_MODES!$A:$A,0)))</f>
        <v/>
      </c>
    </row>
    <row r="914" ht="14.25" customHeight="1">
      <c r="C914" s="8"/>
      <c r="E914" s="8"/>
      <c r="G914" s="8"/>
      <c r="I914" s="8"/>
      <c r="K914" s="8"/>
      <c r="M914" s="8"/>
      <c r="O914" s="8"/>
      <c r="Q914" s="8"/>
      <c r="S914" s="8"/>
      <c r="V914" s="8"/>
      <c r="X914" s="31"/>
      <c r="Y914" s="31" t="str">
        <f>IF($X914="","",SUMIFS(TARIFF_PROFILES!$D:$D,TARIFF_PROFILES!$A:$A,$X914))</f>
        <v/>
      </c>
      <c r="Z914" s="31" t="str">
        <f>IF($X914="","",SUMIFS(TARIFF_PROFILES!$E:$E,TARIFF_PROFILES!$A:$A,$X914))</f>
        <v/>
      </c>
      <c r="AA914" s="31" t="str">
        <f>IF($X914="","",SUMIFS(TARIFF_PROFILES!$F:$F,TARIFF_PROFILES!$A:$A,$X914))</f>
        <v/>
      </c>
      <c r="AB914" s="31" t="str">
        <f>IF($X914="","",SUMIFS(TARIFF_PROFILES!$G:$G,TARIFF_PROFILES!$A:$A,$X914))</f>
        <v/>
      </c>
      <c r="AC914" s="31" t="str">
        <f>IF($X914="","",SUMIFS(TARIFF_PROFILES!$H:$H,TARIFF_PROFILES!$A:$A,$X914))</f>
        <v/>
      </c>
      <c r="AD914" s="31" t="str">
        <f t="array" ref="AD914">IF($X914="","",INDEX(TARIFF_PROFILES!$J:$J,MATCH($X914,TARIFF_PROFILES!$A:$A,0)))</f>
        <v/>
      </c>
      <c r="AE914" s="31" t="str">
        <f t="array" ref="AE914">IF($X914="","",INDEX(TARIFF_PROFILES!$K:$K,MATCH($X914,TARIFF_PROFILES!$A:$A,0)))</f>
        <v/>
      </c>
      <c r="AG914" s="8"/>
      <c r="AH914" s="8" t="str">
        <f>IF($AG914="","",SUMIFS(OPERATING_COEFFS!$C:$C,OPERATING_COEFFS!$A:$A,"DistanceClass",OPERATING_COEFFS!$B:$B,$AG914))</f>
        <v/>
      </c>
      <c r="AI914" s="8"/>
      <c r="AJ914" s="8" t="str">
        <f>IF($AI914="","",SUMIFS(OPERATING_COEFFS!$C:$C,OPERATING_COEFFS!$A:$A,"SeasonClass",OPERATING_COEFFS!$B:$B,$AI914))</f>
        <v/>
      </c>
      <c r="AK914" s="8"/>
      <c r="AL914" s="8" t="str">
        <f>IF($AK914="","",SUMIFS(OPERATING_COEFFS!$C:$C,OPERATING_COEFFS!$A:$A,"UrgencyClass",OPERATING_COEFFS!$B:$B,$AK914))</f>
        <v/>
      </c>
      <c r="AM914" s="8"/>
      <c r="AN914" s="8" t="str">
        <f t="array" ref="AN914">IF($AM914="","",INDEX(TAX_MODES!$B:$B,MATCH($AM914,TAX_MODES!$A:$A,0)))</f>
        <v/>
      </c>
    </row>
    <row r="915" ht="14.25" customHeight="1">
      <c r="C915" s="8"/>
      <c r="E915" s="8"/>
      <c r="G915" s="8"/>
      <c r="I915" s="8"/>
      <c r="K915" s="8"/>
      <c r="M915" s="8"/>
      <c r="O915" s="8"/>
      <c r="Q915" s="8"/>
      <c r="S915" s="8"/>
      <c r="V915" s="8"/>
      <c r="X915" s="31"/>
      <c r="Y915" s="31" t="str">
        <f>IF($X915="","",SUMIFS(TARIFF_PROFILES!$D:$D,TARIFF_PROFILES!$A:$A,$X915))</f>
        <v/>
      </c>
      <c r="Z915" s="31" t="str">
        <f>IF($X915="","",SUMIFS(TARIFF_PROFILES!$E:$E,TARIFF_PROFILES!$A:$A,$X915))</f>
        <v/>
      </c>
      <c r="AA915" s="31" t="str">
        <f>IF($X915="","",SUMIFS(TARIFF_PROFILES!$F:$F,TARIFF_PROFILES!$A:$A,$X915))</f>
        <v/>
      </c>
      <c r="AB915" s="31" t="str">
        <f>IF($X915="","",SUMIFS(TARIFF_PROFILES!$G:$G,TARIFF_PROFILES!$A:$A,$X915))</f>
        <v/>
      </c>
      <c r="AC915" s="31" t="str">
        <f>IF($X915="","",SUMIFS(TARIFF_PROFILES!$H:$H,TARIFF_PROFILES!$A:$A,$X915))</f>
        <v/>
      </c>
      <c r="AD915" s="31" t="str">
        <f t="array" ref="AD915">IF($X915="","",INDEX(TARIFF_PROFILES!$J:$J,MATCH($X915,TARIFF_PROFILES!$A:$A,0)))</f>
        <v/>
      </c>
      <c r="AE915" s="31" t="str">
        <f t="array" ref="AE915">IF($X915="","",INDEX(TARIFF_PROFILES!$K:$K,MATCH($X915,TARIFF_PROFILES!$A:$A,0)))</f>
        <v/>
      </c>
      <c r="AG915" s="8"/>
      <c r="AH915" s="8" t="str">
        <f>IF($AG915="","",SUMIFS(OPERATING_COEFFS!$C:$C,OPERATING_COEFFS!$A:$A,"DistanceClass",OPERATING_COEFFS!$B:$B,$AG915))</f>
        <v/>
      </c>
      <c r="AI915" s="8"/>
      <c r="AJ915" s="8" t="str">
        <f>IF($AI915="","",SUMIFS(OPERATING_COEFFS!$C:$C,OPERATING_COEFFS!$A:$A,"SeasonClass",OPERATING_COEFFS!$B:$B,$AI915))</f>
        <v/>
      </c>
      <c r="AK915" s="8"/>
      <c r="AL915" s="8" t="str">
        <f>IF($AK915="","",SUMIFS(OPERATING_COEFFS!$C:$C,OPERATING_COEFFS!$A:$A,"UrgencyClass",OPERATING_COEFFS!$B:$B,$AK915))</f>
        <v/>
      </c>
      <c r="AM915" s="8"/>
      <c r="AN915" s="8" t="str">
        <f t="array" ref="AN915">IF($AM915="","",INDEX(TAX_MODES!$B:$B,MATCH($AM915,TAX_MODES!$A:$A,0)))</f>
        <v/>
      </c>
    </row>
    <row r="916" ht="14.25" customHeight="1">
      <c r="C916" s="8"/>
      <c r="E916" s="8"/>
      <c r="G916" s="8"/>
      <c r="I916" s="8"/>
      <c r="K916" s="8"/>
      <c r="M916" s="8"/>
      <c r="O916" s="8"/>
      <c r="Q916" s="8"/>
      <c r="S916" s="8"/>
      <c r="V916" s="8"/>
      <c r="X916" s="31"/>
      <c r="Y916" s="31" t="str">
        <f>IF($X916="","",SUMIFS(TARIFF_PROFILES!$D:$D,TARIFF_PROFILES!$A:$A,$X916))</f>
        <v/>
      </c>
      <c r="Z916" s="31" t="str">
        <f>IF($X916="","",SUMIFS(TARIFF_PROFILES!$E:$E,TARIFF_PROFILES!$A:$A,$X916))</f>
        <v/>
      </c>
      <c r="AA916" s="31" t="str">
        <f>IF($X916="","",SUMIFS(TARIFF_PROFILES!$F:$F,TARIFF_PROFILES!$A:$A,$X916))</f>
        <v/>
      </c>
      <c r="AB916" s="31" t="str">
        <f>IF($X916="","",SUMIFS(TARIFF_PROFILES!$G:$G,TARIFF_PROFILES!$A:$A,$X916))</f>
        <v/>
      </c>
      <c r="AC916" s="31" t="str">
        <f>IF($X916="","",SUMIFS(TARIFF_PROFILES!$H:$H,TARIFF_PROFILES!$A:$A,$X916))</f>
        <v/>
      </c>
      <c r="AD916" s="31" t="str">
        <f t="array" ref="AD916">IF($X916="","",INDEX(TARIFF_PROFILES!$J:$J,MATCH($X916,TARIFF_PROFILES!$A:$A,0)))</f>
        <v/>
      </c>
      <c r="AE916" s="31" t="str">
        <f t="array" ref="AE916">IF($X916="","",INDEX(TARIFF_PROFILES!$K:$K,MATCH($X916,TARIFF_PROFILES!$A:$A,0)))</f>
        <v/>
      </c>
      <c r="AG916" s="8"/>
      <c r="AH916" s="8" t="str">
        <f>IF($AG916="","",SUMIFS(OPERATING_COEFFS!$C:$C,OPERATING_COEFFS!$A:$A,"DistanceClass",OPERATING_COEFFS!$B:$B,$AG916))</f>
        <v/>
      </c>
      <c r="AI916" s="8"/>
      <c r="AJ916" s="8" t="str">
        <f>IF($AI916="","",SUMIFS(OPERATING_COEFFS!$C:$C,OPERATING_COEFFS!$A:$A,"SeasonClass",OPERATING_COEFFS!$B:$B,$AI916))</f>
        <v/>
      </c>
      <c r="AK916" s="8"/>
      <c r="AL916" s="8" t="str">
        <f>IF($AK916="","",SUMIFS(OPERATING_COEFFS!$C:$C,OPERATING_COEFFS!$A:$A,"UrgencyClass",OPERATING_COEFFS!$B:$B,$AK916))</f>
        <v/>
      </c>
      <c r="AM916" s="8"/>
      <c r="AN916" s="8" t="str">
        <f t="array" ref="AN916">IF($AM916="","",INDEX(TAX_MODES!$B:$B,MATCH($AM916,TAX_MODES!$A:$A,0)))</f>
        <v/>
      </c>
    </row>
    <row r="917" ht="14.25" customHeight="1">
      <c r="C917" s="8"/>
      <c r="E917" s="8"/>
      <c r="G917" s="8"/>
      <c r="I917" s="8"/>
      <c r="K917" s="8"/>
      <c r="M917" s="8"/>
      <c r="O917" s="8"/>
      <c r="Q917" s="8"/>
      <c r="S917" s="8"/>
      <c r="V917" s="8"/>
      <c r="X917" s="31"/>
      <c r="Y917" s="31" t="str">
        <f>IF($X917="","",SUMIFS(TARIFF_PROFILES!$D:$D,TARIFF_PROFILES!$A:$A,$X917))</f>
        <v/>
      </c>
      <c r="Z917" s="31" t="str">
        <f>IF($X917="","",SUMIFS(TARIFF_PROFILES!$E:$E,TARIFF_PROFILES!$A:$A,$X917))</f>
        <v/>
      </c>
      <c r="AA917" s="31" t="str">
        <f>IF($X917="","",SUMIFS(TARIFF_PROFILES!$F:$F,TARIFF_PROFILES!$A:$A,$X917))</f>
        <v/>
      </c>
      <c r="AB917" s="31" t="str">
        <f>IF($X917="","",SUMIFS(TARIFF_PROFILES!$G:$G,TARIFF_PROFILES!$A:$A,$X917))</f>
        <v/>
      </c>
      <c r="AC917" s="31" t="str">
        <f>IF($X917="","",SUMIFS(TARIFF_PROFILES!$H:$H,TARIFF_PROFILES!$A:$A,$X917))</f>
        <v/>
      </c>
      <c r="AD917" s="31" t="str">
        <f t="array" ref="AD917">IF($X917="","",INDEX(TARIFF_PROFILES!$J:$J,MATCH($X917,TARIFF_PROFILES!$A:$A,0)))</f>
        <v/>
      </c>
      <c r="AE917" s="31" t="str">
        <f t="array" ref="AE917">IF($X917="","",INDEX(TARIFF_PROFILES!$K:$K,MATCH($X917,TARIFF_PROFILES!$A:$A,0)))</f>
        <v/>
      </c>
      <c r="AG917" s="8"/>
      <c r="AH917" s="8" t="str">
        <f>IF($AG917="","",SUMIFS(OPERATING_COEFFS!$C:$C,OPERATING_COEFFS!$A:$A,"DistanceClass",OPERATING_COEFFS!$B:$B,$AG917))</f>
        <v/>
      </c>
      <c r="AI917" s="8"/>
      <c r="AJ917" s="8" t="str">
        <f>IF($AI917="","",SUMIFS(OPERATING_COEFFS!$C:$C,OPERATING_COEFFS!$A:$A,"SeasonClass",OPERATING_COEFFS!$B:$B,$AI917))</f>
        <v/>
      </c>
      <c r="AK917" s="8"/>
      <c r="AL917" s="8" t="str">
        <f>IF($AK917="","",SUMIFS(OPERATING_COEFFS!$C:$C,OPERATING_COEFFS!$A:$A,"UrgencyClass",OPERATING_COEFFS!$B:$B,$AK917))</f>
        <v/>
      </c>
      <c r="AM917" s="8"/>
      <c r="AN917" s="8" t="str">
        <f t="array" ref="AN917">IF($AM917="","",INDEX(TAX_MODES!$B:$B,MATCH($AM917,TAX_MODES!$A:$A,0)))</f>
        <v/>
      </c>
    </row>
    <row r="918" ht="14.25" customHeight="1">
      <c r="C918" s="8"/>
      <c r="E918" s="8"/>
      <c r="G918" s="8"/>
      <c r="I918" s="8"/>
      <c r="K918" s="8"/>
      <c r="M918" s="8"/>
      <c r="O918" s="8"/>
      <c r="Q918" s="8"/>
      <c r="S918" s="8"/>
      <c r="V918" s="8"/>
      <c r="X918" s="31"/>
      <c r="Y918" s="31" t="str">
        <f>IF($X918="","",SUMIFS(TARIFF_PROFILES!$D:$D,TARIFF_PROFILES!$A:$A,$X918))</f>
        <v/>
      </c>
      <c r="Z918" s="31" t="str">
        <f>IF($X918="","",SUMIFS(TARIFF_PROFILES!$E:$E,TARIFF_PROFILES!$A:$A,$X918))</f>
        <v/>
      </c>
      <c r="AA918" s="31" t="str">
        <f>IF($X918="","",SUMIFS(TARIFF_PROFILES!$F:$F,TARIFF_PROFILES!$A:$A,$X918))</f>
        <v/>
      </c>
      <c r="AB918" s="31" t="str">
        <f>IF($X918="","",SUMIFS(TARIFF_PROFILES!$G:$G,TARIFF_PROFILES!$A:$A,$X918))</f>
        <v/>
      </c>
      <c r="AC918" s="31" t="str">
        <f>IF($X918="","",SUMIFS(TARIFF_PROFILES!$H:$H,TARIFF_PROFILES!$A:$A,$X918))</f>
        <v/>
      </c>
      <c r="AD918" s="31" t="str">
        <f t="array" ref="AD918">IF($X918="","",INDEX(TARIFF_PROFILES!$J:$J,MATCH($X918,TARIFF_PROFILES!$A:$A,0)))</f>
        <v/>
      </c>
      <c r="AE918" s="31" t="str">
        <f t="array" ref="AE918">IF($X918="","",INDEX(TARIFF_PROFILES!$K:$K,MATCH($X918,TARIFF_PROFILES!$A:$A,0)))</f>
        <v/>
      </c>
      <c r="AG918" s="8"/>
      <c r="AH918" s="8" t="str">
        <f>IF($AG918="","",SUMIFS(OPERATING_COEFFS!$C:$C,OPERATING_COEFFS!$A:$A,"DistanceClass",OPERATING_COEFFS!$B:$B,$AG918))</f>
        <v/>
      </c>
      <c r="AI918" s="8"/>
      <c r="AJ918" s="8" t="str">
        <f>IF($AI918="","",SUMIFS(OPERATING_COEFFS!$C:$C,OPERATING_COEFFS!$A:$A,"SeasonClass",OPERATING_COEFFS!$B:$B,$AI918))</f>
        <v/>
      </c>
      <c r="AK918" s="8"/>
      <c r="AL918" s="8" t="str">
        <f>IF($AK918="","",SUMIFS(OPERATING_COEFFS!$C:$C,OPERATING_COEFFS!$A:$A,"UrgencyClass",OPERATING_COEFFS!$B:$B,$AK918))</f>
        <v/>
      </c>
      <c r="AM918" s="8"/>
      <c r="AN918" s="8" t="str">
        <f t="array" ref="AN918">IF($AM918="","",INDEX(TAX_MODES!$B:$B,MATCH($AM918,TAX_MODES!$A:$A,0)))</f>
        <v/>
      </c>
    </row>
    <row r="919" ht="14.25" customHeight="1">
      <c r="C919" s="8"/>
      <c r="E919" s="8"/>
      <c r="G919" s="8"/>
      <c r="I919" s="8"/>
      <c r="K919" s="8"/>
      <c r="M919" s="8"/>
      <c r="O919" s="8"/>
      <c r="Q919" s="8"/>
      <c r="S919" s="8"/>
      <c r="V919" s="8"/>
      <c r="X919" s="31"/>
      <c r="Y919" s="31" t="str">
        <f>IF($X919="","",SUMIFS(TARIFF_PROFILES!$D:$D,TARIFF_PROFILES!$A:$A,$X919))</f>
        <v/>
      </c>
      <c r="Z919" s="31" t="str">
        <f>IF($X919="","",SUMIFS(TARIFF_PROFILES!$E:$E,TARIFF_PROFILES!$A:$A,$X919))</f>
        <v/>
      </c>
      <c r="AA919" s="31" t="str">
        <f>IF($X919="","",SUMIFS(TARIFF_PROFILES!$F:$F,TARIFF_PROFILES!$A:$A,$X919))</f>
        <v/>
      </c>
      <c r="AB919" s="31" t="str">
        <f>IF($X919="","",SUMIFS(TARIFF_PROFILES!$G:$G,TARIFF_PROFILES!$A:$A,$X919))</f>
        <v/>
      </c>
      <c r="AC919" s="31" t="str">
        <f>IF($X919="","",SUMIFS(TARIFF_PROFILES!$H:$H,TARIFF_PROFILES!$A:$A,$X919))</f>
        <v/>
      </c>
      <c r="AD919" s="31" t="str">
        <f t="array" ref="AD919">IF($X919="","",INDEX(TARIFF_PROFILES!$J:$J,MATCH($X919,TARIFF_PROFILES!$A:$A,0)))</f>
        <v/>
      </c>
      <c r="AE919" s="31" t="str">
        <f t="array" ref="AE919">IF($X919="","",INDEX(TARIFF_PROFILES!$K:$K,MATCH($X919,TARIFF_PROFILES!$A:$A,0)))</f>
        <v/>
      </c>
      <c r="AG919" s="8"/>
      <c r="AH919" s="8" t="str">
        <f>IF($AG919="","",SUMIFS(OPERATING_COEFFS!$C:$C,OPERATING_COEFFS!$A:$A,"DistanceClass",OPERATING_COEFFS!$B:$B,$AG919))</f>
        <v/>
      </c>
      <c r="AI919" s="8"/>
      <c r="AJ919" s="8" t="str">
        <f>IF($AI919="","",SUMIFS(OPERATING_COEFFS!$C:$C,OPERATING_COEFFS!$A:$A,"SeasonClass",OPERATING_COEFFS!$B:$B,$AI919))</f>
        <v/>
      </c>
      <c r="AK919" s="8"/>
      <c r="AL919" s="8" t="str">
        <f>IF($AK919="","",SUMIFS(OPERATING_COEFFS!$C:$C,OPERATING_COEFFS!$A:$A,"UrgencyClass",OPERATING_COEFFS!$B:$B,$AK919))</f>
        <v/>
      </c>
      <c r="AM919" s="8"/>
      <c r="AN919" s="8" t="str">
        <f t="array" ref="AN919">IF($AM919="","",INDEX(TAX_MODES!$B:$B,MATCH($AM919,TAX_MODES!$A:$A,0)))</f>
        <v/>
      </c>
    </row>
    <row r="920" ht="14.25" customHeight="1">
      <c r="C920" s="8"/>
      <c r="E920" s="8"/>
      <c r="G920" s="8"/>
      <c r="I920" s="8"/>
      <c r="K920" s="8"/>
      <c r="M920" s="8"/>
      <c r="O920" s="8"/>
      <c r="Q920" s="8"/>
      <c r="S920" s="8"/>
      <c r="V920" s="8"/>
      <c r="X920" s="31"/>
      <c r="Y920" s="31" t="str">
        <f>IF($X920="","",SUMIFS(TARIFF_PROFILES!$D:$D,TARIFF_PROFILES!$A:$A,$X920))</f>
        <v/>
      </c>
      <c r="Z920" s="31" t="str">
        <f>IF($X920="","",SUMIFS(TARIFF_PROFILES!$E:$E,TARIFF_PROFILES!$A:$A,$X920))</f>
        <v/>
      </c>
      <c r="AA920" s="31" t="str">
        <f>IF($X920="","",SUMIFS(TARIFF_PROFILES!$F:$F,TARIFF_PROFILES!$A:$A,$X920))</f>
        <v/>
      </c>
      <c r="AB920" s="31" t="str">
        <f>IF($X920="","",SUMIFS(TARIFF_PROFILES!$G:$G,TARIFF_PROFILES!$A:$A,$X920))</f>
        <v/>
      </c>
      <c r="AC920" s="31" t="str">
        <f>IF($X920="","",SUMIFS(TARIFF_PROFILES!$H:$H,TARIFF_PROFILES!$A:$A,$X920))</f>
        <v/>
      </c>
      <c r="AD920" s="31" t="str">
        <f t="array" ref="AD920">IF($X920="","",INDEX(TARIFF_PROFILES!$J:$J,MATCH($X920,TARIFF_PROFILES!$A:$A,0)))</f>
        <v/>
      </c>
      <c r="AE920" s="31" t="str">
        <f t="array" ref="AE920">IF($X920="","",INDEX(TARIFF_PROFILES!$K:$K,MATCH($X920,TARIFF_PROFILES!$A:$A,0)))</f>
        <v/>
      </c>
      <c r="AG920" s="8"/>
      <c r="AH920" s="8" t="str">
        <f>IF($AG920="","",SUMIFS(OPERATING_COEFFS!$C:$C,OPERATING_COEFFS!$A:$A,"DistanceClass",OPERATING_COEFFS!$B:$B,$AG920))</f>
        <v/>
      </c>
      <c r="AI920" s="8"/>
      <c r="AJ920" s="8" t="str">
        <f>IF($AI920="","",SUMIFS(OPERATING_COEFFS!$C:$C,OPERATING_COEFFS!$A:$A,"SeasonClass",OPERATING_COEFFS!$B:$B,$AI920))</f>
        <v/>
      </c>
      <c r="AK920" s="8"/>
      <c r="AL920" s="8" t="str">
        <f>IF($AK920="","",SUMIFS(OPERATING_COEFFS!$C:$C,OPERATING_COEFFS!$A:$A,"UrgencyClass",OPERATING_COEFFS!$B:$B,$AK920))</f>
        <v/>
      </c>
      <c r="AM920" s="8"/>
      <c r="AN920" s="8" t="str">
        <f t="array" ref="AN920">IF($AM920="","",INDEX(TAX_MODES!$B:$B,MATCH($AM920,TAX_MODES!$A:$A,0)))</f>
        <v/>
      </c>
    </row>
    <row r="921" ht="14.25" customHeight="1">
      <c r="C921" s="8"/>
      <c r="E921" s="8"/>
      <c r="G921" s="8"/>
      <c r="I921" s="8"/>
      <c r="K921" s="8"/>
      <c r="M921" s="8"/>
      <c r="O921" s="8"/>
      <c r="Q921" s="8"/>
      <c r="S921" s="8"/>
      <c r="V921" s="8"/>
      <c r="X921" s="31"/>
      <c r="Y921" s="31" t="str">
        <f>IF($X921="","",SUMIFS(TARIFF_PROFILES!$D:$D,TARIFF_PROFILES!$A:$A,$X921))</f>
        <v/>
      </c>
      <c r="Z921" s="31" t="str">
        <f>IF($X921="","",SUMIFS(TARIFF_PROFILES!$E:$E,TARIFF_PROFILES!$A:$A,$X921))</f>
        <v/>
      </c>
      <c r="AA921" s="31" t="str">
        <f>IF($X921="","",SUMIFS(TARIFF_PROFILES!$F:$F,TARIFF_PROFILES!$A:$A,$X921))</f>
        <v/>
      </c>
      <c r="AB921" s="31" t="str">
        <f>IF($X921="","",SUMIFS(TARIFF_PROFILES!$G:$G,TARIFF_PROFILES!$A:$A,$X921))</f>
        <v/>
      </c>
      <c r="AC921" s="31" t="str">
        <f>IF($X921="","",SUMIFS(TARIFF_PROFILES!$H:$H,TARIFF_PROFILES!$A:$A,$X921))</f>
        <v/>
      </c>
      <c r="AD921" s="31" t="str">
        <f t="array" ref="AD921">IF($X921="","",INDEX(TARIFF_PROFILES!$J:$J,MATCH($X921,TARIFF_PROFILES!$A:$A,0)))</f>
        <v/>
      </c>
      <c r="AE921" s="31" t="str">
        <f t="array" ref="AE921">IF($X921="","",INDEX(TARIFF_PROFILES!$K:$K,MATCH($X921,TARIFF_PROFILES!$A:$A,0)))</f>
        <v/>
      </c>
      <c r="AG921" s="8"/>
      <c r="AH921" s="8" t="str">
        <f>IF($AG921="","",SUMIFS(OPERATING_COEFFS!$C:$C,OPERATING_COEFFS!$A:$A,"DistanceClass",OPERATING_COEFFS!$B:$B,$AG921))</f>
        <v/>
      </c>
      <c r="AI921" s="8"/>
      <c r="AJ921" s="8" t="str">
        <f>IF($AI921="","",SUMIFS(OPERATING_COEFFS!$C:$C,OPERATING_COEFFS!$A:$A,"SeasonClass",OPERATING_COEFFS!$B:$B,$AI921))</f>
        <v/>
      </c>
      <c r="AK921" s="8"/>
      <c r="AL921" s="8" t="str">
        <f>IF($AK921="","",SUMIFS(OPERATING_COEFFS!$C:$C,OPERATING_COEFFS!$A:$A,"UrgencyClass",OPERATING_COEFFS!$B:$B,$AK921))</f>
        <v/>
      </c>
      <c r="AM921" s="8"/>
      <c r="AN921" s="8" t="str">
        <f t="array" ref="AN921">IF($AM921="","",INDEX(TAX_MODES!$B:$B,MATCH($AM921,TAX_MODES!$A:$A,0)))</f>
        <v/>
      </c>
    </row>
    <row r="922" ht="14.25" customHeight="1">
      <c r="C922" s="8"/>
      <c r="E922" s="8"/>
      <c r="G922" s="8"/>
      <c r="I922" s="8"/>
      <c r="K922" s="8"/>
      <c r="M922" s="8"/>
      <c r="O922" s="8"/>
      <c r="Q922" s="8"/>
      <c r="S922" s="8"/>
      <c r="V922" s="8"/>
      <c r="X922" s="31"/>
      <c r="Y922" s="31" t="str">
        <f>IF($X922="","",SUMIFS(TARIFF_PROFILES!$D:$D,TARIFF_PROFILES!$A:$A,$X922))</f>
        <v/>
      </c>
      <c r="Z922" s="31" t="str">
        <f>IF($X922="","",SUMIFS(TARIFF_PROFILES!$E:$E,TARIFF_PROFILES!$A:$A,$X922))</f>
        <v/>
      </c>
      <c r="AA922" s="31" t="str">
        <f>IF($X922="","",SUMIFS(TARIFF_PROFILES!$F:$F,TARIFF_PROFILES!$A:$A,$X922))</f>
        <v/>
      </c>
      <c r="AB922" s="31" t="str">
        <f>IF($X922="","",SUMIFS(TARIFF_PROFILES!$G:$G,TARIFF_PROFILES!$A:$A,$X922))</f>
        <v/>
      </c>
      <c r="AC922" s="31" t="str">
        <f>IF($X922="","",SUMIFS(TARIFF_PROFILES!$H:$H,TARIFF_PROFILES!$A:$A,$X922))</f>
        <v/>
      </c>
      <c r="AD922" s="31" t="str">
        <f t="array" ref="AD922">IF($X922="","",INDEX(TARIFF_PROFILES!$J:$J,MATCH($X922,TARIFF_PROFILES!$A:$A,0)))</f>
        <v/>
      </c>
      <c r="AE922" s="31" t="str">
        <f t="array" ref="AE922">IF($X922="","",INDEX(TARIFF_PROFILES!$K:$K,MATCH($X922,TARIFF_PROFILES!$A:$A,0)))</f>
        <v/>
      </c>
      <c r="AG922" s="8"/>
      <c r="AH922" s="8" t="str">
        <f>IF($AG922="","",SUMIFS(OPERATING_COEFFS!$C:$C,OPERATING_COEFFS!$A:$A,"DistanceClass",OPERATING_COEFFS!$B:$B,$AG922))</f>
        <v/>
      </c>
      <c r="AI922" s="8"/>
      <c r="AJ922" s="8" t="str">
        <f>IF($AI922="","",SUMIFS(OPERATING_COEFFS!$C:$C,OPERATING_COEFFS!$A:$A,"SeasonClass",OPERATING_COEFFS!$B:$B,$AI922))</f>
        <v/>
      </c>
      <c r="AK922" s="8"/>
      <c r="AL922" s="8" t="str">
        <f>IF($AK922="","",SUMIFS(OPERATING_COEFFS!$C:$C,OPERATING_COEFFS!$A:$A,"UrgencyClass",OPERATING_COEFFS!$B:$B,$AK922))</f>
        <v/>
      </c>
      <c r="AM922" s="8"/>
      <c r="AN922" s="8" t="str">
        <f t="array" ref="AN922">IF($AM922="","",INDEX(TAX_MODES!$B:$B,MATCH($AM922,TAX_MODES!$A:$A,0)))</f>
        <v/>
      </c>
    </row>
    <row r="923" ht="14.25" customHeight="1">
      <c r="C923" s="8"/>
      <c r="E923" s="8"/>
      <c r="G923" s="8"/>
      <c r="I923" s="8"/>
      <c r="K923" s="8"/>
      <c r="M923" s="8"/>
      <c r="O923" s="8"/>
      <c r="Q923" s="8"/>
      <c r="S923" s="8"/>
      <c r="V923" s="8"/>
      <c r="X923" s="31"/>
      <c r="Y923" s="31" t="str">
        <f>IF($X923="","",SUMIFS(TARIFF_PROFILES!$D:$D,TARIFF_PROFILES!$A:$A,$X923))</f>
        <v/>
      </c>
      <c r="Z923" s="31" t="str">
        <f>IF($X923="","",SUMIFS(TARIFF_PROFILES!$E:$E,TARIFF_PROFILES!$A:$A,$X923))</f>
        <v/>
      </c>
      <c r="AA923" s="31" t="str">
        <f>IF($X923="","",SUMIFS(TARIFF_PROFILES!$F:$F,TARIFF_PROFILES!$A:$A,$X923))</f>
        <v/>
      </c>
      <c r="AB923" s="31" t="str">
        <f>IF($X923="","",SUMIFS(TARIFF_PROFILES!$G:$G,TARIFF_PROFILES!$A:$A,$X923))</f>
        <v/>
      </c>
      <c r="AC923" s="31" t="str">
        <f>IF($X923="","",SUMIFS(TARIFF_PROFILES!$H:$H,TARIFF_PROFILES!$A:$A,$X923))</f>
        <v/>
      </c>
      <c r="AD923" s="31" t="str">
        <f t="array" ref="AD923">IF($X923="","",INDEX(TARIFF_PROFILES!$J:$J,MATCH($X923,TARIFF_PROFILES!$A:$A,0)))</f>
        <v/>
      </c>
      <c r="AE923" s="31" t="str">
        <f t="array" ref="AE923">IF($X923="","",INDEX(TARIFF_PROFILES!$K:$K,MATCH($X923,TARIFF_PROFILES!$A:$A,0)))</f>
        <v/>
      </c>
      <c r="AG923" s="8"/>
      <c r="AH923" s="8" t="str">
        <f>IF($AG923="","",SUMIFS(OPERATING_COEFFS!$C:$C,OPERATING_COEFFS!$A:$A,"DistanceClass",OPERATING_COEFFS!$B:$B,$AG923))</f>
        <v/>
      </c>
      <c r="AI923" s="8"/>
      <c r="AJ923" s="8" t="str">
        <f>IF($AI923="","",SUMIFS(OPERATING_COEFFS!$C:$C,OPERATING_COEFFS!$A:$A,"SeasonClass",OPERATING_COEFFS!$B:$B,$AI923))</f>
        <v/>
      </c>
      <c r="AK923" s="8"/>
      <c r="AL923" s="8" t="str">
        <f>IF($AK923="","",SUMIFS(OPERATING_COEFFS!$C:$C,OPERATING_COEFFS!$A:$A,"UrgencyClass",OPERATING_COEFFS!$B:$B,$AK923))</f>
        <v/>
      </c>
      <c r="AM923" s="8"/>
      <c r="AN923" s="8" t="str">
        <f t="array" ref="AN923">IF($AM923="","",INDEX(TAX_MODES!$B:$B,MATCH($AM923,TAX_MODES!$A:$A,0)))</f>
        <v/>
      </c>
    </row>
    <row r="924" ht="14.25" customHeight="1">
      <c r="C924" s="8"/>
      <c r="E924" s="8"/>
      <c r="G924" s="8"/>
      <c r="I924" s="8"/>
      <c r="K924" s="8"/>
      <c r="M924" s="8"/>
      <c r="O924" s="8"/>
      <c r="Q924" s="8"/>
      <c r="S924" s="8"/>
      <c r="V924" s="8"/>
      <c r="X924" s="31"/>
      <c r="Y924" s="31" t="str">
        <f>IF($X924="","",SUMIFS(TARIFF_PROFILES!$D:$D,TARIFF_PROFILES!$A:$A,$X924))</f>
        <v/>
      </c>
      <c r="Z924" s="31" t="str">
        <f>IF($X924="","",SUMIFS(TARIFF_PROFILES!$E:$E,TARIFF_PROFILES!$A:$A,$X924))</f>
        <v/>
      </c>
      <c r="AA924" s="31" t="str">
        <f>IF($X924="","",SUMIFS(TARIFF_PROFILES!$F:$F,TARIFF_PROFILES!$A:$A,$X924))</f>
        <v/>
      </c>
      <c r="AB924" s="31" t="str">
        <f>IF($X924="","",SUMIFS(TARIFF_PROFILES!$G:$G,TARIFF_PROFILES!$A:$A,$X924))</f>
        <v/>
      </c>
      <c r="AC924" s="31" t="str">
        <f>IF($X924="","",SUMIFS(TARIFF_PROFILES!$H:$H,TARIFF_PROFILES!$A:$A,$X924))</f>
        <v/>
      </c>
      <c r="AD924" s="31" t="str">
        <f t="array" ref="AD924">IF($X924="","",INDEX(TARIFF_PROFILES!$J:$J,MATCH($X924,TARIFF_PROFILES!$A:$A,0)))</f>
        <v/>
      </c>
      <c r="AE924" s="31" t="str">
        <f t="array" ref="AE924">IF($X924="","",INDEX(TARIFF_PROFILES!$K:$K,MATCH($X924,TARIFF_PROFILES!$A:$A,0)))</f>
        <v/>
      </c>
      <c r="AG924" s="8"/>
      <c r="AH924" s="8" t="str">
        <f>IF($AG924="","",SUMIFS(OPERATING_COEFFS!$C:$C,OPERATING_COEFFS!$A:$A,"DistanceClass",OPERATING_COEFFS!$B:$B,$AG924))</f>
        <v/>
      </c>
      <c r="AI924" s="8"/>
      <c r="AJ924" s="8" t="str">
        <f>IF($AI924="","",SUMIFS(OPERATING_COEFFS!$C:$C,OPERATING_COEFFS!$A:$A,"SeasonClass",OPERATING_COEFFS!$B:$B,$AI924))</f>
        <v/>
      </c>
      <c r="AK924" s="8"/>
      <c r="AL924" s="8" t="str">
        <f>IF($AK924="","",SUMIFS(OPERATING_COEFFS!$C:$C,OPERATING_COEFFS!$A:$A,"UrgencyClass",OPERATING_COEFFS!$B:$B,$AK924))</f>
        <v/>
      </c>
      <c r="AM924" s="8"/>
      <c r="AN924" s="8" t="str">
        <f t="array" ref="AN924">IF($AM924="","",INDEX(TAX_MODES!$B:$B,MATCH($AM924,TAX_MODES!$A:$A,0)))</f>
        <v/>
      </c>
    </row>
    <row r="925" ht="14.25" customHeight="1">
      <c r="C925" s="8"/>
      <c r="E925" s="8"/>
      <c r="G925" s="8"/>
      <c r="I925" s="8"/>
      <c r="K925" s="8"/>
      <c r="M925" s="8"/>
      <c r="O925" s="8"/>
      <c r="Q925" s="8"/>
      <c r="S925" s="8"/>
      <c r="V925" s="8"/>
      <c r="X925" s="31"/>
      <c r="Y925" s="31" t="str">
        <f>IF($X925="","",SUMIFS(TARIFF_PROFILES!$D:$D,TARIFF_PROFILES!$A:$A,$X925))</f>
        <v/>
      </c>
      <c r="Z925" s="31" t="str">
        <f>IF($X925="","",SUMIFS(TARIFF_PROFILES!$E:$E,TARIFF_PROFILES!$A:$A,$X925))</f>
        <v/>
      </c>
      <c r="AA925" s="31" t="str">
        <f>IF($X925="","",SUMIFS(TARIFF_PROFILES!$F:$F,TARIFF_PROFILES!$A:$A,$X925))</f>
        <v/>
      </c>
      <c r="AB925" s="31" t="str">
        <f>IF($X925="","",SUMIFS(TARIFF_PROFILES!$G:$G,TARIFF_PROFILES!$A:$A,$X925))</f>
        <v/>
      </c>
      <c r="AC925" s="31" t="str">
        <f>IF($X925="","",SUMIFS(TARIFF_PROFILES!$H:$H,TARIFF_PROFILES!$A:$A,$X925))</f>
        <v/>
      </c>
      <c r="AD925" s="31" t="str">
        <f t="array" ref="AD925">IF($X925="","",INDEX(TARIFF_PROFILES!$J:$J,MATCH($X925,TARIFF_PROFILES!$A:$A,0)))</f>
        <v/>
      </c>
      <c r="AE925" s="31" t="str">
        <f t="array" ref="AE925">IF($X925="","",INDEX(TARIFF_PROFILES!$K:$K,MATCH($X925,TARIFF_PROFILES!$A:$A,0)))</f>
        <v/>
      </c>
      <c r="AG925" s="8"/>
      <c r="AH925" s="8" t="str">
        <f>IF($AG925="","",SUMIFS(OPERATING_COEFFS!$C:$C,OPERATING_COEFFS!$A:$A,"DistanceClass",OPERATING_COEFFS!$B:$B,$AG925))</f>
        <v/>
      </c>
      <c r="AI925" s="8"/>
      <c r="AJ925" s="8" t="str">
        <f>IF($AI925="","",SUMIFS(OPERATING_COEFFS!$C:$C,OPERATING_COEFFS!$A:$A,"SeasonClass",OPERATING_COEFFS!$B:$B,$AI925))</f>
        <v/>
      </c>
      <c r="AK925" s="8"/>
      <c r="AL925" s="8" t="str">
        <f>IF($AK925="","",SUMIFS(OPERATING_COEFFS!$C:$C,OPERATING_COEFFS!$A:$A,"UrgencyClass",OPERATING_COEFFS!$B:$B,$AK925))</f>
        <v/>
      </c>
      <c r="AM925" s="8"/>
      <c r="AN925" s="8" t="str">
        <f t="array" ref="AN925">IF($AM925="","",INDEX(TAX_MODES!$B:$B,MATCH($AM925,TAX_MODES!$A:$A,0)))</f>
        <v/>
      </c>
    </row>
    <row r="926" ht="14.25" customHeight="1">
      <c r="C926" s="8"/>
      <c r="E926" s="8"/>
      <c r="G926" s="8"/>
      <c r="I926" s="8"/>
      <c r="K926" s="8"/>
      <c r="M926" s="8"/>
      <c r="O926" s="8"/>
      <c r="Q926" s="8"/>
      <c r="S926" s="8"/>
      <c r="V926" s="8"/>
      <c r="X926" s="31"/>
      <c r="Y926" s="31" t="str">
        <f>IF($X926="","",SUMIFS(TARIFF_PROFILES!$D:$D,TARIFF_PROFILES!$A:$A,$X926))</f>
        <v/>
      </c>
      <c r="Z926" s="31" t="str">
        <f>IF($X926="","",SUMIFS(TARIFF_PROFILES!$E:$E,TARIFF_PROFILES!$A:$A,$X926))</f>
        <v/>
      </c>
      <c r="AA926" s="31" t="str">
        <f>IF($X926="","",SUMIFS(TARIFF_PROFILES!$F:$F,TARIFF_PROFILES!$A:$A,$X926))</f>
        <v/>
      </c>
      <c r="AB926" s="31" t="str">
        <f>IF($X926="","",SUMIFS(TARIFF_PROFILES!$G:$G,TARIFF_PROFILES!$A:$A,$X926))</f>
        <v/>
      </c>
      <c r="AC926" s="31" t="str">
        <f>IF($X926="","",SUMIFS(TARIFF_PROFILES!$H:$H,TARIFF_PROFILES!$A:$A,$X926))</f>
        <v/>
      </c>
      <c r="AD926" s="31" t="str">
        <f t="array" ref="AD926">IF($X926="","",INDEX(TARIFF_PROFILES!$J:$J,MATCH($X926,TARIFF_PROFILES!$A:$A,0)))</f>
        <v/>
      </c>
      <c r="AE926" s="31" t="str">
        <f t="array" ref="AE926">IF($X926="","",INDEX(TARIFF_PROFILES!$K:$K,MATCH($X926,TARIFF_PROFILES!$A:$A,0)))</f>
        <v/>
      </c>
      <c r="AG926" s="8"/>
      <c r="AH926" s="8" t="str">
        <f>IF($AG926="","",SUMIFS(OPERATING_COEFFS!$C:$C,OPERATING_COEFFS!$A:$A,"DistanceClass",OPERATING_COEFFS!$B:$B,$AG926))</f>
        <v/>
      </c>
      <c r="AI926" s="8"/>
      <c r="AJ926" s="8" t="str">
        <f>IF($AI926="","",SUMIFS(OPERATING_COEFFS!$C:$C,OPERATING_COEFFS!$A:$A,"SeasonClass",OPERATING_COEFFS!$B:$B,$AI926))</f>
        <v/>
      </c>
      <c r="AK926" s="8"/>
      <c r="AL926" s="8" t="str">
        <f>IF($AK926="","",SUMIFS(OPERATING_COEFFS!$C:$C,OPERATING_COEFFS!$A:$A,"UrgencyClass",OPERATING_COEFFS!$B:$B,$AK926))</f>
        <v/>
      </c>
      <c r="AM926" s="8"/>
      <c r="AN926" s="8" t="str">
        <f t="array" ref="AN926">IF($AM926="","",INDEX(TAX_MODES!$B:$B,MATCH($AM926,TAX_MODES!$A:$A,0)))</f>
        <v/>
      </c>
    </row>
    <row r="927" ht="14.25" customHeight="1">
      <c r="C927" s="8"/>
      <c r="E927" s="8"/>
      <c r="G927" s="8"/>
      <c r="I927" s="8"/>
      <c r="K927" s="8"/>
      <c r="M927" s="8"/>
      <c r="O927" s="8"/>
      <c r="Q927" s="8"/>
      <c r="S927" s="8"/>
      <c r="V927" s="8"/>
      <c r="X927" s="31"/>
      <c r="Y927" s="31" t="str">
        <f>IF($X927="","",SUMIFS(TARIFF_PROFILES!$D:$D,TARIFF_PROFILES!$A:$A,$X927))</f>
        <v/>
      </c>
      <c r="Z927" s="31" t="str">
        <f>IF($X927="","",SUMIFS(TARIFF_PROFILES!$E:$E,TARIFF_PROFILES!$A:$A,$X927))</f>
        <v/>
      </c>
      <c r="AA927" s="31" t="str">
        <f>IF($X927="","",SUMIFS(TARIFF_PROFILES!$F:$F,TARIFF_PROFILES!$A:$A,$X927))</f>
        <v/>
      </c>
      <c r="AB927" s="31" t="str">
        <f>IF($X927="","",SUMIFS(TARIFF_PROFILES!$G:$G,TARIFF_PROFILES!$A:$A,$X927))</f>
        <v/>
      </c>
      <c r="AC927" s="31" t="str">
        <f>IF($X927="","",SUMIFS(TARIFF_PROFILES!$H:$H,TARIFF_PROFILES!$A:$A,$X927))</f>
        <v/>
      </c>
      <c r="AD927" s="31" t="str">
        <f t="array" ref="AD927">IF($X927="","",INDEX(TARIFF_PROFILES!$J:$J,MATCH($X927,TARIFF_PROFILES!$A:$A,0)))</f>
        <v/>
      </c>
      <c r="AE927" s="31" t="str">
        <f t="array" ref="AE927">IF($X927="","",INDEX(TARIFF_PROFILES!$K:$K,MATCH($X927,TARIFF_PROFILES!$A:$A,0)))</f>
        <v/>
      </c>
      <c r="AG927" s="8"/>
      <c r="AH927" s="8" t="str">
        <f>IF($AG927="","",SUMIFS(OPERATING_COEFFS!$C:$C,OPERATING_COEFFS!$A:$A,"DistanceClass",OPERATING_COEFFS!$B:$B,$AG927))</f>
        <v/>
      </c>
      <c r="AI927" s="8"/>
      <c r="AJ927" s="8" t="str">
        <f>IF($AI927="","",SUMIFS(OPERATING_COEFFS!$C:$C,OPERATING_COEFFS!$A:$A,"SeasonClass",OPERATING_COEFFS!$B:$B,$AI927))</f>
        <v/>
      </c>
      <c r="AK927" s="8"/>
      <c r="AL927" s="8" t="str">
        <f>IF($AK927="","",SUMIFS(OPERATING_COEFFS!$C:$C,OPERATING_COEFFS!$A:$A,"UrgencyClass",OPERATING_COEFFS!$B:$B,$AK927))</f>
        <v/>
      </c>
      <c r="AM927" s="8"/>
      <c r="AN927" s="8" t="str">
        <f t="array" ref="AN927">IF($AM927="","",INDEX(TAX_MODES!$B:$B,MATCH($AM927,TAX_MODES!$A:$A,0)))</f>
        <v/>
      </c>
    </row>
    <row r="928" ht="14.25" customHeight="1">
      <c r="C928" s="8"/>
      <c r="E928" s="8"/>
      <c r="G928" s="8"/>
      <c r="I928" s="8"/>
      <c r="K928" s="8"/>
      <c r="M928" s="8"/>
      <c r="O928" s="8"/>
      <c r="Q928" s="8"/>
      <c r="S928" s="8"/>
      <c r="V928" s="8"/>
      <c r="X928" s="31"/>
      <c r="Y928" s="31" t="str">
        <f>IF($X928="","",SUMIFS(TARIFF_PROFILES!$D:$D,TARIFF_PROFILES!$A:$A,$X928))</f>
        <v/>
      </c>
      <c r="Z928" s="31" t="str">
        <f>IF($X928="","",SUMIFS(TARIFF_PROFILES!$E:$E,TARIFF_PROFILES!$A:$A,$X928))</f>
        <v/>
      </c>
      <c r="AA928" s="31" t="str">
        <f>IF($X928="","",SUMIFS(TARIFF_PROFILES!$F:$F,TARIFF_PROFILES!$A:$A,$X928))</f>
        <v/>
      </c>
      <c r="AB928" s="31" t="str">
        <f>IF($X928="","",SUMIFS(TARIFF_PROFILES!$G:$G,TARIFF_PROFILES!$A:$A,$X928))</f>
        <v/>
      </c>
      <c r="AC928" s="31" t="str">
        <f>IF($X928="","",SUMIFS(TARIFF_PROFILES!$H:$H,TARIFF_PROFILES!$A:$A,$X928))</f>
        <v/>
      </c>
      <c r="AD928" s="31" t="str">
        <f t="array" ref="AD928">IF($X928="","",INDEX(TARIFF_PROFILES!$J:$J,MATCH($X928,TARIFF_PROFILES!$A:$A,0)))</f>
        <v/>
      </c>
      <c r="AE928" s="31" t="str">
        <f t="array" ref="AE928">IF($X928="","",INDEX(TARIFF_PROFILES!$K:$K,MATCH($X928,TARIFF_PROFILES!$A:$A,0)))</f>
        <v/>
      </c>
      <c r="AG928" s="8"/>
      <c r="AH928" s="8" t="str">
        <f>IF($AG928="","",SUMIFS(OPERATING_COEFFS!$C:$C,OPERATING_COEFFS!$A:$A,"DistanceClass",OPERATING_COEFFS!$B:$B,$AG928))</f>
        <v/>
      </c>
      <c r="AI928" s="8"/>
      <c r="AJ928" s="8" t="str">
        <f>IF($AI928="","",SUMIFS(OPERATING_COEFFS!$C:$C,OPERATING_COEFFS!$A:$A,"SeasonClass",OPERATING_COEFFS!$B:$B,$AI928))</f>
        <v/>
      </c>
      <c r="AK928" s="8"/>
      <c r="AL928" s="8" t="str">
        <f>IF($AK928="","",SUMIFS(OPERATING_COEFFS!$C:$C,OPERATING_COEFFS!$A:$A,"UrgencyClass",OPERATING_COEFFS!$B:$B,$AK928))</f>
        <v/>
      </c>
      <c r="AM928" s="8"/>
      <c r="AN928" s="8" t="str">
        <f t="array" ref="AN928">IF($AM928="","",INDEX(TAX_MODES!$B:$B,MATCH($AM928,TAX_MODES!$A:$A,0)))</f>
        <v/>
      </c>
    </row>
    <row r="929" ht="14.25" customHeight="1">
      <c r="C929" s="8"/>
      <c r="E929" s="8"/>
      <c r="G929" s="8"/>
      <c r="I929" s="8"/>
      <c r="K929" s="8"/>
      <c r="M929" s="8"/>
      <c r="O929" s="8"/>
      <c r="Q929" s="8"/>
      <c r="S929" s="8"/>
      <c r="V929" s="8"/>
      <c r="X929" s="31"/>
      <c r="Y929" s="31" t="str">
        <f>IF($X929="","",SUMIFS(TARIFF_PROFILES!$D:$D,TARIFF_PROFILES!$A:$A,$X929))</f>
        <v/>
      </c>
      <c r="Z929" s="31" t="str">
        <f>IF($X929="","",SUMIFS(TARIFF_PROFILES!$E:$E,TARIFF_PROFILES!$A:$A,$X929))</f>
        <v/>
      </c>
      <c r="AA929" s="31" t="str">
        <f>IF($X929="","",SUMIFS(TARIFF_PROFILES!$F:$F,TARIFF_PROFILES!$A:$A,$X929))</f>
        <v/>
      </c>
      <c r="AB929" s="31" t="str">
        <f>IF($X929="","",SUMIFS(TARIFF_PROFILES!$G:$G,TARIFF_PROFILES!$A:$A,$X929))</f>
        <v/>
      </c>
      <c r="AC929" s="31" t="str">
        <f>IF($X929="","",SUMIFS(TARIFF_PROFILES!$H:$H,TARIFF_PROFILES!$A:$A,$X929))</f>
        <v/>
      </c>
      <c r="AD929" s="31" t="str">
        <f t="array" ref="AD929">IF($X929="","",INDEX(TARIFF_PROFILES!$J:$J,MATCH($X929,TARIFF_PROFILES!$A:$A,0)))</f>
        <v/>
      </c>
      <c r="AE929" s="31" t="str">
        <f t="array" ref="AE929">IF($X929="","",INDEX(TARIFF_PROFILES!$K:$K,MATCH($X929,TARIFF_PROFILES!$A:$A,0)))</f>
        <v/>
      </c>
      <c r="AG929" s="8"/>
      <c r="AH929" s="8" t="str">
        <f>IF($AG929="","",SUMIFS(OPERATING_COEFFS!$C:$C,OPERATING_COEFFS!$A:$A,"DistanceClass",OPERATING_COEFFS!$B:$B,$AG929))</f>
        <v/>
      </c>
      <c r="AI929" s="8"/>
      <c r="AJ929" s="8" t="str">
        <f>IF($AI929="","",SUMIFS(OPERATING_COEFFS!$C:$C,OPERATING_COEFFS!$A:$A,"SeasonClass",OPERATING_COEFFS!$B:$B,$AI929))</f>
        <v/>
      </c>
      <c r="AK929" s="8"/>
      <c r="AL929" s="8" t="str">
        <f>IF($AK929="","",SUMIFS(OPERATING_COEFFS!$C:$C,OPERATING_COEFFS!$A:$A,"UrgencyClass",OPERATING_COEFFS!$B:$B,$AK929))</f>
        <v/>
      </c>
      <c r="AM929" s="8"/>
      <c r="AN929" s="8" t="str">
        <f t="array" ref="AN929">IF($AM929="","",INDEX(TAX_MODES!$B:$B,MATCH($AM929,TAX_MODES!$A:$A,0)))</f>
        <v/>
      </c>
    </row>
    <row r="930" ht="14.25" customHeight="1">
      <c r="C930" s="8"/>
      <c r="E930" s="8"/>
      <c r="G930" s="8"/>
      <c r="I930" s="8"/>
      <c r="K930" s="8"/>
      <c r="M930" s="8"/>
      <c r="O930" s="8"/>
      <c r="Q930" s="8"/>
      <c r="S930" s="8"/>
      <c r="V930" s="8"/>
      <c r="X930" s="31"/>
      <c r="Y930" s="31" t="str">
        <f>IF($X930="","",SUMIFS(TARIFF_PROFILES!$D:$D,TARIFF_PROFILES!$A:$A,$X930))</f>
        <v/>
      </c>
      <c r="Z930" s="31" t="str">
        <f>IF($X930="","",SUMIFS(TARIFF_PROFILES!$E:$E,TARIFF_PROFILES!$A:$A,$X930))</f>
        <v/>
      </c>
      <c r="AA930" s="31" t="str">
        <f>IF($X930="","",SUMIFS(TARIFF_PROFILES!$F:$F,TARIFF_PROFILES!$A:$A,$X930))</f>
        <v/>
      </c>
      <c r="AB930" s="31" t="str">
        <f>IF($X930="","",SUMIFS(TARIFF_PROFILES!$G:$G,TARIFF_PROFILES!$A:$A,$X930))</f>
        <v/>
      </c>
      <c r="AC930" s="31" t="str">
        <f>IF($X930="","",SUMIFS(TARIFF_PROFILES!$H:$H,TARIFF_PROFILES!$A:$A,$X930))</f>
        <v/>
      </c>
      <c r="AD930" s="31" t="str">
        <f t="array" ref="AD930">IF($X930="","",INDEX(TARIFF_PROFILES!$J:$J,MATCH($X930,TARIFF_PROFILES!$A:$A,0)))</f>
        <v/>
      </c>
      <c r="AE930" s="31" t="str">
        <f t="array" ref="AE930">IF($X930="","",INDEX(TARIFF_PROFILES!$K:$K,MATCH($X930,TARIFF_PROFILES!$A:$A,0)))</f>
        <v/>
      </c>
      <c r="AG930" s="8"/>
      <c r="AH930" s="8" t="str">
        <f>IF($AG930="","",SUMIFS(OPERATING_COEFFS!$C:$C,OPERATING_COEFFS!$A:$A,"DistanceClass",OPERATING_COEFFS!$B:$B,$AG930))</f>
        <v/>
      </c>
      <c r="AI930" s="8"/>
      <c r="AJ930" s="8" t="str">
        <f>IF($AI930="","",SUMIFS(OPERATING_COEFFS!$C:$C,OPERATING_COEFFS!$A:$A,"SeasonClass",OPERATING_COEFFS!$B:$B,$AI930))</f>
        <v/>
      </c>
      <c r="AK930" s="8"/>
      <c r="AL930" s="8" t="str">
        <f>IF($AK930="","",SUMIFS(OPERATING_COEFFS!$C:$C,OPERATING_COEFFS!$A:$A,"UrgencyClass",OPERATING_COEFFS!$B:$B,$AK930))</f>
        <v/>
      </c>
      <c r="AM930" s="8"/>
      <c r="AN930" s="8" t="str">
        <f t="array" ref="AN930">IF($AM930="","",INDEX(TAX_MODES!$B:$B,MATCH($AM930,TAX_MODES!$A:$A,0)))</f>
        <v/>
      </c>
    </row>
    <row r="931" ht="14.25" customHeight="1">
      <c r="C931" s="8"/>
      <c r="E931" s="8"/>
      <c r="G931" s="8"/>
      <c r="I931" s="8"/>
      <c r="K931" s="8"/>
      <c r="M931" s="8"/>
      <c r="O931" s="8"/>
      <c r="Q931" s="8"/>
      <c r="S931" s="8"/>
      <c r="V931" s="8"/>
      <c r="X931" s="31"/>
      <c r="Y931" s="31" t="str">
        <f>IF($X931="","",SUMIFS(TARIFF_PROFILES!$D:$D,TARIFF_PROFILES!$A:$A,$X931))</f>
        <v/>
      </c>
      <c r="Z931" s="31" t="str">
        <f>IF($X931="","",SUMIFS(TARIFF_PROFILES!$E:$E,TARIFF_PROFILES!$A:$A,$X931))</f>
        <v/>
      </c>
      <c r="AA931" s="31" t="str">
        <f>IF($X931="","",SUMIFS(TARIFF_PROFILES!$F:$F,TARIFF_PROFILES!$A:$A,$X931))</f>
        <v/>
      </c>
      <c r="AB931" s="31" t="str">
        <f>IF($X931="","",SUMIFS(TARIFF_PROFILES!$G:$G,TARIFF_PROFILES!$A:$A,$X931))</f>
        <v/>
      </c>
      <c r="AC931" s="31" t="str">
        <f>IF($X931="","",SUMIFS(TARIFF_PROFILES!$H:$H,TARIFF_PROFILES!$A:$A,$X931))</f>
        <v/>
      </c>
      <c r="AD931" s="31" t="str">
        <f t="array" ref="AD931">IF($X931="","",INDEX(TARIFF_PROFILES!$J:$J,MATCH($X931,TARIFF_PROFILES!$A:$A,0)))</f>
        <v/>
      </c>
      <c r="AE931" s="31" t="str">
        <f t="array" ref="AE931">IF($X931="","",INDEX(TARIFF_PROFILES!$K:$K,MATCH($X931,TARIFF_PROFILES!$A:$A,0)))</f>
        <v/>
      </c>
      <c r="AG931" s="8"/>
      <c r="AH931" s="8" t="str">
        <f>IF($AG931="","",SUMIFS(OPERATING_COEFFS!$C:$C,OPERATING_COEFFS!$A:$A,"DistanceClass",OPERATING_COEFFS!$B:$B,$AG931))</f>
        <v/>
      </c>
      <c r="AI931" s="8"/>
      <c r="AJ931" s="8" t="str">
        <f>IF($AI931="","",SUMIFS(OPERATING_COEFFS!$C:$C,OPERATING_COEFFS!$A:$A,"SeasonClass",OPERATING_COEFFS!$B:$B,$AI931))</f>
        <v/>
      </c>
      <c r="AK931" s="8"/>
      <c r="AL931" s="8" t="str">
        <f>IF($AK931="","",SUMIFS(OPERATING_COEFFS!$C:$C,OPERATING_COEFFS!$A:$A,"UrgencyClass",OPERATING_COEFFS!$B:$B,$AK931))</f>
        <v/>
      </c>
      <c r="AM931" s="8"/>
      <c r="AN931" s="8" t="str">
        <f t="array" ref="AN931">IF($AM931="","",INDEX(TAX_MODES!$B:$B,MATCH($AM931,TAX_MODES!$A:$A,0)))</f>
        <v/>
      </c>
    </row>
    <row r="932" ht="14.25" customHeight="1">
      <c r="C932" s="8"/>
      <c r="E932" s="8"/>
      <c r="G932" s="8"/>
      <c r="I932" s="8"/>
      <c r="K932" s="8"/>
      <c r="M932" s="8"/>
      <c r="O932" s="8"/>
      <c r="Q932" s="8"/>
      <c r="S932" s="8"/>
      <c r="V932" s="8"/>
      <c r="X932" s="31"/>
      <c r="Y932" s="31" t="str">
        <f>IF($X932="","",SUMIFS(TARIFF_PROFILES!$D:$D,TARIFF_PROFILES!$A:$A,$X932))</f>
        <v/>
      </c>
      <c r="Z932" s="31" t="str">
        <f>IF($X932="","",SUMIFS(TARIFF_PROFILES!$E:$E,TARIFF_PROFILES!$A:$A,$X932))</f>
        <v/>
      </c>
      <c r="AA932" s="31" t="str">
        <f>IF($X932="","",SUMIFS(TARIFF_PROFILES!$F:$F,TARIFF_PROFILES!$A:$A,$X932))</f>
        <v/>
      </c>
      <c r="AB932" s="31" t="str">
        <f>IF($X932="","",SUMIFS(TARIFF_PROFILES!$G:$G,TARIFF_PROFILES!$A:$A,$X932))</f>
        <v/>
      </c>
      <c r="AC932" s="31" t="str">
        <f>IF($X932="","",SUMIFS(TARIFF_PROFILES!$H:$H,TARIFF_PROFILES!$A:$A,$X932))</f>
        <v/>
      </c>
      <c r="AD932" s="31" t="str">
        <f t="array" ref="AD932">IF($X932="","",INDEX(TARIFF_PROFILES!$J:$J,MATCH($X932,TARIFF_PROFILES!$A:$A,0)))</f>
        <v/>
      </c>
      <c r="AE932" s="31" t="str">
        <f t="array" ref="AE932">IF($X932="","",INDEX(TARIFF_PROFILES!$K:$K,MATCH($X932,TARIFF_PROFILES!$A:$A,0)))</f>
        <v/>
      </c>
      <c r="AG932" s="8"/>
      <c r="AH932" s="8" t="str">
        <f>IF($AG932="","",SUMIFS(OPERATING_COEFFS!$C:$C,OPERATING_COEFFS!$A:$A,"DistanceClass",OPERATING_COEFFS!$B:$B,$AG932))</f>
        <v/>
      </c>
      <c r="AI932" s="8"/>
      <c r="AJ932" s="8" t="str">
        <f>IF($AI932="","",SUMIFS(OPERATING_COEFFS!$C:$C,OPERATING_COEFFS!$A:$A,"SeasonClass",OPERATING_COEFFS!$B:$B,$AI932))</f>
        <v/>
      </c>
      <c r="AK932" s="8"/>
      <c r="AL932" s="8" t="str">
        <f>IF($AK932="","",SUMIFS(OPERATING_COEFFS!$C:$C,OPERATING_COEFFS!$A:$A,"UrgencyClass",OPERATING_COEFFS!$B:$B,$AK932))</f>
        <v/>
      </c>
      <c r="AM932" s="8"/>
      <c r="AN932" s="8" t="str">
        <f t="array" ref="AN932">IF($AM932="","",INDEX(TAX_MODES!$B:$B,MATCH($AM932,TAX_MODES!$A:$A,0)))</f>
        <v/>
      </c>
    </row>
    <row r="933" ht="14.25" customHeight="1">
      <c r="C933" s="8"/>
      <c r="E933" s="8"/>
      <c r="G933" s="8"/>
      <c r="I933" s="8"/>
      <c r="K933" s="8"/>
      <c r="M933" s="8"/>
      <c r="O933" s="8"/>
      <c r="Q933" s="8"/>
      <c r="S933" s="8"/>
      <c r="V933" s="8"/>
      <c r="X933" s="31"/>
      <c r="Y933" s="31" t="str">
        <f>IF($X933="","",SUMIFS(TARIFF_PROFILES!$D:$D,TARIFF_PROFILES!$A:$A,$X933))</f>
        <v/>
      </c>
      <c r="Z933" s="31" t="str">
        <f>IF($X933="","",SUMIFS(TARIFF_PROFILES!$E:$E,TARIFF_PROFILES!$A:$A,$X933))</f>
        <v/>
      </c>
      <c r="AA933" s="31" t="str">
        <f>IF($X933="","",SUMIFS(TARIFF_PROFILES!$F:$F,TARIFF_PROFILES!$A:$A,$X933))</f>
        <v/>
      </c>
      <c r="AB933" s="31" t="str">
        <f>IF($X933="","",SUMIFS(TARIFF_PROFILES!$G:$G,TARIFF_PROFILES!$A:$A,$X933))</f>
        <v/>
      </c>
      <c r="AC933" s="31" t="str">
        <f>IF($X933="","",SUMIFS(TARIFF_PROFILES!$H:$H,TARIFF_PROFILES!$A:$A,$X933))</f>
        <v/>
      </c>
      <c r="AD933" s="31" t="str">
        <f t="array" ref="AD933">IF($X933="","",INDEX(TARIFF_PROFILES!$J:$J,MATCH($X933,TARIFF_PROFILES!$A:$A,0)))</f>
        <v/>
      </c>
      <c r="AE933" s="31" t="str">
        <f t="array" ref="AE933">IF($X933="","",INDEX(TARIFF_PROFILES!$K:$K,MATCH($X933,TARIFF_PROFILES!$A:$A,0)))</f>
        <v/>
      </c>
      <c r="AG933" s="8"/>
      <c r="AH933" s="8" t="str">
        <f>IF($AG933="","",SUMIFS(OPERATING_COEFFS!$C:$C,OPERATING_COEFFS!$A:$A,"DistanceClass",OPERATING_COEFFS!$B:$B,$AG933))</f>
        <v/>
      </c>
      <c r="AI933" s="8"/>
      <c r="AJ933" s="8" t="str">
        <f>IF($AI933="","",SUMIFS(OPERATING_COEFFS!$C:$C,OPERATING_COEFFS!$A:$A,"SeasonClass",OPERATING_COEFFS!$B:$B,$AI933))</f>
        <v/>
      </c>
      <c r="AK933" s="8"/>
      <c r="AL933" s="8" t="str">
        <f>IF($AK933="","",SUMIFS(OPERATING_COEFFS!$C:$C,OPERATING_COEFFS!$A:$A,"UrgencyClass",OPERATING_COEFFS!$B:$B,$AK933))</f>
        <v/>
      </c>
      <c r="AM933" s="8"/>
      <c r="AN933" s="8" t="str">
        <f t="array" ref="AN933">IF($AM933="","",INDEX(TAX_MODES!$B:$B,MATCH($AM933,TAX_MODES!$A:$A,0)))</f>
        <v/>
      </c>
    </row>
    <row r="934" ht="14.25" customHeight="1">
      <c r="C934" s="8"/>
      <c r="E934" s="8"/>
      <c r="G934" s="8"/>
      <c r="I934" s="8"/>
      <c r="K934" s="8"/>
      <c r="M934" s="8"/>
      <c r="O934" s="8"/>
      <c r="Q934" s="8"/>
      <c r="S934" s="8"/>
      <c r="V934" s="8"/>
      <c r="X934" s="31"/>
      <c r="Y934" s="31" t="str">
        <f>IF($X934="","",SUMIFS(TARIFF_PROFILES!$D:$D,TARIFF_PROFILES!$A:$A,$X934))</f>
        <v/>
      </c>
      <c r="Z934" s="31" t="str">
        <f>IF($X934="","",SUMIFS(TARIFF_PROFILES!$E:$E,TARIFF_PROFILES!$A:$A,$X934))</f>
        <v/>
      </c>
      <c r="AA934" s="31" t="str">
        <f>IF($X934="","",SUMIFS(TARIFF_PROFILES!$F:$F,TARIFF_PROFILES!$A:$A,$X934))</f>
        <v/>
      </c>
      <c r="AB934" s="31" t="str">
        <f>IF($X934="","",SUMIFS(TARIFF_PROFILES!$G:$G,TARIFF_PROFILES!$A:$A,$X934))</f>
        <v/>
      </c>
      <c r="AC934" s="31" t="str">
        <f>IF($X934="","",SUMIFS(TARIFF_PROFILES!$H:$H,TARIFF_PROFILES!$A:$A,$X934))</f>
        <v/>
      </c>
      <c r="AD934" s="31" t="str">
        <f t="array" ref="AD934">IF($X934="","",INDEX(TARIFF_PROFILES!$J:$J,MATCH($X934,TARIFF_PROFILES!$A:$A,0)))</f>
        <v/>
      </c>
      <c r="AE934" s="31" t="str">
        <f t="array" ref="AE934">IF($X934="","",INDEX(TARIFF_PROFILES!$K:$K,MATCH($X934,TARIFF_PROFILES!$A:$A,0)))</f>
        <v/>
      </c>
      <c r="AG934" s="8"/>
      <c r="AH934" s="8" t="str">
        <f>IF($AG934="","",SUMIFS(OPERATING_COEFFS!$C:$C,OPERATING_COEFFS!$A:$A,"DistanceClass",OPERATING_COEFFS!$B:$B,$AG934))</f>
        <v/>
      </c>
      <c r="AI934" s="8"/>
      <c r="AJ934" s="8" t="str">
        <f>IF($AI934="","",SUMIFS(OPERATING_COEFFS!$C:$C,OPERATING_COEFFS!$A:$A,"SeasonClass",OPERATING_COEFFS!$B:$B,$AI934))</f>
        <v/>
      </c>
      <c r="AK934" s="8"/>
      <c r="AL934" s="8" t="str">
        <f>IF($AK934="","",SUMIFS(OPERATING_COEFFS!$C:$C,OPERATING_COEFFS!$A:$A,"UrgencyClass",OPERATING_COEFFS!$B:$B,$AK934))</f>
        <v/>
      </c>
      <c r="AM934" s="8"/>
      <c r="AN934" s="8" t="str">
        <f t="array" ref="AN934">IF($AM934="","",INDEX(TAX_MODES!$B:$B,MATCH($AM934,TAX_MODES!$A:$A,0)))</f>
        <v/>
      </c>
    </row>
    <row r="935" ht="14.25" customHeight="1">
      <c r="C935" s="8"/>
      <c r="E935" s="8"/>
      <c r="G935" s="8"/>
      <c r="I935" s="8"/>
      <c r="K935" s="8"/>
      <c r="M935" s="8"/>
      <c r="O935" s="8"/>
      <c r="Q935" s="8"/>
      <c r="S935" s="8"/>
      <c r="V935" s="8"/>
      <c r="X935" s="31"/>
      <c r="Y935" s="31" t="str">
        <f>IF($X935="","",SUMIFS(TARIFF_PROFILES!$D:$D,TARIFF_PROFILES!$A:$A,$X935))</f>
        <v/>
      </c>
      <c r="Z935" s="31" t="str">
        <f>IF($X935="","",SUMIFS(TARIFF_PROFILES!$E:$E,TARIFF_PROFILES!$A:$A,$X935))</f>
        <v/>
      </c>
      <c r="AA935" s="31" t="str">
        <f>IF($X935="","",SUMIFS(TARIFF_PROFILES!$F:$F,TARIFF_PROFILES!$A:$A,$X935))</f>
        <v/>
      </c>
      <c r="AB935" s="31" t="str">
        <f>IF($X935="","",SUMIFS(TARIFF_PROFILES!$G:$G,TARIFF_PROFILES!$A:$A,$X935))</f>
        <v/>
      </c>
      <c r="AC935" s="31" t="str">
        <f>IF($X935="","",SUMIFS(TARIFF_PROFILES!$H:$H,TARIFF_PROFILES!$A:$A,$X935))</f>
        <v/>
      </c>
      <c r="AD935" s="31" t="str">
        <f t="array" ref="AD935">IF($X935="","",INDEX(TARIFF_PROFILES!$J:$J,MATCH($X935,TARIFF_PROFILES!$A:$A,0)))</f>
        <v/>
      </c>
      <c r="AE935" s="31" t="str">
        <f t="array" ref="AE935">IF($X935="","",INDEX(TARIFF_PROFILES!$K:$K,MATCH($X935,TARIFF_PROFILES!$A:$A,0)))</f>
        <v/>
      </c>
      <c r="AG935" s="8"/>
      <c r="AH935" s="8" t="str">
        <f>IF($AG935="","",SUMIFS(OPERATING_COEFFS!$C:$C,OPERATING_COEFFS!$A:$A,"DistanceClass",OPERATING_COEFFS!$B:$B,$AG935))</f>
        <v/>
      </c>
      <c r="AI935" s="8"/>
      <c r="AJ935" s="8" t="str">
        <f>IF($AI935="","",SUMIFS(OPERATING_COEFFS!$C:$C,OPERATING_COEFFS!$A:$A,"SeasonClass",OPERATING_COEFFS!$B:$B,$AI935))</f>
        <v/>
      </c>
      <c r="AK935" s="8"/>
      <c r="AL935" s="8" t="str">
        <f>IF($AK935="","",SUMIFS(OPERATING_COEFFS!$C:$C,OPERATING_COEFFS!$A:$A,"UrgencyClass",OPERATING_COEFFS!$B:$B,$AK935))</f>
        <v/>
      </c>
      <c r="AM935" s="8"/>
      <c r="AN935" s="8" t="str">
        <f t="array" ref="AN935">IF($AM935="","",INDEX(TAX_MODES!$B:$B,MATCH($AM935,TAX_MODES!$A:$A,0)))</f>
        <v/>
      </c>
    </row>
    <row r="936" ht="14.25" customHeight="1">
      <c r="C936" s="8"/>
      <c r="E936" s="8"/>
      <c r="G936" s="8"/>
      <c r="I936" s="8"/>
      <c r="K936" s="8"/>
      <c r="M936" s="8"/>
      <c r="O936" s="8"/>
      <c r="Q936" s="8"/>
      <c r="S936" s="8"/>
      <c r="V936" s="8"/>
      <c r="X936" s="31"/>
      <c r="Y936" s="31" t="str">
        <f>IF($X936="","",SUMIFS(TARIFF_PROFILES!$D:$D,TARIFF_PROFILES!$A:$A,$X936))</f>
        <v/>
      </c>
      <c r="Z936" s="31" t="str">
        <f>IF($X936="","",SUMIFS(TARIFF_PROFILES!$E:$E,TARIFF_PROFILES!$A:$A,$X936))</f>
        <v/>
      </c>
      <c r="AA936" s="31" t="str">
        <f>IF($X936="","",SUMIFS(TARIFF_PROFILES!$F:$F,TARIFF_PROFILES!$A:$A,$X936))</f>
        <v/>
      </c>
      <c r="AB936" s="31" t="str">
        <f>IF($X936="","",SUMIFS(TARIFF_PROFILES!$G:$G,TARIFF_PROFILES!$A:$A,$X936))</f>
        <v/>
      </c>
      <c r="AC936" s="31" t="str">
        <f>IF($X936="","",SUMIFS(TARIFF_PROFILES!$H:$H,TARIFF_PROFILES!$A:$A,$X936))</f>
        <v/>
      </c>
      <c r="AD936" s="31" t="str">
        <f t="array" ref="AD936">IF($X936="","",INDEX(TARIFF_PROFILES!$J:$J,MATCH($X936,TARIFF_PROFILES!$A:$A,0)))</f>
        <v/>
      </c>
      <c r="AE936" s="31" t="str">
        <f t="array" ref="AE936">IF($X936="","",INDEX(TARIFF_PROFILES!$K:$K,MATCH($X936,TARIFF_PROFILES!$A:$A,0)))</f>
        <v/>
      </c>
      <c r="AG936" s="8"/>
      <c r="AH936" s="8" t="str">
        <f>IF($AG936="","",SUMIFS(OPERATING_COEFFS!$C:$C,OPERATING_COEFFS!$A:$A,"DistanceClass",OPERATING_COEFFS!$B:$B,$AG936))</f>
        <v/>
      </c>
      <c r="AI936" s="8"/>
      <c r="AJ936" s="8" t="str">
        <f>IF($AI936="","",SUMIFS(OPERATING_COEFFS!$C:$C,OPERATING_COEFFS!$A:$A,"SeasonClass",OPERATING_COEFFS!$B:$B,$AI936))</f>
        <v/>
      </c>
      <c r="AK936" s="8"/>
      <c r="AL936" s="8" t="str">
        <f>IF($AK936="","",SUMIFS(OPERATING_COEFFS!$C:$C,OPERATING_COEFFS!$A:$A,"UrgencyClass",OPERATING_COEFFS!$B:$B,$AK936))</f>
        <v/>
      </c>
      <c r="AM936" s="8"/>
      <c r="AN936" s="8" t="str">
        <f t="array" ref="AN936">IF($AM936="","",INDEX(TAX_MODES!$B:$B,MATCH($AM936,TAX_MODES!$A:$A,0)))</f>
        <v/>
      </c>
    </row>
    <row r="937" ht="14.25" customHeight="1">
      <c r="C937" s="8"/>
      <c r="E937" s="8"/>
      <c r="G937" s="8"/>
      <c r="I937" s="8"/>
      <c r="K937" s="8"/>
      <c r="M937" s="8"/>
      <c r="O937" s="8"/>
      <c r="Q937" s="8"/>
      <c r="S937" s="8"/>
      <c r="V937" s="8"/>
      <c r="X937" s="31"/>
      <c r="Y937" s="31" t="str">
        <f>IF($X937="","",SUMIFS(TARIFF_PROFILES!$D:$D,TARIFF_PROFILES!$A:$A,$X937))</f>
        <v/>
      </c>
      <c r="Z937" s="31" t="str">
        <f>IF($X937="","",SUMIFS(TARIFF_PROFILES!$E:$E,TARIFF_PROFILES!$A:$A,$X937))</f>
        <v/>
      </c>
      <c r="AA937" s="31" t="str">
        <f>IF($X937="","",SUMIFS(TARIFF_PROFILES!$F:$F,TARIFF_PROFILES!$A:$A,$X937))</f>
        <v/>
      </c>
      <c r="AB937" s="31" t="str">
        <f>IF($X937="","",SUMIFS(TARIFF_PROFILES!$G:$G,TARIFF_PROFILES!$A:$A,$X937))</f>
        <v/>
      </c>
      <c r="AC937" s="31" t="str">
        <f>IF($X937="","",SUMIFS(TARIFF_PROFILES!$H:$H,TARIFF_PROFILES!$A:$A,$X937))</f>
        <v/>
      </c>
      <c r="AD937" s="31" t="str">
        <f t="array" ref="AD937">IF($X937="","",INDEX(TARIFF_PROFILES!$J:$J,MATCH($X937,TARIFF_PROFILES!$A:$A,0)))</f>
        <v/>
      </c>
      <c r="AE937" s="31" t="str">
        <f t="array" ref="AE937">IF($X937="","",INDEX(TARIFF_PROFILES!$K:$K,MATCH($X937,TARIFF_PROFILES!$A:$A,0)))</f>
        <v/>
      </c>
      <c r="AG937" s="8"/>
      <c r="AH937" s="8" t="str">
        <f>IF($AG937="","",SUMIFS(OPERATING_COEFFS!$C:$C,OPERATING_COEFFS!$A:$A,"DistanceClass",OPERATING_COEFFS!$B:$B,$AG937))</f>
        <v/>
      </c>
      <c r="AI937" s="8"/>
      <c r="AJ937" s="8" t="str">
        <f>IF($AI937="","",SUMIFS(OPERATING_COEFFS!$C:$C,OPERATING_COEFFS!$A:$A,"SeasonClass",OPERATING_COEFFS!$B:$B,$AI937))</f>
        <v/>
      </c>
      <c r="AK937" s="8"/>
      <c r="AL937" s="8" t="str">
        <f>IF($AK937="","",SUMIFS(OPERATING_COEFFS!$C:$C,OPERATING_COEFFS!$A:$A,"UrgencyClass",OPERATING_COEFFS!$B:$B,$AK937))</f>
        <v/>
      </c>
      <c r="AM937" s="8"/>
      <c r="AN937" s="8" t="str">
        <f t="array" ref="AN937">IF($AM937="","",INDEX(TAX_MODES!$B:$B,MATCH($AM937,TAX_MODES!$A:$A,0)))</f>
        <v/>
      </c>
    </row>
    <row r="938" ht="14.25" customHeight="1">
      <c r="C938" s="8"/>
      <c r="E938" s="8"/>
      <c r="G938" s="8"/>
      <c r="I938" s="8"/>
      <c r="K938" s="8"/>
      <c r="M938" s="8"/>
      <c r="O938" s="8"/>
      <c r="Q938" s="8"/>
      <c r="S938" s="8"/>
      <c r="V938" s="8"/>
      <c r="X938" s="31"/>
      <c r="Y938" s="31" t="str">
        <f>IF($X938="","",SUMIFS(TARIFF_PROFILES!$D:$D,TARIFF_PROFILES!$A:$A,$X938))</f>
        <v/>
      </c>
      <c r="Z938" s="31" t="str">
        <f>IF($X938="","",SUMIFS(TARIFF_PROFILES!$E:$E,TARIFF_PROFILES!$A:$A,$X938))</f>
        <v/>
      </c>
      <c r="AA938" s="31" t="str">
        <f>IF($X938="","",SUMIFS(TARIFF_PROFILES!$F:$F,TARIFF_PROFILES!$A:$A,$X938))</f>
        <v/>
      </c>
      <c r="AB938" s="31" t="str">
        <f>IF($X938="","",SUMIFS(TARIFF_PROFILES!$G:$G,TARIFF_PROFILES!$A:$A,$X938))</f>
        <v/>
      </c>
      <c r="AC938" s="31" t="str">
        <f>IF($X938="","",SUMIFS(TARIFF_PROFILES!$H:$H,TARIFF_PROFILES!$A:$A,$X938))</f>
        <v/>
      </c>
      <c r="AD938" s="31" t="str">
        <f t="array" ref="AD938">IF($X938="","",INDEX(TARIFF_PROFILES!$J:$J,MATCH($X938,TARIFF_PROFILES!$A:$A,0)))</f>
        <v/>
      </c>
      <c r="AE938" s="31" t="str">
        <f t="array" ref="AE938">IF($X938="","",INDEX(TARIFF_PROFILES!$K:$K,MATCH($X938,TARIFF_PROFILES!$A:$A,0)))</f>
        <v/>
      </c>
      <c r="AG938" s="8"/>
      <c r="AH938" s="8" t="str">
        <f>IF($AG938="","",SUMIFS(OPERATING_COEFFS!$C:$C,OPERATING_COEFFS!$A:$A,"DistanceClass",OPERATING_COEFFS!$B:$B,$AG938))</f>
        <v/>
      </c>
      <c r="AI938" s="8"/>
      <c r="AJ938" s="8" t="str">
        <f>IF($AI938="","",SUMIFS(OPERATING_COEFFS!$C:$C,OPERATING_COEFFS!$A:$A,"SeasonClass",OPERATING_COEFFS!$B:$B,$AI938))</f>
        <v/>
      </c>
      <c r="AK938" s="8"/>
      <c r="AL938" s="8" t="str">
        <f>IF($AK938="","",SUMIFS(OPERATING_COEFFS!$C:$C,OPERATING_COEFFS!$A:$A,"UrgencyClass",OPERATING_COEFFS!$B:$B,$AK938))</f>
        <v/>
      </c>
      <c r="AM938" s="8"/>
      <c r="AN938" s="8" t="str">
        <f t="array" ref="AN938">IF($AM938="","",INDEX(TAX_MODES!$B:$B,MATCH($AM938,TAX_MODES!$A:$A,0)))</f>
        <v/>
      </c>
    </row>
    <row r="939" ht="14.25" customHeight="1">
      <c r="C939" s="8"/>
      <c r="E939" s="8"/>
      <c r="G939" s="8"/>
      <c r="I939" s="8"/>
      <c r="K939" s="8"/>
      <c r="M939" s="8"/>
      <c r="O939" s="8"/>
      <c r="Q939" s="8"/>
      <c r="S939" s="8"/>
      <c r="V939" s="8"/>
      <c r="X939" s="31"/>
      <c r="Y939" s="31" t="str">
        <f>IF($X939="","",SUMIFS(TARIFF_PROFILES!$D:$D,TARIFF_PROFILES!$A:$A,$X939))</f>
        <v/>
      </c>
      <c r="Z939" s="31" t="str">
        <f>IF($X939="","",SUMIFS(TARIFF_PROFILES!$E:$E,TARIFF_PROFILES!$A:$A,$X939))</f>
        <v/>
      </c>
      <c r="AA939" s="31" t="str">
        <f>IF($X939="","",SUMIFS(TARIFF_PROFILES!$F:$F,TARIFF_PROFILES!$A:$A,$X939))</f>
        <v/>
      </c>
      <c r="AB939" s="31" t="str">
        <f>IF($X939="","",SUMIFS(TARIFF_PROFILES!$G:$G,TARIFF_PROFILES!$A:$A,$X939))</f>
        <v/>
      </c>
      <c r="AC939" s="31" t="str">
        <f>IF($X939="","",SUMIFS(TARIFF_PROFILES!$H:$H,TARIFF_PROFILES!$A:$A,$X939))</f>
        <v/>
      </c>
      <c r="AD939" s="31" t="str">
        <f t="array" ref="AD939">IF($X939="","",INDEX(TARIFF_PROFILES!$J:$J,MATCH($X939,TARIFF_PROFILES!$A:$A,0)))</f>
        <v/>
      </c>
      <c r="AE939" s="31" t="str">
        <f t="array" ref="AE939">IF($X939="","",INDEX(TARIFF_PROFILES!$K:$K,MATCH($X939,TARIFF_PROFILES!$A:$A,0)))</f>
        <v/>
      </c>
      <c r="AG939" s="8"/>
      <c r="AH939" s="8" t="str">
        <f>IF($AG939="","",SUMIFS(OPERATING_COEFFS!$C:$C,OPERATING_COEFFS!$A:$A,"DistanceClass",OPERATING_COEFFS!$B:$B,$AG939))</f>
        <v/>
      </c>
      <c r="AI939" s="8"/>
      <c r="AJ939" s="8" t="str">
        <f>IF($AI939="","",SUMIFS(OPERATING_COEFFS!$C:$C,OPERATING_COEFFS!$A:$A,"SeasonClass",OPERATING_COEFFS!$B:$B,$AI939))</f>
        <v/>
      </c>
      <c r="AK939" s="8"/>
      <c r="AL939" s="8" t="str">
        <f>IF($AK939="","",SUMIFS(OPERATING_COEFFS!$C:$C,OPERATING_COEFFS!$A:$A,"UrgencyClass",OPERATING_COEFFS!$B:$B,$AK939))</f>
        <v/>
      </c>
      <c r="AM939" s="8"/>
      <c r="AN939" s="8" t="str">
        <f t="array" ref="AN939">IF($AM939="","",INDEX(TAX_MODES!$B:$B,MATCH($AM939,TAX_MODES!$A:$A,0)))</f>
        <v/>
      </c>
    </row>
    <row r="940" ht="14.25" customHeight="1">
      <c r="C940" s="8"/>
      <c r="E940" s="8"/>
      <c r="G940" s="8"/>
      <c r="I940" s="8"/>
      <c r="K940" s="8"/>
      <c r="M940" s="8"/>
      <c r="O940" s="8"/>
      <c r="Q940" s="8"/>
      <c r="S940" s="8"/>
      <c r="V940" s="8"/>
      <c r="X940" s="31"/>
      <c r="Y940" s="31" t="str">
        <f>IF($X940="","",SUMIFS(TARIFF_PROFILES!$D:$D,TARIFF_PROFILES!$A:$A,$X940))</f>
        <v/>
      </c>
      <c r="Z940" s="31" t="str">
        <f>IF($X940="","",SUMIFS(TARIFF_PROFILES!$E:$E,TARIFF_PROFILES!$A:$A,$X940))</f>
        <v/>
      </c>
      <c r="AA940" s="31" t="str">
        <f>IF($X940="","",SUMIFS(TARIFF_PROFILES!$F:$F,TARIFF_PROFILES!$A:$A,$X940))</f>
        <v/>
      </c>
      <c r="AB940" s="31" t="str">
        <f>IF($X940="","",SUMIFS(TARIFF_PROFILES!$G:$G,TARIFF_PROFILES!$A:$A,$X940))</f>
        <v/>
      </c>
      <c r="AC940" s="31" t="str">
        <f>IF($X940="","",SUMIFS(TARIFF_PROFILES!$H:$H,TARIFF_PROFILES!$A:$A,$X940))</f>
        <v/>
      </c>
      <c r="AD940" s="31" t="str">
        <f t="array" ref="AD940">IF($X940="","",INDEX(TARIFF_PROFILES!$J:$J,MATCH($X940,TARIFF_PROFILES!$A:$A,0)))</f>
        <v/>
      </c>
      <c r="AE940" s="31" t="str">
        <f t="array" ref="AE940">IF($X940="","",INDEX(TARIFF_PROFILES!$K:$K,MATCH($X940,TARIFF_PROFILES!$A:$A,0)))</f>
        <v/>
      </c>
      <c r="AG940" s="8"/>
      <c r="AH940" s="8" t="str">
        <f>IF($AG940="","",SUMIFS(OPERATING_COEFFS!$C:$C,OPERATING_COEFFS!$A:$A,"DistanceClass",OPERATING_COEFFS!$B:$B,$AG940))</f>
        <v/>
      </c>
      <c r="AI940" s="8"/>
      <c r="AJ940" s="8" t="str">
        <f>IF($AI940="","",SUMIFS(OPERATING_COEFFS!$C:$C,OPERATING_COEFFS!$A:$A,"SeasonClass",OPERATING_COEFFS!$B:$B,$AI940))</f>
        <v/>
      </c>
      <c r="AK940" s="8"/>
      <c r="AL940" s="8" t="str">
        <f>IF($AK940="","",SUMIFS(OPERATING_COEFFS!$C:$C,OPERATING_COEFFS!$A:$A,"UrgencyClass",OPERATING_COEFFS!$B:$B,$AK940))</f>
        <v/>
      </c>
      <c r="AM940" s="8"/>
      <c r="AN940" s="8" t="str">
        <f t="array" ref="AN940">IF($AM940="","",INDEX(TAX_MODES!$B:$B,MATCH($AM940,TAX_MODES!$A:$A,0)))</f>
        <v/>
      </c>
    </row>
    <row r="941" ht="14.25" customHeight="1">
      <c r="C941" s="8"/>
      <c r="E941" s="8"/>
      <c r="G941" s="8"/>
      <c r="I941" s="8"/>
      <c r="K941" s="8"/>
      <c r="M941" s="8"/>
      <c r="O941" s="8"/>
      <c r="Q941" s="8"/>
      <c r="S941" s="8"/>
      <c r="V941" s="8"/>
      <c r="X941" s="31"/>
      <c r="Y941" s="31" t="str">
        <f>IF($X941="","",SUMIFS(TARIFF_PROFILES!$D:$D,TARIFF_PROFILES!$A:$A,$X941))</f>
        <v/>
      </c>
      <c r="Z941" s="31" t="str">
        <f>IF($X941="","",SUMIFS(TARIFF_PROFILES!$E:$E,TARIFF_PROFILES!$A:$A,$X941))</f>
        <v/>
      </c>
      <c r="AA941" s="31" t="str">
        <f>IF($X941="","",SUMIFS(TARIFF_PROFILES!$F:$F,TARIFF_PROFILES!$A:$A,$X941))</f>
        <v/>
      </c>
      <c r="AB941" s="31" t="str">
        <f>IF($X941="","",SUMIFS(TARIFF_PROFILES!$G:$G,TARIFF_PROFILES!$A:$A,$X941))</f>
        <v/>
      </c>
      <c r="AC941" s="31" t="str">
        <f>IF($X941="","",SUMIFS(TARIFF_PROFILES!$H:$H,TARIFF_PROFILES!$A:$A,$X941))</f>
        <v/>
      </c>
      <c r="AD941" s="31" t="str">
        <f t="array" ref="AD941">IF($X941="","",INDEX(TARIFF_PROFILES!$J:$J,MATCH($X941,TARIFF_PROFILES!$A:$A,0)))</f>
        <v/>
      </c>
      <c r="AE941" s="31" t="str">
        <f t="array" ref="AE941">IF($X941="","",INDEX(TARIFF_PROFILES!$K:$K,MATCH($X941,TARIFF_PROFILES!$A:$A,0)))</f>
        <v/>
      </c>
      <c r="AG941" s="8"/>
      <c r="AH941" s="8" t="str">
        <f>IF($AG941="","",SUMIFS(OPERATING_COEFFS!$C:$C,OPERATING_COEFFS!$A:$A,"DistanceClass",OPERATING_COEFFS!$B:$B,$AG941))</f>
        <v/>
      </c>
      <c r="AI941" s="8"/>
      <c r="AJ941" s="8" t="str">
        <f>IF($AI941="","",SUMIFS(OPERATING_COEFFS!$C:$C,OPERATING_COEFFS!$A:$A,"SeasonClass",OPERATING_COEFFS!$B:$B,$AI941))</f>
        <v/>
      </c>
      <c r="AK941" s="8"/>
      <c r="AL941" s="8" t="str">
        <f>IF($AK941="","",SUMIFS(OPERATING_COEFFS!$C:$C,OPERATING_COEFFS!$A:$A,"UrgencyClass",OPERATING_COEFFS!$B:$B,$AK941))</f>
        <v/>
      </c>
      <c r="AM941" s="8"/>
      <c r="AN941" s="8" t="str">
        <f t="array" ref="AN941">IF($AM941="","",INDEX(TAX_MODES!$B:$B,MATCH($AM941,TAX_MODES!$A:$A,0)))</f>
        <v/>
      </c>
    </row>
    <row r="942" ht="14.25" customHeight="1">
      <c r="C942" s="8"/>
      <c r="E942" s="8"/>
      <c r="G942" s="8"/>
      <c r="I942" s="8"/>
      <c r="K942" s="8"/>
      <c r="M942" s="8"/>
      <c r="O942" s="8"/>
      <c r="Q942" s="8"/>
      <c r="S942" s="8"/>
      <c r="V942" s="8"/>
      <c r="X942" s="31"/>
      <c r="Y942" s="31" t="str">
        <f>IF($X942="","",SUMIFS(TARIFF_PROFILES!$D:$D,TARIFF_PROFILES!$A:$A,$X942))</f>
        <v/>
      </c>
      <c r="Z942" s="31" t="str">
        <f>IF($X942="","",SUMIFS(TARIFF_PROFILES!$E:$E,TARIFF_PROFILES!$A:$A,$X942))</f>
        <v/>
      </c>
      <c r="AA942" s="31" t="str">
        <f>IF($X942="","",SUMIFS(TARIFF_PROFILES!$F:$F,TARIFF_PROFILES!$A:$A,$X942))</f>
        <v/>
      </c>
      <c r="AB942" s="31" t="str">
        <f>IF($X942="","",SUMIFS(TARIFF_PROFILES!$G:$G,TARIFF_PROFILES!$A:$A,$X942))</f>
        <v/>
      </c>
      <c r="AC942" s="31" t="str">
        <f>IF($X942="","",SUMIFS(TARIFF_PROFILES!$H:$H,TARIFF_PROFILES!$A:$A,$X942))</f>
        <v/>
      </c>
      <c r="AD942" s="31" t="str">
        <f t="array" ref="AD942">IF($X942="","",INDEX(TARIFF_PROFILES!$J:$J,MATCH($X942,TARIFF_PROFILES!$A:$A,0)))</f>
        <v/>
      </c>
      <c r="AE942" s="31" t="str">
        <f t="array" ref="AE942">IF($X942="","",INDEX(TARIFF_PROFILES!$K:$K,MATCH($X942,TARIFF_PROFILES!$A:$A,0)))</f>
        <v/>
      </c>
      <c r="AG942" s="8"/>
      <c r="AH942" s="8" t="str">
        <f>IF($AG942="","",SUMIFS(OPERATING_COEFFS!$C:$C,OPERATING_COEFFS!$A:$A,"DistanceClass",OPERATING_COEFFS!$B:$B,$AG942))</f>
        <v/>
      </c>
      <c r="AI942" s="8"/>
      <c r="AJ942" s="8" t="str">
        <f>IF($AI942="","",SUMIFS(OPERATING_COEFFS!$C:$C,OPERATING_COEFFS!$A:$A,"SeasonClass",OPERATING_COEFFS!$B:$B,$AI942))</f>
        <v/>
      </c>
      <c r="AK942" s="8"/>
      <c r="AL942" s="8" t="str">
        <f>IF($AK942="","",SUMIFS(OPERATING_COEFFS!$C:$C,OPERATING_COEFFS!$A:$A,"UrgencyClass",OPERATING_COEFFS!$B:$B,$AK942))</f>
        <v/>
      </c>
      <c r="AM942" s="8"/>
      <c r="AN942" s="8" t="str">
        <f t="array" ref="AN942">IF($AM942="","",INDEX(TAX_MODES!$B:$B,MATCH($AM942,TAX_MODES!$A:$A,0)))</f>
        <v/>
      </c>
    </row>
    <row r="943" ht="14.25" customHeight="1">
      <c r="C943" s="8"/>
      <c r="E943" s="8"/>
      <c r="G943" s="8"/>
      <c r="I943" s="8"/>
      <c r="K943" s="8"/>
      <c r="M943" s="8"/>
      <c r="O943" s="8"/>
      <c r="Q943" s="8"/>
      <c r="S943" s="8"/>
      <c r="V943" s="8"/>
      <c r="X943" s="31"/>
      <c r="Y943" s="31" t="str">
        <f>IF($X943="","",SUMIFS(TARIFF_PROFILES!$D:$D,TARIFF_PROFILES!$A:$A,$X943))</f>
        <v/>
      </c>
      <c r="Z943" s="31" t="str">
        <f>IF($X943="","",SUMIFS(TARIFF_PROFILES!$E:$E,TARIFF_PROFILES!$A:$A,$X943))</f>
        <v/>
      </c>
      <c r="AA943" s="31" t="str">
        <f>IF($X943="","",SUMIFS(TARIFF_PROFILES!$F:$F,TARIFF_PROFILES!$A:$A,$X943))</f>
        <v/>
      </c>
      <c r="AB943" s="31" t="str">
        <f>IF($X943="","",SUMIFS(TARIFF_PROFILES!$G:$G,TARIFF_PROFILES!$A:$A,$X943))</f>
        <v/>
      </c>
      <c r="AC943" s="31" t="str">
        <f>IF($X943="","",SUMIFS(TARIFF_PROFILES!$H:$H,TARIFF_PROFILES!$A:$A,$X943))</f>
        <v/>
      </c>
      <c r="AD943" s="31" t="str">
        <f t="array" ref="AD943">IF($X943="","",INDEX(TARIFF_PROFILES!$J:$J,MATCH($X943,TARIFF_PROFILES!$A:$A,0)))</f>
        <v/>
      </c>
      <c r="AE943" s="31" t="str">
        <f t="array" ref="AE943">IF($X943="","",INDEX(TARIFF_PROFILES!$K:$K,MATCH($X943,TARIFF_PROFILES!$A:$A,0)))</f>
        <v/>
      </c>
      <c r="AG943" s="8"/>
      <c r="AH943" s="8" t="str">
        <f>IF($AG943="","",SUMIFS(OPERATING_COEFFS!$C:$C,OPERATING_COEFFS!$A:$A,"DistanceClass",OPERATING_COEFFS!$B:$B,$AG943))</f>
        <v/>
      </c>
      <c r="AI943" s="8"/>
      <c r="AJ943" s="8" t="str">
        <f>IF($AI943="","",SUMIFS(OPERATING_COEFFS!$C:$C,OPERATING_COEFFS!$A:$A,"SeasonClass",OPERATING_COEFFS!$B:$B,$AI943))</f>
        <v/>
      </c>
      <c r="AK943" s="8"/>
      <c r="AL943" s="8" t="str">
        <f>IF($AK943="","",SUMIFS(OPERATING_COEFFS!$C:$C,OPERATING_COEFFS!$A:$A,"UrgencyClass",OPERATING_COEFFS!$B:$B,$AK943))</f>
        <v/>
      </c>
      <c r="AM943" s="8"/>
      <c r="AN943" s="8" t="str">
        <f t="array" ref="AN943">IF($AM943="","",INDEX(TAX_MODES!$B:$B,MATCH($AM943,TAX_MODES!$A:$A,0)))</f>
        <v/>
      </c>
    </row>
    <row r="944" ht="14.25" customHeight="1">
      <c r="C944" s="8"/>
      <c r="E944" s="8"/>
      <c r="G944" s="8"/>
      <c r="I944" s="8"/>
      <c r="K944" s="8"/>
      <c r="M944" s="8"/>
      <c r="O944" s="8"/>
      <c r="Q944" s="8"/>
      <c r="S944" s="8"/>
      <c r="V944" s="8"/>
      <c r="X944" s="31"/>
      <c r="Y944" s="31" t="str">
        <f>IF($X944="","",SUMIFS(TARIFF_PROFILES!$D:$D,TARIFF_PROFILES!$A:$A,$X944))</f>
        <v/>
      </c>
      <c r="Z944" s="31" t="str">
        <f>IF($X944="","",SUMIFS(TARIFF_PROFILES!$E:$E,TARIFF_PROFILES!$A:$A,$X944))</f>
        <v/>
      </c>
      <c r="AA944" s="31" t="str">
        <f>IF($X944="","",SUMIFS(TARIFF_PROFILES!$F:$F,TARIFF_PROFILES!$A:$A,$X944))</f>
        <v/>
      </c>
      <c r="AB944" s="31" t="str">
        <f>IF($X944="","",SUMIFS(TARIFF_PROFILES!$G:$G,TARIFF_PROFILES!$A:$A,$X944))</f>
        <v/>
      </c>
      <c r="AC944" s="31" t="str">
        <f>IF($X944="","",SUMIFS(TARIFF_PROFILES!$H:$H,TARIFF_PROFILES!$A:$A,$X944))</f>
        <v/>
      </c>
      <c r="AD944" s="31" t="str">
        <f t="array" ref="AD944">IF($X944="","",INDEX(TARIFF_PROFILES!$J:$J,MATCH($X944,TARIFF_PROFILES!$A:$A,0)))</f>
        <v/>
      </c>
      <c r="AE944" s="31" t="str">
        <f t="array" ref="AE944">IF($X944="","",INDEX(TARIFF_PROFILES!$K:$K,MATCH($X944,TARIFF_PROFILES!$A:$A,0)))</f>
        <v/>
      </c>
      <c r="AG944" s="8"/>
      <c r="AH944" s="8" t="str">
        <f>IF($AG944="","",SUMIFS(OPERATING_COEFFS!$C:$C,OPERATING_COEFFS!$A:$A,"DistanceClass",OPERATING_COEFFS!$B:$B,$AG944))</f>
        <v/>
      </c>
      <c r="AI944" s="8"/>
      <c r="AJ944" s="8" t="str">
        <f>IF($AI944="","",SUMIFS(OPERATING_COEFFS!$C:$C,OPERATING_COEFFS!$A:$A,"SeasonClass",OPERATING_COEFFS!$B:$B,$AI944))</f>
        <v/>
      </c>
      <c r="AK944" s="8"/>
      <c r="AL944" s="8" t="str">
        <f>IF($AK944="","",SUMIFS(OPERATING_COEFFS!$C:$C,OPERATING_COEFFS!$A:$A,"UrgencyClass",OPERATING_COEFFS!$B:$B,$AK944))</f>
        <v/>
      </c>
      <c r="AM944" s="8"/>
      <c r="AN944" s="8" t="str">
        <f t="array" ref="AN944">IF($AM944="","",INDEX(TAX_MODES!$B:$B,MATCH($AM944,TAX_MODES!$A:$A,0)))</f>
        <v/>
      </c>
    </row>
    <row r="945" ht="14.25" customHeight="1">
      <c r="C945" s="8"/>
      <c r="E945" s="8"/>
      <c r="G945" s="8"/>
      <c r="I945" s="8"/>
      <c r="K945" s="8"/>
      <c r="M945" s="8"/>
      <c r="O945" s="8"/>
      <c r="Q945" s="8"/>
      <c r="S945" s="8"/>
      <c r="V945" s="8"/>
      <c r="X945" s="31"/>
      <c r="Y945" s="31" t="str">
        <f>IF($X945="","",SUMIFS(TARIFF_PROFILES!$D:$D,TARIFF_PROFILES!$A:$A,$X945))</f>
        <v/>
      </c>
      <c r="Z945" s="31" t="str">
        <f>IF($X945="","",SUMIFS(TARIFF_PROFILES!$E:$E,TARIFF_PROFILES!$A:$A,$X945))</f>
        <v/>
      </c>
      <c r="AA945" s="31" t="str">
        <f>IF($X945="","",SUMIFS(TARIFF_PROFILES!$F:$F,TARIFF_PROFILES!$A:$A,$X945))</f>
        <v/>
      </c>
      <c r="AB945" s="31" t="str">
        <f>IF($X945="","",SUMIFS(TARIFF_PROFILES!$G:$G,TARIFF_PROFILES!$A:$A,$X945))</f>
        <v/>
      </c>
      <c r="AC945" s="31" t="str">
        <f>IF($X945="","",SUMIFS(TARIFF_PROFILES!$H:$H,TARIFF_PROFILES!$A:$A,$X945))</f>
        <v/>
      </c>
      <c r="AD945" s="31" t="str">
        <f t="array" ref="AD945">IF($X945="","",INDEX(TARIFF_PROFILES!$J:$J,MATCH($X945,TARIFF_PROFILES!$A:$A,0)))</f>
        <v/>
      </c>
      <c r="AE945" s="31" t="str">
        <f t="array" ref="AE945">IF($X945="","",INDEX(TARIFF_PROFILES!$K:$K,MATCH($X945,TARIFF_PROFILES!$A:$A,0)))</f>
        <v/>
      </c>
      <c r="AG945" s="8"/>
      <c r="AH945" s="8" t="str">
        <f>IF($AG945="","",SUMIFS(OPERATING_COEFFS!$C:$C,OPERATING_COEFFS!$A:$A,"DistanceClass",OPERATING_COEFFS!$B:$B,$AG945))</f>
        <v/>
      </c>
      <c r="AI945" s="8"/>
      <c r="AJ945" s="8" t="str">
        <f>IF($AI945="","",SUMIFS(OPERATING_COEFFS!$C:$C,OPERATING_COEFFS!$A:$A,"SeasonClass",OPERATING_COEFFS!$B:$B,$AI945))</f>
        <v/>
      </c>
      <c r="AK945" s="8"/>
      <c r="AL945" s="8" t="str">
        <f>IF($AK945="","",SUMIFS(OPERATING_COEFFS!$C:$C,OPERATING_COEFFS!$A:$A,"UrgencyClass",OPERATING_COEFFS!$B:$B,$AK945))</f>
        <v/>
      </c>
      <c r="AM945" s="8"/>
      <c r="AN945" s="8" t="str">
        <f t="array" ref="AN945">IF($AM945="","",INDEX(TAX_MODES!$B:$B,MATCH($AM945,TAX_MODES!$A:$A,0)))</f>
        <v/>
      </c>
    </row>
    <row r="946" ht="14.25" customHeight="1">
      <c r="C946" s="8"/>
      <c r="E946" s="8"/>
      <c r="G946" s="8"/>
      <c r="I946" s="8"/>
      <c r="K946" s="8"/>
      <c r="M946" s="8"/>
      <c r="O946" s="8"/>
      <c r="Q946" s="8"/>
      <c r="S946" s="8"/>
      <c r="V946" s="8"/>
      <c r="X946" s="31"/>
      <c r="Y946" s="31" t="str">
        <f>IF($X946="","",SUMIFS(TARIFF_PROFILES!$D:$D,TARIFF_PROFILES!$A:$A,$X946))</f>
        <v/>
      </c>
      <c r="Z946" s="31" t="str">
        <f>IF($X946="","",SUMIFS(TARIFF_PROFILES!$E:$E,TARIFF_PROFILES!$A:$A,$X946))</f>
        <v/>
      </c>
      <c r="AA946" s="31" t="str">
        <f>IF($X946="","",SUMIFS(TARIFF_PROFILES!$F:$F,TARIFF_PROFILES!$A:$A,$X946))</f>
        <v/>
      </c>
      <c r="AB946" s="31" t="str">
        <f>IF($X946="","",SUMIFS(TARIFF_PROFILES!$G:$G,TARIFF_PROFILES!$A:$A,$X946))</f>
        <v/>
      </c>
      <c r="AC946" s="31" t="str">
        <f>IF($X946="","",SUMIFS(TARIFF_PROFILES!$H:$H,TARIFF_PROFILES!$A:$A,$X946))</f>
        <v/>
      </c>
      <c r="AD946" s="31" t="str">
        <f t="array" ref="AD946">IF($X946="","",INDEX(TARIFF_PROFILES!$J:$J,MATCH($X946,TARIFF_PROFILES!$A:$A,0)))</f>
        <v/>
      </c>
      <c r="AE946" s="31" t="str">
        <f t="array" ref="AE946">IF($X946="","",INDEX(TARIFF_PROFILES!$K:$K,MATCH($X946,TARIFF_PROFILES!$A:$A,0)))</f>
        <v/>
      </c>
      <c r="AG946" s="8"/>
      <c r="AH946" s="8" t="str">
        <f>IF($AG946="","",SUMIFS(OPERATING_COEFFS!$C:$C,OPERATING_COEFFS!$A:$A,"DistanceClass",OPERATING_COEFFS!$B:$B,$AG946))</f>
        <v/>
      </c>
      <c r="AI946" s="8"/>
      <c r="AJ946" s="8" t="str">
        <f>IF($AI946="","",SUMIFS(OPERATING_COEFFS!$C:$C,OPERATING_COEFFS!$A:$A,"SeasonClass",OPERATING_COEFFS!$B:$B,$AI946))</f>
        <v/>
      </c>
      <c r="AK946" s="8"/>
      <c r="AL946" s="8" t="str">
        <f>IF($AK946="","",SUMIFS(OPERATING_COEFFS!$C:$C,OPERATING_COEFFS!$A:$A,"UrgencyClass",OPERATING_COEFFS!$B:$B,$AK946))</f>
        <v/>
      </c>
      <c r="AM946" s="8"/>
      <c r="AN946" s="8" t="str">
        <f t="array" ref="AN946">IF($AM946="","",INDEX(TAX_MODES!$B:$B,MATCH($AM946,TAX_MODES!$A:$A,0)))</f>
        <v/>
      </c>
    </row>
    <row r="947" ht="14.25" customHeight="1">
      <c r="C947" s="8"/>
      <c r="E947" s="8"/>
      <c r="G947" s="8"/>
      <c r="I947" s="8"/>
      <c r="K947" s="8"/>
      <c r="M947" s="8"/>
      <c r="O947" s="8"/>
      <c r="Q947" s="8"/>
      <c r="S947" s="8"/>
      <c r="V947" s="8"/>
      <c r="X947" s="31"/>
      <c r="Y947" s="31" t="str">
        <f>IF($X947="","",SUMIFS(TARIFF_PROFILES!$D:$D,TARIFF_PROFILES!$A:$A,$X947))</f>
        <v/>
      </c>
      <c r="Z947" s="31" t="str">
        <f>IF($X947="","",SUMIFS(TARIFF_PROFILES!$E:$E,TARIFF_PROFILES!$A:$A,$X947))</f>
        <v/>
      </c>
      <c r="AA947" s="31" t="str">
        <f>IF($X947="","",SUMIFS(TARIFF_PROFILES!$F:$F,TARIFF_PROFILES!$A:$A,$X947))</f>
        <v/>
      </c>
      <c r="AB947" s="31" t="str">
        <f>IF($X947="","",SUMIFS(TARIFF_PROFILES!$G:$G,TARIFF_PROFILES!$A:$A,$X947))</f>
        <v/>
      </c>
      <c r="AC947" s="31" t="str">
        <f>IF($X947="","",SUMIFS(TARIFF_PROFILES!$H:$H,TARIFF_PROFILES!$A:$A,$X947))</f>
        <v/>
      </c>
      <c r="AD947" s="31" t="str">
        <f t="array" ref="AD947">IF($X947="","",INDEX(TARIFF_PROFILES!$J:$J,MATCH($X947,TARIFF_PROFILES!$A:$A,0)))</f>
        <v/>
      </c>
      <c r="AE947" s="31" t="str">
        <f t="array" ref="AE947">IF($X947="","",INDEX(TARIFF_PROFILES!$K:$K,MATCH($X947,TARIFF_PROFILES!$A:$A,0)))</f>
        <v/>
      </c>
      <c r="AG947" s="8"/>
      <c r="AH947" s="8" t="str">
        <f>IF($AG947="","",SUMIFS(OPERATING_COEFFS!$C:$C,OPERATING_COEFFS!$A:$A,"DistanceClass",OPERATING_COEFFS!$B:$B,$AG947))</f>
        <v/>
      </c>
      <c r="AI947" s="8"/>
      <c r="AJ947" s="8" t="str">
        <f>IF($AI947="","",SUMIFS(OPERATING_COEFFS!$C:$C,OPERATING_COEFFS!$A:$A,"SeasonClass",OPERATING_COEFFS!$B:$B,$AI947))</f>
        <v/>
      </c>
      <c r="AK947" s="8"/>
      <c r="AL947" s="8" t="str">
        <f>IF($AK947="","",SUMIFS(OPERATING_COEFFS!$C:$C,OPERATING_COEFFS!$A:$A,"UrgencyClass",OPERATING_COEFFS!$B:$B,$AK947))</f>
        <v/>
      </c>
      <c r="AM947" s="8"/>
      <c r="AN947" s="8" t="str">
        <f t="array" ref="AN947">IF($AM947="","",INDEX(TAX_MODES!$B:$B,MATCH($AM947,TAX_MODES!$A:$A,0)))</f>
        <v/>
      </c>
    </row>
    <row r="948" ht="14.25" customHeight="1">
      <c r="C948" s="8"/>
      <c r="E948" s="8"/>
      <c r="G948" s="8"/>
      <c r="I948" s="8"/>
      <c r="K948" s="8"/>
      <c r="M948" s="8"/>
      <c r="O948" s="8"/>
      <c r="Q948" s="8"/>
      <c r="S948" s="8"/>
      <c r="V948" s="8"/>
      <c r="X948" s="31"/>
      <c r="Y948" s="31" t="str">
        <f>IF($X948="","",SUMIFS(TARIFF_PROFILES!$D:$D,TARIFF_PROFILES!$A:$A,$X948))</f>
        <v/>
      </c>
      <c r="Z948" s="31" t="str">
        <f>IF($X948="","",SUMIFS(TARIFF_PROFILES!$E:$E,TARIFF_PROFILES!$A:$A,$X948))</f>
        <v/>
      </c>
      <c r="AA948" s="31" t="str">
        <f>IF($X948="","",SUMIFS(TARIFF_PROFILES!$F:$F,TARIFF_PROFILES!$A:$A,$X948))</f>
        <v/>
      </c>
      <c r="AB948" s="31" t="str">
        <f>IF($X948="","",SUMIFS(TARIFF_PROFILES!$G:$G,TARIFF_PROFILES!$A:$A,$X948))</f>
        <v/>
      </c>
      <c r="AC948" s="31" t="str">
        <f>IF($X948="","",SUMIFS(TARIFF_PROFILES!$H:$H,TARIFF_PROFILES!$A:$A,$X948))</f>
        <v/>
      </c>
      <c r="AD948" s="31" t="str">
        <f t="array" ref="AD948">IF($X948="","",INDEX(TARIFF_PROFILES!$J:$J,MATCH($X948,TARIFF_PROFILES!$A:$A,0)))</f>
        <v/>
      </c>
      <c r="AE948" s="31" t="str">
        <f t="array" ref="AE948">IF($X948="","",INDEX(TARIFF_PROFILES!$K:$K,MATCH($X948,TARIFF_PROFILES!$A:$A,0)))</f>
        <v/>
      </c>
      <c r="AG948" s="8"/>
      <c r="AH948" s="8" t="str">
        <f>IF($AG948="","",SUMIFS(OPERATING_COEFFS!$C:$C,OPERATING_COEFFS!$A:$A,"DistanceClass",OPERATING_COEFFS!$B:$B,$AG948))</f>
        <v/>
      </c>
      <c r="AI948" s="8"/>
      <c r="AJ948" s="8" t="str">
        <f>IF($AI948="","",SUMIFS(OPERATING_COEFFS!$C:$C,OPERATING_COEFFS!$A:$A,"SeasonClass",OPERATING_COEFFS!$B:$B,$AI948))</f>
        <v/>
      </c>
      <c r="AK948" s="8"/>
      <c r="AL948" s="8" t="str">
        <f>IF($AK948="","",SUMIFS(OPERATING_COEFFS!$C:$C,OPERATING_COEFFS!$A:$A,"UrgencyClass",OPERATING_COEFFS!$B:$B,$AK948))</f>
        <v/>
      </c>
      <c r="AM948" s="8"/>
      <c r="AN948" s="8" t="str">
        <f t="array" ref="AN948">IF($AM948="","",INDEX(TAX_MODES!$B:$B,MATCH($AM948,TAX_MODES!$A:$A,0)))</f>
        <v/>
      </c>
    </row>
    <row r="949" ht="14.25" customHeight="1">
      <c r="C949" s="8"/>
      <c r="E949" s="8"/>
      <c r="G949" s="8"/>
      <c r="I949" s="8"/>
      <c r="K949" s="8"/>
      <c r="M949" s="8"/>
      <c r="O949" s="8"/>
      <c r="Q949" s="8"/>
      <c r="S949" s="8"/>
      <c r="V949" s="8"/>
      <c r="X949" s="31"/>
      <c r="Y949" s="31" t="str">
        <f>IF($X949="","",SUMIFS(TARIFF_PROFILES!$D:$D,TARIFF_PROFILES!$A:$A,$X949))</f>
        <v/>
      </c>
      <c r="Z949" s="31" t="str">
        <f>IF($X949="","",SUMIFS(TARIFF_PROFILES!$E:$E,TARIFF_PROFILES!$A:$A,$X949))</f>
        <v/>
      </c>
      <c r="AA949" s="31" t="str">
        <f>IF($X949="","",SUMIFS(TARIFF_PROFILES!$F:$F,TARIFF_PROFILES!$A:$A,$X949))</f>
        <v/>
      </c>
      <c r="AB949" s="31" t="str">
        <f>IF($X949="","",SUMIFS(TARIFF_PROFILES!$G:$G,TARIFF_PROFILES!$A:$A,$X949))</f>
        <v/>
      </c>
      <c r="AC949" s="31" t="str">
        <f>IF($X949="","",SUMIFS(TARIFF_PROFILES!$H:$H,TARIFF_PROFILES!$A:$A,$X949))</f>
        <v/>
      </c>
      <c r="AD949" s="31" t="str">
        <f t="array" ref="AD949">IF($X949="","",INDEX(TARIFF_PROFILES!$J:$J,MATCH($X949,TARIFF_PROFILES!$A:$A,0)))</f>
        <v/>
      </c>
      <c r="AE949" s="31" t="str">
        <f t="array" ref="AE949">IF($X949="","",INDEX(TARIFF_PROFILES!$K:$K,MATCH($X949,TARIFF_PROFILES!$A:$A,0)))</f>
        <v/>
      </c>
      <c r="AG949" s="8"/>
      <c r="AH949" s="8" t="str">
        <f>IF($AG949="","",SUMIFS(OPERATING_COEFFS!$C:$C,OPERATING_COEFFS!$A:$A,"DistanceClass",OPERATING_COEFFS!$B:$B,$AG949))</f>
        <v/>
      </c>
      <c r="AI949" s="8"/>
      <c r="AJ949" s="8" t="str">
        <f>IF($AI949="","",SUMIFS(OPERATING_COEFFS!$C:$C,OPERATING_COEFFS!$A:$A,"SeasonClass",OPERATING_COEFFS!$B:$B,$AI949))</f>
        <v/>
      </c>
      <c r="AK949" s="8"/>
      <c r="AL949" s="8" t="str">
        <f>IF($AK949="","",SUMIFS(OPERATING_COEFFS!$C:$C,OPERATING_COEFFS!$A:$A,"UrgencyClass",OPERATING_COEFFS!$B:$B,$AK949))</f>
        <v/>
      </c>
      <c r="AM949" s="8"/>
      <c r="AN949" s="8" t="str">
        <f t="array" ref="AN949">IF($AM949="","",INDEX(TAX_MODES!$B:$B,MATCH($AM949,TAX_MODES!$A:$A,0)))</f>
        <v/>
      </c>
    </row>
    <row r="950" ht="14.25" customHeight="1">
      <c r="C950" s="8"/>
      <c r="E950" s="8"/>
      <c r="G950" s="8"/>
      <c r="I950" s="8"/>
      <c r="K950" s="8"/>
      <c r="M950" s="8"/>
      <c r="O950" s="8"/>
      <c r="Q950" s="8"/>
      <c r="S950" s="8"/>
      <c r="V950" s="8"/>
      <c r="X950" s="31"/>
      <c r="Y950" s="31" t="str">
        <f>IF($X950="","",SUMIFS(TARIFF_PROFILES!$D:$D,TARIFF_PROFILES!$A:$A,$X950))</f>
        <v/>
      </c>
      <c r="Z950" s="31" t="str">
        <f>IF($X950="","",SUMIFS(TARIFF_PROFILES!$E:$E,TARIFF_PROFILES!$A:$A,$X950))</f>
        <v/>
      </c>
      <c r="AA950" s="31" t="str">
        <f>IF($X950="","",SUMIFS(TARIFF_PROFILES!$F:$F,TARIFF_PROFILES!$A:$A,$X950))</f>
        <v/>
      </c>
      <c r="AB950" s="31" t="str">
        <f>IF($X950="","",SUMIFS(TARIFF_PROFILES!$G:$G,TARIFF_PROFILES!$A:$A,$X950))</f>
        <v/>
      </c>
      <c r="AC950" s="31" t="str">
        <f>IF($X950="","",SUMIFS(TARIFF_PROFILES!$H:$H,TARIFF_PROFILES!$A:$A,$X950))</f>
        <v/>
      </c>
      <c r="AD950" s="31" t="str">
        <f t="array" ref="AD950">IF($X950="","",INDEX(TARIFF_PROFILES!$J:$J,MATCH($X950,TARIFF_PROFILES!$A:$A,0)))</f>
        <v/>
      </c>
      <c r="AE950" s="31" t="str">
        <f t="array" ref="AE950">IF($X950="","",INDEX(TARIFF_PROFILES!$K:$K,MATCH($X950,TARIFF_PROFILES!$A:$A,0)))</f>
        <v/>
      </c>
      <c r="AG950" s="8"/>
      <c r="AH950" s="8" t="str">
        <f>IF($AG950="","",SUMIFS(OPERATING_COEFFS!$C:$C,OPERATING_COEFFS!$A:$A,"DistanceClass",OPERATING_COEFFS!$B:$B,$AG950))</f>
        <v/>
      </c>
      <c r="AI950" s="8"/>
      <c r="AJ950" s="8" t="str">
        <f>IF($AI950="","",SUMIFS(OPERATING_COEFFS!$C:$C,OPERATING_COEFFS!$A:$A,"SeasonClass",OPERATING_COEFFS!$B:$B,$AI950))</f>
        <v/>
      </c>
      <c r="AK950" s="8"/>
      <c r="AL950" s="8" t="str">
        <f>IF($AK950="","",SUMIFS(OPERATING_COEFFS!$C:$C,OPERATING_COEFFS!$A:$A,"UrgencyClass",OPERATING_COEFFS!$B:$B,$AK950))</f>
        <v/>
      </c>
      <c r="AM950" s="8"/>
      <c r="AN950" s="8" t="str">
        <f t="array" ref="AN950">IF($AM950="","",INDEX(TAX_MODES!$B:$B,MATCH($AM950,TAX_MODES!$A:$A,0)))</f>
        <v/>
      </c>
    </row>
    <row r="951" ht="14.25" customHeight="1">
      <c r="C951" s="8"/>
      <c r="E951" s="8"/>
      <c r="G951" s="8"/>
      <c r="I951" s="8"/>
      <c r="K951" s="8"/>
      <c r="M951" s="8"/>
      <c r="O951" s="8"/>
      <c r="Q951" s="8"/>
      <c r="S951" s="8"/>
      <c r="V951" s="8"/>
      <c r="X951" s="31"/>
      <c r="Y951" s="31" t="str">
        <f>IF($X951="","",SUMIFS(TARIFF_PROFILES!$D:$D,TARIFF_PROFILES!$A:$A,$X951))</f>
        <v/>
      </c>
      <c r="Z951" s="31" t="str">
        <f>IF($X951="","",SUMIFS(TARIFF_PROFILES!$E:$E,TARIFF_PROFILES!$A:$A,$X951))</f>
        <v/>
      </c>
      <c r="AA951" s="31" t="str">
        <f>IF($X951="","",SUMIFS(TARIFF_PROFILES!$F:$F,TARIFF_PROFILES!$A:$A,$X951))</f>
        <v/>
      </c>
      <c r="AB951" s="31" t="str">
        <f>IF($X951="","",SUMIFS(TARIFF_PROFILES!$G:$G,TARIFF_PROFILES!$A:$A,$X951))</f>
        <v/>
      </c>
      <c r="AC951" s="31" t="str">
        <f>IF($X951="","",SUMIFS(TARIFF_PROFILES!$H:$H,TARIFF_PROFILES!$A:$A,$X951))</f>
        <v/>
      </c>
      <c r="AD951" s="31" t="str">
        <f t="array" ref="AD951">IF($X951="","",INDEX(TARIFF_PROFILES!$J:$J,MATCH($X951,TARIFF_PROFILES!$A:$A,0)))</f>
        <v/>
      </c>
      <c r="AE951" s="31" t="str">
        <f t="array" ref="AE951">IF($X951="","",INDEX(TARIFF_PROFILES!$K:$K,MATCH($X951,TARIFF_PROFILES!$A:$A,0)))</f>
        <v/>
      </c>
      <c r="AG951" s="8"/>
      <c r="AH951" s="8" t="str">
        <f>IF($AG951="","",SUMIFS(OPERATING_COEFFS!$C:$C,OPERATING_COEFFS!$A:$A,"DistanceClass",OPERATING_COEFFS!$B:$B,$AG951))</f>
        <v/>
      </c>
      <c r="AI951" s="8"/>
      <c r="AJ951" s="8" t="str">
        <f>IF($AI951="","",SUMIFS(OPERATING_COEFFS!$C:$C,OPERATING_COEFFS!$A:$A,"SeasonClass",OPERATING_COEFFS!$B:$B,$AI951))</f>
        <v/>
      </c>
      <c r="AK951" s="8"/>
      <c r="AL951" s="8" t="str">
        <f>IF($AK951="","",SUMIFS(OPERATING_COEFFS!$C:$C,OPERATING_COEFFS!$A:$A,"UrgencyClass",OPERATING_COEFFS!$B:$B,$AK951))</f>
        <v/>
      </c>
      <c r="AM951" s="8"/>
      <c r="AN951" s="8" t="str">
        <f t="array" ref="AN951">IF($AM951="","",INDEX(TAX_MODES!$B:$B,MATCH($AM951,TAX_MODES!$A:$A,0)))</f>
        <v/>
      </c>
    </row>
    <row r="952" ht="14.25" customHeight="1">
      <c r="C952" s="8"/>
      <c r="E952" s="8"/>
      <c r="G952" s="8"/>
      <c r="I952" s="8"/>
      <c r="K952" s="8"/>
      <c r="M952" s="8"/>
      <c r="O952" s="8"/>
      <c r="Q952" s="8"/>
      <c r="S952" s="8"/>
      <c r="V952" s="8"/>
      <c r="X952" s="31"/>
      <c r="Y952" s="31" t="str">
        <f>IF($X952="","",SUMIFS(TARIFF_PROFILES!$D:$D,TARIFF_PROFILES!$A:$A,$X952))</f>
        <v/>
      </c>
      <c r="Z952" s="31" t="str">
        <f>IF($X952="","",SUMIFS(TARIFF_PROFILES!$E:$E,TARIFF_PROFILES!$A:$A,$X952))</f>
        <v/>
      </c>
      <c r="AA952" s="31" t="str">
        <f>IF($X952="","",SUMIFS(TARIFF_PROFILES!$F:$F,TARIFF_PROFILES!$A:$A,$X952))</f>
        <v/>
      </c>
      <c r="AB952" s="31" t="str">
        <f>IF($X952="","",SUMIFS(TARIFF_PROFILES!$G:$G,TARIFF_PROFILES!$A:$A,$X952))</f>
        <v/>
      </c>
      <c r="AC952" s="31" t="str">
        <f>IF($X952="","",SUMIFS(TARIFF_PROFILES!$H:$H,TARIFF_PROFILES!$A:$A,$X952))</f>
        <v/>
      </c>
      <c r="AD952" s="31" t="str">
        <f t="array" ref="AD952">IF($X952="","",INDEX(TARIFF_PROFILES!$J:$J,MATCH($X952,TARIFF_PROFILES!$A:$A,0)))</f>
        <v/>
      </c>
      <c r="AE952" s="31" t="str">
        <f t="array" ref="AE952">IF($X952="","",INDEX(TARIFF_PROFILES!$K:$K,MATCH($X952,TARIFF_PROFILES!$A:$A,0)))</f>
        <v/>
      </c>
      <c r="AG952" s="8"/>
      <c r="AH952" s="8" t="str">
        <f>IF($AG952="","",SUMIFS(OPERATING_COEFFS!$C:$C,OPERATING_COEFFS!$A:$A,"DistanceClass",OPERATING_COEFFS!$B:$B,$AG952))</f>
        <v/>
      </c>
      <c r="AI952" s="8"/>
      <c r="AJ952" s="8" t="str">
        <f>IF($AI952="","",SUMIFS(OPERATING_COEFFS!$C:$C,OPERATING_COEFFS!$A:$A,"SeasonClass",OPERATING_COEFFS!$B:$B,$AI952))</f>
        <v/>
      </c>
      <c r="AK952" s="8"/>
      <c r="AL952" s="8" t="str">
        <f>IF($AK952="","",SUMIFS(OPERATING_COEFFS!$C:$C,OPERATING_COEFFS!$A:$A,"UrgencyClass",OPERATING_COEFFS!$B:$B,$AK952))</f>
        <v/>
      </c>
      <c r="AM952" s="8"/>
      <c r="AN952" s="8" t="str">
        <f t="array" ref="AN952">IF($AM952="","",INDEX(TAX_MODES!$B:$B,MATCH($AM952,TAX_MODES!$A:$A,0)))</f>
        <v/>
      </c>
    </row>
    <row r="953" ht="14.25" customHeight="1">
      <c r="C953" s="8"/>
      <c r="E953" s="8"/>
      <c r="G953" s="8"/>
      <c r="I953" s="8"/>
      <c r="K953" s="8"/>
      <c r="M953" s="8"/>
      <c r="O953" s="8"/>
      <c r="Q953" s="8"/>
      <c r="S953" s="8"/>
      <c r="V953" s="8"/>
      <c r="X953" s="31"/>
      <c r="Y953" s="31" t="str">
        <f>IF($X953="","",SUMIFS(TARIFF_PROFILES!$D:$D,TARIFF_PROFILES!$A:$A,$X953))</f>
        <v/>
      </c>
      <c r="Z953" s="31" t="str">
        <f>IF($X953="","",SUMIFS(TARIFF_PROFILES!$E:$E,TARIFF_PROFILES!$A:$A,$X953))</f>
        <v/>
      </c>
      <c r="AA953" s="31" t="str">
        <f>IF($X953="","",SUMIFS(TARIFF_PROFILES!$F:$F,TARIFF_PROFILES!$A:$A,$X953))</f>
        <v/>
      </c>
      <c r="AB953" s="31" t="str">
        <f>IF($X953="","",SUMIFS(TARIFF_PROFILES!$G:$G,TARIFF_PROFILES!$A:$A,$X953))</f>
        <v/>
      </c>
      <c r="AC953" s="31" t="str">
        <f>IF($X953="","",SUMIFS(TARIFF_PROFILES!$H:$H,TARIFF_PROFILES!$A:$A,$X953))</f>
        <v/>
      </c>
      <c r="AD953" s="31" t="str">
        <f t="array" ref="AD953">IF($X953="","",INDEX(TARIFF_PROFILES!$J:$J,MATCH($X953,TARIFF_PROFILES!$A:$A,0)))</f>
        <v/>
      </c>
      <c r="AE953" s="31" t="str">
        <f t="array" ref="AE953">IF($X953="","",INDEX(TARIFF_PROFILES!$K:$K,MATCH($X953,TARIFF_PROFILES!$A:$A,0)))</f>
        <v/>
      </c>
      <c r="AG953" s="8"/>
      <c r="AH953" s="8" t="str">
        <f>IF($AG953="","",SUMIFS(OPERATING_COEFFS!$C:$C,OPERATING_COEFFS!$A:$A,"DistanceClass",OPERATING_COEFFS!$B:$B,$AG953))</f>
        <v/>
      </c>
      <c r="AI953" s="8"/>
      <c r="AJ953" s="8" t="str">
        <f>IF($AI953="","",SUMIFS(OPERATING_COEFFS!$C:$C,OPERATING_COEFFS!$A:$A,"SeasonClass",OPERATING_COEFFS!$B:$B,$AI953))</f>
        <v/>
      </c>
      <c r="AK953" s="8"/>
      <c r="AL953" s="8" t="str">
        <f>IF($AK953="","",SUMIFS(OPERATING_COEFFS!$C:$C,OPERATING_COEFFS!$A:$A,"UrgencyClass",OPERATING_COEFFS!$B:$B,$AK953))</f>
        <v/>
      </c>
      <c r="AM953" s="8"/>
      <c r="AN953" s="8" t="str">
        <f t="array" ref="AN953">IF($AM953="","",INDEX(TAX_MODES!$B:$B,MATCH($AM953,TAX_MODES!$A:$A,0)))</f>
        <v/>
      </c>
    </row>
    <row r="954" ht="14.25" customHeight="1">
      <c r="C954" s="8"/>
      <c r="E954" s="8"/>
      <c r="G954" s="8"/>
      <c r="I954" s="8"/>
      <c r="K954" s="8"/>
      <c r="M954" s="8"/>
      <c r="O954" s="8"/>
      <c r="Q954" s="8"/>
      <c r="S954" s="8"/>
      <c r="V954" s="8"/>
      <c r="X954" s="31"/>
      <c r="Y954" s="31" t="str">
        <f>IF($X954="","",SUMIFS(TARIFF_PROFILES!$D:$D,TARIFF_PROFILES!$A:$A,$X954))</f>
        <v/>
      </c>
      <c r="Z954" s="31" t="str">
        <f>IF($X954="","",SUMIFS(TARIFF_PROFILES!$E:$E,TARIFF_PROFILES!$A:$A,$X954))</f>
        <v/>
      </c>
      <c r="AA954" s="31" t="str">
        <f>IF($X954="","",SUMIFS(TARIFF_PROFILES!$F:$F,TARIFF_PROFILES!$A:$A,$X954))</f>
        <v/>
      </c>
      <c r="AB954" s="31" t="str">
        <f>IF($X954="","",SUMIFS(TARIFF_PROFILES!$G:$G,TARIFF_PROFILES!$A:$A,$X954))</f>
        <v/>
      </c>
      <c r="AC954" s="31" t="str">
        <f>IF($X954="","",SUMIFS(TARIFF_PROFILES!$H:$H,TARIFF_PROFILES!$A:$A,$X954))</f>
        <v/>
      </c>
      <c r="AD954" s="31" t="str">
        <f t="array" ref="AD954">IF($X954="","",INDEX(TARIFF_PROFILES!$J:$J,MATCH($X954,TARIFF_PROFILES!$A:$A,0)))</f>
        <v/>
      </c>
      <c r="AE954" s="31" t="str">
        <f t="array" ref="AE954">IF($X954="","",INDEX(TARIFF_PROFILES!$K:$K,MATCH($X954,TARIFF_PROFILES!$A:$A,0)))</f>
        <v/>
      </c>
      <c r="AG954" s="8"/>
      <c r="AH954" s="8" t="str">
        <f>IF($AG954="","",SUMIFS(OPERATING_COEFFS!$C:$C,OPERATING_COEFFS!$A:$A,"DistanceClass",OPERATING_COEFFS!$B:$B,$AG954))</f>
        <v/>
      </c>
      <c r="AI954" s="8"/>
      <c r="AJ954" s="8" t="str">
        <f>IF($AI954="","",SUMIFS(OPERATING_COEFFS!$C:$C,OPERATING_COEFFS!$A:$A,"SeasonClass",OPERATING_COEFFS!$B:$B,$AI954))</f>
        <v/>
      </c>
      <c r="AK954" s="8"/>
      <c r="AL954" s="8" t="str">
        <f>IF($AK954="","",SUMIFS(OPERATING_COEFFS!$C:$C,OPERATING_COEFFS!$A:$A,"UrgencyClass",OPERATING_COEFFS!$B:$B,$AK954))</f>
        <v/>
      </c>
      <c r="AM954" s="8"/>
      <c r="AN954" s="8" t="str">
        <f t="array" ref="AN954">IF($AM954="","",INDEX(TAX_MODES!$B:$B,MATCH($AM954,TAX_MODES!$A:$A,0)))</f>
        <v/>
      </c>
    </row>
    <row r="955" ht="14.25" customHeight="1">
      <c r="C955" s="8"/>
      <c r="E955" s="8"/>
      <c r="G955" s="8"/>
      <c r="I955" s="8"/>
      <c r="K955" s="8"/>
      <c r="M955" s="8"/>
      <c r="O955" s="8"/>
      <c r="Q955" s="8"/>
      <c r="S955" s="8"/>
      <c r="V955" s="8"/>
      <c r="X955" s="31"/>
      <c r="Y955" s="31" t="str">
        <f>IF($X955="","",SUMIFS(TARIFF_PROFILES!$D:$D,TARIFF_PROFILES!$A:$A,$X955))</f>
        <v/>
      </c>
      <c r="Z955" s="31" t="str">
        <f>IF($X955="","",SUMIFS(TARIFF_PROFILES!$E:$E,TARIFF_PROFILES!$A:$A,$X955))</f>
        <v/>
      </c>
      <c r="AA955" s="31" t="str">
        <f>IF($X955="","",SUMIFS(TARIFF_PROFILES!$F:$F,TARIFF_PROFILES!$A:$A,$X955))</f>
        <v/>
      </c>
      <c r="AB955" s="31" t="str">
        <f>IF($X955="","",SUMIFS(TARIFF_PROFILES!$G:$G,TARIFF_PROFILES!$A:$A,$X955))</f>
        <v/>
      </c>
      <c r="AC955" s="31" t="str">
        <f>IF($X955="","",SUMIFS(TARIFF_PROFILES!$H:$H,TARIFF_PROFILES!$A:$A,$X955))</f>
        <v/>
      </c>
      <c r="AD955" s="31" t="str">
        <f t="array" ref="AD955">IF($X955="","",INDEX(TARIFF_PROFILES!$J:$J,MATCH($X955,TARIFF_PROFILES!$A:$A,0)))</f>
        <v/>
      </c>
      <c r="AE955" s="31" t="str">
        <f t="array" ref="AE955">IF($X955="","",INDEX(TARIFF_PROFILES!$K:$K,MATCH($X955,TARIFF_PROFILES!$A:$A,0)))</f>
        <v/>
      </c>
      <c r="AG955" s="8"/>
      <c r="AH955" s="8" t="str">
        <f>IF($AG955="","",SUMIFS(OPERATING_COEFFS!$C:$C,OPERATING_COEFFS!$A:$A,"DistanceClass",OPERATING_COEFFS!$B:$B,$AG955))</f>
        <v/>
      </c>
      <c r="AI955" s="8"/>
      <c r="AJ955" s="8" t="str">
        <f>IF($AI955="","",SUMIFS(OPERATING_COEFFS!$C:$C,OPERATING_COEFFS!$A:$A,"SeasonClass",OPERATING_COEFFS!$B:$B,$AI955))</f>
        <v/>
      </c>
      <c r="AK955" s="8"/>
      <c r="AL955" s="8" t="str">
        <f>IF($AK955="","",SUMIFS(OPERATING_COEFFS!$C:$C,OPERATING_COEFFS!$A:$A,"UrgencyClass",OPERATING_COEFFS!$B:$B,$AK955))</f>
        <v/>
      </c>
      <c r="AM955" s="8"/>
      <c r="AN955" s="8" t="str">
        <f t="array" ref="AN955">IF($AM955="","",INDEX(TAX_MODES!$B:$B,MATCH($AM955,TAX_MODES!$A:$A,0)))</f>
        <v/>
      </c>
    </row>
    <row r="956" ht="14.25" customHeight="1">
      <c r="C956" s="8"/>
      <c r="E956" s="8"/>
      <c r="G956" s="8"/>
      <c r="I956" s="8"/>
      <c r="K956" s="8"/>
      <c r="M956" s="8"/>
      <c r="O956" s="8"/>
      <c r="Q956" s="8"/>
      <c r="S956" s="8"/>
      <c r="V956" s="8"/>
      <c r="X956" s="31"/>
      <c r="Y956" s="31" t="str">
        <f>IF($X956="","",SUMIFS(TARIFF_PROFILES!$D:$D,TARIFF_PROFILES!$A:$A,$X956))</f>
        <v/>
      </c>
      <c r="Z956" s="31" t="str">
        <f>IF($X956="","",SUMIFS(TARIFF_PROFILES!$E:$E,TARIFF_PROFILES!$A:$A,$X956))</f>
        <v/>
      </c>
      <c r="AA956" s="31" t="str">
        <f>IF($X956="","",SUMIFS(TARIFF_PROFILES!$F:$F,TARIFF_PROFILES!$A:$A,$X956))</f>
        <v/>
      </c>
      <c r="AB956" s="31" t="str">
        <f>IF($X956="","",SUMIFS(TARIFF_PROFILES!$G:$G,TARIFF_PROFILES!$A:$A,$X956))</f>
        <v/>
      </c>
      <c r="AC956" s="31" t="str">
        <f>IF($X956="","",SUMIFS(TARIFF_PROFILES!$H:$H,TARIFF_PROFILES!$A:$A,$X956))</f>
        <v/>
      </c>
      <c r="AD956" s="31" t="str">
        <f t="array" ref="AD956">IF($X956="","",INDEX(TARIFF_PROFILES!$J:$J,MATCH($X956,TARIFF_PROFILES!$A:$A,0)))</f>
        <v/>
      </c>
      <c r="AE956" s="31" t="str">
        <f t="array" ref="AE956">IF($X956="","",INDEX(TARIFF_PROFILES!$K:$K,MATCH($X956,TARIFF_PROFILES!$A:$A,0)))</f>
        <v/>
      </c>
      <c r="AG956" s="8"/>
      <c r="AH956" s="8" t="str">
        <f>IF($AG956="","",SUMIFS(OPERATING_COEFFS!$C:$C,OPERATING_COEFFS!$A:$A,"DistanceClass",OPERATING_COEFFS!$B:$B,$AG956))</f>
        <v/>
      </c>
      <c r="AI956" s="8"/>
      <c r="AJ956" s="8" t="str">
        <f>IF($AI956="","",SUMIFS(OPERATING_COEFFS!$C:$C,OPERATING_COEFFS!$A:$A,"SeasonClass",OPERATING_COEFFS!$B:$B,$AI956))</f>
        <v/>
      </c>
      <c r="AK956" s="8"/>
      <c r="AL956" s="8" t="str">
        <f>IF($AK956="","",SUMIFS(OPERATING_COEFFS!$C:$C,OPERATING_COEFFS!$A:$A,"UrgencyClass",OPERATING_COEFFS!$B:$B,$AK956))</f>
        <v/>
      </c>
      <c r="AM956" s="8"/>
      <c r="AN956" s="8" t="str">
        <f t="array" ref="AN956">IF($AM956="","",INDEX(TAX_MODES!$B:$B,MATCH($AM956,TAX_MODES!$A:$A,0)))</f>
        <v/>
      </c>
    </row>
    <row r="957" ht="14.25" customHeight="1">
      <c r="C957" s="8"/>
      <c r="E957" s="8"/>
      <c r="G957" s="8"/>
      <c r="I957" s="8"/>
      <c r="K957" s="8"/>
      <c r="M957" s="8"/>
      <c r="O957" s="8"/>
      <c r="Q957" s="8"/>
      <c r="S957" s="8"/>
      <c r="V957" s="8"/>
      <c r="X957" s="31"/>
      <c r="Y957" s="31" t="str">
        <f>IF($X957="","",SUMIFS(TARIFF_PROFILES!$D:$D,TARIFF_PROFILES!$A:$A,$X957))</f>
        <v/>
      </c>
      <c r="Z957" s="31" t="str">
        <f>IF($X957="","",SUMIFS(TARIFF_PROFILES!$E:$E,TARIFF_PROFILES!$A:$A,$X957))</f>
        <v/>
      </c>
      <c r="AA957" s="31" t="str">
        <f>IF($X957="","",SUMIFS(TARIFF_PROFILES!$F:$F,TARIFF_PROFILES!$A:$A,$X957))</f>
        <v/>
      </c>
      <c r="AB957" s="31" t="str">
        <f>IF($X957="","",SUMIFS(TARIFF_PROFILES!$G:$G,TARIFF_PROFILES!$A:$A,$X957))</f>
        <v/>
      </c>
      <c r="AC957" s="31" t="str">
        <f>IF($X957="","",SUMIFS(TARIFF_PROFILES!$H:$H,TARIFF_PROFILES!$A:$A,$X957))</f>
        <v/>
      </c>
      <c r="AD957" s="31" t="str">
        <f t="array" ref="AD957">IF($X957="","",INDEX(TARIFF_PROFILES!$J:$J,MATCH($X957,TARIFF_PROFILES!$A:$A,0)))</f>
        <v/>
      </c>
      <c r="AE957" s="31" t="str">
        <f t="array" ref="AE957">IF($X957="","",INDEX(TARIFF_PROFILES!$K:$K,MATCH($X957,TARIFF_PROFILES!$A:$A,0)))</f>
        <v/>
      </c>
      <c r="AG957" s="8"/>
      <c r="AH957" s="8" t="str">
        <f>IF($AG957="","",SUMIFS(OPERATING_COEFFS!$C:$C,OPERATING_COEFFS!$A:$A,"DistanceClass",OPERATING_COEFFS!$B:$B,$AG957))</f>
        <v/>
      </c>
      <c r="AI957" s="8"/>
      <c r="AJ957" s="8" t="str">
        <f>IF($AI957="","",SUMIFS(OPERATING_COEFFS!$C:$C,OPERATING_COEFFS!$A:$A,"SeasonClass",OPERATING_COEFFS!$B:$B,$AI957))</f>
        <v/>
      </c>
      <c r="AK957" s="8"/>
      <c r="AL957" s="8" t="str">
        <f>IF($AK957="","",SUMIFS(OPERATING_COEFFS!$C:$C,OPERATING_COEFFS!$A:$A,"UrgencyClass",OPERATING_COEFFS!$B:$B,$AK957))</f>
        <v/>
      </c>
      <c r="AM957" s="8"/>
      <c r="AN957" s="8" t="str">
        <f t="array" ref="AN957">IF($AM957="","",INDEX(TAX_MODES!$B:$B,MATCH($AM957,TAX_MODES!$A:$A,0)))</f>
        <v/>
      </c>
    </row>
    <row r="958" ht="14.25" customHeight="1">
      <c r="C958" s="8"/>
      <c r="E958" s="8"/>
      <c r="G958" s="8"/>
      <c r="I958" s="8"/>
      <c r="K958" s="8"/>
      <c r="M958" s="8"/>
      <c r="O958" s="8"/>
      <c r="Q958" s="8"/>
      <c r="S958" s="8"/>
      <c r="V958" s="8"/>
      <c r="X958" s="31"/>
      <c r="Y958" s="31" t="str">
        <f>IF($X958="","",SUMIFS(TARIFF_PROFILES!$D:$D,TARIFF_PROFILES!$A:$A,$X958))</f>
        <v/>
      </c>
      <c r="Z958" s="31" t="str">
        <f>IF($X958="","",SUMIFS(TARIFF_PROFILES!$E:$E,TARIFF_PROFILES!$A:$A,$X958))</f>
        <v/>
      </c>
      <c r="AA958" s="31" t="str">
        <f>IF($X958="","",SUMIFS(TARIFF_PROFILES!$F:$F,TARIFF_PROFILES!$A:$A,$X958))</f>
        <v/>
      </c>
      <c r="AB958" s="31" t="str">
        <f>IF($X958="","",SUMIFS(TARIFF_PROFILES!$G:$G,TARIFF_PROFILES!$A:$A,$X958))</f>
        <v/>
      </c>
      <c r="AC958" s="31" t="str">
        <f>IF($X958="","",SUMIFS(TARIFF_PROFILES!$H:$H,TARIFF_PROFILES!$A:$A,$X958))</f>
        <v/>
      </c>
      <c r="AD958" s="31" t="str">
        <f t="array" ref="AD958">IF($X958="","",INDEX(TARIFF_PROFILES!$J:$J,MATCH($X958,TARIFF_PROFILES!$A:$A,0)))</f>
        <v/>
      </c>
      <c r="AE958" s="31" t="str">
        <f t="array" ref="AE958">IF($X958="","",INDEX(TARIFF_PROFILES!$K:$K,MATCH($X958,TARIFF_PROFILES!$A:$A,0)))</f>
        <v/>
      </c>
      <c r="AG958" s="8"/>
      <c r="AH958" s="8" t="str">
        <f>IF($AG958="","",SUMIFS(OPERATING_COEFFS!$C:$C,OPERATING_COEFFS!$A:$A,"DistanceClass",OPERATING_COEFFS!$B:$B,$AG958))</f>
        <v/>
      </c>
      <c r="AI958" s="8"/>
      <c r="AJ958" s="8" t="str">
        <f>IF($AI958="","",SUMIFS(OPERATING_COEFFS!$C:$C,OPERATING_COEFFS!$A:$A,"SeasonClass",OPERATING_COEFFS!$B:$B,$AI958))</f>
        <v/>
      </c>
      <c r="AK958" s="8"/>
      <c r="AL958" s="8" t="str">
        <f>IF($AK958="","",SUMIFS(OPERATING_COEFFS!$C:$C,OPERATING_COEFFS!$A:$A,"UrgencyClass",OPERATING_COEFFS!$B:$B,$AK958))</f>
        <v/>
      </c>
      <c r="AM958" s="8"/>
      <c r="AN958" s="8" t="str">
        <f t="array" ref="AN958">IF($AM958="","",INDEX(TAX_MODES!$B:$B,MATCH($AM958,TAX_MODES!$A:$A,0)))</f>
        <v/>
      </c>
    </row>
    <row r="959" ht="14.25" customHeight="1">
      <c r="C959" s="8"/>
      <c r="E959" s="8"/>
      <c r="G959" s="8"/>
      <c r="I959" s="8"/>
      <c r="K959" s="8"/>
      <c r="M959" s="8"/>
      <c r="O959" s="8"/>
      <c r="Q959" s="8"/>
      <c r="S959" s="8"/>
      <c r="V959" s="8"/>
      <c r="X959" s="31"/>
      <c r="Y959" s="31" t="str">
        <f>IF($X959="","",SUMIFS(TARIFF_PROFILES!$D:$D,TARIFF_PROFILES!$A:$A,$X959))</f>
        <v/>
      </c>
      <c r="Z959" s="31" t="str">
        <f>IF($X959="","",SUMIFS(TARIFF_PROFILES!$E:$E,TARIFF_PROFILES!$A:$A,$X959))</f>
        <v/>
      </c>
      <c r="AA959" s="31" t="str">
        <f>IF($X959="","",SUMIFS(TARIFF_PROFILES!$F:$F,TARIFF_PROFILES!$A:$A,$X959))</f>
        <v/>
      </c>
      <c r="AB959" s="31" t="str">
        <f>IF($X959="","",SUMIFS(TARIFF_PROFILES!$G:$G,TARIFF_PROFILES!$A:$A,$X959))</f>
        <v/>
      </c>
      <c r="AC959" s="31" t="str">
        <f>IF($X959="","",SUMIFS(TARIFF_PROFILES!$H:$H,TARIFF_PROFILES!$A:$A,$X959))</f>
        <v/>
      </c>
      <c r="AD959" s="31" t="str">
        <f t="array" ref="AD959">IF($X959="","",INDEX(TARIFF_PROFILES!$J:$J,MATCH($X959,TARIFF_PROFILES!$A:$A,0)))</f>
        <v/>
      </c>
      <c r="AE959" s="31" t="str">
        <f t="array" ref="AE959">IF($X959="","",INDEX(TARIFF_PROFILES!$K:$K,MATCH($X959,TARIFF_PROFILES!$A:$A,0)))</f>
        <v/>
      </c>
      <c r="AG959" s="8"/>
      <c r="AH959" s="8" t="str">
        <f>IF($AG959="","",SUMIFS(OPERATING_COEFFS!$C:$C,OPERATING_COEFFS!$A:$A,"DistanceClass",OPERATING_COEFFS!$B:$B,$AG959))</f>
        <v/>
      </c>
      <c r="AI959" s="8"/>
      <c r="AJ959" s="8" t="str">
        <f>IF($AI959="","",SUMIFS(OPERATING_COEFFS!$C:$C,OPERATING_COEFFS!$A:$A,"SeasonClass",OPERATING_COEFFS!$B:$B,$AI959))</f>
        <v/>
      </c>
      <c r="AK959" s="8"/>
      <c r="AL959" s="8" t="str">
        <f>IF($AK959="","",SUMIFS(OPERATING_COEFFS!$C:$C,OPERATING_COEFFS!$A:$A,"UrgencyClass",OPERATING_COEFFS!$B:$B,$AK959))</f>
        <v/>
      </c>
      <c r="AM959" s="8"/>
      <c r="AN959" s="8" t="str">
        <f t="array" ref="AN959">IF($AM959="","",INDEX(TAX_MODES!$B:$B,MATCH($AM959,TAX_MODES!$A:$A,0)))</f>
        <v/>
      </c>
    </row>
    <row r="960" ht="14.25" customHeight="1">
      <c r="C960" s="8"/>
      <c r="E960" s="8"/>
      <c r="G960" s="8"/>
      <c r="I960" s="8"/>
      <c r="K960" s="8"/>
      <c r="M960" s="8"/>
      <c r="O960" s="8"/>
      <c r="Q960" s="8"/>
      <c r="S960" s="8"/>
      <c r="V960" s="8"/>
      <c r="X960" s="31"/>
      <c r="Y960" s="31" t="str">
        <f>IF($X960="","",SUMIFS(TARIFF_PROFILES!$D:$D,TARIFF_PROFILES!$A:$A,$X960))</f>
        <v/>
      </c>
      <c r="Z960" s="31" t="str">
        <f>IF($X960="","",SUMIFS(TARIFF_PROFILES!$E:$E,TARIFF_PROFILES!$A:$A,$X960))</f>
        <v/>
      </c>
      <c r="AA960" s="31" t="str">
        <f>IF($X960="","",SUMIFS(TARIFF_PROFILES!$F:$F,TARIFF_PROFILES!$A:$A,$X960))</f>
        <v/>
      </c>
      <c r="AB960" s="31" t="str">
        <f>IF($X960="","",SUMIFS(TARIFF_PROFILES!$G:$G,TARIFF_PROFILES!$A:$A,$X960))</f>
        <v/>
      </c>
      <c r="AC960" s="31" t="str">
        <f>IF($X960="","",SUMIFS(TARIFF_PROFILES!$H:$H,TARIFF_PROFILES!$A:$A,$X960))</f>
        <v/>
      </c>
      <c r="AD960" s="31" t="str">
        <f t="array" ref="AD960">IF($X960="","",INDEX(TARIFF_PROFILES!$J:$J,MATCH($X960,TARIFF_PROFILES!$A:$A,0)))</f>
        <v/>
      </c>
      <c r="AE960" s="31" t="str">
        <f t="array" ref="AE960">IF($X960="","",INDEX(TARIFF_PROFILES!$K:$K,MATCH($X960,TARIFF_PROFILES!$A:$A,0)))</f>
        <v/>
      </c>
      <c r="AG960" s="8"/>
      <c r="AH960" s="8" t="str">
        <f>IF($AG960="","",SUMIFS(OPERATING_COEFFS!$C:$C,OPERATING_COEFFS!$A:$A,"DistanceClass",OPERATING_COEFFS!$B:$B,$AG960))</f>
        <v/>
      </c>
      <c r="AI960" s="8"/>
      <c r="AJ960" s="8" t="str">
        <f>IF($AI960="","",SUMIFS(OPERATING_COEFFS!$C:$C,OPERATING_COEFFS!$A:$A,"SeasonClass",OPERATING_COEFFS!$B:$B,$AI960))</f>
        <v/>
      </c>
      <c r="AK960" s="8"/>
      <c r="AL960" s="8" t="str">
        <f>IF($AK960="","",SUMIFS(OPERATING_COEFFS!$C:$C,OPERATING_COEFFS!$A:$A,"UrgencyClass",OPERATING_COEFFS!$B:$B,$AK960))</f>
        <v/>
      </c>
      <c r="AM960" s="8"/>
      <c r="AN960" s="8" t="str">
        <f t="array" ref="AN960">IF($AM960="","",INDEX(TAX_MODES!$B:$B,MATCH($AM960,TAX_MODES!$A:$A,0)))</f>
        <v/>
      </c>
    </row>
    <row r="961" ht="14.25" customHeight="1">
      <c r="C961" s="8"/>
      <c r="E961" s="8"/>
      <c r="G961" s="8"/>
      <c r="I961" s="8"/>
      <c r="K961" s="8"/>
      <c r="M961" s="8"/>
      <c r="O961" s="8"/>
      <c r="Q961" s="8"/>
      <c r="S961" s="8"/>
      <c r="V961" s="8"/>
      <c r="X961" s="31"/>
      <c r="Y961" s="31" t="str">
        <f>IF($X961="","",SUMIFS(TARIFF_PROFILES!$D:$D,TARIFF_PROFILES!$A:$A,$X961))</f>
        <v/>
      </c>
      <c r="Z961" s="31" t="str">
        <f>IF($X961="","",SUMIFS(TARIFF_PROFILES!$E:$E,TARIFF_PROFILES!$A:$A,$X961))</f>
        <v/>
      </c>
      <c r="AA961" s="31" t="str">
        <f>IF($X961="","",SUMIFS(TARIFF_PROFILES!$F:$F,TARIFF_PROFILES!$A:$A,$X961))</f>
        <v/>
      </c>
      <c r="AB961" s="31" t="str">
        <f>IF($X961="","",SUMIFS(TARIFF_PROFILES!$G:$G,TARIFF_PROFILES!$A:$A,$X961))</f>
        <v/>
      </c>
      <c r="AC961" s="31" t="str">
        <f>IF($X961="","",SUMIFS(TARIFF_PROFILES!$H:$H,TARIFF_PROFILES!$A:$A,$X961))</f>
        <v/>
      </c>
      <c r="AD961" s="31" t="str">
        <f t="array" ref="AD961">IF($X961="","",INDEX(TARIFF_PROFILES!$J:$J,MATCH($X961,TARIFF_PROFILES!$A:$A,0)))</f>
        <v/>
      </c>
      <c r="AE961" s="31" t="str">
        <f t="array" ref="AE961">IF($X961="","",INDEX(TARIFF_PROFILES!$K:$K,MATCH($X961,TARIFF_PROFILES!$A:$A,0)))</f>
        <v/>
      </c>
      <c r="AG961" s="8"/>
      <c r="AH961" s="8" t="str">
        <f>IF($AG961="","",SUMIFS(OPERATING_COEFFS!$C:$C,OPERATING_COEFFS!$A:$A,"DistanceClass",OPERATING_COEFFS!$B:$B,$AG961))</f>
        <v/>
      </c>
      <c r="AI961" s="8"/>
      <c r="AJ961" s="8" t="str">
        <f>IF($AI961="","",SUMIFS(OPERATING_COEFFS!$C:$C,OPERATING_COEFFS!$A:$A,"SeasonClass",OPERATING_COEFFS!$B:$B,$AI961))</f>
        <v/>
      </c>
      <c r="AK961" s="8"/>
      <c r="AL961" s="8" t="str">
        <f>IF($AK961="","",SUMIFS(OPERATING_COEFFS!$C:$C,OPERATING_COEFFS!$A:$A,"UrgencyClass",OPERATING_COEFFS!$B:$B,$AK961))</f>
        <v/>
      </c>
      <c r="AM961" s="8"/>
      <c r="AN961" s="8" t="str">
        <f t="array" ref="AN961">IF($AM961="","",INDEX(TAX_MODES!$B:$B,MATCH($AM961,TAX_MODES!$A:$A,0)))</f>
        <v/>
      </c>
    </row>
    <row r="962" ht="14.25" customHeight="1">
      <c r="C962" s="8"/>
      <c r="E962" s="8"/>
      <c r="G962" s="8"/>
      <c r="I962" s="8"/>
      <c r="K962" s="8"/>
      <c r="M962" s="8"/>
      <c r="O962" s="8"/>
      <c r="Q962" s="8"/>
      <c r="S962" s="8"/>
      <c r="V962" s="8"/>
      <c r="X962" s="31"/>
      <c r="Y962" s="31" t="str">
        <f>IF($X962="","",SUMIFS(TARIFF_PROFILES!$D:$D,TARIFF_PROFILES!$A:$A,$X962))</f>
        <v/>
      </c>
      <c r="Z962" s="31" t="str">
        <f>IF($X962="","",SUMIFS(TARIFF_PROFILES!$E:$E,TARIFF_PROFILES!$A:$A,$X962))</f>
        <v/>
      </c>
      <c r="AA962" s="31" t="str">
        <f>IF($X962="","",SUMIFS(TARIFF_PROFILES!$F:$F,TARIFF_PROFILES!$A:$A,$X962))</f>
        <v/>
      </c>
      <c r="AB962" s="31" t="str">
        <f>IF($X962="","",SUMIFS(TARIFF_PROFILES!$G:$G,TARIFF_PROFILES!$A:$A,$X962))</f>
        <v/>
      </c>
      <c r="AC962" s="31" t="str">
        <f>IF($X962="","",SUMIFS(TARIFF_PROFILES!$H:$H,TARIFF_PROFILES!$A:$A,$X962))</f>
        <v/>
      </c>
      <c r="AD962" s="31" t="str">
        <f t="array" ref="AD962">IF($X962="","",INDEX(TARIFF_PROFILES!$J:$J,MATCH($X962,TARIFF_PROFILES!$A:$A,0)))</f>
        <v/>
      </c>
      <c r="AE962" s="31" t="str">
        <f t="array" ref="AE962">IF($X962="","",INDEX(TARIFF_PROFILES!$K:$K,MATCH($X962,TARIFF_PROFILES!$A:$A,0)))</f>
        <v/>
      </c>
      <c r="AG962" s="8"/>
      <c r="AH962" s="8" t="str">
        <f>IF($AG962="","",SUMIFS(OPERATING_COEFFS!$C:$C,OPERATING_COEFFS!$A:$A,"DistanceClass",OPERATING_COEFFS!$B:$B,$AG962))</f>
        <v/>
      </c>
      <c r="AI962" s="8"/>
      <c r="AJ962" s="8" t="str">
        <f>IF($AI962="","",SUMIFS(OPERATING_COEFFS!$C:$C,OPERATING_COEFFS!$A:$A,"SeasonClass",OPERATING_COEFFS!$B:$B,$AI962))</f>
        <v/>
      </c>
      <c r="AK962" s="8"/>
      <c r="AL962" s="8" t="str">
        <f>IF($AK962="","",SUMIFS(OPERATING_COEFFS!$C:$C,OPERATING_COEFFS!$A:$A,"UrgencyClass",OPERATING_COEFFS!$B:$B,$AK962))</f>
        <v/>
      </c>
      <c r="AM962" s="8"/>
      <c r="AN962" s="8" t="str">
        <f t="array" ref="AN962">IF($AM962="","",INDEX(TAX_MODES!$B:$B,MATCH($AM962,TAX_MODES!$A:$A,0)))</f>
        <v/>
      </c>
    </row>
    <row r="963" ht="14.25" customHeight="1">
      <c r="C963" s="8"/>
      <c r="E963" s="8"/>
      <c r="G963" s="8"/>
      <c r="I963" s="8"/>
      <c r="K963" s="8"/>
      <c r="M963" s="8"/>
      <c r="O963" s="8"/>
      <c r="Q963" s="8"/>
      <c r="S963" s="8"/>
      <c r="V963" s="8"/>
      <c r="X963" s="31"/>
      <c r="Y963" s="31" t="str">
        <f>IF($X963="","",SUMIFS(TARIFF_PROFILES!$D:$D,TARIFF_PROFILES!$A:$A,$X963))</f>
        <v/>
      </c>
      <c r="Z963" s="31" t="str">
        <f>IF($X963="","",SUMIFS(TARIFF_PROFILES!$E:$E,TARIFF_PROFILES!$A:$A,$X963))</f>
        <v/>
      </c>
      <c r="AA963" s="31" t="str">
        <f>IF($X963="","",SUMIFS(TARIFF_PROFILES!$F:$F,TARIFF_PROFILES!$A:$A,$X963))</f>
        <v/>
      </c>
      <c r="AB963" s="31" t="str">
        <f>IF($X963="","",SUMIFS(TARIFF_PROFILES!$G:$G,TARIFF_PROFILES!$A:$A,$X963))</f>
        <v/>
      </c>
      <c r="AC963" s="31" t="str">
        <f>IF($X963="","",SUMIFS(TARIFF_PROFILES!$H:$H,TARIFF_PROFILES!$A:$A,$X963))</f>
        <v/>
      </c>
      <c r="AD963" s="31" t="str">
        <f t="array" ref="AD963">IF($X963="","",INDEX(TARIFF_PROFILES!$J:$J,MATCH($X963,TARIFF_PROFILES!$A:$A,0)))</f>
        <v/>
      </c>
      <c r="AE963" s="31" t="str">
        <f t="array" ref="AE963">IF($X963="","",INDEX(TARIFF_PROFILES!$K:$K,MATCH($X963,TARIFF_PROFILES!$A:$A,0)))</f>
        <v/>
      </c>
      <c r="AG963" s="8"/>
      <c r="AH963" s="8" t="str">
        <f>IF($AG963="","",SUMIFS(OPERATING_COEFFS!$C:$C,OPERATING_COEFFS!$A:$A,"DistanceClass",OPERATING_COEFFS!$B:$B,$AG963))</f>
        <v/>
      </c>
      <c r="AI963" s="8"/>
      <c r="AJ963" s="8" t="str">
        <f>IF($AI963="","",SUMIFS(OPERATING_COEFFS!$C:$C,OPERATING_COEFFS!$A:$A,"SeasonClass",OPERATING_COEFFS!$B:$B,$AI963))</f>
        <v/>
      </c>
      <c r="AK963" s="8"/>
      <c r="AL963" s="8" t="str">
        <f>IF($AK963="","",SUMIFS(OPERATING_COEFFS!$C:$C,OPERATING_COEFFS!$A:$A,"UrgencyClass",OPERATING_COEFFS!$B:$B,$AK963))</f>
        <v/>
      </c>
      <c r="AM963" s="8"/>
      <c r="AN963" s="8" t="str">
        <f t="array" ref="AN963">IF($AM963="","",INDEX(TAX_MODES!$B:$B,MATCH($AM963,TAX_MODES!$A:$A,0)))</f>
        <v/>
      </c>
    </row>
    <row r="964" ht="14.25" customHeight="1">
      <c r="C964" s="8"/>
      <c r="E964" s="8"/>
      <c r="G964" s="8"/>
      <c r="I964" s="8"/>
      <c r="K964" s="8"/>
      <c r="M964" s="8"/>
      <c r="O964" s="8"/>
      <c r="Q964" s="8"/>
      <c r="S964" s="8"/>
      <c r="V964" s="8"/>
      <c r="X964" s="31"/>
      <c r="Y964" s="31" t="str">
        <f>IF($X964="","",SUMIFS(TARIFF_PROFILES!$D:$D,TARIFF_PROFILES!$A:$A,$X964))</f>
        <v/>
      </c>
      <c r="Z964" s="31" t="str">
        <f>IF($X964="","",SUMIFS(TARIFF_PROFILES!$E:$E,TARIFF_PROFILES!$A:$A,$X964))</f>
        <v/>
      </c>
      <c r="AA964" s="31" t="str">
        <f>IF($X964="","",SUMIFS(TARIFF_PROFILES!$F:$F,TARIFF_PROFILES!$A:$A,$X964))</f>
        <v/>
      </c>
      <c r="AB964" s="31" t="str">
        <f>IF($X964="","",SUMIFS(TARIFF_PROFILES!$G:$G,TARIFF_PROFILES!$A:$A,$X964))</f>
        <v/>
      </c>
      <c r="AC964" s="31" t="str">
        <f>IF($X964="","",SUMIFS(TARIFF_PROFILES!$H:$H,TARIFF_PROFILES!$A:$A,$X964))</f>
        <v/>
      </c>
      <c r="AD964" s="31" t="str">
        <f t="array" ref="AD964">IF($X964="","",INDEX(TARIFF_PROFILES!$J:$J,MATCH($X964,TARIFF_PROFILES!$A:$A,0)))</f>
        <v/>
      </c>
      <c r="AE964" s="31" t="str">
        <f t="array" ref="AE964">IF($X964="","",INDEX(TARIFF_PROFILES!$K:$K,MATCH($X964,TARIFF_PROFILES!$A:$A,0)))</f>
        <v/>
      </c>
      <c r="AG964" s="8"/>
      <c r="AH964" s="8" t="str">
        <f>IF($AG964="","",SUMIFS(OPERATING_COEFFS!$C:$C,OPERATING_COEFFS!$A:$A,"DistanceClass",OPERATING_COEFFS!$B:$B,$AG964))</f>
        <v/>
      </c>
      <c r="AI964" s="8"/>
      <c r="AJ964" s="8" t="str">
        <f>IF($AI964="","",SUMIFS(OPERATING_COEFFS!$C:$C,OPERATING_COEFFS!$A:$A,"SeasonClass",OPERATING_COEFFS!$B:$B,$AI964))</f>
        <v/>
      </c>
      <c r="AK964" s="8"/>
      <c r="AL964" s="8" t="str">
        <f>IF($AK964="","",SUMIFS(OPERATING_COEFFS!$C:$C,OPERATING_COEFFS!$A:$A,"UrgencyClass",OPERATING_COEFFS!$B:$B,$AK964))</f>
        <v/>
      </c>
      <c r="AM964" s="8"/>
      <c r="AN964" s="8" t="str">
        <f t="array" ref="AN964">IF($AM964="","",INDEX(TAX_MODES!$B:$B,MATCH($AM964,TAX_MODES!$A:$A,0)))</f>
        <v/>
      </c>
    </row>
    <row r="965" ht="14.25" customHeight="1">
      <c r="C965" s="8"/>
      <c r="E965" s="8"/>
      <c r="G965" s="8"/>
      <c r="I965" s="8"/>
      <c r="K965" s="8"/>
      <c r="M965" s="8"/>
      <c r="O965" s="8"/>
      <c r="Q965" s="8"/>
      <c r="S965" s="8"/>
      <c r="V965" s="8"/>
      <c r="X965" s="31"/>
      <c r="Y965" s="31" t="str">
        <f>IF($X965="","",SUMIFS(TARIFF_PROFILES!$D:$D,TARIFF_PROFILES!$A:$A,$X965))</f>
        <v/>
      </c>
      <c r="Z965" s="31" t="str">
        <f>IF($X965="","",SUMIFS(TARIFF_PROFILES!$E:$E,TARIFF_PROFILES!$A:$A,$X965))</f>
        <v/>
      </c>
      <c r="AA965" s="31" t="str">
        <f>IF($X965="","",SUMIFS(TARIFF_PROFILES!$F:$F,TARIFF_PROFILES!$A:$A,$X965))</f>
        <v/>
      </c>
      <c r="AB965" s="31" t="str">
        <f>IF($X965="","",SUMIFS(TARIFF_PROFILES!$G:$G,TARIFF_PROFILES!$A:$A,$X965))</f>
        <v/>
      </c>
      <c r="AC965" s="31" t="str">
        <f>IF($X965="","",SUMIFS(TARIFF_PROFILES!$H:$H,TARIFF_PROFILES!$A:$A,$X965))</f>
        <v/>
      </c>
      <c r="AD965" s="31" t="str">
        <f t="array" ref="AD965">IF($X965="","",INDEX(TARIFF_PROFILES!$J:$J,MATCH($X965,TARIFF_PROFILES!$A:$A,0)))</f>
        <v/>
      </c>
      <c r="AE965" s="31" t="str">
        <f t="array" ref="AE965">IF($X965="","",INDEX(TARIFF_PROFILES!$K:$K,MATCH($X965,TARIFF_PROFILES!$A:$A,0)))</f>
        <v/>
      </c>
      <c r="AG965" s="8"/>
      <c r="AH965" s="8" t="str">
        <f>IF($AG965="","",SUMIFS(OPERATING_COEFFS!$C:$C,OPERATING_COEFFS!$A:$A,"DistanceClass",OPERATING_COEFFS!$B:$B,$AG965))</f>
        <v/>
      </c>
      <c r="AI965" s="8"/>
      <c r="AJ965" s="8" t="str">
        <f>IF($AI965="","",SUMIFS(OPERATING_COEFFS!$C:$C,OPERATING_COEFFS!$A:$A,"SeasonClass",OPERATING_COEFFS!$B:$B,$AI965))</f>
        <v/>
      </c>
      <c r="AK965" s="8"/>
      <c r="AL965" s="8" t="str">
        <f>IF($AK965="","",SUMIFS(OPERATING_COEFFS!$C:$C,OPERATING_COEFFS!$A:$A,"UrgencyClass",OPERATING_COEFFS!$B:$B,$AK965))</f>
        <v/>
      </c>
      <c r="AM965" s="8"/>
      <c r="AN965" s="8" t="str">
        <f t="array" ref="AN965">IF($AM965="","",INDEX(TAX_MODES!$B:$B,MATCH($AM965,TAX_MODES!$A:$A,0)))</f>
        <v/>
      </c>
    </row>
    <row r="966" ht="14.25" customHeight="1">
      <c r="C966" s="8"/>
      <c r="E966" s="8"/>
      <c r="G966" s="8"/>
      <c r="I966" s="8"/>
      <c r="K966" s="8"/>
      <c r="M966" s="8"/>
      <c r="O966" s="8"/>
      <c r="Q966" s="8"/>
      <c r="S966" s="8"/>
      <c r="V966" s="8"/>
      <c r="X966" s="31"/>
      <c r="Y966" s="31" t="str">
        <f>IF($X966="","",SUMIFS(TARIFF_PROFILES!$D:$D,TARIFF_PROFILES!$A:$A,$X966))</f>
        <v/>
      </c>
      <c r="Z966" s="31" t="str">
        <f>IF($X966="","",SUMIFS(TARIFF_PROFILES!$E:$E,TARIFF_PROFILES!$A:$A,$X966))</f>
        <v/>
      </c>
      <c r="AA966" s="31" t="str">
        <f>IF($X966="","",SUMIFS(TARIFF_PROFILES!$F:$F,TARIFF_PROFILES!$A:$A,$X966))</f>
        <v/>
      </c>
      <c r="AB966" s="31" t="str">
        <f>IF($X966="","",SUMIFS(TARIFF_PROFILES!$G:$G,TARIFF_PROFILES!$A:$A,$X966))</f>
        <v/>
      </c>
      <c r="AC966" s="31" t="str">
        <f>IF($X966="","",SUMIFS(TARIFF_PROFILES!$H:$H,TARIFF_PROFILES!$A:$A,$X966))</f>
        <v/>
      </c>
      <c r="AD966" s="31" t="str">
        <f t="array" ref="AD966">IF($X966="","",INDEX(TARIFF_PROFILES!$J:$J,MATCH($X966,TARIFF_PROFILES!$A:$A,0)))</f>
        <v/>
      </c>
      <c r="AE966" s="31" t="str">
        <f t="array" ref="AE966">IF($X966="","",INDEX(TARIFF_PROFILES!$K:$K,MATCH($X966,TARIFF_PROFILES!$A:$A,0)))</f>
        <v/>
      </c>
      <c r="AG966" s="8"/>
      <c r="AH966" s="8" t="str">
        <f>IF($AG966="","",SUMIFS(OPERATING_COEFFS!$C:$C,OPERATING_COEFFS!$A:$A,"DistanceClass",OPERATING_COEFFS!$B:$B,$AG966))</f>
        <v/>
      </c>
      <c r="AI966" s="8"/>
      <c r="AJ966" s="8" t="str">
        <f>IF($AI966="","",SUMIFS(OPERATING_COEFFS!$C:$C,OPERATING_COEFFS!$A:$A,"SeasonClass",OPERATING_COEFFS!$B:$B,$AI966))</f>
        <v/>
      </c>
      <c r="AK966" s="8"/>
      <c r="AL966" s="8" t="str">
        <f>IF($AK966="","",SUMIFS(OPERATING_COEFFS!$C:$C,OPERATING_COEFFS!$A:$A,"UrgencyClass",OPERATING_COEFFS!$B:$B,$AK966))</f>
        <v/>
      </c>
      <c r="AM966" s="8"/>
      <c r="AN966" s="8" t="str">
        <f t="array" ref="AN966">IF($AM966="","",INDEX(TAX_MODES!$B:$B,MATCH($AM966,TAX_MODES!$A:$A,0)))</f>
        <v/>
      </c>
    </row>
    <row r="967" ht="14.25" customHeight="1">
      <c r="C967" s="8"/>
      <c r="E967" s="8"/>
      <c r="G967" s="8"/>
      <c r="I967" s="8"/>
      <c r="K967" s="8"/>
      <c r="M967" s="8"/>
      <c r="O967" s="8"/>
      <c r="Q967" s="8"/>
      <c r="S967" s="8"/>
      <c r="V967" s="8"/>
      <c r="X967" s="31"/>
      <c r="Y967" s="31" t="str">
        <f>IF($X967="","",SUMIFS(TARIFF_PROFILES!$D:$D,TARIFF_PROFILES!$A:$A,$X967))</f>
        <v/>
      </c>
      <c r="Z967" s="31" t="str">
        <f>IF($X967="","",SUMIFS(TARIFF_PROFILES!$E:$E,TARIFF_PROFILES!$A:$A,$X967))</f>
        <v/>
      </c>
      <c r="AA967" s="31" t="str">
        <f>IF($X967="","",SUMIFS(TARIFF_PROFILES!$F:$F,TARIFF_PROFILES!$A:$A,$X967))</f>
        <v/>
      </c>
      <c r="AB967" s="31" t="str">
        <f>IF($X967="","",SUMIFS(TARIFF_PROFILES!$G:$G,TARIFF_PROFILES!$A:$A,$X967))</f>
        <v/>
      </c>
      <c r="AC967" s="31" t="str">
        <f>IF($X967="","",SUMIFS(TARIFF_PROFILES!$H:$H,TARIFF_PROFILES!$A:$A,$X967))</f>
        <v/>
      </c>
      <c r="AD967" s="31" t="str">
        <f t="array" ref="AD967">IF($X967="","",INDEX(TARIFF_PROFILES!$J:$J,MATCH($X967,TARIFF_PROFILES!$A:$A,0)))</f>
        <v/>
      </c>
      <c r="AE967" s="31" t="str">
        <f t="array" ref="AE967">IF($X967="","",INDEX(TARIFF_PROFILES!$K:$K,MATCH($X967,TARIFF_PROFILES!$A:$A,0)))</f>
        <v/>
      </c>
      <c r="AG967" s="8"/>
      <c r="AH967" s="8" t="str">
        <f>IF($AG967="","",SUMIFS(OPERATING_COEFFS!$C:$C,OPERATING_COEFFS!$A:$A,"DistanceClass",OPERATING_COEFFS!$B:$B,$AG967))</f>
        <v/>
      </c>
      <c r="AI967" s="8"/>
      <c r="AJ967" s="8" t="str">
        <f>IF($AI967="","",SUMIFS(OPERATING_COEFFS!$C:$C,OPERATING_COEFFS!$A:$A,"SeasonClass",OPERATING_COEFFS!$B:$B,$AI967))</f>
        <v/>
      </c>
      <c r="AK967" s="8"/>
      <c r="AL967" s="8" t="str">
        <f>IF($AK967="","",SUMIFS(OPERATING_COEFFS!$C:$C,OPERATING_COEFFS!$A:$A,"UrgencyClass",OPERATING_COEFFS!$B:$B,$AK967))</f>
        <v/>
      </c>
      <c r="AM967" s="8"/>
      <c r="AN967" s="8" t="str">
        <f t="array" ref="AN967">IF($AM967="","",INDEX(TAX_MODES!$B:$B,MATCH($AM967,TAX_MODES!$A:$A,0)))</f>
        <v/>
      </c>
    </row>
    <row r="968" ht="14.25" customHeight="1">
      <c r="C968" s="8"/>
      <c r="E968" s="8"/>
      <c r="G968" s="8"/>
      <c r="I968" s="8"/>
      <c r="K968" s="8"/>
      <c r="M968" s="8"/>
      <c r="O968" s="8"/>
      <c r="Q968" s="8"/>
      <c r="S968" s="8"/>
      <c r="V968" s="8"/>
      <c r="X968" s="31"/>
      <c r="Y968" s="31" t="str">
        <f>IF($X968="","",SUMIFS(TARIFF_PROFILES!$D:$D,TARIFF_PROFILES!$A:$A,$X968))</f>
        <v/>
      </c>
      <c r="Z968" s="31" t="str">
        <f>IF($X968="","",SUMIFS(TARIFF_PROFILES!$E:$E,TARIFF_PROFILES!$A:$A,$X968))</f>
        <v/>
      </c>
      <c r="AA968" s="31" t="str">
        <f>IF($X968="","",SUMIFS(TARIFF_PROFILES!$F:$F,TARIFF_PROFILES!$A:$A,$X968))</f>
        <v/>
      </c>
      <c r="AB968" s="31" t="str">
        <f>IF($X968="","",SUMIFS(TARIFF_PROFILES!$G:$G,TARIFF_PROFILES!$A:$A,$X968))</f>
        <v/>
      </c>
      <c r="AC968" s="31" t="str">
        <f>IF($X968="","",SUMIFS(TARIFF_PROFILES!$H:$H,TARIFF_PROFILES!$A:$A,$X968))</f>
        <v/>
      </c>
      <c r="AD968" s="31" t="str">
        <f t="array" ref="AD968">IF($X968="","",INDEX(TARIFF_PROFILES!$J:$J,MATCH($X968,TARIFF_PROFILES!$A:$A,0)))</f>
        <v/>
      </c>
      <c r="AE968" s="31" t="str">
        <f t="array" ref="AE968">IF($X968="","",INDEX(TARIFF_PROFILES!$K:$K,MATCH($X968,TARIFF_PROFILES!$A:$A,0)))</f>
        <v/>
      </c>
      <c r="AG968" s="8"/>
      <c r="AH968" s="8" t="str">
        <f>IF($AG968="","",SUMIFS(OPERATING_COEFFS!$C:$C,OPERATING_COEFFS!$A:$A,"DistanceClass",OPERATING_COEFFS!$B:$B,$AG968))</f>
        <v/>
      </c>
      <c r="AI968" s="8"/>
      <c r="AJ968" s="8" t="str">
        <f>IF($AI968="","",SUMIFS(OPERATING_COEFFS!$C:$C,OPERATING_COEFFS!$A:$A,"SeasonClass",OPERATING_COEFFS!$B:$B,$AI968))</f>
        <v/>
      </c>
      <c r="AK968" s="8"/>
      <c r="AL968" s="8" t="str">
        <f>IF($AK968="","",SUMIFS(OPERATING_COEFFS!$C:$C,OPERATING_COEFFS!$A:$A,"UrgencyClass",OPERATING_COEFFS!$B:$B,$AK968))</f>
        <v/>
      </c>
      <c r="AM968" s="8"/>
      <c r="AN968" s="8" t="str">
        <f t="array" ref="AN968">IF($AM968="","",INDEX(TAX_MODES!$B:$B,MATCH($AM968,TAX_MODES!$A:$A,0)))</f>
        <v/>
      </c>
    </row>
    <row r="969" ht="14.25" customHeight="1">
      <c r="C969" s="8"/>
      <c r="E969" s="8"/>
      <c r="G969" s="8"/>
      <c r="I969" s="8"/>
      <c r="K969" s="8"/>
      <c r="M969" s="8"/>
      <c r="O969" s="8"/>
      <c r="Q969" s="8"/>
      <c r="S969" s="8"/>
      <c r="V969" s="8"/>
      <c r="X969" s="31"/>
      <c r="Y969" s="31" t="str">
        <f>IF($X969="","",SUMIFS(TARIFF_PROFILES!$D:$D,TARIFF_PROFILES!$A:$A,$X969))</f>
        <v/>
      </c>
      <c r="Z969" s="31" t="str">
        <f>IF($X969="","",SUMIFS(TARIFF_PROFILES!$E:$E,TARIFF_PROFILES!$A:$A,$X969))</f>
        <v/>
      </c>
      <c r="AA969" s="31" t="str">
        <f>IF($X969="","",SUMIFS(TARIFF_PROFILES!$F:$F,TARIFF_PROFILES!$A:$A,$X969))</f>
        <v/>
      </c>
      <c r="AB969" s="31" t="str">
        <f>IF($X969="","",SUMIFS(TARIFF_PROFILES!$G:$G,TARIFF_PROFILES!$A:$A,$X969))</f>
        <v/>
      </c>
      <c r="AC969" s="31" t="str">
        <f>IF($X969="","",SUMIFS(TARIFF_PROFILES!$H:$H,TARIFF_PROFILES!$A:$A,$X969))</f>
        <v/>
      </c>
      <c r="AD969" s="31" t="str">
        <f t="array" ref="AD969">IF($X969="","",INDEX(TARIFF_PROFILES!$J:$J,MATCH($X969,TARIFF_PROFILES!$A:$A,0)))</f>
        <v/>
      </c>
      <c r="AE969" s="31" t="str">
        <f t="array" ref="AE969">IF($X969="","",INDEX(TARIFF_PROFILES!$K:$K,MATCH($X969,TARIFF_PROFILES!$A:$A,0)))</f>
        <v/>
      </c>
      <c r="AG969" s="8"/>
      <c r="AH969" s="8" t="str">
        <f>IF($AG969="","",SUMIFS(OPERATING_COEFFS!$C:$C,OPERATING_COEFFS!$A:$A,"DistanceClass",OPERATING_COEFFS!$B:$B,$AG969))</f>
        <v/>
      </c>
      <c r="AI969" s="8"/>
      <c r="AJ969" s="8" t="str">
        <f>IF($AI969="","",SUMIFS(OPERATING_COEFFS!$C:$C,OPERATING_COEFFS!$A:$A,"SeasonClass",OPERATING_COEFFS!$B:$B,$AI969))</f>
        <v/>
      </c>
      <c r="AK969" s="8"/>
      <c r="AL969" s="8" t="str">
        <f>IF($AK969="","",SUMIFS(OPERATING_COEFFS!$C:$C,OPERATING_COEFFS!$A:$A,"UrgencyClass",OPERATING_COEFFS!$B:$B,$AK969))</f>
        <v/>
      </c>
      <c r="AM969" s="8"/>
      <c r="AN969" s="8" t="str">
        <f t="array" ref="AN969">IF($AM969="","",INDEX(TAX_MODES!$B:$B,MATCH($AM969,TAX_MODES!$A:$A,0)))</f>
        <v/>
      </c>
    </row>
    <row r="970" ht="14.25" customHeight="1">
      <c r="C970" s="8"/>
      <c r="E970" s="8"/>
      <c r="G970" s="8"/>
      <c r="I970" s="8"/>
      <c r="K970" s="8"/>
      <c r="M970" s="8"/>
      <c r="O970" s="8"/>
      <c r="Q970" s="8"/>
      <c r="S970" s="8"/>
      <c r="V970" s="8"/>
      <c r="X970" s="31"/>
      <c r="Y970" s="31" t="str">
        <f>IF($X970="","",SUMIFS(TARIFF_PROFILES!$D:$D,TARIFF_PROFILES!$A:$A,$X970))</f>
        <v/>
      </c>
      <c r="Z970" s="31" t="str">
        <f>IF($X970="","",SUMIFS(TARIFF_PROFILES!$E:$E,TARIFF_PROFILES!$A:$A,$X970))</f>
        <v/>
      </c>
      <c r="AA970" s="31" t="str">
        <f>IF($X970="","",SUMIFS(TARIFF_PROFILES!$F:$F,TARIFF_PROFILES!$A:$A,$X970))</f>
        <v/>
      </c>
      <c r="AB970" s="31" t="str">
        <f>IF($X970="","",SUMIFS(TARIFF_PROFILES!$G:$G,TARIFF_PROFILES!$A:$A,$X970))</f>
        <v/>
      </c>
      <c r="AC970" s="31" t="str">
        <f>IF($X970="","",SUMIFS(TARIFF_PROFILES!$H:$H,TARIFF_PROFILES!$A:$A,$X970))</f>
        <v/>
      </c>
      <c r="AD970" s="31" t="str">
        <f t="array" ref="AD970">IF($X970="","",INDEX(TARIFF_PROFILES!$J:$J,MATCH($X970,TARIFF_PROFILES!$A:$A,0)))</f>
        <v/>
      </c>
      <c r="AE970" s="31" t="str">
        <f t="array" ref="AE970">IF($X970="","",INDEX(TARIFF_PROFILES!$K:$K,MATCH($X970,TARIFF_PROFILES!$A:$A,0)))</f>
        <v/>
      </c>
      <c r="AG970" s="8"/>
      <c r="AH970" s="8" t="str">
        <f>IF($AG970="","",SUMIFS(OPERATING_COEFFS!$C:$C,OPERATING_COEFFS!$A:$A,"DistanceClass",OPERATING_COEFFS!$B:$B,$AG970))</f>
        <v/>
      </c>
      <c r="AI970" s="8"/>
      <c r="AJ970" s="8" t="str">
        <f>IF($AI970="","",SUMIFS(OPERATING_COEFFS!$C:$C,OPERATING_COEFFS!$A:$A,"SeasonClass",OPERATING_COEFFS!$B:$B,$AI970))</f>
        <v/>
      </c>
      <c r="AK970" s="8"/>
      <c r="AL970" s="8" t="str">
        <f>IF($AK970="","",SUMIFS(OPERATING_COEFFS!$C:$C,OPERATING_COEFFS!$A:$A,"UrgencyClass",OPERATING_COEFFS!$B:$B,$AK970))</f>
        <v/>
      </c>
      <c r="AM970" s="8"/>
      <c r="AN970" s="8" t="str">
        <f t="array" ref="AN970">IF($AM970="","",INDEX(TAX_MODES!$B:$B,MATCH($AM970,TAX_MODES!$A:$A,0)))</f>
        <v/>
      </c>
    </row>
    <row r="971" ht="14.25" customHeight="1">
      <c r="C971" s="8"/>
      <c r="E971" s="8"/>
      <c r="G971" s="8"/>
      <c r="I971" s="8"/>
      <c r="K971" s="8"/>
      <c r="M971" s="8"/>
      <c r="O971" s="8"/>
      <c r="Q971" s="8"/>
      <c r="S971" s="8"/>
      <c r="V971" s="8"/>
      <c r="X971" s="31"/>
      <c r="Y971" s="31" t="str">
        <f>IF($X971="","",SUMIFS(TARIFF_PROFILES!$D:$D,TARIFF_PROFILES!$A:$A,$X971))</f>
        <v/>
      </c>
      <c r="Z971" s="31" t="str">
        <f>IF($X971="","",SUMIFS(TARIFF_PROFILES!$E:$E,TARIFF_PROFILES!$A:$A,$X971))</f>
        <v/>
      </c>
      <c r="AA971" s="31" t="str">
        <f>IF($X971="","",SUMIFS(TARIFF_PROFILES!$F:$F,TARIFF_PROFILES!$A:$A,$X971))</f>
        <v/>
      </c>
      <c r="AB971" s="31" t="str">
        <f>IF($X971="","",SUMIFS(TARIFF_PROFILES!$G:$G,TARIFF_PROFILES!$A:$A,$X971))</f>
        <v/>
      </c>
      <c r="AC971" s="31" t="str">
        <f>IF($X971="","",SUMIFS(TARIFF_PROFILES!$H:$H,TARIFF_PROFILES!$A:$A,$X971))</f>
        <v/>
      </c>
      <c r="AD971" s="31" t="str">
        <f t="array" ref="AD971">IF($X971="","",INDEX(TARIFF_PROFILES!$J:$J,MATCH($X971,TARIFF_PROFILES!$A:$A,0)))</f>
        <v/>
      </c>
      <c r="AE971" s="31" t="str">
        <f t="array" ref="AE971">IF($X971="","",INDEX(TARIFF_PROFILES!$K:$K,MATCH($X971,TARIFF_PROFILES!$A:$A,0)))</f>
        <v/>
      </c>
      <c r="AG971" s="8"/>
      <c r="AH971" s="8" t="str">
        <f>IF($AG971="","",SUMIFS(OPERATING_COEFFS!$C:$C,OPERATING_COEFFS!$A:$A,"DistanceClass",OPERATING_COEFFS!$B:$B,$AG971))</f>
        <v/>
      </c>
      <c r="AI971" s="8"/>
      <c r="AJ971" s="8" t="str">
        <f>IF($AI971="","",SUMIFS(OPERATING_COEFFS!$C:$C,OPERATING_COEFFS!$A:$A,"SeasonClass",OPERATING_COEFFS!$B:$B,$AI971))</f>
        <v/>
      </c>
      <c r="AK971" s="8"/>
      <c r="AL971" s="8" t="str">
        <f>IF($AK971="","",SUMIFS(OPERATING_COEFFS!$C:$C,OPERATING_COEFFS!$A:$A,"UrgencyClass",OPERATING_COEFFS!$B:$B,$AK971))</f>
        <v/>
      </c>
      <c r="AM971" s="8"/>
      <c r="AN971" s="8" t="str">
        <f t="array" ref="AN971">IF($AM971="","",INDEX(TAX_MODES!$B:$B,MATCH($AM971,TAX_MODES!$A:$A,0)))</f>
        <v/>
      </c>
    </row>
    <row r="972" ht="14.25" customHeight="1">
      <c r="C972" s="8"/>
      <c r="E972" s="8"/>
      <c r="G972" s="8"/>
      <c r="I972" s="8"/>
      <c r="K972" s="8"/>
      <c r="M972" s="8"/>
      <c r="O972" s="8"/>
      <c r="Q972" s="8"/>
      <c r="S972" s="8"/>
      <c r="V972" s="8"/>
      <c r="X972" s="31"/>
      <c r="Y972" s="31" t="str">
        <f>IF($X972="","",SUMIFS(TARIFF_PROFILES!$D:$D,TARIFF_PROFILES!$A:$A,$X972))</f>
        <v/>
      </c>
      <c r="Z972" s="31" t="str">
        <f>IF($X972="","",SUMIFS(TARIFF_PROFILES!$E:$E,TARIFF_PROFILES!$A:$A,$X972))</f>
        <v/>
      </c>
      <c r="AA972" s="31" t="str">
        <f>IF($X972="","",SUMIFS(TARIFF_PROFILES!$F:$F,TARIFF_PROFILES!$A:$A,$X972))</f>
        <v/>
      </c>
      <c r="AB972" s="31" t="str">
        <f>IF($X972="","",SUMIFS(TARIFF_PROFILES!$G:$G,TARIFF_PROFILES!$A:$A,$X972))</f>
        <v/>
      </c>
      <c r="AC972" s="31" t="str">
        <f>IF($X972="","",SUMIFS(TARIFF_PROFILES!$H:$H,TARIFF_PROFILES!$A:$A,$X972))</f>
        <v/>
      </c>
      <c r="AD972" s="31" t="str">
        <f t="array" ref="AD972">IF($X972="","",INDEX(TARIFF_PROFILES!$J:$J,MATCH($X972,TARIFF_PROFILES!$A:$A,0)))</f>
        <v/>
      </c>
      <c r="AE972" s="31" t="str">
        <f t="array" ref="AE972">IF($X972="","",INDEX(TARIFF_PROFILES!$K:$K,MATCH($X972,TARIFF_PROFILES!$A:$A,0)))</f>
        <v/>
      </c>
      <c r="AG972" s="8"/>
      <c r="AH972" s="8" t="str">
        <f>IF($AG972="","",SUMIFS(OPERATING_COEFFS!$C:$C,OPERATING_COEFFS!$A:$A,"DistanceClass",OPERATING_COEFFS!$B:$B,$AG972))</f>
        <v/>
      </c>
      <c r="AI972" s="8"/>
      <c r="AJ972" s="8" t="str">
        <f>IF($AI972="","",SUMIFS(OPERATING_COEFFS!$C:$C,OPERATING_COEFFS!$A:$A,"SeasonClass",OPERATING_COEFFS!$B:$B,$AI972))</f>
        <v/>
      </c>
      <c r="AK972" s="8"/>
      <c r="AL972" s="8" t="str">
        <f>IF($AK972="","",SUMIFS(OPERATING_COEFFS!$C:$C,OPERATING_COEFFS!$A:$A,"UrgencyClass",OPERATING_COEFFS!$B:$B,$AK972))</f>
        <v/>
      </c>
      <c r="AM972" s="8"/>
      <c r="AN972" s="8" t="str">
        <f t="array" ref="AN972">IF($AM972="","",INDEX(TAX_MODES!$B:$B,MATCH($AM972,TAX_MODES!$A:$A,0)))</f>
        <v/>
      </c>
    </row>
    <row r="973" ht="14.25" customHeight="1">
      <c r="C973" s="8"/>
      <c r="E973" s="8"/>
      <c r="G973" s="8"/>
      <c r="I973" s="8"/>
      <c r="K973" s="8"/>
      <c r="M973" s="8"/>
      <c r="O973" s="8"/>
      <c r="Q973" s="8"/>
      <c r="S973" s="8"/>
      <c r="V973" s="8"/>
      <c r="X973" s="31"/>
      <c r="Y973" s="31" t="str">
        <f>IF($X973="","",SUMIFS(TARIFF_PROFILES!$D:$D,TARIFF_PROFILES!$A:$A,$X973))</f>
        <v/>
      </c>
      <c r="Z973" s="31" t="str">
        <f>IF($X973="","",SUMIFS(TARIFF_PROFILES!$E:$E,TARIFF_PROFILES!$A:$A,$X973))</f>
        <v/>
      </c>
      <c r="AA973" s="31" t="str">
        <f>IF($X973="","",SUMIFS(TARIFF_PROFILES!$F:$F,TARIFF_PROFILES!$A:$A,$X973))</f>
        <v/>
      </c>
      <c r="AB973" s="31" t="str">
        <f>IF($X973="","",SUMIFS(TARIFF_PROFILES!$G:$G,TARIFF_PROFILES!$A:$A,$X973))</f>
        <v/>
      </c>
      <c r="AC973" s="31" t="str">
        <f>IF($X973="","",SUMIFS(TARIFF_PROFILES!$H:$H,TARIFF_PROFILES!$A:$A,$X973))</f>
        <v/>
      </c>
      <c r="AD973" s="31" t="str">
        <f t="array" ref="AD973">IF($X973="","",INDEX(TARIFF_PROFILES!$J:$J,MATCH($X973,TARIFF_PROFILES!$A:$A,0)))</f>
        <v/>
      </c>
      <c r="AE973" s="31" t="str">
        <f t="array" ref="AE973">IF($X973="","",INDEX(TARIFF_PROFILES!$K:$K,MATCH($X973,TARIFF_PROFILES!$A:$A,0)))</f>
        <v/>
      </c>
      <c r="AG973" s="8"/>
      <c r="AH973" s="8" t="str">
        <f>IF($AG973="","",SUMIFS(OPERATING_COEFFS!$C:$C,OPERATING_COEFFS!$A:$A,"DistanceClass",OPERATING_COEFFS!$B:$B,$AG973))</f>
        <v/>
      </c>
      <c r="AI973" s="8"/>
      <c r="AJ973" s="8" t="str">
        <f>IF($AI973="","",SUMIFS(OPERATING_COEFFS!$C:$C,OPERATING_COEFFS!$A:$A,"SeasonClass",OPERATING_COEFFS!$B:$B,$AI973))</f>
        <v/>
      </c>
      <c r="AK973" s="8"/>
      <c r="AL973" s="8" t="str">
        <f>IF($AK973="","",SUMIFS(OPERATING_COEFFS!$C:$C,OPERATING_COEFFS!$A:$A,"UrgencyClass",OPERATING_COEFFS!$B:$B,$AK973))</f>
        <v/>
      </c>
      <c r="AM973" s="8"/>
      <c r="AN973" s="8" t="str">
        <f t="array" ref="AN973">IF($AM973="","",INDEX(TAX_MODES!$B:$B,MATCH($AM973,TAX_MODES!$A:$A,0)))</f>
        <v/>
      </c>
    </row>
    <row r="974" ht="14.25" customHeight="1">
      <c r="C974" s="8"/>
      <c r="E974" s="8"/>
      <c r="G974" s="8"/>
      <c r="I974" s="8"/>
      <c r="K974" s="8"/>
      <c r="M974" s="8"/>
      <c r="O974" s="8"/>
      <c r="Q974" s="8"/>
      <c r="S974" s="8"/>
      <c r="V974" s="8"/>
      <c r="X974" s="31"/>
      <c r="Y974" s="31" t="str">
        <f>IF($X974="","",SUMIFS(TARIFF_PROFILES!$D:$D,TARIFF_PROFILES!$A:$A,$X974))</f>
        <v/>
      </c>
      <c r="Z974" s="31" t="str">
        <f>IF($X974="","",SUMIFS(TARIFF_PROFILES!$E:$E,TARIFF_PROFILES!$A:$A,$X974))</f>
        <v/>
      </c>
      <c r="AA974" s="31" t="str">
        <f>IF($X974="","",SUMIFS(TARIFF_PROFILES!$F:$F,TARIFF_PROFILES!$A:$A,$X974))</f>
        <v/>
      </c>
      <c r="AB974" s="31" t="str">
        <f>IF($X974="","",SUMIFS(TARIFF_PROFILES!$G:$G,TARIFF_PROFILES!$A:$A,$X974))</f>
        <v/>
      </c>
      <c r="AC974" s="31" t="str">
        <f>IF($X974="","",SUMIFS(TARIFF_PROFILES!$H:$H,TARIFF_PROFILES!$A:$A,$X974))</f>
        <v/>
      </c>
      <c r="AD974" s="31" t="str">
        <f t="array" ref="AD974">IF($X974="","",INDEX(TARIFF_PROFILES!$J:$J,MATCH($X974,TARIFF_PROFILES!$A:$A,0)))</f>
        <v/>
      </c>
      <c r="AE974" s="31" t="str">
        <f t="array" ref="AE974">IF($X974="","",INDEX(TARIFF_PROFILES!$K:$K,MATCH($X974,TARIFF_PROFILES!$A:$A,0)))</f>
        <v/>
      </c>
      <c r="AG974" s="8"/>
      <c r="AH974" s="8" t="str">
        <f>IF($AG974="","",SUMIFS(OPERATING_COEFFS!$C:$C,OPERATING_COEFFS!$A:$A,"DistanceClass",OPERATING_COEFFS!$B:$B,$AG974))</f>
        <v/>
      </c>
      <c r="AI974" s="8"/>
      <c r="AJ974" s="8" t="str">
        <f>IF($AI974="","",SUMIFS(OPERATING_COEFFS!$C:$C,OPERATING_COEFFS!$A:$A,"SeasonClass",OPERATING_COEFFS!$B:$B,$AI974))</f>
        <v/>
      </c>
      <c r="AK974" s="8"/>
      <c r="AL974" s="8" t="str">
        <f>IF($AK974="","",SUMIFS(OPERATING_COEFFS!$C:$C,OPERATING_COEFFS!$A:$A,"UrgencyClass",OPERATING_COEFFS!$B:$B,$AK974))</f>
        <v/>
      </c>
      <c r="AM974" s="8"/>
      <c r="AN974" s="8" t="str">
        <f t="array" ref="AN974">IF($AM974="","",INDEX(TAX_MODES!$B:$B,MATCH($AM974,TAX_MODES!$A:$A,0)))</f>
        <v/>
      </c>
    </row>
    <row r="975" ht="14.25" customHeight="1">
      <c r="C975" s="8"/>
      <c r="E975" s="8"/>
      <c r="G975" s="8"/>
      <c r="I975" s="8"/>
      <c r="K975" s="8"/>
      <c r="M975" s="8"/>
      <c r="O975" s="8"/>
      <c r="Q975" s="8"/>
      <c r="S975" s="8"/>
      <c r="V975" s="8"/>
      <c r="X975" s="31"/>
      <c r="Y975" s="31" t="str">
        <f>IF($X975="","",SUMIFS(TARIFF_PROFILES!$D:$D,TARIFF_PROFILES!$A:$A,$X975))</f>
        <v/>
      </c>
      <c r="Z975" s="31" t="str">
        <f>IF($X975="","",SUMIFS(TARIFF_PROFILES!$E:$E,TARIFF_PROFILES!$A:$A,$X975))</f>
        <v/>
      </c>
      <c r="AA975" s="31" t="str">
        <f>IF($X975="","",SUMIFS(TARIFF_PROFILES!$F:$F,TARIFF_PROFILES!$A:$A,$X975))</f>
        <v/>
      </c>
      <c r="AB975" s="31" t="str">
        <f>IF($X975="","",SUMIFS(TARIFF_PROFILES!$G:$G,TARIFF_PROFILES!$A:$A,$X975))</f>
        <v/>
      </c>
      <c r="AC975" s="31" t="str">
        <f>IF($X975="","",SUMIFS(TARIFF_PROFILES!$H:$H,TARIFF_PROFILES!$A:$A,$X975))</f>
        <v/>
      </c>
      <c r="AD975" s="31" t="str">
        <f t="array" ref="AD975">IF($X975="","",INDEX(TARIFF_PROFILES!$J:$J,MATCH($X975,TARIFF_PROFILES!$A:$A,0)))</f>
        <v/>
      </c>
      <c r="AE975" s="31" t="str">
        <f t="array" ref="AE975">IF($X975="","",INDEX(TARIFF_PROFILES!$K:$K,MATCH($X975,TARIFF_PROFILES!$A:$A,0)))</f>
        <v/>
      </c>
      <c r="AG975" s="8"/>
      <c r="AH975" s="8" t="str">
        <f>IF($AG975="","",SUMIFS(OPERATING_COEFFS!$C:$C,OPERATING_COEFFS!$A:$A,"DistanceClass",OPERATING_COEFFS!$B:$B,$AG975))</f>
        <v/>
      </c>
      <c r="AI975" s="8"/>
      <c r="AJ975" s="8" t="str">
        <f>IF($AI975="","",SUMIFS(OPERATING_COEFFS!$C:$C,OPERATING_COEFFS!$A:$A,"SeasonClass",OPERATING_COEFFS!$B:$B,$AI975))</f>
        <v/>
      </c>
      <c r="AK975" s="8"/>
      <c r="AL975" s="8" t="str">
        <f>IF($AK975="","",SUMIFS(OPERATING_COEFFS!$C:$C,OPERATING_COEFFS!$A:$A,"UrgencyClass",OPERATING_COEFFS!$B:$B,$AK975))</f>
        <v/>
      </c>
      <c r="AM975" s="8"/>
      <c r="AN975" s="8" t="str">
        <f t="array" ref="AN975">IF($AM975="","",INDEX(TAX_MODES!$B:$B,MATCH($AM975,TAX_MODES!$A:$A,0)))</f>
        <v/>
      </c>
    </row>
    <row r="976" ht="14.25" customHeight="1">
      <c r="C976" s="8"/>
      <c r="E976" s="8"/>
      <c r="G976" s="8"/>
      <c r="I976" s="8"/>
      <c r="K976" s="8"/>
      <c r="M976" s="8"/>
      <c r="O976" s="8"/>
      <c r="Q976" s="8"/>
      <c r="S976" s="8"/>
      <c r="V976" s="8"/>
      <c r="X976" s="31"/>
      <c r="Y976" s="31" t="str">
        <f>IF($X976="","",SUMIFS(TARIFF_PROFILES!$D:$D,TARIFF_PROFILES!$A:$A,$X976))</f>
        <v/>
      </c>
      <c r="Z976" s="31" t="str">
        <f>IF($X976="","",SUMIFS(TARIFF_PROFILES!$E:$E,TARIFF_PROFILES!$A:$A,$X976))</f>
        <v/>
      </c>
      <c r="AA976" s="31" t="str">
        <f>IF($X976="","",SUMIFS(TARIFF_PROFILES!$F:$F,TARIFF_PROFILES!$A:$A,$X976))</f>
        <v/>
      </c>
      <c r="AB976" s="31" t="str">
        <f>IF($X976="","",SUMIFS(TARIFF_PROFILES!$G:$G,TARIFF_PROFILES!$A:$A,$X976))</f>
        <v/>
      </c>
      <c r="AC976" s="31" t="str">
        <f>IF($X976="","",SUMIFS(TARIFF_PROFILES!$H:$H,TARIFF_PROFILES!$A:$A,$X976))</f>
        <v/>
      </c>
      <c r="AD976" s="31" t="str">
        <f t="array" ref="AD976">IF($X976="","",INDEX(TARIFF_PROFILES!$J:$J,MATCH($X976,TARIFF_PROFILES!$A:$A,0)))</f>
        <v/>
      </c>
      <c r="AE976" s="31" t="str">
        <f t="array" ref="AE976">IF($X976="","",INDEX(TARIFF_PROFILES!$K:$K,MATCH($X976,TARIFF_PROFILES!$A:$A,0)))</f>
        <v/>
      </c>
      <c r="AG976" s="8"/>
      <c r="AH976" s="8" t="str">
        <f>IF($AG976="","",SUMIFS(OPERATING_COEFFS!$C:$C,OPERATING_COEFFS!$A:$A,"DistanceClass",OPERATING_COEFFS!$B:$B,$AG976))</f>
        <v/>
      </c>
      <c r="AI976" s="8"/>
      <c r="AJ976" s="8" t="str">
        <f>IF($AI976="","",SUMIFS(OPERATING_COEFFS!$C:$C,OPERATING_COEFFS!$A:$A,"SeasonClass",OPERATING_COEFFS!$B:$B,$AI976))</f>
        <v/>
      </c>
      <c r="AK976" s="8"/>
      <c r="AL976" s="8" t="str">
        <f>IF($AK976="","",SUMIFS(OPERATING_COEFFS!$C:$C,OPERATING_COEFFS!$A:$A,"UrgencyClass",OPERATING_COEFFS!$B:$B,$AK976))</f>
        <v/>
      </c>
      <c r="AM976" s="8"/>
      <c r="AN976" s="8" t="str">
        <f t="array" ref="AN976">IF($AM976="","",INDEX(TAX_MODES!$B:$B,MATCH($AM976,TAX_MODES!$A:$A,0)))</f>
        <v/>
      </c>
    </row>
    <row r="977" ht="14.25" customHeight="1">
      <c r="C977" s="8"/>
      <c r="E977" s="8"/>
      <c r="G977" s="8"/>
      <c r="I977" s="8"/>
      <c r="K977" s="8"/>
      <c r="M977" s="8"/>
      <c r="O977" s="8"/>
      <c r="Q977" s="8"/>
      <c r="S977" s="8"/>
      <c r="V977" s="8"/>
      <c r="X977" s="31"/>
      <c r="Y977" s="31" t="str">
        <f>IF($X977="","",SUMIFS(TARIFF_PROFILES!$D:$D,TARIFF_PROFILES!$A:$A,$X977))</f>
        <v/>
      </c>
      <c r="Z977" s="31" t="str">
        <f>IF($X977="","",SUMIFS(TARIFF_PROFILES!$E:$E,TARIFF_PROFILES!$A:$A,$X977))</f>
        <v/>
      </c>
      <c r="AA977" s="31" t="str">
        <f>IF($X977="","",SUMIFS(TARIFF_PROFILES!$F:$F,TARIFF_PROFILES!$A:$A,$X977))</f>
        <v/>
      </c>
      <c r="AB977" s="31" t="str">
        <f>IF($X977="","",SUMIFS(TARIFF_PROFILES!$G:$G,TARIFF_PROFILES!$A:$A,$X977))</f>
        <v/>
      </c>
      <c r="AC977" s="31" t="str">
        <f>IF($X977="","",SUMIFS(TARIFF_PROFILES!$H:$H,TARIFF_PROFILES!$A:$A,$X977))</f>
        <v/>
      </c>
      <c r="AD977" s="31" t="str">
        <f t="array" ref="AD977">IF($X977="","",INDEX(TARIFF_PROFILES!$J:$J,MATCH($X977,TARIFF_PROFILES!$A:$A,0)))</f>
        <v/>
      </c>
      <c r="AE977" s="31" t="str">
        <f t="array" ref="AE977">IF($X977="","",INDEX(TARIFF_PROFILES!$K:$K,MATCH($X977,TARIFF_PROFILES!$A:$A,0)))</f>
        <v/>
      </c>
      <c r="AG977" s="8"/>
      <c r="AH977" s="8" t="str">
        <f>IF($AG977="","",SUMIFS(OPERATING_COEFFS!$C:$C,OPERATING_COEFFS!$A:$A,"DistanceClass",OPERATING_COEFFS!$B:$B,$AG977))</f>
        <v/>
      </c>
      <c r="AI977" s="8"/>
      <c r="AJ977" s="8" t="str">
        <f>IF($AI977="","",SUMIFS(OPERATING_COEFFS!$C:$C,OPERATING_COEFFS!$A:$A,"SeasonClass",OPERATING_COEFFS!$B:$B,$AI977))</f>
        <v/>
      </c>
      <c r="AK977" s="8"/>
      <c r="AL977" s="8" t="str">
        <f>IF($AK977="","",SUMIFS(OPERATING_COEFFS!$C:$C,OPERATING_COEFFS!$A:$A,"UrgencyClass",OPERATING_COEFFS!$B:$B,$AK977))</f>
        <v/>
      </c>
      <c r="AM977" s="8"/>
      <c r="AN977" s="8" t="str">
        <f t="array" ref="AN977">IF($AM977="","",INDEX(TAX_MODES!$B:$B,MATCH($AM977,TAX_MODES!$A:$A,0)))</f>
        <v/>
      </c>
    </row>
    <row r="978" ht="14.25" customHeight="1">
      <c r="C978" s="8"/>
      <c r="E978" s="8"/>
      <c r="G978" s="8"/>
      <c r="I978" s="8"/>
      <c r="K978" s="8"/>
      <c r="M978" s="8"/>
      <c r="O978" s="8"/>
      <c r="Q978" s="8"/>
      <c r="S978" s="8"/>
      <c r="V978" s="8"/>
      <c r="X978" s="31"/>
      <c r="Y978" s="31" t="str">
        <f>IF($X978="","",SUMIFS(TARIFF_PROFILES!$D:$D,TARIFF_PROFILES!$A:$A,$X978))</f>
        <v/>
      </c>
      <c r="Z978" s="31" t="str">
        <f>IF($X978="","",SUMIFS(TARIFF_PROFILES!$E:$E,TARIFF_PROFILES!$A:$A,$X978))</f>
        <v/>
      </c>
      <c r="AA978" s="31" t="str">
        <f>IF($X978="","",SUMIFS(TARIFF_PROFILES!$F:$F,TARIFF_PROFILES!$A:$A,$X978))</f>
        <v/>
      </c>
      <c r="AB978" s="31" t="str">
        <f>IF($X978="","",SUMIFS(TARIFF_PROFILES!$G:$G,TARIFF_PROFILES!$A:$A,$X978))</f>
        <v/>
      </c>
      <c r="AC978" s="31" t="str">
        <f>IF($X978="","",SUMIFS(TARIFF_PROFILES!$H:$H,TARIFF_PROFILES!$A:$A,$X978))</f>
        <v/>
      </c>
      <c r="AD978" s="31" t="str">
        <f t="array" ref="AD978">IF($X978="","",INDEX(TARIFF_PROFILES!$J:$J,MATCH($X978,TARIFF_PROFILES!$A:$A,0)))</f>
        <v/>
      </c>
      <c r="AE978" s="31" t="str">
        <f t="array" ref="AE978">IF($X978="","",INDEX(TARIFF_PROFILES!$K:$K,MATCH($X978,TARIFF_PROFILES!$A:$A,0)))</f>
        <v/>
      </c>
      <c r="AG978" s="8"/>
      <c r="AH978" s="8" t="str">
        <f>IF($AG978="","",SUMIFS(OPERATING_COEFFS!$C:$C,OPERATING_COEFFS!$A:$A,"DistanceClass",OPERATING_COEFFS!$B:$B,$AG978))</f>
        <v/>
      </c>
      <c r="AI978" s="8"/>
      <c r="AJ978" s="8" t="str">
        <f>IF($AI978="","",SUMIFS(OPERATING_COEFFS!$C:$C,OPERATING_COEFFS!$A:$A,"SeasonClass",OPERATING_COEFFS!$B:$B,$AI978))</f>
        <v/>
      </c>
      <c r="AK978" s="8"/>
      <c r="AL978" s="8" t="str">
        <f>IF($AK978="","",SUMIFS(OPERATING_COEFFS!$C:$C,OPERATING_COEFFS!$A:$A,"UrgencyClass",OPERATING_COEFFS!$B:$B,$AK978))</f>
        <v/>
      </c>
      <c r="AM978" s="8"/>
      <c r="AN978" s="8" t="str">
        <f t="array" ref="AN978">IF($AM978="","",INDEX(TAX_MODES!$B:$B,MATCH($AM978,TAX_MODES!$A:$A,0)))</f>
        <v/>
      </c>
    </row>
    <row r="979" ht="14.25" customHeight="1">
      <c r="C979" s="8"/>
      <c r="E979" s="8"/>
      <c r="G979" s="8"/>
      <c r="I979" s="8"/>
      <c r="K979" s="8"/>
      <c r="M979" s="8"/>
      <c r="O979" s="8"/>
      <c r="Q979" s="8"/>
      <c r="S979" s="8"/>
      <c r="V979" s="8"/>
      <c r="X979" s="31"/>
      <c r="Y979" s="31" t="str">
        <f>IF($X979="","",SUMIFS(TARIFF_PROFILES!$D:$D,TARIFF_PROFILES!$A:$A,$X979))</f>
        <v/>
      </c>
      <c r="Z979" s="31" t="str">
        <f>IF($X979="","",SUMIFS(TARIFF_PROFILES!$E:$E,TARIFF_PROFILES!$A:$A,$X979))</f>
        <v/>
      </c>
      <c r="AA979" s="31" t="str">
        <f>IF($X979="","",SUMIFS(TARIFF_PROFILES!$F:$F,TARIFF_PROFILES!$A:$A,$X979))</f>
        <v/>
      </c>
      <c r="AB979" s="31" t="str">
        <f>IF($X979="","",SUMIFS(TARIFF_PROFILES!$G:$G,TARIFF_PROFILES!$A:$A,$X979))</f>
        <v/>
      </c>
      <c r="AC979" s="31" t="str">
        <f>IF($X979="","",SUMIFS(TARIFF_PROFILES!$H:$H,TARIFF_PROFILES!$A:$A,$X979))</f>
        <v/>
      </c>
      <c r="AD979" s="31" t="str">
        <f t="array" ref="AD979">IF($X979="","",INDEX(TARIFF_PROFILES!$J:$J,MATCH($X979,TARIFF_PROFILES!$A:$A,0)))</f>
        <v/>
      </c>
      <c r="AE979" s="31" t="str">
        <f t="array" ref="AE979">IF($X979="","",INDEX(TARIFF_PROFILES!$K:$K,MATCH($X979,TARIFF_PROFILES!$A:$A,0)))</f>
        <v/>
      </c>
      <c r="AG979" s="8"/>
      <c r="AH979" s="8" t="str">
        <f>IF($AG979="","",SUMIFS(OPERATING_COEFFS!$C:$C,OPERATING_COEFFS!$A:$A,"DistanceClass",OPERATING_COEFFS!$B:$B,$AG979))</f>
        <v/>
      </c>
      <c r="AI979" s="8"/>
      <c r="AJ979" s="8" t="str">
        <f>IF($AI979="","",SUMIFS(OPERATING_COEFFS!$C:$C,OPERATING_COEFFS!$A:$A,"SeasonClass",OPERATING_COEFFS!$B:$B,$AI979))</f>
        <v/>
      </c>
      <c r="AK979" s="8"/>
      <c r="AL979" s="8" t="str">
        <f>IF($AK979="","",SUMIFS(OPERATING_COEFFS!$C:$C,OPERATING_COEFFS!$A:$A,"UrgencyClass",OPERATING_COEFFS!$B:$B,$AK979))</f>
        <v/>
      </c>
      <c r="AM979" s="8"/>
      <c r="AN979" s="8" t="str">
        <f t="array" ref="AN979">IF($AM979="","",INDEX(TAX_MODES!$B:$B,MATCH($AM979,TAX_MODES!$A:$A,0)))</f>
        <v/>
      </c>
    </row>
    <row r="980" ht="14.25" customHeight="1">
      <c r="C980" s="8"/>
      <c r="E980" s="8"/>
      <c r="G980" s="8"/>
      <c r="I980" s="8"/>
      <c r="K980" s="8"/>
      <c r="M980" s="8"/>
      <c r="O980" s="8"/>
      <c r="Q980" s="8"/>
      <c r="S980" s="8"/>
      <c r="V980" s="8"/>
      <c r="X980" s="31"/>
      <c r="Y980" s="31" t="str">
        <f>IF($X980="","",SUMIFS(TARIFF_PROFILES!$D:$D,TARIFF_PROFILES!$A:$A,$X980))</f>
        <v/>
      </c>
      <c r="Z980" s="31" t="str">
        <f>IF($X980="","",SUMIFS(TARIFF_PROFILES!$E:$E,TARIFF_PROFILES!$A:$A,$X980))</f>
        <v/>
      </c>
      <c r="AA980" s="31" t="str">
        <f>IF($X980="","",SUMIFS(TARIFF_PROFILES!$F:$F,TARIFF_PROFILES!$A:$A,$X980))</f>
        <v/>
      </c>
      <c r="AB980" s="31" t="str">
        <f>IF($X980="","",SUMIFS(TARIFF_PROFILES!$G:$G,TARIFF_PROFILES!$A:$A,$X980))</f>
        <v/>
      </c>
      <c r="AC980" s="31" t="str">
        <f>IF($X980="","",SUMIFS(TARIFF_PROFILES!$H:$H,TARIFF_PROFILES!$A:$A,$X980))</f>
        <v/>
      </c>
      <c r="AD980" s="31" t="str">
        <f t="array" ref="AD980">IF($X980="","",INDEX(TARIFF_PROFILES!$J:$J,MATCH($X980,TARIFF_PROFILES!$A:$A,0)))</f>
        <v/>
      </c>
      <c r="AE980" s="31" t="str">
        <f t="array" ref="AE980">IF($X980="","",INDEX(TARIFF_PROFILES!$K:$K,MATCH($X980,TARIFF_PROFILES!$A:$A,0)))</f>
        <v/>
      </c>
      <c r="AG980" s="8"/>
      <c r="AH980" s="8" t="str">
        <f>IF($AG980="","",SUMIFS(OPERATING_COEFFS!$C:$C,OPERATING_COEFFS!$A:$A,"DistanceClass",OPERATING_COEFFS!$B:$B,$AG980))</f>
        <v/>
      </c>
      <c r="AI980" s="8"/>
      <c r="AJ980" s="8" t="str">
        <f>IF($AI980="","",SUMIFS(OPERATING_COEFFS!$C:$C,OPERATING_COEFFS!$A:$A,"SeasonClass",OPERATING_COEFFS!$B:$B,$AI980))</f>
        <v/>
      </c>
      <c r="AK980" s="8"/>
      <c r="AL980" s="8" t="str">
        <f>IF($AK980="","",SUMIFS(OPERATING_COEFFS!$C:$C,OPERATING_COEFFS!$A:$A,"UrgencyClass",OPERATING_COEFFS!$B:$B,$AK980))</f>
        <v/>
      </c>
      <c r="AM980" s="8"/>
      <c r="AN980" s="8" t="str">
        <f t="array" ref="AN980">IF($AM980="","",INDEX(TAX_MODES!$B:$B,MATCH($AM980,TAX_MODES!$A:$A,0)))</f>
        <v/>
      </c>
    </row>
    <row r="981" ht="14.25" customHeight="1">
      <c r="C981" s="8"/>
      <c r="E981" s="8"/>
      <c r="G981" s="8"/>
      <c r="I981" s="8"/>
      <c r="K981" s="8"/>
      <c r="M981" s="8"/>
      <c r="O981" s="8"/>
      <c r="Q981" s="8"/>
      <c r="S981" s="8"/>
      <c r="V981" s="8"/>
      <c r="X981" s="31"/>
      <c r="Y981" s="31" t="str">
        <f>IF($X981="","",SUMIFS(TARIFF_PROFILES!$D:$D,TARIFF_PROFILES!$A:$A,$X981))</f>
        <v/>
      </c>
      <c r="Z981" s="31" t="str">
        <f>IF($X981="","",SUMIFS(TARIFF_PROFILES!$E:$E,TARIFF_PROFILES!$A:$A,$X981))</f>
        <v/>
      </c>
      <c r="AA981" s="31" t="str">
        <f>IF($X981="","",SUMIFS(TARIFF_PROFILES!$F:$F,TARIFF_PROFILES!$A:$A,$X981))</f>
        <v/>
      </c>
      <c r="AB981" s="31" t="str">
        <f>IF($X981="","",SUMIFS(TARIFF_PROFILES!$G:$G,TARIFF_PROFILES!$A:$A,$X981))</f>
        <v/>
      </c>
      <c r="AC981" s="31" t="str">
        <f>IF($X981="","",SUMIFS(TARIFF_PROFILES!$H:$H,TARIFF_PROFILES!$A:$A,$X981))</f>
        <v/>
      </c>
      <c r="AD981" s="31" t="str">
        <f t="array" ref="AD981">IF($X981="","",INDEX(TARIFF_PROFILES!$J:$J,MATCH($X981,TARIFF_PROFILES!$A:$A,0)))</f>
        <v/>
      </c>
      <c r="AE981" s="31" t="str">
        <f t="array" ref="AE981">IF($X981="","",INDEX(TARIFF_PROFILES!$K:$K,MATCH($X981,TARIFF_PROFILES!$A:$A,0)))</f>
        <v/>
      </c>
      <c r="AG981" s="8"/>
      <c r="AH981" s="8" t="str">
        <f>IF($AG981="","",SUMIFS(OPERATING_COEFFS!$C:$C,OPERATING_COEFFS!$A:$A,"DistanceClass",OPERATING_COEFFS!$B:$B,$AG981))</f>
        <v/>
      </c>
      <c r="AI981" s="8"/>
      <c r="AJ981" s="8" t="str">
        <f>IF($AI981="","",SUMIFS(OPERATING_COEFFS!$C:$C,OPERATING_COEFFS!$A:$A,"SeasonClass",OPERATING_COEFFS!$B:$B,$AI981))</f>
        <v/>
      </c>
      <c r="AK981" s="8"/>
      <c r="AL981" s="8" t="str">
        <f>IF($AK981="","",SUMIFS(OPERATING_COEFFS!$C:$C,OPERATING_COEFFS!$A:$A,"UrgencyClass",OPERATING_COEFFS!$B:$B,$AK981))</f>
        <v/>
      </c>
      <c r="AM981" s="8"/>
      <c r="AN981" s="8" t="str">
        <f t="array" ref="AN981">IF($AM981="","",INDEX(TAX_MODES!$B:$B,MATCH($AM981,TAX_MODES!$A:$A,0)))</f>
        <v/>
      </c>
    </row>
    <row r="982" ht="14.25" customHeight="1">
      <c r="C982" s="8"/>
      <c r="E982" s="8"/>
      <c r="G982" s="8"/>
      <c r="I982" s="8"/>
      <c r="K982" s="8"/>
      <c r="M982" s="8"/>
      <c r="O982" s="8"/>
      <c r="Q982" s="8"/>
      <c r="S982" s="8"/>
      <c r="V982" s="8"/>
      <c r="X982" s="31"/>
      <c r="Y982" s="31" t="str">
        <f>IF($X982="","",SUMIFS(TARIFF_PROFILES!$D:$D,TARIFF_PROFILES!$A:$A,$X982))</f>
        <v/>
      </c>
      <c r="Z982" s="31" t="str">
        <f>IF($X982="","",SUMIFS(TARIFF_PROFILES!$E:$E,TARIFF_PROFILES!$A:$A,$X982))</f>
        <v/>
      </c>
      <c r="AA982" s="31" t="str">
        <f>IF($X982="","",SUMIFS(TARIFF_PROFILES!$F:$F,TARIFF_PROFILES!$A:$A,$X982))</f>
        <v/>
      </c>
      <c r="AB982" s="31" t="str">
        <f>IF($X982="","",SUMIFS(TARIFF_PROFILES!$G:$G,TARIFF_PROFILES!$A:$A,$X982))</f>
        <v/>
      </c>
      <c r="AC982" s="31" t="str">
        <f>IF($X982="","",SUMIFS(TARIFF_PROFILES!$H:$H,TARIFF_PROFILES!$A:$A,$X982))</f>
        <v/>
      </c>
      <c r="AD982" s="31" t="str">
        <f t="array" ref="AD982">IF($X982="","",INDEX(TARIFF_PROFILES!$J:$J,MATCH($X982,TARIFF_PROFILES!$A:$A,0)))</f>
        <v/>
      </c>
      <c r="AE982" s="31" t="str">
        <f t="array" ref="AE982">IF($X982="","",INDEX(TARIFF_PROFILES!$K:$K,MATCH($X982,TARIFF_PROFILES!$A:$A,0)))</f>
        <v/>
      </c>
      <c r="AG982" s="8"/>
      <c r="AH982" s="8" t="str">
        <f>IF($AG982="","",SUMIFS(OPERATING_COEFFS!$C:$C,OPERATING_COEFFS!$A:$A,"DistanceClass",OPERATING_COEFFS!$B:$B,$AG982))</f>
        <v/>
      </c>
      <c r="AI982" s="8"/>
      <c r="AJ982" s="8" t="str">
        <f>IF($AI982="","",SUMIFS(OPERATING_COEFFS!$C:$C,OPERATING_COEFFS!$A:$A,"SeasonClass",OPERATING_COEFFS!$B:$B,$AI982))</f>
        <v/>
      </c>
      <c r="AK982" s="8"/>
      <c r="AL982" s="8" t="str">
        <f>IF($AK982="","",SUMIFS(OPERATING_COEFFS!$C:$C,OPERATING_COEFFS!$A:$A,"UrgencyClass",OPERATING_COEFFS!$B:$B,$AK982))</f>
        <v/>
      </c>
      <c r="AM982" s="8"/>
      <c r="AN982" s="8" t="str">
        <f t="array" ref="AN982">IF($AM982="","",INDEX(TAX_MODES!$B:$B,MATCH($AM982,TAX_MODES!$A:$A,0)))</f>
        <v/>
      </c>
    </row>
    <row r="983" ht="14.25" customHeight="1">
      <c r="C983" s="8"/>
      <c r="E983" s="8"/>
      <c r="G983" s="8"/>
      <c r="I983" s="8"/>
      <c r="K983" s="8"/>
      <c r="M983" s="8"/>
      <c r="O983" s="8"/>
      <c r="Q983" s="8"/>
      <c r="S983" s="8"/>
      <c r="V983" s="8"/>
      <c r="X983" s="31"/>
      <c r="Y983" s="31" t="str">
        <f>IF($X983="","",SUMIFS(TARIFF_PROFILES!$D:$D,TARIFF_PROFILES!$A:$A,$X983))</f>
        <v/>
      </c>
      <c r="Z983" s="31" t="str">
        <f>IF($X983="","",SUMIFS(TARIFF_PROFILES!$E:$E,TARIFF_PROFILES!$A:$A,$X983))</f>
        <v/>
      </c>
      <c r="AA983" s="31" t="str">
        <f>IF($X983="","",SUMIFS(TARIFF_PROFILES!$F:$F,TARIFF_PROFILES!$A:$A,$X983))</f>
        <v/>
      </c>
      <c r="AB983" s="31" t="str">
        <f>IF($X983="","",SUMIFS(TARIFF_PROFILES!$G:$G,TARIFF_PROFILES!$A:$A,$X983))</f>
        <v/>
      </c>
      <c r="AC983" s="31" t="str">
        <f>IF($X983="","",SUMIFS(TARIFF_PROFILES!$H:$H,TARIFF_PROFILES!$A:$A,$X983))</f>
        <v/>
      </c>
      <c r="AD983" s="31" t="str">
        <f t="array" ref="AD983">IF($X983="","",INDEX(TARIFF_PROFILES!$J:$J,MATCH($X983,TARIFF_PROFILES!$A:$A,0)))</f>
        <v/>
      </c>
      <c r="AE983" s="31" t="str">
        <f t="array" ref="AE983">IF($X983="","",INDEX(TARIFF_PROFILES!$K:$K,MATCH($X983,TARIFF_PROFILES!$A:$A,0)))</f>
        <v/>
      </c>
      <c r="AG983" s="8"/>
      <c r="AH983" s="8" t="str">
        <f>IF($AG983="","",SUMIFS(OPERATING_COEFFS!$C:$C,OPERATING_COEFFS!$A:$A,"DistanceClass",OPERATING_COEFFS!$B:$B,$AG983))</f>
        <v/>
      </c>
      <c r="AI983" s="8"/>
      <c r="AJ983" s="8" t="str">
        <f>IF($AI983="","",SUMIFS(OPERATING_COEFFS!$C:$C,OPERATING_COEFFS!$A:$A,"SeasonClass",OPERATING_COEFFS!$B:$B,$AI983))</f>
        <v/>
      </c>
      <c r="AK983" s="8"/>
      <c r="AL983" s="8" t="str">
        <f>IF($AK983="","",SUMIFS(OPERATING_COEFFS!$C:$C,OPERATING_COEFFS!$A:$A,"UrgencyClass",OPERATING_COEFFS!$B:$B,$AK983))</f>
        <v/>
      </c>
      <c r="AM983" s="8"/>
      <c r="AN983" s="8" t="str">
        <f t="array" ref="AN983">IF($AM983="","",INDEX(TAX_MODES!$B:$B,MATCH($AM983,TAX_MODES!$A:$A,0)))</f>
        <v/>
      </c>
    </row>
    <row r="984" ht="14.25" customHeight="1">
      <c r="C984" s="8"/>
      <c r="E984" s="8"/>
      <c r="G984" s="8"/>
      <c r="I984" s="8"/>
      <c r="K984" s="8"/>
      <c r="M984" s="8"/>
      <c r="O984" s="8"/>
      <c r="Q984" s="8"/>
      <c r="S984" s="8"/>
      <c r="V984" s="8"/>
      <c r="X984" s="31"/>
      <c r="Y984" s="31" t="str">
        <f>IF($X984="","",SUMIFS(TARIFF_PROFILES!$D:$D,TARIFF_PROFILES!$A:$A,$X984))</f>
        <v/>
      </c>
      <c r="Z984" s="31" t="str">
        <f>IF($X984="","",SUMIFS(TARIFF_PROFILES!$E:$E,TARIFF_PROFILES!$A:$A,$X984))</f>
        <v/>
      </c>
      <c r="AA984" s="31" t="str">
        <f>IF($X984="","",SUMIFS(TARIFF_PROFILES!$F:$F,TARIFF_PROFILES!$A:$A,$X984))</f>
        <v/>
      </c>
      <c r="AB984" s="31" t="str">
        <f>IF($X984="","",SUMIFS(TARIFF_PROFILES!$G:$G,TARIFF_PROFILES!$A:$A,$X984))</f>
        <v/>
      </c>
      <c r="AC984" s="31" t="str">
        <f>IF($X984="","",SUMIFS(TARIFF_PROFILES!$H:$H,TARIFF_PROFILES!$A:$A,$X984))</f>
        <v/>
      </c>
      <c r="AD984" s="31" t="str">
        <f t="array" ref="AD984">IF($X984="","",INDEX(TARIFF_PROFILES!$J:$J,MATCH($X984,TARIFF_PROFILES!$A:$A,0)))</f>
        <v/>
      </c>
      <c r="AE984" s="31" t="str">
        <f t="array" ref="AE984">IF($X984="","",INDEX(TARIFF_PROFILES!$K:$K,MATCH($X984,TARIFF_PROFILES!$A:$A,0)))</f>
        <v/>
      </c>
      <c r="AG984" s="8"/>
      <c r="AH984" s="8" t="str">
        <f>IF($AG984="","",SUMIFS(OPERATING_COEFFS!$C:$C,OPERATING_COEFFS!$A:$A,"DistanceClass",OPERATING_COEFFS!$B:$B,$AG984))</f>
        <v/>
      </c>
      <c r="AI984" s="8"/>
      <c r="AJ984" s="8" t="str">
        <f>IF($AI984="","",SUMIFS(OPERATING_COEFFS!$C:$C,OPERATING_COEFFS!$A:$A,"SeasonClass",OPERATING_COEFFS!$B:$B,$AI984))</f>
        <v/>
      </c>
      <c r="AK984" s="8"/>
      <c r="AL984" s="8" t="str">
        <f>IF($AK984="","",SUMIFS(OPERATING_COEFFS!$C:$C,OPERATING_COEFFS!$A:$A,"UrgencyClass",OPERATING_COEFFS!$B:$B,$AK984))</f>
        <v/>
      </c>
      <c r="AM984" s="8"/>
      <c r="AN984" s="8" t="str">
        <f t="array" ref="AN984">IF($AM984="","",INDEX(TAX_MODES!$B:$B,MATCH($AM984,TAX_MODES!$A:$A,0)))</f>
        <v/>
      </c>
    </row>
    <row r="985" ht="14.25" customHeight="1">
      <c r="C985" s="8"/>
      <c r="E985" s="8"/>
      <c r="G985" s="8"/>
      <c r="I985" s="8"/>
      <c r="K985" s="8"/>
      <c r="M985" s="8"/>
      <c r="O985" s="8"/>
      <c r="Q985" s="8"/>
      <c r="S985" s="8"/>
      <c r="V985" s="8"/>
      <c r="X985" s="31"/>
      <c r="Y985" s="31" t="str">
        <f>IF($X985="","",SUMIFS(TARIFF_PROFILES!$D:$D,TARIFF_PROFILES!$A:$A,$X985))</f>
        <v/>
      </c>
      <c r="Z985" s="31" t="str">
        <f>IF($X985="","",SUMIFS(TARIFF_PROFILES!$E:$E,TARIFF_PROFILES!$A:$A,$X985))</f>
        <v/>
      </c>
      <c r="AA985" s="31" t="str">
        <f>IF($X985="","",SUMIFS(TARIFF_PROFILES!$F:$F,TARIFF_PROFILES!$A:$A,$X985))</f>
        <v/>
      </c>
      <c r="AB985" s="31" t="str">
        <f>IF($X985="","",SUMIFS(TARIFF_PROFILES!$G:$G,TARIFF_PROFILES!$A:$A,$X985))</f>
        <v/>
      </c>
      <c r="AC985" s="31" t="str">
        <f>IF($X985="","",SUMIFS(TARIFF_PROFILES!$H:$H,TARIFF_PROFILES!$A:$A,$X985))</f>
        <v/>
      </c>
      <c r="AD985" s="31" t="str">
        <f t="array" ref="AD985">IF($X985="","",INDEX(TARIFF_PROFILES!$J:$J,MATCH($X985,TARIFF_PROFILES!$A:$A,0)))</f>
        <v/>
      </c>
      <c r="AE985" s="31" t="str">
        <f t="array" ref="AE985">IF($X985="","",INDEX(TARIFF_PROFILES!$K:$K,MATCH($X985,TARIFF_PROFILES!$A:$A,0)))</f>
        <v/>
      </c>
      <c r="AG985" s="8"/>
      <c r="AH985" s="8" t="str">
        <f>IF($AG985="","",SUMIFS(OPERATING_COEFFS!$C:$C,OPERATING_COEFFS!$A:$A,"DistanceClass",OPERATING_COEFFS!$B:$B,$AG985))</f>
        <v/>
      </c>
      <c r="AI985" s="8"/>
      <c r="AJ985" s="8" t="str">
        <f>IF($AI985="","",SUMIFS(OPERATING_COEFFS!$C:$C,OPERATING_COEFFS!$A:$A,"SeasonClass",OPERATING_COEFFS!$B:$B,$AI985))</f>
        <v/>
      </c>
      <c r="AK985" s="8"/>
      <c r="AL985" s="8" t="str">
        <f>IF($AK985="","",SUMIFS(OPERATING_COEFFS!$C:$C,OPERATING_COEFFS!$A:$A,"UrgencyClass",OPERATING_COEFFS!$B:$B,$AK985))</f>
        <v/>
      </c>
      <c r="AM985" s="8"/>
      <c r="AN985" s="8" t="str">
        <f t="array" ref="AN985">IF($AM985="","",INDEX(TAX_MODES!$B:$B,MATCH($AM985,TAX_MODES!$A:$A,0)))</f>
        <v/>
      </c>
    </row>
    <row r="986" ht="14.25" customHeight="1">
      <c r="C986" s="8"/>
      <c r="E986" s="8"/>
      <c r="G986" s="8"/>
      <c r="I986" s="8"/>
      <c r="K986" s="8"/>
      <c r="M986" s="8"/>
      <c r="O986" s="8"/>
      <c r="Q986" s="8"/>
      <c r="S986" s="8"/>
      <c r="V986" s="8"/>
      <c r="X986" s="31"/>
      <c r="Y986" s="31" t="str">
        <f>IF($X986="","",SUMIFS(TARIFF_PROFILES!$D:$D,TARIFF_PROFILES!$A:$A,$X986))</f>
        <v/>
      </c>
      <c r="Z986" s="31" t="str">
        <f>IF($X986="","",SUMIFS(TARIFF_PROFILES!$E:$E,TARIFF_PROFILES!$A:$A,$X986))</f>
        <v/>
      </c>
      <c r="AA986" s="31" t="str">
        <f>IF($X986="","",SUMIFS(TARIFF_PROFILES!$F:$F,TARIFF_PROFILES!$A:$A,$X986))</f>
        <v/>
      </c>
      <c r="AB986" s="31" t="str">
        <f>IF($X986="","",SUMIFS(TARIFF_PROFILES!$G:$G,TARIFF_PROFILES!$A:$A,$X986))</f>
        <v/>
      </c>
      <c r="AC986" s="31" t="str">
        <f>IF($X986="","",SUMIFS(TARIFF_PROFILES!$H:$H,TARIFF_PROFILES!$A:$A,$X986))</f>
        <v/>
      </c>
      <c r="AD986" s="31" t="str">
        <f t="array" ref="AD986">IF($X986="","",INDEX(TARIFF_PROFILES!$J:$J,MATCH($X986,TARIFF_PROFILES!$A:$A,0)))</f>
        <v/>
      </c>
      <c r="AE986" s="31" t="str">
        <f t="array" ref="AE986">IF($X986="","",INDEX(TARIFF_PROFILES!$K:$K,MATCH($X986,TARIFF_PROFILES!$A:$A,0)))</f>
        <v/>
      </c>
      <c r="AG986" s="8"/>
      <c r="AH986" s="8" t="str">
        <f>IF($AG986="","",SUMIFS(OPERATING_COEFFS!$C:$C,OPERATING_COEFFS!$A:$A,"DistanceClass",OPERATING_COEFFS!$B:$B,$AG986))</f>
        <v/>
      </c>
      <c r="AI986" s="8"/>
      <c r="AJ986" s="8" t="str">
        <f>IF($AI986="","",SUMIFS(OPERATING_COEFFS!$C:$C,OPERATING_COEFFS!$A:$A,"SeasonClass",OPERATING_COEFFS!$B:$B,$AI986))</f>
        <v/>
      </c>
      <c r="AK986" s="8"/>
      <c r="AL986" s="8" t="str">
        <f>IF($AK986="","",SUMIFS(OPERATING_COEFFS!$C:$C,OPERATING_COEFFS!$A:$A,"UrgencyClass",OPERATING_COEFFS!$B:$B,$AK986))</f>
        <v/>
      </c>
      <c r="AM986" s="8"/>
      <c r="AN986" s="8" t="str">
        <f t="array" ref="AN986">IF($AM986="","",INDEX(TAX_MODES!$B:$B,MATCH($AM986,TAX_MODES!$A:$A,0)))</f>
        <v/>
      </c>
    </row>
    <row r="987" ht="14.25" customHeight="1">
      <c r="C987" s="8"/>
      <c r="E987" s="8"/>
      <c r="G987" s="8"/>
      <c r="I987" s="8"/>
      <c r="K987" s="8"/>
      <c r="M987" s="8"/>
      <c r="O987" s="8"/>
      <c r="Q987" s="8"/>
      <c r="S987" s="8"/>
      <c r="V987" s="8"/>
      <c r="X987" s="31"/>
      <c r="Y987" s="31" t="str">
        <f>IF($X987="","",SUMIFS(TARIFF_PROFILES!$D:$D,TARIFF_PROFILES!$A:$A,$X987))</f>
        <v/>
      </c>
      <c r="Z987" s="31" t="str">
        <f>IF($X987="","",SUMIFS(TARIFF_PROFILES!$E:$E,TARIFF_PROFILES!$A:$A,$X987))</f>
        <v/>
      </c>
      <c r="AA987" s="31" t="str">
        <f>IF($X987="","",SUMIFS(TARIFF_PROFILES!$F:$F,TARIFF_PROFILES!$A:$A,$X987))</f>
        <v/>
      </c>
      <c r="AB987" s="31" t="str">
        <f>IF($X987="","",SUMIFS(TARIFF_PROFILES!$G:$G,TARIFF_PROFILES!$A:$A,$X987))</f>
        <v/>
      </c>
      <c r="AC987" s="31" t="str">
        <f>IF($X987="","",SUMIFS(TARIFF_PROFILES!$H:$H,TARIFF_PROFILES!$A:$A,$X987))</f>
        <v/>
      </c>
      <c r="AD987" s="31" t="str">
        <f t="array" ref="AD987">IF($X987="","",INDEX(TARIFF_PROFILES!$J:$J,MATCH($X987,TARIFF_PROFILES!$A:$A,0)))</f>
        <v/>
      </c>
      <c r="AE987" s="31" t="str">
        <f t="array" ref="AE987">IF($X987="","",INDEX(TARIFF_PROFILES!$K:$K,MATCH($X987,TARIFF_PROFILES!$A:$A,0)))</f>
        <v/>
      </c>
      <c r="AG987" s="8"/>
      <c r="AH987" s="8" t="str">
        <f>IF($AG987="","",SUMIFS(OPERATING_COEFFS!$C:$C,OPERATING_COEFFS!$A:$A,"DistanceClass",OPERATING_COEFFS!$B:$B,$AG987))</f>
        <v/>
      </c>
      <c r="AI987" s="8"/>
      <c r="AJ987" s="8" t="str">
        <f>IF($AI987="","",SUMIFS(OPERATING_COEFFS!$C:$C,OPERATING_COEFFS!$A:$A,"SeasonClass",OPERATING_COEFFS!$B:$B,$AI987))</f>
        <v/>
      </c>
      <c r="AK987" s="8"/>
      <c r="AL987" s="8" t="str">
        <f>IF($AK987="","",SUMIFS(OPERATING_COEFFS!$C:$C,OPERATING_COEFFS!$A:$A,"UrgencyClass",OPERATING_COEFFS!$B:$B,$AK987))</f>
        <v/>
      </c>
      <c r="AM987" s="8"/>
      <c r="AN987" s="8" t="str">
        <f t="array" ref="AN987">IF($AM987="","",INDEX(TAX_MODES!$B:$B,MATCH($AM987,TAX_MODES!$A:$A,0)))</f>
        <v/>
      </c>
    </row>
    <row r="988" ht="14.25" customHeight="1">
      <c r="C988" s="8"/>
      <c r="E988" s="8"/>
      <c r="G988" s="8"/>
      <c r="I988" s="8"/>
      <c r="K988" s="8"/>
      <c r="M988" s="8"/>
      <c r="O988" s="8"/>
      <c r="Q988" s="8"/>
      <c r="S988" s="8"/>
      <c r="V988" s="8"/>
      <c r="X988" s="31"/>
      <c r="Y988" s="31" t="str">
        <f>IF($X988="","",SUMIFS(TARIFF_PROFILES!$D:$D,TARIFF_PROFILES!$A:$A,$X988))</f>
        <v/>
      </c>
      <c r="Z988" s="31" t="str">
        <f>IF($X988="","",SUMIFS(TARIFF_PROFILES!$E:$E,TARIFF_PROFILES!$A:$A,$X988))</f>
        <v/>
      </c>
      <c r="AA988" s="31" t="str">
        <f>IF($X988="","",SUMIFS(TARIFF_PROFILES!$F:$F,TARIFF_PROFILES!$A:$A,$X988))</f>
        <v/>
      </c>
      <c r="AB988" s="31" t="str">
        <f>IF($X988="","",SUMIFS(TARIFF_PROFILES!$G:$G,TARIFF_PROFILES!$A:$A,$X988))</f>
        <v/>
      </c>
      <c r="AC988" s="31" t="str">
        <f>IF($X988="","",SUMIFS(TARIFF_PROFILES!$H:$H,TARIFF_PROFILES!$A:$A,$X988))</f>
        <v/>
      </c>
      <c r="AD988" s="31" t="str">
        <f t="array" ref="AD988">IF($X988="","",INDEX(TARIFF_PROFILES!$J:$J,MATCH($X988,TARIFF_PROFILES!$A:$A,0)))</f>
        <v/>
      </c>
      <c r="AE988" s="31" t="str">
        <f t="array" ref="AE988">IF($X988="","",INDEX(TARIFF_PROFILES!$K:$K,MATCH($X988,TARIFF_PROFILES!$A:$A,0)))</f>
        <v/>
      </c>
      <c r="AG988" s="8"/>
      <c r="AH988" s="8" t="str">
        <f>IF($AG988="","",SUMIFS(OPERATING_COEFFS!$C:$C,OPERATING_COEFFS!$A:$A,"DistanceClass",OPERATING_COEFFS!$B:$B,$AG988))</f>
        <v/>
      </c>
      <c r="AI988" s="8"/>
      <c r="AJ988" s="8" t="str">
        <f>IF($AI988="","",SUMIFS(OPERATING_COEFFS!$C:$C,OPERATING_COEFFS!$A:$A,"SeasonClass",OPERATING_COEFFS!$B:$B,$AI988))</f>
        <v/>
      </c>
      <c r="AK988" s="8"/>
      <c r="AL988" s="8" t="str">
        <f>IF($AK988="","",SUMIFS(OPERATING_COEFFS!$C:$C,OPERATING_COEFFS!$A:$A,"UrgencyClass",OPERATING_COEFFS!$B:$B,$AK988))</f>
        <v/>
      </c>
      <c r="AM988" s="8"/>
      <c r="AN988" s="8" t="str">
        <f t="array" ref="AN988">IF($AM988="","",INDEX(TAX_MODES!$B:$B,MATCH($AM988,TAX_MODES!$A:$A,0)))</f>
        <v/>
      </c>
    </row>
    <row r="989" ht="14.25" customHeight="1">
      <c r="C989" s="8"/>
      <c r="E989" s="8"/>
      <c r="G989" s="8"/>
      <c r="I989" s="8"/>
      <c r="K989" s="8"/>
      <c r="M989" s="8"/>
      <c r="O989" s="8"/>
      <c r="Q989" s="8"/>
      <c r="S989" s="8"/>
      <c r="V989" s="8"/>
      <c r="X989" s="31"/>
      <c r="Y989" s="31" t="str">
        <f>IF($X989="","",SUMIFS(TARIFF_PROFILES!$D:$D,TARIFF_PROFILES!$A:$A,$X989))</f>
        <v/>
      </c>
      <c r="Z989" s="31" t="str">
        <f>IF($X989="","",SUMIFS(TARIFF_PROFILES!$E:$E,TARIFF_PROFILES!$A:$A,$X989))</f>
        <v/>
      </c>
      <c r="AA989" s="31" t="str">
        <f>IF($X989="","",SUMIFS(TARIFF_PROFILES!$F:$F,TARIFF_PROFILES!$A:$A,$X989))</f>
        <v/>
      </c>
      <c r="AB989" s="31" t="str">
        <f>IF($X989="","",SUMIFS(TARIFF_PROFILES!$G:$G,TARIFF_PROFILES!$A:$A,$X989))</f>
        <v/>
      </c>
      <c r="AC989" s="31" t="str">
        <f>IF($X989="","",SUMIFS(TARIFF_PROFILES!$H:$H,TARIFF_PROFILES!$A:$A,$X989))</f>
        <v/>
      </c>
      <c r="AD989" s="31" t="str">
        <f t="array" ref="AD989">IF($X989="","",INDEX(TARIFF_PROFILES!$J:$J,MATCH($X989,TARIFF_PROFILES!$A:$A,0)))</f>
        <v/>
      </c>
      <c r="AE989" s="31" t="str">
        <f t="array" ref="AE989">IF($X989="","",INDEX(TARIFF_PROFILES!$K:$K,MATCH($X989,TARIFF_PROFILES!$A:$A,0)))</f>
        <v/>
      </c>
      <c r="AG989" s="8"/>
      <c r="AH989" s="8" t="str">
        <f>IF($AG989="","",SUMIFS(OPERATING_COEFFS!$C:$C,OPERATING_COEFFS!$A:$A,"DistanceClass",OPERATING_COEFFS!$B:$B,$AG989))</f>
        <v/>
      </c>
      <c r="AI989" s="8"/>
      <c r="AJ989" s="8" t="str">
        <f>IF($AI989="","",SUMIFS(OPERATING_COEFFS!$C:$C,OPERATING_COEFFS!$A:$A,"SeasonClass",OPERATING_COEFFS!$B:$B,$AI989))</f>
        <v/>
      </c>
      <c r="AK989" s="8"/>
      <c r="AL989" s="8" t="str">
        <f>IF($AK989="","",SUMIFS(OPERATING_COEFFS!$C:$C,OPERATING_COEFFS!$A:$A,"UrgencyClass",OPERATING_COEFFS!$B:$B,$AK989))</f>
        <v/>
      </c>
      <c r="AM989" s="8"/>
      <c r="AN989" s="8" t="str">
        <f t="array" ref="AN989">IF($AM989="","",INDEX(TAX_MODES!$B:$B,MATCH($AM989,TAX_MODES!$A:$A,0)))</f>
        <v/>
      </c>
    </row>
    <row r="990" ht="14.25" customHeight="1">
      <c r="C990" s="8"/>
      <c r="E990" s="8"/>
      <c r="G990" s="8"/>
      <c r="I990" s="8"/>
      <c r="K990" s="8"/>
      <c r="M990" s="8"/>
      <c r="O990" s="8"/>
      <c r="Q990" s="8"/>
      <c r="S990" s="8"/>
      <c r="V990" s="8"/>
      <c r="X990" s="31"/>
      <c r="Y990" s="31" t="str">
        <f>IF($X990="","",SUMIFS(TARIFF_PROFILES!$D:$D,TARIFF_PROFILES!$A:$A,$X990))</f>
        <v/>
      </c>
      <c r="Z990" s="31" t="str">
        <f>IF($X990="","",SUMIFS(TARIFF_PROFILES!$E:$E,TARIFF_PROFILES!$A:$A,$X990))</f>
        <v/>
      </c>
      <c r="AA990" s="31" t="str">
        <f>IF($X990="","",SUMIFS(TARIFF_PROFILES!$F:$F,TARIFF_PROFILES!$A:$A,$X990))</f>
        <v/>
      </c>
      <c r="AB990" s="31" t="str">
        <f>IF($X990="","",SUMIFS(TARIFF_PROFILES!$G:$G,TARIFF_PROFILES!$A:$A,$X990))</f>
        <v/>
      </c>
      <c r="AC990" s="31" t="str">
        <f>IF($X990="","",SUMIFS(TARIFF_PROFILES!$H:$H,TARIFF_PROFILES!$A:$A,$X990))</f>
        <v/>
      </c>
      <c r="AD990" s="31" t="str">
        <f t="array" ref="AD990">IF($X990="","",INDEX(TARIFF_PROFILES!$J:$J,MATCH($X990,TARIFF_PROFILES!$A:$A,0)))</f>
        <v/>
      </c>
      <c r="AE990" s="31" t="str">
        <f t="array" ref="AE990">IF($X990="","",INDEX(TARIFF_PROFILES!$K:$K,MATCH($X990,TARIFF_PROFILES!$A:$A,0)))</f>
        <v/>
      </c>
      <c r="AG990" s="8"/>
      <c r="AH990" s="8" t="str">
        <f>IF($AG990="","",SUMIFS(OPERATING_COEFFS!$C:$C,OPERATING_COEFFS!$A:$A,"DistanceClass",OPERATING_COEFFS!$B:$B,$AG990))</f>
        <v/>
      </c>
      <c r="AI990" s="8"/>
      <c r="AJ990" s="8" t="str">
        <f>IF($AI990="","",SUMIFS(OPERATING_COEFFS!$C:$C,OPERATING_COEFFS!$A:$A,"SeasonClass",OPERATING_COEFFS!$B:$B,$AI990))</f>
        <v/>
      </c>
      <c r="AK990" s="8"/>
      <c r="AL990" s="8" t="str">
        <f>IF($AK990="","",SUMIFS(OPERATING_COEFFS!$C:$C,OPERATING_COEFFS!$A:$A,"UrgencyClass",OPERATING_COEFFS!$B:$B,$AK990))</f>
        <v/>
      </c>
      <c r="AM990" s="8"/>
      <c r="AN990" s="8" t="str">
        <f t="array" ref="AN990">IF($AM990="","",INDEX(TAX_MODES!$B:$B,MATCH($AM990,TAX_MODES!$A:$A,0)))</f>
        <v/>
      </c>
    </row>
    <row r="991" ht="14.25" customHeight="1">
      <c r="C991" s="8"/>
      <c r="E991" s="8"/>
      <c r="G991" s="8"/>
      <c r="I991" s="8"/>
      <c r="K991" s="8"/>
      <c r="M991" s="8"/>
      <c r="O991" s="8"/>
      <c r="Q991" s="8"/>
      <c r="S991" s="8"/>
      <c r="V991" s="8"/>
      <c r="X991" s="31"/>
      <c r="Y991" s="31" t="str">
        <f>IF($X991="","",SUMIFS(TARIFF_PROFILES!$D:$D,TARIFF_PROFILES!$A:$A,$X991))</f>
        <v/>
      </c>
      <c r="Z991" s="31" t="str">
        <f>IF($X991="","",SUMIFS(TARIFF_PROFILES!$E:$E,TARIFF_PROFILES!$A:$A,$X991))</f>
        <v/>
      </c>
      <c r="AA991" s="31" t="str">
        <f>IF($X991="","",SUMIFS(TARIFF_PROFILES!$F:$F,TARIFF_PROFILES!$A:$A,$X991))</f>
        <v/>
      </c>
      <c r="AB991" s="31" t="str">
        <f>IF($X991="","",SUMIFS(TARIFF_PROFILES!$G:$G,TARIFF_PROFILES!$A:$A,$X991))</f>
        <v/>
      </c>
      <c r="AC991" s="31" t="str">
        <f>IF($X991="","",SUMIFS(TARIFF_PROFILES!$H:$H,TARIFF_PROFILES!$A:$A,$X991))</f>
        <v/>
      </c>
      <c r="AD991" s="31" t="str">
        <f t="array" ref="AD991">IF($X991="","",INDEX(TARIFF_PROFILES!$J:$J,MATCH($X991,TARIFF_PROFILES!$A:$A,0)))</f>
        <v/>
      </c>
      <c r="AE991" s="31" t="str">
        <f t="array" ref="AE991">IF($X991="","",INDEX(TARIFF_PROFILES!$K:$K,MATCH($X991,TARIFF_PROFILES!$A:$A,0)))</f>
        <v/>
      </c>
      <c r="AG991" s="8"/>
      <c r="AH991" s="8" t="str">
        <f>IF($AG991="","",SUMIFS(OPERATING_COEFFS!$C:$C,OPERATING_COEFFS!$A:$A,"DistanceClass",OPERATING_COEFFS!$B:$B,$AG991))</f>
        <v/>
      </c>
      <c r="AI991" s="8"/>
      <c r="AJ991" s="8" t="str">
        <f>IF($AI991="","",SUMIFS(OPERATING_COEFFS!$C:$C,OPERATING_COEFFS!$A:$A,"SeasonClass",OPERATING_COEFFS!$B:$B,$AI991))</f>
        <v/>
      </c>
      <c r="AK991" s="8"/>
      <c r="AL991" s="8" t="str">
        <f>IF($AK991="","",SUMIFS(OPERATING_COEFFS!$C:$C,OPERATING_COEFFS!$A:$A,"UrgencyClass",OPERATING_COEFFS!$B:$B,$AK991))</f>
        <v/>
      </c>
      <c r="AM991" s="8"/>
      <c r="AN991" s="8" t="str">
        <f t="array" ref="AN991">IF($AM991="","",INDEX(TAX_MODES!$B:$B,MATCH($AM991,TAX_MODES!$A:$A,0)))</f>
        <v/>
      </c>
    </row>
    <row r="992" ht="14.25" customHeight="1">
      <c r="C992" s="8"/>
      <c r="E992" s="8"/>
      <c r="G992" s="8"/>
      <c r="I992" s="8"/>
      <c r="K992" s="8"/>
      <c r="M992" s="8"/>
      <c r="O992" s="8"/>
      <c r="Q992" s="8"/>
      <c r="S992" s="8"/>
      <c r="V992" s="8"/>
      <c r="X992" s="31"/>
      <c r="Y992" s="31" t="str">
        <f>IF($X992="","",SUMIFS(TARIFF_PROFILES!$D:$D,TARIFF_PROFILES!$A:$A,$X992))</f>
        <v/>
      </c>
      <c r="Z992" s="31" t="str">
        <f>IF($X992="","",SUMIFS(TARIFF_PROFILES!$E:$E,TARIFF_PROFILES!$A:$A,$X992))</f>
        <v/>
      </c>
      <c r="AA992" s="31" t="str">
        <f>IF($X992="","",SUMIFS(TARIFF_PROFILES!$F:$F,TARIFF_PROFILES!$A:$A,$X992))</f>
        <v/>
      </c>
      <c r="AB992" s="31" t="str">
        <f>IF($X992="","",SUMIFS(TARIFF_PROFILES!$G:$G,TARIFF_PROFILES!$A:$A,$X992))</f>
        <v/>
      </c>
      <c r="AC992" s="31" t="str">
        <f>IF($X992="","",SUMIFS(TARIFF_PROFILES!$H:$H,TARIFF_PROFILES!$A:$A,$X992))</f>
        <v/>
      </c>
      <c r="AD992" s="31" t="str">
        <f t="array" ref="AD992">IF($X992="","",INDEX(TARIFF_PROFILES!$J:$J,MATCH($X992,TARIFF_PROFILES!$A:$A,0)))</f>
        <v/>
      </c>
      <c r="AE992" s="31" t="str">
        <f t="array" ref="AE992">IF($X992="","",INDEX(TARIFF_PROFILES!$K:$K,MATCH($X992,TARIFF_PROFILES!$A:$A,0)))</f>
        <v/>
      </c>
      <c r="AG992" s="8"/>
      <c r="AH992" s="8" t="str">
        <f>IF($AG992="","",SUMIFS(OPERATING_COEFFS!$C:$C,OPERATING_COEFFS!$A:$A,"DistanceClass",OPERATING_COEFFS!$B:$B,$AG992))</f>
        <v/>
      </c>
      <c r="AI992" s="8"/>
      <c r="AJ992" s="8" t="str">
        <f>IF($AI992="","",SUMIFS(OPERATING_COEFFS!$C:$C,OPERATING_COEFFS!$A:$A,"SeasonClass",OPERATING_COEFFS!$B:$B,$AI992))</f>
        <v/>
      </c>
      <c r="AK992" s="8"/>
      <c r="AL992" s="8" t="str">
        <f>IF($AK992="","",SUMIFS(OPERATING_COEFFS!$C:$C,OPERATING_COEFFS!$A:$A,"UrgencyClass",OPERATING_COEFFS!$B:$B,$AK992))</f>
        <v/>
      </c>
      <c r="AM992" s="8"/>
      <c r="AN992" s="8" t="str">
        <f t="array" ref="AN992">IF($AM992="","",INDEX(TAX_MODES!$B:$B,MATCH($AM992,TAX_MODES!$A:$A,0)))</f>
        <v/>
      </c>
    </row>
    <row r="993" ht="14.25" customHeight="1">
      <c r="C993" s="8"/>
      <c r="E993" s="8"/>
      <c r="G993" s="8"/>
      <c r="I993" s="8"/>
      <c r="K993" s="8"/>
      <c r="M993" s="8"/>
      <c r="O993" s="8"/>
      <c r="Q993" s="8"/>
      <c r="S993" s="8"/>
      <c r="V993" s="8"/>
      <c r="X993" s="31"/>
      <c r="Y993" s="31" t="str">
        <f>IF($X993="","",SUMIFS(TARIFF_PROFILES!$D:$D,TARIFF_PROFILES!$A:$A,$X993))</f>
        <v/>
      </c>
      <c r="Z993" s="31" t="str">
        <f>IF($X993="","",SUMIFS(TARIFF_PROFILES!$E:$E,TARIFF_PROFILES!$A:$A,$X993))</f>
        <v/>
      </c>
      <c r="AA993" s="31" t="str">
        <f>IF($X993="","",SUMIFS(TARIFF_PROFILES!$F:$F,TARIFF_PROFILES!$A:$A,$X993))</f>
        <v/>
      </c>
      <c r="AB993" s="31" t="str">
        <f>IF($X993="","",SUMIFS(TARIFF_PROFILES!$G:$G,TARIFF_PROFILES!$A:$A,$X993))</f>
        <v/>
      </c>
      <c r="AC993" s="31" t="str">
        <f>IF($X993="","",SUMIFS(TARIFF_PROFILES!$H:$H,TARIFF_PROFILES!$A:$A,$X993))</f>
        <v/>
      </c>
      <c r="AD993" s="31" t="str">
        <f t="array" ref="AD993">IF($X993="","",INDEX(TARIFF_PROFILES!$J:$J,MATCH($X993,TARIFF_PROFILES!$A:$A,0)))</f>
        <v/>
      </c>
      <c r="AE993" s="31" t="str">
        <f t="array" ref="AE993">IF($X993="","",INDEX(TARIFF_PROFILES!$K:$K,MATCH($X993,TARIFF_PROFILES!$A:$A,0)))</f>
        <v/>
      </c>
      <c r="AG993" s="8"/>
      <c r="AH993" s="8" t="str">
        <f>IF($AG993="","",SUMIFS(OPERATING_COEFFS!$C:$C,OPERATING_COEFFS!$A:$A,"DistanceClass",OPERATING_COEFFS!$B:$B,$AG993))</f>
        <v/>
      </c>
      <c r="AI993" s="8"/>
      <c r="AJ993" s="8" t="str">
        <f>IF($AI993="","",SUMIFS(OPERATING_COEFFS!$C:$C,OPERATING_COEFFS!$A:$A,"SeasonClass",OPERATING_COEFFS!$B:$B,$AI993))</f>
        <v/>
      </c>
      <c r="AK993" s="8"/>
      <c r="AL993" s="8" t="str">
        <f>IF($AK993="","",SUMIFS(OPERATING_COEFFS!$C:$C,OPERATING_COEFFS!$A:$A,"UrgencyClass",OPERATING_COEFFS!$B:$B,$AK993))</f>
        <v/>
      </c>
      <c r="AM993" s="8"/>
      <c r="AN993" s="8" t="str">
        <f t="array" ref="AN993">IF($AM993="","",INDEX(TAX_MODES!$B:$B,MATCH($AM993,TAX_MODES!$A:$A,0)))</f>
        <v/>
      </c>
    </row>
    <row r="994" ht="14.25" customHeight="1">
      <c r="C994" s="8"/>
      <c r="E994" s="8"/>
      <c r="G994" s="8"/>
      <c r="I994" s="8"/>
      <c r="K994" s="8"/>
      <c r="M994" s="8"/>
      <c r="O994" s="8"/>
      <c r="Q994" s="8"/>
      <c r="S994" s="8"/>
      <c r="V994" s="8"/>
      <c r="X994" s="31"/>
      <c r="Y994" s="31" t="str">
        <f>IF($X994="","",SUMIFS(TARIFF_PROFILES!$D:$D,TARIFF_PROFILES!$A:$A,$X994))</f>
        <v/>
      </c>
      <c r="Z994" s="31" t="str">
        <f>IF($X994="","",SUMIFS(TARIFF_PROFILES!$E:$E,TARIFF_PROFILES!$A:$A,$X994))</f>
        <v/>
      </c>
      <c r="AA994" s="31" t="str">
        <f>IF($X994="","",SUMIFS(TARIFF_PROFILES!$F:$F,TARIFF_PROFILES!$A:$A,$X994))</f>
        <v/>
      </c>
      <c r="AB994" s="31" t="str">
        <f>IF($X994="","",SUMIFS(TARIFF_PROFILES!$G:$G,TARIFF_PROFILES!$A:$A,$X994))</f>
        <v/>
      </c>
      <c r="AC994" s="31" t="str">
        <f>IF($X994="","",SUMIFS(TARIFF_PROFILES!$H:$H,TARIFF_PROFILES!$A:$A,$X994))</f>
        <v/>
      </c>
      <c r="AD994" s="31" t="str">
        <f t="array" ref="AD994">IF($X994="","",INDEX(TARIFF_PROFILES!$J:$J,MATCH($X994,TARIFF_PROFILES!$A:$A,0)))</f>
        <v/>
      </c>
      <c r="AE994" s="31" t="str">
        <f t="array" ref="AE994">IF($X994="","",INDEX(TARIFF_PROFILES!$K:$K,MATCH($X994,TARIFF_PROFILES!$A:$A,0)))</f>
        <v/>
      </c>
      <c r="AG994" s="8"/>
      <c r="AH994" s="8" t="str">
        <f>IF($AG994="","",SUMIFS(OPERATING_COEFFS!$C:$C,OPERATING_COEFFS!$A:$A,"DistanceClass",OPERATING_COEFFS!$B:$B,$AG994))</f>
        <v/>
      </c>
      <c r="AI994" s="8"/>
      <c r="AJ994" s="8" t="str">
        <f>IF($AI994="","",SUMIFS(OPERATING_COEFFS!$C:$C,OPERATING_COEFFS!$A:$A,"SeasonClass",OPERATING_COEFFS!$B:$B,$AI994))</f>
        <v/>
      </c>
      <c r="AK994" s="8"/>
      <c r="AL994" s="8" t="str">
        <f>IF($AK994="","",SUMIFS(OPERATING_COEFFS!$C:$C,OPERATING_COEFFS!$A:$A,"UrgencyClass",OPERATING_COEFFS!$B:$B,$AK994))</f>
        <v/>
      </c>
      <c r="AM994" s="8"/>
      <c r="AN994" s="8" t="str">
        <f t="array" ref="AN994">IF($AM994="","",INDEX(TAX_MODES!$B:$B,MATCH($AM994,TAX_MODES!$A:$A,0)))</f>
        <v/>
      </c>
    </row>
    <row r="995" ht="14.25" customHeight="1">
      <c r="C995" s="8"/>
      <c r="E995" s="8"/>
      <c r="G995" s="8"/>
      <c r="I995" s="8"/>
      <c r="K995" s="8"/>
      <c r="M995" s="8"/>
      <c r="O995" s="8"/>
      <c r="Q995" s="8"/>
      <c r="S995" s="8"/>
      <c r="V995" s="8"/>
      <c r="X995" s="31"/>
      <c r="Y995" s="31" t="str">
        <f>IF($X995="","",SUMIFS(TARIFF_PROFILES!$D:$D,TARIFF_PROFILES!$A:$A,$X995))</f>
        <v/>
      </c>
      <c r="Z995" s="31" t="str">
        <f>IF($X995="","",SUMIFS(TARIFF_PROFILES!$E:$E,TARIFF_PROFILES!$A:$A,$X995))</f>
        <v/>
      </c>
      <c r="AA995" s="31" t="str">
        <f>IF($X995="","",SUMIFS(TARIFF_PROFILES!$F:$F,TARIFF_PROFILES!$A:$A,$X995))</f>
        <v/>
      </c>
      <c r="AB995" s="31" t="str">
        <f>IF($X995="","",SUMIFS(TARIFF_PROFILES!$G:$G,TARIFF_PROFILES!$A:$A,$X995))</f>
        <v/>
      </c>
      <c r="AC995" s="31" t="str">
        <f>IF($X995="","",SUMIFS(TARIFF_PROFILES!$H:$H,TARIFF_PROFILES!$A:$A,$X995))</f>
        <v/>
      </c>
      <c r="AD995" s="31" t="str">
        <f t="array" ref="AD995">IF($X995="","",INDEX(TARIFF_PROFILES!$J:$J,MATCH($X995,TARIFF_PROFILES!$A:$A,0)))</f>
        <v/>
      </c>
      <c r="AE995" s="31" t="str">
        <f t="array" ref="AE995">IF($X995="","",INDEX(TARIFF_PROFILES!$K:$K,MATCH($X995,TARIFF_PROFILES!$A:$A,0)))</f>
        <v/>
      </c>
      <c r="AG995" s="8"/>
      <c r="AH995" s="8" t="str">
        <f>IF($AG995="","",SUMIFS(OPERATING_COEFFS!$C:$C,OPERATING_COEFFS!$A:$A,"DistanceClass",OPERATING_COEFFS!$B:$B,$AG995))</f>
        <v/>
      </c>
      <c r="AI995" s="8"/>
      <c r="AJ995" s="8" t="str">
        <f>IF($AI995="","",SUMIFS(OPERATING_COEFFS!$C:$C,OPERATING_COEFFS!$A:$A,"SeasonClass",OPERATING_COEFFS!$B:$B,$AI995))</f>
        <v/>
      </c>
      <c r="AK995" s="8"/>
      <c r="AL995" s="8" t="str">
        <f>IF($AK995="","",SUMIFS(OPERATING_COEFFS!$C:$C,OPERATING_COEFFS!$A:$A,"UrgencyClass",OPERATING_COEFFS!$B:$B,$AK995))</f>
        <v/>
      </c>
      <c r="AM995" s="8"/>
      <c r="AN995" s="8" t="str">
        <f t="array" ref="AN995">IF($AM995="","",INDEX(TAX_MODES!$B:$B,MATCH($AM995,TAX_MODES!$A:$A,0)))</f>
        <v/>
      </c>
    </row>
    <row r="996" ht="14.25" customHeight="1">
      <c r="C996" s="8"/>
      <c r="E996" s="8"/>
      <c r="G996" s="8"/>
      <c r="I996" s="8"/>
      <c r="K996" s="8"/>
      <c r="M996" s="8"/>
      <c r="O996" s="8"/>
      <c r="Q996" s="8"/>
      <c r="S996" s="8"/>
      <c r="V996" s="8"/>
      <c r="X996" s="31"/>
      <c r="Y996" s="31" t="str">
        <f>IF($X996="","",SUMIFS(TARIFF_PROFILES!$D:$D,TARIFF_PROFILES!$A:$A,$X996))</f>
        <v/>
      </c>
      <c r="Z996" s="31" t="str">
        <f>IF($X996="","",SUMIFS(TARIFF_PROFILES!$E:$E,TARIFF_PROFILES!$A:$A,$X996))</f>
        <v/>
      </c>
      <c r="AA996" s="31" t="str">
        <f>IF($X996="","",SUMIFS(TARIFF_PROFILES!$F:$F,TARIFF_PROFILES!$A:$A,$X996))</f>
        <v/>
      </c>
      <c r="AB996" s="31" t="str">
        <f>IF($X996="","",SUMIFS(TARIFF_PROFILES!$G:$G,TARIFF_PROFILES!$A:$A,$X996))</f>
        <v/>
      </c>
      <c r="AC996" s="31" t="str">
        <f>IF($X996="","",SUMIFS(TARIFF_PROFILES!$H:$H,TARIFF_PROFILES!$A:$A,$X996))</f>
        <v/>
      </c>
      <c r="AD996" s="31" t="str">
        <f t="array" ref="AD996">IF($X996="","",INDEX(TARIFF_PROFILES!$J:$J,MATCH($X996,TARIFF_PROFILES!$A:$A,0)))</f>
        <v/>
      </c>
      <c r="AE996" s="31" t="str">
        <f t="array" ref="AE996">IF($X996="","",INDEX(TARIFF_PROFILES!$K:$K,MATCH($X996,TARIFF_PROFILES!$A:$A,0)))</f>
        <v/>
      </c>
      <c r="AG996" s="8"/>
      <c r="AH996" s="8" t="str">
        <f>IF($AG996="","",SUMIFS(OPERATING_COEFFS!$C:$C,OPERATING_COEFFS!$A:$A,"DistanceClass",OPERATING_COEFFS!$B:$B,$AG996))</f>
        <v/>
      </c>
      <c r="AI996" s="8"/>
      <c r="AJ996" s="8" t="str">
        <f>IF($AI996="","",SUMIFS(OPERATING_COEFFS!$C:$C,OPERATING_COEFFS!$A:$A,"SeasonClass",OPERATING_COEFFS!$B:$B,$AI996))</f>
        <v/>
      </c>
      <c r="AK996" s="8"/>
      <c r="AL996" s="8" t="str">
        <f>IF($AK996="","",SUMIFS(OPERATING_COEFFS!$C:$C,OPERATING_COEFFS!$A:$A,"UrgencyClass",OPERATING_COEFFS!$B:$B,$AK996))</f>
        <v/>
      </c>
      <c r="AM996" s="8"/>
      <c r="AN996" s="8" t="str">
        <f t="array" ref="AN996">IF($AM996="","",INDEX(TAX_MODES!$B:$B,MATCH($AM996,TAX_MODES!$A:$A,0)))</f>
        <v/>
      </c>
    </row>
    <row r="997" ht="14.25" customHeight="1">
      <c r="C997" s="8"/>
      <c r="E997" s="8"/>
      <c r="G997" s="8"/>
      <c r="I997" s="8"/>
      <c r="K997" s="8"/>
      <c r="M997" s="8"/>
      <c r="O997" s="8"/>
      <c r="Q997" s="8"/>
      <c r="S997" s="8"/>
      <c r="V997" s="8"/>
      <c r="X997" s="31"/>
      <c r="Y997" s="31" t="str">
        <f>IF($X997="","",SUMIFS(TARIFF_PROFILES!$D:$D,TARIFF_PROFILES!$A:$A,$X997))</f>
        <v/>
      </c>
      <c r="Z997" s="31" t="str">
        <f>IF($X997="","",SUMIFS(TARIFF_PROFILES!$E:$E,TARIFF_PROFILES!$A:$A,$X997))</f>
        <v/>
      </c>
      <c r="AA997" s="31" t="str">
        <f>IF($X997="","",SUMIFS(TARIFF_PROFILES!$F:$F,TARIFF_PROFILES!$A:$A,$X997))</f>
        <v/>
      </c>
      <c r="AB997" s="31" t="str">
        <f>IF($X997="","",SUMIFS(TARIFF_PROFILES!$G:$G,TARIFF_PROFILES!$A:$A,$X997))</f>
        <v/>
      </c>
      <c r="AC997" s="31" t="str">
        <f>IF($X997="","",SUMIFS(TARIFF_PROFILES!$H:$H,TARIFF_PROFILES!$A:$A,$X997))</f>
        <v/>
      </c>
      <c r="AD997" s="31" t="str">
        <f t="array" ref="AD997">IF($X997="","",INDEX(TARIFF_PROFILES!$J:$J,MATCH($X997,TARIFF_PROFILES!$A:$A,0)))</f>
        <v/>
      </c>
      <c r="AE997" s="31" t="str">
        <f t="array" ref="AE997">IF($X997="","",INDEX(TARIFF_PROFILES!$K:$K,MATCH($X997,TARIFF_PROFILES!$A:$A,0)))</f>
        <v/>
      </c>
      <c r="AG997" s="8"/>
      <c r="AH997" s="8" t="str">
        <f>IF($AG997="","",SUMIFS(OPERATING_COEFFS!$C:$C,OPERATING_COEFFS!$A:$A,"DistanceClass",OPERATING_COEFFS!$B:$B,$AG997))</f>
        <v/>
      </c>
      <c r="AI997" s="8"/>
      <c r="AJ997" s="8" t="str">
        <f>IF($AI997="","",SUMIFS(OPERATING_COEFFS!$C:$C,OPERATING_COEFFS!$A:$A,"SeasonClass",OPERATING_COEFFS!$B:$B,$AI997))</f>
        <v/>
      </c>
      <c r="AK997" s="8"/>
      <c r="AL997" s="8" t="str">
        <f>IF($AK997="","",SUMIFS(OPERATING_COEFFS!$C:$C,OPERATING_COEFFS!$A:$A,"UrgencyClass",OPERATING_COEFFS!$B:$B,$AK997))</f>
        <v/>
      </c>
      <c r="AM997" s="8"/>
      <c r="AN997" s="8" t="str">
        <f t="array" ref="AN997">IF($AM997="","",INDEX(TAX_MODES!$B:$B,MATCH($AM997,TAX_MODES!$A:$A,0)))</f>
        <v/>
      </c>
    </row>
    <row r="998" ht="14.25" customHeight="1">
      <c r="C998" s="8"/>
      <c r="E998" s="8"/>
      <c r="G998" s="8"/>
      <c r="I998" s="8"/>
      <c r="K998" s="8"/>
      <c r="M998" s="8"/>
      <c r="O998" s="8"/>
      <c r="Q998" s="8"/>
      <c r="S998" s="8"/>
      <c r="V998" s="8"/>
      <c r="X998" s="31"/>
      <c r="Y998" s="31" t="str">
        <f>IF($X998="","",SUMIFS(TARIFF_PROFILES!$D:$D,TARIFF_PROFILES!$A:$A,$X998))</f>
        <v/>
      </c>
      <c r="Z998" s="31" t="str">
        <f>IF($X998="","",SUMIFS(TARIFF_PROFILES!$E:$E,TARIFF_PROFILES!$A:$A,$X998))</f>
        <v/>
      </c>
      <c r="AA998" s="31" t="str">
        <f>IF($X998="","",SUMIFS(TARIFF_PROFILES!$F:$F,TARIFF_PROFILES!$A:$A,$X998))</f>
        <v/>
      </c>
      <c r="AB998" s="31" t="str">
        <f>IF($X998="","",SUMIFS(TARIFF_PROFILES!$G:$G,TARIFF_PROFILES!$A:$A,$X998))</f>
        <v/>
      </c>
      <c r="AC998" s="31" t="str">
        <f>IF($X998="","",SUMIFS(TARIFF_PROFILES!$H:$H,TARIFF_PROFILES!$A:$A,$X998))</f>
        <v/>
      </c>
      <c r="AD998" s="31" t="str">
        <f t="array" ref="AD998">IF($X998="","",INDEX(TARIFF_PROFILES!$J:$J,MATCH($X998,TARIFF_PROFILES!$A:$A,0)))</f>
        <v/>
      </c>
      <c r="AE998" s="31" t="str">
        <f t="array" ref="AE998">IF($X998="","",INDEX(TARIFF_PROFILES!$K:$K,MATCH($X998,TARIFF_PROFILES!$A:$A,0)))</f>
        <v/>
      </c>
      <c r="AG998" s="8"/>
      <c r="AH998" s="8" t="str">
        <f>IF($AG998="","",SUMIFS(OPERATING_COEFFS!$C:$C,OPERATING_COEFFS!$A:$A,"DistanceClass",OPERATING_COEFFS!$B:$B,$AG998))</f>
        <v/>
      </c>
      <c r="AI998" s="8"/>
      <c r="AJ998" s="8" t="str">
        <f>IF($AI998="","",SUMIFS(OPERATING_COEFFS!$C:$C,OPERATING_COEFFS!$A:$A,"SeasonClass",OPERATING_COEFFS!$B:$B,$AI998))</f>
        <v/>
      </c>
      <c r="AK998" s="8"/>
      <c r="AL998" s="8" t="str">
        <f>IF($AK998="","",SUMIFS(OPERATING_COEFFS!$C:$C,OPERATING_COEFFS!$A:$A,"UrgencyClass",OPERATING_COEFFS!$B:$B,$AK998))</f>
        <v/>
      </c>
      <c r="AM998" s="8"/>
      <c r="AN998" s="8" t="str">
        <f t="array" ref="AN998">IF($AM998="","",INDEX(TAX_MODES!$B:$B,MATCH($AM998,TAX_MODES!$A:$A,0)))</f>
        <v/>
      </c>
    </row>
    <row r="999" ht="14.25" customHeight="1">
      <c r="C999" s="8"/>
      <c r="E999" s="8"/>
      <c r="G999" s="8"/>
      <c r="I999" s="8"/>
      <c r="K999" s="8"/>
      <c r="M999" s="8"/>
      <c r="O999" s="8"/>
      <c r="Q999" s="8"/>
      <c r="S999" s="8"/>
      <c r="V999" s="8"/>
      <c r="X999" s="31"/>
      <c r="Y999" s="31" t="str">
        <f>IF($X999="","",SUMIFS(TARIFF_PROFILES!$D:$D,TARIFF_PROFILES!$A:$A,$X999))</f>
        <v/>
      </c>
      <c r="Z999" s="31" t="str">
        <f>IF($X999="","",SUMIFS(TARIFF_PROFILES!$E:$E,TARIFF_PROFILES!$A:$A,$X999))</f>
        <v/>
      </c>
      <c r="AA999" s="31" t="str">
        <f>IF($X999="","",SUMIFS(TARIFF_PROFILES!$F:$F,TARIFF_PROFILES!$A:$A,$X999))</f>
        <v/>
      </c>
      <c r="AB999" s="31" t="str">
        <f>IF($X999="","",SUMIFS(TARIFF_PROFILES!$G:$G,TARIFF_PROFILES!$A:$A,$X999))</f>
        <v/>
      </c>
      <c r="AC999" s="31" t="str">
        <f>IF($X999="","",SUMIFS(TARIFF_PROFILES!$H:$H,TARIFF_PROFILES!$A:$A,$X999))</f>
        <v/>
      </c>
      <c r="AD999" s="31" t="str">
        <f t="array" ref="AD999">IF($X999="","",INDEX(TARIFF_PROFILES!$J:$J,MATCH($X999,TARIFF_PROFILES!$A:$A,0)))</f>
        <v/>
      </c>
      <c r="AE999" s="31" t="str">
        <f t="array" ref="AE999">IF($X999="","",INDEX(TARIFF_PROFILES!$K:$K,MATCH($X999,TARIFF_PROFILES!$A:$A,0)))</f>
        <v/>
      </c>
      <c r="AG999" s="8"/>
      <c r="AH999" s="8" t="str">
        <f>IF($AG999="","",SUMIFS(OPERATING_COEFFS!$C:$C,OPERATING_COEFFS!$A:$A,"DistanceClass",OPERATING_COEFFS!$B:$B,$AG999))</f>
        <v/>
      </c>
      <c r="AI999" s="8"/>
      <c r="AJ999" s="8" t="str">
        <f>IF($AI999="","",SUMIFS(OPERATING_COEFFS!$C:$C,OPERATING_COEFFS!$A:$A,"SeasonClass",OPERATING_COEFFS!$B:$B,$AI999))</f>
        <v/>
      </c>
      <c r="AK999" s="8"/>
      <c r="AL999" s="8" t="str">
        <f>IF($AK999="","",SUMIFS(OPERATING_COEFFS!$C:$C,OPERATING_COEFFS!$A:$A,"UrgencyClass",OPERATING_COEFFS!$B:$B,$AK999))</f>
        <v/>
      </c>
      <c r="AM999" s="8"/>
      <c r="AN999" s="8" t="str">
        <f t="array" ref="AN999">IF($AM999="","",INDEX(TAX_MODES!$B:$B,MATCH($AM999,TAX_MODES!$A:$A,0)))</f>
        <v/>
      </c>
    </row>
    <row r="1000" ht="14.25" customHeight="1">
      <c r="C1000" s="8"/>
      <c r="E1000" s="8"/>
      <c r="G1000" s="8"/>
      <c r="I1000" s="8"/>
      <c r="K1000" s="8"/>
      <c r="M1000" s="8"/>
      <c r="O1000" s="8"/>
      <c r="Q1000" s="8"/>
      <c r="S1000" s="8"/>
      <c r="V1000" s="8"/>
      <c r="X1000" s="31"/>
      <c r="Y1000" s="31" t="str">
        <f>IF($X1000="","",SUMIFS(TARIFF_PROFILES!$D:$D,TARIFF_PROFILES!$A:$A,$X1000))</f>
        <v/>
      </c>
      <c r="Z1000" s="31" t="str">
        <f>IF($X1000="","",SUMIFS(TARIFF_PROFILES!$E:$E,TARIFF_PROFILES!$A:$A,$X1000))</f>
        <v/>
      </c>
      <c r="AA1000" s="31" t="str">
        <f>IF($X1000="","",SUMIFS(TARIFF_PROFILES!$F:$F,TARIFF_PROFILES!$A:$A,$X1000))</f>
        <v/>
      </c>
      <c r="AB1000" s="31" t="str">
        <f>IF($X1000="","",SUMIFS(TARIFF_PROFILES!$G:$G,TARIFF_PROFILES!$A:$A,$X1000))</f>
        <v/>
      </c>
      <c r="AC1000" s="31" t="str">
        <f>IF($X1000="","",SUMIFS(TARIFF_PROFILES!$H:$H,TARIFF_PROFILES!$A:$A,$X1000))</f>
        <v/>
      </c>
      <c r="AD1000" s="31" t="str">
        <f t="array" ref="AD1000">IF($X1000="","",INDEX(TARIFF_PROFILES!$J:$J,MATCH($X1000,TARIFF_PROFILES!$A:$A,0)))</f>
        <v/>
      </c>
      <c r="AE1000" s="31" t="str">
        <f t="array" ref="AE1000">IF($X1000="","",INDEX(TARIFF_PROFILES!$K:$K,MATCH($X1000,TARIFF_PROFILES!$A:$A,0)))</f>
        <v/>
      </c>
      <c r="AG1000" s="8"/>
      <c r="AH1000" s="8" t="str">
        <f>IF($AG1000="","",SUMIFS(OPERATING_COEFFS!$C:$C,OPERATING_COEFFS!$A:$A,"DistanceClass",OPERATING_COEFFS!$B:$B,$AG1000))</f>
        <v/>
      </c>
      <c r="AI1000" s="8"/>
      <c r="AJ1000" s="8" t="str">
        <f>IF($AI1000="","",SUMIFS(OPERATING_COEFFS!$C:$C,OPERATING_COEFFS!$A:$A,"SeasonClass",OPERATING_COEFFS!$B:$B,$AI1000))</f>
        <v/>
      </c>
      <c r="AK1000" s="8"/>
      <c r="AL1000" s="8" t="str">
        <f>IF($AK1000="","",SUMIFS(OPERATING_COEFFS!$C:$C,OPERATING_COEFFS!$A:$A,"UrgencyClass",OPERATING_COEFFS!$B:$B,$AK1000))</f>
        <v/>
      </c>
      <c r="AM1000" s="8"/>
      <c r="AN1000" s="8" t="str">
        <f t="array" ref="AN1000">IF($AM1000="","",INDEX(TAX_MODES!$B:$B,MATCH($AM1000,TAX_MODES!$A:$A,0)))</f>
        <v/>
      </c>
    </row>
  </sheetData>
  <autoFilter ref="$A$1:$AP$1000"/>
  <dataValidations>
    <dataValidation type="list" allowBlank="1" sqref="M2:M1000">
      <formula1>DICTIONARIES!$U$2:$U$4</formula1>
    </dataValidation>
    <dataValidation type="list" allowBlank="1" sqref="O2:O1000">
      <formula1>DICTIONARIES!$V$2:$V$4</formula1>
    </dataValidation>
    <dataValidation type="list" allowBlank="1" sqref="AM2:AM1000">
      <formula1>DICTIONARIES!$AP$2:$AP$4</formula1>
    </dataValidation>
    <dataValidation type="list" allowBlank="1" sqref="AI2:AI1000">
      <formula1>DICTIONARIES!$AM$2:$AM$5</formula1>
    </dataValidation>
    <dataValidation type="list" allowBlank="1" sqref="AG2:AG1000">
      <formula1>DICTIONARIES!$AO$2:$AO$5</formula1>
    </dataValidation>
    <dataValidation type="list" allowBlank="1" sqref="I2:I1000">
      <formula1>DICTIONARIES!$S$2:$S$5</formula1>
    </dataValidation>
    <dataValidation type="list" allowBlank="1" sqref="S2:S1000">
      <formula1>DICTIONARIES!$X$2:$X$4</formula1>
    </dataValidation>
    <dataValidation type="list" allowBlank="1" sqref="C2:C1000">
      <formula1>DICTIONARIES!$P$2:$P$5</formula1>
    </dataValidation>
    <dataValidation type="list" allowBlank="1" sqref="G2:G1000">
      <formula1>DICTIONARIES!$R$2:$R$4</formula1>
    </dataValidation>
    <dataValidation type="list" allowBlank="1" sqref="Q2:Q1000">
      <formula1>DICTIONARIES!$W$2:$W$4</formula1>
    </dataValidation>
    <dataValidation type="list" allowBlank="1" sqref="V2:V1000">
      <formula1>DICTIONARIES!$AF$2:$AF$5</formula1>
    </dataValidation>
    <dataValidation type="list" allowBlank="1" sqref="E2:E1000">
      <formula1>DICTIONARIES!$Q$2:$Q$5</formula1>
    </dataValidation>
    <dataValidation type="list" allowBlank="1" sqref="K2:K1000">
      <formula1>DICTIONARIES!$T$2:$T$4</formula1>
    </dataValidation>
    <dataValidation type="list" allowBlank="1" sqref="AK2:AK1000">
      <formula1>DICTIONARIES!$AN$2:$AN$4</formula1>
    </dataValidation>
    <dataValidation type="list" allowBlank="1" sqref="X2:X1000">
      <formula1>DICTIONARIES!$AJ$2:$AJ$4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20.0"/>
    <col customWidth="1" min="3" max="3" width="12.0"/>
    <col customWidth="1" min="4" max="4" width="34.0"/>
    <col customWidth="1" min="5" max="5" width="44.0"/>
    <col customWidth="1" min="6" max="26" width="8.71"/>
  </cols>
  <sheetData>
    <row r="1" ht="14.25" customHeight="1">
      <c r="A1" s="9" t="s">
        <v>658</v>
      </c>
      <c r="B1" s="9" t="s">
        <v>659</v>
      </c>
      <c r="C1" s="9" t="s">
        <v>660</v>
      </c>
      <c r="D1" s="9" t="s">
        <v>661</v>
      </c>
      <c r="E1" s="9" t="s">
        <v>116</v>
      </c>
    </row>
    <row r="2" ht="14.25" customHeight="1">
      <c r="A2" s="31" t="s">
        <v>203</v>
      </c>
      <c r="B2" s="31" t="s">
        <v>253</v>
      </c>
      <c r="C2" s="32">
        <v>0.95</v>
      </c>
      <c r="D2" s="31" t="s">
        <v>662</v>
      </c>
      <c r="E2" s="31" t="s">
        <v>663</v>
      </c>
    </row>
    <row r="3" ht="14.25" customHeight="1">
      <c r="A3" s="31" t="s">
        <v>203</v>
      </c>
      <c r="B3" s="31" t="s">
        <v>293</v>
      </c>
      <c r="C3" s="32">
        <v>1.0</v>
      </c>
      <c r="D3" s="31" t="s">
        <v>664</v>
      </c>
      <c r="E3" s="31" t="s">
        <v>665</v>
      </c>
    </row>
    <row r="4" ht="14.25" customHeight="1">
      <c r="A4" s="31" t="s">
        <v>203</v>
      </c>
      <c r="B4" s="31" t="s">
        <v>331</v>
      </c>
      <c r="C4" s="32">
        <v>1.12</v>
      </c>
      <c r="D4" s="31" t="s">
        <v>666</v>
      </c>
      <c r="E4" s="31" t="s">
        <v>667</v>
      </c>
    </row>
    <row r="5" ht="14.25" customHeight="1">
      <c r="A5" s="31" t="s">
        <v>203</v>
      </c>
      <c r="B5" s="31" t="s">
        <v>368</v>
      </c>
      <c r="C5" s="32">
        <v>1.22</v>
      </c>
      <c r="D5" s="31" t="s">
        <v>668</v>
      </c>
      <c r="E5" s="31" t="s">
        <v>669</v>
      </c>
    </row>
    <row r="6" ht="14.25" customHeight="1">
      <c r="A6" s="31" t="s">
        <v>204</v>
      </c>
      <c r="B6" s="31" t="s">
        <v>254</v>
      </c>
      <c r="C6" s="32">
        <v>0.98</v>
      </c>
      <c r="D6" s="31" t="s">
        <v>670</v>
      </c>
      <c r="E6" s="31" t="s">
        <v>671</v>
      </c>
    </row>
    <row r="7" ht="14.25" customHeight="1">
      <c r="A7" s="31" t="s">
        <v>204</v>
      </c>
      <c r="B7" s="31" t="s">
        <v>294</v>
      </c>
      <c r="C7" s="32">
        <v>1.0</v>
      </c>
      <c r="D7" s="31" t="s">
        <v>672</v>
      </c>
      <c r="E7" s="31" t="s">
        <v>673</v>
      </c>
    </row>
    <row r="8" ht="14.25" customHeight="1">
      <c r="A8" s="31" t="s">
        <v>204</v>
      </c>
      <c r="B8" s="31" t="s">
        <v>332</v>
      </c>
      <c r="C8" s="32">
        <v>1.06</v>
      </c>
      <c r="D8" s="31" t="s">
        <v>674</v>
      </c>
      <c r="E8" s="31" t="s">
        <v>675</v>
      </c>
    </row>
    <row r="9" ht="14.25" customHeight="1">
      <c r="A9" s="31" t="s">
        <v>204</v>
      </c>
      <c r="B9" s="31" t="s">
        <v>369</v>
      </c>
      <c r="C9" s="32">
        <v>1.15</v>
      </c>
      <c r="D9" s="31" t="s">
        <v>676</v>
      </c>
      <c r="E9" s="31" t="s">
        <v>677</v>
      </c>
    </row>
    <row r="10" ht="14.25" customHeight="1">
      <c r="A10" s="31" t="s">
        <v>205</v>
      </c>
      <c r="B10" s="31" t="s">
        <v>255</v>
      </c>
      <c r="C10" s="32">
        <v>1.0</v>
      </c>
      <c r="D10" s="31" t="s">
        <v>678</v>
      </c>
      <c r="E10" s="31" t="s">
        <v>673</v>
      </c>
    </row>
    <row r="11" ht="14.25" customHeight="1">
      <c r="A11" s="31" t="s">
        <v>205</v>
      </c>
      <c r="B11" s="31" t="s">
        <v>295</v>
      </c>
      <c r="C11" s="32">
        <v>1.08</v>
      </c>
      <c r="D11" s="31" t="s">
        <v>679</v>
      </c>
      <c r="E11" s="31" t="s">
        <v>680</v>
      </c>
    </row>
    <row r="12" ht="14.25" customHeight="1">
      <c r="A12" s="31" t="s">
        <v>205</v>
      </c>
      <c r="B12" s="31" t="s">
        <v>333</v>
      </c>
      <c r="C12" s="32">
        <v>1.18</v>
      </c>
      <c r="D12" s="31" t="s">
        <v>681</v>
      </c>
      <c r="E12" s="31" t="s">
        <v>682</v>
      </c>
    </row>
    <row r="13" ht="14.25" customHeight="1">
      <c r="A13" s="31" t="s">
        <v>206</v>
      </c>
      <c r="B13" s="31" t="s">
        <v>256</v>
      </c>
      <c r="C13" s="32">
        <v>1.0</v>
      </c>
      <c r="D13" s="31" t="s">
        <v>683</v>
      </c>
      <c r="E13" s="31" t="s">
        <v>673</v>
      </c>
    </row>
    <row r="14" ht="14.25" customHeight="1">
      <c r="A14" s="31" t="s">
        <v>206</v>
      </c>
      <c r="B14" s="31" t="s">
        <v>296</v>
      </c>
      <c r="C14" s="32">
        <v>1.05</v>
      </c>
      <c r="D14" s="31" t="s">
        <v>684</v>
      </c>
      <c r="E14" s="31" t="s">
        <v>685</v>
      </c>
    </row>
    <row r="15" ht="14.25" customHeight="1">
      <c r="A15" s="31" t="s">
        <v>206</v>
      </c>
      <c r="B15" s="31" t="s">
        <v>334</v>
      </c>
      <c r="C15" s="32">
        <v>1.12</v>
      </c>
      <c r="D15" s="31" t="s">
        <v>686</v>
      </c>
      <c r="E15" s="31" t="s">
        <v>687</v>
      </c>
    </row>
    <row r="16" ht="14.25" customHeight="1">
      <c r="A16" s="31" t="s">
        <v>206</v>
      </c>
      <c r="B16" s="31" t="s">
        <v>370</v>
      </c>
      <c r="C16" s="32">
        <v>1.2</v>
      </c>
      <c r="D16" s="31" t="s">
        <v>688</v>
      </c>
      <c r="E16" s="31" t="s">
        <v>689</v>
      </c>
    </row>
    <row r="17" ht="14.25" customHeight="1">
      <c r="A17" s="31" t="s">
        <v>345</v>
      </c>
      <c r="B17" s="31" t="s">
        <v>257</v>
      </c>
      <c r="C17" s="32">
        <v>1.0</v>
      </c>
      <c r="D17" s="31" t="s">
        <v>690</v>
      </c>
      <c r="E17" s="31" t="s">
        <v>673</v>
      </c>
    </row>
    <row r="18" ht="14.25" customHeight="1">
      <c r="A18" s="31" t="s">
        <v>345</v>
      </c>
      <c r="B18" s="31" t="s">
        <v>293</v>
      </c>
      <c r="C18" s="32">
        <v>1.05</v>
      </c>
      <c r="D18" s="31" t="s">
        <v>691</v>
      </c>
      <c r="E18" s="31" t="s">
        <v>692</v>
      </c>
    </row>
    <row r="19" ht="14.25" customHeight="1">
      <c r="A19" s="31" t="s">
        <v>345</v>
      </c>
      <c r="B19" s="31" t="s">
        <v>335</v>
      </c>
      <c r="C19" s="32">
        <v>1.12</v>
      </c>
      <c r="D19" s="31" t="s">
        <v>693</v>
      </c>
      <c r="E19" s="31" t="s">
        <v>694</v>
      </c>
    </row>
    <row r="20" ht="14.25" customHeight="1">
      <c r="A20" s="31" t="s">
        <v>208</v>
      </c>
      <c r="B20" s="31" t="s">
        <v>258</v>
      </c>
      <c r="C20" s="32">
        <v>1.0</v>
      </c>
      <c r="D20" s="31" t="s">
        <v>695</v>
      </c>
      <c r="E20" s="31" t="s">
        <v>673</v>
      </c>
    </row>
    <row r="21" ht="14.25" customHeight="1">
      <c r="A21" s="31" t="s">
        <v>208</v>
      </c>
      <c r="B21" s="31" t="s">
        <v>297</v>
      </c>
      <c r="C21" s="32">
        <v>1.08</v>
      </c>
      <c r="D21" s="31" t="s">
        <v>696</v>
      </c>
      <c r="E21" s="31" t="s">
        <v>697</v>
      </c>
    </row>
    <row r="22" ht="14.25" customHeight="1">
      <c r="A22" s="31" t="s">
        <v>208</v>
      </c>
      <c r="B22" s="31" t="s">
        <v>336</v>
      </c>
      <c r="C22" s="32">
        <v>1.18</v>
      </c>
      <c r="D22" s="31" t="s">
        <v>698</v>
      </c>
      <c r="E22" s="31" t="s">
        <v>699</v>
      </c>
    </row>
    <row r="23" ht="14.25" customHeight="1">
      <c r="A23" s="31" t="s">
        <v>209</v>
      </c>
      <c r="B23" s="31" t="s">
        <v>259</v>
      </c>
      <c r="C23" s="32">
        <v>1.0</v>
      </c>
      <c r="D23" s="31" t="s">
        <v>700</v>
      </c>
      <c r="E23" s="31" t="s">
        <v>673</v>
      </c>
    </row>
    <row r="24" ht="14.25" customHeight="1">
      <c r="A24" s="31" t="s">
        <v>209</v>
      </c>
      <c r="B24" s="31" t="s">
        <v>298</v>
      </c>
      <c r="C24" s="32">
        <v>1.06</v>
      </c>
      <c r="D24" s="31" t="s">
        <v>701</v>
      </c>
      <c r="E24" s="31" t="s">
        <v>702</v>
      </c>
    </row>
    <row r="25" ht="14.25" customHeight="1">
      <c r="A25" s="31" t="s">
        <v>209</v>
      </c>
      <c r="B25" s="31" t="s">
        <v>255</v>
      </c>
      <c r="C25" s="32">
        <v>1.14</v>
      </c>
      <c r="D25" s="31" t="s">
        <v>703</v>
      </c>
      <c r="E25" s="31" t="s">
        <v>704</v>
      </c>
    </row>
    <row r="26" ht="14.25" customHeight="1">
      <c r="A26" s="31" t="s">
        <v>395</v>
      </c>
      <c r="B26" s="31" t="s">
        <v>260</v>
      </c>
      <c r="C26" s="32">
        <v>1.0</v>
      </c>
      <c r="D26" s="31" t="s">
        <v>705</v>
      </c>
      <c r="E26" s="31" t="s">
        <v>673</v>
      </c>
    </row>
    <row r="27" ht="14.25" customHeight="1">
      <c r="A27" s="31" t="s">
        <v>395</v>
      </c>
      <c r="B27" s="31" t="s">
        <v>299</v>
      </c>
      <c r="C27" s="32">
        <v>1.06</v>
      </c>
      <c r="D27" s="31" t="s">
        <v>706</v>
      </c>
      <c r="E27" s="31" t="s">
        <v>707</v>
      </c>
    </row>
    <row r="28" ht="14.25" customHeight="1">
      <c r="A28" s="31" t="s">
        <v>395</v>
      </c>
      <c r="B28" s="31" t="s">
        <v>337</v>
      </c>
      <c r="C28" s="32">
        <v>1.15</v>
      </c>
      <c r="D28" s="31" t="s">
        <v>708</v>
      </c>
      <c r="E28" s="31" t="s">
        <v>709</v>
      </c>
    </row>
    <row r="29" ht="14.25" customHeight="1">
      <c r="A29" s="31" t="s">
        <v>211</v>
      </c>
      <c r="B29" s="31" t="s">
        <v>245</v>
      </c>
      <c r="C29" s="32">
        <v>1.0</v>
      </c>
      <c r="D29" s="31" t="s">
        <v>710</v>
      </c>
      <c r="E29" s="31" t="s">
        <v>673</v>
      </c>
    </row>
    <row r="30" ht="14.25" customHeight="1">
      <c r="A30" s="31" t="s">
        <v>211</v>
      </c>
      <c r="B30" s="31" t="s">
        <v>300</v>
      </c>
      <c r="C30" s="32">
        <v>1.1</v>
      </c>
      <c r="D30" s="31" t="s">
        <v>711</v>
      </c>
      <c r="E30" s="31" t="s">
        <v>712</v>
      </c>
    </row>
    <row r="31" ht="14.25" customHeight="1">
      <c r="A31" s="31" t="s">
        <v>211</v>
      </c>
      <c r="B31" s="31" t="s">
        <v>255</v>
      </c>
      <c r="C31" s="32">
        <v>1.25</v>
      </c>
      <c r="D31" s="31" t="s">
        <v>713</v>
      </c>
      <c r="E31" s="31" t="s">
        <v>714</v>
      </c>
    </row>
    <row r="32" ht="14.25" customHeight="1">
      <c r="A32" s="31" t="s">
        <v>218</v>
      </c>
      <c r="B32" s="31" t="s">
        <v>265</v>
      </c>
      <c r="C32" s="32">
        <v>1.0</v>
      </c>
      <c r="D32" s="31" t="s">
        <v>715</v>
      </c>
      <c r="E32" s="31" t="s">
        <v>716</v>
      </c>
    </row>
    <row r="33" ht="14.25" customHeight="1">
      <c r="A33" s="31" t="s">
        <v>218</v>
      </c>
      <c r="B33" s="31" t="s">
        <v>293</v>
      </c>
      <c r="C33" s="32">
        <v>1.03</v>
      </c>
      <c r="D33" s="31" t="s">
        <v>717</v>
      </c>
      <c r="E33" s="31" t="s">
        <v>718</v>
      </c>
    </row>
    <row r="34" ht="14.25" customHeight="1">
      <c r="A34" s="31" t="s">
        <v>218</v>
      </c>
      <c r="B34" s="31" t="s">
        <v>342</v>
      </c>
      <c r="C34" s="32">
        <v>1.07</v>
      </c>
      <c r="D34" s="31" t="s">
        <v>719</v>
      </c>
      <c r="E34" s="31" t="s">
        <v>720</v>
      </c>
    </row>
    <row r="35" ht="14.25" customHeight="1">
      <c r="A35" s="31" t="s">
        <v>218</v>
      </c>
      <c r="B35" s="31" t="s">
        <v>375</v>
      </c>
      <c r="C35" s="32">
        <v>1.12</v>
      </c>
      <c r="D35" s="31" t="s">
        <v>721</v>
      </c>
      <c r="E35" s="31" t="s">
        <v>722</v>
      </c>
    </row>
    <row r="36" ht="14.25" customHeight="1">
      <c r="A36" s="31"/>
      <c r="B36" s="31"/>
      <c r="C36" s="32"/>
      <c r="D36" s="31"/>
      <c r="E36" s="31"/>
    </row>
    <row r="37" ht="14.25" customHeight="1">
      <c r="A37" s="31"/>
      <c r="B37" s="31"/>
      <c r="C37" s="32"/>
      <c r="D37" s="31"/>
      <c r="E37" s="31"/>
    </row>
    <row r="38" ht="14.25" customHeight="1">
      <c r="A38" s="31"/>
      <c r="B38" s="31"/>
      <c r="C38" s="32"/>
      <c r="D38" s="31"/>
      <c r="E38" s="31"/>
    </row>
    <row r="39" ht="14.25" customHeight="1">
      <c r="A39" s="31"/>
      <c r="B39" s="31"/>
      <c r="C39" s="32"/>
      <c r="D39" s="31"/>
      <c r="E39" s="31"/>
    </row>
    <row r="40" ht="14.25" customHeight="1">
      <c r="A40" s="31"/>
      <c r="B40" s="31"/>
      <c r="C40" s="32"/>
      <c r="D40" s="31"/>
      <c r="E40" s="31"/>
    </row>
    <row r="41" ht="14.25" customHeight="1">
      <c r="A41" s="31"/>
      <c r="B41" s="31"/>
      <c r="C41" s="32"/>
      <c r="D41" s="31"/>
      <c r="E41" s="31"/>
    </row>
    <row r="42" ht="14.25" customHeight="1">
      <c r="A42" s="31"/>
      <c r="B42" s="31"/>
      <c r="C42" s="32"/>
      <c r="D42" s="31"/>
      <c r="E42" s="31"/>
    </row>
    <row r="43" ht="14.25" customHeight="1">
      <c r="A43" s="31"/>
      <c r="B43" s="31"/>
      <c r="C43" s="32"/>
      <c r="D43" s="31"/>
      <c r="E43" s="31"/>
    </row>
    <row r="44" ht="14.25" customHeight="1">
      <c r="A44" s="31"/>
      <c r="B44" s="31"/>
      <c r="C44" s="32"/>
      <c r="D44" s="31"/>
      <c r="E44" s="31"/>
    </row>
    <row r="45" ht="14.25" customHeight="1">
      <c r="A45" s="31"/>
      <c r="B45" s="31"/>
      <c r="C45" s="32"/>
      <c r="D45" s="31"/>
      <c r="E45" s="31"/>
    </row>
    <row r="46" ht="14.25" customHeight="1">
      <c r="A46" s="31"/>
      <c r="B46" s="31"/>
      <c r="C46" s="32"/>
      <c r="D46" s="31"/>
      <c r="E46" s="31"/>
    </row>
    <row r="47" ht="14.25" customHeight="1">
      <c r="A47" s="31"/>
      <c r="B47" s="31"/>
      <c r="C47" s="32"/>
      <c r="D47" s="31"/>
      <c r="E47" s="31"/>
    </row>
    <row r="48" ht="14.25" customHeight="1">
      <c r="A48" s="31"/>
      <c r="B48" s="31"/>
      <c r="C48" s="32"/>
      <c r="D48" s="31"/>
      <c r="E48" s="31"/>
    </row>
    <row r="49" ht="14.25" customHeight="1">
      <c r="A49" s="31"/>
      <c r="B49" s="31"/>
      <c r="C49" s="32"/>
      <c r="D49" s="31"/>
      <c r="E49" s="31"/>
    </row>
    <row r="50" ht="14.25" customHeight="1">
      <c r="A50" s="31"/>
      <c r="B50" s="31"/>
      <c r="C50" s="32"/>
      <c r="D50" s="31"/>
      <c r="E50" s="31"/>
    </row>
    <row r="51" ht="14.25" customHeight="1">
      <c r="A51" s="31"/>
      <c r="B51" s="31"/>
      <c r="C51" s="32"/>
      <c r="D51" s="31"/>
      <c r="E51" s="31"/>
    </row>
    <row r="52" ht="14.25" customHeight="1">
      <c r="A52" s="31"/>
      <c r="B52" s="31"/>
      <c r="C52" s="32"/>
      <c r="D52" s="31"/>
      <c r="E52" s="31"/>
    </row>
    <row r="53" ht="14.25" customHeight="1">
      <c r="A53" s="31"/>
      <c r="B53" s="31"/>
      <c r="C53" s="32"/>
      <c r="D53" s="31"/>
      <c r="E53" s="31"/>
    </row>
    <row r="54" ht="14.25" customHeight="1">
      <c r="A54" s="31"/>
      <c r="B54" s="31"/>
      <c r="C54" s="32"/>
      <c r="D54" s="31"/>
      <c r="E54" s="31"/>
    </row>
    <row r="55" ht="14.25" customHeight="1">
      <c r="A55" s="31"/>
      <c r="B55" s="31"/>
      <c r="C55" s="32"/>
      <c r="D55" s="31"/>
      <c r="E55" s="31"/>
    </row>
    <row r="56" ht="14.25" customHeight="1">
      <c r="A56" s="31"/>
      <c r="B56" s="31"/>
      <c r="C56" s="32"/>
      <c r="D56" s="31"/>
      <c r="E56" s="31"/>
    </row>
    <row r="57" ht="14.25" customHeight="1">
      <c r="A57" s="31"/>
      <c r="B57" s="31"/>
      <c r="C57" s="32"/>
      <c r="D57" s="31"/>
      <c r="E57" s="31"/>
    </row>
    <row r="58" ht="14.25" customHeight="1">
      <c r="A58" s="31"/>
      <c r="B58" s="31"/>
      <c r="C58" s="32"/>
      <c r="D58" s="31"/>
      <c r="E58" s="31"/>
    </row>
    <row r="59" ht="14.25" customHeight="1">
      <c r="A59" s="31"/>
      <c r="B59" s="31"/>
      <c r="C59" s="32"/>
      <c r="D59" s="31"/>
      <c r="E59" s="31"/>
    </row>
    <row r="60" ht="14.25" customHeight="1">
      <c r="A60" s="31"/>
      <c r="B60" s="31"/>
      <c r="C60" s="32"/>
      <c r="D60" s="31"/>
      <c r="E60" s="31"/>
    </row>
    <row r="61" ht="14.25" customHeight="1">
      <c r="A61" s="31"/>
      <c r="B61" s="31"/>
      <c r="C61" s="32"/>
      <c r="D61" s="31"/>
      <c r="E61" s="31"/>
    </row>
    <row r="62" ht="14.25" customHeight="1">
      <c r="A62" s="31"/>
      <c r="B62" s="31"/>
      <c r="C62" s="32"/>
      <c r="D62" s="31"/>
      <c r="E62" s="31"/>
    </row>
    <row r="63" ht="14.25" customHeight="1">
      <c r="A63" s="31"/>
      <c r="B63" s="31"/>
      <c r="C63" s="32"/>
      <c r="D63" s="31"/>
      <c r="E63" s="31"/>
    </row>
    <row r="64" ht="14.25" customHeight="1">
      <c r="A64" s="31"/>
      <c r="B64" s="31"/>
      <c r="C64" s="32"/>
      <c r="D64" s="31"/>
      <c r="E64" s="31"/>
    </row>
    <row r="65" ht="14.25" customHeight="1">
      <c r="A65" s="31"/>
      <c r="B65" s="31"/>
      <c r="C65" s="32"/>
      <c r="D65" s="31"/>
      <c r="E65" s="31"/>
    </row>
    <row r="66" ht="14.25" customHeight="1">
      <c r="A66" s="31"/>
      <c r="B66" s="31"/>
      <c r="C66" s="32"/>
      <c r="D66" s="31"/>
      <c r="E66" s="31"/>
    </row>
    <row r="67" ht="14.25" customHeight="1">
      <c r="A67" s="31"/>
      <c r="B67" s="31"/>
      <c r="C67" s="32"/>
      <c r="D67" s="31"/>
      <c r="E67" s="31"/>
    </row>
    <row r="68" ht="14.25" customHeight="1">
      <c r="A68" s="31"/>
      <c r="B68" s="31"/>
      <c r="C68" s="32"/>
      <c r="D68" s="31"/>
      <c r="E68" s="31"/>
    </row>
    <row r="69" ht="14.25" customHeight="1">
      <c r="A69" s="31"/>
      <c r="B69" s="31"/>
      <c r="C69" s="32"/>
      <c r="D69" s="31"/>
      <c r="E69" s="31"/>
    </row>
    <row r="70" ht="14.25" customHeight="1">
      <c r="A70" s="31"/>
      <c r="B70" s="31"/>
      <c r="C70" s="32"/>
      <c r="D70" s="31"/>
      <c r="E70" s="31"/>
    </row>
    <row r="71" ht="14.25" customHeight="1">
      <c r="A71" s="31"/>
      <c r="B71" s="31"/>
      <c r="C71" s="32"/>
      <c r="D71" s="31"/>
      <c r="E71" s="31"/>
    </row>
    <row r="72" ht="14.25" customHeight="1">
      <c r="A72" s="31"/>
      <c r="B72" s="31"/>
      <c r="C72" s="32"/>
      <c r="D72" s="31"/>
      <c r="E72" s="31"/>
    </row>
    <row r="73" ht="14.25" customHeight="1">
      <c r="A73" s="31"/>
      <c r="B73" s="31"/>
      <c r="C73" s="32"/>
      <c r="D73" s="31"/>
      <c r="E73" s="31"/>
    </row>
    <row r="74" ht="14.25" customHeight="1">
      <c r="A74" s="31"/>
      <c r="B74" s="31"/>
      <c r="C74" s="32"/>
      <c r="D74" s="31"/>
      <c r="E74" s="31"/>
    </row>
    <row r="75" ht="14.25" customHeight="1">
      <c r="A75" s="31"/>
      <c r="B75" s="31"/>
      <c r="C75" s="32"/>
      <c r="D75" s="31"/>
      <c r="E75" s="31"/>
    </row>
    <row r="76" ht="14.25" customHeight="1">
      <c r="A76" s="31"/>
      <c r="B76" s="31"/>
      <c r="C76" s="32"/>
      <c r="D76" s="31"/>
      <c r="E76" s="31"/>
    </row>
    <row r="77" ht="14.25" customHeight="1">
      <c r="A77" s="31"/>
      <c r="B77" s="31"/>
      <c r="C77" s="32"/>
      <c r="D77" s="31"/>
      <c r="E77" s="31"/>
    </row>
    <row r="78" ht="14.25" customHeight="1">
      <c r="A78" s="31"/>
      <c r="B78" s="31"/>
      <c r="C78" s="32"/>
      <c r="D78" s="31"/>
      <c r="E78" s="31"/>
    </row>
    <row r="79" ht="14.25" customHeight="1">
      <c r="A79" s="31"/>
      <c r="B79" s="31"/>
      <c r="C79" s="32"/>
      <c r="D79" s="31"/>
      <c r="E79" s="31"/>
    </row>
    <row r="80" ht="14.25" customHeight="1">
      <c r="A80" s="31"/>
      <c r="B80" s="31"/>
      <c r="C80" s="32"/>
      <c r="D80" s="31"/>
      <c r="E80" s="31"/>
    </row>
    <row r="81" ht="14.25" customHeight="1">
      <c r="A81" s="31"/>
      <c r="B81" s="31"/>
      <c r="C81" s="32"/>
      <c r="D81" s="31"/>
      <c r="E81" s="31"/>
    </row>
    <row r="82" ht="14.25" customHeight="1">
      <c r="A82" s="31"/>
      <c r="B82" s="31"/>
      <c r="C82" s="32"/>
      <c r="D82" s="31"/>
      <c r="E82" s="31"/>
    </row>
    <row r="83" ht="14.25" customHeight="1">
      <c r="A83" s="31"/>
      <c r="B83" s="31"/>
      <c r="C83" s="32"/>
      <c r="D83" s="31"/>
      <c r="E83" s="31"/>
    </row>
    <row r="84" ht="14.25" customHeight="1">
      <c r="A84" s="31"/>
      <c r="B84" s="31"/>
      <c r="C84" s="32"/>
      <c r="D84" s="31"/>
      <c r="E84" s="31"/>
    </row>
    <row r="85" ht="14.25" customHeight="1">
      <c r="A85" s="31"/>
      <c r="B85" s="31"/>
      <c r="C85" s="32"/>
      <c r="D85" s="31"/>
      <c r="E85" s="31"/>
    </row>
    <row r="86" ht="14.25" customHeight="1">
      <c r="A86" s="31"/>
      <c r="B86" s="31"/>
      <c r="C86" s="32"/>
      <c r="D86" s="31"/>
      <c r="E86" s="31"/>
    </row>
    <row r="87" ht="14.25" customHeight="1">
      <c r="A87" s="31"/>
      <c r="B87" s="31"/>
      <c r="C87" s="32"/>
      <c r="D87" s="31"/>
      <c r="E87" s="31"/>
    </row>
    <row r="88" ht="14.25" customHeight="1">
      <c r="A88" s="31"/>
      <c r="B88" s="31"/>
      <c r="C88" s="32"/>
      <c r="D88" s="31"/>
      <c r="E88" s="31"/>
    </row>
    <row r="89" ht="14.25" customHeight="1">
      <c r="A89" s="31"/>
      <c r="B89" s="31"/>
      <c r="C89" s="32"/>
      <c r="D89" s="31"/>
      <c r="E89" s="31"/>
    </row>
    <row r="90" ht="14.25" customHeight="1">
      <c r="A90" s="31"/>
      <c r="B90" s="31"/>
      <c r="C90" s="32"/>
      <c r="D90" s="31"/>
      <c r="E90" s="31"/>
    </row>
    <row r="91" ht="14.25" customHeight="1">
      <c r="A91" s="31"/>
      <c r="B91" s="31"/>
      <c r="C91" s="32"/>
      <c r="D91" s="31"/>
      <c r="E91" s="31"/>
    </row>
    <row r="92" ht="14.25" customHeight="1">
      <c r="A92" s="31"/>
      <c r="B92" s="31"/>
      <c r="C92" s="32"/>
      <c r="D92" s="31"/>
      <c r="E92" s="31"/>
    </row>
    <row r="93" ht="14.25" customHeight="1">
      <c r="A93" s="31"/>
      <c r="B93" s="31"/>
      <c r="C93" s="32"/>
      <c r="D93" s="31"/>
      <c r="E93" s="31"/>
    </row>
    <row r="94" ht="14.25" customHeight="1">
      <c r="A94" s="31"/>
      <c r="B94" s="31"/>
      <c r="C94" s="32"/>
      <c r="D94" s="31"/>
      <c r="E94" s="31"/>
    </row>
    <row r="95" ht="14.25" customHeight="1">
      <c r="A95" s="31"/>
      <c r="B95" s="31"/>
      <c r="C95" s="32"/>
      <c r="D95" s="31"/>
      <c r="E95" s="31"/>
    </row>
    <row r="96" ht="14.25" customHeight="1">
      <c r="A96" s="31"/>
      <c r="B96" s="31"/>
      <c r="C96" s="32"/>
      <c r="D96" s="31"/>
      <c r="E96" s="31"/>
    </row>
    <row r="97" ht="14.25" customHeight="1">
      <c r="A97" s="31"/>
      <c r="B97" s="31"/>
      <c r="C97" s="32"/>
      <c r="D97" s="31"/>
      <c r="E97" s="31"/>
    </row>
    <row r="98" ht="14.25" customHeight="1">
      <c r="A98" s="31"/>
      <c r="B98" s="31"/>
      <c r="C98" s="32"/>
      <c r="D98" s="31"/>
      <c r="E98" s="31"/>
    </row>
    <row r="99" ht="14.25" customHeight="1">
      <c r="A99" s="31"/>
      <c r="B99" s="31"/>
      <c r="C99" s="32"/>
      <c r="D99" s="31"/>
      <c r="E99" s="31"/>
    </row>
    <row r="100" ht="14.25" customHeight="1">
      <c r="A100" s="31"/>
      <c r="B100" s="31"/>
      <c r="C100" s="32"/>
      <c r="D100" s="31"/>
      <c r="E100" s="31"/>
    </row>
    <row r="101" ht="14.25" customHeight="1">
      <c r="A101" s="31"/>
      <c r="B101" s="31"/>
      <c r="C101" s="32"/>
      <c r="D101" s="31"/>
      <c r="E101" s="31"/>
    </row>
    <row r="102" ht="14.25" customHeight="1">
      <c r="A102" s="31"/>
      <c r="B102" s="31"/>
      <c r="C102" s="32"/>
      <c r="D102" s="31"/>
      <c r="E102" s="31"/>
    </row>
    <row r="103" ht="14.25" customHeight="1">
      <c r="A103" s="31"/>
      <c r="B103" s="31"/>
      <c r="C103" s="32"/>
      <c r="D103" s="31"/>
      <c r="E103" s="31"/>
    </row>
    <row r="104" ht="14.25" customHeight="1">
      <c r="A104" s="31"/>
      <c r="B104" s="31"/>
      <c r="C104" s="32"/>
      <c r="D104" s="31"/>
      <c r="E104" s="31"/>
    </row>
    <row r="105" ht="14.25" customHeight="1">
      <c r="A105" s="31"/>
      <c r="B105" s="31"/>
      <c r="C105" s="32"/>
      <c r="D105" s="31"/>
      <c r="E105" s="31"/>
    </row>
    <row r="106" ht="14.25" customHeight="1">
      <c r="A106" s="31"/>
      <c r="B106" s="31"/>
      <c r="C106" s="32"/>
      <c r="D106" s="31"/>
      <c r="E106" s="31"/>
    </row>
    <row r="107" ht="14.25" customHeight="1">
      <c r="A107" s="31"/>
      <c r="B107" s="31"/>
      <c r="C107" s="32"/>
      <c r="D107" s="31"/>
      <c r="E107" s="31"/>
    </row>
    <row r="108" ht="14.25" customHeight="1">
      <c r="A108" s="31"/>
      <c r="B108" s="31"/>
      <c r="C108" s="32"/>
      <c r="D108" s="31"/>
      <c r="E108" s="31"/>
    </row>
    <row r="109" ht="14.25" customHeight="1">
      <c r="A109" s="31"/>
      <c r="B109" s="31"/>
      <c r="C109" s="32"/>
      <c r="D109" s="31"/>
      <c r="E109" s="31"/>
    </row>
    <row r="110" ht="14.25" customHeight="1">
      <c r="A110" s="31"/>
      <c r="B110" s="31"/>
      <c r="C110" s="32"/>
      <c r="D110" s="31"/>
      <c r="E110" s="31"/>
    </row>
    <row r="111" ht="14.25" customHeight="1">
      <c r="A111" s="31"/>
      <c r="B111" s="31"/>
      <c r="C111" s="32"/>
      <c r="D111" s="31"/>
      <c r="E111" s="31"/>
    </row>
    <row r="112" ht="14.25" customHeight="1">
      <c r="A112" s="31"/>
      <c r="B112" s="31"/>
      <c r="C112" s="32"/>
      <c r="D112" s="31"/>
      <c r="E112" s="31"/>
    </row>
    <row r="113" ht="14.25" customHeight="1">
      <c r="A113" s="31"/>
      <c r="B113" s="31"/>
      <c r="C113" s="32"/>
      <c r="D113" s="31"/>
      <c r="E113" s="31"/>
    </row>
    <row r="114" ht="14.25" customHeight="1">
      <c r="A114" s="31"/>
      <c r="B114" s="31"/>
      <c r="C114" s="32"/>
      <c r="D114" s="31"/>
      <c r="E114" s="31"/>
    </row>
    <row r="115" ht="14.25" customHeight="1">
      <c r="A115" s="31"/>
      <c r="B115" s="31"/>
      <c r="C115" s="32"/>
      <c r="D115" s="31"/>
      <c r="E115" s="31"/>
    </row>
    <row r="116" ht="14.25" customHeight="1">
      <c r="A116" s="31"/>
      <c r="B116" s="31"/>
      <c r="C116" s="32"/>
      <c r="D116" s="31"/>
      <c r="E116" s="31"/>
    </row>
    <row r="117" ht="14.25" customHeight="1">
      <c r="A117" s="31"/>
      <c r="B117" s="31"/>
      <c r="C117" s="32"/>
      <c r="D117" s="31"/>
      <c r="E117" s="31"/>
    </row>
    <row r="118" ht="14.25" customHeight="1">
      <c r="A118" s="31"/>
      <c r="B118" s="31"/>
      <c r="C118" s="32"/>
      <c r="D118" s="31"/>
      <c r="E118" s="31"/>
    </row>
    <row r="119" ht="14.25" customHeight="1">
      <c r="A119" s="31"/>
      <c r="B119" s="31"/>
      <c r="C119" s="32"/>
      <c r="D119" s="31"/>
      <c r="E119" s="31"/>
    </row>
    <row r="120" ht="14.25" customHeight="1">
      <c r="A120" s="31"/>
      <c r="B120" s="31"/>
      <c r="C120" s="32"/>
      <c r="D120" s="31"/>
      <c r="E120" s="31"/>
    </row>
    <row r="121" ht="14.25" customHeight="1">
      <c r="A121" s="31"/>
      <c r="B121" s="31"/>
      <c r="C121" s="32"/>
      <c r="D121" s="31"/>
      <c r="E121" s="31"/>
    </row>
    <row r="122" ht="14.25" customHeight="1">
      <c r="A122" s="31"/>
      <c r="B122" s="31"/>
      <c r="C122" s="32"/>
      <c r="D122" s="31"/>
      <c r="E122" s="31"/>
    </row>
    <row r="123" ht="14.25" customHeight="1">
      <c r="A123" s="31"/>
      <c r="B123" s="31"/>
      <c r="C123" s="32"/>
      <c r="D123" s="31"/>
      <c r="E123" s="31"/>
    </row>
    <row r="124" ht="14.25" customHeight="1">
      <c r="A124" s="31"/>
      <c r="B124" s="31"/>
      <c r="C124" s="32"/>
      <c r="D124" s="31"/>
      <c r="E124" s="31"/>
    </row>
    <row r="125" ht="14.25" customHeight="1">
      <c r="A125" s="31"/>
      <c r="B125" s="31"/>
      <c r="C125" s="32"/>
      <c r="D125" s="31"/>
      <c r="E125" s="31"/>
    </row>
    <row r="126" ht="14.25" customHeight="1">
      <c r="A126" s="31"/>
      <c r="B126" s="31"/>
      <c r="C126" s="32"/>
      <c r="D126" s="31"/>
      <c r="E126" s="31"/>
    </row>
    <row r="127" ht="14.25" customHeight="1">
      <c r="A127" s="31"/>
      <c r="B127" s="31"/>
      <c r="C127" s="32"/>
      <c r="D127" s="31"/>
      <c r="E127" s="31"/>
    </row>
    <row r="128" ht="14.25" customHeight="1">
      <c r="A128" s="31"/>
      <c r="B128" s="31"/>
      <c r="C128" s="32"/>
      <c r="D128" s="31"/>
      <c r="E128" s="31"/>
    </row>
    <row r="129" ht="14.25" customHeight="1">
      <c r="A129" s="31"/>
      <c r="B129" s="31"/>
      <c r="C129" s="32"/>
      <c r="D129" s="31"/>
      <c r="E129" s="31"/>
    </row>
    <row r="130" ht="14.25" customHeight="1">
      <c r="A130" s="31"/>
      <c r="B130" s="31"/>
      <c r="C130" s="32"/>
      <c r="D130" s="31"/>
      <c r="E130" s="31"/>
    </row>
    <row r="131" ht="14.25" customHeight="1">
      <c r="A131" s="31"/>
      <c r="B131" s="31"/>
      <c r="C131" s="32"/>
      <c r="D131" s="31"/>
      <c r="E131" s="31"/>
    </row>
    <row r="132" ht="14.25" customHeight="1">
      <c r="A132" s="31"/>
      <c r="B132" s="31"/>
      <c r="C132" s="32"/>
      <c r="D132" s="31"/>
      <c r="E132" s="31"/>
    </row>
    <row r="133" ht="14.25" customHeight="1">
      <c r="A133" s="31"/>
      <c r="B133" s="31"/>
      <c r="C133" s="32"/>
      <c r="D133" s="31"/>
      <c r="E133" s="31"/>
    </row>
    <row r="134" ht="14.25" customHeight="1">
      <c r="A134" s="31"/>
      <c r="B134" s="31"/>
      <c r="C134" s="32"/>
      <c r="D134" s="31"/>
      <c r="E134" s="31"/>
    </row>
    <row r="135" ht="14.25" customHeight="1">
      <c r="A135" s="31"/>
      <c r="B135" s="31"/>
      <c r="C135" s="32"/>
      <c r="D135" s="31"/>
      <c r="E135" s="31"/>
    </row>
    <row r="136" ht="14.25" customHeight="1">
      <c r="A136" s="31"/>
      <c r="B136" s="31"/>
      <c r="C136" s="32"/>
      <c r="D136" s="31"/>
      <c r="E136" s="31"/>
    </row>
    <row r="137" ht="14.25" customHeight="1">
      <c r="A137" s="31"/>
      <c r="B137" s="31"/>
      <c r="C137" s="32"/>
      <c r="D137" s="31"/>
      <c r="E137" s="31"/>
    </row>
    <row r="138" ht="14.25" customHeight="1">
      <c r="A138" s="31"/>
      <c r="B138" s="31"/>
      <c r="C138" s="32"/>
      <c r="D138" s="31"/>
      <c r="E138" s="31"/>
    </row>
    <row r="139" ht="14.25" customHeight="1">
      <c r="A139" s="31"/>
      <c r="B139" s="31"/>
      <c r="C139" s="32"/>
      <c r="D139" s="31"/>
      <c r="E139" s="31"/>
    </row>
    <row r="140" ht="14.25" customHeight="1">
      <c r="A140" s="31"/>
      <c r="B140" s="31"/>
      <c r="C140" s="32"/>
      <c r="D140" s="31"/>
      <c r="E140" s="31"/>
    </row>
    <row r="141" ht="14.25" customHeight="1">
      <c r="A141" s="31"/>
      <c r="B141" s="31"/>
      <c r="C141" s="32"/>
      <c r="D141" s="31"/>
      <c r="E141" s="31"/>
    </row>
    <row r="142" ht="14.25" customHeight="1">
      <c r="A142" s="31"/>
      <c r="B142" s="31"/>
      <c r="C142" s="32"/>
      <c r="D142" s="31"/>
      <c r="E142" s="31"/>
    </row>
    <row r="143" ht="14.25" customHeight="1">
      <c r="A143" s="31"/>
      <c r="B143" s="31"/>
      <c r="C143" s="32"/>
      <c r="D143" s="31"/>
      <c r="E143" s="31"/>
    </row>
    <row r="144" ht="14.25" customHeight="1">
      <c r="A144" s="31"/>
      <c r="B144" s="31"/>
      <c r="C144" s="32"/>
      <c r="D144" s="31"/>
      <c r="E144" s="31"/>
    </row>
    <row r="145" ht="14.25" customHeight="1">
      <c r="A145" s="31"/>
      <c r="B145" s="31"/>
      <c r="C145" s="32"/>
      <c r="D145" s="31"/>
      <c r="E145" s="31"/>
    </row>
    <row r="146" ht="14.25" customHeight="1">
      <c r="A146" s="31"/>
      <c r="B146" s="31"/>
      <c r="C146" s="32"/>
      <c r="D146" s="31"/>
      <c r="E146" s="31"/>
    </row>
    <row r="147" ht="14.25" customHeight="1">
      <c r="A147" s="31"/>
      <c r="B147" s="31"/>
      <c r="C147" s="32"/>
      <c r="D147" s="31"/>
      <c r="E147" s="31"/>
    </row>
    <row r="148" ht="14.25" customHeight="1">
      <c r="A148" s="31"/>
      <c r="B148" s="31"/>
      <c r="C148" s="32"/>
      <c r="D148" s="31"/>
      <c r="E148" s="31"/>
    </row>
    <row r="149" ht="14.25" customHeight="1">
      <c r="A149" s="31"/>
      <c r="B149" s="31"/>
      <c r="C149" s="32"/>
      <c r="D149" s="31"/>
      <c r="E149" s="31"/>
    </row>
    <row r="150" ht="14.25" customHeight="1">
      <c r="A150" s="31"/>
      <c r="B150" s="31"/>
      <c r="C150" s="31"/>
      <c r="D150" s="31"/>
      <c r="E150" s="31"/>
    </row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18.0"/>
    <col customWidth="1" min="3" max="3" width="12.0"/>
    <col customWidth="1" min="4" max="4" width="16.0"/>
    <col customWidth="1" min="5" max="5" width="18.0"/>
    <col customWidth="1" min="6" max="6" width="24.0"/>
    <col customWidth="1" min="7" max="26" width="8.71"/>
  </cols>
  <sheetData>
    <row r="1" ht="14.25" customHeight="1">
      <c r="A1" s="9" t="s">
        <v>658</v>
      </c>
      <c r="B1" s="9" t="s">
        <v>659</v>
      </c>
      <c r="C1" s="9" t="s">
        <v>660</v>
      </c>
      <c r="D1" s="9" t="s">
        <v>723</v>
      </c>
      <c r="E1" s="9" t="s">
        <v>661</v>
      </c>
      <c r="F1" s="9" t="s">
        <v>116</v>
      </c>
    </row>
    <row r="2" ht="14.25" customHeight="1">
      <c r="A2" s="4" t="s">
        <v>227</v>
      </c>
      <c r="B2" s="4" t="s">
        <v>271</v>
      </c>
      <c r="C2" s="33">
        <v>1.0</v>
      </c>
      <c r="D2" s="4" t="s">
        <v>724</v>
      </c>
      <c r="E2" s="4" t="s">
        <v>725</v>
      </c>
      <c r="F2" s="4"/>
    </row>
    <row r="3" ht="14.25" customHeight="1">
      <c r="A3" s="4" t="s">
        <v>227</v>
      </c>
      <c r="B3" s="4" t="s">
        <v>310</v>
      </c>
      <c r="C3" s="33">
        <v>1.05</v>
      </c>
      <c r="D3" s="4" t="s">
        <v>724</v>
      </c>
      <c r="E3" s="4" t="s">
        <v>726</v>
      </c>
      <c r="F3" s="4"/>
    </row>
    <row r="4" ht="14.25" customHeight="1">
      <c r="A4" s="4" t="s">
        <v>227</v>
      </c>
      <c r="B4" s="4" t="s">
        <v>349</v>
      </c>
      <c r="C4" s="33">
        <v>1.12</v>
      </c>
      <c r="D4" s="4" t="s">
        <v>724</v>
      </c>
      <c r="E4" s="4" t="s">
        <v>727</v>
      </c>
      <c r="F4" s="4"/>
    </row>
    <row r="5" ht="14.25" customHeight="1">
      <c r="A5" s="4" t="s">
        <v>227</v>
      </c>
      <c r="B5" s="4" t="s">
        <v>379</v>
      </c>
      <c r="C5" s="33">
        <v>1.22</v>
      </c>
      <c r="D5" s="4" t="s">
        <v>724</v>
      </c>
      <c r="E5" s="4" t="s">
        <v>728</v>
      </c>
      <c r="F5" s="4"/>
    </row>
    <row r="6" ht="14.25" customHeight="1">
      <c r="A6" s="4" t="s">
        <v>225</v>
      </c>
      <c r="B6" s="4" t="s">
        <v>308</v>
      </c>
      <c r="C6" s="33">
        <v>1.0</v>
      </c>
      <c r="D6" s="4" t="s">
        <v>729</v>
      </c>
      <c r="E6" s="4" t="s">
        <v>730</v>
      </c>
      <c r="F6" s="4"/>
    </row>
    <row r="7" ht="14.25" customHeight="1">
      <c r="A7" s="4" t="s">
        <v>225</v>
      </c>
      <c r="B7" s="4" t="s">
        <v>269</v>
      </c>
      <c r="C7" s="33">
        <v>0.97</v>
      </c>
      <c r="D7" s="4" t="s">
        <v>729</v>
      </c>
      <c r="E7" s="4" t="s">
        <v>731</v>
      </c>
      <c r="F7" s="4"/>
    </row>
    <row r="8" ht="14.25" customHeight="1">
      <c r="A8" s="4" t="s">
        <v>225</v>
      </c>
      <c r="B8" s="4" t="s">
        <v>347</v>
      </c>
      <c r="C8" s="33">
        <v>1.08</v>
      </c>
      <c r="D8" s="4" t="s">
        <v>729</v>
      </c>
      <c r="E8" s="4" t="s">
        <v>732</v>
      </c>
      <c r="F8" s="4"/>
    </row>
    <row r="9" ht="14.25" customHeight="1">
      <c r="A9" s="4" t="s">
        <v>225</v>
      </c>
      <c r="B9" s="4" t="s">
        <v>378</v>
      </c>
      <c r="C9" s="33">
        <v>1.18</v>
      </c>
      <c r="D9" s="4" t="s">
        <v>729</v>
      </c>
      <c r="E9" s="4" t="s">
        <v>733</v>
      </c>
      <c r="F9" s="4"/>
    </row>
    <row r="10" ht="14.25" customHeight="1">
      <c r="A10" s="4" t="s">
        <v>226</v>
      </c>
      <c r="B10" s="4" t="s">
        <v>270</v>
      </c>
      <c r="C10" s="33">
        <v>1.0</v>
      </c>
      <c r="D10" s="4" t="s">
        <v>734</v>
      </c>
      <c r="E10" s="4" t="s">
        <v>735</v>
      </c>
      <c r="F10" s="4"/>
    </row>
    <row r="11" ht="14.25" customHeight="1">
      <c r="A11" s="4" t="s">
        <v>226</v>
      </c>
      <c r="B11" s="4" t="s">
        <v>309</v>
      </c>
      <c r="C11" s="33">
        <v>1.07</v>
      </c>
      <c r="D11" s="4" t="s">
        <v>734</v>
      </c>
      <c r="E11" s="4" t="s">
        <v>736</v>
      </c>
      <c r="F11" s="4"/>
    </row>
    <row r="12" ht="14.25" customHeight="1">
      <c r="A12" s="4" t="s">
        <v>226</v>
      </c>
      <c r="B12" s="4" t="s">
        <v>348</v>
      </c>
      <c r="C12" s="33">
        <v>1.15</v>
      </c>
      <c r="D12" s="4" t="s">
        <v>734</v>
      </c>
      <c r="E12" s="4" t="s">
        <v>737</v>
      </c>
      <c r="F12" s="4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F$12"/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10.0"/>
    <col customWidth="1" min="3" max="3" width="28.0"/>
    <col customWidth="1" min="4" max="4" width="24.0"/>
    <col customWidth="1" min="5" max="26" width="8.71"/>
  </cols>
  <sheetData>
    <row r="1" ht="14.25" customHeight="1">
      <c r="A1" s="9" t="s">
        <v>441</v>
      </c>
      <c r="B1" s="9" t="s">
        <v>650</v>
      </c>
      <c r="C1" s="9" t="s">
        <v>738</v>
      </c>
      <c r="D1" s="9" t="s">
        <v>116</v>
      </c>
    </row>
    <row r="2" ht="14.25" customHeight="1">
      <c r="A2" s="4" t="s">
        <v>272</v>
      </c>
      <c r="B2" s="30">
        <v>0.0</v>
      </c>
      <c r="C2" s="4" t="s">
        <v>739</v>
      </c>
      <c r="D2" s="4" t="s">
        <v>740</v>
      </c>
    </row>
    <row r="3" ht="14.25" customHeight="1">
      <c r="A3" s="4" t="s">
        <v>311</v>
      </c>
      <c r="B3" s="30">
        <v>0.2</v>
      </c>
      <c r="C3" s="4" t="s">
        <v>741</v>
      </c>
      <c r="D3" s="4" t="s">
        <v>742</v>
      </c>
    </row>
    <row r="4" ht="14.25" customHeight="1">
      <c r="A4" s="4" t="s">
        <v>350</v>
      </c>
      <c r="B4" s="30">
        <v>0.1</v>
      </c>
      <c r="C4" s="4" t="s">
        <v>743</v>
      </c>
      <c r="D4" s="4" t="s">
        <v>744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4"/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8.0"/>
    <col customWidth="1" min="3" max="3" width="11.0"/>
    <col customWidth="1" min="4" max="4" width="13.0"/>
    <col customWidth="1" min="5" max="6" width="11.0"/>
    <col customWidth="1" min="7" max="7" width="15.0"/>
    <col customWidth="1" min="8" max="8" width="12.0"/>
    <col customWidth="1" min="9" max="11" width="14.0"/>
    <col customWidth="1" min="12" max="12" width="15.0"/>
    <col customWidth="1" min="13" max="13" width="18.0"/>
    <col customWidth="1" min="14" max="14" width="14.0"/>
    <col customWidth="1" min="15" max="15" width="15.0"/>
    <col customWidth="1" min="16" max="16" width="38.0"/>
    <col customWidth="1" min="17" max="26" width="8.71"/>
  </cols>
  <sheetData>
    <row r="1" ht="14.25" customHeight="1">
      <c r="A1" s="9" t="s">
        <v>424</v>
      </c>
      <c r="B1" s="9" t="s">
        <v>425</v>
      </c>
      <c r="C1" s="9" t="s">
        <v>745</v>
      </c>
      <c r="D1" s="9" t="s">
        <v>746</v>
      </c>
      <c r="E1" s="9" t="s">
        <v>747</v>
      </c>
      <c r="F1" s="9" t="s">
        <v>748</v>
      </c>
      <c r="G1" s="9" t="s">
        <v>749</v>
      </c>
      <c r="H1" s="9" t="s">
        <v>750</v>
      </c>
      <c r="I1" s="9" t="s">
        <v>751</v>
      </c>
      <c r="J1" s="9" t="s">
        <v>752</v>
      </c>
      <c r="K1" s="9" t="s">
        <v>753</v>
      </c>
      <c r="L1" s="9" t="s">
        <v>754</v>
      </c>
      <c r="M1" s="9" t="s">
        <v>755</v>
      </c>
      <c r="N1" s="9" t="s">
        <v>756</v>
      </c>
      <c r="O1" s="9" t="s">
        <v>757</v>
      </c>
      <c r="P1" s="9" t="s">
        <v>116</v>
      </c>
    </row>
    <row r="2" ht="14.25" customHeight="1">
      <c r="A2" s="31" t="s">
        <v>444</v>
      </c>
      <c r="B2" s="31" t="s">
        <v>445</v>
      </c>
      <c r="C2" s="34">
        <v>0.9</v>
      </c>
      <c r="D2" s="34">
        <v>0.7</v>
      </c>
      <c r="E2" s="34">
        <v>0.6</v>
      </c>
      <c r="F2" s="34">
        <v>0.5</v>
      </c>
      <c r="G2" s="34">
        <v>0.4</v>
      </c>
      <c r="H2" s="34">
        <v>0.4</v>
      </c>
      <c r="I2" s="34">
        <v>0.3</v>
      </c>
      <c r="J2" s="34">
        <v>0.3</v>
      </c>
      <c r="K2" s="34">
        <v>0.5</v>
      </c>
      <c r="L2" s="31" t="s">
        <v>245</v>
      </c>
      <c r="M2" s="31" t="s">
        <v>245</v>
      </c>
      <c r="N2" s="31" t="s">
        <v>617</v>
      </c>
      <c r="O2" s="35">
        <f>IF($N2="","",ROUND(1+($C2*(SUMIFS(OBJECT_CONDITIONS!$D:$D,OBJECT_CONDITIONS!$A:$A,$N2)-1))+($D2*(SUMIFS(OBJECT_CONDITIONS!$F:$F,OBJECT_CONDITIONS!$A:$A,$N2)-1))+($E2*(SUMIFS(OBJECT_CONDITIONS!$H:$H,OBJECT_CONDITIONS!$A:$A,$N2)-1))+($F2*(SUMIFS(OBJECT_CONDITIONS!$J:$J,OBJECT_CONDITIONS!$A:$A,$N2)-1))+($G2*(SUMIFS(OBJECT_CONDITIONS!$L:$L,OBJECT_CONDITIONS!$A:$A,$N2)-1))+($H2*(SUMIFS(OBJECT_CONDITIONS!$N:$N,OBJECT_CONDITIONS!$A:$A,$N2)-1))+($I2*(SUMIFS(OBJECT_CONDITIONS!$P:$P,OBJECT_CONDITIONS!$A:$A,$N2)-1))+($J2*(SUMIFS(OBJECT_CONDITIONS!$R:$R,OBJECT_CONDITIONS!$A:$A,$N2)-1))+($K2*(SUMIFS(OBJECT_CONDITIONS!$T:$T,OBJECT_CONDITIONS!$A:$A,$N2)-1)),3))</f>
        <v>1.396</v>
      </c>
      <c r="P2" s="31" t="s">
        <v>758</v>
      </c>
    </row>
    <row r="3" ht="14.25" customHeight="1">
      <c r="A3" s="31" t="s">
        <v>451</v>
      </c>
      <c r="B3" s="31" t="s">
        <v>452</v>
      </c>
      <c r="C3" s="34">
        <v>0.7</v>
      </c>
      <c r="D3" s="34">
        <v>0.5</v>
      </c>
      <c r="E3" s="34">
        <v>0.3</v>
      </c>
      <c r="F3" s="34">
        <v>0.4</v>
      </c>
      <c r="G3" s="34">
        <v>0.4</v>
      </c>
      <c r="H3" s="34">
        <v>0.3</v>
      </c>
      <c r="I3" s="34">
        <v>0.2</v>
      </c>
      <c r="J3" s="34">
        <v>0.1</v>
      </c>
      <c r="K3" s="34">
        <v>0.3</v>
      </c>
      <c r="L3" s="31" t="s">
        <v>245</v>
      </c>
      <c r="M3" s="31" t="s">
        <v>245</v>
      </c>
      <c r="N3" s="31" t="s">
        <v>617</v>
      </c>
      <c r="O3" s="35">
        <f>IF($N3="","",ROUND(1+($C3*(SUMIFS(OBJECT_CONDITIONS!$D:$D,OBJECT_CONDITIONS!$A:$A,$N3)-1))+($D3*(SUMIFS(OBJECT_CONDITIONS!$F:$F,OBJECT_CONDITIONS!$A:$A,$N3)-1))+($E3*(SUMIFS(OBJECT_CONDITIONS!$H:$H,OBJECT_CONDITIONS!$A:$A,$N3)-1))+($F3*(SUMIFS(OBJECT_CONDITIONS!$J:$J,OBJECT_CONDITIONS!$A:$A,$N3)-1))+($G3*(SUMIFS(OBJECT_CONDITIONS!$L:$L,OBJECT_CONDITIONS!$A:$A,$N3)-1))+($H3*(SUMIFS(OBJECT_CONDITIONS!$N:$N,OBJECT_CONDITIONS!$A:$A,$N3)-1))+($I3*(SUMIFS(OBJECT_CONDITIONS!$P:$P,OBJECT_CONDITIONS!$A:$A,$N3)-1))+($J3*(SUMIFS(OBJECT_CONDITIONS!$R:$R,OBJECT_CONDITIONS!$A:$A,$N3)-1))+($K3*(SUMIFS(OBJECT_CONDITIONS!$T:$T,OBJECT_CONDITIONS!$A:$A,$N3)-1)),3))</f>
        <v>1.278</v>
      </c>
      <c r="P3" s="31" t="s">
        <v>759</v>
      </c>
    </row>
    <row r="4" ht="14.25" customHeight="1">
      <c r="A4" s="31" t="s">
        <v>456</v>
      </c>
      <c r="B4" s="31" t="s">
        <v>457</v>
      </c>
      <c r="C4" s="34">
        <v>0.9</v>
      </c>
      <c r="D4" s="34">
        <v>0.8</v>
      </c>
      <c r="E4" s="34">
        <v>0.6</v>
      </c>
      <c r="F4" s="34">
        <v>0.3</v>
      </c>
      <c r="G4" s="34">
        <v>0.2</v>
      </c>
      <c r="H4" s="34">
        <v>0.6</v>
      </c>
      <c r="I4" s="34">
        <v>0.5</v>
      </c>
      <c r="J4" s="34">
        <v>0.6</v>
      </c>
      <c r="K4" s="34">
        <v>0.7</v>
      </c>
      <c r="L4" s="31" t="s">
        <v>245</v>
      </c>
      <c r="M4" s="31" t="s">
        <v>245</v>
      </c>
      <c r="N4" s="31" t="s">
        <v>617</v>
      </c>
      <c r="O4" s="35">
        <f>IF($N4="","",ROUND(1+($C4*(SUMIFS(OBJECT_CONDITIONS!$D:$D,OBJECT_CONDITIONS!$A:$A,$N4)-1))+($D4*(SUMIFS(OBJECT_CONDITIONS!$F:$F,OBJECT_CONDITIONS!$A:$A,$N4)-1))+($E4*(SUMIFS(OBJECT_CONDITIONS!$H:$H,OBJECT_CONDITIONS!$A:$A,$N4)-1))+($F4*(SUMIFS(OBJECT_CONDITIONS!$J:$J,OBJECT_CONDITIONS!$A:$A,$N4)-1))+($G4*(SUMIFS(OBJECT_CONDITIONS!$L:$L,OBJECT_CONDITIONS!$A:$A,$N4)-1))+($H4*(SUMIFS(OBJECT_CONDITIONS!$N:$N,OBJECT_CONDITIONS!$A:$A,$N4)-1))+($I4*(SUMIFS(OBJECT_CONDITIONS!$P:$P,OBJECT_CONDITIONS!$A:$A,$N4)-1))+($J4*(SUMIFS(OBJECT_CONDITIONS!$R:$R,OBJECT_CONDITIONS!$A:$A,$N4)-1))+($K4*(SUMIFS(OBJECT_CONDITIONS!$T:$T,OBJECT_CONDITIONS!$A:$A,$N4)-1)),3))</f>
        <v>1.434</v>
      </c>
      <c r="P4" s="31" t="s">
        <v>760</v>
      </c>
    </row>
    <row r="5" ht="14.25" customHeight="1">
      <c r="A5" s="31" t="s">
        <v>462</v>
      </c>
      <c r="B5" s="31" t="s">
        <v>463</v>
      </c>
      <c r="C5" s="34">
        <v>0.1</v>
      </c>
      <c r="D5" s="34">
        <v>0.1</v>
      </c>
      <c r="E5" s="34">
        <v>0.1</v>
      </c>
      <c r="F5" s="34">
        <v>0.4</v>
      </c>
      <c r="G5" s="34">
        <v>0.3</v>
      </c>
      <c r="H5" s="34">
        <v>0.2</v>
      </c>
      <c r="I5" s="34">
        <v>0.1</v>
      </c>
      <c r="J5" s="34">
        <v>0.2</v>
      </c>
      <c r="K5" s="34">
        <v>0.1</v>
      </c>
      <c r="L5" s="31" t="s">
        <v>245</v>
      </c>
      <c r="M5" s="31" t="s">
        <v>255</v>
      </c>
      <c r="N5" s="31" t="s">
        <v>617</v>
      </c>
      <c r="O5" s="35">
        <f>IF($N5="","",ROUND(1+($C5*(SUMIFS(OBJECT_CONDITIONS!$D:$D,OBJECT_CONDITIONS!$A:$A,$N5)-1))+($D5*(SUMIFS(OBJECT_CONDITIONS!$F:$F,OBJECT_CONDITIONS!$A:$A,$N5)-1))+($E5*(SUMIFS(OBJECT_CONDITIONS!$H:$H,OBJECT_CONDITIONS!$A:$A,$N5)-1))+($F5*(SUMIFS(OBJECT_CONDITIONS!$J:$J,OBJECT_CONDITIONS!$A:$A,$N5)-1))+($G5*(SUMIFS(OBJECT_CONDITIONS!$L:$L,OBJECT_CONDITIONS!$A:$A,$N5)-1))+($H5*(SUMIFS(OBJECT_CONDITIONS!$N:$N,OBJECT_CONDITIONS!$A:$A,$N5)-1))+($I5*(SUMIFS(OBJECT_CONDITIONS!$P:$P,OBJECT_CONDITIONS!$A:$A,$N5)-1))+($J5*(SUMIFS(OBJECT_CONDITIONS!$R:$R,OBJECT_CONDITIONS!$A:$A,$N5)-1))+($K5*(SUMIFS(OBJECT_CONDITIONS!$T:$T,OBJECT_CONDITIONS!$A:$A,$N5)-1)),3))</f>
        <v>1.133</v>
      </c>
      <c r="P5" s="31" t="s">
        <v>761</v>
      </c>
    </row>
    <row r="6" ht="14.25" customHeight="1">
      <c r="A6" s="31"/>
      <c r="B6" s="31"/>
      <c r="C6" s="34"/>
      <c r="D6" s="34"/>
      <c r="E6" s="34"/>
      <c r="F6" s="34"/>
      <c r="G6" s="34"/>
      <c r="H6" s="34"/>
      <c r="I6" s="34"/>
      <c r="J6" s="34"/>
      <c r="K6" s="34"/>
      <c r="L6" s="31"/>
      <c r="M6" s="31"/>
      <c r="N6" s="31"/>
      <c r="O6" s="35" t="str">
        <f>IF($N6="","",ROUND(1+($C6*(SUMIFS(OBJECT_CONDITIONS!$D:$D,OBJECT_CONDITIONS!$A:$A,$N6)-1))+($D6*(SUMIFS(OBJECT_CONDITIONS!$F:$F,OBJECT_CONDITIONS!$A:$A,$N6)-1))+($E6*(SUMIFS(OBJECT_CONDITIONS!$H:$H,OBJECT_CONDITIONS!$A:$A,$N6)-1))+($F6*(SUMIFS(OBJECT_CONDITIONS!$J:$J,OBJECT_CONDITIONS!$A:$A,$N6)-1))+($G6*(SUMIFS(OBJECT_CONDITIONS!$L:$L,OBJECT_CONDITIONS!$A:$A,$N6)-1))+($H6*(SUMIFS(OBJECT_CONDITIONS!$N:$N,OBJECT_CONDITIONS!$A:$A,$N6)-1))+($I6*(SUMIFS(OBJECT_CONDITIONS!$P:$P,OBJECT_CONDITIONS!$A:$A,$N6)-1))+($J6*(SUMIFS(OBJECT_CONDITIONS!$R:$R,OBJECT_CONDITIONS!$A:$A,$N6)-1))+($K6*(SUMIFS(OBJECT_CONDITIONS!$T:$T,OBJECT_CONDITIONS!$A:$A,$N6)-1)),3))</f>
        <v/>
      </c>
      <c r="P6" s="31"/>
    </row>
    <row r="7" ht="14.25" customHeight="1">
      <c r="A7" s="31"/>
      <c r="B7" s="31"/>
      <c r="C7" s="34"/>
      <c r="D7" s="34"/>
      <c r="E7" s="34"/>
      <c r="F7" s="34"/>
      <c r="G7" s="34"/>
      <c r="H7" s="34"/>
      <c r="I7" s="34"/>
      <c r="J7" s="34"/>
      <c r="K7" s="34"/>
      <c r="L7" s="31"/>
      <c r="M7" s="31"/>
      <c r="N7" s="31"/>
      <c r="O7" s="35" t="str">
        <f>IF($N7="","",ROUND(1+($C7*(SUMIFS(OBJECT_CONDITIONS!$D:$D,OBJECT_CONDITIONS!$A:$A,$N7)-1))+($D7*(SUMIFS(OBJECT_CONDITIONS!$F:$F,OBJECT_CONDITIONS!$A:$A,$N7)-1))+($E7*(SUMIFS(OBJECT_CONDITIONS!$H:$H,OBJECT_CONDITIONS!$A:$A,$N7)-1))+($F7*(SUMIFS(OBJECT_CONDITIONS!$J:$J,OBJECT_CONDITIONS!$A:$A,$N7)-1))+($G7*(SUMIFS(OBJECT_CONDITIONS!$L:$L,OBJECT_CONDITIONS!$A:$A,$N7)-1))+($H7*(SUMIFS(OBJECT_CONDITIONS!$N:$N,OBJECT_CONDITIONS!$A:$A,$N7)-1))+($I7*(SUMIFS(OBJECT_CONDITIONS!$P:$P,OBJECT_CONDITIONS!$A:$A,$N7)-1))+($J7*(SUMIFS(OBJECT_CONDITIONS!$R:$R,OBJECT_CONDITIONS!$A:$A,$N7)-1))+($K7*(SUMIFS(OBJECT_CONDITIONS!$T:$T,OBJECT_CONDITIONS!$A:$A,$N7)-1)),3))</f>
        <v/>
      </c>
      <c r="P7" s="31"/>
    </row>
    <row r="8" ht="14.25" customHeight="1">
      <c r="A8" s="31"/>
      <c r="B8" s="31"/>
      <c r="C8" s="34"/>
      <c r="D8" s="34"/>
      <c r="E8" s="34"/>
      <c r="F8" s="34"/>
      <c r="G8" s="34"/>
      <c r="H8" s="34"/>
      <c r="I8" s="34"/>
      <c r="J8" s="34"/>
      <c r="K8" s="34"/>
      <c r="L8" s="31"/>
      <c r="M8" s="31"/>
      <c r="N8" s="31"/>
      <c r="O8" s="35" t="str">
        <f>IF($N8="","",ROUND(1+($C8*(SUMIFS(OBJECT_CONDITIONS!$D:$D,OBJECT_CONDITIONS!$A:$A,$N8)-1))+($D8*(SUMIFS(OBJECT_CONDITIONS!$F:$F,OBJECT_CONDITIONS!$A:$A,$N8)-1))+($E8*(SUMIFS(OBJECT_CONDITIONS!$H:$H,OBJECT_CONDITIONS!$A:$A,$N8)-1))+($F8*(SUMIFS(OBJECT_CONDITIONS!$J:$J,OBJECT_CONDITIONS!$A:$A,$N8)-1))+($G8*(SUMIFS(OBJECT_CONDITIONS!$L:$L,OBJECT_CONDITIONS!$A:$A,$N8)-1))+($H8*(SUMIFS(OBJECT_CONDITIONS!$N:$N,OBJECT_CONDITIONS!$A:$A,$N8)-1))+($I8*(SUMIFS(OBJECT_CONDITIONS!$P:$P,OBJECT_CONDITIONS!$A:$A,$N8)-1))+($J8*(SUMIFS(OBJECT_CONDITIONS!$R:$R,OBJECT_CONDITIONS!$A:$A,$N8)-1))+($K8*(SUMIFS(OBJECT_CONDITIONS!$T:$T,OBJECT_CONDITIONS!$A:$A,$N8)-1)),3))</f>
        <v/>
      </c>
      <c r="P8" s="31"/>
    </row>
    <row r="9" ht="14.25" customHeight="1">
      <c r="A9" s="31"/>
      <c r="B9" s="31"/>
      <c r="C9" s="34"/>
      <c r="D9" s="34"/>
      <c r="E9" s="34"/>
      <c r="F9" s="34"/>
      <c r="G9" s="34"/>
      <c r="H9" s="34"/>
      <c r="I9" s="34"/>
      <c r="J9" s="34"/>
      <c r="K9" s="34"/>
      <c r="L9" s="31"/>
      <c r="M9" s="31"/>
      <c r="N9" s="31"/>
      <c r="O9" s="35" t="str">
        <f>IF($N9="","",ROUND(1+($C9*(SUMIFS(OBJECT_CONDITIONS!$D:$D,OBJECT_CONDITIONS!$A:$A,$N9)-1))+($D9*(SUMIFS(OBJECT_CONDITIONS!$F:$F,OBJECT_CONDITIONS!$A:$A,$N9)-1))+($E9*(SUMIFS(OBJECT_CONDITIONS!$H:$H,OBJECT_CONDITIONS!$A:$A,$N9)-1))+($F9*(SUMIFS(OBJECT_CONDITIONS!$J:$J,OBJECT_CONDITIONS!$A:$A,$N9)-1))+($G9*(SUMIFS(OBJECT_CONDITIONS!$L:$L,OBJECT_CONDITIONS!$A:$A,$N9)-1))+($H9*(SUMIFS(OBJECT_CONDITIONS!$N:$N,OBJECT_CONDITIONS!$A:$A,$N9)-1))+($I9*(SUMIFS(OBJECT_CONDITIONS!$P:$P,OBJECT_CONDITIONS!$A:$A,$N9)-1))+($J9*(SUMIFS(OBJECT_CONDITIONS!$R:$R,OBJECT_CONDITIONS!$A:$A,$N9)-1))+($K9*(SUMIFS(OBJECT_CONDITIONS!$T:$T,OBJECT_CONDITIONS!$A:$A,$N9)-1)),3))</f>
        <v/>
      </c>
      <c r="P9" s="31"/>
    </row>
    <row r="10" ht="14.25" customHeight="1">
      <c r="A10" s="31"/>
      <c r="B10" s="31"/>
      <c r="C10" s="34"/>
      <c r="D10" s="34"/>
      <c r="E10" s="34"/>
      <c r="F10" s="34"/>
      <c r="G10" s="34"/>
      <c r="H10" s="34"/>
      <c r="I10" s="34"/>
      <c r="J10" s="34"/>
      <c r="K10" s="34"/>
      <c r="L10" s="31"/>
      <c r="M10" s="31"/>
      <c r="N10" s="31"/>
      <c r="O10" s="35" t="str">
        <f>IF($N10="","",ROUND(1+($C10*(SUMIFS(OBJECT_CONDITIONS!$D:$D,OBJECT_CONDITIONS!$A:$A,$N10)-1))+($D10*(SUMIFS(OBJECT_CONDITIONS!$F:$F,OBJECT_CONDITIONS!$A:$A,$N10)-1))+($E10*(SUMIFS(OBJECT_CONDITIONS!$H:$H,OBJECT_CONDITIONS!$A:$A,$N10)-1))+($F10*(SUMIFS(OBJECT_CONDITIONS!$J:$J,OBJECT_CONDITIONS!$A:$A,$N10)-1))+($G10*(SUMIFS(OBJECT_CONDITIONS!$L:$L,OBJECT_CONDITIONS!$A:$A,$N10)-1))+($H10*(SUMIFS(OBJECT_CONDITIONS!$N:$N,OBJECT_CONDITIONS!$A:$A,$N10)-1))+($I10*(SUMIFS(OBJECT_CONDITIONS!$P:$P,OBJECT_CONDITIONS!$A:$A,$N10)-1))+($J10*(SUMIFS(OBJECT_CONDITIONS!$R:$R,OBJECT_CONDITIONS!$A:$A,$N10)-1))+($K10*(SUMIFS(OBJECT_CONDITIONS!$T:$T,OBJECT_CONDITIONS!$A:$A,$N10)-1)),3))</f>
        <v/>
      </c>
      <c r="P10" s="31"/>
    </row>
    <row r="11" ht="14.25" customHeight="1">
      <c r="A11" s="31"/>
      <c r="B11" s="31"/>
      <c r="C11" s="34"/>
      <c r="D11" s="34"/>
      <c r="E11" s="34"/>
      <c r="F11" s="34"/>
      <c r="G11" s="34"/>
      <c r="H11" s="34"/>
      <c r="I11" s="34"/>
      <c r="J11" s="34"/>
      <c r="K11" s="34"/>
      <c r="L11" s="31"/>
      <c r="M11" s="31"/>
      <c r="N11" s="31"/>
      <c r="O11" s="35" t="str">
        <f>IF($N11="","",ROUND(1+($C11*(SUMIFS(OBJECT_CONDITIONS!$D:$D,OBJECT_CONDITIONS!$A:$A,$N11)-1))+($D11*(SUMIFS(OBJECT_CONDITIONS!$F:$F,OBJECT_CONDITIONS!$A:$A,$N11)-1))+($E11*(SUMIFS(OBJECT_CONDITIONS!$H:$H,OBJECT_CONDITIONS!$A:$A,$N11)-1))+($F11*(SUMIFS(OBJECT_CONDITIONS!$J:$J,OBJECT_CONDITIONS!$A:$A,$N11)-1))+($G11*(SUMIFS(OBJECT_CONDITIONS!$L:$L,OBJECT_CONDITIONS!$A:$A,$N11)-1))+($H11*(SUMIFS(OBJECT_CONDITIONS!$N:$N,OBJECT_CONDITIONS!$A:$A,$N11)-1))+($I11*(SUMIFS(OBJECT_CONDITIONS!$P:$P,OBJECT_CONDITIONS!$A:$A,$N11)-1))+($J11*(SUMIFS(OBJECT_CONDITIONS!$R:$R,OBJECT_CONDITIONS!$A:$A,$N11)-1))+($K11*(SUMIFS(OBJECT_CONDITIONS!$T:$T,OBJECT_CONDITIONS!$A:$A,$N11)-1)),3))</f>
        <v/>
      </c>
      <c r="P11" s="31"/>
    </row>
    <row r="12" ht="14.25" customHeight="1">
      <c r="A12" s="31"/>
      <c r="B12" s="31"/>
      <c r="C12" s="34"/>
      <c r="D12" s="34"/>
      <c r="E12" s="34"/>
      <c r="F12" s="34"/>
      <c r="G12" s="34"/>
      <c r="H12" s="34"/>
      <c r="I12" s="34"/>
      <c r="J12" s="34"/>
      <c r="K12" s="34"/>
      <c r="L12" s="31"/>
      <c r="M12" s="31"/>
      <c r="N12" s="31"/>
      <c r="O12" s="35" t="str">
        <f>IF($N12="","",ROUND(1+($C12*(SUMIFS(OBJECT_CONDITIONS!$D:$D,OBJECT_CONDITIONS!$A:$A,$N12)-1))+($D12*(SUMIFS(OBJECT_CONDITIONS!$F:$F,OBJECT_CONDITIONS!$A:$A,$N12)-1))+($E12*(SUMIFS(OBJECT_CONDITIONS!$H:$H,OBJECT_CONDITIONS!$A:$A,$N12)-1))+($F12*(SUMIFS(OBJECT_CONDITIONS!$J:$J,OBJECT_CONDITIONS!$A:$A,$N12)-1))+($G12*(SUMIFS(OBJECT_CONDITIONS!$L:$L,OBJECT_CONDITIONS!$A:$A,$N12)-1))+($H12*(SUMIFS(OBJECT_CONDITIONS!$N:$N,OBJECT_CONDITIONS!$A:$A,$N12)-1))+($I12*(SUMIFS(OBJECT_CONDITIONS!$P:$P,OBJECT_CONDITIONS!$A:$A,$N12)-1))+($J12*(SUMIFS(OBJECT_CONDITIONS!$R:$R,OBJECT_CONDITIONS!$A:$A,$N12)-1))+($K12*(SUMIFS(OBJECT_CONDITIONS!$T:$T,OBJECT_CONDITIONS!$A:$A,$N12)-1)),3))</f>
        <v/>
      </c>
      <c r="P12" s="31"/>
    </row>
    <row r="13" ht="14.25" customHeight="1">
      <c r="A13" s="31"/>
      <c r="B13" s="31"/>
      <c r="C13" s="34"/>
      <c r="D13" s="34"/>
      <c r="E13" s="34"/>
      <c r="F13" s="34"/>
      <c r="G13" s="34"/>
      <c r="H13" s="34"/>
      <c r="I13" s="34"/>
      <c r="J13" s="34"/>
      <c r="K13" s="34"/>
      <c r="L13" s="31"/>
      <c r="M13" s="31"/>
      <c r="N13" s="31"/>
      <c r="O13" s="35" t="str">
        <f>IF($N13="","",ROUND(1+($C13*(SUMIFS(OBJECT_CONDITIONS!$D:$D,OBJECT_CONDITIONS!$A:$A,$N13)-1))+($D13*(SUMIFS(OBJECT_CONDITIONS!$F:$F,OBJECT_CONDITIONS!$A:$A,$N13)-1))+($E13*(SUMIFS(OBJECT_CONDITIONS!$H:$H,OBJECT_CONDITIONS!$A:$A,$N13)-1))+($F13*(SUMIFS(OBJECT_CONDITIONS!$J:$J,OBJECT_CONDITIONS!$A:$A,$N13)-1))+($G13*(SUMIFS(OBJECT_CONDITIONS!$L:$L,OBJECT_CONDITIONS!$A:$A,$N13)-1))+($H13*(SUMIFS(OBJECT_CONDITIONS!$N:$N,OBJECT_CONDITIONS!$A:$A,$N13)-1))+($I13*(SUMIFS(OBJECT_CONDITIONS!$P:$P,OBJECT_CONDITIONS!$A:$A,$N13)-1))+($J13*(SUMIFS(OBJECT_CONDITIONS!$R:$R,OBJECT_CONDITIONS!$A:$A,$N13)-1))+($K13*(SUMIFS(OBJECT_CONDITIONS!$T:$T,OBJECT_CONDITIONS!$A:$A,$N13)-1)),3))</f>
        <v/>
      </c>
      <c r="P13" s="31"/>
    </row>
    <row r="14" ht="14.25" customHeight="1">
      <c r="A14" s="31"/>
      <c r="B14" s="31"/>
      <c r="C14" s="34"/>
      <c r="D14" s="34"/>
      <c r="E14" s="34"/>
      <c r="F14" s="34"/>
      <c r="G14" s="34"/>
      <c r="H14" s="34"/>
      <c r="I14" s="34"/>
      <c r="J14" s="34"/>
      <c r="K14" s="34"/>
      <c r="L14" s="31"/>
      <c r="M14" s="31"/>
      <c r="N14" s="31"/>
      <c r="O14" s="35" t="str">
        <f>IF($N14="","",ROUND(1+($C14*(SUMIFS(OBJECT_CONDITIONS!$D:$D,OBJECT_CONDITIONS!$A:$A,$N14)-1))+($D14*(SUMIFS(OBJECT_CONDITIONS!$F:$F,OBJECT_CONDITIONS!$A:$A,$N14)-1))+($E14*(SUMIFS(OBJECT_CONDITIONS!$H:$H,OBJECT_CONDITIONS!$A:$A,$N14)-1))+($F14*(SUMIFS(OBJECT_CONDITIONS!$J:$J,OBJECT_CONDITIONS!$A:$A,$N14)-1))+($G14*(SUMIFS(OBJECT_CONDITIONS!$L:$L,OBJECT_CONDITIONS!$A:$A,$N14)-1))+($H14*(SUMIFS(OBJECT_CONDITIONS!$N:$N,OBJECT_CONDITIONS!$A:$A,$N14)-1))+($I14*(SUMIFS(OBJECT_CONDITIONS!$P:$P,OBJECT_CONDITIONS!$A:$A,$N14)-1))+($J14*(SUMIFS(OBJECT_CONDITIONS!$R:$R,OBJECT_CONDITIONS!$A:$A,$N14)-1))+($K14*(SUMIFS(OBJECT_CONDITIONS!$T:$T,OBJECT_CONDITIONS!$A:$A,$N14)-1)),3))</f>
        <v/>
      </c>
      <c r="P14" s="31"/>
    </row>
    <row r="15" ht="14.25" customHeight="1">
      <c r="A15" s="31"/>
      <c r="B15" s="31"/>
      <c r="C15" s="34"/>
      <c r="D15" s="34"/>
      <c r="E15" s="34"/>
      <c r="F15" s="34"/>
      <c r="G15" s="34"/>
      <c r="H15" s="34"/>
      <c r="I15" s="34"/>
      <c r="J15" s="34"/>
      <c r="K15" s="34"/>
      <c r="L15" s="31"/>
      <c r="M15" s="31"/>
      <c r="N15" s="31"/>
      <c r="O15" s="35" t="str">
        <f>IF($N15="","",ROUND(1+($C15*(SUMIFS(OBJECT_CONDITIONS!$D:$D,OBJECT_CONDITIONS!$A:$A,$N15)-1))+($D15*(SUMIFS(OBJECT_CONDITIONS!$F:$F,OBJECT_CONDITIONS!$A:$A,$N15)-1))+($E15*(SUMIFS(OBJECT_CONDITIONS!$H:$H,OBJECT_CONDITIONS!$A:$A,$N15)-1))+($F15*(SUMIFS(OBJECT_CONDITIONS!$J:$J,OBJECT_CONDITIONS!$A:$A,$N15)-1))+($G15*(SUMIFS(OBJECT_CONDITIONS!$L:$L,OBJECT_CONDITIONS!$A:$A,$N15)-1))+($H15*(SUMIFS(OBJECT_CONDITIONS!$N:$N,OBJECT_CONDITIONS!$A:$A,$N15)-1))+($I15*(SUMIFS(OBJECT_CONDITIONS!$P:$P,OBJECT_CONDITIONS!$A:$A,$N15)-1))+($J15*(SUMIFS(OBJECT_CONDITIONS!$R:$R,OBJECT_CONDITIONS!$A:$A,$N15)-1))+($K15*(SUMIFS(OBJECT_CONDITIONS!$T:$T,OBJECT_CONDITIONS!$A:$A,$N15)-1)),3))</f>
        <v/>
      </c>
      <c r="P15" s="31"/>
    </row>
    <row r="16" ht="14.25" customHeight="1">
      <c r="A16" s="31"/>
      <c r="B16" s="31"/>
      <c r="C16" s="34"/>
      <c r="D16" s="34"/>
      <c r="E16" s="34"/>
      <c r="F16" s="34"/>
      <c r="G16" s="34"/>
      <c r="H16" s="34"/>
      <c r="I16" s="34"/>
      <c r="J16" s="34"/>
      <c r="K16" s="34"/>
      <c r="L16" s="31"/>
      <c r="M16" s="31"/>
      <c r="N16" s="31"/>
      <c r="O16" s="35" t="str">
        <f>IF($N16="","",ROUND(1+($C16*(SUMIFS(OBJECT_CONDITIONS!$D:$D,OBJECT_CONDITIONS!$A:$A,$N16)-1))+($D16*(SUMIFS(OBJECT_CONDITIONS!$F:$F,OBJECT_CONDITIONS!$A:$A,$N16)-1))+($E16*(SUMIFS(OBJECT_CONDITIONS!$H:$H,OBJECT_CONDITIONS!$A:$A,$N16)-1))+($F16*(SUMIFS(OBJECT_CONDITIONS!$J:$J,OBJECT_CONDITIONS!$A:$A,$N16)-1))+($G16*(SUMIFS(OBJECT_CONDITIONS!$L:$L,OBJECT_CONDITIONS!$A:$A,$N16)-1))+($H16*(SUMIFS(OBJECT_CONDITIONS!$N:$N,OBJECT_CONDITIONS!$A:$A,$N16)-1))+($I16*(SUMIFS(OBJECT_CONDITIONS!$P:$P,OBJECT_CONDITIONS!$A:$A,$N16)-1))+($J16*(SUMIFS(OBJECT_CONDITIONS!$R:$R,OBJECT_CONDITIONS!$A:$A,$N16)-1))+($K16*(SUMIFS(OBJECT_CONDITIONS!$T:$T,OBJECT_CONDITIONS!$A:$A,$N16)-1)),3))</f>
        <v/>
      </c>
      <c r="P16" s="31"/>
    </row>
    <row r="17" ht="14.25" customHeight="1">
      <c r="A17" s="31"/>
      <c r="B17" s="31"/>
      <c r="C17" s="34"/>
      <c r="D17" s="34"/>
      <c r="E17" s="34"/>
      <c r="F17" s="34"/>
      <c r="G17" s="34"/>
      <c r="H17" s="34"/>
      <c r="I17" s="34"/>
      <c r="J17" s="34"/>
      <c r="K17" s="34"/>
      <c r="L17" s="31"/>
      <c r="M17" s="31"/>
      <c r="N17" s="31"/>
      <c r="O17" s="35" t="str">
        <f>IF($N17="","",ROUND(1+($C17*(SUMIFS(OBJECT_CONDITIONS!$D:$D,OBJECT_CONDITIONS!$A:$A,$N17)-1))+($D17*(SUMIFS(OBJECT_CONDITIONS!$F:$F,OBJECT_CONDITIONS!$A:$A,$N17)-1))+($E17*(SUMIFS(OBJECT_CONDITIONS!$H:$H,OBJECT_CONDITIONS!$A:$A,$N17)-1))+($F17*(SUMIFS(OBJECT_CONDITIONS!$J:$J,OBJECT_CONDITIONS!$A:$A,$N17)-1))+($G17*(SUMIFS(OBJECT_CONDITIONS!$L:$L,OBJECT_CONDITIONS!$A:$A,$N17)-1))+($H17*(SUMIFS(OBJECT_CONDITIONS!$N:$N,OBJECT_CONDITIONS!$A:$A,$N17)-1))+($I17*(SUMIFS(OBJECT_CONDITIONS!$P:$P,OBJECT_CONDITIONS!$A:$A,$N17)-1))+($J17*(SUMIFS(OBJECT_CONDITIONS!$R:$R,OBJECT_CONDITIONS!$A:$A,$N17)-1))+($K17*(SUMIFS(OBJECT_CONDITIONS!$T:$T,OBJECT_CONDITIONS!$A:$A,$N17)-1)),3))</f>
        <v/>
      </c>
      <c r="P17" s="31"/>
    </row>
    <row r="18" ht="14.25" customHeight="1">
      <c r="A18" s="31"/>
      <c r="B18" s="31"/>
      <c r="C18" s="34"/>
      <c r="D18" s="34"/>
      <c r="E18" s="34"/>
      <c r="F18" s="34"/>
      <c r="G18" s="34"/>
      <c r="H18" s="34"/>
      <c r="I18" s="34"/>
      <c r="J18" s="34"/>
      <c r="K18" s="34"/>
      <c r="L18" s="31"/>
      <c r="M18" s="31"/>
      <c r="N18" s="31"/>
      <c r="O18" s="35" t="str">
        <f>IF($N18="","",ROUND(1+($C18*(SUMIFS(OBJECT_CONDITIONS!$D:$D,OBJECT_CONDITIONS!$A:$A,$N18)-1))+($D18*(SUMIFS(OBJECT_CONDITIONS!$F:$F,OBJECT_CONDITIONS!$A:$A,$N18)-1))+($E18*(SUMIFS(OBJECT_CONDITIONS!$H:$H,OBJECT_CONDITIONS!$A:$A,$N18)-1))+($F18*(SUMIFS(OBJECT_CONDITIONS!$J:$J,OBJECT_CONDITIONS!$A:$A,$N18)-1))+($G18*(SUMIFS(OBJECT_CONDITIONS!$L:$L,OBJECT_CONDITIONS!$A:$A,$N18)-1))+($H18*(SUMIFS(OBJECT_CONDITIONS!$N:$N,OBJECT_CONDITIONS!$A:$A,$N18)-1))+($I18*(SUMIFS(OBJECT_CONDITIONS!$P:$P,OBJECT_CONDITIONS!$A:$A,$N18)-1))+($J18*(SUMIFS(OBJECT_CONDITIONS!$R:$R,OBJECT_CONDITIONS!$A:$A,$N18)-1))+($K18*(SUMIFS(OBJECT_CONDITIONS!$T:$T,OBJECT_CONDITIONS!$A:$A,$N18)-1)),3))</f>
        <v/>
      </c>
      <c r="P18" s="31"/>
    </row>
    <row r="19" ht="14.25" customHeight="1">
      <c r="A19" s="31"/>
      <c r="B19" s="31"/>
      <c r="C19" s="34"/>
      <c r="D19" s="34"/>
      <c r="E19" s="34"/>
      <c r="F19" s="34"/>
      <c r="G19" s="34"/>
      <c r="H19" s="34"/>
      <c r="I19" s="34"/>
      <c r="J19" s="34"/>
      <c r="K19" s="34"/>
      <c r="L19" s="31"/>
      <c r="M19" s="31"/>
      <c r="N19" s="31"/>
      <c r="O19" s="35" t="str">
        <f>IF($N19="","",ROUND(1+($C19*(SUMIFS(OBJECT_CONDITIONS!$D:$D,OBJECT_CONDITIONS!$A:$A,$N19)-1))+($D19*(SUMIFS(OBJECT_CONDITIONS!$F:$F,OBJECT_CONDITIONS!$A:$A,$N19)-1))+($E19*(SUMIFS(OBJECT_CONDITIONS!$H:$H,OBJECT_CONDITIONS!$A:$A,$N19)-1))+($F19*(SUMIFS(OBJECT_CONDITIONS!$J:$J,OBJECT_CONDITIONS!$A:$A,$N19)-1))+($G19*(SUMIFS(OBJECT_CONDITIONS!$L:$L,OBJECT_CONDITIONS!$A:$A,$N19)-1))+($H19*(SUMIFS(OBJECT_CONDITIONS!$N:$N,OBJECT_CONDITIONS!$A:$A,$N19)-1))+($I19*(SUMIFS(OBJECT_CONDITIONS!$P:$P,OBJECT_CONDITIONS!$A:$A,$N19)-1))+($J19*(SUMIFS(OBJECT_CONDITIONS!$R:$R,OBJECT_CONDITIONS!$A:$A,$N19)-1))+($K19*(SUMIFS(OBJECT_CONDITIONS!$T:$T,OBJECT_CONDITIONS!$A:$A,$N19)-1)),3))</f>
        <v/>
      </c>
      <c r="P19" s="31"/>
    </row>
    <row r="20" ht="14.25" customHeight="1">
      <c r="A20" s="31"/>
      <c r="B20" s="31"/>
      <c r="C20" s="34"/>
      <c r="D20" s="34"/>
      <c r="E20" s="34"/>
      <c r="F20" s="34"/>
      <c r="G20" s="34"/>
      <c r="H20" s="34"/>
      <c r="I20" s="34"/>
      <c r="J20" s="34"/>
      <c r="K20" s="34"/>
      <c r="L20" s="31"/>
      <c r="M20" s="31"/>
      <c r="N20" s="31"/>
      <c r="O20" s="35" t="str">
        <f>IF($N20="","",ROUND(1+($C20*(SUMIFS(OBJECT_CONDITIONS!$D:$D,OBJECT_CONDITIONS!$A:$A,$N20)-1))+($D20*(SUMIFS(OBJECT_CONDITIONS!$F:$F,OBJECT_CONDITIONS!$A:$A,$N20)-1))+($E20*(SUMIFS(OBJECT_CONDITIONS!$H:$H,OBJECT_CONDITIONS!$A:$A,$N20)-1))+($F20*(SUMIFS(OBJECT_CONDITIONS!$J:$J,OBJECT_CONDITIONS!$A:$A,$N20)-1))+($G20*(SUMIFS(OBJECT_CONDITIONS!$L:$L,OBJECT_CONDITIONS!$A:$A,$N20)-1))+($H20*(SUMIFS(OBJECT_CONDITIONS!$N:$N,OBJECT_CONDITIONS!$A:$A,$N20)-1))+($I20*(SUMIFS(OBJECT_CONDITIONS!$P:$P,OBJECT_CONDITIONS!$A:$A,$N20)-1))+($J20*(SUMIFS(OBJECT_CONDITIONS!$R:$R,OBJECT_CONDITIONS!$A:$A,$N20)-1))+($K20*(SUMIFS(OBJECT_CONDITIONS!$T:$T,OBJECT_CONDITIONS!$A:$A,$N20)-1)),3))</f>
        <v/>
      </c>
      <c r="P20" s="31"/>
    </row>
    <row r="21" ht="14.25" customHeight="1">
      <c r="A21" s="31"/>
      <c r="B21" s="31"/>
      <c r="C21" s="34"/>
      <c r="D21" s="34"/>
      <c r="E21" s="34"/>
      <c r="F21" s="34"/>
      <c r="G21" s="34"/>
      <c r="H21" s="34"/>
      <c r="I21" s="34"/>
      <c r="J21" s="34"/>
      <c r="K21" s="34"/>
      <c r="L21" s="31"/>
      <c r="M21" s="31"/>
      <c r="N21" s="31"/>
      <c r="O21" s="35" t="str">
        <f>IF($N21="","",ROUND(1+($C21*(SUMIFS(OBJECT_CONDITIONS!$D:$D,OBJECT_CONDITIONS!$A:$A,$N21)-1))+($D21*(SUMIFS(OBJECT_CONDITIONS!$F:$F,OBJECT_CONDITIONS!$A:$A,$N21)-1))+($E21*(SUMIFS(OBJECT_CONDITIONS!$H:$H,OBJECT_CONDITIONS!$A:$A,$N21)-1))+($F21*(SUMIFS(OBJECT_CONDITIONS!$J:$J,OBJECT_CONDITIONS!$A:$A,$N21)-1))+($G21*(SUMIFS(OBJECT_CONDITIONS!$L:$L,OBJECT_CONDITIONS!$A:$A,$N21)-1))+($H21*(SUMIFS(OBJECT_CONDITIONS!$N:$N,OBJECT_CONDITIONS!$A:$A,$N21)-1))+($I21*(SUMIFS(OBJECT_CONDITIONS!$P:$P,OBJECT_CONDITIONS!$A:$A,$N21)-1))+($J21*(SUMIFS(OBJECT_CONDITIONS!$R:$R,OBJECT_CONDITIONS!$A:$A,$N21)-1))+($K21*(SUMIFS(OBJECT_CONDITIONS!$T:$T,OBJECT_CONDITIONS!$A:$A,$N21)-1)),3))</f>
        <v/>
      </c>
      <c r="P21" s="31"/>
    </row>
    <row r="22" ht="14.25" customHeight="1">
      <c r="A22" s="31"/>
      <c r="B22" s="31"/>
      <c r="C22" s="34"/>
      <c r="D22" s="34"/>
      <c r="E22" s="34"/>
      <c r="F22" s="34"/>
      <c r="G22" s="34"/>
      <c r="H22" s="34"/>
      <c r="I22" s="34"/>
      <c r="J22" s="34"/>
      <c r="K22" s="34"/>
      <c r="L22" s="31"/>
      <c r="M22" s="31"/>
      <c r="N22" s="31"/>
      <c r="O22" s="35" t="str">
        <f>IF($N22="","",ROUND(1+($C22*(SUMIFS(OBJECT_CONDITIONS!$D:$D,OBJECT_CONDITIONS!$A:$A,$N22)-1))+($D22*(SUMIFS(OBJECT_CONDITIONS!$F:$F,OBJECT_CONDITIONS!$A:$A,$N22)-1))+($E22*(SUMIFS(OBJECT_CONDITIONS!$H:$H,OBJECT_CONDITIONS!$A:$A,$N22)-1))+($F22*(SUMIFS(OBJECT_CONDITIONS!$J:$J,OBJECT_CONDITIONS!$A:$A,$N22)-1))+($G22*(SUMIFS(OBJECT_CONDITIONS!$L:$L,OBJECT_CONDITIONS!$A:$A,$N22)-1))+($H22*(SUMIFS(OBJECT_CONDITIONS!$N:$N,OBJECT_CONDITIONS!$A:$A,$N22)-1))+($I22*(SUMIFS(OBJECT_CONDITIONS!$P:$P,OBJECT_CONDITIONS!$A:$A,$N22)-1))+($J22*(SUMIFS(OBJECT_CONDITIONS!$R:$R,OBJECT_CONDITIONS!$A:$A,$N22)-1))+($K22*(SUMIFS(OBJECT_CONDITIONS!$T:$T,OBJECT_CONDITIONS!$A:$A,$N22)-1)),3))</f>
        <v/>
      </c>
      <c r="P22" s="31"/>
    </row>
    <row r="23" ht="14.25" customHeight="1">
      <c r="A23" s="31"/>
      <c r="B23" s="31"/>
      <c r="C23" s="34"/>
      <c r="D23" s="34"/>
      <c r="E23" s="34"/>
      <c r="F23" s="34"/>
      <c r="G23" s="34"/>
      <c r="H23" s="34"/>
      <c r="I23" s="34"/>
      <c r="J23" s="34"/>
      <c r="K23" s="34"/>
      <c r="L23" s="31"/>
      <c r="M23" s="31"/>
      <c r="N23" s="31"/>
      <c r="O23" s="35" t="str">
        <f>IF($N23="","",ROUND(1+($C23*(SUMIFS(OBJECT_CONDITIONS!$D:$D,OBJECT_CONDITIONS!$A:$A,$N23)-1))+($D23*(SUMIFS(OBJECT_CONDITIONS!$F:$F,OBJECT_CONDITIONS!$A:$A,$N23)-1))+($E23*(SUMIFS(OBJECT_CONDITIONS!$H:$H,OBJECT_CONDITIONS!$A:$A,$N23)-1))+($F23*(SUMIFS(OBJECT_CONDITIONS!$J:$J,OBJECT_CONDITIONS!$A:$A,$N23)-1))+($G23*(SUMIFS(OBJECT_CONDITIONS!$L:$L,OBJECT_CONDITIONS!$A:$A,$N23)-1))+($H23*(SUMIFS(OBJECT_CONDITIONS!$N:$N,OBJECT_CONDITIONS!$A:$A,$N23)-1))+($I23*(SUMIFS(OBJECT_CONDITIONS!$P:$P,OBJECT_CONDITIONS!$A:$A,$N23)-1))+($J23*(SUMIFS(OBJECT_CONDITIONS!$R:$R,OBJECT_CONDITIONS!$A:$A,$N23)-1))+($K23*(SUMIFS(OBJECT_CONDITIONS!$T:$T,OBJECT_CONDITIONS!$A:$A,$N23)-1)),3))</f>
        <v/>
      </c>
      <c r="P23" s="31"/>
    </row>
    <row r="24" ht="14.25" customHeight="1">
      <c r="A24" s="31"/>
      <c r="B24" s="31"/>
      <c r="C24" s="34"/>
      <c r="D24" s="34"/>
      <c r="E24" s="34"/>
      <c r="F24" s="34"/>
      <c r="G24" s="34"/>
      <c r="H24" s="34"/>
      <c r="I24" s="34"/>
      <c r="J24" s="34"/>
      <c r="K24" s="34"/>
      <c r="L24" s="31"/>
      <c r="M24" s="31"/>
      <c r="N24" s="31"/>
      <c r="O24" s="35" t="str">
        <f>IF($N24="","",ROUND(1+($C24*(SUMIFS(OBJECT_CONDITIONS!$D:$D,OBJECT_CONDITIONS!$A:$A,$N24)-1))+($D24*(SUMIFS(OBJECT_CONDITIONS!$F:$F,OBJECT_CONDITIONS!$A:$A,$N24)-1))+($E24*(SUMIFS(OBJECT_CONDITIONS!$H:$H,OBJECT_CONDITIONS!$A:$A,$N24)-1))+($F24*(SUMIFS(OBJECT_CONDITIONS!$J:$J,OBJECT_CONDITIONS!$A:$A,$N24)-1))+($G24*(SUMIFS(OBJECT_CONDITIONS!$L:$L,OBJECT_CONDITIONS!$A:$A,$N24)-1))+($H24*(SUMIFS(OBJECT_CONDITIONS!$N:$N,OBJECT_CONDITIONS!$A:$A,$N24)-1))+($I24*(SUMIFS(OBJECT_CONDITIONS!$P:$P,OBJECT_CONDITIONS!$A:$A,$N24)-1))+($J24*(SUMIFS(OBJECT_CONDITIONS!$R:$R,OBJECT_CONDITIONS!$A:$A,$N24)-1))+($K24*(SUMIFS(OBJECT_CONDITIONS!$T:$T,OBJECT_CONDITIONS!$A:$A,$N24)-1)),3))</f>
        <v/>
      </c>
      <c r="P24" s="31"/>
    </row>
    <row r="25" ht="14.25" customHeight="1">
      <c r="A25" s="31"/>
      <c r="B25" s="31"/>
      <c r="C25" s="34"/>
      <c r="D25" s="34"/>
      <c r="E25" s="34"/>
      <c r="F25" s="34"/>
      <c r="G25" s="34"/>
      <c r="H25" s="34"/>
      <c r="I25" s="34"/>
      <c r="J25" s="34"/>
      <c r="K25" s="34"/>
      <c r="L25" s="31"/>
      <c r="M25" s="31"/>
      <c r="N25" s="31"/>
      <c r="O25" s="35" t="str">
        <f>IF($N25="","",ROUND(1+($C25*(SUMIFS(OBJECT_CONDITIONS!$D:$D,OBJECT_CONDITIONS!$A:$A,$N25)-1))+($D25*(SUMIFS(OBJECT_CONDITIONS!$F:$F,OBJECT_CONDITIONS!$A:$A,$N25)-1))+($E25*(SUMIFS(OBJECT_CONDITIONS!$H:$H,OBJECT_CONDITIONS!$A:$A,$N25)-1))+($F25*(SUMIFS(OBJECT_CONDITIONS!$J:$J,OBJECT_CONDITIONS!$A:$A,$N25)-1))+($G25*(SUMIFS(OBJECT_CONDITIONS!$L:$L,OBJECT_CONDITIONS!$A:$A,$N25)-1))+($H25*(SUMIFS(OBJECT_CONDITIONS!$N:$N,OBJECT_CONDITIONS!$A:$A,$N25)-1))+($I25*(SUMIFS(OBJECT_CONDITIONS!$P:$P,OBJECT_CONDITIONS!$A:$A,$N25)-1))+($J25*(SUMIFS(OBJECT_CONDITIONS!$R:$R,OBJECT_CONDITIONS!$A:$A,$N25)-1))+($K25*(SUMIFS(OBJECT_CONDITIONS!$T:$T,OBJECT_CONDITIONS!$A:$A,$N25)-1)),3))</f>
        <v/>
      </c>
      <c r="P25" s="31"/>
    </row>
    <row r="26" ht="14.25" customHeight="1">
      <c r="A26" s="31"/>
      <c r="B26" s="31"/>
      <c r="C26" s="34"/>
      <c r="D26" s="34"/>
      <c r="E26" s="34"/>
      <c r="F26" s="34"/>
      <c r="G26" s="34"/>
      <c r="H26" s="34"/>
      <c r="I26" s="34"/>
      <c r="J26" s="34"/>
      <c r="K26" s="34"/>
      <c r="L26" s="31"/>
      <c r="M26" s="31"/>
      <c r="N26" s="31"/>
      <c r="O26" s="35" t="str">
        <f>IF($N26="","",ROUND(1+($C26*(SUMIFS(OBJECT_CONDITIONS!$D:$D,OBJECT_CONDITIONS!$A:$A,$N26)-1))+($D26*(SUMIFS(OBJECT_CONDITIONS!$F:$F,OBJECT_CONDITIONS!$A:$A,$N26)-1))+($E26*(SUMIFS(OBJECT_CONDITIONS!$H:$H,OBJECT_CONDITIONS!$A:$A,$N26)-1))+($F26*(SUMIFS(OBJECT_CONDITIONS!$J:$J,OBJECT_CONDITIONS!$A:$A,$N26)-1))+($G26*(SUMIFS(OBJECT_CONDITIONS!$L:$L,OBJECT_CONDITIONS!$A:$A,$N26)-1))+($H26*(SUMIFS(OBJECT_CONDITIONS!$N:$N,OBJECT_CONDITIONS!$A:$A,$N26)-1))+($I26*(SUMIFS(OBJECT_CONDITIONS!$P:$P,OBJECT_CONDITIONS!$A:$A,$N26)-1))+($J26*(SUMIFS(OBJECT_CONDITIONS!$R:$R,OBJECT_CONDITIONS!$A:$A,$N26)-1))+($K26*(SUMIFS(OBJECT_CONDITIONS!$T:$T,OBJECT_CONDITIONS!$A:$A,$N26)-1)),3))</f>
        <v/>
      </c>
      <c r="P26" s="31"/>
    </row>
    <row r="27" ht="14.25" customHeight="1">
      <c r="A27" s="31"/>
      <c r="B27" s="31"/>
      <c r="C27" s="34"/>
      <c r="D27" s="34"/>
      <c r="E27" s="34"/>
      <c r="F27" s="34"/>
      <c r="G27" s="34"/>
      <c r="H27" s="34"/>
      <c r="I27" s="34"/>
      <c r="J27" s="34"/>
      <c r="K27" s="34"/>
      <c r="L27" s="31"/>
      <c r="M27" s="31"/>
      <c r="N27" s="31"/>
      <c r="O27" s="35" t="str">
        <f>IF($N27="","",ROUND(1+($C27*(SUMIFS(OBJECT_CONDITIONS!$D:$D,OBJECT_CONDITIONS!$A:$A,$N27)-1))+($D27*(SUMIFS(OBJECT_CONDITIONS!$F:$F,OBJECT_CONDITIONS!$A:$A,$N27)-1))+($E27*(SUMIFS(OBJECT_CONDITIONS!$H:$H,OBJECT_CONDITIONS!$A:$A,$N27)-1))+($F27*(SUMIFS(OBJECT_CONDITIONS!$J:$J,OBJECT_CONDITIONS!$A:$A,$N27)-1))+($G27*(SUMIFS(OBJECT_CONDITIONS!$L:$L,OBJECT_CONDITIONS!$A:$A,$N27)-1))+($H27*(SUMIFS(OBJECT_CONDITIONS!$N:$N,OBJECT_CONDITIONS!$A:$A,$N27)-1))+($I27*(SUMIFS(OBJECT_CONDITIONS!$P:$P,OBJECT_CONDITIONS!$A:$A,$N27)-1))+($J27*(SUMIFS(OBJECT_CONDITIONS!$R:$R,OBJECT_CONDITIONS!$A:$A,$N27)-1))+($K27*(SUMIFS(OBJECT_CONDITIONS!$T:$T,OBJECT_CONDITIONS!$A:$A,$N27)-1)),3))</f>
        <v/>
      </c>
      <c r="P27" s="31"/>
    </row>
    <row r="28" ht="14.25" customHeight="1">
      <c r="A28" s="31"/>
      <c r="B28" s="31"/>
      <c r="C28" s="34"/>
      <c r="D28" s="34"/>
      <c r="E28" s="34"/>
      <c r="F28" s="34"/>
      <c r="G28" s="34"/>
      <c r="H28" s="34"/>
      <c r="I28" s="34"/>
      <c r="J28" s="34"/>
      <c r="K28" s="34"/>
      <c r="L28" s="31"/>
      <c r="M28" s="31"/>
      <c r="N28" s="31"/>
      <c r="O28" s="35" t="str">
        <f>IF($N28="","",ROUND(1+($C28*(SUMIFS(OBJECT_CONDITIONS!$D:$D,OBJECT_CONDITIONS!$A:$A,$N28)-1))+($D28*(SUMIFS(OBJECT_CONDITIONS!$F:$F,OBJECT_CONDITIONS!$A:$A,$N28)-1))+($E28*(SUMIFS(OBJECT_CONDITIONS!$H:$H,OBJECT_CONDITIONS!$A:$A,$N28)-1))+($F28*(SUMIFS(OBJECT_CONDITIONS!$J:$J,OBJECT_CONDITIONS!$A:$A,$N28)-1))+($G28*(SUMIFS(OBJECT_CONDITIONS!$L:$L,OBJECT_CONDITIONS!$A:$A,$N28)-1))+($H28*(SUMIFS(OBJECT_CONDITIONS!$N:$N,OBJECT_CONDITIONS!$A:$A,$N28)-1))+($I28*(SUMIFS(OBJECT_CONDITIONS!$P:$P,OBJECT_CONDITIONS!$A:$A,$N28)-1))+($J28*(SUMIFS(OBJECT_CONDITIONS!$R:$R,OBJECT_CONDITIONS!$A:$A,$N28)-1))+($K28*(SUMIFS(OBJECT_CONDITIONS!$T:$T,OBJECT_CONDITIONS!$A:$A,$N28)-1)),3))</f>
        <v/>
      </c>
      <c r="P28" s="31"/>
    </row>
    <row r="29" ht="14.25" customHeight="1">
      <c r="A29" s="31"/>
      <c r="B29" s="31"/>
      <c r="C29" s="34"/>
      <c r="D29" s="34"/>
      <c r="E29" s="34"/>
      <c r="F29" s="34"/>
      <c r="G29" s="34"/>
      <c r="H29" s="34"/>
      <c r="I29" s="34"/>
      <c r="J29" s="34"/>
      <c r="K29" s="34"/>
      <c r="L29" s="31"/>
      <c r="M29" s="31"/>
      <c r="N29" s="31"/>
      <c r="O29" s="35" t="str">
        <f>IF($N29="","",ROUND(1+($C29*(SUMIFS(OBJECT_CONDITIONS!$D:$D,OBJECT_CONDITIONS!$A:$A,$N29)-1))+($D29*(SUMIFS(OBJECT_CONDITIONS!$F:$F,OBJECT_CONDITIONS!$A:$A,$N29)-1))+($E29*(SUMIFS(OBJECT_CONDITIONS!$H:$H,OBJECT_CONDITIONS!$A:$A,$N29)-1))+($F29*(SUMIFS(OBJECT_CONDITIONS!$J:$J,OBJECT_CONDITIONS!$A:$A,$N29)-1))+($G29*(SUMIFS(OBJECT_CONDITIONS!$L:$L,OBJECT_CONDITIONS!$A:$A,$N29)-1))+($H29*(SUMIFS(OBJECT_CONDITIONS!$N:$N,OBJECT_CONDITIONS!$A:$A,$N29)-1))+($I29*(SUMIFS(OBJECT_CONDITIONS!$P:$P,OBJECT_CONDITIONS!$A:$A,$N29)-1))+($J29*(SUMIFS(OBJECT_CONDITIONS!$R:$R,OBJECT_CONDITIONS!$A:$A,$N29)-1))+($K29*(SUMIFS(OBJECT_CONDITIONS!$T:$T,OBJECT_CONDITIONS!$A:$A,$N29)-1)),3))</f>
        <v/>
      </c>
      <c r="P29" s="31"/>
    </row>
    <row r="30" ht="14.25" customHeight="1">
      <c r="A30" s="31"/>
      <c r="B30" s="31"/>
      <c r="C30" s="34"/>
      <c r="D30" s="34"/>
      <c r="E30" s="34"/>
      <c r="F30" s="34"/>
      <c r="G30" s="34"/>
      <c r="H30" s="34"/>
      <c r="I30" s="34"/>
      <c r="J30" s="34"/>
      <c r="K30" s="34"/>
      <c r="L30" s="31"/>
      <c r="M30" s="31"/>
      <c r="N30" s="31"/>
      <c r="O30" s="35" t="str">
        <f>IF($N30="","",ROUND(1+($C30*(SUMIFS(OBJECT_CONDITIONS!$D:$D,OBJECT_CONDITIONS!$A:$A,$N30)-1))+($D30*(SUMIFS(OBJECT_CONDITIONS!$F:$F,OBJECT_CONDITIONS!$A:$A,$N30)-1))+($E30*(SUMIFS(OBJECT_CONDITIONS!$H:$H,OBJECT_CONDITIONS!$A:$A,$N30)-1))+($F30*(SUMIFS(OBJECT_CONDITIONS!$J:$J,OBJECT_CONDITIONS!$A:$A,$N30)-1))+($G30*(SUMIFS(OBJECT_CONDITIONS!$L:$L,OBJECT_CONDITIONS!$A:$A,$N30)-1))+($H30*(SUMIFS(OBJECT_CONDITIONS!$N:$N,OBJECT_CONDITIONS!$A:$A,$N30)-1))+($I30*(SUMIFS(OBJECT_CONDITIONS!$P:$P,OBJECT_CONDITIONS!$A:$A,$N30)-1))+($J30*(SUMIFS(OBJECT_CONDITIONS!$R:$R,OBJECT_CONDITIONS!$A:$A,$N30)-1))+($K30*(SUMIFS(OBJECT_CONDITIONS!$T:$T,OBJECT_CONDITIONS!$A:$A,$N30)-1)),3))</f>
        <v/>
      </c>
      <c r="P30" s="31"/>
    </row>
    <row r="31" ht="14.25" customHeight="1">
      <c r="A31" s="31"/>
      <c r="B31" s="31"/>
      <c r="C31" s="34"/>
      <c r="D31" s="34"/>
      <c r="E31" s="34"/>
      <c r="F31" s="34"/>
      <c r="G31" s="34"/>
      <c r="H31" s="34"/>
      <c r="I31" s="34"/>
      <c r="J31" s="34"/>
      <c r="K31" s="34"/>
      <c r="L31" s="31"/>
      <c r="M31" s="31"/>
      <c r="N31" s="31"/>
      <c r="O31" s="35" t="str">
        <f>IF($N31="","",ROUND(1+($C31*(SUMIFS(OBJECT_CONDITIONS!$D:$D,OBJECT_CONDITIONS!$A:$A,$N31)-1))+($D31*(SUMIFS(OBJECT_CONDITIONS!$F:$F,OBJECT_CONDITIONS!$A:$A,$N31)-1))+($E31*(SUMIFS(OBJECT_CONDITIONS!$H:$H,OBJECT_CONDITIONS!$A:$A,$N31)-1))+($F31*(SUMIFS(OBJECT_CONDITIONS!$J:$J,OBJECT_CONDITIONS!$A:$A,$N31)-1))+($G31*(SUMIFS(OBJECT_CONDITIONS!$L:$L,OBJECT_CONDITIONS!$A:$A,$N31)-1))+($H31*(SUMIFS(OBJECT_CONDITIONS!$N:$N,OBJECT_CONDITIONS!$A:$A,$N31)-1))+($I31*(SUMIFS(OBJECT_CONDITIONS!$P:$P,OBJECT_CONDITIONS!$A:$A,$N31)-1))+($J31*(SUMIFS(OBJECT_CONDITIONS!$R:$R,OBJECT_CONDITIONS!$A:$A,$N31)-1))+($K31*(SUMIFS(OBJECT_CONDITIONS!$T:$T,OBJECT_CONDITIONS!$A:$A,$N31)-1)),3))</f>
        <v/>
      </c>
      <c r="P31" s="31"/>
    </row>
    <row r="32" ht="14.25" customHeight="1">
      <c r="A32" s="31"/>
      <c r="B32" s="31"/>
      <c r="C32" s="34"/>
      <c r="D32" s="34"/>
      <c r="E32" s="34"/>
      <c r="F32" s="34"/>
      <c r="G32" s="34"/>
      <c r="H32" s="34"/>
      <c r="I32" s="34"/>
      <c r="J32" s="34"/>
      <c r="K32" s="34"/>
      <c r="L32" s="31"/>
      <c r="M32" s="31"/>
      <c r="N32" s="31"/>
      <c r="O32" s="35" t="str">
        <f>IF($N32="","",ROUND(1+($C32*(SUMIFS(OBJECT_CONDITIONS!$D:$D,OBJECT_CONDITIONS!$A:$A,$N32)-1))+($D32*(SUMIFS(OBJECT_CONDITIONS!$F:$F,OBJECT_CONDITIONS!$A:$A,$N32)-1))+($E32*(SUMIFS(OBJECT_CONDITIONS!$H:$H,OBJECT_CONDITIONS!$A:$A,$N32)-1))+($F32*(SUMIFS(OBJECT_CONDITIONS!$J:$J,OBJECT_CONDITIONS!$A:$A,$N32)-1))+($G32*(SUMIFS(OBJECT_CONDITIONS!$L:$L,OBJECT_CONDITIONS!$A:$A,$N32)-1))+($H32*(SUMIFS(OBJECT_CONDITIONS!$N:$N,OBJECT_CONDITIONS!$A:$A,$N32)-1))+($I32*(SUMIFS(OBJECT_CONDITIONS!$P:$P,OBJECT_CONDITIONS!$A:$A,$N32)-1))+($J32*(SUMIFS(OBJECT_CONDITIONS!$R:$R,OBJECT_CONDITIONS!$A:$A,$N32)-1))+($K32*(SUMIFS(OBJECT_CONDITIONS!$T:$T,OBJECT_CONDITIONS!$A:$A,$N32)-1)),3))</f>
        <v/>
      </c>
      <c r="P32" s="31"/>
    </row>
    <row r="33" ht="14.25" customHeight="1">
      <c r="A33" s="31"/>
      <c r="B33" s="31"/>
      <c r="C33" s="34"/>
      <c r="D33" s="34"/>
      <c r="E33" s="34"/>
      <c r="F33" s="34"/>
      <c r="G33" s="34"/>
      <c r="H33" s="34"/>
      <c r="I33" s="34"/>
      <c r="J33" s="34"/>
      <c r="K33" s="34"/>
      <c r="L33" s="31"/>
      <c r="M33" s="31"/>
      <c r="N33" s="31"/>
      <c r="O33" s="35" t="str">
        <f>IF($N33="","",ROUND(1+($C33*(SUMIFS(OBJECT_CONDITIONS!$D:$D,OBJECT_CONDITIONS!$A:$A,$N33)-1))+($D33*(SUMIFS(OBJECT_CONDITIONS!$F:$F,OBJECT_CONDITIONS!$A:$A,$N33)-1))+($E33*(SUMIFS(OBJECT_CONDITIONS!$H:$H,OBJECT_CONDITIONS!$A:$A,$N33)-1))+($F33*(SUMIFS(OBJECT_CONDITIONS!$J:$J,OBJECT_CONDITIONS!$A:$A,$N33)-1))+($G33*(SUMIFS(OBJECT_CONDITIONS!$L:$L,OBJECT_CONDITIONS!$A:$A,$N33)-1))+($H33*(SUMIFS(OBJECT_CONDITIONS!$N:$N,OBJECT_CONDITIONS!$A:$A,$N33)-1))+($I33*(SUMIFS(OBJECT_CONDITIONS!$P:$P,OBJECT_CONDITIONS!$A:$A,$N33)-1))+($J33*(SUMIFS(OBJECT_CONDITIONS!$R:$R,OBJECT_CONDITIONS!$A:$A,$N33)-1))+($K33*(SUMIFS(OBJECT_CONDITIONS!$T:$T,OBJECT_CONDITIONS!$A:$A,$N33)-1)),3))</f>
        <v/>
      </c>
      <c r="P33" s="31"/>
    </row>
    <row r="34" ht="14.25" customHeight="1">
      <c r="A34" s="31"/>
      <c r="B34" s="31"/>
      <c r="C34" s="34"/>
      <c r="D34" s="34"/>
      <c r="E34" s="34"/>
      <c r="F34" s="34"/>
      <c r="G34" s="34"/>
      <c r="H34" s="34"/>
      <c r="I34" s="34"/>
      <c r="J34" s="34"/>
      <c r="K34" s="34"/>
      <c r="L34" s="31"/>
      <c r="M34" s="31"/>
      <c r="N34" s="31"/>
      <c r="O34" s="35" t="str">
        <f>IF($N34="","",ROUND(1+($C34*(SUMIFS(OBJECT_CONDITIONS!$D:$D,OBJECT_CONDITIONS!$A:$A,$N34)-1))+($D34*(SUMIFS(OBJECT_CONDITIONS!$F:$F,OBJECT_CONDITIONS!$A:$A,$N34)-1))+($E34*(SUMIFS(OBJECT_CONDITIONS!$H:$H,OBJECT_CONDITIONS!$A:$A,$N34)-1))+($F34*(SUMIFS(OBJECT_CONDITIONS!$J:$J,OBJECT_CONDITIONS!$A:$A,$N34)-1))+($G34*(SUMIFS(OBJECT_CONDITIONS!$L:$L,OBJECT_CONDITIONS!$A:$A,$N34)-1))+($H34*(SUMIFS(OBJECT_CONDITIONS!$N:$N,OBJECT_CONDITIONS!$A:$A,$N34)-1))+($I34*(SUMIFS(OBJECT_CONDITIONS!$P:$P,OBJECT_CONDITIONS!$A:$A,$N34)-1))+($J34*(SUMIFS(OBJECT_CONDITIONS!$R:$R,OBJECT_CONDITIONS!$A:$A,$N34)-1))+($K34*(SUMIFS(OBJECT_CONDITIONS!$T:$T,OBJECT_CONDITIONS!$A:$A,$N34)-1)),3))</f>
        <v/>
      </c>
      <c r="P34" s="31"/>
    </row>
    <row r="35" ht="14.25" customHeight="1">
      <c r="A35" s="31"/>
      <c r="B35" s="31"/>
      <c r="C35" s="34"/>
      <c r="D35" s="34"/>
      <c r="E35" s="34"/>
      <c r="F35" s="34"/>
      <c r="G35" s="34"/>
      <c r="H35" s="34"/>
      <c r="I35" s="34"/>
      <c r="J35" s="34"/>
      <c r="K35" s="34"/>
      <c r="L35" s="31"/>
      <c r="M35" s="31"/>
      <c r="N35" s="31"/>
      <c r="O35" s="35" t="str">
        <f>IF($N35="","",ROUND(1+($C35*(SUMIFS(OBJECT_CONDITIONS!$D:$D,OBJECT_CONDITIONS!$A:$A,$N35)-1))+($D35*(SUMIFS(OBJECT_CONDITIONS!$F:$F,OBJECT_CONDITIONS!$A:$A,$N35)-1))+($E35*(SUMIFS(OBJECT_CONDITIONS!$H:$H,OBJECT_CONDITIONS!$A:$A,$N35)-1))+($F35*(SUMIFS(OBJECT_CONDITIONS!$J:$J,OBJECT_CONDITIONS!$A:$A,$N35)-1))+($G35*(SUMIFS(OBJECT_CONDITIONS!$L:$L,OBJECT_CONDITIONS!$A:$A,$N35)-1))+($H35*(SUMIFS(OBJECT_CONDITIONS!$N:$N,OBJECT_CONDITIONS!$A:$A,$N35)-1))+($I35*(SUMIFS(OBJECT_CONDITIONS!$P:$P,OBJECT_CONDITIONS!$A:$A,$N35)-1))+($J35*(SUMIFS(OBJECT_CONDITIONS!$R:$R,OBJECT_CONDITIONS!$A:$A,$N35)-1))+($K35*(SUMIFS(OBJECT_CONDITIONS!$T:$T,OBJECT_CONDITIONS!$A:$A,$N35)-1)),3))</f>
        <v/>
      </c>
      <c r="P35" s="31"/>
    </row>
    <row r="36" ht="14.25" customHeight="1">
      <c r="A36" s="31"/>
      <c r="B36" s="31"/>
      <c r="C36" s="34"/>
      <c r="D36" s="34"/>
      <c r="E36" s="34"/>
      <c r="F36" s="34"/>
      <c r="G36" s="34"/>
      <c r="H36" s="34"/>
      <c r="I36" s="34"/>
      <c r="J36" s="34"/>
      <c r="K36" s="34"/>
      <c r="L36" s="31"/>
      <c r="M36" s="31"/>
      <c r="N36" s="31"/>
      <c r="O36" s="35" t="str">
        <f>IF($N36="","",ROUND(1+($C36*(SUMIFS(OBJECT_CONDITIONS!$D:$D,OBJECT_CONDITIONS!$A:$A,$N36)-1))+($D36*(SUMIFS(OBJECT_CONDITIONS!$F:$F,OBJECT_CONDITIONS!$A:$A,$N36)-1))+($E36*(SUMIFS(OBJECT_CONDITIONS!$H:$H,OBJECT_CONDITIONS!$A:$A,$N36)-1))+($F36*(SUMIFS(OBJECT_CONDITIONS!$J:$J,OBJECT_CONDITIONS!$A:$A,$N36)-1))+($G36*(SUMIFS(OBJECT_CONDITIONS!$L:$L,OBJECT_CONDITIONS!$A:$A,$N36)-1))+($H36*(SUMIFS(OBJECT_CONDITIONS!$N:$N,OBJECT_CONDITIONS!$A:$A,$N36)-1))+($I36*(SUMIFS(OBJECT_CONDITIONS!$P:$P,OBJECT_CONDITIONS!$A:$A,$N36)-1))+($J36*(SUMIFS(OBJECT_CONDITIONS!$R:$R,OBJECT_CONDITIONS!$A:$A,$N36)-1))+($K36*(SUMIFS(OBJECT_CONDITIONS!$T:$T,OBJECT_CONDITIONS!$A:$A,$N36)-1)),3))</f>
        <v/>
      </c>
      <c r="P36" s="31"/>
    </row>
    <row r="37" ht="14.25" customHeight="1">
      <c r="A37" s="31"/>
      <c r="B37" s="31"/>
      <c r="C37" s="34"/>
      <c r="D37" s="34"/>
      <c r="E37" s="34"/>
      <c r="F37" s="34"/>
      <c r="G37" s="34"/>
      <c r="H37" s="34"/>
      <c r="I37" s="34"/>
      <c r="J37" s="34"/>
      <c r="K37" s="34"/>
      <c r="L37" s="31"/>
      <c r="M37" s="31"/>
      <c r="N37" s="31"/>
      <c r="O37" s="35" t="str">
        <f>IF($N37="","",ROUND(1+($C37*(SUMIFS(OBJECT_CONDITIONS!$D:$D,OBJECT_CONDITIONS!$A:$A,$N37)-1))+($D37*(SUMIFS(OBJECT_CONDITIONS!$F:$F,OBJECT_CONDITIONS!$A:$A,$N37)-1))+($E37*(SUMIFS(OBJECT_CONDITIONS!$H:$H,OBJECT_CONDITIONS!$A:$A,$N37)-1))+($F37*(SUMIFS(OBJECT_CONDITIONS!$J:$J,OBJECT_CONDITIONS!$A:$A,$N37)-1))+($G37*(SUMIFS(OBJECT_CONDITIONS!$L:$L,OBJECT_CONDITIONS!$A:$A,$N37)-1))+($H37*(SUMIFS(OBJECT_CONDITIONS!$N:$N,OBJECT_CONDITIONS!$A:$A,$N37)-1))+($I37*(SUMIFS(OBJECT_CONDITIONS!$P:$P,OBJECT_CONDITIONS!$A:$A,$N37)-1))+($J37*(SUMIFS(OBJECT_CONDITIONS!$R:$R,OBJECT_CONDITIONS!$A:$A,$N37)-1))+($K37*(SUMIFS(OBJECT_CONDITIONS!$T:$T,OBJECT_CONDITIONS!$A:$A,$N37)-1)),3))</f>
        <v/>
      </c>
      <c r="P37" s="31"/>
    </row>
    <row r="38" ht="14.25" customHeight="1">
      <c r="A38" s="31"/>
      <c r="B38" s="31"/>
      <c r="C38" s="34"/>
      <c r="D38" s="34"/>
      <c r="E38" s="34"/>
      <c r="F38" s="34"/>
      <c r="G38" s="34"/>
      <c r="H38" s="34"/>
      <c r="I38" s="34"/>
      <c r="J38" s="34"/>
      <c r="K38" s="34"/>
      <c r="L38" s="31"/>
      <c r="M38" s="31"/>
      <c r="N38" s="31"/>
      <c r="O38" s="35" t="str">
        <f>IF($N38="","",ROUND(1+($C38*(SUMIFS(OBJECT_CONDITIONS!$D:$D,OBJECT_CONDITIONS!$A:$A,$N38)-1))+($D38*(SUMIFS(OBJECT_CONDITIONS!$F:$F,OBJECT_CONDITIONS!$A:$A,$N38)-1))+($E38*(SUMIFS(OBJECT_CONDITIONS!$H:$H,OBJECT_CONDITIONS!$A:$A,$N38)-1))+($F38*(SUMIFS(OBJECT_CONDITIONS!$J:$J,OBJECT_CONDITIONS!$A:$A,$N38)-1))+($G38*(SUMIFS(OBJECT_CONDITIONS!$L:$L,OBJECT_CONDITIONS!$A:$A,$N38)-1))+($H38*(SUMIFS(OBJECT_CONDITIONS!$N:$N,OBJECT_CONDITIONS!$A:$A,$N38)-1))+($I38*(SUMIFS(OBJECT_CONDITIONS!$P:$P,OBJECT_CONDITIONS!$A:$A,$N38)-1))+($J38*(SUMIFS(OBJECT_CONDITIONS!$R:$R,OBJECT_CONDITIONS!$A:$A,$N38)-1))+($K38*(SUMIFS(OBJECT_CONDITIONS!$T:$T,OBJECT_CONDITIONS!$A:$A,$N38)-1)),3))</f>
        <v/>
      </c>
      <c r="P38" s="31"/>
    </row>
    <row r="39" ht="14.25" customHeight="1">
      <c r="A39" s="31"/>
      <c r="B39" s="31"/>
      <c r="C39" s="34"/>
      <c r="D39" s="34"/>
      <c r="E39" s="34"/>
      <c r="F39" s="34"/>
      <c r="G39" s="34"/>
      <c r="H39" s="34"/>
      <c r="I39" s="34"/>
      <c r="J39" s="34"/>
      <c r="K39" s="34"/>
      <c r="L39" s="31"/>
      <c r="M39" s="31"/>
      <c r="N39" s="31"/>
      <c r="O39" s="35" t="str">
        <f>IF($N39="","",ROUND(1+($C39*(SUMIFS(OBJECT_CONDITIONS!$D:$D,OBJECT_CONDITIONS!$A:$A,$N39)-1))+($D39*(SUMIFS(OBJECT_CONDITIONS!$F:$F,OBJECT_CONDITIONS!$A:$A,$N39)-1))+($E39*(SUMIFS(OBJECT_CONDITIONS!$H:$H,OBJECT_CONDITIONS!$A:$A,$N39)-1))+($F39*(SUMIFS(OBJECT_CONDITIONS!$J:$J,OBJECT_CONDITIONS!$A:$A,$N39)-1))+($G39*(SUMIFS(OBJECT_CONDITIONS!$L:$L,OBJECT_CONDITIONS!$A:$A,$N39)-1))+($H39*(SUMIFS(OBJECT_CONDITIONS!$N:$N,OBJECT_CONDITIONS!$A:$A,$N39)-1))+($I39*(SUMIFS(OBJECT_CONDITIONS!$P:$P,OBJECT_CONDITIONS!$A:$A,$N39)-1))+($J39*(SUMIFS(OBJECT_CONDITIONS!$R:$R,OBJECT_CONDITIONS!$A:$A,$N39)-1))+($K39*(SUMIFS(OBJECT_CONDITIONS!$T:$T,OBJECT_CONDITIONS!$A:$A,$N39)-1)),3))</f>
        <v/>
      </c>
      <c r="P39" s="31"/>
    </row>
    <row r="40" ht="14.25" customHeight="1">
      <c r="A40" s="31"/>
      <c r="B40" s="31"/>
      <c r="C40" s="34"/>
      <c r="D40" s="34"/>
      <c r="E40" s="34"/>
      <c r="F40" s="34"/>
      <c r="G40" s="34"/>
      <c r="H40" s="34"/>
      <c r="I40" s="34"/>
      <c r="J40" s="34"/>
      <c r="K40" s="34"/>
      <c r="L40" s="31"/>
      <c r="M40" s="31"/>
      <c r="N40" s="31"/>
      <c r="O40" s="35" t="str">
        <f>IF($N40="","",ROUND(1+($C40*(SUMIFS(OBJECT_CONDITIONS!$D:$D,OBJECT_CONDITIONS!$A:$A,$N40)-1))+($D40*(SUMIFS(OBJECT_CONDITIONS!$F:$F,OBJECT_CONDITIONS!$A:$A,$N40)-1))+($E40*(SUMIFS(OBJECT_CONDITIONS!$H:$H,OBJECT_CONDITIONS!$A:$A,$N40)-1))+($F40*(SUMIFS(OBJECT_CONDITIONS!$J:$J,OBJECT_CONDITIONS!$A:$A,$N40)-1))+($G40*(SUMIFS(OBJECT_CONDITIONS!$L:$L,OBJECT_CONDITIONS!$A:$A,$N40)-1))+($H40*(SUMIFS(OBJECT_CONDITIONS!$N:$N,OBJECT_CONDITIONS!$A:$A,$N40)-1))+($I40*(SUMIFS(OBJECT_CONDITIONS!$P:$P,OBJECT_CONDITIONS!$A:$A,$N40)-1))+($J40*(SUMIFS(OBJECT_CONDITIONS!$R:$R,OBJECT_CONDITIONS!$A:$A,$N40)-1))+($K40*(SUMIFS(OBJECT_CONDITIONS!$T:$T,OBJECT_CONDITIONS!$A:$A,$N40)-1)),3))</f>
        <v/>
      </c>
      <c r="P40" s="31"/>
    </row>
    <row r="41" ht="14.25" customHeight="1">
      <c r="A41" s="31"/>
      <c r="B41" s="31"/>
      <c r="C41" s="34"/>
      <c r="D41" s="34"/>
      <c r="E41" s="34"/>
      <c r="F41" s="34"/>
      <c r="G41" s="34"/>
      <c r="H41" s="34"/>
      <c r="I41" s="34"/>
      <c r="J41" s="34"/>
      <c r="K41" s="34"/>
      <c r="L41" s="31"/>
      <c r="M41" s="31"/>
      <c r="N41" s="31"/>
      <c r="O41" s="35" t="str">
        <f>IF($N41="","",ROUND(1+($C41*(SUMIFS(OBJECT_CONDITIONS!$D:$D,OBJECT_CONDITIONS!$A:$A,$N41)-1))+($D41*(SUMIFS(OBJECT_CONDITIONS!$F:$F,OBJECT_CONDITIONS!$A:$A,$N41)-1))+($E41*(SUMIFS(OBJECT_CONDITIONS!$H:$H,OBJECT_CONDITIONS!$A:$A,$N41)-1))+($F41*(SUMIFS(OBJECT_CONDITIONS!$J:$J,OBJECT_CONDITIONS!$A:$A,$N41)-1))+($G41*(SUMIFS(OBJECT_CONDITIONS!$L:$L,OBJECT_CONDITIONS!$A:$A,$N41)-1))+($H41*(SUMIFS(OBJECT_CONDITIONS!$N:$N,OBJECT_CONDITIONS!$A:$A,$N41)-1))+($I41*(SUMIFS(OBJECT_CONDITIONS!$P:$P,OBJECT_CONDITIONS!$A:$A,$N41)-1))+($J41*(SUMIFS(OBJECT_CONDITIONS!$R:$R,OBJECT_CONDITIONS!$A:$A,$N41)-1))+($K41*(SUMIFS(OBJECT_CONDITIONS!$T:$T,OBJECT_CONDITIONS!$A:$A,$N41)-1)),3))</f>
        <v/>
      </c>
      <c r="P41" s="31"/>
    </row>
    <row r="42" ht="14.25" customHeight="1">
      <c r="A42" s="31"/>
      <c r="B42" s="31"/>
      <c r="C42" s="34"/>
      <c r="D42" s="34"/>
      <c r="E42" s="34"/>
      <c r="F42" s="34"/>
      <c r="G42" s="34"/>
      <c r="H42" s="34"/>
      <c r="I42" s="34"/>
      <c r="J42" s="34"/>
      <c r="K42" s="34"/>
      <c r="L42" s="31"/>
      <c r="M42" s="31"/>
      <c r="N42" s="31"/>
      <c r="O42" s="35" t="str">
        <f>IF($N42="","",ROUND(1+($C42*(SUMIFS(OBJECT_CONDITIONS!$D:$D,OBJECT_CONDITIONS!$A:$A,$N42)-1))+($D42*(SUMIFS(OBJECT_CONDITIONS!$F:$F,OBJECT_CONDITIONS!$A:$A,$N42)-1))+($E42*(SUMIFS(OBJECT_CONDITIONS!$H:$H,OBJECT_CONDITIONS!$A:$A,$N42)-1))+($F42*(SUMIFS(OBJECT_CONDITIONS!$J:$J,OBJECT_CONDITIONS!$A:$A,$N42)-1))+($G42*(SUMIFS(OBJECT_CONDITIONS!$L:$L,OBJECT_CONDITIONS!$A:$A,$N42)-1))+($H42*(SUMIFS(OBJECT_CONDITIONS!$N:$N,OBJECT_CONDITIONS!$A:$A,$N42)-1))+($I42*(SUMIFS(OBJECT_CONDITIONS!$P:$P,OBJECT_CONDITIONS!$A:$A,$N42)-1))+($J42*(SUMIFS(OBJECT_CONDITIONS!$R:$R,OBJECT_CONDITIONS!$A:$A,$N42)-1))+($K42*(SUMIFS(OBJECT_CONDITIONS!$T:$T,OBJECT_CONDITIONS!$A:$A,$N42)-1)),3))</f>
        <v/>
      </c>
      <c r="P42" s="31"/>
    </row>
    <row r="43" ht="14.25" customHeight="1">
      <c r="A43" s="31"/>
      <c r="B43" s="31"/>
      <c r="C43" s="34"/>
      <c r="D43" s="34"/>
      <c r="E43" s="34"/>
      <c r="F43" s="34"/>
      <c r="G43" s="34"/>
      <c r="H43" s="34"/>
      <c r="I43" s="34"/>
      <c r="J43" s="34"/>
      <c r="K43" s="34"/>
      <c r="L43" s="31"/>
      <c r="M43" s="31"/>
      <c r="N43" s="31"/>
      <c r="O43" s="35" t="str">
        <f>IF($N43="","",ROUND(1+($C43*(SUMIFS(OBJECT_CONDITIONS!$D:$D,OBJECT_CONDITIONS!$A:$A,$N43)-1))+($D43*(SUMIFS(OBJECT_CONDITIONS!$F:$F,OBJECT_CONDITIONS!$A:$A,$N43)-1))+($E43*(SUMIFS(OBJECT_CONDITIONS!$H:$H,OBJECT_CONDITIONS!$A:$A,$N43)-1))+($F43*(SUMIFS(OBJECT_CONDITIONS!$J:$J,OBJECT_CONDITIONS!$A:$A,$N43)-1))+($G43*(SUMIFS(OBJECT_CONDITIONS!$L:$L,OBJECT_CONDITIONS!$A:$A,$N43)-1))+($H43*(SUMIFS(OBJECT_CONDITIONS!$N:$N,OBJECT_CONDITIONS!$A:$A,$N43)-1))+($I43*(SUMIFS(OBJECT_CONDITIONS!$P:$P,OBJECT_CONDITIONS!$A:$A,$N43)-1))+($J43*(SUMIFS(OBJECT_CONDITIONS!$R:$R,OBJECT_CONDITIONS!$A:$A,$N43)-1))+($K43*(SUMIFS(OBJECT_CONDITIONS!$T:$T,OBJECT_CONDITIONS!$A:$A,$N43)-1)),3))</f>
        <v/>
      </c>
      <c r="P43" s="31"/>
    </row>
    <row r="44" ht="14.25" customHeight="1">
      <c r="A44" s="31"/>
      <c r="B44" s="31"/>
      <c r="C44" s="34"/>
      <c r="D44" s="34"/>
      <c r="E44" s="34"/>
      <c r="F44" s="34"/>
      <c r="G44" s="34"/>
      <c r="H44" s="34"/>
      <c r="I44" s="34"/>
      <c r="J44" s="34"/>
      <c r="K44" s="34"/>
      <c r="L44" s="31"/>
      <c r="M44" s="31"/>
      <c r="N44" s="31"/>
      <c r="O44" s="35" t="str">
        <f>IF($N44="","",ROUND(1+($C44*(SUMIFS(OBJECT_CONDITIONS!$D:$D,OBJECT_CONDITIONS!$A:$A,$N44)-1))+($D44*(SUMIFS(OBJECT_CONDITIONS!$F:$F,OBJECT_CONDITIONS!$A:$A,$N44)-1))+($E44*(SUMIFS(OBJECT_CONDITIONS!$H:$H,OBJECT_CONDITIONS!$A:$A,$N44)-1))+($F44*(SUMIFS(OBJECT_CONDITIONS!$J:$J,OBJECT_CONDITIONS!$A:$A,$N44)-1))+($G44*(SUMIFS(OBJECT_CONDITIONS!$L:$L,OBJECT_CONDITIONS!$A:$A,$N44)-1))+($H44*(SUMIFS(OBJECT_CONDITIONS!$N:$N,OBJECT_CONDITIONS!$A:$A,$N44)-1))+($I44*(SUMIFS(OBJECT_CONDITIONS!$P:$P,OBJECT_CONDITIONS!$A:$A,$N44)-1))+($J44*(SUMIFS(OBJECT_CONDITIONS!$R:$R,OBJECT_CONDITIONS!$A:$A,$N44)-1))+($K44*(SUMIFS(OBJECT_CONDITIONS!$T:$T,OBJECT_CONDITIONS!$A:$A,$N44)-1)),3))</f>
        <v/>
      </c>
      <c r="P44" s="31"/>
    </row>
    <row r="45" ht="14.25" customHeight="1">
      <c r="A45" s="31"/>
      <c r="B45" s="31"/>
      <c r="C45" s="34"/>
      <c r="D45" s="34"/>
      <c r="E45" s="34"/>
      <c r="F45" s="34"/>
      <c r="G45" s="34"/>
      <c r="H45" s="34"/>
      <c r="I45" s="34"/>
      <c r="J45" s="34"/>
      <c r="K45" s="34"/>
      <c r="L45" s="31"/>
      <c r="M45" s="31"/>
      <c r="N45" s="31"/>
      <c r="O45" s="35" t="str">
        <f>IF($N45="","",ROUND(1+($C45*(SUMIFS(OBJECT_CONDITIONS!$D:$D,OBJECT_CONDITIONS!$A:$A,$N45)-1))+($D45*(SUMIFS(OBJECT_CONDITIONS!$F:$F,OBJECT_CONDITIONS!$A:$A,$N45)-1))+($E45*(SUMIFS(OBJECT_CONDITIONS!$H:$H,OBJECT_CONDITIONS!$A:$A,$N45)-1))+($F45*(SUMIFS(OBJECT_CONDITIONS!$J:$J,OBJECT_CONDITIONS!$A:$A,$N45)-1))+($G45*(SUMIFS(OBJECT_CONDITIONS!$L:$L,OBJECT_CONDITIONS!$A:$A,$N45)-1))+($H45*(SUMIFS(OBJECT_CONDITIONS!$N:$N,OBJECT_CONDITIONS!$A:$A,$N45)-1))+($I45*(SUMIFS(OBJECT_CONDITIONS!$P:$P,OBJECT_CONDITIONS!$A:$A,$N45)-1))+($J45*(SUMIFS(OBJECT_CONDITIONS!$R:$R,OBJECT_CONDITIONS!$A:$A,$N45)-1))+($K45*(SUMIFS(OBJECT_CONDITIONS!$T:$T,OBJECT_CONDITIONS!$A:$A,$N45)-1)),3))</f>
        <v/>
      </c>
      <c r="P45" s="31"/>
    </row>
    <row r="46" ht="14.25" customHeight="1">
      <c r="A46" s="31"/>
      <c r="B46" s="31"/>
      <c r="C46" s="34"/>
      <c r="D46" s="34"/>
      <c r="E46" s="34"/>
      <c r="F46" s="34"/>
      <c r="G46" s="34"/>
      <c r="H46" s="34"/>
      <c r="I46" s="34"/>
      <c r="J46" s="34"/>
      <c r="K46" s="34"/>
      <c r="L46" s="31"/>
      <c r="M46" s="31"/>
      <c r="N46" s="31"/>
      <c r="O46" s="35" t="str">
        <f>IF($N46="","",ROUND(1+($C46*(SUMIFS(OBJECT_CONDITIONS!$D:$D,OBJECT_CONDITIONS!$A:$A,$N46)-1))+($D46*(SUMIFS(OBJECT_CONDITIONS!$F:$F,OBJECT_CONDITIONS!$A:$A,$N46)-1))+($E46*(SUMIFS(OBJECT_CONDITIONS!$H:$H,OBJECT_CONDITIONS!$A:$A,$N46)-1))+($F46*(SUMIFS(OBJECT_CONDITIONS!$J:$J,OBJECT_CONDITIONS!$A:$A,$N46)-1))+($G46*(SUMIFS(OBJECT_CONDITIONS!$L:$L,OBJECT_CONDITIONS!$A:$A,$N46)-1))+($H46*(SUMIFS(OBJECT_CONDITIONS!$N:$N,OBJECT_CONDITIONS!$A:$A,$N46)-1))+($I46*(SUMIFS(OBJECT_CONDITIONS!$P:$P,OBJECT_CONDITIONS!$A:$A,$N46)-1))+($J46*(SUMIFS(OBJECT_CONDITIONS!$R:$R,OBJECT_CONDITIONS!$A:$A,$N46)-1))+($K46*(SUMIFS(OBJECT_CONDITIONS!$T:$T,OBJECT_CONDITIONS!$A:$A,$N46)-1)),3))</f>
        <v/>
      </c>
      <c r="P46" s="31"/>
    </row>
    <row r="47" ht="14.25" customHeight="1">
      <c r="A47" s="31"/>
      <c r="B47" s="31"/>
      <c r="C47" s="34"/>
      <c r="D47" s="34"/>
      <c r="E47" s="34"/>
      <c r="F47" s="34"/>
      <c r="G47" s="34"/>
      <c r="H47" s="34"/>
      <c r="I47" s="34"/>
      <c r="J47" s="34"/>
      <c r="K47" s="34"/>
      <c r="L47" s="31"/>
      <c r="M47" s="31"/>
      <c r="N47" s="31"/>
      <c r="O47" s="35" t="str">
        <f>IF($N47="","",ROUND(1+($C47*(SUMIFS(OBJECT_CONDITIONS!$D:$D,OBJECT_CONDITIONS!$A:$A,$N47)-1))+($D47*(SUMIFS(OBJECT_CONDITIONS!$F:$F,OBJECT_CONDITIONS!$A:$A,$N47)-1))+($E47*(SUMIFS(OBJECT_CONDITIONS!$H:$H,OBJECT_CONDITIONS!$A:$A,$N47)-1))+($F47*(SUMIFS(OBJECT_CONDITIONS!$J:$J,OBJECT_CONDITIONS!$A:$A,$N47)-1))+($G47*(SUMIFS(OBJECT_CONDITIONS!$L:$L,OBJECT_CONDITIONS!$A:$A,$N47)-1))+($H47*(SUMIFS(OBJECT_CONDITIONS!$N:$N,OBJECT_CONDITIONS!$A:$A,$N47)-1))+($I47*(SUMIFS(OBJECT_CONDITIONS!$P:$P,OBJECT_CONDITIONS!$A:$A,$N47)-1))+($J47*(SUMIFS(OBJECT_CONDITIONS!$R:$R,OBJECT_CONDITIONS!$A:$A,$N47)-1))+($K47*(SUMIFS(OBJECT_CONDITIONS!$T:$T,OBJECT_CONDITIONS!$A:$A,$N47)-1)),3))</f>
        <v/>
      </c>
      <c r="P47" s="31"/>
    </row>
    <row r="48" ht="14.25" customHeight="1">
      <c r="A48" s="31"/>
      <c r="B48" s="31"/>
      <c r="C48" s="34"/>
      <c r="D48" s="34"/>
      <c r="E48" s="34"/>
      <c r="F48" s="34"/>
      <c r="G48" s="34"/>
      <c r="H48" s="34"/>
      <c r="I48" s="34"/>
      <c r="J48" s="34"/>
      <c r="K48" s="34"/>
      <c r="L48" s="31"/>
      <c r="M48" s="31"/>
      <c r="N48" s="31"/>
      <c r="O48" s="35" t="str">
        <f>IF($N48="","",ROUND(1+($C48*(SUMIFS(OBJECT_CONDITIONS!$D:$D,OBJECT_CONDITIONS!$A:$A,$N48)-1))+($D48*(SUMIFS(OBJECT_CONDITIONS!$F:$F,OBJECT_CONDITIONS!$A:$A,$N48)-1))+($E48*(SUMIFS(OBJECT_CONDITIONS!$H:$H,OBJECT_CONDITIONS!$A:$A,$N48)-1))+($F48*(SUMIFS(OBJECT_CONDITIONS!$J:$J,OBJECT_CONDITIONS!$A:$A,$N48)-1))+($G48*(SUMIFS(OBJECT_CONDITIONS!$L:$L,OBJECT_CONDITIONS!$A:$A,$N48)-1))+($H48*(SUMIFS(OBJECT_CONDITIONS!$N:$N,OBJECT_CONDITIONS!$A:$A,$N48)-1))+($I48*(SUMIFS(OBJECT_CONDITIONS!$P:$P,OBJECT_CONDITIONS!$A:$A,$N48)-1))+($J48*(SUMIFS(OBJECT_CONDITIONS!$R:$R,OBJECT_CONDITIONS!$A:$A,$N48)-1))+($K48*(SUMIFS(OBJECT_CONDITIONS!$T:$T,OBJECT_CONDITIONS!$A:$A,$N48)-1)),3))</f>
        <v/>
      </c>
      <c r="P48" s="31"/>
    </row>
    <row r="49" ht="14.25" customHeight="1">
      <c r="A49" s="31"/>
      <c r="B49" s="31"/>
      <c r="C49" s="34"/>
      <c r="D49" s="34"/>
      <c r="E49" s="34"/>
      <c r="F49" s="34"/>
      <c r="G49" s="34"/>
      <c r="H49" s="34"/>
      <c r="I49" s="34"/>
      <c r="J49" s="34"/>
      <c r="K49" s="34"/>
      <c r="L49" s="31"/>
      <c r="M49" s="31"/>
      <c r="N49" s="31"/>
      <c r="O49" s="35" t="str">
        <f>IF($N49="","",ROUND(1+($C49*(SUMIFS(OBJECT_CONDITIONS!$D:$D,OBJECT_CONDITIONS!$A:$A,$N49)-1))+($D49*(SUMIFS(OBJECT_CONDITIONS!$F:$F,OBJECT_CONDITIONS!$A:$A,$N49)-1))+($E49*(SUMIFS(OBJECT_CONDITIONS!$H:$H,OBJECT_CONDITIONS!$A:$A,$N49)-1))+($F49*(SUMIFS(OBJECT_CONDITIONS!$J:$J,OBJECT_CONDITIONS!$A:$A,$N49)-1))+($G49*(SUMIFS(OBJECT_CONDITIONS!$L:$L,OBJECT_CONDITIONS!$A:$A,$N49)-1))+($H49*(SUMIFS(OBJECT_CONDITIONS!$N:$N,OBJECT_CONDITIONS!$A:$A,$N49)-1))+($I49*(SUMIFS(OBJECT_CONDITIONS!$P:$P,OBJECT_CONDITIONS!$A:$A,$N49)-1))+($J49*(SUMIFS(OBJECT_CONDITIONS!$R:$R,OBJECT_CONDITIONS!$A:$A,$N49)-1))+($K49*(SUMIFS(OBJECT_CONDITIONS!$T:$T,OBJECT_CONDITIONS!$A:$A,$N49)-1)),3))</f>
        <v/>
      </c>
      <c r="P49" s="31"/>
    </row>
    <row r="50" ht="14.25" customHeight="1">
      <c r="A50" s="31"/>
      <c r="B50" s="31"/>
      <c r="C50" s="34"/>
      <c r="D50" s="34"/>
      <c r="E50" s="34"/>
      <c r="F50" s="34"/>
      <c r="G50" s="34"/>
      <c r="H50" s="34"/>
      <c r="I50" s="34"/>
      <c r="J50" s="34"/>
      <c r="K50" s="34"/>
      <c r="L50" s="31"/>
      <c r="M50" s="31"/>
      <c r="N50" s="31"/>
      <c r="O50" s="35" t="str">
        <f>IF($N50="","",ROUND(1+($C50*(SUMIFS(OBJECT_CONDITIONS!$D:$D,OBJECT_CONDITIONS!$A:$A,$N50)-1))+($D50*(SUMIFS(OBJECT_CONDITIONS!$F:$F,OBJECT_CONDITIONS!$A:$A,$N50)-1))+($E50*(SUMIFS(OBJECT_CONDITIONS!$H:$H,OBJECT_CONDITIONS!$A:$A,$N50)-1))+($F50*(SUMIFS(OBJECT_CONDITIONS!$J:$J,OBJECT_CONDITIONS!$A:$A,$N50)-1))+($G50*(SUMIFS(OBJECT_CONDITIONS!$L:$L,OBJECT_CONDITIONS!$A:$A,$N50)-1))+($H50*(SUMIFS(OBJECT_CONDITIONS!$N:$N,OBJECT_CONDITIONS!$A:$A,$N50)-1))+($I50*(SUMIFS(OBJECT_CONDITIONS!$P:$P,OBJECT_CONDITIONS!$A:$A,$N50)-1))+($J50*(SUMIFS(OBJECT_CONDITIONS!$R:$R,OBJECT_CONDITIONS!$A:$A,$N50)-1))+($K50*(SUMIFS(OBJECT_CONDITIONS!$T:$T,OBJECT_CONDITIONS!$A:$A,$N50)-1)),3))</f>
        <v/>
      </c>
      <c r="P50" s="31"/>
    </row>
    <row r="51" ht="14.25" customHeight="1">
      <c r="A51" s="31"/>
      <c r="B51" s="31"/>
      <c r="C51" s="34"/>
      <c r="D51" s="34"/>
      <c r="E51" s="34"/>
      <c r="F51" s="34"/>
      <c r="G51" s="34"/>
      <c r="H51" s="34"/>
      <c r="I51" s="34"/>
      <c r="J51" s="34"/>
      <c r="K51" s="34"/>
      <c r="L51" s="31"/>
      <c r="M51" s="31"/>
      <c r="N51" s="31"/>
      <c r="O51" s="35" t="str">
        <f>IF($N51="","",ROUND(1+($C51*(SUMIFS(OBJECT_CONDITIONS!$D:$D,OBJECT_CONDITIONS!$A:$A,$N51)-1))+($D51*(SUMIFS(OBJECT_CONDITIONS!$F:$F,OBJECT_CONDITIONS!$A:$A,$N51)-1))+($E51*(SUMIFS(OBJECT_CONDITIONS!$H:$H,OBJECT_CONDITIONS!$A:$A,$N51)-1))+($F51*(SUMIFS(OBJECT_CONDITIONS!$J:$J,OBJECT_CONDITIONS!$A:$A,$N51)-1))+($G51*(SUMIFS(OBJECT_CONDITIONS!$L:$L,OBJECT_CONDITIONS!$A:$A,$N51)-1))+($H51*(SUMIFS(OBJECT_CONDITIONS!$N:$N,OBJECT_CONDITIONS!$A:$A,$N51)-1))+($I51*(SUMIFS(OBJECT_CONDITIONS!$P:$P,OBJECT_CONDITIONS!$A:$A,$N51)-1))+($J51*(SUMIFS(OBJECT_CONDITIONS!$R:$R,OBJECT_CONDITIONS!$A:$A,$N51)-1))+($K51*(SUMIFS(OBJECT_CONDITIONS!$T:$T,OBJECT_CONDITIONS!$A:$A,$N51)-1)),3))</f>
        <v/>
      </c>
      <c r="P51" s="31"/>
    </row>
    <row r="52" ht="14.25" customHeight="1">
      <c r="A52" s="31"/>
      <c r="B52" s="31"/>
      <c r="C52" s="34"/>
      <c r="D52" s="34"/>
      <c r="E52" s="34"/>
      <c r="F52" s="34"/>
      <c r="G52" s="34"/>
      <c r="H52" s="34"/>
      <c r="I52" s="34"/>
      <c r="J52" s="34"/>
      <c r="K52" s="34"/>
      <c r="L52" s="31"/>
      <c r="M52" s="31"/>
      <c r="N52" s="31"/>
      <c r="O52" s="35" t="str">
        <f>IF($N52="","",ROUND(1+($C52*(SUMIFS(OBJECT_CONDITIONS!$D:$D,OBJECT_CONDITIONS!$A:$A,$N52)-1))+($D52*(SUMIFS(OBJECT_CONDITIONS!$F:$F,OBJECT_CONDITIONS!$A:$A,$N52)-1))+($E52*(SUMIFS(OBJECT_CONDITIONS!$H:$H,OBJECT_CONDITIONS!$A:$A,$N52)-1))+($F52*(SUMIFS(OBJECT_CONDITIONS!$J:$J,OBJECT_CONDITIONS!$A:$A,$N52)-1))+($G52*(SUMIFS(OBJECT_CONDITIONS!$L:$L,OBJECT_CONDITIONS!$A:$A,$N52)-1))+($H52*(SUMIFS(OBJECT_CONDITIONS!$N:$N,OBJECT_CONDITIONS!$A:$A,$N52)-1))+($I52*(SUMIFS(OBJECT_CONDITIONS!$P:$P,OBJECT_CONDITIONS!$A:$A,$N52)-1))+($J52*(SUMIFS(OBJECT_CONDITIONS!$R:$R,OBJECT_CONDITIONS!$A:$A,$N52)-1))+($K52*(SUMIFS(OBJECT_CONDITIONS!$T:$T,OBJECT_CONDITIONS!$A:$A,$N52)-1)),3))</f>
        <v/>
      </c>
      <c r="P52" s="31"/>
    </row>
    <row r="53" ht="14.25" customHeight="1">
      <c r="A53" s="31"/>
      <c r="B53" s="31"/>
      <c r="C53" s="34"/>
      <c r="D53" s="34"/>
      <c r="E53" s="34"/>
      <c r="F53" s="34"/>
      <c r="G53" s="34"/>
      <c r="H53" s="34"/>
      <c r="I53" s="34"/>
      <c r="J53" s="34"/>
      <c r="K53" s="34"/>
      <c r="L53" s="31"/>
      <c r="M53" s="31"/>
      <c r="N53" s="31"/>
      <c r="O53" s="35" t="str">
        <f>IF($N53="","",ROUND(1+($C53*(SUMIFS(OBJECT_CONDITIONS!$D:$D,OBJECT_CONDITIONS!$A:$A,$N53)-1))+($D53*(SUMIFS(OBJECT_CONDITIONS!$F:$F,OBJECT_CONDITIONS!$A:$A,$N53)-1))+($E53*(SUMIFS(OBJECT_CONDITIONS!$H:$H,OBJECT_CONDITIONS!$A:$A,$N53)-1))+($F53*(SUMIFS(OBJECT_CONDITIONS!$J:$J,OBJECT_CONDITIONS!$A:$A,$N53)-1))+($G53*(SUMIFS(OBJECT_CONDITIONS!$L:$L,OBJECT_CONDITIONS!$A:$A,$N53)-1))+($H53*(SUMIFS(OBJECT_CONDITIONS!$N:$N,OBJECT_CONDITIONS!$A:$A,$N53)-1))+($I53*(SUMIFS(OBJECT_CONDITIONS!$P:$P,OBJECT_CONDITIONS!$A:$A,$N53)-1))+($J53*(SUMIFS(OBJECT_CONDITIONS!$R:$R,OBJECT_CONDITIONS!$A:$A,$N53)-1))+($K53*(SUMIFS(OBJECT_CONDITIONS!$T:$T,OBJECT_CONDITIONS!$A:$A,$N53)-1)),3))</f>
        <v/>
      </c>
      <c r="P53" s="31"/>
    </row>
    <row r="54" ht="14.25" customHeight="1">
      <c r="A54" s="31"/>
      <c r="B54" s="31"/>
      <c r="C54" s="34"/>
      <c r="D54" s="34"/>
      <c r="E54" s="34"/>
      <c r="F54" s="34"/>
      <c r="G54" s="34"/>
      <c r="H54" s="34"/>
      <c r="I54" s="34"/>
      <c r="J54" s="34"/>
      <c r="K54" s="34"/>
      <c r="L54" s="31"/>
      <c r="M54" s="31"/>
      <c r="N54" s="31"/>
      <c r="O54" s="35" t="str">
        <f>IF($N54="","",ROUND(1+($C54*(SUMIFS(OBJECT_CONDITIONS!$D:$D,OBJECT_CONDITIONS!$A:$A,$N54)-1))+($D54*(SUMIFS(OBJECT_CONDITIONS!$F:$F,OBJECT_CONDITIONS!$A:$A,$N54)-1))+($E54*(SUMIFS(OBJECT_CONDITIONS!$H:$H,OBJECT_CONDITIONS!$A:$A,$N54)-1))+($F54*(SUMIFS(OBJECT_CONDITIONS!$J:$J,OBJECT_CONDITIONS!$A:$A,$N54)-1))+($G54*(SUMIFS(OBJECT_CONDITIONS!$L:$L,OBJECT_CONDITIONS!$A:$A,$N54)-1))+($H54*(SUMIFS(OBJECT_CONDITIONS!$N:$N,OBJECT_CONDITIONS!$A:$A,$N54)-1))+($I54*(SUMIFS(OBJECT_CONDITIONS!$P:$P,OBJECT_CONDITIONS!$A:$A,$N54)-1))+($J54*(SUMIFS(OBJECT_CONDITIONS!$R:$R,OBJECT_CONDITIONS!$A:$A,$N54)-1))+($K54*(SUMIFS(OBJECT_CONDITIONS!$T:$T,OBJECT_CONDITIONS!$A:$A,$N54)-1)),3))</f>
        <v/>
      </c>
      <c r="P54" s="31"/>
    </row>
    <row r="55" ht="14.25" customHeight="1">
      <c r="A55" s="31"/>
      <c r="B55" s="31"/>
      <c r="C55" s="34"/>
      <c r="D55" s="34"/>
      <c r="E55" s="34"/>
      <c r="F55" s="34"/>
      <c r="G55" s="34"/>
      <c r="H55" s="34"/>
      <c r="I55" s="34"/>
      <c r="J55" s="34"/>
      <c r="K55" s="34"/>
      <c r="L55" s="31"/>
      <c r="M55" s="31"/>
      <c r="N55" s="31"/>
      <c r="O55" s="35" t="str">
        <f>IF($N55="","",ROUND(1+($C55*(SUMIFS(OBJECT_CONDITIONS!$D:$D,OBJECT_CONDITIONS!$A:$A,$N55)-1))+($D55*(SUMIFS(OBJECT_CONDITIONS!$F:$F,OBJECT_CONDITIONS!$A:$A,$N55)-1))+($E55*(SUMIFS(OBJECT_CONDITIONS!$H:$H,OBJECT_CONDITIONS!$A:$A,$N55)-1))+($F55*(SUMIFS(OBJECT_CONDITIONS!$J:$J,OBJECT_CONDITIONS!$A:$A,$N55)-1))+($G55*(SUMIFS(OBJECT_CONDITIONS!$L:$L,OBJECT_CONDITIONS!$A:$A,$N55)-1))+($H55*(SUMIFS(OBJECT_CONDITIONS!$N:$N,OBJECT_CONDITIONS!$A:$A,$N55)-1))+($I55*(SUMIFS(OBJECT_CONDITIONS!$P:$P,OBJECT_CONDITIONS!$A:$A,$N55)-1))+($J55*(SUMIFS(OBJECT_CONDITIONS!$R:$R,OBJECT_CONDITIONS!$A:$A,$N55)-1))+($K55*(SUMIFS(OBJECT_CONDITIONS!$T:$T,OBJECT_CONDITIONS!$A:$A,$N55)-1)),3))</f>
        <v/>
      </c>
      <c r="P55" s="31"/>
    </row>
    <row r="56" ht="14.25" customHeight="1">
      <c r="A56" s="31"/>
      <c r="B56" s="31"/>
      <c r="C56" s="34"/>
      <c r="D56" s="34"/>
      <c r="E56" s="34"/>
      <c r="F56" s="34"/>
      <c r="G56" s="34"/>
      <c r="H56" s="34"/>
      <c r="I56" s="34"/>
      <c r="J56" s="34"/>
      <c r="K56" s="34"/>
      <c r="L56" s="31"/>
      <c r="M56" s="31"/>
      <c r="N56" s="31"/>
      <c r="O56" s="35" t="str">
        <f>IF($N56="","",ROUND(1+($C56*(SUMIFS(OBJECT_CONDITIONS!$D:$D,OBJECT_CONDITIONS!$A:$A,$N56)-1))+($D56*(SUMIFS(OBJECT_CONDITIONS!$F:$F,OBJECT_CONDITIONS!$A:$A,$N56)-1))+($E56*(SUMIFS(OBJECT_CONDITIONS!$H:$H,OBJECT_CONDITIONS!$A:$A,$N56)-1))+($F56*(SUMIFS(OBJECT_CONDITIONS!$J:$J,OBJECT_CONDITIONS!$A:$A,$N56)-1))+($G56*(SUMIFS(OBJECT_CONDITIONS!$L:$L,OBJECT_CONDITIONS!$A:$A,$N56)-1))+($H56*(SUMIFS(OBJECT_CONDITIONS!$N:$N,OBJECT_CONDITIONS!$A:$A,$N56)-1))+($I56*(SUMIFS(OBJECT_CONDITIONS!$P:$P,OBJECT_CONDITIONS!$A:$A,$N56)-1))+($J56*(SUMIFS(OBJECT_CONDITIONS!$R:$R,OBJECT_CONDITIONS!$A:$A,$N56)-1))+($K56*(SUMIFS(OBJECT_CONDITIONS!$T:$T,OBJECT_CONDITIONS!$A:$A,$N56)-1)),3))</f>
        <v/>
      </c>
      <c r="P56" s="31"/>
    </row>
    <row r="57" ht="14.25" customHeight="1">
      <c r="A57" s="31"/>
      <c r="B57" s="31"/>
      <c r="C57" s="34"/>
      <c r="D57" s="34"/>
      <c r="E57" s="34"/>
      <c r="F57" s="34"/>
      <c r="G57" s="34"/>
      <c r="H57" s="34"/>
      <c r="I57" s="34"/>
      <c r="J57" s="34"/>
      <c r="K57" s="34"/>
      <c r="L57" s="31"/>
      <c r="M57" s="31"/>
      <c r="N57" s="31"/>
      <c r="O57" s="35" t="str">
        <f>IF($N57="","",ROUND(1+($C57*(SUMIFS(OBJECT_CONDITIONS!$D:$D,OBJECT_CONDITIONS!$A:$A,$N57)-1))+($D57*(SUMIFS(OBJECT_CONDITIONS!$F:$F,OBJECT_CONDITIONS!$A:$A,$N57)-1))+($E57*(SUMIFS(OBJECT_CONDITIONS!$H:$H,OBJECT_CONDITIONS!$A:$A,$N57)-1))+($F57*(SUMIFS(OBJECT_CONDITIONS!$J:$J,OBJECT_CONDITIONS!$A:$A,$N57)-1))+($G57*(SUMIFS(OBJECT_CONDITIONS!$L:$L,OBJECT_CONDITIONS!$A:$A,$N57)-1))+($H57*(SUMIFS(OBJECT_CONDITIONS!$N:$N,OBJECT_CONDITIONS!$A:$A,$N57)-1))+($I57*(SUMIFS(OBJECT_CONDITIONS!$P:$P,OBJECT_CONDITIONS!$A:$A,$N57)-1))+($J57*(SUMIFS(OBJECT_CONDITIONS!$R:$R,OBJECT_CONDITIONS!$A:$A,$N57)-1))+($K57*(SUMIFS(OBJECT_CONDITIONS!$T:$T,OBJECT_CONDITIONS!$A:$A,$N57)-1)),3))</f>
        <v/>
      </c>
      <c r="P57" s="31"/>
    </row>
    <row r="58" ht="14.25" customHeight="1">
      <c r="A58" s="31"/>
      <c r="B58" s="31"/>
      <c r="C58" s="34"/>
      <c r="D58" s="34"/>
      <c r="E58" s="34"/>
      <c r="F58" s="34"/>
      <c r="G58" s="34"/>
      <c r="H58" s="34"/>
      <c r="I58" s="34"/>
      <c r="J58" s="34"/>
      <c r="K58" s="34"/>
      <c r="L58" s="31"/>
      <c r="M58" s="31"/>
      <c r="N58" s="31"/>
      <c r="O58" s="35" t="str">
        <f>IF($N58="","",ROUND(1+($C58*(SUMIFS(OBJECT_CONDITIONS!$D:$D,OBJECT_CONDITIONS!$A:$A,$N58)-1))+($D58*(SUMIFS(OBJECT_CONDITIONS!$F:$F,OBJECT_CONDITIONS!$A:$A,$N58)-1))+($E58*(SUMIFS(OBJECT_CONDITIONS!$H:$H,OBJECT_CONDITIONS!$A:$A,$N58)-1))+($F58*(SUMIFS(OBJECT_CONDITIONS!$J:$J,OBJECT_CONDITIONS!$A:$A,$N58)-1))+($G58*(SUMIFS(OBJECT_CONDITIONS!$L:$L,OBJECT_CONDITIONS!$A:$A,$N58)-1))+($H58*(SUMIFS(OBJECT_CONDITIONS!$N:$N,OBJECT_CONDITIONS!$A:$A,$N58)-1))+($I58*(SUMIFS(OBJECT_CONDITIONS!$P:$P,OBJECT_CONDITIONS!$A:$A,$N58)-1))+($J58*(SUMIFS(OBJECT_CONDITIONS!$R:$R,OBJECT_CONDITIONS!$A:$A,$N58)-1))+($K58*(SUMIFS(OBJECT_CONDITIONS!$T:$T,OBJECT_CONDITIONS!$A:$A,$N58)-1)),3))</f>
        <v/>
      </c>
      <c r="P58" s="31"/>
    </row>
    <row r="59" ht="14.25" customHeight="1">
      <c r="A59" s="31"/>
      <c r="B59" s="31"/>
      <c r="C59" s="34"/>
      <c r="D59" s="34"/>
      <c r="E59" s="34"/>
      <c r="F59" s="34"/>
      <c r="G59" s="34"/>
      <c r="H59" s="34"/>
      <c r="I59" s="34"/>
      <c r="J59" s="34"/>
      <c r="K59" s="34"/>
      <c r="L59" s="31"/>
      <c r="M59" s="31"/>
      <c r="N59" s="31"/>
      <c r="O59" s="35" t="str">
        <f>IF($N59="","",ROUND(1+($C59*(SUMIFS(OBJECT_CONDITIONS!$D:$D,OBJECT_CONDITIONS!$A:$A,$N59)-1))+($D59*(SUMIFS(OBJECT_CONDITIONS!$F:$F,OBJECT_CONDITIONS!$A:$A,$N59)-1))+($E59*(SUMIFS(OBJECT_CONDITIONS!$H:$H,OBJECT_CONDITIONS!$A:$A,$N59)-1))+($F59*(SUMIFS(OBJECT_CONDITIONS!$J:$J,OBJECT_CONDITIONS!$A:$A,$N59)-1))+($G59*(SUMIFS(OBJECT_CONDITIONS!$L:$L,OBJECT_CONDITIONS!$A:$A,$N59)-1))+($H59*(SUMIFS(OBJECT_CONDITIONS!$N:$N,OBJECT_CONDITIONS!$A:$A,$N59)-1))+($I59*(SUMIFS(OBJECT_CONDITIONS!$P:$P,OBJECT_CONDITIONS!$A:$A,$N59)-1))+($J59*(SUMIFS(OBJECT_CONDITIONS!$R:$R,OBJECT_CONDITIONS!$A:$A,$N59)-1))+($K59*(SUMIFS(OBJECT_CONDITIONS!$T:$T,OBJECT_CONDITIONS!$A:$A,$N59)-1)),3))</f>
        <v/>
      </c>
      <c r="P59" s="31"/>
    </row>
    <row r="60" ht="14.25" customHeight="1">
      <c r="A60" s="31"/>
      <c r="B60" s="31"/>
      <c r="C60" s="34"/>
      <c r="D60" s="34"/>
      <c r="E60" s="34"/>
      <c r="F60" s="34"/>
      <c r="G60" s="34"/>
      <c r="H60" s="34"/>
      <c r="I60" s="34"/>
      <c r="J60" s="34"/>
      <c r="K60" s="34"/>
      <c r="L60" s="31"/>
      <c r="M60" s="31"/>
      <c r="N60" s="31"/>
      <c r="O60" s="35" t="str">
        <f>IF($N60="","",ROUND(1+($C60*(SUMIFS(OBJECT_CONDITIONS!$D:$D,OBJECT_CONDITIONS!$A:$A,$N60)-1))+($D60*(SUMIFS(OBJECT_CONDITIONS!$F:$F,OBJECT_CONDITIONS!$A:$A,$N60)-1))+($E60*(SUMIFS(OBJECT_CONDITIONS!$H:$H,OBJECT_CONDITIONS!$A:$A,$N60)-1))+($F60*(SUMIFS(OBJECT_CONDITIONS!$J:$J,OBJECT_CONDITIONS!$A:$A,$N60)-1))+($G60*(SUMIFS(OBJECT_CONDITIONS!$L:$L,OBJECT_CONDITIONS!$A:$A,$N60)-1))+($H60*(SUMIFS(OBJECT_CONDITIONS!$N:$N,OBJECT_CONDITIONS!$A:$A,$N60)-1))+($I60*(SUMIFS(OBJECT_CONDITIONS!$P:$P,OBJECT_CONDITIONS!$A:$A,$N60)-1))+($J60*(SUMIFS(OBJECT_CONDITIONS!$R:$R,OBJECT_CONDITIONS!$A:$A,$N60)-1))+($K60*(SUMIFS(OBJECT_CONDITIONS!$T:$T,OBJECT_CONDITIONS!$A:$A,$N60)-1)),3))</f>
        <v/>
      </c>
      <c r="P60" s="31"/>
    </row>
    <row r="61" ht="14.25" customHeight="1">
      <c r="A61" s="31"/>
      <c r="B61" s="31"/>
      <c r="C61" s="34"/>
      <c r="D61" s="34"/>
      <c r="E61" s="34"/>
      <c r="F61" s="34"/>
      <c r="G61" s="34"/>
      <c r="H61" s="34"/>
      <c r="I61" s="34"/>
      <c r="J61" s="34"/>
      <c r="K61" s="34"/>
      <c r="L61" s="31"/>
      <c r="M61" s="31"/>
      <c r="N61" s="31"/>
      <c r="O61" s="35" t="str">
        <f>IF($N61="","",ROUND(1+($C61*(SUMIFS(OBJECT_CONDITIONS!$D:$D,OBJECT_CONDITIONS!$A:$A,$N61)-1))+($D61*(SUMIFS(OBJECT_CONDITIONS!$F:$F,OBJECT_CONDITIONS!$A:$A,$N61)-1))+($E61*(SUMIFS(OBJECT_CONDITIONS!$H:$H,OBJECT_CONDITIONS!$A:$A,$N61)-1))+($F61*(SUMIFS(OBJECT_CONDITIONS!$J:$J,OBJECT_CONDITIONS!$A:$A,$N61)-1))+($G61*(SUMIFS(OBJECT_CONDITIONS!$L:$L,OBJECT_CONDITIONS!$A:$A,$N61)-1))+($H61*(SUMIFS(OBJECT_CONDITIONS!$N:$N,OBJECT_CONDITIONS!$A:$A,$N61)-1))+($I61*(SUMIFS(OBJECT_CONDITIONS!$P:$P,OBJECT_CONDITIONS!$A:$A,$N61)-1))+($J61*(SUMIFS(OBJECT_CONDITIONS!$R:$R,OBJECT_CONDITIONS!$A:$A,$N61)-1))+($K61*(SUMIFS(OBJECT_CONDITIONS!$T:$T,OBJECT_CONDITIONS!$A:$A,$N61)-1)),3))</f>
        <v/>
      </c>
      <c r="P61" s="31"/>
    </row>
    <row r="62" ht="14.25" customHeight="1">
      <c r="A62" s="31"/>
      <c r="B62" s="31"/>
      <c r="C62" s="34"/>
      <c r="D62" s="34"/>
      <c r="E62" s="34"/>
      <c r="F62" s="34"/>
      <c r="G62" s="34"/>
      <c r="H62" s="34"/>
      <c r="I62" s="34"/>
      <c r="J62" s="34"/>
      <c r="K62" s="34"/>
      <c r="L62" s="31"/>
      <c r="M62" s="31"/>
      <c r="N62" s="31"/>
      <c r="O62" s="35" t="str">
        <f>IF($N62="","",ROUND(1+($C62*(SUMIFS(OBJECT_CONDITIONS!$D:$D,OBJECT_CONDITIONS!$A:$A,$N62)-1))+($D62*(SUMIFS(OBJECT_CONDITIONS!$F:$F,OBJECT_CONDITIONS!$A:$A,$N62)-1))+($E62*(SUMIFS(OBJECT_CONDITIONS!$H:$H,OBJECT_CONDITIONS!$A:$A,$N62)-1))+($F62*(SUMIFS(OBJECT_CONDITIONS!$J:$J,OBJECT_CONDITIONS!$A:$A,$N62)-1))+($G62*(SUMIFS(OBJECT_CONDITIONS!$L:$L,OBJECT_CONDITIONS!$A:$A,$N62)-1))+($H62*(SUMIFS(OBJECT_CONDITIONS!$N:$N,OBJECT_CONDITIONS!$A:$A,$N62)-1))+($I62*(SUMIFS(OBJECT_CONDITIONS!$P:$P,OBJECT_CONDITIONS!$A:$A,$N62)-1))+($J62*(SUMIFS(OBJECT_CONDITIONS!$R:$R,OBJECT_CONDITIONS!$A:$A,$N62)-1))+($K62*(SUMIFS(OBJECT_CONDITIONS!$T:$T,OBJECT_CONDITIONS!$A:$A,$N62)-1)),3))</f>
        <v/>
      </c>
      <c r="P62" s="31"/>
    </row>
    <row r="63" ht="14.25" customHeight="1">
      <c r="A63" s="31"/>
      <c r="B63" s="31"/>
      <c r="C63" s="34"/>
      <c r="D63" s="34"/>
      <c r="E63" s="34"/>
      <c r="F63" s="34"/>
      <c r="G63" s="34"/>
      <c r="H63" s="34"/>
      <c r="I63" s="34"/>
      <c r="J63" s="34"/>
      <c r="K63" s="34"/>
      <c r="L63" s="31"/>
      <c r="M63" s="31"/>
      <c r="N63" s="31"/>
      <c r="O63" s="35" t="str">
        <f>IF($N63="","",ROUND(1+($C63*(SUMIFS(OBJECT_CONDITIONS!$D:$D,OBJECT_CONDITIONS!$A:$A,$N63)-1))+($D63*(SUMIFS(OBJECT_CONDITIONS!$F:$F,OBJECT_CONDITIONS!$A:$A,$N63)-1))+($E63*(SUMIFS(OBJECT_CONDITIONS!$H:$H,OBJECT_CONDITIONS!$A:$A,$N63)-1))+($F63*(SUMIFS(OBJECT_CONDITIONS!$J:$J,OBJECT_CONDITIONS!$A:$A,$N63)-1))+($G63*(SUMIFS(OBJECT_CONDITIONS!$L:$L,OBJECT_CONDITIONS!$A:$A,$N63)-1))+($H63*(SUMIFS(OBJECT_CONDITIONS!$N:$N,OBJECT_CONDITIONS!$A:$A,$N63)-1))+($I63*(SUMIFS(OBJECT_CONDITIONS!$P:$P,OBJECT_CONDITIONS!$A:$A,$N63)-1))+($J63*(SUMIFS(OBJECT_CONDITIONS!$R:$R,OBJECT_CONDITIONS!$A:$A,$N63)-1))+($K63*(SUMIFS(OBJECT_CONDITIONS!$T:$T,OBJECT_CONDITIONS!$A:$A,$N63)-1)),3))</f>
        <v/>
      </c>
      <c r="P63" s="31"/>
    </row>
    <row r="64" ht="14.25" customHeight="1">
      <c r="A64" s="31"/>
      <c r="B64" s="31"/>
      <c r="C64" s="34"/>
      <c r="D64" s="34"/>
      <c r="E64" s="34"/>
      <c r="F64" s="34"/>
      <c r="G64" s="34"/>
      <c r="H64" s="34"/>
      <c r="I64" s="34"/>
      <c r="J64" s="34"/>
      <c r="K64" s="34"/>
      <c r="L64" s="31"/>
      <c r="M64" s="31"/>
      <c r="N64" s="31"/>
      <c r="O64" s="35" t="str">
        <f>IF($N64="","",ROUND(1+($C64*(SUMIFS(OBJECT_CONDITIONS!$D:$D,OBJECT_CONDITIONS!$A:$A,$N64)-1))+($D64*(SUMIFS(OBJECT_CONDITIONS!$F:$F,OBJECT_CONDITIONS!$A:$A,$N64)-1))+($E64*(SUMIFS(OBJECT_CONDITIONS!$H:$H,OBJECT_CONDITIONS!$A:$A,$N64)-1))+($F64*(SUMIFS(OBJECT_CONDITIONS!$J:$J,OBJECT_CONDITIONS!$A:$A,$N64)-1))+($G64*(SUMIFS(OBJECT_CONDITIONS!$L:$L,OBJECT_CONDITIONS!$A:$A,$N64)-1))+($H64*(SUMIFS(OBJECT_CONDITIONS!$N:$N,OBJECT_CONDITIONS!$A:$A,$N64)-1))+($I64*(SUMIFS(OBJECT_CONDITIONS!$P:$P,OBJECT_CONDITIONS!$A:$A,$N64)-1))+($J64*(SUMIFS(OBJECT_CONDITIONS!$R:$R,OBJECT_CONDITIONS!$A:$A,$N64)-1))+($K64*(SUMIFS(OBJECT_CONDITIONS!$T:$T,OBJECT_CONDITIONS!$A:$A,$N64)-1)),3))</f>
        <v/>
      </c>
      <c r="P64" s="31"/>
    </row>
    <row r="65" ht="14.25" customHeight="1">
      <c r="A65" s="31"/>
      <c r="B65" s="31"/>
      <c r="C65" s="34"/>
      <c r="D65" s="34"/>
      <c r="E65" s="34"/>
      <c r="F65" s="34"/>
      <c r="G65" s="34"/>
      <c r="H65" s="34"/>
      <c r="I65" s="34"/>
      <c r="J65" s="34"/>
      <c r="K65" s="34"/>
      <c r="L65" s="31"/>
      <c r="M65" s="31"/>
      <c r="N65" s="31"/>
      <c r="O65" s="35" t="str">
        <f>IF($N65="","",ROUND(1+($C65*(SUMIFS(OBJECT_CONDITIONS!$D:$D,OBJECT_CONDITIONS!$A:$A,$N65)-1))+($D65*(SUMIFS(OBJECT_CONDITIONS!$F:$F,OBJECT_CONDITIONS!$A:$A,$N65)-1))+($E65*(SUMIFS(OBJECT_CONDITIONS!$H:$H,OBJECT_CONDITIONS!$A:$A,$N65)-1))+($F65*(SUMIFS(OBJECT_CONDITIONS!$J:$J,OBJECT_CONDITIONS!$A:$A,$N65)-1))+($G65*(SUMIFS(OBJECT_CONDITIONS!$L:$L,OBJECT_CONDITIONS!$A:$A,$N65)-1))+($H65*(SUMIFS(OBJECT_CONDITIONS!$N:$N,OBJECT_CONDITIONS!$A:$A,$N65)-1))+($I65*(SUMIFS(OBJECT_CONDITIONS!$P:$P,OBJECT_CONDITIONS!$A:$A,$N65)-1))+($J65*(SUMIFS(OBJECT_CONDITIONS!$R:$R,OBJECT_CONDITIONS!$A:$A,$N65)-1))+($K65*(SUMIFS(OBJECT_CONDITIONS!$T:$T,OBJECT_CONDITIONS!$A:$A,$N65)-1)),3))</f>
        <v/>
      </c>
      <c r="P65" s="31"/>
    </row>
    <row r="66" ht="14.25" customHeight="1">
      <c r="A66" s="31"/>
      <c r="B66" s="31"/>
      <c r="C66" s="34"/>
      <c r="D66" s="34"/>
      <c r="E66" s="34"/>
      <c r="F66" s="34"/>
      <c r="G66" s="34"/>
      <c r="H66" s="34"/>
      <c r="I66" s="34"/>
      <c r="J66" s="34"/>
      <c r="K66" s="34"/>
      <c r="L66" s="31"/>
      <c r="M66" s="31"/>
      <c r="N66" s="31"/>
      <c r="O66" s="35" t="str">
        <f>IF($N66="","",ROUND(1+($C66*(SUMIFS(OBJECT_CONDITIONS!$D:$D,OBJECT_CONDITIONS!$A:$A,$N66)-1))+($D66*(SUMIFS(OBJECT_CONDITIONS!$F:$F,OBJECT_CONDITIONS!$A:$A,$N66)-1))+($E66*(SUMIFS(OBJECT_CONDITIONS!$H:$H,OBJECT_CONDITIONS!$A:$A,$N66)-1))+($F66*(SUMIFS(OBJECT_CONDITIONS!$J:$J,OBJECT_CONDITIONS!$A:$A,$N66)-1))+($G66*(SUMIFS(OBJECT_CONDITIONS!$L:$L,OBJECT_CONDITIONS!$A:$A,$N66)-1))+($H66*(SUMIFS(OBJECT_CONDITIONS!$N:$N,OBJECT_CONDITIONS!$A:$A,$N66)-1))+($I66*(SUMIFS(OBJECT_CONDITIONS!$P:$P,OBJECT_CONDITIONS!$A:$A,$N66)-1))+($J66*(SUMIFS(OBJECT_CONDITIONS!$R:$R,OBJECT_CONDITIONS!$A:$A,$N66)-1))+($K66*(SUMIFS(OBJECT_CONDITIONS!$T:$T,OBJECT_CONDITIONS!$A:$A,$N66)-1)),3))</f>
        <v/>
      </c>
      <c r="P66" s="31"/>
    </row>
    <row r="67" ht="14.25" customHeight="1">
      <c r="A67" s="31"/>
      <c r="B67" s="31"/>
      <c r="C67" s="34"/>
      <c r="D67" s="34"/>
      <c r="E67" s="34"/>
      <c r="F67" s="34"/>
      <c r="G67" s="34"/>
      <c r="H67" s="34"/>
      <c r="I67" s="34"/>
      <c r="J67" s="34"/>
      <c r="K67" s="34"/>
      <c r="L67" s="31"/>
      <c r="M67" s="31"/>
      <c r="N67" s="31"/>
      <c r="O67" s="35" t="str">
        <f>IF($N67="","",ROUND(1+($C67*(SUMIFS(OBJECT_CONDITIONS!$D:$D,OBJECT_CONDITIONS!$A:$A,$N67)-1))+($D67*(SUMIFS(OBJECT_CONDITIONS!$F:$F,OBJECT_CONDITIONS!$A:$A,$N67)-1))+($E67*(SUMIFS(OBJECT_CONDITIONS!$H:$H,OBJECT_CONDITIONS!$A:$A,$N67)-1))+($F67*(SUMIFS(OBJECT_CONDITIONS!$J:$J,OBJECT_CONDITIONS!$A:$A,$N67)-1))+($G67*(SUMIFS(OBJECT_CONDITIONS!$L:$L,OBJECT_CONDITIONS!$A:$A,$N67)-1))+($H67*(SUMIFS(OBJECT_CONDITIONS!$N:$N,OBJECT_CONDITIONS!$A:$A,$N67)-1))+($I67*(SUMIFS(OBJECT_CONDITIONS!$P:$P,OBJECT_CONDITIONS!$A:$A,$N67)-1))+($J67*(SUMIFS(OBJECT_CONDITIONS!$R:$R,OBJECT_CONDITIONS!$A:$A,$N67)-1))+($K67*(SUMIFS(OBJECT_CONDITIONS!$T:$T,OBJECT_CONDITIONS!$A:$A,$N67)-1)),3))</f>
        <v/>
      </c>
      <c r="P67" s="31"/>
    </row>
    <row r="68" ht="14.25" customHeight="1">
      <c r="A68" s="31"/>
      <c r="B68" s="31"/>
      <c r="C68" s="34"/>
      <c r="D68" s="34"/>
      <c r="E68" s="34"/>
      <c r="F68" s="34"/>
      <c r="G68" s="34"/>
      <c r="H68" s="34"/>
      <c r="I68" s="34"/>
      <c r="J68" s="34"/>
      <c r="K68" s="34"/>
      <c r="L68" s="31"/>
      <c r="M68" s="31"/>
      <c r="N68" s="31"/>
      <c r="O68" s="35" t="str">
        <f>IF($N68="","",ROUND(1+($C68*(SUMIFS(OBJECT_CONDITIONS!$D:$D,OBJECT_CONDITIONS!$A:$A,$N68)-1))+($D68*(SUMIFS(OBJECT_CONDITIONS!$F:$F,OBJECT_CONDITIONS!$A:$A,$N68)-1))+($E68*(SUMIFS(OBJECT_CONDITIONS!$H:$H,OBJECT_CONDITIONS!$A:$A,$N68)-1))+($F68*(SUMIFS(OBJECT_CONDITIONS!$J:$J,OBJECT_CONDITIONS!$A:$A,$N68)-1))+($G68*(SUMIFS(OBJECT_CONDITIONS!$L:$L,OBJECT_CONDITIONS!$A:$A,$N68)-1))+($H68*(SUMIFS(OBJECT_CONDITIONS!$N:$N,OBJECT_CONDITIONS!$A:$A,$N68)-1))+($I68*(SUMIFS(OBJECT_CONDITIONS!$P:$P,OBJECT_CONDITIONS!$A:$A,$N68)-1))+($J68*(SUMIFS(OBJECT_CONDITIONS!$R:$R,OBJECT_CONDITIONS!$A:$A,$N68)-1))+($K68*(SUMIFS(OBJECT_CONDITIONS!$T:$T,OBJECT_CONDITIONS!$A:$A,$N68)-1)),3))</f>
        <v/>
      </c>
      <c r="P68" s="31"/>
    </row>
    <row r="69" ht="14.25" customHeight="1">
      <c r="A69" s="31"/>
      <c r="B69" s="31"/>
      <c r="C69" s="34"/>
      <c r="D69" s="34"/>
      <c r="E69" s="34"/>
      <c r="F69" s="34"/>
      <c r="G69" s="34"/>
      <c r="H69" s="34"/>
      <c r="I69" s="34"/>
      <c r="J69" s="34"/>
      <c r="K69" s="34"/>
      <c r="L69" s="31"/>
      <c r="M69" s="31"/>
      <c r="N69" s="31"/>
      <c r="O69" s="35" t="str">
        <f>IF($N69="","",ROUND(1+($C69*(SUMIFS(OBJECT_CONDITIONS!$D:$D,OBJECT_CONDITIONS!$A:$A,$N69)-1))+($D69*(SUMIFS(OBJECT_CONDITIONS!$F:$F,OBJECT_CONDITIONS!$A:$A,$N69)-1))+($E69*(SUMIFS(OBJECT_CONDITIONS!$H:$H,OBJECT_CONDITIONS!$A:$A,$N69)-1))+($F69*(SUMIFS(OBJECT_CONDITIONS!$J:$J,OBJECT_CONDITIONS!$A:$A,$N69)-1))+($G69*(SUMIFS(OBJECT_CONDITIONS!$L:$L,OBJECT_CONDITIONS!$A:$A,$N69)-1))+($H69*(SUMIFS(OBJECT_CONDITIONS!$N:$N,OBJECT_CONDITIONS!$A:$A,$N69)-1))+($I69*(SUMIFS(OBJECT_CONDITIONS!$P:$P,OBJECT_CONDITIONS!$A:$A,$N69)-1))+($J69*(SUMIFS(OBJECT_CONDITIONS!$R:$R,OBJECT_CONDITIONS!$A:$A,$N69)-1))+($K69*(SUMIFS(OBJECT_CONDITIONS!$T:$T,OBJECT_CONDITIONS!$A:$A,$N69)-1)),3))</f>
        <v/>
      </c>
      <c r="P69" s="31"/>
    </row>
    <row r="70" ht="14.25" customHeight="1">
      <c r="A70" s="31"/>
      <c r="B70" s="31"/>
      <c r="C70" s="34"/>
      <c r="D70" s="34"/>
      <c r="E70" s="34"/>
      <c r="F70" s="34"/>
      <c r="G70" s="34"/>
      <c r="H70" s="34"/>
      <c r="I70" s="34"/>
      <c r="J70" s="34"/>
      <c r="K70" s="34"/>
      <c r="L70" s="31"/>
      <c r="M70" s="31"/>
      <c r="N70" s="31"/>
      <c r="O70" s="35" t="str">
        <f>IF($N70="","",ROUND(1+($C70*(SUMIFS(OBJECT_CONDITIONS!$D:$D,OBJECT_CONDITIONS!$A:$A,$N70)-1))+($D70*(SUMIFS(OBJECT_CONDITIONS!$F:$F,OBJECT_CONDITIONS!$A:$A,$N70)-1))+($E70*(SUMIFS(OBJECT_CONDITIONS!$H:$H,OBJECT_CONDITIONS!$A:$A,$N70)-1))+($F70*(SUMIFS(OBJECT_CONDITIONS!$J:$J,OBJECT_CONDITIONS!$A:$A,$N70)-1))+($G70*(SUMIFS(OBJECT_CONDITIONS!$L:$L,OBJECT_CONDITIONS!$A:$A,$N70)-1))+($H70*(SUMIFS(OBJECT_CONDITIONS!$N:$N,OBJECT_CONDITIONS!$A:$A,$N70)-1))+($I70*(SUMIFS(OBJECT_CONDITIONS!$P:$P,OBJECT_CONDITIONS!$A:$A,$N70)-1))+($J70*(SUMIFS(OBJECT_CONDITIONS!$R:$R,OBJECT_CONDITIONS!$A:$A,$N70)-1))+($K70*(SUMIFS(OBJECT_CONDITIONS!$T:$T,OBJECT_CONDITIONS!$A:$A,$N70)-1)),3))</f>
        <v/>
      </c>
      <c r="P70" s="31"/>
    </row>
    <row r="71" ht="14.25" customHeight="1">
      <c r="A71" s="31"/>
      <c r="B71" s="31"/>
      <c r="C71" s="34"/>
      <c r="D71" s="34"/>
      <c r="E71" s="34"/>
      <c r="F71" s="34"/>
      <c r="G71" s="34"/>
      <c r="H71" s="34"/>
      <c r="I71" s="34"/>
      <c r="J71" s="34"/>
      <c r="K71" s="34"/>
      <c r="L71" s="31"/>
      <c r="M71" s="31"/>
      <c r="N71" s="31"/>
      <c r="O71" s="35" t="str">
        <f>IF($N71="","",ROUND(1+($C71*(SUMIFS(OBJECT_CONDITIONS!$D:$D,OBJECT_CONDITIONS!$A:$A,$N71)-1))+($D71*(SUMIFS(OBJECT_CONDITIONS!$F:$F,OBJECT_CONDITIONS!$A:$A,$N71)-1))+($E71*(SUMIFS(OBJECT_CONDITIONS!$H:$H,OBJECT_CONDITIONS!$A:$A,$N71)-1))+($F71*(SUMIFS(OBJECT_CONDITIONS!$J:$J,OBJECT_CONDITIONS!$A:$A,$N71)-1))+($G71*(SUMIFS(OBJECT_CONDITIONS!$L:$L,OBJECT_CONDITIONS!$A:$A,$N71)-1))+($H71*(SUMIFS(OBJECT_CONDITIONS!$N:$N,OBJECT_CONDITIONS!$A:$A,$N71)-1))+($I71*(SUMIFS(OBJECT_CONDITIONS!$P:$P,OBJECT_CONDITIONS!$A:$A,$N71)-1))+($J71*(SUMIFS(OBJECT_CONDITIONS!$R:$R,OBJECT_CONDITIONS!$A:$A,$N71)-1))+($K71*(SUMIFS(OBJECT_CONDITIONS!$T:$T,OBJECT_CONDITIONS!$A:$A,$N71)-1)),3))</f>
        <v/>
      </c>
      <c r="P71" s="31"/>
    </row>
    <row r="72" ht="14.25" customHeight="1">
      <c r="A72" s="31"/>
      <c r="B72" s="31"/>
      <c r="C72" s="34"/>
      <c r="D72" s="34"/>
      <c r="E72" s="34"/>
      <c r="F72" s="34"/>
      <c r="G72" s="34"/>
      <c r="H72" s="34"/>
      <c r="I72" s="34"/>
      <c r="J72" s="34"/>
      <c r="K72" s="34"/>
      <c r="L72" s="31"/>
      <c r="M72" s="31"/>
      <c r="N72" s="31"/>
      <c r="O72" s="35" t="str">
        <f>IF($N72="","",ROUND(1+($C72*(SUMIFS(OBJECT_CONDITIONS!$D:$D,OBJECT_CONDITIONS!$A:$A,$N72)-1))+($D72*(SUMIFS(OBJECT_CONDITIONS!$F:$F,OBJECT_CONDITIONS!$A:$A,$N72)-1))+($E72*(SUMIFS(OBJECT_CONDITIONS!$H:$H,OBJECT_CONDITIONS!$A:$A,$N72)-1))+($F72*(SUMIFS(OBJECT_CONDITIONS!$J:$J,OBJECT_CONDITIONS!$A:$A,$N72)-1))+($G72*(SUMIFS(OBJECT_CONDITIONS!$L:$L,OBJECT_CONDITIONS!$A:$A,$N72)-1))+($H72*(SUMIFS(OBJECT_CONDITIONS!$N:$N,OBJECT_CONDITIONS!$A:$A,$N72)-1))+($I72*(SUMIFS(OBJECT_CONDITIONS!$P:$P,OBJECT_CONDITIONS!$A:$A,$N72)-1))+($J72*(SUMIFS(OBJECT_CONDITIONS!$R:$R,OBJECT_CONDITIONS!$A:$A,$N72)-1))+($K72*(SUMIFS(OBJECT_CONDITIONS!$T:$T,OBJECT_CONDITIONS!$A:$A,$N72)-1)),3))</f>
        <v/>
      </c>
      <c r="P72" s="31"/>
    </row>
    <row r="73" ht="14.25" customHeight="1">
      <c r="A73" s="31"/>
      <c r="B73" s="31"/>
      <c r="C73" s="34"/>
      <c r="D73" s="34"/>
      <c r="E73" s="34"/>
      <c r="F73" s="34"/>
      <c r="G73" s="34"/>
      <c r="H73" s="34"/>
      <c r="I73" s="34"/>
      <c r="J73" s="34"/>
      <c r="K73" s="34"/>
      <c r="L73" s="31"/>
      <c r="M73" s="31"/>
      <c r="N73" s="31"/>
      <c r="O73" s="35" t="str">
        <f>IF($N73="","",ROUND(1+($C73*(SUMIFS(OBJECT_CONDITIONS!$D:$D,OBJECT_CONDITIONS!$A:$A,$N73)-1))+($D73*(SUMIFS(OBJECT_CONDITIONS!$F:$F,OBJECT_CONDITIONS!$A:$A,$N73)-1))+($E73*(SUMIFS(OBJECT_CONDITIONS!$H:$H,OBJECT_CONDITIONS!$A:$A,$N73)-1))+($F73*(SUMIFS(OBJECT_CONDITIONS!$J:$J,OBJECT_CONDITIONS!$A:$A,$N73)-1))+($G73*(SUMIFS(OBJECT_CONDITIONS!$L:$L,OBJECT_CONDITIONS!$A:$A,$N73)-1))+($H73*(SUMIFS(OBJECT_CONDITIONS!$N:$N,OBJECT_CONDITIONS!$A:$A,$N73)-1))+($I73*(SUMIFS(OBJECT_CONDITIONS!$P:$P,OBJECT_CONDITIONS!$A:$A,$N73)-1))+($J73*(SUMIFS(OBJECT_CONDITIONS!$R:$R,OBJECT_CONDITIONS!$A:$A,$N73)-1))+($K73*(SUMIFS(OBJECT_CONDITIONS!$T:$T,OBJECT_CONDITIONS!$A:$A,$N73)-1)),3))</f>
        <v/>
      </c>
      <c r="P73" s="31"/>
    </row>
    <row r="74" ht="14.25" customHeight="1">
      <c r="A74" s="31"/>
      <c r="B74" s="31"/>
      <c r="C74" s="34"/>
      <c r="D74" s="34"/>
      <c r="E74" s="34"/>
      <c r="F74" s="34"/>
      <c r="G74" s="34"/>
      <c r="H74" s="34"/>
      <c r="I74" s="34"/>
      <c r="J74" s="34"/>
      <c r="K74" s="34"/>
      <c r="L74" s="31"/>
      <c r="M74" s="31"/>
      <c r="N74" s="31"/>
      <c r="O74" s="35" t="str">
        <f>IF($N74="","",ROUND(1+($C74*(SUMIFS(OBJECT_CONDITIONS!$D:$D,OBJECT_CONDITIONS!$A:$A,$N74)-1))+($D74*(SUMIFS(OBJECT_CONDITIONS!$F:$F,OBJECT_CONDITIONS!$A:$A,$N74)-1))+($E74*(SUMIFS(OBJECT_CONDITIONS!$H:$H,OBJECT_CONDITIONS!$A:$A,$N74)-1))+($F74*(SUMIFS(OBJECT_CONDITIONS!$J:$J,OBJECT_CONDITIONS!$A:$A,$N74)-1))+($G74*(SUMIFS(OBJECT_CONDITIONS!$L:$L,OBJECT_CONDITIONS!$A:$A,$N74)-1))+($H74*(SUMIFS(OBJECT_CONDITIONS!$N:$N,OBJECT_CONDITIONS!$A:$A,$N74)-1))+($I74*(SUMIFS(OBJECT_CONDITIONS!$P:$P,OBJECT_CONDITIONS!$A:$A,$N74)-1))+($J74*(SUMIFS(OBJECT_CONDITIONS!$R:$R,OBJECT_CONDITIONS!$A:$A,$N74)-1))+($K74*(SUMIFS(OBJECT_CONDITIONS!$T:$T,OBJECT_CONDITIONS!$A:$A,$N74)-1)),3))</f>
        <v/>
      </c>
      <c r="P74" s="31"/>
    </row>
    <row r="75" ht="14.25" customHeight="1">
      <c r="A75" s="31"/>
      <c r="B75" s="31"/>
      <c r="C75" s="34"/>
      <c r="D75" s="34"/>
      <c r="E75" s="34"/>
      <c r="F75" s="34"/>
      <c r="G75" s="34"/>
      <c r="H75" s="34"/>
      <c r="I75" s="34"/>
      <c r="J75" s="34"/>
      <c r="K75" s="34"/>
      <c r="L75" s="31"/>
      <c r="M75" s="31"/>
      <c r="N75" s="31"/>
      <c r="O75" s="35" t="str">
        <f>IF($N75="","",ROUND(1+($C75*(SUMIFS(OBJECT_CONDITIONS!$D:$D,OBJECT_CONDITIONS!$A:$A,$N75)-1))+($D75*(SUMIFS(OBJECT_CONDITIONS!$F:$F,OBJECT_CONDITIONS!$A:$A,$N75)-1))+($E75*(SUMIFS(OBJECT_CONDITIONS!$H:$H,OBJECT_CONDITIONS!$A:$A,$N75)-1))+($F75*(SUMIFS(OBJECT_CONDITIONS!$J:$J,OBJECT_CONDITIONS!$A:$A,$N75)-1))+($G75*(SUMIFS(OBJECT_CONDITIONS!$L:$L,OBJECT_CONDITIONS!$A:$A,$N75)-1))+($H75*(SUMIFS(OBJECT_CONDITIONS!$N:$N,OBJECT_CONDITIONS!$A:$A,$N75)-1))+($I75*(SUMIFS(OBJECT_CONDITIONS!$P:$P,OBJECT_CONDITIONS!$A:$A,$N75)-1))+($J75*(SUMIFS(OBJECT_CONDITIONS!$R:$R,OBJECT_CONDITIONS!$A:$A,$N75)-1))+($K75*(SUMIFS(OBJECT_CONDITIONS!$T:$T,OBJECT_CONDITIONS!$A:$A,$N75)-1)),3))</f>
        <v/>
      </c>
      <c r="P75" s="31"/>
    </row>
    <row r="76" ht="14.25" customHeight="1">
      <c r="A76" s="31"/>
      <c r="B76" s="31"/>
      <c r="C76" s="34"/>
      <c r="D76" s="34"/>
      <c r="E76" s="34"/>
      <c r="F76" s="34"/>
      <c r="G76" s="34"/>
      <c r="H76" s="34"/>
      <c r="I76" s="34"/>
      <c r="J76" s="34"/>
      <c r="K76" s="34"/>
      <c r="L76" s="31"/>
      <c r="M76" s="31"/>
      <c r="N76" s="31"/>
      <c r="O76" s="35" t="str">
        <f>IF($N76="","",ROUND(1+($C76*(SUMIFS(OBJECT_CONDITIONS!$D:$D,OBJECT_CONDITIONS!$A:$A,$N76)-1))+($D76*(SUMIFS(OBJECT_CONDITIONS!$F:$F,OBJECT_CONDITIONS!$A:$A,$N76)-1))+($E76*(SUMIFS(OBJECT_CONDITIONS!$H:$H,OBJECT_CONDITIONS!$A:$A,$N76)-1))+($F76*(SUMIFS(OBJECT_CONDITIONS!$J:$J,OBJECT_CONDITIONS!$A:$A,$N76)-1))+($G76*(SUMIFS(OBJECT_CONDITIONS!$L:$L,OBJECT_CONDITIONS!$A:$A,$N76)-1))+($H76*(SUMIFS(OBJECT_CONDITIONS!$N:$N,OBJECT_CONDITIONS!$A:$A,$N76)-1))+($I76*(SUMIFS(OBJECT_CONDITIONS!$P:$P,OBJECT_CONDITIONS!$A:$A,$N76)-1))+($J76*(SUMIFS(OBJECT_CONDITIONS!$R:$R,OBJECT_CONDITIONS!$A:$A,$N76)-1))+($K76*(SUMIFS(OBJECT_CONDITIONS!$T:$T,OBJECT_CONDITIONS!$A:$A,$N76)-1)),3))</f>
        <v/>
      </c>
      <c r="P76" s="31"/>
    </row>
    <row r="77" ht="14.25" customHeight="1">
      <c r="A77" s="31"/>
      <c r="B77" s="31"/>
      <c r="C77" s="34"/>
      <c r="D77" s="34"/>
      <c r="E77" s="34"/>
      <c r="F77" s="34"/>
      <c r="G77" s="34"/>
      <c r="H77" s="34"/>
      <c r="I77" s="34"/>
      <c r="J77" s="34"/>
      <c r="K77" s="34"/>
      <c r="L77" s="31"/>
      <c r="M77" s="31"/>
      <c r="N77" s="31"/>
      <c r="O77" s="35" t="str">
        <f>IF($N77="","",ROUND(1+($C77*(SUMIFS(OBJECT_CONDITIONS!$D:$D,OBJECT_CONDITIONS!$A:$A,$N77)-1))+($D77*(SUMIFS(OBJECT_CONDITIONS!$F:$F,OBJECT_CONDITIONS!$A:$A,$N77)-1))+($E77*(SUMIFS(OBJECT_CONDITIONS!$H:$H,OBJECT_CONDITIONS!$A:$A,$N77)-1))+($F77*(SUMIFS(OBJECT_CONDITIONS!$J:$J,OBJECT_CONDITIONS!$A:$A,$N77)-1))+($G77*(SUMIFS(OBJECT_CONDITIONS!$L:$L,OBJECT_CONDITIONS!$A:$A,$N77)-1))+($H77*(SUMIFS(OBJECT_CONDITIONS!$N:$N,OBJECT_CONDITIONS!$A:$A,$N77)-1))+($I77*(SUMIFS(OBJECT_CONDITIONS!$P:$P,OBJECT_CONDITIONS!$A:$A,$N77)-1))+($J77*(SUMIFS(OBJECT_CONDITIONS!$R:$R,OBJECT_CONDITIONS!$A:$A,$N77)-1))+($K77*(SUMIFS(OBJECT_CONDITIONS!$T:$T,OBJECT_CONDITIONS!$A:$A,$N77)-1)),3))</f>
        <v/>
      </c>
      <c r="P77" s="31"/>
    </row>
    <row r="78" ht="14.25" customHeight="1">
      <c r="A78" s="31"/>
      <c r="B78" s="31"/>
      <c r="C78" s="34"/>
      <c r="D78" s="34"/>
      <c r="E78" s="34"/>
      <c r="F78" s="34"/>
      <c r="G78" s="34"/>
      <c r="H78" s="34"/>
      <c r="I78" s="34"/>
      <c r="J78" s="34"/>
      <c r="K78" s="34"/>
      <c r="L78" s="31"/>
      <c r="M78" s="31"/>
      <c r="N78" s="31"/>
      <c r="O78" s="35" t="str">
        <f>IF($N78="","",ROUND(1+($C78*(SUMIFS(OBJECT_CONDITIONS!$D:$D,OBJECT_CONDITIONS!$A:$A,$N78)-1))+($D78*(SUMIFS(OBJECT_CONDITIONS!$F:$F,OBJECT_CONDITIONS!$A:$A,$N78)-1))+($E78*(SUMIFS(OBJECT_CONDITIONS!$H:$H,OBJECT_CONDITIONS!$A:$A,$N78)-1))+($F78*(SUMIFS(OBJECT_CONDITIONS!$J:$J,OBJECT_CONDITIONS!$A:$A,$N78)-1))+($G78*(SUMIFS(OBJECT_CONDITIONS!$L:$L,OBJECT_CONDITIONS!$A:$A,$N78)-1))+($H78*(SUMIFS(OBJECT_CONDITIONS!$N:$N,OBJECT_CONDITIONS!$A:$A,$N78)-1))+($I78*(SUMIFS(OBJECT_CONDITIONS!$P:$P,OBJECT_CONDITIONS!$A:$A,$N78)-1))+($J78*(SUMIFS(OBJECT_CONDITIONS!$R:$R,OBJECT_CONDITIONS!$A:$A,$N78)-1))+($K78*(SUMIFS(OBJECT_CONDITIONS!$T:$T,OBJECT_CONDITIONS!$A:$A,$N78)-1)),3))</f>
        <v/>
      </c>
      <c r="P78" s="31"/>
    </row>
    <row r="79" ht="14.25" customHeight="1">
      <c r="A79" s="31"/>
      <c r="B79" s="31"/>
      <c r="C79" s="34"/>
      <c r="D79" s="34"/>
      <c r="E79" s="34"/>
      <c r="F79" s="34"/>
      <c r="G79" s="34"/>
      <c r="H79" s="34"/>
      <c r="I79" s="34"/>
      <c r="J79" s="34"/>
      <c r="K79" s="34"/>
      <c r="L79" s="31"/>
      <c r="M79" s="31"/>
      <c r="N79" s="31"/>
      <c r="O79" s="35" t="str">
        <f>IF($N79="","",ROUND(1+($C79*(SUMIFS(OBJECT_CONDITIONS!$D:$D,OBJECT_CONDITIONS!$A:$A,$N79)-1))+($D79*(SUMIFS(OBJECT_CONDITIONS!$F:$F,OBJECT_CONDITIONS!$A:$A,$N79)-1))+($E79*(SUMIFS(OBJECT_CONDITIONS!$H:$H,OBJECT_CONDITIONS!$A:$A,$N79)-1))+($F79*(SUMIFS(OBJECT_CONDITIONS!$J:$J,OBJECT_CONDITIONS!$A:$A,$N79)-1))+($G79*(SUMIFS(OBJECT_CONDITIONS!$L:$L,OBJECT_CONDITIONS!$A:$A,$N79)-1))+($H79*(SUMIFS(OBJECT_CONDITIONS!$N:$N,OBJECT_CONDITIONS!$A:$A,$N79)-1))+($I79*(SUMIFS(OBJECT_CONDITIONS!$P:$P,OBJECT_CONDITIONS!$A:$A,$N79)-1))+($J79*(SUMIFS(OBJECT_CONDITIONS!$R:$R,OBJECT_CONDITIONS!$A:$A,$N79)-1))+($K79*(SUMIFS(OBJECT_CONDITIONS!$T:$T,OBJECT_CONDITIONS!$A:$A,$N79)-1)),3))</f>
        <v/>
      </c>
      <c r="P79" s="31"/>
    </row>
    <row r="80" ht="14.25" customHeight="1">
      <c r="A80" s="31"/>
      <c r="B80" s="31"/>
      <c r="C80" s="34"/>
      <c r="D80" s="34"/>
      <c r="E80" s="34"/>
      <c r="F80" s="34"/>
      <c r="G80" s="34"/>
      <c r="H80" s="34"/>
      <c r="I80" s="34"/>
      <c r="J80" s="34"/>
      <c r="K80" s="34"/>
      <c r="L80" s="31"/>
      <c r="M80" s="31"/>
      <c r="N80" s="31"/>
      <c r="O80" s="35" t="str">
        <f>IF($N80="","",ROUND(1+($C80*(SUMIFS(OBJECT_CONDITIONS!$D:$D,OBJECT_CONDITIONS!$A:$A,$N80)-1))+($D80*(SUMIFS(OBJECT_CONDITIONS!$F:$F,OBJECT_CONDITIONS!$A:$A,$N80)-1))+($E80*(SUMIFS(OBJECT_CONDITIONS!$H:$H,OBJECT_CONDITIONS!$A:$A,$N80)-1))+($F80*(SUMIFS(OBJECT_CONDITIONS!$J:$J,OBJECT_CONDITIONS!$A:$A,$N80)-1))+($G80*(SUMIFS(OBJECT_CONDITIONS!$L:$L,OBJECT_CONDITIONS!$A:$A,$N80)-1))+($H80*(SUMIFS(OBJECT_CONDITIONS!$N:$N,OBJECT_CONDITIONS!$A:$A,$N80)-1))+($I80*(SUMIFS(OBJECT_CONDITIONS!$P:$P,OBJECT_CONDITIONS!$A:$A,$N80)-1))+($J80*(SUMIFS(OBJECT_CONDITIONS!$R:$R,OBJECT_CONDITIONS!$A:$A,$N80)-1))+($K80*(SUMIFS(OBJECT_CONDITIONS!$T:$T,OBJECT_CONDITIONS!$A:$A,$N80)-1)),3))</f>
        <v/>
      </c>
      <c r="P80" s="31"/>
    </row>
    <row r="81" ht="14.25" customHeight="1">
      <c r="A81" s="31"/>
      <c r="B81" s="31"/>
      <c r="C81" s="34"/>
      <c r="D81" s="34"/>
      <c r="E81" s="34"/>
      <c r="F81" s="34"/>
      <c r="G81" s="34"/>
      <c r="H81" s="34"/>
      <c r="I81" s="34"/>
      <c r="J81" s="34"/>
      <c r="K81" s="34"/>
      <c r="L81" s="31"/>
      <c r="M81" s="31"/>
      <c r="N81" s="31"/>
      <c r="O81" s="35" t="str">
        <f>IF($N81="","",ROUND(1+($C81*(SUMIFS(OBJECT_CONDITIONS!$D:$D,OBJECT_CONDITIONS!$A:$A,$N81)-1))+($D81*(SUMIFS(OBJECT_CONDITIONS!$F:$F,OBJECT_CONDITIONS!$A:$A,$N81)-1))+($E81*(SUMIFS(OBJECT_CONDITIONS!$H:$H,OBJECT_CONDITIONS!$A:$A,$N81)-1))+($F81*(SUMIFS(OBJECT_CONDITIONS!$J:$J,OBJECT_CONDITIONS!$A:$A,$N81)-1))+($G81*(SUMIFS(OBJECT_CONDITIONS!$L:$L,OBJECT_CONDITIONS!$A:$A,$N81)-1))+($H81*(SUMIFS(OBJECT_CONDITIONS!$N:$N,OBJECT_CONDITIONS!$A:$A,$N81)-1))+($I81*(SUMIFS(OBJECT_CONDITIONS!$P:$P,OBJECT_CONDITIONS!$A:$A,$N81)-1))+($J81*(SUMIFS(OBJECT_CONDITIONS!$R:$R,OBJECT_CONDITIONS!$A:$A,$N81)-1))+($K81*(SUMIFS(OBJECT_CONDITIONS!$T:$T,OBJECT_CONDITIONS!$A:$A,$N81)-1)),3))</f>
        <v/>
      </c>
      <c r="P81" s="31"/>
    </row>
    <row r="82" ht="14.25" customHeight="1">
      <c r="A82" s="31"/>
      <c r="B82" s="31"/>
      <c r="C82" s="34"/>
      <c r="D82" s="34"/>
      <c r="E82" s="34"/>
      <c r="F82" s="34"/>
      <c r="G82" s="34"/>
      <c r="H82" s="34"/>
      <c r="I82" s="34"/>
      <c r="J82" s="34"/>
      <c r="K82" s="34"/>
      <c r="L82" s="31"/>
      <c r="M82" s="31"/>
      <c r="N82" s="31"/>
      <c r="O82" s="35" t="str">
        <f>IF($N82="","",ROUND(1+($C82*(SUMIFS(OBJECT_CONDITIONS!$D:$D,OBJECT_CONDITIONS!$A:$A,$N82)-1))+($D82*(SUMIFS(OBJECT_CONDITIONS!$F:$F,OBJECT_CONDITIONS!$A:$A,$N82)-1))+($E82*(SUMIFS(OBJECT_CONDITIONS!$H:$H,OBJECT_CONDITIONS!$A:$A,$N82)-1))+($F82*(SUMIFS(OBJECT_CONDITIONS!$J:$J,OBJECT_CONDITIONS!$A:$A,$N82)-1))+($G82*(SUMIFS(OBJECT_CONDITIONS!$L:$L,OBJECT_CONDITIONS!$A:$A,$N82)-1))+($H82*(SUMIFS(OBJECT_CONDITIONS!$N:$N,OBJECT_CONDITIONS!$A:$A,$N82)-1))+($I82*(SUMIFS(OBJECT_CONDITIONS!$P:$P,OBJECT_CONDITIONS!$A:$A,$N82)-1))+($J82*(SUMIFS(OBJECT_CONDITIONS!$R:$R,OBJECT_CONDITIONS!$A:$A,$N82)-1))+($K82*(SUMIFS(OBJECT_CONDITIONS!$T:$T,OBJECT_CONDITIONS!$A:$A,$N82)-1)),3))</f>
        <v/>
      </c>
      <c r="P82" s="31"/>
    </row>
    <row r="83" ht="14.25" customHeight="1">
      <c r="A83" s="31"/>
      <c r="B83" s="31"/>
      <c r="C83" s="34"/>
      <c r="D83" s="34"/>
      <c r="E83" s="34"/>
      <c r="F83" s="34"/>
      <c r="G83" s="34"/>
      <c r="H83" s="34"/>
      <c r="I83" s="34"/>
      <c r="J83" s="34"/>
      <c r="K83" s="34"/>
      <c r="L83" s="31"/>
      <c r="M83" s="31"/>
      <c r="N83" s="31"/>
      <c r="O83" s="35" t="str">
        <f>IF($N83="","",ROUND(1+($C83*(SUMIFS(OBJECT_CONDITIONS!$D:$D,OBJECT_CONDITIONS!$A:$A,$N83)-1))+($D83*(SUMIFS(OBJECT_CONDITIONS!$F:$F,OBJECT_CONDITIONS!$A:$A,$N83)-1))+($E83*(SUMIFS(OBJECT_CONDITIONS!$H:$H,OBJECT_CONDITIONS!$A:$A,$N83)-1))+($F83*(SUMIFS(OBJECT_CONDITIONS!$J:$J,OBJECT_CONDITIONS!$A:$A,$N83)-1))+($G83*(SUMIFS(OBJECT_CONDITIONS!$L:$L,OBJECT_CONDITIONS!$A:$A,$N83)-1))+($H83*(SUMIFS(OBJECT_CONDITIONS!$N:$N,OBJECT_CONDITIONS!$A:$A,$N83)-1))+($I83*(SUMIFS(OBJECT_CONDITIONS!$P:$P,OBJECT_CONDITIONS!$A:$A,$N83)-1))+($J83*(SUMIFS(OBJECT_CONDITIONS!$R:$R,OBJECT_CONDITIONS!$A:$A,$N83)-1))+($K83*(SUMIFS(OBJECT_CONDITIONS!$T:$T,OBJECT_CONDITIONS!$A:$A,$N83)-1)),3))</f>
        <v/>
      </c>
      <c r="P83" s="31"/>
    </row>
    <row r="84" ht="14.25" customHeight="1">
      <c r="A84" s="31"/>
      <c r="B84" s="31"/>
      <c r="C84" s="34"/>
      <c r="D84" s="34"/>
      <c r="E84" s="34"/>
      <c r="F84" s="34"/>
      <c r="G84" s="34"/>
      <c r="H84" s="34"/>
      <c r="I84" s="34"/>
      <c r="J84" s="34"/>
      <c r="K84" s="34"/>
      <c r="L84" s="31"/>
      <c r="M84" s="31"/>
      <c r="N84" s="31"/>
      <c r="O84" s="35" t="str">
        <f>IF($N84="","",ROUND(1+($C84*(SUMIFS(OBJECT_CONDITIONS!$D:$D,OBJECT_CONDITIONS!$A:$A,$N84)-1))+($D84*(SUMIFS(OBJECT_CONDITIONS!$F:$F,OBJECT_CONDITIONS!$A:$A,$N84)-1))+($E84*(SUMIFS(OBJECT_CONDITIONS!$H:$H,OBJECT_CONDITIONS!$A:$A,$N84)-1))+($F84*(SUMIFS(OBJECT_CONDITIONS!$J:$J,OBJECT_CONDITIONS!$A:$A,$N84)-1))+($G84*(SUMIFS(OBJECT_CONDITIONS!$L:$L,OBJECT_CONDITIONS!$A:$A,$N84)-1))+($H84*(SUMIFS(OBJECT_CONDITIONS!$N:$N,OBJECT_CONDITIONS!$A:$A,$N84)-1))+($I84*(SUMIFS(OBJECT_CONDITIONS!$P:$P,OBJECT_CONDITIONS!$A:$A,$N84)-1))+($J84*(SUMIFS(OBJECT_CONDITIONS!$R:$R,OBJECT_CONDITIONS!$A:$A,$N84)-1))+($K84*(SUMIFS(OBJECT_CONDITIONS!$T:$T,OBJECT_CONDITIONS!$A:$A,$N84)-1)),3))</f>
        <v/>
      </c>
      <c r="P84" s="31"/>
    </row>
    <row r="85" ht="14.25" customHeight="1">
      <c r="A85" s="31"/>
      <c r="B85" s="31"/>
      <c r="C85" s="34"/>
      <c r="D85" s="34"/>
      <c r="E85" s="34"/>
      <c r="F85" s="34"/>
      <c r="G85" s="34"/>
      <c r="H85" s="34"/>
      <c r="I85" s="34"/>
      <c r="J85" s="34"/>
      <c r="K85" s="34"/>
      <c r="L85" s="31"/>
      <c r="M85" s="31"/>
      <c r="N85" s="31"/>
      <c r="O85" s="35" t="str">
        <f>IF($N85="","",ROUND(1+($C85*(SUMIFS(OBJECT_CONDITIONS!$D:$D,OBJECT_CONDITIONS!$A:$A,$N85)-1))+($D85*(SUMIFS(OBJECT_CONDITIONS!$F:$F,OBJECT_CONDITIONS!$A:$A,$N85)-1))+($E85*(SUMIFS(OBJECT_CONDITIONS!$H:$H,OBJECT_CONDITIONS!$A:$A,$N85)-1))+($F85*(SUMIFS(OBJECT_CONDITIONS!$J:$J,OBJECT_CONDITIONS!$A:$A,$N85)-1))+($G85*(SUMIFS(OBJECT_CONDITIONS!$L:$L,OBJECT_CONDITIONS!$A:$A,$N85)-1))+($H85*(SUMIFS(OBJECT_CONDITIONS!$N:$N,OBJECT_CONDITIONS!$A:$A,$N85)-1))+($I85*(SUMIFS(OBJECT_CONDITIONS!$P:$P,OBJECT_CONDITIONS!$A:$A,$N85)-1))+($J85*(SUMIFS(OBJECT_CONDITIONS!$R:$R,OBJECT_CONDITIONS!$A:$A,$N85)-1))+($K85*(SUMIFS(OBJECT_CONDITIONS!$T:$T,OBJECT_CONDITIONS!$A:$A,$N85)-1)),3))</f>
        <v/>
      </c>
      <c r="P85" s="31"/>
    </row>
    <row r="86" ht="14.25" customHeight="1">
      <c r="A86" s="31"/>
      <c r="B86" s="31"/>
      <c r="C86" s="34"/>
      <c r="D86" s="34"/>
      <c r="E86" s="34"/>
      <c r="F86" s="34"/>
      <c r="G86" s="34"/>
      <c r="H86" s="34"/>
      <c r="I86" s="34"/>
      <c r="J86" s="34"/>
      <c r="K86" s="34"/>
      <c r="L86" s="31"/>
      <c r="M86" s="31"/>
      <c r="N86" s="31"/>
      <c r="O86" s="35" t="str">
        <f>IF($N86="","",ROUND(1+($C86*(SUMIFS(OBJECT_CONDITIONS!$D:$D,OBJECT_CONDITIONS!$A:$A,$N86)-1))+($D86*(SUMIFS(OBJECT_CONDITIONS!$F:$F,OBJECT_CONDITIONS!$A:$A,$N86)-1))+($E86*(SUMIFS(OBJECT_CONDITIONS!$H:$H,OBJECT_CONDITIONS!$A:$A,$N86)-1))+($F86*(SUMIFS(OBJECT_CONDITIONS!$J:$J,OBJECT_CONDITIONS!$A:$A,$N86)-1))+($G86*(SUMIFS(OBJECT_CONDITIONS!$L:$L,OBJECT_CONDITIONS!$A:$A,$N86)-1))+($H86*(SUMIFS(OBJECT_CONDITIONS!$N:$N,OBJECT_CONDITIONS!$A:$A,$N86)-1))+($I86*(SUMIFS(OBJECT_CONDITIONS!$P:$P,OBJECT_CONDITIONS!$A:$A,$N86)-1))+($J86*(SUMIFS(OBJECT_CONDITIONS!$R:$R,OBJECT_CONDITIONS!$A:$A,$N86)-1))+($K86*(SUMIFS(OBJECT_CONDITIONS!$T:$T,OBJECT_CONDITIONS!$A:$A,$N86)-1)),3))</f>
        <v/>
      </c>
      <c r="P86" s="31"/>
    </row>
    <row r="87" ht="14.25" customHeight="1">
      <c r="A87" s="31"/>
      <c r="B87" s="31"/>
      <c r="C87" s="34"/>
      <c r="D87" s="34"/>
      <c r="E87" s="34"/>
      <c r="F87" s="34"/>
      <c r="G87" s="34"/>
      <c r="H87" s="34"/>
      <c r="I87" s="34"/>
      <c r="J87" s="34"/>
      <c r="K87" s="34"/>
      <c r="L87" s="31"/>
      <c r="M87" s="31"/>
      <c r="N87" s="31"/>
      <c r="O87" s="35" t="str">
        <f>IF($N87="","",ROUND(1+($C87*(SUMIFS(OBJECT_CONDITIONS!$D:$D,OBJECT_CONDITIONS!$A:$A,$N87)-1))+($D87*(SUMIFS(OBJECT_CONDITIONS!$F:$F,OBJECT_CONDITIONS!$A:$A,$N87)-1))+($E87*(SUMIFS(OBJECT_CONDITIONS!$H:$H,OBJECT_CONDITIONS!$A:$A,$N87)-1))+($F87*(SUMIFS(OBJECT_CONDITIONS!$J:$J,OBJECT_CONDITIONS!$A:$A,$N87)-1))+($G87*(SUMIFS(OBJECT_CONDITIONS!$L:$L,OBJECT_CONDITIONS!$A:$A,$N87)-1))+($H87*(SUMIFS(OBJECT_CONDITIONS!$N:$N,OBJECT_CONDITIONS!$A:$A,$N87)-1))+($I87*(SUMIFS(OBJECT_CONDITIONS!$P:$P,OBJECT_CONDITIONS!$A:$A,$N87)-1))+($J87*(SUMIFS(OBJECT_CONDITIONS!$R:$R,OBJECT_CONDITIONS!$A:$A,$N87)-1))+($K87*(SUMIFS(OBJECT_CONDITIONS!$T:$T,OBJECT_CONDITIONS!$A:$A,$N87)-1)),3))</f>
        <v/>
      </c>
      <c r="P87" s="31"/>
    </row>
    <row r="88" ht="14.25" customHeight="1">
      <c r="A88" s="31"/>
      <c r="B88" s="31"/>
      <c r="C88" s="34"/>
      <c r="D88" s="34"/>
      <c r="E88" s="34"/>
      <c r="F88" s="34"/>
      <c r="G88" s="34"/>
      <c r="H88" s="34"/>
      <c r="I88" s="34"/>
      <c r="J88" s="34"/>
      <c r="K88" s="34"/>
      <c r="L88" s="31"/>
      <c r="M88" s="31"/>
      <c r="N88" s="31"/>
      <c r="O88" s="35" t="str">
        <f>IF($N88="","",ROUND(1+($C88*(SUMIFS(OBJECT_CONDITIONS!$D:$D,OBJECT_CONDITIONS!$A:$A,$N88)-1))+($D88*(SUMIFS(OBJECT_CONDITIONS!$F:$F,OBJECT_CONDITIONS!$A:$A,$N88)-1))+($E88*(SUMIFS(OBJECT_CONDITIONS!$H:$H,OBJECT_CONDITIONS!$A:$A,$N88)-1))+($F88*(SUMIFS(OBJECT_CONDITIONS!$J:$J,OBJECT_CONDITIONS!$A:$A,$N88)-1))+($G88*(SUMIFS(OBJECT_CONDITIONS!$L:$L,OBJECT_CONDITIONS!$A:$A,$N88)-1))+($H88*(SUMIFS(OBJECT_CONDITIONS!$N:$N,OBJECT_CONDITIONS!$A:$A,$N88)-1))+($I88*(SUMIFS(OBJECT_CONDITIONS!$P:$P,OBJECT_CONDITIONS!$A:$A,$N88)-1))+($J88*(SUMIFS(OBJECT_CONDITIONS!$R:$R,OBJECT_CONDITIONS!$A:$A,$N88)-1))+($K88*(SUMIFS(OBJECT_CONDITIONS!$T:$T,OBJECT_CONDITIONS!$A:$A,$N88)-1)),3))</f>
        <v/>
      </c>
      <c r="P88" s="31"/>
    </row>
    <row r="89" ht="14.25" customHeight="1">
      <c r="A89" s="31"/>
      <c r="B89" s="31"/>
      <c r="C89" s="34"/>
      <c r="D89" s="34"/>
      <c r="E89" s="34"/>
      <c r="F89" s="34"/>
      <c r="G89" s="34"/>
      <c r="H89" s="34"/>
      <c r="I89" s="34"/>
      <c r="J89" s="34"/>
      <c r="K89" s="34"/>
      <c r="L89" s="31"/>
      <c r="M89" s="31"/>
      <c r="N89" s="31"/>
      <c r="O89" s="35" t="str">
        <f>IF($N89="","",ROUND(1+($C89*(SUMIFS(OBJECT_CONDITIONS!$D:$D,OBJECT_CONDITIONS!$A:$A,$N89)-1))+($D89*(SUMIFS(OBJECT_CONDITIONS!$F:$F,OBJECT_CONDITIONS!$A:$A,$N89)-1))+($E89*(SUMIFS(OBJECT_CONDITIONS!$H:$H,OBJECT_CONDITIONS!$A:$A,$N89)-1))+($F89*(SUMIFS(OBJECT_CONDITIONS!$J:$J,OBJECT_CONDITIONS!$A:$A,$N89)-1))+($G89*(SUMIFS(OBJECT_CONDITIONS!$L:$L,OBJECT_CONDITIONS!$A:$A,$N89)-1))+($H89*(SUMIFS(OBJECT_CONDITIONS!$N:$N,OBJECT_CONDITIONS!$A:$A,$N89)-1))+($I89*(SUMIFS(OBJECT_CONDITIONS!$P:$P,OBJECT_CONDITIONS!$A:$A,$N89)-1))+($J89*(SUMIFS(OBJECT_CONDITIONS!$R:$R,OBJECT_CONDITIONS!$A:$A,$N89)-1))+($K89*(SUMIFS(OBJECT_CONDITIONS!$T:$T,OBJECT_CONDITIONS!$A:$A,$N89)-1)),3))</f>
        <v/>
      </c>
      <c r="P89" s="31"/>
    </row>
    <row r="90" ht="14.25" customHeight="1">
      <c r="A90" s="31"/>
      <c r="B90" s="31"/>
      <c r="C90" s="34"/>
      <c r="D90" s="34"/>
      <c r="E90" s="34"/>
      <c r="F90" s="34"/>
      <c r="G90" s="34"/>
      <c r="H90" s="34"/>
      <c r="I90" s="34"/>
      <c r="J90" s="34"/>
      <c r="K90" s="34"/>
      <c r="L90" s="31"/>
      <c r="M90" s="31"/>
      <c r="N90" s="31"/>
      <c r="O90" s="35" t="str">
        <f>IF($N90="","",ROUND(1+($C90*(SUMIFS(OBJECT_CONDITIONS!$D:$D,OBJECT_CONDITIONS!$A:$A,$N90)-1))+($D90*(SUMIFS(OBJECT_CONDITIONS!$F:$F,OBJECT_CONDITIONS!$A:$A,$N90)-1))+($E90*(SUMIFS(OBJECT_CONDITIONS!$H:$H,OBJECT_CONDITIONS!$A:$A,$N90)-1))+($F90*(SUMIFS(OBJECT_CONDITIONS!$J:$J,OBJECT_CONDITIONS!$A:$A,$N90)-1))+($G90*(SUMIFS(OBJECT_CONDITIONS!$L:$L,OBJECT_CONDITIONS!$A:$A,$N90)-1))+($H90*(SUMIFS(OBJECT_CONDITIONS!$N:$N,OBJECT_CONDITIONS!$A:$A,$N90)-1))+($I90*(SUMIFS(OBJECT_CONDITIONS!$P:$P,OBJECT_CONDITIONS!$A:$A,$N90)-1))+($J90*(SUMIFS(OBJECT_CONDITIONS!$R:$R,OBJECT_CONDITIONS!$A:$A,$N90)-1))+($K90*(SUMIFS(OBJECT_CONDITIONS!$T:$T,OBJECT_CONDITIONS!$A:$A,$N90)-1)),3))</f>
        <v/>
      </c>
      <c r="P90" s="31"/>
    </row>
    <row r="91" ht="14.25" customHeight="1">
      <c r="A91" s="31"/>
      <c r="B91" s="31"/>
      <c r="C91" s="34"/>
      <c r="D91" s="34"/>
      <c r="E91" s="34"/>
      <c r="F91" s="34"/>
      <c r="G91" s="34"/>
      <c r="H91" s="34"/>
      <c r="I91" s="34"/>
      <c r="J91" s="34"/>
      <c r="K91" s="34"/>
      <c r="L91" s="31"/>
      <c r="M91" s="31"/>
      <c r="N91" s="31"/>
      <c r="O91" s="35" t="str">
        <f>IF($N91="","",ROUND(1+($C91*(SUMIFS(OBJECT_CONDITIONS!$D:$D,OBJECT_CONDITIONS!$A:$A,$N91)-1))+($D91*(SUMIFS(OBJECT_CONDITIONS!$F:$F,OBJECT_CONDITIONS!$A:$A,$N91)-1))+($E91*(SUMIFS(OBJECT_CONDITIONS!$H:$H,OBJECT_CONDITIONS!$A:$A,$N91)-1))+($F91*(SUMIFS(OBJECT_CONDITIONS!$J:$J,OBJECT_CONDITIONS!$A:$A,$N91)-1))+($G91*(SUMIFS(OBJECT_CONDITIONS!$L:$L,OBJECT_CONDITIONS!$A:$A,$N91)-1))+($H91*(SUMIFS(OBJECT_CONDITIONS!$N:$N,OBJECT_CONDITIONS!$A:$A,$N91)-1))+($I91*(SUMIFS(OBJECT_CONDITIONS!$P:$P,OBJECT_CONDITIONS!$A:$A,$N91)-1))+($J91*(SUMIFS(OBJECT_CONDITIONS!$R:$R,OBJECT_CONDITIONS!$A:$A,$N91)-1))+($K91*(SUMIFS(OBJECT_CONDITIONS!$T:$T,OBJECT_CONDITIONS!$A:$A,$N91)-1)),3))</f>
        <v/>
      </c>
      <c r="P91" s="31"/>
    </row>
    <row r="92" ht="14.25" customHeight="1">
      <c r="A92" s="31"/>
      <c r="B92" s="31"/>
      <c r="C92" s="34"/>
      <c r="D92" s="34"/>
      <c r="E92" s="34"/>
      <c r="F92" s="34"/>
      <c r="G92" s="34"/>
      <c r="H92" s="34"/>
      <c r="I92" s="34"/>
      <c r="J92" s="34"/>
      <c r="K92" s="34"/>
      <c r="L92" s="31"/>
      <c r="M92" s="31"/>
      <c r="N92" s="31"/>
      <c r="O92" s="35" t="str">
        <f>IF($N92="","",ROUND(1+($C92*(SUMIFS(OBJECT_CONDITIONS!$D:$D,OBJECT_CONDITIONS!$A:$A,$N92)-1))+($D92*(SUMIFS(OBJECT_CONDITIONS!$F:$F,OBJECT_CONDITIONS!$A:$A,$N92)-1))+($E92*(SUMIFS(OBJECT_CONDITIONS!$H:$H,OBJECT_CONDITIONS!$A:$A,$N92)-1))+($F92*(SUMIFS(OBJECT_CONDITIONS!$J:$J,OBJECT_CONDITIONS!$A:$A,$N92)-1))+($G92*(SUMIFS(OBJECT_CONDITIONS!$L:$L,OBJECT_CONDITIONS!$A:$A,$N92)-1))+($H92*(SUMIFS(OBJECT_CONDITIONS!$N:$N,OBJECT_CONDITIONS!$A:$A,$N92)-1))+($I92*(SUMIFS(OBJECT_CONDITIONS!$P:$P,OBJECT_CONDITIONS!$A:$A,$N92)-1))+($J92*(SUMIFS(OBJECT_CONDITIONS!$R:$R,OBJECT_CONDITIONS!$A:$A,$N92)-1))+($K92*(SUMIFS(OBJECT_CONDITIONS!$T:$T,OBJECT_CONDITIONS!$A:$A,$N92)-1)),3))</f>
        <v/>
      </c>
      <c r="P92" s="31"/>
    </row>
    <row r="93" ht="14.25" customHeight="1">
      <c r="A93" s="31"/>
      <c r="B93" s="31"/>
      <c r="C93" s="34"/>
      <c r="D93" s="34"/>
      <c r="E93" s="34"/>
      <c r="F93" s="34"/>
      <c r="G93" s="34"/>
      <c r="H93" s="34"/>
      <c r="I93" s="34"/>
      <c r="J93" s="34"/>
      <c r="K93" s="34"/>
      <c r="L93" s="31"/>
      <c r="M93" s="31"/>
      <c r="N93" s="31"/>
      <c r="O93" s="35" t="str">
        <f>IF($N93="","",ROUND(1+($C93*(SUMIFS(OBJECT_CONDITIONS!$D:$D,OBJECT_CONDITIONS!$A:$A,$N93)-1))+($D93*(SUMIFS(OBJECT_CONDITIONS!$F:$F,OBJECT_CONDITIONS!$A:$A,$N93)-1))+($E93*(SUMIFS(OBJECT_CONDITIONS!$H:$H,OBJECT_CONDITIONS!$A:$A,$N93)-1))+($F93*(SUMIFS(OBJECT_CONDITIONS!$J:$J,OBJECT_CONDITIONS!$A:$A,$N93)-1))+($G93*(SUMIFS(OBJECT_CONDITIONS!$L:$L,OBJECT_CONDITIONS!$A:$A,$N93)-1))+($H93*(SUMIFS(OBJECT_CONDITIONS!$N:$N,OBJECT_CONDITIONS!$A:$A,$N93)-1))+($I93*(SUMIFS(OBJECT_CONDITIONS!$P:$P,OBJECT_CONDITIONS!$A:$A,$N93)-1))+($J93*(SUMIFS(OBJECT_CONDITIONS!$R:$R,OBJECT_CONDITIONS!$A:$A,$N93)-1))+($K93*(SUMIFS(OBJECT_CONDITIONS!$T:$T,OBJECT_CONDITIONS!$A:$A,$N93)-1)),3))</f>
        <v/>
      </c>
      <c r="P93" s="31"/>
    </row>
    <row r="94" ht="14.25" customHeight="1">
      <c r="A94" s="31"/>
      <c r="B94" s="31"/>
      <c r="C94" s="34"/>
      <c r="D94" s="34"/>
      <c r="E94" s="34"/>
      <c r="F94" s="34"/>
      <c r="G94" s="34"/>
      <c r="H94" s="34"/>
      <c r="I94" s="34"/>
      <c r="J94" s="34"/>
      <c r="K94" s="34"/>
      <c r="L94" s="31"/>
      <c r="M94" s="31"/>
      <c r="N94" s="31"/>
      <c r="O94" s="35" t="str">
        <f>IF($N94="","",ROUND(1+($C94*(SUMIFS(OBJECT_CONDITIONS!$D:$D,OBJECT_CONDITIONS!$A:$A,$N94)-1))+($D94*(SUMIFS(OBJECT_CONDITIONS!$F:$F,OBJECT_CONDITIONS!$A:$A,$N94)-1))+($E94*(SUMIFS(OBJECT_CONDITIONS!$H:$H,OBJECT_CONDITIONS!$A:$A,$N94)-1))+($F94*(SUMIFS(OBJECT_CONDITIONS!$J:$J,OBJECT_CONDITIONS!$A:$A,$N94)-1))+($G94*(SUMIFS(OBJECT_CONDITIONS!$L:$L,OBJECT_CONDITIONS!$A:$A,$N94)-1))+($H94*(SUMIFS(OBJECT_CONDITIONS!$N:$N,OBJECT_CONDITIONS!$A:$A,$N94)-1))+($I94*(SUMIFS(OBJECT_CONDITIONS!$P:$P,OBJECT_CONDITIONS!$A:$A,$N94)-1))+($J94*(SUMIFS(OBJECT_CONDITIONS!$R:$R,OBJECT_CONDITIONS!$A:$A,$N94)-1))+($K94*(SUMIFS(OBJECT_CONDITIONS!$T:$T,OBJECT_CONDITIONS!$A:$A,$N94)-1)),3))</f>
        <v/>
      </c>
      <c r="P94" s="31"/>
    </row>
    <row r="95" ht="14.25" customHeight="1">
      <c r="A95" s="31"/>
      <c r="B95" s="31"/>
      <c r="C95" s="34"/>
      <c r="D95" s="34"/>
      <c r="E95" s="34"/>
      <c r="F95" s="34"/>
      <c r="G95" s="34"/>
      <c r="H95" s="34"/>
      <c r="I95" s="34"/>
      <c r="J95" s="34"/>
      <c r="K95" s="34"/>
      <c r="L95" s="31"/>
      <c r="M95" s="31"/>
      <c r="N95" s="31"/>
      <c r="O95" s="35" t="str">
        <f>IF($N95="","",ROUND(1+($C95*(SUMIFS(OBJECT_CONDITIONS!$D:$D,OBJECT_CONDITIONS!$A:$A,$N95)-1))+($D95*(SUMIFS(OBJECT_CONDITIONS!$F:$F,OBJECT_CONDITIONS!$A:$A,$N95)-1))+($E95*(SUMIFS(OBJECT_CONDITIONS!$H:$H,OBJECT_CONDITIONS!$A:$A,$N95)-1))+($F95*(SUMIFS(OBJECT_CONDITIONS!$J:$J,OBJECT_CONDITIONS!$A:$A,$N95)-1))+($G95*(SUMIFS(OBJECT_CONDITIONS!$L:$L,OBJECT_CONDITIONS!$A:$A,$N95)-1))+($H95*(SUMIFS(OBJECT_CONDITIONS!$N:$N,OBJECT_CONDITIONS!$A:$A,$N95)-1))+($I95*(SUMIFS(OBJECT_CONDITIONS!$P:$P,OBJECT_CONDITIONS!$A:$A,$N95)-1))+($J95*(SUMIFS(OBJECT_CONDITIONS!$R:$R,OBJECT_CONDITIONS!$A:$A,$N95)-1))+($K95*(SUMIFS(OBJECT_CONDITIONS!$T:$T,OBJECT_CONDITIONS!$A:$A,$N95)-1)),3))</f>
        <v/>
      </c>
      <c r="P95" s="31"/>
    </row>
    <row r="96" ht="14.25" customHeight="1">
      <c r="A96" s="31"/>
      <c r="B96" s="31"/>
      <c r="C96" s="34"/>
      <c r="D96" s="34"/>
      <c r="E96" s="34"/>
      <c r="F96" s="34"/>
      <c r="G96" s="34"/>
      <c r="H96" s="34"/>
      <c r="I96" s="34"/>
      <c r="J96" s="34"/>
      <c r="K96" s="34"/>
      <c r="L96" s="31"/>
      <c r="M96" s="31"/>
      <c r="N96" s="31"/>
      <c r="O96" s="35" t="str">
        <f>IF($N96="","",ROUND(1+($C96*(SUMIFS(OBJECT_CONDITIONS!$D:$D,OBJECT_CONDITIONS!$A:$A,$N96)-1))+($D96*(SUMIFS(OBJECT_CONDITIONS!$F:$F,OBJECT_CONDITIONS!$A:$A,$N96)-1))+($E96*(SUMIFS(OBJECT_CONDITIONS!$H:$H,OBJECT_CONDITIONS!$A:$A,$N96)-1))+($F96*(SUMIFS(OBJECT_CONDITIONS!$J:$J,OBJECT_CONDITIONS!$A:$A,$N96)-1))+($G96*(SUMIFS(OBJECT_CONDITIONS!$L:$L,OBJECT_CONDITIONS!$A:$A,$N96)-1))+($H96*(SUMIFS(OBJECT_CONDITIONS!$N:$N,OBJECT_CONDITIONS!$A:$A,$N96)-1))+($I96*(SUMIFS(OBJECT_CONDITIONS!$P:$P,OBJECT_CONDITIONS!$A:$A,$N96)-1))+($J96*(SUMIFS(OBJECT_CONDITIONS!$R:$R,OBJECT_CONDITIONS!$A:$A,$N96)-1))+($K96*(SUMIFS(OBJECT_CONDITIONS!$T:$T,OBJECT_CONDITIONS!$A:$A,$N96)-1)),3))</f>
        <v/>
      </c>
      <c r="P96" s="31"/>
    </row>
    <row r="97" ht="14.25" customHeight="1">
      <c r="A97" s="31"/>
      <c r="B97" s="31"/>
      <c r="C97" s="34"/>
      <c r="D97" s="34"/>
      <c r="E97" s="34"/>
      <c r="F97" s="34"/>
      <c r="G97" s="34"/>
      <c r="H97" s="34"/>
      <c r="I97" s="34"/>
      <c r="J97" s="34"/>
      <c r="K97" s="34"/>
      <c r="L97" s="31"/>
      <c r="M97" s="31"/>
      <c r="N97" s="31"/>
      <c r="O97" s="35" t="str">
        <f>IF($N97="","",ROUND(1+($C97*(SUMIFS(OBJECT_CONDITIONS!$D:$D,OBJECT_CONDITIONS!$A:$A,$N97)-1))+($D97*(SUMIFS(OBJECT_CONDITIONS!$F:$F,OBJECT_CONDITIONS!$A:$A,$N97)-1))+($E97*(SUMIFS(OBJECT_CONDITIONS!$H:$H,OBJECT_CONDITIONS!$A:$A,$N97)-1))+($F97*(SUMIFS(OBJECT_CONDITIONS!$J:$J,OBJECT_CONDITIONS!$A:$A,$N97)-1))+($G97*(SUMIFS(OBJECT_CONDITIONS!$L:$L,OBJECT_CONDITIONS!$A:$A,$N97)-1))+($H97*(SUMIFS(OBJECT_CONDITIONS!$N:$N,OBJECT_CONDITIONS!$A:$A,$N97)-1))+($I97*(SUMIFS(OBJECT_CONDITIONS!$P:$P,OBJECT_CONDITIONS!$A:$A,$N97)-1))+($J97*(SUMIFS(OBJECT_CONDITIONS!$R:$R,OBJECT_CONDITIONS!$A:$A,$N97)-1))+($K97*(SUMIFS(OBJECT_CONDITIONS!$T:$T,OBJECT_CONDITIONS!$A:$A,$N97)-1)),3))</f>
        <v/>
      </c>
      <c r="P97" s="31"/>
    </row>
    <row r="98" ht="14.25" customHeight="1">
      <c r="A98" s="31"/>
      <c r="B98" s="31"/>
      <c r="C98" s="34"/>
      <c r="D98" s="34"/>
      <c r="E98" s="34"/>
      <c r="F98" s="34"/>
      <c r="G98" s="34"/>
      <c r="H98" s="34"/>
      <c r="I98" s="34"/>
      <c r="J98" s="34"/>
      <c r="K98" s="34"/>
      <c r="L98" s="31"/>
      <c r="M98" s="31"/>
      <c r="N98" s="31"/>
      <c r="O98" s="35" t="str">
        <f>IF($N98="","",ROUND(1+($C98*(SUMIFS(OBJECT_CONDITIONS!$D:$D,OBJECT_CONDITIONS!$A:$A,$N98)-1))+($D98*(SUMIFS(OBJECT_CONDITIONS!$F:$F,OBJECT_CONDITIONS!$A:$A,$N98)-1))+($E98*(SUMIFS(OBJECT_CONDITIONS!$H:$H,OBJECT_CONDITIONS!$A:$A,$N98)-1))+($F98*(SUMIFS(OBJECT_CONDITIONS!$J:$J,OBJECT_CONDITIONS!$A:$A,$N98)-1))+($G98*(SUMIFS(OBJECT_CONDITIONS!$L:$L,OBJECT_CONDITIONS!$A:$A,$N98)-1))+($H98*(SUMIFS(OBJECT_CONDITIONS!$N:$N,OBJECT_CONDITIONS!$A:$A,$N98)-1))+($I98*(SUMIFS(OBJECT_CONDITIONS!$P:$P,OBJECT_CONDITIONS!$A:$A,$N98)-1))+($J98*(SUMIFS(OBJECT_CONDITIONS!$R:$R,OBJECT_CONDITIONS!$A:$A,$N98)-1))+($K98*(SUMIFS(OBJECT_CONDITIONS!$T:$T,OBJECT_CONDITIONS!$A:$A,$N98)-1)),3))</f>
        <v/>
      </c>
      <c r="P98" s="31"/>
    </row>
    <row r="99" ht="14.25" customHeight="1">
      <c r="A99" s="31"/>
      <c r="B99" s="31"/>
      <c r="C99" s="34"/>
      <c r="D99" s="34"/>
      <c r="E99" s="34"/>
      <c r="F99" s="34"/>
      <c r="G99" s="34"/>
      <c r="H99" s="34"/>
      <c r="I99" s="34"/>
      <c r="J99" s="34"/>
      <c r="K99" s="34"/>
      <c r="L99" s="31"/>
      <c r="M99" s="31"/>
      <c r="N99" s="31"/>
      <c r="O99" s="35" t="str">
        <f>IF($N99="","",ROUND(1+($C99*(SUMIFS(OBJECT_CONDITIONS!$D:$D,OBJECT_CONDITIONS!$A:$A,$N99)-1))+($D99*(SUMIFS(OBJECT_CONDITIONS!$F:$F,OBJECT_CONDITIONS!$A:$A,$N99)-1))+($E99*(SUMIFS(OBJECT_CONDITIONS!$H:$H,OBJECT_CONDITIONS!$A:$A,$N99)-1))+($F99*(SUMIFS(OBJECT_CONDITIONS!$J:$J,OBJECT_CONDITIONS!$A:$A,$N99)-1))+($G99*(SUMIFS(OBJECT_CONDITIONS!$L:$L,OBJECT_CONDITIONS!$A:$A,$N99)-1))+($H99*(SUMIFS(OBJECT_CONDITIONS!$N:$N,OBJECT_CONDITIONS!$A:$A,$N99)-1))+($I99*(SUMIFS(OBJECT_CONDITIONS!$P:$P,OBJECT_CONDITIONS!$A:$A,$N99)-1))+($J99*(SUMIFS(OBJECT_CONDITIONS!$R:$R,OBJECT_CONDITIONS!$A:$A,$N99)-1))+($K99*(SUMIFS(OBJECT_CONDITIONS!$T:$T,OBJECT_CONDITIONS!$A:$A,$N99)-1)),3))</f>
        <v/>
      </c>
      <c r="P99" s="31"/>
    </row>
    <row r="100" ht="14.25" customHeight="1">
      <c r="A100" s="31"/>
      <c r="B100" s="31"/>
      <c r="C100" s="34"/>
      <c r="D100" s="34"/>
      <c r="E100" s="34"/>
      <c r="F100" s="34"/>
      <c r="G100" s="34"/>
      <c r="H100" s="34"/>
      <c r="I100" s="34"/>
      <c r="J100" s="34"/>
      <c r="K100" s="34"/>
      <c r="L100" s="31"/>
      <c r="M100" s="31"/>
      <c r="N100" s="31"/>
      <c r="O100" s="35" t="str">
        <f>IF($N100="","",ROUND(1+($C100*(SUMIFS(OBJECT_CONDITIONS!$D:$D,OBJECT_CONDITIONS!$A:$A,$N100)-1))+($D100*(SUMIFS(OBJECT_CONDITIONS!$F:$F,OBJECT_CONDITIONS!$A:$A,$N100)-1))+($E100*(SUMIFS(OBJECT_CONDITIONS!$H:$H,OBJECT_CONDITIONS!$A:$A,$N100)-1))+($F100*(SUMIFS(OBJECT_CONDITIONS!$J:$J,OBJECT_CONDITIONS!$A:$A,$N100)-1))+($G100*(SUMIFS(OBJECT_CONDITIONS!$L:$L,OBJECT_CONDITIONS!$A:$A,$N100)-1))+($H100*(SUMIFS(OBJECT_CONDITIONS!$N:$N,OBJECT_CONDITIONS!$A:$A,$N100)-1))+($I100*(SUMIFS(OBJECT_CONDITIONS!$P:$P,OBJECT_CONDITIONS!$A:$A,$N100)-1))+($J100*(SUMIFS(OBJECT_CONDITIONS!$R:$R,OBJECT_CONDITIONS!$A:$A,$N100)-1))+($K100*(SUMIFS(OBJECT_CONDITIONS!$T:$T,OBJECT_CONDITIONS!$A:$A,$N100)-1)),3))</f>
        <v/>
      </c>
      <c r="P100" s="31"/>
    </row>
    <row r="101" ht="14.25" customHeight="1">
      <c r="A101" s="31"/>
      <c r="B101" s="31"/>
      <c r="C101" s="34"/>
      <c r="D101" s="34"/>
      <c r="E101" s="34"/>
      <c r="F101" s="34"/>
      <c r="G101" s="34"/>
      <c r="H101" s="34"/>
      <c r="I101" s="34"/>
      <c r="J101" s="34"/>
      <c r="K101" s="34"/>
      <c r="L101" s="31"/>
      <c r="M101" s="31"/>
      <c r="N101" s="31"/>
      <c r="O101" s="35" t="str">
        <f>IF($N101="","",ROUND(1+($C101*(SUMIFS(OBJECT_CONDITIONS!$D:$D,OBJECT_CONDITIONS!$A:$A,$N101)-1))+($D101*(SUMIFS(OBJECT_CONDITIONS!$F:$F,OBJECT_CONDITIONS!$A:$A,$N101)-1))+($E101*(SUMIFS(OBJECT_CONDITIONS!$H:$H,OBJECT_CONDITIONS!$A:$A,$N101)-1))+($F101*(SUMIFS(OBJECT_CONDITIONS!$J:$J,OBJECT_CONDITIONS!$A:$A,$N101)-1))+($G101*(SUMIFS(OBJECT_CONDITIONS!$L:$L,OBJECT_CONDITIONS!$A:$A,$N101)-1))+($H101*(SUMIFS(OBJECT_CONDITIONS!$N:$N,OBJECT_CONDITIONS!$A:$A,$N101)-1))+($I101*(SUMIFS(OBJECT_CONDITIONS!$P:$P,OBJECT_CONDITIONS!$A:$A,$N101)-1))+($J101*(SUMIFS(OBJECT_CONDITIONS!$R:$R,OBJECT_CONDITIONS!$A:$A,$N101)-1))+($K101*(SUMIFS(OBJECT_CONDITIONS!$T:$T,OBJECT_CONDITIONS!$A:$A,$N101)-1)),3))</f>
        <v/>
      </c>
      <c r="P101" s="31"/>
    </row>
    <row r="102" ht="14.25" customHeight="1">
      <c r="A102" s="31"/>
      <c r="B102" s="31"/>
      <c r="C102" s="34"/>
      <c r="D102" s="34"/>
      <c r="E102" s="34"/>
      <c r="F102" s="34"/>
      <c r="G102" s="34"/>
      <c r="H102" s="34"/>
      <c r="I102" s="34"/>
      <c r="J102" s="34"/>
      <c r="K102" s="34"/>
      <c r="L102" s="31"/>
      <c r="M102" s="31"/>
      <c r="N102" s="31"/>
      <c r="O102" s="35" t="str">
        <f>IF($N102="","",ROUND(1+($C102*(SUMIFS(OBJECT_CONDITIONS!$D:$D,OBJECT_CONDITIONS!$A:$A,$N102)-1))+($D102*(SUMIFS(OBJECT_CONDITIONS!$F:$F,OBJECT_CONDITIONS!$A:$A,$N102)-1))+($E102*(SUMIFS(OBJECT_CONDITIONS!$H:$H,OBJECT_CONDITIONS!$A:$A,$N102)-1))+($F102*(SUMIFS(OBJECT_CONDITIONS!$J:$J,OBJECT_CONDITIONS!$A:$A,$N102)-1))+($G102*(SUMIFS(OBJECT_CONDITIONS!$L:$L,OBJECT_CONDITIONS!$A:$A,$N102)-1))+($H102*(SUMIFS(OBJECT_CONDITIONS!$N:$N,OBJECT_CONDITIONS!$A:$A,$N102)-1))+($I102*(SUMIFS(OBJECT_CONDITIONS!$P:$P,OBJECT_CONDITIONS!$A:$A,$N102)-1))+($J102*(SUMIFS(OBJECT_CONDITIONS!$R:$R,OBJECT_CONDITIONS!$A:$A,$N102)-1))+($K102*(SUMIFS(OBJECT_CONDITIONS!$T:$T,OBJECT_CONDITIONS!$A:$A,$N102)-1)),3))</f>
        <v/>
      </c>
      <c r="P102" s="31"/>
    </row>
    <row r="103" ht="14.25" customHeight="1">
      <c r="A103" s="31"/>
      <c r="B103" s="31"/>
      <c r="C103" s="34"/>
      <c r="D103" s="34"/>
      <c r="E103" s="34"/>
      <c r="F103" s="34"/>
      <c r="G103" s="34"/>
      <c r="H103" s="34"/>
      <c r="I103" s="34"/>
      <c r="J103" s="34"/>
      <c r="K103" s="34"/>
      <c r="L103" s="31"/>
      <c r="M103" s="31"/>
      <c r="N103" s="31"/>
      <c r="O103" s="35" t="str">
        <f>IF($N103="","",ROUND(1+($C103*(SUMIFS(OBJECT_CONDITIONS!$D:$D,OBJECT_CONDITIONS!$A:$A,$N103)-1))+($D103*(SUMIFS(OBJECT_CONDITIONS!$F:$F,OBJECT_CONDITIONS!$A:$A,$N103)-1))+($E103*(SUMIFS(OBJECT_CONDITIONS!$H:$H,OBJECT_CONDITIONS!$A:$A,$N103)-1))+($F103*(SUMIFS(OBJECT_CONDITIONS!$J:$J,OBJECT_CONDITIONS!$A:$A,$N103)-1))+($G103*(SUMIFS(OBJECT_CONDITIONS!$L:$L,OBJECT_CONDITIONS!$A:$A,$N103)-1))+($H103*(SUMIFS(OBJECT_CONDITIONS!$N:$N,OBJECT_CONDITIONS!$A:$A,$N103)-1))+($I103*(SUMIFS(OBJECT_CONDITIONS!$P:$P,OBJECT_CONDITIONS!$A:$A,$N103)-1))+($J103*(SUMIFS(OBJECT_CONDITIONS!$R:$R,OBJECT_CONDITIONS!$A:$A,$N103)-1))+($K103*(SUMIFS(OBJECT_CONDITIONS!$T:$T,OBJECT_CONDITIONS!$A:$A,$N103)-1)),3))</f>
        <v/>
      </c>
      <c r="P103" s="31"/>
    </row>
    <row r="104" ht="14.25" customHeight="1">
      <c r="A104" s="31"/>
      <c r="B104" s="31"/>
      <c r="C104" s="34"/>
      <c r="D104" s="34"/>
      <c r="E104" s="34"/>
      <c r="F104" s="34"/>
      <c r="G104" s="34"/>
      <c r="H104" s="34"/>
      <c r="I104" s="34"/>
      <c r="J104" s="34"/>
      <c r="K104" s="34"/>
      <c r="L104" s="31"/>
      <c r="M104" s="31"/>
      <c r="N104" s="31"/>
      <c r="O104" s="35" t="str">
        <f>IF($N104="","",ROUND(1+($C104*(SUMIFS(OBJECT_CONDITIONS!$D:$D,OBJECT_CONDITIONS!$A:$A,$N104)-1))+($D104*(SUMIFS(OBJECT_CONDITIONS!$F:$F,OBJECT_CONDITIONS!$A:$A,$N104)-1))+($E104*(SUMIFS(OBJECT_CONDITIONS!$H:$H,OBJECT_CONDITIONS!$A:$A,$N104)-1))+($F104*(SUMIFS(OBJECT_CONDITIONS!$J:$J,OBJECT_CONDITIONS!$A:$A,$N104)-1))+($G104*(SUMIFS(OBJECT_CONDITIONS!$L:$L,OBJECT_CONDITIONS!$A:$A,$N104)-1))+($H104*(SUMIFS(OBJECT_CONDITIONS!$N:$N,OBJECT_CONDITIONS!$A:$A,$N104)-1))+($I104*(SUMIFS(OBJECT_CONDITIONS!$P:$P,OBJECT_CONDITIONS!$A:$A,$N104)-1))+($J104*(SUMIFS(OBJECT_CONDITIONS!$R:$R,OBJECT_CONDITIONS!$A:$A,$N104)-1))+($K104*(SUMIFS(OBJECT_CONDITIONS!$T:$T,OBJECT_CONDITIONS!$A:$A,$N104)-1)),3))</f>
        <v/>
      </c>
      <c r="P104" s="31"/>
    </row>
    <row r="105" ht="14.25" customHeight="1">
      <c r="A105" s="31"/>
      <c r="B105" s="31"/>
      <c r="C105" s="34"/>
      <c r="D105" s="34"/>
      <c r="E105" s="34"/>
      <c r="F105" s="34"/>
      <c r="G105" s="34"/>
      <c r="H105" s="34"/>
      <c r="I105" s="34"/>
      <c r="J105" s="34"/>
      <c r="K105" s="34"/>
      <c r="L105" s="31"/>
      <c r="M105" s="31"/>
      <c r="N105" s="31"/>
      <c r="O105" s="35" t="str">
        <f>IF($N105="","",ROUND(1+($C105*(SUMIFS(OBJECT_CONDITIONS!$D:$D,OBJECT_CONDITIONS!$A:$A,$N105)-1))+($D105*(SUMIFS(OBJECT_CONDITIONS!$F:$F,OBJECT_CONDITIONS!$A:$A,$N105)-1))+($E105*(SUMIFS(OBJECT_CONDITIONS!$H:$H,OBJECT_CONDITIONS!$A:$A,$N105)-1))+($F105*(SUMIFS(OBJECT_CONDITIONS!$J:$J,OBJECT_CONDITIONS!$A:$A,$N105)-1))+($G105*(SUMIFS(OBJECT_CONDITIONS!$L:$L,OBJECT_CONDITIONS!$A:$A,$N105)-1))+($H105*(SUMIFS(OBJECT_CONDITIONS!$N:$N,OBJECT_CONDITIONS!$A:$A,$N105)-1))+($I105*(SUMIFS(OBJECT_CONDITIONS!$P:$P,OBJECT_CONDITIONS!$A:$A,$N105)-1))+($J105*(SUMIFS(OBJECT_CONDITIONS!$R:$R,OBJECT_CONDITIONS!$A:$A,$N105)-1))+($K105*(SUMIFS(OBJECT_CONDITIONS!$T:$T,OBJECT_CONDITIONS!$A:$A,$N105)-1)),3))</f>
        <v/>
      </c>
      <c r="P105" s="31"/>
    </row>
    <row r="106" ht="14.25" customHeight="1">
      <c r="A106" s="31"/>
      <c r="B106" s="31"/>
      <c r="C106" s="34"/>
      <c r="D106" s="34"/>
      <c r="E106" s="34"/>
      <c r="F106" s="34"/>
      <c r="G106" s="34"/>
      <c r="H106" s="34"/>
      <c r="I106" s="34"/>
      <c r="J106" s="34"/>
      <c r="K106" s="34"/>
      <c r="L106" s="31"/>
      <c r="M106" s="31"/>
      <c r="N106" s="31"/>
      <c r="O106" s="35" t="str">
        <f>IF($N106="","",ROUND(1+($C106*(SUMIFS(OBJECT_CONDITIONS!$D:$D,OBJECT_CONDITIONS!$A:$A,$N106)-1))+($D106*(SUMIFS(OBJECT_CONDITIONS!$F:$F,OBJECT_CONDITIONS!$A:$A,$N106)-1))+($E106*(SUMIFS(OBJECT_CONDITIONS!$H:$H,OBJECT_CONDITIONS!$A:$A,$N106)-1))+($F106*(SUMIFS(OBJECT_CONDITIONS!$J:$J,OBJECT_CONDITIONS!$A:$A,$N106)-1))+($G106*(SUMIFS(OBJECT_CONDITIONS!$L:$L,OBJECT_CONDITIONS!$A:$A,$N106)-1))+($H106*(SUMIFS(OBJECT_CONDITIONS!$N:$N,OBJECT_CONDITIONS!$A:$A,$N106)-1))+($I106*(SUMIFS(OBJECT_CONDITIONS!$P:$P,OBJECT_CONDITIONS!$A:$A,$N106)-1))+($J106*(SUMIFS(OBJECT_CONDITIONS!$R:$R,OBJECT_CONDITIONS!$A:$A,$N106)-1))+($K106*(SUMIFS(OBJECT_CONDITIONS!$T:$T,OBJECT_CONDITIONS!$A:$A,$N106)-1)),3))</f>
        <v/>
      </c>
      <c r="P106" s="31"/>
    </row>
    <row r="107" ht="14.25" customHeight="1">
      <c r="A107" s="31"/>
      <c r="B107" s="31"/>
      <c r="C107" s="34"/>
      <c r="D107" s="34"/>
      <c r="E107" s="34"/>
      <c r="F107" s="34"/>
      <c r="G107" s="34"/>
      <c r="H107" s="34"/>
      <c r="I107" s="34"/>
      <c r="J107" s="34"/>
      <c r="K107" s="34"/>
      <c r="L107" s="31"/>
      <c r="M107" s="31"/>
      <c r="N107" s="31"/>
      <c r="O107" s="35" t="str">
        <f>IF($N107="","",ROUND(1+($C107*(SUMIFS(OBJECT_CONDITIONS!$D:$D,OBJECT_CONDITIONS!$A:$A,$N107)-1))+($D107*(SUMIFS(OBJECT_CONDITIONS!$F:$F,OBJECT_CONDITIONS!$A:$A,$N107)-1))+($E107*(SUMIFS(OBJECT_CONDITIONS!$H:$H,OBJECT_CONDITIONS!$A:$A,$N107)-1))+($F107*(SUMIFS(OBJECT_CONDITIONS!$J:$J,OBJECT_CONDITIONS!$A:$A,$N107)-1))+($G107*(SUMIFS(OBJECT_CONDITIONS!$L:$L,OBJECT_CONDITIONS!$A:$A,$N107)-1))+($H107*(SUMIFS(OBJECT_CONDITIONS!$N:$N,OBJECT_CONDITIONS!$A:$A,$N107)-1))+($I107*(SUMIFS(OBJECT_CONDITIONS!$P:$P,OBJECT_CONDITIONS!$A:$A,$N107)-1))+($J107*(SUMIFS(OBJECT_CONDITIONS!$R:$R,OBJECT_CONDITIONS!$A:$A,$N107)-1))+($K107*(SUMIFS(OBJECT_CONDITIONS!$T:$T,OBJECT_CONDITIONS!$A:$A,$N107)-1)),3))</f>
        <v/>
      </c>
      <c r="P107" s="31"/>
    </row>
    <row r="108" ht="14.25" customHeight="1">
      <c r="A108" s="31"/>
      <c r="B108" s="31"/>
      <c r="C108" s="34"/>
      <c r="D108" s="34"/>
      <c r="E108" s="34"/>
      <c r="F108" s="34"/>
      <c r="G108" s="34"/>
      <c r="H108" s="34"/>
      <c r="I108" s="34"/>
      <c r="J108" s="34"/>
      <c r="K108" s="34"/>
      <c r="L108" s="31"/>
      <c r="M108" s="31"/>
      <c r="N108" s="31"/>
      <c r="O108" s="35" t="str">
        <f>IF($N108="","",ROUND(1+($C108*(SUMIFS(OBJECT_CONDITIONS!$D:$D,OBJECT_CONDITIONS!$A:$A,$N108)-1))+($D108*(SUMIFS(OBJECT_CONDITIONS!$F:$F,OBJECT_CONDITIONS!$A:$A,$N108)-1))+($E108*(SUMIFS(OBJECT_CONDITIONS!$H:$H,OBJECT_CONDITIONS!$A:$A,$N108)-1))+($F108*(SUMIFS(OBJECT_CONDITIONS!$J:$J,OBJECT_CONDITIONS!$A:$A,$N108)-1))+($G108*(SUMIFS(OBJECT_CONDITIONS!$L:$L,OBJECT_CONDITIONS!$A:$A,$N108)-1))+($H108*(SUMIFS(OBJECT_CONDITIONS!$N:$N,OBJECT_CONDITIONS!$A:$A,$N108)-1))+($I108*(SUMIFS(OBJECT_CONDITIONS!$P:$P,OBJECT_CONDITIONS!$A:$A,$N108)-1))+($J108*(SUMIFS(OBJECT_CONDITIONS!$R:$R,OBJECT_CONDITIONS!$A:$A,$N108)-1))+($K108*(SUMIFS(OBJECT_CONDITIONS!$T:$T,OBJECT_CONDITIONS!$A:$A,$N108)-1)),3))</f>
        <v/>
      </c>
      <c r="P108" s="31"/>
    </row>
    <row r="109" ht="14.25" customHeight="1">
      <c r="A109" s="31"/>
      <c r="B109" s="31"/>
      <c r="C109" s="34"/>
      <c r="D109" s="34"/>
      <c r="E109" s="34"/>
      <c r="F109" s="34"/>
      <c r="G109" s="34"/>
      <c r="H109" s="34"/>
      <c r="I109" s="34"/>
      <c r="J109" s="34"/>
      <c r="K109" s="34"/>
      <c r="L109" s="31"/>
      <c r="M109" s="31"/>
      <c r="N109" s="31"/>
      <c r="O109" s="35" t="str">
        <f>IF($N109="","",ROUND(1+($C109*(SUMIFS(OBJECT_CONDITIONS!$D:$D,OBJECT_CONDITIONS!$A:$A,$N109)-1))+($D109*(SUMIFS(OBJECT_CONDITIONS!$F:$F,OBJECT_CONDITIONS!$A:$A,$N109)-1))+($E109*(SUMIFS(OBJECT_CONDITIONS!$H:$H,OBJECT_CONDITIONS!$A:$A,$N109)-1))+($F109*(SUMIFS(OBJECT_CONDITIONS!$J:$J,OBJECT_CONDITIONS!$A:$A,$N109)-1))+($G109*(SUMIFS(OBJECT_CONDITIONS!$L:$L,OBJECT_CONDITIONS!$A:$A,$N109)-1))+($H109*(SUMIFS(OBJECT_CONDITIONS!$N:$N,OBJECT_CONDITIONS!$A:$A,$N109)-1))+($I109*(SUMIFS(OBJECT_CONDITIONS!$P:$P,OBJECT_CONDITIONS!$A:$A,$N109)-1))+($J109*(SUMIFS(OBJECT_CONDITIONS!$R:$R,OBJECT_CONDITIONS!$A:$A,$N109)-1))+($K109*(SUMIFS(OBJECT_CONDITIONS!$T:$T,OBJECT_CONDITIONS!$A:$A,$N109)-1)),3))</f>
        <v/>
      </c>
      <c r="P109" s="31"/>
    </row>
    <row r="110" ht="14.25" customHeight="1">
      <c r="A110" s="31"/>
      <c r="B110" s="31"/>
      <c r="C110" s="34"/>
      <c r="D110" s="34"/>
      <c r="E110" s="34"/>
      <c r="F110" s="34"/>
      <c r="G110" s="34"/>
      <c r="H110" s="34"/>
      <c r="I110" s="34"/>
      <c r="J110" s="34"/>
      <c r="K110" s="34"/>
      <c r="L110" s="31"/>
      <c r="M110" s="31"/>
      <c r="N110" s="31"/>
      <c r="O110" s="35" t="str">
        <f>IF($N110="","",ROUND(1+($C110*(SUMIFS(OBJECT_CONDITIONS!$D:$D,OBJECT_CONDITIONS!$A:$A,$N110)-1))+($D110*(SUMIFS(OBJECT_CONDITIONS!$F:$F,OBJECT_CONDITIONS!$A:$A,$N110)-1))+($E110*(SUMIFS(OBJECT_CONDITIONS!$H:$H,OBJECT_CONDITIONS!$A:$A,$N110)-1))+($F110*(SUMIFS(OBJECT_CONDITIONS!$J:$J,OBJECT_CONDITIONS!$A:$A,$N110)-1))+($G110*(SUMIFS(OBJECT_CONDITIONS!$L:$L,OBJECT_CONDITIONS!$A:$A,$N110)-1))+($H110*(SUMIFS(OBJECT_CONDITIONS!$N:$N,OBJECT_CONDITIONS!$A:$A,$N110)-1))+($I110*(SUMIFS(OBJECT_CONDITIONS!$P:$P,OBJECT_CONDITIONS!$A:$A,$N110)-1))+($J110*(SUMIFS(OBJECT_CONDITIONS!$R:$R,OBJECT_CONDITIONS!$A:$A,$N110)-1))+($K110*(SUMIFS(OBJECT_CONDITIONS!$T:$T,OBJECT_CONDITIONS!$A:$A,$N110)-1)),3))</f>
        <v/>
      </c>
      <c r="P110" s="31"/>
    </row>
    <row r="111" ht="14.25" customHeight="1">
      <c r="A111" s="31"/>
      <c r="B111" s="31"/>
      <c r="C111" s="34"/>
      <c r="D111" s="34"/>
      <c r="E111" s="34"/>
      <c r="F111" s="34"/>
      <c r="G111" s="34"/>
      <c r="H111" s="34"/>
      <c r="I111" s="34"/>
      <c r="J111" s="34"/>
      <c r="K111" s="34"/>
      <c r="L111" s="31"/>
      <c r="M111" s="31"/>
      <c r="N111" s="31"/>
      <c r="O111" s="35" t="str">
        <f>IF($N111="","",ROUND(1+($C111*(SUMIFS(OBJECT_CONDITIONS!$D:$D,OBJECT_CONDITIONS!$A:$A,$N111)-1))+($D111*(SUMIFS(OBJECT_CONDITIONS!$F:$F,OBJECT_CONDITIONS!$A:$A,$N111)-1))+($E111*(SUMIFS(OBJECT_CONDITIONS!$H:$H,OBJECT_CONDITIONS!$A:$A,$N111)-1))+($F111*(SUMIFS(OBJECT_CONDITIONS!$J:$J,OBJECT_CONDITIONS!$A:$A,$N111)-1))+($G111*(SUMIFS(OBJECT_CONDITIONS!$L:$L,OBJECT_CONDITIONS!$A:$A,$N111)-1))+($H111*(SUMIFS(OBJECT_CONDITIONS!$N:$N,OBJECT_CONDITIONS!$A:$A,$N111)-1))+($I111*(SUMIFS(OBJECT_CONDITIONS!$P:$P,OBJECT_CONDITIONS!$A:$A,$N111)-1))+($J111*(SUMIFS(OBJECT_CONDITIONS!$R:$R,OBJECT_CONDITIONS!$A:$A,$N111)-1))+($K111*(SUMIFS(OBJECT_CONDITIONS!$T:$T,OBJECT_CONDITIONS!$A:$A,$N111)-1)),3))</f>
        <v/>
      </c>
      <c r="P111" s="31"/>
    </row>
    <row r="112" ht="14.25" customHeight="1">
      <c r="A112" s="31"/>
      <c r="B112" s="31"/>
      <c r="C112" s="34"/>
      <c r="D112" s="34"/>
      <c r="E112" s="34"/>
      <c r="F112" s="34"/>
      <c r="G112" s="34"/>
      <c r="H112" s="34"/>
      <c r="I112" s="34"/>
      <c r="J112" s="34"/>
      <c r="K112" s="34"/>
      <c r="L112" s="31"/>
      <c r="M112" s="31"/>
      <c r="N112" s="31"/>
      <c r="O112" s="35" t="str">
        <f>IF($N112="","",ROUND(1+($C112*(SUMIFS(OBJECT_CONDITIONS!$D:$D,OBJECT_CONDITIONS!$A:$A,$N112)-1))+($D112*(SUMIFS(OBJECT_CONDITIONS!$F:$F,OBJECT_CONDITIONS!$A:$A,$N112)-1))+($E112*(SUMIFS(OBJECT_CONDITIONS!$H:$H,OBJECT_CONDITIONS!$A:$A,$N112)-1))+($F112*(SUMIFS(OBJECT_CONDITIONS!$J:$J,OBJECT_CONDITIONS!$A:$A,$N112)-1))+($G112*(SUMIFS(OBJECT_CONDITIONS!$L:$L,OBJECT_CONDITIONS!$A:$A,$N112)-1))+($H112*(SUMIFS(OBJECT_CONDITIONS!$N:$N,OBJECT_CONDITIONS!$A:$A,$N112)-1))+($I112*(SUMIFS(OBJECT_CONDITIONS!$P:$P,OBJECT_CONDITIONS!$A:$A,$N112)-1))+($J112*(SUMIFS(OBJECT_CONDITIONS!$R:$R,OBJECT_CONDITIONS!$A:$A,$N112)-1))+($K112*(SUMIFS(OBJECT_CONDITIONS!$T:$T,OBJECT_CONDITIONS!$A:$A,$N112)-1)),3))</f>
        <v/>
      </c>
      <c r="P112" s="31"/>
    </row>
    <row r="113" ht="14.25" customHeight="1">
      <c r="A113" s="31"/>
      <c r="B113" s="31"/>
      <c r="C113" s="34"/>
      <c r="D113" s="34"/>
      <c r="E113" s="34"/>
      <c r="F113" s="34"/>
      <c r="G113" s="34"/>
      <c r="H113" s="34"/>
      <c r="I113" s="34"/>
      <c r="J113" s="34"/>
      <c r="K113" s="34"/>
      <c r="L113" s="31"/>
      <c r="M113" s="31"/>
      <c r="N113" s="31"/>
      <c r="O113" s="35" t="str">
        <f>IF($N113="","",ROUND(1+($C113*(SUMIFS(OBJECT_CONDITIONS!$D:$D,OBJECT_CONDITIONS!$A:$A,$N113)-1))+($D113*(SUMIFS(OBJECT_CONDITIONS!$F:$F,OBJECT_CONDITIONS!$A:$A,$N113)-1))+($E113*(SUMIFS(OBJECT_CONDITIONS!$H:$H,OBJECT_CONDITIONS!$A:$A,$N113)-1))+($F113*(SUMIFS(OBJECT_CONDITIONS!$J:$J,OBJECT_CONDITIONS!$A:$A,$N113)-1))+($G113*(SUMIFS(OBJECT_CONDITIONS!$L:$L,OBJECT_CONDITIONS!$A:$A,$N113)-1))+($H113*(SUMIFS(OBJECT_CONDITIONS!$N:$N,OBJECT_CONDITIONS!$A:$A,$N113)-1))+($I113*(SUMIFS(OBJECT_CONDITIONS!$P:$P,OBJECT_CONDITIONS!$A:$A,$N113)-1))+($J113*(SUMIFS(OBJECT_CONDITIONS!$R:$R,OBJECT_CONDITIONS!$A:$A,$N113)-1))+($K113*(SUMIFS(OBJECT_CONDITIONS!$T:$T,OBJECT_CONDITIONS!$A:$A,$N113)-1)),3))</f>
        <v/>
      </c>
      <c r="P113" s="31"/>
    </row>
    <row r="114" ht="14.25" customHeight="1">
      <c r="A114" s="31"/>
      <c r="B114" s="31"/>
      <c r="C114" s="34"/>
      <c r="D114" s="34"/>
      <c r="E114" s="34"/>
      <c r="F114" s="34"/>
      <c r="G114" s="34"/>
      <c r="H114" s="34"/>
      <c r="I114" s="34"/>
      <c r="J114" s="34"/>
      <c r="K114" s="34"/>
      <c r="L114" s="31"/>
      <c r="M114" s="31"/>
      <c r="N114" s="31"/>
      <c r="O114" s="35" t="str">
        <f>IF($N114="","",ROUND(1+($C114*(SUMIFS(OBJECT_CONDITIONS!$D:$D,OBJECT_CONDITIONS!$A:$A,$N114)-1))+($D114*(SUMIFS(OBJECT_CONDITIONS!$F:$F,OBJECT_CONDITIONS!$A:$A,$N114)-1))+($E114*(SUMIFS(OBJECT_CONDITIONS!$H:$H,OBJECT_CONDITIONS!$A:$A,$N114)-1))+($F114*(SUMIFS(OBJECT_CONDITIONS!$J:$J,OBJECT_CONDITIONS!$A:$A,$N114)-1))+($G114*(SUMIFS(OBJECT_CONDITIONS!$L:$L,OBJECT_CONDITIONS!$A:$A,$N114)-1))+($H114*(SUMIFS(OBJECT_CONDITIONS!$N:$N,OBJECT_CONDITIONS!$A:$A,$N114)-1))+($I114*(SUMIFS(OBJECT_CONDITIONS!$P:$P,OBJECT_CONDITIONS!$A:$A,$N114)-1))+($J114*(SUMIFS(OBJECT_CONDITIONS!$R:$R,OBJECT_CONDITIONS!$A:$A,$N114)-1))+($K114*(SUMIFS(OBJECT_CONDITIONS!$T:$T,OBJECT_CONDITIONS!$A:$A,$N114)-1)),3))</f>
        <v/>
      </c>
      <c r="P114" s="31"/>
    </row>
    <row r="115" ht="14.25" customHeight="1">
      <c r="A115" s="31"/>
      <c r="B115" s="31"/>
      <c r="C115" s="34"/>
      <c r="D115" s="34"/>
      <c r="E115" s="34"/>
      <c r="F115" s="34"/>
      <c r="G115" s="34"/>
      <c r="H115" s="34"/>
      <c r="I115" s="34"/>
      <c r="J115" s="34"/>
      <c r="K115" s="34"/>
      <c r="L115" s="31"/>
      <c r="M115" s="31"/>
      <c r="N115" s="31"/>
      <c r="O115" s="35" t="str">
        <f>IF($N115="","",ROUND(1+($C115*(SUMIFS(OBJECT_CONDITIONS!$D:$D,OBJECT_CONDITIONS!$A:$A,$N115)-1))+($D115*(SUMIFS(OBJECT_CONDITIONS!$F:$F,OBJECT_CONDITIONS!$A:$A,$N115)-1))+($E115*(SUMIFS(OBJECT_CONDITIONS!$H:$H,OBJECT_CONDITIONS!$A:$A,$N115)-1))+($F115*(SUMIFS(OBJECT_CONDITIONS!$J:$J,OBJECT_CONDITIONS!$A:$A,$N115)-1))+($G115*(SUMIFS(OBJECT_CONDITIONS!$L:$L,OBJECT_CONDITIONS!$A:$A,$N115)-1))+($H115*(SUMIFS(OBJECT_CONDITIONS!$N:$N,OBJECT_CONDITIONS!$A:$A,$N115)-1))+($I115*(SUMIFS(OBJECT_CONDITIONS!$P:$P,OBJECT_CONDITIONS!$A:$A,$N115)-1))+($J115*(SUMIFS(OBJECT_CONDITIONS!$R:$R,OBJECT_CONDITIONS!$A:$A,$N115)-1))+($K115*(SUMIFS(OBJECT_CONDITIONS!$T:$T,OBJECT_CONDITIONS!$A:$A,$N115)-1)),3))</f>
        <v/>
      </c>
      <c r="P115" s="31"/>
    </row>
    <row r="116" ht="14.25" customHeight="1">
      <c r="A116" s="31"/>
      <c r="B116" s="31"/>
      <c r="C116" s="34"/>
      <c r="D116" s="34"/>
      <c r="E116" s="34"/>
      <c r="F116" s="34"/>
      <c r="G116" s="34"/>
      <c r="H116" s="34"/>
      <c r="I116" s="34"/>
      <c r="J116" s="34"/>
      <c r="K116" s="34"/>
      <c r="L116" s="31"/>
      <c r="M116" s="31"/>
      <c r="N116" s="31"/>
      <c r="O116" s="35" t="str">
        <f>IF($N116="","",ROUND(1+($C116*(SUMIFS(OBJECT_CONDITIONS!$D:$D,OBJECT_CONDITIONS!$A:$A,$N116)-1))+($D116*(SUMIFS(OBJECT_CONDITIONS!$F:$F,OBJECT_CONDITIONS!$A:$A,$N116)-1))+($E116*(SUMIFS(OBJECT_CONDITIONS!$H:$H,OBJECT_CONDITIONS!$A:$A,$N116)-1))+($F116*(SUMIFS(OBJECT_CONDITIONS!$J:$J,OBJECT_CONDITIONS!$A:$A,$N116)-1))+($G116*(SUMIFS(OBJECT_CONDITIONS!$L:$L,OBJECT_CONDITIONS!$A:$A,$N116)-1))+($H116*(SUMIFS(OBJECT_CONDITIONS!$N:$N,OBJECT_CONDITIONS!$A:$A,$N116)-1))+($I116*(SUMIFS(OBJECT_CONDITIONS!$P:$P,OBJECT_CONDITIONS!$A:$A,$N116)-1))+($J116*(SUMIFS(OBJECT_CONDITIONS!$R:$R,OBJECT_CONDITIONS!$A:$A,$N116)-1))+($K116*(SUMIFS(OBJECT_CONDITIONS!$T:$T,OBJECT_CONDITIONS!$A:$A,$N116)-1)),3))</f>
        <v/>
      </c>
      <c r="P116" s="31"/>
    </row>
    <row r="117" ht="14.25" customHeight="1">
      <c r="A117" s="31"/>
      <c r="B117" s="31"/>
      <c r="C117" s="34"/>
      <c r="D117" s="34"/>
      <c r="E117" s="34"/>
      <c r="F117" s="34"/>
      <c r="G117" s="34"/>
      <c r="H117" s="34"/>
      <c r="I117" s="34"/>
      <c r="J117" s="34"/>
      <c r="K117" s="34"/>
      <c r="L117" s="31"/>
      <c r="M117" s="31"/>
      <c r="N117" s="31"/>
      <c r="O117" s="35" t="str">
        <f>IF($N117="","",ROUND(1+($C117*(SUMIFS(OBJECT_CONDITIONS!$D:$D,OBJECT_CONDITIONS!$A:$A,$N117)-1))+($D117*(SUMIFS(OBJECT_CONDITIONS!$F:$F,OBJECT_CONDITIONS!$A:$A,$N117)-1))+($E117*(SUMIFS(OBJECT_CONDITIONS!$H:$H,OBJECT_CONDITIONS!$A:$A,$N117)-1))+($F117*(SUMIFS(OBJECT_CONDITIONS!$J:$J,OBJECT_CONDITIONS!$A:$A,$N117)-1))+($G117*(SUMIFS(OBJECT_CONDITIONS!$L:$L,OBJECT_CONDITIONS!$A:$A,$N117)-1))+($H117*(SUMIFS(OBJECT_CONDITIONS!$N:$N,OBJECT_CONDITIONS!$A:$A,$N117)-1))+($I117*(SUMIFS(OBJECT_CONDITIONS!$P:$P,OBJECT_CONDITIONS!$A:$A,$N117)-1))+($J117*(SUMIFS(OBJECT_CONDITIONS!$R:$R,OBJECT_CONDITIONS!$A:$A,$N117)-1))+($K117*(SUMIFS(OBJECT_CONDITIONS!$T:$T,OBJECT_CONDITIONS!$A:$A,$N117)-1)),3))</f>
        <v/>
      </c>
      <c r="P117" s="31"/>
    </row>
    <row r="118" ht="14.25" customHeight="1">
      <c r="A118" s="31"/>
      <c r="B118" s="31"/>
      <c r="C118" s="34"/>
      <c r="D118" s="34"/>
      <c r="E118" s="34"/>
      <c r="F118" s="34"/>
      <c r="G118" s="34"/>
      <c r="H118" s="34"/>
      <c r="I118" s="34"/>
      <c r="J118" s="34"/>
      <c r="K118" s="34"/>
      <c r="L118" s="31"/>
      <c r="M118" s="31"/>
      <c r="N118" s="31"/>
      <c r="O118" s="35" t="str">
        <f>IF($N118="","",ROUND(1+($C118*(SUMIFS(OBJECT_CONDITIONS!$D:$D,OBJECT_CONDITIONS!$A:$A,$N118)-1))+($D118*(SUMIFS(OBJECT_CONDITIONS!$F:$F,OBJECT_CONDITIONS!$A:$A,$N118)-1))+($E118*(SUMIFS(OBJECT_CONDITIONS!$H:$H,OBJECT_CONDITIONS!$A:$A,$N118)-1))+($F118*(SUMIFS(OBJECT_CONDITIONS!$J:$J,OBJECT_CONDITIONS!$A:$A,$N118)-1))+($G118*(SUMIFS(OBJECT_CONDITIONS!$L:$L,OBJECT_CONDITIONS!$A:$A,$N118)-1))+($H118*(SUMIFS(OBJECT_CONDITIONS!$N:$N,OBJECT_CONDITIONS!$A:$A,$N118)-1))+($I118*(SUMIFS(OBJECT_CONDITIONS!$P:$P,OBJECT_CONDITIONS!$A:$A,$N118)-1))+($J118*(SUMIFS(OBJECT_CONDITIONS!$R:$R,OBJECT_CONDITIONS!$A:$A,$N118)-1))+($K118*(SUMIFS(OBJECT_CONDITIONS!$T:$T,OBJECT_CONDITIONS!$A:$A,$N118)-1)),3))</f>
        <v/>
      </c>
      <c r="P118" s="31"/>
    </row>
    <row r="119" ht="14.25" customHeight="1">
      <c r="A119" s="31"/>
      <c r="B119" s="31"/>
      <c r="C119" s="34"/>
      <c r="D119" s="34"/>
      <c r="E119" s="34"/>
      <c r="F119" s="34"/>
      <c r="G119" s="34"/>
      <c r="H119" s="34"/>
      <c r="I119" s="34"/>
      <c r="J119" s="34"/>
      <c r="K119" s="34"/>
      <c r="L119" s="31"/>
      <c r="M119" s="31"/>
      <c r="N119" s="31"/>
      <c r="O119" s="35" t="str">
        <f>IF($N119="","",ROUND(1+($C119*(SUMIFS(OBJECT_CONDITIONS!$D:$D,OBJECT_CONDITIONS!$A:$A,$N119)-1))+($D119*(SUMIFS(OBJECT_CONDITIONS!$F:$F,OBJECT_CONDITIONS!$A:$A,$N119)-1))+($E119*(SUMIFS(OBJECT_CONDITIONS!$H:$H,OBJECT_CONDITIONS!$A:$A,$N119)-1))+($F119*(SUMIFS(OBJECT_CONDITIONS!$J:$J,OBJECT_CONDITIONS!$A:$A,$N119)-1))+($G119*(SUMIFS(OBJECT_CONDITIONS!$L:$L,OBJECT_CONDITIONS!$A:$A,$N119)-1))+($H119*(SUMIFS(OBJECT_CONDITIONS!$N:$N,OBJECT_CONDITIONS!$A:$A,$N119)-1))+($I119*(SUMIFS(OBJECT_CONDITIONS!$P:$P,OBJECT_CONDITIONS!$A:$A,$N119)-1))+($J119*(SUMIFS(OBJECT_CONDITIONS!$R:$R,OBJECT_CONDITIONS!$A:$A,$N119)-1))+($K119*(SUMIFS(OBJECT_CONDITIONS!$T:$T,OBJECT_CONDITIONS!$A:$A,$N119)-1)),3))</f>
        <v/>
      </c>
      <c r="P119" s="31"/>
    </row>
    <row r="120" ht="14.25" customHeight="1">
      <c r="A120" s="31"/>
      <c r="B120" s="31"/>
      <c r="C120" s="34"/>
      <c r="D120" s="34"/>
      <c r="E120" s="34"/>
      <c r="F120" s="34"/>
      <c r="G120" s="34"/>
      <c r="H120" s="34"/>
      <c r="I120" s="34"/>
      <c r="J120" s="34"/>
      <c r="K120" s="34"/>
      <c r="L120" s="31"/>
      <c r="M120" s="31"/>
      <c r="N120" s="31"/>
      <c r="O120" s="35" t="str">
        <f>IF($N120="","",ROUND(1+($C120*(SUMIFS(OBJECT_CONDITIONS!$D:$D,OBJECT_CONDITIONS!$A:$A,$N120)-1))+($D120*(SUMIFS(OBJECT_CONDITIONS!$F:$F,OBJECT_CONDITIONS!$A:$A,$N120)-1))+($E120*(SUMIFS(OBJECT_CONDITIONS!$H:$H,OBJECT_CONDITIONS!$A:$A,$N120)-1))+($F120*(SUMIFS(OBJECT_CONDITIONS!$J:$J,OBJECT_CONDITIONS!$A:$A,$N120)-1))+($G120*(SUMIFS(OBJECT_CONDITIONS!$L:$L,OBJECT_CONDITIONS!$A:$A,$N120)-1))+($H120*(SUMIFS(OBJECT_CONDITIONS!$N:$N,OBJECT_CONDITIONS!$A:$A,$N120)-1))+($I120*(SUMIFS(OBJECT_CONDITIONS!$P:$P,OBJECT_CONDITIONS!$A:$A,$N120)-1))+($J120*(SUMIFS(OBJECT_CONDITIONS!$R:$R,OBJECT_CONDITIONS!$A:$A,$N120)-1))+($K120*(SUMIFS(OBJECT_CONDITIONS!$T:$T,OBJECT_CONDITIONS!$A:$A,$N120)-1)),3))</f>
        <v/>
      </c>
      <c r="P120" s="31"/>
    </row>
    <row r="121" ht="14.25" customHeight="1">
      <c r="A121" s="31"/>
      <c r="B121" s="31"/>
      <c r="C121" s="34"/>
      <c r="D121" s="34"/>
      <c r="E121" s="34"/>
      <c r="F121" s="34"/>
      <c r="G121" s="34"/>
      <c r="H121" s="34"/>
      <c r="I121" s="34"/>
      <c r="J121" s="34"/>
      <c r="K121" s="34"/>
      <c r="L121" s="31"/>
      <c r="M121" s="31"/>
      <c r="N121" s="31"/>
      <c r="O121" s="35" t="str">
        <f>IF($N121="","",ROUND(1+($C121*(SUMIFS(OBJECT_CONDITIONS!$D:$D,OBJECT_CONDITIONS!$A:$A,$N121)-1))+($D121*(SUMIFS(OBJECT_CONDITIONS!$F:$F,OBJECT_CONDITIONS!$A:$A,$N121)-1))+($E121*(SUMIFS(OBJECT_CONDITIONS!$H:$H,OBJECT_CONDITIONS!$A:$A,$N121)-1))+($F121*(SUMIFS(OBJECT_CONDITIONS!$J:$J,OBJECT_CONDITIONS!$A:$A,$N121)-1))+($G121*(SUMIFS(OBJECT_CONDITIONS!$L:$L,OBJECT_CONDITIONS!$A:$A,$N121)-1))+($H121*(SUMIFS(OBJECT_CONDITIONS!$N:$N,OBJECT_CONDITIONS!$A:$A,$N121)-1))+($I121*(SUMIFS(OBJECT_CONDITIONS!$P:$P,OBJECT_CONDITIONS!$A:$A,$N121)-1))+($J121*(SUMIFS(OBJECT_CONDITIONS!$R:$R,OBJECT_CONDITIONS!$A:$A,$N121)-1))+($K121*(SUMIFS(OBJECT_CONDITIONS!$T:$T,OBJECT_CONDITIONS!$A:$A,$N121)-1)),3))</f>
        <v/>
      </c>
      <c r="P121" s="31"/>
    </row>
    <row r="122" ht="14.25" customHeight="1">
      <c r="A122" s="31"/>
      <c r="B122" s="31"/>
      <c r="C122" s="34"/>
      <c r="D122" s="34"/>
      <c r="E122" s="34"/>
      <c r="F122" s="34"/>
      <c r="G122" s="34"/>
      <c r="H122" s="34"/>
      <c r="I122" s="34"/>
      <c r="J122" s="34"/>
      <c r="K122" s="34"/>
      <c r="L122" s="31"/>
      <c r="M122" s="31"/>
      <c r="N122" s="31"/>
      <c r="O122" s="35" t="str">
        <f>IF($N122="","",ROUND(1+($C122*(SUMIFS(OBJECT_CONDITIONS!$D:$D,OBJECT_CONDITIONS!$A:$A,$N122)-1))+($D122*(SUMIFS(OBJECT_CONDITIONS!$F:$F,OBJECT_CONDITIONS!$A:$A,$N122)-1))+($E122*(SUMIFS(OBJECT_CONDITIONS!$H:$H,OBJECT_CONDITIONS!$A:$A,$N122)-1))+($F122*(SUMIFS(OBJECT_CONDITIONS!$J:$J,OBJECT_CONDITIONS!$A:$A,$N122)-1))+($G122*(SUMIFS(OBJECT_CONDITIONS!$L:$L,OBJECT_CONDITIONS!$A:$A,$N122)-1))+($H122*(SUMIFS(OBJECT_CONDITIONS!$N:$N,OBJECT_CONDITIONS!$A:$A,$N122)-1))+($I122*(SUMIFS(OBJECT_CONDITIONS!$P:$P,OBJECT_CONDITIONS!$A:$A,$N122)-1))+($J122*(SUMIFS(OBJECT_CONDITIONS!$R:$R,OBJECT_CONDITIONS!$A:$A,$N122)-1))+($K122*(SUMIFS(OBJECT_CONDITIONS!$T:$T,OBJECT_CONDITIONS!$A:$A,$N122)-1)),3))</f>
        <v/>
      </c>
      <c r="P122" s="31"/>
    </row>
    <row r="123" ht="14.25" customHeight="1">
      <c r="A123" s="31"/>
      <c r="B123" s="31"/>
      <c r="C123" s="34"/>
      <c r="D123" s="34"/>
      <c r="E123" s="34"/>
      <c r="F123" s="34"/>
      <c r="G123" s="34"/>
      <c r="H123" s="34"/>
      <c r="I123" s="34"/>
      <c r="J123" s="34"/>
      <c r="K123" s="34"/>
      <c r="L123" s="31"/>
      <c r="M123" s="31"/>
      <c r="N123" s="31"/>
      <c r="O123" s="35" t="str">
        <f>IF($N123="","",ROUND(1+($C123*(SUMIFS(OBJECT_CONDITIONS!$D:$D,OBJECT_CONDITIONS!$A:$A,$N123)-1))+($D123*(SUMIFS(OBJECT_CONDITIONS!$F:$F,OBJECT_CONDITIONS!$A:$A,$N123)-1))+($E123*(SUMIFS(OBJECT_CONDITIONS!$H:$H,OBJECT_CONDITIONS!$A:$A,$N123)-1))+($F123*(SUMIFS(OBJECT_CONDITIONS!$J:$J,OBJECT_CONDITIONS!$A:$A,$N123)-1))+($G123*(SUMIFS(OBJECT_CONDITIONS!$L:$L,OBJECT_CONDITIONS!$A:$A,$N123)-1))+($H123*(SUMIFS(OBJECT_CONDITIONS!$N:$N,OBJECT_CONDITIONS!$A:$A,$N123)-1))+($I123*(SUMIFS(OBJECT_CONDITIONS!$P:$P,OBJECT_CONDITIONS!$A:$A,$N123)-1))+($J123*(SUMIFS(OBJECT_CONDITIONS!$R:$R,OBJECT_CONDITIONS!$A:$A,$N123)-1))+($K123*(SUMIFS(OBJECT_CONDITIONS!$T:$T,OBJECT_CONDITIONS!$A:$A,$N123)-1)),3))</f>
        <v/>
      </c>
      <c r="P123" s="31"/>
    </row>
    <row r="124" ht="14.25" customHeight="1">
      <c r="A124" s="31"/>
      <c r="B124" s="31"/>
      <c r="C124" s="34"/>
      <c r="D124" s="34"/>
      <c r="E124" s="34"/>
      <c r="F124" s="34"/>
      <c r="G124" s="34"/>
      <c r="H124" s="34"/>
      <c r="I124" s="34"/>
      <c r="J124" s="34"/>
      <c r="K124" s="34"/>
      <c r="L124" s="31"/>
      <c r="M124" s="31"/>
      <c r="N124" s="31"/>
      <c r="O124" s="35" t="str">
        <f>IF($N124="","",ROUND(1+($C124*(SUMIFS(OBJECT_CONDITIONS!$D:$D,OBJECT_CONDITIONS!$A:$A,$N124)-1))+($D124*(SUMIFS(OBJECT_CONDITIONS!$F:$F,OBJECT_CONDITIONS!$A:$A,$N124)-1))+($E124*(SUMIFS(OBJECT_CONDITIONS!$H:$H,OBJECT_CONDITIONS!$A:$A,$N124)-1))+($F124*(SUMIFS(OBJECT_CONDITIONS!$J:$J,OBJECT_CONDITIONS!$A:$A,$N124)-1))+($G124*(SUMIFS(OBJECT_CONDITIONS!$L:$L,OBJECT_CONDITIONS!$A:$A,$N124)-1))+($H124*(SUMIFS(OBJECT_CONDITIONS!$N:$N,OBJECT_CONDITIONS!$A:$A,$N124)-1))+($I124*(SUMIFS(OBJECT_CONDITIONS!$P:$P,OBJECT_CONDITIONS!$A:$A,$N124)-1))+($J124*(SUMIFS(OBJECT_CONDITIONS!$R:$R,OBJECT_CONDITIONS!$A:$A,$N124)-1))+($K124*(SUMIFS(OBJECT_CONDITIONS!$T:$T,OBJECT_CONDITIONS!$A:$A,$N124)-1)),3))</f>
        <v/>
      </c>
      <c r="P124" s="31"/>
    </row>
    <row r="125" ht="14.25" customHeight="1">
      <c r="A125" s="31"/>
      <c r="B125" s="31"/>
      <c r="C125" s="34"/>
      <c r="D125" s="34"/>
      <c r="E125" s="34"/>
      <c r="F125" s="34"/>
      <c r="G125" s="34"/>
      <c r="H125" s="34"/>
      <c r="I125" s="34"/>
      <c r="J125" s="34"/>
      <c r="K125" s="34"/>
      <c r="L125" s="31"/>
      <c r="M125" s="31"/>
      <c r="N125" s="31"/>
      <c r="O125" s="35" t="str">
        <f>IF($N125="","",ROUND(1+($C125*(SUMIFS(OBJECT_CONDITIONS!$D:$D,OBJECT_CONDITIONS!$A:$A,$N125)-1))+($D125*(SUMIFS(OBJECT_CONDITIONS!$F:$F,OBJECT_CONDITIONS!$A:$A,$N125)-1))+($E125*(SUMIFS(OBJECT_CONDITIONS!$H:$H,OBJECT_CONDITIONS!$A:$A,$N125)-1))+($F125*(SUMIFS(OBJECT_CONDITIONS!$J:$J,OBJECT_CONDITIONS!$A:$A,$N125)-1))+($G125*(SUMIFS(OBJECT_CONDITIONS!$L:$L,OBJECT_CONDITIONS!$A:$A,$N125)-1))+($H125*(SUMIFS(OBJECT_CONDITIONS!$N:$N,OBJECT_CONDITIONS!$A:$A,$N125)-1))+($I125*(SUMIFS(OBJECT_CONDITIONS!$P:$P,OBJECT_CONDITIONS!$A:$A,$N125)-1))+($J125*(SUMIFS(OBJECT_CONDITIONS!$R:$R,OBJECT_CONDITIONS!$A:$A,$N125)-1))+($K125*(SUMIFS(OBJECT_CONDITIONS!$T:$T,OBJECT_CONDITIONS!$A:$A,$N125)-1)),3))</f>
        <v/>
      </c>
      <c r="P125" s="31"/>
    </row>
    <row r="126" ht="14.25" customHeight="1">
      <c r="A126" s="31"/>
      <c r="B126" s="31"/>
      <c r="C126" s="34"/>
      <c r="D126" s="34"/>
      <c r="E126" s="34"/>
      <c r="F126" s="34"/>
      <c r="G126" s="34"/>
      <c r="H126" s="34"/>
      <c r="I126" s="34"/>
      <c r="J126" s="34"/>
      <c r="K126" s="34"/>
      <c r="L126" s="31"/>
      <c r="M126" s="31"/>
      <c r="N126" s="31"/>
      <c r="O126" s="35" t="str">
        <f>IF($N126="","",ROUND(1+($C126*(SUMIFS(OBJECT_CONDITIONS!$D:$D,OBJECT_CONDITIONS!$A:$A,$N126)-1))+($D126*(SUMIFS(OBJECT_CONDITIONS!$F:$F,OBJECT_CONDITIONS!$A:$A,$N126)-1))+($E126*(SUMIFS(OBJECT_CONDITIONS!$H:$H,OBJECT_CONDITIONS!$A:$A,$N126)-1))+($F126*(SUMIFS(OBJECT_CONDITIONS!$J:$J,OBJECT_CONDITIONS!$A:$A,$N126)-1))+($G126*(SUMIFS(OBJECT_CONDITIONS!$L:$L,OBJECT_CONDITIONS!$A:$A,$N126)-1))+($H126*(SUMIFS(OBJECT_CONDITIONS!$N:$N,OBJECT_CONDITIONS!$A:$A,$N126)-1))+($I126*(SUMIFS(OBJECT_CONDITIONS!$P:$P,OBJECT_CONDITIONS!$A:$A,$N126)-1))+($J126*(SUMIFS(OBJECT_CONDITIONS!$R:$R,OBJECT_CONDITIONS!$A:$A,$N126)-1))+($K126*(SUMIFS(OBJECT_CONDITIONS!$T:$T,OBJECT_CONDITIONS!$A:$A,$N126)-1)),3))</f>
        <v/>
      </c>
      <c r="P126" s="31"/>
    </row>
    <row r="127" ht="14.25" customHeight="1">
      <c r="A127" s="31"/>
      <c r="B127" s="31"/>
      <c r="C127" s="34"/>
      <c r="D127" s="34"/>
      <c r="E127" s="34"/>
      <c r="F127" s="34"/>
      <c r="G127" s="34"/>
      <c r="H127" s="34"/>
      <c r="I127" s="34"/>
      <c r="J127" s="34"/>
      <c r="K127" s="34"/>
      <c r="L127" s="31"/>
      <c r="M127" s="31"/>
      <c r="N127" s="31"/>
      <c r="O127" s="35" t="str">
        <f>IF($N127="","",ROUND(1+($C127*(SUMIFS(OBJECT_CONDITIONS!$D:$D,OBJECT_CONDITIONS!$A:$A,$N127)-1))+($D127*(SUMIFS(OBJECT_CONDITIONS!$F:$F,OBJECT_CONDITIONS!$A:$A,$N127)-1))+($E127*(SUMIFS(OBJECT_CONDITIONS!$H:$H,OBJECT_CONDITIONS!$A:$A,$N127)-1))+($F127*(SUMIFS(OBJECT_CONDITIONS!$J:$J,OBJECT_CONDITIONS!$A:$A,$N127)-1))+($G127*(SUMIFS(OBJECT_CONDITIONS!$L:$L,OBJECT_CONDITIONS!$A:$A,$N127)-1))+($H127*(SUMIFS(OBJECT_CONDITIONS!$N:$N,OBJECT_CONDITIONS!$A:$A,$N127)-1))+($I127*(SUMIFS(OBJECT_CONDITIONS!$P:$P,OBJECT_CONDITIONS!$A:$A,$N127)-1))+($J127*(SUMIFS(OBJECT_CONDITIONS!$R:$R,OBJECT_CONDITIONS!$A:$A,$N127)-1))+($K127*(SUMIFS(OBJECT_CONDITIONS!$T:$T,OBJECT_CONDITIONS!$A:$A,$N127)-1)),3))</f>
        <v/>
      </c>
      <c r="P127" s="31"/>
    </row>
    <row r="128" ht="14.25" customHeight="1">
      <c r="A128" s="31"/>
      <c r="B128" s="31"/>
      <c r="C128" s="34"/>
      <c r="D128" s="34"/>
      <c r="E128" s="34"/>
      <c r="F128" s="34"/>
      <c r="G128" s="34"/>
      <c r="H128" s="34"/>
      <c r="I128" s="34"/>
      <c r="J128" s="34"/>
      <c r="K128" s="34"/>
      <c r="L128" s="31"/>
      <c r="M128" s="31"/>
      <c r="N128" s="31"/>
      <c r="O128" s="35" t="str">
        <f>IF($N128="","",ROUND(1+($C128*(SUMIFS(OBJECT_CONDITIONS!$D:$D,OBJECT_CONDITIONS!$A:$A,$N128)-1))+($D128*(SUMIFS(OBJECT_CONDITIONS!$F:$F,OBJECT_CONDITIONS!$A:$A,$N128)-1))+($E128*(SUMIFS(OBJECT_CONDITIONS!$H:$H,OBJECT_CONDITIONS!$A:$A,$N128)-1))+($F128*(SUMIFS(OBJECT_CONDITIONS!$J:$J,OBJECT_CONDITIONS!$A:$A,$N128)-1))+($G128*(SUMIFS(OBJECT_CONDITIONS!$L:$L,OBJECT_CONDITIONS!$A:$A,$N128)-1))+($H128*(SUMIFS(OBJECT_CONDITIONS!$N:$N,OBJECT_CONDITIONS!$A:$A,$N128)-1))+($I128*(SUMIFS(OBJECT_CONDITIONS!$P:$P,OBJECT_CONDITIONS!$A:$A,$N128)-1))+($J128*(SUMIFS(OBJECT_CONDITIONS!$R:$R,OBJECT_CONDITIONS!$A:$A,$N128)-1))+($K128*(SUMIFS(OBJECT_CONDITIONS!$T:$T,OBJECT_CONDITIONS!$A:$A,$N128)-1)),3))</f>
        <v/>
      </c>
      <c r="P128" s="31"/>
    </row>
    <row r="129" ht="14.25" customHeight="1">
      <c r="A129" s="31"/>
      <c r="B129" s="31"/>
      <c r="C129" s="34"/>
      <c r="D129" s="34"/>
      <c r="E129" s="34"/>
      <c r="F129" s="34"/>
      <c r="G129" s="34"/>
      <c r="H129" s="34"/>
      <c r="I129" s="34"/>
      <c r="J129" s="34"/>
      <c r="K129" s="34"/>
      <c r="L129" s="31"/>
      <c r="M129" s="31"/>
      <c r="N129" s="31"/>
      <c r="O129" s="35" t="str">
        <f>IF($N129="","",ROUND(1+($C129*(SUMIFS(OBJECT_CONDITIONS!$D:$D,OBJECT_CONDITIONS!$A:$A,$N129)-1))+($D129*(SUMIFS(OBJECT_CONDITIONS!$F:$F,OBJECT_CONDITIONS!$A:$A,$N129)-1))+($E129*(SUMIFS(OBJECT_CONDITIONS!$H:$H,OBJECT_CONDITIONS!$A:$A,$N129)-1))+($F129*(SUMIFS(OBJECT_CONDITIONS!$J:$J,OBJECT_CONDITIONS!$A:$A,$N129)-1))+($G129*(SUMIFS(OBJECT_CONDITIONS!$L:$L,OBJECT_CONDITIONS!$A:$A,$N129)-1))+($H129*(SUMIFS(OBJECT_CONDITIONS!$N:$N,OBJECT_CONDITIONS!$A:$A,$N129)-1))+($I129*(SUMIFS(OBJECT_CONDITIONS!$P:$P,OBJECT_CONDITIONS!$A:$A,$N129)-1))+($J129*(SUMIFS(OBJECT_CONDITIONS!$R:$R,OBJECT_CONDITIONS!$A:$A,$N129)-1))+($K129*(SUMIFS(OBJECT_CONDITIONS!$T:$T,OBJECT_CONDITIONS!$A:$A,$N129)-1)),3))</f>
        <v/>
      </c>
      <c r="P129" s="31"/>
    </row>
    <row r="130" ht="14.25" customHeight="1">
      <c r="A130" s="31"/>
      <c r="B130" s="31"/>
      <c r="C130" s="34"/>
      <c r="D130" s="34"/>
      <c r="E130" s="34"/>
      <c r="F130" s="34"/>
      <c r="G130" s="34"/>
      <c r="H130" s="34"/>
      <c r="I130" s="34"/>
      <c r="J130" s="34"/>
      <c r="K130" s="34"/>
      <c r="L130" s="31"/>
      <c r="M130" s="31"/>
      <c r="N130" s="31"/>
      <c r="O130" s="35" t="str">
        <f>IF($N130="","",ROUND(1+($C130*(SUMIFS(OBJECT_CONDITIONS!$D:$D,OBJECT_CONDITIONS!$A:$A,$N130)-1))+($D130*(SUMIFS(OBJECT_CONDITIONS!$F:$F,OBJECT_CONDITIONS!$A:$A,$N130)-1))+($E130*(SUMIFS(OBJECT_CONDITIONS!$H:$H,OBJECT_CONDITIONS!$A:$A,$N130)-1))+($F130*(SUMIFS(OBJECT_CONDITIONS!$J:$J,OBJECT_CONDITIONS!$A:$A,$N130)-1))+($G130*(SUMIFS(OBJECT_CONDITIONS!$L:$L,OBJECT_CONDITIONS!$A:$A,$N130)-1))+($H130*(SUMIFS(OBJECT_CONDITIONS!$N:$N,OBJECT_CONDITIONS!$A:$A,$N130)-1))+($I130*(SUMIFS(OBJECT_CONDITIONS!$P:$P,OBJECT_CONDITIONS!$A:$A,$N130)-1))+($J130*(SUMIFS(OBJECT_CONDITIONS!$R:$R,OBJECT_CONDITIONS!$A:$A,$N130)-1))+($K130*(SUMIFS(OBJECT_CONDITIONS!$T:$T,OBJECT_CONDITIONS!$A:$A,$N130)-1)),3))</f>
        <v/>
      </c>
      <c r="P130" s="31"/>
    </row>
    <row r="131" ht="14.25" customHeight="1">
      <c r="A131" s="31"/>
      <c r="B131" s="31"/>
      <c r="C131" s="34"/>
      <c r="D131" s="34"/>
      <c r="E131" s="34"/>
      <c r="F131" s="34"/>
      <c r="G131" s="34"/>
      <c r="H131" s="34"/>
      <c r="I131" s="34"/>
      <c r="J131" s="34"/>
      <c r="K131" s="34"/>
      <c r="L131" s="31"/>
      <c r="M131" s="31"/>
      <c r="N131" s="31"/>
      <c r="O131" s="35" t="str">
        <f>IF($N131="","",ROUND(1+($C131*(SUMIFS(OBJECT_CONDITIONS!$D:$D,OBJECT_CONDITIONS!$A:$A,$N131)-1))+($D131*(SUMIFS(OBJECT_CONDITIONS!$F:$F,OBJECT_CONDITIONS!$A:$A,$N131)-1))+($E131*(SUMIFS(OBJECT_CONDITIONS!$H:$H,OBJECT_CONDITIONS!$A:$A,$N131)-1))+($F131*(SUMIFS(OBJECT_CONDITIONS!$J:$J,OBJECT_CONDITIONS!$A:$A,$N131)-1))+($G131*(SUMIFS(OBJECT_CONDITIONS!$L:$L,OBJECT_CONDITIONS!$A:$A,$N131)-1))+($H131*(SUMIFS(OBJECT_CONDITIONS!$N:$N,OBJECT_CONDITIONS!$A:$A,$N131)-1))+($I131*(SUMIFS(OBJECT_CONDITIONS!$P:$P,OBJECT_CONDITIONS!$A:$A,$N131)-1))+($J131*(SUMIFS(OBJECT_CONDITIONS!$R:$R,OBJECT_CONDITIONS!$A:$A,$N131)-1))+($K131*(SUMIFS(OBJECT_CONDITIONS!$T:$T,OBJECT_CONDITIONS!$A:$A,$N131)-1)),3))</f>
        <v/>
      </c>
      <c r="P131" s="31"/>
    </row>
    <row r="132" ht="14.25" customHeight="1">
      <c r="A132" s="31"/>
      <c r="B132" s="31"/>
      <c r="C132" s="34"/>
      <c r="D132" s="34"/>
      <c r="E132" s="34"/>
      <c r="F132" s="34"/>
      <c r="G132" s="34"/>
      <c r="H132" s="34"/>
      <c r="I132" s="34"/>
      <c r="J132" s="34"/>
      <c r="K132" s="34"/>
      <c r="L132" s="31"/>
      <c r="M132" s="31"/>
      <c r="N132" s="31"/>
      <c r="O132" s="35" t="str">
        <f>IF($N132="","",ROUND(1+($C132*(SUMIFS(OBJECT_CONDITIONS!$D:$D,OBJECT_CONDITIONS!$A:$A,$N132)-1))+($D132*(SUMIFS(OBJECT_CONDITIONS!$F:$F,OBJECT_CONDITIONS!$A:$A,$N132)-1))+($E132*(SUMIFS(OBJECT_CONDITIONS!$H:$H,OBJECT_CONDITIONS!$A:$A,$N132)-1))+($F132*(SUMIFS(OBJECT_CONDITIONS!$J:$J,OBJECT_CONDITIONS!$A:$A,$N132)-1))+($G132*(SUMIFS(OBJECT_CONDITIONS!$L:$L,OBJECT_CONDITIONS!$A:$A,$N132)-1))+($H132*(SUMIFS(OBJECT_CONDITIONS!$N:$N,OBJECT_CONDITIONS!$A:$A,$N132)-1))+($I132*(SUMIFS(OBJECT_CONDITIONS!$P:$P,OBJECT_CONDITIONS!$A:$A,$N132)-1))+($J132*(SUMIFS(OBJECT_CONDITIONS!$R:$R,OBJECT_CONDITIONS!$A:$A,$N132)-1))+($K132*(SUMIFS(OBJECT_CONDITIONS!$T:$T,OBJECT_CONDITIONS!$A:$A,$N132)-1)),3))</f>
        <v/>
      </c>
      <c r="P132" s="31"/>
    </row>
    <row r="133" ht="14.25" customHeight="1">
      <c r="A133" s="31"/>
      <c r="B133" s="31"/>
      <c r="C133" s="34"/>
      <c r="D133" s="34"/>
      <c r="E133" s="34"/>
      <c r="F133" s="34"/>
      <c r="G133" s="34"/>
      <c r="H133" s="34"/>
      <c r="I133" s="34"/>
      <c r="J133" s="34"/>
      <c r="K133" s="34"/>
      <c r="L133" s="31"/>
      <c r="M133" s="31"/>
      <c r="N133" s="31"/>
      <c r="O133" s="35" t="str">
        <f>IF($N133="","",ROUND(1+($C133*(SUMIFS(OBJECT_CONDITIONS!$D:$D,OBJECT_CONDITIONS!$A:$A,$N133)-1))+($D133*(SUMIFS(OBJECT_CONDITIONS!$F:$F,OBJECT_CONDITIONS!$A:$A,$N133)-1))+($E133*(SUMIFS(OBJECT_CONDITIONS!$H:$H,OBJECT_CONDITIONS!$A:$A,$N133)-1))+($F133*(SUMIFS(OBJECT_CONDITIONS!$J:$J,OBJECT_CONDITIONS!$A:$A,$N133)-1))+($G133*(SUMIFS(OBJECT_CONDITIONS!$L:$L,OBJECT_CONDITIONS!$A:$A,$N133)-1))+($H133*(SUMIFS(OBJECT_CONDITIONS!$N:$N,OBJECT_CONDITIONS!$A:$A,$N133)-1))+($I133*(SUMIFS(OBJECT_CONDITIONS!$P:$P,OBJECT_CONDITIONS!$A:$A,$N133)-1))+($J133*(SUMIFS(OBJECT_CONDITIONS!$R:$R,OBJECT_CONDITIONS!$A:$A,$N133)-1))+($K133*(SUMIFS(OBJECT_CONDITIONS!$T:$T,OBJECT_CONDITIONS!$A:$A,$N133)-1)),3))</f>
        <v/>
      </c>
      <c r="P133" s="31"/>
    </row>
    <row r="134" ht="14.25" customHeight="1">
      <c r="A134" s="31"/>
      <c r="B134" s="31"/>
      <c r="C134" s="34"/>
      <c r="D134" s="34"/>
      <c r="E134" s="34"/>
      <c r="F134" s="34"/>
      <c r="G134" s="34"/>
      <c r="H134" s="34"/>
      <c r="I134" s="34"/>
      <c r="J134" s="34"/>
      <c r="K134" s="34"/>
      <c r="L134" s="31"/>
      <c r="M134" s="31"/>
      <c r="N134" s="31"/>
      <c r="O134" s="35" t="str">
        <f>IF($N134="","",ROUND(1+($C134*(SUMIFS(OBJECT_CONDITIONS!$D:$D,OBJECT_CONDITIONS!$A:$A,$N134)-1))+($D134*(SUMIFS(OBJECT_CONDITIONS!$F:$F,OBJECT_CONDITIONS!$A:$A,$N134)-1))+($E134*(SUMIFS(OBJECT_CONDITIONS!$H:$H,OBJECT_CONDITIONS!$A:$A,$N134)-1))+($F134*(SUMIFS(OBJECT_CONDITIONS!$J:$J,OBJECT_CONDITIONS!$A:$A,$N134)-1))+($G134*(SUMIFS(OBJECT_CONDITIONS!$L:$L,OBJECT_CONDITIONS!$A:$A,$N134)-1))+($H134*(SUMIFS(OBJECT_CONDITIONS!$N:$N,OBJECT_CONDITIONS!$A:$A,$N134)-1))+($I134*(SUMIFS(OBJECT_CONDITIONS!$P:$P,OBJECT_CONDITIONS!$A:$A,$N134)-1))+($J134*(SUMIFS(OBJECT_CONDITIONS!$R:$R,OBJECT_CONDITIONS!$A:$A,$N134)-1))+($K134*(SUMIFS(OBJECT_CONDITIONS!$T:$T,OBJECT_CONDITIONS!$A:$A,$N134)-1)),3))</f>
        <v/>
      </c>
      <c r="P134" s="31"/>
    </row>
    <row r="135" ht="14.25" customHeight="1">
      <c r="A135" s="31"/>
      <c r="B135" s="31"/>
      <c r="C135" s="34"/>
      <c r="D135" s="34"/>
      <c r="E135" s="34"/>
      <c r="F135" s="34"/>
      <c r="G135" s="34"/>
      <c r="H135" s="34"/>
      <c r="I135" s="34"/>
      <c r="J135" s="34"/>
      <c r="K135" s="34"/>
      <c r="L135" s="31"/>
      <c r="M135" s="31"/>
      <c r="N135" s="31"/>
      <c r="O135" s="35" t="str">
        <f>IF($N135="","",ROUND(1+($C135*(SUMIFS(OBJECT_CONDITIONS!$D:$D,OBJECT_CONDITIONS!$A:$A,$N135)-1))+($D135*(SUMIFS(OBJECT_CONDITIONS!$F:$F,OBJECT_CONDITIONS!$A:$A,$N135)-1))+($E135*(SUMIFS(OBJECT_CONDITIONS!$H:$H,OBJECT_CONDITIONS!$A:$A,$N135)-1))+($F135*(SUMIFS(OBJECT_CONDITIONS!$J:$J,OBJECT_CONDITIONS!$A:$A,$N135)-1))+($G135*(SUMIFS(OBJECT_CONDITIONS!$L:$L,OBJECT_CONDITIONS!$A:$A,$N135)-1))+($H135*(SUMIFS(OBJECT_CONDITIONS!$N:$N,OBJECT_CONDITIONS!$A:$A,$N135)-1))+($I135*(SUMIFS(OBJECT_CONDITIONS!$P:$P,OBJECT_CONDITIONS!$A:$A,$N135)-1))+($J135*(SUMIFS(OBJECT_CONDITIONS!$R:$R,OBJECT_CONDITIONS!$A:$A,$N135)-1))+($K135*(SUMIFS(OBJECT_CONDITIONS!$T:$T,OBJECT_CONDITIONS!$A:$A,$N135)-1)),3))</f>
        <v/>
      </c>
      <c r="P135" s="31"/>
    </row>
    <row r="136" ht="14.25" customHeight="1">
      <c r="A136" s="31"/>
      <c r="B136" s="31"/>
      <c r="C136" s="34"/>
      <c r="D136" s="34"/>
      <c r="E136" s="34"/>
      <c r="F136" s="34"/>
      <c r="G136" s="34"/>
      <c r="H136" s="34"/>
      <c r="I136" s="34"/>
      <c r="J136" s="34"/>
      <c r="K136" s="34"/>
      <c r="L136" s="31"/>
      <c r="M136" s="31"/>
      <c r="N136" s="31"/>
      <c r="O136" s="35" t="str">
        <f>IF($N136="","",ROUND(1+($C136*(SUMIFS(OBJECT_CONDITIONS!$D:$D,OBJECT_CONDITIONS!$A:$A,$N136)-1))+($D136*(SUMIFS(OBJECT_CONDITIONS!$F:$F,OBJECT_CONDITIONS!$A:$A,$N136)-1))+($E136*(SUMIFS(OBJECT_CONDITIONS!$H:$H,OBJECT_CONDITIONS!$A:$A,$N136)-1))+($F136*(SUMIFS(OBJECT_CONDITIONS!$J:$J,OBJECT_CONDITIONS!$A:$A,$N136)-1))+($G136*(SUMIFS(OBJECT_CONDITIONS!$L:$L,OBJECT_CONDITIONS!$A:$A,$N136)-1))+($H136*(SUMIFS(OBJECT_CONDITIONS!$N:$N,OBJECT_CONDITIONS!$A:$A,$N136)-1))+($I136*(SUMIFS(OBJECT_CONDITIONS!$P:$P,OBJECT_CONDITIONS!$A:$A,$N136)-1))+($J136*(SUMIFS(OBJECT_CONDITIONS!$R:$R,OBJECT_CONDITIONS!$A:$A,$N136)-1))+($K136*(SUMIFS(OBJECT_CONDITIONS!$T:$T,OBJECT_CONDITIONS!$A:$A,$N136)-1)),3))</f>
        <v/>
      </c>
      <c r="P136" s="31"/>
    </row>
    <row r="137" ht="14.25" customHeight="1">
      <c r="A137" s="31"/>
      <c r="B137" s="31"/>
      <c r="C137" s="34"/>
      <c r="D137" s="34"/>
      <c r="E137" s="34"/>
      <c r="F137" s="34"/>
      <c r="G137" s="34"/>
      <c r="H137" s="34"/>
      <c r="I137" s="34"/>
      <c r="J137" s="34"/>
      <c r="K137" s="34"/>
      <c r="L137" s="31"/>
      <c r="M137" s="31"/>
      <c r="N137" s="31"/>
      <c r="O137" s="35" t="str">
        <f>IF($N137="","",ROUND(1+($C137*(SUMIFS(OBJECT_CONDITIONS!$D:$D,OBJECT_CONDITIONS!$A:$A,$N137)-1))+($D137*(SUMIFS(OBJECT_CONDITIONS!$F:$F,OBJECT_CONDITIONS!$A:$A,$N137)-1))+($E137*(SUMIFS(OBJECT_CONDITIONS!$H:$H,OBJECT_CONDITIONS!$A:$A,$N137)-1))+($F137*(SUMIFS(OBJECT_CONDITIONS!$J:$J,OBJECT_CONDITIONS!$A:$A,$N137)-1))+($G137*(SUMIFS(OBJECT_CONDITIONS!$L:$L,OBJECT_CONDITIONS!$A:$A,$N137)-1))+($H137*(SUMIFS(OBJECT_CONDITIONS!$N:$N,OBJECT_CONDITIONS!$A:$A,$N137)-1))+($I137*(SUMIFS(OBJECT_CONDITIONS!$P:$P,OBJECT_CONDITIONS!$A:$A,$N137)-1))+($J137*(SUMIFS(OBJECT_CONDITIONS!$R:$R,OBJECT_CONDITIONS!$A:$A,$N137)-1))+($K137*(SUMIFS(OBJECT_CONDITIONS!$T:$T,OBJECT_CONDITIONS!$A:$A,$N137)-1)),3))</f>
        <v/>
      </c>
      <c r="P137" s="31"/>
    </row>
    <row r="138" ht="14.25" customHeight="1">
      <c r="A138" s="31"/>
      <c r="B138" s="31"/>
      <c r="C138" s="34"/>
      <c r="D138" s="34"/>
      <c r="E138" s="34"/>
      <c r="F138" s="34"/>
      <c r="G138" s="34"/>
      <c r="H138" s="34"/>
      <c r="I138" s="34"/>
      <c r="J138" s="34"/>
      <c r="K138" s="34"/>
      <c r="L138" s="31"/>
      <c r="M138" s="31"/>
      <c r="N138" s="31"/>
      <c r="O138" s="35" t="str">
        <f>IF($N138="","",ROUND(1+($C138*(SUMIFS(OBJECT_CONDITIONS!$D:$D,OBJECT_CONDITIONS!$A:$A,$N138)-1))+($D138*(SUMIFS(OBJECT_CONDITIONS!$F:$F,OBJECT_CONDITIONS!$A:$A,$N138)-1))+($E138*(SUMIFS(OBJECT_CONDITIONS!$H:$H,OBJECT_CONDITIONS!$A:$A,$N138)-1))+($F138*(SUMIFS(OBJECT_CONDITIONS!$J:$J,OBJECT_CONDITIONS!$A:$A,$N138)-1))+($G138*(SUMIFS(OBJECT_CONDITIONS!$L:$L,OBJECT_CONDITIONS!$A:$A,$N138)-1))+($H138*(SUMIFS(OBJECT_CONDITIONS!$N:$N,OBJECT_CONDITIONS!$A:$A,$N138)-1))+($I138*(SUMIFS(OBJECT_CONDITIONS!$P:$P,OBJECT_CONDITIONS!$A:$A,$N138)-1))+($J138*(SUMIFS(OBJECT_CONDITIONS!$R:$R,OBJECT_CONDITIONS!$A:$A,$N138)-1))+($K138*(SUMIFS(OBJECT_CONDITIONS!$T:$T,OBJECT_CONDITIONS!$A:$A,$N138)-1)),3))</f>
        <v/>
      </c>
      <c r="P138" s="31"/>
    </row>
    <row r="139" ht="14.25" customHeight="1">
      <c r="A139" s="31"/>
      <c r="B139" s="31"/>
      <c r="C139" s="34"/>
      <c r="D139" s="34"/>
      <c r="E139" s="34"/>
      <c r="F139" s="34"/>
      <c r="G139" s="34"/>
      <c r="H139" s="34"/>
      <c r="I139" s="34"/>
      <c r="J139" s="34"/>
      <c r="K139" s="34"/>
      <c r="L139" s="31"/>
      <c r="M139" s="31"/>
      <c r="N139" s="31"/>
      <c r="O139" s="35" t="str">
        <f>IF($N139="","",ROUND(1+($C139*(SUMIFS(OBJECT_CONDITIONS!$D:$D,OBJECT_CONDITIONS!$A:$A,$N139)-1))+($D139*(SUMIFS(OBJECT_CONDITIONS!$F:$F,OBJECT_CONDITIONS!$A:$A,$N139)-1))+($E139*(SUMIFS(OBJECT_CONDITIONS!$H:$H,OBJECT_CONDITIONS!$A:$A,$N139)-1))+($F139*(SUMIFS(OBJECT_CONDITIONS!$J:$J,OBJECT_CONDITIONS!$A:$A,$N139)-1))+($G139*(SUMIFS(OBJECT_CONDITIONS!$L:$L,OBJECT_CONDITIONS!$A:$A,$N139)-1))+($H139*(SUMIFS(OBJECT_CONDITIONS!$N:$N,OBJECT_CONDITIONS!$A:$A,$N139)-1))+($I139*(SUMIFS(OBJECT_CONDITIONS!$P:$P,OBJECT_CONDITIONS!$A:$A,$N139)-1))+($J139*(SUMIFS(OBJECT_CONDITIONS!$R:$R,OBJECT_CONDITIONS!$A:$A,$N139)-1))+($K139*(SUMIFS(OBJECT_CONDITIONS!$T:$T,OBJECT_CONDITIONS!$A:$A,$N139)-1)),3))</f>
        <v/>
      </c>
      <c r="P139" s="31"/>
    </row>
    <row r="140" ht="14.25" customHeight="1">
      <c r="A140" s="31"/>
      <c r="B140" s="31"/>
      <c r="C140" s="34"/>
      <c r="D140" s="34"/>
      <c r="E140" s="34"/>
      <c r="F140" s="34"/>
      <c r="G140" s="34"/>
      <c r="H140" s="34"/>
      <c r="I140" s="34"/>
      <c r="J140" s="34"/>
      <c r="K140" s="34"/>
      <c r="L140" s="31"/>
      <c r="M140" s="31"/>
      <c r="N140" s="31"/>
      <c r="O140" s="35" t="str">
        <f>IF($N140="","",ROUND(1+($C140*(SUMIFS(OBJECT_CONDITIONS!$D:$D,OBJECT_CONDITIONS!$A:$A,$N140)-1))+($D140*(SUMIFS(OBJECT_CONDITIONS!$F:$F,OBJECT_CONDITIONS!$A:$A,$N140)-1))+($E140*(SUMIFS(OBJECT_CONDITIONS!$H:$H,OBJECT_CONDITIONS!$A:$A,$N140)-1))+($F140*(SUMIFS(OBJECT_CONDITIONS!$J:$J,OBJECT_CONDITIONS!$A:$A,$N140)-1))+($G140*(SUMIFS(OBJECT_CONDITIONS!$L:$L,OBJECT_CONDITIONS!$A:$A,$N140)-1))+($H140*(SUMIFS(OBJECT_CONDITIONS!$N:$N,OBJECT_CONDITIONS!$A:$A,$N140)-1))+($I140*(SUMIFS(OBJECT_CONDITIONS!$P:$P,OBJECT_CONDITIONS!$A:$A,$N140)-1))+($J140*(SUMIFS(OBJECT_CONDITIONS!$R:$R,OBJECT_CONDITIONS!$A:$A,$N140)-1))+($K140*(SUMIFS(OBJECT_CONDITIONS!$T:$T,OBJECT_CONDITIONS!$A:$A,$N140)-1)),3))</f>
        <v/>
      </c>
      <c r="P140" s="31"/>
    </row>
    <row r="141" ht="14.25" customHeight="1">
      <c r="A141" s="31"/>
      <c r="B141" s="31"/>
      <c r="C141" s="34"/>
      <c r="D141" s="34"/>
      <c r="E141" s="34"/>
      <c r="F141" s="34"/>
      <c r="G141" s="34"/>
      <c r="H141" s="34"/>
      <c r="I141" s="34"/>
      <c r="J141" s="34"/>
      <c r="K141" s="34"/>
      <c r="L141" s="31"/>
      <c r="M141" s="31"/>
      <c r="N141" s="31"/>
      <c r="O141" s="35" t="str">
        <f>IF($N141="","",ROUND(1+($C141*(SUMIFS(OBJECT_CONDITIONS!$D:$D,OBJECT_CONDITIONS!$A:$A,$N141)-1))+($D141*(SUMIFS(OBJECT_CONDITIONS!$F:$F,OBJECT_CONDITIONS!$A:$A,$N141)-1))+($E141*(SUMIFS(OBJECT_CONDITIONS!$H:$H,OBJECT_CONDITIONS!$A:$A,$N141)-1))+($F141*(SUMIFS(OBJECT_CONDITIONS!$J:$J,OBJECT_CONDITIONS!$A:$A,$N141)-1))+($G141*(SUMIFS(OBJECT_CONDITIONS!$L:$L,OBJECT_CONDITIONS!$A:$A,$N141)-1))+($H141*(SUMIFS(OBJECT_CONDITIONS!$N:$N,OBJECT_CONDITIONS!$A:$A,$N141)-1))+($I141*(SUMIFS(OBJECT_CONDITIONS!$P:$P,OBJECT_CONDITIONS!$A:$A,$N141)-1))+($J141*(SUMIFS(OBJECT_CONDITIONS!$R:$R,OBJECT_CONDITIONS!$A:$A,$N141)-1))+($K141*(SUMIFS(OBJECT_CONDITIONS!$T:$T,OBJECT_CONDITIONS!$A:$A,$N141)-1)),3))</f>
        <v/>
      </c>
      <c r="P141" s="31"/>
    </row>
    <row r="142" ht="14.25" customHeight="1">
      <c r="A142" s="31"/>
      <c r="B142" s="31"/>
      <c r="C142" s="34"/>
      <c r="D142" s="34"/>
      <c r="E142" s="34"/>
      <c r="F142" s="34"/>
      <c r="G142" s="34"/>
      <c r="H142" s="34"/>
      <c r="I142" s="34"/>
      <c r="J142" s="34"/>
      <c r="K142" s="34"/>
      <c r="L142" s="31"/>
      <c r="M142" s="31"/>
      <c r="N142" s="31"/>
      <c r="O142" s="35" t="str">
        <f>IF($N142="","",ROUND(1+($C142*(SUMIFS(OBJECT_CONDITIONS!$D:$D,OBJECT_CONDITIONS!$A:$A,$N142)-1))+($D142*(SUMIFS(OBJECT_CONDITIONS!$F:$F,OBJECT_CONDITIONS!$A:$A,$N142)-1))+($E142*(SUMIFS(OBJECT_CONDITIONS!$H:$H,OBJECT_CONDITIONS!$A:$A,$N142)-1))+($F142*(SUMIFS(OBJECT_CONDITIONS!$J:$J,OBJECT_CONDITIONS!$A:$A,$N142)-1))+($G142*(SUMIFS(OBJECT_CONDITIONS!$L:$L,OBJECT_CONDITIONS!$A:$A,$N142)-1))+($H142*(SUMIFS(OBJECT_CONDITIONS!$N:$N,OBJECT_CONDITIONS!$A:$A,$N142)-1))+($I142*(SUMIFS(OBJECT_CONDITIONS!$P:$P,OBJECT_CONDITIONS!$A:$A,$N142)-1))+($J142*(SUMIFS(OBJECT_CONDITIONS!$R:$R,OBJECT_CONDITIONS!$A:$A,$N142)-1))+($K142*(SUMIFS(OBJECT_CONDITIONS!$T:$T,OBJECT_CONDITIONS!$A:$A,$N142)-1)),3))</f>
        <v/>
      </c>
      <c r="P142" s="31"/>
    </row>
    <row r="143" ht="14.25" customHeight="1">
      <c r="A143" s="31"/>
      <c r="B143" s="31"/>
      <c r="C143" s="34"/>
      <c r="D143" s="34"/>
      <c r="E143" s="34"/>
      <c r="F143" s="34"/>
      <c r="G143" s="34"/>
      <c r="H143" s="34"/>
      <c r="I143" s="34"/>
      <c r="J143" s="34"/>
      <c r="K143" s="34"/>
      <c r="L143" s="31"/>
      <c r="M143" s="31"/>
      <c r="N143" s="31"/>
      <c r="O143" s="35" t="str">
        <f>IF($N143="","",ROUND(1+($C143*(SUMIFS(OBJECT_CONDITIONS!$D:$D,OBJECT_CONDITIONS!$A:$A,$N143)-1))+($D143*(SUMIFS(OBJECT_CONDITIONS!$F:$F,OBJECT_CONDITIONS!$A:$A,$N143)-1))+($E143*(SUMIFS(OBJECT_CONDITIONS!$H:$H,OBJECT_CONDITIONS!$A:$A,$N143)-1))+($F143*(SUMIFS(OBJECT_CONDITIONS!$J:$J,OBJECT_CONDITIONS!$A:$A,$N143)-1))+($G143*(SUMIFS(OBJECT_CONDITIONS!$L:$L,OBJECT_CONDITIONS!$A:$A,$N143)-1))+($H143*(SUMIFS(OBJECT_CONDITIONS!$N:$N,OBJECT_CONDITIONS!$A:$A,$N143)-1))+($I143*(SUMIFS(OBJECT_CONDITIONS!$P:$P,OBJECT_CONDITIONS!$A:$A,$N143)-1))+($J143*(SUMIFS(OBJECT_CONDITIONS!$R:$R,OBJECT_CONDITIONS!$A:$A,$N143)-1))+($K143*(SUMIFS(OBJECT_CONDITIONS!$T:$T,OBJECT_CONDITIONS!$A:$A,$N143)-1)),3))</f>
        <v/>
      </c>
      <c r="P143" s="31"/>
    </row>
    <row r="144" ht="14.25" customHeight="1">
      <c r="A144" s="31"/>
      <c r="B144" s="31"/>
      <c r="C144" s="34"/>
      <c r="D144" s="34"/>
      <c r="E144" s="34"/>
      <c r="F144" s="34"/>
      <c r="G144" s="34"/>
      <c r="H144" s="34"/>
      <c r="I144" s="34"/>
      <c r="J144" s="34"/>
      <c r="K144" s="34"/>
      <c r="L144" s="31"/>
      <c r="M144" s="31"/>
      <c r="N144" s="31"/>
      <c r="O144" s="35" t="str">
        <f>IF($N144="","",ROUND(1+($C144*(SUMIFS(OBJECT_CONDITIONS!$D:$D,OBJECT_CONDITIONS!$A:$A,$N144)-1))+($D144*(SUMIFS(OBJECT_CONDITIONS!$F:$F,OBJECT_CONDITIONS!$A:$A,$N144)-1))+($E144*(SUMIFS(OBJECT_CONDITIONS!$H:$H,OBJECT_CONDITIONS!$A:$A,$N144)-1))+($F144*(SUMIFS(OBJECT_CONDITIONS!$J:$J,OBJECT_CONDITIONS!$A:$A,$N144)-1))+($G144*(SUMIFS(OBJECT_CONDITIONS!$L:$L,OBJECT_CONDITIONS!$A:$A,$N144)-1))+($H144*(SUMIFS(OBJECT_CONDITIONS!$N:$N,OBJECT_CONDITIONS!$A:$A,$N144)-1))+($I144*(SUMIFS(OBJECT_CONDITIONS!$P:$P,OBJECT_CONDITIONS!$A:$A,$N144)-1))+($J144*(SUMIFS(OBJECT_CONDITIONS!$R:$R,OBJECT_CONDITIONS!$A:$A,$N144)-1))+($K144*(SUMIFS(OBJECT_CONDITIONS!$T:$T,OBJECT_CONDITIONS!$A:$A,$N144)-1)),3))</f>
        <v/>
      </c>
      <c r="P144" s="31"/>
    </row>
    <row r="145" ht="14.25" customHeight="1">
      <c r="A145" s="31"/>
      <c r="B145" s="31"/>
      <c r="C145" s="34"/>
      <c r="D145" s="34"/>
      <c r="E145" s="34"/>
      <c r="F145" s="34"/>
      <c r="G145" s="34"/>
      <c r="H145" s="34"/>
      <c r="I145" s="34"/>
      <c r="J145" s="34"/>
      <c r="K145" s="34"/>
      <c r="L145" s="31"/>
      <c r="M145" s="31"/>
      <c r="N145" s="31"/>
      <c r="O145" s="35" t="str">
        <f>IF($N145="","",ROUND(1+($C145*(SUMIFS(OBJECT_CONDITIONS!$D:$D,OBJECT_CONDITIONS!$A:$A,$N145)-1))+($D145*(SUMIFS(OBJECT_CONDITIONS!$F:$F,OBJECT_CONDITIONS!$A:$A,$N145)-1))+($E145*(SUMIFS(OBJECT_CONDITIONS!$H:$H,OBJECT_CONDITIONS!$A:$A,$N145)-1))+($F145*(SUMIFS(OBJECT_CONDITIONS!$J:$J,OBJECT_CONDITIONS!$A:$A,$N145)-1))+($G145*(SUMIFS(OBJECT_CONDITIONS!$L:$L,OBJECT_CONDITIONS!$A:$A,$N145)-1))+($H145*(SUMIFS(OBJECT_CONDITIONS!$N:$N,OBJECT_CONDITIONS!$A:$A,$N145)-1))+($I145*(SUMIFS(OBJECT_CONDITIONS!$P:$P,OBJECT_CONDITIONS!$A:$A,$N145)-1))+($J145*(SUMIFS(OBJECT_CONDITIONS!$R:$R,OBJECT_CONDITIONS!$A:$A,$N145)-1))+($K145*(SUMIFS(OBJECT_CONDITIONS!$T:$T,OBJECT_CONDITIONS!$A:$A,$N145)-1)),3))</f>
        <v/>
      </c>
      <c r="P145" s="31"/>
    </row>
    <row r="146" ht="14.25" customHeight="1">
      <c r="A146" s="31"/>
      <c r="B146" s="31"/>
      <c r="C146" s="34"/>
      <c r="D146" s="34"/>
      <c r="E146" s="34"/>
      <c r="F146" s="34"/>
      <c r="G146" s="34"/>
      <c r="H146" s="34"/>
      <c r="I146" s="34"/>
      <c r="J146" s="34"/>
      <c r="K146" s="34"/>
      <c r="L146" s="31"/>
      <c r="M146" s="31"/>
      <c r="N146" s="31"/>
      <c r="O146" s="35" t="str">
        <f>IF($N146="","",ROUND(1+($C146*(SUMIFS(OBJECT_CONDITIONS!$D:$D,OBJECT_CONDITIONS!$A:$A,$N146)-1))+($D146*(SUMIFS(OBJECT_CONDITIONS!$F:$F,OBJECT_CONDITIONS!$A:$A,$N146)-1))+($E146*(SUMIFS(OBJECT_CONDITIONS!$H:$H,OBJECT_CONDITIONS!$A:$A,$N146)-1))+($F146*(SUMIFS(OBJECT_CONDITIONS!$J:$J,OBJECT_CONDITIONS!$A:$A,$N146)-1))+($G146*(SUMIFS(OBJECT_CONDITIONS!$L:$L,OBJECT_CONDITIONS!$A:$A,$N146)-1))+($H146*(SUMIFS(OBJECT_CONDITIONS!$N:$N,OBJECT_CONDITIONS!$A:$A,$N146)-1))+($I146*(SUMIFS(OBJECT_CONDITIONS!$P:$P,OBJECT_CONDITIONS!$A:$A,$N146)-1))+($J146*(SUMIFS(OBJECT_CONDITIONS!$R:$R,OBJECT_CONDITIONS!$A:$A,$N146)-1))+($K146*(SUMIFS(OBJECT_CONDITIONS!$T:$T,OBJECT_CONDITIONS!$A:$A,$N146)-1)),3))</f>
        <v/>
      </c>
      <c r="P146" s="31"/>
    </row>
    <row r="147" ht="14.25" customHeight="1">
      <c r="A147" s="31"/>
      <c r="B147" s="31"/>
      <c r="C147" s="34"/>
      <c r="D147" s="34"/>
      <c r="E147" s="34"/>
      <c r="F147" s="34"/>
      <c r="G147" s="34"/>
      <c r="H147" s="34"/>
      <c r="I147" s="34"/>
      <c r="J147" s="34"/>
      <c r="K147" s="34"/>
      <c r="L147" s="31"/>
      <c r="M147" s="31"/>
      <c r="N147" s="31"/>
      <c r="O147" s="35" t="str">
        <f>IF($N147="","",ROUND(1+($C147*(SUMIFS(OBJECT_CONDITIONS!$D:$D,OBJECT_CONDITIONS!$A:$A,$N147)-1))+($D147*(SUMIFS(OBJECT_CONDITIONS!$F:$F,OBJECT_CONDITIONS!$A:$A,$N147)-1))+($E147*(SUMIFS(OBJECT_CONDITIONS!$H:$H,OBJECT_CONDITIONS!$A:$A,$N147)-1))+($F147*(SUMIFS(OBJECT_CONDITIONS!$J:$J,OBJECT_CONDITIONS!$A:$A,$N147)-1))+($G147*(SUMIFS(OBJECT_CONDITIONS!$L:$L,OBJECT_CONDITIONS!$A:$A,$N147)-1))+($H147*(SUMIFS(OBJECT_CONDITIONS!$N:$N,OBJECT_CONDITIONS!$A:$A,$N147)-1))+($I147*(SUMIFS(OBJECT_CONDITIONS!$P:$P,OBJECT_CONDITIONS!$A:$A,$N147)-1))+($J147*(SUMIFS(OBJECT_CONDITIONS!$R:$R,OBJECT_CONDITIONS!$A:$A,$N147)-1))+($K147*(SUMIFS(OBJECT_CONDITIONS!$T:$T,OBJECT_CONDITIONS!$A:$A,$N147)-1)),3))</f>
        <v/>
      </c>
      <c r="P147" s="31"/>
    </row>
    <row r="148" ht="14.25" customHeight="1">
      <c r="A148" s="31"/>
      <c r="B148" s="31"/>
      <c r="C148" s="34"/>
      <c r="D148" s="34"/>
      <c r="E148" s="34"/>
      <c r="F148" s="34"/>
      <c r="G148" s="34"/>
      <c r="H148" s="34"/>
      <c r="I148" s="34"/>
      <c r="J148" s="34"/>
      <c r="K148" s="34"/>
      <c r="L148" s="31"/>
      <c r="M148" s="31"/>
      <c r="N148" s="31"/>
      <c r="O148" s="35" t="str">
        <f>IF($N148="","",ROUND(1+($C148*(SUMIFS(OBJECT_CONDITIONS!$D:$D,OBJECT_CONDITIONS!$A:$A,$N148)-1))+($D148*(SUMIFS(OBJECT_CONDITIONS!$F:$F,OBJECT_CONDITIONS!$A:$A,$N148)-1))+($E148*(SUMIFS(OBJECT_CONDITIONS!$H:$H,OBJECT_CONDITIONS!$A:$A,$N148)-1))+($F148*(SUMIFS(OBJECT_CONDITIONS!$J:$J,OBJECT_CONDITIONS!$A:$A,$N148)-1))+($G148*(SUMIFS(OBJECT_CONDITIONS!$L:$L,OBJECT_CONDITIONS!$A:$A,$N148)-1))+($H148*(SUMIFS(OBJECT_CONDITIONS!$N:$N,OBJECT_CONDITIONS!$A:$A,$N148)-1))+($I148*(SUMIFS(OBJECT_CONDITIONS!$P:$P,OBJECT_CONDITIONS!$A:$A,$N148)-1))+($J148*(SUMIFS(OBJECT_CONDITIONS!$R:$R,OBJECT_CONDITIONS!$A:$A,$N148)-1))+($K148*(SUMIFS(OBJECT_CONDITIONS!$T:$T,OBJECT_CONDITIONS!$A:$A,$N148)-1)),3))</f>
        <v/>
      </c>
      <c r="P148" s="31"/>
    </row>
    <row r="149" ht="14.25" customHeight="1">
      <c r="A149" s="31"/>
      <c r="B149" s="31"/>
      <c r="C149" s="34"/>
      <c r="D149" s="34"/>
      <c r="E149" s="34"/>
      <c r="F149" s="34"/>
      <c r="G149" s="34"/>
      <c r="H149" s="34"/>
      <c r="I149" s="34"/>
      <c r="J149" s="34"/>
      <c r="K149" s="34"/>
      <c r="L149" s="31"/>
      <c r="M149" s="31"/>
      <c r="N149" s="31"/>
      <c r="O149" s="35" t="str">
        <f>IF($N149="","",ROUND(1+($C149*(SUMIFS(OBJECT_CONDITIONS!$D:$D,OBJECT_CONDITIONS!$A:$A,$N149)-1))+($D149*(SUMIFS(OBJECT_CONDITIONS!$F:$F,OBJECT_CONDITIONS!$A:$A,$N149)-1))+($E149*(SUMIFS(OBJECT_CONDITIONS!$H:$H,OBJECT_CONDITIONS!$A:$A,$N149)-1))+($F149*(SUMIFS(OBJECT_CONDITIONS!$J:$J,OBJECT_CONDITIONS!$A:$A,$N149)-1))+($G149*(SUMIFS(OBJECT_CONDITIONS!$L:$L,OBJECT_CONDITIONS!$A:$A,$N149)-1))+($H149*(SUMIFS(OBJECT_CONDITIONS!$N:$N,OBJECT_CONDITIONS!$A:$A,$N149)-1))+($I149*(SUMIFS(OBJECT_CONDITIONS!$P:$P,OBJECT_CONDITIONS!$A:$A,$N149)-1))+($J149*(SUMIFS(OBJECT_CONDITIONS!$R:$R,OBJECT_CONDITIONS!$A:$A,$N149)-1))+($K149*(SUMIFS(OBJECT_CONDITIONS!$T:$T,OBJECT_CONDITIONS!$A:$A,$N149)-1)),3))</f>
        <v/>
      </c>
      <c r="P149" s="31"/>
    </row>
    <row r="150" ht="14.25" customHeight="1">
      <c r="A150" s="31"/>
      <c r="B150" s="31"/>
      <c r="C150" s="34"/>
      <c r="D150" s="34"/>
      <c r="E150" s="34"/>
      <c r="F150" s="34"/>
      <c r="G150" s="34"/>
      <c r="H150" s="34"/>
      <c r="I150" s="34"/>
      <c r="J150" s="34"/>
      <c r="K150" s="34"/>
      <c r="L150" s="31"/>
      <c r="M150" s="31"/>
      <c r="N150" s="31"/>
      <c r="O150" s="35" t="str">
        <f>IF($N150="","",ROUND(1+($C150*(SUMIFS(OBJECT_CONDITIONS!$D:$D,OBJECT_CONDITIONS!$A:$A,$N150)-1))+($D150*(SUMIFS(OBJECT_CONDITIONS!$F:$F,OBJECT_CONDITIONS!$A:$A,$N150)-1))+($E150*(SUMIFS(OBJECT_CONDITIONS!$H:$H,OBJECT_CONDITIONS!$A:$A,$N150)-1))+($F150*(SUMIFS(OBJECT_CONDITIONS!$J:$J,OBJECT_CONDITIONS!$A:$A,$N150)-1))+($G150*(SUMIFS(OBJECT_CONDITIONS!$L:$L,OBJECT_CONDITIONS!$A:$A,$N150)-1))+($H150*(SUMIFS(OBJECT_CONDITIONS!$N:$N,OBJECT_CONDITIONS!$A:$A,$N150)-1))+($I150*(SUMIFS(OBJECT_CONDITIONS!$P:$P,OBJECT_CONDITIONS!$A:$A,$N150)-1))+($J150*(SUMIFS(OBJECT_CONDITIONS!$R:$R,OBJECT_CONDITIONS!$A:$A,$N150)-1))+($K150*(SUMIFS(OBJECT_CONDITIONS!$T:$T,OBJECT_CONDITIONS!$A:$A,$N150)-1)),3))</f>
        <v/>
      </c>
      <c r="P150" s="31"/>
    </row>
    <row r="151" ht="14.25" customHeight="1">
      <c r="L151" s="8"/>
      <c r="M151" s="8"/>
    </row>
    <row r="152" ht="14.25" customHeight="1">
      <c r="L152" s="8"/>
      <c r="M152" s="8"/>
    </row>
    <row r="153" ht="14.25" customHeight="1">
      <c r="L153" s="8"/>
      <c r="M153" s="8"/>
    </row>
    <row r="154" ht="14.25" customHeight="1">
      <c r="L154" s="8"/>
      <c r="M154" s="8"/>
    </row>
    <row r="155" ht="14.25" customHeight="1">
      <c r="L155" s="8"/>
      <c r="M155" s="8"/>
    </row>
    <row r="156" ht="14.25" customHeight="1">
      <c r="L156" s="8"/>
      <c r="M156" s="8"/>
    </row>
    <row r="157" ht="14.25" customHeight="1">
      <c r="L157" s="8"/>
      <c r="M157" s="8"/>
    </row>
    <row r="158" ht="14.25" customHeight="1">
      <c r="L158" s="8"/>
      <c r="M158" s="8"/>
    </row>
    <row r="159" ht="14.25" customHeight="1">
      <c r="L159" s="8"/>
      <c r="M159" s="8"/>
    </row>
    <row r="160" ht="14.25" customHeight="1">
      <c r="L160" s="8"/>
      <c r="M160" s="8"/>
    </row>
    <row r="161" ht="14.25" customHeight="1">
      <c r="L161" s="8"/>
      <c r="M161" s="8"/>
    </row>
    <row r="162" ht="14.25" customHeight="1">
      <c r="L162" s="8"/>
      <c r="M162" s="8"/>
    </row>
    <row r="163" ht="14.25" customHeight="1">
      <c r="L163" s="8"/>
      <c r="M163" s="8"/>
    </row>
    <row r="164" ht="14.25" customHeight="1">
      <c r="L164" s="8"/>
      <c r="M164" s="8"/>
    </row>
    <row r="165" ht="14.25" customHeight="1">
      <c r="L165" s="8"/>
      <c r="M165" s="8"/>
    </row>
    <row r="166" ht="14.25" customHeight="1">
      <c r="L166" s="8"/>
      <c r="M166" s="8"/>
    </row>
    <row r="167" ht="14.25" customHeight="1">
      <c r="L167" s="8"/>
      <c r="M167" s="8"/>
    </row>
    <row r="168" ht="14.25" customHeight="1">
      <c r="L168" s="8"/>
      <c r="M168" s="8"/>
    </row>
    <row r="169" ht="14.25" customHeight="1">
      <c r="L169" s="8"/>
      <c r="M169" s="8"/>
    </row>
    <row r="170" ht="14.25" customHeight="1">
      <c r="L170" s="8"/>
      <c r="M170" s="8"/>
    </row>
    <row r="171" ht="14.25" customHeight="1">
      <c r="L171" s="8"/>
      <c r="M171" s="8"/>
    </row>
    <row r="172" ht="14.25" customHeight="1">
      <c r="L172" s="8"/>
      <c r="M172" s="8"/>
    </row>
    <row r="173" ht="14.25" customHeight="1">
      <c r="L173" s="8"/>
      <c r="M173" s="8"/>
    </row>
    <row r="174" ht="14.25" customHeight="1">
      <c r="L174" s="8"/>
      <c r="M174" s="8"/>
    </row>
    <row r="175" ht="14.25" customHeight="1">
      <c r="L175" s="8"/>
      <c r="M175" s="8"/>
    </row>
    <row r="176" ht="14.25" customHeight="1">
      <c r="L176" s="8"/>
      <c r="M176" s="8"/>
    </row>
    <row r="177" ht="14.25" customHeight="1">
      <c r="L177" s="8"/>
      <c r="M177" s="8"/>
    </row>
    <row r="178" ht="14.25" customHeight="1">
      <c r="L178" s="8"/>
      <c r="M178" s="8"/>
    </row>
    <row r="179" ht="14.25" customHeight="1">
      <c r="L179" s="8"/>
      <c r="M179" s="8"/>
    </row>
    <row r="180" ht="14.25" customHeight="1">
      <c r="L180" s="8"/>
      <c r="M180" s="8"/>
    </row>
    <row r="181" ht="14.25" customHeight="1">
      <c r="L181" s="8"/>
      <c r="M181" s="8"/>
    </row>
    <row r="182" ht="14.25" customHeight="1">
      <c r="L182" s="8"/>
      <c r="M182" s="8"/>
    </row>
    <row r="183" ht="14.25" customHeight="1">
      <c r="L183" s="8"/>
      <c r="M183" s="8"/>
    </row>
    <row r="184" ht="14.25" customHeight="1">
      <c r="L184" s="8"/>
      <c r="M184" s="8"/>
    </row>
    <row r="185" ht="14.25" customHeight="1">
      <c r="L185" s="8"/>
      <c r="M185" s="8"/>
    </row>
    <row r="186" ht="14.25" customHeight="1">
      <c r="L186" s="8"/>
      <c r="M186" s="8"/>
    </row>
    <row r="187" ht="14.25" customHeight="1">
      <c r="L187" s="8"/>
      <c r="M187" s="8"/>
    </row>
    <row r="188" ht="14.25" customHeight="1">
      <c r="L188" s="8"/>
      <c r="M188" s="8"/>
    </row>
    <row r="189" ht="14.25" customHeight="1">
      <c r="L189" s="8"/>
      <c r="M189" s="8"/>
    </row>
    <row r="190" ht="14.25" customHeight="1">
      <c r="L190" s="8"/>
      <c r="M190" s="8"/>
    </row>
    <row r="191" ht="14.25" customHeight="1">
      <c r="L191" s="8"/>
      <c r="M191" s="8"/>
    </row>
    <row r="192" ht="14.25" customHeight="1">
      <c r="L192" s="8"/>
      <c r="M192" s="8"/>
    </row>
    <row r="193" ht="14.25" customHeight="1">
      <c r="L193" s="8"/>
      <c r="M193" s="8"/>
    </row>
    <row r="194" ht="14.25" customHeight="1">
      <c r="L194" s="8"/>
      <c r="M194" s="8"/>
    </row>
    <row r="195" ht="14.25" customHeight="1">
      <c r="L195" s="8"/>
      <c r="M195" s="8"/>
    </row>
    <row r="196" ht="14.25" customHeight="1">
      <c r="L196" s="8"/>
      <c r="M196" s="8"/>
    </row>
    <row r="197" ht="14.25" customHeight="1">
      <c r="L197" s="8"/>
      <c r="M197" s="8"/>
    </row>
    <row r="198" ht="14.25" customHeight="1">
      <c r="L198" s="8"/>
      <c r="M198" s="8"/>
    </row>
    <row r="199" ht="14.25" customHeight="1">
      <c r="L199" s="8"/>
      <c r="M199" s="8"/>
    </row>
    <row r="200" ht="14.25" customHeight="1">
      <c r="L200" s="8"/>
      <c r="M200" s="8"/>
    </row>
    <row r="201" ht="14.25" customHeight="1">
      <c r="L201" s="8"/>
      <c r="M201" s="8"/>
    </row>
    <row r="202" ht="14.25" customHeight="1">
      <c r="L202" s="8"/>
      <c r="M202" s="8"/>
    </row>
    <row r="203" ht="14.25" customHeight="1">
      <c r="L203" s="8"/>
      <c r="M203" s="8"/>
    </row>
    <row r="204" ht="14.25" customHeight="1">
      <c r="L204" s="8"/>
      <c r="M204" s="8"/>
    </row>
    <row r="205" ht="14.25" customHeight="1">
      <c r="L205" s="8"/>
      <c r="M205" s="8"/>
    </row>
    <row r="206" ht="14.25" customHeight="1">
      <c r="L206" s="8"/>
      <c r="M206" s="8"/>
    </row>
    <row r="207" ht="14.25" customHeight="1">
      <c r="L207" s="8"/>
      <c r="M207" s="8"/>
    </row>
    <row r="208" ht="14.25" customHeight="1">
      <c r="L208" s="8"/>
      <c r="M208" s="8"/>
    </row>
    <row r="209" ht="14.25" customHeight="1">
      <c r="L209" s="8"/>
      <c r="M209" s="8"/>
    </row>
    <row r="210" ht="14.25" customHeight="1">
      <c r="L210" s="8"/>
      <c r="M210" s="8"/>
    </row>
    <row r="211" ht="14.25" customHeight="1">
      <c r="L211" s="8"/>
      <c r="M211" s="8"/>
    </row>
    <row r="212" ht="14.25" customHeight="1">
      <c r="L212" s="8"/>
      <c r="M212" s="8"/>
    </row>
    <row r="213" ht="14.25" customHeight="1">
      <c r="L213" s="8"/>
      <c r="M213" s="8"/>
    </row>
    <row r="214" ht="14.25" customHeight="1">
      <c r="L214" s="8"/>
      <c r="M214" s="8"/>
    </row>
    <row r="215" ht="14.25" customHeight="1">
      <c r="L215" s="8"/>
      <c r="M215" s="8"/>
    </row>
    <row r="216" ht="14.25" customHeight="1">
      <c r="L216" s="8"/>
      <c r="M216" s="8"/>
    </row>
    <row r="217" ht="14.25" customHeight="1">
      <c r="L217" s="8"/>
      <c r="M217" s="8"/>
    </row>
    <row r="218" ht="14.25" customHeight="1">
      <c r="L218" s="8"/>
      <c r="M218" s="8"/>
    </row>
    <row r="219" ht="14.25" customHeight="1">
      <c r="L219" s="8"/>
      <c r="M219" s="8"/>
    </row>
    <row r="220" ht="14.25" customHeight="1">
      <c r="L220" s="8"/>
      <c r="M220" s="8"/>
    </row>
    <row r="221" ht="14.25" customHeight="1">
      <c r="L221" s="8"/>
      <c r="M221" s="8"/>
    </row>
    <row r="222" ht="14.25" customHeight="1">
      <c r="L222" s="8"/>
      <c r="M222" s="8"/>
    </row>
    <row r="223" ht="14.25" customHeight="1">
      <c r="L223" s="8"/>
      <c r="M223" s="8"/>
    </row>
    <row r="224" ht="14.25" customHeight="1">
      <c r="L224" s="8"/>
      <c r="M224" s="8"/>
    </row>
    <row r="225" ht="14.25" customHeight="1">
      <c r="L225" s="8"/>
      <c r="M225" s="8"/>
    </row>
    <row r="226" ht="14.25" customHeight="1">
      <c r="L226" s="8"/>
      <c r="M226" s="8"/>
    </row>
    <row r="227" ht="14.25" customHeight="1">
      <c r="L227" s="8"/>
      <c r="M227" s="8"/>
    </row>
    <row r="228" ht="14.25" customHeight="1">
      <c r="L228" s="8"/>
      <c r="M228" s="8"/>
    </row>
    <row r="229" ht="14.25" customHeight="1">
      <c r="L229" s="8"/>
      <c r="M229" s="8"/>
    </row>
    <row r="230" ht="14.25" customHeight="1">
      <c r="L230" s="8"/>
      <c r="M230" s="8"/>
    </row>
    <row r="231" ht="14.25" customHeight="1">
      <c r="L231" s="8"/>
      <c r="M231" s="8"/>
    </row>
    <row r="232" ht="14.25" customHeight="1">
      <c r="L232" s="8"/>
      <c r="M232" s="8"/>
    </row>
    <row r="233" ht="14.25" customHeight="1">
      <c r="L233" s="8"/>
      <c r="M233" s="8"/>
    </row>
    <row r="234" ht="14.25" customHeight="1">
      <c r="L234" s="8"/>
      <c r="M234" s="8"/>
    </row>
    <row r="235" ht="14.25" customHeight="1">
      <c r="L235" s="8"/>
      <c r="M235" s="8"/>
    </row>
    <row r="236" ht="14.25" customHeight="1">
      <c r="L236" s="8"/>
      <c r="M236" s="8"/>
    </row>
    <row r="237" ht="14.25" customHeight="1">
      <c r="L237" s="8"/>
      <c r="M237" s="8"/>
    </row>
    <row r="238" ht="14.25" customHeight="1">
      <c r="L238" s="8"/>
      <c r="M238" s="8"/>
    </row>
    <row r="239" ht="14.25" customHeight="1">
      <c r="L239" s="8"/>
      <c r="M239" s="8"/>
    </row>
    <row r="240" ht="14.25" customHeight="1">
      <c r="L240" s="8"/>
      <c r="M240" s="8"/>
    </row>
    <row r="241" ht="14.25" customHeight="1">
      <c r="L241" s="8"/>
      <c r="M241" s="8"/>
    </row>
    <row r="242" ht="14.25" customHeight="1">
      <c r="L242" s="8"/>
      <c r="M242" s="8"/>
    </row>
    <row r="243" ht="14.25" customHeight="1">
      <c r="L243" s="8"/>
      <c r="M243" s="8"/>
    </row>
    <row r="244" ht="14.25" customHeight="1">
      <c r="L244" s="8"/>
      <c r="M244" s="8"/>
    </row>
    <row r="245" ht="14.25" customHeight="1">
      <c r="L245" s="8"/>
      <c r="M245" s="8"/>
    </row>
    <row r="246" ht="14.25" customHeight="1">
      <c r="L246" s="8"/>
      <c r="M246" s="8"/>
    </row>
    <row r="247" ht="14.25" customHeight="1">
      <c r="L247" s="8"/>
      <c r="M247" s="8"/>
    </row>
    <row r="248" ht="14.25" customHeight="1">
      <c r="L248" s="8"/>
      <c r="M248" s="8"/>
    </row>
    <row r="249" ht="14.25" customHeight="1">
      <c r="L249" s="8"/>
      <c r="M249" s="8"/>
    </row>
    <row r="250" ht="14.25" customHeight="1">
      <c r="L250" s="8"/>
      <c r="M250" s="8"/>
    </row>
    <row r="251" ht="14.25" customHeight="1">
      <c r="L251" s="8"/>
      <c r="M251" s="8"/>
    </row>
    <row r="252" ht="14.25" customHeight="1">
      <c r="L252" s="8"/>
      <c r="M252" s="8"/>
    </row>
    <row r="253" ht="14.25" customHeight="1">
      <c r="L253" s="8"/>
      <c r="M253" s="8"/>
    </row>
    <row r="254" ht="14.25" customHeight="1">
      <c r="L254" s="8"/>
      <c r="M254" s="8"/>
    </row>
    <row r="255" ht="14.25" customHeight="1">
      <c r="L255" s="8"/>
      <c r="M255" s="8"/>
    </row>
    <row r="256" ht="14.25" customHeight="1">
      <c r="L256" s="8"/>
      <c r="M256" s="8"/>
    </row>
    <row r="257" ht="14.25" customHeight="1">
      <c r="L257" s="8"/>
      <c r="M257" s="8"/>
    </row>
    <row r="258" ht="14.25" customHeight="1">
      <c r="L258" s="8"/>
      <c r="M258" s="8"/>
    </row>
    <row r="259" ht="14.25" customHeight="1">
      <c r="L259" s="8"/>
      <c r="M259" s="8"/>
    </row>
    <row r="260" ht="14.25" customHeight="1">
      <c r="L260" s="8"/>
      <c r="M260" s="8"/>
    </row>
    <row r="261" ht="14.25" customHeight="1">
      <c r="L261" s="8"/>
      <c r="M261" s="8"/>
    </row>
    <row r="262" ht="14.25" customHeight="1">
      <c r="L262" s="8"/>
      <c r="M262" s="8"/>
    </row>
    <row r="263" ht="14.25" customHeight="1">
      <c r="L263" s="8"/>
      <c r="M263" s="8"/>
    </row>
    <row r="264" ht="14.25" customHeight="1">
      <c r="L264" s="8"/>
      <c r="M264" s="8"/>
    </row>
    <row r="265" ht="14.25" customHeight="1">
      <c r="L265" s="8"/>
      <c r="M265" s="8"/>
    </row>
    <row r="266" ht="14.25" customHeight="1">
      <c r="L266" s="8"/>
      <c r="M266" s="8"/>
    </row>
    <row r="267" ht="14.25" customHeight="1">
      <c r="L267" s="8"/>
      <c r="M267" s="8"/>
    </row>
    <row r="268" ht="14.25" customHeight="1">
      <c r="L268" s="8"/>
      <c r="M268" s="8"/>
    </row>
    <row r="269" ht="14.25" customHeight="1">
      <c r="L269" s="8"/>
      <c r="M269" s="8"/>
    </row>
    <row r="270" ht="14.25" customHeight="1">
      <c r="L270" s="8"/>
      <c r="M270" s="8"/>
    </row>
    <row r="271" ht="14.25" customHeight="1">
      <c r="L271" s="8"/>
      <c r="M271" s="8"/>
    </row>
    <row r="272" ht="14.25" customHeight="1">
      <c r="L272" s="8"/>
      <c r="M272" s="8"/>
    </row>
    <row r="273" ht="14.25" customHeight="1">
      <c r="L273" s="8"/>
      <c r="M273" s="8"/>
    </row>
    <row r="274" ht="14.25" customHeight="1">
      <c r="L274" s="8"/>
      <c r="M274" s="8"/>
    </row>
    <row r="275" ht="14.25" customHeight="1">
      <c r="L275" s="8"/>
      <c r="M275" s="8"/>
    </row>
    <row r="276" ht="14.25" customHeight="1">
      <c r="L276" s="8"/>
      <c r="M276" s="8"/>
    </row>
    <row r="277" ht="14.25" customHeight="1">
      <c r="L277" s="8"/>
      <c r="M277" s="8"/>
    </row>
    <row r="278" ht="14.25" customHeight="1">
      <c r="L278" s="8"/>
      <c r="M278" s="8"/>
    </row>
    <row r="279" ht="14.25" customHeight="1">
      <c r="L279" s="8"/>
      <c r="M279" s="8"/>
    </row>
    <row r="280" ht="14.25" customHeight="1">
      <c r="L280" s="8"/>
      <c r="M280" s="8"/>
    </row>
    <row r="281" ht="14.25" customHeight="1">
      <c r="L281" s="8"/>
      <c r="M281" s="8"/>
    </row>
    <row r="282" ht="14.25" customHeight="1">
      <c r="L282" s="8"/>
      <c r="M282" s="8"/>
    </row>
    <row r="283" ht="14.25" customHeight="1">
      <c r="L283" s="8"/>
      <c r="M283" s="8"/>
    </row>
    <row r="284" ht="14.25" customHeight="1">
      <c r="L284" s="8"/>
      <c r="M284" s="8"/>
    </row>
    <row r="285" ht="14.25" customHeight="1">
      <c r="L285" s="8"/>
      <c r="M285" s="8"/>
    </row>
    <row r="286" ht="14.25" customHeight="1">
      <c r="L286" s="8"/>
      <c r="M286" s="8"/>
    </row>
    <row r="287" ht="14.25" customHeight="1">
      <c r="L287" s="8"/>
      <c r="M287" s="8"/>
    </row>
    <row r="288" ht="14.25" customHeight="1">
      <c r="L288" s="8"/>
      <c r="M288" s="8"/>
    </row>
    <row r="289" ht="14.25" customHeight="1">
      <c r="L289" s="8"/>
      <c r="M289" s="8"/>
    </row>
    <row r="290" ht="14.25" customHeight="1">
      <c r="L290" s="8"/>
      <c r="M290" s="8"/>
    </row>
    <row r="291" ht="14.25" customHeight="1">
      <c r="L291" s="8"/>
      <c r="M291" s="8"/>
    </row>
    <row r="292" ht="14.25" customHeight="1">
      <c r="L292" s="8"/>
      <c r="M292" s="8"/>
    </row>
    <row r="293" ht="14.25" customHeight="1">
      <c r="L293" s="8"/>
      <c r="M293" s="8"/>
    </row>
    <row r="294" ht="14.25" customHeight="1">
      <c r="L294" s="8"/>
      <c r="M294" s="8"/>
    </row>
    <row r="295" ht="14.25" customHeight="1">
      <c r="L295" s="8"/>
      <c r="M295" s="8"/>
    </row>
    <row r="296" ht="14.25" customHeight="1">
      <c r="L296" s="8"/>
      <c r="M296" s="8"/>
    </row>
    <row r="297" ht="14.25" customHeight="1">
      <c r="L297" s="8"/>
      <c r="M297" s="8"/>
    </row>
    <row r="298" ht="14.25" customHeight="1">
      <c r="L298" s="8"/>
      <c r="M298" s="8"/>
    </row>
    <row r="299" ht="14.25" customHeight="1">
      <c r="L299" s="8"/>
      <c r="M299" s="8"/>
    </row>
    <row r="300" ht="14.25" customHeight="1">
      <c r="L300" s="8"/>
      <c r="M300" s="8"/>
    </row>
    <row r="301" ht="14.25" customHeight="1">
      <c r="L301" s="8"/>
      <c r="M301" s="8"/>
    </row>
    <row r="302" ht="14.25" customHeight="1">
      <c r="L302" s="8"/>
      <c r="M302" s="8"/>
    </row>
    <row r="303" ht="14.25" customHeight="1">
      <c r="L303" s="8"/>
      <c r="M303" s="8"/>
    </row>
    <row r="304" ht="14.25" customHeight="1">
      <c r="L304" s="8"/>
      <c r="M304" s="8"/>
    </row>
    <row r="305" ht="14.25" customHeight="1">
      <c r="L305" s="8"/>
      <c r="M305" s="8"/>
    </row>
    <row r="306" ht="14.25" customHeight="1">
      <c r="L306" s="8"/>
      <c r="M306" s="8"/>
    </row>
    <row r="307" ht="14.25" customHeight="1">
      <c r="L307" s="8"/>
      <c r="M307" s="8"/>
    </row>
    <row r="308" ht="14.25" customHeight="1">
      <c r="L308" s="8"/>
      <c r="M308" s="8"/>
    </row>
    <row r="309" ht="14.25" customHeight="1">
      <c r="L309" s="8"/>
      <c r="M309" s="8"/>
    </row>
    <row r="310" ht="14.25" customHeight="1">
      <c r="L310" s="8"/>
      <c r="M310" s="8"/>
    </row>
    <row r="311" ht="14.25" customHeight="1">
      <c r="L311" s="8"/>
      <c r="M311" s="8"/>
    </row>
    <row r="312" ht="14.25" customHeight="1">
      <c r="L312" s="8"/>
      <c r="M312" s="8"/>
    </row>
    <row r="313" ht="14.25" customHeight="1">
      <c r="L313" s="8"/>
      <c r="M313" s="8"/>
    </row>
    <row r="314" ht="14.25" customHeight="1">
      <c r="L314" s="8"/>
      <c r="M314" s="8"/>
    </row>
    <row r="315" ht="14.25" customHeight="1">
      <c r="L315" s="8"/>
      <c r="M315" s="8"/>
    </row>
    <row r="316" ht="14.25" customHeight="1">
      <c r="L316" s="8"/>
      <c r="M316" s="8"/>
    </row>
    <row r="317" ht="14.25" customHeight="1">
      <c r="L317" s="8"/>
      <c r="M317" s="8"/>
    </row>
    <row r="318" ht="14.25" customHeight="1">
      <c r="L318" s="8"/>
      <c r="M318" s="8"/>
    </row>
    <row r="319" ht="14.25" customHeight="1">
      <c r="L319" s="8"/>
      <c r="M319" s="8"/>
    </row>
    <row r="320" ht="14.25" customHeight="1">
      <c r="L320" s="8"/>
      <c r="M320" s="8"/>
    </row>
    <row r="321" ht="14.25" customHeight="1">
      <c r="L321" s="8"/>
      <c r="M321" s="8"/>
    </row>
    <row r="322" ht="14.25" customHeight="1">
      <c r="L322" s="8"/>
      <c r="M322" s="8"/>
    </row>
    <row r="323" ht="14.25" customHeight="1">
      <c r="L323" s="8"/>
      <c r="M323" s="8"/>
    </row>
    <row r="324" ht="14.25" customHeight="1">
      <c r="L324" s="8"/>
      <c r="M324" s="8"/>
    </row>
    <row r="325" ht="14.25" customHeight="1">
      <c r="L325" s="8"/>
      <c r="M325" s="8"/>
    </row>
    <row r="326" ht="14.25" customHeight="1">
      <c r="L326" s="8"/>
      <c r="M326" s="8"/>
    </row>
    <row r="327" ht="14.25" customHeight="1">
      <c r="L327" s="8"/>
      <c r="M327" s="8"/>
    </row>
    <row r="328" ht="14.25" customHeight="1">
      <c r="L328" s="8"/>
      <c r="M328" s="8"/>
    </row>
    <row r="329" ht="14.25" customHeight="1">
      <c r="L329" s="8"/>
      <c r="M329" s="8"/>
    </row>
    <row r="330" ht="14.25" customHeight="1">
      <c r="L330" s="8"/>
      <c r="M330" s="8"/>
    </row>
    <row r="331" ht="14.25" customHeight="1">
      <c r="L331" s="8"/>
      <c r="M331" s="8"/>
    </row>
    <row r="332" ht="14.25" customHeight="1">
      <c r="L332" s="8"/>
      <c r="M332" s="8"/>
    </row>
    <row r="333" ht="14.25" customHeight="1">
      <c r="L333" s="8"/>
      <c r="M333" s="8"/>
    </row>
    <row r="334" ht="14.25" customHeight="1">
      <c r="L334" s="8"/>
      <c r="M334" s="8"/>
    </row>
    <row r="335" ht="14.25" customHeight="1">
      <c r="L335" s="8"/>
      <c r="M335" s="8"/>
    </row>
    <row r="336" ht="14.25" customHeight="1">
      <c r="L336" s="8"/>
      <c r="M336" s="8"/>
    </row>
    <row r="337" ht="14.25" customHeight="1">
      <c r="L337" s="8"/>
      <c r="M337" s="8"/>
    </row>
    <row r="338" ht="14.25" customHeight="1">
      <c r="L338" s="8"/>
      <c r="M338" s="8"/>
    </row>
    <row r="339" ht="14.25" customHeight="1">
      <c r="L339" s="8"/>
      <c r="M339" s="8"/>
    </row>
    <row r="340" ht="14.25" customHeight="1">
      <c r="L340" s="8"/>
      <c r="M340" s="8"/>
    </row>
    <row r="341" ht="14.25" customHeight="1">
      <c r="L341" s="8"/>
      <c r="M341" s="8"/>
    </row>
    <row r="342" ht="14.25" customHeight="1">
      <c r="L342" s="8"/>
      <c r="M342" s="8"/>
    </row>
    <row r="343" ht="14.25" customHeight="1">
      <c r="L343" s="8"/>
      <c r="M343" s="8"/>
    </row>
    <row r="344" ht="14.25" customHeight="1">
      <c r="L344" s="8"/>
      <c r="M344" s="8"/>
    </row>
    <row r="345" ht="14.25" customHeight="1">
      <c r="L345" s="8"/>
      <c r="M345" s="8"/>
    </row>
    <row r="346" ht="14.25" customHeight="1">
      <c r="L346" s="8"/>
      <c r="M346" s="8"/>
    </row>
    <row r="347" ht="14.25" customHeight="1">
      <c r="L347" s="8"/>
      <c r="M347" s="8"/>
    </row>
    <row r="348" ht="14.25" customHeight="1">
      <c r="L348" s="8"/>
      <c r="M348" s="8"/>
    </row>
    <row r="349" ht="14.25" customHeight="1">
      <c r="L349" s="8"/>
      <c r="M349" s="8"/>
    </row>
    <row r="350" ht="14.25" customHeight="1">
      <c r="L350" s="8"/>
      <c r="M350" s="8"/>
    </row>
    <row r="351" ht="14.25" customHeight="1">
      <c r="L351" s="8"/>
      <c r="M351" s="8"/>
    </row>
    <row r="352" ht="14.25" customHeight="1">
      <c r="L352" s="8"/>
      <c r="M352" s="8"/>
    </row>
    <row r="353" ht="14.25" customHeight="1">
      <c r="L353" s="8"/>
      <c r="M353" s="8"/>
    </row>
    <row r="354" ht="14.25" customHeight="1">
      <c r="L354" s="8"/>
      <c r="M354" s="8"/>
    </row>
    <row r="355" ht="14.25" customHeight="1">
      <c r="L355" s="8"/>
      <c r="M355" s="8"/>
    </row>
    <row r="356" ht="14.25" customHeight="1">
      <c r="L356" s="8"/>
      <c r="M356" s="8"/>
    </row>
    <row r="357" ht="14.25" customHeight="1">
      <c r="L357" s="8"/>
      <c r="M357" s="8"/>
    </row>
    <row r="358" ht="14.25" customHeight="1">
      <c r="L358" s="8"/>
      <c r="M358" s="8"/>
    </row>
    <row r="359" ht="14.25" customHeight="1">
      <c r="L359" s="8"/>
      <c r="M359" s="8"/>
    </row>
    <row r="360" ht="14.25" customHeight="1">
      <c r="L360" s="8"/>
      <c r="M360" s="8"/>
    </row>
    <row r="361" ht="14.25" customHeight="1">
      <c r="L361" s="8"/>
      <c r="M361" s="8"/>
    </row>
    <row r="362" ht="14.25" customHeight="1">
      <c r="L362" s="8"/>
      <c r="M362" s="8"/>
    </row>
    <row r="363" ht="14.25" customHeight="1">
      <c r="L363" s="8"/>
      <c r="M363" s="8"/>
    </row>
    <row r="364" ht="14.25" customHeight="1">
      <c r="L364" s="8"/>
      <c r="M364" s="8"/>
    </row>
    <row r="365" ht="14.25" customHeight="1">
      <c r="L365" s="8"/>
      <c r="M365" s="8"/>
    </row>
    <row r="366" ht="14.25" customHeight="1">
      <c r="L366" s="8"/>
      <c r="M366" s="8"/>
    </row>
    <row r="367" ht="14.25" customHeight="1">
      <c r="L367" s="8"/>
      <c r="M367" s="8"/>
    </row>
    <row r="368" ht="14.25" customHeight="1">
      <c r="L368" s="8"/>
      <c r="M368" s="8"/>
    </row>
    <row r="369" ht="14.25" customHeight="1">
      <c r="L369" s="8"/>
      <c r="M369" s="8"/>
    </row>
    <row r="370" ht="14.25" customHeight="1">
      <c r="L370" s="8"/>
      <c r="M370" s="8"/>
    </row>
    <row r="371" ht="14.25" customHeight="1">
      <c r="L371" s="8"/>
      <c r="M371" s="8"/>
    </row>
    <row r="372" ht="14.25" customHeight="1">
      <c r="L372" s="8"/>
      <c r="M372" s="8"/>
    </row>
    <row r="373" ht="14.25" customHeight="1">
      <c r="L373" s="8"/>
      <c r="M373" s="8"/>
    </row>
    <row r="374" ht="14.25" customHeight="1">
      <c r="L374" s="8"/>
      <c r="M374" s="8"/>
    </row>
    <row r="375" ht="14.25" customHeight="1">
      <c r="L375" s="8"/>
      <c r="M375" s="8"/>
    </row>
    <row r="376" ht="14.25" customHeight="1">
      <c r="L376" s="8"/>
      <c r="M376" s="8"/>
    </row>
    <row r="377" ht="14.25" customHeight="1">
      <c r="L377" s="8"/>
      <c r="M377" s="8"/>
    </row>
    <row r="378" ht="14.25" customHeight="1">
      <c r="L378" s="8"/>
      <c r="M378" s="8"/>
    </row>
    <row r="379" ht="14.25" customHeight="1">
      <c r="L379" s="8"/>
      <c r="M379" s="8"/>
    </row>
    <row r="380" ht="14.25" customHeight="1">
      <c r="L380" s="8"/>
      <c r="M380" s="8"/>
    </row>
    <row r="381" ht="14.25" customHeight="1">
      <c r="L381" s="8"/>
      <c r="M381" s="8"/>
    </row>
    <row r="382" ht="14.25" customHeight="1">
      <c r="L382" s="8"/>
      <c r="M382" s="8"/>
    </row>
    <row r="383" ht="14.25" customHeight="1">
      <c r="L383" s="8"/>
      <c r="M383" s="8"/>
    </row>
    <row r="384" ht="14.25" customHeight="1">
      <c r="L384" s="8"/>
      <c r="M384" s="8"/>
    </row>
    <row r="385" ht="14.25" customHeight="1">
      <c r="L385" s="8"/>
      <c r="M385" s="8"/>
    </row>
    <row r="386" ht="14.25" customHeight="1">
      <c r="L386" s="8"/>
      <c r="M386" s="8"/>
    </row>
    <row r="387" ht="14.25" customHeight="1">
      <c r="L387" s="8"/>
      <c r="M387" s="8"/>
    </row>
    <row r="388" ht="14.25" customHeight="1">
      <c r="L388" s="8"/>
      <c r="M388" s="8"/>
    </row>
    <row r="389" ht="14.25" customHeight="1">
      <c r="L389" s="8"/>
      <c r="M389" s="8"/>
    </row>
    <row r="390" ht="14.25" customHeight="1">
      <c r="L390" s="8"/>
      <c r="M390" s="8"/>
    </row>
    <row r="391" ht="14.25" customHeight="1">
      <c r="L391" s="8"/>
      <c r="M391" s="8"/>
    </row>
    <row r="392" ht="14.25" customHeight="1">
      <c r="L392" s="8"/>
      <c r="M392" s="8"/>
    </row>
    <row r="393" ht="14.25" customHeight="1">
      <c r="L393" s="8"/>
      <c r="M393" s="8"/>
    </row>
    <row r="394" ht="14.25" customHeight="1">
      <c r="L394" s="8"/>
      <c r="M394" s="8"/>
    </row>
    <row r="395" ht="14.25" customHeight="1">
      <c r="L395" s="8"/>
      <c r="M395" s="8"/>
    </row>
    <row r="396" ht="14.25" customHeight="1">
      <c r="L396" s="8"/>
      <c r="M396" s="8"/>
    </row>
    <row r="397" ht="14.25" customHeight="1">
      <c r="L397" s="8"/>
      <c r="M397" s="8"/>
    </row>
    <row r="398" ht="14.25" customHeight="1">
      <c r="L398" s="8"/>
      <c r="M398" s="8"/>
    </row>
    <row r="399" ht="14.25" customHeight="1">
      <c r="L399" s="8"/>
      <c r="M399" s="8"/>
    </row>
    <row r="400" ht="14.25" customHeight="1">
      <c r="L400" s="8"/>
      <c r="M400" s="8"/>
    </row>
    <row r="401" ht="14.25" customHeight="1">
      <c r="L401" s="8"/>
      <c r="M401" s="8"/>
    </row>
    <row r="402" ht="14.25" customHeight="1">
      <c r="L402" s="8"/>
      <c r="M402" s="8"/>
    </row>
    <row r="403" ht="14.25" customHeight="1">
      <c r="L403" s="8"/>
      <c r="M403" s="8"/>
    </row>
    <row r="404" ht="14.25" customHeight="1">
      <c r="L404" s="8"/>
      <c r="M404" s="8"/>
    </row>
    <row r="405" ht="14.25" customHeight="1">
      <c r="L405" s="8"/>
      <c r="M405" s="8"/>
    </row>
    <row r="406" ht="14.25" customHeight="1">
      <c r="L406" s="8"/>
      <c r="M406" s="8"/>
    </row>
    <row r="407" ht="14.25" customHeight="1">
      <c r="L407" s="8"/>
      <c r="M407" s="8"/>
    </row>
    <row r="408" ht="14.25" customHeight="1">
      <c r="L408" s="8"/>
      <c r="M408" s="8"/>
    </row>
    <row r="409" ht="14.25" customHeight="1">
      <c r="L409" s="8"/>
      <c r="M409" s="8"/>
    </row>
    <row r="410" ht="14.25" customHeight="1">
      <c r="L410" s="8"/>
      <c r="M410" s="8"/>
    </row>
    <row r="411" ht="14.25" customHeight="1">
      <c r="L411" s="8"/>
      <c r="M411" s="8"/>
    </row>
    <row r="412" ht="14.25" customHeight="1">
      <c r="L412" s="8"/>
      <c r="M412" s="8"/>
    </row>
    <row r="413" ht="14.25" customHeight="1">
      <c r="L413" s="8"/>
      <c r="M413" s="8"/>
    </row>
    <row r="414" ht="14.25" customHeight="1">
      <c r="L414" s="8"/>
      <c r="M414" s="8"/>
    </row>
    <row r="415" ht="14.25" customHeight="1">
      <c r="L415" s="8"/>
      <c r="M415" s="8"/>
    </row>
    <row r="416" ht="14.25" customHeight="1">
      <c r="L416" s="8"/>
      <c r="M416" s="8"/>
    </row>
    <row r="417" ht="14.25" customHeight="1">
      <c r="L417" s="8"/>
      <c r="M417" s="8"/>
    </row>
    <row r="418" ht="14.25" customHeight="1">
      <c r="L418" s="8"/>
      <c r="M418" s="8"/>
    </row>
    <row r="419" ht="14.25" customHeight="1">
      <c r="L419" s="8"/>
      <c r="M419" s="8"/>
    </row>
    <row r="420" ht="14.25" customHeight="1">
      <c r="L420" s="8"/>
      <c r="M420" s="8"/>
    </row>
    <row r="421" ht="14.25" customHeight="1">
      <c r="L421" s="8"/>
      <c r="M421" s="8"/>
    </row>
    <row r="422" ht="14.25" customHeight="1">
      <c r="L422" s="8"/>
      <c r="M422" s="8"/>
    </row>
    <row r="423" ht="14.25" customHeight="1">
      <c r="L423" s="8"/>
      <c r="M423" s="8"/>
    </row>
    <row r="424" ht="14.25" customHeight="1">
      <c r="L424" s="8"/>
      <c r="M424" s="8"/>
    </row>
    <row r="425" ht="14.25" customHeight="1">
      <c r="L425" s="8"/>
      <c r="M425" s="8"/>
    </row>
    <row r="426" ht="14.25" customHeight="1">
      <c r="L426" s="8"/>
      <c r="M426" s="8"/>
    </row>
    <row r="427" ht="14.25" customHeight="1">
      <c r="L427" s="8"/>
      <c r="M427" s="8"/>
    </row>
    <row r="428" ht="14.25" customHeight="1">
      <c r="L428" s="8"/>
      <c r="M428" s="8"/>
    </row>
    <row r="429" ht="14.25" customHeight="1">
      <c r="L429" s="8"/>
      <c r="M429" s="8"/>
    </row>
    <row r="430" ht="14.25" customHeight="1">
      <c r="L430" s="8"/>
      <c r="M430" s="8"/>
    </row>
    <row r="431" ht="14.25" customHeight="1">
      <c r="L431" s="8"/>
      <c r="M431" s="8"/>
    </row>
    <row r="432" ht="14.25" customHeight="1">
      <c r="L432" s="8"/>
      <c r="M432" s="8"/>
    </row>
    <row r="433" ht="14.25" customHeight="1">
      <c r="L433" s="8"/>
      <c r="M433" s="8"/>
    </row>
    <row r="434" ht="14.25" customHeight="1">
      <c r="L434" s="8"/>
      <c r="M434" s="8"/>
    </row>
    <row r="435" ht="14.25" customHeight="1">
      <c r="L435" s="8"/>
      <c r="M435" s="8"/>
    </row>
    <row r="436" ht="14.25" customHeight="1">
      <c r="L436" s="8"/>
      <c r="M436" s="8"/>
    </row>
    <row r="437" ht="14.25" customHeight="1">
      <c r="L437" s="8"/>
      <c r="M437" s="8"/>
    </row>
    <row r="438" ht="14.25" customHeight="1">
      <c r="L438" s="8"/>
      <c r="M438" s="8"/>
    </row>
    <row r="439" ht="14.25" customHeight="1">
      <c r="L439" s="8"/>
      <c r="M439" s="8"/>
    </row>
    <row r="440" ht="14.25" customHeight="1">
      <c r="L440" s="8"/>
      <c r="M440" s="8"/>
    </row>
    <row r="441" ht="14.25" customHeight="1">
      <c r="L441" s="8"/>
      <c r="M441" s="8"/>
    </row>
    <row r="442" ht="14.25" customHeight="1">
      <c r="L442" s="8"/>
      <c r="M442" s="8"/>
    </row>
    <row r="443" ht="14.25" customHeight="1">
      <c r="L443" s="8"/>
      <c r="M443" s="8"/>
    </row>
    <row r="444" ht="14.25" customHeight="1">
      <c r="L444" s="8"/>
      <c r="M444" s="8"/>
    </row>
    <row r="445" ht="14.25" customHeight="1">
      <c r="L445" s="8"/>
      <c r="M445" s="8"/>
    </row>
    <row r="446" ht="14.25" customHeight="1">
      <c r="L446" s="8"/>
      <c r="M446" s="8"/>
    </row>
    <row r="447" ht="14.25" customHeight="1">
      <c r="L447" s="8"/>
      <c r="M447" s="8"/>
    </row>
    <row r="448" ht="14.25" customHeight="1">
      <c r="L448" s="8"/>
      <c r="M448" s="8"/>
    </row>
    <row r="449" ht="14.25" customHeight="1">
      <c r="L449" s="8"/>
      <c r="M449" s="8"/>
    </row>
    <row r="450" ht="14.25" customHeight="1">
      <c r="L450" s="8"/>
      <c r="M450" s="8"/>
    </row>
    <row r="451" ht="14.25" customHeight="1">
      <c r="L451" s="8"/>
      <c r="M451" s="8"/>
    </row>
    <row r="452" ht="14.25" customHeight="1">
      <c r="L452" s="8"/>
      <c r="M452" s="8"/>
    </row>
    <row r="453" ht="14.25" customHeight="1">
      <c r="L453" s="8"/>
      <c r="M453" s="8"/>
    </row>
    <row r="454" ht="14.25" customHeight="1">
      <c r="L454" s="8"/>
      <c r="M454" s="8"/>
    </row>
    <row r="455" ht="14.25" customHeight="1">
      <c r="L455" s="8"/>
      <c r="M455" s="8"/>
    </row>
    <row r="456" ht="14.25" customHeight="1">
      <c r="L456" s="8"/>
      <c r="M456" s="8"/>
    </row>
    <row r="457" ht="14.25" customHeight="1">
      <c r="L457" s="8"/>
      <c r="M457" s="8"/>
    </row>
    <row r="458" ht="14.25" customHeight="1">
      <c r="L458" s="8"/>
      <c r="M458" s="8"/>
    </row>
    <row r="459" ht="14.25" customHeight="1">
      <c r="L459" s="8"/>
      <c r="M459" s="8"/>
    </row>
    <row r="460" ht="14.25" customHeight="1">
      <c r="L460" s="8"/>
      <c r="M460" s="8"/>
    </row>
    <row r="461" ht="14.25" customHeight="1">
      <c r="L461" s="8"/>
      <c r="M461" s="8"/>
    </row>
    <row r="462" ht="14.25" customHeight="1">
      <c r="L462" s="8"/>
      <c r="M462" s="8"/>
    </row>
    <row r="463" ht="14.25" customHeight="1">
      <c r="L463" s="8"/>
      <c r="M463" s="8"/>
    </row>
    <row r="464" ht="14.25" customHeight="1">
      <c r="L464" s="8"/>
      <c r="M464" s="8"/>
    </row>
    <row r="465" ht="14.25" customHeight="1">
      <c r="L465" s="8"/>
      <c r="M465" s="8"/>
    </row>
    <row r="466" ht="14.25" customHeight="1">
      <c r="L466" s="8"/>
      <c r="M466" s="8"/>
    </row>
    <row r="467" ht="14.25" customHeight="1">
      <c r="L467" s="8"/>
      <c r="M467" s="8"/>
    </row>
    <row r="468" ht="14.25" customHeight="1">
      <c r="L468" s="8"/>
      <c r="M468" s="8"/>
    </row>
    <row r="469" ht="14.25" customHeight="1">
      <c r="L469" s="8"/>
      <c r="M469" s="8"/>
    </row>
    <row r="470" ht="14.25" customHeight="1">
      <c r="L470" s="8"/>
      <c r="M470" s="8"/>
    </row>
    <row r="471" ht="14.25" customHeight="1">
      <c r="L471" s="8"/>
      <c r="M471" s="8"/>
    </row>
    <row r="472" ht="14.25" customHeight="1">
      <c r="L472" s="8"/>
      <c r="M472" s="8"/>
    </row>
    <row r="473" ht="14.25" customHeight="1">
      <c r="L473" s="8"/>
      <c r="M473" s="8"/>
    </row>
    <row r="474" ht="14.25" customHeight="1">
      <c r="L474" s="8"/>
      <c r="M474" s="8"/>
    </row>
    <row r="475" ht="14.25" customHeight="1">
      <c r="L475" s="8"/>
      <c r="M475" s="8"/>
    </row>
    <row r="476" ht="14.25" customHeight="1">
      <c r="L476" s="8"/>
      <c r="M476" s="8"/>
    </row>
    <row r="477" ht="14.25" customHeight="1">
      <c r="L477" s="8"/>
      <c r="M477" s="8"/>
    </row>
    <row r="478" ht="14.25" customHeight="1">
      <c r="L478" s="8"/>
      <c r="M478" s="8"/>
    </row>
    <row r="479" ht="14.25" customHeight="1">
      <c r="L479" s="8"/>
      <c r="M479" s="8"/>
    </row>
    <row r="480" ht="14.25" customHeight="1">
      <c r="L480" s="8"/>
      <c r="M480" s="8"/>
    </row>
    <row r="481" ht="14.25" customHeight="1">
      <c r="L481" s="8"/>
      <c r="M481" s="8"/>
    </row>
    <row r="482" ht="14.25" customHeight="1">
      <c r="L482" s="8"/>
      <c r="M482" s="8"/>
    </row>
    <row r="483" ht="14.25" customHeight="1">
      <c r="L483" s="8"/>
      <c r="M483" s="8"/>
    </row>
    <row r="484" ht="14.25" customHeight="1">
      <c r="L484" s="8"/>
      <c r="M484" s="8"/>
    </row>
    <row r="485" ht="14.25" customHeight="1">
      <c r="L485" s="8"/>
      <c r="M485" s="8"/>
    </row>
    <row r="486" ht="14.25" customHeight="1">
      <c r="L486" s="8"/>
      <c r="M486" s="8"/>
    </row>
    <row r="487" ht="14.25" customHeight="1">
      <c r="L487" s="8"/>
      <c r="M487" s="8"/>
    </row>
    <row r="488" ht="14.25" customHeight="1">
      <c r="L488" s="8"/>
      <c r="M488" s="8"/>
    </row>
    <row r="489" ht="14.25" customHeight="1">
      <c r="L489" s="8"/>
      <c r="M489" s="8"/>
    </row>
    <row r="490" ht="14.25" customHeight="1">
      <c r="L490" s="8"/>
      <c r="M490" s="8"/>
    </row>
    <row r="491" ht="14.25" customHeight="1">
      <c r="L491" s="8"/>
      <c r="M491" s="8"/>
    </row>
    <row r="492" ht="14.25" customHeight="1">
      <c r="L492" s="8"/>
      <c r="M492" s="8"/>
    </row>
    <row r="493" ht="14.25" customHeight="1">
      <c r="L493" s="8"/>
      <c r="M493" s="8"/>
    </row>
    <row r="494" ht="14.25" customHeight="1">
      <c r="L494" s="8"/>
      <c r="M494" s="8"/>
    </row>
    <row r="495" ht="14.25" customHeight="1">
      <c r="L495" s="8"/>
      <c r="M495" s="8"/>
    </row>
    <row r="496" ht="14.25" customHeight="1">
      <c r="L496" s="8"/>
      <c r="M496" s="8"/>
    </row>
    <row r="497" ht="14.25" customHeight="1">
      <c r="L497" s="8"/>
      <c r="M497" s="8"/>
    </row>
    <row r="498" ht="14.25" customHeight="1">
      <c r="L498" s="8"/>
      <c r="M498" s="8"/>
    </row>
    <row r="499" ht="14.25" customHeight="1">
      <c r="L499" s="8"/>
      <c r="M499" s="8"/>
    </row>
    <row r="500" ht="14.25" customHeight="1">
      <c r="L500" s="8"/>
      <c r="M500" s="8"/>
    </row>
    <row r="501" ht="14.25" customHeight="1">
      <c r="L501" s="8"/>
      <c r="M501" s="8"/>
    </row>
    <row r="502" ht="14.25" customHeight="1">
      <c r="L502" s="8"/>
      <c r="M502" s="8"/>
    </row>
    <row r="503" ht="14.25" customHeight="1">
      <c r="L503" s="8"/>
      <c r="M503" s="8"/>
    </row>
    <row r="504" ht="14.25" customHeight="1">
      <c r="L504" s="8"/>
      <c r="M504" s="8"/>
    </row>
    <row r="505" ht="14.25" customHeight="1">
      <c r="L505" s="8"/>
      <c r="M505" s="8"/>
    </row>
    <row r="506" ht="14.25" customHeight="1">
      <c r="L506" s="8"/>
      <c r="M506" s="8"/>
    </row>
    <row r="507" ht="14.25" customHeight="1">
      <c r="L507" s="8"/>
      <c r="M507" s="8"/>
    </row>
    <row r="508" ht="14.25" customHeight="1">
      <c r="L508" s="8"/>
      <c r="M508" s="8"/>
    </row>
    <row r="509" ht="14.25" customHeight="1">
      <c r="L509" s="8"/>
      <c r="M509" s="8"/>
    </row>
    <row r="510" ht="14.25" customHeight="1">
      <c r="L510" s="8"/>
      <c r="M510" s="8"/>
    </row>
    <row r="511" ht="14.25" customHeight="1">
      <c r="L511" s="8"/>
      <c r="M511" s="8"/>
    </row>
    <row r="512" ht="14.25" customHeight="1">
      <c r="L512" s="8"/>
      <c r="M512" s="8"/>
    </row>
    <row r="513" ht="14.25" customHeight="1">
      <c r="L513" s="8"/>
      <c r="M513" s="8"/>
    </row>
    <row r="514" ht="14.25" customHeight="1">
      <c r="L514" s="8"/>
      <c r="M514" s="8"/>
    </row>
    <row r="515" ht="14.25" customHeight="1">
      <c r="L515" s="8"/>
      <c r="M515" s="8"/>
    </row>
    <row r="516" ht="14.25" customHeight="1">
      <c r="L516" s="8"/>
      <c r="M516" s="8"/>
    </row>
    <row r="517" ht="14.25" customHeight="1">
      <c r="L517" s="8"/>
      <c r="M517" s="8"/>
    </row>
    <row r="518" ht="14.25" customHeight="1">
      <c r="L518" s="8"/>
      <c r="M518" s="8"/>
    </row>
    <row r="519" ht="14.25" customHeight="1">
      <c r="L519" s="8"/>
      <c r="M519" s="8"/>
    </row>
    <row r="520" ht="14.25" customHeight="1">
      <c r="L520" s="8"/>
      <c r="M520" s="8"/>
    </row>
    <row r="521" ht="14.25" customHeight="1">
      <c r="L521" s="8"/>
      <c r="M521" s="8"/>
    </row>
    <row r="522" ht="14.25" customHeight="1">
      <c r="L522" s="8"/>
      <c r="M522" s="8"/>
    </row>
    <row r="523" ht="14.25" customHeight="1">
      <c r="L523" s="8"/>
      <c r="M523" s="8"/>
    </row>
    <row r="524" ht="14.25" customHeight="1">
      <c r="L524" s="8"/>
      <c r="M524" s="8"/>
    </row>
    <row r="525" ht="14.25" customHeight="1">
      <c r="L525" s="8"/>
      <c r="M525" s="8"/>
    </row>
    <row r="526" ht="14.25" customHeight="1">
      <c r="L526" s="8"/>
      <c r="M526" s="8"/>
    </row>
    <row r="527" ht="14.25" customHeight="1">
      <c r="L527" s="8"/>
      <c r="M527" s="8"/>
    </row>
    <row r="528" ht="14.25" customHeight="1">
      <c r="L528" s="8"/>
      <c r="M528" s="8"/>
    </row>
    <row r="529" ht="14.25" customHeight="1">
      <c r="L529" s="8"/>
      <c r="M529" s="8"/>
    </row>
    <row r="530" ht="14.25" customHeight="1">
      <c r="L530" s="8"/>
      <c r="M530" s="8"/>
    </row>
    <row r="531" ht="14.25" customHeight="1">
      <c r="L531" s="8"/>
      <c r="M531" s="8"/>
    </row>
    <row r="532" ht="14.25" customHeight="1">
      <c r="L532" s="8"/>
      <c r="M532" s="8"/>
    </row>
    <row r="533" ht="14.25" customHeight="1">
      <c r="L533" s="8"/>
      <c r="M533" s="8"/>
    </row>
    <row r="534" ht="14.25" customHeight="1">
      <c r="L534" s="8"/>
      <c r="M534" s="8"/>
    </row>
    <row r="535" ht="14.25" customHeight="1">
      <c r="L535" s="8"/>
      <c r="M535" s="8"/>
    </row>
    <row r="536" ht="14.25" customHeight="1">
      <c r="L536" s="8"/>
      <c r="M536" s="8"/>
    </row>
    <row r="537" ht="14.25" customHeight="1">
      <c r="L537" s="8"/>
      <c r="M537" s="8"/>
    </row>
    <row r="538" ht="14.25" customHeight="1">
      <c r="L538" s="8"/>
      <c r="M538" s="8"/>
    </row>
    <row r="539" ht="14.25" customHeight="1">
      <c r="L539" s="8"/>
      <c r="M539" s="8"/>
    </row>
    <row r="540" ht="14.25" customHeight="1">
      <c r="L540" s="8"/>
      <c r="M540" s="8"/>
    </row>
    <row r="541" ht="14.25" customHeight="1">
      <c r="L541" s="8"/>
      <c r="M541" s="8"/>
    </row>
    <row r="542" ht="14.25" customHeight="1">
      <c r="L542" s="8"/>
      <c r="M542" s="8"/>
    </row>
    <row r="543" ht="14.25" customHeight="1">
      <c r="L543" s="8"/>
      <c r="M543" s="8"/>
    </row>
    <row r="544" ht="14.25" customHeight="1">
      <c r="L544" s="8"/>
      <c r="M544" s="8"/>
    </row>
    <row r="545" ht="14.25" customHeight="1">
      <c r="L545" s="8"/>
      <c r="M545" s="8"/>
    </row>
    <row r="546" ht="14.25" customHeight="1">
      <c r="L546" s="8"/>
      <c r="M546" s="8"/>
    </row>
    <row r="547" ht="14.25" customHeight="1">
      <c r="L547" s="8"/>
      <c r="M547" s="8"/>
    </row>
    <row r="548" ht="14.25" customHeight="1">
      <c r="L548" s="8"/>
      <c r="M548" s="8"/>
    </row>
    <row r="549" ht="14.25" customHeight="1">
      <c r="L549" s="8"/>
      <c r="M549" s="8"/>
    </row>
    <row r="550" ht="14.25" customHeight="1">
      <c r="L550" s="8"/>
      <c r="M550" s="8"/>
    </row>
    <row r="551" ht="14.25" customHeight="1">
      <c r="L551" s="8"/>
      <c r="M551" s="8"/>
    </row>
    <row r="552" ht="14.25" customHeight="1">
      <c r="L552" s="8"/>
      <c r="M552" s="8"/>
    </row>
    <row r="553" ht="14.25" customHeight="1">
      <c r="L553" s="8"/>
      <c r="M553" s="8"/>
    </row>
    <row r="554" ht="14.25" customHeight="1">
      <c r="L554" s="8"/>
      <c r="M554" s="8"/>
    </row>
    <row r="555" ht="14.25" customHeight="1">
      <c r="L555" s="8"/>
      <c r="M555" s="8"/>
    </row>
    <row r="556" ht="14.25" customHeight="1">
      <c r="L556" s="8"/>
      <c r="M556" s="8"/>
    </row>
    <row r="557" ht="14.25" customHeight="1">
      <c r="L557" s="8"/>
      <c r="M557" s="8"/>
    </row>
    <row r="558" ht="14.25" customHeight="1">
      <c r="L558" s="8"/>
      <c r="M558" s="8"/>
    </row>
    <row r="559" ht="14.25" customHeight="1">
      <c r="L559" s="8"/>
      <c r="M559" s="8"/>
    </row>
    <row r="560" ht="14.25" customHeight="1">
      <c r="L560" s="8"/>
      <c r="M560" s="8"/>
    </row>
    <row r="561" ht="14.25" customHeight="1">
      <c r="L561" s="8"/>
      <c r="M561" s="8"/>
    </row>
    <row r="562" ht="14.25" customHeight="1">
      <c r="L562" s="8"/>
      <c r="M562" s="8"/>
    </row>
    <row r="563" ht="14.25" customHeight="1">
      <c r="L563" s="8"/>
      <c r="M563" s="8"/>
    </row>
    <row r="564" ht="14.25" customHeight="1">
      <c r="L564" s="8"/>
      <c r="M564" s="8"/>
    </row>
    <row r="565" ht="14.25" customHeight="1">
      <c r="L565" s="8"/>
      <c r="M565" s="8"/>
    </row>
    <row r="566" ht="14.25" customHeight="1">
      <c r="L566" s="8"/>
      <c r="M566" s="8"/>
    </row>
    <row r="567" ht="14.25" customHeight="1">
      <c r="L567" s="8"/>
      <c r="M567" s="8"/>
    </row>
    <row r="568" ht="14.25" customHeight="1">
      <c r="L568" s="8"/>
      <c r="M568" s="8"/>
    </row>
    <row r="569" ht="14.25" customHeight="1">
      <c r="L569" s="8"/>
      <c r="M569" s="8"/>
    </row>
    <row r="570" ht="14.25" customHeight="1">
      <c r="L570" s="8"/>
      <c r="M570" s="8"/>
    </row>
    <row r="571" ht="14.25" customHeight="1">
      <c r="L571" s="8"/>
      <c r="M571" s="8"/>
    </row>
    <row r="572" ht="14.25" customHeight="1">
      <c r="L572" s="8"/>
      <c r="M572" s="8"/>
    </row>
    <row r="573" ht="14.25" customHeight="1">
      <c r="L573" s="8"/>
      <c r="M573" s="8"/>
    </row>
    <row r="574" ht="14.25" customHeight="1">
      <c r="L574" s="8"/>
      <c r="M574" s="8"/>
    </row>
    <row r="575" ht="14.25" customHeight="1">
      <c r="L575" s="8"/>
      <c r="M575" s="8"/>
    </row>
    <row r="576" ht="14.25" customHeight="1">
      <c r="L576" s="8"/>
      <c r="M576" s="8"/>
    </row>
    <row r="577" ht="14.25" customHeight="1">
      <c r="L577" s="8"/>
      <c r="M577" s="8"/>
    </row>
    <row r="578" ht="14.25" customHeight="1">
      <c r="L578" s="8"/>
      <c r="M578" s="8"/>
    </row>
    <row r="579" ht="14.25" customHeight="1">
      <c r="L579" s="8"/>
      <c r="M579" s="8"/>
    </row>
    <row r="580" ht="14.25" customHeight="1">
      <c r="L580" s="8"/>
      <c r="M580" s="8"/>
    </row>
    <row r="581" ht="14.25" customHeight="1">
      <c r="L581" s="8"/>
      <c r="M581" s="8"/>
    </row>
    <row r="582" ht="14.25" customHeight="1">
      <c r="L582" s="8"/>
      <c r="M582" s="8"/>
    </row>
    <row r="583" ht="14.25" customHeight="1">
      <c r="L583" s="8"/>
      <c r="M583" s="8"/>
    </row>
    <row r="584" ht="14.25" customHeight="1">
      <c r="L584" s="8"/>
      <c r="M584" s="8"/>
    </row>
    <row r="585" ht="14.25" customHeight="1">
      <c r="L585" s="8"/>
      <c r="M585" s="8"/>
    </row>
    <row r="586" ht="14.25" customHeight="1">
      <c r="L586" s="8"/>
      <c r="M586" s="8"/>
    </row>
    <row r="587" ht="14.25" customHeight="1">
      <c r="L587" s="8"/>
      <c r="M587" s="8"/>
    </row>
    <row r="588" ht="14.25" customHeight="1">
      <c r="L588" s="8"/>
      <c r="M588" s="8"/>
    </row>
    <row r="589" ht="14.25" customHeight="1">
      <c r="L589" s="8"/>
      <c r="M589" s="8"/>
    </row>
    <row r="590" ht="14.25" customHeight="1">
      <c r="L590" s="8"/>
      <c r="M590" s="8"/>
    </row>
    <row r="591" ht="14.25" customHeight="1">
      <c r="L591" s="8"/>
      <c r="M591" s="8"/>
    </row>
    <row r="592" ht="14.25" customHeight="1">
      <c r="L592" s="8"/>
      <c r="M592" s="8"/>
    </row>
    <row r="593" ht="14.25" customHeight="1">
      <c r="L593" s="8"/>
      <c r="M593" s="8"/>
    </row>
    <row r="594" ht="14.25" customHeight="1">
      <c r="L594" s="8"/>
      <c r="M594" s="8"/>
    </row>
    <row r="595" ht="14.25" customHeight="1">
      <c r="L595" s="8"/>
      <c r="M595" s="8"/>
    </row>
    <row r="596" ht="14.25" customHeight="1">
      <c r="L596" s="8"/>
      <c r="M596" s="8"/>
    </row>
    <row r="597" ht="14.25" customHeight="1">
      <c r="L597" s="8"/>
      <c r="M597" s="8"/>
    </row>
    <row r="598" ht="14.25" customHeight="1">
      <c r="L598" s="8"/>
      <c r="M598" s="8"/>
    </row>
    <row r="599" ht="14.25" customHeight="1">
      <c r="L599" s="8"/>
      <c r="M599" s="8"/>
    </row>
    <row r="600" ht="14.25" customHeight="1">
      <c r="L600" s="8"/>
      <c r="M600" s="8"/>
    </row>
    <row r="601" ht="14.25" customHeight="1">
      <c r="L601" s="8"/>
      <c r="M601" s="8"/>
    </row>
    <row r="602" ht="14.25" customHeight="1">
      <c r="L602" s="8"/>
      <c r="M602" s="8"/>
    </row>
    <row r="603" ht="14.25" customHeight="1">
      <c r="L603" s="8"/>
      <c r="M603" s="8"/>
    </row>
    <row r="604" ht="14.25" customHeight="1">
      <c r="L604" s="8"/>
      <c r="M604" s="8"/>
    </row>
    <row r="605" ht="14.25" customHeight="1">
      <c r="L605" s="8"/>
      <c r="M605" s="8"/>
    </row>
    <row r="606" ht="14.25" customHeight="1">
      <c r="L606" s="8"/>
      <c r="M606" s="8"/>
    </row>
    <row r="607" ht="14.25" customHeight="1">
      <c r="L607" s="8"/>
      <c r="M607" s="8"/>
    </row>
    <row r="608" ht="14.25" customHeight="1">
      <c r="L608" s="8"/>
      <c r="M608" s="8"/>
    </row>
    <row r="609" ht="14.25" customHeight="1">
      <c r="L609" s="8"/>
      <c r="M609" s="8"/>
    </row>
    <row r="610" ht="14.25" customHeight="1">
      <c r="L610" s="8"/>
      <c r="M610" s="8"/>
    </row>
    <row r="611" ht="14.25" customHeight="1">
      <c r="L611" s="8"/>
      <c r="M611" s="8"/>
    </row>
    <row r="612" ht="14.25" customHeight="1">
      <c r="L612" s="8"/>
      <c r="M612" s="8"/>
    </row>
    <row r="613" ht="14.25" customHeight="1">
      <c r="L613" s="8"/>
      <c r="M613" s="8"/>
    </row>
    <row r="614" ht="14.25" customHeight="1">
      <c r="L614" s="8"/>
      <c r="M614" s="8"/>
    </row>
    <row r="615" ht="14.25" customHeight="1">
      <c r="L615" s="8"/>
      <c r="M615" s="8"/>
    </row>
    <row r="616" ht="14.25" customHeight="1">
      <c r="L616" s="8"/>
      <c r="M616" s="8"/>
    </row>
    <row r="617" ht="14.25" customHeight="1">
      <c r="L617" s="8"/>
      <c r="M617" s="8"/>
    </row>
    <row r="618" ht="14.25" customHeight="1">
      <c r="L618" s="8"/>
      <c r="M618" s="8"/>
    </row>
    <row r="619" ht="14.25" customHeight="1">
      <c r="L619" s="8"/>
      <c r="M619" s="8"/>
    </row>
    <row r="620" ht="14.25" customHeight="1">
      <c r="L620" s="8"/>
      <c r="M620" s="8"/>
    </row>
    <row r="621" ht="14.25" customHeight="1">
      <c r="L621" s="8"/>
      <c r="M621" s="8"/>
    </row>
    <row r="622" ht="14.25" customHeight="1">
      <c r="L622" s="8"/>
      <c r="M622" s="8"/>
    </row>
    <row r="623" ht="14.25" customHeight="1">
      <c r="L623" s="8"/>
      <c r="M623" s="8"/>
    </row>
    <row r="624" ht="14.25" customHeight="1">
      <c r="L624" s="8"/>
      <c r="M624" s="8"/>
    </row>
    <row r="625" ht="14.25" customHeight="1">
      <c r="L625" s="8"/>
      <c r="M625" s="8"/>
    </row>
    <row r="626" ht="14.25" customHeight="1">
      <c r="L626" s="8"/>
      <c r="M626" s="8"/>
    </row>
    <row r="627" ht="14.25" customHeight="1">
      <c r="L627" s="8"/>
      <c r="M627" s="8"/>
    </row>
    <row r="628" ht="14.25" customHeight="1">
      <c r="L628" s="8"/>
      <c r="M628" s="8"/>
    </row>
    <row r="629" ht="14.25" customHeight="1">
      <c r="L629" s="8"/>
      <c r="M629" s="8"/>
    </row>
    <row r="630" ht="14.25" customHeight="1">
      <c r="L630" s="8"/>
      <c r="M630" s="8"/>
    </row>
    <row r="631" ht="14.25" customHeight="1">
      <c r="L631" s="8"/>
      <c r="M631" s="8"/>
    </row>
    <row r="632" ht="14.25" customHeight="1">
      <c r="L632" s="8"/>
      <c r="M632" s="8"/>
    </row>
    <row r="633" ht="14.25" customHeight="1">
      <c r="L633" s="8"/>
      <c r="M633" s="8"/>
    </row>
    <row r="634" ht="14.25" customHeight="1">
      <c r="L634" s="8"/>
      <c r="M634" s="8"/>
    </row>
    <row r="635" ht="14.25" customHeight="1">
      <c r="L635" s="8"/>
      <c r="M635" s="8"/>
    </row>
    <row r="636" ht="14.25" customHeight="1">
      <c r="L636" s="8"/>
      <c r="M636" s="8"/>
    </row>
    <row r="637" ht="14.25" customHeight="1">
      <c r="L637" s="8"/>
      <c r="M637" s="8"/>
    </row>
    <row r="638" ht="14.25" customHeight="1">
      <c r="L638" s="8"/>
      <c r="M638" s="8"/>
    </row>
    <row r="639" ht="14.25" customHeight="1">
      <c r="L639" s="8"/>
      <c r="M639" s="8"/>
    </row>
    <row r="640" ht="14.25" customHeight="1">
      <c r="L640" s="8"/>
      <c r="M640" s="8"/>
    </row>
    <row r="641" ht="14.25" customHeight="1">
      <c r="L641" s="8"/>
      <c r="M641" s="8"/>
    </row>
    <row r="642" ht="14.25" customHeight="1">
      <c r="L642" s="8"/>
      <c r="M642" s="8"/>
    </row>
    <row r="643" ht="14.25" customHeight="1">
      <c r="L643" s="8"/>
      <c r="M643" s="8"/>
    </row>
    <row r="644" ht="14.25" customHeight="1">
      <c r="L644" s="8"/>
      <c r="M644" s="8"/>
    </row>
    <row r="645" ht="14.25" customHeight="1">
      <c r="L645" s="8"/>
      <c r="M645" s="8"/>
    </row>
    <row r="646" ht="14.25" customHeight="1">
      <c r="L646" s="8"/>
      <c r="M646" s="8"/>
    </row>
    <row r="647" ht="14.25" customHeight="1">
      <c r="L647" s="8"/>
      <c r="M647" s="8"/>
    </row>
    <row r="648" ht="14.25" customHeight="1">
      <c r="L648" s="8"/>
      <c r="M648" s="8"/>
    </row>
    <row r="649" ht="14.25" customHeight="1">
      <c r="L649" s="8"/>
      <c r="M649" s="8"/>
    </row>
    <row r="650" ht="14.25" customHeight="1">
      <c r="L650" s="8"/>
      <c r="M650" s="8"/>
    </row>
    <row r="651" ht="14.25" customHeight="1">
      <c r="L651" s="8"/>
      <c r="M651" s="8"/>
    </row>
    <row r="652" ht="14.25" customHeight="1">
      <c r="L652" s="8"/>
      <c r="M652" s="8"/>
    </row>
    <row r="653" ht="14.25" customHeight="1">
      <c r="L653" s="8"/>
      <c r="M653" s="8"/>
    </row>
    <row r="654" ht="14.25" customHeight="1">
      <c r="L654" s="8"/>
      <c r="M654" s="8"/>
    </row>
    <row r="655" ht="14.25" customHeight="1">
      <c r="L655" s="8"/>
      <c r="M655" s="8"/>
    </row>
    <row r="656" ht="14.25" customHeight="1">
      <c r="L656" s="8"/>
      <c r="M656" s="8"/>
    </row>
    <row r="657" ht="14.25" customHeight="1">
      <c r="L657" s="8"/>
      <c r="M657" s="8"/>
    </row>
    <row r="658" ht="14.25" customHeight="1">
      <c r="L658" s="8"/>
      <c r="M658" s="8"/>
    </row>
    <row r="659" ht="14.25" customHeight="1">
      <c r="L659" s="8"/>
      <c r="M659" s="8"/>
    </row>
    <row r="660" ht="14.25" customHeight="1">
      <c r="L660" s="8"/>
      <c r="M660" s="8"/>
    </row>
    <row r="661" ht="14.25" customHeight="1">
      <c r="L661" s="8"/>
      <c r="M661" s="8"/>
    </row>
    <row r="662" ht="14.25" customHeight="1">
      <c r="L662" s="8"/>
      <c r="M662" s="8"/>
    </row>
    <row r="663" ht="14.25" customHeight="1">
      <c r="L663" s="8"/>
      <c r="M663" s="8"/>
    </row>
    <row r="664" ht="14.25" customHeight="1">
      <c r="L664" s="8"/>
      <c r="M664" s="8"/>
    </row>
    <row r="665" ht="14.25" customHeight="1">
      <c r="L665" s="8"/>
      <c r="M665" s="8"/>
    </row>
    <row r="666" ht="14.25" customHeight="1">
      <c r="L666" s="8"/>
      <c r="M666" s="8"/>
    </row>
    <row r="667" ht="14.25" customHeight="1">
      <c r="L667" s="8"/>
      <c r="M667" s="8"/>
    </row>
    <row r="668" ht="14.25" customHeight="1">
      <c r="L668" s="8"/>
      <c r="M668" s="8"/>
    </row>
    <row r="669" ht="14.25" customHeight="1">
      <c r="L669" s="8"/>
      <c r="M669" s="8"/>
    </row>
    <row r="670" ht="14.25" customHeight="1">
      <c r="L670" s="8"/>
      <c r="M670" s="8"/>
    </row>
    <row r="671" ht="14.25" customHeight="1">
      <c r="L671" s="8"/>
      <c r="M671" s="8"/>
    </row>
    <row r="672" ht="14.25" customHeight="1">
      <c r="L672" s="8"/>
      <c r="M672" s="8"/>
    </row>
    <row r="673" ht="14.25" customHeight="1">
      <c r="L673" s="8"/>
      <c r="M673" s="8"/>
    </row>
    <row r="674" ht="14.25" customHeight="1">
      <c r="L674" s="8"/>
      <c r="M674" s="8"/>
    </row>
    <row r="675" ht="14.25" customHeight="1">
      <c r="L675" s="8"/>
      <c r="M675" s="8"/>
    </row>
    <row r="676" ht="14.25" customHeight="1">
      <c r="L676" s="8"/>
      <c r="M676" s="8"/>
    </row>
    <row r="677" ht="14.25" customHeight="1">
      <c r="L677" s="8"/>
      <c r="M677" s="8"/>
    </row>
    <row r="678" ht="14.25" customHeight="1">
      <c r="L678" s="8"/>
      <c r="M678" s="8"/>
    </row>
    <row r="679" ht="14.25" customHeight="1">
      <c r="L679" s="8"/>
      <c r="M679" s="8"/>
    </row>
    <row r="680" ht="14.25" customHeight="1">
      <c r="L680" s="8"/>
      <c r="M680" s="8"/>
    </row>
    <row r="681" ht="14.25" customHeight="1">
      <c r="L681" s="8"/>
      <c r="M681" s="8"/>
    </row>
    <row r="682" ht="14.25" customHeight="1">
      <c r="L682" s="8"/>
      <c r="M682" s="8"/>
    </row>
    <row r="683" ht="14.25" customHeight="1">
      <c r="L683" s="8"/>
      <c r="M683" s="8"/>
    </row>
    <row r="684" ht="14.25" customHeight="1">
      <c r="L684" s="8"/>
      <c r="M684" s="8"/>
    </row>
    <row r="685" ht="14.25" customHeight="1">
      <c r="L685" s="8"/>
      <c r="M685" s="8"/>
    </row>
    <row r="686" ht="14.25" customHeight="1">
      <c r="L686" s="8"/>
      <c r="M686" s="8"/>
    </row>
    <row r="687" ht="14.25" customHeight="1">
      <c r="L687" s="8"/>
      <c r="M687" s="8"/>
    </row>
    <row r="688" ht="14.25" customHeight="1">
      <c r="L688" s="8"/>
      <c r="M688" s="8"/>
    </row>
    <row r="689" ht="14.25" customHeight="1">
      <c r="L689" s="8"/>
      <c r="M689" s="8"/>
    </row>
    <row r="690" ht="14.25" customHeight="1">
      <c r="L690" s="8"/>
      <c r="M690" s="8"/>
    </row>
    <row r="691" ht="14.25" customHeight="1">
      <c r="L691" s="8"/>
      <c r="M691" s="8"/>
    </row>
    <row r="692" ht="14.25" customHeight="1">
      <c r="L692" s="8"/>
      <c r="M692" s="8"/>
    </row>
    <row r="693" ht="14.25" customHeight="1">
      <c r="L693" s="8"/>
      <c r="M693" s="8"/>
    </row>
    <row r="694" ht="14.25" customHeight="1">
      <c r="L694" s="8"/>
      <c r="M694" s="8"/>
    </row>
    <row r="695" ht="14.25" customHeight="1">
      <c r="L695" s="8"/>
      <c r="M695" s="8"/>
    </row>
    <row r="696" ht="14.25" customHeight="1">
      <c r="L696" s="8"/>
      <c r="M696" s="8"/>
    </row>
    <row r="697" ht="14.25" customHeight="1">
      <c r="L697" s="8"/>
      <c r="M697" s="8"/>
    </row>
    <row r="698" ht="14.25" customHeight="1">
      <c r="L698" s="8"/>
      <c r="M698" s="8"/>
    </row>
    <row r="699" ht="14.25" customHeight="1">
      <c r="L699" s="8"/>
      <c r="M699" s="8"/>
    </row>
    <row r="700" ht="14.25" customHeight="1">
      <c r="L700" s="8"/>
      <c r="M700" s="8"/>
    </row>
    <row r="701" ht="14.25" customHeight="1">
      <c r="L701" s="8"/>
      <c r="M701" s="8"/>
    </row>
    <row r="702" ht="14.25" customHeight="1">
      <c r="L702" s="8"/>
      <c r="M702" s="8"/>
    </row>
    <row r="703" ht="14.25" customHeight="1">
      <c r="L703" s="8"/>
      <c r="M703" s="8"/>
    </row>
    <row r="704" ht="14.25" customHeight="1">
      <c r="L704" s="8"/>
      <c r="M704" s="8"/>
    </row>
    <row r="705" ht="14.25" customHeight="1">
      <c r="L705" s="8"/>
      <c r="M705" s="8"/>
    </row>
    <row r="706" ht="14.25" customHeight="1">
      <c r="L706" s="8"/>
      <c r="M706" s="8"/>
    </row>
    <row r="707" ht="14.25" customHeight="1">
      <c r="L707" s="8"/>
      <c r="M707" s="8"/>
    </row>
    <row r="708" ht="14.25" customHeight="1">
      <c r="L708" s="8"/>
      <c r="M708" s="8"/>
    </row>
    <row r="709" ht="14.25" customHeight="1">
      <c r="L709" s="8"/>
      <c r="M709" s="8"/>
    </row>
    <row r="710" ht="14.25" customHeight="1">
      <c r="L710" s="8"/>
      <c r="M710" s="8"/>
    </row>
    <row r="711" ht="14.25" customHeight="1">
      <c r="L711" s="8"/>
      <c r="M711" s="8"/>
    </row>
    <row r="712" ht="14.25" customHeight="1">
      <c r="L712" s="8"/>
      <c r="M712" s="8"/>
    </row>
    <row r="713" ht="14.25" customHeight="1">
      <c r="L713" s="8"/>
      <c r="M713" s="8"/>
    </row>
    <row r="714" ht="14.25" customHeight="1">
      <c r="L714" s="8"/>
      <c r="M714" s="8"/>
    </row>
    <row r="715" ht="14.25" customHeight="1">
      <c r="L715" s="8"/>
      <c r="M715" s="8"/>
    </row>
    <row r="716" ht="14.25" customHeight="1">
      <c r="L716" s="8"/>
      <c r="M716" s="8"/>
    </row>
    <row r="717" ht="14.25" customHeight="1">
      <c r="L717" s="8"/>
      <c r="M717" s="8"/>
    </row>
    <row r="718" ht="14.25" customHeight="1">
      <c r="L718" s="8"/>
      <c r="M718" s="8"/>
    </row>
    <row r="719" ht="14.25" customHeight="1">
      <c r="L719" s="8"/>
      <c r="M719" s="8"/>
    </row>
    <row r="720" ht="14.25" customHeight="1">
      <c r="L720" s="8"/>
      <c r="M720" s="8"/>
    </row>
    <row r="721" ht="14.25" customHeight="1">
      <c r="L721" s="8"/>
      <c r="M721" s="8"/>
    </row>
    <row r="722" ht="14.25" customHeight="1">
      <c r="L722" s="8"/>
      <c r="M722" s="8"/>
    </row>
    <row r="723" ht="14.25" customHeight="1">
      <c r="L723" s="8"/>
      <c r="M723" s="8"/>
    </row>
    <row r="724" ht="14.25" customHeight="1">
      <c r="L724" s="8"/>
      <c r="M724" s="8"/>
    </row>
    <row r="725" ht="14.25" customHeight="1">
      <c r="L725" s="8"/>
      <c r="M725" s="8"/>
    </row>
    <row r="726" ht="14.25" customHeight="1">
      <c r="L726" s="8"/>
      <c r="M726" s="8"/>
    </row>
    <row r="727" ht="14.25" customHeight="1">
      <c r="L727" s="8"/>
      <c r="M727" s="8"/>
    </row>
    <row r="728" ht="14.25" customHeight="1">
      <c r="L728" s="8"/>
      <c r="M728" s="8"/>
    </row>
    <row r="729" ht="14.25" customHeight="1">
      <c r="L729" s="8"/>
      <c r="M729" s="8"/>
    </row>
    <row r="730" ht="14.25" customHeight="1">
      <c r="L730" s="8"/>
      <c r="M730" s="8"/>
    </row>
    <row r="731" ht="14.25" customHeight="1">
      <c r="L731" s="8"/>
      <c r="M731" s="8"/>
    </row>
    <row r="732" ht="14.25" customHeight="1">
      <c r="L732" s="8"/>
      <c r="M732" s="8"/>
    </row>
    <row r="733" ht="14.25" customHeight="1">
      <c r="L733" s="8"/>
      <c r="M733" s="8"/>
    </row>
    <row r="734" ht="14.25" customHeight="1">
      <c r="L734" s="8"/>
      <c r="M734" s="8"/>
    </row>
    <row r="735" ht="14.25" customHeight="1">
      <c r="L735" s="8"/>
      <c r="M735" s="8"/>
    </row>
    <row r="736" ht="14.25" customHeight="1">
      <c r="L736" s="8"/>
      <c r="M736" s="8"/>
    </row>
    <row r="737" ht="14.25" customHeight="1">
      <c r="L737" s="8"/>
      <c r="M737" s="8"/>
    </row>
    <row r="738" ht="14.25" customHeight="1">
      <c r="L738" s="8"/>
      <c r="M738" s="8"/>
    </row>
    <row r="739" ht="14.25" customHeight="1">
      <c r="L739" s="8"/>
      <c r="M739" s="8"/>
    </row>
    <row r="740" ht="14.25" customHeight="1">
      <c r="L740" s="8"/>
      <c r="M740" s="8"/>
    </row>
    <row r="741" ht="14.25" customHeight="1">
      <c r="L741" s="8"/>
      <c r="M741" s="8"/>
    </row>
    <row r="742" ht="14.25" customHeight="1">
      <c r="L742" s="8"/>
      <c r="M742" s="8"/>
    </row>
    <row r="743" ht="14.25" customHeight="1">
      <c r="L743" s="8"/>
      <c r="M743" s="8"/>
    </row>
    <row r="744" ht="14.25" customHeight="1">
      <c r="L744" s="8"/>
      <c r="M744" s="8"/>
    </row>
    <row r="745" ht="14.25" customHeight="1">
      <c r="L745" s="8"/>
      <c r="M745" s="8"/>
    </row>
    <row r="746" ht="14.25" customHeight="1">
      <c r="L746" s="8"/>
      <c r="M746" s="8"/>
    </row>
    <row r="747" ht="14.25" customHeight="1">
      <c r="L747" s="8"/>
      <c r="M747" s="8"/>
    </row>
    <row r="748" ht="14.25" customHeight="1">
      <c r="L748" s="8"/>
      <c r="M748" s="8"/>
    </row>
    <row r="749" ht="14.25" customHeight="1">
      <c r="L749" s="8"/>
      <c r="M749" s="8"/>
    </row>
    <row r="750" ht="14.25" customHeight="1">
      <c r="L750" s="8"/>
      <c r="M750" s="8"/>
    </row>
    <row r="751" ht="14.25" customHeight="1">
      <c r="L751" s="8"/>
      <c r="M751" s="8"/>
    </row>
    <row r="752" ht="14.25" customHeight="1">
      <c r="L752" s="8"/>
      <c r="M752" s="8"/>
    </row>
    <row r="753" ht="14.25" customHeight="1">
      <c r="L753" s="8"/>
      <c r="M753" s="8"/>
    </row>
    <row r="754" ht="14.25" customHeight="1">
      <c r="L754" s="8"/>
      <c r="M754" s="8"/>
    </row>
    <row r="755" ht="14.25" customHeight="1">
      <c r="L755" s="8"/>
      <c r="M755" s="8"/>
    </row>
    <row r="756" ht="14.25" customHeight="1">
      <c r="L756" s="8"/>
      <c r="M756" s="8"/>
    </row>
    <row r="757" ht="14.25" customHeight="1">
      <c r="L757" s="8"/>
      <c r="M757" s="8"/>
    </row>
    <row r="758" ht="14.25" customHeight="1">
      <c r="L758" s="8"/>
      <c r="M758" s="8"/>
    </row>
    <row r="759" ht="14.25" customHeight="1">
      <c r="L759" s="8"/>
      <c r="M759" s="8"/>
    </row>
    <row r="760" ht="14.25" customHeight="1">
      <c r="L760" s="8"/>
      <c r="M760" s="8"/>
    </row>
    <row r="761" ht="14.25" customHeight="1">
      <c r="L761" s="8"/>
      <c r="M761" s="8"/>
    </row>
    <row r="762" ht="14.25" customHeight="1">
      <c r="L762" s="8"/>
      <c r="M762" s="8"/>
    </row>
    <row r="763" ht="14.25" customHeight="1">
      <c r="L763" s="8"/>
      <c r="M763" s="8"/>
    </row>
    <row r="764" ht="14.25" customHeight="1">
      <c r="L764" s="8"/>
      <c r="M764" s="8"/>
    </row>
    <row r="765" ht="14.25" customHeight="1">
      <c r="L765" s="8"/>
      <c r="M765" s="8"/>
    </row>
    <row r="766" ht="14.25" customHeight="1">
      <c r="L766" s="8"/>
      <c r="M766" s="8"/>
    </row>
    <row r="767" ht="14.25" customHeight="1">
      <c r="L767" s="8"/>
      <c r="M767" s="8"/>
    </row>
    <row r="768" ht="14.25" customHeight="1">
      <c r="L768" s="8"/>
      <c r="M768" s="8"/>
    </row>
    <row r="769" ht="14.25" customHeight="1">
      <c r="L769" s="8"/>
      <c r="M769" s="8"/>
    </row>
    <row r="770" ht="14.25" customHeight="1">
      <c r="L770" s="8"/>
      <c r="M770" s="8"/>
    </row>
    <row r="771" ht="14.25" customHeight="1">
      <c r="L771" s="8"/>
      <c r="M771" s="8"/>
    </row>
    <row r="772" ht="14.25" customHeight="1">
      <c r="L772" s="8"/>
      <c r="M772" s="8"/>
    </row>
    <row r="773" ht="14.25" customHeight="1">
      <c r="L773" s="8"/>
      <c r="M773" s="8"/>
    </row>
    <row r="774" ht="14.25" customHeight="1">
      <c r="L774" s="8"/>
      <c r="M774" s="8"/>
    </row>
    <row r="775" ht="14.25" customHeight="1">
      <c r="L775" s="8"/>
      <c r="M775" s="8"/>
    </row>
    <row r="776" ht="14.25" customHeight="1">
      <c r="L776" s="8"/>
      <c r="M776" s="8"/>
    </row>
    <row r="777" ht="14.25" customHeight="1">
      <c r="L777" s="8"/>
      <c r="M777" s="8"/>
    </row>
    <row r="778" ht="14.25" customHeight="1">
      <c r="L778" s="8"/>
      <c r="M778" s="8"/>
    </row>
    <row r="779" ht="14.25" customHeight="1">
      <c r="L779" s="8"/>
      <c r="M779" s="8"/>
    </row>
    <row r="780" ht="14.25" customHeight="1">
      <c r="L780" s="8"/>
      <c r="M780" s="8"/>
    </row>
    <row r="781" ht="14.25" customHeight="1">
      <c r="L781" s="8"/>
      <c r="M781" s="8"/>
    </row>
    <row r="782" ht="14.25" customHeight="1">
      <c r="L782" s="8"/>
      <c r="M782" s="8"/>
    </row>
    <row r="783" ht="14.25" customHeight="1">
      <c r="L783" s="8"/>
      <c r="M783" s="8"/>
    </row>
    <row r="784" ht="14.25" customHeight="1">
      <c r="L784" s="8"/>
      <c r="M784" s="8"/>
    </row>
    <row r="785" ht="14.25" customHeight="1">
      <c r="L785" s="8"/>
      <c r="M785" s="8"/>
    </row>
    <row r="786" ht="14.25" customHeight="1">
      <c r="L786" s="8"/>
      <c r="M786" s="8"/>
    </row>
    <row r="787" ht="14.25" customHeight="1">
      <c r="L787" s="8"/>
      <c r="M787" s="8"/>
    </row>
    <row r="788" ht="14.25" customHeight="1">
      <c r="L788" s="8"/>
      <c r="M788" s="8"/>
    </row>
    <row r="789" ht="14.25" customHeight="1">
      <c r="L789" s="8"/>
      <c r="M789" s="8"/>
    </row>
    <row r="790" ht="14.25" customHeight="1">
      <c r="L790" s="8"/>
      <c r="M790" s="8"/>
    </row>
    <row r="791" ht="14.25" customHeight="1">
      <c r="L791" s="8"/>
      <c r="M791" s="8"/>
    </row>
    <row r="792" ht="14.25" customHeight="1">
      <c r="L792" s="8"/>
      <c r="M792" s="8"/>
    </row>
    <row r="793" ht="14.25" customHeight="1">
      <c r="L793" s="8"/>
      <c r="M793" s="8"/>
    </row>
    <row r="794" ht="14.25" customHeight="1">
      <c r="L794" s="8"/>
      <c r="M794" s="8"/>
    </row>
    <row r="795" ht="14.25" customHeight="1">
      <c r="L795" s="8"/>
      <c r="M795" s="8"/>
    </row>
    <row r="796" ht="14.25" customHeight="1">
      <c r="L796" s="8"/>
      <c r="M796" s="8"/>
    </row>
    <row r="797" ht="14.25" customHeight="1">
      <c r="L797" s="8"/>
      <c r="M797" s="8"/>
    </row>
    <row r="798" ht="14.25" customHeight="1">
      <c r="L798" s="8"/>
      <c r="M798" s="8"/>
    </row>
    <row r="799" ht="14.25" customHeight="1">
      <c r="L799" s="8"/>
      <c r="M799" s="8"/>
    </row>
    <row r="800" ht="14.25" customHeight="1">
      <c r="L800" s="8"/>
      <c r="M800" s="8"/>
    </row>
    <row r="801" ht="14.25" customHeight="1">
      <c r="L801" s="8"/>
      <c r="M801" s="8"/>
    </row>
    <row r="802" ht="14.25" customHeight="1">
      <c r="L802" s="8"/>
      <c r="M802" s="8"/>
    </row>
    <row r="803" ht="14.25" customHeight="1">
      <c r="L803" s="8"/>
      <c r="M803" s="8"/>
    </row>
    <row r="804" ht="14.25" customHeight="1">
      <c r="L804" s="8"/>
      <c r="M804" s="8"/>
    </row>
    <row r="805" ht="14.25" customHeight="1">
      <c r="L805" s="8"/>
      <c r="M805" s="8"/>
    </row>
    <row r="806" ht="14.25" customHeight="1">
      <c r="L806" s="8"/>
      <c r="M806" s="8"/>
    </row>
    <row r="807" ht="14.25" customHeight="1">
      <c r="L807" s="8"/>
      <c r="M807" s="8"/>
    </row>
    <row r="808" ht="14.25" customHeight="1">
      <c r="L808" s="8"/>
      <c r="M808" s="8"/>
    </row>
    <row r="809" ht="14.25" customHeight="1">
      <c r="L809" s="8"/>
      <c r="M809" s="8"/>
    </row>
    <row r="810" ht="14.25" customHeight="1">
      <c r="L810" s="8"/>
      <c r="M810" s="8"/>
    </row>
    <row r="811" ht="14.25" customHeight="1">
      <c r="L811" s="8"/>
      <c r="M811" s="8"/>
    </row>
    <row r="812" ht="14.25" customHeight="1">
      <c r="L812" s="8"/>
      <c r="M812" s="8"/>
    </row>
    <row r="813" ht="14.25" customHeight="1">
      <c r="L813" s="8"/>
      <c r="M813" s="8"/>
    </row>
    <row r="814" ht="14.25" customHeight="1">
      <c r="L814" s="8"/>
      <c r="M814" s="8"/>
    </row>
    <row r="815" ht="14.25" customHeight="1">
      <c r="L815" s="8"/>
      <c r="M815" s="8"/>
    </row>
    <row r="816" ht="14.25" customHeight="1">
      <c r="L816" s="8"/>
      <c r="M816" s="8"/>
    </row>
    <row r="817" ht="14.25" customHeight="1">
      <c r="L817" s="8"/>
      <c r="M817" s="8"/>
    </row>
    <row r="818" ht="14.25" customHeight="1">
      <c r="L818" s="8"/>
      <c r="M818" s="8"/>
    </row>
    <row r="819" ht="14.25" customHeight="1">
      <c r="L819" s="8"/>
      <c r="M819" s="8"/>
    </row>
    <row r="820" ht="14.25" customHeight="1">
      <c r="L820" s="8"/>
      <c r="M820" s="8"/>
    </row>
    <row r="821" ht="14.25" customHeight="1">
      <c r="L821" s="8"/>
      <c r="M821" s="8"/>
    </row>
    <row r="822" ht="14.25" customHeight="1">
      <c r="L822" s="8"/>
      <c r="M822" s="8"/>
    </row>
    <row r="823" ht="14.25" customHeight="1">
      <c r="L823" s="8"/>
      <c r="M823" s="8"/>
    </row>
    <row r="824" ht="14.25" customHeight="1">
      <c r="L824" s="8"/>
      <c r="M824" s="8"/>
    </row>
    <row r="825" ht="14.25" customHeight="1">
      <c r="L825" s="8"/>
      <c r="M825" s="8"/>
    </row>
    <row r="826" ht="14.25" customHeight="1">
      <c r="L826" s="8"/>
      <c r="M826" s="8"/>
    </row>
    <row r="827" ht="14.25" customHeight="1">
      <c r="L827" s="8"/>
      <c r="M827" s="8"/>
    </row>
    <row r="828" ht="14.25" customHeight="1">
      <c r="L828" s="8"/>
      <c r="M828" s="8"/>
    </row>
    <row r="829" ht="14.25" customHeight="1">
      <c r="L829" s="8"/>
      <c r="M829" s="8"/>
    </row>
    <row r="830" ht="14.25" customHeight="1">
      <c r="L830" s="8"/>
      <c r="M830" s="8"/>
    </row>
    <row r="831" ht="14.25" customHeight="1">
      <c r="L831" s="8"/>
      <c r="M831" s="8"/>
    </row>
    <row r="832" ht="14.25" customHeight="1">
      <c r="L832" s="8"/>
      <c r="M832" s="8"/>
    </row>
    <row r="833" ht="14.25" customHeight="1">
      <c r="L833" s="8"/>
      <c r="M833" s="8"/>
    </row>
    <row r="834" ht="14.25" customHeight="1">
      <c r="L834" s="8"/>
      <c r="M834" s="8"/>
    </row>
    <row r="835" ht="14.25" customHeight="1">
      <c r="L835" s="8"/>
      <c r="M835" s="8"/>
    </row>
    <row r="836" ht="14.25" customHeight="1">
      <c r="L836" s="8"/>
      <c r="M836" s="8"/>
    </row>
    <row r="837" ht="14.25" customHeight="1">
      <c r="L837" s="8"/>
      <c r="M837" s="8"/>
    </row>
    <row r="838" ht="14.25" customHeight="1">
      <c r="L838" s="8"/>
      <c r="M838" s="8"/>
    </row>
    <row r="839" ht="14.25" customHeight="1">
      <c r="L839" s="8"/>
      <c r="M839" s="8"/>
    </row>
    <row r="840" ht="14.25" customHeight="1">
      <c r="L840" s="8"/>
      <c r="M840" s="8"/>
    </row>
    <row r="841" ht="14.25" customHeight="1">
      <c r="L841" s="8"/>
      <c r="M841" s="8"/>
    </row>
    <row r="842" ht="14.25" customHeight="1">
      <c r="L842" s="8"/>
      <c r="M842" s="8"/>
    </row>
    <row r="843" ht="14.25" customHeight="1">
      <c r="L843" s="8"/>
      <c r="M843" s="8"/>
    </row>
    <row r="844" ht="14.25" customHeight="1">
      <c r="L844" s="8"/>
      <c r="M844" s="8"/>
    </row>
    <row r="845" ht="14.25" customHeight="1">
      <c r="L845" s="8"/>
      <c r="M845" s="8"/>
    </row>
    <row r="846" ht="14.25" customHeight="1">
      <c r="L846" s="8"/>
      <c r="M846" s="8"/>
    </row>
    <row r="847" ht="14.25" customHeight="1">
      <c r="L847" s="8"/>
      <c r="M847" s="8"/>
    </row>
    <row r="848" ht="14.25" customHeight="1">
      <c r="L848" s="8"/>
      <c r="M848" s="8"/>
    </row>
    <row r="849" ht="14.25" customHeight="1">
      <c r="L849" s="8"/>
      <c r="M849" s="8"/>
    </row>
    <row r="850" ht="14.25" customHeight="1">
      <c r="L850" s="8"/>
      <c r="M850" s="8"/>
    </row>
    <row r="851" ht="14.25" customHeight="1">
      <c r="L851" s="8"/>
      <c r="M851" s="8"/>
    </row>
    <row r="852" ht="14.25" customHeight="1">
      <c r="L852" s="8"/>
      <c r="M852" s="8"/>
    </row>
    <row r="853" ht="14.25" customHeight="1">
      <c r="L853" s="8"/>
      <c r="M853" s="8"/>
    </row>
    <row r="854" ht="14.25" customHeight="1">
      <c r="L854" s="8"/>
      <c r="M854" s="8"/>
    </row>
    <row r="855" ht="14.25" customHeight="1">
      <c r="L855" s="8"/>
      <c r="M855" s="8"/>
    </row>
    <row r="856" ht="14.25" customHeight="1">
      <c r="L856" s="8"/>
      <c r="M856" s="8"/>
    </row>
    <row r="857" ht="14.25" customHeight="1">
      <c r="L857" s="8"/>
      <c r="M857" s="8"/>
    </row>
    <row r="858" ht="14.25" customHeight="1">
      <c r="L858" s="8"/>
      <c r="M858" s="8"/>
    </row>
    <row r="859" ht="14.25" customHeight="1">
      <c r="L859" s="8"/>
      <c r="M859" s="8"/>
    </row>
    <row r="860" ht="14.25" customHeight="1">
      <c r="L860" s="8"/>
      <c r="M860" s="8"/>
    </row>
    <row r="861" ht="14.25" customHeight="1">
      <c r="L861" s="8"/>
      <c r="M861" s="8"/>
    </row>
    <row r="862" ht="14.25" customHeight="1">
      <c r="L862" s="8"/>
      <c r="M862" s="8"/>
    </row>
    <row r="863" ht="14.25" customHeight="1">
      <c r="L863" s="8"/>
      <c r="M863" s="8"/>
    </row>
    <row r="864" ht="14.25" customHeight="1">
      <c r="L864" s="8"/>
      <c r="M864" s="8"/>
    </row>
    <row r="865" ht="14.25" customHeight="1">
      <c r="L865" s="8"/>
      <c r="M865" s="8"/>
    </row>
    <row r="866" ht="14.25" customHeight="1">
      <c r="L866" s="8"/>
      <c r="M866" s="8"/>
    </row>
    <row r="867" ht="14.25" customHeight="1">
      <c r="L867" s="8"/>
      <c r="M867" s="8"/>
    </row>
    <row r="868" ht="14.25" customHeight="1">
      <c r="L868" s="8"/>
      <c r="M868" s="8"/>
    </row>
    <row r="869" ht="14.25" customHeight="1">
      <c r="L869" s="8"/>
      <c r="M869" s="8"/>
    </row>
    <row r="870" ht="14.25" customHeight="1">
      <c r="L870" s="8"/>
      <c r="M870" s="8"/>
    </row>
    <row r="871" ht="14.25" customHeight="1">
      <c r="L871" s="8"/>
      <c r="M871" s="8"/>
    </row>
    <row r="872" ht="14.25" customHeight="1">
      <c r="L872" s="8"/>
      <c r="M872" s="8"/>
    </row>
    <row r="873" ht="14.25" customHeight="1">
      <c r="L873" s="8"/>
      <c r="M873" s="8"/>
    </row>
    <row r="874" ht="14.25" customHeight="1">
      <c r="L874" s="8"/>
      <c r="M874" s="8"/>
    </row>
    <row r="875" ht="14.25" customHeight="1">
      <c r="L875" s="8"/>
      <c r="M875" s="8"/>
    </row>
    <row r="876" ht="14.25" customHeight="1">
      <c r="L876" s="8"/>
      <c r="M876" s="8"/>
    </row>
    <row r="877" ht="14.25" customHeight="1">
      <c r="L877" s="8"/>
      <c r="M877" s="8"/>
    </row>
    <row r="878" ht="14.25" customHeight="1">
      <c r="L878" s="8"/>
      <c r="M878" s="8"/>
    </row>
    <row r="879" ht="14.25" customHeight="1">
      <c r="L879" s="8"/>
      <c r="M879" s="8"/>
    </row>
    <row r="880" ht="14.25" customHeight="1">
      <c r="L880" s="8"/>
      <c r="M880" s="8"/>
    </row>
    <row r="881" ht="14.25" customHeight="1">
      <c r="L881" s="8"/>
      <c r="M881" s="8"/>
    </row>
    <row r="882" ht="14.25" customHeight="1">
      <c r="L882" s="8"/>
      <c r="M882" s="8"/>
    </row>
    <row r="883" ht="14.25" customHeight="1">
      <c r="L883" s="8"/>
      <c r="M883" s="8"/>
    </row>
    <row r="884" ht="14.25" customHeight="1">
      <c r="L884" s="8"/>
      <c r="M884" s="8"/>
    </row>
    <row r="885" ht="14.25" customHeight="1">
      <c r="L885" s="8"/>
      <c r="M885" s="8"/>
    </row>
    <row r="886" ht="14.25" customHeight="1">
      <c r="L886" s="8"/>
      <c r="M886" s="8"/>
    </row>
    <row r="887" ht="14.25" customHeight="1">
      <c r="L887" s="8"/>
      <c r="M887" s="8"/>
    </row>
    <row r="888" ht="14.25" customHeight="1">
      <c r="L888" s="8"/>
      <c r="M888" s="8"/>
    </row>
    <row r="889" ht="14.25" customHeight="1">
      <c r="L889" s="8"/>
      <c r="M889" s="8"/>
    </row>
    <row r="890" ht="14.25" customHeight="1">
      <c r="L890" s="8"/>
      <c r="M890" s="8"/>
    </row>
    <row r="891" ht="14.25" customHeight="1">
      <c r="L891" s="8"/>
      <c r="M891" s="8"/>
    </row>
    <row r="892" ht="14.25" customHeight="1">
      <c r="L892" s="8"/>
      <c r="M892" s="8"/>
    </row>
    <row r="893" ht="14.25" customHeight="1">
      <c r="L893" s="8"/>
      <c r="M893" s="8"/>
    </row>
    <row r="894" ht="14.25" customHeight="1">
      <c r="L894" s="8"/>
      <c r="M894" s="8"/>
    </row>
    <row r="895" ht="14.25" customHeight="1">
      <c r="L895" s="8"/>
      <c r="M895" s="8"/>
    </row>
    <row r="896" ht="14.25" customHeight="1">
      <c r="L896" s="8"/>
      <c r="M896" s="8"/>
    </row>
    <row r="897" ht="14.25" customHeight="1">
      <c r="L897" s="8"/>
      <c r="M897" s="8"/>
    </row>
    <row r="898" ht="14.25" customHeight="1">
      <c r="L898" s="8"/>
      <c r="M898" s="8"/>
    </row>
    <row r="899" ht="14.25" customHeight="1">
      <c r="L899" s="8"/>
      <c r="M899" s="8"/>
    </row>
    <row r="900" ht="14.25" customHeight="1">
      <c r="L900" s="8"/>
      <c r="M900" s="8"/>
    </row>
    <row r="901" ht="14.25" customHeight="1">
      <c r="L901" s="8"/>
      <c r="M901" s="8"/>
    </row>
    <row r="902" ht="14.25" customHeight="1">
      <c r="L902" s="8"/>
      <c r="M902" s="8"/>
    </row>
    <row r="903" ht="14.25" customHeight="1">
      <c r="L903" s="8"/>
      <c r="M903" s="8"/>
    </row>
    <row r="904" ht="14.25" customHeight="1">
      <c r="L904" s="8"/>
      <c r="M904" s="8"/>
    </row>
    <row r="905" ht="14.25" customHeight="1">
      <c r="L905" s="8"/>
      <c r="M905" s="8"/>
    </row>
    <row r="906" ht="14.25" customHeight="1">
      <c r="L906" s="8"/>
      <c r="M906" s="8"/>
    </row>
    <row r="907" ht="14.25" customHeight="1">
      <c r="L907" s="8"/>
      <c r="M907" s="8"/>
    </row>
    <row r="908" ht="14.25" customHeight="1">
      <c r="L908" s="8"/>
      <c r="M908" s="8"/>
    </row>
    <row r="909" ht="14.25" customHeight="1">
      <c r="L909" s="8"/>
      <c r="M909" s="8"/>
    </row>
    <row r="910" ht="14.25" customHeight="1">
      <c r="L910" s="8"/>
      <c r="M910" s="8"/>
    </row>
    <row r="911" ht="14.25" customHeight="1">
      <c r="L911" s="8"/>
      <c r="M911" s="8"/>
    </row>
    <row r="912" ht="14.25" customHeight="1">
      <c r="L912" s="8"/>
      <c r="M912" s="8"/>
    </row>
    <row r="913" ht="14.25" customHeight="1">
      <c r="L913" s="8"/>
      <c r="M913" s="8"/>
    </row>
    <row r="914" ht="14.25" customHeight="1">
      <c r="L914" s="8"/>
      <c r="M914" s="8"/>
    </row>
    <row r="915" ht="14.25" customHeight="1">
      <c r="L915" s="8"/>
      <c r="M915" s="8"/>
    </row>
    <row r="916" ht="14.25" customHeight="1">
      <c r="L916" s="8"/>
      <c r="M916" s="8"/>
    </row>
    <row r="917" ht="14.25" customHeight="1">
      <c r="L917" s="8"/>
      <c r="M917" s="8"/>
    </row>
    <row r="918" ht="14.25" customHeight="1">
      <c r="L918" s="8"/>
      <c r="M918" s="8"/>
    </row>
    <row r="919" ht="14.25" customHeight="1">
      <c r="L919" s="8"/>
      <c r="M919" s="8"/>
    </row>
    <row r="920" ht="14.25" customHeight="1">
      <c r="L920" s="8"/>
      <c r="M920" s="8"/>
    </row>
    <row r="921" ht="14.25" customHeight="1">
      <c r="L921" s="8"/>
      <c r="M921" s="8"/>
    </row>
    <row r="922" ht="14.25" customHeight="1">
      <c r="L922" s="8"/>
      <c r="M922" s="8"/>
    </row>
    <row r="923" ht="14.25" customHeight="1">
      <c r="L923" s="8"/>
      <c r="M923" s="8"/>
    </row>
    <row r="924" ht="14.25" customHeight="1">
      <c r="L924" s="8"/>
      <c r="M924" s="8"/>
    </row>
    <row r="925" ht="14.25" customHeight="1">
      <c r="L925" s="8"/>
      <c r="M925" s="8"/>
    </row>
    <row r="926" ht="14.25" customHeight="1">
      <c r="L926" s="8"/>
      <c r="M926" s="8"/>
    </row>
    <row r="927" ht="14.25" customHeight="1">
      <c r="L927" s="8"/>
      <c r="M927" s="8"/>
    </row>
    <row r="928" ht="14.25" customHeight="1">
      <c r="L928" s="8"/>
      <c r="M928" s="8"/>
    </row>
    <row r="929" ht="14.25" customHeight="1">
      <c r="L929" s="8"/>
      <c r="M929" s="8"/>
    </row>
    <row r="930" ht="14.25" customHeight="1">
      <c r="L930" s="8"/>
      <c r="M930" s="8"/>
    </row>
    <row r="931" ht="14.25" customHeight="1">
      <c r="L931" s="8"/>
      <c r="M931" s="8"/>
    </row>
    <row r="932" ht="14.25" customHeight="1">
      <c r="L932" s="8"/>
      <c r="M932" s="8"/>
    </row>
    <row r="933" ht="14.25" customHeight="1">
      <c r="L933" s="8"/>
      <c r="M933" s="8"/>
    </row>
    <row r="934" ht="14.25" customHeight="1">
      <c r="L934" s="8"/>
      <c r="M934" s="8"/>
    </row>
    <row r="935" ht="14.25" customHeight="1">
      <c r="L935" s="8"/>
      <c r="M935" s="8"/>
    </row>
    <row r="936" ht="14.25" customHeight="1">
      <c r="L936" s="8"/>
      <c r="M936" s="8"/>
    </row>
    <row r="937" ht="14.25" customHeight="1">
      <c r="L937" s="8"/>
      <c r="M937" s="8"/>
    </row>
    <row r="938" ht="14.25" customHeight="1">
      <c r="L938" s="8"/>
      <c r="M938" s="8"/>
    </row>
    <row r="939" ht="14.25" customHeight="1">
      <c r="L939" s="8"/>
      <c r="M939" s="8"/>
    </row>
    <row r="940" ht="14.25" customHeight="1">
      <c r="L940" s="8"/>
      <c r="M940" s="8"/>
    </row>
    <row r="941" ht="14.25" customHeight="1">
      <c r="L941" s="8"/>
      <c r="M941" s="8"/>
    </row>
    <row r="942" ht="14.25" customHeight="1">
      <c r="L942" s="8"/>
      <c r="M942" s="8"/>
    </row>
    <row r="943" ht="14.25" customHeight="1">
      <c r="L943" s="8"/>
      <c r="M943" s="8"/>
    </row>
    <row r="944" ht="14.25" customHeight="1">
      <c r="L944" s="8"/>
      <c r="M944" s="8"/>
    </row>
    <row r="945" ht="14.25" customHeight="1">
      <c r="L945" s="8"/>
      <c r="M945" s="8"/>
    </row>
    <row r="946" ht="14.25" customHeight="1">
      <c r="L946" s="8"/>
      <c r="M946" s="8"/>
    </row>
    <row r="947" ht="14.25" customHeight="1">
      <c r="L947" s="8"/>
      <c r="M947" s="8"/>
    </row>
    <row r="948" ht="14.25" customHeight="1">
      <c r="L948" s="8"/>
      <c r="M948" s="8"/>
    </row>
    <row r="949" ht="14.25" customHeight="1">
      <c r="L949" s="8"/>
      <c r="M949" s="8"/>
    </row>
    <row r="950" ht="14.25" customHeight="1">
      <c r="L950" s="8"/>
      <c r="M950" s="8"/>
    </row>
    <row r="951" ht="14.25" customHeight="1">
      <c r="L951" s="8"/>
      <c r="M951" s="8"/>
    </row>
    <row r="952" ht="14.25" customHeight="1">
      <c r="L952" s="8"/>
      <c r="M952" s="8"/>
    </row>
    <row r="953" ht="14.25" customHeight="1">
      <c r="L953" s="8"/>
      <c r="M953" s="8"/>
    </row>
    <row r="954" ht="14.25" customHeight="1">
      <c r="L954" s="8"/>
      <c r="M954" s="8"/>
    </row>
    <row r="955" ht="14.25" customHeight="1">
      <c r="L955" s="8"/>
      <c r="M955" s="8"/>
    </row>
    <row r="956" ht="14.25" customHeight="1">
      <c r="L956" s="8"/>
      <c r="M956" s="8"/>
    </row>
    <row r="957" ht="14.25" customHeight="1">
      <c r="L957" s="8"/>
      <c r="M957" s="8"/>
    </row>
    <row r="958" ht="14.25" customHeight="1">
      <c r="L958" s="8"/>
      <c r="M958" s="8"/>
    </row>
    <row r="959" ht="14.25" customHeight="1">
      <c r="L959" s="8"/>
      <c r="M959" s="8"/>
    </row>
    <row r="960" ht="14.25" customHeight="1">
      <c r="L960" s="8"/>
      <c r="M960" s="8"/>
    </row>
    <row r="961" ht="14.25" customHeight="1">
      <c r="L961" s="8"/>
      <c r="M961" s="8"/>
    </row>
    <row r="962" ht="14.25" customHeight="1">
      <c r="L962" s="8"/>
      <c r="M962" s="8"/>
    </row>
    <row r="963" ht="14.25" customHeight="1">
      <c r="L963" s="8"/>
      <c r="M963" s="8"/>
    </row>
    <row r="964" ht="14.25" customHeight="1">
      <c r="L964" s="8"/>
      <c r="M964" s="8"/>
    </row>
    <row r="965" ht="14.25" customHeight="1">
      <c r="L965" s="8"/>
      <c r="M965" s="8"/>
    </row>
    <row r="966" ht="14.25" customHeight="1">
      <c r="L966" s="8"/>
      <c r="M966" s="8"/>
    </row>
    <row r="967" ht="14.25" customHeight="1">
      <c r="L967" s="8"/>
      <c r="M967" s="8"/>
    </row>
    <row r="968" ht="14.25" customHeight="1">
      <c r="L968" s="8"/>
      <c r="M968" s="8"/>
    </row>
    <row r="969" ht="14.25" customHeight="1">
      <c r="L969" s="8"/>
      <c r="M969" s="8"/>
    </row>
    <row r="970" ht="14.25" customHeight="1">
      <c r="L970" s="8"/>
      <c r="M970" s="8"/>
    </row>
    <row r="971" ht="14.25" customHeight="1">
      <c r="L971" s="8"/>
      <c r="M971" s="8"/>
    </row>
    <row r="972" ht="14.25" customHeight="1">
      <c r="L972" s="8"/>
      <c r="M972" s="8"/>
    </row>
    <row r="973" ht="14.25" customHeight="1">
      <c r="L973" s="8"/>
      <c r="M973" s="8"/>
    </row>
    <row r="974" ht="14.25" customHeight="1">
      <c r="L974" s="8"/>
      <c r="M974" s="8"/>
    </row>
    <row r="975" ht="14.25" customHeight="1">
      <c r="L975" s="8"/>
      <c r="M975" s="8"/>
    </row>
    <row r="976" ht="14.25" customHeight="1">
      <c r="L976" s="8"/>
      <c r="M976" s="8"/>
    </row>
    <row r="977" ht="14.25" customHeight="1">
      <c r="L977" s="8"/>
      <c r="M977" s="8"/>
    </row>
    <row r="978" ht="14.25" customHeight="1">
      <c r="L978" s="8"/>
      <c r="M978" s="8"/>
    </row>
    <row r="979" ht="14.25" customHeight="1">
      <c r="L979" s="8"/>
      <c r="M979" s="8"/>
    </row>
    <row r="980" ht="14.25" customHeight="1">
      <c r="L980" s="8"/>
      <c r="M980" s="8"/>
    </row>
    <row r="981" ht="14.25" customHeight="1">
      <c r="L981" s="8"/>
      <c r="M981" s="8"/>
    </row>
    <row r="982" ht="14.25" customHeight="1">
      <c r="L982" s="8"/>
      <c r="M982" s="8"/>
    </row>
    <row r="983" ht="14.25" customHeight="1">
      <c r="L983" s="8"/>
      <c r="M983" s="8"/>
    </row>
    <row r="984" ht="14.25" customHeight="1">
      <c r="L984" s="8"/>
      <c r="M984" s="8"/>
    </row>
    <row r="985" ht="14.25" customHeight="1">
      <c r="L985" s="8"/>
      <c r="M985" s="8"/>
    </row>
    <row r="986" ht="14.25" customHeight="1">
      <c r="L986" s="8"/>
      <c r="M986" s="8"/>
    </row>
    <row r="987" ht="14.25" customHeight="1">
      <c r="L987" s="8"/>
      <c r="M987" s="8"/>
    </row>
    <row r="988" ht="14.25" customHeight="1">
      <c r="L988" s="8"/>
      <c r="M988" s="8"/>
    </row>
    <row r="989" ht="14.25" customHeight="1">
      <c r="L989" s="8"/>
      <c r="M989" s="8"/>
    </row>
    <row r="990" ht="14.25" customHeight="1">
      <c r="L990" s="8"/>
      <c r="M990" s="8"/>
    </row>
    <row r="991" ht="14.25" customHeight="1">
      <c r="L991" s="8"/>
      <c r="M991" s="8"/>
    </row>
    <row r="992" ht="14.25" customHeight="1">
      <c r="L992" s="8"/>
      <c r="M992" s="8"/>
    </row>
    <row r="993" ht="14.25" customHeight="1">
      <c r="L993" s="8"/>
      <c r="M993" s="8"/>
    </row>
    <row r="994" ht="14.25" customHeight="1">
      <c r="L994" s="8"/>
      <c r="M994" s="8"/>
    </row>
    <row r="995" ht="14.25" customHeight="1">
      <c r="L995" s="8"/>
      <c r="M995" s="8"/>
    </row>
    <row r="996" ht="14.25" customHeight="1">
      <c r="L996" s="8"/>
      <c r="M996" s="8"/>
    </row>
    <row r="997" ht="14.25" customHeight="1">
      <c r="L997" s="8"/>
      <c r="M997" s="8"/>
    </row>
    <row r="998" ht="14.25" customHeight="1">
      <c r="L998" s="8"/>
      <c r="M998" s="8"/>
    </row>
    <row r="999" ht="14.25" customHeight="1">
      <c r="L999" s="8"/>
      <c r="M999" s="8"/>
    </row>
    <row r="1000" ht="14.25" customHeight="1">
      <c r="L1000" s="8"/>
      <c r="M1000" s="8"/>
    </row>
  </sheetData>
  <dataValidations>
    <dataValidation type="list" allowBlank="1" sqref="L2:M1000">
      <formula1>DICTIONARIES!$G$2:$G$3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0"/>
    <col customWidth="1" min="3" max="3" width="20.0"/>
    <col customWidth="1" min="4" max="7" width="18.0"/>
    <col customWidth="1" min="8" max="8" width="16.0"/>
    <col customWidth="1" min="9" max="9" width="30.0"/>
    <col customWidth="1" min="10" max="10" width="16.0"/>
    <col customWidth="1" min="11" max="11" width="14.0"/>
    <col customWidth="1" min="12" max="13" width="10.0"/>
    <col customWidth="1" min="14" max="14" width="42.0"/>
    <col customWidth="1" min="15" max="26" width="8.71"/>
  </cols>
  <sheetData>
    <row r="1" ht="14.25" customHeight="1">
      <c r="A1" s="9" t="s">
        <v>570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55</v>
      </c>
      <c r="M1" s="9" t="s">
        <v>436</v>
      </c>
      <c r="N1" s="9" t="s">
        <v>116</v>
      </c>
    </row>
    <row r="2" ht="14.25" customHeight="1">
      <c r="A2" s="11" t="s">
        <v>772</v>
      </c>
      <c r="B2" s="11" t="s">
        <v>246</v>
      </c>
      <c r="C2" s="11" t="s">
        <v>444</v>
      </c>
      <c r="D2" s="11" t="s">
        <v>211</v>
      </c>
      <c r="E2" s="11" t="s">
        <v>255</v>
      </c>
      <c r="F2" s="11"/>
      <c r="G2" s="11"/>
      <c r="H2" s="11" t="s">
        <v>261</v>
      </c>
      <c r="I2" s="11" t="s">
        <v>284</v>
      </c>
      <c r="J2" s="11" t="s">
        <v>246</v>
      </c>
      <c r="K2" s="11" t="s">
        <v>444</v>
      </c>
      <c r="L2" s="11">
        <v>1.0</v>
      </c>
      <c r="M2" s="11" t="s">
        <v>245</v>
      </c>
      <c r="N2" s="11" t="s">
        <v>773</v>
      </c>
    </row>
    <row r="3" ht="14.25" customHeight="1">
      <c r="A3" s="11" t="s">
        <v>774</v>
      </c>
      <c r="B3" s="11" t="s">
        <v>246</v>
      </c>
      <c r="C3" s="11" t="s">
        <v>444</v>
      </c>
      <c r="D3" s="11" t="s">
        <v>208</v>
      </c>
      <c r="E3" s="11" t="s">
        <v>258</v>
      </c>
      <c r="F3" s="11" t="s">
        <v>211</v>
      </c>
      <c r="G3" s="11" t="s">
        <v>245</v>
      </c>
      <c r="H3" s="11" t="s">
        <v>301</v>
      </c>
      <c r="I3" s="11" t="s">
        <v>323</v>
      </c>
      <c r="J3" s="11" t="s">
        <v>246</v>
      </c>
      <c r="K3" s="11" t="s">
        <v>444</v>
      </c>
      <c r="L3" s="11">
        <v>2.0</v>
      </c>
      <c r="M3" s="11" t="s">
        <v>245</v>
      </c>
      <c r="N3" s="11" t="s">
        <v>775</v>
      </c>
    </row>
    <row r="4" ht="14.25" customHeight="1">
      <c r="A4" s="11" t="s">
        <v>776</v>
      </c>
      <c r="B4" s="11" t="s">
        <v>302</v>
      </c>
      <c r="C4" s="11" t="s">
        <v>239</v>
      </c>
      <c r="D4" s="11" t="s">
        <v>204</v>
      </c>
      <c r="E4" s="11" t="s">
        <v>369</v>
      </c>
      <c r="F4" s="11" t="s">
        <v>203</v>
      </c>
      <c r="G4" s="11" t="s">
        <v>331</v>
      </c>
      <c r="H4" s="11" t="s">
        <v>338</v>
      </c>
      <c r="I4" s="11" t="s">
        <v>777</v>
      </c>
      <c r="J4" s="11" t="s">
        <v>246</v>
      </c>
      <c r="K4" s="11"/>
      <c r="L4" s="11">
        <v>3.0</v>
      </c>
      <c r="M4" s="11" t="s">
        <v>245</v>
      </c>
      <c r="N4" s="11" t="s">
        <v>778</v>
      </c>
    </row>
    <row r="5" ht="14.25" customHeight="1">
      <c r="A5" s="11" t="s">
        <v>779</v>
      </c>
      <c r="B5" s="11" t="s">
        <v>302</v>
      </c>
      <c r="C5" s="11" t="s">
        <v>239</v>
      </c>
      <c r="D5" s="11" t="s">
        <v>206</v>
      </c>
      <c r="E5" s="11" t="s">
        <v>334</v>
      </c>
      <c r="F5" s="11"/>
      <c r="G5" s="11"/>
      <c r="H5" s="11" t="s">
        <v>338</v>
      </c>
      <c r="I5" s="11" t="s">
        <v>780</v>
      </c>
      <c r="J5" s="11" t="s">
        <v>246</v>
      </c>
      <c r="K5" s="11"/>
      <c r="L5" s="11">
        <v>4.0</v>
      </c>
      <c r="M5" s="11" t="s">
        <v>245</v>
      </c>
      <c r="N5" s="11" t="s">
        <v>781</v>
      </c>
    </row>
    <row r="6" ht="14.25" customHeight="1">
      <c r="A6" s="11" t="s">
        <v>782</v>
      </c>
      <c r="B6" s="11" t="s">
        <v>246</v>
      </c>
      <c r="C6" s="11" t="s">
        <v>462</v>
      </c>
      <c r="D6" s="11" t="s">
        <v>395</v>
      </c>
      <c r="E6" s="11" t="s">
        <v>337</v>
      </c>
      <c r="F6" s="11" t="s">
        <v>211</v>
      </c>
      <c r="G6" s="11" t="s">
        <v>300</v>
      </c>
      <c r="H6" s="11" t="s">
        <v>338</v>
      </c>
      <c r="I6" s="11" t="s">
        <v>783</v>
      </c>
      <c r="J6" s="11" t="s">
        <v>246</v>
      </c>
      <c r="K6" s="11" t="s">
        <v>462</v>
      </c>
      <c r="L6" s="11">
        <v>5.0</v>
      </c>
      <c r="M6" s="11" t="s">
        <v>245</v>
      </c>
      <c r="N6" s="11" t="s">
        <v>784</v>
      </c>
    </row>
    <row r="7" ht="14.2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</row>
    <row r="8" ht="14.2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ht="14.2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</row>
    <row r="10" ht="14.2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1" ht="14.2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ht="14.2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ht="14.2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ht="14.2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</row>
    <row r="15" ht="14.2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ht="14.2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</row>
    <row r="17" ht="14.2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ht="14.2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</row>
    <row r="19" ht="14.2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</row>
    <row r="20" ht="14.2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</row>
    <row r="21" ht="14.2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ht="14.2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ht="14.2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ht="14.2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ht="14.2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</row>
    <row r="26" ht="14.2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ht="14.2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</row>
    <row r="28" ht="14.2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</row>
    <row r="151" ht="14.25" customHeight="1">
      <c r="B151" s="8"/>
      <c r="D151" s="8"/>
      <c r="F151" s="8"/>
      <c r="H151" s="8"/>
      <c r="J151" s="8"/>
      <c r="M151" s="8"/>
    </row>
    <row r="152" ht="14.25" customHeight="1">
      <c r="B152" s="8"/>
      <c r="D152" s="8"/>
      <c r="F152" s="8"/>
      <c r="H152" s="8"/>
      <c r="J152" s="8"/>
      <c r="M152" s="8"/>
    </row>
    <row r="153" ht="14.25" customHeight="1">
      <c r="B153" s="8"/>
      <c r="D153" s="8"/>
      <c r="F153" s="8"/>
      <c r="H153" s="8"/>
      <c r="J153" s="8"/>
      <c r="M153" s="8"/>
    </row>
    <row r="154" ht="14.25" customHeight="1">
      <c r="B154" s="8"/>
      <c r="D154" s="8"/>
      <c r="F154" s="8"/>
      <c r="H154" s="8"/>
      <c r="J154" s="8"/>
      <c r="M154" s="8"/>
    </row>
    <row r="155" ht="14.25" customHeight="1">
      <c r="B155" s="8"/>
      <c r="D155" s="8"/>
      <c r="F155" s="8"/>
      <c r="H155" s="8"/>
      <c r="J155" s="8"/>
      <c r="M155" s="8"/>
    </row>
    <row r="156" ht="14.25" customHeight="1">
      <c r="B156" s="8"/>
      <c r="D156" s="8"/>
      <c r="F156" s="8"/>
      <c r="H156" s="8"/>
      <c r="J156" s="8"/>
      <c r="M156" s="8"/>
    </row>
    <row r="157" ht="14.25" customHeight="1">
      <c r="B157" s="8"/>
      <c r="D157" s="8"/>
      <c r="F157" s="8"/>
      <c r="H157" s="8"/>
      <c r="J157" s="8"/>
      <c r="M157" s="8"/>
    </row>
    <row r="158" ht="14.25" customHeight="1">
      <c r="B158" s="8"/>
      <c r="D158" s="8"/>
      <c r="F158" s="8"/>
      <c r="H158" s="8"/>
      <c r="J158" s="8"/>
      <c r="M158" s="8"/>
    </row>
    <row r="159" ht="14.25" customHeight="1">
      <c r="B159" s="8"/>
      <c r="D159" s="8"/>
      <c r="F159" s="8"/>
      <c r="H159" s="8"/>
      <c r="J159" s="8"/>
      <c r="M159" s="8"/>
    </row>
    <row r="160" ht="14.25" customHeight="1">
      <c r="B160" s="8"/>
      <c r="D160" s="8"/>
      <c r="F160" s="8"/>
      <c r="H160" s="8"/>
      <c r="J160" s="8"/>
      <c r="M160" s="8"/>
    </row>
    <row r="161" ht="14.25" customHeight="1">
      <c r="B161" s="8"/>
      <c r="D161" s="8"/>
      <c r="F161" s="8"/>
      <c r="H161" s="8"/>
      <c r="J161" s="8"/>
      <c r="M161" s="8"/>
    </row>
    <row r="162" ht="14.25" customHeight="1">
      <c r="B162" s="8"/>
      <c r="D162" s="8"/>
      <c r="F162" s="8"/>
      <c r="H162" s="8"/>
      <c r="J162" s="8"/>
      <c r="M162" s="8"/>
    </row>
    <row r="163" ht="14.25" customHeight="1">
      <c r="B163" s="8"/>
      <c r="D163" s="8"/>
      <c r="F163" s="8"/>
      <c r="H163" s="8"/>
      <c r="J163" s="8"/>
      <c r="M163" s="8"/>
    </row>
    <row r="164" ht="14.25" customHeight="1">
      <c r="B164" s="8"/>
      <c r="D164" s="8"/>
      <c r="F164" s="8"/>
      <c r="H164" s="8"/>
      <c r="J164" s="8"/>
      <c r="M164" s="8"/>
    </row>
    <row r="165" ht="14.25" customHeight="1">
      <c r="B165" s="8"/>
      <c r="D165" s="8"/>
      <c r="F165" s="8"/>
      <c r="H165" s="8"/>
      <c r="J165" s="8"/>
      <c r="M165" s="8"/>
    </row>
    <row r="166" ht="14.25" customHeight="1">
      <c r="B166" s="8"/>
      <c r="D166" s="8"/>
      <c r="F166" s="8"/>
      <c r="H166" s="8"/>
      <c r="J166" s="8"/>
      <c r="M166" s="8"/>
    </row>
    <row r="167" ht="14.25" customHeight="1">
      <c r="B167" s="8"/>
      <c r="D167" s="8"/>
      <c r="F167" s="8"/>
      <c r="H167" s="8"/>
      <c r="J167" s="8"/>
      <c r="M167" s="8"/>
    </row>
    <row r="168" ht="14.25" customHeight="1">
      <c r="B168" s="8"/>
      <c r="D168" s="8"/>
      <c r="F168" s="8"/>
      <c r="H168" s="8"/>
      <c r="J168" s="8"/>
      <c r="M168" s="8"/>
    </row>
    <row r="169" ht="14.25" customHeight="1">
      <c r="B169" s="8"/>
      <c r="D169" s="8"/>
      <c r="F169" s="8"/>
      <c r="H169" s="8"/>
      <c r="J169" s="8"/>
      <c r="M169" s="8"/>
    </row>
    <row r="170" ht="14.25" customHeight="1">
      <c r="B170" s="8"/>
      <c r="D170" s="8"/>
      <c r="F170" s="8"/>
      <c r="H170" s="8"/>
      <c r="J170" s="8"/>
      <c r="M170" s="8"/>
    </row>
    <row r="171" ht="14.25" customHeight="1">
      <c r="B171" s="8"/>
      <c r="D171" s="8"/>
      <c r="F171" s="8"/>
      <c r="H171" s="8"/>
      <c r="J171" s="8"/>
      <c r="M171" s="8"/>
    </row>
    <row r="172" ht="14.25" customHeight="1">
      <c r="B172" s="8"/>
      <c r="D172" s="8"/>
      <c r="F172" s="8"/>
      <c r="H172" s="8"/>
      <c r="J172" s="8"/>
      <c r="M172" s="8"/>
    </row>
    <row r="173" ht="14.25" customHeight="1">
      <c r="B173" s="8"/>
      <c r="D173" s="8"/>
      <c r="F173" s="8"/>
      <c r="H173" s="8"/>
      <c r="J173" s="8"/>
      <c r="M173" s="8"/>
    </row>
    <row r="174" ht="14.25" customHeight="1">
      <c r="B174" s="8"/>
      <c r="D174" s="8"/>
      <c r="F174" s="8"/>
      <c r="H174" s="8"/>
      <c r="J174" s="8"/>
      <c r="M174" s="8"/>
    </row>
    <row r="175" ht="14.25" customHeight="1">
      <c r="B175" s="8"/>
      <c r="D175" s="8"/>
      <c r="F175" s="8"/>
      <c r="H175" s="8"/>
      <c r="J175" s="8"/>
      <c r="M175" s="8"/>
    </row>
    <row r="176" ht="14.25" customHeight="1">
      <c r="B176" s="8"/>
      <c r="D176" s="8"/>
      <c r="F176" s="8"/>
      <c r="H176" s="8"/>
      <c r="J176" s="8"/>
      <c r="M176" s="8"/>
    </row>
    <row r="177" ht="14.25" customHeight="1">
      <c r="B177" s="8"/>
      <c r="D177" s="8"/>
      <c r="F177" s="8"/>
      <c r="H177" s="8"/>
      <c r="J177" s="8"/>
      <c r="M177" s="8"/>
    </row>
    <row r="178" ht="14.25" customHeight="1">
      <c r="B178" s="8"/>
      <c r="D178" s="8"/>
      <c r="F178" s="8"/>
      <c r="H178" s="8"/>
      <c r="J178" s="8"/>
      <c r="M178" s="8"/>
    </row>
    <row r="179" ht="14.25" customHeight="1">
      <c r="B179" s="8"/>
      <c r="D179" s="8"/>
      <c r="F179" s="8"/>
      <c r="H179" s="8"/>
      <c r="J179" s="8"/>
      <c r="M179" s="8"/>
    </row>
    <row r="180" ht="14.25" customHeight="1">
      <c r="B180" s="8"/>
      <c r="D180" s="8"/>
      <c r="F180" s="8"/>
      <c r="H180" s="8"/>
      <c r="J180" s="8"/>
      <c r="M180" s="8"/>
    </row>
    <row r="181" ht="14.25" customHeight="1">
      <c r="B181" s="8"/>
      <c r="D181" s="8"/>
      <c r="F181" s="8"/>
      <c r="H181" s="8"/>
      <c r="J181" s="8"/>
      <c r="M181" s="8"/>
    </row>
    <row r="182" ht="14.25" customHeight="1">
      <c r="B182" s="8"/>
      <c r="D182" s="8"/>
      <c r="F182" s="8"/>
      <c r="H182" s="8"/>
      <c r="J182" s="8"/>
      <c r="M182" s="8"/>
    </row>
    <row r="183" ht="14.25" customHeight="1">
      <c r="B183" s="8"/>
      <c r="D183" s="8"/>
      <c r="F183" s="8"/>
      <c r="H183" s="8"/>
      <c r="J183" s="8"/>
      <c r="M183" s="8"/>
    </row>
    <row r="184" ht="14.25" customHeight="1">
      <c r="B184" s="8"/>
      <c r="D184" s="8"/>
      <c r="F184" s="8"/>
      <c r="H184" s="8"/>
      <c r="J184" s="8"/>
      <c r="M184" s="8"/>
    </row>
    <row r="185" ht="14.25" customHeight="1">
      <c r="B185" s="8"/>
      <c r="D185" s="8"/>
      <c r="F185" s="8"/>
      <c r="H185" s="8"/>
      <c r="J185" s="8"/>
      <c r="M185" s="8"/>
    </row>
    <row r="186" ht="14.25" customHeight="1">
      <c r="B186" s="8"/>
      <c r="D186" s="8"/>
      <c r="F186" s="8"/>
      <c r="H186" s="8"/>
      <c r="J186" s="8"/>
      <c r="M186" s="8"/>
    </row>
    <row r="187" ht="14.25" customHeight="1">
      <c r="B187" s="8"/>
      <c r="D187" s="8"/>
      <c r="F187" s="8"/>
      <c r="H187" s="8"/>
      <c r="J187" s="8"/>
      <c r="M187" s="8"/>
    </row>
    <row r="188" ht="14.25" customHeight="1">
      <c r="B188" s="8"/>
      <c r="D188" s="8"/>
      <c r="F188" s="8"/>
      <c r="H188" s="8"/>
      <c r="J188" s="8"/>
      <c r="M188" s="8"/>
    </row>
    <row r="189" ht="14.25" customHeight="1">
      <c r="B189" s="8"/>
      <c r="D189" s="8"/>
      <c r="F189" s="8"/>
      <c r="H189" s="8"/>
      <c r="J189" s="8"/>
      <c r="M189" s="8"/>
    </row>
    <row r="190" ht="14.25" customHeight="1">
      <c r="B190" s="8"/>
      <c r="D190" s="8"/>
      <c r="F190" s="8"/>
      <c r="H190" s="8"/>
      <c r="J190" s="8"/>
      <c r="M190" s="8"/>
    </row>
    <row r="191" ht="14.25" customHeight="1">
      <c r="B191" s="8"/>
      <c r="D191" s="8"/>
      <c r="F191" s="8"/>
      <c r="H191" s="8"/>
      <c r="J191" s="8"/>
      <c r="M191" s="8"/>
    </row>
    <row r="192" ht="14.25" customHeight="1">
      <c r="B192" s="8"/>
      <c r="D192" s="8"/>
      <c r="F192" s="8"/>
      <c r="H192" s="8"/>
      <c r="J192" s="8"/>
      <c r="M192" s="8"/>
    </row>
    <row r="193" ht="14.25" customHeight="1">
      <c r="B193" s="8"/>
      <c r="D193" s="8"/>
      <c r="F193" s="8"/>
      <c r="H193" s="8"/>
      <c r="J193" s="8"/>
      <c r="M193" s="8"/>
    </row>
    <row r="194" ht="14.25" customHeight="1">
      <c r="B194" s="8"/>
      <c r="D194" s="8"/>
      <c r="F194" s="8"/>
      <c r="H194" s="8"/>
      <c r="J194" s="8"/>
      <c r="M194" s="8"/>
    </row>
    <row r="195" ht="14.25" customHeight="1">
      <c r="B195" s="8"/>
      <c r="D195" s="8"/>
      <c r="F195" s="8"/>
      <c r="H195" s="8"/>
      <c r="J195" s="8"/>
      <c r="M195" s="8"/>
    </row>
    <row r="196" ht="14.25" customHeight="1">
      <c r="B196" s="8"/>
      <c r="D196" s="8"/>
      <c r="F196" s="8"/>
      <c r="H196" s="8"/>
      <c r="J196" s="8"/>
      <c r="M196" s="8"/>
    </row>
    <row r="197" ht="14.25" customHeight="1">
      <c r="B197" s="8"/>
      <c r="D197" s="8"/>
      <c r="F197" s="8"/>
      <c r="H197" s="8"/>
      <c r="J197" s="8"/>
      <c r="M197" s="8"/>
    </row>
    <row r="198" ht="14.25" customHeight="1">
      <c r="B198" s="8"/>
      <c r="D198" s="8"/>
      <c r="F198" s="8"/>
      <c r="H198" s="8"/>
      <c r="J198" s="8"/>
      <c r="M198" s="8"/>
    </row>
    <row r="199" ht="14.25" customHeight="1">
      <c r="B199" s="8"/>
      <c r="D199" s="8"/>
      <c r="F199" s="8"/>
      <c r="H199" s="8"/>
      <c r="J199" s="8"/>
      <c r="M199" s="8"/>
    </row>
    <row r="200" ht="14.25" customHeight="1">
      <c r="B200" s="8"/>
      <c r="D200" s="8"/>
      <c r="F200" s="8"/>
      <c r="H200" s="8"/>
      <c r="J200" s="8"/>
      <c r="M200" s="8"/>
    </row>
    <row r="201" ht="14.25" customHeight="1">
      <c r="B201" s="8"/>
      <c r="D201" s="8"/>
      <c r="F201" s="8"/>
      <c r="H201" s="8"/>
      <c r="J201" s="8"/>
      <c r="M201" s="8"/>
    </row>
    <row r="202" ht="14.25" customHeight="1">
      <c r="B202" s="8"/>
      <c r="D202" s="8"/>
      <c r="F202" s="8"/>
      <c r="H202" s="8"/>
      <c r="J202" s="8"/>
      <c r="M202" s="8"/>
    </row>
    <row r="203" ht="14.25" customHeight="1">
      <c r="B203" s="8"/>
      <c r="D203" s="8"/>
      <c r="F203" s="8"/>
      <c r="H203" s="8"/>
      <c r="J203" s="8"/>
      <c r="M203" s="8"/>
    </row>
    <row r="204" ht="14.25" customHeight="1">
      <c r="B204" s="8"/>
      <c r="D204" s="8"/>
      <c r="F204" s="8"/>
      <c r="H204" s="8"/>
      <c r="J204" s="8"/>
      <c r="M204" s="8"/>
    </row>
    <row r="205" ht="14.25" customHeight="1">
      <c r="B205" s="8"/>
      <c r="D205" s="8"/>
      <c r="F205" s="8"/>
      <c r="H205" s="8"/>
      <c r="J205" s="8"/>
      <c r="M205" s="8"/>
    </row>
    <row r="206" ht="14.25" customHeight="1">
      <c r="B206" s="8"/>
      <c r="D206" s="8"/>
      <c r="F206" s="8"/>
      <c r="H206" s="8"/>
      <c r="J206" s="8"/>
      <c r="M206" s="8"/>
    </row>
    <row r="207" ht="14.25" customHeight="1">
      <c r="B207" s="8"/>
      <c r="D207" s="8"/>
      <c r="F207" s="8"/>
      <c r="H207" s="8"/>
      <c r="J207" s="8"/>
      <c r="M207" s="8"/>
    </row>
    <row r="208" ht="14.25" customHeight="1">
      <c r="B208" s="8"/>
      <c r="D208" s="8"/>
      <c r="F208" s="8"/>
      <c r="H208" s="8"/>
      <c r="J208" s="8"/>
      <c r="M208" s="8"/>
    </row>
    <row r="209" ht="14.25" customHeight="1">
      <c r="B209" s="8"/>
      <c r="D209" s="8"/>
      <c r="F209" s="8"/>
      <c r="H209" s="8"/>
      <c r="J209" s="8"/>
      <c r="M209" s="8"/>
    </row>
    <row r="210" ht="14.25" customHeight="1">
      <c r="B210" s="8"/>
      <c r="D210" s="8"/>
      <c r="F210" s="8"/>
      <c r="H210" s="8"/>
      <c r="J210" s="8"/>
      <c r="M210" s="8"/>
    </row>
    <row r="211" ht="14.25" customHeight="1">
      <c r="B211" s="8"/>
      <c r="D211" s="8"/>
      <c r="F211" s="8"/>
      <c r="H211" s="8"/>
      <c r="J211" s="8"/>
      <c r="M211" s="8"/>
    </row>
    <row r="212" ht="14.25" customHeight="1">
      <c r="B212" s="8"/>
      <c r="D212" s="8"/>
      <c r="F212" s="8"/>
      <c r="H212" s="8"/>
      <c r="J212" s="8"/>
      <c r="M212" s="8"/>
    </row>
    <row r="213" ht="14.25" customHeight="1">
      <c r="B213" s="8"/>
      <c r="D213" s="8"/>
      <c r="F213" s="8"/>
      <c r="H213" s="8"/>
      <c r="J213" s="8"/>
      <c r="M213" s="8"/>
    </row>
    <row r="214" ht="14.25" customHeight="1">
      <c r="B214" s="8"/>
      <c r="D214" s="8"/>
      <c r="F214" s="8"/>
      <c r="H214" s="8"/>
      <c r="J214" s="8"/>
      <c r="M214" s="8"/>
    </row>
    <row r="215" ht="14.25" customHeight="1">
      <c r="B215" s="8"/>
      <c r="D215" s="8"/>
      <c r="F215" s="8"/>
      <c r="H215" s="8"/>
      <c r="J215" s="8"/>
      <c r="M215" s="8"/>
    </row>
    <row r="216" ht="14.25" customHeight="1">
      <c r="B216" s="8"/>
      <c r="D216" s="8"/>
      <c r="F216" s="8"/>
      <c r="H216" s="8"/>
      <c r="J216" s="8"/>
      <c r="M216" s="8"/>
    </row>
    <row r="217" ht="14.25" customHeight="1">
      <c r="B217" s="8"/>
      <c r="D217" s="8"/>
      <c r="F217" s="8"/>
      <c r="H217" s="8"/>
      <c r="J217" s="8"/>
      <c r="M217" s="8"/>
    </row>
    <row r="218" ht="14.25" customHeight="1">
      <c r="B218" s="8"/>
      <c r="D218" s="8"/>
      <c r="F218" s="8"/>
      <c r="H218" s="8"/>
      <c r="J218" s="8"/>
      <c r="M218" s="8"/>
    </row>
    <row r="219" ht="14.25" customHeight="1">
      <c r="B219" s="8"/>
      <c r="D219" s="8"/>
      <c r="F219" s="8"/>
      <c r="H219" s="8"/>
      <c r="J219" s="8"/>
      <c r="M219" s="8"/>
    </row>
    <row r="220" ht="14.25" customHeight="1">
      <c r="B220" s="8"/>
      <c r="D220" s="8"/>
      <c r="F220" s="8"/>
      <c r="H220" s="8"/>
      <c r="J220" s="8"/>
      <c r="M220" s="8"/>
    </row>
    <row r="221" ht="14.25" customHeight="1">
      <c r="B221" s="8"/>
      <c r="D221" s="8"/>
      <c r="F221" s="8"/>
      <c r="H221" s="8"/>
      <c r="J221" s="8"/>
      <c r="M221" s="8"/>
    </row>
    <row r="222" ht="14.25" customHeight="1">
      <c r="B222" s="8"/>
      <c r="D222" s="8"/>
      <c r="F222" s="8"/>
      <c r="H222" s="8"/>
      <c r="J222" s="8"/>
      <c r="M222" s="8"/>
    </row>
    <row r="223" ht="14.25" customHeight="1">
      <c r="B223" s="8"/>
      <c r="D223" s="8"/>
      <c r="F223" s="8"/>
      <c r="H223" s="8"/>
      <c r="J223" s="8"/>
      <c r="M223" s="8"/>
    </row>
    <row r="224" ht="14.25" customHeight="1">
      <c r="B224" s="8"/>
      <c r="D224" s="8"/>
      <c r="F224" s="8"/>
      <c r="H224" s="8"/>
      <c r="J224" s="8"/>
      <c r="M224" s="8"/>
    </row>
    <row r="225" ht="14.25" customHeight="1">
      <c r="B225" s="8"/>
      <c r="D225" s="8"/>
      <c r="F225" s="8"/>
      <c r="H225" s="8"/>
      <c r="J225" s="8"/>
      <c r="M225" s="8"/>
    </row>
    <row r="226" ht="14.25" customHeight="1">
      <c r="B226" s="8"/>
      <c r="D226" s="8"/>
      <c r="F226" s="8"/>
      <c r="H226" s="8"/>
      <c r="J226" s="8"/>
      <c r="M226" s="8"/>
    </row>
    <row r="227" ht="14.25" customHeight="1">
      <c r="B227" s="8"/>
      <c r="D227" s="8"/>
      <c r="F227" s="8"/>
      <c r="H227" s="8"/>
      <c r="J227" s="8"/>
      <c r="M227" s="8"/>
    </row>
    <row r="228" ht="14.25" customHeight="1">
      <c r="B228" s="8"/>
      <c r="D228" s="8"/>
      <c r="F228" s="8"/>
      <c r="H228" s="8"/>
      <c r="J228" s="8"/>
      <c r="M228" s="8"/>
    </row>
    <row r="229" ht="14.25" customHeight="1">
      <c r="B229" s="8"/>
      <c r="D229" s="8"/>
      <c r="F229" s="8"/>
      <c r="H229" s="8"/>
      <c r="J229" s="8"/>
      <c r="M229" s="8"/>
    </row>
    <row r="230" ht="14.25" customHeight="1">
      <c r="B230" s="8"/>
      <c r="D230" s="8"/>
      <c r="F230" s="8"/>
      <c r="H230" s="8"/>
      <c r="J230" s="8"/>
      <c r="M230" s="8"/>
    </row>
    <row r="231" ht="14.25" customHeight="1">
      <c r="B231" s="8"/>
      <c r="D231" s="8"/>
      <c r="F231" s="8"/>
      <c r="H231" s="8"/>
      <c r="J231" s="8"/>
      <c r="M231" s="8"/>
    </row>
    <row r="232" ht="14.25" customHeight="1">
      <c r="B232" s="8"/>
      <c r="D232" s="8"/>
      <c r="F232" s="8"/>
      <c r="H232" s="8"/>
      <c r="J232" s="8"/>
      <c r="M232" s="8"/>
    </row>
    <row r="233" ht="14.25" customHeight="1">
      <c r="B233" s="8"/>
      <c r="D233" s="8"/>
      <c r="F233" s="8"/>
      <c r="H233" s="8"/>
      <c r="J233" s="8"/>
      <c r="M233" s="8"/>
    </row>
    <row r="234" ht="14.25" customHeight="1">
      <c r="B234" s="8"/>
      <c r="D234" s="8"/>
      <c r="F234" s="8"/>
      <c r="H234" s="8"/>
      <c r="J234" s="8"/>
      <c r="M234" s="8"/>
    </row>
    <row r="235" ht="14.25" customHeight="1">
      <c r="B235" s="8"/>
      <c r="D235" s="8"/>
      <c r="F235" s="8"/>
      <c r="H235" s="8"/>
      <c r="J235" s="8"/>
      <c r="M235" s="8"/>
    </row>
    <row r="236" ht="14.25" customHeight="1">
      <c r="B236" s="8"/>
      <c r="D236" s="8"/>
      <c r="F236" s="8"/>
      <c r="H236" s="8"/>
      <c r="J236" s="8"/>
      <c r="M236" s="8"/>
    </row>
    <row r="237" ht="14.25" customHeight="1">
      <c r="B237" s="8"/>
      <c r="D237" s="8"/>
      <c r="F237" s="8"/>
      <c r="H237" s="8"/>
      <c r="J237" s="8"/>
      <c r="M237" s="8"/>
    </row>
    <row r="238" ht="14.25" customHeight="1">
      <c r="B238" s="8"/>
      <c r="D238" s="8"/>
      <c r="F238" s="8"/>
      <c r="H238" s="8"/>
      <c r="J238" s="8"/>
      <c r="M238" s="8"/>
    </row>
    <row r="239" ht="14.25" customHeight="1">
      <c r="B239" s="8"/>
      <c r="D239" s="8"/>
      <c r="F239" s="8"/>
      <c r="H239" s="8"/>
      <c r="J239" s="8"/>
      <c r="M239" s="8"/>
    </row>
    <row r="240" ht="14.25" customHeight="1">
      <c r="B240" s="8"/>
      <c r="D240" s="8"/>
      <c r="F240" s="8"/>
      <c r="H240" s="8"/>
      <c r="J240" s="8"/>
      <c r="M240" s="8"/>
    </row>
    <row r="241" ht="14.25" customHeight="1">
      <c r="B241" s="8"/>
      <c r="D241" s="8"/>
      <c r="F241" s="8"/>
      <c r="H241" s="8"/>
      <c r="J241" s="8"/>
      <c r="M241" s="8"/>
    </row>
    <row r="242" ht="14.25" customHeight="1">
      <c r="B242" s="8"/>
      <c r="D242" s="8"/>
      <c r="F242" s="8"/>
      <c r="H242" s="8"/>
      <c r="J242" s="8"/>
      <c r="M242" s="8"/>
    </row>
    <row r="243" ht="14.25" customHeight="1">
      <c r="B243" s="8"/>
      <c r="D243" s="8"/>
      <c r="F243" s="8"/>
      <c r="H243" s="8"/>
      <c r="J243" s="8"/>
      <c r="M243" s="8"/>
    </row>
    <row r="244" ht="14.25" customHeight="1">
      <c r="B244" s="8"/>
      <c r="D244" s="8"/>
      <c r="F244" s="8"/>
      <c r="H244" s="8"/>
      <c r="J244" s="8"/>
      <c r="M244" s="8"/>
    </row>
    <row r="245" ht="14.25" customHeight="1">
      <c r="B245" s="8"/>
      <c r="D245" s="8"/>
      <c r="F245" s="8"/>
      <c r="H245" s="8"/>
      <c r="J245" s="8"/>
      <c r="M245" s="8"/>
    </row>
    <row r="246" ht="14.25" customHeight="1">
      <c r="B246" s="8"/>
      <c r="D246" s="8"/>
      <c r="F246" s="8"/>
      <c r="H246" s="8"/>
      <c r="J246" s="8"/>
      <c r="M246" s="8"/>
    </row>
    <row r="247" ht="14.25" customHeight="1">
      <c r="B247" s="8"/>
      <c r="D247" s="8"/>
      <c r="F247" s="8"/>
      <c r="H247" s="8"/>
      <c r="J247" s="8"/>
      <c r="M247" s="8"/>
    </row>
    <row r="248" ht="14.25" customHeight="1">
      <c r="B248" s="8"/>
      <c r="D248" s="8"/>
      <c r="F248" s="8"/>
      <c r="H248" s="8"/>
      <c r="J248" s="8"/>
      <c r="M248" s="8"/>
    </row>
    <row r="249" ht="14.25" customHeight="1">
      <c r="B249" s="8"/>
      <c r="D249" s="8"/>
      <c r="F249" s="8"/>
      <c r="H249" s="8"/>
      <c r="J249" s="8"/>
      <c r="M249" s="8"/>
    </row>
    <row r="250" ht="14.25" customHeight="1">
      <c r="B250" s="8"/>
      <c r="D250" s="8"/>
      <c r="F250" s="8"/>
      <c r="H250" s="8"/>
      <c r="J250" s="8"/>
      <c r="M250" s="8"/>
    </row>
    <row r="251" ht="14.25" customHeight="1">
      <c r="B251" s="8"/>
      <c r="D251" s="8"/>
      <c r="F251" s="8"/>
      <c r="H251" s="8"/>
      <c r="J251" s="8"/>
      <c r="M251" s="8"/>
    </row>
    <row r="252" ht="14.25" customHeight="1">
      <c r="B252" s="8"/>
      <c r="D252" s="8"/>
      <c r="F252" s="8"/>
      <c r="H252" s="8"/>
      <c r="J252" s="8"/>
      <c r="M252" s="8"/>
    </row>
    <row r="253" ht="14.25" customHeight="1">
      <c r="B253" s="8"/>
      <c r="D253" s="8"/>
      <c r="F253" s="8"/>
      <c r="H253" s="8"/>
      <c r="J253" s="8"/>
      <c r="M253" s="8"/>
    </row>
    <row r="254" ht="14.25" customHeight="1">
      <c r="B254" s="8"/>
      <c r="D254" s="8"/>
      <c r="F254" s="8"/>
      <c r="H254" s="8"/>
      <c r="J254" s="8"/>
      <c r="M254" s="8"/>
    </row>
    <row r="255" ht="14.25" customHeight="1">
      <c r="B255" s="8"/>
      <c r="D255" s="8"/>
      <c r="F255" s="8"/>
      <c r="H255" s="8"/>
      <c r="J255" s="8"/>
      <c r="M255" s="8"/>
    </row>
    <row r="256" ht="14.25" customHeight="1">
      <c r="B256" s="8"/>
      <c r="D256" s="8"/>
      <c r="F256" s="8"/>
      <c r="H256" s="8"/>
      <c r="J256" s="8"/>
      <c r="M256" s="8"/>
    </row>
    <row r="257" ht="14.25" customHeight="1">
      <c r="B257" s="8"/>
      <c r="D257" s="8"/>
      <c r="F257" s="8"/>
      <c r="H257" s="8"/>
      <c r="J257" s="8"/>
      <c r="M257" s="8"/>
    </row>
    <row r="258" ht="14.25" customHeight="1">
      <c r="B258" s="8"/>
      <c r="D258" s="8"/>
      <c r="F258" s="8"/>
      <c r="H258" s="8"/>
      <c r="J258" s="8"/>
      <c r="M258" s="8"/>
    </row>
    <row r="259" ht="14.25" customHeight="1">
      <c r="B259" s="8"/>
      <c r="D259" s="8"/>
      <c r="F259" s="8"/>
      <c r="H259" s="8"/>
      <c r="J259" s="8"/>
      <c r="M259" s="8"/>
    </row>
    <row r="260" ht="14.25" customHeight="1">
      <c r="B260" s="8"/>
      <c r="D260" s="8"/>
      <c r="F260" s="8"/>
      <c r="H260" s="8"/>
      <c r="J260" s="8"/>
      <c r="M260" s="8"/>
    </row>
    <row r="261" ht="14.25" customHeight="1">
      <c r="B261" s="8"/>
      <c r="D261" s="8"/>
      <c r="F261" s="8"/>
      <c r="H261" s="8"/>
      <c r="J261" s="8"/>
      <c r="M261" s="8"/>
    </row>
    <row r="262" ht="14.25" customHeight="1">
      <c r="B262" s="8"/>
      <c r="D262" s="8"/>
      <c r="F262" s="8"/>
      <c r="H262" s="8"/>
      <c r="J262" s="8"/>
      <c r="M262" s="8"/>
    </row>
    <row r="263" ht="14.25" customHeight="1">
      <c r="B263" s="8"/>
      <c r="D263" s="8"/>
      <c r="F263" s="8"/>
      <c r="H263" s="8"/>
      <c r="J263" s="8"/>
      <c r="M263" s="8"/>
    </row>
    <row r="264" ht="14.25" customHeight="1">
      <c r="B264" s="8"/>
      <c r="D264" s="8"/>
      <c r="F264" s="8"/>
      <c r="H264" s="8"/>
      <c r="J264" s="8"/>
      <c r="M264" s="8"/>
    </row>
    <row r="265" ht="14.25" customHeight="1">
      <c r="B265" s="8"/>
      <c r="D265" s="8"/>
      <c r="F265" s="8"/>
      <c r="H265" s="8"/>
      <c r="J265" s="8"/>
      <c r="M265" s="8"/>
    </row>
    <row r="266" ht="14.25" customHeight="1">
      <c r="B266" s="8"/>
      <c r="D266" s="8"/>
      <c r="F266" s="8"/>
      <c r="H266" s="8"/>
      <c r="J266" s="8"/>
      <c r="M266" s="8"/>
    </row>
    <row r="267" ht="14.25" customHeight="1">
      <c r="B267" s="8"/>
      <c r="D267" s="8"/>
      <c r="F267" s="8"/>
      <c r="H267" s="8"/>
      <c r="J267" s="8"/>
      <c r="M267" s="8"/>
    </row>
    <row r="268" ht="14.25" customHeight="1">
      <c r="B268" s="8"/>
      <c r="D268" s="8"/>
      <c r="F268" s="8"/>
      <c r="H268" s="8"/>
      <c r="J268" s="8"/>
      <c r="M268" s="8"/>
    </row>
    <row r="269" ht="14.25" customHeight="1">
      <c r="B269" s="8"/>
      <c r="D269" s="8"/>
      <c r="F269" s="8"/>
      <c r="H269" s="8"/>
      <c r="J269" s="8"/>
      <c r="M269" s="8"/>
    </row>
    <row r="270" ht="14.25" customHeight="1">
      <c r="B270" s="8"/>
      <c r="D270" s="8"/>
      <c r="F270" s="8"/>
      <c r="H270" s="8"/>
      <c r="J270" s="8"/>
      <c r="M270" s="8"/>
    </row>
    <row r="271" ht="14.25" customHeight="1">
      <c r="B271" s="8"/>
      <c r="D271" s="8"/>
      <c r="F271" s="8"/>
      <c r="H271" s="8"/>
      <c r="J271" s="8"/>
      <c r="M271" s="8"/>
    </row>
    <row r="272" ht="14.25" customHeight="1">
      <c r="B272" s="8"/>
      <c r="D272" s="8"/>
      <c r="F272" s="8"/>
      <c r="H272" s="8"/>
      <c r="J272" s="8"/>
      <c r="M272" s="8"/>
    </row>
    <row r="273" ht="14.25" customHeight="1">
      <c r="B273" s="8"/>
      <c r="D273" s="8"/>
      <c r="F273" s="8"/>
      <c r="H273" s="8"/>
      <c r="J273" s="8"/>
      <c r="M273" s="8"/>
    </row>
    <row r="274" ht="14.25" customHeight="1">
      <c r="B274" s="8"/>
      <c r="D274" s="8"/>
      <c r="F274" s="8"/>
      <c r="H274" s="8"/>
      <c r="J274" s="8"/>
      <c r="M274" s="8"/>
    </row>
    <row r="275" ht="14.25" customHeight="1">
      <c r="B275" s="8"/>
      <c r="D275" s="8"/>
      <c r="F275" s="8"/>
      <c r="H275" s="8"/>
      <c r="J275" s="8"/>
      <c r="M275" s="8"/>
    </row>
    <row r="276" ht="14.25" customHeight="1">
      <c r="B276" s="8"/>
      <c r="D276" s="8"/>
      <c r="F276" s="8"/>
      <c r="H276" s="8"/>
      <c r="J276" s="8"/>
      <c r="M276" s="8"/>
    </row>
    <row r="277" ht="14.25" customHeight="1">
      <c r="B277" s="8"/>
      <c r="D277" s="8"/>
      <c r="F277" s="8"/>
      <c r="H277" s="8"/>
      <c r="J277" s="8"/>
      <c r="M277" s="8"/>
    </row>
    <row r="278" ht="14.25" customHeight="1">
      <c r="B278" s="8"/>
      <c r="D278" s="8"/>
      <c r="F278" s="8"/>
      <c r="H278" s="8"/>
      <c r="J278" s="8"/>
      <c r="M278" s="8"/>
    </row>
    <row r="279" ht="14.25" customHeight="1">
      <c r="B279" s="8"/>
      <c r="D279" s="8"/>
      <c r="F279" s="8"/>
      <c r="H279" s="8"/>
      <c r="J279" s="8"/>
      <c r="M279" s="8"/>
    </row>
    <row r="280" ht="14.25" customHeight="1">
      <c r="B280" s="8"/>
      <c r="D280" s="8"/>
      <c r="F280" s="8"/>
      <c r="H280" s="8"/>
      <c r="J280" s="8"/>
      <c r="M280" s="8"/>
    </row>
    <row r="281" ht="14.25" customHeight="1">
      <c r="B281" s="8"/>
      <c r="D281" s="8"/>
      <c r="F281" s="8"/>
      <c r="H281" s="8"/>
      <c r="J281" s="8"/>
      <c r="M281" s="8"/>
    </row>
    <row r="282" ht="14.25" customHeight="1">
      <c r="B282" s="8"/>
      <c r="D282" s="8"/>
      <c r="F282" s="8"/>
      <c r="H282" s="8"/>
      <c r="J282" s="8"/>
      <c r="M282" s="8"/>
    </row>
    <row r="283" ht="14.25" customHeight="1">
      <c r="B283" s="8"/>
      <c r="D283" s="8"/>
      <c r="F283" s="8"/>
      <c r="H283" s="8"/>
      <c r="J283" s="8"/>
      <c r="M283" s="8"/>
    </row>
    <row r="284" ht="14.25" customHeight="1">
      <c r="B284" s="8"/>
      <c r="D284" s="8"/>
      <c r="F284" s="8"/>
      <c r="H284" s="8"/>
      <c r="J284" s="8"/>
      <c r="M284" s="8"/>
    </row>
    <row r="285" ht="14.25" customHeight="1">
      <c r="B285" s="8"/>
      <c r="D285" s="8"/>
      <c r="F285" s="8"/>
      <c r="H285" s="8"/>
      <c r="J285" s="8"/>
      <c r="M285" s="8"/>
    </row>
    <row r="286" ht="14.25" customHeight="1">
      <c r="B286" s="8"/>
      <c r="D286" s="8"/>
      <c r="F286" s="8"/>
      <c r="H286" s="8"/>
      <c r="J286" s="8"/>
      <c r="M286" s="8"/>
    </row>
    <row r="287" ht="14.25" customHeight="1">
      <c r="B287" s="8"/>
      <c r="D287" s="8"/>
      <c r="F287" s="8"/>
      <c r="H287" s="8"/>
      <c r="J287" s="8"/>
      <c r="M287" s="8"/>
    </row>
    <row r="288" ht="14.25" customHeight="1">
      <c r="B288" s="8"/>
      <c r="D288" s="8"/>
      <c r="F288" s="8"/>
      <c r="H288" s="8"/>
      <c r="J288" s="8"/>
      <c r="M288" s="8"/>
    </row>
    <row r="289" ht="14.25" customHeight="1">
      <c r="B289" s="8"/>
      <c r="D289" s="8"/>
      <c r="F289" s="8"/>
      <c r="H289" s="8"/>
      <c r="J289" s="8"/>
      <c r="M289" s="8"/>
    </row>
    <row r="290" ht="14.25" customHeight="1">
      <c r="B290" s="8"/>
      <c r="D290" s="8"/>
      <c r="F290" s="8"/>
      <c r="H290" s="8"/>
      <c r="J290" s="8"/>
      <c r="M290" s="8"/>
    </row>
    <row r="291" ht="14.25" customHeight="1">
      <c r="B291" s="8"/>
      <c r="D291" s="8"/>
      <c r="F291" s="8"/>
      <c r="H291" s="8"/>
      <c r="J291" s="8"/>
      <c r="M291" s="8"/>
    </row>
    <row r="292" ht="14.25" customHeight="1">
      <c r="B292" s="8"/>
      <c r="D292" s="8"/>
      <c r="F292" s="8"/>
      <c r="H292" s="8"/>
      <c r="J292" s="8"/>
      <c r="M292" s="8"/>
    </row>
    <row r="293" ht="14.25" customHeight="1">
      <c r="B293" s="8"/>
      <c r="D293" s="8"/>
      <c r="F293" s="8"/>
      <c r="H293" s="8"/>
      <c r="J293" s="8"/>
      <c r="M293" s="8"/>
    </row>
    <row r="294" ht="14.25" customHeight="1">
      <c r="B294" s="8"/>
      <c r="D294" s="8"/>
      <c r="F294" s="8"/>
      <c r="H294" s="8"/>
      <c r="J294" s="8"/>
      <c r="M294" s="8"/>
    </row>
    <row r="295" ht="14.25" customHeight="1">
      <c r="B295" s="8"/>
      <c r="D295" s="8"/>
      <c r="F295" s="8"/>
      <c r="H295" s="8"/>
      <c r="J295" s="8"/>
      <c r="M295" s="8"/>
    </row>
    <row r="296" ht="14.25" customHeight="1">
      <c r="B296" s="8"/>
      <c r="D296" s="8"/>
      <c r="F296" s="8"/>
      <c r="H296" s="8"/>
      <c r="J296" s="8"/>
      <c r="M296" s="8"/>
    </row>
    <row r="297" ht="14.25" customHeight="1">
      <c r="B297" s="8"/>
      <c r="D297" s="8"/>
      <c r="F297" s="8"/>
      <c r="H297" s="8"/>
      <c r="J297" s="8"/>
      <c r="M297" s="8"/>
    </row>
    <row r="298" ht="14.25" customHeight="1">
      <c r="B298" s="8"/>
      <c r="D298" s="8"/>
      <c r="F298" s="8"/>
      <c r="H298" s="8"/>
      <c r="J298" s="8"/>
      <c r="M298" s="8"/>
    </row>
    <row r="299" ht="14.25" customHeight="1">
      <c r="B299" s="8"/>
      <c r="D299" s="8"/>
      <c r="F299" s="8"/>
      <c r="H299" s="8"/>
      <c r="J299" s="8"/>
      <c r="M299" s="8"/>
    </row>
    <row r="300" ht="14.25" customHeight="1">
      <c r="B300" s="8"/>
      <c r="D300" s="8"/>
      <c r="F300" s="8"/>
      <c r="H300" s="8"/>
      <c r="J300" s="8"/>
      <c r="M300" s="8"/>
    </row>
    <row r="301" ht="14.25" customHeight="1">
      <c r="B301" s="8"/>
      <c r="D301" s="8"/>
      <c r="F301" s="8"/>
      <c r="H301" s="8"/>
      <c r="J301" s="8"/>
      <c r="M301" s="8"/>
    </row>
    <row r="302" ht="14.25" customHeight="1">
      <c r="B302" s="8"/>
      <c r="D302" s="8"/>
      <c r="F302" s="8"/>
      <c r="H302" s="8"/>
      <c r="J302" s="8"/>
      <c r="M302" s="8"/>
    </row>
    <row r="303" ht="14.25" customHeight="1">
      <c r="B303" s="8"/>
      <c r="D303" s="8"/>
      <c r="F303" s="8"/>
      <c r="H303" s="8"/>
      <c r="J303" s="8"/>
      <c r="M303" s="8"/>
    </row>
    <row r="304" ht="14.25" customHeight="1">
      <c r="B304" s="8"/>
      <c r="D304" s="8"/>
      <c r="F304" s="8"/>
      <c r="H304" s="8"/>
      <c r="J304" s="8"/>
      <c r="M304" s="8"/>
    </row>
    <row r="305" ht="14.25" customHeight="1">
      <c r="B305" s="8"/>
      <c r="D305" s="8"/>
      <c r="F305" s="8"/>
      <c r="H305" s="8"/>
      <c r="J305" s="8"/>
      <c r="M305" s="8"/>
    </row>
    <row r="306" ht="14.25" customHeight="1">
      <c r="B306" s="8"/>
      <c r="D306" s="8"/>
      <c r="F306" s="8"/>
      <c r="H306" s="8"/>
      <c r="J306" s="8"/>
      <c r="M306" s="8"/>
    </row>
    <row r="307" ht="14.25" customHeight="1">
      <c r="B307" s="8"/>
      <c r="D307" s="8"/>
      <c r="F307" s="8"/>
      <c r="H307" s="8"/>
      <c r="J307" s="8"/>
      <c r="M307" s="8"/>
    </row>
    <row r="308" ht="14.25" customHeight="1">
      <c r="B308" s="8"/>
      <c r="D308" s="8"/>
      <c r="F308" s="8"/>
      <c r="H308" s="8"/>
      <c r="J308" s="8"/>
      <c r="M308" s="8"/>
    </row>
    <row r="309" ht="14.25" customHeight="1">
      <c r="B309" s="8"/>
      <c r="D309" s="8"/>
      <c r="F309" s="8"/>
      <c r="H309" s="8"/>
      <c r="J309" s="8"/>
      <c r="M309" s="8"/>
    </row>
    <row r="310" ht="14.25" customHeight="1">
      <c r="B310" s="8"/>
      <c r="D310" s="8"/>
      <c r="F310" s="8"/>
      <c r="H310" s="8"/>
      <c r="J310" s="8"/>
      <c r="M310" s="8"/>
    </row>
    <row r="311" ht="14.25" customHeight="1">
      <c r="B311" s="8"/>
      <c r="D311" s="8"/>
      <c r="F311" s="8"/>
      <c r="H311" s="8"/>
      <c r="J311" s="8"/>
      <c r="M311" s="8"/>
    </row>
    <row r="312" ht="14.25" customHeight="1">
      <c r="B312" s="8"/>
      <c r="D312" s="8"/>
      <c r="F312" s="8"/>
      <c r="H312" s="8"/>
      <c r="J312" s="8"/>
      <c r="M312" s="8"/>
    </row>
    <row r="313" ht="14.25" customHeight="1">
      <c r="B313" s="8"/>
      <c r="D313" s="8"/>
      <c r="F313" s="8"/>
      <c r="H313" s="8"/>
      <c r="J313" s="8"/>
      <c r="M313" s="8"/>
    </row>
    <row r="314" ht="14.25" customHeight="1">
      <c r="B314" s="8"/>
      <c r="D314" s="8"/>
      <c r="F314" s="8"/>
      <c r="H314" s="8"/>
      <c r="J314" s="8"/>
      <c r="M314" s="8"/>
    </row>
    <row r="315" ht="14.25" customHeight="1">
      <c r="B315" s="8"/>
      <c r="D315" s="8"/>
      <c r="F315" s="8"/>
      <c r="H315" s="8"/>
      <c r="J315" s="8"/>
      <c r="M315" s="8"/>
    </row>
    <row r="316" ht="14.25" customHeight="1">
      <c r="B316" s="8"/>
      <c r="D316" s="8"/>
      <c r="F316" s="8"/>
      <c r="H316" s="8"/>
      <c r="J316" s="8"/>
      <c r="M316" s="8"/>
    </row>
    <row r="317" ht="14.25" customHeight="1">
      <c r="B317" s="8"/>
      <c r="D317" s="8"/>
      <c r="F317" s="8"/>
      <c r="H317" s="8"/>
      <c r="J317" s="8"/>
      <c r="M317" s="8"/>
    </row>
    <row r="318" ht="14.25" customHeight="1">
      <c r="B318" s="8"/>
      <c r="D318" s="8"/>
      <c r="F318" s="8"/>
      <c r="H318" s="8"/>
      <c r="J318" s="8"/>
      <c r="M318" s="8"/>
    </row>
    <row r="319" ht="14.25" customHeight="1">
      <c r="B319" s="8"/>
      <c r="D319" s="8"/>
      <c r="F319" s="8"/>
      <c r="H319" s="8"/>
      <c r="J319" s="8"/>
      <c r="M319" s="8"/>
    </row>
    <row r="320" ht="14.25" customHeight="1">
      <c r="B320" s="8"/>
      <c r="D320" s="8"/>
      <c r="F320" s="8"/>
      <c r="H320" s="8"/>
      <c r="J320" s="8"/>
      <c r="M320" s="8"/>
    </row>
    <row r="321" ht="14.25" customHeight="1">
      <c r="B321" s="8"/>
      <c r="D321" s="8"/>
      <c r="F321" s="8"/>
      <c r="H321" s="8"/>
      <c r="J321" s="8"/>
      <c r="M321" s="8"/>
    </row>
    <row r="322" ht="14.25" customHeight="1">
      <c r="B322" s="8"/>
      <c r="D322" s="8"/>
      <c r="F322" s="8"/>
      <c r="H322" s="8"/>
      <c r="J322" s="8"/>
      <c r="M322" s="8"/>
    </row>
    <row r="323" ht="14.25" customHeight="1">
      <c r="B323" s="8"/>
      <c r="D323" s="8"/>
      <c r="F323" s="8"/>
      <c r="H323" s="8"/>
      <c r="J323" s="8"/>
      <c r="M323" s="8"/>
    </row>
    <row r="324" ht="14.25" customHeight="1">
      <c r="B324" s="8"/>
      <c r="D324" s="8"/>
      <c r="F324" s="8"/>
      <c r="H324" s="8"/>
      <c r="J324" s="8"/>
      <c r="M324" s="8"/>
    </row>
    <row r="325" ht="14.25" customHeight="1">
      <c r="B325" s="8"/>
      <c r="D325" s="8"/>
      <c r="F325" s="8"/>
      <c r="H325" s="8"/>
      <c r="J325" s="8"/>
      <c r="M325" s="8"/>
    </row>
    <row r="326" ht="14.25" customHeight="1">
      <c r="B326" s="8"/>
      <c r="D326" s="8"/>
      <c r="F326" s="8"/>
      <c r="H326" s="8"/>
      <c r="J326" s="8"/>
      <c r="M326" s="8"/>
    </row>
    <row r="327" ht="14.25" customHeight="1">
      <c r="B327" s="8"/>
      <c r="D327" s="8"/>
      <c r="F327" s="8"/>
      <c r="H327" s="8"/>
      <c r="J327" s="8"/>
      <c r="M327" s="8"/>
    </row>
    <row r="328" ht="14.25" customHeight="1">
      <c r="B328" s="8"/>
      <c r="D328" s="8"/>
      <c r="F328" s="8"/>
      <c r="H328" s="8"/>
      <c r="J328" s="8"/>
      <c r="M328" s="8"/>
    </row>
    <row r="329" ht="14.25" customHeight="1">
      <c r="B329" s="8"/>
      <c r="D329" s="8"/>
      <c r="F329" s="8"/>
      <c r="H329" s="8"/>
      <c r="J329" s="8"/>
      <c r="M329" s="8"/>
    </row>
    <row r="330" ht="14.25" customHeight="1">
      <c r="B330" s="8"/>
      <c r="D330" s="8"/>
      <c r="F330" s="8"/>
      <c r="H330" s="8"/>
      <c r="J330" s="8"/>
      <c r="M330" s="8"/>
    </row>
    <row r="331" ht="14.25" customHeight="1">
      <c r="B331" s="8"/>
      <c r="D331" s="8"/>
      <c r="F331" s="8"/>
      <c r="H331" s="8"/>
      <c r="J331" s="8"/>
      <c r="M331" s="8"/>
    </row>
    <row r="332" ht="14.25" customHeight="1">
      <c r="B332" s="8"/>
      <c r="D332" s="8"/>
      <c r="F332" s="8"/>
      <c r="H332" s="8"/>
      <c r="J332" s="8"/>
      <c r="M332" s="8"/>
    </row>
    <row r="333" ht="14.25" customHeight="1">
      <c r="B333" s="8"/>
      <c r="D333" s="8"/>
      <c r="F333" s="8"/>
      <c r="H333" s="8"/>
      <c r="J333" s="8"/>
      <c r="M333" s="8"/>
    </row>
    <row r="334" ht="14.25" customHeight="1">
      <c r="B334" s="8"/>
      <c r="D334" s="8"/>
      <c r="F334" s="8"/>
      <c r="H334" s="8"/>
      <c r="J334" s="8"/>
      <c r="M334" s="8"/>
    </row>
    <row r="335" ht="14.25" customHeight="1">
      <c r="B335" s="8"/>
      <c r="D335" s="8"/>
      <c r="F335" s="8"/>
      <c r="H335" s="8"/>
      <c r="J335" s="8"/>
      <c r="M335" s="8"/>
    </row>
    <row r="336" ht="14.25" customHeight="1">
      <c r="B336" s="8"/>
      <c r="D336" s="8"/>
      <c r="F336" s="8"/>
      <c r="H336" s="8"/>
      <c r="J336" s="8"/>
      <c r="M336" s="8"/>
    </row>
    <row r="337" ht="14.25" customHeight="1">
      <c r="B337" s="8"/>
      <c r="D337" s="8"/>
      <c r="F337" s="8"/>
      <c r="H337" s="8"/>
      <c r="J337" s="8"/>
      <c r="M337" s="8"/>
    </row>
    <row r="338" ht="14.25" customHeight="1">
      <c r="B338" s="8"/>
      <c r="D338" s="8"/>
      <c r="F338" s="8"/>
      <c r="H338" s="8"/>
      <c r="J338" s="8"/>
      <c r="M338" s="8"/>
    </row>
    <row r="339" ht="14.25" customHeight="1">
      <c r="B339" s="8"/>
      <c r="D339" s="8"/>
      <c r="F339" s="8"/>
      <c r="H339" s="8"/>
      <c r="J339" s="8"/>
      <c r="M339" s="8"/>
    </row>
    <row r="340" ht="14.25" customHeight="1">
      <c r="B340" s="8"/>
      <c r="D340" s="8"/>
      <c r="F340" s="8"/>
      <c r="H340" s="8"/>
      <c r="J340" s="8"/>
      <c r="M340" s="8"/>
    </row>
    <row r="341" ht="14.25" customHeight="1">
      <c r="B341" s="8"/>
      <c r="D341" s="8"/>
      <c r="F341" s="8"/>
      <c r="H341" s="8"/>
      <c r="J341" s="8"/>
      <c r="M341" s="8"/>
    </row>
    <row r="342" ht="14.25" customHeight="1">
      <c r="B342" s="8"/>
      <c r="D342" s="8"/>
      <c r="F342" s="8"/>
      <c r="H342" s="8"/>
      <c r="J342" s="8"/>
      <c r="M342" s="8"/>
    </row>
    <row r="343" ht="14.25" customHeight="1">
      <c r="B343" s="8"/>
      <c r="D343" s="8"/>
      <c r="F343" s="8"/>
      <c r="H343" s="8"/>
      <c r="J343" s="8"/>
      <c r="M343" s="8"/>
    </row>
    <row r="344" ht="14.25" customHeight="1">
      <c r="B344" s="8"/>
      <c r="D344" s="8"/>
      <c r="F344" s="8"/>
      <c r="H344" s="8"/>
      <c r="J344" s="8"/>
      <c r="M344" s="8"/>
    </row>
    <row r="345" ht="14.25" customHeight="1">
      <c r="B345" s="8"/>
      <c r="D345" s="8"/>
      <c r="F345" s="8"/>
      <c r="H345" s="8"/>
      <c r="J345" s="8"/>
      <c r="M345" s="8"/>
    </row>
    <row r="346" ht="14.25" customHeight="1">
      <c r="B346" s="8"/>
      <c r="D346" s="8"/>
      <c r="F346" s="8"/>
      <c r="H346" s="8"/>
      <c r="J346" s="8"/>
      <c r="M346" s="8"/>
    </row>
    <row r="347" ht="14.25" customHeight="1">
      <c r="B347" s="8"/>
      <c r="D347" s="8"/>
      <c r="F347" s="8"/>
      <c r="H347" s="8"/>
      <c r="J347" s="8"/>
      <c r="M347" s="8"/>
    </row>
    <row r="348" ht="14.25" customHeight="1">
      <c r="B348" s="8"/>
      <c r="D348" s="8"/>
      <c r="F348" s="8"/>
      <c r="H348" s="8"/>
      <c r="J348" s="8"/>
      <c r="M348" s="8"/>
    </row>
    <row r="349" ht="14.25" customHeight="1">
      <c r="B349" s="8"/>
      <c r="D349" s="8"/>
      <c r="F349" s="8"/>
      <c r="H349" s="8"/>
      <c r="J349" s="8"/>
      <c r="M349" s="8"/>
    </row>
    <row r="350" ht="14.25" customHeight="1">
      <c r="B350" s="8"/>
      <c r="D350" s="8"/>
      <c r="F350" s="8"/>
      <c r="H350" s="8"/>
      <c r="J350" s="8"/>
      <c r="M350" s="8"/>
    </row>
    <row r="351" ht="14.25" customHeight="1">
      <c r="B351" s="8"/>
      <c r="D351" s="8"/>
      <c r="F351" s="8"/>
      <c r="H351" s="8"/>
      <c r="J351" s="8"/>
      <c r="M351" s="8"/>
    </row>
    <row r="352" ht="14.25" customHeight="1">
      <c r="B352" s="8"/>
      <c r="D352" s="8"/>
      <c r="F352" s="8"/>
      <c r="H352" s="8"/>
      <c r="J352" s="8"/>
      <c r="M352" s="8"/>
    </row>
    <row r="353" ht="14.25" customHeight="1">
      <c r="B353" s="8"/>
      <c r="D353" s="8"/>
      <c r="F353" s="8"/>
      <c r="H353" s="8"/>
      <c r="J353" s="8"/>
      <c r="M353" s="8"/>
    </row>
    <row r="354" ht="14.25" customHeight="1">
      <c r="B354" s="8"/>
      <c r="D354" s="8"/>
      <c r="F354" s="8"/>
      <c r="H354" s="8"/>
      <c r="J354" s="8"/>
      <c r="M354" s="8"/>
    </row>
    <row r="355" ht="14.25" customHeight="1">
      <c r="B355" s="8"/>
      <c r="D355" s="8"/>
      <c r="F355" s="8"/>
      <c r="H355" s="8"/>
      <c r="J355" s="8"/>
      <c r="M355" s="8"/>
    </row>
    <row r="356" ht="14.25" customHeight="1">
      <c r="B356" s="8"/>
      <c r="D356" s="8"/>
      <c r="F356" s="8"/>
      <c r="H356" s="8"/>
      <c r="J356" s="8"/>
      <c r="M356" s="8"/>
    </row>
    <row r="357" ht="14.25" customHeight="1">
      <c r="B357" s="8"/>
      <c r="D357" s="8"/>
      <c r="F357" s="8"/>
      <c r="H357" s="8"/>
      <c r="J357" s="8"/>
      <c r="M357" s="8"/>
    </row>
    <row r="358" ht="14.25" customHeight="1">
      <c r="B358" s="8"/>
      <c r="D358" s="8"/>
      <c r="F358" s="8"/>
      <c r="H358" s="8"/>
      <c r="J358" s="8"/>
      <c r="M358" s="8"/>
    </row>
    <row r="359" ht="14.25" customHeight="1">
      <c r="B359" s="8"/>
      <c r="D359" s="8"/>
      <c r="F359" s="8"/>
      <c r="H359" s="8"/>
      <c r="J359" s="8"/>
      <c r="M359" s="8"/>
    </row>
    <row r="360" ht="14.25" customHeight="1">
      <c r="B360" s="8"/>
      <c r="D360" s="8"/>
      <c r="F360" s="8"/>
      <c r="H360" s="8"/>
      <c r="J360" s="8"/>
      <c r="M360" s="8"/>
    </row>
    <row r="361" ht="14.25" customHeight="1">
      <c r="B361" s="8"/>
      <c r="D361" s="8"/>
      <c r="F361" s="8"/>
      <c r="H361" s="8"/>
      <c r="J361" s="8"/>
      <c r="M361" s="8"/>
    </row>
    <row r="362" ht="14.25" customHeight="1">
      <c r="B362" s="8"/>
      <c r="D362" s="8"/>
      <c r="F362" s="8"/>
      <c r="H362" s="8"/>
      <c r="J362" s="8"/>
      <c r="M362" s="8"/>
    </row>
    <row r="363" ht="14.25" customHeight="1">
      <c r="B363" s="8"/>
      <c r="D363" s="8"/>
      <c r="F363" s="8"/>
      <c r="H363" s="8"/>
      <c r="J363" s="8"/>
      <c r="M363" s="8"/>
    </row>
    <row r="364" ht="14.25" customHeight="1">
      <c r="B364" s="8"/>
      <c r="D364" s="8"/>
      <c r="F364" s="8"/>
      <c r="H364" s="8"/>
      <c r="J364" s="8"/>
      <c r="M364" s="8"/>
    </row>
    <row r="365" ht="14.25" customHeight="1">
      <c r="B365" s="8"/>
      <c r="D365" s="8"/>
      <c r="F365" s="8"/>
      <c r="H365" s="8"/>
      <c r="J365" s="8"/>
      <c r="M365" s="8"/>
    </row>
    <row r="366" ht="14.25" customHeight="1">
      <c r="B366" s="8"/>
      <c r="D366" s="8"/>
      <c r="F366" s="8"/>
      <c r="H366" s="8"/>
      <c r="J366" s="8"/>
      <c r="M366" s="8"/>
    </row>
    <row r="367" ht="14.25" customHeight="1">
      <c r="B367" s="8"/>
      <c r="D367" s="8"/>
      <c r="F367" s="8"/>
      <c r="H367" s="8"/>
      <c r="J367" s="8"/>
      <c r="M367" s="8"/>
    </row>
    <row r="368" ht="14.25" customHeight="1">
      <c r="B368" s="8"/>
      <c r="D368" s="8"/>
      <c r="F368" s="8"/>
      <c r="H368" s="8"/>
      <c r="J368" s="8"/>
      <c r="M368" s="8"/>
    </row>
    <row r="369" ht="14.25" customHeight="1">
      <c r="B369" s="8"/>
      <c r="D369" s="8"/>
      <c r="F369" s="8"/>
      <c r="H369" s="8"/>
      <c r="J369" s="8"/>
      <c r="M369" s="8"/>
    </row>
    <row r="370" ht="14.25" customHeight="1">
      <c r="B370" s="8"/>
      <c r="D370" s="8"/>
      <c r="F370" s="8"/>
      <c r="H370" s="8"/>
      <c r="J370" s="8"/>
      <c r="M370" s="8"/>
    </row>
    <row r="371" ht="14.25" customHeight="1">
      <c r="B371" s="8"/>
      <c r="D371" s="8"/>
      <c r="F371" s="8"/>
      <c r="H371" s="8"/>
      <c r="J371" s="8"/>
      <c r="M371" s="8"/>
    </row>
    <row r="372" ht="14.25" customHeight="1">
      <c r="B372" s="8"/>
      <c r="D372" s="8"/>
      <c r="F372" s="8"/>
      <c r="H372" s="8"/>
      <c r="J372" s="8"/>
      <c r="M372" s="8"/>
    </row>
    <row r="373" ht="14.25" customHeight="1">
      <c r="B373" s="8"/>
      <c r="D373" s="8"/>
      <c r="F373" s="8"/>
      <c r="H373" s="8"/>
      <c r="J373" s="8"/>
      <c r="M373" s="8"/>
    </row>
    <row r="374" ht="14.25" customHeight="1">
      <c r="B374" s="8"/>
      <c r="D374" s="8"/>
      <c r="F374" s="8"/>
      <c r="H374" s="8"/>
      <c r="J374" s="8"/>
      <c r="M374" s="8"/>
    </row>
    <row r="375" ht="14.25" customHeight="1">
      <c r="B375" s="8"/>
      <c r="D375" s="8"/>
      <c r="F375" s="8"/>
      <c r="H375" s="8"/>
      <c r="J375" s="8"/>
      <c r="M375" s="8"/>
    </row>
    <row r="376" ht="14.25" customHeight="1">
      <c r="B376" s="8"/>
      <c r="D376" s="8"/>
      <c r="F376" s="8"/>
      <c r="H376" s="8"/>
      <c r="J376" s="8"/>
      <c r="M376" s="8"/>
    </row>
    <row r="377" ht="14.25" customHeight="1">
      <c r="B377" s="8"/>
      <c r="D377" s="8"/>
      <c r="F377" s="8"/>
      <c r="H377" s="8"/>
      <c r="J377" s="8"/>
      <c r="M377" s="8"/>
    </row>
    <row r="378" ht="14.25" customHeight="1">
      <c r="B378" s="8"/>
      <c r="D378" s="8"/>
      <c r="F378" s="8"/>
      <c r="H378" s="8"/>
      <c r="J378" s="8"/>
      <c r="M378" s="8"/>
    </row>
    <row r="379" ht="14.25" customHeight="1">
      <c r="B379" s="8"/>
      <c r="D379" s="8"/>
      <c r="F379" s="8"/>
      <c r="H379" s="8"/>
      <c r="J379" s="8"/>
      <c r="M379" s="8"/>
    </row>
    <row r="380" ht="14.25" customHeight="1">
      <c r="B380" s="8"/>
      <c r="D380" s="8"/>
      <c r="F380" s="8"/>
      <c r="H380" s="8"/>
      <c r="J380" s="8"/>
      <c r="M380" s="8"/>
    </row>
    <row r="381" ht="14.25" customHeight="1">
      <c r="B381" s="8"/>
      <c r="D381" s="8"/>
      <c r="F381" s="8"/>
      <c r="H381" s="8"/>
      <c r="J381" s="8"/>
      <c r="M381" s="8"/>
    </row>
    <row r="382" ht="14.25" customHeight="1">
      <c r="B382" s="8"/>
      <c r="D382" s="8"/>
      <c r="F382" s="8"/>
      <c r="H382" s="8"/>
      <c r="J382" s="8"/>
      <c r="M382" s="8"/>
    </row>
    <row r="383" ht="14.25" customHeight="1">
      <c r="B383" s="8"/>
      <c r="D383" s="8"/>
      <c r="F383" s="8"/>
      <c r="H383" s="8"/>
      <c r="J383" s="8"/>
      <c r="M383" s="8"/>
    </row>
    <row r="384" ht="14.25" customHeight="1">
      <c r="B384" s="8"/>
      <c r="D384" s="8"/>
      <c r="F384" s="8"/>
      <c r="H384" s="8"/>
      <c r="J384" s="8"/>
      <c r="M384" s="8"/>
    </row>
    <row r="385" ht="14.25" customHeight="1">
      <c r="B385" s="8"/>
      <c r="D385" s="8"/>
      <c r="F385" s="8"/>
      <c r="H385" s="8"/>
      <c r="J385" s="8"/>
      <c r="M385" s="8"/>
    </row>
    <row r="386" ht="14.25" customHeight="1">
      <c r="B386" s="8"/>
      <c r="D386" s="8"/>
      <c r="F386" s="8"/>
      <c r="H386" s="8"/>
      <c r="J386" s="8"/>
      <c r="M386" s="8"/>
    </row>
    <row r="387" ht="14.25" customHeight="1">
      <c r="B387" s="8"/>
      <c r="D387" s="8"/>
      <c r="F387" s="8"/>
      <c r="H387" s="8"/>
      <c r="J387" s="8"/>
      <c r="M387" s="8"/>
    </row>
    <row r="388" ht="14.25" customHeight="1">
      <c r="B388" s="8"/>
      <c r="D388" s="8"/>
      <c r="F388" s="8"/>
      <c r="H388" s="8"/>
      <c r="J388" s="8"/>
      <c r="M388" s="8"/>
    </row>
    <row r="389" ht="14.25" customHeight="1">
      <c r="B389" s="8"/>
      <c r="D389" s="8"/>
      <c r="F389" s="8"/>
      <c r="H389" s="8"/>
      <c r="J389" s="8"/>
      <c r="M389" s="8"/>
    </row>
    <row r="390" ht="14.25" customHeight="1">
      <c r="B390" s="8"/>
      <c r="D390" s="8"/>
      <c r="F390" s="8"/>
      <c r="H390" s="8"/>
      <c r="J390" s="8"/>
      <c r="M390" s="8"/>
    </row>
    <row r="391" ht="14.25" customHeight="1">
      <c r="B391" s="8"/>
      <c r="D391" s="8"/>
      <c r="F391" s="8"/>
      <c r="H391" s="8"/>
      <c r="J391" s="8"/>
      <c r="M391" s="8"/>
    </row>
    <row r="392" ht="14.25" customHeight="1">
      <c r="B392" s="8"/>
      <c r="D392" s="8"/>
      <c r="F392" s="8"/>
      <c r="H392" s="8"/>
      <c r="J392" s="8"/>
      <c r="M392" s="8"/>
    </row>
    <row r="393" ht="14.25" customHeight="1">
      <c r="B393" s="8"/>
      <c r="D393" s="8"/>
      <c r="F393" s="8"/>
      <c r="H393" s="8"/>
      <c r="J393" s="8"/>
      <c r="M393" s="8"/>
    </row>
    <row r="394" ht="14.25" customHeight="1">
      <c r="B394" s="8"/>
      <c r="D394" s="8"/>
      <c r="F394" s="8"/>
      <c r="H394" s="8"/>
      <c r="J394" s="8"/>
      <c r="M394" s="8"/>
    </row>
    <row r="395" ht="14.25" customHeight="1">
      <c r="B395" s="8"/>
      <c r="D395" s="8"/>
      <c r="F395" s="8"/>
      <c r="H395" s="8"/>
      <c r="J395" s="8"/>
      <c r="M395" s="8"/>
    </row>
    <row r="396" ht="14.25" customHeight="1">
      <c r="B396" s="8"/>
      <c r="D396" s="8"/>
      <c r="F396" s="8"/>
      <c r="H396" s="8"/>
      <c r="J396" s="8"/>
      <c r="M396" s="8"/>
    </row>
    <row r="397" ht="14.25" customHeight="1">
      <c r="B397" s="8"/>
      <c r="D397" s="8"/>
      <c r="F397" s="8"/>
      <c r="H397" s="8"/>
      <c r="J397" s="8"/>
      <c r="M397" s="8"/>
    </row>
    <row r="398" ht="14.25" customHeight="1">
      <c r="B398" s="8"/>
      <c r="D398" s="8"/>
      <c r="F398" s="8"/>
      <c r="H398" s="8"/>
      <c r="J398" s="8"/>
      <c r="M398" s="8"/>
    </row>
    <row r="399" ht="14.25" customHeight="1">
      <c r="B399" s="8"/>
      <c r="D399" s="8"/>
      <c r="F399" s="8"/>
      <c r="H399" s="8"/>
      <c r="J399" s="8"/>
      <c r="M399" s="8"/>
    </row>
    <row r="400" ht="14.25" customHeight="1">
      <c r="B400" s="8"/>
      <c r="D400" s="8"/>
      <c r="F400" s="8"/>
      <c r="H400" s="8"/>
      <c r="J400" s="8"/>
      <c r="M400" s="8"/>
    </row>
    <row r="401" ht="14.25" customHeight="1">
      <c r="B401" s="8"/>
      <c r="D401" s="8"/>
      <c r="F401" s="8"/>
      <c r="H401" s="8"/>
      <c r="J401" s="8"/>
      <c r="M401" s="8"/>
    </row>
    <row r="402" ht="14.25" customHeight="1">
      <c r="B402" s="8"/>
      <c r="D402" s="8"/>
      <c r="F402" s="8"/>
      <c r="H402" s="8"/>
      <c r="J402" s="8"/>
      <c r="M402" s="8"/>
    </row>
    <row r="403" ht="14.25" customHeight="1">
      <c r="B403" s="8"/>
      <c r="D403" s="8"/>
      <c r="F403" s="8"/>
      <c r="H403" s="8"/>
      <c r="J403" s="8"/>
      <c r="M403" s="8"/>
    </row>
    <row r="404" ht="14.25" customHeight="1">
      <c r="B404" s="8"/>
      <c r="D404" s="8"/>
      <c r="F404" s="8"/>
      <c r="H404" s="8"/>
      <c r="J404" s="8"/>
      <c r="M404" s="8"/>
    </row>
    <row r="405" ht="14.25" customHeight="1">
      <c r="B405" s="8"/>
      <c r="D405" s="8"/>
      <c r="F405" s="8"/>
      <c r="H405" s="8"/>
      <c r="J405" s="8"/>
      <c r="M405" s="8"/>
    </row>
    <row r="406" ht="14.25" customHeight="1">
      <c r="B406" s="8"/>
      <c r="D406" s="8"/>
      <c r="F406" s="8"/>
      <c r="H406" s="8"/>
      <c r="J406" s="8"/>
      <c r="M406" s="8"/>
    </row>
    <row r="407" ht="14.25" customHeight="1">
      <c r="B407" s="8"/>
      <c r="D407" s="8"/>
      <c r="F407" s="8"/>
      <c r="H407" s="8"/>
      <c r="J407" s="8"/>
      <c r="M407" s="8"/>
    </row>
    <row r="408" ht="14.25" customHeight="1">
      <c r="B408" s="8"/>
      <c r="D408" s="8"/>
      <c r="F408" s="8"/>
      <c r="H408" s="8"/>
      <c r="J408" s="8"/>
      <c r="M408" s="8"/>
    </row>
    <row r="409" ht="14.25" customHeight="1">
      <c r="B409" s="8"/>
      <c r="D409" s="8"/>
      <c r="F409" s="8"/>
      <c r="H409" s="8"/>
      <c r="J409" s="8"/>
      <c r="M409" s="8"/>
    </row>
    <row r="410" ht="14.25" customHeight="1">
      <c r="B410" s="8"/>
      <c r="D410" s="8"/>
      <c r="F410" s="8"/>
      <c r="H410" s="8"/>
      <c r="J410" s="8"/>
      <c r="M410" s="8"/>
    </row>
    <row r="411" ht="14.25" customHeight="1">
      <c r="B411" s="8"/>
      <c r="D411" s="8"/>
      <c r="F411" s="8"/>
      <c r="H411" s="8"/>
      <c r="J411" s="8"/>
      <c r="M411" s="8"/>
    </row>
    <row r="412" ht="14.25" customHeight="1">
      <c r="B412" s="8"/>
      <c r="D412" s="8"/>
      <c r="F412" s="8"/>
      <c r="H412" s="8"/>
      <c r="J412" s="8"/>
      <c r="M412" s="8"/>
    </row>
    <row r="413" ht="14.25" customHeight="1">
      <c r="B413" s="8"/>
      <c r="D413" s="8"/>
      <c r="F413" s="8"/>
      <c r="H413" s="8"/>
      <c r="J413" s="8"/>
      <c r="M413" s="8"/>
    </row>
    <row r="414" ht="14.25" customHeight="1">
      <c r="B414" s="8"/>
      <c r="D414" s="8"/>
      <c r="F414" s="8"/>
      <c r="H414" s="8"/>
      <c r="J414" s="8"/>
      <c r="M414" s="8"/>
    </row>
    <row r="415" ht="14.25" customHeight="1">
      <c r="B415" s="8"/>
      <c r="D415" s="8"/>
      <c r="F415" s="8"/>
      <c r="H415" s="8"/>
      <c r="J415" s="8"/>
      <c r="M415" s="8"/>
    </row>
    <row r="416" ht="14.25" customHeight="1">
      <c r="B416" s="8"/>
      <c r="D416" s="8"/>
      <c r="F416" s="8"/>
      <c r="H416" s="8"/>
      <c r="J416" s="8"/>
      <c r="M416" s="8"/>
    </row>
    <row r="417" ht="14.25" customHeight="1">
      <c r="B417" s="8"/>
      <c r="D417" s="8"/>
      <c r="F417" s="8"/>
      <c r="H417" s="8"/>
      <c r="J417" s="8"/>
      <c r="M417" s="8"/>
    </row>
    <row r="418" ht="14.25" customHeight="1">
      <c r="B418" s="8"/>
      <c r="D418" s="8"/>
      <c r="F418" s="8"/>
      <c r="H418" s="8"/>
      <c r="J418" s="8"/>
      <c r="M418" s="8"/>
    </row>
    <row r="419" ht="14.25" customHeight="1">
      <c r="B419" s="8"/>
      <c r="D419" s="8"/>
      <c r="F419" s="8"/>
      <c r="H419" s="8"/>
      <c r="J419" s="8"/>
      <c r="M419" s="8"/>
    </row>
    <row r="420" ht="14.25" customHeight="1">
      <c r="B420" s="8"/>
      <c r="D420" s="8"/>
      <c r="F420" s="8"/>
      <c r="H420" s="8"/>
      <c r="J420" s="8"/>
      <c r="M420" s="8"/>
    </row>
    <row r="421" ht="14.25" customHeight="1">
      <c r="B421" s="8"/>
      <c r="D421" s="8"/>
      <c r="F421" s="8"/>
      <c r="H421" s="8"/>
      <c r="J421" s="8"/>
      <c r="M421" s="8"/>
    </row>
    <row r="422" ht="14.25" customHeight="1">
      <c r="B422" s="8"/>
      <c r="D422" s="8"/>
      <c r="F422" s="8"/>
      <c r="H422" s="8"/>
      <c r="J422" s="8"/>
      <c r="M422" s="8"/>
    </row>
    <row r="423" ht="14.25" customHeight="1">
      <c r="B423" s="8"/>
      <c r="D423" s="8"/>
      <c r="F423" s="8"/>
      <c r="H423" s="8"/>
      <c r="J423" s="8"/>
      <c r="M423" s="8"/>
    </row>
    <row r="424" ht="14.25" customHeight="1">
      <c r="B424" s="8"/>
      <c r="D424" s="8"/>
      <c r="F424" s="8"/>
      <c r="H424" s="8"/>
      <c r="J424" s="8"/>
      <c r="M424" s="8"/>
    </row>
    <row r="425" ht="14.25" customHeight="1">
      <c r="B425" s="8"/>
      <c r="D425" s="8"/>
      <c r="F425" s="8"/>
      <c r="H425" s="8"/>
      <c r="J425" s="8"/>
      <c r="M425" s="8"/>
    </row>
    <row r="426" ht="14.25" customHeight="1">
      <c r="B426" s="8"/>
      <c r="D426" s="8"/>
      <c r="F426" s="8"/>
      <c r="H426" s="8"/>
      <c r="J426" s="8"/>
      <c r="M426" s="8"/>
    </row>
    <row r="427" ht="14.25" customHeight="1">
      <c r="B427" s="8"/>
      <c r="D427" s="8"/>
      <c r="F427" s="8"/>
      <c r="H427" s="8"/>
      <c r="J427" s="8"/>
      <c r="M427" s="8"/>
    </row>
    <row r="428" ht="14.25" customHeight="1">
      <c r="B428" s="8"/>
      <c r="D428" s="8"/>
      <c r="F428" s="8"/>
      <c r="H428" s="8"/>
      <c r="J428" s="8"/>
      <c r="M428" s="8"/>
    </row>
    <row r="429" ht="14.25" customHeight="1">
      <c r="B429" s="8"/>
      <c r="D429" s="8"/>
      <c r="F429" s="8"/>
      <c r="H429" s="8"/>
      <c r="J429" s="8"/>
      <c r="M429" s="8"/>
    </row>
    <row r="430" ht="14.25" customHeight="1">
      <c r="B430" s="8"/>
      <c r="D430" s="8"/>
      <c r="F430" s="8"/>
      <c r="H430" s="8"/>
      <c r="J430" s="8"/>
      <c r="M430" s="8"/>
    </row>
    <row r="431" ht="14.25" customHeight="1">
      <c r="B431" s="8"/>
      <c r="D431" s="8"/>
      <c r="F431" s="8"/>
      <c r="H431" s="8"/>
      <c r="J431" s="8"/>
      <c r="M431" s="8"/>
    </row>
    <row r="432" ht="14.25" customHeight="1">
      <c r="B432" s="8"/>
      <c r="D432" s="8"/>
      <c r="F432" s="8"/>
      <c r="H432" s="8"/>
      <c r="J432" s="8"/>
      <c r="M432" s="8"/>
    </row>
    <row r="433" ht="14.25" customHeight="1">
      <c r="B433" s="8"/>
      <c r="D433" s="8"/>
      <c r="F433" s="8"/>
      <c r="H433" s="8"/>
      <c r="J433" s="8"/>
      <c r="M433" s="8"/>
    </row>
    <row r="434" ht="14.25" customHeight="1">
      <c r="B434" s="8"/>
      <c r="D434" s="8"/>
      <c r="F434" s="8"/>
      <c r="H434" s="8"/>
      <c r="J434" s="8"/>
      <c r="M434" s="8"/>
    </row>
    <row r="435" ht="14.25" customHeight="1">
      <c r="B435" s="8"/>
      <c r="D435" s="8"/>
      <c r="F435" s="8"/>
      <c r="H435" s="8"/>
      <c r="J435" s="8"/>
      <c r="M435" s="8"/>
    </row>
    <row r="436" ht="14.25" customHeight="1">
      <c r="B436" s="8"/>
      <c r="D436" s="8"/>
      <c r="F436" s="8"/>
      <c r="H436" s="8"/>
      <c r="J436" s="8"/>
      <c r="M436" s="8"/>
    </row>
    <row r="437" ht="14.25" customHeight="1">
      <c r="B437" s="8"/>
      <c r="D437" s="8"/>
      <c r="F437" s="8"/>
      <c r="H437" s="8"/>
      <c r="J437" s="8"/>
      <c r="M437" s="8"/>
    </row>
    <row r="438" ht="14.25" customHeight="1">
      <c r="B438" s="8"/>
      <c r="D438" s="8"/>
      <c r="F438" s="8"/>
      <c r="H438" s="8"/>
      <c r="J438" s="8"/>
      <c r="M438" s="8"/>
    </row>
    <row r="439" ht="14.25" customHeight="1">
      <c r="B439" s="8"/>
      <c r="D439" s="8"/>
      <c r="F439" s="8"/>
      <c r="H439" s="8"/>
      <c r="J439" s="8"/>
      <c r="M439" s="8"/>
    </row>
    <row r="440" ht="14.25" customHeight="1">
      <c r="B440" s="8"/>
      <c r="D440" s="8"/>
      <c r="F440" s="8"/>
      <c r="H440" s="8"/>
      <c r="J440" s="8"/>
      <c r="M440" s="8"/>
    </row>
    <row r="441" ht="14.25" customHeight="1">
      <c r="B441" s="8"/>
      <c r="D441" s="8"/>
      <c r="F441" s="8"/>
      <c r="H441" s="8"/>
      <c r="J441" s="8"/>
      <c r="M441" s="8"/>
    </row>
    <row r="442" ht="14.25" customHeight="1">
      <c r="B442" s="8"/>
      <c r="D442" s="8"/>
      <c r="F442" s="8"/>
      <c r="H442" s="8"/>
      <c r="J442" s="8"/>
      <c r="M442" s="8"/>
    </row>
    <row r="443" ht="14.25" customHeight="1">
      <c r="B443" s="8"/>
      <c r="D443" s="8"/>
      <c r="F443" s="8"/>
      <c r="H443" s="8"/>
      <c r="J443" s="8"/>
      <c r="M443" s="8"/>
    </row>
    <row r="444" ht="14.25" customHeight="1">
      <c r="B444" s="8"/>
      <c r="D444" s="8"/>
      <c r="F444" s="8"/>
      <c r="H444" s="8"/>
      <c r="J444" s="8"/>
      <c r="M444" s="8"/>
    </row>
    <row r="445" ht="14.25" customHeight="1">
      <c r="B445" s="8"/>
      <c r="D445" s="8"/>
      <c r="F445" s="8"/>
      <c r="H445" s="8"/>
      <c r="J445" s="8"/>
      <c r="M445" s="8"/>
    </row>
    <row r="446" ht="14.25" customHeight="1">
      <c r="B446" s="8"/>
      <c r="D446" s="8"/>
      <c r="F446" s="8"/>
      <c r="H446" s="8"/>
      <c r="J446" s="8"/>
      <c r="M446" s="8"/>
    </row>
    <row r="447" ht="14.25" customHeight="1">
      <c r="B447" s="8"/>
      <c r="D447" s="8"/>
      <c r="F447" s="8"/>
      <c r="H447" s="8"/>
      <c r="J447" s="8"/>
      <c r="M447" s="8"/>
    </row>
    <row r="448" ht="14.25" customHeight="1">
      <c r="B448" s="8"/>
      <c r="D448" s="8"/>
      <c r="F448" s="8"/>
      <c r="H448" s="8"/>
      <c r="J448" s="8"/>
      <c r="M448" s="8"/>
    </row>
    <row r="449" ht="14.25" customHeight="1">
      <c r="B449" s="8"/>
      <c r="D449" s="8"/>
      <c r="F449" s="8"/>
      <c r="H449" s="8"/>
      <c r="J449" s="8"/>
      <c r="M449" s="8"/>
    </row>
    <row r="450" ht="14.25" customHeight="1">
      <c r="B450" s="8"/>
      <c r="D450" s="8"/>
      <c r="F450" s="8"/>
      <c r="H450" s="8"/>
      <c r="J450" s="8"/>
      <c r="M450" s="8"/>
    </row>
    <row r="451" ht="14.25" customHeight="1">
      <c r="B451" s="8"/>
      <c r="D451" s="8"/>
      <c r="F451" s="8"/>
      <c r="H451" s="8"/>
      <c r="J451" s="8"/>
      <c r="M451" s="8"/>
    </row>
    <row r="452" ht="14.25" customHeight="1">
      <c r="B452" s="8"/>
      <c r="D452" s="8"/>
      <c r="F452" s="8"/>
      <c r="H452" s="8"/>
      <c r="J452" s="8"/>
      <c r="M452" s="8"/>
    </row>
    <row r="453" ht="14.25" customHeight="1">
      <c r="B453" s="8"/>
      <c r="D453" s="8"/>
      <c r="F453" s="8"/>
      <c r="H453" s="8"/>
      <c r="J453" s="8"/>
      <c r="M453" s="8"/>
    </row>
    <row r="454" ht="14.25" customHeight="1">
      <c r="B454" s="8"/>
      <c r="D454" s="8"/>
      <c r="F454" s="8"/>
      <c r="H454" s="8"/>
      <c r="J454" s="8"/>
      <c r="M454" s="8"/>
    </row>
    <row r="455" ht="14.25" customHeight="1">
      <c r="B455" s="8"/>
      <c r="D455" s="8"/>
      <c r="F455" s="8"/>
      <c r="H455" s="8"/>
      <c r="J455" s="8"/>
      <c r="M455" s="8"/>
    </row>
    <row r="456" ht="14.25" customHeight="1">
      <c r="B456" s="8"/>
      <c r="D456" s="8"/>
      <c r="F456" s="8"/>
      <c r="H456" s="8"/>
      <c r="J456" s="8"/>
      <c r="M456" s="8"/>
    </row>
    <row r="457" ht="14.25" customHeight="1">
      <c r="B457" s="8"/>
      <c r="D457" s="8"/>
      <c r="F457" s="8"/>
      <c r="H457" s="8"/>
      <c r="J457" s="8"/>
      <c r="M457" s="8"/>
    </row>
    <row r="458" ht="14.25" customHeight="1">
      <c r="B458" s="8"/>
      <c r="D458" s="8"/>
      <c r="F458" s="8"/>
      <c r="H458" s="8"/>
      <c r="J458" s="8"/>
      <c r="M458" s="8"/>
    </row>
    <row r="459" ht="14.25" customHeight="1">
      <c r="B459" s="8"/>
      <c r="D459" s="8"/>
      <c r="F459" s="8"/>
      <c r="H459" s="8"/>
      <c r="J459" s="8"/>
      <c r="M459" s="8"/>
    </row>
    <row r="460" ht="14.25" customHeight="1">
      <c r="B460" s="8"/>
      <c r="D460" s="8"/>
      <c r="F460" s="8"/>
      <c r="H460" s="8"/>
      <c r="J460" s="8"/>
      <c r="M460" s="8"/>
    </row>
    <row r="461" ht="14.25" customHeight="1">
      <c r="B461" s="8"/>
      <c r="D461" s="8"/>
      <c r="F461" s="8"/>
      <c r="H461" s="8"/>
      <c r="J461" s="8"/>
      <c r="M461" s="8"/>
    </row>
    <row r="462" ht="14.25" customHeight="1">
      <c r="B462" s="8"/>
      <c r="D462" s="8"/>
      <c r="F462" s="8"/>
      <c r="H462" s="8"/>
      <c r="J462" s="8"/>
      <c r="M462" s="8"/>
    </row>
    <row r="463" ht="14.25" customHeight="1">
      <c r="B463" s="8"/>
      <c r="D463" s="8"/>
      <c r="F463" s="8"/>
      <c r="H463" s="8"/>
      <c r="J463" s="8"/>
      <c r="M463" s="8"/>
    </row>
    <row r="464" ht="14.25" customHeight="1">
      <c r="B464" s="8"/>
      <c r="D464" s="8"/>
      <c r="F464" s="8"/>
      <c r="H464" s="8"/>
      <c r="J464" s="8"/>
      <c r="M464" s="8"/>
    </row>
    <row r="465" ht="14.25" customHeight="1">
      <c r="B465" s="8"/>
      <c r="D465" s="8"/>
      <c r="F465" s="8"/>
      <c r="H465" s="8"/>
      <c r="J465" s="8"/>
      <c r="M465" s="8"/>
    </row>
    <row r="466" ht="14.25" customHeight="1">
      <c r="B466" s="8"/>
      <c r="D466" s="8"/>
      <c r="F466" s="8"/>
      <c r="H466" s="8"/>
      <c r="J466" s="8"/>
      <c r="M466" s="8"/>
    </row>
    <row r="467" ht="14.25" customHeight="1">
      <c r="B467" s="8"/>
      <c r="D467" s="8"/>
      <c r="F467" s="8"/>
      <c r="H467" s="8"/>
      <c r="J467" s="8"/>
      <c r="M467" s="8"/>
    </row>
    <row r="468" ht="14.25" customHeight="1">
      <c r="B468" s="8"/>
      <c r="D468" s="8"/>
      <c r="F468" s="8"/>
      <c r="H468" s="8"/>
      <c r="J468" s="8"/>
      <c r="M468" s="8"/>
    </row>
    <row r="469" ht="14.25" customHeight="1">
      <c r="B469" s="8"/>
      <c r="D469" s="8"/>
      <c r="F469" s="8"/>
      <c r="H469" s="8"/>
      <c r="J469" s="8"/>
      <c r="M469" s="8"/>
    </row>
    <row r="470" ht="14.25" customHeight="1">
      <c r="B470" s="8"/>
      <c r="D470" s="8"/>
      <c r="F470" s="8"/>
      <c r="H470" s="8"/>
      <c r="J470" s="8"/>
      <c r="M470" s="8"/>
    </row>
    <row r="471" ht="14.25" customHeight="1">
      <c r="B471" s="8"/>
      <c r="D471" s="8"/>
      <c r="F471" s="8"/>
      <c r="H471" s="8"/>
      <c r="J471" s="8"/>
      <c r="M471" s="8"/>
    </row>
    <row r="472" ht="14.25" customHeight="1">
      <c r="B472" s="8"/>
      <c r="D472" s="8"/>
      <c r="F472" s="8"/>
      <c r="H472" s="8"/>
      <c r="J472" s="8"/>
      <c r="M472" s="8"/>
    </row>
    <row r="473" ht="14.25" customHeight="1">
      <c r="B473" s="8"/>
      <c r="D473" s="8"/>
      <c r="F473" s="8"/>
      <c r="H473" s="8"/>
      <c r="J473" s="8"/>
      <c r="M473" s="8"/>
    </row>
    <row r="474" ht="14.25" customHeight="1">
      <c r="B474" s="8"/>
      <c r="D474" s="8"/>
      <c r="F474" s="8"/>
      <c r="H474" s="8"/>
      <c r="J474" s="8"/>
      <c r="M474" s="8"/>
    </row>
    <row r="475" ht="14.25" customHeight="1">
      <c r="B475" s="8"/>
      <c r="D475" s="8"/>
      <c r="F475" s="8"/>
      <c r="H475" s="8"/>
      <c r="J475" s="8"/>
      <c r="M475" s="8"/>
    </row>
    <row r="476" ht="14.25" customHeight="1">
      <c r="B476" s="8"/>
      <c r="D476" s="8"/>
      <c r="F476" s="8"/>
      <c r="H476" s="8"/>
      <c r="J476" s="8"/>
      <c r="M476" s="8"/>
    </row>
    <row r="477" ht="14.25" customHeight="1">
      <c r="B477" s="8"/>
      <c r="D477" s="8"/>
      <c r="F477" s="8"/>
      <c r="H477" s="8"/>
      <c r="J477" s="8"/>
      <c r="M477" s="8"/>
    </row>
    <row r="478" ht="14.25" customHeight="1">
      <c r="B478" s="8"/>
      <c r="D478" s="8"/>
      <c r="F478" s="8"/>
      <c r="H478" s="8"/>
      <c r="J478" s="8"/>
      <c r="M478" s="8"/>
    </row>
    <row r="479" ht="14.25" customHeight="1">
      <c r="B479" s="8"/>
      <c r="D479" s="8"/>
      <c r="F479" s="8"/>
      <c r="H479" s="8"/>
      <c r="J479" s="8"/>
      <c r="M479" s="8"/>
    </row>
    <row r="480" ht="14.25" customHeight="1">
      <c r="B480" s="8"/>
      <c r="D480" s="8"/>
      <c r="F480" s="8"/>
      <c r="H480" s="8"/>
      <c r="J480" s="8"/>
      <c r="M480" s="8"/>
    </row>
    <row r="481" ht="14.25" customHeight="1">
      <c r="B481" s="8"/>
      <c r="D481" s="8"/>
      <c r="F481" s="8"/>
      <c r="H481" s="8"/>
      <c r="J481" s="8"/>
      <c r="M481" s="8"/>
    </row>
    <row r="482" ht="14.25" customHeight="1">
      <c r="B482" s="8"/>
      <c r="D482" s="8"/>
      <c r="F482" s="8"/>
      <c r="H482" s="8"/>
      <c r="J482" s="8"/>
      <c r="M482" s="8"/>
    </row>
    <row r="483" ht="14.25" customHeight="1">
      <c r="B483" s="8"/>
      <c r="D483" s="8"/>
      <c r="F483" s="8"/>
      <c r="H483" s="8"/>
      <c r="J483" s="8"/>
      <c r="M483" s="8"/>
    </row>
    <row r="484" ht="14.25" customHeight="1">
      <c r="B484" s="8"/>
      <c r="D484" s="8"/>
      <c r="F484" s="8"/>
      <c r="H484" s="8"/>
      <c r="J484" s="8"/>
      <c r="M484" s="8"/>
    </row>
    <row r="485" ht="14.25" customHeight="1">
      <c r="B485" s="8"/>
      <c r="D485" s="8"/>
      <c r="F485" s="8"/>
      <c r="H485" s="8"/>
      <c r="J485" s="8"/>
      <c r="M485" s="8"/>
    </row>
    <row r="486" ht="14.25" customHeight="1">
      <c r="B486" s="8"/>
      <c r="D486" s="8"/>
      <c r="F486" s="8"/>
      <c r="H486" s="8"/>
      <c r="J486" s="8"/>
      <c r="M486" s="8"/>
    </row>
    <row r="487" ht="14.25" customHeight="1">
      <c r="B487" s="8"/>
      <c r="D487" s="8"/>
      <c r="F487" s="8"/>
      <c r="H487" s="8"/>
      <c r="J487" s="8"/>
      <c r="M487" s="8"/>
    </row>
    <row r="488" ht="14.25" customHeight="1">
      <c r="B488" s="8"/>
      <c r="D488" s="8"/>
      <c r="F488" s="8"/>
      <c r="H488" s="8"/>
      <c r="J488" s="8"/>
      <c r="M488" s="8"/>
    </row>
    <row r="489" ht="14.25" customHeight="1">
      <c r="B489" s="8"/>
      <c r="D489" s="8"/>
      <c r="F489" s="8"/>
      <c r="H489" s="8"/>
      <c r="J489" s="8"/>
      <c r="M489" s="8"/>
    </row>
    <row r="490" ht="14.25" customHeight="1">
      <c r="B490" s="8"/>
      <c r="D490" s="8"/>
      <c r="F490" s="8"/>
      <c r="H490" s="8"/>
      <c r="J490" s="8"/>
      <c r="M490" s="8"/>
    </row>
    <row r="491" ht="14.25" customHeight="1">
      <c r="B491" s="8"/>
      <c r="D491" s="8"/>
      <c r="F491" s="8"/>
      <c r="H491" s="8"/>
      <c r="J491" s="8"/>
      <c r="M491" s="8"/>
    </row>
    <row r="492" ht="14.25" customHeight="1">
      <c r="B492" s="8"/>
      <c r="D492" s="8"/>
      <c r="F492" s="8"/>
      <c r="H492" s="8"/>
      <c r="J492" s="8"/>
      <c r="M492" s="8"/>
    </row>
    <row r="493" ht="14.25" customHeight="1">
      <c r="B493" s="8"/>
      <c r="D493" s="8"/>
      <c r="F493" s="8"/>
      <c r="H493" s="8"/>
      <c r="J493" s="8"/>
      <c r="M493" s="8"/>
    </row>
    <row r="494" ht="14.25" customHeight="1">
      <c r="B494" s="8"/>
      <c r="D494" s="8"/>
      <c r="F494" s="8"/>
      <c r="H494" s="8"/>
      <c r="J494" s="8"/>
      <c r="M494" s="8"/>
    </row>
    <row r="495" ht="14.25" customHeight="1">
      <c r="B495" s="8"/>
      <c r="D495" s="8"/>
      <c r="F495" s="8"/>
      <c r="H495" s="8"/>
      <c r="J495" s="8"/>
      <c r="M495" s="8"/>
    </row>
    <row r="496" ht="14.25" customHeight="1">
      <c r="B496" s="8"/>
      <c r="D496" s="8"/>
      <c r="F496" s="8"/>
      <c r="H496" s="8"/>
      <c r="J496" s="8"/>
      <c r="M496" s="8"/>
    </row>
    <row r="497" ht="14.25" customHeight="1">
      <c r="B497" s="8"/>
      <c r="D497" s="8"/>
      <c r="F497" s="8"/>
      <c r="H497" s="8"/>
      <c r="J497" s="8"/>
      <c r="M497" s="8"/>
    </row>
    <row r="498" ht="14.25" customHeight="1">
      <c r="B498" s="8"/>
      <c r="D498" s="8"/>
      <c r="F498" s="8"/>
      <c r="H498" s="8"/>
      <c r="J498" s="8"/>
      <c r="M498" s="8"/>
    </row>
    <row r="499" ht="14.25" customHeight="1">
      <c r="B499" s="8"/>
      <c r="D499" s="8"/>
      <c r="F499" s="8"/>
      <c r="H499" s="8"/>
      <c r="J499" s="8"/>
      <c r="M499" s="8"/>
    </row>
    <row r="500" ht="14.25" customHeight="1">
      <c r="B500" s="8"/>
      <c r="D500" s="8"/>
      <c r="F500" s="8"/>
      <c r="H500" s="8"/>
      <c r="J500" s="8"/>
      <c r="M500" s="8"/>
    </row>
    <row r="501" ht="14.25" customHeight="1">
      <c r="B501" s="8"/>
      <c r="D501" s="8"/>
      <c r="F501" s="8"/>
      <c r="H501" s="8"/>
      <c r="J501" s="8"/>
      <c r="M501" s="8"/>
    </row>
    <row r="502" ht="14.25" customHeight="1">
      <c r="B502" s="8"/>
      <c r="D502" s="8"/>
      <c r="F502" s="8"/>
      <c r="H502" s="8"/>
      <c r="J502" s="8"/>
      <c r="M502" s="8"/>
    </row>
    <row r="503" ht="14.25" customHeight="1">
      <c r="B503" s="8"/>
      <c r="D503" s="8"/>
      <c r="F503" s="8"/>
      <c r="H503" s="8"/>
      <c r="J503" s="8"/>
      <c r="M503" s="8"/>
    </row>
    <row r="504" ht="14.25" customHeight="1">
      <c r="B504" s="8"/>
      <c r="D504" s="8"/>
      <c r="F504" s="8"/>
      <c r="H504" s="8"/>
      <c r="J504" s="8"/>
      <c r="M504" s="8"/>
    </row>
    <row r="505" ht="14.25" customHeight="1">
      <c r="B505" s="8"/>
      <c r="D505" s="8"/>
      <c r="F505" s="8"/>
      <c r="H505" s="8"/>
      <c r="J505" s="8"/>
      <c r="M505" s="8"/>
    </row>
    <row r="506" ht="14.25" customHeight="1">
      <c r="B506" s="8"/>
      <c r="D506" s="8"/>
      <c r="F506" s="8"/>
      <c r="H506" s="8"/>
      <c r="J506" s="8"/>
      <c r="M506" s="8"/>
    </row>
    <row r="507" ht="14.25" customHeight="1">
      <c r="B507" s="8"/>
      <c r="D507" s="8"/>
      <c r="F507" s="8"/>
      <c r="H507" s="8"/>
      <c r="J507" s="8"/>
      <c r="M507" s="8"/>
    </row>
    <row r="508" ht="14.25" customHeight="1">
      <c r="B508" s="8"/>
      <c r="D508" s="8"/>
      <c r="F508" s="8"/>
      <c r="H508" s="8"/>
      <c r="J508" s="8"/>
      <c r="M508" s="8"/>
    </row>
    <row r="509" ht="14.25" customHeight="1">
      <c r="B509" s="8"/>
      <c r="D509" s="8"/>
      <c r="F509" s="8"/>
      <c r="H509" s="8"/>
      <c r="J509" s="8"/>
      <c r="M509" s="8"/>
    </row>
    <row r="510" ht="14.25" customHeight="1">
      <c r="B510" s="8"/>
      <c r="D510" s="8"/>
      <c r="F510" s="8"/>
      <c r="H510" s="8"/>
      <c r="J510" s="8"/>
      <c r="M510" s="8"/>
    </row>
    <row r="511" ht="14.25" customHeight="1">
      <c r="B511" s="8"/>
      <c r="D511" s="8"/>
      <c r="F511" s="8"/>
      <c r="H511" s="8"/>
      <c r="J511" s="8"/>
      <c r="M511" s="8"/>
    </row>
    <row r="512" ht="14.25" customHeight="1">
      <c r="B512" s="8"/>
      <c r="D512" s="8"/>
      <c r="F512" s="8"/>
      <c r="H512" s="8"/>
      <c r="J512" s="8"/>
      <c r="M512" s="8"/>
    </row>
    <row r="513" ht="14.25" customHeight="1">
      <c r="B513" s="8"/>
      <c r="D513" s="8"/>
      <c r="F513" s="8"/>
      <c r="H513" s="8"/>
      <c r="J513" s="8"/>
      <c r="M513" s="8"/>
    </row>
    <row r="514" ht="14.25" customHeight="1">
      <c r="B514" s="8"/>
      <c r="D514" s="8"/>
      <c r="F514" s="8"/>
      <c r="H514" s="8"/>
      <c r="J514" s="8"/>
      <c r="M514" s="8"/>
    </row>
    <row r="515" ht="14.25" customHeight="1">
      <c r="B515" s="8"/>
      <c r="D515" s="8"/>
      <c r="F515" s="8"/>
      <c r="H515" s="8"/>
      <c r="J515" s="8"/>
      <c r="M515" s="8"/>
    </row>
    <row r="516" ht="14.25" customHeight="1">
      <c r="B516" s="8"/>
      <c r="D516" s="8"/>
      <c r="F516" s="8"/>
      <c r="H516" s="8"/>
      <c r="J516" s="8"/>
      <c r="M516" s="8"/>
    </row>
    <row r="517" ht="14.25" customHeight="1">
      <c r="B517" s="8"/>
      <c r="D517" s="8"/>
      <c r="F517" s="8"/>
      <c r="H517" s="8"/>
      <c r="J517" s="8"/>
      <c r="M517" s="8"/>
    </row>
    <row r="518" ht="14.25" customHeight="1">
      <c r="B518" s="8"/>
      <c r="D518" s="8"/>
      <c r="F518" s="8"/>
      <c r="H518" s="8"/>
      <c r="J518" s="8"/>
      <c r="M518" s="8"/>
    </row>
    <row r="519" ht="14.25" customHeight="1">
      <c r="B519" s="8"/>
      <c r="D519" s="8"/>
      <c r="F519" s="8"/>
      <c r="H519" s="8"/>
      <c r="J519" s="8"/>
      <c r="M519" s="8"/>
    </row>
    <row r="520" ht="14.25" customHeight="1">
      <c r="B520" s="8"/>
      <c r="D520" s="8"/>
      <c r="F520" s="8"/>
      <c r="H520" s="8"/>
      <c r="J520" s="8"/>
      <c r="M520" s="8"/>
    </row>
    <row r="521" ht="14.25" customHeight="1">
      <c r="B521" s="8"/>
      <c r="D521" s="8"/>
      <c r="F521" s="8"/>
      <c r="H521" s="8"/>
      <c r="J521" s="8"/>
      <c r="M521" s="8"/>
    </row>
    <row r="522" ht="14.25" customHeight="1">
      <c r="B522" s="8"/>
      <c r="D522" s="8"/>
      <c r="F522" s="8"/>
      <c r="H522" s="8"/>
      <c r="J522" s="8"/>
      <c r="M522" s="8"/>
    </row>
    <row r="523" ht="14.25" customHeight="1">
      <c r="B523" s="8"/>
      <c r="D523" s="8"/>
      <c r="F523" s="8"/>
      <c r="H523" s="8"/>
      <c r="J523" s="8"/>
      <c r="M523" s="8"/>
    </row>
    <row r="524" ht="14.25" customHeight="1">
      <c r="B524" s="8"/>
      <c r="D524" s="8"/>
      <c r="F524" s="8"/>
      <c r="H524" s="8"/>
      <c r="J524" s="8"/>
      <c r="M524" s="8"/>
    </row>
    <row r="525" ht="14.25" customHeight="1">
      <c r="B525" s="8"/>
      <c r="D525" s="8"/>
      <c r="F525" s="8"/>
      <c r="H525" s="8"/>
      <c r="J525" s="8"/>
      <c r="M525" s="8"/>
    </row>
    <row r="526" ht="14.25" customHeight="1">
      <c r="B526" s="8"/>
      <c r="D526" s="8"/>
      <c r="F526" s="8"/>
      <c r="H526" s="8"/>
      <c r="J526" s="8"/>
      <c r="M526" s="8"/>
    </row>
    <row r="527" ht="14.25" customHeight="1">
      <c r="B527" s="8"/>
      <c r="D527" s="8"/>
      <c r="F527" s="8"/>
      <c r="H527" s="8"/>
      <c r="J527" s="8"/>
      <c r="M527" s="8"/>
    </row>
    <row r="528" ht="14.25" customHeight="1">
      <c r="B528" s="8"/>
      <c r="D528" s="8"/>
      <c r="F528" s="8"/>
      <c r="H528" s="8"/>
      <c r="J528" s="8"/>
      <c r="M528" s="8"/>
    </row>
    <row r="529" ht="14.25" customHeight="1">
      <c r="B529" s="8"/>
      <c r="D529" s="8"/>
      <c r="F529" s="8"/>
      <c r="H529" s="8"/>
      <c r="J529" s="8"/>
      <c r="M529" s="8"/>
    </row>
    <row r="530" ht="14.25" customHeight="1">
      <c r="B530" s="8"/>
      <c r="D530" s="8"/>
      <c r="F530" s="8"/>
      <c r="H530" s="8"/>
      <c r="J530" s="8"/>
      <c r="M530" s="8"/>
    </row>
    <row r="531" ht="14.25" customHeight="1">
      <c r="B531" s="8"/>
      <c r="D531" s="8"/>
      <c r="F531" s="8"/>
      <c r="H531" s="8"/>
      <c r="J531" s="8"/>
      <c r="M531" s="8"/>
    </row>
    <row r="532" ht="14.25" customHeight="1">
      <c r="B532" s="8"/>
      <c r="D532" s="8"/>
      <c r="F532" s="8"/>
      <c r="H532" s="8"/>
      <c r="J532" s="8"/>
      <c r="M532" s="8"/>
    </row>
    <row r="533" ht="14.25" customHeight="1">
      <c r="B533" s="8"/>
      <c r="D533" s="8"/>
      <c r="F533" s="8"/>
      <c r="H533" s="8"/>
      <c r="J533" s="8"/>
      <c r="M533" s="8"/>
    </row>
    <row r="534" ht="14.25" customHeight="1">
      <c r="B534" s="8"/>
      <c r="D534" s="8"/>
      <c r="F534" s="8"/>
      <c r="H534" s="8"/>
      <c r="J534" s="8"/>
      <c r="M534" s="8"/>
    </row>
    <row r="535" ht="14.25" customHeight="1">
      <c r="B535" s="8"/>
      <c r="D535" s="8"/>
      <c r="F535" s="8"/>
      <c r="H535" s="8"/>
      <c r="J535" s="8"/>
      <c r="M535" s="8"/>
    </row>
    <row r="536" ht="14.25" customHeight="1">
      <c r="B536" s="8"/>
      <c r="D536" s="8"/>
      <c r="F536" s="8"/>
      <c r="H536" s="8"/>
      <c r="J536" s="8"/>
      <c r="M536" s="8"/>
    </row>
    <row r="537" ht="14.25" customHeight="1">
      <c r="B537" s="8"/>
      <c r="D537" s="8"/>
      <c r="F537" s="8"/>
      <c r="H537" s="8"/>
      <c r="J537" s="8"/>
      <c r="M537" s="8"/>
    </row>
    <row r="538" ht="14.25" customHeight="1">
      <c r="B538" s="8"/>
      <c r="D538" s="8"/>
      <c r="F538" s="8"/>
      <c r="H538" s="8"/>
      <c r="J538" s="8"/>
      <c r="M538" s="8"/>
    </row>
    <row r="539" ht="14.25" customHeight="1">
      <c r="B539" s="8"/>
      <c r="D539" s="8"/>
      <c r="F539" s="8"/>
      <c r="H539" s="8"/>
      <c r="J539" s="8"/>
      <c r="M539" s="8"/>
    </row>
    <row r="540" ht="14.25" customHeight="1">
      <c r="B540" s="8"/>
      <c r="D540" s="8"/>
      <c r="F540" s="8"/>
      <c r="H540" s="8"/>
      <c r="J540" s="8"/>
      <c r="M540" s="8"/>
    </row>
    <row r="541" ht="14.25" customHeight="1">
      <c r="B541" s="8"/>
      <c r="D541" s="8"/>
      <c r="F541" s="8"/>
      <c r="H541" s="8"/>
      <c r="J541" s="8"/>
      <c r="M541" s="8"/>
    </row>
    <row r="542" ht="14.25" customHeight="1">
      <c r="B542" s="8"/>
      <c r="D542" s="8"/>
      <c r="F542" s="8"/>
      <c r="H542" s="8"/>
      <c r="J542" s="8"/>
      <c r="M542" s="8"/>
    </row>
    <row r="543" ht="14.25" customHeight="1">
      <c r="B543" s="8"/>
      <c r="D543" s="8"/>
      <c r="F543" s="8"/>
      <c r="H543" s="8"/>
      <c r="J543" s="8"/>
      <c r="M543" s="8"/>
    </row>
    <row r="544" ht="14.25" customHeight="1">
      <c r="B544" s="8"/>
      <c r="D544" s="8"/>
      <c r="F544" s="8"/>
      <c r="H544" s="8"/>
      <c r="J544" s="8"/>
      <c r="M544" s="8"/>
    </row>
    <row r="545" ht="14.25" customHeight="1">
      <c r="B545" s="8"/>
      <c r="D545" s="8"/>
      <c r="F545" s="8"/>
      <c r="H545" s="8"/>
      <c r="J545" s="8"/>
      <c r="M545" s="8"/>
    </row>
    <row r="546" ht="14.25" customHeight="1">
      <c r="B546" s="8"/>
      <c r="D546" s="8"/>
      <c r="F546" s="8"/>
      <c r="H546" s="8"/>
      <c r="J546" s="8"/>
      <c r="M546" s="8"/>
    </row>
    <row r="547" ht="14.25" customHeight="1">
      <c r="B547" s="8"/>
      <c r="D547" s="8"/>
      <c r="F547" s="8"/>
      <c r="H547" s="8"/>
      <c r="J547" s="8"/>
      <c r="M547" s="8"/>
    </row>
    <row r="548" ht="14.25" customHeight="1">
      <c r="B548" s="8"/>
      <c r="D548" s="8"/>
      <c r="F548" s="8"/>
      <c r="H548" s="8"/>
      <c r="J548" s="8"/>
      <c r="M548" s="8"/>
    </row>
    <row r="549" ht="14.25" customHeight="1">
      <c r="B549" s="8"/>
      <c r="D549" s="8"/>
      <c r="F549" s="8"/>
      <c r="H549" s="8"/>
      <c r="J549" s="8"/>
      <c r="M549" s="8"/>
    </row>
    <row r="550" ht="14.25" customHeight="1">
      <c r="B550" s="8"/>
      <c r="D550" s="8"/>
      <c r="F550" s="8"/>
      <c r="H550" s="8"/>
      <c r="J550" s="8"/>
      <c r="M550" s="8"/>
    </row>
    <row r="551" ht="14.25" customHeight="1">
      <c r="B551" s="8"/>
      <c r="D551" s="8"/>
      <c r="F551" s="8"/>
      <c r="H551" s="8"/>
      <c r="J551" s="8"/>
      <c r="M551" s="8"/>
    </row>
    <row r="552" ht="14.25" customHeight="1">
      <c r="B552" s="8"/>
      <c r="D552" s="8"/>
      <c r="F552" s="8"/>
      <c r="H552" s="8"/>
      <c r="J552" s="8"/>
      <c r="M552" s="8"/>
    </row>
    <row r="553" ht="14.25" customHeight="1">
      <c r="B553" s="8"/>
      <c r="D553" s="8"/>
      <c r="F553" s="8"/>
      <c r="H553" s="8"/>
      <c r="J553" s="8"/>
      <c r="M553" s="8"/>
    </row>
    <row r="554" ht="14.25" customHeight="1">
      <c r="B554" s="8"/>
      <c r="D554" s="8"/>
      <c r="F554" s="8"/>
      <c r="H554" s="8"/>
      <c r="J554" s="8"/>
      <c r="M554" s="8"/>
    </row>
    <row r="555" ht="14.25" customHeight="1">
      <c r="B555" s="8"/>
      <c r="D555" s="8"/>
      <c r="F555" s="8"/>
      <c r="H555" s="8"/>
      <c r="J555" s="8"/>
      <c r="M555" s="8"/>
    </row>
    <row r="556" ht="14.25" customHeight="1">
      <c r="B556" s="8"/>
      <c r="D556" s="8"/>
      <c r="F556" s="8"/>
      <c r="H556" s="8"/>
      <c r="J556" s="8"/>
      <c r="M556" s="8"/>
    </row>
    <row r="557" ht="14.25" customHeight="1">
      <c r="B557" s="8"/>
      <c r="D557" s="8"/>
      <c r="F557" s="8"/>
      <c r="H557" s="8"/>
      <c r="J557" s="8"/>
      <c r="M557" s="8"/>
    </row>
    <row r="558" ht="14.25" customHeight="1">
      <c r="B558" s="8"/>
      <c r="D558" s="8"/>
      <c r="F558" s="8"/>
      <c r="H558" s="8"/>
      <c r="J558" s="8"/>
      <c r="M558" s="8"/>
    </row>
    <row r="559" ht="14.25" customHeight="1">
      <c r="B559" s="8"/>
      <c r="D559" s="8"/>
      <c r="F559" s="8"/>
      <c r="H559" s="8"/>
      <c r="J559" s="8"/>
      <c r="M559" s="8"/>
    </row>
    <row r="560" ht="14.25" customHeight="1">
      <c r="B560" s="8"/>
      <c r="D560" s="8"/>
      <c r="F560" s="8"/>
      <c r="H560" s="8"/>
      <c r="J560" s="8"/>
      <c r="M560" s="8"/>
    </row>
    <row r="561" ht="14.25" customHeight="1">
      <c r="B561" s="8"/>
      <c r="D561" s="8"/>
      <c r="F561" s="8"/>
      <c r="H561" s="8"/>
      <c r="J561" s="8"/>
      <c r="M561" s="8"/>
    </row>
    <row r="562" ht="14.25" customHeight="1">
      <c r="B562" s="8"/>
      <c r="D562" s="8"/>
      <c r="F562" s="8"/>
      <c r="H562" s="8"/>
      <c r="J562" s="8"/>
      <c r="M562" s="8"/>
    </row>
    <row r="563" ht="14.25" customHeight="1">
      <c r="B563" s="8"/>
      <c r="D563" s="8"/>
      <c r="F563" s="8"/>
      <c r="H563" s="8"/>
      <c r="J563" s="8"/>
      <c r="M563" s="8"/>
    </row>
    <row r="564" ht="14.25" customHeight="1">
      <c r="B564" s="8"/>
      <c r="D564" s="8"/>
      <c r="F564" s="8"/>
      <c r="H564" s="8"/>
      <c r="J564" s="8"/>
      <c r="M564" s="8"/>
    </row>
    <row r="565" ht="14.25" customHeight="1">
      <c r="B565" s="8"/>
      <c r="D565" s="8"/>
      <c r="F565" s="8"/>
      <c r="H565" s="8"/>
      <c r="J565" s="8"/>
      <c r="M565" s="8"/>
    </row>
    <row r="566" ht="14.25" customHeight="1">
      <c r="B566" s="8"/>
      <c r="D566" s="8"/>
      <c r="F566" s="8"/>
      <c r="H566" s="8"/>
      <c r="J566" s="8"/>
      <c r="M566" s="8"/>
    </row>
    <row r="567" ht="14.25" customHeight="1">
      <c r="B567" s="8"/>
      <c r="D567" s="8"/>
      <c r="F567" s="8"/>
      <c r="H567" s="8"/>
      <c r="J567" s="8"/>
      <c r="M567" s="8"/>
    </row>
    <row r="568" ht="14.25" customHeight="1">
      <c r="B568" s="8"/>
      <c r="D568" s="8"/>
      <c r="F568" s="8"/>
      <c r="H568" s="8"/>
      <c r="J568" s="8"/>
      <c r="M568" s="8"/>
    </row>
    <row r="569" ht="14.25" customHeight="1">
      <c r="B569" s="8"/>
      <c r="D569" s="8"/>
      <c r="F569" s="8"/>
      <c r="H569" s="8"/>
      <c r="J569" s="8"/>
      <c r="M569" s="8"/>
    </row>
    <row r="570" ht="14.25" customHeight="1">
      <c r="B570" s="8"/>
      <c r="D570" s="8"/>
      <c r="F570" s="8"/>
      <c r="H570" s="8"/>
      <c r="J570" s="8"/>
      <c r="M570" s="8"/>
    </row>
    <row r="571" ht="14.25" customHeight="1">
      <c r="B571" s="8"/>
      <c r="D571" s="8"/>
      <c r="F571" s="8"/>
      <c r="H571" s="8"/>
      <c r="J571" s="8"/>
      <c r="M571" s="8"/>
    </row>
    <row r="572" ht="14.25" customHeight="1">
      <c r="B572" s="8"/>
      <c r="D572" s="8"/>
      <c r="F572" s="8"/>
      <c r="H572" s="8"/>
      <c r="J572" s="8"/>
      <c r="M572" s="8"/>
    </row>
    <row r="573" ht="14.25" customHeight="1">
      <c r="B573" s="8"/>
      <c r="D573" s="8"/>
      <c r="F573" s="8"/>
      <c r="H573" s="8"/>
      <c r="J573" s="8"/>
      <c r="M573" s="8"/>
    </row>
    <row r="574" ht="14.25" customHeight="1">
      <c r="B574" s="8"/>
      <c r="D574" s="8"/>
      <c r="F574" s="8"/>
      <c r="H574" s="8"/>
      <c r="J574" s="8"/>
      <c r="M574" s="8"/>
    </row>
    <row r="575" ht="14.25" customHeight="1">
      <c r="B575" s="8"/>
      <c r="D575" s="8"/>
      <c r="F575" s="8"/>
      <c r="H575" s="8"/>
      <c r="J575" s="8"/>
      <c r="M575" s="8"/>
    </row>
    <row r="576" ht="14.25" customHeight="1">
      <c r="B576" s="8"/>
      <c r="D576" s="8"/>
      <c r="F576" s="8"/>
      <c r="H576" s="8"/>
      <c r="J576" s="8"/>
      <c r="M576" s="8"/>
    </row>
    <row r="577" ht="14.25" customHeight="1">
      <c r="B577" s="8"/>
      <c r="D577" s="8"/>
      <c r="F577" s="8"/>
      <c r="H577" s="8"/>
      <c r="J577" s="8"/>
      <c r="M577" s="8"/>
    </row>
    <row r="578" ht="14.25" customHeight="1">
      <c r="B578" s="8"/>
      <c r="D578" s="8"/>
      <c r="F578" s="8"/>
      <c r="H578" s="8"/>
      <c r="J578" s="8"/>
      <c r="M578" s="8"/>
    </row>
    <row r="579" ht="14.25" customHeight="1">
      <c r="B579" s="8"/>
      <c r="D579" s="8"/>
      <c r="F579" s="8"/>
      <c r="H579" s="8"/>
      <c r="J579" s="8"/>
      <c r="M579" s="8"/>
    </row>
    <row r="580" ht="14.25" customHeight="1">
      <c r="B580" s="8"/>
      <c r="D580" s="8"/>
      <c r="F580" s="8"/>
      <c r="H580" s="8"/>
      <c r="J580" s="8"/>
      <c r="M580" s="8"/>
    </row>
    <row r="581" ht="14.25" customHeight="1">
      <c r="B581" s="8"/>
      <c r="D581" s="8"/>
      <c r="F581" s="8"/>
      <c r="H581" s="8"/>
      <c r="J581" s="8"/>
      <c r="M581" s="8"/>
    </row>
    <row r="582" ht="14.25" customHeight="1">
      <c r="B582" s="8"/>
      <c r="D582" s="8"/>
      <c r="F582" s="8"/>
      <c r="H582" s="8"/>
      <c r="J582" s="8"/>
      <c r="M582" s="8"/>
    </row>
    <row r="583" ht="14.25" customHeight="1">
      <c r="B583" s="8"/>
      <c r="D583" s="8"/>
      <c r="F583" s="8"/>
      <c r="H583" s="8"/>
      <c r="J583" s="8"/>
      <c r="M583" s="8"/>
    </row>
    <row r="584" ht="14.25" customHeight="1">
      <c r="B584" s="8"/>
      <c r="D584" s="8"/>
      <c r="F584" s="8"/>
      <c r="H584" s="8"/>
      <c r="J584" s="8"/>
      <c r="M584" s="8"/>
    </row>
    <row r="585" ht="14.25" customHeight="1">
      <c r="B585" s="8"/>
      <c r="D585" s="8"/>
      <c r="F585" s="8"/>
      <c r="H585" s="8"/>
      <c r="J585" s="8"/>
      <c r="M585" s="8"/>
    </row>
    <row r="586" ht="14.25" customHeight="1">
      <c r="B586" s="8"/>
      <c r="D586" s="8"/>
      <c r="F586" s="8"/>
      <c r="H586" s="8"/>
      <c r="J586" s="8"/>
      <c r="M586" s="8"/>
    </row>
    <row r="587" ht="14.25" customHeight="1">
      <c r="B587" s="8"/>
      <c r="D587" s="8"/>
      <c r="F587" s="8"/>
      <c r="H587" s="8"/>
      <c r="J587" s="8"/>
      <c r="M587" s="8"/>
    </row>
    <row r="588" ht="14.25" customHeight="1">
      <c r="B588" s="8"/>
      <c r="D588" s="8"/>
      <c r="F588" s="8"/>
      <c r="H588" s="8"/>
      <c r="J588" s="8"/>
      <c r="M588" s="8"/>
    </row>
    <row r="589" ht="14.25" customHeight="1">
      <c r="B589" s="8"/>
      <c r="D589" s="8"/>
      <c r="F589" s="8"/>
      <c r="H589" s="8"/>
      <c r="J589" s="8"/>
      <c r="M589" s="8"/>
    </row>
    <row r="590" ht="14.25" customHeight="1">
      <c r="B590" s="8"/>
      <c r="D590" s="8"/>
      <c r="F590" s="8"/>
      <c r="H590" s="8"/>
      <c r="J590" s="8"/>
      <c r="M590" s="8"/>
    </row>
    <row r="591" ht="14.25" customHeight="1">
      <c r="B591" s="8"/>
      <c r="D591" s="8"/>
      <c r="F591" s="8"/>
      <c r="H591" s="8"/>
      <c r="J591" s="8"/>
      <c r="M591" s="8"/>
    </row>
    <row r="592" ht="14.25" customHeight="1">
      <c r="B592" s="8"/>
      <c r="D592" s="8"/>
      <c r="F592" s="8"/>
      <c r="H592" s="8"/>
      <c r="J592" s="8"/>
      <c r="M592" s="8"/>
    </row>
    <row r="593" ht="14.25" customHeight="1">
      <c r="B593" s="8"/>
      <c r="D593" s="8"/>
      <c r="F593" s="8"/>
      <c r="H593" s="8"/>
      <c r="J593" s="8"/>
      <c r="M593" s="8"/>
    </row>
    <row r="594" ht="14.25" customHeight="1">
      <c r="B594" s="8"/>
      <c r="D594" s="8"/>
      <c r="F594" s="8"/>
      <c r="H594" s="8"/>
      <c r="J594" s="8"/>
      <c r="M594" s="8"/>
    </row>
    <row r="595" ht="14.25" customHeight="1">
      <c r="B595" s="8"/>
      <c r="D595" s="8"/>
      <c r="F595" s="8"/>
      <c r="H595" s="8"/>
      <c r="J595" s="8"/>
      <c r="M595" s="8"/>
    </row>
    <row r="596" ht="14.25" customHeight="1">
      <c r="B596" s="8"/>
      <c r="D596" s="8"/>
      <c r="F596" s="8"/>
      <c r="H596" s="8"/>
      <c r="J596" s="8"/>
      <c r="M596" s="8"/>
    </row>
    <row r="597" ht="14.25" customHeight="1">
      <c r="B597" s="8"/>
      <c r="D597" s="8"/>
      <c r="F597" s="8"/>
      <c r="H597" s="8"/>
      <c r="J597" s="8"/>
      <c r="M597" s="8"/>
    </row>
    <row r="598" ht="14.25" customHeight="1">
      <c r="B598" s="8"/>
      <c r="D598" s="8"/>
      <c r="F598" s="8"/>
      <c r="H598" s="8"/>
      <c r="J598" s="8"/>
      <c r="M598" s="8"/>
    </row>
    <row r="599" ht="14.25" customHeight="1">
      <c r="B599" s="8"/>
      <c r="D599" s="8"/>
      <c r="F599" s="8"/>
      <c r="H599" s="8"/>
      <c r="J599" s="8"/>
      <c r="M599" s="8"/>
    </row>
    <row r="600" ht="14.25" customHeight="1">
      <c r="B600" s="8"/>
      <c r="D600" s="8"/>
      <c r="F600" s="8"/>
      <c r="H600" s="8"/>
      <c r="J600" s="8"/>
      <c r="M600" s="8"/>
    </row>
    <row r="601" ht="14.25" customHeight="1">
      <c r="B601" s="8"/>
      <c r="D601" s="8"/>
      <c r="F601" s="8"/>
      <c r="H601" s="8"/>
      <c r="J601" s="8"/>
      <c r="M601" s="8"/>
    </row>
    <row r="602" ht="14.25" customHeight="1">
      <c r="B602" s="8"/>
      <c r="D602" s="8"/>
      <c r="F602" s="8"/>
      <c r="H602" s="8"/>
      <c r="J602" s="8"/>
      <c r="M602" s="8"/>
    </row>
    <row r="603" ht="14.25" customHeight="1">
      <c r="B603" s="8"/>
      <c r="D603" s="8"/>
      <c r="F603" s="8"/>
      <c r="H603" s="8"/>
      <c r="J603" s="8"/>
      <c r="M603" s="8"/>
    </row>
    <row r="604" ht="14.25" customHeight="1">
      <c r="B604" s="8"/>
      <c r="D604" s="8"/>
      <c r="F604" s="8"/>
      <c r="H604" s="8"/>
      <c r="J604" s="8"/>
      <c r="M604" s="8"/>
    </row>
    <row r="605" ht="14.25" customHeight="1">
      <c r="B605" s="8"/>
      <c r="D605" s="8"/>
      <c r="F605" s="8"/>
      <c r="H605" s="8"/>
      <c r="J605" s="8"/>
      <c r="M605" s="8"/>
    </row>
    <row r="606" ht="14.25" customHeight="1">
      <c r="B606" s="8"/>
      <c r="D606" s="8"/>
      <c r="F606" s="8"/>
      <c r="H606" s="8"/>
      <c r="J606" s="8"/>
      <c r="M606" s="8"/>
    </row>
    <row r="607" ht="14.25" customHeight="1">
      <c r="B607" s="8"/>
      <c r="D607" s="8"/>
      <c r="F607" s="8"/>
      <c r="H607" s="8"/>
      <c r="J607" s="8"/>
      <c r="M607" s="8"/>
    </row>
    <row r="608" ht="14.25" customHeight="1">
      <c r="B608" s="8"/>
      <c r="D608" s="8"/>
      <c r="F608" s="8"/>
      <c r="H608" s="8"/>
      <c r="J608" s="8"/>
      <c r="M608" s="8"/>
    </row>
    <row r="609" ht="14.25" customHeight="1">
      <c r="B609" s="8"/>
      <c r="D609" s="8"/>
      <c r="F609" s="8"/>
      <c r="H609" s="8"/>
      <c r="J609" s="8"/>
      <c r="M609" s="8"/>
    </row>
    <row r="610" ht="14.25" customHeight="1">
      <c r="B610" s="8"/>
      <c r="D610" s="8"/>
      <c r="F610" s="8"/>
      <c r="H610" s="8"/>
      <c r="J610" s="8"/>
      <c r="M610" s="8"/>
    </row>
    <row r="611" ht="14.25" customHeight="1">
      <c r="B611" s="8"/>
      <c r="D611" s="8"/>
      <c r="F611" s="8"/>
      <c r="H611" s="8"/>
      <c r="J611" s="8"/>
      <c r="M611" s="8"/>
    </row>
    <row r="612" ht="14.25" customHeight="1">
      <c r="B612" s="8"/>
      <c r="D612" s="8"/>
      <c r="F612" s="8"/>
      <c r="H612" s="8"/>
      <c r="J612" s="8"/>
      <c r="M612" s="8"/>
    </row>
    <row r="613" ht="14.25" customHeight="1">
      <c r="B613" s="8"/>
      <c r="D613" s="8"/>
      <c r="F613" s="8"/>
      <c r="H613" s="8"/>
      <c r="J613" s="8"/>
      <c r="M613" s="8"/>
    </row>
    <row r="614" ht="14.25" customHeight="1">
      <c r="B614" s="8"/>
      <c r="D614" s="8"/>
      <c r="F614" s="8"/>
      <c r="H614" s="8"/>
      <c r="J614" s="8"/>
      <c r="M614" s="8"/>
    </row>
    <row r="615" ht="14.25" customHeight="1">
      <c r="B615" s="8"/>
      <c r="D615" s="8"/>
      <c r="F615" s="8"/>
      <c r="H615" s="8"/>
      <c r="J615" s="8"/>
      <c r="M615" s="8"/>
    </row>
    <row r="616" ht="14.25" customHeight="1">
      <c r="B616" s="8"/>
      <c r="D616" s="8"/>
      <c r="F616" s="8"/>
      <c r="H616" s="8"/>
      <c r="J616" s="8"/>
      <c r="M616" s="8"/>
    </row>
    <row r="617" ht="14.25" customHeight="1">
      <c r="B617" s="8"/>
      <c r="D617" s="8"/>
      <c r="F617" s="8"/>
      <c r="H617" s="8"/>
      <c r="J617" s="8"/>
      <c r="M617" s="8"/>
    </row>
    <row r="618" ht="14.25" customHeight="1">
      <c r="B618" s="8"/>
      <c r="D618" s="8"/>
      <c r="F618" s="8"/>
      <c r="H618" s="8"/>
      <c r="J618" s="8"/>
      <c r="M618" s="8"/>
    </row>
    <row r="619" ht="14.25" customHeight="1">
      <c r="B619" s="8"/>
      <c r="D619" s="8"/>
      <c r="F619" s="8"/>
      <c r="H619" s="8"/>
      <c r="J619" s="8"/>
      <c r="M619" s="8"/>
    </row>
    <row r="620" ht="14.25" customHeight="1">
      <c r="B620" s="8"/>
      <c r="D620" s="8"/>
      <c r="F620" s="8"/>
      <c r="H620" s="8"/>
      <c r="J620" s="8"/>
      <c r="M620" s="8"/>
    </row>
    <row r="621" ht="14.25" customHeight="1">
      <c r="B621" s="8"/>
      <c r="D621" s="8"/>
      <c r="F621" s="8"/>
      <c r="H621" s="8"/>
      <c r="J621" s="8"/>
      <c r="M621" s="8"/>
    </row>
    <row r="622" ht="14.25" customHeight="1">
      <c r="B622" s="8"/>
      <c r="D622" s="8"/>
      <c r="F622" s="8"/>
      <c r="H622" s="8"/>
      <c r="J622" s="8"/>
      <c r="M622" s="8"/>
    </row>
    <row r="623" ht="14.25" customHeight="1">
      <c r="B623" s="8"/>
      <c r="D623" s="8"/>
      <c r="F623" s="8"/>
      <c r="H623" s="8"/>
      <c r="J623" s="8"/>
      <c r="M623" s="8"/>
    </row>
    <row r="624" ht="14.25" customHeight="1">
      <c r="B624" s="8"/>
      <c r="D624" s="8"/>
      <c r="F624" s="8"/>
      <c r="H624" s="8"/>
      <c r="J624" s="8"/>
      <c r="M624" s="8"/>
    </row>
    <row r="625" ht="14.25" customHeight="1">
      <c r="B625" s="8"/>
      <c r="D625" s="8"/>
      <c r="F625" s="8"/>
      <c r="H625" s="8"/>
      <c r="J625" s="8"/>
      <c r="M625" s="8"/>
    </row>
    <row r="626" ht="14.25" customHeight="1">
      <c r="B626" s="8"/>
      <c r="D626" s="8"/>
      <c r="F626" s="8"/>
      <c r="H626" s="8"/>
      <c r="J626" s="8"/>
      <c r="M626" s="8"/>
    </row>
    <row r="627" ht="14.25" customHeight="1">
      <c r="B627" s="8"/>
      <c r="D627" s="8"/>
      <c r="F627" s="8"/>
      <c r="H627" s="8"/>
      <c r="J627" s="8"/>
      <c r="M627" s="8"/>
    </row>
    <row r="628" ht="14.25" customHeight="1">
      <c r="B628" s="8"/>
      <c r="D628" s="8"/>
      <c r="F628" s="8"/>
      <c r="H628" s="8"/>
      <c r="J628" s="8"/>
      <c r="M628" s="8"/>
    </row>
    <row r="629" ht="14.25" customHeight="1">
      <c r="B629" s="8"/>
      <c r="D629" s="8"/>
      <c r="F629" s="8"/>
      <c r="H629" s="8"/>
      <c r="J629" s="8"/>
      <c r="M629" s="8"/>
    </row>
    <row r="630" ht="14.25" customHeight="1">
      <c r="B630" s="8"/>
      <c r="D630" s="8"/>
      <c r="F630" s="8"/>
      <c r="H630" s="8"/>
      <c r="J630" s="8"/>
      <c r="M630" s="8"/>
    </row>
    <row r="631" ht="14.25" customHeight="1">
      <c r="B631" s="8"/>
      <c r="D631" s="8"/>
      <c r="F631" s="8"/>
      <c r="H631" s="8"/>
      <c r="J631" s="8"/>
      <c r="M631" s="8"/>
    </row>
    <row r="632" ht="14.25" customHeight="1">
      <c r="B632" s="8"/>
      <c r="D632" s="8"/>
      <c r="F632" s="8"/>
      <c r="H632" s="8"/>
      <c r="J632" s="8"/>
      <c r="M632" s="8"/>
    </row>
    <row r="633" ht="14.25" customHeight="1">
      <c r="B633" s="8"/>
      <c r="D633" s="8"/>
      <c r="F633" s="8"/>
      <c r="H633" s="8"/>
      <c r="J633" s="8"/>
      <c r="M633" s="8"/>
    </row>
    <row r="634" ht="14.25" customHeight="1">
      <c r="B634" s="8"/>
      <c r="D634" s="8"/>
      <c r="F634" s="8"/>
      <c r="H634" s="8"/>
      <c r="J634" s="8"/>
      <c r="M634" s="8"/>
    </row>
    <row r="635" ht="14.25" customHeight="1">
      <c r="B635" s="8"/>
      <c r="D635" s="8"/>
      <c r="F635" s="8"/>
      <c r="H635" s="8"/>
      <c r="J635" s="8"/>
      <c r="M635" s="8"/>
    </row>
    <row r="636" ht="14.25" customHeight="1">
      <c r="B636" s="8"/>
      <c r="D636" s="8"/>
      <c r="F636" s="8"/>
      <c r="H636" s="8"/>
      <c r="J636" s="8"/>
      <c r="M636" s="8"/>
    </row>
    <row r="637" ht="14.25" customHeight="1">
      <c r="B637" s="8"/>
      <c r="D637" s="8"/>
      <c r="F637" s="8"/>
      <c r="H637" s="8"/>
      <c r="J637" s="8"/>
      <c r="M637" s="8"/>
    </row>
    <row r="638" ht="14.25" customHeight="1">
      <c r="B638" s="8"/>
      <c r="D638" s="8"/>
      <c r="F638" s="8"/>
      <c r="H638" s="8"/>
      <c r="J638" s="8"/>
      <c r="M638" s="8"/>
    </row>
    <row r="639" ht="14.25" customHeight="1">
      <c r="B639" s="8"/>
      <c r="D639" s="8"/>
      <c r="F639" s="8"/>
      <c r="H639" s="8"/>
      <c r="J639" s="8"/>
      <c r="M639" s="8"/>
    </row>
    <row r="640" ht="14.25" customHeight="1">
      <c r="B640" s="8"/>
      <c r="D640" s="8"/>
      <c r="F640" s="8"/>
      <c r="H640" s="8"/>
      <c r="J640" s="8"/>
      <c r="M640" s="8"/>
    </row>
    <row r="641" ht="14.25" customHeight="1">
      <c r="B641" s="8"/>
      <c r="D641" s="8"/>
      <c r="F641" s="8"/>
      <c r="H641" s="8"/>
      <c r="J641" s="8"/>
      <c r="M641" s="8"/>
    </row>
    <row r="642" ht="14.25" customHeight="1">
      <c r="B642" s="8"/>
      <c r="D642" s="8"/>
      <c r="F642" s="8"/>
      <c r="H642" s="8"/>
      <c r="J642" s="8"/>
      <c r="M642" s="8"/>
    </row>
    <row r="643" ht="14.25" customHeight="1">
      <c r="B643" s="8"/>
      <c r="D643" s="8"/>
      <c r="F643" s="8"/>
      <c r="H643" s="8"/>
      <c r="J643" s="8"/>
      <c r="M643" s="8"/>
    </row>
    <row r="644" ht="14.25" customHeight="1">
      <c r="B644" s="8"/>
      <c r="D644" s="8"/>
      <c r="F644" s="8"/>
      <c r="H644" s="8"/>
      <c r="J644" s="8"/>
      <c r="M644" s="8"/>
    </row>
    <row r="645" ht="14.25" customHeight="1">
      <c r="B645" s="8"/>
      <c r="D645" s="8"/>
      <c r="F645" s="8"/>
      <c r="H645" s="8"/>
      <c r="J645" s="8"/>
      <c r="M645" s="8"/>
    </row>
    <row r="646" ht="14.25" customHeight="1">
      <c r="B646" s="8"/>
      <c r="D646" s="8"/>
      <c r="F646" s="8"/>
      <c r="H646" s="8"/>
      <c r="J646" s="8"/>
      <c r="M646" s="8"/>
    </row>
    <row r="647" ht="14.25" customHeight="1">
      <c r="B647" s="8"/>
      <c r="D647" s="8"/>
      <c r="F647" s="8"/>
      <c r="H647" s="8"/>
      <c r="J647" s="8"/>
      <c r="M647" s="8"/>
    </row>
    <row r="648" ht="14.25" customHeight="1">
      <c r="B648" s="8"/>
      <c r="D648" s="8"/>
      <c r="F648" s="8"/>
      <c r="H648" s="8"/>
      <c r="J648" s="8"/>
      <c r="M648" s="8"/>
    </row>
    <row r="649" ht="14.25" customHeight="1">
      <c r="B649" s="8"/>
      <c r="D649" s="8"/>
      <c r="F649" s="8"/>
      <c r="H649" s="8"/>
      <c r="J649" s="8"/>
      <c r="M649" s="8"/>
    </row>
    <row r="650" ht="14.25" customHeight="1">
      <c r="B650" s="8"/>
      <c r="D650" s="8"/>
      <c r="F650" s="8"/>
      <c r="H650" s="8"/>
      <c r="J650" s="8"/>
      <c r="M650" s="8"/>
    </row>
    <row r="651" ht="14.25" customHeight="1">
      <c r="B651" s="8"/>
      <c r="D651" s="8"/>
      <c r="F651" s="8"/>
      <c r="H651" s="8"/>
      <c r="J651" s="8"/>
      <c r="M651" s="8"/>
    </row>
    <row r="652" ht="14.25" customHeight="1">
      <c r="B652" s="8"/>
      <c r="D652" s="8"/>
      <c r="F652" s="8"/>
      <c r="H652" s="8"/>
      <c r="J652" s="8"/>
      <c r="M652" s="8"/>
    </row>
    <row r="653" ht="14.25" customHeight="1">
      <c r="B653" s="8"/>
      <c r="D653" s="8"/>
      <c r="F653" s="8"/>
      <c r="H653" s="8"/>
      <c r="J653" s="8"/>
      <c r="M653" s="8"/>
    </row>
    <row r="654" ht="14.25" customHeight="1">
      <c r="B654" s="8"/>
      <c r="D654" s="8"/>
      <c r="F654" s="8"/>
      <c r="H654" s="8"/>
      <c r="J654" s="8"/>
      <c r="M654" s="8"/>
    </row>
    <row r="655" ht="14.25" customHeight="1">
      <c r="B655" s="8"/>
      <c r="D655" s="8"/>
      <c r="F655" s="8"/>
      <c r="H655" s="8"/>
      <c r="J655" s="8"/>
      <c r="M655" s="8"/>
    </row>
    <row r="656" ht="14.25" customHeight="1">
      <c r="B656" s="8"/>
      <c r="D656" s="8"/>
      <c r="F656" s="8"/>
      <c r="H656" s="8"/>
      <c r="J656" s="8"/>
      <c r="M656" s="8"/>
    </row>
    <row r="657" ht="14.25" customHeight="1">
      <c r="B657" s="8"/>
      <c r="D657" s="8"/>
      <c r="F657" s="8"/>
      <c r="H657" s="8"/>
      <c r="J657" s="8"/>
      <c r="M657" s="8"/>
    </row>
    <row r="658" ht="14.25" customHeight="1">
      <c r="B658" s="8"/>
      <c r="D658" s="8"/>
      <c r="F658" s="8"/>
      <c r="H658" s="8"/>
      <c r="J658" s="8"/>
      <c r="M658" s="8"/>
    </row>
    <row r="659" ht="14.25" customHeight="1">
      <c r="B659" s="8"/>
      <c r="D659" s="8"/>
      <c r="F659" s="8"/>
      <c r="H659" s="8"/>
      <c r="J659" s="8"/>
      <c r="M659" s="8"/>
    </row>
    <row r="660" ht="14.25" customHeight="1">
      <c r="B660" s="8"/>
      <c r="D660" s="8"/>
      <c r="F660" s="8"/>
      <c r="H660" s="8"/>
      <c r="J660" s="8"/>
      <c r="M660" s="8"/>
    </row>
    <row r="661" ht="14.25" customHeight="1">
      <c r="B661" s="8"/>
      <c r="D661" s="8"/>
      <c r="F661" s="8"/>
      <c r="H661" s="8"/>
      <c r="J661" s="8"/>
      <c r="M661" s="8"/>
    </row>
    <row r="662" ht="14.25" customHeight="1">
      <c r="B662" s="8"/>
      <c r="D662" s="8"/>
      <c r="F662" s="8"/>
      <c r="H662" s="8"/>
      <c r="J662" s="8"/>
      <c r="M662" s="8"/>
    </row>
    <row r="663" ht="14.25" customHeight="1">
      <c r="B663" s="8"/>
      <c r="D663" s="8"/>
      <c r="F663" s="8"/>
      <c r="H663" s="8"/>
      <c r="J663" s="8"/>
      <c r="M663" s="8"/>
    </row>
    <row r="664" ht="14.25" customHeight="1">
      <c r="B664" s="8"/>
      <c r="D664" s="8"/>
      <c r="F664" s="8"/>
      <c r="H664" s="8"/>
      <c r="J664" s="8"/>
      <c r="M664" s="8"/>
    </row>
    <row r="665" ht="14.25" customHeight="1">
      <c r="B665" s="8"/>
      <c r="D665" s="8"/>
      <c r="F665" s="8"/>
      <c r="H665" s="8"/>
      <c r="J665" s="8"/>
      <c r="M665" s="8"/>
    </row>
    <row r="666" ht="14.25" customHeight="1">
      <c r="B666" s="8"/>
      <c r="D666" s="8"/>
      <c r="F666" s="8"/>
      <c r="H666" s="8"/>
      <c r="J666" s="8"/>
      <c r="M666" s="8"/>
    </row>
    <row r="667" ht="14.25" customHeight="1">
      <c r="B667" s="8"/>
      <c r="D667" s="8"/>
      <c r="F667" s="8"/>
      <c r="H667" s="8"/>
      <c r="J667" s="8"/>
      <c r="M667" s="8"/>
    </row>
    <row r="668" ht="14.25" customHeight="1">
      <c r="B668" s="8"/>
      <c r="D668" s="8"/>
      <c r="F668" s="8"/>
      <c r="H668" s="8"/>
      <c r="J668" s="8"/>
      <c r="M668" s="8"/>
    </row>
    <row r="669" ht="14.25" customHeight="1">
      <c r="B669" s="8"/>
      <c r="D669" s="8"/>
      <c r="F669" s="8"/>
      <c r="H669" s="8"/>
      <c r="J669" s="8"/>
      <c r="M669" s="8"/>
    </row>
    <row r="670" ht="14.25" customHeight="1">
      <c r="B670" s="8"/>
      <c r="D670" s="8"/>
      <c r="F670" s="8"/>
      <c r="H670" s="8"/>
      <c r="J670" s="8"/>
      <c r="M670" s="8"/>
    </row>
    <row r="671" ht="14.25" customHeight="1">
      <c r="B671" s="8"/>
      <c r="D671" s="8"/>
      <c r="F671" s="8"/>
      <c r="H671" s="8"/>
      <c r="J671" s="8"/>
      <c r="M671" s="8"/>
    </row>
    <row r="672" ht="14.25" customHeight="1">
      <c r="B672" s="8"/>
      <c r="D672" s="8"/>
      <c r="F672" s="8"/>
      <c r="H672" s="8"/>
      <c r="J672" s="8"/>
      <c r="M672" s="8"/>
    </row>
    <row r="673" ht="14.25" customHeight="1">
      <c r="B673" s="8"/>
      <c r="D673" s="8"/>
      <c r="F673" s="8"/>
      <c r="H673" s="8"/>
      <c r="J673" s="8"/>
      <c r="M673" s="8"/>
    </row>
    <row r="674" ht="14.25" customHeight="1">
      <c r="B674" s="8"/>
      <c r="D674" s="8"/>
      <c r="F674" s="8"/>
      <c r="H674" s="8"/>
      <c r="J674" s="8"/>
      <c r="M674" s="8"/>
    </row>
    <row r="675" ht="14.25" customHeight="1">
      <c r="B675" s="8"/>
      <c r="D675" s="8"/>
      <c r="F675" s="8"/>
      <c r="H675" s="8"/>
      <c r="J675" s="8"/>
      <c r="M675" s="8"/>
    </row>
    <row r="676" ht="14.25" customHeight="1">
      <c r="B676" s="8"/>
      <c r="D676" s="8"/>
      <c r="F676" s="8"/>
      <c r="H676" s="8"/>
      <c r="J676" s="8"/>
      <c r="M676" s="8"/>
    </row>
    <row r="677" ht="14.25" customHeight="1">
      <c r="B677" s="8"/>
      <c r="D677" s="8"/>
      <c r="F677" s="8"/>
      <c r="H677" s="8"/>
      <c r="J677" s="8"/>
      <c r="M677" s="8"/>
    </row>
    <row r="678" ht="14.25" customHeight="1">
      <c r="B678" s="8"/>
      <c r="D678" s="8"/>
      <c r="F678" s="8"/>
      <c r="H678" s="8"/>
      <c r="J678" s="8"/>
      <c r="M678" s="8"/>
    </row>
    <row r="679" ht="14.25" customHeight="1">
      <c r="B679" s="8"/>
      <c r="D679" s="8"/>
      <c r="F679" s="8"/>
      <c r="H679" s="8"/>
      <c r="J679" s="8"/>
      <c r="M679" s="8"/>
    </row>
    <row r="680" ht="14.25" customHeight="1">
      <c r="B680" s="8"/>
      <c r="D680" s="8"/>
      <c r="F680" s="8"/>
      <c r="H680" s="8"/>
      <c r="J680" s="8"/>
      <c r="M680" s="8"/>
    </row>
    <row r="681" ht="14.25" customHeight="1">
      <c r="B681" s="8"/>
      <c r="D681" s="8"/>
      <c r="F681" s="8"/>
      <c r="H681" s="8"/>
      <c r="J681" s="8"/>
      <c r="M681" s="8"/>
    </row>
    <row r="682" ht="14.25" customHeight="1">
      <c r="B682" s="8"/>
      <c r="D682" s="8"/>
      <c r="F682" s="8"/>
      <c r="H682" s="8"/>
      <c r="J682" s="8"/>
      <c r="M682" s="8"/>
    </row>
    <row r="683" ht="14.25" customHeight="1">
      <c r="B683" s="8"/>
      <c r="D683" s="8"/>
      <c r="F683" s="8"/>
      <c r="H683" s="8"/>
      <c r="J683" s="8"/>
      <c r="M683" s="8"/>
    </row>
    <row r="684" ht="14.25" customHeight="1">
      <c r="B684" s="8"/>
      <c r="D684" s="8"/>
      <c r="F684" s="8"/>
      <c r="H684" s="8"/>
      <c r="J684" s="8"/>
      <c r="M684" s="8"/>
    </row>
    <row r="685" ht="14.25" customHeight="1">
      <c r="B685" s="8"/>
      <c r="D685" s="8"/>
      <c r="F685" s="8"/>
      <c r="H685" s="8"/>
      <c r="J685" s="8"/>
      <c r="M685" s="8"/>
    </row>
    <row r="686" ht="14.25" customHeight="1">
      <c r="B686" s="8"/>
      <c r="D686" s="8"/>
      <c r="F686" s="8"/>
      <c r="H686" s="8"/>
      <c r="J686" s="8"/>
      <c r="M686" s="8"/>
    </row>
    <row r="687" ht="14.25" customHeight="1">
      <c r="B687" s="8"/>
      <c r="D687" s="8"/>
      <c r="F687" s="8"/>
      <c r="H687" s="8"/>
      <c r="J687" s="8"/>
      <c r="M687" s="8"/>
    </row>
    <row r="688" ht="14.25" customHeight="1">
      <c r="B688" s="8"/>
      <c r="D688" s="8"/>
      <c r="F688" s="8"/>
      <c r="H688" s="8"/>
      <c r="J688" s="8"/>
      <c r="M688" s="8"/>
    </row>
    <row r="689" ht="14.25" customHeight="1">
      <c r="B689" s="8"/>
      <c r="D689" s="8"/>
      <c r="F689" s="8"/>
      <c r="H689" s="8"/>
      <c r="J689" s="8"/>
      <c r="M689" s="8"/>
    </row>
    <row r="690" ht="14.25" customHeight="1">
      <c r="B690" s="8"/>
      <c r="D690" s="8"/>
      <c r="F690" s="8"/>
      <c r="H690" s="8"/>
      <c r="J690" s="8"/>
      <c r="M690" s="8"/>
    </row>
    <row r="691" ht="14.25" customHeight="1">
      <c r="B691" s="8"/>
      <c r="D691" s="8"/>
      <c r="F691" s="8"/>
      <c r="H691" s="8"/>
      <c r="J691" s="8"/>
      <c r="M691" s="8"/>
    </row>
    <row r="692" ht="14.25" customHeight="1">
      <c r="B692" s="8"/>
      <c r="D692" s="8"/>
      <c r="F692" s="8"/>
      <c r="H692" s="8"/>
      <c r="J692" s="8"/>
      <c r="M692" s="8"/>
    </row>
    <row r="693" ht="14.25" customHeight="1">
      <c r="B693" s="8"/>
      <c r="D693" s="8"/>
      <c r="F693" s="8"/>
      <c r="H693" s="8"/>
      <c r="J693" s="8"/>
      <c r="M693" s="8"/>
    </row>
    <row r="694" ht="14.25" customHeight="1">
      <c r="B694" s="8"/>
      <c r="D694" s="8"/>
      <c r="F694" s="8"/>
      <c r="H694" s="8"/>
      <c r="J694" s="8"/>
      <c r="M694" s="8"/>
    </row>
    <row r="695" ht="14.25" customHeight="1">
      <c r="B695" s="8"/>
      <c r="D695" s="8"/>
      <c r="F695" s="8"/>
      <c r="H695" s="8"/>
      <c r="J695" s="8"/>
      <c r="M695" s="8"/>
    </row>
    <row r="696" ht="14.25" customHeight="1">
      <c r="B696" s="8"/>
      <c r="D696" s="8"/>
      <c r="F696" s="8"/>
      <c r="H696" s="8"/>
      <c r="J696" s="8"/>
      <c r="M696" s="8"/>
    </row>
    <row r="697" ht="14.25" customHeight="1">
      <c r="B697" s="8"/>
      <c r="D697" s="8"/>
      <c r="F697" s="8"/>
      <c r="H697" s="8"/>
      <c r="J697" s="8"/>
      <c r="M697" s="8"/>
    </row>
    <row r="698" ht="14.25" customHeight="1">
      <c r="B698" s="8"/>
      <c r="D698" s="8"/>
      <c r="F698" s="8"/>
      <c r="H698" s="8"/>
      <c r="J698" s="8"/>
      <c r="M698" s="8"/>
    </row>
    <row r="699" ht="14.25" customHeight="1">
      <c r="B699" s="8"/>
      <c r="D699" s="8"/>
      <c r="F699" s="8"/>
      <c r="H699" s="8"/>
      <c r="J699" s="8"/>
      <c r="M699" s="8"/>
    </row>
    <row r="700" ht="14.25" customHeight="1">
      <c r="B700" s="8"/>
      <c r="D700" s="8"/>
      <c r="F700" s="8"/>
      <c r="H700" s="8"/>
      <c r="J700" s="8"/>
      <c r="M700" s="8"/>
    </row>
    <row r="701" ht="14.25" customHeight="1">
      <c r="B701" s="8"/>
      <c r="D701" s="8"/>
      <c r="F701" s="8"/>
      <c r="H701" s="8"/>
      <c r="J701" s="8"/>
      <c r="M701" s="8"/>
    </row>
    <row r="702" ht="14.25" customHeight="1">
      <c r="B702" s="8"/>
      <c r="D702" s="8"/>
      <c r="F702" s="8"/>
      <c r="H702" s="8"/>
      <c r="J702" s="8"/>
      <c r="M702" s="8"/>
    </row>
    <row r="703" ht="14.25" customHeight="1">
      <c r="B703" s="8"/>
      <c r="D703" s="8"/>
      <c r="F703" s="8"/>
      <c r="H703" s="8"/>
      <c r="J703" s="8"/>
      <c r="M703" s="8"/>
    </row>
    <row r="704" ht="14.25" customHeight="1">
      <c r="B704" s="8"/>
      <c r="D704" s="8"/>
      <c r="F704" s="8"/>
      <c r="H704" s="8"/>
      <c r="J704" s="8"/>
      <c r="M704" s="8"/>
    </row>
    <row r="705" ht="14.25" customHeight="1">
      <c r="B705" s="8"/>
      <c r="D705" s="8"/>
      <c r="F705" s="8"/>
      <c r="H705" s="8"/>
      <c r="J705" s="8"/>
      <c r="M705" s="8"/>
    </row>
    <row r="706" ht="14.25" customHeight="1">
      <c r="B706" s="8"/>
      <c r="D706" s="8"/>
      <c r="F706" s="8"/>
      <c r="H706" s="8"/>
      <c r="J706" s="8"/>
      <c r="M706" s="8"/>
    </row>
    <row r="707" ht="14.25" customHeight="1">
      <c r="B707" s="8"/>
      <c r="D707" s="8"/>
      <c r="F707" s="8"/>
      <c r="H707" s="8"/>
      <c r="J707" s="8"/>
      <c r="M707" s="8"/>
    </row>
    <row r="708" ht="14.25" customHeight="1">
      <c r="B708" s="8"/>
      <c r="D708" s="8"/>
      <c r="F708" s="8"/>
      <c r="H708" s="8"/>
      <c r="J708" s="8"/>
      <c r="M708" s="8"/>
    </row>
    <row r="709" ht="14.25" customHeight="1">
      <c r="B709" s="8"/>
      <c r="D709" s="8"/>
      <c r="F709" s="8"/>
      <c r="H709" s="8"/>
      <c r="J709" s="8"/>
      <c r="M709" s="8"/>
    </row>
    <row r="710" ht="14.25" customHeight="1">
      <c r="B710" s="8"/>
      <c r="D710" s="8"/>
      <c r="F710" s="8"/>
      <c r="H710" s="8"/>
      <c r="J710" s="8"/>
      <c r="M710" s="8"/>
    </row>
    <row r="711" ht="14.25" customHeight="1">
      <c r="B711" s="8"/>
      <c r="D711" s="8"/>
      <c r="F711" s="8"/>
      <c r="H711" s="8"/>
      <c r="J711" s="8"/>
      <c r="M711" s="8"/>
    </row>
    <row r="712" ht="14.25" customHeight="1">
      <c r="B712" s="8"/>
      <c r="D712" s="8"/>
      <c r="F712" s="8"/>
      <c r="H712" s="8"/>
      <c r="J712" s="8"/>
      <c r="M712" s="8"/>
    </row>
    <row r="713" ht="14.25" customHeight="1">
      <c r="B713" s="8"/>
      <c r="D713" s="8"/>
      <c r="F713" s="8"/>
      <c r="H713" s="8"/>
      <c r="J713" s="8"/>
      <c r="M713" s="8"/>
    </row>
    <row r="714" ht="14.25" customHeight="1">
      <c r="B714" s="8"/>
      <c r="D714" s="8"/>
      <c r="F714" s="8"/>
      <c r="H714" s="8"/>
      <c r="J714" s="8"/>
      <c r="M714" s="8"/>
    </row>
    <row r="715" ht="14.25" customHeight="1">
      <c r="B715" s="8"/>
      <c r="D715" s="8"/>
      <c r="F715" s="8"/>
      <c r="H715" s="8"/>
      <c r="J715" s="8"/>
      <c r="M715" s="8"/>
    </row>
    <row r="716" ht="14.25" customHeight="1">
      <c r="B716" s="8"/>
      <c r="D716" s="8"/>
      <c r="F716" s="8"/>
      <c r="H716" s="8"/>
      <c r="J716" s="8"/>
      <c r="M716" s="8"/>
    </row>
    <row r="717" ht="14.25" customHeight="1">
      <c r="B717" s="8"/>
      <c r="D717" s="8"/>
      <c r="F717" s="8"/>
      <c r="H717" s="8"/>
      <c r="J717" s="8"/>
      <c r="M717" s="8"/>
    </row>
    <row r="718" ht="14.25" customHeight="1">
      <c r="B718" s="8"/>
      <c r="D718" s="8"/>
      <c r="F718" s="8"/>
      <c r="H718" s="8"/>
      <c r="J718" s="8"/>
      <c r="M718" s="8"/>
    </row>
    <row r="719" ht="14.25" customHeight="1">
      <c r="B719" s="8"/>
      <c r="D719" s="8"/>
      <c r="F719" s="8"/>
      <c r="H719" s="8"/>
      <c r="J719" s="8"/>
      <c r="M719" s="8"/>
    </row>
    <row r="720" ht="14.25" customHeight="1">
      <c r="B720" s="8"/>
      <c r="D720" s="8"/>
      <c r="F720" s="8"/>
      <c r="H720" s="8"/>
      <c r="J720" s="8"/>
      <c r="M720" s="8"/>
    </row>
    <row r="721" ht="14.25" customHeight="1">
      <c r="B721" s="8"/>
      <c r="D721" s="8"/>
      <c r="F721" s="8"/>
      <c r="H721" s="8"/>
      <c r="J721" s="8"/>
      <c r="M721" s="8"/>
    </row>
    <row r="722" ht="14.25" customHeight="1">
      <c r="B722" s="8"/>
      <c r="D722" s="8"/>
      <c r="F722" s="8"/>
      <c r="H722" s="8"/>
      <c r="J722" s="8"/>
      <c r="M722" s="8"/>
    </row>
    <row r="723" ht="14.25" customHeight="1">
      <c r="B723" s="8"/>
      <c r="D723" s="8"/>
      <c r="F723" s="8"/>
      <c r="H723" s="8"/>
      <c r="J723" s="8"/>
      <c r="M723" s="8"/>
    </row>
    <row r="724" ht="14.25" customHeight="1">
      <c r="B724" s="8"/>
      <c r="D724" s="8"/>
      <c r="F724" s="8"/>
      <c r="H724" s="8"/>
      <c r="J724" s="8"/>
      <c r="M724" s="8"/>
    </row>
    <row r="725" ht="14.25" customHeight="1">
      <c r="B725" s="8"/>
      <c r="D725" s="8"/>
      <c r="F725" s="8"/>
      <c r="H725" s="8"/>
      <c r="J725" s="8"/>
      <c r="M725" s="8"/>
    </row>
    <row r="726" ht="14.25" customHeight="1">
      <c r="B726" s="8"/>
      <c r="D726" s="8"/>
      <c r="F726" s="8"/>
      <c r="H726" s="8"/>
      <c r="J726" s="8"/>
      <c r="M726" s="8"/>
    </row>
    <row r="727" ht="14.25" customHeight="1">
      <c r="B727" s="8"/>
      <c r="D727" s="8"/>
      <c r="F727" s="8"/>
      <c r="H727" s="8"/>
      <c r="J727" s="8"/>
      <c r="M727" s="8"/>
    </row>
    <row r="728" ht="14.25" customHeight="1">
      <c r="B728" s="8"/>
      <c r="D728" s="8"/>
      <c r="F728" s="8"/>
      <c r="H728" s="8"/>
      <c r="J728" s="8"/>
      <c r="M728" s="8"/>
    </row>
    <row r="729" ht="14.25" customHeight="1">
      <c r="B729" s="8"/>
      <c r="D729" s="8"/>
      <c r="F729" s="8"/>
      <c r="H729" s="8"/>
      <c r="J729" s="8"/>
      <c r="M729" s="8"/>
    </row>
    <row r="730" ht="14.25" customHeight="1">
      <c r="B730" s="8"/>
      <c r="D730" s="8"/>
      <c r="F730" s="8"/>
      <c r="H730" s="8"/>
      <c r="J730" s="8"/>
      <c r="M730" s="8"/>
    </row>
    <row r="731" ht="14.25" customHeight="1">
      <c r="B731" s="8"/>
      <c r="D731" s="8"/>
      <c r="F731" s="8"/>
      <c r="H731" s="8"/>
      <c r="J731" s="8"/>
      <c r="M731" s="8"/>
    </row>
    <row r="732" ht="14.25" customHeight="1">
      <c r="B732" s="8"/>
      <c r="D732" s="8"/>
      <c r="F732" s="8"/>
      <c r="H732" s="8"/>
      <c r="J732" s="8"/>
      <c r="M732" s="8"/>
    </row>
    <row r="733" ht="14.25" customHeight="1">
      <c r="B733" s="8"/>
      <c r="D733" s="8"/>
      <c r="F733" s="8"/>
      <c r="H733" s="8"/>
      <c r="J733" s="8"/>
      <c r="M733" s="8"/>
    </row>
    <row r="734" ht="14.25" customHeight="1">
      <c r="B734" s="8"/>
      <c r="D734" s="8"/>
      <c r="F734" s="8"/>
      <c r="H734" s="8"/>
      <c r="J734" s="8"/>
      <c r="M734" s="8"/>
    </row>
    <row r="735" ht="14.25" customHeight="1">
      <c r="B735" s="8"/>
      <c r="D735" s="8"/>
      <c r="F735" s="8"/>
      <c r="H735" s="8"/>
      <c r="J735" s="8"/>
      <c r="M735" s="8"/>
    </row>
    <row r="736" ht="14.25" customHeight="1">
      <c r="B736" s="8"/>
      <c r="D736" s="8"/>
      <c r="F736" s="8"/>
      <c r="H736" s="8"/>
      <c r="J736" s="8"/>
      <c r="M736" s="8"/>
    </row>
    <row r="737" ht="14.25" customHeight="1">
      <c r="B737" s="8"/>
      <c r="D737" s="8"/>
      <c r="F737" s="8"/>
      <c r="H737" s="8"/>
      <c r="J737" s="8"/>
      <c r="M737" s="8"/>
    </row>
    <row r="738" ht="14.25" customHeight="1">
      <c r="B738" s="8"/>
      <c r="D738" s="8"/>
      <c r="F738" s="8"/>
      <c r="H738" s="8"/>
      <c r="J738" s="8"/>
      <c r="M738" s="8"/>
    </row>
    <row r="739" ht="14.25" customHeight="1">
      <c r="B739" s="8"/>
      <c r="D739" s="8"/>
      <c r="F739" s="8"/>
      <c r="H739" s="8"/>
      <c r="J739" s="8"/>
      <c r="M739" s="8"/>
    </row>
    <row r="740" ht="14.25" customHeight="1">
      <c r="B740" s="8"/>
      <c r="D740" s="8"/>
      <c r="F740" s="8"/>
      <c r="H740" s="8"/>
      <c r="J740" s="8"/>
      <c r="M740" s="8"/>
    </row>
    <row r="741" ht="14.25" customHeight="1">
      <c r="B741" s="8"/>
      <c r="D741" s="8"/>
      <c r="F741" s="8"/>
      <c r="H741" s="8"/>
      <c r="J741" s="8"/>
      <c r="M741" s="8"/>
    </row>
    <row r="742" ht="14.25" customHeight="1">
      <c r="B742" s="8"/>
      <c r="D742" s="8"/>
      <c r="F742" s="8"/>
      <c r="H742" s="8"/>
      <c r="J742" s="8"/>
      <c r="M742" s="8"/>
    </row>
    <row r="743" ht="14.25" customHeight="1">
      <c r="B743" s="8"/>
      <c r="D743" s="8"/>
      <c r="F743" s="8"/>
      <c r="H743" s="8"/>
      <c r="J743" s="8"/>
      <c r="M743" s="8"/>
    </row>
    <row r="744" ht="14.25" customHeight="1">
      <c r="B744" s="8"/>
      <c r="D744" s="8"/>
      <c r="F744" s="8"/>
      <c r="H744" s="8"/>
      <c r="J744" s="8"/>
      <c r="M744" s="8"/>
    </row>
    <row r="745" ht="14.25" customHeight="1">
      <c r="B745" s="8"/>
      <c r="D745" s="8"/>
      <c r="F745" s="8"/>
      <c r="H745" s="8"/>
      <c r="J745" s="8"/>
      <c r="M745" s="8"/>
    </row>
    <row r="746" ht="14.25" customHeight="1">
      <c r="B746" s="8"/>
      <c r="D746" s="8"/>
      <c r="F746" s="8"/>
      <c r="H746" s="8"/>
      <c r="J746" s="8"/>
      <c r="M746" s="8"/>
    </row>
    <row r="747" ht="14.25" customHeight="1">
      <c r="B747" s="8"/>
      <c r="D747" s="8"/>
      <c r="F747" s="8"/>
      <c r="H747" s="8"/>
      <c r="J747" s="8"/>
      <c r="M747" s="8"/>
    </row>
    <row r="748" ht="14.25" customHeight="1">
      <c r="B748" s="8"/>
      <c r="D748" s="8"/>
      <c r="F748" s="8"/>
      <c r="H748" s="8"/>
      <c r="J748" s="8"/>
      <c r="M748" s="8"/>
    </row>
    <row r="749" ht="14.25" customHeight="1">
      <c r="B749" s="8"/>
      <c r="D749" s="8"/>
      <c r="F749" s="8"/>
      <c r="H749" s="8"/>
      <c r="J749" s="8"/>
      <c r="M749" s="8"/>
    </row>
    <row r="750" ht="14.25" customHeight="1">
      <c r="B750" s="8"/>
      <c r="D750" s="8"/>
      <c r="F750" s="8"/>
      <c r="H750" s="8"/>
      <c r="J750" s="8"/>
      <c r="M750" s="8"/>
    </row>
    <row r="751" ht="14.25" customHeight="1">
      <c r="B751" s="8"/>
      <c r="D751" s="8"/>
      <c r="F751" s="8"/>
      <c r="H751" s="8"/>
      <c r="J751" s="8"/>
      <c r="M751" s="8"/>
    </row>
    <row r="752" ht="14.25" customHeight="1">
      <c r="B752" s="8"/>
      <c r="D752" s="8"/>
      <c r="F752" s="8"/>
      <c r="H752" s="8"/>
      <c r="J752" s="8"/>
      <c r="M752" s="8"/>
    </row>
    <row r="753" ht="14.25" customHeight="1">
      <c r="B753" s="8"/>
      <c r="D753" s="8"/>
      <c r="F753" s="8"/>
      <c r="H753" s="8"/>
      <c r="J753" s="8"/>
      <c r="M753" s="8"/>
    </row>
    <row r="754" ht="14.25" customHeight="1">
      <c r="B754" s="8"/>
      <c r="D754" s="8"/>
      <c r="F754" s="8"/>
      <c r="H754" s="8"/>
      <c r="J754" s="8"/>
      <c r="M754" s="8"/>
    </row>
    <row r="755" ht="14.25" customHeight="1">
      <c r="B755" s="8"/>
      <c r="D755" s="8"/>
      <c r="F755" s="8"/>
      <c r="H755" s="8"/>
      <c r="J755" s="8"/>
      <c r="M755" s="8"/>
    </row>
    <row r="756" ht="14.25" customHeight="1">
      <c r="B756" s="8"/>
      <c r="D756" s="8"/>
      <c r="F756" s="8"/>
      <c r="H756" s="8"/>
      <c r="J756" s="8"/>
      <c r="M756" s="8"/>
    </row>
    <row r="757" ht="14.25" customHeight="1">
      <c r="B757" s="8"/>
      <c r="D757" s="8"/>
      <c r="F757" s="8"/>
      <c r="H757" s="8"/>
      <c r="J757" s="8"/>
      <c r="M757" s="8"/>
    </row>
    <row r="758" ht="14.25" customHeight="1">
      <c r="B758" s="8"/>
      <c r="D758" s="8"/>
      <c r="F758" s="8"/>
      <c r="H758" s="8"/>
      <c r="J758" s="8"/>
      <c r="M758" s="8"/>
    </row>
    <row r="759" ht="14.25" customHeight="1">
      <c r="B759" s="8"/>
      <c r="D759" s="8"/>
      <c r="F759" s="8"/>
      <c r="H759" s="8"/>
      <c r="J759" s="8"/>
      <c r="M759" s="8"/>
    </row>
    <row r="760" ht="14.25" customHeight="1">
      <c r="B760" s="8"/>
      <c r="D760" s="8"/>
      <c r="F760" s="8"/>
      <c r="H760" s="8"/>
      <c r="J760" s="8"/>
      <c r="M760" s="8"/>
    </row>
    <row r="761" ht="14.25" customHeight="1">
      <c r="B761" s="8"/>
      <c r="D761" s="8"/>
      <c r="F761" s="8"/>
      <c r="H761" s="8"/>
      <c r="J761" s="8"/>
      <c r="M761" s="8"/>
    </row>
    <row r="762" ht="14.25" customHeight="1">
      <c r="B762" s="8"/>
      <c r="D762" s="8"/>
      <c r="F762" s="8"/>
      <c r="H762" s="8"/>
      <c r="J762" s="8"/>
      <c r="M762" s="8"/>
    </row>
    <row r="763" ht="14.25" customHeight="1">
      <c r="B763" s="8"/>
      <c r="D763" s="8"/>
      <c r="F763" s="8"/>
      <c r="H763" s="8"/>
      <c r="J763" s="8"/>
      <c r="M763" s="8"/>
    </row>
    <row r="764" ht="14.25" customHeight="1">
      <c r="B764" s="8"/>
      <c r="D764" s="8"/>
      <c r="F764" s="8"/>
      <c r="H764" s="8"/>
      <c r="J764" s="8"/>
      <c r="M764" s="8"/>
    </row>
    <row r="765" ht="14.25" customHeight="1">
      <c r="B765" s="8"/>
      <c r="D765" s="8"/>
      <c r="F765" s="8"/>
      <c r="H765" s="8"/>
      <c r="J765" s="8"/>
      <c r="M765" s="8"/>
    </row>
    <row r="766" ht="14.25" customHeight="1">
      <c r="B766" s="8"/>
      <c r="D766" s="8"/>
      <c r="F766" s="8"/>
      <c r="H766" s="8"/>
      <c r="J766" s="8"/>
      <c r="M766" s="8"/>
    </row>
    <row r="767" ht="14.25" customHeight="1">
      <c r="B767" s="8"/>
      <c r="D767" s="8"/>
      <c r="F767" s="8"/>
      <c r="H767" s="8"/>
      <c r="J767" s="8"/>
      <c r="M767" s="8"/>
    </row>
    <row r="768" ht="14.25" customHeight="1">
      <c r="B768" s="8"/>
      <c r="D768" s="8"/>
      <c r="F768" s="8"/>
      <c r="H768" s="8"/>
      <c r="J768" s="8"/>
      <c r="M768" s="8"/>
    </row>
    <row r="769" ht="14.25" customHeight="1">
      <c r="B769" s="8"/>
      <c r="D769" s="8"/>
      <c r="F769" s="8"/>
      <c r="H769" s="8"/>
      <c r="J769" s="8"/>
      <c r="M769" s="8"/>
    </row>
    <row r="770" ht="14.25" customHeight="1">
      <c r="B770" s="8"/>
      <c r="D770" s="8"/>
      <c r="F770" s="8"/>
      <c r="H770" s="8"/>
      <c r="J770" s="8"/>
      <c r="M770" s="8"/>
    </row>
    <row r="771" ht="14.25" customHeight="1">
      <c r="B771" s="8"/>
      <c r="D771" s="8"/>
      <c r="F771" s="8"/>
      <c r="H771" s="8"/>
      <c r="J771" s="8"/>
      <c r="M771" s="8"/>
    </row>
    <row r="772" ht="14.25" customHeight="1">
      <c r="B772" s="8"/>
      <c r="D772" s="8"/>
      <c r="F772" s="8"/>
      <c r="H772" s="8"/>
      <c r="J772" s="8"/>
      <c r="M772" s="8"/>
    </row>
    <row r="773" ht="14.25" customHeight="1">
      <c r="B773" s="8"/>
      <c r="D773" s="8"/>
      <c r="F773" s="8"/>
      <c r="H773" s="8"/>
      <c r="J773" s="8"/>
      <c r="M773" s="8"/>
    </row>
    <row r="774" ht="14.25" customHeight="1">
      <c r="B774" s="8"/>
      <c r="D774" s="8"/>
      <c r="F774" s="8"/>
      <c r="H774" s="8"/>
      <c r="J774" s="8"/>
      <c r="M774" s="8"/>
    </row>
    <row r="775" ht="14.25" customHeight="1">
      <c r="B775" s="8"/>
      <c r="D775" s="8"/>
      <c r="F775" s="8"/>
      <c r="H775" s="8"/>
      <c r="J775" s="8"/>
      <c r="M775" s="8"/>
    </row>
    <row r="776" ht="14.25" customHeight="1">
      <c r="B776" s="8"/>
      <c r="D776" s="8"/>
      <c r="F776" s="8"/>
      <c r="H776" s="8"/>
      <c r="J776" s="8"/>
      <c r="M776" s="8"/>
    </row>
    <row r="777" ht="14.25" customHeight="1">
      <c r="B777" s="8"/>
      <c r="D777" s="8"/>
      <c r="F777" s="8"/>
      <c r="H777" s="8"/>
      <c r="J777" s="8"/>
      <c r="M777" s="8"/>
    </row>
    <row r="778" ht="14.25" customHeight="1">
      <c r="B778" s="8"/>
      <c r="D778" s="8"/>
      <c r="F778" s="8"/>
      <c r="H778" s="8"/>
      <c r="J778" s="8"/>
      <c r="M778" s="8"/>
    </row>
    <row r="779" ht="14.25" customHeight="1">
      <c r="B779" s="8"/>
      <c r="D779" s="8"/>
      <c r="F779" s="8"/>
      <c r="H779" s="8"/>
      <c r="J779" s="8"/>
      <c r="M779" s="8"/>
    </row>
    <row r="780" ht="14.25" customHeight="1">
      <c r="B780" s="8"/>
      <c r="D780" s="8"/>
      <c r="F780" s="8"/>
      <c r="H780" s="8"/>
      <c r="J780" s="8"/>
      <c r="M780" s="8"/>
    </row>
    <row r="781" ht="14.25" customHeight="1">
      <c r="B781" s="8"/>
      <c r="D781" s="8"/>
      <c r="F781" s="8"/>
      <c r="H781" s="8"/>
      <c r="J781" s="8"/>
      <c r="M781" s="8"/>
    </row>
    <row r="782" ht="14.25" customHeight="1">
      <c r="B782" s="8"/>
      <c r="D782" s="8"/>
      <c r="F782" s="8"/>
      <c r="H782" s="8"/>
      <c r="J782" s="8"/>
      <c r="M782" s="8"/>
    </row>
    <row r="783" ht="14.25" customHeight="1">
      <c r="B783" s="8"/>
      <c r="D783" s="8"/>
      <c r="F783" s="8"/>
      <c r="H783" s="8"/>
      <c r="J783" s="8"/>
      <c r="M783" s="8"/>
    </row>
    <row r="784" ht="14.25" customHeight="1">
      <c r="B784" s="8"/>
      <c r="D784" s="8"/>
      <c r="F784" s="8"/>
      <c r="H784" s="8"/>
      <c r="J784" s="8"/>
      <c r="M784" s="8"/>
    </row>
    <row r="785" ht="14.25" customHeight="1">
      <c r="B785" s="8"/>
      <c r="D785" s="8"/>
      <c r="F785" s="8"/>
      <c r="H785" s="8"/>
      <c r="J785" s="8"/>
      <c r="M785" s="8"/>
    </row>
    <row r="786" ht="14.25" customHeight="1">
      <c r="B786" s="8"/>
      <c r="D786" s="8"/>
      <c r="F786" s="8"/>
      <c r="H786" s="8"/>
      <c r="J786" s="8"/>
      <c r="M786" s="8"/>
    </row>
    <row r="787" ht="14.25" customHeight="1">
      <c r="B787" s="8"/>
      <c r="D787" s="8"/>
      <c r="F787" s="8"/>
      <c r="H787" s="8"/>
      <c r="J787" s="8"/>
      <c r="M787" s="8"/>
    </row>
    <row r="788" ht="14.25" customHeight="1">
      <c r="B788" s="8"/>
      <c r="D788" s="8"/>
      <c r="F788" s="8"/>
      <c r="H788" s="8"/>
      <c r="J788" s="8"/>
      <c r="M788" s="8"/>
    </row>
    <row r="789" ht="14.25" customHeight="1">
      <c r="B789" s="8"/>
      <c r="D789" s="8"/>
      <c r="F789" s="8"/>
      <c r="H789" s="8"/>
      <c r="J789" s="8"/>
      <c r="M789" s="8"/>
    </row>
    <row r="790" ht="14.25" customHeight="1">
      <c r="B790" s="8"/>
      <c r="D790" s="8"/>
      <c r="F790" s="8"/>
      <c r="H790" s="8"/>
      <c r="J790" s="8"/>
      <c r="M790" s="8"/>
    </row>
    <row r="791" ht="14.25" customHeight="1">
      <c r="B791" s="8"/>
      <c r="D791" s="8"/>
      <c r="F791" s="8"/>
      <c r="H791" s="8"/>
      <c r="J791" s="8"/>
      <c r="M791" s="8"/>
    </row>
    <row r="792" ht="14.25" customHeight="1">
      <c r="B792" s="8"/>
      <c r="D792" s="8"/>
      <c r="F792" s="8"/>
      <c r="H792" s="8"/>
      <c r="J792" s="8"/>
      <c r="M792" s="8"/>
    </row>
    <row r="793" ht="14.25" customHeight="1">
      <c r="B793" s="8"/>
      <c r="D793" s="8"/>
      <c r="F793" s="8"/>
      <c r="H793" s="8"/>
      <c r="J793" s="8"/>
      <c r="M793" s="8"/>
    </row>
    <row r="794" ht="14.25" customHeight="1">
      <c r="B794" s="8"/>
      <c r="D794" s="8"/>
      <c r="F794" s="8"/>
      <c r="H794" s="8"/>
      <c r="J794" s="8"/>
      <c r="M794" s="8"/>
    </row>
    <row r="795" ht="14.25" customHeight="1">
      <c r="B795" s="8"/>
      <c r="D795" s="8"/>
      <c r="F795" s="8"/>
      <c r="H795" s="8"/>
      <c r="J795" s="8"/>
      <c r="M795" s="8"/>
    </row>
    <row r="796" ht="14.25" customHeight="1">
      <c r="B796" s="8"/>
      <c r="D796" s="8"/>
      <c r="F796" s="8"/>
      <c r="H796" s="8"/>
      <c r="J796" s="8"/>
      <c r="M796" s="8"/>
    </row>
    <row r="797" ht="14.25" customHeight="1">
      <c r="B797" s="8"/>
      <c r="D797" s="8"/>
      <c r="F797" s="8"/>
      <c r="H797" s="8"/>
      <c r="J797" s="8"/>
      <c r="M797" s="8"/>
    </row>
    <row r="798" ht="14.25" customHeight="1">
      <c r="B798" s="8"/>
      <c r="D798" s="8"/>
      <c r="F798" s="8"/>
      <c r="H798" s="8"/>
      <c r="J798" s="8"/>
      <c r="M798" s="8"/>
    </row>
    <row r="799" ht="14.25" customHeight="1">
      <c r="B799" s="8"/>
      <c r="D799" s="8"/>
      <c r="F799" s="8"/>
      <c r="H799" s="8"/>
      <c r="J799" s="8"/>
      <c r="M799" s="8"/>
    </row>
    <row r="800" ht="14.25" customHeight="1">
      <c r="B800" s="8"/>
      <c r="D800" s="8"/>
      <c r="F800" s="8"/>
      <c r="H800" s="8"/>
      <c r="J800" s="8"/>
      <c r="M800" s="8"/>
    </row>
    <row r="801" ht="14.25" customHeight="1">
      <c r="B801" s="8"/>
      <c r="D801" s="8"/>
      <c r="F801" s="8"/>
      <c r="H801" s="8"/>
      <c r="J801" s="8"/>
      <c r="M801" s="8"/>
    </row>
    <row r="802" ht="14.25" customHeight="1">
      <c r="B802" s="8"/>
      <c r="D802" s="8"/>
      <c r="F802" s="8"/>
      <c r="H802" s="8"/>
      <c r="J802" s="8"/>
      <c r="M802" s="8"/>
    </row>
    <row r="803" ht="14.25" customHeight="1">
      <c r="B803" s="8"/>
      <c r="D803" s="8"/>
      <c r="F803" s="8"/>
      <c r="H803" s="8"/>
      <c r="J803" s="8"/>
      <c r="M803" s="8"/>
    </row>
    <row r="804" ht="14.25" customHeight="1">
      <c r="B804" s="8"/>
      <c r="D804" s="8"/>
      <c r="F804" s="8"/>
      <c r="H804" s="8"/>
      <c r="J804" s="8"/>
      <c r="M804" s="8"/>
    </row>
    <row r="805" ht="14.25" customHeight="1">
      <c r="B805" s="8"/>
      <c r="D805" s="8"/>
      <c r="F805" s="8"/>
      <c r="H805" s="8"/>
      <c r="J805" s="8"/>
      <c r="M805" s="8"/>
    </row>
    <row r="806" ht="14.25" customHeight="1">
      <c r="B806" s="8"/>
      <c r="D806" s="8"/>
      <c r="F806" s="8"/>
      <c r="H806" s="8"/>
      <c r="J806" s="8"/>
      <c r="M806" s="8"/>
    </row>
    <row r="807" ht="14.25" customHeight="1">
      <c r="B807" s="8"/>
      <c r="D807" s="8"/>
      <c r="F807" s="8"/>
      <c r="H807" s="8"/>
      <c r="J807" s="8"/>
      <c r="M807" s="8"/>
    </row>
    <row r="808" ht="14.25" customHeight="1">
      <c r="B808" s="8"/>
      <c r="D808" s="8"/>
      <c r="F808" s="8"/>
      <c r="H808" s="8"/>
      <c r="J808" s="8"/>
      <c r="M808" s="8"/>
    </row>
    <row r="809" ht="14.25" customHeight="1">
      <c r="B809" s="8"/>
      <c r="D809" s="8"/>
      <c r="F809" s="8"/>
      <c r="H809" s="8"/>
      <c r="J809" s="8"/>
      <c r="M809" s="8"/>
    </row>
    <row r="810" ht="14.25" customHeight="1">
      <c r="B810" s="8"/>
      <c r="D810" s="8"/>
      <c r="F810" s="8"/>
      <c r="H810" s="8"/>
      <c r="J810" s="8"/>
      <c r="M810" s="8"/>
    </row>
    <row r="811" ht="14.25" customHeight="1">
      <c r="B811" s="8"/>
      <c r="D811" s="8"/>
      <c r="F811" s="8"/>
      <c r="H811" s="8"/>
      <c r="J811" s="8"/>
      <c r="M811" s="8"/>
    </row>
    <row r="812" ht="14.25" customHeight="1">
      <c r="B812" s="8"/>
      <c r="D812" s="8"/>
      <c r="F812" s="8"/>
      <c r="H812" s="8"/>
      <c r="J812" s="8"/>
      <c r="M812" s="8"/>
    </row>
    <row r="813" ht="14.25" customHeight="1">
      <c r="B813" s="8"/>
      <c r="D813" s="8"/>
      <c r="F813" s="8"/>
      <c r="H813" s="8"/>
      <c r="J813" s="8"/>
      <c r="M813" s="8"/>
    </row>
    <row r="814" ht="14.25" customHeight="1">
      <c r="B814" s="8"/>
      <c r="D814" s="8"/>
      <c r="F814" s="8"/>
      <c r="H814" s="8"/>
      <c r="J814" s="8"/>
      <c r="M814" s="8"/>
    </row>
    <row r="815" ht="14.25" customHeight="1">
      <c r="B815" s="8"/>
      <c r="D815" s="8"/>
      <c r="F815" s="8"/>
      <c r="H815" s="8"/>
      <c r="J815" s="8"/>
      <c r="M815" s="8"/>
    </row>
    <row r="816" ht="14.25" customHeight="1">
      <c r="B816" s="8"/>
      <c r="D816" s="8"/>
      <c r="F816" s="8"/>
      <c r="H816" s="8"/>
      <c r="J816" s="8"/>
      <c r="M816" s="8"/>
    </row>
    <row r="817" ht="14.25" customHeight="1">
      <c r="B817" s="8"/>
      <c r="D817" s="8"/>
      <c r="F817" s="8"/>
      <c r="H817" s="8"/>
      <c r="J817" s="8"/>
      <c r="M817" s="8"/>
    </row>
    <row r="818" ht="14.25" customHeight="1">
      <c r="B818" s="8"/>
      <c r="D818" s="8"/>
      <c r="F818" s="8"/>
      <c r="H818" s="8"/>
      <c r="J818" s="8"/>
      <c r="M818" s="8"/>
    </row>
    <row r="819" ht="14.25" customHeight="1">
      <c r="B819" s="8"/>
      <c r="D819" s="8"/>
      <c r="F819" s="8"/>
      <c r="H819" s="8"/>
      <c r="J819" s="8"/>
      <c r="M819" s="8"/>
    </row>
    <row r="820" ht="14.25" customHeight="1">
      <c r="B820" s="8"/>
      <c r="D820" s="8"/>
      <c r="F820" s="8"/>
      <c r="H820" s="8"/>
      <c r="J820" s="8"/>
      <c r="M820" s="8"/>
    </row>
    <row r="821" ht="14.25" customHeight="1">
      <c r="B821" s="8"/>
      <c r="D821" s="8"/>
      <c r="F821" s="8"/>
      <c r="H821" s="8"/>
      <c r="J821" s="8"/>
      <c r="M821" s="8"/>
    </row>
    <row r="822" ht="14.25" customHeight="1">
      <c r="B822" s="8"/>
      <c r="D822" s="8"/>
      <c r="F822" s="8"/>
      <c r="H822" s="8"/>
      <c r="J822" s="8"/>
      <c r="M822" s="8"/>
    </row>
    <row r="823" ht="14.25" customHeight="1">
      <c r="B823" s="8"/>
      <c r="D823" s="8"/>
      <c r="F823" s="8"/>
      <c r="H823" s="8"/>
      <c r="J823" s="8"/>
      <c r="M823" s="8"/>
    </row>
    <row r="824" ht="14.25" customHeight="1">
      <c r="B824" s="8"/>
      <c r="D824" s="8"/>
      <c r="F824" s="8"/>
      <c r="H824" s="8"/>
      <c r="J824" s="8"/>
      <c r="M824" s="8"/>
    </row>
    <row r="825" ht="14.25" customHeight="1">
      <c r="B825" s="8"/>
      <c r="D825" s="8"/>
      <c r="F825" s="8"/>
      <c r="H825" s="8"/>
      <c r="J825" s="8"/>
      <c r="M825" s="8"/>
    </row>
    <row r="826" ht="14.25" customHeight="1">
      <c r="B826" s="8"/>
      <c r="D826" s="8"/>
      <c r="F826" s="8"/>
      <c r="H826" s="8"/>
      <c r="J826" s="8"/>
      <c r="M826" s="8"/>
    </row>
    <row r="827" ht="14.25" customHeight="1">
      <c r="B827" s="8"/>
      <c r="D827" s="8"/>
      <c r="F827" s="8"/>
      <c r="H827" s="8"/>
      <c r="J827" s="8"/>
      <c r="M827" s="8"/>
    </row>
    <row r="828" ht="14.25" customHeight="1">
      <c r="B828" s="8"/>
      <c r="D828" s="8"/>
      <c r="F828" s="8"/>
      <c r="H828" s="8"/>
      <c r="J828" s="8"/>
      <c r="M828" s="8"/>
    </row>
    <row r="829" ht="14.25" customHeight="1">
      <c r="B829" s="8"/>
      <c r="D829" s="8"/>
      <c r="F829" s="8"/>
      <c r="H829" s="8"/>
      <c r="J829" s="8"/>
      <c r="M829" s="8"/>
    </row>
    <row r="830" ht="14.25" customHeight="1">
      <c r="B830" s="8"/>
      <c r="D830" s="8"/>
      <c r="F830" s="8"/>
      <c r="H830" s="8"/>
      <c r="J830" s="8"/>
      <c r="M830" s="8"/>
    </row>
    <row r="831" ht="14.25" customHeight="1">
      <c r="B831" s="8"/>
      <c r="D831" s="8"/>
      <c r="F831" s="8"/>
      <c r="H831" s="8"/>
      <c r="J831" s="8"/>
      <c r="M831" s="8"/>
    </row>
    <row r="832" ht="14.25" customHeight="1">
      <c r="B832" s="8"/>
      <c r="D832" s="8"/>
      <c r="F832" s="8"/>
      <c r="H832" s="8"/>
      <c r="J832" s="8"/>
      <c r="M832" s="8"/>
    </row>
    <row r="833" ht="14.25" customHeight="1">
      <c r="B833" s="8"/>
      <c r="D833" s="8"/>
      <c r="F833" s="8"/>
      <c r="H833" s="8"/>
      <c r="J833" s="8"/>
      <c r="M833" s="8"/>
    </row>
    <row r="834" ht="14.25" customHeight="1">
      <c r="B834" s="8"/>
      <c r="D834" s="8"/>
      <c r="F834" s="8"/>
      <c r="H834" s="8"/>
      <c r="J834" s="8"/>
      <c r="M834" s="8"/>
    </row>
    <row r="835" ht="14.25" customHeight="1">
      <c r="B835" s="8"/>
      <c r="D835" s="8"/>
      <c r="F835" s="8"/>
      <c r="H835" s="8"/>
      <c r="J835" s="8"/>
      <c r="M835" s="8"/>
    </row>
    <row r="836" ht="14.25" customHeight="1">
      <c r="B836" s="8"/>
      <c r="D836" s="8"/>
      <c r="F836" s="8"/>
      <c r="H836" s="8"/>
      <c r="J836" s="8"/>
      <c r="M836" s="8"/>
    </row>
    <row r="837" ht="14.25" customHeight="1">
      <c r="B837" s="8"/>
      <c r="D837" s="8"/>
      <c r="F837" s="8"/>
      <c r="H837" s="8"/>
      <c r="J837" s="8"/>
      <c r="M837" s="8"/>
    </row>
    <row r="838" ht="14.25" customHeight="1">
      <c r="B838" s="8"/>
      <c r="D838" s="8"/>
      <c r="F838" s="8"/>
      <c r="H838" s="8"/>
      <c r="J838" s="8"/>
      <c r="M838" s="8"/>
    </row>
    <row r="839" ht="14.25" customHeight="1">
      <c r="B839" s="8"/>
      <c r="D839" s="8"/>
      <c r="F839" s="8"/>
      <c r="H839" s="8"/>
      <c r="J839" s="8"/>
      <c r="M839" s="8"/>
    </row>
    <row r="840" ht="14.25" customHeight="1">
      <c r="B840" s="8"/>
      <c r="D840" s="8"/>
      <c r="F840" s="8"/>
      <c r="H840" s="8"/>
      <c r="J840" s="8"/>
      <c r="M840" s="8"/>
    </row>
    <row r="841" ht="14.25" customHeight="1">
      <c r="B841" s="8"/>
      <c r="D841" s="8"/>
      <c r="F841" s="8"/>
      <c r="H841" s="8"/>
      <c r="J841" s="8"/>
      <c r="M841" s="8"/>
    </row>
    <row r="842" ht="14.25" customHeight="1">
      <c r="B842" s="8"/>
      <c r="D842" s="8"/>
      <c r="F842" s="8"/>
      <c r="H842" s="8"/>
      <c r="J842" s="8"/>
      <c r="M842" s="8"/>
    </row>
    <row r="843" ht="14.25" customHeight="1">
      <c r="B843" s="8"/>
      <c r="D843" s="8"/>
      <c r="F843" s="8"/>
      <c r="H843" s="8"/>
      <c r="J843" s="8"/>
      <c r="M843" s="8"/>
    </row>
    <row r="844" ht="14.25" customHeight="1">
      <c r="B844" s="8"/>
      <c r="D844" s="8"/>
      <c r="F844" s="8"/>
      <c r="H844" s="8"/>
      <c r="J844" s="8"/>
      <c r="M844" s="8"/>
    </row>
    <row r="845" ht="14.25" customHeight="1">
      <c r="B845" s="8"/>
      <c r="D845" s="8"/>
      <c r="F845" s="8"/>
      <c r="H845" s="8"/>
      <c r="J845" s="8"/>
      <c r="M845" s="8"/>
    </row>
    <row r="846" ht="14.25" customHeight="1">
      <c r="B846" s="8"/>
      <c r="D846" s="8"/>
      <c r="F846" s="8"/>
      <c r="H846" s="8"/>
      <c r="J846" s="8"/>
      <c r="M846" s="8"/>
    </row>
    <row r="847" ht="14.25" customHeight="1">
      <c r="B847" s="8"/>
      <c r="D847" s="8"/>
      <c r="F847" s="8"/>
      <c r="H847" s="8"/>
      <c r="J847" s="8"/>
      <c r="M847" s="8"/>
    </row>
    <row r="848" ht="14.25" customHeight="1">
      <c r="B848" s="8"/>
      <c r="D848" s="8"/>
      <c r="F848" s="8"/>
      <c r="H848" s="8"/>
      <c r="J848" s="8"/>
      <c r="M848" s="8"/>
    </row>
    <row r="849" ht="14.25" customHeight="1">
      <c r="B849" s="8"/>
      <c r="D849" s="8"/>
      <c r="F849" s="8"/>
      <c r="H849" s="8"/>
      <c r="J849" s="8"/>
      <c r="M849" s="8"/>
    </row>
    <row r="850" ht="14.25" customHeight="1">
      <c r="B850" s="8"/>
      <c r="D850" s="8"/>
      <c r="F850" s="8"/>
      <c r="H850" s="8"/>
      <c r="J850" s="8"/>
      <c r="M850" s="8"/>
    </row>
    <row r="851" ht="14.25" customHeight="1">
      <c r="B851" s="8"/>
      <c r="D851" s="8"/>
      <c r="F851" s="8"/>
      <c r="H851" s="8"/>
      <c r="J851" s="8"/>
      <c r="M851" s="8"/>
    </row>
    <row r="852" ht="14.25" customHeight="1">
      <c r="B852" s="8"/>
      <c r="D852" s="8"/>
      <c r="F852" s="8"/>
      <c r="H852" s="8"/>
      <c r="J852" s="8"/>
      <c r="M852" s="8"/>
    </row>
    <row r="853" ht="14.25" customHeight="1">
      <c r="B853" s="8"/>
      <c r="D853" s="8"/>
      <c r="F853" s="8"/>
      <c r="H853" s="8"/>
      <c r="J853" s="8"/>
      <c r="M853" s="8"/>
    </row>
    <row r="854" ht="14.25" customHeight="1">
      <c r="B854" s="8"/>
      <c r="D854" s="8"/>
      <c r="F854" s="8"/>
      <c r="H854" s="8"/>
      <c r="J854" s="8"/>
      <c r="M854" s="8"/>
    </row>
    <row r="855" ht="14.25" customHeight="1">
      <c r="B855" s="8"/>
      <c r="D855" s="8"/>
      <c r="F855" s="8"/>
      <c r="H855" s="8"/>
      <c r="J855" s="8"/>
      <c r="M855" s="8"/>
    </row>
    <row r="856" ht="14.25" customHeight="1">
      <c r="B856" s="8"/>
      <c r="D856" s="8"/>
      <c r="F856" s="8"/>
      <c r="H856" s="8"/>
      <c r="J856" s="8"/>
      <c r="M856" s="8"/>
    </row>
    <row r="857" ht="14.25" customHeight="1">
      <c r="B857" s="8"/>
      <c r="D857" s="8"/>
      <c r="F857" s="8"/>
      <c r="H857" s="8"/>
      <c r="J857" s="8"/>
      <c r="M857" s="8"/>
    </row>
    <row r="858" ht="14.25" customHeight="1">
      <c r="B858" s="8"/>
      <c r="D858" s="8"/>
      <c r="F858" s="8"/>
      <c r="H858" s="8"/>
      <c r="J858" s="8"/>
      <c r="M858" s="8"/>
    </row>
    <row r="859" ht="14.25" customHeight="1">
      <c r="B859" s="8"/>
      <c r="D859" s="8"/>
      <c r="F859" s="8"/>
      <c r="H859" s="8"/>
      <c r="J859" s="8"/>
      <c r="M859" s="8"/>
    </row>
    <row r="860" ht="14.25" customHeight="1">
      <c r="B860" s="8"/>
      <c r="D860" s="8"/>
      <c r="F860" s="8"/>
      <c r="H860" s="8"/>
      <c r="J860" s="8"/>
      <c r="M860" s="8"/>
    </row>
    <row r="861" ht="14.25" customHeight="1">
      <c r="B861" s="8"/>
      <c r="D861" s="8"/>
      <c r="F861" s="8"/>
      <c r="H861" s="8"/>
      <c r="J861" s="8"/>
      <c r="M861" s="8"/>
    </row>
    <row r="862" ht="14.25" customHeight="1">
      <c r="B862" s="8"/>
      <c r="D862" s="8"/>
      <c r="F862" s="8"/>
      <c r="H862" s="8"/>
      <c r="J862" s="8"/>
      <c r="M862" s="8"/>
    </row>
    <row r="863" ht="14.25" customHeight="1">
      <c r="B863" s="8"/>
      <c r="D863" s="8"/>
      <c r="F863" s="8"/>
      <c r="H863" s="8"/>
      <c r="J863" s="8"/>
      <c r="M863" s="8"/>
    </row>
    <row r="864" ht="14.25" customHeight="1">
      <c r="B864" s="8"/>
      <c r="D864" s="8"/>
      <c r="F864" s="8"/>
      <c r="H864" s="8"/>
      <c r="J864" s="8"/>
      <c r="M864" s="8"/>
    </row>
    <row r="865" ht="14.25" customHeight="1">
      <c r="B865" s="8"/>
      <c r="D865" s="8"/>
      <c r="F865" s="8"/>
      <c r="H865" s="8"/>
      <c r="J865" s="8"/>
      <c r="M865" s="8"/>
    </row>
    <row r="866" ht="14.25" customHeight="1">
      <c r="B866" s="8"/>
      <c r="D866" s="8"/>
      <c r="F866" s="8"/>
      <c r="H866" s="8"/>
      <c r="J866" s="8"/>
      <c r="M866" s="8"/>
    </row>
    <row r="867" ht="14.25" customHeight="1">
      <c r="B867" s="8"/>
      <c r="D867" s="8"/>
      <c r="F867" s="8"/>
      <c r="H867" s="8"/>
      <c r="J867" s="8"/>
      <c r="M867" s="8"/>
    </row>
    <row r="868" ht="14.25" customHeight="1">
      <c r="B868" s="8"/>
      <c r="D868" s="8"/>
      <c r="F868" s="8"/>
      <c r="H868" s="8"/>
      <c r="J868" s="8"/>
      <c r="M868" s="8"/>
    </row>
    <row r="869" ht="14.25" customHeight="1">
      <c r="B869" s="8"/>
      <c r="D869" s="8"/>
      <c r="F869" s="8"/>
      <c r="H869" s="8"/>
      <c r="J869" s="8"/>
      <c r="M869" s="8"/>
    </row>
    <row r="870" ht="14.25" customHeight="1">
      <c r="B870" s="8"/>
      <c r="D870" s="8"/>
      <c r="F870" s="8"/>
      <c r="H870" s="8"/>
      <c r="J870" s="8"/>
      <c r="M870" s="8"/>
    </row>
    <row r="871" ht="14.25" customHeight="1">
      <c r="B871" s="8"/>
      <c r="D871" s="8"/>
      <c r="F871" s="8"/>
      <c r="H871" s="8"/>
      <c r="J871" s="8"/>
      <c r="M871" s="8"/>
    </row>
    <row r="872" ht="14.25" customHeight="1">
      <c r="B872" s="8"/>
      <c r="D872" s="8"/>
      <c r="F872" s="8"/>
      <c r="H872" s="8"/>
      <c r="J872" s="8"/>
      <c r="M872" s="8"/>
    </row>
    <row r="873" ht="14.25" customHeight="1">
      <c r="B873" s="8"/>
      <c r="D873" s="8"/>
      <c r="F873" s="8"/>
      <c r="H873" s="8"/>
      <c r="J873" s="8"/>
      <c r="M873" s="8"/>
    </row>
    <row r="874" ht="14.25" customHeight="1">
      <c r="B874" s="8"/>
      <c r="D874" s="8"/>
      <c r="F874" s="8"/>
      <c r="H874" s="8"/>
      <c r="J874" s="8"/>
      <c r="M874" s="8"/>
    </row>
    <row r="875" ht="14.25" customHeight="1">
      <c r="B875" s="8"/>
      <c r="D875" s="8"/>
      <c r="F875" s="8"/>
      <c r="H875" s="8"/>
      <c r="J875" s="8"/>
      <c r="M875" s="8"/>
    </row>
    <row r="876" ht="14.25" customHeight="1">
      <c r="B876" s="8"/>
      <c r="D876" s="8"/>
      <c r="F876" s="8"/>
      <c r="H876" s="8"/>
      <c r="J876" s="8"/>
      <c r="M876" s="8"/>
    </row>
    <row r="877" ht="14.25" customHeight="1">
      <c r="B877" s="8"/>
      <c r="D877" s="8"/>
      <c r="F877" s="8"/>
      <c r="H877" s="8"/>
      <c r="J877" s="8"/>
      <c r="M877" s="8"/>
    </row>
    <row r="878" ht="14.25" customHeight="1">
      <c r="B878" s="8"/>
      <c r="D878" s="8"/>
      <c r="F878" s="8"/>
      <c r="H878" s="8"/>
      <c r="J878" s="8"/>
      <c r="M878" s="8"/>
    </row>
    <row r="879" ht="14.25" customHeight="1">
      <c r="B879" s="8"/>
      <c r="D879" s="8"/>
      <c r="F879" s="8"/>
      <c r="H879" s="8"/>
      <c r="J879" s="8"/>
      <c r="M879" s="8"/>
    </row>
    <row r="880" ht="14.25" customHeight="1">
      <c r="B880" s="8"/>
      <c r="D880" s="8"/>
      <c r="F880" s="8"/>
      <c r="H880" s="8"/>
      <c r="J880" s="8"/>
      <c r="M880" s="8"/>
    </row>
    <row r="881" ht="14.25" customHeight="1">
      <c r="B881" s="8"/>
      <c r="D881" s="8"/>
      <c r="F881" s="8"/>
      <c r="H881" s="8"/>
      <c r="J881" s="8"/>
      <c r="M881" s="8"/>
    </row>
    <row r="882" ht="14.25" customHeight="1">
      <c r="B882" s="8"/>
      <c r="D882" s="8"/>
      <c r="F882" s="8"/>
      <c r="H882" s="8"/>
      <c r="J882" s="8"/>
      <c r="M882" s="8"/>
    </row>
    <row r="883" ht="14.25" customHeight="1">
      <c r="B883" s="8"/>
      <c r="D883" s="8"/>
      <c r="F883" s="8"/>
      <c r="H883" s="8"/>
      <c r="J883" s="8"/>
      <c r="M883" s="8"/>
    </row>
    <row r="884" ht="14.25" customHeight="1">
      <c r="B884" s="8"/>
      <c r="D884" s="8"/>
      <c r="F884" s="8"/>
      <c r="H884" s="8"/>
      <c r="J884" s="8"/>
      <c r="M884" s="8"/>
    </row>
    <row r="885" ht="14.25" customHeight="1">
      <c r="B885" s="8"/>
      <c r="D885" s="8"/>
      <c r="F885" s="8"/>
      <c r="H885" s="8"/>
      <c r="J885" s="8"/>
      <c r="M885" s="8"/>
    </row>
    <row r="886" ht="14.25" customHeight="1">
      <c r="B886" s="8"/>
      <c r="D886" s="8"/>
      <c r="F886" s="8"/>
      <c r="H886" s="8"/>
      <c r="J886" s="8"/>
      <c r="M886" s="8"/>
    </row>
    <row r="887" ht="14.25" customHeight="1">
      <c r="B887" s="8"/>
      <c r="D887" s="8"/>
      <c r="F887" s="8"/>
      <c r="H887" s="8"/>
      <c r="J887" s="8"/>
      <c r="M887" s="8"/>
    </row>
    <row r="888" ht="14.25" customHeight="1">
      <c r="B888" s="8"/>
      <c r="D888" s="8"/>
      <c r="F888" s="8"/>
      <c r="H888" s="8"/>
      <c r="J888" s="8"/>
      <c r="M888" s="8"/>
    </row>
    <row r="889" ht="14.25" customHeight="1">
      <c r="B889" s="8"/>
      <c r="D889" s="8"/>
      <c r="F889" s="8"/>
      <c r="H889" s="8"/>
      <c r="J889" s="8"/>
      <c r="M889" s="8"/>
    </row>
    <row r="890" ht="14.25" customHeight="1">
      <c r="B890" s="8"/>
      <c r="D890" s="8"/>
      <c r="F890" s="8"/>
      <c r="H890" s="8"/>
      <c r="J890" s="8"/>
      <c r="M890" s="8"/>
    </row>
    <row r="891" ht="14.25" customHeight="1">
      <c r="B891" s="8"/>
      <c r="D891" s="8"/>
      <c r="F891" s="8"/>
      <c r="H891" s="8"/>
      <c r="J891" s="8"/>
      <c r="M891" s="8"/>
    </row>
    <row r="892" ht="14.25" customHeight="1">
      <c r="B892" s="8"/>
      <c r="D892" s="8"/>
      <c r="F892" s="8"/>
      <c r="H892" s="8"/>
      <c r="J892" s="8"/>
      <c r="M892" s="8"/>
    </row>
    <row r="893" ht="14.25" customHeight="1">
      <c r="B893" s="8"/>
      <c r="D893" s="8"/>
      <c r="F893" s="8"/>
      <c r="H893" s="8"/>
      <c r="J893" s="8"/>
      <c r="M893" s="8"/>
    </row>
    <row r="894" ht="14.25" customHeight="1">
      <c r="B894" s="8"/>
      <c r="D894" s="8"/>
      <c r="F894" s="8"/>
      <c r="H894" s="8"/>
      <c r="J894" s="8"/>
      <c r="M894" s="8"/>
    </row>
    <row r="895" ht="14.25" customHeight="1">
      <c r="B895" s="8"/>
      <c r="D895" s="8"/>
      <c r="F895" s="8"/>
      <c r="H895" s="8"/>
      <c r="J895" s="8"/>
      <c r="M895" s="8"/>
    </row>
    <row r="896" ht="14.25" customHeight="1">
      <c r="B896" s="8"/>
      <c r="D896" s="8"/>
      <c r="F896" s="8"/>
      <c r="H896" s="8"/>
      <c r="J896" s="8"/>
      <c r="M896" s="8"/>
    </row>
    <row r="897" ht="14.25" customHeight="1">
      <c r="B897" s="8"/>
      <c r="D897" s="8"/>
      <c r="F897" s="8"/>
      <c r="H897" s="8"/>
      <c r="J897" s="8"/>
      <c r="M897" s="8"/>
    </row>
    <row r="898" ht="14.25" customHeight="1">
      <c r="B898" s="8"/>
      <c r="D898" s="8"/>
      <c r="F898" s="8"/>
      <c r="H898" s="8"/>
      <c r="J898" s="8"/>
      <c r="M898" s="8"/>
    </row>
    <row r="899" ht="14.25" customHeight="1">
      <c r="B899" s="8"/>
      <c r="D899" s="8"/>
      <c r="F899" s="8"/>
      <c r="H899" s="8"/>
      <c r="J899" s="8"/>
      <c r="M899" s="8"/>
    </row>
    <row r="900" ht="14.25" customHeight="1">
      <c r="B900" s="8"/>
      <c r="D900" s="8"/>
      <c r="F900" s="8"/>
      <c r="H900" s="8"/>
      <c r="J900" s="8"/>
      <c r="M900" s="8"/>
    </row>
    <row r="901" ht="14.25" customHeight="1">
      <c r="B901" s="8"/>
      <c r="D901" s="8"/>
      <c r="F901" s="8"/>
      <c r="H901" s="8"/>
      <c r="J901" s="8"/>
      <c r="M901" s="8"/>
    </row>
    <row r="902" ht="14.25" customHeight="1">
      <c r="B902" s="8"/>
      <c r="D902" s="8"/>
      <c r="F902" s="8"/>
      <c r="H902" s="8"/>
      <c r="J902" s="8"/>
      <c r="M902" s="8"/>
    </row>
    <row r="903" ht="14.25" customHeight="1">
      <c r="B903" s="8"/>
      <c r="D903" s="8"/>
      <c r="F903" s="8"/>
      <c r="H903" s="8"/>
      <c r="J903" s="8"/>
      <c r="M903" s="8"/>
    </row>
    <row r="904" ht="14.25" customHeight="1">
      <c r="B904" s="8"/>
      <c r="D904" s="8"/>
      <c r="F904" s="8"/>
      <c r="H904" s="8"/>
      <c r="J904" s="8"/>
      <c r="M904" s="8"/>
    </row>
    <row r="905" ht="14.25" customHeight="1">
      <c r="B905" s="8"/>
      <c r="D905" s="8"/>
      <c r="F905" s="8"/>
      <c r="H905" s="8"/>
      <c r="J905" s="8"/>
      <c r="M905" s="8"/>
    </row>
    <row r="906" ht="14.25" customHeight="1">
      <c r="B906" s="8"/>
      <c r="D906" s="8"/>
      <c r="F906" s="8"/>
      <c r="H906" s="8"/>
      <c r="J906" s="8"/>
      <c r="M906" s="8"/>
    </row>
    <row r="907" ht="14.25" customHeight="1">
      <c r="B907" s="8"/>
      <c r="D907" s="8"/>
      <c r="F907" s="8"/>
      <c r="H907" s="8"/>
      <c r="J907" s="8"/>
      <c r="M907" s="8"/>
    </row>
    <row r="908" ht="14.25" customHeight="1">
      <c r="B908" s="8"/>
      <c r="D908" s="8"/>
      <c r="F908" s="8"/>
      <c r="H908" s="8"/>
      <c r="J908" s="8"/>
      <c r="M908" s="8"/>
    </row>
    <row r="909" ht="14.25" customHeight="1">
      <c r="B909" s="8"/>
      <c r="D909" s="8"/>
      <c r="F909" s="8"/>
      <c r="H909" s="8"/>
      <c r="J909" s="8"/>
      <c r="M909" s="8"/>
    </row>
    <row r="910" ht="14.25" customHeight="1">
      <c r="B910" s="8"/>
      <c r="D910" s="8"/>
      <c r="F910" s="8"/>
      <c r="H910" s="8"/>
      <c r="J910" s="8"/>
      <c r="M910" s="8"/>
    </row>
    <row r="911" ht="14.25" customHeight="1">
      <c r="B911" s="8"/>
      <c r="D911" s="8"/>
      <c r="F911" s="8"/>
      <c r="H911" s="8"/>
      <c r="J911" s="8"/>
      <c r="M911" s="8"/>
    </row>
    <row r="912" ht="14.25" customHeight="1">
      <c r="B912" s="8"/>
      <c r="D912" s="8"/>
      <c r="F912" s="8"/>
      <c r="H912" s="8"/>
      <c r="J912" s="8"/>
      <c r="M912" s="8"/>
    </row>
    <row r="913" ht="14.25" customHeight="1">
      <c r="B913" s="8"/>
      <c r="D913" s="8"/>
      <c r="F913" s="8"/>
      <c r="H913" s="8"/>
      <c r="J913" s="8"/>
      <c r="M913" s="8"/>
    </row>
    <row r="914" ht="14.25" customHeight="1">
      <c r="B914" s="8"/>
      <c r="D914" s="8"/>
      <c r="F914" s="8"/>
      <c r="H914" s="8"/>
      <c r="J914" s="8"/>
      <c r="M914" s="8"/>
    </row>
    <row r="915" ht="14.25" customHeight="1">
      <c r="B915" s="8"/>
      <c r="D915" s="8"/>
      <c r="F915" s="8"/>
      <c r="H915" s="8"/>
      <c r="J915" s="8"/>
      <c r="M915" s="8"/>
    </row>
    <row r="916" ht="14.25" customHeight="1">
      <c r="B916" s="8"/>
      <c r="D916" s="8"/>
      <c r="F916" s="8"/>
      <c r="H916" s="8"/>
      <c r="J916" s="8"/>
      <c r="M916" s="8"/>
    </row>
    <row r="917" ht="14.25" customHeight="1">
      <c r="B917" s="8"/>
      <c r="D917" s="8"/>
      <c r="F917" s="8"/>
      <c r="H917" s="8"/>
      <c r="J917" s="8"/>
      <c r="M917" s="8"/>
    </row>
    <row r="918" ht="14.25" customHeight="1">
      <c r="B918" s="8"/>
      <c r="D918" s="8"/>
      <c r="F918" s="8"/>
      <c r="H918" s="8"/>
      <c r="J918" s="8"/>
      <c r="M918" s="8"/>
    </row>
    <row r="919" ht="14.25" customHeight="1">
      <c r="B919" s="8"/>
      <c r="D919" s="8"/>
      <c r="F919" s="8"/>
      <c r="H919" s="8"/>
      <c r="J919" s="8"/>
      <c r="M919" s="8"/>
    </row>
    <row r="920" ht="14.25" customHeight="1">
      <c r="B920" s="8"/>
      <c r="D920" s="8"/>
      <c r="F920" s="8"/>
      <c r="H920" s="8"/>
      <c r="J920" s="8"/>
      <c r="M920" s="8"/>
    </row>
    <row r="921" ht="14.25" customHeight="1">
      <c r="B921" s="8"/>
      <c r="D921" s="8"/>
      <c r="F921" s="8"/>
      <c r="H921" s="8"/>
      <c r="J921" s="8"/>
      <c r="M921" s="8"/>
    </row>
    <row r="922" ht="14.25" customHeight="1">
      <c r="B922" s="8"/>
      <c r="D922" s="8"/>
      <c r="F922" s="8"/>
      <c r="H922" s="8"/>
      <c r="J922" s="8"/>
      <c r="M922" s="8"/>
    </row>
    <row r="923" ht="14.25" customHeight="1">
      <c r="B923" s="8"/>
      <c r="D923" s="8"/>
      <c r="F923" s="8"/>
      <c r="H923" s="8"/>
      <c r="J923" s="8"/>
      <c r="M923" s="8"/>
    </row>
    <row r="924" ht="14.25" customHeight="1">
      <c r="B924" s="8"/>
      <c r="D924" s="8"/>
      <c r="F924" s="8"/>
      <c r="H924" s="8"/>
      <c r="J924" s="8"/>
      <c r="M924" s="8"/>
    </row>
    <row r="925" ht="14.25" customHeight="1">
      <c r="B925" s="8"/>
      <c r="D925" s="8"/>
      <c r="F925" s="8"/>
      <c r="H925" s="8"/>
      <c r="J925" s="8"/>
      <c r="M925" s="8"/>
    </row>
    <row r="926" ht="14.25" customHeight="1">
      <c r="B926" s="8"/>
      <c r="D926" s="8"/>
      <c r="F926" s="8"/>
      <c r="H926" s="8"/>
      <c r="J926" s="8"/>
      <c r="M926" s="8"/>
    </row>
    <row r="927" ht="14.25" customHeight="1">
      <c r="B927" s="8"/>
      <c r="D927" s="8"/>
      <c r="F927" s="8"/>
      <c r="H927" s="8"/>
      <c r="J927" s="8"/>
      <c r="M927" s="8"/>
    </row>
    <row r="928" ht="14.25" customHeight="1">
      <c r="B928" s="8"/>
      <c r="D928" s="8"/>
      <c r="F928" s="8"/>
      <c r="H928" s="8"/>
      <c r="J928" s="8"/>
      <c r="M928" s="8"/>
    </row>
    <row r="929" ht="14.25" customHeight="1">
      <c r="B929" s="8"/>
      <c r="D929" s="8"/>
      <c r="F929" s="8"/>
      <c r="H929" s="8"/>
      <c r="J929" s="8"/>
      <c r="M929" s="8"/>
    </row>
    <row r="930" ht="14.25" customHeight="1">
      <c r="B930" s="8"/>
      <c r="D930" s="8"/>
      <c r="F930" s="8"/>
      <c r="H930" s="8"/>
      <c r="J930" s="8"/>
      <c r="M930" s="8"/>
    </row>
    <row r="931" ht="14.25" customHeight="1">
      <c r="B931" s="8"/>
      <c r="D931" s="8"/>
      <c r="F931" s="8"/>
      <c r="H931" s="8"/>
      <c r="J931" s="8"/>
      <c r="M931" s="8"/>
    </row>
    <row r="932" ht="14.25" customHeight="1">
      <c r="B932" s="8"/>
      <c r="D932" s="8"/>
      <c r="F932" s="8"/>
      <c r="H932" s="8"/>
      <c r="J932" s="8"/>
      <c r="M932" s="8"/>
    </row>
    <row r="933" ht="14.25" customHeight="1">
      <c r="B933" s="8"/>
      <c r="D933" s="8"/>
      <c r="F933" s="8"/>
      <c r="H933" s="8"/>
      <c r="J933" s="8"/>
      <c r="M933" s="8"/>
    </row>
    <row r="934" ht="14.25" customHeight="1">
      <c r="B934" s="8"/>
      <c r="D934" s="8"/>
      <c r="F934" s="8"/>
      <c r="H934" s="8"/>
      <c r="J934" s="8"/>
      <c r="M934" s="8"/>
    </row>
    <row r="935" ht="14.25" customHeight="1">
      <c r="B935" s="8"/>
      <c r="D935" s="8"/>
      <c r="F935" s="8"/>
      <c r="H935" s="8"/>
      <c r="J935" s="8"/>
      <c r="M935" s="8"/>
    </row>
    <row r="936" ht="14.25" customHeight="1">
      <c r="B936" s="8"/>
      <c r="D936" s="8"/>
      <c r="F936" s="8"/>
      <c r="H936" s="8"/>
      <c r="J936" s="8"/>
      <c r="M936" s="8"/>
    </row>
    <row r="937" ht="14.25" customHeight="1">
      <c r="B937" s="8"/>
      <c r="D937" s="8"/>
      <c r="F937" s="8"/>
      <c r="H937" s="8"/>
      <c r="J937" s="8"/>
      <c r="M937" s="8"/>
    </row>
    <row r="938" ht="14.25" customHeight="1">
      <c r="B938" s="8"/>
      <c r="D938" s="8"/>
      <c r="F938" s="8"/>
      <c r="H938" s="8"/>
      <c r="J938" s="8"/>
      <c r="M938" s="8"/>
    </row>
    <row r="939" ht="14.25" customHeight="1">
      <c r="B939" s="8"/>
      <c r="D939" s="8"/>
      <c r="F939" s="8"/>
      <c r="H939" s="8"/>
      <c r="J939" s="8"/>
      <c r="M939" s="8"/>
    </row>
    <row r="940" ht="14.25" customHeight="1">
      <c r="B940" s="8"/>
      <c r="D940" s="8"/>
      <c r="F940" s="8"/>
      <c r="H940" s="8"/>
      <c r="J940" s="8"/>
      <c r="M940" s="8"/>
    </row>
    <row r="941" ht="14.25" customHeight="1">
      <c r="B941" s="8"/>
      <c r="D941" s="8"/>
      <c r="F941" s="8"/>
      <c r="H941" s="8"/>
      <c r="J941" s="8"/>
      <c r="M941" s="8"/>
    </row>
    <row r="942" ht="14.25" customHeight="1">
      <c r="B942" s="8"/>
      <c r="D942" s="8"/>
      <c r="F942" s="8"/>
      <c r="H942" s="8"/>
      <c r="J942" s="8"/>
      <c r="M942" s="8"/>
    </row>
    <row r="943" ht="14.25" customHeight="1">
      <c r="B943" s="8"/>
      <c r="D943" s="8"/>
      <c r="F943" s="8"/>
      <c r="H943" s="8"/>
      <c r="J943" s="8"/>
      <c r="M943" s="8"/>
    </row>
    <row r="944" ht="14.25" customHeight="1">
      <c r="B944" s="8"/>
      <c r="D944" s="8"/>
      <c r="F944" s="8"/>
      <c r="H944" s="8"/>
      <c r="J944" s="8"/>
      <c r="M944" s="8"/>
    </row>
    <row r="945" ht="14.25" customHeight="1">
      <c r="B945" s="8"/>
      <c r="D945" s="8"/>
      <c r="F945" s="8"/>
      <c r="H945" s="8"/>
      <c r="J945" s="8"/>
      <c r="M945" s="8"/>
    </row>
    <row r="946" ht="14.25" customHeight="1">
      <c r="B946" s="8"/>
      <c r="D946" s="8"/>
      <c r="F946" s="8"/>
      <c r="H946" s="8"/>
      <c r="J946" s="8"/>
      <c r="M946" s="8"/>
    </row>
    <row r="947" ht="14.25" customHeight="1">
      <c r="B947" s="8"/>
      <c r="D947" s="8"/>
      <c r="F947" s="8"/>
      <c r="H947" s="8"/>
      <c r="J947" s="8"/>
      <c r="M947" s="8"/>
    </row>
    <row r="948" ht="14.25" customHeight="1">
      <c r="B948" s="8"/>
      <c r="D948" s="8"/>
      <c r="F948" s="8"/>
      <c r="H948" s="8"/>
      <c r="J948" s="8"/>
      <c r="M948" s="8"/>
    </row>
    <row r="949" ht="14.25" customHeight="1">
      <c r="B949" s="8"/>
      <c r="D949" s="8"/>
      <c r="F949" s="8"/>
      <c r="H949" s="8"/>
      <c r="J949" s="8"/>
      <c r="M949" s="8"/>
    </row>
    <row r="950" ht="14.25" customHeight="1">
      <c r="B950" s="8"/>
      <c r="D950" s="8"/>
      <c r="F950" s="8"/>
      <c r="H950" s="8"/>
      <c r="J950" s="8"/>
      <c r="M950" s="8"/>
    </row>
    <row r="951" ht="14.25" customHeight="1">
      <c r="B951" s="8"/>
      <c r="D951" s="8"/>
      <c r="F951" s="8"/>
      <c r="H951" s="8"/>
      <c r="J951" s="8"/>
      <c r="M951" s="8"/>
    </row>
    <row r="952" ht="14.25" customHeight="1">
      <c r="B952" s="8"/>
      <c r="D952" s="8"/>
      <c r="F952" s="8"/>
      <c r="H952" s="8"/>
      <c r="J952" s="8"/>
      <c r="M952" s="8"/>
    </row>
    <row r="953" ht="14.25" customHeight="1">
      <c r="B953" s="8"/>
      <c r="D953" s="8"/>
      <c r="F953" s="8"/>
      <c r="H953" s="8"/>
      <c r="J953" s="8"/>
      <c r="M953" s="8"/>
    </row>
    <row r="954" ht="14.25" customHeight="1">
      <c r="B954" s="8"/>
      <c r="D954" s="8"/>
      <c r="F954" s="8"/>
      <c r="H954" s="8"/>
      <c r="J954" s="8"/>
      <c r="M954" s="8"/>
    </row>
    <row r="955" ht="14.25" customHeight="1">
      <c r="B955" s="8"/>
      <c r="D955" s="8"/>
      <c r="F955" s="8"/>
      <c r="H955" s="8"/>
      <c r="J955" s="8"/>
      <c r="M955" s="8"/>
    </row>
    <row r="956" ht="14.25" customHeight="1">
      <c r="B956" s="8"/>
      <c r="D956" s="8"/>
      <c r="F956" s="8"/>
      <c r="H956" s="8"/>
      <c r="J956" s="8"/>
      <c r="M956" s="8"/>
    </row>
    <row r="957" ht="14.25" customHeight="1">
      <c r="B957" s="8"/>
      <c r="D957" s="8"/>
      <c r="F957" s="8"/>
      <c r="H957" s="8"/>
      <c r="J957" s="8"/>
      <c r="M957" s="8"/>
    </row>
    <row r="958" ht="14.25" customHeight="1">
      <c r="B958" s="8"/>
      <c r="D958" s="8"/>
      <c r="F958" s="8"/>
      <c r="H958" s="8"/>
      <c r="J958" s="8"/>
      <c r="M958" s="8"/>
    </row>
    <row r="959" ht="14.25" customHeight="1">
      <c r="B959" s="8"/>
      <c r="D959" s="8"/>
      <c r="F959" s="8"/>
      <c r="H959" s="8"/>
      <c r="J959" s="8"/>
      <c r="M959" s="8"/>
    </row>
    <row r="960" ht="14.25" customHeight="1">
      <c r="B960" s="8"/>
      <c r="D960" s="8"/>
      <c r="F960" s="8"/>
      <c r="H960" s="8"/>
      <c r="J960" s="8"/>
      <c r="M960" s="8"/>
    </row>
    <row r="961" ht="14.25" customHeight="1">
      <c r="B961" s="8"/>
      <c r="D961" s="8"/>
      <c r="F961" s="8"/>
      <c r="H961" s="8"/>
      <c r="J961" s="8"/>
      <c r="M961" s="8"/>
    </row>
    <row r="962" ht="14.25" customHeight="1">
      <c r="B962" s="8"/>
      <c r="D962" s="8"/>
      <c r="F962" s="8"/>
      <c r="H962" s="8"/>
      <c r="J962" s="8"/>
      <c r="M962" s="8"/>
    </row>
    <row r="963" ht="14.25" customHeight="1">
      <c r="B963" s="8"/>
      <c r="D963" s="8"/>
      <c r="F963" s="8"/>
      <c r="H963" s="8"/>
      <c r="J963" s="8"/>
      <c r="M963" s="8"/>
    </row>
    <row r="964" ht="14.25" customHeight="1">
      <c r="B964" s="8"/>
      <c r="D964" s="8"/>
      <c r="F964" s="8"/>
      <c r="H964" s="8"/>
      <c r="J964" s="8"/>
      <c r="M964" s="8"/>
    </row>
    <row r="965" ht="14.25" customHeight="1">
      <c r="B965" s="8"/>
      <c r="D965" s="8"/>
      <c r="F965" s="8"/>
      <c r="H965" s="8"/>
      <c r="J965" s="8"/>
      <c r="M965" s="8"/>
    </row>
    <row r="966" ht="14.25" customHeight="1">
      <c r="B966" s="8"/>
      <c r="D966" s="8"/>
      <c r="F966" s="8"/>
      <c r="H966" s="8"/>
      <c r="J966" s="8"/>
      <c r="M966" s="8"/>
    </row>
    <row r="967" ht="14.25" customHeight="1">
      <c r="B967" s="8"/>
      <c r="D967" s="8"/>
      <c r="F967" s="8"/>
      <c r="H967" s="8"/>
      <c r="J967" s="8"/>
      <c r="M967" s="8"/>
    </row>
    <row r="968" ht="14.25" customHeight="1">
      <c r="B968" s="8"/>
      <c r="D968" s="8"/>
      <c r="F968" s="8"/>
      <c r="H968" s="8"/>
      <c r="J968" s="8"/>
      <c r="M968" s="8"/>
    </row>
    <row r="969" ht="14.25" customHeight="1">
      <c r="B969" s="8"/>
      <c r="D969" s="8"/>
      <c r="F969" s="8"/>
      <c r="H969" s="8"/>
      <c r="J969" s="8"/>
      <c r="M969" s="8"/>
    </row>
    <row r="970" ht="14.25" customHeight="1">
      <c r="B970" s="8"/>
      <c r="D970" s="8"/>
      <c r="F970" s="8"/>
      <c r="H970" s="8"/>
      <c r="J970" s="8"/>
      <c r="M970" s="8"/>
    </row>
    <row r="971" ht="14.25" customHeight="1">
      <c r="B971" s="8"/>
      <c r="D971" s="8"/>
      <c r="F971" s="8"/>
      <c r="H971" s="8"/>
      <c r="J971" s="8"/>
      <c r="M971" s="8"/>
    </row>
    <row r="972" ht="14.25" customHeight="1">
      <c r="B972" s="8"/>
      <c r="D972" s="8"/>
      <c r="F972" s="8"/>
      <c r="H972" s="8"/>
      <c r="J972" s="8"/>
      <c r="M972" s="8"/>
    </row>
    <row r="973" ht="14.25" customHeight="1">
      <c r="B973" s="8"/>
      <c r="D973" s="8"/>
      <c r="F973" s="8"/>
      <c r="H973" s="8"/>
      <c r="J973" s="8"/>
      <c r="M973" s="8"/>
    </row>
    <row r="974" ht="14.25" customHeight="1">
      <c r="B974" s="8"/>
      <c r="D974" s="8"/>
      <c r="F974" s="8"/>
      <c r="H974" s="8"/>
      <c r="J974" s="8"/>
      <c r="M974" s="8"/>
    </row>
    <row r="975" ht="14.25" customHeight="1">
      <c r="B975" s="8"/>
      <c r="D975" s="8"/>
      <c r="F975" s="8"/>
      <c r="H975" s="8"/>
      <c r="J975" s="8"/>
      <c r="M975" s="8"/>
    </row>
    <row r="976" ht="14.25" customHeight="1">
      <c r="B976" s="8"/>
      <c r="D976" s="8"/>
      <c r="F976" s="8"/>
      <c r="H976" s="8"/>
      <c r="J976" s="8"/>
      <c r="M976" s="8"/>
    </row>
    <row r="977" ht="14.25" customHeight="1">
      <c r="B977" s="8"/>
      <c r="D977" s="8"/>
      <c r="F977" s="8"/>
      <c r="H977" s="8"/>
      <c r="J977" s="8"/>
      <c r="M977" s="8"/>
    </row>
    <row r="978" ht="14.25" customHeight="1">
      <c r="B978" s="8"/>
      <c r="D978" s="8"/>
      <c r="F978" s="8"/>
      <c r="H978" s="8"/>
      <c r="J978" s="8"/>
      <c r="M978" s="8"/>
    </row>
    <row r="979" ht="14.25" customHeight="1">
      <c r="B979" s="8"/>
      <c r="D979" s="8"/>
      <c r="F979" s="8"/>
      <c r="H979" s="8"/>
      <c r="J979" s="8"/>
      <c r="M979" s="8"/>
    </row>
    <row r="980" ht="14.25" customHeight="1">
      <c r="B980" s="8"/>
      <c r="D980" s="8"/>
      <c r="F980" s="8"/>
      <c r="H980" s="8"/>
      <c r="J980" s="8"/>
      <c r="M980" s="8"/>
    </row>
    <row r="981" ht="14.25" customHeight="1">
      <c r="B981" s="8"/>
      <c r="D981" s="8"/>
      <c r="F981" s="8"/>
      <c r="H981" s="8"/>
      <c r="J981" s="8"/>
      <c r="M981" s="8"/>
    </row>
    <row r="982" ht="14.25" customHeight="1">
      <c r="B982" s="8"/>
      <c r="D982" s="8"/>
      <c r="F982" s="8"/>
      <c r="H982" s="8"/>
      <c r="J982" s="8"/>
      <c r="M982" s="8"/>
    </row>
    <row r="983" ht="14.25" customHeight="1">
      <c r="B983" s="8"/>
      <c r="D983" s="8"/>
      <c r="F983" s="8"/>
      <c r="H983" s="8"/>
      <c r="J983" s="8"/>
      <c r="M983" s="8"/>
    </row>
    <row r="984" ht="14.25" customHeight="1">
      <c r="B984" s="8"/>
      <c r="D984" s="8"/>
      <c r="F984" s="8"/>
      <c r="H984" s="8"/>
      <c r="J984" s="8"/>
      <c r="M984" s="8"/>
    </row>
    <row r="985" ht="14.25" customHeight="1">
      <c r="B985" s="8"/>
      <c r="D985" s="8"/>
      <c r="F985" s="8"/>
      <c r="H985" s="8"/>
      <c r="J985" s="8"/>
      <c r="M985" s="8"/>
    </row>
    <row r="986" ht="14.25" customHeight="1">
      <c r="B986" s="8"/>
      <c r="D986" s="8"/>
      <c r="F986" s="8"/>
      <c r="H986" s="8"/>
      <c r="J986" s="8"/>
      <c r="M986" s="8"/>
    </row>
    <row r="987" ht="14.25" customHeight="1">
      <c r="B987" s="8"/>
      <c r="D987" s="8"/>
      <c r="F987" s="8"/>
      <c r="H987" s="8"/>
      <c r="J987" s="8"/>
      <c r="M987" s="8"/>
    </row>
    <row r="988" ht="14.25" customHeight="1">
      <c r="B988" s="8"/>
      <c r="D988" s="8"/>
      <c r="F988" s="8"/>
      <c r="H988" s="8"/>
      <c r="J988" s="8"/>
      <c r="M988" s="8"/>
    </row>
    <row r="989" ht="14.25" customHeight="1">
      <c r="B989" s="8"/>
      <c r="D989" s="8"/>
      <c r="F989" s="8"/>
      <c r="H989" s="8"/>
      <c r="J989" s="8"/>
      <c r="M989" s="8"/>
    </row>
    <row r="990" ht="14.25" customHeight="1">
      <c r="B990" s="8"/>
      <c r="D990" s="8"/>
      <c r="F990" s="8"/>
      <c r="H990" s="8"/>
      <c r="J990" s="8"/>
      <c r="M990" s="8"/>
    </row>
    <row r="991" ht="14.25" customHeight="1">
      <c r="B991" s="8"/>
      <c r="D991" s="8"/>
      <c r="F991" s="8"/>
      <c r="H991" s="8"/>
      <c r="J991" s="8"/>
      <c r="M991" s="8"/>
    </row>
    <row r="992" ht="14.25" customHeight="1">
      <c r="B992" s="8"/>
      <c r="D992" s="8"/>
      <c r="F992" s="8"/>
      <c r="H992" s="8"/>
      <c r="J992" s="8"/>
      <c r="M992" s="8"/>
    </row>
    <row r="993" ht="14.25" customHeight="1">
      <c r="B993" s="8"/>
      <c r="D993" s="8"/>
      <c r="F993" s="8"/>
      <c r="H993" s="8"/>
      <c r="J993" s="8"/>
      <c r="M993" s="8"/>
    </row>
    <row r="994" ht="14.25" customHeight="1">
      <c r="B994" s="8"/>
      <c r="D994" s="8"/>
      <c r="F994" s="8"/>
      <c r="H994" s="8"/>
      <c r="J994" s="8"/>
      <c r="M994" s="8"/>
    </row>
    <row r="995" ht="14.25" customHeight="1">
      <c r="B995" s="8"/>
      <c r="D995" s="8"/>
      <c r="F995" s="8"/>
      <c r="H995" s="8"/>
      <c r="J995" s="8"/>
      <c r="M995" s="8"/>
    </row>
    <row r="996" ht="14.25" customHeight="1">
      <c r="B996" s="8"/>
      <c r="D996" s="8"/>
      <c r="F996" s="8"/>
      <c r="H996" s="8"/>
      <c r="J996" s="8"/>
      <c r="M996" s="8"/>
    </row>
    <row r="997" ht="14.25" customHeight="1">
      <c r="B997" s="8"/>
      <c r="D997" s="8"/>
      <c r="F997" s="8"/>
      <c r="H997" s="8"/>
      <c r="J997" s="8"/>
      <c r="M997" s="8"/>
    </row>
    <row r="998" ht="14.25" customHeight="1">
      <c r="B998" s="8"/>
      <c r="D998" s="8"/>
      <c r="F998" s="8"/>
      <c r="H998" s="8"/>
      <c r="J998" s="8"/>
      <c r="M998" s="8"/>
    </row>
    <row r="999" ht="14.25" customHeight="1">
      <c r="B999" s="8"/>
      <c r="D999" s="8"/>
      <c r="F999" s="8"/>
      <c r="H999" s="8"/>
      <c r="J999" s="8"/>
      <c r="M999" s="8"/>
    </row>
    <row r="1000" ht="14.25" customHeight="1">
      <c r="B1000" s="8"/>
      <c r="D1000" s="8"/>
      <c r="F1000" s="8"/>
      <c r="H1000" s="8"/>
      <c r="J1000" s="8"/>
      <c r="M1000" s="8"/>
    </row>
  </sheetData>
  <dataValidations>
    <dataValidation type="list" allowBlank="1" sqref="H2:H1000">
      <formula1>DICTIONARIES!$Y$2:$Y$6</formula1>
    </dataValidation>
    <dataValidation type="list" allowBlank="1" sqref="M2:M1000">
      <formula1>DICTIONARIES!$G$2:$G$3</formula1>
    </dataValidation>
    <dataValidation type="list" allowBlank="1" sqref="B2:B1000">
      <formula1>DICTIONARIES!$Z$2:$Z$4</formula1>
    </dataValidation>
    <dataValidation type="list" allowBlank="1" sqref="D2:D1000 F2:F1000">
      <formula1>DICTIONARIES!$AB$2:$AB$10</formula1>
    </dataValidation>
    <dataValidation type="list" allowBlank="1" sqref="J2:J1000">
      <formula1>DICTIONARIES!$H$2:$H$3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2.0"/>
    <col customWidth="1" min="3" max="3" width="14.0"/>
    <col customWidth="1" min="4" max="4" width="16.0"/>
    <col customWidth="1" min="5" max="5" width="18.0"/>
    <col customWidth="1" min="6" max="6" width="14.0"/>
    <col customWidth="1" min="7" max="7" width="12.0"/>
    <col customWidth="1" min="8" max="8" width="16.0"/>
    <col customWidth="1" min="9" max="9" width="12.0"/>
    <col customWidth="1" min="10" max="11" width="10.0"/>
    <col customWidth="1" min="12" max="12" width="34.0"/>
    <col customWidth="1" min="13" max="26" width="8.71"/>
  </cols>
  <sheetData>
    <row r="1" ht="14.25" customHeight="1">
      <c r="A1" s="9" t="s">
        <v>570</v>
      </c>
      <c r="B1" s="9" t="s">
        <v>785</v>
      </c>
      <c r="C1" s="9" t="s">
        <v>786</v>
      </c>
      <c r="D1" s="9" t="s">
        <v>787</v>
      </c>
      <c r="E1" s="9" t="s">
        <v>788</v>
      </c>
      <c r="F1" s="9" t="s">
        <v>768</v>
      </c>
      <c r="G1" s="9" t="s">
        <v>789</v>
      </c>
      <c r="H1" s="9" t="s">
        <v>771</v>
      </c>
      <c r="I1" s="9" t="s">
        <v>790</v>
      </c>
      <c r="J1" s="9" t="s">
        <v>55</v>
      </c>
      <c r="K1" s="9" t="s">
        <v>436</v>
      </c>
      <c r="L1" s="9" t="s">
        <v>116</v>
      </c>
    </row>
    <row r="2" ht="14.25" customHeight="1">
      <c r="A2" s="4" t="s">
        <v>791</v>
      </c>
      <c r="B2" s="4" t="s">
        <v>246</v>
      </c>
      <c r="C2" s="4" t="s">
        <v>444</v>
      </c>
      <c r="D2" s="4" t="s">
        <v>211</v>
      </c>
      <c r="E2" s="4" t="s">
        <v>255</v>
      </c>
      <c r="F2" s="4" t="s">
        <v>261</v>
      </c>
      <c r="G2" s="4" t="s">
        <v>246</v>
      </c>
      <c r="H2" s="4" t="s">
        <v>284</v>
      </c>
      <c r="I2" s="4" t="s">
        <v>792</v>
      </c>
      <c r="J2" s="4" t="s">
        <v>71</v>
      </c>
      <c r="K2" s="4" t="s">
        <v>245</v>
      </c>
      <c r="L2" s="4" t="s">
        <v>793</v>
      </c>
    </row>
    <row r="3" ht="14.25" customHeight="1">
      <c r="A3" s="4" t="s">
        <v>794</v>
      </c>
      <c r="B3" s="4" t="s">
        <v>286</v>
      </c>
      <c r="C3" s="4" t="s">
        <v>493</v>
      </c>
      <c r="D3" s="4" t="s">
        <v>579</v>
      </c>
      <c r="E3" s="4" t="s">
        <v>346</v>
      </c>
      <c r="F3" s="4" t="s">
        <v>795</v>
      </c>
      <c r="G3" s="4" t="s">
        <v>286</v>
      </c>
      <c r="H3" s="4" t="s">
        <v>543</v>
      </c>
      <c r="I3" s="4" t="s">
        <v>792</v>
      </c>
      <c r="J3" s="4" t="s">
        <v>88</v>
      </c>
      <c r="K3" s="4" t="s">
        <v>245</v>
      </c>
      <c r="L3" s="4" t="s">
        <v>796</v>
      </c>
    </row>
    <row r="4" ht="14.25" customHeight="1">
      <c r="A4" s="4" t="s">
        <v>797</v>
      </c>
      <c r="B4" s="4" t="s">
        <v>286</v>
      </c>
      <c r="C4" s="4" t="s">
        <v>493</v>
      </c>
      <c r="D4" s="4" t="s">
        <v>198</v>
      </c>
      <c r="E4" s="4" t="s">
        <v>288</v>
      </c>
      <c r="F4" s="4" t="s">
        <v>798</v>
      </c>
      <c r="G4" s="4" t="s">
        <v>286</v>
      </c>
      <c r="H4" s="4" t="s">
        <v>799</v>
      </c>
      <c r="I4" s="4" t="s">
        <v>800</v>
      </c>
      <c r="J4" s="4" t="s">
        <v>71</v>
      </c>
      <c r="K4" s="4" t="s">
        <v>245</v>
      </c>
      <c r="L4" s="4" t="s">
        <v>801</v>
      </c>
    </row>
    <row r="5" ht="14.25" customHeight="1">
      <c r="A5" s="4" t="s">
        <v>802</v>
      </c>
      <c r="B5" s="4" t="s">
        <v>246</v>
      </c>
      <c r="C5" s="4" t="s">
        <v>451</v>
      </c>
      <c r="D5" s="4" t="s">
        <v>206</v>
      </c>
      <c r="E5" s="4" t="s">
        <v>334</v>
      </c>
      <c r="F5" s="4" t="s">
        <v>371</v>
      </c>
      <c r="G5" s="4" t="s">
        <v>246</v>
      </c>
      <c r="H5" s="4" t="s">
        <v>444</v>
      </c>
      <c r="I5" s="4" t="s">
        <v>803</v>
      </c>
      <c r="J5" s="4" t="s">
        <v>88</v>
      </c>
      <c r="K5" s="4" t="s">
        <v>245</v>
      </c>
      <c r="L5" s="4" t="s">
        <v>804</v>
      </c>
    </row>
    <row r="6" ht="14.25" customHeight="1">
      <c r="A6" s="4" t="s">
        <v>805</v>
      </c>
      <c r="B6" s="4" t="s">
        <v>286</v>
      </c>
      <c r="C6" s="4" t="s">
        <v>501</v>
      </c>
      <c r="D6" s="4" t="s">
        <v>218</v>
      </c>
      <c r="E6" s="4" t="s">
        <v>342</v>
      </c>
      <c r="F6" s="4" t="s">
        <v>391</v>
      </c>
      <c r="G6" s="4" t="s">
        <v>286</v>
      </c>
      <c r="H6" s="4" t="s">
        <v>506</v>
      </c>
      <c r="I6" s="4" t="s">
        <v>806</v>
      </c>
      <c r="J6" s="4" t="s">
        <v>325</v>
      </c>
      <c r="K6" s="4" t="s">
        <v>245</v>
      </c>
      <c r="L6" s="4" t="s">
        <v>807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L$6"/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6.0"/>
    <col customWidth="1" min="5" max="5" width="26.0"/>
    <col customWidth="1" min="6" max="6" width="16.0"/>
    <col customWidth="1" min="7" max="7" width="18.0"/>
    <col customWidth="1" min="8" max="8" width="28.0"/>
    <col customWidth="1" min="9" max="9" width="40.0"/>
    <col customWidth="1" min="10" max="26" width="8.71"/>
  </cols>
  <sheetData>
    <row r="1" ht="14.25" customHeight="1">
      <c r="A1" s="9" t="s">
        <v>570</v>
      </c>
      <c r="B1" s="9" t="s">
        <v>377</v>
      </c>
      <c r="C1" s="9" t="s">
        <v>808</v>
      </c>
      <c r="D1" s="9" t="s">
        <v>762</v>
      </c>
      <c r="E1" s="9" t="s">
        <v>763</v>
      </c>
      <c r="F1" s="9" t="s">
        <v>809</v>
      </c>
      <c r="G1" s="9" t="s">
        <v>810</v>
      </c>
      <c r="H1" s="9" t="s">
        <v>811</v>
      </c>
      <c r="I1" s="9" t="s">
        <v>116</v>
      </c>
    </row>
    <row r="2" ht="14.25" customHeight="1">
      <c r="A2" s="11" t="s">
        <v>812</v>
      </c>
      <c r="B2" s="11" t="s">
        <v>262</v>
      </c>
      <c r="C2" s="11" t="s">
        <v>263</v>
      </c>
      <c r="D2" s="11" t="s">
        <v>266</v>
      </c>
      <c r="E2" s="11" t="s">
        <v>292</v>
      </c>
      <c r="F2" s="36">
        <v>1.18</v>
      </c>
      <c r="G2" s="11" t="s">
        <v>245</v>
      </c>
      <c r="H2" s="11" t="s">
        <v>813</v>
      </c>
      <c r="I2" s="11" t="s">
        <v>814</v>
      </c>
    </row>
    <row r="3" ht="14.25" customHeight="1">
      <c r="A3" s="11" t="s">
        <v>815</v>
      </c>
      <c r="B3" s="11" t="s">
        <v>339</v>
      </c>
      <c r="C3" s="11" t="s">
        <v>304</v>
      </c>
      <c r="D3" s="11" t="s">
        <v>307</v>
      </c>
      <c r="E3" s="11" t="s">
        <v>494</v>
      </c>
      <c r="F3" s="36">
        <v>1.05</v>
      </c>
      <c r="G3" s="11" t="s">
        <v>245</v>
      </c>
      <c r="H3" s="11" t="s">
        <v>816</v>
      </c>
      <c r="I3" s="11" t="s">
        <v>817</v>
      </c>
    </row>
    <row r="4" ht="14.25" customHeight="1">
      <c r="A4" s="11" t="s">
        <v>818</v>
      </c>
      <c r="B4" s="11" t="s">
        <v>372</v>
      </c>
      <c r="C4" s="11" t="s">
        <v>340</v>
      </c>
      <c r="D4" s="11" t="s">
        <v>266</v>
      </c>
      <c r="E4" s="11" t="s">
        <v>367</v>
      </c>
      <c r="F4" s="36">
        <v>1.1</v>
      </c>
      <c r="G4" s="11" t="s">
        <v>245</v>
      </c>
      <c r="H4" s="11" t="s">
        <v>819</v>
      </c>
      <c r="I4" s="11" t="s">
        <v>820</v>
      </c>
    </row>
    <row r="5" ht="14.25" customHeight="1">
      <c r="A5" s="11" t="s">
        <v>821</v>
      </c>
      <c r="B5" s="11" t="s">
        <v>372</v>
      </c>
      <c r="C5" s="11" t="s">
        <v>304</v>
      </c>
      <c r="D5" s="11" t="s">
        <v>266</v>
      </c>
      <c r="E5" s="11" t="s">
        <v>367</v>
      </c>
      <c r="F5" s="36">
        <v>1.03</v>
      </c>
      <c r="G5" s="11" t="s">
        <v>245</v>
      </c>
      <c r="H5" s="11" t="s">
        <v>819</v>
      </c>
      <c r="I5" s="11" t="s">
        <v>822</v>
      </c>
    </row>
    <row r="6" ht="14.25" customHeight="1">
      <c r="A6" s="11" t="s">
        <v>823</v>
      </c>
      <c r="B6" s="11" t="s">
        <v>392</v>
      </c>
      <c r="C6" s="11" t="s">
        <v>373</v>
      </c>
      <c r="D6" s="11" t="s">
        <v>307</v>
      </c>
      <c r="E6" s="11" t="s">
        <v>507</v>
      </c>
      <c r="F6" s="36">
        <v>1.05</v>
      </c>
      <c r="G6" s="11" t="s">
        <v>245</v>
      </c>
      <c r="H6" s="11" t="s">
        <v>824</v>
      </c>
      <c r="I6" s="11" t="s">
        <v>825</v>
      </c>
    </row>
    <row r="7" ht="14.25" customHeight="1">
      <c r="A7" s="11" t="s">
        <v>826</v>
      </c>
      <c r="B7" s="11" t="s">
        <v>403</v>
      </c>
      <c r="C7" s="11" t="s">
        <v>340</v>
      </c>
      <c r="D7" s="11" t="s">
        <v>266</v>
      </c>
      <c r="E7" s="11" t="s">
        <v>403</v>
      </c>
      <c r="F7" s="36">
        <v>1.12</v>
      </c>
      <c r="G7" s="11" t="s">
        <v>245</v>
      </c>
      <c r="H7" s="11" t="s">
        <v>827</v>
      </c>
      <c r="I7" s="11" t="s">
        <v>828</v>
      </c>
    </row>
    <row r="8" ht="14.25" customHeight="1">
      <c r="A8" s="11" t="s">
        <v>829</v>
      </c>
      <c r="B8" s="11" t="s">
        <v>403</v>
      </c>
      <c r="C8" s="11" t="s">
        <v>304</v>
      </c>
      <c r="D8" s="11" t="s">
        <v>266</v>
      </c>
      <c r="E8" s="11" t="s">
        <v>403</v>
      </c>
      <c r="F8" s="36">
        <v>1.03</v>
      </c>
      <c r="G8" s="11" t="s">
        <v>245</v>
      </c>
      <c r="H8" s="11" t="s">
        <v>827</v>
      </c>
      <c r="I8" s="11" t="s">
        <v>830</v>
      </c>
    </row>
    <row r="9" ht="14.25" customHeight="1">
      <c r="A9" s="11" t="s">
        <v>831</v>
      </c>
      <c r="B9" s="11" t="s">
        <v>407</v>
      </c>
      <c r="C9" s="11" t="s">
        <v>404</v>
      </c>
      <c r="D9" s="11" t="s">
        <v>266</v>
      </c>
      <c r="E9" s="11" t="s">
        <v>407</v>
      </c>
      <c r="F9" s="36">
        <v>1.1</v>
      </c>
      <c r="G9" s="11" t="s">
        <v>245</v>
      </c>
      <c r="H9" s="11" t="s">
        <v>832</v>
      </c>
      <c r="I9" s="11" t="s">
        <v>833</v>
      </c>
    </row>
    <row r="10" ht="14.25" customHeight="1">
      <c r="A10" s="11" t="s">
        <v>834</v>
      </c>
      <c r="B10" s="11" t="s">
        <v>412</v>
      </c>
      <c r="C10" s="11" t="s">
        <v>408</v>
      </c>
      <c r="D10" s="11" t="s">
        <v>307</v>
      </c>
      <c r="E10" s="11" t="s">
        <v>498</v>
      </c>
      <c r="F10" s="36">
        <v>1.02</v>
      </c>
      <c r="G10" s="11" t="s">
        <v>245</v>
      </c>
      <c r="H10" s="11" t="s">
        <v>835</v>
      </c>
      <c r="I10" s="11" t="s">
        <v>836</v>
      </c>
    </row>
    <row r="11" ht="14.25" customHeight="1">
      <c r="A11" s="11"/>
      <c r="B11" s="11"/>
      <c r="C11" s="11"/>
      <c r="D11" s="11"/>
      <c r="E11" s="11"/>
      <c r="F11" s="36"/>
      <c r="G11" s="11"/>
      <c r="H11" s="11"/>
      <c r="I11" s="11"/>
    </row>
    <row r="12" ht="14.25" customHeight="1">
      <c r="A12" s="11"/>
      <c r="B12" s="11"/>
      <c r="C12" s="11"/>
      <c r="D12" s="11"/>
      <c r="E12" s="11"/>
      <c r="F12" s="36"/>
      <c r="G12" s="11"/>
      <c r="H12" s="11"/>
      <c r="I12" s="11"/>
    </row>
    <row r="13" ht="14.25" customHeight="1">
      <c r="A13" s="11"/>
      <c r="B13" s="11"/>
      <c r="C13" s="11"/>
      <c r="D13" s="11"/>
      <c r="E13" s="11"/>
      <c r="F13" s="36"/>
      <c r="G13" s="11"/>
      <c r="H13" s="11"/>
      <c r="I13" s="11"/>
    </row>
    <row r="14" ht="14.25" customHeight="1">
      <c r="A14" s="11"/>
      <c r="B14" s="11"/>
      <c r="C14" s="11"/>
      <c r="D14" s="11"/>
      <c r="E14" s="11"/>
      <c r="F14" s="36"/>
      <c r="G14" s="11"/>
      <c r="H14" s="11"/>
      <c r="I14" s="11"/>
    </row>
    <row r="15" ht="14.25" customHeight="1">
      <c r="A15" s="11"/>
      <c r="B15" s="11"/>
      <c r="C15" s="11"/>
      <c r="D15" s="11"/>
      <c r="E15" s="11"/>
      <c r="F15" s="36"/>
      <c r="G15" s="11"/>
      <c r="H15" s="11"/>
      <c r="I15" s="11"/>
    </row>
    <row r="16" ht="14.25" customHeight="1">
      <c r="A16" s="11"/>
      <c r="B16" s="11"/>
      <c r="C16" s="11"/>
      <c r="D16" s="11"/>
      <c r="E16" s="11"/>
      <c r="F16" s="36"/>
      <c r="G16" s="11"/>
      <c r="H16" s="11"/>
      <c r="I16" s="11"/>
    </row>
    <row r="17" ht="14.25" customHeight="1">
      <c r="A17" s="11"/>
      <c r="B17" s="11"/>
      <c r="C17" s="11"/>
      <c r="D17" s="11"/>
      <c r="E17" s="11"/>
      <c r="F17" s="36"/>
      <c r="G17" s="11"/>
      <c r="H17" s="11"/>
      <c r="I17" s="11"/>
    </row>
    <row r="18" ht="14.25" customHeight="1">
      <c r="A18" s="11"/>
      <c r="B18" s="11"/>
      <c r="C18" s="11"/>
      <c r="D18" s="11"/>
      <c r="E18" s="11"/>
      <c r="F18" s="36"/>
      <c r="G18" s="11"/>
      <c r="H18" s="11"/>
      <c r="I18" s="11"/>
    </row>
    <row r="19" ht="14.25" customHeight="1">
      <c r="A19" s="11"/>
      <c r="B19" s="11"/>
      <c r="C19" s="11"/>
      <c r="D19" s="11"/>
      <c r="E19" s="11"/>
      <c r="F19" s="36"/>
      <c r="G19" s="11"/>
      <c r="H19" s="11"/>
      <c r="I19" s="11"/>
    </row>
    <row r="20" ht="14.25" customHeight="1">
      <c r="A20" s="11"/>
      <c r="B20" s="11"/>
      <c r="C20" s="11"/>
      <c r="D20" s="11"/>
      <c r="E20" s="11"/>
      <c r="F20" s="36"/>
      <c r="G20" s="11"/>
      <c r="H20" s="11"/>
      <c r="I20" s="11"/>
    </row>
    <row r="21" ht="14.25" customHeight="1">
      <c r="A21" s="11"/>
      <c r="B21" s="11"/>
      <c r="C21" s="11"/>
      <c r="D21" s="11"/>
      <c r="E21" s="11"/>
      <c r="F21" s="36"/>
      <c r="G21" s="11"/>
      <c r="H21" s="11"/>
      <c r="I21" s="11"/>
    </row>
    <row r="22" ht="14.25" customHeight="1">
      <c r="A22" s="11"/>
      <c r="B22" s="11"/>
      <c r="C22" s="11"/>
      <c r="D22" s="11"/>
      <c r="E22" s="11"/>
      <c r="F22" s="36"/>
      <c r="G22" s="11"/>
      <c r="H22" s="11"/>
      <c r="I22" s="11"/>
    </row>
    <row r="23" ht="14.25" customHeight="1">
      <c r="A23" s="11"/>
      <c r="B23" s="11"/>
      <c r="C23" s="11"/>
      <c r="D23" s="11"/>
      <c r="E23" s="11"/>
      <c r="F23" s="36"/>
      <c r="G23" s="11"/>
      <c r="H23" s="11"/>
      <c r="I23" s="11"/>
    </row>
    <row r="24" ht="14.25" customHeight="1">
      <c r="A24" s="11"/>
      <c r="B24" s="11"/>
      <c r="C24" s="11"/>
      <c r="D24" s="11"/>
      <c r="E24" s="11"/>
      <c r="F24" s="36"/>
      <c r="G24" s="11"/>
      <c r="H24" s="11"/>
      <c r="I24" s="11"/>
    </row>
    <row r="25" ht="14.25" customHeight="1">
      <c r="A25" s="11"/>
      <c r="B25" s="11"/>
      <c r="C25" s="11"/>
      <c r="D25" s="11"/>
      <c r="E25" s="11"/>
      <c r="F25" s="36"/>
      <c r="G25" s="11"/>
      <c r="H25" s="11"/>
      <c r="I25" s="11"/>
    </row>
    <row r="26" ht="14.25" customHeight="1">
      <c r="A26" s="11"/>
      <c r="B26" s="11"/>
      <c r="C26" s="11"/>
      <c r="D26" s="11"/>
      <c r="E26" s="11"/>
      <c r="F26" s="36"/>
      <c r="G26" s="11"/>
      <c r="H26" s="11"/>
      <c r="I26" s="11"/>
    </row>
    <row r="27" ht="14.25" customHeight="1">
      <c r="A27" s="11"/>
      <c r="B27" s="11"/>
      <c r="C27" s="11"/>
      <c r="D27" s="11"/>
      <c r="E27" s="11"/>
      <c r="F27" s="36"/>
      <c r="G27" s="11"/>
      <c r="H27" s="11"/>
      <c r="I27" s="11"/>
    </row>
    <row r="28" ht="14.25" customHeight="1">
      <c r="A28" s="11"/>
      <c r="B28" s="11"/>
      <c r="C28" s="11"/>
      <c r="D28" s="11"/>
      <c r="E28" s="11"/>
      <c r="F28" s="36"/>
      <c r="G28" s="11"/>
      <c r="H28" s="11"/>
      <c r="I28" s="11"/>
    </row>
    <row r="29" ht="14.25" customHeight="1">
      <c r="A29" s="11"/>
      <c r="B29" s="11"/>
      <c r="C29" s="11"/>
      <c r="D29" s="11"/>
      <c r="E29" s="11"/>
      <c r="F29" s="36"/>
      <c r="G29" s="11"/>
      <c r="H29" s="11"/>
      <c r="I29" s="11"/>
    </row>
    <row r="30" ht="14.25" customHeight="1">
      <c r="A30" s="11"/>
      <c r="B30" s="11"/>
      <c r="C30" s="11"/>
      <c r="D30" s="11"/>
      <c r="E30" s="11"/>
      <c r="F30" s="36"/>
      <c r="G30" s="11"/>
      <c r="H30" s="11"/>
      <c r="I30" s="11"/>
    </row>
    <row r="31" ht="14.25" customHeight="1">
      <c r="A31" s="11"/>
      <c r="B31" s="11"/>
      <c r="C31" s="11"/>
      <c r="D31" s="11"/>
      <c r="E31" s="11"/>
      <c r="F31" s="36"/>
      <c r="G31" s="11"/>
      <c r="H31" s="11"/>
      <c r="I31" s="11"/>
    </row>
    <row r="32" ht="14.25" customHeight="1">
      <c r="A32" s="11"/>
      <c r="B32" s="11"/>
      <c r="C32" s="11"/>
      <c r="D32" s="11"/>
      <c r="E32" s="11"/>
      <c r="F32" s="36"/>
      <c r="G32" s="11"/>
      <c r="H32" s="11"/>
      <c r="I32" s="11"/>
    </row>
    <row r="33" ht="14.25" customHeight="1">
      <c r="A33" s="11"/>
      <c r="B33" s="11"/>
      <c r="C33" s="11"/>
      <c r="D33" s="11"/>
      <c r="E33" s="11"/>
      <c r="F33" s="36"/>
      <c r="G33" s="11"/>
      <c r="H33" s="11"/>
      <c r="I33" s="11"/>
    </row>
    <row r="34" ht="14.25" customHeight="1">
      <c r="A34" s="11"/>
      <c r="B34" s="11"/>
      <c r="C34" s="11"/>
      <c r="D34" s="11"/>
      <c r="E34" s="11"/>
      <c r="F34" s="36"/>
      <c r="G34" s="11"/>
      <c r="H34" s="11"/>
      <c r="I34" s="11"/>
    </row>
    <row r="35" ht="14.25" customHeight="1">
      <c r="A35" s="11"/>
      <c r="B35" s="11"/>
      <c r="C35" s="11"/>
      <c r="D35" s="11"/>
      <c r="E35" s="11"/>
      <c r="F35" s="36"/>
      <c r="G35" s="11"/>
      <c r="H35" s="11"/>
      <c r="I35" s="11"/>
    </row>
    <row r="36" ht="14.25" customHeight="1">
      <c r="A36" s="11"/>
      <c r="B36" s="11"/>
      <c r="C36" s="11"/>
      <c r="D36" s="11"/>
      <c r="E36" s="11"/>
      <c r="F36" s="36"/>
      <c r="G36" s="11"/>
      <c r="H36" s="11"/>
      <c r="I36" s="11"/>
    </row>
    <row r="37" ht="14.25" customHeight="1">
      <c r="A37" s="11"/>
      <c r="B37" s="11"/>
      <c r="C37" s="11"/>
      <c r="D37" s="11"/>
      <c r="E37" s="11"/>
      <c r="F37" s="36"/>
      <c r="G37" s="11"/>
      <c r="H37" s="11"/>
      <c r="I37" s="11"/>
    </row>
    <row r="38" ht="14.25" customHeight="1">
      <c r="A38" s="11"/>
      <c r="B38" s="11"/>
      <c r="C38" s="11"/>
      <c r="D38" s="11"/>
      <c r="E38" s="11"/>
      <c r="F38" s="36"/>
      <c r="G38" s="11"/>
      <c r="H38" s="11"/>
      <c r="I38" s="11"/>
    </row>
    <row r="39" ht="14.25" customHeight="1">
      <c r="A39" s="11"/>
      <c r="B39" s="11"/>
      <c r="C39" s="11"/>
      <c r="D39" s="11"/>
      <c r="E39" s="11"/>
      <c r="F39" s="36"/>
      <c r="G39" s="11"/>
      <c r="H39" s="11"/>
      <c r="I39" s="11"/>
    </row>
    <row r="40" ht="14.25" customHeight="1">
      <c r="A40" s="11"/>
      <c r="B40" s="11"/>
      <c r="C40" s="11"/>
      <c r="D40" s="11"/>
      <c r="E40" s="11"/>
      <c r="F40" s="36"/>
      <c r="G40" s="11"/>
      <c r="H40" s="11"/>
      <c r="I40" s="11"/>
    </row>
    <row r="41" ht="14.25" customHeight="1">
      <c r="A41" s="11"/>
      <c r="B41" s="11"/>
      <c r="C41" s="11"/>
      <c r="D41" s="11"/>
      <c r="E41" s="11"/>
      <c r="F41" s="36"/>
      <c r="G41" s="11"/>
      <c r="H41" s="11"/>
      <c r="I41" s="11"/>
    </row>
    <row r="42" ht="14.25" customHeight="1">
      <c r="A42" s="11"/>
      <c r="B42" s="11"/>
      <c r="C42" s="11"/>
      <c r="D42" s="11"/>
      <c r="E42" s="11"/>
      <c r="F42" s="36"/>
      <c r="G42" s="11"/>
      <c r="H42" s="11"/>
      <c r="I42" s="11"/>
    </row>
    <row r="43" ht="14.25" customHeight="1">
      <c r="A43" s="11"/>
      <c r="B43" s="11"/>
      <c r="C43" s="11"/>
      <c r="D43" s="11"/>
      <c r="E43" s="11"/>
      <c r="F43" s="36"/>
      <c r="G43" s="11"/>
      <c r="H43" s="11"/>
      <c r="I43" s="11"/>
    </row>
    <row r="44" ht="14.25" customHeight="1">
      <c r="A44" s="11"/>
      <c r="B44" s="11"/>
      <c r="C44" s="11"/>
      <c r="D44" s="11"/>
      <c r="E44" s="11"/>
      <c r="F44" s="36"/>
      <c r="G44" s="11"/>
      <c r="H44" s="11"/>
      <c r="I44" s="11"/>
    </row>
    <row r="45" ht="14.25" customHeight="1">
      <c r="A45" s="11"/>
      <c r="B45" s="11"/>
      <c r="C45" s="11"/>
      <c r="D45" s="11"/>
      <c r="E45" s="11"/>
      <c r="F45" s="36"/>
      <c r="G45" s="11"/>
      <c r="H45" s="11"/>
      <c r="I45" s="11"/>
    </row>
    <row r="46" ht="14.25" customHeight="1">
      <c r="A46" s="11"/>
      <c r="B46" s="11"/>
      <c r="C46" s="11"/>
      <c r="D46" s="11"/>
      <c r="E46" s="11"/>
      <c r="F46" s="36"/>
      <c r="G46" s="11"/>
      <c r="H46" s="11"/>
      <c r="I46" s="11"/>
    </row>
    <row r="47" ht="14.25" customHeight="1">
      <c r="A47" s="11"/>
      <c r="B47" s="11"/>
      <c r="C47" s="11"/>
      <c r="D47" s="11"/>
      <c r="E47" s="11"/>
      <c r="F47" s="36"/>
      <c r="G47" s="11"/>
      <c r="H47" s="11"/>
      <c r="I47" s="11"/>
    </row>
    <row r="48" ht="14.25" customHeight="1">
      <c r="A48" s="11"/>
      <c r="B48" s="11"/>
      <c r="C48" s="11"/>
      <c r="D48" s="11"/>
      <c r="E48" s="11"/>
      <c r="F48" s="36"/>
      <c r="G48" s="11"/>
      <c r="H48" s="11"/>
      <c r="I48" s="11"/>
    </row>
    <row r="49" ht="14.25" customHeight="1">
      <c r="A49" s="11"/>
      <c r="B49" s="11"/>
      <c r="C49" s="11"/>
      <c r="D49" s="11"/>
      <c r="E49" s="11"/>
      <c r="F49" s="36"/>
      <c r="G49" s="11"/>
      <c r="H49" s="11"/>
      <c r="I49" s="11"/>
    </row>
    <row r="50" ht="14.25" customHeight="1">
      <c r="A50" s="11"/>
      <c r="B50" s="11"/>
      <c r="C50" s="11"/>
      <c r="D50" s="11"/>
      <c r="E50" s="11"/>
      <c r="F50" s="36"/>
      <c r="G50" s="11"/>
      <c r="H50" s="11"/>
      <c r="I50" s="11"/>
    </row>
    <row r="51" ht="14.25" customHeight="1">
      <c r="A51" s="11"/>
      <c r="B51" s="11"/>
      <c r="C51" s="11"/>
      <c r="D51" s="11"/>
      <c r="E51" s="11"/>
      <c r="F51" s="36"/>
      <c r="G51" s="11"/>
      <c r="H51" s="11"/>
      <c r="I51" s="11"/>
    </row>
    <row r="52" ht="14.25" customHeight="1">
      <c r="A52" s="11"/>
      <c r="B52" s="11"/>
      <c r="C52" s="11"/>
      <c r="D52" s="11"/>
      <c r="E52" s="11"/>
      <c r="F52" s="36"/>
      <c r="G52" s="11"/>
      <c r="H52" s="11"/>
      <c r="I52" s="11"/>
    </row>
    <row r="53" ht="14.25" customHeight="1">
      <c r="A53" s="11"/>
      <c r="B53" s="11"/>
      <c r="C53" s="11"/>
      <c r="D53" s="11"/>
      <c r="E53" s="11"/>
      <c r="F53" s="36"/>
      <c r="G53" s="11"/>
      <c r="H53" s="11"/>
      <c r="I53" s="11"/>
    </row>
    <row r="54" ht="14.25" customHeight="1">
      <c r="A54" s="11"/>
      <c r="B54" s="11"/>
      <c r="C54" s="11"/>
      <c r="D54" s="11"/>
      <c r="E54" s="11"/>
      <c r="F54" s="36"/>
      <c r="G54" s="11"/>
      <c r="H54" s="11"/>
      <c r="I54" s="11"/>
    </row>
    <row r="55" ht="14.25" customHeight="1">
      <c r="A55" s="11"/>
      <c r="B55" s="11"/>
      <c r="C55" s="11"/>
      <c r="D55" s="11"/>
      <c r="E55" s="11"/>
      <c r="F55" s="36"/>
      <c r="G55" s="11"/>
      <c r="H55" s="11"/>
      <c r="I55" s="11"/>
    </row>
    <row r="56" ht="14.25" customHeight="1">
      <c r="A56" s="11"/>
      <c r="B56" s="11"/>
      <c r="C56" s="11"/>
      <c r="D56" s="11"/>
      <c r="E56" s="11"/>
      <c r="F56" s="36"/>
      <c r="G56" s="11"/>
      <c r="H56" s="11"/>
      <c r="I56" s="11"/>
    </row>
    <row r="57" ht="14.25" customHeight="1">
      <c r="A57" s="11"/>
      <c r="B57" s="11"/>
      <c r="C57" s="11"/>
      <c r="D57" s="11"/>
      <c r="E57" s="11"/>
      <c r="F57" s="36"/>
      <c r="G57" s="11"/>
      <c r="H57" s="11"/>
      <c r="I57" s="11"/>
    </row>
    <row r="58" ht="14.25" customHeight="1">
      <c r="A58" s="11"/>
      <c r="B58" s="11"/>
      <c r="C58" s="11"/>
      <c r="D58" s="11"/>
      <c r="E58" s="11"/>
      <c r="F58" s="36"/>
      <c r="G58" s="11"/>
      <c r="H58" s="11"/>
      <c r="I58" s="11"/>
    </row>
    <row r="59" ht="14.25" customHeight="1">
      <c r="A59" s="11"/>
      <c r="B59" s="11"/>
      <c r="C59" s="11"/>
      <c r="D59" s="11"/>
      <c r="E59" s="11"/>
      <c r="F59" s="36"/>
      <c r="G59" s="11"/>
      <c r="H59" s="11"/>
      <c r="I59" s="11"/>
    </row>
    <row r="60" ht="14.25" customHeight="1">
      <c r="A60" s="11"/>
      <c r="B60" s="11"/>
      <c r="C60" s="11"/>
      <c r="D60" s="11"/>
      <c r="E60" s="11"/>
      <c r="F60" s="36"/>
      <c r="G60" s="11"/>
      <c r="H60" s="11"/>
      <c r="I60" s="11"/>
    </row>
    <row r="61" ht="14.25" customHeight="1">
      <c r="A61" s="11"/>
      <c r="B61" s="11"/>
      <c r="C61" s="11"/>
      <c r="D61" s="11"/>
      <c r="E61" s="11"/>
      <c r="F61" s="36"/>
      <c r="G61" s="11"/>
      <c r="H61" s="11"/>
      <c r="I61" s="11"/>
    </row>
    <row r="62" ht="14.25" customHeight="1">
      <c r="A62" s="11"/>
      <c r="B62" s="11"/>
      <c r="C62" s="11"/>
      <c r="D62" s="11"/>
      <c r="E62" s="11"/>
      <c r="F62" s="36"/>
      <c r="G62" s="11"/>
      <c r="H62" s="11"/>
      <c r="I62" s="11"/>
    </row>
    <row r="63" ht="14.25" customHeight="1">
      <c r="A63" s="11"/>
      <c r="B63" s="11"/>
      <c r="C63" s="11"/>
      <c r="D63" s="11"/>
      <c r="E63" s="11"/>
      <c r="F63" s="36"/>
      <c r="G63" s="11"/>
      <c r="H63" s="11"/>
      <c r="I63" s="11"/>
    </row>
    <row r="64" ht="14.25" customHeight="1">
      <c r="A64" s="11"/>
      <c r="B64" s="11"/>
      <c r="C64" s="11"/>
      <c r="D64" s="11"/>
      <c r="E64" s="11"/>
      <c r="F64" s="36"/>
      <c r="G64" s="11"/>
      <c r="H64" s="11"/>
      <c r="I64" s="11"/>
    </row>
    <row r="65" ht="14.25" customHeight="1">
      <c r="A65" s="11"/>
      <c r="B65" s="11"/>
      <c r="C65" s="11"/>
      <c r="D65" s="11"/>
      <c r="E65" s="11"/>
      <c r="F65" s="36"/>
      <c r="G65" s="11"/>
      <c r="H65" s="11"/>
      <c r="I65" s="11"/>
    </row>
    <row r="66" ht="14.25" customHeight="1">
      <c r="A66" s="11"/>
      <c r="B66" s="11"/>
      <c r="C66" s="11"/>
      <c r="D66" s="11"/>
      <c r="E66" s="11"/>
      <c r="F66" s="36"/>
      <c r="G66" s="11"/>
      <c r="H66" s="11"/>
      <c r="I66" s="11"/>
    </row>
    <row r="67" ht="14.25" customHeight="1">
      <c r="A67" s="11"/>
      <c r="B67" s="11"/>
      <c r="C67" s="11"/>
      <c r="D67" s="11"/>
      <c r="E67" s="11"/>
      <c r="F67" s="36"/>
      <c r="G67" s="11"/>
      <c r="H67" s="11"/>
      <c r="I67" s="11"/>
    </row>
    <row r="68" ht="14.25" customHeight="1">
      <c r="A68" s="11"/>
      <c r="B68" s="11"/>
      <c r="C68" s="11"/>
      <c r="D68" s="11"/>
      <c r="E68" s="11"/>
      <c r="F68" s="36"/>
      <c r="G68" s="11"/>
      <c r="H68" s="11"/>
      <c r="I68" s="11"/>
    </row>
    <row r="69" ht="14.25" customHeight="1">
      <c r="A69" s="11"/>
      <c r="B69" s="11"/>
      <c r="C69" s="11"/>
      <c r="D69" s="11"/>
      <c r="E69" s="11"/>
      <c r="F69" s="36"/>
      <c r="G69" s="11"/>
      <c r="H69" s="11"/>
      <c r="I69" s="11"/>
    </row>
    <row r="70" ht="14.25" customHeight="1">
      <c r="A70" s="11"/>
      <c r="B70" s="11"/>
      <c r="C70" s="11"/>
      <c r="D70" s="11"/>
      <c r="E70" s="11"/>
      <c r="F70" s="36"/>
      <c r="G70" s="11"/>
      <c r="H70" s="11"/>
      <c r="I70" s="11"/>
    </row>
    <row r="71" ht="14.25" customHeight="1">
      <c r="A71" s="11"/>
      <c r="B71" s="11"/>
      <c r="C71" s="11"/>
      <c r="D71" s="11"/>
      <c r="E71" s="11"/>
      <c r="F71" s="36"/>
      <c r="G71" s="11"/>
      <c r="H71" s="11"/>
      <c r="I71" s="11"/>
    </row>
    <row r="72" ht="14.25" customHeight="1">
      <c r="A72" s="11"/>
      <c r="B72" s="11"/>
      <c r="C72" s="11"/>
      <c r="D72" s="11"/>
      <c r="E72" s="11"/>
      <c r="F72" s="36"/>
      <c r="G72" s="11"/>
      <c r="H72" s="11"/>
      <c r="I72" s="11"/>
    </row>
    <row r="73" ht="14.25" customHeight="1">
      <c r="A73" s="11"/>
      <c r="B73" s="11"/>
      <c r="C73" s="11"/>
      <c r="D73" s="11"/>
      <c r="E73" s="11"/>
      <c r="F73" s="36"/>
      <c r="G73" s="11"/>
      <c r="H73" s="11"/>
      <c r="I73" s="11"/>
    </row>
    <row r="74" ht="14.25" customHeight="1">
      <c r="A74" s="11"/>
      <c r="B74" s="11"/>
      <c r="C74" s="11"/>
      <c r="D74" s="11"/>
      <c r="E74" s="11"/>
      <c r="F74" s="36"/>
      <c r="G74" s="11"/>
      <c r="H74" s="11"/>
      <c r="I74" s="11"/>
    </row>
    <row r="75" ht="14.25" customHeight="1">
      <c r="A75" s="11"/>
      <c r="B75" s="11"/>
      <c r="C75" s="11"/>
      <c r="D75" s="11"/>
      <c r="E75" s="11"/>
      <c r="F75" s="36"/>
      <c r="G75" s="11"/>
      <c r="H75" s="11"/>
      <c r="I75" s="11"/>
    </row>
    <row r="76" ht="14.25" customHeight="1">
      <c r="A76" s="11"/>
      <c r="B76" s="11"/>
      <c r="C76" s="11"/>
      <c r="D76" s="11"/>
      <c r="E76" s="11"/>
      <c r="F76" s="36"/>
      <c r="G76" s="11"/>
      <c r="H76" s="11"/>
      <c r="I76" s="11"/>
    </row>
    <row r="77" ht="14.25" customHeight="1">
      <c r="A77" s="11"/>
      <c r="B77" s="11"/>
      <c r="C77" s="11"/>
      <c r="D77" s="11"/>
      <c r="E77" s="11"/>
      <c r="F77" s="36"/>
      <c r="G77" s="11"/>
      <c r="H77" s="11"/>
      <c r="I77" s="11"/>
    </row>
    <row r="78" ht="14.25" customHeight="1">
      <c r="A78" s="11"/>
      <c r="B78" s="11"/>
      <c r="C78" s="11"/>
      <c r="D78" s="11"/>
      <c r="E78" s="11"/>
      <c r="F78" s="36"/>
      <c r="G78" s="11"/>
      <c r="H78" s="11"/>
      <c r="I78" s="11"/>
    </row>
    <row r="79" ht="14.25" customHeight="1">
      <c r="A79" s="11"/>
      <c r="B79" s="11"/>
      <c r="C79" s="11"/>
      <c r="D79" s="11"/>
      <c r="E79" s="11"/>
      <c r="F79" s="36"/>
      <c r="G79" s="11"/>
      <c r="H79" s="11"/>
      <c r="I79" s="11"/>
    </row>
    <row r="80" ht="14.25" customHeight="1">
      <c r="A80" s="11"/>
      <c r="B80" s="11"/>
      <c r="C80" s="11"/>
      <c r="D80" s="11"/>
      <c r="E80" s="11"/>
      <c r="F80" s="36"/>
      <c r="G80" s="11"/>
      <c r="H80" s="11"/>
      <c r="I80" s="11"/>
    </row>
    <row r="81" ht="14.25" customHeight="1">
      <c r="A81" s="11"/>
      <c r="B81" s="11"/>
      <c r="C81" s="11"/>
      <c r="D81" s="11"/>
      <c r="E81" s="11"/>
      <c r="F81" s="36"/>
      <c r="G81" s="11"/>
      <c r="H81" s="11"/>
      <c r="I81" s="11"/>
    </row>
    <row r="82" ht="14.25" customHeight="1">
      <c r="A82" s="11"/>
      <c r="B82" s="11"/>
      <c r="C82" s="11"/>
      <c r="D82" s="11"/>
      <c r="E82" s="11"/>
      <c r="F82" s="36"/>
      <c r="G82" s="11"/>
      <c r="H82" s="11"/>
      <c r="I82" s="11"/>
    </row>
    <row r="83" ht="14.25" customHeight="1">
      <c r="A83" s="11"/>
      <c r="B83" s="11"/>
      <c r="C83" s="11"/>
      <c r="D83" s="11"/>
      <c r="E83" s="11"/>
      <c r="F83" s="36"/>
      <c r="G83" s="11"/>
      <c r="H83" s="11"/>
      <c r="I83" s="11"/>
    </row>
    <row r="84" ht="14.25" customHeight="1">
      <c r="A84" s="11"/>
      <c r="B84" s="11"/>
      <c r="C84" s="11"/>
      <c r="D84" s="11"/>
      <c r="E84" s="11"/>
      <c r="F84" s="36"/>
      <c r="G84" s="11"/>
      <c r="H84" s="11"/>
      <c r="I84" s="11"/>
    </row>
    <row r="85" ht="14.25" customHeight="1">
      <c r="A85" s="11"/>
      <c r="B85" s="11"/>
      <c r="C85" s="11"/>
      <c r="D85" s="11"/>
      <c r="E85" s="11"/>
      <c r="F85" s="36"/>
      <c r="G85" s="11"/>
      <c r="H85" s="11"/>
      <c r="I85" s="11"/>
    </row>
    <row r="86" ht="14.25" customHeight="1">
      <c r="A86" s="11"/>
      <c r="B86" s="11"/>
      <c r="C86" s="11"/>
      <c r="D86" s="11"/>
      <c r="E86" s="11"/>
      <c r="F86" s="36"/>
      <c r="G86" s="11"/>
      <c r="H86" s="11"/>
      <c r="I86" s="11"/>
    </row>
    <row r="87" ht="14.25" customHeight="1">
      <c r="A87" s="11"/>
      <c r="B87" s="11"/>
      <c r="C87" s="11"/>
      <c r="D87" s="11"/>
      <c r="E87" s="11"/>
      <c r="F87" s="36"/>
      <c r="G87" s="11"/>
      <c r="H87" s="11"/>
      <c r="I87" s="11"/>
    </row>
    <row r="88" ht="14.25" customHeight="1">
      <c r="A88" s="11"/>
      <c r="B88" s="11"/>
      <c r="C88" s="11"/>
      <c r="D88" s="11"/>
      <c r="E88" s="11"/>
      <c r="F88" s="36"/>
      <c r="G88" s="11"/>
      <c r="H88" s="11"/>
      <c r="I88" s="11"/>
    </row>
    <row r="89" ht="14.25" customHeight="1">
      <c r="A89" s="11"/>
      <c r="B89" s="11"/>
      <c r="C89" s="11"/>
      <c r="D89" s="11"/>
      <c r="E89" s="11"/>
      <c r="F89" s="36"/>
      <c r="G89" s="11"/>
      <c r="H89" s="11"/>
      <c r="I89" s="11"/>
    </row>
    <row r="90" ht="14.25" customHeight="1">
      <c r="A90" s="11"/>
      <c r="B90" s="11"/>
      <c r="C90" s="11"/>
      <c r="D90" s="11"/>
      <c r="E90" s="11"/>
      <c r="F90" s="36"/>
      <c r="G90" s="11"/>
      <c r="H90" s="11"/>
      <c r="I90" s="11"/>
    </row>
    <row r="91" ht="14.25" customHeight="1">
      <c r="A91" s="11"/>
      <c r="B91" s="11"/>
      <c r="C91" s="11"/>
      <c r="D91" s="11"/>
      <c r="E91" s="11"/>
      <c r="F91" s="36"/>
      <c r="G91" s="11"/>
      <c r="H91" s="11"/>
      <c r="I91" s="11"/>
    </row>
    <row r="92" ht="14.25" customHeight="1">
      <c r="A92" s="11"/>
      <c r="B92" s="11"/>
      <c r="C92" s="11"/>
      <c r="D92" s="11"/>
      <c r="E92" s="11"/>
      <c r="F92" s="36"/>
      <c r="G92" s="11"/>
      <c r="H92" s="11"/>
      <c r="I92" s="11"/>
    </row>
    <row r="93" ht="14.25" customHeight="1">
      <c r="A93" s="11"/>
      <c r="B93" s="11"/>
      <c r="C93" s="11"/>
      <c r="D93" s="11"/>
      <c r="E93" s="11"/>
      <c r="F93" s="36"/>
      <c r="G93" s="11"/>
      <c r="H93" s="11"/>
      <c r="I93" s="11"/>
    </row>
    <row r="94" ht="14.25" customHeight="1">
      <c r="A94" s="11"/>
      <c r="B94" s="11"/>
      <c r="C94" s="11"/>
      <c r="D94" s="11"/>
      <c r="E94" s="11"/>
      <c r="F94" s="36"/>
      <c r="G94" s="11"/>
      <c r="H94" s="11"/>
      <c r="I94" s="11"/>
    </row>
    <row r="95" ht="14.25" customHeight="1">
      <c r="A95" s="11"/>
      <c r="B95" s="11"/>
      <c r="C95" s="11"/>
      <c r="D95" s="11"/>
      <c r="E95" s="11"/>
      <c r="F95" s="36"/>
      <c r="G95" s="11"/>
      <c r="H95" s="11"/>
      <c r="I95" s="11"/>
    </row>
    <row r="96" ht="14.25" customHeight="1">
      <c r="A96" s="11"/>
      <c r="B96" s="11"/>
      <c r="C96" s="11"/>
      <c r="D96" s="11"/>
      <c r="E96" s="11"/>
      <c r="F96" s="36"/>
      <c r="G96" s="11"/>
      <c r="H96" s="11"/>
      <c r="I96" s="11"/>
    </row>
    <row r="97" ht="14.25" customHeight="1">
      <c r="A97" s="11"/>
      <c r="B97" s="11"/>
      <c r="C97" s="11"/>
      <c r="D97" s="11"/>
      <c r="E97" s="11"/>
      <c r="F97" s="36"/>
      <c r="G97" s="11"/>
      <c r="H97" s="11"/>
      <c r="I97" s="11"/>
    </row>
    <row r="98" ht="14.25" customHeight="1">
      <c r="A98" s="11"/>
      <c r="B98" s="11"/>
      <c r="C98" s="11"/>
      <c r="D98" s="11"/>
      <c r="E98" s="11"/>
      <c r="F98" s="36"/>
      <c r="G98" s="11"/>
      <c r="H98" s="11"/>
      <c r="I98" s="11"/>
    </row>
    <row r="99" ht="14.25" customHeight="1">
      <c r="A99" s="11"/>
      <c r="B99" s="11"/>
      <c r="C99" s="11"/>
      <c r="D99" s="11"/>
      <c r="E99" s="11"/>
      <c r="F99" s="36"/>
      <c r="G99" s="11"/>
      <c r="H99" s="11"/>
      <c r="I99" s="11"/>
    </row>
    <row r="100" ht="14.25" customHeight="1">
      <c r="A100" s="11"/>
      <c r="B100" s="11"/>
      <c r="C100" s="11"/>
      <c r="D100" s="11"/>
      <c r="E100" s="11"/>
      <c r="F100" s="36"/>
      <c r="G100" s="11"/>
      <c r="H100" s="11"/>
      <c r="I100" s="11"/>
    </row>
    <row r="101" ht="14.25" customHeight="1">
      <c r="A101" s="11"/>
      <c r="B101" s="11"/>
      <c r="C101" s="11"/>
      <c r="D101" s="11"/>
      <c r="E101" s="11"/>
      <c r="F101" s="36"/>
      <c r="G101" s="11"/>
      <c r="H101" s="11"/>
      <c r="I101" s="11"/>
    </row>
    <row r="102" ht="14.25" customHeight="1">
      <c r="A102" s="11"/>
      <c r="B102" s="11"/>
      <c r="C102" s="11"/>
      <c r="D102" s="11"/>
      <c r="E102" s="11"/>
      <c r="F102" s="36"/>
      <c r="G102" s="11"/>
      <c r="H102" s="11"/>
      <c r="I102" s="11"/>
    </row>
    <row r="103" ht="14.25" customHeight="1">
      <c r="A103" s="11"/>
      <c r="B103" s="11"/>
      <c r="C103" s="11"/>
      <c r="D103" s="11"/>
      <c r="E103" s="11"/>
      <c r="F103" s="36"/>
      <c r="G103" s="11"/>
      <c r="H103" s="11"/>
      <c r="I103" s="11"/>
    </row>
    <row r="104" ht="14.25" customHeight="1">
      <c r="A104" s="11"/>
      <c r="B104" s="11"/>
      <c r="C104" s="11"/>
      <c r="D104" s="11"/>
      <c r="E104" s="11"/>
      <c r="F104" s="36"/>
      <c r="G104" s="11"/>
      <c r="H104" s="11"/>
      <c r="I104" s="11"/>
    </row>
    <row r="105" ht="14.25" customHeight="1">
      <c r="A105" s="11"/>
      <c r="B105" s="11"/>
      <c r="C105" s="11"/>
      <c r="D105" s="11"/>
      <c r="E105" s="11"/>
      <c r="F105" s="36"/>
      <c r="G105" s="11"/>
      <c r="H105" s="11"/>
      <c r="I105" s="11"/>
    </row>
    <row r="106" ht="14.25" customHeight="1">
      <c r="A106" s="11"/>
      <c r="B106" s="11"/>
      <c r="C106" s="11"/>
      <c r="D106" s="11"/>
      <c r="E106" s="11"/>
      <c r="F106" s="36"/>
      <c r="G106" s="11"/>
      <c r="H106" s="11"/>
      <c r="I106" s="11"/>
    </row>
    <row r="107" ht="14.25" customHeight="1">
      <c r="A107" s="11"/>
      <c r="B107" s="11"/>
      <c r="C107" s="11"/>
      <c r="D107" s="11"/>
      <c r="E107" s="11"/>
      <c r="F107" s="36"/>
      <c r="G107" s="11"/>
      <c r="H107" s="11"/>
      <c r="I107" s="11"/>
    </row>
    <row r="108" ht="14.25" customHeight="1">
      <c r="A108" s="11"/>
      <c r="B108" s="11"/>
      <c r="C108" s="11"/>
      <c r="D108" s="11"/>
      <c r="E108" s="11"/>
      <c r="F108" s="36"/>
      <c r="G108" s="11"/>
      <c r="H108" s="11"/>
      <c r="I108" s="11"/>
    </row>
    <row r="109" ht="14.25" customHeight="1">
      <c r="A109" s="11"/>
      <c r="B109" s="11"/>
      <c r="C109" s="11"/>
      <c r="D109" s="11"/>
      <c r="E109" s="11"/>
      <c r="F109" s="36"/>
      <c r="G109" s="11"/>
      <c r="H109" s="11"/>
      <c r="I109" s="11"/>
    </row>
    <row r="110" ht="14.25" customHeight="1">
      <c r="A110" s="11"/>
      <c r="B110" s="11"/>
      <c r="C110" s="11"/>
      <c r="D110" s="11"/>
      <c r="E110" s="11"/>
      <c r="F110" s="36"/>
      <c r="G110" s="11"/>
      <c r="H110" s="11"/>
      <c r="I110" s="11"/>
    </row>
    <row r="111" ht="14.25" customHeight="1">
      <c r="A111" s="11"/>
      <c r="B111" s="11"/>
      <c r="C111" s="11"/>
      <c r="D111" s="11"/>
      <c r="E111" s="11"/>
      <c r="F111" s="36"/>
      <c r="G111" s="11"/>
      <c r="H111" s="11"/>
      <c r="I111" s="11"/>
    </row>
    <row r="112" ht="14.25" customHeight="1">
      <c r="A112" s="11"/>
      <c r="B112" s="11"/>
      <c r="C112" s="11"/>
      <c r="D112" s="11"/>
      <c r="E112" s="11"/>
      <c r="F112" s="36"/>
      <c r="G112" s="11"/>
      <c r="H112" s="11"/>
      <c r="I112" s="11"/>
    </row>
    <row r="113" ht="14.25" customHeight="1">
      <c r="A113" s="11"/>
      <c r="B113" s="11"/>
      <c r="C113" s="11"/>
      <c r="D113" s="11"/>
      <c r="E113" s="11"/>
      <c r="F113" s="36"/>
      <c r="G113" s="11"/>
      <c r="H113" s="11"/>
      <c r="I113" s="11"/>
    </row>
    <row r="114" ht="14.25" customHeight="1">
      <c r="A114" s="11"/>
      <c r="B114" s="11"/>
      <c r="C114" s="11"/>
      <c r="D114" s="11"/>
      <c r="E114" s="11"/>
      <c r="F114" s="36"/>
      <c r="G114" s="11"/>
      <c r="H114" s="11"/>
      <c r="I114" s="11"/>
    </row>
    <row r="115" ht="14.25" customHeight="1">
      <c r="A115" s="11"/>
      <c r="B115" s="11"/>
      <c r="C115" s="11"/>
      <c r="D115" s="11"/>
      <c r="E115" s="11"/>
      <c r="F115" s="36"/>
      <c r="G115" s="11"/>
      <c r="H115" s="11"/>
      <c r="I115" s="11"/>
    </row>
    <row r="116" ht="14.25" customHeight="1">
      <c r="A116" s="11"/>
      <c r="B116" s="11"/>
      <c r="C116" s="11"/>
      <c r="D116" s="11"/>
      <c r="E116" s="11"/>
      <c r="F116" s="36"/>
      <c r="G116" s="11"/>
      <c r="H116" s="11"/>
      <c r="I116" s="11"/>
    </row>
    <row r="117" ht="14.25" customHeight="1">
      <c r="A117" s="11"/>
      <c r="B117" s="11"/>
      <c r="C117" s="11"/>
      <c r="D117" s="11"/>
      <c r="E117" s="11"/>
      <c r="F117" s="36"/>
      <c r="G117" s="11"/>
      <c r="H117" s="11"/>
      <c r="I117" s="11"/>
    </row>
    <row r="118" ht="14.25" customHeight="1">
      <c r="A118" s="11"/>
      <c r="B118" s="11"/>
      <c r="C118" s="11"/>
      <c r="D118" s="11"/>
      <c r="E118" s="11"/>
      <c r="F118" s="36"/>
      <c r="G118" s="11"/>
      <c r="H118" s="11"/>
      <c r="I118" s="11"/>
    </row>
    <row r="119" ht="14.25" customHeight="1">
      <c r="A119" s="11"/>
      <c r="B119" s="11"/>
      <c r="C119" s="11"/>
      <c r="D119" s="11"/>
      <c r="E119" s="11"/>
      <c r="F119" s="36"/>
      <c r="G119" s="11"/>
      <c r="H119" s="11"/>
      <c r="I119" s="11"/>
    </row>
    <row r="120" ht="14.25" customHeight="1">
      <c r="A120" s="11"/>
      <c r="B120" s="11"/>
      <c r="C120" s="11"/>
      <c r="D120" s="11"/>
      <c r="E120" s="11"/>
      <c r="F120" s="36"/>
      <c r="G120" s="11"/>
      <c r="H120" s="11"/>
      <c r="I120" s="11"/>
    </row>
    <row r="121" ht="14.25" customHeight="1">
      <c r="A121" s="11"/>
      <c r="B121" s="11"/>
      <c r="C121" s="11"/>
      <c r="D121" s="11"/>
      <c r="E121" s="11"/>
      <c r="F121" s="36"/>
      <c r="G121" s="11"/>
      <c r="H121" s="11"/>
      <c r="I121" s="11"/>
    </row>
    <row r="122" ht="14.25" customHeight="1">
      <c r="A122" s="11"/>
      <c r="B122" s="11"/>
      <c r="C122" s="11"/>
      <c r="D122" s="11"/>
      <c r="E122" s="11"/>
      <c r="F122" s="36"/>
      <c r="G122" s="11"/>
      <c r="H122" s="11"/>
      <c r="I122" s="11"/>
    </row>
    <row r="123" ht="14.25" customHeight="1">
      <c r="A123" s="11"/>
      <c r="B123" s="11"/>
      <c r="C123" s="11"/>
      <c r="D123" s="11"/>
      <c r="E123" s="11"/>
      <c r="F123" s="36"/>
      <c r="G123" s="11"/>
      <c r="H123" s="11"/>
      <c r="I123" s="11"/>
    </row>
    <row r="124" ht="14.25" customHeight="1">
      <c r="A124" s="11"/>
      <c r="B124" s="11"/>
      <c r="C124" s="11"/>
      <c r="D124" s="11"/>
      <c r="E124" s="11"/>
      <c r="F124" s="36"/>
      <c r="G124" s="11"/>
      <c r="H124" s="11"/>
      <c r="I124" s="11"/>
    </row>
    <row r="125" ht="14.25" customHeight="1">
      <c r="A125" s="11"/>
      <c r="B125" s="11"/>
      <c r="C125" s="11"/>
      <c r="D125" s="11"/>
      <c r="E125" s="11"/>
      <c r="F125" s="36"/>
      <c r="G125" s="11"/>
      <c r="H125" s="11"/>
      <c r="I125" s="11"/>
    </row>
    <row r="126" ht="14.25" customHeight="1">
      <c r="A126" s="11"/>
      <c r="B126" s="11"/>
      <c r="C126" s="11"/>
      <c r="D126" s="11"/>
      <c r="E126" s="11"/>
      <c r="F126" s="36"/>
      <c r="G126" s="11"/>
      <c r="H126" s="11"/>
      <c r="I126" s="11"/>
    </row>
    <row r="127" ht="14.25" customHeight="1">
      <c r="A127" s="11"/>
      <c r="B127" s="11"/>
      <c r="C127" s="11"/>
      <c r="D127" s="11"/>
      <c r="E127" s="11"/>
      <c r="F127" s="36"/>
      <c r="G127" s="11"/>
      <c r="H127" s="11"/>
      <c r="I127" s="11"/>
    </row>
    <row r="128" ht="14.25" customHeight="1">
      <c r="A128" s="11"/>
      <c r="B128" s="11"/>
      <c r="C128" s="11"/>
      <c r="D128" s="11"/>
      <c r="E128" s="11"/>
      <c r="F128" s="36"/>
      <c r="G128" s="11"/>
      <c r="H128" s="11"/>
      <c r="I128" s="11"/>
    </row>
    <row r="129" ht="14.25" customHeight="1">
      <c r="A129" s="11"/>
      <c r="B129" s="11"/>
      <c r="C129" s="11"/>
      <c r="D129" s="11"/>
      <c r="E129" s="11"/>
      <c r="F129" s="36"/>
      <c r="G129" s="11"/>
      <c r="H129" s="11"/>
      <c r="I129" s="11"/>
    </row>
    <row r="130" ht="14.25" customHeight="1">
      <c r="A130" s="11"/>
      <c r="B130" s="11"/>
      <c r="C130" s="11"/>
      <c r="D130" s="11"/>
      <c r="E130" s="11"/>
      <c r="F130" s="36"/>
      <c r="G130" s="11"/>
      <c r="H130" s="11"/>
      <c r="I130" s="11"/>
    </row>
    <row r="131" ht="14.25" customHeight="1">
      <c r="A131" s="11"/>
      <c r="B131" s="11"/>
      <c r="C131" s="11"/>
      <c r="D131" s="11"/>
      <c r="E131" s="11"/>
      <c r="F131" s="36"/>
      <c r="G131" s="11"/>
      <c r="H131" s="11"/>
      <c r="I131" s="11"/>
    </row>
    <row r="132" ht="14.25" customHeight="1">
      <c r="A132" s="11"/>
      <c r="B132" s="11"/>
      <c r="C132" s="11"/>
      <c r="D132" s="11"/>
      <c r="E132" s="11"/>
      <c r="F132" s="36"/>
      <c r="G132" s="11"/>
      <c r="H132" s="11"/>
      <c r="I132" s="11"/>
    </row>
    <row r="133" ht="14.25" customHeight="1">
      <c r="A133" s="11"/>
      <c r="B133" s="11"/>
      <c r="C133" s="11"/>
      <c r="D133" s="11"/>
      <c r="E133" s="11"/>
      <c r="F133" s="36"/>
      <c r="G133" s="11"/>
      <c r="H133" s="11"/>
      <c r="I133" s="11"/>
    </row>
    <row r="134" ht="14.25" customHeight="1">
      <c r="A134" s="11"/>
      <c r="B134" s="11"/>
      <c r="C134" s="11"/>
      <c r="D134" s="11"/>
      <c r="E134" s="11"/>
      <c r="F134" s="36"/>
      <c r="G134" s="11"/>
      <c r="H134" s="11"/>
      <c r="I134" s="11"/>
    </row>
    <row r="135" ht="14.25" customHeight="1">
      <c r="A135" s="11"/>
      <c r="B135" s="11"/>
      <c r="C135" s="11"/>
      <c r="D135" s="11"/>
      <c r="E135" s="11"/>
      <c r="F135" s="36"/>
      <c r="G135" s="11"/>
      <c r="H135" s="11"/>
      <c r="I135" s="11"/>
    </row>
    <row r="136" ht="14.25" customHeight="1">
      <c r="A136" s="11"/>
      <c r="B136" s="11"/>
      <c r="C136" s="11"/>
      <c r="D136" s="11"/>
      <c r="E136" s="11"/>
      <c r="F136" s="36"/>
      <c r="G136" s="11"/>
      <c r="H136" s="11"/>
      <c r="I136" s="11"/>
    </row>
    <row r="137" ht="14.25" customHeight="1">
      <c r="A137" s="11"/>
      <c r="B137" s="11"/>
      <c r="C137" s="11"/>
      <c r="D137" s="11"/>
      <c r="E137" s="11"/>
      <c r="F137" s="36"/>
      <c r="G137" s="11"/>
      <c r="H137" s="11"/>
      <c r="I137" s="11"/>
    </row>
    <row r="138" ht="14.25" customHeight="1">
      <c r="A138" s="11"/>
      <c r="B138" s="11"/>
      <c r="C138" s="11"/>
      <c r="D138" s="11"/>
      <c r="E138" s="11"/>
      <c r="F138" s="36"/>
      <c r="G138" s="11"/>
      <c r="H138" s="11"/>
      <c r="I138" s="11"/>
    </row>
    <row r="139" ht="14.25" customHeight="1">
      <c r="A139" s="11"/>
      <c r="B139" s="11"/>
      <c r="C139" s="11"/>
      <c r="D139" s="11"/>
      <c r="E139" s="11"/>
      <c r="F139" s="36"/>
      <c r="G139" s="11"/>
      <c r="H139" s="11"/>
      <c r="I139" s="11"/>
    </row>
    <row r="140" ht="14.25" customHeight="1">
      <c r="A140" s="11"/>
      <c r="B140" s="11"/>
      <c r="C140" s="11"/>
      <c r="D140" s="11"/>
      <c r="E140" s="11"/>
      <c r="F140" s="36"/>
      <c r="G140" s="11"/>
      <c r="H140" s="11"/>
      <c r="I140" s="11"/>
    </row>
    <row r="141" ht="14.25" customHeight="1">
      <c r="A141" s="11"/>
      <c r="B141" s="11"/>
      <c r="C141" s="11"/>
      <c r="D141" s="11"/>
      <c r="E141" s="11"/>
      <c r="F141" s="36"/>
      <c r="G141" s="11"/>
      <c r="H141" s="11"/>
      <c r="I141" s="11"/>
    </row>
    <row r="142" ht="14.25" customHeight="1">
      <c r="A142" s="11"/>
      <c r="B142" s="11"/>
      <c r="C142" s="11"/>
      <c r="D142" s="11"/>
      <c r="E142" s="11"/>
      <c r="F142" s="36"/>
      <c r="G142" s="11"/>
      <c r="H142" s="11"/>
      <c r="I142" s="11"/>
    </row>
    <row r="143" ht="14.25" customHeight="1">
      <c r="A143" s="11"/>
      <c r="B143" s="11"/>
      <c r="C143" s="11"/>
      <c r="D143" s="11"/>
      <c r="E143" s="11"/>
      <c r="F143" s="36"/>
      <c r="G143" s="11"/>
      <c r="H143" s="11"/>
      <c r="I143" s="11"/>
    </row>
    <row r="144" ht="14.25" customHeight="1">
      <c r="A144" s="11"/>
      <c r="B144" s="11"/>
      <c r="C144" s="11"/>
      <c r="D144" s="11"/>
      <c r="E144" s="11"/>
      <c r="F144" s="36"/>
      <c r="G144" s="11"/>
      <c r="H144" s="11"/>
      <c r="I144" s="11"/>
    </row>
    <row r="145" ht="14.25" customHeight="1">
      <c r="A145" s="11"/>
      <c r="B145" s="11"/>
      <c r="C145" s="11"/>
      <c r="D145" s="11"/>
      <c r="E145" s="11"/>
      <c r="F145" s="36"/>
      <c r="G145" s="11"/>
      <c r="H145" s="11"/>
      <c r="I145" s="11"/>
    </row>
    <row r="146" ht="14.25" customHeight="1">
      <c r="A146" s="11"/>
      <c r="B146" s="11"/>
      <c r="C146" s="11"/>
      <c r="D146" s="11"/>
      <c r="E146" s="11"/>
      <c r="F146" s="36"/>
      <c r="G146" s="11"/>
      <c r="H146" s="11"/>
      <c r="I146" s="11"/>
    </row>
    <row r="147" ht="14.25" customHeight="1">
      <c r="A147" s="11"/>
      <c r="B147" s="11"/>
      <c r="C147" s="11"/>
      <c r="D147" s="11"/>
      <c r="E147" s="11"/>
      <c r="F147" s="36"/>
      <c r="G147" s="11"/>
      <c r="H147" s="11"/>
      <c r="I147" s="11"/>
    </row>
    <row r="148" ht="14.25" customHeight="1">
      <c r="A148" s="11"/>
      <c r="B148" s="11"/>
      <c r="C148" s="11"/>
      <c r="D148" s="11"/>
      <c r="E148" s="11"/>
      <c r="F148" s="36"/>
      <c r="G148" s="11"/>
      <c r="H148" s="11"/>
      <c r="I148" s="11"/>
    </row>
    <row r="149" ht="14.25" customHeight="1">
      <c r="A149" s="11"/>
      <c r="B149" s="11"/>
      <c r="C149" s="11"/>
      <c r="D149" s="11"/>
      <c r="E149" s="11"/>
      <c r="F149" s="36"/>
      <c r="G149" s="11"/>
      <c r="H149" s="11"/>
      <c r="I149" s="11"/>
    </row>
    <row r="150" ht="14.25" customHeight="1">
      <c r="A150" s="11"/>
      <c r="B150" s="11"/>
      <c r="C150" s="11"/>
      <c r="D150" s="11"/>
      <c r="E150" s="11"/>
      <c r="F150" s="36"/>
      <c r="G150" s="11"/>
      <c r="H150" s="11"/>
      <c r="I150" s="11"/>
    </row>
    <row r="151" ht="14.25" customHeight="1">
      <c r="B151" s="8"/>
      <c r="C151" s="8"/>
      <c r="D151" s="8"/>
      <c r="G151" s="8"/>
    </row>
    <row r="152" ht="14.25" customHeight="1">
      <c r="B152" s="8"/>
      <c r="C152" s="8"/>
      <c r="D152" s="8"/>
      <c r="G152" s="8"/>
    </row>
    <row r="153" ht="14.25" customHeight="1">
      <c r="B153" s="8"/>
      <c r="C153" s="8"/>
      <c r="D153" s="8"/>
      <c r="G153" s="8"/>
    </row>
    <row r="154" ht="14.25" customHeight="1">
      <c r="B154" s="8"/>
      <c r="C154" s="8"/>
      <c r="D154" s="8"/>
      <c r="G154" s="8"/>
    </row>
    <row r="155" ht="14.25" customHeight="1">
      <c r="B155" s="8"/>
      <c r="C155" s="8"/>
      <c r="D155" s="8"/>
      <c r="G155" s="8"/>
    </row>
    <row r="156" ht="14.25" customHeight="1">
      <c r="B156" s="8"/>
      <c r="C156" s="8"/>
      <c r="D156" s="8"/>
      <c r="G156" s="8"/>
    </row>
    <row r="157" ht="14.25" customHeight="1">
      <c r="B157" s="8"/>
      <c r="C157" s="8"/>
      <c r="D157" s="8"/>
      <c r="G157" s="8"/>
    </row>
    <row r="158" ht="14.25" customHeight="1">
      <c r="B158" s="8"/>
      <c r="C158" s="8"/>
      <c r="D158" s="8"/>
      <c r="G158" s="8"/>
    </row>
    <row r="159" ht="14.25" customHeight="1">
      <c r="B159" s="8"/>
      <c r="C159" s="8"/>
      <c r="D159" s="8"/>
      <c r="G159" s="8"/>
    </row>
    <row r="160" ht="14.25" customHeight="1">
      <c r="B160" s="8"/>
      <c r="C160" s="8"/>
      <c r="D160" s="8"/>
      <c r="G160" s="8"/>
    </row>
    <row r="161" ht="14.25" customHeight="1">
      <c r="B161" s="8"/>
      <c r="C161" s="8"/>
      <c r="D161" s="8"/>
      <c r="G161" s="8"/>
    </row>
    <row r="162" ht="14.25" customHeight="1">
      <c r="B162" s="8"/>
      <c r="C162" s="8"/>
      <c r="D162" s="8"/>
      <c r="G162" s="8"/>
    </row>
    <row r="163" ht="14.25" customHeight="1">
      <c r="B163" s="8"/>
      <c r="C163" s="8"/>
      <c r="D163" s="8"/>
      <c r="G163" s="8"/>
    </row>
    <row r="164" ht="14.25" customHeight="1">
      <c r="B164" s="8"/>
      <c r="C164" s="8"/>
      <c r="D164" s="8"/>
      <c r="G164" s="8"/>
    </row>
    <row r="165" ht="14.25" customHeight="1">
      <c r="B165" s="8"/>
      <c r="C165" s="8"/>
      <c r="D165" s="8"/>
      <c r="G165" s="8"/>
    </row>
    <row r="166" ht="14.25" customHeight="1">
      <c r="B166" s="8"/>
      <c r="C166" s="8"/>
      <c r="D166" s="8"/>
      <c r="G166" s="8"/>
    </row>
    <row r="167" ht="14.25" customHeight="1">
      <c r="B167" s="8"/>
      <c r="C167" s="8"/>
      <c r="D167" s="8"/>
      <c r="G167" s="8"/>
    </row>
    <row r="168" ht="14.25" customHeight="1">
      <c r="B168" s="8"/>
      <c r="C168" s="8"/>
      <c r="D168" s="8"/>
      <c r="G168" s="8"/>
    </row>
    <row r="169" ht="14.25" customHeight="1">
      <c r="B169" s="8"/>
      <c r="C169" s="8"/>
      <c r="D169" s="8"/>
      <c r="G169" s="8"/>
    </row>
    <row r="170" ht="14.25" customHeight="1">
      <c r="B170" s="8"/>
      <c r="C170" s="8"/>
      <c r="D170" s="8"/>
      <c r="G170" s="8"/>
    </row>
    <row r="171" ht="14.25" customHeight="1">
      <c r="B171" s="8"/>
      <c r="C171" s="8"/>
      <c r="D171" s="8"/>
      <c r="G171" s="8"/>
    </row>
    <row r="172" ht="14.25" customHeight="1">
      <c r="B172" s="8"/>
      <c r="C172" s="8"/>
      <c r="D172" s="8"/>
      <c r="G172" s="8"/>
    </row>
    <row r="173" ht="14.25" customHeight="1">
      <c r="B173" s="8"/>
      <c r="C173" s="8"/>
      <c r="D173" s="8"/>
      <c r="G173" s="8"/>
    </row>
    <row r="174" ht="14.25" customHeight="1">
      <c r="B174" s="8"/>
      <c r="C174" s="8"/>
      <c r="D174" s="8"/>
      <c r="G174" s="8"/>
    </row>
    <row r="175" ht="14.25" customHeight="1">
      <c r="B175" s="8"/>
      <c r="C175" s="8"/>
      <c r="D175" s="8"/>
      <c r="G175" s="8"/>
    </row>
    <row r="176" ht="14.25" customHeight="1">
      <c r="B176" s="8"/>
      <c r="C176" s="8"/>
      <c r="D176" s="8"/>
      <c r="G176" s="8"/>
    </row>
    <row r="177" ht="14.25" customHeight="1">
      <c r="B177" s="8"/>
      <c r="C177" s="8"/>
      <c r="D177" s="8"/>
      <c r="G177" s="8"/>
    </row>
    <row r="178" ht="14.25" customHeight="1">
      <c r="B178" s="8"/>
      <c r="C178" s="8"/>
      <c r="D178" s="8"/>
      <c r="G178" s="8"/>
    </row>
    <row r="179" ht="14.25" customHeight="1">
      <c r="B179" s="8"/>
      <c r="C179" s="8"/>
      <c r="D179" s="8"/>
      <c r="G179" s="8"/>
    </row>
    <row r="180" ht="14.25" customHeight="1">
      <c r="B180" s="8"/>
      <c r="C180" s="8"/>
      <c r="D180" s="8"/>
      <c r="G180" s="8"/>
    </row>
    <row r="181" ht="14.25" customHeight="1">
      <c r="B181" s="8"/>
      <c r="C181" s="8"/>
      <c r="D181" s="8"/>
      <c r="G181" s="8"/>
    </row>
    <row r="182" ht="14.25" customHeight="1">
      <c r="B182" s="8"/>
      <c r="C182" s="8"/>
      <c r="D182" s="8"/>
      <c r="G182" s="8"/>
    </row>
    <row r="183" ht="14.25" customHeight="1">
      <c r="B183" s="8"/>
      <c r="C183" s="8"/>
      <c r="D183" s="8"/>
      <c r="G183" s="8"/>
    </row>
    <row r="184" ht="14.25" customHeight="1">
      <c r="B184" s="8"/>
      <c r="C184" s="8"/>
      <c r="D184" s="8"/>
      <c r="G184" s="8"/>
    </row>
    <row r="185" ht="14.25" customHeight="1">
      <c r="B185" s="8"/>
      <c r="C185" s="8"/>
      <c r="D185" s="8"/>
      <c r="G185" s="8"/>
    </row>
    <row r="186" ht="14.25" customHeight="1">
      <c r="B186" s="8"/>
      <c r="C186" s="8"/>
      <c r="D186" s="8"/>
      <c r="G186" s="8"/>
    </row>
    <row r="187" ht="14.25" customHeight="1">
      <c r="B187" s="8"/>
      <c r="C187" s="8"/>
      <c r="D187" s="8"/>
      <c r="G187" s="8"/>
    </row>
    <row r="188" ht="14.25" customHeight="1">
      <c r="B188" s="8"/>
      <c r="C188" s="8"/>
      <c r="D188" s="8"/>
      <c r="G188" s="8"/>
    </row>
    <row r="189" ht="14.25" customHeight="1">
      <c r="B189" s="8"/>
      <c r="C189" s="8"/>
      <c r="D189" s="8"/>
      <c r="G189" s="8"/>
    </row>
    <row r="190" ht="14.25" customHeight="1">
      <c r="B190" s="8"/>
      <c r="C190" s="8"/>
      <c r="D190" s="8"/>
      <c r="G190" s="8"/>
    </row>
    <row r="191" ht="14.25" customHeight="1">
      <c r="B191" s="8"/>
      <c r="C191" s="8"/>
      <c r="D191" s="8"/>
      <c r="G191" s="8"/>
    </row>
    <row r="192" ht="14.25" customHeight="1">
      <c r="B192" s="8"/>
      <c r="C192" s="8"/>
      <c r="D192" s="8"/>
      <c r="G192" s="8"/>
    </row>
    <row r="193" ht="14.25" customHeight="1">
      <c r="B193" s="8"/>
      <c r="C193" s="8"/>
      <c r="D193" s="8"/>
      <c r="G193" s="8"/>
    </row>
    <row r="194" ht="14.25" customHeight="1">
      <c r="B194" s="8"/>
      <c r="C194" s="8"/>
      <c r="D194" s="8"/>
      <c r="G194" s="8"/>
    </row>
    <row r="195" ht="14.25" customHeight="1">
      <c r="B195" s="8"/>
      <c r="C195" s="8"/>
      <c r="D195" s="8"/>
      <c r="G195" s="8"/>
    </row>
    <row r="196" ht="14.25" customHeight="1">
      <c r="B196" s="8"/>
      <c r="C196" s="8"/>
      <c r="D196" s="8"/>
      <c r="G196" s="8"/>
    </row>
    <row r="197" ht="14.25" customHeight="1">
      <c r="B197" s="8"/>
      <c r="C197" s="8"/>
      <c r="D197" s="8"/>
      <c r="G197" s="8"/>
    </row>
    <row r="198" ht="14.25" customHeight="1">
      <c r="B198" s="8"/>
      <c r="C198" s="8"/>
      <c r="D198" s="8"/>
      <c r="G198" s="8"/>
    </row>
    <row r="199" ht="14.25" customHeight="1">
      <c r="B199" s="8"/>
      <c r="C199" s="8"/>
      <c r="D199" s="8"/>
      <c r="G199" s="8"/>
    </row>
    <row r="200" ht="14.25" customHeight="1">
      <c r="B200" s="8"/>
      <c r="C200" s="8"/>
      <c r="D200" s="8"/>
      <c r="G200" s="8"/>
    </row>
    <row r="201" ht="14.25" customHeight="1">
      <c r="B201" s="8"/>
      <c r="C201" s="8"/>
      <c r="D201" s="8"/>
      <c r="G201" s="8"/>
    </row>
    <row r="202" ht="14.25" customHeight="1">
      <c r="B202" s="8"/>
      <c r="C202" s="8"/>
      <c r="D202" s="8"/>
      <c r="G202" s="8"/>
    </row>
    <row r="203" ht="14.25" customHeight="1">
      <c r="B203" s="8"/>
      <c r="C203" s="8"/>
      <c r="D203" s="8"/>
      <c r="G203" s="8"/>
    </row>
    <row r="204" ht="14.25" customHeight="1">
      <c r="B204" s="8"/>
      <c r="C204" s="8"/>
      <c r="D204" s="8"/>
      <c r="G204" s="8"/>
    </row>
    <row r="205" ht="14.25" customHeight="1">
      <c r="B205" s="8"/>
      <c r="C205" s="8"/>
      <c r="D205" s="8"/>
      <c r="G205" s="8"/>
    </row>
    <row r="206" ht="14.25" customHeight="1">
      <c r="B206" s="8"/>
      <c r="C206" s="8"/>
      <c r="D206" s="8"/>
      <c r="G206" s="8"/>
    </row>
    <row r="207" ht="14.25" customHeight="1">
      <c r="B207" s="8"/>
      <c r="C207" s="8"/>
      <c r="D207" s="8"/>
      <c r="G207" s="8"/>
    </row>
    <row r="208" ht="14.25" customHeight="1">
      <c r="B208" s="8"/>
      <c r="C208" s="8"/>
      <c r="D208" s="8"/>
      <c r="G208" s="8"/>
    </row>
    <row r="209" ht="14.25" customHeight="1">
      <c r="B209" s="8"/>
      <c r="C209" s="8"/>
      <c r="D209" s="8"/>
      <c r="G209" s="8"/>
    </row>
    <row r="210" ht="14.25" customHeight="1">
      <c r="B210" s="8"/>
      <c r="C210" s="8"/>
      <c r="D210" s="8"/>
      <c r="G210" s="8"/>
    </row>
    <row r="211" ht="14.25" customHeight="1">
      <c r="B211" s="8"/>
      <c r="C211" s="8"/>
      <c r="D211" s="8"/>
      <c r="G211" s="8"/>
    </row>
    <row r="212" ht="14.25" customHeight="1">
      <c r="B212" s="8"/>
      <c r="C212" s="8"/>
      <c r="D212" s="8"/>
      <c r="G212" s="8"/>
    </row>
    <row r="213" ht="14.25" customHeight="1">
      <c r="B213" s="8"/>
      <c r="C213" s="8"/>
      <c r="D213" s="8"/>
      <c r="G213" s="8"/>
    </row>
    <row r="214" ht="14.25" customHeight="1">
      <c r="B214" s="8"/>
      <c r="C214" s="8"/>
      <c r="D214" s="8"/>
      <c r="G214" s="8"/>
    </row>
    <row r="215" ht="14.25" customHeight="1">
      <c r="B215" s="8"/>
      <c r="C215" s="8"/>
      <c r="D215" s="8"/>
      <c r="G215" s="8"/>
    </row>
    <row r="216" ht="14.25" customHeight="1">
      <c r="B216" s="8"/>
      <c r="C216" s="8"/>
      <c r="D216" s="8"/>
      <c r="G216" s="8"/>
    </row>
    <row r="217" ht="14.25" customHeight="1">
      <c r="B217" s="8"/>
      <c r="C217" s="8"/>
      <c r="D217" s="8"/>
      <c r="G217" s="8"/>
    </row>
    <row r="218" ht="14.25" customHeight="1">
      <c r="B218" s="8"/>
      <c r="C218" s="8"/>
      <c r="D218" s="8"/>
      <c r="G218" s="8"/>
    </row>
    <row r="219" ht="14.25" customHeight="1">
      <c r="B219" s="8"/>
      <c r="C219" s="8"/>
      <c r="D219" s="8"/>
      <c r="G219" s="8"/>
    </row>
    <row r="220" ht="14.25" customHeight="1">
      <c r="B220" s="8"/>
      <c r="C220" s="8"/>
      <c r="D220" s="8"/>
      <c r="G220" s="8"/>
    </row>
    <row r="221" ht="14.25" customHeight="1">
      <c r="B221" s="8"/>
      <c r="C221" s="8"/>
      <c r="D221" s="8"/>
      <c r="G221" s="8"/>
    </row>
    <row r="222" ht="14.25" customHeight="1">
      <c r="B222" s="8"/>
      <c r="C222" s="8"/>
      <c r="D222" s="8"/>
      <c r="G222" s="8"/>
    </row>
    <row r="223" ht="14.25" customHeight="1">
      <c r="B223" s="8"/>
      <c r="C223" s="8"/>
      <c r="D223" s="8"/>
      <c r="G223" s="8"/>
    </row>
    <row r="224" ht="14.25" customHeight="1">
      <c r="B224" s="8"/>
      <c r="C224" s="8"/>
      <c r="D224" s="8"/>
      <c r="G224" s="8"/>
    </row>
    <row r="225" ht="14.25" customHeight="1">
      <c r="B225" s="8"/>
      <c r="C225" s="8"/>
      <c r="D225" s="8"/>
      <c r="G225" s="8"/>
    </row>
    <row r="226" ht="14.25" customHeight="1">
      <c r="B226" s="8"/>
      <c r="C226" s="8"/>
      <c r="D226" s="8"/>
      <c r="G226" s="8"/>
    </row>
    <row r="227" ht="14.25" customHeight="1">
      <c r="B227" s="8"/>
      <c r="C227" s="8"/>
      <c r="D227" s="8"/>
      <c r="G227" s="8"/>
    </row>
    <row r="228" ht="14.25" customHeight="1">
      <c r="B228" s="8"/>
      <c r="C228" s="8"/>
      <c r="D228" s="8"/>
      <c r="G228" s="8"/>
    </row>
    <row r="229" ht="14.25" customHeight="1">
      <c r="B229" s="8"/>
      <c r="C229" s="8"/>
      <c r="D229" s="8"/>
      <c r="G229" s="8"/>
    </row>
    <row r="230" ht="14.25" customHeight="1">
      <c r="B230" s="8"/>
      <c r="C230" s="8"/>
      <c r="D230" s="8"/>
      <c r="G230" s="8"/>
    </row>
    <row r="231" ht="14.25" customHeight="1">
      <c r="B231" s="8"/>
      <c r="C231" s="8"/>
      <c r="D231" s="8"/>
      <c r="G231" s="8"/>
    </row>
    <row r="232" ht="14.25" customHeight="1">
      <c r="B232" s="8"/>
      <c r="C232" s="8"/>
      <c r="D232" s="8"/>
      <c r="G232" s="8"/>
    </row>
    <row r="233" ht="14.25" customHeight="1">
      <c r="B233" s="8"/>
      <c r="C233" s="8"/>
      <c r="D233" s="8"/>
      <c r="G233" s="8"/>
    </row>
    <row r="234" ht="14.25" customHeight="1">
      <c r="B234" s="8"/>
      <c r="C234" s="8"/>
      <c r="D234" s="8"/>
      <c r="G234" s="8"/>
    </row>
    <row r="235" ht="14.25" customHeight="1">
      <c r="B235" s="8"/>
      <c r="C235" s="8"/>
      <c r="D235" s="8"/>
      <c r="G235" s="8"/>
    </row>
    <row r="236" ht="14.25" customHeight="1">
      <c r="B236" s="8"/>
      <c r="C236" s="8"/>
      <c r="D236" s="8"/>
      <c r="G236" s="8"/>
    </row>
    <row r="237" ht="14.25" customHeight="1">
      <c r="B237" s="8"/>
      <c r="C237" s="8"/>
      <c r="D237" s="8"/>
      <c r="G237" s="8"/>
    </row>
    <row r="238" ht="14.25" customHeight="1">
      <c r="B238" s="8"/>
      <c r="C238" s="8"/>
      <c r="D238" s="8"/>
      <c r="G238" s="8"/>
    </row>
    <row r="239" ht="14.25" customHeight="1">
      <c r="B239" s="8"/>
      <c r="C239" s="8"/>
      <c r="D239" s="8"/>
      <c r="G239" s="8"/>
    </row>
    <row r="240" ht="14.25" customHeight="1">
      <c r="B240" s="8"/>
      <c r="C240" s="8"/>
      <c r="D240" s="8"/>
      <c r="G240" s="8"/>
    </row>
    <row r="241" ht="14.25" customHeight="1">
      <c r="B241" s="8"/>
      <c r="C241" s="8"/>
      <c r="D241" s="8"/>
      <c r="G241" s="8"/>
    </row>
    <row r="242" ht="14.25" customHeight="1">
      <c r="B242" s="8"/>
      <c r="C242" s="8"/>
      <c r="D242" s="8"/>
      <c r="G242" s="8"/>
    </row>
    <row r="243" ht="14.25" customHeight="1">
      <c r="B243" s="8"/>
      <c r="C243" s="8"/>
      <c r="D243" s="8"/>
      <c r="G243" s="8"/>
    </row>
    <row r="244" ht="14.25" customHeight="1">
      <c r="B244" s="8"/>
      <c r="C244" s="8"/>
      <c r="D244" s="8"/>
      <c r="G244" s="8"/>
    </row>
    <row r="245" ht="14.25" customHeight="1">
      <c r="B245" s="8"/>
      <c r="C245" s="8"/>
      <c r="D245" s="8"/>
      <c r="G245" s="8"/>
    </row>
    <row r="246" ht="14.25" customHeight="1">
      <c r="B246" s="8"/>
      <c r="C246" s="8"/>
      <c r="D246" s="8"/>
      <c r="G246" s="8"/>
    </row>
    <row r="247" ht="14.25" customHeight="1">
      <c r="B247" s="8"/>
      <c r="C247" s="8"/>
      <c r="D247" s="8"/>
      <c r="G247" s="8"/>
    </row>
    <row r="248" ht="14.25" customHeight="1">
      <c r="B248" s="8"/>
      <c r="C248" s="8"/>
      <c r="D248" s="8"/>
      <c r="G248" s="8"/>
    </row>
    <row r="249" ht="14.25" customHeight="1">
      <c r="B249" s="8"/>
      <c r="C249" s="8"/>
      <c r="D249" s="8"/>
      <c r="G249" s="8"/>
    </row>
    <row r="250" ht="14.25" customHeight="1">
      <c r="B250" s="8"/>
      <c r="C250" s="8"/>
      <c r="D250" s="8"/>
      <c r="G250" s="8"/>
    </row>
    <row r="251" ht="14.25" customHeight="1">
      <c r="B251" s="8"/>
      <c r="C251" s="8"/>
      <c r="D251" s="8"/>
      <c r="G251" s="8"/>
    </row>
    <row r="252" ht="14.25" customHeight="1">
      <c r="B252" s="8"/>
      <c r="C252" s="8"/>
      <c r="D252" s="8"/>
      <c r="G252" s="8"/>
    </row>
    <row r="253" ht="14.25" customHeight="1">
      <c r="B253" s="8"/>
      <c r="C253" s="8"/>
      <c r="D253" s="8"/>
      <c r="G253" s="8"/>
    </row>
    <row r="254" ht="14.25" customHeight="1">
      <c r="B254" s="8"/>
      <c r="C254" s="8"/>
      <c r="D254" s="8"/>
      <c r="G254" s="8"/>
    </row>
    <row r="255" ht="14.25" customHeight="1">
      <c r="B255" s="8"/>
      <c r="C255" s="8"/>
      <c r="D255" s="8"/>
      <c r="G255" s="8"/>
    </row>
    <row r="256" ht="14.25" customHeight="1">
      <c r="B256" s="8"/>
      <c r="C256" s="8"/>
      <c r="D256" s="8"/>
      <c r="G256" s="8"/>
    </row>
    <row r="257" ht="14.25" customHeight="1">
      <c r="B257" s="8"/>
      <c r="C257" s="8"/>
      <c r="D257" s="8"/>
      <c r="G257" s="8"/>
    </row>
    <row r="258" ht="14.25" customHeight="1">
      <c r="B258" s="8"/>
      <c r="C258" s="8"/>
      <c r="D258" s="8"/>
      <c r="G258" s="8"/>
    </row>
    <row r="259" ht="14.25" customHeight="1">
      <c r="B259" s="8"/>
      <c r="C259" s="8"/>
      <c r="D259" s="8"/>
      <c r="G259" s="8"/>
    </row>
    <row r="260" ht="14.25" customHeight="1">
      <c r="B260" s="8"/>
      <c r="C260" s="8"/>
      <c r="D260" s="8"/>
      <c r="G260" s="8"/>
    </row>
    <row r="261" ht="14.25" customHeight="1">
      <c r="B261" s="8"/>
      <c r="C261" s="8"/>
      <c r="D261" s="8"/>
      <c r="G261" s="8"/>
    </row>
    <row r="262" ht="14.25" customHeight="1">
      <c r="B262" s="8"/>
      <c r="C262" s="8"/>
      <c r="D262" s="8"/>
      <c r="G262" s="8"/>
    </row>
    <row r="263" ht="14.25" customHeight="1">
      <c r="B263" s="8"/>
      <c r="C263" s="8"/>
      <c r="D263" s="8"/>
      <c r="G263" s="8"/>
    </row>
    <row r="264" ht="14.25" customHeight="1">
      <c r="B264" s="8"/>
      <c r="C264" s="8"/>
      <c r="D264" s="8"/>
      <c r="G264" s="8"/>
    </row>
    <row r="265" ht="14.25" customHeight="1">
      <c r="B265" s="8"/>
      <c r="C265" s="8"/>
      <c r="D265" s="8"/>
      <c r="G265" s="8"/>
    </row>
    <row r="266" ht="14.25" customHeight="1">
      <c r="B266" s="8"/>
      <c r="C266" s="8"/>
      <c r="D266" s="8"/>
      <c r="G266" s="8"/>
    </row>
    <row r="267" ht="14.25" customHeight="1">
      <c r="B267" s="8"/>
      <c r="C267" s="8"/>
      <c r="D267" s="8"/>
      <c r="G267" s="8"/>
    </row>
    <row r="268" ht="14.25" customHeight="1">
      <c r="B268" s="8"/>
      <c r="C268" s="8"/>
      <c r="D268" s="8"/>
      <c r="G268" s="8"/>
    </row>
    <row r="269" ht="14.25" customHeight="1">
      <c r="B269" s="8"/>
      <c r="C269" s="8"/>
      <c r="D269" s="8"/>
      <c r="G269" s="8"/>
    </row>
    <row r="270" ht="14.25" customHeight="1">
      <c r="B270" s="8"/>
      <c r="C270" s="8"/>
      <c r="D270" s="8"/>
      <c r="G270" s="8"/>
    </row>
    <row r="271" ht="14.25" customHeight="1">
      <c r="B271" s="8"/>
      <c r="C271" s="8"/>
      <c r="D271" s="8"/>
      <c r="G271" s="8"/>
    </row>
    <row r="272" ht="14.25" customHeight="1">
      <c r="B272" s="8"/>
      <c r="C272" s="8"/>
      <c r="D272" s="8"/>
      <c r="G272" s="8"/>
    </row>
    <row r="273" ht="14.25" customHeight="1">
      <c r="B273" s="8"/>
      <c r="C273" s="8"/>
      <c r="D273" s="8"/>
      <c r="G273" s="8"/>
    </row>
    <row r="274" ht="14.25" customHeight="1">
      <c r="B274" s="8"/>
      <c r="C274" s="8"/>
      <c r="D274" s="8"/>
      <c r="G274" s="8"/>
    </row>
    <row r="275" ht="14.25" customHeight="1">
      <c r="B275" s="8"/>
      <c r="C275" s="8"/>
      <c r="D275" s="8"/>
      <c r="G275" s="8"/>
    </row>
    <row r="276" ht="14.25" customHeight="1">
      <c r="B276" s="8"/>
      <c r="C276" s="8"/>
      <c r="D276" s="8"/>
      <c r="G276" s="8"/>
    </row>
    <row r="277" ht="14.25" customHeight="1">
      <c r="B277" s="8"/>
      <c r="C277" s="8"/>
      <c r="D277" s="8"/>
      <c r="G277" s="8"/>
    </row>
    <row r="278" ht="14.25" customHeight="1">
      <c r="B278" s="8"/>
      <c r="C278" s="8"/>
      <c r="D278" s="8"/>
      <c r="G278" s="8"/>
    </row>
    <row r="279" ht="14.25" customHeight="1">
      <c r="B279" s="8"/>
      <c r="C279" s="8"/>
      <c r="D279" s="8"/>
      <c r="G279" s="8"/>
    </row>
    <row r="280" ht="14.25" customHeight="1">
      <c r="B280" s="8"/>
      <c r="C280" s="8"/>
      <c r="D280" s="8"/>
      <c r="G280" s="8"/>
    </row>
    <row r="281" ht="14.25" customHeight="1">
      <c r="B281" s="8"/>
      <c r="C281" s="8"/>
      <c r="D281" s="8"/>
      <c r="G281" s="8"/>
    </row>
    <row r="282" ht="14.25" customHeight="1">
      <c r="B282" s="8"/>
      <c r="C282" s="8"/>
      <c r="D282" s="8"/>
      <c r="G282" s="8"/>
    </row>
    <row r="283" ht="14.25" customHeight="1">
      <c r="B283" s="8"/>
      <c r="C283" s="8"/>
      <c r="D283" s="8"/>
      <c r="G283" s="8"/>
    </row>
    <row r="284" ht="14.25" customHeight="1">
      <c r="B284" s="8"/>
      <c r="C284" s="8"/>
      <c r="D284" s="8"/>
      <c r="G284" s="8"/>
    </row>
    <row r="285" ht="14.25" customHeight="1">
      <c r="B285" s="8"/>
      <c r="C285" s="8"/>
      <c r="D285" s="8"/>
      <c r="G285" s="8"/>
    </row>
    <row r="286" ht="14.25" customHeight="1">
      <c r="B286" s="8"/>
      <c r="C286" s="8"/>
      <c r="D286" s="8"/>
      <c r="G286" s="8"/>
    </row>
    <row r="287" ht="14.25" customHeight="1">
      <c r="B287" s="8"/>
      <c r="C287" s="8"/>
      <c r="D287" s="8"/>
      <c r="G287" s="8"/>
    </row>
    <row r="288" ht="14.25" customHeight="1">
      <c r="B288" s="8"/>
      <c r="C288" s="8"/>
      <c r="D288" s="8"/>
      <c r="G288" s="8"/>
    </row>
    <row r="289" ht="14.25" customHeight="1">
      <c r="B289" s="8"/>
      <c r="C289" s="8"/>
      <c r="D289" s="8"/>
      <c r="G289" s="8"/>
    </row>
    <row r="290" ht="14.25" customHeight="1">
      <c r="B290" s="8"/>
      <c r="C290" s="8"/>
      <c r="D290" s="8"/>
      <c r="G290" s="8"/>
    </row>
    <row r="291" ht="14.25" customHeight="1">
      <c r="B291" s="8"/>
      <c r="C291" s="8"/>
      <c r="D291" s="8"/>
      <c r="G291" s="8"/>
    </row>
    <row r="292" ht="14.25" customHeight="1">
      <c r="B292" s="8"/>
      <c r="C292" s="8"/>
      <c r="D292" s="8"/>
      <c r="G292" s="8"/>
    </row>
    <row r="293" ht="14.25" customHeight="1">
      <c r="B293" s="8"/>
      <c r="C293" s="8"/>
      <c r="D293" s="8"/>
      <c r="G293" s="8"/>
    </row>
    <row r="294" ht="14.25" customHeight="1">
      <c r="B294" s="8"/>
      <c r="C294" s="8"/>
      <c r="D294" s="8"/>
      <c r="G294" s="8"/>
    </row>
    <row r="295" ht="14.25" customHeight="1">
      <c r="B295" s="8"/>
      <c r="C295" s="8"/>
      <c r="D295" s="8"/>
      <c r="G295" s="8"/>
    </row>
    <row r="296" ht="14.25" customHeight="1">
      <c r="B296" s="8"/>
      <c r="C296" s="8"/>
      <c r="D296" s="8"/>
      <c r="G296" s="8"/>
    </row>
    <row r="297" ht="14.25" customHeight="1">
      <c r="B297" s="8"/>
      <c r="C297" s="8"/>
      <c r="D297" s="8"/>
      <c r="G297" s="8"/>
    </row>
    <row r="298" ht="14.25" customHeight="1">
      <c r="B298" s="8"/>
      <c r="C298" s="8"/>
      <c r="D298" s="8"/>
      <c r="G298" s="8"/>
    </row>
    <row r="299" ht="14.25" customHeight="1">
      <c r="B299" s="8"/>
      <c r="C299" s="8"/>
      <c r="D299" s="8"/>
      <c r="G299" s="8"/>
    </row>
    <row r="300" ht="14.25" customHeight="1">
      <c r="B300" s="8"/>
      <c r="C300" s="8"/>
      <c r="D300" s="8"/>
      <c r="G300" s="8"/>
    </row>
    <row r="301" ht="14.25" customHeight="1">
      <c r="B301" s="8"/>
      <c r="C301" s="8"/>
      <c r="D301" s="8"/>
      <c r="G301" s="8"/>
    </row>
    <row r="302" ht="14.25" customHeight="1">
      <c r="B302" s="8"/>
      <c r="C302" s="8"/>
      <c r="D302" s="8"/>
      <c r="G302" s="8"/>
    </row>
    <row r="303" ht="14.25" customHeight="1">
      <c r="B303" s="8"/>
      <c r="C303" s="8"/>
      <c r="D303" s="8"/>
      <c r="G303" s="8"/>
    </row>
    <row r="304" ht="14.25" customHeight="1">
      <c r="B304" s="8"/>
      <c r="C304" s="8"/>
      <c r="D304" s="8"/>
      <c r="G304" s="8"/>
    </row>
    <row r="305" ht="14.25" customHeight="1">
      <c r="B305" s="8"/>
      <c r="C305" s="8"/>
      <c r="D305" s="8"/>
      <c r="G305" s="8"/>
    </row>
    <row r="306" ht="14.25" customHeight="1">
      <c r="B306" s="8"/>
      <c r="C306" s="8"/>
      <c r="D306" s="8"/>
      <c r="G306" s="8"/>
    </row>
    <row r="307" ht="14.25" customHeight="1">
      <c r="B307" s="8"/>
      <c r="C307" s="8"/>
      <c r="D307" s="8"/>
      <c r="G307" s="8"/>
    </row>
    <row r="308" ht="14.25" customHeight="1">
      <c r="B308" s="8"/>
      <c r="C308" s="8"/>
      <c r="D308" s="8"/>
      <c r="G308" s="8"/>
    </row>
    <row r="309" ht="14.25" customHeight="1">
      <c r="B309" s="8"/>
      <c r="C309" s="8"/>
      <c r="D309" s="8"/>
      <c r="G309" s="8"/>
    </row>
    <row r="310" ht="14.25" customHeight="1">
      <c r="B310" s="8"/>
      <c r="C310" s="8"/>
      <c r="D310" s="8"/>
      <c r="G310" s="8"/>
    </row>
    <row r="311" ht="14.25" customHeight="1">
      <c r="B311" s="8"/>
      <c r="C311" s="8"/>
      <c r="D311" s="8"/>
      <c r="G311" s="8"/>
    </row>
    <row r="312" ht="14.25" customHeight="1">
      <c r="B312" s="8"/>
      <c r="C312" s="8"/>
      <c r="D312" s="8"/>
      <c r="G312" s="8"/>
    </row>
    <row r="313" ht="14.25" customHeight="1">
      <c r="B313" s="8"/>
      <c r="C313" s="8"/>
      <c r="D313" s="8"/>
      <c r="G313" s="8"/>
    </row>
    <row r="314" ht="14.25" customHeight="1">
      <c r="B314" s="8"/>
      <c r="C314" s="8"/>
      <c r="D314" s="8"/>
      <c r="G314" s="8"/>
    </row>
    <row r="315" ht="14.25" customHeight="1">
      <c r="B315" s="8"/>
      <c r="C315" s="8"/>
      <c r="D315" s="8"/>
      <c r="G315" s="8"/>
    </row>
    <row r="316" ht="14.25" customHeight="1">
      <c r="B316" s="8"/>
      <c r="C316" s="8"/>
      <c r="D316" s="8"/>
      <c r="G316" s="8"/>
    </row>
    <row r="317" ht="14.25" customHeight="1">
      <c r="B317" s="8"/>
      <c r="C317" s="8"/>
      <c r="D317" s="8"/>
      <c r="G317" s="8"/>
    </row>
    <row r="318" ht="14.25" customHeight="1">
      <c r="B318" s="8"/>
      <c r="C318" s="8"/>
      <c r="D318" s="8"/>
      <c r="G318" s="8"/>
    </row>
    <row r="319" ht="14.25" customHeight="1">
      <c r="B319" s="8"/>
      <c r="C319" s="8"/>
      <c r="D319" s="8"/>
      <c r="G319" s="8"/>
    </row>
    <row r="320" ht="14.25" customHeight="1">
      <c r="B320" s="8"/>
      <c r="C320" s="8"/>
      <c r="D320" s="8"/>
      <c r="G320" s="8"/>
    </row>
    <row r="321" ht="14.25" customHeight="1">
      <c r="B321" s="8"/>
      <c r="C321" s="8"/>
      <c r="D321" s="8"/>
      <c r="G321" s="8"/>
    </row>
    <row r="322" ht="14.25" customHeight="1">
      <c r="B322" s="8"/>
      <c r="C322" s="8"/>
      <c r="D322" s="8"/>
      <c r="G322" s="8"/>
    </row>
    <row r="323" ht="14.25" customHeight="1">
      <c r="B323" s="8"/>
      <c r="C323" s="8"/>
      <c r="D323" s="8"/>
      <c r="G323" s="8"/>
    </row>
    <row r="324" ht="14.25" customHeight="1">
      <c r="B324" s="8"/>
      <c r="C324" s="8"/>
      <c r="D324" s="8"/>
      <c r="G324" s="8"/>
    </row>
    <row r="325" ht="14.25" customHeight="1">
      <c r="B325" s="8"/>
      <c r="C325" s="8"/>
      <c r="D325" s="8"/>
      <c r="G325" s="8"/>
    </row>
    <row r="326" ht="14.25" customHeight="1">
      <c r="B326" s="8"/>
      <c r="C326" s="8"/>
      <c r="D326" s="8"/>
      <c r="G326" s="8"/>
    </row>
    <row r="327" ht="14.25" customHeight="1">
      <c r="B327" s="8"/>
      <c r="C327" s="8"/>
      <c r="D327" s="8"/>
      <c r="G327" s="8"/>
    </row>
    <row r="328" ht="14.25" customHeight="1">
      <c r="B328" s="8"/>
      <c r="C328" s="8"/>
      <c r="D328" s="8"/>
      <c r="G328" s="8"/>
    </row>
    <row r="329" ht="14.25" customHeight="1">
      <c r="B329" s="8"/>
      <c r="C329" s="8"/>
      <c r="D329" s="8"/>
      <c r="G329" s="8"/>
    </row>
    <row r="330" ht="14.25" customHeight="1">
      <c r="B330" s="8"/>
      <c r="C330" s="8"/>
      <c r="D330" s="8"/>
      <c r="G330" s="8"/>
    </row>
    <row r="331" ht="14.25" customHeight="1">
      <c r="B331" s="8"/>
      <c r="C331" s="8"/>
      <c r="D331" s="8"/>
      <c r="G331" s="8"/>
    </row>
    <row r="332" ht="14.25" customHeight="1">
      <c r="B332" s="8"/>
      <c r="C332" s="8"/>
      <c r="D332" s="8"/>
      <c r="G332" s="8"/>
    </row>
    <row r="333" ht="14.25" customHeight="1">
      <c r="B333" s="8"/>
      <c r="C333" s="8"/>
      <c r="D333" s="8"/>
      <c r="G333" s="8"/>
    </row>
    <row r="334" ht="14.25" customHeight="1">
      <c r="B334" s="8"/>
      <c r="C334" s="8"/>
      <c r="D334" s="8"/>
      <c r="G334" s="8"/>
    </row>
    <row r="335" ht="14.25" customHeight="1">
      <c r="B335" s="8"/>
      <c r="C335" s="8"/>
      <c r="D335" s="8"/>
      <c r="G335" s="8"/>
    </row>
    <row r="336" ht="14.25" customHeight="1">
      <c r="B336" s="8"/>
      <c r="C336" s="8"/>
      <c r="D336" s="8"/>
      <c r="G336" s="8"/>
    </row>
    <row r="337" ht="14.25" customHeight="1">
      <c r="B337" s="8"/>
      <c r="C337" s="8"/>
      <c r="D337" s="8"/>
      <c r="G337" s="8"/>
    </row>
    <row r="338" ht="14.25" customHeight="1">
      <c r="B338" s="8"/>
      <c r="C338" s="8"/>
      <c r="D338" s="8"/>
      <c r="G338" s="8"/>
    </row>
    <row r="339" ht="14.25" customHeight="1">
      <c r="B339" s="8"/>
      <c r="C339" s="8"/>
      <c r="D339" s="8"/>
      <c r="G339" s="8"/>
    </row>
    <row r="340" ht="14.25" customHeight="1">
      <c r="B340" s="8"/>
      <c r="C340" s="8"/>
      <c r="D340" s="8"/>
      <c r="G340" s="8"/>
    </row>
    <row r="341" ht="14.25" customHeight="1">
      <c r="B341" s="8"/>
      <c r="C341" s="8"/>
      <c r="D341" s="8"/>
      <c r="G341" s="8"/>
    </row>
    <row r="342" ht="14.25" customHeight="1">
      <c r="B342" s="8"/>
      <c r="C342" s="8"/>
      <c r="D342" s="8"/>
      <c r="G342" s="8"/>
    </row>
    <row r="343" ht="14.25" customHeight="1">
      <c r="B343" s="8"/>
      <c r="C343" s="8"/>
      <c r="D343" s="8"/>
      <c r="G343" s="8"/>
    </row>
    <row r="344" ht="14.25" customHeight="1">
      <c r="B344" s="8"/>
      <c r="C344" s="8"/>
      <c r="D344" s="8"/>
      <c r="G344" s="8"/>
    </row>
    <row r="345" ht="14.25" customHeight="1">
      <c r="B345" s="8"/>
      <c r="C345" s="8"/>
      <c r="D345" s="8"/>
      <c r="G345" s="8"/>
    </row>
    <row r="346" ht="14.25" customHeight="1">
      <c r="B346" s="8"/>
      <c r="C346" s="8"/>
      <c r="D346" s="8"/>
      <c r="G346" s="8"/>
    </row>
    <row r="347" ht="14.25" customHeight="1">
      <c r="B347" s="8"/>
      <c r="C347" s="8"/>
      <c r="D347" s="8"/>
      <c r="G347" s="8"/>
    </row>
    <row r="348" ht="14.25" customHeight="1">
      <c r="B348" s="8"/>
      <c r="C348" s="8"/>
      <c r="D348" s="8"/>
      <c r="G348" s="8"/>
    </row>
    <row r="349" ht="14.25" customHeight="1">
      <c r="B349" s="8"/>
      <c r="C349" s="8"/>
      <c r="D349" s="8"/>
      <c r="G349" s="8"/>
    </row>
    <row r="350" ht="14.25" customHeight="1">
      <c r="B350" s="8"/>
      <c r="C350" s="8"/>
      <c r="D350" s="8"/>
      <c r="G350" s="8"/>
    </row>
    <row r="351" ht="14.25" customHeight="1">
      <c r="B351" s="8"/>
      <c r="C351" s="8"/>
      <c r="D351" s="8"/>
      <c r="G351" s="8"/>
    </row>
    <row r="352" ht="14.25" customHeight="1">
      <c r="B352" s="8"/>
      <c r="C352" s="8"/>
      <c r="D352" s="8"/>
      <c r="G352" s="8"/>
    </row>
    <row r="353" ht="14.25" customHeight="1">
      <c r="B353" s="8"/>
      <c r="C353" s="8"/>
      <c r="D353" s="8"/>
      <c r="G353" s="8"/>
    </row>
    <row r="354" ht="14.25" customHeight="1">
      <c r="B354" s="8"/>
      <c r="C354" s="8"/>
      <c r="D354" s="8"/>
      <c r="G354" s="8"/>
    </row>
    <row r="355" ht="14.25" customHeight="1">
      <c r="B355" s="8"/>
      <c r="C355" s="8"/>
      <c r="D355" s="8"/>
      <c r="G355" s="8"/>
    </row>
    <row r="356" ht="14.25" customHeight="1">
      <c r="B356" s="8"/>
      <c r="C356" s="8"/>
      <c r="D356" s="8"/>
      <c r="G356" s="8"/>
    </row>
    <row r="357" ht="14.25" customHeight="1">
      <c r="B357" s="8"/>
      <c r="C357" s="8"/>
      <c r="D357" s="8"/>
      <c r="G357" s="8"/>
    </row>
    <row r="358" ht="14.25" customHeight="1">
      <c r="B358" s="8"/>
      <c r="C358" s="8"/>
      <c r="D358" s="8"/>
      <c r="G358" s="8"/>
    </row>
    <row r="359" ht="14.25" customHeight="1">
      <c r="B359" s="8"/>
      <c r="C359" s="8"/>
      <c r="D359" s="8"/>
      <c r="G359" s="8"/>
    </row>
    <row r="360" ht="14.25" customHeight="1">
      <c r="B360" s="8"/>
      <c r="C360" s="8"/>
      <c r="D360" s="8"/>
      <c r="G360" s="8"/>
    </row>
    <row r="361" ht="14.25" customHeight="1">
      <c r="B361" s="8"/>
      <c r="C361" s="8"/>
      <c r="D361" s="8"/>
      <c r="G361" s="8"/>
    </row>
    <row r="362" ht="14.25" customHeight="1">
      <c r="B362" s="8"/>
      <c r="C362" s="8"/>
      <c r="D362" s="8"/>
      <c r="G362" s="8"/>
    </row>
    <row r="363" ht="14.25" customHeight="1">
      <c r="B363" s="8"/>
      <c r="C363" s="8"/>
      <c r="D363" s="8"/>
      <c r="G363" s="8"/>
    </row>
    <row r="364" ht="14.25" customHeight="1">
      <c r="B364" s="8"/>
      <c r="C364" s="8"/>
      <c r="D364" s="8"/>
      <c r="G364" s="8"/>
    </row>
    <row r="365" ht="14.25" customHeight="1">
      <c r="B365" s="8"/>
      <c r="C365" s="8"/>
      <c r="D365" s="8"/>
      <c r="G365" s="8"/>
    </row>
    <row r="366" ht="14.25" customHeight="1">
      <c r="B366" s="8"/>
      <c r="C366" s="8"/>
      <c r="D366" s="8"/>
      <c r="G366" s="8"/>
    </row>
    <row r="367" ht="14.25" customHeight="1">
      <c r="B367" s="8"/>
      <c r="C367" s="8"/>
      <c r="D367" s="8"/>
      <c r="G367" s="8"/>
    </row>
    <row r="368" ht="14.25" customHeight="1">
      <c r="B368" s="8"/>
      <c r="C368" s="8"/>
      <c r="D368" s="8"/>
      <c r="G368" s="8"/>
    </row>
    <row r="369" ht="14.25" customHeight="1">
      <c r="B369" s="8"/>
      <c r="C369" s="8"/>
      <c r="D369" s="8"/>
      <c r="G369" s="8"/>
    </row>
    <row r="370" ht="14.25" customHeight="1">
      <c r="B370" s="8"/>
      <c r="C370" s="8"/>
      <c r="D370" s="8"/>
      <c r="G370" s="8"/>
    </row>
    <row r="371" ht="14.25" customHeight="1">
      <c r="B371" s="8"/>
      <c r="C371" s="8"/>
      <c r="D371" s="8"/>
      <c r="G371" s="8"/>
    </row>
    <row r="372" ht="14.25" customHeight="1">
      <c r="B372" s="8"/>
      <c r="C372" s="8"/>
      <c r="D372" s="8"/>
      <c r="G372" s="8"/>
    </row>
    <row r="373" ht="14.25" customHeight="1">
      <c r="B373" s="8"/>
      <c r="C373" s="8"/>
      <c r="D373" s="8"/>
      <c r="G373" s="8"/>
    </row>
    <row r="374" ht="14.25" customHeight="1">
      <c r="B374" s="8"/>
      <c r="C374" s="8"/>
      <c r="D374" s="8"/>
      <c r="G374" s="8"/>
    </row>
    <row r="375" ht="14.25" customHeight="1">
      <c r="B375" s="8"/>
      <c r="C375" s="8"/>
      <c r="D375" s="8"/>
      <c r="G375" s="8"/>
    </row>
    <row r="376" ht="14.25" customHeight="1">
      <c r="B376" s="8"/>
      <c r="C376" s="8"/>
      <c r="D376" s="8"/>
      <c r="G376" s="8"/>
    </row>
    <row r="377" ht="14.25" customHeight="1">
      <c r="B377" s="8"/>
      <c r="C377" s="8"/>
      <c r="D377" s="8"/>
      <c r="G377" s="8"/>
    </row>
    <row r="378" ht="14.25" customHeight="1">
      <c r="B378" s="8"/>
      <c r="C378" s="8"/>
      <c r="D378" s="8"/>
      <c r="G378" s="8"/>
    </row>
    <row r="379" ht="14.25" customHeight="1">
      <c r="B379" s="8"/>
      <c r="C379" s="8"/>
      <c r="D379" s="8"/>
      <c r="G379" s="8"/>
    </row>
    <row r="380" ht="14.25" customHeight="1">
      <c r="B380" s="8"/>
      <c r="C380" s="8"/>
      <c r="D380" s="8"/>
      <c r="G380" s="8"/>
    </row>
    <row r="381" ht="14.25" customHeight="1">
      <c r="B381" s="8"/>
      <c r="C381" s="8"/>
      <c r="D381" s="8"/>
      <c r="G381" s="8"/>
    </row>
    <row r="382" ht="14.25" customHeight="1">
      <c r="B382" s="8"/>
      <c r="C382" s="8"/>
      <c r="D382" s="8"/>
      <c r="G382" s="8"/>
    </row>
    <row r="383" ht="14.25" customHeight="1">
      <c r="B383" s="8"/>
      <c r="C383" s="8"/>
      <c r="D383" s="8"/>
      <c r="G383" s="8"/>
    </row>
    <row r="384" ht="14.25" customHeight="1">
      <c r="B384" s="8"/>
      <c r="C384" s="8"/>
      <c r="D384" s="8"/>
      <c r="G384" s="8"/>
    </row>
    <row r="385" ht="14.25" customHeight="1">
      <c r="B385" s="8"/>
      <c r="C385" s="8"/>
      <c r="D385" s="8"/>
      <c r="G385" s="8"/>
    </row>
    <row r="386" ht="14.25" customHeight="1">
      <c r="B386" s="8"/>
      <c r="C386" s="8"/>
      <c r="D386" s="8"/>
      <c r="G386" s="8"/>
    </row>
    <row r="387" ht="14.25" customHeight="1">
      <c r="B387" s="8"/>
      <c r="C387" s="8"/>
      <c r="D387" s="8"/>
      <c r="G387" s="8"/>
    </row>
    <row r="388" ht="14.25" customHeight="1">
      <c r="B388" s="8"/>
      <c r="C388" s="8"/>
      <c r="D388" s="8"/>
      <c r="G388" s="8"/>
    </row>
    <row r="389" ht="14.25" customHeight="1">
      <c r="B389" s="8"/>
      <c r="C389" s="8"/>
      <c r="D389" s="8"/>
      <c r="G389" s="8"/>
    </row>
    <row r="390" ht="14.25" customHeight="1">
      <c r="B390" s="8"/>
      <c r="C390" s="8"/>
      <c r="D390" s="8"/>
      <c r="G390" s="8"/>
    </row>
    <row r="391" ht="14.25" customHeight="1">
      <c r="B391" s="8"/>
      <c r="C391" s="8"/>
      <c r="D391" s="8"/>
      <c r="G391" s="8"/>
    </row>
    <row r="392" ht="14.25" customHeight="1">
      <c r="B392" s="8"/>
      <c r="C392" s="8"/>
      <c r="D392" s="8"/>
      <c r="G392" s="8"/>
    </row>
    <row r="393" ht="14.25" customHeight="1">
      <c r="B393" s="8"/>
      <c r="C393" s="8"/>
      <c r="D393" s="8"/>
      <c r="G393" s="8"/>
    </row>
    <row r="394" ht="14.25" customHeight="1">
      <c r="B394" s="8"/>
      <c r="C394" s="8"/>
      <c r="D394" s="8"/>
      <c r="G394" s="8"/>
    </row>
    <row r="395" ht="14.25" customHeight="1">
      <c r="B395" s="8"/>
      <c r="C395" s="8"/>
      <c r="D395" s="8"/>
      <c r="G395" s="8"/>
    </row>
    <row r="396" ht="14.25" customHeight="1">
      <c r="B396" s="8"/>
      <c r="C396" s="8"/>
      <c r="D396" s="8"/>
      <c r="G396" s="8"/>
    </row>
    <row r="397" ht="14.25" customHeight="1">
      <c r="B397" s="8"/>
      <c r="C397" s="8"/>
      <c r="D397" s="8"/>
      <c r="G397" s="8"/>
    </row>
    <row r="398" ht="14.25" customHeight="1">
      <c r="B398" s="8"/>
      <c r="C398" s="8"/>
      <c r="D398" s="8"/>
      <c r="G398" s="8"/>
    </row>
    <row r="399" ht="14.25" customHeight="1">
      <c r="B399" s="8"/>
      <c r="C399" s="8"/>
      <c r="D399" s="8"/>
      <c r="G399" s="8"/>
    </row>
    <row r="400" ht="14.25" customHeight="1">
      <c r="B400" s="8"/>
      <c r="C400" s="8"/>
      <c r="D400" s="8"/>
      <c r="G400" s="8"/>
    </row>
    <row r="401" ht="14.25" customHeight="1">
      <c r="B401" s="8"/>
      <c r="C401" s="8"/>
      <c r="D401" s="8"/>
      <c r="G401" s="8"/>
    </row>
    <row r="402" ht="14.25" customHeight="1">
      <c r="B402" s="8"/>
      <c r="C402" s="8"/>
      <c r="D402" s="8"/>
      <c r="G402" s="8"/>
    </row>
    <row r="403" ht="14.25" customHeight="1">
      <c r="B403" s="8"/>
      <c r="C403" s="8"/>
      <c r="D403" s="8"/>
      <c r="G403" s="8"/>
    </row>
    <row r="404" ht="14.25" customHeight="1">
      <c r="B404" s="8"/>
      <c r="C404" s="8"/>
      <c r="D404" s="8"/>
      <c r="G404" s="8"/>
    </row>
    <row r="405" ht="14.25" customHeight="1">
      <c r="B405" s="8"/>
      <c r="C405" s="8"/>
      <c r="D405" s="8"/>
      <c r="G405" s="8"/>
    </row>
    <row r="406" ht="14.25" customHeight="1">
      <c r="B406" s="8"/>
      <c r="C406" s="8"/>
      <c r="D406" s="8"/>
      <c r="G406" s="8"/>
    </row>
    <row r="407" ht="14.25" customHeight="1">
      <c r="B407" s="8"/>
      <c r="C407" s="8"/>
      <c r="D407" s="8"/>
      <c r="G407" s="8"/>
    </row>
    <row r="408" ht="14.25" customHeight="1">
      <c r="B408" s="8"/>
      <c r="C408" s="8"/>
      <c r="D408" s="8"/>
      <c r="G408" s="8"/>
    </row>
    <row r="409" ht="14.25" customHeight="1">
      <c r="B409" s="8"/>
      <c r="C409" s="8"/>
      <c r="D409" s="8"/>
      <c r="G409" s="8"/>
    </row>
    <row r="410" ht="14.25" customHeight="1">
      <c r="B410" s="8"/>
      <c r="C410" s="8"/>
      <c r="D410" s="8"/>
      <c r="G410" s="8"/>
    </row>
    <row r="411" ht="14.25" customHeight="1">
      <c r="B411" s="8"/>
      <c r="C411" s="8"/>
      <c r="D411" s="8"/>
      <c r="G411" s="8"/>
    </row>
    <row r="412" ht="14.25" customHeight="1">
      <c r="B412" s="8"/>
      <c r="C412" s="8"/>
      <c r="D412" s="8"/>
      <c r="G412" s="8"/>
    </row>
    <row r="413" ht="14.25" customHeight="1">
      <c r="B413" s="8"/>
      <c r="C413" s="8"/>
      <c r="D413" s="8"/>
      <c r="G413" s="8"/>
    </row>
    <row r="414" ht="14.25" customHeight="1">
      <c r="B414" s="8"/>
      <c r="C414" s="8"/>
      <c r="D414" s="8"/>
      <c r="G414" s="8"/>
    </row>
    <row r="415" ht="14.25" customHeight="1">
      <c r="B415" s="8"/>
      <c r="C415" s="8"/>
      <c r="D415" s="8"/>
      <c r="G415" s="8"/>
    </row>
    <row r="416" ht="14.25" customHeight="1">
      <c r="B416" s="8"/>
      <c r="C416" s="8"/>
      <c r="D416" s="8"/>
      <c r="G416" s="8"/>
    </row>
    <row r="417" ht="14.25" customHeight="1">
      <c r="B417" s="8"/>
      <c r="C417" s="8"/>
      <c r="D417" s="8"/>
      <c r="G417" s="8"/>
    </row>
    <row r="418" ht="14.25" customHeight="1">
      <c r="B418" s="8"/>
      <c r="C418" s="8"/>
      <c r="D418" s="8"/>
      <c r="G418" s="8"/>
    </row>
    <row r="419" ht="14.25" customHeight="1">
      <c r="B419" s="8"/>
      <c r="C419" s="8"/>
      <c r="D419" s="8"/>
      <c r="G419" s="8"/>
    </row>
    <row r="420" ht="14.25" customHeight="1">
      <c r="B420" s="8"/>
      <c r="C420" s="8"/>
      <c r="D420" s="8"/>
      <c r="G420" s="8"/>
    </row>
    <row r="421" ht="14.25" customHeight="1">
      <c r="B421" s="8"/>
      <c r="C421" s="8"/>
      <c r="D421" s="8"/>
      <c r="G421" s="8"/>
    </row>
    <row r="422" ht="14.25" customHeight="1">
      <c r="B422" s="8"/>
      <c r="C422" s="8"/>
      <c r="D422" s="8"/>
      <c r="G422" s="8"/>
    </row>
    <row r="423" ht="14.25" customHeight="1">
      <c r="B423" s="8"/>
      <c r="C423" s="8"/>
      <c r="D423" s="8"/>
      <c r="G423" s="8"/>
    </row>
    <row r="424" ht="14.25" customHeight="1">
      <c r="B424" s="8"/>
      <c r="C424" s="8"/>
      <c r="D424" s="8"/>
      <c r="G424" s="8"/>
    </row>
    <row r="425" ht="14.25" customHeight="1">
      <c r="B425" s="8"/>
      <c r="C425" s="8"/>
      <c r="D425" s="8"/>
      <c r="G425" s="8"/>
    </row>
    <row r="426" ht="14.25" customHeight="1">
      <c r="B426" s="8"/>
      <c r="C426" s="8"/>
      <c r="D426" s="8"/>
      <c r="G426" s="8"/>
    </row>
    <row r="427" ht="14.25" customHeight="1">
      <c r="B427" s="8"/>
      <c r="C427" s="8"/>
      <c r="D427" s="8"/>
      <c r="G427" s="8"/>
    </row>
    <row r="428" ht="14.25" customHeight="1">
      <c r="B428" s="8"/>
      <c r="C428" s="8"/>
      <c r="D428" s="8"/>
      <c r="G428" s="8"/>
    </row>
    <row r="429" ht="14.25" customHeight="1">
      <c r="B429" s="8"/>
      <c r="C429" s="8"/>
      <c r="D429" s="8"/>
      <c r="G429" s="8"/>
    </row>
    <row r="430" ht="14.25" customHeight="1">
      <c r="B430" s="8"/>
      <c r="C430" s="8"/>
      <c r="D430" s="8"/>
      <c r="G430" s="8"/>
    </row>
    <row r="431" ht="14.25" customHeight="1">
      <c r="B431" s="8"/>
      <c r="C431" s="8"/>
      <c r="D431" s="8"/>
      <c r="G431" s="8"/>
    </row>
    <row r="432" ht="14.25" customHeight="1">
      <c r="B432" s="8"/>
      <c r="C432" s="8"/>
      <c r="D432" s="8"/>
      <c r="G432" s="8"/>
    </row>
    <row r="433" ht="14.25" customHeight="1">
      <c r="B433" s="8"/>
      <c r="C433" s="8"/>
      <c r="D433" s="8"/>
      <c r="G433" s="8"/>
    </row>
    <row r="434" ht="14.25" customHeight="1">
      <c r="B434" s="8"/>
      <c r="C434" s="8"/>
      <c r="D434" s="8"/>
      <c r="G434" s="8"/>
    </row>
    <row r="435" ht="14.25" customHeight="1">
      <c r="B435" s="8"/>
      <c r="C435" s="8"/>
      <c r="D435" s="8"/>
      <c r="G435" s="8"/>
    </row>
    <row r="436" ht="14.25" customHeight="1">
      <c r="B436" s="8"/>
      <c r="C436" s="8"/>
      <c r="D436" s="8"/>
      <c r="G436" s="8"/>
    </row>
    <row r="437" ht="14.25" customHeight="1">
      <c r="B437" s="8"/>
      <c r="C437" s="8"/>
      <c r="D437" s="8"/>
      <c r="G437" s="8"/>
    </row>
    <row r="438" ht="14.25" customHeight="1">
      <c r="B438" s="8"/>
      <c r="C438" s="8"/>
      <c r="D438" s="8"/>
      <c r="G438" s="8"/>
    </row>
    <row r="439" ht="14.25" customHeight="1">
      <c r="B439" s="8"/>
      <c r="C439" s="8"/>
      <c r="D439" s="8"/>
      <c r="G439" s="8"/>
    </row>
    <row r="440" ht="14.25" customHeight="1">
      <c r="B440" s="8"/>
      <c r="C440" s="8"/>
      <c r="D440" s="8"/>
      <c r="G440" s="8"/>
    </row>
    <row r="441" ht="14.25" customHeight="1">
      <c r="B441" s="8"/>
      <c r="C441" s="8"/>
      <c r="D441" s="8"/>
      <c r="G441" s="8"/>
    </row>
    <row r="442" ht="14.25" customHeight="1">
      <c r="B442" s="8"/>
      <c r="C442" s="8"/>
      <c r="D442" s="8"/>
      <c r="G442" s="8"/>
    </row>
    <row r="443" ht="14.25" customHeight="1">
      <c r="B443" s="8"/>
      <c r="C443" s="8"/>
      <c r="D443" s="8"/>
      <c r="G443" s="8"/>
    </row>
    <row r="444" ht="14.25" customHeight="1">
      <c r="B444" s="8"/>
      <c r="C444" s="8"/>
      <c r="D444" s="8"/>
      <c r="G444" s="8"/>
    </row>
    <row r="445" ht="14.25" customHeight="1">
      <c r="B445" s="8"/>
      <c r="C445" s="8"/>
      <c r="D445" s="8"/>
      <c r="G445" s="8"/>
    </row>
    <row r="446" ht="14.25" customHeight="1">
      <c r="B446" s="8"/>
      <c r="C446" s="8"/>
      <c r="D446" s="8"/>
      <c r="G446" s="8"/>
    </row>
    <row r="447" ht="14.25" customHeight="1">
      <c r="B447" s="8"/>
      <c r="C447" s="8"/>
      <c r="D447" s="8"/>
      <c r="G447" s="8"/>
    </row>
    <row r="448" ht="14.25" customHeight="1">
      <c r="B448" s="8"/>
      <c r="C448" s="8"/>
      <c r="D448" s="8"/>
      <c r="G448" s="8"/>
    </row>
    <row r="449" ht="14.25" customHeight="1">
      <c r="B449" s="8"/>
      <c r="C449" s="8"/>
      <c r="D449" s="8"/>
      <c r="G449" s="8"/>
    </row>
    <row r="450" ht="14.25" customHeight="1">
      <c r="B450" s="8"/>
      <c r="C450" s="8"/>
      <c r="D450" s="8"/>
      <c r="G450" s="8"/>
    </row>
    <row r="451" ht="14.25" customHeight="1">
      <c r="B451" s="8"/>
      <c r="C451" s="8"/>
      <c r="D451" s="8"/>
      <c r="G451" s="8"/>
    </row>
    <row r="452" ht="14.25" customHeight="1">
      <c r="B452" s="8"/>
      <c r="C452" s="8"/>
      <c r="D452" s="8"/>
      <c r="G452" s="8"/>
    </row>
    <row r="453" ht="14.25" customHeight="1">
      <c r="B453" s="8"/>
      <c r="C453" s="8"/>
      <c r="D453" s="8"/>
      <c r="G453" s="8"/>
    </row>
    <row r="454" ht="14.25" customHeight="1">
      <c r="B454" s="8"/>
      <c r="C454" s="8"/>
      <c r="D454" s="8"/>
      <c r="G454" s="8"/>
    </row>
    <row r="455" ht="14.25" customHeight="1">
      <c r="B455" s="8"/>
      <c r="C455" s="8"/>
      <c r="D455" s="8"/>
      <c r="G455" s="8"/>
    </row>
    <row r="456" ht="14.25" customHeight="1">
      <c r="B456" s="8"/>
      <c r="C456" s="8"/>
      <c r="D456" s="8"/>
      <c r="G456" s="8"/>
    </row>
    <row r="457" ht="14.25" customHeight="1">
      <c r="B457" s="8"/>
      <c r="C457" s="8"/>
      <c r="D457" s="8"/>
      <c r="G457" s="8"/>
    </row>
    <row r="458" ht="14.25" customHeight="1">
      <c r="B458" s="8"/>
      <c r="C458" s="8"/>
      <c r="D458" s="8"/>
      <c r="G458" s="8"/>
    </row>
    <row r="459" ht="14.25" customHeight="1">
      <c r="B459" s="8"/>
      <c r="C459" s="8"/>
      <c r="D459" s="8"/>
      <c r="G459" s="8"/>
    </row>
    <row r="460" ht="14.25" customHeight="1">
      <c r="B460" s="8"/>
      <c r="C460" s="8"/>
      <c r="D460" s="8"/>
      <c r="G460" s="8"/>
    </row>
    <row r="461" ht="14.25" customHeight="1">
      <c r="B461" s="8"/>
      <c r="C461" s="8"/>
      <c r="D461" s="8"/>
      <c r="G461" s="8"/>
    </row>
    <row r="462" ht="14.25" customHeight="1">
      <c r="B462" s="8"/>
      <c r="C462" s="8"/>
      <c r="D462" s="8"/>
      <c r="G462" s="8"/>
    </row>
    <row r="463" ht="14.25" customHeight="1">
      <c r="B463" s="8"/>
      <c r="C463" s="8"/>
      <c r="D463" s="8"/>
      <c r="G463" s="8"/>
    </row>
    <row r="464" ht="14.25" customHeight="1">
      <c r="B464" s="8"/>
      <c r="C464" s="8"/>
      <c r="D464" s="8"/>
      <c r="G464" s="8"/>
    </row>
    <row r="465" ht="14.25" customHeight="1">
      <c r="B465" s="8"/>
      <c r="C465" s="8"/>
      <c r="D465" s="8"/>
      <c r="G465" s="8"/>
    </row>
    <row r="466" ht="14.25" customHeight="1">
      <c r="B466" s="8"/>
      <c r="C466" s="8"/>
      <c r="D466" s="8"/>
      <c r="G466" s="8"/>
    </row>
    <row r="467" ht="14.25" customHeight="1">
      <c r="B467" s="8"/>
      <c r="C467" s="8"/>
      <c r="D467" s="8"/>
      <c r="G467" s="8"/>
    </row>
    <row r="468" ht="14.25" customHeight="1">
      <c r="B468" s="8"/>
      <c r="C468" s="8"/>
      <c r="D468" s="8"/>
      <c r="G468" s="8"/>
    </row>
    <row r="469" ht="14.25" customHeight="1">
      <c r="B469" s="8"/>
      <c r="C469" s="8"/>
      <c r="D469" s="8"/>
      <c r="G469" s="8"/>
    </row>
    <row r="470" ht="14.25" customHeight="1">
      <c r="B470" s="8"/>
      <c r="C470" s="8"/>
      <c r="D470" s="8"/>
      <c r="G470" s="8"/>
    </row>
    <row r="471" ht="14.25" customHeight="1">
      <c r="B471" s="8"/>
      <c r="C471" s="8"/>
      <c r="D471" s="8"/>
      <c r="G471" s="8"/>
    </row>
    <row r="472" ht="14.25" customHeight="1">
      <c r="B472" s="8"/>
      <c r="C472" s="8"/>
      <c r="D472" s="8"/>
      <c r="G472" s="8"/>
    </row>
    <row r="473" ht="14.25" customHeight="1">
      <c r="B473" s="8"/>
      <c r="C473" s="8"/>
      <c r="D473" s="8"/>
      <c r="G473" s="8"/>
    </row>
    <row r="474" ht="14.25" customHeight="1">
      <c r="B474" s="8"/>
      <c r="C474" s="8"/>
      <c r="D474" s="8"/>
      <c r="G474" s="8"/>
    </row>
    <row r="475" ht="14.25" customHeight="1">
      <c r="B475" s="8"/>
      <c r="C475" s="8"/>
      <c r="D475" s="8"/>
      <c r="G475" s="8"/>
    </row>
    <row r="476" ht="14.25" customHeight="1">
      <c r="B476" s="8"/>
      <c r="C476" s="8"/>
      <c r="D476" s="8"/>
      <c r="G476" s="8"/>
    </row>
    <row r="477" ht="14.25" customHeight="1">
      <c r="B477" s="8"/>
      <c r="C477" s="8"/>
      <c r="D477" s="8"/>
      <c r="G477" s="8"/>
    </row>
    <row r="478" ht="14.25" customHeight="1">
      <c r="B478" s="8"/>
      <c r="C478" s="8"/>
      <c r="D478" s="8"/>
      <c r="G478" s="8"/>
    </row>
    <row r="479" ht="14.25" customHeight="1">
      <c r="B479" s="8"/>
      <c r="C479" s="8"/>
      <c r="D479" s="8"/>
      <c r="G479" s="8"/>
    </row>
    <row r="480" ht="14.25" customHeight="1">
      <c r="B480" s="8"/>
      <c r="C480" s="8"/>
      <c r="D480" s="8"/>
      <c r="G480" s="8"/>
    </row>
    <row r="481" ht="14.25" customHeight="1">
      <c r="B481" s="8"/>
      <c r="C481" s="8"/>
      <c r="D481" s="8"/>
      <c r="G481" s="8"/>
    </row>
    <row r="482" ht="14.25" customHeight="1">
      <c r="B482" s="8"/>
      <c r="C482" s="8"/>
      <c r="D482" s="8"/>
      <c r="G482" s="8"/>
    </row>
    <row r="483" ht="14.25" customHeight="1">
      <c r="B483" s="8"/>
      <c r="C483" s="8"/>
      <c r="D483" s="8"/>
      <c r="G483" s="8"/>
    </row>
    <row r="484" ht="14.25" customHeight="1">
      <c r="B484" s="8"/>
      <c r="C484" s="8"/>
      <c r="D484" s="8"/>
      <c r="G484" s="8"/>
    </row>
    <row r="485" ht="14.25" customHeight="1">
      <c r="B485" s="8"/>
      <c r="C485" s="8"/>
      <c r="D485" s="8"/>
      <c r="G485" s="8"/>
    </row>
    <row r="486" ht="14.25" customHeight="1">
      <c r="B486" s="8"/>
      <c r="C486" s="8"/>
      <c r="D486" s="8"/>
      <c r="G486" s="8"/>
    </row>
    <row r="487" ht="14.25" customHeight="1">
      <c r="B487" s="8"/>
      <c r="C487" s="8"/>
      <c r="D487" s="8"/>
      <c r="G487" s="8"/>
    </row>
    <row r="488" ht="14.25" customHeight="1">
      <c r="B488" s="8"/>
      <c r="C488" s="8"/>
      <c r="D488" s="8"/>
      <c r="G488" s="8"/>
    </row>
    <row r="489" ht="14.25" customHeight="1">
      <c r="B489" s="8"/>
      <c r="C489" s="8"/>
      <c r="D489" s="8"/>
      <c r="G489" s="8"/>
    </row>
    <row r="490" ht="14.25" customHeight="1">
      <c r="B490" s="8"/>
      <c r="C490" s="8"/>
      <c r="D490" s="8"/>
      <c r="G490" s="8"/>
    </row>
    <row r="491" ht="14.25" customHeight="1">
      <c r="B491" s="8"/>
      <c r="C491" s="8"/>
      <c r="D491" s="8"/>
      <c r="G491" s="8"/>
    </row>
    <row r="492" ht="14.25" customHeight="1">
      <c r="B492" s="8"/>
      <c r="C492" s="8"/>
      <c r="D492" s="8"/>
      <c r="G492" s="8"/>
    </row>
    <row r="493" ht="14.25" customHeight="1">
      <c r="B493" s="8"/>
      <c r="C493" s="8"/>
      <c r="D493" s="8"/>
      <c r="G493" s="8"/>
    </row>
    <row r="494" ht="14.25" customHeight="1">
      <c r="B494" s="8"/>
      <c r="C494" s="8"/>
      <c r="D494" s="8"/>
      <c r="G494" s="8"/>
    </row>
    <row r="495" ht="14.25" customHeight="1">
      <c r="B495" s="8"/>
      <c r="C495" s="8"/>
      <c r="D495" s="8"/>
      <c r="G495" s="8"/>
    </row>
    <row r="496" ht="14.25" customHeight="1">
      <c r="B496" s="8"/>
      <c r="C496" s="8"/>
      <c r="D496" s="8"/>
      <c r="G496" s="8"/>
    </row>
    <row r="497" ht="14.25" customHeight="1">
      <c r="B497" s="8"/>
      <c r="C497" s="8"/>
      <c r="D497" s="8"/>
      <c r="G497" s="8"/>
    </row>
    <row r="498" ht="14.25" customHeight="1">
      <c r="B498" s="8"/>
      <c r="C498" s="8"/>
      <c r="D498" s="8"/>
      <c r="G498" s="8"/>
    </row>
    <row r="499" ht="14.25" customHeight="1">
      <c r="B499" s="8"/>
      <c r="C499" s="8"/>
      <c r="D499" s="8"/>
      <c r="G499" s="8"/>
    </row>
    <row r="500" ht="14.25" customHeight="1">
      <c r="B500" s="8"/>
      <c r="C500" s="8"/>
      <c r="D500" s="8"/>
      <c r="G500" s="8"/>
    </row>
    <row r="501" ht="14.25" customHeight="1">
      <c r="B501" s="8"/>
      <c r="C501" s="8"/>
      <c r="D501" s="8"/>
      <c r="G501" s="8"/>
    </row>
    <row r="502" ht="14.25" customHeight="1">
      <c r="B502" s="8"/>
      <c r="C502" s="8"/>
      <c r="D502" s="8"/>
      <c r="G502" s="8"/>
    </row>
    <row r="503" ht="14.25" customHeight="1">
      <c r="B503" s="8"/>
      <c r="C503" s="8"/>
      <c r="D503" s="8"/>
      <c r="G503" s="8"/>
    </row>
    <row r="504" ht="14.25" customHeight="1">
      <c r="B504" s="8"/>
      <c r="C504" s="8"/>
      <c r="D504" s="8"/>
      <c r="G504" s="8"/>
    </row>
    <row r="505" ht="14.25" customHeight="1">
      <c r="B505" s="8"/>
      <c r="C505" s="8"/>
      <c r="D505" s="8"/>
      <c r="G505" s="8"/>
    </row>
    <row r="506" ht="14.25" customHeight="1">
      <c r="B506" s="8"/>
      <c r="C506" s="8"/>
      <c r="D506" s="8"/>
      <c r="G506" s="8"/>
    </row>
    <row r="507" ht="14.25" customHeight="1">
      <c r="B507" s="8"/>
      <c r="C507" s="8"/>
      <c r="D507" s="8"/>
      <c r="G507" s="8"/>
    </row>
    <row r="508" ht="14.25" customHeight="1">
      <c r="B508" s="8"/>
      <c r="C508" s="8"/>
      <c r="D508" s="8"/>
      <c r="G508" s="8"/>
    </row>
    <row r="509" ht="14.25" customHeight="1">
      <c r="B509" s="8"/>
      <c r="C509" s="8"/>
      <c r="D509" s="8"/>
      <c r="G509" s="8"/>
    </row>
    <row r="510" ht="14.25" customHeight="1">
      <c r="B510" s="8"/>
      <c r="C510" s="8"/>
      <c r="D510" s="8"/>
      <c r="G510" s="8"/>
    </row>
    <row r="511" ht="14.25" customHeight="1">
      <c r="B511" s="8"/>
      <c r="C511" s="8"/>
      <c r="D511" s="8"/>
      <c r="G511" s="8"/>
    </row>
    <row r="512" ht="14.25" customHeight="1">
      <c r="B512" s="8"/>
      <c r="C512" s="8"/>
      <c r="D512" s="8"/>
      <c r="G512" s="8"/>
    </row>
    <row r="513" ht="14.25" customHeight="1">
      <c r="B513" s="8"/>
      <c r="C513" s="8"/>
      <c r="D513" s="8"/>
      <c r="G513" s="8"/>
    </row>
    <row r="514" ht="14.25" customHeight="1">
      <c r="B514" s="8"/>
      <c r="C514" s="8"/>
      <c r="D514" s="8"/>
      <c r="G514" s="8"/>
    </row>
    <row r="515" ht="14.25" customHeight="1">
      <c r="B515" s="8"/>
      <c r="C515" s="8"/>
      <c r="D515" s="8"/>
      <c r="G515" s="8"/>
    </row>
    <row r="516" ht="14.25" customHeight="1">
      <c r="B516" s="8"/>
      <c r="C516" s="8"/>
      <c r="D516" s="8"/>
      <c r="G516" s="8"/>
    </row>
    <row r="517" ht="14.25" customHeight="1">
      <c r="B517" s="8"/>
      <c r="C517" s="8"/>
      <c r="D517" s="8"/>
      <c r="G517" s="8"/>
    </row>
    <row r="518" ht="14.25" customHeight="1">
      <c r="B518" s="8"/>
      <c r="C518" s="8"/>
      <c r="D518" s="8"/>
      <c r="G518" s="8"/>
    </row>
    <row r="519" ht="14.25" customHeight="1">
      <c r="B519" s="8"/>
      <c r="C519" s="8"/>
      <c r="D519" s="8"/>
      <c r="G519" s="8"/>
    </row>
    <row r="520" ht="14.25" customHeight="1">
      <c r="B520" s="8"/>
      <c r="C520" s="8"/>
      <c r="D520" s="8"/>
      <c r="G520" s="8"/>
    </row>
    <row r="521" ht="14.25" customHeight="1">
      <c r="B521" s="8"/>
      <c r="C521" s="8"/>
      <c r="D521" s="8"/>
      <c r="G521" s="8"/>
    </row>
    <row r="522" ht="14.25" customHeight="1">
      <c r="B522" s="8"/>
      <c r="C522" s="8"/>
      <c r="D522" s="8"/>
      <c r="G522" s="8"/>
    </row>
    <row r="523" ht="14.25" customHeight="1">
      <c r="B523" s="8"/>
      <c r="C523" s="8"/>
      <c r="D523" s="8"/>
      <c r="G523" s="8"/>
    </row>
    <row r="524" ht="14.25" customHeight="1">
      <c r="B524" s="8"/>
      <c r="C524" s="8"/>
      <c r="D524" s="8"/>
      <c r="G524" s="8"/>
    </row>
    <row r="525" ht="14.25" customHeight="1">
      <c r="B525" s="8"/>
      <c r="C525" s="8"/>
      <c r="D525" s="8"/>
      <c r="G525" s="8"/>
    </row>
    <row r="526" ht="14.25" customHeight="1">
      <c r="B526" s="8"/>
      <c r="C526" s="8"/>
      <c r="D526" s="8"/>
      <c r="G526" s="8"/>
    </row>
    <row r="527" ht="14.25" customHeight="1">
      <c r="B527" s="8"/>
      <c r="C527" s="8"/>
      <c r="D527" s="8"/>
      <c r="G527" s="8"/>
    </row>
    <row r="528" ht="14.25" customHeight="1">
      <c r="B528" s="8"/>
      <c r="C528" s="8"/>
      <c r="D528" s="8"/>
      <c r="G528" s="8"/>
    </row>
    <row r="529" ht="14.25" customHeight="1">
      <c r="B529" s="8"/>
      <c r="C529" s="8"/>
      <c r="D529" s="8"/>
      <c r="G529" s="8"/>
    </row>
    <row r="530" ht="14.25" customHeight="1">
      <c r="B530" s="8"/>
      <c r="C530" s="8"/>
      <c r="D530" s="8"/>
      <c r="G530" s="8"/>
    </row>
    <row r="531" ht="14.25" customHeight="1">
      <c r="B531" s="8"/>
      <c r="C531" s="8"/>
      <c r="D531" s="8"/>
      <c r="G531" s="8"/>
    </row>
    <row r="532" ht="14.25" customHeight="1">
      <c r="B532" s="8"/>
      <c r="C532" s="8"/>
      <c r="D532" s="8"/>
      <c r="G532" s="8"/>
    </row>
    <row r="533" ht="14.25" customHeight="1">
      <c r="B533" s="8"/>
      <c r="C533" s="8"/>
      <c r="D533" s="8"/>
      <c r="G533" s="8"/>
    </row>
    <row r="534" ht="14.25" customHeight="1">
      <c r="B534" s="8"/>
      <c r="C534" s="8"/>
      <c r="D534" s="8"/>
      <c r="G534" s="8"/>
    </row>
    <row r="535" ht="14.25" customHeight="1">
      <c r="B535" s="8"/>
      <c r="C535" s="8"/>
      <c r="D535" s="8"/>
      <c r="G535" s="8"/>
    </row>
    <row r="536" ht="14.25" customHeight="1">
      <c r="B536" s="8"/>
      <c r="C536" s="8"/>
      <c r="D536" s="8"/>
      <c r="G536" s="8"/>
    </row>
    <row r="537" ht="14.25" customHeight="1">
      <c r="B537" s="8"/>
      <c r="C537" s="8"/>
      <c r="D537" s="8"/>
      <c r="G537" s="8"/>
    </row>
    <row r="538" ht="14.25" customHeight="1">
      <c r="B538" s="8"/>
      <c r="C538" s="8"/>
      <c r="D538" s="8"/>
      <c r="G538" s="8"/>
    </row>
    <row r="539" ht="14.25" customHeight="1">
      <c r="B539" s="8"/>
      <c r="C539" s="8"/>
      <c r="D539" s="8"/>
      <c r="G539" s="8"/>
    </row>
    <row r="540" ht="14.25" customHeight="1">
      <c r="B540" s="8"/>
      <c r="C540" s="8"/>
      <c r="D540" s="8"/>
      <c r="G540" s="8"/>
    </row>
    <row r="541" ht="14.25" customHeight="1">
      <c r="B541" s="8"/>
      <c r="C541" s="8"/>
      <c r="D541" s="8"/>
      <c r="G541" s="8"/>
    </row>
    <row r="542" ht="14.25" customHeight="1">
      <c r="B542" s="8"/>
      <c r="C542" s="8"/>
      <c r="D542" s="8"/>
      <c r="G542" s="8"/>
    </row>
    <row r="543" ht="14.25" customHeight="1">
      <c r="B543" s="8"/>
      <c r="C543" s="8"/>
      <c r="D543" s="8"/>
      <c r="G543" s="8"/>
    </row>
    <row r="544" ht="14.25" customHeight="1">
      <c r="B544" s="8"/>
      <c r="C544" s="8"/>
      <c r="D544" s="8"/>
      <c r="G544" s="8"/>
    </row>
    <row r="545" ht="14.25" customHeight="1">
      <c r="B545" s="8"/>
      <c r="C545" s="8"/>
      <c r="D545" s="8"/>
      <c r="G545" s="8"/>
    </row>
    <row r="546" ht="14.25" customHeight="1">
      <c r="B546" s="8"/>
      <c r="C546" s="8"/>
      <c r="D546" s="8"/>
      <c r="G546" s="8"/>
    </row>
    <row r="547" ht="14.25" customHeight="1">
      <c r="B547" s="8"/>
      <c r="C547" s="8"/>
      <c r="D547" s="8"/>
      <c r="G547" s="8"/>
    </row>
    <row r="548" ht="14.25" customHeight="1">
      <c r="B548" s="8"/>
      <c r="C548" s="8"/>
      <c r="D548" s="8"/>
      <c r="G548" s="8"/>
    </row>
    <row r="549" ht="14.25" customHeight="1">
      <c r="B549" s="8"/>
      <c r="C549" s="8"/>
      <c r="D549" s="8"/>
      <c r="G549" s="8"/>
    </row>
    <row r="550" ht="14.25" customHeight="1">
      <c r="B550" s="8"/>
      <c r="C550" s="8"/>
      <c r="D550" s="8"/>
      <c r="G550" s="8"/>
    </row>
    <row r="551" ht="14.25" customHeight="1">
      <c r="B551" s="8"/>
      <c r="C551" s="8"/>
      <c r="D551" s="8"/>
      <c r="G551" s="8"/>
    </row>
    <row r="552" ht="14.25" customHeight="1">
      <c r="B552" s="8"/>
      <c r="C552" s="8"/>
      <c r="D552" s="8"/>
      <c r="G552" s="8"/>
    </row>
    <row r="553" ht="14.25" customHeight="1">
      <c r="B553" s="8"/>
      <c r="C553" s="8"/>
      <c r="D553" s="8"/>
      <c r="G553" s="8"/>
    </row>
    <row r="554" ht="14.25" customHeight="1">
      <c r="B554" s="8"/>
      <c r="C554" s="8"/>
      <c r="D554" s="8"/>
      <c r="G554" s="8"/>
    </row>
    <row r="555" ht="14.25" customHeight="1">
      <c r="B555" s="8"/>
      <c r="C555" s="8"/>
      <c r="D555" s="8"/>
      <c r="G555" s="8"/>
    </row>
    <row r="556" ht="14.25" customHeight="1">
      <c r="B556" s="8"/>
      <c r="C556" s="8"/>
      <c r="D556" s="8"/>
      <c r="G556" s="8"/>
    </row>
    <row r="557" ht="14.25" customHeight="1">
      <c r="B557" s="8"/>
      <c r="C557" s="8"/>
      <c r="D557" s="8"/>
      <c r="G557" s="8"/>
    </row>
    <row r="558" ht="14.25" customHeight="1">
      <c r="B558" s="8"/>
      <c r="C558" s="8"/>
      <c r="D558" s="8"/>
      <c r="G558" s="8"/>
    </row>
    <row r="559" ht="14.25" customHeight="1">
      <c r="B559" s="8"/>
      <c r="C559" s="8"/>
      <c r="D559" s="8"/>
      <c r="G559" s="8"/>
    </row>
    <row r="560" ht="14.25" customHeight="1">
      <c r="B560" s="8"/>
      <c r="C560" s="8"/>
      <c r="D560" s="8"/>
      <c r="G560" s="8"/>
    </row>
    <row r="561" ht="14.25" customHeight="1">
      <c r="B561" s="8"/>
      <c r="C561" s="8"/>
      <c r="D561" s="8"/>
      <c r="G561" s="8"/>
    </row>
    <row r="562" ht="14.25" customHeight="1">
      <c r="B562" s="8"/>
      <c r="C562" s="8"/>
      <c r="D562" s="8"/>
      <c r="G562" s="8"/>
    </row>
    <row r="563" ht="14.25" customHeight="1">
      <c r="B563" s="8"/>
      <c r="C563" s="8"/>
      <c r="D563" s="8"/>
      <c r="G563" s="8"/>
    </row>
    <row r="564" ht="14.25" customHeight="1">
      <c r="B564" s="8"/>
      <c r="C564" s="8"/>
      <c r="D564" s="8"/>
      <c r="G564" s="8"/>
    </row>
    <row r="565" ht="14.25" customHeight="1">
      <c r="B565" s="8"/>
      <c r="C565" s="8"/>
      <c r="D565" s="8"/>
      <c r="G565" s="8"/>
    </row>
    <row r="566" ht="14.25" customHeight="1">
      <c r="B566" s="8"/>
      <c r="C566" s="8"/>
      <c r="D566" s="8"/>
      <c r="G566" s="8"/>
    </row>
    <row r="567" ht="14.25" customHeight="1">
      <c r="B567" s="8"/>
      <c r="C567" s="8"/>
      <c r="D567" s="8"/>
      <c r="G567" s="8"/>
    </row>
    <row r="568" ht="14.25" customHeight="1">
      <c r="B568" s="8"/>
      <c r="C568" s="8"/>
      <c r="D568" s="8"/>
      <c r="G568" s="8"/>
    </row>
    <row r="569" ht="14.25" customHeight="1">
      <c r="B569" s="8"/>
      <c r="C569" s="8"/>
      <c r="D569" s="8"/>
      <c r="G569" s="8"/>
    </row>
    <row r="570" ht="14.25" customHeight="1">
      <c r="B570" s="8"/>
      <c r="C570" s="8"/>
      <c r="D570" s="8"/>
      <c r="G570" s="8"/>
    </row>
    <row r="571" ht="14.25" customHeight="1">
      <c r="B571" s="8"/>
      <c r="C571" s="8"/>
      <c r="D571" s="8"/>
      <c r="G571" s="8"/>
    </row>
    <row r="572" ht="14.25" customHeight="1">
      <c r="B572" s="8"/>
      <c r="C572" s="8"/>
      <c r="D572" s="8"/>
      <c r="G572" s="8"/>
    </row>
    <row r="573" ht="14.25" customHeight="1">
      <c r="B573" s="8"/>
      <c r="C573" s="8"/>
      <c r="D573" s="8"/>
      <c r="G573" s="8"/>
    </row>
    <row r="574" ht="14.25" customHeight="1">
      <c r="B574" s="8"/>
      <c r="C574" s="8"/>
      <c r="D574" s="8"/>
      <c r="G574" s="8"/>
    </row>
    <row r="575" ht="14.25" customHeight="1">
      <c r="B575" s="8"/>
      <c r="C575" s="8"/>
      <c r="D575" s="8"/>
      <c r="G575" s="8"/>
    </row>
    <row r="576" ht="14.25" customHeight="1">
      <c r="B576" s="8"/>
      <c r="C576" s="8"/>
      <c r="D576" s="8"/>
      <c r="G576" s="8"/>
    </row>
    <row r="577" ht="14.25" customHeight="1">
      <c r="B577" s="8"/>
      <c r="C577" s="8"/>
      <c r="D577" s="8"/>
      <c r="G577" s="8"/>
    </row>
    <row r="578" ht="14.25" customHeight="1">
      <c r="B578" s="8"/>
      <c r="C578" s="8"/>
      <c r="D578" s="8"/>
      <c r="G578" s="8"/>
    </row>
    <row r="579" ht="14.25" customHeight="1">
      <c r="B579" s="8"/>
      <c r="C579" s="8"/>
      <c r="D579" s="8"/>
      <c r="G579" s="8"/>
    </row>
    <row r="580" ht="14.25" customHeight="1">
      <c r="B580" s="8"/>
      <c r="C580" s="8"/>
      <c r="D580" s="8"/>
      <c r="G580" s="8"/>
    </row>
    <row r="581" ht="14.25" customHeight="1">
      <c r="B581" s="8"/>
      <c r="C581" s="8"/>
      <c r="D581" s="8"/>
      <c r="G581" s="8"/>
    </row>
    <row r="582" ht="14.25" customHeight="1">
      <c r="B582" s="8"/>
      <c r="C582" s="8"/>
      <c r="D582" s="8"/>
      <c r="G582" s="8"/>
    </row>
    <row r="583" ht="14.25" customHeight="1">
      <c r="B583" s="8"/>
      <c r="C583" s="8"/>
      <c r="D583" s="8"/>
      <c r="G583" s="8"/>
    </row>
    <row r="584" ht="14.25" customHeight="1">
      <c r="B584" s="8"/>
      <c r="C584" s="8"/>
      <c r="D584" s="8"/>
      <c r="G584" s="8"/>
    </row>
    <row r="585" ht="14.25" customHeight="1">
      <c r="B585" s="8"/>
      <c r="C585" s="8"/>
      <c r="D585" s="8"/>
      <c r="G585" s="8"/>
    </row>
    <row r="586" ht="14.25" customHeight="1">
      <c r="B586" s="8"/>
      <c r="C586" s="8"/>
      <c r="D586" s="8"/>
      <c r="G586" s="8"/>
    </row>
    <row r="587" ht="14.25" customHeight="1">
      <c r="B587" s="8"/>
      <c r="C587" s="8"/>
      <c r="D587" s="8"/>
      <c r="G587" s="8"/>
    </row>
    <row r="588" ht="14.25" customHeight="1">
      <c r="B588" s="8"/>
      <c r="C588" s="8"/>
      <c r="D588" s="8"/>
      <c r="G588" s="8"/>
    </row>
    <row r="589" ht="14.25" customHeight="1">
      <c r="B589" s="8"/>
      <c r="C589" s="8"/>
      <c r="D589" s="8"/>
      <c r="G589" s="8"/>
    </row>
    <row r="590" ht="14.25" customHeight="1">
      <c r="B590" s="8"/>
      <c r="C590" s="8"/>
      <c r="D590" s="8"/>
      <c r="G590" s="8"/>
    </row>
    <row r="591" ht="14.25" customHeight="1">
      <c r="B591" s="8"/>
      <c r="C591" s="8"/>
      <c r="D591" s="8"/>
      <c r="G591" s="8"/>
    </row>
    <row r="592" ht="14.25" customHeight="1">
      <c r="B592" s="8"/>
      <c r="C592" s="8"/>
      <c r="D592" s="8"/>
      <c r="G592" s="8"/>
    </row>
    <row r="593" ht="14.25" customHeight="1">
      <c r="B593" s="8"/>
      <c r="C593" s="8"/>
      <c r="D593" s="8"/>
      <c r="G593" s="8"/>
    </row>
    <row r="594" ht="14.25" customHeight="1">
      <c r="B594" s="8"/>
      <c r="C594" s="8"/>
      <c r="D594" s="8"/>
      <c r="G594" s="8"/>
    </row>
    <row r="595" ht="14.25" customHeight="1">
      <c r="B595" s="8"/>
      <c r="C595" s="8"/>
      <c r="D595" s="8"/>
      <c r="G595" s="8"/>
    </row>
    <row r="596" ht="14.25" customHeight="1">
      <c r="B596" s="8"/>
      <c r="C596" s="8"/>
      <c r="D596" s="8"/>
      <c r="G596" s="8"/>
    </row>
    <row r="597" ht="14.25" customHeight="1">
      <c r="B597" s="8"/>
      <c r="C597" s="8"/>
      <c r="D597" s="8"/>
      <c r="G597" s="8"/>
    </row>
    <row r="598" ht="14.25" customHeight="1">
      <c r="B598" s="8"/>
      <c r="C598" s="8"/>
      <c r="D598" s="8"/>
      <c r="G598" s="8"/>
    </row>
    <row r="599" ht="14.25" customHeight="1">
      <c r="B599" s="8"/>
      <c r="C599" s="8"/>
      <c r="D599" s="8"/>
      <c r="G599" s="8"/>
    </row>
    <row r="600" ht="14.25" customHeight="1">
      <c r="B600" s="8"/>
      <c r="C600" s="8"/>
      <c r="D600" s="8"/>
      <c r="G600" s="8"/>
    </row>
    <row r="601" ht="14.25" customHeight="1">
      <c r="B601" s="8"/>
      <c r="C601" s="8"/>
      <c r="D601" s="8"/>
      <c r="G601" s="8"/>
    </row>
    <row r="602" ht="14.25" customHeight="1">
      <c r="B602" s="8"/>
      <c r="C602" s="8"/>
      <c r="D602" s="8"/>
      <c r="G602" s="8"/>
    </row>
    <row r="603" ht="14.25" customHeight="1">
      <c r="B603" s="8"/>
      <c r="C603" s="8"/>
      <c r="D603" s="8"/>
      <c r="G603" s="8"/>
    </row>
    <row r="604" ht="14.25" customHeight="1">
      <c r="B604" s="8"/>
      <c r="C604" s="8"/>
      <c r="D604" s="8"/>
      <c r="G604" s="8"/>
    </row>
    <row r="605" ht="14.25" customHeight="1">
      <c r="B605" s="8"/>
      <c r="C605" s="8"/>
      <c r="D605" s="8"/>
      <c r="G605" s="8"/>
    </row>
    <row r="606" ht="14.25" customHeight="1">
      <c r="B606" s="8"/>
      <c r="C606" s="8"/>
      <c r="D606" s="8"/>
      <c r="G606" s="8"/>
    </row>
    <row r="607" ht="14.25" customHeight="1">
      <c r="B607" s="8"/>
      <c r="C607" s="8"/>
      <c r="D607" s="8"/>
      <c r="G607" s="8"/>
    </row>
    <row r="608" ht="14.25" customHeight="1">
      <c r="B608" s="8"/>
      <c r="C608" s="8"/>
      <c r="D608" s="8"/>
      <c r="G608" s="8"/>
    </row>
    <row r="609" ht="14.25" customHeight="1">
      <c r="B609" s="8"/>
      <c r="C609" s="8"/>
      <c r="D609" s="8"/>
      <c r="G609" s="8"/>
    </row>
    <row r="610" ht="14.25" customHeight="1">
      <c r="B610" s="8"/>
      <c r="C610" s="8"/>
      <c r="D610" s="8"/>
      <c r="G610" s="8"/>
    </row>
    <row r="611" ht="14.25" customHeight="1">
      <c r="B611" s="8"/>
      <c r="C611" s="8"/>
      <c r="D611" s="8"/>
      <c r="G611" s="8"/>
    </row>
    <row r="612" ht="14.25" customHeight="1">
      <c r="B612" s="8"/>
      <c r="C612" s="8"/>
      <c r="D612" s="8"/>
      <c r="G612" s="8"/>
    </row>
    <row r="613" ht="14.25" customHeight="1">
      <c r="B613" s="8"/>
      <c r="C613" s="8"/>
      <c r="D613" s="8"/>
      <c r="G613" s="8"/>
    </row>
    <row r="614" ht="14.25" customHeight="1">
      <c r="B614" s="8"/>
      <c r="C614" s="8"/>
      <c r="D614" s="8"/>
      <c r="G614" s="8"/>
    </row>
    <row r="615" ht="14.25" customHeight="1">
      <c r="B615" s="8"/>
      <c r="C615" s="8"/>
      <c r="D615" s="8"/>
      <c r="G615" s="8"/>
    </row>
    <row r="616" ht="14.25" customHeight="1">
      <c r="B616" s="8"/>
      <c r="C616" s="8"/>
      <c r="D616" s="8"/>
      <c r="G616" s="8"/>
    </row>
    <row r="617" ht="14.25" customHeight="1">
      <c r="B617" s="8"/>
      <c r="C617" s="8"/>
      <c r="D617" s="8"/>
      <c r="G617" s="8"/>
    </row>
    <row r="618" ht="14.25" customHeight="1">
      <c r="B618" s="8"/>
      <c r="C618" s="8"/>
      <c r="D618" s="8"/>
      <c r="G618" s="8"/>
    </row>
    <row r="619" ht="14.25" customHeight="1">
      <c r="B619" s="8"/>
      <c r="C619" s="8"/>
      <c r="D619" s="8"/>
      <c r="G619" s="8"/>
    </row>
    <row r="620" ht="14.25" customHeight="1">
      <c r="B620" s="8"/>
      <c r="C620" s="8"/>
      <c r="D620" s="8"/>
      <c r="G620" s="8"/>
    </row>
    <row r="621" ht="14.25" customHeight="1">
      <c r="B621" s="8"/>
      <c r="C621" s="8"/>
      <c r="D621" s="8"/>
      <c r="G621" s="8"/>
    </row>
    <row r="622" ht="14.25" customHeight="1">
      <c r="B622" s="8"/>
      <c r="C622" s="8"/>
      <c r="D622" s="8"/>
      <c r="G622" s="8"/>
    </row>
    <row r="623" ht="14.25" customHeight="1">
      <c r="B623" s="8"/>
      <c r="C623" s="8"/>
      <c r="D623" s="8"/>
      <c r="G623" s="8"/>
    </row>
    <row r="624" ht="14.25" customHeight="1">
      <c r="B624" s="8"/>
      <c r="C624" s="8"/>
      <c r="D624" s="8"/>
      <c r="G624" s="8"/>
    </row>
    <row r="625" ht="14.25" customHeight="1">
      <c r="B625" s="8"/>
      <c r="C625" s="8"/>
      <c r="D625" s="8"/>
      <c r="G625" s="8"/>
    </row>
    <row r="626" ht="14.25" customHeight="1">
      <c r="B626" s="8"/>
      <c r="C626" s="8"/>
      <c r="D626" s="8"/>
      <c r="G626" s="8"/>
    </row>
    <row r="627" ht="14.25" customHeight="1">
      <c r="B627" s="8"/>
      <c r="C627" s="8"/>
      <c r="D627" s="8"/>
      <c r="G627" s="8"/>
    </row>
    <row r="628" ht="14.25" customHeight="1">
      <c r="B628" s="8"/>
      <c r="C628" s="8"/>
      <c r="D628" s="8"/>
      <c r="G628" s="8"/>
    </row>
    <row r="629" ht="14.25" customHeight="1">
      <c r="B629" s="8"/>
      <c r="C629" s="8"/>
      <c r="D629" s="8"/>
      <c r="G629" s="8"/>
    </row>
    <row r="630" ht="14.25" customHeight="1">
      <c r="B630" s="8"/>
      <c r="C630" s="8"/>
      <c r="D630" s="8"/>
      <c r="G630" s="8"/>
    </row>
    <row r="631" ht="14.25" customHeight="1">
      <c r="B631" s="8"/>
      <c r="C631" s="8"/>
      <c r="D631" s="8"/>
      <c r="G631" s="8"/>
    </row>
    <row r="632" ht="14.25" customHeight="1">
      <c r="B632" s="8"/>
      <c r="C632" s="8"/>
      <c r="D632" s="8"/>
      <c r="G632" s="8"/>
    </row>
    <row r="633" ht="14.25" customHeight="1">
      <c r="B633" s="8"/>
      <c r="C633" s="8"/>
      <c r="D633" s="8"/>
      <c r="G633" s="8"/>
    </row>
    <row r="634" ht="14.25" customHeight="1">
      <c r="B634" s="8"/>
      <c r="C634" s="8"/>
      <c r="D634" s="8"/>
      <c r="G634" s="8"/>
    </row>
    <row r="635" ht="14.25" customHeight="1">
      <c r="B635" s="8"/>
      <c r="C635" s="8"/>
      <c r="D635" s="8"/>
      <c r="G635" s="8"/>
    </row>
    <row r="636" ht="14.25" customHeight="1">
      <c r="B636" s="8"/>
      <c r="C636" s="8"/>
      <c r="D636" s="8"/>
      <c r="G636" s="8"/>
    </row>
    <row r="637" ht="14.25" customHeight="1">
      <c r="B637" s="8"/>
      <c r="C637" s="8"/>
      <c r="D637" s="8"/>
      <c r="G637" s="8"/>
    </row>
    <row r="638" ht="14.25" customHeight="1">
      <c r="B638" s="8"/>
      <c r="C638" s="8"/>
      <c r="D638" s="8"/>
      <c r="G638" s="8"/>
    </row>
    <row r="639" ht="14.25" customHeight="1">
      <c r="B639" s="8"/>
      <c r="C639" s="8"/>
      <c r="D639" s="8"/>
      <c r="G639" s="8"/>
    </row>
    <row r="640" ht="14.25" customHeight="1">
      <c r="B640" s="8"/>
      <c r="C640" s="8"/>
      <c r="D640" s="8"/>
      <c r="G640" s="8"/>
    </row>
    <row r="641" ht="14.25" customHeight="1">
      <c r="B641" s="8"/>
      <c r="C641" s="8"/>
      <c r="D641" s="8"/>
      <c r="G641" s="8"/>
    </row>
    <row r="642" ht="14.25" customHeight="1">
      <c r="B642" s="8"/>
      <c r="C642" s="8"/>
      <c r="D642" s="8"/>
      <c r="G642" s="8"/>
    </row>
    <row r="643" ht="14.25" customHeight="1">
      <c r="B643" s="8"/>
      <c r="C643" s="8"/>
      <c r="D643" s="8"/>
      <c r="G643" s="8"/>
    </row>
    <row r="644" ht="14.25" customHeight="1">
      <c r="B644" s="8"/>
      <c r="C644" s="8"/>
      <c r="D644" s="8"/>
      <c r="G644" s="8"/>
    </row>
    <row r="645" ht="14.25" customHeight="1">
      <c r="B645" s="8"/>
      <c r="C645" s="8"/>
      <c r="D645" s="8"/>
      <c r="G645" s="8"/>
    </row>
    <row r="646" ht="14.25" customHeight="1">
      <c r="B646" s="8"/>
      <c r="C646" s="8"/>
      <c r="D646" s="8"/>
      <c r="G646" s="8"/>
    </row>
    <row r="647" ht="14.25" customHeight="1">
      <c r="B647" s="8"/>
      <c r="C647" s="8"/>
      <c r="D647" s="8"/>
      <c r="G647" s="8"/>
    </row>
    <row r="648" ht="14.25" customHeight="1">
      <c r="B648" s="8"/>
      <c r="C648" s="8"/>
      <c r="D648" s="8"/>
      <c r="G648" s="8"/>
    </row>
    <row r="649" ht="14.25" customHeight="1">
      <c r="B649" s="8"/>
      <c r="C649" s="8"/>
      <c r="D649" s="8"/>
      <c r="G649" s="8"/>
    </row>
    <row r="650" ht="14.25" customHeight="1">
      <c r="B650" s="8"/>
      <c r="C650" s="8"/>
      <c r="D650" s="8"/>
      <c r="G650" s="8"/>
    </row>
    <row r="651" ht="14.25" customHeight="1">
      <c r="B651" s="8"/>
      <c r="C651" s="8"/>
      <c r="D651" s="8"/>
      <c r="G651" s="8"/>
    </row>
    <row r="652" ht="14.25" customHeight="1">
      <c r="B652" s="8"/>
      <c r="C652" s="8"/>
      <c r="D652" s="8"/>
      <c r="G652" s="8"/>
    </row>
    <row r="653" ht="14.25" customHeight="1">
      <c r="B653" s="8"/>
      <c r="C653" s="8"/>
      <c r="D653" s="8"/>
      <c r="G653" s="8"/>
    </row>
    <row r="654" ht="14.25" customHeight="1">
      <c r="B654" s="8"/>
      <c r="C654" s="8"/>
      <c r="D654" s="8"/>
      <c r="G654" s="8"/>
    </row>
    <row r="655" ht="14.25" customHeight="1">
      <c r="B655" s="8"/>
      <c r="C655" s="8"/>
      <c r="D655" s="8"/>
      <c r="G655" s="8"/>
    </row>
    <row r="656" ht="14.25" customHeight="1">
      <c r="B656" s="8"/>
      <c r="C656" s="8"/>
      <c r="D656" s="8"/>
      <c r="G656" s="8"/>
    </row>
    <row r="657" ht="14.25" customHeight="1">
      <c r="B657" s="8"/>
      <c r="C657" s="8"/>
      <c r="D657" s="8"/>
      <c r="G657" s="8"/>
    </row>
    <row r="658" ht="14.25" customHeight="1">
      <c r="B658" s="8"/>
      <c r="C658" s="8"/>
      <c r="D658" s="8"/>
      <c r="G658" s="8"/>
    </row>
    <row r="659" ht="14.25" customHeight="1">
      <c r="B659" s="8"/>
      <c r="C659" s="8"/>
      <c r="D659" s="8"/>
      <c r="G659" s="8"/>
    </row>
    <row r="660" ht="14.25" customHeight="1">
      <c r="B660" s="8"/>
      <c r="C660" s="8"/>
      <c r="D660" s="8"/>
      <c r="G660" s="8"/>
    </row>
    <row r="661" ht="14.25" customHeight="1">
      <c r="B661" s="8"/>
      <c r="C661" s="8"/>
      <c r="D661" s="8"/>
      <c r="G661" s="8"/>
    </row>
    <row r="662" ht="14.25" customHeight="1">
      <c r="B662" s="8"/>
      <c r="C662" s="8"/>
      <c r="D662" s="8"/>
      <c r="G662" s="8"/>
    </row>
    <row r="663" ht="14.25" customHeight="1">
      <c r="B663" s="8"/>
      <c r="C663" s="8"/>
      <c r="D663" s="8"/>
      <c r="G663" s="8"/>
    </row>
    <row r="664" ht="14.25" customHeight="1">
      <c r="B664" s="8"/>
      <c r="C664" s="8"/>
      <c r="D664" s="8"/>
      <c r="G664" s="8"/>
    </row>
    <row r="665" ht="14.25" customHeight="1">
      <c r="B665" s="8"/>
      <c r="C665" s="8"/>
      <c r="D665" s="8"/>
      <c r="G665" s="8"/>
    </row>
    <row r="666" ht="14.25" customHeight="1">
      <c r="B666" s="8"/>
      <c r="C666" s="8"/>
      <c r="D666" s="8"/>
      <c r="G666" s="8"/>
    </row>
    <row r="667" ht="14.25" customHeight="1">
      <c r="B667" s="8"/>
      <c r="C667" s="8"/>
      <c r="D667" s="8"/>
      <c r="G667" s="8"/>
    </row>
    <row r="668" ht="14.25" customHeight="1">
      <c r="B668" s="8"/>
      <c r="C668" s="8"/>
      <c r="D668" s="8"/>
      <c r="G668" s="8"/>
    </row>
    <row r="669" ht="14.25" customHeight="1">
      <c r="B669" s="8"/>
      <c r="C669" s="8"/>
      <c r="D669" s="8"/>
      <c r="G669" s="8"/>
    </row>
    <row r="670" ht="14.25" customHeight="1">
      <c r="B670" s="8"/>
      <c r="C670" s="8"/>
      <c r="D670" s="8"/>
      <c r="G670" s="8"/>
    </row>
    <row r="671" ht="14.25" customHeight="1">
      <c r="B671" s="8"/>
      <c r="C671" s="8"/>
      <c r="D671" s="8"/>
      <c r="G671" s="8"/>
    </row>
    <row r="672" ht="14.25" customHeight="1">
      <c r="B672" s="8"/>
      <c r="C672" s="8"/>
      <c r="D672" s="8"/>
      <c r="G672" s="8"/>
    </row>
    <row r="673" ht="14.25" customHeight="1">
      <c r="B673" s="8"/>
      <c r="C673" s="8"/>
      <c r="D673" s="8"/>
      <c r="G673" s="8"/>
    </row>
    <row r="674" ht="14.25" customHeight="1">
      <c r="B674" s="8"/>
      <c r="C674" s="8"/>
      <c r="D674" s="8"/>
      <c r="G674" s="8"/>
    </row>
    <row r="675" ht="14.25" customHeight="1">
      <c r="B675" s="8"/>
      <c r="C675" s="8"/>
      <c r="D675" s="8"/>
      <c r="G675" s="8"/>
    </row>
    <row r="676" ht="14.25" customHeight="1">
      <c r="B676" s="8"/>
      <c r="C676" s="8"/>
      <c r="D676" s="8"/>
      <c r="G676" s="8"/>
    </row>
    <row r="677" ht="14.25" customHeight="1">
      <c r="B677" s="8"/>
      <c r="C677" s="8"/>
      <c r="D677" s="8"/>
      <c r="G677" s="8"/>
    </row>
    <row r="678" ht="14.25" customHeight="1">
      <c r="B678" s="8"/>
      <c r="C678" s="8"/>
      <c r="D678" s="8"/>
      <c r="G678" s="8"/>
    </row>
    <row r="679" ht="14.25" customHeight="1">
      <c r="B679" s="8"/>
      <c r="C679" s="8"/>
      <c r="D679" s="8"/>
      <c r="G679" s="8"/>
    </row>
    <row r="680" ht="14.25" customHeight="1">
      <c r="B680" s="8"/>
      <c r="C680" s="8"/>
      <c r="D680" s="8"/>
      <c r="G680" s="8"/>
    </row>
    <row r="681" ht="14.25" customHeight="1">
      <c r="B681" s="8"/>
      <c r="C681" s="8"/>
      <c r="D681" s="8"/>
      <c r="G681" s="8"/>
    </row>
    <row r="682" ht="14.25" customHeight="1">
      <c r="B682" s="8"/>
      <c r="C682" s="8"/>
      <c r="D682" s="8"/>
      <c r="G682" s="8"/>
    </row>
    <row r="683" ht="14.25" customHeight="1">
      <c r="B683" s="8"/>
      <c r="C683" s="8"/>
      <c r="D683" s="8"/>
      <c r="G683" s="8"/>
    </row>
    <row r="684" ht="14.25" customHeight="1">
      <c r="B684" s="8"/>
      <c r="C684" s="8"/>
      <c r="D684" s="8"/>
      <c r="G684" s="8"/>
    </row>
    <row r="685" ht="14.25" customHeight="1">
      <c r="B685" s="8"/>
      <c r="C685" s="8"/>
      <c r="D685" s="8"/>
      <c r="G685" s="8"/>
    </row>
    <row r="686" ht="14.25" customHeight="1">
      <c r="B686" s="8"/>
      <c r="C686" s="8"/>
      <c r="D686" s="8"/>
      <c r="G686" s="8"/>
    </row>
    <row r="687" ht="14.25" customHeight="1">
      <c r="B687" s="8"/>
      <c r="C687" s="8"/>
      <c r="D687" s="8"/>
      <c r="G687" s="8"/>
    </row>
    <row r="688" ht="14.25" customHeight="1">
      <c r="B688" s="8"/>
      <c r="C688" s="8"/>
      <c r="D688" s="8"/>
      <c r="G688" s="8"/>
    </row>
    <row r="689" ht="14.25" customHeight="1">
      <c r="B689" s="8"/>
      <c r="C689" s="8"/>
      <c r="D689" s="8"/>
      <c r="G689" s="8"/>
    </row>
    <row r="690" ht="14.25" customHeight="1">
      <c r="B690" s="8"/>
      <c r="C690" s="8"/>
      <c r="D690" s="8"/>
      <c r="G690" s="8"/>
    </row>
    <row r="691" ht="14.25" customHeight="1">
      <c r="B691" s="8"/>
      <c r="C691" s="8"/>
      <c r="D691" s="8"/>
      <c r="G691" s="8"/>
    </row>
    <row r="692" ht="14.25" customHeight="1">
      <c r="B692" s="8"/>
      <c r="C692" s="8"/>
      <c r="D692" s="8"/>
      <c r="G692" s="8"/>
    </row>
    <row r="693" ht="14.25" customHeight="1">
      <c r="B693" s="8"/>
      <c r="C693" s="8"/>
      <c r="D693" s="8"/>
      <c r="G693" s="8"/>
    </row>
    <row r="694" ht="14.25" customHeight="1">
      <c r="B694" s="8"/>
      <c r="C694" s="8"/>
      <c r="D694" s="8"/>
      <c r="G694" s="8"/>
    </row>
    <row r="695" ht="14.25" customHeight="1">
      <c r="B695" s="8"/>
      <c r="C695" s="8"/>
      <c r="D695" s="8"/>
      <c r="G695" s="8"/>
    </row>
    <row r="696" ht="14.25" customHeight="1">
      <c r="B696" s="8"/>
      <c r="C696" s="8"/>
      <c r="D696" s="8"/>
      <c r="G696" s="8"/>
    </row>
    <row r="697" ht="14.25" customHeight="1">
      <c r="B697" s="8"/>
      <c r="C697" s="8"/>
      <c r="D697" s="8"/>
      <c r="G697" s="8"/>
    </row>
    <row r="698" ht="14.25" customHeight="1">
      <c r="B698" s="8"/>
      <c r="C698" s="8"/>
      <c r="D698" s="8"/>
      <c r="G698" s="8"/>
    </row>
    <row r="699" ht="14.25" customHeight="1">
      <c r="B699" s="8"/>
      <c r="C699" s="8"/>
      <c r="D699" s="8"/>
      <c r="G699" s="8"/>
    </row>
    <row r="700" ht="14.25" customHeight="1">
      <c r="B700" s="8"/>
      <c r="C700" s="8"/>
      <c r="D700" s="8"/>
      <c r="G700" s="8"/>
    </row>
    <row r="701" ht="14.25" customHeight="1">
      <c r="B701" s="8"/>
      <c r="C701" s="8"/>
      <c r="D701" s="8"/>
      <c r="G701" s="8"/>
    </row>
    <row r="702" ht="14.25" customHeight="1">
      <c r="B702" s="8"/>
      <c r="C702" s="8"/>
      <c r="D702" s="8"/>
      <c r="G702" s="8"/>
    </row>
    <row r="703" ht="14.25" customHeight="1">
      <c r="B703" s="8"/>
      <c r="C703" s="8"/>
      <c r="D703" s="8"/>
      <c r="G703" s="8"/>
    </row>
    <row r="704" ht="14.25" customHeight="1">
      <c r="B704" s="8"/>
      <c r="C704" s="8"/>
      <c r="D704" s="8"/>
      <c r="G704" s="8"/>
    </row>
    <row r="705" ht="14.25" customHeight="1">
      <c r="B705" s="8"/>
      <c r="C705" s="8"/>
      <c r="D705" s="8"/>
      <c r="G705" s="8"/>
    </row>
    <row r="706" ht="14.25" customHeight="1">
      <c r="B706" s="8"/>
      <c r="C706" s="8"/>
      <c r="D706" s="8"/>
      <c r="G706" s="8"/>
    </row>
    <row r="707" ht="14.25" customHeight="1">
      <c r="B707" s="8"/>
      <c r="C707" s="8"/>
      <c r="D707" s="8"/>
      <c r="G707" s="8"/>
    </row>
    <row r="708" ht="14.25" customHeight="1">
      <c r="B708" s="8"/>
      <c r="C708" s="8"/>
      <c r="D708" s="8"/>
      <c r="G708" s="8"/>
    </row>
    <row r="709" ht="14.25" customHeight="1">
      <c r="B709" s="8"/>
      <c r="C709" s="8"/>
      <c r="D709" s="8"/>
      <c r="G709" s="8"/>
    </row>
    <row r="710" ht="14.25" customHeight="1">
      <c r="B710" s="8"/>
      <c r="C710" s="8"/>
      <c r="D710" s="8"/>
      <c r="G710" s="8"/>
    </row>
    <row r="711" ht="14.25" customHeight="1">
      <c r="B711" s="8"/>
      <c r="C711" s="8"/>
      <c r="D711" s="8"/>
      <c r="G711" s="8"/>
    </row>
    <row r="712" ht="14.25" customHeight="1">
      <c r="B712" s="8"/>
      <c r="C712" s="8"/>
      <c r="D712" s="8"/>
      <c r="G712" s="8"/>
    </row>
    <row r="713" ht="14.25" customHeight="1">
      <c r="B713" s="8"/>
      <c r="C713" s="8"/>
      <c r="D713" s="8"/>
      <c r="G713" s="8"/>
    </row>
    <row r="714" ht="14.25" customHeight="1">
      <c r="B714" s="8"/>
      <c r="C714" s="8"/>
      <c r="D714" s="8"/>
      <c r="G714" s="8"/>
    </row>
    <row r="715" ht="14.25" customHeight="1">
      <c r="B715" s="8"/>
      <c r="C715" s="8"/>
      <c r="D715" s="8"/>
      <c r="G715" s="8"/>
    </row>
    <row r="716" ht="14.25" customHeight="1">
      <c r="B716" s="8"/>
      <c r="C716" s="8"/>
      <c r="D716" s="8"/>
      <c r="G716" s="8"/>
    </row>
    <row r="717" ht="14.25" customHeight="1">
      <c r="B717" s="8"/>
      <c r="C717" s="8"/>
      <c r="D717" s="8"/>
      <c r="G717" s="8"/>
    </row>
    <row r="718" ht="14.25" customHeight="1">
      <c r="B718" s="8"/>
      <c r="C718" s="8"/>
      <c r="D718" s="8"/>
      <c r="G718" s="8"/>
    </row>
    <row r="719" ht="14.25" customHeight="1">
      <c r="B719" s="8"/>
      <c r="C719" s="8"/>
      <c r="D719" s="8"/>
      <c r="G719" s="8"/>
    </row>
    <row r="720" ht="14.25" customHeight="1">
      <c r="B720" s="8"/>
      <c r="C720" s="8"/>
      <c r="D720" s="8"/>
      <c r="G720" s="8"/>
    </row>
    <row r="721" ht="14.25" customHeight="1">
      <c r="B721" s="8"/>
      <c r="C721" s="8"/>
      <c r="D721" s="8"/>
      <c r="G721" s="8"/>
    </row>
    <row r="722" ht="14.25" customHeight="1">
      <c r="B722" s="8"/>
      <c r="C722" s="8"/>
      <c r="D722" s="8"/>
      <c r="G722" s="8"/>
    </row>
    <row r="723" ht="14.25" customHeight="1">
      <c r="B723" s="8"/>
      <c r="C723" s="8"/>
      <c r="D723" s="8"/>
      <c r="G723" s="8"/>
    </row>
    <row r="724" ht="14.25" customHeight="1">
      <c r="B724" s="8"/>
      <c r="C724" s="8"/>
      <c r="D724" s="8"/>
      <c r="G724" s="8"/>
    </row>
    <row r="725" ht="14.25" customHeight="1">
      <c r="B725" s="8"/>
      <c r="C725" s="8"/>
      <c r="D725" s="8"/>
      <c r="G725" s="8"/>
    </row>
    <row r="726" ht="14.25" customHeight="1">
      <c r="B726" s="8"/>
      <c r="C726" s="8"/>
      <c r="D726" s="8"/>
      <c r="G726" s="8"/>
    </row>
    <row r="727" ht="14.25" customHeight="1">
      <c r="B727" s="8"/>
      <c r="C727" s="8"/>
      <c r="D727" s="8"/>
      <c r="G727" s="8"/>
    </row>
    <row r="728" ht="14.25" customHeight="1">
      <c r="B728" s="8"/>
      <c r="C728" s="8"/>
      <c r="D728" s="8"/>
      <c r="G728" s="8"/>
    </row>
    <row r="729" ht="14.25" customHeight="1">
      <c r="B729" s="8"/>
      <c r="C729" s="8"/>
      <c r="D729" s="8"/>
      <c r="G729" s="8"/>
    </row>
    <row r="730" ht="14.25" customHeight="1">
      <c r="B730" s="8"/>
      <c r="C730" s="8"/>
      <c r="D730" s="8"/>
      <c r="G730" s="8"/>
    </row>
    <row r="731" ht="14.25" customHeight="1">
      <c r="B731" s="8"/>
      <c r="C731" s="8"/>
      <c r="D731" s="8"/>
      <c r="G731" s="8"/>
    </row>
    <row r="732" ht="14.25" customHeight="1">
      <c r="B732" s="8"/>
      <c r="C732" s="8"/>
      <c r="D732" s="8"/>
      <c r="G732" s="8"/>
    </row>
    <row r="733" ht="14.25" customHeight="1">
      <c r="B733" s="8"/>
      <c r="C733" s="8"/>
      <c r="D733" s="8"/>
      <c r="G733" s="8"/>
    </row>
    <row r="734" ht="14.25" customHeight="1">
      <c r="B734" s="8"/>
      <c r="C734" s="8"/>
      <c r="D734" s="8"/>
      <c r="G734" s="8"/>
    </row>
    <row r="735" ht="14.25" customHeight="1">
      <c r="B735" s="8"/>
      <c r="C735" s="8"/>
      <c r="D735" s="8"/>
      <c r="G735" s="8"/>
    </row>
    <row r="736" ht="14.25" customHeight="1">
      <c r="B736" s="8"/>
      <c r="C736" s="8"/>
      <c r="D736" s="8"/>
      <c r="G736" s="8"/>
    </row>
    <row r="737" ht="14.25" customHeight="1">
      <c r="B737" s="8"/>
      <c r="C737" s="8"/>
      <c r="D737" s="8"/>
      <c r="G737" s="8"/>
    </row>
    <row r="738" ht="14.25" customHeight="1">
      <c r="B738" s="8"/>
      <c r="C738" s="8"/>
      <c r="D738" s="8"/>
      <c r="G738" s="8"/>
    </row>
    <row r="739" ht="14.25" customHeight="1">
      <c r="B739" s="8"/>
      <c r="C739" s="8"/>
      <c r="D739" s="8"/>
      <c r="G739" s="8"/>
    </row>
    <row r="740" ht="14.25" customHeight="1">
      <c r="B740" s="8"/>
      <c r="C740" s="8"/>
      <c r="D740" s="8"/>
      <c r="G740" s="8"/>
    </row>
    <row r="741" ht="14.25" customHeight="1">
      <c r="B741" s="8"/>
      <c r="C741" s="8"/>
      <c r="D741" s="8"/>
      <c r="G741" s="8"/>
    </row>
    <row r="742" ht="14.25" customHeight="1">
      <c r="B742" s="8"/>
      <c r="C742" s="8"/>
      <c r="D742" s="8"/>
      <c r="G742" s="8"/>
    </row>
    <row r="743" ht="14.25" customHeight="1">
      <c r="B743" s="8"/>
      <c r="C743" s="8"/>
      <c r="D743" s="8"/>
      <c r="G743" s="8"/>
    </row>
    <row r="744" ht="14.25" customHeight="1">
      <c r="B744" s="8"/>
      <c r="C744" s="8"/>
      <c r="D744" s="8"/>
      <c r="G744" s="8"/>
    </row>
    <row r="745" ht="14.25" customHeight="1">
      <c r="B745" s="8"/>
      <c r="C745" s="8"/>
      <c r="D745" s="8"/>
      <c r="G745" s="8"/>
    </row>
    <row r="746" ht="14.25" customHeight="1">
      <c r="B746" s="8"/>
      <c r="C746" s="8"/>
      <c r="D746" s="8"/>
      <c r="G746" s="8"/>
    </row>
    <row r="747" ht="14.25" customHeight="1">
      <c r="B747" s="8"/>
      <c r="C747" s="8"/>
      <c r="D747" s="8"/>
      <c r="G747" s="8"/>
    </row>
    <row r="748" ht="14.25" customHeight="1">
      <c r="B748" s="8"/>
      <c r="C748" s="8"/>
      <c r="D748" s="8"/>
      <c r="G748" s="8"/>
    </row>
    <row r="749" ht="14.25" customHeight="1">
      <c r="B749" s="8"/>
      <c r="C749" s="8"/>
      <c r="D749" s="8"/>
      <c r="G749" s="8"/>
    </row>
    <row r="750" ht="14.25" customHeight="1">
      <c r="B750" s="8"/>
      <c r="C750" s="8"/>
      <c r="D750" s="8"/>
      <c r="G750" s="8"/>
    </row>
    <row r="751" ht="14.25" customHeight="1">
      <c r="B751" s="8"/>
      <c r="C751" s="8"/>
      <c r="D751" s="8"/>
      <c r="G751" s="8"/>
    </row>
    <row r="752" ht="14.25" customHeight="1">
      <c r="B752" s="8"/>
      <c r="C752" s="8"/>
      <c r="D752" s="8"/>
      <c r="G752" s="8"/>
    </row>
    <row r="753" ht="14.25" customHeight="1">
      <c r="B753" s="8"/>
      <c r="C753" s="8"/>
      <c r="D753" s="8"/>
      <c r="G753" s="8"/>
    </row>
    <row r="754" ht="14.25" customHeight="1">
      <c r="B754" s="8"/>
      <c r="C754" s="8"/>
      <c r="D754" s="8"/>
      <c r="G754" s="8"/>
    </row>
    <row r="755" ht="14.25" customHeight="1">
      <c r="B755" s="8"/>
      <c r="C755" s="8"/>
      <c r="D755" s="8"/>
      <c r="G755" s="8"/>
    </row>
    <row r="756" ht="14.25" customHeight="1">
      <c r="B756" s="8"/>
      <c r="C756" s="8"/>
      <c r="D756" s="8"/>
      <c r="G756" s="8"/>
    </row>
    <row r="757" ht="14.25" customHeight="1">
      <c r="B757" s="8"/>
      <c r="C757" s="8"/>
      <c r="D757" s="8"/>
      <c r="G757" s="8"/>
    </row>
    <row r="758" ht="14.25" customHeight="1">
      <c r="B758" s="8"/>
      <c r="C758" s="8"/>
      <c r="D758" s="8"/>
      <c r="G758" s="8"/>
    </row>
    <row r="759" ht="14.25" customHeight="1">
      <c r="B759" s="8"/>
      <c r="C759" s="8"/>
      <c r="D759" s="8"/>
      <c r="G759" s="8"/>
    </row>
    <row r="760" ht="14.25" customHeight="1">
      <c r="B760" s="8"/>
      <c r="C760" s="8"/>
      <c r="D760" s="8"/>
      <c r="G760" s="8"/>
    </row>
    <row r="761" ht="14.25" customHeight="1">
      <c r="B761" s="8"/>
      <c r="C761" s="8"/>
      <c r="D761" s="8"/>
      <c r="G761" s="8"/>
    </row>
    <row r="762" ht="14.25" customHeight="1">
      <c r="B762" s="8"/>
      <c r="C762" s="8"/>
      <c r="D762" s="8"/>
      <c r="G762" s="8"/>
    </row>
    <row r="763" ht="14.25" customHeight="1">
      <c r="B763" s="8"/>
      <c r="C763" s="8"/>
      <c r="D763" s="8"/>
      <c r="G763" s="8"/>
    </row>
    <row r="764" ht="14.25" customHeight="1">
      <c r="B764" s="8"/>
      <c r="C764" s="8"/>
      <c r="D764" s="8"/>
      <c r="G764" s="8"/>
    </row>
    <row r="765" ht="14.25" customHeight="1">
      <c r="B765" s="8"/>
      <c r="C765" s="8"/>
      <c r="D765" s="8"/>
      <c r="G765" s="8"/>
    </row>
    <row r="766" ht="14.25" customHeight="1">
      <c r="B766" s="8"/>
      <c r="C766" s="8"/>
      <c r="D766" s="8"/>
      <c r="G766" s="8"/>
    </row>
    <row r="767" ht="14.25" customHeight="1">
      <c r="B767" s="8"/>
      <c r="C767" s="8"/>
      <c r="D767" s="8"/>
      <c r="G767" s="8"/>
    </row>
    <row r="768" ht="14.25" customHeight="1">
      <c r="B768" s="8"/>
      <c r="C768" s="8"/>
      <c r="D768" s="8"/>
      <c r="G768" s="8"/>
    </row>
    <row r="769" ht="14.25" customHeight="1">
      <c r="B769" s="8"/>
      <c r="C769" s="8"/>
      <c r="D769" s="8"/>
      <c r="G769" s="8"/>
    </row>
    <row r="770" ht="14.25" customHeight="1">
      <c r="B770" s="8"/>
      <c r="C770" s="8"/>
      <c r="D770" s="8"/>
      <c r="G770" s="8"/>
    </row>
    <row r="771" ht="14.25" customHeight="1">
      <c r="B771" s="8"/>
      <c r="C771" s="8"/>
      <c r="D771" s="8"/>
      <c r="G771" s="8"/>
    </row>
    <row r="772" ht="14.25" customHeight="1">
      <c r="B772" s="8"/>
      <c r="C772" s="8"/>
      <c r="D772" s="8"/>
      <c r="G772" s="8"/>
    </row>
    <row r="773" ht="14.25" customHeight="1">
      <c r="B773" s="8"/>
      <c r="C773" s="8"/>
      <c r="D773" s="8"/>
      <c r="G773" s="8"/>
    </row>
    <row r="774" ht="14.25" customHeight="1">
      <c r="B774" s="8"/>
      <c r="C774" s="8"/>
      <c r="D774" s="8"/>
      <c r="G774" s="8"/>
    </row>
    <row r="775" ht="14.25" customHeight="1">
      <c r="B775" s="8"/>
      <c r="C775" s="8"/>
      <c r="D775" s="8"/>
      <c r="G775" s="8"/>
    </row>
    <row r="776" ht="14.25" customHeight="1">
      <c r="B776" s="8"/>
      <c r="C776" s="8"/>
      <c r="D776" s="8"/>
      <c r="G776" s="8"/>
    </row>
    <row r="777" ht="14.25" customHeight="1">
      <c r="B777" s="8"/>
      <c r="C777" s="8"/>
      <c r="D777" s="8"/>
      <c r="G777" s="8"/>
    </row>
    <row r="778" ht="14.25" customHeight="1">
      <c r="B778" s="8"/>
      <c r="C778" s="8"/>
      <c r="D778" s="8"/>
      <c r="G778" s="8"/>
    </row>
    <row r="779" ht="14.25" customHeight="1">
      <c r="B779" s="8"/>
      <c r="C779" s="8"/>
      <c r="D779" s="8"/>
      <c r="G779" s="8"/>
    </row>
    <row r="780" ht="14.25" customHeight="1">
      <c r="B780" s="8"/>
      <c r="C780" s="8"/>
      <c r="D780" s="8"/>
      <c r="G780" s="8"/>
    </row>
    <row r="781" ht="14.25" customHeight="1">
      <c r="B781" s="8"/>
      <c r="C781" s="8"/>
      <c r="D781" s="8"/>
      <c r="G781" s="8"/>
    </row>
    <row r="782" ht="14.25" customHeight="1">
      <c r="B782" s="8"/>
      <c r="C782" s="8"/>
      <c r="D782" s="8"/>
      <c r="G782" s="8"/>
    </row>
    <row r="783" ht="14.25" customHeight="1">
      <c r="B783" s="8"/>
      <c r="C783" s="8"/>
      <c r="D783" s="8"/>
      <c r="G783" s="8"/>
    </row>
    <row r="784" ht="14.25" customHeight="1">
      <c r="B784" s="8"/>
      <c r="C784" s="8"/>
      <c r="D784" s="8"/>
      <c r="G784" s="8"/>
    </row>
    <row r="785" ht="14.25" customHeight="1">
      <c r="B785" s="8"/>
      <c r="C785" s="8"/>
      <c r="D785" s="8"/>
      <c r="G785" s="8"/>
    </row>
    <row r="786" ht="14.25" customHeight="1">
      <c r="B786" s="8"/>
      <c r="C786" s="8"/>
      <c r="D786" s="8"/>
      <c r="G786" s="8"/>
    </row>
    <row r="787" ht="14.25" customHeight="1">
      <c r="B787" s="8"/>
      <c r="C787" s="8"/>
      <c r="D787" s="8"/>
      <c r="G787" s="8"/>
    </row>
    <row r="788" ht="14.25" customHeight="1">
      <c r="B788" s="8"/>
      <c r="C788" s="8"/>
      <c r="D788" s="8"/>
      <c r="G788" s="8"/>
    </row>
    <row r="789" ht="14.25" customHeight="1">
      <c r="B789" s="8"/>
      <c r="C789" s="8"/>
      <c r="D789" s="8"/>
      <c r="G789" s="8"/>
    </row>
    <row r="790" ht="14.25" customHeight="1">
      <c r="B790" s="8"/>
      <c r="C790" s="8"/>
      <c r="D790" s="8"/>
      <c r="G790" s="8"/>
    </row>
    <row r="791" ht="14.25" customHeight="1">
      <c r="B791" s="8"/>
      <c r="C791" s="8"/>
      <c r="D791" s="8"/>
      <c r="G791" s="8"/>
    </row>
    <row r="792" ht="14.25" customHeight="1">
      <c r="B792" s="8"/>
      <c r="C792" s="8"/>
      <c r="D792" s="8"/>
      <c r="G792" s="8"/>
    </row>
    <row r="793" ht="14.25" customHeight="1">
      <c r="B793" s="8"/>
      <c r="C793" s="8"/>
      <c r="D793" s="8"/>
      <c r="G793" s="8"/>
    </row>
    <row r="794" ht="14.25" customHeight="1">
      <c r="B794" s="8"/>
      <c r="C794" s="8"/>
      <c r="D794" s="8"/>
      <c r="G794" s="8"/>
    </row>
    <row r="795" ht="14.25" customHeight="1">
      <c r="B795" s="8"/>
      <c r="C795" s="8"/>
      <c r="D795" s="8"/>
      <c r="G795" s="8"/>
    </row>
    <row r="796" ht="14.25" customHeight="1">
      <c r="B796" s="8"/>
      <c r="C796" s="8"/>
      <c r="D796" s="8"/>
      <c r="G796" s="8"/>
    </row>
    <row r="797" ht="14.25" customHeight="1">
      <c r="B797" s="8"/>
      <c r="C797" s="8"/>
      <c r="D797" s="8"/>
      <c r="G797" s="8"/>
    </row>
    <row r="798" ht="14.25" customHeight="1">
      <c r="B798" s="8"/>
      <c r="C798" s="8"/>
      <c r="D798" s="8"/>
      <c r="G798" s="8"/>
    </row>
    <row r="799" ht="14.25" customHeight="1">
      <c r="B799" s="8"/>
      <c r="C799" s="8"/>
      <c r="D799" s="8"/>
      <c r="G799" s="8"/>
    </row>
    <row r="800" ht="14.25" customHeight="1">
      <c r="B800" s="8"/>
      <c r="C800" s="8"/>
      <c r="D800" s="8"/>
      <c r="G800" s="8"/>
    </row>
    <row r="801" ht="14.25" customHeight="1">
      <c r="B801" s="8"/>
      <c r="C801" s="8"/>
      <c r="D801" s="8"/>
      <c r="G801" s="8"/>
    </row>
    <row r="802" ht="14.25" customHeight="1">
      <c r="B802" s="8"/>
      <c r="C802" s="8"/>
      <c r="D802" s="8"/>
      <c r="G802" s="8"/>
    </row>
    <row r="803" ht="14.25" customHeight="1">
      <c r="B803" s="8"/>
      <c r="C803" s="8"/>
      <c r="D803" s="8"/>
      <c r="G803" s="8"/>
    </row>
    <row r="804" ht="14.25" customHeight="1">
      <c r="B804" s="8"/>
      <c r="C804" s="8"/>
      <c r="D804" s="8"/>
      <c r="G804" s="8"/>
    </row>
    <row r="805" ht="14.25" customHeight="1">
      <c r="B805" s="8"/>
      <c r="C805" s="8"/>
      <c r="D805" s="8"/>
      <c r="G805" s="8"/>
    </row>
    <row r="806" ht="14.25" customHeight="1">
      <c r="B806" s="8"/>
      <c r="C806" s="8"/>
      <c r="D806" s="8"/>
      <c r="G806" s="8"/>
    </row>
    <row r="807" ht="14.25" customHeight="1">
      <c r="B807" s="8"/>
      <c r="C807" s="8"/>
      <c r="D807" s="8"/>
      <c r="G807" s="8"/>
    </row>
    <row r="808" ht="14.25" customHeight="1">
      <c r="B808" s="8"/>
      <c r="C808" s="8"/>
      <c r="D808" s="8"/>
      <c r="G808" s="8"/>
    </row>
    <row r="809" ht="14.25" customHeight="1">
      <c r="B809" s="8"/>
      <c r="C809" s="8"/>
      <c r="D809" s="8"/>
      <c r="G809" s="8"/>
    </row>
    <row r="810" ht="14.25" customHeight="1">
      <c r="B810" s="8"/>
      <c r="C810" s="8"/>
      <c r="D810" s="8"/>
      <c r="G810" s="8"/>
    </row>
    <row r="811" ht="14.25" customHeight="1">
      <c r="B811" s="8"/>
      <c r="C811" s="8"/>
      <c r="D811" s="8"/>
      <c r="G811" s="8"/>
    </row>
    <row r="812" ht="14.25" customHeight="1">
      <c r="B812" s="8"/>
      <c r="C812" s="8"/>
      <c r="D812" s="8"/>
      <c r="G812" s="8"/>
    </row>
    <row r="813" ht="14.25" customHeight="1">
      <c r="B813" s="8"/>
      <c r="C813" s="8"/>
      <c r="D813" s="8"/>
      <c r="G813" s="8"/>
    </row>
    <row r="814" ht="14.25" customHeight="1">
      <c r="B814" s="8"/>
      <c r="C814" s="8"/>
      <c r="D814" s="8"/>
      <c r="G814" s="8"/>
    </row>
    <row r="815" ht="14.25" customHeight="1">
      <c r="B815" s="8"/>
      <c r="C815" s="8"/>
      <c r="D815" s="8"/>
      <c r="G815" s="8"/>
    </row>
    <row r="816" ht="14.25" customHeight="1">
      <c r="B816" s="8"/>
      <c r="C816" s="8"/>
      <c r="D816" s="8"/>
      <c r="G816" s="8"/>
    </row>
    <row r="817" ht="14.25" customHeight="1">
      <c r="B817" s="8"/>
      <c r="C817" s="8"/>
      <c r="D817" s="8"/>
      <c r="G817" s="8"/>
    </row>
    <row r="818" ht="14.25" customHeight="1">
      <c r="B818" s="8"/>
      <c r="C818" s="8"/>
      <c r="D818" s="8"/>
      <c r="G818" s="8"/>
    </row>
    <row r="819" ht="14.25" customHeight="1">
      <c r="B819" s="8"/>
      <c r="C819" s="8"/>
      <c r="D819" s="8"/>
      <c r="G819" s="8"/>
    </row>
    <row r="820" ht="14.25" customHeight="1">
      <c r="B820" s="8"/>
      <c r="C820" s="8"/>
      <c r="D820" s="8"/>
      <c r="G820" s="8"/>
    </row>
    <row r="821" ht="14.25" customHeight="1">
      <c r="B821" s="8"/>
      <c r="C821" s="8"/>
      <c r="D821" s="8"/>
      <c r="G821" s="8"/>
    </row>
    <row r="822" ht="14.25" customHeight="1">
      <c r="B822" s="8"/>
      <c r="C822" s="8"/>
      <c r="D822" s="8"/>
      <c r="G822" s="8"/>
    </row>
    <row r="823" ht="14.25" customHeight="1">
      <c r="B823" s="8"/>
      <c r="C823" s="8"/>
      <c r="D823" s="8"/>
      <c r="G823" s="8"/>
    </row>
    <row r="824" ht="14.25" customHeight="1">
      <c r="B824" s="8"/>
      <c r="C824" s="8"/>
      <c r="D824" s="8"/>
      <c r="G824" s="8"/>
    </row>
    <row r="825" ht="14.25" customHeight="1">
      <c r="B825" s="8"/>
      <c r="C825" s="8"/>
      <c r="D825" s="8"/>
      <c r="G825" s="8"/>
    </row>
    <row r="826" ht="14.25" customHeight="1">
      <c r="B826" s="8"/>
      <c r="C826" s="8"/>
      <c r="D826" s="8"/>
      <c r="G826" s="8"/>
    </row>
    <row r="827" ht="14.25" customHeight="1">
      <c r="B827" s="8"/>
      <c r="C827" s="8"/>
      <c r="D827" s="8"/>
      <c r="G827" s="8"/>
    </row>
    <row r="828" ht="14.25" customHeight="1">
      <c r="B828" s="8"/>
      <c r="C828" s="8"/>
      <c r="D828" s="8"/>
      <c r="G828" s="8"/>
    </row>
    <row r="829" ht="14.25" customHeight="1">
      <c r="B829" s="8"/>
      <c r="C829" s="8"/>
      <c r="D829" s="8"/>
      <c r="G829" s="8"/>
    </row>
    <row r="830" ht="14.25" customHeight="1">
      <c r="B830" s="8"/>
      <c r="C830" s="8"/>
      <c r="D830" s="8"/>
      <c r="G830" s="8"/>
    </row>
    <row r="831" ht="14.25" customHeight="1">
      <c r="B831" s="8"/>
      <c r="C831" s="8"/>
      <c r="D831" s="8"/>
      <c r="G831" s="8"/>
    </row>
    <row r="832" ht="14.25" customHeight="1">
      <c r="B832" s="8"/>
      <c r="C832" s="8"/>
      <c r="D832" s="8"/>
      <c r="G832" s="8"/>
    </row>
    <row r="833" ht="14.25" customHeight="1">
      <c r="B833" s="8"/>
      <c r="C833" s="8"/>
      <c r="D833" s="8"/>
      <c r="G833" s="8"/>
    </row>
    <row r="834" ht="14.25" customHeight="1">
      <c r="B834" s="8"/>
      <c r="C834" s="8"/>
      <c r="D834" s="8"/>
      <c r="G834" s="8"/>
    </row>
    <row r="835" ht="14.25" customHeight="1">
      <c r="B835" s="8"/>
      <c r="C835" s="8"/>
      <c r="D835" s="8"/>
      <c r="G835" s="8"/>
    </row>
    <row r="836" ht="14.25" customHeight="1">
      <c r="B836" s="8"/>
      <c r="C836" s="8"/>
      <c r="D836" s="8"/>
      <c r="G836" s="8"/>
    </row>
    <row r="837" ht="14.25" customHeight="1">
      <c r="B837" s="8"/>
      <c r="C837" s="8"/>
      <c r="D837" s="8"/>
      <c r="G837" s="8"/>
    </row>
    <row r="838" ht="14.25" customHeight="1">
      <c r="B838" s="8"/>
      <c r="C838" s="8"/>
      <c r="D838" s="8"/>
      <c r="G838" s="8"/>
    </row>
    <row r="839" ht="14.25" customHeight="1">
      <c r="B839" s="8"/>
      <c r="C839" s="8"/>
      <c r="D839" s="8"/>
      <c r="G839" s="8"/>
    </row>
    <row r="840" ht="14.25" customHeight="1">
      <c r="B840" s="8"/>
      <c r="C840" s="8"/>
      <c r="D840" s="8"/>
      <c r="G840" s="8"/>
    </row>
    <row r="841" ht="14.25" customHeight="1">
      <c r="B841" s="8"/>
      <c r="C841" s="8"/>
      <c r="D841" s="8"/>
      <c r="G841" s="8"/>
    </row>
    <row r="842" ht="14.25" customHeight="1">
      <c r="B842" s="8"/>
      <c r="C842" s="8"/>
      <c r="D842" s="8"/>
      <c r="G842" s="8"/>
    </row>
    <row r="843" ht="14.25" customHeight="1">
      <c r="B843" s="8"/>
      <c r="C843" s="8"/>
      <c r="D843" s="8"/>
      <c r="G843" s="8"/>
    </row>
    <row r="844" ht="14.25" customHeight="1">
      <c r="B844" s="8"/>
      <c r="C844" s="8"/>
      <c r="D844" s="8"/>
      <c r="G844" s="8"/>
    </row>
    <row r="845" ht="14.25" customHeight="1">
      <c r="B845" s="8"/>
      <c r="C845" s="8"/>
      <c r="D845" s="8"/>
      <c r="G845" s="8"/>
    </row>
    <row r="846" ht="14.25" customHeight="1">
      <c r="B846" s="8"/>
      <c r="C846" s="8"/>
      <c r="D846" s="8"/>
      <c r="G846" s="8"/>
    </row>
    <row r="847" ht="14.25" customHeight="1">
      <c r="B847" s="8"/>
      <c r="C847" s="8"/>
      <c r="D847" s="8"/>
      <c r="G847" s="8"/>
    </row>
    <row r="848" ht="14.25" customHeight="1">
      <c r="B848" s="8"/>
      <c r="C848" s="8"/>
      <c r="D848" s="8"/>
      <c r="G848" s="8"/>
    </row>
    <row r="849" ht="14.25" customHeight="1">
      <c r="B849" s="8"/>
      <c r="C849" s="8"/>
      <c r="D849" s="8"/>
      <c r="G849" s="8"/>
    </row>
    <row r="850" ht="14.25" customHeight="1">
      <c r="B850" s="8"/>
      <c r="C850" s="8"/>
      <c r="D850" s="8"/>
      <c r="G850" s="8"/>
    </row>
    <row r="851" ht="14.25" customHeight="1">
      <c r="B851" s="8"/>
      <c r="C851" s="8"/>
      <c r="D851" s="8"/>
      <c r="G851" s="8"/>
    </row>
    <row r="852" ht="14.25" customHeight="1">
      <c r="B852" s="8"/>
      <c r="C852" s="8"/>
      <c r="D852" s="8"/>
      <c r="G852" s="8"/>
    </row>
    <row r="853" ht="14.25" customHeight="1">
      <c r="B853" s="8"/>
      <c r="C853" s="8"/>
      <c r="D853" s="8"/>
      <c r="G853" s="8"/>
    </row>
    <row r="854" ht="14.25" customHeight="1">
      <c r="B854" s="8"/>
      <c r="C854" s="8"/>
      <c r="D854" s="8"/>
      <c r="G854" s="8"/>
    </row>
    <row r="855" ht="14.25" customHeight="1">
      <c r="B855" s="8"/>
      <c r="C855" s="8"/>
      <c r="D855" s="8"/>
      <c r="G855" s="8"/>
    </row>
    <row r="856" ht="14.25" customHeight="1">
      <c r="B856" s="8"/>
      <c r="C856" s="8"/>
      <c r="D856" s="8"/>
      <c r="G856" s="8"/>
    </row>
    <row r="857" ht="14.25" customHeight="1">
      <c r="B857" s="8"/>
      <c r="C857" s="8"/>
      <c r="D857" s="8"/>
      <c r="G857" s="8"/>
    </row>
    <row r="858" ht="14.25" customHeight="1">
      <c r="B858" s="8"/>
      <c r="C858" s="8"/>
      <c r="D858" s="8"/>
      <c r="G858" s="8"/>
    </row>
    <row r="859" ht="14.25" customHeight="1">
      <c r="B859" s="8"/>
      <c r="C859" s="8"/>
      <c r="D859" s="8"/>
      <c r="G859" s="8"/>
    </row>
    <row r="860" ht="14.25" customHeight="1">
      <c r="B860" s="8"/>
      <c r="C860" s="8"/>
      <c r="D860" s="8"/>
      <c r="G860" s="8"/>
    </row>
    <row r="861" ht="14.25" customHeight="1">
      <c r="B861" s="8"/>
      <c r="C861" s="8"/>
      <c r="D861" s="8"/>
      <c r="G861" s="8"/>
    </row>
    <row r="862" ht="14.25" customHeight="1">
      <c r="B862" s="8"/>
      <c r="C862" s="8"/>
      <c r="D862" s="8"/>
      <c r="G862" s="8"/>
    </row>
    <row r="863" ht="14.25" customHeight="1">
      <c r="B863" s="8"/>
      <c r="C863" s="8"/>
      <c r="D863" s="8"/>
      <c r="G863" s="8"/>
    </row>
    <row r="864" ht="14.25" customHeight="1">
      <c r="B864" s="8"/>
      <c r="C864" s="8"/>
      <c r="D864" s="8"/>
      <c r="G864" s="8"/>
    </row>
    <row r="865" ht="14.25" customHeight="1">
      <c r="B865" s="8"/>
      <c r="C865" s="8"/>
      <c r="D865" s="8"/>
      <c r="G865" s="8"/>
    </row>
    <row r="866" ht="14.25" customHeight="1">
      <c r="B866" s="8"/>
      <c r="C866" s="8"/>
      <c r="D866" s="8"/>
      <c r="G866" s="8"/>
    </row>
    <row r="867" ht="14.25" customHeight="1">
      <c r="B867" s="8"/>
      <c r="C867" s="8"/>
      <c r="D867" s="8"/>
      <c r="G867" s="8"/>
    </row>
    <row r="868" ht="14.25" customHeight="1">
      <c r="B868" s="8"/>
      <c r="C868" s="8"/>
      <c r="D868" s="8"/>
      <c r="G868" s="8"/>
    </row>
    <row r="869" ht="14.25" customHeight="1">
      <c r="B869" s="8"/>
      <c r="C869" s="8"/>
      <c r="D869" s="8"/>
      <c r="G869" s="8"/>
    </row>
    <row r="870" ht="14.25" customHeight="1">
      <c r="B870" s="8"/>
      <c r="C870" s="8"/>
      <c r="D870" s="8"/>
      <c r="G870" s="8"/>
    </row>
    <row r="871" ht="14.25" customHeight="1">
      <c r="B871" s="8"/>
      <c r="C871" s="8"/>
      <c r="D871" s="8"/>
      <c r="G871" s="8"/>
    </row>
    <row r="872" ht="14.25" customHeight="1">
      <c r="B872" s="8"/>
      <c r="C872" s="8"/>
      <c r="D872" s="8"/>
      <c r="G872" s="8"/>
    </row>
    <row r="873" ht="14.25" customHeight="1">
      <c r="B873" s="8"/>
      <c r="C873" s="8"/>
      <c r="D873" s="8"/>
      <c r="G873" s="8"/>
    </row>
    <row r="874" ht="14.25" customHeight="1">
      <c r="B874" s="8"/>
      <c r="C874" s="8"/>
      <c r="D874" s="8"/>
      <c r="G874" s="8"/>
    </row>
    <row r="875" ht="14.25" customHeight="1">
      <c r="B875" s="8"/>
      <c r="C875" s="8"/>
      <c r="D875" s="8"/>
      <c r="G875" s="8"/>
    </row>
    <row r="876" ht="14.25" customHeight="1">
      <c r="B876" s="8"/>
      <c r="C876" s="8"/>
      <c r="D876" s="8"/>
      <c r="G876" s="8"/>
    </row>
    <row r="877" ht="14.25" customHeight="1">
      <c r="B877" s="8"/>
      <c r="C877" s="8"/>
      <c r="D877" s="8"/>
      <c r="G877" s="8"/>
    </row>
    <row r="878" ht="14.25" customHeight="1">
      <c r="B878" s="8"/>
      <c r="C878" s="8"/>
      <c r="D878" s="8"/>
      <c r="G878" s="8"/>
    </row>
    <row r="879" ht="14.25" customHeight="1">
      <c r="B879" s="8"/>
      <c r="C879" s="8"/>
      <c r="D879" s="8"/>
      <c r="G879" s="8"/>
    </row>
    <row r="880" ht="14.25" customHeight="1">
      <c r="B880" s="8"/>
      <c r="C880" s="8"/>
      <c r="D880" s="8"/>
      <c r="G880" s="8"/>
    </row>
    <row r="881" ht="14.25" customHeight="1">
      <c r="B881" s="8"/>
      <c r="C881" s="8"/>
      <c r="D881" s="8"/>
      <c r="G881" s="8"/>
    </row>
    <row r="882" ht="14.25" customHeight="1">
      <c r="B882" s="8"/>
      <c r="C882" s="8"/>
      <c r="D882" s="8"/>
      <c r="G882" s="8"/>
    </row>
    <row r="883" ht="14.25" customHeight="1">
      <c r="B883" s="8"/>
      <c r="C883" s="8"/>
      <c r="D883" s="8"/>
      <c r="G883" s="8"/>
    </row>
    <row r="884" ht="14.25" customHeight="1">
      <c r="B884" s="8"/>
      <c r="C884" s="8"/>
      <c r="D884" s="8"/>
      <c r="G884" s="8"/>
    </row>
    <row r="885" ht="14.25" customHeight="1">
      <c r="B885" s="8"/>
      <c r="C885" s="8"/>
      <c r="D885" s="8"/>
      <c r="G885" s="8"/>
    </row>
    <row r="886" ht="14.25" customHeight="1">
      <c r="B886" s="8"/>
      <c r="C886" s="8"/>
      <c r="D886" s="8"/>
      <c r="G886" s="8"/>
    </row>
    <row r="887" ht="14.25" customHeight="1">
      <c r="B887" s="8"/>
      <c r="C887" s="8"/>
      <c r="D887" s="8"/>
      <c r="G887" s="8"/>
    </row>
    <row r="888" ht="14.25" customHeight="1">
      <c r="B888" s="8"/>
      <c r="C888" s="8"/>
      <c r="D888" s="8"/>
      <c r="G888" s="8"/>
    </row>
    <row r="889" ht="14.25" customHeight="1">
      <c r="B889" s="8"/>
      <c r="C889" s="8"/>
      <c r="D889" s="8"/>
      <c r="G889" s="8"/>
    </row>
    <row r="890" ht="14.25" customHeight="1">
      <c r="B890" s="8"/>
      <c r="C890" s="8"/>
      <c r="D890" s="8"/>
      <c r="G890" s="8"/>
    </row>
    <row r="891" ht="14.25" customHeight="1">
      <c r="B891" s="8"/>
      <c r="C891" s="8"/>
      <c r="D891" s="8"/>
      <c r="G891" s="8"/>
    </row>
    <row r="892" ht="14.25" customHeight="1">
      <c r="B892" s="8"/>
      <c r="C892" s="8"/>
      <c r="D892" s="8"/>
      <c r="G892" s="8"/>
    </row>
    <row r="893" ht="14.25" customHeight="1">
      <c r="B893" s="8"/>
      <c r="C893" s="8"/>
      <c r="D893" s="8"/>
      <c r="G893" s="8"/>
    </row>
    <row r="894" ht="14.25" customHeight="1">
      <c r="B894" s="8"/>
      <c r="C894" s="8"/>
      <c r="D894" s="8"/>
      <c r="G894" s="8"/>
    </row>
    <row r="895" ht="14.25" customHeight="1">
      <c r="B895" s="8"/>
      <c r="C895" s="8"/>
      <c r="D895" s="8"/>
      <c r="G895" s="8"/>
    </row>
    <row r="896" ht="14.25" customHeight="1">
      <c r="B896" s="8"/>
      <c r="C896" s="8"/>
      <c r="D896" s="8"/>
      <c r="G896" s="8"/>
    </row>
    <row r="897" ht="14.25" customHeight="1">
      <c r="B897" s="8"/>
      <c r="C897" s="8"/>
      <c r="D897" s="8"/>
      <c r="G897" s="8"/>
    </row>
    <row r="898" ht="14.25" customHeight="1">
      <c r="B898" s="8"/>
      <c r="C898" s="8"/>
      <c r="D898" s="8"/>
      <c r="G898" s="8"/>
    </row>
    <row r="899" ht="14.25" customHeight="1">
      <c r="B899" s="8"/>
      <c r="C899" s="8"/>
      <c r="D899" s="8"/>
      <c r="G899" s="8"/>
    </row>
    <row r="900" ht="14.25" customHeight="1">
      <c r="B900" s="8"/>
      <c r="C900" s="8"/>
      <c r="D900" s="8"/>
      <c r="G900" s="8"/>
    </row>
    <row r="901" ht="14.25" customHeight="1">
      <c r="B901" s="8"/>
      <c r="C901" s="8"/>
      <c r="D901" s="8"/>
      <c r="G901" s="8"/>
    </row>
    <row r="902" ht="14.25" customHeight="1">
      <c r="B902" s="8"/>
      <c r="C902" s="8"/>
      <c r="D902" s="8"/>
      <c r="G902" s="8"/>
    </row>
    <row r="903" ht="14.25" customHeight="1">
      <c r="B903" s="8"/>
      <c r="C903" s="8"/>
      <c r="D903" s="8"/>
      <c r="G903" s="8"/>
    </row>
    <row r="904" ht="14.25" customHeight="1">
      <c r="B904" s="8"/>
      <c r="C904" s="8"/>
      <c r="D904" s="8"/>
      <c r="G904" s="8"/>
    </row>
    <row r="905" ht="14.25" customHeight="1">
      <c r="B905" s="8"/>
      <c r="C905" s="8"/>
      <c r="D905" s="8"/>
      <c r="G905" s="8"/>
    </row>
    <row r="906" ht="14.25" customHeight="1">
      <c r="B906" s="8"/>
      <c r="C906" s="8"/>
      <c r="D906" s="8"/>
      <c r="G906" s="8"/>
    </row>
    <row r="907" ht="14.25" customHeight="1">
      <c r="B907" s="8"/>
      <c r="C907" s="8"/>
      <c r="D907" s="8"/>
      <c r="G907" s="8"/>
    </row>
    <row r="908" ht="14.25" customHeight="1">
      <c r="B908" s="8"/>
      <c r="C908" s="8"/>
      <c r="D908" s="8"/>
      <c r="G908" s="8"/>
    </row>
    <row r="909" ht="14.25" customHeight="1">
      <c r="B909" s="8"/>
      <c r="C909" s="8"/>
      <c r="D909" s="8"/>
      <c r="G909" s="8"/>
    </row>
    <row r="910" ht="14.25" customHeight="1">
      <c r="B910" s="8"/>
      <c r="C910" s="8"/>
      <c r="D910" s="8"/>
      <c r="G910" s="8"/>
    </row>
    <row r="911" ht="14.25" customHeight="1">
      <c r="B911" s="8"/>
      <c r="C911" s="8"/>
      <c r="D911" s="8"/>
      <c r="G911" s="8"/>
    </row>
    <row r="912" ht="14.25" customHeight="1">
      <c r="B912" s="8"/>
      <c r="C912" s="8"/>
      <c r="D912" s="8"/>
      <c r="G912" s="8"/>
    </row>
    <row r="913" ht="14.25" customHeight="1">
      <c r="B913" s="8"/>
      <c r="C913" s="8"/>
      <c r="D913" s="8"/>
      <c r="G913" s="8"/>
    </row>
    <row r="914" ht="14.25" customHeight="1">
      <c r="B914" s="8"/>
      <c r="C914" s="8"/>
      <c r="D914" s="8"/>
      <c r="G914" s="8"/>
    </row>
    <row r="915" ht="14.25" customHeight="1">
      <c r="B915" s="8"/>
      <c r="C915" s="8"/>
      <c r="D915" s="8"/>
      <c r="G915" s="8"/>
    </row>
    <row r="916" ht="14.25" customHeight="1">
      <c r="B916" s="8"/>
      <c r="C916" s="8"/>
      <c r="D916" s="8"/>
      <c r="G916" s="8"/>
    </row>
    <row r="917" ht="14.25" customHeight="1">
      <c r="B917" s="8"/>
      <c r="C917" s="8"/>
      <c r="D917" s="8"/>
      <c r="G917" s="8"/>
    </row>
    <row r="918" ht="14.25" customHeight="1">
      <c r="B918" s="8"/>
      <c r="C918" s="8"/>
      <c r="D918" s="8"/>
      <c r="G918" s="8"/>
    </row>
    <row r="919" ht="14.25" customHeight="1">
      <c r="B919" s="8"/>
      <c r="C919" s="8"/>
      <c r="D919" s="8"/>
      <c r="G919" s="8"/>
    </row>
    <row r="920" ht="14.25" customHeight="1">
      <c r="B920" s="8"/>
      <c r="C920" s="8"/>
      <c r="D920" s="8"/>
      <c r="G920" s="8"/>
    </row>
    <row r="921" ht="14.25" customHeight="1">
      <c r="B921" s="8"/>
      <c r="C921" s="8"/>
      <c r="D921" s="8"/>
      <c r="G921" s="8"/>
    </row>
    <row r="922" ht="14.25" customHeight="1">
      <c r="B922" s="8"/>
      <c r="C922" s="8"/>
      <c r="D922" s="8"/>
      <c r="G922" s="8"/>
    </row>
    <row r="923" ht="14.25" customHeight="1">
      <c r="B923" s="8"/>
      <c r="C923" s="8"/>
      <c r="D923" s="8"/>
      <c r="G923" s="8"/>
    </row>
    <row r="924" ht="14.25" customHeight="1">
      <c r="B924" s="8"/>
      <c r="C924" s="8"/>
      <c r="D924" s="8"/>
      <c r="G924" s="8"/>
    </row>
    <row r="925" ht="14.25" customHeight="1">
      <c r="B925" s="8"/>
      <c r="C925" s="8"/>
      <c r="D925" s="8"/>
      <c r="G925" s="8"/>
    </row>
    <row r="926" ht="14.25" customHeight="1">
      <c r="B926" s="8"/>
      <c r="C926" s="8"/>
      <c r="D926" s="8"/>
      <c r="G926" s="8"/>
    </row>
    <row r="927" ht="14.25" customHeight="1">
      <c r="B927" s="8"/>
      <c r="C927" s="8"/>
      <c r="D927" s="8"/>
      <c r="G927" s="8"/>
    </row>
    <row r="928" ht="14.25" customHeight="1">
      <c r="B928" s="8"/>
      <c r="C928" s="8"/>
      <c r="D928" s="8"/>
      <c r="G928" s="8"/>
    </row>
    <row r="929" ht="14.25" customHeight="1">
      <c r="B929" s="8"/>
      <c r="C929" s="8"/>
      <c r="D929" s="8"/>
      <c r="G929" s="8"/>
    </row>
    <row r="930" ht="14.25" customHeight="1">
      <c r="B930" s="8"/>
      <c r="C930" s="8"/>
      <c r="D930" s="8"/>
      <c r="G930" s="8"/>
    </row>
    <row r="931" ht="14.25" customHeight="1">
      <c r="B931" s="8"/>
      <c r="C931" s="8"/>
      <c r="D931" s="8"/>
      <c r="G931" s="8"/>
    </row>
    <row r="932" ht="14.25" customHeight="1">
      <c r="B932" s="8"/>
      <c r="C932" s="8"/>
      <c r="D932" s="8"/>
      <c r="G932" s="8"/>
    </row>
    <row r="933" ht="14.25" customHeight="1">
      <c r="B933" s="8"/>
      <c r="C933" s="8"/>
      <c r="D933" s="8"/>
      <c r="G933" s="8"/>
    </row>
    <row r="934" ht="14.25" customHeight="1">
      <c r="B934" s="8"/>
      <c r="C934" s="8"/>
      <c r="D934" s="8"/>
      <c r="G934" s="8"/>
    </row>
    <row r="935" ht="14.25" customHeight="1">
      <c r="B935" s="8"/>
      <c r="C935" s="8"/>
      <c r="D935" s="8"/>
      <c r="G935" s="8"/>
    </row>
    <row r="936" ht="14.25" customHeight="1">
      <c r="B936" s="8"/>
      <c r="C936" s="8"/>
      <c r="D936" s="8"/>
      <c r="G936" s="8"/>
    </row>
    <row r="937" ht="14.25" customHeight="1">
      <c r="B937" s="8"/>
      <c r="C937" s="8"/>
      <c r="D937" s="8"/>
      <c r="G937" s="8"/>
    </row>
    <row r="938" ht="14.25" customHeight="1">
      <c r="B938" s="8"/>
      <c r="C938" s="8"/>
      <c r="D938" s="8"/>
      <c r="G938" s="8"/>
    </row>
    <row r="939" ht="14.25" customHeight="1">
      <c r="B939" s="8"/>
      <c r="C939" s="8"/>
      <c r="D939" s="8"/>
      <c r="G939" s="8"/>
    </row>
    <row r="940" ht="14.25" customHeight="1">
      <c r="B940" s="8"/>
      <c r="C940" s="8"/>
      <c r="D940" s="8"/>
      <c r="G940" s="8"/>
    </row>
    <row r="941" ht="14.25" customHeight="1">
      <c r="B941" s="8"/>
      <c r="C941" s="8"/>
      <c r="D941" s="8"/>
      <c r="G941" s="8"/>
    </row>
    <row r="942" ht="14.25" customHeight="1">
      <c r="B942" s="8"/>
      <c r="C942" s="8"/>
      <c r="D942" s="8"/>
      <c r="G942" s="8"/>
    </row>
    <row r="943" ht="14.25" customHeight="1">
      <c r="B943" s="8"/>
      <c r="C943" s="8"/>
      <c r="D943" s="8"/>
      <c r="G943" s="8"/>
    </row>
    <row r="944" ht="14.25" customHeight="1">
      <c r="B944" s="8"/>
      <c r="C944" s="8"/>
      <c r="D944" s="8"/>
      <c r="G944" s="8"/>
    </row>
    <row r="945" ht="14.25" customHeight="1">
      <c r="B945" s="8"/>
      <c r="C945" s="8"/>
      <c r="D945" s="8"/>
      <c r="G945" s="8"/>
    </row>
    <row r="946" ht="14.25" customHeight="1">
      <c r="B946" s="8"/>
      <c r="C946" s="8"/>
      <c r="D946" s="8"/>
      <c r="G946" s="8"/>
    </row>
    <row r="947" ht="14.25" customHeight="1">
      <c r="B947" s="8"/>
      <c r="C947" s="8"/>
      <c r="D947" s="8"/>
      <c r="G947" s="8"/>
    </row>
    <row r="948" ht="14.25" customHeight="1">
      <c r="B948" s="8"/>
      <c r="C948" s="8"/>
      <c r="D948" s="8"/>
      <c r="G948" s="8"/>
    </row>
    <row r="949" ht="14.25" customHeight="1">
      <c r="B949" s="8"/>
      <c r="C949" s="8"/>
      <c r="D949" s="8"/>
      <c r="G949" s="8"/>
    </row>
    <row r="950" ht="14.25" customHeight="1">
      <c r="B950" s="8"/>
      <c r="C950" s="8"/>
      <c r="D950" s="8"/>
      <c r="G950" s="8"/>
    </row>
    <row r="951" ht="14.25" customHeight="1">
      <c r="B951" s="8"/>
      <c r="C951" s="8"/>
      <c r="D951" s="8"/>
      <c r="G951" s="8"/>
    </row>
    <row r="952" ht="14.25" customHeight="1">
      <c r="B952" s="8"/>
      <c r="C952" s="8"/>
      <c r="D952" s="8"/>
      <c r="G952" s="8"/>
    </row>
    <row r="953" ht="14.25" customHeight="1">
      <c r="B953" s="8"/>
      <c r="C953" s="8"/>
      <c r="D953" s="8"/>
      <c r="G953" s="8"/>
    </row>
    <row r="954" ht="14.25" customHeight="1">
      <c r="B954" s="8"/>
      <c r="C954" s="8"/>
      <c r="D954" s="8"/>
      <c r="G954" s="8"/>
    </row>
    <row r="955" ht="14.25" customHeight="1">
      <c r="B955" s="8"/>
      <c r="C955" s="8"/>
      <c r="D955" s="8"/>
      <c r="G955" s="8"/>
    </row>
    <row r="956" ht="14.25" customHeight="1">
      <c r="B956" s="8"/>
      <c r="C956" s="8"/>
      <c r="D956" s="8"/>
      <c r="G956" s="8"/>
    </row>
    <row r="957" ht="14.25" customHeight="1">
      <c r="B957" s="8"/>
      <c r="C957" s="8"/>
      <c r="D957" s="8"/>
      <c r="G957" s="8"/>
    </row>
    <row r="958" ht="14.25" customHeight="1">
      <c r="B958" s="8"/>
      <c r="C958" s="8"/>
      <c r="D958" s="8"/>
      <c r="G958" s="8"/>
    </row>
    <row r="959" ht="14.25" customHeight="1">
      <c r="B959" s="8"/>
      <c r="C959" s="8"/>
      <c r="D959" s="8"/>
      <c r="G959" s="8"/>
    </row>
    <row r="960" ht="14.25" customHeight="1">
      <c r="B960" s="8"/>
      <c r="C960" s="8"/>
      <c r="D960" s="8"/>
      <c r="G960" s="8"/>
    </row>
    <row r="961" ht="14.25" customHeight="1">
      <c r="B961" s="8"/>
      <c r="C961" s="8"/>
      <c r="D961" s="8"/>
      <c r="G961" s="8"/>
    </row>
    <row r="962" ht="14.25" customHeight="1">
      <c r="B962" s="8"/>
      <c r="C962" s="8"/>
      <c r="D962" s="8"/>
      <c r="G962" s="8"/>
    </row>
    <row r="963" ht="14.25" customHeight="1">
      <c r="B963" s="8"/>
      <c r="C963" s="8"/>
      <c r="D963" s="8"/>
      <c r="G963" s="8"/>
    </row>
    <row r="964" ht="14.25" customHeight="1">
      <c r="B964" s="8"/>
      <c r="C964" s="8"/>
      <c r="D964" s="8"/>
      <c r="G964" s="8"/>
    </row>
    <row r="965" ht="14.25" customHeight="1">
      <c r="B965" s="8"/>
      <c r="C965" s="8"/>
      <c r="D965" s="8"/>
      <c r="G965" s="8"/>
    </row>
    <row r="966" ht="14.25" customHeight="1">
      <c r="B966" s="8"/>
      <c r="C966" s="8"/>
      <c r="D966" s="8"/>
      <c r="G966" s="8"/>
    </row>
    <row r="967" ht="14.25" customHeight="1">
      <c r="B967" s="8"/>
      <c r="C967" s="8"/>
      <c r="D967" s="8"/>
      <c r="G967" s="8"/>
    </row>
    <row r="968" ht="14.25" customHeight="1">
      <c r="B968" s="8"/>
      <c r="C968" s="8"/>
      <c r="D968" s="8"/>
      <c r="G968" s="8"/>
    </row>
    <row r="969" ht="14.25" customHeight="1">
      <c r="B969" s="8"/>
      <c r="C969" s="8"/>
      <c r="D969" s="8"/>
      <c r="G969" s="8"/>
    </row>
    <row r="970" ht="14.25" customHeight="1">
      <c r="B970" s="8"/>
      <c r="C970" s="8"/>
      <c r="D970" s="8"/>
      <c r="G970" s="8"/>
    </row>
    <row r="971" ht="14.25" customHeight="1">
      <c r="B971" s="8"/>
      <c r="C971" s="8"/>
      <c r="D971" s="8"/>
      <c r="G971" s="8"/>
    </row>
    <row r="972" ht="14.25" customHeight="1">
      <c r="B972" s="8"/>
      <c r="C972" s="8"/>
      <c r="D972" s="8"/>
      <c r="G972" s="8"/>
    </row>
    <row r="973" ht="14.25" customHeight="1">
      <c r="B973" s="8"/>
      <c r="C973" s="8"/>
      <c r="D973" s="8"/>
      <c r="G973" s="8"/>
    </row>
    <row r="974" ht="14.25" customHeight="1">
      <c r="B974" s="8"/>
      <c r="C974" s="8"/>
      <c r="D974" s="8"/>
      <c r="G974" s="8"/>
    </row>
    <row r="975" ht="14.25" customHeight="1">
      <c r="B975" s="8"/>
      <c r="C975" s="8"/>
      <c r="D975" s="8"/>
      <c r="G975" s="8"/>
    </row>
    <row r="976" ht="14.25" customHeight="1">
      <c r="B976" s="8"/>
      <c r="C976" s="8"/>
      <c r="D976" s="8"/>
      <c r="G976" s="8"/>
    </row>
    <row r="977" ht="14.25" customHeight="1">
      <c r="B977" s="8"/>
      <c r="C977" s="8"/>
      <c r="D977" s="8"/>
      <c r="G977" s="8"/>
    </row>
    <row r="978" ht="14.25" customHeight="1">
      <c r="B978" s="8"/>
      <c r="C978" s="8"/>
      <c r="D978" s="8"/>
      <c r="G978" s="8"/>
    </row>
    <row r="979" ht="14.25" customHeight="1">
      <c r="B979" s="8"/>
      <c r="C979" s="8"/>
      <c r="D979" s="8"/>
      <c r="G979" s="8"/>
    </row>
    <row r="980" ht="14.25" customHeight="1">
      <c r="B980" s="8"/>
      <c r="C980" s="8"/>
      <c r="D980" s="8"/>
      <c r="G980" s="8"/>
    </row>
    <row r="981" ht="14.25" customHeight="1">
      <c r="B981" s="8"/>
      <c r="C981" s="8"/>
      <c r="D981" s="8"/>
      <c r="G981" s="8"/>
    </row>
    <row r="982" ht="14.25" customHeight="1">
      <c r="B982" s="8"/>
      <c r="C982" s="8"/>
      <c r="D982" s="8"/>
      <c r="G982" s="8"/>
    </row>
    <row r="983" ht="14.25" customHeight="1">
      <c r="B983" s="8"/>
      <c r="C983" s="8"/>
      <c r="D983" s="8"/>
      <c r="G983" s="8"/>
    </row>
    <row r="984" ht="14.25" customHeight="1">
      <c r="B984" s="8"/>
      <c r="C984" s="8"/>
      <c r="D984" s="8"/>
      <c r="G984" s="8"/>
    </row>
    <row r="985" ht="14.25" customHeight="1">
      <c r="B985" s="8"/>
      <c r="C985" s="8"/>
      <c r="D985" s="8"/>
      <c r="G985" s="8"/>
    </row>
    <row r="986" ht="14.25" customHeight="1">
      <c r="B986" s="8"/>
      <c r="C986" s="8"/>
      <c r="D986" s="8"/>
      <c r="G986" s="8"/>
    </row>
    <row r="987" ht="14.25" customHeight="1">
      <c r="B987" s="8"/>
      <c r="C987" s="8"/>
      <c r="D987" s="8"/>
      <c r="G987" s="8"/>
    </row>
    <row r="988" ht="14.25" customHeight="1">
      <c r="B988" s="8"/>
      <c r="C988" s="8"/>
      <c r="D988" s="8"/>
      <c r="G988" s="8"/>
    </row>
    <row r="989" ht="14.25" customHeight="1">
      <c r="B989" s="8"/>
      <c r="C989" s="8"/>
      <c r="D989" s="8"/>
      <c r="G989" s="8"/>
    </row>
    <row r="990" ht="14.25" customHeight="1">
      <c r="B990" s="8"/>
      <c r="C990" s="8"/>
      <c r="D990" s="8"/>
      <c r="G990" s="8"/>
    </row>
    <row r="991" ht="14.25" customHeight="1">
      <c r="B991" s="8"/>
      <c r="C991" s="8"/>
      <c r="D991" s="8"/>
      <c r="G991" s="8"/>
    </row>
    <row r="992" ht="14.25" customHeight="1">
      <c r="B992" s="8"/>
      <c r="C992" s="8"/>
      <c r="D992" s="8"/>
      <c r="G992" s="8"/>
    </row>
    <row r="993" ht="14.25" customHeight="1">
      <c r="B993" s="8"/>
      <c r="C993" s="8"/>
      <c r="D993" s="8"/>
      <c r="G993" s="8"/>
    </row>
    <row r="994" ht="14.25" customHeight="1">
      <c r="B994" s="8"/>
      <c r="C994" s="8"/>
      <c r="D994" s="8"/>
      <c r="G994" s="8"/>
    </row>
    <row r="995" ht="14.25" customHeight="1">
      <c r="B995" s="8"/>
      <c r="C995" s="8"/>
      <c r="D995" s="8"/>
      <c r="G995" s="8"/>
    </row>
    <row r="996" ht="14.25" customHeight="1">
      <c r="B996" s="8"/>
      <c r="C996" s="8"/>
      <c r="D996" s="8"/>
      <c r="G996" s="8"/>
    </row>
    <row r="997" ht="14.25" customHeight="1">
      <c r="B997" s="8"/>
      <c r="C997" s="8"/>
      <c r="D997" s="8"/>
      <c r="G997" s="8"/>
    </row>
    <row r="998" ht="14.25" customHeight="1">
      <c r="B998" s="8"/>
      <c r="C998" s="8"/>
      <c r="D998" s="8"/>
      <c r="G998" s="8"/>
    </row>
    <row r="999" ht="14.25" customHeight="1">
      <c r="B999" s="8"/>
      <c r="C999" s="8"/>
      <c r="D999" s="8"/>
      <c r="G999" s="8"/>
    </row>
    <row r="1000" ht="14.25" customHeight="1">
      <c r="B1000" s="8"/>
      <c r="C1000" s="8"/>
      <c r="D1000" s="8"/>
      <c r="G1000" s="8"/>
    </row>
  </sheetData>
  <dataValidations>
    <dataValidation type="list" allowBlank="1" sqref="G2:G1000">
      <formula1>DICTIONARIES!$G$2:$G$3</formula1>
    </dataValidation>
    <dataValidation type="list" allowBlank="1" sqref="D2:D1000">
      <formula1>DICTIONARIES!$AI$2:$AI$5</formula1>
    </dataValidation>
    <dataValidation type="list" allowBlank="1" sqref="B2:B1000">
      <formula1>DICTIONARIES!$AC$2:$AC$9</formula1>
    </dataValidation>
    <dataValidation type="list" allowBlank="1" sqref="C2:C1000">
      <formula1>DICTIONARIES!$AD$2:$AD$8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28.0"/>
    <col customWidth="1" min="4" max="4" width="14.0"/>
    <col customWidth="1" min="5" max="5" width="12.0"/>
    <col customWidth="1" min="6" max="6" width="18.0"/>
    <col customWidth="1" min="7" max="7" width="10.0"/>
    <col customWidth="1" min="8" max="9" width="12.0"/>
    <col customWidth="1" min="10" max="10" width="10.0"/>
    <col customWidth="1" min="11" max="11" width="20.0"/>
    <col customWidth="1" min="12" max="12" width="14.0"/>
    <col customWidth="1" min="13" max="13" width="12.0"/>
    <col customWidth="1" min="14" max="14" width="30.0"/>
    <col customWidth="1" min="15" max="26" width="8.71"/>
  </cols>
  <sheetData>
    <row r="1" ht="14.25" customHeight="1">
      <c r="A1" s="9" t="s">
        <v>570</v>
      </c>
      <c r="B1" s="9" t="s">
        <v>762</v>
      </c>
      <c r="C1" s="9" t="s">
        <v>763</v>
      </c>
      <c r="D1" s="9" t="s">
        <v>529</v>
      </c>
      <c r="E1" s="9" t="s">
        <v>837</v>
      </c>
      <c r="F1" s="9" t="s">
        <v>838</v>
      </c>
      <c r="G1" s="9" t="s">
        <v>839</v>
      </c>
      <c r="H1" s="9" t="s">
        <v>840</v>
      </c>
      <c r="I1" s="9" t="s">
        <v>535</v>
      </c>
      <c r="J1" s="9" t="s">
        <v>841</v>
      </c>
      <c r="K1" s="9" t="s">
        <v>842</v>
      </c>
      <c r="L1" s="9" t="s">
        <v>843</v>
      </c>
      <c r="M1" s="9" t="s">
        <v>533</v>
      </c>
      <c r="N1" s="9" t="s">
        <v>116</v>
      </c>
    </row>
    <row r="2" ht="14.25" customHeight="1">
      <c r="A2" s="4" t="s">
        <v>844</v>
      </c>
      <c r="B2" s="4" t="s">
        <v>377</v>
      </c>
      <c r="C2" s="4" t="s">
        <v>845</v>
      </c>
      <c r="D2" s="4" t="s">
        <v>362</v>
      </c>
      <c r="E2" s="4" t="s">
        <v>273</v>
      </c>
      <c r="F2" s="4" t="s">
        <v>396</v>
      </c>
      <c r="G2" s="4">
        <v>1.0</v>
      </c>
      <c r="H2" s="4">
        <v>0.0</v>
      </c>
      <c r="I2" s="4">
        <v>0.1</v>
      </c>
      <c r="J2" s="4">
        <v>0.0</v>
      </c>
      <c r="K2" s="4" t="s">
        <v>245</v>
      </c>
      <c r="L2" s="4">
        <v>0.0</v>
      </c>
      <c r="M2" s="4">
        <v>2.0</v>
      </c>
      <c r="N2" s="4" t="s">
        <v>846</v>
      </c>
    </row>
    <row r="3" ht="14.25" customHeight="1">
      <c r="A3" s="4" t="s">
        <v>847</v>
      </c>
      <c r="B3" s="4" t="s">
        <v>377</v>
      </c>
      <c r="C3" s="4" t="s">
        <v>848</v>
      </c>
      <c r="D3" s="4" t="s">
        <v>343</v>
      </c>
      <c r="E3" s="4" t="s">
        <v>273</v>
      </c>
      <c r="F3" s="4" t="s">
        <v>352</v>
      </c>
      <c r="G3" s="4">
        <v>1.0</v>
      </c>
      <c r="H3" s="4">
        <v>1.0</v>
      </c>
      <c r="I3" s="4">
        <v>1.0</v>
      </c>
      <c r="J3" s="4">
        <v>0.0</v>
      </c>
      <c r="K3" s="4" t="s">
        <v>245</v>
      </c>
      <c r="L3" s="4">
        <v>0.0</v>
      </c>
      <c r="M3" s="4">
        <v>3.0</v>
      </c>
      <c r="N3" s="4" t="s">
        <v>849</v>
      </c>
    </row>
    <row r="4" ht="14.25" customHeight="1">
      <c r="A4" s="4" t="s">
        <v>850</v>
      </c>
      <c r="B4" s="4" t="s">
        <v>377</v>
      </c>
      <c r="C4" s="4" t="s">
        <v>851</v>
      </c>
      <c r="D4" s="4" t="s">
        <v>241</v>
      </c>
      <c r="E4" s="4" t="s">
        <v>273</v>
      </c>
      <c r="F4" s="4" t="s">
        <v>313</v>
      </c>
      <c r="G4" s="4">
        <v>1.0</v>
      </c>
      <c r="H4" s="4">
        <v>0.0</v>
      </c>
      <c r="I4" s="4">
        <v>1.0</v>
      </c>
      <c r="J4" s="4">
        <v>12.0</v>
      </c>
      <c r="K4" s="4" t="s">
        <v>245</v>
      </c>
      <c r="L4" s="4">
        <v>0.01</v>
      </c>
      <c r="M4" s="4">
        <v>5.0</v>
      </c>
      <c r="N4" s="4" t="s">
        <v>852</v>
      </c>
    </row>
    <row r="5" ht="14.25" customHeight="1">
      <c r="A5" s="4" t="s">
        <v>853</v>
      </c>
      <c r="B5" s="4" t="s">
        <v>377</v>
      </c>
      <c r="C5" s="4" t="s">
        <v>854</v>
      </c>
      <c r="D5" s="4" t="s">
        <v>306</v>
      </c>
      <c r="E5" s="4" t="s">
        <v>273</v>
      </c>
      <c r="F5" s="4" t="s">
        <v>274</v>
      </c>
      <c r="G5" s="4">
        <v>1.0</v>
      </c>
      <c r="H5" s="4">
        <v>0.0</v>
      </c>
      <c r="I5" s="4">
        <v>5.0</v>
      </c>
      <c r="J5" s="4">
        <v>0.0</v>
      </c>
      <c r="K5" s="4" t="s">
        <v>245</v>
      </c>
      <c r="L5" s="4">
        <v>0.03</v>
      </c>
      <c r="M5" s="4">
        <v>4.0</v>
      </c>
      <c r="N5" s="4" t="s">
        <v>855</v>
      </c>
    </row>
    <row r="6" ht="14.25" customHeight="1">
      <c r="A6" s="4" t="s">
        <v>856</v>
      </c>
      <c r="B6" s="4" t="s">
        <v>762</v>
      </c>
      <c r="C6" s="4" t="s">
        <v>543</v>
      </c>
      <c r="D6" s="4" t="s">
        <v>241</v>
      </c>
      <c r="E6" s="4" t="s">
        <v>273</v>
      </c>
      <c r="F6" s="4" t="s">
        <v>313</v>
      </c>
      <c r="G6" s="4">
        <v>1.0</v>
      </c>
      <c r="H6" s="4">
        <v>0.0</v>
      </c>
      <c r="I6" s="4">
        <v>1.0</v>
      </c>
      <c r="J6" s="4">
        <v>12.0</v>
      </c>
      <c r="K6" s="4" t="s">
        <v>245</v>
      </c>
      <c r="L6" s="4">
        <v>0.02</v>
      </c>
      <c r="M6" s="4">
        <v>5.0</v>
      </c>
      <c r="N6" s="4" t="s">
        <v>857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N$6"/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3" width="28.0"/>
    <col customWidth="1" min="4" max="4" width="14.0"/>
    <col customWidth="1" min="5" max="5" width="12.0"/>
    <col customWidth="1" min="6" max="6" width="16.0"/>
    <col customWidth="1" min="7" max="7" width="12.0"/>
    <col customWidth="1" min="8" max="8" width="14.0"/>
    <col customWidth="1" min="9" max="9" width="16.0"/>
    <col customWidth="1" min="10" max="10" width="18.0"/>
    <col customWidth="1" min="11" max="11" width="42.0"/>
    <col customWidth="1" min="12" max="26" width="8.71"/>
  </cols>
  <sheetData>
    <row r="1" ht="14.25" customHeight="1">
      <c r="A1" s="9" t="s">
        <v>344</v>
      </c>
      <c r="B1" s="9" t="s">
        <v>485</v>
      </c>
      <c r="C1" s="9" t="s">
        <v>377</v>
      </c>
      <c r="D1" s="9" t="s">
        <v>858</v>
      </c>
      <c r="E1" s="9" t="s">
        <v>748</v>
      </c>
      <c r="F1" s="9" t="s">
        <v>749</v>
      </c>
      <c r="G1" s="9" t="s">
        <v>750</v>
      </c>
      <c r="H1" s="9" t="s">
        <v>752</v>
      </c>
      <c r="I1" s="9" t="s">
        <v>859</v>
      </c>
      <c r="J1" s="9" t="s">
        <v>860</v>
      </c>
      <c r="K1" s="9" t="s">
        <v>116</v>
      </c>
    </row>
    <row r="2" ht="14.25" customHeight="1">
      <c r="A2" s="11" t="s">
        <v>493</v>
      </c>
      <c r="B2" s="11" t="s">
        <v>495</v>
      </c>
      <c r="C2" s="11" t="s">
        <v>339</v>
      </c>
      <c r="D2" s="36">
        <v>0.6</v>
      </c>
      <c r="E2" s="36">
        <v>0.1</v>
      </c>
      <c r="F2" s="36">
        <v>0.1</v>
      </c>
      <c r="G2" s="36">
        <v>0.0</v>
      </c>
      <c r="H2" s="36">
        <v>0.0</v>
      </c>
      <c r="I2" s="11" t="s">
        <v>617</v>
      </c>
      <c r="J2" s="36">
        <f>IF($I2="","",ROUND(1+($D2*(SUMIFS(OBJECT_CONDITIONS!$W:$W,OBJECT_CONDITIONS!$A:$A,$I2)-1))+($E2*(SUMIFS(OBJECT_CONDITIONS!$J:$J,OBJECT_CONDITIONS!$A:$A,$I2)-1))+($F2*(SUMIFS(OBJECT_CONDITIONS!$L:$L,OBJECT_CONDITIONS!$A:$A,$I2)-1))+($G2*(SUMIFS(OBJECT_CONDITIONS!$N:$N,OBJECT_CONDITIONS!$A:$A,$I2)-1))+($H2*(SUMIFS(OBJECT_CONDITIONS!$R:$R,OBJECT_CONDITIONS!$A:$A,$I2)-1)),3))</f>
        <v>1.059</v>
      </c>
      <c r="K2" s="11" t="s">
        <v>861</v>
      </c>
    </row>
    <row r="3" ht="14.25" customHeight="1">
      <c r="A3" s="11" t="s">
        <v>497</v>
      </c>
      <c r="B3" s="11" t="s">
        <v>499</v>
      </c>
      <c r="C3" s="11" t="s">
        <v>412</v>
      </c>
      <c r="D3" s="36">
        <v>0.3</v>
      </c>
      <c r="E3" s="36">
        <v>0.1</v>
      </c>
      <c r="F3" s="36">
        <v>0.1</v>
      </c>
      <c r="G3" s="36">
        <v>0.0</v>
      </c>
      <c r="H3" s="36">
        <v>0.0</v>
      </c>
      <c r="I3" s="11" t="s">
        <v>617</v>
      </c>
      <c r="J3" s="36">
        <f>IF($I3="","",ROUND(1+($D3*(SUMIFS(OBJECT_CONDITIONS!$W:$W,OBJECT_CONDITIONS!$A:$A,$I3)-1))+($E3*(SUMIFS(OBJECT_CONDITIONS!$J:$J,OBJECT_CONDITIONS!$A:$A,$I3)-1))+($F3*(SUMIFS(OBJECT_CONDITIONS!$L:$L,OBJECT_CONDITIONS!$A:$A,$I3)-1))+($G3*(SUMIFS(OBJECT_CONDITIONS!$N:$N,OBJECT_CONDITIONS!$A:$A,$I3)-1))+($H3*(SUMIFS(OBJECT_CONDITIONS!$R:$R,OBJECT_CONDITIONS!$A:$A,$I3)-1)),3))</f>
        <v>1.038</v>
      </c>
      <c r="K3" s="11" t="s">
        <v>862</v>
      </c>
    </row>
    <row r="4" ht="14.25" customHeight="1">
      <c r="A4" s="11" t="s">
        <v>501</v>
      </c>
      <c r="B4" s="11" t="s">
        <v>503</v>
      </c>
      <c r="C4" s="11" t="s">
        <v>372</v>
      </c>
      <c r="D4" s="36">
        <v>0.8</v>
      </c>
      <c r="E4" s="36">
        <v>0.2</v>
      </c>
      <c r="F4" s="36">
        <v>0.4</v>
      </c>
      <c r="G4" s="36">
        <v>0.1</v>
      </c>
      <c r="H4" s="36">
        <v>0.0</v>
      </c>
      <c r="I4" s="11" t="s">
        <v>617</v>
      </c>
      <c r="J4" s="36">
        <f>IF($I4="","",ROUND(1+($D4*(SUMIFS(OBJECT_CONDITIONS!$W:$W,OBJECT_CONDITIONS!$A:$A,$I4)-1))+($E4*(SUMIFS(OBJECT_CONDITIONS!$J:$J,OBJECT_CONDITIONS!$A:$A,$I4)-1))+($F4*(SUMIFS(OBJECT_CONDITIONS!$L:$L,OBJECT_CONDITIONS!$A:$A,$I4)-1))+($G4*(SUMIFS(OBJECT_CONDITIONS!$N:$N,OBJECT_CONDITIONS!$A:$A,$I4)-1))+($H4*(SUMIFS(OBJECT_CONDITIONS!$R:$R,OBJECT_CONDITIONS!$A:$A,$I4)-1)),3))</f>
        <v>1.108</v>
      </c>
      <c r="K4" s="11" t="s">
        <v>863</v>
      </c>
    </row>
    <row r="5" ht="14.25" customHeight="1">
      <c r="A5" s="11" t="s">
        <v>506</v>
      </c>
      <c r="B5" s="11" t="s">
        <v>508</v>
      </c>
      <c r="C5" s="11" t="s">
        <v>392</v>
      </c>
      <c r="D5" s="36">
        <v>0.9</v>
      </c>
      <c r="E5" s="36">
        <v>0.3</v>
      </c>
      <c r="F5" s="36">
        <v>0.3</v>
      </c>
      <c r="G5" s="36">
        <v>0.1</v>
      </c>
      <c r="H5" s="36">
        <v>0.0</v>
      </c>
      <c r="I5" s="11" t="s">
        <v>617</v>
      </c>
      <c r="J5" s="36">
        <f>IF($I5="","",ROUND(1+($D5*(SUMIFS(OBJECT_CONDITIONS!$W:$W,OBJECT_CONDITIONS!$A:$A,$I5)-1))+($E5*(SUMIFS(OBJECT_CONDITIONS!$J:$J,OBJECT_CONDITIONS!$A:$A,$I5)-1))+($F5*(SUMIFS(OBJECT_CONDITIONS!$L:$L,OBJECT_CONDITIONS!$A:$A,$I5)-1))+($G5*(SUMIFS(OBJECT_CONDITIONS!$N:$N,OBJECT_CONDITIONS!$A:$A,$I5)-1))+($H5*(SUMIFS(OBJECT_CONDITIONS!$R:$R,OBJECT_CONDITIONS!$A:$A,$I5)-1)),3))</f>
        <v>1.122</v>
      </c>
      <c r="K5" s="11" t="s">
        <v>864</v>
      </c>
    </row>
    <row r="6" ht="14.25" customHeight="1">
      <c r="A6" s="11" t="s">
        <v>510</v>
      </c>
      <c r="B6" s="11" t="s">
        <v>511</v>
      </c>
      <c r="C6" s="11" t="s">
        <v>403</v>
      </c>
      <c r="D6" s="36">
        <v>0.8</v>
      </c>
      <c r="E6" s="36">
        <v>0.4</v>
      </c>
      <c r="F6" s="36">
        <v>0.3</v>
      </c>
      <c r="G6" s="36">
        <v>0.1</v>
      </c>
      <c r="H6" s="36">
        <v>0.0</v>
      </c>
      <c r="I6" s="11" t="s">
        <v>617</v>
      </c>
      <c r="J6" s="36">
        <f>IF($I6="","",ROUND(1+($D6*(SUMIFS(OBJECT_CONDITIONS!$W:$W,OBJECT_CONDITIONS!$A:$A,$I6)-1))+($E6*(SUMIFS(OBJECT_CONDITIONS!$J:$J,OBJECT_CONDITIONS!$A:$A,$I6)-1))+($F6*(SUMIFS(OBJECT_CONDITIONS!$L:$L,OBJECT_CONDITIONS!$A:$A,$I6)-1))+($G6*(SUMIFS(OBJECT_CONDITIONS!$N:$N,OBJECT_CONDITIONS!$A:$A,$I6)-1))+($H6*(SUMIFS(OBJECT_CONDITIONS!$R:$R,OBJECT_CONDITIONS!$A:$A,$I6)-1)),3))</f>
        <v>1.127</v>
      </c>
      <c r="K6" s="11" t="s">
        <v>865</v>
      </c>
    </row>
    <row r="7" ht="14.25" customHeight="1">
      <c r="A7" s="11" t="s">
        <v>514</v>
      </c>
      <c r="B7" s="11" t="s">
        <v>516</v>
      </c>
      <c r="C7" s="11" t="s">
        <v>407</v>
      </c>
      <c r="D7" s="36">
        <v>0.7</v>
      </c>
      <c r="E7" s="36">
        <v>0.2</v>
      </c>
      <c r="F7" s="36">
        <v>0.2</v>
      </c>
      <c r="G7" s="36">
        <v>0.1</v>
      </c>
      <c r="H7" s="36">
        <v>0.0</v>
      </c>
      <c r="I7" s="11" t="s">
        <v>617</v>
      </c>
      <c r="J7" s="36">
        <f>IF($I7="","",ROUND(1+($D7*(SUMIFS(OBJECT_CONDITIONS!$W:$W,OBJECT_CONDITIONS!$A:$A,$I7)-1))+($E7*(SUMIFS(OBJECT_CONDITIONS!$J:$J,OBJECT_CONDITIONS!$A:$A,$I7)-1))+($F7*(SUMIFS(OBJECT_CONDITIONS!$L:$L,OBJECT_CONDITIONS!$A:$A,$I7)-1))+($G7*(SUMIFS(OBJECT_CONDITIONS!$N:$N,OBJECT_CONDITIONS!$A:$A,$I7)-1))+($H7*(SUMIFS(OBJECT_CONDITIONS!$R:$R,OBJECT_CONDITIONS!$A:$A,$I7)-1)),3))</f>
        <v>1.091</v>
      </c>
      <c r="K7" s="11" t="s">
        <v>866</v>
      </c>
    </row>
    <row r="8" ht="14.25" customHeight="1">
      <c r="A8" s="11" t="s">
        <v>519</v>
      </c>
      <c r="B8" s="11" t="s">
        <v>520</v>
      </c>
      <c r="C8" s="11" t="s">
        <v>262</v>
      </c>
      <c r="D8" s="36">
        <v>0.1</v>
      </c>
      <c r="E8" s="36">
        <v>0.3</v>
      </c>
      <c r="F8" s="36">
        <v>0.2</v>
      </c>
      <c r="G8" s="36">
        <v>0.2</v>
      </c>
      <c r="H8" s="36">
        <v>0.0</v>
      </c>
      <c r="I8" s="11" t="s">
        <v>617</v>
      </c>
      <c r="J8" s="36">
        <f>IF($I8="","",ROUND(1+($D8*(SUMIFS(OBJECT_CONDITIONS!$W:$W,OBJECT_CONDITIONS!$A:$A,$I8)-1))+($E8*(SUMIFS(OBJECT_CONDITIONS!$J:$J,OBJECT_CONDITIONS!$A:$A,$I8)-1))+($F8*(SUMIFS(OBJECT_CONDITIONS!$L:$L,OBJECT_CONDITIONS!$A:$A,$I8)-1))+($G8*(SUMIFS(OBJECT_CONDITIONS!$N:$N,OBJECT_CONDITIONS!$A:$A,$I8)-1))+($H8*(SUMIFS(OBJECT_CONDITIONS!$R:$R,OBJECT_CONDITIONS!$A:$A,$I8)-1)),3))</f>
        <v>1.069</v>
      </c>
      <c r="K8" s="11" t="s">
        <v>867</v>
      </c>
    </row>
    <row r="9" ht="14.25" customHeight="1">
      <c r="A9" s="11"/>
      <c r="B9" s="11"/>
      <c r="C9" s="11"/>
      <c r="D9" s="36"/>
      <c r="E9" s="36"/>
      <c r="F9" s="36"/>
      <c r="G9" s="36"/>
      <c r="H9" s="36"/>
      <c r="I9" s="11"/>
      <c r="J9" s="36" t="str">
        <f>IF($I9="","",ROUND(1+($D9*(SUMIFS(OBJECT_CONDITIONS!$W:$W,OBJECT_CONDITIONS!$A:$A,$I9)-1))+($E9*(SUMIFS(OBJECT_CONDITIONS!$J:$J,OBJECT_CONDITIONS!$A:$A,$I9)-1))+($F9*(SUMIFS(OBJECT_CONDITIONS!$L:$L,OBJECT_CONDITIONS!$A:$A,$I9)-1))+($G9*(SUMIFS(OBJECT_CONDITIONS!$N:$N,OBJECT_CONDITIONS!$A:$A,$I9)-1))+($H9*(SUMIFS(OBJECT_CONDITIONS!$R:$R,OBJECT_CONDITIONS!$A:$A,$I9)-1)),3))</f>
        <v/>
      </c>
      <c r="K9" s="11"/>
    </row>
    <row r="10" ht="14.25" customHeight="1">
      <c r="A10" s="11"/>
      <c r="B10" s="11"/>
      <c r="C10" s="11"/>
      <c r="D10" s="36"/>
      <c r="E10" s="36"/>
      <c r="F10" s="36"/>
      <c r="G10" s="36"/>
      <c r="H10" s="36"/>
      <c r="I10" s="11"/>
      <c r="J10" s="36" t="str">
        <f>IF($I10="","",ROUND(1+($D10*(SUMIFS(OBJECT_CONDITIONS!$W:$W,OBJECT_CONDITIONS!$A:$A,$I10)-1))+($E10*(SUMIFS(OBJECT_CONDITIONS!$J:$J,OBJECT_CONDITIONS!$A:$A,$I10)-1))+($F10*(SUMIFS(OBJECT_CONDITIONS!$L:$L,OBJECT_CONDITIONS!$A:$A,$I10)-1))+($G10*(SUMIFS(OBJECT_CONDITIONS!$N:$N,OBJECT_CONDITIONS!$A:$A,$I10)-1))+($H10*(SUMIFS(OBJECT_CONDITIONS!$R:$R,OBJECT_CONDITIONS!$A:$A,$I10)-1)),3))</f>
        <v/>
      </c>
      <c r="K10" s="11"/>
    </row>
    <row r="11" ht="14.25" customHeight="1">
      <c r="A11" s="11"/>
      <c r="B11" s="11"/>
      <c r="C11" s="11"/>
      <c r="D11" s="36"/>
      <c r="E11" s="36"/>
      <c r="F11" s="36"/>
      <c r="G11" s="36"/>
      <c r="H11" s="36"/>
      <c r="I11" s="11"/>
      <c r="J11" s="36" t="str">
        <f>IF($I11="","",ROUND(1+($D11*(SUMIFS(OBJECT_CONDITIONS!$W:$W,OBJECT_CONDITIONS!$A:$A,$I11)-1))+($E11*(SUMIFS(OBJECT_CONDITIONS!$J:$J,OBJECT_CONDITIONS!$A:$A,$I11)-1))+($F11*(SUMIFS(OBJECT_CONDITIONS!$L:$L,OBJECT_CONDITIONS!$A:$A,$I11)-1))+($G11*(SUMIFS(OBJECT_CONDITIONS!$N:$N,OBJECT_CONDITIONS!$A:$A,$I11)-1))+($H11*(SUMIFS(OBJECT_CONDITIONS!$R:$R,OBJECT_CONDITIONS!$A:$A,$I11)-1)),3))</f>
        <v/>
      </c>
      <c r="K11" s="11"/>
    </row>
    <row r="12" ht="14.25" customHeight="1">
      <c r="A12" s="11"/>
      <c r="B12" s="11"/>
      <c r="C12" s="11"/>
      <c r="D12" s="36"/>
      <c r="E12" s="36"/>
      <c r="F12" s="36"/>
      <c r="G12" s="36"/>
      <c r="H12" s="36"/>
      <c r="I12" s="11"/>
      <c r="J12" s="36" t="str">
        <f>IF($I12="","",ROUND(1+($D12*(SUMIFS(OBJECT_CONDITIONS!$W:$W,OBJECT_CONDITIONS!$A:$A,$I12)-1))+($E12*(SUMIFS(OBJECT_CONDITIONS!$J:$J,OBJECT_CONDITIONS!$A:$A,$I12)-1))+($F12*(SUMIFS(OBJECT_CONDITIONS!$L:$L,OBJECT_CONDITIONS!$A:$A,$I12)-1))+($G12*(SUMIFS(OBJECT_CONDITIONS!$N:$N,OBJECT_CONDITIONS!$A:$A,$I12)-1))+($H12*(SUMIFS(OBJECT_CONDITIONS!$R:$R,OBJECT_CONDITIONS!$A:$A,$I12)-1)),3))</f>
        <v/>
      </c>
      <c r="K12" s="11"/>
    </row>
    <row r="13" ht="14.25" customHeight="1">
      <c r="A13" s="11"/>
      <c r="B13" s="11"/>
      <c r="C13" s="11"/>
      <c r="D13" s="36"/>
      <c r="E13" s="36"/>
      <c r="F13" s="36"/>
      <c r="G13" s="36"/>
      <c r="H13" s="36"/>
      <c r="I13" s="11"/>
      <c r="J13" s="36" t="str">
        <f>IF($I13="","",ROUND(1+($D13*(SUMIFS(OBJECT_CONDITIONS!$W:$W,OBJECT_CONDITIONS!$A:$A,$I13)-1))+($E13*(SUMIFS(OBJECT_CONDITIONS!$J:$J,OBJECT_CONDITIONS!$A:$A,$I13)-1))+($F13*(SUMIFS(OBJECT_CONDITIONS!$L:$L,OBJECT_CONDITIONS!$A:$A,$I13)-1))+($G13*(SUMIFS(OBJECT_CONDITIONS!$N:$N,OBJECT_CONDITIONS!$A:$A,$I13)-1))+($H13*(SUMIFS(OBJECT_CONDITIONS!$R:$R,OBJECT_CONDITIONS!$A:$A,$I13)-1)),3))</f>
        <v/>
      </c>
      <c r="K13" s="11"/>
    </row>
    <row r="14" ht="14.25" customHeight="1">
      <c r="A14" s="11"/>
      <c r="B14" s="11"/>
      <c r="C14" s="11"/>
      <c r="D14" s="36"/>
      <c r="E14" s="36"/>
      <c r="F14" s="36"/>
      <c r="G14" s="36"/>
      <c r="H14" s="36"/>
      <c r="I14" s="11"/>
      <c r="J14" s="36" t="str">
        <f>IF($I14="","",ROUND(1+($D14*(SUMIFS(OBJECT_CONDITIONS!$W:$W,OBJECT_CONDITIONS!$A:$A,$I14)-1))+($E14*(SUMIFS(OBJECT_CONDITIONS!$J:$J,OBJECT_CONDITIONS!$A:$A,$I14)-1))+($F14*(SUMIFS(OBJECT_CONDITIONS!$L:$L,OBJECT_CONDITIONS!$A:$A,$I14)-1))+($G14*(SUMIFS(OBJECT_CONDITIONS!$N:$N,OBJECT_CONDITIONS!$A:$A,$I14)-1))+($H14*(SUMIFS(OBJECT_CONDITIONS!$R:$R,OBJECT_CONDITIONS!$A:$A,$I14)-1)),3))</f>
        <v/>
      </c>
      <c r="K14" s="11"/>
    </row>
    <row r="15" ht="14.25" customHeight="1">
      <c r="A15" s="11"/>
      <c r="B15" s="11"/>
      <c r="C15" s="11"/>
      <c r="D15" s="36"/>
      <c r="E15" s="36"/>
      <c r="F15" s="36"/>
      <c r="G15" s="36"/>
      <c r="H15" s="36"/>
      <c r="I15" s="11"/>
      <c r="J15" s="36" t="str">
        <f>IF($I15="","",ROUND(1+($D15*(SUMIFS(OBJECT_CONDITIONS!$W:$W,OBJECT_CONDITIONS!$A:$A,$I15)-1))+($E15*(SUMIFS(OBJECT_CONDITIONS!$J:$J,OBJECT_CONDITIONS!$A:$A,$I15)-1))+($F15*(SUMIFS(OBJECT_CONDITIONS!$L:$L,OBJECT_CONDITIONS!$A:$A,$I15)-1))+($G15*(SUMIFS(OBJECT_CONDITIONS!$N:$N,OBJECT_CONDITIONS!$A:$A,$I15)-1))+($H15*(SUMIFS(OBJECT_CONDITIONS!$R:$R,OBJECT_CONDITIONS!$A:$A,$I15)-1)),3))</f>
        <v/>
      </c>
      <c r="K15" s="11"/>
    </row>
    <row r="16" ht="14.25" customHeight="1">
      <c r="A16" s="11"/>
      <c r="B16" s="11"/>
      <c r="C16" s="11"/>
      <c r="D16" s="36"/>
      <c r="E16" s="36"/>
      <c r="F16" s="36"/>
      <c r="G16" s="36"/>
      <c r="H16" s="36"/>
      <c r="I16" s="11"/>
      <c r="J16" s="36" t="str">
        <f>IF($I16="","",ROUND(1+($D16*(SUMIFS(OBJECT_CONDITIONS!$W:$W,OBJECT_CONDITIONS!$A:$A,$I16)-1))+($E16*(SUMIFS(OBJECT_CONDITIONS!$J:$J,OBJECT_CONDITIONS!$A:$A,$I16)-1))+($F16*(SUMIFS(OBJECT_CONDITIONS!$L:$L,OBJECT_CONDITIONS!$A:$A,$I16)-1))+($G16*(SUMIFS(OBJECT_CONDITIONS!$N:$N,OBJECT_CONDITIONS!$A:$A,$I16)-1))+($H16*(SUMIFS(OBJECT_CONDITIONS!$R:$R,OBJECT_CONDITIONS!$A:$A,$I16)-1)),3))</f>
        <v/>
      </c>
      <c r="K16" s="11"/>
    </row>
    <row r="17" ht="14.25" customHeight="1">
      <c r="A17" s="11"/>
      <c r="B17" s="11"/>
      <c r="C17" s="11"/>
      <c r="D17" s="36"/>
      <c r="E17" s="36"/>
      <c r="F17" s="36"/>
      <c r="G17" s="36"/>
      <c r="H17" s="36"/>
      <c r="I17" s="11"/>
      <c r="J17" s="36" t="str">
        <f>IF($I17="","",ROUND(1+($D17*(SUMIFS(OBJECT_CONDITIONS!$W:$W,OBJECT_CONDITIONS!$A:$A,$I17)-1))+($E17*(SUMIFS(OBJECT_CONDITIONS!$J:$J,OBJECT_CONDITIONS!$A:$A,$I17)-1))+($F17*(SUMIFS(OBJECT_CONDITIONS!$L:$L,OBJECT_CONDITIONS!$A:$A,$I17)-1))+($G17*(SUMIFS(OBJECT_CONDITIONS!$N:$N,OBJECT_CONDITIONS!$A:$A,$I17)-1))+($H17*(SUMIFS(OBJECT_CONDITIONS!$R:$R,OBJECT_CONDITIONS!$A:$A,$I17)-1)),3))</f>
        <v/>
      </c>
      <c r="K17" s="11"/>
    </row>
    <row r="18" ht="14.25" customHeight="1">
      <c r="A18" s="11"/>
      <c r="B18" s="11"/>
      <c r="C18" s="11"/>
      <c r="D18" s="36"/>
      <c r="E18" s="36"/>
      <c r="F18" s="36"/>
      <c r="G18" s="36"/>
      <c r="H18" s="36"/>
      <c r="I18" s="11"/>
      <c r="J18" s="36" t="str">
        <f>IF($I18="","",ROUND(1+($D18*(SUMIFS(OBJECT_CONDITIONS!$W:$W,OBJECT_CONDITIONS!$A:$A,$I18)-1))+($E18*(SUMIFS(OBJECT_CONDITIONS!$J:$J,OBJECT_CONDITIONS!$A:$A,$I18)-1))+($F18*(SUMIFS(OBJECT_CONDITIONS!$L:$L,OBJECT_CONDITIONS!$A:$A,$I18)-1))+($G18*(SUMIFS(OBJECT_CONDITIONS!$N:$N,OBJECT_CONDITIONS!$A:$A,$I18)-1))+($H18*(SUMIFS(OBJECT_CONDITIONS!$R:$R,OBJECT_CONDITIONS!$A:$A,$I18)-1)),3))</f>
        <v/>
      </c>
      <c r="K18" s="11"/>
    </row>
    <row r="19" ht="14.25" customHeight="1">
      <c r="A19" s="11"/>
      <c r="B19" s="11"/>
      <c r="C19" s="11"/>
      <c r="D19" s="36"/>
      <c r="E19" s="36"/>
      <c r="F19" s="36"/>
      <c r="G19" s="36"/>
      <c r="H19" s="36"/>
      <c r="I19" s="11"/>
      <c r="J19" s="36" t="str">
        <f>IF($I19="","",ROUND(1+($D19*(SUMIFS(OBJECT_CONDITIONS!$W:$W,OBJECT_CONDITIONS!$A:$A,$I19)-1))+($E19*(SUMIFS(OBJECT_CONDITIONS!$J:$J,OBJECT_CONDITIONS!$A:$A,$I19)-1))+($F19*(SUMIFS(OBJECT_CONDITIONS!$L:$L,OBJECT_CONDITIONS!$A:$A,$I19)-1))+($G19*(SUMIFS(OBJECT_CONDITIONS!$N:$N,OBJECT_CONDITIONS!$A:$A,$I19)-1))+($H19*(SUMIFS(OBJECT_CONDITIONS!$R:$R,OBJECT_CONDITIONS!$A:$A,$I19)-1)),3))</f>
        <v/>
      </c>
      <c r="K19" s="11"/>
    </row>
    <row r="20" ht="14.25" customHeight="1">
      <c r="A20" s="11"/>
      <c r="B20" s="11"/>
      <c r="C20" s="11"/>
      <c r="D20" s="36"/>
      <c r="E20" s="36"/>
      <c r="F20" s="36"/>
      <c r="G20" s="36"/>
      <c r="H20" s="36"/>
      <c r="I20" s="11"/>
      <c r="J20" s="36" t="str">
        <f>IF($I20="","",ROUND(1+($D20*(SUMIFS(OBJECT_CONDITIONS!$W:$W,OBJECT_CONDITIONS!$A:$A,$I20)-1))+($E20*(SUMIFS(OBJECT_CONDITIONS!$J:$J,OBJECT_CONDITIONS!$A:$A,$I20)-1))+($F20*(SUMIFS(OBJECT_CONDITIONS!$L:$L,OBJECT_CONDITIONS!$A:$A,$I20)-1))+($G20*(SUMIFS(OBJECT_CONDITIONS!$N:$N,OBJECT_CONDITIONS!$A:$A,$I20)-1))+($H20*(SUMIFS(OBJECT_CONDITIONS!$R:$R,OBJECT_CONDITIONS!$A:$A,$I20)-1)),3))</f>
        <v/>
      </c>
      <c r="K20" s="11"/>
    </row>
    <row r="21" ht="14.25" customHeight="1">
      <c r="A21" s="11"/>
      <c r="B21" s="11"/>
      <c r="C21" s="11"/>
      <c r="D21" s="36"/>
      <c r="E21" s="36"/>
      <c r="F21" s="36"/>
      <c r="G21" s="36"/>
      <c r="H21" s="36"/>
      <c r="I21" s="11"/>
      <c r="J21" s="36" t="str">
        <f>IF($I21="","",ROUND(1+($D21*(SUMIFS(OBJECT_CONDITIONS!$W:$W,OBJECT_CONDITIONS!$A:$A,$I21)-1))+($E21*(SUMIFS(OBJECT_CONDITIONS!$J:$J,OBJECT_CONDITIONS!$A:$A,$I21)-1))+($F21*(SUMIFS(OBJECT_CONDITIONS!$L:$L,OBJECT_CONDITIONS!$A:$A,$I21)-1))+($G21*(SUMIFS(OBJECT_CONDITIONS!$N:$N,OBJECT_CONDITIONS!$A:$A,$I21)-1))+($H21*(SUMIFS(OBJECT_CONDITIONS!$R:$R,OBJECT_CONDITIONS!$A:$A,$I21)-1)),3))</f>
        <v/>
      </c>
      <c r="K21" s="11"/>
    </row>
    <row r="22" ht="14.25" customHeight="1">
      <c r="A22" s="11"/>
      <c r="B22" s="11"/>
      <c r="C22" s="11"/>
      <c r="D22" s="36"/>
      <c r="E22" s="36"/>
      <c r="F22" s="36"/>
      <c r="G22" s="36"/>
      <c r="H22" s="36"/>
      <c r="I22" s="11"/>
      <c r="J22" s="36" t="str">
        <f>IF($I22="","",ROUND(1+($D22*(SUMIFS(OBJECT_CONDITIONS!$W:$W,OBJECT_CONDITIONS!$A:$A,$I22)-1))+($E22*(SUMIFS(OBJECT_CONDITIONS!$J:$J,OBJECT_CONDITIONS!$A:$A,$I22)-1))+($F22*(SUMIFS(OBJECT_CONDITIONS!$L:$L,OBJECT_CONDITIONS!$A:$A,$I22)-1))+($G22*(SUMIFS(OBJECT_CONDITIONS!$N:$N,OBJECT_CONDITIONS!$A:$A,$I22)-1))+($H22*(SUMIFS(OBJECT_CONDITIONS!$R:$R,OBJECT_CONDITIONS!$A:$A,$I22)-1)),3))</f>
        <v/>
      </c>
      <c r="K22" s="11"/>
    </row>
    <row r="23" ht="14.25" customHeight="1">
      <c r="A23" s="11"/>
      <c r="B23" s="11"/>
      <c r="C23" s="11"/>
      <c r="D23" s="36"/>
      <c r="E23" s="36"/>
      <c r="F23" s="36"/>
      <c r="G23" s="36"/>
      <c r="H23" s="36"/>
      <c r="I23" s="11"/>
      <c r="J23" s="36" t="str">
        <f>IF($I23="","",ROUND(1+($D23*(SUMIFS(OBJECT_CONDITIONS!$W:$W,OBJECT_CONDITIONS!$A:$A,$I23)-1))+($E23*(SUMIFS(OBJECT_CONDITIONS!$J:$J,OBJECT_CONDITIONS!$A:$A,$I23)-1))+($F23*(SUMIFS(OBJECT_CONDITIONS!$L:$L,OBJECT_CONDITIONS!$A:$A,$I23)-1))+($G23*(SUMIFS(OBJECT_CONDITIONS!$N:$N,OBJECT_CONDITIONS!$A:$A,$I23)-1))+($H23*(SUMIFS(OBJECT_CONDITIONS!$R:$R,OBJECT_CONDITIONS!$A:$A,$I23)-1)),3))</f>
        <v/>
      </c>
      <c r="K23" s="11"/>
    </row>
    <row r="24" ht="14.25" customHeight="1">
      <c r="A24" s="11"/>
      <c r="B24" s="11"/>
      <c r="C24" s="11"/>
      <c r="D24" s="36"/>
      <c r="E24" s="36"/>
      <c r="F24" s="36"/>
      <c r="G24" s="36"/>
      <c r="H24" s="36"/>
      <c r="I24" s="11"/>
      <c r="J24" s="36" t="str">
        <f>IF($I24="","",ROUND(1+($D24*(SUMIFS(OBJECT_CONDITIONS!$W:$W,OBJECT_CONDITIONS!$A:$A,$I24)-1))+($E24*(SUMIFS(OBJECT_CONDITIONS!$J:$J,OBJECT_CONDITIONS!$A:$A,$I24)-1))+($F24*(SUMIFS(OBJECT_CONDITIONS!$L:$L,OBJECT_CONDITIONS!$A:$A,$I24)-1))+($G24*(SUMIFS(OBJECT_CONDITIONS!$N:$N,OBJECT_CONDITIONS!$A:$A,$I24)-1))+($H24*(SUMIFS(OBJECT_CONDITIONS!$R:$R,OBJECT_CONDITIONS!$A:$A,$I24)-1)),3))</f>
        <v/>
      </c>
      <c r="K24" s="11"/>
    </row>
    <row r="25" ht="14.25" customHeight="1">
      <c r="A25" s="11"/>
      <c r="B25" s="11"/>
      <c r="C25" s="11"/>
      <c r="D25" s="36"/>
      <c r="E25" s="36"/>
      <c r="F25" s="36"/>
      <c r="G25" s="36"/>
      <c r="H25" s="36"/>
      <c r="I25" s="11"/>
      <c r="J25" s="36" t="str">
        <f>IF($I25="","",ROUND(1+($D25*(SUMIFS(OBJECT_CONDITIONS!$W:$W,OBJECT_CONDITIONS!$A:$A,$I25)-1))+($E25*(SUMIFS(OBJECT_CONDITIONS!$J:$J,OBJECT_CONDITIONS!$A:$A,$I25)-1))+($F25*(SUMIFS(OBJECT_CONDITIONS!$L:$L,OBJECT_CONDITIONS!$A:$A,$I25)-1))+($G25*(SUMIFS(OBJECT_CONDITIONS!$N:$N,OBJECT_CONDITIONS!$A:$A,$I25)-1))+($H25*(SUMIFS(OBJECT_CONDITIONS!$R:$R,OBJECT_CONDITIONS!$A:$A,$I25)-1)),3))</f>
        <v/>
      </c>
      <c r="K25" s="11"/>
    </row>
    <row r="26" ht="14.25" customHeight="1">
      <c r="A26" s="11"/>
      <c r="B26" s="11"/>
      <c r="C26" s="11"/>
      <c r="D26" s="36"/>
      <c r="E26" s="36"/>
      <c r="F26" s="36"/>
      <c r="G26" s="36"/>
      <c r="H26" s="36"/>
      <c r="I26" s="11"/>
      <c r="J26" s="36" t="str">
        <f>IF($I26="","",ROUND(1+($D26*(SUMIFS(OBJECT_CONDITIONS!$W:$W,OBJECT_CONDITIONS!$A:$A,$I26)-1))+($E26*(SUMIFS(OBJECT_CONDITIONS!$J:$J,OBJECT_CONDITIONS!$A:$A,$I26)-1))+($F26*(SUMIFS(OBJECT_CONDITIONS!$L:$L,OBJECT_CONDITIONS!$A:$A,$I26)-1))+($G26*(SUMIFS(OBJECT_CONDITIONS!$N:$N,OBJECT_CONDITIONS!$A:$A,$I26)-1))+($H26*(SUMIFS(OBJECT_CONDITIONS!$R:$R,OBJECT_CONDITIONS!$A:$A,$I26)-1)),3))</f>
        <v/>
      </c>
      <c r="K26" s="11"/>
    </row>
    <row r="27" ht="14.25" customHeight="1">
      <c r="A27" s="11"/>
      <c r="B27" s="11"/>
      <c r="C27" s="11"/>
      <c r="D27" s="36"/>
      <c r="E27" s="36"/>
      <c r="F27" s="36"/>
      <c r="G27" s="36"/>
      <c r="H27" s="36"/>
      <c r="I27" s="11"/>
      <c r="J27" s="36" t="str">
        <f>IF($I27="","",ROUND(1+($D27*(SUMIFS(OBJECT_CONDITIONS!$W:$W,OBJECT_CONDITIONS!$A:$A,$I27)-1))+($E27*(SUMIFS(OBJECT_CONDITIONS!$J:$J,OBJECT_CONDITIONS!$A:$A,$I27)-1))+($F27*(SUMIFS(OBJECT_CONDITIONS!$L:$L,OBJECT_CONDITIONS!$A:$A,$I27)-1))+($G27*(SUMIFS(OBJECT_CONDITIONS!$N:$N,OBJECT_CONDITIONS!$A:$A,$I27)-1))+($H27*(SUMIFS(OBJECT_CONDITIONS!$R:$R,OBJECT_CONDITIONS!$A:$A,$I27)-1)),3))</f>
        <v/>
      </c>
      <c r="K27" s="11"/>
    </row>
    <row r="28" ht="14.25" customHeight="1">
      <c r="A28" s="11"/>
      <c r="B28" s="11"/>
      <c r="C28" s="11"/>
      <c r="D28" s="36"/>
      <c r="E28" s="36"/>
      <c r="F28" s="36"/>
      <c r="G28" s="36"/>
      <c r="H28" s="36"/>
      <c r="I28" s="11"/>
      <c r="J28" s="36" t="str">
        <f>IF($I28="","",ROUND(1+($D28*(SUMIFS(OBJECT_CONDITIONS!$W:$W,OBJECT_CONDITIONS!$A:$A,$I28)-1))+($E28*(SUMIFS(OBJECT_CONDITIONS!$J:$J,OBJECT_CONDITIONS!$A:$A,$I28)-1))+($F28*(SUMIFS(OBJECT_CONDITIONS!$L:$L,OBJECT_CONDITIONS!$A:$A,$I28)-1))+($G28*(SUMIFS(OBJECT_CONDITIONS!$N:$N,OBJECT_CONDITIONS!$A:$A,$I28)-1))+($H28*(SUMIFS(OBJECT_CONDITIONS!$R:$R,OBJECT_CONDITIONS!$A:$A,$I28)-1)),3))</f>
        <v/>
      </c>
      <c r="K28" s="11"/>
    </row>
    <row r="29" ht="14.25" customHeight="1">
      <c r="A29" s="11"/>
      <c r="B29" s="11"/>
      <c r="C29" s="11"/>
      <c r="D29" s="36"/>
      <c r="E29" s="36"/>
      <c r="F29" s="36"/>
      <c r="G29" s="36"/>
      <c r="H29" s="36"/>
      <c r="I29" s="11"/>
      <c r="J29" s="36" t="str">
        <f>IF($I29="","",ROUND(1+($D29*(SUMIFS(OBJECT_CONDITIONS!$W:$W,OBJECT_CONDITIONS!$A:$A,$I29)-1))+($E29*(SUMIFS(OBJECT_CONDITIONS!$J:$J,OBJECT_CONDITIONS!$A:$A,$I29)-1))+($F29*(SUMIFS(OBJECT_CONDITIONS!$L:$L,OBJECT_CONDITIONS!$A:$A,$I29)-1))+($G29*(SUMIFS(OBJECT_CONDITIONS!$N:$N,OBJECT_CONDITIONS!$A:$A,$I29)-1))+($H29*(SUMIFS(OBJECT_CONDITIONS!$R:$R,OBJECT_CONDITIONS!$A:$A,$I29)-1)),3))</f>
        <v/>
      </c>
      <c r="K29" s="11"/>
    </row>
    <row r="30" ht="14.25" customHeight="1">
      <c r="A30" s="11"/>
      <c r="B30" s="11"/>
      <c r="C30" s="11"/>
      <c r="D30" s="36"/>
      <c r="E30" s="36"/>
      <c r="F30" s="36"/>
      <c r="G30" s="36"/>
      <c r="H30" s="36"/>
      <c r="I30" s="11"/>
      <c r="J30" s="36" t="str">
        <f>IF($I30="","",ROUND(1+($D30*(SUMIFS(OBJECT_CONDITIONS!$W:$W,OBJECT_CONDITIONS!$A:$A,$I30)-1))+($E30*(SUMIFS(OBJECT_CONDITIONS!$J:$J,OBJECT_CONDITIONS!$A:$A,$I30)-1))+($F30*(SUMIFS(OBJECT_CONDITIONS!$L:$L,OBJECT_CONDITIONS!$A:$A,$I30)-1))+($G30*(SUMIFS(OBJECT_CONDITIONS!$N:$N,OBJECT_CONDITIONS!$A:$A,$I30)-1))+($H30*(SUMIFS(OBJECT_CONDITIONS!$R:$R,OBJECT_CONDITIONS!$A:$A,$I30)-1)),3))</f>
        <v/>
      </c>
      <c r="K30" s="11"/>
    </row>
    <row r="31" ht="14.25" customHeight="1">
      <c r="A31" s="11"/>
      <c r="B31" s="11"/>
      <c r="C31" s="11"/>
      <c r="D31" s="36"/>
      <c r="E31" s="36"/>
      <c r="F31" s="36"/>
      <c r="G31" s="36"/>
      <c r="H31" s="36"/>
      <c r="I31" s="11"/>
      <c r="J31" s="36" t="str">
        <f>IF($I31="","",ROUND(1+($D31*(SUMIFS(OBJECT_CONDITIONS!$W:$W,OBJECT_CONDITIONS!$A:$A,$I31)-1))+($E31*(SUMIFS(OBJECT_CONDITIONS!$J:$J,OBJECT_CONDITIONS!$A:$A,$I31)-1))+($F31*(SUMIFS(OBJECT_CONDITIONS!$L:$L,OBJECT_CONDITIONS!$A:$A,$I31)-1))+($G31*(SUMIFS(OBJECT_CONDITIONS!$N:$N,OBJECT_CONDITIONS!$A:$A,$I31)-1))+($H31*(SUMIFS(OBJECT_CONDITIONS!$R:$R,OBJECT_CONDITIONS!$A:$A,$I31)-1)),3))</f>
        <v/>
      </c>
      <c r="K31" s="11"/>
    </row>
    <row r="32" ht="14.25" customHeight="1">
      <c r="A32" s="11"/>
      <c r="B32" s="11"/>
      <c r="C32" s="11"/>
      <c r="D32" s="36"/>
      <c r="E32" s="36"/>
      <c r="F32" s="36"/>
      <c r="G32" s="36"/>
      <c r="H32" s="36"/>
      <c r="I32" s="11"/>
      <c r="J32" s="36" t="str">
        <f>IF($I32="","",ROUND(1+($D32*(SUMIFS(OBJECT_CONDITIONS!$W:$W,OBJECT_CONDITIONS!$A:$A,$I32)-1))+($E32*(SUMIFS(OBJECT_CONDITIONS!$J:$J,OBJECT_CONDITIONS!$A:$A,$I32)-1))+($F32*(SUMIFS(OBJECT_CONDITIONS!$L:$L,OBJECT_CONDITIONS!$A:$A,$I32)-1))+($G32*(SUMIFS(OBJECT_CONDITIONS!$N:$N,OBJECT_CONDITIONS!$A:$A,$I32)-1))+($H32*(SUMIFS(OBJECT_CONDITIONS!$R:$R,OBJECT_CONDITIONS!$A:$A,$I32)-1)),3))</f>
        <v/>
      </c>
      <c r="K32" s="11"/>
    </row>
    <row r="33" ht="14.25" customHeight="1">
      <c r="A33" s="11"/>
      <c r="B33" s="11"/>
      <c r="C33" s="11"/>
      <c r="D33" s="36"/>
      <c r="E33" s="36"/>
      <c r="F33" s="36"/>
      <c r="G33" s="36"/>
      <c r="H33" s="36"/>
      <c r="I33" s="11"/>
      <c r="J33" s="36" t="str">
        <f>IF($I33="","",ROUND(1+($D33*(SUMIFS(OBJECT_CONDITIONS!$W:$W,OBJECT_CONDITIONS!$A:$A,$I33)-1))+($E33*(SUMIFS(OBJECT_CONDITIONS!$J:$J,OBJECT_CONDITIONS!$A:$A,$I33)-1))+($F33*(SUMIFS(OBJECT_CONDITIONS!$L:$L,OBJECT_CONDITIONS!$A:$A,$I33)-1))+($G33*(SUMIFS(OBJECT_CONDITIONS!$N:$N,OBJECT_CONDITIONS!$A:$A,$I33)-1))+($H33*(SUMIFS(OBJECT_CONDITIONS!$R:$R,OBJECT_CONDITIONS!$A:$A,$I33)-1)),3))</f>
        <v/>
      </c>
      <c r="K33" s="11"/>
    </row>
    <row r="34" ht="14.25" customHeight="1">
      <c r="A34" s="11"/>
      <c r="B34" s="11"/>
      <c r="C34" s="11"/>
      <c r="D34" s="36"/>
      <c r="E34" s="36"/>
      <c r="F34" s="36"/>
      <c r="G34" s="36"/>
      <c r="H34" s="36"/>
      <c r="I34" s="11"/>
      <c r="J34" s="36" t="str">
        <f>IF($I34="","",ROUND(1+($D34*(SUMIFS(OBJECT_CONDITIONS!$W:$W,OBJECT_CONDITIONS!$A:$A,$I34)-1))+($E34*(SUMIFS(OBJECT_CONDITIONS!$J:$J,OBJECT_CONDITIONS!$A:$A,$I34)-1))+($F34*(SUMIFS(OBJECT_CONDITIONS!$L:$L,OBJECT_CONDITIONS!$A:$A,$I34)-1))+($G34*(SUMIFS(OBJECT_CONDITIONS!$N:$N,OBJECT_CONDITIONS!$A:$A,$I34)-1))+($H34*(SUMIFS(OBJECT_CONDITIONS!$R:$R,OBJECT_CONDITIONS!$A:$A,$I34)-1)),3))</f>
        <v/>
      </c>
      <c r="K34" s="11"/>
    </row>
    <row r="35" ht="14.25" customHeight="1">
      <c r="A35" s="11"/>
      <c r="B35" s="11"/>
      <c r="C35" s="11"/>
      <c r="D35" s="36"/>
      <c r="E35" s="36"/>
      <c r="F35" s="36"/>
      <c r="G35" s="36"/>
      <c r="H35" s="36"/>
      <c r="I35" s="11"/>
      <c r="J35" s="36" t="str">
        <f>IF($I35="","",ROUND(1+($D35*(SUMIFS(OBJECT_CONDITIONS!$W:$W,OBJECT_CONDITIONS!$A:$A,$I35)-1))+($E35*(SUMIFS(OBJECT_CONDITIONS!$J:$J,OBJECT_CONDITIONS!$A:$A,$I35)-1))+($F35*(SUMIFS(OBJECT_CONDITIONS!$L:$L,OBJECT_CONDITIONS!$A:$A,$I35)-1))+($G35*(SUMIFS(OBJECT_CONDITIONS!$N:$N,OBJECT_CONDITIONS!$A:$A,$I35)-1))+($H35*(SUMIFS(OBJECT_CONDITIONS!$R:$R,OBJECT_CONDITIONS!$A:$A,$I35)-1)),3))</f>
        <v/>
      </c>
      <c r="K35" s="11"/>
    </row>
    <row r="36" ht="14.25" customHeight="1">
      <c r="A36" s="11"/>
      <c r="B36" s="11"/>
      <c r="C36" s="11"/>
      <c r="D36" s="36"/>
      <c r="E36" s="36"/>
      <c r="F36" s="36"/>
      <c r="G36" s="36"/>
      <c r="H36" s="36"/>
      <c r="I36" s="11"/>
      <c r="J36" s="36" t="str">
        <f>IF($I36="","",ROUND(1+($D36*(SUMIFS(OBJECT_CONDITIONS!$W:$W,OBJECT_CONDITIONS!$A:$A,$I36)-1))+($E36*(SUMIFS(OBJECT_CONDITIONS!$J:$J,OBJECT_CONDITIONS!$A:$A,$I36)-1))+($F36*(SUMIFS(OBJECT_CONDITIONS!$L:$L,OBJECT_CONDITIONS!$A:$A,$I36)-1))+($G36*(SUMIFS(OBJECT_CONDITIONS!$N:$N,OBJECT_CONDITIONS!$A:$A,$I36)-1))+($H36*(SUMIFS(OBJECT_CONDITIONS!$R:$R,OBJECT_CONDITIONS!$A:$A,$I36)-1)),3))</f>
        <v/>
      </c>
      <c r="K36" s="11"/>
    </row>
    <row r="37" ht="14.25" customHeight="1">
      <c r="A37" s="11"/>
      <c r="B37" s="11"/>
      <c r="C37" s="11"/>
      <c r="D37" s="36"/>
      <c r="E37" s="36"/>
      <c r="F37" s="36"/>
      <c r="G37" s="36"/>
      <c r="H37" s="36"/>
      <c r="I37" s="11"/>
      <c r="J37" s="36" t="str">
        <f>IF($I37="","",ROUND(1+($D37*(SUMIFS(OBJECT_CONDITIONS!$W:$W,OBJECT_CONDITIONS!$A:$A,$I37)-1))+($E37*(SUMIFS(OBJECT_CONDITIONS!$J:$J,OBJECT_CONDITIONS!$A:$A,$I37)-1))+($F37*(SUMIFS(OBJECT_CONDITIONS!$L:$L,OBJECT_CONDITIONS!$A:$A,$I37)-1))+($G37*(SUMIFS(OBJECT_CONDITIONS!$N:$N,OBJECT_CONDITIONS!$A:$A,$I37)-1))+($H37*(SUMIFS(OBJECT_CONDITIONS!$R:$R,OBJECT_CONDITIONS!$A:$A,$I37)-1)),3))</f>
        <v/>
      </c>
      <c r="K37" s="11"/>
    </row>
    <row r="38" ht="14.25" customHeight="1">
      <c r="A38" s="11"/>
      <c r="B38" s="11"/>
      <c r="C38" s="11"/>
      <c r="D38" s="36"/>
      <c r="E38" s="36"/>
      <c r="F38" s="36"/>
      <c r="G38" s="36"/>
      <c r="H38" s="36"/>
      <c r="I38" s="11"/>
      <c r="J38" s="36" t="str">
        <f>IF($I38="","",ROUND(1+($D38*(SUMIFS(OBJECT_CONDITIONS!$W:$W,OBJECT_CONDITIONS!$A:$A,$I38)-1))+($E38*(SUMIFS(OBJECT_CONDITIONS!$J:$J,OBJECT_CONDITIONS!$A:$A,$I38)-1))+($F38*(SUMIFS(OBJECT_CONDITIONS!$L:$L,OBJECT_CONDITIONS!$A:$A,$I38)-1))+($G38*(SUMIFS(OBJECT_CONDITIONS!$N:$N,OBJECT_CONDITIONS!$A:$A,$I38)-1))+($H38*(SUMIFS(OBJECT_CONDITIONS!$R:$R,OBJECT_CONDITIONS!$A:$A,$I38)-1)),3))</f>
        <v/>
      </c>
      <c r="K38" s="11"/>
    </row>
    <row r="39" ht="14.25" customHeight="1">
      <c r="A39" s="11"/>
      <c r="B39" s="11"/>
      <c r="C39" s="11"/>
      <c r="D39" s="36"/>
      <c r="E39" s="36"/>
      <c r="F39" s="36"/>
      <c r="G39" s="36"/>
      <c r="H39" s="36"/>
      <c r="I39" s="11"/>
      <c r="J39" s="36" t="str">
        <f>IF($I39="","",ROUND(1+($D39*(SUMIFS(OBJECT_CONDITIONS!$W:$W,OBJECT_CONDITIONS!$A:$A,$I39)-1))+($E39*(SUMIFS(OBJECT_CONDITIONS!$J:$J,OBJECT_CONDITIONS!$A:$A,$I39)-1))+($F39*(SUMIFS(OBJECT_CONDITIONS!$L:$L,OBJECT_CONDITIONS!$A:$A,$I39)-1))+($G39*(SUMIFS(OBJECT_CONDITIONS!$N:$N,OBJECT_CONDITIONS!$A:$A,$I39)-1))+($H39*(SUMIFS(OBJECT_CONDITIONS!$R:$R,OBJECT_CONDITIONS!$A:$A,$I39)-1)),3))</f>
        <v/>
      </c>
      <c r="K39" s="11"/>
    </row>
    <row r="40" ht="14.25" customHeight="1">
      <c r="A40" s="11"/>
      <c r="B40" s="11"/>
      <c r="C40" s="11"/>
      <c r="D40" s="36"/>
      <c r="E40" s="36"/>
      <c r="F40" s="36"/>
      <c r="G40" s="36"/>
      <c r="H40" s="36"/>
      <c r="I40" s="11"/>
      <c r="J40" s="36" t="str">
        <f>IF($I40="","",ROUND(1+($D40*(SUMIFS(OBJECT_CONDITIONS!$W:$W,OBJECT_CONDITIONS!$A:$A,$I40)-1))+($E40*(SUMIFS(OBJECT_CONDITIONS!$J:$J,OBJECT_CONDITIONS!$A:$A,$I40)-1))+($F40*(SUMIFS(OBJECT_CONDITIONS!$L:$L,OBJECT_CONDITIONS!$A:$A,$I40)-1))+($G40*(SUMIFS(OBJECT_CONDITIONS!$N:$N,OBJECT_CONDITIONS!$A:$A,$I40)-1))+($H40*(SUMIFS(OBJECT_CONDITIONS!$R:$R,OBJECT_CONDITIONS!$A:$A,$I40)-1)),3))</f>
        <v/>
      </c>
      <c r="K40" s="11"/>
    </row>
    <row r="41" ht="14.25" customHeight="1">
      <c r="A41" s="11"/>
      <c r="B41" s="11"/>
      <c r="C41" s="11"/>
      <c r="D41" s="36"/>
      <c r="E41" s="36"/>
      <c r="F41" s="36"/>
      <c r="G41" s="36"/>
      <c r="H41" s="36"/>
      <c r="I41" s="11"/>
      <c r="J41" s="36" t="str">
        <f>IF($I41="","",ROUND(1+($D41*(SUMIFS(OBJECT_CONDITIONS!$W:$W,OBJECT_CONDITIONS!$A:$A,$I41)-1))+($E41*(SUMIFS(OBJECT_CONDITIONS!$J:$J,OBJECT_CONDITIONS!$A:$A,$I41)-1))+($F41*(SUMIFS(OBJECT_CONDITIONS!$L:$L,OBJECT_CONDITIONS!$A:$A,$I41)-1))+($G41*(SUMIFS(OBJECT_CONDITIONS!$N:$N,OBJECT_CONDITIONS!$A:$A,$I41)-1))+($H41*(SUMIFS(OBJECT_CONDITIONS!$R:$R,OBJECT_CONDITIONS!$A:$A,$I41)-1)),3))</f>
        <v/>
      </c>
      <c r="K41" s="11"/>
    </row>
    <row r="42" ht="14.25" customHeight="1">
      <c r="A42" s="11"/>
      <c r="B42" s="11"/>
      <c r="C42" s="11"/>
      <c r="D42" s="36"/>
      <c r="E42" s="36"/>
      <c r="F42" s="36"/>
      <c r="G42" s="36"/>
      <c r="H42" s="36"/>
      <c r="I42" s="11"/>
      <c r="J42" s="36" t="str">
        <f>IF($I42="","",ROUND(1+($D42*(SUMIFS(OBJECT_CONDITIONS!$W:$W,OBJECT_CONDITIONS!$A:$A,$I42)-1))+($E42*(SUMIFS(OBJECT_CONDITIONS!$J:$J,OBJECT_CONDITIONS!$A:$A,$I42)-1))+($F42*(SUMIFS(OBJECT_CONDITIONS!$L:$L,OBJECT_CONDITIONS!$A:$A,$I42)-1))+($G42*(SUMIFS(OBJECT_CONDITIONS!$N:$N,OBJECT_CONDITIONS!$A:$A,$I42)-1))+($H42*(SUMIFS(OBJECT_CONDITIONS!$R:$R,OBJECT_CONDITIONS!$A:$A,$I42)-1)),3))</f>
        <v/>
      </c>
      <c r="K42" s="11"/>
    </row>
    <row r="43" ht="14.25" customHeight="1">
      <c r="A43" s="11"/>
      <c r="B43" s="11"/>
      <c r="C43" s="11"/>
      <c r="D43" s="36"/>
      <c r="E43" s="36"/>
      <c r="F43" s="36"/>
      <c r="G43" s="36"/>
      <c r="H43" s="36"/>
      <c r="I43" s="11"/>
      <c r="J43" s="36" t="str">
        <f>IF($I43="","",ROUND(1+($D43*(SUMIFS(OBJECT_CONDITIONS!$W:$W,OBJECT_CONDITIONS!$A:$A,$I43)-1))+($E43*(SUMIFS(OBJECT_CONDITIONS!$J:$J,OBJECT_CONDITIONS!$A:$A,$I43)-1))+($F43*(SUMIFS(OBJECT_CONDITIONS!$L:$L,OBJECT_CONDITIONS!$A:$A,$I43)-1))+($G43*(SUMIFS(OBJECT_CONDITIONS!$N:$N,OBJECT_CONDITIONS!$A:$A,$I43)-1))+($H43*(SUMIFS(OBJECT_CONDITIONS!$R:$R,OBJECT_CONDITIONS!$A:$A,$I43)-1)),3))</f>
        <v/>
      </c>
      <c r="K43" s="11"/>
    </row>
    <row r="44" ht="14.25" customHeight="1">
      <c r="A44" s="11"/>
      <c r="B44" s="11"/>
      <c r="C44" s="11"/>
      <c r="D44" s="36"/>
      <c r="E44" s="36"/>
      <c r="F44" s="36"/>
      <c r="G44" s="36"/>
      <c r="H44" s="36"/>
      <c r="I44" s="11"/>
      <c r="J44" s="36" t="str">
        <f>IF($I44="","",ROUND(1+($D44*(SUMIFS(OBJECT_CONDITIONS!$W:$W,OBJECT_CONDITIONS!$A:$A,$I44)-1))+($E44*(SUMIFS(OBJECT_CONDITIONS!$J:$J,OBJECT_CONDITIONS!$A:$A,$I44)-1))+($F44*(SUMIFS(OBJECT_CONDITIONS!$L:$L,OBJECT_CONDITIONS!$A:$A,$I44)-1))+($G44*(SUMIFS(OBJECT_CONDITIONS!$N:$N,OBJECT_CONDITIONS!$A:$A,$I44)-1))+($H44*(SUMIFS(OBJECT_CONDITIONS!$R:$R,OBJECT_CONDITIONS!$A:$A,$I44)-1)),3))</f>
        <v/>
      </c>
      <c r="K44" s="11"/>
    </row>
    <row r="45" ht="14.25" customHeight="1">
      <c r="A45" s="11"/>
      <c r="B45" s="11"/>
      <c r="C45" s="11"/>
      <c r="D45" s="36"/>
      <c r="E45" s="36"/>
      <c r="F45" s="36"/>
      <c r="G45" s="36"/>
      <c r="H45" s="36"/>
      <c r="I45" s="11"/>
      <c r="J45" s="36" t="str">
        <f>IF($I45="","",ROUND(1+($D45*(SUMIFS(OBJECT_CONDITIONS!$W:$W,OBJECT_CONDITIONS!$A:$A,$I45)-1))+($E45*(SUMIFS(OBJECT_CONDITIONS!$J:$J,OBJECT_CONDITIONS!$A:$A,$I45)-1))+($F45*(SUMIFS(OBJECT_CONDITIONS!$L:$L,OBJECT_CONDITIONS!$A:$A,$I45)-1))+($G45*(SUMIFS(OBJECT_CONDITIONS!$N:$N,OBJECT_CONDITIONS!$A:$A,$I45)-1))+($H45*(SUMIFS(OBJECT_CONDITIONS!$R:$R,OBJECT_CONDITIONS!$A:$A,$I45)-1)),3))</f>
        <v/>
      </c>
      <c r="K45" s="11"/>
    </row>
    <row r="46" ht="14.25" customHeight="1">
      <c r="A46" s="11"/>
      <c r="B46" s="11"/>
      <c r="C46" s="11"/>
      <c r="D46" s="36"/>
      <c r="E46" s="36"/>
      <c r="F46" s="36"/>
      <c r="G46" s="36"/>
      <c r="H46" s="36"/>
      <c r="I46" s="11"/>
      <c r="J46" s="36" t="str">
        <f>IF($I46="","",ROUND(1+($D46*(SUMIFS(OBJECT_CONDITIONS!$W:$W,OBJECT_CONDITIONS!$A:$A,$I46)-1))+($E46*(SUMIFS(OBJECT_CONDITIONS!$J:$J,OBJECT_CONDITIONS!$A:$A,$I46)-1))+($F46*(SUMIFS(OBJECT_CONDITIONS!$L:$L,OBJECT_CONDITIONS!$A:$A,$I46)-1))+($G46*(SUMIFS(OBJECT_CONDITIONS!$N:$N,OBJECT_CONDITIONS!$A:$A,$I46)-1))+($H46*(SUMIFS(OBJECT_CONDITIONS!$R:$R,OBJECT_CONDITIONS!$A:$A,$I46)-1)),3))</f>
        <v/>
      </c>
      <c r="K46" s="11"/>
    </row>
    <row r="47" ht="14.25" customHeight="1">
      <c r="A47" s="11"/>
      <c r="B47" s="11"/>
      <c r="C47" s="11"/>
      <c r="D47" s="36"/>
      <c r="E47" s="36"/>
      <c r="F47" s="36"/>
      <c r="G47" s="36"/>
      <c r="H47" s="36"/>
      <c r="I47" s="11"/>
      <c r="J47" s="36" t="str">
        <f>IF($I47="","",ROUND(1+($D47*(SUMIFS(OBJECT_CONDITIONS!$W:$W,OBJECT_CONDITIONS!$A:$A,$I47)-1))+($E47*(SUMIFS(OBJECT_CONDITIONS!$J:$J,OBJECT_CONDITIONS!$A:$A,$I47)-1))+($F47*(SUMIFS(OBJECT_CONDITIONS!$L:$L,OBJECT_CONDITIONS!$A:$A,$I47)-1))+($G47*(SUMIFS(OBJECT_CONDITIONS!$N:$N,OBJECT_CONDITIONS!$A:$A,$I47)-1))+($H47*(SUMIFS(OBJECT_CONDITIONS!$R:$R,OBJECT_CONDITIONS!$A:$A,$I47)-1)),3))</f>
        <v/>
      </c>
      <c r="K47" s="11"/>
    </row>
    <row r="48" ht="14.25" customHeight="1">
      <c r="A48" s="11"/>
      <c r="B48" s="11"/>
      <c r="C48" s="11"/>
      <c r="D48" s="36"/>
      <c r="E48" s="36"/>
      <c r="F48" s="36"/>
      <c r="G48" s="36"/>
      <c r="H48" s="36"/>
      <c r="I48" s="11"/>
      <c r="J48" s="36" t="str">
        <f>IF($I48="","",ROUND(1+($D48*(SUMIFS(OBJECT_CONDITIONS!$W:$W,OBJECT_CONDITIONS!$A:$A,$I48)-1))+($E48*(SUMIFS(OBJECT_CONDITIONS!$J:$J,OBJECT_CONDITIONS!$A:$A,$I48)-1))+($F48*(SUMIFS(OBJECT_CONDITIONS!$L:$L,OBJECT_CONDITIONS!$A:$A,$I48)-1))+($G48*(SUMIFS(OBJECT_CONDITIONS!$N:$N,OBJECT_CONDITIONS!$A:$A,$I48)-1))+($H48*(SUMIFS(OBJECT_CONDITIONS!$R:$R,OBJECT_CONDITIONS!$A:$A,$I48)-1)),3))</f>
        <v/>
      </c>
      <c r="K48" s="11"/>
    </row>
    <row r="49" ht="14.25" customHeight="1">
      <c r="A49" s="11"/>
      <c r="B49" s="11"/>
      <c r="C49" s="11"/>
      <c r="D49" s="36"/>
      <c r="E49" s="36"/>
      <c r="F49" s="36"/>
      <c r="G49" s="36"/>
      <c r="H49" s="36"/>
      <c r="I49" s="11"/>
      <c r="J49" s="36" t="str">
        <f>IF($I49="","",ROUND(1+($D49*(SUMIFS(OBJECT_CONDITIONS!$W:$W,OBJECT_CONDITIONS!$A:$A,$I49)-1))+($E49*(SUMIFS(OBJECT_CONDITIONS!$J:$J,OBJECT_CONDITIONS!$A:$A,$I49)-1))+($F49*(SUMIFS(OBJECT_CONDITIONS!$L:$L,OBJECT_CONDITIONS!$A:$A,$I49)-1))+($G49*(SUMIFS(OBJECT_CONDITIONS!$N:$N,OBJECT_CONDITIONS!$A:$A,$I49)-1))+($H49*(SUMIFS(OBJECT_CONDITIONS!$R:$R,OBJECT_CONDITIONS!$A:$A,$I49)-1)),3))</f>
        <v/>
      </c>
      <c r="K49" s="11"/>
    </row>
    <row r="50" ht="14.25" customHeight="1">
      <c r="A50" s="11"/>
      <c r="B50" s="11"/>
      <c r="C50" s="11"/>
      <c r="D50" s="36"/>
      <c r="E50" s="36"/>
      <c r="F50" s="36"/>
      <c r="G50" s="36"/>
      <c r="H50" s="36"/>
      <c r="I50" s="11"/>
      <c r="J50" s="36" t="str">
        <f>IF($I50="","",ROUND(1+($D50*(SUMIFS(OBJECT_CONDITIONS!$W:$W,OBJECT_CONDITIONS!$A:$A,$I50)-1))+($E50*(SUMIFS(OBJECT_CONDITIONS!$J:$J,OBJECT_CONDITIONS!$A:$A,$I50)-1))+($F50*(SUMIFS(OBJECT_CONDITIONS!$L:$L,OBJECT_CONDITIONS!$A:$A,$I50)-1))+($G50*(SUMIFS(OBJECT_CONDITIONS!$N:$N,OBJECT_CONDITIONS!$A:$A,$I50)-1))+($H50*(SUMIFS(OBJECT_CONDITIONS!$R:$R,OBJECT_CONDITIONS!$A:$A,$I50)-1)),3))</f>
        <v/>
      </c>
      <c r="K50" s="11"/>
    </row>
    <row r="51" ht="14.25" customHeight="1">
      <c r="A51" s="11"/>
      <c r="B51" s="11"/>
      <c r="C51" s="11"/>
      <c r="D51" s="36"/>
      <c r="E51" s="36"/>
      <c r="F51" s="36"/>
      <c r="G51" s="36"/>
      <c r="H51" s="36"/>
      <c r="I51" s="11"/>
      <c r="J51" s="36" t="str">
        <f>IF($I51="","",ROUND(1+($D51*(SUMIFS(OBJECT_CONDITIONS!$W:$W,OBJECT_CONDITIONS!$A:$A,$I51)-1))+($E51*(SUMIFS(OBJECT_CONDITIONS!$J:$J,OBJECT_CONDITIONS!$A:$A,$I51)-1))+($F51*(SUMIFS(OBJECT_CONDITIONS!$L:$L,OBJECT_CONDITIONS!$A:$A,$I51)-1))+($G51*(SUMIFS(OBJECT_CONDITIONS!$N:$N,OBJECT_CONDITIONS!$A:$A,$I51)-1))+($H51*(SUMIFS(OBJECT_CONDITIONS!$R:$R,OBJECT_CONDITIONS!$A:$A,$I51)-1)),3))</f>
        <v/>
      </c>
      <c r="K51" s="11"/>
    </row>
    <row r="52" ht="14.25" customHeight="1">
      <c r="A52" s="11"/>
      <c r="B52" s="11"/>
      <c r="C52" s="11"/>
      <c r="D52" s="36"/>
      <c r="E52" s="36"/>
      <c r="F52" s="36"/>
      <c r="G52" s="36"/>
      <c r="H52" s="36"/>
      <c r="I52" s="11"/>
      <c r="J52" s="36" t="str">
        <f>IF($I52="","",ROUND(1+($D52*(SUMIFS(OBJECT_CONDITIONS!$W:$W,OBJECT_CONDITIONS!$A:$A,$I52)-1))+($E52*(SUMIFS(OBJECT_CONDITIONS!$J:$J,OBJECT_CONDITIONS!$A:$A,$I52)-1))+($F52*(SUMIFS(OBJECT_CONDITIONS!$L:$L,OBJECT_CONDITIONS!$A:$A,$I52)-1))+($G52*(SUMIFS(OBJECT_CONDITIONS!$N:$N,OBJECT_CONDITIONS!$A:$A,$I52)-1))+($H52*(SUMIFS(OBJECT_CONDITIONS!$R:$R,OBJECT_CONDITIONS!$A:$A,$I52)-1)),3))</f>
        <v/>
      </c>
      <c r="K52" s="11"/>
    </row>
    <row r="53" ht="14.25" customHeight="1">
      <c r="A53" s="11"/>
      <c r="B53" s="11"/>
      <c r="C53" s="11"/>
      <c r="D53" s="36"/>
      <c r="E53" s="36"/>
      <c r="F53" s="36"/>
      <c r="G53" s="36"/>
      <c r="H53" s="36"/>
      <c r="I53" s="11"/>
      <c r="J53" s="36" t="str">
        <f>IF($I53="","",ROUND(1+($D53*(SUMIFS(OBJECT_CONDITIONS!$W:$W,OBJECT_CONDITIONS!$A:$A,$I53)-1))+($E53*(SUMIFS(OBJECT_CONDITIONS!$J:$J,OBJECT_CONDITIONS!$A:$A,$I53)-1))+($F53*(SUMIFS(OBJECT_CONDITIONS!$L:$L,OBJECT_CONDITIONS!$A:$A,$I53)-1))+($G53*(SUMIFS(OBJECT_CONDITIONS!$N:$N,OBJECT_CONDITIONS!$A:$A,$I53)-1))+($H53*(SUMIFS(OBJECT_CONDITIONS!$R:$R,OBJECT_CONDITIONS!$A:$A,$I53)-1)),3))</f>
        <v/>
      </c>
      <c r="K53" s="11"/>
    </row>
    <row r="54" ht="14.25" customHeight="1">
      <c r="A54" s="11"/>
      <c r="B54" s="11"/>
      <c r="C54" s="11"/>
      <c r="D54" s="36"/>
      <c r="E54" s="36"/>
      <c r="F54" s="36"/>
      <c r="G54" s="36"/>
      <c r="H54" s="36"/>
      <c r="I54" s="11"/>
      <c r="J54" s="36" t="str">
        <f>IF($I54="","",ROUND(1+($D54*(SUMIFS(OBJECT_CONDITIONS!$W:$W,OBJECT_CONDITIONS!$A:$A,$I54)-1))+($E54*(SUMIFS(OBJECT_CONDITIONS!$J:$J,OBJECT_CONDITIONS!$A:$A,$I54)-1))+($F54*(SUMIFS(OBJECT_CONDITIONS!$L:$L,OBJECT_CONDITIONS!$A:$A,$I54)-1))+($G54*(SUMIFS(OBJECT_CONDITIONS!$N:$N,OBJECT_CONDITIONS!$A:$A,$I54)-1))+($H54*(SUMIFS(OBJECT_CONDITIONS!$R:$R,OBJECT_CONDITIONS!$A:$A,$I54)-1)),3))</f>
        <v/>
      </c>
      <c r="K54" s="11"/>
    </row>
    <row r="55" ht="14.25" customHeight="1">
      <c r="A55" s="11"/>
      <c r="B55" s="11"/>
      <c r="C55" s="11"/>
      <c r="D55" s="36"/>
      <c r="E55" s="36"/>
      <c r="F55" s="36"/>
      <c r="G55" s="36"/>
      <c r="H55" s="36"/>
      <c r="I55" s="11"/>
      <c r="J55" s="36" t="str">
        <f>IF($I55="","",ROUND(1+($D55*(SUMIFS(OBJECT_CONDITIONS!$W:$W,OBJECT_CONDITIONS!$A:$A,$I55)-1))+($E55*(SUMIFS(OBJECT_CONDITIONS!$J:$J,OBJECT_CONDITIONS!$A:$A,$I55)-1))+($F55*(SUMIFS(OBJECT_CONDITIONS!$L:$L,OBJECT_CONDITIONS!$A:$A,$I55)-1))+($G55*(SUMIFS(OBJECT_CONDITIONS!$N:$N,OBJECT_CONDITIONS!$A:$A,$I55)-1))+($H55*(SUMIFS(OBJECT_CONDITIONS!$R:$R,OBJECT_CONDITIONS!$A:$A,$I55)-1)),3))</f>
        <v/>
      </c>
      <c r="K55" s="11"/>
    </row>
    <row r="56" ht="14.25" customHeight="1">
      <c r="A56" s="11"/>
      <c r="B56" s="11"/>
      <c r="C56" s="11"/>
      <c r="D56" s="36"/>
      <c r="E56" s="36"/>
      <c r="F56" s="36"/>
      <c r="G56" s="36"/>
      <c r="H56" s="36"/>
      <c r="I56" s="11"/>
      <c r="J56" s="36" t="str">
        <f>IF($I56="","",ROUND(1+($D56*(SUMIFS(OBJECT_CONDITIONS!$W:$W,OBJECT_CONDITIONS!$A:$A,$I56)-1))+($E56*(SUMIFS(OBJECT_CONDITIONS!$J:$J,OBJECT_CONDITIONS!$A:$A,$I56)-1))+($F56*(SUMIFS(OBJECT_CONDITIONS!$L:$L,OBJECT_CONDITIONS!$A:$A,$I56)-1))+($G56*(SUMIFS(OBJECT_CONDITIONS!$N:$N,OBJECT_CONDITIONS!$A:$A,$I56)-1))+($H56*(SUMIFS(OBJECT_CONDITIONS!$R:$R,OBJECT_CONDITIONS!$A:$A,$I56)-1)),3))</f>
        <v/>
      </c>
      <c r="K56" s="11"/>
    </row>
    <row r="57" ht="14.25" customHeight="1">
      <c r="A57" s="11"/>
      <c r="B57" s="11"/>
      <c r="C57" s="11"/>
      <c r="D57" s="36"/>
      <c r="E57" s="36"/>
      <c r="F57" s="36"/>
      <c r="G57" s="36"/>
      <c r="H57" s="36"/>
      <c r="I57" s="11"/>
      <c r="J57" s="36" t="str">
        <f>IF($I57="","",ROUND(1+($D57*(SUMIFS(OBJECT_CONDITIONS!$W:$W,OBJECT_CONDITIONS!$A:$A,$I57)-1))+($E57*(SUMIFS(OBJECT_CONDITIONS!$J:$J,OBJECT_CONDITIONS!$A:$A,$I57)-1))+($F57*(SUMIFS(OBJECT_CONDITIONS!$L:$L,OBJECT_CONDITIONS!$A:$A,$I57)-1))+($G57*(SUMIFS(OBJECT_CONDITIONS!$N:$N,OBJECT_CONDITIONS!$A:$A,$I57)-1))+($H57*(SUMIFS(OBJECT_CONDITIONS!$R:$R,OBJECT_CONDITIONS!$A:$A,$I57)-1)),3))</f>
        <v/>
      </c>
      <c r="K57" s="11"/>
    </row>
    <row r="58" ht="14.25" customHeight="1">
      <c r="A58" s="11"/>
      <c r="B58" s="11"/>
      <c r="C58" s="11"/>
      <c r="D58" s="36"/>
      <c r="E58" s="36"/>
      <c r="F58" s="36"/>
      <c r="G58" s="36"/>
      <c r="H58" s="36"/>
      <c r="I58" s="11"/>
      <c r="J58" s="36" t="str">
        <f>IF($I58="","",ROUND(1+($D58*(SUMIFS(OBJECT_CONDITIONS!$W:$W,OBJECT_CONDITIONS!$A:$A,$I58)-1))+($E58*(SUMIFS(OBJECT_CONDITIONS!$J:$J,OBJECT_CONDITIONS!$A:$A,$I58)-1))+($F58*(SUMIFS(OBJECT_CONDITIONS!$L:$L,OBJECT_CONDITIONS!$A:$A,$I58)-1))+($G58*(SUMIFS(OBJECT_CONDITIONS!$N:$N,OBJECT_CONDITIONS!$A:$A,$I58)-1))+($H58*(SUMIFS(OBJECT_CONDITIONS!$R:$R,OBJECT_CONDITIONS!$A:$A,$I58)-1)),3))</f>
        <v/>
      </c>
      <c r="K58" s="11"/>
    </row>
    <row r="59" ht="14.25" customHeight="1">
      <c r="A59" s="11"/>
      <c r="B59" s="11"/>
      <c r="C59" s="11"/>
      <c r="D59" s="36"/>
      <c r="E59" s="36"/>
      <c r="F59" s="36"/>
      <c r="G59" s="36"/>
      <c r="H59" s="36"/>
      <c r="I59" s="11"/>
      <c r="J59" s="36" t="str">
        <f>IF($I59="","",ROUND(1+($D59*(SUMIFS(OBJECT_CONDITIONS!$W:$W,OBJECT_CONDITIONS!$A:$A,$I59)-1))+($E59*(SUMIFS(OBJECT_CONDITIONS!$J:$J,OBJECT_CONDITIONS!$A:$A,$I59)-1))+($F59*(SUMIFS(OBJECT_CONDITIONS!$L:$L,OBJECT_CONDITIONS!$A:$A,$I59)-1))+($G59*(SUMIFS(OBJECT_CONDITIONS!$N:$N,OBJECT_CONDITIONS!$A:$A,$I59)-1))+($H59*(SUMIFS(OBJECT_CONDITIONS!$R:$R,OBJECT_CONDITIONS!$A:$A,$I59)-1)),3))</f>
        <v/>
      </c>
      <c r="K59" s="11"/>
    </row>
    <row r="60" ht="14.25" customHeight="1">
      <c r="A60" s="11"/>
      <c r="B60" s="11"/>
      <c r="C60" s="11"/>
      <c r="D60" s="36"/>
      <c r="E60" s="36"/>
      <c r="F60" s="36"/>
      <c r="G60" s="36"/>
      <c r="H60" s="36"/>
      <c r="I60" s="11"/>
      <c r="J60" s="36" t="str">
        <f>IF($I60="","",ROUND(1+($D60*(SUMIFS(OBJECT_CONDITIONS!$W:$W,OBJECT_CONDITIONS!$A:$A,$I60)-1))+($E60*(SUMIFS(OBJECT_CONDITIONS!$J:$J,OBJECT_CONDITIONS!$A:$A,$I60)-1))+($F60*(SUMIFS(OBJECT_CONDITIONS!$L:$L,OBJECT_CONDITIONS!$A:$A,$I60)-1))+($G60*(SUMIFS(OBJECT_CONDITIONS!$N:$N,OBJECT_CONDITIONS!$A:$A,$I60)-1))+($H60*(SUMIFS(OBJECT_CONDITIONS!$R:$R,OBJECT_CONDITIONS!$A:$A,$I60)-1)),3))</f>
        <v/>
      </c>
      <c r="K60" s="11"/>
    </row>
    <row r="61" ht="14.25" customHeight="1">
      <c r="A61" s="11"/>
      <c r="B61" s="11"/>
      <c r="C61" s="11"/>
      <c r="D61" s="36"/>
      <c r="E61" s="36"/>
      <c r="F61" s="36"/>
      <c r="G61" s="36"/>
      <c r="H61" s="36"/>
      <c r="I61" s="11"/>
      <c r="J61" s="36" t="str">
        <f>IF($I61="","",ROUND(1+($D61*(SUMIFS(OBJECT_CONDITIONS!$W:$W,OBJECT_CONDITIONS!$A:$A,$I61)-1))+($E61*(SUMIFS(OBJECT_CONDITIONS!$J:$J,OBJECT_CONDITIONS!$A:$A,$I61)-1))+($F61*(SUMIFS(OBJECT_CONDITIONS!$L:$L,OBJECT_CONDITIONS!$A:$A,$I61)-1))+($G61*(SUMIFS(OBJECT_CONDITIONS!$N:$N,OBJECT_CONDITIONS!$A:$A,$I61)-1))+($H61*(SUMIFS(OBJECT_CONDITIONS!$R:$R,OBJECT_CONDITIONS!$A:$A,$I61)-1)),3))</f>
        <v/>
      </c>
      <c r="K61" s="11"/>
    </row>
    <row r="62" ht="14.25" customHeight="1">
      <c r="A62" s="11"/>
      <c r="B62" s="11"/>
      <c r="C62" s="11"/>
      <c r="D62" s="36"/>
      <c r="E62" s="36"/>
      <c r="F62" s="36"/>
      <c r="G62" s="36"/>
      <c r="H62" s="36"/>
      <c r="I62" s="11"/>
      <c r="J62" s="36" t="str">
        <f>IF($I62="","",ROUND(1+($D62*(SUMIFS(OBJECT_CONDITIONS!$W:$W,OBJECT_CONDITIONS!$A:$A,$I62)-1))+($E62*(SUMIFS(OBJECT_CONDITIONS!$J:$J,OBJECT_CONDITIONS!$A:$A,$I62)-1))+($F62*(SUMIFS(OBJECT_CONDITIONS!$L:$L,OBJECT_CONDITIONS!$A:$A,$I62)-1))+($G62*(SUMIFS(OBJECT_CONDITIONS!$N:$N,OBJECT_CONDITIONS!$A:$A,$I62)-1))+($H62*(SUMIFS(OBJECT_CONDITIONS!$R:$R,OBJECT_CONDITIONS!$A:$A,$I62)-1)),3))</f>
        <v/>
      </c>
      <c r="K62" s="11"/>
    </row>
    <row r="63" ht="14.25" customHeight="1">
      <c r="A63" s="11"/>
      <c r="B63" s="11"/>
      <c r="C63" s="11"/>
      <c r="D63" s="36"/>
      <c r="E63" s="36"/>
      <c r="F63" s="36"/>
      <c r="G63" s="36"/>
      <c r="H63" s="36"/>
      <c r="I63" s="11"/>
      <c r="J63" s="36" t="str">
        <f>IF($I63="","",ROUND(1+($D63*(SUMIFS(OBJECT_CONDITIONS!$W:$W,OBJECT_CONDITIONS!$A:$A,$I63)-1))+($E63*(SUMIFS(OBJECT_CONDITIONS!$J:$J,OBJECT_CONDITIONS!$A:$A,$I63)-1))+($F63*(SUMIFS(OBJECT_CONDITIONS!$L:$L,OBJECT_CONDITIONS!$A:$A,$I63)-1))+($G63*(SUMIFS(OBJECT_CONDITIONS!$N:$N,OBJECT_CONDITIONS!$A:$A,$I63)-1))+($H63*(SUMIFS(OBJECT_CONDITIONS!$R:$R,OBJECT_CONDITIONS!$A:$A,$I63)-1)),3))</f>
        <v/>
      </c>
      <c r="K63" s="11"/>
    </row>
    <row r="64" ht="14.25" customHeight="1">
      <c r="A64" s="11"/>
      <c r="B64" s="11"/>
      <c r="C64" s="11"/>
      <c r="D64" s="36"/>
      <c r="E64" s="36"/>
      <c r="F64" s="36"/>
      <c r="G64" s="36"/>
      <c r="H64" s="36"/>
      <c r="I64" s="11"/>
      <c r="J64" s="36" t="str">
        <f>IF($I64="","",ROUND(1+($D64*(SUMIFS(OBJECT_CONDITIONS!$W:$W,OBJECT_CONDITIONS!$A:$A,$I64)-1))+($E64*(SUMIFS(OBJECT_CONDITIONS!$J:$J,OBJECT_CONDITIONS!$A:$A,$I64)-1))+($F64*(SUMIFS(OBJECT_CONDITIONS!$L:$L,OBJECT_CONDITIONS!$A:$A,$I64)-1))+($G64*(SUMIFS(OBJECT_CONDITIONS!$N:$N,OBJECT_CONDITIONS!$A:$A,$I64)-1))+($H64*(SUMIFS(OBJECT_CONDITIONS!$R:$R,OBJECT_CONDITIONS!$A:$A,$I64)-1)),3))</f>
        <v/>
      </c>
      <c r="K64" s="11"/>
    </row>
    <row r="65" ht="14.25" customHeight="1">
      <c r="A65" s="11"/>
      <c r="B65" s="11"/>
      <c r="C65" s="11"/>
      <c r="D65" s="36"/>
      <c r="E65" s="36"/>
      <c r="F65" s="36"/>
      <c r="G65" s="36"/>
      <c r="H65" s="36"/>
      <c r="I65" s="11"/>
      <c r="J65" s="36" t="str">
        <f>IF($I65="","",ROUND(1+($D65*(SUMIFS(OBJECT_CONDITIONS!$W:$W,OBJECT_CONDITIONS!$A:$A,$I65)-1))+($E65*(SUMIFS(OBJECT_CONDITIONS!$J:$J,OBJECT_CONDITIONS!$A:$A,$I65)-1))+($F65*(SUMIFS(OBJECT_CONDITIONS!$L:$L,OBJECT_CONDITIONS!$A:$A,$I65)-1))+($G65*(SUMIFS(OBJECT_CONDITIONS!$N:$N,OBJECT_CONDITIONS!$A:$A,$I65)-1))+($H65*(SUMIFS(OBJECT_CONDITIONS!$R:$R,OBJECT_CONDITIONS!$A:$A,$I65)-1)),3))</f>
        <v/>
      </c>
      <c r="K65" s="11"/>
    </row>
    <row r="66" ht="14.25" customHeight="1">
      <c r="A66" s="11"/>
      <c r="B66" s="11"/>
      <c r="C66" s="11"/>
      <c r="D66" s="36"/>
      <c r="E66" s="36"/>
      <c r="F66" s="36"/>
      <c r="G66" s="36"/>
      <c r="H66" s="36"/>
      <c r="I66" s="11"/>
      <c r="J66" s="36" t="str">
        <f>IF($I66="","",ROUND(1+($D66*(SUMIFS(OBJECT_CONDITIONS!$W:$W,OBJECT_CONDITIONS!$A:$A,$I66)-1))+($E66*(SUMIFS(OBJECT_CONDITIONS!$J:$J,OBJECT_CONDITIONS!$A:$A,$I66)-1))+($F66*(SUMIFS(OBJECT_CONDITIONS!$L:$L,OBJECT_CONDITIONS!$A:$A,$I66)-1))+($G66*(SUMIFS(OBJECT_CONDITIONS!$N:$N,OBJECT_CONDITIONS!$A:$A,$I66)-1))+($H66*(SUMIFS(OBJECT_CONDITIONS!$R:$R,OBJECT_CONDITIONS!$A:$A,$I66)-1)),3))</f>
        <v/>
      </c>
      <c r="K66" s="11"/>
    </row>
    <row r="67" ht="14.25" customHeight="1">
      <c r="A67" s="11"/>
      <c r="B67" s="11"/>
      <c r="C67" s="11"/>
      <c r="D67" s="36"/>
      <c r="E67" s="36"/>
      <c r="F67" s="36"/>
      <c r="G67" s="36"/>
      <c r="H67" s="36"/>
      <c r="I67" s="11"/>
      <c r="J67" s="36" t="str">
        <f>IF($I67="","",ROUND(1+($D67*(SUMIFS(OBJECT_CONDITIONS!$W:$W,OBJECT_CONDITIONS!$A:$A,$I67)-1))+($E67*(SUMIFS(OBJECT_CONDITIONS!$J:$J,OBJECT_CONDITIONS!$A:$A,$I67)-1))+($F67*(SUMIFS(OBJECT_CONDITIONS!$L:$L,OBJECT_CONDITIONS!$A:$A,$I67)-1))+($G67*(SUMIFS(OBJECT_CONDITIONS!$N:$N,OBJECT_CONDITIONS!$A:$A,$I67)-1))+($H67*(SUMIFS(OBJECT_CONDITIONS!$R:$R,OBJECT_CONDITIONS!$A:$A,$I67)-1)),3))</f>
        <v/>
      </c>
      <c r="K67" s="11"/>
    </row>
    <row r="68" ht="14.25" customHeight="1">
      <c r="A68" s="11"/>
      <c r="B68" s="11"/>
      <c r="C68" s="11"/>
      <c r="D68" s="36"/>
      <c r="E68" s="36"/>
      <c r="F68" s="36"/>
      <c r="G68" s="36"/>
      <c r="H68" s="36"/>
      <c r="I68" s="11"/>
      <c r="J68" s="36" t="str">
        <f>IF($I68="","",ROUND(1+($D68*(SUMIFS(OBJECT_CONDITIONS!$W:$W,OBJECT_CONDITIONS!$A:$A,$I68)-1))+($E68*(SUMIFS(OBJECT_CONDITIONS!$J:$J,OBJECT_CONDITIONS!$A:$A,$I68)-1))+($F68*(SUMIFS(OBJECT_CONDITIONS!$L:$L,OBJECT_CONDITIONS!$A:$A,$I68)-1))+($G68*(SUMIFS(OBJECT_CONDITIONS!$N:$N,OBJECT_CONDITIONS!$A:$A,$I68)-1))+($H68*(SUMIFS(OBJECT_CONDITIONS!$R:$R,OBJECT_CONDITIONS!$A:$A,$I68)-1)),3))</f>
        <v/>
      </c>
      <c r="K68" s="11"/>
    </row>
    <row r="69" ht="14.25" customHeight="1">
      <c r="A69" s="11"/>
      <c r="B69" s="11"/>
      <c r="C69" s="11"/>
      <c r="D69" s="36"/>
      <c r="E69" s="36"/>
      <c r="F69" s="36"/>
      <c r="G69" s="36"/>
      <c r="H69" s="36"/>
      <c r="I69" s="11"/>
      <c r="J69" s="36" t="str">
        <f>IF($I69="","",ROUND(1+($D69*(SUMIFS(OBJECT_CONDITIONS!$W:$W,OBJECT_CONDITIONS!$A:$A,$I69)-1))+($E69*(SUMIFS(OBJECT_CONDITIONS!$J:$J,OBJECT_CONDITIONS!$A:$A,$I69)-1))+($F69*(SUMIFS(OBJECT_CONDITIONS!$L:$L,OBJECT_CONDITIONS!$A:$A,$I69)-1))+($G69*(SUMIFS(OBJECT_CONDITIONS!$N:$N,OBJECT_CONDITIONS!$A:$A,$I69)-1))+($H69*(SUMIFS(OBJECT_CONDITIONS!$R:$R,OBJECT_CONDITIONS!$A:$A,$I69)-1)),3))</f>
        <v/>
      </c>
      <c r="K69" s="11"/>
    </row>
    <row r="70" ht="14.25" customHeight="1">
      <c r="A70" s="11"/>
      <c r="B70" s="11"/>
      <c r="C70" s="11"/>
      <c r="D70" s="36"/>
      <c r="E70" s="36"/>
      <c r="F70" s="36"/>
      <c r="G70" s="36"/>
      <c r="H70" s="36"/>
      <c r="I70" s="11"/>
      <c r="J70" s="36" t="str">
        <f>IF($I70="","",ROUND(1+($D70*(SUMIFS(OBJECT_CONDITIONS!$W:$W,OBJECT_CONDITIONS!$A:$A,$I70)-1))+($E70*(SUMIFS(OBJECT_CONDITIONS!$J:$J,OBJECT_CONDITIONS!$A:$A,$I70)-1))+($F70*(SUMIFS(OBJECT_CONDITIONS!$L:$L,OBJECT_CONDITIONS!$A:$A,$I70)-1))+($G70*(SUMIFS(OBJECT_CONDITIONS!$N:$N,OBJECT_CONDITIONS!$A:$A,$I70)-1))+($H70*(SUMIFS(OBJECT_CONDITIONS!$R:$R,OBJECT_CONDITIONS!$A:$A,$I70)-1)),3))</f>
        <v/>
      </c>
      <c r="K70" s="11"/>
    </row>
    <row r="71" ht="14.25" customHeight="1">
      <c r="A71" s="11"/>
      <c r="B71" s="11"/>
      <c r="C71" s="11"/>
      <c r="D71" s="36"/>
      <c r="E71" s="36"/>
      <c r="F71" s="36"/>
      <c r="G71" s="36"/>
      <c r="H71" s="36"/>
      <c r="I71" s="11"/>
      <c r="J71" s="36" t="str">
        <f>IF($I71="","",ROUND(1+($D71*(SUMIFS(OBJECT_CONDITIONS!$W:$W,OBJECT_CONDITIONS!$A:$A,$I71)-1))+($E71*(SUMIFS(OBJECT_CONDITIONS!$J:$J,OBJECT_CONDITIONS!$A:$A,$I71)-1))+($F71*(SUMIFS(OBJECT_CONDITIONS!$L:$L,OBJECT_CONDITIONS!$A:$A,$I71)-1))+($G71*(SUMIFS(OBJECT_CONDITIONS!$N:$N,OBJECT_CONDITIONS!$A:$A,$I71)-1))+($H71*(SUMIFS(OBJECT_CONDITIONS!$R:$R,OBJECT_CONDITIONS!$A:$A,$I71)-1)),3))</f>
        <v/>
      </c>
      <c r="K71" s="11"/>
    </row>
    <row r="72" ht="14.25" customHeight="1">
      <c r="A72" s="11"/>
      <c r="B72" s="11"/>
      <c r="C72" s="11"/>
      <c r="D72" s="36"/>
      <c r="E72" s="36"/>
      <c r="F72" s="36"/>
      <c r="G72" s="36"/>
      <c r="H72" s="36"/>
      <c r="I72" s="11"/>
      <c r="J72" s="36" t="str">
        <f>IF($I72="","",ROUND(1+($D72*(SUMIFS(OBJECT_CONDITIONS!$W:$W,OBJECT_CONDITIONS!$A:$A,$I72)-1))+($E72*(SUMIFS(OBJECT_CONDITIONS!$J:$J,OBJECT_CONDITIONS!$A:$A,$I72)-1))+($F72*(SUMIFS(OBJECT_CONDITIONS!$L:$L,OBJECT_CONDITIONS!$A:$A,$I72)-1))+($G72*(SUMIFS(OBJECT_CONDITIONS!$N:$N,OBJECT_CONDITIONS!$A:$A,$I72)-1))+($H72*(SUMIFS(OBJECT_CONDITIONS!$R:$R,OBJECT_CONDITIONS!$A:$A,$I72)-1)),3))</f>
        <v/>
      </c>
      <c r="K72" s="11"/>
    </row>
    <row r="73" ht="14.25" customHeight="1">
      <c r="A73" s="11"/>
      <c r="B73" s="11"/>
      <c r="C73" s="11"/>
      <c r="D73" s="36"/>
      <c r="E73" s="36"/>
      <c r="F73" s="36"/>
      <c r="G73" s="36"/>
      <c r="H73" s="36"/>
      <c r="I73" s="11"/>
      <c r="J73" s="36" t="str">
        <f>IF($I73="","",ROUND(1+($D73*(SUMIFS(OBJECT_CONDITIONS!$W:$W,OBJECT_CONDITIONS!$A:$A,$I73)-1))+($E73*(SUMIFS(OBJECT_CONDITIONS!$J:$J,OBJECT_CONDITIONS!$A:$A,$I73)-1))+($F73*(SUMIFS(OBJECT_CONDITIONS!$L:$L,OBJECT_CONDITIONS!$A:$A,$I73)-1))+($G73*(SUMIFS(OBJECT_CONDITIONS!$N:$N,OBJECT_CONDITIONS!$A:$A,$I73)-1))+($H73*(SUMIFS(OBJECT_CONDITIONS!$R:$R,OBJECT_CONDITIONS!$A:$A,$I73)-1)),3))</f>
        <v/>
      </c>
      <c r="K73" s="11"/>
    </row>
    <row r="74" ht="14.25" customHeight="1">
      <c r="A74" s="11"/>
      <c r="B74" s="11"/>
      <c r="C74" s="11"/>
      <c r="D74" s="36"/>
      <c r="E74" s="36"/>
      <c r="F74" s="36"/>
      <c r="G74" s="36"/>
      <c r="H74" s="36"/>
      <c r="I74" s="11"/>
      <c r="J74" s="36" t="str">
        <f>IF($I74="","",ROUND(1+($D74*(SUMIFS(OBJECT_CONDITIONS!$W:$W,OBJECT_CONDITIONS!$A:$A,$I74)-1))+($E74*(SUMIFS(OBJECT_CONDITIONS!$J:$J,OBJECT_CONDITIONS!$A:$A,$I74)-1))+($F74*(SUMIFS(OBJECT_CONDITIONS!$L:$L,OBJECT_CONDITIONS!$A:$A,$I74)-1))+($G74*(SUMIFS(OBJECT_CONDITIONS!$N:$N,OBJECT_CONDITIONS!$A:$A,$I74)-1))+($H74*(SUMIFS(OBJECT_CONDITIONS!$R:$R,OBJECT_CONDITIONS!$A:$A,$I74)-1)),3))</f>
        <v/>
      </c>
      <c r="K74" s="11"/>
    </row>
    <row r="75" ht="14.25" customHeight="1">
      <c r="A75" s="11"/>
      <c r="B75" s="11"/>
      <c r="C75" s="11"/>
      <c r="D75" s="36"/>
      <c r="E75" s="36"/>
      <c r="F75" s="36"/>
      <c r="G75" s="36"/>
      <c r="H75" s="36"/>
      <c r="I75" s="11"/>
      <c r="J75" s="36" t="str">
        <f>IF($I75="","",ROUND(1+($D75*(SUMIFS(OBJECT_CONDITIONS!$W:$W,OBJECT_CONDITIONS!$A:$A,$I75)-1))+($E75*(SUMIFS(OBJECT_CONDITIONS!$J:$J,OBJECT_CONDITIONS!$A:$A,$I75)-1))+($F75*(SUMIFS(OBJECT_CONDITIONS!$L:$L,OBJECT_CONDITIONS!$A:$A,$I75)-1))+($G75*(SUMIFS(OBJECT_CONDITIONS!$N:$N,OBJECT_CONDITIONS!$A:$A,$I75)-1))+($H75*(SUMIFS(OBJECT_CONDITIONS!$R:$R,OBJECT_CONDITIONS!$A:$A,$I75)-1)),3))</f>
        <v/>
      </c>
      <c r="K75" s="11"/>
    </row>
    <row r="76" ht="14.25" customHeight="1">
      <c r="A76" s="11"/>
      <c r="B76" s="11"/>
      <c r="C76" s="11"/>
      <c r="D76" s="36"/>
      <c r="E76" s="36"/>
      <c r="F76" s="36"/>
      <c r="G76" s="36"/>
      <c r="H76" s="36"/>
      <c r="I76" s="11"/>
      <c r="J76" s="36" t="str">
        <f>IF($I76="","",ROUND(1+($D76*(SUMIFS(OBJECT_CONDITIONS!$W:$W,OBJECT_CONDITIONS!$A:$A,$I76)-1))+($E76*(SUMIFS(OBJECT_CONDITIONS!$J:$J,OBJECT_CONDITIONS!$A:$A,$I76)-1))+($F76*(SUMIFS(OBJECT_CONDITIONS!$L:$L,OBJECT_CONDITIONS!$A:$A,$I76)-1))+($G76*(SUMIFS(OBJECT_CONDITIONS!$N:$N,OBJECT_CONDITIONS!$A:$A,$I76)-1))+($H76*(SUMIFS(OBJECT_CONDITIONS!$R:$R,OBJECT_CONDITIONS!$A:$A,$I76)-1)),3))</f>
        <v/>
      </c>
      <c r="K76" s="11"/>
    </row>
    <row r="77" ht="14.25" customHeight="1">
      <c r="A77" s="11"/>
      <c r="B77" s="11"/>
      <c r="C77" s="11"/>
      <c r="D77" s="36"/>
      <c r="E77" s="36"/>
      <c r="F77" s="36"/>
      <c r="G77" s="36"/>
      <c r="H77" s="36"/>
      <c r="I77" s="11"/>
      <c r="J77" s="36" t="str">
        <f>IF($I77="","",ROUND(1+($D77*(SUMIFS(OBJECT_CONDITIONS!$W:$W,OBJECT_CONDITIONS!$A:$A,$I77)-1))+($E77*(SUMIFS(OBJECT_CONDITIONS!$J:$J,OBJECT_CONDITIONS!$A:$A,$I77)-1))+($F77*(SUMIFS(OBJECT_CONDITIONS!$L:$L,OBJECT_CONDITIONS!$A:$A,$I77)-1))+($G77*(SUMIFS(OBJECT_CONDITIONS!$N:$N,OBJECT_CONDITIONS!$A:$A,$I77)-1))+($H77*(SUMIFS(OBJECT_CONDITIONS!$R:$R,OBJECT_CONDITIONS!$A:$A,$I77)-1)),3))</f>
        <v/>
      </c>
      <c r="K77" s="11"/>
    </row>
    <row r="78" ht="14.25" customHeight="1">
      <c r="A78" s="11"/>
      <c r="B78" s="11"/>
      <c r="C78" s="11"/>
      <c r="D78" s="36"/>
      <c r="E78" s="36"/>
      <c r="F78" s="36"/>
      <c r="G78" s="36"/>
      <c r="H78" s="36"/>
      <c r="I78" s="11"/>
      <c r="J78" s="36" t="str">
        <f>IF($I78="","",ROUND(1+($D78*(SUMIFS(OBJECT_CONDITIONS!$W:$W,OBJECT_CONDITIONS!$A:$A,$I78)-1))+($E78*(SUMIFS(OBJECT_CONDITIONS!$J:$J,OBJECT_CONDITIONS!$A:$A,$I78)-1))+($F78*(SUMIFS(OBJECT_CONDITIONS!$L:$L,OBJECT_CONDITIONS!$A:$A,$I78)-1))+($G78*(SUMIFS(OBJECT_CONDITIONS!$N:$N,OBJECT_CONDITIONS!$A:$A,$I78)-1))+($H78*(SUMIFS(OBJECT_CONDITIONS!$R:$R,OBJECT_CONDITIONS!$A:$A,$I78)-1)),3))</f>
        <v/>
      </c>
      <c r="K78" s="11"/>
    </row>
    <row r="79" ht="14.25" customHeight="1">
      <c r="A79" s="11"/>
      <c r="B79" s="11"/>
      <c r="C79" s="11"/>
      <c r="D79" s="36"/>
      <c r="E79" s="36"/>
      <c r="F79" s="36"/>
      <c r="G79" s="36"/>
      <c r="H79" s="36"/>
      <c r="I79" s="11"/>
      <c r="J79" s="36" t="str">
        <f>IF($I79="","",ROUND(1+($D79*(SUMIFS(OBJECT_CONDITIONS!$W:$W,OBJECT_CONDITIONS!$A:$A,$I79)-1))+($E79*(SUMIFS(OBJECT_CONDITIONS!$J:$J,OBJECT_CONDITIONS!$A:$A,$I79)-1))+($F79*(SUMIFS(OBJECT_CONDITIONS!$L:$L,OBJECT_CONDITIONS!$A:$A,$I79)-1))+($G79*(SUMIFS(OBJECT_CONDITIONS!$N:$N,OBJECT_CONDITIONS!$A:$A,$I79)-1))+($H79*(SUMIFS(OBJECT_CONDITIONS!$R:$R,OBJECT_CONDITIONS!$A:$A,$I79)-1)),3))</f>
        <v/>
      </c>
      <c r="K79" s="11"/>
    </row>
    <row r="80" ht="14.25" customHeight="1">
      <c r="A80" s="11"/>
      <c r="B80" s="11"/>
      <c r="C80" s="11"/>
      <c r="D80" s="36"/>
      <c r="E80" s="36"/>
      <c r="F80" s="36"/>
      <c r="G80" s="36"/>
      <c r="H80" s="36"/>
      <c r="I80" s="11"/>
      <c r="J80" s="36" t="str">
        <f>IF($I80="","",ROUND(1+($D80*(SUMIFS(OBJECT_CONDITIONS!$W:$W,OBJECT_CONDITIONS!$A:$A,$I80)-1))+($E80*(SUMIFS(OBJECT_CONDITIONS!$J:$J,OBJECT_CONDITIONS!$A:$A,$I80)-1))+($F80*(SUMIFS(OBJECT_CONDITIONS!$L:$L,OBJECT_CONDITIONS!$A:$A,$I80)-1))+($G80*(SUMIFS(OBJECT_CONDITIONS!$N:$N,OBJECT_CONDITIONS!$A:$A,$I80)-1))+($H80*(SUMIFS(OBJECT_CONDITIONS!$R:$R,OBJECT_CONDITIONS!$A:$A,$I80)-1)),3))</f>
        <v/>
      </c>
      <c r="K80" s="11"/>
    </row>
    <row r="81" ht="14.25" customHeight="1">
      <c r="A81" s="11"/>
      <c r="B81" s="11"/>
      <c r="C81" s="11"/>
      <c r="D81" s="36"/>
      <c r="E81" s="36"/>
      <c r="F81" s="36"/>
      <c r="G81" s="36"/>
      <c r="H81" s="36"/>
      <c r="I81" s="11"/>
      <c r="J81" s="36" t="str">
        <f>IF($I81="","",ROUND(1+($D81*(SUMIFS(OBJECT_CONDITIONS!$W:$W,OBJECT_CONDITIONS!$A:$A,$I81)-1))+($E81*(SUMIFS(OBJECT_CONDITIONS!$J:$J,OBJECT_CONDITIONS!$A:$A,$I81)-1))+($F81*(SUMIFS(OBJECT_CONDITIONS!$L:$L,OBJECT_CONDITIONS!$A:$A,$I81)-1))+($G81*(SUMIFS(OBJECT_CONDITIONS!$N:$N,OBJECT_CONDITIONS!$A:$A,$I81)-1))+($H81*(SUMIFS(OBJECT_CONDITIONS!$R:$R,OBJECT_CONDITIONS!$A:$A,$I81)-1)),3))</f>
        <v/>
      </c>
      <c r="K81" s="11"/>
    </row>
    <row r="82" ht="14.25" customHeight="1">
      <c r="A82" s="11"/>
      <c r="B82" s="11"/>
      <c r="C82" s="11"/>
      <c r="D82" s="36"/>
      <c r="E82" s="36"/>
      <c r="F82" s="36"/>
      <c r="G82" s="36"/>
      <c r="H82" s="36"/>
      <c r="I82" s="11"/>
      <c r="J82" s="36" t="str">
        <f>IF($I82="","",ROUND(1+($D82*(SUMIFS(OBJECT_CONDITIONS!$W:$W,OBJECT_CONDITIONS!$A:$A,$I82)-1))+($E82*(SUMIFS(OBJECT_CONDITIONS!$J:$J,OBJECT_CONDITIONS!$A:$A,$I82)-1))+($F82*(SUMIFS(OBJECT_CONDITIONS!$L:$L,OBJECT_CONDITIONS!$A:$A,$I82)-1))+($G82*(SUMIFS(OBJECT_CONDITIONS!$N:$N,OBJECT_CONDITIONS!$A:$A,$I82)-1))+($H82*(SUMIFS(OBJECT_CONDITIONS!$R:$R,OBJECT_CONDITIONS!$A:$A,$I82)-1)),3))</f>
        <v/>
      </c>
      <c r="K82" s="11"/>
    </row>
    <row r="83" ht="14.25" customHeight="1">
      <c r="A83" s="11"/>
      <c r="B83" s="11"/>
      <c r="C83" s="11"/>
      <c r="D83" s="36"/>
      <c r="E83" s="36"/>
      <c r="F83" s="36"/>
      <c r="G83" s="36"/>
      <c r="H83" s="36"/>
      <c r="I83" s="11"/>
      <c r="J83" s="36" t="str">
        <f>IF($I83="","",ROUND(1+($D83*(SUMIFS(OBJECT_CONDITIONS!$W:$W,OBJECT_CONDITIONS!$A:$A,$I83)-1))+($E83*(SUMIFS(OBJECT_CONDITIONS!$J:$J,OBJECT_CONDITIONS!$A:$A,$I83)-1))+($F83*(SUMIFS(OBJECT_CONDITIONS!$L:$L,OBJECT_CONDITIONS!$A:$A,$I83)-1))+($G83*(SUMIFS(OBJECT_CONDITIONS!$N:$N,OBJECT_CONDITIONS!$A:$A,$I83)-1))+($H83*(SUMIFS(OBJECT_CONDITIONS!$R:$R,OBJECT_CONDITIONS!$A:$A,$I83)-1)),3))</f>
        <v/>
      </c>
      <c r="K83" s="11"/>
    </row>
    <row r="84" ht="14.25" customHeight="1">
      <c r="A84" s="11"/>
      <c r="B84" s="11"/>
      <c r="C84" s="11"/>
      <c r="D84" s="36"/>
      <c r="E84" s="36"/>
      <c r="F84" s="36"/>
      <c r="G84" s="36"/>
      <c r="H84" s="36"/>
      <c r="I84" s="11"/>
      <c r="J84" s="36" t="str">
        <f>IF($I84="","",ROUND(1+($D84*(SUMIFS(OBJECT_CONDITIONS!$W:$W,OBJECT_CONDITIONS!$A:$A,$I84)-1))+($E84*(SUMIFS(OBJECT_CONDITIONS!$J:$J,OBJECT_CONDITIONS!$A:$A,$I84)-1))+($F84*(SUMIFS(OBJECT_CONDITIONS!$L:$L,OBJECT_CONDITIONS!$A:$A,$I84)-1))+($G84*(SUMIFS(OBJECT_CONDITIONS!$N:$N,OBJECT_CONDITIONS!$A:$A,$I84)-1))+($H84*(SUMIFS(OBJECT_CONDITIONS!$R:$R,OBJECT_CONDITIONS!$A:$A,$I84)-1)),3))</f>
        <v/>
      </c>
      <c r="K84" s="11"/>
    </row>
    <row r="85" ht="14.25" customHeight="1">
      <c r="A85" s="11"/>
      <c r="B85" s="11"/>
      <c r="C85" s="11"/>
      <c r="D85" s="36"/>
      <c r="E85" s="36"/>
      <c r="F85" s="36"/>
      <c r="G85" s="36"/>
      <c r="H85" s="36"/>
      <c r="I85" s="11"/>
      <c r="J85" s="36" t="str">
        <f>IF($I85="","",ROUND(1+($D85*(SUMIFS(OBJECT_CONDITIONS!$W:$W,OBJECT_CONDITIONS!$A:$A,$I85)-1))+($E85*(SUMIFS(OBJECT_CONDITIONS!$J:$J,OBJECT_CONDITIONS!$A:$A,$I85)-1))+($F85*(SUMIFS(OBJECT_CONDITIONS!$L:$L,OBJECT_CONDITIONS!$A:$A,$I85)-1))+($G85*(SUMIFS(OBJECT_CONDITIONS!$N:$N,OBJECT_CONDITIONS!$A:$A,$I85)-1))+($H85*(SUMIFS(OBJECT_CONDITIONS!$R:$R,OBJECT_CONDITIONS!$A:$A,$I85)-1)),3))</f>
        <v/>
      </c>
      <c r="K85" s="11"/>
    </row>
    <row r="86" ht="14.25" customHeight="1">
      <c r="A86" s="11"/>
      <c r="B86" s="11"/>
      <c r="C86" s="11"/>
      <c r="D86" s="36"/>
      <c r="E86" s="36"/>
      <c r="F86" s="36"/>
      <c r="G86" s="36"/>
      <c r="H86" s="36"/>
      <c r="I86" s="11"/>
      <c r="J86" s="36" t="str">
        <f>IF($I86="","",ROUND(1+($D86*(SUMIFS(OBJECT_CONDITIONS!$W:$W,OBJECT_CONDITIONS!$A:$A,$I86)-1))+($E86*(SUMIFS(OBJECT_CONDITIONS!$J:$J,OBJECT_CONDITIONS!$A:$A,$I86)-1))+($F86*(SUMIFS(OBJECT_CONDITIONS!$L:$L,OBJECT_CONDITIONS!$A:$A,$I86)-1))+($G86*(SUMIFS(OBJECT_CONDITIONS!$N:$N,OBJECT_CONDITIONS!$A:$A,$I86)-1))+($H86*(SUMIFS(OBJECT_CONDITIONS!$R:$R,OBJECT_CONDITIONS!$A:$A,$I86)-1)),3))</f>
        <v/>
      </c>
      <c r="K86" s="11"/>
    </row>
    <row r="87" ht="14.25" customHeight="1">
      <c r="A87" s="11"/>
      <c r="B87" s="11"/>
      <c r="C87" s="11"/>
      <c r="D87" s="36"/>
      <c r="E87" s="36"/>
      <c r="F87" s="36"/>
      <c r="G87" s="36"/>
      <c r="H87" s="36"/>
      <c r="I87" s="11"/>
      <c r="J87" s="36" t="str">
        <f>IF($I87="","",ROUND(1+($D87*(SUMIFS(OBJECT_CONDITIONS!$W:$W,OBJECT_CONDITIONS!$A:$A,$I87)-1))+($E87*(SUMIFS(OBJECT_CONDITIONS!$J:$J,OBJECT_CONDITIONS!$A:$A,$I87)-1))+($F87*(SUMIFS(OBJECT_CONDITIONS!$L:$L,OBJECT_CONDITIONS!$A:$A,$I87)-1))+($G87*(SUMIFS(OBJECT_CONDITIONS!$N:$N,OBJECT_CONDITIONS!$A:$A,$I87)-1))+($H87*(SUMIFS(OBJECT_CONDITIONS!$R:$R,OBJECT_CONDITIONS!$A:$A,$I87)-1)),3))</f>
        <v/>
      </c>
      <c r="K87" s="11"/>
    </row>
    <row r="88" ht="14.25" customHeight="1">
      <c r="A88" s="11"/>
      <c r="B88" s="11"/>
      <c r="C88" s="11"/>
      <c r="D88" s="36"/>
      <c r="E88" s="36"/>
      <c r="F88" s="36"/>
      <c r="G88" s="36"/>
      <c r="H88" s="36"/>
      <c r="I88" s="11"/>
      <c r="J88" s="36" t="str">
        <f>IF($I88="","",ROUND(1+($D88*(SUMIFS(OBJECT_CONDITIONS!$W:$W,OBJECT_CONDITIONS!$A:$A,$I88)-1))+($E88*(SUMIFS(OBJECT_CONDITIONS!$J:$J,OBJECT_CONDITIONS!$A:$A,$I88)-1))+($F88*(SUMIFS(OBJECT_CONDITIONS!$L:$L,OBJECT_CONDITIONS!$A:$A,$I88)-1))+($G88*(SUMIFS(OBJECT_CONDITIONS!$N:$N,OBJECT_CONDITIONS!$A:$A,$I88)-1))+($H88*(SUMIFS(OBJECT_CONDITIONS!$R:$R,OBJECT_CONDITIONS!$A:$A,$I88)-1)),3))</f>
        <v/>
      </c>
      <c r="K88" s="11"/>
    </row>
    <row r="89" ht="14.25" customHeight="1">
      <c r="A89" s="11"/>
      <c r="B89" s="11"/>
      <c r="C89" s="11"/>
      <c r="D89" s="36"/>
      <c r="E89" s="36"/>
      <c r="F89" s="36"/>
      <c r="G89" s="36"/>
      <c r="H89" s="36"/>
      <c r="I89" s="11"/>
      <c r="J89" s="36" t="str">
        <f>IF($I89="","",ROUND(1+($D89*(SUMIFS(OBJECT_CONDITIONS!$W:$W,OBJECT_CONDITIONS!$A:$A,$I89)-1))+($E89*(SUMIFS(OBJECT_CONDITIONS!$J:$J,OBJECT_CONDITIONS!$A:$A,$I89)-1))+($F89*(SUMIFS(OBJECT_CONDITIONS!$L:$L,OBJECT_CONDITIONS!$A:$A,$I89)-1))+($G89*(SUMIFS(OBJECT_CONDITIONS!$N:$N,OBJECT_CONDITIONS!$A:$A,$I89)-1))+($H89*(SUMIFS(OBJECT_CONDITIONS!$R:$R,OBJECT_CONDITIONS!$A:$A,$I89)-1)),3))</f>
        <v/>
      </c>
      <c r="K89" s="11"/>
    </row>
    <row r="90" ht="14.25" customHeight="1">
      <c r="A90" s="11"/>
      <c r="B90" s="11"/>
      <c r="C90" s="11"/>
      <c r="D90" s="36"/>
      <c r="E90" s="36"/>
      <c r="F90" s="36"/>
      <c r="G90" s="36"/>
      <c r="H90" s="36"/>
      <c r="I90" s="11"/>
      <c r="J90" s="36" t="str">
        <f>IF($I90="","",ROUND(1+($D90*(SUMIFS(OBJECT_CONDITIONS!$W:$W,OBJECT_CONDITIONS!$A:$A,$I90)-1))+($E90*(SUMIFS(OBJECT_CONDITIONS!$J:$J,OBJECT_CONDITIONS!$A:$A,$I90)-1))+($F90*(SUMIFS(OBJECT_CONDITIONS!$L:$L,OBJECT_CONDITIONS!$A:$A,$I90)-1))+($G90*(SUMIFS(OBJECT_CONDITIONS!$N:$N,OBJECT_CONDITIONS!$A:$A,$I90)-1))+($H90*(SUMIFS(OBJECT_CONDITIONS!$R:$R,OBJECT_CONDITIONS!$A:$A,$I90)-1)),3))</f>
        <v/>
      </c>
      <c r="K90" s="11"/>
    </row>
    <row r="91" ht="14.25" customHeight="1">
      <c r="A91" s="11"/>
      <c r="B91" s="11"/>
      <c r="C91" s="11"/>
      <c r="D91" s="36"/>
      <c r="E91" s="36"/>
      <c r="F91" s="36"/>
      <c r="G91" s="36"/>
      <c r="H91" s="36"/>
      <c r="I91" s="11"/>
      <c r="J91" s="36" t="str">
        <f>IF($I91="","",ROUND(1+($D91*(SUMIFS(OBJECT_CONDITIONS!$W:$W,OBJECT_CONDITIONS!$A:$A,$I91)-1))+($E91*(SUMIFS(OBJECT_CONDITIONS!$J:$J,OBJECT_CONDITIONS!$A:$A,$I91)-1))+($F91*(SUMIFS(OBJECT_CONDITIONS!$L:$L,OBJECT_CONDITIONS!$A:$A,$I91)-1))+($G91*(SUMIFS(OBJECT_CONDITIONS!$N:$N,OBJECT_CONDITIONS!$A:$A,$I91)-1))+($H91*(SUMIFS(OBJECT_CONDITIONS!$R:$R,OBJECT_CONDITIONS!$A:$A,$I91)-1)),3))</f>
        <v/>
      </c>
      <c r="K91" s="11"/>
    </row>
    <row r="92" ht="14.25" customHeight="1">
      <c r="A92" s="11"/>
      <c r="B92" s="11"/>
      <c r="C92" s="11"/>
      <c r="D92" s="36"/>
      <c r="E92" s="36"/>
      <c r="F92" s="36"/>
      <c r="G92" s="36"/>
      <c r="H92" s="36"/>
      <c r="I92" s="11"/>
      <c r="J92" s="36" t="str">
        <f>IF($I92="","",ROUND(1+($D92*(SUMIFS(OBJECT_CONDITIONS!$W:$W,OBJECT_CONDITIONS!$A:$A,$I92)-1))+($E92*(SUMIFS(OBJECT_CONDITIONS!$J:$J,OBJECT_CONDITIONS!$A:$A,$I92)-1))+($F92*(SUMIFS(OBJECT_CONDITIONS!$L:$L,OBJECT_CONDITIONS!$A:$A,$I92)-1))+($G92*(SUMIFS(OBJECT_CONDITIONS!$N:$N,OBJECT_CONDITIONS!$A:$A,$I92)-1))+($H92*(SUMIFS(OBJECT_CONDITIONS!$R:$R,OBJECT_CONDITIONS!$A:$A,$I92)-1)),3))</f>
        <v/>
      </c>
      <c r="K92" s="11"/>
    </row>
    <row r="93" ht="14.25" customHeight="1">
      <c r="A93" s="11"/>
      <c r="B93" s="11"/>
      <c r="C93" s="11"/>
      <c r="D93" s="36"/>
      <c r="E93" s="36"/>
      <c r="F93" s="36"/>
      <c r="G93" s="36"/>
      <c r="H93" s="36"/>
      <c r="I93" s="11"/>
      <c r="J93" s="36" t="str">
        <f>IF($I93="","",ROUND(1+($D93*(SUMIFS(OBJECT_CONDITIONS!$W:$W,OBJECT_CONDITIONS!$A:$A,$I93)-1))+($E93*(SUMIFS(OBJECT_CONDITIONS!$J:$J,OBJECT_CONDITIONS!$A:$A,$I93)-1))+($F93*(SUMIFS(OBJECT_CONDITIONS!$L:$L,OBJECT_CONDITIONS!$A:$A,$I93)-1))+($G93*(SUMIFS(OBJECT_CONDITIONS!$N:$N,OBJECT_CONDITIONS!$A:$A,$I93)-1))+($H93*(SUMIFS(OBJECT_CONDITIONS!$R:$R,OBJECT_CONDITIONS!$A:$A,$I93)-1)),3))</f>
        <v/>
      </c>
      <c r="K93" s="11"/>
    </row>
    <row r="94" ht="14.25" customHeight="1">
      <c r="A94" s="11"/>
      <c r="B94" s="11"/>
      <c r="C94" s="11"/>
      <c r="D94" s="36"/>
      <c r="E94" s="36"/>
      <c r="F94" s="36"/>
      <c r="G94" s="36"/>
      <c r="H94" s="36"/>
      <c r="I94" s="11"/>
      <c r="J94" s="36" t="str">
        <f>IF($I94="","",ROUND(1+($D94*(SUMIFS(OBJECT_CONDITIONS!$W:$W,OBJECT_CONDITIONS!$A:$A,$I94)-1))+($E94*(SUMIFS(OBJECT_CONDITIONS!$J:$J,OBJECT_CONDITIONS!$A:$A,$I94)-1))+($F94*(SUMIFS(OBJECT_CONDITIONS!$L:$L,OBJECT_CONDITIONS!$A:$A,$I94)-1))+($G94*(SUMIFS(OBJECT_CONDITIONS!$N:$N,OBJECT_CONDITIONS!$A:$A,$I94)-1))+($H94*(SUMIFS(OBJECT_CONDITIONS!$R:$R,OBJECT_CONDITIONS!$A:$A,$I94)-1)),3))</f>
        <v/>
      </c>
      <c r="K94" s="11"/>
    </row>
    <row r="95" ht="14.25" customHeight="1">
      <c r="A95" s="11"/>
      <c r="B95" s="11"/>
      <c r="C95" s="11"/>
      <c r="D95" s="36"/>
      <c r="E95" s="36"/>
      <c r="F95" s="36"/>
      <c r="G95" s="36"/>
      <c r="H95" s="36"/>
      <c r="I95" s="11"/>
      <c r="J95" s="36" t="str">
        <f>IF($I95="","",ROUND(1+($D95*(SUMIFS(OBJECT_CONDITIONS!$W:$W,OBJECT_CONDITIONS!$A:$A,$I95)-1))+($E95*(SUMIFS(OBJECT_CONDITIONS!$J:$J,OBJECT_CONDITIONS!$A:$A,$I95)-1))+($F95*(SUMIFS(OBJECT_CONDITIONS!$L:$L,OBJECT_CONDITIONS!$A:$A,$I95)-1))+($G95*(SUMIFS(OBJECT_CONDITIONS!$N:$N,OBJECT_CONDITIONS!$A:$A,$I95)-1))+($H95*(SUMIFS(OBJECT_CONDITIONS!$R:$R,OBJECT_CONDITIONS!$A:$A,$I95)-1)),3))</f>
        <v/>
      </c>
      <c r="K95" s="11"/>
    </row>
    <row r="96" ht="14.25" customHeight="1">
      <c r="A96" s="11"/>
      <c r="B96" s="11"/>
      <c r="C96" s="11"/>
      <c r="D96" s="36"/>
      <c r="E96" s="36"/>
      <c r="F96" s="36"/>
      <c r="G96" s="36"/>
      <c r="H96" s="36"/>
      <c r="I96" s="11"/>
      <c r="J96" s="36" t="str">
        <f>IF($I96="","",ROUND(1+($D96*(SUMIFS(OBJECT_CONDITIONS!$W:$W,OBJECT_CONDITIONS!$A:$A,$I96)-1))+($E96*(SUMIFS(OBJECT_CONDITIONS!$J:$J,OBJECT_CONDITIONS!$A:$A,$I96)-1))+($F96*(SUMIFS(OBJECT_CONDITIONS!$L:$L,OBJECT_CONDITIONS!$A:$A,$I96)-1))+($G96*(SUMIFS(OBJECT_CONDITIONS!$N:$N,OBJECT_CONDITIONS!$A:$A,$I96)-1))+($H96*(SUMIFS(OBJECT_CONDITIONS!$R:$R,OBJECT_CONDITIONS!$A:$A,$I96)-1)),3))</f>
        <v/>
      </c>
      <c r="K96" s="11"/>
    </row>
    <row r="97" ht="14.25" customHeight="1">
      <c r="A97" s="11"/>
      <c r="B97" s="11"/>
      <c r="C97" s="11"/>
      <c r="D97" s="36"/>
      <c r="E97" s="36"/>
      <c r="F97" s="36"/>
      <c r="G97" s="36"/>
      <c r="H97" s="36"/>
      <c r="I97" s="11"/>
      <c r="J97" s="36" t="str">
        <f>IF($I97="","",ROUND(1+($D97*(SUMIFS(OBJECT_CONDITIONS!$W:$W,OBJECT_CONDITIONS!$A:$A,$I97)-1))+($E97*(SUMIFS(OBJECT_CONDITIONS!$J:$J,OBJECT_CONDITIONS!$A:$A,$I97)-1))+($F97*(SUMIFS(OBJECT_CONDITIONS!$L:$L,OBJECT_CONDITIONS!$A:$A,$I97)-1))+($G97*(SUMIFS(OBJECT_CONDITIONS!$N:$N,OBJECT_CONDITIONS!$A:$A,$I97)-1))+($H97*(SUMIFS(OBJECT_CONDITIONS!$R:$R,OBJECT_CONDITIONS!$A:$A,$I97)-1)),3))</f>
        <v/>
      </c>
      <c r="K97" s="11"/>
    </row>
    <row r="98" ht="14.25" customHeight="1">
      <c r="A98" s="11"/>
      <c r="B98" s="11"/>
      <c r="C98" s="11"/>
      <c r="D98" s="36"/>
      <c r="E98" s="36"/>
      <c r="F98" s="36"/>
      <c r="G98" s="36"/>
      <c r="H98" s="36"/>
      <c r="I98" s="11"/>
      <c r="J98" s="36" t="str">
        <f>IF($I98="","",ROUND(1+($D98*(SUMIFS(OBJECT_CONDITIONS!$W:$W,OBJECT_CONDITIONS!$A:$A,$I98)-1))+($E98*(SUMIFS(OBJECT_CONDITIONS!$J:$J,OBJECT_CONDITIONS!$A:$A,$I98)-1))+($F98*(SUMIFS(OBJECT_CONDITIONS!$L:$L,OBJECT_CONDITIONS!$A:$A,$I98)-1))+($G98*(SUMIFS(OBJECT_CONDITIONS!$N:$N,OBJECT_CONDITIONS!$A:$A,$I98)-1))+($H98*(SUMIFS(OBJECT_CONDITIONS!$R:$R,OBJECT_CONDITIONS!$A:$A,$I98)-1)),3))</f>
        <v/>
      </c>
      <c r="K98" s="11"/>
    </row>
    <row r="99" ht="14.25" customHeight="1">
      <c r="A99" s="11"/>
      <c r="B99" s="11"/>
      <c r="C99" s="11"/>
      <c r="D99" s="36"/>
      <c r="E99" s="36"/>
      <c r="F99" s="36"/>
      <c r="G99" s="36"/>
      <c r="H99" s="36"/>
      <c r="I99" s="11"/>
      <c r="J99" s="36" t="str">
        <f>IF($I99="","",ROUND(1+($D99*(SUMIFS(OBJECT_CONDITIONS!$W:$W,OBJECT_CONDITIONS!$A:$A,$I99)-1))+($E99*(SUMIFS(OBJECT_CONDITIONS!$J:$J,OBJECT_CONDITIONS!$A:$A,$I99)-1))+($F99*(SUMIFS(OBJECT_CONDITIONS!$L:$L,OBJECT_CONDITIONS!$A:$A,$I99)-1))+($G99*(SUMIFS(OBJECT_CONDITIONS!$N:$N,OBJECT_CONDITIONS!$A:$A,$I99)-1))+($H99*(SUMIFS(OBJECT_CONDITIONS!$R:$R,OBJECT_CONDITIONS!$A:$A,$I99)-1)),3))</f>
        <v/>
      </c>
      <c r="K99" s="11"/>
    </row>
    <row r="100" ht="14.25" customHeight="1">
      <c r="A100" s="11"/>
      <c r="B100" s="11"/>
      <c r="C100" s="11"/>
      <c r="D100" s="36"/>
      <c r="E100" s="36"/>
      <c r="F100" s="36"/>
      <c r="G100" s="36"/>
      <c r="H100" s="36"/>
      <c r="I100" s="11"/>
      <c r="J100" s="36" t="str">
        <f>IF($I100="","",ROUND(1+($D100*(SUMIFS(OBJECT_CONDITIONS!$W:$W,OBJECT_CONDITIONS!$A:$A,$I100)-1))+($E100*(SUMIFS(OBJECT_CONDITIONS!$J:$J,OBJECT_CONDITIONS!$A:$A,$I100)-1))+($F100*(SUMIFS(OBJECT_CONDITIONS!$L:$L,OBJECT_CONDITIONS!$A:$A,$I100)-1))+($G100*(SUMIFS(OBJECT_CONDITIONS!$N:$N,OBJECT_CONDITIONS!$A:$A,$I100)-1))+($H100*(SUMIFS(OBJECT_CONDITIONS!$R:$R,OBJECT_CONDITIONS!$A:$A,$I100)-1)),3))</f>
        <v/>
      </c>
      <c r="K100" s="11"/>
    </row>
    <row r="101" ht="14.25" customHeight="1">
      <c r="A101" s="11"/>
      <c r="B101" s="11"/>
      <c r="C101" s="11"/>
      <c r="D101" s="36"/>
      <c r="E101" s="36"/>
      <c r="F101" s="36"/>
      <c r="G101" s="36"/>
      <c r="H101" s="36"/>
      <c r="I101" s="11"/>
      <c r="J101" s="36" t="str">
        <f>IF($I101="","",ROUND(1+($D101*(SUMIFS(OBJECT_CONDITIONS!$W:$W,OBJECT_CONDITIONS!$A:$A,$I101)-1))+($E101*(SUMIFS(OBJECT_CONDITIONS!$J:$J,OBJECT_CONDITIONS!$A:$A,$I101)-1))+($F101*(SUMIFS(OBJECT_CONDITIONS!$L:$L,OBJECT_CONDITIONS!$A:$A,$I101)-1))+($G101*(SUMIFS(OBJECT_CONDITIONS!$N:$N,OBJECT_CONDITIONS!$A:$A,$I101)-1))+($H101*(SUMIFS(OBJECT_CONDITIONS!$R:$R,OBJECT_CONDITIONS!$A:$A,$I101)-1)),3))</f>
        <v/>
      </c>
      <c r="K101" s="11"/>
    </row>
    <row r="102" ht="14.25" customHeight="1">
      <c r="A102" s="11"/>
      <c r="B102" s="11"/>
      <c r="C102" s="11"/>
      <c r="D102" s="36"/>
      <c r="E102" s="36"/>
      <c r="F102" s="36"/>
      <c r="G102" s="36"/>
      <c r="H102" s="36"/>
      <c r="I102" s="11"/>
      <c r="J102" s="36" t="str">
        <f>IF($I102="","",ROUND(1+($D102*(SUMIFS(OBJECT_CONDITIONS!$W:$W,OBJECT_CONDITIONS!$A:$A,$I102)-1))+($E102*(SUMIFS(OBJECT_CONDITIONS!$J:$J,OBJECT_CONDITIONS!$A:$A,$I102)-1))+($F102*(SUMIFS(OBJECT_CONDITIONS!$L:$L,OBJECT_CONDITIONS!$A:$A,$I102)-1))+($G102*(SUMIFS(OBJECT_CONDITIONS!$N:$N,OBJECT_CONDITIONS!$A:$A,$I102)-1))+($H102*(SUMIFS(OBJECT_CONDITIONS!$R:$R,OBJECT_CONDITIONS!$A:$A,$I102)-1)),3))</f>
        <v/>
      </c>
      <c r="K102" s="11"/>
    </row>
    <row r="103" ht="14.25" customHeight="1">
      <c r="A103" s="11"/>
      <c r="B103" s="11"/>
      <c r="C103" s="11"/>
      <c r="D103" s="36"/>
      <c r="E103" s="36"/>
      <c r="F103" s="36"/>
      <c r="G103" s="36"/>
      <c r="H103" s="36"/>
      <c r="I103" s="11"/>
      <c r="J103" s="36" t="str">
        <f>IF($I103="","",ROUND(1+($D103*(SUMIFS(OBJECT_CONDITIONS!$W:$W,OBJECT_CONDITIONS!$A:$A,$I103)-1))+($E103*(SUMIFS(OBJECT_CONDITIONS!$J:$J,OBJECT_CONDITIONS!$A:$A,$I103)-1))+($F103*(SUMIFS(OBJECT_CONDITIONS!$L:$L,OBJECT_CONDITIONS!$A:$A,$I103)-1))+($G103*(SUMIFS(OBJECT_CONDITIONS!$N:$N,OBJECT_CONDITIONS!$A:$A,$I103)-1))+($H103*(SUMIFS(OBJECT_CONDITIONS!$R:$R,OBJECT_CONDITIONS!$A:$A,$I103)-1)),3))</f>
        <v/>
      </c>
      <c r="K103" s="11"/>
    </row>
    <row r="104" ht="14.25" customHeight="1">
      <c r="A104" s="11"/>
      <c r="B104" s="11"/>
      <c r="C104" s="11"/>
      <c r="D104" s="36"/>
      <c r="E104" s="36"/>
      <c r="F104" s="36"/>
      <c r="G104" s="36"/>
      <c r="H104" s="36"/>
      <c r="I104" s="11"/>
      <c r="J104" s="36" t="str">
        <f>IF($I104="","",ROUND(1+($D104*(SUMIFS(OBJECT_CONDITIONS!$W:$W,OBJECT_CONDITIONS!$A:$A,$I104)-1))+($E104*(SUMIFS(OBJECT_CONDITIONS!$J:$J,OBJECT_CONDITIONS!$A:$A,$I104)-1))+($F104*(SUMIFS(OBJECT_CONDITIONS!$L:$L,OBJECT_CONDITIONS!$A:$A,$I104)-1))+($G104*(SUMIFS(OBJECT_CONDITIONS!$N:$N,OBJECT_CONDITIONS!$A:$A,$I104)-1))+($H104*(SUMIFS(OBJECT_CONDITIONS!$R:$R,OBJECT_CONDITIONS!$A:$A,$I104)-1)),3))</f>
        <v/>
      </c>
      <c r="K104" s="11"/>
    </row>
    <row r="105" ht="14.25" customHeight="1">
      <c r="A105" s="11"/>
      <c r="B105" s="11"/>
      <c r="C105" s="11"/>
      <c r="D105" s="36"/>
      <c r="E105" s="36"/>
      <c r="F105" s="36"/>
      <c r="G105" s="36"/>
      <c r="H105" s="36"/>
      <c r="I105" s="11"/>
      <c r="J105" s="36" t="str">
        <f>IF($I105="","",ROUND(1+($D105*(SUMIFS(OBJECT_CONDITIONS!$W:$W,OBJECT_CONDITIONS!$A:$A,$I105)-1))+($E105*(SUMIFS(OBJECT_CONDITIONS!$J:$J,OBJECT_CONDITIONS!$A:$A,$I105)-1))+($F105*(SUMIFS(OBJECT_CONDITIONS!$L:$L,OBJECT_CONDITIONS!$A:$A,$I105)-1))+($G105*(SUMIFS(OBJECT_CONDITIONS!$N:$N,OBJECT_CONDITIONS!$A:$A,$I105)-1))+($H105*(SUMIFS(OBJECT_CONDITIONS!$R:$R,OBJECT_CONDITIONS!$A:$A,$I105)-1)),3))</f>
        <v/>
      </c>
      <c r="K105" s="11"/>
    </row>
    <row r="106" ht="14.25" customHeight="1">
      <c r="A106" s="11"/>
      <c r="B106" s="11"/>
      <c r="C106" s="11"/>
      <c r="D106" s="36"/>
      <c r="E106" s="36"/>
      <c r="F106" s="36"/>
      <c r="G106" s="36"/>
      <c r="H106" s="36"/>
      <c r="I106" s="11"/>
      <c r="J106" s="36" t="str">
        <f>IF($I106="","",ROUND(1+($D106*(SUMIFS(OBJECT_CONDITIONS!$W:$W,OBJECT_CONDITIONS!$A:$A,$I106)-1))+($E106*(SUMIFS(OBJECT_CONDITIONS!$J:$J,OBJECT_CONDITIONS!$A:$A,$I106)-1))+($F106*(SUMIFS(OBJECT_CONDITIONS!$L:$L,OBJECT_CONDITIONS!$A:$A,$I106)-1))+($G106*(SUMIFS(OBJECT_CONDITIONS!$N:$N,OBJECT_CONDITIONS!$A:$A,$I106)-1))+($H106*(SUMIFS(OBJECT_CONDITIONS!$R:$R,OBJECT_CONDITIONS!$A:$A,$I106)-1)),3))</f>
        <v/>
      </c>
      <c r="K106" s="11"/>
    </row>
    <row r="107" ht="14.25" customHeight="1">
      <c r="A107" s="11"/>
      <c r="B107" s="11"/>
      <c r="C107" s="11"/>
      <c r="D107" s="36"/>
      <c r="E107" s="36"/>
      <c r="F107" s="36"/>
      <c r="G107" s="36"/>
      <c r="H107" s="36"/>
      <c r="I107" s="11"/>
      <c r="J107" s="36" t="str">
        <f>IF($I107="","",ROUND(1+($D107*(SUMIFS(OBJECT_CONDITIONS!$W:$W,OBJECT_CONDITIONS!$A:$A,$I107)-1))+($E107*(SUMIFS(OBJECT_CONDITIONS!$J:$J,OBJECT_CONDITIONS!$A:$A,$I107)-1))+($F107*(SUMIFS(OBJECT_CONDITIONS!$L:$L,OBJECT_CONDITIONS!$A:$A,$I107)-1))+($G107*(SUMIFS(OBJECT_CONDITIONS!$N:$N,OBJECT_CONDITIONS!$A:$A,$I107)-1))+($H107*(SUMIFS(OBJECT_CONDITIONS!$R:$R,OBJECT_CONDITIONS!$A:$A,$I107)-1)),3))</f>
        <v/>
      </c>
      <c r="K107" s="11"/>
    </row>
    <row r="108" ht="14.25" customHeight="1">
      <c r="A108" s="11"/>
      <c r="B108" s="11"/>
      <c r="C108" s="11"/>
      <c r="D108" s="36"/>
      <c r="E108" s="36"/>
      <c r="F108" s="36"/>
      <c r="G108" s="36"/>
      <c r="H108" s="36"/>
      <c r="I108" s="11"/>
      <c r="J108" s="36" t="str">
        <f>IF($I108="","",ROUND(1+($D108*(SUMIFS(OBJECT_CONDITIONS!$W:$W,OBJECT_CONDITIONS!$A:$A,$I108)-1))+($E108*(SUMIFS(OBJECT_CONDITIONS!$J:$J,OBJECT_CONDITIONS!$A:$A,$I108)-1))+($F108*(SUMIFS(OBJECT_CONDITIONS!$L:$L,OBJECT_CONDITIONS!$A:$A,$I108)-1))+($G108*(SUMIFS(OBJECT_CONDITIONS!$N:$N,OBJECT_CONDITIONS!$A:$A,$I108)-1))+($H108*(SUMIFS(OBJECT_CONDITIONS!$R:$R,OBJECT_CONDITIONS!$A:$A,$I108)-1)),3))</f>
        <v/>
      </c>
      <c r="K108" s="11"/>
    </row>
    <row r="109" ht="14.25" customHeight="1">
      <c r="A109" s="11"/>
      <c r="B109" s="11"/>
      <c r="C109" s="11"/>
      <c r="D109" s="36"/>
      <c r="E109" s="36"/>
      <c r="F109" s="36"/>
      <c r="G109" s="36"/>
      <c r="H109" s="36"/>
      <c r="I109" s="11"/>
      <c r="J109" s="36" t="str">
        <f>IF($I109="","",ROUND(1+($D109*(SUMIFS(OBJECT_CONDITIONS!$W:$W,OBJECT_CONDITIONS!$A:$A,$I109)-1))+($E109*(SUMIFS(OBJECT_CONDITIONS!$J:$J,OBJECT_CONDITIONS!$A:$A,$I109)-1))+($F109*(SUMIFS(OBJECT_CONDITIONS!$L:$L,OBJECT_CONDITIONS!$A:$A,$I109)-1))+($G109*(SUMIFS(OBJECT_CONDITIONS!$N:$N,OBJECT_CONDITIONS!$A:$A,$I109)-1))+($H109*(SUMIFS(OBJECT_CONDITIONS!$R:$R,OBJECT_CONDITIONS!$A:$A,$I109)-1)),3))</f>
        <v/>
      </c>
      <c r="K109" s="11"/>
    </row>
    <row r="110" ht="14.25" customHeight="1">
      <c r="A110" s="11"/>
      <c r="B110" s="11"/>
      <c r="C110" s="11"/>
      <c r="D110" s="36"/>
      <c r="E110" s="36"/>
      <c r="F110" s="36"/>
      <c r="G110" s="36"/>
      <c r="H110" s="36"/>
      <c r="I110" s="11"/>
      <c r="J110" s="36" t="str">
        <f>IF($I110="","",ROUND(1+($D110*(SUMIFS(OBJECT_CONDITIONS!$W:$W,OBJECT_CONDITIONS!$A:$A,$I110)-1))+($E110*(SUMIFS(OBJECT_CONDITIONS!$J:$J,OBJECT_CONDITIONS!$A:$A,$I110)-1))+($F110*(SUMIFS(OBJECT_CONDITIONS!$L:$L,OBJECT_CONDITIONS!$A:$A,$I110)-1))+($G110*(SUMIFS(OBJECT_CONDITIONS!$N:$N,OBJECT_CONDITIONS!$A:$A,$I110)-1))+($H110*(SUMIFS(OBJECT_CONDITIONS!$R:$R,OBJECT_CONDITIONS!$A:$A,$I110)-1)),3))</f>
        <v/>
      </c>
      <c r="K110" s="11"/>
    </row>
    <row r="111" ht="14.25" customHeight="1">
      <c r="A111" s="11"/>
      <c r="B111" s="11"/>
      <c r="C111" s="11"/>
      <c r="D111" s="36"/>
      <c r="E111" s="36"/>
      <c r="F111" s="36"/>
      <c r="G111" s="36"/>
      <c r="H111" s="36"/>
      <c r="I111" s="11"/>
      <c r="J111" s="36" t="str">
        <f>IF($I111="","",ROUND(1+($D111*(SUMIFS(OBJECT_CONDITIONS!$W:$W,OBJECT_CONDITIONS!$A:$A,$I111)-1))+($E111*(SUMIFS(OBJECT_CONDITIONS!$J:$J,OBJECT_CONDITIONS!$A:$A,$I111)-1))+($F111*(SUMIFS(OBJECT_CONDITIONS!$L:$L,OBJECT_CONDITIONS!$A:$A,$I111)-1))+($G111*(SUMIFS(OBJECT_CONDITIONS!$N:$N,OBJECT_CONDITIONS!$A:$A,$I111)-1))+($H111*(SUMIFS(OBJECT_CONDITIONS!$R:$R,OBJECT_CONDITIONS!$A:$A,$I111)-1)),3))</f>
        <v/>
      </c>
      <c r="K111" s="11"/>
    </row>
    <row r="112" ht="14.25" customHeight="1">
      <c r="A112" s="11"/>
      <c r="B112" s="11"/>
      <c r="C112" s="11"/>
      <c r="D112" s="36"/>
      <c r="E112" s="36"/>
      <c r="F112" s="36"/>
      <c r="G112" s="36"/>
      <c r="H112" s="36"/>
      <c r="I112" s="11"/>
      <c r="J112" s="36" t="str">
        <f>IF($I112="","",ROUND(1+($D112*(SUMIFS(OBJECT_CONDITIONS!$W:$W,OBJECT_CONDITIONS!$A:$A,$I112)-1))+($E112*(SUMIFS(OBJECT_CONDITIONS!$J:$J,OBJECT_CONDITIONS!$A:$A,$I112)-1))+($F112*(SUMIFS(OBJECT_CONDITIONS!$L:$L,OBJECT_CONDITIONS!$A:$A,$I112)-1))+($G112*(SUMIFS(OBJECT_CONDITIONS!$N:$N,OBJECT_CONDITIONS!$A:$A,$I112)-1))+($H112*(SUMIFS(OBJECT_CONDITIONS!$R:$R,OBJECT_CONDITIONS!$A:$A,$I112)-1)),3))</f>
        <v/>
      </c>
      <c r="K112" s="11"/>
    </row>
    <row r="113" ht="14.25" customHeight="1">
      <c r="A113" s="11"/>
      <c r="B113" s="11"/>
      <c r="C113" s="11"/>
      <c r="D113" s="36"/>
      <c r="E113" s="36"/>
      <c r="F113" s="36"/>
      <c r="G113" s="36"/>
      <c r="H113" s="36"/>
      <c r="I113" s="11"/>
      <c r="J113" s="36" t="str">
        <f>IF($I113="","",ROUND(1+($D113*(SUMIFS(OBJECT_CONDITIONS!$W:$W,OBJECT_CONDITIONS!$A:$A,$I113)-1))+($E113*(SUMIFS(OBJECT_CONDITIONS!$J:$J,OBJECT_CONDITIONS!$A:$A,$I113)-1))+($F113*(SUMIFS(OBJECT_CONDITIONS!$L:$L,OBJECT_CONDITIONS!$A:$A,$I113)-1))+($G113*(SUMIFS(OBJECT_CONDITIONS!$N:$N,OBJECT_CONDITIONS!$A:$A,$I113)-1))+($H113*(SUMIFS(OBJECT_CONDITIONS!$R:$R,OBJECT_CONDITIONS!$A:$A,$I113)-1)),3))</f>
        <v/>
      </c>
      <c r="K113" s="11"/>
    </row>
    <row r="114" ht="14.25" customHeight="1">
      <c r="A114" s="11"/>
      <c r="B114" s="11"/>
      <c r="C114" s="11"/>
      <c r="D114" s="36"/>
      <c r="E114" s="36"/>
      <c r="F114" s="36"/>
      <c r="G114" s="36"/>
      <c r="H114" s="36"/>
      <c r="I114" s="11"/>
      <c r="J114" s="36" t="str">
        <f>IF($I114="","",ROUND(1+($D114*(SUMIFS(OBJECT_CONDITIONS!$W:$W,OBJECT_CONDITIONS!$A:$A,$I114)-1))+($E114*(SUMIFS(OBJECT_CONDITIONS!$J:$J,OBJECT_CONDITIONS!$A:$A,$I114)-1))+($F114*(SUMIFS(OBJECT_CONDITIONS!$L:$L,OBJECT_CONDITIONS!$A:$A,$I114)-1))+($G114*(SUMIFS(OBJECT_CONDITIONS!$N:$N,OBJECT_CONDITIONS!$A:$A,$I114)-1))+($H114*(SUMIFS(OBJECT_CONDITIONS!$R:$R,OBJECT_CONDITIONS!$A:$A,$I114)-1)),3))</f>
        <v/>
      </c>
      <c r="K114" s="11"/>
    </row>
    <row r="115" ht="14.25" customHeight="1">
      <c r="A115" s="11"/>
      <c r="B115" s="11"/>
      <c r="C115" s="11"/>
      <c r="D115" s="36"/>
      <c r="E115" s="36"/>
      <c r="F115" s="36"/>
      <c r="G115" s="36"/>
      <c r="H115" s="36"/>
      <c r="I115" s="11"/>
      <c r="J115" s="36" t="str">
        <f>IF($I115="","",ROUND(1+($D115*(SUMIFS(OBJECT_CONDITIONS!$W:$W,OBJECT_CONDITIONS!$A:$A,$I115)-1))+($E115*(SUMIFS(OBJECT_CONDITIONS!$J:$J,OBJECT_CONDITIONS!$A:$A,$I115)-1))+($F115*(SUMIFS(OBJECT_CONDITIONS!$L:$L,OBJECT_CONDITIONS!$A:$A,$I115)-1))+($G115*(SUMIFS(OBJECT_CONDITIONS!$N:$N,OBJECT_CONDITIONS!$A:$A,$I115)-1))+($H115*(SUMIFS(OBJECT_CONDITIONS!$R:$R,OBJECT_CONDITIONS!$A:$A,$I115)-1)),3))</f>
        <v/>
      </c>
      <c r="K115" s="11"/>
    </row>
    <row r="116" ht="14.25" customHeight="1">
      <c r="A116" s="11"/>
      <c r="B116" s="11"/>
      <c r="C116" s="11"/>
      <c r="D116" s="36"/>
      <c r="E116" s="36"/>
      <c r="F116" s="36"/>
      <c r="G116" s="36"/>
      <c r="H116" s="36"/>
      <c r="I116" s="11"/>
      <c r="J116" s="36" t="str">
        <f>IF($I116="","",ROUND(1+($D116*(SUMIFS(OBJECT_CONDITIONS!$W:$W,OBJECT_CONDITIONS!$A:$A,$I116)-1))+($E116*(SUMIFS(OBJECT_CONDITIONS!$J:$J,OBJECT_CONDITIONS!$A:$A,$I116)-1))+($F116*(SUMIFS(OBJECT_CONDITIONS!$L:$L,OBJECT_CONDITIONS!$A:$A,$I116)-1))+($G116*(SUMIFS(OBJECT_CONDITIONS!$N:$N,OBJECT_CONDITIONS!$A:$A,$I116)-1))+($H116*(SUMIFS(OBJECT_CONDITIONS!$R:$R,OBJECT_CONDITIONS!$A:$A,$I116)-1)),3))</f>
        <v/>
      </c>
      <c r="K116" s="11"/>
    </row>
    <row r="117" ht="14.25" customHeight="1">
      <c r="A117" s="11"/>
      <c r="B117" s="11"/>
      <c r="C117" s="11"/>
      <c r="D117" s="36"/>
      <c r="E117" s="36"/>
      <c r="F117" s="36"/>
      <c r="G117" s="36"/>
      <c r="H117" s="36"/>
      <c r="I117" s="11"/>
      <c r="J117" s="36" t="str">
        <f>IF($I117="","",ROUND(1+($D117*(SUMIFS(OBJECT_CONDITIONS!$W:$W,OBJECT_CONDITIONS!$A:$A,$I117)-1))+($E117*(SUMIFS(OBJECT_CONDITIONS!$J:$J,OBJECT_CONDITIONS!$A:$A,$I117)-1))+($F117*(SUMIFS(OBJECT_CONDITIONS!$L:$L,OBJECT_CONDITIONS!$A:$A,$I117)-1))+($G117*(SUMIFS(OBJECT_CONDITIONS!$N:$N,OBJECT_CONDITIONS!$A:$A,$I117)-1))+($H117*(SUMIFS(OBJECT_CONDITIONS!$R:$R,OBJECT_CONDITIONS!$A:$A,$I117)-1)),3))</f>
        <v/>
      </c>
      <c r="K117" s="11"/>
    </row>
    <row r="118" ht="14.25" customHeight="1">
      <c r="A118" s="11"/>
      <c r="B118" s="11"/>
      <c r="C118" s="11"/>
      <c r="D118" s="36"/>
      <c r="E118" s="36"/>
      <c r="F118" s="36"/>
      <c r="G118" s="36"/>
      <c r="H118" s="36"/>
      <c r="I118" s="11"/>
      <c r="J118" s="36" t="str">
        <f>IF($I118="","",ROUND(1+($D118*(SUMIFS(OBJECT_CONDITIONS!$W:$W,OBJECT_CONDITIONS!$A:$A,$I118)-1))+($E118*(SUMIFS(OBJECT_CONDITIONS!$J:$J,OBJECT_CONDITIONS!$A:$A,$I118)-1))+($F118*(SUMIFS(OBJECT_CONDITIONS!$L:$L,OBJECT_CONDITIONS!$A:$A,$I118)-1))+($G118*(SUMIFS(OBJECT_CONDITIONS!$N:$N,OBJECT_CONDITIONS!$A:$A,$I118)-1))+($H118*(SUMIFS(OBJECT_CONDITIONS!$R:$R,OBJECT_CONDITIONS!$A:$A,$I118)-1)),3))</f>
        <v/>
      </c>
      <c r="K118" s="11"/>
    </row>
    <row r="119" ht="14.25" customHeight="1">
      <c r="A119" s="11"/>
      <c r="B119" s="11"/>
      <c r="C119" s="11"/>
      <c r="D119" s="36"/>
      <c r="E119" s="36"/>
      <c r="F119" s="36"/>
      <c r="G119" s="36"/>
      <c r="H119" s="36"/>
      <c r="I119" s="11"/>
      <c r="J119" s="36" t="str">
        <f>IF($I119="","",ROUND(1+($D119*(SUMIFS(OBJECT_CONDITIONS!$W:$W,OBJECT_CONDITIONS!$A:$A,$I119)-1))+($E119*(SUMIFS(OBJECT_CONDITIONS!$J:$J,OBJECT_CONDITIONS!$A:$A,$I119)-1))+($F119*(SUMIFS(OBJECT_CONDITIONS!$L:$L,OBJECT_CONDITIONS!$A:$A,$I119)-1))+($G119*(SUMIFS(OBJECT_CONDITIONS!$N:$N,OBJECT_CONDITIONS!$A:$A,$I119)-1))+($H119*(SUMIFS(OBJECT_CONDITIONS!$R:$R,OBJECT_CONDITIONS!$A:$A,$I119)-1)),3))</f>
        <v/>
      </c>
      <c r="K119" s="11"/>
    </row>
    <row r="120" ht="14.25" customHeight="1">
      <c r="A120" s="11"/>
      <c r="B120" s="11"/>
      <c r="C120" s="11"/>
      <c r="D120" s="36"/>
      <c r="E120" s="36"/>
      <c r="F120" s="36"/>
      <c r="G120" s="36"/>
      <c r="H120" s="36"/>
      <c r="I120" s="11"/>
      <c r="J120" s="36" t="str">
        <f>IF($I120="","",ROUND(1+($D120*(SUMIFS(OBJECT_CONDITIONS!$W:$W,OBJECT_CONDITIONS!$A:$A,$I120)-1))+($E120*(SUMIFS(OBJECT_CONDITIONS!$J:$J,OBJECT_CONDITIONS!$A:$A,$I120)-1))+($F120*(SUMIFS(OBJECT_CONDITIONS!$L:$L,OBJECT_CONDITIONS!$A:$A,$I120)-1))+($G120*(SUMIFS(OBJECT_CONDITIONS!$N:$N,OBJECT_CONDITIONS!$A:$A,$I120)-1))+($H120*(SUMIFS(OBJECT_CONDITIONS!$R:$R,OBJECT_CONDITIONS!$A:$A,$I120)-1)),3))</f>
        <v/>
      </c>
      <c r="K120" s="11"/>
    </row>
    <row r="121" ht="14.25" customHeight="1">
      <c r="A121" s="11"/>
      <c r="B121" s="11"/>
      <c r="C121" s="11"/>
      <c r="D121" s="36"/>
      <c r="E121" s="36"/>
      <c r="F121" s="36"/>
      <c r="G121" s="36"/>
      <c r="H121" s="36"/>
      <c r="I121" s="11"/>
      <c r="J121" s="36" t="str">
        <f>IF($I121="","",ROUND(1+($D121*(SUMIFS(OBJECT_CONDITIONS!$W:$W,OBJECT_CONDITIONS!$A:$A,$I121)-1))+($E121*(SUMIFS(OBJECT_CONDITIONS!$J:$J,OBJECT_CONDITIONS!$A:$A,$I121)-1))+($F121*(SUMIFS(OBJECT_CONDITIONS!$L:$L,OBJECT_CONDITIONS!$A:$A,$I121)-1))+($G121*(SUMIFS(OBJECT_CONDITIONS!$N:$N,OBJECT_CONDITIONS!$A:$A,$I121)-1))+($H121*(SUMIFS(OBJECT_CONDITIONS!$R:$R,OBJECT_CONDITIONS!$A:$A,$I121)-1)),3))</f>
        <v/>
      </c>
      <c r="K121" s="11"/>
    </row>
    <row r="122" ht="14.25" customHeight="1">
      <c r="A122" s="11"/>
      <c r="B122" s="11"/>
      <c r="C122" s="11"/>
      <c r="D122" s="36"/>
      <c r="E122" s="36"/>
      <c r="F122" s="36"/>
      <c r="G122" s="36"/>
      <c r="H122" s="36"/>
      <c r="I122" s="11"/>
      <c r="J122" s="36" t="str">
        <f>IF($I122="","",ROUND(1+($D122*(SUMIFS(OBJECT_CONDITIONS!$W:$W,OBJECT_CONDITIONS!$A:$A,$I122)-1))+($E122*(SUMIFS(OBJECT_CONDITIONS!$J:$J,OBJECT_CONDITIONS!$A:$A,$I122)-1))+($F122*(SUMIFS(OBJECT_CONDITIONS!$L:$L,OBJECT_CONDITIONS!$A:$A,$I122)-1))+($G122*(SUMIFS(OBJECT_CONDITIONS!$N:$N,OBJECT_CONDITIONS!$A:$A,$I122)-1))+($H122*(SUMIFS(OBJECT_CONDITIONS!$R:$R,OBJECT_CONDITIONS!$A:$A,$I122)-1)),3))</f>
        <v/>
      </c>
      <c r="K122" s="11"/>
    </row>
    <row r="123" ht="14.25" customHeight="1">
      <c r="A123" s="11"/>
      <c r="B123" s="11"/>
      <c r="C123" s="11"/>
      <c r="D123" s="36"/>
      <c r="E123" s="36"/>
      <c r="F123" s="36"/>
      <c r="G123" s="36"/>
      <c r="H123" s="36"/>
      <c r="I123" s="11"/>
      <c r="J123" s="36" t="str">
        <f>IF($I123="","",ROUND(1+($D123*(SUMIFS(OBJECT_CONDITIONS!$W:$W,OBJECT_CONDITIONS!$A:$A,$I123)-1))+($E123*(SUMIFS(OBJECT_CONDITIONS!$J:$J,OBJECT_CONDITIONS!$A:$A,$I123)-1))+($F123*(SUMIFS(OBJECT_CONDITIONS!$L:$L,OBJECT_CONDITIONS!$A:$A,$I123)-1))+($G123*(SUMIFS(OBJECT_CONDITIONS!$N:$N,OBJECT_CONDITIONS!$A:$A,$I123)-1))+($H123*(SUMIFS(OBJECT_CONDITIONS!$R:$R,OBJECT_CONDITIONS!$A:$A,$I123)-1)),3))</f>
        <v/>
      </c>
      <c r="K123" s="11"/>
    </row>
    <row r="124" ht="14.25" customHeight="1">
      <c r="A124" s="11"/>
      <c r="B124" s="11"/>
      <c r="C124" s="11"/>
      <c r="D124" s="36"/>
      <c r="E124" s="36"/>
      <c r="F124" s="36"/>
      <c r="G124" s="36"/>
      <c r="H124" s="36"/>
      <c r="I124" s="11"/>
      <c r="J124" s="36" t="str">
        <f>IF($I124="","",ROUND(1+($D124*(SUMIFS(OBJECT_CONDITIONS!$W:$W,OBJECT_CONDITIONS!$A:$A,$I124)-1))+($E124*(SUMIFS(OBJECT_CONDITIONS!$J:$J,OBJECT_CONDITIONS!$A:$A,$I124)-1))+($F124*(SUMIFS(OBJECT_CONDITIONS!$L:$L,OBJECT_CONDITIONS!$A:$A,$I124)-1))+($G124*(SUMIFS(OBJECT_CONDITIONS!$N:$N,OBJECT_CONDITIONS!$A:$A,$I124)-1))+($H124*(SUMIFS(OBJECT_CONDITIONS!$R:$R,OBJECT_CONDITIONS!$A:$A,$I124)-1)),3))</f>
        <v/>
      </c>
      <c r="K124" s="11"/>
    </row>
    <row r="125" ht="14.25" customHeight="1">
      <c r="A125" s="11"/>
      <c r="B125" s="11"/>
      <c r="C125" s="11"/>
      <c r="D125" s="36"/>
      <c r="E125" s="36"/>
      <c r="F125" s="36"/>
      <c r="G125" s="36"/>
      <c r="H125" s="36"/>
      <c r="I125" s="11"/>
      <c r="J125" s="36" t="str">
        <f>IF($I125="","",ROUND(1+($D125*(SUMIFS(OBJECT_CONDITIONS!$W:$W,OBJECT_CONDITIONS!$A:$A,$I125)-1))+($E125*(SUMIFS(OBJECT_CONDITIONS!$J:$J,OBJECT_CONDITIONS!$A:$A,$I125)-1))+($F125*(SUMIFS(OBJECT_CONDITIONS!$L:$L,OBJECT_CONDITIONS!$A:$A,$I125)-1))+($G125*(SUMIFS(OBJECT_CONDITIONS!$N:$N,OBJECT_CONDITIONS!$A:$A,$I125)-1))+($H125*(SUMIFS(OBJECT_CONDITIONS!$R:$R,OBJECT_CONDITIONS!$A:$A,$I125)-1)),3))</f>
        <v/>
      </c>
      <c r="K125" s="11"/>
    </row>
    <row r="126" ht="14.25" customHeight="1">
      <c r="A126" s="11"/>
      <c r="B126" s="11"/>
      <c r="C126" s="11"/>
      <c r="D126" s="36"/>
      <c r="E126" s="36"/>
      <c r="F126" s="36"/>
      <c r="G126" s="36"/>
      <c r="H126" s="36"/>
      <c r="I126" s="11"/>
      <c r="J126" s="36" t="str">
        <f>IF($I126="","",ROUND(1+($D126*(SUMIFS(OBJECT_CONDITIONS!$W:$W,OBJECT_CONDITIONS!$A:$A,$I126)-1))+($E126*(SUMIFS(OBJECT_CONDITIONS!$J:$J,OBJECT_CONDITIONS!$A:$A,$I126)-1))+($F126*(SUMIFS(OBJECT_CONDITIONS!$L:$L,OBJECT_CONDITIONS!$A:$A,$I126)-1))+($G126*(SUMIFS(OBJECT_CONDITIONS!$N:$N,OBJECT_CONDITIONS!$A:$A,$I126)-1))+($H126*(SUMIFS(OBJECT_CONDITIONS!$R:$R,OBJECT_CONDITIONS!$A:$A,$I126)-1)),3))</f>
        <v/>
      </c>
      <c r="K126" s="11"/>
    </row>
    <row r="127" ht="14.25" customHeight="1">
      <c r="A127" s="11"/>
      <c r="B127" s="11"/>
      <c r="C127" s="11"/>
      <c r="D127" s="36"/>
      <c r="E127" s="36"/>
      <c r="F127" s="36"/>
      <c r="G127" s="36"/>
      <c r="H127" s="36"/>
      <c r="I127" s="11"/>
      <c r="J127" s="36" t="str">
        <f>IF($I127="","",ROUND(1+($D127*(SUMIFS(OBJECT_CONDITIONS!$W:$W,OBJECT_CONDITIONS!$A:$A,$I127)-1))+($E127*(SUMIFS(OBJECT_CONDITIONS!$J:$J,OBJECT_CONDITIONS!$A:$A,$I127)-1))+($F127*(SUMIFS(OBJECT_CONDITIONS!$L:$L,OBJECT_CONDITIONS!$A:$A,$I127)-1))+($G127*(SUMIFS(OBJECT_CONDITIONS!$N:$N,OBJECT_CONDITIONS!$A:$A,$I127)-1))+($H127*(SUMIFS(OBJECT_CONDITIONS!$R:$R,OBJECT_CONDITIONS!$A:$A,$I127)-1)),3))</f>
        <v/>
      </c>
      <c r="K127" s="11"/>
    </row>
    <row r="128" ht="14.25" customHeight="1">
      <c r="A128" s="11"/>
      <c r="B128" s="11"/>
      <c r="C128" s="11"/>
      <c r="D128" s="36"/>
      <c r="E128" s="36"/>
      <c r="F128" s="36"/>
      <c r="G128" s="36"/>
      <c r="H128" s="36"/>
      <c r="I128" s="11"/>
      <c r="J128" s="36" t="str">
        <f>IF($I128="","",ROUND(1+($D128*(SUMIFS(OBJECT_CONDITIONS!$W:$W,OBJECT_CONDITIONS!$A:$A,$I128)-1))+($E128*(SUMIFS(OBJECT_CONDITIONS!$J:$J,OBJECT_CONDITIONS!$A:$A,$I128)-1))+($F128*(SUMIFS(OBJECT_CONDITIONS!$L:$L,OBJECT_CONDITIONS!$A:$A,$I128)-1))+($G128*(SUMIFS(OBJECT_CONDITIONS!$N:$N,OBJECT_CONDITIONS!$A:$A,$I128)-1))+($H128*(SUMIFS(OBJECT_CONDITIONS!$R:$R,OBJECT_CONDITIONS!$A:$A,$I128)-1)),3))</f>
        <v/>
      </c>
      <c r="K128" s="11"/>
    </row>
    <row r="129" ht="14.25" customHeight="1">
      <c r="A129" s="11"/>
      <c r="B129" s="11"/>
      <c r="C129" s="11"/>
      <c r="D129" s="36"/>
      <c r="E129" s="36"/>
      <c r="F129" s="36"/>
      <c r="G129" s="36"/>
      <c r="H129" s="36"/>
      <c r="I129" s="11"/>
      <c r="J129" s="36" t="str">
        <f>IF($I129="","",ROUND(1+($D129*(SUMIFS(OBJECT_CONDITIONS!$W:$W,OBJECT_CONDITIONS!$A:$A,$I129)-1))+($E129*(SUMIFS(OBJECT_CONDITIONS!$J:$J,OBJECT_CONDITIONS!$A:$A,$I129)-1))+($F129*(SUMIFS(OBJECT_CONDITIONS!$L:$L,OBJECT_CONDITIONS!$A:$A,$I129)-1))+($G129*(SUMIFS(OBJECT_CONDITIONS!$N:$N,OBJECT_CONDITIONS!$A:$A,$I129)-1))+($H129*(SUMIFS(OBJECT_CONDITIONS!$R:$R,OBJECT_CONDITIONS!$A:$A,$I129)-1)),3))</f>
        <v/>
      </c>
      <c r="K129" s="11"/>
    </row>
    <row r="130" ht="14.25" customHeight="1">
      <c r="A130" s="11"/>
      <c r="B130" s="11"/>
      <c r="C130" s="11"/>
      <c r="D130" s="36"/>
      <c r="E130" s="36"/>
      <c r="F130" s="36"/>
      <c r="G130" s="36"/>
      <c r="H130" s="36"/>
      <c r="I130" s="11"/>
      <c r="J130" s="36" t="str">
        <f>IF($I130="","",ROUND(1+($D130*(SUMIFS(OBJECT_CONDITIONS!$W:$W,OBJECT_CONDITIONS!$A:$A,$I130)-1))+($E130*(SUMIFS(OBJECT_CONDITIONS!$J:$J,OBJECT_CONDITIONS!$A:$A,$I130)-1))+($F130*(SUMIFS(OBJECT_CONDITIONS!$L:$L,OBJECT_CONDITIONS!$A:$A,$I130)-1))+($G130*(SUMIFS(OBJECT_CONDITIONS!$N:$N,OBJECT_CONDITIONS!$A:$A,$I130)-1))+($H130*(SUMIFS(OBJECT_CONDITIONS!$R:$R,OBJECT_CONDITIONS!$A:$A,$I130)-1)),3))</f>
        <v/>
      </c>
      <c r="K130" s="11"/>
    </row>
    <row r="131" ht="14.25" customHeight="1">
      <c r="A131" s="11"/>
      <c r="B131" s="11"/>
      <c r="C131" s="11"/>
      <c r="D131" s="36"/>
      <c r="E131" s="36"/>
      <c r="F131" s="36"/>
      <c r="G131" s="36"/>
      <c r="H131" s="36"/>
      <c r="I131" s="11"/>
      <c r="J131" s="36" t="str">
        <f>IF($I131="","",ROUND(1+($D131*(SUMIFS(OBJECT_CONDITIONS!$W:$W,OBJECT_CONDITIONS!$A:$A,$I131)-1))+($E131*(SUMIFS(OBJECT_CONDITIONS!$J:$J,OBJECT_CONDITIONS!$A:$A,$I131)-1))+($F131*(SUMIFS(OBJECT_CONDITIONS!$L:$L,OBJECT_CONDITIONS!$A:$A,$I131)-1))+($G131*(SUMIFS(OBJECT_CONDITIONS!$N:$N,OBJECT_CONDITIONS!$A:$A,$I131)-1))+($H131*(SUMIFS(OBJECT_CONDITIONS!$R:$R,OBJECT_CONDITIONS!$A:$A,$I131)-1)),3))</f>
        <v/>
      </c>
      <c r="K131" s="11"/>
    </row>
    <row r="132" ht="14.25" customHeight="1">
      <c r="A132" s="11"/>
      <c r="B132" s="11"/>
      <c r="C132" s="11"/>
      <c r="D132" s="36"/>
      <c r="E132" s="36"/>
      <c r="F132" s="36"/>
      <c r="G132" s="36"/>
      <c r="H132" s="36"/>
      <c r="I132" s="11"/>
      <c r="J132" s="36" t="str">
        <f>IF($I132="","",ROUND(1+($D132*(SUMIFS(OBJECT_CONDITIONS!$W:$W,OBJECT_CONDITIONS!$A:$A,$I132)-1))+($E132*(SUMIFS(OBJECT_CONDITIONS!$J:$J,OBJECT_CONDITIONS!$A:$A,$I132)-1))+($F132*(SUMIFS(OBJECT_CONDITIONS!$L:$L,OBJECT_CONDITIONS!$A:$A,$I132)-1))+($G132*(SUMIFS(OBJECT_CONDITIONS!$N:$N,OBJECT_CONDITIONS!$A:$A,$I132)-1))+($H132*(SUMIFS(OBJECT_CONDITIONS!$R:$R,OBJECT_CONDITIONS!$A:$A,$I132)-1)),3))</f>
        <v/>
      </c>
      <c r="K132" s="11"/>
    </row>
    <row r="133" ht="14.25" customHeight="1">
      <c r="A133" s="11"/>
      <c r="B133" s="11"/>
      <c r="C133" s="11"/>
      <c r="D133" s="36"/>
      <c r="E133" s="36"/>
      <c r="F133" s="36"/>
      <c r="G133" s="36"/>
      <c r="H133" s="36"/>
      <c r="I133" s="11"/>
      <c r="J133" s="36" t="str">
        <f>IF($I133="","",ROUND(1+($D133*(SUMIFS(OBJECT_CONDITIONS!$W:$W,OBJECT_CONDITIONS!$A:$A,$I133)-1))+($E133*(SUMIFS(OBJECT_CONDITIONS!$J:$J,OBJECT_CONDITIONS!$A:$A,$I133)-1))+($F133*(SUMIFS(OBJECT_CONDITIONS!$L:$L,OBJECT_CONDITIONS!$A:$A,$I133)-1))+($G133*(SUMIFS(OBJECT_CONDITIONS!$N:$N,OBJECT_CONDITIONS!$A:$A,$I133)-1))+($H133*(SUMIFS(OBJECT_CONDITIONS!$R:$R,OBJECT_CONDITIONS!$A:$A,$I133)-1)),3))</f>
        <v/>
      </c>
      <c r="K133" s="11"/>
    </row>
    <row r="134" ht="14.25" customHeight="1">
      <c r="A134" s="11"/>
      <c r="B134" s="11"/>
      <c r="C134" s="11"/>
      <c r="D134" s="36"/>
      <c r="E134" s="36"/>
      <c r="F134" s="36"/>
      <c r="G134" s="36"/>
      <c r="H134" s="36"/>
      <c r="I134" s="11"/>
      <c r="J134" s="36" t="str">
        <f>IF($I134="","",ROUND(1+($D134*(SUMIFS(OBJECT_CONDITIONS!$W:$W,OBJECT_CONDITIONS!$A:$A,$I134)-1))+($E134*(SUMIFS(OBJECT_CONDITIONS!$J:$J,OBJECT_CONDITIONS!$A:$A,$I134)-1))+($F134*(SUMIFS(OBJECT_CONDITIONS!$L:$L,OBJECT_CONDITIONS!$A:$A,$I134)-1))+($G134*(SUMIFS(OBJECT_CONDITIONS!$N:$N,OBJECT_CONDITIONS!$A:$A,$I134)-1))+($H134*(SUMIFS(OBJECT_CONDITIONS!$R:$R,OBJECT_CONDITIONS!$A:$A,$I134)-1)),3))</f>
        <v/>
      </c>
      <c r="K134" s="11"/>
    </row>
    <row r="135" ht="14.25" customHeight="1">
      <c r="A135" s="11"/>
      <c r="B135" s="11"/>
      <c r="C135" s="11"/>
      <c r="D135" s="36"/>
      <c r="E135" s="36"/>
      <c r="F135" s="36"/>
      <c r="G135" s="36"/>
      <c r="H135" s="36"/>
      <c r="I135" s="11"/>
      <c r="J135" s="36" t="str">
        <f>IF($I135="","",ROUND(1+($D135*(SUMIFS(OBJECT_CONDITIONS!$W:$W,OBJECT_CONDITIONS!$A:$A,$I135)-1))+($E135*(SUMIFS(OBJECT_CONDITIONS!$J:$J,OBJECT_CONDITIONS!$A:$A,$I135)-1))+($F135*(SUMIFS(OBJECT_CONDITIONS!$L:$L,OBJECT_CONDITIONS!$A:$A,$I135)-1))+($G135*(SUMIFS(OBJECT_CONDITIONS!$N:$N,OBJECT_CONDITIONS!$A:$A,$I135)-1))+($H135*(SUMIFS(OBJECT_CONDITIONS!$R:$R,OBJECT_CONDITIONS!$A:$A,$I135)-1)),3))</f>
        <v/>
      </c>
      <c r="K135" s="11"/>
    </row>
    <row r="136" ht="14.25" customHeight="1">
      <c r="A136" s="11"/>
      <c r="B136" s="11"/>
      <c r="C136" s="11"/>
      <c r="D136" s="36"/>
      <c r="E136" s="36"/>
      <c r="F136" s="36"/>
      <c r="G136" s="36"/>
      <c r="H136" s="36"/>
      <c r="I136" s="11"/>
      <c r="J136" s="36" t="str">
        <f>IF($I136="","",ROUND(1+($D136*(SUMIFS(OBJECT_CONDITIONS!$W:$W,OBJECT_CONDITIONS!$A:$A,$I136)-1))+($E136*(SUMIFS(OBJECT_CONDITIONS!$J:$J,OBJECT_CONDITIONS!$A:$A,$I136)-1))+($F136*(SUMIFS(OBJECT_CONDITIONS!$L:$L,OBJECT_CONDITIONS!$A:$A,$I136)-1))+($G136*(SUMIFS(OBJECT_CONDITIONS!$N:$N,OBJECT_CONDITIONS!$A:$A,$I136)-1))+($H136*(SUMIFS(OBJECT_CONDITIONS!$R:$R,OBJECT_CONDITIONS!$A:$A,$I136)-1)),3))</f>
        <v/>
      </c>
      <c r="K136" s="11"/>
    </row>
    <row r="137" ht="14.25" customHeight="1">
      <c r="A137" s="11"/>
      <c r="B137" s="11"/>
      <c r="C137" s="11"/>
      <c r="D137" s="36"/>
      <c r="E137" s="36"/>
      <c r="F137" s="36"/>
      <c r="G137" s="36"/>
      <c r="H137" s="36"/>
      <c r="I137" s="11"/>
      <c r="J137" s="36" t="str">
        <f>IF($I137="","",ROUND(1+($D137*(SUMIFS(OBJECT_CONDITIONS!$W:$W,OBJECT_CONDITIONS!$A:$A,$I137)-1))+($E137*(SUMIFS(OBJECT_CONDITIONS!$J:$J,OBJECT_CONDITIONS!$A:$A,$I137)-1))+($F137*(SUMIFS(OBJECT_CONDITIONS!$L:$L,OBJECT_CONDITIONS!$A:$A,$I137)-1))+($G137*(SUMIFS(OBJECT_CONDITIONS!$N:$N,OBJECT_CONDITIONS!$A:$A,$I137)-1))+($H137*(SUMIFS(OBJECT_CONDITIONS!$R:$R,OBJECT_CONDITIONS!$A:$A,$I137)-1)),3))</f>
        <v/>
      </c>
      <c r="K137" s="11"/>
    </row>
    <row r="138" ht="14.25" customHeight="1">
      <c r="A138" s="11"/>
      <c r="B138" s="11"/>
      <c r="C138" s="11"/>
      <c r="D138" s="36"/>
      <c r="E138" s="36"/>
      <c r="F138" s="36"/>
      <c r="G138" s="36"/>
      <c r="H138" s="36"/>
      <c r="I138" s="11"/>
      <c r="J138" s="36" t="str">
        <f>IF($I138="","",ROUND(1+($D138*(SUMIFS(OBJECT_CONDITIONS!$W:$W,OBJECT_CONDITIONS!$A:$A,$I138)-1))+($E138*(SUMIFS(OBJECT_CONDITIONS!$J:$J,OBJECT_CONDITIONS!$A:$A,$I138)-1))+($F138*(SUMIFS(OBJECT_CONDITIONS!$L:$L,OBJECT_CONDITIONS!$A:$A,$I138)-1))+($G138*(SUMIFS(OBJECT_CONDITIONS!$N:$N,OBJECT_CONDITIONS!$A:$A,$I138)-1))+($H138*(SUMIFS(OBJECT_CONDITIONS!$R:$R,OBJECT_CONDITIONS!$A:$A,$I138)-1)),3))</f>
        <v/>
      </c>
      <c r="K138" s="11"/>
    </row>
    <row r="139" ht="14.25" customHeight="1">
      <c r="A139" s="11"/>
      <c r="B139" s="11"/>
      <c r="C139" s="11"/>
      <c r="D139" s="36"/>
      <c r="E139" s="36"/>
      <c r="F139" s="36"/>
      <c r="G139" s="36"/>
      <c r="H139" s="36"/>
      <c r="I139" s="11"/>
      <c r="J139" s="36" t="str">
        <f>IF($I139="","",ROUND(1+($D139*(SUMIFS(OBJECT_CONDITIONS!$W:$W,OBJECT_CONDITIONS!$A:$A,$I139)-1))+($E139*(SUMIFS(OBJECT_CONDITIONS!$J:$J,OBJECT_CONDITIONS!$A:$A,$I139)-1))+($F139*(SUMIFS(OBJECT_CONDITIONS!$L:$L,OBJECT_CONDITIONS!$A:$A,$I139)-1))+($G139*(SUMIFS(OBJECT_CONDITIONS!$N:$N,OBJECT_CONDITIONS!$A:$A,$I139)-1))+($H139*(SUMIFS(OBJECT_CONDITIONS!$R:$R,OBJECT_CONDITIONS!$A:$A,$I139)-1)),3))</f>
        <v/>
      </c>
      <c r="K139" s="11"/>
    </row>
    <row r="140" ht="14.25" customHeight="1">
      <c r="A140" s="11"/>
      <c r="B140" s="11"/>
      <c r="C140" s="11"/>
      <c r="D140" s="36"/>
      <c r="E140" s="36"/>
      <c r="F140" s="36"/>
      <c r="G140" s="36"/>
      <c r="H140" s="36"/>
      <c r="I140" s="11"/>
      <c r="J140" s="36" t="str">
        <f>IF($I140="","",ROUND(1+($D140*(SUMIFS(OBJECT_CONDITIONS!$W:$W,OBJECT_CONDITIONS!$A:$A,$I140)-1))+($E140*(SUMIFS(OBJECT_CONDITIONS!$J:$J,OBJECT_CONDITIONS!$A:$A,$I140)-1))+($F140*(SUMIFS(OBJECT_CONDITIONS!$L:$L,OBJECT_CONDITIONS!$A:$A,$I140)-1))+($G140*(SUMIFS(OBJECT_CONDITIONS!$N:$N,OBJECT_CONDITIONS!$A:$A,$I140)-1))+($H140*(SUMIFS(OBJECT_CONDITIONS!$R:$R,OBJECT_CONDITIONS!$A:$A,$I140)-1)),3))</f>
        <v/>
      </c>
      <c r="K140" s="11"/>
    </row>
    <row r="141" ht="14.25" customHeight="1">
      <c r="A141" s="11"/>
      <c r="B141" s="11"/>
      <c r="C141" s="11"/>
      <c r="D141" s="36"/>
      <c r="E141" s="36"/>
      <c r="F141" s="36"/>
      <c r="G141" s="36"/>
      <c r="H141" s="36"/>
      <c r="I141" s="11"/>
      <c r="J141" s="36" t="str">
        <f>IF($I141="","",ROUND(1+($D141*(SUMIFS(OBJECT_CONDITIONS!$W:$W,OBJECT_CONDITIONS!$A:$A,$I141)-1))+($E141*(SUMIFS(OBJECT_CONDITIONS!$J:$J,OBJECT_CONDITIONS!$A:$A,$I141)-1))+($F141*(SUMIFS(OBJECT_CONDITIONS!$L:$L,OBJECT_CONDITIONS!$A:$A,$I141)-1))+($G141*(SUMIFS(OBJECT_CONDITIONS!$N:$N,OBJECT_CONDITIONS!$A:$A,$I141)-1))+($H141*(SUMIFS(OBJECT_CONDITIONS!$R:$R,OBJECT_CONDITIONS!$A:$A,$I141)-1)),3))</f>
        <v/>
      </c>
      <c r="K141" s="11"/>
    </row>
    <row r="142" ht="14.25" customHeight="1">
      <c r="A142" s="11"/>
      <c r="B142" s="11"/>
      <c r="C142" s="11"/>
      <c r="D142" s="36"/>
      <c r="E142" s="36"/>
      <c r="F142" s="36"/>
      <c r="G142" s="36"/>
      <c r="H142" s="36"/>
      <c r="I142" s="11"/>
      <c r="J142" s="36" t="str">
        <f>IF($I142="","",ROUND(1+($D142*(SUMIFS(OBJECT_CONDITIONS!$W:$W,OBJECT_CONDITIONS!$A:$A,$I142)-1))+($E142*(SUMIFS(OBJECT_CONDITIONS!$J:$J,OBJECT_CONDITIONS!$A:$A,$I142)-1))+($F142*(SUMIFS(OBJECT_CONDITIONS!$L:$L,OBJECT_CONDITIONS!$A:$A,$I142)-1))+($G142*(SUMIFS(OBJECT_CONDITIONS!$N:$N,OBJECT_CONDITIONS!$A:$A,$I142)-1))+($H142*(SUMIFS(OBJECT_CONDITIONS!$R:$R,OBJECT_CONDITIONS!$A:$A,$I142)-1)),3))</f>
        <v/>
      </c>
      <c r="K142" s="11"/>
    </row>
    <row r="143" ht="14.25" customHeight="1">
      <c r="A143" s="11"/>
      <c r="B143" s="11"/>
      <c r="C143" s="11"/>
      <c r="D143" s="36"/>
      <c r="E143" s="36"/>
      <c r="F143" s="36"/>
      <c r="G143" s="36"/>
      <c r="H143" s="36"/>
      <c r="I143" s="11"/>
      <c r="J143" s="36" t="str">
        <f>IF($I143="","",ROUND(1+($D143*(SUMIFS(OBJECT_CONDITIONS!$W:$W,OBJECT_CONDITIONS!$A:$A,$I143)-1))+($E143*(SUMIFS(OBJECT_CONDITIONS!$J:$J,OBJECT_CONDITIONS!$A:$A,$I143)-1))+($F143*(SUMIFS(OBJECT_CONDITIONS!$L:$L,OBJECT_CONDITIONS!$A:$A,$I143)-1))+($G143*(SUMIFS(OBJECT_CONDITIONS!$N:$N,OBJECT_CONDITIONS!$A:$A,$I143)-1))+($H143*(SUMIFS(OBJECT_CONDITIONS!$R:$R,OBJECT_CONDITIONS!$A:$A,$I143)-1)),3))</f>
        <v/>
      </c>
      <c r="K143" s="11"/>
    </row>
    <row r="144" ht="14.25" customHeight="1">
      <c r="A144" s="11"/>
      <c r="B144" s="11"/>
      <c r="C144" s="11"/>
      <c r="D144" s="36"/>
      <c r="E144" s="36"/>
      <c r="F144" s="36"/>
      <c r="G144" s="36"/>
      <c r="H144" s="36"/>
      <c r="I144" s="11"/>
      <c r="J144" s="36" t="str">
        <f>IF($I144="","",ROUND(1+($D144*(SUMIFS(OBJECT_CONDITIONS!$W:$W,OBJECT_CONDITIONS!$A:$A,$I144)-1))+($E144*(SUMIFS(OBJECT_CONDITIONS!$J:$J,OBJECT_CONDITIONS!$A:$A,$I144)-1))+($F144*(SUMIFS(OBJECT_CONDITIONS!$L:$L,OBJECT_CONDITIONS!$A:$A,$I144)-1))+($G144*(SUMIFS(OBJECT_CONDITIONS!$N:$N,OBJECT_CONDITIONS!$A:$A,$I144)-1))+($H144*(SUMIFS(OBJECT_CONDITIONS!$R:$R,OBJECT_CONDITIONS!$A:$A,$I144)-1)),3))</f>
        <v/>
      </c>
      <c r="K144" s="11"/>
    </row>
    <row r="145" ht="14.25" customHeight="1">
      <c r="A145" s="11"/>
      <c r="B145" s="11"/>
      <c r="C145" s="11"/>
      <c r="D145" s="36"/>
      <c r="E145" s="36"/>
      <c r="F145" s="36"/>
      <c r="G145" s="36"/>
      <c r="H145" s="36"/>
      <c r="I145" s="11"/>
      <c r="J145" s="36" t="str">
        <f>IF($I145="","",ROUND(1+($D145*(SUMIFS(OBJECT_CONDITIONS!$W:$W,OBJECT_CONDITIONS!$A:$A,$I145)-1))+($E145*(SUMIFS(OBJECT_CONDITIONS!$J:$J,OBJECT_CONDITIONS!$A:$A,$I145)-1))+($F145*(SUMIFS(OBJECT_CONDITIONS!$L:$L,OBJECT_CONDITIONS!$A:$A,$I145)-1))+($G145*(SUMIFS(OBJECT_CONDITIONS!$N:$N,OBJECT_CONDITIONS!$A:$A,$I145)-1))+($H145*(SUMIFS(OBJECT_CONDITIONS!$R:$R,OBJECT_CONDITIONS!$A:$A,$I145)-1)),3))</f>
        <v/>
      </c>
      <c r="K145" s="11"/>
    </row>
    <row r="146" ht="14.25" customHeight="1">
      <c r="A146" s="11"/>
      <c r="B146" s="11"/>
      <c r="C146" s="11"/>
      <c r="D146" s="36"/>
      <c r="E146" s="36"/>
      <c r="F146" s="36"/>
      <c r="G146" s="36"/>
      <c r="H146" s="36"/>
      <c r="I146" s="11"/>
      <c r="J146" s="36" t="str">
        <f>IF($I146="","",ROUND(1+($D146*(SUMIFS(OBJECT_CONDITIONS!$W:$W,OBJECT_CONDITIONS!$A:$A,$I146)-1))+($E146*(SUMIFS(OBJECT_CONDITIONS!$J:$J,OBJECT_CONDITIONS!$A:$A,$I146)-1))+($F146*(SUMIFS(OBJECT_CONDITIONS!$L:$L,OBJECT_CONDITIONS!$A:$A,$I146)-1))+($G146*(SUMIFS(OBJECT_CONDITIONS!$N:$N,OBJECT_CONDITIONS!$A:$A,$I146)-1))+($H146*(SUMIFS(OBJECT_CONDITIONS!$R:$R,OBJECT_CONDITIONS!$A:$A,$I146)-1)),3))</f>
        <v/>
      </c>
      <c r="K146" s="11"/>
    </row>
    <row r="147" ht="14.25" customHeight="1">
      <c r="A147" s="11"/>
      <c r="B147" s="11"/>
      <c r="C147" s="11"/>
      <c r="D147" s="36"/>
      <c r="E147" s="36"/>
      <c r="F147" s="36"/>
      <c r="G147" s="36"/>
      <c r="H147" s="36"/>
      <c r="I147" s="11"/>
      <c r="J147" s="36" t="str">
        <f>IF($I147="","",ROUND(1+($D147*(SUMIFS(OBJECT_CONDITIONS!$W:$W,OBJECT_CONDITIONS!$A:$A,$I147)-1))+($E147*(SUMIFS(OBJECT_CONDITIONS!$J:$J,OBJECT_CONDITIONS!$A:$A,$I147)-1))+($F147*(SUMIFS(OBJECT_CONDITIONS!$L:$L,OBJECT_CONDITIONS!$A:$A,$I147)-1))+($G147*(SUMIFS(OBJECT_CONDITIONS!$N:$N,OBJECT_CONDITIONS!$A:$A,$I147)-1))+($H147*(SUMIFS(OBJECT_CONDITIONS!$R:$R,OBJECT_CONDITIONS!$A:$A,$I147)-1)),3))</f>
        <v/>
      </c>
      <c r="K147" s="11"/>
    </row>
    <row r="148" ht="14.25" customHeight="1">
      <c r="A148" s="11"/>
      <c r="B148" s="11"/>
      <c r="C148" s="11"/>
      <c r="D148" s="36"/>
      <c r="E148" s="36"/>
      <c r="F148" s="36"/>
      <c r="G148" s="36"/>
      <c r="H148" s="36"/>
      <c r="I148" s="11"/>
      <c r="J148" s="36" t="str">
        <f>IF($I148="","",ROUND(1+($D148*(SUMIFS(OBJECT_CONDITIONS!$W:$W,OBJECT_CONDITIONS!$A:$A,$I148)-1))+($E148*(SUMIFS(OBJECT_CONDITIONS!$J:$J,OBJECT_CONDITIONS!$A:$A,$I148)-1))+($F148*(SUMIFS(OBJECT_CONDITIONS!$L:$L,OBJECT_CONDITIONS!$A:$A,$I148)-1))+($G148*(SUMIFS(OBJECT_CONDITIONS!$N:$N,OBJECT_CONDITIONS!$A:$A,$I148)-1))+($H148*(SUMIFS(OBJECT_CONDITIONS!$R:$R,OBJECT_CONDITIONS!$A:$A,$I148)-1)),3))</f>
        <v/>
      </c>
      <c r="K148" s="11"/>
    </row>
    <row r="149" ht="14.25" customHeight="1">
      <c r="A149" s="11"/>
      <c r="B149" s="11"/>
      <c r="C149" s="11"/>
      <c r="D149" s="36"/>
      <c r="E149" s="36"/>
      <c r="F149" s="36"/>
      <c r="G149" s="36"/>
      <c r="H149" s="36"/>
      <c r="I149" s="11"/>
      <c r="J149" s="36" t="str">
        <f>IF($I149="","",ROUND(1+($D149*(SUMIFS(OBJECT_CONDITIONS!$W:$W,OBJECT_CONDITIONS!$A:$A,$I149)-1))+($E149*(SUMIFS(OBJECT_CONDITIONS!$J:$J,OBJECT_CONDITIONS!$A:$A,$I149)-1))+($F149*(SUMIFS(OBJECT_CONDITIONS!$L:$L,OBJECT_CONDITIONS!$A:$A,$I149)-1))+($G149*(SUMIFS(OBJECT_CONDITIONS!$N:$N,OBJECT_CONDITIONS!$A:$A,$I149)-1))+($H149*(SUMIFS(OBJECT_CONDITIONS!$R:$R,OBJECT_CONDITIONS!$A:$A,$I149)-1)),3))</f>
        <v/>
      </c>
      <c r="K149" s="11"/>
    </row>
    <row r="150" ht="14.25" customHeight="1">
      <c r="A150" s="11"/>
      <c r="B150" s="11"/>
      <c r="C150" s="11"/>
      <c r="D150" s="36"/>
      <c r="E150" s="36"/>
      <c r="F150" s="36"/>
      <c r="G150" s="36"/>
      <c r="H150" s="36"/>
      <c r="I150" s="11"/>
      <c r="J150" s="36" t="str">
        <f>IF($I150="","",ROUND(1+($D150*(SUMIFS(OBJECT_CONDITIONS!$W:$W,OBJECT_CONDITIONS!$A:$A,$I150)-1))+($E150*(SUMIFS(OBJECT_CONDITIONS!$J:$J,OBJECT_CONDITIONS!$A:$A,$I150)-1))+($F150*(SUMIFS(OBJECT_CONDITIONS!$L:$L,OBJECT_CONDITIONS!$A:$A,$I150)-1))+($G150*(SUMIFS(OBJECT_CONDITIONS!$N:$N,OBJECT_CONDITIONS!$A:$A,$I150)-1))+($H150*(SUMIFS(OBJECT_CONDITIONS!$R:$R,OBJECT_CONDITIONS!$A:$A,$I150)-1)),3))</f>
        <v/>
      </c>
      <c r="K150" s="11"/>
    </row>
    <row r="151" ht="14.25" customHeight="1">
      <c r="A151" s="8"/>
      <c r="C151" s="8"/>
      <c r="I151" s="8"/>
    </row>
    <row r="152" ht="14.25" customHeight="1">
      <c r="A152" s="8"/>
      <c r="C152" s="8"/>
      <c r="I152" s="8"/>
    </row>
    <row r="153" ht="14.25" customHeight="1">
      <c r="A153" s="8"/>
      <c r="C153" s="8"/>
      <c r="I153" s="8"/>
    </row>
    <row r="154" ht="14.25" customHeight="1">
      <c r="A154" s="8"/>
      <c r="C154" s="8"/>
      <c r="I154" s="8"/>
    </row>
    <row r="155" ht="14.25" customHeight="1">
      <c r="A155" s="8"/>
      <c r="C155" s="8"/>
      <c r="I155" s="8"/>
    </row>
    <row r="156" ht="14.25" customHeight="1">
      <c r="A156" s="8"/>
      <c r="C156" s="8"/>
      <c r="I156" s="8"/>
    </row>
    <row r="157" ht="14.25" customHeight="1">
      <c r="A157" s="8"/>
      <c r="C157" s="8"/>
      <c r="I157" s="8"/>
    </row>
    <row r="158" ht="14.25" customHeight="1">
      <c r="A158" s="8"/>
      <c r="C158" s="8"/>
      <c r="I158" s="8"/>
    </row>
    <row r="159" ht="14.25" customHeight="1">
      <c r="A159" s="8"/>
      <c r="C159" s="8"/>
      <c r="I159" s="8"/>
    </row>
    <row r="160" ht="14.25" customHeight="1">
      <c r="A160" s="8"/>
      <c r="C160" s="8"/>
      <c r="I160" s="8"/>
    </row>
    <row r="161" ht="14.25" customHeight="1">
      <c r="A161" s="8"/>
      <c r="C161" s="8"/>
      <c r="I161" s="8"/>
    </row>
    <row r="162" ht="14.25" customHeight="1">
      <c r="A162" s="8"/>
      <c r="C162" s="8"/>
      <c r="I162" s="8"/>
    </row>
    <row r="163" ht="14.25" customHeight="1">
      <c r="A163" s="8"/>
      <c r="C163" s="8"/>
      <c r="I163" s="8"/>
    </row>
    <row r="164" ht="14.25" customHeight="1">
      <c r="A164" s="8"/>
      <c r="C164" s="8"/>
      <c r="I164" s="8"/>
    </row>
    <row r="165" ht="14.25" customHeight="1">
      <c r="A165" s="8"/>
      <c r="C165" s="8"/>
      <c r="I165" s="8"/>
    </row>
    <row r="166" ht="14.25" customHeight="1">
      <c r="A166" s="8"/>
      <c r="C166" s="8"/>
      <c r="I166" s="8"/>
    </row>
    <row r="167" ht="14.25" customHeight="1">
      <c r="A167" s="8"/>
      <c r="C167" s="8"/>
      <c r="I167" s="8"/>
    </row>
    <row r="168" ht="14.25" customHeight="1">
      <c r="A168" s="8"/>
      <c r="C168" s="8"/>
      <c r="I168" s="8"/>
    </row>
    <row r="169" ht="14.25" customHeight="1">
      <c r="A169" s="8"/>
      <c r="C169" s="8"/>
      <c r="I169" s="8"/>
    </row>
    <row r="170" ht="14.25" customHeight="1">
      <c r="A170" s="8"/>
      <c r="C170" s="8"/>
      <c r="I170" s="8"/>
    </row>
    <row r="171" ht="14.25" customHeight="1">
      <c r="A171" s="8"/>
      <c r="C171" s="8"/>
      <c r="I171" s="8"/>
    </row>
    <row r="172" ht="14.25" customHeight="1">
      <c r="A172" s="8"/>
      <c r="C172" s="8"/>
      <c r="I172" s="8"/>
    </row>
    <row r="173" ht="14.25" customHeight="1">
      <c r="A173" s="8"/>
      <c r="C173" s="8"/>
      <c r="I173" s="8"/>
    </row>
    <row r="174" ht="14.25" customHeight="1">
      <c r="A174" s="8"/>
      <c r="C174" s="8"/>
      <c r="I174" s="8"/>
    </row>
    <row r="175" ht="14.25" customHeight="1">
      <c r="A175" s="8"/>
      <c r="C175" s="8"/>
      <c r="I175" s="8"/>
    </row>
    <row r="176" ht="14.25" customHeight="1">
      <c r="A176" s="8"/>
      <c r="C176" s="8"/>
      <c r="I176" s="8"/>
    </row>
    <row r="177" ht="14.25" customHeight="1">
      <c r="A177" s="8"/>
      <c r="C177" s="8"/>
      <c r="I177" s="8"/>
    </row>
    <row r="178" ht="14.25" customHeight="1">
      <c r="A178" s="8"/>
      <c r="C178" s="8"/>
      <c r="I178" s="8"/>
    </row>
    <row r="179" ht="14.25" customHeight="1">
      <c r="A179" s="8"/>
      <c r="C179" s="8"/>
      <c r="I179" s="8"/>
    </row>
    <row r="180" ht="14.25" customHeight="1">
      <c r="A180" s="8"/>
      <c r="C180" s="8"/>
      <c r="I180" s="8"/>
    </row>
    <row r="181" ht="14.25" customHeight="1">
      <c r="A181" s="8"/>
      <c r="C181" s="8"/>
      <c r="I181" s="8"/>
    </row>
    <row r="182" ht="14.25" customHeight="1">
      <c r="A182" s="8"/>
      <c r="C182" s="8"/>
      <c r="I182" s="8"/>
    </row>
    <row r="183" ht="14.25" customHeight="1">
      <c r="A183" s="8"/>
      <c r="C183" s="8"/>
      <c r="I183" s="8"/>
    </row>
    <row r="184" ht="14.25" customHeight="1">
      <c r="A184" s="8"/>
      <c r="C184" s="8"/>
      <c r="I184" s="8"/>
    </row>
    <row r="185" ht="14.25" customHeight="1">
      <c r="A185" s="8"/>
      <c r="C185" s="8"/>
      <c r="I185" s="8"/>
    </row>
    <row r="186" ht="14.25" customHeight="1">
      <c r="A186" s="8"/>
      <c r="C186" s="8"/>
      <c r="I186" s="8"/>
    </row>
    <row r="187" ht="14.25" customHeight="1">
      <c r="A187" s="8"/>
      <c r="C187" s="8"/>
      <c r="I187" s="8"/>
    </row>
    <row r="188" ht="14.25" customHeight="1">
      <c r="A188" s="8"/>
      <c r="C188" s="8"/>
      <c r="I188" s="8"/>
    </row>
    <row r="189" ht="14.25" customHeight="1">
      <c r="A189" s="8"/>
      <c r="C189" s="8"/>
      <c r="I189" s="8"/>
    </row>
    <row r="190" ht="14.25" customHeight="1">
      <c r="A190" s="8"/>
      <c r="C190" s="8"/>
      <c r="I190" s="8"/>
    </row>
    <row r="191" ht="14.25" customHeight="1">
      <c r="A191" s="8"/>
      <c r="C191" s="8"/>
      <c r="I191" s="8"/>
    </row>
    <row r="192" ht="14.25" customHeight="1">
      <c r="A192" s="8"/>
      <c r="C192" s="8"/>
      <c r="I192" s="8"/>
    </row>
    <row r="193" ht="14.25" customHeight="1">
      <c r="A193" s="8"/>
      <c r="C193" s="8"/>
      <c r="I193" s="8"/>
    </row>
    <row r="194" ht="14.25" customHeight="1">
      <c r="A194" s="8"/>
      <c r="C194" s="8"/>
      <c r="I194" s="8"/>
    </row>
    <row r="195" ht="14.25" customHeight="1">
      <c r="A195" s="8"/>
      <c r="C195" s="8"/>
      <c r="I195" s="8"/>
    </row>
    <row r="196" ht="14.25" customHeight="1">
      <c r="A196" s="8"/>
      <c r="C196" s="8"/>
      <c r="I196" s="8"/>
    </row>
    <row r="197" ht="14.25" customHeight="1">
      <c r="A197" s="8"/>
      <c r="C197" s="8"/>
      <c r="I197" s="8"/>
    </row>
    <row r="198" ht="14.25" customHeight="1">
      <c r="A198" s="8"/>
      <c r="C198" s="8"/>
      <c r="I198" s="8"/>
    </row>
    <row r="199" ht="14.25" customHeight="1">
      <c r="A199" s="8"/>
      <c r="C199" s="8"/>
      <c r="I199" s="8"/>
    </row>
    <row r="200" ht="14.25" customHeight="1">
      <c r="A200" s="8"/>
      <c r="C200" s="8"/>
      <c r="I200" s="8"/>
    </row>
    <row r="201" ht="14.25" customHeight="1">
      <c r="A201" s="8"/>
      <c r="C201" s="8"/>
      <c r="I201" s="8"/>
    </row>
    <row r="202" ht="14.25" customHeight="1">
      <c r="A202" s="8"/>
      <c r="C202" s="8"/>
      <c r="I202" s="8"/>
    </row>
    <row r="203" ht="14.25" customHeight="1">
      <c r="A203" s="8"/>
      <c r="C203" s="8"/>
      <c r="I203" s="8"/>
    </row>
    <row r="204" ht="14.25" customHeight="1">
      <c r="A204" s="8"/>
      <c r="C204" s="8"/>
      <c r="I204" s="8"/>
    </row>
    <row r="205" ht="14.25" customHeight="1">
      <c r="A205" s="8"/>
      <c r="C205" s="8"/>
      <c r="I205" s="8"/>
    </row>
    <row r="206" ht="14.25" customHeight="1">
      <c r="A206" s="8"/>
      <c r="C206" s="8"/>
      <c r="I206" s="8"/>
    </row>
    <row r="207" ht="14.25" customHeight="1">
      <c r="A207" s="8"/>
      <c r="C207" s="8"/>
      <c r="I207" s="8"/>
    </row>
    <row r="208" ht="14.25" customHeight="1">
      <c r="A208" s="8"/>
      <c r="C208" s="8"/>
      <c r="I208" s="8"/>
    </row>
    <row r="209" ht="14.25" customHeight="1">
      <c r="A209" s="8"/>
      <c r="C209" s="8"/>
      <c r="I209" s="8"/>
    </row>
    <row r="210" ht="14.25" customHeight="1">
      <c r="A210" s="8"/>
      <c r="C210" s="8"/>
      <c r="I210" s="8"/>
    </row>
    <row r="211" ht="14.25" customHeight="1">
      <c r="A211" s="8"/>
      <c r="C211" s="8"/>
      <c r="I211" s="8"/>
    </row>
    <row r="212" ht="14.25" customHeight="1">
      <c r="A212" s="8"/>
      <c r="C212" s="8"/>
      <c r="I212" s="8"/>
    </row>
    <row r="213" ht="14.25" customHeight="1">
      <c r="A213" s="8"/>
      <c r="C213" s="8"/>
      <c r="I213" s="8"/>
    </row>
    <row r="214" ht="14.25" customHeight="1">
      <c r="A214" s="8"/>
      <c r="C214" s="8"/>
      <c r="I214" s="8"/>
    </row>
    <row r="215" ht="14.25" customHeight="1">
      <c r="A215" s="8"/>
      <c r="C215" s="8"/>
      <c r="I215" s="8"/>
    </row>
    <row r="216" ht="14.25" customHeight="1">
      <c r="A216" s="8"/>
      <c r="C216" s="8"/>
      <c r="I216" s="8"/>
    </row>
    <row r="217" ht="14.25" customHeight="1">
      <c r="A217" s="8"/>
      <c r="C217" s="8"/>
      <c r="I217" s="8"/>
    </row>
    <row r="218" ht="14.25" customHeight="1">
      <c r="A218" s="8"/>
      <c r="C218" s="8"/>
      <c r="I218" s="8"/>
    </row>
    <row r="219" ht="14.25" customHeight="1">
      <c r="A219" s="8"/>
      <c r="C219" s="8"/>
      <c r="I219" s="8"/>
    </row>
    <row r="220" ht="14.25" customHeight="1">
      <c r="A220" s="8"/>
      <c r="C220" s="8"/>
      <c r="I220" s="8"/>
    </row>
    <row r="221" ht="14.25" customHeight="1">
      <c r="A221" s="8"/>
      <c r="C221" s="8"/>
      <c r="I221" s="8"/>
    </row>
    <row r="222" ht="14.25" customHeight="1">
      <c r="A222" s="8"/>
      <c r="C222" s="8"/>
      <c r="I222" s="8"/>
    </row>
    <row r="223" ht="14.25" customHeight="1">
      <c r="A223" s="8"/>
      <c r="C223" s="8"/>
      <c r="I223" s="8"/>
    </row>
    <row r="224" ht="14.25" customHeight="1">
      <c r="A224" s="8"/>
      <c r="C224" s="8"/>
      <c r="I224" s="8"/>
    </row>
    <row r="225" ht="14.25" customHeight="1">
      <c r="A225" s="8"/>
      <c r="C225" s="8"/>
      <c r="I225" s="8"/>
    </row>
    <row r="226" ht="14.25" customHeight="1">
      <c r="A226" s="8"/>
      <c r="C226" s="8"/>
      <c r="I226" s="8"/>
    </row>
    <row r="227" ht="14.25" customHeight="1">
      <c r="A227" s="8"/>
      <c r="C227" s="8"/>
      <c r="I227" s="8"/>
    </row>
    <row r="228" ht="14.25" customHeight="1">
      <c r="A228" s="8"/>
      <c r="C228" s="8"/>
      <c r="I228" s="8"/>
    </row>
    <row r="229" ht="14.25" customHeight="1">
      <c r="A229" s="8"/>
      <c r="C229" s="8"/>
      <c r="I229" s="8"/>
    </row>
    <row r="230" ht="14.25" customHeight="1">
      <c r="A230" s="8"/>
      <c r="C230" s="8"/>
      <c r="I230" s="8"/>
    </row>
    <row r="231" ht="14.25" customHeight="1">
      <c r="A231" s="8"/>
      <c r="C231" s="8"/>
      <c r="I231" s="8"/>
    </row>
    <row r="232" ht="14.25" customHeight="1">
      <c r="A232" s="8"/>
      <c r="C232" s="8"/>
      <c r="I232" s="8"/>
    </row>
    <row r="233" ht="14.25" customHeight="1">
      <c r="A233" s="8"/>
      <c r="C233" s="8"/>
      <c r="I233" s="8"/>
    </row>
    <row r="234" ht="14.25" customHeight="1">
      <c r="A234" s="8"/>
      <c r="C234" s="8"/>
      <c r="I234" s="8"/>
    </row>
    <row r="235" ht="14.25" customHeight="1">
      <c r="A235" s="8"/>
      <c r="C235" s="8"/>
      <c r="I235" s="8"/>
    </row>
    <row r="236" ht="14.25" customHeight="1">
      <c r="A236" s="8"/>
      <c r="C236" s="8"/>
      <c r="I236" s="8"/>
    </row>
    <row r="237" ht="14.25" customHeight="1">
      <c r="A237" s="8"/>
      <c r="C237" s="8"/>
      <c r="I237" s="8"/>
    </row>
    <row r="238" ht="14.25" customHeight="1">
      <c r="A238" s="8"/>
      <c r="C238" s="8"/>
      <c r="I238" s="8"/>
    </row>
    <row r="239" ht="14.25" customHeight="1">
      <c r="A239" s="8"/>
      <c r="C239" s="8"/>
      <c r="I239" s="8"/>
    </row>
    <row r="240" ht="14.25" customHeight="1">
      <c r="A240" s="8"/>
      <c r="C240" s="8"/>
      <c r="I240" s="8"/>
    </row>
    <row r="241" ht="14.25" customHeight="1">
      <c r="A241" s="8"/>
      <c r="C241" s="8"/>
      <c r="I241" s="8"/>
    </row>
    <row r="242" ht="14.25" customHeight="1">
      <c r="A242" s="8"/>
      <c r="C242" s="8"/>
      <c r="I242" s="8"/>
    </row>
    <row r="243" ht="14.25" customHeight="1">
      <c r="A243" s="8"/>
      <c r="C243" s="8"/>
      <c r="I243" s="8"/>
    </row>
    <row r="244" ht="14.25" customHeight="1">
      <c r="A244" s="8"/>
      <c r="C244" s="8"/>
      <c r="I244" s="8"/>
    </row>
    <row r="245" ht="14.25" customHeight="1">
      <c r="A245" s="8"/>
      <c r="C245" s="8"/>
      <c r="I245" s="8"/>
    </row>
    <row r="246" ht="14.25" customHeight="1">
      <c r="A246" s="8"/>
      <c r="C246" s="8"/>
      <c r="I246" s="8"/>
    </row>
    <row r="247" ht="14.25" customHeight="1">
      <c r="A247" s="8"/>
      <c r="C247" s="8"/>
      <c r="I247" s="8"/>
    </row>
    <row r="248" ht="14.25" customHeight="1">
      <c r="A248" s="8"/>
      <c r="C248" s="8"/>
      <c r="I248" s="8"/>
    </row>
    <row r="249" ht="14.25" customHeight="1">
      <c r="A249" s="8"/>
      <c r="C249" s="8"/>
      <c r="I249" s="8"/>
    </row>
    <row r="250" ht="14.25" customHeight="1">
      <c r="A250" s="8"/>
      <c r="C250" s="8"/>
      <c r="I250" s="8"/>
    </row>
    <row r="251" ht="14.25" customHeight="1">
      <c r="A251" s="8"/>
      <c r="C251" s="8"/>
      <c r="I251" s="8"/>
    </row>
    <row r="252" ht="14.25" customHeight="1">
      <c r="A252" s="8"/>
      <c r="C252" s="8"/>
      <c r="I252" s="8"/>
    </row>
    <row r="253" ht="14.25" customHeight="1">
      <c r="A253" s="8"/>
      <c r="C253" s="8"/>
      <c r="I253" s="8"/>
    </row>
    <row r="254" ht="14.25" customHeight="1">
      <c r="A254" s="8"/>
      <c r="C254" s="8"/>
      <c r="I254" s="8"/>
    </row>
    <row r="255" ht="14.25" customHeight="1">
      <c r="A255" s="8"/>
      <c r="C255" s="8"/>
      <c r="I255" s="8"/>
    </row>
    <row r="256" ht="14.25" customHeight="1">
      <c r="A256" s="8"/>
      <c r="C256" s="8"/>
      <c r="I256" s="8"/>
    </row>
    <row r="257" ht="14.25" customHeight="1">
      <c r="A257" s="8"/>
      <c r="C257" s="8"/>
      <c r="I257" s="8"/>
    </row>
    <row r="258" ht="14.25" customHeight="1">
      <c r="A258" s="8"/>
      <c r="C258" s="8"/>
      <c r="I258" s="8"/>
    </row>
    <row r="259" ht="14.25" customHeight="1">
      <c r="A259" s="8"/>
      <c r="C259" s="8"/>
      <c r="I259" s="8"/>
    </row>
    <row r="260" ht="14.25" customHeight="1">
      <c r="A260" s="8"/>
      <c r="C260" s="8"/>
      <c r="I260" s="8"/>
    </row>
    <row r="261" ht="14.25" customHeight="1">
      <c r="A261" s="8"/>
      <c r="C261" s="8"/>
      <c r="I261" s="8"/>
    </row>
    <row r="262" ht="14.25" customHeight="1">
      <c r="A262" s="8"/>
      <c r="C262" s="8"/>
      <c r="I262" s="8"/>
    </row>
    <row r="263" ht="14.25" customHeight="1">
      <c r="A263" s="8"/>
      <c r="C263" s="8"/>
      <c r="I263" s="8"/>
    </row>
    <row r="264" ht="14.25" customHeight="1">
      <c r="A264" s="8"/>
      <c r="C264" s="8"/>
      <c r="I264" s="8"/>
    </row>
    <row r="265" ht="14.25" customHeight="1">
      <c r="A265" s="8"/>
      <c r="C265" s="8"/>
      <c r="I265" s="8"/>
    </row>
    <row r="266" ht="14.25" customHeight="1">
      <c r="A266" s="8"/>
      <c r="C266" s="8"/>
      <c r="I266" s="8"/>
    </row>
    <row r="267" ht="14.25" customHeight="1">
      <c r="A267" s="8"/>
      <c r="C267" s="8"/>
      <c r="I267" s="8"/>
    </row>
    <row r="268" ht="14.25" customHeight="1">
      <c r="A268" s="8"/>
      <c r="C268" s="8"/>
      <c r="I268" s="8"/>
    </row>
    <row r="269" ht="14.25" customHeight="1">
      <c r="A269" s="8"/>
      <c r="C269" s="8"/>
      <c r="I269" s="8"/>
    </row>
    <row r="270" ht="14.25" customHeight="1">
      <c r="A270" s="8"/>
      <c r="C270" s="8"/>
      <c r="I270" s="8"/>
    </row>
    <row r="271" ht="14.25" customHeight="1">
      <c r="A271" s="8"/>
      <c r="C271" s="8"/>
      <c r="I271" s="8"/>
    </row>
    <row r="272" ht="14.25" customHeight="1">
      <c r="A272" s="8"/>
      <c r="C272" s="8"/>
      <c r="I272" s="8"/>
    </row>
    <row r="273" ht="14.25" customHeight="1">
      <c r="A273" s="8"/>
      <c r="C273" s="8"/>
      <c r="I273" s="8"/>
    </row>
    <row r="274" ht="14.25" customHeight="1">
      <c r="A274" s="8"/>
      <c r="C274" s="8"/>
      <c r="I274" s="8"/>
    </row>
    <row r="275" ht="14.25" customHeight="1">
      <c r="A275" s="8"/>
      <c r="C275" s="8"/>
      <c r="I275" s="8"/>
    </row>
    <row r="276" ht="14.25" customHeight="1">
      <c r="A276" s="8"/>
      <c r="C276" s="8"/>
      <c r="I276" s="8"/>
    </row>
    <row r="277" ht="14.25" customHeight="1">
      <c r="A277" s="8"/>
      <c r="C277" s="8"/>
      <c r="I277" s="8"/>
    </row>
    <row r="278" ht="14.25" customHeight="1">
      <c r="A278" s="8"/>
      <c r="C278" s="8"/>
      <c r="I278" s="8"/>
    </row>
    <row r="279" ht="14.25" customHeight="1">
      <c r="A279" s="8"/>
      <c r="C279" s="8"/>
      <c r="I279" s="8"/>
    </row>
    <row r="280" ht="14.25" customHeight="1">
      <c r="A280" s="8"/>
      <c r="C280" s="8"/>
      <c r="I280" s="8"/>
    </row>
    <row r="281" ht="14.25" customHeight="1">
      <c r="A281" s="8"/>
      <c r="C281" s="8"/>
      <c r="I281" s="8"/>
    </row>
    <row r="282" ht="14.25" customHeight="1">
      <c r="A282" s="8"/>
      <c r="C282" s="8"/>
      <c r="I282" s="8"/>
    </row>
    <row r="283" ht="14.25" customHeight="1">
      <c r="A283" s="8"/>
      <c r="C283" s="8"/>
      <c r="I283" s="8"/>
    </row>
    <row r="284" ht="14.25" customHeight="1">
      <c r="A284" s="8"/>
      <c r="C284" s="8"/>
      <c r="I284" s="8"/>
    </row>
    <row r="285" ht="14.25" customHeight="1">
      <c r="A285" s="8"/>
      <c r="C285" s="8"/>
      <c r="I285" s="8"/>
    </row>
    <row r="286" ht="14.25" customHeight="1">
      <c r="A286" s="8"/>
      <c r="C286" s="8"/>
      <c r="I286" s="8"/>
    </row>
    <row r="287" ht="14.25" customHeight="1">
      <c r="A287" s="8"/>
      <c r="C287" s="8"/>
      <c r="I287" s="8"/>
    </row>
    <row r="288" ht="14.25" customHeight="1">
      <c r="A288" s="8"/>
      <c r="C288" s="8"/>
      <c r="I288" s="8"/>
    </row>
    <row r="289" ht="14.25" customHeight="1">
      <c r="A289" s="8"/>
      <c r="C289" s="8"/>
      <c r="I289" s="8"/>
    </row>
    <row r="290" ht="14.25" customHeight="1">
      <c r="A290" s="8"/>
      <c r="C290" s="8"/>
      <c r="I290" s="8"/>
    </row>
    <row r="291" ht="14.25" customHeight="1">
      <c r="A291" s="8"/>
      <c r="C291" s="8"/>
      <c r="I291" s="8"/>
    </row>
    <row r="292" ht="14.25" customHeight="1">
      <c r="A292" s="8"/>
      <c r="C292" s="8"/>
      <c r="I292" s="8"/>
    </row>
    <row r="293" ht="14.25" customHeight="1">
      <c r="A293" s="8"/>
      <c r="C293" s="8"/>
      <c r="I293" s="8"/>
    </row>
    <row r="294" ht="14.25" customHeight="1">
      <c r="A294" s="8"/>
      <c r="C294" s="8"/>
      <c r="I294" s="8"/>
    </row>
    <row r="295" ht="14.25" customHeight="1">
      <c r="A295" s="8"/>
      <c r="C295" s="8"/>
      <c r="I295" s="8"/>
    </row>
    <row r="296" ht="14.25" customHeight="1">
      <c r="A296" s="8"/>
      <c r="C296" s="8"/>
      <c r="I296" s="8"/>
    </row>
    <row r="297" ht="14.25" customHeight="1">
      <c r="A297" s="8"/>
      <c r="C297" s="8"/>
      <c r="I297" s="8"/>
    </row>
    <row r="298" ht="14.25" customHeight="1">
      <c r="A298" s="8"/>
      <c r="C298" s="8"/>
      <c r="I298" s="8"/>
    </row>
    <row r="299" ht="14.25" customHeight="1">
      <c r="A299" s="8"/>
      <c r="C299" s="8"/>
      <c r="I299" s="8"/>
    </row>
    <row r="300" ht="14.25" customHeight="1">
      <c r="A300" s="8"/>
      <c r="C300" s="8"/>
      <c r="I300" s="8"/>
    </row>
    <row r="301" ht="14.25" customHeight="1">
      <c r="A301" s="8"/>
      <c r="C301" s="8"/>
      <c r="I301" s="8"/>
    </row>
    <row r="302" ht="14.25" customHeight="1">
      <c r="A302" s="8"/>
      <c r="C302" s="8"/>
      <c r="I302" s="8"/>
    </row>
    <row r="303" ht="14.25" customHeight="1">
      <c r="A303" s="8"/>
      <c r="C303" s="8"/>
      <c r="I303" s="8"/>
    </row>
    <row r="304" ht="14.25" customHeight="1">
      <c r="A304" s="8"/>
      <c r="C304" s="8"/>
      <c r="I304" s="8"/>
    </row>
    <row r="305" ht="14.25" customHeight="1">
      <c r="A305" s="8"/>
      <c r="C305" s="8"/>
      <c r="I305" s="8"/>
    </row>
    <row r="306" ht="14.25" customHeight="1">
      <c r="A306" s="8"/>
      <c r="C306" s="8"/>
      <c r="I306" s="8"/>
    </row>
    <row r="307" ht="14.25" customHeight="1">
      <c r="A307" s="8"/>
      <c r="C307" s="8"/>
      <c r="I307" s="8"/>
    </row>
    <row r="308" ht="14.25" customHeight="1">
      <c r="A308" s="8"/>
      <c r="C308" s="8"/>
      <c r="I308" s="8"/>
    </row>
    <row r="309" ht="14.25" customHeight="1">
      <c r="A309" s="8"/>
      <c r="C309" s="8"/>
      <c r="I309" s="8"/>
    </row>
    <row r="310" ht="14.25" customHeight="1">
      <c r="A310" s="8"/>
      <c r="C310" s="8"/>
      <c r="I310" s="8"/>
    </row>
    <row r="311" ht="14.25" customHeight="1">
      <c r="A311" s="8"/>
      <c r="C311" s="8"/>
      <c r="I311" s="8"/>
    </row>
    <row r="312" ht="14.25" customHeight="1">
      <c r="A312" s="8"/>
      <c r="C312" s="8"/>
      <c r="I312" s="8"/>
    </row>
    <row r="313" ht="14.25" customHeight="1">
      <c r="A313" s="8"/>
      <c r="C313" s="8"/>
      <c r="I313" s="8"/>
    </row>
    <row r="314" ht="14.25" customHeight="1">
      <c r="A314" s="8"/>
      <c r="C314" s="8"/>
      <c r="I314" s="8"/>
    </row>
    <row r="315" ht="14.25" customHeight="1">
      <c r="A315" s="8"/>
      <c r="C315" s="8"/>
      <c r="I315" s="8"/>
    </row>
    <row r="316" ht="14.25" customHeight="1">
      <c r="A316" s="8"/>
      <c r="C316" s="8"/>
      <c r="I316" s="8"/>
    </row>
    <row r="317" ht="14.25" customHeight="1">
      <c r="A317" s="8"/>
      <c r="C317" s="8"/>
      <c r="I317" s="8"/>
    </row>
    <row r="318" ht="14.25" customHeight="1">
      <c r="A318" s="8"/>
      <c r="C318" s="8"/>
      <c r="I318" s="8"/>
    </row>
    <row r="319" ht="14.25" customHeight="1">
      <c r="A319" s="8"/>
      <c r="C319" s="8"/>
      <c r="I319" s="8"/>
    </row>
    <row r="320" ht="14.25" customHeight="1">
      <c r="A320" s="8"/>
      <c r="C320" s="8"/>
      <c r="I320" s="8"/>
    </row>
    <row r="321" ht="14.25" customHeight="1">
      <c r="A321" s="8"/>
      <c r="C321" s="8"/>
      <c r="I321" s="8"/>
    </row>
    <row r="322" ht="14.25" customHeight="1">
      <c r="A322" s="8"/>
      <c r="C322" s="8"/>
      <c r="I322" s="8"/>
    </row>
    <row r="323" ht="14.25" customHeight="1">
      <c r="A323" s="8"/>
      <c r="C323" s="8"/>
      <c r="I323" s="8"/>
    </row>
    <row r="324" ht="14.25" customHeight="1">
      <c r="A324" s="8"/>
      <c r="C324" s="8"/>
      <c r="I324" s="8"/>
    </row>
    <row r="325" ht="14.25" customHeight="1">
      <c r="A325" s="8"/>
      <c r="C325" s="8"/>
      <c r="I325" s="8"/>
    </row>
    <row r="326" ht="14.25" customHeight="1">
      <c r="A326" s="8"/>
      <c r="C326" s="8"/>
      <c r="I326" s="8"/>
    </row>
    <row r="327" ht="14.25" customHeight="1">
      <c r="A327" s="8"/>
      <c r="C327" s="8"/>
      <c r="I327" s="8"/>
    </row>
    <row r="328" ht="14.25" customHeight="1">
      <c r="A328" s="8"/>
      <c r="C328" s="8"/>
      <c r="I328" s="8"/>
    </row>
    <row r="329" ht="14.25" customHeight="1">
      <c r="A329" s="8"/>
      <c r="C329" s="8"/>
      <c r="I329" s="8"/>
    </row>
    <row r="330" ht="14.25" customHeight="1">
      <c r="A330" s="8"/>
      <c r="C330" s="8"/>
      <c r="I330" s="8"/>
    </row>
    <row r="331" ht="14.25" customHeight="1">
      <c r="A331" s="8"/>
      <c r="C331" s="8"/>
      <c r="I331" s="8"/>
    </row>
    <row r="332" ht="14.25" customHeight="1">
      <c r="A332" s="8"/>
      <c r="C332" s="8"/>
      <c r="I332" s="8"/>
    </row>
    <row r="333" ht="14.25" customHeight="1">
      <c r="A333" s="8"/>
      <c r="C333" s="8"/>
      <c r="I333" s="8"/>
    </row>
    <row r="334" ht="14.25" customHeight="1">
      <c r="A334" s="8"/>
      <c r="C334" s="8"/>
      <c r="I334" s="8"/>
    </row>
    <row r="335" ht="14.25" customHeight="1">
      <c r="A335" s="8"/>
      <c r="C335" s="8"/>
      <c r="I335" s="8"/>
    </row>
    <row r="336" ht="14.25" customHeight="1">
      <c r="A336" s="8"/>
      <c r="C336" s="8"/>
      <c r="I336" s="8"/>
    </row>
    <row r="337" ht="14.25" customHeight="1">
      <c r="A337" s="8"/>
      <c r="C337" s="8"/>
      <c r="I337" s="8"/>
    </row>
    <row r="338" ht="14.25" customHeight="1">
      <c r="A338" s="8"/>
      <c r="C338" s="8"/>
      <c r="I338" s="8"/>
    </row>
    <row r="339" ht="14.25" customHeight="1">
      <c r="A339" s="8"/>
      <c r="C339" s="8"/>
      <c r="I339" s="8"/>
    </row>
    <row r="340" ht="14.25" customHeight="1">
      <c r="A340" s="8"/>
      <c r="C340" s="8"/>
      <c r="I340" s="8"/>
    </row>
    <row r="341" ht="14.25" customHeight="1">
      <c r="A341" s="8"/>
      <c r="C341" s="8"/>
      <c r="I341" s="8"/>
    </row>
    <row r="342" ht="14.25" customHeight="1">
      <c r="A342" s="8"/>
      <c r="C342" s="8"/>
      <c r="I342" s="8"/>
    </row>
    <row r="343" ht="14.25" customHeight="1">
      <c r="A343" s="8"/>
      <c r="C343" s="8"/>
      <c r="I343" s="8"/>
    </row>
    <row r="344" ht="14.25" customHeight="1">
      <c r="A344" s="8"/>
      <c r="C344" s="8"/>
      <c r="I344" s="8"/>
    </row>
    <row r="345" ht="14.25" customHeight="1">
      <c r="A345" s="8"/>
      <c r="C345" s="8"/>
      <c r="I345" s="8"/>
    </row>
    <row r="346" ht="14.25" customHeight="1">
      <c r="A346" s="8"/>
      <c r="C346" s="8"/>
      <c r="I346" s="8"/>
    </row>
    <row r="347" ht="14.25" customHeight="1">
      <c r="A347" s="8"/>
      <c r="C347" s="8"/>
      <c r="I347" s="8"/>
    </row>
    <row r="348" ht="14.25" customHeight="1">
      <c r="A348" s="8"/>
      <c r="C348" s="8"/>
      <c r="I348" s="8"/>
    </row>
    <row r="349" ht="14.25" customHeight="1">
      <c r="A349" s="8"/>
      <c r="C349" s="8"/>
      <c r="I349" s="8"/>
    </row>
    <row r="350" ht="14.25" customHeight="1">
      <c r="A350" s="8"/>
      <c r="C350" s="8"/>
      <c r="I350" s="8"/>
    </row>
    <row r="351" ht="14.25" customHeight="1">
      <c r="A351" s="8"/>
      <c r="C351" s="8"/>
      <c r="I351" s="8"/>
    </row>
    <row r="352" ht="14.25" customHeight="1">
      <c r="A352" s="8"/>
      <c r="C352" s="8"/>
      <c r="I352" s="8"/>
    </row>
    <row r="353" ht="14.25" customHeight="1">
      <c r="A353" s="8"/>
      <c r="C353" s="8"/>
      <c r="I353" s="8"/>
    </row>
    <row r="354" ht="14.25" customHeight="1">
      <c r="A354" s="8"/>
      <c r="C354" s="8"/>
      <c r="I354" s="8"/>
    </row>
    <row r="355" ht="14.25" customHeight="1">
      <c r="A355" s="8"/>
      <c r="C355" s="8"/>
      <c r="I355" s="8"/>
    </row>
    <row r="356" ht="14.25" customHeight="1">
      <c r="A356" s="8"/>
      <c r="C356" s="8"/>
      <c r="I356" s="8"/>
    </row>
    <row r="357" ht="14.25" customHeight="1">
      <c r="A357" s="8"/>
      <c r="C357" s="8"/>
      <c r="I357" s="8"/>
    </row>
    <row r="358" ht="14.25" customHeight="1">
      <c r="A358" s="8"/>
      <c r="C358" s="8"/>
      <c r="I358" s="8"/>
    </row>
    <row r="359" ht="14.25" customHeight="1">
      <c r="A359" s="8"/>
      <c r="C359" s="8"/>
      <c r="I359" s="8"/>
    </row>
    <row r="360" ht="14.25" customHeight="1">
      <c r="A360" s="8"/>
      <c r="C360" s="8"/>
      <c r="I360" s="8"/>
    </row>
    <row r="361" ht="14.25" customHeight="1">
      <c r="A361" s="8"/>
      <c r="C361" s="8"/>
      <c r="I361" s="8"/>
    </row>
    <row r="362" ht="14.25" customHeight="1">
      <c r="A362" s="8"/>
      <c r="C362" s="8"/>
      <c r="I362" s="8"/>
    </row>
    <row r="363" ht="14.25" customHeight="1">
      <c r="A363" s="8"/>
      <c r="C363" s="8"/>
      <c r="I363" s="8"/>
    </row>
    <row r="364" ht="14.25" customHeight="1">
      <c r="A364" s="8"/>
      <c r="C364" s="8"/>
      <c r="I364" s="8"/>
    </row>
    <row r="365" ht="14.25" customHeight="1">
      <c r="A365" s="8"/>
      <c r="C365" s="8"/>
      <c r="I365" s="8"/>
    </row>
    <row r="366" ht="14.25" customHeight="1">
      <c r="A366" s="8"/>
      <c r="C366" s="8"/>
      <c r="I366" s="8"/>
    </row>
    <row r="367" ht="14.25" customHeight="1">
      <c r="A367" s="8"/>
      <c r="C367" s="8"/>
      <c r="I367" s="8"/>
    </row>
    <row r="368" ht="14.25" customHeight="1">
      <c r="A368" s="8"/>
      <c r="C368" s="8"/>
      <c r="I368" s="8"/>
    </row>
    <row r="369" ht="14.25" customHeight="1">
      <c r="A369" s="8"/>
      <c r="C369" s="8"/>
      <c r="I369" s="8"/>
    </row>
    <row r="370" ht="14.25" customHeight="1">
      <c r="A370" s="8"/>
      <c r="C370" s="8"/>
      <c r="I370" s="8"/>
    </row>
    <row r="371" ht="14.25" customHeight="1">
      <c r="A371" s="8"/>
      <c r="C371" s="8"/>
      <c r="I371" s="8"/>
    </row>
    <row r="372" ht="14.25" customHeight="1">
      <c r="A372" s="8"/>
      <c r="C372" s="8"/>
      <c r="I372" s="8"/>
    </row>
    <row r="373" ht="14.25" customHeight="1">
      <c r="A373" s="8"/>
      <c r="C373" s="8"/>
      <c r="I373" s="8"/>
    </row>
    <row r="374" ht="14.25" customHeight="1">
      <c r="A374" s="8"/>
      <c r="C374" s="8"/>
      <c r="I374" s="8"/>
    </row>
    <row r="375" ht="14.25" customHeight="1">
      <c r="A375" s="8"/>
      <c r="C375" s="8"/>
      <c r="I375" s="8"/>
    </row>
    <row r="376" ht="14.25" customHeight="1">
      <c r="A376" s="8"/>
      <c r="C376" s="8"/>
      <c r="I376" s="8"/>
    </row>
    <row r="377" ht="14.25" customHeight="1">
      <c r="A377" s="8"/>
      <c r="C377" s="8"/>
      <c r="I377" s="8"/>
    </row>
    <row r="378" ht="14.25" customHeight="1">
      <c r="A378" s="8"/>
      <c r="C378" s="8"/>
      <c r="I378" s="8"/>
    </row>
    <row r="379" ht="14.25" customHeight="1">
      <c r="A379" s="8"/>
      <c r="C379" s="8"/>
      <c r="I379" s="8"/>
    </row>
    <row r="380" ht="14.25" customHeight="1">
      <c r="A380" s="8"/>
      <c r="C380" s="8"/>
      <c r="I380" s="8"/>
    </row>
    <row r="381" ht="14.25" customHeight="1">
      <c r="A381" s="8"/>
      <c r="C381" s="8"/>
      <c r="I381" s="8"/>
    </row>
    <row r="382" ht="14.25" customHeight="1">
      <c r="A382" s="8"/>
      <c r="C382" s="8"/>
      <c r="I382" s="8"/>
    </row>
    <row r="383" ht="14.25" customHeight="1">
      <c r="A383" s="8"/>
      <c r="C383" s="8"/>
      <c r="I383" s="8"/>
    </row>
    <row r="384" ht="14.25" customHeight="1">
      <c r="A384" s="8"/>
      <c r="C384" s="8"/>
      <c r="I384" s="8"/>
    </row>
    <row r="385" ht="14.25" customHeight="1">
      <c r="A385" s="8"/>
      <c r="C385" s="8"/>
      <c r="I385" s="8"/>
    </row>
    <row r="386" ht="14.25" customHeight="1">
      <c r="A386" s="8"/>
      <c r="C386" s="8"/>
      <c r="I386" s="8"/>
    </row>
    <row r="387" ht="14.25" customHeight="1">
      <c r="A387" s="8"/>
      <c r="C387" s="8"/>
      <c r="I387" s="8"/>
    </row>
    <row r="388" ht="14.25" customHeight="1">
      <c r="A388" s="8"/>
      <c r="C388" s="8"/>
      <c r="I388" s="8"/>
    </row>
    <row r="389" ht="14.25" customHeight="1">
      <c r="A389" s="8"/>
      <c r="C389" s="8"/>
      <c r="I389" s="8"/>
    </row>
    <row r="390" ht="14.25" customHeight="1">
      <c r="A390" s="8"/>
      <c r="C390" s="8"/>
      <c r="I390" s="8"/>
    </row>
    <row r="391" ht="14.25" customHeight="1">
      <c r="A391" s="8"/>
      <c r="C391" s="8"/>
      <c r="I391" s="8"/>
    </row>
    <row r="392" ht="14.25" customHeight="1">
      <c r="A392" s="8"/>
      <c r="C392" s="8"/>
      <c r="I392" s="8"/>
    </row>
    <row r="393" ht="14.25" customHeight="1">
      <c r="A393" s="8"/>
      <c r="C393" s="8"/>
      <c r="I393" s="8"/>
    </row>
    <row r="394" ht="14.25" customHeight="1">
      <c r="A394" s="8"/>
      <c r="C394" s="8"/>
      <c r="I394" s="8"/>
    </row>
    <row r="395" ht="14.25" customHeight="1">
      <c r="A395" s="8"/>
      <c r="C395" s="8"/>
      <c r="I395" s="8"/>
    </row>
    <row r="396" ht="14.25" customHeight="1">
      <c r="A396" s="8"/>
      <c r="C396" s="8"/>
      <c r="I396" s="8"/>
    </row>
    <row r="397" ht="14.25" customHeight="1">
      <c r="A397" s="8"/>
      <c r="C397" s="8"/>
      <c r="I397" s="8"/>
    </row>
    <row r="398" ht="14.25" customHeight="1">
      <c r="A398" s="8"/>
      <c r="C398" s="8"/>
      <c r="I398" s="8"/>
    </row>
    <row r="399" ht="14.25" customHeight="1">
      <c r="A399" s="8"/>
      <c r="C399" s="8"/>
      <c r="I399" s="8"/>
    </row>
    <row r="400" ht="14.25" customHeight="1">
      <c r="A400" s="8"/>
      <c r="C400" s="8"/>
      <c r="I400" s="8"/>
    </row>
    <row r="401" ht="14.25" customHeight="1">
      <c r="A401" s="8"/>
      <c r="C401" s="8"/>
      <c r="I401" s="8"/>
    </row>
    <row r="402" ht="14.25" customHeight="1">
      <c r="A402" s="8"/>
      <c r="C402" s="8"/>
      <c r="I402" s="8"/>
    </row>
    <row r="403" ht="14.25" customHeight="1">
      <c r="A403" s="8"/>
      <c r="C403" s="8"/>
      <c r="I403" s="8"/>
    </row>
    <row r="404" ht="14.25" customHeight="1">
      <c r="A404" s="8"/>
      <c r="C404" s="8"/>
      <c r="I404" s="8"/>
    </row>
    <row r="405" ht="14.25" customHeight="1">
      <c r="A405" s="8"/>
      <c r="C405" s="8"/>
      <c r="I405" s="8"/>
    </row>
    <row r="406" ht="14.25" customHeight="1">
      <c r="A406" s="8"/>
      <c r="C406" s="8"/>
      <c r="I406" s="8"/>
    </row>
    <row r="407" ht="14.25" customHeight="1">
      <c r="A407" s="8"/>
      <c r="C407" s="8"/>
      <c r="I407" s="8"/>
    </row>
    <row r="408" ht="14.25" customHeight="1">
      <c r="A408" s="8"/>
      <c r="C408" s="8"/>
      <c r="I408" s="8"/>
    </row>
    <row r="409" ht="14.25" customHeight="1">
      <c r="A409" s="8"/>
      <c r="C409" s="8"/>
      <c r="I409" s="8"/>
    </row>
    <row r="410" ht="14.25" customHeight="1">
      <c r="A410" s="8"/>
      <c r="C410" s="8"/>
      <c r="I410" s="8"/>
    </row>
    <row r="411" ht="14.25" customHeight="1">
      <c r="A411" s="8"/>
      <c r="C411" s="8"/>
      <c r="I411" s="8"/>
    </row>
    <row r="412" ht="14.25" customHeight="1">
      <c r="A412" s="8"/>
      <c r="C412" s="8"/>
      <c r="I412" s="8"/>
    </row>
    <row r="413" ht="14.25" customHeight="1">
      <c r="A413" s="8"/>
      <c r="C413" s="8"/>
      <c r="I413" s="8"/>
    </row>
    <row r="414" ht="14.25" customHeight="1">
      <c r="A414" s="8"/>
      <c r="C414" s="8"/>
      <c r="I414" s="8"/>
    </row>
    <row r="415" ht="14.25" customHeight="1">
      <c r="A415" s="8"/>
      <c r="C415" s="8"/>
      <c r="I415" s="8"/>
    </row>
    <row r="416" ht="14.25" customHeight="1">
      <c r="A416" s="8"/>
      <c r="C416" s="8"/>
      <c r="I416" s="8"/>
    </row>
    <row r="417" ht="14.25" customHeight="1">
      <c r="A417" s="8"/>
      <c r="C417" s="8"/>
      <c r="I417" s="8"/>
    </row>
    <row r="418" ht="14.25" customHeight="1">
      <c r="A418" s="8"/>
      <c r="C418" s="8"/>
      <c r="I418" s="8"/>
    </row>
    <row r="419" ht="14.25" customHeight="1">
      <c r="A419" s="8"/>
      <c r="C419" s="8"/>
      <c r="I419" s="8"/>
    </row>
    <row r="420" ht="14.25" customHeight="1">
      <c r="A420" s="8"/>
      <c r="C420" s="8"/>
      <c r="I420" s="8"/>
    </row>
    <row r="421" ht="14.25" customHeight="1">
      <c r="A421" s="8"/>
      <c r="C421" s="8"/>
      <c r="I421" s="8"/>
    </row>
    <row r="422" ht="14.25" customHeight="1">
      <c r="A422" s="8"/>
      <c r="C422" s="8"/>
      <c r="I422" s="8"/>
    </row>
    <row r="423" ht="14.25" customHeight="1">
      <c r="A423" s="8"/>
      <c r="C423" s="8"/>
      <c r="I423" s="8"/>
    </row>
    <row r="424" ht="14.25" customHeight="1">
      <c r="A424" s="8"/>
      <c r="C424" s="8"/>
      <c r="I424" s="8"/>
    </row>
    <row r="425" ht="14.25" customHeight="1">
      <c r="A425" s="8"/>
      <c r="C425" s="8"/>
      <c r="I425" s="8"/>
    </row>
    <row r="426" ht="14.25" customHeight="1">
      <c r="A426" s="8"/>
      <c r="C426" s="8"/>
      <c r="I426" s="8"/>
    </row>
    <row r="427" ht="14.25" customHeight="1">
      <c r="A427" s="8"/>
      <c r="C427" s="8"/>
      <c r="I427" s="8"/>
    </row>
    <row r="428" ht="14.25" customHeight="1">
      <c r="A428" s="8"/>
      <c r="C428" s="8"/>
      <c r="I428" s="8"/>
    </row>
    <row r="429" ht="14.25" customHeight="1">
      <c r="A429" s="8"/>
      <c r="C429" s="8"/>
      <c r="I429" s="8"/>
    </row>
    <row r="430" ht="14.25" customHeight="1">
      <c r="A430" s="8"/>
      <c r="C430" s="8"/>
      <c r="I430" s="8"/>
    </row>
    <row r="431" ht="14.25" customHeight="1">
      <c r="A431" s="8"/>
      <c r="C431" s="8"/>
      <c r="I431" s="8"/>
    </row>
    <row r="432" ht="14.25" customHeight="1">
      <c r="A432" s="8"/>
      <c r="C432" s="8"/>
      <c r="I432" s="8"/>
    </row>
    <row r="433" ht="14.25" customHeight="1">
      <c r="A433" s="8"/>
      <c r="C433" s="8"/>
      <c r="I433" s="8"/>
    </row>
    <row r="434" ht="14.25" customHeight="1">
      <c r="A434" s="8"/>
      <c r="C434" s="8"/>
      <c r="I434" s="8"/>
    </row>
    <row r="435" ht="14.25" customHeight="1">
      <c r="A435" s="8"/>
      <c r="C435" s="8"/>
      <c r="I435" s="8"/>
    </row>
    <row r="436" ht="14.25" customHeight="1">
      <c r="A436" s="8"/>
      <c r="C436" s="8"/>
      <c r="I436" s="8"/>
    </row>
    <row r="437" ht="14.25" customHeight="1">
      <c r="A437" s="8"/>
      <c r="C437" s="8"/>
      <c r="I437" s="8"/>
    </row>
    <row r="438" ht="14.25" customHeight="1">
      <c r="A438" s="8"/>
      <c r="C438" s="8"/>
      <c r="I438" s="8"/>
    </row>
    <row r="439" ht="14.25" customHeight="1">
      <c r="A439" s="8"/>
      <c r="C439" s="8"/>
      <c r="I439" s="8"/>
    </row>
    <row r="440" ht="14.25" customHeight="1">
      <c r="A440" s="8"/>
      <c r="C440" s="8"/>
      <c r="I440" s="8"/>
    </row>
    <row r="441" ht="14.25" customHeight="1">
      <c r="A441" s="8"/>
      <c r="C441" s="8"/>
      <c r="I441" s="8"/>
    </row>
    <row r="442" ht="14.25" customHeight="1">
      <c r="A442" s="8"/>
      <c r="C442" s="8"/>
      <c r="I442" s="8"/>
    </row>
    <row r="443" ht="14.25" customHeight="1">
      <c r="A443" s="8"/>
      <c r="C443" s="8"/>
      <c r="I443" s="8"/>
    </row>
    <row r="444" ht="14.25" customHeight="1">
      <c r="A444" s="8"/>
      <c r="C444" s="8"/>
      <c r="I444" s="8"/>
    </row>
    <row r="445" ht="14.25" customHeight="1">
      <c r="A445" s="8"/>
      <c r="C445" s="8"/>
      <c r="I445" s="8"/>
    </row>
    <row r="446" ht="14.25" customHeight="1">
      <c r="A446" s="8"/>
      <c r="C446" s="8"/>
      <c r="I446" s="8"/>
    </row>
    <row r="447" ht="14.25" customHeight="1">
      <c r="A447" s="8"/>
      <c r="C447" s="8"/>
      <c r="I447" s="8"/>
    </row>
    <row r="448" ht="14.25" customHeight="1">
      <c r="A448" s="8"/>
      <c r="C448" s="8"/>
      <c r="I448" s="8"/>
    </row>
    <row r="449" ht="14.25" customHeight="1">
      <c r="A449" s="8"/>
      <c r="C449" s="8"/>
      <c r="I449" s="8"/>
    </row>
    <row r="450" ht="14.25" customHeight="1">
      <c r="A450" s="8"/>
      <c r="C450" s="8"/>
      <c r="I450" s="8"/>
    </row>
    <row r="451" ht="14.25" customHeight="1">
      <c r="A451" s="8"/>
      <c r="C451" s="8"/>
      <c r="I451" s="8"/>
    </row>
    <row r="452" ht="14.25" customHeight="1">
      <c r="A452" s="8"/>
      <c r="C452" s="8"/>
      <c r="I452" s="8"/>
    </row>
    <row r="453" ht="14.25" customHeight="1">
      <c r="A453" s="8"/>
      <c r="C453" s="8"/>
      <c r="I453" s="8"/>
    </row>
    <row r="454" ht="14.25" customHeight="1">
      <c r="A454" s="8"/>
      <c r="C454" s="8"/>
      <c r="I454" s="8"/>
    </row>
    <row r="455" ht="14.25" customHeight="1">
      <c r="A455" s="8"/>
      <c r="C455" s="8"/>
      <c r="I455" s="8"/>
    </row>
    <row r="456" ht="14.25" customHeight="1">
      <c r="A456" s="8"/>
      <c r="C456" s="8"/>
      <c r="I456" s="8"/>
    </row>
    <row r="457" ht="14.25" customHeight="1">
      <c r="A457" s="8"/>
      <c r="C457" s="8"/>
      <c r="I457" s="8"/>
    </row>
    <row r="458" ht="14.25" customHeight="1">
      <c r="A458" s="8"/>
      <c r="C458" s="8"/>
      <c r="I458" s="8"/>
    </row>
    <row r="459" ht="14.25" customHeight="1">
      <c r="A459" s="8"/>
      <c r="C459" s="8"/>
      <c r="I459" s="8"/>
    </row>
    <row r="460" ht="14.25" customHeight="1">
      <c r="A460" s="8"/>
      <c r="C460" s="8"/>
      <c r="I460" s="8"/>
    </row>
    <row r="461" ht="14.25" customHeight="1">
      <c r="A461" s="8"/>
      <c r="C461" s="8"/>
      <c r="I461" s="8"/>
    </row>
    <row r="462" ht="14.25" customHeight="1">
      <c r="A462" s="8"/>
      <c r="C462" s="8"/>
      <c r="I462" s="8"/>
    </row>
    <row r="463" ht="14.25" customHeight="1">
      <c r="A463" s="8"/>
      <c r="C463" s="8"/>
      <c r="I463" s="8"/>
    </row>
    <row r="464" ht="14.25" customHeight="1">
      <c r="A464" s="8"/>
      <c r="C464" s="8"/>
      <c r="I464" s="8"/>
    </row>
    <row r="465" ht="14.25" customHeight="1">
      <c r="A465" s="8"/>
      <c r="C465" s="8"/>
      <c r="I465" s="8"/>
    </row>
    <row r="466" ht="14.25" customHeight="1">
      <c r="A466" s="8"/>
      <c r="C466" s="8"/>
      <c r="I466" s="8"/>
    </row>
    <row r="467" ht="14.25" customHeight="1">
      <c r="A467" s="8"/>
      <c r="C467" s="8"/>
      <c r="I467" s="8"/>
    </row>
    <row r="468" ht="14.25" customHeight="1">
      <c r="A468" s="8"/>
      <c r="C468" s="8"/>
      <c r="I468" s="8"/>
    </row>
    <row r="469" ht="14.25" customHeight="1">
      <c r="A469" s="8"/>
      <c r="C469" s="8"/>
      <c r="I469" s="8"/>
    </row>
    <row r="470" ht="14.25" customHeight="1">
      <c r="A470" s="8"/>
      <c r="C470" s="8"/>
      <c r="I470" s="8"/>
    </row>
    <row r="471" ht="14.25" customHeight="1">
      <c r="A471" s="8"/>
      <c r="C471" s="8"/>
      <c r="I471" s="8"/>
    </row>
    <row r="472" ht="14.25" customHeight="1">
      <c r="A472" s="8"/>
      <c r="C472" s="8"/>
      <c r="I472" s="8"/>
    </row>
    <row r="473" ht="14.25" customHeight="1">
      <c r="A473" s="8"/>
      <c r="C473" s="8"/>
      <c r="I473" s="8"/>
    </row>
    <row r="474" ht="14.25" customHeight="1">
      <c r="A474" s="8"/>
      <c r="C474" s="8"/>
      <c r="I474" s="8"/>
    </row>
    <row r="475" ht="14.25" customHeight="1">
      <c r="A475" s="8"/>
      <c r="C475" s="8"/>
      <c r="I475" s="8"/>
    </row>
    <row r="476" ht="14.25" customHeight="1">
      <c r="A476" s="8"/>
      <c r="C476" s="8"/>
      <c r="I476" s="8"/>
    </row>
    <row r="477" ht="14.25" customHeight="1">
      <c r="A477" s="8"/>
      <c r="C477" s="8"/>
      <c r="I477" s="8"/>
    </row>
    <row r="478" ht="14.25" customHeight="1">
      <c r="A478" s="8"/>
      <c r="C478" s="8"/>
      <c r="I478" s="8"/>
    </row>
    <row r="479" ht="14.25" customHeight="1">
      <c r="A479" s="8"/>
      <c r="C479" s="8"/>
      <c r="I479" s="8"/>
    </row>
    <row r="480" ht="14.25" customHeight="1">
      <c r="A480" s="8"/>
      <c r="C480" s="8"/>
      <c r="I480" s="8"/>
    </row>
    <row r="481" ht="14.25" customHeight="1">
      <c r="A481" s="8"/>
      <c r="C481" s="8"/>
      <c r="I481" s="8"/>
    </row>
    <row r="482" ht="14.25" customHeight="1">
      <c r="A482" s="8"/>
      <c r="C482" s="8"/>
      <c r="I482" s="8"/>
    </row>
    <row r="483" ht="14.25" customHeight="1">
      <c r="A483" s="8"/>
      <c r="C483" s="8"/>
      <c r="I483" s="8"/>
    </row>
    <row r="484" ht="14.25" customHeight="1">
      <c r="A484" s="8"/>
      <c r="C484" s="8"/>
      <c r="I484" s="8"/>
    </row>
    <row r="485" ht="14.25" customHeight="1">
      <c r="A485" s="8"/>
      <c r="C485" s="8"/>
      <c r="I485" s="8"/>
    </row>
    <row r="486" ht="14.25" customHeight="1">
      <c r="A486" s="8"/>
      <c r="C486" s="8"/>
      <c r="I486" s="8"/>
    </row>
    <row r="487" ht="14.25" customHeight="1">
      <c r="A487" s="8"/>
      <c r="C487" s="8"/>
      <c r="I487" s="8"/>
    </row>
    <row r="488" ht="14.25" customHeight="1">
      <c r="A488" s="8"/>
      <c r="C488" s="8"/>
      <c r="I488" s="8"/>
    </row>
    <row r="489" ht="14.25" customHeight="1">
      <c r="A489" s="8"/>
      <c r="C489" s="8"/>
      <c r="I489" s="8"/>
    </row>
    <row r="490" ht="14.25" customHeight="1">
      <c r="A490" s="8"/>
      <c r="C490" s="8"/>
      <c r="I490" s="8"/>
    </row>
    <row r="491" ht="14.25" customHeight="1">
      <c r="A491" s="8"/>
      <c r="C491" s="8"/>
      <c r="I491" s="8"/>
    </row>
    <row r="492" ht="14.25" customHeight="1">
      <c r="A492" s="8"/>
      <c r="C492" s="8"/>
      <c r="I492" s="8"/>
    </row>
    <row r="493" ht="14.25" customHeight="1">
      <c r="A493" s="8"/>
      <c r="C493" s="8"/>
      <c r="I493" s="8"/>
    </row>
    <row r="494" ht="14.25" customHeight="1">
      <c r="A494" s="8"/>
      <c r="C494" s="8"/>
      <c r="I494" s="8"/>
    </row>
    <row r="495" ht="14.25" customHeight="1">
      <c r="A495" s="8"/>
      <c r="C495" s="8"/>
      <c r="I495" s="8"/>
    </row>
    <row r="496" ht="14.25" customHeight="1">
      <c r="A496" s="8"/>
      <c r="C496" s="8"/>
      <c r="I496" s="8"/>
    </row>
    <row r="497" ht="14.25" customHeight="1">
      <c r="A497" s="8"/>
      <c r="C497" s="8"/>
      <c r="I497" s="8"/>
    </row>
    <row r="498" ht="14.25" customHeight="1">
      <c r="A498" s="8"/>
      <c r="C498" s="8"/>
      <c r="I498" s="8"/>
    </row>
    <row r="499" ht="14.25" customHeight="1">
      <c r="A499" s="8"/>
      <c r="C499" s="8"/>
      <c r="I499" s="8"/>
    </row>
    <row r="500" ht="14.25" customHeight="1">
      <c r="A500" s="8"/>
      <c r="C500" s="8"/>
      <c r="I500" s="8"/>
    </row>
    <row r="501" ht="14.25" customHeight="1">
      <c r="A501" s="8"/>
      <c r="C501" s="8"/>
      <c r="I501" s="8"/>
    </row>
    <row r="502" ht="14.25" customHeight="1">
      <c r="A502" s="8"/>
      <c r="C502" s="8"/>
      <c r="I502" s="8"/>
    </row>
    <row r="503" ht="14.25" customHeight="1">
      <c r="A503" s="8"/>
      <c r="C503" s="8"/>
      <c r="I503" s="8"/>
    </row>
    <row r="504" ht="14.25" customHeight="1">
      <c r="A504" s="8"/>
      <c r="C504" s="8"/>
      <c r="I504" s="8"/>
    </row>
    <row r="505" ht="14.25" customHeight="1">
      <c r="A505" s="8"/>
      <c r="C505" s="8"/>
      <c r="I505" s="8"/>
    </row>
    <row r="506" ht="14.25" customHeight="1">
      <c r="A506" s="8"/>
      <c r="C506" s="8"/>
      <c r="I506" s="8"/>
    </row>
    <row r="507" ht="14.25" customHeight="1">
      <c r="A507" s="8"/>
      <c r="C507" s="8"/>
      <c r="I507" s="8"/>
    </row>
    <row r="508" ht="14.25" customHeight="1">
      <c r="A508" s="8"/>
      <c r="C508" s="8"/>
      <c r="I508" s="8"/>
    </row>
    <row r="509" ht="14.25" customHeight="1">
      <c r="A509" s="8"/>
      <c r="C509" s="8"/>
      <c r="I509" s="8"/>
    </row>
    <row r="510" ht="14.25" customHeight="1">
      <c r="A510" s="8"/>
      <c r="C510" s="8"/>
      <c r="I510" s="8"/>
    </row>
    <row r="511" ht="14.25" customHeight="1">
      <c r="A511" s="8"/>
      <c r="C511" s="8"/>
      <c r="I511" s="8"/>
    </row>
    <row r="512" ht="14.25" customHeight="1">
      <c r="A512" s="8"/>
      <c r="C512" s="8"/>
      <c r="I512" s="8"/>
    </row>
    <row r="513" ht="14.25" customHeight="1">
      <c r="A513" s="8"/>
      <c r="C513" s="8"/>
      <c r="I513" s="8"/>
    </row>
    <row r="514" ht="14.25" customHeight="1">
      <c r="A514" s="8"/>
      <c r="C514" s="8"/>
      <c r="I514" s="8"/>
    </row>
    <row r="515" ht="14.25" customHeight="1">
      <c r="A515" s="8"/>
      <c r="C515" s="8"/>
      <c r="I515" s="8"/>
    </row>
    <row r="516" ht="14.25" customHeight="1">
      <c r="A516" s="8"/>
      <c r="C516" s="8"/>
      <c r="I516" s="8"/>
    </row>
    <row r="517" ht="14.25" customHeight="1">
      <c r="A517" s="8"/>
      <c r="C517" s="8"/>
      <c r="I517" s="8"/>
    </row>
    <row r="518" ht="14.25" customHeight="1">
      <c r="A518" s="8"/>
      <c r="C518" s="8"/>
      <c r="I518" s="8"/>
    </row>
    <row r="519" ht="14.25" customHeight="1">
      <c r="A519" s="8"/>
      <c r="C519" s="8"/>
      <c r="I519" s="8"/>
    </row>
    <row r="520" ht="14.25" customHeight="1">
      <c r="A520" s="8"/>
      <c r="C520" s="8"/>
      <c r="I520" s="8"/>
    </row>
    <row r="521" ht="14.25" customHeight="1">
      <c r="A521" s="8"/>
      <c r="C521" s="8"/>
      <c r="I521" s="8"/>
    </row>
    <row r="522" ht="14.25" customHeight="1">
      <c r="A522" s="8"/>
      <c r="C522" s="8"/>
      <c r="I522" s="8"/>
    </row>
    <row r="523" ht="14.25" customHeight="1">
      <c r="A523" s="8"/>
      <c r="C523" s="8"/>
      <c r="I523" s="8"/>
    </row>
    <row r="524" ht="14.25" customHeight="1">
      <c r="A524" s="8"/>
      <c r="C524" s="8"/>
      <c r="I524" s="8"/>
    </row>
    <row r="525" ht="14.25" customHeight="1">
      <c r="A525" s="8"/>
      <c r="C525" s="8"/>
      <c r="I525" s="8"/>
    </row>
    <row r="526" ht="14.25" customHeight="1">
      <c r="A526" s="8"/>
      <c r="C526" s="8"/>
      <c r="I526" s="8"/>
    </row>
    <row r="527" ht="14.25" customHeight="1">
      <c r="A527" s="8"/>
      <c r="C527" s="8"/>
      <c r="I527" s="8"/>
    </row>
    <row r="528" ht="14.25" customHeight="1">
      <c r="A528" s="8"/>
      <c r="C528" s="8"/>
      <c r="I528" s="8"/>
    </row>
    <row r="529" ht="14.25" customHeight="1">
      <c r="A529" s="8"/>
      <c r="C529" s="8"/>
      <c r="I529" s="8"/>
    </row>
    <row r="530" ht="14.25" customHeight="1">
      <c r="A530" s="8"/>
      <c r="C530" s="8"/>
      <c r="I530" s="8"/>
    </row>
    <row r="531" ht="14.25" customHeight="1">
      <c r="A531" s="8"/>
      <c r="C531" s="8"/>
      <c r="I531" s="8"/>
    </row>
    <row r="532" ht="14.25" customHeight="1">
      <c r="A532" s="8"/>
      <c r="C532" s="8"/>
      <c r="I532" s="8"/>
    </row>
    <row r="533" ht="14.25" customHeight="1">
      <c r="A533" s="8"/>
      <c r="C533" s="8"/>
      <c r="I533" s="8"/>
    </row>
    <row r="534" ht="14.25" customHeight="1">
      <c r="A534" s="8"/>
      <c r="C534" s="8"/>
      <c r="I534" s="8"/>
    </row>
    <row r="535" ht="14.25" customHeight="1">
      <c r="A535" s="8"/>
      <c r="C535" s="8"/>
      <c r="I535" s="8"/>
    </row>
    <row r="536" ht="14.25" customHeight="1">
      <c r="A536" s="8"/>
      <c r="C536" s="8"/>
      <c r="I536" s="8"/>
    </row>
    <row r="537" ht="14.25" customHeight="1">
      <c r="A537" s="8"/>
      <c r="C537" s="8"/>
      <c r="I537" s="8"/>
    </row>
    <row r="538" ht="14.25" customHeight="1">
      <c r="A538" s="8"/>
      <c r="C538" s="8"/>
      <c r="I538" s="8"/>
    </row>
    <row r="539" ht="14.25" customHeight="1">
      <c r="A539" s="8"/>
      <c r="C539" s="8"/>
      <c r="I539" s="8"/>
    </row>
    <row r="540" ht="14.25" customHeight="1">
      <c r="A540" s="8"/>
      <c r="C540" s="8"/>
      <c r="I540" s="8"/>
    </row>
    <row r="541" ht="14.25" customHeight="1">
      <c r="A541" s="8"/>
      <c r="C541" s="8"/>
      <c r="I541" s="8"/>
    </row>
    <row r="542" ht="14.25" customHeight="1">
      <c r="A542" s="8"/>
      <c r="C542" s="8"/>
      <c r="I542" s="8"/>
    </row>
    <row r="543" ht="14.25" customHeight="1">
      <c r="A543" s="8"/>
      <c r="C543" s="8"/>
      <c r="I543" s="8"/>
    </row>
    <row r="544" ht="14.25" customHeight="1">
      <c r="A544" s="8"/>
      <c r="C544" s="8"/>
      <c r="I544" s="8"/>
    </row>
    <row r="545" ht="14.25" customHeight="1">
      <c r="A545" s="8"/>
      <c r="C545" s="8"/>
      <c r="I545" s="8"/>
    </row>
    <row r="546" ht="14.25" customHeight="1">
      <c r="A546" s="8"/>
      <c r="C546" s="8"/>
      <c r="I546" s="8"/>
    </row>
    <row r="547" ht="14.25" customHeight="1">
      <c r="A547" s="8"/>
      <c r="C547" s="8"/>
      <c r="I547" s="8"/>
    </row>
    <row r="548" ht="14.25" customHeight="1">
      <c r="A548" s="8"/>
      <c r="C548" s="8"/>
      <c r="I548" s="8"/>
    </row>
    <row r="549" ht="14.25" customHeight="1">
      <c r="A549" s="8"/>
      <c r="C549" s="8"/>
      <c r="I549" s="8"/>
    </row>
    <row r="550" ht="14.25" customHeight="1">
      <c r="A550" s="8"/>
      <c r="C550" s="8"/>
      <c r="I550" s="8"/>
    </row>
    <row r="551" ht="14.25" customHeight="1">
      <c r="A551" s="8"/>
      <c r="C551" s="8"/>
      <c r="I551" s="8"/>
    </row>
    <row r="552" ht="14.25" customHeight="1">
      <c r="A552" s="8"/>
      <c r="C552" s="8"/>
      <c r="I552" s="8"/>
    </row>
    <row r="553" ht="14.25" customHeight="1">
      <c r="A553" s="8"/>
      <c r="C553" s="8"/>
      <c r="I553" s="8"/>
    </row>
    <row r="554" ht="14.25" customHeight="1">
      <c r="A554" s="8"/>
      <c r="C554" s="8"/>
      <c r="I554" s="8"/>
    </row>
    <row r="555" ht="14.25" customHeight="1">
      <c r="A555" s="8"/>
      <c r="C555" s="8"/>
      <c r="I555" s="8"/>
    </row>
    <row r="556" ht="14.25" customHeight="1">
      <c r="A556" s="8"/>
      <c r="C556" s="8"/>
      <c r="I556" s="8"/>
    </row>
    <row r="557" ht="14.25" customHeight="1">
      <c r="A557" s="8"/>
      <c r="C557" s="8"/>
      <c r="I557" s="8"/>
    </row>
    <row r="558" ht="14.25" customHeight="1">
      <c r="A558" s="8"/>
      <c r="C558" s="8"/>
      <c r="I558" s="8"/>
    </row>
    <row r="559" ht="14.25" customHeight="1">
      <c r="A559" s="8"/>
      <c r="C559" s="8"/>
      <c r="I559" s="8"/>
    </row>
    <row r="560" ht="14.25" customHeight="1">
      <c r="A560" s="8"/>
      <c r="C560" s="8"/>
      <c r="I560" s="8"/>
    </row>
    <row r="561" ht="14.25" customHeight="1">
      <c r="A561" s="8"/>
      <c r="C561" s="8"/>
      <c r="I561" s="8"/>
    </row>
    <row r="562" ht="14.25" customHeight="1">
      <c r="A562" s="8"/>
      <c r="C562" s="8"/>
      <c r="I562" s="8"/>
    </row>
    <row r="563" ht="14.25" customHeight="1">
      <c r="A563" s="8"/>
      <c r="C563" s="8"/>
      <c r="I563" s="8"/>
    </row>
    <row r="564" ht="14.25" customHeight="1">
      <c r="A564" s="8"/>
      <c r="C564" s="8"/>
      <c r="I564" s="8"/>
    </row>
    <row r="565" ht="14.25" customHeight="1">
      <c r="A565" s="8"/>
      <c r="C565" s="8"/>
      <c r="I565" s="8"/>
    </row>
    <row r="566" ht="14.25" customHeight="1">
      <c r="A566" s="8"/>
      <c r="C566" s="8"/>
      <c r="I566" s="8"/>
    </row>
    <row r="567" ht="14.25" customHeight="1">
      <c r="A567" s="8"/>
      <c r="C567" s="8"/>
      <c r="I567" s="8"/>
    </row>
    <row r="568" ht="14.25" customHeight="1">
      <c r="A568" s="8"/>
      <c r="C568" s="8"/>
      <c r="I568" s="8"/>
    </row>
    <row r="569" ht="14.25" customHeight="1">
      <c r="A569" s="8"/>
      <c r="C569" s="8"/>
      <c r="I569" s="8"/>
    </row>
    <row r="570" ht="14.25" customHeight="1">
      <c r="A570" s="8"/>
      <c r="C570" s="8"/>
      <c r="I570" s="8"/>
    </row>
    <row r="571" ht="14.25" customHeight="1">
      <c r="A571" s="8"/>
      <c r="C571" s="8"/>
      <c r="I571" s="8"/>
    </row>
    <row r="572" ht="14.25" customHeight="1">
      <c r="A572" s="8"/>
      <c r="C572" s="8"/>
      <c r="I572" s="8"/>
    </row>
    <row r="573" ht="14.25" customHeight="1">
      <c r="A573" s="8"/>
      <c r="C573" s="8"/>
      <c r="I573" s="8"/>
    </row>
    <row r="574" ht="14.25" customHeight="1">
      <c r="A574" s="8"/>
      <c r="C574" s="8"/>
      <c r="I574" s="8"/>
    </row>
    <row r="575" ht="14.25" customHeight="1">
      <c r="A575" s="8"/>
      <c r="C575" s="8"/>
      <c r="I575" s="8"/>
    </row>
    <row r="576" ht="14.25" customHeight="1">
      <c r="A576" s="8"/>
      <c r="C576" s="8"/>
      <c r="I576" s="8"/>
    </row>
    <row r="577" ht="14.25" customHeight="1">
      <c r="A577" s="8"/>
      <c r="C577" s="8"/>
      <c r="I577" s="8"/>
    </row>
    <row r="578" ht="14.25" customHeight="1">
      <c r="A578" s="8"/>
      <c r="C578" s="8"/>
      <c r="I578" s="8"/>
    </row>
    <row r="579" ht="14.25" customHeight="1">
      <c r="A579" s="8"/>
      <c r="C579" s="8"/>
      <c r="I579" s="8"/>
    </row>
    <row r="580" ht="14.25" customHeight="1">
      <c r="A580" s="8"/>
      <c r="C580" s="8"/>
      <c r="I580" s="8"/>
    </row>
    <row r="581" ht="14.25" customHeight="1">
      <c r="A581" s="8"/>
      <c r="C581" s="8"/>
      <c r="I581" s="8"/>
    </row>
    <row r="582" ht="14.25" customHeight="1">
      <c r="A582" s="8"/>
      <c r="C582" s="8"/>
      <c r="I582" s="8"/>
    </row>
    <row r="583" ht="14.25" customHeight="1">
      <c r="A583" s="8"/>
      <c r="C583" s="8"/>
      <c r="I583" s="8"/>
    </row>
    <row r="584" ht="14.25" customHeight="1">
      <c r="A584" s="8"/>
      <c r="C584" s="8"/>
      <c r="I584" s="8"/>
    </row>
    <row r="585" ht="14.25" customHeight="1">
      <c r="A585" s="8"/>
      <c r="C585" s="8"/>
      <c r="I585" s="8"/>
    </row>
    <row r="586" ht="14.25" customHeight="1">
      <c r="A586" s="8"/>
      <c r="C586" s="8"/>
      <c r="I586" s="8"/>
    </row>
    <row r="587" ht="14.25" customHeight="1">
      <c r="A587" s="8"/>
      <c r="C587" s="8"/>
      <c r="I587" s="8"/>
    </row>
    <row r="588" ht="14.25" customHeight="1">
      <c r="A588" s="8"/>
      <c r="C588" s="8"/>
      <c r="I588" s="8"/>
    </row>
    <row r="589" ht="14.25" customHeight="1">
      <c r="A589" s="8"/>
      <c r="C589" s="8"/>
      <c r="I589" s="8"/>
    </row>
    <row r="590" ht="14.25" customHeight="1">
      <c r="A590" s="8"/>
      <c r="C590" s="8"/>
      <c r="I590" s="8"/>
    </row>
    <row r="591" ht="14.25" customHeight="1">
      <c r="A591" s="8"/>
      <c r="C591" s="8"/>
      <c r="I591" s="8"/>
    </row>
    <row r="592" ht="14.25" customHeight="1">
      <c r="A592" s="8"/>
      <c r="C592" s="8"/>
      <c r="I592" s="8"/>
    </row>
    <row r="593" ht="14.25" customHeight="1">
      <c r="A593" s="8"/>
      <c r="C593" s="8"/>
      <c r="I593" s="8"/>
    </row>
    <row r="594" ht="14.25" customHeight="1">
      <c r="A594" s="8"/>
      <c r="C594" s="8"/>
      <c r="I594" s="8"/>
    </row>
    <row r="595" ht="14.25" customHeight="1">
      <c r="A595" s="8"/>
      <c r="C595" s="8"/>
      <c r="I595" s="8"/>
    </row>
    <row r="596" ht="14.25" customHeight="1">
      <c r="A596" s="8"/>
      <c r="C596" s="8"/>
      <c r="I596" s="8"/>
    </row>
    <row r="597" ht="14.25" customHeight="1">
      <c r="A597" s="8"/>
      <c r="C597" s="8"/>
      <c r="I597" s="8"/>
    </row>
    <row r="598" ht="14.25" customHeight="1">
      <c r="A598" s="8"/>
      <c r="C598" s="8"/>
      <c r="I598" s="8"/>
    </row>
    <row r="599" ht="14.25" customHeight="1">
      <c r="A599" s="8"/>
      <c r="C599" s="8"/>
      <c r="I599" s="8"/>
    </row>
    <row r="600" ht="14.25" customHeight="1">
      <c r="A600" s="8"/>
      <c r="C600" s="8"/>
      <c r="I600" s="8"/>
    </row>
    <row r="601" ht="14.25" customHeight="1">
      <c r="A601" s="8"/>
      <c r="C601" s="8"/>
      <c r="I601" s="8"/>
    </row>
    <row r="602" ht="14.25" customHeight="1">
      <c r="A602" s="8"/>
      <c r="C602" s="8"/>
      <c r="I602" s="8"/>
    </row>
    <row r="603" ht="14.25" customHeight="1">
      <c r="A603" s="8"/>
      <c r="C603" s="8"/>
      <c r="I603" s="8"/>
    </row>
    <row r="604" ht="14.25" customHeight="1">
      <c r="A604" s="8"/>
      <c r="C604" s="8"/>
      <c r="I604" s="8"/>
    </row>
    <row r="605" ht="14.25" customHeight="1">
      <c r="A605" s="8"/>
      <c r="C605" s="8"/>
      <c r="I605" s="8"/>
    </row>
    <row r="606" ht="14.25" customHeight="1">
      <c r="A606" s="8"/>
      <c r="C606" s="8"/>
      <c r="I606" s="8"/>
    </row>
    <row r="607" ht="14.25" customHeight="1">
      <c r="A607" s="8"/>
      <c r="C607" s="8"/>
      <c r="I607" s="8"/>
    </row>
    <row r="608" ht="14.25" customHeight="1">
      <c r="A608" s="8"/>
      <c r="C608" s="8"/>
      <c r="I608" s="8"/>
    </row>
    <row r="609" ht="14.25" customHeight="1">
      <c r="A609" s="8"/>
      <c r="C609" s="8"/>
      <c r="I609" s="8"/>
    </row>
    <row r="610" ht="14.25" customHeight="1">
      <c r="A610" s="8"/>
      <c r="C610" s="8"/>
      <c r="I610" s="8"/>
    </row>
    <row r="611" ht="14.25" customHeight="1">
      <c r="A611" s="8"/>
      <c r="C611" s="8"/>
      <c r="I611" s="8"/>
    </row>
    <row r="612" ht="14.25" customHeight="1">
      <c r="A612" s="8"/>
      <c r="C612" s="8"/>
      <c r="I612" s="8"/>
    </row>
    <row r="613" ht="14.25" customHeight="1">
      <c r="A613" s="8"/>
      <c r="C613" s="8"/>
      <c r="I613" s="8"/>
    </row>
    <row r="614" ht="14.25" customHeight="1">
      <c r="A614" s="8"/>
      <c r="C614" s="8"/>
      <c r="I614" s="8"/>
    </row>
    <row r="615" ht="14.25" customHeight="1">
      <c r="A615" s="8"/>
      <c r="C615" s="8"/>
      <c r="I615" s="8"/>
    </row>
    <row r="616" ht="14.25" customHeight="1">
      <c r="A616" s="8"/>
      <c r="C616" s="8"/>
      <c r="I616" s="8"/>
    </row>
    <row r="617" ht="14.25" customHeight="1">
      <c r="A617" s="8"/>
      <c r="C617" s="8"/>
      <c r="I617" s="8"/>
    </row>
    <row r="618" ht="14.25" customHeight="1">
      <c r="A618" s="8"/>
      <c r="C618" s="8"/>
      <c r="I618" s="8"/>
    </row>
    <row r="619" ht="14.25" customHeight="1">
      <c r="A619" s="8"/>
      <c r="C619" s="8"/>
      <c r="I619" s="8"/>
    </row>
    <row r="620" ht="14.25" customHeight="1">
      <c r="A620" s="8"/>
      <c r="C620" s="8"/>
      <c r="I620" s="8"/>
    </row>
    <row r="621" ht="14.25" customHeight="1">
      <c r="A621" s="8"/>
      <c r="C621" s="8"/>
      <c r="I621" s="8"/>
    </row>
    <row r="622" ht="14.25" customHeight="1">
      <c r="A622" s="8"/>
      <c r="C622" s="8"/>
      <c r="I622" s="8"/>
    </row>
    <row r="623" ht="14.25" customHeight="1">
      <c r="A623" s="8"/>
      <c r="C623" s="8"/>
      <c r="I623" s="8"/>
    </row>
    <row r="624" ht="14.25" customHeight="1">
      <c r="A624" s="8"/>
      <c r="C624" s="8"/>
      <c r="I624" s="8"/>
    </row>
    <row r="625" ht="14.25" customHeight="1">
      <c r="A625" s="8"/>
      <c r="C625" s="8"/>
      <c r="I625" s="8"/>
    </row>
    <row r="626" ht="14.25" customHeight="1">
      <c r="A626" s="8"/>
      <c r="C626" s="8"/>
      <c r="I626" s="8"/>
    </row>
    <row r="627" ht="14.25" customHeight="1">
      <c r="A627" s="8"/>
      <c r="C627" s="8"/>
      <c r="I627" s="8"/>
    </row>
    <row r="628" ht="14.25" customHeight="1">
      <c r="A628" s="8"/>
      <c r="C628" s="8"/>
      <c r="I628" s="8"/>
    </row>
    <row r="629" ht="14.25" customHeight="1">
      <c r="A629" s="8"/>
      <c r="C629" s="8"/>
      <c r="I629" s="8"/>
    </row>
    <row r="630" ht="14.25" customHeight="1">
      <c r="A630" s="8"/>
      <c r="C630" s="8"/>
      <c r="I630" s="8"/>
    </row>
    <row r="631" ht="14.25" customHeight="1">
      <c r="A631" s="8"/>
      <c r="C631" s="8"/>
      <c r="I631" s="8"/>
    </row>
    <row r="632" ht="14.25" customHeight="1">
      <c r="A632" s="8"/>
      <c r="C632" s="8"/>
      <c r="I632" s="8"/>
    </row>
    <row r="633" ht="14.25" customHeight="1">
      <c r="A633" s="8"/>
      <c r="C633" s="8"/>
      <c r="I633" s="8"/>
    </row>
    <row r="634" ht="14.25" customHeight="1">
      <c r="A634" s="8"/>
      <c r="C634" s="8"/>
      <c r="I634" s="8"/>
    </row>
    <row r="635" ht="14.25" customHeight="1">
      <c r="A635" s="8"/>
      <c r="C635" s="8"/>
      <c r="I635" s="8"/>
    </row>
    <row r="636" ht="14.25" customHeight="1">
      <c r="A636" s="8"/>
      <c r="C636" s="8"/>
      <c r="I636" s="8"/>
    </row>
    <row r="637" ht="14.25" customHeight="1">
      <c r="A637" s="8"/>
      <c r="C637" s="8"/>
      <c r="I637" s="8"/>
    </row>
    <row r="638" ht="14.25" customHeight="1">
      <c r="A638" s="8"/>
      <c r="C638" s="8"/>
      <c r="I638" s="8"/>
    </row>
    <row r="639" ht="14.25" customHeight="1">
      <c r="A639" s="8"/>
      <c r="C639" s="8"/>
      <c r="I639" s="8"/>
    </row>
    <row r="640" ht="14.25" customHeight="1">
      <c r="A640" s="8"/>
      <c r="C640" s="8"/>
      <c r="I640" s="8"/>
    </row>
    <row r="641" ht="14.25" customHeight="1">
      <c r="A641" s="8"/>
      <c r="C641" s="8"/>
      <c r="I641" s="8"/>
    </row>
    <row r="642" ht="14.25" customHeight="1">
      <c r="A642" s="8"/>
      <c r="C642" s="8"/>
      <c r="I642" s="8"/>
    </row>
    <row r="643" ht="14.25" customHeight="1">
      <c r="A643" s="8"/>
      <c r="C643" s="8"/>
      <c r="I643" s="8"/>
    </row>
    <row r="644" ht="14.25" customHeight="1">
      <c r="A644" s="8"/>
      <c r="C644" s="8"/>
      <c r="I644" s="8"/>
    </row>
    <row r="645" ht="14.25" customHeight="1">
      <c r="A645" s="8"/>
      <c r="C645" s="8"/>
      <c r="I645" s="8"/>
    </row>
    <row r="646" ht="14.25" customHeight="1">
      <c r="A646" s="8"/>
      <c r="C646" s="8"/>
      <c r="I646" s="8"/>
    </row>
    <row r="647" ht="14.25" customHeight="1">
      <c r="A647" s="8"/>
      <c r="C647" s="8"/>
      <c r="I647" s="8"/>
    </row>
    <row r="648" ht="14.25" customHeight="1">
      <c r="A648" s="8"/>
      <c r="C648" s="8"/>
      <c r="I648" s="8"/>
    </row>
    <row r="649" ht="14.25" customHeight="1">
      <c r="A649" s="8"/>
      <c r="C649" s="8"/>
      <c r="I649" s="8"/>
    </row>
    <row r="650" ht="14.25" customHeight="1">
      <c r="A650" s="8"/>
      <c r="C650" s="8"/>
      <c r="I650" s="8"/>
    </row>
    <row r="651" ht="14.25" customHeight="1">
      <c r="A651" s="8"/>
      <c r="C651" s="8"/>
      <c r="I651" s="8"/>
    </row>
    <row r="652" ht="14.25" customHeight="1">
      <c r="A652" s="8"/>
      <c r="C652" s="8"/>
      <c r="I652" s="8"/>
    </row>
    <row r="653" ht="14.25" customHeight="1">
      <c r="A653" s="8"/>
      <c r="C653" s="8"/>
      <c r="I653" s="8"/>
    </row>
    <row r="654" ht="14.25" customHeight="1">
      <c r="A654" s="8"/>
      <c r="C654" s="8"/>
      <c r="I654" s="8"/>
    </row>
    <row r="655" ht="14.25" customHeight="1">
      <c r="A655" s="8"/>
      <c r="C655" s="8"/>
      <c r="I655" s="8"/>
    </row>
    <row r="656" ht="14.25" customHeight="1">
      <c r="A656" s="8"/>
      <c r="C656" s="8"/>
      <c r="I656" s="8"/>
    </row>
    <row r="657" ht="14.25" customHeight="1">
      <c r="A657" s="8"/>
      <c r="C657" s="8"/>
      <c r="I657" s="8"/>
    </row>
    <row r="658" ht="14.25" customHeight="1">
      <c r="A658" s="8"/>
      <c r="C658" s="8"/>
      <c r="I658" s="8"/>
    </row>
    <row r="659" ht="14.25" customHeight="1">
      <c r="A659" s="8"/>
      <c r="C659" s="8"/>
      <c r="I659" s="8"/>
    </row>
    <row r="660" ht="14.25" customHeight="1">
      <c r="A660" s="8"/>
      <c r="C660" s="8"/>
      <c r="I660" s="8"/>
    </row>
    <row r="661" ht="14.25" customHeight="1">
      <c r="A661" s="8"/>
      <c r="C661" s="8"/>
      <c r="I661" s="8"/>
    </row>
    <row r="662" ht="14.25" customHeight="1">
      <c r="A662" s="8"/>
      <c r="C662" s="8"/>
      <c r="I662" s="8"/>
    </row>
    <row r="663" ht="14.25" customHeight="1">
      <c r="A663" s="8"/>
      <c r="C663" s="8"/>
      <c r="I663" s="8"/>
    </row>
    <row r="664" ht="14.25" customHeight="1">
      <c r="A664" s="8"/>
      <c r="C664" s="8"/>
      <c r="I664" s="8"/>
    </row>
    <row r="665" ht="14.25" customHeight="1">
      <c r="A665" s="8"/>
      <c r="C665" s="8"/>
      <c r="I665" s="8"/>
    </row>
    <row r="666" ht="14.25" customHeight="1">
      <c r="A666" s="8"/>
      <c r="C666" s="8"/>
      <c r="I666" s="8"/>
    </row>
    <row r="667" ht="14.25" customHeight="1">
      <c r="A667" s="8"/>
      <c r="C667" s="8"/>
      <c r="I667" s="8"/>
    </row>
    <row r="668" ht="14.25" customHeight="1">
      <c r="A668" s="8"/>
      <c r="C668" s="8"/>
      <c r="I668" s="8"/>
    </row>
    <row r="669" ht="14.25" customHeight="1">
      <c r="A669" s="8"/>
      <c r="C669" s="8"/>
      <c r="I669" s="8"/>
    </row>
    <row r="670" ht="14.25" customHeight="1">
      <c r="A670" s="8"/>
      <c r="C670" s="8"/>
      <c r="I670" s="8"/>
    </row>
    <row r="671" ht="14.25" customHeight="1">
      <c r="A671" s="8"/>
      <c r="C671" s="8"/>
      <c r="I671" s="8"/>
    </row>
    <row r="672" ht="14.25" customHeight="1">
      <c r="A672" s="8"/>
      <c r="C672" s="8"/>
      <c r="I672" s="8"/>
    </row>
    <row r="673" ht="14.25" customHeight="1">
      <c r="A673" s="8"/>
      <c r="C673" s="8"/>
      <c r="I673" s="8"/>
    </row>
    <row r="674" ht="14.25" customHeight="1">
      <c r="A674" s="8"/>
      <c r="C674" s="8"/>
      <c r="I674" s="8"/>
    </row>
    <row r="675" ht="14.25" customHeight="1">
      <c r="A675" s="8"/>
      <c r="C675" s="8"/>
      <c r="I675" s="8"/>
    </row>
    <row r="676" ht="14.25" customHeight="1">
      <c r="A676" s="8"/>
      <c r="C676" s="8"/>
      <c r="I676" s="8"/>
    </row>
    <row r="677" ht="14.25" customHeight="1">
      <c r="A677" s="8"/>
      <c r="C677" s="8"/>
      <c r="I677" s="8"/>
    </row>
    <row r="678" ht="14.25" customHeight="1">
      <c r="A678" s="8"/>
      <c r="C678" s="8"/>
      <c r="I678" s="8"/>
    </row>
    <row r="679" ht="14.25" customHeight="1">
      <c r="A679" s="8"/>
      <c r="C679" s="8"/>
      <c r="I679" s="8"/>
    </row>
    <row r="680" ht="14.25" customHeight="1">
      <c r="A680" s="8"/>
      <c r="C680" s="8"/>
      <c r="I680" s="8"/>
    </row>
    <row r="681" ht="14.25" customHeight="1">
      <c r="A681" s="8"/>
      <c r="C681" s="8"/>
      <c r="I681" s="8"/>
    </row>
    <row r="682" ht="14.25" customHeight="1">
      <c r="A682" s="8"/>
      <c r="C682" s="8"/>
      <c r="I682" s="8"/>
    </row>
    <row r="683" ht="14.25" customHeight="1">
      <c r="A683" s="8"/>
      <c r="C683" s="8"/>
      <c r="I683" s="8"/>
    </row>
    <row r="684" ht="14.25" customHeight="1">
      <c r="A684" s="8"/>
      <c r="C684" s="8"/>
      <c r="I684" s="8"/>
    </row>
    <row r="685" ht="14.25" customHeight="1">
      <c r="A685" s="8"/>
      <c r="C685" s="8"/>
      <c r="I685" s="8"/>
    </row>
    <row r="686" ht="14.25" customHeight="1">
      <c r="A686" s="8"/>
      <c r="C686" s="8"/>
      <c r="I686" s="8"/>
    </row>
    <row r="687" ht="14.25" customHeight="1">
      <c r="A687" s="8"/>
      <c r="C687" s="8"/>
      <c r="I687" s="8"/>
    </row>
    <row r="688" ht="14.25" customHeight="1">
      <c r="A688" s="8"/>
      <c r="C688" s="8"/>
      <c r="I688" s="8"/>
    </row>
    <row r="689" ht="14.25" customHeight="1">
      <c r="A689" s="8"/>
      <c r="C689" s="8"/>
      <c r="I689" s="8"/>
    </row>
    <row r="690" ht="14.25" customHeight="1">
      <c r="A690" s="8"/>
      <c r="C690" s="8"/>
      <c r="I690" s="8"/>
    </row>
    <row r="691" ht="14.25" customHeight="1">
      <c r="A691" s="8"/>
      <c r="C691" s="8"/>
      <c r="I691" s="8"/>
    </row>
    <row r="692" ht="14.25" customHeight="1">
      <c r="A692" s="8"/>
      <c r="C692" s="8"/>
      <c r="I692" s="8"/>
    </row>
    <row r="693" ht="14.25" customHeight="1">
      <c r="A693" s="8"/>
      <c r="C693" s="8"/>
      <c r="I693" s="8"/>
    </row>
    <row r="694" ht="14.25" customHeight="1">
      <c r="A694" s="8"/>
      <c r="C694" s="8"/>
      <c r="I694" s="8"/>
    </row>
    <row r="695" ht="14.25" customHeight="1">
      <c r="A695" s="8"/>
      <c r="C695" s="8"/>
      <c r="I695" s="8"/>
    </row>
    <row r="696" ht="14.25" customHeight="1">
      <c r="A696" s="8"/>
      <c r="C696" s="8"/>
      <c r="I696" s="8"/>
    </row>
    <row r="697" ht="14.25" customHeight="1">
      <c r="A697" s="8"/>
      <c r="C697" s="8"/>
      <c r="I697" s="8"/>
    </row>
    <row r="698" ht="14.25" customHeight="1">
      <c r="A698" s="8"/>
      <c r="C698" s="8"/>
      <c r="I698" s="8"/>
    </row>
    <row r="699" ht="14.25" customHeight="1">
      <c r="A699" s="8"/>
      <c r="C699" s="8"/>
      <c r="I699" s="8"/>
    </row>
    <row r="700" ht="14.25" customHeight="1">
      <c r="A700" s="8"/>
      <c r="C700" s="8"/>
      <c r="I700" s="8"/>
    </row>
    <row r="701" ht="14.25" customHeight="1">
      <c r="A701" s="8"/>
      <c r="C701" s="8"/>
      <c r="I701" s="8"/>
    </row>
    <row r="702" ht="14.25" customHeight="1">
      <c r="A702" s="8"/>
      <c r="C702" s="8"/>
      <c r="I702" s="8"/>
    </row>
    <row r="703" ht="14.25" customHeight="1">
      <c r="A703" s="8"/>
      <c r="C703" s="8"/>
      <c r="I703" s="8"/>
    </row>
    <row r="704" ht="14.25" customHeight="1">
      <c r="A704" s="8"/>
      <c r="C704" s="8"/>
      <c r="I704" s="8"/>
    </row>
    <row r="705" ht="14.25" customHeight="1">
      <c r="A705" s="8"/>
      <c r="C705" s="8"/>
      <c r="I705" s="8"/>
    </row>
    <row r="706" ht="14.25" customHeight="1">
      <c r="A706" s="8"/>
      <c r="C706" s="8"/>
      <c r="I706" s="8"/>
    </row>
    <row r="707" ht="14.25" customHeight="1">
      <c r="A707" s="8"/>
      <c r="C707" s="8"/>
      <c r="I707" s="8"/>
    </row>
    <row r="708" ht="14.25" customHeight="1">
      <c r="A708" s="8"/>
      <c r="C708" s="8"/>
      <c r="I708" s="8"/>
    </row>
    <row r="709" ht="14.25" customHeight="1">
      <c r="A709" s="8"/>
      <c r="C709" s="8"/>
      <c r="I709" s="8"/>
    </row>
    <row r="710" ht="14.25" customHeight="1">
      <c r="A710" s="8"/>
      <c r="C710" s="8"/>
      <c r="I710" s="8"/>
    </row>
    <row r="711" ht="14.25" customHeight="1">
      <c r="A711" s="8"/>
      <c r="C711" s="8"/>
      <c r="I711" s="8"/>
    </row>
    <row r="712" ht="14.25" customHeight="1">
      <c r="A712" s="8"/>
      <c r="C712" s="8"/>
      <c r="I712" s="8"/>
    </row>
    <row r="713" ht="14.25" customHeight="1">
      <c r="A713" s="8"/>
      <c r="C713" s="8"/>
      <c r="I713" s="8"/>
    </row>
    <row r="714" ht="14.25" customHeight="1">
      <c r="A714" s="8"/>
      <c r="C714" s="8"/>
      <c r="I714" s="8"/>
    </row>
    <row r="715" ht="14.25" customHeight="1">
      <c r="A715" s="8"/>
      <c r="C715" s="8"/>
      <c r="I715" s="8"/>
    </row>
    <row r="716" ht="14.25" customHeight="1">
      <c r="A716" s="8"/>
      <c r="C716" s="8"/>
      <c r="I716" s="8"/>
    </row>
    <row r="717" ht="14.25" customHeight="1">
      <c r="A717" s="8"/>
      <c r="C717" s="8"/>
      <c r="I717" s="8"/>
    </row>
    <row r="718" ht="14.25" customHeight="1">
      <c r="A718" s="8"/>
      <c r="C718" s="8"/>
      <c r="I718" s="8"/>
    </row>
    <row r="719" ht="14.25" customHeight="1">
      <c r="A719" s="8"/>
      <c r="C719" s="8"/>
      <c r="I719" s="8"/>
    </row>
    <row r="720" ht="14.25" customHeight="1">
      <c r="A720" s="8"/>
      <c r="C720" s="8"/>
      <c r="I720" s="8"/>
    </row>
    <row r="721" ht="14.25" customHeight="1">
      <c r="A721" s="8"/>
      <c r="C721" s="8"/>
      <c r="I721" s="8"/>
    </row>
    <row r="722" ht="14.25" customHeight="1">
      <c r="A722" s="8"/>
      <c r="C722" s="8"/>
      <c r="I722" s="8"/>
    </row>
    <row r="723" ht="14.25" customHeight="1">
      <c r="A723" s="8"/>
      <c r="C723" s="8"/>
      <c r="I723" s="8"/>
    </row>
    <row r="724" ht="14.25" customHeight="1">
      <c r="A724" s="8"/>
      <c r="C724" s="8"/>
      <c r="I724" s="8"/>
    </row>
    <row r="725" ht="14.25" customHeight="1">
      <c r="A725" s="8"/>
      <c r="C725" s="8"/>
      <c r="I725" s="8"/>
    </row>
    <row r="726" ht="14.25" customHeight="1">
      <c r="A726" s="8"/>
      <c r="C726" s="8"/>
      <c r="I726" s="8"/>
    </row>
    <row r="727" ht="14.25" customHeight="1">
      <c r="A727" s="8"/>
      <c r="C727" s="8"/>
      <c r="I727" s="8"/>
    </row>
    <row r="728" ht="14.25" customHeight="1">
      <c r="A728" s="8"/>
      <c r="C728" s="8"/>
      <c r="I728" s="8"/>
    </row>
    <row r="729" ht="14.25" customHeight="1">
      <c r="A729" s="8"/>
      <c r="C729" s="8"/>
      <c r="I729" s="8"/>
    </row>
    <row r="730" ht="14.25" customHeight="1">
      <c r="A730" s="8"/>
      <c r="C730" s="8"/>
      <c r="I730" s="8"/>
    </row>
    <row r="731" ht="14.25" customHeight="1">
      <c r="A731" s="8"/>
      <c r="C731" s="8"/>
      <c r="I731" s="8"/>
    </row>
    <row r="732" ht="14.25" customHeight="1">
      <c r="A732" s="8"/>
      <c r="C732" s="8"/>
      <c r="I732" s="8"/>
    </row>
    <row r="733" ht="14.25" customHeight="1">
      <c r="A733" s="8"/>
      <c r="C733" s="8"/>
      <c r="I733" s="8"/>
    </row>
    <row r="734" ht="14.25" customHeight="1">
      <c r="A734" s="8"/>
      <c r="C734" s="8"/>
      <c r="I734" s="8"/>
    </row>
    <row r="735" ht="14.25" customHeight="1">
      <c r="A735" s="8"/>
      <c r="C735" s="8"/>
      <c r="I735" s="8"/>
    </row>
    <row r="736" ht="14.25" customHeight="1">
      <c r="A736" s="8"/>
      <c r="C736" s="8"/>
      <c r="I736" s="8"/>
    </row>
    <row r="737" ht="14.25" customHeight="1">
      <c r="A737" s="8"/>
      <c r="C737" s="8"/>
      <c r="I737" s="8"/>
    </row>
    <row r="738" ht="14.25" customHeight="1">
      <c r="A738" s="8"/>
      <c r="C738" s="8"/>
      <c r="I738" s="8"/>
    </row>
    <row r="739" ht="14.25" customHeight="1">
      <c r="A739" s="8"/>
      <c r="C739" s="8"/>
      <c r="I739" s="8"/>
    </row>
    <row r="740" ht="14.25" customHeight="1">
      <c r="A740" s="8"/>
      <c r="C740" s="8"/>
      <c r="I740" s="8"/>
    </row>
    <row r="741" ht="14.25" customHeight="1">
      <c r="A741" s="8"/>
      <c r="C741" s="8"/>
      <c r="I741" s="8"/>
    </row>
    <row r="742" ht="14.25" customHeight="1">
      <c r="A742" s="8"/>
      <c r="C742" s="8"/>
      <c r="I742" s="8"/>
    </row>
    <row r="743" ht="14.25" customHeight="1">
      <c r="A743" s="8"/>
      <c r="C743" s="8"/>
      <c r="I743" s="8"/>
    </row>
    <row r="744" ht="14.25" customHeight="1">
      <c r="A744" s="8"/>
      <c r="C744" s="8"/>
      <c r="I744" s="8"/>
    </row>
    <row r="745" ht="14.25" customHeight="1">
      <c r="A745" s="8"/>
      <c r="C745" s="8"/>
      <c r="I745" s="8"/>
    </row>
    <row r="746" ht="14.25" customHeight="1">
      <c r="A746" s="8"/>
      <c r="C746" s="8"/>
      <c r="I746" s="8"/>
    </row>
    <row r="747" ht="14.25" customHeight="1">
      <c r="A747" s="8"/>
      <c r="C747" s="8"/>
      <c r="I747" s="8"/>
    </row>
    <row r="748" ht="14.25" customHeight="1">
      <c r="A748" s="8"/>
      <c r="C748" s="8"/>
      <c r="I748" s="8"/>
    </row>
    <row r="749" ht="14.25" customHeight="1">
      <c r="A749" s="8"/>
      <c r="C749" s="8"/>
      <c r="I749" s="8"/>
    </row>
    <row r="750" ht="14.25" customHeight="1">
      <c r="A750" s="8"/>
      <c r="C750" s="8"/>
      <c r="I750" s="8"/>
    </row>
    <row r="751" ht="14.25" customHeight="1">
      <c r="A751" s="8"/>
      <c r="C751" s="8"/>
      <c r="I751" s="8"/>
    </row>
    <row r="752" ht="14.25" customHeight="1">
      <c r="A752" s="8"/>
      <c r="C752" s="8"/>
      <c r="I752" s="8"/>
    </row>
    <row r="753" ht="14.25" customHeight="1">
      <c r="A753" s="8"/>
      <c r="C753" s="8"/>
      <c r="I753" s="8"/>
    </row>
    <row r="754" ht="14.25" customHeight="1">
      <c r="A754" s="8"/>
      <c r="C754" s="8"/>
      <c r="I754" s="8"/>
    </row>
    <row r="755" ht="14.25" customHeight="1">
      <c r="A755" s="8"/>
      <c r="C755" s="8"/>
      <c r="I755" s="8"/>
    </row>
    <row r="756" ht="14.25" customHeight="1">
      <c r="A756" s="8"/>
      <c r="C756" s="8"/>
      <c r="I756" s="8"/>
    </row>
    <row r="757" ht="14.25" customHeight="1">
      <c r="A757" s="8"/>
      <c r="C757" s="8"/>
      <c r="I757" s="8"/>
    </row>
    <row r="758" ht="14.25" customHeight="1">
      <c r="A758" s="8"/>
      <c r="C758" s="8"/>
      <c r="I758" s="8"/>
    </row>
    <row r="759" ht="14.25" customHeight="1">
      <c r="A759" s="8"/>
      <c r="C759" s="8"/>
      <c r="I759" s="8"/>
    </row>
    <row r="760" ht="14.25" customHeight="1">
      <c r="A760" s="8"/>
      <c r="C760" s="8"/>
      <c r="I760" s="8"/>
    </row>
    <row r="761" ht="14.25" customHeight="1">
      <c r="A761" s="8"/>
      <c r="C761" s="8"/>
      <c r="I761" s="8"/>
    </row>
    <row r="762" ht="14.25" customHeight="1">
      <c r="A762" s="8"/>
      <c r="C762" s="8"/>
      <c r="I762" s="8"/>
    </row>
    <row r="763" ht="14.25" customHeight="1">
      <c r="A763" s="8"/>
      <c r="C763" s="8"/>
      <c r="I763" s="8"/>
    </row>
    <row r="764" ht="14.25" customHeight="1">
      <c r="A764" s="8"/>
      <c r="C764" s="8"/>
      <c r="I764" s="8"/>
    </row>
    <row r="765" ht="14.25" customHeight="1">
      <c r="A765" s="8"/>
      <c r="C765" s="8"/>
      <c r="I765" s="8"/>
    </row>
    <row r="766" ht="14.25" customHeight="1">
      <c r="A766" s="8"/>
      <c r="C766" s="8"/>
      <c r="I766" s="8"/>
    </row>
    <row r="767" ht="14.25" customHeight="1">
      <c r="A767" s="8"/>
      <c r="C767" s="8"/>
      <c r="I767" s="8"/>
    </row>
    <row r="768" ht="14.25" customHeight="1">
      <c r="A768" s="8"/>
      <c r="C768" s="8"/>
      <c r="I768" s="8"/>
    </row>
    <row r="769" ht="14.25" customHeight="1">
      <c r="A769" s="8"/>
      <c r="C769" s="8"/>
      <c r="I769" s="8"/>
    </row>
    <row r="770" ht="14.25" customHeight="1">
      <c r="A770" s="8"/>
      <c r="C770" s="8"/>
      <c r="I770" s="8"/>
    </row>
    <row r="771" ht="14.25" customHeight="1">
      <c r="A771" s="8"/>
      <c r="C771" s="8"/>
      <c r="I771" s="8"/>
    </row>
    <row r="772" ht="14.25" customHeight="1">
      <c r="A772" s="8"/>
      <c r="C772" s="8"/>
      <c r="I772" s="8"/>
    </row>
    <row r="773" ht="14.25" customHeight="1">
      <c r="A773" s="8"/>
      <c r="C773" s="8"/>
      <c r="I773" s="8"/>
    </row>
    <row r="774" ht="14.25" customHeight="1">
      <c r="A774" s="8"/>
      <c r="C774" s="8"/>
      <c r="I774" s="8"/>
    </row>
    <row r="775" ht="14.25" customHeight="1">
      <c r="A775" s="8"/>
      <c r="C775" s="8"/>
      <c r="I775" s="8"/>
    </row>
    <row r="776" ht="14.25" customHeight="1">
      <c r="A776" s="8"/>
      <c r="C776" s="8"/>
      <c r="I776" s="8"/>
    </row>
    <row r="777" ht="14.25" customHeight="1">
      <c r="A777" s="8"/>
      <c r="C777" s="8"/>
      <c r="I777" s="8"/>
    </row>
    <row r="778" ht="14.25" customHeight="1">
      <c r="A778" s="8"/>
      <c r="C778" s="8"/>
      <c r="I778" s="8"/>
    </row>
    <row r="779" ht="14.25" customHeight="1">
      <c r="A779" s="8"/>
      <c r="C779" s="8"/>
      <c r="I779" s="8"/>
    </row>
    <row r="780" ht="14.25" customHeight="1">
      <c r="A780" s="8"/>
      <c r="C780" s="8"/>
      <c r="I780" s="8"/>
    </row>
    <row r="781" ht="14.25" customHeight="1">
      <c r="A781" s="8"/>
      <c r="C781" s="8"/>
      <c r="I781" s="8"/>
    </row>
    <row r="782" ht="14.25" customHeight="1">
      <c r="A782" s="8"/>
      <c r="C782" s="8"/>
      <c r="I782" s="8"/>
    </row>
    <row r="783" ht="14.25" customHeight="1">
      <c r="A783" s="8"/>
      <c r="C783" s="8"/>
      <c r="I783" s="8"/>
    </row>
    <row r="784" ht="14.25" customHeight="1">
      <c r="A784" s="8"/>
      <c r="C784" s="8"/>
      <c r="I784" s="8"/>
    </row>
    <row r="785" ht="14.25" customHeight="1">
      <c r="A785" s="8"/>
      <c r="C785" s="8"/>
      <c r="I785" s="8"/>
    </row>
    <row r="786" ht="14.25" customHeight="1">
      <c r="A786" s="8"/>
      <c r="C786" s="8"/>
      <c r="I786" s="8"/>
    </row>
    <row r="787" ht="14.25" customHeight="1">
      <c r="A787" s="8"/>
      <c r="C787" s="8"/>
      <c r="I787" s="8"/>
    </row>
    <row r="788" ht="14.25" customHeight="1">
      <c r="A788" s="8"/>
      <c r="C788" s="8"/>
      <c r="I788" s="8"/>
    </row>
    <row r="789" ht="14.25" customHeight="1">
      <c r="A789" s="8"/>
      <c r="C789" s="8"/>
      <c r="I789" s="8"/>
    </row>
    <row r="790" ht="14.25" customHeight="1">
      <c r="A790" s="8"/>
      <c r="C790" s="8"/>
      <c r="I790" s="8"/>
    </row>
    <row r="791" ht="14.25" customHeight="1">
      <c r="A791" s="8"/>
      <c r="C791" s="8"/>
      <c r="I791" s="8"/>
    </row>
    <row r="792" ht="14.25" customHeight="1">
      <c r="A792" s="8"/>
      <c r="C792" s="8"/>
      <c r="I792" s="8"/>
    </row>
    <row r="793" ht="14.25" customHeight="1">
      <c r="A793" s="8"/>
      <c r="C793" s="8"/>
      <c r="I793" s="8"/>
    </row>
    <row r="794" ht="14.25" customHeight="1">
      <c r="A794" s="8"/>
      <c r="C794" s="8"/>
      <c r="I794" s="8"/>
    </row>
    <row r="795" ht="14.25" customHeight="1">
      <c r="A795" s="8"/>
      <c r="C795" s="8"/>
      <c r="I795" s="8"/>
    </row>
    <row r="796" ht="14.25" customHeight="1">
      <c r="A796" s="8"/>
      <c r="C796" s="8"/>
      <c r="I796" s="8"/>
    </row>
    <row r="797" ht="14.25" customHeight="1">
      <c r="A797" s="8"/>
      <c r="C797" s="8"/>
      <c r="I797" s="8"/>
    </row>
    <row r="798" ht="14.25" customHeight="1">
      <c r="A798" s="8"/>
      <c r="C798" s="8"/>
      <c r="I798" s="8"/>
    </row>
    <row r="799" ht="14.25" customHeight="1">
      <c r="A799" s="8"/>
      <c r="C799" s="8"/>
      <c r="I799" s="8"/>
    </row>
    <row r="800" ht="14.25" customHeight="1">
      <c r="A800" s="8"/>
      <c r="C800" s="8"/>
      <c r="I800" s="8"/>
    </row>
    <row r="801" ht="14.25" customHeight="1">
      <c r="A801" s="8"/>
      <c r="C801" s="8"/>
      <c r="I801" s="8"/>
    </row>
    <row r="802" ht="14.25" customHeight="1">
      <c r="A802" s="8"/>
      <c r="C802" s="8"/>
      <c r="I802" s="8"/>
    </row>
    <row r="803" ht="14.25" customHeight="1">
      <c r="A803" s="8"/>
      <c r="C803" s="8"/>
      <c r="I803" s="8"/>
    </row>
    <row r="804" ht="14.25" customHeight="1">
      <c r="A804" s="8"/>
      <c r="C804" s="8"/>
      <c r="I804" s="8"/>
    </row>
    <row r="805" ht="14.25" customHeight="1">
      <c r="A805" s="8"/>
      <c r="C805" s="8"/>
      <c r="I805" s="8"/>
    </row>
    <row r="806" ht="14.25" customHeight="1">
      <c r="A806" s="8"/>
      <c r="C806" s="8"/>
      <c r="I806" s="8"/>
    </row>
    <row r="807" ht="14.25" customHeight="1">
      <c r="A807" s="8"/>
      <c r="C807" s="8"/>
      <c r="I807" s="8"/>
    </row>
    <row r="808" ht="14.25" customHeight="1">
      <c r="A808" s="8"/>
      <c r="C808" s="8"/>
      <c r="I808" s="8"/>
    </row>
    <row r="809" ht="14.25" customHeight="1">
      <c r="A809" s="8"/>
      <c r="C809" s="8"/>
      <c r="I809" s="8"/>
    </row>
    <row r="810" ht="14.25" customHeight="1">
      <c r="A810" s="8"/>
      <c r="C810" s="8"/>
      <c r="I810" s="8"/>
    </row>
    <row r="811" ht="14.25" customHeight="1">
      <c r="A811" s="8"/>
      <c r="C811" s="8"/>
      <c r="I811" s="8"/>
    </row>
    <row r="812" ht="14.25" customHeight="1">
      <c r="A812" s="8"/>
      <c r="C812" s="8"/>
      <c r="I812" s="8"/>
    </row>
    <row r="813" ht="14.25" customHeight="1">
      <c r="A813" s="8"/>
      <c r="C813" s="8"/>
      <c r="I813" s="8"/>
    </row>
    <row r="814" ht="14.25" customHeight="1">
      <c r="A814" s="8"/>
      <c r="C814" s="8"/>
      <c r="I814" s="8"/>
    </row>
    <row r="815" ht="14.25" customHeight="1">
      <c r="A815" s="8"/>
      <c r="C815" s="8"/>
      <c r="I815" s="8"/>
    </row>
    <row r="816" ht="14.25" customHeight="1">
      <c r="A816" s="8"/>
      <c r="C816" s="8"/>
      <c r="I816" s="8"/>
    </row>
    <row r="817" ht="14.25" customHeight="1">
      <c r="A817" s="8"/>
      <c r="C817" s="8"/>
      <c r="I817" s="8"/>
    </row>
    <row r="818" ht="14.25" customHeight="1">
      <c r="A818" s="8"/>
      <c r="C818" s="8"/>
      <c r="I818" s="8"/>
    </row>
    <row r="819" ht="14.25" customHeight="1">
      <c r="A819" s="8"/>
      <c r="C819" s="8"/>
      <c r="I819" s="8"/>
    </row>
    <row r="820" ht="14.25" customHeight="1">
      <c r="A820" s="8"/>
      <c r="C820" s="8"/>
      <c r="I820" s="8"/>
    </row>
    <row r="821" ht="14.25" customHeight="1">
      <c r="A821" s="8"/>
      <c r="C821" s="8"/>
      <c r="I821" s="8"/>
    </row>
    <row r="822" ht="14.25" customHeight="1">
      <c r="A822" s="8"/>
      <c r="C822" s="8"/>
      <c r="I822" s="8"/>
    </row>
    <row r="823" ht="14.25" customHeight="1">
      <c r="A823" s="8"/>
      <c r="C823" s="8"/>
      <c r="I823" s="8"/>
    </row>
    <row r="824" ht="14.25" customHeight="1">
      <c r="A824" s="8"/>
      <c r="C824" s="8"/>
      <c r="I824" s="8"/>
    </row>
    <row r="825" ht="14.25" customHeight="1">
      <c r="A825" s="8"/>
      <c r="C825" s="8"/>
      <c r="I825" s="8"/>
    </row>
    <row r="826" ht="14.25" customHeight="1">
      <c r="A826" s="8"/>
      <c r="C826" s="8"/>
      <c r="I826" s="8"/>
    </row>
    <row r="827" ht="14.25" customHeight="1">
      <c r="A827" s="8"/>
      <c r="C827" s="8"/>
      <c r="I827" s="8"/>
    </row>
    <row r="828" ht="14.25" customHeight="1">
      <c r="A828" s="8"/>
      <c r="C828" s="8"/>
      <c r="I828" s="8"/>
    </row>
    <row r="829" ht="14.25" customHeight="1">
      <c r="A829" s="8"/>
      <c r="C829" s="8"/>
      <c r="I829" s="8"/>
    </row>
    <row r="830" ht="14.25" customHeight="1">
      <c r="A830" s="8"/>
      <c r="C830" s="8"/>
      <c r="I830" s="8"/>
    </row>
    <row r="831" ht="14.25" customHeight="1">
      <c r="A831" s="8"/>
      <c r="C831" s="8"/>
      <c r="I831" s="8"/>
    </row>
    <row r="832" ht="14.25" customHeight="1">
      <c r="A832" s="8"/>
      <c r="C832" s="8"/>
      <c r="I832" s="8"/>
    </row>
    <row r="833" ht="14.25" customHeight="1">
      <c r="A833" s="8"/>
      <c r="C833" s="8"/>
      <c r="I833" s="8"/>
    </row>
    <row r="834" ht="14.25" customHeight="1">
      <c r="A834" s="8"/>
      <c r="C834" s="8"/>
      <c r="I834" s="8"/>
    </row>
    <row r="835" ht="14.25" customHeight="1">
      <c r="A835" s="8"/>
      <c r="C835" s="8"/>
      <c r="I835" s="8"/>
    </row>
    <row r="836" ht="14.25" customHeight="1">
      <c r="A836" s="8"/>
      <c r="C836" s="8"/>
      <c r="I836" s="8"/>
    </row>
    <row r="837" ht="14.25" customHeight="1">
      <c r="A837" s="8"/>
      <c r="C837" s="8"/>
      <c r="I837" s="8"/>
    </row>
    <row r="838" ht="14.25" customHeight="1">
      <c r="A838" s="8"/>
      <c r="C838" s="8"/>
      <c r="I838" s="8"/>
    </row>
    <row r="839" ht="14.25" customHeight="1">
      <c r="A839" s="8"/>
      <c r="C839" s="8"/>
      <c r="I839" s="8"/>
    </row>
    <row r="840" ht="14.25" customHeight="1">
      <c r="A840" s="8"/>
      <c r="C840" s="8"/>
      <c r="I840" s="8"/>
    </row>
    <row r="841" ht="14.25" customHeight="1">
      <c r="A841" s="8"/>
      <c r="C841" s="8"/>
      <c r="I841" s="8"/>
    </row>
    <row r="842" ht="14.25" customHeight="1">
      <c r="A842" s="8"/>
      <c r="C842" s="8"/>
      <c r="I842" s="8"/>
    </row>
    <row r="843" ht="14.25" customHeight="1">
      <c r="A843" s="8"/>
      <c r="C843" s="8"/>
      <c r="I843" s="8"/>
    </row>
    <row r="844" ht="14.25" customHeight="1">
      <c r="A844" s="8"/>
      <c r="C844" s="8"/>
      <c r="I844" s="8"/>
    </row>
    <row r="845" ht="14.25" customHeight="1">
      <c r="A845" s="8"/>
      <c r="C845" s="8"/>
      <c r="I845" s="8"/>
    </row>
    <row r="846" ht="14.25" customHeight="1">
      <c r="A846" s="8"/>
      <c r="C846" s="8"/>
      <c r="I846" s="8"/>
    </row>
    <row r="847" ht="14.25" customHeight="1">
      <c r="A847" s="8"/>
      <c r="C847" s="8"/>
      <c r="I847" s="8"/>
    </row>
    <row r="848" ht="14.25" customHeight="1">
      <c r="A848" s="8"/>
      <c r="C848" s="8"/>
      <c r="I848" s="8"/>
    </row>
    <row r="849" ht="14.25" customHeight="1">
      <c r="A849" s="8"/>
      <c r="C849" s="8"/>
      <c r="I849" s="8"/>
    </row>
    <row r="850" ht="14.25" customHeight="1">
      <c r="A850" s="8"/>
      <c r="C850" s="8"/>
      <c r="I850" s="8"/>
    </row>
    <row r="851" ht="14.25" customHeight="1">
      <c r="A851" s="8"/>
      <c r="C851" s="8"/>
      <c r="I851" s="8"/>
    </row>
    <row r="852" ht="14.25" customHeight="1">
      <c r="A852" s="8"/>
      <c r="C852" s="8"/>
      <c r="I852" s="8"/>
    </row>
    <row r="853" ht="14.25" customHeight="1">
      <c r="A853" s="8"/>
      <c r="C853" s="8"/>
      <c r="I853" s="8"/>
    </row>
    <row r="854" ht="14.25" customHeight="1">
      <c r="A854" s="8"/>
      <c r="C854" s="8"/>
      <c r="I854" s="8"/>
    </row>
    <row r="855" ht="14.25" customHeight="1">
      <c r="A855" s="8"/>
      <c r="C855" s="8"/>
      <c r="I855" s="8"/>
    </row>
    <row r="856" ht="14.25" customHeight="1">
      <c r="A856" s="8"/>
      <c r="C856" s="8"/>
      <c r="I856" s="8"/>
    </row>
    <row r="857" ht="14.25" customHeight="1">
      <c r="A857" s="8"/>
      <c r="C857" s="8"/>
      <c r="I857" s="8"/>
    </row>
    <row r="858" ht="14.25" customHeight="1">
      <c r="A858" s="8"/>
      <c r="C858" s="8"/>
      <c r="I858" s="8"/>
    </row>
    <row r="859" ht="14.25" customHeight="1">
      <c r="A859" s="8"/>
      <c r="C859" s="8"/>
      <c r="I859" s="8"/>
    </row>
    <row r="860" ht="14.25" customHeight="1">
      <c r="A860" s="8"/>
      <c r="C860" s="8"/>
      <c r="I860" s="8"/>
    </row>
    <row r="861" ht="14.25" customHeight="1">
      <c r="A861" s="8"/>
      <c r="C861" s="8"/>
      <c r="I861" s="8"/>
    </row>
    <row r="862" ht="14.25" customHeight="1">
      <c r="A862" s="8"/>
      <c r="C862" s="8"/>
      <c r="I862" s="8"/>
    </row>
    <row r="863" ht="14.25" customHeight="1">
      <c r="A863" s="8"/>
      <c r="C863" s="8"/>
      <c r="I863" s="8"/>
    </row>
    <row r="864" ht="14.25" customHeight="1">
      <c r="A864" s="8"/>
      <c r="C864" s="8"/>
      <c r="I864" s="8"/>
    </row>
    <row r="865" ht="14.25" customHeight="1">
      <c r="A865" s="8"/>
      <c r="C865" s="8"/>
      <c r="I865" s="8"/>
    </row>
    <row r="866" ht="14.25" customHeight="1">
      <c r="A866" s="8"/>
      <c r="C866" s="8"/>
      <c r="I866" s="8"/>
    </row>
    <row r="867" ht="14.25" customHeight="1">
      <c r="A867" s="8"/>
      <c r="C867" s="8"/>
      <c r="I867" s="8"/>
    </row>
    <row r="868" ht="14.25" customHeight="1">
      <c r="A868" s="8"/>
      <c r="C868" s="8"/>
      <c r="I868" s="8"/>
    </row>
    <row r="869" ht="14.25" customHeight="1">
      <c r="A869" s="8"/>
      <c r="C869" s="8"/>
      <c r="I869" s="8"/>
    </row>
    <row r="870" ht="14.25" customHeight="1">
      <c r="A870" s="8"/>
      <c r="C870" s="8"/>
      <c r="I870" s="8"/>
    </row>
    <row r="871" ht="14.25" customHeight="1">
      <c r="A871" s="8"/>
      <c r="C871" s="8"/>
      <c r="I871" s="8"/>
    </row>
    <row r="872" ht="14.25" customHeight="1">
      <c r="A872" s="8"/>
      <c r="C872" s="8"/>
      <c r="I872" s="8"/>
    </row>
    <row r="873" ht="14.25" customHeight="1">
      <c r="A873" s="8"/>
      <c r="C873" s="8"/>
      <c r="I873" s="8"/>
    </row>
    <row r="874" ht="14.25" customHeight="1">
      <c r="A874" s="8"/>
      <c r="C874" s="8"/>
      <c r="I874" s="8"/>
    </row>
    <row r="875" ht="14.25" customHeight="1">
      <c r="A875" s="8"/>
      <c r="C875" s="8"/>
      <c r="I875" s="8"/>
    </row>
    <row r="876" ht="14.25" customHeight="1">
      <c r="A876" s="8"/>
      <c r="C876" s="8"/>
      <c r="I876" s="8"/>
    </row>
    <row r="877" ht="14.25" customHeight="1">
      <c r="A877" s="8"/>
      <c r="C877" s="8"/>
      <c r="I877" s="8"/>
    </row>
    <row r="878" ht="14.25" customHeight="1">
      <c r="A878" s="8"/>
      <c r="C878" s="8"/>
      <c r="I878" s="8"/>
    </row>
    <row r="879" ht="14.25" customHeight="1">
      <c r="A879" s="8"/>
      <c r="C879" s="8"/>
      <c r="I879" s="8"/>
    </row>
    <row r="880" ht="14.25" customHeight="1">
      <c r="A880" s="8"/>
      <c r="C880" s="8"/>
      <c r="I880" s="8"/>
    </row>
    <row r="881" ht="14.25" customHeight="1">
      <c r="A881" s="8"/>
      <c r="C881" s="8"/>
      <c r="I881" s="8"/>
    </row>
    <row r="882" ht="14.25" customHeight="1">
      <c r="A882" s="8"/>
      <c r="C882" s="8"/>
      <c r="I882" s="8"/>
    </row>
    <row r="883" ht="14.25" customHeight="1">
      <c r="A883" s="8"/>
      <c r="C883" s="8"/>
      <c r="I883" s="8"/>
    </row>
    <row r="884" ht="14.25" customHeight="1">
      <c r="A884" s="8"/>
      <c r="C884" s="8"/>
      <c r="I884" s="8"/>
    </row>
    <row r="885" ht="14.25" customHeight="1">
      <c r="A885" s="8"/>
      <c r="C885" s="8"/>
      <c r="I885" s="8"/>
    </row>
    <row r="886" ht="14.25" customHeight="1">
      <c r="A886" s="8"/>
      <c r="C886" s="8"/>
      <c r="I886" s="8"/>
    </row>
    <row r="887" ht="14.25" customHeight="1">
      <c r="A887" s="8"/>
      <c r="C887" s="8"/>
      <c r="I887" s="8"/>
    </row>
    <row r="888" ht="14.25" customHeight="1">
      <c r="A888" s="8"/>
      <c r="C888" s="8"/>
      <c r="I888" s="8"/>
    </row>
    <row r="889" ht="14.25" customHeight="1">
      <c r="A889" s="8"/>
      <c r="C889" s="8"/>
      <c r="I889" s="8"/>
    </row>
    <row r="890" ht="14.25" customHeight="1">
      <c r="A890" s="8"/>
      <c r="C890" s="8"/>
      <c r="I890" s="8"/>
    </row>
    <row r="891" ht="14.25" customHeight="1">
      <c r="A891" s="8"/>
      <c r="C891" s="8"/>
      <c r="I891" s="8"/>
    </row>
    <row r="892" ht="14.25" customHeight="1">
      <c r="A892" s="8"/>
      <c r="C892" s="8"/>
      <c r="I892" s="8"/>
    </row>
    <row r="893" ht="14.25" customHeight="1">
      <c r="A893" s="8"/>
      <c r="C893" s="8"/>
      <c r="I893" s="8"/>
    </row>
    <row r="894" ht="14.25" customHeight="1">
      <c r="A894" s="8"/>
      <c r="C894" s="8"/>
      <c r="I894" s="8"/>
    </row>
    <row r="895" ht="14.25" customHeight="1">
      <c r="A895" s="8"/>
      <c r="C895" s="8"/>
      <c r="I895" s="8"/>
    </row>
    <row r="896" ht="14.25" customHeight="1">
      <c r="A896" s="8"/>
      <c r="C896" s="8"/>
      <c r="I896" s="8"/>
    </row>
    <row r="897" ht="14.25" customHeight="1">
      <c r="A897" s="8"/>
      <c r="C897" s="8"/>
      <c r="I897" s="8"/>
    </row>
    <row r="898" ht="14.25" customHeight="1">
      <c r="A898" s="8"/>
      <c r="C898" s="8"/>
      <c r="I898" s="8"/>
    </row>
    <row r="899" ht="14.25" customHeight="1">
      <c r="A899" s="8"/>
      <c r="C899" s="8"/>
      <c r="I899" s="8"/>
    </row>
    <row r="900" ht="14.25" customHeight="1">
      <c r="A900" s="8"/>
      <c r="C900" s="8"/>
      <c r="I900" s="8"/>
    </row>
    <row r="901" ht="14.25" customHeight="1">
      <c r="A901" s="8"/>
      <c r="C901" s="8"/>
      <c r="I901" s="8"/>
    </row>
    <row r="902" ht="14.25" customHeight="1">
      <c r="A902" s="8"/>
      <c r="C902" s="8"/>
      <c r="I902" s="8"/>
    </row>
    <row r="903" ht="14.25" customHeight="1">
      <c r="A903" s="8"/>
      <c r="C903" s="8"/>
      <c r="I903" s="8"/>
    </row>
    <row r="904" ht="14.25" customHeight="1">
      <c r="A904" s="8"/>
      <c r="C904" s="8"/>
      <c r="I904" s="8"/>
    </row>
    <row r="905" ht="14.25" customHeight="1">
      <c r="A905" s="8"/>
      <c r="C905" s="8"/>
      <c r="I905" s="8"/>
    </row>
    <row r="906" ht="14.25" customHeight="1">
      <c r="A906" s="8"/>
      <c r="C906" s="8"/>
      <c r="I906" s="8"/>
    </row>
    <row r="907" ht="14.25" customHeight="1">
      <c r="A907" s="8"/>
      <c r="C907" s="8"/>
      <c r="I907" s="8"/>
    </row>
    <row r="908" ht="14.25" customHeight="1">
      <c r="A908" s="8"/>
      <c r="C908" s="8"/>
      <c r="I908" s="8"/>
    </row>
    <row r="909" ht="14.25" customHeight="1">
      <c r="A909" s="8"/>
      <c r="C909" s="8"/>
      <c r="I909" s="8"/>
    </row>
    <row r="910" ht="14.25" customHeight="1">
      <c r="A910" s="8"/>
      <c r="C910" s="8"/>
      <c r="I910" s="8"/>
    </row>
    <row r="911" ht="14.25" customHeight="1">
      <c r="A911" s="8"/>
      <c r="C911" s="8"/>
      <c r="I911" s="8"/>
    </row>
    <row r="912" ht="14.25" customHeight="1">
      <c r="A912" s="8"/>
      <c r="C912" s="8"/>
      <c r="I912" s="8"/>
    </row>
    <row r="913" ht="14.25" customHeight="1">
      <c r="A913" s="8"/>
      <c r="C913" s="8"/>
      <c r="I913" s="8"/>
    </row>
    <row r="914" ht="14.25" customHeight="1">
      <c r="A914" s="8"/>
      <c r="C914" s="8"/>
      <c r="I914" s="8"/>
    </row>
    <row r="915" ht="14.25" customHeight="1">
      <c r="A915" s="8"/>
      <c r="C915" s="8"/>
      <c r="I915" s="8"/>
    </row>
    <row r="916" ht="14.25" customHeight="1">
      <c r="A916" s="8"/>
      <c r="C916" s="8"/>
      <c r="I916" s="8"/>
    </row>
    <row r="917" ht="14.25" customHeight="1">
      <c r="A917" s="8"/>
      <c r="C917" s="8"/>
      <c r="I917" s="8"/>
    </row>
    <row r="918" ht="14.25" customHeight="1">
      <c r="A918" s="8"/>
      <c r="C918" s="8"/>
      <c r="I918" s="8"/>
    </row>
    <row r="919" ht="14.25" customHeight="1">
      <c r="A919" s="8"/>
      <c r="C919" s="8"/>
      <c r="I919" s="8"/>
    </row>
    <row r="920" ht="14.25" customHeight="1">
      <c r="A920" s="8"/>
      <c r="C920" s="8"/>
      <c r="I920" s="8"/>
    </row>
    <row r="921" ht="14.25" customHeight="1">
      <c r="A921" s="8"/>
      <c r="C921" s="8"/>
      <c r="I921" s="8"/>
    </row>
    <row r="922" ht="14.25" customHeight="1">
      <c r="A922" s="8"/>
      <c r="C922" s="8"/>
      <c r="I922" s="8"/>
    </row>
    <row r="923" ht="14.25" customHeight="1">
      <c r="A923" s="8"/>
      <c r="C923" s="8"/>
      <c r="I923" s="8"/>
    </row>
    <row r="924" ht="14.25" customHeight="1">
      <c r="A924" s="8"/>
      <c r="C924" s="8"/>
      <c r="I924" s="8"/>
    </row>
    <row r="925" ht="14.25" customHeight="1">
      <c r="A925" s="8"/>
      <c r="C925" s="8"/>
      <c r="I925" s="8"/>
    </row>
    <row r="926" ht="14.25" customHeight="1">
      <c r="A926" s="8"/>
      <c r="C926" s="8"/>
      <c r="I926" s="8"/>
    </row>
    <row r="927" ht="14.25" customHeight="1">
      <c r="A927" s="8"/>
      <c r="C927" s="8"/>
      <c r="I927" s="8"/>
    </row>
    <row r="928" ht="14.25" customHeight="1">
      <c r="A928" s="8"/>
      <c r="C928" s="8"/>
      <c r="I928" s="8"/>
    </row>
    <row r="929" ht="14.25" customHeight="1">
      <c r="A929" s="8"/>
      <c r="C929" s="8"/>
      <c r="I929" s="8"/>
    </row>
    <row r="930" ht="14.25" customHeight="1">
      <c r="A930" s="8"/>
      <c r="C930" s="8"/>
      <c r="I930" s="8"/>
    </row>
    <row r="931" ht="14.25" customHeight="1">
      <c r="A931" s="8"/>
      <c r="C931" s="8"/>
      <c r="I931" s="8"/>
    </row>
    <row r="932" ht="14.25" customHeight="1">
      <c r="A932" s="8"/>
      <c r="C932" s="8"/>
      <c r="I932" s="8"/>
    </row>
    <row r="933" ht="14.25" customHeight="1">
      <c r="A933" s="8"/>
      <c r="C933" s="8"/>
      <c r="I933" s="8"/>
    </row>
    <row r="934" ht="14.25" customHeight="1">
      <c r="A934" s="8"/>
      <c r="C934" s="8"/>
      <c r="I934" s="8"/>
    </row>
    <row r="935" ht="14.25" customHeight="1">
      <c r="A935" s="8"/>
      <c r="C935" s="8"/>
      <c r="I935" s="8"/>
    </row>
    <row r="936" ht="14.25" customHeight="1">
      <c r="A936" s="8"/>
      <c r="C936" s="8"/>
      <c r="I936" s="8"/>
    </row>
    <row r="937" ht="14.25" customHeight="1">
      <c r="A937" s="8"/>
      <c r="C937" s="8"/>
      <c r="I937" s="8"/>
    </row>
    <row r="938" ht="14.25" customHeight="1">
      <c r="A938" s="8"/>
      <c r="C938" s="8"/>
      <c r="I938" s="8"/>
    </row>
    <row r="939" ht="14.25" customHeight="1">
      <c r="A939" s="8"/>
      <c r="C939" s="8"/>
      <c r="I939" s="8"/>
    </row>
    <row r="940" ht="14.25" customHeight="1">
      <c r="A940" s="8"/>
      <c r="C940" s="8"/>
      <c r="I940" s="8"/>
    </row>
    <row r="941" ht="14.25" customHeight="1">
      <c r="A941" s="8"/>
      <c r="C941" s="8"/>
      <c r="I941" s="8"/>
    </row>
    <row r="942" ht="14.25" customHeight="1">
      <c r="A942" s="8"/>
      <c r="C942" s="8"/>
      <c r="I942" s="8"/>
    </row>
    <row r="943" ht="14.25" customHeight="1">
      <c r="A943" s="8"/>
      <c r="C943" s="8"/>
      <c r="I943" s="8"/>
    </row>
    <row r="944" ht="14.25" customHeight="1">
      <c r="A944" s="8"/>
      <c r="C944" s="8"/>
      <c r="I944" s="8"/>
    </row>
    <row r="945" ht="14.25" customHeight="1">
      <c r="A945" s="8"/>
      <c r="C945" s="8"/>
      <c r="I945" s="8"/>
    </row>
    <row r="946" ht="14.25" customHeight="1">
      <c r="A946" s="8"/>
      <c r="C946" s="8"/>
      <c r="I946" s="8"/>
    </row>
    <row r="947" ht="14.25" customHeight="1">
      <c r="A947" s="8"/>
      <c r="C947" s="8"/>
      <c r="I947" s="8"/>
    </row>
    <row r="948" ht="14.25" customHeight="1">
      <c r="A948" s="8"/>
      <c r="C948" s="8"/>
      <c r="I948" s="8"/>
    </row>
    <row r="949" ht="14.25" customHeight="1">
      <c r="A949" s="8"/>
      <c r="C949" s="8"/>
      <c r="I949" s="8"/>
    </row>
    <row r="950" ht="14.25" customHeight="1">
      <c r="A950" s="8"/>
      <c r="C950" s="8"/>
      <c r="I950" s="8"/>
    </row>
    <row r="951" ht="14.25" customHeight="1">
      <c r="A951" s="8"/>
      <c r="C951" s="8"/>
      <c r="I951" s="8"/>
    </row>
    <row r="952" ht="14.25" customHeight="1">
      <c r="A952" s="8"/>
      <c r="C952" s="8"/>
      <c r="I952" s="8"/>
    </row>
    <row r="953" ht="14.25" customHeight="1">
      <c r="A953" s="8"/>
      <c r="C953" s="8"/>
      <c r="I953" s="8"/>
    </row>
    <row r="954" ht="14.25" customHeight="1">
      <c r="A954" s="8"/>
      <c r="C954" s="8"/>
      <c r="I954" s="8"/>
    </row>
    <row r="955" ht="14.25" customHeight="1">
      <c r="A955" s="8"/>
      <c r="C955" s="8"/>
      <c r="I955" s="8"/>
    </row>
    <row r="956" ht="14.25" customHeight="1">
      <c r="A956" s="8"/>
      <c r="C956" s="8"/>
      <c r="I956" s="8"/>
    </row>
    <row r="957" ht="14.25" customHeight="1">
      <c r="A957" s="8"/>
      <c r="C957" s="8"/>
      <c r="I957" s="8"/>
    </row>
    <row r="958" ht="14.25" customHeight="1">
      <c r="A958" s="8"/>
      <c r="C958" s="8"/>
      <c r="I958" s="8"/>
    </row>
    <row r="959" ht="14.25" customHeight="1">
      <c r="A959" s="8"/>
      <c r="C959" s="8"/>
      <c r="I959" s="8"/>
    </row>
    <row r="960" ht="14.25" customHeight="1">
      <c r="A960" s="8"/>
      <c r="C960" s="8"/>
      <c r="I960" s="8"/>
    </row>
    <row r="961" ht="14.25" customHeight="1">
      <c r="A961" s="8"/>
      <c r="C961" s="8"/>
      <c r="I961" s="8"/>
    </row>
    <row r="962" ht="14.25" customHeight="1">
      <c r="A962" s="8"/>
      <c r="C962" s="8"/>
      <c r="I962" s="8"/>
    </row>
    <row r="963" ht="14.25" customHeight="1">
      <c r="A963" s="8"/>
      <c r="C963" s="8"/>
      <c r="I963" s="8"/>
    </row>
    <row r="964" ht="14.25" customHeight="1">
      <c r="A964" s="8"/>
      <c r="C964" s="8"/>
      <c r="I964" s="8"/>
    </row>
    <row r="965" ht="14.25" customHeight="1">
      <c r="A965" s="8"/>
      <c r="C965" s="8"/>
      <c r="I965" s="8"/>
    </row>
    <row r="966" ht="14.25" customHeight="1">
      <c r="A966" s="8"/>
      <c r="C966" s="8"/>
      <c r="I966" s="8"/>
    </row>
    <row r="967" ht="14.25" customHeight="1">
      <c r="A967" s="8"/>
      <c r="C967" s="8"/>
      <c r="I967" s="8"/>
    </row>
    <row r="968" ht="14.25" customHeight="1">
      <c r="A968" s="8"/>
      <c r="C968" s="8"/>
      <c r="I968" s="8"/>
    </row>
    <row r="969" ht="14.25" customHeight="1">
      <c r="A969" s="8"/>
      <c r="C969" s="8"/>
      <c r="I969" s="8"/>
    </row>
    <row r="970" ht="14.25" customHeight="1">
      <c r="A970" s="8"/>
      <c r="C970" s="8"/>
      <c r="I970" s="8"/>
    </row>
    <row r="971" ht="14.25" customHeight="1">
      <c r="A971" s="8"/>
      <c r="C971" s="8"/>
      <c r="I971" s="8"/>
    </row>
    <row r="972" ht="14.25" customHeight="1">
      <c r="A972" s="8"/>
      <c r="C972" s="8"/>
      <c r="I972" s="8"/>
    </row>
    <row r="973" ht="14.25" customHeight="1">
      <c r="A973" s="8"/>
      <c r="C973" s="8"/>
      <c r="I973" s="8"/>
    </row>
    <row r="974" ht="14.25" customHeight="1">
      <c r="A974" s="8"/>
      <c r="C974" s="8"/>
      <c r="I974" s="8"/>
    </row>
    <row r="975" ht="14.25" customHeight="1">
      <c r="A975" s="8"/>
      <c r="C975" s="8"/>
      <c r="I975" s="8"/>
    </row>
    <row r="976" ht="14.25" customHeight="1">
      <c r="A976" s="8"/>
      <c r="C976" s="8"/>
      <c r="I976" s="8"/>
    </row>
    <row r="977" ht="14.25" customHeight="1">
      <c r="A977" s="8"/>
      <c r="C977" s="8"/>
      <c r="I977" s="8"/>
    </row>
    <row r="978" ht="14.25" customHeight="1">
      <c r="A978" s="8"/>
      <c r="C978" s="8"/>
      <c r="I978" s="8"/>
    </row>
    <row r="979" ht="14.25" customHeight="1">
      <c r="A979" s="8"/>
      <c r="C979" s="8"/>
      <c r="I979" s="8"/>
    </row>
    <row r="980" ht="14.25" customHeight="1">
      <c r="A980" s="8"/>
      <c r="C980" s="8"/>
      <c r="I980" s="8"/>
    </row>
    <row r="981" ht="14.25" customHeight="1">
      <c r="A981" s="8"/>
      <c r="C981" s="8"/>
      <c r="I981" s="8"/>
    </row>
    <row r="982" ht="14.25" customHeight="1">
      <c r="A982" s="8"/>
      <c r="C982" s="8"/>
      <c r="I982" s="8"/>
    </row>
    <row r="983" ht="14.25" customHeight="1">
      <c r="A983" s="8"/>
      <c r="C983" s="8"/>
      <c r="I983" s="8"/>
    </row>
    <row r="984" ht="14.25" customHeight="1">
      <c r="A984" s="8"/>
      <c r="C984" s="8"/>
      <c r="I984" s="8"/>
    </row>
    <row r="985" ht="14.25" customHeight="1">
      <c r="A985" s="8"/>
      <c r="C985" s="8"/>
      <c r="I985" s="8"/>
    </row>
    <row r="986" ht="14.25" customHeight="1">
      <c r="A986" s="8"/>
      <c r="C986" s="8"/>
      <c r="I986" s="8"/>
    </row>
    <row r="987" ht="14.25" customHeight="1">
      <c r="A987" s="8"/>
      <c r="C987" s="8"/>
      <c r="I987" s="8"/>
    </row>
    <row r="988" ht="14.25" customHeight="1">
      <c r="A988" s="8"/>
      <c r="C988" s="8"/>
      <c r="I988" s="8"/>
    </row>
    <row r="989" ht="14.25" customHeight="1">
      <c r="A989" s="8"/>
      <c r="C989" s="8"/>
      <c r="I989" s="8"/>
    </row>
    <row r="990" ht="14.25" customHeight="1">
      <c r="A990" s="8"/>
      <c r="C990" s="8"/>
      <c r="I990" s="8"/>
    </row>
    <row r="991" ht="14.25" customHeight="1">
      <c r="A991" s="8"/>
      <c r="C991" s="8"/>
      <c r="I991" s="8"/>
    </row>
    <row r="992" ht="14.25" customHeight="1">
      <c r="A992" s="8"/>
      <c r="C992" s="8"/>
      <c r="I992" s="8"/>
    </row>
    <row r="993" ht="14.25" customHeight="1">
      <c r="A993" s="8"/>
      <c r="C993" s="8"/>
      <c r="I993" s="8"/>
    </row>
    <row r="994" ht="14.25" customHeight="1">
      <c r="A994" s="8"/>
      <c r="C994" s="8"/>
      <c r="I994" s="8"/>
    </row>
    <row r="995" ht="14.25" customHeight="1">
      <c r="A995" s="8"/>
      <c r="C995" s="8"/>
      <c r="I995" s="8"/>
    </row>
    <row r="996" ht="14.25" customHeight="1">
      <c r="A996" s="8"/>
      <c r="C996" s="8"/>
      <c r="I996" s="8"/>
    </row>
    <row r="997" ht="14.25" customHeight="1">
      <c r="A997" s="8"/>
      <c r="C997" s="8"/>
      <c r="I997" s="8"/>
    </row>
    <row r="998" ht="14.25" customHeight="1">
      <c r="A998" s="8"/>
      <c r="C998" s="8"/>
      <c r="I998" s="8"/>
    </row>
    <row r="999" ht="14.25" customHeight="1">
      <c r="A999" s="8"/>
      <c r="C999" s="8"/>
      <c r="I999" s="8"/>
    </row>
    <row r="1000" ht="14.25" customHeight="1">
      <c r="A1000" s="8"/>
      <c r="C1000" s="8"/>
      <c r="I1000" s="8"/>
    </row>
  </sheetData>
  <dataValidations>
    <dataValidation type="list" allowBlank="1" sqref="A2:A1000">
      <formula1>MATERIAL_MASTER!$A$2:$A$1000</formula1>
    </dataValidation>
    <dataValidation type="list" allowBlank="1" sqref="C2:C1000">
      <formula1>DICTIONARIES!$AC$2:$AC$9</formula1>
    </dataValidation>
    <dataValidation type="list" allowBlank="1" sqref="I2:I1000">
      <formula1>OBJECT_CONDITIONS!$A$2:$A$1000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4" width="14.0"/>
    <col customWidth="1" min="5" max="6" width="10.0"/>
    <col customWidth="1" min="7" max="7" width="28.0"/>
    <col customWidth="1" min="8" max="8" width="16.0"/>
    <col customWidth="1" min="9" max="9" width="14.0"/>
    <col customWidth="1" min="10" max="10" width="12.0"/>
    <col customWidth="1" min="11" max="11" width="16.0"/>
    <col customWidth="1" min="12" max="12" width="12.0"/>
    <col customWidth="1" min="13" max="13" width="14.0"/>
    <col customWidth="1" min="14" max="14" width="16.0"/>
    <col customWidth="1" min="15" max="15" width="14.0"/>
    <col customWidth="1" min="16" max="16" width="16.0"/>
    <col customWidth="1" min="17" max="17" width="12.0"/>
    <col customWidth="1" min="18" max="18" width="14.0"/>
    <col customWidth="1" min="19" max="19" width="22.0"/>
    <col customWidth="1" min="20" max="20" width="12.0"/>
    <col customWidth="1" min="21" max="21" width="40.0"/>
    <col customWidth="1" min="22" max="26" width="8.71"/>
  </cols>
  <sheetData>
    <row r="1" ht="14.25" customHeight="1">
      <c r="A1" s="9" t="s">
        <v>868</v>
      </c>
      <c r="B1" s="9" t="s">
        <v>610</v>
      </c>
      <c r="C1" s="9" t="s">
        <v>344</v>
      </c>
      <c r="D1" s="9" t="s">
        <v>467</v>
      </c>
      <c r="E1" s="9" t="s">
        <v>869</v>
      </c>
      <c r="F1" s="9" t="s">
        <v>870</v>
      </c>
      <c r="G1" s="9" t="s">
        <v>377</v>
      </c>
      <c r="H1" s="9" t="s">
        <v>491</v>
      </c>
      <c r="I1" s="9" t="s">
        <v>858</v>
      </c>
      <c r="J1" s="9" t="s">
        <v>748</v>
      </c>
      <c r="K1" s="9" t="s">
        <v>749</v>
      </c>
      <c r="L1" s="9" t="s">
        <v>750</v>
      </c>
      <c r="M1" s="9" t="s">
        <v>752</v>
      </c>
      <c r="N1" s="9" t="s">
        <v>871</v>
      </c>
      <c r="O1" s="9" t="s">
        <v>872</v>
      </c>
      <c r="P1" s="9" t="s">
        <v>873</v>
      </c>
      <c r="Q1" s="9" t="s">
        <v>874</v>
      </c>
      <c r="R1" s="9" t="s">
        <v>529</v>
      </c>
      <c r="S1" s="9" t="s">
        <v>530</v>
      </c>
      <c r="T1" s="9" t="s">
        <v>163</v>
      </c>
      <c r="U1" s="9" t="s">
        <v>116</v>
      </c>
    </row>
    <row r="2" ht="14.25" customHeight="1">
      <c r="A2" s="11" t="s">
        <v>875</v>
      </c>
      <c r="B2" s="11" t="s">
        <v>617</v>
      </c>
      <c r="C2" s="11" t="s">
        <v>501</v>
      </c>
      <c r="D2" s="11" t="s">
        <v>545</v>
      </c>
      <c r="E2" s="11">
        <v>180.0</v>
      </c>
      <c r="F2" s="11" t="s">
        <v>241</v>
      </c>
      <c r="G2" s="11" t="str">
        <f t="array" ref="G2">IF($C2="","",INDEX(MATERIAL_MASTER!$O:$O,MATCH($C2,MATERIAL_MASTER!$A:$A,0)))</f>
        <v>Рулонный текстиль</v>
      </c>
      <c r="H2" s="36">
        <f t="array" ref="H2">IF($C2="","",INDEX(MATERIAL_MASTER!$P:$P,MATCH($C2,MATERIAL_MASTER!$A:$A,0)))</f>
        <v>1.133</v>
      </c>
      <c r="I2" s="36">
        <f t="array" ref="I2">IF($C2="","",INDEX(MATERIAL_FACTOR_APPLICABILITY!$D:$D,MATCH($C2,MATERIAL_FACTOR_APPLICABILITY!$A:$A,0)))</f>
        <v>0.8</v>
      </c>
      <c r="J2" s="36">
        <f t="array" ref="J2">IF($C2="","",INDEX(MATERIAL_FACTOR_APPLICABILITY!$E:$E,MATCH($C2,MATERIAL_FACTOR_APPLICABILITY!$A:$A,0)))</f>
        <v>0.2</v>
      </c>
      <c r="K2" s="36">
        <f t="array" ref="K2">IF($C2="","",INDEX(MATERIAL_FACTOR_APPLICABILITY!$F:$F,MATCH($C2,MATERIAL_FACTOR_APPLICABILITY!$A:$A,0)))</f>
        <v>0.4</v>
      </c>
      <c r="L2" s="36">
        <f t="array" ref="L2">IF($C2="","",INDEX(MATERIAL_FACTOR_APPLICABILITY!$G:$G,MATCH($C2,MATERIAL_FACTOR_APPLICABILITY!$A:$A,0)))</f>
        <v>0.1</v>
      </c>
      <c r="M2" s="36">
        <f t="array" ref="M2">IF($C2="","",INDEX(MATERIAL_FACTOR_APPLICABILITY!$H:$H,MATCH($C2,MATERIAL_FACTOR_APPLICABILITY!$A:$A,0)))</f>
        <v>0</v>
      </c>
      <c r="N2" s="36">
        <f>IF($B2="","",ROUND(1+($I2*(SUMIFS(OBJECT_CONDITIONS!$W:$W,OBJECT_CONDITIONS!$A:$A,$B2)-1))+($J2*(SUMIFS(OBJECT_CONDITIONS!$J:$J,OBJECT_CONDITIONS!$A:$A,$B2)-1))+($K2*(SUMIFS(OBJECT_CONDITIONS!$L:$L,OBJECT_CONDITIONS!$A:$A,$B2)-1))+($L2*(SUMIFS(OBJECT_CONDITIONS!$N:$N,OBJECT_CONDITIONS!$A:$A,$B2)-1))+($M2*(SUMIFS(OBJECT_CONDITIONS!$R:$R,OBJECT_CONDITIONS!$A:$A,$B2)-1)),3))</f>
        <v>1.108</v>
      </c>
      <c r="O2" s="36">
        <v>1.0</v>
      </c>
      <c r="P2" s="36">
        <f t="shared" ref="P2:P150" si="1">IF(OR($H2="",$N2=""),"",ROUND($H2*$N2*IF($O2="",1,$O2),3))</f>
        <v>1.255</v>
      </c>
      <c r="Q2" s="36">
        <f t="shared" ref="Q2:Q150" si="2">IF(OR($E2="",$P2=""),"",ROUND($E2*$P2,3))</f>
        <v>225.9</v>
      </c>
      <c r="R2" s="11" t="str">
        <f t="array" ref="R2">IF($D2="","",IFERROR(INDEX(MATERIAL_VARIANTS!$O:$O,MATCH($D2,MATERIAL_VARIANTS!$A:$A,0)),""))</f>
        <v>рулон</v>
      </c>
      <c r="S2" s="36">
        <f t="array" ref="S2">IF($D2="","",IFERROR(INDEX(MATERIAL_VARIANTS!$P:$P,MATCH($D2,MATERIAL_VARIANTS!$A:$A,0)),""))</f>
        <v>0</v>
      </c>
      <c r="T2" s="11" t="str">
        <f t="shared" ref="T2:T150" si="3">IF(OR($Q2="",$S2="",$S2=0),"",ROUNDUP($Q2/$S2,0))</f>
        <v/>
      </c>
      <c r="U2" s="11" t="s">
        <v>876</v>
      </c>
    </row>
    <row r="3" ht="14.25" customHeight="1">
      <c r="A3" s="11" t="s">
        <v>877</v>
      </c>
      <c r="B3" s="11" t="s">
        <v>617</v>
      </c>
      <c r="C3" s="11" t="s">
        <v>506</v>
      </c>
      <c r="D3" s="11" t="s">
        <v>547</v>
      </c>
      <c r="E3" s="11">
        <v>240.0</v>
      </c>
      <c r="F3" s="11" t="s">
        <v>241</v>
      </c>
      <c r="G3" s="11" t="str">
        <f t="array" ref="G3">IF($C3="","",INDEX(MATERIAL_MASTER!$O:$O,MATCH($C3,MATERIAL_MASTER!$A:$A,0)))</f>
        <v>Рулонный газон / турф</v>
      </c>
      <c r="H3" s="36">
        <f t="array" ref="H3">IF($C3="","",INDEX(MATERIAL_MASTER!$P:$P,MATCH($C3,MATERIAL_MASTER!$A:$A,0)))</f>
        <v>1.05</v>
      </c>
      <c r="I3" s="36">
        <f t="array" ref="I3">IF($C3="","",INDEX(MATERIAL_FACTOR_APPLICABILITY!$D:$D,MATCH($C3,MATERIAL_FACTOR_APPLICABILITY!$A:$A,0)))</f>
        <v>0.9</v>
      </c>
      <c r="J3" s="36">
        <f t="array" ref="J3">IF($C3="","",INDEX(MATERIAL_FACTOR_APPLICABILITY!$E:$E,MATCH($C3,MATERIAL_FACTOR_APPLICABILITY!$A:$A,0)))</f>
        <v>0.3</v>
      </c>
      <c r="K3" s="36">
        <f t="array" ref="K3">IF($C3="","",INDEX(MATERIAL_FACTOR_APPLICABILITY!$F:$F,MATCH($C3,MATERIAL_FACTOR_APPLICABILITY!$A:$A,0)))</f>
        <v>0.3</v>
      </c>
      <c r="L3" s="36">
        <f t="array" ref="L3">IF($C3="","",INDEX(MATERIAL_FACTOR_APPLICABILITY!$G:$G,MATCH($C3,MATERIAL_FACTOR_APPLICABILITY!$A:$A,0)))</f>
        <v>0.1</v>
      </c>
      <c r="M3" s="36">
        <f t="array" ref="M3">IF($C3="","",INDEX(MATERIAL_FACTOR_APPLICABILITY!$H:$H,MATCH($C3,MATERIAL_FACTOR_APPLICABILITY!$A:$A,0)))</f>
        <v>0</v>
      </c>
      <c r="N3" s="36">
        <f>IF($B3="","",ROUND(1+($I3*(SUMIFS(OBJECT_CONDITIONS!$W:$W,OBJECT_CONDITIONS!$A:$A,$B3)-1))+($J3*(SUMIFS(OBJECT_CONDITIONS!$J:$J,OBJECT_CONDITIONS!$A:$A,$B3)-1))+($K3*(SUMIFS(OBJECT_CONDITIONS!$L:$L,OBJECT_CONDITIONS!$A:$A,$B3)-1))+($L3*(SUMIFS(OBJECT_CONDITIONS!$N:$N,OBJECT_CONDITIONS!$A:$A,$B3)-1))+($M3*(SUMIFS(OBJECT_CONDITIONS!$R:$R,OBJECT_CONDITIONS!$A:$A,$B3)-1)),3))</f>
        <v>1.122</v>
      </c>
      <c r="O3" s="36">
        <v>1.0</v>
      </c>
      <c r="P3" s="36">
        <f t="shared" si="1"/>
        <v>1.178</v>
      </c>
      <c r="Q3" s="36">
        <f t="shared" si="2"/>
        <v>282.72</v>
      </c>
      <c r="R3" s="11" t="str">
        <f t="array" ref="R3">IF($D3="","",IFERROR(INDEX(MATERIAL_VARIANTS!$O:$O,MATCH($D3,MATERIAL_VARIANTS!$A:$A,0)),""))</f>
        <v>рулон</v>
      </c>
      <c r="S3" s="36">
        <f t="array" ref="S3">IF($D3="","",IFERROR(INDEX(MATERIAL_VARIANTS!$P:$P,MATCH($D3,MATERIAL_VARIANTS!$A:$A,0)),""))</f>
        <v>0</v>
      </c>
      <c r="T3" s="11" t="str">
        <f t="shared" si="3"/>
        <v/>
      </c>
      <c r="U3" s="11" t="s">
        <v>878</v>
      </c>
    </row>
    <row r="4" ht="14.25" customHeight="1">
      <c r="A4" s="11" t="s">
        <v>879</v>
      </c>
      <c r="B4" s="11" t="s">
        <v>617</v>
      </c>
      <c r="C4" s="11" t="s">
        <v>493</v>
      </c>
      <c r="D4" s="11" t="s">
        <v>540</v>
      </c>
      <c r="E4" s="11">
        <v>95.0</v>
      </c>
      <c r="F4" s="11" t="s">
        <v>241</v>
      </c>
      <c r="G4" s="11" t="str">
        <f t="array" ref="G4">IF($C4="","",INDEX(MATERIAL_MASTER!$O:$O,MATCH($C4,MATERIAL_MASTER!$A:$A,0)))</f>
        <v>Штучное покрытие</v>
      </c>
      <c r="H4" s="36">
        <f t="array" ref="H4">IF($C4="","",INDEX(MATERIAL_MASTER!$P:$P,MATCH($C4,MATERIAL_MASTER!$A:$A,0)))</f>
        <v>1.05</v>
      </c>
      <c r="I4" s="36">
        <f t="array" ref="I4">IF($C4="","",INDEX(MATERIAL_FACTOR_APPLICABILITY!$D:$D,MATCH($C4,MATERIAL_FACTOR_APPLICABILITY!$A:$A,0)))</f>
        <v>0.6</v>
      </c>
      <c r="J4" s="36">
        <f t="array" ref="J4">IF($C4="","",INDEX(MATERIAL_FACTOR_APPLICABILITY!$E:$E,MATCH($C4,MATERIAL_FACTOR_APPLICABILITY!$A:$A,0)))</f>
        <v>0.1</v>
      </c>
      <c r="K4" s="36">
        <f t="array" ref="K4">IF($C4="","",INDEX(MATERIAL_FACTOR_APPLICABILITY!$F:$F,MATCH($C4,MATERIAL_FACTOR_APPLICABILITY!$A:$A,0)))</f>
        <v>0.1</v>
      </c>
      <c r="L4" s="36">
        <f t="array" ref="L4">IF($C4="","",INDEX(MATERIAL_FACTOR_APPLICABILITY!$G:$G,MATCH($C4,MATERIAL_FACTOR_APPLICABILITY!$A:$A,0)))</f>
        <v>0</v>
      </c>
      <c r="M4" s="36">
        <f t="array" ref="M4">IF($C4="","",INDEX(MATERIAL_FACTOR_APPLICABILITY!$H:$H,MATCH($C4,MATERIAL_FACTOR_APPLICABILITY!$A:$A,0)))</f>
        <v>0</v>
      </c>
      <c r="N4" s="36">
        <f>IF($B4="","",ROUND(1+($I4*(SUMIFS(OBJECT_CONDITIONS!$W:$W,OBJECT_CONDITIONS!$A:$A,$B4)-1))+($J4*(SUMIFS(OBJECT_CONDITIONS!$J:$J,OBJECT_CONDITIONS!$A:$A,$B4)-1))+($K4*(SUMIFS(OBJECT_CONDITIONS!$L:$L,OBJECT_CONDITIONS!$A:$A,$B4)-1))+($L4*(SUMIFS(OBJECT_CONDITIONS!$N:$N,OBJECT_CONDITIONS!$A:$A,$B4)-1))+($M4*(SUMIFS(OBJECT_CONDITIONS!$R:$R,OBJECT_CONDITIONS!$A:$A,$B4)-1)),3))</f>
        <v>1.059</v>
      </c>
      <c r="O4" s="36">
        <v>1.0</v>
      </c>
      <c r="P4" s="36">
        <f t="shared" si="1"/>
        <v>1.112</v>
      </c>
      <c r="Q4" s="36">
        <f t="shared" si="2"/>
        <v>105.64</v>
      </c>
      <c r="R4" s="11" t="str">
        <f t="array" ref="R4">IF($D4="","",IFERROR(INDEX(MATERIAL_VARIANTS!$O:$O,MATCH($D4,MATERIAL_VARIANTS!$A:$A,0)),""))</f>
        <v>м2</v>
      </c>
      <c r="S4" s="36">
        <f t="array" ref="S4">IF($D4="","",IFERROR(INDEX(MATERIAL_VARIANTS!$P:$P,MATCH($D4,MATERIAL_VARIANTS!$A:$A,0)),""))</f>
        <v>1</v>
      </c>
      <c r="T4" s="11">
        <f t="shared" si="3"/>
        <v>106</v>
      </c>
      <c r="U4" s="11" t="s">
        <v>880</v>
      </c>
    </row>
    <row r="5" ht="14.25" customHeight="1">
      <c r="A5" s="11" t="s">
        <v>881</v>
      </c>
      <c r="B5" s="11" t="s">
        <v>617</v>
      </c>
      <c r="C5" s="11" t="s">
        <v>519</v>
      </c>
      <c r="D5" s="11" t="s">
        <v>553</v>
      </c>
      <c r="E5" s="11">
        <v>32.0</v>
      </c>
      <c r="F5" s="11" t="s">
        <v>362</v>
      </c>
      <c r="G5" s="11" t="str">
        <f t="array" ref="G5">IF($C5="","",INDEX(MATERIAL_MASTER!$O:$O,MATCH($C5,MATERIAL_MASTER!$A:$A,0)))</f>
        <v>Сыпучие с уплотнением</v>
      </c>
      <c r="H5" s="36">
        <f t="array" ref="H5">IF($C5="","",INDEX(MATERIAL_MASTER!$P:$P,MATCH($C5,MATERIAL_MASTER!$A:$A,0)))</f>
        <v>1.18</v>
      </c>
      <c r="I5" s="36">
        <f t="array" ref="I5">IF($C5="","",INDEX(MATERIAL_FACTOR_APPLICABILITY!$D:$D,MATCH($C5,MATERIAL_FACTOR_APPLICABILITY!$A:$A,0)))</f>
        <v>0.1</v>
      </c>
      <c r="J5" s="36">
        <f t="array" ref="J5">IF($C5="","",INDEX(MATERIAL_FACTOR_APPLICABILITY!$E:$E,MATCH($C5,MATERIAL_FACTOR_APPLICABILITY!$A:$A,0)))</f>
        <v>0.3</v>
      </c>
      <c r="K5" s="36">
        <f t="array" ref="K5">IF($C5="","",INDEX(MATERIAL_FACTOR_APPLICABILITY!$F:$F,MATCH($C5,MATERIAL_FACTOR_APPLICABILITY!$A:$A,0)))</f>
        <v>0.2</v>
      </c>
      <c r="L5" s="36">
        <f t="array" ref="L5">IF($C5="","",INDEX(MATERIAL_FACTOR_APPLICABILITY!$G:$G,MATCH($C5,MATERIAL_FACTOR_APPLICABILITY!$A:$A,0)))</f>
        <v>0.2</v>
      </c>
      <c r="M5" s="36">
        <f t="array" ref="M5">IF($C5="","",INDEX(MATERIAL_FACTOR_APPLICABILITY!$H:$H,MATCH($C5,MATERIAL_FACTOR_APPLICABILITY!$A:$A,0)))</f>
        <v>0</v>
      </c>
      <c r="N5" s="36">
        <f>IF($B5="","",ROUND(1+($I5*(SUMIFS(OBJECT_CONDITIONS!$W:$W,OBJECT_CONDITIONS!$A:$A,$B5)-1))+($J5*(SUMIFS(OBJECT_CONDITIONS!$J:$J,OBJECT_CONDITIONS!$A:$A,$B5)-1))+($K5*(SUMIFS(OBJECT_CONDITIONS!$L:$L,OBJECT_CONDITIONS!$A:$A,$B5)-1))+($L5*(SUMIFS(OBJECT_CONDITIONS!$N:$N,OBJECT_CONDITIONS!$A:$A,$B5)-1))+($M5*(SUMIFS(OBJECT_CONDITIONS!$R:$R,OBJECT_CONDITIONS!$A:$A,$B5)-1)),3))</f>
        <v>1.069</v>
      </c>
      <c r="O5" s="36">
        <v>1.0</v>
      </c>
      <c r="P5" s="36">
        <f t="shared" si="1"/>
        <v>1.261</v>
      </c>
      <c r="Q5" s="36">
        <f t="shared" si="2"/>
        <v>40.352</v>
      </c>
      <c r="R5" s="11" t="str">
        <f t="array" ref="R5">IF($D5="","",IFERROR(INDEX(MATERIAL_VARIANTS!$O:$O,MATCH($D5,MATERIAL_VARIANTS!$A:$A,0)),""))</f>
        <v>м3</v>
      </c>
      <c r="S5" s="36">
        <f t="array" ref="S5">IF($D5="","",IFERROR(INDEX(MATERIAL_VARIANTS!$P:$P,MATCH($D5,MATERIAL_VARIANTS!$A:$A,0)),""))</f>
        <v>1</v>
      </c>
      <c r="T5" s="11">
        <f t="shared" si="3"/>
        <v>41</v>
      </c>
      <c r="U5" s="11" t="s">
        <v>882</v>
      </c>
    </row>
    <row r="6" ht="14.25" customHeight="1">
      <c r="A6" s="11"/>
      <c r="B6" s="11"/>
      <c r="C6" s="11"/>
      <c r="D6" s="11"/>
      <c r="E6" s="11"/>
      <c r="F6" s="11"/>
      <c r="G6" s="11" t="str">
        <f t="array" ref="G6">IF($C6="","",INDEX(MATERIAL_MASTER!$O:$O,MATCH($C6,MATERIAL_MASTER!$A:$A,0)))</f>
        <v/>
      </c>
      <c r="H6" s="36" t="str">
        <f t="array" ref="H6">IF($C6="","",INDEX(MATERIAL_MASTER!$P:$P,MATCH($C6,MATERIAL_MASTER!$A:$A,0)))</f>
        <v/>
      </c>
      <c r="I6" s="36" t="str">
        <f t="array" ref="I6">IF($C6="","",INDEX(MATERIAL_FACTOR_APPLICABILITY!$D:$D,MATCH($C6,MATERIAL_FACTOR_APPLICABILITY!$A:$A,0)))</f>
        <v/>
      </c>
      <c r="J6" s="36" t="str">
        <f t="array" ref="J6">IF($C6="","",INDEX(MATERIAL_FACTOR_APPLICABILITY!$E:$E,MATCH($C6,MATERIAL_FACTOR_APPLICABILITY!$A:$A,0)))</f>
        <v/>
      </c>
      <c r="K6" s="36" t="str">
        <f t="array" ref="K6">IF($C6="","",INDEX(MATERIAL_FACTOR_APPLICABILITY!$F:$F,MATCH($C6,MATERIAL_FACTOR_APPLICABILITY!$A:$A,0)))</f>
        <v/>
      </c>
      <c r="L6" s="36" t="str">
        <f t="array" ref="L6">IF($C6="","",INDEX(MATERIAL_FACTOR_APPLICABILITY!$G:$G,MATCH($C6,MATERIAL_FACTOR_APPLICABILITY!$A:$A,0)))</f>
        <v/>
      </c>
      <c r="M6" s="36" t="str">
        <f t="array" ref="M6">IF($C6="","",INDEX(MATERIAL_FACTOR_APPLICABILITY!$H:$H,MATCH($C6,MATERIAL_FACTOR_APPLICABILITY!$A:$A,0)))</f>
        <v/>
      </c>
      <c r="N6" s="36" t="str">
        <f>IF($B6="","",ROUND(1+($I6*(SUMIFS(OBJECT_CONDITIONS!$W:$W,OBJECT_CONDITIONS!$A:$A,$B6)-1))+($J6*(SUMIFS(OBJECT_CONDITIONS!$J:$J,OBJECT_CONDITIONS!$A:$A,$B6)-1))+($K6*(SUMIFS(OBJECT_CONDITIONS!$L:$L,OBJECT_CONDITIONS!$A:$A,$B6)-1))+($L6*(SUMIFS(OBJECT_CONDITIONS!$N:$N,OBJECT_CONDITIONS!$A:$A,$B6)-1))+($M6*(SUMIFS(OBJECT_CONDITIONS!$R:$R,OBJECT_CONDITIONS!$A:$A,$B6)-1)),3))</f>
        <v/>
      </c>
      <c r="O6" s="36"/>
      <c r="P6" s="36" t="str">
        <f t="shared" si="1"/>
        <v/>
      </c>
      <c r="Q6" s="36" t="str">
        <f t="shared" si="2"/>
        <v/>
      </c>
      <c r="R6" s="11" t="str">
        <f t="array" ref="R6">IF($D6="","",IFERROR(INDEX(MATERIAL_VARIANTS!$O:$O,MATCH($D6,MATERIAL_VARIANTS!$A:$A,0)),""))</f>
        <v/>
      </c>
      <c r="S6" s="36" t="str">
        <f t="array" ref="S6">IF($D6="","",IFERROR(INDEX(MATERIAL_VARIANTS!$P:$P,MATCH($D6,MATERIAL_VARIANTS!$A:$A,0)),""))</f>
        <v/>
      </c>
      <c r="T6" s="11" t="str">
        <f t="shared" si="3"/>
        <v/>
      </c>
      <c r="U6" s="11"/>
    </row>
    <row r="7" ht="14.25" customHeight="1">
      <c r="A7" s="11"/>
      <c r="B7" s="11"/>
      <c r="C7" s="11"/>
      <c r="D7" s="11"/>
      <c r="E7" s="11"/>
      <c r="F7" s="11"/>
      <c r="G7" s="11" t="str">
        <f t="array" ref="G7">IF($C7="","",INDEX(MATERIAL_MASTER!$O:$O,MATCH($C7,MATERIAL_MASTER!$A:$A,0)))</f>
        <v/>
      </c>
      <c r="H7" s="36" t="str">
        <f t="array" ref="H7">IF($C7="","",INDEX(MATERIAL_MASTER!$P:$P,MATCH($C7,MATERIAL_MASTER!$A:$A,0)))</f>
        <v/>
      </c>
      <c r="I7" s="36" t="str">
        <f t="array" ref="I7">IF($C7="","",INDEX(MATERIAL_FACTOR_APPLICABILITY!$D:$D,MATCH($C7,MATERIAL_FACTOR_APPLICABILITY!$A:$A,0)))</f>
        <v/>
      </c>
      <c r="J7" s="36" t="str">
        <f t="array" ref="J7">IF($C7="","",INDEX(MATERIAL_FACTOR_APPLICABILITY!$E:$E,MATCH($C7,MATERIAL_FACTOR_APPLICABILITY!$A:$A,0)))</f>
        <v/>
      </c>
      <c r="K7" s="36" t="str">
        <f t="array" ref="K7">IF($C7="","",INDEX(MATERIAL_FACTOR_APPLICABILITY!$F:$F,MATCH($C7,MATERIAL_FACTOR_APPLICABILITY!$A:$A,0)))</f>
        <v/>
      </c>
      <c r="L7" s="36" t="str">
        <f t="array" ref="L7">IF($C7="","",INDEX(MATERIAL_FACTOR_APPLICABILITY!$G:$G,MATCH($C7,MATERIAL_FACTOR_APPLICABILITY!$A:$A,0)))</f>
        <v/>
      </c>
      <c r="M7" s="36" t="str">
        <f t="array" ref="M7">IF($C7="","",INDEX(MATERIAL_FACTOR_APPLICABILITY!$H:$H,MATCH($C7,MATERIAL_FACTOR_APPLICABILITY!$A:$A,0)))</f>
        <v/>
      </c>
      <c r="N7" s="36" t="str">
        <f>IF($B7="","",ROUND(1+($I7*(SUMIFS(OBJECT_CONDITIONS!$W:$W,OBJECT_CONDITIONS!$A:$A,$B7)-1))+($J7*(SUMIFS(OBJECT_CONDITIONS!$J:$J,OBJECT_CONDITIONS!$A:$A,$B7)-1))+($K7*(SUMIFS(OBJECT_CONDITIONS!$L:$L,OBJECT_CONDITIONS!$A:$A,$B7)-1))+($L7*(SUMIFS(OBJECT_CONDITIONS!$N:$N,OBJECT_CONDITIONS!$A:$A,$B7)-1))+($M7*(SUMIFS(OBJECT_CONDITIONS!$R:$R,OBJECT_CONDITIONS!$A:$A,$B7)-1)),3))</f>
        <v/>
      </c>
      <c r="O7" s="36"/>
      <c r="P7" s="36" t="str">
        <f t="shared" si="1"/>
        <v/>
      </c>
      <c r="Q7" s="36" t="str">
        <f t="shared" si="2"/>
        <v/>
      </c>
      <c r="R7" s="11" t="str">
        <f t="array" ref="R7">IF($D7="","",IFERROR(INDEX(MATERIAL_VARIANTS!$O:$O,MATCH($D7,MATERIAL_VARIANTS!$A:$A,0)),""))</f>
        <v/>
      </c>
      <c r="S7" s="36" t="str">
        <f t="array" ref="S7">IF($D7="","",IFERROR(INDEX(MATERIAL_VARIANTS!$P:$P,MATCH($D7,MATERIAL_VARIANTS!$A:$A,0)),""))</f>
        <v/>
      </c>
      <c r="T7" s="11" t="str">
        <f t="shared" si="3"/>
        <v/>
      </c>
      <c r="U7" s="11"/>
    </row>
    <row r="8" ht="14.25" customHeight="1">
      <c r="A8" s="11"/>
      <c r="B8" s="11"/>
      <c r="C8" s="11"/>
      <c r="D8" s="11"/>
      <c r="E8" s="11"/>
      <c r="F8" s="11"/>
      <c r="G8" s="11" t="str">
        <f t="array" ref="G8">IF($C8="","",INDEX(MATERIAL_MASTER!$O:$O,MATCH($C8,MATERIAL_MASTER!$A:$A,0)))</f>
        <v/>
      </c>
      <c r="H8" s="36" t="str">
        <f t="array" ref="H8">IF($C8="","",INDEX(MATERIAL_MASTER!$P:$P,MATCH($C8,MATERIAL_MASTER!$A:$A,0)))</f>
        <v/>
      </c>
      <c r="I8" s="36" t="str">
        <f t="array" ref="I8">IF($C8="","",INDEX(MATERIAL_FACTOR_APPLICABILITY!$D:$D,MATCH($C8,MATERIAL_FACTOR_APPLICABILITY!$A:$A,0)))</f>
        <v/>
      </c>
      <c r="J8" s="36" t="str">
        <f t="array" ref="J8">IF($C8="","",INDEX(MATERIAL_FACTOR_APPLICABILITY!$E:$E,MATCH($C8,MATERIAL_FACTOR_APPLICABILITY!$A:$A,0)))</f>
        <v/>
      </c>
      <c r="K8" s="36" t="str">
        <f t="array" ref="K8">IF($C8="","",INDEX(MATERIAL_FACTOR_APPLICABILITY!$F:$F,MATCH($C8,MATERIAL_FACTOR_APPLICABILITY!$A:$A,0)))</f>
        <v/>
      </c>
      <c r="L8" s="36" t="str">
        <f t="array" ref="L8">IF($C8="","",INDEX(MATERIAL_FACTOR_APPLICABILITY!$G:$G,MATCH($C8,MATERIAL_FACTOR_APPLICABILITY!$A:$A,0)))</f>
        <v/>
      </c>
      <c r="M8" s="36" t="str">
        <f t="array" ref="M8">IF($C8="","",INDEX(MATERIAL_FACTOR_APPLICABILITY!$H:$H,MATCH($C8,MATERIAL_FACTOR_APPLICABILITY!$A:$A,0)))</f>
        <v/>
      </c>
      <c r="N8" s="36" t="str">
        <f>IF($B8="","",ROUND(1+($I8*(SUMIFS(OBJECT_CONDITIONS!$W:$W,OBJECT_CONDITIONS!$A:$A,$B8)-1))+($J8*(SUMIFS(OBJECT_CONDITIONS!$J:$J,OBJECT_CONDITIONS!$A:$A,$B8)-1))+($K8*(SUMIFS(OBJECT_CONDITIONS!$L:$L,OBJECT_CONDITIONS!$A:$A,$B8)-1))+($L8*(SUMIFS(OBJECT_CONDITIONS!$N:$N,OBJECT_CONDITIONS!$A:$A,$B8)-1))+($M8*(SUMIFS(OBJECT_CONDITIONS!$R:$R,OBJECT_CONDITIONS!$A:$A,$B8)-1)),3))</f>
        <v/>
      </c>
      <c r="O8" s="36"/>
      <c r="P8" s="36" t="str">
        <f t="shared" si="1"/>
        <v/>
      </c>
      <c r="Q8" s="36" t="str">
        <f t="shared" si="2"/>
        <v/>
      </c>
      <c r="R8" s="11" t="str">
        <f t="array" ref="R8">IF($D8="","",IFERROR(INDEX(MATERIAL_VARIANTS!$O:$O,MATCH($D8,MATERIAL_VARIANTS!$A:$A,0)),""))</f>
        <v/>
      </c>
      <c r="S8" s="36" t="str">
        <f t="array" ref="S8">IF($D8="","",IFERROR(INDEX(MATERIAL_VARIANTS!$P:$P,MATCH($D8,MATERIAL_VARIANTS!$A:$A,0)),""))</f>
        <v/>
      </c>
      <c r="T8" s="11" t="str">
        <f t="shared" si="3"/>
        <v/>
      </c>
      <c r="U8" s="11"/>
    </row>
    <row r="9" ht="14.25" customHeight="1">
      <c r="A9" s="11"/>
      <c r="B9" s="11"/>
      <c r="C9" s="11"/>
      <c r="D9" s="11"/>
      <c r="E9" s="11"/>
      <c r="F9" s="11"/>
      <c r="G9" s="11" t="str">
        <f t="array" ref="G9">IF($C9="","",INDEX(MATERIAL_MASTER!$O:$O,MATCH($C9,MATERIAL_MASTER!$A:$A,0)))</f>
        <v/>
      </c>
      <c r="H9" s="36" t="str">
        <f t="array" ref="H9">IF($C9="","",INDEX(MATERIAL_MASTER!$P:$P,MATCH($C9,MATERIAL_MASTER!$A:$A,0)))</f>
        <v/>
      </c>
      <c r="I9" s="36" t="str">
        <f t="array" ref="I9">IF($C9="","",INDEX(MATERIAL_FACTOR_APPLICABILITY!$D:$D,MATCH($C9,MATERIAL_FACTOR_APPLICABILITY!$A:$A,0)))</f>
        <v/>
      </c>
      <c r="J9" s="36" t="str">
        <f t="array" ref="J9">IF($C9="","",INDEX(MATERIAL_FACTOR_APPLICABILITY!$E:$E,MATCH($C9,MATERIAL_FACTOR_APPLICABILITY!$A:$A,0)))</f>
        <v/>
      </c>
      <c r="K9" s="36" t="str">
        <f t="array" ref="K9">IF($C9="","",INDEX(MATERIAL_FACTOR_APPLICABILITY!$F:$F,MATCH($C9,MATERIAL_FACTOR_APPLICABILITY!$A:$A,0)))</f>
        <v/>
      </c>
      <c r="L9" s="36" t="str">
        <f t="array" ref="L9">IF($C9="","",INDEX(MATERIAL_FACTOR_APPLICABILITY!$G:$G,MATCH($C9,MATERIAL_FACTOR_APPLICABILITY!$A:$A,0)))</f>
        <v/>
      </c>
      <c r="M9" s="36" t="str">
        <f t="array" ref="M9">IF($C9="","",INDEX(MATERIAL_FACTOR_APPLICABILITY!$H:$H,MATCH($C9,MATERIAL_FACTOR_APPLICABILITY!$A:$A,0)))</f>
        <v/>
      </c>
      <c r="N9" s="36" t="str">
        <f>IF($B9="","",ROUND(1+($I9*(SUMIFS(OBJECT_CONDITIONS!$W:$W,OBJECT_CONDITIONS!$A:$A,$B9)-1))+($J9*(SUMIFS(OBJECT_CONDITIONS!$J:$J,OBJECT_CONDITIONS!$A:$A,$B9)-1))+($K9*(SUMIFS(OBJECT_CONDITIONS!$L:$L,OBJECT_CONDITIONS!$A:$A,$B9)-1))+($L9*(SUMIFS(OBJECT_CONDITIONS!$N:$N,OBJECT_CONDITIONS!$A:$A,$B9)-1))+($M9*(SUMIFS(OBJECT_CONDITIONS!$R:$R,OBJECT_CONDITIONS!$A:$A,$B9)-1)),3))</f>
        <v/>
      </c>
      <c r="O9" s="36"/>
      <c r="P9" s="36" t="str">
        <f t="shared" si="1"/>
        <v/>
      </c>
      <c r="Q9" s="36" t="str">
        <f t="shared" si="2"/>
        <v/>
      </c>
      <c r="R9" s="11" t="str">
        <f t="array" ref="R9">IF($D9="","",IFERROR(INDEX(MATERIAL_VARIANTS!$O:$O,MATCH($D9,MATERIAL_VARIANTS!$A:$A,0)),""))</f>
        <v/>
      </c>
      <c r="S9" s="36" t="str">
        <f t="array" ref="S9">IF($D9="","",IFERROR(INDEX(MATERIAL_VARIANTS!$P:$P,MATCH($D9,MATERIAL_VARIANTS!$A:$A,0)),""))</f>
        <v/>
      </c>
      <c r="T9" s="11" t="str">
        <f t="shared" si="3"/>
        <v/>
      </c>
      <c r="U9" s="11"/>
    </row>
    <row r="10" ht="14.25" customHeight="1">
      <c r="A10" s="11"/>
      <c r="B10" s="11"/>
      <c r="C10" s="11"/>
      <c r="D10" s="11"/>
      <c r="E10" s="11"/>
      <c r="F10" s="11"/>
      <c r="G10" s="11" t="str">
        <f t="array" ref="G10">IF($C10="","",INDEX(MATERIAL_MASTER!$O:$O,MATCH($C10,MATERIAL_MASTER!$A:$A,0)))</f>
        <v/>
      </c>
      <c r="H10" s="36" t="str">
        <f t="array" ref="H10">IF($C10="","",INDEX(MATERIAL_MASTER!$P:$P,MATCH($C10,MATERIAL_MASTER!$A:$A,0)))</f>
        <v/>
      </c>
      <c r="I10" s="36" t="str">
        <f t="array" ref="I10">IF($C10="","",INDEX(MATERIAL_FACTOR_APPLICABILITY!$D:$D,MATCH($C10,MATERIAL_FACTOR_APPLICABILITY!$A:$A,0)))</f>
        <v/>
      </c>
      <c r="J10" s="36" t="str">
        <f t="array" ref="J10">IF($C10="","",INDEX(MATERIAL_FACTOR_APPLICABILITY!$E:$E,MATCH($C10,MATERIAL_FACTOR_APPLICABILITY!$A:$A,0)))</f>
        <v/>
      </c>
      <c r="K10" s="36" t="str">
        <f t="array" ref="K10">IF($C10="","",INDEX(MATERIAL_FACTOR_APPLICABILITY!$F:$F,MATCH($C10,MATERIAL_FACTOR_APPLICABILITY!$A:$A,0)))</f>
        <v/>
      </c>
      <c r="L10" s="36" t="str">
        <f t="array" ref="L10">IF($C10="","",INDEX(MATERIAL_FACTOR_APPLICABILITY!$G:$G,MATCH($C10,MATERIAL_FACTOR_APPLICABILITY!$A:$A,0)))</f>
        <v/>
      </c>
      <c r="M10" s="36" t="str">
        <f t="array" ref="M10">IF($C10="","",INDEX(MATERIAL_FACTOR_APPLICABILITY!$H:$H,MATCH($C10,MATERIAL_FACTOR_APPLICABILITY!$A:$A,0)))</f>
        <v/>
      </c>
      <c r="N10" s="36" t="str">
        <f>IF($B10="","",ROUND(1+($I10*(SUMIFS(OBJECT_CONDITIONS!$W:$W,OBJECT_CONDITIONS!$A:$A,$B10)-1))+($J10*(SUMIFS(OBJECT_CONDITIONS!$J:$J,OBJECT_CONDITIONS!$A:$A,$B10)-1))+($K10*(SUMIFS(OBJECT_CONDITIONS!$L:$L,OBJECT_CONDITIONS!$A:$A,$B10)-1))+($L10*(SUMIFS(OBJECT_CONDITIONS!$N:$N,OBJECT_CONDITIONS!$A:$A,$B10)-1))+($M10*(SUMIFS(OBJECT_CONDITIONS!$R:$R,OBJECT_CONDITIONS!$A:$A,$B10)-1)),3))</f>
        <v/>
      </c>
      <c r="O10" s="36"/>
      <c r="P10" s="36" t="str">
        <f t="shared" si="1"/>
        <v/>
      </c>
      <c r="Q10" s="36" t="str">
        <f t="shared" si="2"/>
        <v/>
      </c>
      <c r="R10" s="11" t="str">
        <f t="array" ref="R10">IF($D10="","",IFERROR(INDEX(MATERIAL_VARIANTS!$O:$O,MATCH($D10,MATERIAL_VARIANTS!$A:$A,0)),""))</f>
        <v/>
      </c>
      <c r="S10" s="36" t="str">
        <f t="array" ref="S10">IF($D10="","",IFERROR(INDEX(MATERIAL_VARIANTS!$P:$P,MATCH($D10,MATERIAL_VARIANTS!$A:$A,0)),""))</f>
        <v/>
      </c>
      <c r="T10" s="11" t="str">
        <f t="shared" si="3"/>
        <v/>
      </c>
      <c r="U10" s="11"/>
    </row>
    <row r="11" ht="14.25" customHeight="1">
      <c r="A11" s="11"/>
      <c r="B11" s="11"/>
      <c r="C11" s="11"/>
      <c r="D11" s="11"/>
      <c r="E11" s="11"/>
      <c r="F11" s="11"/>
      <c r="G11" s="11" t="str">
        <f t="array" ref="G11">IF($C11="","",INDEX(MATERIAL_MASTER!$O:$O,MATCH($C11,MATERIAL_MASTER!$A:$A,0)))</f>
        <v/>
      </c>
      <c r="H11" s="36" t="str">
        <f t="array" ref="H11">IF($C11="","",INDEX(MATERIAL_MASTER!$P:$P,MATCH($C11,MATERIAL_MASTER!$A:$A,0)))</f>
        <v/>
      </c>
      <c r="I11" s="36" t="str">
        <f t="array" ref="I11">IF($C11="","",INDEX(MATERIAL_FACTOR_APPLICABILITY!$D:$D,MATCH($C11,MATERIAL_FACTOR_APPLICABILITY!$A:$A,0)))</f>
        <v/>
      </c>
      <c r="J11" s="36" t="str">
        <f t="array" ref="J11">IF($C11="","",INDEX(MATERIAL_FACTOR_APPLICABILITY!$E:$E,MATCH($C11,MATERIAL_FACTOR_APPLICABILITY!$A:$A,0)))</f>
        <v/>
      </c>
      <c r="K11" s="36" t="str">
        <f t="array" ref="K11">IF($C11="","",INDEX(MATERIAL_FACTOR_APPLICABILITY!$F:$F,MATCH($C11,MATERIAL_FACTOR_APPLICABILITY!$A:$A,0)))</f>
        <v/>
      </c>
      <c r="L11" s="36" t="str">
        <f t="array" ref="L11">IF($C11="","",INDEX(MATERIAL_FACTOR_APPLICABILITY!$G:$G,MATCH($C11,MATERIAL_FACTOR_APPLICABILITY!$A:$A,0)))</f>
        <v/>
      </c>
      <c r="M11" s="36" t="str">
        <f t="array" ref="M11">IF($C11="","",INDEX(MATERIAL_FACTOR_APPLICABILITY!$H:$H,MATCH($C11,MATERIAL_FACTOR_APPLICABILITY!$A:$A,0)))</f>
        <v/>
      </c>
      <c r="N11" s="36" t="str">
        <f>IF($B11="","",ROUND(1+($I11*(SUMIFS(OBJECT_CONDITIONS!$W:$W,OBJECT_CONDITIONS!$A:$A,$B11)-1))+($J11*(SUMIFS(OBJECT_CONDITIONS!$J:$J,OBJECT_CONDITIONS!$A:$A,$B11)-1))+($K11*(SUMIFS(OBJECT_CONDITIONS!$L:$L,OBJECT_CONDITIONS!$A:$A,$B11)-1))+($L11*(SUMIFS(OBJECT_CONDITIONS!$N:$N,OBJECT_CONDITIONS!$A:$A,$B11)-1))+($M11*(SUMIFS(OBJECT_CONDITIONS!$R:$R,OBJECT_CONDITIONS!$A:$A,$B11)-1)),3))</f>
        <v/>
      </c>
      <c r="O11" s="36"/>
      <c r="P11" s="36" t="str">
        <f t="shared" si="1"/>
        <v/>
      </c>
      <c r="Q11" s="36" t="str">
        <f t="shared" si="2"/>
        <v/>
      </c>
      <c r="R11" s="11" t="str">
        <f t="array" ref="R11">IF($D11="","",IFERROR(INDEX(MATERIAL_VARIANTS!$O:$O,MATCH($D11,MATERIAL_VARIANTS!$A:$A,0)),""))</f>
        <v/>
      </c>
      <c r="S11" s="36" t="str">
        <f t="array" ref="S11">IF($D11="","",IFERROR(INDEX(MATERIAL_VARIANTS!$P:$P,MATCH($D11,MATERIAL_VARIANTS!$A:$A,0)),""))</f>
        <v/>
      </c>
      <c r="T11" s="11" t="str">
        <f t="shared" si="3"/>
        <v/>
      </c>
      <c r="U11" s="11"/>
    </row>
    <row r="12" ht="14.25" customHeight="1">
      <c r="A12" s="11"/>
      <c r="B12" s="11"/>
      <c r="C12" s="11"/>
      <c r="D12" s="11"/>
      <c r="E12" s="11"/>
      <c r="F12" s="11"/>
      <c r="G12" s="11" t="str">
        <f t="array" ref="G12">IF($C12="","",INDEX(MATERIAL_MASTER!$O:$O,MATCH($C12,MATERIAL_MASTER!$A:$A,0)))</f>
        <v/>
      </c>
      <c r="H12" s="36" t="str">
        <f t="array" ref="H12">IF($C12="","",INDEX(MATERIAL_MASTER!$P:$P,MATCH($C12,MATERIAL_MASTER!$A:$A,0)))</f>
        <v/>
      </c>
      <c r="I12" s="36" t="str">
        <f t="array" ref="I12">IF($C12="","",INDEX(MATERIAL_FACTOR_APPLICABILITY!$D:$D,MATCH($C12,MATERIAL_FACTOR_APPLICABILITY!$A:$A,0)))</f>
        <v/>
      </c>
      <c r="J12" s="36" t="str">
        <f t="array" ref="J12">IF($C12="","",INDEX(MATERIAL_FACTOR_APPLICABILITY!$E:$E,MATCH($C12,MATERIAL_FACTOR_APPLICABILITY!$A:$A,0)))</f>
        <v/>
      </c>
      <c r="K12" s="36" t="str">
        <f t="array" ref="K12">IF($C12="","",INDEX(MATERIAL_FACTOR_APPLICABILITY!$F:$F,MATCH($C12,MATERIAL_FACTOR_APPLICABILITY!$A:$A,0)))</f>
        <v/>
      </c>
      <c r="L12" s="36" t="str">
        <f t="array" ref="L12">IF($C12="","",INDEX(MATERIAL_FACTOR_APPLICABILITY!$G:$G,MATCH($C12,MATERIAL_FACTOR_APPLICABILITY!$A:$A,0)))</f>
        <v/>
      </c>
      <c r="M12" s="36" t="str">
        <f t="array" ref="M12">IF($C12="","",INDEX(MATERIAL_FACTOR_APPLICABILITY!$H:$H,MATCH($C12,MATERIAL_FACTOR_APPLICABILITY!$A:$A,0)))</f>
        <v/>
      </c>
      <c r="N12" s="36" t="str">
        <f>IF($B12="","",ROUND(1+($I12*(SUMIFS(OBJECT_CONDITIONS!$W:$W,OBJECT_CONDITIONS!$A:$A,$B12)-1))+($J12*(SUMIFS(OBJECT_CONDITIONS!$J:$J,OBJECT_CONDITIONS!$A:$A,$B12)-1))+($K12*(SUMIFS(OBJECT_CONDITIONS!$L:$L,OBJECT_CONDITIONS!$A:$A,$B12)-1))+($L12*(SUMIFS(OBJECT_CONDITIONS!$N:$N,OBJECT_CONDITIONS!$A:$A,$B12)-1))+($M12*(SUMIFS(OBJECT_CONDITIONS!$R:$R,OBJECT_CONDITIONS!$A:$A,$B12)-1)),3))</f>
        <v/>
      </c>
      <c r="O12" s="36"/>
      <c r="P12" s="36" t="str">
        <f t="shared" si="1"/>
        <v/>
      </c>
      <c r="Q12" s="36" t="str">
        <f t="shared" si="2"/>
        <v/>
      </c>
      <c r="R12" s="11" t="str">
        <f t="array" ref="R12">IF($D12="","",IFERROR(INDEX(MATERIAL_VARIANTS!$O:$O,MATCH($D12,MATERIAL_VARIANTS!$A:$A,0)),""))</f>
        <v/>
      </c>
      <c r="S12" s="36" t="str">
        <f t="array" ref="S12">IF($D12="","",IFERROR(INDEX(MATERIAL_VARIANTS!$P:$P,MATCH($D12,MATERIAL_VARIANTS!$A:$A,0)),""))</f>
        <v/>
      </c>
      <c r="T12" s="11" t="str">
        <f t="shared" si="3"/>
        <v/>
      </c>
      <c r="U12" s="11"/>
    </row>
    <row r="13" ht="14.25" customHeight="1">
      <c r="A13" s="11"/>
      <c r="B13" s="11"/>
      <c r="C13" s="11"/>
      <c r="D13" s="11"/>
      <c r="E13" s="11"/>
      <c r="F13" s="11"/>
      <c r="G13" s="11" t="str">
        <f t="array" ref="G13">IF($C13="","",INDEX(MATERIAL_MASTER!$O:$O,MATCH($C13,MATERIAL_MASTER!$A:$A,0)))</f>
        <v/>
      </c>
      <c r="H13" s="36" t="str">
        <f t="array" ref="H13">IF($C13="","",INDEX(MATERIAL_MASTER!$P:$P,MATCH($C13,MATERIAL_MASTER!$A:$A,0)))</f>
        <v/>
      </c>
      <c r="I13" s="36" t="str">
        <f t="array" ref="I13">IF($C13="","",INDEX(MATERIAL_FACTOR_APPLICABILITY!$D:$D,MATCH($C13,MATERIAL_FACTOR_APPLICABILITY!$A:$A,0)))</f>
        <v/>
      </c>
      <c r="J13" s="36" t="str">
        <f t="array" ref="J13">IF($C13="","",INDEX(MATERIAL_FACTOR_APPLICABILITY!$E:$E,MATCH($C13,MATERIAL_FACTOR_APPLICABILITY!$A:$A,0)))</f>
        <v/>
      </c>
      <c r="K13" s="36" t="str">
        <f t="array" ref="K13">IF($C13="","",INDEX(MATERIAL_FACTOR_APPLICABILITY!$F:$F,MATCH($C13,MATERIAL_FACTOR_APPLICABILITY!$A:$A,0)))</f>
        <v/>
      </c>
      <c r="L13" s="36" t="str">
        <f t="array" ref="L13">IF($C13="","",INDEX(MATERIAL_FACTOR_APPLICABILITY!$G:$G,MATCH($C13,MATERIAL_FACTOR_APPLICABILITY!$A:$A,0)))</f>
        <v/>
      </c>
      <c r="M13" s="36" t="str">
        <f t="array" ref="M13">IF($C13="","",INDEX(MATERIAL_FACTOR_APPLICABILITY!$H:$H,MATCH($C13,MATERIAL_FACTOR_APPLICABILITY!$A:$A,0)))</f>
        <v/>
      </c>
      <c r="N13" s="36" t="str">
        <f>IF($B13="","",ROUND(1+($I13*(SUMIFS(OBJECT_CONDITIONS!$W:$W,OBJECT_CONDITIONS!$A:$A,$B13)-1))+($J13*(SUMIFS(OBJECT_CONDITIONS!$J:$J,OBJECT_CONDITIONS!$A:$A,$B13)-1))+($K13*(SUMIFS(OBJECT_CONDITIONS!$L:$L,OBJECT_CONDITIONS!$A:$A,$B13)-1))+($L13*(SUMIFS(OBJECT_CONDITIONS!$N:$N,OBJECT_CONDITIONS!$A:$A,$B13)-1))+($M13*(SUMIFS(OBJECT_CONDITIONS!$R:$R,OBJECT_CONDITIONS!$A:$A,$B13)-1)),3))</f>
        <v/>
      </c>
      <c r="O13" s="36"/>
      <c r="P13" s="36" t="str">
        <f t="shared" si="1"/>
        <v/>
      </c>
      <c r="Q13" s="36" t="str">
        <f t="shared" si="2"/>
        <v/>
      </c>
      <c r="R13" s="11" t="str">
        <f t="array" ref="R13">IF($D13="","",IFERROR(INDEX(MATERIAL_VARIANTS!$O:$O,MATCH($D13,MATERIAL_VARIANTS!$A:$A,0)),""))</f>
        <v/>
      </c>
      <c r="S13" s="36" t="str">
        <f t="array" ref="S13">IF($D13="","",IFERROR(INDEX(MATERIAL_VARIANTS!$P:$P,MATCH($D13,MATERIAL_VARIANTS!$A:$A,0)),""))</f>
        <v/>
      </c>
      <c r="T13" s="11" t="str">
        <f t="shared" si="3"/>
        <v/>
      </c>
      <c r="U13" s="11"/>
    </row>
    <row r="14" ht="14.25" customHeight="1">
      <c r="A14" s="11"/>
      <c r="B14" s="11"/>
      <c r="C14" s="11"/>
      <c r="D14" s="11"/>
      <c r="E14" s="11"/>
      <c r="F14" s="11"/>
      <c r="G14" s="11" t="str">
        <f t="array" ref="G14">IF($C14="","",INDEX(MATERIAL_MASTER!$O:$O,MATCH($C14,MATERIAL_MASTER!$A:$A,0)))</f>
        <v/>
      </c>
      <c r="H14" s="36" t="str">
        <f t="array" ref="H14">IF($C14="","",INDEX(MATERIAL_MASTER!$P:$P,MATCH($C14,MATERIAL_MASTER!$A:$A,0)))</f>
        <v/>
      </c>
      <c r="I14" s="36" t="str">
        <f t="array" ref="I14">IF($C14="","",INDEX(MATERIAL_FACTOR_APPLICABILITY!$D:$D,MATCH($C14,MATERIAL_FACTOR_APPLICABILITY!$A:$A,0)))</f>
        <v/>
      </c>
      <c r="J14" s="36" t="str">
        <f t="array" ref="J14">IF($C14="","",INDEX(MATERIAL_FACTOR_APPLICABILITY!$E:$E,MATCH($C14,MATERIAL_FACTOR_APPLICABILITY!$A:$A,0)))</f>
        <v/>
      </c>
      <c r="K14" s="36" t="str">
        <f t="array" ref="K14">IF($C14="","",INDEX(MATERIAL_FACTOR_APPLICABILITY!$F:$F,MATCH($C14,MATERIAL_FACTOR_APPLICABILITY!$A:$A,0)))</f>
        <v/>
      </c>
      <c r="L14" s="36" t="str">
        <f t="array" ref="L14">IF($C14="","",INDEX(MATERIAL_FACTOR_APPLICABILITY!$G:$G,MATCH($C14,MATERIAL_FACTOR_APPLICABILITY!$A:$A,0)))</f>
        <v/>
      </c>
      <c r="M14" s="36" t="str">
        <f t="array" ref="M14">IF($C14="","",INDEX(MATERIAL_FACTOR_APPLICABILITY!$H:$H,MATCH($C14,MATERIAL_FACTOR_APPLICABILITY!$A:$A,0)))</f>
        <v/>
      </c>
      <c r="N14" s="36" t="str">
        <f>IF($B14="","",ROUND(1+($I14*(SUMIFS(OBJECT_CONDITIONS!$W:$W,OBJECT_CONDITIONS!$A:$A,$B14)-1))+($J14*(SUMIFS(OBJECT_CONDITIONS!$J:$J,OBJECT_CONDITIONS!$A:$A,$B14)-1))+($K14*(SUMIFS(OBJECT_CONDITIONS!$L:$L,OBJECT_CONDITIONS!$A:$A,$B14)-1))+($L14*(SUMIFS(OBJECT_CONDITIONS!$N:$N,OBJECT_CONDITIONS!$A:$A,$B14)-1))+($M14*(SUMIFS(OBJECT_CONDITIONS!$R:$R,OBJECT_CONDITIONS!$A:$A,$B14)-1)),3))</f>
        <v/>
      </c>
      <c r="O14" s="36"/>
      <c r="P14" s="36" t="str">
        <f t="shared" si="1"/>
        <v/>
      </c>
      <c r="Q14" s="36" t="str">
        <f t="shared" si="2"/>
        <v/>
      </c>
      <c r="R14" s="11" t="str">
        <f t="array" ref="R14">IF($D14="","",IFERROR(INDEX(MATERIAL_VARIANTS!$O:$O,MATCH($D14,MATERIAL_VARIANTS!$A:$A,0)),""))</f>
        <v/>
      </c>
      <c r="S14" s="36" t="str">
        <f t="array" ref="S14">IF($D14="","",IFERROR(INDEX(MATERIAL_VARIANTS!$P:$P,MATCH($D14,MATERIAL_VARIANTS!$A:$A,0)),""))</f>
        <v/>
      </c>
      <c r="T14" s="11" t="str">
        <f t="shared" si="3"/>
        <v/>
      </c>
      <c r="U14" s="11"/>
    </row>
    <row r="15" ht="14.25" customHeight="1">
      <c r="A15" s="11"/>
      <c r="B15" s="11"/>
      <c r="C15" s="11"/>
      <c r="D15" s="11"/>
      <c r="E15" s="11"/>
      <c r="F15" s="11"/>
      <c r="G15" s="11" t="str">
        <f t="array" ref="G15">IF($C15="","",INDEX(MATERIAL_MASTER!$O:$O,MATCH($C15,MATERIAL_MASTER!$A:$A,0)))</f>
        <v/>
      </c>
      <c r="H15" s="36" t="str">
        <f t="array" ref="H15">IF($C15="","",INDEX(MATERIAL_MASTER!$P:$P,MATCH($C15,MATERIAL_MASTER!$A:$A,0)))</f>
        <v/>
      </c>
      <c r="I15" s="36" t="str">
        <f t="array" ref="I15">IF($C15="","",INDEX(MATERIAL_FACTOR_APPLICABILITY!$D:$D,MATCH($C15,MATERIAL_FACTOR_APPLICABILITY!$A:$A,0)))</f>
        <v/>
      </c>
      <c r="J15" s="36" t="str">
        <f t="array" ref="J15">IF($C15="","",INDEX(MATERIAL_FACTOR_APPLICABILITY!$E:$E,MATCH($C15,MATERIAL_FACTOR_APPLICABILITY!$A:$A,0)))</f>
        <v/>
      </c>
      <c r="K15" s="36" t="str">
        <f t="array" ref="K15">IF($C15="","",INDEX(MATERIAL_FACTOR_APPLICABILITY!$F:$F,MATCH($C15,MATERIAL_FACTOR_APPLICABILITY!$A:$A,0)))</f>
        <v/>
      </c>
      <c r="L15" s="36" t="str">
        <f t="array" ref="L15">IF($C15="","",INDEX(MATERIAL_FACTOR_APPLICABILITY!$G:$G,MATCH($C15,MATERIAL_FACTOR_APPLICABILITY!$A:$A,0)))</f>
        <v/>
      </c>
      <c r="M15" s="36" t="str">
        <f t="array" ref="M15">IF($C15="","",INDEX(MATERIAL_FACTOR_APPLICABILITY!$H:$H,MATCH($C15,MATERIAL_FACTOR_APPLICABILITY!$A:$A,0)))</f>
        <v/>
      </c>
      <c r="N15" s="36" t="str">
        <f>IF($B15="","",ROUND(1+($I15*(SUMIFS(OBJECT_CONDITIONS!$W:$W,OBJECT_CONDITIONS!$A:$A,$B15)-1))+($J15*(SUMIFS(OBJECT_CONDITIONS!$J:$J,OBJECT_CONDITIONS!$A:$A,$B15)-1))+($K15*(SUMIFS(OBJECT_CONDITIONS!$L:$L,OBJECT_CONDITIONS!$A:$A,$B15)-1))+($L15*(SUMIFS(OBJECT_CONDITIONS!$N:$N,OBJECT_CONDITIONS!$A:$A,$B15)-1))+($M15*(SUMIFS(OBJECT_CONDITIONS!$R:$R,OBJECT_CONDITIONS!$A:$A,$B15)-1)),3))</f>
        <v/>
      </c>
      <c r="O15" s="36"/>
      <c r="P15" s="36" t="str">
        <f t="shared" si="1"/>
        <v/>
      </c>
      <c r="Q15" s="36" t="str">
        <f t="shared" si="2"/>
        <v/>
      </c>
      <c r="R15" s="11" t="str">
        <f t="array" ref="R15">IF($D15="","",IFERROR(INDEX(MATERIAL_VARIANTS!$O:$O,MATCH($D15,MATERIAL_VARIANTS!$A:$A,0)),""))</f>
        <v/>
      </c>
      <c r="S15" s="36" t="str">
        <f t="array" ref="S15">IF($D15="","",IFERROR(INDEX(MATERIAL_VARIANTS!$P:$P,MATCH($D15,MATERIAL_VARIANTS!$A:$A,0)),""))</f>
        <v/>
      </c>
      <c r="T15" s="11" t="str">
        <f t="shared" si="3"/>
        <v/>
      </c>
      <c r="U15" s="11"/>
    </row>
    <row r="16" ht="14.25" customHeight="1">
      <c r="A16" s="11"/>
      <c r="B16" s="11"/>
      <c r="C16" s="11"/>
      <c r="D16" s="11"/>
      <c r="E16" s="11"/>
      <c r="F16" s="11"/>
      <c r="G16" s="11" t="str">
        <f t="array" ref="G16">IF($C16="","",INDEX(MATERIAL_MASTER!$O:$O,MATCH($C16,MATERIAL_MASTER!$A:$A,0)))</f>
        <v/>
      </c>
      <c r="H16" s="36" t="str">
        <f t="array" ref="H16">IF($C16="","",INDEX(MATERIAL_MASTER!$P:$P,MATCH($C16,MATERIAL_MASTER!$A:$A,0)))</f>
        <v/>
      </c>
      <c r="I16" s="36" t="str">
        <f t="array" ref="I16">IF($C16="","",INDEX(MATERIAL_FACTOR_APPLICABILITY!$D:$D,MATCH($C16,MATERIAL_FACTOR_APPLICABILITY!$A:$A,0)))</f>
        <v/>
      </c>
      <c r="J16" s="36" t="str">
        <f t="array" ref="J16">IF($C16="","",INDEX(MATERIAL_FACTOR_APPLICABILITY!$E:$E,MATCH($C16,MATERIAL_FACTOR_APPLICABILITY!$A:$A,0)))</f>
        <v/>
      </c>
      <c r="K16" s="36" t="str">
        <f t="array" ref="K16">IF($C16="","",INDEX(MATERIAL_FACTOR_APPLICABILITY!$F:$F,MATCH($C16,MATERIAL_FACTOR_APPLICABILITY!$A:$A,0)))</f>
        <v/>
      </c>
      <c r="L16" s="36" t="str">
        <f t="array" ref="L16">IF($C16="","",INDEX(MATERIAL_FACTOR_APPLICABILITY!$G:$G,MATCH($C16,MATERIAL_FACTOR_APPLICABILITY!$A:$A,0)))</f>
        <v/>
      </c>
      <c r="M16" s="36" t="str">
        <f t="array" ref="M16">IF($C16="","",INDEX(MATERIAL_FACTOR_APPLICABILITY!$H:$H,MATCH($C16,MATERIAL_FACTOR_APPLICABILITY!$A:$A,0)))</f>
        <v/>
      </c>
      <c r="N16" s="36" t="str">
        <f>IF($B16="","",ROUND(1+($I16*(SUMIFS(OBJECT_CONDITIONS!$W:$W,OBJECT_CONDITIONS!$A:$A,$B16)-1))+($J16*(SUMIFS(OBJECT_CONDITIONS!$J:$J,OBJECT_CONDITIONS!$A:$A,$B16)-1))+($K16*(SUMIFS(OBJECT_CONDITIONS!$L:$L,OBJECT_CONDITIONS!$A:$A,$B16)-1))+($L16*(SUMIFS(OBJECT_CONDITIONS!$N:$N,OBJECT_CONDITIONS!$A:$A,$B16)-1))+($M16*(SUMIFS(OBJECT_CONDITIONS!$R:$R,OBJECT_CONDITIONS!$A:$A,$B16)-1)),3))</f>
        <v/>
      </c>
      <c r="O16" s="36"/>
      <c r="P16" s="36" t="str">
        <f t="shared" si="1"/>
        <v/>
      </c>
      <c r="Q16" s="36" t="str">
        <f t="shared" si="2"/>
        <v/>
      </c>
      <c r="R16" s="11" t="str">
        <f t="array" ref="R16">IF($D16="","",IFERROR(INDEX(MATERIAL_VARIANTS!$O:$O,MATCH($D16,MATERIAL_VARIANTS!$A:$A,0)),""))</f>
        <v/>
      </c>
      <c r="S16" s="36" t="str">
        <f t="array" ref="S16">IF($D16="","",IFERROR(INDEX(MATERIAL_VARIANTS!$P:$P,MATCH($D16,MATERIAL_VARIANTS!$A:$A,0)),""))</f>
        <v/>
      </c>
      <c r="T16" s="11" t="str">
        <f t="shared" si="3"/>
        <v/>
      </c>
      <c r="U16" s="11"/>
    </row>
    <row r="17" ht="14.25" customHeight="1">
      <c r="A17" s="11"/>
      <c r="B17" s="11"/>
      <c r="C17" s="11"/>
      <c r="D17" s="11"/>
      <c r="E17" s="11"/>
      <c r="F17" s="11"/>
      <c r="G17" s="11" t="str">
        <f t="array" ref="G17">IF($C17="","",INDEX(MATERIAL_MASTER!$O:$O,MATCH($C17,MATERIAL_MASTER!$A:$A,0)))</f>
        <v/>
      </c>
      <c r="H17" s="36" t="str">
        <f t="array" ref="H17">IF($C17="","",INDEX(MATERIAL_MASTER!$P:$P,MATCH($C17,MATERIAL_MASTER!$A:$A,0)))</f>
        <v/>
      </c>
      <c r="I17" s="36" t="str">
        <f t="array" ref="I17">IF($C17="","",INDEX(MATERIAL_FACTOR_APPLICABILITY!$D:$D,MATCH($C17,MATERIAL_FACTOR_APPLICABILITY!$A:$A,0)))</f>
        <v/>
      </c>
      <c r="J17" s="36" t="str">
        <f t="array" ref="J17">IF($C17="","",INDEX(MATERIAL_FACTOR_APPLICABILITY!$E:$E,MATCH($C17,MATERIAL_FACTOR_APPLICABILITY!$A:$A,0)))</f>
        <v/>
      </c>
      <c r="K17" s="36" t="str">
        <f t="array" ref="K17">IF($C17="","",INDEX(MATERIAL_FACTOR_APPLICABILITY!$F:$F,MATCH($C17,MATERIAL_FACTOR_APPLICABILITY!$A:$A,0)))</f>
        <v/>
      </c>
      <c r="L17" s="36" t="str">
        <f t="array" ref="L17">IF($C17="","",INDEX(MATERIAL_FACTOR_APPLICABILITY!$G:$G,MATCH($C17,MATERIAL_FACTOR_APPLICABILITY!$A:$A,0)))</f>
        <v/>
      </c>
      <c r="M17" s="36" t="str">
        <f t="array" ref="M17">IF($C17="","",INDEX(MATERIAL_FACTOR_APPLICABILITY!$H:$H,MATCH($C17,MATERIAL_FACTOR_APPLICABILITY!$A:$A,0)))</f>
        <v/>
      </c>
      <c r="N17" s="36" t="str">
        <f>IF($B17="","",ROUND(1+($I17*(SUMIFS(OBJECT_CONDITIONS!$W:$W,OBJECT_CONDITIONS!$A:$A,$B17)-1))+($J17*(SUMIFS(OBJECT_CONDITIONS!$J:$J,OBJECT_CONDITIONS!$A:$A,$B17)-1))+($K17*(SUMIFS(OBJECT_CONDITIONS!$L:$L,OBJECT_CONDITIONS!$A:$A,$B17)-1))+($L17*(SUMIFS(OBJECT_CONDITIONS!$N:$N,OBJECT_CONDITIONS!$A:$A,$B17)-1))+($M17*(SUMIFS(OBJECT_CONDITIONS!$R:$R,OBJECT_CONDITIONS!$A:$A,$B17)-1)),3))</f>
        <v/>
      </c>
      <c r="O17" s="36"/>
      <c r="P17" s="36" t="str">
        <f t="shared" si="1"/>
        <v/>
      </c>
      <c r="Q17" s="36" t="str">
        <f t="shared" si="2"/>
        <v/>
      </c>
      <c r="R17" s="11" t="str">
        <f t="array" ref="R17">IF($D17="","",IFERROR(INDEX(MATERIAL_VARIANTS!$O:$O,MATCH($D17,MATERIAL_VARIANTS!$A:$A,0)),""))</f>
        <v/>
      </c>
      <c r="S17" s="36" t="str">
        <f t="array" ref="S17">IF($D17="","",IFERROR(INDEX(MATERIAL_VARIANTS!$P:$P,MATCH($D17,MATERIAL_VARIANTS!$A:$A,0)),""))</f>
        <v/>
      </c>
      <c r="T17" s="11" t="str">
        <f t="shared" si="3"/>
        <v/>
      </c>
      <c r="U17" s="11"/>
    </row>
    <row r="18" ht="14.25" customHeight="1">
      <c r="A18" s="11"/>
      <c r="B18" s="11"/>
      <c r="C18" s="11"/>
      <c r="D18" s="11"/>
      <c r="E18" s="11"/>
      <c r="F18" s="11"/>
      <c r="G18" s="11" t="str">
        <f t="array" ref="G18">IF($C18="","",INDEX(MATERIAL_MASTER!$O:$O,MATCH($C18,MATERIAL_MASTER!$A:$A,0)))</f>
        <v/>
      </c>
      <c r="H18" s="36" t="str">
        <f t="array" ref="H18">IF($C18="","",INDEX(MATERIAL_MASTER!$P:$P,MATCH($C18,MATERIAL_MASTER!$A:$A,0)))</f>
        <v/>
      </c>
      <c r="I18" s="36" t="str">
        <f t="array" ref="I18">IF($C18="","",INDEX(MATERIAL_FACTOR_APPLICABILITY!$D:$D,MATCH($C18,MATERIAL_FACTOR_APPLICABILITY!$A:$A,0)))</f>
        <v/>
      </c>
      <c r="J18" s="36" t="str">
        <f t="array" ref="J18">IF($C18="","",INDEX(MATERIAL_FACTOR_APPLICABILITY!$E:$E,MATCH($C18,MATERIAL_FACTOR_APPLICABILITY!$A:$A,0)))</f>
        <v/>
      </c>
      <c r="K18" s="36" t="str">
        <f t="array" ref="K18">IF($C18="","",INDEX(MATERIAL_FACTOR_APPLICABILITY!$F:$F,MATCH($C18,MATERIAL_FACTOR_APPLICABILITY!$A:$A,0)))</f>
        <v/>
      </c>
      <c r="L18" s="36" t="str">
        <f t="array" ref="L18">IF($C18="","",INDEX(MATERIAL_FACTOR_APPLICABILITY!$G:$G,MATCH($C18,MATERIAL_FACTOR_APPLICABILITY!$A:$A,0)))</f>
        <v/>
      </c>
      <c r="M18" s="36" t="str">
        <f t="array" ref="M18">IF($C18="","",INDEX(MATERIAL_FACTOR_APPLICABILITY!$H:$H,MATCH($C18,MATERIAL_FACTOR_APPLICABILITY!$A:$A,0)))</f>
        <v/>
      </c>
      <c r="N18" s="36" t="str">
        <f>IF($B18="","",ROUND(1+($I18*(SUMIFS(OBJECT_CONDITIONS!$W:$W,OBJECT_CONDITIONS!$A:$A,$B18)-1))+($J18*(SUMIFS(OBJECT_CONDITIONS!$J:$J,OBJECT_CONDITIONS!$A:$A,$B18)-1))+($K18*(SUMIFS(OBJECT_CONDITIONS!$L:$L,OBJECT_CONDITIONS!$A:$A,$B18)-1))+($L18*(SUMIFS(OBJECT_CONDITIONS!$N:$N,OBJECT_CONDITIONS!$A:$A,$B18)-1))+($M18*(SUMIFS(OBJECT_CONDITIONS!$R:$R,OBJECT_CONDITIONS!$A:$A,$B18)-1)),3))</f>
        <v/>
      </c>
      <c r="O18" s="36"/>
      <c r="P18" s="36" t="str">
        <f t="shared" si="1"/>
        <v/>
      </c>
      <c r="Q18" s="36" t="str">
        <f t="shared" si="2"/>
        <v/>
      </c>
      <c r="R18" s="11" t="str">
        <f t="array" ref="R18">IF($D18="","",IFERROR(INDEX(MATERIAL_VARIANTS!$O:$O,MATCH($D18,MATERIAL_VARIANTS!$A:$A,0)),""))</f>
        <v/>
      </c>
      <c r="S18" s="36" t="str">
        <f t="array" ref="S18">IF($D18="","",IFERROR(INDEX(MATERIAL_VARIANTS!$P:$P,MATCH($D18,MATERIAL_VARIANTS!$A:$A,0)),""))</f>
        <v/>
      </c>
      <c r="T18" s="11" t="str">
        <f t="shared" si="3"/>
        <v/>
      </c>
      <c r="U18" s="11"/>
    </row>
    <row r="19" ht="14.25" customHeight="1">
      <c r="A19" s="11"/>
      <c r="B19" s="11"/>
      <c r="C19" s="11"/>
      <c r="D19" s="11"/>
      <c r="E19" s="11"/>
      <c r="F19" s="11"/>
      <c r="G19" s="11" t="str">
        <f t="array" ref="G19">IF($C19="","",INDEX(MATERIAL_MASTER!$O:$O,MATCH($C19,MATERIAL_MASTER!$A:$A,0)))</f>
        <v/>
      </c>
      <c r="H19" s="36" t="str">
        <f t="array" ref="H19">IF($C19="","",INDEX(MATERIAL_MASTER!$P:$P,MATCH($C19,MATERIAL_MASTER!$A:$A,0)))</f>
        <v/>
      </c>
      <c r="I19" s="36" t="str">
        <f t="array" ref="I19">IF($C19="","",INDEX(MATERIAL_FACTOR_APPLICABILITY!$D:$D,MATCH($C19,MATERIAL_FACTOR_APPLICABILITY!$A:$A,0)))</f>
        <v/>
      </c>
      <c r="J19" s="36" t="str">
        <f t="array" ref="J19">IF($C19="","",INDEX(MATERIAL_FACTOR_APPLICABILITY!$E:$E,MATCH($C19,MATERIAL_FACTOR_APPLICABILITY!$A:$A,0)))</f>
        <v/>
      </c>
      <c r="K19" s="36" t="str">
        <f t="array" ref="K19">IF($C19="","",INDEX(MATERIAL_FACTOR_APPLICABILITY!$F:$F,MATCH($C19,MATERIAL_FACTOR_APPLICABILITY!$A:$A,0)))</f>
        <v/>
      </c>
      <c r="L19" s="36" t="str">
        <f t="array" ref="L19">IF($C19="","",INDEX(MATERIAL_FACTOR_APPLICABILITY!$G:$G,MATCH($C19,MATERIAL_FACTOR_APPLICABILITY!$A:$A,0)))</f>
        <v/>
      </c>
      <c r="M19" s="36" t="str">
        <f t="array" ref="M19">IF($C19="","",INDEX(MATERIAL_FACTOR_APPLICABILITY!$H:$H,MATCH($C19,MATERIAL_FACTOR_APPLICABILITY!$A:$A,0)))</f>
        <v/>
      </c>
      <c r="N19" s="36" t="str">
        <f>IF($B19="","",ROUND(1+($I19*(SUMIFS(OBJECT_CONDITIONS!$W:$W,OBJECT_CONDITIONS!$A:$A,$B19)-1))+($J19*(SUMIFS(OBJECT_CONDITIONS!$J:$J,OBJECT_CONDITIONS!$A:$A,$B19)-1))+($K19*(SUMIFS(OBJECT_CONDITIONS!$L:$L,OBJECT_CONDITIONS!$A:$A,$B19)-1))+($L19*(SUMIFS(OBJECT_CONDITIONS!$N:$N,OBJECT_CONDITIONS!$A:$A,$B19)-1))+($M19*(SUMIFS(OBJECT_CONDITIONS!$R:$R,OBJECT_CONDITIONS!$A:$A,$B19)-1)),3))</f>
        <v/>
      </c>
      <c r="O19" s="36"/>
      <c r="P19" s="36" t="str">
        <f t="shared" si="1"/>
        <v/>
      </c>
      <c r="Q19" s="36" t="str">
        <f t="shared" si="2"/>
        <v/>
      </c>
      <c r="R19" s="11" t="str">
        <f t="array" ref="R19">IF($D19="","",IFERROR(INDEX(MATERIAL_VARIANTS!$O:$O,MATCH($D19,MATERIAL_VARIANTS!$A:$A,0)),""))</f>
        <v/>
      </c>
      <c r="S19" s="36" t="str">
        <f t="array" ref="S19">IF($D19="","",IFERROR(INDEX(MATERIAL_VARIANTS!$P:$P,MATCH($D19,MATERIAL_VARIANTS!$A:$A,0)),""))</f>
        <v/>
      </c>
      <c r="T19" s="11" t="str">
        <f t="shared" si="3"/>
        <v/>
      </c>
      <c r="U19" s="11"/>
    </row>
    <row r="20" ht="14.25" customHeight="1">
      <c r="A20" s="11"/>
      <c r="B20" s="11"/>
      <c r="C20" s="11"/>
      <c r="D20" s="11"/>
      <c r="E20" s="11"/>
      <c r="F20" s="11"/>
      <c r="G20" s="11" t="str">
        <f t="array" ref="G20">IF($C20="","",INDEX(MATERIAL_MASTER!$O:$O,MATCH($C20,MATERIAL_MASTER!$A:$A,0)))</f>
        <v/>
      </c>
      <c r="H20" s="36" t="str">
        <f t="array" ref="H20">IF($C20="","",INDEX(MATERIAL_MASTER!$P:$P,MATCH($C20,MATERIAL_MASTER!$A:$A,0)))</f>
        <v/>
      </c>
      <c r="I20" s="36" t="str">
        <f t="array" ref="I20">IF($C20="","",INDEX(MATERIAL_FACTOR_APPLICABILITY!$D:$D,MATCH($C20,MATERIAL_FACTOR_APPLICABILITY!$A:$A,0)))</f>
        <v/>
      </c>
      <c r="J20" s="36" t="str">
        <f t="array" ref="J20">IF($C20="","",INDEX(MATERIAL_FACTOR_APPLICABILITY!$E:$E,MATCH($C20,MATERIAL_FACTOR_APPLICABILITY!$A:$A,0)))</f>
        <v/>
      </c>
      <c r="K20" s="36" t="str">
        <f t="array" ref="K20">IF($C20="","",INDEX(MATERIAL_FACTOR_APPLICABILITY!$F:$F,MATCH($C20,MATERIAL_FACTOR_APPLICABILITY!$A:$A,0)))</f>
        <v/>
      </c>
      <c r="L20" s="36" t="str">
        <f t="array" ref="L20">IF($C20="","",INDEX(MATERIAL_FACTOR_APPLICABILITY!$G:$G,MATCH($C20,MATERIAL_FACTOR_APPLICABILITY!$A:$A,0)))</f>
        <v/>
      </c>
      <c r="M20" s="36" t="str">
        <f t="array" ref="M20">IF($C20="","",INDEX(MATERIAL_FACTOR_APPLICABILITY!$H:$H,MATCH($C20,MATERIAL_FACTOR_APPLICABILITY!$A:$A,0)))</f>
        <v/>
      </c>
      <c r="N20" s="36" t="str">
        <f>IF($B20="","",ROUND(1+($I20*(SUMIFS(OBJECT_CONDITIONS!$W:$W,OBJECT_CONDITIONS!$A:$A,$B20)-1))+($J20*(SUMIFS(OBJECT_CONDITIONS!$J:$J,OBJECT_CONDITIONS!$A:$A,$B20)-1))+($K20*(SUMIFS(OBJECT_CONDITIONS!$L:$L,OBJECT_CONDITIONS!$A:$A,$B20)-1))+($L20*(SUMIFS(OBJECT_CONDITIONS!$N:$N,OBJECT_CONDITIONS!$A:$A,$B20)-1))+($M20*(SUMIFS(OBJECT_CONDITIONS!$R:$R,OBJECT_CONDITIONS!$A:$A,$B20)-1)),3))</f>
        <v/>
      </c>
      <c r="O20" s="36"/>
      <c r="P20" s="36" t="str">
        <f t="shared" si="1"/>
        <v/>
      </c>
      <c r="Q20" s="36" t="str">
        <f t="shared" si="2"/>
        <v/>
      </c>
      <c r="R20" s="11" t="str">
        <f t="array" ref="R20">IF($D20="","",IFERROR(INDEX(MATERIAL_VARIANTS!$O:$O,MATCH($D20,MATERIAL_VARIANTS!$A:$A,0)),""))</f>
        <v/>
      </c>
      <c r="S20" s="36" t="str">
        <f t="array" ref="S20">IF($D20="","",IFERROR(INDEX(MATERIAL_VARIANTS!$P:$P,MATCH($D20,MATERIAL_VARIANTS!$A:$A,0)),""))</f>
        <v/>
      </c>
      <c r="T20" s="11" t="str">
        <f t="shared" si="3"/>
        <v/>
      </c>
      <c r="U20" s="11"/>
    </row>
    <row r="21" ht="14.25" customHeight="1">
      <c r="A21" s="11"/>
      <c r="B21" s="11"/>
      <c r="C21" s="11"/>
      <c r="D21" s="11"/>
      <c r="E21" s="11"/>
      <c r="F21" s="11"/>
      <c r="G21" s="11" t="str">
        <f t="array" ref="G21">IF($C21="","",INDEX(MATERIAL_MASTER!$O:$O,MATCH($C21,MATERIAL_MASTER!$A:$A,0)))</f>
        <v/>
      </c>
      <c r="H21" s="36" t="str">
        <f t="array" ref="H21">IF($C21="","",INDEX(MATERIAL_MASTER!$P:$P,MATCH($C21,MATERIAL_MASTER!$A:$A,0)))</f>
        <v/>
      </c>
      <c r="I21" s="36" t="str">
        <f t="array" ref="I21">IF($C21="","",INDEX(MATERIAL_FACTOR_APPLICABILITY!$D:$D,MATCH($C21,MATERIAL_FACTOR_APPLICABILITY!$A:$A,0)))</f>
        <v/>
      </c>
      <c r="J21" s="36" t="str">
        <f t="array" ref="J21">IF($C21="","",INDEX(MATERIAL_FACTOR_APPLICABILITY!$E:$E,MATCH($C21,MATERIAL_FACTOR_APPLICABILITY!$A:$A,0)))</f>
        <v/>
      </c>
      <c r="K21" s="36" t="str">
        <f t="array" ref="K21">IF($C21="","",INDEX(MATERIAL_FACTOR_APPLICABILITY!$F:$F,MATCH($C21,MATERIAL_FACTOR_APPLICABILITY!$A:$A,0)))</f>
        <v/>
      </c>
      <c r="L21" s="36" t="str">
        <f t="array" ref="L21">IF($C21="","",INDEX(MATERIAL_FACTOR_APPLICABILITY!$G:$G,MATCH($C21,MATERIAL_FACTOR_APPLICABILITY!$A:$A,0)))</f>
        <v/>
      </c>
      <c r="M21" s="36" t="str">
        <f t="array" ref="M21">IF($C21="","",INDEX(MATERIAL_FACTOR_APPLICABILITY!$H:$H,MATCH($C21,MATERIAL_FACTOR_APPLICABILITY!$A:$A,0)))</f>
        <v/>
      </c>
      <c r="N21" s="36" t="str">
        <f>IF($B21="","",ROUND(1+($I21*(SUMIFS(OBJECT_CONDITIONS!$W:$W,OBJECT_CONDITIONS!$A:$A,$B21)-1))+($J21*(SUMIFS(OBJECT_CONDITIONS!$J:$J,OBJECT_CONDITIONS!$A:$A,$B21)-1))+($K21*(SUMIFS(OBJECT_CONDITIONS!$L:$L,OBJECT_CONDITIONS!$A:$A,$B21)-1))+($L21*(SUMIFS(OBJECT_CONDITIONS!$N:$N,OBJECT_CONDITIONS!$A:$A,$B21)-1))+($M21*(SUMIFS(OBJECT_CONDITIONS!$R:$R,OBJECT_CONDITIONS!$A:$A,$B21)-1)),3))</f>
        <v/>
      </c>
      <c r="O21" s="36"/>
      <c r="P21" s="36" t="str">
        <f t="shared" si="1"/>
        <v/>
      </c>
      <c r="Q21" s="36" t="str">
        <f t="shared" si="2"/>
        <v/>
      </c>
      <c r="R21" s="11" t="str">
        <f t="array" ref="R21">IF($D21="","",IFERROR(INDEX(MATERIAL_VARIANTS!$O:$O,MATCH($D21,MATERIAL_VARIANTS!$A:$A,0)),""))</f>
        <v/>
      </c>
      <c r="S21" s="36" t="str">
        <f t="array" ref="S21">IF($D21="","",IFERROR(INDEX(MATERIAL_VARIANTS!$P:$P,MATCH($D21,MATERIAL_VARIANTS!$A:$A,0)),""))</f>
        <v/>
      </c>
      <c r="T21" s="11" t="str">
        <f t="shared" si="3"/>
        <v/>
      </c>
      <c r="U21" s="11"/>
    </row>
    <row r="22" ht="14.25" customHeight="1">
      <c r="A22" s="11"/>
      <c r="B22" s="11"/>
      <c r="C22" s="11"/>
      <c r="D22" s="11"/>
      <c r="E22" s="11"/>
      <c r="F22" s="11"/>
      <c r="G22" s="11" t="str">
        <f t="array" ref="G22">IF($C22="","",INDEX(MATERIAL_MASTER!$O:$O,MATCH($C22,MATERIAL_MASTER!$A:$A,0)))</f>
        <v/>
      </c>
      <c r="H22" s="36" t="str">
        <f t="array" ref="H22">IF($C22="","",INDEX(MATERIAL_MASTER!$P:$P,MATCH($C22,MATERIAL_MASTER!$A:$A,0)))</f>
        <v/>
      </c>
      <c r="I22" s="36" t="str">
        <f t="array" ref="I22">IF($C22="","",INDEX(MATERIAL_FACTOR_APPLICABILITY!$D:$D,MATCH($C22,MATERIAL_FACTOR_APPLICABILITY!$A:$A,0)))</f>
        <v/>
      </c>
      <c r="J22" s="36" t="str">
        <f t="array" ref="J22">IF($C22="","",INDEX(MATERIAL_FACTOR_APPLICABILITY!$E:$E,MATCH($C22,MATERIAL_FACTOR_APPLICABILITY!$A:$A,0)))</f>
        <v/>
      </c>
      <c r="K22" s="36" t="str">
        <f t="array" ref="K22">IF($C22="","",INDEX(MATERIAL_FACTOR_APPLICABILITY!$F:$F,MATCH($C22,MATERIAL_FACTOR_APPLICABILITY!$A:$A,0)))</f>
        <v/>
      </c>
      <c r="L22" s="36" t="str">
        <f t="array" ref="L22">IF($C22="","",INDEX(MATERIAL_FACTOR_APPLICABILITY!$G:$G,MATCH($C22,MATERIAL_FACTOR_APPLICABILITY!$A:$A,0)))</f>
        <v/>
      </c>
      <c r="M22" s="36" t="str">
        <f t="array" ref="M22">IF($C22="","",INDEX(MATERIAL_FACTOR_APPLICABILITY!$H:$H,MATCH($C22,MATERIAL_FACTOR_APPLICABILITY!$A:$A,0)))</f>
        <v/>
      </c>
      <c r="N22" s="36" t="str">
        <f>IF($B22="","",ROUND(1+($I22*(SUMIFS(OBJECT_CONDITIONS!$W:$W,OBJECT_CONDITIONS!$A:$A,$B22)-1))+($J22*(SUMIFS(OBJECT_CONDITIONS!$J:$J,OBJECT_CONDITIONS!$A:$A,$B22)-1))+($K22*(SUMIFS(OBJECT_CONDITIONS!$L:$L,OBJECT_CONDITIONS!$A:$A,$B22)-1))+($L22*(SUMIFS(OBJECT_CONDITIONS!$N:$N,OBJECT_CONDITIONS!$A:$A,$B22)-1))+($M22*(SUMIFS(OBJECT_CONDITIONS!$R:$R,OBJECT_CONDITIONS!$A:$A,$B22)-1)),3))</f>
        <v/>
      </c>
      <c r="O22" s="36"/>
      <c r="P22" s="36" t="str">
        <f t="shared" si="1"/>
        <v/>
      </c>
      <c r="Q22" s="36" t="str">
        <f t="shared" si="2"/>
        <v/>
      </c>
      <c r="R22" s="11" t="str">
        <f t="array" ref="R22">IF($D22="","",IFERROR(INDEX(MATERIAL_VARIANTS!$O:$O,MATCH($D22,MATERIAL_VARIANTS!$A:$A,0)),""))</f>
        <v/>
      </c>
      <c r="S22" s="36" t="str">
        <f t="array" ref="S22">IF($D22="","",IFERROR(INDEX(MATERIAL_VARIANTS!$P:$P,MATCH($D22,MATERIAL_VARIANTS!$A:$A,0)),""))</f>
        <v/>
      </c>
      <c r="T22" s="11" t="str">
        <f t="shared" si="3"/>
        <v/>
      </c>
      <c r="U22" s="11"/>
    </row>
    <row r="23" ht="14.25" customHeight="1">
      <c r="A23" s="11"/>
      <c r="B23" s="11"/>
      <c r="C23" s="11"/>
      <c r="D23" s="11"/>
      <c r="E23" s="11"/>
      <c r="F23" s="11"/>
      <c r="G23" s="11" t="str">
        <f t="array" ref="G23">IF($C23="","",INDEX(MATERIAL_MASTER!$O:$O,MATCH($C23,MATERIAL_MASTER!$A:$A,0)))</f>
        <v/>
      </c>
      <c r="H23" s="36" t="str">
        <f t="array" ref="H23">IF($C23="","",INDEX(MATERIAL_MASTER!$P:$P,MATCH($C23,MATERIAL_MASTER!$A:$A,0)))</f>
        <v/>
      </c>
      <c r="I23" s="36" t="str">
        <f t="array" ref="I23">IF($C23="","",INDEX(MATERIAL_FACTOR_APPLICABILITY!$D:$D,MATCH($C23,MATERIAL_FACTOR_APPLICABILITY!$A:$A,0)))</f>
        <v/>
      </c>
      <c r="J23" s="36" t="str">
        <f t="array" ref="J23">IF($C23="","",INDEX(MATERIAL_FACTOR_APPLICABILITY!$E:$E,MATCH($C23,MATERIAL_FACTOR_APPLICABILITY!$A:$A,0)))</f>
        <v/>
      </c>
      <c r="K23" s="36" t="str">
        <f t="array" ref="K23">IF($C23="","",INDEX(MATERIAL_FACTOR_APPLICABILITY!$F:$F,MATCH($C23,MATERIAL_FACTOR_APPLICABILITY!$A:$A,0)))</f>
        <v/>
      </c>
      <c r="L23" s="36" t="str">
        <f t="array" ref="L23">IF($C23="","",INDEX(MATERIAL_FACTOR_APPLICABILITY!$G:$G,MATCH($C23,MATERIAL_FACTOR_APPLICABILITY!$A:$A,0)))</f>
        <v/>
      </c>
      <c r="M23" s="36" t="str">
        <f t="array" ref="M23">IF($C23="","",INDEX(MATERIAL_FACTOR_APPLICABILITY!$H:$H,MATCH($C23,MATERIAL_FACTOR_APPLICABILITY!$A:$A,0)))</f>
        <v/>
      </c>
      <c r="N23" s="36" t="str">
        <f>IF($B23="","",ROUND(1+($I23*(SUMIFS(OBJECT_CONDITIONS!$W:$W,OBJECT_CONDITIONS!$A:$A,$B23)-1))+($J23*(SUMIFS(OBJECT_CONDITIONS!$J:$J,OBJECT_CONDITIONS!$A:$A,$B23)-1))+($K23*(SUMIFS(OBJECT_CONDITIONS!$L:$L,OBJECT_CONDITIONS!$A:$A,$B23)-1))+($L23*(SUMIFS(OBJECT_CONDITIONS!$N:$N,OBJECT_CONDITIONS!$A:$A,$B23)-1))+($M23*(SUMIFS(OBJECT_CONDITIONS!$R:$R,OBJECT_CONDITIONS!$A:$A,$B23)-1)),3))</f>
        <v/>
      </c>
      <c r="O23" s="36"/>
      <c r="P23" s="36" t="str">
        <f t="shared" si="1"/>
        <v/>
      </c>
      <c r="Q23" s="36" t="str">
        <f t="shared" si="2"/>
        <v/>
      </c>
      <c r="R23" s="11" t="str">
        <f t="array" ref="R23">IF($D23="","",IFERROR(INDEX(MATERIAL_VARIANTS!$O:$O,MATCH($D23,MATERIAL_VARIANTS!$A:$A,0)),""))</f>
        <v/>
      </c>
      <c r="S23" s="36" t="str">
        <f t="array" ref="S23">IF($D23="","",IFERROR(INDEX(MATERIAL_VARIANTS!$P:$P,MATCH($D23,MATERIAL_VARIANTS!$A:$A,0)),""))</f>
        <v/>
      </c>
      <c r="T23" s="11" t="str">
        <f t="shared" si="3"/>
        <v/>
      </c>
      <c r="U23" s="11"/>
    </row>
    <row r="24" ht="14.25" customHeight="1">
      <c r="A24" s="11"/>
      <c r="B24" s="11"/>
      <c r="C24" s="11"/>
      <c r="D24" s="11"/>
      <c r="E24" s="11"/>
      <c r="F24" s="11"/>
      <c r="G24" s="11" t="str">
        <f t="array" ref="G24">IF($C24="","",INDEX(MATERIAL_MASTER!$O:$O,MATCH($C24,MATERIAL_MASTER!$A:$A,0)))</f>
        <v/>
      </c>
      <c r="H24" s="36" t="str">
        <f t="array" ref="H24">IF($C24="","",INDEX(MATERIAL_MASTER!$P:$P,MATCH($C24,MATERIAL_MASTER!$A:$A,0)))</f>
        <v/>
      </c>
      <c r="I24" s="36" t="str">
        <f t="array" ref="I24">IF($C24="","",INDEX(MATERIAL_FACTOR_APPLICABILITY!$D:$D,MATCH($C24,MATERIAL_FACTOR_APPLICABILITY!$A:$A,0)))</f>
        <v/>
      </c>
      <c r="J24" s="36" t="str">
        <f t="array" ref="J24">IF($C24="","",INDEX(MATERIAL_FACTOR_APPLICABILITY!$E:$E,MATCH($C24,MATERIAL_FACTOR_APPLICABILITY!$A:$A,0)))</f>
        <v/>
      </c>
      <c r="K24" s="36" t="str">
        <f t="array" ref="K24">IF($C24="","",INDEX(MATERIAL_FACTOR_APPLICABILITY!$F:$F,MATCH($C24,MATERIAL_FACTOR_APPLICABILITY!$A:$A,0)))</f>
        <v/>
      </c>
      <c r="L24" s="36" t="str">
        <f t="array" ref="L24">IF($C24="","",INDEX(MATERIAL_FACTOR_APPLICABILITY!$G:$G,MATCH($C24,MATERIAL_FACTOR_APPLICABILITY!$A:$A,0)))</f>
        <v/>
      </c>
      <c r="M24" s="36" t="str">
        <f t="array" ref="M24">IF($C24="","",INDEX(MATERIAL_FACTOR_APPLICABILITY!$H:$H,MATCH($C24,MATERIAL_FACTOR_APPLICABILITY!$A:$A,0)))</f>
        <v/>
      </c>
      <c r="N24" s="36" t="str">
        <f>IF($B24="","",ROUND(1+($I24*(SUMIFS(OBJECT_CONDITIONS!$W:$W,OBJECT_CONDITIONS!$A:$A,$B24)-1))+($J24*(SUMIFS(OBJECT_CONDITIONS!$J:$J,OBJECT_CONDITIONS!$A:$A,$B24)-1))+($K24*(SUMIFS(OBJECT_CONDITIONS!$L:$L,OBJECT_CONDITIONS!$A:$A,$B24)-1))+($L24*(SUMIFS(OBJECT_CONDITIONS!$N:$N,OBJECT_CONDITIONS!$A:$A,$B24)-1))+($M24*(SUMIFS(OBJECT_CONDITIONS!$R:$R,OBJECT_CONDITIONS!$A:$A,$B24)-1)),3))</f>
        <v/>
      </c>
      <c r="O24" s="36"/>
      <c r="P24" s="36" t="str">
        <f t="shared" si="1"/>
        <v/>
      </c>
      <c r="Q24" s="36" t="str">
        <f t="shared" si="2"/>
        <v/>
      </c>
      <c r="R24" s="11" t="str">
        <f t="array" ref="R24">IF($D24="","",IFERROR(INDEX(MATERIAL_VARIANTS!$O:$O,MATCH($D24,MATERIAL_VARIANTS!$A:$A,0)),""))</f>
        <v/>
      </c>
      <c r="S24" s="36" t="str">
        <f t="array" ref="S24">IF($D24="","",IFERROR(INDEX(MATERIAL_VARIANTS!$P:$P,MATCH($D24,MATERIAL_VARIANTS!$A:$A,0)),""))</f>
        <v/>
      </c>
      <c r="T24" s="11" t="str">
        <f t="shared" si="3"/>
        <v/>
      </c>
      <c r="U24" s="11"/>
    </row>
    <row r="25" ht="14.25" customHeight="1">
      <c r="A25" s="11"/>
      <c r="B25" s="11"/>
      <c r="C25" s="11"/>
      <c r="D25" s="11"/>
      <c r="E25" s="11"/>
      <c r="F25" s="11"/>
      <c r="G25" s="11" t="str">
        <f t="array" ref="G25">IF($C25="","",INDEX(MATERIAL_MASTER!$O:$O,MATCH($C25,MATERIAL_MASTER!$A:$A,0)))</f>
        <v/>
      </c>
      <c r="H25" s="36" t="str">
        <f t="array" ref="H25">IF($C25="","",INDEX(MATERIAL_MASTER!$P:$P,MATCH($C25,MATERIAL_MASTER!$A:$A,0)))</f>
        <v/>
      </c>
      <c r="I25" s="36" t="str">
        <f t="array" ref="I25">IF($C25="","",INDEX(MATERIAL_FACTOR_APPLICABILITY!$D:$D,MATCH($C25,MATERIAL_FACTOR_APPLICABILITY!$A:$A,0)))</f>
        <v/>
      </c>
      <c r="J25" s="36" t="str">
        <f t="array" ref="J25">IF($C25="","",INDEX(MATERIAL_FACTOR_APPLICABILITY!$E:$E,MATCH($C25,MATERIAL_FACTOR_APPLICABILITY!$A:$A,0)))</f>
        <v/>
      </c>
      <c r="K25" s="36" t="str">
        <f t="array" ref="K25">IF($C25="","",INDEX(MATERIAL_FACTOR_APPLICABILITY!$F:$F,MATCH($C25,MATERIAL_FACTOR_APPLICABILITY!$A:$A,0)))</f>
        <v/>
      </c>
      <c r="L25" s="36" t="str">
        <f t="array" ref="L25">IF($C25="","",INDEX(MATERIAL_FACTOR_APPLICABILITY!$G:$G,MATCH($C25,MATERIAL_FACTOR_APPLICABILITY!$A:$A,0)))</f>
        <v/>
      </c>
      <c r="M25" s="36" t="str">
        <f t="array" ref="M25">IF($C25="","",INDEX(MATERIAL_FACTOR_APPLICABILITY!$H:$H,MATCH($C25,MATERIAL_FACTOR_APPLICABILITY!$A:$A,0)))</f>
        <v/>
      </c>
      <c r="N25" s="36" t="str">
        <f>IF($B25="","",ROUND(1+($I25*(SUMIFS(OBJECT_CONDITIONS!$W:$W,OBJECT_CONDITIONS!$A:$A,$B25)-1))+($J25*(SUMIFS(OBJECT_CONDITIONS!$J:$J,OBJECT_CONDITIONS!$A:$A,$B25)-1))+($K25*(SUMIFS(OBJECT_CONDITIONS!$L:$L,OBJECT_CONDITIONS!$A:$A,$B25)-1))+($L25*(SUMIFS(OBJECT_CONDITIONS!$N:$N,OBJECT_CONDITIONS!$A:$A,$B25)-1))+($M25*(SUMIFS(OBJECT_CONDITIONS!$R:$R,OBJECT_CONDITIONS!$A:$A,$B25)-1)),3))</f>
        <v/>
      </c>
      <c r="O25" s="36"/>
      <c r="P25" s="36" t="str">
        <f t="shared" si="1"/>
        <v/>
      </c>
      <c r="Q25" s="36" t="str">
        <f t="shared" si="2"/>
        <v/>
      </c>
      <c r="R25" s="11" t="str">
        <f t="array" ref="R25">IF($D25="","",IFERROR(INDEX(MATERIAL_VARIANTS!$O:$O,MATCH($D25,MATERIAL_VARIANTS!$A:$A,0)),""))</f>
        <v/>
      </c>
      <c r="S25" s="36" t="str">
        <f t="array" ref="S25">IF($D25="","",IFERROR(INDEX(MATERIAL_VARIANTS!$P:$P,MATCH($D25,MATERIAL_VARIANTS!$A:$A,0)),""))</f>
        <v/>
      </c>
      <c r="T25" s="11" t="str">
        <f t="shared" si="3"/>
        <v/>
      </c>
      <c r="U25" s="11"/>
    </row>
    <row r="26" ht="14.25" customHeight="1">
      <c r="A26" s="11"/>
      <c r="B26" s="11"/>
      <c r="C26" s="11"/>
      <c r="D26" s="11"/>
      <c r="E26" s="11"/>
      <c r="F26" s="11"/>
      <c r="G26" s="11" t="str">
        <f t="array" ref="G26">IF($C26="","",INDEX(MATERIAL_MASTER!$O:$O,MATCH($C26,MATERIAL_MASTER!$A:$A,0)))</f>
        <v/>
      </c>
      <c r="H26" s="36" t="str">
        <f t="array" ref="H26">IF($C26="","",INDEX(MATERIAL_MASTER!$P:$P,MATCH($C26,MATERIAL_MASTER!$A:$A,0)))</f>
        <v/>
      </c>
      <c r="I26" s="36" t="str">
        <f t="array" ref="I26">IF($C26="","",INDEX(MATERIAL_FACTOR_APPLICABILITY!$D:$D,MATCH($C26,MATERIAL_FACTOR_APPLICABILITY!$A:$A,0)))</f>
        <v/>
      </c>
      <c r="J26" s="36" t="str">
        <f t="array" ref="J26">IF($C26="","",INDEX(MATERIAL_FACTOR_APPLICABILITY!$E:$E,MATCH($C26,MATERIAL_FACTOR_APPLICABILITY!$A:$A,0)))</f>
        <v/>
      </c>
      <c r="K26" s="36" t="str">
        <f t="array" ref="K26">IF($C26="","",INDEX(MATERIAL_FACTOR_APPLICABILITY!$F:$F,MATCH($C26,MATERIAL_FACTOR_APPLICABILITY!$A:$A,0)))</f>
        <v/>
      </c>
      <c r="L26" s="36" t="str">
        <f t="array" ref="L26">IF($C26="","",INDEX(MATERIAL_FACTOR_APPLICABILITY!$G:$G,MATCH($C26,MATERIAL_FACTOR_APPLICABILITY!$A:$A,0)))</f>
        <v/>
      </c>
      <c r="M26" s="36" t="str">
        <f t="array" ref="M26">IF($C26="","",INDEX(MATERIAL_FACTOR_APPLICABILITY!$H:$H,MATCH($C26,MATERIAL_FACTOR_APPLICABILITY!$A:$A,0)))</f>
        <v/>
      </c>
      <c r="N26" s="36" t="str">
        <f>IF($B26="","",ROUND(1+($I26*(SUMIFS(OBJECT_CONDITIONS!$W:$W,OBJECT_CONDITIONS!$A:$A,$B26)-1))+($J26*(SUMIFS(OBJECT_CONDITIONS!$J:$J,OBJECT_CONDITIONS!$A:$A,$B26)-1))+($K26*(SUMIFS(OBJECT_CONDITIONS!$L:$L,OBJECT_CONDITIONS!$A:$A,$B26)-1))+($L26*(SUMIFS(OBJECT_CONDITIONS!$N:$N,OBJECT_CONDITIONS!$A:$A,$B26)-1))+($M26*(SUMIFS(OBJECT_CONDITIONS!$R:$R,OBJECT_CONDITIONS!$A:$A,$B26)-1)),3))</f>
        <v/>
      </c>
      <c r="O26" s="36"/>
      <c r="P26" s="36" t="str">
        <f t="shared" si="1"/>
        <v/>
      </c>
      <c r="Q26" s="36" t="str">
        <f t="shared" si="2"/>
        <v/>
      </c>
      <c r="R26" s="11" t="str">
        <f t="array" ref="R26">IF($D26="","",IFERROR(INDEX(MATERIAL_VARIANTS!$O:$O,MATCH($D26,MATERIAL_VARIANTS!$A:$A,0)),""))</f>
        <v/>
      </c>
      <c r="S26" s="36" t="str">
        <f t="array" ref="S26">IF($D26="","",IFERROR(INDEX(MATERIAL_VARIANTS!$P:$P,MATCH($D26,MATERIAL_VARIANTS!$A:$A,0)),""))</f>
        <v/>
      </c>
      <c r="T26" s="11" t="str">
        <f t="shared" si="3"/>
        <v/>
      </c>
      <c r="U26" s="11"/>
    </row>
    <row r="27" ht="14.25" customHeight="1">
      <c r="A27" s="11"/>
      <c r="B27" s="11"/>
      <c r="C27" s="11"/>
      <c r="D27" s="11"/>
      <c r="E27" s="11"/>
      <c r="F27" s="11"/>
      <c r="G27" s="11" t="str">
        <f t="array" ref="G27">IF($C27="","",INDEX(MATERIAL_MASTER!$O:$O,MATCH($C27,MATERIAL_MASTER!$A:$A,0)))</f>
        <v/>
      </c>
      <c r="H27" s="36" t="str">
        <f t="array" ref="H27">IF($C27="","",INDEX(MATERIAL_MASTER!$P:$P,MATCH($C27,MATERIAL_MASTER!$A:$A,0)))</f>
        <v/>
      </c>
      <c r="I27" s="36" t="str">
        <f t="array" ref="I27">IF($C27="","",INDEX(MATERIAL_FACTOR_APPLICABILITY!$D:$D,MATCH($C27,MATERIAL_FACTOR_APPLICABILITY!$A:$A,0)))</f>
        <v/>
      </c>
      <c r="J27" s="36" t="str">
        <f t="array" ref="J27">IF($C27="","",INDEX(MATERIAL_FACTOR_APPLICABILITY!$E:$E,MATCH($C27,MATERIAL_FACTOR_APPLICABILITY!$A:$A,0)))</f>
        <v/>
      </c>
      <c r="K27" s="36" t="str">
        <f t="array" ref="K27">IF($C27="","",INDEX(MATERIAL_FACTOR_APPLICABILITY!$F:$F,MATCH($C27,MATERIAL_FACTOR_APPLICABILITY!$A:$A,0)))</f>
        <v/>
      </c>
      <c r="L27" s="36" t="str">
        <f t="array" ref="L27">IF($C27="","",INDEX(MATERIAL_FACTOR_APPLICABILITY!$G:$G,MATCH($C27,MATERIAL_FACTOR_APPLICABILITY!$A:$A,0)))</f>
        <v/>
      </c>
      <c r="M27" s="36" t="str">
        <f t="array" ref="M27">IF($C27="","",INDEX(MATERIAL_FACTOR_APPLICABILITY!$H:$H,MATCH($C27,MATERIAL_FACTOR_APPLICABILITY!$A:$A,0)))</f>
        <v/>
      </c>
      <c r="N27" s="36" t="str">
        <f>IF($B27="","",ROUND(1+($I27*(SUMIFS(OBJECT_CONDITIONS!$W:$W,OBJECT_CONDITIONS!$A:$A,$B27)-1))+($J27*(SUMIFS(OBJECT_CONDITIONS!$J:$J,OBJECT_CONDITIONS!$A:$A,$B27)-1))+($K27*(SUMIFS(OBJECT_CONDITIONS!$L:$L,OBJECT_CONDITIONS!$A:$A,$B27)-1))+($L27*(SUMIFS(OBJECT_CONDITIONS!$N:$N,OBJECT_CONDITIONS!$A:$A,$B27)-1))+($M27*(SUMIFS(OBJECT_CONDITIONS!$R:$R,OBJECT_CONDITIONS!$A:$A,$B27)-1)),3))</f>
        <v/>
      </c>
      <c r="O27" s="36"/>
      <c r="P27" s="36" t="str">
        <f t="shared" si="1"/>
        <v/>
      </c>
      <c r="Q27" s="36" t="str">
        <f t="shared" si="2"/>
        <v/>
      </c>
      <c r="R27" s="11" t="str">
        <f t="array" ref="R27">IF($D27="","",IFERROR(INDEX(MATERIAL_VARIANTS!$O:$O,MATCH($D27,MATERIAL_VARIANTS!$A:$A,0)),""))</f>
        <v/>
      </c>
      <c r="S27" s="36" t="str">
        <f t="array" ref="S27">IF($D27="","",IFERROR(INDEX(MATERIAL_VARIANTS!$P:$P,MATCH($D27,MATERIAL_VARIANTS!$A:$A,0)),""))</f>
        <v/>
      </c>
      <c r="T27" s="11" t="str">
        <f t="shared" si="3"/>
        <v/>
      </c>
      <c r="U27" s="11"/>
    </row>
    <row r="28" ht="14.25" customHeight="1">
      <c r="A28" s="11"/>
      <c r="B28" s="11"/>
      <c r="C28" s="11"/>
      <c r="D28" s="11"/>
      <c r="E28" s="11"/>
      <c r="F28" s="11"/>
      <c r="G28" s="11" t="str">
        <f t="array" ref="G28">IF($C28="","",INDEX(MATERIAL_MASTER!$O:$O,MATCH($C28,MATERIAL_MASTER!$A:$A,0)))</f>
        <v/>
      </c>
      <c r="H28" s="36" t="str">
        <f t="array" ref="H28">IF($C28="","",INDEX(MATERIAL_MASTER!$P:$P,MATCH($C28,MATERIAL_MASTER!$A:$A,0)))</f>
        <v/>
      </c>
      <c r="I28" s="36" t="str">
        <f t="array" ref="I28">IF($C28="","",INDEX(MATERIAL_FACTOR_APPLICABILITY!$D:$D,MATCH($C28,MATERIAL_FACTOR_APPLICABILITY!$A:$A,0)))</f>
        <v/>
      </c>
      <c r="J28" s="36" t="str">
        <f t="array" ref="J28">IF($C28="","",INDEX(MATERIAL_FACTOR_APPLICABILITY!$E:$E,MATCH($C28,MATERIAL_FACTOR_APPLICABILITY!$A:$A,0)))</f>
        <v/>
      </c>
      <c r="K28" s="36" t="str">
        <f t="array" ref="K28">IF($C28="","",INDEX(MATERIAL_FACTOR_APPLICABILITY!$F:$F,MATCH($C28,MATERIAL_FACTOR_APPLICABILITY!$A:$A,0)))</f>
        <v/>
      </c>
      <c r="L28" s="36" t="str">
        <f t="array" ref="L28">IF($C28="","",INDEX(MATERIAL_FACTOR_APPLICABILITY!$G:$G,MATCH($C28,MATERIAL_FACTOR_APPLICABILITY!$A:$A,0)))</f>
        <v/>
      </c>
      <c r="M28" s="36" t="str">
        <f t="array" ref="M28">IF($C28="","",INDEX(MATERIAL_FACTOR_APPLICABILITY!$H:$H,MATCH($C28,MATERIAL_FACTOR_APPLICABILITY!$A:$A,0)))</f>
        <v/>
      </c>
      <c r="N28" s="36" t="str">
        <f>IF($B28="","",ROUND(1+($I28*(SUMIFS(OBJECT_CONDITIONS!$W:$W,OBJECT_CONDITIONS!$A:$A,$B28)-1))+($J28*(SUMIFS(OBJECT_CONDITIONS!$J:$J,OBJECT_CONDITIONS!$A:$A,$B28)-1))+($K28*(SUMIFS(OBJECT_CONDITIONS!$L:$L,OBJECT_CONDITIONS!$A:$A,$B28)-1))+($L28*(SUMIFS(OBJECT_CONDITIONS!$N:$N,OBJECT_CONDITIONS!$A:$A,$B28)-1))+($M28*(SUMIFS(OBJECT_CONDITIONS!$R:$R,OBJECT_CONDITIONS!$A:$A,$B28)-1)),3))</f>
        <v/>
      </c>
      <c r="O28" s="36"/>
      <c r="P28" s="36" t="str">
        <f t="shared" si="1"/>
        <v/>
      </c>
      <c r="Q28" s="36" t="str">
        <f t="shared" si="2"/>
        <v/>
      </c>
      <c r="R28" s="11" t="str">
        <f t="array" ref="R28">IF($D28="","",IFERROR(INDEX(MATERIAL_VARIANTS!$O:$O,MATCH($D28,MATERIAL_VARIANTS!$A:$A,0)),""))</f>
        <v/>
      </c>
      <c r="S28" s="36" t="str">
        <f t="array" ref="S28">IF($D28="","",IFERROR(INDEX(MATERIAL_VARIANTS!$P:$P,MATCH($D28,MATERIAL_VARIANTS!$A:$A,0)),""))</f>
        <v/>
      </c>
      <c r="T28" s="11" t="str">
        <f t="shared" si="3"/>
        <v/>
      </c>
      <c r="U28" s="11"/>
    </row>
    <row r="29" ht="14.25" customHeight="1">
      <c r="A29" s="11"/>
      <c r="B29" s="11"/>
      <c r="C29" s="11"/>
      <c r="D29" s="11"/>
      <c r="E29" s="11"/>
      <c r="F29" s="11"/>
      <c r="G29" s="11" t="str">
        <f t="array" ref="G29">IF($C29="","",INDEX(MATERIAL_MASTER!$O:$O,MATCH($C29,MATERIAL_MASTER!$A:$A,0)))</f>
        <v/>
      </c>
      <c r="H29" s="36" t="str">
        <f t="array" ref="H29">IF($C29="","",INDEX(MATERIAL_MASTER!$P:$P,MATCH($C29,MATERIAL_MASTER!$A:$A,0)))</f>
        <v/>
      </c>
      <c r="I29" s="36" t="str">
        <f t="array" ref="I29">IF($C29="","",INDEX(MATERIAL_FACTOR_APPLICABILITY!$D:$D,MATCH($C29,MATERIAL_FACTOR_APPLICABILITY!$A:$A,0)))</f>
        <v/>
      </c>
      <c r="J29" s="36" t="str">
        <f t="array" ref="J29">IF($C29="","",INDEX(MATERIAL_FACTOR_APPLICABILITY!$E:$E,MATCH($C29,MATERIAL_FACTOR_APPLICABILITY!$A:$A,0)))</f>
        <v/>
      </c>
      <c r="K29" s="36" t="str">
        <f t="array" ref="K29">IF($C29="","",INDEX(MATERIAL_FACTOR_APPLICABILITY!$F:$F,MATCH($C29,MATERIAL_FACTOR_APPLICABILITY!$A:$A,0)))</f>
        <v/>
      </c>
      <c r="L29" s="36" t="str">
        <f t="array" ref="L29">IF($C29="","",INDEX(MATERIAL_FACTOR_APPLICABILITY!$G:$G,MATCH($C29,MATERIAL_FACTOR_APPLICABILITY!$A:$A,0)))</f>
        <v/>
      </c>
      <c r="M29" s="36" t="str">
        <f t="array" ref="M29">IF($C29="","",INDEX(MATERIAL_FACTOR_APPLICABILITY!$H:$H,MATCH($C29,MATERIAL_FACTOR_APPLICABILITY!$A:$A,0)))</f>
        <v/>
      </c>
      <c r="N29" s="36" t="str">
        <f>IF($B29="","",ROUND(1+($I29*(SUMIFS(OBJECT_CONDITIONS!$W:$W,OBJECT_CONDITIONS!$A:$A,$B29)-1))+($J29*(SUMIFS(OBJECT_CONDITIONS!$J:$J,OBJECT_CONDITIONS!$A:$A,$B29)-1))+($K29*(SUMIFS(OBJECT_CONDITIONS!$L:$L,OBJECT_CONDITIONS!$A:$A,$B29)-1))+($L29*(SUMIFS(OBJECT_CONDITIONS!$N:$N,OBJECT_CONDITIONS!$A:$A,$B29)-1))+($M29*(SUMIFS(OBJECT_CONDITIONS!$R:$R,OBJECT_CONDITIONS!$A:$A,$B29)-1)),3))</f>
        <v/>
      </c>
      <c r="O29" s="36"/>
      <c r="P29" s="36" t="str">
        <f t="shared" si="1"/>
        <v/>
      </c>
      <c r="Q29" s="36" t="str">
        <f t="shared" si="2"/>
        <v/>
      </c>
      <c r="R29" s="11" t="str">
        <f t="array" ref="R29">IF($D29="","",IFERROR(INDEX(MATERIAL_VARIANTS!$O:$O,MATCH($D29,MATERIAL_VARIANTS!$A:$A,0)),""))</f>
        <v/>
      </c>
      <c r="S29" s="36" t="str">
        <f t="array" ref="S29">IF($D29="","",IFERROR(INDEX(MATERIAL_VARIANTS!$P:$P,MATCH($D29,MATERIAL_VARIANTS!$A:$A,0)),""))</f>
        <v/>
      </c>
      <c r="T29" s="11" t="str">
        <f t="shared" si="3"/>
        <v/>
      </c>
      <c r="U29" s="11"/>
    </row>
    <row r="30" ht="14.25" customHeight="1">
      <c r="A30" s="11"/>
      <c r="B30" s="11"/>
      <c r="C30" s="11"/>
      <c r="D30" s="11"/>
      <c r="E30" s="11"/>
      <c r="F30" s="11"/>
      <c r="G30" s="11" t="str">
        <f t="array" ref="G30">IF($C30="","",INDEX(MATERIAL_MASTER!$O:$O,MATCH($C30,MATERIAL_MASTER!$A:$A,0)))</f>
        <v/>
      </c>
      <c r="H30" s="36" t="str">
        <f t="array" ref="H30">IF($C30="","",INDEX(MATERIAL_MASTER!$P:$P,MATCH($C30,MATERIAL_MASTER!$A:$A,0)))</f>
        <v/>
      </c>
      <c r="I30" s="36" t="str">
        <f t="array" ref="I30">IF($C30="","",INDEX(MATERIAL_FACTOR_APPLICABILITY!$D:$D,MATCH($C30,MATERIAL_FACTOR_APPLICABILITY!$A:$A,0)))</f>
        <v/>
      </c>
      <c r="J30" s="36" t="str">
        <f t="array" ref="J30">IF($C30="","",INDEX(MATERIAL_FACTOR_APPLICABILITY!$E:$E,MATCH($C30,MATERIAL_FACTOR_APPLICABILITY!$A:$A,0)))</f>
        <v/>
      </c>
      <c r="K30" s="36" t="str">
        <f t="array" ref="K30">IF($C30="","",INDEX(MATERIAL_FACTOR_APPLICABILITY!$F:$F,MATCH($C30,MATERIAL_FACTOR_APPLICABILITY!$A:$A,0)))</f>
        <v/>
      </c>
      <c r="L30" s="36" t="str">
        <f t="array" ref="L30">IF($C30="","",INDEX(MATERIAL_FACTOR_APPLICABILITY!$G:$G,MATCH($C30,MATERIAL_FACTOR_APPLICABILITY!$A:$A,0)))</f>
        <v/>
      </c>
      <c r="M30" s="36" t="str">
        <f t="array" ref="M30">IF($C30="","",INDEX(MATERIAL_FACTOR_APPLICABILITY!$H:$H,MATCH($C30,MATERIAL_FACTOR_APPLICABILITY!$A:$A,0)))</f>
        <v/>
      </c>
      <c r="N30" s="36" t="str">
        <f>IF($B30="","",ROUND(1+($I30*(SUMIFS(OBJECT_CONDITIONS!$W:$W,OBJECT_CONDITIONS!$A:$A,$B30)-1))+($J30*(SUMIFS(OBJECT_CONDITIONS!$J:$J,OBJECT_CONDITIONS!$A:$A,$B30)-1))+($K30*(SUMIFS(OBJECT_CONDITIONS!$L:$L,OBJECT_CONDITIONS!$A:$A,$B30)-1))+($L30*(SUMIFS(OBJECT_CONDITIONS!$N:$N,OBJECT_CONDITIONS!$A:$A,$B30)-1))+($M30*(SUMIFS(OBJECT_CONDITIONS!$R:$R,OBJECT_CONDITIONS!$A:$A,$B30)-1)),3))</f>
        <v/>
      </c>
      <c r="O30" s="36"/>
      <c r="P30" s="36" t="str">
        <f t="shared" si="1"/>
        <v/>
      </c>
      <c r="Q30" s="36" t="str">
        <f t="shared" si="2"/>
        <v/>
      </c>
      <c r="R30" s="11" t="str">
        <f t="array" ref="R30">IF($D30="","",IFERROR(INDEX(MATERIAL_VARIANTS!$O:$O,MATCH($D30,MATERIAL_VARIANTS!$A:$A,0)),""))</f>
        <v/>
      </c>
      <c r="S30" s="36" t="str">
        <f t="array" ref="S30">IF($D30="","",IFERROR(INDEX(MATERIAL_VARIANTS!$P:$P,MATCH($D30,MATERIAL_VARIANTS!$A:$A,0)),""))</f>
        <v/>
      </c>
      <c r="T30" s="11" t="str">
        <f t="shared" si="3"/>
        <v/>
      </c>
      <c r="U30" s="11"/>
    </row>
    <row r="31" ht="14.25" customHeight="1">
      <c r="A31" s="11"/>
      <c r="B31" s="11"/>
      <c r="C31" s="11"/>
      <c r="D31" s="11"/>
      <c r="E31" s="11"/>
      <c r="F31" s="11"/>
      <c r="G31" s="11" t="str">
        <f t="array" ref="G31">IF($C31="","",INDEX(MATERIAL_MASTER!$O:$O,MATCH($C31,MATERIAL_MASTER!$A:$A,0)))</f>
        <v/>
      </c>
      <c r="H31" s="36" t="str">
        <f t="array" ref="H31">IF($C31="","",INDEX(MATERIAL_MASTER!$P:$P,MATCH($C31,MATERIAL_MASTER!$A:$A,0)))</f>
        <v/>
      </c>
      <c r="I31" s="36" t="str">
        <f t="array" ref="I31">IF($C31="","",INDEX(MATERIAL_FACTOR_APPLICABILITY!$D:$D,MATCH($C31,MATERIAL_FACTOR_APPLICABILITY!$A:$A,0)))</f>
        <v/>
      </c>
      <c r="J31" s="36" t="str">
        <f t="array" ref="J31">IF($C31="","",INDEX(MATERIAL_FACTOR_APPLICABILITY!$E:$E,MATCH($C31,MATERIAL_FACTOR_APPLICABILITY!$A:$A,0)))</f>
        <v/>
      </c>
      <c r="K31" s="36" t="str">
        <f t="array" ref="K31">IF($C31="","",INDEX(MATERIAL_FACTOR_APPLICABILITY!$F:$F,MATCH($C31,MATERIAL_FACTOR_APPLICABILITY!$A:$A,0)))</f>
        <v/>
      </c>
      <c r="L31" s="36" t="str">
        <f t="array" ref="L31">IF($C31="","",INDEX(MATERIAL_FACTOR_APPLICABILITY!$G:$G,MATCH($C31,MATERIAL_FACTOR_APPLICABILITY!$A:$A,0)))</f>
        <v/>
      </c>
      <c r="M31" s="36" t="str">
        <f t="array" ref="M31">IF($C31="","",INDEX(MATERIAL_FACTOR_APPLICABILITY!$H:$H,MATCH($C31,MATERIAL_FACTOR_APPLICABILITY!$A:$A,0)))</f>
        <v/>
      </c>
      <c r="N31" s="36" t="str">
        <f>IF($B31="","",ROUND(1+($I31*(SUMIFS(OBJECT_CONDITIONS!$W:$W,OBJECT_CONDITIONS!$A:$A,$B31)-1))+($J31*(SUMIFS(OBJECT_CONDITIONS!$J:$J,OBJECT_CONDITIONS!$A:$A,$B31)-1))+($K31*(SUMIFS(OBJECT_CONDITIONS!$L:$L,OBJECT_CONDITIONS!$A:$A,$B31)-1))+($L31*(SUMIFS(OBJECT_CONDITIONS!$N:$N,OBJECT_CONDITIONS!$A:$A,$B31)-1))+($M31*(SUMIFS(OBJECT_CONDITIONS!$R:$R,OBJECT_CONDITIONS!$A:$A,$B31)-1)),3))</f>
        <v/>
      </c>
      <c r="O31" s="36"/>
      <c r="P31" s="36" t="str">
        <f t="shared" si="1"/>
        <v/>
      </c>
      <c r="Q31" s="36" t="str">
        <f t="shared" si="2"/>
        <v/>
      </c>
      <c r="R31" s="11" t="str">
        <f t="array" ref="R31">IF($D31="","",IFERROR(INDEX(MATERIAL_VARIANTS!$O:$O,MATCH($D31,MATERIAL_VARIANTS!$A:$A,0)),""))</f>
        <v/>
      </c>
      <c r="S31" s="36" t="str">
        <f t="array" ref="S31">IF($D31="","",IFERROR(INDEX(MATERIAL_VARIANTS!$P:$P,MATCH($D31,MATERIAL_VARIANTS!$A:$A,0)),""))</f>
        <v/>
      </c>
      <c r="T31" s="11" t="str">
        <f t="shared" si="3"/>
        <v/>
      </c>
      <c r="U31" s="11"/>
    </row>
    <row r="32" ht="14.25" customHeight="1">
      <c r="A32" s="11"/>
      <c r="B32" s="11"/>
      <c r="C32" s="11"/>
      <c r="D32" s="11"/>
      <c r="E32" s="11"/>
      <c r="F32" s="11"/>
      <c r="G32" s="11" t="str">
        <f t="array" ref="G32">IF($C32="","",INDEX(MATERIAL_MASTER!$O:$O,MATCH($C32,MATERIAL_MASTER!$A:$A,0)))</f>
        <v/>
      </c>
      <c r="H32" s="36" t="str">
        <f t="array" ref="H32">IF($C32="","",INDEX(MATERIAL_MASTER!$P:$P,MATCH($C32,MATERIAL_MASTER!$A:$A,0)))</f>
        <v/>
      </c>
      <c r="I32" s="36" t="str">
        <f t="array" ref="I32">IF($C32="","",INDEX(MATERIAL_FACTOR_APPLICABILITY!$D:$D,MATCH($C32,MATERIAL_FACTOR_APPLICABILITY!$A:$A,0)))</f>
        <v/>
      </c>
      <c r="J32" s="36" t="str">
        <f t="array" ref="J32">IF($C32="","",INDEX(MATERIAL_FACTOR_APPLICABILITY!$E:$E,MATCH($C32,MATERIAL_FACTOR_APPLICABILITY!$A:$A,0)))</f>
        <v/>
      </c>
      <c r="K32" s="36" t="str">
        <f t="array" ref="K32">IF($C32="","",INDEX(MATERIAL_FACTOR_APPLICABILITY!$F:$F,MATCH($C32,MATERIAL_FACTOR_APPLICABILITY!$A:$A,0)))</f>
        <v/>
      </c>
      <c r="L32" s="36" t="str">
        <f t="array" ref="L32">IF($C32="","",INDEX(MATERIAL_FACTOR_APPLICABILITY!$G:$G,MATCH($C32,MATERIAL_FACTOR_APPLICABILITY!$A:$A,0)))</f>
        <v/>
      </c>
      <c r="M32" s="36" t="str">
        <f t="array" ref="M32">IF($C32="","",INDEX(MATERIAL_FACTOR_APPLICABILITY!$H:$H,MATCH($C32,MATERIAL_FACTOR_APPLICABILITY!$A:$A,0)))</f>
        <v/>
      </c>
      <c r="N32" s="36" t="str">
        <f>IF($B32="","",ROUND(1+($I32*(SUMIFS(OBJECT_CONDITIONS!$W:$W,OBJECT_CONDITIONS!$A:$A,$B32)-1))+($J32*(SUMIFS(OBJECT_CONDITIONS!$J:$J,OBJECT_CONDITIONS!$A:$A,$B32)-1))+($K32*(SUMIFS(OBJECT_CONDITIONS!$L:$L,OBJECT_CONDITIONS!$A:$A,$B32)-1))+($L32*(SUMIFS(OBJECT_CONDITIONS!$N:$N,OBJECT_CONDITIONS!$A:$A,$B32)-1))+($M32*(SUMIFS(OBJECT_CONDITIONS!$R:$R,OBJECT_CONDITIONS!$A:$A,$B32)-1)),3))</f>
        <v/>
      </c>
      <c r="O32" s="36"/>
      <c r="P32" s="36" t="str">
        <f t="shared" si="1"/>
        <v/>
      </c>
      <c r="Q32" s="36" t="str">
        <f t="shared" si="2"/>
        <v/>
      </c>
      <c r="R32" s="11" t="str">
        <f t="array" ref="R32">IF($D32="","",IFERROR(INDEX(MATERIAL_VARIANTS!$O:$O,MATCH($D32,MATERIAL_VARIANTS!$A:$A,0)),""))</f>
        <v/>
      </c>
      <c r="S32" s="36" t="str">
        <f t="array" ref="S32">IF($D32="","",IFERROR(INDEX(MATERIAL_VARIANTS!$P:$P,MATCH($D32,MATERIAL_VARIANTS!$A:$A,0)),""))</f>
        <v/>
      </c>
      <c r="T32" s="11" t="str">
        <f t="shared" si="3"/>
        <v/>
      </c>
      <c r="U32" s="11"/>
    </row>
    <row r="33" ht="14.25" customHeight="1">
      <c r="A33" s="11"/>
      <c r="B33" s="11"/>
      <c r="C33" s="11"/>
      <c r="D33" s="11"/>
      <c r="E33" s="11"/>
      <c r="F33" s="11"/>
      <c r="G33" s="11" t="str">
        <f t="array" ref="G33">IF($C33="","",INDEX(MATERIAL_MASTER!$O:$O,MATCH($C33,MATERIAL_MASTER!$A:$A,0)))</f>
        <v/>
      </c>
      <c r="H33" s="36" t="str">
        <f t="array" ref="H33">IF($C33="","",INDEX(MATERIAL_MASTER!$P:$P,MATCH($C33,MATERIAL_MASTER!$A:$A,0)))</f>
        <v/>
      </c>
      <c r="I33" s="36" t="str">
        <f t="array" ref="I33">IF($C33="","",INDEX(MATERIAL_FACTOR_APPLICABILITY!$D:$D,MATCH($C33,MATERIAL_FACTOR_APPLICABILITY!$A:$A,0)))</f>
        <v/>
      </c>
      <c r="J33" s="36" t="str">
        <f t="array" ref="J33">IF($C33="","",INDEX(MATERIAL_FACTOR_APPLICABILITY!$E:$E,MATCH($C33,MATERIAL_FACTOR_APPLICABILITY!$A:$A,0)))</f>
        <v/>
      </c>
      <c r="K33" s="36" t="str">
        <f t="array" ref="K33">IF($C33="","",INDEX(MATERIAL_FACTOR_APPLICABILITY!$F:$F,MATCH($C33,MATERIAL_FACTOR_APPLICABILITY!$A:$A,0)))</f>
        <v/>
      </c>
      <c r="L33" s="36" t="str">
        <f t="array" ref="L33">IF($C33="","",INDEX(MATERIAL_FACTOR_APPLICABILITY!$G:$G,MATCH($C33,MATERIAL_FACTOR_APPLICABILITY!$A:$A,0)))</f>
        <v/>
      </c>
      <c r="M33" s="36" t="str">
        <f t="array" ref="M33">IF($C33="","",INDEX(MATERIAL_FACTOR_APPLICABILITY!$H:$H,MATCH($C33,MATERIAL_FACTOR_APPLICABILITY!$A:$A,0)))</f>
        <v/>
      </c>
      <c r="N33" s="36" t="str">
        <f>IF($B33="","",ROUND(1+($I33*(SUMIFS(OBJECT_CONDITIONS!$W:$W,OBJECT_CONDITIONS!$A:$A,$B33)-1))+($J33*(SUMIFS(OBJECT_CONDITIONS!$J:$J,OBJECT_CONDITIONS!$A:$A,$B33)-1))+($K33*(SUMIFS(OBJECT_CONDITIONS!$L:$L,OBJECT_CONDITIONS!$A:$A,$B33)-1))+($L33*(SUMIFS(OBJECT_CONDITIONS!$N:$N,OBJECT_CONDITIONS!$A:$A,$B33)-1))+($M33*(SUMIFS(OBJECT_CONDITIONS!$R:$R,OBJECT_CONDITIONS!$A:$A,$B33)-1)),3))</f>
        <v/>
      </c>
      <c r="O33" s="36"/>
      <c r="P33" s="36" t="str">
        <f t="shared" si="1"/>
        <v/>
      </c>
      <c r="Q33" s="36" t="str">
        <f t="shared" si="2"/>
        <v/>
      </c>
      <c r="R33" s="11" t="str">
        <f t="array" ref="R33">IF($D33="","",IFERROR(INDEX(MATERIAL_VARIANTS!$O:$O,MATCH($D33,MATERIAL_VARIANTS!$A:$A,0)),""))</f>
        <v/>
      </c>
      <c r="S33" s="36" t="str">
        <f t="array" ref="S33">IF($D33="","",IFERROR(INDEX(MATERIAL_VARIANTS!$P:$P,MATCH($D33,MATERIAL_VARIANTS!$A:$A,0)),""))</f>
        <v/>
      </c>
      <c r="T33" s="11" t="str">
        <f t="shared" si="3"/>
        <v/>
      </c>
      <c r="U33" s="11"/>
    </row>
    <row r="34" ht="14.25" customHeight="1">
      <c r="A34" s="11"/>
      <c r="B34" s="11"/>
      <c r="C34" s="11"/>
      <c r="D34" s="11"/>
      <c r="E34" s="11"/>
      <c r="F34" s="11"/>
      <c r="G34" s="11" t="str">
        <f t="array" ref="G34">IF($C34="","",INDEX(MATERIAL_MASTER!$O:$O,MATCH($C34,MATERIAL_MASTER!$A:$A,0)))</f>
        <v/>
      </c>
      <c r="H34" s="36" t="str">
        <f t="array" ref="H34">IF($C34="","",INDEX(MATERIAL_MASTER!$P:$P,MATCH($C34,MATERIAL_MASTER!$A:$A,0)))</f>
        <v/>
      </c>
      <c r="I34" s="36" t="str">
        <f t="array" ref="I34">IF($C34="","",INDEX(MATERIAL_FACTOR_APPLICABILITY!$D:$D,MATCH($C34,MATERIAL_FACTOR_APPLICABILITY!$A:$A,0)))</f>
        <v/>
      </c>
      <c r="J34" s="36" t="str">
        <f t="array" ref="J34">IF($C34="","",INDEX(MATERIAL_FACTOR_APPLICABILITY!$E:$E,MATCH($C34,MATERIAL_FACTOR_APPLICABILITY!$A:$A,0)))</f>
        <v/>
      </c>
      <c r="K34" s="36" t="str">
        <f t="array" ref="K34">IF($C34="","",INDEX(MATERIAL_FACTOR_APPLICABILITY!$F:$F,MATCH($C34,MATERIAL_FACTOR_APPLICABILITY!$A:$A,0)))</f>
        <v/>
      </c>
      <c r="L34" s="36" t="str">
        <f t="array" ref="L34">IF($C34="","",INDEX(MATERIAL_FACTOR_APPLICABILITY!$G:$G,MATCH($C34,MATERIAL_FACTOR_APPLICABILITY!$A:$A,0)))</f>
        <v/>
      </c>
      <c r="M34" s="36" t="str">
        <f t="array" ref="M34">IF($C34="","",INDEX(MATERIAL_FACTOR_APPLICABILITY!$H:$H,MATCH($C34,MATERIAL_FACTOR_APPLICABILITY!$A:$A,0)))</f>
        <v/>
      </c>
      <c r="N34" s="36" t="str">
        <f>IF($B34="","",ROUND(1+($I34*(SUMIFS(OBJECT_CONDITIONS!$W:$W,OBJECT_CONDITIONS!$A:$A,$B34)-1))+($J34*(SUMIFS(OBJECT_CONDITIONS!$J:$J,OBJECT_CONDITIONS!$A:$A,$B34)-1))+($K34*(SUMIFS(OBJECT_CONDITIONS!$L:$L,OBJECT_CONDITIONS!$A:$A,$B34)-1))+($L34*(SUMIFS(OBJECT_CONDITIONS!$N:$N,OBJECT_CONDITIONS!$A:$A,$B34)-1))+($M34*(SUMIFS(OBJECT_CONDITIONS!$R:$R,OBJECT_CONDITIONS!$A:$A,$B34)-1)),3))</f>
        <v/>
      </c>
      <c r="O34" s="36"/>
      <c r="P34" s="36" t="str">
        <f t="shared" si="1"/>
        <v/>
      </c>
      <c r="Q34" s="36" t="str">
        <f t="shared" si="2"/>
        <v/>
      </c>
      <c r="R34" s="11" t="str">
        <f t="array" ref="R34">IF($D34="","",IFERROR(INDEX(MATERIAL_VARIANTS!$O:$O,MATCH($D34,MATERIAL_VARIANTS!$A:$A,0)),""))</f>
        <v/>
      </c>
      <c r="S34" s="36" t="str">
        <f t="array" ref="S34">IF($D34="","",IFERROR(INDEX(MATERIAL_VARIANTS!$P:$P,MATCH($D34,MATERIAL_VARIANTS!$A:$A,0)),""))</f>
        <v/>
      </c>
      <c r="T34" s="11" t="str">
        <f t="shared" si="3"/>
        <v/>
      </c>
      <c r="U34" s="11"/>
    </row>
    <row r="35" ht="14.25" customHeight="1">
      <c r="A35" s="11"/>
      <c r="B35" s="11"/>
      <c r="C35" s="11"/>
      <c r="D35" s="11"/>
      <c r="E35" s="11"/>
      <c r="F35" s="11"/>
      <c r="G35" s="11" t="str">
        <f t="array" ref="G35">IF($C35="","",INDEX(MATERIAL_MASTER!$O:$O,MATCH($C35,MATERIAL_MASTER!$A:$A,0)))</f>
        <v/>
      </c>
      <c r="H35" s="36" t="str">
        <f t="array" ref="H35">IF($C35="","",INDEX(MATERIAL_MASTER!$P:$P,MATCH($C35,MATERIAL_MASTER!$A:$A,0)))</f>
        <v/>
      </c>
      <c r="I35" s="36" t="str">
        <f t="array" ref="I35">IF($C35="","",INDEX(MATERIAL_FACTOR_APPLICABILITY!$D:$D,MATCH($C35,MATERIAL_FACTOR_APPLICABILITY!$A:$A,0)))</f>
        <v/>
      </c>
      <c r="J35" s="36" t="str">
        <f t="array" ref="J35">IF($C35="","",INDEX(MATERIAL_FACTOR_APPLICABILITY!$E:$E,MATCH($C35,MATERIAL_FACTOR_APPLICABILITY!$A:$A,0)))</f>
        <v/>
      </c>
      <c r="K35" s="36" t="str">
        <f t="array" ref="K35">IF($C35="","",INDEX(MATERIAL_FACTOR_APPLICABILITY!$F:$F,MATCH($C35,MATERIAL_FACTOR_APPLICABILITY!$A:$A,0)))</f>
        <v/>
      </c>
      <c r="L35" s="36" t="str">
        <f t="array" ref="L35">IF($C35="","",INDEX(MATERIAL_FACTOR_APPLICABILITY!$G:$G,MATCH($C35,MATERIAL_FACTOR_APPLICABILITY!$A:$A,0)))</f>
        <v/>
      </c>
      <c r="M35" s="36" t="str">
        <f t="array" ref="M35">IF($C35="","",INDEX(MATERIAL_FACTOR_APPLICABILITY!$H:$H,MATCH($C35,MATERIAL_FACTOR_APPLICABILITY!$A:$A,0)))</f>
        <v/>
      </c>
      <c r="N35" s="36" t="str">
        <f>IF($B35="","",ROUND(1+($I35*(SUMIFS(OBJECT_CONDITIONS!$W:$W,OBJECT_CONDITIONS!$A:$A,$B35)-1))+($J35*(SUMIFS(OBJECT_CONDITIONS!$J:$J,OBJECT_CONDITIONS!$A:$A,$B35)-1))+($K35*(SUMIFS(OBJECT_CONDITIONS!$L:$L,OBJECT_CONDITIONS!$A:$A,$B35)-1))+($L35*(SUMIFS(OBJECT_CONDITIONS!$N:$N,OBJECT_CONDITIONS!$A:$A,$B35)-1))+($M35*(SUMIFS(OBJECT_CONDITIONS!$R:$R,OBJECT_CONDITIONS!$A:$A,$B35)-1)),3))</f>
        <v/>
      </c>
      <c r="O35" s="36"/>
      <c r="P35" s="36" t="str">
        <f t="shared" si="1"/>
        <v/>
      </c>
      <c r="Q35" s="36" t="str">
        <f t="shared" si="2"/>
        <v/>
      </c>
      <c r="R35" s="11" t="str">
        <f t="array" ref="R35">IF($D35="","",IFERROR(INDEX(MATERIAL_VARIANTS!$O:$O,MATCH($D35,MATERIAL_VARIANTS!$A:$A,0)),""))</f>
        <v/>
      </c>
      <c r="S35" s="36" t="str">
        <f t="array" ref="S35">IF($D35="","",IFERROR(INDEX(MATERIAL_VARIANTS!$P:$P,MATCH($D35,MATERIAL_VARIANTS!$A:$A,0)),""))</f>
        <v/>
      </c>
      <c r="T35" s="11" t="str">
        <f t="shared" si="3"/>
        <v/>
      </c>
      <c r="U35" s="11"/>
    </row>
    <row r="36" ht="14.25" customHeight="1">
      <c r="A36" s="11"/>
      <c r="B36" s="11"/>
      <c r="C36" s="11"/>
      <c r="D36" s="11"/>
      <c r="E36" s="11"/>
      <c r="F36" s="11"/>
      <c r="G36" s="11" t="str">
        <f t="array" ref="G36">IF($C36="","",INDEX(MATERIAL_MASTER!$O:$O,MATCH($C36,MATERIAL_MASTER!$A:$A,0)))</f>
        <v/>
      </c>
      <c r="H36" s="36" t="str">
        <f t="array" ref="H36">IF($C36="","",INDEX(MATERIAL_MASTER!$P:$P,MATCH($C36,MATERIAL_MASTER!$A:$A,0)))</f>
        <v/>
      </c>
      <c r="I36" s="36" t="str">
        <f t="array" ref="I36">IF($C36="","",INDEX(MATERIAL_FACTOR_APPLICABILITY!$D:$D,MATCH($C36,MATERIAL_FACTOR_APPLICABILITY!$A:$A,0)))</f>
        <v/>
      </c>
      <c r="J36" s="36" t="str">
        <f t="array" ref="J36">IF($C36="","",INDEX(MATERIAL_FACTOR_APPLICABILITY!$E:$E,MATCH($C36,MATERIAL_FACTOR_APPLICABILITY!$A:$A,0)))</f>
        <v/>
      </c>
      <c r="K36" s="36" t="str">
        <f t="array" ref="K36">IF($C36="","",INDEX(MATERIAL_FACTOR_APPLICABILITY!$F:$F,MATCH($C36,MATERIAL_FACTOR_APPLICABILITY!$A:$A,0)))</f>
        <v/>
      </c>
      <c r="L36" s="36" t="str">
        <f t="array" ref="L36">IF($C36="","",INDEX(MATERIAL_FACTOR_APPLICABILITY!$G:$G,MATCH($C36,MATERIAL_FACTOR_APPLICABILITY!$A:$A,0)))</f>
        <v/>
      </c>
      <c r="M36" s="36" t="str">
        <f t="array" ref="M36">IF($C36="","",INDEX(MATERIAL_FACTOR_APPLICABILITY!$H:$H,MATCH($C36,MATERIAL_FACTOR_APPLICABILITY!$A:$A,0)))</f>
        <v/>
      </c>
      <c r="N36" s="36" t="str">
        <f>IF($B36="","",ROUND(1+($I36*(SUMIFS(OBJECT_CONDITIONS!$W:$W,OBJECT_CONDITIONS!$A:$A,$B36)-1))+($J36*(SUMIFS(OBJECT_CONDITIONS!$J:$J,OBJECT_CONDITIONS!$A:$A,$B36)-1))+($K36*(SUMIFS(OBJECT_CONDITIONS!$L:$L,OBJECT_CONDITIONS!$A:$A,$B36)-1))+($L36*(SUMIFS(OBJECT_CONDITIONS!$N:$N,OBJECT_CONDITIONS!$A:$A,$B36)-1))+($M36*(SUMIFS(OBJECT_CONDITIONS!$R:$R,OBJECT_CONDITIONS!$A:$A,$B36)-1)),3))</f>
        <v/>
      </c>
      <c r="O36" s="36"/>
      <c r="P36" s="36" t="str">
        <f t="shared" si="1"/>
        <v/>
      </c>
      <c r="Q36" s="36" t="str">
        <f t="shared" si="2"/>
        <v/>
      </c>
      <c r="R36" s="11" t="str">
        <f t="array" ref="R36">IF($D36="","",IFERROR(INDEX(MATERIAL_VARIANTS!$O:$O,MATCH($D36,MATERIAL_VARIANTS!$A:$A,0)),""))</f>
        <v/>
      </c>
      <c r="S36" s="36" t="str">
        <f t="array" ref="S36">IF($D36="","",IFERROR(INDEX(MATERIAL_VARIANTS!$P:$P,MATCH($D36,MATERIAL_VARIANTS!$A:$A,0)),""))</f>
        <v/>
      </c>
      <c r="T36" s="11" t="str">
        <f t="shared" si="3"/>
        <v/>
      </c>
      <c r="U36" s="11"/>
    </row>
    <row r="37" ht="14.25" customHeight="1">
      <c r="A37" s="11"/>
      <c r="B37" s="11"/>
      <c r="C37" s="11"/>
      <c r="D37" s="11"/>
      <c r="E37" s="11"/>
      <c r="F37" s="11"/>
      <c r="G37" s="11" t="str">
        <f t="array" ref="G37">IF($C37="","",INDEX(MATERIAL_MASTER!$O:$O,MATCH($C37,MATERIAL_MASTER!$A:$A,0)))</f>
        <v/>
      </c>
      <c r="H37" s="36" t="str">
        <f t="array" ref="H37">IF($C37="","",INDEX(MATERIAL_MASTER!$P:$P,MATCH($C37,MATERIAL_MASTER!$A:$A,0)))</f>
        <v/>
      </c>
      <c r="I37" s="36" t="str">
        <f t="array" ref="I37">IF($C37="","",INDEX(MATERIAL_FACTOR_APPLICABILITY!$D:$D,MATCH($C37,MATERIAL_FACTOR_APPLICABILITY!$A:$A,0)))</f>
        <v/>
      </c>
      <c r="J37" s="36" t="str">
        <f t="array" ref="J37">IF($C37="","",INDEX(MATERIAL_FACTOR_APPLICABILITY!$E:$E,MATCH($C37,MATERIAL_FACTOR_APPLICABILITY!$A:$A,0)))</f>
        <v/>
      </c>
      <c r="K37" s="36" t="str">
        <f t="array" ref="K37">IF($C37="","",INDEX(MATERIAL_FACTOR_APPLICABILITY!$F:$F,MATCH($C37,MATERIAL_FACTOR_APPLICABILITY!$A:$A,0)))</f>
        <v/>
      </c>
      <c r="L37" s="36" t="str">
        <f t="array" ref="L37">IF($C37="","",INDEX(MATERIAL_FACTOR_APPLICABILITY!$G:$G,MATCH($C37,MATERIAL_FACTOR_APPLICABILITY!$A:$A,0)))</f>
        <v/>
      </c>
      <c r="M37" s="36" t="str">
        <f t="array" ref="M37">IF($C37="","",INDEX(MATERIAL_FACTOR_APPLICABILITY!$H:$H,MATCH($C37,MATERIAL_FACTOR_APPLICABILITY!$A:$A,0)))</f>
        <v/>
      </c>
      <c r="N37" s="36" t="str">
        <f>IF($B37="","",ROUND(1+($I37*(SUMIFS(OBJECT_CONDITIONS!$W:$W,OBJECT_CONDITIONS!$A:$A,$B37)-1))+($J37*(SUMIFS(OBJECT_CONDITIONS!$J:$J,OBJECT_CONDITIONS!$A:$A,$B37)-1))+($K37*(SUMIFS(OBJECT_CONDITIONS!$L:$L,OBJECT_CONDITIONS!$A:$A,$B37)-1))+($L37*(SUMIFS(OBJECT_CONDITIONS!$N:$N,OBJECT_CONDITIONS!$A:$A,$B37)-1))+($M37*(SUMIFS(OBJECT_CONDITIONS!$R:$R,OBJECT_CONDITIONS!$A:$A,$B37)-1)),3))</f>
        <v/>
      </c>
      <c r="O37" s="36"/>
      <c r="P37" s="36" t="str">
        <f t="shared" si="1"/>
        <v/>
      </c>
      <c r="Q37" s="36" t="str">
        <f t="shared" si="2"/>
        <v/>
      </c>
      <c r="R37" s="11" t="str">
        <f t="array" ref="R37">IF($D37="","",IFERROR(INDEX(MATERIAL_VARIANTS!$O:$O,MATCH($D37,MATERIAL_VARIANTS!$A:$A,0)),""))</f>
        <v/>
      </c>
      <c r="S37" s="36" t="str">
        <f t="array" ref="S37">IF($D37="","",IFERROR(INDEX(MATERIAL_VARIANTS!$P:$P,MATCH($D37,MATERIAL_VARIANTS!$A:$A,0)),""))</f>
        <v/>
      </c>
      <c r="T37" s="11" t="str">
        <f t="shared" si="3"/>
        <v/>
      </c>
      <c r="U37" s="11"/>
    </row>
    <row r="38" ht="14.25" customHeight="1">
      <c r="A38" s="11"/>
      <c r="B38" s="11"/>
      <c r="C38" s="11"/>
      <c r="D38" s="11"/>
      <c r="E38" s="11"/>
      <c r="F38" s="11"/>
      <c r="G38" s="11" t="str">
        <f t="array" ref="G38">IF($C38="","",INDEX(MATERIAL_MASTER!$O:$O,MATCH($C38,MATERIAL_MASTER!$A:$A,0)))</f>
        <v/>
      </c>
      <c r="H38" s="36" t="str">
        <f t="array" ref="H38">IF($C38="","",INDEX(MATERIAL_MASTER!$P:$P,MATCH($C38,MATERIAL_MASTER!$A:$A,0)))</f>
        <v/>
      </c>
      <c r="I38" s="36" t="str">
        <f t="array" ref="I38">IF($C38="","",INDEX(MATERIAL_FACTOR_APPLICABILITY!$D:$D,MATCH($C38,MATERIAL_FACTOR_APPLICABILITY!$A:$A,0)))</f>
        <v/>
      </c>
      <c r="J38" s="36" t="str">
        <f t="array" ref="J38">IF($C38="","",INDEX(MATERIAL_FACTOR_APPLICABILITY!$E:$E,MATCH($C38,MATERIAL_FACTOR_APPLICABILITY!$A:$A,0)))</f>
        <v/>
      </c>
      <c r="K38" s="36" t="str">
        <f t="array" ref="K38">IF($C38="","",INDEX(MATERIAL_FACTOR_APPLICABILITY!$F:$F,MATCH($C38,MATERIAL_FACTOR_APPLICABILITY!$A:$A,0)))</f>
        <v/>
      </c>
      <c r="L38" s="36" t="str">
        <f t="array" ref="L38">IF($C38="","",INDEX(MATERIAL_FACTOR_APPLICABILITY!$G:$G,MATCH($C38,MATERIAL_FACTOR_APPLICABILITY!$A:$A,0)))</f>
        <v/>
      </c>
      <c r="M38" s="36" t="str">
        <f t="array" ref="M38">IF($C38="","",INDEX(MATERIAL_FACTOR_APPLICABILITY!$H:$H,MATCH($C38,MATERIAL_FACTOR_APPLICABILITY!$A:$A,0)))</f>
        <v/>
      </c>
      <c r="N38" s="36" t="str">
        <f>IF($B38="","",ROUND(1+($I38*(SUMIFS(OBJECT_CONDITIONS!$W:$W,OBJECT_CONDITIONS!$A:$A,$B38)-1))+($J38*(SUMIFS(OBJECT_CONDITIONS!$J:$J,OBJECT_CONDITIONS!$A:$A,$B38)-1))+($K38*(SUMIFS(OBJECT_CONDITIONS!$L:$L,OBJECT_CONDITIONS!$A:$A,$B38)-1))+($L38*(SUMIFS(OBJECT_CONDITIONS!$N:$N,OBJECT_CONDITIONS!$A:$A,$B38)-1))+($M38*(SUMIFS(OBJECT_CONDITIONS!$R:$R,OBJECT_CONDITIONS!$A:$A,$B38)-1)),3))</f>
        <v/>
      </c>
      <c r="O38" s="36"/>
      <c r="P38" s="36" t="str">
        <f t="shared" si="1"/>
        <v/>
      </c>
      <c r="Q38" s="36" t="str">
        <f t="shared" si="2"/>
        <v/>
      </c>
      <c r="R38" s="11" t="str">
        <f t="array" ref="R38">IF($D38="","",IFERROR(INDEX(MATERIAL_VARIANTS!$O:$O,MATCH($D38,MATERIAL_VARIANTS!$A:$A,0)),""))</f>
        <v/>
      </c>
      <c r="S38" s="36" t="str">
        <f t="array" ref="S38">IF($D38="","",IFERROR(INDEX(MATERIAL_VARIANTS!$P:$P,MATCH($D38,MATERIAL_VARIANTS!$A:$A,0)),""))</f>
        <v/>
      </c>
      <c r="T38" s="11" t="str">
        <f t="shared" si="3"/>
        <v/>
      </c>
      <c r="U38" s="11"/>
    </row>
    <row r="39" ht="14.25" customHeight="1">
      <c r="A39" s="11"/>
      <c r="B39" s="11"/>
      <c r="C39" s="11"/>
      <c r="D39" s="11"/>
      <c r="E39" s="11"/>
      <c r="F39" s="11"/>
      <c r="G39" s="11" t="str">
        <f t="array" ref="G39">IF($C39="","",INDEX(MATERIAL_MASTER!$O:$O,MATCH($C39,MATERIAL_MASTER!$A:$A,0)))</f>
        <v/>
      </c>
      <c r="H39" s="36" t="str">
        <f t="array" ref="H39">IF($C39="","",INDEX(MATERIAL_MASTER!$P:$P,MATCH($C39,MATERIAL_MASTER!$A:$A,0)))</f>
        <v/>
      </c>
      <c r="I39" s="36" t="str">
        <f t="array" ref="I39">IF($C39="","",INDEX(MATERIAL_FACTOR_APPLICABILITY!$D:$D,MATCH($C39,MATERIAL_FACTOR_APPLICABILITY!$A:$A,0)))</f>
        <v/>
      </c>
      <c r="J39" s="36" t="str">
        <f t="array" ref="J39">IF($C39="","",INDEX(MATERIAL_FACTOR_APPLICABILITY!$E:$E,MATCH($C39,MATERIAL_FACTOR_APPLICABILITY!$A:$A,0)))</f>
        <v/>
      </c>
      <c r="K39" s="36" t="str">
        <f t="array" ref="K39">IF($C39="","",INDEX(MATERIAL_FACTOR_APPLICABILITY!$F:$F,MATCH($C39,MATERIAL_FACTOR_APPLICABILITY!$A:$A,0)))</f>
        <v/>
      </c>
      <c r="L39" s="36" t="str">
        <f t="array" ref="L39">IF($C39="","",INDEX(MATERIAL_FACTOR_APPLICABILITY!$G:$G,MATCH($C39,MATERIAL_FACTOR_APPLICABILITY!$A:$A,0)))</f>
        <v/>
      </c>
      <c r="M39" s="36" t="str">
        <f t="array" ref="M39">IF($C39="","",INDEX(MATERIAL_FACTOR_APPLICABILITY!$H:$H,MATCH($C39,MATERIAL_FACTOR_APPLICABILITY!$A:$A,0)))</f>
        <v/>
      </c>
      <c r="N39" s="36" t="str">
        <f>IF($B39="","",ROUND(1+($I39*(SUMIFS(OBJECT_CONDITIONS!$W:$W,OBJECT_CONDITIONS!$A:$A,$B39)-1))+($J39*(SUMIFS(OBJECT_CONDITIONS!$J:$J,OBJECT_CONDITIONS!$A:$A,$B39)-1))+($K39*(SUMIFS(OBJECT_CONDITIONS!$L:$L,OBJECT_CONDITIONS!$A:$A,$B39)-1))+($L39*(SUMIFS(OBJECT_CONDITIONS!$N:$N,OBJECT_CONDITIONS!$A:$A,$B39)-1))+($M39*(SUMIFS(OBJECT_CONDITIONS!$R:$R,OBJECT_CONDITIONS!$A:$A,$B39)-1)),3))</f>
        <v/>
      </c>
      <c r="O39" s="36"/>
      <c r="P39" s="36" t="str">
        <f t="shared" si="1"/>
        <v/>
      </c>
      <c r="Q39" s="36" t="str">
        <f t="shared" si="2"/>
        <v/>
      </c>
      <c r="R39" s="11" t="str">
        <f t="array" ref="R39">IF($D39="","",IFERROR(INDEX(MATERIAL_VARIANTS!$O:$O,MATCH($D39,MATERIAL_VARIANTS!$A:$A,0)),""))</f>
        <v/>
      </c>
      <c r="S39" s="36" t="str">
        <f t="array" ref="S39">IF($D39="","",IFERROR(INDEX(MATERIAL_VARIANTS!$P:$P,MATCH($D39,MATERIAL_VARIANTS!$A:$A,0)),""))</f>
        <v/>
      </c>
      <c r="T39" s="11" t="str">
        <f t="shared" si="3"/>
        <v/>
      </c>
      <c r="U39" s="11"/>
    </row>
    <row r="40" ht="14.25" customHeight="1">
      <c r="A40" s="11"/>
      <c r="B40" s="11"/>
      <c r="C40" s="11"/>
      <c r="D40" s="11"/>
      <c r="E40" s="11"/>
      <c r="F40" s="11"/>
      <c r="G40" s="11" t="str">
        <f t="array" ref="G40">IF($C40="","",INDEX(MATERIAL_MASTER!$O:$O,MATCH($C40,MATERIAL_MASTER!$A:$A,0)))</f>
        <v/>
      </c>
      <c r="H40" s="36" t="str">
        <f t="array" ref="H40">IF($C40="","",INDEX(MATERIAL_MASTER!$P:$P,MATCH($C40,MATERIAL_MASTER!$A:$A,0)))</f>
        <v/>
      </c>
      <c r="I40" s="36" t="str">
        <f t="array" ref="I40">IF($C40="","",INDEX(MATERIAL_FACTOR_APPLICABILITY!$D:$D,MATCH($C40,MATERIAL_FACTOR_APPLICABILITY!$A:$A,0)))</f>
        <v/>
      </c>
      <c r="J40" s="36" t="str">
        <f t="array" ref="J40">IF($C40="","",INDEX(MATERIAL_FACTOR_APPLICABILITY!$E:$E,MATCH($C40,MATERIAL_FACTOR_APPLICABILITY!$A:$A,0)))</f>
        <v/>
      </c>
      <c r="K40" s="36" t="str">
        <f t="array" ref="K40">IF($C40="","",INDEX(MATERIAL_FACTOR_APPLICABILITY!$F:$F,MATCH($C40,MATERIAL_FACTOR_APPLICABILITY!$A:$A,0)))</f>
        <v/>
      </c>
      <c r="L40" s="36" t="str">
        <f t="array" ref="L40">IF($C40="","",INDEX(MATERIAL_FACTOR_APPLICABILITY!$G:$G,MATCH($C40,MATERIAL_FACTOR_APPLICABILITY!$A:$A,0)))</f>
        <v/>
      </c>
      <c r="M40" s="36" t="str">
        <f t="array" ref="M40">IF($C40="","",INDEX(MATERIAL_FACTOR_APPLICABILITY!$H:$H,MATCH($C40,MATERIAL_FACTOR_APPLICABILITY!$A:$A,0)))</f>
        <v/>
      </c>
      <c r="N40" s="36" t="str">
        <f>IF($B40="","",ROUND(1+($I40*(SUMIFS(OBJECT_CONDITIONS!$W:$W,OBJECT_CONDITIONS!$A:$A,$B40)-1))+($J40*(SUMIFS(OBJECT_CONDITIONS!$J:$J,OBJECT_CONDITIONS!$A:$A,$B40)-1))+($K40*(SUMIFS(OBJECT_CONDITIONS!$L:$L,OBJECT_CONDITIONS!$A:$A,$B40)-1))+($L40*(SUMIFS(OBJECT_CONDITIONS!$N:$N,OBJECT_CONDITIONS!$A:$A,$B40)-1))+($M40*(SUMIFS(OBJECT_CONDITIONS!$R:$R,OBJECT_CONDITIONS!$A:$A,$B40)-1)),3))</f>
        <v/>
      </c>
      <c r="O40" s="36"/>
      <c r="P40" s="36" t="str">
        <f t="shared" si="1"/>
        <v/>
      </c>
      <c r="Q40" s="36" t="str">
        <f t="shared" si="2"/>
        <v/>
      </c>
      <c r="R40" s="11" t="str">
        <f t="array" ref="R40">IF($D40="","",IFERROR(INDEX(MATERIAL_VARIANTS!$O:$O,MATCH($D40,MATERIAL_VARIANTS!$A:$A,0)),""))</f>
        <v/>
      </c>
      <c r="S40" s="36" t="str">
        <f t="array" ref="S40">IF($D40="","",IFERROR(INDEX(MATERIAL_VARIANTS!$P:$P,MATCH($D40,MATERIAL_VARIANTS!$A:$A,0)),""))</f>
        <v/>
      </c>
      <c r="T40" s="11" t="str">
        <f t="shared" si="3"/>
        <v/>
      </c>
      <c r="U40" s="11"/>
    </row>
    <row r="41" ht="14.25" customHeight="1">
      <c r="A41" s="11"/>
      <c r="B41" s="11"/>
      <c r="C41" s="11"/>
      <c r="D41" s="11"/>
      <c r="E41" s="11"/>
      <c r="F41" s="11"/>
      <c r="G41" s="11" t="str">
        <f t="array" ref="G41">IF($C41="","",INDEX(MATERIAL_MASTER!$O:$O,MATCH($C41,MATERIAL_MASTER!$A:$A,0)))</f>
        <v/>
      </c>
      <c r="H41" s="36" t="str">
        <f t="array" ref="H41">IF($C41="","",INDEX(MATERIAL_MASTER!$P:$P,MATCH($C41,MATERIAL_MASTER!$A:$A,0)))</f>
        <v/>
      </c>
      <c r="I41" s="36" t="str">
        <f t="array" ref="I41">IF($C41="","",INDEX(MATERIAL_FACTOR_APPLICABILITY!$D:$D,MATCH($C41,MATERIAL_FACTOR_APPLICABILITY!$A:$A,0)))</f>
        <v/>
      </c>
      <c r="J41" s="36" t="str">
        <f t="array" ref="J41">IF($C41="","",INDEX(MATERIAL_FACTOR_APPLICABILITY!$E:$E,MATCH($C41,MATERIAL_FACTOR_APPLICABILITY!$A:$A,0)))</f>
        <v/>
      </c>
      <c r="K41" s="36" t="str">
        <f t="array" ref="K41">IF($C41="","",INDEX(MATERIAL_FACTOR_APPLICABILITY!$F:$F,MATCH($C41,MATERIAL_FACTOR_APPLICABILITY!$A:$A,0)))</f>
        <v/>
      </c>
      <c r="L41" s="36" t="str">
        <f t="array" ref="L41">IF($C41="","",INDEX(MATERIAL_FACTOR_APPLICABILITY!$G:$G,MATCH($C41,MATERIAL_FACTOR_APPLICABILITY!$A:$A,0)))</f>
        <v/>
      </c>
      <c r="M41" s="36" t="str">
        <f t="array" ref="M41">IF($C41="","",INDEX(MATERIAL_FACTOR_APPLICABILITY!$H:$H,MATCH($C41,MATERIAL_FACTOR_APPLICABILITY!$A:$A,0)))</f>
        <v/>
      </c>
      <c r="N41" s="36" t="str">
        <f>IF($B41="","",ROUND(1+($I41*(SUMIFS(OBJECT_CONDITIONS!$W:$W,OBJECT_CONDITIONS!$A:$A,$B41)-1))+($J41*(SUMIFS(OBJECT_CONDITIONS!$J:$J,OBJECT_CONDITIONS!$A:$A,$B41)-1))+($K41*(SUMIFS(OBJECT_CONDITIONS!$L:$L,OBJECT_CONDITIONS!$A:$A,$B41)-1))+($L41*(SUMIFS(OBJECT_CONDITIONS!$N:$N,OBJECT_CONDITIONS!$A:$A,$B41)-1))+($M41*(SUMIFS(OBJECT_CONDITIONS!$R:$R,OBJECT_CONDITIONS!$A:$A,$B41)-1)),3))</f>
        <v/>
      </c>
      <c r="O41" s="36"/>
      <c r="P41" s="36" t="str">
        <f t="shared" si="1"/>
        <v/>
      </c>
      <c r="Q41" s="36" t="str">
        <f t="shared" si="2"/>
        <v/>
      </c>
      <c r="R41" s="11" t="str">
        <f t="array" ref="R41">IF($D41="","",IFERROR(INDEX(MATERIAL_VARIANTS!$O:$O,MATCH($D41,MATERIAL_VARIANTS!$A:$A,0)),""))</f>
        <v/>
      </c>
      <c r="S41" s="36" t="str">
        <f t="array" ref="S41">IF($D41="","",IFERROR(INDEX(MATERIAL_VARIANTS!$P:$P,MATCH($D41,MATERIAL_VARIANTS!$A:$A,0)),""))</f>
        <v/>
      </c>
      <c r="T41" s="11" t="str">
        <f t="shared" si="3"/>
        <v/>
      </c>
      <c r="U41" s="11"/>
    </row>
    <row r="42" ht="14.25" customHeight="1">
      <c r="A42" s="11"/>
      <c r="B42" s="11"/>
      <c r="C42" s="11"/>
      <c r="D42" s="11"/>
      <c r="E42" s="11"/>
      <c r="F42" s="11"/>
      <c r="G42" s="11" t="str">
        <f t="array" ref="G42">IF($C42="","",INDEX(MATERIAL_MASTER!$O:$O,MATCH($C42,MATERIAL_MASTER!$A:$A,0)))</f>
        <v/>
      </c>
      <c r="H42" s="36" t="str">
        <f t="array" ref="H42">IF($C42="","",INDEX(MATERIAL_MASTER!$P:$P,MATCH($C42,MATERIAL_MASTER!$A:$A,0)))</f>
        <v/>
      </c>
      <c r="I42" s="36" t="str">
        <f t="array" ref="I42">IF($C42="","",INDEX(MATERIAL_FACTOR_APPLICABILITY!$D:$D,MATCH($C42,MATERIAL_FACTOR_APPLICABILITY!$A:$A,0)))</f>
        <v/>
      </c>
      <c r="J42" s="36" t="str">
        <f t="array" ref="J42">IF($C42="","",INDEX(MATERIAL_FACTOR_APPLICABILITY!$E:$E,MATCH($C42,MATERIAL_FACTOR_APPLICABILITY!$A:$A,0)))</f>
        <v/>
      </c>
      <c r="K42" s="36" t="str">
        <f t="array" ref="K42">IF($C42="","",INDEX(MATERIAL_FACTOR_APPLICABILITY!$F:$F,MATCH($C42,MATERIAL_FACTOR_APPLICABILITY!$A:$A,0)))</f>
        <v/>
      </c>
      <c r="L42" s="36" t="str">
        <f t="array" ref="L42">IF($C42="","",INDEX(MATERIAL_FACTOR_APPLICABILITY!$G:$G,MATCH($C42,MATERIAL_FACTOR_APPLICABILITY!$A:$A,0)))</f>
        <v/>
      </c>
      <c r="M42" s="36" t="str">
        <f t="array" ref="M42">IF($C42="","",INDEX(MATERIAL_FACTOR_APPLICABILITY!$H:$H,MATCH($C42,MATERIAL_FACTOR_APPLICABILITY!$A:$A,0)))</f>
        <v/>
      </c>
      <c r="N42" s="36" t="str">
        <f>IF($B42="","",ROUND(1+($I42*(SUMIFS(OBJECT_CONDITIONS!$W:$W,OBJECT_CONDITIONS!$A:$A,$B42)-1))+($J42*(SUMIFS(OBJECT_CONDITIONS!$J:$J,OBJECT_CONDITIONS!$A:$A,$B42)-1))+($K42*(SUMIFS(OBJECT_CONDITIONS!$L:$L,OBJECT_CONDITIONS!$A:$A,$B42)-1))+($L42*(SUMIFS(OBJECT_CONDITIONS!$N:$N,OBJECT_CONDITIONS!$A:$A,$B42)-1))+($M42*(SUMIFS(OBJECT_CONDITIONS!$R:$R,OBJECT_CONDITIONS!$A:$A,$B42)-1)),3))</f>
        <v/>
      </c>
      <c r="O42" s="36"/>
      <c r="P42" s="36" t="str">
        <f t="shared" si="1"/>
        <v/>
      </c>
      <c r="Q42" s="36" t="str">
        <f t="shared" si="2"/>
        <v/>
      </c>
      <c r="R42" s="11" t="str">
        <f t="array" ref="R42">IF($D42="","",IFERROR(INDEX(MATERIAL_VARIANTS!$O:$O,MATCH($D42,MATERIAL_VARIANTS!$A:$A,0)),""))</f>
        <v/>
      </c>
      <c r="S42" s="36" t="str">
        <f t="array" ref="S42">IF($D42="","",IFERROR(INDEX(MATERIAL_VARIANTS!$P:$P,MATCH($D42,MATERIAL_VARIANTS!$A:$A,0)),""))</f>
        <v/>
      </c>
      <c r="T42" s="11" t="str">
        <f t="shared" si="3"/>
        <v/>
      </c>
      <c r="U42" s="11"/>
    </row>
    <row r="43" ht="14.25" customHeight="1">
      <c r="A43" s="11"/>
      <c r="B43" s="11"/>
      <c r="C43" s="11"/>
      <c r="D43" s="11"/>
      <c r="E43" s="11"/>
      <c r="F43" s="11"/>
      <c r="G43" s="11" t="str">
        <f t="array" ref="G43">IF($C43="","",INDEX(MATERIAL_MASTER!$O:$O,MATCH($C43,MATERIAL_MASTER!$A:$A,0)))</f>
        <v/>
      </c>
      <c r="H43" s="36" t="str">
        <f t="array" ref="H43">IF($C43="","",INDEX(MATERIAL_MASTER!$P:$P,MATCH($C43,MATERIAL_MASTER!$A:$A,0)))</f>
        <v/>
      </c>
      <c r="I43" s="36" t="str">
        <f t="array" ref="I43">IF($C43="","",INDEX(MATERIAL_FACTOR_APPLICABILITY!$D:$D,MATCH($C43,MATERIAL_FACTOR_APPLICABILITY!$A:$A,0)))</f>
        <v/>
      </c>
      <c r="J43" s="36" t="str">
        <f t="array" ref="J43">IF($C43="","",INDEX(MATERIAL_FACTOR_APPLICABILITY!$E:$E,MATCH($C43,MATERIAL_FACTOR_APPLICABILITY!$A:$A,0)))</f>
        <v/>
      </c>
      <c r="K43" s="36" t="str">
        <f t="array" ref="K43">IF($C43="","",INDEX(MATERIAL_FACTOR_APPLICABILITY!$F:$F,MATCH($C43,MATERIAL_FACTOR_APPLICABILITY!$A:$A,0)))</f>
        <v/>
      </c>
      <c r="L43" s="36" t="str">
        <f t="array" ref="L43">IF($C43="","",INDEX(MATERIAL_FACTOR_APPLICABILITY!$G:$G,MATCH($C43,MATERIAL_FACTOR_APPLICABILITY!$A:$A,0)))</f>
        <v/>
      </c>
      <c r="M43" s="36" t="str">
        <f t="array" ref="M43">IF($C43="","",INDEX(MATERIAL_FACTOR_APPLICABILITY!$H:$H,MATCH($C43,MATERIAL_FACTOR_APPLICABILITY!$A:$A,0)))</f>
        <v/>
      </c>
      <c r="N43" s="36" t="str">
        <f>IF($B43="","",ROUND(1+($I43*(SUMIFS(OBJECT_CONDITIONS!$W:$W,OBJECT_CONDITIONS!$A:$A,$B43)-1))+($J43*(SUMIFS(OBJECT_CONDITIONS!$J:$J,OBJECT_CONDITIONS!$A:$A,$B43)-1))+($K43*(SUMIFS(OBJECT_CONDITIONS!$L:$L,OBJECT_CONDITIONS!$A:$A,$B43)-1))+($L43*(SUMIFS(OBJECT_CONDITIONS!$N:$N,OBJECT_CONDITIONS!$A:$A,$B43)-1))+($M43*(SUMIFS(OBJECT_CONDITIONS!$R:$R,OBJECT_CONDITIONS!$A:$A,$B43)-1)),3))</f>
        <v/>
      </c>
      <c r="O43" s="36"/>
      <c r="P43" s="36" t="str">
        <f t="shared" si="1"/>
        <v/>
      </c>
      <c r="Q43" s="36" t="str">
        <f t="shared" si="2"/>
        <v/>
      </c>
      <c r="R43" s="11" t="str">
        <f t="array" ref="R43">IF($D43="","",IFERROR(INDEX(MATERIAL_VARIANTS!$O:$O,MATCH($D43,MATERIAL_VARIANTS!$A:$A,0)),""))</f>
        <v/>
      </c>
      <c r="S43" s="36" t="str">
        <f t="array" ref="S43">IF($D43="","",IFERROR(INDEX(MATERIAL_VARIANTS!$P:$P,MATCH($D43,MATERIAL_VARIANTS!$A:$A,0)),""))</f>
        <v/>
      </c>
      <c r="T43" s="11" t="str">
        <f t="shared" si="3"/>
        <v/>
      </c>
      <c r="U43" s="11"/>
    </row>
    <row r="44" ht="14.25" customHeight="1">
      <c r="A44" s="11"/>
      <c r="B44" s="11"/>
      <c r="C44" s="11"/>
      <c r="D44" s="11"/>
      <c r="E44" s="11"/>
      <c r="F44" s="11"/>
      <c r="G44" s="11" t="str">
        <f t="array" ref="G44">IF($C44="","",INDEX(MATERIAL_MASTER!$O:$O,MATCH($C44,MATERIAL_MASTER!$A:$A,0)))</f>
        <v/>
      </c>
      <c r="H44" s="36" t="str">
        <f t="array" ref="H44">IF($C44="","",INDEX(MATERIAL_MASTER!$P:$P,MATCH($C44,MATERIAL_MASTER!$A:$A,0)))</f>
        <v/>
      </c>
      <c r="I44" s="36" t="str">
        <f t="array" ref="I44">IF($C44="","",INDEX(MATERIAL_FACTOR_APPLICABILITY!$D:$D,MATCH($C44,MATERIAL_FACTOR_APPLICABILITY!$A:$A,0)))</f>
        <v/>
      </c>
      <c r="J44" s="36" t="str">
        <f t="array" ref="J44">IF($C44="","",INDEX(MATERIAL_FACTOR_APPLICABILITY!$E:$E,MATCH($C44,MATERIAL_FACTOR_APPLICABILITY!$A:$A,0)))</f>
        <v/>
      </c>
      <c r="K44" s="36" t="str">
        <f t="array" ref="K44">IF($C44="","",INDEX(MATERIAL_FACTOR_APPLICABILITY!$F:$F,MATCH($C44,MATERIAL_FACTOR_APPLICABILITY!$A:$A,0)))</f>
        <v/>
      </c>
      <c r="L44" s="36" t="str">
        <f t="array" ref="L44">IF($C44="","",INDEX(MATERIAL_FACTOR_APPLICABILITY!$G:$G,MATCH($C44,MATERIAL_FACTOR_APPLICABILITY!$A:$A,0)))</f>
        <v/>
      </c>
      <c r="M44" s="36" t="str">
        <f t="array" ref="M44">IF($C44="","",INDEX(MATERIAL_FACTOR_APPLICABILITY!$H:$H,MATCH($C44,MATERIAL_FACTOR_APPLICABILITY!$A:$A,0)))</f>
        <v/>
      </c>
      <c r="N44" s="36" t="str">
        <f>IF($B44="","",ROUND(1+($I44*(SUMIFS(OBJECT_CONDITIONS!$W:$W,OBJECT_CONDITIONS!$A:$A,$B44)-1))+($J44*(SUMIFS(OBJECT_CONDITIONS!$J:$J,OBJECT_CONDITIONS!$A:$A,$B44)-1))+($K44*(SUMIFS(OBJECT_CONDITIONS!$L:$L,OBJECT_CONDITIONS!$A:$A,$B44)-1))+($L44*(SUMIFS(OBJECT_CONDITIONS!$N:$N,OBJECT_CONDITIONS!$A:$A,$B44)-1))+($M44*(SUMIFS(OBJECT_CONDITIONS!$R:$R,OBJECT_CONDITIONS!$A:$A,$B44)-1)),3))</f>
        <v/>
      </c>
      <c r="O44" s="36"/>
      <c r="P44" s="36" t="str">
        <f t="shared" si="1"/>
        <v/>
      </c>
      <c r="Q44" s="36" t="str">
        <f t="shared" si="2"/>
        <v/>
      </c>
      <c r="R44" s="11" t="str">
        <f t="array" ref="R44">IF($D44="","",IFERROR(INDEX(MATERIAL_VARIANTS!$O:$O,MATCH($D44,MATERIAL_VARIANTS!$A:$A,0)),""))</f>
        <v/>
      </c>
      <c r="S44" s="36" t="str">
        <f t="array" ref="S44">IF($D44="","",IFERROR(INDEX(MATERIAL_VARIANTS!$P:$P,MATCH($D44,MATERIAL_VARIANTS!$A:$A,0)),""))</f>
        <v/>
      </c>
      <c r="T44" s="11" t="str">
        <f t="shared" si="3"/>
        <v/>
      </c>
      <c r="U44" s="11"/>
    </row>
    <row r="45" ht="14.25" customHeight="1">
      <c r="A45" s="11"/>
      <c r="B45" s="11"/>
      <c r="C45" s="11"/>
      <c r="D45" s="11"/>
      <c r="E45" s="11"/>
      <c r="F45" s="11"/>
      <c r="G45" s="11" t="str">
        <f t="array" ref="G45">IF($C45="","",INDEX(MATERIAL_MASTER!$O:$O,MATCH($C45,MATERIAL_MASTER!$A:$A,0)))</f>
        <v/>
      </c>
      <c r="H45" s="36" t="str">
        <f t="array" ref="H45">IF($C45="","",INDEX(MATERIAL_MASTER!$P:$P,MATCH($C45,MATERIAL_MASTER!$A:$A,0)))</f>
        <v/>
      </c>
      <c r="I45" s="36" t="str">
        <f t="array" ref="I45">IF($C45="","",INDEX(MATERIAL_FACTOR_APPLICABILITY!$D:$D,MATCH($C45,MATERIAL_FACTOR_APPLICABILITY!$A:$A,0)))</f>
        <v/>
      </c>
      <c r="J45" s="36" t="str">
        <f t="array" ref="J45">IF($C45="","",INDEX(MATERIAL_FACTOR_APPLICABILITY!$E:$E,MATCH($C45,MATERIAL_FACTOR_APPLICABILITY!$A:$A,0)))</f>
        <v/>
      </c>
      <c r="K45" s="36" t="str">
        <f t="array" ref="K45">IF($C45="","",INDEX(MATERIAL_FACTOR_APPLICABILITY!$F:$F,MATCH($C45,MATERIAL_FACTOR_APPLICABILITY!$A:$A,0)))</f>
        <v/>
      </c>
      <c r="L45" s="36" t="str">
        <f t="array" ref="L45">IF($C45="","",INDEX(MATERIAL_FACTOR_APPLICABILITY!$G:$G,MATCH($C45,MATERIAL_FACTOR_APPLICABILITY!$A:$A,0)))</f>
        <v/>
      </c>
      <c r="M45" s="36" t="str">
        <f t="array" ref="M45">IF($C45="","",INDEX(MATERIAL_FACTOR_APPLICABILITY!$H:$H,MATCH($C45,MATERIAL_FACTOR_APPLICABILITY!$A:$A,0)))</f>
        <v/>
      </c>
      <c r="N45" s="36" t="str">
        <f>IF($B45="","",ROUND(1+($I45*(SUMIFS(OBJECT_CONDITIONS!$W:$W,OBJECT_CONDITIONS!$A:$A,$B45)-1))+($J45*(SUMIFS(OBJECT_CONDITIONS!$J:$J,OBJECT_CONDITIONS!$A:$A,$B45)-1))+($K45*(SUMIFS(OBJECT_CONDITIONS!$L:$L,OBJECT_CONDITIONS!$A:$A,$B45)-1))+($L45*(SUMIFS(OBJECT_CONDITIONS!$N:$N,OBJECT_CONDITIONS!$A:$A,$B45)-1))+($M45*(SUMIFS(OBJECT_CONDITIONS!$R:$R,OBJECT_CONDITIONS!$A:$A,$B45)-1)),3))</f>
        <v/>
      </c>
      <c r="O45" s="36"/>
      <c r="P45" s="36" t="str">
        <f t="shared" si="1"/>
        <v/>
      </c>
      <c r="Q45" s="36" t="str">
        <f t="shared" si="2"/>
        <v/>
      </c>
      <c r="R45" s="11" t="str">
        <f t="array" ref="R45">IF($D45="","",IFERROR(INDEX(MATERIAL_VARIANTS!$O:$O,MATCH($D45,MATERIAL_VARIANTS!$A:$A,0)),""))</f>
        <v/>
      </c>
      <c r="S45" s="36" t="str">
        <f t="array" ref="S45">IF($D45="","",IFERROR(INDEX(MATERIAL_VARIANTS!$P:$P,MATCH($D45,MATERIAL_VARIANTS!$A:$A,0)),""))</f>
        <v/>
      </c>
      <c r="T45" s="11" t="str">
        <f t="shared" si="3"/>
        <v/>
      </c>
      <c r="U45" s="11"/>
    </row>
    <row r="46" ht="14.25" customHeight="1">
      <c r="A46" s="11"/>
      <c r="B46" s="11"/>
      <c r="C46" s="11"/>
      <c r="D46" s="11"/>
      <c r="E46" s="11"/>
      <c r="F46" s="11"/>
      <c r="G46" s="11" t="str">
        <f t="array" ref="G46">IF($C46="","",INDEX(MATERIAL_MASTER!$O:$O,MATCH($C46,MATERIAL_MASTER!$A:$A,0)))</f>
        <v/>
      </c>
      <c r="H46" s="36" t="str">
        <f t="array" ref="H46">IF($C46="","",INDEX(MATERIAL_MASTER!$P:$P,MATCH($C46,MATERIAL_MASTER!$A:$A,0)))</f>
        <v/>
      </c>
      <c r="I46" s="36" t="str">
        <f t="array" ref="I46">IF($C46="","",INDEX(MATERIAL_FACTOR_APPLICABILITY!$D:$D,MATCH($C46,MATERIAL_FACTOR_APPLICABILITY!$A:$A,0)))</f>
        <v/>
      </c>
      <c r="J46" s="36" t="str">
        <f t="array" ref="J46">IF($C46="","",INDEX(MATERIAL_FACTOR_APPLICABILITY!$E:$E,MATCH($C46,MATERIAL_FACTOR_APPLICABILITY!$A:$A,0)))</f>
        <v/>
      </c>
      <c r="K46" s="36" t="str">
        <f t="array" ref="K46">IF($C46="","",INDEX(MATERIAL_FACTOR_APPLICABILITY!$F:$F,MATCH($C46,MATERIAL_FACTOR_APPLICABILITY!$A:$A,0)))</f>
        <v/>
      </c>
      <c r="L46" s="36" t="str">
        <f t="array" ref="L46">IF($C46="","",INDEX(MATERIAL_FACTOR_APPLICABILITY!$G:$G,MATCH($C46,MATERIAL_FACTOR_APPLICABILITY!$A:$A,0)))</f>
        <v/>
      </c>
      <c r="M46" s="36" t="str">
        <f t="array" ref="M46">IF($C46="","",INDEX(MATERIAL_FACTOR_APPLICABILITY!$H:$H,MATCH($C46,MATERIAL_FACTOR_APPLICABILITY!$A:$A,0)))</f>
        <v/>
      </c>
      <c r="N46" s="36" t="str">
        <f>IF($B46="","",ROUND(1+($I46*(SUMIFS(OBJECT_CONDITIONS!$W:$W,OBJECT_CONDITIONS!$A:$A,$B46)-1))+($J46*(SUMIFS(OBJECT_CONDITIONS!$J:$J,OBJECT_CONDITIONS!$A:$A,$B46)-1))+($K46*(SUMIFS(OBJECT_CONDITIONS!$L:$L,OBJECT_CONDITIONS!$A:$A,$B46)-1))+($L46*(SUMIFS(OBJECT_CONDITIONS!$N:$N,OBJECT_CONDITIONS!$A:$A,$B46)-1))+($M46*(SUMIFS(OBJECT_CONDITIONS!$R:$R,OBJECT_CONDITIONS!$A:$A,$B46)-1)),3))</f>
        <v/>
      </c>
      <c r="O46" s="36"/>
      <c r="P46" s="36" t="str">
        <f t="shared" si="1"/>
        <v/>
      </c>
      <c r="Q46" s="36" t="str">
        <f t="shared" si="2"/>
        <v/>
      </c>
      <c r="R46" s="11" t="str">
        <f t="array" ref="R46">IF($D46="","",IFERROR(INDEX(MATERIAL_VARIANTS!$O:$O,MATCH($D46,MATERIAL_VARIANTS!$A:$A,0)),""))</f>
        <v/>
      </c>
      <c r="S46" s="36" t="str">
        <f t="array" ref="S46">IF($D46="","",IFERROR(INDEX(MATERIAL_VARIANTS!$P:$P,MATCH($D46,MATERIAL_VARIANTS!$A:$A,0)),""))</f>
        <v/>
      </c>
      <c r="T46" s="11" t="str">
        <f t="shared" si="3"/>
        <v/>
      </c>
      <c r="U46" s="11"/>
    </row>
    <row r="47" ht="14.25" customHeight="1">
      <c r="A47" s="11"/>
      <c r="B47" s="11"/>
      <c r="C47" s="11"/>
      <c r="D47" s="11"/>
      <c r="E47" s="11"/>
      <c r="F47" s="11"/>
      <c r="G47" s="11" t="str">
        <f t="array" ref="G47">IF($C47="","",INDEX(MATERIAL_MASTER!$O:$O,MATCH($C47,MATERIAL_MASTER!$A:$A,0)))</f>
        <v/>
      </c>
      <c r="H47" s="36" t="str">
        <f t="array" ref="H47">IF($C47="","",INDEX(MATERIAL_MASTER!$P:$P,MATCH($C47,MATERIAL_MASTER!$A:$A,0)))</f>
        <v/>
      </c>
      <c r="I47" s="36" t="str">
        <f t="array" ref="I47">IF($C47="","",INDEX(MATERIAL_FACTOR_APPLICABILITY!$D:$D,MATCH($C47,MATERIAL_FACTOR_APPLICABILITY!$A:$A,0)))</f>
        <v/>
      </c>
      <c r="J47" s="36" t="str">
        <f t="array" ref="J47">IF($C47="","",INDEX(MATERIAL_FACTOR_APPLICABILITY!$E:$E,MATCH($C47,MATERIAL_FACTOR_APPLICABILITY!$A:$A,0)))</f>
        <v/>
      </c>
      <c r="K47" s="36" t="str">
        <f t="array" ref="K47">IF($C47="","",INDEX(MATERIAL_FACTOR_APPLICABILITY!$F:$F,MATCH($C47,MATERIAL_FACTOR_APPLICABILITY!$A:$A,0)))</f>
        <v/>
      </c>
      <c r="L47" s="36" t="str">
        <f t="array" ref="L47">IF($C47="","",INDEX(MATERIAL_FACTOR_APPLICABILITY!$G:$G,MATCH($C47,MATERIAL_FACTOR_APPLICABILITY!$A:$A,0)))</f>
        <v/>
      </c>
      <c r="M47" s="36" t="str">
        <f t="array" ref="M47">IF($C47="","",INDEX(MATERIAL_FACTOR_APPLICABILITY!$H:$H,MATCH($C47,MATERIAL_FACTOR_APPLICABILITY!$A:$A,0)))</f>
        <v/>
      </c>
      <c r="N47" s="36" t="str">
        <f>IF($B47="","",ROUND(1+($I47*(SUMIFS(OBJECT_CONDITIONS!$W:$W,OBJECT_CONDITIONS!$A:$A,$B47)-1))+($J47*(SUMIFS(OBJECT_CONDITIONS!$J:$J,OBJECT_CONDITIONS!$A:$A,$B47)-1))+($K47*(SUMIFS(OBJECT_CONDITIONS!$L:$L,OBJECT_CONDITIONS!$A:$A,$B47)-1))+($L47*(SUMIFS(OBJECT_CONDITIONS!$N:$N,OBJECT_CONDITIONS!$A:$A,$B47)-1))+($M47*(SUMIFS(OBJECT_CONDITIONS!$R:$R,OBJECT_CONDITIONS!$A:$A,$B47)-1)),3))</f>
        <v/>
      </c>
      <c r="O47" s="36"/>
      <c r="P47" s="36" t="str">
        <f t="shared" si="1"/>
        <v/>
      </c>
      <c r="Q47" s="36" t="str">
        <f t="shared" si="2"/>
        <v/>
      </c>
      <c r="R47" s="11" t="str">
        <f t="array" ref="R47">IF($D47="","",IFERROR(INDEX(MATERIAL_VARIANTS!$O:$O,MATCH($D47,MATERIAL_VARIANTS!$A:$A,0)),""))</f>
        <v/>
      </c>
      <c r="S47" s="36" t="str">
        <f t="array" ref="S47">IF($D47="","",IFERROR(INDEX(MATERIAL_VARIANTS!$P:$P,MATCH($D47,MATERIAL_VARIANTS!$A:$A,0)),""))</f>
        <v/>
      </c>
      <c r="T47" s="11" t="str">
        <f t="shared" si="3"/>
        <v/>
      </c>
      <c r="U47" s="11"/>
    </row>
    <row r="48" ht="14.25" customHeight="1">
      <c r="A48" s="11"/>
      <c r="B48" s="11"/>
      <c r="C48" s="11"/>
      <c r="D48" s="11"/>
      <c r="E48" s="11"/>
      <c r="F48" s="11"/>
      <c r="G48" s="11" t="str">
        <f t="array" ref="G48">IF($C48="","",INDEX(MATERIAL_MASTER!$O:$O,MATCH($C48,MATERIAL_MASTER!$A:$A,0)))</f>
        <v/>
      </c>
      <c r="H48" s="36" t="str">
        <f t="array" ref="H48">IF($C48="","",INDEX(MATERIAL_MASTER!$P:$P,MATCH($C48,MATERIAL_MASTER!$A:$A,0)))</f>
        <v/>
      </c>
      <c r="I48" s="36" t="str">
        <f t="array" ref="I48">IF($C48="","",INDEX(MATERIAL_FACTOR_APPLICABILITY!$D:$D,MATCH($C48,MATERIAL_FACTOR_APPLICABILITY!$A:$A,0)))</f>
        <v/>
      </c>
      <c r="J48" s="36" t="str">
        <f t="array" ref="J48">IF($C48="","",INDEX(MATERIAL_FACTOR_APPLICABILITY!$E:$E,MATCH($C48,MATERIAL_FACTOR_APPLICABILITY!$A:$A,0)))</f>
        <v/>
      </c>
      <c r="K48" s="36" t="str">
        <f t="array" ref="K48">IF($C48="","",INDEX(MATERIAL_FACTOR_APPLICABILITY!$F:$F,MATCH($C48,MATERIAL_FACTOR_APPLICABILITY!$A:$A,0)))</f>
        <v/>
      </c>
      <c r="L48" s="36" t="str">
        <f t="array" ref="L48">IF($C48="","",INDEX(MATERIAL_FACTOR_APPLICABILITY!$G:$G,MATCH($C48,MATERIAL_FACTOR_APPLICABILITY!$A:$A,0)))</f>
        <v/>
      </c>
      <c r="M48" s="36" t="str">
        <f t="array" ref="M48">IF($C48="","",INDEX(MATERIAL_FACTOR_APPLICABILITY!$H:$H,MATCH($C48,MATERIAL_FACTOR_APPLICABILITY!$A:$A,0)))</f>
        <v/>
      </c>
      <c r="N48" s="36" t="str">
        <f>IF($B48="","",ROUND(1+($I48*(SUMIFS(OBJECT_CONDITIONS!$W:$W,OBJECT_CONDITIONS!$A:$A,$B48)-1))+($J48*(SUMIFS(OBJECT_CONDITIONS!$J:$J,OBJECT_CONDITIONS!$A:$A,$B48)-1))+($K48*(SUMIFS(OBJECT_CONDITIONS!$L:$L,OBJECT_CONDITIONS!$A:$A,$B48)-1))+($L48*(SUMIFS(OBJECT_CONDITIONS!$N:$N,OBJECT_CONDITIONS!$A:$A,$B48)-1))+($M48*(SUMIFS(OBJECT_CONDITIONS!$R:$R,OBJECT_CONDITIONS!$A:$A,$B48)-1)),3))</f>
        <v/>
      </c>
      <c r="O48" s="36"/>
      <c r="P48" s="36" t="str">
        <f t="shared" si="1"/>
        <v/>
      </c>
      <c r="Q48" s="36" t="str">
        <f t="shared" si="2"/>
        <v/>
      </c>
      <c r="R48" s="11" t="str">
        <f t="array" ref="R48">IF($D48="","",IFERROR(INDEX(MATERIAL_VARIANTS!$O:$O,MATCH($D48,MATERIAL_VARIANTS!$A:$A,0)),""))</f>
        <v/>
      </c>
      <c r="S48" s="36" t="str">
        <f t="array" ref="S48">IF($D48="","",IFERROR(INDEX(MATERIAL_VARIANTS!$P:$P,MATCH($D48,MATERIAL_VARIANTS!$A:$A,0)),""))</f>
        <v/>
      </c>
      <c r="T48" s="11" t="str">
        <f t="shared" si="3"/>
        <v/>
      </c>
      <c r="U48" s="11"/>
    </row>
    <row r="49" ht="14.25" customHeight="1">
      <c r="A49" s="11"/>
      <c r="B49" s="11"/>
      <c r="C49" s="11"/>
      <c r="D49" s="11"/>
      <c r="E49" s="11"/>
      <c r="F49" s="11"/>
      <c r="G49" s="11" t="str">
        <f t="array" ref="G49">IF($C49="","",INDEX(MATERIAL_MASTER!$O:$O,MATCH($C49,MATERIAL_MASTER!$A:$A,0)))</f>
        <v/>
      </c>
      <c r="H49" s="36" t="str">
        <f t="array" ref="H49">IF($C49="","",INDEX(MATERIAL_MASTER!$P:$P,MATCH($C49,MATERIAL_MASTER!$A:$A,0)))</f>
        <v/>
      </c>
      <c r="I49" s="36" t="str">
        <f t="array" ref="I49">IF($C49="","",INDEX(MATERIAL_FACTOR_APPLICABILITY!$D:$D,MATCH($C49,MATERIAL_FACTOR_APPLICABILITY!$A:$A,0)))</f>
        <v/>
      </c>
      <c r="J49" s="36" t="str">
        <f t="array" ref="J49">IF($C49="","",INDEX(MATERIAL_FACTOR_APPLICABILITY!$E:$E,MATCH($C49,MATERIAL_FACTOR_APPLICABILITY!$A:$A,0)))</f>
        <v/>
      </c>
      <c r="K49" s="36" t="str">
        <f t="array" ref="K49">IF($C49="","",INDEX(MATERIAL_FACTOR_APPLICABILITY!$F:$F,MATCH($C49,MATERIAL_FACTOR_APPLICABILITY!$A:$A,0)))</f>
        <v/>
      </c>
      <c r="L49" s="36" t="str">
        <f t="array" ref="L49">IF($C49="","",INDEX(MATERIAL_FACTOR_APPLICABILITY!$G:$G,MATCH($C49,MATERIAL_FACTOR_APPLICABILITY!$A:$A,0)))</f>
        <v/>
      </c>
      <c r="M49" s="36" t="str">
        <f t="array" ref="M49">IF($C49="","",INDEX(MATERIAL_FACTOR_APPLICABILITY!$H:$H,MATCH($C49,MATERIAL_FACTOR_APPLICABILITY!$A:$A,0)))</f>
        <v/>
      </c>
      <c r="N49" s="36" t="str">
        <f>IF($B49="","",ROUND(1+($I49*(SUMIFS(OBJECT_CONDITIONS!$W:$W,OBJECT_CONDITIONS!$A:$A,$B49)-1))+($J49*(SUMIFS(OBJECT_CONDITIONS!$J:$J,OBJECT_CONDITIONS!$A:$A,$B49)-1))+($K49*(SUMIFS(OBJECT_CONDITIONS!$L:$L,OBJECT_CONDITIONS!$A:$A,$B49)-1))+($L49*(SUMIFS(OBJECT_CONDITIONS!$N:$N,OBJECT_CONDITIONS!$A:$A,$B49)-1))+($M49*(SUMIFS(OBJECT_CONDITIONS!$R:$R,OBJECT_CONDITIONS!$A:$A,$B49)-1)),3))</f>
        <v/>
      </c>
      <c r="O49" s="36"/>
      <c r="P49" s="36" t="str">
        <f t="shared" si="1"/>
        <v/>
      </c>
      <c r="Q49" s="36" t="str">
        <f t="shared" si="2"/>
        <v/>
      </c>
      <c r="R49" s="11" t="str">
        <f t="array" ref="R49">IF($D49="","",IFERROR(INDEX(MATERIAL_VARIANTS!$O:$O,MATCH($D49,MATERIAL_VARIANTS!$A:$A,0)),""))</f>
        <v/>
      </c>
      <c r="S49" s="36" t="str">
        <f t="array" ref="S49">IF($D49="","",IFERROR(INDEX(MATERIAL_VARIANTS!$P:$P,MATCH($D49,MATERIAL_VARIANTS!$A:$A,0)),""))</f>
        <v/>
      </c>
      <c r="T49" s="11" t="str">
        <f t="shared" si="3"/>
        <v/>
      </c>
      <c r="U49" s="11"/>
    </row>
    <row r="50" ht="14.25" customHeight="1">
      <c r="A50" s="11"/>
      <c r="B50" s="11"/>
      <c r="C50" s="11"/>
      <c r="D50" s="11"/>
      <c r="E50" s="11"/>
      <c r="F50" s="11"/>
      <c r="G50" s="11" t="str">
        <f t="array" ref="G50">IF($C50="","",INDEX(MATERIAL_MASTER!$O:$O,MATCH($C50,MATERIAL_MASTER!$A:$A,0)))</f>
        <v/>
      </c>
      <c r="H50" s="36" t="str">
        <f t="array" ref="H50">IF($C50="","",INDEX(MATERIAL_MASTER!$P:$P,MATCH($C50,MATERIAL_MASTER!$A:$A,0)))</f>
        <v/>
      </c>
      <c r="I50" s="36" t="str">
        <f t="array" ref="I50">IF($C50="","",INDEX(MATERIAL_FACTOR_APPLICABILITY!$D:$D,MATCH($C50,MATERIAL_FACTOR_APPLICABILITY!$A:$A,0)))</f>
        <v/>
      </c>
      <c r="J50" s="36" t="str">
        <f t="array" ref="J50">IF($C50="","",INDEX(MATERIAL_FACTOR_APPLICABILITY!$E:$E,MATCH($C50,MATERIAL_FACTOR_APPLICABILITY!$A:$A,0)))</f>
        <v/>
      </c>
      <c r="K50" s="36" t="str">
        <f t="array" ref="K50">IF($C50="","",INDEX(MATERIAL_FACTOR_APPLICABILITY!$F:$F,MATCH($C50,MATERIAL_FACTOR_APPLICABILITY!$A:$A,0)))</f>
        <v/>
      </c>
      <c r="L50" s="36" t="str">
        <f t="array" ref="L50">IF($C50="","",INDEX(MATERIAL_FACTOR_APPLICABILITY!$G:$G,MATCH($C50,MATERIAL_FACTOR_APPLICABILITY!$A:$A,0)))</f>
        <v/>
      </c>
      <c r="M50" s="36" t="str">
        <f t="array" ref="M50">IF($C50="","",INDEX(MATERIAL_FACTOR_APPLICABILITY!$H:$H,MATCH($C50,MATERIAL_FACTOR_APPLICABILITY!$A:$A,0)))</f>
        <v/>
      </c>
      <c r="N50" s="36" t="str">
        <f>IF($B50="","",ROUND(1+($I50*(SUMIFS(OBJECT_CONDITIONS!$W:$W,OBJECT_CONDITIONS!$A:$A,$B50)-1))+($J50*(SUMIFS(OBJECT_CONDITIONS!$J:$J,OBJECT_CONDITIONS!$A:$A,$B50)-1))+($K50*(SUMIFS(OBJECT_CONDITIONS!$L:$L,OBJECT_CONDITIONS!$A:$A,$B50)-1))+($L50*(SUMIFS(OBJECT_CONDITIONS!$N:$N,OBJECT_CONDITIONS!$A:$A,$B50)-1))+($M50*(SUMIFS(OBJECT_CONDITIONS!$R:$R,OBJECT_CONDITIONS!$A:$A,$B50)-1)),3))</f>
        <v/>
      </c>
      <c r="O50" s="36"/>
      <c r="P50" s="36" t="str">
        <f t="shared" si="1"/>
        <v/>
      </c>
      <c r="Q50" s="36" t="str">
        <f t="shared" si="2"/>
        <v/>
      </c>
      <c r="R50" s="11" t="str">
        <f t="array" ref="R50">IF($D50="","",IFERROR(INDEX(MATERIAL_VARIANTS!$O:$O,MATCH($D50,MATERIAL_VARIANTS!$A:$A,0)),""))</f>
        <v/>
      </c>
      <c r="S50" s="36" t="str">
        <f t="array" ref="S50">IF($D50="","",IFERROR(INDEX(MATERIAL_VARIANTS!$P:$P,MATCH($D50,MATERIAL_VARIANTS!$A:$A,0)),""))</f>
        <v/>
      </c>
      <c r="T50" s="11" t="str">
        <f t="shared" si="3"/>
        <v/>
      </c>
      <c r="U50" s="11"/>
    </row>
    <row r="51" ht="14.25" customHeight="1">
      <c r="A51" s="11"/>
      <c r="B51" s="11"/>
      <c r="C51" s="11"/>
      <c r="D51" s="11"/>
      <c r="E51" s="11"/>
      <c r="F51" s="11"/>
      <c r="G51" s="11" t="str">
        <f t="array" ref="G51">IF($C51="","",INDEX(MATERIAL_MASTER!$O:$O,MATCH($C51,MATERIAL_MASTER!$A:$A,0)))</f>
        <v/>
      </c>
      <c r="H51" s="36" t="str">
        <f t="array" ref="H51">IF($C51="","",INDEX(MATERIAL_MASTER!$P:$P,MATCH($C51,MATERIAL_MASTER!$A:$A,0)))</f>
        <v/>
      </c>
      <c r="I51" s="36" t="str">
        <f t="array" ref="I51">IF($C51="","",INDEX(MATERIAL_FACTOR_APPLICABILITY!$D:$D,MATCH($C51,MATERIAL_FACTOR_APPLICABILITY!$A:$A,0)))</f>
        <v/>
      </c>
      <c r="J51" s="36" t="str">
        <f t="array" ref="J51">IF($C51="","",INDEX(MATERIAL_FACTOR_APPLICABILITY!$E:$E,MATCH($C51,MATERIAL_FACTOR_APPLICABILITY!$A:$A,0)))</f>
        <v/>
      </c>
      <c r="K51" s="36" t="str">
        <f t="array" ref="K51">IF($C51="","",INDEX(MATERIAL_FACTOR_APPLICABILITY!$F:$F,MATCH($C51,MATERIAL_FACTOR_APPLICABILITY!$A:$A,0)))</f>
        <v/>
      </c>
      <c r="L51" s="36" t="str">
        <f t="array" ref="L51">IF($C51="","",INDEX(MATERIAL_FACTOR_APPLICABILITY!$G:$G,MATCH($C51,MATERIAL_FACTOR_APPLICABILITY!$A:$A,0)))</f>
        <v/>
      </c>
      <c r="M51" s="36" t="str">
        <f t="array" ref="M51">IF($C51="","",INDEX(MATERIAL_FACTOR_APPLICABILITY!$H:$H,MATCH($C51,MATERIAL_FACTOR_APPLICABILITY!$A:$A,0)))</f>
        <v/>
      </c>
      <c r="N51" s="36" t="str">
        <f>IF($B51="","",ROUND(1+($I51*(SUMIFS(OBJECT_CONDITIONS!$W:$W,OBJECT_CONDITIONS!$A:$A,$B51)-1))+($J51*(SUMIFS(OBJECT_CONDITIONS!$J:$J,OBJECT_CONDITIONS!$A:$A,$B51)-1))+($K51*(SUMIFS(OBJECT_CONDITIONS!$L:$L,OBJECT_CONDITIONS!$A:$A,$B51)-1))+($L51*(SUMIFS(OBJECT_CONDITIONS!$N:$N,OBJECT_CONDITIONS!$A:$A,$B51)-1))+($M51*(SUMIFS(OBJECT_CONDITIONS!$R:$R,OBJECT_CONDITIONS!$A:$A,$B51)-1)),3))</f>
        <v/>
      </c>
      <c r="O51" s="36"/>
      <c r="P51" s="36" t="str">
        <f t="shared" si="1"/>
        <v/>
      </c>
      <c r="Q51" s="36" t="str">
        <f t="shared" si="2"/>
        <v/>
      </c>
      <c r="R51" s="11" t="str">
        <f t="array" ref="R51">IF($D51="","",IFERROR(INDEX(MATERIAL_VARIANTS!$O:$O,MATCH($D51,MATERIAL_VARIANTS!$A:$A,0)),""))</f>
        <v/>
      </c>
      <c r="S51" s="36" t="str">
        <f t="array" ref="S51">IF($D51="","",IFERROR(INDEX(MATERIAL_VARIANTS!$P:$P,MATCH($D51,MATERIAL_VARIANTS!$A:$A,0)),""))</f>
        <v/>
      </c>
      <c r="T51" s="11" t="str">
        <f t="shared" si="3"/>
        <v/>
      </c>
      <c r="U51" s="11"/>
    </row>
    <row r="52" ht="14.25" customHeight="1">
      <c r="A52" s="11"/>
      <c r="B52" s="11"/>
      <c r="C52" s="11"/>
      <c r="D52" s="11"/>
      <c r="E52" s="11"/>
      <c r="F52" s="11"/>
      <c r="G52" s="11" t="str">
        <f t="array" ref="G52">IF($C52="","",INDEX(MATERIAL_MASTER!$O:$O,MATCH($C52,MATERIAL_MASTER!$A:$A,0)))</f>
        <v/>
      </c>
      <c r="H52" s="36" t="str">
        <f t="array" ref="H52">IF($C52="","",INDEX(MATERIAL_MASTER!$P:$P,MATCH($C52,MATERIAL_MASTER!$A:$A,0)))</f>
        <v/>
      </c>
      <c r="I52" s="36" t="str">
        <f t="array" ref="I52">IF($C52="","",INDEX(MATERIAL_FACTOR_APPLICABILITY!$D:$D,MATCH($C52,MATERIAL_FACTOR_APPLICABILITY!$A:$A,0)))</f>
        <v/>
      </c>
      <c r="J52" s="36" t="str">
        <f t="array" ref="J52">IF($C52="","",INDEX(MATERIAL_FACTOR_APPLICABILITY!$E:$E,MATCH($C52,MATERIAL_FACTOR_APPLICABILITY!$A:$A,0)))</f>
        <v/>
      </c>
      <c r="K52" s="36" t="str">
        <f t="array" ref="K52">IF($C52="","",INDEX(MATERIAL_FACTOR_APPLICABILITY!$F:$F,MATCH($C52,MATERIAL_FACTOR_APPLICABILITY!$A:$A,0)))</f>
        <v/>
      </c>
      <c r="L52" s="36" t="str">
        <f t="array" ref="L52">IF($C52="","",INDEX(MATERIAL_FACTOR_APPLICABILITY!$G:$G,MATCH($C52,MATERIAL_FACTOR_APPLICABILITY!$A:$A,0)))</f>
        <v/>
      </c>
      <c r="M52" s="36" t="str">
        <f t="array" ref="M52">IF($C52="","",INDEX(MATERIAL_FACTOR_APPLICABILITY!$H:$H,MATCH($C52,MATERIAL_FACTOR_APPLICABILITY!$A:$A,0)))</f>
        <v/>
      </c>
      <c r="N52" s="36" t="str">
        <f>IF($B52="","",ROUND(1+($I52*(SUMIFS(OBJECT_CONDITIONS!$W:$W,OBJECT_CONDITIONS!$A:$A,$B52)-1))+($J52*(SUMIFS(OBJECT_CONDITIONS!$J:$J,OBJECT_CONDITIONS!$A:$A,$B52)-1))+($K52*(SUMIFS(OBJECT_CONDITIONS!$L:$L,OBJECT_CONDITIONS!$A:$A,$B52)-1))+($L52*(SUMIFS(OBJECT_CONDITIONS!$N:$N,OBJECT_CONDITIONS!$A:$A,$B52)-1))+($M52*(SUMIFS(OBJECT_CONDITIONS!$R:$R,OBJECT_CONDITIONS!$A:$A,$B52)-1)),3))</f>
        <v/>
      </c>
      <c r="O52" s="36"/>
      <c r="P52" s="36" t="str">
        <f t="shared" si="1"/>
        <v/>
      </c>
      <c r="Q52" s="36" t="str">
        <f t="shared" si="2"/>
        <v/>
      </c>
      <c r="R52" s="11" t="str">
        <f t="array" ref="R52">IF($D52="","",IFERROR(INDEX(MATERIAL_VARIANTS!$O:$O,MATCH($D52,MATERIAL_VARIANTS!$A:$A,0)),""))</f>
        <v/>
      </c>
      <c r="S52" s="36" t="str">
        <f t="array" ref="S52">IF($D52="","",IFERROR(INDEX(MATERIAL_VARIANTS!$P:$P,MATCH($D52,MATERIAL_VARIANTS!$A:$A,0)),""))</f>
        <v/>
      </c>
      <c r="T52" s="11" t="str">
        <f t="shared" si="3"/>
        <v/>
      </c>
      <c r="U52" s="11"/>
    </row>
    <row r="53" ht="14.25" customHeight="1">
      <c r="A53" s="11"/>
      <c r="B53" s="11"/>
      <c r="C53" s="11"/>
      <c r="D53" s="11"/>
      <c r="E53" s="11"/>
      <c r="F53" s="11"/>
      <c r="G53" s="11" t="str">
        <f t="array" ref="G53">IF($C53="","",INDEX(MATERIAL_MASTER!$O:$O,MATCH($C53,MATERIAL_MASTER!$A:$A,0)))</f>
        <v/>
      </c>
      <c r="H53" s="36" t="str">
        <f t="array" ref="H53">IF($C53="","",INDEX(MATERIAL_MASTER!$P:$P,MATCH($C53,MATERIAL_MASTER!$A:$A,0)))</f>
        <v/>
      </c>
      <c r="I53" s="36" t="str">
        <f t="array" ref="I53">IF($C53="","",INDEX(MATERIAL_FACTOR_APPLICABILITY!$D:$D,MATCH($C53,MATERIAL_FACTOR_APPLICABILITY!$A:$A,0)))</f>
        <v/>
      </c>
      <c r="J53" s="36" t="str">
        <f t="array" ref="J53">IF($C53="","",INDEX(MATERIAL_FACTOR_APPLICABILITY!$E:$E,MATCH($C53,MATERIAL_FACTOR_APPLICABILITY!$A:$A,0)))</f>
        <v/>
      </c>
      <c r="K53" s="36" t="str">
        <f t="array" ref="K53">IF($C53="","",INDEX(MATERIAL_FACTOR_APPLICABILITY!$F:$F,MATCH($C53,MATERIAL_FACTOR_APPLICABILITY!$A:$A,0)))</f>
        <v/>
      </c>
      <c r="L53" s="36" t="str">
        <f t="array" ref="L53">IF($C53="","",INDEX(MATERIAL_FACTOR_APPLICABILITY!$G:$G,MATCH($C53,MATERIAL_FACTOR_APPLICABILITY!$A:$A,0)))</f>
        <v/>
      </c>
      <c r="M53" s="36" t="str">
        <f t="array" ref="M53">IF($C53="","",INDEX(MATERIAL_FACTOR_APPLICABILITY!$H:$H,MATCH($C53,MATERIAL_FACTOR_APPLICABILITY!$A:$A,0)))</f>
        <v/>
      </c>
      <c r="N53" s="36" t="str">
        <f>IF($B53="","",ROUND(1+($I53*(SUMIFS(OBJECT_CONDITIONS!$W:$W,OBJECT_CONDITIONS!$A:$A,$B53)-1))+($J53*(SUMIFS(OBJECT_CONDITIONS!$J:$J,OBJECT_CONDITIONS!$A:$A,$B53)-1))+($K53*(SUMIFS(OBJECT_CONDITIONS!$L:$L,OBJECT_CONDITIONS!$A:$A,$B53)-1))+($L53*(SUMIFS(OBJECT_CONDITIONS!$N:$N,OBJECT_CONDITIONS!$A:$A,$B53)-1))+($M53*(SUMIFS(OBJECT_CONDITIONS!$R:$R,OBJECT_CONDITIONS!$A:$A,$B53)-1)),3))</f>
        <v/>
      </c>
      <c r="O53" s="36"/>
      <c r="P53" s="36" t="str">
        <f t="shared" si="1"/>
        <v/>
      </c>
      <c r="Q53" s="36" t="str">
        <f t="shared" si="2"/>
        <v/>
      </c>
      <c r="R53" s="11" t="str">
        <f t="array" ref="R53">IF($D53="","",IFERROR(INDEX(MATERIAL_VARIANTS!$O:$O,MATCH($D53,MATERIAL_VARIANTS!$A:$A,0)),""))</f>
        <v/>
      </c>
      <c r="S53" s="36" t="str">
        <f t="array" ref="S53">IF($D53="","",IFERROR(INDEX(MATERIAL_VARIANTS!$P:$P,MATCH($D53,MATERIAL_VARIANTS!$A:$A,0)),""))</f>
        <v/>
      </c>
      <c r="T53" s="11" t="str">
        <f t="shared" si="3"/>
        <v/>
      </c>
      <c r="U53" s="11"/>
    </row>
    <row r="54" ht="14.25" customHeight="1">
      <c r="A54" s="11"/>
      <c r="B54" s="11"/>
      <c r="C54" s="11"/>
      <c r="D54" s="11"/>
      <c r="E54" s="11"/>
      <c r="F54" s="11"/>
      <c r="G54" s="11" t="str">
        <f t="array" ref="G54">IF($C54="","",INDEX(MATERIAL_MASTER!$O:$O,MATCH($C54,MATERIAL_MASTER!$A:$A,0)))</f>
        <v/>
      </c>
      <c r="H54" s="36" t="str">
        <f t="array" ref="H54">IF($C54="","",INDEX(MATERIAL_MASTER!$P:$P,MATCH($C54,MATERIAL_MASTER!$A:$A,0)))</f>
        <v/>
      </c>
      <c r="I54" s="36" t="str">
        <f t="array" ref="I54">IF($C54="","",INDEX(MATERIAL_FACTOR_APPLICABILITY!$D:$D,MATCH($C54,MATERIAL_FACTOR_APPLICABILITY!$A:$A,0)))</f>
        <v/>
      </c>
      <c r="J54" s="36" t="str">
        <f t="array" ref="J54">IF($C54="","",INDEX(MATERIAL_FACTOR_APPLICABILITY!$E:$E,MATCH($C54,MATERIAL_FACTOR_APPLICABILITY!$A:$A,0)))</f>
        <v/>
      </c>
      <c r="K54" s="36" t="str">
        <f t="array" ref="K54">IF($C54="","",INDEX(MATERIAL_FACTOR_APPLICABILITY!$F:$F,MATCH($C54,MATERIAL_FACTOR_APPLICABILITY!$A:$A,0)))</f>
        <v/>
      </c>
      <c r="L54" s="36" t="str">
        <f t="array" ref="L54">IF($C54="","",INDEX(MATERIAL_FACTOR_APPLICABILITY!$G:$G,MATCH($C54,MATERIAL_FACTOR_APPLICABILITY!$A:$A,0)))</f>
        <v/>
      </c>
      <c r="M54" s="36" t="str">
        <f t="array" ref="M54">IF($C54="","",INDEX(MATERIAL_FACTOR_APPLICABILITY!$H:$H,MATCH($C54,MATERIAL_FACTOR_APPLICABILITY!$A:$A,0)))</f>
        <v/>
      </c>
      <c r="N54" s="36" t="str">
        <f>IF($B54="","",ROUND(1+($I54*(SUMIFS(OBJECT_CONDITIONS!$W:$W,OBJECT_CONDITIONS!$A:$A,$B54)-1))+($J54*(SUMIFS(OBJECT_CONDITIONS!$J:$J,OBJECT_CONDITIONS!$A:$A,$B54)-1))+($K54*(SUMIFS(OBJECT_CONDITIONS!$L:$L,OBJECT_CONDITIONS!$A:$A,$B54)-1))+($L54*(SUMIFS(OBJECT_CONDITIONS!$N:$N,OBJECT_CONDITIONS!$A:$A,$B54)-1))+($M54*(SUMIFS(OBJECT_CONDITIONS!$R:$R,OBJECT_CONDITIONS!$A:$A,$B54)-1)),3))</f>
        <v/>
      </c>
      <c r="O54" s="36"/>
      <c r="P54" s="36" t="str">
        <f t="shared" si="1"/>
        <v/>
      </c>
      <c r="Q54" s="36" t="str">
        <f t="shared" si="2"/>
        <v/>
      </c>
      <c r="R54" s="11" t="str">
        <f t="array" ref="R54">IF($D54="","",IFERROR(INDEX(MATERIAL_VARIANTS!$O:$O,MATCH($D54,MATERIAL_VARIANTS!$A:$A,0)),""))</f>
        <v/>
      </c>
      <c r="S54" s="36" t="str">
        <f t="array" ref="S54">IF($D54="","",IFERROR(INDEX(MATERIAL_VARIANTS!$P:$P,MATCH($D54,MATERIAL_VARIANTS!$A:$A,0)),""))</f>
        <v/>
      </c>
      <c r="T54" s="11" t="str">
        <f t="shared" si="3"/>
        <v/>
      </c>
      <c r="U54" s="11"/>
    </row>
    <row r="55" ht="14.25" customHeight="1">
      <c r="A55" s="11"/>
      <c r="B55" s="11"/>
      <c r="C55" s="11"/>
      <c r="D55" s="11"/>
      <c r="E55" s="11"/>
      <c r="F55" s="11"/>
      <c r="G55" s="11" t="str">
        <f t="array" ref="G55">IF($C55="","",INDEX(MATERIAL_MASTER!$O:$O,MATCH($C55,MATERIAL_MASTER!$A:$A,0)))</f>
        <v/>
      </c>
      <c r="H55" s="36" t="str">
        <f t="array" ref="H55">IF($C55="","",INDEX(MATERIAL_MASTER!$P:$P,MATCH($C55,MATERIAL_MASTER!$A:$A,0)))</f>
        <v/>
      </c>
      <c r="I55" s="36" t="str">
        <f t="array" ref="I55">IF($C55="","",INDEX(MATERIAL_FACTOR_APPLICABILITY!$D:$D,MATCH($C55,MATERIAL_FACTOR_APPLICABILITY!$A:$A,0)))</f>
        <v/>
      </c>
      <c r="J55" s="36" t="str">
        <f t="array" ref="J55">IF($C55="","",INDEX(MATERIAL_FACTOR_APPLICABILITY!$E:$E,MATCH($C55,MATERIAL_FACTOR_APPLICABILITY!$A:$A,0)))</f>
        <v/>
      </c>
      <c r="K55" s="36" t="str">
        <f t="array" ref="K55">IF($C55="","",INDEX(MATERIAL_FACTOR_APPLICABILITY!$F:$F,MATCH($C55,MATERIAL_FACTOR_APPLICABILITY!$A:$A,0)))</f>
        <v/>
      </c>
      <c r="L55" s="36" t="str">
        <f t="array" ref="L55">IF($C55="","",INDEX(MATERIAL_FACTOR_APPLICABILITY!$G:$G,MATCH($C55,MATERIAL_FACTOR_APPLICABILITY!$A:$A,0)))</f>
        <v/>
      </c>
      <c r="M55" s="36" t="str">
        <f t="array" ref="M55">IF($C55="","",INDEX(MATERIAL_FACTOR_APPLICABILITY!$H:$H,MATCH($C55,MATERIAL_FACTOR_APPLICABILITY!$A:$A,0)))</f>
        <v/>
      </c>
      <c r="N55" s="36" t="str">
        <f>IF($B55="","",ROUND(1+($I55*(SUMIFS(OBJECT_CONDITIONS!$W:$W,OBJECT_CONDITIONS!$A:$A,$B55)-1))+($J55*(SUMIFS(OBJECT_CONDITIONS!$J:$J,OBJECT_CONDITIONS!$A:$A,$B55)-1))+($K55*(SUMIFS(OBJECT_CONDITIONS!$L:$L,OBJECT_CONDITIONS!$A:$A,$B55)-1))+($L55*(SUMIFS(OBJECT_CONDITIONS!$N:$N,OBJECT_CONDITIONS!$A:$A,$B55)-1))+($M55*(SUMIFS(OBJECT_CONDITIONS!$R:$R,OBJECT_CONDITIONS!$A:$A,$B55)-1)),3))</f>
        <v/>
      </c>
      <c r="O55" s="36"/>
      <c r="P55" s="36" t="str">
        <f t="shared" si="1"/>
        <v/>
      </c>
      <c r="Q55" s="36" t="str">
        <f t="shared" si="2"/>
        <v/>
      </c>
      <c r="R55" s="11" t="str">
        <f t="array" ref="R55">IF($D55="","",IFERROR(INDEX(MATERIAL_VARIANTS!$O:$O,MATCH($D55,MATERIAL_VARIANTS!$A:$A,0)),""))</f>
        <v/>
      </c>
      <c r="S55" s="36" t="str">
        <f t="array" ref="S55">IF($D55="","",IFERROR(INDEX(MATERIAL_VARIANTS!$P:$P,MATCH($D55,MATERIAL_VARIANTS!$A:$A,0)),""))</f>
        <v/>
      </c>
      <c r="T55" s="11" t="str">
        <f t="shared" si="3"/>
        <v/>
      </c>
      <c r="U55" s="11"/>
    </row>
    <row r="56" ht="14.25" customHeight="1">
      <c r="A56" s="11"/>
      <c r="B56" s="11"/>
      <c r="C56" s="11"/>
      <c r="D56" s="11"/>
      <c r="E56" s="11"/>
      <c r="F56" s="11"/>
      <c r="G56" s="11" t="str">
        <f t="array" ref="G56">IF($C56="","",INDEX(MATERIAL_MASTER!$O:$O,MATCH($C56,MATERIAL_MASTER!$A:$A,0)))</f>
        <v/>
      </c>
      <c r="H56" s="36" t="str">
        <f t="array" ref="H56">IF($C56="","",INDEX(MATERIAL_MASTER!$P:$P,MATCH($C56,MATERIAL_MASTER!$A:$A,0)))</f>
        <v/>
      </c>
      <c r="I56" s="36" t="str">
        <f t="array" ref="I56">IF($C56="","",INDEX(MATERIAL_FACTOR_APPLICABILITY!$D:$D,MATCH($C56,MATERIAL_FACTOR_APPLICABILITY!$A:$A,0)))</f>
        <v/>
      </c>
      <c r="J56" s="36" t="str">
        <f t="array" ref="J56">IF($C56="","",INDEX(MATERIAL_FACTOR_APPLICABILITY!$E:$E,MATCH($C56,MATERIAL_FACTOR_APPLICABILITY!$A:$A,0)))</f>
        <v/>
      </c>
      <c r="K56" s="36" t="str">
        <f t="array" ref="K56">IF($C56="","",INDEX(MATERIAL_FACTOR_APPLICABILITY!$F:$F,MATCH($C56,MATERIAL_FACTOR_APPLICABILITY!$A:$A,0)))</f>
        <v/>
      </c>
      <c r="L56" s="36" t="str">
        <f t="array" ref="L56">IF($C56="","",INDEX(MATERIAL_FACTOR_APPLICABILITY!$G:$G,MATCH($C56,MATERIAL_FACTOR_APPLICABILITY!$A:$A,0)))</f>
        <v/>
      </c>
      <c r="M56" s="36" t="str">
        <f t="array" ref="M56">IF($C56="","",INDEX(MATERIAL_FACTOR_APPLICABILITY!$H:$H,MATCH($C56,MATERIAL_FACTOR_APPLICABILITY!$A:$A,0)))</f>
        <v/>
      </c>
      <c r="N56" s="36" t="str">
        <f>IF($B56="","",ROUND(1+($I56*(SUMIFS(OBJECT_CONDITIONS!$W:$W,OBJECT_CONDITIONS!$A:$A,$B56)-1))+($J56*(SUMIFS(OBJECT_CONDITIONS!$J:$J,OBJECT_CONDITIONS!$A:$A,$B56)-1))+($K56*(SUMIFS(OBJECT_CONDITIONS!$L:$L,OBJECT_CONDITIONS!$A:$A,$B56)-1))+($L56*(SUMIFS(OBJECT_CONDITIONS!$N:$N,OBJECT_CONDITIONS!$A:$A,$B56)-1))+($M56*(SUMIFS(OBJECT_CONDITIONS!$R:$R,OBJECT_CONDITIONS!$A:$A,$B56)-1)),3))</f>
        <v/>
      </c>
      <c r="O56" s="36"/>
      <c r="P56" s="36" t="str">
        <f t="shared" si="1"/>
        <v/>
      </c>
      <c r="Q56" s="36" t="str">
        <f t="shared" si="2"/>
        <v/>
      </c>
      <c r="R56" s="11" t="str">
        <f t="array" ref="R56">IF($D56="","",IFERROR(INDEX(MATERIAL_VARIANTS!$O:$O,MATCH($D56,MATERIAL_VARIANTS!$A:$A,0)),""))</f>
        <v/>
      </c>
      <c r="S56" s="36" t="str">
        <f t="array" ref="S56">IF($D56="","",IFERROR(INDEX(MATERIAL_VARIANTS!$P:$P,MATCH($D56,MATERIAL_VARIANTS!$A:$A,0)),""))</f>
        <v/>
      </c>
      <c r="T56" s="11" t="str">
        <f t="shared" si="3"/>
        <v/>
      </c>
      <c r="U56" s="11"/>
    </row>
    <row r="57" ht="14.25" customHeight="1">
      <c r="A57" s="11"/>
      <c r="B57" s="11"/>
      <c r="C57" s="11"/>
      <c r="D57" s="11"/>
      <c r="E57" s="11"/>
      <c r="F57" s="11"/>
      <c r="G57" s="11" t="str">
        <f t="array" ref="G57">IF($C57="","",INDEX(MATERIAL_MASTER!$O:$O,MATCH($C57,MATERIAL_MASTER!$A:$A,0)))</f>
        <v/>
      </c>
      <c r="H57" s="36" t="str">
        <f t="array" ref="H57">IF($C57="","",INDEX(MATERIAL_MASTER!$P:$P,MATCH($C57,MATERIAL_MASTER!$A:$A,0)))</f>
        <v/>
      </c>
      <c r="I57" s="36" t="str">
        <f t="array" ref="I57">IF($C57="","",INDEX(MATERIAL_FACTOR_APPLICABILITY!$D:$D,MATCH($C57,MATERIAL_FACTOR_APPLICABILITY!$A:$A,0)))</f>
        <v/>
      </c>
      <c r="J57" s="36" t="str">
        <f t="array" ref="J57">IF($C57="","",INDEX(MATERIAL_FACTOR_APPLICABILITY!$E:$E,MATCH($C57,MATERIAL_FACTOR_APPLICABILITY!$A:$A,0)))</f>
        <v/>
      </c>
      <c r="K57" s="36" t="str">
        <f t="array" ref="K57">IF($C57="","",INDEX(MATERIAL_FACTOR_APPLICABILITY!$F:$F,MATCH($C57,MATERIAL_FACTOR_APPLICABILITY!$A:$A,0)))</f>
        <v/>
      </c>
      <c r="L57" s="36" t="str">
        <f t="array" ref="L57">IF($C57="","",INDEX(MATERIAL_FACTOR_APPLICABILITY!$G:$G,MATCH($C57,MATERIAL_FACTOR_APPLICABILITY!$A:$A,0)))</f>
        <v/>
      </c>
      <c r="M57" s="36" t="str">
        <f t="array" ref="M57">IF($C57="","",INDEX(MATERIAL_FACTOR_APPLICABILITY!$H:$H,MATCH($C57,MATERIAL_FACTOR_APPLICABILITY!$A:$A,0)))</f>
        <v/>
      </c>
      <c r="N57" s="36" t="str">
        <f>IF($B57="","",ROUND(1+($I57*(SUMIFS(OBJECT_CONDITIONS!$W:$W,OBJECT_CONDITIONS!$A:$A,$B57)-1))+($J57*(SUMIFS(OBJECT_CONDITIONS!$J:$J,OBJECT_CONDITIONS!$A:$A,$B57)-1))+($K57*(SUMIFS(OBJECT_CONDITIONS!$L:$L,OBJECT_CONDITIONS!$A:$A,$B57)-1))+($L57*(SUMIFS(OBJECT_CONDITIONS!$N:$N,OBJECT_CONDITIONS!$A:$A,$B57)-1))+($M57*(SUMIFS(OBJECT_CONDITIONS!$R:$R,OBJECT_CONDITIONS!$A:$A,$B57)-1)),3))</f>
        <v/>
      </c>
      <c r="O57" s="36"/>
      <c r="P57" s="36" t="str">
        <f t="shared" si="1"/>
        <v/>
      </c>
      <c r="Q57" s="36" t="str">
        <f t="shared" si="2"/>
        <v/>
      </c>
      <c r="R57" s="11" t="str">
        <f t="array" ref="R57">IF($D57="","",IFERROR(INDEX(MATERIAL_VARIANTS!$O:$O,MATCH($D57,MATERIAL_VARIANTS!$A:$A,0)),""))</f>
        <v/>
      </c>
      <c r="S57" s="36" t="str">
        <f t="array" ref="S57">IF($D57="","",IFERROR(INDEX(MATERIAL_VARIANTS!$P:$P,MATCH($D57,MATERIAL_VARIANTS!$A:$A,0)),""))</f>
        <v/>
      </c>
      <c r="T57" s="11" t="str">
        <f t="shared" si="3"/>
        <v/>
      </c>
      <c r="U57" s="11"/>
    </row>
    <row r="58" ht="14.25" customHeight="1">
      <c r="A58" s="11"/>
      <c r="B58" s="11"/>
      <c r="C58" s="11"/>
      <c r="D58" s="11"/>
      <c r="E58" s="11"/>
      <c r="F58" s="11"/>
      <c r="G58" s="11" t="str">
        <f t="array" ref="G58">IF($C58="","",INDEX(MATERIAL_MASTER!$O:$O,MATCH($C58,MATERIAL_MASTER!$A:$A,0)))</f>
        <v/>
      </c>
      <c r="H58" s="36" t="str">
        <f t="array" ref="H58">IF($C58="","",INDEX(MATERIAL_MASTER!$P:$P,MATCH($C58,MATERIAL_MASTER!$A:$A,0)))</f>
        <v/>
      </c>
      <c r="I58" s="36" t="str">
        <f t="array" ref="I58">IF($C58="","",INDEX(MATERIAL_FACTOR_APPLICABILITY!$D:$D,MATCH($C58,MATERIAL_FACTOR_APPLICABILITY!$A:$A,0)))</f>
        <v/>
      </c>
      <c r="J58" s="36" t="str">
        <f t="array" ref="J58">IF($C58="","",INDEX(MATERIAL_FACTOR_APPLICABILITY!$E:$E,MATCH($C58,MATERIAL_FACTOR_APPLICABILITY!$A:$A,0)))</f>
        <v/>
      </c>
      <c r="K58" s="36" t="str">
        <f t="array" ref="K58">IF($C58="","",INDEX(MATERIAL_FACTOR_APPLICABILITY!$F:$F,MATCH($C58,MATERIAL_FACTOR_APPLICABILITY!$A:$A,0)))</f>
        <v/>
      </c>
      <c r="L58" s="36" t="str">
        <f t="array" ref="L58">IF($C58="","",INDEX(MATERIAL_FACTOR_APPLICABILITY!$G:$G,MATCH($C58,MATERIAL_FACTOR_APPLICABILITY!$A:$A,0)))</f>
        <v/>
      </c>
      <c r="M58" s="36" t="str">
        <f t="array" ref="M58">IF($C58="","",INDEX(MATERIAL_FACTOR_APPLICABILITY!$H:$H,MATCH($C58,MATERIAL_FACTOR_APPLICABILITY!$A:$A,0)))</f>
        <v/>
      </c>
      <c r="N58" s="36" t="str">
        <f>IF($B58="","",ROUND(1+($I58*(SUMIFS(OBJECT_CONDITIONS!$W:$W,OBJECT_CONDITIONS!$A:$A,$B58)-1))+($J58*(SUMIFS(OBJECT_CONDITIONS!$J:$J,OBJECT_CONDITIONS!$A:$A,$B58)-1))+($K58*(SUMIFS(OBJECT_CONDITIONS!$L:$L,OBJECT_CONDITIONS!$A:$A,$B58)-1))+($L58*(SUMIFS(OBJECT_CONDITIONS!$N:$N,OBJECT_CONDITIONS!$A:$A,$B58)-1))+($M58*(SUMIFS(OBJECT_CONDITIONS!$R:$R,OBJECT_CONDITIONS!$A:$A,$B58)-1)),3))</f>
        <v/>
      </c>
      <c r="O58" s="36"/>
      <c r="P58" s="36" t="str">
        <f t="shared" si="1"/>
        <v/>
      </c>
      <c r="Q58" s="36" t="str">
        <f t="shared" si="2"/>
        <v/>
      </c>
      <c r="R58" s="11" t="str">
        <f t="array" ref="R58">IF($D58="","",IFERROR(INDEX(MATERIAL_VARIANTS!$O:$O,MATCH($D58,MATERIAL_VARIANTS!$A:$A,0)),""))</f>
        <v/>
      </c>
      <c r="S58" s="36" t="str">
        <f t="array" ref="S58">IF($D58="","",IFERROR(INDEX(MATERIAL_VARIANTS!$P:$P,MATCH($D58,MATERIAL_VARIANTS!$A:$A,0)),""))</f>
        <v/>
      </c>
      <c r="T58" s="11" t="str">
        <f t="shared" si="3"/>
        <v/>
      </c>
      <c r="U58" s="11"/>
    </row>
    <row r="59" ht="14.25" customHeight="1">
      <c r="A59" s="11"/>
      <c r="B59" s="11"/>
      <c r="C59" s="11"/>
      <c r="D59" s="11"/>
      <c r="E59" s="11"/>
      <c r="F59" s="11"/>
      <c r="G59" s="11" t="str">
        <f t="array" ref="G59">IF($C59="","",INDEX(MATERIAL_MASTER!$O:$O,MATCH($C59,MATERIAL_MASTER!$A:$A,0)))</f>
        <v/>
      </c>
      <c r="H59" s="36" t="str">
        <f t="array" ref="H59">IF($C59="","",INDEX(MATERIAL_MASTER!$P:$P,MATCH($C59,MATERIAL_MASTER!$A:$A,0)))</f>
        <v/>
      </c>
      <c r="I59" s="36" t="str">
        <f t="array" ref="I59">IF($C59="","",INDEX(MATERIAL_FACTOR_APPLICABILITY!$D:$D,MATCH($C59,MATERIAL_FACTOR_APPLICABILITY!$A:$A,0)))</f>
        <v/>
      </c>
      <c r="J59" s="36" t="str">
        <f t="array" ref="J59">IF($C59="","",INDEX(MATERIAL_FACTOR_APPLICABILITY!$E:$E,MATCH($C59,MATERIAL_FACTOR_APPLICABILITY!$A:$A,0)))</f>
        <v/>
      </c>
      <c r="K59" s="36" t="str">
        <f t="array" ref="K59">IF($C59="","",INDEX(MATERIAL_FACTOR_APPLICABILITY!$F:$F,MATCH($C59,MATERIAL_FACTOR_APPLICABILITY!$A:$A,0)))</f>
        <v/>
      </c>
      <c r="L59" s="36" t="str">
        <f t="array" ref="L59">IF($C59="","",INDEX(MATERIAL_FACTOR_APPLICABILITY!$G:$G,MATCH($C59,MATERIAL_FACTOR_APPLICABILITY!$A:$A,0)))</f>
        <v/>
      </c>
      <c r="M59" s="36" t="str">
        <f t="array" ref="M59">IF($C59="","",INDEX(MATERIAL_FACTOR_APPLICABILITY!$H:$H,MATCH($C59,MATERIAL_FACTOR_APPLICABILITY!$A:$A,0)))</f>
        <v/>
      </c>
      <c r="N59" s="36" t="str">
        <f>IF($B59="","",ROUND(1+($I59*(SUMIFS(OBJECT_CONDITIONS!$W:$W,OBJECT_CONDITIONS!$A:$A,$B59)-1))+($J59*(SUMIFS(OBJECT_CONDITIONS!$J:$J,OBJECT_CONDITIONS!$A:$A,$B59)-1))+($K59*(SUMIFS(OBJECT_CONDITIONS!$L:$L,OBJECT_CONDITIONS!$A:$A,$B59)-1))+($L59*(SUMIFS(OBJECT_CONDITIONS!$N:$N,OBJECT_CONDITIONS!$A:$A,$B59)-1))+($M59*(SUMIFS(OBJECT_CONDITIONS!$R:$R,OBJECT_CONDITIONS!$A:$A,$B59)-1)),3))</f>
        <v/>
      </c>
      <c r="O59" s="36"/>
      <c r="P59" s="36" t="str">
        <f t="shared" si="1"/>
        <v/>
      </c>
      <c r="Q59" s="36" t="str">
        <f t="shared" si="2"/>
        <v/>
      </c>
      <c r="R59" s="11" t="str">
        <f t="array" ref="R59">IF($D59="","",IFERROR(INDEX(MATERIAL_VARIANTS!$O:$O,MATCH($D59,MATERIAL_VARIANTS!$A:$A,0)),""))</f>
        <v/>
      </c>
      <c r="S59" s="36" t="str">
        <f t="array" ref="S59">IF($D59="","",IFERROR(INDEX(MATERIAL_VARIANTS!$P:$P,MATCH($D59,MATERIAL_VARIANTS!$A:$A,0)),""))</f>
        <v/>
      </c>
      <c r="T59" s="11" t="str">
        <f t="shared" si="3"/>
        <v/>
      </c>
      <c r="U59" s="11"/>
    </row>
    <row r="60" ht="14.25" customHeight="1">
      <c r="A60" s="11"/>
      <c r="B60" s="11"/>
      <c r="C60" s="11"/>
      <c r="D60" s="11"/>
      <c r="E60" s="11"/>
      <c r="F60" s="11"/>
      <c r="G60" s="11" t="str">
        <f t="array" ref="G60">IF($C60="","",INDEX(MATERIAL_MASTER!$O:$O,MATCH($C60,MATERIAL_MASTER!$A:$A,0)))</f>
        <v/>
      </c>
      <c r="H60" s="36" t="str">
        <f t="array" ref="H60">IF($C60="","",INDEX(MATERIAL_MASTER!$P:$P,MATCH($C60,MATERIAL_MASTER!$A:$A,0)))</f>
        <v/>
      </c>
      <c r="I60" s="36" t="str">
        <f t="array" ref="I60">IF($C60="","",INDEX(MATERIAL_FACTOR_APPLICABILITY!$D:$D,MATCH($C60,MATERIAL_FACTOR_APPLICABILITY!$A:$A,0)))</f>
        <v/>
      </c>
      <c r="J60" s="36" t="str">
        <f t="array" ref="J60">IF($C60="","",INDEX(MATERIAL_FACTOR_APPLICABILITY!$E:$E,MATCH($C60,MATERIAL_FACTOR_APPLICABILITY!$A:$A,0)))</f>
        <v/>
      </c>
      <c r="K60" s="36" t="str">
        <f t="array" ref="K60">IF($C60="","",INDEX(MATERIAL_FACTOR_APPLICABILITY!$F:$F,MATCH($C60,MATERIAL_FACTOR_APPLICABILITY!$A:$A,0)))</f>
        <v/>
      </c>
      <c r="L60" s="36" t="str">
        <f t="array" ref="L60">IF($C60="","",INDEX(MATERIAL_FACTOR_APPLICABILITY!$G:$G,MATCH($C60,MATERIAL_FACTOR_APPLICABILITY!$A:$A,0)))</f>
        <v/>
      </c>
      <c r="M60" s="36" t="str">
        <f t="array" ref="M60">IF($C60="","",INDEX(MATERIAL_FACTOR_APPLICABILITY!$H:$H,MATCH($C60,MATERIAL_FACTOR_APPLICABILITY!$A:$A,0)))</f>
        <v/>
      </c>
      <c r="N60" s="36" t="str">
        <f>IF($B60="","",ROUND(1+($I60*(SUMIFS(OBJECT_CONDITIONS!$W:$W,OBJECT_CONDITIONS!$A:$A,$B60)-1))+($J60*(SUMIFS(OBJECT_CONDITIONS!$J:$J,OBJECT_CONDITIONS!$A:$A,$B60)-1))+($K60*(SUMIFS(OBJECT_CONDITIONS!$L:$L,OBJECT_CONDITIONS!$A:$A,$B60)-1))+($L60*(SUMIFS(OBJECT_CONDITIONS!$N:$N,OBJECT_CONDITIONS!$A:$A,$B60)-1))+($M60*(SUMIFS(OBJECT_CONDITIONS!$R:$R,OBJECT_CONDITIONS!$A:$A,$B60)-1)),3))</f>
        <v/>
      </c>
      <c r="O60" s="36"/>
      <c r="P60" s="36" t="str">
        <f t="shared" si="1"/>
        <v/>
      </c>
      <c r="Q60" s="36" t="str">
        <f t="shared" si="2"/>
        <v/>
      </c>
      <c r="R60" s="11" t="str">
        <f t="array" ref="R60">IF($D60="","",IFERROR(INDEX(MATERIAL_VARIANTS!$O:$O,MATCH($D60,MATERIAL_VARIANTS!$A:$A,0)),""))</f>
        <v/>
      </c>
      <c r="S60" s="36" t="str">
        <f t="array" ref="S60">IF($D60="","",IFERROR(INDEX(MATERIAL_VARIANTS!$P:$P,MATCH($D60,MATERIAL_VARIANTS!$A:$A,0)),""))</f>
        <v/>
      </c>
      <c r="T60" s="11" t="str">
        <f t="shared" si="3"/>
        <v/>
      </c>
      <c r="U60" s="11"/>
    </row>
    <row r="61" ht="14.25" customHeight="1">
      <c r="A61" s="11"/>
      <c r="B61" s="11"/>
      <c r="C61" s="11"/>
      <c r="D61" s="11"/>
      <c r="E61" s="11"/>
      <c r="F61" s="11"/>
      <c r="G61" s="11" t="str">
        <f t="array" ref="G61">IF($C61="","",INDEX(MATERIAL_MASTER!$O:$O,MATCH($C61,MATERIAL_MASTER!$A:$A,0)))</f>
        <v/>
      </c>
      <c r="H61" s="36" t="str">
        <f t="array" ref="H61">IF($C61="","",INDEX(MATERIAL_MASTER!$P:$P,MATCH($C61,MATERIAL_MASTER!$A:$A,0)))</f>
        <v/>
      </c>
      <c r="I61" s="36" t="str">
        <f t="array" ref="I61">IF($C61="","",INDEX(MATERIAL_FACTOR_APPLICABILITY!$D:$D,MATCH($C61,MATERIAL_FACTOR_APPLICABILITY!$A:$A,0)))</f>
        <v/>
      </c>
      <c r="J61" s="36" t="str">
        <f t="array" ref="J61">IF($C61="","",INDEX(MATERIAL_FACTOR_APPLICABILITY!$E:$E,MATCH($C61,MATERIAL_FACTOR_APPLICABILITY!$A:$A,0)))</f>
        <v/>
      </c>
      <c r="K61" s="36" t="str">
        <f t="array" ref="K61">IF($C61="","",INDEX(MATERIAL_FACTOR_APPLICABILITY!$F:$F,MATCH($C61,MATERIAL_FACTOR_APPLICABILITY!$A:$A,0)))</f>
        <v/>
      </c>
      <c r="L61" s="36" t="str">
        <f t="array" ref="L61">IF($C61="","",INDEX(MATERIAL_FACTOR_APPLICABILITY!$G:$G,MATCH($C61,MATERIAL_FACTOR_APPLICABILITY!$A:$A,0)))</f>
        <v/>
      </c>
      <c r="M61" s="36" t="str">
        <f t="array" ref="M61">IF($C61="","",INDEX(MATERIAL_FACTOR_APPLICABILITY!$H:$H,MATCH($C61,MATERIAL_FACTOR_APPLICABILITY!$A:$A,0)))</f>
        <v/>
      </c>
      <c r="N61" s="36" t="str">
        <f>IF($B61="","",ROUND(1+($I61*(SUMIFS(OBJECT_CONDITIONS!$W:$W,OBJECT_CONDITIONS!$A:$A,$B61)-1))+($J61*(SUMIFS(OBJECT_CONDITIONS!$J:$J,OBJECT_CONDITIONS!$A:$A,$B61)-1))+($K61*(SUMIFS(OBJECT_CONDITIONS!$L:$L,OBJECT_CONDITIONS!$A:$A,$B61)-1))+($L61*(SUMIFS(OBJECT_CONDITIONS!$N:$N,OBJECT_CONDITIONS!$A:$A,$B61)-1))+($M61*(SUMIFS(OBJECT_CONDITIONS!$R:$R,OBJECT_CONDITIONS!$A:$A,$B61)-1)),3))</f>
        <v/>
      </c>
      <c r="O61" s="36"/>
      <c r="P61" s="36" t="str">
        <f t="shared" si="1"/>
        <v/>
      </c>
      <c r="Q61" s="36" t="str">
        <f t="shared" si="2"/>
        <v/>
      </c>
      <c r="R61" s="11" t="str">
        <f t="array" ref="R61">IF($D61="","",IFERROR(INDEX(MATERIAL_VARIANTS!$O:$O,MATCH($D61,MATERIAL_VARIANTS!$A:$A,0)),""))</f>
        <v/>
      </c>
      <c r="S61" s="36" t="str">
        <f t="array" ref="S61">IF($D61="","",IFERROR(INDEX(MATERIAL_VARIANTS!$P:$P,MATCH($D61,MATERIAL_VARIANTS!$A:$A,0)),""))</f>
        <v/>
      </c>
      <c r="T61" s="11" t="str">
        <f t="shared" si="3"/>
        <v/>
      </c>
      <c r="U61" s="11"/>
    </row>
    <row r="62" ht="14.25" customHeight="1">
      <c r="A62" s="11"/>
      <c r="B62" s="11"/>
      <c r="C62" s="11"/>
      <c r="D62" s="11"/>
      <c r="E62" s="11"/>
      <c r="F62" s="11"/>
      <c r="G62" s="11" t="str">
        <f t="array" ref="G62">IF($C62="","",INDEX(MATERIAL_MASTER!$O:$O,MATCH($C62,MATERIAL_MASTER!$A:$A,0)))</f>
        <v/>
      </c>
      <c r="H62" s="36" t="str">
        <f t="array" ref="H62">IF($C62="","",INDEX(MATERIAL_MASTER!$P:$P,MATCH($C62,MATERIAL_MASTER!$A:$A,0)))</f>
        <v/>
      </c>
      <c r="I62" s="36" t="str">
        <f t="array" ref="I62">IF($C62="","",INDEX(MATERIAL_FACTOR_APPLICABILITY!$D:$D,MATCH($C62,MATERIAL_FACTOR_APPLICABILITY!$A:$A,0)))</f>
        <v/>
      </c>
      <c r="J62" s="36" t="str">
        <f t="array" ref="J62">IF($C62="","",INDEX(MATERIAL_FACTOR_APPLICABILITY!$E:$E,MATCH($C62,MATERIAL_FACTOR_APPLICABILITY!$A:$A,0)))</f>
        <v/>
      </c>
      <c r="K62" s="36" t="str">
        <f t="array" ref="K62">IF($C62="","",INDEX(MATERIAL_FACTOR_APPLICABILITY!$F:$F,MATCH($C62,MATERIAL_FACTOR_APPLICABILITY!$A:$A,0)))</f>
        <v/>
      </c>
      <c r="L62" s="36" t="str">
        <f t="array" ref="L62">IF($C62="","",INDEX(MATERIAL_FACTOR_APPLICABILITY!$G:$G,MATCH($C62,MATERIAL_FACTOR_APPLICABILITY!$A:$A,0)))</f>
        <v/>
      </c>
      <c r="M62" s="36" t="str">
        <f t="array" ref="M62">IF($C62="","",INDEX(MATERIAL_FACTOR_APPLICABILITY!$H:$H,MATCH($C62,MATERIAL_FACTOR_APPLICABILITY!$A:$A,0)))</f>
        <v/>
      </c>
      <c r="N62" s="36" t="str">
        <f>IF($B62="","",ROUND(1+($I62*(SUMIFS(OBJECT_CONDITIONS!$W:$W,OBJECT_CONDITIONS!$A:$A,$B62)-1))+($J62*(SUMIFS(OBJECT_CONDITIONS!$J:$J,OBJECT_CONDITIONS!$A:$A,$B62)-1))+($K62*(SUMIFS(OBJECT_CONDITIONS!$L:$L,OBJECT_CONDITIONS!$A:$A,$B62)-1))+($L62*(SUMIFS(OBJECT_CONDITIONS!$N:$N,OBJECT_CONDITIONS!$A:$A,$B62)-1))+($M62*(SUMIFS(OBJECT_CONDITIONS!$R:$R,OBJECT_CONDITIONS!$A:$A,$B62)-1)),3))</f>
        <v/>
      </c>
      <c r="O62" s="36"/>
      <c r="P62" s="36" t="str">
        <f t="shared" si="1"/>
        <v/>
      </c>
      <c r="Q62" s="36" t="str">
        <f t="shared" si="2"/>
        <v/>
      </c>
      <c r="R62" s="11" t="str">
        <f t="array" ref="R62">IF($D62="","",IFERROR(INDEX(MATERIAL_VARIANTS!$O:$O,MATCH($D62,MATERIAL_VARIANTS!$A:$A,0)),""))</f>
        <v/>
      </c>
      <c r="S62" s="36" t="str">
        <f t="array" ref="S62">IF($D62="","",IFERROR(INDEX(MATERIAL_VARIANTS!$P:$P,MATCH($D62,MATERIAL_VARIANTS!$A:$A,0)),""))</f>
        <v/>
      </c>
      <c r="T62" s="11" t="str">
        <f t="shared" si="3"/>
        <v/>
      </c>
      <c r="U62" s="11"/>
    </row>
    <row r="63" ht="14.25" customHeight="1">
      <c r="A63" s="11"/>
      <c r="B63" s="11"/>
      <c r="C63" s="11"/>
      <c r="D63" s="11"/>
      <c r="E63" s="11"/>
      <c r="F63" s="11"/>
      <c r="G63" s="11" t="str">
        <f t="array" ref="G63">IF($C63="","",INDEX(MATERIAL_MASTER!$O:$O,MATCH($C63,MATERIAL_MASTER!$A:$A,0)))</f>
        <v/>
      </c>
      <c r="H63" s="36" t="str">
        <f t="array" ref="H63">IF($C63="","",INDEX(MATERIAL_MASTER!$P:$P,MATCH($C63,MATERIAL_MASTER!$A:$A,0)))</f>
        <v/>
      </c>
      <c r="I63" s="36" t="str">
        <f t="array" ref="I63">IF($C63="","",INDEX(MATERIAL_FACTOR_APPLICABILITY!$D:$D,MATCH($C63,MATERIAL_FACTOR_APPLICABILITY!$A:$A,0)))</f>
        <v/>
      </c>
      <c r="J63" s="36" t="str">
        <f t="array" ref="J63">IF($C63="","",INDEX(MATERIAL_FACTOR_APPLICABILITY!$E:$E,MATCH($C63,MATERIAL_FACTOR_APPLICABILITY!$A:$A,0)))</f>
        <v/>
      </c>
      <c r="K63" s="36" t="str">
        <f t="array" ref="K63">IF($C63="","",INDEX(MATERIAL_FACTOR_APPLICABILITY!$F:$F,MATCH($C63,MATERIAL_FACTOR_APPLICABILITY!$A:$A,0)))</f>
        <v/>
      </c>
      <c r="L63" s="36" t="str">
        <f t="array" ref="L63">IF($C63="","",INDEX(MATERIAL_FACTOR_APPLICABILITY!$G:$G,MATCH($C63,MATERIAL_FACTOR_APPLICABILITY!$A:$A,0)))</f>
        <v/>
      </c>
      <c r="M63" s="36" t="str">
        <f t="array" ref="M63">IF($C63="","",INDEX(MATERIAL_FACTOR_APPLICABILITY!$H:$H,MATCH($C63,MATERIAL_FACTOR_APPLICABILITY!$A:$A,0)))</f>
        <v/>
      </c>
      <c r="N63" s="36" t="str">
        <f>IF($B63="","",ROUND(1+($I63*(SUMIFS(OBJECT_CONDITIONS!$W:$W,OBJECT_CONDITIONS!$A:$A,$B63)-1))+($J63*(SUMIFS(OBJECT_CONDITIONS!$J:$J,OBJECT_CONDITIONS!$A:$A,$B63)-1))+($K63*(SUMIFS(OBJECT_CONDITIONS!$L:$L,OBJECT_CONDITIONS!$A:$A,$B63)-1))+($L63*(SUMIFS(OBJECT_CONDITIONS!$N:$N,OBJECT_CONDITIONS!$A:$A,$B63)-1))+($M63*(SUMIFS(OBJECT_CONDITIONS!$R:$R,OBJECT_CONDITIONS!$A:$A,$B63)-1)),3))</f>
        <v/>
      </c>
      <c r="O63" s="36"/>
      <c r="P63" s="36" t="str">
        <f t="shared" si="1"/>
        <v/>
      </c>
      <c r="Q63" s="36" t="str">
        <f t="shared" si="2"/>
        <v/>
      </c>
      <c r="R63" s="11" t="str">
        <f t="array" ref="R63">IF($D63="","",IFERROR(INDEX(MATERIAL_VARIANTS!$O:$O,MATCH($D63,MATERIAL_VARIANTS!$A:$A,0)),""))</f>
        <v/>
      </c>
      <c r="S63" s="36" t="str">
        <f t="array" ref="S63">IF($D63="","",IFERROR(INDEX(MATERIAL_VARIANTS!$P:$P,MATCH($D63,MATERIAL_VARIANTS!$A:$A,0)),""))</f>
        <v/>
      </c>
      <c r="T63" s="11" t="str">
        <f t="shared" si="3"/>
        <v/>
      </c>
      <c r="U63" s="11"/>
    </row>
    <row r="64" ht="14.25" customHeight="1">
      <c r="A64" s="11"/>
      <c r="B64" s="11"/>
      <c r="C64" s="11"/>
      <c r="D64" s="11"/>
      <c r="E64" s="11"/>
      <c r="F64" s="11"/>
      <c r="G64" s="11" t="str">
        <f t="array" ref="G64">IF($C64="","",INDEX(MATERIAL_MASTER!$O:$O,MATCH($C64,MATERIAL_MASTER!$A:$A,0)))</f>
        <v/>
      </c>
      <c r="H64" s="36" t="str">
        <f t="array" ref="H64">IF($C64="","",INDEX(MATERIAL_MASTER!$P:$P,MATCH($C64,MATERIAL_MASTER!$A:$A,0)))</f>
        <v/>
      </c>
      <c r="I64" s="36" t="str">
        <f t="array" ref="I64">IF($C64="","",INDEX(MATERIAL_FACTOR_APPLICABILITY!$D:$D,MATCH($C64,MATERIAL_FACTOR_APPLICABILITY!$A:$A,0)))</f>
        <v/>
      </c>
      <c r="J64" s="36" t="str">
        <f t="array" ref="J64">IF($C64="","",INDEX(MATERIAL_FACTOR_APPLICABILITY!$E:$E,MATCH($C64,MATERIAL_FACTOR_APPLICABILITY!$A:$A,0)))</f>
        <v/>
      </c>
      <c r="K64" s="36" t="str">
        <f t="array" ref="K64">IF($C64="","",INDEX(MATERIAL_FACTOR_APPLICABILITY!$F:$F,MATCH($C64,MATERIAL_FACTOR_APPLICABILITY!$A:$A,0)))</f>
        <v/>
      </c>
      <c r="L64" s="36" t="str">
        <f t="array" ref="L64">IF($C64="","",INDEX(MATERIAL_FACTOR_APPLICABILITY!$G:$G,MATCH($C64,MATERIAL_FACTOR_APPLICABILITY!$A:$A,0)))</f>
        <v/>
      </c>
      <c r="M64" s="36" t="str">
        <f t="array" ref="M64">IF($C64="","",INDEX(MATERIAL_FACTOR_APPLICABILITY!$H:$H,MATCH($C64,MATERIAL_FACTOR_APPLICABILITY!$A:$A,0)))</f>
        <v/>
      </c>
      <c r="N64" s="36" t="str">
        <f>IF($B64="","",ROUND(1+($I64*(SUMIFS(OBJECT_CONDITIONS!$W:$W,OBJECT_CONDITIONS!$A:$A,$B64)-1))+($J64*(SUMIFS(OBJECT_CONDITIONS!$J:$J,OBJECT_CONDITIONS!$A:$A,$B64)-1))+($K64*(SUMIFS(OBJECT_CONDITIONS!$L:$L,OBJECT_CONDITIONS!$A:$A,$B64)-1))+($L64*(SUMIFS(OBJECT_CONDITIONS!$N:$N,OBJECT_CONDITIONS!$A:$A,$B64)-1))+($M64*(SUMIFS(OBJECT_CONDITIONS!$R:$R,OBJECT_CONDITIONS!$A:$A,$B64)-1)),3))</f>
        <v/>
      </c>
      <c r="O64" s="36"/>
      <c r="P64" s="36" t="str">
        <f t="shared" si="1"/>
        <v/>
      </c>
      <c r="Q64" s="36" t="str">
        <f t="shared" si="2"/>
        <v/>
      </c>
      <c r="R64" s="11" t="str">
        <f t="array" ref="R64">IF($D64="","",IFERROR(INDEX(MATERIAL_VARIANTS!$O:$O,MATCH($D64,MATERIAL_VARIANTS!$A:$A,0)),""))</f>
        <v/>
      </c>
      <c r="S64" s="36" t="str">
        <f t="array" ref="S64">IF($D64="","",IFERROR(INDEX(MATERIAL_VARIANTS!$P:$P,MATCH($D64,MATERIAL_VARIANTS!$A:$A,0)),""))</f>
        <v/>
      </c>
      <c r="T64" s="11" t="str">
        <f t="shared" si="3"/>
        <v/>
      </c>
      <c r="U64" s="11"/>
    </row>
    <row r="65" ht="14.25" customHeight="1">
      <c r="A65" s="11"/>
      <c r="B65" s="11"/>
      <c r="C65" s="11"/>
      <c r="D65" s="11"/>
      <c r="E65" s="11"/>
      <c r="F65" s="11"/>
      <c r="G65" s="11" t="str">
        <f t="array" ref="G65">IF($C65="","",INDEX(MATERIAL_MASTER!$O:$O,MATCH($C65,MATERIAL_MASTER!$A:$A,0)))</f>
        <v/>
      </c>
      <c r="H65" s="36" t="str">
        <f t="array" ref="H65">IF($C65="","",INDEX(MATERIAL_MASTER!$P:$P,MATCH($C65,MATERIAL_MASTER!$A:$A,0)))</f>
        <v/>
      </c>
      <c r="I65" s="36" t="str">
        <f t="array" ref="I65">IF($C65="","",INDEX(MATERIAL_FACTOR_APPLICABILITY!$D:$D,MATCH($C65,MATERIAL_FACTOR_APPLICABILITY!$A:$A,0)))</f>
        <v/>
      </c>
      <c r="J65" s="36" t="str">
        <f t="array" ref="J65">IF($C65="","",INDEX(MATERIAL_FACTOR_APPLICABILITY!$E:$E,MATCH($C65,MATERIAL_FACTOR_APPLICABILITY!$A:$A,0)))</f>
        <v/>
      </c>
      <c r="K65" s="36" t="str">
        <f t="array" ref="K65">IF($C65="","",INDEX(MATERIAL_FACTOR_APPLICABILITY!$F:$F,MATCH($C65,MATERIAL_FACTOR_APPLICABILITY!$A:$A,0)))</f>
        <v/>
      </c>
      <c r="L65" s="36" t="str">
        <f t="array" ref="L65">IF($C65="","",INDEX(MATERIAL_FACTOR_APPLICABILITY!$G:$G,MATCH($C65,MATERIAL_FACTOR_APPLICABILITY!$A:$A,0)))</f>
        <v/>
      </c>
      <c r="M65" s="36" t="str">
        <f t="array" ref="M65">IF($C65="","",INDEX(MATERIAL_FACTOR_APPLICABILITY!$H:$H,MATCH($C65,MATERIAL_FACTOR_APPLICABILITY!$A:$A,0)))</f>
        <v/>
      </c>
      <c r="N65" s="36" t="str">
        <f>IF($B65="","",ROUND(1+($I65*(SUMIFS(OBJECT_CONDITIONS!$W:$W,OBJECT_CONDITIONS!$A:$A,$B65)-1))+($J65*(SUMIFS(OBJECT_CONDITIONS!$J:$J,OBJECT_CONDITIONS!$A:$A,$B65)-1))+($K65*(SUMIFS(OBJECT_CONDITIONS!$L:$L,OBJECT_CONDITIONS!$A:$A,$B65)-1))+($L65*(SUMIFS(OBJECT_CONDITIONS!$N:$N,OBJECT_CONDITIONS!$A:$A,$B65)-1))+($M65*(SUMIFS(OBJECT_CONDITIONS!$R:$R,OBJECT_CONDITIONS!$A:$A,$B65)-1)),3))</f>
        <v/>
      </c>
      <c r="O65" s="36"/>
      <c r="P65" s="36" t="str">
        <f t="shared" si="1"/>
        <v/>
      </c>
      <c r="Q65" s="36" t="str">
        <f t="shared" si="2"/>
        <v/>
      </c>
      <c r="R65" s="11" t="str">
        <f t="array" ref="R65">IF($D65="","",IFERROR(INDEX(MATERIAL_VARIANTS!$O:$O,MATCH($D65,MATERIAL_VARIANTS!$A:$A,0)),""))</f>
        <v/>
      </c>
      <c r="S65" s="36" t="str">
        <f t="array" ref="S65">IF($D65="","",IFERROR(INDEX(MATERIAL_VARIANTS!$P:$P,MATCH($D65,MATERIAL_VARIANTS!$A:$A,0)),""))</f>
        <v/>
      </c>
      <c r="T65" s="11" t="str">
        <f t="shared" si="3"/>
        <v/>
      </c>
      <c r="U65" s="11"/>
    </row>
    <row r="66" ht="14.25" customHeight="1">
      <c r="A66" s="11"/>
      <c r="B66" s="11"/>
      <c r="C66" s="11"/>
      <c r="D66" s="11"/>
      <c r="E66" s="11"/>
      <c r="F66" s="11"/>
      <c r="G66" s="11" t="str">
        <f t="array" ref="G66">IF($C66="","",INDEX(MATERIAL_MASTER!$O:$O,MATCH($C66,MATERIAL_MASTER!$A:$A,0)))</f>
        <v/>
      </c>
      <c r="H66" s="36" t="str">
        <f t="array" ref="H66">IF($C66="","",INDEX(MATERIAL_MASTER!$P:$P,MATCH($C66,MATERIAL_MASTER!$A:$A,0)))</f>
        <v/>
      </c>
      <c r="I66" s="36" t="str">
        <f t="array" ref="I66">IF($C66="","",INDEX(MATERIAL_FACTOR_APPLICABILITY!$D:$D,MATCH($C66,MATERIAL_FACTOR_APPLICABILITY!$A:$A,0)))</f>
        <v/>
      </c>
      <c r="J66" s="36" t="str">
        <f t="array" ref="J66">IF($C66="","",INDEX(MATERIAL_FACTOR_APPLICABILITY!$E:$E,MATCH($C66,MATERIAL_FACTOR_APPLICABILITY!$A:$A,0)))</f>
        <v/>
      </c>
      <c r="K66" s="36" t="str">
        <f t="array" ref="K66">IF($C66="","",INDEX(MATERIAL_FACTOR_APPLICABILITY!$F:$F,MATCH($C66,MATERIAL_FACTOR_APPLICABILITY!$A:$A,0)))</f>
        <v/>
      </c>
      <c r="L66" s="36" t="str">
        <f t="array" ref="L66">IF($C66="","",INDEX(MATERIAL_FACTOR_APPLICABILITY!$G:$G,MATCH($C66,MATERIAL_FACTOR_APPLICABILITY!$A:$A,0)))</f>
        <v/>
      </c>
      <c r="M66" s="36" t="str">
        <f t="array" ref="M66">IF($C66="","",INDEX(MATERIAL_FACTOR_APPLICABILITY!$H:$H,MATCH($C66,MATERIAL_FACTOR_APPLICABILITY!$A:$A,0)))</f>
        <v/>
      </c>
      <c r="N66" s="36" t="str">
        <f>IF($B66="","",ROUND(1+($I66*(SUMIFS(OBJECT_CONDITIONS!$W:$W,OBJECT_CONDITIONS!$A:$A,$B66)-1))+($J66*(SUMIFS(OBJECT_CONDITIONS!$J:$J,OBJECT_CONDITIONS!$A:$A,$B66)-1))+($K66*(SUMIFS(OBJECT_CONDITIONS!$L:$L,OBJECT_CONDITIONS!$A:$A,$B66)-1))+($L66*(SUMIFS(OBJECT_CONDITIONS!$N:$N,OBJECT_CONDITIONS!$A:$A,$B66)-1))+($M66*(SUMIFS(OBJECT_CONDITIONS!$R:$R,OBJECT_CONDITIONS!$A:$A,$B66)-1)),3))</f>
        <v/>
      </c>
      <c r="O66" s="36"/>
      <c r="P66" s="36" t="str">
        <f t="shared" si="1"/>
        <v/>
      </c>
      <c r="Q66" s="36" t="str">
        <f t="shared" si="2"/>
        <v/>
      </c>
      <c r="R66" s="11" t="str">
        <f t="array" ref="R66">IF($D66="","",IFERROR(INDEX(MATERIAL_VARIANTS!$O:$O,MATCH($D66,MATERIAL_VARIANTS!$A:$A,0)),""))</f>
        <v/>
      </c>
      <c r="S66" s="36" t="str">
        <f t="array" ref="S66">IF($D66="","",IFERROR(INDEX(MATERIAL_VARIANTS!$P:$P,MATCH($D66,MATERIAL_VARIANTS!$A:$A,0)),""))</f>
        <v/>
      </c>
      <c r="T66" s="11" t="str">
        <f t="shared" si="3"/>
        <v/>
      </c>
      <c r="U66" s="11"/>
    </row>
    <row r="67" ht="14.25" customHeight="1">
      <c r="A67" s="11"/>
      <c r="B67" s="11"/>
      <c r="C67" s="11"/>
      <c r="D67" s="11"/>
      <c r="E67" s="11"/>
      <c r="F67" s="11"/>
      <c r="G67" s="11" t="str">
        <f t="array" ref="G67">IF($C67="","",INDEX(MATERIAL_MASTER!$O:$O,MATCH($C67,MATERIAL_MASTER!$A:$A,0)))</f>
        <v/>
      </c>
      <c r="H67" s="36" t="str">
        <f t="array" ref="H67">IF($C67="","",INDEX(MATERIAL_MASTER!$P:$P,MATCH($C67,MATERIAL_MASTER!$A:$A,0)))</f>
        <v/>
      </c>
      <c r="I67" s="36" t="str">
        <f t="array" ref="I67">IF($C67="","",INDEX(MATERIAL_FACTOR_APPLICABILITY!$D:$D,MATCH($C67,MATERIAL_FACTOR_APPLICABILITY!$A:$A,0)))</f>
        <v/>
      </c>
      <c r="J67" s="36" t="str">
        <f t="array" ref="J67">IF($C67="","",INDEX(MATERIAL_FACTOR_APPLICABILITY!$E:$E,MATCH($C67,MATERIAL_FACTOR_APPLICABILITY!$A:$A,0)))</f>
        <v/>
      </c>
      <c r="K67" s="36" t="str">
        <f t="array" ref="K67">IF($C67="","",INDEX(MATERIAL_FACTOR_APPLICABILITY!$F:$F,MATCH($C67,MATERIAL_FACTOR_APPLICABILITY!$A:$A,0)))</f>
        <v/>
      </c>
      <c r="L67" s="36" t="str">
        <f t="array" ref="L67">IF($C67="","",INDEX(MATERIAL_FACTOR_APPLICABILITY!$G:$G,MATCH($C67,MATERIAL_FACTOR_APPLICABILITY!$A:$A,0)))</f>
        <v/>
      </c>
      <c r="M67" s="36" t="str">
        <f t="array" ref="M67">IF($C67="","",INDEX(MATERIAL_FACTOR_APPLICABILITY!$H:$H,MATCH($C67,MATERIAL_FACTOR_APPLICABILITY!$A:$A,0)))</f>
        <v/>
      </c>
      <c r="N67" s="36" t="str">
        <f>IF($B67="","",ROUND(1+($I67*(SUMIFS(OBJECT_CONDITIONS!$W:$W,OBJECT_CONDITIONS!$A:$A,$B67)-1))+($J67*(SUMIFS(OBJECT_CONDITIONS!$J:$J,OBJECT_CONDITIONS!$A:$A,$B67)-1))+($K67*(SUMIFS(OBJECT_CONDITIONS!$L:$L,OBJECT_CONDITIONS!$A:$A,$B67)-1))+($L67*(SUMIFS(OBJECT_CONDITIONS!$N:$N,OBJECT_CONDITIONS!$A:$A,$B67)-1))+($M67*(SUMIFS(OBJECT_CONDITIONS!$R:$R,OBJECT_CONDITIONS!$A:$A,$B67)-1)),3))</f>
        <v/>
      </c>
      <c r="O67" s="36"/>
      <c r="P67" s="36" t="str">
        <f t="shared" si="1"/>
        <v/>
      </c>
      <c r="Q67" s="36" t="str">
        <f t="shared" si="2"/>
        <v/>
      </c>
      <c r="R67" s="11" t="str">
        <f t="array" ref="R67">IF($D67="","",IFERROR(INDEX(MATERIAL_VARIANTS!$O:$O,MATCH($D67,MATERIAL_VARIANTS!$A:$A,0)),""))</f>
        <v/>
      </c>
      <c r="S67" s="36" t="str">
        <f t="array" ref="S67">IF($D67="","",IFERROR(INDEX(MATERIAL_VARIANTS!$P:$P,MATCH($D67,MATERIAL_VARIANTS!$A:$A,0)),""))</f>
        <v/>
      </c>
      <c r="T67" s="11" t="str">
        <f t="shared" si="3"/>
        <v/>
      </c>
      <c r="U67" s="11"/>
    </row>
    <row r="68" ht="14.25" customHeight="1">
      <c r="A68" s="11"/>
      <c r="B68" s="11"/>
      <c r="C68" s="11"/>
      <c r="D68" s="11"/>
      <c r="E68" s="11"/>
      <c r="F68" s="11"/>
      <c r="G68" s="11" t="str">
        <f t="array" ref="G68">IF($C68="","",INDEX(MATERIAL_MASTER!$O:$O,MATCH($C68,MATERIAL_MASTER!$A:$A,0)))</f>
        <v/>
      </c>
      <c r="H68" s="36" t="str">
        <f t="array" ref="H68">IF($C68="","",INDEX(MATERIAL_MASTER!$P:$P,MATCH($C68,MATERIAL_MASTER!$A:$A,0)))</f>
        <v/>
      </c>
      <c r="I68" s="36" t="str">
        <f t="array" ref="I68">IF($C68="","",INDEX(MATERIAL_FACTOR_APPLICABILITY!$D:$D,MATCH($C68,MATERIAL_FACTOR_APPLICABILITY!$A:$A,0)))</f>
        <v/>
      </c>
      <c r="J68" s="36" t="str">
        <f t="array" ref="J68">IF($C68="","",INDEX(MATERIAL_FACTOR_APPLICABILITY!$E:$E,MATCH($C68,MATERIAL_FACTOR_APPLICABILITY!$A:$A,0)))</f>
        <v/>
      </c>
      <c r="K68" s="36" t="str">
        <f t="array" ref="K68">IF($C68="","",INDEX(MATERIAL_FACTOR_APPLICABILITY!$F:$F,MATCH($C68,MATERIAL_FACTOR_APPLICABILITY!$A:$A,0)))</f>
        <v/>
      </c>
      <c r="L68" s="36" t="str">
        <f t="array" ref="L68">IF($C68="","",INDEX(MATERIAL_FACTOR_APPLICABILITY!$G:$G,MATCH($C68,MATERIAL_FACTOR_APPLICABILITY!$A:$A,0)))</f>
        <v/>
      </c>
      <c r="M68" s="36" t="str">
        <f t="array" ref="M68">IF($C68="","",INDEX(MATERIAL_FACTOR_APPLICABILITY!$H:$H,MATCH($C68,MATERIAL_FACTOR_APPLICABILITY!$A:$A,0)))</f>
        <v/>
      </c>
      <c r="N68" s="36" t="str">
        <f>IF($B68="","",ROUND(1+($I68*(SUMIFS(OBJECT_CONDITIONS!$W:$W,OBJECT_CONDITIONS!$A:$A,$B68)-1))+($J68*(SUMIFS(OBJECT_CONDITIONS!$J:$J,OBJECT_CONDITIONS!$A:$A,$B68)-1))+($K68*(SUMIFS(OBJECT_CONDITIONS!$L:$L,OBJECT_CONDITIONS!$A:$A,$B68)-1))+($L68*(SUMIFS(OBJECT_CONDITIONS!$N:$N,OBJECT_CONDITIONS!$A:$A,$B68)-1))+($M68*(SUMIFS(OBJECT_CONDITIONS!$R:$R,OBJECT_CONDITIONS!$A:$A,$B68)-1)),3))</f>
        <v/>
      </c>
      <c r="O68" s="36"/>
      <c r="P68" s="36" t="str">
        <f t="shared" si="1"/>
        <v/>
      </c>
      <c r="Q68" s="36" t="str">
        <f t="shared" si="2"/>
        <v/>
      </c>
      <c r="R68" s="11" t="str">
        <f t="array" ref="R68">IF($D68="","",IFERROR(INDEX(MATERIAL_VARIANTS!$O:$O,MATCH($D68,MATERIAL_VARIANTS!$A:$A,0)),""))</f>
        <v/>
      </c>
      <c r="S68" s="36" t="str">
        <f t="array" ref="S68">IF($D68="","",IFERROR(INDEX(MATERIAL_VARIANTS!$P:$P,MATCH($D68,MATERIAL_VARIANTS!$A:$A,0)),""))</f>
        <v/>
      </c>
      <c r="T68" s="11" t="str">
        <f t="shared" si="3"/>
        <v/>
      </c>
      <c r="U68" s="11"/>
    </row>
    <row r="69" ht="14.25" customHeight="1">
      <c r="A69" s="11"/>
      <c r="B69" s="11"/>
      <c r="C69" s="11"/>
      <c r="D69" s="11"/>
      <c r="E69" s="11"/>
      <c r="F69" s="11"/>
      <c r="G69" s="11" t="str">
        <f t="array" ref="G69">IF($C69="","",INDEX(MATERIAL_MASTER!$O:$O,MATCH($C69,MATERIAL_MASTER!$A:$A,0)))</f>
        <v/>
      </c>
      <c r="H69" s="36" t="str">
        <f t="array" ref="H69">IF($C69="","",INDEX(MATERIAL_MASTER!$P:$P,MATCH($C69,MATERIAL_MASTER!$A:$A,0)))</f>
        <v/>
      </c>
      <c r="I69" s="36" t="str">
        <f t="array" ref="I69">IF($C69="","",INDEX(MATERIAL_FACTOR_APPLICABILITY!$D:$D,MATCH($C69,MATERIAL_FACTOR_APPLICABILITY!$A:$A,0)))</f>
        <v/>
      </c>
      <c r="J69" s="36" t="str">
        <f t="array" ref="J69">IF($C69="","",INDEX(MATERIAL_FACTOR_APPLICABILITY!$E:$E,MATCH($C69,MATERIAL_FACTOR_APPLICABILITY!$A:$A,0)))</f>
        <v/>
      </c>
      <c r="K69" s="36" t="str">
        <f t="array" ref="K69">IF($C69="","",INDEX(MATERIAL_FACTOR_APPLICABILITY!$F:$F,MATCH($C69,MATERIAL_FACTOR_APPLICABILITY!$A:$A,0)))</f>
        <v/>
      </c>
      <c r="L69" s="36" t="str">
        <f t="array" ref="L69">IF($C69="","",INDEX(MATERIAL_FACTOR_APPLICABILITY!$G:$G,MATCH($C69,MATERIAL_FACTOR_APPLICABILITY!$A:$A,0)))</f>
        <v/>
      </c>
      <c r="M69" s="36" t="str">
        <f t="array" ref="M69">IF($C69="","",INDEX(MATERIAL_FACTOR_APPLICABILITY!$H:$H,MATCH($C69,MATERIAL_FACTOR_APPLICABILITY!$A:$A,0)))</f>
        <v/>
      </c>
      <c r="N69" s="36" t="str">
        <f>IF($B69="","",ROUND(1+($I69*(SUMIFS(OBJECT_CONDITIONS!$W:$W,OBJECT_CONDITIONS!$A:$A,$B69)-1))+($J69*(SUMIFS(OBJECT_CONDITIONS!$J:$J,OBJECT_CONDITIONS!$A:$A,$B69)-1))+($K69*(SUMIFS(OBJECT_CONDITIONS!$L:$L,OBJECT_CONDITIONS!$A:$A,$B69)-1))+($L69*(SUMIFS(OBJECT_CONDITIONS!$N:$N,OBJECT_CONDITIONS!$A:$A,$B69)-1))+($M69*(SUMIFS(OBJECT_CONDITIONS!$R:$R,OBJECT_CONDITIONS!$A:$A,$B69)-1)),3))</f>
        <v/>
      </c>
      <c r="O69" s="36"/>
      <c r="P69" s="36" t="str">
        <f t="shared" si="1"/>
        <v/>
      </c>
      <c r="Q69" s="36" t="str">
        <f t="shared" si="2"/>
        <v/>
      </c>
      <c r="R69" s="11" t="str">
        <f t="array" ref="R69">IF($D69="","",IFERROR(INDEX(MATERIAL_VARIANTS!$O:$O,MATCH($D69,MATERIAL_VARIANTS!$A:$A,0)),""))</f>
        <v/>
      </c>
      <c r="S69" s="36" t="str">
        <f t="array" ref="S69">IF($D69="","",IFERROR(INDEX(MATERIAL_VARIANTS!$P:$P,MATCH($D69,MATERIAL_VARIANTS!$A:$A,0)),""))</f>
        <v/>
      </c>
      <c r="T69" s="11" t="str">
        <f t="shared" si="3"/>
        <v/>
      </c>
      <c r="U69" s="11"/>
    </row>
    <row r="70" ht="14.25" customHeight="1">
      <c r="A70" s="11"/>
      <c r="B70" s="11"/>
      <c r="C70" s="11"/>
      <c r="D70" s="11"/>
      <c r="E70" s="11"/>
      <c r="F70" s="11"/>
      <c r="G70" s="11" t="str">
        <f t="array" ref="G70">IF($C70="","",INDEX(MATERIAL_MASTER!$O:$O,MATCH($C70,MATERIAL_MASTER!$A:$A,0)))</f>
        <v/>
      </c>
      <c r="H70" s="36" t="str">
        <f t="array" ref="H70">IF($C70="","",INDEX(MATERIAL_MASTER!$P:$P,MATCH($C70,MATERIAL_MASTER!$A:$A,0)))</f>
        <v/>
      </c>
      <c r="I70" s="36" t="str">
        <f t="array" ref="I70">IF($C70="","",INDEX(MATERIAL_FACTOR_APPLICABILITY!$D:$D,MATCH($C70,MATERIAL_FACTOR_APPLICABILITY!$A:$A,0)))</f>
        <v/>
      </c>
      <c r="J70" s="36" t="str">
        <f t="array" ref="J70">IF($C70="","",INDEX(MATERIAL_FACTOR_APPLICABILITY!$E:$E,MATCH($C70,MATERIAL_FACTOR_APPLICABILITY!$A:$A,0)))</f>
        <v/>
      </c>
      <c r="K70" s="36" t="str">
        <f t="array" ref="K70">IF($C70="","",INDEX(MATERIAL_FACTOR_APPLICABILITY!$F:$F,MATCH($C70,MATERIAL_FACTOR_APPLICABILITY!$A:$A,0)))</f>
        <v/>
      </c>
      <c r="L70" s="36" t="str">
        <f t="array" ref="L70">IF($C70="","",INDEX(MATERIAL_FACTOR_APPLICABILITY!$G:$G,MATCH($C70,MATERIAL_FACTOR_APPLICABILITY!$A:$A,0)))</f>
        <v/>
      </c>
      <c r="M70" s="36" t="str">
        <f t="array" ref="M70">IF($C70="","",INDEX(MATERIAL_FACTOR_APPLICABILITY!$H:$H,MATCH($C70,MATERIAL_FACTOR_APPLICABILITY!$A:$A,0)))</f>
        <v/>
      </c>
      <c r="N70" s="36" t="str">
        <f>IF($B70="","",ROUND(1+($I70*(SUMIFS(OBJECT_CONDITIONS!$W:$W,OBJECT_CONDITIONS!$A:$A,$B70)-1))+($J70*(SUMIFS(OBJECT_CONDITIONS!$J:$J,OBJECT_CONDITIONS!$A:$A,$B70)-1))+($K70*(SUMIFS(OBJECT_CONDITIONS!$L:$L,OBJECT_CONDITIONS!$A:$A,$B70)-1))+($L70*(SUMIFS(OBJECT_CONDITIONS!$N:$N,OBJECT_CONDITIONS!$A:$A,$B70)-1))+($M70*(SUMIFS(OBJECT_CONDITIONS!$R:$R,OBJECT_CONDITIONS!$A:$A,$B70)-1)),3))</f>
        <v/>
      </c>
      <c r="O70" s="36"/>
      <c r="P70" s="36" t="str">
        <f t="shared" si="1"/>
        <v/>
      </c>
      <c r="Q70" s="36" t="str">
        <f t="shared" si="2"/>
        <v/>
      </c>
      <c r="R70" s="11" t="str">
        <f t="array" ref="R70">IF($D70="","",IFERROR(INDEX(MATERIAL_VARIANTS!$O:$O,MATCH($D70,MATERIAL_VARIANTS!$A:$A,0)),""))</f>
        <v/>
      </c>
      <c r="S70" s="36" t="str">
        <f t="array" ref="S70">IF($D70="","",IFERROR(INDEX(MATERIAL_VARIANTS!$P:$P,MATCH($D70,MATERIAL_VARIANTS!$A:$A,0)),""))</f>
        <v/>
      </c>
      <c r="T70" s="11" t="str">
        <f t="shared" si="3"/>
        <v/>
      </c>
      <c r="U70" s="11"/>
    </row>
    <row r="71" ht="14.25" customHeight="1">
      <c r="A71" s="11"/>
      <c r="B71" s="11"/>
      <c r="C71" s="11"/>
      <c r="D71" s="11"/>
      <c r="E71" s="11"/>
      <c r="F71" s="11"/>
      <c r="G71" s="11" t="str">
        <f t="array" ref="G71">IF($C71="","",INDEX(MATERIAL_MASTER!$O:$O,MATCH($C71,MATERIAL_MASTER!$A:$A,0)))</f>
        <v/>
      </c>
      <c r="H71" s="36" t="str">
        <f t="array" ref="H71">IF($C71="","",INDEX(MATERIAL_MASTER!$P:$P,MATCH($C71,MATERIAL_MASTER!$A:$A,0)))</f>
        <v/>
      </c>
      <c r="I71" s="36" t="str">
        <f t="array" ref="I71">IF($C71="","",INDEX(MATERIAL_FACTOR_APPLICABILITY!$D:$D,MATCH($C71,MATERIAL_FACTOR_APPLICABILITY!$A:$A,0)))</f>
        <v/>
      </c>
      <c r="J71" s="36" t="str">
        <f t="array" ref="J71">IF($C71="","",INDEX(MATERIAL_FACTOR_APPLICABILITY!$E:$E,MATCH($C71,MATERIAL_FACTOR_APPLICABILITY!$A:$A,0)))</f>
        <v/>
      </c>
      <c r="K71" s="36" t="str">
        <f t="array" ref="K71">IF($C71="","",INDEX(MATERIAL_FACTOR_APPLICABILITY!$F:$F,MATCH($C71,MATERIAL_FACTOR_APPLICABILITY!$A:$A,0)))</f>
        <v/>
      </c>
      <c r="L71" s="36" t="str">
        <f t="array" ref="L71">IF($C71="","",INDEX(MATERIAL_FACTOR_APPLICABILITY!$G:$G,MATCH($C71,MATERIAL_FACTOR_APPLICABILITY!$A:$A,0)))</f>
        <v/>
      </c>
      <c r="M71" s="36" t="str">
        <f t="array" ref="M71">IF($C71="","",INDEX(MATERIAL_FACTOR_APPLICABILITY!$H:$H,MATCH($C71,MATERIAL_FACTOR_APPLICABILITY!$A:$A,0)))</f>
        <v/>
      </c>
      <c r="N71" s="36" t="str">
        <f>IF($B71="","",ROUND(1+($I71*(SUMIFS(OBJECT_CONDITIONS!$W:$W,OBJECT_CONDITIONS!$A:$A,$B71)-1))+($J71*(SUMIFS(OBJECT_CONDITIONS!$J:$J,OBJECT_CONDITIONS!$A:$A,$B71)-1))+($K71*(SUMIFS(OBJECT_CONDITIONS!$L:$L,OBJECT_CONDITIONS!$A:$A,$B71)-1))+($L71*(SUMIFS(OBJECT_CONDITIONS!$N:$N,OBJECT_CONDITIONS!$A:$A,$B71)-1))+($M71*(SUMIFS(OBJECT_CONDITIONS!$R:$R,OBJECT_CONDITIONS!$A:$A,$B71)-1)),3))</f>
        <v/>
      </c>
      <c r="O71" s="36"/>
      <c r="P71" s="36" t="str">
        <f t="shared" si="1"/>
        <v/>
      </c>
      <c r="Q71" s="36" t="str">
        <f t="shared" si="2"/>
        <v/>
      </c>
      <c r="R71" s="11" t="str">
        <f t="array" ref="R71">IF($D71="","",IFERROR(INDEX(MATERIAL_VARIANTS!$O:$O,MATCH($D71,MATERIAL_VARIANTS!$A:$A,0)),""))</f>
        <v/>
      </c>
      <c r="S71" s="36" t="str">
        <f t="array" ref="S71">IF($D71="","",IFERROR(INDEX(MATERIAL_VARIANTS!$P:$P,MATCH($D71,MATERIAL_VARIANTS!$A:$A,0)),""))</f>
        <v/>
      </c>
      <c r="T71" s="11" t="str">
        <f t="shared" si="3"/>
        <v/>
      </c>
      <c r="U71" s="11"/>
    </row>
    <row r="72" ht="14.25" customHeight="1">
      <c r="A72" s="11"/>
      <c r="B72" s="11"/>
      <c r="C72" s="11"/>
      <c r="D72" s="11"/>
      <c r="E72" s="11"/>
      <c r="F72" s="11"/>
      <c r="G72" s="11" t="str">
        <f t="array" ref="G72">IF($C72="","",INDEX(MATERIAL_MASTER!$O:$O,MATCH($C72,MATERIAL_MASTER!$A:$A,0)))</f>
        <v/>
      </c>
      <c r="H72" s="36" t="str">
        <f t="array" ref="H72">IF($C72="","",INDEX(MATERIAL_MASTER!$P:$P,MATCH($C72,MATERIAL_MASTER!$A:$A,0)))</f>
        <v/>
      </c>
      <c r="I72" s="36" t="str">
        <f t="array" ref="I72">IF($C72="","",INDEX(MATERIAL_FACTOR_APPLICABILITY!$D:$D,MATCH($C72,MATERIAL_FACTOR_APPLICABILITY!$A:$A,0)))</f>
        <v/>
      </c>
      <c r="J72" s="36" t="str">
        <f t="array" ref="J72">IF($C72="","",INDEX(MATERIAL_FACTOR_APPLICABILITY!$E:$E,MATCH($C72,MATERIAL_FACTOR_APPLICABILITY!$A:$A,0)))</f>
        <v/>
      </c>
      <c r="K72" s="36" t="str">
        <f t="array" ref="K72">IF($C72="","",INDEX(MATERIAL_FACTOR_APPLICABILITY!$F:$F,MATCH($C72,MATERIAL_FACTOR_APPLICABILITY!$A:$A,0)))</f>
        <v/>
      </c>
      <c r="L72" s="36" t="str">
        <f t="array" ref="L72">IF($C72="","",INDEX(MATERIAL_FACTOR_APPLICABILITY!$G:$G,MATCH($C72,MATERIAL_FACTOR_APPLICABILITY!$A:$A,0)))</f>
        <v/>
      </c>
      <c r="M72" s="36" t="str">
        <f t="array" ref="M72">IF($C72="","",INDEX(MATERIAL_FACTOR_APPLICABILITY!$H:$H,MATCH($C72,MATERIAL_FACTOR_APPLICABILITY!$A:$A,0)))</f>
        <v/>
      </c>
      <c r="N72" s="36" t="str">
        <f>IF($B72="","",ROUND(1+($I72*(SUMIFS(OBJECT_CONDITIONS!$W:$W,OBJECT_CONDITIONS!$A:$A,$B72)-1))+($J72*(SUMIFS(OBJECT_CONDITIONS!$J:$J,OBJECT_CONDITIONS!$A:$A,$B72)-1))+($K72*(SUMIFS(OBJECT_CONDITIONS!$L:$L,OBJECT_CONDITIONS!$A:$A,$B72)-1))+($L72*(SUMIFS(OBJECT_CONDITIONS!$N:$N,OBJECT_CONDITIONS!$A:$A,$B72)-1))+($M72*(SUMIFS(OBJECT_CONDITIONS!$R:$R,OBJECT_CONDITIONS!$A:$A,$B72)-1)),3))</f>
        <v/>
      </c>
      <c r="O72" s="36"/>
      <c r="P72" s="36" t="str">
        <f t="shared" si="1"/>
        <v/>
      </c>
      <c r="Q72" s="36" t="str">
        <f t="shared" si="2"/>
        <v/>
      </c>
      <c r="R72" s="11" t="str">
        <f t="array" ref="R72">IF($D72="","",IFERROR(INDEX(MATERIAL_VARIANTS!$O:$O,MATCH($D72,MATERIAL_VARIANTS!$A:$A,0)),""))</f>
        <v/>
      </c>
      <c r="S72" s="36" t="str">
        <f t="array" ref="S72">IF($D72="","",IFERROR(INDEX(MATERIAL_VARIANTS!$P:$P,MATCH($D72,MATERIAL_VARIANTS!$A:$A,0)),""))</f>
        <v/>
      </c>
      <c r="T72" s="11" t="str">
        <f t="shared" si="3"/>
        <v/>
      </c>
      <c r="U72" s="11"/>
    </row>
    <row r="73" ht="14.25" customHeight="1">
      <c r="A73" s="11"/>
      <c r="B73" s="11"/>
      <c r="C73" s="11"/>
      <c r="D73" s="11"/>
      <c r="E73" s="11"/>
      <c r="F73" s="11"/>
      <c r="G73" s="11" t="str">
        <f t="array" ref="G73">IF($C73="","",INDEX(MATERIAL_MASTER!$O:$O,MATCH($C73,MATERIAL_MASTER!$A:$A,0)))</f>
        <v/>
      </c>
      <c r="H73" s="36" t="str">
        <f t="array" ref="H73">IF($C73="","",INDEX(MATERIAL_MASTER!$P:$P,MATCH($C73,MATERIAL_MASTER!$A:$A,0)))</f>
        <v/>
      </c>
      <c r="I73" s="36" t="str">
        <f t="array" ref="I73">IF($C73="","",INDEX(MATERIAL_FACTOR_APPLICABILITY!$D:$D,MATCH($C73,MATERIAL_FACTOR_APPLICABILITY!$A:$A,0)))</f>
        <v/>
      </c>
      <c r="J73" s="36" t="str">
        <f t="array" ref="J73">IF($C73="","",INDEX(MATERIAL_FACTOR_APPLICABILITY!$E:$E,MATCH($C73,MATERIAL_FACTOR_APPLICABILITY!$A:$A,0)))</f>
        <v/>
      </c>
      <c r="K73" s="36" t="str">
        <f t="array" ref="K73">IF($C73="","",INDEX(MATERIAL_FACTOR_APPLICABILITY!$F:$F,MATCH($C73,MATERIAL_FACTOR_APPLICABILITY!$A:$A,0)))</f>
        <v/>
      </c>
      <c r="L73" s="36" t="str">
        <f t="array" ref="L73">IF($C73="","",INDEX(MATERIAL_FACTOR_APPLICABILITY!$G:$G,MATCH($C73,MATERIAL_FACTOR_APPLICABILITY!$A:$A,0)))</f>
        <v/>
      </c>
      <c r="M73" s="36" t="str">
        <f t="array" ref="M73">IF($C73="","",INDEX(MATERIAL_FACTOR_APPLICABILITY!$H:$H,MATCH($C73,MATERIAL_FACTOR_APPLICABILITY!$A:$A,0)))</f>
        <v/>
      </c>
      <c r="N73" s="36" t="str">
        <f>IF($B73="","",ROUND(1+($I73*(SUMIFS(OBJECT_CONDITIONS!$W:$W,OBJECT_CONDITIONS!$A:$A,$B73)-1))+($J73*(SUMIFS(OBJECT_CONDITIONS!$J:$J,OBJECT_CONDITIONS!$A:$A,$B73)-1))+($K73*(SUMIFS(OBJECT_CONDITIONS!$L:$L,OBJECT_CONDITIONS!$A:$A,$B73)-1))+($L73*(SUMIFS(OBJECT_CONDITIONS!$N:$N,OBJECT_CONDITIONS!$A:$A,$B73)-1))+($M73*(SUMIFS(OBJECT_CONDITIONS!$R:$R,OBJECT_CONDITIONS!$A:$A,$B73)-1)),3))</f>
        <v/>
      </c>
      <c r="O73" s="36"/>
      <c r="P73" s="36" t="str">
        <f t="shared" si="1"/>
        <v/>
      </c>
      <c r="Q73" s="36" t="str">
        <f t="shared" si="2"/>
        <v/>
      </c>
      <c r="R73" s="11" t="str">
        <f t="array" ref="R73">IF($D73="","",IFERROR(INDEX(MATERIAL_VARIANTS!$O:$O,MATCH($D73,MATERIAL_VARIANTS!$A:$A,0)),""))</f>
        <v/>
      </c>
      <c r="S73" s="36" t="str">
        <f t="array" ref="S73">IF($D73="","",IFERROR(INDEX(MATERIAL_VARIANTS!$P:$P,MATCH($D73,MATERIAL_VARIANTS!$A:$A,0)),""))</f>
        <v/>
      </c>
      <c r="T73" s="11" t="str">
        <f t="shared" si="3"/>
        <v/>
      </c>
      <c r="U73" s="11"/>
    </row>
    <row r="74" ht="14.25" customHeight="1">
      <c r="A74" s="11"/>
      <c r="B74" s="11"/>
      <c r="C74" s="11"/>
      <c r="D74" s="11"/>
      <c r="E74" s="11"/>
      <c r="F74" s="11"/>
      <c r="G74" s="11" t="str">
        <f t="array" ref="G74">IF($C74="","",INDEX(MATERIAL_MASTER!$O:$O,MATCH($C74,MATERIAL_MASTER!$A:$A,0)))</f>
        <v/>
      </c>
      <c r="H74" s="36" t="str">
        <f t="array" ref="H74">IF($C74="","",INDEX(MATERIAL_MASTER!$P:$P,MATCH($C74,MATERIAL_MASTER!$A:$A,0)))</f>
        <v/>
      </c>
      <c r="I74" s="36" t="str">
        <f t="array" ref="I74">IF($C74="","",INDEX(MATERIAL_FACTOR_APPLICABILITY!$D:$D,MATCH($C74,MATERIAL_FACTOR_APPLICABILITY!$A:$A,0)))</f>
        <v/>
      </c>
      <c r="J74" s="36" t="str">
        <f t="array" ref="J74">IF($C74="","",INDEX(MATERIAL_FACTOR_APPLICABILITY!$E:$E,MATCH($C74,MATERIAL_FACTOR_APPLICABILITY!$A:$A,0)))</f>
        <v/>
      </c>
      <c r="K74" s="36" t="str">
        <f t="array" ref="K74">IF($C74="","",INDEX(MATERIAL_FACTOR_APPLICABILITY!$F:$F,MATCH($C74,MATERIAL_FACTOR_APPLICABILITY!$A:$A,0)))</f>
        <v/>
      </c>
      <c r="L74" s="36" t="str">
        <f t="array" ref="L74">IF($C74="","",INDEX(MATERIAL_FACTOR_APPLICABILITY!$G:$G,MATCH($C74,MATERIAL_FACTOR_APPLICABILITY!$A:$A,0)))</f>
        <v/>
      </c>
      <c r="M74" s="36" t="str">
        <f t="array" ref="M74">IF($C74="","",INDEX(MATERIAL_FACTOR_APPLICABILITY!$H:$H,MATCH($C74,MATERIAL_FACTOR_APPLICABILITY!$A:$A,0)))</f>
        <v/>
      </c>
      <c r="N74" s="36" t="str">
        <f>IF($B74="","",ROUND(1+($I74*(SUMIFS(OBJECT_CONDITIONS!$W:$W,OBJECT_CONDITIONS!$A:$A,$B74)-1))+($J74*(SUMIFS(OBJECT_CONDITIONS!$J:$J,OBJECT_CONDITIONS!$A:$A,$B74)-1))+($K74*(SUMIFS(OBJECT_CONDITIONS!$L:$L,OBJECT_CONDITIONS!$A:$A,$B74)-1))+($L74*(SUMIFS(OBJECT_CONDITIONS!$N:$N,OBJECT_CONDITIONS!$A:$A,$B74)-1))+($M74*(SUMIFS(OBJECT_CONDITIONS!$R:$R,OBJECT_CONDITIONS!$A:$A,$B74)-1)),3))</f>
        <v/>
      </c>
      <c r="O74" s="36"/>
      <c r="P74" s="36" t="str">
        <f t="shared" si="1"/>
        <v/>
      </c>
      <c r="Q74" s="36" t="str">
        <f t="shared" si="2"/>
        <v/>
      </c>
      <c r="R74" s="11" t="str">
        <f t="array" ref="R74">IF($D74="","",IFERROR(INDEX(MATERIAL_VARIANTS!$O:$O,MATCH($D74,MATERIAL_VARIANTS!$A:$A,0)),""))</f>
        <v/>
      </c>
      <c r="S74" s="36" t="str">
        <f t="array" ref="S74">IF($D74="","",IFERROR(INDEX(MATERIAL_VARIANTS!$P:$P,MATCH($D74,MATERIAL_VARIANTS!$A:$A,0)),""))</f>
        <v/>
      </c>
      <c r="T74" s="11" t="str">
        <f t="shared" si="3"/>
        <v/>
      </c>
      <c r="U74" s="11"/>
    </row>
    <row r="75" ht="14.25" customHeight="1">
      <c r="A75" s="11"/>
      <c r="B75" s="11"/>
      <c r="C75" s="11"/>
      <c r="D75" s="11"/>
      <c r="E75" s="11"/>
      <c r="F75" s="11"/>
      <c r="G75" s="11" t="str">
        <f t="array" ref="G75">IF($C75="","",INDEX(MATERIAL_MASTER!$O:$O,MATCH($C75,MATERIAL_MASTER!$A:$A,0)))</f>
        <v/>
      </c>
      <c r="H75" s="36" t="str">
        <f t="array" ref="H75">IF($C75="","",INDEX(MATERIAL_MASTER!$P:$P,MATCH($C75,MATERIAL_MASTER!$A:$A,0)))</f>
        <v/>
      </c>
      <c r="I75" s="36" t="str">
        <f t="array" ref="I75">IF($C75="","",INDEX(MATERIAL_FACTOR_APPLICABILITY!$D:$D,MATCH($C75,MATERIAL_FACTOR_APPLICABILITY!$A:$A,0)))</f>
        <v/>
      </c>
      <c r="J75" s="36" t="str">
        <f t="array" ref="J75">IF($C75="","",INDEX(MATERIAL_FACTOR_APPLICABILITY!$E:$E,MATCH($C75,MATERIAL_FACTOR_APPLICABILITY!$A:$A,0)))</f>
        <v/>
      </c>
      <c r="K75" s="36" t="str">
        <f t="array" ref="K75">IF($C75="","",INDEX(MATERIAL_FACTOR_APPLICABILITY!$F:$F,MATCH($C75,MATERIAL_FACTOR_APPLICABILITY!$A:$A,0)))</f>
        <v/>
      </c>
      <c r="L75" s="36" t="str">
        <f t="array" ref="L75">IF($C75="","",INDEX(MATERIAL_FACTOR_APPLICABILITY!$G:$G,MATCH($C75,MATERIAL_FACTOR_APPLICABILITY!$A:$A,0)))</f>
        <v/>
      </c>
      <c r="M75" s="36" t="str">
        <f t="array" ref="M75">IF($C75="","",INDEX(MATERIAL_FACTOR_APPLICABILITY!$H:$H,MATCH($C75,MATERIAL_FACTOR_APPLICABILITY!$A:$A,0)))</f>
        <v/>
      </c>
      <c r="N75" s="36" t="str">
        <f>IF($B75="","",ROUND(1+($I75*(SUMIFS(OBJECT_CONDITIONS!$W:$W,OBJECT_CONDITIONS!$A:$A,$B75)-1))+($J75*(SUMIFS(OBJECT_CONDITIONS!$J:$J,OBJECT_CONDITIONS!$A:$A,$B75)-1))+($K75*(SUMIFS(OBJECT_CONDITIONS!$L:$L,OBJECT_CONDITIONS!$A:$A,$B75)-1))+($L75*(SUMIFS(OBJECT_CONDITIONS!$N:$N,OBJECT_CONDITIONS!$A:$A,$B75)-1))+($M75*(SUMIFS(OBJECT_CONDITIONS!$R:$R,OBJECT_CONDITIONS!$A:$A,$B75)-1)),3))</f>
        <v/>
      </c>
      <c r="O75" s="36"/>
      <c r="P75" s="36" t="str">
        <f t="shared" si="1"/>
        <v/>
      </c>
      <c r="Q75" s="36" t="str">
        <f t="shared" si="2"/>
        <v/>
      </c>
      <c r="R75" s="11" t="str">
        <f t="array" ref="R75">IF($D75="","",IFERROR(INDEX(MATERIAL_VARIANTS!$O:$O,MATCH($D75,MATERIAL_VARIANTS!$A:$A,0)),""))</f>
        <v/>
      </c>
      <c r="S75" s="36" t="str">
        <f t="array" ref="S75">IF($D75="","",IFERROR(INDEX(MATERIAL_VARIANTS!$P:$P,MATCH($D75,MATERIAL_VARIANTS!$A:$A,0)),""))</f>
        <v/>
      </c>
      <c r="T75" s="11" t="str">
        <f t="shared" si="3"/>
        <v/>
      </c>
      <c r="U75" s="11"/>
    </row>
    <row r="76" ht="14.25" customHeight="1">
      <c r="A76" s="11"/>
      <c r="B76" s="11"/>
      <c r="C76" s="11"/>
      <c r="D76" s="11"/>
      <c r="E76" s="11"/>
      <c r="F76" s="11"/>
      <c r="G76" s="11" t="str">
        <f t="array" ref="G76">IF($C76="","",INDEX(MATERIAL_MASTER!$O:$O,MATCH($C76,MATERIAL_MASTER!$A:$A,0)))</f>
        <v/>
      </c>
      <c r="H76" s="36" t="str">
        <f t="array" ref="H76">IF($C76="","",INDEX(MATERIAL_MASTER!$P:$P,MATCH($C76,MATERIAL_MASTER!$A:$A,0)))</f>
        <v/>
      </c>
      <c r="I76" s="36" t="str">
        <f t="array" ref="I76">IF($C76="","",INDEX(MATERIAL_FACTOR_APPLICABILITY!$D:$D,MATCH($C76,MATERIAL_FACTOR_APPLICABILITY!$A:$A,0)))</f>
        <v/>
      </c>
      <c r="J76" s="36" t="str">
        <f t="array" ref="J76">IF($C76="","",INDEX(MATERIAL_FACTOR_APPLICABILITY!$E:$E,MATCH($C76,MATERIAL_FACTOR_APPLICABILITY!$A:$A,0)))</f>
        <v/>
      </c>
      <c r="K76" s="36" t="str">
        <f t="array" ref="K76">IF($C76="","",INDEX(MATERIAL_FACTOR_APPLICABILITY!$F:$F,MATCH($C76,MATERIAL_FACTOR_APPLICABILITY!$A:$A,0)))</f>
        <v/>
      </c>
      <c r="L76" s="36" t="str">
        <f t="array" ref="L76">IF($C76="","",INDEX(MATERIAL_FACTOR_APPLICABILITY!$G:$G,MATCH($C76,MATERIAL_FACTOR_APPLICABILITY!$A:$A,0)))</f>
        <v/>
      </c>
      <c r="M76" s="36" t="str">
        <f t="array" ref="M76">IF($C76="","",INDEX(MATERIAL_FACTOR_APPLICABILITY!$H:$H,MATCH($C76,MATERIAL_FACTOR_APPLICABILITY!$A:$A,0)))</f>
        <v/>
      </c>
      <c r="N76" s="36" t="str">
        <f>IF($B76="","",ROUND(1+($I76*(SUMIFS(OBJECT_CONDITIONS!$W:$W,OBJECT_CONDITIONS!$A:$A,$B76)-1))+($J76*(SUMIFS(OBJECT_CONDITIONS!$J:$J,OBJECT_CONDITIONS!$A:$A,$B76)-1))+($K76*(SUMIFS(OBJECT_CONDITIONS!$L:$L,OBJECT_CONDITIONS!$A:$A,$B76)-1))+($L76*(SUMIFS(OBJECT_CONDITIONS!$N:$N,OBJECT_CONDITIONS!$A:$A,$B76)-1))+($M76*(SUMIFS(OBJECT_CONDITIONS!$R:$R,OBJECT_CONDITIONS!$A:$A,$B76)-1)),3))</f>
        <v/>
      </c>
      <c r="O76" s="36"/>
      <c r="P76" s="36" t="str">
        <f t="shared" si="1"/>
        <v/>
      </c>
      <c r="Q76" s="36" t="str">
        <f t="shared" si="2"/>
        <v/>
      </c>
      <c r="R76" s="11" t="str">
        <f t="array" ref="R76">IF($D76="","",IFERROR(INDEX(MATERIAL_VARIANTS!$O:$O,MATCH($D76,MATERIAL_VARIANTS!$A:$A,0)),""))</f>
        <v/>
      </c>
      <c r="S76" s="36" t="str">
        <f t="array" ref="S76">IF($D76="","",IFERROR(INDEX(MATERIAL_VARIANTS!$P:$P,MATCH($D76,MATERIAL_VARIANTS!$A:$A,0)),""))</f>
        <v/>
      </c>
      <c r="T76" s="11" t="str">
        <f t="shared" si="3"/>
        <v/>
      </c>
      <c r="U76" s="11"/>
    </row>
    <row r="77" ht="14.25" customHeight="1">
      <c r="A77" s="11"/>
      <c r="B77" s="11"/>
      <c r="C77" s="11"/>
      <c r="D77" s="11"/>
      <c r="E77" s="11"/>
      <c r="F77" s="11"/>
      <c r="G77" s="11" t="str">
        <f t="array" ref="G77">IF($C77="","",INDEX(MATERIAL_MASTER!$O:$O,MATCH($C77,MATERIAL_MASTER!$A:$A,0)))</f>
        <v/>
      </c>
      <c r="H77" s="36" t="str">
        <f t="array" ref="H77">IF($C77="","",INDEX(MATERIAL_MASTER!$P:$P,MATCH($C77,MATERIAL_MASTER!$A:$A,0)))</f>
        <v/>
      </c>
      <c r="I77" s="36" t="str">
        <f t="array" ref="I77">IF($C77="","",INDEX(MATERIAL_FACTOR_APPLICABILITY!$D:$D,MATCH($C77,MATERIAL_FACTOR_APPLICABILITY!$A:$A,0)))</f>
        <v/>
      </c>
      <c r="J77" s="36" t="str">
        <f t="array" ref="J77">IF($C77="","",INDEX(MATERIAL_FACTOR_APPLICABILITY!$E:$E,MATCH($C77,MATERIAL_FACTOR_APPLICABILITY!$A:$A,0)))</f>
        <v/>
      </c>
      <c r="K77" s="36" t="str">
        <f t="array" ref="K77">IF($C77="","",INDEX(MATERIAL_FACTOR_APPLICABILITY!$F:$F,MATCH($C77,MATERIAL_FACTOR_APPLICABILITY!$A:$A,0)))</f>
        <v/>
      </c>
      <c r="L77" s="36" t="str">
        <f t="array" ref="L77">IF($C77="","",INDEX(MATERIAL_FACTOR_APPLICABILITY!$G:$G,MATCH($C77,MATERIAL_FACTOR_APPLICABILITY!$A:$A,0)))</f>
        <v/>
      </c>
      <c r="M77" s="36" t="str">
        <f t="array" ref="M77">IF($C77="","",INDEX(MATERIAL_FACTOR_APPLICABILITY!$H:$H,MATCH($C77,MATERIAL_FACTOR_APPLICABILITY!$A:$A,0)))</f>
        <v/>
      </c>
      <c r="N77" s="36" t="str">
        <f>IF($B77="","",ROUND(1+($I77*(SUMIFS(OBJECT_CONDITIONS!$W:$W,OBJECT_CONDITIONS!$A:$A,$B77)-1))+($J77*(SUMIFS(OBJECT_CONDITIONS!$J:$J,OBJECT_CONDITIONS!$A:$A,$B77)-1))+($K77*(SUMIFS(OBJECT_CONDITIONS!$L:$L,OBJECT_CONDITIONS!$A:$A,$B77)-1))+($L77*(SUMIFS(OBJECT_CONDITIONS!$N:$N,OBJECT_CONDITIONS!$A:$A,$B77)-1))+($M77*(SUMIFS(OBJECT_CONDITIONS!$R:$R,OBJECT_CONDITIONS!$A:$A,$B77)-1)),3))</f>
        <v/>
      </c>
      <c r="O77" s="36"/>
      <c r="P77" s="36" t="str">
        <f t="shared" si="1"/>
        <v/>
      </c>
      <c r="Q77" s="36" t="str">
        <f t="shared" si="2"/>
        <v/>
      </c>
      <c r="R77" s="11" t="str">
        <f t="array" ref="R77">IF($D77="","",IFERROR(INDEX(MATERIAL_VARIANTS!$O:$O,MATCH($D77,MATERIAL_VARIANTS!$A:$A,0)),""))</f>
        <v/>
      </c>
      <c r="S77" s="36" t="str">
        <f t="array" ref="S77">IF($D77="","",IFERROR(INDEX(MATERIAL_VARIANTS!$P:$P,MATCH($D77,MATERIAL_VARIANTS!$A:$A,0)),""))</f>
        <v/>
      </c>
      <c r="T77" s="11" t="str">
        <f t="shared" si="3"/>
        <v/>
      </c>
      <c r="U77" s="11"/>
    </row>
    <row r="78" ht="14.25" customHeight="1">
      <c r="A78" s="11"/>
      <c r="B78" s="11"/>
      <c r="C78" s="11"/>
      <c r="D78" s="11"/>
      <c r="E78" s="11"/>
      <c r="F78" s="11"/>
      <c r="G78" s="11" t="str">
        <f t="array" ref="G78">IF($C78="","",INDEX(MATERIAL_MASTER!$O:$O,MATCH($C78,MATERIAL_MASTER!$A:$A,0)))</f>
        <v/>
      </c>
      <c r="H78" s="36" t="str">
        <f t="array" ref="H78">IF($C78="","",INDEX(MATERIAL_MASTER!$P:$P,MATCH($C78,MATERIAL_MASTER!$A:$A,0)))</f>
        <v/>
      </c>
      <c r="I78" s="36" t="str">
        <f t="array" ref="I78">IF($C78="","",INDEX(MATERIAL_FACTOR_APPLICABILITY!$D:$D,MATCH($C78,MATERIAL_FACTOR_APPLICABILITY!$A:$A,0)))</f>
        <v/>
      </c>
      <c r="J78" s="36" t="str">
        <f t="array" ref="J78">IF($C78="","",INDEX(MATERIAL_FACTOR_APPLICABILITY!$E:$E,MATCH($C78,MATERIAL_FACTOR_APPLICABILITY!$A:$A,0)))</f>
        <v/>
      </c>
      <c r="K78" s="36" t="str">
        <f t="array" ref="K78">IF($C78="","",INDEX(MATERIAL_FACTOR_APPLICABILITY!$F:$F,MATCH($C78,MATERIAL_FACTOR_APPLICABILITY!$A:$A,0)))</f>
        <v/>
      </c>
      <c r="L78" s="36" t="str">
        <f t="array" ref="L78">IF($C78="","",INDEX(MATERIAL_FACTOR_APPLICABILITY!$G:$G,MATCH($C78,MATERIAL_FACTOR_APPLICABILITY!$A:$A,0)))</f>
        <v/>
      </c>
      <c r="M78" s="36" t="str">
        <f t="array" ref="M78">IF($C78="","",INDEX(MATERIAL_FACTOR_APPLICABILITY!$H:$H,MATCH($C78,MATERIAL_FACTOR_APPLICABILITY!$A:$A,0)))</f>
        <v/>
      </c>
      <c r="N78" s="36" t="str">
        <f>IF($B78="","",ROUND(1+($I78*(SUMIFS(OBJECT_CONDITIONS!$W:$W,OBJECT_CONDITIONS!$A:$A,$B78)-1))+($J78*(SUMIFS(OBJECT_CONDITIONS!$J:$J,OBJECT_CONDITIONS!$A:$A,$B78)-1))+($K78*(SUMIFS(OBJECT_CONDITIONS!$L:$L,OBJECT_CONDITIONS!$A:$A,$B78)-1))+($L78*(SUMIFS(OBJECT_CONDITIONS!$N:$N,OBJECT_CONDITIONS!$A:$A,$B78)-1))+($M78*(SUMIFS(OBJECT_CONDITIONS!$R:$R,OBJECT_CONDITIONS!$A:$A,$B78)-1)),3))</f>
        <v/>
      </c>
      <c r="O78" s="36"/>
      <c r="P78" s="36" t="str">
        <f t="shared" si="1"/>
        <v/>
      </c>
      <c r="Q78" s="36" t="str">
        <f t="shared" si="2"/>
        <v/>
      </c>
      <c r="R78" s="11" t="str">
        <f t="array" ref="R78">IF($D78="","",IFERROR(INDEX(MATERIAL_VARIANTS!$O:$O,MATCH($D78,MATERIAL_VARIANTS!$A:$A,0)),""))</f>
        <v/>
      </c>
      <c r="S78" s="36" t="str">
        <f t="array" ref="S78">IF($D78="","",IFERROR(INDEX(MATERIAL_VARIANTS!$P:$P,MATCH($D78,MATERIAL_VARIANTS!$A:$A,0)),""))</f>
        <v/>
      </c>
      <c r="T78" s="11" t="str">
        <f t="shared" si="3"/>
        <v/>
      </c>
      <c r="U78" s="11"/>
    </row>
    <row r="79" ht="14.25" customHeight="1">
      <c r="A79" s="11"/>
      <c r="B79" s="11"/>
      <c r="C79" s="11"/>
      <c r="D79" s="11"/>
      <c r="E79" s="11"/>
      <c r="F79" s="11"/>
      <c r="G79" s="11" t="str">
        <f t="array" ref="G79">IF($C79="","",INDEX(MATERIAL_MASTER!$O:$O,MATCH($C79,MATERIAL_MASTER!$A:$A,0)))</f>
        <v/>
      </c>
      <c r="H79" s="36" t="str">
        <f t="array" ref="H79">IF($C79="","",INDEX(MATERIAL_MASTER!$P:$P,MATCH($C79,MATERIAL_MASTER!$A:$A,0)))</f>
        <v/>
      </c>
      <c r="I79" s="36" t="str">
        <f t="array" ref="I79">IF($C79="","",INDEX(MATERIAL_FACTOR_APPLICABILITY!$D:$D,MATCH($C79,MATERIAL_FACTOR_APPLICABILITY!$A:$A,0)))</f>
        <v/>
      </c>
      <c r="J79" s="36" t="str">
        <f t="array" ref="J79">IF($C79="","",INDEX(MATERIAL_FACTOR_APPLICABILITY!$E:$E,MATCH($C79,MATERIAL_FACTOR_APPLICABILITY!$A:$A,0)))</f>
        <v/>
      </c>
      <c r="K79" s="36" t="str">
        <f t="array" ref="K79">IF($C79="","",INDEX(MATERIAL_FACTOR_APPLICABILITY!$F:$F,MATCH($C79,MATERIAL_FACTOR_APPLICABILITY!$A:$A,0)))</f>
        <v/>
      </c>
      <c r="L79" s="36" t="str">
        <f t="array" ref="L79">IF($C79="","",INDEX(MATERIAL_FACTOR_APPLICABILITY!$G:$G,MATCH($C79,MATERIAL_FACTOR_APPLICABILITY!$A:$A,0)))</f>
        <v/>
      </c>
      <c r="M79" s="36" t="str">
        <f t="array" ref="M79">IF($C79="","",INDEX(MATERIAL_FACTOR_APPLICABILITY!$H:$H,MATCH($C79,MATERIAL_FACTOR_APPLICABILITY!$A:$A,0)))</f>
        <v/>
      </c>
      <c r="N79" s="36" t="str">
        <f>IF($B79="","",ROUND(1+($I79*(SUMIFS(OBJECT_CONDITIONS!$W:$W,OBJECT_CONDITIONS!$A:$A,$B79)-1))+($J79*(SUMIFS(OBJECT_CONDITIONS!$J:$J,OBJECT_CONDITIONS!$A:$A,$B79)-1))+($K79*(SUMIFS(OBJECT_CONDITIONS!$L:$L,OBJECT_CONDITIONS!$A:$A,$B79)-1))+($L79*(SUMIFS(OBJECT_CONDITIONS!$N:$N,OBJECT_CONDITIONS!$A:$A,$B79)-1))+($M79*(SUMIFS(OBJECT_CONDITIONS!$R:$R,OBJECT_CONDITIONS!$A:$A,$B79)-1)),3))</f>
        <v/>
      </c>
      <c r="O79" s="36"/>
      <c r="P79" s="36" t="str">
        <f t="shared" si="1"/>
        <v/>
      </c>
      <c r="Q79" s="36" t="str">
        <f t="shared" si="2"/>
        <v/>
      </c>
      <c r="R79" s="11" t="str">
        <f t="array" ref="R79">IF($D79="","",IFERROR(INDEX(MATERIAL_VARIANTS!$O:$O,MATCH($D79,MATERIAL_VARIANTS!$A:$A,0)),""))</f>
        <v/>
      </c>
      <c r="S79" s="36" t="str">
        <f t="array" ref="S79">IF($D79="","",IFERROR(INDEX(MATERIAL_VARIANTS!$P:$P,MATCH($D79,MATERIAL_VARIANTS!$A:$A,0)),""))</f>
        <v/>
      </c>
      <c r="T79" s="11" t="str">
        <f t="shared" si="3"/>
        <v/>
      </c>
      <c r="U79" s="11"/>
    </row>
    <row r="80" ht="14.25" customHeight="1">
      <c r="A80" s="11"/>
      <c r="B80" s="11"/>
      <c r="C80" s="11"/>
      <c r="D80" s="11"/>
      <c r="E80" s="11"/>
      <c r="F80" s="11"/>
      <c r="G80" s="11" t="str">
        <f t="array" ref="G80">IF($C80="","",INDEX(MATERIAL_MASTER!$O:$O,MATCH($C80,MATERIAL_MASTER!$A:$A,0)))</f>
        <v/>
      </c>
      <c r="H80" s="36" t="str">
        <f t="array" ref="H80">IF($C80="","",INDEX(MATERIAL_MASTER!$P:$P,MATCH($C80,MATERIAL_MASTER!$A:$A,0)))</f>
        <v/>
      </c>
      <c r="I80" s="36" t="str">
        <f t="array" ref="I80">IF($C80="","",INDEX(MATERIAL_FACTOR_APPLICABILITY!$D:$D,MATCH($C80,MATERIAL_FACTOR_APPLICABILITY!$A:$A,0)))</f>
        <v/>
      </c>
      <c r="J80" s="36" t="str">
        <f t="array" ref="J80">IF($C80="","",INDEX(MATERIAL_FACTOR_APPLICABILITY!$E:$E,MATCH($C80,MATERIAL_FACTOR_APPLICABILITY!$A:$A,0)))</f>
        <v/>
      </c>
      <c r="K80" s="36" t="str">
        <f t="array" ref="K80">IF($C80="","",INDEX(MATERIAL_FACTOR_APPLICABILITY!$F:$F,MATCH($C80,MATERIAL_FACTOR_APPLICABILITY!$A:$A,0)))</f>
        <v/>
      </c>
      <c r="L80" s="36" t="str">
        <f t="array" ref="L80">IF($C80="","",INDEX(MATERIAL_FACTOR_APPLICABILITY!$G:$G,MATCH($C80,MATERIAL_FACTOR_APPLICABILITY!$A:$A,0)))</f>
        <v/>
      </c>
      <c r="M80" s="36" t="str">
        <f t="array" ref="M80">IF($C80="","",INDEX(MATERIAL_FACTOR_APPLICABILITY!$H:$H,MATCH($C80,MATERIAL_FACTOR_APPLICABILITY!$A:$A,0)))</f>
        <v/>
      </c>
      <c r="N80" s="36" t="str">
        <f>IF($B80="","",ROUND(1+($I80*(SUMIFS(OBJECT_CONDITIONS!$W:$W,OBJECT_CONDITIONS!$A:$A,$B80)-1))+($J80*(SUMIFS(OBJECT_CONDITIONS!$J:$J,OBJECT_CONDITIONS!$A:$A,$B80)-1))+($K80*(SUMIFS(OBJECT_CONDITIONS!$L:$L,OBJECT_CONDITIONS!$A:$A,$B80)-1))+($L80*(SUMIFS(OBJECT_CONDITIONS!$N:$N,OBJECT_CONDITIONS!$A:$A,$B80)-1))+($M80*(SUMIFS(OBJECT_CONDITIONS!$R:$R,OBJECT_CONDITIONS!$A:$A,$B80)-1)),3))</f>
        <v/>
      </c>
      <c r="O80" s="36"/>
      <c r="P80" s="36" t="str">
        <f t="shared" si="1"/>
        <v/>
      </c>
      <c r="Q80" s="36" t="str">
        <f t="shared" si="2"/>
        <v/>
      </c>
      <c r="R80" s="11" t="str">
        <f t="array" ref="R80">IF($D80="","",IFERROR(INDEX(MATERIAL_VARIANTS!$O:$O,MATCH($D80,MATERIAL_VARIANTS!$A:$A,0)),""))</f>
        <v/>
      </c>
      <c r="S80" s="36" t="str">
        <f t="array" ref="S80">IF($D80="","",IFERROR(INDEX(MATERIAL_VARIANTS!$P:$P,MATCH($D80,MATERIAL_VARIANTS!$A:$A,0)),""))</f>
        <v/>
      </c>
      <c r="T80" s="11" t="str">
        <f t="shared" si="3"/>
        <v/>
      </c>
      <c r="U80" s="11"/>
    </row>
    <row r="81" ht="14.25" customHeight="1">
      <c r="A81" s="11"/>
      <c r="B81" s="11"/>
      <c r="C81" s="11"/>
      <c r="D81" s="11"/>
      <c r="E81" s="11"/>
      <c r="F81" s="11"/>
      <c r="G81" s="11" t="str">
        <f t="array" ref="G81">IF($C81="","",INDEX(MATERIAL_MASTER!$O:$O,MATCH($C81,MATERIAL_MASTER!$A:$A,0)))</f>
        <v/>
      </c>
      <c r="H81" s="36" t="str">
        <f t="array" ref="H81">IF($C81="","",INDEX(MATERIAL_MASTER!$P:$P,MATCH($C81,MATERIAL_MASTER!$A:$A,0)))</f>
        <v/>
      </c>
      <c r="I81" s="36" t="str">
        <f t="array" ref="I81">IF($C81="","",INDEX(MATERIAL_FACTOR_APPLICABILITY!$D:$D,MATCH($C81,MATERIAL_FACTOR_APPLICABILITY!$A:$A,0)))</f>
        <v/>
      </c>
      <c r="J81" s="36" t="str">
        <f t="array" ref="J81">IF($C81="","",INDEX(MATERIAL_FACTOR_APPLICABILITY!$E:$E,MATCH($C81,MATERIAL_FACTOR_APPLICABILITY!$A:$A,0)))</f>
        <v/>
      </c>
      <c r="K81" s="36" t="str">
        <f t="array" ref="K81">IF($C81="","",INDEX(MATERIAL_FACTOR_APPLICABILITY!$F:$F,MATCH($C81,MATERIAL_FACTOR_APPLICABILITY!$A:$A,0)))</f>
        <v/>
      </c>
      <c r="L81" s="36" t="str">
        <f t="array" ref="L81">IF($C81="","",INDEX(MATERIAL_FACTOR_APPLICABILITY!$G:$G,MATCH($C81,MATERIAL_FACTOR_APPLICABILITY!$A:$A,0)))</f>
        <v/>
      </c>
      <c r="M81" s="36" t="str">
        <f t="array" ref="M81">IF($C81="","",INDEX(MATERIAL_FACTOR_APPLICABILITY!$H:$H,MATCH($C81,MATERIAL_FACTOR_APPLICABILITY!$A:$A,0)))</f>
        <v/>
      </c>
      <c r="N81" s="36" t="str">
        <f>IF($B81="","",ROUND(1+($I81*(SUMIFS(OBJECT_CONDITIONS!$W:$W,OBJECT_CONDITIONS!$A:$A,$B81)-1))+($J81*(SUMIFS(OBJECT_CONDITIONS!$J:$J,OBJECT_CONDITIONS!$A:$A,$B81)-1))+($K81*(SUMIFS(OBJECT_CONDITIONS!$L:$L,OBJECT_CONDITIONS!$A:$A,$B81)-1))+($L81*(SUMIFS(OBJECT_CONDITIONS!$N:$N,OBJECT_CONDITIONS!$A:$A,$B81)-1))+($M81*(SUMIFS(OBJECT_CONDITIONS!$R:$R,OBJECT_CONDITIONS!$A:$A,$B81)-1)),3))</f>
        <v/>
      </c>
      <c r="O81" s="36"/>
      <c r="P81" s="36" t="str">
        <f t="shared" si="1"/>
        <v/>
      </c>
      <c r="Q81" s="36" t="str">
        <f t="shared" si="2"/>
        <v/>
      </c>
      <c r="R81" s="11" t="str">
        <f t="array" ref="R81">IF($D81="","",IFERROR(INDEX(MATERIAL_VARIANTS!$O:$O,MATCH($D81,MATERIAL_VARIANTS!$A:$A,0)),""))</f>
        <v/>
      </c>
      <c r="S81" s="36" t="str">
        <f t="array" ref="S81">IF($D81="","",IFERROR(INDEX(MATERIAL_VARIANTS!$P:$P,MATCH($D81,MATERIAL_VARIANTS!$A:$A,0)),""))</f>
        <v/>
      </c>
      <c r="T81" s="11" t="str">
        <f t="shared" si="3"/>
        <v/>
      </c>
      <c r="U81" s="11"/>
    </row>
    <row r="82" ht="14.25" customHeight="1">
      <c r="A82" s="11"/>
      <c r="B82" s="11"/>
      <c r="C82" s="11"/>
      <c r="D82" s="11"/>
      <c r="E82" s="11"/>
      <c r="F82" s="11"/>
      <c r="G82" s="11" t="str">
        <f t="array" ref="G82">IF($C82="","",INDEX(MATERIAL_MASTER!$O:$O,MATCH($C82,MATERIAL_MASTER!$A:$A,0)))</f>
        <v/>
      </c>
      <c r="H82" s="36" t="str">
        <f t="array" ref="H82">IF($C82="","",INDEX(MATERIAL_MASTER!$P:$P,MATCH($C82,MATERIAL_MASTER!$A:$A,0)))</f>
        <v/>
      </c>
      <c r="I82" s="36" t="str">
        <f t="array" ref="I82">IF($C82="","",INDEX(MATERIAL_FACTOR_APPLICABILITY!$D:$D,MATCH($C82,MATERIAL_FACTOR_APPLICABILITY!$A:$A,0)))</f>
        <v/>
      </c>
      <c r="J82" s="36" t="str">
        <f t="array" ref="J82">IF($C82="","",INDEX(MATERIAL_FACTOR_APPLICABILITY!$E:$E,MATCH($C82,MATERIAL_FACTOR_APPLICABILITY!$A:$A,0)))</f>
        <v/>
      </c>
      <c r="K82" s="36" t="str">
        <f t="array" ref="K82">IF($C82="","",INDEX(MATERIAL_FACTOR_APPLICABILITY!$F:$F,MATCH($C82,MATERIAL_FACTOR_APPLICABILITY!$A:$A,0)))</f>
        <v/>
      </c>
      <c r="L82" s="36" t="str">
        <f t="array" ref="L82">IF($C82="","",INDEX(MATERIAL_FACTOR_APPLICABILITY!$G:$G,MATCH($C82,MATERIAL_FACTOR_APPLICABILITY!$A:$A,0)))</f>
        <v/>
      </c>
      <c r="M82" s="36" t="str">
        <f t="array" ref="M82">IF($C82="","",INDEX(MATERIAL_FACTOR_APPLICABILITY!$H:$H,MATCH($C82,MATERIAL_FACTOR_APPLICABILITY!$A:$A,0)))</f>
        <v/>
      </c>
      <c r="N82" s="36" t="str">
        <f>IF($B82="","",ROUND(1+($I82*(SUMIFS(OBJECT_CONDITIONS!$W:$W,OBJECT_CONDITIONS!$A:$A,$B82)-1))+($J82*(SUMIFS(OBJECT_CONDITIONS!$J:$J,OBJECT_CONDITIONS!$A:$A,$B82)-1))+($K82*(SUMIFS(OBJECT_CONDITIONS!$L:$L,OBJECT_CONDITIONS!$A:$A,$B82)-1))+($L82*(SUMIFS(OBJECT_CONDITIONS!$N:$N,OBJECT_CONDITIONS!$A:$A,$B82)-1))+($M82*(SUMIFS(OBJECT_CONDITIONS!$R:$R,OBJECT_CONDITIONS!$A:$A,$B82)-1)),3))</f>
        <v/>
      </c>
      <c r="O82" s="36"/>
      <c r="P82" s="36" t="str">
        <f t="shared" si="1"/>
        <v/>
      </c>
      <c r="Q82" s="36" t="str">
        <f t="shared" si="2"/>
        <v/>
      </c>
      <c r="R82" s="11" t="str">
        <f t="array" ref="R82">IF($D82="","",IFERROR(INDEX(MATERIAL_VARIANTS!$O:$O,MATCH($D82,MATERIAL_VARIANTS!$A:$A,0)),""))</f>
        <v/>
      </c>
      <c r="S82" s="36" t="str">
        <f t="array" ref="S82">IF($D82="","",IFERROR(INDEX(MATERIAL_VARIANTS!$P:$P,MATCH($D82,MATERIAL_VARIANTS!$A:$A,0)),""))</f>
        <v/>
      </c>
      <c r="T82" s="11" t="str">
        <f t="shared" si="3"/>
        <v/>
      </c>
      <c r="U82" s="11"/>
    </row>
    <row r="83" ht="14.25" customHeight="1">
      <c r="A83" s="11"/>
      <c r="B83" s="11"/>
      <c r="C83" s="11"/>
      <c r="D83" s="11"/>
      <c r="E83" s="11"/>
      <c r="F83" s="11"/>
      <c r="G83" s="11" t="str">
        <f t="array" ref="G83">IF($C83="","",INDEX(MATERIAL_MASTER!$O:$O,MATCH($C83,MATERIAL_MASTER!$A:$A,0)))</f>
        <v/>
      </c>
      <c r="H83" s="36" t="str">
        <f t="array" ref="H83">IF($C83="","",INDEX(MATERIAL_MASTER!$P:$P,MATCH($C83,MATERIAL_MASTER!$A:$A,0)))</f>
        <v/>
      </c>
      <c r="I83" s="36" t="str">
        <f t="array" ref="I83">IF($C83="","",INDEX(MATERIAL_FACTOR_APPLICABILITY!$D:$D,MATCH($C83,MATERIAL_FACTOR_APPLICABILITY!$A:$A,0)))</f>
        <v/>
      </c>
      <c r="J83" s="36" t="str">
        <f t="array" ref="J83">IF($C83="","",INDEX(MATERIAL_FACTOR_APPLICABILITY!$E:$E,MATCH($C83,MATERIAL_FACTOR_APPLICABILITY!$A:$A,0)))</f>
        <v/>
      </c>
      <c r="K83" s="36" t="str">
        <f t="array" ref="K83">IF($C83="","",INDEX(MATERIAL_FACTOR_APPLICABILITY!$F:$F,MATCH($C83,MATERIAL_FACTOR_APPLICABILITY!$A:$A,0)))</f>
        <v/>
      </c>
      <c r="L83" s="36" t="str">
        <f t="array" ref="L83">IF($C83="","",INDEX(MATERIAL_FACTOR_APPLICABILITY!$G:$G,MATCH($C83,MATERIAL_FACTOR_APPLICABILITY!$A:$A,0)))</f>
        <v/>
      </c>
      <c r="M83" s="36" t="str">
        <f t="array" ref="M83">IF($C83="","",INDEX(MATERIAL_FACTOR_APPLICABILITY!$H:$H,MATCH($C83,MATERIAL_FACTOR_APPLICABILITY!$A:$A,0)))</f>
        <v/>
      </c>
      <c r="N83" s="36" t="str">
        <f>IF($B83="","",ROUND(1+($I83*(SUMIFS(OBJECT_CONDITIONS!$W:$W,OBJECT_CONDITIONS!$A:$A,$B83)-1))+($J83*(SUMIFS(OBJECT_CONDITIONS!$J:$J,OBJECT_CONDITIONS!$A:$A,$B83)-1))+($K83*(SUMIFS(OBJECT_CONDITIONS!$L:$L,OBJECT_CONDITIONS!$A:$A,$B83)-1))+($L83*(SUMIFS(OBJECT_CONDITIONS!$N:$N,OBJECT_CONDITIONS!$A:$A,$B83)-1))+($M83*(SUMIFS(OBJECT_CONDITIONS!$R:$R,OBJECT_CONDITIONS!$A:$A,$B83)-1)),3))</f>
        <v/>
      </c>
      <c r="O83" s="36"/>
      <c r="P83" s="36" t="str">
        <f t="shared" si="1"/>
        <v/>
      </c>
      <c r="Q83" s="36" t="str">
        <f t="shared" si="2"/>
        <v/>
      </c>
      <c r="R83" s="11" t="str">
        <f t="array" ref="R83">IF($D83="","",IFERROR(INDEX(MATERIAL_VARIANTS!$O:$O,MATCH($D83,MATERIAL_VARIANTS!$A:$A,0)),""))</f>
        <v/>
      </c>
      <c r="S83" s="36" t="str">
        <f t="array" ref="S83">IF($D83="","",IFERROR(INDEX(MATERIAL_VARIANTS!$P:$P,MATCH($D83,MATERIAL_VARIANTS!$A:$A,0)),""))</f>
        <v/>
      </c>
      <c r="T83" s="11" t="str">
        <f t="shared" si="3"/>
        <v/>
      </c>
      <c r="U83" s="11"/>
    </row>
    <row r="84" ht="14.25" customHeight="1">
      <c r="A84" s="11"/>
      <c r="B84" s="11"/>
      <c r="C84" s="11"/>
      <c r="D84" s="11"/>
      <c r="E84" s="11"/>
      <c r="F84" s="11"/>
      <c r="G84" s="11" t="str">
        <f t="array" ref="G84">IF($C84="","",INDEX(MATERIAL_MASTER!$O:$O,MATCH($C84,MATERIAL_MASTER!$A:$A,0)))</f>
        <v/>
      </c>
      <c r="H84" s="36" t="str">
        <f t="array" ref="H84">IF($C84="","",INDEX(MATERIAL_MASTER!$P:$P,MATCH($C84,MATERIAL_MASTER!$A:$A,0)))</f>
        <v/>
      </c>
      <c r="I84" s="36" t="str">
        <f t="array" ref="I84">IF($C84="","",INDEX(MATERIAL_FACTOR_APPLICABILITY!$D:$D,MATCH($C84,MATERIAL_FACTOR_APPLICABILITY!$A:$A,0)))</f>
        <v/>
      </c>
      <c r="J84" s="36" t="str">
        <f t="array" ref="J84">IF($C84="","",INDEX(MATERIAL_FACTOR_APPLICABILITY!$E:$E,MATCH($C84,MATERIAL_FACTOR_APPLICABILITY!$A:$A,0)))</f>
        <v/>
      </c>
      <c r="K84" s="36" t="str">
        <f t="array" ref="K84">IF($C84="","",INDEX(MATERIAL_FACTOR_APPLICABILITY!$F:$F,MATCH($C84,MATERIAL_FACTOR_APPLICABILITY!$A:$A,0)))</f>
        <v/>
      </c>
      <c r="L84" s="36" t="str">
        <f t="array" ref="L84">IF($C84="","",INDEX(MATERIAL_FACTOR_APPLICABILITY!$G:$G,MATCH($C84,MATERIAL_FACTOR_APPLICABILITY!$A:$A,0)))</f>
        <v/>
      </c>
      <c r="M84" s="36" t="str">
        <f t="array" ref="M84">IF($C84="","",INDEX(MATERIAL_FACTOR_APPLICABILITY!$H:$H,MATCH($C84,MATERIAL_FACTOR_APPLICABILITY!$A:$A,0)))</f>
        <v/>
      </c>
      <c r="N84" s="36" t="str">
        <f>IF($B84="","",ROUND(1+($I84*(SUMIFS(OBJECT_CONDITIONS!$W:$W,OBJECT_CONDITIONS!$A:$A,$B84)-1))+($J84*(SUMIFS(OBJECT_CONDITIONS!$J:$J,OBJECT_CONDITIONS!$A:$A,$B84)-1))+($K84*(SUMIFS(OBJECT_CONDITIONS!$L:$L,OBJECT_CONDITIONS!$A:$A,$B84)-1))+($L84*(SUMIFS(OBJECT_CONDITIONS!$N:$N,OBJECT_CONDITIONS!$A:$A,$B84)-1))+($M84*(SUMIFS(OBJECT_CONDITIONS!$R:$R,OBJECT_CONDITIONS!$A:$A,$B84)-1)),3))</f>
        <v/>
      </c>
      <c r="O84" s="36"/>
      <c r="P84" s="36" t="str">
        <f t="shared" si="1"/>
        <v/>
      </c>
      <c r="Q84" s="36" t="str">
        <f t="shared" si="2"/>
        <v/>
      </c>
      <c r="R84" s="11" t="str">
        <f t="array" ref="R84">IF($D84="","",IFERROR(INDEX(MATERIAL_VARIANTS!$O:$O,MATCH($D84,MATERIAL_VARIANTS!$A:$A,0)),""))</f>
        <v/>
      </c>
      <c r="S84" s="36" t="str">
        <f t="array" ref="S84">IF($D84="","",IFERROR(INDEX(MATERIAL_VARIANTS!$P:$P,MATCH($D84,MATERIAL_VARIANTS!$A:$A,0)),""))</f>
        <v/>
      </c>
      <c r="T84" s="11" t="str">
        <f t="shared" si="3"/>
        <v/>
      </c>
      <c r="U84" s="11"/>
    </row>
    <row r="85" ht="14.25" customHeight="1">
      <c r="A85" s="11"/>
      <c r="B85" s="11"/>
      <c r="C85" s="11"/>
      <c r="D85" s="11"/>
      <c r="E85" s="11"/>
      <c r="F85" s="11"/>
      <c r="G85" s="11" t="str">
        <f t="array" ref="G85">IF($C85="","",INDEX(MATERIAL_MASTER!$O:$O,MATCH($C85,MATERIAL_MASTER!$A:$A,0)))</f>
        <v/>
      </c>
      <c r="H85" s="36" t="str">
        <f t="array" ref="H85">IF($C85="","",INDEX(MATERIAL_MASTER!$P:$P,MATCH($C85,MATERIAL_MASTER!$A:$A,0)))</f>
        <v/>
      </c>
      <c r="I85" s="36" t="str">
        <f t="array" ref="I85">IF($C85="","",INDEX(MATERIAL_FACTOR_APPLICABILITY!$D:$D,MATCH($C85,MATERIAL_FACTOR_APPLICABILITY!$A:$A,0)))</f>
        <v/>
      </c>
      <c r="J85" s="36" t="str">
        <f t="array" ref="J85">IF($C85="","",INDEX(MATERIAL_FACTOR_APPLICABILITY!$E:$E,MATCH($C85,MATERIAL_FACTOR_APPLICABILITY!$A:$A,0)))</f>
        <v/>
      </c>
      <c r="K85" s="36" t="str">
        <f t="array" ref="K85">IF($C85="","",INDEX(MATERIAL_FACTOR_APPLICABILITY!$F:$F,MATCH($C85,MATERIAL_FACTOR_APPLICABILITY!$A:$A,0)))</f>
        <v/>
      </c>
      <c r="L85" s="36" t="str">
        <f t="array" ref="L85">IF($C85="","",INDEX(MATERIAL_FACTOR_APPLICABILITY!$G:$G,MATCH($C85,MATERIAL_FACTOR_APPLICABILITY!$A:$A,0)))</f>
        <v/>
      </c>
      <c r="M85" s="36" t="str">
        <f t="array" ref="M85">IF($C85="","",INDEX(MATERIAL_FACTOR_APPLICABILITY!$H:$H,MATCH($C85,MATERIAL_FACTOR_APPLICABILITY!$A:$A,0)))</f>
        <v/>
      </c>
      <c r="N85" s="36" t="str">
        <f>IF($B85="","",ROUND(1+($I85*(SUMIFS(OBJECT_CONDITIONS!$W:$W,OBJECT_CONDITIONS!$A:$A,$B85)-1))+($J85*(SUMIFS(OBJECT_CONDITIONS!$J:$J,OBJECT_CONDITIONS!$A:$A,$B85)-1))+($K85*(SUMIFS(OBJECT_CONDITIONS!$L:$L,OBJECT_CONDITIONS!$A:$A,$B85)-1))+($L85*(SUMIFS(OBJECT_CONDITIONS!$N:$N,OBJECT_CONDITIONS!$A:$A,$B85)-1))+($M85*(SUMIFS(OBJECT_CONDITIONS!$R:$R,OBJECT_CONDITIONS!$A:$A,$B85)-1)),3))</f>
        <v/>
      </c>
      <c r="O85" s="36"/>
      <c r="P85" s="36" t="str">
        <f t="shared" si="1"/>
        <v/>
      </c>
      <c r="Q85" s="36" t="str">
        <f t="shared" si="2"/>
        <v/>
      </c>
      <c r="R85" s="11" t="str">
        <f t="array" ref="R85">IF($D85="","",IFERROR(INDEX(MATERIAL_VARIANTS!$O:$O,MATCH($D85,MATERIAL_VARIANTS!$A:$A,0)),""))</f>
        <v/>
      </c>
      <c r="S85" s="36" t="str">
        <f t="array" ref="S85">IF($D85="","",IFERROR(INDEX(MATERIAL_VARIANTS!$P:$P,MATCH($D85,MATERIAL_VARIANTS!$A:$A,0)),""))</f>
        <v/>
      </c>
      <c r="T85" s="11" t="str">
        <f t="shared" si="3"/>
        <v/>
      </c>
      <c r="U85" s="11"/>
    </row>
    <row r="86" ht="14.25" customHeight="1">
      <c r="A86" s="11"/>
      <c r="B86" s="11"/>
      <c r="C86" s="11"/>
      <c r="D86" s="11"/>
      <c r="E86" s="11"/>
      <c r="F86" s="11"/>
      <c r="G86" s="11" t="str">
        <f t="array" ref="G86">IF($C86="","",INDEX(MATERIAL_MASTER!$O:$O,MATCH($C86,MATERIAL_MASTER!$A:$A,0)))</f>
        <v/>
      </c>
      <c r="H86" s="36" t="str">
        <f t="array" ref="H86">IF($C86="","",INDEX(MATERIAL_MASTER!$P:$P,MATCH($C86,MATERIAL_MASTER!$A:$A,0)))</f>
        <v/>
      </c>
      <c r="I86" s="36" t="str">
        <f t="array" ref="I86">IF($C86="","",INDEX(MATERIAL_FACTOR_APPLICABILITY!$D:$D,MATCH($C86,MATERIAL_FACTOR_APPLICABILITY!$A:$A,0)))</f>
        <v/>
      </c>
      <c r="J86" s="36" t="str">
        <f t="array" ref="J86">IF($C86="","",INDEX(MATERIAL_FACTOR_APPLICABILITY!$E:$E,MATCH($C86,MATERIAL_FACTOR_APPLICABILITY!$A:$A,0)))</f>
        <v/>
      </c>
      <c r="K86" s="36" t="str">
        <f t="array" ref="K86">IF($C86="","",INDEX(MATERIAL_FACTOR_APPLICABILITY!$F:$F,MATCH($C86,MATERIAL_FACTOR_APPLICABILITY!$A:$A,0)))</f>
        <v/>
      </c>
      <c r="L86" s="36" t="str">
        <f t="array" ref="L86">IF($C86="","",INDEX(MATERIAL_FACTOR_APPLICABILITY!$G:$G,MATCH($C86,MATERIAL_FACTOR_APPLICABILITY!$A:$A,0)))</f>
        <v/>
      </c>
      <c r="M86" s="36" t="str">
        <f t="array" ref="M86">IF($C86="","",INDEX(MATERIAL_FACTOR_APPLICABILITY!$H:$H,MATCH($C86,MATERIAL_FACTOR_APPLICABILITY!$A:$A,0)))</f>
        <v/>
      </c>
      <c r="N86" s="36" t="str">
        <f>IF($B86="","",ROUND(1+($I86*(SUMIFS(OBJECT_CONDITIONS!$W:$W,OBJECT_CONDITIONS!$A:$A,$B86)-1))+($J86*(SUMIFS(OBJECT_CONDITIONS!$J:$J,OBJECT_CONDITIONS!$A:$A,$B86)-1))+($K86*(SUMIFS(OBJECT_CONDITIONS!$L:$L,OBJECT_CONDITIONS!$A:$A,$B86)-1))+($L86*(SUMIFS(OBJECT_CONDITIONS!$N:$N,OBJECT_CONDITIONS!$A:$A,$B86)-1))+($M86*(SUMIFS(OBJECT_CONDITIONS!$R:$R,OBJECT_CONDITIONS!$A:$A,$B86)-1)),3))</f>
        <v/>
      </c>
      <c r="O86" s="36"/>
      <c r="P86" s="36" t="str">
        <f t="shared" si="1"/>
        <v/>
      </c>
      <c r="Q86" s="36" t="str">
        <f t="shared" si="2"/>
        <v/>
      </c>
      <c r="R86" s="11" t="str">
        <f t="array" ref="R86">IF($D86="","",IFERROR(INDEX(MATERIAL_VARIANTS!$O:$O,MATCH($D86,MATERIAL_VARIANTS!$A:$A,0)),""))</f>
        <v/>
      </c>
      <c r="S86" s="36" t="str">
        <f t="array" ref="S86">IF($D86="","",IFERROR(INDEX(MATERIAL_VARIANTS!$P:$P,MATCH($D86,MATERIAL_VARIANTS!$A:$A,0)),""))</f>
        <v/>
      </c>
      <c r="T86" s="11" t="str">
        <f t="shared" si="3"/>
        <v/>
      </c>
      <c r="U86" s="11"/>
    </row>
    <row r="87" ht="14.25" customHeight="1">
      <c r="A87" s="11"/>
      <c r="B87" s="11"/>
      <c r="C87" s="11"/>
      <c r="D87" s="11"/>
      <c r="E87" s="11"/>
      <c r="F87" s="11"/>
      <c r="G87" s="11" t="str">
        <f t="array" ref="G87">IF($C87="","",INDEX(MATERIAL_MASTER!$O:$O,MATCH($C87,MATERIAL_MASTER!$A:$A,0)))</f>
        <v/>
      </c>
      <c r="H87" s="36" t="str">
        <f t="array" ref="H87">IF($C87="","",INDEX(MATERIAL_MASTER!$P:$P,MATCH($C87,MATERIAL_MASTER!$A:$A,0)))</f>
        <v/>
      </c>
      <c r="I87" s="36" t="str">
        <f t="array" ref="I87">IF($C87="","",INDEX(MATERIAL_FACTOR_APPLICABILITY!$D:$D,MATCH($C87,MATERIAL_FACTOR_APPLICABILITY!$A:$A,0)))</f>
        <v/>
      </c>
      <c r="J87" s="36" t="str">
        <f t="array" ref="J87">IF($C87="","",INDEX(MATERIAL_FACTOR_APPLICABILITY!$E:$E,MATCH($C87,MATERIAL_FACTOR_APPLICABILITY!$A:$A,0)))</f>
        <v/>
      </c>
      <c r="K87" s="36" t="str">
        <f t="array" ref="K87">IF($C87="","",INDEX(MATERIAL_FACTOR_APPLICABILITY!$F:$F,MATCH($C87,MATERIAL_FACTOR_APPLICABILITY!$A:$A,0)))</f>
        <v/>
      </c>
      <c r="L87" s="36" t="str">
        <f t="array" ref="L87">IF($C87="","",INDEX(MATERIAL_FACTOR_APPLICABILITY!$G:$G,MATCH($C87,MATERIAL_FACTOR_APPLICABILITY!$A:$A,0)))</f>
        <v/>
      </c>
      <c r="M87" s="36" t="str">
        <f t="array" ref="M87">IF($C87="","",INDEX(MATERIAL_FACTOR_APPLICABILITY!$H:$H,MATCH($C87,MATERIAL_FACTOR_APPLICABILITY!$A:$A,0)))</f>
        <v/>
      </c>
      <c r="N87" s="36" t="str">
        <f>IF($B87="","",ROUND(1+($I87*(SUMIFS(OBJECT_CONDITIONS!$W:$W,OBJECT_CONDITIONS!$A:$A,$B87)-1))+($J87*(SUMIFS(OBJECT_CONDITIONS!$J:$J,OBJECT_CONDITIONS!$A:$A,$B87)-1))+($K87*(SUMIFS(OBJECT_CONDITIONS!$L:$L,OBJECT_CONDITIONS!$A:$A,$B87)-1))+($L87*(SUMIFS(OBJECT_CONDITIONS!$N:$N,OBJECT_CONDITIONS!$A:$A,$B87)-1))+($M87*(SUMIFS(OBJECT_CONDITIONS!$R:$R,OBJECT_CONDITIONS!$A:$A,$B87)-1)),3))</f>
        <v/>
      </c>
      <c r="O87" s="36"/>
      <c r="P87" s="36" t="str">
        <f t="shared" si="1"/>
        <v/>
      </c>
      <c r="Q87" s="36" t="str">
        <f t="shared" si="2"/>
        <v/>
      </c>
      <c r="R87" s="11" t="str">
        <f t="array" ref="R87">IF($D87="","",IFERROR(INDEX(MATERIAL_VARIANTS!$O:$O,MATCH($D87,MATERIAL_VARIANTS!$A:$A,0)),""))</f>
        <v/>
      </c>
      <c r="S87" s="36" t="str">
        <f t="array" ref="S87">IF($D87="","",IFERROR(INDEX(MATERIAL_VARIANTS!$P:$P,MATCH($D87,MATERIAL_VARIANTS!$A:$A,0)),""))</f>
        <v/>
      </c>
      <c r="T87" s="11" t="str">
        <f t="shared" si="3"/>
        <v/>
      </c>
      <c r="U87" s="11"/>
    </row>
    <row r="88" ht="14.25" customHeight="1">
      <c r="A88" s="11"/>
      <c r="B88" s="11"/>
      <c r="C88" s="11"/>
      <c r="D88" s="11"/>
      <c r="E88" s="11"/>
      <c r="F88" s="11"/>
      <c r="G88" s="11" t="str">
        <f t="array" ref="G88">IF($C88="","",INDEX(MATERIAL_MASTER!$O:$O,MATCH($C88,MATERIAL_MASTER!$A:$A,0)))</f>
        <v/>
      </c>
      <c r="H88" s="36" t="str">
        <f t="array" ref="H88">IF($C88="","",INDEX(MATERIAL_MASTER!$P:$P,MATCH($C88,MATERIAL_MASTER!$A:$A,0)))</f>
        <v/>
      </c>
      <c r="I88" s="36" t="str">
        <f t="array" ref="I88">IF($C88="","",INDEX(MATERIAL_FACTOR_APPLICABILITY!$D:$D,MATCH($C88,MATERIAL_FACTOR_APPLICABILITY!$A:$A,0)))</f>
        <v/>
      </c>
      <c r="J88" s="36" t="str">
        <f t="array" ref="J88">IF($C88="","",INDEX(MATERIAL_FACTOR_APPLICABILITY!$E:$E,MATCH($C88,MATERIAL_FACTOR_APPLICABILITY!$A:$A,0)))</f>
        <v/>
      </c>
      <c r="K88" s="36" t="str">
        <f t="array" ref="K88">IF($C88="","",INDEX(MATERIAL_FACTOR_APPLICABILITY!$F:$F,MATCH($C88,MATERIAL_FACTOR_APPLICABILITY!$A:$A,0)))</f>
        <v/>
      </c>
      <c r="L88" s="36" t="str">
        <f t="array" ref="L88">IF($C88="","",INDEX(MATERIAL_FACTOR_APPLICABILITY!$G:$G,MATCH($C88,MATERIAL_FACTOR_APPLICABILITY!$A:$A,0)))</f>
        <v/>
      </c>
      <c r="M88" s="36" t="str">
        <f t="array" ref="M88">IF($C88="","",INDEX(MATERIAL_FACTOR_APPLICABILITY!$H:$H,MATCH($C88,MATERIAL_FACTOR_APPLICABILITY!$A:$A,0)))</f>
        <v/>
      </c>
      <c r="N88" s="36" t="str">
        <f>IF($B88="","",ROUND(1+($I88*(SUMIFS(OBJECT_CONDITIONS!$W:$W,OBJECT_CONDITIONS!$A:$A,$B88)-1))+($J88*(SUMIFS(OBJECT_CONDITIONS!$J:$J,OBJECT_CONDITIONS!$A:$A,$B88)-1))+($K88*(SUMIFS(OBJECT_CONDITIONS!$L:$L,OBJECT_CONDITIONS!$A:$A,$B88)-1))+($L88*(SUMIFS(OBJECT_CONDITIONS!$N:$N,OBJECT_CONDITIONS!$A:$A,$B88)-1))+($M88*(SUMIFS(OBJECT_CONDITIONS!$R:$R,OBJECT_CONDITIONS!$A:$A,$B88)-1)),3))</f>
        <v/>
      </c>
      <c r="O88" s="36"/>
      <c r="P88" s="36" t="str">
        <f t="shared" si="1"/>
        <v/>
      </c>
      <c r="Q88" s="36" t="str">
        <f t="shared" si="2"/>
        <v/>
      </c>
      <c r="R88" s="11" t="str">
        <f t="array" ref="R88">IF($D88="","",IFERROR(INDEX(MATERIAL_VARIANTS!$O:$O,MATCH($D88,MATERIAL_VARIANTS!$A:$A,0)),""))</f>
        <v/>
      </c>
      <c r="S88" s="36" t="str">
        <f t="array" ref="S88">IF($D88="","",IFERROR(INDEX(MATERIAL_VARIANTS!$P:$P,MATCH($D88,MATERIAL_VARIANTS!$A:$A,0)),""))</f>
        <v/>
      </c>
      <c r="T88" s="11" t="str">
        <f t="shared" si="3"/>
        <v/>
      </c>
      <c r="U88" s="11"/>
    </row>
    <row r="89" ht="14.25" customHeight="1">
      <c r="A89" s="11"/>
      <c r="B89" s="11"/>
      <c r="C89" s="11"/>
      <c r="D89" s="11"/>
      <c r="E89" s="11"/>
      <c r="F89" s="11"/>
      <c r="G89" s="11" t="str">
        <f t="array" ref="G89">IF($C89="","",INDEX(MATERIAL_MASTER!$O:$O,MATCH($C89,MATERIAL_MASTER!$A:$A,0)))</f>
        <v/>
      </c>
      <c r="H89" s="36" t="str">
        <f t="array" ref="H89">IF($C89="","",INDEX(MATERIAL_MASTER!$P:$P,MATCH($C89,MATERIAL_MASTER!$A:$A,0)))</f>
        <v/>
      </c>
      <c r="I89" s="36" t="str">
        <f t="array" ref="I89">IF($C89="","",INDEX(MATERIAL_FACTOR_APPLICABILITY!$D:$D,MATCH($C89,MATERIAL_FACTOR_APPLICABILITY!$A:$A,0)))</f>
        <v/>
      </c>
      <c r="J89" s="36" t="str">
        <f t="array" ref="J89">IF($C89="","",INDEX(MATERIAL_FACTOR_APPLICABILITY!$E:$E,MATCH($C89,MATERIAL_FACTOR_APPLICABILITY!$A:$A,0)))</f>
        <v/>
      </c>
      <c r="K89" s="36" t="str">
        <f t="array" ref="K89">IF($C89="","",INDEX(MATERIAL_FACTOR_APPLICABILITY!$F:$F,MATCH($C89,MATERIAL_FACTOR_APPLICABILITY!$A:$A,0)))</f>
        <v/>
      </c>
      <c r="L89" s="36" t="str">
        <f t="array" ref="L89">IF($C89="","",INDEX(MATERIAL_FACTOR_APPLICABILITY!$G:$G,MATCH($C89,MATERIAL_FACTOR_APPLICABILITY!$A:$A,0)))</f>
        <v/>
      </c>
      <c r="M89" s="36" t="str">
        <f t="array" ref="M89">IF($C89="","",INDEX(MATERIAL_FACTOR_APPLICABILITY!$H:$H,MATCH($C89,MATERIAL_FACTOR_APPLICABILITY!$A:$A,0)))</f>
        <v/>
      </c>
      <c r="N89" s="36" t="str">
        <f>IF($B89="","",ROUND(1+($I89*(SUMIFS(OBJECT_CONDITIONS!$W:$W,OBJECT_CONDITIONS!$A:$A,$B89)-1))+($J89*(SUMIFS(OBJECT_CONDITIONS!$J:$J,OBJECT_CONDITIONS!$A:$A,$B89)-1))+($K89*(SUMIFS(OBJECT_CONDITIONS!$L:$L,OBJECT_CONDITIONS!$A:$A,$B89)-1))+($L89*(SUMIFS(OBJECT_CONDITIONS!$N:$N,OBJECT_CONDITIONS!$A:$A,$B89)-1))+($M89*(SUMIFS(OBJECT_CONDITIONS!$R:$R,OBJECT_CONDITIONS!$A:$A,$B89)-1)),3))</f>
        <v/>
      </c>
      <c r="O89" s="36"/>
      <c r="P89" s="36" t="str">
        <f t="shared" si="1"/>
        <v/>
      </c>
      <c r="Q89" s="36" t="str">
        <f t="shared" si="2"/>
        <v/>
      </c>
      <c r="R89" s="11" t="str">
        <f t="array" ref="R89">IF($D89="","",IFERROR(INDEX(MATERIAL_VARIANTS!$O:$O,MATCH($D89,MATERIAL_VARIANTS!$A:$A,0)),""))</f>
        <v/>
      </c>
      <c r="S89" s="36" t="str">
        <f t="array" ref="S89">IF($D89="","",IFERROR(INDEX(MATERIAL_VARIANTS!$P:$P,MATCH($D89,MATERIAL_VARIANTS!$A:$A,0)),""))</f>
        <v/>
      </c>
      <c r="T89" s="11" t="str">
        <f t="shared" si="3"/>
        <v/>
      </c>
      <c r="U89" s="11"/>
    </row>
    <row r="90" ht="14.25" customHeight="1">
      <c r="A90" s="11"/>
      <c r="B90" s="11"/>
      <c r="C90" s="11"/>
      <c r="D90" s="11"/>
      <c r="E90" s="11"/>
      <c r="F90" s="11"/>
      <c r="G90" s="11" t="str">
        <f t="array" ref="G90">IF($C90="","",INDEX(MATERIAL_MASTER!$O:$O,MATCH($C90,MATERIAL_MASTER!$A:$A,0)))</f>
        <v/>
      </c>
      <c r="H90" s="36" t="str">
        <f t="array" ref="H90">IF($C90="","",INDEX(MATERIAL_MASTER!$P:$P,MATCH($C90,MATERIAL_MASTER!$A:$A,0)))</f>
        <v/>
      </c>
      <c r="I90" s="36" t="str">
        <f t="array" ref="I90">IF($C90="","",INDEX(MATERIAL_FACTOR_APPLICABILITY!$D:$D,MATCH($C90,MATERIAL_FACTOR_APPLICABILITY!$A:$A,0)))</f>
        <v/>
      </c>
      <c r="J90" s="36" t="str">
        <f t="array" ref="J90">IF($C90="","",INDEX(MATERIAL_FACTOR_APPLICABILITY!$E:$E,MATCH($C90,MATERIAL_FACTOR_APPLICABILITY!$A:$A,0)))</f>
        <v/>
      </c>
      <c r="K90" s="36" t="str">
        <f t="array" ref="K90">IF($C90="","",INDEX(MATERIAL_FACTOR_APPLICABILITY!$F:$F,MATCH($C90,MATERIAL_FACTOR_APPLICABILITY!$A:$A,0)))</f>
        <v/>
      </c>
      <c r="L90" s="36" t="str">
        <f t="array" ref="L90">IF($C90="","",INDEX(MATERIAL_FACTOR_APPLICABILITY!$G:$G,MATCH($C90,MATERIAL_FACTOR_APPLICABILITY!$A:$A,0)))</f>
        <v/>
      </c>
      <c r="M90" s="36" t="str">
        <f t="array" ref="M90">IF($C90="","",INDEX(MATERIAL_FACTOR_APPLICABILITY!$H:$H,MATCH($C90,MATERIAL_FACTOR_APPLICABILITY!$A:$A,0)))</f>
        <v/>
      </c>
      <c r="N90" s="36" t="str">
        <f>IF($B90="","",ROUND(1+($I90*(SUMIFS(OBJECT_CONDITIONS!$W:$W,OBJECT_CONDITIONS!$A:$A,$B90)-1))+($J90*(SUMIFS(OBJECT_CONDITIONS!$J:$J,OBJECT_CONDITIONS!$A:$A,$B90)-1))+($K90*(SUMIFS(OBJECT_CONDITIONS!$L:$L,OBJECT_CONDITIONS!$A:$A,$B90)-1))+($L90*(SUMIFS(OBJECT_CONDITIONS!$N:$N,OBJECT_CONDITIONS!$A:$A,$B90)-1))+($M90*(SUMIFS(OBJECT_CONDITIONS!$R:$R,OBJECT_CONDITIONS!$A:$A,$B90)-1)),3))</f>
        <v/>
      </c>
      <c r="O90" s="36"/>
      <c r="P90" s="36" t="str">
        <f t="shared" si="1"/>
        <v/>
      </c>
      <c r="Q90" s="36" t="str">
        <f t="shared" si="2"/>
        <v/>
      </c>
      <c r="R90" s="11" t="str">
        <f t="array" ref="R90">IF($D90="","",IFERROR(INDEX(MATERIAL_VARIANTS!$O:$O,MATCH($D90,MATERIAL_VARIANTS!$A:$A,0)),""))</f>
        <v/>
      </c>
      <c r="S90" s="36" t="str">
        <f t="array" ref="S90">IF($D90="","",IFERROR(INDEX(MATERIAL_VARIANTS!$P:$P,MATCH($D90,MATERIAL_VARIANTS!$A:$A,0)),""))</f>
        <v/>
      </c>
      <c r="T90" s="11" t="str">
        <f t="shared" si="3"/>
        <v/>
      </c>
      <c r="U90" s="11"/>
    </row>
    <row r="91" ht="14.25" customHeight="1">
      <c r="A91" s="11"/>
      <c r="B91" s="11"/>
      <c r="C91" s="11"/>
      <c r="D91" s="11"/>
      <c r="E91" s="11"/>
      <c r="F91" s="11"/>
      <c r="G91" s="11" t="str">
        <f t="array" ref="G91">IF($C91="","",INDEX(MATERIAL_MASTER!$O:$O,MATCH($C91,MATERIAL_MASTER!$A:$A,0)))</f>
        <v/>
      </c>
      <c r="H91" s="36" t="str">
        <f t="array" ref="H91">IF($C91="","",INDEX(MATERIAL_MASTER!$P:$P,MATCH($C91,MATERIAL_MASTER!$A:$A,0)))</f>
        <v/>
      </c>
      <c r="I91" s="36" t="str">
        <f t="array" ref="I91">IF($C91="","",INDEX(MATERIAL_FACTOR_APPLICABILITY!$D:$D,MATCH($C91,MATERIAL_FACTOR_APPLICABILITY!$A:$A,0)))</f>
        <v/>
      </c>
      <c r="J91" s="36" t="str">
        <f t="array" ref="J91">IF($C91="","",INDEX(MATERIAL_FACTOR_APPLICABILITY!$E:$E,MATCH($C91,MATERIAL_FACTOR_APPLICABILITY!$A:$A,0)))</f>
        <v/>
      </c>
      <c r="K91" s="36" t="str">
        <f t="array" ref="K91">IF($C91="","",INDEX(MATERIAL_FACTOR_APPLICABILITY!$F:$F,MATCH($C91,MATERIAL_FACTOR_APPLICABILITY!$A:$A,0)))</f>
        <v/>
      </c>
      <c r="L91" s="36" t="str">
        <f t="array" ref="L91">IF($C91="","",INDEX(MATERIAL_FACTOR_APPLICABILITY!$G:$G,MATCH($C91,MATERIAL_FACTOR_APPLICABILITY!$A:$A,0)))</f>
        <v/>
      </c>
      <c r="M91" s="36" t="str">
        <f t="array" ref="M91">IF($C91="","",INDEX(MATERIAL_FACTOR_APPLICABILITY!$H:$H,MATCH($C91,MATERIAL_FACTOR_APPLICABILITY!$A:$A,0)))</f>
        <v/>
      </c>
      <c r="N91" s="36" t="str">
        <f>IF($B91="","",ROUND(1+($I91*(SUMIFS(OBJECT_CONDITIONS!$W:$W,OBJECT_CONDITIONS!$A:$A,$B91)-1))+($J91*(SUMIFS(OBJECT_CONDITIONS!$J:$J,OBJECT_CONDITIONS!$A:$A,$B91)-1))+($K91*(SUMIFS(OBJECT_CONDITIONS!$L:$L,OBJECT_CONDITIONS!$A:$A,$B91)-1))+($L91*(SUMIFS(OBJECT_CONDITIONS!$N:$N,OBJECT_CONDITIONS!$A:$A,$B91)-1))+($M91*(SUMIFS(OBJECT_CONDITIONS!$R:$R,OBJECT_CONDITIONS!$A:$A,$B91)-1)),3))</f>
        <v/>
      </c>
      <c r="O91" s="36"/>
      <c r="P91" s="36" t="str">
        <f t="shared" si="1"/>
        <v/>
      </c>
      <c r="Q91" s="36" t="str">
        <f t="shared" si="2"/>
        <v/>
      </c>
      <c r="R91" s="11" t="str">
        <f t="array" ref="R91">IF($D91="","",IFERROR(INDEX(MATERIAL_VARIANTS!$O:$O,MATCH($D91,MATERIAL_VARIANTS!$A:$A,0)),""))</f>
        <v/>
      </c>
      <c r="S91" s="36" t="str">
        <f t="array" ref="S91">IF($D91="","",IFERROR(INDEX(MATERIAL_VARIANTS!$P:$P,MATCH($D91,MATERIAL_VARIANTS!$A:$A,0)),""))</f>
        <v/>
      </c>
      <c r="T91" s="11" t="str">
        <f t="shared" si="3"/>
        <v/>
      </c>
      <c r="U91" s="11"/>
    </row>
    <row r="92" ht="14.25" customHeight="1">
      <c r="A92" s="11"/>
      <c r="B92" s="11"/>
      <c r="C92" s="11"/>
      <c r="D92" s="11"/>
      <c r="E92" s="11"/>
      <c r="F92" s="11"/>
      <c r="G92" s="11" t="str">
        <f t="array" ref="G92">IF($C92="","",INDEX(MATERIAL_MASTER!$O:$O,MATCH($C92,MATERIAL_MASTER!$A:$A,0)))</f>
        <v/>
      </c>
      <c r="H92" s="36" t="str">
        <f t="array" ref="H92">IF($C92="","",INDEX(MATERIAL_MASTER!$P:$P,MATCH($C92,MATERIAL_MASTER!$A:$A,0)))</f>
        <v/>
      </c>
      <c r="I92" s="36" t="str">
        <f t="array" ref="I92">IF($C92="","",INDEX(MATERIAL_FACTOR_APPLICABILITY!$D:$D,MATCH($C92,MATERIAL_FACTOR_APPLICABILITY!$A:$A,0)))</f>
        <v/>
      </c>
      <c r="J92" s="36" t="str">
        <f t="array" ref="J92">IF($C92="","",INDEX(MATERIAL_FACTOR_APPLICABILITY!$E:$E,MATCH($C92,MATERIAL_FACTOR_APPLICABILITY!$A:$A,0)))</f>
        <v/>
      </c>
      <c r="K92" s="36" t="str">
        <f t="array" ref="K92">IF($C92="","",INDEX(MATERIAL_FACTOR_APPLICABILITY!$F:$F,MATCH($C92,MATERIAL_FACTOR_APPLICABILITY!$A:$A,0)))</f>
        <v/>
      </c>
      <c r="L92" s="36" t="str">
        <f t="array" ref="L92">IF($C92="","",INDEX(MATERIAL_FACTOR_APPLICABILITY!$G:$G,MATCH($C92,MATERIAL_FACTOR_APPLICABILITY!$A:$A,0)))</f>
        <v/>
      </c>
      <c r="M92" s="36" t="str">
        <f t="array" ref="M92">IF($C92="","",INDEX(MATERIAL_FACTOR_APPLICABILITY!$H:$H,MATCH($C92,MATERIAL_FACTOR_APPLICABILITY!$A:$A,0)))</f>
        <v/>
      </c>
      <c r="N92" s="36" t="str">
        <f>IF($B92="","",ROUND(1+($I92*(SUMIFS(OBJECT_CONDITIONS!$W:$W,OBJECT_CONDITIONS!$A:$A,$B92)-1))+($J92*(SUMIFS(OBJECT_CONDITIONS!$J:$J,OBJECT_CONDITIONS!$A:$A,$B92)-1))+($K92*(SUMIFS(OBJECT_CONDITIONS!$L:$L,OBJECT_CONDITIONS!$A:$A,$B92)-1))+($L92*(SUMIFS(OBJECT_CONDITIONS!$N:$N,OBJECT_CONDITIONS!$A:$A,$B92)-1))+($M92*(SUMIFS(OBJECT_CONDITIONS!$R:$R,OBJECT_CONDITIONS!$A:$A,$B92)-1)),3))</f>
        <v/>
      </c>
      <c r="O92" s="36"/>
      <c r="P92" s="36" t="str">
        <f t="shared" si="1"/>
        <v/>
      </c>
      <c r="Q92" s="36" t="str">
        <f t="shared" si="2"/>
        <v/>
      </c>
      <c r="R92" s="11" t="str">
        <f t="array" ref="R92">IF($D92="","",IFERROR(INDEX(MATERIAL_VARIANTS!$O:$O,MATCH($D92,MATERIAL_VARIANTS!$A:$A,0)),""))</f>
        <v/>
      </c>
      <c r="S92" s="36" t="str">
        <f t="array" ref="S92">IF($D92="","",IFERROR(INDEX(MATERIAL_VARIANTS!$P:$P,MATCH($D92,MATERIAL_VARIANTS!$A:$A,0)),""))</f>
        <v/>
      </c>
      <c r="T92" s="11" t="str">
        <f t="shared" si="3"/>
        <v/>
      </c>
      <c r="U92" s="11"/>
    </row>
    <row r="93" ht="14.25" customHeight="1">
      <c r="A93" s="11"/>
      <c r="B93" s="11"/>
      <c r="C93" s="11"/>
      <c r="D93" s="11"/>
      <c r="E93" s="11"/>
      <c r="F93" s="11"/>
      <c r="G93" s="11" t="str">
        <f t="array" ref="G93">IF($C93="","",INDEX(MATERIAL_MASTER!$O:$O,MATCH($C93,MATERIAL_MASTER!$A:$A,0)))</f>
        <v/>
      </c>
      <c r="H93" s="36" t="str">
        <f t="array" ref="H93">IF($C93="","",INDEX(MATERIAL_MASTER!$P:$P,MATCH($C93,MATERIAL_MASTER!$A:$A,0)))</f>
        <v/>
      </c>
      <c r="I93" s="36" t="str">
        <f t="array" ref="I93">IF($C93="","",INDEX(MATERIAL_FACTOR_APPLICABILITY!$D:$D,MATCH($C93,MATERIAL_FACTOR_APPLICABILITY!$A:$A,0)))</f>
        <v/>
      </c>
      <c r="J93" s="36" t="str">
        <f t="array" ref="J93">IF($C93="","",INDEX(MATERIAL_FACTOR_APPLICABILITY!$E:$E,MATCH($C93,MATERIAL_FACTOR_APPLICABILITY!$A:$A,0)))</f>
        <v/>
      </c>
      <c r="K93" s="36" t="str">
        <f t="array" ref="K93">IF($C93="","",INDEX(MATERIAL_FACTOR_APPLICABILITY!$F:$F,MATCH($C93,MATERIAL_FACTOR_APPLICABILITY!$A:$A,0)))</f>
        <v/>
      </c>
      <c r="L93" s="36" t="str">
        <f t="array" ref="L93">IF($C93="","",INDEX(MATERIAL_FACTOR_APPLICABILITY!$G:$G,MATCH($C93,MATERIAL_FACTOR_APPLICABILITY!$A:$A,0)))</f>
        <v/>
      </c>
      <c r="M93" s="36" t="str">
        <f t="array" ref="M93">IF($C93="","",INDEX(MATERIAL_FACTOR_APPLICABILITY!$H:$H,MATCH($C93,MATERIAL_FACTOR_APPLICABILITY!$A:$A,0)))</f>
        <v/>
      </c>
      <c r="N93" s="36" t="str">
        <f>IF($B93="","",ROUND(1+($I93*(SUMIFS(OBJECT_CONDITIONS!$W:$W,OBJECT_CONDITIONS!$A:$A,$B93)-1))+($J93*(SUMIFS(OBJECT_CONDITIONS!$J:$J,OBJECT_CONDITIONS!$A:$A,$B93)-1))+($K93*(SUMIFS(OBJECT_CONDITIONS!$L:$L,OBJECT_CONDITIONS!$A:$A,$B93)-1))+($L93*(SUMIFS(OBJECT_CONDITIONS!$N:$N,OBJECT_CONDITIONS!$A:$A,$B93)-1))+($M93*(SUMIFS(OBJECT_CONDITIONS!$R:$R,OBJECT_CONDITIONS!$A:$A,$B93)-1)),3))</f>
        <v/>
      </c>
      <c r="O93" s="36"/>
      <c r="P93" s="36" t="str">
        <f t="shared" si="1"/>
        <v/>
      </c>
      <c r="Q93" s="36" t="str">
        <f t="shared" si="2"/>
        <v/>
      </c>
      <c r="R93" s="11" t="str">
        <f t="array" ref="R93">IF($D93="","",IFERROR(INDEX(MATERIAL_VARIANTS!$O:$O,MATCH($D93,MATERIAL_VARIANTS!$A:$A,0)),""))</f>
        <v/>
      </c>
      <c r="S93" s="36" t="str">
        <f t="array" ref="S93">IF($D93="","",IFERROR(INDEX(MATERIAL_VARIANTS!$P:$P,MATCH($D93,MATERIAL_VARIANTS!$A:$A,0)),""))</f>
        <v/>
      </c>
      <c r="T93" s="11" t="str">
        <f t="shared" si="3"/>
        <v/>
      </c>
      <c r="U93" s="11"/>
    </row>
    <row r="94" ht="14.25" customHeight="1">
      <c r="A94" s="11"/>
      <c r="B94" s="11"/>
      <c r="C94" s="11"/>
      <c r="D94" s="11"/>
      <c r="E94" s="11"/>
      <c r="F94" s="11"/>
      <c r="G94" s="11" t="str">
        <f t="array" ref="G94">IF($C94="","",INDEX(MATERIAL_MASTER!$O:$O,MATCH($C94,MATERIAL_MASTER!$A:$A,0)))</f>
        <v/>
      </c>
      <c r="H94" s="36" t="str">
        <f t="array" ref="H94">IF($C94="","",INDEX(MATERIAL_MASTER!$P:$P,MATCH($C94,MATERIAL_MASTER!$A:$A,0)))</f>
        <v/>
      </c>
      <c r="I94" s="36" t="str">
        <f t="array" ref="I94">IF($C94="","",INDEX(MATERIAL_FACTOR_APPLICABILITY!$D:$D,MATCH($C94,MATERIAL_FACTOR_APPLICABILITY!$A:$A,0)))</f>
        <v/>
      </c>
      <c r="J94" s="36" t="str">
        <f t="array" ref="J94">IF($C94="","",INDEX(MATERIAL_FACTOR_APPLICABILITY!$E:$E,MATCH($C94,MATERIAL_FACTOR_APPLICABILITY!$A:$A,0)))</f>
        <v/>
      </c>
      <c r="K94" s="36" t="str">
        <f t="array" ref="K94">IF($C94="","",INDEX(MATERIAL_FACTOR_APPLICABILITY!$F:$F,MATCH($C94,MATERIAL_FACTOR_APPLICABILITY!$A:$A,0)))</f>
        <v/>
      </c>
      <c r="L94" s="36" t="str">
        <f t="array" ref="L94">IF($C94="","",INDEX(MATERIAL_FACTOR_APPLICABILITY!$G:$G,MATCH($C94,MATERIAL_FACTOR_APPLICABILITY!$A:$A,0)))</f>
        <v/>
      </c>
      <c r="M94" s="36" t="str">
        <f t="array" ref="M94">IF($C94="","",INDEX(MATERIAL_FACTOR_APPLICABILITY!$H:$H,MATCH($C94,MATERIAL_FACTOR_APPLICABILITY!$A:$A,0)))</f>
        <v/>
      </c>
      <c r="N94" s="36" t="str">
        <f>IF($B94="","",ROUND(1+($I94*(SUMIFS(OBJECT_CONDITIONS!$W:$W,OBJECT_CONDITIONS!$A:$A,$B94)-1))+($J94*(SUMIFS(OBJECT_CONDITIONS!$J:$J,OBJECT_CONDITIONS!$A:$A,$B94)-1))+($K94*(SUMIFS(OBJECT_CONDITIONS!$L:$L,OBJECT_CONDITIONS!$A:$A,$B94)-1))+($L94*(SUMIFS(OBJECT_CONDITIONS!$N:$N,OBJECT_CONDITIONS!$A:$A,$B94)-1))+($M94*(SUMIFS(OBJECT_CONDITIONS!$R:$R,OBJECT_CONDITIONS!$A:$A,$B94)-1)),3))</f>
        <v/>
      </c>
      <c r="O94" s="36"/>
      <c r="P94" s="36" t="str">
        <f t="shared" si="1"/>
        <v/>
      </c>
      <c r="Q94" s="36" t="str">
        <f t="shared" si="2"/>
        <v/>
      </c>
      <c r="R94" s="11" t="str">
        <f t="array" ref="R94">IF($D94="","",IFERROR(INDEX(MATERIAL_VARIANTS!$O:$O,MATCH($D94,MATERIAL_VARIANTS!$A:$A,0)),""))</f>
        <v/>
      </c>
      <c r="S94" s="36" t="str">
        <f t="array" ref="S94">IF($D94="","",IFERROR(INDEX(MATERIAL_VARIANTS!$P:$P,MATCH($D94,MATERIAL_VARIANTS!$A:$A,0)),""))</f>
        <v/>
      </c>
      <c r="T94" s="11" t="str">
        <f t="shared" si="3"/>
        <v/>
      </c>
      <c r="U94" s="11"/>
    </row>
    <row r="95" ht="14.25" customHeight="1">
      <c r="A95" s="11"/>
      <c r="B95" s="11"/>
      <c r="C95" s="11"/>
      <c r="D95" s="11"/>
      <c r="E95" s="11"/>
      <c r="F95" s="11"/>
      <c r="G95" s="11" t="str">
        <f t="array" ref="G95">IF($C95="","",INDEX(MATERIAL_MASTER!$O:$O,MATCH($C95,MATERIAL_MASTER!$A:$A,0)))</f>
        <v/>
      </c>
      <c r="H95" s="36" t="str">
        <f t="array" ref="H95">IF($C95="","",INDEX(MATERIAL_MASTER!$P:$P,MATCH($C95,MATERIAL_MASTER!$A:$A,0)))</f>
        <v/>
      </c>
      <c r="I95" s="36" t="str">
        <f t="array" ref="I95">IF($C95="","",INDEX(MATERIAL_FACTOR_APPLICABILITY!$D:$D,MATCH($C95,MATERIAL_FACTOR_APPLICABILITY!$A:$A,0)))</f>
        <v/>
      </c>
      <c r="J95" s="36" t="str">
        <f t="array" ref="J95">IF($C95="","",INDEX(MATERIAL_FACTOR_APPLICABILITY!$E:$E,MATCH($C95,MATERIAL_FACTOR_APPLICABILITY!$A:$A,0)))</f>
        <v/>
      </c>
      <c r="K95" s="36" t="str">
        <f t="array" ref="K95">IF($C95="","",INDEX(MATERIAL_FACTOR_APPLICABILITY!$F:$F,MATCH($C95,MATERIAL_FACTOR_APPLICABILITY!$A:$A,0)))</f>
        <v/>
      </c>
      <c r="L95" s="36" t="str">
        <f t="array" ref="L95">IF($C95="","",INDEX(MATERIAL_FACTOR_APPLICABILITY!$G:$G,MATCH($C95,MATERIAL_FACTOR_APPLICABILITY!$A:$A,0)))</f>
        <v/>
      </c>
      <c r="M95" s="36" t="str">
        <f t="array" ref="M95">IF($C95="","",INDEX(MATERIAL_FACTOR_APPLICABILITY!$H:$H,MATCH($C95,MATERIAL_FACTOR_APPLICABILITY!$A:$A,0)))</f>
        <v/>
      </c>
      <c r="N95" s="36" t="str">
        <f>IF($B95="","",ROUND(1+($I95*(SUMIFS(OBJECT_CONDITIONS!$W:$W,OBJECT_CONDITIONS!$A:$A,$B95)-1))+($J95*(SUMIFS(OBJECT_CONDITIONS!$J:$J,OBJECT_CONDITIONS!$A:$A,$B95)-1))+($K95*(SUMIFS(OBJECT_CONDITIONS!$L:$L,OBJECT_CONDITIONS!$A:$A,$B95)-1))+($L95*(SUMIFS(OBJECT_CONDITIONS!$N:$N,OBJECT_CONDITIONS!$A:$A,$B95)-1))+($M95*(SUMIFS(OBJECT_CONDITIONS!$R:$R,OBJECT_CONDITIONS!$A:$A,$B95)-1)),3))</f>
        <v/>
      </c>
      <c r="O95" s="36"/>
      <c r="P95" s="36" t="str">
        <f t="shared" si="1"/>
        <v/>
      </c>
      <c r="Q95" s="36" t="str">
        <f t="shared" si="2"/>
        <v/>
      </c>
      <c r="R95" s="11" t="str">
        <f t="array" ref="R95">IF($D95="","",IFERROR(INDEX(MATERIAL_VARIANTS!$O:$O,MATCH($D95,MATERIAL_VARIANTS!$A:$A,0)),""))</f>
        <v/>
      </c>
      <c r="S95" s="36" t="str">
        <f t="array" ref="S95">IF($D95="","",IFERROR(INDEX(MATERIAL_VARIANTS!$P:$P,MATCH($D95,MATERIAL_VARIANTS!$A:$A,0)),""))</f>
        <v/>
      </c>
      <c r="T95" s="11" t="str">
        <f t="shared" si="3"/>
        <v/>
      </c>
      <c r="U95" s="11"/>
    </row>
    <row r="96" ht="14.25" customHeight="1">
      <c r="A96" s="11"/>
      <c r="B96" s="11"/>
      <c r="C96" s="11"/>
      <c r="D96" s="11"/>
      <c r="E96" s="11"/>
      <c r="F96" s="11"/>
      <c r="G96" s="11" t="str">
        <f t="array" ref="G96">IF($C96="","",INDEX(MATERIAL_MASTER!$O:$O,MATCH($C96,MATERIAL_MASTER!$A:$A,0)))</f>
        <v/>
      </c>
      <c r="H96" s="36" t="str">
        <f t="array" ref="H96">IF($C96="","",INDEX(MATERIAL_MASTER!$P:$P,MATCH($C96,MATERIAL_MASTER!$A:$A,0)))</f>
        <v/>
      </c>
      <c r="I96" s="36" t="str">
        <f t="array" ref="I96">IF($C96="","",INDEX(MATERIAL_FACTOR_APPLICABILITY!$D:$D,MATCH($C96,MATERIAL_FACTOR_APPLICABILITY!$A:$A,0)))</f>
        <v/>
      </c>
      <c r="J96" s="36" t="str">
        <f t="array" ref="J96">IF($C96="","",INDEX(MATERIAL_FACTOR_APPLICABILITY!$E:$E,MATCH($C96,MATERIAL_FACTOR_APPLICABILITY!$A:$A,0)))</f>
        <v/>
      </c>
      <c r="K96" s="36" t="str">
        <f t="array" ref="K96">IF($C96="","",INDEX(MATERIAL_FACTOR_APPLICABILITY!$F:$F,MATCH($C96,MATERIAL_FACTOR_APPLICABILITY!$A:$A,0)))</f>
        <v/>
      </c>
      <c r="L96" s="36" t="str">
        <f t="array" ref="L96">IF($C96="","",INDEX(MATERIAL_FACTOR_APPLICABILITY!$G:$G,MATCH($C96,MATERIAL_FACTOR_APPLICABILITY!$A:$A,0)))</f>
        <v/>
      </c>
      <c r="M96" s="36" t="str">
        <f t="array" ref="M96">IF($C96="","",INDEX(MATERIAL_FACTOR_APPLICABILITY!$H:$H,MATCH($C96,MATERIAL_FACTOR_APPLICABILITY!$A:$A,0)))</f>
        <v/>
      </c>
      <c r="N96" s="36" t="str">
        <f>IF($B96="","",ROUND(1+($I96*(SUMIFS(OBJECT_CONDITIONS!$W:$W,OBJECT_CONDITIONS!$A:$A,$B96)-1))+($J96*(SUMIFS(OBJECT_CONDITIONS!$J:$J,OBJECT_CONDITIONS!$A:$A,$B96)-1))+($K96*(SUMIFS(OBJECT_CONDITIONS!$L:$L,OBJECT_CONDITIONS!$A:$A,$B96)-1))+($L96*(SUMIFS(OBJECT_CONDITIONS!$N:$N,OBJECT_CONDITIONS!$A:$A,$B96)-1))+($M96*(SUMIFS(OBJECT_CONDITIONS!$R:$R,OBJECT_CONDITIONS!$A:$A,$B96)-1)),3))</f>
        <v/>
      </c>
      <c r="O96" s="36"/>
      <c r="P96" s="36" t="str">
        <f t="shared" si="1"/>
        <v/>
      </c>
      <c r="Q96" s="36" t="str">
        <f t="shared" si="2"/>
        <v/>
      </c>
      <c r="R96" s="11" t="str">
        <f t="array" ref="R96">IF($D96="","",IFERROR(INDEX(MATERIAL_VARIANTS!$O:$O,MATCH($D96,MATERIAL_VARIANTS!$A:$A,0)),""))</f>
        <v/>
      </c>
      <c r="S96" s="36" t="str">
        <f t="array" ref="S96">IF($D96="","",IFERROR(INDEX(MATERIAL_VARIANTS!$P:$P,MATCH($D96,MATERIAL_VARIANTS!$A:$A,0)),""))</f>
        <v/>
      </c>
      <c r="T96" s="11" t="str">
        <f t="shared" si="3"/>
        <v/>
      </c>
      <c r="U96" s="11"/>
    </row>
    <row r="97" ht="14.25" customHeight="1">
      <c r="A97" s="11"/>
      <c r="B97" s="11"/>
      <c r="C97" s="11"/>
      <c r="D97" s="11"/>
      <c r="E97" s="11"/>
      <c r="F97" s="11"/>
      <c r="G97" s="11" t="str">
        <f t="array" ref="G97">IF($C97="","",INDEX(MATERIAL_MASTER!$O:$O,MATCH($C97,MATERIAL_MASTER!$A:$A,0)))</f>
        <v/>
      </c>
      <c r="H97" s="36" t="str">
        <f t="array" ref="H97">IF($C97="","",INDEX(MATERIAL_MASTER!$P:$P,MATCH($C97,MATERIAL_MASTER!$A:$A,0)))</f>
        <v/>
      </c>
      <c r="I97" s="36" t="str">
        <f t="array" ref="I97">IF($C97="","",INDEX(MATERIAL_FACTOR_APPLICABILITY!$D:$D,MATCH($C97,MATERIAL_FACTOR_APPLICABILITY!$A:$A,0)))</f>
        <v/>
      </c>
      <c r="J97" s="36" t="str">
        <f t="array" ref="J97">IF($C97="","",INDEX(MATERIAL_FACTOR_APPLICABILITY!$E:$E,MATCH($C97,MATERIAL_FACTOR_APPLICABILITY!$A:$A,0)))</f>
        <v/>
      </c>
      <c r="K97" s="36" t="str">
        <f t="array" ref="K97">IF($C97="","",INDEX(MATERIAL_FACTOR_APPLICABILITY!$F:$F,MATCH($C97,MATERIAL_FACTOR_APPLICABILITY!$A:$A,0)))</f>
        <v/>
      </c>
      <c r="L97" s="36" t="str">
        <f t="array" ref="L97">IF($C97="","",INDEX(MATERIAL_FACTOR_APPLICABILITY!$G:$G,MATCH($C97,MATERIAL_FACTOR_APPLICABILITY!$A:$A,0)))</f>
        <v/>
      </c>
      <c r="M97" s="36" t="str">
        <f t="array" ref="M97">IF($C97="","",INDEX(MATERIAL_FACTOR_APPLICABILITY!$H:$H,MATCH($C97,MATERIAL_FACTOR_APPLICABILITY!$A:$A,0)))</f>
        <v/>
      </c>
      <c r="N97" s="36" t="str">
        <f>IF($B97="","",ROUND(1+($I97*(SUMIFS(OBJECT_CONDITIONS!$W:$W,OBJECT_CONDITIONS!$A:$A,$B97)-1))+($J97*(SUMIFS(OBJECT_CONDITIONS!$J:$J,OBJECT_CONDITIONS!$A:$A,$B97)-1))+($K97*(SUMIFS(OBJECT_CONDITIONS!$L:$L,OBJECT_CONDITIONS!$A:$A,$B97)-1))+($L97*(SUMIFS(OBJECT_CONDITIONS!$N:$N,OBJECT_CONDITIONS!$A:$A,$B97)-1))+($M97*(SUMIFS(OBJECT_CONDITIONS!$R:$R,OBJECT_CONDITIONS!$A:$A,$B97)-1)),3))</f>
        <v/>
      </c>
      <c r="O97" s="36"/>
      <c r="P97" s="36" t="str">
        <f t="shared" si="1"/>
        <v/>
      </c>
      <c r="Q97" s="36" t="str">
        <f t="shared" si="2"/>
        <v/>
      </c>
      <c r="R97" s="11" t="str">
        <f t="array" ref="R97">IF($D97="","",IFERROR(INDEX(MATERIAL_VARIANTS!$O:$O,MATCH($D97,MATERIAL_VARIANTS!$A:$A,0)),""))</f>
        <v/>
      </c>
      <c r="S97" s="36" t="str">
        <f t="array" ref="S97">IF($D97="","",IFERROR(INDEX(MATERIAL_VARIANTS!$P:$P,MATCH($D97,MATERIAL_VARIANTS!$A:$A,0)),""))</f>
        <v/>
      </c>
      <c r="T97" s="11" t="str">
        <f t="shared" si="3"/>
        <v/>
      </c>
      <c r="U97" s="11"/>
    </row>
    <row r="98" ht="14.25" customHeight="1">
      <c r="A98" s="11"/>
      <c r="B98" s="11"/>
      <c r="C98" s="11"/>
      <c r="D98" s="11"/>
      <c r="E98" s="11"/>
      <c r="F98" s="11"/>
      <c r="G98" s="11" t="str">
        <f t="array" ref="G98">IF($C98="","",INDEX(MATERIAL_MASTER!$O:$O,MATCH($C98,MATERIAL_MASTER!$A:$A,0)))</f>
        <v/>
      </c>
      <c r="H98" s="36" t="str">
        <f t="array" ref="H98">IF($C98="","",INDEX(MATERIAL_MASTER!$P:$P,MATCH($C98,MATERIAL_MASTER!$A:$A,0)))</f>
        <v/>
      </c>
      <c r="I98" s="36" t="str">
        <f t="array" ref="I98">IF($C98="","",INDEX(MATERIAL_FACTOR_APPLICABILITY!$D:$D,MATCH($C98,MATERIAL_FACTOR_APPLICABILITY!$A:$A,0)))</f>
        <v/>
      </c>
      <c r="J98" s="36" t="str">
        <f t="array" ref="J98">IF($C98="","",INDEX(MATERIAL_FACTOR_APPLICABILITY!$E:$E,MATCH($C98,MATERIAL_FACTOR_APPLICABILITY!$A:$A,0)))</f>
        <v/>
      </c>
      <c r="K98" s="36" t="str">
        <f t="array" ref="K98">IF($C98="","",INDEX(MATERIAL_FACTOR_APPLICABILITY!$F:$F,MATCH($C98,MATERIAL_FACTOR_APPLICABILITY!$A:$A,0)))</f>
        <v/>
      </c>
      <c r="L98" s="36" t="str">
        <f t="array" ref="L98">IF($C98="","",INDEX(MATERIAL_FACTOR_APPLICABILITY!$G:$G,MATCH($C98,MATERIAL_FACTOR_APPLICABILITY!$A:$A,0)))</f>
        <v/>
      </c>
      <c r="M98" s="36" t="str">
        <f t="array" ref="M98">IF($C98="","",INDEX(MATERIAL_FACTOR_APPLICABILITY!$H:$H,MATCH($C98,MATERIAL_FACTOR_APPLICABILITY!$A:$A,0)))</f>
        <v/>
      </c>
      <c r="N98" s="36" t="str">
        <f>IF($B98="","",ROUND(1+($I98*(SUMIFS(OBJECT_CONDITIONS!$W:$W,OBJECT_CONDITIONS!$A:$A,$B98)-1))+($J98*(SUMIFS(OBJECT_CONDITIONS!$J:$J,OBJECT_CONDITIONS!$A:$A,$B98)-1))+($K98*(SUMIFS(OBJECT_CONDITIONS!$L:$L,OBJECT_CONDITIONS!$A:$A,$B98)-1))+($L98*(SUMIFS(OBJECT_CONDITIONS!$N:$N,OBJECT_CONDITIONS!$A:$A,$B98)-1))+($M98*(SUMIFS(OBJECT_CONDITIONS!$R:$R,OBJECT_CONDITIONS!$A:$A,$B98)-1)),3))</f>
        <v/>
      </c>
      <c r="O98" s="36"/>
      <c r="P98" s="36" t="str">
        <f t="shared" si="1"/>
        <v/>
      </c>
      <c r="Q98" s="36" t="str">
        <f t="shared" si="2"/>
        <v/>
      </c>
      <c r="R98" s="11" t="str">
        <f t="array" ref="R98">IF($D98="","",IFERROR(INDEX(MATERIAL_VARIANTS!$O:$O,MATCH($D98,MATERIAL_VARIANTS!$A:$A,0)),""))</f>
        <v/>
      </c>
      <c r="S98" s="36" t="str">
        <f t="array" ref="S98">IF($D98="","",IFERROR(INDEX(MATERIAL_VARIANTS!$P:$P,MATCH($D98,MATERIAL_VARIANTS!$A:$A,0)),""))</f>
        <v/>
      </c>
      <c r="T98" s="11" t="str">
        <f t="shared" si="3"/>
        <v/>
      </c>
      <c r="U98" s="11"/>
    </row>
    <row r="99" ht="14.25" customHeight="1">
      <c r="A99" s="11"/>
      <c r="B99" s="11"/>
      <c r="C99" s="11"/>
      <c r="D99" s="11"/>
      <c r="E99" s="11"/>
      <c r="F99" s="11"/>
      <c r="G99" s="11" t="str">
        <f t="array" ref="G99">IF($C99="","",INDEX(MATERIAL_MASTER!$O:$O,MATCH($C99,MATERIAL_MASTER!$A:$A,0)))</f>
        <v/>
      </c>
      <c r="H99" s="36" t="str">
        <f t="array" ref="H99">IF($C99="","",INDEX(MATERIAL_MASTER!$P:$P,MATCH($C99,MATERIAL_MASTER!$A:$A,0)))</f>
        <v/>
      </c>
      <c r="I99" s="36" t="str">
        <f t="array" ref="I99">IF($C99="","",INDEX(MATERIAL_FACTOR_APPLICABILITY!$D:$D,MATCH($C99,MATERIAL_FACTOR_APPLICABILITY!$A:$A,0)))</f>
        <v/>
      </c>
      <c r="J99" s="36" t="str">
        <f t="array" ref="J99">IF($C99="","",INDEX(MATERIAL_FACTOR_APPLICABILITY!$E:$E,MATCH($C99,MATERIAL_FACTOR_APPLICABILITY!$A:$A,0)))</f>
        <v/>
      </c>
      <c r="K99" s="36" t="str">
        <f t="array" ref="K99">IF($C99="","",INDEX(MATERIAL_FACTOR_APPLICABILITY!$F:$F,MATCH($C99,MATERIAL_FACTOR_APPLICABILITY!$A:$A,0)))</f>
        <v/>
      </c>
      <c r="L99" s="36" t="str">
        <f t="array" ref="L99">IF($C99="","",INDEX(MATERIAL_FACTOR_APPLICABILITY!$G:$G,MATCH($C99,MATERIAL_FACTOR_APPLICABILITY!$A:$A,0)))</f>
        <v/>
      </c>
      <c r="M99" s="36" t="str">
        <f t="array" ref="M99">IF($C99="","",INDEX(MATERIAL_FACTOR_APPLICABILITY!$H:$H,MATCH($C99,MATERIAL_FACTOR_APPLICABILITY!$A:$A,0)))</f>
        <v/>
      </c>
      <c r="N99" s="36" t="str">
        <f>IF($B99="","",ROUND(1+($I99*(SUMIFS(OBJECT_CONDITIONS!$W:$W,OBJECT_CONDITIONS!$A:$A,$B99)-1))+($J99*(SUMIFS(OBJECT_CONDITIONS!$J:$J,OBJECT_CONDITIONS!$A:$A,$B99)-1))+($K99*(SUMIFS(OBJECT_CONDITIONS!$L:$L,OBJECT_CONDITIONS!$A:$A,$B99)-1))+($L99*(SUMIFS(OBJECT_CONDITIONS!$N:$N,OBJECT_CONDITIONS!$A:$A,$B99)-1))+($M99*(SUMIFS(OBJECT_CONDITIONS!$R:$R,OBJECT_CONDITIONS!$A:$A,$B99)-1)),3))</f>
        <v/>
      </c>
      <c r="O99" s="36"/>
      <c r="P99" s="36" t="str">
        <f t="shared" si="1"/>
        <v/>
      </c>
      <c r="Q99" s="36" t="str">
        <f t="shared" si="2"/>
        <v/>
      </c>
      <c r="R99" s="11" t="str">
        <f t="array" ref="R99">IF($D99="","",IFERROR(INDEX(MATERIAL_VARIANTS!$O:$O,MATCH($D99,MATERIAL_VARIANTS!$A:$A,0)),""))</f>
        <v/>
      </c>
      <c r="S99" s="36" t="str">
        <f t="array" ref="S99">IF($D99="","",IFERROR(INDEX(MATERIAL_VARIANTS!$P:$P,MATCH($D99,MATERIAL_VARIANTS!$A:$A,0)),""))</f>
        <v/>
      </c>
      <c r="T99" s="11" t="str">
        <f t="shared" si="3"/>
        <v/>
      </c>
      <c r="U99" s="11"/>
    </row>
    <row r="100" ht="14.25" customHeight="1">
      <c r="A100" s="11"/>
      <c r="B100" s="11"/>
      <c r="C100" s="11"/>
      <c r="D100" s="11"/>
      <c r="E100" s="11"/>
      <c r="F100" s="11"/>
      <c r="G100" s="11" t="str">
        <f t="array" ref="G100">IF($C100="","",INDEX(MATERIAL_MASTER!$O:$O,MATCH($C100,MATERIAL_MASTER!$A:$A,0)))</f>
        <v/>
      </c>
      <c r="H100" s="36" t="str">
        <f t="array" ref="H100">IF($C100="","",INDEX(MATERIAL_MASTER!$P:$P,MATCH($C100,MATERIAL_MASTER!$A:$A,0)))</f>
        <v/>
      </c>
      <c r="I100" s="36" t="str">
        <f t="array" ref="I100">IF($C100="","",INDEX(MATERIAL_FACTOR_APPLICABILITY!$D:$D,MATCH($C100,MATERIAL_FACTOR_APPLICABILITY!$A:$A,0)))</f>
        <v/>
      </c>
      <c r="J100" s="36" t="str">
        <f t="array" ref="J100">IF($C100="","",INDEX(MATERIAL_FACTOR_APPLICABILITY!$E:$E,MATCH($C100,MATERIAL_FACTOR_APPLICABILITY!$A:$A,0)))</f>
        <v/>
      </c>
      <c r="K100" s="36" t="str">
        <f t="array" ref="K100">IF($C100="","",INDEX(MATERIAL_FACTOR_APPLICABILITY!$F:$F,MATCH($C100,MATERIAL_FACTOR_APPLICABILITY!$A:$A,0)))</f>
        <v/>
      </c>
      <c r="L100" s="36" t="str">
        <f t="array" ref="L100">IF($C100="","",INDEX(MATERIAL_FACTOR_APPLICABILITY!$G:$G,MATCH($C100,MATERIAL_FACTOR_APPLICABILITY!$A:$A,0)))</f>
        <v/>
      </c>
      <c r="M100" s="36" t="str">
        <f t="array" ref="M100">IF($C100="","",INDEX(MATERIAL_FACTOR_APPLICABILITY!$H:$H,MATCH($C100,MATERIAL_FACTOR_APPLICABILITY!$A:$A,0)))</f>
        <v/>
      </c>
      <c r="N100" s="36" t="str">
        <f>IF($B100="","",ROUND(1+($I100*(SUMIFS(OBJECT_CONDITIONS!$W:$W,OBJECT_CONDITIONS!$A:$A,$B100)-1))+($J100*(SUMIFS(OBJECT_CONDITIONS!$J:$J,OBJECT_CONDITIONS!$A:$A,$B100)-1))+($K100*(SUMIFS(OBJECT_CONDITIONS!$L:$L,OBJECT_CONDITIONS!$A:$A,$B100)-1))+($L100*(SUMIFS(OBJECT_CONDITIONS!$N:$N,OBJECT_CONDITIONS!$A:$A,$B100)-1))+($M100*(SUMIFS(OBJECT_CONDITIONS!$R:$R,OBJECT_CONDITIONS!$A:$A,$B100)-1)),3))</f>
        <v/>
      </c>
      <c r="O100" s="36"/>
      <c r="P100" s="36" t="str">
        <f t="shared" si="1"/>
        <v/>
      </c>
      <c r="Q100" s="36" t="str">
        <f t="shared" si="2"/>
        <v/>
      </c>
      <c r="R100" s="11" t="str">
        <f t="array" ref="R100">IF($D100="","",IFERROR(INDEX(MATERIAL_VARIANTS!$O:$O,MATCH($D100,MATERIAL_VARIANTS!$A:$A,0)),""))</f>
        <v/>
      </c>
      <c r="S100" s="36" t="str">
        <f t="array" ref="S100">IF($D100="","",IFERROR(INDEX(MATERIAL_VARIANTS!$P:$P,MATCH($D100,MATERIAL_VARIANTS!$A:$A,0)),""))</f>
        <v/>
      </c>
      <c r="T100" s="11" t="str">
        <f t="shared" si="3"/>
        <v/>
      </c>
      <c r="U100" s="11"/>
    </row>
    <row r="101" ht="14.25" customHeight="1">
      <c r="A101" s="11"/>
      <c r="B101" s="11"/>
      <c r="C101" s="11"/>
      <c r="D101" s="11"/>
      <c r="E101" s="11"/>
      <c r="F101" s="11"/>
      <c r="G101" s="11" t="str">
        <f t="array" ref="G101">IF($C101="","",INDEX(MATERIAL_MASTER!$O:$O,MATCH($C101,MATERIAL_MASTER!$A:$A,0)))</f>
        <v/>
      </c>
      <c r="H101" s="36" t="str">
        <f t="array" ref="H101">IF($C101="","",INDEX(MATERIAL_MASTER!$P:$P,MATCH($C101,MATERIAL_MASTER!$A:$A,0)))</f>
        <v/>
      </c>
      <c r="I101" s="36" t="str">
        <f t="array" ref="I101">IF($C101="","",INDEX(MATERIAL_FACTOR_APPLICABILITY!$D:$D,MATCH($C101,MATERIAL_FACTOR_APPLICABILITY!$A:$A,0)))</f>
        <v/>
      </c>
      <c r="J101" s="36" t="str">
        <f t="array" ref="J101">IF($C101="","",INDEX(MATERIAL_FACTOR_APPLICABILITY!$E:$E,MATCH($C101,MATERIAL_FACTOR_APPLICABILITY!$A:$A,0)))</f>
        <v/>
      </c>
      <c r="K101" s="36" t="str">
        <f t="array" ref="K101">IF($C101="","",INDEX(MATERIAL_FACTOR_APPLICABILITY!$F:$F,MATCH($C101,MATERIAL_FACTOR_APPLICABILITY!$A:$A,0)))</f>
        <v/>
      </c>
      <c r="L101" s="36" t="str">
        <f t="array" ref="L101">IF($C101="","",INDEX(MATERIAL_FACTOR_APPLICABILITY!$G:$G,MATCH($C101,MATERIAL_FACTOR_APPLICABILITY!$A:$A,0)))</f>
        <v/>
      </c>
      <c r="M101" s="36" t="str">
        <f t="array" ref="M101">IF($C101="","",INDEX(MATERIAL_FACTOR_APPLICABILITY!$H:$H,MATCH($C101,MATERIAL_FACTOR_APPLICABILITY!$A:$A,0)))</f>
        <v/>
      </c>
      <c r="N101" s="36" t="str">
        <f>IF($B101="","",ROUND(1+($I101*(SUMIFS(OBJECT_CONDITIONS!$W:$W,OBJECT_CONDITIONS!$A:$A,$B101)-1))+($J101*(SUMIFS(OBJECT_CONDITIONS!$J:$J,OBJECT_CONDITIONS!$A:$A,$B101)-1))+($K101*(SUMIFS(OBJECT_CONDITIONS!$L:$L,OBJECT_CONDITIONS!$A:$A,$B101)-1))+($L101*(SUMIFS(OBJECT_CONDITIONS!$N:$N,OBJECT_CONDITIONS!$A:$A,$B101)-1))+($M101*(SUMIFS(OBJECT_CONDITIONS!$R:$R,OBJECT_CONDITIONS!$A:$A,$B101)-1)),3))</f>
        <v/>
      </c>
      <c r="O101" s="36"/>
      <c r="P101" s="36" t="str">
        <f t="shared" si="1"/>
        <v/>
      </c>
      <c r="Q101" s="36" t="str">
        <f t="shared" si="2"/>
        <v/>
      </c>
      <c r="R101" s="11" t="str">
        <f t="array" ref="R101">IF($D101="","",IFERROR(INDEX(MATERIAL_VARIANTS!$O:$O,MATCH($D101,MATERIAL_VARIANTS!$A:$A,0)),""))</f>
        <v/>
      </c>
      <c r="S101" s="36" t="str">
        <f t="array" ref="S101">IF($D101="","",IFERROR(INDEX(MATERIAL_VARIANTS!$P:$P,MATCH($D101,MATERIAL_VARIANTS!$A:$A,0)),""))</f>
        <v/>
      </c>
      <c r="T101" s="11" t="str">
        <f t="shared" si="3"/>
        <v/>
      </c>
      <c r="U101" s="11"/>
    </row>
    <row r="102" ht="14.25" customHeight="1">
      <c r="A102" s="11"/>
      <c r="B102" s="11"/>
      <c r="C102" s="11"/>
      <c r="D102" s="11"/>
      <c r="E102" s="11"/>
      <c r="F102" s="11"/>
      <c r="G102" s="11" t="str">
        <f t="array" ref="G102">IF($C102="","",INDEX(MATERIAL_MASTER!$O:$O,MATCH($C102,MATERIAL_MASTER!$A:$A,0)))</f>
        <v/>
      </c>
      <c r="H102" s="36" t="str">
        <f t="array" ref="H102">IF($C102="","",INDEX(MATERIAL_MASTER!$P:$P,MATCH($C102,MATERIAL_MASTER!$A:$A,0)))</f>
        <v/>
      </c>
      <c r="I102" s="36" t="str">
        <f t="array" ref="I102">IF($C102="","",INDEX(MATERIAL_FACTOR_APPLICABILITY!$D:$D,MATCH($C102,MATERIAL_FACTOR_APPLICABILITY!$A:$A,0)))</f>
        <v/>
      </c>
      <c r="J102" s="36" t="str">
        <f t="array" ref="J102">IF($C102="","",INDEX(MATERIAL_FACTOR_APPLICABILITY!$E:$E,MATCH($C102,MATERIAL_FACTOR_APPLICABILITY!$A:$A,0)))</f>
        <v/>
      </c>
      <c r="K102" s="36" t="str">
        <f t="array" ref="K102">IF($C102="","",INDEX(MATERIAL_FACTOR_APPLICABILITY!$F:$F,MATCH($C102,MATERIAL_FACTOR_APPLICABILITY!$A:$A,0)))</f>
        <v/>
      </c>
      <c r="L102" s="36" t="str">
        <f t="array" ref="L102">IF($C102="","",INDEX(MATERIAL_FACTOR_APPLICABILITY!$G:$G,MATCH($C102,MATERIAL_FACTOR_APPLICABILITY!$A:$A,0)))</f>
        <v/>
      </c>
      <c r="M102" s="36" t="str">
        <f t="array" ref="M102">IF($C102="","",INDEX(MATERIAL_FACTOR_APPLICABILITY!$H:$H,MATCH($C102,MATERIAL_FACTOR_APPLICABILITY!$A:$A,0)))</f>
        <v/>
      </c>
      <c r="N102" s="36" t="str">
        <f>IF($B102="","",ROUND(1+($I102*(SUMIFS(OBJECT_CONDITIONS!$W:$W,OBJECT_CONDITIONS!$A:$A,$B102)-1))+($J102*(SUMIFS(OBJECT_CONDITIONS!$J:$J,OBJECT_CONDITIONS!$A:$A,$B102)-1))+($K102*(SUMIFS(OBJECT_CONDITIONS!$L:$L,OBJECT_CONDITIONS!$A:$A,$B102)-1))+($L102*(SUMIFS(OBJECT_CONDITIONS!$N:$N,OBJECT_CONDITIONS!$A:$A,$B102)-1))+($M102*(SUMIFS(OBJECT_CONDITIONS!$R:$R,OBJECT_CONDITIONS!$A:$A,$B102)-1)),3))</f>
        <v/>
      </c>
      <c r="O102" s="36"/>
      <c r="P102" s="36" t="str">
        <f t="shared" si="1"/>
        <v/>
      </c>
      <c r="Q102" s="36" t="str">
        <f t="shared" si="2"/>
        <v/>
      </c>
      <c r="R102" s="11" t="str">
        <f t="array" ref="R102">IF($D102="","",IFERROR(INDEX(MATERIAL_VARIANTS!$O:$O,MATCH($D102,MATERIAL_VARIANTS!$A:$A,0)),""))</f>
        <v/>
      </c>
      <c r="S102" s="36" t="str">
        <f t="array" ref="S102">IF($D102="","",IFERROR(INDEX(MATERIAL_VARIANTS!$P:$P,MATCH($D102,MATERIAL_VARIANTS!$A:$A,0)),""))</f>
        <v/>
      </c>
      <c r="T102" s="11" t="str">
        <f t="shared" si="3"/>
        <v/>
      </c>
      <c r="U102" s="11"/>
    </row>
    <row r="103" ht="14.25" customHeight="1">
      <c r="A103" s="11"/>
      <c r="B103" s="11"/>
      <c r="C103" s="11"/>
      <c r="D103" s="11"/>
      <c r="E103" s="11"/>
      <c r="F103" s="11"/>
      <c r="G103" s="11" t="str">
        <f t="array" ref="G103">IF($C103="","",INDEX(MATERIAL_MASTER!$O:$O,MATCH($C103,MATERIAL_MASTER!$A:$A,0)))</f>
        <v/>
      </c>
      <c r="H103" s="36" t="str">
        <f t="array" ref="H103">IF($C103="","",INDEX(MATERIAL_MASTER!$P:$P,MATCH($C103,MATERIAL_MASTER!$A:$A,0)))</f>
        <v/>
      </c>
      <c r="I103" s="36" t="str">
        <f t="array" ref="I103">IF($C103="","",INDEX(MATERIAL_FACTOR_APPLICABILITY!$D:$D,MATCH($C103,MATERIAL_FACTOR_APPLICABILITY!$A:$A,0)))</f>
        <v/>
      </c>
      <c r="J103" s="36" t="str">
        <f t="array" ref="J103">IF($C103="","",INDEX(MATERIAL_FACTOR_APPLICABILITY!$E:$E,MATCH($C103,MATERIAL_FACTOR_APPLICABILITY!$A:$A,0)))</f>
        <v/>
      </c>
      <c r="K103" s="36" t="str">
        <f t="array" ref="K103">IF($C103="","",INDEX(MATERIAL_FACTOR_APPLICABILITY!$F:$F,MATCH($C103,MATERIAL_FACTOR_APPLICABILITY!$A:$A,0)))</f>
        <v/>
      </c>
      <c r="L103" s="36" t="str">
        <f t="array" ref="L103">IF($C103="","",INDEX(MATERIAL_FACTOR_APPLICABILITY!$G:$G,MATCH($C103,MATERIAL_FACTOR_APPLICABILITY!$A:$A,0)))</f>
        <v/>
      </c>
      <c r="M103" s="36" t="str">
        <f t="array" ref="M103">IF($C103="","",INDEX(MATERIAL_FACTOR_APPLICABILITY!$H:$H,MATCH($C103,MATERIAL_FACTOR_APPLICABILITY!$A:$A,0)))</f>
        <v/>
      </c>
      <c r="N103" s="36" t="str">
        <f>IF($B103="","",ROUND(1+($I103*(SUMIFS(OBJECT_CONDITIONS!$W:$W,OBJECT_CONDITIONS!$A:$A,$B103)-1))+($J103*(SUMIFS(OBJECT_CONDITIONS!$J:$J,OBJECT_CONDITIONS!$A:$A,$B103)-1))+($K103*(SUMIFS(OBJECT_CONDITIONS!$L:$L,OBJECT_CONDITIONS!$A:$A,$B103)-1))+($L103*(SUMIFS(OBJECT_CONDITIONS!$N:$N,OBJECT_CONDITIONS!$A:$A,$B103)-1))+($M103*(SUMIFS(OBJECT_CONDITIONS!$R:$R,OBJECT_CONDITIONS!$A:$A,$B103)-1)),3))</f>
        <v/>
      </c>
      <c r="O103" s="36"/>
      <c r="P103" s="36" t="str">
        <f t="shared" si="1"/>
        <v/>
      </c>
      <c r="Q103" s="36" t="str">
        <f t="shared" si="2"/>
        <v/>
      </c>
      <c r="R103" s="11" t="str">
        <f t="array" ref="R103">IF($D103="","",IFERROR(INDEX(MATERIAL_VARIANTS!$O:$O,MATCH($D103,MATERIAL_VARIANTS!$A:$A,0)),""))</f>
        <v/>
      </c>
      <c r="S103" s="36" t="str">
        <f t="array" ref="S103">IF($D103="","",IFERROR(INDEX(MATERIAL_VARIANTS!$P:$P,MATCH($D103,MATERIAL_VARIANTS!$A:$A,0)),""))</f>
        <v/>
      </c>
      <c r="T103" s="11" t="str">
        <f t="shared" si="3"/>
        <v/>
      </c>
      <c r="U103" s="11"/>
    </row>
    <row r="104" ht="14.25" customHeight="1">
      <c r="A104" s="11"/>
      <c r="B104" s="11"/>
      <c r="C104" s="11"/>
      <c r="D104" s="11"/>
      <c r="E104" s="11"/>
      <c r="F104" s="11"/>
      <c r="G104" s="11" t="str">
        <f t="array" ref="G104">IF($C104="","",INDEX(MATERIAL_MASTER!$O:$O,MATCH($C104,MATERIAL_MASTER!$A:$A,0)))</f>
        <v/>
      </c>
      <c r="H104" s="36" t="str">
        <f t="array" ref="H104">IF($C104="","",INDEX(MATERIAL_MASTER!$P:$P,MATCH($C104,MATERIAL_MASTER!$A:$A,0)))</f>
        <v/>
      </c>
      <c r="I104" s="36" t="str">
        <f t="array" ref="I104">IF($C104="","",INDEX(MATERIAL_FACTOR_APPLICABILITY!$D:$D,MATCH($C104,MATERIAL_FACTOR_APPLICABILITY!$A:$A,0)))</f>
        <v/>
      </c>
      <c r="J104" s="36" t="str">
        <f t="array" ref="J104">IF($C104="","",INDEX(MATERIAL_FACTOR_APPLICABILITY!$E:$E,MATCH($C104,MATERIAL_FACTOR_APPLICABILITY!$A:$A,0)))</f>
        <v/>
      </c>
      <c r="K104" s="36" t="str">
        <f t="array" ref="K104">IF($C104="","",INDEX(MATERIAL_FACTOR_APPLICABILITY!$F:$F,MATCH($C104,MATERIAL_FACTOR_APPLICABILITY!$A:$A,0)))</f>
        <v/>
      </c>
      <c r="L104" s="36" t="str">
        <f t="array" ref="L104">IF($C104="","",INDEX(MATERIAL_FACTOR_APPLICABILITY!$G:$G,MATCH($C104,MATERIAL_FACTOR_APPLICABILITY!$A:$A,0)))</f>
        <v/>
      </c>
      <c r="M104" s="36" t="str">
        <f t="array" ref="M104">IF($C104="","",INDEX(MATERIAL_FACTOR_APPLICABILITY!$H:$H,MATCH($C104,MATERIAL_FACTOR_APPLICABILITY!$A:$A,0)))</f>
        <v/>
      </c>
      <c r="N104" s="36" t="str">
        <f>IF($B104="","",ROUND(1+($I104*(SUMIFS(OBJECT_CONDITIONS!$W:$W,OBJECT_CONDITIONS!$A:$A,$B104)-1))+($J104*(SUMIFS(OBJECT_CONDITIONS!$J:$J,OBJECT_CONDITIONS!$A:$A,$B104)-1))+($K104*(SUMIFS(OBJECT_CONDITIONS!$L:$L,OBJECT_CONDITIONS!$A:$A,$B104)-1))+($L104*(SUMIFS(OBJECT_CONDITIONS!$N:$N,OBJECT_CONDITIONS!$A:$A,$B104)-1))+($M104*(SUMIFS(OBJECT_CONDITIONS!$R:$R,OBJECT_CONDITIONS!$A:$A,$B104)-1)),3))</f>
        <v/>
      </c>
      <c r="O104" s="36"/>
      <c r="P104" s="36" t="str">
        <f t="shared" si="1"/>
        <v/>
      </c>
      <c r="Q104" s="36" t="str">
        <f t="shared" si="2"/>
        <v/>
      </c>
      <c r="R104" s="11" t="str">
        <f t="array" ref="R104">IF($D104="","",IFERROR(INDEX(MATERIAL_VARIANTS!$O:$O,MATCH($D104,MATERIAL_VARIANTS!$A:$A,0)),""))</f>
        <v/>
      </c>
      <c r="S104" s="36" t="str">
        <f t="array" ref="S104">IF($D104="","",IFERROR(INDEX(MATERIAL_VARIANTS!$P:$P,MATCH($D104,MATERIAL_VARIANTS!$A:$A,0)),""))</f>
        <v/>
      </c>
      <c r="T104" s="11" t="str">
        <f t="shared" si="3"/>
        <v/>
      </c>
      <c r="U104" s="11"/>
    </row>
    <row r="105" ht="14.25" customHeight="1">
      <c r="A105" s="11"/>
      <c r="B105" s="11"/>
      <c r="C105" s="11"/>
      <c r="D105" s="11"/>
      <c r="E105" s="11"/>
      <c r="F105" s="11"/>
      <c r="G105" s="11" t="str">
        <f t="array" ref="G105">IF($C105="","",INDEX(MATERIAL_MASTER!$O:$O,MATCH($C105,MATERIAL_MASTER!$A:$A,0)))</f>
        <v/>
      </c>
      <c r="H105" s="36" t="str">
        <f t="array" ref="H105">IF($C105="","",INDEX(MATERIAL_MASTER!$P:$P,MATCH($C105,MATERIAL_MASTER!$A:$A,0)))</f>
        <v/>
      </c>
      <c r="I105" s="36" t="str">
        <f t="array" ref="I105">IF($C105="","",INDEX(MATERIAL_FACTOR_APPLICABILITY!$D:$D,MATCH($C105,MATERIAL_FACTOR_APPLICABILITY!$A:$A,0)))</f>
        <v/>
      </c>
      <c r="J105" s="36" t="str">
        <f t="array" ref="J105">IF($C105="","",INDEX(MATERIAL_FACTOR_APPLICABILITY!$E:$E,MATCH($C105,MATERIAL_FACTOR_APPLICABILITY!$A:$A,0)))</f>
        <v/>
      </c>
      <c r="K105" s="36" t="str">
        <f t="array" ref="K105">IF($C105="","",INDEX(MATERIAL_FACTOR_APPLICABILITY!$F:$F,MATCH($C105,MATERIAL_FACTOR_APPLICABILITY!$A:$A,0)))</f>
        <v/>
      </c>
      <c r="L105" s="36" t="str">
        <f t="array" ref="L105">IF($C105="","",INDEX(MATERIAL_FACTOR_APPLICABILITY!$G:$G,MATCH($C105,MATERIAL_FACTOR_APPLICABILITY!$A:$A,0)))</f>
        <v/>
      </c>
      <c r="M105" s="36" t="str">
        <f t="array" ref="M105">IF($C105="","",INDEX(MATERIAL_FACTOR_APPLICABILITY!$H:$H,MATCH($C105,MATERIAL_FACTOR_APPLICABILITY!$A:$A,0)))</f>
        <v/>
      </c>
      <c r="N105" s="36" t="str">
        <f>IF($B105="","",ROUND(1+($I105*(SUMIFS(OBJECT_CONDITIONS!$W:$W,OBJECT_CONDITIONS!$A:$A,$B105)-1))+($J105*(SUMIFS(OBJECT_CONDITIONS!$J:$J,OBJECT_CONDITIONS!$A:$A,$B105)-1))+($K105*(SUMIFS(OBJECT_CONDITIONS!$L:$L,OBJECT_CONDITIONS!$A:$A,$B105)-1))+($L105*(SUMIFS(OBJECT_CONDITIONS!$N:$N,OBJECT_CONDITIONS!$A:$A,$B105)-1))+($M105*(SUMIFS(OBJECT_CONDITIONS!$R:$R,OBJECT_CONDITIONS!$A:$A,$B105)-1)),3))</f>
        <v/>
      </c>
      <c r="O105" s="36"/>
      <c r="P105" s="36" t="str">
        <f t="shared" si="1"/>
        <v/>
      </c>
      <c r="Q105" s="36" t="str">
        <f t="shared" si="2"/>
        <v/>
      </c>
      <c r="R105" s="11" t="str">
        <f t="array" ref="R105">IF($D105="","",IFERROR(INDEX(MATERIAL_VARIANTS!$O:$O,MATCH($D105,MATERIAL_VARIANTS!$A:$A,0)),""))</f>
        <v/>
      </c>
      <c r="S105" s="36" t="str">
        <f t="array" ref="S105">IF($D105="","",IFERROR(INDEX(MATERIAL_VARIANTS!$P:$P,MATCH($D105,MATERIAL_VARIANTS!$A:$A,0)),""))</f>
        <v/>
      </c>
      <c r="T105" s="11" t="str">
        <f t="shared" si="3"/>
        <v/>
      </c>
      <c r="U105" s="11"/>
    </row>
    <row r="106" ht="14.25" customHeight="1">
      <c r="A106" s="11"/>
      <c r="B106" s="11"/>
      <c r="C106" s="11"/>
      <c r="D106" s="11"/>
      <c r="E106" s="11"/>
      <c r="F106" s="11"/>
      <c r="G106" s="11" t="str">
        <f t="array" ref="G106">IF($C106="","",INDEX(MATERIAL_MASTER!$O:$O,MATCH($C106,MATERIAL_MASTER!$A:$A,0)))</f>
        <v/>
      </c>
      <c r="H106" s="36" t="str">
        <f t="array" ref="H106">IF($C106="","",INDEX(MATERIAL_MASTER!$P:$P,MATCH($C106,MATERIAL_MASTER!$A:$A,0)))</f>
        <v/>
      </c>
      <c r="I106" s="36" t="str">
        <f t="array" ref="I106">IF($C106="","",INDEX(MATERIAL_FACTOR_APPLICABILITY!$D:$D,MATCH($C106,MATERIAL_FACTOR_APPLICABILITY!$A:$A,0)))</f>
        <v/>
      </c>
      <c r="J106" s="36" t="str">
        <f t="array" ref="J106">IF($C106="","",INDEX(MATERIAL_FACTOR_APPLICABILITY!$E:$E,MATCH($C106,MATERIAL_FACTOR_APPLICABILITY!$A:$A,0)))</f>
        <v/>
      </c>
      <c r="K106" s="36" t="str">
        <f t="array" ref="K106">IF($C106="","",INDEX(MATERIAL_FACTOR_APPLICABILITY!$F:$F,MATCH($C106,MATERIAL_FACTOR_APPLICABILITY!$A:$A,0)))</f>
        <v/>
      </c>
      <c r="L106" s="36" t="str">
        <f t="array" ref="L106">IF($C106="","",INDEX(MATERIAL_FACTOR_APPLICABILITY!$G:$G,MATCH($C106,MATERIAL_FACTOR_APPLICABILITY!$A:$A,0)))</f>
        <v/>
      </c>
      <c r="M106" s="36" t="str">
        <f t="array" ref="M106">IF($C106="","",INDEX(MATERIAL_FACTOR_APPLICABILITY!$H:$H,MATCH($C106,MATERIAL_FACTOR_APPLICABILITY!$A:$A,0)))</f>
        <v/>
      </c>
      <c r="N106" s="36" t="str">
        <f>IF($B106="","",ROUND(1+($I106*(SUMIFS(OBJECT_CONDITIONS!$W:$W,OBJECT_CONDITIONS!$A:$A,$B106)-1))+($J106*(SUMIFS(OBJECT_CONDITIONS!$J:$J,OBJECT_CONDITIONS!$A:$A,$B106)-1))+($K106*(SUMIFS(OBJECT_CONDITIONS!$L:$L,OBJECT_CONDITIONS!$A:$A,$B106)-1))+($L106*(SUMIFS(OBJECT_CONDITIONS!$N:$N,OBJECT_CONDITIONS!$A:$A,$B106)-1))+($M106*(SUMIFS(OBJECT_CONDITIONS!$R:$R,OBJECT_CONDITIONS!$A:$A,$B106)-1)),3))</f>
        <v/>
      </c>
      <c r="O106" s="36"/>
      <c r="P106" s="36" t="str">
        <f t="shared" si="1"/>
        <v/>
      </c>
      <c r="Q106" s="36" t="str">
        <f t="shared" si="2"/>
        <v/>
      </c>
      <c r="R106" s="11" t="str">
        <f t="array" ref="R106">IF($D106="","",IFERROR(INDEX(MATERIAL_VARIANTS!$O:$O,MATCH($D106,MATERIAL_VARIANTS!$A:$A,0)),""))</f>
        <v/>
      </c>
      <c r="S106" s="36" t="str">
        <f t="array" ref="S106">IF($D106="","",IFERROR(INDEX(MATERIAL_VARIANTS!$P:$P,MATCH($D106,MATERIAL_VARIANTS!$A:$A,0)),""))</f>
        <v/>
      </c>
      <c r="T106" s="11" t="str">
        <f t="shared" si="3"/>
        <v/>
      </c>
      <c r="U106" s="11"/>
    </row>
    <row r="107" ht="14.25" customHeight="1">
      <c r="A107" s="11"/>
      <c r="B107" s="11"/>
      <c r="C107" s="11"/>
      <c r="D107" s="11"/>
      <c r="E107" s="11"/>
      <c r="F107" s="11"/>
      <c r="G107" s="11" t="str">
        <f t="array" ref="G107">IF($C107="","",INDEX(MATERIAL_MASTER!$O:$O,MATCH($C107,MATERIAL_MASTER!$A:$A,0)))</f>
        <v/>
      </c>
      <c r="H107" s="36" t="str">
        <f t="array" ref="H107">IF($C107="","",INDEX(MATERIAL_MASTER!$P:$P,MATCH($C107,MATERIAL_MASTER!$A:$A,0)))</f>
        <v/>
      </c>
      <c r="I107" s="36" t="str">
        <f t="array" ref="I107">IF($C107="","",INDEX(MATERIAL_FACTOR_APPLICABILITY!$D:$D,MATCH($C107,MATERIAL_FACTOR_APPLICABILITY!$A:$A,0)))</f>
        <v/>
      </c>
      <c r="J107" s="36" t="str">
        <f t="array" ref="J107">IF($C107="","",INDEX(MATERIAL_FACTOR_APPLICABILITY!$E:$E,MATCH($C107,MATERIAL_FACTOR_APPLICABILITY!$A:$A,0)))</f>
        <v/>
      </c>
      <c r="K107" s="36" t="str">
        <f t="array" ref="K107">IF($C107="","",INDEX(MATERIAL_FACTOR_APPLICABILITY!$F:$F,MATCH($C107,MATERIAL_FACTOR_APPLICABILITY!$A:$A,0)))</f>
        <v/>
      </c>
      <c r="L107" s="36" t="str">
        <f t="array" ref="L107">IF($C107="","",INDEX(MATERIAL_FACTOR_APPLICABILITY!$G:$G,MATCH($C107,MATERIAL_FACTOR_APPLICABILITY!$A:$A,0)))</f>
        <v/>
      </c>
      <c r="M107" s="36" t="str">
        <f t="array" ref="M107">IF($C107="","",INDEX(MATERIAL_FACTOR_APPLICABILITY!$H:$H,MATCH($C107,MATERIAL_FACTOR_APPLICABILITY!$A:$A,0)))</f>
        <v/>
      </c>
      <c r="N107" s="36" t="str">
        <f>IF($B107="","",ROUND(1+($I107*(SUMIFS(OBJECT_CONDITIONS!$W:$W,OBJECT_CONDITIONS!$A:$A,$B107)-1))+($J107*(SUMIFS(OBJECT_CONDITIONS!$J:$J,OBJECT_CONDITIONS!$A:$A,$B107)-1))+($K107*(SUMIFS(OBJECT_CONDITIONS!$L:$L,OBJECT_CONDITIONS!$A:$A,$B107)-1))+($L107*(SUMIFS(OBJECT_CONDITIONS!$N:$N,OBJECT_CONDITIONS!$A:$A,$B107)-1))+($M107*(SUMIFS(OBJECT_CONDITIONS!$R:$R,OBJECT_CONDITIONS!$A:$A,$B107)-1)),3))</f>
        <v/>
      </c>
      <c r="O107" s="36"/>
      <c r="P107" s="36" t="str">
        <f t="shared" si="1"/>
        <v/>
      </c>
      <c r="Q107" s="36" t="str">
        <f t="shared" si="2"/>
        <v/>
      </c>
      <c r="R107" s="11" t="str">
        <f t="array" ref="R107">IF($D107="","",IFERROR(INDEX(MATERIAL_VARIANTS!$O:$O,MATCH($D107,MATERIAL_VARIANTS!$A:$A,0)),""))</f>
        <v/>
      </c>
      <c r="S107" s="36" t="str">
        <f t="array" ref="S107">IF($D107="","",IFERROR(INDEX(MATERIAL_VARIANTS!$P:$P,MATCH($D107,MATERIAL_VARIANTS!$A:$A,0)),""))</f>
        <v/>
      </c>
      <c r="T107" s="11" t="str">
        <f t="shared" si="3"/>
        <v/>
      </c>
      <c r="U107" s="11"/>
    </row>
    <row r="108" ht="14.25" customHeight="1">
      <c r="A108" s="11"/>
      <c r="B108" s="11"/>
      <c r="C108" s="11"/>
      <c r="D108" s="11"/>
      <c r="E108" s="11"/>
      <c r="F108" s="11"/>
      <c r="G108" s="11" t="str">
        <f t="array" ref="G108">IF($C108="","",INDEX(MATERIAL_MASTER!$O:$O,MATCH($C108,MATERIAL_MASTER!$A:$A,0)))</f>
        <v/>
      </c>
      <c r="H108" s="36" t="str">
        <f t="array" ref="H108">IF($C108="","",INDEX(MATERIAL_MASTER!$P:$P,MATCH($C108,MATERIAL_MASTER!$A:$A,0)))</f>
        <v/>
      </c>
      <c r="I108" s="36" t="str">
        <f t="array" ref="I108">IF($C108="","",INDEX(MATERIAL_FACTOR_APPLICABILITY!$D:$D,MATCH($C108,MATERIAL_FACTOR_APPLICABILITY!$A:$A,0)))</f>
        <v/>
      </c>
      <c r="J108" s="36" t="str">
        <f t="array" ref="J108">IF($C108="","",INDEX(MATERIAL_FACTOR_APPLICABILITY!$E:$E,MATCH($C108,MATERIAL_FACTOR_APPLICABILITY!$A:$A,0)))</f>
        <v/>
      </c>
      <c r="K108" s="36" t="str">
        <f t="array" ref="K108">IF($C108="","",INDEX(MATERIAL_FACTOR_APPLICABILITY!$F:$F,MATCH($C108,MATERIAL_FACTOR_APPLICABILITY!$A:$A,0)))</f>
        <v/>
      </c>
      <c r="L108" s="36" t="str">
        <f t="array" ref="L108">IF($C108="","",INDEX(MATERIAL_FACTOR_APPLICABILITY!$G:$G,MATCH($C108,MATERIAL_FACTOR_APPLICABILITY!$A:$A,0)))</f>
        <v/>
      </c>
      <c r="M108" s="36" t="str">
        <f t="array" ref="M108">IF($C108="","",INDEX(MATERIAL_FACTOR_APPLICABILITY!$H:$H,MATCH($C108,MATERIAL_FACTOR_APPLICABILITY!$A:$A,0)))</f>
        <v/>
      </c>
      <c r="N108" s="36" t="str">
        <f>IF($B108="","",ROUND(1+($I108*(SUMIFS(OBJECT_CONDITIONS!$W:$W,OBJECT_CONDITIONS!$A:$A,$B108)-1))+($J108*(SUMIFS(OBJECT_CONDITIONS!$J:$J,OBJECT_CONDITIONS!$A:$A,$B108)-1))+($K108*(SUMIFS(OBJECT_CONDITIONS!$L:$L,OBJECT_CONDITIONS!$A:$A,$B108)-1))+($L108*(SUMIFS(OBJECT_CONDITIONS!$N:$N,OBJECT_CONDITIONS!$A:$A,$B108)-1))+($M108*(SUMIFS(OBJECT_CONDITIONS!$R:$R,OBJECT_CONDITIONS!$A:$A,$B108)-1)),3))</f>
        <v/>
      </c>
      <c r="O108" s="36"/>
      <c r="P108" s="36" t="str">
        <f t="shared" si="1"/>
        <v/>
      </c>
      <c r="Q108" s="36" t="str">
        <f t="shared" si="2"/>
        <v/>
      </c>
      <c r="R108" s="11" t="str">
        <f t="array" ref="R108">IF($D108="","",IFERROR(INDEX(MATERIAL_VARIANTS!$O:$O,MATCH($D108,MATERIAL_VARIANTS!$A:$A,0)),""))</f>
        <v/>
      </c>
      <c r="S108" s="36" t="str">
        <f t="array" ref="S108">IF($D108="","",IFERROR(INDEX(MATERIAL_VARIANTS!$P:$P,MATCH($D108,MATERIAL_VARIANTS!$A:$A,0)),""))</f>
        <v/>
      </c>
      <c r="T108" s="11" t="str">
        <f t="shared" si="3"/>
        <v/>
      </c>
      <c r="U108" s="11"/>
    </row>
    <row r="109" ht="14.25" customHeight="1">
      <c r="A109" s="11"/>
      <c r="B109" s="11"/>
      <c r="C109" s="11"/>
      <c r="D109" s="11"/>
      <c r="E109" s="11"/>
      <c r="F109" s="11"/>
      <c r="G109" s="11" t="str">
        <f t="array" ref="G109">IF($C109="","",INDEX(MATERIAL_MASTER!$O:$O,MATCH($C109,MATERIAL_MASTER!$A:$A,0)))</f>
        <v/>
      </c>
      <c r="H109" s="36" t="str">
        <f t="array" ref="H109">IF($C109="","",INDEX(MATERIAL_MASTER!$P:$P,MATCH($C109,MATERIAL_MASTER!$A:$A,0)))</f>
        <v/>
      </c>
      <c r="I109" s="36" t="str">
        <f t="array" ref="I109">IF($C109="","",INDEX(MATERIAL_FACTOR_APPLICABILITY!$D:$D,MATCH($C109,MATERIAL_FACTOR_APPLICABILITY!$A:$A,0)))</f>
        <v/>
      </c>
      <c r="J109" s="36" t="str">
        <f t="array" ref="J109">IF($C109="","",INDEX(MATERIAL_FACTOR_APPLICABILITY!$E:$E,MATCH($C109,MATERIAL_FACTOR_APPLICABILITY!$A:$A,0)))</f>
        <v/>
      </c>
      <c r="K109" s="36" t="str">
        <f t="array" ref="K109">IF($C109="","",INDEX(MATERIAL_FACTOR_APPLICABILITY!$F:$F,MATCH($C109,MATERIAL_FACTOR_APPLICABILITY!$A:$A,0)))</f>
        <v/>
      </c>
      <c r="L109" s="36" t="str">
        <f t="array" ref="L109">IF($C109="","",INDEX(MATERIAL_FACTOR_APPLICABILITY!$G:$G,MATCH($C109,MATERIAL_FACTOR_APPLICABILITY!$A:$A,0)))</f>
        <v/>
      </c>
      <c r="M109" s="36" t="str">
        <f t="array" ref="M109">IF($C109="","",INDEX(MATERIAL_FACTOR_APPLICABILITY!$H:$H,MATCH($C109,MATERIAL_FACTOR_APPLICABILITY!$A:$A,0)))</f>
        <v/>
      </c>
      <c r="N109" s="36" t="str">
        <f>IF($B109="","",ROUND(1+($I109*(SUMIFS(OBJECT_CONDITIONS!$W:$W,OBJECT_CONDITIONS!$A:$A,$B109)-1))+($J109*(SUMIFS(OBJECT_CONDITIONS!$J:$J,OBJECT_CONDITIONS!$A:$A,$B109)-1))+($K109*(SUMIFS(OBJECT_CONDITIONS!$L:$L,OBJECT_CONDITIONS!$A:$A,$B109)-1))+($L109*(SUMIFS(OBJECT_CONDITIONS!$N:$N,OBJECT_CONDITIONS!$A:$A,$B109)-1))+($M109*(SUMIFS(OBJECT_CONDITIONS!$R:$R,OBJECT_CONDITIONS!$A:$A,$B109)-1)),3))</f>
        <v/>
      </c>
      <c r="O109" s="36"/>
      <c r="P109" s="36" t="str">
        <f t="shared" si="1"/>
        <v/>
      </c>
      <c r="Q109" s="36" t="str">
        <f t="shared" si="2"/>
        <v/>
      </c>
      <c r="R109" s="11" t="str">
        <f t="array" ref="R109">IF($D109="","",IFERROR(INDEX(MATERIAL_VARIANTS!$O:$O,MATCH($D109,MATERIAL_VARIANTS!$A:$A,0)),""))</f>
        <v/>
      </c>
      <c r="S109" s="36" t="str">
        <f t="array" ref="S109">IF($D109="","",IFERROR(INDEX(MATERIAL_VARIANTS!$P:$P,MATCH($D109,MATERIAL_VARIANTS!$A:$A,0)),""))</f>
        <v/>
      </c>
      <c r="T109" s="11" t="str">
        <f t="shared" si="3"/>
        <v/>
      </c>
      <c r="U109" s="11"/>
    </row>
    <row r="110" ht="14.25" customHeight="1">
      <c r="A110" s="11"/>
      <c r="B110" s="11"/>
      <c r="C110" s="11"/>
      <c r="D110" s="11"/>
      <c r="E110" s="11"/>
      <c r="F110" s="11"/>
      <c r="G110" s="11" t="str">
        <f t="array" ref="G110">IF($C110="","",INDEX(MATERIAL_MASTER!$O:$O,MATCH($C110,MATERIAL_MASTER!$A:$A,0)))</f>
        <v/>
      </c>
      <c r="H110" s="36" t="str">
        <f t="array" ref="H110">IF($C110="","",INDEX(MATERIAL_MASTER!$P:$P,MATCH($C110,MATERIAL_MASTER!$A:$A,0)))</f>
        <v/>
      </c>
      <c r="I110" s="36" t="str">
        <f t="array" ref="I110">IF($C110="","",INDEX(MATERIAL_FACTOR_APPLICABILITY!$D:$D,MATCH($C110,MATERIAL_FACTOR_APPLICABILITY!$A:$A,0)))</f>
        <v/>
      </c>
      <c r="J110" s="36" t="str">
        <f t="array" ref="J110">IF($C110="","",INDEX(MATERIAL_FACTOR_APPLICABILITY!$E:$E,MATCH($C110,MATERIAL_FACTOR_APPLICABILITY!$A:$A,0)))</f>
        <v/>
      </c>
      <c r="K110" s="36" t="str">
        <f t="array" ref="K110">IF($C110="","",INDEX(MATERIAL_FACTOR_APPLICABILITY!$F:$F,MATCH($C110,MATERIAL_FACTOR_APPLICABILITY!$A:$A,0)))</f>
        <v/>
      </c>
      <c r="L110" s="36" t="str">
        <f t="array" ref="L110">IF($C110="","",INDEX(MATERIAL_FACTOR_APPLICABILITY!$G:$G,MATCH($C110,MATERIAL_FACTOR_APPLICABILITY!$A:$A,0)))</f>
        <v/>
      </c>
      <c r="M110" s="36" t="str">
        <f t="array" ref="M110">IF($C110="","",INDEX(MATERIAL_FACTOR_APPLICABILITY!$H:$H,MATCH($C110,MATERIAL_FACTOR_APPLICABILITY!$A:$A,0)))</f>
        <v/>
      </c>
      <c r="N110" s="36" t="str">
        <f>IF($B110="","",ROUND(1+($I110*(SUMIFS(OBJECT_CONDITIONS!$W:$W,OBJECT_CONDITIONS!$A:$A,$B110)-1))+($J110*(SUMIFS(OBJECT_CONDITIONS!$J:$J,OBJECT_CONDITIONS!$A:$A,$B110)-1))+($K110*(SUMIFS(OBJECT_CONDITIONS!$L:$L,OBJECT_CONDITIONS!$A:$A,$B110)-1))+($L110*(SUMIFS(OBJECT_CONDITIONS!$N:$N,OBJECT_CONDITIONS!$A:$A,$B110)-1))+($M110*(SUMIFS(OBJECT_CONDITIONS!$R:$R,OBJECT_CONDITIONS!$A:$A,$B110)-1)),3))</f>
        <v/>
      </c>
      <c r="O110" s="36"/>
      <c r="P110" s="36" t="str">
        <f t="shared" si="1"/>
        <v/>
      </c>
      <c r="Q110" s="36" t="str">
        <f t="shared" si="2"/>
        <v/>
      </c>
      <c r="R110" s="11" t="str">
        <f t="array" ref="R110">IF($D110="","",IFERROR(INDEX(MATERIAL_VARIANTS!$O:$O,MATCH($D110,MATERIAL_VARIANTS!$A:$A,0)),""))</f>
        <v/>
      </c>
      <c r="S110" s="36" t="str">
        <f t="array" ref="S110">IF($D110="","",IFERROR(INDEX(MATERIAL_VARIANTS!$P:$P,MATCH($D110,MATERIAL_VARIANTS!$A:$A,0)),""))</f>
        <v/>
      </c>
      <c r="T110" s="11" t="str">
        <f t="shared" si="3"/>
        <v/>
      </c>
      <c r="U110" s="11"/>
    </row>
    <row r="111" ht="14.25" customHeight="1">
      <c r="A111" s="11"/>
      <c r="B111" s="11"/>
      <c r="C111" s="11"/>
      <c r="D111" s="11"/>
      <c r="E111" s="11"/>
      <c r="F111" s="11"/>
      <c r="G111" s="11" t="str">
        <f t="array" ref="G111">IF($C111="","",INDEX(MATERIAL_MASTER!$O:$O,MATCH($C111,MATERIAL_MASTER!$A:$A,0)))</f>
        <v/>
      </c>
      <c r="H111" s="36" t="str">
        <f t="array" ref="H111">IF($C111="","",INDEX(MATERIAL_MASTER!$P:$P,MATCH($C111,MATERIAL_MASTER!$A:$A,0)))</f>
        <v/>
      </c>
      <c r="I111" s="36" t="str">
        <f t="array" ref="I111">IF($C111="","",INDEX(MATERIAL_FACTOR_APPLICABILITY!$D:$D,MATCH($C111,MATERIAL_FACTOR_APPLICABILITY!$A:$A,0)))</f>
        <v/>
      </c>
      <c r="J111" s="36" t="str">
        <f t="array" ref="J111">IF($C111="","",INDEX(MATERIAL_FACTOR_APPLICABILITY!$E:$E,MATCH($C111,MATERIAL_FACTOR_APPLICABILITY!$A:$A,0)))</f>
        <v/>
      </c>
      <c r="K111" s="36" t="str">
        <f t="array" ref="K111">IF($C111="","",INDEX(MATERIAL_FACTOR_APPLICABILITY!$F:$F,MATCH($C111,MATERIAL_FACTOR_APPLICABILITY!$A:$A,0)))</f>
        <v/>
      </c>
      <c r="L111" s="36" t="str">
        <f t="array" ref="L111">IF($C111="","",INDEX(MATERIAL_FACTOR_APPLICABILITY!$G:$G,MATCH($C111,MATERIAL_FACTOR_APPLICABILITY!$A:$A,0)))</f>
        <v/>
      </c>
      <c r="M111" s="36" t="str">
        <f t="array" ref="M111">IF($C111="","",INDEX(MATERIAL_FACTOR_APPLICABILITY!$H:$H,MATCH($C111,MATERIAL_FACTOR_APPLICABILITY!$A:$A,0)))</f>
        <v/>
      </c>
      <c r="N111" s="36" t="str">
        <f>IF($B111="","",ROUND(1+($I111*(SUMIFS(OBJECT_CONDITIONS!$W:$W,OBJECT_CONDITIONS!$A:$A,$B111)-1))+($J111*(SUMIFS(OBJECT_CONDITIONS!$J:$J,OBJECT_CONDITIONS!$A:$A,$B111)-1))+($K111*(SUMIFS(OBJECT_CONDITIONS!$L:$L,OBJECT_CONDITIONS!$A:$A,$B111)-1))+($L111*(SUMIFS(OBJECT_CONDITIONS!$N:$N,OBJECT_CONDITIONS!$A:$A,$B111)-1))+($M111*(SUMIFS(OBJECT_CONDITIONS!$R:$R,OBJECT_CONDITIONS!$A:$A,$B111)-1)),3))</f>
        <v/>
      </c>
      <c r="O111" s="36"/>
      <c r="P111" s="36" t="str">
        <f t="shared" si="1"/>
        <v/>
      </c>
      <c r="Q111" s="36" t="str">
        <f t="shared" si="2"/>
        <v/>
      </c>
      <c r="R111" s="11" t="str">
        <f t="array" ref="R111">IF($D111="","",IFERROR(INDEX(MATERIAL_VARIANTS!$O:$O,MATCH($D111,MATERIAL_VARIANTS!$A:$A,0)),""))</f>
        <v/>
      </c>
      <c r="S111" s="36" t="str">
        <f t="array" ref="S111">IF($D111="","",IFERROR(INDEX(MATERIAL_VARIANTS!$P:$P,MATCH($D111,MATERIAL_VARIANTS!$A:$A,0)),""))</f>
        <v/>
      </c>
      <c r="T111" s="11" t="str">
        <f t="shared" si="3"/>
        <v/>
      </c>
      <c r="U111" s="11"/>
    </row>
    <row r="112" ht="14.25" customHeight="1">
      <c r="A112" s="11"/>
      <c r="B112" s="11"/>
      <c r="C112" s="11"/>
      <c r="D112" s="11"/>
      <c r="E112" s="11"/>
      <c r="F112" s="11"/>
      <c r="G112" s="11" t="str">
        <f t="array" ref="G112">IF($C112="","",INDEX(MATERIAL_MASTER!$O:$O,MATCH($C112,MATERIAL_MASTER!$A:$A,0)))</f>
        <v/>
      </c>
      <c r="H112" s="36" t="str">
        <f t="array" ref="H112">IF($C112="","",INDEX(MATERIAL_MASTER!$P:$P,MATCH($C112,MATERIAL_MASTER!$A:$A,0)))</f>
        <v/>
      </c>
      <c r="I112" s="36" t="str">
        <f t="array" ref="I112">IF($C112="","",INDEX(MATERIAL_FACTOR_APPLICABILITY!$D:$D,MATCH($C112,MATERIAL_FACTOR_APPLICABILITY!$A:$A,0)))</f>
        <v/>
      </c>
      <c r="J112" s="36" t="str">
        <f t="array" ref="J112">IF($C112="","",INDEX(MATERIAL_FACTOR_APPLICABILITY!$E:$E,MATCH($C112,MATERIAL_FACTOR_APPLICABILITY!$A:$A,0)))</f>
        <v/>
      </c>
      <c r="K112" s="36" t="str">
        <f t="array" ref="K112">IF($C112="","",INDEX(MATERIAL_FACTOR_APPLICABILITY!$F:$F,MATCH($C112,MATERIAL_FACTOR_APPLICABILITY!$A:$A,0)))</f>
        <v/>
      </c>
      <c r="L112" s="36" t="str">
        <f t="array" ref="L112">IF($C112="","",INDEX(MATERIAL_FACTOR_APPLICABILITY!$G:$G,MATCH($C112,MATERIAL_FACTOR_APPLICABILITY!$A:$A,0)))</f>
        <v/>
      </c>
      <c r="M112" s="36" t="str">
        <f t="array" ref="M112">IF($C112="","",INDEX(MATERIAL_FACTOR_APPLICABILITY!$H:$H,MATCH($C112,MATERIAL_FACTOR_APPLICABILITY!$A:$A,0)))</f>
        <v/>
      </c>
      <c r="N112" s="36" t="str">
        <f>IF($B112="","",ROUND(1+($I112*(SUMIFS(OBJECT_CONDITIONS!$W:$W,OBJECT_CONDITIONS!$A:$A,$B112)-1))+($J112*(SUMIFS(OBJECT_CONDITIONS!$J:$J,OBJECT_CONDITIONS!$A:$A,$B112)-1))+($K112*(SUMIFS(OBJECT_CONDITIONS!$L:$L,OBJECT_CONDITIONS!$A:$A,$B112)-1))+($L112*(SUMIFS(OBJECT_CONDITIONS!$N:$N,OBJECT_CONDITIONS!$A:$A,$B112)-1))+($M112*(SUMIFS(OBJECT_CONDITIONS!$R:$R,OBJECT_CONDITIONS!$A:$A,$B112)-1)),3))</f>
        <v/>
      </c>
      <c r="O112" s="36"/>
      <c r="P112" s="36" t="str">
        <f t="shared" si="1"/>
        <v/>
      </c>
      <c r="Q112" s="36" t="str">
        <f t="shared" si="2"/>
        <v/>
      </c>
      <c r="R112" s="11" t="str">
        <f t="array" ref="R112">IF($D112="","",IFERROR(INDEX(MATERIAL_VARIANTS!$O:$O,MATCH($D112,MATERIAL_VARIANTS!$A:$A,0)),""))</f>
        <v/>
      </c>
      <c r="S112" s="36" t="str">
        <f t="array" ref="S112">IF($D112="","",IFERROR(INDEX(MATERIAL_VARIANTS!$P:$P,MATCH($D112,MATERIAL_VARIANTS!$A:$A,0)),""))</f>
        <v/>
      </c>
      <c r="T112" s="11" t="str">
        <f t="shared" si="3"/>
        <v/>
      </c>
      <c r="U112" s="11"/>
    </row>
    <row r="113" ht="14.25" customHeight="1">
      <c r="A113" s="11"/>
      <c r="B113" s="11"/>
      <c r="C113" s="11"/>
      <c r="D113" s="11"/>
      <c r="E113" s="11"/>
      <c r="F113" s="11"/>
      <c r="G113" s="11" t="str">
        <f t="array" ref="G113">IF($C113="","",INDEX(MATERIAL_MASTER!$O:$O,MATCH($C113,MATERIAL_MASTER!$A:$A,0)))</f>
        <v/>
      </c>
      <c r="H113" s="36" t="str">
        <f t="array" ref="H113">IF($C113="","",INDEX(MATERIAL_MASTER!$P:$P,MATCH($C113,MATERIAL_MASTER!$A:$A,0)))</f>
        <v/>
      </c>
      <c r="I113" s="36" t="str">
        <f t="array" ref="I113">IF($C113="","",INDEX(MATERIAL_FACTOR_APPLICABILITY!$D:$D,MATCH($C113,MATERIAL_FACTOR_APPLICABILITY!$A:$A,0)))</f>
        <v/>
      </c>
      <c r="J113" s="36" t="str">
        <f t="array" ref="J113">IF($C113="","",INDEX(MATERIAL_FACTOR_APPLICABILITY!$E:$E,MATCH($C113,MATERIAL_FACTOR_APPLICABILITY!$A:$A,0)))</f>
        <v/>
      </c>
      <c r="K113" s="36" t="str">
        <f t="array" ref="K113">IF($C113="","",INDEX(MATERIAL_FACTOR_APPLICABILITY!$F:$F,MATCH($C113,MATERIAL_FACTOR_APPLICABILITY!$A:$A,0)))</f>
        <v/>
      </c>
      <c r="L113" s="36" t="str">
        <f t="array" ref="L113">IF($C113="","",INDEX(MATERIAL_FACTOR_APPLICABILITY!$G:$G,MATCH($C113,MATERIAL_FACTOR_APPLICABILITY!$A:$A,0)))</f>
        <v/>
      </c>
      <c r="M113" s="36" t="str">
        <f t="array" ref="M113">IF($C113="","",INDEX(MATERIAL_FACTOR_APPLICABILITY!$H:$H,MATCH($C113,MATERIAL_FACTOR_APPLICABILITY!$A:$A,0)))</f>
        <v/>
      </c>
      <c r="N113" s="36" t="str">
        <f>IF($B113="","",ROUND(1+($I113*(SUMIFS(OBJECT_CONDITIONS!$W:$W,OBJECT_CONDITIONS!$A:$A,$B113)-1))+($J113*(SUMIFS(OBJECT_CONDITIONS!$J:$J,OBJECT_CONDITIONS!$A:$A,$B113)-1))+($K113*(SUMIFS(OBJECT_CONDITIONS!$L:$L,OBJECT_CONDITIONS!$A:$A,$B113)-1))+($L113*(SUMIFS(OBJECT_CONDITIONS!$N:$N,OBJECT_CONDITIONS!$A:$A,$B113)-1))+($M113*(SUMIFS(OBJECT_CONDITIONS!$R:$R,OBJECT_CONDITIONS!$A:$A,$B113)-1)),3))</f>
        <v/>
      </c>
      <c r="O113" s="36"/>
      <c r="P113" s="36" t="str">
        <f t="shared" si="1"/>
        <v/>
      </c>
      <c r="Q113" s="36" t="str">
        <f t="shared" si="2"/>
        <v/>
      </c>
      <c r="R113" s="11" t="str">
        <f t="array" ref="R113">IF($D113="","",IFERROR(INDEX(MATERIAL_VARIANTS!$O:$O,MATCH($D113,MATERIAL_VARIANTS!$A:$A,0)),""))</f>
        <v/>
      </c>
      <c r="S113" s="36" t="str">
        <f t="array" ref="S113">IF($D113="","",IFERROR(INDEX(MATERIAL_VARIANTS!$P:$P,MATCH($D113,MATERIAL_VARIANTS!$A:$A,0)),""))</f>
        <v/>
      </c>
      <c r="T113" s="11" t="str">
        <f t="shared" si="3"/>
        <v/>
      </c>
      <c r="U113" s="11"/>
    </row>
    <row r="114" ht="14.25" customHeight="1">
      <c r="A114" s="11"/>
      <c r="B114" s="11"/>
      <c r="C114" s="11"/>
      <c r="D114" s="11"/>
      <c r="E114" s="11"/>
      <c r="F114" s="11"/>
      <c r="G114" s="11" t="str">
        <f t="array" ref="G114">IF($C114="","",INDEX(MATERIAL_MASTER!$O:$O,MATCH($C114,MATERIAL_MASTER!$A:$A,0)))</f>
        <v/>
      </c>
      <c r="H114" s="36" t="str">
        <f t="array" ref="H114">IF($C114="","",INDEX(MATERIAL_MASTER!$P:$P,MATCH($C114,MATERIAL_MASTER!$A:$A,0)))</f>
        <v/>
      </c>
      <c r="I114" s="36" t="str">
        <f t="array" ref="I114">IF($C114="","",INDEX(MATERIAL_FACTOR_APPLICABILITY!$D:$D,MATCH($C114,MATERIAL_FACTOR_APPLICABILITY!$A:$A,0)))</f>
        <v/>
      </c>
      <c r="J114" s="36" t="str">
        <f t="array" ref="J114">IF($C114="","",INDEX(MATERIAL_FACTOR_APPLICABILITY!$E:$E,MATCH($C114,MATERIAL_FACTOR_APPLICABILITY!$A:$A,0)))</f>
        <v/>
      </c>
      <c r="K114" s="36" t="str">
        <f t="array" ref="K114">IF($C114="","",INDEX(MATERIAL_FACTOR_APPLICABILITY!$F:$F,MATCH($C114,MATERIAL_FACTOR_APPLICABILITY!$A:$A,0)))</f>
        <v/>
      </c>
      <c r="L114" s="36" t="str">
        <f t="array" ref="L114">IF($C114="","",INDEX(MATERIAL_FACTOR_APPLICABILITY!$G:$G,MATCH($C114,MATERIAL_FACTOR_APPLICABILITY!$A:$A,0)))</f>
        <v/>
      </c>
      <c r="M114" s="36" t="str">
        <f t="array" ref="M114">IF($C114="","",INDEX(MATERIAL_FACTOR_APPLICABILITY!$H:$H,MATCH($C114,MATERIAL_FACTOR_APPLICABILITY!$A:$A,0)))</f>
        <v/>
      </c>
      <c r="N114" s="36" t="str">
        <f>IF($B114="","",ROUND(1+($I114*(SUMIFS(OBJECT_CONDITIONS!$W:$W,OBJECT_CONDITIONS!$A:$A,$B114)-1))+($J114*(SUMIFS(OBJECT_CONDITIONS!$J:$J,OBJECT_CONDITIONS!$A:$A,$B114)-1))+($K114*(SUMIFS(OBJECT_CONDITIONS!$L:$L,OBJECT_CONDITIONS!$A:$A,$B114)-1))+($L114*(SUMIFS(OBJECT_CONDITIONS!$N:$N,OBJECT_CONDITIONS!$A:$A,$B114)-1))+($M114*(SUMIFS(OBJECT_CONDITIONS!$R:$R,OBJECT_CONDITIONS!$A:$A,$B114)-1)),3))</f>
        <v/>
      </c>
      <c r="O114" s="36"/>
      <c r="P114" s="36" t="str">
        <f t="shared" si="1"/>
        <v/>
      </c>
      <c r="Q114" s="36" t="str">
        <f t="shared" si="2"/>
        <v/>
      </c>
      <c r="R114" s="11" t="str">
        <f t="array" ref="R114">IF($D114="","",IFERROR(INDEX(MATERIAL_VARIANTS!$O:$O,MATCH($D114,MATERIAL_VARIANTS!$A:$A,0)),""))</f>
        <v/>
      </c>
      <c r="S114" s="36" t="str">
        <f t="array" ref="S114">IF($D114="","",IFERROR(INDEX(MATERIAL_VARIANTS!$P:$P,MATCH($D114,MATERIAL_VARIANTS!$A:$A,0)),""))</f>
        <v/>
      </c>
      <c r="T114" s="11" t="str">
        <f t="shared" si="3"/>
        <v/>
      </c>
      <c r="U114" s="11"/>
    </row>
    <row r="115" ht="14.25" customHeight="1">
      <c r="A115" s="11"/>
      <c r="B115" s="11"/>
      <c r="C115" s="11"/>
      <c r="D115" s="11"/>
      <c r="E115" s="11"/>
      <c r="F115" s="11"/>
      <c r="G115" s="11" t="str">
        <f t="array" ref="G115">IF($C115="","",INDEX(MATERIAL_MASTER!$O:$O,MATCH($C115,MATERIAL_MASTER!$A:$A,0)))</f>
        <v/>
      </c>
      <c r="H115" s="36" t="str">
        <f t="array" ref="H115">IF($C115="","",INDEX(MATERIAL_MASTER!$P:$P,MATCH($C115,MATERIAL_MASTER!$A:$A,0)))</f>
        <v/>
      </c>
      <c r="I115" s="36" t="str">
        <f t="array" ref="I115">IF($C115="","",INDEX(MATERIAL_FACTOR_APPLICABILITY!$D:$D,MATCH($C115,MATERIAL_FACTOR_APPLICABILITY!$A:$A,0)))</f>
        <v/>
      </c>
      <c r="J115" s="36" t="str">
        <f t="array" ref="J115">IF($C115="","",INDEX(MATERIAL_FACTOR_APPLICABILITY!$E:$E,MATCH($C115,MATERIAL_FACTOR_APPLICABILITY!$A:$A,0)))</f>
        <v/>
      </c>
      <c r="K115" s="36" t="str">
        <f t="array" ref="K115">IF($C115="","",INDEX(MATERIAL_FACTOR_APPLICABILITY!$F:$F,MATCH($C115,MATERIAL_FACTOR_APPLICABILITY!$A:$A,0)))</f>
        <v/>
      </c>
      <c r="L115" s="36" t="str">
        <f t="array" ref="L115">IF($C115="","",INDEX(MATERIAL_FACTOR_APPLICABILITY!$G:$G,MATCH($C115,MATERIAL_FACTOR_APPLICABILITY!$A:$A,0)))</f>
        <v/>
      </c>
      <c r="M115" s="36" t="str">
        <f t="array" ref="M115">IF($C115="","",INDEX(MATERIAL_FACTOR_APPLICABILITY!$H:$H,MATCH($C115,MATERIAL_FACTOR_APPLICABILITY!$A:$A,0)))</f>
        <v/>
      </c>
      <c r="N115" s="36" t="str">
        <f>IF($B115="","",ROUND(1+($I115*(SUMIFS(OBJECT_CONDITIONS!$W:$W,OBJECT_CONDITIONS!$A:$A,$B115)-1))+($J115*(SUMIFS(OBJECT_CONDITIONS!$J:$J,OBJECT_CONDITIONS!$A:$A,$B115)-1))+($K115*(SUMIFS(OBJECT_CONDITIONS!$L:$L,OBJECT_CONDITIONS!$A:$A,$B115)-1))+($L115*(SUMIFS(OBJECT_CONDITIONS!$N:$N,OBJECT_CONDITIONS!$A:$A,$B115)-1))+($M115*(SUMIFS(OBJECT_CONDITIONS!$R:$R,OBJECT_CONDITIONS!$A:$A,$B115)-1)),3))</f>
        <v/>
      </c>
      <c r="O115" s="36"/>
      <c r="P115" s="36" t="str">
        <f t="shared" si="1"/>
        <v/>
      </c>
      <c r="Q115" s="36" t="str">
        <f t="shared" si="2"/>
        <v/>
      </c>
      <c r="R115" s="11" t="str">
        <f t="array" ref="R115">IF($D115="","",IFERROR(INDEX(MATERIAL_VARIANTS!$O:$O,MATCH($D115,MATERIAL_VARIANTS!$A:$A,0)),""))</f>
        <v/>
      </c>
      <c r="S115" s="36" t="str">
        <f t="array" ref="S115">IF($D115="","",IFERROR(INDEX(MATERIAL_VARIANTS!$P:$P,MATCH($D115,MATERIAL_VARIANTS!$A:$A,0)),""))</f>
        <v/>
      </c>
      <c r="T115" s="11" t="str">
        <f t="shared" si="3"/>
        <v/>
      </c>
      <c r="U115" s="11"/>
    </row>
    <row r="116" ht="14.25" customHeight="1">
      <c r="A116" s="11"/>
      <c r="B116" s="11"/>
      <c r="C116" s="11"/>
      <c r="D116" s="11"/>
      <c r="E116" s="11"/>
      <c r="F116" s="11"/>
      <c r="G116" s="11" t="str">
        <f t="array" ref="G116">IF($C116="","",INDEX(MATERIAL_MASTER!$O:$O,MATCH($C116,MATERIAL_MASTER!$A:$A,0)))</f>
        <v/>
      </c>
      <c r="H116" s="36" t="str">
        <f t="array" ref="H116">IF($C116="","",INDEX(MATERIAL_MASTER!$P:$P,MATCH($C116,MATERIAL_MASTER!$A:$A,0)))</f>
        <v/>
      </c>
      <c r="I116" s="36" t="str">
        <f t="array" ref="I116">IF($C116="","",INDEX(MATERIAL_FACTOR_APPLICABILITY!$D:$D,MATCH($C116,MATERIAL_FACTOR_APPLICABILITY!$A:$A,0)))</f>
        <v/>
      </c>
      <c r="J116" s="36" t="str">
        <f t="array" ref="J116">IF($C116="","",INDEX(MATERIAL_FACTOR_APPLICABILITY!$E:$E,MATCH($C116,MATERIAL_FACTOR_APPLICABILITY!$A:$A,0)))</f>
        <v/>
      </c>
      <c r="K116" s="36" t="str">
        <f t="array" ref="K116">IF($C116="","",INDEX(MATERIAL_FACTOR_APPLICABILITY!$F:$F,MATCH($C116,MATERIAL_FACTOR_APPLICABILITY!$A:$A,0)))</f>
        <v/>
      </c>
      <c r="L116" s="36" t="str">
        <f t="array" ref="L116">IF($C116="","",INDEX(MATERIAL_FACTOR_APPLICABILITY!$G:$G,MATCH($C116,MATERIAL_FACTOR_APPLICABILITY!$A:$A,0)))</f>
        <v/>
      </c>
      <c r="M116" s="36" t="str">
        <f t="array" ref="M116">IF($C116="","",INDEX(MATERIAL_FACTOR_APPLICABILITY!$H:$H,MATCH($C116,MATERIAL_FACTOR_APPLICABILITY!$A:$A,0)))</f>
        <v/>
      </c>
      <c r="N116" s="36" t="str">
        <f>IF($B116="","",ROUND(1+($I116*(SUMIFS(OBJECT_CONDITIONS!$W:$W,OBJECT_CONDITIONS!$A:$A,$B116)-1))+($J116*(SUMIFS(OBJECT_CONDITIONS!$J:$J,OBJECT_CONDITIONS!$A:$A,$B116)-1))+($K116*(SUMIFS(OBJECT_CONDITIONS!$L:$L,OBJECT_CONDITIONS!$A:$A,$B116)-1))+($L116*(SUMIFS(OBJECT_CONDITIONS!$N:$N,OBJECT_CONDITIONS!$A:$A,$B116)-1))+($M116*(SUMIFS(OBJECT_CONDITIONS!$R:$R,OBJECT_CONDITIONS!$A:$A,$B116)-1)),3))</f>
        <v/>
      </c>
      <c r="O116" s="36"/>
      <c r="P116" s="36" t="str">
        <f t="shared" si="1"/>
        <v/>
      </c>
      <c r="Q116" s="36" t="str">
        <f t="shared" si="2"/>
        <v/>
      </c>
      <c r="R116" s="11" t="str">
        <f t="array" ref="R116">IF($D116="","",IFERROR(INDEX(MATERIAL_VARIANTS!$O:$O,MATCH($D116,MATERIAL_VARIANTS!$A:$A,0)),""))</f>
        <v/>
      </c>
      <c r="S116" s="36" t="str">
        <f t="array" ref="S116">IF($D116="","",IFERROR(INDEX(MATERIAL_VARIANTS!$P:$P,MATCH($D116,MATERIAL_VARIANTS!$A:$A,0)),""))</f>
        <v/>
      </c>
      <c r="T116" s="11" t="str">
        <f t="shared" si="3"/>
        <v/>
      </c>
      <c r="U116" s="11"/>
    </row>
    <row r="117" ht="14.25" customHeight="1">
      <c r="A117" s="11"/>
      <c r="B117" s="11"/>
      <c r="C117" s="11"/>
      <c r="D117" s="11"/>
      <c r="E117" s="11"/>
      <c r="F117" s="11"/>
      <c r="G117" s="11" t="str">
        <f t="array" ref="G117">IF($C117="","",INDEX(MATERIAL_MASTER!$O:$O,MATCH($C117,MATERIAL_MASTER!$A:$A,0)))</f>
        <v/>
      </c>
      <c r="H117" s="36" t="str">
        <f t="array" ref="H117">IF($C117="","",INDEX(MATERIAL_MASTER!$P:$P,MATCH($C117,MATERIAL_MASTER!$A:$A,0)))</f>
        <v/>
      </c>
      <c r="I117" s="36" t="str">
        <f t="array" ref="I117">IF($C117="","",INDEX(MATERIAL_FACTOR_APPLICABILITY!$D:$D,MATCH($C117,MATERIAL_FACTOR_APPLICABILITY!$A:$A,0)))</f>
        <v/>
      </c>
      <c r="J117" s="36" t="str">
        <f t="array" ref="J117">IF($C117="","",INDEX(MATERIAL_FACTOR_APPLICABILITY!$E:$E,MATCH($C117,MATERIAL_FACTOR_APPLICABILITY!$A:$A,0)))</f>
        <v/>
      </c>
      <c r="K117" s="36" t="str">
        <f t="array" ref="K117">IF($C117="","",INDEX(MATERIAL_FACTOR_APPLICABILITY!$F:$F,MATCH($C117,MATERIAL_FACTOR_APPLICABILITY!$A:$A,0)))</f>
        <v/>
      </c>
      <c r="L117" s="36" t="str">
        <f t="array" ref="L117">IF($C117="","",INDEX(MATERIAL_FACTOR_APPLICABILITY!$G:$G,MATCH($C117,MATERIAL_FACTOR_APPLICABILITY!$A:$A,0)))</f>
        <v/>
      </c>
      <c r="M117" s="36" t="str">
        <f t="array" ref="M117">IF($C117="","",INDEX(MATERIAL_FACTOR_APPLICABILITY!$H:$H,MATCH($C117,MATERIAL_FACTOR_APPLICABILITY!$A:$A,0)))</f>
        <v/>
      </c>
      <c r="N117" s="36" t="str">
        <f>IF($B117="","",ROUND(1+($I117*(SUMIFS(OBJECT_CONDITIONS!$W:$W,OBJECT_CONDITIONS!$A:$A,$B117)-1))+($J117*(SUMIFS(OBJECT_CONDITIONS!$J:$J,OBJECT_CONDITIONS!$A:$A,$B117)-1))+($K117*(SUMIFS(OBJECT_CONDITIONS!$L:$L,OBJECT_CONDITIONS!$A:$A,$B117)-1))+($L117*(SUMIFS(OBJECT_CONDITIONS!$N:$N,OBJECT_CONDITIONS!$A:$A,$B117)-1))+($M117*(SUMIFS(OBJECT_CONDITIONS!$R:$R,OBJECT_CONDITIONS!$A:$A,$B117)-1)),3))</f>
        <v/>
      </c>
      <c r="O117" s="36"/>
      <c r="P117" s="36" t="str">
        <f t="shared" si="1"/>
        <v/>
      </c>
      <c r="Q117" s="36" t="str">
        <f t="shared" si="2"/>
        <v/>
      </c>
      <c r="R117" s="11" t="str">
        <f t="array" ref="R117">IF($D117="","",IFERROR(INDEX(MATERIAL_VARIANTS!$O:$O,MATCH($D117,MATERIAL_VARIANTS!$A:$A,0)),""))</f>
        <v/>
      </c>
      <c r="S117" s="36" t="str">
        <f t="array" ref="S117">IF($D117="","",IFERROR(INDEX(MATERIAL_VARIANTS!$P:$P,MATCH($D117,MATERIAL_VARIANTS!$A:$A,0)),""))</f>
        <v/>
      </c>
      <c r="T117" s="11" t="str">
        <f t="shared" si="3"/>
        <v/>
      </c>
      <c r="U117" s="11"/>
    </row>
    <row r="118" ht="14.25" customHeight="1">
      <c r="A118" s="11"/>
      <c r="B118" s="11"/>
      <c r="C118" s="11"/>
      <c r="D118" s="11"/>
      <c r="E118" s="11"/>
      <c r="F118" s="11"/>
      <c r="G118" s="11" t="str">
        <f t="array" ref="G118">IF($C118="","",INDEX(MATERIAL_MASTER!$O:$O,MATCH($C118,MATERIAL_MASTER!$A:$A,0)))</f>
        <v/>
      </c>
      <c r="H118" s="36" t="str">
        <f t="array" ref="H118">IF($C118="","",INDEX(MATERIAL_MASTER!$P:$P,MATCH($C118,MATERIAL_MASTER!$A:$A,0)))</f>
        <v/>
      </c>
      <c r="I118" s="36" t="str">
        <f t="array" ref="I118">IF($C118="","",INDEX(MATERIAL_FACTOR_APPLICABILITY!$D:$D,MATCH($C118,MATERIAL_FACTOR_APPLICABILITY!$A:$A,0)))</f>
        <v/>
      </c>
      <c r="J118" s="36" t="str">
        <f t="array" ref="J118">IF($C118="","",INDEX(MATERIAL_FACTOR_APPLICABILITY!$E:$E,MATCH($C118,MATERIAL_FACTOR_APPLICABILITY!$A:$A,0)))</f>
        <v/>
      </c>
      <c r="K118" s="36" t="str">
        <f t="array" ref="K118">IF($C118="","",INDEX(MATERIAL_FACTOR_APPLICABILITY!$F:$F,MATCH($C118,MATERIAL_FACTOR_APPLICABILITY!$A:$A,0)))</f>
        <v/>
      </c>
      <c r="L118" s="36" t="str">
        <f t="array" ref="L118">IF($C118="","",INDEX(MATERIAL_FACTOR_APPLICABILITY!$G:$G,MATCH($C118,MATERIAL_FACTOR_APPLICABILITY!$A:$A,0)))</f>
        <v/>
      </c>
      <c r="M118" s="36" t="str">
        <f t="array" ref="M118">IF($C118="","",INDEX(MATERIAL_FACTOR_APPLICABILITY!$H:$H,MATCH($C118,MATERIAL_FACTOR_APPLICABILITY!$A:$A,0)))</f>
        <v/>
      </c>
      <c r="N118" s="36" t="str">
        <f>IF($B118="","",ROUND(1+($I118*(SUMIFS(OBJECT_CONDITIONS!$W:$W,OBJECT_CONDITIONS!$A:$A,$B118)-1))+($J118*(SUMIFS(OBJECT_CONDITIONS!$J:$J,OBJECT_CONDITIONS!$A:$A,$B118)-1))+($K118*(SUMIFS(OBJECT_CONDITIONS!$L:$L,OBJECT_CONDITIONS!$A:$A,$B118)-1))+($L118*(SUMIFS(OBJECT_CONDITIONS!$N:$N,OBJECT_CONDITIONS!$A:$A,$B118)-1))+($M118*(SUMIFS(OBJECT_CONDITIONS!$R:$R,OBJECT_CONDITIONS!$A:$A,$B118)-1)),3))</f>
        <v/>
      </c>
      <c r="O118" s="36"/>
      <c r="P118" s="36" t="str">
        <f t="shared" si="1"/>
        <v/>
      </c>
      <c r="Q118" s="36" t="str">
        <f t="shared" si="2"/>
        <v/>
      </c>
      <c r="R118" s="11" t="str">
        <f t="array" ref="R118">IF($D118="","",IFERROR(INDEX(MATERIAL_VARIANTS!$O:$O,MATCH($D118,MATERIAL_VARIANTS!$A:$A,0)),""))</f>
        <v/>
      </c>
      <c r="S118" s="36" t="str">
        <f t="array" ref="S118">IF($D118="","",IFERROR(INDEX(MATERIAL_VARIANTS!$P:$P,MATCH($D118,MATERIAL_VARIANTS!$A:$A,0)),""))</f>
        <v/>
      </c>
      <c r="T118" s="11" t="str">
        <f t="shared" si="3"/>
        <v/>
      </c>
      <c r="U118" s="11"/>
    </row>
    <row r="119" ht="14.25" customHeight="1">
      <c r="A119" s="11"/>
      <c r="B119" s="11"/>
      <c r="C119" s="11"/>
      <c r="D119" s="11"/>
      <c r="E119" s="11"/>
      <c r="F119" s="11"/>
      <c r="G119" s="11" t="str">
        <f t="array" ref="G119">IF($C119="","",INDEX(MATERIAL_MASTER!$O:$O,MATCH($C119,MATERIAL_MASTER!$A:$A,0)))</f>
        <v/>
      </c>
      <c r="H119" s="36" t="str">
        <f t="array" ref="H119">IF($C119="","",INDEX(MATERIAL_MASTER!$P:$P,MATCH($C119,MATERIAL_MASTER!$A:$A,0)))</f>
        <v/>
      </c>
      <c r="I119" s="36" t="str">
        <f t="array" ref="I119">IF($C119="","",INDEX(MATERIAL_FACTOR_APPLICABILITY!$D:$D,MATCH($C119,MATERIAL_FACTOR_APPLICABILITY!$A:$A,0)))</f>
        <v/>
      </c>
      <c r="J119" s="36" t="str">
        <f t="array" ref="J119">IF($C119="","",INDEX(MATERIAL_FACTOR_APPLICABILITY!$E:$E,MATCH($C119,MATERIAL_FACTOR_APPLICABILITY!$A:$A,0)))</f>
        <v/>
      </c>
      <c r="K119" s="36" t="str">
        <f t="array" ref="K119">IF($C119="","",INDEX(MATERIAL_FACTOR_APPLICABILITY!$F:$F,MATCH($C119,MATERIAL_FACTOR_APPLICABILITY!$A:$A,0)))</f>
        <v/>
      </c>
      <c r="L119" s="36" t="str">
        <f t="array" ref="L119">IF($C119="","",INDEX(MATERIAL_FACTOR_APPLICABILITY!$G:$G,MATCH($C119,MATERIAL_FACTOR_APPLICABILITY!$A:$A,0)))</f>
        <v/>
      </c>
      <c r="M119" s="36" t="str">
        <f t="array" ref="M119">IF($C119="","",INDEX(MATERIAL_FACTOR_APPLICABILITY!$H:$H,MATCH($C119,MATERIAL_FACTOR_APPLICABILITY!$A:$A,0)))</f>
        <v/>
      </c>
      <c r="N119" s="36" t="str">
        <f>IF($B119="","",ROUND(1+($I119*(SUMIFS(OBJECT_CONDITIONS!$W:$W,OBJECT_CONDITIONS!$A:$A,$B119)-1))+($J119*(SUMIFS(OBJECT_CONDITIONS!$J:$J,OBJECT_CONDITIONS!$A:$A,$B119)-1))+($K119*(SUMIFS(OBJECT_CONDITIONS!$L:$L,OBJECT_CONDITIONS!$A:$A,$B119)-1))+($L119*(SUMIFS(OBJECT_CONDITIONS!$N:$N,OBJECT_CONDITIONS!$A:$A,$B119)-1))+($M119*(SUMIFS(OBJECT_CONDITIONS!$R:$R,OBJECT_CONDITIONS!$A:$A,$B119)-1)),3))</f>
        <v/>
      </c>
      <c r="O119" s="36"/>
      <c r="P119" s="36" t="str">
        <f t="shared" si="1"/>
        <v/>
      </c>
      <c r="Q119" s="36" t="str">
        <f t="shared" si="2"/>
        <v/>
      </c>
      <c r="R119" s="11" t="str">
        <f t="array" ref="R119">IF($D119="","",IFERROR(INDEX(MATERIAL_VARIANTS!$O:$O,MATCH($D119,MATERIAL_VARIANTS!$A:$A,0)),""))</f>
        <v/>
      </c>
      <c r="S119" s="36" t="str">
        <f t="array" ref="S119">IF($D119="","",IFERROR(INDEX(MATERIAL_VARIANTS!$P:$P,MATCH($D119,MATERIAL_VARIANTS!$A:$A,0)),""))</f>
        <v/>
      </c>
      <c r="T119" s="11" t="str">
        <f t="shared" si="3"/>
        <v/>
      </c>
      <c r="U119" s="11"/>
    </row>
    <row r="120" ht="14.25" customHeight="1">
      <c r="A120" s="11"/>
      <c r="B120" s="11"/>
      <c r="C120" s="11"/>
      <c r="D120" s="11"/>
      <c r="E120" s="11"/>
      <c r="F120" s="11"/>
      <c r="G120" s="11" t="str">
        <f t="array" ref="G120">IF($C120="","",INDEX(MATERIAL_MASTER!$O:$O,MATCH($C120,MATERIAL_MASTER!$A:$A,0)))</f>
        <v/>
      </c>
      <c r="H120" s="36" t="str">
        <f t="array" ref="H120">IF($C120="","",INDEX(MATERIAL_MASTER!$P:$P,MATCH($C120,MATERIAL_MASTER!$A:$A,0)))</f>
        <v/>
      </c>
      <c r="I120" s="36" t="str">
        <f t="array" ref="I120">IF($C120="","",INDEX(MATERIAL_FACTOR_APPLICABILITY!$D:$D,MATCH($C120,MATERIAL_FACTOR_APPLICABILITY!$A:$A,0)))</f>
        <v/>
      </c>
      <c r="J120" s="36" t="str">
        <f t="array" ref="J120">IF($C120="","",INDEX(MATERIAL_FACTOR_APPLICABILITY!$E:$E,MATCH($C120,MATERIAL_FACTOR_APPLICABILITY!$A:$A,0)))</f>
        <v/>
      </c>
      <c r="K120" s="36" t="str">
        <f t="array" ref="K120">IF($C120="","",INDEX(MATERIAL_FACTOR_APPLICABILITY!$F:$F,MATCH($C120,MATERIAL_FACTOR_APPLICABILITY!$A:$A,0)))</f>
        <v/>
      </c>
      <c r="L120" s="36" t="str">
        <f t="array" ref="L120">IF($C120="","",INDEX(MATERIAL_FACTOR_APPLICABILITY!$G:$G,MATCH($C120,MATERIAL_FACTOR_APPLICABILITY!$A:$A,0)))</f>
        <v/>
      </c>
      <c r="M120" s="36" t="str">
        <f t="array" ref="M120">IF($C120="","",INDEX(MATERIAL_FACTOR_APPLICABILITY!$H:$H,MATCH($C120,MATERIAL_FACTOR_APPLICABILITY!$A:$A,0)))</f>
        <v/>
      </c>
      <c r="N120" s="36" t="str">
        <f>IF($B120="","",ROUND(1+($I120*(SUMIFS(OBJECT_CONDITIONS!$W:$W,OBJECT_CONDITIONS!$A:$A,$B120)-1))+($J120*(SUMIFS(OBJECT_CONDITIONS!$J:$J,OBJECT_CONDITIONS!$A:$A,$B120)-1))+($K120*(SUMIFS(OBJECT_CONDITIONS!$L:$L,OBJECT_CONDITIONS!$A:$A,$B120)-1))+($L120*(SUMIFS(OBJECT_CONDITIONS!$N:$N,OBJECT_CONDITIONS!$A:$A,$B120)-1))+($M120*(SUMIFS(OBJECT_CONDITIONS!$R:$R,OBJECT_CONDITIONS!$A:$A,$B120)-1)),3))</f>
        <v/>
      </c>
      <c r="O120" s="36"/>
      <c r="P120" s="36" t="str">
        <f t="shared" si="1"/>
        <v/>
      </c>
      <c r="Q120" s="36" t="str">
        <f t="shared" si="2"/>
        <v/>
      </c>
      <c r="R120" s="11" t="str">
        <f t="array" ref="R120">IF($D120="","",IFERROR(INDEX(MATERIAL_VARIANTS!$O:$O,MATCH($D120,MATERIAL_VARIANTS!$A:$A,0)),""))</f>
        <v/>
      </c>
      <c r="S120" s="36" t="str">
        <f t="array" ref="S120">IF($D120="","",IFERROR(INDEX(MATERIAL_VARIANTS!$P:$P,MATCH($D120,MATERIAL_VARIANTS!$A:$A,0)),""))</f>
        <v/>
      </c>
      <c r="T120" s="11" t="str">
        <f t="shared" si="3"/>
        <v/>
      </c>
      <c r="U120" s="11"/>
    </row>
    <row r="121" ht="14.25" customHeight="1">
      <c r="A121" s="11"/>
      <c r="B121" s="11"/>
      <c r="C121" s="11"/>
      <c r="D121" s="11"/>
      <c r="E121" s="11"/>
      <c r="F121" s="11"/>
      <c r="G121" s="11" t="str">
        <f t="array" ref="G121">IF($C121="","",INDEX(MATERIAL_MASTER!$O:$O,MATCH($C121,MATERIAL_MASTER!$A:$A,0)))</f>
        <v/>
      </c>
      <c r="H121" s="36" t="str">
        <f t="array" ref="H121">IF($C121="","",INDEX(MATERIAL_MASTER!$P:$P,MATCH($C121,MATERIAL_MASTER!$A:$A,0)))</f>
        <v/>
      </c>
      <c r="I121" s="36" t="str">
        <f t="array" ref="I121">IF($C121="","",INDEX(MATERIAL_FACTOR_APPLICABILITY!$D:$D,MATCH($C121,MATERIAL_FACTOR_APPLICABILITY!$A:$A,0)))</f>
        <v/>
      </c>
      <c r="J121" s="36" t="str">
        <f t="array" ref="J121">IF($C121="","",INDEX(MATERIAL_FACTOR_APPLICABILITY!$E:$E,MATCH($C121,MATERIAL_FACTOR_APPLICABILITY!$A:$A,0)))</f>
        <v/>
      </c>
      <c r="K121" s="36" t="str">
        <f t="array" ref="K121">IF($C121="","",INDEX(MATERIAL_FACTOR_APPLICABILITY!$F:$F,MATCH($C121,MATERIAL_FACTOR_APPLICABILITY!$A:$A,0)))</f>
        <v/>
      </c>
      <c r="L121" s="36" t="str">
        <f t="array" ref="L121">IF($C121="","",INDEX(MATERIAL_FACTOR_APPLICABILITY!$G:$G,MATCH($C121,MATERIAL_FACTOR_APPLICABILITY!$A:$A,0)))</f>
        <v/>
      </c>
      <c r="M121" s="36" t="str">
        <f t="array" ref="M121">IF($C121="","",INDEX(MATERIAL_FACTOR_APPLICABILITY!$H:$H,MATCH($C121,MATERIAL_FACTOR_APPLICABILITY!$A:$A,0)))</f>
        <v/>
      </c>
      <c r="N121" s="36" t="str">
        <f>IF($B121="","",ROUND(1+($I121*(SUMIFS(OBJECT_CONDITIONS!$W:$W,OBJECT_CONDITIONS!$A:$A,$B121)-1))+($J121*(SUMIFS(OBJECT_CONDITIONS!$J:$J,OBJECT_CONDITIONS!$A:$A,$B121)-1))+($K121*(SUMIFS(OBJECT_CONDITIONS!$L:$L,OBJECT_CONDITIONS!$A:$A,$B121)-1))+($L121*(SUMIFS(OBJECT_CONDITIONS!$N:$N,OBJECT_CONDITIONS!$A:$A,$B121)-1))+($M121*(SUMIFS(OBJECT_CONDITIONS!$R:$R,OBJECT_CONDITIONS!$A:$A,$B121)-1)),3))</f>
        <v/>
      </c>
      <c r="O121" s="36"/>
      <c r="P121" s="36" t="str">
        <f t="shared" si="1"/>
        <v/>
      </c>
      <c r="Q121" s="36" t="str">
        <f t="shared" si="2"/>
        <v/>
      </c>
      <c r="R121" s="11" t="str">
        <f t="array" ref="R121">IF($D121="","",IFERROR(INDEX(MATERIAL_VARIANTS!$O:$O,MATCH($D121,MATERIAL_VARIANTS!$A:$A,0)),""))</f>
        <v/>
      </c>
      <c r="S121" s="36" t="str">
        <f t="array" ref="S121">IF($D121="","",IFERROR(INDEX(MATERIAL_VARIANTS!$P:$P,MATCH($D121,MATERIAL_VARIANTS!$A:$A,0)),""))</f>
        <v/>
      </c>
      <c r="T121" s="11" t="str">
        <f t="shared" si="3"/>
        <v/>
      </c>
      <c r="U121" s="11"/>
    </row>
    <row r="122" ht="14.25" customHeight="1">
      <c r="A122" s="11"/>
      <c r="B122" s="11"/>
      <c r="C122" s="11"/>
      <c r="D122" s="11"/>
      <c r="E122" s="11"/>
      <c r="F122" s="11"/>
      <c r="G122" s="11" t="str">
        <f t="array" ref="G122">IF($C122="","",INDEX(MATERIAL_MASTER!$O:$O,MATCH($C122,MATERIAL_MASTER!$A:$A,0)))</f>
        <v/>
      </c>
      <c r="H122" s="36" t="str">
        <f t="array" ref="H122">IF($C122="","",INDEX(MATERIAL_MASTER!$P:$P,MATCH($C122,MATERIAL_MASTER!$A:$A,0)))</f>
        <v/>
      </c>
      <c r="I122" s="36" t="str">
        <f t="array" ref="I122">IF($C122="","",INDEX(MATERIAL_FACTOR_APPLICABILITY!$D:$D,MATCH($C122,MATERIAL_FACTOR_APPLICABILITY!$A:$A,0)))</f>
        <v/>
      </c>
      <c r="J122" s="36" t="str">
        <f t="array" ref="J122">IF($C122="","",INDEX(MATERIAL_FACTOR_APPLICABILITY!$E:$E,MATCH($C122,MATERIAL_FACTOR_APPLICABILITY!$A:$A,0)))</f>
        <v/>
      </c>
      <c r="K122" s="36" t="str">
        <f t="array" ref="K122">IF($C122="","",INDEX(MATERIAL_FACTOR_APPLICABILITY!$F:$F,MATCH($C122,MATERIAL_FACTOR_APPLICABILITY!$A:$A,0)))</f>
        <v/>
      </c>
      <c r="L122" s="36" t="str">
        <f t="array" ref="L122">IF($C122="","",INDEX(MATERIAL_FACTOR_APPLICABILITY!$G:$G,MATCH($C122,MATERIAL_FACTOR_APPLICABILITY!$A:$A,0)))</f>
        <v/>
      </c>
      <c r="M122" s="36" t="str">
        <f t="array" ref="M122">IF($C122="","",INDEX(MATERIAL_FACTOR_APPLICABILITY!$H:$H,MATCH($C122,MATERIAL_FACTOR_APPLICABILITY!$A:$A,0)))</f>
        <v/>
      </c>
      <c r="N122" s="36" t="str">
        <f>IF($B122="","",ROUND(1+($I122*(SUMIFS(OBJECT_CONDITIONS!$W:$W,OBJECT_CONDITIONS!$A:$A,$B122)-1))+($J122*(SUMIFS(OBJECT_CONDITIONS!$J:$J,OBJECT_CONDITIONS!$A:$A,$B122)-1))+($K122*(SUMIFS(OBJECT_CONDITIONS!$L:$L,OBJECT_CONDITIONS!$A:$A,$B122)-1))+($L122*(SUMIFS(OBJECT_CONDITIONS!$N:$N,OBJECT_CONDITIONS!$A:$A,$B122)-1))+($M122*(SUMIFS(OBJECT_CONDITIONS!$R:$R,OBJECT_CONDITIONS!$A:$A,$B122)-1)),3))</f>
        <v/>
      </c>
      <c r="O122" s="36"/>
      <c r="P122" s="36" t="str">
        <f t="shared" si="1"/>
        <v/>
      </c>
      <c r="Q122" s="36" t="str">
        <f t="shared" si="2"/>
        <v/>
      </c>
      <c r="R122" s="11" t="str">
        <f t="array" ref="R122">IF($D122="","",IFERROR(INDEX(MATERIAL_VARIANTS!$O:$O,MATCH($D122,MATERIAL_VARIANTS!$A:$A,0)),""))</f>
        <v/>
      </c>
      <c r="S122" s="36" t="str">
        <f t="array" ref="S122">IF($D122="","",IFERROR(INDEX(MATERIAL_VARIANTS!$P:$P,MATCH($D122,MATERIAL_VARIANTS!$A:$A,0)),""))</f>
        <v/>
      </c>
      <c r="T122" s="11" t="str">
        <f t="shared" si="3"/>
        <v/>
      </c>
      <c r="U122" s="11"/>
    </row>
    <row r="123" ht="14.25" customHeight="1">
      <c r="A123" s="11"/>
      <c r="B123" s="11"/>
      <c r="C123" s="11"/>
      <c r="D123" s="11"/>
      <c r="E123" s="11"/>
      <c r="F123" s="11"/>
      <c r="G123" s="11" t="str">
        <f t="array" ref="G123">IF($C123="","",INDEX(MATERIAL_MASTER!$O:$O,MATCH($C123,MATERIAL_MASTER!$A:$A,0)))</f>
        <v/>
      </c>
      <c r="H123" s="36" t="str">
        <f t="array" ref="H123">IF($C123="","",INDEX(MATERIAL_MASTER!$P:$P,MATCH($C123,MATERIAL_MASTER!$A:$A,0)))</f>
        <v/>
      </c>
      <c r="I123" s="36" t="str">
        <f t="array" ref="I123">IF($C123="","",INDEX(MATERIAL_FACTOR_APPLICABILITY!$D:$D,MATCH($C123,MATERIAL_FACTOR_APPLICABILITY!$A:$A,0)))</f>
        <v/>
      </c>
      <c r="J123" s="36" t="str">
        <f t="array" ref="J123">IF($C123="","",INDEX(MATERIAL_FACTOR_APPLICABILITY!$E:$E,MATCH($C123,MATERIAL_FACTOR_APPLICABILITY!$A:$A,0)))</f>
        <v/>
      </c>
      <c r="K123" s="36" t="str">
        <f t="array" ref="K123">IF($C123="","",INDEX(MATERIAL_FACTOR_APPLICABILITY!$F:$F,MATCH($C123,MATERIAL_FACTOR_APPLICABILITY!$A:$A,0)))</f>
        <v/>
      </c>
      <c r="L123" s="36" t="str">
        <f t="array" ref="L123">IF($C123="","",INDEX(MATERIAL_FACTOR_APPLICABILITY!$G:$G,MATCH($C123,MATERIAL_FACTOR_APPLICABILITY!$A:$A,0)))</f>
        <v/>
      </c>
      <c r="M123" s="36" t="str">
        <f t="array" ref="M123">IF($C123="","",INDEX(MATERIAL_FACTOR_APPLICABILITY!$H:$H,MATCH($C123,MATERIAL_FACTOR_APPLICABILITY!$A:$A,0)))</f>
        <v/>
      </c>
      <c r="N123" s="36" t="str">
        <f>IF($B123="","",ROUND(1+($I123*(SUMIFS(OBJECT_CONDITIONS!$W:$W,OBJECT_CONDITIONS!$A:$A,$B123)-1))+($J123*(SUMIFS(OBJECT_CONDITIONS!$J:$J,OBJECT_CONDITIONS!$A:$A,$B123)-1))+($K123*(SUMIFS(OBJECT_CONDITIONS!$L:$L,OBJECT_CONDITIONS!$A:$A,$B123)-1))+($L123*(SUMIFS(OBJECT_CONDITIONS!$N:$N,OBJECT_CONDITIONS!$A:$A,$B123)-1))+($M123*(SUMIFS(OBJECT_CONDITIONS!$R:$R,OBJECT_CONDITIONS!$A:$A,$B123)-1)),3))</f>
        <v/>
      </c>
      <c r="O123" s="36"/>
      <c r="P123" s="36" t="str">
        <f t="shared" si="1"/>
        <v/>
      </c>
      <c r="Q123" s="36" t="str">
        <f t="shared" si="2"/>
        <v/>
      </c>
      <c r="R123" s="11" t="str">
        <f t="array" ref="R123">IF($D123="","",IFERROR(INDEX(MATERIAL_VARIANTS!$O:$O,MATCH($D123,MATERIAL_VARIANTS!$A:$A,0)),""))</f>
        <v/>
      </c>
      <c r="S123" s="36" t="str">
        <f t="array" ref="S123">IF($D123="","",IFERROR(INDEX(MATERIAL_VARIANTS!$P:$P,MATCH($D123,MATERIAL_VARIANTS!$A:$A,0)),""))</f>
        <v/>
      </c>
      <c r="T123" s="11" t="str">
        <f t="shared" si="3"/>
        <v/>
      </c>
      <c r="U123" s="11"/>
    </row>
    <row r="124" ht="14.25" customHeight="1">
      <c r="A124" s="11"/>
      <c r="B124" s="11"/>
      <c r="C124" s="11"/>
      <c r="D124" s="11"/>
      <c r="E124" s="11"/>
      <c r="F124" s="11"/>
      <c r="G124" s="11" t="str">
        <f t="array" ref="G124">IF($C124="","",INDEX(MATERIAL_MASTER!$O:$O,MATCH($C124,MATERIAL_MASTER!$A:$A,0)))</f>
        <v/>
      </c>
      <c r="H124" s="36" t="str">
        <f t="array" ref="H124">IF($C124="","",INDEX(MATERIAL_MASTER!$P:$P,MATCH($C124,MATERIAL_MASTER!$A:$A,0)))</f>
        <v/>
      </c>
      <c r="I124" s="36" t="str">
        <f t="array" ref="I124">IF($C124="","",INDEX(MATERIAL_FACTOR_APPLICABILITY!$D:$D,MATCH($C124,MATERIAL_FACTOR_APPLICABILITY!$A:$A,0)))</f>
        <v/>
      </c>
      <c r="J124" s="36" t="str">
        <f t="array" ref="J124">IF($C124="","",INDEX(MATERIAL_FACTOR_APPLICABILITY!$E:$E,MATCH($C124,MATERIAL_FACTOR_APPLICABILITY!$A:$A,0)))</f>
        <v/>
      </c>
      <c r="K124" s="36" t="str">
        <f t="array" ref="K124">IF($C124="","",INDEX(MATERIAL_FACTOR_APPLICABILITY!$F:$F,MATCH($C124,MATERIAL_FACTOR_APPLICABILITY!$A:$A,0)))</f>
        <v/>
      </c>
      <c r="L124" s="36" t="str">
        <f t="array" ref="L124">IF($C124="","",INDEX(MATERIAL_FACTOR_APPLICABILITY!$G:$G,MATCH($C124,MATERIAL_FACTOR_APPLICABILITY!$A:$A,0)))</f>
        <v/>
      </c>
      <c r="M124" s="36" t="str">
        <f t="array" ref="M124">IF($C124="","",INDEX(MATERIAL_FACTOR_APPLICABILITY!$H:$H,MATCH($C124,MATERIAL_FACTOR_APPLICABILITY!$A:$A,0)))</f>
        <v/>
      </c>
      <c r="N124" s="36" t="str">
        <f>IF($B124="","",ROUND(1+($I124*(SUMIFS(OBJECT_CONDITIONS!$W:$W,OBJECT_CONDITIONS!$A:$A,$B124)-1))+($J124*(SUMIFS(OBJECT_CONDITIONS!$J:$J,OBJECT_CONDITIONS!$A:$A,$B124)-1))+($K124*(SUMIFS(OBJECT_CONDITIONS!$L:$L,OBJECT_CONDITIONS!$A:$A,$B124)-1))+($L124*(SUMIFS(OBJECT_CONDITIONS!$N:$N,OBJECT_CONDITIONS!$A:$A,$B124)-1))+($M124*(SUMIFS(OBJECT_CONDITIONS!$R:$R,OBJECT_CONDITIONS!$A:$A,$B124)-1)),3))</f>
        <v/>
      </c>
      <c r="O124" s="36"/>
      <c r="P124" s="36" t="str">
        <f t="shared" si="1"/>
        <v/>
      </c>
      <c r="Q124" s="36" t="str">
        <f t="shared" si="2"/>
        <v/>
      </c>
      <c r="R124" s="11" t="str">
        <f t="array" ref="R124">IF($D124="","",IFERROR(INDEX(MATERIAL_VARIANTS!$O:$O,MATCH($D124,MATERIAL_VARIANTS!$A:$A,0)),""))</f>
        <v/>
      </c>
      <c r="S124" s="36" t="str">
        <f t="array" ref="S124">IF($D124="","",IFERROR(INDEX(MATERIAL_VARIANTS!$P:$P,MATCH($D124,MATERIAL_VARIANTS!$A:$A,0)),""))</f>
        <v/>
      </c>
      <c r="T124" s="11" t="str">
        <f t="shared" si="3"/>
        <v/>
      </c>
      <c r="U124" s="11"/>
    </row>
    <row r="125" ht="14.25" customHeight="1">
      <c r="A125" s="11"/>
      <c r="B125" s="11"/>
      <c r="C125" s="11"/>
      <c r="D125" s="11"/>
      <c r="E125" s="11"/>
      <c r="F125" s="11"/>
      <c r="G125" s="11" t="str">
        <f t="array" ref="G125">IF($C125="","",INDEX(MATERIAL_MASTER!$O:$O,MATCH($C125,MATERIAL_MASTER!$A:$A,0)))</f>
        <v/>
      </c>
      <c r="H125" s="36" t="str">
        <f t="array" ref="H125">IF($C125="","",INDEX(MATERIAL_MASTER!$P:$P,MATCH($C125,MATERIAL_MASTER!$A:$A,0)))</f>
        <v/>
      </c>
      <c r="I125" s="36" t="str">
        <f t="array" ref="I125">IF($C125="","",INDEX(MATERIAL_FACTOR_APPLICABILITY!$D:$D,MATCH($C125,MATERIAL_FACTOR_APPLICABILITY!$A:$A,0)))</f>
        <v/>
      </c>
      <c r="J125" s="36" t="str">
        <f t="array" ref="J125">IF($C125="","",INDEX(MATERIAL_FACTOR_APPLICABILITY!$E:$E,MATCH($C125,MATERIAL_FACTOR_APPLICABILITY!$A:$A,0)))</f>
        <v/>
      </c>
      <c r="K125" s="36" t="str">
        <f t="array" ref="K125">IF($C125="","",INDEX(MATERIAL_FACTOR_APPLICABILITY!$F:$F,MATCH($C125,MATERIAL_FACTOR_APPLICABILITY!$A:$A,0)))</f>
        <v/>
      </c>
      <c r="L125" s="36" t="str">
        <f t="array" ref="L125">IF($C125="","",INDEX(MATERIAL_FACTOR_APPLICABILITY!$G:$G,MATCH($C125,MATERIAL_FACTOR_APPLICABILITY!$A:$A,0)))</f>
        <v/>
      </c>
      <c r="M125" s="36" t="str">
        <f t="array" ref="M125">IF($C125="","",INDEX(MATERIAL_FACTOR_APPLICABILITY!$H:$H,MATCH($C125,MATERIAL_FACTOR_APPLICABILITY!$A:$A,0)))</f>
        <v/>
      </c>
      <c r="N125" s="36" t="str">
        <f>IF($B125="","",ROUND(1+($I125*(SUMIFS(OBJECT_CONDITIONS!$W:$W,OBJECT_CONDITIONS!$A:$A,$B125)-1))+($J125*(SUMIFS(OBJECT_CONDITIONS!$J:$J,OBJECT_CONDITIONS!$A:$A,$B125)-1))+($K125*(SUMIFS(OBJECT_CONDITIONS!$L:$L,OBJECT_CONDITIONS!$A:$A,$B125)-1))+($L125*(SUMIFS(OBJECT_CONDITIONS!$N:$N,OBJECT_CONDITIONS!$A:$A,$B125)-1))+($M125*(SUMIFS(OBJECT_CONDITIONS!$R:$R,OBJECT_CONDITIONS!$A:$A,$B125)-1)),3))</f>
        <v/>
      </c>
      <c r="O125" s="36"/>
      <c r="P125" s="36" t="str">
        <f t="shared" si="1"/>
        <v/>
      </c>
      <c r="Q125" s="36" t="str">
        <f t="shared" si="2"/>
        <v/>
      </c>
      <c r="R125" s="11" t="str">
        <f t="array" ref="R125">IF($D125="","",IFERROR(INDEX(MATERIAL_VARIANTS!$O:$O,MATCH($D125,MATERIAL_VARIANTS!$A:$A,0)),""))</f>
        <v/>
      </c>
      <c r="S125" s="36" t="str">
        <f t="array" ref="S125">IF($D125="","",IFERROR(INDEX(MATERIAL_VARIANTS!$P:$P,MATCH($D125,MATERIAL_VARIANTS!$A:$A,0)),""))</f>
        <v/>
      </c>
      <c r="T125" s="11" t="str">
        <f t="shared" si="3"/>
        <v/>
      </c>
      <c r="U125" s="11"/>
    </row>
    <row r="126" ht="14.25" customHeight="1">
      <c r="A126" s="11"/>
      <c r="B126" s="11"/>
      <c r="C126" s="11"/>
      <c r="D126" s="11"/>
      <c r="E126" s="11"/>
      <c r="F126" s="11"/>
      <c r="G126" s="11" t="str">
        <f t="array" ref="G126">IF($C126="","",INDEX(MATERIAL_MASTER!$O:$O,MATCH($C126,MATERIAL_MASTER!$A:$A,0)))</f>
        <v/>
      </c>
      <c r="H126" s="36" t="str">
        <f t="array" ref="H126">IF($C126="","",INDEX(MATERIAL_MASTER!$P:$P,MATCH($C126,MATERIAL_MASTER!$A:$A,0)))</f>
        <v/>
      </c>
      <c r="I126" s="36" t="str">
        <f t="array" ref="I126">IF($C126="","",INDEX(MATERIAL_FACTOR_APPLICABILITY!$D:$D,MATCH($C126,MATERIAL_FACTOR_APPLICABILITY!$A:$A,0)))</f>
        <v/>
      </c>
      <c r="J126" s="36" t="str">
        <f t="array" ref="J126">IF($C126="","",INDEX(MATERIAL_FACTOR_APPLICABILITY!$E:$E,MATCH($C126,MATERIAL_FACTOR_APPLICABILITY!$A:$A,0)))</f>
        <v/>
      </c>
      <c r="K126" s="36" t="str">
        <f t="array" ref="K126">IF($C126="","",INDEX(MATERIAL_FACTOR_APPLICABILITY!$F:$F,MATCH($C126,MATERIAL_FACTOR_APPLICABILITY!$A:$A,0)))</f>
        <v/>
      </c>
      <c r="L126" s="36" t="str">
        <f t="array" ref="L126">IF($C126="","",INDEX(MATERIAL_FACTOR_APPLICABILITY!$G:$G,MATCH($C126,MATERIAL_FACTOR_APPLICABILITY!$A:$A,0)))</f>
        <v/>
      </c>
      <c r="M126" s="36" t="str">
        <f t="array" ref="M126">IF($C126="","",INDEX(MATERIAL_FACTOR_APPLICABILITY!$H:$H,MATCH($C126,MATERIAL_FACTOR_APPLICABILITY!$A:$A,0)))</f>
        <v/>
      </c>
      <c r="N126" s="36" t="str">
        <f>IF($B126="","",ROUND(1+($I126*(SUMIFS(OBJECT_CONDITIONS!$W:$W,OBJECT_CONDITIONS!$A:$A,$B126)-1))+($J126*(SUMIFS(OBJECT_CONDITIONS!$J:$J,OBJECT_CONDITIONS!$A:$A,$B126)-1))+($K126*(SUMIFS(OBJECT_CONDITIONS!$L:$L,OBJECT_CONDITIONS!$A:$A,$B126)-1))+($L126*(SUMIFS(OBJECT_CONDITIONS!$N:$N,OBJECT_CONDITIONS!$A:$A,$B126)-1))+($M126*(SUMIFS(OBJECT_CONDITIONS!$R:$R,OBJECT_CONDITIONS!$A:$A,$B126)-1)),3))</f>
        <v/>
      </c>
      <c r="O126" s="36"/>
      <c r="P126" s="36" t="str">
        <f t="shared" si="1"/>
        <v/>
      </c>
      <c r="Q126" s="36" t="str">
        <f t="shared" si="2"/>
        <v/>
      </c>
      <c r="R126" s="11" t="str">
        <f t="array" ref="R126">IF($D126="","",IFERROR(INDEX(MATERIAL_VARIANTS!$O:$O,MATCH($D126,MATERIAL_VARIANTS!$A:$A,0)),""))</f>
        <v/>
      </c>
      <c r="S126" s="36" t="str">
        <f t="array" ref="S126">IF($D126="","",IFERROR(INDEX(MATERIAL_VARIANTS!$P:$P,MATCH($D126,MATERIAL_VARIANTS!$A:$A,0)),""))</f>
        <v/>
      </c>
      <c r="T126" s="11" t="str">
        <f t="shared" si="3"/>
        <v/>
      </c>
      <c r="U126" s="11"/>
    </row>
    <row r="127" ht="14.25" customHeight="1">
      <c r="A127" s="11"/>
      <c r="B127" s="11"/>
      <c r="C127" s="11"/>
      <c r="D127" s="11"/>
      <c r="E127" s="11"/>
      <c r="F127" s="11"/>
      <c r="G127" s="11" t="str">
        <f t="array" ref="G127">IF($C127="","",INDEX(MATERIAL_MASTER!$O:$O,MATCH($C127,MATERIAL_MASTER!$A:$A,0)))</f>
        <v/>
      </c>
      <c r="H127" s="36" t="str">
        <f t="array" ref="H127">IF($C127="","",INDEX(MATERIAL_MASTER!$P:$P,MATCH($C127,MATERIAL_MASTER!$A:$A,0)))</f>
        <v/>
      </c>
      <c r="I127" s="36" t="str">
        <f t="array" ref="I127">IF($C127="","",INDEX(MATERIAL_FACTOR_APPLICABILITY!$D:$D,MATCH($C127,MATERIAL_FACTOR_APPLICABILITY!$A:$A,0)))</f>
        <v/>
      </c>
      <c r="J127" s="36" t="str">
        <f t="array" ref="J127">IF($C127="","",INDEX(MATERIAL_FACTOR_APPLICABILITY!$E:$E,MATCH($C127,MATERIAL_FACTOR_APPLICABILITY!$A:$A,0)))</f>
        <v/>
      </c>
      <c r="K127" s="36" t="str">
        <f t="array" ref="K127">IF($C127="","",INDEX(MATERIAL_FACTOR_APPLICABILITY!$F:$F,MATCH($C127,MATERIAL_FACTOR_APPLICABILITY!$A:$A,0)))</f>
        <v/>
      </c>
      <c r="L127" s="36" t="str">
        <f t="array" ref="L127">IF($C127="","",INDEX(MATERIAL_FACTOR_APPLICABILITY!$G:$G,MATCH($C127,MATERIAL_FACTOR_APPLICABILITY!$A:$A,0)))</f>
        <v/>
      </c>
      <c r="M127" s="36" t="str">
        <f t="array" ref="M127">IF($C127="","",INDEX(MATERIAL_FACTOR_APPLICABILITY!$H:$H,MATCH($C127,MATERIAL_FACTOR_APPLICABILITY!$A:$A,0)))</f>
        <v/>
      </c>
      <c r="N127" s="36" t="str">
        <f>IF($B127="","",ROUND(1+($I127*(SUMIFS(OBJECT_CONDITIONS!$W:$W,OBJECT_CONDITIONS!$A:$A,$B127)-1))+($J127*(SUMIFS(OBJECT_CONDITIONS!$J:$J,OBJECT_CONDITIONS!$A:$A,$B127)-1))+($K127*(SUMIFS(OBJECT_CONDITIONS!$L:$L,OBJECT_CONDITIONS!$A:$A,$B127)-1))+($L127*(SUMIFS(OBJECT_CONDITIONS!$N:$N,OBJECT_CONDITIONS!$A:$A,$B127)-1))+($M127*(SUMIFS(OBJECT_CONDITIONS!$R:$R,OBJECT_CONDITIONS!$A:$A,$B127)-1)),3))</f>
        <v/>
      </c>
      <c r="O127" s="36"/>
      <c r="P127" s="36" t="str">
        <f t="shared" si="1"/>
        <v/>
      </c>
      <c r="Q127" s="36" t="str">
        <f t="shared" si="2"/>
        <v/>
      </c>
      <c r="R127" s="11" t="str">
        <f t="array" ref="R127">IF($D127="","",IFERROR(INDEX(MATERIAL_VARIANTS!$O:$O,MATCH($D127,MATERIAL_VARIANTS!$A:$A,0)),""))</f>
        <v/>
      </c>
      <c r="S127" s="36" t="str">
        <f t="array" ref="S127">IF($D127="","",IFERROR(INDEX(MATERIAL_VARIANTS!$P:$P,MATCH($D127,MATERIAL_VARIANTS!$A:$A,0)),""))</f>
        <v/>
      </c>
      <c r="T127" s="11" t="str">
        <f t="shared" si="3"/>
        <v/>
      </c>
      <c r="U127" s="11"/>
    </row>
    <row r="128" ht="14.25" customHeight="1">
      <c r="A128" s="11"/>
      <c r="B128" s="11"/>
      <c r="C128" s="11"/>
      <c r="D128" s="11"/>
      <c r="E128" s="11"/>
      <c r="F128" s="11"/>
      <c r="G128" s="11" t="str">
        <f t="array" ref="G128">IF($C128="","",INDEX(MATERIAL_MASTER!$O:$O,MATCH($C128,MATERIAL_MASTER!$A:$A,0)))</f>
        <v/>
      </c>
      <c r="H128" s="36" t="str">
        <f t="array" ref="H128">IF($C128="","",INDEX(MATERIAL_MASTER!$P:$P,MATCH($C128,MATERIAL_MASTER!$A:$A,0)))</f>
        <v/>
      </c>
      <c r="I128" s="36" t="str">
        <f t="array" ref="I128">IF($C128="","",INDEX(MATERIAL_FACTOR_APPLICABILITY!$D:$D,MATCH($C128,MATERIAL_FACTOR_APPLICABILITY!$A:$A,0)))</f>
        <v/>
      </c>
      <c r="J128" s="36" t="str">
        <f t="array" ref="J128">IF($C128="","",INDEX(MATERIAL_FACTOR_APPLICABILITY!$E:$E,MATCH($C128,MATERIAL_FACTOR_APPLICABILITY!$A:$A,0)))</f>
        <v/>
      </c>
      <c r="K128" s="36" t="str">
        <f t="array" ref="K128">IF($C128="","",INDEX(MATERIAL_FACTOR_APPLICABILITY!$F:$F,MATCH($C128,MATERIAL_FACTOR_APPLICABILITY!$A:$A,0)))</f>
        <v/>
      </c>
      <c r="L128" s="36" t="str">
        <f t="array" ref="L128">IF($C128="","",INDEX(MATERIAL_FACTOR_APPLICABILITY!$G:$G,MATCH($C128,MATERIAL_FACTOR_APPLICABILITY!$A:$A,0)))</f>
        <v/>
      </c>
      <c r="M128" s="36" t="str">
        <f t="array" ref="M128">IF($C128="","",INDEX(MATERIAL_FACTOR_APPLICABILITY!$H:$H,MATCH($C128,MATERIAL_FACTOR_APPLICABILITY!$A:$A,0)))</f>
        <v/>
      </c>
      <c r="N128" s="36" t="str">
        <f>IF($B128="","",ROUND(1+($I128*(SUMIFS(OBJECT_CONDITIONS!$W:$W,OBJECT_CONDITIONS!$A:$A,$B128)-1))+($J128*(SUMIFS(OBJECT_CONDITIONS!$J:$J,OBJECT_CONDITIONS!$A:$A,$B128)-1))+($K128*(SUMIFS(OBJECT_CONDITIONS!$L:$L,OBJECT_CONDITIONS!$A:$A,$B128)-1))+($L128*(SUMIFS(OBJECT_CONDITIONS!$N:$N,OBJECT_CONDITIONS!$A:$A,$B128)-1))+($M128*(SUMIFS(OBJECT_CONDITIONS!$R:$R,OBJECT_CONDITIONS!$A:$A,$B128)-1)),3))</f>
        <v/>
      </c>
      <c r="O128" s="36"/>
      <c r="P128" s="36" t="str">
        <f t="shared" si="1"/>
        <v/>
      </c>
      <c r="Q128" s="36" t="str">
        <f t="shared" si="2"/>
        <v/>
      </c>
      <c r="R128" s="11" t="str">
        <f t="array" ref="R128">IF($D128="","",IFERROR(INDEX(MATERIAL_VARIANTS!$O:$O,MATCH($D128,MATERIAL_VARIANTS!$A:$A,0)),""))</f>
        <v/>
      </c>
      <c r="S128" s="36" t="str">
        <f t="array" ref="S128">IF($D128="","",IFERROR(INDEX(MATERIAL_VARIANTS!$P:$P,MATCH($D128,MATERIAL_VARIANTS!$A:$A,0)),""))</f>
        <v/>
      </c>
      <c r="T128" s="11" t="str">
        <f t="shared" si="3"/>
        <v/>
      </c>
      <c r="U128" s="11"/>
    </row>
    <row r="129" ht="14.25" customHeight="1">
      <c r="A129" s="11"/>
      <c r="B129" s="11"/>
      <c r="C129" s="11"/>
      <c r="D129" s="11"/>
      <c r="E129" s="11"/>
      <c r="F129" s="11"/>
      <c r="G129" s="11" t="str">
        <f t="array" ref="G129">IF($C129="","",INDEX(MATERIAL_MASTER!$O:$O,MATCH($C129,MATERIAL_MASTER!$A:$A,0)))</f>
        <v/>
      </c>
      <c r="H129" s="36" t="str">
        <f t="array" ref="H129">IF($C129="","",INDEX(MATERIAL_MASTER!$P:$P,MATCH($C129,MATERIAL_MASTER!$A:$A,0)))</f>
        <v/>
      </c>
      <c r="I129" s="36" t="str">
        <f t="array" ref="I129">IF($C129="","",INDEX(MATERIAL_FACTOR_APPLICABILITY!$D:$D,MATCH($C129,MATERIAL_FACTOR_APPLICABILITY!$A:$A,0)))</f>
        <v/>
      </c>
      <c r="J129" s="36" t="str">
        <f t="array" ref="J129">IF($C129="","",INDEX(MATERIAL_FACTOR_APPLICABILITY!$E:$E,MATCH($C129,MATERIAL_FACTOR_APPLICABILITY!$A:$A,0)))</f>
        <v/>
      </c>
      <c r="K129" s="36" t="str">
        <f t="array" ref="K129">IF($C129="","",INDEX(MATERIAL_FACTOR_APPLICABILITY!$F:$F,MATCH($C129,MATERIAL_FACTOR_APPLICABILITY!$A:$A,0)))</f>
        <v/>
      </c>
      <c r="L129" s="36" t="str">
        <f t="array" ref="L129">IF($C129="","",INDEX(MATERIAL_FACTOR_APPLICABILITY!$G:$G,MATCH($C129,MATERIAL_FACTOR_APPLICABILITY!$A:$A,0)))</f>
        <v/>
      </c>
      <c r="M129" s="36" t="str">
        <f t="array" ref="M129">IF($C129="","",INDEX(MATERIAL_FACTOR_APPLICABILITY!$H:$H,MATCH($C129,MATERIAL_FACTOR_APPLICABILITY!$A:$A,0)))</f>
        <v/>
      </c>
      <c r="N129" s="36" t="str">
        <f>IF($B129="","",ROUND(1+($I129*(SUMIFS(OBJECT_CONDITIONS!$W:$W,OBJECT_CONDITIONS!$A:$A,$B129)-1))+($J129*(SUMIFS(OBJECT_CONDITIONS!$J:$J,OBJECT_CONDITIONS!$A:$A,$B129)-1))+($K129*(SUMIFS(OBJECT_CONDITIONS!$L:$L,OBJECT_CONDITIONS!$A:$A,$B129)-1))+($L129*(SUMIFS(OBJECT_CONDITIONS!$N:$N,OBJECT_CONDITIONS!$A:$A,$B129)-1))+($M129*(SUMIFS(OBJECT_CONDITIONS!$R:$R,OBJECT_CONDITIONS!$A:$A,$B129)-1)),3))</f>
        <v/>
      </c>
      <c r="O129" s="36"/>
      <c r="P129" s="36" t="str">
        <f t="shared" si="1"/>
        <v/>
      </c>
      <c r="Q129" s="36" t="str">
        <f t="shared" si="2"/>
        <v/>
      </c>
      <c r="R129" s="11" t="str">
        <f t="array" ref="R129">IF($D129="","",IFERROR(INDEX(MATERIAL_VARIANTS!$O:$O,MATCH($D129,MATERIAL_VARIANTS!$A:$A,0)),""))</f>
        <v/>
      </c>
      <c r="S129" s="36" t="str">
        <f t="array" ref="S129">IF($D129="","",IFERROR(INDEX(MATERIAL_VARIANTS!$P:$P,MATCH($D129,MATERIAL_VARIANTS!$A:$A,0)),""))</f>
        <v/>
      </c>
      <c r="T129" s="11" t="str">
        <f t="shared" si="3"/>
        <v/>
      </c>
      <c r="U129" s="11"/>
    </row>
    <row r="130" ht="14.25" customHeight="1">
      <c r="A130" s="11"/>
      <c r="B130" s="11"/>
      <c r="C130" s="11"/>
      <c r="D130" s="11"/>
      <c r="E130" s="11"/>
      <c r="F130" s="11"/>
      <c r="G130" s="11" t="str">
        <f t="array" ref="G130">IF($C130="","",INDEX(MATERIAL_MASTER!$O:$O,MATCH($C130,MATERIAL_MASTER!$A:$A,0)))</f>
        <v/>
      </c>
      <c r="H130" s="36" t="str">
        <f t="array" ref="H130">IF($C130="","",INDEX(MATERIAL_MASTER!$P:$P,MATCH($C130,MATERIAL_MASTER!$A:$A,0)))</f>
        <v/>
      </c>
      <c r="I130" s="36" t="str">
        <f t="array" ref="I130">IF($C130="","",INDEX(MATERIAL_FACTOR_APPLICABILITY!$D:$D,MATCH($C130,MATERIAL_FACTOR_APPLICABILITY!$A:$A,0)))</f>
        <v/>
      </c>
      <c r="J130" s="36" t="str">
        <f t="array" ref="J130">IF($C130="","",INDEX(MATERIAL_FACTOR_APPLICABILITY!$E:$E,MATCH($C130,MATERIAL_FACTOR_APPLICABILITY!$A:$A,0)))</f>
        <v/>
      </c>
      <c r="K130" s="36" t="str">
        <f t="array" ref="K130">IF($C130="","",INDEX(MATERIAL_FACTOR_APPLICABILITY!$F:$F,MATCH($C130,MATERIAL_FACTOR_APPLICABILITY!$A:$A,0)))</f>
        <v/>
      </c>
      <c r="L130" s="36" t="str">
        <f t="array" ref="L130">IF($C130="","",INDEX(MATERIAL_FACTOR_APPLICABILITY!$G:$G,MATCH($C130,MATERIAL_FACTOR_APPLICABILITY!$A:$A,0)))</f>
        <v/>
      </c>
      <c r="M130" s="36" t="str">
        <f t="array" ref="M130">IF($C130="","",INDEX(MATERIAL_FACTOR_APPLICABILITY!$H:$H,MATCH($C130,MATERIAL_FACTOR_APPLICABILITY!$A:$A,0)))</f>
        <v/>
      </c>
      <c r="N130" s="36" t="str">
        <f>IF($B130="","",ROUND(1+($I130*(SUMIFS(OBJECT_CONDITIONS!$W:$W,OBJECT_CONDITIONS!$A:$A,$B130)-1))+($J130*(SUMIFS(OBJECT_CONDITIONS!$J:$J,OBJECT_CONDITIONS!$A:$A,$B130)-1))+($K130*(SUMIFS(OBJECT_CONDITIONS!$L:$L,OBJECT_CONDITIONS!$A:$A,$B130)-1))+($L130*(SUMIFS(OBJECT_CONDITIONS!$N:$N,OBJECT_CONDITIONS!$A:$A,$B130)-1))+($M130*(SUMIFS(OBJECT_CONDITIONS!$R:$R,OBJECT_CONDITIONS!$A:$A,$B130)-1)),3))</f>
        <v/>
      </c>
      <c r="O130" s="36"/>
      <c r="P130" s="36" t="str">
        <f t="shared" si="1"/>
        <v/>
      </c>
      <c r="Q130" s="36" t="str">
        <f t="shared" si="2"/>
        <v/>
      </c>
      <c r="R130" s="11" t="str">
        <f t="array" ref="R130">IF($D130="","",IFERROR(INDEX(MATERIAL_VARIANTS!$O:$O,MATCH($D130,MATERIAL_VARIANTS!$A:$A,0)),""))</f>
        <v/>
      </c>
      <c r="S130" s="36" t="str">
        <f t="array" ref="S130">IF($D130="","",IFERROR(INDEX(MATERIAL_VARIANTS!$P:$P,MATCH($D130,MATERIAL_VARIANTS!$A:$A,0)),""))</f>
        <v/>
      </c>
      <c r="T130" s="11" t="str">
        <f t="shared" si="3"/>
        <v/>
      </c>
      <c r="U130" s="11"/>
    </row>
    <row r="131" ht="14.25" customHeight="1">
      <c r="A131" s="11"/>
      <c r="B131" s="11"/>
      <c r="C131" s="11"/>
      <c r="D131" s="11"/>
      <c r="E131" s="11"/>
      <c r="F131" s="11"/>
      <c r="G131" s="11" t="str">
        <f t="array" ref="G131">IF($C131="","",INDEX(MATERIAL_MASTER!$O:$O,MATCH($C131,MATERIAL_MASTER!$A:$A,0)))</f>
        <v/>
      </c>
      <c r="H131" s="36" t="str">
        <f t="array" ref="H131">IF($C131="","",INDEX(MATERIAL_MASTER!$P:$P,MATCH($C131,MATERIAL_MASTER!$A:$A,0)))</f>
        <v/>
      </c>
      <c r="I131" s="36" t="str">
        <f t="array" ref="I131">IF($C131="","",INDEX(MATERIAL_FACTOR_APPLICABILITY!$D:$D,MATCH($C131,MATERIAL_FACTOR_APPLICABILITY!$A:$A,0)))</f>
        <v/>
      </c>
      <c r="J131" s="36" t="str">
        <f t="array" ref="J131">IF($C131="","",INDEX(MATERIAL_FACTOR_APPLICABILITY!$E:$E,MATCH($C131,MATERIAL_FACTOR_APPLICABILITY!$A:$A,0)))</f>
        <v/>
      </c>
      <c r="K131" s="36" t="str">
        <f t="array" ref="K131">IF($C131="","",INDEX(MATERIAL_FACTOR_APPLICABILITY!$F:$F,MATCH($C131,MATERIAL_FACTOR_APPLICABILITY!$A:$A,0)))</f>
        <v/>
      </c>
      <c r="L131" s="36" t="str">
        <f t="array" ref="L131">IF($C131="","",INDEX(MATERIAL_FACTOR_APPLICABILITY!$G:$G,MATCH($C131,MATERIAL_FACTOR_APPLICABILITY!$A:$A,0)))</f>
        <v/>
      </c>
      <c r="M131" s="36" t="str">
        <f t="array" ref="M131">IF($C131="","",INDEX(MATERIAL_FACTOR_APPLICABILITY!$H:$H,MATCH($C131,MATERIAL_FACTOR_APPLICABILITY!$A:$A,0)))</f>
        <v/>
      </c>
      <c r="N131" s="36" t="str">
        <f>IF($B131="","",ROUND(1+($I131*(SUMIFS(OBJECT_CONDITIONS!$W:$W,OBJECT_CONDITIONS!$A:$A,$B131)-1))+($J131*(SUMIFS(OBJECT_CONDITIONS!$J:$J,OBJECT_CONDITIONS!$A:$A,$B131)-1))+($K131*(SUMIFS(OBJECT_CONDITIONS!$L:$L,OBJECT_CONDITIONS!$A:$A,$B131)-1))+($L131*(SUMIFS(OBJECT_CONDITIONS!$N:$N,OBJECT_CONDITIONS!$A:$A,$B131)-1))+($M131*(SUMIFS(OBJECT_CONDITIONS!$R:$R,OBJECT_CONDITIONS!$A:$A,$B131)-1)),3))</f>
        <v/>
      </c>
      <c r="O131" s="36"/>
      <c r="P131" s="36" t="str">
        <f t="shared" si="1"/>
        <v/>
      </c>
      <c r="Q131" s="36" t="str">
        <f t="shared" si="2"/>
        <v/>
      </c>
      <c r="R131" s="11" t="str">
        <f t="array" ref="R131">IF($D131="","",IFERROR(INDEX(MATERIAL_VARIANTS!$O:$O,MATCH($D131,MATERIAL_VARIANTS!$A:$A,0)),""))</f>
        <v/>
      </c>
      <c r="S131" s="36" t="str">
        <f t="array" ref="S131">IF($D131="","",IFERROR(INDEX(MATERIAL_VARIANTS!$P:$P,MATCH($D131,MATERIAL_VARIANTS!$A:$A,0)),""))</f>
        <v/>
      </c>
      <c r="T131" s="11" t="str">
        <f t="shared" si="3"/>
        <v/>
      </c>
      <c r="U131" s="11"/>
    </row>
    <row r="132" ht="14.25" customHeight="1">
      <c r="A132" s="11"/>
      <c r="B132" s="11"/>
      <c r="C132" s="11"/>
      <c r="D132" s="11"/>
      <c r="E132" s="11"/>
      <c r="F132" s="11"/>
      <c r="G132" s="11" t="str">
        <f t="array" ref="G132">IF($C132="","",INDEX(MATERIAL_MASTER!$O:$O,MATCH($C132,MATERIAL_MASTER!$A:$A,0)))</f>
        <v/>
      </c>
      <c r="H132" s="36" t="str">
        <f t="array" ref="H132">IF($C132="","",INDEX(MATERIAL_MASTER!$P:$P,MATCH($C132,MATERIAL_MASTER!$A:$A,0)))</f>
        <v/>
      </c>
      <c r="I132" s="36" t="str">
        <f t="array" ref="I132">IF($C132="","",INDEX(MATERIAL_FACTOR_APPLICABILITY!$D:$D,MATCH($C132,MATERIAL_FACTOR_APPLICABILITY!$A:$A,0)))</f>
        <v/>
      </c>
      <c r="J132" s="36" t="str">
        <f t="array" ref="J132">IF($C132="","",INDEX(MATERIAL_FACTOR_APPLICABILITY!$E:$E,MATCH($C132,MATERIAL_FACTOR_APPLICABILITY!$A:$A,0)))</f>
        <v/>
      </c>
      <c r="K132" s="36" t="str">
        <f t="array" ref="K132">IF($C132="","",INDEX(MATERIAL_FACTOR_APPLICABILITY!$F:$F,MATCH($C132,MATERIAL_FACTOR_APPLICABILITY!$A:$A,0)))</f>
        <v/>
      </c>
      <c r="L132" s="36" t="str">
        <f t="array" ref="L132">IF($C132="","",INDEX(MATERIAL_FACTOR_APPLICABILITY!$G:$G,MATCH($C132,MATERIAL_FACTOR_APPLICABILITY!$A:$A,0)))</f>
        <v/>
      </c>
      <c r="M132" s="36" t="str">
        <f t="array" ref="M132">IF($C132="","",INDEX(MATERIAL_FACTOR_APPLICABILITY!$H:$H,MATCH($C132,MATERIAL_FACTOR_APPLICABILITY!$A:$A,0)))</f>
        <v/>
      </c>
      <c r="N132" s="36" t="str">
        <f>IF($B132="","",ROUND(1+($I132*(SUMIFS(OBJECT_CONDITIONS!$W:$W,OBJECT_CONDITIONS!$A:$A,$B132)-1))+($J132*(SUMIFS(OBJECT_CONDITIONS!$J:$J,OBJECT_CONDITIONS!$A:$A,$B132)-1))+($K132*(SUMIFS(OBJECT_CONDITIONS!$L:$L,OBJECT_CONDITIONS!$A:$A,$B132)-1))+($L132*(SUMIFS(OBJECT_CONDITIONS!$N:$N,OBJECT_CONDITIONS!$A:$A,$B132)-1))+($M132*(SUMIFS(OBJECT_CONDITIONS!$R:$R,OBJECT_CONDITIONS!$A:$A,$B132)-1)),3))</f>
        <v/>
      </c>
      <c r="O132" s="36"/>
      <c r="P132" s="36" t="str">
        <f t="shared" si="1"/>
        <v/>
      </c>
      <c r="Q132" s="36" t="str">
        <f t="shared" si="2"/>
        <v/>
      </c>
      <c r="R132" s="11" t="str">
        <f t="array" ref="R132">IF($D132="","",IFERROR(INDEX(MATERIAL_VARIANTS!$O:$O,MATCH($D132,MATERIAL_VARIANTS!$A:$A,0)),""))</f>
        <v/>
      </c>
      <c r="S132" s="36" t="str">
        <f t="array" ref="S132">IF($D132="","",IFERROR(INDEX(MATERIAL_VARIANTS!$P:$P,MATCH($D132,MATERIAL_VARIANTS!$A:$A,0)),""))</f>
        <v/>
      </c>
      <c r="T132" s="11" t="str">
        <f t="shared" si="3"/>
        <v/>
      </c>
      <c r="U132" s="11"/>
    </row>
    <row r="133" ht="14.25" customHeight="1">
      <c r="A133" s="11"/>
      <c r="B133" s="11"/>
      <c r="C133" s="11"/>
      <c r="D133" s="11"/>
      <c r="E133" s="11"/>
      <c r="F133" s="11"/>
      <c r="G133" s="11" t="str">
        <f t="array" ref="G133">IF($C133="","",INDEX(MATERIAL_MASTER!$O:$O,MATCH($C133,MATERIAL_MASTER!$A:$A,0)))</f>
        <v/>
      </c>
      <c r="H133" s="36" t="str">
        <f t="array" ref="H133">IF($C133="","",INDEX(MATERIAL_MASTER!$P:$P,MATCH($C133,MATERIAL_MASTER!$A:$A,0)))</f>
        <v/>
      </c>
      <c r="I133" s="36" t="str">
        <f t="array" ref="I133">IF($C133="","",INDEX(MATERIAL_FACTOR_APPLICABILITY!$D:$D,MATCH($C133,MATERIAL_FACTOR_APPLICABILITY!$A:$A,0)))</f>
        <v/>
      </c>
      <c r="J133" s="36" t="str">
        <f t="array" ref="J133">IF($C133="","",INDEX(MATERIAL_FACTOR_APPLICABILITY!$E:$E,MATCH($C133,MATERIAL_FACTOR_APPLICABILITY!$A:$A,0)))</f>
        <v/>
      </c>
      <c r="K133" s="36" t="str">
        <f t="array" ref="K133">IF($C133="","",INDEX(MATERIAL_FACTOR_APPLICABILITY!$F:$F,MATCH($C133,MATERIAL_FACTOR_APPLICABILITY!$A:$A,0)))</f>
        <v/>
      </c>
      <c r="L133" s="36" t="str">
        <f t="array" ref="L133">IF($C133="","",INDEX(MATERIAL_FACTOR_APPLICABILITY!$G:$G,MATCH($C133,MATERIAL_FACTOR_APPLICABILITY!$A:$A,0)))</f>
        <v/>
      </c>
      <c r="M133" s="36" t="str">
        <f t="array" ref="M133">IF($C133="","",INDEX(MATERIAL_FACTOR_APPLICABILITY!$H:$H,MATCH($C133,MATERIAL_FACTOR_APPLICABILITY!$A:$A,0)))</f>
        <v/>
      </c>
      <c r="N133" s="36" t="str">
        <f>IF($B133="","",ROUND(1+($I133*(SUMIFS(OBJECT_CONDITIONS!$W:$W,OBJECT_CONDITIONS!$A:$A,$B133)-1))+($J133*(SUMIFS(OBJECT_CONDITIONS!$J:$J,OBJECT_CONDITIONS!$A:$A,$B133)-1))+($K133*(SUMIFS(OBJECT_CONDITIONS!$L:$L,OBJECT_CONDITIONS!$A:$A,$B133)-1))+($L133*(SUMIFS(OBJECT_CONDITIONS!$N:$N,OBJECT_CONDITIONS!$A:$A,$B133)-1))+($M133*(SUMIFS(OBJECT_CONDITIONS!$R:$R,OBJECT_CONDITIONS!$A:$A,$B133)-1)),3))</f>
        <v/>
      </c>
      <c r="O133" s="36"/>
      <c r="P133" s="36" t="str">
        <f t="shared" si="1"/>
        <v/>
      </c>
      <c r="Q133" s="36" t="str">
        <f t="shared" si="2"/>
        <v/>
      </c>
      <c r="R133" s="11" t="str">
        <f t="array" ref="R133">IF($D133="","",IFERROR(INDEX(MATERIAL_VARIANTS!$O:$O,MATCH($D133,MATERIAL_VARIANTS!$A:$A,0)),""))</f>
        <v/>
      </c>
      <c r="S133" s="36" t="str">
        <f t="array" ref="S133">IF($D133="","",IFERROR(INDEX(MATERIAL_VARIANTS!$P:$P,MATCH($D133,MATERIAL_VARIANTS!$A:$A,0)),""))</f>
        <v/>
      </c>
      <c r="T133" s="11" t="str">
        <f t="shared" si="3"/>
        <v/>
      </c>
      <c r="U133" s="11"/>
    </row>
    <row r="134" ht="14.25" customHeight="1">
      <c r="A134" s="11"/>
      <c r="B134" s="11"/>
      <c r="C134" s="11"/>
      <c r="D134" s="11"/>
      <c r="E134" s="11"/>
      <c r="F134" s="11"/>
      <c r="G134" s="11" t="str">
        <f t="array" ref="G134">IF($C134="","",INDEX(MATERIAL_MASTER!$O:$O,MATCH($C134,MATERIAL_MASTER!$A:$A,0)))</f>
        <v/>
      </c>
      <c r="H134" s="36" t="str">
        <f t="array" ref="H134">IF($C134="","",INDEX(MATERIAL_MASTER!$P:$P,MATCH($C134,MATERIAL_MASTER!$A:$A,0)))</f>
        <v/>
      </c>
      <c r="I134" s="36" t="str">
        <f t="array" ref="I134">IF($C134="","",INDEX(MATERIAL_FACTOR_APPLICABILITY!$D:$D,MATCH($C134,MATERIAL_FACTOR_APPLICABILITY!$A:$A,0)))</f>
        <v/>
      </c>
      <c r="J134" s="36" t="str">
        <f t="array" ref="J134">IF($C134="","",INDEX(MATERIAL_FACTOR_APPLICABILITY!$E:$E,MATCH($C134,MATERIAL_FACTOR_APPLICABILITY!$A:$A,0)))</f>
        <v/>
      </c>
      <c r="K134" s="36" t="str">
        <f t="array" ref="K134">IF($C134="","",INDEX(MATERIAL_FACTOR_APPLICABILITY!$F:$F,MATCH($C134,MATERIAL_FACTOR_APPLICABILITY!$A:$A,0)))</f>
        <v/>
      </c>
      <c r="L134" s="36" t="str">
        <f t="array" ref="L134">IF($C134="","",INDEX(MATERIAL_FACTOR_APPLICABILITY!$G:$G,MATCH($C134,MATERIAL_FACTOR_APPLICABILITY!$A:$A,0)))</f>
        <v/>
      </c>
      <c r="M134" s="36" t="str">
        <f t="array" ref="M134">IF($C134="","",INDEX(MATERIAL_FACTOR_APPLICABILITY!$H:$H,MATCH($C134,MATERIAL_FACTOR_APPLICABILITY!$A:$A,0)))</f>
        <v/>
      </c>
      <c r="N134" s="36" t="str">
        <f>IF($B134="","",ROUND(1+($I134*(SUMIFS(OBJECT_CONDITIONS!$W:$W,OBJECT_CONDITIONS!$A:$A,$B134)-1))+($J134*(SUMIFS(OBJECT_CONDITIONS!$J:$J,OBJECT_CONDITIONS!$A:$A,$B134)-1))+($K134*(SUMIFS(OBJECT_CONDITIONS!$L:$L,OBJECT_CONDITIONS!$A:$A,$B134)-1))+($L134*(SUMIFS(OBJECT_CONDITIONS!$N:$N,OBJECT_CONDITIONS!$A:$A,$B134)-1))+($M134*(SUMIFS(OBJECT_CONDITIONS!$R:$R,OBJECT_CONDITIONS!$A:$A,$B134)-1)),3))</f>
        <v/>
      </c>
      <c r="O134" s="36"/>
      <c r="P134" s="36" t="str">
        <f t="shared" si="1"/>
        <v/>
      </c>
      <c r="Q134" s="36" t="str">
        <f t="shared" si="2"/>
        <v/>
      </c>
      <c r="R134" s="11" t="str">
        <f t="array" ref="R134">IF($D134="","",IFERROR(INDEX(MATERIAL_VARIANTS!$O:$O,MATCH($D134,MATERIAL_VARIANTS!$A:$A,0)),""))</f>
        <v/>
      </c>
      <c r="S134" s="36" t="str">
        <f t="array" ref="S134">IF($D134="","",IFERROR(INDEX(MATERIAL_VARIANTS!$P:$P,MATCH($D134,MATERIAL_VARIANTS!$A:$A,0)),""))</f>
        <v/>
      </c>
      <c r="T134" s="11" t="str">
        <f t="shared" si="3"/>
        <v/>
      </c>
      <c r="U134" s="11"/>
    </row>
    <row r="135" ht="14.25" customHeight="1">
      <c r="A135" s="11"/>
      <c r="B135" s="11"/>
      <c r="C135" s="11"/>
      <c r="D135" s="11"/>
      <c r="E135" s="11"/>
      <c r="F135" s="11"/>
      <c r="G135" s="11" t="str">
        <f t="array" ref="G135">IF($C135="","",INDEX(MATERIAL_MASTER!$O:$O,MATCH($C135,MATERIAL_MASTER!$A:$A,0)))</f>
        <v/>
      </c>
      <c r="H135" s="36" t="str">
        <f t="array" ref="H135">IF($C135="","",INDEX(MATERIAL_MASTER!$P:$P,MATCH($C135,MATERIAL_MASTER!$A:$A,0)))</f>
        <v/>
      </c>
      <c r="I135" s="36" t="str">
        <f t="array" ref="I135">IF($C135="","",INDEX(MATERIAL_FACTOR_APPLICABILITY!$D:$D,MATCH($C135,MATERIAL_FACTOR_APPLICABILITY!$A:$A,0)))</f>
        <v/>
      </c>
      <c r="J135" s="36" t="str">
        <f t="array" ref="J135">IF($C135="","",INDEX(MATERIAL_FACTOR_APPLICABILITY!$E:$E,MATCH($C135,MATERIAL_FACTOR_APPLICABILITY!$A:$A,0)))</f>
        <v/>
      </c>
      <c r="K135" s="36" t="str">
        <f t="array" ref="K135">IF($C135="","",INDEX(MATERIAL_FACTOR_APPLICABILITY!$F:$F,MATCH($C135,MATERIAL_FACTOR_APPLICABILITY!$A:$A,0)))</f>
        <v/>
      </c>
      <c r="L135" s="36" t="str">
        <f t="array" ref="L135">IF($C135="","",INDEX(MATERIAL_FACTOR_APPLICABILITY!$G:$G,MATCH($C135,MATERIAL_FACTOR_APPLICABILITY!$A:$A,0)))</f>
        <v/>
      </c>
      <c r="M135" s="36" t="str">
        <f t="array" ref="M135">IF($C135="","",INDEX(MATERIAL_FACTOR_APPLICABILITY!$H:$H,MATCH($C135,MATERIAL_FACTOR_APPLICABILITY!$A:$A,0)))</f>
        <v/>
      </c>
      <c r="N135" s="36" t="str">
        <f>IF($B135="","",ROUND(1+($I135*(SUMIFS(OBJECT_CONDITIONS!$W:$W,OBJECT_CONDITIONS!$A:$A,$B135)-1))+($J135*(SUMIFS(OBJECT_CONDITIONS!$J:$J,OBJECT_CONDITIONS!$A:$A,$B135)-1))+($K135*(SUMIFS(OBJECT_CONDITIONS!$L:$L,OBJECT_CONDITIONS!$A:$A,$B135)-1))+($L135*(SUMIFS(OBJECT_CONDITIONS!$N:$N,OBJECT_CONDITIONS!$A:$A,$B135)-1))+($M135*(SUMIFS(OBJECT_CONDITIONS!$R:$R,OBJECT_CONDITIONS!$A:$A,$B135)-1)),3))</f>
        <v/>
      </c>
      <c r="O135" s="36"/>
      <c r="P135" s="36" t="str">
        <f t="shared" si="1"/>
        <v/>
      </c>
      <c r="Q135" s="36" t="str">
        <f t="shared" si="2"/>
        <v/>
      </c>
      <c r="R135" s="11" t="str">
        <f t="array" ref="R135">IF($D135="","",IFERROR(INDEX(MATERIAL_VARIANTS!$O:$O,MATCH($D135,MATERIAL_VARIANTS!$A:$A,0)),""))</f>
        <v/>
      </c>
      <c r="S135" s="36" t="str">
        <f t="array" ref="S135">IF($D135="","",IFERROR(INDEX(MATERIAL_VARIANTS!$P:$P,MATCH($D135,MATERIAL_VARIANTS!$A:$A,0)),""))</f>
        <v/>
      </c>
      <c r="T135" s="11" t="str">
        <f t="shared" si="3"/>
        <v/>
      </c>
      <c r="U135" s="11"/>
    </row>
    <row r="136" ht="14.25" customHeight="1">
      <c r="A136" s="11"/>
      <c r="B136" s="11"/>
      <c r="C136" s="11"/>
      <c r="D136" s="11"/>
      <c r="E136" s="11"/>
      <c r="F136" s="11"/>
      <c r="G136" s="11" t="str">
        <f t="array" ref="G136">IF($C136="","",INDEX(MATERIAL_MASTER!$O:$O,MATCH($C136,MATERIAL_MASTER!$A:$A,0)))</f>
        <v/>
      </c>
      <c r="H136" s="36" t="str">
        <f t="array" ref="H136">IF($C136="","",INDEX(MATERIAL_MASTER!$P:$P,MATCH($C136,MATERIAL_MASTER!$A:$A,0)))</f>
        <v/>
      </c>
      <c r="I136" s="36" t="str">
        <f t="array" ref="I136">IF($C136="","",INDEX(MATERIAL_FACTOR_APPLICABILITY!$D:$D,MATCH($C136,MATERIAL_FACTOR_APPLICABILITY!$A:$A,0)))</f>
        <v/>
      </c>
      <c r="J136" s="36" t="str">
        <f t="array" ref="J136">IF($C136="","",INDEX(MATERIAL_FACTOR_APPLICABILITY!$E:$E,MATCH($C136,MATERIAL_FACTOR_APPLICABILITY!$A:$A,0)))</f>
        <v/>
      </c>
      <c r="K136" s="36" t="str">
        <f t="array" ref="K136">IF($C136="","",INDEX(MATERIAL_FACTOR_APPLICABILITY!$F:$F,MATCH($C136,MATERIAL_FACTOR_APPLICABILITY!$A:$A,0)))</f>
        <v/>
      </c>
      <c r="L136" s="36" t="str">
        <f t="array" ref="L136">IF($C136="","",INDEX(MATERIAL_FACTOR_APPLICABILITY!$G:$G,MATCH($C136,MATERIAL_FACTOR_APPLICABILITY!$A:$A,0)))</f>
        <v/>
      </c>
      <c r="M136" s="36" t="str">
        <f t="array" ref="M136">IF($C136="","",INDEX(MATERIAL_FACTOR_APPLICABILITY!$H:$H,MATCH($C136,MATERIAL_FACTOR_APPLICABILITY!$A:$A,0)))</f>
        <v/>
      </c>
      <c r="N136" s="36" t="str">
        <f>IF($B136="","",ROUND(1+($I136*(SUMIFS(OBJECT_CONDITIONS!$W:$W,OBJECT_CONDITIONS!$A:$A,$B136)-1))+($J136*(SUMIFS(OBJECT_CONDITIONS!$J:$J,OBJECT_CONDITIONS!$A:$A,$B136)-1))+($K136*(SUMIFS(OBJECT_CONDITIONS!$L:$L,OBJECT_CONDITIONS!$A:$A,$B136)-1))+($L136*(SUMIFS(OBJECT_CONDITIONS!$N:$N,OBJECT_CONDITIONS!$A:$A,$B136)-1))+($M136*(SUMIFS(OBJECT_CONDITIONS!$R:$R,OBJECT_CONDITIONS!$A:$A,$B136)-1)),3))</f>
        <v/>
      </c>
      <c r="O136" s="36"/>
      <c r="P136" s="36" t="str">
        <f t="shared" si="1"/>
        <v/>
      </c>
      <c r="Q136" s="36" t="str">
        <f t="shared" si="2"/>
        <v/>
      </c>
      <c r="R136" s="11" t="str">
        <f t="array" ref="R136">IF($D136="","",IFERROR(INDEX(MATERIAL_VARIANTS!$O:$O,MATCH($D136,MATERIAL_VARIANTS!$A:$A,0)),""))</f>
        <v/>
      </c>
      <c r="S136" s="36" t="str">
        <f t="array" ref="S136">IF($D136="","",IFERROR(INDEX(MATERIAL_VARIANTS!$P:$P,MATCH($D136,MATERIAL_VARIANTS!$A:$A,0)),""))</f>
        <v/>
      </c>
      <c r="T136" s="11" t="str">
        <f t="shared" si="3"/>
        <v/>
      </c>
      <c r="U136" s="11"/>
    </row>
    <row r="137" ht="14.25" customHeight="1">
      <c r="A137" s="11"/>
      <c r="B137" s="11"/>
      <c r="C137" s="11"/>
      <c r="D137" s="11"/>
      <c r="E137" s="11"/>
      <c r="F137" s="11"/>
      <c r="G137" s="11" t="str">
        <f t="array" ref="G137">IF($C137="","",INDEX(MATERIAL_MASTER!$O:$O,MATCH($C137,MATERIAL_MASTER!$A:$A,0)))</f>
        <v/>
      </c>
      <c r="H137" s="36" t="str">
        <f t="array" ref="H137">IF($C137="","",INDEX(MATERIAL_MASTER!$P:$P,MATCH($C137,MATERIAL_MASTER!$A:$A,0)))</f>
        <v/>
      </c>
      <c r="I137" s="36" t="str">
        <f t="array" ref="I137">IF($C137="","",INDEX(MATERIAL_FACTOR_APPLICABILITY!$D:$D,MATCH($C137,MATERIAL_FACTOR_APPLICABILITY!$A:$A,0)))</f>
        <v/>
      </c>
      <c r="J137" s="36" t="str">
        <f t="array" ref="J137">IF($C137="","",INDEX(MATERIAL_FACTOR_APPLICABILITY!$E:$E,MATCH($C137,MATERIAL_FACTOR_APPLICABILITY!$A:$A,0)))</f>
        <v/>
      </c>
      <c r="K137" s="36" t="str">
        <f t="array" ref="K137">IF($C137="","",INDEX(MATERIAL_FACTOR_APPLICABILITY!$F:$F,MATCH($C137,MATERIAL_FACTOR_APPLICABILITY!$A:$A,0)))</f>
        <v/>
      </c>
      <c r="L137" s="36" t="str">
        <f t="array" ref="L137">IF($C137="","",INDEX(MATERIAL_FACTOR_APPLICABILITY!$G:$G,MATCH($C137,MATERIAL_FACTOR_APPLICABILITY!$A:$A,0)))</f>
        <v/>
      </c>
      <c r="M137" s="36" t="str">
        <f t="array" ref="M137">IF($C137="","",INDEX(MATERIAL_FACTOR_APPLICABILITY!$H:$H,MATCH($C137,MATERIAL_FACTOR_APPLICABILITY!$A:$A,0)))</f>
        <v/>
      </c>
      <c r="N137" s="36" t="str">
        <f>IF($B137="","",ROUND(1+($I137*(SUMIFS(OBJECT_CONDITIONS!$W:$W,OBJECT_CONDITIONS!$A:$A,$B137)-1))+($J137*(SUMIFS(OBJECT_CONDITIONS!$J:$J,OBJECT_CONDITIONS!$A:$A,$B137)-1))+($K137*(SUMIFS(OBJECT_CONDITIONS!$L:$L,OBJECT_CONDITIONS!$A:$A,$B137)-1))+($L137*(SUMIFS(OBJECT_CONDITIONS!$N:$N,OBJECT_CONDITIONS!$A:$A,$B137)-1))+($M137*(SUMIFS(OBJECT_CONDITIONS!$R:$R,OBJECT_CONDITIONS!$A:$A,$B137)-1)),3))</f>
        <v/>
      </c>
      <c r="O137" s="36"/>
      <c r="P137" s="36" t="str">
        <f t="shared" si="1"/>
        <v/>
      </c>
      <c r="Q137" s="36" t="str">
        <f t="shared" si="2"/>
        <v/>
      </c>
      <c r="R137" s="11" t="str">
        <f t="array" ref="R137">IF($D137="","",IFERROR(INDEX(MATERIAL_VARIANTS!$O:$O,MATCH($D137,MATERIAL_VARIANTS!$A:$A,0)),""))</f>
        <v/>
      </c>
      <c r="S137" s="36" t="str">
        <f t="array" ref="S137">IF($D137="","",IFERROR(INDEX(MATERIAL_VARIANTS!$P:$P,MATCH($D137,MATERIAL_VARIANTS!$A:$A,0)),""))</f>
        <v/>
      </c>
      <c r="T137" s="11" t="str">
        <f t="shared" si="3"/>
        <v/>
      </c>
      <c r="U137" s="11"/>
    </row>
    <row r="138" ht="14.25" customHeight="1">
      <c r="A138" s="11"/>
      <c r="B138" s="11"/>
      <c r="C138" s="11"/>
      <c r="D138" s="11"/>
      <c r="E138" s="11"/>
      <c r="F138" s="11"/>
      <c r="G138" s="11" t="str">
        <f t="array" ref="G138">IF($C138="","",INDEX(MATERIAL_MASTER!$O:$O,MATCH($C138,MATERIAL_MASTER!$A:$A,0)))</f>
        <v/>
      </c>
      <c r="H138" s="36" t="str">
        <f t="array" ref="H138">IF($C138="","",INDEX(MATERIAL_MASTER!$P:$P,MATCH($C138,MATERIAL_MASTER!$A:$A,0)))</f>
        <v/>
      </c>
      <c r="I138" s="36" t="str">
        <f t="array" ref="I138">IF($C138="","",INDEX(MATERIAL_FACTOR_APPLICABILITY!$D:$D,MATCH($C138,MATERIAL_FACTOR_APPLICABILITY!$A:$A,0)))</f>
        <v/>
      </c>
      <c r="J138" s="36" t="str">
        <f t="array" ref="J138">IF($C138="","",INDEX(MATERIAL_FACTOR_APPLICABILITY!$E:$E,MATCH($C138,MATERIAL_FACTOR_APPLICABILITY!$A:$A,0)))</f>
        <v/>
      </c>
      <c r="K138" s="36" t="str">
        <f t="array" ref="K138">IF($C138="","",INDEX(MATERIAL_FACTOR_APPLICABILITY!$F:$F,MATCH($C138,MATERIAL_FACTOR_APPLICABILITY!$A:$A,0)))</f>
        <v/>
      </c>
      <c r="L138" s="36" t="str">
        <f t="array" ref="L138">IF($C138="","",INDEX(MATERIAL_FACTOR_APPLICABILITY!$G:$G,MATCH($C138,MATERIAL_FACTOR_APPLICABILITY!$A:$A,0)))</f>
        <v/>
      </c>
      <c r="M138" s="36" t="str">
        <f t="array" ref="M138">IF($C138="","",INDEX(MATERIAL_FACTOR_APPLICABILITY!$H:$H,MATCH($C138,MATERIAL_FACTOR_APPLICABILITY!$A:$A,0)))</f>
        <v/>
      </c>
      <c r="N138" s="36" t="str">
        <f>IF($B138="","",ROUND(1+($I138*(SUMIFS(OBJECT_CONDITIONS!$W:$W,OBJECT_CONDITIONS!$A:$A,$B138)-1))+($J138*(SUMIFS(OBJECT_CONDITIONS!$J:$J,OBJECT_CONDITIONS!$A:$A,$B138)-1))+($K138*(SUMIFS(OBJECT_CONDITIONS!$L:$L,OBJECT_CONDITIONS!$A:$A,$B138)-1))+($L138*(SUMIFS(OBJECT_CONDITIONS!$N:$N,OBJECT_CONDITIONS!$A:$A,$B138)-1))+($M138*(SUMIFS(OBJECT_CONDITIONS!$R:$R,OBJECT_CONDITIONS!$A:$A,$B138)-1)),3))</f>
        <v/>
      </c>
      <c r="O138" s="36"/>
      <c r="P138" s="36" t="str">
        <f t="shared" si="1"/>
        <v/>
      </c>
      <c r="Q138" s="36" t="str">
        <f t="shared" si="2"/>
        <v/>
      </c>
      <c r="R138" s="11" t="str">
        <f t="array" ref="R138">IF($D138="","",IFERROR(INDEX(MATERIAL_VARIANTS!$O:$O,MATCH($D138,MATERIAL_VARIANTS!$A:$A,0)),""))</f>
        <v/>
      </c>
      <c r="S138" s="36" t="str">
        <f t="array" ref="S138">IF($D138="","",IFERROR(INDEX(MATERIAL_VARIANTS!$P:$P,MATCH($D138,MATERIAL_VARIANTS!$A:$A,0)),""))</f>
        <v/>
      </c>
      <c r="T138" s="11" t="str">
        <f t="shared" si="3"/>
        <v/>
      </c>
      <c r="U138" s="11"/>
    </row>
    <row r="139" ht="14.25" customHeight="1">
      <c r="A139" s="11"/>
      <c r="B139" s="11"/>
      <c r="C139" s="11"/>
      <c r="D139" s="11"/>
      <c r="E139" s="11"/>
      <c r="F139" s="11"/>
      <c r="G139" s="11" t="str">
        <f t="array" ref="G139">IF($C139="","",INDEX(MATERIAL_MASTER!$O:$O,MATCH($C139,MATERIAL_MASTER!$A:$A,0)))</f>
        <v/>
      </c>
      <c r="H139" s="36" t="str">
        <f t="array" ref="H139">IF($C139="","",INDEX(MATERIAL_MASTER!$P:$P,MATCH($C139,MATERIAL_MASTER!$A:$A,0)))</f>
        <v/>
      </c>
      <c r="I139" s="36" t="str">
        <f t="array" ref="I139">IF($C139="","",INDEX(MATERIAL_FACTOR_APPLICABILITY!$D:$D,MATCH($C139,MATERIAL_FACTOR_APPLICABILITY!$A:$A,0)))</f>
        <v/>
      </c>
      <c r="J139" s="36" t="str">
        <f t="array" ref="J139">IF($C139="","",INDEX(MATERIAL_FACTOR_APPLICABILITY!$E:$E,MATCH($C139,MATERIAL_FACTOR_APPLICABILITY!$A:$A,0)))</f>
        <v/>
      </c>
      <c r="K139" s="36" t="str">
        <f t="array" ref="K139">IF($C139="","",INDEX(MATERIAL_FACTOR_APPLICABILITY!$F:$F,MATCH($C139,MATERIAL_FACTOR_APPLICABILITY!$A:$A,0)))</f>
        <v/>
      </c>
      <c r="L139" s="36" t="str">
        <f t="array" ref="L139">IF($C139="","",INDEX(MATERIAL_FACTOR_APPLICABILITY!$G:$G,MATCH($C139,MATERIAL_FACTOR_APPLICABILITY!$A:$A,0)))</f>
        <v/>
      </c>
      <c r="M139" s="36" t="str">
        <f t="array" ref="M139">IF($C139="","",INDEX(MATERIAL_FACTOR_APPLICABILITY!$H:$H,MATCH($C139,MATERIAL_FACTOR_APPLICABILITY!$A:$A,0)))</f>
        <v/>
      </c>
      <c r="N139" s="36" t="str">
        <f>IF($B139="","",ROUND(1+($I139*(SUMIFS(OBJECT_CONDITIONS!$W:$W,OBJECT_CONDITIONS!$A:$A,$B139)-1))+($J139*(SUMIFS(OBJECT_CONDITIONS!$J:$J,OBJECT_CONDITIONS!$A:$A,$B139)-1))+($K139*(SUMIFS(OBJECT_CONDITIONS!$L:$L,OBJECT_CONDITIONS!$A:$A,$B139)-1))+($L139*(SUMIFS(OBJECT_CONDITIONS!$N:$N,OBJECT_CONDITIONS!$A:$A,$B139)-1))+($M139*(SUMIFS(OBJECT_CONDITIONS!$R:$R,OBJECT_CONDITIONS!$A:$A,$B139)-1)),3))</f>
        <v/>
      </c>
      <c r="O139" s="36"/>
      <c r="P139" s="36" t="str">
        <f t="shared" si="1"/>
        <v/>
      </c>
      <c r="Q139" s="36" t="str">
        <f t="shared" si="2"/>
        <v/>
      </c>
      <c r="R139" s="11" t="str">
        <f t="array" ref="R139">IF($D139="","",IFERROR(INDEX(MATERIAL_VARIANTS!$O:$O,MATCH($D139,MATERIAL_VARIANTS!$A:$A,0)),""))</f>
        <v/>
      </c>
      <c r="S139" s="36" t="str">
        <f t="array" ref="S139">IF($D139="","",IFERROR(INDEX(MATERIAL_VARIANTS!$P:$P,MATCH($D139,MATERIAL_VARIANTS!$A:$A,0)),""))</f>
        <v/>
      </c>
      <c r="T139" s="11" t="str">
        <f t="shared" si="3"/>
        <v/>
      </c>
      <c r="U139" s="11"/>
    </row>
    <row r="140" ht="14.25" customHeight="1">
      <c r="A140" s="11"/>
      <c r="B140" s="11"/>
      <c r="C140" s="11"/>
      <c r="D140" s="11"/>
      <c r="E140" s="11"/>
      <c r="F140" s="11"/>
      <c r="G140" s="11" t="str">
        <f t="array" ref="G140">IF($C140="","",INDEX(MATERIAL_MASTER!$O:$O,MATCH($C140,MATERIAL_MASTER!$A:$A,0)))</f>
        <v/>
      </c>
      <c r="H140" s="36" t="str">
        <f t="array" ref="H140">IF($C140="","",INDEX(MATERIAL_MASTER!$P:$P,MATCH($C140,MATERIAL_MASTER!$A:$A,0)))</f>
        <v/>
      </c>
      <c r="I140" s="36" t="str">
        <f t="array" ref="I140">IF($C140="","",INDEX(MATERIAL_FACTOR_APPLICABILITY!$D:$D,MATCH($C140,MATERIAL_FACTOR_APPLICABILITY!$A:$A,0)))</f>
        <v/>
      </c>
      <c r="J140" s="36" t="str">
        <f t="array" ref="J140">IF($C140="","",INDEX(MATERIAL_FACTOR_APPLICABILITY!$E:$E,MATCH($C140,MATERIAL_FACTOR_APPLICABILITY!$A:$A,0)))</f>
        <v/>
      </c>
      <c r="K140" s="36" t="str">
        <f t="array" ref="K140">IF($C140="","",INDEX(MATERIAL_FACTOR_APPLICABILITY!$F:$F,MATCH($C140,MATERIAL_FACTOR_APPLICABILITY!$A:$A,0)))</f>
        <v/>
      </c>
      <c r="L140" s="36" t="str">
        <f t="array" ref="L140">IF($C140="","",INDEX(MATERIAL_FACTOR_APPLICABILITY!$G:$G,MATCH($C140,MATERIAL_FACTOR_APPLICABILITY!$A:$A,0)))</f>
        <v/>
      </c>
      <c r="M140" s="36" t="str">
        <f t="array" ref="M140">IF($C140="","",INDEX(MATERIAL_FACTOR_APPLICABILITY!$H:$H,MATCH($C140,MATERIAL_FACTOR_APPLICABILITY!$A:$A,0)))</f>
        <v/>
      </c>
      <c r="N140" s="36" t="str">
        <f>IF($B140="","",ROUND(1+($I140*(SUMIFS(OBJECT_CONDITIONS!$W:$W,OBJECT_CONDITIONS!$A:$A,$B140)-1))+($J140*(SUMIFS(OBJECT_CONDITIONS!$J:$J,OBJECT_CONDITIONS!$A:$A,$B140)-1))+($K140*(SUMIFS(OBJECT_CONDITIONS!$L:$L,OBJECT_CONDITIONS!$A:$A,$B140)-1))+($L140*(SUMIFS(OBJECT_CONDITIONS!$N:$N,OBJECT_CONDITIONS!$A:$A,$B140)-1))+($M140*(SUMIFS(OBJECT_CONDITIONS!$R:$R,OBJECT_CONDITIONS!$A:$A,$B140)-1)),3))</f>
        <v/>
      </c>
      <c r="O140" s="36"/>
      <c r="P140" s="36" t="str">
        <f t="shared" si="1"/>
        <v/>
      </c>
      <c r="Q140" s="36" t="str">
        <f t="shared" si="2"/>
        <v/>
      </c>
      <c r="R140" s="11" t="str">
        <f t="array" ref="R140">IF($D140="","",IFERROR(INDEX(MATERIAL_VARIANTS!$O:$O,MATCH($D140,MATERIAL_VARIANTS!$A:$A,0)),""))</f>
        <v/>
      </c>
      <c r="S140" s="36" t="str">
        <f t="array" ref="S140">IF($D140="","",IFERROR(INDEX(MATERIAL_VARIANTS!$P:$P,MATCH($D140,MATERIAL_VARIANTS!$A:$A,0)),""))</f>
        <v/>
      </c>
      <c r="T140" s="11" t="str">
        <f t="shared" si="3"/>
        <v/>
      </c>
      <c r="U140" s="11"/>
    </row>
    <row r="141" ht="14.25" customHeight="1">
      <c r="A141" s="11"/>
      <c r="B141" s="11"/>
      <c r="C141" s="11"/>
      <c r="D141" s="11"/>
      <c r="E141" s="11"/>
      <c r="F141" s="11"/>
      <c r="G141" s="11" t="str">
        <f t="array" ref="G141">IF($C141="","",INDEX(MATERIAL_MASTER!$O:$O,MATCH($C141,MATERIAL_MASTER!$A:$A,0)))</f>
        <v/>
      </c>
      <c r="H141" s="36" t="str">
        <f t="array" ref="H141">IF($C141="","",INDEX(MATERIAL_MASTER!$P:$P,MATCH($C141,MATERIAL_MASTER!$A:$A,0)))</f>
        <v/>
      </c>
      <c r="I141" s="36" t="str">
        <f t="array" ref="I141">IF($C141="","",INDEX(MATERIAL_FACTOR_APPLICABILITY!$D:$D,MATCH($C141,MATERIAL_FACTOR_APPLICABILITY!$A:$A,0)))</f>
        <v/>
      </c>
      <c r="J141" s="36" t="str">
        <f t="array" ref="J141">IF($C141="","",INDEX(MATERIAL_FACTOR_APPLICABILITY!$E:$E,MATCH($C141,MATERIAL_FACTOR_APPLICABILITY!$A:$A,0)))</f>
        <v/>
      </c>
      <c r="K141" s="36" t="str">
        <f t="array" ref="K141">IF($C141="","",INDEX(MATERIAL_FACTOR_APPLICABILITY!$F:$F,MATCH($C141,MATERIAL_FACTOR_APPLICABILITY!$A:$A,0)))</f>
        <v/>
      </c>
      <c r="L141" s="36" t="str">
        <f t="array" ref="L141">IF($C141="","",INDEX(MATERIAL_FACTOR_APPLICABILITY!$G:$G,MATCH($C141,MATERIAL_FACTOR_APPLICABILITY!$A:$A,0)))</f>
        <v/>
      </c>
      <c r="M141" s="36" t="str">
        <f t="array" ref="M141">IF($C141="","",INDEX(MATERIAL_FACTOR_APPLICABILITY!$H:$H,MATCH($C141,MATERIAL_FACTOR_APPLICABILITY!$A:$A,0)))</f>
        <v/>
      </c>
      <c r="N141" s="36" t="str">
        <f>IF($B141="","",ROUND(1+($I141*(SUMIFS(OBJECT_CONDITIONS!$W:$W,OBJECT_CONDITIONS!$A:$A,$B141)-1))+($J141*(SUMIFS(OBJECT_CONDITIONS!$J:$J,OBJECT_CONDITIONS!$A:$A,$B141)-1))+($K141*(SUMIFS(OBJECT_CONDITIONS!$L:$L,OBJECT_CONDITIONS!$A:$A,$B141)-1))+($L141*(SUMIFS(OBJECT_CONDITIONS!$N:$N,OBJECT_CONDITIONS!$A:$A,$B141)-1))+($M141*(SUMIFS(OBJECT_CONDITIONS!$R:$R,OBJECT_CONDITIONS!$A:$A,$B141)-1)),3))</f>
        <v/>
      </c>
      <c r="O141" s="36"/>
      <c r="P141" s="36" t="str">
        <f t="shared" si="1"/>
        <v/>
      </c>
      <c r="Q141" s="36" t="str">
        <f t="shared" si="2"/>
        <v/>
      </c>
      <c r="R141" s="11" t="str">
        <f t="array" ref="R141">IF($D141="","",IFERROR(INDEX(MATERIAL_VARIANTS!$O:$O,MATCH($D141,MATERIAL_VARIANTS!$A:$A,0)),""))</f>
        <v/>
      </c>
      <c r="S141" s="36" t="str">
        <f t="array" ref="S141">IF($D141="","",IFERROR(INDEX(MATERIAL_VARIANTS!$P:$P,MATCH($D141,MATERIAL_VARIANTS!$A:$A,0)),""))</f>
        <v/>
      </c>
      <c r="T141" s="11" t="str">
        <f t="shared" si="3"/>
        <v/>
      </c>
      <c r="U141" s="11"/>
    </row>
    <row r="142" ht="14.25" customHeight="1">
      <c r="A142" s="11"/>
      <c r="B142" s="11"/>
      <c r="C142" s="11"/>
      <c r="D142" s="11"/>
      <c r="E142" s="11"/>
      <c r="F142" s="11"/>
      <c r="G142" s="11" t="str">
        <f t="array" ref="G142">IF($C142="","",INDEX(MATERIAL_MASTER!$O:$O,MATCH($C142,MATERIAL_MASTER!$A:$A,0)))</f>
        <v/>
      </c>
      <c r="H142" s="36" t="str">
        <f t="array" ref="H142">IF($C142="","",INDEX(MATERIAL_MASTER!$P:$P,MATCH($C142,MATERIAL_MASTER!$A:$A,0)))</f>
        <v/>
      </c>
      <c r="I142" s="36" t="str">
        <f t="array" ref="I142">IF($C142="","",INDEX(MATERIAL_FACTOR_APPLICABILITY!$D:$D,MATCH($C142,MATERIAL_FACTOR_APPLICABILITY!$A:$A,0)))</f>
        <v/>
      </c>
      <c r="J142" s="36" t="str">
        <f t="array" ref="J142">IF($C142="","",INDEX(MATERIAL_FACTOR_APPLICABILITY!$E:$E,MATCH($C142,MATERIAL_FACTOR_APPLICABILITY!$A:$A,0)))</f>
        <v/>
      </c>
      <c r="K142" s="36" t="str">
        <f t="array" ref="K142">IF($C142="","",INDEX(MATERIAL_FACTOR_APPLICABILITY!$F:$F,MATCH($C142,MATERIAL_FACTOR_APPLICABILITY!$A:$A,0)))</f>
        <v/>
      </c>
      <c r="L142" s="36" t="str">
        <f t="array" ref="L142">IF($C142="","",INDEX(MATERIAL_FACTOR_APPLICABILITY!$G:$G,MATCH($C142,MATERIAL_FACTOR_APPLICABILITY!$A:$A,0)))</f>
        <v/>
      </c>
      <c r="M142" s="36" t="str">
        <f t="array" ref="M142">IF($C142="","",INDEX(MATERIAL_FACTOR_APPLICABILITY!$H:$H,MATCH($C142,MATERIAL_FACTOR_APPLICABILITY!$A:$A,0)))</f>
        <v/>
      </c>
      <c r="N142" s="36" t="str">
        <f>IF($B142="","",ROUND(1+($I142*(SUMIFS(OBJECT_CONDITIONS!$W:$W,OBJECT_CONDITIONS!$A:$A,$B142)-1))+($J142*(SUMIFS(OBJECT_CONDITIONS!$J:$J,OBJECT_CONDITIONS!$A:$A,$B142)-1))+($K142*(SUMIFS(OBJECT_CONDITIONS!$L:$L,OBJECT_CONDITIONS!$A:$A,$B142)-1))+($L142*(SUMIFS(OBJECT_CONDITIONS!$N:$N,OBJECT_CONDITIONS!$A:$A,$B142)-1))+($M142*(SUMIFS(OBJECT_CONDITIONS!$R:$R,OBJECT_CONDITIONS!$A:$A,$B142)-1)),3))</f>
        <v/>
      </c>
      <c r="O142" s="36"/>
      <c r="P142" s="36" t="str">
        <f t="shared" si="1"/>
        <v/>
      </c>
      <c r="Q142" s="36" t="str">
        <f t="shared" si="2"/>
        <v/>
      </c>
      <c r="R142" s="11" t="str">
        <f t="array" ref="R142">IF($D142="","",IFERROR(INDEX(MATERIAL_VARIANTS!$O:$O,MATCH($D142,MATERIAL_VARIANTS!$A:$A,0)),""))</f>
        <v/>
      </c>
      <c r="S142" s="36" t="str">
        <f t="array" ref="S142">IF($D142="","",IFERROR(INDEX(MATERIAL_VARIANTS!$P:$P,MATCH($D142,MATERIAL_VARIANTS!$A:$A,0)),""))</f>
        <v/>
      </c>
      <c r="T142" s="11" t="str">
        <f t="shared" si="3"/>
        <v/>
      </c>
      <c r="U142" s="11"/>
    </row>
    <row r="143" ht="14.25" customHeight="1">
      <c r="A143" s="11"/>
      <c r="B143" s="11"/>
      <c r="C143" s="11"/>
      <c r="D143" s="11"/>
      <c r="E143" s="11"/>
      <c r="F143" s="11"/>
      <c r="G143" s="11" t="str">
        <f t="array" ref="G143">IF($C143="","",INDEX(MATERIAL_MASTER!$O:$O,MATCH($C143,MATERIAL_MASTER!$A:$A,0)))</f>
        <v/>
      </c>
      <c r="H143" s="36" t="str">
        <f t="array" ref="H143">IF($C143="","",INDEX(MATERIAL_MASTER!$P:$P,MATCH($C143,MATERIAL_MASTER!$A:$A,0)))</f>
        <v/>
      </c>
      <c r="I143" s="36" t="str">
        <f t="array" ref="I143">IF($C143="","",INDEX(MATERIAL_FACTOR_APPLICABILITY!$D:$D,MATCH($C143,MATERIAL_FACTOR_APPLICABILITY!$A:$A,0)))</f>
        <v/>
      </c>
      <c r="J143" s="36" t="str">
        <f t="array" ref="J143">IF($C143="","",INDEX(MATERIAL_FACTOR_APPLICABILITY!$E:$E,MATCH($C143,MATERIAL_FACTOR_APPLICABILITY!$A:$A,0)))</f>
        <v/>
      </c>
      <c r="K143" s="36" t="str">
        <f t="array" ref="K143">IF($C143="","",INDEX(MATERIAL_FACTOR_APPLICABILITY!$F:$F,MATCH($C143,MATERIAL_FACTOR_APPLICABILITY!$A:$A,0)))</f>
        <v/>
      </c>
      <c r="L143" s="36" t="str">
        <f t="array" ref="L143">IF($C143="","",INDEX(MATERIAL_FACTOR_APPLICABILITY!$G:$G,MATCH($C143,MATERIAL_FACTOR_APPLICABILITY!$A:$A,0)))</f>
        <v/>
      </c>
      <c r="M143" s="36" t="str">
        <f t="array" ref="M143">IF($C143="","",INDEX(MATERIAL_FACTOR_APPLICABILITY!$H:$H,MATCH($C143,MATERIAL_FACTOR_APPLICABILITY!$A:$A,0)))</f>
        <v/>
      </c>
      <c r="N143" s="36" t="str">
        <f>IF($B143="","",ROUND(1+($I143*(SUMIFS(OBJECT_CONDITIONS!$W:$W,OBJECT_CONDITIONS!$A:$A,$B143)-1))+($J143*(SUMIFS(OBJECT_CONDITIONS!$J:$J,OBJECT_CONDITIONS!$A:$A,$B143)-1))+($K143*(SUMIFS(OBJECT_CONDITIONS!$L:$L,OBJECT_CONDITIONS!$A:$A,$B143)-1))+($L143*(SUMIFS(OBJECT_CONDITIONS!$N:$N,OBJECT_CONDITIONS!$A:$A,$B143)-1))+($M143*(SUMIFS(OBJECT_CONDITIONS!$R:$R,OBJECT_CONDITIONS!$A:$A,$B143)-1)),3))</f>
        <v/>
      </c>
      <c r="O143" s="36"/>
      <c r="P143" s="36" t="str">
        <f t="shared" si="1"/>
        <v/>
      </c>
      <c r="Q143" s="36" t="str">
        <f t="shared" si="2"/>
        <v/>
      </c>
      <c r="R143" s="11" t="str">
        <f t="array" ref="R143">IF($D143="","",IFERROR(INDEX(MATERIAL_VARIANTS!$O:$O,MATCH($D143,MATERIAL_VARIANTS!$A:$A,0)),""))</f>
        <v/>
      </c>
      <c r="S143" s="36" t="str">
        <f t="array" ref="S143">IF($D143="","",IFERROR(INDEX(MATERIAL_VARIANTS!$P:$P,MATCH($D143,MATERIAL_VARIANTS!$A:$A,0)),""))</f>
        <v/>
      </c>
      <c r="T143" s="11" t="str">
        <f t="shared" si="3"/>
        <v/>
      </c>
      <c r="U143" s="11"/>
    </row>
    <row r="144" ht="14.25" customHeight="1">
      <c r="A144" s="11"/>
      <c r="B144" s="11"/>
      <c r="C144" s="11"/>
      <c r="D144" s="11"/>
      <c r="E144" s="11"/>
      <c r="F144" s="11"/>
      <c r="G144" s="11" t="str">
        <f t="array" ref="G144">IF($C144="","",INDEX(MATERIAL_MASTER!$O:$O,MATCH($C144,MATERIAL_MASTER!$A:$A,0)))</f>
        <v/>
      </c>
      <c r="H144" s="36" t="str">
        <f t="array" ref="H144">IF($C144="","",INDEX(MATERIAL_MASTER!$P:$P,MATCH($C144,MATERIAL_MASTER!$A:$A,0)))</f>
        <v/>
      </c>
      <c r="I144" s="36" t="str">
        <f t="array" ref="I144">IF($C144="","",INDEX(MATERIAL_FACTOR_APPLICABILITY!$D:$D,MATCH($C144,MATERIAL_FACTOR_APPLICABILITY!$A:$A,0)))</f>
        <v/>
      </c>
      <c r="J144" s="36" t="str">
        <f t="array" ref="J144">IF($C144="","",INDEX(MATERIAL_FACTOR_APPLICABILITY!$E:$E,MATCH($C144,MATERIAL_FACTOR_APPLICABILITY!$A:$A,0)))</f>
        <v/>
      </c>
      <c r="K144" s="36" t="str">
        <f t="array" ref="K144">IF($C144="","",INDEX(MATERIAL_FACTOR_APPLICABILITY!$F:$F,MATCH($C144,MATERIAL_FACTOR_APPLICABILITY!$A:$A,0)))</f>
        <v/>
      </c>
      <c r="L144" s="36" t="str">
        <f t="array" ref="L144">IF($C144="","",INDEX(MATERIAL_FACTOR_APPLICABILITY!$G:$G,MATCH($C144,MATERIAL_FACTOR_APPLICABILITY!$A:$A,0)))</f>
        <v/>
      </c>
      <c r="M144" s="36" t="str">
        <f t="array" ref="M144">IF($C144="","",INDEX(MATERIAL_FACTOR_APPLICABILITY!$H:$H,MATCH($C144,MATERIAL_FACTOR_APPLICABILITY!$A:$A,0)))</f>
        <v/>
      </c>
      <c r="N144" s="36" t="str">
        <f>IF($B144="","",ROUND(1+($I144*(SUMIFS(OBJECT_CONDITIONS!$W:$W,OBJECT_CONDITIONS!$A:$A,$B144)-1))+($J144*(SUMIFS(OBJECT_CONDITIONS!$J:$J,OBJECT_CONDITIONS!$A:$A,$B144)-1))+($K144*(SUMIFS(OBJECT_CONDITIONS!$L:$L,OBJECT_CONDITIONS!$A:$A,$B144)-1))+($L144*(SUMIFS(OBJECT_CONDITIONS!$N:$N,OBJECT_CONDITIONS!$A:$A,$B144)-1))+($M144*(SUMIFS(OBJECT_CONDITIONS!$R:$R,OBJECT_CONDITIONS!$A:$A,$B144)-1)),3))</f>
        <v/>
      </c>
      <c r="O144" s="36"/>
      <c r="P144" s="36" t="str">
        <f t="shared" si="1"/>
        <v/>
      </c>
      <c r="Q144" s="36" t="str">
        <f t="shared" si="2"/>
        <v/>
      </c>
      <c r="R144" s="11" t="str">
        <f t="array" ref="R144">IF($D144="","",IFERROR(INDEX(MATERIAL_VARIANTS!$O:$O,MATCH($D144,MATERIAL_VARIANTS!$A:$A,0)),""))</f>
        <v/>
      </c>
      <c r="S144" s="36" t="str">
        <f t="array" ref="S144">IF($D144="","",IFERROR(INDEX(MATERIAL_VARIANTS!$P:$P,MATCH($D144,MATERIAL_VARIANTS!$A:$A,0)),""))</f>
        <v/>
      </c>
      <c r="T144" s="11" t="str">
        <f t="shared" si="3"/>
        <v/>
      </c>
      <c r="U144" s="11"/>
    </row>
    <row r="145" ht="14.25" customHeight="1">
      <c r="A145" s="11"/>
      <c r="B145" s="11"/>
      <c r="C145" s="11"/>
      <c r="D145" s="11"/>
      <c r="E145" s="11"/>
      <c r="F145" s="11"/>
      <c r="G145" s="11" t="str">
        <f t="array" ref="G145">IF($C145="","",INDEX(MATERIAL_MASTER!$O:$O,MATCH($C145,MATERIAL_MASTER!$A:$A,0)))</f>
        <v/>
      </c>
      <c r="H145" s="36" t="str">
        <f t="array" ref="H145">IF($C145="","",INDEX(MATERIAL_MASTER!$P:$P,MATCH($C145,MATERIAL_MASTER!$A:$A,0)))</f>
        <v/>
      </c>
      <c r="I145" s="36" t="str">
        <f t="array" ref="I145">IF($C145="","",INDEX(MATERIAL_FACTOR_APPLICABILITY!$D:$D,MATCH($C145,MATERIAL_FACTOR_APPLICABILITY!$A:$A,0)))</f>
        <v/>
      </c>
      <c r="J145" s="36" t="str">
        <f t="array" ref="J145">IF($C145="","",INDEX(MATERIAL_FACTOR_APPLICABILITY!$E:$E,MATCH($C145,MATERIAL_FACTOR_APPLICABILITY!$A:$A,0)))</f>
        <v/>
      </c>
      <c r="K145" s="36" t="str">
        <f t="array" ref="K145">IF($C145="","",INDEX(MATERIAL_FACTOR_APPLICABILITY!$F:$F,MATCH($C145,MATERIAL_FACTOR_APPLICABILITY!$A:$A,0)))</f>
        <v/>
      </c>
      <c r="L145" s="36" t="str">
        <f t="array" ref="L145">IF($C145="","",INDEX(MATERIAL_FACTOR_APPLICABILITY!$G:$G,MATCH($C145,MATERIAL_FACTOR_APPLICABILITY!$A:$A,0)))</f>
        <v/>
      </c>
      <c r="M145" s="36" t="str">
        <f t="array" ref="M145">IF($C145="","",INDEX(MATERIAL_FACTOR_APPLICABILITY!$H:$H,MATCH($C145,MATERIAL_FACTOR_APPLICABILITY!$A:$A,0)))</f>
        <v/>
      </c>
      <c r="N145" s="36" t="str">
        <f>IF($B145="","",ROUND(1+($I145*(SUMIFS(OBJECT_CONDITIONS!$W:$W,OBJECT_CONDITIONS!$A:$A,$B145)-1))+($J145*(SUMIFS(OBJECT_CONDITIONS!$J:$J,OBJECT_CONDITIONS!$A:$A,$B145)-1))+($K145*(SUMIFS(OBJECT_CONDITIONS!$L:$L,OBJECT_CONDITIONS!$A:$A,$B145)-1))+($L145*(SUMIFS(OBJECT_CONDITIONS!$N:$N,OBJECT_CONDITIONS!$A:$A,$B145)-1))+($M145*(SUMIFS(OBJECT_CONDITIONS!$R:$R,OBJECT_CONDITIONS!$A:$A,$B145)-1)),3))</f>
        <v/>
      </c>
      <c r="O145" s="36"/>
      <c r="P145" s="36" t="str">
        <f t="shared" si="1"/>
        <v/>
      </c>
      <c r="Q145" s="36" t="str">
        <f t="shared" si="2"/>
        <v/>
      </c>
      <c r="R145" s="11" t="str">
        <f t="array" ref="R145">IF($D145="","",IFERROR(INDEX(MATERIAL_VARIANTS!$O:$O,MATCH($D145,MATERIAL_VARIANTS!$A:$A,0)),""))</f>
        <v/>
      </c>
      <c r="S145" s="36" t="str">
        <f t="array" ref="S145">IF($D145="","",IFERROR(INDEX(MATERIAL_VARIANTS!$P:$P,MATCH($D145,MATERIAL_VARIANTS!$A:$A,0)),""))</f>
        <v/>
      </c>
      <c r="T145" s="11" t="str">
        <f t="shared" si="3"/>
        <v/>
      </c>
      <c r="U145" s="11"/>
    </row>
    <row r="146" ht="14.25" customHeight="1">
      <c r="A146" s="11"/>
      <c r="B146" s="11"/>
      <c r="C146" s="11"/>
      <c r="D146" s="11"/>
      <c r="E146" s="11"/>
      <c r="F146" s="11"/>
      <c r="G146" s="11" t="str">
        <f t="array" ref="G146">IF($C146="","",INDEX(MATERIAL_MASTER!$O:$O,MATCH($C146,MATERIAL_MASTER!$A:$A,0)))</f>
        <v/>
      </c>
      <c r="H146" s="36" t="str">
        <f t="array" ref="H146">IF($C146="","",INDEX(MATERIAL_MASTER!$P:$P,MATCH($C146,MATERIAL_MASTER!$A:$A,0)))</f>
        <v/>
      </c>
      <c r="I146" s="36" t="str">
        <f t="array" ref="I146">IF($C146="","",INDEX(MATERIAL_FACTOR_APPLICABILITY!$D:$D,MATCH($C146,MATERIAL_FACTOR_APPLICABILITY!$A:$A,0)))</f>
        <v/>
      </c>
      <c r="J146" s="36" t="str">
        <f t="array" ref="J146">IF($C146="","",INDEX(MATERIAL_FACTOR_APPLICABILITY!$E:$E,MATCH($C146,MATERIAL_FACTOR_APPLICABILITY!$A:$A,0)))</f>
        <v/>
      </c>
      <c r="K146" s="36" t="str">
        <f t="array" ref="K146">IF($C146="","",INDEX(MATERIAL_FACTOR_APPLICABILITY!$F:$F,MATCH($C146,MATERIAL_FACTOR_APPLICABILITY!$A:$A,0)))</f>
        <v/>
      </c>
      <c r="L146" s="36" t="str">
        <f t="array" ref="L146">IF($C146="","",INDEX(MATERIAL_FACTOR_APPLICABILITY!$G:$G,MATCH($C146,MATERIAL_FACTOR_APPLICABILITY!$A:$A,0)))</f>
        <v/>
      </c>
      <c r="M146" s="36" t="str">
        <f t="array" ref="M146">IF($C146="","",INDEX(MATERIAL_FACTOR_APPLICABILITY!$H:$H,MATCH($C146,MATERIAL_FACTOR_APPLICABILITY!$A:$A,0)))</f>
        <v/>
      </c>
      <c r="N146" s="36" t="str">
        <f>IF($B146="","",ROUND(1+($I146*(SUMIFS(OBJECT_CONDITIONS!$W:$W,OBJECT_CONDITIONS!$A:$A,$B146)-1))+($J146*(SUMIFS(OBJECT_CONDITIONS!$J:$J,OBJECT_CONDITIONS!$A:$A,$B146)-1))+($K146*(SUMIFS(OBJECT_CONDITIONS!$L:$L,OBJECT_CONDITIONS!$A:$A,$B146)-1))+($L146*(SUMIFS(OBJECT_CONDITIONS!$N:$N,OBJECT_CONDITIONS!$A:$A,$B146)-1))+($M146*(SUMIFS(OBJECT_CONDITIONS!$R:$R,OBJECT_CONDITIONS!$A:$A,$B146)-1)),3))</f>
        <v/>
      </c>
      <c r="O146" s="36"/>
      <c r="P146" s="36" t="str">
        <f t="shared" si="1"/>
        <v/>
      </c>
      <c r="Q146" s="36" t="str">
        <f t="shared" si="2"/>
        <v/>
      </c>
      <c r="R146" s="11" t="str">
        <f t="array" ref="R146">IF($D146="","",IFERROR(INDEX(MATERIAL_VARIANTS!$O:$O,MATCH($D146,MATERIAL_VARIANTS!$A:$A,0)),""))</f>
        <v/>
      </c>
      <c r="S146" s="36" t="str">
        <f t="array" ref="S146">IF($D146="","",IFERROR(INDEX(MATERIAL_VARIANTS!$P:$P,MATCH($D146,MATERIAL_VARIANTS!$A:$A,0)),""))</f>
        <v/>
      </c>
      <c r="T146" s="11" t="str">
        <f t="shared" si="3"/>
        <v/>
      </c>
      <c r="U146" s="11"/>
    </row>
    <row r="147" ht="14.25" customHeight="1">
      <c r="A147" s="11"/>
      <c r="B147" s="11"/>
      <c r="C147" s="11"/>
      <c r="D147" s="11"/>
      <c r="E147" s="11"/>
      <c r="F147" s="11"/>
      <c r="G147" s="11" t="str">
        <f t="array" ref="G147">IF($C147="","",INDEX(MATERIAL_MASTER!$O:$O,MATCH($C147,MATERIAL_MASTER!$A:$A,0)))</f>
        <v/>
      </c>
      <c r="H147" s="36" t="str">
        <f t="array" ref="H147">IF($C147="","",INDEX(MATERIAL_MASTER!$P:$P,MATCH($C147,MATERIAL_MASTER!$A:$A,0)))</f>
        <v/>
      </c>
      <c r="I147" s="36" t="str">
        <f t="array" ref="I147">IF($C147="","",INDEX(MATERIAL_FACTOR_APPLICABILITY!$D:$D,MATCH($C147,MATERIAL_FACTOR_APPLICABILITY!$A:$A,0)))</f>
        <v/>
      </c>
      <c r="J147" s="36" t="str">
        <f t="array" ref="J147">IF($C147="","",INDEX(MATERIAL_FACTOR_APPLICABILITY!$E:$E,MATCH($C147,MATERIAL_FACTOR_APPLICABILITY!$A:$A,0)))</f>
        <v/>
      </c>
      <c r="K147" s="36" t="str">
        <f t="array" ref="K147">IF($C147="","",INDEX(MATERIAL_FACTOR_APPLICABILITY!$F:$F,MATCH($C147,MATERIAL_FACTOR_APPLICABILITY!$A:$A,0)))</f>
        <v/>
      </c>
      <c r="L147" s="36" t="str">
        <f t="array" ref="L147">IF($C147="","",INDEX(MATERIAL_FACTOR_APPLICABILITY!$G:$G,MATCH($C147,MATERIAL_FACTOR_APPLICABILITY!$A:$A,0)))</f>
        <v/>
      </c>
      <c r="M147" s="36" t="str">
        <f t="array" ref="M147">IF($C147="","",INDEX(MATERIAL_FACTOR_APPLICABILITY!$H:$H,MATCH($C147,MATERIAL_FACTOR_APPLICABILITY!$A:$A,0)))</f>
        <v/>
      </c>
      <c r="N147" s="36" t="str">
        <f>IF($B147="","",ROUND(1+($I147*(SUMIFS(OBJECT_CONDITIONS!$W:$W,OBJECT_CONDITIONS!$A:$A,$B147)-1))+($J147*(SUMIFS(OBJECT_CONDITIONS!$J:$J,OBJECT_CONDITIONS!$A:$A,$B147)-1))+($K147*(SUMIFS(OBJECT_CONDITIONS!$L:$L,OBJECT_CONDITIONS!$A:$A,$B147)-1))+($L147*(SUMIFS(OBJECT_CONDITIONS!$N:$N,OBJECT_CONDITIONS!$A:$A,$B147)-1))+($M147*(SUMIFS(OBJECT_CONDITIONS!$R:$R,OBJECT_CONDITIONS!$A:$A,$B147)-1)),3))</f>
        <v/>
      </c>
      <c r="O147" s="36"/>
      <c r="P147" s="36" t="str">
        <f t="shared" si="1"/>
        <v/>
      </c>
      <c r="Q147" s="36" t="str">
        <f t="shared" si="2"/>
        <v/>
      </c>
      <c r="R147" s="11" t="str">
        <f t="array" ref="R147">IF($D147="","",IFERROR(INDEX(MATERIAL_VARIANTS!$O:$O,MATCH($D147,MATERIAL_VARIANTS!$A:$A,0)),""))</f>
        <v/>
      </c>
      <c r="S147" s="36" t="str">
        <f t="array" ref="S147">IF($D147="","",IFERROR(INDEX(MATERIAL_VARIANTS!$P:$P,MATCH($D147,MATERIAL_VARIANTS!$A:$A,0)),""))</f>
        <v/>
      </c>
      <c r="T147" s="11" t="str">
        <f t="shared" si="3"/>
        <v/>
      </c>
      <c r="U147" s="11"/>
    </row>
    <row r="148" ht="14.25" customHeight="1">
      <c r="A148" s="11"/>
      <c r="B148" s="11"/>
      <c r="C148" s="11"/>
      <c r="D148" s="11"/>
      <c r="E148" s="11"/>
      <c r="F148" s="11"/>
      <c r="G148" s="11" t="str">
        <f t="array" ref="G148">IF($C148="","",INDEX(MATERIAL_MASTER!$O:$O,MATCH($C148,MATERIAL_MASTER!$A:$A,0)))</f>
        <v/>
      </c>
      <c r="H148" s="36" t="str">
        <f t="array" ref="H148">IF($C148="","",INDEX(MATERIAL_MASTER!$P:$P,MATCH($C148,MATERIAL_MASTER!$A:$A,0)))</f>
        <v/>
      </c>
      <c r="I148" s="36" t="str">
        <f t="array" ref="I148">IF($C148="","",INDEX(MATERIAL_FACTOR_APPLICABILITY!$D:$D,MATCH($C148,MATERIAL_FACTOR_APPLICABILITY!$A:$A,0)))</f>
        <v/>
      </c>
      <c r="J148" s="36" t="str">
        <f t="array" ref="J148">IF($C148="","",INDEX(MATERIAL_FACTOR_APPLICABILITY!$E:$E,MATCH($C148,MATERIAL_FACTOR_APPLICABILITY!$A:$A,0)))</f>
        <v/>
      </c>
      <c r="K148" s="36" t="str">
        <f t="array" ref="K148">IF($C148="","",INDEX(MATERIAL_FACTOR_APPLICABILITY!$F:$F,MATCH($C148,MATERIAL_FACTOR_APPLICABILITY!$A:$A,0)))</f>
        <v/>
      </c>
      <c r="L148" s="36" t="str">
        <f t="array" ref="L148">IF($C148="","",INDEX(MATERIAL_FACTOR_APPLICABILITY!$G:$G,MATCH($C148,MATERIAL_FACTOR_APPLICABILITY!$A:$A,0)))</f>
        <v/>
      </c>
      <c r="M148" s="36" t="str">
        <f t="array" ref="M148">IF($C148="","",INDEX(MATERIAL_FACTOR_APPLICABILITY!$H:$H,MATCH($C148,MATERIAL_FACTOR_APPLICABILITY!$A:$A,0)))</f>
        <v/>
      </c>
      <c r="N148" s="36" t="str">
        <f>IF($B148="","",ROUND(1+($I148*(SUMIFS(OBJECT_CONDITIONS!$W:$W,OBJECT_CONDITIONS!$A:$A,$B148)-1))+($J148*(SUMIFS(OBJECT_CONDITIONS!$J:$J,OBJECT_CONDITIONS!$A:$A,$B148)-1))+($K148*(SUMIFS(OBJECT_CONDITIONS!$L:$L,OBJECT_CONDITIONS!$A:$A,$B148)-1))+($L148*(SUMIFS(OBJECT_CONDITIONS!$N:$N,OBJECT_CONDITIONS!$A:$A,$B148)-1))+($M148*(SUMIFS(OBJECT_CONDITIONS!$R:$R,OBJECT_CONDITIONS!$A:$A,$B148)-1)),3))</f>
        <v/>
      </c>
      <c r="O148" s="36"/>
      <c r="P148" s="36" t="str">
        <f t="shared" si="1"/>
        <v/>
      </c>
      <c r="Q148" s="36" t="str">
        <f t="shared" si="2"/>
        <v/>
      </c>
      <c r="R148" s="11" t="str">
        <f t="array" ref="R148">IF($D148="","",IFERROR(INDEX(MATERIAL_VARIANTS!$O:$O,MATCH($D148,MATERIAL_VARIANTS!$A:$A,0)),""))</f>
        <v/>
      </c>
      <c r="S148" s="36" t="str">
        <f t="array" ref="S148">IF($D148="","",IFERROR(INDEX(MATERIAL_VARIANTS!$P:$P,MATCH($D148,MATERIAL_VARIANTS!$A:$A,0)),""))</f>
        <v/>
      </c>
      <c r="T148" s="11" t="str">
        <f t="shared" si="3"/>
        <v/>
      </c>
      <c r="U148" s="11"/>
    </row>
    <row r="149" ht="14.25" customHeight="1">
      <c r="A149" s="11"/>
      <c r="B149" s="11"/>
      <c r="C149" s="11"/>
      <c r="D149" s="11"/>
      <c r="E149" s="11"/>
      <c r="F149" s="11"/>
      <c r="G149" s="11" t="str">
        <f t="array" ref="G149">IF($C149="","",INDEX(MATERIAL_MASTER!$O:$O,MATCH($C149,MATERIAL_MASTER!$A:$A,0)))</f>
        <v/>
      </c>
      <c r="H149" s="36" t="str">
        <f t="array" ref="H149">IF($C149="","",INDEX(MATERIAL_MASTER!$P:$P,MATCH($C149,MATERIAL_MASTER!$A:$A,0)))</f>
        <v/>
      </c>
      <c r="I149" s="36" t="str">
        <f t="array" ref="I149">IF($C149="","",INDEX(MATERIAL_FACTOR_APPLICABILITY!$D:$D,MATCH($C149,MATERIAL_FACTOR_APPLICABILITY!$A:$A,0)))</f>
        <v/>
      </c>
      <c r="J149" s="36" t="str">
        <f t="array" ref="J149">IF($C149="","",INDEX(MATERIAL_FACTOR_APPLICABILITY!$E:$E,MATCH($C149,MATERIAL_FACTOR_APPLICABILITY!$A:$A,0)))</f>
        <v/>
      </c>
      <c r="K149" s="36" t="str">
        <f t="array" ref="K149">IF($C149="","",INDEX(MATERIAL_FACTOR_APPLICABILITY!$F:$F,MATCH($C149,MATERIAL_FACTOR_APPLICABILITY!$A:$A,0)))</f>
        <v/>
      </c>
      <c r="L149" s="36" t="str">
        <f t="array" ref="L149">IF($C149="","",INDEX(MATERIAL_FACTOR_APPLICABILITY!$G:$G,MATCH($C149,MATERIAL_FACTOR_APPLICABILITY!$A:$A,0)))</f>
        <v/>
      </c>
      <c r="M149" s="36" t="str">
        <f t="array" ref="M149">IF($C149="","",INDEX(MATERIAL_FACTOR_APPLICABILITY!$H:$H,MATCH($C149,MATERIAL_FACTOR_APPLICABILITY!$A:$A,0)))</f>
        <v/>
      </c>
      <c r="N149" s="36" t="str">
        <f>IF($B149="","",ROUND(1+($I149*(SUMIFS(OBJECT_CONDITIONS!$W:$W,OBJECT_CONDITIONS!$A:$A,$B149)-1))+($J149*(SUMIFS(OBJECT_CONDITIONS!$J:$J,OBJECT_CONDITIONS!$A:$A,$B149)-1))+($K149*(SUMIFS(OBJECT_CONDITIONS!$L:$L,OBJECT_CONDITIONS!$A:$A,$B149)-1))+($L149*(SUMIFS(OBJECT_CONDITIONS!$N:$N,OBJECT_CONDITIONS!$A:$A,$B149)-1))+($M149*(SUMIFS(OBJECT_CONDITIONS!$R:$R,OBJECT_CONDITIONS!$A:$A,$B149)-1)),3))</f>
        <v/>
      </c>
      <c r="O149" s="36"/>
      <c r="P149" s="36" t="str">
        <f t="shared" si="1"/>
        <v/>
      </c>
      <c r="Q149" s="36" t="str">
        <f t="shared" si="2"/>
        <v/>
      </c>
      <c r="R149" s="11" t="str">
        <f t="array" ref="R149">IF($D149="","",IFERROR(INDEX(MATERIAL_VARIANTS!$O:$O,MATCH($D149,MATERIAL_VARIANTS!$A:$A,0)),""))</f>
        <v/>
      </c>
      <c r="S149" s="36" t="str">
        <f t="array" ref="S149">IF($D149="","",IFERROR(INDEX(MATERIAL_VARIANTS!$P:$P,MATCH($D149,MATERIAL_VARIANTS!$A:$A,0)),""))</f>
        <v/>
      </c>
      <c r="T149" s="11" t="str">
        <f t="shared" si="3"/>
        <v/>
      </c>
      <c r="U149" s="11"/>
    </row>
    <row r="150" ht="14.25" customHeight="1">
      <c r="A150" s="11"/>
      <c r="B150" s="11"/>
      <c r="C150" s="11"/>
      <c r="D150" s="11"/>
      <c r="E150" s="11"/>
      <c r="F150" s="11"/>
      <c r="G150" s="11" t="str">
        <f t="array" ref="G150">IF($C150="","",INDEX(MATERIAL_MASTER!$O:$O,MATCH($C150,MATERIAL_MASTER!$A:$A,0)))</f>
        <v/>
      </c>
      <c r="H150" s="36" t="str">
        <f t="array" ref="H150">IF($C150="","",INDEX(MATERIAL_MASTER!$P:$P,MATCH($C150,MATERIAL_MASTER!$A:$A,0)))</f>
        <v/>
      </c>
      <c r="I150" s="36" t="str">
        <f t="array" ref="I150">IF($C150="","",INDEX(MATERIAL_FACTOR_APPLICABILITY!$D:$D,MATCH($C150,MATERIAL_FACTOR_APPLICABILITY!$A:$A,0)))</f>
        <v/>
      </c>
      <c r="J150" s="36" t="str">
        <f t="array" ref="J150">IF($C150="","",INDEX(MATERIAL_FACTOR_APPLICABILITY!$E:$E,MATCH($C150,MATERIAL_FACTOR_APPLICABILITY!$A:$A,0)))</f>
        <v/>
      </c>
      <c r="K150" s="36" t="str">
        <f t="array" ref="K150">IF($C150="","",INDEX(MATERIAL_FACTOR_APPLICABILITY!$F:$F,MATCH($C150,MATERIAL_FACTOR_APPLICABILITY!$A:$A,0)))</f>
        <v/>
      </c>
      <c r="L150" s="36" t="str">
        <f t="array" ref="L150">IF($C150="","",INDEX(MATERIAL_FACTOR_APPLICABILITY!$G:$G,MATCH($C150,MATERIAL_FACTOR_APPLICABILITY!$A:$A,0)))</f>
        <v/>
      </c>
      <c r="M150" s="36" t="str">
        <f t="array" ref="M150">IF($C150="","",INDEX(MATERIAL_FACTOR_APPLICABILITY!$H:$H,MATCH($C150,MATERIAL_FACTOR_APPLICABILITY!$A:$A,0)))</f>
        <v/>
      </c>
      <c r="N150" s="36" t="str">
        <f>IF($B150="","",ROUND(1+($I150*(SUMIFS(OBJECT_CONDITIONS!$W:$W,OBJECT_CONDITIONS!$A:$A,$B150)-1))+($J150*(SUMIFS(OBJECT_CONDITIONS!$J:$J,OBJECT_CONDITIONS!$A:$A,$B150)-1))+($K150*(SUMIFS(OBJECT_CONDITIONS!$L:$L,OBJECT_CONDITIONS!$A:$A,$B150)-1))+($L150*(SUMIFS(OBJECT_CONDITIONS!$N:$N,OBJECT_CONDITIONS!$A:$A,$B150)-1))+($M150*(SUMIFS(OBJECT_CONDITIONS!$R:$R,OBJECT_CONDITIONS!$A:$A,$B150)-1)),3))</f>
        <v/>
      </c>
      <c r="O150" s="36"/>
      <c r="P150" s="36" t="str">
        <f t="shared" si="1"/>
        <v/>
      </c>
      <c r="Q150" s="36" t="str">
        <f t="shared" si="2"/>
        <v/>
      </c>
      <c r="R150" s="11" t="str">
        <f t="array" ref="R150">IF($D150="","",IFERROR(INDEX(MATERIAL_VARIANTS!$O:$O,MATCH($D150,MATERIAL_VARIANTS!$A:$A,0)),""))</f>
        <v/>
      </c>
      <c r="S150" s="36" t="str">
        <f t="array" ref="S150">IF($D150="","",IFERROR(INDEX(MATERIAL_VARIANTS!$P:$P,MATCH($D150,MATERIAL_VARIANTS!$A:$A,0)),""))</f>
        <v/>
      </c>
      <c r="T150" s="11" t="str">
        <f t="shared" si="3"/>
        <v/>
      </c>
      <c r="U150" s="11"/>
    </row>
    <row r="151" ht="14.25" customHeight="1">
      <c r="B151" s="8"/>
      <c r="C151" s="8"/>
      <c r="D151" s="8"/>
      <c r="F151" s="8"/>
    </row>
    <row r="152" ht="14.25" customHeight="1">
      <c r="B152" s="8"/>
      <c r="C152" s="8"/>
      <c r="D152" s="8"/>
      <c r="F152" s="8"/>
    </row>
    <row r="153" ht="14.25" customHeight="1">
      <c r="B153" s="8"/>
      <c r="C153" s="8"/>
      <c r="D153" s="8"/>
      <c r="F153" s="8"/>
    </row>
    <row r="154" ht="14.25" customHeight="1">
      <c r="B154" s="8"/>
      <c r="C154" s="8"/>
      <c r="D154" s="8"/>
      <c r="F154" s="8"/>
    </row>
    <row r="155" ht="14.25" customHeight="1">
      <c r="B155" s="8"/>
      <c r="C155" s="8"/>
      <c r="D155" s="8"/>
      <c r="F155" s="8"/>
    </row>
    <row r="156" ht="14.25" customHeight="1">
      <c r="B156" s="8"/>
      <c r="C156" s="8"/>
      <c r="D156" s="8"/>
      <c r="F156" s="8"/>
    </row>
    <row r="157" ht="14.25" customHeight="1">
      <c r="B157" s="8"/>
      <c r="C157" s="8"/>
      <c r="D157" s="8"/>
      <c r="F157" s="8"/>
    </row>
    <row r="158" ht="14.25" customHeight="1">
      <c r="B158" s="8"/>
      <c r="C158" s="8"/>
      <c r="D158" s="8"/>
      <c r="F158" s="8"/>
    </row>
    <row r="159" ht="14.25" customHeight="1">
      <c r="B159" s="8"/>
      <c r="C159" s="8"/>
      <c r="D159" s="8"/>
      <c r="F159" s="8"/>
    </row>
    <row r="160" ht="14.25" customHeight="1">
      <c r="B160" s="8"/>
      <c r="C160" s="8"/>
      <c r="D160" s="8"/>
      <c r="F160" s="8"/>
    </row>
    <row r="161" ht="14.25" customHeight="1">
      <c r="B161" s="8"/>
      <c r="C161" s="8"/>
      <c r="D161" s="8"/>
      <c r="F161" s="8"/>
    </row>
    <row r="162" ht="14.25" customHeight="1">
      <c r="B162" s="8"/>
      <c r="C162" s="8"/>
      <c r="D162" s="8"/>
      <c r="F162" s="8"/>
    </row>
    <row r="163" ht="14.25" customHeight="1">
      <c r="B163" s="8"/>
      <c r="C163" s="8"/>
      <c r="D163" s="8"/>
      <c r="F163" s="8"/>
    </row>
    <row r="164" ht="14.25" customHeight="1">
      <c r="B164" s="8"/>
      <c r="C164" s="8"/>
      <c r="D164" s="8"/>
      <c r="F164" s="8"/>
    </row>
    <row r="165" ht="14.25" customHeight="1">
      <c r="B165" s="8"/>
      <c r="C165" s="8"/>
      <c r="D165" s="8"/>
      <c r="F165" s="8"/>
    </row>
    <row r="166" ht="14.25" customHeight="1">
      <c r="B166" s="8"/>
      <c r="C166" s="8"/>
      <c r="D166" s="8"/>
      <c r="F166" s="8"/>
    </row>
    <row r="167" ht="14.25" customHeight="1">
      <c r="B167" s="8"/>
      <c r="C167" s="8"/>
      <c r="D167" s="8"/>
      <c r="F167" s="8"/>
    </row>
    <row r="168" ht="14.25" customHeight="1">
      <c r="B168" s="8"/>
      <c r="C168" s="8"/>
      <c r="D168" s="8"/>
      <c r="F168" s="8"/>
    </row>
    <row r="169" ht="14.25" customHeight="1">
      <c r="B169" s="8"/>
      <c r="C169" s="8"/>
      <c r="D169" s="8"/>
      <c r="F169" s="8"/>
    </row>
    <row r="170" ht="14.25" customHeight="1">
      <c r="B170" s="8"/>
      <c r="C170" s="8"/>
      <c r="D170" s="8"/>
      <c r="F170" s="8"/>
    </row>
    <row r="171" ht="14.25" customHeight="1">
      <c r="B171" s="8"/>
      <c r="C171" s="8"/>
      <c r="D171" s="8"/>
      <c r="F171" s="8"/>
    </row>
    <row r="172" ht="14.25" customHeight="1">
      <c r="B172" s="8"/>
      <c r="C172" s="8"/>
      <c r="D172" s="8"/>
      <c r="F172" s="8"/>
    </row>
    <row r="173" ht="14.25" customHeight="1">
      <c r="B173" s="8"/>
      <c r="C173" s="8"/>
      <c r="D173" s="8"/>
      <c r="F173" s="8"/>
    </row>
    <row r="174" ht="14.25" customHeight="1">
      <c r="B174" s="8"/>
      <c r="C174" s="8"/>
      <c r="D174" s="8"/>
      <c r="F174" s="8"/>
    </row>
    <row r="175" ht="14.25" customHeight="1">
      <c r="B175" s="8"/>
      <c r="C175" s="8"/>
      <c r="D175" s="8"/>
      <c r="F175" s="8"/>
    </row>
    <row r="176" ht="14.25" customHeight="1">
      <c r="B176" s="8"/>
      <c r="C176" s="8"/>
      <c r="D176" s="8"/>
      <c r="F176" s="8"/>
    </row>
    <row r="177" ht="14.25" customHeight="1">
      <c r="B177" s="8"/>
      <c r="C177" s="8"/>
      <c r="D177" s="8"/>
      <c r="F177" s="8"/>
    </row>
    <row r="178" ht="14.25" customHeight="1">
      <c r="B178" s="8"/>
      <c r="C178" s="8"/>
      <c r="D178" s="8"/>
      <c r="F178" s="8"/>
    </row>
    <row r="179" ht="14.25" customHeight="1">
      <c r="B179" s="8"/>
      <c r="C179" s="8"/>
      <c r="D179" s="8"/>
      <c r="F179" s="8"/>
    </row>
    <row r="180" ht="14.25" customHeight="1">
      <c r="B180" s="8"/>
      <c r="C180" s="8"/>
      <c r="D180" s="8"/>
      <c r="F180" s="8"/>
    </row>
    <row r="181" ht="14.25" customHeight="1">
      <c r="B181" s="8"/>
      <c r="C181" s="8"/>
      <c r="D181" s="8"/>
      <c r="F181" s="8"/>
    </row>
    <row r="182" ht="14.25" customHeight="1">
      <c r="B182" s="8"/>
      <c r="C182" s="8"/>
      <c r="D182" s="8"/>
      <c r="F182" s="8"/>
    </row>
    <row r="183" ht="14.25" customHeight="1">
      <c r="B183" s="8"/>
      <c r="C183" s="8"/>
      <c r="D183" s="8"/>
      <c r="F183" s="8"/>
    </row>
    <row r="184" ht="14.25" customHeight="1">
      <c r="B184" s="8"/>
      <c r="C184" s="8"/>
      <c r="D184" s="8"/>
      <c r="F184" s="8"/>
    </row>
    <row r="185" ht="14.25" customHeight="1">
      <c r="B185" s="8"/>
      <c r="C185" s="8"/>
      <c r="D185" s="8"/>
      <c r="F185" s="8"/>
    </row>
    <row r="186" ht="14.25" customHeight="1">
      <c r="B186" s="8"/>
      <c r="C186" s="8"/>
      <c r="D186" s="8"/>
      <c r="F186" s="8"/>
    </row>
    <row r="187" ht="14.25" customHeight="1">
      <c r="B187" s="8"/>
      <c r="C187" s="8"/>
      <c r="D187" s="8"/>
      <c r="F187" s="8"/>
    </row>
    <row r="188" ht="14.25" customHeight="1">
      <c r="B188" s="8"/>
      <c r="C188" s="8"/>
      <c r="D188" s="8"/>
      <c r="F188" s="8"/>
    </row>
    <row r="189" ht="14.25" customHeight="1">
      <c r="B189" s="8"/>
      <c r="C189" s="8"/>
      <c r="D189" s="8"/>
      <c r="F189" s="8"/>
    </row>
    <row r="190" ht="14.25" customHeight="1">
      <c r="B190" s="8"/>
      <c r="C190" s="8"/>
      <c r="D190" s="8"/>
      <c r="F190" s="8"/>
    </row>
    <row r="191" ht="14.25" customHeight="1">
      <c r="B191" s="8"/>
      <c r="C191" s="8"/>
      <c r="D191" s="8"/>
      <c r="F191" s="8"/>
    </row>
    <row r="192" ht="14.25" customHeight="1">
      <c r="B192" s="8"/>
      <c r="C192" s="8"/>
      <c r="D192" s="8"/>
      <c r="F192" s="8"/>
    </row>
    <row r="193" ht="14.25" customHeight="1">
      <c r="B193" s="8"/>
      <c r="C193" s="8"/>
      <c r="D193" s="8"/>
      <c r="F193" s="8"/>
    </row>
    <row r="194" ht="14.25" customHeight="1">
      <c r="B194" s="8"/>
      <c r="C194" s="8"/>
      <c r="D194" s="8"/>
      <c r="F194" s="8"/>
    </row>
    <row r="195" ht="14.25" customHeight="1">
      <c r="B195" s="8"/>
      <c r="C195" s="8"/>
      <c r="D195" s="8"/>
      <c r="F195" s="8"/>
    </row>
    <row r="196" ht="14.25" customHeight="1">
      <c r="B196" s="8"/>
      <c r="C196" s="8"/>
      <c r="D196" s="8"/>
      <c r="F196" s="8"/>
    </row>
    <row r="197" ht="14.25" customHeight="1">
      <c r="B197" s="8"/>
      <c r="C197" s="8"/>
      <c r="D197" s="8"/>
      <c r="F197" s="8"/>
    </row>
    <row r="198" ht="14.25" customHeight="1">
      <c r="B198" s="8"/>
      <c r="C198" s="8"/>
      <c r="D198" s="8"/>
      <c r="F198" s="8"/>
    </row>
    <row r="199" ht="14.25" customHeight="1">
      <c r="B199" s="8"/>
      <c r="C199" s="8"/>
      <c r="D199" s="8"/>
      <c r="F199" s="8"/>
    </row>
    <row r="200" ht="14.25" customHeight="1">
      <c r="B200" s="8"/>
      <c r="C200" s="8"/>
      <c r="D200" s="8"/>
      <c r="F200" s="8"/>
    </row>
    <row r="201" ht="14.25" customHeight="1">
      <c r="B201" s="8"/>
      <c r="C201" s="8"/>
      <c r="D201" s="8"/>
      <c r="F201" s="8"/>
    </row>
    <row r="202" ht="14.25" customHeight="1">
      <c r="B202" s="8"/>
      <c r="C202" s="8"/>
      <c r="D202" s="8"/>
      <c r="F202" s="8"/>
    </row>
    <row r="203" ht="14.25" customHeight="1">
      <c r="B203" s="8"/>
      <c r="C203" s="8"/>
      <c r="D203" s="8"/>
      <c r="F203" s="8"/>
    </row>
    <row r="204" ht="14.25" customHeight="1">
      <c r="B204" s="8"/>
      <c r="C204" s="8"/>
      <c r="D204" s="8"/>
      <c r="F204" s="8"/>
    </row>
    <row r="205" ht="14.25" customHeight="1">
      <c r="B205" s="8"/>
      <c r="C205" s="8"/>
      <c r="D205" s="8"/>
      <c r="F205" s="8"/>
    </row>
    <row r="206" ht="14.25" customHeight="1">
      <c r="B206" s="8"/>
      <c r="C206" s="8"/>
      <c r="D206" s="8"/>
      <c r="F206" s="8"/>
    </row>
    <row r="207" ht="14.25" customHeight="1">
      <c r="B207" s="8"/>
      <c r="C207" s="8"/>
      <c r="D207" s="8"/>
      <c r="F207" s="8"/>
    </row>
    <row r="208" ht="14.25" customHeight="1">
      <c r="B208" s="8"/>
      <c r="C208" s="8"/>
      <c r="D208" s="8"/>
      <c r="F208" s="8"/>
    </row>
    <row r="209" ht="14.25" customHeight="1">
      <c r="B209" s="8"/>
      <c r="C209" s="8"/>
      <c r="D209" s="8"/>
      <c r="F209" s="8"/>
    </row>
    <row r="210" ht="14.25" customHeight="1">
      <c r="B210" s="8"/>
      <c r="C210" s="8"/>
      <c r="D210" s="8"/>
      <c r="F210" s="8"/>
    </row>
    <row r="211" ht="14.25" customHeight="1">
      <c r="B211" s="8"/>
      <c r="C211" s="8"/>
      <c r="D211" s="8"/>
      <c r="F211" s="8"/>
    </row>
    <row r="212" ht="14.25" customHeight="1">
      <c r="B212" s="8"/>
      <c r="C212" s="8"/>
      <c r="D212" s="8"/>
      <c r="F212" s="8"/>
    </row>
    <row r="213" ht="14.25" customHeight="1">
      <c r="B213" s="8"/>
      <c r="C213" s="8"/>
      <c r="D213" s="8"/>
      <c r="F213" s="8"/>
    </row>
    <row r="214" ht="14.25" customHeight="1">
      <c r="B214" s="8"/>
      <c r="C214" s="8"/>
      <c r="D214" s="8"/>
      <c r="F214" s="8"/>
    </row>
    <row r="215" ht="14.25" customHeight="1">
      <c r="B215" s="8"/>
      <c r="C215" s="8"/>
      <c r="D215" s="8"/>
      <c r="F215" s="8"/>
    </row>
    <row r="216" ht="14.25" customHeight="1">
      <c r="B216" s="8"/>
      <c r="C216" s="8"/>
      <c r="D216" s="8"/>
      <c r="F216" s="8"/>
    </row>
    <row r="217" ht="14.25" customHeight="1">
      <c r="B217" s="8"/>
      <c r="C217" s="8"/>
      <c r="D217" s="8"/>
      <c r="F217" s="8"/>
    </row>
    <row r="218" ht="14.25" customHeight="1">
      <c r="B218" s="8"/>
      <c r="C218" s="8"/>
      <c r="D218" s="8"/>
      <c r="F218" s="8"/>
    </row>
    <row r="219" ht="14.25" customHeight="1">
      <c r="B219" s="8"/>
      <c r="C219" s="8"/>
      <c r="D219" s="8"/>
      <c r="F219" s="8"/>
    </row>
    <row r="220" ht="14.25" customHeight="1">
      <c r="B220" s="8"/>
      <c r="C220" s="8"/>
      <c r="D220" s="8"/>
      <c r="F220" s="8"/>
    </row>
    <row r="221" ht="14.25" customHeight="1">
      <c r="B221" s="8"/>
      <c r="C221" s="8"/>
      <c r="D221" s="8"/>
      <c r="F221" s="8"/>
    </row>
    <row r="222" ht="14.25" customHeight="1">
      <c r="B222" s="8"/>
      <c r="C222" s="8"/>
      <c r="D222" s="8"/>
      <c r="F222" s="8"/>
    </row>
    <row r="223" ht="14.25" customHeight="1">
      <c r="B223" s="8"/>
      <c r="C223" s="8"/>
      <c r="D223" s="8"/>
      <c r="F223" s="8"/>
    </row>
    <row r="224" ht="14.25" customHeight="1">
      <c r="B224" s="8"/>
      <c r="C224" s="8"/>
      <c r="D224" s="8"/>
      <c r="F224" s="8"/>
    </row>
    <row r="225" ht="14.25" customHeight="1">
      <c r="B225" s="8"/>
      <c r="C225" s="8"/>
      <c r="D225" s="8"/>
      <c r="F225" s="8"/>
    </row>
    <row r="226" ht="14.25" customHeight="1">
      <c r="B226" s="8"/>
      <c r="C226" s="8"/>
      <c r="D226" s="8"/>
      <c r="F226" s="8"/>
    </row>
    <row r="227" ht="14.25" customHeight="1">
      <c r="B227" s="8"/>
      <c r="C227" s="8"/>
      <c r="D227" s="8"/>
      <c r="F227" s="8"/>
    </row>
    <row r="228" ht="14.25" customHeight="1">
      <c r="B228" s="8"/>
      <c r="C228" s="8"/>
      <c r="D228" s="8"/>
      <c r="F228" s="8"/>
    </row>
    <row r="229" ht="14.25" customHeight="1">
      <c r="B229" s="8"/>
      <c r="C229" s="8"/>
      <c r="D229" s="8"/>
      <c r="F229" s="8"/>
    </row>
    <row r="230" ht="14.25" customHeight="1">
      <c r="B230" s="8"/>
      <c r="C230" s="8"/>
      <c r="D230" s="8"/>
      <c r="F230" s="8"/>
    </row>
    <row r="231" ht="14.25" customHeight="1">
      <c r="B231" s="8"/>
      <c r="C231" s="8"/>
      <c r="D231" s="8"/>
      <c r="F231" s="8"/>
    </row>
    <row r="232" ht="14.25" customHeight="1">
      <c r="B232" s="8"/>
      <c r="C232" s="8"/>
      <c r="D232" s="8"/>
      <c r="F232" s="8"/>
    </row>
    <row r="233" ht="14.25" customHeight="1">
      <c r="B233" s="8"/>
      <c r="C233" s="8"/>
      <c r="D233" s="8"/>
      <c r="F233" s="8"/>
    </row>
    <row r="234" ht="14.25" customHeight="1">
      <c r="B234" s="8"/>
      <c r="C234" s="8"/>
      <c r="D234" s="8"/>
      <c r="F234" s="8"/>
    </row>
    <row r="235" ht="14.25" customHeight="1">
      <c r="B235" s="8"/>
      <c r="C235" s="8"/>
      <c r="D235" s="8"/>
      <c r="F235" s="8"/>
    </row>
    <row r="236" ht="14.25" customHeight="1">
      <c r="B236" s="8"/>
      <c r="C236" s="8"/>
      <c r="D236" s="8"/>
      <c r="F236" s="8"/>
    </row>
    <row r="237" ht="14.25" customHeight="1">
      <c r="B237" s="8"/>
      <c r="C237" s="8"/>
      <c r="D237" s="8"/>
      <c r="F237" s="8"/>
    </row>
    <row r="238" ht="14.25" customHeight="1">
      <c r="B238" s="8"/>
      <c r="C238" s="8"/>
      <c r="D238" s="8"/>
      <c r="F238" s="8"/>
    </row>
    <row r="239" ht="14.25" customHeight="1">
      <c r="B239" s="8"/>
      <c r="C239" s="8"/>
      <c r="D239" s="8"/>
      <c r="F239" s="8"/>
    </row>
    <row r="240" ht="14.25" customHeight="1">
      <c r="B240" s="8"/>
      <c r="C240" s="8"/>
      <c r="D240" s="8"/>
      <c r="F240" s="8"/>
    </row>
    <row r="241" ht="14.25" customHeight="1">
      <c r="B241" s="8"/>
      <c r="C241" s="8"/>
      <c r="D241" s="8"/>
      <c r="F241" s="8"/>
    </row>
    <row r="242" ht="14.25" customHeight="1">
      <c r="B242" s="8"/>
      <c r="C242" s="8"/>
      <c r="D242" s="8"/>
      <c r="F242" s="8"/>
    </row>
    <row r="243" ht="14.25" customHeight="1">
      <c r="B243" s="8"/>
      <c r="C243" s="8"/>
      <c r="D243" s="8"/>
      <c r="F243" s="8"/>
    </row>
    <row r="244" ht="14.25" customHeight="1">
      <c r="B244" s="8"/>
      <c r="C244" s="8"/>
      <c r="D244" s="8"/>
      <c r="F244" s="8"/>
    </row>
    <row r="245" ht="14.25" customHeight="1">
      <c r="B245" s="8"/>
      <c r="C245" s="8"/>
      <c r="D245" s="8"/>
      <c r="F245" s="8"/>
    </row>
    <row r="246" ht="14.25" customHeight="1">
      <c r="B246" s="8"/>
      <c r="C246" s="8"/>
      <c r="D246" s="8"/>
      <c r="F246" s="8"/>
    </row>
    <row r="247" ht="14.25" customHeight="1">
      <c r="B247" s="8"/>
      <c r="C247" s="8"/>
      <c r="D247" s="8"/>
      <c r="F247" s="8"/>
    </row>
    <row r="248" ht="14.25" customHeight="1">
      <c r="B248" s="8"/>
      <c r="C248" s="8"/>
      <c r="D248" s="8"/>
      <c r="F248" s="8"/>
    </row>
    <row r="249" ht="14.25" customHeight="1">
      <c r="B249" s="8"/>
      <c r="C249" s="8"/>
      <c r="D249" s="8"/>
      <c r="F249" s="8"/>
    </row>
    <row r="250" ht="14.25" customHeight="1">
      <c r="B250" s="8"/>
      <c r="C250" s="8"/>
      <c r="D250" s="8"/>
      <c r="F250" s="8"/>
    </row>
    <row r="251" ht="14.25" customHeight="1">
      <c r="B251" s="8"/>
      <c r="C251" s="8"/>
      <c r="D251" s="8"/>
      <c r="F251" s="8"/>
    </row>
    <row r="252" ht="14.25" customHeight="1">
      <c r="B252" s="8"/>
      <c r="C252" s="8"/>
      <c r="D252" s="8"/>
      <c r="F252" s="8"/>
    </row>
    <row r="253" ht="14.25" customHeight="1">
      <c r="B253" s="8"/>
      <c r="C253" s="8"/>
      <c r="D253" s="8"/>
      <c r="F253" s="8"/>
    </row>
    <row r="254" ht="14.25" customHeight="1">
      <c r="B254" s="8"/>
      <c r="C254" s="8"/>
      <c r="D254" s="8"/>
      <c r="F254" s="8"/>
    </row>
    <row r="255" ht="14.25" customHeight="1">
      <c r="B255" s="8"/>
      <c r="C255" s="8"/>
      <c r="D255" s="8"/>
      <c r="F255" s="8"/>
    </row>
    <row r="256" ht="14.25" customHeight="1">
      <c r="B256" s="8"/>
      <c r="C256" s="8"/>
      <c r="D256" s="8"/>
      <c r="F256" s="8"/>
    </row>
    <row r="257" ht="14.25" customHeight="1">
      <c r="B257" s="8"/>
      <c r="C257" s="8"/>
      <c r="D257" s="8"/>
      <c r="F257" s="8"/>
    </row>
    <row r="258" ht="14.25" customHeight="1">
      <c r="B258" s="8"/>
      <c r="C258" s="8"/>
      <c r="D258" s="8"/>
      <c r="F258" s="8"/>
    </row>
    <row r="259" ht="14.25" customHeight="1">
      <c r="B259" s="8"/>
      <c r="C259" s="8"/>
      <c r="D259" s="8"/>
      <c r="F259" s="8"/>
    </row>
    <row r="260" ht="14.25" customHeight="1">
      <c r="B260" s="8"/>
      <c r="C260" s="8"/>
      <c r="D260" s="8"/>
      <c r="F260" s="8"/>
    </row>
    <row r="261" ht="14.25" customHeight="1">
      <c r="B261" s="8"/>
      <c r="C261" s="8"/>
      <c r="D261" s="8"/>
      <c r="F261" s="8"/>
    </row>
    <row r="262" ht="14.25" customHeight="1">
      <c r="B262" s="8"/>
      <c r="C262" s="8"/>
      <c r="D262" s="8"/>
      <c r="F262" s="8"/>
    </row>
    <row r="263" ht="14.25" customHeight="1">
      <c r="B263" s="8"/>
      <c r="C263" s="8"/>
      <c r="D263" s="8"/>
      <c r="F263" s="8"/>
    </row>
    <row r="264" ht="14.25" customHeight="1">
      <c r="B264" s="8"/>
      <c r="C264" s="8"/>
      <c r="D264" s="8"/>
      <c r="F264" s="8"/>
    </row>
    <row r="265" ht="14.25" customHeight="1">
      <c r="B265" s="8"/>
      <c r="C265" s="8"/>
      <c r="D265" s="8"/>
      <c r="F265" s="8"/>
    </row>
    <row r="266" ht="14.25" customHeight="1">
      <c r="B266" s="8"/>
      <c r="C266" s="8"/>
      <c r="D266" s="8"/>
      <c r="F266" s="8"/>
    </row>
    <row r="267" ht="14.25" customHeight="1">
      <c r="B267" s="8"/>
      <c r="C267" s="8"/>
      <c r="D267" s="8"/>
      <c r="F267" s="8"/>
    </row>
    <row r="268" ht="14.25" customHeight="1">
      <c r="B268" s="8"/>
      <c r="C268" s="8"/>
      <c r="D268" s="8"/>
      <c r="F268" s="8"/>
    </row>
    <row r="269" ht="14.25" customHeight="1">
      <c r="B269" s="8"/>
      <c r="C269" s="8"/>
      <c r="D269" s="8"/>
      <c r="F269" s="8"/>
    </row>
    <row r="270" ht="14.25" customHeight="1">
      <c r="B270" s="8"/>
      <c r="C270" s="8"/>
      <c r="D270" s="8"/>
      <c r="F270" s="8"/>
    </row>
    <row r="271" ht="14.25" customHeight="1">
      <c r="B271" s="8"/>
      <c r="C271" s="8"/>
      <c r="D271" s="8"/>
      <c r="F271" s="8"/>
    </row>
    <row r="272" ht="14.25" customHeight="1">
      <c r="B272" s="8"/>
      <c r="C272" s="8"/>
      <c r="D272" s="8"/>
      <c r="F272" s="8"/>
    </row>
    <row r="273" ht="14.25" customHeight="1">
      <c r="B273" s="8"/>
      <c r="C273" s="8"/>
      <c r="D273" s="8"/>
      <c r="F273" s="8"/>
    </row>
    <row r="274" ht="14.25" customHeight="1">
      <c r="B274" s="8"/>
      <c r="C274" s="8"/>
      <c r="D274" s="8"/>
      <c r="F274" s="8"/>
    </row>
    <row r="275" ht="14.25" customHeight="1">
      <c r="B275" s="8"/>
      <c r="C275" s="8"/>
      <c r="D275" s="8"/>
      <c r="F275" s="8"/>
    </row>
    <row r="276" ht="14.25" customHeight="1">
      <c r="B276" s="8"/>
      <c r="C276" s="8"/>
      <c r="D276" s="8"/>
      <c r="F276" s="8"/>
    </row>
    <row r="277" ht="14.25" customHeight="1">
      <c r="B277" s="8"/>
      <c r="C277" s="8"/>
      <c r="D277" s="8"/>
      <c r="F277" s="8"/>
    </row>
    <row r="278" ht="14.25" customHeight="1">
      <c r="B278" s="8"/>
      <c r="C278" s="8"/>
      <c r="D278" s="8"/>
      <c r="F278" s="8"/>
    </row>
    <row r="279" ht="14.25" customHeight="1">
      <c r="B279" s="8"/>
      <c r="C279" s="8"/>
      <c r="D279" s="8"/>
      <c r="F279" s="8"/>
    </row>
    <row r="280" ht="14.25" customHeight="1">
      <c r="B280" s="8"/>
      <c r="C280" s="8"/>
      <c r="D280" s="8"/>
      <c r="F280" s="8"/>
    </row>
    <row r="281" ht="14.25" customHeight="1">
      <c r="B281" s="8"/>
      <c r="C281" s="8"/>
      <c r="D281" s="8"/>
      <c r="F281" s="8"/>
    </row>
    <row r="282" ht="14.25" customHeight="1">
      <c r="B282" s="8"/>
      <c r="C282" s="8"/>
      <c r="D282" s="8"/>
      <c r="F282" s="8"/>
    </row>
    <row r="283" ht="14.25" customHeight="1">
      <c r="B283" s="8"/>
      <c r="C283" s="8"/>
      <c r="D283" s="8"/>
      <c r="F283" s="8"/>
    </row>
    <row r="284" ht="14.25" customHeight="1">
      <c r="B284" s="8"/>
      <c r="C284" s="8"/>
      <c r="D284" s="8"/>
      <c r="F284" s="8"/>
    </row>
    <row r="285" ht="14.25" customHeight="1">
      <c r="B285" s="8"/>
      <c r="C285" s="8"/>
      <c r="D285" s="8"/>
      <c r="F285" s="8"/>
    </row>
    <row r="286" ht="14.25" customHeight="1">
      <c r="B286" s="8"/>
      <c r="C286" s="8"/>
      <c r="D286" s="8"/>
      <c r="F286" s="8"/>
    </row>
    <row r="287" ht="14.25" customHeight="1">
      <c r="B287" s="8"/>
      <c r="C287" s="8"/>
      <c r="D287" s="8"/>
      <c r="F287" s="8"/>
    </row>
    <row r="288" ht="14.25" customHeight="1">
      <c r="B288" s="8"/>
      <c r="C288" s="8"/>
      <c r="D288" s="8"/>
      <c r="F288" s="8"/>
    </row>
    <row r="289" ht="14.25" customHeight="1">
      <c r="B289" s="8"/>
      <c r="C289" s="8"/>
      <c r="D289" s="8"/>
      <c r="F289" s="8"/>
    </row>
    <row r="290" ht="14.25" customHeight="1">
      <c r="B290" s="8"/>
      <c r="C290" s="8"/>
      <c r="D290" s="8"/>
      <c r="F290" s="8"/>
    </row>
    <row r="291" ht="14.25" customHeight="1">
      <c r="B291" s="8"/>
      <c r="C291" s="8"/>
      <c r="D291" s="8"/>
      <c r="F291" s="8"/>
    </row>
    <row r="292" ht="14.25" customHeight="1">
      <c r="B292" s="8"/>
      <c r="C292" s="8"/>
      <c r="D292" s="8"/>
      <c r="F292" s="8"/>
    </row>
    <row r="293" ht="14.25" customHeight="1">
      <c r="B293" s="8"/>
      <c r="C293" s="8"/>
      <c r="D293" s="8"/>
      <c r="F293" s="8"/>
    </row>
    <row r="294" ht="14.25" customHeight="1">
      <c r="B294" s="8"/>
      <c r="C294" s="8"/>
      <c r="D294" s="8"/>
      <c r="F294" s="8"/>
    </row>
    <row r="295" ht="14.25" customHeight="1">
      <c r="B295" s="8"/>
      <c r="C295" s="8"/>
      <c r="D295" s="8"/>
      <c r="F295" s="8"/>
    </row>
    <row r="296" ht="14.25" customHeight="1">
      <c r="B296" s="8"/>
      <c r="C296" s="8"/>
      <c r="D296" s="8"/>
      <c r="F296" s="8"/>
    </row>
    <row r="297" ht="14.25" customHeight="1">
      <c r="B297" s="8"/>
      <c r="C297" s="8"/>
      <c r="D297" s="8"/>
      <c r="F297" s="8"/>
    </row>
    <row r="298" ht="14.25" customHeight="1">
      <c r="B298" s="8"/>
      <c r="C298" s="8"/>
      <c r="D298" s="8"/>
      <c r="F298" s="8"/>
    </row>
    <row r="299" ht="14.25" customHeight="1">
      <c r="B299" s="8"/>
      <c r="C299" s="8"/>
      <c r="D299" s="8"/>
      <c r="F299" s="8"/>
    </row>
    <row r="300" ht="14.25" customHeight="1">
      <c r="B300" s="8"/>
      <c r="C300" s="8"/>
      <c r="D300" s="8"/>
      <c r="F300" s="8"/>
    </row>
    <row r="301" ht="14.25" customHeight="1">
      <c r="B301" s="8"/>
      <c r="C301" s="8"/>
      <c r="D301" s="8"/>
      <c r="F301" s="8"/>
    </row>
    <row r="302" ht="14.25" customHeight="1">
      <c r="B302" s="8"/>
      <c r="C302" s="8"/>
      <c r="D302" s="8"/>
      <c r="F302" s="8"/>
    </row>
    <row r="303" ht="14.25" customHeight="1">
      <c r="B303" s="8"/>
      <c r="C303" s="8"/>
      <c r="D303" s="8"/>
      <c r="F303" s="8"/>
    </row>
    <row r="304" ht="14.25" customHeight="1">
      <c r="B304" s="8"/>
      <c r="C304" s="8"/>
      <c r="D304" s="8"/>
      <c r="F304" s="8"/>
    </row>
    <row r="305" ht="14.25" customHeight="1">
      <c r="B305" s="8"/>
      <c r="C305" s="8"/>
      <c r="D305" s="8"/>
      <c r="F305" s="8"/>
    </row>
    <row r="306" ht="14.25" customHeight="1">
      <c r="B306" s="8"/>
      <c r="C306" s="8"/>
      <c r="D306" s="8"/>
      <c r="F306" s="8"/>
    </row>
    <row r="307" ht="14.25" customHeight="1">
      <c r="B307" s="8"/>
      <c r="C307" s="8"/>
      <c r="D307" s="8"/>
      <c r="F307" s="8"/>
    </row>
    <row r="308" ht="14.25" customHeight="1">
      <c r="B308" s="8"/>
      <c r="C308" s="8"/>
      <c r="D308" s="8"/>
      <c r="F308" s="8"/>
    </row>
    <row r="309" ht="14.25" customHeight="1">
      <c r="B309" s="8"/>
      <c r="C309" s="8"/>
      <c r="D309" s="8"/>
      <c r="F309" s="8"/>
    </row>
    <row r="310" ht="14.25" customHeight="1">
      <c r="B310" s="8"/>
      <c r="C310" s="8"/>
      <c r="D310" s="8"/>
      <c r="F310" s="8"/>
    </row>
    <row r="311" ht="14.25" customHeight="1">
      <c r="B311" s="8"/>
      <c r="C311" s="8"/>
      <c r="D311" s="8"/>
      <c r="F311" s="8"/>
    </row>
    <row r="312" ht="14.25" customHeight="1">
      <c r="B312" s="8"/>
      <c r="C312" s="8"/>
      <c r="D312" s="8"/>
      <c r="F312" s="8"/>
    </row>
    <row r="313" ht="14.25" customHeight="1">
      <c r="B313" s="8"/>
      <c r="C313" s="8"/>
      <c r="D313" s="8"/>
      <c r="F313" s="8"/>
    </row>
    <row r="314" ht="14.25" customHeight="1">
      <c r="B314" s="8"/>
      <c r="C314" s="8"/>
      <c r="D314" s="8"/>
      <c r="F314" s="8"/>
    </row>
    <row r="315" ht="14.25" customHeight="1">
      <c r="B315" s="8"/>
      <c r="C315" s="8"/>
      <c r="D315" s="8"/>
      <c r="F315" s="8"/>
    </row>
    <row r="316" ht="14.25" customHeight="1">
      <c r="B316" s="8"/>
      <c r="C316" s="8"/>
      <c r="D316" s="8"/>
      <c r="F316" s="8"/>
    </row>
    <row r="317" ht="14.25" customHeight="1">
      <c r="B317" s="8"/>
      <c r="C317" s="8"/>
      <c r="D317" s="8"/>
      <c r="F317" s="8"/>
    </row>
    <row r="318" ht="14.25" customHeight="1">
      <c r="B318" s="8"/>
      <c r="C318" s="8"/>
      <c r="D318" s="8"/>
      <c r="F318" s="8"/>
    </row>
    <row r="319" ht="14.25" customHeight="1">
      <c r="B319" s="8"/>
      <c r="C319" s="8"/>
      <c r="D319" s="8"/>
      <c r="F319" s="8"/>
    </row>
    <row r="320" ht="14.25" customHeight="1">
      <c r="B320" s="8"/>
      <c r="C320" s="8"/>
      <c r="D320" s="8"/>
      <c r="F320" s="8"/>
    </row>
    <row r="321" ht="14.25" customHeight="1">
      <c r="B321" s="8"/>
      <c r="C321" s="8"/>
      <c r="D321" s="8"/>
      <c r="F321" s="8"/>
    </row>
    <row r="322" ht="14.25" customHeight="1">
      <c r="B322" s="8"/>
      <c r="C322" s="8"/>
      <c r="D322" s="8"/>
      <c r="F322" s="8"/>
    </row>
    <row r="323" ht="14.25" customHeight="1">
      <c r="B323" s="8"/>
      <c r="C323" s="8"/>
      <c r="D323" s="8"/>
      <c r="F323" s="8"/>
    </row>
    <row r="324" ht="14.25" customHeight="1">
      <c r="B324" s="8"/>
      <c r="C324" s="8"/>
      <c r="D324" s="8"/>
      <c r="F324" s="8"/>
    </row>
    <row r="325" ht="14.25" customHeight="1">
      <c r="B325" s="8"/>
      <c r="C325" s="8"/>
      <c r="D325" s="8"/>
      <c r="F325" s="8"/>
    </row>
    <row r="326" ht="14.25" customHeight="1">
      <c r="B326" s="8"/>
      <c r="C326" s="8"/>
      <c r="D326" s="8"/>
      <c r="F326" s="8"/>
    </row>
    <row r="327" ht="14.25" customHeight="1">
      <c r="B327" s="8"/>
      <c r="C327" s="8"/>
      <c r="D327" s="8"/>
      <c r="F327" s="8"/>
    </row>
    <row r="328" ht="14.25" customHeight="1">
      <c r="B328" s="8"/>
      <c r="C328" s="8"/>
      <c r="D328" s="8"/>
      <c r="F328" s="8"/>
    </row>
    <row r="329" ht="14.25" customHeight="1">
      <c r="B329" s="8"/>
      <c r="C329" s="8"/>
      <c r="D329" s="8"/>
      <c r="F329" s="8"/>
    </row>
    <row r="330" ht="14.25" customHeight="1">
      <c r="B330" s="8"/>
      <c r="C330" s="8"/>
      <c r="D330" s="8"/>
      <c r="F330" s="8"/>
    </row>
    <row r="331" ht="14.25" customHeight="1">
      <c r="B331" s="8"/>
      <c r="C331" s="8"/>
      <c r="D331" s="8"/>
      <c r="F331" s="8"/>
    </row>
    <row r="332" ht="14.25" customHeight="1">
      <c r="B332" s="8"/>
      <c r="C332" s="8"/>
      <c r="D332" s="8"/>
      <c r="F332" s="8"/>
    </row>
    <row r="333" ht="14.25" customHeight="1">
      <c r="B333" s="8"/>
      <c r="C333" s="8"/>
      <c r="D333" s="8"/>
      <c r="F333" s="8"/>
    </row>
    <row r="334" ht="14.25" customHeight="1">
      <c r="B334" s="8"/>
      <c r="C334" s="8"/>
      <c r="D334" s="8"/>
      <c r="F334" s="8"/>
    </row>
    <row r="335" ht="14.25" customHeight="1">
      <c r="B335" s="8"/>
      <c r="C335" s="8"/>
      <c r="D335" s="8"/>
      <c r="F335" s="8"/>
    </row>
    <row r="336" ht="14.25" customHeight="1">
      <c r="B336" s="8"/>
      <c r="C336" s="8"/>
      <c r="D336" s="8"/>
      <c r="F336" s="8"/>
    </row>
    <row r="337" ht="14.25" customHeight="1">
      <c r="B337" s="8"/>
      <c r="C337" s="8"/>
      <c r="D337" s="8"/>
      <c r="F337" s="8"/>
    </row>
    <row r="338" ht="14.25" customHeight="1">
      <c r="B338" s="8"/>
      <c r="C338" s="8"/>
      <c r="D338" s="8"/>
      <c r="F338" s="8"/>
    </row>
    <row r="339" ht="14.25" customHeight="1">
      <c r="B339" s="8"/>
      <c r="C339" s="8"/>
      <c r="D339" s="8"/>
      <c r="F339" s="8"/>
    </row>
    <row r="340" ht="14.25" customHeight="1">
      <c r="B340" s="8"/>
      <c r="C340" s="8"/>
      <c r="D340" s="8"/>
      <c r="F340" s="8"/>
    </row>
    <row r="341" ht="14.25" customHeight="1">
      <c r="B341" s="8"/>
      <c r="C341" s="8"/>
      <c r="D341" s="8"/>
      <c r="F341" s="8"/>
    </row>
    <row r="342" ht="14.25" customHeight="1">
      <c r="B342" s="8"/>
      <c r="C342" s="8"/>
      <c r="D342" s="8"/>
      <c r="F342" s="8"/>
    </row>
    <row r="343" ht="14.25" customHeight="1">
      <c r="B343" s="8"/>
      <c r="C343" s="8"/>
      <c r="D343" s="8"/>
      <c r="F343" s="8"/>
    </row>
    <row r="344" ht="14.25" customHeight="1">
      <c r="B344" s="8"/>
      <c r="C344" s="8"/>
      <c r="D344" s="8"/>
      <c r="F344" s="8"/>
    </row>
    <row r="345" ht="14.25" customHeight="1">
      <c r="B345" s="8"/>
      <c r="C345" s="8"/>
      <c r="D345" s="8"/>
      <c r="F345" s="8"/>
    </row>
    <row r="346" ht="14.25" customHeight="1">
      <c r="B346" s="8"/>
      <c r="C346" s="8"/>
      <c r="D346" s="8"/>
      <c r="F346" s="8"/>
    </row>
    <row r="347" ht="14.25" customHeight="1">
      <c r="B347" s="8"/>
      <c r="C347" s="8"/>
      <c r="D347" s="8"/>
      <c r="F347" s="8"/>
    </row>
    <row r="348" ht="14.25" customHeight="1">
      <c r="B348" s="8"/>
      <c r="C348" s="8"/>
      <c r="D348" s="8"/>
      <c r="F348" s="8"/>
    </row>
    <row r="349" ht="14.25" customHeight="1">
      <c r="B349" s="8"/>
      <c r="C349" s="8"/>
      <c r="D349" s="8"/>
      <c r="F349" s="8"/>
    </row>
    <row r="350" ht="14.25" customHeight="1">
      <c r="B350" s="8"/>
      <c r="C350" s="8"/>
      <c r="D350" s="8"/>
      <c r="F350" s="8"/>
    </row>
    <row r="351" ht="14.25" customHeight="1">
      <c r="B351" s="8"/>
      <c r="C351" s="8"/>
      <c r="D351" s="8"/>
      <c r="F351" s="8"/>
    </row>
    <row r="352" ht="14.25" customHeight="1">
      <c r="B352" s="8"/>
      <c r="C352" s="8"/>
      <c r="D352" s="8"/>
      <c r="F352" s="8"/>
    </row>
    <row r="353" ht="14.25" customHeight="1">
      <c r="B353" s="8"/>
      <c r="C353" s="8"/>
      <c r="D353" s="8"/>
      <c r="F353" s="8"/>
    </row>
    <row r="354" ht="14.25" customHeight="1">
      <c r="B354" s="8"/>
      <c r="C354" s="8"/>
      <c r="D354" s="8"/>
      <c r="F354" s="8"/>
    </row>
    <row r="355" ht="14.25" customHeight="1">
      <c r="B355" s="8"/>
      <c r="C355" s="8"/>
      <c r="D355" s="8"/>
      <c r="F355" s="8"/>
    </row>
    <row r="356" ht="14.25" customHeight="1">
      <c r="B356" s="8"/>
      <c r="C356" s="8"/>
      <c r="D356" s="8"/>
      <c r="F356" s="8"/>
    </row>
    <row r="357" ht="14.25" customHeight="1">
      <c r="B357" s="8"/>
      <c r="C357" s="8"/>
      <c r="D357" s="8"/>
      <c r="F357" s="8"/>
    </row>
    <row r="358" ht="14.25" customHeight="1">
      <c r="B358" s="8"/>
      <c r="C358" s="8"/>
      <c r="D358" s="8"/>
      <c r="F358" s="8"/>
    </row>
    <row r="359" ht="14.25" customHeight="1">
      <c r="B359" s="8"/>
      <c r="C359" s="8"/>
      <c r="D359" s="8"/>
      <c r="F359" s="8"/>
    </row>
    <row r="360" ht="14.25" customHeight="1">
      <c r="B360" s="8"/>
      <c r="C360" s="8"/>
      <c r="D360" s="8"/>
      <c r="F360" s="8"/>
    </row>
    <row r="361" ht="14.25" customHeight="1">
      <c r="B361" s="8"/>
      <c r="C361" s="8"/>
      <c r="D361" s="8"/>
      <c r="F361" s="8"/>
    </row>
    <row r="362" ht="14.25" customHeight="1">
      <c r="B362" s="8"/>
      <c r="C362" s="8"/>
      <c r="D362" s="8"/>
      <c r="F362" s="8"/>
    </row>
    <row r="363" ht="14.25" customHeight="1">
      <c r="B363" s="8"/>
      <c r="C363" s="8"/>
      <c r="D363" s="8"/>
      <c r="F363" s="8"/>
    </row>
    <row r="364" ht="14.25" customHeight="1">
      <c r="B364" s="8"/>
      <c r="C364" s="8"/>
      <c r="D364" s="8"/>
      <c r="F364" s="8"/>
    </row>
    <row r="365" ht="14.25" customHeight="1">
      <c r="B365" s="8"/>
      <c r="C365" s="8"/>
      <c r="D365" s="8"/>
      <c r="F365" s="8"/>
    </row>
    <row r="366" ht="14.25" customHeight="1">
      <c r="B366" s="8"/>
      <c r="C366" s="8"/>
      <c r="D366" s="8"/>
      <c r="F366" s="8"/>
    </row>
    <row r="367" ht="14.25" customHeight="1">
      <c r="B367" s="8"/>
      <c r="C367" s="8"/>
      <c r="D367" s="8"/>
      <c r="F367" s="8"/>
    </row>
    <row r="368" ht="14.25" customHeight="1">
      <c r="B368" s="8"/>
      <c r="C368" s="8"/>
      <c r="D368" s="8"/>
      <c r="F368" s="8"/>
    </row>
    <row r="369" ht="14.25" customHeight="1">
      <c r="B369" s="8"/>
      <c r="C369" s="8"/>
      <c r="D369" s="8"/>
      <c r="F369" s="8"/>
    </row>
    <row r="370" ht="14.25" customHeight="1">
      <c r="B370" s="8"/>
      <c r="C370" s="8"/>
      <c r="D370" s="8"/>
      <c r="F370" s="8"/>
    </row>
    <row r="371" ht="14.25" customHeight="1">
      <c r="B371" s="8"/>
      <c r="C371" s="8"/>
      <c r="D371" s="8"/>
      <c r="F371" s="8"/>
    </row>
    <row r="372" ht="14.25" customHeight="1">
      <c r="B372" s="8"/>
      <c r="C372" s="8"/>
      <c r="D372" s="8"/>
      <c r="F372" s="8"/>
    </row>
    <row r="373" ht="14.25" customHeight="1">
      <c r="B373" s="8"/>
      <c r="C373" s="8"/>
      <c r="D373" s="8"/>
      <c r="F373" s="8"/>
    </row>
    <row r="374" ht="14.25" customHeight="1">
      <c r="B374" s="8"/>
      <c r="C374" s="8"/>
      <c r="D374" s="8"/>
      <c r="F374" s="8"/>
    </row>
    <row r="375" ht="14.25" customHeight="1">
      <c r="B375" s="8"/>
      <c r="C375" s="8"/>
      <c r="D375" s="8"/>
      <c r="F375" s="8"/>
    </row>
    <row r="376" ht="14.25" customHeight="1">
      <c r="B376" s="8"/>
      <c r="C376" s="8"/>
      <c r="D376" s="8"/>
      <c r="F376" s="8"/>
    </row>
    <row r="377" ht="14.25" customHeight="1">
      <c r="B377" s="8"/>
      <c r="C377" s="8"/>
      <c r="D377" s="8"/>
      <c r="F377" s="8"/>
    </row>
    <row r="378" ht="14.25" customHeight="1">
      <c r="B378" s="8"/>
      <c r="C378" s="8"/>
      <c r="D378" s="8"/>
      <c r="F378" s="8"/>
    </row>
    <row r="379" ht="14.25" customHeight="1">
      <c r="B379" s="8"/>
      <c r="C379" s="8"/>
      <c r="D379" s="8"/>
      <c r="F379" s="8"/>
    </row>
    <row r="380" ht="14.25" customHeight="1">
      <c r="B380" s="8"/>
      <c r="C380" s="8"/>
      <c r="D380" s="8"/>
      <c r="F380" s="8"/>
    </row>
    <row r="381" ht="14.25" customHeight="1">
      <c r="B381" s="8"/>
      <c r="C381" s="8"/>
      <c r="D381" s="8"/>
      <c r="F381" s="8"/>
    </row>
    <row r="382" ht="14.25" customHeight="1">
      <c r="B382" s="8"/>
      <c r="C382" s="8"/>
      <c r="D382" s="8"/>
      <c r="F382" s="8"/>
    </row>
    <row r="383" ht="14.25" customHeight="1">
      <c r="B383" s="8"/>
      <c r="C383" s="8"/>
      <c r="D383" s="8"/>
      <c r="F383" s="8"/>
    </row>
    <row r="384" ht="14.25" customHeight="1">
      <c r="B384" s="8"/>
      <c r="C384" s="8"/>
      <c r="D384" s="8"/>
      <c r="F384" s="8"/>
    </row>
    <row r="385" ht="14.25" customHeight="1">
      <c r="B385" s="8"/>
      <c r="C385" s="8"/>
      <c r="D385" s="8"/>
      <c r="F385" s="8"/>
    </row>
    <row r="386" ht="14.25" customHeight="1">
      <c r="B386" s="8"/>
      <c r="C386" s="8"/>
      <c r="D386" s="8"/>
      <c r="F386" s="8"/>
    </row>
    <row r="387" ht="14.25" customHeight="1">
      <c r="B387" s="8"/>
      <c r="C387" s="8"/>
      <c r="D387" s="8"/>
      <c r="F387" s="8"/>
    </row>
    <row r="388" ht="14.25" customHeight="1">
      <c r="B388" s="8"/>
      <c r="C388" s="8"/>
      <c r="D388" s="8"/>
      <c r="F388" s="8"/>
    </row>
    <row r="389" ht="14.25" customHeight="1">
      <c r="B389" s="8"/>
      <c r="C389" s="8"/>
      <c r="D389" s="8"/>
      <c r="F389" s="8"/>
    </row>
    <row r="390" ht="14.25" customHeight="1">
      <c r="B390" s="8"/>
      <c r="C390" s="8"/>
      <c r="D390" s="8"/>
      <c r="F390" s="8"/>
    </row>
    <row r="391" ht="14.25" customHeight="1">
      <c r="B391" s="8"/>
      <c r="C391" s="8"/>
      <c r="D391" s="8"/>
      <c r="F391" s="8"/>
    </row>
    <row r="392" ht="14.25" customHeight="1">
      <c r="B392" s="8"/>
      <c r="C392" s="8"/>
      <c r="D392" s="8"/>
      <c r="F392" s="8"/>
    </row>
    <row r="393" ht="14.25" customHeight="1">
      <c r="B393" s="8"/>
      <c r="C393" s="8"/>
      <c r="D393" s="8"/>
      <c r="F393" s="8"/>
    </row>
    <row r="394" ht="14.25" customHeight="1">
      <c r="B394" s="8"/>
      <c r="C394" s="8"/>
      <c r="D394" s="8"/>
      <c r="F394" s="8"/>
    </row>
    <row r="395" ht="14.25" customHeight="1">
      <c r="B395" s="8"/>
      <c r="C395" s="8"/>
      <c r="D395" s="8"/>
      <c r="F395" s="8"/>
    </row>
    <row r="396" ht="14.25" customHeight="1">
      <c r="B396" s="8"/>
      <c r="C396" s="8"/>
      <c r="D396" s="8"/>
      <c r="F396" s="8"/>
    </row>
    <row r="397" ht="14.25" customHeight="1">
      <c r="B397" s="8"/>
      <c r="C397" s="8"/>
      <c r="D397" s="8"/>
      <c r="F397" s="8"/>
    </row>
    <row r="398" ht="14.25" customHeight="1">
      <c r="B398" s="8"/>
      <c r="C398" s="8"/>
      <c r="D398" s="8"/>
      <c r="F398" s="8"/>
    </row>
    <row r="399" ht="14.25" customHeight="1">
      <c r="B399" s="8"/>
      <c r="C399" s="8"/>
      <c r="D399" s="8"/>
      <c r="F399" s="8"/>
    </row>
    <row r="400" ht="14.25" customHeight="1">
      <c r="B400" s="8"/>
      <c r="C400" s="8"/>
      <c r="D400" s="8"/>
      <c r="F400" s="8"/>
    </row>
    <row r="401" ht="14.25" customHeight="1">
      <c r="B401" s="8"/>
      <c r="C401" s="8"/>
      <c r="D401" s="8"/>
      <c r="F401" s="8"/>
    </row>
    <row r="402" ht="14.25" customHeight="1">
      <c r="B402" s="8"/>
      <c r="C402" s="8"/>
      <c r="D402" s="8"/>
      <c r="F402" s="8"/>
    </row>
    <row r="403" ht="14.25" customHeight="1">
      <c r="B403" s="8"/>
      <c r="C403" s="8"/>
      <c r="D403" s="8"/>
      <c r="F403" s="8"/>
    </row>
    <row r="404" ht="14.25" customHeight="1">
      <c r="B404" s="8"/>
      <c r="C404" s="8"/>
      <c r="D404" s="8"/>
      <c r="F404" s="8"/>
    </row>
    <row r="405" ht="14.25" customHeight="1">
      <c r="B405" s="8"/>
      <c r="C405" s="8"/>
      <c r="D405" s="8"/>
      <c r="F405" s="8"/>
    </row>
    <row r="406" ht="14.25" customHeight="1">
      <c r="B406" s="8"/>
      <c r="C406" s="8"/>
      <c r="D406" s="8"/>
      <c r="F406" s="8"/>
    </row>
    <row r="407" ht="14.25" customHeight="1">
      <c r="B407" s="8"/>
      <c r="C407" s="8"/>
      <c r="D407" s="8"/>
      <c r="F407" s="8"/>
    </row>
    <row r="408" ht="14.25" customHeight="1">
      <c r="B408" s="8"/>
      <c r="C408" s="8"/>
      <c r="D408" s="8"/>
      <c r="F408" s="8"/>
    </row>
    <row r="409" ht="14.25" customHeight="1">
      <c r="B409" s="8"/>
      <c r="C409" s="8"/>
      <c r="D409" s="8"/>
      <c r="F409" s="8"/>
    </row>
    <row r="410" ht="14.25" customHeight="1">
      <c r="B410" s="8"/>
      <c r="C410" s="8"/>
      <c r="D410" s="8"/>
      <c r="F410" s="8"/>
    </row>
    <row r="411" ht="14.25" customHeight="1">
      <c r="B411" s="8"/>
      <c r="C411" s="8"/>
      <c r="D411" s="8"/>
      <c r="F411" s="8"/>
    </row>
    <row r="412" ht="14.25" customHeight="1">
      <c r="B412" s="8"/>
      <c r="C412" s="8"/>
      <c r="D412" s="8"/>
      <c r="F412" s="8"/>
    </row>
    <row r="413" ht="14.25" customHeight="1">
      <c r="B413" s="8"/>
      <c r="C413" s="8"/>
      <c r="D413" s="8"/>
      <c r="F413" s="8"/>
    </row>
    <row r="414" ht="14.25" customHeight="1">
      <c r="B414" s="8"/>
      <c r="C414" s="8"/>
      <c r="D414" s="8"/>
      <c r="F414" s="8"/>
    </row>
    <row r="415" ht="14.25" customHeight="1">
      <c r="B415" s="8"/>
      <c r="C415" s="8"/>
      <c r="D415" s="8"/>
      <c r="F415" s="8"/>
    </row>
    <row r="416" ht="14.25" customHeight="1">
      <c r="B416" s="8"/>
      <c r="C416" s="8"/>
      <c r="D416" s="8"/>
      <c r="F416" s="8"/>
    </row>
    <row r="417" ht="14.25" customHeight="1">
      <c r="B417" s="8"/>
      <c r="C417" s="8"/>
      <c r="D417" s="8"/>
      <c r="F417" s="8"/>
    </row>
    <row r="418" ht="14.25" customHeight="1">
      <c r="B418" s="8"/>
      <c r="C418" s="8"/>
      <c r="D418" s="8"/>
      <c r="F418" s="8"/>
    </row>
    <row r="419" ht="14.25" customHeight="1">
      <c r="B419" s="8"/>
      <c r="C419" s="8"/>
      <c r="D419" s="8"/>
      <c r="F419" s="8"/>
    </row>
    <row r="420" ht="14.25" customHeight="1">
      <c r="B420" s="8"/>
      <c r="C420" s="8"/>
      <c r="D420" s="8"/>
      <c r="F420" s="8"/>
    </row>
    <row r="421" ht="14.25" customHeight="1">
      <c r="B421" s="8"/>
      <c r="C421" s="8"/>
      <c r="D421" s="8"/>
      <c r="F421" s="8"/>
    </row>
    <row r="422" ht="14.25" customHeight="1">
      <c r="B422" s="8"/>
      <c r="C422" s="8"/>
      <c r="D422" s="8"/>
      <c r="F422" s="8"/>
    </row>
    <row r="423" ht="14.25" customHeight="1">
      <c r="B423" s="8"/>
      <c r="C423" s="8"/>
      <c r="D423" s="8"/>
      <c r="F423" s="8"/>
    </row>
    <row r="424" ht="14.25" customHeight="1">
      <c r="B424" s="8"/>
      <c r="C424" s="8"/>
      <c r="D424" s="8"/>
      <c r="F424" s="8"/>
    </row>
    <row r="425" ht="14.25" customHeight="1">
      <c r="B425" s="8"/>
      <c r="C425" s="8"/>
      <c r="D425" s="8"/>
      <c r="F425" s="8"/>
    </row>
    <row r="426" ht="14.25" customHeight="1">
      <c r="B426" s="8"/>
      <c r="C426" s="8"/>
      <c r="D426" s="8"/>
      <c r="F426" s="8"/>
    </row>
    <row r="427" ht="14.25" customHeight="1">
      <c r="B427" s="8"/>
      <c r="C427" s="8"/>
      <c r="D427" s="8"/>
      <c r="F427" s="8"/>
    </row>
    <row r="428" ht="14.25" customHeight="1">
      <c r="B428" s="8"/>
      <c r="C428" s="8"/>
      <c r="D428" s="8"/>
      <c r="F428" s="8"/>
    </row>
    <row r="429" ht="14.25" customHeight="1">
      <c r="B429" s="8"/>
      <c r="C429" s="8"/>
      <c r="D429" s="8"/>
      <c r="F429" s="8"/>
    </row>
    <row r="430" ht="14.25" customHeight="1">
      <c r="B430" s="8"/>
      <c r="C430" s="8"/>
      <c r="D430" s="8"/>
      <c r="F430" s="8"/>
    </row>
    <row r="431" ht="14.25" customHeight="1">
      <c r="B431" s="8"/>
      <c r="C431" s="8"/>
      <c r="D431" s="8"/>
      <c r="F431" s="8"/>
    </row>
    <row r="432" ht="14.25" customHeight="1">
      <c r="B432" s="8"/>
      <c r="C432" s="8"/>
      <c r="D432" s="8"/>
      <c r="F432" s="8"/>
    </row>
    <row r="433" ht="14.25" customHeight="1">
      <c r="B433" s="8"/>
      <c r="C433" s="8"/>
      <c r="D433" s="8"/>
      <c r="F433" s="8"/>
    </row>
    <row r="434" ht="14.25" customHeight="1">
      <c r="B434" s="8"/>
      <c r="C434" s="8"/>
      <c r="D434" s="8"/>
      <c r="F434" s="8"/>
    </row>
    <row r="435" ht="14.25" customHeight="1">
      <c r="B435" s="8"/>
      <c r="C435" s="8"/>
      <c r="D435" s="8"/>
      <c r="F435" s="8"/>
    </row>
    <row r="436" ht="14.25" customHeight="1">
      <c r="B436" s="8"/>
      <c r="C436" s="8"/>
      <c r="D436" s="8"/>
      <c r="F436" s="8"/>
    </row>
    <row r="437" ht="14.25" customHeight="1">
      <c r="B437" s="8"/>
      <c r="C437" s="8"/>
      <c r="D437" s="8"/>
      <c r="F437" s="8"/>
    </row>
    <row r="438" ht="14.25" customHeight="1">
      <c r="B438" s="8"/>
      <c r="C438" s="8"/>
      <c r="D438" s="8"/>
      <c r="F438" s="8"/>
    </row>
    <row r="439" ht="14.25" customHeight="1">
      <c r="B439" s="8"/>
      <c r="C439" s="8"/>
      <c r="D439" s="8"/>
      <c r="F439" s="8"/>
    </row>
    <row r="440" ht="14.25" customHeight="1">
      <c r="B440" s="8"/>
      <c r="C440" s="8"/>
      <c r="D440" s="8"/>
      <c r="F440" s="8"/>
    </row>
    <row r="441" ht="14.25" customHeight="1">
      <c r="B441" s="8"/>
      <c r="C441" s="8"/>
      <c r="D441" s="8"/>
      <c r="F441" s="8"/>
    </row>
    <row r="442" ht="14.25" customHeight="1">
      <c r="B442" s="8"/>
      <c r="C442" s="8"/>
      <c r="D442" s="8"/>
      <c r="F442" s="8"/>
    </row>
    <row r="443" ht="14.25" customHeight="1">
      <c r="B443" s="8"/>
      <c r="C443" s="8"/>
      <c r="D443" s="8"/>
      <c r="F443" s="8"/>
    </row>
    <row r="444" ht="14.25" customHeight="1">
      <c r="B444" s="8"/>
      <c r="C444" s="8"/>
      <c r="D444" s="8"/>
      <c r="F444" s="8"/>
    </row>
    <row r="445" ht="14.25" customHeight="1">
      <c r="B445" s="8"/>
      <c r="C445" s="8"/>
      <c r="D445" s="8"/>
      <c r="F445" s="8"/>
    </row>
    <row r="446" ht="14.25" customHeight="1">
      <c r="B446" s="8"/>
      <c r="C446" s="8"/>
      <c r="D446" s="8"/>
      <c r="F446" s="8"/>
    </row>
    <row r="447" ht="14.25" customHeight="1">
      <c r="B447" s="8"/>
      <c r="C447" s="8"/>
      <c r="D447" s="8"/>
      <c r="F447" s="8"/>
    </row>
    <row r="448" ht="14.25" customHeight="1">
      <c r="B448" s="8"/>
      <c r="C448" s="8"/>
      <c r="D448" s="8"/>
      <c r="F448" s="8"/>
    </row>
    <row r="449" ht="14.25" customHeight="1">
      <c r="B449" s="8"/>
      <c r="C449" s="8"/>
      <c r="D449" s="8"/>
      <c r="F449" s="8"/>
    </row>
    <row r="450" ht="14.25" customHeight="1">
      <c r="B450" s="8"/>
      <c r="C450" s="8"/>
      <c r="D450" s="8"/>
      <c r="F450" s="8"/>
    </row>
    <row r="451" ht="14.25" customHeight="1">
      <c r="B451" s="8"/>
      <c r="C451" s="8"/>
      <c r="D451" s="8"/>
      <c r="F451" s="8"/>
    </row>
    <row r="452" ht="14.25" customHeight="1">
      <c r="B452" s="8"/>
      <c r="C452" s="8"/>
      <c r="D452" s="8"/>
      <c r="F452" s="8"/>
    </row>
    <row r="453" ht="14.25" customHeight="1">
      <c r="B453" s="8"/>
      <c r="C453" s="8"/>
      <c r="D453" s="8"/>
      <c r="F453" s="8"/>
    </row>
    <row r="454" ht="14.25" customHeight="1">
      <c r="B454" s="8"/>
      <c r="C454" s="8"/>
      <c r="D454" s="8"/>
      <c r="F454" s="8"/>
    </row>
    <row r="455" ht="14.25" customHeight="1">
      <c r="B455" s="8"/>
      <c r="C455" s="8"/>
      <c r="D455" s="8"/>
      <c r="F455" s="8"/>
    </row>
    <row r="456" ht="14.25" customHeight="1">
      <c r="B456" s="8"/>
      <c r="C456" s="8"/>
      <c r="D456" s="8"/>
      <c r="F456" s="8"/>
    </row>
    <row r="457" ht="14.25" customHeight="1">
      <c r="B457" s="8"/>
      <c r="C457" s="8"/>
      <c r="D457" s="8"/>
      <c r="F457" s="8"/>
    </row>
    <row r="458" ht="14.25" customHeight="1">
      <c r="B458" s="8"/>
      <c r="C458" s="8"/>
      <c r="D458" s="8"/>
      <c r="F458" s="8"/>
    </row>
    <row r="459" ht="14.25" customHeight="1">
      <c r="B459" s="8"/>
      <c r="C459" s="8"/>
      <c r="D459" s="8"/>
      <c r="F459" s="8"/>
    </row>
    <row r="460" ht="14.25" customHeight="1">
      <c r="B460" s="8"/>
      <c r="C460" s="8"/>
      <c r="D460" s="8"/>
      <c r="F460" s="8"/>
    </row>
    <row r="461" ht="14.25" customHeight="1">
      <c r="B461" s="8"/>
      <c r="C461" s="8"/>
      <c r="D461" s="8"/>
      <c r="F461" s="8"/>
    </row>
    <row r="462" ht="14.25" customHeight="1">
      <c r="B462" s="8"/>
      <c r="C462" s="8"/>
      <c r="D462" s="8"/>
      <c r="F462" s="8"/>
    </row>
    <row r="463" ht="14.25" customHeight="1">
      <c r="B463" s="8"/>
      <c r="C463" s="8"/>
      <c r="D463" s="8"/>
      <c r="F463" s="8"/>
    </row>
    <row r="464" ht="14.25" customHeight="1">
      <c r="B464" s="8"/>
      <c r="C464" s="8"/>
      <c r="D464" s="8"/>
      <c r="F464" s="8"/>
    </row>
    <row r="465" ht="14.25" customHeight="1">
      <c r="B465" s="8"/>
      <c r="C465" s="8"/>
      <c r="D465" s="8"/>
      <c r="F465" s="8"/>
    </row>
    <row r="466" ht="14.25" customHeight="1">
      <c r="B466" s="8"/>
      <c r="C466" s="8"/>
      <c r="D466" s="8"/>
      <c r="F466" s="8"/>
    </row>
    <row r="467" ht="14.25" customHeight="1">
      <c r="B467" s="8"/>
      <c r="C467" s="8"/>
      <c r="D467" s="8"/>
      <c r="F467" s="8"/>
    </row>
    <row r="468" ht="14.25" customHeight="1">
      <c r="B468" s="8"/>
      <c r="C468" s="8"/>
      <c r="D468" s="8"/>
      <c r="F468" s="8"/>
    </row>
    <row r="469" ht="14.25" customHeight="1">
      <c r="B469" s="8"/>
      <c r="C469" s="8"/>
      <c r="D469" s="8"/>
      <c r="F469" s="8"/>
    </row>
    <row r="470" ht="14.25" customHeight="1">
      <c r="B470" s="8"/>
      <c r="C470" s="8"/>
      <c r="D470" s="8"/>
      <c r="F470" s="8"/>
    </row>
    <row r="471" ht="14.25" customHeight="1">
      <c r="B471" s="8"/>
      <c r="C471" s="8"/>
      <c r="D471" s="8"/>
      <c r="F471" s="8"/>
    </row>
    <row r="472" ht="14.25" customHeight="1">
      <c r="B472" s="8"/>
      <c r="C472" s="8"/>
      <c r="D472" s="8"/>
      <c r="F472" s="8"/>
    </row>
    <row r="473" ht="14.25" customHeight="1">
      <c r="B473" s="8"/>
      <c r="C473" s="8"/>
      <c r="D473" s="8"/>
      <c r="F473" s="8"/>
    </row>
    <row r="474" ht="14.25" customHeight="1">
      <c r="B474" s="8"/>
      <c r="C474" s="8"/>
      <c r="D474" s="8"/>
      <c r="F474" s="8"/>
    </row>
    <row r="475" ht="14.25" customHeight="1">
      <c r="B475" s="8"/>
      <c r="C475" s="8"/>
      <c r="D475" s="8"/>
      <c r="F475" s="8"/>
    </row>
    <row r="476" ht="14.25" customHeight="1">
      <c r="B476" s="8"/>
      <c r="C476" s="8"/>
      <c r="D476" s="8"/>
      <c r="F476" s="8"/>
    </row>
    <row r="477" ht="14.25" customHeight="1">
      <c r="B477" s="8"/>
      <c r="C477" s="8"/>
      <c r="D477" s="8"/>
      <c r="F477" s="8"/>
    </row>
    <row r="478" ht="14.25" customHeight="1">
      <c r="B478" s="8"/>
      <c r="C478" s="8"/>
      <c r="D478" s="8"/>
      <c r="F478" s="8"/>
    </row>
    <row r="479" ht="14.25" customHeight="1">
      <c r="B479" s="8"/>
      <c r="C479" s="8"/>
      <c r="D479" s="8"/>
      <c r="F479" s="8"/>
    </row>
    <row r="480" ht="14.25" customHeight="1">
      <c r="B480" s="8"/>
      <c r="C480" s="8"/>
      <c r="D480" s="8"/>
      <c r="F480" s="8"/>
    </row>
    <row r="481" ht="14.25" customHeight="1">
      <c r="B481" s="8"/>
      <c r="C481" s="8"/>
      <c r="D481" s="8"/>
      <c r="F481" s="8"/>
    </row>
    <row r="482" ht="14.25" customHeight="1">
      <c r="B482" s="8"/>
      <c r="C482" s="8"/>
      <c r="D482" s="8"/>
      <c r="F482" s="8"/>
    </row>
    <row r="483" ht="14.25" customHeight="1">
      <c r="B483" s="8"/>
      <c r="C483" s="8"/>
      <c r="D483" s="8"/>
      <c r="F483" s="8"/>
    </row>
    <row r="484" ht="14.25" customHeight="1">
      <c r="B484" s="8"/>
      <c r="C484" s="8"/>
      <c r="D484" s="8"/>
      <c r="F484" s="8"/>
    </row>
    <row r="485" ht="14.25" customHeight="1">
      <c r="B485" s="8"/>
      <c r="C485" s="8"/>
      <c r="D485" s="8"/>
      <c r="F485" s="8"/>
    </row>
    <row r="486" ht="14.25" customHeight="1">
      <c r="B486" s="8"/>
      <c r="C486" s="8"/>
      <c r="D486" s="8"/>
      <c r="F486" s="8"/>
    </row>
    <row r="487" ht="14.25" customHeight="1">
      <c r="B487" s="8"/>
      <c r="C487" s="8"/>
      <c r="D487" s="8"/>
      <c r="F487" s="8"/>
    </row>
    <row r="488" ht="14.25" customHeight="1">
      <c r="B488" s="8"/>
      <c r="C488" s="8"/>
      <c r="D488" s="8"/>
      <c r="F488" s="8"/>
    </row>
    <row r="489" ht="14.25" customHeight="1">
      <c r="B489" s="8"/>
      <c r="C489" s="8"/>
      <c r="D489" s="8"/>
      <c r="F489" s="8"/>
    </row>
    <row r="490" ht="14.25" customHeight="1">
      <c r="B490" s="8"/>
      <c r="C490" s="8"/>
      <c r="D490" s="8"/>
      <c r="F490" s="8"/>
    </row>
    <row r="491" ht="14.25" customHeight="1">
      <c r="B491" s="8"/>
      <c r="C491" s="8"/>
      <c r="D491" s="8"/>
      <c r="F491" s="8"/>
    </row>
    <row r="492" ht="14.25" customHeight="1">
      <c r="B492" s="8"/>
      <c r="C492" s="8"/>
      <c r="D492" s="8"/>
      <c r="F492" s="8"/>
    </row>
    <row r="493" ht="14.25" customHeight="1">
      <c r="B493" s="8"/>
      <c r="C493" s="8"/>
      <c r="D493" s="8"/>
      <c r="F493" s="8"/>
    </row>
    <row r="494" ht="14.25" customHeight="1">
      <c r="B494" s="8"/>
      <c r="C494" s="8"/>
      <c r="D494" s="8"/>
      <c r="F494" s="8"/>
    </row>
    <row r="495" ht="14.25" customHeight="1">
      <c r="B495" s="8"/>
      <c r="C495" s="8"/>
      <c r="D495" s="8"/>
      <c r="F495" s="8"/>
    </row>
    <row r="496" ht="14.25" customHeight="1">
      <c r="B496" s="8"/>
      <c r="C496" s="8"/>
      <c r="D496" s="8"/>
      <c r="F496" s="8"/>
    </row>
    <row r="497" ht="14.25" customHeight="1">
      <c r="B497" s="8"/>
      <c r="C497" s="8"/>
      <c r="D497" s="8"/>
      <c r="F497" s="8"/>
    </row>
    <row r="498" ht="14.25" customHeight="1">
      <c r="B498" s="8"/>
      <c r="C498" s="8"/>
      <c r="D498" s="8"/>
      <c r="F498" s="8"/>
    </row>
    <row r="499" ht="14.25" customHeight="1">
      <c r="B499" s="8"/>
      <c r="C499" s="8"/>
      <c r="D499" s="8"/>
      <c r="F499" s="8"/>
    </row>
    <row r="500" ht="14.25" customHeight="1">
      <c r="B500" s="8"/>
      <c r="C500" s="8"/>
      <c r="D500" s="8"/>
      <c r="F500" s="8"/>
    </row>
    <row r="501" ht="14.25" customHeight="1">
      <c r="B501" s="8"/>
      <c r="C501" s="8"/>
      <c r="D501" s="8"/>
      <c r="F501" s="8"/>
    </row>
    <row r="502" ht="14.25" customHeight="1">
      <c r="B502" s="8"/>
      <c r="C502" s="8"/>
      <c r="D502" s="8"/>
      <c r="F502" s="8"/>
    </row>
    <row r="503" ht="14.25" customHeight="1">
      <c r="B503" s="8"/>
      <c r="C503" s="8"/>
      <c r="D503" s="8"/>
      <c r="F503" s="8"/>
    </row>
    <row r="504" ht="14.25" customHeight="1">
      <c r="B504" s="8"/>
      <c r="C504" s="8"/>
      <c r="D504" s="8"/>
      <c r="F504" s="8"/>
    </row>
    <row r="505" ht="14.25" customHeight="1">
      <c r="B505" s="8"/>
      <c r="C505" s="8"/>
      <c r="D505" s="8"/>
      <c r="F505" s="8"/>
    </row>
    <row r="506" ht="14.25" customHeight="1">
      <c r="B506" s="8"/>
      <c r="C506" s="8"/>
      <c r="D506" s="8"/>
      <c r="F506" s="8"/>
    </row>
    <row r="507" ht="14.25" customHeight="1">
      <c r="B507" s="8"/>
      <c r="C507" s="8"/>
      <c r="D507" s="8"/>
      <c r="F507" s="8"/>
    </row>
    <row r="508" ht="14.25" customHeight="1">
      <c r="B508" s="8"/>
      <c r="C508" s="8"/>
      <c r="D508" s="8"/>
      <c r="F508" s="8"/>
    </row>
    <row r="509" ht="14.25" customHeight="1">
      <c r="B509" s="8"/>
      <c r="C509" s="8"/>
      <c r="D509" s="8"/>
      <c r="F509" s="8"/>
    </row>
    <row r="510" ht="14.25" customHeight="1">
      <c r="B510" s="8"/>
      <c r="C510" s="8"/>
      <c r="D510" s="8"/>
      <c r="F510" s="8"/>
    </row>
    <row r="511" ht="14.25" customHeight="1">
      <c r="B511" s="8"/>
      <c r="C511" s="8"/>
      <c r="D511" s="8"/>
      <c r="F511" s="8"/>
    </row>
    <row r="512" ht="14.25" customHeight="1">
      <c r="B512" s="8"/>
      <c r="C512" s="8"/>
      <c r="D512" s="8"/>
      <c r="F512" s="8"/>
    </row>
    <row r="513" ht="14.25" customHeight="1">
      <c r="B513" s="8"/>
      <c r="C513" s="8"/>
      <c r="D513" s="8"/>
      <c r="F513" s="8"/>
    </row>
    <row r="514" ht="14.25" customHeight="1">
      <c r="B514" s="8"/>
      <c r="C514" s="8"/>
      <c r="D514" s="8"/>
      <c r="F514" s="8"/>
    </row>
    <row r="515" ht="14.25" customHeight="1">
      <c r="B515" s="8"/>
      <c r="C515" s="8"/>
      <c r="D515" s="8"/>
      <c r="F515" s="8"/>
    </row>
    <row r="516" ht="14.25" customHeight="1">
      <c r="B516" s="8"/>
      <c r="C516" s="8"/>
      <c r="D516" s="8"/>
      <c r="F516" s="8"/>
    </row>
    <row r="517" ht="14.25" customHeight="1">
      <c r="B517" s="8"/>
      <c r="C517" s="8"/>
      <c r="D517" s="8"/>
      <c r="F517" s="8"/>
    </row>
    <row r="518" ht="14.25" customHeight="1">
      <c r="B518" s="8"/>
      <c r="C518" s="8"/>
      <c r="D518" s="8"/>
      <c r="F518" s="8"/>
    </row>
    <row r="519" ht="14.25" customHeight="1">
      <c r="B519" s="8"/>
      <c r="C519" s="8"/>
      <c r="D519" s="8"/>
      <c r="F519" s="8"/>
    </row>
    <row r="520" ht="14.25" customHeight="1">
      <c r="B520" s="8"/>
      <c r="C520" s="8"/>
      <c r="D520" s="8"/>
      <c r="F520" s="8"/>
    </row>
    <row r="521" ht="14.25" customHeight="1">
      <c r="B521" s="8"/>
      <c r="C521" s="8"/>
      <c r="D521" s="8"/>
      <c r="F521" s="8"/>
    </row>
    <row r="522" ht="14.25" customHeight="1">
      <c r="B522" s="8"/>
      <c r="C522" s="8"/>
      <c r="D522" s="8"/>
      <c r="F522" s="8"/>
    </row>
    <row r="523" ht="14.25" customHeight="1">
      <c r="B523" s="8"/>
      <c r="C523" s="8"/>
      <c r="D523" s="8"/>
      <c r="F523" s="8"/>
    </row>
    <row r="524" ht="14.25" customHeight="1">
      <c r="B524" s="8"/>
      <c r="C524" s="8"/>
      <c r="D524" s="8"/>
      <c r="F524" s="8"/>
    </row>
    <row r="525" ht="14.25" customHeight="1">
      <c r="B525" s="8"/>
      <c r="C525" s="8"/>
      <c r="D525" s="8"/>
      <c r="F525" s="8"/>
    </row>
    <row r="526" ht="14.25" customHeight="1">
      <c r="B526" s="8"/>
      <c r="C526" s="8"/>
      <c r="D526" s="8"/>
      <c r="F526" s="8"/>
    </row>
    <row r="527" ht="14.25" customHeight="1">
      <c r="B527" s="8"/>
      <c r="C527" s="8"/>
      <c r="D527" s="8"/>
      <c r="F527" s="8"/>
    </row>
    <row r="528" ht="14.25" customHeight="1">
      <c r="B528" s="8"/>
      <c r="C528" s="8"/>
      <c r="D528" s="8"/>
      <c r="F528" s="8"/>
    </row>
    <row r="529" ht="14.25" customHeight="1">
      <c r="B529" s="8"/>
      <c r="C529" s="8"/>
      <c r="D529" s="8"/>
      <c r="F529" s="8"/>
    </row>
    <row r="530" ht="14.25" customHeight="1">
      <c r="B530" s="8"/>
      <c r="C530" s="8"/>
      <c r="D530" s="8"/>
      <c r="F530" s="8"/>
    </row>
    <row r="531" ht="14.25" customHeight="1">
      <c r="B531" s="8"/>
      <c r="C531" s="8"/>
      <c r="D531" s="8"/>
      <c r="F531" s="8"/>
    </row>
    <row r="532" ht="14.25" customHeight="1">
      <c r="B532" s="8"/>
      <c r="C532" s="8"/>
      <c r="D532" s="8"/>
      <c r="F532" s="8"/>
    </row>
    <row r="533" ht="14.25" customHeight="1">
      <c r="B533" s="8"/>
      <c r="C533" s="8"/>
      <c r="D533" s="8"/>
      <c r="F533" s="8"/>
    </row>
    <row r="534" ht="14.25" customHeight="1">
      <c r="B534" s="8"/>
      <c r="C534" s="8"/>
      <c r="D534" s="8"/>
      <c r="F534" s="8"/>
    </row>
    <row r="535" ht="14.25" customHeight="1">
      <c r="B535" s="8"/>
      <c r="C535" s="8"/>
      <c r="D535" s="8"/>
      <c r="F535" s="8"/>
    </row>
    <row r="536" ht="14.25" customHeight="1">
      <c r="B536" s="8"/>
      <c r="C536" s="8"/>
      <c r="D536" s="8"/>
      <c r="F536" s="8"/>
    </row>
    <row r="537" ht="14.25" customHeight="1">
      <c r="B537" s="8"/>
      <c r="C537" s="8"/>
      <c r="D537" s="8"/>
      <c r="F537" s="8"/>
    </row>
    <row r="538" ht="14.25" customHeight="1">
      <c r="B538" s="8"/>
      <c r="C538" s="8"/>
      <c r="D538" s="8"/>
      <c r="F538" s="8"/>
    </row>
    <row r="539" ht="14.25" customHeight="1">
      <c r="B539" s="8"/>
      <c r="C539" s="8"/>
      <c r="D539" s="8"/>
      <c r="F539" s="8"/>
    </row>
    <row r="540" ht="14.25" customHeight="1">
      <c r="B540" s="8"/>
      <c r="C540" s="8"/>
      <c r="D540" s="8"/>
      <c r="F540" s="8"/>
    </row>
    <row r="541" ht="14.25" customHeight="1">
      <c r="B541" s="8"/>
      <c r="C541" s="8"/>
      <c r="D541" s="8"/>
      <c r="F541" s="8"/>
    </row>
    <row r="542" ht="14.25" customHeight="1">
      <c r="B542" s="8"/>
      <c r="C542" s="8"/>
      <c r="D542" s="8"/>
      <c r="F542" s="8"/>
    </row>
    <row r="543" ht="14.25" customHeight="1">
      <c r="B543" s="8"/>
      <c r="C543" s="8"/>
      <c r="D543" s="8"/>
      <c r="F543" s="8"/>
    </row>
    <row r="544" ht="14.25" customHeight="1">
      <c r="B544" s="8"/>
      <c r="C544" s="8"/>
      <c r="D544" s="8"/>
      <c r="F544" s="8"/>
    </row>
    <row r="545" ht="14.25" customHeight="1">
      <c r="B545" s="8"/>
      <c r="C545" s="8"/>
      <c r="D545" s="8"/>
      <c r="F545" s="8"/>
    </row>
    <row r="546" ht="14.25" customHeight="1">
      <c r="B546" s="8"/>
      <c r="C546" s="8"/>
      <c r="D546" s="8"/>
      <c r="F546" s="8"/>
    </row>
    <row r="547" ht="14.25" customHeight="1">
      <c r="B547" s="8"/>
      <c r="C547" s="8"/>
      <c r="D547" s="8"/>
      <c r="F547" s="8"/>
    </row>
    <row r="548" ht="14.25" customHeight="1">
      <c r="B548" s="8"/>
      <c r="C548" s="8"/>
      <c r="D548" s="8"/>
      <c r="F548" s="8"/>
    </row>
    <row r="549" ht="14.25" customHeight="1">
      <c r="B549" s="8"/>
      <c r="C549" s="8"/>
      <c r="D549" s="8"/>
      <c r="F549" s="8"/>
    </row>
    <row r="550" ht="14.25" customHeight="1">
      <c r="B550" s="8"/>
      <c r="C550" s="8"/>
      <c r="D550" s="8"/>
      <c r="F550" s="8"/>
    </row>
    <row r="551" ht="14.25" customHeight="1">
      <c r="B551" s="8"/>
      <c r="C551" s="8"/>
      <c r="D551" s="8"/>
      <c r="F551" s="8"/>
    </row>
    <row r="552" ht="14.25" customHeight="1">
      <c r="B552" s="8"/>
      <c r="C552" s="8"/>
      <c r="D552" s="8"/>
      <c r="F552" s="8"/>
    </row>
    <row r="553" ht="14.25" customHeight="1">
      <c r="B553" s="8"/>
      <c r="C553" s="8"/>
      <c r="D553" s="8"/>
      <c r="F553" s="8"/>
    </row>
    <row r="554" ht="14.25" customHeight="1">
      <c r="B554" s="8"/>
      <c r="C554" s="8"/>
      <c r="D554" s="8"/>
      <c r="F554" s="8"/>
    </row>
    <row r="555" ht="14.25" customHeight="1">
      <c r="B555" s="8"/>
      <c r="C555" s="8"/>
      <c r="D555" s="8"/>
      <c r="F555" s="8"/>
    </row>
    <row r="556" ht="14.25" customHeight="1">
      <c r="B556" s="8"/>
      <c r="C556" s="8"/>
      <c r="D556" s="8"/>
      <c r="F556" s="8"/>
    </row>
    <row r="557" ht="14.25" customHeight="1">
      <c r="B557" s="8"/>
      <c r="C557" s="8"/>
      <c r="D557" s="8"/>
      <c r="F557" s="8"/>
    </row>
    <row r="558" ht="14.25" customHeight="1">
      <c r="B558" s="8"/>
      <c r="C558" s="8"/>
      <c r="D558" s="8"/>
      <c r="F558" s="8"/>
    </row>
    <row r="559" ht="14.25" customHeight="1">
      <c r="B559" s="8"/>
      <c r="C559" s="8"/>
      <c r="D559" s="8"/>
      <c r="F559" s="8"/>
    </row>
    <row r="560" ht="14.25" customHeight="1">
      <c r="B560" s="8"/>
      <c r="C560" s="8"/>
      <c r="D560" s="8"/>
      <c r="F560" s="8"/>
    </row>
    <row r="561" ht="14.25" customHeight="1">
      <c r="B561" s="8"/>
      <c r="C561" s="8"/>
      <c r="D561" s="8"/>
      <c r="F561" s="8"/>
    </row>
    <row r="562" ht="14.25" customHeight="1">
      <c r="B562" s="8"/>
      <c r="C562" s="8"/>
      <c r="D562" s="8"/>
      <c r="F562" s="8"/>
    </row>
    <row r="563" ht="14.25" customHeight="1">
      <c r="B563" s="8"/>
      <c r="C563" s="8"/>
      <c r="D563" s="8"/>
      <c r="F563" s="8"/>
    </row>
    <row r="564" ht="14.25" customHeight="1">
      <c r="B564" s="8"/>
      <c r="C564" s="8"/>
      <c r="D564" s="8"/>
      <c r="F564" s="8"/>
    </row>
    <row r="565" ht="14.25" customHeight="1">
      <c r="B565" s="8"/>
      <c r="C565" s="8"/>
      <c r="D565" s="8"/>
      <c r="F565" s="8"/>
    </row>
    <row r="566" ht="14.25" customHeight="1">
      <c r="B566" s="8"/>
      <c r="C566" s="8"/>
      <c r="D566" s="8"/>
      <c r="F566" s="8"/>
    </row>
    <row r="567" ht="14.25" customHeight="1">
      <c r="B567" s="8"/>
      <c r="C567" s="8"/>
      <c r="D567" s="8"/>
      <c r="F567" s="8"/>
    </row>
    <row r="568" ht="14.25" customHeight="1">
      <c r="B568" s="8"/>
      <c r="C568" s="8"/>
      <c r="D568" s="8"/>
      <c r="F568" s="8"/>
    </row>
    <row r="569" ht="14.25" customHeight="1">
      <c r="B569" s="8"/>
      <c r="C569" s="8"/>
      <c r="D569" s="8"/>
      <c r="F569" s="8"/>
    </row>
    <row r="570" ht="14.25" customHeight="1">
      <c r="B570" s="8"/>
      <c r="C570" s="8"/>
      <c r="D570" s="8"/>
      <c r="F570" s="8"/>
    </row>
    <row r="571" ht="14.25" customHeight="1">
      <c r="B571" s="8"/>
      <c r="C571" s="8"/>
      <c r="D571" s="8"/>
      <c r="F571" s="8"/>
    </row>
    <row r="572" ht="14.25" customHeight="1">
      <c r="B572" s="8"/>
      <c r="C572" s="8"/>
      <c r="D572" s="8"/>
      <c r="F572" s="8"/>
    </row>
    <row r="573" ht="14.25" customHeight="1">
      <c r="B573" s="8"/>
      <c r="C573" s="8"/>
      <c r="D573" s="8"/>
      <c r="F573" s="8"/>
    </row>
    <row r="574" ht="14.25" customHeight="1">
      <c r="B574" s="8"/>
      <c r="C574" s="8"/>
      <c r="D574" s="8"/>
      <c r="F574" s="8"/>
    </row>
    <row r="575" ht="14.25" customHeight="1">
      <c r="B575" s="8"/>
      <c r="C575" s="8"/>
      <c r="D575" s="8"/>
      <c r="F575" s="8"/>
    </row>
    <row r="576" ht="14.25" customHeight="1">
      <c r="B576" s="8"/>
      <c r="C576" s="8"/>
      <c r="D576" s="8"/>
      <c r="F576" s="8"/>
    </row>
    <row r="577" ht="14.25" customHeight="1">
      <c r="B577" s="8"/>
      <c r="C577" s="8"/>
      <c r="D577" s="8"/>
      <c r="F577" s="8"/>
    </row>
    <row r="578" ht="14.25" customHeight="1">
      <c r="B578" s="8"/>
      <c r="C578" s="8"/>
      <c r="D578" s="8"/>
      <c r="F578" s="8"/>
    </row>
    <row r="579" ht="14.25" customHeight="1">
      <c r="B579" s="8"/>
      <c r="C579" s="8"/>
      <c r="D579" s="8"/>
      <c r="F579" s="8"/>
    </row>
    <row r="580" ht="14.25" customHeight="1">
      <c r="B580" s="8"/>
      <c r="C580" s="8"/>
      <c r="D580" s="8"/>
      <c r="F580" s="8"/>
    </row>
    <row r="581" ht="14.25" customHeight="1">
      <c r="B581" s="8"/>
      <c r="C581" s="8"/>
      <c r="D581" s="8"/>
      <c r="F581" s="8"/>
    </row>
    <row r="582" ht="14.25" customHeight="1">
      <c r="B582" s="8"/>
      <c r="C582" s="8"/>
      <c r="D582" s="8"/>
      <c r="F582" s="8"/>
    </row>
    <row r="583" ht="14.25" customHeight="1">
      <c r="B583" s="8"/>
      <c r="C583" s="8"/>
      <c r="D583" s="8"/>
      <c r="F583" s="8"/>
    </row>
    <row r="584" ht="14.25" customHeight="1">
      <c r="B584" s="8"/>
      <c r="C584" s="8"/>
      <c r="D584" s="8"/>
      <c r="F584" s="8"/>
    </row>
    <row r="585" ht="14.25" customHeight="1">
      <c r="B585" s="8"/>
      <c r="C585" s="8"/>
      <c r="D585" s="8"/>
      <c r="F585" s="8"/>
    </row>
    <row r="586" ht="14.25" customHeight="1">
      <c r="B586" s="8"/>
      <c r="C586" s="8"/>
      <c r="D586" s="8"/>
      <c r="F586" s="8"/>
    </row>
    <row r="587" ht="14.25" customHeight="1">
      <c r="B587" s="8"/>
      <c r="C587" s="8"/>
      <c r="D587" s="8"/>
      <c r="F587" s="8"/>
    </row>
    <row r="588" ht="14.25" customHeight="1">
      <c r="B588" s="8"/>
      <c r="C588" s="8"/>
      <c r="D588" s="8"/>
      <c r="F588" s="8"/>
    </row>
    <row r="589" ht="14.25" customHeight="1">
      <c r="B589" s="8"/>
      <c r="C589" s="8"/>
      <c r="D589" s="8"/>
      <c r="F589" s="8"/>
    </row>
    <row r="590" ht="14.25" customHeight="1">
      <c r="B590" s="8"/>
      <c r="C590" s="8"/>
      <c r="D590" s="8"/>
      <c r="F590" s="8"/>
    </row>
    <row r="591" ht="14.25" customHeight="1">
      <c r="B591" s="8"/>
      <c r="C591" s="8"/>
      <c r="D591" s="8"/>
      <c r="F591" s="8"/>
    </row>
    <row r="592" ht="14.25" customHeight="1">
      <c r="B592" s="8"/>
      <c r="C592" s="8"/>
      <c r="D592" s="8"/>
      <c r="F592" s="8"/>
    </row>
    <row r="593" ht="14.25" customHeight="1">
      <c r="B593" s="8"/>
      <c r="C593" s="8"/>
      <c r="D593" s="8"/>
      <c r="F593" s="8"/>
    </row>
    <row r="594" ht="14.25" customHeight="1">
      <c r="B594" s="8"/>
      <c r="C594" s="8"/>
      <c r="D594" s="8"/>
      <c r="F594" s="8"/>
    </row>
    <row r="595" ht="14.25" customHeight="1">
      <c r="B595" s="8"/>
      <c r="C595" s="8"/>
      <c r="D595" s="8"/>
      <c r="F595" s="8"/>
    </row>
    <row r="596" ht="14.25" customHeight="1">
      <c r="B596" s="8"/>
      <c r="C596" s="8"/>
      <c r="D596" s="8"/>
      <c r="F596" s="8"/>
    </row>
    <row r="597" ht="14.25" customHeight="1">
      <c r="B597" s="8"/>
      <c r="C597" s="8"/>
      <c r="D597" s="8"/>
      <c r="F597" s="8"/>
    </row>
    <row r="598" ht="14.25" customHeight="1">
      <c r="B598" s="8"/>
      <c r="C598" s="8"/>
      <c r="D598" s="8"/>
      <c r="F598" s="8"/>
    </row>
    <row r="599" ht="14.25" customHeight="1">
      <c r="B599" s="8"/>
      <c r="C599" s="8"/>
      <c r="D599" s="8"/>
      <c r="F599" s="8"/>
    </row>
    <row r="600" ht="14.25" customHeight="1">
      <c r="B600" s="8"/>
      <c r="C600" s="8"/>
      <c r="D600" s="8"/>
      <c r="F600" s="8"/>
    </row>
    <row r="601" ht="14.25" customHeight="1">
      <c r="B601" s="8"/>
      <c r="C601" s="8"/>
      <c r="D601" s="8"/>
      <c r="F601" s="8"/>
    </row>
    <row r="602" ht="14.25" customHeight="1">
      <c r="B602" s="8"/>
      <c r="C602" s="8"/>
      <c r="D602" s="8"/>
      <c r="F602" s="8"/>
    </row>
    <row r="603" ht="14.25" customHeight="1">
      <c r="B603" s="8"/>
      <c r="C603" s="8"/>
      <c r="D603" s="8"/>
      <c r="F603" s="8"/>
    </row>
    <row r="604" ht="14.25" customHeight="1">
      <c r="B604" s="8"/>
      <c r="C604" s="8"/>
      <c r="D604" s="8"/>
      <c r="F604" s="8"/>
    </row>
    <row r="605" ht="14.25" customHeight="1">
      <c r="B605" s="8"/>
      <c r="C605" s="8"/>
      <c r="D605" s="8"/>
      <c r="F605" s="8"/>
    </row>
    <row r="606" ht="14.25" customHeight="1">
      <c r="B606" s="8"/>
      <c r="C606" s="8"/>
      <c r="D606" s="8"/>
      <c r="F606" s="8"/>
    </row>
    <row r="607" ht="14.25" customHeight="1">
      <c r="B607" s="8"/>
      <c r="C607" s="8"/>
      <c r="D607" s="8"/>
      <c r="F607" s="8"/>
    </row>
    <row r="608" ht="14.25" customHeight="1">
      <c r="B608" s="8"/>
      <c r="C608" s="8"/>
      <c r="D608" s="8"/>
      <c r="F608" s="8"/>
    </row>
    <row r="609" ht="14.25" customHeight="1">
      <c r="B609" s="8"/>
      <c r="C609" s="8"/>
      <c r="D609" s="8"/>
      <c r="F609" s="8"/>
    </row>
    <row r="610" ht="14.25" customHeight="1">
      <c r="B610" s="8"/>
      <c r="C610" s="8"/>
      <c r="D610" s="8"/>
      <c r="F610" s="8"/>
    </row>
    <row r="611" ht="14.25" customHeight="1">
      <c r="B611" s="8"/>
      <c r="C611" s="8"/>
      <c r="D611" s="8"/>
      <c r="F611" s="8"/>
    </row>
    <row r="612" ht="14.25" customHeight="1">
      <c r="B612" s="8"/>
      <c r="C612" s="8"/>
      <c r="D612" s="8"/>
      <c r="F612" s="8"/>
    </row>
    <row r="613" ht="14.25" customHeight="1">
      <c r="B613" s="8"/>
      <c r="C613" s="8"/>
      <c r="D613" s="8"/>
      <c r="F613" s="8"/>
    </row>
    <row r="614" ht="14.25" customHeight="1">
      <c r="B614" s="8"/>
      <c r="C614" s="8"/>
      <c r="D614" s="8"/>
      <c r="F614" s="8"/>
    </row>
    <row r="615" ht="14.25" customHeight="1">
      <c r="B615" s="8"/>
      <c r="C615" s="8"/>
      <c r="D615" s="8"/>
      <c r="F615" s="8"/>
    </row>
    <row r="616" ht="14.25" customHeight="1">
      <c r="B616" s="8"/>
      <c r="C616" s="8"/>
      <c r="D616" s="8"/>
      <c r="F616" s="8"/>
    </row>
    <row r="617" ht="14.25" customHeight="1">
      <c r="B617" s="8"/>
      <c r="C617" s="8"/>
      <c r="D617" s="8"/>
      <c r="F617" s="8"/>
    </row>
    <row r="618" ht="14.25" customHeight="1">
      <c r="B618" s="8"/>
      <c r="C618" s="8"/>
      <c r="D618" s="8"/>
      <c r="F618" s="8"/>
    </row>
    <row r="619" ht="14.25" customHeight="1">
      <c r="B619" s="8"/>
      <c r="C619" s="8"/>
      <c r="D619" s="8"/>
      <c r="F619" s="8"/>
    </row>
    <row r="620" ht="14.25" customHeight="1">
      <c r="B620" s="8"/>
      <c r="C620" s="8"/>
      <c r="D620" s="8"/>
      <c r="F620" s="8"/>
    </row>
    <row r="621" ht="14.25" customHeight="1">
      <c r="B621" s="8"/>
      <c r="C621" s="8"/>
      <c r="D621" s="8"/>
      <c r="F621" s="8"/>
    </row>
    <row r="622" ht="14.25" customHeight="1">
      <c r="B622" s="8"/>
      <c r="C622" s="8"/>
      <c r="D622" s="8"/>
      <c r="F622" s="8"/>
    </row>
    <row r="623" ht="14.25" customHeight="1">
      <c r="B623" s="8"/>
      <c r="C623" s="8"/>
      <c r="D623" s="8"/>
      <c r="F623" s="8"/>
    </row>
    <row r="624" ht="14.25" customHeight="1">
      <c r="B624" s="8"/>
      <c r="C624" s="8"/>
      <c r="D624" s="8"/>
      <c r="F624" s="8"/>
    </row>
    <row r="625" ht="14.25" customHeight="1">
      <c r="B625" s="8"/>
      <c r="C625" s="8"/>
      <c r="D625" s="8"/>
      <c r="F625" s="8"/>
    </row>
    <row r="626" ht="14.25" customHeight="1">
      <c r="B626" s="8"/>
      <c r="C626" s="8"/>
      <c r="D626" s="8"/>
      <c r="F626" s="8"/>
    </row>
    <row r="627" ht="14.25" customHeight="1">
      <c r="B627" s="8"/>
      <c r="C627" s="8"/>
      <c r="D627" s="8"/>
      <c r="F627" s="8"/>
    </row>
    <row r="628" ht="14.25" customHeight="1">
      <c r="B628" s="8"/>
      <c r="C628" s="8"/>
      <c r="D628" s="8"/>
      <c r="F628" s="8"/>
    </row>
    <row r="629" ht="14.25" customHeight="1">
      <c r="B629" s="8"/>
      <c r="C629" s="8"/>
      <c r="D629" s="8"/>
      <c r="F629" s="8"/>
    </row>
    <row r="630" ht="14.25" customHeight="1">
      <c r="B630" s="8"/>
      <c r="C630" s="8"/>
      <c r="D630" s="8"/>
      <c r="F630" s="8"/>
    </row>
    <row r="631" ht="14.25" customHeight="1">
      <c r="B631" s="8"/>
      <c r="C631" s="8"/>
      <c r="D631" s="8"/>
      <c r="F631" s="8"/>
    </row>
    <row r="632" ht="14.25" customHeight="1">
      <c r="B632" s="8"/>
      <c r="C632" s="8"/>
      <c r="D632" s="8"/>
      <c r="F632" s="8"/>
    </row>
    <row r="633" ht="14.25" customHeight="1">
      <c r="B633" s="8"/>
      <c r="C633" s="8"/>
      <c r="D633" s="8"/>
      <c r="F633" s="8"/>
    </row>
    <row r="634" ht="14.25" customHeight="1">
      <c r="B634" s="8"/>
      <c r="C634" s="8"/>
      <c r="D634" s="8"/>
      <c r="F634" s="8"/>
    </row>
    <row r="635" ht="14.25" customHeight="1">
      <c r="B635" s="8"/>
      <c r="C635" s="8"/>
      <c r="D635" s="8"/>
      <c r="F635" s="8"/>
    </row>
    <row r="636" ht="14.25" customHeight="1">
      <c r="B636" s="8"/>
      <c r="C636" s="8"/>
      <c r="D636" s="8"/>
      <c r="F636" s="8"/>
    </row>
    <row r="637" ht="14.25" customHeight="1">
      <c r="B637" s="8"/>
      <c r="C637" s="8"/>
      <c r="D637" s="8"/>
      <c r="F637" s="8"/>
    </row>
    <row r="638" ht="14.25" customHeight="1">
      <c r="B638" s="8"/>
      <c r="C638" s="8"/>
      <c r="D638" s="8"/>
      <c r="F638" s="8"/>
    </row>
    <row r="639" ht="14.25" customHeight="1">
      <c r="B639" s="8"/>
      <c r="C639" s="8"/>
      <c r="D639" s="8"/>
      <c r="F639" s="8"/>
    </row>
    <row r="640" ht="14.25" customHeight="1">
      <c r="B640" s="8"/>
      <c r="C640" s="8"/>
      <c r="D640" s="8"/>
      <c r="F640" s="8"/>
    </row>
    <row r="641" ht="14.25" customHeight="1">
      <c r="B641" s="8"/>
      <c r="C641" s="8"/>
      <c r="D641" s="8"/>
      <c r="F641" s="8"/>
    </row>
    <row r="642" ht="14.25" customHeight="1">
      <c r="B642" s="8"/>
      <c r="C642" s="8"/>
      <c r="D642" s="8"/>
      <c r="F642" s="8"/>
    </row>
    <row r="643" ht="14.25" customHeight="1">
      <c r="B643" s="8"/>
      <c r="C643" s="8"/>
      <c r="D643" s="8"/>
      <c r="F643" s="8"/>
    </row>
    <row r="644" ht="14.25" customHeight="1">
      <c r="B644" s="8"/>
      <c r="C644" s="8"/>
      <c r="D644" s="8"/>
      <c r="F644" s="8"/>
    </row>
    <row r="645" ht="14.25" customHeight="1">
      <c r="B645" s="8"/>
      <c r="C645" s="8"/>
      <c r="D645" s="8"/>
      <c r="F645" s="8"/>
    </row>
    <row r="646" ht="14.25" customHeight="1">
      <c r="B646" s="8"/>
      <c r="C646" s="8"/>
      <c r="D646" s="8"/>
      <c r="F646" s="8"/>
    </row>
    <row r="647" ht="14.25" customHeight="1">
      <c r="B647" s="8"/>
      <c r="C647" s="8"/>
      <c r="D647" s="8"/>
      <c r="F647" s="8"/>
    </row>
    <row r="648" ht="14.25" customHeight="1">
      <c r="B648" s="8"/>
      <c r="C648" s="8"/>
      <c r="D648" s="8"/>
      <c r="F648" s="8"/>
    </row>
    <row r="649" ht="14.25" customHeight="1">
      <c r="B649" s="8"/>
      <c r="C649" s="8"/>
      <c r="D649" s="8"/>
      <c r="F649" s="8"/>
    </row>
    <row r="650" ht="14.25" customHeight="1">
      <c r="B650" s="8"/>
      <c r="C650" s="8"/>
      <c r="D650" s="8"/>
      <c r="F650" s="8"/>
    </row>
    <row r="651" ht="14.25" customHeight="1">
      <c r="B651" s="8"/>
      <c r="C651" s="8"/>
      <c r="D651" s="8"/>
      <c r="F651" s="8"/>
    </row>
    <row r="652" ht="14.25" customHeight="1">
      <c r="B652" s="8"/>
      <c r="C652" s="8"/>
      <c r="D652" s="8"/>
      <c r="F652" s="8"/>
    </row>
    <row r="653" ht="14.25" customHeight="1">
      <c r="B653" s="8"/>
      <c r="C653" s="8"/>
      <c r="D653" s="8"/>
      <c r="F653" s="8"/>
    </row>
    <row r="654" ht="14.25" customHeight="1">
      <c r="B654" s="8"/>
      <c r="C654" s="8"/>
      <c r="D654" s="8"/>
      <c r="F654" s="8"/>
    </row>
    <row r="655" ht="14.25" customHeight="1">
      <c r="B655" s="8"/>
      <c r="C655" s="8"/>
      <c r="D655" s="8"/>
      <c r="F655" s="8"/>
    </row>
    <row r="656" ht="14.25" customHeight="1">
      <c r="B656" s="8"/>
      <c r="C656" s="8"/>
      <c r="D656" s="8"/>
      <c r="F656" s="8"/>
    </row>
    <row r="657" ht="14.25" customHeight="1">
      <c r="B657" s="8"/>
      <c r="C657" s="8"/>
      <c r="D657" s="8"/>
      <c r="F657" s="8"/>
    </row>
    <row r="658" ht="14.25" customHeight="1">
      <c r="B658" s="8"/>
      <c r="C658" s="8"/>
      <c r="D658" s="8"/>
      <c r="F658" s="8"/>
    </row>
    <row r="659" ht="14.25" customHeight="1">
      <c r="B659" s="8"/>
      <c r="C659" s="8"/>
      <c r="D659" s="8"/>
      <c r="F659" s="8"/>
    </row>
    <row r="660" ht="14.25" customHeight="1">
      <c r="B660" s="8"/>
      <c r="C660" s="8"/>
      <c r="D660" s="8"/>
      <c r="F660" s="8"/>
    </row>
    <row r="661" ht="14.25" customHeight="1">
      <c r="B661" s="8"/>
      <c r="C661" s="8"/>
      <c r="D661" s="8"/>
      <c r="F661" s="8"/>
    </row>
    <row r="662" ht="14.25" customHeight="1">
      <c r="B662" s="8"/>
      <c r="C662" s="8"/>
      <c r="D662" s="8"/>
      <c r="F662" s="8"/>
    </row>
    <row r="663" ht="14.25" customHeight="1">
      <c r="B663" s="8"/>
      <c r="C663" s="8"/>
      <c r="D663" s="8"/>
      <c r="F663" s="8"/>
    </row>
    <row r="664" ht="14.25" customHeight="1">
      <c r="B664" s="8"/>
      <c r="C664" s="8"/>
      <c r="D664" s="8"/>
      <c r="F664" s="8"/>
    </row>
    <row r="665" ht="14.25" customHeight="1">
      <c r="B665" s="8"/>
      <c r="C665" s="8"/>
      <c r="D665" s="8"/>
      <c r="F665" s="8"/>
    </row>
    <row r="666" ht="14.25" customHeight="1">
      <c r="B666" s="8"/>
      <c r="C666" s="8"/>
      <c r="D666" s="8"/>
      <c r="F666" s="8"/>
    </row>
    <row r="667" ht="14.25" customHeight="1">
      <c r="B667" s="8"/>
      <c r="C667" s="8"/>
      <c r="D667" s="8"/>
      <c r="F667" s="8"/>
    </row>
    <row r="668" ht="14.25" customHeight="1">
      <c r="B668" s="8"/>
      <c r="C668" s="8"/>
      <c r="D668" s="8"/>
      <c r="F668" s="8"/>
    </row>
    <row r="669" ht="14.25" customHeight="1">
      <c r="B669" s="8"/>
      <c r="C669" s="8"/>
      <c r="D669" s="8"/>
      <c r="F669" s="8"/>
    </row>
    <row r="670" ht="14.25" customHeight="1">
      <c r="B670" s="8"/>
      <c r="C670" s="8"/>
      <c r="D670" s="8"/>
      <c r="F670" s="8"/>
    </row>
    <row r="671" ht="14.25" customHeight="1">
      <c r="B671" s="8"/>
      <c r="C671" s="8"/>
      <c r="D671" s="8"/>
      <c r="F671" s="8"/>
    </row>
    <row r="672" ht="14.25" customHeight="1">
      <c r="B672" s="8"/>
      <c r="C672" s="8"/>
      <c r="D672" s="8"/>
      <c r="F672" s="8"/>
    </row>
    <row r="673" ht="14.25" customHeight="1">
      <c r="B673" s="8"/>
      <c r="C673" s="8"/>
      <c r="D673" s="8"/>
      <c r="F673" s="8"/>
    </row>
    <row r="674" ht="14.25" customHeight="1">
      <c r="B674" s="8"/>
      <c r="C674" s="8"/>
      <c r="D674" s="8"/>
      <c r="F674" s="8"/>
    </row>
    <row r="675" ht="14.25" customHeight="1">
      <c r="B675" s="8"/>
      <c r="C675" s="8"/>
      <c r="D675" s="8"/>
      <c r="F675" s="8"/>
    </row>
    <row r="676" ht="14.25" customHeight="1">
      <c r="B676" s="8"/>
      <c r="C676" s="8"/>
      <c r="D676" s="8"/>
      <c r="F676" s="8"/>
    </row>
    <row r="677" ht="14.25" customHeight="1">
      <c r="B677" s="8"/>
      <c r="C677" s="8"/>
      <c r="D677" s="8"/>
      <c r="F677" s="8"/>
    </row>
    <row r="678" ht="14.25" customHeight="1">
      <c r="B678" s="8"/>
      <c r="C678" s="8"/>
      <c r="D678" s="8"/>
      <c r="F678" s="8"/>
    </row>
    <row r="679" ht="14.25" customHeight="1">
      <c r="B679" s="8"/>
      <c r="C679" s="8"/>
      <c r="D679" s="8"/>
      <c r="F679" s="8"/>
    </row>
    <row r="680" ht="14.25" customHeight="1">
      <c r="B680" s="8"/>
      <c r="C680" s="8"/>
      <c r="D680" s="8"/>
      <c r="F680" s="8"/>
    </row>
    <row r="681" ht="14.25" customHeight="1">
      <c r="B681" s="8"/>
      <c r="C681" s="8"/>
      <c r="D681" s="8"/>
      <c r="F681" s="8"/>
    </row>
    <row r="682" ht="14.25" customHeight="1">
      <c r="B682" s="8"/>
      <c r="C682" s="8"/>
      <c r="D682" s="8"/>
      <c r="F682" s="8"/>
    </row>
    <row r="683" ht="14.25" customHeight="1">
      <c r="B683" s="8"/>
      <c r="C683" s="8"/>
      <c r="D683" s="8"/>
      <c r="F683" s="8"/>
    </row>
    <row r="684" ht="14.25" customHeight="1">
      <c r="B684" s="8"/>
      <c r="C684" s="8"/>
      <c r="D684" s="8"/>
      <c r="F684" s="8"/>
    </row>
    <row r="685" ht="14.25" customHeight="1">
      <c r="B685" s="8"/>
      <c r="C685" s="8"/>
      <c r="D685" s="8"/>
      <c r="F685" s="8"/>
    </row>
    <row r="686" ht="14.25" customHeight="1">
      <c r="B686" s="8"/>
      <c r="C686" s="8"/>
      <c r="D686" s="8"/>
      <c r="F686" s="8"/>
    </row>
    <row r="687" ht="14.25" customHeight="1">
      <c r="B687" s="8"/>
      <c r="C687" s="8"/>
      <c r="D687" s="8"/>
      <c r="F687" s="8"/>
    </row>
    <row r="688" ht="14.25" customHeight="1">
      <c r="B688" s="8"/>
      <c r="C688" s="8"/>
      <c r="D688" s="8"/>
      <c r="F688" s="8"/>
    </row>
    <row r="689" ht="14.25" customHeight="1">
      <c r="B689" s="8"/>
      <c r="C689" s="8"/>
      <c r="D689" s="8"/>
      <c r="F689" s="8"/>
    </row>
    <row r="690" ht="14.25" customHeight="1">
      <c r="B690" s="8"/>
      <c r="C690" s="8"/>
      <c r="D690" s="8"/>
      <c r="F690" s="8"/>
    </row>
    <row r="691" ht="14.25" customHeight="1">
      <c r="B691" s="8"/>
      <c r="C691" s="8"/>
      <c r="D691" s="8"/>
      <c r="F691" s="8"/>
    </row>
    <row r="692" ht="14.25" customHeight="1">
      <c r="B692" s="8"/>
      <c r="C692" s="8"/>
      <c r="D692" s="8"/>
      <c r="F692" s="8"/>
    </row>
    <row r="693" ht="14.25" customHeight="1">
      <c r="B693" s="8"/>
      <c r="C693" s="8"/>
      <c r="D693" s="8"/>
      <c r="F693" s="8"/>
    </row>
    <row r="694" ht="14.25" customHeight="1">
      <c r="B694" s="8"/>
      <c r="C694" s="8"/>
      <c r="D694" s="8"/>
      <c r="F694" s="8"/>
    </row>
    <row r="695" ht="14.25" customHeight="1">
      <c r="B695" s="8"/>
      <c r="C695" s="8"/>
      <c r="D695" s="8"/>
      <c r="F695" s="8"/>
    </row>
    <row r="696" ht="14.25" customHeight="1">
      <c r="B696" s="8"/>
      <c r="C696" s="8"/>
      <c r="D696" s="8"/>
      <c r="F696" s="8"/>
    </row>
    <row r="697" ht="14.25" customHeight="1">
      <c r="B697" s="8"/>
      <c r="C697" s="8"/>
      <c r="D697" s="8"/>
      <c r="F697" s="8"/>
    </row>
    <row r="698" ht="14.25" customHeight="1">
      <c r="B698" s="8"/>
      <c r="C698" s="8"/>
      <c r="D698" s="8"/>
      <c r="F698" s="8"/>
    </row>
    <row r="699" ht="14.25" customHeight="1">
      <c r="B699" s="8"/>
      <c r="C699" s="8"/>
      <c r="D699" s="8"/>
      <c r="F699" s="8"/>
    </row>
    <row r="700" ht="14.25" customHeight="1">
      <c r="B700" s="8"/>
      <c r="C700" s="8"/>
      <c r="D700" s="8"/>
      <c r="F700" s="8"/>
    </row>
    <row r="701" ht="14.25" customHeight="1">
      <c r="B701" s="8"/>
      <c r="C701" s="8"/>
      <c r="D701" s="8"/>
      <c r="F701" s="8"/>
    </row>
    <row r="702" ht="14.25" customHeight="1">
      <c r="B702" s="8"/>
      <c r="C702" s="8"/>
      <c r="D702" s="8"/>
      <c r="F702" s="8"/>
    </row>
    <row r="703" ht="14.25" customHeight="1">
      <c r="B703" s="8"/>
      <c r="C703" s="8"/>
      <c r="D703" s="8"/>
      <c r="F703" s="8"/>
    </row>
    <row r="704" ht="14.25" customHeight="1">
      <c r="B704" s="8"/>
      <c r="C704" s="8"/>
      <c r="D704" s="8"/>
      <c r="F704" s="8"/>
    </row>
    <row r="705" ht="14.25" customHeight="1">
      <c r="B705" s="8"/>
      <c r="C705" s="8"/>
      <c r="D705" s="8"/>
      <c r="F705" s="8"/>
    </row>
    <row r="706" ht="14.25" customHeight="1">
      <c r="B706" s="8"/>
      <c r="C706" s="8"/>
      <c r="D706" s="8"/>
      <c r="F706" s="8"/>
    </row>
    <row r="707" ht="14.25" customHeight="1">
      <c r="B707" s="8"/>
      <c r="C707" s="8"/>
      <c r="D707" s="8"/>
      <c r="F707" s="8"/>
    </row>
    <row r="708" ht="14.25" customHeight="1">
      <c r="B708" s="8"/>
      <c r="C708" s="8"/>
      <c r="D708" s="8"/>
      <c r="F708" s="8"/>
    </row>
    <row r="709" ht="14.25" customHeight="1">
      <c r="B709" s="8"/>
      <c r="C709" s="8"/>
      <c r="D709" s="8"/>
      <c r="F709" s="8"/>
    </row>
    <row r="710" ht="14.25" customHeight="1">
      <c r="B710" s="8"/>
      <c r="C710" s="8"/>
      <c r="D710" s="8"/>
      <c r="F710" s="8"/>
    </row>
    <row r="711" ht="14.25" customHeight="1">
      <c r="B711" s="8"/>
      <c r="C711" s="8"/>
      <c r="D711" s="8"/>
      <c r="F711" s="8"/>
    </row>
    <row r="712" ht="14.25" customHeight="1">
      <c r="B712" s="8"/>
      <c r="C712" s="8"/>
      <c r="D712" s="8"/>
      <c r="F712" s="8"/>
    </row>
    <row r="713" ht="14.25" customHeight="1">
      <c r="B713" s="8"/>
      <c r="C713" s="8"/>
      <c r="D713" s="8"/>
      <c r="F713" s="8"/>
    </row>
    <row r="714" ht="14.25" customHeight="1">
      <c r="B714" s="8"/>
      <c r="C714" s="8"/>
      <c r="D714" s="8"/>
      <c r="F714" s="8"/>
    </row>
    <row r="715" ht="14.25" customHeight="1">
      <c r="B715" s="8"/>
      <c r="C715" s="8"/>
      <c r="D715" s="8"/>
      <c r="F715" s="8"/>
    </row>
    <row r="716" ht="14.25" customHeight="1">
      <c r="B716" s="8"/>
      <c r="C716" s="8"/>
      <c r="D716" s="8"/>
      <c r="F716" s="8"/>
    </row>
    <row r="717" ht="14.25" customHeight="1">
      <c r="B717" s="8"/>
      <c r="C717" s="8"/>
      <c r="D717" s="8"/>
      <c r="F717" s="8"/>
    </row>
    <row r="718" ht="14.25" customHeight="1">
      <c r="B718" s="8"/>
      <c r="C718" s="8"/>
      <c r="D718" s="8"/>
      <c r="F718" s="8"/>
    </row>
    <row r="719" ht="14.25" customHeight="1">
      <c r="B719" s="8"/>
      <c r="C719" s="8"/>
      <c r="D719" s="8"/>
      <c r="F719" s="8"/>
    </row>
    <row r="720" ht="14.25" customHeight="1">
      <c r="B720" s="8"/>
      <c r="C720" s="8"/>
      <c r="D720" s="8"/>
      <c r="F720" s="8"/>
    </row>
    <row r="721" ht="14.25" customHeight="1">
      <c r="B721" s="8"/>
      <c r="C721" s="8"/>
      <c r="D721" s="8"/>
      <c r="F721" s="8"/>
    </row>
    <row r="722" ht="14.25" customHeight="1">
      <c r="B722" s="8"/>
      <c r="C722" s="8"/>
      <c r="D722" s="8"/>
      <c r="F722" s="8"/>
    </row>
    <row r="723" ht="14.25" customHeight="1">
      <c r="B723" s="8"/>
      <c r="C723" s="8"/>
      <c r="D723" s="8"/>
      <c r="F723" s="8"/>
    </row>
    <row r="724" ht="14.25" customHeight="1">
      <c r="B724" s="8"/>
      <c r="C724" s="8"/>
      <c r="D724" s="8"/>
      <c r="F724" s="8"/>
    </row>
    <row r="725" ht="14.25" customHeight="1">
      <c r="B725" s="8"/>
      <c r="C725" s="8"/>
      <c r="D725" s="8"/>
      <c r="F725" s="8"/>
    </row>
    <row r="726" ht="14.25" customHeight="1">
      <c r="B726" s="8"/>
      <c r="C726" s="8"/>
      <c r="D726" s="8"/>
      <c r="F726" s="8"/>
    </row>
    <row r="727" ht="14.25" customHeight="1">
      <c r="B727" s="8"/>
      <c r="C727" s="8"/>
      <c r="D727" s="8"/>
      <c r="F727" s="8"/>
    </row>
    <row r="728" ht="14.25" customHeight="1">
      <c r="B728" s="8"/>
      <c r="C728" s="8"/>
      <c r="D728" s="8"/>
      <c r="F728" s="8"/>
    </row>
    <row r="729" ht="14.25" customHeight="1">
      <c r="B729" s="8"/>
      <c r="C729" s="8"/>
      <c r="D729" s="8"/>
      <c r="F729" s="8"/>
    </row>
    <row r="730" ht="14.25" customHeight="1">
      <c r="B730" s="8"/>
      <c r="C730" s="8"/>
      <c r="D730" s="8"/>
      <c r="F730" s="8"/>
    </row>
    <row r="731" ht="14.25" customHeight="1">
      <c r="B731" s="8"/>
      <c r="C731" s="8"/>
      <c r="D731" s="8"/>
      <c r="F731" s="8"/>
    </row>
    <row r="732" ht="14.25" customHeight="1">
      <c r="B732" s="8"/>
      <c r="C732" s="8"/>
      <c r="D732" s="8"/>
      <c r="F732" s="8"/>
    </row>
    <row r="733" ht="14.25" customHeight="1">
      <c r="B733" s="8"/>
      <c r="C733" s="8"/>
      <c r="D733" s="8"/>
      <c r="F733" s="8"/>
    </row>
    <row r="734" ht="14.25" customHeight="1">
      <c r="B734" s="8"/>
      <c r="C734" s="8"/>
      <c r="D734" s="8"/>
      <c r="F734" s="8"/>
    </row>
    <row r="735" ht="14.25" customHeight="1">
      <c r="B735" s="8"/>
      <c r="C735" s="8"/>
      <c r="D735" s="8"/>
      <c r="F735" s="8"/>
    </row>
    <row r="736" ht="14.25" customHeight="1">
      <c r="B736" s="8"/>
      <c r="C736" s="8"/>
      <c r="D736" s="8"/>
      <c r="F736" s="8"/>
    </row>
    <row r="737" ht="14.25" customHeight="1">
      <c r="B737" s="8"/>
      <c r="C737" s="8"/>
      <c r="D737" s="8"/>
      <c r="F737" s="8"/>
    </row>
    <row r="738" ht="14.25" customHeight="1">
      <c r="B738" s="8"/>
      <c r="C738" s="8"/>
      <c r="D738" s="8"/>
      <c r="F738" s="8"/>
    </row>
    <row r="739" ht="14.25" customHeight="1">
      <c r="B739" s="8"/>
      <c r="C739" s="8"/>
      <c r="D739" s="8"/>
      <c r="F739" s="8"/>
    </row>
    <row r="740" ht="14.25" customHeight="1">
      <c r="B740" s="8"/>
      <c r="C740" s="8"/>
      <c r="D740" s="8"/>
      <c r="F740" s="8"/>
    </row>
    <row r="741" ht="14.25" customHeight="1">
      <c r="B741" s="8"/>
      <c r="C741" s="8"/>
      <c r="D741" s="8"/>
      <c r="F741" s="8"/>
    </row>
    <row r="742" ht="14.25" customHeight="1">
      <c r="B742" s="8"/>
      <c r="C742" s="8"/>
      <c r="D742" s="8"/>
      <c r="F742" s="8"/>
    </row>
    <row r="743" ht="14.25" customHeight="1">
      <c r="B743" s="8"/>
      <c r="C743" s="8"/>
      <c r="D743" s="8"/>
      <c r="F743" s="8"/>
    </row>
    <row r="744" ht="14.25" customHeight="1">
      <c r="B744" s="8"/>
      <c r="C744" s="8"/>
      <c r="D744" s="8"/>
      <c r="F744" s="8"/>
    </row>
    <row r="745" ht="14.25" customHeight="1">
      <c r="B745" s="8"/>
      <c r="C745" s="8"/>
      <c r="D745" s="8"/>
      <c r="F745" s="8"/>
    </row>
    <row r="746" ht="14.25" customHeight="1">
      <c r="B746" s="8"/>
      <c r="C746" s="8"/>
      <c r="D746" s="8"/>
      <c r="F746" s="8"/>
    </row>
    <row r="747" ht="14.25" customHeight="1">
      <c r="B747" s="8"/>
      <c r="C747" s="8"/>
      <c r="D747" s="8"/>
      <c r="F747" s="8"/>
    </row>
    <row r="748" ht="14.25" customHeight="1">
      <c r="B748" s="8"/>
      <c r="C748" s="8"/>
      <c r="D748" s="8"/>
      <c r="F748" s="8"/>
    </row>
    <row r="749" ht="14.25" customHeight="1">
      <c r="B749" s="8"/>
      <c r="C749" s="8"/>
      <c r="D749" s="8"/>
      <c r="F749" s="8"/>
    </row>
    <row r="750" ht="14.25" customHeight="1">
      <c r="B750" s="8"/>
      <c r="C750" s="8"/>
      <c r="D750" s="8"/>
      <c r="F750" s="8"/>
    </row>
    <row r="751" ht="14.25" customHeight="1">
      <c r="B751" s="8"/>
      <c r="C751" s="8"/>
      <c r="D751" s="8"/>
      <c r="F751" s="8"/>
    </row>
    <row r="752" ht="14.25" customHeight="1">
      <c r="B752" s="8"/>
      <c r="C752" s="8"/>
      <c r="D752" s="8"/>
      <c r="F752" s="8"/>
    </row>
    <row r="753" ht="14.25" customHeight="1">
      <c r="B753" s="8"/>
      <c r="C753" s="8"/>
      <c r="D753" s="8"/>
      <c r="F753" s="8"/>
    </row>
    <row r="754" ht="14.25" customHeight="1">
      <c r="B754" s="8"/>
      <c r="C754" s="8"/>
      <c r="D754" s="8"/>
      <c r="F754" s="8"/>
    </row>
    <row r="755" ht="14.25" customHeight="1">
      <c r="B755" s="8"/>
      <c r="C755" s="8"/>
      <c r="D755" s="8"/>
      <c r="F755" s="8"/>
    </row>
    <row r="756" ht="14.25" customHeight="1">
      <c r="B756" s="8"/>
      <c r="C756" s="8"/>
      <c r="D756" s="8"/>
      <c r="F756" s="8"/>
    </row>
    <row r="757" ht="14.25" customHeight="1">
      <c r="B757" s="8"/>
      <c r="C757" s="8"/>
      <c r="D757" s="8"/>
      <c r="F757" s="8"/>
    </row>
    <row r="758" ht="14.25" customHeight="1">
      <c r="B758" s="8"/>
      <c r="C758" s="8"/>
      <c r="D758" s="8"/>
      <c r="F758" s="8"/>
    </row>
    <row r="759" ht="14.25" customHeight="1">
      <c r="B759" s="8"/>
      <c r="C759" s="8"/>
      <c r="D759" s="8"/>
      <c r="F759" s="8"/>
    </row>
    <row r="760" ht="14.25" customHeight="1">
      <c r="B760" s="8"/>
      <c r="C760" s="8"/>
      <c r="D760" s="8"/>
      <c r="F760" s="8"/>
    </row>
    <row r="761" ht="14.25" customHeight="1">
      <c r="B761" s="8"/>
      <c r="C761" s="8"/>
      <c r="D761" s="8"/>
      <c r="F761" s="8"/>
    </row>
    <row r="762" ht="14.25" customHeight="1">
      <c r="B762" s="8"/>
      <c r="C762" s="8"/>
      <c r="D762" s="8"/>
      <c r="F762" s="8"/>
    </row>
    <row r="763" ht="14.25" customHeight="1">
      <c r="B763" s="8"/>
      <c r="C763" s="8"/>
      <c r="D763" s="8"/>
      <c r="F763" s="8"/>
    </row>
    <row r="764" ht="14.25" customHeight="1">
      <c r="B764" s="8"/>
      <c r="C764" s="8"/>
      <c r="D764" s="8"/>
      <c r="F764" s="8"/>
    </row>
    <row r="765" ht="14.25" customHeight="1">
      <c r="B765" s="8"/>
      <c r="C765" s="8"/>
      <c r="D765" s="8"/>
      <c r="F765" s="8"/>
    </row>
    <row r="766" ht="14.25" customHeight="1">
      <c r="B766" s="8"/>
      <c r="C766" s="8"/>
      <c r="D766" s="8"/>
      <c r="F766" s="8"/>
    </row>
    <row r="767" ht="14.25" customHeight="1">
      <c r="B767" s="8"/>
      <c r="C767" s="8"/>
      <c r="D767" s="8"/>
      <c r="F767" s="8"/>
    </row>
    <row r="768" ht="14.25" customHeight="1">
      <c r="B768" s="8"/>
      <c r="C768" s="8"/>
      <c r="D768" s="8"/>
      <c r="F768" s="8"/>
    </row>
    <row r="769" ht="14.25" customHeight="1">
      <c r="B769" s="8"/>
      <c r="C769" s="8"/>
      <c r="D769" s="8"/>
      <c r="F769" s="8"/>
    </row>
    <row r="770" ht="14.25" customHeight="1">
      <c r="B770" s="8"/>
      <c r="C770" s="8"/>
      <c r="D770" s="8"/>
      <c r="F770" s="8"/>
    </row>
    <row r="771" ht="14.25" customHeight="1">
      <c r="B771" s="8"/>
      <c r="C771" s="8"/>
      <c r="D771" s="8"/>
      <c r="F771" s="8"/>
    </row>
    <row r="772" ht="14.25" customHeight="1">
      <c r="B772" s="8"/>
      <c r="C772" s="8"/>
      <c r="D772" s="8"/>
      <c r="F772" s="8"/>
    </row>
    <row r="773" ht="14.25" customHeight="1">
      <c r="B773" s="8"/>
      <c r="C773" s="8"/>
      <c r="D773" s="8"/>
      <c r="F773" s="8"/>
    </row>
    <row r="774" ht="14.25" customHeight="1">
      <c r="B774" s="8"/>
      <c r="C774" s="8"/>
      <c r="D774" s="8"/>
      <c r="F774" s="8"/>
    </row>
    <row r="775" ht="14.25" customHeight="1">
      <c r="B775" s="8"/>
      <c r="C775" s="8"/>
      <c r="D775" s="8"/>
      <c r="F775" s="8"/>
    </row>
    <row r="776" ht="14.25" customHeight="1">
      <c r="B776" s="8"/>
      <c r="C776" s="8"/>
      <c r="D776" s="8"/>
      <c r="F776" s="8"/>
    </row>
    <row r="777" ht="14.25" customHeight="1">
      <c r="B777" s="8"/>
      <c r="C777" s="8"/>
      <c r="D777" s="8"/>
      <c r="F777" s="8"/>
    </row>
    <row r="778" ht="14.25" customHeight="1">
      <c r="B778" s="8"/>
      <c r="C778" s="8"/>
      <c r="D778" s="8"/>
      <c r="F778" s="8"/>
    </row>
    <row r="779" ht="14.25" customHeight="1">
      <c r="B779" s="8"/>
      <c r="C779" s="8"/>
      <c r="D779" s="8"/>
      <c r="F779" s="8"/>
    </row>
    <row r="780" ht="14.25" customHeight="1">
      <c r="B780" s="8"/>
      <c r="C780" s="8"/>
      <c r="D780" s="8"/>
      <c r="F780" s="8"/>
    </row>
    <row r="781" ht="14.25" customHeight="1">
      <c r="B781" s="8"/>
      <c r="C781" s="8"/>
      <c r="D781" s="8"/>
      <c r="F781" s="8"/>
    </row>
    <row r="782" ht="14.25" customHeight="1">
      <c r="B782" s="8"/>
      <c r="C782" s="8"/>
      <c r="D782" s="8"/>
      <c r="F782" s="8"/>
    </row>
    <row r="783" ht="14.25" customHeight="1">
      <c r="B783" s="8"/>
      <c r="C783" s="8"/>
      <c r="D783" s="8"/>
      <c r="F783" s="8"/>
    </row>
    <row r="784" ht="14.25" customHeight="1">
      <c r="B784" s="8"/>
      <c r="C784" s="8"/>
      <c r="D784" s="8"/>
      <c r="F784" s="8"/>
    </row>
    <row r="785" ht="14.25" customHeight="1">
      <c r="B785" s="8"/>
      <c r="C785" s="8"/>
      <c r="D785" s="8"/>
      <c r="F785" s="8"/>
    </row>
    <row r="786" ht="14.25" customHeight="1">
      <c r="B786" s="8"/>
      <c r="C786" s="8"/>
      <c r="D786" s="8"/>
      <c r="F786" s="8"/>
    </row>
    <row r="787" ht="14.25" customHeight="1">
      <c r="B787" s="8"/>
      <c r="C787" s="8"/>
      <c r="D787" s="8"/>
      <c r="F787" s="8"/>
    </row>
    <row r="788" ht="14.25" customHeight="1">
      <c r="B788" s="8"/>
      <c r="C788" s="8"/>
      <c r="D788" s="8"/>
      <c r="F788" s="8"/>
    </row>
    <row r="789" ht="14.25" customHeight="1">
      <c r="B789" s="8"/>
      <c r="C789" s="8"/>
      <c r="D789" s="8"/>
      <c r="F789" s="8"/>
    </row>
    <row r="790" ht="14.25" customHeight="1">
      <c r="B790" s="8"/>
      <c r="C790" s="8"/>
      <c r="D790" s="8"/>
      <c r="F790" s="8"/>
    </row>
    <row r="791" ht="14.25" customHeight="1">
      <c r="B791" s="8"/>
      <c r="C791" s="8"/>
      <c r="D791" s="8"/>
      <c r="F791" s="8"/>
    </row>
    <row r="792" ht="14.25" customHeight="1">
      <c r="B792" s="8"/>
      <c r="C792" s="8"/>
      <c r="D792" s="8"/>
      <c r="F792" s="8"/>
    </row>
    <row r="793" ht="14.25" customHeight="1">
      <c r="B793" s="8"/>
      <c r="C793" s="8"/>
      <c r="D793" s="8"/>
      <c r="F793" s="8"/>
    </row>
    <row r="794" ht="14.25" customHeight="1">
      <c r="B794" s="8"/>
      <c r="C794" s="8"/>
      <c r="D794" s="8"/>
      <c r="F794" s="8"/>
    </row>
    <row r="795" ht="14.25" customHeight="1">
      <c r="B795" s="8"/>
      <c r="C795" s="8"/>
      <c r="D795" s="8"/>
      <c r="F795" s="8"/>
    </row>
    <row r="796" ht="14.25" customHeight="1">
      <c r="B796" s="8"/>
      <c r="C796" s="8"/>
      <c r="D796" s="8"/>
      <c r="F796" s="8"/>
    </row>
    <row r="797" ht="14.25" customHeight="1">
      <c r="B797" s="8"/>
      <c r="C797" s="8"/>
      <c r="D797" s="8"/>
      <c r="F797" s="8"/>
    </row>
    <row r="798" ht="14.25" customHeight="1">
      <c r="B798" s="8"/>
      <c r="C798" s="8"/>
      <c r="D798" s="8"/>
      <c r="F798" s="8"/>
    </row>
    <row r="799" ht="14.25" customHeight="1">
      <c r="B799" s="8"/>
      <c r="C799" s="8"/>
      <c r="D799" s="8"/>
      <c r="F799" s="8"/>
    </row>
    <row r="800" ht="14.25" customHeight="1">
      <c r="B800" s="8"/>
      <c r="C800" s="8"/>
      <c r="D800" s="8"/>
      <c r="F800" s="8"/>
    </row>
    <row r="801" ht="14.25" customHeight="1">
      <c r="B801" s="8"/>
      <c r="C801" s="8"/>
      <c r="D801" s="8"/>
      <c r="F801" s="8"/>
    </row>
    <row r="802" ht="14.25" customHeight="1">
      <c r="B802" s="8"/>
      <c r="C802" s="8"/>
      <c r="D802" s="8"/>
      <c r="F802" s="8"/>
    </row>
    <row r="803" ht="14.25" customHeight="1">
      <c r="B803" s="8"/>
      <c r="C803" s="8"/>
      <c r="D803" s="8"/>
      <c r="F803" s="8"/>
    </row>
    <row r="804" ht="14.25" customHeight="1">
      <c r="B804" s="8"/>
      <c r="C804" s="8"/>
      <c r="D804" s="8"/>
      <c r="F804" s="8"/>
    </row>
    <row r="805" ht="14.25" customHeight="1">
      <c r="B805" s="8"/>
      <c r="C805" s="8"/>
      <c r="D805" s="8"/>
      <c r="F805" s="8"/>
    </row>
    <row r="806" ht="14.25" customHeight="1">
      <c r="B806" s="8"/>
      <c r="C806" s="8"/>
      <c r="D806" s="8"/>
      <c r="F806" s="8"/>
    </row>
    <row r="807" ht="14.25" customHeight="1">
      <c r="B807" s="8"/>
      <c r="C807" s="8"/>
      <c r="D807" s="8"/>
      <c r="F807" s="8"/>
    </row>
    <row r="808" ht="14.25" customHeight="1">
      <c r="B808" s="8"/>
      <c r="C808" s="8"/>
      <c r="D808" s="8"/>
      <c r="F808" s="8"/>
    </row>
    <row r="809" ht="14.25" customHeight="1">
      <c r="B809" s="8"/>
      <c r="C809" s="8"/>
      <c r="D809" s="8"/>
      <c r="F809" s="8"/>
    </row>
    <row r="810" ht="14.25" customHeight="1">
      <c r="B810" s="8"/>
      <c r="C810" s="8"/>
      <c r="D810" s="8"/>
      <c r="F810" s="8"/>
    </row>
    <row r="811" ht="14.25" customHeight="1">
      <c r="B811" s="8"/>
      <c r="C811" s="8"/>
      <c r="D811" s="8"/>
      <c r="F811" s="8"/>
    </row>
    <row r="812" ht="14.25" customHeight="1">
      <c r="B812" s="8"/>
      <c r="C812" s="8"/>
      <c r="D812" s="8"/>
      <c r="F812" s="8"/>
    </row>
    <row r="813" ht="14.25" customHeight="1">
      <c r="B813" s="8"/>
      <c r="C813" s="8"/>
      <c r="D813" s="8"/>
      <c r="F813" s="8"/>
    </row>
    <row r="814" ht="14.25" customHeight="1">
      <c r="B814" s="8"/>
      <c r="C814" s="8"/>
      <c r="D814" s="8"/>
      <c r="F814" s="8"/>
    </row>
    <row r="815" ht="14.25" customHeight="1">
      <c r="B815" s="8"/>
      <c r="C815" s="8"/>
      <c r="D815" s="8"/>
      <c r="F815" s="8"/>
    </row>
    <row r="816" ht="14.25" customHeight="1">
      <c r="B816" s="8"/>
      <c r="C816" s="8"/>
      <c r="D816" s="8"/>
      <c r="F816" s="8"/>
    </row>
    <row r="817" ht="14.25" customHeight="1">
      <c r="B817" s="8"/>
      <c r="C817" s="8"/>
      <c r="D817" s="8"/>
      <c r="F817" s="8"/>
    </row>
    <row r="818" ht="14.25" customHeight="1">
      <c r="B818" s="8"/>
      <c r="C818" s="8"/>
      <c r="D818" s="8"/>
      <c r="F818" s="8"/>
    </row>
    <row r="819" ht="14.25" customHeight="1">
      <c r="B819" s="8"/>
      <c r="C819" s="8"/>
      <c r="D819" s="8"/>
      <c r="F819" s="8"/>
    </row>
    <row r="820" ht="14.25" customHeight="1">
      <c r="B820" s="8"/>
      <c r="C820" s="8"/>
      <c r="D820" s="8"/>
      <c r="F820" s="8"/>
    </row>
    <row r="821" ht="14.25" customHeight="1">
      <c r="B821" s="8"/>
      <c r="C821" s="8"/>
      <c r="D821" s="8"/>
      <c r="F821" s="8"/>
    </row>
    <row r="822" ht="14.25" customHeight="1">
      <c r="B822" s="8"/>
      <c r="C822" s="8"/>
      <c r="D822" s="8"/>
      <c r="F822" s="8"/>
    </row>
    <row r="823" ht="14.25" customHeight="1">
      <c r="B823" s="8"/>
      <c r="C823" s="8"/>
      <c r="D823" s="8"/>
      <c r="F823" s="8"/>
    </row>
    <row r="824" ht="14.25" customHeight="1">
      <c r="B824" s="8"/>
      <c r="C824" s="8"/>
      <c r="D824" s="8"/>
      <c r="F824" s="8"/>
    </row>
    <row r="825" ht="14.25" customHeight="1">
      <c r="B825" s="8"/>
      <c r="C825" s="8"/>
      <c r="D825" s="8"/>
      <c r="F825" s="8"/>
    </row>
    <row r="826" ht="14.25" customHeight="1">
      <c r="B826" s="8"/>
      <c r="C826" s="8"/>
      <c r="D826" s="8"/>
      <c r="F826" s="8"/>
    </row>
    <row r="827" ht="14.25" customHeight="1">
      <c r="B827" s="8"/>
      <c r="C827" s="8"/>
      <c r="D827" s="8"/>
      <c r="F827" s="8"/>
    </row>
    <row r="828" ht="14.25" customHeight="1">
      <c r="B828" s="8"/>
      <c r="C828" s="8"/>
      <c r="D828" s="8"/>
      <c r="F828" s="8"/>
    </row>
    <row r="829" ht="14.25" customHeight="1">
      <c r="B829" s="8"/>
      <c r="C829" s="8"/>
      <c r="D829" s="8"/>
      <c r="F829" s="8"/>
    </row>
    <row r="830" ht="14.25" customHeight="1">
      <c r="B830" s="8"/>
      <c r="C830" s="8"/>
      <c r="D830" s="8"/>
      <c r="F830" s="8"/>
    </row>
    <row r="831" ht="14.25" customHeight="1">
      <c r="B831" s="8"/>
      <c r="C831" s="8"/>
      <c r="D831" s="8"/>
      <c r="F831" s="8"/>
    </row>
    <row r="832" ht="14.25" customHeight="1">
      <c r="B832" s="8"/>
      <c r="C832" s="8"/>
      <c r="D832" s="8"/>
      <c r="F832" s="8"/>
    </row>
    <row r="833" ht="14.25" customHeight="1">
      <c r="B833" s="8"/>
      <c r="C833" s="8"/>
      <c r="D833" s="8"/>
      <c r="F833" s="8"/>
    </row>
    <row r="834" ht="14.25" customHeight="1">
      <c r="B834" s="8"/>
      <c r="C834" s="8"/>
      <c r="D834" s="8"/>
      <c r="F834" s="8"/>
    </row>
    <row r="835" ht="14.25" customHeight="1">
      <c r="B835" s="8"/>
      <c r="C835" s="8"/>
      <c r="D835" s="8"/>
      <c r="F835" s="8"/>
    </row>
    <row r="836" ht="14.25" customHeight="1">
      <c r="B836" s="8"/>
      <c r="C836" s="8"/>
      <c r="D836" s="8"/>
      <c r="F836" s="8"/>
    </row>
    <row r="837" ht="14.25" customHeight="1">
      <c r="B837" s="8"/>
      <c r="C837" s="8"/>
      <c r="D837" s="8"/>
      <c r="F837" s="8"/>
    </row>
    <row r="838" ht="14.25" customHeight="1">
      <c r="B838" s="8"/>
      <c r="C838" s="8"/>
      <c r="D838" s="8"/>
      <c r="F838" s="8"/>
    </row>
    <row r="839" ht="14.25" customHeight="1">
      <c r="B839" s="8"/>
      <c r="C839" s="8"/>
      <c r="D839" s="8"/>
      <c r="F839" s="8"/>
    </row>
    <row r="840" ht="14.25" customHeight="1">
      <c r="B840" s="8"/>
      <c r="C840" s="8"/>
      <c r="D840" s="8"/>
      <c r="F840" s="8"/>
    </row>
    <row r="841" ht="14.25" customHeight="1">
      <c r="B841" s="8"/>
      <c r="C841" s="8"/>
      <c r="D841" s="8"/>
      <c r="F841" s="8"/>
    </row>
    <row r="842" ht="14.25" customHeight="1">
      <c r="B842" s="8"/>
      <c r="C842" s="8"/>
      <c r="D842" s="8"/>
      <c r="F842" s="8"/>
    </row>
    <row r="843" ht="14.25" customHeight="1">
      <c r="B843" s="8"/>
      <c r="C843" s="8"/>
      <c r="D843" s="8"/>
      <c r="F843" s="8"/>
    </row>
    <row r="844" ht="14.25" customHeight="1">
      <c r="B844" s="8"/>
      <c r="C844" s="8"/>
      <c r="D844" s="8"/>
      <c r="F844" s="8"/>
    </row>
    <row r="845" ht="14.25" customHeight="1">
      <c r="B845" s="8"/>
      <c r="C845" s="8"/>
      <c r="D845" s="8"/>
      <c r="F845" s="8"/>
    </row>
    <row r="846" ht="14.25" customHeight="1">
      <c r="B846" s="8"/>
      <c r="C846" s="8"/>
      <c r="D846" s="8"/>
      <c r="F846" s="8"/>
    </row>
    <row r="847" ht="14.25" customHeight="1">
      <c r="B847" s="8"/>
      <c r="C847" s="8"/>
      <c r="D847" s="8"/>
      <c r="F847" s="8"/>
    </row>
    <row r="848" ht="14.25" customHeight="1">
      <c r="B848" s="8"/>
      <c r="C848" s="8"/>
      <c r="D848" s="8"/>
      <c r="F848" s="8"/>
    </row>
    <row r="849" ht="14.25" customHeight="1">
      <c r="B849" s="8"/>
      <c r="C849" s="8"/>
      <c r="D849" s="8"/>
      <c r="F849" s="8"/>
    </row>
    <row r="850" ht="14.25" customHeight="1">
      <c r="B850" s="8"/>
      <c r="C850" s="8"/>
      <c r="D850" s="8"/>
      <c r="F850" s="8"/>
    </row>
    <row r="851" ht="14.25" customHeight="1">
      <c r="B851" s="8"/>
      <c r="C851" s="8"/>
      <c r="D851" s="8"/>
      <c r="F851" s="8"/>
    </row>
    <row r="852" ht="14.25" customHeight="1">
      <c r="B852" s="8"/>
      <c r="C852" s="8"/>
      <c r="D852" s="8"/>
      <c r="F852" s="8"/>
    </row>
    <row r="853" ht="14.25" customHeight="1">
      <c r="B853" s="8"/>
      <c r="C853" s="8"/>
      <c r="D853" s="8"/>
      <c r="F853" s="8"/>
    </row>
    <row r="854" ht="14.25" customHeight="1">
      <c r="B854" s="8"/>
      <c r="C854" s="8"/>
      <c r="D854" s="8"/>
      <c r="F854" s="8"/>
    </row>
    <row r="855" ht="14.25" customHeight="1">
      <c r="B855" s="8"/>
      <c r="C855" s="8"/>
      <c r="D855" s="8"/>
      <c r="F855" s="8"/>
    </row>
    <row r="856" ht="14.25" customHeight="1">
      <c r="B856" s="8"/>
      <c r="C856" s="8"/>
      <c r="D856" s="8"/>
      <c r="F856" s="8"/>
    </row>
    <row r="857" ht="14.25" customHeight="1">
      <c r="B857" s="8"/>
      <c r="C857" s="8"/>
      <c r="D857" s="8"/>
      <c r="F857" s="8"/>
    </row>
    <row r="858" ht="14.25" customHeight="1">
      <c r="B858" s="8"/>
      <c r="C858" s="8"/>
      <c r="D858" s="8"/>
      <c r="F858" s="8"/>
    </row>
    <row r="859" ht="14.25" customHeight="1">
      <c r="B859" s="8"/>
      <c r="C859" s="8"/>
      <c r="D859" s="8"/>
      <c r="F859" s="8"/>
    </row>
    <row r="860" ht="14.25" customHeight="1">
      <c r="B860" s="8"/>
      <c r="C860" s="8"/>
      <c r="D860" s="8"/>
      <c r="F860" s="8"/>
    </row>
    <row r="861" ht="14.25" customHeight="1">
      <c r="B861" s="8"/>
      <c r="C861" s="8"/>
      <c r="D861" s="8"/>
      <c r="F861" s="8"/>
    </row>
    <row r="862" ht="14.25" customHeight="1">
      <c r="B862" s="8"/>
      <c r="C862" s="8"/>
      <c r="D862" s="8"/>
      <c r="F862" s="8"/>
    </row>
    <row r="863" ht="14.25" customHeight="1">
      <c r="B863" s="8"/>
      <c r="C863" s="8"/>
      <c r="D863" s="8"/>
      <c r="F863" s="8"/>
    </row>
    <row r="864" ht="14.25" customHeight="1">
      <c r="B864" s="8"/>
      <c r="C864" s="8"/>
      <c r="D864" s="8"/>
      <c r="F864" s="8"/>
    </row>
    <row r="865" ht="14.25" customHeight="1">
      <c r="B865" s="8"/>
      <c r="C865" s="8"/>
      <c r="D865" s="8"/>
      <c r="F865" s="8"/>
    </row>
    <row r="866" ht="14.25" customHeight="1">
      <c r="B866" s="8"/>
      <c r="C866" s="8"/>
      <c r="D866" s="8"/>
      <c r="F866" s="8"/>
    </row>
    <row r="867" ht="14.25" customHeight="1">
      <c r="B867" s="8"/>
      <c r="C867" s="8"/>
      <c r="D867" s="8"/>
      <c r="F867" s="8"/>
    </row>
    <row r="868" ht="14.25" customHeight="1">
      <c r="B868" s="8"/>
      <c r="C868" s="8"/>
      <c r="D868" s="8"/>
      <c r="F868" s="8"/>
    </row>
    <row r="869" ht="14.25" customHeight="1">
      <c r="B869" s="8"/>
      <c r="C869" s="8"/>
      <c r="D869" s="8"/>
      <c r="F869" s="8"/>
    </row>
    <row r="870" ht="14.25" customHeight="1">
      <c r="B870" s="8"/>
      <c r="C870" s="8"/>
      <c r="D870" s="8"/>
      <c r="F870" s="8"/>
    </row>
    <row r="871" ht="14.25" customHeight="1">
      <c r="B871" s="8"/>
      <c r="C871" s="8"/>
      <c r="D871" s="8"/>
      <c r="F871" s="8"/>
    </row>
    <row r="872" ht="14.25" customHeight="1">
      <c r="B872" s="8"/>
      <c r="C872" s="8"/>
      <c r="D872" s="8"/>
      <c r="F872" s="8"/>
    </row>
    <row r="873" ht="14.25" customHeight="1">
      <c r="B873" s="8"/>
      <c r="C873" s="8"/>
      <c r="D873" s="8"/>
      <c r="F873" s="8"/>
    </row>
    <row r="874" ht="14.25" customHeight="1">
      <c r="B874" s="8"/>
      <c r="C874" s="8"/>
      <c r="D874" s="8"/>
      <c r="F874" s="8"/>
    </row>
    <row r="875" ht="14.25" customHeight="1">
      <c r="B875" s="8"/>
      <c r="C875" s="8"/>
      <c r="D875" s="8"/>
      <c r="F875" s="8"/>
    </row>
    <row r="876" ht="14.25" customHeight="1">
      <c r="B876" s="8"/>
      <c r="C876" s="8"/>
      <c r="D876" s="8"/>
      <c r="F876" s="8"/>
    </row>
    <row r="877" ht="14.25" customHeight="1">
      <c r="B877" s="8"/>
      <c r="C877" s="8"/>
      <c r="D877" s="8"/>
      <c r="F877" s="8"/>
    </row>
    <row r="878" ht="14.25" customHeight="1">
      <c r="B878" s="8"/>
      <c r="C878" s="8"/>
      <c r="D878" s="8"/>
      <c r="F878" s="8"/>
    </row>
    <row r="879" ht="14.25" customHeight="1">
      <c r="B879" s="8"/>
      <c r="C879" s="8"/>
      <c r="D879" s="8"/>
      <c r="F879" s="8"/>
    </row>
    <row r="880" ht="14.25" customHeight="1">
      <c r="B880" s="8"/>
      <c r="C880" s="8"/>
      <c r="D880" s="8"/>
      <c r="F880" s="8"/>
    </row>
    <row r="881" ht="14.25" customHeight="1">
      <c r="B881" s="8"/>
      <c r="C881" s="8"/>
      <c r="D881" s="8"/>
      <c r="F881" s="8"/>
    </row>
    <row r="882" ht="14.25" customHeight="1">
      <c r="B882" s="8"/>
      <c r="C882" s="8"/>
      <c r="D882" s="8"/>
      <c r="F882" s="8"/>
    </row>
    <row r="883" ht="14.25" customHeight="1">
      <c r="B883" s="8"/>
      <c r="C883" s="8"/>
      <c r="D883" s="8"/>
      <c r="F883" s="8"/>
    </row>
    <row r="884" ht="14.25" customHeight="1">
      <c r="B884" s="8"/>
      <c r="C884" s="8"/>
      <c r="D884" s="8"/>
      <c r="F884" s="8"/>
    </row>
    <row r="885" ht="14.25" customHeight="1">
      <c r="B885" s="8"/>
      <c r="C885" s="8"/>
      <c r="D885" s="8"/>
      <c r="F885" s="8"/>
    </row>
    <row r="886" ht="14.25" customHeight="1">
      <c r="B886" s="8"/>
      <c r="C886" s="8"/>
      <c r="D886" s="8"/>
      <c r="F886" s="8"/>
    </row>
    <row r="887" ht="14.25" customHeight="1">
      <c r="B887" s="8"/>
      <c r="C887" s="8"/>
      <c r="D887" s="8"/>
      <c r="F887" s="8"/>
    </row>
    <row r="888" ht="14.25" customHeight="1">
      <c r="B888" s="8"/>
      <c r="C888" s="8"/>
      <c r="D888" s="8"/>
      <c r="F888" s="8"/>
    </row>
    <row r="889" ht="14.25" customHeight="1">
      <c r="B889" s="8"/>
      <c r="C889" s="8"/>
      <c r="D889" s="8"/>
      <c r="F889" s="8"/>
    </row>
    <row r="890" ht="14.25" customHeight="1">
      <c r="B890" s="8"/>
      <c r="C890" s="8"/>
      <c r="D890" s="8"/>
      <c r="F890" s="8"/>
    </row>
    <row r="891" ht="14.25" customHeight="1">
      <c r="B891" s="8"/>
      <c r="C891" s="8"/>
      <c r="D891" s="8"/>
      <c r="F891" s="8"/>
    </row>
    <row r="892" ht="14.25" customHeight="1">
      <c r="B892" s="8"/>
      <c r="C892" s="8"/>
      <c r="D892" s="8"/>
      <c r="F892" s="8"/>
    </row>
    <row r="893" ht="14.25" customHeight="1">
      <c r="B893" s="8"/>
      <c r="C893" s="8"/>
      <c r="D893" s="8"/>
      <c r="F893" s="8"/>
    </row>
    <row r="894" ht="14.25" customHeight="1">
      <c r="B894" s="8"/>
      <c r="C894" s="8"/>
      <c r="D894" s="8"/>
      <c r="F894" s="8"/>
    </row>
    <row r="895" ht="14.25" customHeight="1">
      <c r="B895" s="8"/>
      <c r="C895" s="8"/>
      <c r="D895" s="8"/>
      <c r="F895" s="8"/>
    </row>
    <row r="896" ht="14.25" customHeight="1">
      <c r="B896" s="8"/>
      <c r="C896" s="8"/>
      <c r="D896" s="8"/>
      <c r="F896" s="8"/>
    </row>
    <row r="897" ht="14.25" customHeight="1">
      <c r="B897" s="8"/>
      <c r="C897" s="8"/>
      <c r="D897" s="8"/>
      <c r="F897" s="8"/>
    </row>
    <row r="898" ht="14.25" customHeight="1">
      <c r="B898" s="8"/>
      <c r="C898" s="8"/>
      <c r="D898" s="8"/>
      <c r="F898" s="8"/>
    </row>
    <row r="899" ht="14.25" customHeight="1">
      <c r="B899" s="8"/>
      <c r="C899" s="8"/>
      <c r="D899" s="8"/>
      <c r="F899" s="8"/>
    </row>
    <row r="900" ht="14.25" customHeight="1">
      <c r="B900" s="8"/>
      <c r="C900" s="8"/>
      <c r="D900" s="8"/>
      <c r="F900" s="8"/>
    </row>
    <row r="901" ht="14.25" customHeight="1">
      <c r="B901" s="8"/>
      <c r="C901" s="8"/>
      <c r="D901" s="8"/>
      <c r="F901" s="8"/>
    </row>
    <row r="902" ht="14.25" customHeight="1">
      <c r="B902" s="8"/>
      <c r="C902" s="8"/>
      <c r="D902" s="8"/>
      <c r="F902" s="8"/>
    </row>
    <row r="903" ht="14.25" customHeight="1">
      <c r="B903" s="8"/>
      <c r="C903" s="8"/>
      <c r="D903" s="8"/>
      <c r="F903" s="8"/>
    </row>
    <row r="904" ht="14.25" customHeight="1">
      <c r="B904" s="8"/>
      <c r="C904" s="8"/>
      <c r="D904" s="8"/>
      <c r="F904" s="8"/>
    </row>
    <row r="905" ht="14.25" customHeight="1">
      <c r="B905" s="8"/>
      <c r="C905" s="8"/>
      <c r="D905" s="8"/>
      <c r="F905" s="8"/>
    </row>
    <row r="906" ht="14.25" customHeight="1">
      <c r="B906" s="8"/>
      <c r="C906" s="8"/>
      <c r="D906" s="8"/>
      <c r="F906" s="8"/>
    </row>
    <row r="907" ht="14.25" customHeight="1">
      <c r="B907" s="8"/>
      <c r="C907" s="8"/>
      <c r="D907" s="8"/>
      <c r="F907" s="8"/>
    </row>
    <row r="908" ht="14.25" customHeight="1">
      <c r="B908" s="8"/>
      <c r="C908" s="8"/>
      <c r="D908" s="8"/>
      <c r="F908" s="8"/>
    </row>
    <row r="909" ht="14.25" customHeight="1">
      <c r="B909" s="8"/>
      <c r="C909" s="8"/>
      <c r="D909" s="8"/>
      <c r="F909" s="8"/>
    </row>
    <row r="910" ht="14.25" customHeight="1">
      <c r="B910" s="8"/>
      <c r="C910" s="8"/>
      <c r="D910" s="8"/>
      <c r="F910" s="8"/>
    </row>
    <row r="911" ht="14.25" customHeight="1">
      <c r="B911" s="8"/>
      <c r="C911" s="8"/>
      <c r="D911" s="8"/>
      <c r="F911" s="8"/>
    </row>
    <row r="912" ht="14.25" customHeight="1">
      <c r="B912" s="8"/>
      <c r="C912" s="8"/>
      <c r="D912" s="8"/>
      <c r="F912" s="8"/>
    </row>
    <row r="913" ht="14.25" customHeight="1">
      <c r="B913" s="8"/>
      <c r="C913" s="8"/>
      <c r="D913" s="8"/>
      <c r="F913" s="8"/>
    </row>
    <row r="914" ht="14.25" customHeight="1">
      <c r="B914" s="8"/>
      <c r="C914" s="8"/>
      <c r="D914" s="8"/>
      <c r="F914" s="8"/>
    </row>
    <row r="915" ht="14.25" customHeight="1">
      <c r="B915" s="8"/>
      <c r="C915" s="8"/>
      <c r="D915" s="8"/>
      <c r="F915" s="8"/>
    </row>
    <row r="916" ht="14.25" customHeight="1">
      <c r="B916" s="8"/>
      <c r="C916" s="8"/>
      <c r="D916" s="8"/>
      <c r="F916" s="8"/>
    </row>
    <row r="917" ht="14.25" customHeight="1">
      <c r="B917" s="8"/>
      <c r="C917" s="8"/>
      <c r="D917" s="8"/>
      <c r="F917" s="8"/>
    </row>
    <row r="918" ht="14.25" customHeight="1">
      <c r="B918" s="8"/>
      <c r="C918" s="8"/>
      <c r="D918" s="8"/>
      <c r="F918" s="8"/>
    </row>
    <row r="919" ht="14.25" customHeight="1">
      <c r="B919" s="8"/>
      <c r="C919" s="8"/>
      <c r="D919" s="8"/>
      <c r="F919" s="8"/>
    </row>
    <row r="920" ht="14.25" customHeight="1">
      <c r="B920" s="8"/>
      <c r="C920" s="8"/>
      <c r="D920" s="8"/>
      <c r="F920" s="8"/>
    </row>
    <row r="921" ht="14.25" customHeight="1">
      <c r="B921" s="8"/>
      <c r="C921" s="8"/>
      <c r="D921" s="8"/>
      <c r="F921" s="8"/>
    </row>
    <row r="922" ht="14.25" customHeight="1">
      <c r="B922" s="8"/>
      <c r="C922" s="8"/>
      <c r="D922" s="8"/>
      <c r="F922" s="8"/>
    </row>
    <row r="923" ht="14.25" customHeight="1">
      <c r="B923" s="8"/>
      <c r="C923" s="8"/>
      <c r="D923" s="8"/>
      <c r="F923" s="8"/>
    </row>
    <row r="924" ht="14.25" customHeight="1">
      <c r="B924" s="8"/>
      <c r="C924" s="8"/>
      <c r="D924" s="8"/>
      <c r="F924" s="8"/>
    </row>
    <row r="925" ht="14.25" customHeight="1">
      <c r="B925" s="8"/>
      <c r="C925" s="8"/>
      <c r="D925" s="8"/>
      <c r="F925" s="8"/>
    </row>
    <row r="926" ht="14.25" customHeight="1">
      <c r="B926" s="8"/>
      <c r="C926" s="8"/>
      <c r="D926" s="8"/>
      <c r="F926" s="8"/>
    </row>
    <row r="927" ht="14.25" customHeight="1">
      <c r="B927" s="8"/>
      <c r="C927" s="8"/>
      <c r="D927" s="8"/>
      <c r="F927" s="8"/>
    </row>
    <row r="928" ht="14.25" customHeight="1">
      <c r="B928" s="8"/>
      <c r="C928" s="8"/>
      <c r="D928" s="8"/>
      <c r="F928" s="8"/>
    </row>
    <row r="929" ht="14.25" customHeight="1">
      <c r="B929" s="8"/>
      <c r="C929" s="8"/>
      <c r="D929" s="8"/>
      <c r="F929" s="8"/>
    </row>
    <row r="930" ht="14.25" customHeight="1">
      <c r="B930" s="8"/>
      <c r="C930" s="8"/>
      <c r="D930" s="8"/>
      <c r="F930" s="8"/>
    </row>
    <row r="931" ht="14.25" customHeight="1">
      <c r="B931" s="8"/>
      <c r="C931" s="8"/>
      <c r="D931" s="8"/>
      <c r="F931" s="8"/>
    </row>
    <row r="932" ht="14.25" customHeight="1">
      <c r="B932" s="8"/>
      <c r="C932" s="8"/>
      <c r="D932" s="8"/>
      <c r="F932" s="8"/>
    </row>
    <row r="933" ht="14.25" customHeight="1">
      <c r="B933" s="8"/>
      <c r="C933" s="8"/>
      <c r="D933" s="8"/>
      <c r="F933" s="8"/>
    </row>
    <row r="934" ht="14.25" customHeight="1">
      <c r="B934" s="8"/>
      <c r="C934" s="8"/>
      <c r="D934" s="8"/>
      <c r="F934" s="8"/>
    </row>
    <row r="935" ht="14.25" customHeight="1">
      <c r="B935" s="8"/>
      <c r="C935" s="8"/>
      <c r="D935" s="8"/>
      <c r="F935" s="8"/>
    </row>
    <row r="936" ht="14.25" customHeight="1">
      <c r="B936" s="8"/>
      <c r="C936" s="8"/>
      <c r="D936" s="8"/>
      <c r="F936" s="8"/>
    </row>
    <row r="937" ht="14.25" customHeight="1">
      <c r="B937" s="8"/>
      <c r="C937" s="8"/>
      <c r="D937" s="8"/>
      <c r="F937" s="8"/>
    </row>
    <row r="938" ht="14.25" customHeight="1">
      <c r="B938" s="8"/>
      <c r="C938" s="8"/>
      <c r="D938" s="8"/>
      <c r="F938" s="8"/>
    </row>
    <row r="939" ht="14.25" customHeight="1">
      <c r="B939" s="8"/>
      <c r="C939" s="8"/>
      <c r="D939" s="8"/>
      <c r="F939" s="8"/>
    </row>
    <row r="940" ht="14.25" customHeight="1">
      <c r="B940" s="8"/>
      <c r="C940" s="8"/>
      <c r="D940" s="8"/>
      <c r="F940" s="8"/>
    </row>
    <row r="941" ht="14.25" customHeight="1">
      <c r="B941" s="8"/>
      <c r="C941" s="8"/>
      <c r="D941" s="8"/>
      <c r="F941" s="8"/>
    </row>
    <row r="942" ht="14.25" customHeight="1">
      <c r="B942" s="8"/>
      <c r="C942" s="8"/>
      <c r="D942" s="8"/>
      <c r="F942" s="8"/>
    </row>
    <row r="943" ht="14.25" customHeight="1">
      <c r="B943" s="8"/>
      <c r="C943" s="8"/>
      <c r="D943" s="8"/>
      <c r="F943" s="8"/>
    </row>
    <row r="944" ht="14.25" customHeight="1">
      <c r="B944" s="8"/>
      <c r="C944" s="8"/>
      <c r="D944" s="8"/>
      <c r="F944" s="8"/>
    </row>
    <row r="945" ht="14.25" customHeight="1">
      <c r="B945" s="8"/>
      <c r="C945" s="8"/>
      <c r="D945" s="8"/>
      <c r="F945" s="8"/>
    </row>
    <row r="946" ht="14.25" customHeight="1">
      <c r="B946" s="8"/>
      <c r="C946" s="8"/>
      <c r="D946" s="8"/>
      <c r="F946" s="8"/>
    </row>
    <row r="947" ht="14.25" customHeight="1">
      <c r="B947" s="8"/>
      <c r="C947" s="8"/>
      <c r="D947" s="8"/>
      <c r="F947" s="8"/>
    </row>
    <row r="948" ht="14.25" customHeight="1">
      <c r="B948" s="8"/>
      <c r="C948" s="8"/>
      <c r="D948" s="8"/>
      <c r="F948" s="8"/>
    </row>
    <row r="949" ht="14.25" customHeight="1">
      <c r="B949" s="8"/>
      <c r="C949" s="8"/>
      <c r="D949" s="8"/>
      <c r="F949" s="8"/>
    </row>
    <row r="950" ht="14.25" customHeight="1">
      <c r="B950" s="8"/>
      <c r="C950" s="8"/>
      <c r="D950" s="8"/>
      <c r="F950" s="8"/>
    </row>
    <row r="951" ht="14.25" customHeight="1">
      <c r="B951" s="8"/>
      <c r="C951" s="8"/>
      <c r="D951" s="8"/>
      <c r="F951" s="8"/>
    </row>
    <row r="952" ht="14.25" customHeight="1">
      <c r="B952" s="8"/>
      <c r="C952" s="8"/>
      <c r="D952" s="8"/>
      <c r="F952" s="8"/>
    </row>
    <row r="953" ht="14.25" customHeight="1">
      <c r="B953" s="8"/>
      <c r="C953" s="8"/>
      <c r="D953" s="8"/>
      <c r="F953" s="8"/>
    </row>
    <row r="954" ht="14.25" customHeight="1">
      <c r="B954" s="8"/>
      <c r="C954" s="8"/>
      <c r="D954" s="8"/>
      <c r="F954" s="8"/>
    </row>
    <row r="955" ht="14.25" customHeight="1">
      <c r="B955" s="8"/>
      <c r="C955" s="8"/>
      <c r="D955" s="8"/>
      <c r="F955" s="8"/>
    </row>
    <row r="956" ht="14.25" customHeight="1">
      <c r="B956" s="8"/>
      <c r="C956" s="8"/>
      <c r="D956" s="8"/>
      <c r="F956" s="8"/>
    </row>
    <row r="957" ht="14.25" customHeight="1">
      <c r="B957" s="8"/>
      <c r="C957" s="8"/>
      <c r="D957" s="8"/>
      <c r="F957" s="8"/>
    </row>
    <row r="958" ht="14.25" customHeight="1">
      <c r="B958" s="8"/>
      <c r="C958" s="8"/>
      <c r="D958" s="8"/>
      <c r="F958" s="8"/>
    </row>
    <row r="959" ht="14.25" customHeight="1">
      <c r="B959" s="8"/>
      <c r="C959" s="8"/>
      <c r="D959" s="8"/>
      <c r="F959" s="8"/>
    </row>
    <row r="960" ht="14.25" customHeight="1">
      <c r="B960" s="8"/>
      <c r="C960" s="8"/>
      <c r="D960" s="8"/>
      <c r="F960" s="8"/>
    </row>
    <row r="961" ht="14.25" customHeight="1">
      <c r="B961" s="8"/>
      <c r="C961" s="8"/>
      <c r="D961" s="8"/>
      <c r="F961" s="8"/>
    </row>
    <row r="962" ht="14.25" customHeight="1">
      <c r="B962" s="8"/>
      <c r="C962" s="8"/>
      <c r="D962" s="8"/>
      <c r="F962" s="8"/>
    </row>
    <row r="963" ht="14.25" customHeight="1">
      <c r="B963" s="8"/>
      <c r="C963" s="8"/>
      <c r="D963" s="8"/>
      <c r="F963" s="8"/>
    </row>
    <row r="964" ht="14.25" customHeight="1">
      <c r="B964" s="8"/>
      <c r="C964" s="8"/>
      <c r="D964" s="8"/>
      <c r="F964" s="8"/>
    </row>
    <row r="965" ht="14.25" customHeight="1">
      <c r="B965" s="8"/>
      <c r="C965" s="8"/>
      <c r="D965" s="8"/>
      <c r="F965" s="8"/>
    </row>
    <row r="966" ht="14.25" customHeight="1">
      <c r="B966" s="8"/>
      <c r="C966" s="8"/>
      <c r="D966" s="8"/>
      <c r="F966" s="8"/>
    </row>
    <row r="967" ht="14.25" customHeight="1">
      <c r="B967" s="8"/>
      <c r="C967" s="8"/>
      <c r="D967" s="8"/>
      <c r="F967" s="8"/>
    </row>
    <row r="968" ht="14.25" customHeight="1">
      <c r="B968" s="8"/>
      <c r="C968" s="8"/>
      <c r="D968" s="8"/>
      <c r="F968" s="8"/>
    </row>
    <row r="969" ht="14.25" customHeight="1">
      <c r="B969" s="8"/>
      <c r="C969" s="8"/>
      <c r="D969" s="8"/>
      <c r="F969" s="8"/>
    </row>
    <row r="970" ht="14.25" customHeight="1">
      <c r="B970" s="8"/>
      <c r="C970" s="8"/>
      <c r="D970" s="8"/>
      <c r="F970" s="8"/>
    </row>
    <row r="971" ht="14.25" customHeight="1">
      <c r="B971" s="8"/>
      <c r="C971" s="8"/>
      <c r="D971" s="8"/>
      <c r="F971" s="8"/>
    </row>
    <row r="972" ht="14.25" customHeight="1">
      <c r="B972" s="8"/>
      <c r="C972" s="8"/>
      <c r="D972" s="8"/>
      <c r="F972" s="8"/>
    </row>
    <row r="973" ht="14.25" customHeight="1">
      <c r="B973" s="8"/>
      <c r="C973" s="8"/>
      <c r="D973" s="8"/>
      <c r="F973" s="8"/>
    </row>
    <row r="974" ht="14.25" customHeight="1">
      <c r="B974" s="8"/>
      <c r="C974" s="8"/>
      <c r="D974" s="8"/>
      <c r="F974" s="8"/>
    </row>
    <row r="975" ht="14.25" customHeight="1">
      <c r="B975" s="8"/>
      <c r="C975" s="8"/>
      <c r="D975" s="8"/>
      <c r="F975" s="8"/>
    </row>
    <row r="976" ht="14.25" customHeight="1">
      <c r="B976" s="8"/>
      <c r="C976" s="8"/>
      <c r="D976" s="8"/>
      <c r="F976" s="8"/>
    </row>
    <row r="977" ht="14.25" customHeight="1">
      <c r="B977" s="8"/>
      <c r="C977" s="8"/>
      <c r="D977" s="8"/>
      <c r="F977" s="8"/>
    </row>
    <row r="978" ht="14.25" customHeight="1">
      <c r="B978" s="8"/>
      <c r="C978" s="8"/>
      <c r="D978" s="8"/>
      <c r="F978" s="8"/>
    </row>
    <row r="979" ht="14.25" customHeight="1">
      <c r="B979" s="8"/>
      <c r="C979" s="8"/>
      <c r="D979" s="8"/>
      <c r="F979" s="8"/>
    </row>
    <row r="980" ht="14.25" customHeight="1">
      <c r="B980" s="8"/>
      <c r="C980" s="8"/>
      <c r="D980" s="8"/>
      <c r="F980" s="8"/>
    </row>
    <row r="981" ht="14.25" customHeight="1">
      <c r="B981" s="8"/>
      <c r="C981" s="8"/>
      <c r="D981" s="8"/>
      <c r="F981" s="8"/>
    </row>
    <row r="982" ht="14.25" customHeight="1">
      <c r="B982" s="8"/>
      <c r="C982" s="8"/>
      <c r="D982" s="8"/>
      <c r="F982" s="8"/>
    </row>
    <row r="983" ht="14.25" customHeight="1">
      <c r="B983" s="8"/>
      <c r="C983" s="8"/>
      <c r="D983" s="8"/>
      <c r="F983" s="8"/>
    </row>
    <row r="984" ht="14.25" customHeight="1">
      <c r="B984" s="8"/>
      <c r="C984" s="8"/>
      <c r="D984" s="8"/>
      <c r="F984" s="8"/>
    </row>
    <row r="985" ht="14.25" customHeight="1">
      <c r="B985" s="8"/>
      <c r="C985" s="8"/>
      <c r="D985" s="8"/>
      <c r="F985" s="8"/>
    </row>
    <row r="986" ht="14.25" customHeight="1">
      <c r="B986" s="8"/>
      <c r="C986" s="8"/>
      <c r="D986" s="8"/>
      <c r="F986" s="8"/>
    </row>
    <row r="987" ht="14.25" customHeight="1">
      <c r="B987" s="8"/>
      <c r="C987" s="8"/>
      <c r="D987" s="8"/>
      <c r="F987" s="8"/>
    </row>
    <row r="988" ht="14.25" customHeight="1">
      <c r="B988" s="8"/>
      <c r="C988" s="8"/>
      <c r="D988" s="8"/>
      <c r="F988" s="8"/>
    </row>
    <row r="989" ht="14.25" customHeight="1">
      <c r="B989" s="8"/>
      <c r="C989" s="8"/>
      <c r="D989" s="8"/>
      <c r="F989" s="8"/>
    </row>
    <row r="990" ht="14.25" customHeight="1">
      <c r="B990" s="8"/>
      <c r="C990" s="8"/>
      <c r="D990" s="8"/>
      <c r="F990" s="8"/>
    </row>
    <row r="991" ht="14.25" customHeight="1">
      <c r="B991" s="8"/>
      <c r="C991" s="8"/>
      <c r="D991" s="8"/>
      <c r="F991" s="8"/>
    </row>
    <row r="992" ht="14.25" customHeight="1">
      <c r="B992" s="8"/>
      <c r="C992" s="8"/>
      <c r="D992" s="8"/>
      <c r="F992" s="8"/>
    </row>
    <row r="993" ht="14.25" customHeight="1">
      <c r="B993" s="8"/>
      <c r="C993" s="8"/>
      <c r="D993" s="8"/>
      <c r="F993" s="8"/>
    </row>
    <row r="994" ht="14.25" customHeight="1">
      <c r="B994" s="8"/>
      <c r="C994" s="8"/>
      <c r="D994" s="8"/>
      <c r="F994" s="8"/>
    </row>
    <row r="995" ht="14.25" customHeight="1">
      <c r="B995" s="8"/>
      <c r="C995" s="8"/>
      <c r="D995" s="8"/>
      <c r="F995" s="8"/>
    </row>
    <row r="996" ht="14.25" customHeight="1">
      <c r="B996" s="8"/>
      <c r="C996" s="8"/>
      <c r="D996" s="8"/>
      <c r="F996" s="8"/>
    </row>
    <row r="997" ht="14.25" customHeight="1">
      <c r="B997" s="8"/>
      <c r="C997" s="8"/>
      <c r="D997" s="8"/>
      <c r="F997" s="8"/>
    </row>
    <row r="998" ht="14.25" customHeight="1">
      <c r="B998" s="8"/>
      <c r="C998" s="8"/>
      <c r="D998" s="8"/>
      <c r="F998" s="8"/>
    </row>
    <row r="999" ht="14.25" customHeight="1">
      <c r="B999" s="8"/>
      <c r="C999" s="8"/>
      <c r="D999" s="8"/>
      <c r="F999" s="8"/>
    </row>
    <row r="1000" ht="14.25" customHeight="1">
      <c r="B1000" s="8"/>
      <c r="C1000" s="8"/>
      <c r="D1000" s="8"/>
      <c r="F1000" s="8"/>
    </row>
  </sheetData>
  <dataValidations>
    <dataValidation type="list" allowBlank="1" sqref="C2:C1000">
      <formula1>MATERIAL_MASTER!$A$2:$A$1000</formula1>
    </dataValidation>
    <dataValidation type="list" allowBlank="1" sqref="D2:D1000">
      <formula1>MATERIAL_VARIANTS!$A$2:$A$1000</formula1>
    </dataValidation>
    <dataValidation type="list" allowBlank="1" sqref="F2:F1000">
      <formula1>DICTIONARIES!$C$2:$C$15</formula1>
    </dataValidation>
    <dataValidation type="list" allowBlank="1" sqref="B2:B1000">
      <formula1>OBJECT_CONDITIONS!$A$2:$A$1000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60.0"/>
    <col customWidth="1" min="4" max="4" width="14.0"/>
    <col customWidth="1" min="5" max="6" width="16.0"/>
    <col customWidth="1" min="7" max="7" width="14.0"/>
    <col customWidth="1" min="8" max="8" width="17.0"/>
    <col customWidth="1" min="9" max="10" width="20.0"/>
    <col customWidth="1" min="11" max="11" width="55.0"/>
    <col customWidth="1" min="12" max="26" width="8.71"/>
  </cols>
  <sheetData>
    <row r="1" ht="14.25" customHeight="1">
      <c r="A1" s="9" t="s">
        <v>883</v>
      </c>
      <c r="B1" s="9" t="s">
        <v>884</v>
      </c>
      <c r="C1" s="9" t="s">
        <v>885</v>
      </c>
      <c r="D1" s="9" t="s">
        <v>886</v>
      </c>
      <c r="E1" s="9" t="s">
        <v>887</v>
      </c>
      <c r="F1" s="9" t="s">
        <v>888</v>
      </c>
      <c r="G1" s="9" t="s">
        <v>889</v>
      </c>
      <c r="H1" s="9" t="s">
        <v>890</v>
      </c>
      <c r="I1" s="9" t="s">
        <v>891</v>
      </c>
      <c r="J1" s="9" t="s">
        <v>892</v>
      </c>
      <c r="K1" s="9" t="s">
        <v>116</v>
      </c>
    </row>
    <row r="2" ht="14.25" customHeight="1">
      <c r="A2" s="11" t="s">
        <v>267</v>
      </c>
      <c r="B2" s="11" t="s">
        <v>267</v>
      </c>
      <c r="C2" s="11" t="s">
        <v>893</v>
      </c>
      <c r="D2" s="11">
        <v>1.0</v>
      </c>
      <c r="E2" s="11">
        <v>0.95</v>
      </c>
      <c r="F2" s="11">
        <v>1.0</v>
      </c>
      <c r="G2" s="11">
        <v>1.0</v>
      </c>
      <c r="H2" s="11">
        <v>0.99</v>
      </c>
      <c r="I2" s="11" t="s">
        <v>267</v>
      </c>
      <c r="J2" s="11" t="s">
        <v>268</v>
      </c>
      <c r="K2" s="11" t="s">
        <v>894</v>
      </c>
    </row>
    <row r="3" ht="14.25" customHeight="1">
      <c r="A3" s="11" t="s">
        <v>243</v>
      </c>
      <c r="B3" s="11" t="s">
        <v>243</v>
      </c>
      <c r="C3" s="11" t="s">
        <v>895</v>
      </c>
      <c r="D3" s="11">
        <v>1.0</v>
      </c>
      <c r="E3" s="11">
        <v>1.0</v>
      </c>
      <c r="F3" s="11">
        <v>1.0</v>
      </c>
      <c r="G3" s="11">
        <v>1.0</v>
      </c>
      <c r="H3" s="11">
        <v>1.0</v>
      </c>
      <c r="I3" s="11" t="s">
        <v>243</v>
      </c>
      <c r="J3" s="11" t="s">
        <v>242</v>
      </c>
      <c r="K3" s="11" t="s">
        <v>896</v>
      </c>
    </row>
    <row r="4" ht="14.25" customHeight="1">
      <c r="A4" s="11" t="s">
        <v>346</v>
      </c>
      <c r="B4" s="11" t="s">
        <v>346</v>
      </c>
      <c r="C4" s="11" t="s">
        <v>897</v>
      </c>
      <c r="D4" s="11">
        <v>1.08</v>
      </c>
      <c r="E4" s="11">
        <v>1.12</v>
      </c>
      <c r="F4" s="11">
        <v>1.03</v>
      </c>
      <c r="G4" s="11">
        <v>1.0</v>
      </c>
      <c r="H4" s="11">
        <v>1.02</v>
      </c>
      <c r="I4" s="11" t="s">
        <v>346</v>
      </c>
      <c r="J4" s="11" t="s">
        <v>242</v>
      </c>
      <c r="K4" s="11" t="s">
        <v>898</v>
      </c>
    </row>
    <row r="5" ht="14.2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</row>
    <row r="6" ht="14.2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</row>
    <row r="7" ht="14.2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</row>
    <row r="8" ht="14.2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</row>
    <row r="9" ht="14.2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 ht="14.2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ht="14.2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 ht="14.2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 ht="14.2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ht="14.2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ht="14.2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ht="14.2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ht="14.2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ht="14.2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 ht="14.2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ht="14.2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 ht="14.2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ht="14.2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ht="14.2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ht="14.2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ht="14.2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ht="14.2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ht="14.2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ht="14.2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K$150"/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8.0"/>
    <col customWidth="1" min="3" max="3" width="22.0"/>
    <col customWidth="1" min="4" max="4" width="20.0"/>
    <col customWidth="1" min="5" max="5" width="18.0"/>
    <col customWidth="1" min="6" max="8" width="16.0"/>
    <col customWidth="1" min="9" max="9" width="18.0"/>
    <col customWidth="1" min="10" max="10" width="30.0"/>
    <col customWidth="1" min="11" max="11" width="14.0"/>
    <col customWidth="1" min="12" max="12" width="36.0"/>
    <col customWidth="1" min="13" max="26" width="8.71"/>
  </cols>
  <sheetData>
    <row r="1" ht="14.25" customHeight="1">
      <c r="A1" s="9" t="s">
        <v>883</v>
      </c>
      <c r="B1" s="9" t="s">
        <v>899</v>
      </c>
      <c r="C1" s="9" t="s">
        <v>900</v>
      </c>
      <c r="D1" s="9" t="s">
        <v>901</v>
      </c>
      <c r="E1" s="9" t="s">
        <v>902</v>
      </c>
      <c r="F1" s="9" t="s">
        <v>903</v>
      </c>
      <c r="G1" s="9" t="s">
        <v>904</v>
      </c>
      <c r="H1" s="9" t="s">
        <v>905</v>
      </c>
      <c r="I1" s="9" t="s">
        <v>906</v>
      </c>
      <c r="J1" s="9" t="s">
        <v>907</v>
      </c>
      <c r="K1" s="9" t="s">
        <v>236</v>
      </c>
      <c r="L1" s="9" t="s">
        <v>116</v>
      </c>
    </row>
    <row r="2" ht="14.25" customHeight="1">
      <c r="A2" s="4" t="s">
        <v>267</v>
      </c>
      <c r="B2" s="28">
        <v>150000.0</v>
      </c>
      <c r="C2" s="28">
        <v>30000.0</v>
      </c>
      <c r="D2" s="28">
        <v>12000.0</v>
      </c>
      <c r="E2" s="28">
        <v>8000.0</v>
      </c>
      <c r="F2" s="30">
        <v>1.05</v>
      </c>
      <c r="G2" s="30">
        <v>0.03</v>
      </c>
      <c r="H2" s="4">
        <v>7.0</v>
      </c>
      <c r="I2" s="4">
        <v>6.0</v>
      </c>
      <c r="J2" s="4" t="s">
        <v>908</v>
      </c>
      <c r="K2" s="4" t="s">
        <v>279</v>
      </c>
      <c r="L2" s="4" t="s">
        <v>909</v>
      </c>
    </row>
    <row r="3" ht="14.25" customHeight="1">
      <c r="A3" s="4" t="s">
        <v>243</v>
      </c>
      <c r="B3" s="28">
        <v>250000.0</v>
      </c>
      <c r="C3" s="28">
        <v>40000.0</v>
      </c>
      <c r="D3" s="28">
        <v>15000.0</v>
      </c>
      <c r="E3" s="28">
        <v>10000.0</v>
      </c>
      <c r="F3" s="30">
        <v>1.0</v>
      </c>
      <c r="G3" s="30">
        <v>0.05</v>
      </c>
      <c r="H3" s="4">
        <v>10.0</v>
      </c>
      <c r="I3" s="4">
        <v>12.0</v>
      </c>
      <c r="J3" s="4" t="s">
        <v>910</v>
      </c>
      <c r="K3" s="4" t="s">
        <v>318</v>
      </c>
      <c r="L3" s="4" t="s">
        <v>911</v>
      </c>
    </row>
    <row r="4" ht="14.25" customHeight="1">
      <c r="A4" s="4" t="s">
        <v>346</v>
      </c>
      <c r="B4" s="28">
        <v>400000.0</v>
      </c>
      <c r="C4" s="28">
        <v>55000.0</v>
      </c>
      <c r="D4" s="28">
        <v>18000.0</v>
      </c>
      <c r="E4" s="28">
        <v>12000.0</v>
      </c>
      <c r="F4" s="30">
        <v>1.0</v>
      </c>
      <c r="G4" s="30">
        <v>0.07</v>
      </c>
      <c r="H4" s="4">
        <v>14.0</v>
      </c>
      <c r="I4" s="4">
        <v>24.0</v>
      </c>
      <c r="J4" s="4" t="s">
        <v>912</v>
      </c>
      <c r="K4" s="4" t="s">
        <v>358</v>
      </c>
      <c r="L4" s="4" t="s">
        <v>913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L$4"/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8.0"/>
    <col customWidth="1" min="3" max="4" width="12.0"/>
    <col customWidth="1" min="5" max="6" width="20.0"/>
    <col customWidth="1" min="7" max="7" width="28.0"/>
    <col customWidth="1" min="8" max="8" width="20.0"/>
    <col customWidth="1" min="9" max="9" width="14.0"/>
    <col customWidth="1" min="10" max="10" width="45.0"/>
    <col customWidth="1" min="11" max="26" width="8.71"/>
  </cols>
  <sheetData>
    <row r="1" ht="14.25" customHeight="1">
      <c r="A1" s="9" t="s">
        <v>424</v>
      </c>
      <c r="B1" s="9" t="s">
        <v>425</v>
      </c>
      <c r="C1" s="9" t="s">
        <v>883</v>
      </c>
      <c r="D1" s="9" t="s">
        <v>914</v>
      </c>
      <c r="E1" s="9" t="s">
        <v>915</v>
      </c>
      <c r="F1" s="9" t="s">
        <v>916</v>
      </c>
      <c r="G1" s="9" t="s">
        <v>917</v>
      </c>
      <c r="H1" s="9" t="s">
        <v>918</v>
      </c>
      <c r="I1" s="9" t="s">
        <v>919</v>
      </c>
      <c r="J1" s="9" t="s">
        <v>116</v>
      </c>
    </row>
    <row r="2" ht="14.25" customHeight="1">
      <c r="A2" s="11" t="s">
        <v>444</v>
      </c>
      <c r="B2" s="11" t="s">
        <v>445</v>
      </c>
      <c r="C2" s="11" t="s">
        <v>267</v>
      </c>
      <c r="D2" s="11" t="s">
        <v>245</v>
      </c>
      <c r="E2" s="11" t="s">
        <v>323</v>
      </c>
      <c r="F2" s="11"/>
      <c r="G2" s="11" t="s">
        <v>446</v>
      </c>
      <c r="H2" s="11" t="s">
        <v>268</v>
      </c>
      <c r="I2" s="11" t="s">
        <v>277</v>
      </c>
      <c r="J2" s="11" t="s">
        <v>920</v>
      </c>
    </row>
    <row r="3" ht="14.25" customHeight="1">
      <c r="A3" s="11" t="s">
        <v>444</v>
      </c>
      <c r="B3" s="11" t="s">
        <v>445</v>
      </c>
      <c r="C3" s="11" t="s">
        <v>243</v>
      </c>
      <c r="D3" s="11" t="s">
        <v>245</v>
      </c>
      <c r="E3" s="11" t="s">
        <v>243</v>
      </c>
      <c r="F3" s="11"/>
      <c r="G3" s="11" t="s">
        <v>446</v>
      </c>
      <c r="H3" s="11" t="s">
        <v>242</v>
      </c>
      <c r="I3" s="11" t="s">
        <v>316</v>
      </c>
      <c r="J3" s="11"/>
    </row>
    <row r="4" ht="14.25" customHeight="1">
      <c r="A4" s="11" t="s">
        <v>444</v>
      </c>
      <c r="B4" s="11" t="s">
        <v>445</v>
      </c>
      <c r="C4" s="11" t="s">
        <v>346</v>
      </c>
      <c r="D4" s="11" t="s">
        <v>245</v>
      </c>
      <c r="E4" s="11" t="s">
        <v>284</v>
      </c>
      <c r="F4" s="11" t="s">
        <v>921</v>
      </c>
      <c r="G4" s="11" t="s">
        <v>922</v>
      </c>
      <c r="H4" s="11" t="s">
        <v>242</v>
      </c>
      <c r="I4" s="11" t="s">
        <v>356</v>
      </c>
      <c r="J4" s="11" t="s">
        <v>923</v>
      </c>
    </row>
    <row r="5" ht="14.25" customHeight="1">
      <c r="A5" s="11" t="s">
        <v>451</v>
      </c>
      <c r="B5" s="11" t="s">
        <v>452</v>
      </c>
      <c r="C5" s="11" t="s">
        <v>267</v>
      </c>
      <c r="D5" s="11" t="s">
        <v>245</v>
      </c>
      <c r="E5" s="11" t="s">
        <v>243</v>
      </c>
      <c r="F5" s="11"/>
      <c r="G5" s="11" t="s">
        <v>453</v>
      </c>
      <c r="H5" s="11" t="s">
        <v>268</v>
      </c>
      <c r="I5" s="11" t="s">
        <v>277</v>
      </c>
      <c r="J5" s="11"/>
    </row>
    <row r="6" ht="14.25" customHeight="1">
      <c r="A6" s="11" t="s">
        <v>451</v>
      </c>
      <c r="B6" s="11" t="s">
        <v>452</v>
      </c>
      <c r="C6" s="11" t="s">
        <v>243</v>
      </c>
      <c r="D6" s="11" t="s">
        <v>245</v>
      </c>
      <c r="E6" s="11" t="s">
        <v>243</v>
      </c>
      <c r="F6" s="11"/>
      <c r="G6" s="11" t="s">
        <v>453</v>
      </c>
      <c r="H6" s="11" t="s">
        <v>242</v>
      </c>
      <c r="I6" s="11" t="s">
        <v>316</v>
      </c>
      <c r="J6" s="11"/>
    </row>
    <row r="7" ht="14.25" customHeight="1">
      <c r="A7" s="11" t="s">
        <v>451</v>
      </c>
      <c r="B7" s="11" t="s">
        <v>452</v>
      </c>
      <c r="C7" s="11" t="s">
        <v>346</v>
      </c>
      <c r="D7" s="11" t="s">
        <v>245</v>
      </c>
      <c r="E7" s="11" t="s">
        <v>284</v>
      </c>
      <c r="F7" s="11" t="s">
        <v>924</v>
      </c>
      <c r="G7" s="11" t="s">
        <v>925</v>
      </c>
      <c r="H7" s="11" t="s">
        <v>242</v>
      </c>
      <c r="I7" s="11" t="s">
        <v>356</v>
      </c>
      <c r="J7" s="11"/>
    </row>
    <row r="8" ht="14.25" customHeight="1">
      <c r="A8" s="11" t="s">
        <v>462</v>
      </c>
      <c r="B8" s="11" t="s">
        <v>463</v>
      </c>
      <c r="C8" s="11" t="s">
        <v>267</v>
      </c>
      <c r="D8" s="11" t="s">
        <v>245</v>
      </c>
      <c r="E8" s="11" t="s">
        <v>243</v>
      </c>
      <c r="F8" s="11"/>
      <c r="G8" s="11" t="s">
        <v>464</v>
      </c>
      <c r="H8" s="11" t="s">
        <v>268</v>
      </c>
      <c r="I8" s="11" t="s">
        <v>277</v>
      </c>
      <c r="J8" s="11"/>
    </row>
    <row r="9" ht="14.25" customHeight="1">
      <c r="A9" s="11" t="s">
        <v>462</v>
      </c>
      <c r="B9" s="11" t="s">
        <v>463</v>
      </c>
      <c r="C9" s="11" t="s">
        <v>243</v>
      </c>
      <c r="D9" s="11" t="s">
        <v>245</v>
      </c>
      <c r="E9" s="11" t="s">
        <v>243</v>
      </c>
      <c r="F9" s="11"/>
      <c r="G9" s="11" t="s">
        <v>464</v>
      </c>
      <c r="H9" s="11" t="s">
        <v>242</v>
      </c>
      <c r="I9" s="11" t="s">
        <v>316</v>
      </c>
      <c r="J9" s="11"/>
    </row>
    <row r="10" ht="14.25" customHeight="1">
      <c r="A10" s="11" t="s">
        <v>462</v>
      </c>
      <c r="B10" s="11" t="s">
        <v>463</v>
      </c>
      <c r="C10" s="11" t="s">
        <v>346</v>
      </c>
      <c r="D10" s="11" t="s">
        <v>245</v>
      </c>
      <c r="E10" s="11" t="s">
        <v>243</v>
      </c>
      <c r="F10" s="11" t="s">
        <v>926</v>
      </c>
      <c r="G10" s="11" t="s">
        <v>927</v>
      </c>
      <c r="H10" s="11" t="s">
        <v>242</v>
      </c>
      <c r="I10" s="11" t="s">
        <v>356</v>
      </c>
      <c r="J10" s="11" t="s">
        <v>928</v>
      </c>
    </row>
    <row r="11" ht="14.2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ht="14.2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ht="14.2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ht="14.2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ht="14.2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 ht="14.2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ht="14.2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 ht="14.2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ht="14.2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 ht="14.2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ht="14.2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 ht="14.2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ht="14.2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 ht="14.2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 ht="14.2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 ht="14.2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ht="14.2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ht="14.2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 ht="14.25" customHeight="1">
      <c r="C151" s="8"/>
      <c r="D151" s="8"/>
      <c r="E151" s="8"/>
      <c r="H151" s="8"/>
    </row>
    <row r="152" ht="14.25" customHeight="1">
      <c r="C152" s="8"/>
      <c r="D152" s="8"/>
      <c r="E152" s="8"/>
      <c r="H152" s="8"/>
    </row>
    <row r="153" ht="14.25" customHeight="1">
      <c r="C153" s="8"/>
      <c r="D153" s="8"/>
      <c r="E153" s="8"/>
      <c r="H153" s="8"/>
    </row>
    <row r="154" ht="14.25" customHeight="1">
      <c r="C154" s="8"/>
      <c r="D154" s="8"/>
      <c r="E154" s="8"/>
      <c r="H154" s="8"/>
    </row>
    <row r="155" ht="14.25" customHeight="1">
      <c r="C155" s="8"/>
      <c r="D155" s="8"/>
      <c r="E155" s="8"/>
      <c r="H155" s="8"/>
    </row>
    <row r="156" ht="14.25" customHeight="1">
      <c r="C156" s="8"/>
      <c r="D156" s="8"/>
      <c r="E156" s="8"/>
      <c r="H156" s="8"/>
    </row>
    <row r="157" ht="14.25" customHeight="1">
      <c r="C157" s="8"/>
      <c r="D157" s="8"/>
      <c r="E157" s="8"/>
      <c r="H157" s="8"/>
    </row>
    <row r="158" ht="14.25" customHeight="1">
      <c r="C158" s="8"/>
      <c r="D158" s="8"/>
      <c r="E158" s="8"/>
      <c r="H158" s="8"/>
    </row>
    <row r="159" ht="14.25" customHeight="1">
      <c r="C159" s="8"/>
      <c r="D159" s="8"/>
      <c r="E159" s="8"/>
      <c r="H159" s="8"/>
    </row>
    <row r="160" ht="14.25" customHeight="1">
      <c r="C160" s="8"/>
      <c r="D160" s="8"/>
      <c r="E160" s="8"/>
      <c r="H160" s="8"/>
    </row>
    <row r="161" ht="14.25" customHeight="1">
      <c r="C161" s="8"/>
      <c r="D161" s="8"/>
      <c r="E161" s="8"/>
      <c r="H161" s="8"/>
    </row>
    <row r="162" ht="14.25" customHeight="1">
      <c r="C162" s="8"/>
      <c r="D162" s="8"/>
      <c r="E162" s="8"/>
      <c r="H162" s="8"/>
    </row>
    <row r="163" ht="14.25" customHeight="1">
      <c r="C163" s="8"/>
      <c r="D163" s="8"/>
      <c r="E163" s="8"/>
      <c r="H163" s="8"/>
    </row>
    <row r="164" ht="14.25" customHeight="1">
      <c r="C164" s="8"/>
      <c r="D164" s="8"/>
      <c r="E164" s="8"/>
      <c r="H164" s="8"/>
    </row>
    <row r="165" ht="14.25" customHeight="1">
      <c r="C165" s="8"/>
      <c r="D165" s="8"/>
      <c r="E165" s="8"/>
      <c r="H165" s="8"/>
    </row>
    <row r="166" ht="14.25" customHeight="1">
      <c r="C166" s="8"/>
      <c r="D166" s="8"/>
      <c r="E166" s="8"/>
      <c r="H166" s="8"/>
    </row>
    <row r="167" ht="14.25" customHeight="1">
      <c r="C167" s="8"/>
      <c r="D167" s="8"/>
      <c r="E167" s="8"/>
      <c r="H167" s="8"/>
    </row>
    <row r="168" ht="14.25" customHeight="1">
      <c r="C168" s="8"/>
      <c r="D168" s="8"/>
      <c r="E168" s="8"/>
      <c r="H168" s="8"/>
    </row>
    <row r="169" ht="14.25" customHeight="1">
      <c r="C169" s="8"/>
      <c r="D169" s="8"/>
      <c r="E169" s="8"/>
      <c r="H169" s="8"/>
    </row>
    <row r="170" ht="14.25" customHeight="1">
      <c r="C170" s="8"/>
      <c r="D170" s="8"/>
      <c r="E170" s="8"/>
      <c r="H170" s="8"/>
    </row>
    <row r="171" ht="14.25" customHeight="1">
      <c r="C171" s="8"/>
      <c r="D171" s="8"/>
      <c r="E171" s="8"/>
      <c r="H171" s="8"/>
    </row>
    <row r="172" ht="14.25" customHeight="1">
      <c r="C172" s="8"/>
      <c r="D172" s="8"/>
      <c r="E172" s="8"/>
      <c r="H172" s="8"/>
    </row>
    <row r="173" ht="14.25" customHeight="1">
      <c r="C173" s="8"/>
      <c r="D173" s="8"/>
      <c r="E173" s="8"/>
      <c r="H173" s="8"/>
    </row>
    <row r="174" ht="14.25" customHeight="1">
      <c r="C174" s="8"/>
      <c r="D174" s="8"/>
      <c r="E174" s="8"/>
      <c r="H174" s="8"/>
    </row>
    <row r="175" ht="14.25" customHeight="1">
      <c r="C175" s="8"/>
      <c r="D175" s="8"/>
      <c r="E175" s="8"/>
      <c r="H175" s="8"/>
    </row>
    <row r="176" ht="14.25" customHeight="1">
      <c r="C176" s="8"/>
      <c r="D176" s="8"/>
      <c r="E176" s="8"/>
      <c r="H176" s="8"/>
    </row>
    <row r="177" ht="14.25" customHeight="1">
      <c r="C177" s="8"/>
      <c r="D177" s="8"/>
      <c r="E177" s="8"/>
      <c r="H177" s="8"/>
    </row>
    <row r="178" ht="14.25" customHeight="1">
      <c r="C178" s="8"/>
      <c r="D178" s="8"/>
      <c r="E178" s="8"/>
      <c r="H178" s="8"/>
    </row>
    <row r="179" ht="14.25" customHeight="1">
      <c r="C179" s="8"/>
      <c r="D179" s="8"/>
      <c r="E179" s="8"/>
      <c r="H179" s="8"/>
    </row>
    <row r="180" ht="14.25" customHeight="1">
      <c r="C180" s="8"/>
      <c r="D180" s="8"/>
      <c r="E180" s="8"/>
      <c r="H180" s="8"/>
    </row>
    <row r="181" ht="14.25" customHeight="1">
      <c r="C181" s="8"/>
      <c r="D181" s="8"/>
      <c r="E181" s="8"/>
      <c r="H181" s="8"/>
    </row>
    <row r="182" ht="14.25" customHeight="1">
      <c r="C182" s="8"/>
      <c r="D182" s="8"/>
      <c r="E182" s="8"/>
      <c r="H182" s="8"/>
    </row>
    <row r="183" ht="14.25" customHeight="1">
      <c r="C183" s="8"/>
      <c r="D183" s="8"/>
      <c r="E183" s="8"/>
      <c r="H183" s="8"/>
    </row>
    <row r="184" ht="14.25" customHeight="1">
      <c r="C184" s="8"/>
      <c r="D184" s="8"/>
      <c r="E184" s="8"/>
      <c r="H184" s="8"/>
    </row>
    <row r="185" ht="14.25" customHeight="1">
      <c r="C185" s="8"/>
      <c r="D185" s="8"/>
      <c r="E185" s="8"/>
      <c r="H185" s="8"/>
    </row>
    <row r="186" ht="14.25" customHeight="1">
      <c r="C186" s="8"/>
      <c r="D186" s="8"/>
      <c r="E186" s="8"/>
      <c r="H186" s="8"/>
    </row>
    <row r="187" ht="14.25" customHeight="1">
      <c r="C187" s="8"/>
      <c r="D187" s="8"/>
      <c r="E187" s="8"/>
      <c r="H187" s="8"/>
    </row>
    <row r="188" ht="14.25" customHeight="1">
      <c r="C188" s="8"/>
      <c r="D188" s="8"/>
      <c r="E188" s="8"/>
      <c r="H188" s="8"/>
    </row>
    <row r="189" ht="14.25" customHeight="1">
      <c r="C189" s="8"/>
      <c r="D189" s="8"/>
      <c r="E189" s="8"/>
      <c r="H189" s="8"/>
    </row>
    <row r="190" ht="14.25" customHeight="1">
      <c r="C190" s="8"/>
      <c r="D190" s="8"/>
      <c r="E190" s="8"/>
      <c r="H190" s="8"/>
    </row>
    <row r="191" ht="14.25" customHeight="1">
      <c r="C191" s="8"/>
      <c r="D191" s="8"/>
      <c r="E191" s="8"/>
      <c r="H191" s="8"/>
    </row>
    <row r="192" ht="14.25" customHeight="1">
      <c r="C192" s="8"/>
      <c r="D192" s="8"/>
      <c r="E192" s="8"/>
      <c r="H192" s="8"/>
    </row>
    <row r="193" ht="14.25" customHeight="1">
      <c r="C193" s="8"/>
      <c r="D193" s="8"/>
      <c r="E193" s="8"/>
      <c r="H193" s="8"/>
    </row>
    <row r="194" ht="14.25" customHeight="1">
      <c r="C194" s="8"/>
      <c r="D194" s="8"/>
      <c r="E194" s="8"/>
      <c r="H194" s="8"/>
    </row>
    <row r="195" ht="14.25" customHeight="1">
      <c r="C195" s="8"/>
      <c r="D195" s="8"/>
      <c r="E195" s="8"/>
      <c r="H195" s="8"/>
    </row>
    <row r="196" ht="14.25" customHeight="1">
      <c r="C196" s="8"/>
      <c r="D196" s="8"/>
      <c r="E196" s="8"/>
      <c r="H196" s="8"/>
    </row>
    <row r="197" ht="14.25" customHeight="1">
      <c r="C197" s="8"/>
      <c r="D197" s="8"/>
      <c r="E197" s="8"/>
      <c r="H197" s="8"/>
    </row>
    <row r="198" ht="14.25" customHeight="1">
      <c r="C198" s="8"/>
      <c r="D198" s="8"/>
      <c r="E198" s="8"/>
      <c r="H198" s="8"/>
    </row>
    <row r="199" ht="14.25" customHeight="1">
      <c r="C199" s="8"/>
      <c r="D199" s="8"/>
      <c r="E199" s="8"/>
      <c r="H199" s="8"/>
    </row>
    <row r="200" ht="14.25" customHeight="1">
      <c r="C200" s="8"/>
      <c r="D200" s="8"/>
      <c r="E200" s="8"/>
      <c r="H200" s="8"/>
    </row>
    <row r="201" ht="14.25" customHeight="1">
      <c r="C201" s="8"/>
      <c r="D201" s="8"/>
      <c r="E201" s="8"/>
      <c r="H201" s="8"/>
    </row>
    <row r="202" ht="14.25" customHeight="1">
      <c r="C202" s="8"/>
      <c r="D202" s="8"/>
      <c r="E202" s="8"/>
      <c r="H202" s="8"/>
    </row>
    <row r="203" ht="14.25" customHeight="1">
      <c r="C203" s="8"/>
      <c r="D203" s="8"/>
      <c r="E203" s="8"/>
      <c r="H203" s="8"/>
    </row>
    <row r="204" ht="14.25" customHeight="1">
      <c r="C204" s="8"/>
      <c r="D204" s="8"/>
      <c r="E204" s="8"/>
      <c r="H204" s="8"/>
    </row>
    <row r="205" ht="14.25" customHeight="1">
      <c r="C205" s="8"/>
      <c r="D205" s="8"/>
      <c r="E205" s="8"/>
      <c r="H205" s="8"/>
    </row>
    <row r="206" ht="14.25" customHeight="1">
      <c r="C206" s="8"/>
      <c r="D206" s="8"/>
      <c r="E206" s="8"/>
      <c r="H206" s="8"/>
    </row>
    <row r="207" ht="14.25" customHeight="1">
      <c r="C207" s="8"/>
      <c r="D207" s="8"/>
      <c r="E207" s="8"/>
      <c r="H207" s="8"/>
    </row>
    <row r="208" ht="14.25" customHeight="1">
      <c r="C208" s="8"/>
      <c r="D208" s="8"/>
      <c r="E208" s="8"/>
      <c r="H208" s="8"/>
    </row>
    <row r="209" ht="14.25" customHeight="1">
      <c r="C209" s="8"/>
      <c r="D209" s="8"/>
      <c r="E209" s="8"/>
      <c r="H209" s="8"/>
    </row>
    <row r="210" ht="14.25" customHeight="1">
      <c r="C210" s="8"/>
      <c r="D210" s="8"/>
      <c r="E210" s="8"/>
      <c r="H210" s="8"/>
    </row>
    <row r="211" ht="14.25" customHeight="1">
      <c r="C211" s="8"/>
      <c r="D211" s="8"/>
      <c r="E211" s="8"/>
      <c r="H211" s="8"/>
    </row>
    <row r="212" ht="14.25" customHeight="1">
      <c r="C212" s="8"/>
      <c r="D212" s="8"/>
      <c r="E212" s="8"/>
      <c r="H212" s="8"/>
    </row>
    <row r="213" ht="14.25" customHeight="1">
      <c r="C213" s="8"/>
      <c r="D213" s="8"/>
      <c r="E213" s="8"/>
      <c r="H213" s="8"/>
    </row>
    <row r="214" ht="14.25" customHeight="1">
      <c r="C214" s="8"/>
      <c r="D214" s="8"/>
      <c r="E214" s="8"/>
      <c r="H214" s="8"/>
    </row>
    <row r="215" ht="14.25" customHeight="1">
      <c r="C215" s="8"/>
      <c r="D215" s="8"/>
      <c r="E215" s="8"/>
      <c r="H215" s="8"/>
    </row>
    <row r="216" ht="14.25" customHeight="1">
      <c r="C216" s="8"/>
      <c r="D216" s="8"/>
      <c r="E216" s="8"/>
      <c r="H216" s="8"/>
    </row>
    <row r="217" ht="14.25" customHeight="1">
      <c r="C217" s="8"/>
      <c r="D217" s="8"/>
      <c r="E217" s="8"/>
      <c r="H217" s="8"/>
    </row>
    <row r="218" ht="14.25" customHeight="1">
      <c r="C218" s="8"/>
      <c r="D218" s="8"/>
      <c r="E218" s="8"/>
      <c r="H218" s="8"/>
    </row>
    <row r="219" ht="14.25" customHeight="1">
      <c r="C219" s="8"/>
      <c r="D219" s="8"/>
      <c r="E219" s="8"/>
      <c r="H219" s="8"/>
    </row>
    <row r="220" ht="14.25" customHeight="1">
      <c r="C220" s="8"/>
      <c r="D220" s="8"/>
      <c r="E220" s="8"/>
      <c r="H220" s="8"/>
    </row>
    <row r="221" ht="14.25" customHeight="1">
      <c r="C221" s="8"/>
      <c r="D221" s="8"/>
      <c r="E221" s="8"/>
      <c r="H221" s="8"/>
    </row>
    <row r="222" ht="14.25" customHeight="1">
      <c r="C222" s="8"/>
      <c r="D222" s="8"/>
      <c r="E222" s="8"/>
      <c r="H222" s="8"/>
    </row>
    <row r="223" ht="14.25" customHeight="1">
      <c r="C223" s="8"/>
      <c r="D223" s="8"/>
      <c r="E223" s="8"/>
      <c r="H223" s="8"/>
    </row>
    <row r="224" ht="14.25" customHeight="1">
      <c r="C224" s="8"/>
      <c r="D224" s="8"/>
      <c r="E224" s="8"/>
      <c r="H224" s="8"/>
    </row>
    <row r="225" ht="14.25" customHeight="1">
      <c r="C225" s="8"/>
      <c r="D225" s="8"/>
      <c r="E225" s="8"/>
      <c r="H225" s="8"/>
    </row>
    <row r="226" ht="14.25" customHeight="1">
      <c r="C226" s="8"/>
      <c r="D226" s="8"/>
      <c r="E226" s="8"/>
      <c r="H226" s="8"/>
    </row>
    <row r="227" ht="14.25" customHeight="1">
      <c r="C227" s="8"/>
      <c r="D227" s="8"/>
      <c r="E227" s="8"/>
      <c r="H227" s="8"/>
    </row>
    <row r="228" ht="14.25" customHeight="1">
      <c r="C228" s="8"/>
      <c r="D228" s="8"/>
      <c r="E228" s="8"/>
      <c r="H228" s="8"/>
    </row>
    <row r="229" ht="14.25" customHeight="1">
      <c r="C229" s="8"/>
      <c r="D229" s="8"/>
      <c r="E229" s="8"/>
      <c r="H229" s="8"/>
    </row>
    <row r="230" ht="14.25" customHeight="1">
      <c r="C230" s="8"/>
      <c r="D230" s="8"/>
      <c r="E230" s="8"/>
      <c r="H230" s="8"/>
    </row>
    <row r="231" ht="14.25" customHeight="1">
      <c r="C231" s="8"/>
      <c r="D231" s="8"/>
      <c r="E231" s="8"/>
      <c r="H231" s="8"/>
    </row>
    <row r="232" ht="14.25" customHeight="1">
      <c r="C232" s="8"/>
      <c r="D232" s="8"/>
      <c r="E232" s="8"/>
      <c r="H232" s="8"/>
    </row>
    <row r="233" ht="14.25" customHeight="1">
      <c r="C233" s="8"/>
      <c r="D233" s="8"/>
      <c r="E233" s="8"/>
      <c r="H233" s="8"/>
    </row>
    <row r="234" ht="14.25" customHeight="1">
      <c r="C234" s="8"/>
      <c r="D234" s="8"/>
      <c r="E234" s="8"/>
      <c r="H234" s="8"/>
    </row>
    <row r="235" ht="14.25" customHeight="1">
      <c r="C235" s="8"/>
      <c r="D235" s="8"/>
      <c r="E235" s="8"/>
      <c r="H235" s="8"/>
    </row>
    <row r="236" ht="14.25" customHeight="1">
      <c r="C236" s="8"/>
      <c r="D236" s="8"/>
      <c r="E236" s="8"/>
      <c r="H236" s="8"/>
    </row>
    <row r="237" ht="14.25" customHeight="1">
      <c r="C237" s="8"/>
      <c r="D237" s="8"/>
      <c r="E237" s="8"/>
      <c r="H237" s="8"/>
    </row>
    <row r="238" ht="14.25" customHeight="1">
      <c r="C238" s="8"/>
      <c r="D238" s="8"/>
      <c r="E238" s="8"/>
      <c r="H238" s="8"/>
    </row>
    <row r="239" ht="14.25" customHeight="1">
      <c r="C239" s="8"/>
      <c r="D239" s="8"/>
      <c r="E239" s="8"/>
      <c r="H239" s="8"/>
    </row>
    <row r="240" ht="14.25" customHeight="1">
      <c r="C240" s="8"/>
      <c r="D240" s="8"/>
      <c r="E240" s="8"/>
      <c r="H240" s="8"/>
    </row>
    <row r="241" ht="14.25" customHeight="1">
      <c r="C241" s="8"/>
      <c r="D241" s="8"/>
      <c r="E241" s="8"/>
      <c r="H241" s="8"/>
    </row>
    <row r="242" ht="14.25" customHeight="1">
      <c r="C242" s="8"/>
      <c r="D242" s="8"/>
      <c r="E242" s="8"/>
      <c r="H242" s="8"/>
    </row>
    <row r="243" ht="14.25" customHeight="1">
      <c r="C243" s="8"/>
      <c r="D243" s="8"/>
      <c r="E243" s="8"/>
      <c r="H243" s="8"/>
    </row>
    <row r="244" ht="14.25" customHeight="1">
      <c r="C244" s="8"/>
      <c r="D244" s="8"/>
      <c r="E244" s="8"/>
      <c r="H244" s="8"/>
    </row>
    <row r="245" ht="14.25" customHeight="1">
      <c r="C245" s="8"/>
      <c r="D245" s="8"/>
      <c r="E245" s="8"/>
      <c r="H245" s="8"/>
    </row>
    <row r="246" ht="14.25" customHeight="1">
      <c r="C246" s="8"/>
      <c r="D246" s="8"/>
      <c r="E246" s="8"/>
      <c r="H246" s="8"/>
    </row>
    <row r="247" ht="14.25" customHeight="1">
      <c r="C247" s="8"/>
      <c r="D247" s="8"/>
      <c r="E247" s="8"/>
      <c r="H247" s="8"/>
    </row>
    <row r="248" ht="14.25" customHeight="1">
      <c r="C248" s="8"/>
      <c r="D248" s="8"/>
      <c r="E248" s="8"/>
      <c r="H248" s="8"/>
    </row>
    <row r="249" ht="14.25" customHeight="1">
      <c r="C249" s="8"/>
      <c r="D249" s="8"/>
      <c r="E249" s="8"/>
      <c r="H249" s="8"/>
    </row>
    <row r="250" ht="14.25" customHeight="1">
      <c r="C250" s="8"/>
      <c r="D250" s="8"/>
      <c r="E250" s="8"/>
      <c r="H250" s="8"/>
    </row>
    <row r="251" ht="14.25" customHeight="1">
      <c r="C251" s="8"/>
      <c r="D251" s="8"/>
      <c r="E251" s="8"/>
      <c r="H251" s="8"/>
    </row>
    <row r="252" ht="14.25" customHeight="1">
      <c r="C252" s="8"/>
      <c r="D252" s="8"/>
      <c r="E252" s="8"/>
      <c r="H252" s="8"/>
    </row>
    <row r="253" ht="14.25" customHeight="1">
      <c r="C253" s="8"/>
      <c r="D253" s="8"/>
      <c r="E253" s="8"/>
      <c r="H253" s="8"/>
    </row>
    <row r="254" ht="14.25" customHeight="1">
      <c r="C254" s="8"/>
      <c r="D254" s="8"/>
      <c r="E254" s="8"/>
      <c r="H254" s="8"/>
    </row>
    <row r="255" ht="14.25" customHeight="1">
      <c r="C255" s="8"/>
      <c r="D255" s="8"/>
      <c r="E255" s="8"/>
      <c r="H255" s="8"/>
    </row>
    <row r="256" ht="14.25" customHeight="1">
      <c r="C256" s="8"/>
      <c r="D256" s="8"/>
      <c r="E256" s="8"/>
      <c r="H256" s="8"/>
    </row>
    <row r="257" ht="14.25" customHeight="1">
      <c r="C257" s="8"/>
      <c r="D257" s="8"/>
      <c r="E257" s="8"/>
      <c r="H257" s="8"/>
    </row>
    <row r="258" ht="14.25" customHeight="1">
      <c r="C258" s="8"/>
      <c r="D258" s="8"/>
      <c r="E258" s="8"/>
      <c r="H258" s="8"/>
    </row>
    <row r="259" ht="14.25" customHeight="1">
      <c r="C259" s="8"/>
      <c r="D259" s="8"/>
      <c r="E259" s="8"/>
      <c r="H259" s="8"/>
    </row>
    <row r="260" ht="14.25" customHeight="1">
      <c r="C260" s="8"/>
      <c r="D260" s="8"/>
      <c r="E260" s="8"/>
      <c r="H260" s="8"/>
    </row>
    <row r="261" ht="14.25" customHeight="1">
      <c r="C261" s="8"/>
      <c r="D261" s="8"/>
      <c r="E261" s="8"/>
      <c r="H261" s="8"/>
    </row>
    <row r="262" ht="14.25" customHeight="1">
      <c r="C262" s="8"/>
      <c r="D262" s="8"/>
      <c r="E262" s="8"/>
      <c r="H262" s="8"/>
    </row>
    <row r="263" ht="14.25" customHeight="1">
      <c r="C263" s="8"/>
      <c r="D263" s="8"/>
      <c r="E263" s="8"/>
      <c r="H263" s="8"/>
    </row>
    <row r="264" ht="14.25" customHeight="1">
      <c r="C264" s="8"/>
      <c r="D264" s="8"/>
      <c r="E264" s="8"/>
      <c r="H264" s="8"/>
    </row>
    <row r="265" ht="14.25" customHeight="1">
      <c r="C265" s="8"/>
      <c r="D265" s="8"/>
      <c r="E265" s="8"/>
      <c r="H265" s="8"/>
    </row>
    <row r="266" ht="14.25" customHeight="1">
      <c r="C266" s="8"/>
      <c r="D266" s="8"/>
      <c r="E266" s="8"/>
      <c r="H266" s="8"/>
    </row>
    <row r="267" ht="14.25" customHeight="1">
      <c r="C267" s="8"/>
      <c r="D267" s="8"/>
      <c r="E267" s="8"/>
      <c r="H267" s="8"/>
    </row>
    <row r="268" ht="14.25" customHeight="1">
      <c r="C268" s="8"/>
      <c r="D268" s="8"/>
      <c r="E268" s="8"/>
      <c r="H268" s="8"/>
    </row>
    <row r="269" ht="14.25" customHeight="1">
      <c r="C269" s="8"/>
      <c r="D269" s="8"/>
      <c r="E269" s="8"/>
      <c r="H269" s="8"/>
    </row>
    <row r="270" ht="14.25" customHeight="1">
      <c r="C270" s="8"/>
      <c r="D270" s="8"/>
      <c r="E270" s="8"/>
      <c r="H270" s="8"/>
    </row>
    <row r="271" ht="14.25" customHeight="1">
      <c r="C271" s="8"/>
      <c r="D271" s="8"/>
      <c r="E271" s="8"/>
      <c r="H271" s="8"/>
    </row>
    <row r="272" ht="14.25" customHeight="1">
      <c r="C272" s="8"/>
      <c r="D272" s="8"/>
      <c r="E272" s="8"/>
      <c r="H272" s="8"/>
    </row>
    <row r="273" ht="14.25" customHeight="1">
      <c r="C273" s="8"/>
      <c r="D273" s="8"/>
      <c r="E273" s="8"/>
      <c r="H273" s="8"/>
    </row>
    <row r="274" ht="14.25" customHeight="1">
      <c r="C274" s="8"/>
      <c r="D274" s="8"/>
      <c r="E274" s="8"/>
      <c r="H274" s="8"/>
    </row>
    <row r="275" ht="14.25" customHeight="1">
      <c r="C275" s="8"/>
      <c r="D275" s="8"/>
      <c r="E275" s="8"/>
      <c r="H275" s="8"/>
    </row>
    <row r="276" ht="14.25" customHeight="1">
      <c r="C276" s="8"/>
      <c r="D276" s="8"/>
      <c r="E276" s="8"/>
      <c r="H276" s="8"/>
    </row>
    <row r="277" ht="14.25" customHeight="1">
      <c r="C277" s="8"/>
      <c r="D277" s="8"/>
      <c r="E277" s="8"/>
      <c r="H277" s="8"/>
    </row>
    <row r="278" ht="14.25" customHeight="1">
      <c r="C278" s="8"/>
      <c r="D278" s="8"/>
      <c r="E278" s="8"/>
      <c r="H278" s="8"/>
    </row>
    <row r="279" ht="14.25" customHeight="1">
      <c r="C279" s="8"/>
      <c r="D279" s="8"/>
      <c r="E279" s="8"/>
      <c r="H279" s="8"/>
    </row>
    <row r="280" ht="14.25" customHeight="1">
      <c r="C280" s="8"/>
      <c r="D280" s="8"/>
      <c r="E280" s="8"/>
      <c r="H280" s="8"/>
    </row>
    <row r="281" ht="14.25" customHeight="1">
      <c r="C281" s="8"/>
      <c r="D281" s="8"/>
      <c r="E281" s="8"/>
      <c r="H281" s="8"/>
    </row>
    <row r="282" ht="14.25" customHeight="1">
      <c r="C282" s="8"/>
      <c r="D282" s="8"/>
      <c r="E282" s="8"/>
      <c r="H282" s="8"/>
    </row>
    <row r="283" ht="14.25" customHeight="1">
      <c r="C283" s="8"/>
      <c r="D283" s="8"/>
      <c r="E283" s="8"/>
      <c r="H283" s="8"/>
    </row>
    <row r="284" ht="14.25" customHeight="1">
      <c r="C284" s="8"/>
      <c r="D284" s="8"/>
      <c r="E284" s="8"/>
      <c r="H284" s="8"/>
    </row>
    <row r="285" ht="14.25" customHeight="1">
      <c r="C285" s="8"/>
      <c r="D285" s="8"/>
      <c r="E285" s="8"/>
      <c r="H285" s="8"/>
    </row>
    <row r="286" ht="14.25" customHeight="1">
      <c r="C286" s="8"/>
      <c r="D286" s="8"/>
      <c r="E286" s="8"/>
      <c r="H286" s="8"/>
    </row>
    <row r="287" ht="14.25" customHeight="1">
      <c r="C287" s="8"/>
      <c r="D287" s="8"/>
      <c r="E287" s="8"/>
      <c r="H287" s="8"/>
    </row>
    <row r="288" ht="14.25" customHeight="1">
      <c r="C288" s="8"/>
      <c r="D288" s="8"/>
      <c r="E288" s="8"/>
      <c r="H288" s="8"/>
    </row>
    <row r="289" ht="14.25" customHeight="1">
      <c r="C289" s="8"/>
      <c r="D289" s="8"/>
      <c r="E289" s="8"/>
      <c r="H289" s="8"/>
    </row>
    <row r="290" ht="14.25" customHeight="1">
      <c r="C290" s="8"/>
      <c r="D290" s="8"/>
      <c r="E290" s="8"/>
      <c r="H290" s="8"/>
    </row>
    <row r="291" ht="14.25" customHeight="1">
      <c r="C291" s="8"/>
      <c r="D291" s="8"/>
      <c r="E291" s="8"/>
      <c r="H291" s="8"/>
    </row>
    <row r="292" ht="14.25" customHeight="1">
      <c r="C292" s="8"/>
      <c r="D292" s="8"/>
      <c r="E292" s="8"/>
      <c r="H292" s="8"/>
    </row>
    <row r="293" ht="14.25" customHeight="1">
      <c r="C293" s="8"/>
      <c r="D293" s="8"/>
      <c r="E293" s="8"/>
      <c r="H293" s="8"/>
    </row>
    <row r="294" ht="14.25" customHeight="1">
      <c r="C294" s="8"/>
      <c r="D294" s="8"/>
      <c r="E294" s="8"/>
      <c r="H294" s="8"/>
    </row>
    <row r="295" ht="14.25" customHeight="1">
      <c r="C295" s="8"/>
      <c r="D295" s="8"/>
      <c r="E295" s="8"/>
      <c r="H295" s="8"/>
    </row>
    <row r="296" ht="14.25" customHeight="1">
      <c r="C296" s="8"/>
      <c r="D296" s="8"/>
      <c r="E296" s="8"/>
      <c r="H296" s="8"/>
    </row>
    <row r="297" ht="14.25" customHeight="1">
      <c r="C297" s="8"/>
      <c r="D297" s="8"/>
      <c r="E297" s="8"/>
      <c r="H297" s="8"/>
    </row>
    <row r="298" ht="14.25" customHeight="1">
      <c r="C298" s="8"/>
      <c r="D298" s="8"/>
      <c r="E298" s="8"/>
      <c r="H298" s="8"/>
    </row>
    <row r="299" ht="14.25" customHeight="1">
      <c r="C299" s="8"/>
      <c r="D299" s="8"/>
      <c r="E299" s="8"/>
      <c r="H299" s="8"/>
    </row>
    <row r="300" ht="14.25" customHeight="1">
      <c r="C300" s="8"/>
      <c r="D300" s="8"/>
      <c r="E300" s="8"/>
      <c r="H300" s="8"/>
    </row>
    <row r="301" ht="14.25" customHeight="1">
      <c r="C301" s="8"/>
      <c r="D301" s="8"/>
      <c r="E301" s="8"/>
      <c r="H301" s="8"/>
    </row>
    <row r="302" ht="14.25" customHeight="1">
      <c r="C302" s="8"/>
      <c r="D302" s="8"/>
      <c r="E302" s="8"/>
      <c r="H302" s="8"/>
    </row>
    <row r="303" ht="14.25" customHeight="1">
      <c r="C303" s="8"/>
      <c r="D303" s="8"/>
      <c r="E303" s="8"/>
      <c r="H303" s="8"/>
    </row>
    <row r="304" ht="14.25" customHeight="1">
      <c r="C304" s="8"/>
      <c r="D304" s="8"/>
      <c r="E304" s="8"/>
      <c r="H304" s="8"/>
    </row>
    <row r="305" ht="14.25" customHeight="1">
      <c r="C305" s="8"/>
      <c r="D305" s="8"/>
      <c r="E305" s="8"/>
      <c r="H305" s="8"/>
    </row>
    <row r="306" ht="14.25" customHeight="1">
      <c r="C306" s="8"/>
      <c r="D306" s="8"/>
      <c r="E306" s="8"/>
      <c r="H306" s="8"/>
    </row>
    <row r="307" ht="14.25" customHeight="1">
      <c r="C307" s="8"/>
      <c r="D307" s="8"/>
      <c r="E307" s="8"/>
      <c r="H307" s="8"/>
    </row>
    <row r="308" ht="14.25" customHeight="1">
      <c r="C308" s="8"/>
      <c r="D308" s="8"/>
      <c r="E308" s="8"/>
      <c r="H308" s="8"/>
    </row>
    <row r="309" ht="14.25" customHeight="1">
      <c r="C309" s="8"/>
      <c r="D309" s="8"/>
      <c r="E309" s="8"/>
      <c r="H309" s="8"/>
    </row>
    <row r="310" ht="14.25" customHeight="1">
      <c r="C310" s="8"/>
      <c r="D310" s="8"/>
      <c r="E310" s="8"/>
      <c r="H310" s="8"/>
    </row>
    <row r="311" ht="14.25" customHeight="1">
      <c r="C311" s="8"/>
      <c r="D311" s="8"/>
      <c r="E311" s="8"/>
      <c r="H311" s="8"/>
    </row>
    <row r="312" ht="14.25" customHeight="1">
      <c r="C312" s="8"/>
      <c r="D312" s="8"/>
      <c r="E312" s="8"/>
      <c r="H312" s="8"/>
    </row>
    <row r="313" ht="14.25" customHeight="1">
      <c r="C313" s="8"/>
      <c r="D313" s="8"/>
      <c r="E313" s="8"/>
      <c r="H313" s="8"/>
    </row>
    <row r="314" ht="14.25" customHeight="1">
      <c r="C314" s="8"/>
      <c r="D314" s="8"/>
      <c r="E314" s="8"/>
      <c r="H314" s="8"/>
    </row>
    <row r="315" ht="14.25" customHeight="1">
      <c r="C315" s="8"/>
      <c r="D315" s="8"/>
      <c r="E315" s="8"/>
      <c r="H315" s="8"/>
    </row>
    <row r="316" ht="14.25" customHeight="1">
      <c r="C316" s="8"/>
      <c r="D316" s="8"/>
      <c r="E316" s="8"/>
      <c r="H316" s="8"/>
    </row>
    <row r="317" ht="14.25" customHeight="1">
      <c r="C317" s="8"/>
      <c r="D317" s="8"/>
      <c r="E317" s="8"/>
      <c r="H317" s="8"/>
    </row>
    <row r="318" ht="14.25" customHeight="1">
      <c r="C318" s="8"/>
      <c r="D318" s="8"/>
      <c r="E318" s="8"/>
      <c r="H318" s="8"/>
    </row>
    <row r="319" ht="14.25" customHeight="1">
      <c r="C319" s="8"/>
      <c r="D319" s="8"/>
      <c r="E319" s="8"/>
      <c r="H319" s="8"/>
    </row>
    <row r="320" ht="14.25" customHeight="1">
      <c r="C320" s="8"/>
      <c r="D320" s="8"/>
      <c r="E320" s="8"/>
      <c r="H320" s="8"/>
    </row>
    <row r="321" ht="14.25" customHeight="1">
      <c r="C321" s="8"/>
      <c r="D321" s="8"/>
      <c r="E321" s="8"/>
      <c r="H321" s="8"/>
    </row>
    <row r="322" ht="14.25" customHeight="1">
      <c r="C322" s="8"/>
      <c r="D322" s="8"/>
      <c r="E322" s="8"/>
      <c r="H322" s="8"/>
    </row>
    <row r="323" ht="14.25" customHeight="1">
      <c r="C323" s="8"/>
      <c r="D323" s="8"/>
      <c r="E323" s="8"/>
      <c r="H323" s="8"/>
    </row>
    <row r="324" ht="14.25" customHeight="1">
      <c r="C324" s="8"/>
      <c r="D324" s="8"/>
      <c r="E324" s="8"/>
      <c r="H324" s="8"/>
    </row>
    <row r="325" ht="14.25" customHeight="1">
      <c r="C325" s="8"/>
      <c r="D325" s="8"/>
      <c r="E325" s="8"/>
      <c r="H325" s="8"/>
    </row>
    <row r="326" ht="14.25" customHeight="1">
      <c r="C326" s="8"/>
      <c r="D326" s="8"/>
      <c r="E326" s="8"/>
      <c r="H326" s="8"/>
    </row>
    <row r="327" ht="14.25" customHeight="1">
      <c r="C327" s="8"/>
      <c r="D327" s="8"/>
      <c r="E327" s="8"/>
      <c r="H327" s="8"/>
    </row>
    <row r="328" ht="14.25" customHeight="1">
      <c r="C328" s="8"/>
      <c r="D328" s="8"/>
      <c r="E328" s="8"/>
      <c r="H328" s="8"/>
    </row>
    <row r="329" ht="14.25" customHeight="1">
      <c r="C329" s="8"/>
      <c r="D329" s="8"/>
      <c r="E329" s="8"/>
      <c r="H329" s="8"/>
    </row>
    <row r="330" ht="14.25" customHeight="1">
      <c r="C330" s="8"/>
      <c r="D330" s="8"/>
      <c r="E330" s="8"/>
      <c r="H330" s="8"/>
    </row>
    <row r="331" ht="14.25" customHeight="1">
      <c r="C331" s="8"/>
      <c r="D331" s="8"/>
      <c r="E331" s="8"/>
      <c r="H331" s="8"/>
    </row>
    <row r="332" ht="14.25" customHeight="1">
      <c r="C332" s="8"/>
      <c r="D332" s="8"/>
      <c r="E332" s="8"/>
      <c r="H332" s="8"/>
    </row>
    <row r="333" ht="14.25" customHeight="1">
      <c r="C333" s="8"/>
      <c r="D333" s="8"/>
      <c r="E333" s="8"/>
      <c r="H333" s="8"/>
    </row>
    <row r="334" ht="14.25" customHeight="1">
      <c r="C334" s="8"/>
      <c r="D334" s="8"/>
      <c r="E334" s="8"/>
      <c r="H334" s="8"/>
    </row>
    <row r="335" ht="14.25" customHeight="1">
      <c r="C335" s="8"/>
      <c r="D335" s="8"/>
      <c r="E335" s="8"/>
      <c r="H335" s="8"/>
    </row>
    <row r="336" ht="14.25" customHeight="1">
      <c r="C336" s="8"/>
      <c r="D336" s="8"/>
      <c r="E336" s="8"/>
      <c r="H336" s="8"/>
    </row>
    <row r="337" ht="14.25" customHeight="1">
      <c r="C337" s="8"/>
      <c r="D337" s="8"/>
      <c r="E337" s="8"/>
      <c r="H337" s="8"/>
    </row>
    <row r="338" ht="14.25" customHeight="1">
      <c r="C338" s="8"/>
      <c r="D338" s="8"/>
      <c r="E338" s="8"/>
      <c r="H338" s="8"/>
    </row>
    <row r="339" ht="14.25" customHeight="1">
      <c r="C339" s="8"/>
      <c r="D339" s="8"/>
      <c r="E339" s="8"/>
      <c r="H339" s="8"/>
    </row>
    <row r="340" ht="14.25" customHeight="1">
      <c r="C340" s="8"/>
      <c r="D340" s="8"/>
      <c r="E340" s="8"/>
      <c r="H340" s="8"/>
    </row>
    <row r="341" ht="14.25" customHeight="1">
      <c r="C341" s="8"/>
      <c r="D341" s="8"/>
      <c r="E341" s="8"/>
      <c r="H341" s="8"/>
    </row>
    <row r="342" ht="14.25" customHeight="1">
      <c r="C342" s="8"/>
      <c r="D342" s="8"/>
      <c r="E342" s="8"/>
      <c r="H342" s="8"/>
    </row>
    <row r="343" ht="14.25" customHeight="1">
      <c r="C343" s="8"/>
      <c r="D343" s="8"/>
      <c r="E343" s="8"/>
      <c r="H343" s="8"/>
    </row>
    <row r="344" ht="14.25" customHeight="1">
      <c r="C344" s="8"/>
      <c r="D344" s="8"/>
      <c r="E344" s="8"/>
      <c r="H344" s="8"/>
    </row>
    <row r="345" ht="14.25" customHeight="1">
      <c r="C345" s="8"/>
      <c r="D345" s="8"/>
      <c r="E345" s="8"/>
      <c r="H345" s="8"/>
    </row>
    <row r="346" ht="14.25" customHeight="1">
      <c r="C346" s="8"/>
      <c r="D346" s="8"/>
      <c r="E346" s="8"/>
      <c r="H346" s="8"/>
    </row>
    <row r="347" ht="14.25" customHeight="1">
      <c r="C347" s="8"/>
      <c r="D347" s="8"/>
      <c r="E347" s="8"/>
      <c r="H347" s="8"/>
    </row>
    <row r="348" ht="14.25" customHeight="1">
      <c r="C348" s="8"/>
      <c r="D348" s="8"/>
      <c r="E348" s="8"/>
      <c r="H348" s="8"/>
    </row>
    <row r="349" ht="14.25" customHeight="1">
      <c r="C349" s="8"/>
      <c r="D349" s="8"/>
      <c r="E349" s="8"/>
      <c r="H349" s="8"/>
    </row>
    <row r="350" ht="14.25" customHeight="1">
      <c r="C350" s="8"/>
      <c r="D350" s="8"/>
      <c r="E350" s="8"/>
      <c r="H350" s="8"/>
    </row>
    <row r="351" ht="14.25" customHeight="1">
      <c r="C351" s="8"/>
      <c r="D351" s="8"/>
      <c r="E351" s="8"/>
      <c r="H351" s="8"/>
    </row>
    <row r="352" ht="14.25" customHeight="1">
      <c r="C352" s="8"/>
      <c r="D352" s="8"/>
      <c r="E352" s="8"/>
      <c r="H352" s="8"/>
    </row>
    <row r="353" ht="14.25" customHeight="1">
      <c r="C353" s="8"/>
      <c r="D353" s="8"/>
      <c r="E353" s="8"/>
      <c r="H353" s="8"/>
    </row>
    <row r="354" ht="14.25" customHeight="1">
      <c r="C354" s="8"/>
      <c r="D354" s="8"/>
      <c r="E354" s="8"/>
      <c r="H354" s="8"/>
    </row>
    <row r="355" ht="14.25" customHeight="1">
      <c r="C355" s="8"/>
      <c r="D355" s="8"/>
      <c r="E355" s="8"/>
      <c r="H355" s="8"/>
    </row>
    <row r="356" ht="14.25" customHeight="1">
      <c r="C356" s="8"/>
      <c r="D356" s="8"/>
      <c r="E356" s="8"/>
      <c r="H356" s="8"/>
    </row>
    <row r="357" ht="14.25" customHeight="1">
      <c r="C357" s="8"/>
      <c r="D357" s="8"/>
      <c r="E357" s="8"/>
      <c r="H357" s="8"/>
    </row>
    <row r="358" ht="14.25" customHeight="1">
      <c r="C358" s="8"/>
      <c r="D358" s="8"/>
      <c r="E358" s="8"/>
      <c r="H358" s="8"/>
    </row>
    <row r="359" ht="14.25" customHeight="1">
      <c r="C359" s="8"/>
      <c r="D359" s="8"/>
      <c r="E359" s="8"/>
      <c r="H359" s="8"/>
    </row>
    <row r="360" ht="14.25" customHeight="1">
      <c r="C360" s="8"/>
      <c r="D360" s="8"/>
      <c r="E360" s="8"/>
      <c r="H360" s="8"/>
    </row>
    <row r="361" ht="14.25" customHeight="1">
      <c r="C361" s="8"/>
      <c r="D361" s="8"/>
      <c r="E361" s="8"/>
      <c r="H361" s="8"/>
    </row>
    <row r="362" ht="14.25" customHeight="1">
      <c r="C362" s="8"/>
      <c r="D362" s="8"/>
      <c r="E362" s="8"/>
      <c r="H362" s="8"/>
    </row>
    <row r="363" ht="14.25" customHeight="1">
      <c r="C363" s="8"/>
      <c r="D363" s="8"/>
      <c r="E363" s="8"/>
      <c r="H363" s="8"/>
    </row>
    <row r="364" ht="14.25" customHeight="1">
      <c r="C364" s="8"/>
      <c r="D364" s="8"/>
      <c r="E364" s="8"/>
      <c r="H364" s="8"/>
    </row>
    <row r="365" ht="14.25" customHeight="1">
      <c r="C365" s="8"/>
      <c r="D365" s="8"/>
      <c r="E365" s="8"/>
      <c r="H365" s="8"/>
    </row>
    <row r="366" ht="14.25" customHeight="1">
      <c r="C366" s="8"/>
      <c r="D366" s="8"/>
      <c r="E366" s="8"/>
      <c r="H366" s="8"/>
    </row>
    <row r="367" ht="14.25" customHeight="1">
      <c r="C367" s="8"/>
      <c r="D367" s="8"/>
      <c r="E367" s="8"/>
      <c r="H367" s="8"/>
    </row>
    <row r="368" ht="14.25" customHeight="1">
      <c r="C368" s="8"/>
      <c r="D368" s="8"/>
      <c r="E368" s="8"/>
      <c r="H368" s="8"/>
    </row>
    <row r="369" ht="14.25" customHeight="1">
      <c r="C369" s="8"/>
      <c r="D369" s="8"/>
      <c r="E369" s="8"/>
      <c r="H369" s="8"/>
    </row>
    <row r="370" ht="14.25" customHeight="1">
      <c r="C370" s="8"/>
      <c r="D370" s="8"/>
      <c r="E370" s="8"/>
      <c r="H370" s="8"/>
    </row>
    <row r="371" ht="14.25" customHeight="1">
      <c r="C371" s="8"/>
      <c r="D371" s="8"/>
      <c r="E371" s="8"/>
      <c r="H371" s="8"/>
    </row>
    <row r="372" ht="14.25" customHeight="1">
      <c r="C372" s="8"/>
      <c r="D372" s="8"/>
      <c r="E372" s="8"/>
      <c r="H372" s="8"/>
    </row>
    <row r="373" ht="14.25" customHeight="1">
      <c r="C373" s="8"/>
      <c r="D373" s="8"/>
      <c r="E373" s="8"/>
      <c r="H373" s="8"/>
    </row>
    <row r="374" ht="14.25" customHeight="1">
      <c r="C374" s="8"/>
      <c r="D374" s="8"/>
      <c r="E374" s="8"/>
      <c r="H374" s="8"/>
    </row>
    <row r="375" ht="14.25" customHeight="1">
      <c r="C375" s="8"/>
      <c r="D375" s="8"/>
      <c r="E375" s="8"/>
      <c r="H375" s="8"/>
    </row>
    <row r="376" ht="14.25" customHeight="1">
      <c r="C376" s="8"/>
      <c r="D376" s="8"/>
      <c r="E376" s="8"/>
      <c r="H376" s="8"/>
    </row>
    <row r="377" ht="14.25" customHeight="1">
      <c r="C377" s="8"/>
      <c r="D377" s="8"/>
      <c r="E377" s="8"/>
      <c r="H377" s="8"/>
    </row>
    <row r="378" ht="14.25" customHeight="1">
      <c r="C378" s="8"/>
      <c r="D378" s="8"/>
      <c r="E378" s="8"/>
      <c r="H378" s="8"/>
    </row>
    <row r="379" ht="14.25" customHeight="1">
      <c r="C379" s="8"/>
      <c r="D379" s="8"/>
      <c r="E379" s="8"/>
      <c r="H379" s="8"/>
    </row>
    <row r="380" ht="14.25" customHeight="1">
      <c r="C380" s="8"/>
      <c r="D380" s="8"/>
      <c r="E380" s="8"/>
      <c r="H380" s="8"/>
    </row>
    <row r="381" ht="14.25" customHeight="1">
      <c r="C381" s="8"/>
      <c r="D381" s="8"/>
      <c r="E381" s="8"/>
      <c r="H381" s="8"/>
    </row>
    <row r="382" ht="14.25" customHeight="1">
      <c r="C382" s="8"/>
      <c r="D382" s="8"/>
      <c r="E382" s="8"/>
      <c r="H382" s="8"/>
    </row>
    <row r="383" ht="14.25" customHeight="1">
      <c r="C383" s="8"/>
      <c r="D383" s="8"/>
      <c r="E383" s="8"/>
      <c r="H383" s="8"/>
    </row>
    <row r="384" ht="14.25" customHeight="1">
      <c r="C384" s="8"/>
      <c r="D384" s="8"/>
      <c r="E384" s="8"/>
      <c r="H384" s="8"/>
    </row>
    <row r="385" ht="14.25" customHeight="1">
      <c r="C385" s="8"/>
      <c r="D385" s="8"/>
      <c r="E385" s="8"/>
      <c r="H385" s="8"/>
    </row>
    <row r="386" ht="14.25" customHeight="1">
      <c r="C386" s="8"/>
      <c r="D386" s="8"/>
      <c r="E386" s="8"/>
      <c r="H386" s="8"/>
    </row>
    <row r="387" ht="14.25" customHeight="1">
      <c r="C387" s="8"/>
      <c r="D387" s="8"/>
      <c r="E387" s="8"/>
      <c r="H387" s="8"/>
    </row>
    <row r="388" ht="14.25" customHeight="1">
      <c r="C388" s="8"/>
      <c r="D388" s="8"/>
      <c r="E388" s="8"/>
      <c r="H388" s="8"/>
    </row>
    <row r="389" ht="14.25" customHeight="1">
      <c r="C389" s="8"/>
      <c r="D389" s="8"/>
      <c r="E389" s="8"/>
      <c r="H389" s="8"/>
    </row>
    <row r="390" ht="14.25" customHeight="1">
      <c r="C390" s="8"/>
      <c r="D390" s="8"/>
      <c r="E390" s="8"/>
      <c r="H390" s="8"/>
    </row>
    <row r="391" ht="14.25" customHeight="1">
      <c r="C391" s="8"/>
      <c r="D391" s="8"/>
      <c r="E391" s="8"/>
      <c r="H391" s="8"/>
    </row>
    <row r="392" ht="14.25" customHeight="1">
      <c r="C392" s="8"/>
      <c r="D392" s="8"/>
      <c r="E392" s="8"/>
      <c r="H392" s="8"/>
    </row>
    <row r="393" ht="14.25" customHeight="1">
      <c r="C393" s="8"/>
      <c r="D393" s="8"/>
      <c r="E393" s="8"/>
      <c r="H393" s="8"/>
    </row>
    <row r="394" ht="14.25" customHeight="1">
      <c r="C394" s="8"/>
      <c r="D394" s="8"/>
      <c r="E394" s="8"/>
      <c r="H394" s="8"/>
    </row>
    <row r="395" ht="14.25" customHeight="1">
      <c r="C395" s="8"/>
      <c r="D395" s="8"/>
      <c r="E395" s="8"/>
      <c r="H395" s="8"/>
    </row>
    <row r="396" ht="14.25" customHeight="1">
      <c r="C396" s="8"/>
      <c r="D396" s="8"/>
      <c r="E396" s="8"/>
      <c r="H396" s="8"/>
    </row>
    <row r="397" ht="14.25" customHeight="1">
      <c r="C397" s="8"/>
      <c r="D397" s="8"/>
      <c r="E397" s="8"/>
      <c r="H397" s="8"/>
    </row>
    <row r="398" ht="14.25" customHeight="1">
      <c r="C398" s="8"/>
      <c r="D398" s="8"/>
      <c r="E398" s="8"/>
      <c r="H398" s="8"/>
    </row>
    <row r="399" ht="14.25" customHeight="1">
      <c r="C399" s="8"/>
      <c r="D399" s="8"/>
      <c r="E399" s="8"/>
      <c r="H399" s="8"/>
    </row>
    <row r="400" ht="14.25" customHeight="1">
      <c r="C400" s="8"/>
      <c r="D400" s="8"/>
      <c r="E400" s="8"/>
      <c r="H400" s="8"/>
    </row>
    <row r="401" ht="14.25" customHeight="1">
      <c r="C401" s="8"/>
      <c r="D401" s="8"/>
      <c r="E401" s="8"/>
      <c r="H401" s="8"/>
    </row>
    <row r="402" ht="14.25" customHeight="1">
      <c r="C402" s="8"/>
      <c r="D402" s="8"/>
      <c r="E402" s="8"/>
      <c r="H402" s="8"/>
    </row>
    <row r="403" ht="14.25" customHeight="1">
      <c r="C403" s="8"/>
      <c r="D403" s="8"/>
      <c r="E403" s="8"/>
      <c r="H403" s="8"/>
    </row>
    <row r="404" ht="14.25" customHeight="1">
      <c r="C404" s="8"/>
      <c r="D404" s="8"/>
      <c r="E404" s="8"/>
      <c r="H404" s="8"/>
    </row>
    <row r="405" ht="14.25" customHeight="1">
      <c r="C405" s="8"/>
      <c r="D405" s="8"/>
      <c r="E405" s="8"/>
      <c r="H405" s="8"/>
    </row>
    <row r="406" ht="14.25" customHeight="1">
      <c r="C406" s="8"/>
      <c r="D406" s="8"/>
      <c r="E406" s="8"/>
      <c r="H406" s="8"/>
    </row>
    <row r="407" ht="14.25" customHeight="1">
      <c r="C407" s="8"/>
      <c r="D407" s="8"/>
      <c r="E407" s="8"/>
      <c r="H407" s="8"/>
    </row>
    <row r="408" ht="14.25" customHeight="1">
      <c r="C408" s="8"/>
      <c r="D408" s="8"/>
      <c r="E408" s="8"/>
      <c r="H408" s="8"/>
    </row>
    <row r="409" ht="14.25" customHeight="1">
      <c r="C409" s="8"/>
      <c r="D409" s="8"/>
      <c r="E409" s="8"/>
      <c r="H409" s="8"/>
    </row>
    <row r="410" ht="14.25" customHeight="1">
      <c r="C410" s="8"/>
      <c r="D410" s="8"/>
      <c r="E410" s="8"/>
      <c r="H410" s="8"/>
    </row>
    <row r="411" ht="14.25" customHeight="1">
      <c r="C411" s="8"/>
      <c r="D411" s="8"/>
      <c r="E411" s="8"/>
      <c r="H411" s="8"/>
    </row>
    <row r="412" ht="14.25" customHeight="1">
      <c r="C412" s="8"/>
      <c r="D412" s="8"/>
      <c r="E412" s="8"/>
      <c r="H412" s="8"/>
    </row>
    <row r="413" ht="14.25" customHeight="1">
      <c r="C413" s="8"/>
      <c r="D413" s="8"/>
      <c r="E413" s="8"/>
      <c r="H413" s="8"/>
    </row>
    <row r="414" ht="14.25" customHeight="1">
      <c r="C414" s="8"/>
      <c r="D414" s="8"/>
      <c r="E414" s="8"/>
      <c r="H414" s="8"/>
    </row>
    <row r="415" ht="14.25" customHeight="1">
      <c r="C415" s="8"/>
      <c r="D415" s="8"/>
      <c r="E415" s="8"/>
      <c r="H415" s="8"/>
    </row>
    <row r="416" ht="14.25" customHeight="1">
      <c r="C416" s="8"/>
      <c r="D416" s="8"/>
      <c r="E416" s="8"/>
      <c r="H416" s="8"/>
    </row>
    <row r="417" ht="14.25" customHeight="1">
      <c r="C417" s="8"/>
      <c r="D417" s="8"/>
      <c r="E417" s="8"/>
      <c r="H417" s="8"/>
    </row>
    <row r="418" ht="14.25" customHeight="1">
      <c r="C418" s="8"/>
      <c r="D418" s="8"/>
      <c r="E418" s="8"/>
      <c r="H418" s="8"/>
    </row>
    <row r="419" ht="14.25" customHeight="1">
      <c r="C419" s="8"/>
      <c r="D419" s="8"/>
      <c r="E419" s="8"/>
      <c r="H419" s="8"/>
    </row>
    <row r="420" ht="14.25" customHeight="1">
      <c r="C420" s="8"/>
      <c r="D420" s="8"/>
      <c r="E420" s="8"/>
      <c r="H420" s="8"/>
    </row>
    <row r="421" ht="14.25" customHeight="1">
      <c r="C421" s="8"/>
      <c r="D421" s="8"/>
      <c r="E421" s="8"/>
      <c r="H421" s="8"/>
    </row>
    <row r="422" ht="14.25" customHeight="1">
      <c r="C422" s="8"/>
      <c r="D422" s="8"/>
      <c r="E422" s="8"/>
      <c r="H422" s="8"/>
    </row>
    <row r="423" ht="14.25" customHeight="1">
      <c r="C423" s="8"/>
      <c r="D423" s="8"/>
      <c r="E423" s="8"/>
      <c r="H423" s="8"/>
    </row>
    <row r="424" ht="14.25" customHeight="1">
      <c r="C424" s="8"/>
      <c r="D424" s="8"/>
      <c r="E424" s="8"/>
      <c r="H424" s="8"/>
    </row>
    <row r="425" ht="14.25" customHeight="1">
      <c r="C425" s="8"/>
      <c r="D425" s="8"/>
      <c r="E425" s="8"/>
      <c r="H425" s="8"/>
    </row>
    <row r="426" ht="14.25" customHeight="1">
      <c r="C426" s="8"/>
      <c r="D426" s="8"/>
      <c r="E426" s="8"/>
      <c r="H426" s="8"/>
    </row>
    <row r="427" ht="14.25" customHeight="1">
      <c r="C427" s="8"/>
      <c r="D427" s="8"/>
      <c r="E427" s="8"/>
      <c r="H427" s="8"/>
    </row>
    <row r="428" ht="14.25" customHeight="1">
      <c r="C428" s="8"/>
      <c r="D428" s="8"/>
      <c r="E428" s="8"/>
      <c r="H428" s="8"/>
    </row>
    <row r="429" ht="14.25" customHeight="1">
      <c r="C429" s="8"/>
      <c r="D429" s="8"/>
      <c r="E429" s="8"/>
      <c r="H429" s="8"/>
    </row>
    <row r="430" ht="14.25" customHeight="1">
      <c r="C430" s="8"/>
      <c r="D430" s="8"/>
      <c r="E430" s="8"/>
      <c r="H430" s="8"/>
    </row>
    <row r="431" ht="14.25" customHeight="1">
      <c r="C431" s="8"/>
      <c r="D431" s="8"/>
      <c r="E431" s="8"/>
      <c r="H431" s="8"/>
    </row>
    <row r="432" ht="14.25" customHeight="1">
      <c r="C432" s="8"/>
      <c r="D432" s="8"/>
      <c r="E432" s="8"/>
      <c r="H432" s="8"/>
    </row>
    <row r="433" ht="14.25" customHeight="1">
      <c r="C433" s="8"/>
      <c r="D433" s="8"/>
      <c r="E433" s="8"/>
      <c r="H433" s="8"/>
    </row>
    <row r="434" ht="14.25" customHeight="1">
      <c r="C434" s="8"/>
      <c r="D434" s="8"/>
      <c r="E434" s="8"/>
      <c r="H434" s="8"/>
    </row>
    <row r="435" ht="14.25" customHeight="1">
      <c r="C435" s="8"/>
      <c r="D435" s="8"/>
      <c r="E435" s="8"/>
      <c r="H435" s="8"/>
    </row>
    <row r="436" ht="14.25" customHeight="1">
      <c r="C436" s="8"/>
      <c r="D436" s="8"/>
      <c r="E436" s="8"/>
      <c r="H436" s="8"/>
    </row>
    <row r="437" ht="14.25" customHeight="1">
      <c r="C437" s="8"/>
      <c r="D437" s="8"/>
      <c r="E437" s="8"/>
      <c r="H437" s="8"/>
    </row>
    <row r="438" ht="14.25" customHeight="1">
      <c r="C438" s="8"/>
      <c r="D438" s="8"/>
      <c r="E438" s="8"/>
      <c r="H438" s="8"/>
    </row>
    <row r="439" ht="14.25" customHeight="1">
      <c r="C439" s="8"/>
      <c r="D439" s="8"/>
      <c r="E439" s="8"/>
      <c r="H439" s="8"/>
    </row>
    <row r="440" ht="14.25" customHeight="1">
      <c r="C440" s="8"/>
      <c r="D440" s="8"/>
      <c r="E440" s="8"/>
      <c r="H440" s="8"/>
    </row>
    <row r="441" ht="14.25" customHeight="1">
      <c r="C441" s="8"/>
      <c r="D441" s="8"/>
      <c r="E441" s="8"/>
      <c r="H441" s="8"/>
    </row>
    <row r="442" ht="14.25" customHeight="1">
      <c r="C442" s="8"/>
      <c r="D442" s="8"/>
      <c r="E442" s="8"/>
      <c r="H442" s="8"/>
    </row>
    <row r="443" ht="14.25" customHeight="1">
      <c r="C443" s="8"/>
      <c r="D443" s="8"/>
      <c r="E443" s="8"/>
      <c r="H443" s="8"/>
    </row>
    <row r="444" ht="14.25" customHeight="1">
      <c r="C444" s="8"/>
      <c r="D444" s="8"/>
      <c r="E444" s="8"/>
      <c r="H444" s="8"/>
    </row>
    <row r="445" ht="14.25" customHeight="1">
      <c r="C445" s="8"/>
      <c r="D445" s="8"/>
      <c r="E445" s="8"/>
      <c r="H445" s="8"/>
    </row>
    <row r="446" ht="14.25" customHeight="1">
      <c r="C446" s="8"/>
      <c r="D446" s="8"/>
      <c r="E446" s="8"/>
      <c r="H446" s="8"/>
    </row>
    <row r="447" ht="14.25" customHeight="1">
      <c r="C447" s="8"/>
      <c r="D447" s="8"/>
      <c r="E447" s="8"/>
      <c r="H447" s="8"/>
    </row>
    <row r="448" ht="14.25" customHeight="1">
      <c r="C448" s="8"/>
      <c r="D448" s="8"/>
      <c r="E448" s="8"/>
      <c r="H448" s="8"/>
    </row>
    <row r="449" ht="14.25" customHeight="1">
      <c r="C449" s="8"/>
      <c r="D449" s="8"/>
      <c r="E449" s="8"/>
      <c r="H449" s="8"/>
    </row>
    <row r="450" ht="14.25" customHeight="1">
      <c r="C450" s="8"/>
      <c r="D450" s="8"/>
      <c r="E450" s="8"/>
      <c r="H450" s="8"/>
    </row>
    <row r="451" ht="14.25" customHeight="1">
      <c r="C451" s="8"/>
      <c r="D451" s="8"/>
      <c r="E451" s="8"/>
      <c r="H451" s="8"/>
    </row>
    <row r="452" ht="14.25" customHeight="1">
      <c r="C452" s="8"/>
      <c r="D452" s="8"/>
      <c r="E452" s="8"/>
      <c r="H452" s="8"/>
    </row>
    <row r="453" ht="14.25" customHeight="1">
      <c r="C453" s="8"/>
      <c r="D453" s="8"/>
      <c r="E453" s="8"/>
      <c r="H453" s="8"/>
    </row>
    <row r="454" ht="14.25" customHeight="1">
      <c r="C454" s="8"/>
      <c r="D454" s="8"/>
      <c r="E454" s="8"/>
      <c r="H454" s="8"/>
    </row>
    <row r="455" ht="14.25" customHeight="1">
      <c r="C455" s="8"/>
      <c r="D455" s="8"/>
      <c r="E455" s="8"/>
      <c r="H455" s="8"/>
    </row>
    <row r="456" ht="14.25" customHeight="1">
      <c r="C456" s="8"/>
      <c r="D456" s="8"/>
      <c r="E456" s="8"/>
      <c r="H456" s="8"/>
    </row>
    <row r="457" ht="14.25" customHeight="1">
      <c r="C457" s="8"/>
      <c r="D457" s="8"/>
      <c r="E457" s="8"/>
      <c r="H457" s="8"/>
    </row>
    <row r="458" ht="14.25" customHeight="1">
      <c r="C458" s="8"/>
      <c r="D458" s="8"/>
      <c r="E458" s="8"/>
      <c r="H458" s="8"/>
    </row>
    <row r="459" ht="14.25" customHeight="1">
      <c r="C459" s="8"/>
      <c r="D459" s="8"/>
      <c r="E459" s="8"/>
      <c r="H459" s="8"/>
    </row>
    <row r="460" ht="14.25" customHeight="1">
      <c r="C460" s="8"/>
      <c r="D460" s="8"/>
      <c r="E460" s="8"/>
      <c r="H460" s="8"/>
    </row>
    <row r="461" ht="14.25" customHeight="1">
      <c r="C461" s="8"/>
      <c r="D461" s="8"/>
      <c r="E461" s="8"/>
      <c r="H461" s="8"/>
    </row>
    <row r="462" ht="14.25" customHeight="1">
      <c r="C462" s="8"/>
      <c r="D462" s="8"/>
      <c r="E462" s="8"/>
      <c r="H462" s="8"/>
    </row>
    <row r="463" ht="14.25" customHeight="1">
      <c r="C463" s="8"/>
      <c r="D463" s="8"/>
      <c r="E463" s="8"/>
      <c r="H463" s="8"/>
    </row>
    <row r="464" ht="14.25" customHeight="1">
      <c r="C464" s="8"/>
      <c r="D464" s="8"/>
      <c r="E464" s="8"/>
      <c r="H464" s="8"/>
    </row>
    <row r="465" ht="14.25" customHeight="1">
      <c r="C465" s="8"/>
      <c r="D465" s="8"/>
      <c r="E465" s="8"/>
      <c r="H465" s="8"/>
    </row>
    <row r="466" ht="14.25" customHeight="1">
      <c r="C466" s="8"/>
      <c r="D466" s="8"/>
      <c r="E466" s="8"/>
      <c r="H466" s="8"/>
    </row>
    <row r="467" ht="14.25" customHeight="1">
      <c r="C467" s="8"/>
      <c r="D467" s="8"/>
      <c r="E467" s="8"/>
      <c r="H467" s="8"/>
    </row>
    <row r="468" ht="14.25" customHeight="1">
      <c r="C468" s="8"/>
      <c r="D468" s="8"/>
      <c r="E468" s="8"/>
      <c r="H468" s="8"/>
    </row>
    <row r="469" ht="14.25" customHeight="1">
      <c r="C469" s="8"/>
      <c r="D469" s="8"/>
      <c r="E469" s="8"/>
      <c r="H469" s="8"/>
    </row>
    <row r="470" ht="14.25" customHeight="1">
      <c r="C470" s="8"/>
      <c r="D470" s="8"/>
      <c r="E470" s="8"/>
      <c r="H470" s="8"/>
    </row>
    <row r="471" ht="14.25" customHeight="1">
      <c r="C471" s="8"/>
      <c r="D471" s="8"/>
      <c r="E471" s="8"/>
      <c r="H471" s="8"/>
    </row>
    <row r="472" ht="14.25" customHeight="1">
      <c r="C472" s="8"/>
      <c r="D472" s="8"/>
      <c r="E472" s="8"/>
      <c r="H472" s="8"/>
    </row>
    <row r="473" ht="14.25" customHeight="1">
      <c r="C473" s="8"/>
      <c r="D473" s="8"/>
      <c r="E473" s="8"/>
      <c r="H473" s="8"/>
    </row>
    <row r="474" ht="14.25" customHeight="1">
      <c r="C474" s="8"/>
      <c r="D474" s="8"/>
      <c r="E474" s="8"/>
      <c r="H474" s="8"/>
    </row>
    <row r="475" ht="14.25" customHeight="1">
      <c r="C475" s="8"/>
      <c r="D475" s="8"/>
      <c r="E475" s="8"/>
      <c r="H475" s="8"/>
    </row>
    <row r="476" ht="14.25" customHeight="1">
      <c r="C476" s="8"/>
      <c r="D476" s="8"/>
      <c r="E476" s="8"/>
      <c r="H476" s="8"/>
    </row>
    <row r="477" ht="14.25" customHeight="1">
      <c r="C477" s="8"/>
      <c r="D477" s="8"/>
      <c r="E477" s="8"/>
      <c r="H477" s="8"/>
    </row>
    <row r="478" ht="14.25" customHeight="1">
      <c r="C478" s="8"/>
      <c r="D478" s="8"/>
      <c r="E478" s="8"/>
      <c r="H478" s="8"/>
    </row>
    <row r="479" ht="14.25" customHeight="1">
      <c r="C479" s="8"/>
      <c r="D479" s="8"/>
      <c r="E479" s="8"/>
      <c r="H479" s="8"/>
    </row>
    <row r="480" ht="14.25" customHeight="1">
      <c r="C480" s="8"/>
      <c r="D480" s="8"/>
      <c r="E480" s="8"/>
      <c r="H480" s="8"/>
    </row>
    <row r="481" ht="14.25" customHeight="1">
      <c r="C481" s="8"/>
      <c r="D481" s="8"/>
      <c r="E481" s="8"/>
      <c r="H481" s="8"/>
    </row>
    <row r="482" ht="14.25" customHeight="1">
      <c r="C482" s="8"/>
      <c r="D482" s="8"/>
      <c r="E482" s="8"/>
      <c r="H482" s="8"/>
    </row>
    <row r="483" ht="14.25" customHeight="1">
      <c r="C483" s="8"/>
      <c r="D483" s="8"/>
      <c r="E483" s="8"/>
      <c r="H483" s="8"/>
    </row>
    <row r="484" ht="14.25" customHeight="1">
      <c r="C484" s="8"/>
      <c r="D484" s="8"/>
      <c r="E484" s="8"/>
      <c r="H484" s="8"/>
    </row>
    <row r="485" ht="14.25" customHeight="1">
      <c r="C485" s="8"/>
      <c r="D485" s="8"/>
      <c r="E485" s="8"/>
      <c r="H485" s="8"/>
    </row>
    <row r="486" ht="14.25" customHeight="1">
      <c r="C486" s="8"/>
      <c r="D486" s="8"/>
      <c r="E486" s="8"/>
      <c r="H486" s="8"/>
    </row>
    <row r="487" ht="14.25" customHeight="1">
      <c r="C487" s="8"/>
      <c r="D487" s="8"/>
      <c r="E487" s="8"/>
      <c r="H487" s="8"/>
    </row>
    <row r="488" ht="14.25" customHeight="1">
      <c r="C488" s="8"/>
      <c r="D488" s="8"/>
      <c r="E488" s="8"/>
      <c r="H488" s="8"/>
    </row>
    <row r="489" ht="14.25" customHeight="1">
      <c r="C489" s="8"/>
      <c r="D489" s="8"/>
      <c r="E489" s="8"/>
      <c r="H489" s="8"/>
    </row>
    <row r="490" ht="14.25" customHeight="1">
      <c r="C490" s="8"/>
      <c r="D490" s="8"/>
      <c r="E490" s="8"/>
      <c r="H490" s="8"/>
    </row>
    <row r="491" ht="14.25" customHeight="1">
      <c r="C491" s="8"/>
      <c r="D491" s="8"/>
      <c r="E491" s="8"/>
      <c r="H491" s="8"/>
    </row>
    <row r="492" ht="14.25" customHeight="1">
      <c r="C492" s="8"/>
      <c r="D492" s="8"/>
      <c r="E492" s="8"/>
      <c r="H492" s="8"/>
    </row>
    <row r="493" ht="14.25" customHeight="1">
      <c r="C493" s="8"/>
      <c r="D493" s="8"/>
      <c r="E493" s="8"/>
      <c r="H493" s="8"/>
    </row>
    <row r="494" ht="14.25" customHeight="1">
      <c r="C494" s="8"/>
      <c r="D494" s="8"/>
      <c r="E494" s="8"/>
      <c r="H494" s="8"/>
    </row>
    <row r="495" ht="14.25" customHeight="1">
      <c r="C495" s="8"/>
      <c r="D495" s="8"/>
      <c r="E495" s="8"/>
      <c r="H495" s="8"/>
    </row>
    <row r="496" ht="14.25" customHeight="1">
      <c r="C496" s="8"/>
      <c r="D496" s="8"/>
      <c r="E496" s="8"/>
      <c r="H496" s="8"/>
    </row>
    <row r="497" ht="14.25" customHeight="1">
      <c r="C497" s="8"/>
      <c r="D497" s="8"/>
      <c r="E497" s="8"/>
      <c r="H497" s="8"/>
    </row>
    <row r="498" ht="14.25" customHeight="1">
      <c r="C498" s="8"/>
      <c r="D498" s="8"/>
      <c r="E498" s="8"/>
      <c r="H498" s="8"/>
    </row>
    <row r="499" ht="14.25" customHeight="1">
      <c r="C499" s="8"/>
      <c r="D499" s="8"/>
      <c r="E499" s="8"/>
      <c r="H499" s="8"/>
    </row>
    <row r="500" ht="14.25" customHeight="1">
      <c r="C500" s="8"/>
      <c r="D500" s="8"/>
      <c r="E500" s="8"/>
      <c r="H500" s="8"/>
    </row>
    <row r="501" ht="14.25" customHeight="1">
      <c r="C501" s="8"/>
      <c r="D501" s="8"/>
      <c r="E501" s="8"/>
      <c r="H501" s="8"/>
    </row>
    <row r="502" ht="14.25" customHeight="1">
      <c r="C502" s="8"/>
      <c r="D502" s="8"/>
      <c r="E502" s="8"/>
      <c r="H502" s="8"/>
    </row>
    <row r="503" ht="14.25" customHeight="1">
      <c r="C503" s="8"/>
      <c r="D503" s="8"/>
      <c r="E503" s="8"/>
      <c r="H503" s="8"/>
    </row>
    <row r="504" ht="14.25" customHeight="1">
      <c r="C504" s="8"/>
      <c r="D504" s="8"/>
      <c r="E504" s="8"/>
      <c r="H504" s="8"/>
    </row>
    <row r="505" ht="14.25" customHeight="1">
      <c r="C505" s="8"/>
      <c r="D505" s="8"/>
      <c r="E505" s="8"/>
      <c r="H505" s="8"/>
    </row>
    <row r="506" ht="14.25" customHeight="1">
      <c r="C506" s="8"/>
      <c r="D506" s="8"/>
      <c r="E506" s="8"/>
      <c r="H506" s="8"/>
    </row>
    <row r="507" ht="14.25" customHeight="1">
      <c r="C507" s="8"/>
      <c r="D507" s="8"/>
      <c r="E507" s="8"/>
      <c r="H507" s="8"/>
    </row>
    <row r="508" ht="14.25" customHeight="1">
      <c r="C508" s="8"/>
      <c r="D508" s="8"/>
      <c r="E508" s="8"/>
      <c r="H508" s="8"/>
    </row>
    <row r="509" ht="14.25" customHeight="1">
      <c r="C509" s="8"/>
      <c r="D509" s="8"/>
      <c r="E509" s="8"/>
      <c r="H509" s="8"/>
    </row>
    <row r="510" ht="14.25" customHeight="1">
      <c r="C510" s="8"/>
      <c r="D510" s="8"/>
      <c r="E510" s="8"/>
      <c r="H510" s="8"/>
    </row>
    <row r="511" ht="14.25" customHeight="1">
      <c r="C511" s="8"/>
      <c r="D511" s="8"/>
      <c r="E511" s="8"/>
      <c r="H511" s="8"/>
    </row>
    <row r="512" ht="14.25" customHeight="1">
      <c r="C512" s="8"/>
      <c r="D512" s="8"/>
      <c r="E512" s="8"/>
      <c r="H512" s="8"/>
    </row>
    <row r="513" ht="14.25" customHeight="1">
      <c r="C513" s="8"/>
      <c r="D513" s="8"/>
      <c r="E513" s="8"/>
      <c r="H513" s="8"/>
    </row>
    <row r="514" ht="14.25" customHeight="1">
      <c r="C514" s="8"/>
      <c r="D514" s="8"/>
      <c r="E514" s="8"/>
      <c r="H514" s="8"/>
    </row>
    <row r="515" ht="14.25" customHeight="1">
      <c r="C515" s="8"/>
      <c r="D515" s="8"/>
      <c r="E515" s="8"/>
      <c r="H515" s="8"/>
    </row>
    <row r="516" ht="14.25" customHeight="1">
      <c r="C516" s="8"/>
      <c r="D516" s="8"/>
      <c r="E516" s="8"/>
      <c r="H516" s="8"/>
    </row>
    <row r="517" ht="14.25" customHeight="1">
      <c r="C517" s="8"/>
      <c r="D517" s="8"/>
      <c r="E517" s="8"/>
      <c r="H517" s="8"/>
    </row>
    <row r="518" ht="14.25" customHeight="1">
      <c r="C518" s="8"/>
      <c r="D518" s="8"/>
      <c r="E518" s="8"/>
      <c r="H518" s="8"/>
    </row>
    <row r="519" ht="14.25" customHeight="1">
      <c r="C519" s="8"/>
      <c r="D519" s="8"/>
      <c r="E519" s="8"/>
      <c r="H519" s="8"/>
    </row>
    <row r="520" ht="14.25" customHeight="1">
      <c r="C520" s="8"/>
      <c r="D520" s="8"/>
      <c r="E520" s="8"/>
      <c r="H520" s="8"/>
    </row>
    <row r="521" ht="14.25" customHeight="1">
      <c r="C521" s="8"/>
      <c r="D521" s="8"/>
      <c r="E521" s="8"/>
      <c r="H521" s="8"/>
    </row>
    <row r="522" ht="14.25" customHeight="1">
      <c r="C522" s="8"/>
      <c r="D522" s="8"/>
      <c r="E522" s="8"/>
      <c r="H522" s="8"/>
    </row>
    <row r="523" ht="14.25" customHeight="1">
      <c r="C523" s="8"/>
      <c r="D523" s="8"/>
      <c r="E523" s="8"/>
      <c r="H523" s="8"/>
    </row>
    <row r="524" ht="14.25" customHeight="1">
      <c r="C524" s="8"/>
      <c r="D524" s="8"/>
      <c r="E524" s="8"/>
      <c r="H524" s="8"/>
    </row>
    <row r="525" ht="14.25" customHeight="1">
      <c r="C525" s="8"/>
      <c r="D525" s="8"/>
      <c r="E525" s="8"/>
      <c r="H525" s="8"/>
    </row>
    <row r="526" ht="14.25" customHeight="1">
      <c r="C526" s="8"/>
      <c r="D526" s="8"/>
      <c r="E526" s="8"/>
      <c r="H526" s="8"/>
    </row>
    <row r="527" ht="14.25" customHeight="1">
      <c r="C527" s="8"/>
      <c r="D527" s="8"/>
      <c r="E527" s="8"/>
      <c r="H527" s="8"/>
    </row>
    <row r="528" ht="14.25" customHeight="1">
      <c r="C528" s="8"/>
      <c r="D528" s="8"/>
      <c r="E528" s="8"/>
      <c r="H528" s="8"/>
    </row>
    <row r="529" ht="14.25" customHeight="1">
      <c r="C529" s="8"/>
      <c r="D529" s="8"/>
      <c r="E529" s="8"/>
      <c r="H529" s="8"/>
    </row>
    <row r="530" ht="14.25" customHeight="1">
      <c r="C530" s="8"/>
      <c r="D530" s="8"/>
      <c r="E530" s="8"/>
      <c r="H530" s="8"/>
    </row>
    <row r="531" ht="14.25" customHeight="1">
      <c r="C531" s="8"/>
      <c r="D531" s="8"/>
      <c r="E531" s="8"/>
      <c r="H531" s="8"/>
    </row>
    <row r="532" ht="14.25" customHeight="1">
      <c r="C532" s="8"/>
      <c r="D532" s="8"/>
      <c r="E532" s="8"/>
      <c r="H532" s="8"/>
    </row>
    <row r="533" ht="14.25" customHeight="1">
      <c r="C533" s="8"/>
      <c r="D533" s="8"/>
      <c r="E533" s="8"/>
      <c r="H533" s="8"/>
    </row>
    <row r="534" ht="14.25" customHeight="1">
      <c r="C534" s="8"/>
      <c r="D534" s="8"/>
      <c r="E534" s="8"/>
      <c r="H534" s="8"/>
    </row>
    <row r="535" ht="14.25" customHeight="1">
      <c r="C535" s="8"/>
      <c r="D535" s="8"/>
      <c r="E535" s="8"/>
      <c r="H535" s="8"/>
    </row>
    <row r="536" ht="14.25" customHeight="1">
      <c r="C536" s="8"/>
      <c r="D536" s="8"/>
      <c r="E536" s="8"/>
      <c r="H536" s="8"/>
    </row>
    <row r="537" ht="14.25" customHeight="1">
      <c r="C537" s="8"/>
      <c r="D537" s="8"/>
      <c r="E537" s="8"/>
      <c r="H537" s="8"/>
    </row>
    <row r="538" ht="14.25" customHeight="1">
      <c r="C538" s="8"/>
      <c r="D538" s="8"/>
      <c r="E538" s="8"/>
      <c r="H538" s="8"/>
    </row>
    <row r="539" ht="14.25" customHeight="1">
      <c r="C539" s="8"/>
      <c r="D539" s="8"/>
      <c r="E539" s="8"/>
      <c r="H539" s="8"/>
    </row>
    <row r="540" ht="14.25" customHeight="1">
      <c r="C540" s="8"/>
      <c r="D540" s="8"/>
      <c r="E540" s="8"/>
      <c r="H540" s="8"/>
    </row>
    <row r="541" ht="14.25" customHeight="1">
      <c r="C541" s="8"/>
      <c r="D541" s="8"/>
      <c r="E541" s="8"/>
      <c r="H541" s="8"/>
    </row>
    <row r="542" ht="14.25" customHeight="1">
      <c r="C542" s="8"/>
      <c r="D542" s="8"/>
      <c r="E542" s="8"/>
      <c r="H542" s="8"/>
    </row>
    <row r="543" ht="14.25" customHeight="1">
      <c r="C543" s="8"/>
      <c r="D543" s="8"/>
      <c r="E543" s="8"/>
      <c r="H543" s="8"/>
    </row>
    <row r="544" ht="14.25" customHeight="1">
      <c r="C544" s="8"/>
      <c r="D544" s="8"/>
      <c r="E544" s="8"/>
      <c r="H544" s="8"/>
    </row>
    <row r="545" ht="14.25" customHeight="1">
      <c r="C545" s="8"/>
      <c r="D545" s="8"/>
      <c r="E545" s="8"/>
      <c r="H545" s="8"/>
    </row>
    <row r="546" ht="14.25" customHeight="1">
      <c r="C546" s="8"/>
      <c r="D546" s="8"/>
      <c r="E546" s="8"/>
      <c r="H546" s="8"/>
    </row>
    <row r="547" ht="14.25" customHeight="1">
      <c r="C547" s="8"/>
      <c r="D547" s="8"/>
      <c r="E547" s="8"/>
      <c r="H547" s="8"/>
    </row>
    <row r="548" ht="14.25" customHeight="1">
      <c r="C548" s="8"/>
      <c r="D548" s="8"/>
      <c r="E548" s="8"/>
      <c r="H548" s="8"/>
    </row>
    <row r="549" ht="14.25" customHeight="1">
      <c r="C549" s="8"/>
      <c r="D549" s="8"/>
      <c r="E549" s="8"/>
      <c r="H549" s="8"/>
    </row>
    <row r="550" ht="14.25" customHeight="1">
      <c r="C550" s="8"/>
      <c r="D550" s="8"/>
      <c r="E550" s="8"/>
      <c r="H550" s="8"/>
    </row>
    <row r="551" ht="14.25" customHeight="1">
      <c r="C551" s="8"/>
      <c r="D551" s="8"/>
      <c r="E551" s="8"/>
      <c r="H551" s="8"/>
    </row>
    <row r="552" ht="14.25" customHeight="1">
      <c r="C552" s="8"/>
      <c r="D552" s="8"/>
      <c r="E552" s="8"/>
      <c r="H552" s="8"/>
    </row>
    <row r="553" ht="14.25" customHeight="1">
      <c r="C553" s="8"/>
      <c r="D553" s="8"/>
      <c r="E553" s="8"/>
      <c r="H553" s="8"/>
    </row>
    <row r="554" ht="14.25" customHeight="1">
      <c r="C554" s="8"/>
      <c r="D554" s="8"/>
      <c r="E554" s="8"/>
      <c r="H554" s="8"/>
    </row>
    <row r="555" ht="14.25" customHeight="1">
      <c r="C555" s="8"/>
      <c r="D555" s="8"/>
      <c r="E555" s="8"/>
      <c r="H555" s="8"/>
    </row>
    <row r="556" ht="14.25" customHeight="1">
      <c r="C556" s="8"/>
      <c r="D556" s="8"/>
      <c r="E556" s="8"/>
      <c r="H556" s="8"/>
    </row>
    <row r="557" ht="14.25" customHeight="1">
      <c r="C557" s="8"/>
      <c r="D557" s="8"/>
      <c r="E557" s="8"/>
      <c r="H557" s="8"/>
    </row>
    <row r="558" ht="14.25" customHeight="1">
      <c r="C558" s="8"/>
      <c r="D558" s="8"/>
      <c r="E558" s="8"/>
      <c r="H558" s="8"/>
    </row>
    <row r="559" ht="14.25" customHeight="1">
      <c r="C559" s="8"/>
      <c r="D559" s="8"/>
      <c r="E559" s="8"/>
      <c r="H559" s="8"/>
    </row>
    <row r="560" ht="14.25" customHeight="1">
      <c r="C560" s="8"/>
      <c r="D560" s="8"/>
      <c r="E560" s="8"/>
      <c r="H560" s="8"/>
    </row>
    <row r="561" ht="14.25" customHeight="1">
      <c r="C561" s="8"/>
      <c r="D561" s="8"/>
      <c r="E561" s="8"/>
      <c r="H561" s="8"/>
    </row>
    <row r="562" ht="14.25" customHeight="1">
      <c r="C562" s="8"/>
      <c r="D562" s="8"/>
      <c r="E562" s="8"/>
      <c r="H562" s="8"/>
    </row>
    <row r="563" ht="14.25" customHeight="1">
      <c r="C563" s="8"/>
      <c r="D563" s="8"/>
      <c r="E563" s="8"/>
      <c r="H563" s="8"/>
    </row>
    <row r="564" ht="14.25" customHeight="1">
      <c r="C564" s="8"/>
      <c r="D564" s="8"/>
      <c r="E564" s="8"/>
      <c r="H564" s="8"/>
    </row>
    <row r="565" ht="14.25" customHeight="1">
      <c r="C565" s="8"/>
      <c r="D565" s="8"/>
      <c r="E565" s="8"/>
      <c r="H565" s="8"/>
    </row>
    <row r="566" ht="14.25" customHeight="1">
      <c r="C566" s="8"/>
      <c r="D566" s="8"/>
      <c r="E566" s="8"/>
      <c r="H566" s="8"/>
    </row>
    <row r="567" ht="14.25" customHeight="1">
      <c r="C567" s="8"/>
      <c r="D567" s="8"/>
      <c r="E567" s="8"/>
      <c r="H567" s="8"/>
    </row>
    <row r="568" ht="14.25" customHeight="1">
      <c r="C568" s="8"/>
      <c r="D568" s="8"/>
      <c r="E568" s="8"/>
      <c r="H568" s="8"/>
    </row>
    <row r="569" ht="14.25" customHeight="1">
      <c r="C569" s="8"/>
      <c r="D569" s="8"/>
      <c r="E569" s="8"/>
      <c r="H569" s="8"/>
    </row>
    <row r="570" ht="14.25" customHeight="1">
      <c r="C570" s="8"/>
      <c r="D570" s="8"/>
      <c r="E570" s="8"/>
      <c r="H570" s="8"/>
    </row>
    <row r="571" ht="14.25" customHeight="1">
      <c r="C571" s="8"/>
      <c r="D571" s="8"/>
      <c r="E571" s="8"/>
      <c r="H571" s="8"/>
    </row>
    <row r="572" ht="14.25" customHeight="1">
      <c r="C572" s="8"/>
      <c r="D572" s="8"/>
      <c r="E572" s="8"/>
      <c r="H572" s="8"/>
    </row>
    <row r="573" ht="14.25" customHeight="1">
      <c r="C573" s="8"/>
      <c r="D573" s="8"/>
      <c r="E573" s="8"/>
      <c r="H573" s="8"/>
    </row>
    <row r="574" ht="14.25" customHeight="1">
      <c r="C574" s="8"/>
      <c r="D574" s="8"/>
      <c r="E574" s="8"/>
      <c r="H574" s="8"/>
    </row>
    <row r="575" ht="14.25" customHeight="1">
      <c r="C575" s="8"/>
      <c r="D575" s="8"/>
      <c r="E575" s="8"/>
      <c r="H575" s="8"/>
    </row>
    <row r="576" ht="14.25" customHeight="1">
      <c r="C576" s="8"/>
      <c r="D576" s="8"/>
      <c r="E576" s="8"/>
      <c r="H576" s="8"/>
    </row>
    <row r="577" ht="14.25" customHeight="1">
      <c r="C577" s="8"/>
      <c r="D577" s="8"/>
      <c r="E577" s="8"/>
      <c r="H577" s="8"/>
    </row>
    <row r="578" ht="14.25" customHeight="1">
      <c r="C578" s="8"/>
      <c r="D578" s="8"/>
      <c r="E578" s="8"/>
      <c r="H578" s="8"/>
    </row>
    <row r="579" ht="14.25" customHeight="1">
      <c r="C579" s="8"/>
      <c r="D579" s="8"/>
      <c r="E579" s="8"/>
      <c r="H579" s="8"/>
    </row>
    <row r="580" ht="14.25" customHeight="1">
      <c r="C580" s="8"/>
      <c r="D580" s="8"/>
      <c r="E580" s="8"/>
      <c r="H580" s="8"/>
    </row>
    <row r="581" ht="14.25" customHeight="1">
      <c r="C581" s="8"/>
      <c r="D581" s="8"/>
      <c r="E581" s="8"/>
      <c r="H581" s="8"/>
    </row>
    <row r="582" ht="14.25" customHeight="1">
      <c r="C582" s="8"/>
      <c r="D582" s="8"/>
      <c r="E582" s="8"/>
      <c r="H582" s="8"/>
    </row>
    <row r="583" ht="14.25" customHeight="1">
      <c r="C583" s="8"/>
      <c r="D583" s="8"/>
      <c r="E583" s="8"/>
      <c r="H583" s="8"/>
    </row>
    <row r="584" ht="14.25" customHeight="1">
      <c r="C584" s="8"/>
      <c r="D584" s="8"/>
      <c r="E584" s="8"/>
      <c r="H584" s="8"/>
    </row>
    <row r="585" ht="14.25" customHeight="1">
      <c r="C585" s="8"/>
      <c r="D585" s="8"/>
      <c r="E585" s="8"/>
      <c r="H585" s="8"/>
    </row>
    <row r="586" ht="14.25" customHeight="1">
      <c r="C586" s="8"/>
      <c r="D586" s="8"/>
      <c r="E586" s="8"/>
      <c r="H586" s="8"/>
    </row>
    <row r="587" ht="14.25" customHeight="1">
      <c r="C587" s="8"/>
      <c r="D587" s="8"/>
      <c r="E587" s="8"/>
      <c r="H587" s="8"/>
    </row>
    <row r="588" ht="14.25" customHeight="1">
      <c r="C588" s="8"/>
      <c r="D588" s="8"/>
      <c r="E588" s="8"/>
      <c r="H588" s="8"/>
    </row>
    <row r="589" ht="14.25" customHeight="1">
      <c r="C589" s="8"/>
      <c r="D589" s="8"/>
      <c r="E589" s="8"/>
      <c r="H589" s="8"/>
    </row>
    <row r="590" ht="14.25" customHeight="1">
      <c r="C590" s="8"/>
      <c r="D590" s="8"/>
      <c r="E590" s="8"/>
      <c r="H590" s="8"/>
    </row>
    <row r="591" ht="14.25" customHeight="1">
      <c r="C591" s="8"/>
      <c r="D591" s="8"/>
      <c r="E591" s="8"/>
      <c r="H591" s="8"/>
    </row>
    <row r="592" ht="14.25" customHeight="1">
      <c r="C592" s="8"/>
      <c r="D592" s="8"/>
      <c r="E592" s="8"/>
      <c r="H592" s="8"/>
    </row>
    <row r="593" ht="14.25" customHeight="1">
      <c r="C593" s="8"/>
      <c r="D593" s="8"/>
      <c r="E593" s="8"/>
      <c r="H593" s="8"/>
    </row>
    <row r="594" ht="14.25" customHeight="1">
      <c r="C594" s="8"/>
      <c r="D594" s="8"/>
      <c r="E594" s="8"/>
      <c r="H594" s="8"/>
    </row>
    <row r="595" ht="14.25" customHeight="1">
      <c r="C595" s="8"/>
      <c r="D595" s="8"/>
      <c r="E595" s="8"/>
      <c r="H595" s="8"/>
    </row>
    <row r="596" ht="14.25" customHeight="1">
      <c r="C596" s="8"/>
      <c r="D596" s="8"/>
      <c r="E596" s="8"/>
      <c r="H596" s="8"/>
    </row>
    <row r="597" ht="14.25" customHeight="1">
      <c r="C597" s="8"/>
      <c r="D597" s="8"/>
      <c r="E597" s="8"/>
      <c r="H597" s="8"/>
    </row>
    <row r="598" ht="14.25" customHeight="1">
      <c r="C598" s="8"/>
      <c r="D598" s="8"/>
      <c r="E598" s="8"/>
      <c r="H598" s="8"/>
    </row>
    <row r="599" ht="14.25" customHeight="1">
      <c r="C599" s="8"/>
      <c r="D599" s="8"/>
      <c r="E599" s="8"/>
      <c r="H599" s="8"/>
    </row>
    <row r="600" ht="14.25" customHeight="1">
      <c r="C600" s="8"/>
      <c r="D600" s="8"/>
      <c r="E600" s="8"/>
      <c r="H600" s="8"/>
    </row>
    <row r="601" ht="14.25" customHeight="1">
      <c r="C601" s="8"/>
      <c r="D601" s="8"/>
      <c r="E601" s="8"/>
      <c r="H601" s="8"/>
    </row>
    <row r="602" ht="14.25" customHeight="1">
      <c r="C602" s="8"/>
      <c r="D602" s="8"/>
      <c r="E602" s="8"/>
      <c r="H602" s="8"/>
    </row>
    <row r="603" ht="14.25" customHeight="1">
      <c r="C603" s="8"/>
      <c r="D603" s="8"/>
      <c r="E603" s="8"/>
      <c r="H603" s="8"/>
    </row>
    <row r="604" ht="14.25" customHeight="1">
      <c r="C604" s="8"/>
      <c r="D604" s="8"/>
      <c r="E604" s="8"/>
      <c r="H604" s="8"/>
    </row>
    <row r="605" ht="14.25" customHeight="1">
      <c r="C605" s="8"/>
      <c r="D605" s="8"/>
      <c r="E605" s="8"/>
      <c r="H605" s="8"/>
    </row>
    <row r="606" ht="14.25" customHeight="1">
      <c r="C606" s="8"/>
      <c r="D606" s="8"/>
      <c r="E606" s="8"/>
      <c r="H606" s="8"/>
    </row>
    <row r="607" ht="14.25" customHeight="1">
      <c r="C607" s="8"/>
      <c r="D607" s="8"/>
      <c r="E607" s="8"/>
      <c r="H607" s="8"/>
    </row>
    <row r="608" ht="14.25" customHeight="1">
      <c r="C608" s="8"/>
      <c r="D608" s="8"/>
      <c r="E608" s="8"/>
      <c r="H608" s="8"/>
    </row>
    <row r="609" ht="14.25" customHeight="1">
      <c r="C609" s="8"/>
      <c r="D609" s="8"/>
      <c r="E609" s="8"/>
      <c r="H609" s="8"/>
    </row>
    <row r="610" ht="14.25" customHeight="1">
      <c r="C610" s="8"/>
      <c r="D610" s="8"/>
      <c r="E610" s="8"/>
      <c r="H610" s="8"/>
    </row>
    <row r="611" ht="14.25" customHeight="1">
      <c r="C611" s="8"/>
      <c r="D611" s="8"/>
      <c r="E611" s="8"/>
      <c r="H611" s="8"/>
    </row>
    <row r="612" ht="14.25" customHeight="1">
      <c r="C612" s="8"/>
      <c r="D612" s="8"/>
      <c r="E612" s="8"/>
      <c r="H612" s="8"/>
    </row>
    <row r="613" ht="14.25" customHeight="1">
      <c r="C613" s="8"/>
      <c r="D613" s="8"/>
      <c r="E613" s="8"/>
      <c r="H613" s="8"/>
    </row>
    <row r="614" ht="14.25" customHeight="1">
      <c r="C614" s="8"/>
      <c r="D614" s="8"/>
      <c r="E614" s="8"/>
      <c r="H614" s="8"/>
    </row>
    <row r="615" ht="14.25" customHeight="1">
      <c r="C615" s="8"/>
      <c r="D615" s="8"/>
      <c r="E615" s="8"/>
      <c r="H615" s="8"/>
    </row>
    <row r="616" ht="14.25" customHeight="1">
      <c r="C616" s="8"/>
      <c r="D616" s="8"/>
      <c r="E616" s="8"/>
      <c r="H616" s="8"/>
    </row>
    <row r="617" ht="14.25" customHeight="1">
      <c r="C617" s="8"/>
      <c r="D617" s="8"/>
      <c r="E617" s="8"/>
      <c r="H617" s="8"/>
    </row>
    <row r="618" ht="14.25" customHeight="1">
      <c r="C618" s="8"/>
      <c r="D618" s="8"/>
      <c r="E618" s="8"/>
      <c r="H618" s="8"/>
    </row>
    <row r="619" ht="14.25" customHeight="1">
      <c r="C619" s="8"/>
      <c r="D619" s="8"/>
      <c r="E619" s="8"/>
      <c r="H619" s="8"/>
    </row>
    <row r="620" ht="14.25" customHeight="1">
      <c r="C620" s="8"/>
      <c r="D620" s="8"/>
      <c r="E620" s="8"/>
      <c r="H620" s="8"/>
    </row>
    <row r="621" ht="14.25" customHeight="1">
      <c r="C621" s="8"/>
      <c r="D621" s="8"/>
      <c r="E621" s="8"/>
      <c r="H621" s="8"/>
    </row>
    <row r="622" ht="14.25" customHeight="1">
      <c r="C622" s="8"/>
      <c r="D622" s="8"/>
      <c r="E622" s="8"/>
      <c r="H622" s="8"/>
    </row>
    <row r="623" ht="14.25" customHeight="1">
      <c r="C623" s="8"/>
      <c r="D623" s="8"/>
      <c r="E623" s="8"/>
      <c r="H623" s="8"/>
    </row>
    <row r="624" ht="14.25" customHeight="1">
      <c r="C624" s="8"/>
      <c r="D624" s="8"/>
      <c r="E624" s="8"/>
      <c r="H624" s="8"/>
    </row>
    <row r="625" ht="14.25" customHeight="1">
      <c r="C625" s="8"/>
      <c r="D625" s="8"/>
      <c r="E625" s="8"/>
      <c r="H625" s="8"/>
    </row>
    <row r="626" ht="14.25" customHeight="1">
      <c r="C626" s="8"/>
      <c r="D626" s="8"/>
      <c r="E626" s="8"/>
      <c r="H626" s="8"/>
    </row>
    <row r="627" ht="14.25" customHeight="1">
      <c r="C627" s="8"/>
      <c r="D627" s="8"/>
      <c r="E627" s="8"/>
      <c r="H627" s="8"/>
    </row>
    <row r="628" ht="14.25" customHeight="1">
      <c r="C628" s="8"/>
      <c r="D628" s="8"/>
      <c r="E628" s="8"/>
      <c r="H628" s="8"/>
    </row>
    <row r="629" ht="14.25" customHeight="1">
      <c r="C629" s="8"/>
      <c r="D629" s="8"/>
      <c r="E629" s="8"/>
      <c r="H629" s="8"/>
    </row>
    <row r="630" ht="14.25" customHeight="1">
      <c r="C630" s="8"/>
      <c r="D630" s="8"/>
      <c r="E630" s="8"/>
      <c r="H630" s="8"/>
    </row>
    <row r="631" ht="14.25" customHeight="1">
      <c r="C631" s="8"/>
      <c r="D631" s="8"/>
      <c r="E631" s="8"/>
      <c r="H631" s="8"/>
    </row>
    <row r="632" ht="14.25" customHeight="1">
      <c r="C632" s="8"/>
      <c r="D632" s="8"/>
      <c r="E632" s="8"/>
      <c r="H632" s="8"/>
    </row>
    <row r="633" ht="14.25" customHeight="1">
      <c r="C633" s="8"/>
      <c r="D633" s="8"/>
      <c r="E633" s="8"/>
      <c r="H633" s="8"/>
    </row>
    <row r="634" ht="14.25" customHeight="1">
      <c r="C634" s="8"/>
      <c r="D634" s="8"/>
      <c r="E634" s="8"/>
      <c r="H634" s="8"/>
    </row>
    <row r="635" ht="14.25" customHeight="1">
      <c r="C635" s="8"/>
      <c r="D635" s="8"/>
      <c r="E635" s="8"/>
      <c r="H635" s="8"/>
    </row>
    <row r="636" ht="14.25" customHeight="1">
      <c r="C636" s="8"/>
      <c r="D636" s="8"/>
      <c r="E636" s="8"/>
      <c r="H636" s="8"/>
    </row>
    <row r="637" ht="14.25" customHeight="1">
      <c r="C637" s="8"/>
      <c r="D637" s="8"/>
      <c r="E637" s="8"/>
      <c r="H637" s="8"/>
    </row>
    <row r="638" ht="14.25" customHeight="1">
      <c r="C638" s="8"/>
      <c r="D638" s="8"/>
      <c r="E638" s="8"/>
      <c r="H638" s="8"/>
    </row>
    <row r="639" ht="14.25" customHeight="1">
      <c r="C639" s="8"/>
      <c r="D639" s="8"/>
      <c r="E639" s="8"/>
      <c r="H639" s="8"/>
    </row>
    <row r="640" ht="14.25" customHeight="1">
      <c r="C640" s="8"/>
      <c r="D640" s="8"/>
      <c r="E640" s="8"/>
      <c r="H640" s="8"/>
    </row>
    <row r="641" ht="14.25" customHeight="1">
      <c r="C641" s="8"/>
      <c r="D641" s="8"/>
      <c r="E641" s="8"/>
      <c r="H641" s="8"/>
    </row>
    <row r="642" ht="14.25" customHeight="1">
      <c r="C642" s="8"/>
      <c r="D642" s="8"/>
      <c r="E642" s="8"/>
      <c r="H642" s="8"/>
    </row>
    <row r="643" ht="14.25" customHeight="1">
      <c r="C643" s="8"/>
      <c r="D643" s="8"/>
      <c r="E643" s="8"/>
      <c r="H643" s="8"/>
    </row>
    <row r="644" ht="14.25" customHeight="1">
      <c r="C644" s="8"/>
      <c r="D644" s="8"/>
      <c r="E644" s="8"/>
      <c r="H644" s="8"/>
    </row>
    <row r="645" ht="14.25" customHeight="1">
      <c r="C645" s="8"/>
      <c r="D645" s="8"/>
      <c r="E645" s="8"/>
      <c r="H645" s="8"/>
    </row>
    <row r="646" ht="14.25" customHeight="1">
      <c r="C646" s="8"/>
      <c r="D646" s="8"/>
      <c r="E646" s="8"/>
      <c r="H646" s="8"/>
    </row>
    <row r="647" ht="14.25" customHeight="1">
      <c r="C647" s="8"/>
      <c r="D647" s="8"/>
      <c r="E647" s="8"/>
      <c r="H647" s="8"/>
    </row>
    <row r="648" ht="14.25" customHeight="1">
      <c r="C648" s="8"/>
      <c r="D648" s="8"/>
      <c r="E648" s="8"/>
      <c r="H648" s="8"/>
    </row>
    <row r="649" ht="14.25" customHeight="1">
      <c r="C649" s="8"/>
      <c r="D649" s="8"/>
      <c r="E649" s="8"/>
      <c r="H649" s="8"/>
    </row>
    <row r="650" ht="14.25" customHeight="1">
      <c r="C650" s="8"/>
      <c r="D650" s="8"/>
      <c r="E650" s="8"/>
      <c r="H650" s="8"/>
    </row>
    <row r="651" ht="14.25" customHeight="1">
      <c r="C651" s="8"/>
      <c r="D651" s="8"/>
      <c r="E651" s="8"/>
      <c r="H651" s="8"/>
    </row>
    <row r="652" ht="14.25" customHeight="1">
      <c r="C652" s="8"/>
      <c r="D652" s="8"/>
      <c r="E652" s="8"/>
      <c r="H652" s="8"/>
    </row>
    <row r="653" ht="14.25" customHeight="1">
      <c r="C653" s="8"/>
      <c r="D653" s="8"/>
      <c r="E653" s="8"/>
      <c r="H653" s="8"/>
    </row>
    <row r="654" ht="14.25" customHeight="1">
      <c r="C654" s="8"/>
      <c r="D654" s="8"/>
      <c r="E654" s="8"/>
      <c r="H654" s="8"/>
    </row>
    <row r="655" ht="14.25" customHeight="1">
      <c r="C655" s="8"/>
      <c r="D655" s="8"/>
      <c r="E655" s="8"/>
      <c r="H655" s="8"/>
    </row>
    <row r="656" ht="14.25" customHeight="1">
      <c r="C656" s="8"/>
      <c r="D656" s="8"/>
      <c r="E656" s="8"/>
      <c r="H656" s="8"/>
    </row>
    <row r="657" ht="14.25" customHeight="1">
      <c r="C657" s="8"/>
      <c r="D657" s="8"/>
      <c r="E657" s="8"/>
      <c r="H657" s="8"/>
    </row>
    <row r="658" ht="14.25" customHeight="1">
      <c r="C658" s="8"/>
      <c r="D658" s="8"/>
      <c r="E658" s="8"/>
      <c r="H658" s="8"/>
    </row>
    <row r="659" ht="14.25" customHeight="1">
      <c r="C659" s="8"/>
      <c r="D659" s="8"/>
      <c r="E659" s="8"/>
      <c r="H659" s="8"/>
    </row>
    <row r="660" ht="14.25" customHeight="1">
      <c r="C660" s="8"/>
      <c r="D660" s="8"/>
      <c r="E660" s="8"/>
      <c r="H660" s="8"/>
    </row>
    <row r="661" ht="14.25" customHeight="1">
      <c r="C661" s="8"/>
      <c r="D661" s="8"/>
      <c r="E661" s="8"/>
      <c r="H661" s="8"/>
    </row>
    <row r="662" ht="14.25" customHeight="1">
      <c r="C662" s="8"/>
      <c r="D662" s="8"/>
      <c r="E662" s="8"/>
      <c r="H662" s="8"/>
    </row>
    <row r="663" ht="14.25" customHeight="1">
      <c r="C663" s="8"/>
      <c r="D663" s="8"/>
      <c r="E663" s="8"/>
      <c r="H663" s="8"/>
    </row>
    <row r="664" ht="14.25" customHeight="1">
      <c r="C664" s="8"/>
      <c r="D664" s="8"/>
      <c r="E664" s="8"/>
      <c r="H664" s="8"/>
    </row>
    <row r="665" ht="14.25" customHeight="1">
      <c r="C665" s="8"/>
      <c r="D665" s="8"/>
      <c r="E665" s="8"/>
      <c r="H665" s="8"/>
    </row>
    <row r="666" ht="14.25" customHeight="1">
      <c r="C666" s="8"/>
      <c r="D666" s="8"/>
      <c r="E666" s="8"/>
      <c r="H666" s="8"/>
    </row>
    <row r="667" ht="14.25" customHeight="1">
      <c r="C667" s="8"/>
      <c r="D667" s="8"/>
      <c r="E667" s="8"/>
      <c r="H667" s="8"/>
    </row>
    <row r="668" ht="14.25" customHeight="1">
      <c r="C668" s="8"/>
      <c r="D668" s="8"/>
      <c r="E668" s="8"/>
      <c r="H668" s="8"/>
    </row>
    <row r="669" ht="14.25" customHeight="1">
      <c r="C669" s="8"/>
      <c r="D669" s="8"/>
      <c r="E669" s="8"/>
      <c r="H669" s="8"/>
    </row>
    <row r="670" ht="14.25" customHeight="1">
      <c r="C670" s="8"/>
      <c r="D670" s="8"/>
      <c r="E670" s="8"/>
      <c r="H670" s="8"/>
    </row>
    <row r="671" ht="14.25" customHeight="1">
      <c r="C671" s="8"/>
      <c r="D671" s="8"/>
      <c r="E671" s="8"/>
      <c r="H671" s="8"/>
    </row>
    <row r="672" ht="14.25" customHeight="1">
      <c r="C672" s="8"/>
      <c r="D672" s="8"/>
      <c r="E672" s="8"/>
      <c r="H672" s="8"/>
    </row>
    <row r="673" ht="14.25" customHeight="1">
      <c r="C673" s="8"/>
      <c r="D673" s="8"/>
      <c r="E673" s="8"/>
      <c r="H673" s="8"/>
    </row>
    <row r="674" ht="14.25" customHeight="1">
      <c r="C674" s="8"/>
      <c r="D674" s="8"/>
      <c r="E674" s="8"/>
      <c r="H674" s="8"/>
    </row>
    <row r="675" ht="14.25" customHeight="1">
      <c r="C675" s="8"/>
      <c r="D675" s="8"/>
      <c r="E675" s="8"/>
      <c r="H675" s="8"/>
    </row>
    <row r="676" ht="14.25" customHeight="1">
      <c r="C676" s="8"/>
      <c r="D676" s="8"/>
      <c r="E676" s="8"/>
      <c r="H676" s="8"/>
    </row>
    <row r="677" ht="14.25" customHeight="1">
      <c r="C677" s="8"/>
      <c r="D677" s="8"/>
      <c r="E677" s="8"/>
      <c r="H677" s="8"/>
    </row>
    <row r="678" ht="14.25" customHeight="1">
      <c r="C678" s="8"/>
      <c r="D678" s="8"/>
      <c r="E678" s="8"/>
      <c r="H678" s="8"/>
    </row>
    <row r="679" ht="14.25" customHeight="1">
      <c r="C679" s="8"/>
      <c r="D679" s="8"/>
      <c r="E679" s="8"/>
      <c r="H679" s="8"/>
    </row>
    <row r="680" ht="14.25" customHeight="1">
      <c r="C680" s="8"/>
      <c r="D680" s="8"/>
      <c r="E680" s="8"/>
      <c r="H680" s="8"/>
    </row>
    <row r="681" ht="14.25" customHeight="1">
      <c r="C681" s="8"/>
      <c r="D681" s="8"/>
      <c r="E681" s="8"/>
      <c r="H681" s="8"/>
    </row>
    <row r="682" ht="14.25" customHeight="1">
      <c r="C682" s="8"/>
      <c r="D682" s="8"/>
      <c r="E682" s="8"/>
      <c r="H682" s="8"/>
    </row>
    <row r="683" ht="14.25" customHeight="1">
      <c r="C683" s="8"/>
      <c r="D683" s="8"/>
      <c r="E683" s="8"/>
      <c r="H683" s="8"/>
    </row>
    <row r="684" ht="14.25" customHeight="1">
      <c r="C684" s="8"/>
      <c r="D684" s="8"/>
      <c r="E684" s="8"/>
      <c r="H684" s="8"/>
    </row>
    <row r="685" ht="14.25" customHeight="1">
      <c r="C685" s="8"/>
      <c r="D685" s="8"/>
      <c r="E685" s="8"/>
      <c r="H685" s="8"/>
    </row>
    <row r="686" ht="14.25" customHeight="1">
      <c r="C686" s="8"/>
      <c r="D686" s="8"/>
      <c r="E686" s="8"/>
      <c r="H686" s="8"/>
    </row>
    <row r="687" ht="14.25" customHeight="1">
      <c r="C687" s="8"/>
      <c r="D687" s="8"/>
      <c r="E687" s="8"/>
      <c r="H687" s="8"/>
    </row>
    <row r="688" ht="14.25" customHeight="1">
      <c r="C688" s="8"/>
      <c r="D688" s="8"/>
      <c r="E688" s="8"/>
      <c r="H688" s="8"/>
    </row>
    <row r="689" ht="14.25" customHeight="1">
      <c r="C689" s="8"/>
      <c r="D689" s="8"/>
      <c r="E689" s="8"/>
      <c r="H689" s="8"/>
    </row>
    <row r="690" ht="14.25" customHeight="1">
      <c r="C690" s="8"/>
      <c r="D690" s="8"/>
      <c r="E690" s="8"/>
      <c r="H690" s="8"/>
    </row>
    <row r="691" ht="14.25" customHeight="1">
      <c r="C691" s="8"/>
      <c r="D691" s="8"/>
      <c r="E691" s="8"/>
      <c r="H691" s="8"/>
    </row>
    <row r="692" ht="14.25" customHeight="1">
      <c r="C692" s="8"/>
      <c r="D692" s="8"/>
      <c r="E692" s="8"/>
      <c r="H692" s="8"/>
    </row>
    <row r="693" ht="14.25" customHeight="1">
      <c r="C693" s="8"/>
      <c r="D693" s="8"/>
      <c r="E693" s="8"/>
      <c r="H693" s="8"/>
    </row>
    <row r="694" ht="14.25" customHeight="1">
      <c r="C694" s="8"/>
      <c r="D694" s="8"/>
      <c r="E694" s="8"/>
      <c r="H694" s="8"/>
    </row>
    <row r="695" ht="14.25" customHeight="1">
      <c r="C695" s="8"/>
      <c r="D695" s="8"/>
      <c r="E695" s="8"/>
      <c r="H695" s="8"/>
    </row>
    <row r="696" ht="14.25" customHeight="1">
      <c r="C696" s="8"/>
      <c r="D696" s="8"/>
      <c r="E696" s="8"/>
      <c r="H696" s="8"/>
    </row>
    <row r="697" ht="14.25" customHeight="1">
      <c r="C697" s="8"/>
      <c r="D697" s="8"/>
      <c r="E697" s="8"/>
      <c r="H697" s="8"/>
    </row>
    <row r="698" ht="14.25" customHeight="1">
      <c r="C698" s="8"/>
      <c r="D698" s="8"/>
      <c r="E698" s="8"/>
      <c r="H698" s="8"/>
    </row>
    <row r="699" ht="14.25" customHeight="1">
      <c r="C699" s="8"/>
      <c r="D699" s="8"/>
      <c r="E699" s="8"/>
      <c r="H699" s="8"/>
    </row>
    <row r="700" ht="14.25" customHeight="1">
      <c r="C700" s="8"/>
      <c r="D700" s="8"/>
      <c r="E700" s="8"/>
      <c r="H700" s="8"/>
    </row>
    <row r="701" ht="14.25" customHeight="1">
      <c r="C701" s="8"/>
      <c r="D701" s="8"/>
      <c r="E701" s="8"/>
      <c r="H701" s="8"/>
    </row>
    <row r="702" ht="14.25" customHeight="1">
      <c r="C702" s="8"/>
      <c r="D702" s="8"/>
      <c r="E702" s="8"/>
      <c r="H702" s="8"/>
    </row>
    <row r="703" ht="14.25" customHeight="1">
      <c r="C703" s="8"/>
      <c r="D703" s="8"/>
      <c r="E703" s="8"/>
      <c r="H703" s="8"/>
    </row>
    <row r="704" ht="14.25" customHeight="1">
      <c r="C704" s="8"/>
      <c r="D704" s="8"/>
      <c r="E704" s="8"/>
      <c r="H704" s="8"/>
    </row>
    <row r="705" ht="14.25" customHeight="1">
      <c r="C705" s="8"/>
      <c r="D705" s="8"/>
      <c r="E705" s="8"/>
      <c r="H705" s="8"/>
    </row>
    <row r="706" ht="14.25" customHeight="1">
      <c r="C706" s="8"/>
      <c r="D706" s="8"/>
      <c r="E706" s="8"/>
      <c r="H706" s="8"/>
    </row>
    <row r="707" ht="14.25" customHeight="1">
      <c r="C707" s="8"/>
      <c r="D707" s="8"/>
      <c r="E707" s="8"/>
      <c r="H707" s="8"/>
    </row>
    <row r="708" ht="14.25" customHeight="1">
      <c r="C708" s="8"/>
      <c r="D708" s="8"/>
      <c r="E708" s="8"/>
      <c r="H708" s="8"/>
    </row>
    <row r="709" ht="14.25" customHeight="1">
      <c r="C709" s="8"/>
      <c r="D709" s="8"/>
      <c r="E709" s="8"/>
      <c r="H709" s="8"/>
    </row>
    <row r="710" ht="14.25" customHeight="1">
      <c r="C710" s="8"/>
      <c r="D710" s="8"/>
      <c r="E710" s="8"/>
      <c r="H710" s="8"/>
    </row>
    <row r="711" ht="14.25" customHeight="1">
      <c r="C711" s="8"/>
      <c r="D711" s="8"/>
      <c r="E711" s="8"/>
      <c r="H711" s="8"/>
    </row>
    <row r="712" ht="14.25" customHeight="1">
      <c r="C712" s="8"/>
      <c r="D712" s="8"/>
      <c r="E712" s="8"/>
      <c r="H712" s="8"/>
    </row>
    <row r="713" ht="14.25" customHeight="1">
      <c r="C713" s="8"/>
      <c r="D713" s="8"/>
      <c r="E713" s="8"/>
      <c r="H713" s="8"/>
    </row>
    <row r="714" ht="14.25" customHeight="1">
      <c r="C714" s="8"/>
      <c r="D714" s="8"/>
      <c r="E714" s="8"/>
      <c r="H714" s="8"/>
    </row>
    <row r="715" ht="14.25" customHeight="1">
      <c r="C715" s="8"/>
      <c r="D715" s="8"/>
      <c r="E715" s="8"/>
      <c r="H715" s="8"/>
    </row>
    <row r="716" ht="14.25" customHeight="1">
      <c r="C716" s="8"/>
      <c r="D716" s="8"/>
      <c r="E716" s="8"/>
      <c r="H716" s="8"/>
    </row>
    <row r="717" ht="14.25" customHeight="1">
      <c r="C717" s="8"/>
      <c r="D717" s="8"/>
      <c r="E717" s="8"/>
      <c r="H717" s="8"/>
    </row>
    <row r="718" ht="14.25" customHeight="1">
      <c r="C718" s="8"/>
      <c r="D718" s="8"/>
      <c r="E718" s="8"/>
      <c r="H718" s="8"/>
    </row>
    <row r="719" ht="14.25" customHeight="1">
      <c r="C719" s="8"/>
      <c r="D719" s="8"/>
      <c r="E719" s="8"/>
      <c r="H719" s="8"/>
    </row>
    <row r="720" ht="14.25" customHeight="1">
      <c r="C720" s="8"/>
      <c r="D720" s="8"/>
      <c r="E720" s="8"/>
      <c r="H720" s="8"/>
    </row>
    <row r="721" ht="14.25" customHeight="1">
      <c r="C721" s="8"/>
      <c r="D721" s="8"/>
      <c r="E721" s="8"/>
      <c r="H721" s="8"/>
    </row>
    <row r="722" ht="14.25" customHeight="1">
      <c r="C722" s="8"/>
      <c r="D722" s="8"/>
      <c r="E722" s="8"/>
      <c r="H722" s="8"/>
    </row>
    <row r="723" ht="14.25" customHeight="1">
      <c r="C723" s="8"/>
      <c r="D723" s="8"/>
      <c r="E723" s="8"/>
      <c r="H723" s="8"/>
    </row>
    <row r="724" ht="14.25" customHeight="1">
      <c r="C724" s="8"/>
      <c r="D724" s="8"/>
      <c r="E724" s="8"/>
      <c r="H724" s="8"/>
    </row>
    <row r="725" ht="14.25" customHeight="1">
      <c r="C725" s="8"/>
      <c r="D725" s="8"/>
      <c r="E725" s="8"/>
      <c r="H725" s="8"/>
    </row>
    <row r="726" ht="14.25" customHeight="1">
      <c r="C726" s="8"/>
      <c r="D726" s="8"/>
      <c r="E726" s="8"/>
      <c r="H726" s="8"/>
    </row>
    <row r="727" ht="14.25" customHeight="1">
      <c r="C727" s="8"/>
      <c r="D727" s="8"/>
      <c r="E727" s="8"/>
      <c r="H727" s="8"/>
    </row>
    <row r="728" ht="14.25" customHeight="1">
      <c r="C728" s="8"/>
      <c r="D728" s="8"/>
      <c r="E728" s="8"/>
      <c r="H728" s="8"/>
    </row>
    <row r="729" ht="14.25" customHeight="1">
      <c r="C729" s="8"/>
      <c r="D729" s="8"/>
      <c r="E729" s="8"/>
      <c r="H729" s="8"/>
    </row>
    <row r="730" ht="14.25" customHeight="1">
      <c r="C730" s="8"/>
      <c r="D730" s="8"/>
      <c r="E730" s="8"/>
      <c r="H730" s="8"/>
    </row>
    <row r="731" ht="14.25" customHeight="1">
      <c r="C731" s="8"/>
      <c r="D731" s="8"/>
      <c r="E731" s="8"/>
      <c r="H731" s="8"/>
    </row>
    <row r="732" ht="14.25" customHeight="1">
      <c r="C732" s="8"/>
      <c r="D732" s="8"/>
      <c r="E732" s="8"/>
      <c r="H732" s="8"/>
    </row>
    <row r="733" ht="14.25" customHeight="1">
      <c r="C733" s="8"/>
      <c r="D733" s="8"/>
      <c r="E733" s="8"/>
      <c r="H733" s="8"/>
    </row>
    <row r="734" ht="14.25" customHeight="1">
      <c r="C734" s="8"/>
      <c r="D734" s="8"/>
      <c r="E734" s="8"/>
      <c r="H734" s="8"/>
    </row>
    <row r="735" ht="14.25" customHeight="1">
      <c r="C735" s="8"/>
      <c r="D735" s="8"/>
      <c r="E735" s="8"/>
      <c r="H735" s="8"/>
    </row>
    <row r="736" ht="14.25" customHeight="1">
      <c r="C736" s="8"/>
      <c r="D736" s="8"/>
      <c r="E736" s="8"/>
      <c r="H736" s="8"/>
    </row>
    <row r="737" ht="14.25" customHeight="1">
      <c r="C737" s="8"/>
      <c r="D737" s="8"/>
      <c r="E737" s="8"/>
      <c r="H737" s="8"/>
    </row>
    <row r="738" ht="14.25" customHeight="1">
      <c r="C738" s="8"/>
      <c r="D738" s="8"/>
      <c r="E738" s="8"/>
      <c r="H738" s="8"/>
    </row>
    <row r="739" ht="14.25" customHeight="1">
      <c r="C739" s="8"/>
      <c r="D739" s="8"/>
      <c r="E739" s="8"/>
      <c r="H739" s="8"/>
    </row>
    <row r="740" ht="14.25" customHeight="1">
      <c r="C740" s="8"/>
      <c r="D740" s="8"/>
      <c r="E740" s="8"/>
      <c r="H740" s="8"/>
    </row>
    <row r="741" ht="14.25" customHeight="1">
      <c r="C741" s="8"/>
      <c r="D741" s="8"/>
      <c r="E741" s="8"/>
      <c r="H741" s="8"/>
    </row>
    <row r="742" ht="14.25" customHeight="1">
      <c r="C742" s="8"/>
      <c r="D742" s="8"/>
      <c r="E742" s="8"/>
      <c r="H742" s="8"/>
    </row>
    <row r="743" ht="14.25" customHeight="1">
      <c r="C743" s="8"/>
      <c r="D743" s="8"/>
      <c r="E743" s="8"/>
      <c r="H743" s="8"/>
    </row>
    <row r="744" ht="14.25" customHeight="1">
      <c r="C744" s="8"/>
      <c r="D744" s="8"/>
      <c r="E744" s="8"/>
      <c r="H744" s="8"/>
    </row>
    <row r="745" ht="14.25" customHeight="1">
      <c r="C745" s="8"/>
      <c r="D745" s="8"/>
      <c r="E745" s="8"/>
      <c r="H745" s="8"/>
    </row>
    <row r="746" ht="14.25" customHeight="1">
      <c r="C746" s="8"/>
      <c r="D746" s="8"/>
      <c r="E746" s="8"/>
      <c r="H746" s="8"/>
    </row>
    <row r="747" ht="14.25" customHeight="1">
      <c r="C747" s="8"/>
      <c r="D747" s="8"/>
      <c r="E747" s="8"/>
      <c r="H747" s="8"/>
    </row>
    <row r="748" ht="14.25" customHeight="1">
      <c r="C748" s="8"/>
      <c r="D748" s="8"/>
      <c r="E748" s="8"/>
      <c r="H748" s="8"/>
    </row>
    <row r="749" ht="14.25" customHeight="1">
      <c r="C749" s="8"/>
      <c r="D749" s="8"/>
      <c r="E749" s="8"/>
      <c r="H749" s="8"/>
    </row>
    <row r="750" ht="14.25" customHeight="1">
      <c r="C750" s="8"/>
      <c r="D750" s="8"/>
      <c r="E750" s="8"/>
      <c r="H750" s="8"/>
    </row>
    <row r="751" ht="14.25" customHeight="1">
      <c r="C751" s="8"/>
      <c r="D751" s="8"/>
      <c r="E751" s="8"/>
      <c r="H751" s="8"/>
    </row>
    <row r="752" ht="14.25" customHeight="1">
      <c r="C752" s="8"/>
      <c r="D752" s="8"/>
      <c r="E752" s="8"/>
      <c r="H752" s="8"/>
    </row>
    <row r="753" ht="14.25" customHeight="1">
      <c r="C753" s="8"/>
      <c r="D753" s="8"/>
      <c r="E753" s="8"/>
      <c r="H753" s="8"/>
    </row>
    <row r="754" ht="14.25" customHeight="1">
      <c r="C754" s="8"/>
      <c r="D754" s="8"/>
      <c r="E754" s="8"/>
      <c r="H754" s="8"/>
    </row>
    <row r="755" ht="14.25" customHeight="1">
      <c r="C755" s="8"/>
      <c r="D755" s="8"/>
      <c r="E755" s="8"/>
      <c r="H755" s="8"/>
    </row>
    <row r="756" ht="14.25" customHeight="1">
      <c r="C756" s="8"/>
      <c r="D756" s="8"/>
      <c r="E756" s="8"/>
      <c r="H756" s="8"/>
    </row>
    <row r="757" ht="14.25" customHeight="1">
      <c r="C757" s="8"/>
      <c r="D757" s="8"/>
      <c r="E757" s="8"/>
      <c r="H757" s="8"/>
    </row>
    <row r="758" ht="14.25" customHeight="1">
      <c r="C758" s="8"/>
      <c r="D758" s="8"/>
      <c r="E758" s="8"/>
      <c r="H758" s="8"/>
    </row>
    <row r="759" ht="14.25" customHeight="1">
      <c r="C759" s="8"/>
      <c r="D759" s="8"/>
      <c r="E759" s="8"/>
      <c r="H759" s="8"/>
    </row>
    <row r="760" ht="14.25" customHeight="1">
      <c r="C760" s="8"/>
      <c r="D760" s="8"/>
      <c r="E760" s="8"/>
      <c r="H760" s="8"/>
    </row>
    <row r="761" ht="14.25" customHeight="1">
      <c r="C761" s="8"/>
      <c r="D761" s="8"/>
      <c r="E761" s="8"/>
      <c r="H761" s="8"/>
    </row>
    <row r="762" ht="14.25" customHeight="1">
      <c r="C762" s="8"/>
      <c r="D762" s="8"/>
      <c r="E762" s="8"/>
      <c r="H762" s="8"/>
    </row>
    <row r="763" ht="14.25" customHeight="1">
      <c r="C763" s="8"/>
      <c r="D763" s="8"/>
      <c r="E763" s="8"/>
      <c r="H763" s="8"/>
    </row>
    <row r="764" ht="14.25" customHeight="1">
      <c r="C764" s="8"/>
      <c r="D764" s="8"/>
      <c r="E764" s="8"/>
      <c r="H764" s="8"/>
    </row>
    <row r="765" ht="14.25" customHeight="1">
      <c r="C765" s="8"/>
      <c r="D765" s="8"/>
      <c r="E765" s="8"/>
      <c r="H765" s="8"/>
    </row>
    <row r="766" ht="14.25" customHeight="1">
      <c r="C766" s="8"/>
      <c r="D766" s="8"/>
      <c r="E766" s="8"/>
      <c r="H766" s="8"/>
    </row>
    <row r="767" ht="14.25" customHeight="1">
      <c r="C767" s="8"/>
      <c r="D767" s="8"/>
      <c r="E767" s="8"/>
      <c r="H767" s="8"/>
    </row>
    <row r="768" ht="14.25" customHeight="1">
      <c r="C768" s="8"/>
      <c r="D768" s="8"/>
      <c r="E768" s="8"/>
      <c r="H768" s="8"/>
    </row>
    <row r="769" ht="14.25" customHeight="1">
      <c r="C769" s="8"/>
      <c r="D769" s="8"/>
      <c r="E769" s="8"/>
      <c r="H769" s="8"/>
    </row>
    <row r="770" ht="14.25" customHeight="1">
      <c r="C770" s="8"/>
      <c r="D770" s="8"/>
      <c r="E770" s="8"/>
      <c r="H770" s="8"/>
    </row>
    <row r="771" ht="14.25" customHeight="1">
      <c r="C771" s="8"/>
      <c r="D771" s="8"/>
      <c r="E771" s="8"/>
      <c r="H771" s="8"/>
    </row>
    <row r="772" ht="14.25" customHeight="1">
      <c r="C772" s="8"/>
      <c r="D772" s="8"/>
      <c r="E772" s="8"/>
      <c r="H772" s="8"/>
    </row>
    <row r="773" ht="14.25" customHeight="1">
      <c r="C773" s="8"/>
      <c r="D773" s="8"/>
      <c r="E773" s="8"/>
      <c r="H773" s="8"/>
    </row>
    <row r="774" ht="14.25" customHeight="1">
      <c r="C774" s="8"/>
      <c r="D774" s="8"/>
      <c r="E774" s="8"/>
      <c r="H774" s="8"/>
    </row>
    <row r="775" ht="14.25" customHeight="1">
      <c r="C775" s="8"/>
      <c r="D775" s="8"/>
      <c r="E775" s="8"/>
      <c r="H775" s="8"/>
    </row>
    <row r="776" ht="14.25" customHeight="1">
      <c r="C776" s="8"/>
      <c r="D776" s="8"/>
      <c r="E776" s="8"/>
      <c r="H776" s="8"/>
    </row>
    <row r="777" ht="14.25" customHeight="1">
      <c r="C777" s="8"/>
      <c r="D777" s="8"/>
      <c r="E777" s="8"/>
      <c r="H777" s="8"/>
    </row>
    <row r="778" ht="14.25" customHeight="1">
      <c r="C778" s="8"/>
      <c r="D778" s="8"/>
      <c r="E778" s="8"/>
      <c r="H778" s="8"/>
    </row>
    <row r="779" ht="14.25" customHeight="1">
      <c r="C779" s="8"/>
      <c r="D779" s="8"/>
      <c r="E779" s="8"/>
      <c r="H779" s="8"/>
    </row>
    <row r="780" ht="14.25" customHeight="1">
      <c r="C780" s="8"/>
      <c r="D780" s="8"/>
      <c r="E780" s="8"/>
      <c r="H780" s="8"/>
    </row>
    <row r="781" ht="14.25" customHeight="1">
      <c r="C781" s="8"/>
      <c r="D781" s="8"/>
      <c r="E781" s="8"/>
      <c r="H781" s="8"/>
    </row>
    <row r="782" ht="14.25" customHeight="1">
      <c r="C782" s="8"/>
      <c r="D782" s="8"/>
      <c r="E782" s="8"/>
      <c r="H782" s="8"/>
    </row>
    <row r="783" ht="14.25" customHeight="1">
      <c r="C783" s="8"/>
      <c r="D783" s="8"/>
      <c r="E783" s="8"/>
      <c r="H783" s="8"/>
    </row>
    <row r="784" ht="14.25" customHeight="1">
      <c r="C784" s="8"/>
      <c r="D784" s="8"/>
      <c r="E784" s="8"/>
      <c r="H784" s="8"/>
    </row>
    <row r="785" ht="14.25" customHeight="1">
      <c r="C785" s="8"/>
      <c r="D785" s="8"/>
      <c r="E785" s="8"/>
      <c r="H785" s="8"/>
    </row>
    <row r="786" ht="14.25" customHeight="1">
      <c r="C786" s="8"/>
      <c r="D786" s="8"/>
      <c r="E786" s="8"/>
      <c r="H786" s="8"/>
    </row>
    <row r="787" ht="14.25" customHeight="1">
      <c r="C787" s="8"/>
      <c r="D787" s="8"/>
      <c r="E787" s="8"/>
      <c r="H787" s="8"/>
    </row>
    <row r="788" ht="14.25" customHeight="1">
      <c r="C788" s="8"/>
      <c r="D788" s="8"/>
      <c r="E788" s="8"/>
      <c r="H788" s="8"/>
    </row>
    <row r="789" ht="14.25" customHeight="1">
      <c r="C789" s="8"/>
      <c r="D789" s="8"/>
      <c r="E789" s="8"/>
      <c r="H789" s="8"/>
    </row>
    <row r="790" ht="14.25" customHeight="1">
      <c r="C790" s="8"/>
      <c r="D790" s="8"/>
      <c r="E790" s="8"/>
      <c r="H790" s="8"/>
    </row>
    <row r="791" ht="14.25" customHeight="1">
      <c r="C791" s="8"/>
      <c r="D791" s="8"/>
      <c r="E791" s="8"/>
      <c r="H791" s="8"/>
    </row>
    <row r="792" ht="14.25" customHeight="1">
      <c r="C792" s="8"/>
      <c r="D792" s="8"/>
      <c r="E792" s="8"/>
      <c r="H792" s="8"/>
    </row>
    <row r="793" ht="14.25" customHeight="1">
      <c r="C793" s="8"/>
      <c r="D793" s="8"/>
      <c r="E793" s="8"/>
      <c r="H793" s="8"/>
    </row>
    <row r="794" ht="14.25" customHeight="1">
      <c r="C794" s="8"/>
      <c r="D794" s="8"/>
      <c r="E794" s="8"/>
      <c r="H794" s="8"/>
    </row>
    <row r="795" ht="14.25" customHeight="1">
      <c r="C795" s="8"/>
      <c r="D795" s="8"/>
      <c r="E795" s="8"/>
      <c r="H795" s="8"/>
    </row>
    <row r="796" ht="14.25" customHeight="1">
      <c r="C796" s="8"/>
      <c r="D796" s="8"/>
      <c r="E796" s="8"/>
      <c r="H796" s="8"/>
    </row>
    <row r="797" ht="14.25" customHeight="1">
      <c r="C797" s="8"/>
      <c r="D797" s="8"/>
      <c r="E797" s="8"/>
      <c r="H797" s="8"/>
    </row>
    <row r="798" ht="14.25" customHeight="1">
      <c r="C798" s="8"/>
      <c r="D798" s="8"/>
      <c r="E798" s="8"/>
      <c r="H798" s="8"/>
    </row>
    <row r="799" ht="14.25" customHeight="1">
      <c r="C799" s="8"/>
      <c r="D799" s="8"/>
      <c r="E799" s="8"/>
      <c r="H799" s="8"/>
    </row>
    <row r="800" ht="14.25" customHeight="1">
      <c r="C800" s="8"/>
      <c r="D800" s="8"/>
      <c r="E800" s="8"/>
      <c r="H800" s="8"/>
    </row>
    <row r="801" ht="14.25" customHeight="1">
      <c r="C801" s="8"/>
      <c r="D801" s="8"/>
      <c r="E801" s="8"/>
      <c r="H801" s="8"/>
    </row>
    <row r="802" ht="14.25" customHeight="1">
      <c r="C802" s="8"/>
      <c r="D802" s="8"/>
      <c r="E802" s="8"/>
      <c r="H802" s="8"/>
    </row>
    <row r="803" ht="14.25" customHeight="1">
      <c r="C803" s="8"/>
      <c r="D803" s="8"/>
      <c r="E803" s="8"/>
      <c r="H803" s="8"/>
    </row>
    <row r="804" ht="14.25" customHeight="1">
      <c r="C804" s="8"/>
      <c r="D804" s="8"/>
      <c r="E804" s="8"/>
      <c r="H804" s="8"/>
    </row>
    <row r="805" ht="14.25" customHeight="1">
      <c r="C805" s="8"/>
      <c r="D805" s="8"/>
      <c r="E805" s="8"/>
      <c r="H805" s="8"/>
    </row>
    <row r="806" ht="14.25" customHeight="1">
      <c r="C806" s="8"/>
      <c r="D806" s="8"/>
      <c r="E806" s="8"/>
      <c r="H806" s="8"/>
    </row>
    <row r="807" ht="14.25" customHeight="1">
      <c r="C807" s="8"/>
      <c r="D807" s="8"/>
      <c r="E807" s="8"/>
      <c r="H807" s="8"/>
    </row>
    <row r="808" ht="14.25" customHeight="1">
      <c r="C808" s="8"/>
      <c r="D808" s="8"/>
      <c r="E808" s="8"/>
      <c r="H808" s="8"/>
    </row>
    <row r="809" ht="14.25" customHeight="1">
      <c r="C809" s="8"/>
      <c r="D809" s="8"/>
      <c r="E809" s="8"/>
      <c r="H809" s="8"/>
    </row>
    <row r="810" ht="14.25" customHeight="1">
      <c r="C810" s="8"/>
      <c r="D810" s="8"/>
      <c r="E810" s="8"/>
      <c r="H810" s="8"/>
    </row>
    <row r="811" ht="14.25" customHeight="1">
      <c r="C811" s="8"/>
      <c r="D811" s="8"/>
      <c r="E811" s="8"/>
      <c r="H811" s="8"/>
    </row>
    <row r="812" ht="14.25" customHeight="1">
      <c r="C812" s="8"/>
      <c r="D812" s="8"/>
      <c r="E812" s="8"/>
      <c r="H812" s="8"/>
    </row>
    <row r="813" ht="14.25" customHeight="1">
      <c r="C813" s="8"/>
      <c r="D813" s="8"/>
      <c r="E813" s="8"/>
      <c r="H813" s="8"/>
    </row>
    <row r="814" ht="14.25" customHeight="1">
      <c r="C814" s="8"/>
      <c r="D814" s="8"/>
      <c r="E814" s="8"/>
      <c r="H814" s="8"/>
    </row>
    <row r="815" ht="14.25" customHeight="1">
      <c r="C815" s="8"/>
      <c r="D815" s="8"/>
      <c r="E815" s="8"/>
      <c r="H815" s="8"/>
    </row>
    <row r="816" ht="14.25" customHeight="1">
      <c r="C816" s="8"/>
      <c r="D816" s="8"/>
      <c r="E816" s="8"/>
      <c r="H816" s="8"/>
    </row>
    <row r="817" ht="14.25" customHeight="1">
      <c r="C817" s="8"/>
      <c r="D817" s="8"/>
      <c r="E817" s="8"/>
      <c r="H817" s="8"/>
    </row>
    <row r="818" ht="14.25" customHeight="1">
      <c r="C818" s="8"/>
      <c r="D818" s="8"/>
      <c r="E818" s="8"/>
      <c r="H818" s="8"/>
    </row>
    <row r="819" ht="14.25" customHeight="1">
      <c r="C819" s="8"/>
      <c r="D819" s="8"/>
      <c r="E819" s="8"/>
      <c r="H819" s="8"/>
    </row>
    <row r="820" ht="14.25" customHeight="1">
      <c r="C820" s="8"/>
      <c r="D820" s="8"/>
      <c r="E820" s="8"/>
      <c r="H820" s="8"/>
    </row>
    <row r="821" ht="14.25" customHeight="1">
      <c r="C821" s="8"/>
      <c r="D821" s="8"/>
      <c r="E821" s="8"/>
      <c r="H821" s="8"/>
    </row>
    <row r="822" ht="14.25" customHeight="1">
      <c r="C822" s="8"/>
      <c r="D822" s="8"/>
      <c r="E822" s="8"/>
      <c r="H822" s="8"/>
    </row>
    <row r="823" ht="14.25" customHeight="1">
      <c r="C823" s="8"/>
      <c r="D823" s="8"/>
      <c r="E823" s="8"/>
      <c r="H823" s="8"/>
    </row>
    <row r="824" ht="14.25" customHeight="1">
      <c r="C824" s="8"/>
      <c r="D824" s="8"/>
      <c r="E824" s="8"/>
      <c r="H824" s="8"/>
    </row>
    <row r="825" ht="14.25" customHeight="1">
      <c r="C825" s="8"/>
      <c r="D825" s="8"/>
      <c r="E825" s="8"/>
      <c r="H825" s="8"/>
    </row>
    <row r="826" ht="14.25" customHeight="1">
      <c r="C826" s="8"/>
      <c r="D826" s="8"/>
      <c r="E826" s="8"/>
      <c r="H826" s="8"/>
    </row>
    <row r="827" ht="14.25" customHeight="1">
      <c r="C827" s="8"/>
      <c r="D827" s="8"/>
      <c r="E827" s="8"/>
      <c r="H827" s="8"/>
    </row>
    <row r="828" ht="14.25" customHeight="1">
      <c r="C828" s="8"/>
      <c r="D828" s="8"/>
      <c r="E828" s="8"/>
      <c r="H828" s="8"/>
    </row>
    <row r="829" ht="14.25" customHeight="1">
      <c r="C829" s="8"/>
      <c r="D829" s="8"/>
      <c r="E829" s="8"/>
      <c r="H829" s="8"/>
    </row>
    <row r="830" ht="14.25" customHeight="1">
      <c r="C830" s="8"/>
      <c r="D830" s="8"/>
      <c r="E830" s="8"/>
      <c r="H830" s="8"/>
    </row>
    <row r="831" ht="14.25" customHeight="1">
      <c r="C831" s="8"/>
      <c r="D831" s="8"/>
      <c r="E831" s="8"/>
      <c r="H831" s="8"/>
    </row>
    <row r="832" ht="14.25" customHeight="1">
      <c r="C832" s="8"/>
      <c r="D832" s="8"/>
      <c r="E832" s="8"/>
      <c r="H832" s="8"/>
    </row>
    <row r="833" ht="14.25" customHeight="1">
      <c r="C833" s="8"/>
      <c r="D833" s="8"/>
      <c r="E833" s="8"/>
      <c r="H833" s="8"/>
    </row>
    <row r="834" ht="14.25" customHeight="1">
      <c r="C834" s="8"/>
      <c r="D834" s="8"/>
      <c r="E834" s="8"/>
      <c r="H834" s="8"/>
    </row>
    <row r="835" ht="14.25" customHeight="1">
      <c r="C835" s="8"/>
      <c r="D835" s="8"/>
      <c r="E835" s="8"/>
      <c r="H835" s="8"/>
    </row>
    <row r="836" ht="14.25" customHeight="1">
      <c r="C836" s="8"/>
      <c r="D836" s="8"/>
      <c r="E836" s="8"/>
      <c r="H836" s="8"/>
    </row>
    <row r="837" ht="14.25" customHeight="1">
      <c r="C837" s="8"/>
      <c r="D837" s="8"/>
      <c r="E837" s="8"/>
      <c r="H837" s="8"/>
    </row>
    <row r="838" ht="14.25" customHeight="1">
      <c r="C838" s="8"/>
      <c r="D838" s="8"/>
      <c r="E838" s="8"/>
      <c r="H838" s="8"/>
    </row>
    <row r="839" ht="14.25" customHeight="1">
      <c r="C839" s="8"/>
      <c r="D839" s="8"/>
      <c r="E839" s="8"/>
      <c r="H839" s="8"/>
    </row>
    <row r="840" ht="14.25" customHeight="1">
      <c r="C840" s="8"/>
      <c r="D840" s="8"/>
      <c r="E840" s="8"/>
      <c r="H840" s="8"/>
    </row>
    <row r="841" ht="14.25" customHeight="1">
      <c r="C841" s="8"/>
      <c r="D841" s="8"/>
      <c r="E841" s="8"/>
      <c r="H841" s="8"/>
    </row>
    <row r="842" ht="14.25" customHeight="1">
      <c r="C842" s="8"/>
      <c r="D842" s="8"/>
      <c r="E842" s="8"/>
      <c r="H842" s="8"/>
    </row>
    <row r="843" ht="14.25" customHeight="1">
      <c r="C843" s="8"/>
      <c r="D843" s="8"/>
      <c r="E843" s="8"/>
      <c r="H843" s="8"/>
    </row>
    <row r="844" ht="14.25" customHeight="1">
      <c r="C844" s="8"/>
      <c r="D844" s="8"/>
      <c r="E844" s="8"/>
      <c r="H844" s="8"/>
    </row>
    <row r="845" ht="14.25" customHeight="1">
      <c r="C845" s="8"/>
      <c r="D845" s="8"/>
      <c r="E845" s="8"/>
      <c r="H845" s="8"/>
    </row>
    <row r="846" ht="14.25" customHeight="1">
      <c r="C846" s="8"/>
      <c r="D846" s="8"/>
      <c r="E846" s="8"/>
      <c r="H846" s="8"/>
    </row>
    <row r="847" ht="14.25" customHeight="1">
      <c r="C847" s="8"/>
      <c r="D847" s="8"/>
      <c r="E847" s="8"/>
      <c r="H847" s="8"/>
    </row>
    <row r="848" ht="14.25" customHeight="1">
      <c r="C848" s="8"/>
      <c r="D848" s="8"/>
      <c r="E848" s="8"/>
      <c r="H848" s="8"/>
    </row>
    <row r="849" ht="14.25" customHeight="1">
      <c r="C849" s="8"/>
      <c r="D849" s="8"/>
      <c r="E849" s="8"/>
      <c r="H849" s="8"/>
    </row>
    <row r="850" ht="14.25" customHeight="1">
      <c r="C850" s="8"/>
      <c r="D850" s="8"/>
      <c r="E850" s="8"/>
      <c r="H850" s="8"/>
    </row>
    <row r="851" ht="14.25" customHeight="1">
      <c r="C851" s="8"/>
      <c r="D851" s="8"/>
      <c r="E851" s="8"/>
      <c r="H851" s="8"/>
    </row>
    <row r="852" ht="14.25" customHeight="1">
      <c r="C852" s="8"/>
      <c r="D852" s="8"/>
      <c r="E852" s="8"/>
      <c r="H852" s="8"/>
    </row>
    <row r="853" ht="14.25" customHeight="1">
      <c r="C853" s="8"/>
      <c r="D853" s="8"/>
      <c r="E853" s="8"/>
      <c r="H853" s="8"/>
    </row>
    <row r="854" ht="14.25" customHeight="1">
      <c r="C854" s="8"/>
      <c r="D854" s="8"/>
      <c r="E854" s="8"/>
      <c r="H854" s="8"/>
    </row>
    <row r="855" ht="14.25" customHeight="1">
      <c r="C855" s="8"/>
      <c r="D855" s="8"/>
      <c r="E855" s="8"/>
      <c r="H855" s="8"/>
    </row>
    <row r="856" ht="14.25" customHeight="1">
      <c r="C856" s="8"/>
      <c r="D856" s="8"/>
      <c r="E856" s="8"/>
      <c r="H856" s="8"/>
    </row>
    <row r="857" ht="14.25" customHeight="1">
      <c r="C857" s="8"/>
      <c r="D857" s="8"/>
      <c r="E857" s="8"/>
      <c r="H857" s="8"/>
    </row>
    <row r="858" ht="14.25" customHeight="1">
      <c r="C858" s="8"/>
      <c r="D858" s="8"/>
      <c r="E858" s="8"/>
      <c r="H858" s="8"/>
    </row>
    <row r="859" ht="14.25" customHeight="1">
      <c r="C859" s="8"/>
      <c r="D859" s="8"/>
      <c r="E859" s="8"/>
      <c r="H859" s="8"/>
    </row>
    <row r="860" ht="14.25" customHeight="1">
      <c r="C860" s="8"/>
      <c r="D860" s="8"/>
      <c r="E860" s="8"/>
      <c r="H860" s="8"/>
    </row>
    <row r="861" ht="14.25" customHeight="1">
      <c r="C861" s="8"/>
      <c r="D861" s="8"/>
      <c r="E861" s="8"/>
      <c r="H861" s="8"/>
    </row>
    <row r="862" ht="14.25" customHeight="1">
      <c r="C862" s="8"/>
      <c r="D862" s="8"/>
      <c r="E862" s="8"/>
      <c r="H862" s="8"/>
    </row>
    <row r="863" ht="14.25" customHeight="1">
      <c r="C863" s="8"/>
      <c r="D863" s="8"/>
      <c r="E863" s="8"/>
      <c r="H863" s="8"/>
    </row>
    <row r="864" ht="14.25" customHeight="1">
      <c r="C864" s="8"/>
      <c r="D864" s="8"/>
      <c r="E864" s="8"/>
      <c r="H864" s="8"/>
    </row>
    <row r="865" ht="14.25" customHeight="1">
      <c r="C865" s="8"/>
      <c r="D865" s="8"/>
      <c r="E865" s="8"/>
      <c r="H865" s="8"/>
    </row>
    <row r="866" ht="14.25" customHeight="1">
      <c r="C866" s="8"/>
      <c r="D866" s="8"/>
      <c r="E866" s="8"/>
      <c r="H866" s="8"/>
    </row>
    <row r="867" ht="14.25" customHeight="1">
      <c r="C867" s="8"/>
      <c r="D867" s="8"/>
      <c r="E867" s="8"/>
      <c r="H867" s="8"/>
    </row>
    <row r="868" ht="14.25" customHeight="1">
      <c r="C868" s="8"/>
      <c r="D868" s="8"/>
      <c r="E868" s="8"/>
      <c r="H868" s="8"/>
    </row>
    <row r="869" ht="14.25" customHeight="1">
      <c r="C869" s="8"/>
      <c r="D869" s="8"/>
      <c r="E869" s="8"/>
      <c r="H869" s="8"/>
    </row>
    <row r="870" ht="14.25" customHeight="1">
      <c r="C870" s="8"/>
      <c r="D870" s="8"/>
      <c r="E870" s="8"/>
      <c r="H870" s="8"/>
    </row>
    <row r="871" ht="14.25" customHeight="1">
      <c r="C871" s="8"/>
      <c r="D871" s="8"/>
      <c r="E871" s="8"/>
      <c r="H871" s="8"/>
    </row>
    <row r="872" ht="14.25" customHeight="1">
      <c r="C872" s="8"/>
      <c r="D872" s="8"/>
      <c r="E872" s="8"/>
      <c r="H872" s="8"/>
    </row>
    <row r="873" ht="14.25" customHeight="1">
      <c r="C873" s="8"/>
      <c r="D873" s="8"/>
      <c r="E873" s="8"/>
      <c r="H873" s="8"/>
    </row>
    <row r="874" ht="14.25" customHeight="1">
      <c r="C874" s="8"/>
      <c r="D874" s="8"/>
      <c r="E874" s="8"/>
      <c r="H874" s="8"/>
    </row>
    <row r="875" ht="14.25" customHeight="1">
      <c r="C875" s="8"/>
      <c r="D875" s="8"/>
      <c r="E875" s="8"/>
      <c r="H875" s="8"/>
    </row>
    <row r="876" ht="14.25" customHeight="1">
      <c r="C876" s="8"/>
      <c r="D876" s="8"/>
      <c r="E876" s="8"/>
      <c r="H876" s="8"/>
    </row>
    <row r="877" ht="14.25" customHeight="1">
      <c r="C877" s="8"/>
      <c r="D877" s="8"/>
      <c r="E877" s="8"/>
      <c r="H877" s="8"/>
    </row>
    <row r="878" ht="14.25" customHeight="1">
      <c r="C878" s="8"/>
      <c r="D878" s="8"/>
      <c r="E878" s="8"/>
      <c r="H878" s="8"/>
    </row>
    <row r="879" ht="14.25" customHeight="1">
      <c r="C879" s="8"/>
      <c r="D879" s="8"/>
      <c r="E879" s="8"/>
      <c r="H879" s="8"/>
    </row>
    <row r="880" ht="14.25" customHeight="1">
      <c r="C880" s="8"/>
      <c r="D880" s="8"/>
      <c r="E880" s="8"/>
      <c r="H880" s="8"/>
    </row>
    <row r="881" ht="14.25" customHeight="1">
      <c r="C881" s="8"/>
      <c r="D881" s="8"/>
      <c r="E881" s="8"/>
      <c r="H881" s="8"/>
    </row>
    <row r="882" ht="14.25" customHeight="1">
      <c r="C882" s="8"/>
      <c r="D882" s="8"/>
      <c r="E882" s="8"/>
      <c r="H882" s="8"/>
    </row>
    <row r="883" ht="14.25" customHeight="1">
      <c r="C883" s="8"/>
      <c r="D883" s="8"/>
      <c r="E883" s="8"/>
      <c r="H883" s="8"/>
    </row>
    <row r="884" ht="14.25" customHeight="1">
      <c r="C884" s="8"/>
      <c r="D884" s="8"/>
      <c r="E884" s="8"/>
      <c r="H884" s="8"/>
    </row>
    <row r="885" ht="14.25" customHeight="1">
      <c r="C885" s="8"/>
      <c r="D885" s="8"/>
      <c r="E885" s="8"/>
      <c r="H885" s="8"/>
    </row>
    <row r="886" ht="14.25" customHeight="1">
      <c r="C886" s="8"/>
      <c r="D886" s="8"/>
      <c r="E886" s="8"/>
      <c r="H886" s="8"/>
    </row>
    <row r="887" ht="14.25" customHeight="1">
      <c r="C887" s="8"/>
      <c r="D887" s="8"/>
      <c r="E887" s="8"/>
      <c r="H887" s="8"/>
    </row>
    <row r="888" ht="14.25" customHeight="1">
      <c r="C888" s="8"/>
      <c r="D888" s="8"/>
      <c r="E888" s="8"/>
      <c r="H888" s="8"/>
    </row>
    <row r="889" ht="14.25" customHeight="1">
      <c r="C889" s="8"/>
      <c r="D889" s="8"/>
      <c r="E889" s="8"/>
      <c r="H889" s="8"/>
    </row>
    <row r="890" ht="14.25" customHeight="1">
      <c r="C890" s="8"/>
      <c r="D890" s="8"/>
      <c r="E890" s="8"/>
      <c r="H890" s="8"/>
    </row>
    <row r="891" ht="14.25" customHeight="1">
      <c r="C891" s="8"/>
      <c r="D891" s="8"/>
      <c r="E891" s="8"/>
      <c r="H891" s="8"/>
    </row>
    <row r="892" ht="14.25" customHeight="1">
      <c r="C892" s="8"/>
      <c r="D892" s="8"/>
      <c r="E892" s="8"/>
      <c r="H892" s="8"/>
    </row>
    <row r="893" ht="14.25" customHeight="1">
      <c r="C893" s="8"/>
      <c r="D893" s="8"/>
      <c r="E893" s="8"/>
      <c r="H893" s="8"/>
    </row>
    <row r="894" ht="14.25" customHeight="1">
      <c r="C894" s="8"/>
      <c r="D894" s="8"/>
      <c r="E894" s="8"/>
      <c r="H894" s="8"/>
    </row>
    <row r="895" ht="14.25" customHeight="1">
      <c r="C895" s="8"/>
      <c r="D895" s="8"/>
      <c r="E895" s="8"/>
      <c r="H895" s="8"/>
    </row>
    <row r="896" ht="14.25" customHeight="1">
      <c r="C896" s="8"/>
      <c r="D896" s="8"/>
      <c r="E896" s="8"/>
      <c r="H896" s="8"/>
    </row>
    <row r="897" ht="14.25" customHeight="1">
      <c r="C897" s="8"/>
      <c r="D897" s="8"/>
      <c r="E897" s="8"/>
      <c r="H897" s="8"/>
    </row>
    <row r="898" ht="14.25" customHeight="1">
      <c r="C898" s="8"/>
      <c r="D898" s="8"/>
      <c r="E898" s="8"/>
      <c r="H898" s="8"/>
    </row>
    <row r="899" ht="14.25" customHeight="1">
      <c r="C899" s="8"/>
      <c r="D899" s="8"/>
      <c r="E899" s="8"/>
      <c r="H899" s="8"/>
    </row>
    <row r="900" ht="14.25" customHeight="1">
      <c r="C900" s="8"/>
      <c r="D900" s="8"/>
      <c r="E900" s="8"/>
      <c r="H900" s="8"/>
    </row>
    <row r="901" ht="14.25" customHeight="1">
      <c r="C901" s="8"/>
      <c r="D901" s="8"/>
      <c r="E901" s="8"/>
      <c r="H901" s="8"/>
    </row>
    <row r="902" ht="14.25" customHeight="1">
      <c r="C902" s="8"/>
      <c r="D902" s="8"/>
      <c r="E902" s="8"/>
      <c r="H902" s="8"/>
    </row>
    <row r="903" ht="14.25" customHeight="1">
      <c r="C903" s="8"/>
      <c r="D903" s="8"/>
      <c r="E903" s="8"/>
      <c r="H903" s="8"/>
    </row>
    <row r="904" ht="14.25" customHeight="1">
      <c r="C904" s="8"/>
      <c r="D904" s="8"/>
      <c r="E904" s="8"/>
      <c r="H904" s="8"/>
    </row>
    <row r="905" ht="14.25" customHeight="1">
      <c r="C905" s="8"/>
      <c r="D905" s="8"/>
      <c r="E905" s="8"/>
      <c r="H905" s="8"/>
    </row>
    <row r="906" ht="14.25" customHeight="1">
      <c r="C906" s="8"/>
      <c r="D906" s="8"/>
      <c r="E906" s="8"/>
      <c r="H906" s="8"/>
    </row>
    <row r="907" ht="14.25" customHeight="1">
      <c r="C907" s="8"/>
      <c r="D907" s="8"/>
      <c r="E907" s="8"/>
      <c r="H907" s="8"/>
    </row>
    <row r="908" ht="14.25" customHeight="1">
      <c r="C908" s="8"/>
      <c r="D908" s="8"/>
      <c r="E908" s="8"/>
      <c r="H908" s="8"/>
    </row>
    <row r="909" ht="14.25" customHeight="1">
      <c r="C909" s="8"/>
      <c r="D909" s="8"/>
      <c r="E909" s="8"/>
      <c r="H909" s="8"/>
    </row>
    <row r="910" ht="14.25" customHeight="1">
      <c r="C910" s="8"/>
      <c r="D910" s="8"/>
      <c r="E910" s="8"/>
      <c r="H910" s="8"/>
    </row>
    <row r="911" ht="14.25" customHeight="1">
      <c r="C911" s="8"/>
      <c r="D911" s="8"/>
      <c r="E911" s="8"/>
      <c r="H911" s="8"/>
    </row>
    <row r="912" ht="14.25" customHeight="1">
      <c r="C912" s="8"/>
      <c r="D912" s="8"/>
      <c r="E912" s="8"/>
      <c r="H912" s="8"/>
    </row>
    <row r="913" ht="14.25" customHeight="1">
      <c r="C913" s="8"/>
      <c r="D913" s="8"/>
      <c r="E913" s="8"/>
      <c r="H913" s="8"/>
    </row>
    <row r="914" ht="14.25" customHeight="1">
      <c r="C914" s="8"/>
      <c r="D914" s="8"/>
      <c r="E914" s="8"/>
      <c r="H914" s="8"/>
    </row>
    <row r="915" ht="14.25" customHeight="1">
      <c r="C915" s="8"/>
      <c r="D915" s="8"/>
      <c r="E915" s="8"/>
      <c r="H915" s="8"/>
    </row>
    <row r="916" ht="14.25" customHeight="1">
      <c r="C916" s="8"/>
      <c r="D916" s="8"/>
      <c r="E916" s="8"/>
      <c r="H916" s="8"/>
    </row>
    <row r="917" ht="14.25" customHeight="1">
      <c r="C917" s="8"/>
      <c r="D917" s="8"/>
      <c r="E917" s="8"/>
      <c r="H917" s="8"/>
    </row>
    <row r="918" ht="14.25" customHeight="1">
      <c r="C918" s="8"/>
      <c r="D918" s="8"/>
      <c r="E918" s="8"/>
      <c r="H918" s="8"/>
    </row>
    <row r="919" ht="14.25" customHeight="1">
      <c r="C919" s="8"/>
      <c r="D919" s="8"/>
      <c r="E919" s="8"/>
      <c r="H919" s="8"/>
    </row>
    <row r="920" ht="14.25" customHeight="1">
      <c r="C920" s="8"/>
      <c r="D920" s="8"/>
      <c r="E920" s="8"/>
      <c r="H920" s="8"/>
    </row>
    <row r="921" ht="14.25" customHeight="1">
      <c r="C921" s="8"/>
      <c r="D921" s="8"/>
      <c r="E921" s="8"/>
      <c r="H921" s="8"/>
    </row>
    <row r="922" ht="14.25" customHeight="1">
      <c r="C922" s="8"/>
      <c r="D922" s="8"/>
      <c r="E922" s="8"/>
      <c r="H922" s="8"/>
    </row>
    <row r="923" ht="14.25" customHeight="1">
      <c r="C923" s="8"/>
      <c r="D923" s="8"/>
      <c r="E923" s="8"/>
      <c r="H923" s="8"/>
    </row>
    <row r="924" ht="14.25" customHeight="1">
      <c r="C924" s="8"/>
      <c r="D924" s="8"/>
      <c r="E924" s="8"/>
      <c r="H924" s="8"/>
    </row>
    <row r="925" ht="14.25" customHeight="1">
      <c r="C925" s="8"/>
      <c r="D925" s="8"/>
      <c r="E925" s="8"/>
      <c r="H925" s="8"/>
    </row>
    <row r="926" ht="14.25" customHeight="1">
      <c r="C926" s="8"/>
      <c r="D926" s="8"/>
      <c r="E926" s="8"/>
      <c r="H926" s="8"/>
    </row>
    <row r="927" ht="14.25" customHeight="1">
      <c r="C927" s="8"/>
      <c r="D927" s="8"/>
      <c r="E927" s="8"/>
      <c r="H927" s="8"/>
    </row>
    <row r="928" ht="14.25" customHeight="1">
      <c r="C928" s="8"/>
      <c r="D928" s="8"/>
      <c r="E928" s="8"/>
      <c r="H928" s="8"/>
    </row>
    <row r="929" ht="14.25" customHeight="1">
      <c r="C929" s="8"/>
      <c r="D929" s="8"/>
      <c r="E929" s="8"/>
      <c r="H929" s="8"/>
    </row>
    <row r="930" ht="14.25" customHeight="1">
      <c r="C930" s="8"/>
      <c r="D930" s="8"/>
      <c r="E930" s="8"/>
      <c r="H930" s="8"/>
    </row>
    <row r="931" ht="14.25" customHeight="1">
      <c r="C931" s="8"/>
      <c r="D931" s="8"/>
      <c r="E931" s="8"/>
      <c r="H931" s="8"/>
    </row>
    <row r="932" ht="14.25" customHeight="1">
      <c r="C932" s="8"/>
      <c r="D932" s="8"/>
      <c r="E932" s="8"/>
      <c r="H932" s="8"/>
    </row>
    <row r="933" ht="14.25" customHeight="1">
      <c r="C933" s="8"/>
      <c r="D933" s="8"/>
      <c r="E933" s="8"/>
      <c r="H933" s="8"/>
    </row>
    <row r="934" ht="14.25" customHeight="1">
      <c r="C934" s="8"/>
      <c r="D934" s="8"/>
      <c r="E934" s="8"/>
      <c r="H934" s="8"/>
    </row>
    <row r="935" ht="14.25" customHeight="1">
      <c r="C935" s="8"/>
      <c r="D935" s="8"/>
      <c r="E935" s="8"/>
      <c r="H935" s="8"/>
    </row>
    <row r="936" ht="14.25" customHeight="1">
      <c r="C936" s="8"/>
      <c r="D936" s="8"/>
      <c r="E936" s="8"/>
      <c r="H936" s="8"/>
    </row>
    <row r="937" ht="14.25" customHeight="1">
      <c r="C937" s="8"/>
      <c r="D937" s="8"/>
      <c r="E937" s="8"/>
      <c r="H937" s="8"/>
    </row>
    <row r="938" ht="14.25" customHeight="1">
      <c r="C938" s="8"/>
      <c r="D938" s="8"/>
      <c r="E938" s="8"/>
      <c r="H938" s="8"/>
    </row>
    <row r="939" ht="14.25" customHeight="1">
      <c r="C939" s="8"/>
      <c r="D939" s="8"/>
      <c r="E939" s="8"/>
      <c r="H939" s="8"/>
    </row>
    <row r="940" ht="14.25" customHeight="1">
      <c r="C940" s="8"/>
      <c r="D940" s="8"/>
      <c r="E940" s="8"/>
      <c r="H940" s="8"/>
    </row>
    <row r="941" ht="14.25" customHeight="1">
      <c r="C941" s="8"/>
      <c r="D941" s="8"/>
      <c r="E941" s="8"/>
      <c r="H941" s="8"/>
    </row>
    <row r="942" ht="14.25" customHeight="1">
      <c r="C942" s="8"/>
      <c r="D942" s="8"/>
      <c r="E942" s="8"/>
      <c r="H942" s="8"/>
    </row>
    <row r="943" ht="14.25" customHeight="1">
      <c r="C943" s="8"/>
      <c r="D943" s="8"/>
      <c r="E943" s="8"/>
      <c r="H943" s="8"/>
    </row>
    <row r="944" ht="14.25" customHeight="1">
      <c r="C944" s="8"/>
      <c r="D944" s="8"/>
      <c r="E944" s="8"/>
      <c r="H944" s="8"/>
    </row>
    <row r="945" ht="14.25" customHeight="1">
      <c r="C945" s="8"/>
      <c r="D945" s="8"/>
      <c r="E945" s="8"/>
      <c r="H945" s="8"/>
    </row>
    <row r="946" ht="14.25" customHeight="1">
      <c r="C946" s="8"/>
      <c r="D946" s="8"/>
      <c r="E946" s="8"/>
      <c r="H946" s="8"/>
    </row>
    <row r="947" ht="14.25" customHeight="1">
      <c r="C947" s="8"/>
      <c r="D947" s="8"/>
      <c r="E947" s="8"/>
      <c r="H947" s="8"/>
    </row>
    <row r="948" ht="14.25" customHeight="1">
      <c r="C948" s="8"/>
      <c r="D948" s="8"/>
      <c r="E948" s="8"/>
      <c r="H948" s="8"/>
    </row>
    <row r="949" ht="14.25" customHeight="1">
      <c r="C949" s="8"/>
      <c r="D949" s="8"/>
      <c r="E949" s="8"/>
      <c r="H949" s="8"/>
    </row>
    <row r="950" ht="14.25" customHeight="1">
      <c r="C950" s="8"/>
      <c r="D950" s="8"/>
      <c r="E950" s="8"/>
      <c r="H950" s="8"/>
    </row>
    <row r="951" ht="14.25" customHeight="1">
      <c r="C951" s="8"/>
      <c r="D951" s="8"/>
      <c r="E951" s="8"/>
      <c r="H951" s="8"/>
    </row>
    <row r="952" ht="14.25" customHeight="1">
      <c r="C952" s="8"/>
      <c r="D952" s="8"/>
      <c r="E952" s="8"/>
      <c r="H952" s="8"/>
    </row>
    <row r="953" ht="14.25" customHeight="1">
      <c r="C953" s="8"/>
      <c r="D953" s="8"/>
      <c r="E953" s="8"/>
      <c r="H953" s="8"/>
    </row>
    <row r="954" ht="14.25" customHeight="1">
      <c r="C954" s="8"/>
      <c r="D954" s="8"/>
      <c r="E954" s="8"/>
      <c r="H954" s="8"/>
    </row>
    <row r="955" ht="14.25" customHeight="1">
      <c r="C955" s="8"/>
      <c r="D955" s="8"/>
      <c r="E955" s="8"/>
      <c r="H955" s="8"/>
    </row>
    <row r="956" ht="14.25" customHeight="1">
      <c r="C956" s="8"/>
      <c r="D956" s="8"/>
      <c r="E956" s="8"/>
      <c r="H956" s="8"/>
    </row>
    <row r="957" ht="14.25" customHeight="1">
      <c r="C957" s="8"/>
      <c r="D957" s="8"/>
      <c r="E957" s="8"/>
      <c r="H957" s="8"/>
    </row>
    <row r="958" ht="14.25" customHeight="1">
      <c r="C958" s="8"/>
      <c r="D958" s="8"/>
      <c r="E958" s="8"/>
      <c r="H958" s="8"/>
    </row>
    <row r="959" ht="14.25" customHeight="1">
      <c r="C959" s="8"/>
      <c r="D959" s="8"/>
      <c r="E959" s="8"/>
      <c r="H959" s="8"/>
    </row>
    <row r="960" ht="14.25" customHeight="1">
      <c r="C960" s="8"/>
      <c r="D960" s="8"/>
      <c r="E960" s="8"/>
      <c r="H960" s="8"/>
    </row>
    <row r="961" ht="14.25" customHeight="1">
      <c r="C961" s="8"/>
      <c r="D961" s="8"/>
      <c r="E961" s="8"/>
      <c r="H961" s="8"/>
    </row>
    <row r="962" ht="14.25" customHeight="1">
      <c r="C962" s="8"/>
      <c r="D962" s="8"/>
      <c r="E962" s="8"/>
      <c r="H962" s="8"/>
    </row>
    <row r="963" ht="14.25" customHeight="1">
      <c r="C963" s="8"/>
      <c r="D963" s="8"/>
      <c r="E963" s="8"/>
      <c r="H963" s="8"/>
    </row>
    <row r="964" ht="14.25" customHeight="1">
      <c r="C964" s="8"/>
      <c r="D964" s="8"/>
      <c r="E964" s="8"/>
      <c r="H964" s="8"/>
    </row>
    <row r="965" ht="14.25" customHeight="1">
      <c r="C965" s="8"/>
      <c r="D965" s="8"/>
      <c r="E965" s="8"/>
      <c r="H965" s="8"/>
    </row>
    <row r="966" ht="14.25" customHeight="1">
      <c r="C966" s="8"/>
      <c r="D966" s="8"/>
      <c r="E966" s="8"/>
      <c r="H966" s="8"/>
    </row>
    <row r="967" ht="14.25" customHeight="1">
      <c r="C967" s="8"/>
      <c r="D967" s="8"/>
      <c r="E967" s="8"/>
      <c r="H967" s="8"/>
    </row>
    <row r="968" ht="14.25" customHeight="1">
      <c r="C968" s="8"/>
      <c r="D968" s="8"/>
      <c r="E968" s="8"/>
      <c r="H968" s="8"/>
    </row>
    <row r="969" ht="14.25" customHeight="1">
      <c r="C969" s="8"/>
      <c r="D969" s="8"/>
      <c r="E969" s="8"/>
      <c r="H969" s="8"/>
    </row>
    <row r="970" ht="14.25" customHeight="1">
      <c r="C970" s="8"/>
      <c r="D970" s="8"/>
      <c r="E970" s="8"/>
      <c r="H970" s="8"/>
    </row>
    <row r="971" ht="14.25" customHeight="1">
      <c r="C971" s="8"/>
      <c r="D971" s="8"/>
      <c r="E971" s="8"/>
      <c r="H971" s="8"/>
    </row>
    <row r="972" ht="14.25" customHeight="1">
      <c r="C972" s="8"/>
      <c r="D972" s="8"/>
      <c r="E972" s="8"/>
      <c r="H972" s="8"/>
    </row>
    <row r="973" ht="14.25" customHeight="1">
      <c r="C973" s="8"/>
      <c r="D973" s="8"/>
      <c r="E973" s="8"/>
      <c r="H973" s="8"/>
    </row>
    <row r="974" ht="14.25" customHeight="1">
      <c r="C974" s="8"/>
      <c r="D974" s="8"/>
      <c r="E974" s="8"/>
      <c r="H974" s="8"/>
    </row>
    <row r="975" ht="14.25" customHeight="1">
      <c r="C975" s="8"/>
      <c r="D975" s="8"/>
      <c r="E975" s="8"/>
      <c r="H975" s="8"/>
    </row>
    <row r="976" ht="14.25" customHeight="1">
      <c r="C976" s="8"/>
      <c r="D976" s="8"/>
      <c r="E976" s="8"/>
      <c r="H976" s="8"/>
    </row>
    <row r="977" ht="14.25" customHeight="1">
      <c r="C977" s="8"/>
      <c r="D977" s="8"/>
      <c r="E977" s="8"/>
      <c r="H977" s="8"/>
    </row>
    <row r="978" ht="14.25" customHeight="1">
      <c r="C978" s="8"/>
      <c r="D978" s="8"/>
      <c r="E978" s="8"/>
      <c r="H978" s="8"/>
    </row>
    <row r="979" ht="14.25" customHeight="1">
      <c r="C979" s="8"/>
      <c r="D979" s="8"/>
      <c r="E979" s="8"/>
      <c r="H979" s="8"/>
    </row>
    <row r="980" ht="14.25" customHeight="1">
      <c r="C980" s="8"/>
      <c r="D980" s="8"/>
      <c r="E980" s="8"/>
      <c r="H980" s="8"/>
    </row>
    <row r="981" ht="14.25" customHeight="1">
      <c r="C981" s="8"/>
      <c r="D981" s="8"/>
      <c r="E981" s="8"/>
      <c r="H981" s="8"/>
    </row>
    <row r="982" ht="14.25" customHeight="1">
      <c r="C982" s="8"/>
      <c r="D982" s="8"/>
      <c r="E982" s="8"/>
      <c r="H982" s="8"/>
    </row>
    <row r="983" ht="14.25" customHeight="1">
      <c r="C983" s="8"/>
      <c r="D983" s="8"/>
      <c r="E983" s="8"/>
      <c r="H983" s="8"/>
    </row>
    <row r="984" ht="14.25" customHeight="1">
      <c r="C984" s="8"/>
      <c r="D984" s="8"/>
      <c r="E984" s="8"/>
      <c r="H984" s="8"/>
    </row>
    <row r="985" ht="14.25" customHeight="1">
      <c r="C985" s="8"/>
      <c r="D985" s="8"/>
      <c r="E985" s="8"/>
      <c r="H985" s="8"/>
    </row>
    <row r="986" ht="14.25" customHeight="1">
      <c r="C986" s="8"/>
      <c r="D986" s="8"/>
      <c r="E986" s="8"/>
      <c r="H986" s="8"/>
    </row>
    <row r="987" ht="14.25" customHeight="1">
      <c r="C987" s="8"/>
      <c r="D987" s="8"/>
      <c r="E987" s="8"/>
      <c r="H987" s="8"/>
    </row>
    <row r="988" ht="14.25" customHeight="1">
      <c r="C988" s="8"/>
      <c r="D988" s="8"/>
      <c r="E988" s="8"/>
      <c r="H988" s="8"/>
    </row>
    <row r="989" ht="14.25" customHeight="1">
      <c r="C989" s="8"/>
      <c r="D989" s="8"/>
      <c r="E989" s="8"/>
      <c r="H989" s="8"/>
    </row>
    <row r="990" ht="14.25" customHeight="1">
      <c r="C990" s="8"/>
      <c r="D990" s="8"/>
      <c r="E990" s="8"/>
      <c r="H990" s="8"/>
    </row>
    <row r="991" ht="14.25" customHeight="1">
      <c r="C991" s="8"/>
      <c r="D991" s="8"/>
      <c r="E991" s="8"/>
      <c r="H991" s="8"/>
    </row>
    <row r="992" ht="14.25" customHeight="1">
      <c r="C992" s="8"/>
      <c r="D992" s="8"/>
      <c r="E992" s="8"/>
      <c r="H992" s="8"/>
    </row>
    <row r="993" ht="14.25" customHeight="1">
      <c r="C993" s="8"/>
      <c r="D993" s="8"/>
      <c r="E993" s="8"/>
      <c r="H993" s="8"/>
    </row>
    <row r="994" ht="14.25" customHeight="1">
      <c r="C994" s="8"/>
      <c r="D994" s="8"/>
      <c r="E994" s="8"/>
      <c r="H994" s="8"/>
    </row>
    <row r="995" ht="14.25" customHeight="1">
      <c r="C995" s="8"/>
      <c r="D995" s="8"/>
      <c r="E995" s="8"/>
      <c r="H995" s="8"/>
    </row>
    <row r="996" ht="14.25" customHeight="1">
      <c r="C996" s="8"/>
      <c r="D996" s="8"/>
      <c r="E996" s="8"/>
      <c r="H996" s="8"/>
    </row>
    <row r="997" ht="14.25" customHeight="1">
      <c r="C997" s="8"/>
      <c r="D997" s="8"/>
      <c r="E997" s="8"/>
      <c r="H997" s="8"/>
    </row>
    <row r="998" ht="14.25" customHeight="1">
      <c r="C998" s="8"/>
      <c r="D998" s="8"/>
      <c r="E998" s="8"/>
      <c r="H998" s="8"/>
    </row>
    <row r="999" ht="14.25" customHeight="1">
      <c r="C999" s="8"/>
      <c r="D999" s="8"/>
      <c r="E999" s="8"/>
      <c r="H999" s="8"/>
    </row>
    <row r="1000" ht="14.25" customHeight="1">
      <c r="C1000" s="8"/>
      <c r="D1000" s="8"/>
      <c r="E1000" s="8"/>
      <c r="H1000" s="8"/>
    </row>
  </sheetData>
  <autoFilter ref="$A$1:$J$150"/>
  <dataValidations>
    <dataValidation type="list" allowBlank="1" sqref="D2:D1000">
      <formula1>DICTIONARIES!$G$2:$G$3</formula1>
    </dataValidation>
    <dataValidation type="list" allowBlank="1" sqref="H2:H1000">
      <formula1>DICTIONARIES!$D$2:$D$4</formula1>
    </dataValidation>
    <dataValidation type="list" allowBlank="1" sqref="C2:C1000">
      <formula1>DICTIONARIES!$AJ$2:$AJ$4</formula1>
    </dataValidation>
    <dataValidation type="list" allowBlank="1" sqref="E2:E1000">
      <formula1>DICTIONARIES!$E$2:$E$5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8.0"/>
    <col customWidth="1" min="3" max="3" width="12.0"/>
    <col customWidth="1" min="4" max="4" width="16.0"/>
    <col customWidth="1" min="5" max="5" width="20.0"/>
    <col customWidth="1" min="6" max="6" width="18.0"/>
    <col customWidth="1" min="7" max="7" width="30.0"/>
    <col customWidth="1" min="8" max="8" width="20.0"/>
    <col customWidth="1" min="9" max="9" width="14.0"/>
    <col customWidth="1" min="10" max="10" width="45.0"/>
    <col customWidth="1" min="11" max="26" width="8.71"/>
  </cols>
  <sheetData>
    <row r="1" ht="14.25" customHeight="1">
      <c r="A1" s="9" t="s">
        <v>344</v>
      </c>
      <c r="B1" s="9" t="s">
        <v>485</v>
      </c>
      <c r="C1" s="9" t="s">
        <v>883</v>
      </c>
      <c r="D1" s="9" t="s">
        <v>929</v>
      </c>
      <c r="E1" s="9" t="s">
        <v>930</v>
      </c>
      <c r="F1" s="9" t="s">
        <v>931</v>
      </c>
      <c r="G1" s="9" t="s">
        <v>932</v>
      </c>
      <c r="H1" s="9" t="s">
        <v>918</v>
      </c>
      <c r="I1" s="9" t="s">
        <v>933</v>
      </c>
      <c r="J1" s="9" t="s">
        <v>116</v>
      </c>
    </row>
    <row r="2" ht="14.25" customHeight="1">
      <c r="A2" s="18" t="s">
        <v>493</v>
      </c>
      <c r="B2" s="18" t="s">
        <v>495</v>
      </c>
      <c r="C2" s="18" t="s">
        <v>267</v>
      </c>
      <c r="D2" s="18" t="s">
        <v>536</v>
      </c>
      <c r="E2" s="18"/>
      <c r="F2" s="18" t="s">
        <v>934</v>
      </c>
      <c r="G2" s="18" t="s">
        <v>537</v>
      </c>
      <c r="H2" s="18" t="s">
        <v>242</v>
      </c>
      <c r="I2" s="18" t="s">
        <v>267</v>
      </c>
      <c r="J2" s="18" t="s">
        <v>935</v>
      </c>
    </row>
    <row r="3" ht="14.25" customHeight="1">
      <c r="A3" s="18" t="s">
        <v>493</v>
      </c>
      <c r="B3" s="18" t="s">
        <v>495</v>
      </c>
      <c r="C3" s="18" t="s">
        <v>243</v>
      </c>
      <c r="D3" s="18" t="s">
        <v>540</v>
      </c>
      <c r="E3" s="18"/>
      <c r="F3" s="18" t="s">
        <v>936</v>
      </c>
      <c r="G3" s="18" t="s">
        <v>541</v>
      </c>
      <c r="H3" s="18" t="s">
        <v>242</v>
      </c>
      <c r="I3" s="18" t="s">
        <v>243</v>
      </c>
      <c r="J3" s="18" t="s">
        <v>937</v>
      </c>
    </row>
    <row r="4" ht="14.25" customHeight="1">
      <c r="A4" s="18" t="s">
        <v>493</v>
      </c>
      <c r="B4" s="18" t="s">
        <v>495</v>
      </c>
      <c r="C4" s="18" t="s">
        <v>346</v>
      </c>
      <c r="D4" s="18" t="s">
        <v>543</v>
      </c>
      <c r="E4" s="18" t="s">
        <v>921</v>
      </c>
      <c r="F4" s="18" t="s">
        <v>938</v>
      </c>
      <c r="G4" s="18" t="s">
        <v>544</v>
      </c>
      <c r="H4" s="18" t="s">
        <v>242</v>
      </c>
      <c r="I4" s="18" t="s">
        <v>346</v>
      </c>
      <c r="J4" s="18" t="s">
        <v>939</v>
      </c>
    </row>
    <row r="5" ht="14.25" customHeight="1">
      <c r="A5" s="18" t="s">
        <v>506</v>
      </c>
      <c r="B5" s="18" t="s">
        <v>508</v>
      </c>
      <c r="C5" s="18" t="s">
        <v>267</v>
      </c>
      <c r="D5" s="18" t="s">
        <v>547</v>
      </c>
      <c r="E5" s="18" t="s">
        <v>940</v>
      </c>
      <c r="F5" s="18" t="s">
        <v>941</v>
      </c>
      <c r="G5" s="18" t="s">
        <v>508</v>
      </c>
      <c r="H5" s="18" t="s">
        <v>242</v>
      </c>
      <c r="I5" s="18" t="s">
        <v>267</v>
      </c>
      <c r="J5" s="18" t="s">
        <v>942</v>
      </c>
    </row>
    <row r="6" ht="14.25" customHeight="1">
      <c r="A6" s="18" t="s">
        <v>506</v>
      </c>
      <c r="B6" s="18" t="s">
        <v>508</v>
      </c>
      <c r="C6" s="18" t="s">
        <v>243</v>
      </c>
      <c r="D6" s="18" t="s">
        <v>547</v>
      </c>
      <c r="E6" s="18"/>
      <c r="F6" s="18" t="s">
        <v>936</v>
      </c>
      <c r="G6" s="18" t="s">
        <v>508</v>
      </c>
      <c r="H6" s="18" t="s">
        <v>242</v>
      </c>
      <c r="I6" s="18" t="s">
        <v>243</v>
      </c>
      <c r="J6" s="18"/>
    </row>
    <row r="7" ht="14.25" customHeight="1">
      <c r="A7" s="18" t="s">
        <v>506</v>
      </c>
      <c r="B7" s="18" t="s">
        <v>508</v>
      </c>
      <c r="C7" s="18" t="s">
        <v>346</v>
      </c>
      <c r="D7" s="18" t="s">
        <v>547</v>
      </c>
      <c r="E7" s="18" t="s">
        <v>921</v>
      </c>
      <c r="F7" s="18" t="s">
        <v>938</v>
      </c>
      <c r="G7" s="18" t="s">
        <v>943</v>
      </c>
      <c r="H7" s="18" t="s">
        <v>242</v>
      </c>
      <c r="I7" s="18" t="s">
        <v>346</v>
      </c>
      <c r="J7" s="18" t="s">
        <v>944</v>
      </c>
    </row>
    <row r="8" ht="14.25" customHeight="1">
      <c r="A8" s="18" t="s">
        <v>501</v>
      </c>
      <c r="B8" s="18" t="s">
        <v>503</v>
      </c>
      <c r="C8" s="18" t="s">
        <v>267</v>
      </c>
      <c r="D8" s="18" t="s">
        <v>545</v>
      </c>
      <c r="E8" s="18"/>
      <c r="F8" s="18" t="s">
        <v>941</v>
      </c>
      <c r="G8" s="18" t="s">
        <v>503</v>
      </c>
      <c r="H8" s="18" t="s">
        <v>268</v>
      </c>
      <c r="I8" s="18" t="s">
        <v>267</v>
      </c>
      <c r="J8" s="18"/>
    </row>
    <row r="9" ht="14.25" customHeight="1">
      <c r="A9" s="18" t="s">
        <v>501</v>
      </c>
      <c r="B9" s="18" t="s">
        <v>503</v>
      </c>
      <c r="C9" s="18" t="s">
        <v>243</v>
      </c>
      <c r="D9" s="18" t="s">
        <v>545</v>
      </c>
      <c r="E9" s="18"/>
      <c r="F9" s="18" t="s">
        <v>936</v>
      </c>
      <c r="G9" s="18" t="s">
        <v>503</v>
      </c>
      <c r="H9" s="18" t="s">
        <v>268</v>
      </c>
      <c r="I9" s="18" t="s">
        <v>243</v>
      </c>
      <c r="J9" s="18"/>
    </row>
    <row r="10" ht="14.25" customHeight="1">
      <c r="A10" s="18" t="s">
        <v>501</v>
      </c>
      <c r="B10" s="18" t="s">
        <v>503</v>
      </c>
      <c r="C10" s="18" t="s">
        <v>346</v>
      </c>
      <c r="D10" s="18" t="s">
        <v>545</v>
      </c>
      <c r="E10" s="18" t="s">
        <v>945</v>
      </c>
      <c r="F10" s="18" t="s">
        <v>946</v>
      </c>
      <c r="G10" s="18" t="s">
        <v>503</v>
      </c>
      <c r="H10" s="18" t="s">
        <v>242</v>
      </c>
      <c r="I10" s="18" t="s">
        <v>346</v>
      </c>
      <c r="J10" s="18" t="s">
        <v>947</v>
      </c>
    </row>
    <row r="11" ht="14.2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</row>
    <row r="12" ht="14.2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</row>
    <row r="13" ht="14.2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</row>
    <row r="14" ht="14.2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</row>
    <row r="15" ht="14.2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</row>
    <row r="16" ht="14.2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</row>
    <row r="17" ht="14.2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</row>
    <row r="18" ht="14.2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</row>
    <row r="19" ht="14.2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</row>
    <row r="20" ht="14.2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</row>
    <row r="21" ht="14.2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</row>
    <row r="22" ht="14.2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</row>
    <row r="23" ht="14.2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</row>
    <row r="24" ht="14.2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</row>
    <row r="25" ht="14.2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</row>
    <row r="26" ht="14.2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</row>
    <row r="27" ht="14.2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ht="14.2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ht="14.2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ht="14.2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ht="14.2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ht="14.2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ht="14.2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ht="14.2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</row>
    <row r="35" ht="14.2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</row>
    <row r="36" ht="14.2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</row>
    <row r="37" ht="14.2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</row>
    <row r="38" ht="14.2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</row>
    <row r="39" ht="14.2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</row>
    <row r="40" ht="14.2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</row>
    <row r="41" ht="14.2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</row>
    <row r="42" ht="14.2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</row>
    <row r="43" ht="14.2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</row>
    <row r="44" ht="14.2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</row>
    <row r="45" ht="14.2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</row>
    <row r="46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</row>
    <row r="4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</row>
    <row r="48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ht="14.2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ht="14.2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ht="14.2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ht="14.2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ht="14.2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ht="14.2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ht="14.2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ht="14.2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ht="14.2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ht="14.2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ht="14.2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ht="14.2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ht="14.2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ht="14.2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ht="14.2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ht="14.2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ht="14.2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ht="14.2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ht="14.2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ht="14.2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ht="14.2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ht="14.2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ht="14.2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ht="14.2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ht="14.2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ht="14.2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ht="14.2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ht="14.2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ht="14.2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ht="14.2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ht="14.2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ht="14.2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ht="14.2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ht="14.2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ht="14.2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ht="14.2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ht="14.2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ht="14.2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ht="14.2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ht="14.2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ht="14.2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ht="14.2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ht="14.2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ht="14.2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ht="14.2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ht="14.2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ht="14.2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ht="14.2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ht="14.2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ht="14.2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ht="14.2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ht="14.2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ht="14.2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ht="14.2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ht="14.2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ht="14.2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ht="14.2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ht="14.2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ht="14.2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ht="14.2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ht="14.2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ht="14.2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ht="14.2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ht="14.2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ht="14.2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ht="14.2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ht="14.2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ht="14.2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ht="14.2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ht="14.2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ht="14.25" customHeight="1">
      <c r="C151" s="8"/>
      <c r="H151" s="8"/>
    </row>
    <row r="152" ht="14.25" customHeight="1">
      <c r="C152" s="8"/>
      <c r="H152" s="8"/>
    </row>
    <row r="153" ht="14.25" customHeight="1">
      <c r="C153" s="8"/>
      <c r="H153" s="8"/>
    </row>
    <row r="154" ht="14.25" customHeight="1">
      <c r="C154" s="8"/>
      <c r="H154" s="8"/>
    </row>
    <row r="155" ht="14.25" customHeight="1">
      <c r="C155" s="8"/>
      <c r="H155" s="8"/>
    </row>
    <row r="156" ht="14.25" customHeight="1">
      <c r="C156" s="8"/>
      <c r="H156" s="8"/>
    </row>
    <row r="157" ht="14.25" customHeight="1">
      <c r="C157" s="8"/>
      <c r="H157" s="8"/>
    </row>
    <row r="158" ht="14.25" customHeight="1">
      <c r="C158" s="8"/>
      <c r="H158" s="8"/>
    </row>
    <row r="159" ht="14.25" customHeight="1">
      <c r="C159" s="8"/>
      <c r="H159" s="8"/>
    </row>
    <row r="160" ht="14.25" customHeight="1">
      <c r="C160" s="8"/>
      <c r="H160" s="8"/>
    </row>
    <row r="161" ht="14.25" customHeight="1">
      <c r="C161" s="8"/>
      <c r="H161" s="8"/>
    </row>
    <row r="162" ht="14.25" customHeight="1">
      <c r="C162" s="8"/>
      <c r="H162" s="8"/>
    </row>
    <row r="163" ht="14.25" customHeight="1">
      <c r="C163" s="8"/>
      <c r="H163" s="8"/>
    </row>
    <row r="164" ht="14.25" customHeight="1">
      <c r="C164" s="8"/>
      <c r="H164" s="8"/>
    </row>
    <row r="165" ht="14.25" customHeight="1">
      <c r="C165" s="8"/>
      <c r="H165" s="8"/>
    </row>
    <row r="166" ht="14.25" customHeight="1">
      <c r="C166" s="8"/>
      <c r="H166" s="8"/>
    </row>
    <row r="167" ht="14.25" customHeight="1">
      <c r="C167" s="8"/>
      <c r="H167" s="8"/>
    </row>
    <row r="168" ht="14.25" customHeight="1">
      <c r="C168" s="8"/>
      <c r="H168" s="8"/>
    </row>
    <row r="169" ht="14.25" customHeight="1">
      <c r="C169" s="8"/>
      <c r="H169" s="8"/>
    </row>
    <row r="170" ht="14.25" customHeight="1">
      <c r="C170" s="8"/>
      <c r="H170" s="8"/>
    </row>
    <row r="171" ht="14.25" customHeight="1">
      <c r="C171" s="8"/>
      <c r="H171" s="8"/>
    </row>
    <row r="172" ht="14.25" customHeight="1">
      <c r="C172" s="8"/>
      <c r="H172" s="8"/>
    </row>
    <row r="173" ht="14.25" customHeight="1">
      <c r="C173" s="8"/>
      <c r="H173" s="8"/>
    </row>
    <row r="174" ht="14.25" customHeight="1">
      <c r="C174" s="8"/>
      <c r="H174" s="8"/>
    </row>
    <row r="175" ht="14.25" customHeight="1">
      <c r="C175" s="8"/>
      <c r="H175" s="8"/>
    </row>
    <row r="176" ht="14.25" customHeight="1">
      <c r="C176" s="8"/>
      <c r="H176" s="8"/>
    </row>
    <row r="177" ht="14.25" customHeight="1">
      <c r="C177" s="8"/>
      <c r="H177" s="8"/>
    </row>
    <row r="178" ht="14.25" customHeight="1">
      <c r="C178" s="8"/>
      <c r="H178" s="8"/>
    </row>
    <row r="179" ht="14.25" customHeight="1">
      <c r="C179" s="8"/>
      <c r="H179" s="8"/>
    </row>
    <row r="180" ht="14.25" customHeight="1">
      <c r="C180" s="8"/>
      <c r="H180" s="8"/>
    </row>
    <row r="181" ht="14.25" customHeight="1">
      <c r="C181" s="8"/>
      <c r="H181" s="8"/>
    </row>
    <row r="182" ht="14.25" customHeight="1">
      <c r="C182" s="8"/>
      <c r="H182" s="8"/>
    </row>
    <row r="183" ht="14.25" customHeight="1">
      <c r="C183" s="8"/>
      <c r="H183" s="8"/>
    </row>
    <row r="184" ht="14.25" customHeight="1">
      <c r="C184" s="8"/>
      <c r="H184" s="8"/>
    </row>
    <row r="185" ht="14.25" customHeight="1">
      <c r="C185" s="8"/>
      <c r="H185" s="8"/>
    </row>
    <row r="186" ht="14.25" customHeight="1">
      <c r="C186" s="8"/>
      <c r="H186" s="8"/>
    </row>
    <row r="187" ht="14.25" customHeight="1">
      <c r="C187" s="8"/>
      <c r="H187" s="8"/>
    </row>
    <row r="188" ht="14.25" customHeight="1">
      <c r="C188" s="8"/>
      <c r="H188" s="8"/>
    </row>
    <row r="189" ht="14.25" customHeight="1">
      <c r="C189" s="8"/>
      <c r="H189" s="8"/>
    </row>
    <row r="190" ht="14.25" customHeight="1">
      <c r="C190" s="8"/>
      <c r="H190" s="8"/>
    </row>
    <row r="191" ht="14.25" customHeight="1">
      <c r="C191" s="8"/>
      <c r="H191" s="8"/>
    </row>
    <row r="192" ht="14.25" customHeight="1">
      <c r="C192" s="8"/>
      <c r="H192" s="8"/>
    </row>
    <row r="193" ht="14.25" customHeight="1">
      <c r="C193" s="8"/>
      <c r="H193" s="8"/>
    </row>
    <row r="194" ht="14.25" customHeight="1">
      <c r="C194" s="8"/>
      <c r="H194" s="8"/>
    </row>
    <row r="195" ht="14.25" customHeight="1">
      <c r="C195" s="8"/>
      <c r="H195" s="8"/>
    </row>
    <row r="196" ht="14.25" customHeight="1">
      <c r="C196" s="8"/>
      <c r="H196" s="8"/>
    </row>
    <row r="197" ht="14.25" customHeight="1">
      <c r="C197" s="8"/>
      <c r="H197" s="8"/>
    </row>
    <row r="198" ht="14.25" customHeight="1">
      <c r="C198" s="8"/>
      <c r="H198" s="8"/>
    </row>
    <row r="199" ht="14.25" customHeight="1">
      <c r="C199" s="8"/>
      <c r="H199" s="8"/>
    </row>
    <row r="200" ht="14.25" customHeight="1">
      <c r="C200" s="8"/>
      <c r="H200" s="8"/>
    </row>
    <row r="201" ht="14.25" customHeight="1">
      <c r="C201" s="8"/>
      <c r="H201" s="8"/>
    </row>
    <row r="202" ht="14.25" customHeight="1">
      <c r="C202" s="8"/>
      <c r="H202" s="8"/>
    </row>
    <row r="203" ht="14.25" customHeight="1">
      <c r="C203" s="8"/>
      <c r="H203" s="8"/>
    </row>
    <row r="204" ht="14.25" customHeight="1">
      <c r="C204" s="8"/>
      <c r="H204" s="8"/>
    </row>
    <row r="205" ht="14.25" customHeight="1">
      <c r="C205" s="8"/>
      <c r="H205" s="8"/>
    </row>
    <row r="206" ht="14.25" customHeight="1">
      <c r="C206" s="8"/>
      <c r="H206" s="8"/>
    </row>
    <row r="207" ht="14.25" customHeight="1">
      <c r="C207" s="8"/>
      <c r="H207" s="8"/>
    </row>
    <row r="208" ht="14.25" customHeight="1">
      <c r="C208" s="8"/>
      <c r="H208" s="8"/>
    </row>
    <row r="209" ht="14.25" customHeight="1">
      <c r="C209" s="8"/>
      <c r="H209" s="8"/>
    </row>
    <row r="210" ht="14.25" customHeight="1">
      <c r="C210" s="8"/>
      <c r="H210" s="8"/>
    </row>
    <row r="211" ht="14.25" customHeight="1">
      <c r="C211" s="8"/>
      <c r="H211" s="8"/>
    </row>
    <row r="212" ht="14.25" customHeight="1">
      <c r="C212" s="8"/>
      <c r="H212" s="8"/>
    </row>
    <row r="213" ht="14.25" customHeight="1">
      <c r="C213" s="8"/>
      <c r="H213" s="8"/>
    </row>
    <row r="214" ht="14.25" customHeight="1">
      <c r="C214" s="8"/>
      <c r="H214" s="8"/>
    </row>
    <row r="215" ht="14.25" customHeight="1">
      <c r="C215" s="8"/>
      <c r="H215" s="8"/>
    </row>
    <row r="216" ht="14.25" customHeight="1">
      <c r="C216" s="8"/>
      <c r="H216" s="8"/>
    </row>
    <row r="217" ht="14.25" customHeight="1">
      <c r="C217" s="8"/>
      <c r="H217" s="8"/>
    </row>
    <row r="218" ht="14.25" customHeight="1">
      <c r="C218" s="8"/>
      <c r="H218" s="8"/>
    </row>
    <row r="219" ht="14.25" customHeight="1">
      <c r="C219" s="8"/>
      <c r="H219" s="8"/>
    </row>
    <row r="220" ht="14.25" customHeight="1">
      <c r="C220" s="8"/>
      <c r="H220" s="8"/>
    </row>
    <row r="221" ht="14.25" customHeight="1">
      <c r="C221" s="8"/>
      <c r="H221" s="8"/>
    </row>
    <row r="222" ht="14.25" customHeight="1">
      <c r="C222" s="8"/>
      <c r="H222" s="8"/>
    </row>
    <row r="223" ht="14.25" customHeight="1">
      <c r="C223" s="8"/>
      <c r="H223" s="8"/>
    </row>
    <row r="224" ht="14.25" customHeight="1">
      <c r="C224" s="8"/>
      <c r="H224" s="8"/>
    </row>
    <row r="225" ht="14.25" customHeight="1">
      <c r="C225" s="8"/>
      <c r="H225" s="8"/>
    </row>
    <row r="226" ht="14.25" customHeight="1">
      <c r="C226" s="8"/>
      <c r="H226" s="8"/>
    </row>
    <row r="227" ht="14.25" customHeight="1">
      <c r="C227" s="8"/>
      <c r="H227" s="8"/>
    </row>
    <row r="228" ht="14.25" customHeight="1">
      <c r="C228" s="8"/>
      <c r="H228" s="8"/>
    </row>
    <row r="229" ht="14.25" customHeight="1">
      <c r="C229" s="8"/>
      <c r="H229" s="8"/>
    </row>
    <row r="230" ht="14.25" customHeight="1">
      <c r="C230" s="8"/>
      <c r="H230" s="8"/>
    </row>
    <row r="231" ht="14.25" customHeight="1">
      <c r="C231" s="8"/>
      <c r="H231" s="8"/>
    </row>
    <row r="232" ht="14.25" customHeight="1">
      <c r="C232" s="8"/>
      <c r="H232" s="8"/>
    </row>
    <row r="233" ht="14.25" customHeight="1">
      <c r="C233" s="8"/>
      <c r="H233" s="8"/>
    </row>
    <row r="234" ht="14.25" customHeight="1">
      <c r="C234" s="8"/>
      <c r="H234" s="8"/>
    </row>
    <row r="235" ht="14.25" customHeight="1">
      <c r="C235" s="8"/>
      <c r="H235" s="8"/>
    </row>
    <row r="236" ht="14.25" customHeight="1">
      <c r="C236" s="8"/>
      <c r="H236" s="8"/>
    </row>
    <row r="237" ht="14.25" customHeight="1">
      <c r="C237" s="8"/>
      <c r="H237" s="8"/>
    </row>
    <row r="238" ht="14.25" customHeight="1">
      <c r="C238" s="8"/>
      <c r="H238" s="8"/>
    </row>
    <row r="239" ht="14.25" customHeight="1">
      <c r="C239" s="8"/>
      <c r="H239" s="8"/>
    </row>
    <row r="240" ht="14.25" customHeight="1">
      <c r="C240" s="8"/>
      <c r="H240" s="8"/>
    </row>
    <row r="241" ht="14.25" customHeight="1">
      <c r="C241" s="8"/>
      <c r="H241" s="8"/>
    </row>
    <row r="242" ht="14.25" customHeight="1">
      <c r="C242" s="8"/>
      <c r="H242" s="8"/>
    </row>
    <row r="243" ht="14.25" customHeight="1">
      <c r="C243" s="8"/>
      <c r="H243" s="8"/>
    </row>
    <row r="244" ht="14.25" customHeight="1">
      <c r="C244" s="8"/>
      <c r="H244" s="8"/>
    </row>
    <row r="245" ht="14.25" customHeight="1">
      <c r="C245" s="8"/>
      <c r="H245" s="8"/>
    </row>
    <row r="246" ht="14.25" customHeight="1">
      <c r="C246" s="8"/>
      <c r="H246" s="8"/>
    </row>
    <row r="247" ht="14.25" customHeight="1">
      <c r="C247" s="8"/>
      <c r="H247" s="8"/>
    </row>
    <row r="248" ht="14.25" customHeight="1">
      <c r="C248" s="8"/>
      <c r="H248" s="8"/>
    </row>
    <row r="249" ht="14.25" customHeight="1">
      <c r="C249" s="8"/>
      <c r="H249" s="8"/>
    </row>
    <row r="250" ht="14.25" customHeight="1">
      <c r="C250" s="8"/>
      <c r="H250" s="8"/>
    </row>
    <row r="251" ht="14.25" customHeight="1">
      <c r="C251" s="8"/>
      <c r="H251" s="8"/>
    </row>
    <row r="252" ht="14.25" customHeight="1">
      <c r="C252" s="8"/>
      <c r="H252" s="8"/>
    </row>
    <row r="253" ht="14.25" customHeight="1">
      <c r="C253" s="8"/>
      <c r="H253" s="8"/>
    </row>
    <row r="254" ht="14.25" customHeight="1">
      <c r="C254" s="8"/>
      <c r="H254" s="8"/>
    </row>
    <row r="255" ht="14.25" customHeight="1">
      <c r="C255" s="8"/>
      <c r="H255" s="8"/>
    </row>
    <row r="256" ht="14.25" customHeight="1">
      <c r="C256" s="8"/>
      <c r="H256" s="8"/>
    </row>
    <row r="257" ht="14.25" customHeight="1">
      <c r="C257" s="8"/>
      <c r="H257" s="8"/>
    </row>
    <row r="258" ht="14.25" customHeight="1">
      <c r="C258" s="8"/>
      <c r="H258" s="8"/>
    </row>
    <row r="259" ht="14.25" customHeight="1">
      <c r="C259" s="8"/>
      <c r="H259" s="8"/>
    </row>
    <row r="260" ht="14.25" customHeight="1">
      <c r="C260" s="8"/>
      <c r="H260" s="8"/>
    </row>
    <row r="261" ht="14.25" customHeight="1">
      <c r="C261" s="8"/>
      <c r="H261" s="8"/>
    </row>
    <row r="262" ht="14.25" customHeight="1">
      <c r="C262" s="8"/>
      <c r="H262" s="8"/>
    </row>
    <row r="263" ht="14.25" customHeight="1">
      <c r="C263" s="8"/>
      <c r="H263" s="8"/>
    </row>
    <row r="264" ht="14.25" customHeight="1">
      <c r="C264" s="8"/>
      <c r="H264" s="8"/>
    </row>
    <row r="265" ht="14.25" customHeight="1">
      <c r="C265" s="8"/>
      <c r="H265" s="8"/>
    </row>
    <row r="266" ht="14.25" customHeight="1">
      <c r="C266" s="8"/>
      <c r="H266" s="8"/>
    </row>
    <row r="267" ht="14.25" customHeight="1">
      <c r="C267" s="8"/>
      <c r="H267" s="8"/>
    </row>
    <row r="268" ht="14.25" customHeight="1">
      <c r="C268" s="8"/>
      <c r="H268" s="8"/>
    </row>
    <row r="269" ht="14.25" customHeight="1">
      <c r="C269" s="8"/>
      <c r="H269" s="8"/>
    </row>
    <row r="270" ht="14.25" customHeight="1">
      <c r="C270" s="8"/>
      <c r="H270" s="8"/>
    </row>
    <row r="271" ht="14.25" customHeight="1">
      <c r="C271" s="8"/>
      <c r="H271" s="8"/>
    </row>
    <row r="272" ht="14.25" customHeight="1">
      <c r="C272" s="8"/>
      <c r="H272" s="8"/>
    </row>
    <row r="273" ht="14.25" customHeight="1">
      <c r="C273" s="8"/>
      <c r="H273" s="8"/>
    </row>
    <row r="274" ht="14.25" customHeight="1">
      <c r="C274" s="8"/>
      <c r="H274" s="8"/>
    </row>
    <row r="275" ht="14.25" customHeight="1">
      <c r="C275" s="8"/>
      <c r="H275" s="8"/>
    </row>
    <row r="276" ht="14.25" customHeight="1">
      <c r="C276" s="8"/>
      <c r="H276" s="8"/>
    </row>
    <row r="277" ht="14.25" customHeight="1">
      <c r="C277" s="8"/>
      <c r="H277" s="8"/>
    </row>
    <row r="278" ht="14.25" customHeight="1">
      <c r="C278" s="8"/>
      <c r="H278" s="8"/>
    </row>
    <row r="279" ht="14.25" customHeight="1">
      <c r="C279" s="8"/>
      <c r="H279" s="8"/>
    </row>
    <row r="280" ht="14.25" customHeight="1">
      <c r="C280" s="8"/>
      <c r="H280" s="8"/>
    </row>
    <row r="281" ht="14.25" customHeight="1">
      <c r="C281" s="8"/>
      <c r="H281" s="8"/>
    </row>
    <row r="282" ht="14.25" customHeight="1">
      <c r="C282" s="8"/>
      <c r="H282" s="8"/>
    </row>
    <row r="283" ht="14.25" customHeight="1">
      <c r="C283" s="8"/>
      <c r="H283" s="8"/>
    </row>
    <row r="284" ht="14.25" customHeight="1">
      <c r="C284" s="8"/>
      <c r="H284" s="8"/>
    </row>
    <row r="285" ht="14.25" customHeight="1">
      <c r="C285" s="8"/>
      <c r="H285" s="8"/>
    </row>
    <row r="286" ht="14.25" customHeight="1">
      <c r="C286" s="8"/>
      <c r="H286" s="8"/>
    </row>
    <row r="287" ht="14.25" customHeight="1">
      <c r="C287" s="8"/>
      <c r="H287" s="8"/>
    </row>
    <row r="288" ht="14.25" customHeight="1">
      <c r="C288" s="8"/>
      <c r="H288" s="8"/>
    </row>
    <row r="289" ht="14.25" customHeight="1">
      <c r="C289" s="8"/>
      <c r="H289" s="8"/>
    </row>
    <row r="290" ht="14.25" customHeight="1">
      <c r="C290" s="8"/>
      <c r="H290" s="8"/>
    </row>
    <row r="291" ht="14.25" customHeight="1">
      <c r="C291" s="8"/>
      <c r="H291" s="8"/>
    </row>
    <row r="292" ht="14.25" customHeight="1">
      <c r="C292" s="8"/>
      <c r="H292" s="8"/>
    </row>
    <row r="293" ht="14.25" customHeight="1">
      <c r="C293" s="8"/>
      <c r="H293" s="8"/>
    </row>
    <row r="294" ht="14.25" customHeight="1">
      <c r="C294" s="8"/>
      <c r="H294" s="8"/>
    </row>
    <row r="295" ht="14.25" customHeight="1">
      <c r="C295" s="8"/>
      <c r="H295" s="8"/>
    </row>
    <row r="296" ht="14.25" customHeight="1">
      <c r="C296" s="8"/>
      <c r="H296" s="8"/>
    </row>
    <row r="297" ht="14.25" customHeight="1">
      <c r="C297" s="8"/>
      <c r="H297" s="8"/>
    </row>
    <row r="298" ht="14.25" customHeight="1">
      <c r="C298" s="8"/>
      <c r="H298" s="8"/>
    </row>
    <row r="299" ht="14.25" customHeight="1">
      <c r="C299" s="8"/>
      <c r="H299" s="8"/>
    </row>
    <row r="300" ht="14.25" customHeight="1">
      <c r="C300" s="8"/>
      <c r="H300" s="8"/>
    </row>
    <row r="301" ht="14.25" customHeight="1">
      <c r="C301" s="8"/>
      <c r="H301" s="8"/>
    </row>
    <row r="302" ht="14.25" customHeight="1">
      <c r="C302" s="8"/>
      <c r="H302" s="8"/>
    </row>
    <row r="303" ht="14.25" customHeight="1">
      <c r="C303" s="8"/>
      <c r="H303" s="8"/>
    </row>
    <row r="304" ht="14.25" customHeight="1">
      <c r="C304" s="8"/>
      <c r="H304" s="8"/>
    </row>
    <row r="305" ht="14.25" customHeight="1">
      <c r="C305" s="8"/>
      <c r="H305" s="8"/>
    </row>
    <row r="306" ht="14.25" customHeight="1">
      <c r="C306" s="8"/>
      <c r="H306" s="8"/>
    </row>
    <row r="307" ht="14.25" customHeight="1">
      <c r="C307" s="8"/>
      <c r="H307" s="8"/>
    </row>
    <row r="308" ht="14.25" customHeight="1">
      <c r="C308" s="8"/>
      <c r="H308" s="8"/>
    </row>
    <row r="309" ht="14.25" customHeight="1">
      <c r="C309" s="8"/>
      <c r="H309" s="8"/>
    </row>
    <row r="310" ht="14.25" customHeight="1">
      <c r="C310" s="8"/>
      <c r="H310" s="8"/>
    </row>
    <row r="311" ht="14.25" customHeight="1">
      <c r="C311" s="8"/>
      <c r="H311" s="8"/>
    </row>
    <row r="312" ht="14.25" customHeight="1">
      <c r="C312" s="8"/>
      <c r="H312" s="8"/>
    </row>
    <row r="313" ht="14.25" customHeight="1">
      <c r="C313" s="8"/>
      <c r="H313" s="8"/>
    </row>
    <row r="314" ht="14.25" customHeight="1">
      <c r="C314" s="8"/>
      <c r="H314" s="8"/>
    </row>
    <row r="315" ht="14.25" customHeight="1">
      <c r="C315" s="8"/>
      <c r="H315" s="8"/>
    </row>
    <row r="316" ht="14.25" customHeight="1">
      <c r="C316" s="8"/>
      <c r="H316" s="8"/>
    </row>
    <row r="317" ht="14.25" customHeight="1">
      <c r="C317" s="8"/>
      <c r="H317" s="8"/>
    </row>
    <row r="318" ht="14.25" customHeight="1">
      <c r="C318" s="8"/>
      <c r="H318" s="8"/>
    </row>
    <row r="319" ht="14.25" customHeight="1">
      <c r="C319" s="8"/>
      <c r="H319" s="8"/>
    </row>
    <row r="320" ht="14.25" customHeight="1">
      <c r="C320" s="8"/>
      <c r="H320" s="8"/>
    </row>
    <row r="321" ht="14.25" customHeight="1">
      <c r="C321" s="8"/>
      <c r="H321" s="8"/>
    </row>
    <row r="322" ht="14.25" customHeight="1">
      <c r="C322" s="8"/>
      <c r="H322" s="8"/>
    </row>
    <row r="323" ht="14.25" customHeight="1">
      <c r="C323" s="8"/>
      <c r="H323" s="8"/>
    </row>
    <row r="324" ht="14.25" customHeight="1">
      <c r="C324" s="8"/>
      <c r="H324" s="8"/>
    </row>
    <row r="325" ht="14.25" customHeight="1">
      <c r="C325" s="8"/>
      <c r="H325" s="8"/>
    </row>
    <row r="326" ht="14.25" customHeight="1">
      <c r="C326" s="8"/>
      <c r="H326" s="8"/>
    </row>
    <row r="327" ht="14.25" customHeight="1">
      <c r="C327" s="8"/>
      <c r="H327" s="8"/>
    </row>
    <row r="328" ht="14.25" customHeight="1">
      <c r="C328" s="8"/>
      <c r="H328" s="8"/>
    </row>
    <row r="329" ht="14.25" customHeight="1">
      <c r="C329" s="8"/>
      <c r="H329" s="8"/>
    </row>
    <row r="330" ht="14.25" customHeight="1">
      <c r="C330" s="8"/>
      <c r="H330" s="8"/>
    </row>
    <row r="331" ht="14.25" customHeight="1">
      <c r="C331" s="8"/>
      <c r="H331" s="8"/>
    </row>
    <row r="332" ht="14.25" customHeight="1">
      <c r="C332" s="8"/>
      <c r="H332" s="8"/>
    </row>
    <row r="333" ht="14.25" customHeight="1">
      <c r="C333" s="8"/>
      <c r="H333" s="8"/>
    </row>
    <row r="334" ht="14.25" customHeight="1">
      <c r="C334" s="8"/>
      <c r="H334" s="8"/>
    </row>
    <row r="335" ht="14.25" customHeight="1">
      <c r="C335" s="8"/>
      <c r="H335" s="8"/>
    </row>
    <row r="336" ht="14.25" customHeight="1">
      <c r="C336" s="8"/>
      <c r="H336" s="8"/>
    </row>
    <row r="337" ht="14.25" customHeight="1">
      <c r="C337" s="8"/>
      <c r="H337" s="8"/>
    </row>
    <row r="338" ht="14.25" customHeight="1">
      <c r="C338" s="8"/>
      <c r="H338" s="8"/>
    </row>
    <row r="339" ht="14.25" customHeight="1">
      <c r="C339" s="8"/>
      <c r="H339" s="8"/>
    </row>
    <row r="340" ht="14.25" customHeight="1">
      <c r="C340" s="8"/>
      <c r="H340" s="8"/>
    </row>
    <row r="341" ht="14.25" customHeight="1">
      <c r="C341" s="8"/>
      <c r="H341" s="8"/>
    </row>
    <row r="342" ht="14.25" customHeight="1">
      <c r="C342" s="8"/>
      <c r="H342" s="8"/>
    </row>
    <row r="343" ht="14.25" customHeight="1">
      <c r="C343" s="8"/>
      <c r="H343" s="8"/>
    </row>
    <row r="344" ht="14.25" customHeight="1">
      <c r="C344" s="8"/>
      <c r="H344" s="8"/>
    </row>
    <row r="345" ht="14.25" customHeight="1">
      <c r="C345" s="8"/>
      <c r="H345" s="8"/>
    </row>
    <row r="346" ht="14.25" customHeight="1">
      <c r="C346" s="8"/>
      <c r="H346" s="8"/>
    </row>
    <row r="347" ht="14.25" customHeight="1">
      <c r="C347" s="8"/>
      <c r="H347" s="8"/>
    </row>
    <row r="348" ht="14.25" customHeight="1">
      <c r="C348" s="8"/>
      <c r="H348" s="8"/>
    </row>
    <row r="349" ht="14.25" customHeight="1">
      <c r="C349" s="8"/>
      <c r="H349" s="8"/>
    </row>
    <row r="350" ht="14.25" customHeight="1">
      <c r="C350" s="8"/>
      <c r="H350" s="8"/>
    </row>
    <row r="351" ht="14.25" customHeight="1">
      <c r="C351" s="8"/>
      <c r="H351" s="8"/>
    </row>
    <row r="352" ht="14.25" customHeight="1">
      <c r="C352" s="8"/>
      <c r="H352" s="8"/>
    </row>
    <row r="353" ht="14.25" customHeight="1">
      <c r="C353" s="8"/>
      <c r="H353" s="8"/>
    </row>
    <row r="354" ht="14.25" customHeight="1">
      <c r="C354" s="8"/>
      <c r="H354" s="8"/>
    </row>
    <row r="355" ht="14.25" customHeight="1">
      <c r="C355" s="8"/>
      <c r="H355" s="8"/>
    </row>
    <row r="356" ht="14.25" customHeight="1">
      <c r="C356" s="8"/>
      <c r="H356" s="8"/>
    </row>
    <row r="357" ht="14.25" customHeight="1">
      <c r="C357" s="8"/>
      <c r="H357" s="8"/>
    </row>
    <row r="358" ht="14.25" customHeight="1">
      <c r="C358" s="8"/>
      <c r="H358" s="8"/>
    </row>
    <row r="359" ht="14.25" customHeight="1">
      <c r="C359" s="8"/>
      <c r="H359" s="8"/>
    </row>
    <row r="360" ht="14.25" customHeight="1">
      <c r="C360" s="8"/>
      <c r="H360" s="8"/>
    </row>
    <row r="361" ht="14.25" customHeight="1">
      <c r="C361" s="8"/>
      <c r="H361" s="8"/>
    </row>
    <row r="362" ht="14.25" customHeight="1">
      <c r="C362" s="8"/>
      <c r="H362" s="8"/>
    </row>
    <row r="363" ht="14.25" customHeight="1">
      <c r="C363" s="8"/>
      <c r="H363" s="8"/>
    </row>
    <row r="364" ht="14.25" customHeight="1">
      <c r="C364" s="8"/>
      <c r="H364" s="8"/>
    </row>
    <row r="365" ht="14.25" customHeight="1">
      <c r="C365" s="8"/>
      <c r="H365" s="8"/>
    </row>
    <row r="366" ht="14.25" customHeight="1">
      <c r="C366" s="8"/>
      <c r="H366" s="8"/>
    </row>
    <row r="367" ht="14.25" customHeight="1">
      <c r="C367" s="8"/>
      <c r="H367" s="8"/>
    </row>
    <row r="368" ht="14.25" customHeight="1">
      <c r="C368" s="8"/>
      <c r="H368" s="8"/>
    </row>
    <row r="369" ht="14.25" customHeight="1">
      <c r="C369" s="8"/>
      <c r="H369" s="8"/>
    </row>
    <row r="370" ht="14.25" customHeight="1">
      <c r="C370" s="8"/>
      <c r="H370" s="8"/>
    </row>
    <row r="371" ht="14.25" customHeight="1">
      <c r="C371" s="8"/>
      <c r="H371" s="8"/>
    </row>
    <row r="372" ht="14.25" customHeight="1">
      <c r="C372" s="8"/>
      <c r="H372" s="8"/>
    </row>
    <row r="373" ht="14.25" customHeight="1">
      <c r="C373" s="8"/>
      <c r="H373" s="8"/>
    </row>
    <row r="374" ht="14.25" customHeight="1">
      <c r="C374" s="8"/>
      <c r="H374" s="8"/>
    </row>
    <row r="375" ht="14.25" customHeight="1">
      <c r="C375" s="8"/>
      <c r="H375" s="8"/>
    </row>
    <row r="376" ht="14.25" customHeight="1">
      <c r="C376" s="8"/>
      <c r="H376" s="8"/>
    </row>
    <row r="377" ht="14.25" customHeight="1">
      <c r="C377" s="8"/>
      <c r="H377" s="8"/>
    </row>
    <row r="378" ht="14.25" customHeight="1">
      <c r="C378" s="8"/>
      <c r="H378" s="8"/>
    </row>
    <row r="379" ht="14.25" customHeight="1">
      <c r="C379" s="8"/>
      <c r="H379" s="8"/>
    </row>
    <row r="380" ht="14.25" customHeight="1">
      <c r="C380" s="8"/>
      <c r="H380" s="8"/>
    </row>
    <row r="381" ht="14.25" customHeight="1">
      <c r="C381" s="8"/>
      <c r="H381" s="8"/>
    </row>
    <row r="382" ht="14.25" customHeight="1">
      <c r="C382" s="8"/>
      <c r="H382" s="8"/>
    </row>
    <row r="383" ht="14.25" customHeight="1">
      <c r="C383" s="8"/>
      <c r="H383" s="8"/>
    </row>
    <row r="384" ht="14.25" customHeight="1">
      <c r="C384" s="8"/>
      <c r="H384" s="8"/>
    </row>
    <row r="385" ht="14.25" customHeight="1">
      <c r="C385" s="8"/>
      <c r="H385" s="8"/>
    </row>
    <row r="386" ht="14.25" customHeight="1">
      <c r="C386" s="8"/>
      <c r="H386" s="8"/>
    </row>
    <row r="387" ht="14.25" customHeight="1">
      <c r="C387" s="8"/>
      <c r="H387" s="8"/>
    </row>
    <row r="388" ht="14.25" customHeight="1">
      <c r="C388" s="8"/>
      <c r="H388" s="8"/>
    </row>
    <row r="389" ht="14.25" customHeight="1">
      <c r="C389" s="8"/>
      <c r="H389" s="8"/>
    </row>
    <row r="390" ht="14.25" customHeight="1">
      <c r="C390" s="8"/>
      <c r="H390" s="8"/>
    </row>
    <row r="391" ht="14.25" customHeight="1">
      <c r="C391" s="8"/>
      <c r="H391" s="8"/>
    </row>
    <row r="392" ht="14.25" customHeight="1">
      <c r="C392" s="8"/>
      <c r="H392" s="8"/>
    </row>
    <row r="393" ht="14.25" customHeight="1">
      <c r="C393" s="8"/>
      <c r="H393" s="8"/>
    </row>
    <row r="394" ht="14.25" customHeight="1">
      <c r="C394" s="8"/>
      <c r="H394" s="8"/>
    </row>
    <row r="395" ht="14.25" customHeight="1">
      <c r="C395" s="8"/>
      <c r="H395" s="8"/>
    </row>
    <row r="396" ht="14.25" customHeight="1">
      <c r="C396" s="8"/>
      <c r="H396" s="8"/>
    </row>
    <row r="397" ht="14.25" customHeight="1">
      <c r="C397" s="8"/>
      <c r="H397" s="8"/>
    </row>
    <row r="398" ht="14.25" customHeight="1">
      <c r="C398" s="8"/>
      <c r="H398" s="8"/>
    </row>
    <row r="399" ht="14.25" customHeight="1">
      <c r="C399" s="8"/>
      <c r="H399" s="8"/>
    </row>
    <row r="400" ht="14.25" customHeight="1">
      <c r="C400" s="8"/>
      <c r="H400" s="8"/>
    </row>
    <row r="401" ht="14.25" customHeight="1">
      <c r="C401" s="8"/>
      <c r="H401" s="8"/>
    </row>
    <row r="402" ht="14.25" customHeight="1">
      <c r="C402" s="8"/>
      <c r="H402" s="8"/>
    </row>
    <row r="403" ht="14.25" customHeight="1">
      <c r="C403" s="8"/>
      <c r="H403" s="8"/>
    </row>
    <row r="404" ht="14.25" customHeight="1">
      <c r="C404" s="8"/>
      <c r="H404" s="8"/>
    </row>
    <row r="405" ht="14.25" customHeight="1">
      <c r="C405" s="8"/>
      <c r="H405" s="8"/>
    </row>
    <row r="406" ht="14.25" customHeight="1">
      <c r="C406" s="8"/>
      <c r="H406" s="8"/>
    </row>
    <row r="407" ht="14.25" customHeight="1">
      <c r="C407" s="8"/>
      <c r="H407" s="8"/>
    </row>
    <row r="408" ht="14.25" customHeight="1">
      <c r="C408" s="8"/>
      <c r="H408" s="8"/>
    </row>
    <row r="409" ht="14.25" customHeight="1">
      <c r="C409" s="8"/>
      <c r="H409" s="8"/>
    </row>
    <row r="410" ht="14.25" customHeight="1">
      <c r="C410" s="8"/>
      <c r="H410" s="8"/>
    </row>
    <row r="411" ht="14.25" customHeight="1">
      <c r="C411" s="8"/>
      <c r="H411" s="8"/>
    </row>
    <row r="412" ht="14.25" customHeight="1">
      <c r="C412" s="8"/>
      <c r="H412" s="8"/>
    </row>
    <row r="413" ht="14.25" customHeight="1">
      <c r="C413" s="8"/>
      <c r="H413" s="8"/>
    </row>
    <row r="414" ht="14.25" customHeight="1">
      <c r="C414" s="8"/>
      <c r="H414" s="8"/>
    </row>
    <row r="415" ht="14.25" customHeight="1">
      <c r="C415" s="8"/>
      <c r="H415" s="8"/>
    </row>
    <row r="416" ht="14.25" customHeight="1">
      <c r="C416" s="8"/>
      <c r="H416" s="8"/>
    </row>
    <row r="417" ht="14.25" customHeight="1">
      <c r="C417" s="8"/>
      <c r="H417" s="8"/>
    </row>
    <row r="418" ht="14.25" customHeight="1">
      <c r="C418" s="8"/>
      <c r="H418" s="8"/>
    </row>
    <row r="419" ht="14.25" customHeight="1">
      <c r="C419" s="8"/>
      <c r="H419" s="8"/>
    </row>
    <row r="420" ht="14.25" customHeight="1">
      <c r="C420" s="8"/>
      <c r="H420" s="8"/>
    </row>
    <row r="421" ht="14.25" customHeight="1">
      <c r="C421" s="8"/>
      <c r="H421" s="8"/>
    </row>
    <row r="422" ht="14.25" customHeight="1">
      <c r="C422" s="8"/>
      <c r="H422" s="8"/>
    </row>
    <row r="423" ht="14.25" customHeight="1">
      <c r="C423" s="8"/>
      <c r="H423" s="8"/>
    </row>
    <row r="424" ht="14.25" customHeight="1">
      <c r="C424" s="8"/>
      <c r="H424" s="8"/>
    </row>
    <row r="425" ht="14.25" customHeight="1">
      <c r="C425" s="8"/>
      <c r="H425" s="8"/>
    </row>
    <row r="426" ht="14.25" customHeight="1">
      <c r="C426" s="8"/>
      <c r="H426" s="8"/>
    </row>
    <row r="427" ht="14.25" customHeight="1">
      <c r="C427" s="8"/>
      <c r="H427" s="8"/>
    </row>
    <row r="428" ht="14.25" customHeight="1">
      <c r="C428" s="8"/>
      <c r="H428" s="8"/>
    </row>
    <row r="429" ht="14.25" customHeight="1">
      <c r="C429" s="8"/>
      <c r="H429" s="8"/>
    </row>
    <row r="430" ht="14.25" customHeight="1">
      <c r="C430" s="8"/>
      <c r="H430" s="8"/>
    </row>
    <row r="431" ht="14.25" customHeight="1">
      <c r="C431" s="8"/>
      <c r="H431" s="8"/>
    </row>
    <row r="432" ht="14.25" customHeight="1">
      <c r="C432" s="8"/>
      <c r="H432" s="8"/>
    </row>
    <row r="433" ht="14.25" customHeight="1">
      <c r="C433" s="8"/>
      <c r="H433" s="8"/>
    </row>
    <row r="434" ht="14.25" customHeight="1">
      <c r="C434" s="8"/>
      <c r="H434" s="8"/>
    </row>
    <row r="435" ht="14.25" customHeight="1">
      <c r="C435" s="8"/>
      <c r="H435" s="8"/>
    </row>
    <row r="436" ht="14.25" customHeight="1">
      <c r="C436" s="8"/>
      <c r="H436" s="8"/>
    </row>
    <row r="437" ht="14.25" customHeight="1">
      <c r="C437" s="8"/>
      <c r="H437" s="8"/>
    </row>
    <row r="438" ht="14.25" customHeight="1">
      <c r="C438" s="8"/>
      <c r="H438" s="8"/>
    </row>
    <row r="439" ht="14.25" customHeight="1">
      <c r="C439" s="8"/>
      <c r="H439" s="8"/>
    </row>
    <row r="440" ht="14.25" customHeight="1">
      <c r="C440" s="8"/>
      <c r="H440" s="8"/>
    </row>
    <row r="441" ht="14.25" customHeight="1">
      <c r="C441" s="8"/>
      <c r="H441" s="8"/>
    </row>
    <row r="442" ht="14.25" customHeight="1">
      <c r="C442" s="8"/>
      <c r="H442" s="8"/>
    </row>
    <row r="443" ht="14.25" customHeight="1">
      <c r="C443" s="8"/>
      <c r="H443" s="8"/>
    </row>
    <row r="444" ht="14.25" customHeight="1">
      <c r="C444" s="8"/>
      <c r="H444" s="8"/>
    </row>
    <row r="445" ht="14.25" customHeight="1">
      <c r="C445" s="8"/>
      <c r="H445" s="8"/>
    </row>
    <row r="446" ht="14.25" customHeight="1">
      <c r="C446" s="8"/>
      <c r="H446" s="8"/>
    </row>
    <row r="447" ht="14.25" customHeight="1">
      <c r="C447" s="8"/>
      <c r="H447" s="8"/>
    </row>
    <row r="448" ht="14.25" customHeight="1">
      <c r="C448" s="8"/>
      <c r="H448" s="8"/>
    </row>
    <row r="449" ht="14.25" customHeight="1">
      <c r="C449" s="8"/>
      <c r="H449" s="8"/>
    </row>
    <row r="450" ht="14.25" customHeight="1">
      <c r="C450" s="8"/>
      <c r="H450" s="8"/>
    </row>
    <row r="451" ht="14.25" customHeight="1">
      <c r="C451" s="8"/>
      <c r="H451" s="8"/>
    </row>
    <row r="452" ht="14.25" customHeight="1">
      <c r="C452" s="8"/>
      <c r="H452" s="8"/>
    </row>
    <row r="453" ht="14.25" customHeight="1">
      <c r="C453" s="8"/>
      <c r="H453" s="8"/>
    </row>
    <row r="454" ht="14.25" customHeight="1">
      <c r="C454" s="8"/>
      <c r="H454" s="8"/>
    </row>
    <row r="455" ht="14.25" customHeight="1">
      <c r="C455" s="8"/>
      <c r="H455" s="8"/>
    </row>
    <row r="456" ht="14.25" customHeight="1">
      <c r="C456" s="8"/>
      <c r="H456" s="8"/>
    </row>
    <row r="457" ht="14.25" customHeight="1">
      <c r="C457" s="8"/>
      <c r="H457" s="8"/>
    </row>
    <row r="458" ht="14.25" customHeight="1">
      <c r="C458" s="8"/>
      <c r="H458" s="8"/>
    </row>
    <row r="459" ht="14.25" customHeight="1">
      <c r="C459" s="8"/>
      <c r="H459" s="8"/>
    </row>
    <row r="460" ht="14.25" customHeight="1">
      <c r="C460" s="8"/>
      <c r="H460" s="8"/>
    </row>
    <row r="461" ht="14.25" customHeight="1">
      <c r="C461" s="8"/>
      <c r="H461" s="8"/>
    </row>
    <row r="462" ht="14.25" customHeight="1">
      <c r="C462" s="8"/>
      <c r="H462" s="8"/>
    </row>
    <row r="463" ht="14.25" customHeight="1">
      <c r="C463" s="8"/>
      <c r="H463" s="8"/>
    </row>
    <row r="464" ht="14.25" customHeight="1">
      <c r="C464" s="8"/>
      <c r="H464" s="8"/>
    </row>
    <row r="465" ht="14.25" customHeight="1">
      <c r="C465" s="8"/>
      <c r="H465" s="8"/>
    </row>
    <row r="466" ht="14.25" customHeight="1">
      <c r="C466" s="8"/>
      <c r="H466" s="8"/>
    </row>
    <row r="467" ht="14.25" customHeight="1">
      <c r="C467" s="8"/>
      <c r="H467" s="8"/>
    </row>
    <row r="468" ht="14.25" customHeight="1">
      <c r="C468" s="8"/>
      <c r="H468" s="8"/>
    </row>
    <row r="469" ht="14.25" customHeight="1">
      <c r="C469" s="8"/>
      <c r="H469" s="8"/>
    </row>
    <row r="470" ht="14.25" customHeight="1">
      <c r="C470" s="8"/>
      <c r="H470" s="8"/>
    </row>
    <row r="471" ht="14.25" customHeight="1">
      <c r="C471" s="8"/>
      <c r="H471" s="8"/>
    </row>
    <row r="472" ht="14.25" customHeight="1">
      <c r="C472" s="8"/>
      <c r="H472" s="8"/>
    </row>
    <row r="473" ht="14.25" customHeight="1">
      <c r="C473" s="8"/>
      <c r="H473" s="8"/>
    </row>
    <row r="474" ht="14.25" customHeight="1">
      <c r="C474" s="8"/>
      <c r="H474" s="8"/>
    </row>
    <row r="475" ht="14.25" customHeight="1">
      <c r="C475" s="8"/>
      <c r="H475" s="8"/>
    </row>
    <row r="476" ht="14.25" customHeight="1">
      <c r="C476" s="8"/>
      <c r="H476" s="8"/>
    </row>
    <row r="477" ht="14.25" customHeight="1">
      <c r="C477" s="8"/>
      <c r="H477" s="8"/>
    </row>
    <row r="478" ht="14.25" customHeight="1">
      <c r="C478" s="8"/>
      <c r="H478" s="8"/>
    </row>
    <row r="479" ht="14.25" customHeight="1">
      <c r="C479" s="8"/>
      <c r="H479" s="8"/>
    </row>
    <row r="480" ht="14.25" customHeight="1">
      <c r="C480" s="8"/>
      <c r="H480" s="8"/>
    </row>
    <row r="481" ht="14.25" customHeight="1">
      <c r="C481" s="8"/>
      <c r="H481" s="8"/>
    </row>
    <row r="482" ht="14.25" customHeight="1">
      <c r="C482" s="8"/>
      <c r="H482" s="8"/>
    </row>
    <row r="483" ht="14.25" customHeight="1">
      <c r="C483" s="8"/>
      <c r="H483" s="8"/>
    </row>
    <row r="484" ht="14.25" customHeight="1">
      <c r="C484" s="8"/>
      <c r="H484" s="8"/>
    </row>
    <row r="485" ht="14.25" customHeight="1">
      <c r="C485" s="8"/>
      <c r="H485" s="8"/>
    </row>
    <row r="486" ht="14.25" customHeight="1">
      <c r="C486" s="8"/>
      <c r="H486" s="8"/>
    </row>
    <row r="487" ht="14.25" customHeight="1">
      <c r="C487" s="8"/>
      <c r="H487" s="8"/>
    </row>
    <row r="488" ht="14.25" customHeight="1">
      <c r="C488" s="8"/>
      <c r="H488" s="8"/>
    </row>
    <row r="489" ht="14.25" customHeight="1">
      <c r="C489" s="8"/>
      <c r="H489" s="8"/>
    </row>
    <row r="490" ht="14.25" customHeight="1">
      <c r="C490" s="8"/>
      <c r="H490" s="8"/>
    </row>
    <row r="491" ht="14.25" customHeight="1">
      <c r="C491" s="8"/>
      <c r="H491" s="8"/>
    </row>
    <row r="492" ht="14.25" customHeight="1">
      <c r="C492" s="8"/>
      <c r="H492" s="8"/>
    </row>
    <row r="493" ht="14.25" customHeight="1">
      <c r="C493" s="8"/>
      <c r="H493" s="8"/>
    </row>
    <row r="494" ht="14.25" customHeight="1">
      <c r="C494" s="8"/>
      <c r="H494" s="8"/>
    </row>
    <row r="495" ht="14.25" customHeight="1">
      <c r="C495" s="8"/>
      <c r="H495" s="8"/>
    </row>
    <row r="496" ht="14.25" customHeight="1">
      <c r="C496" s="8"/>
      <c r="H496" s="8"/>
    </row>
    <row r="497" ht="14.25" customHeight="1">
      <c r="C497" s="8"/>
      <c r="H497" s="8"/>
    </row>
    <row r="498" ht="14.25" customHeight="1">
      <c r="C498" s="8"/>
      <c r="H498" s="8"/>
    </row>
    <row r="499" ht="14.25" customHeight="1">
      <c r="C499" s="8"/>
      <c r="H499" s="8"/>
    </row>
    <row r="500" ht="14.25" customHeight="1">
      <c r="C500" s="8"/>
      <c r="H500" s="8"/>
    </row>
    <row r="501" ht="14.25" customHeight="1">
      <c r="C501" s="8"/>
      <c r="H501" s="8"/>
    </row>
    <row r="502" ht="14.25" customHeight="1">
      <c r="C502" s="8"/>
      <c r="H502" s="8"/>
    </row>
    <row r="503" ht="14.25" customHeight="1">
      <c r="C503" s="8"/>
      <c r="H503" s="8"/>
    </row>
    <row r="504" ht="14.25" customHeight="1">
      <c r="C504" s="8"/>
      <c r="H504" s="8"/>
    </row>
    <row r="505" ht="14.25" customHeight="1">
      <c r="C505" s="8"/>
      <c r="H505" s="8"/>
    </row>
    <row r="506" ht="14.25" customHeight="1">
      <c r="C506" s="8"/>
      <c r="H506" s="8"/>
    </row>
    <row r="507" ht="14.25" customHeight="1">
      <c r="C507" s="8"/>
      <c r="H507" s="8"/>
    </row>
    <row r="508" ht="14.25" customHeight="1">
      <c r="C508" s="8"/>
      <c r="H508" s="8"/>
    </row>
    <row r="509" ht="14.25" customHeight="1">
      <c r="C509" s="8"/>
      <c r="H509" s="8"/>
    </row>
    <row r="510" ht="14.25" customHeight="1">
      <c r="C510" s="8"/>
      <c r="H510" s="8"/>
    </row>
    <row r="511" ht="14.25" customHeight="1">
      <c r="C511" s="8"/>
      <c r="H511" s="8"/>
    </row>
    <row r="512" ht="14.25" customHeight="1">
      <c r="C512" s="8"/>
      <c r="H512" s="8"/>
    </row>
    <row r="513" ht="14.25" customHeight="1">
      <c r="C513" s="8"/>
      <c r="H513" s="8"/>
    </row>
    <row r="514" ht="14.25" customHeight="1">
      <c r="C514" s="8"/>
      <c r="H514" s="8"/>
    </row>
    <row r="515" ht="14.25" customHeight="1">
      <c r="C515" s="8"/>
      <c r="H515" s="8"/>
    </row>
    <row r="516" ht="14.25" customHeight="1">
      <c r="C516" s="8"/>
      <c r="H516" s="8"/>
    </row>
    <row r="517" ht="14.25" customHeight="1">
      <c r="C517" s="8"/>
      <c r="H517" s="8"/>
    </row>
    <row r="518" ht="14.25" customHeight="1">
      <c r="C518" s="8"/>
      <c r="H518" s="8"/>
    </row>
    <row r="519" ht="14.25" customHeight="1">
      <c r="C519" s="8"/>
      <c r="H519" s="8"/>
    </row>
    <row r="520" ht="14.25" customHeight="1">
      <c r="C520" s="8"/>
      <c r="H520" s="8"/>
    </row>
    <row r="521" ht="14.25" customHeight="1">
      <c r="C521" s="8"/>
      <c r="H521" s="8"/>
    </row>
    <row r="522" ht="14.25" customHeight="1">
      <c r="C522" s="8"/>
      <c r="H522" s="8"/>
    </row>
    <row r="523" ht="14.25" customHeight="1">
      <c r="C523" s="8"/>
      <c r="H523" s="8"/>
    </row>
    <row r="524" ht="14.25" customHeight="1">
      <c r="C524" s="8"/>
      <c r="H524" s="8"/>
    </row>
    <row r="525" ht="14.25" customHeight="1">
      <c r="C525" s="8"/>
      <c r="H525" s="8"/>
    </row>
    <row r="526" ht="14.25" customHeight="1">
      <c r="C526" s="8"/>
      <c r="H526" s="8"/>
    </row>
    <row r="527" ht="14.25" customHeight="1">
      <c r="C527" s="8"/>
      <c r="H527" s="8"/>
    </row>
    <row r="528" ht="14.25" customHeight="1">
      <c r="C528" s="8"/>
      <c r="H528" s="8"/>
    </row>
    <row r="529" ht="14.25" customHeight="1">
      <c r="C529" s="8"/>
      <c r="H529" s="8"/>
    </row>
    <row r="530" ht="14.25" customHeight="1">
      <c r="C530" s="8"/>
      <c r="H530" s="8"/>
    </row>
    <row r="531" ht="14.25" customHeight="1">
      <c r="C531" s="8"/>
      <c r="H531" s="8"/>
    </row>
    <row r="532" ht="14.25" customHeight="1">
      <c r="C532" s="8"/>
      <c r="H532" s="8"/>
    </row>
    <row r="533" ht="14.25" customHeight="1">
      <c r="C533" s="8"/>
      <c r="H533" s="8"/>
    </row>
    <row r="534" ht="14.25" customHeight="1">
      <c r="C534" s="8"/>
      <c r="H534" s="8"/>
    </row>
    <row r="535" ht="14.25" customHeight="1">
      <c r="C535" s="8"/>
      <c r="H535" s="8"/>
    </row>
    <row r="536" ht="14.25" customHeight="1">
      <c r="C536" s="8"/>
      <c r="H536" s="8"/>
    </row>
    <row r="537" ht="14.25" customHeight="1">
      <c r="C537" s="8"/>
      <c r="H537" s="8"/>
    </row>
    <row r="538" ht="14.25" customHeight="1">
      <c r="C538" s="8"/>
      <c r="H538" s="8"/>
    </row>
    <row r="539" ht="14.25" customHeight="1">
      <c r="C539" s="8"/>
      <c r="H539" s="8"/>
    </row>
    <row r="540" ht="14.25" customHeight="1">
      <c r="C540" s="8"/>
      <c r="H540" s="8"/>
    </row>
    <row r="541" ht="14.25" customHeight="1">
      <c r="C541" s="8"/>
      <c r="H541" s="8"/>
    </row>
    <row r="542" ht="14.25" customHeight="1">
      <c r="C542" s="8"/>
      <c r="H542" s="8"/>
    </row>
    <row r="543" ht="14.25" customHeight="1">
      <c r="C543" s="8"/>
      <c r="H543" s="8"/>
    </row>
    <row r="544" ht="14.25" customHeight="1">
      <c r="C544" s="8"/>
      <c r="H544" s="8"/>
    </row>
    <row r="545" ht="14.25" customHeight="1">
      <c r="C545" s="8"/>
      <c r="H545" s="8"/>
    </row>
    <row r="546" ht="14.25" customHeight="1">
      <c r="C546" s="8"/>
      <c r="H546" s="8"/>
    </row>
    <row r="547" ht="14.25" customHeight="1">
      <c r="C547" s="8"/>
      <c r="H547" s="8"/>
    </row>
    <row r="548" ht="14.25" customHeight="1">
      <c r="C548" s="8"/>
      <c r="H548" s="8"/>
    </row>
    <row r="549" ht="14.25" customHeight="1">
      <c r="C549" s="8"/>
      <c r="H549" s="8"/>
    </row>
    <row r="550" ht="14.25" customHeight="1">
      <c r="C550" s="8"/>
      <c r="H550" s="8"/>
    </row>
    <row r="551" ht="14.25" customHeight="1">
      <c r="C551" s="8"/>
      <c r="H551" s="8"/>
    </row>
    <row r="552" ht="14.25" customHeight="1">
      <c r="C552" s="8"/>
      <c r="H552" s="8"/>
    </row>
    <row r="553" ht="14.25" customHeight="1">
      <c r="C553" s="8"/>
      <c r="H553" s="8"/>
    </row>
    <row r="554" ht="14.25" customHeight="1">
      <c r="C554" s="8"/>
      <c r="H554" s="8"/>
    </row>
    <row r="555" ht="14.25" customHeight="1">
      <c r="C555" s="8"/>
      <c r="H555" s="8"/>
    </row>
    <row r="556" ht="14.25" customHeight="1">
      <c r="C556" s="8"/>
      <c r="H556" s="8"/>
    </row>
    <row r="557" ht="14.25" customHeight="1">
      <c r="C557" s="8"/>
      <c r="H557" s="8"/>
    </row>
    <row r="558" ht="14.25" customHeight="1">
      <c r="C558" s="8"/>
      <c r="H558" s="8"/>
    </row>
    <row r="559" ht="14.25" customHeight="1">
      <c r="C559" s="8"/>
      <c r="H559" s="8"/>
    </row>
    <row r="560" ht="14.25" customHeight="1">
      <c r="C560" s="8"/>
      <c r="H560" s="8"/>
    </row>
    <row r="561" ht="14.25" customHeight="1">
      <c r="C561" s="8"/>
      <c r="H561" s="8"/>
    </row>
    <row r="562" ht="14.25" customHeight="1">
      <c r="C562" s="8"/>
      <c r="H562" s="8"/>
    </row>
    <row r="563" ht="14.25" customHeight="1">
      <c r="C563" s="8"/>
      <c r="H563" s="8"/>
    </row>
    <row r="564" ht="14.25" customHeight="1">
      <c r="C564" s="8"/>
      <c r="H564" s="8"/>
    </row>
    <row r="565" ht="14.25" customHeight="1">
      <c r="C565" s="8"/>
      <c r="H565" s="8"/>
    </row>
    <row r="566" ht="14.25" customHeight="1">
      <c r="C566" s="8"/>
      <c r="H566" s="8"/>
    </row>
    <row r="567" ht="14.25" customHeight="1">
      <c r="C567" s="8"/>
      <c r="H567" s="8"/>
    </row>
    <row r="568" ht="14.25" customHeight="1">
      <c r="C568" s="8"/>
      <c r="H568" s="8"/>
    </row>
    <row r="569" ht="14.25" customHeight="1">
      <c r="C569" s="8"/>
      <c r="H569" s="8"/>
    </row>
    <row r="570" ht="14.25" customHeight="1">
      <c r="C570" s="8"/>
      <c r="H570" s="8"/>
    </row>
    <row r="571" ht="14.25" customHeight="1">
      <c r="C571" s="8"/>
      <c r="H571" s="8"/>
    </row>
    <row r="572" ht="14.25" customHeight="1">
      <c r="C572" s="8"/>
      <c r="H572" s="8"/>
    </row>
    <row r="573" ht="14.25" customHeight="1">
      <c r="C573" s="8"/>
      <c r="H573" s="8"/>
    </row>
    <row r="574" ht="14.25" customHeight="1">
      <c r="C574" s="8"/>
      <c r="H574" s="8"/>
    </row>
    <row r="575" ht="14.25" customHeight="1">
      <c r="C575" s="8"/>
      <c r="H575" s="8"/>
    </row>
    <row r="576" ht="14.25" customHeight="1">
      <c r="C576" s="8"/>
      <c r="H576" s="8"/>
    </row>
    <row r="577" ht="14.25" customHeight="1">
      <c r="C577" s="8"/>
      <c r="H577" s="8"/>
    </row>
    <row r="578" ht="14.25" customHeight="1">
      <c r="C578" s="8"/>
      <c r="H578" s="8"/>
    </row>
    <row r="579" ht="14.25" customHeight="1">
      <c r="C579" s="8"/>
      <c r="H579" s="8"/>
    </row>
    <row r="580" ht="14.25" customHeight="1">
      <c r="C580" s="8"/>
      <c r="H580" s="8"/>
    </row>
    <row r="581" ht="14.25" customHeight="1">
      <c r="C581" s="8"/>
      <c r="H581" s="8"/>
    </row>
    <row r="582" ht="14.25" customHeight="1">
      <c r="C582" s="8"/>
      <c r="H582" s="8"/>
    </row>
    <row r="583" ht="14.25" customHeight="1">
      <c r="C583" s="8"/>
      <c r="H583" s="8"/>
    </row>
    <row r="584" ht="14.25" customHeight="1">
      <c r="C584" s="8"/>
      <c r="H584" s="8"/>
    </row>
    <row r="585" ht="14.25" customHeight="1">
      <c r="C585" s="8"/>
      <c r="H585" s="8"/>
    </row>
    <row r="586" ht="14.25" customHeight="1">
      <c r="C586" s="8"/>
      <c r="H586" s="8"/>
    </row>
    <row r="587" ht="14.25" customHeight="1">
      <c r="C587" s="8"/>
      <c r="H587" s="8"/>
    </row>
    <row r="588" ht="14.25" customHeight="1">
      <c r="C588" s="8"/>
      <c r="H588" s="8"/>
    </row>
    <row r="589" ht="14.25" customHeight="1">
      <c r="C589" s="8"/>
      <c r="H589" s="8"/>
    </row>
    <row r="590" ht="14.25" customHeight="1">
      <c r="C590" s="8"/>
      <c r="H590" s="8"/>
    </row>
    <row r="591" ht="14.25" customHeight="1">
      <c r="C591" s="8"/>
      <c r="H591" s="8"/>
    </row>
    <row r="592" ht="14.25" customHeight="1">
      <c r="C592" s="8"/>
      <c r="H592" s="8"/>
    </row>
    <row r="593" ht="14.25" customHeight="1">
      <c r="C593" s="8"/>
      <c r="H593" s="8"/>
    </row>
    <row r="594" ht="14.25" customHeight="1">
      <c r="C594" s="8"/>
      <c r="H594" s="8"/>
    </row>
    <row r="595" ht="14.25" customHeight="1">
      <c r="C595" s="8"/>
      <c r="H595" s="8"/>
    </row>
    <row r="596" ht="14.25" customHeight="1">
      <c r="C596" s="8"/>
      <c r="H596" s="8"/>
    </row>
    <row r="597" ht="14.25" customHeight="1">
      <c r="C597" s="8"/>
      <c r="H597" s="8"/>
    </row>
    <row r="598" ht="14.25" customHeight="1">
      <c r="C598" s="8"/>
      <c r="H598" s="8"/>
    </row>
    <row r="599" ht="14.25" customHeight="1">
      <c r="C599" s="8"/>
      <c r="H599" s="8"/>
    </row>
    <row r="600" ht="14.25" customHeight="1">
      <c r="C600" s="8"/>
      <c r="H600" s="8"/>
    </row>
    <row r="601" ht="14.25" customHeight="1">
      <c r="C601" s="8"/>
      <c r="H601" s="8"/>
    </row>
    <row r="602" ht="14.25" customHeight="1">
      <c r="C602" s="8"/>
      <c r="H602" s="8"/>
    </row>
    <row r="603" ht="14.25" customHeight="1">
      <c r="C603" s="8"/>
      <c r="H603" s="8"/>
    </row>
    <row r="604" ht="14.25" customHeight="1">
      <c r="C604" s="8"/>
      <c r="H604" s="8"/>
    </row>
    <row r="605" ht="14.25" customHeight="1">
      <c r="C605" s="8"/>
      <c r="H605" s="8"/>
    </row>
    <row r="606" ht="14.25" customHeight="1">
      <c r="C606" s="8"/>
      <c r="H606" s="8"/>
    </row>
    <row r="607" ht="14.25" customHeight="1">
      <c r="C607" s="8"/>
      <c r="H607" s="8"/>
    </row>
    <row r="608" ht="14.25" customHeight="1">
      <c r="C608" s="8"/>
      <c r="H608" s="8"/>
    </row>
    <row r="609" ht="14.25" customHeight="1">
      <c r="C609" s="8"/>
      <c r="H609" s="8"/>
    </row>
    <row r="610" ht="14.25" customHeight="1">
      <c r="C610" s="8"/>
      <c r="H610" s="8"/>
    </row>
    <row r="611" ht="14.25" customHeight="1">
      <c r="C611" s="8"/>
      <c r="H611" s="8"/>
    </row>
    <row r="612" ht="14.25" customHeight="1">
      <c r="C612" s="8"/>
      <c r="H612" s="8"/>
    </row>
    <row r="613" ht="14.25" customHeight="1">
      <c r="C613" s="8"/>
      <c r="H613" s="8"/>
    </row>
    <row r="614" ht="14.25" customHeight="1">
      <c r="C614" s="8"/>
      <c r="H614" s="8"/>
    </row>
    <row r="615" ht="14.25" customHeight="1">
      <c r="C615" s="8"/>
      <c r="H615" s="8"/>
    </row>
    <row r="616" ht="14.25" customHeight="1">
      <c r="C616" s="8"/>
      <c r="H616" s="8"/>
    </row>
    <row r="617" ht="14.25" customHeight="1">
      <c r="C617" s="8"/>
      <c r="H617" s="8"/>
    </row>
    <row r="618" ht="14.25" customHeight="1">
      <c r="C618" s="8"/>
      <c r="H618" s="8"/>
    </row>
    <row r="619" ht="14.25" customHeight="1">
      <c r="C619" s="8"/>
      <c r="H619" s="8"/>
    </row>
    <row r="620" ht="14.25" customHeight="1">
      <c r="C620" s="8"/>
      <c r="H620" s="8"/>
    </row>
    <row r="621" ht="14.25" customHeight="1">
      <c r="C621" s="8"/>
      <c r="H621" s="8"/>
    </row>
    <row r="622" ht="14.25" customHeight="1">
      <c r="C622" s="8"/>
      <c r="H622" s="8"/>
    </row>
    <row r="623" ht="14.25" customHeight="1">
      <c r="C623" s="8"/>
      <c r="H623" s="8"/>
    </row>
    <row r="624" ht="14.25" customHeight="1">
      <c r="C624" s="8"/>
      <c r="H624" s="8"/>
    </row>
    <row r="625" ht="14.25" customHeight="1">
      <c r="C625" s="8"/>
      <c r="H625" s="8"/>
    </row>
    <row r="626" ht="14.25" customHeight="1">
      <c r="C626" s="8"/>
      <c r="H626" s="8"/>
    </row>
    <row r="627" ht="14.25" customHeight="1">
      <c r="C627" s="8"/>
      <c r="H627" s="8"/>
    </row>
    <row r="628" ht="14.25" customHeight="1">
      <c r="C628" s="8"/>
      <c r="H628" s="8"/>
    </row>
    <row r="629" ht="14.25" customHeight="1">
      <c r="C629" s="8"/>
      <c r="H629" s="8"/>
    </row>
    <row r="630" ht="14.25" customHeight="1">
      <c r="C630" s="8"/>
      <c r="H630" s="8"/>
    </row>
    <row r="631" ht="14.25" customHeight="1">
      <c r="C631" s="8"/>
      <c r="H631" s="8"/>
    </row>
    <row r="632" ht="14.25" customHeight="1">
      <c r="C632" s="8"/>
      <c r="H632" s="8"/>
    </row>
    <row r="633" ht="14.25" customHeight="1">
      <c r="C633" s="8"/>
      <c r="H633" s="8"/>
    </row>
    <row r="634" ht="14.25" customHeight="1">
      <c r="C634" s="8"/>
      <c r="H634" s="8"/>
    </row>
    <row r="635" ht="14.25" customHeight="1">
      <c r="C635" s="8"/>
      <c r="H635" s="8"/>
    </row>
    <row r="636" ht="14.25" customHeight="1">
      <c r="C636" s="8"/>
      <c r="H636" s="8"/>
    </row>
    <row r="637" ht="14.25" customHeight="1">
      <c r="C637" s="8"/>
      <c r="H637" s="8"/>
    </row>
    <row r="638" ht="14.25" customHeight="1">
      <c r="C638" s="8"/>
      <c r="H638" s="8"/>
    </row>
    <row r="639" ht="14.25" customHeight="1">
      <c r="C639" s="8"/>
      <c r="H639" s="8"/>
    </row>
    <row r="640" ht="14.25" customHeight="1">
      <c r="C640" s="8"/>
      <c r="H640" s="8"/>
    </row>
    <row r="641" ht="14.25" customHeight="1">
      <c r="C641" s="8"/>
      <c r="H641" s="8"/>
    </row>
    <row r="642" ht="14.25" customHeight="1">
      <c r="C642" s="8"/>
      <c r="H642" s="8"/>
    </row>
    <row r="643" ht="14.25" customHeight="1">
      <c r="C643" s="8"/>
      <c r="H643" s="8"/>
    </row>
    <row r="644" ht="14.25" customHeight="1">
      <c r="C644" s="8"/>
      <c r="H644" s="8"/>
    </row>
    <row r="645" ht="14.25" customHeight="1">
      <c r="C645" s="8"/>
      <c r="H645" s="8"/>
    </row>
    <row r="646" ht="14.25" customHeight="1">
      <c r="C646" s="8"/>
      <c r="H646" s="8"/>
    </row>
    <row r="647" ht="14.25" customHeight="1">
      <c r="C647" s="8"/>
      <c r="H647" s="8"/>
    </row>
    <row r="648" ht="14.25" customHeight="1">
      <c r="C648" s="8"/>
      <c r="H648" s="8"/>
    </row>
    <row r="649" ht="14.25" customHeight="1">
      <c r="C649" s="8"/>
      <c r="H649" s="8"/>
    </row>
    <row r="650" ht="14.25" customHeight="1">
      <c r="C650" s="8"/>
      <c r="H650" s="8"/>
    </row>
    <row r="651" ht="14.25" customHeight="1">
      <c r="C651" s="8"/>
      <c r="H651" s="8"/>
    </row>
    <row r="652" ht="14.25" customHeight="1">
      <c r="C652" s="8"/>
      <c r="H652" s="8"/>
    </row>
    <row r="653" ht="14.25" customHeight="1">
      <c r="C653" s="8"/>
      <c r="H653" s="8"/>
    </row>
    <row r="654" ht="14.25" customHeight="1">
      <c r="C654" s="8"/>
      <c r="H654" s="8"/>
    </row>
    <row r="655" ht="14.25" customHeight="1">
      <c r="C655" s="8"/>
      <c r="H655" s="8"/>
    </row>
    <row r="656" ht="14.25" customHeight="1">
      <c r="C656" s="8"/>
      <c r="H656" s="8"/>
    </row>
    <row r="657" ht="14.25" customHeight="1">
      <c r="C657" s="8"/>
      <c r="H657" s="8"/>
    </row>
    <row r="658" ht="14.25" customHeight="1">
      <c r="C658" s="8"/>
      <c r="H658" s="8"/>
    </row>
    <row r="659" ht="14.25" customHeight="1">
      <c r="C659" s="8"/>
      <c r="H659" s="8"/>
    </row>
    <row r="660" ht="14.25" customHeight="1">
      <c r="C660" s="8"/>
      <c r="H660" s="8"/>
    </row>
    <row r="661" ht="14.25" customHeight="1">
      <c r="C661" s="8"/>
      <c r="H661" s="8"/>
    </row>
    <row r="662" ht="14.25" customHeight="1">
      <c r="C662" s="8"/>
      <c r="H662" s="8"/>
    </row>
    <row r="663" ht="14.25" customHeight="1">
      <c r="C663" s="8"/>
      <c r="H663" s="8"/>
    </row>
    <row r="664" ht="14.25" customHeight="1">
      <c r="C664" s="8"/>
      <c r="H664" s="8"/>
    </row>
    <row r="665" ht="14.25" customHeight="1">
      <c r="C665" s="8"/>
      <c r="H665" s="8"/>
    </row>
    <row r="666" ht="14.25" customHeight="1">
      <c r="C666" s="8"/>
      <c r="H666" s="8"/>
    </row>
    <row r="667" ht="14.25" customHeight="1">
      <c r="C667" s="8"/>
      <c r="H667" s="8"/>
    </row>
    <row r="668" ht="14.25" customHeight="1">
      <c r="C668" s="8"/>
      <c r="H668" s="8"/>
    </row>
    <row r="669" ht="14.25" customHeight="1">
      <c r="C669" s="8"/>
      <c r="H669" s="8"/>
    </row>
    <row r="670" ht="14.25" customHeight="1">
      <c r="C670" s="8"/>
      <c r="H670" s="8"/>
    </row>
    <row r="671" ht="14.25" customHeight="1">
      <c r="C671" s="8"/>
      <c r="H671" s="8"/>
    </row>
    <row r="672" ht="14.25" customHeight="1">
      <c r="C672" s="8"/>
      <c r="H672" s="8"/>
    </row>
    <row r="673" ht="14.25" customHeight="1">
      <c r="C673" s="8"/>
      <c r="H673" s="8"/>
    </row>
    <row r="674" ht="14.25" customHeight="1">
      <c r="C674" s="8"/>
      <c r="H674" s="8"/>
    </row>
    <row r="675" ht="14.25" customHeight="1">
      <c r="C675" s="8"/>
      <c r="H675" s="8"/>
    </row>
    <row r="676" ht="14.25" customHeight="1">
      <c r="C676" s="8"/>
      <c r="H676" s="8"/>
    </row>
    <row r="677" ht="14.25" customHeight="1">
      <c r="C677" s="8"/>
      <c r="H677" s="8"/>
    </row>
    <row r="678" ht="14.25" customHeight="1">
      <c r="C678" s="8"/>
      <c r="H678" s="8"/>
    </row>
    <row r="679" ht="14.25" customHeight="1">
      <c r="C679" s="8"/>
      <c r="H679" s="8"/>
    </row>
    <row r="680" ht="14.25" customHeight="1">
      <c r="C680" s="8"/>
      <c r="H680" s="8"/>
    </row>
    <row r="681" ht="14.25" customHeight="1">
      <c r="C681" s="8"/>
      <c r="H681" s="8"/>
    </row>
    <row r="682" ht="14.25" customHeight="1">
      <c r="C682" s="8"/>
      <c r="H682" s="8"/>
    </row>
    <row r="683" ht="14.25" customHeight="1">
      <c r="C683" s="8"/>
      <c r="H683" s="8"/>
    </row>
    <row r="684" ht="14.25" customHeight="1">
      <c r="C684" s="8"/>
      <c r="H684" s="8"/>
    </row>
    <row r="685" ht="14.25" customHeight="1">
      <c r="C685" s="8"/>
      <c r="H685" s="8"/>
    </row>
    <row r="686" ht="14.25" customHeight="1">
      <c r="C686" s="8"/>
      <c r="H686" s="8"/>
    </row>
    <row r="687" ht="14.25" customHeight="1">
      <c r="C687" s="8"/>
      <c r="H687" s="8"/>
    </row>
    <row r="688" ht="14.25" customHeight="1">
      <c r="C688" s="8"/>
      <c r="H688" s="8"/>
    </row>
    <row r="689" ht="14.25" customHeight="1">
      <c r="C689" s="8"/>
      <c r="H689" s="8"/>
    </row>
    <row r="690" ht="14.25" customHeight="1">
      <c r="C690" s="8"/>
      <c r="H690" s="8"/>
    </row>
    <row r="691" ht="14.25" customHeight="1">
      <c r="C691" s="8"/>
      <c r="H691" s="8"/>
    </row>
    <row r="692" ht="14.25" customHeight="1">
      <c r="C692" s="8"/>
      <c r="H692" s="8"/>
    </row>
    <row r="693" ht="14.25" customHeight="1">
      <c r="C693" s="8"/>
      <c r="H693" s="8"/>
    </row>
    <row r="694" ht="14.25" customHeight="1">
      <c r="C694" s="8"/>
      <c r="H694" s="8"/>
    </row>
    <row r="695" ht="14.25" customHeight="1">
      <c r="C695" s="8"/>
      <c r="H695" s="8"/>
    </row>
    <row r="696" ht="14.25" customHeight="1">
      <c r="C696" s="8"/>
      <c r="H696" s="8"/>
    </row>
    <row r="697" ht="14.25" customHeight="1">
      <c r="C697" s="8"/>
      <c r="H697" s="8"/>
    </row>
    <row r="698" ht="14.25" customHeight="1">
      <c r="C698" s="8"/>
      <c r="H698" s="8"/>
    </row>
    <row r="699" ht="14.25" customHeight="1">
      <c r="C699" s="8"/>
      <c r="H699" s="8"/>
    </row>
    <row r="700" ht="14.25" customHeight="1">
      <c r="C700" s="8"/>
      <c r="H700" s="8"/>
    </row>
    <row r="701" ht="14.25" customHeight="1">
      <c r="C701" s="8"/>
      <c r="H701" s="8"/>
    </row>
    <row r="702" ht="14.25" customHeight="1">
      <c r="C702" s="8"/>
      <c r="H702" s="8"/>
    </row>
    <row r="703" ht="14.25" customHeight="1">
      <c r="C703" s="8"/>
      <c r="H703" s="8"/>
    </row>
    <row r="704" ht="14.25" customHeight="1">
      <c r="C704" s="8"/>
      <c r="H704" s="8"/>
    </row>
    <row r="705" ht="14.25" customHeight="1">
      <c r="C705" s="8"/>
      <c r="H705" s="8"/>
    </row>
    <row r="706" ht="14.25" customHeight="1">
      <c r="C706" s="8"/>
      <c r="H706" s="8"/>
    </row>
    <row r="707" ht="14.25" customHeight="1">
      <c r="C707" s="8"/>
      <c r="H707" s="8"/>
    </row>
    <row r="708" ht="14.25" customHeight="1">
      <c r="C708" s="8"/>
      <c r="H708" s="8"/>
    </row>
    <row r="709" ht="14.25" customHeight="1">
      <c r="C709" s="8"/>
      <c r="H709" s="8"/>
    </row>
    <row r="710" ht="14.25" customHeight="1">
      <c r="C710" s="8"/>
      <c r="H710" s="8"/>
    </row>
    <row r="711" ht="14.25" customHeight="1">
      <c r="C711" s="8"/>
      <c r="H711" s="8"/>
    </row>
    <row r="712" ht="14.25" customHeight="1">
      <c r="C712" s="8"/>
      <c r="H712" s="8"/>
    </row>
    <row r="713" ht="14.25" customHeight="1">
      <c r="C713" s="8"/>
      <c r="H713" s="8"/>
    </row>
    <row r="714" ht="14.25" customHeight="1">
      <c r="C714" s="8"/>
      <c r="H714" s="8"/>
    </row>
    <row r="715" ht="14.25" customHeight="1">
      <c r="C715" s="8"/>
      <c r="H715" s="8"/>
    </row>
    <row r="716" ht="14.25" customHeight="1">
      <c r="C716" s="8"/>
      <c r="H716" s="8"/>
    </row>
    <row r="717" ht="14.25" customHeight="1">
      <c r="C717" s="8"/>
      <c r="H717" s="8"/>
    </row>
    <row r="718" ht="14.25" customHeight="1">
      <c r="C718" s="8"/>
      <c r="H718" s="8"/>
    </row>
    <row r="719" ht="14.25" customHeight="1">
      <c r="C719" s="8"/>
      <c r="H719" s="8"/>
    </row>
    <row r="720" ht="14.25" customHeight="1">
      <c r="C720" s="8"/>
      <c r="H720" s="8"/>
    </row>
    <row r="721" ht="14.25" customHeight="1">
      <c r="C721" s="8"/>
      <c r="H721" s="8"/>
    </row>
    <row r="722" ht="14.25" customHeight="1">
      <c r="C722" s="8"/>
      <c r="H722" s="8"/>
    </row>
    <row r="723" ht="14.25" customHeight="1">
      <c r="C723" s="8"/>
      <c r="H723" s="8"/>
    </row>
    <row r="724" ht="14.25" customHeight="1">
      <c r="C724" s="8"/>
      <c r="H724" s="8"/>
    </row>
    <row r="725" ht="14.25" customHeight="1">
      <c r="C725" s="8"/>
      <c r="H725" s="8"/>
    </row>
    <row r="726" ht="14.25" customHeight="1">
      <c r="C726" s="8"/>
      <c r="H726" s="8"/>
    </row>
    <row r="727" ht="14.25" customHeight="1">
      <c r="C727" s="8"/>
      <c r="H727" s="8"/>
    </row>
    <row r="728" ht="14.25" customHeight="1">
      <c r="C728" s="8"/>
      <c r="H728" s="8"/>
    </row>
    <row r="729" ht="14.25" customHeight="1">
      <c r="C729" s="8"/>
      <c r="H729" s="8"/>
    </row>
    <row r="730" ht="14.25" customHeight="1">
      <c r="C730" s="8"/>
      <c r="H730" s="8"/>
    </row>
    <row r="731" ht="14.25" customHeight="1">
      <c r="C731" s="8"/>
      <c r="H731" s="8"/>
    </row>
    <row r="732" ht="14.25" customHeight="1">
      <c r="C732" s="8"/>
      <c r="H732" s="8"/>
    </row>
    <row r="733" ht="14.25" customHeight="1">
      <c r="C733" s="8"/>
      <c r="H733" s="8"/>
    </row>
    <row r="734" ht="14.25" customHeight="1">
      <c r="C734" s="8"/>
      <c r="H734" s="8"/>
    </row>
    <row r="735" ht="14.25" customHeight="1">
      <c r="C735" s="8"/>
      <c r="H735" s="8"/>
    </row>
    <row r="736" ht="14.25" customHeight="1">
      <c r="C736" s="8"/>
      <c r="H736" s="8"/>
    </row>
    <row r="737" ht="14.25" customHeight="1">
      <c r="C737" s="8"/>
      <c r="H737" s="8"/>
    </row>
    <row r="738" ht="14.25" customHeight="1">
      <c r="C738" s="8"/>
      <c r="H738" s="8"/>
    </row>
    <row r="739" ht="14.25" customHeight="1">
      <c r="C739" s="8"/>
      <c r="H739" s="8"/>
    </row>
    <row r="740" ht="14.25" customHeight="1">
      <c r="C740" s="8"/>
      <c r="H740" s="8"/>
    </row>
    <row r="741" ht="14.25" customHeight="1">
      <c r="C741" s="8"/>
      <c r="H741" s="8"/>
    </row>
    <row r="742" ht="14.25" customHeight="1">
      <c r="C742" s="8"/>
      <c r="H742" s="8"/>
    </row>
    <row r="743" ht="14.25" customHeight="1">
      <c r="C743" s="8"/>
      <c r="H743" s="8"/>
    </row>
    <row r="744" ht="14.25" customHeight="1">
      <c r="C744" s="8"/>
      <c r="H744" s="8"/>
    </row>
    <row r="745" ht="14.25" customHeight="1">
      <c r="C745" s="8"/>
      <c r="H745" s="8"/>
    </row>
    <row r="746" ht="14.25" customHeight="1">
      <c r="C746" s="8"/>
      <c r="H746" s="8"/>
    </row>
    <row r="747" ht="14.25" customHeight="1">
      <c r="C747" s="8"/>
      <c r="H747" s="8"/>
    </row>
    <row r="748" ht="14.25" customHeight="1">
      <c r="C748" s="8"/>
      <c r="H748" s="8"/>
    </row>
    <row r="749" ht="14.25" customHeight="1">
      <c r="C749" s="8"/>
      <c r="H749" s="8"/>
    </row>
    <row r="750" ht="14.25" customHeight="1">
      <c r="C750" s="8"/>
      <c r="H750" s="8"/>
    </row>
    <row r="751" ht="14.25" customHeight="1">
      <c r="C751" s="8"/>
      <c r="H751" s="8"/>
    </row>
    <row r="752" ht="14.25" customHeight="1">
      <c r="C752" s="8"/>
      <c r="H752" s="8"/>
    </row>
    <row r="753" ht="14.25" customHeight="1">
      <c r="C753" s="8"/>
      <c r="H753" s="8"/>
    </row>
    <row r="754" ht="14.25" customHeight="1">
      <c r="C754" s="8"/>
      <c r="H754" s="8"/>
    </row>
    <row r="755" ht="14.25" customHeight="1">
      <c r="C755" s="8"/>
      <c r="H755" s="8"/>
    </row>
    <row r="756" ht="14.25" customHeight="1">
      <c r="C756" s="8"/>
      <c r="H756" s="8"/>
    </row>
    <row r="757" ht="14.25" customHeight="1">
      <c r="C757" s="8"/>
      <c r="H757" s="8"/>
    </row>
    <row r="758" ht="14.25" customHeight="1">
      <c r="C758" s="8"/>
      <c r="H758" s="8"/>
    </row>
    <row r="759" ht="14.25" customHeight="1">
      <c r="C759" s="8"/>
      <c r="H759" s="8"/>
    </row>
    <row r="760" ht="14.25" customHeight="1">
      <c r="C760" s="8"/>
      <c r="H760" s="8"/>
    </row>
    <row r="761" ht="14.25" customHeight="1">
      <c r="C761" s="8"/>
      <c r="H761" s="8"/>
    </row>
    <row r="762" ht="14.25" customHeight="1">
      <c r="C762" s="8"/>
      <c r="H762" s="8"/>
    </row>
    <row r="763" ht="14.25" customHeight="1">
      <c r="C763" s="8"/>
      <c r="H763" s="8"/>
    </row>
    <row r="764" ht="14.25" customHeight="1">
      <c r="C764" s="8"/>
      <c r="H764" s="8"/>
    </row>
    <row r="765" ht="14.25" customHeight="1">
      <c r="C765" s="8"/>
      <c r="H765" s="8"/>
    </row>
    <row r="766" ht="14.25" customHeight="1">
      <c r="C766" s="8"/>
      <c r="H766" s="8"/>
    </row>
    <row r="767" ht="14.25" customHeight="1">
      <c r="C767" s="8"/>
      <c r="H767" s="8"/>
    </row>
    <row r="768" ht="14.25" customHeight="1">
      <c r="C768" s="8"/>
      <c r="H768" s="8"/>
    </row>
    <row r="769" ht="14.25" customHeight="1">
      <c r="C769" s="8"/>
      <c r="H769" s="8"/>
    </row>
    <row r="770" ht="14.25" customHeight="1">
      <c r="C770" s="8"/>
      <c r="H770" s="8"/>
    </row>
    <row r="771" ht="14.25" customHeight="1">
      <c r="C771" s="8"/>
      <c r="H771" s="8"/>
    </row>
    <row r="772" ht="14.25" customHeight="1">
      <c r="C772" s="8"/>
      <c r="H772" s="8"/>
    </row>
    <row r="773" ht="14.25" customHeight="1">
      <c r="C773" s="8"/>
      <c r="H773" s="8"/>
    </row>
    <row r="774" ht="14.25" customHeight="1">
      <c r="C774" s="8"/>
      <c r="H774" s="8"/>
    </row>
    <row r="775" ht="14.25" customHeight="1">
      <c r="C775" s="8"/>
      <c r="H775" s="8"/>
    </row>
    <row r="776" ht="14.25" customHeight="1">
      <c r="C776" s="8"/>
      <c r="H776" s="8"/>
    </row>
    <row r="777" ht="14.25" customHeight="1">
      <c r="C777" s="8"/>
      <c r="H777" s="8"/>
    </row>
    <row r="778" ht="14.25" customHeight="1">
      <c r="C778" s="8"/>
      <c r="H778" s="8"/>
    </row>
    <row r="779" ht="14.25" customHeight="1">
      <c r="C779" s="8"/>
      <c r="H779" s="8"/>
    </row>
    <row r="780" ht="14.25" customHeight="1">
      <c r="C780" s="8"/>
      <c r="H780" s="8"/>
    </row>
    <row r="781" ht="14.25" customHeight="1">
      <c r="C781" s="8"/>
      <c r="H781" s="8"/>
    </row>
    <row r="782" ht="14.25" customHeight="1">
      <c r="C782" s="8"/>
      <c r="H782" s="8"/>
    </row>
    <row r="783" ht="14.25" customHeight="1">
      <c r="C783" s="8"/>
      <c r="H783" s="8"/>
    </row>
    <row r="784" ht="14.25" customHeight="1">
      <c r="C784" s="8"/>
      <c r="H784" s="8"/>
    </row>
    <row r="785" ht="14.25" customHeight="1">
      <c r="C785" s="8"/>
      <c r="H785" s="8"/>
    </row>
    <row r="786" ht="14.25" customHeight="1">
      <c r="C786" s="8"/>
      <c r="H786" s="8"/>
    </row>
    <row r="787" ht="14.25" customHeight="1">
      <c r="C787" s="8"/>
      <c r="H787" s="8"/>
    </row>
    <row r="788" ht="14.25" customHeight="1">
      <c r="C788" s="8"/>
      <c r="H788" s="8"/>
    </row>
    <row r="789" ht="14.25" customHeight="1">
      <c r="C789" s="8"/>
      <c r="H789" s="8"/>
    </row>
    <row r="790" ht="14.25" customHeight="1">
      <c r="C790" s="8"/>
      <c r="H790" s="8"/>
    </row>
    <row r="791" ht="14.25" customHeight="1">
      <c r="C791" s="8"/>
      <c r="H791" s="8"/>
    </row>
    <row r="792" ht="14.25" customHeight="1">
      <c r="C792" s="8"/>
      <c r="H792" s="8"/>
    </row>
    <row r="793" ht="14.25" customHeight="1">
      <c r="C793" s="8"/>
      <c r="H793" s="8"/>
    </row>
    <row r="794" ht="14.25" customHeight="1">
      <c r="C794" s="8"/>
      <c r="H794" s="8"/>
    </row>
    <row r="795" ht="14.25" customHeight="1">
      <c r="C795" s="8"/>
      <c r="H795" s="8"/>
    </row>
    <row r="796" ht="14.25" customHeight="1">
      <c r="C796" s="8"/>
      <c r="H796" s="8"/>
    </row>
    <row r="797" ht="14.25" customHeight="1">
      <c r="C797" s="8"/>
      <c r="H797" s="8"/>
    </row>
    <row r="798" ht="14.25" customHeight="1">
      <c r="C798" s="8"/>
      <c r="H798" s="8"/>
    </row>
    <row r="799" ht="14.25" customHeight="1">
      <c r="C799" s="8"/>
      <c r="H799" s="8"/>
    </row>
    <row r="800" ht="14.25" customHeight="1">
      <c r="C800" s="8"/>
      <c r="H800" s="8"/>
    </row>
    <row r="801" ht="14.25" customHeight="1">
      <c r="C801" s="8"/>
      <c r="H801" s="8"/>
    </row>
    <row r="802" ht="14.25" customHeight="1">
      <c r="C802" s="8"/>
      <c r="H802" s="8"/>
    </row>
    <row r="803" ht="14.25" customHeight="1">
      <c r="C803" s="8"/>
      <c r="H803" s="8"/>
    </row>
    <row r="804" ht="14.25" customHeight="1">
      <c r="C804" s="8"/>
      <c r="H804" s="8"/>
    </row>
    <row r="805" ht="14.25" customHeight="1">
      <c r="C805" s="8"/>
      <c r="H805" s="8"/>
    </row>
    <row r="806" ht="14.25" customHeight="1">
      <c r="C806" s="8"/>
      <c r="H806" s="8"/>
    </row>
    <row r="807" ht="14.25" customHeight="1">
      <c r="C807" s="8"/>
      <c r="H807" s="8"/>
    </row>
    <row r="808" ht="14.25" customHeight="1">
      <c r="C808" s="8"/>
      <c r="H808" s="8"/>
    </row>
    <row r="809" ht="14.25" customHeight="1">
      <c r="C809" s="8"/>
      <c r="H809" s="8"/>
    </row>
    <row r="810" ht="14.25" customHeight="1">
      <c r="C810" s="8"/>
      <c r="H810" s="8"/>
    </row>
    <row r="811" ht="14.25" customHeight="1">
      <c r="C811" s="8"/>
      <c r="H811" s="8"/>
    </row>
    <row r="812" ht="14.25" customHeight="1">
      <c r="C812" s="8"/>
      <c r="H812" s="8"/>
    </row>
    <row r="813" ht="14.25" customHeight="1">
      <c r="C813" s="8"/>
      <c r="H813" s="8"/>
    </row>
    <row r="814" ht="14.25" customHeight="1">
      <c r="C814" s="8"/>
      <c r="H814" s="8"/>
    </row>
    <row r="815" ht="14.25" customHeight="1">
      <c r="C815" s="8"/>
      <c r="H815" s="8"/>
    </row>
    <row r="816" ht="14.25" customHeight="1">
      <c r="C816" s="8"/>
      <c r="H816" s="8"/>
    </row>
    <row r="817" ht="14.25" customHeight="1">
      <c r="C817" s="8"/>
      <c r="H817" s="8"/>
    </row>
    <row r="818" ht="14.25" customHeight="1">
      <c r="C818" s="8"/>
      <c r="H818" s="8"/>
    </row>
    <row r="819" ht="14.25" customHeight="1">
      <c r="C819" s="8"/>
      <c r="H819" s="8"/>
    </row>
    <row r="820" ht="14.25" customHeight="1">
      <c r="C820" s="8"/>
      <c r="H820" s="8"/>
    </row>
    <row r="821" ht="14.25" customHeight="1">
      <c r="C821" s="8"/>
      <c r="H821" s="8"/>
    </row>
    <row r="822" ht="14.25" customHeight="1">
      <c r="C822" s="8"/>
      <c r="H822" s="8"/>
    </row>
    <row r="823" ht="14.25" customHeight="1">
      <c r="C823" s="8"/>
      <c r="H823" s="8"/>
    </row>
    <row r="824" ht="14.25" customHeight="1">
      <c r="C824" s="8"/>
      <c r="H824" s="8"/>
    </row>
    <row r="825" ht="14.25" customHeight="1">
      <c r="C825" s="8"/>
      <c r="H825" s="8"/>
    </row>
    <row r="826" ht="14.25" customHeight="1">
      <c r="C826" s="8"/>
      <c r="H826" s="8"/>
    </row>
    <row r="827" ht="14.25" customHeight="1">
      <c r="C827" s="8"/>
      <c r="H827" s="8"/>
    </row>
    <row r="828" ht="14.25" customHeight="1">
      <c r="C828" s="8"/>
      <c r="H828" s="8"/>
    </row>
    <row r="829" ht="14.25" customHeight="1">
      <c r="C829" s="8"/>
      <c r="H829" s="8"/>
    </row>
    <row r="830" ht="14.25" customHeight="1">
      <c r="C830" s="8"/>
      <c r="H830" s="8"/>
    </row>
    <row r="831" ht="14.25" customHeight="1">
      <c r="C831" s="8"/>
      <c r="H831" s="8"/>
    </row>
    <row r="832" ht="14.25" customHeight="1">
      <c r="C832" s="8"/>
      <c r="H832" s="8"/>
    </row>
    <row r="833" ht="14.25" customHeight="1">
      <c r="C833" s="8"/>
      <c r="H833" s="8"/>
    </row>
    <row r="834" ht="14.25" customHeight="1">
      <c r="C834" s="8"/>
      <c r="H834" s="8"/>
    </row>
    <row r="835" ht="14.25" customHeight="1">
      <c r="C835" s="8"/>
      <c r="H835" s="8"/>
    </row>
    <row r="836" ht="14.25" customHeight="1">
      <c r="C836" s="8"/>
      <c r="H836" s="8"/>
    </row>
    <row r="837" ht="14.25" customHeight="1">
      <c r="C837" s="8"/>
      <c r="H837" s="8"/>
    </row>
    <row r="838" ht="14.25" customHeight="1">
      <c r="C838" s="8"/>
      <c r="H838" s="8"/>
    </row>
    <row r="839" ht="14.25" customHeight="1">
      <c r="C839" s="8"/>
      <c r="H839" s="8"/>
    </row>
    <row r="840" ht="14.25" customHeight="1">
      <c r="C840" s="8"/>
      <c r="H840" s="8"/>
    </row>
    <row r="841" ht="14.25" customHeight="1">
      <c r="C841" s="8"/>
      <c r="H841" s="8"/>
    </row>
    <row r="842" ht="14.25" customHeight="1">
      <c r="C842" s="8"/>
      <c r="H842" s="8"/>
    </row>
    <row r="843" ht="14.25" customHeight="1">
      <c r="C843" s="8"/>
      <c r="H843" s="8"/>
    </row>
    <row r="844" ht="14.25" customHeight="1">
      <c r="C844" s="8"/>
      <c r="H844" s="8"/>
    </row>
    <row r="845" ht="14.25" customHeight="1">
      <c r="C845" s="8"/>
      <c r="H845" s="8"/>
    </row>
    <row r="846" ht="14.25" customHeight="1">
      <c r="C846" s="8"/>
      <c r="H846" s="8"/>
    </row>
    <row r="847" ht="14.25" customHeight="1">
      <c r="C847" s="8"/>
      <c r="H847" s="8"/>
    </row>
    <row r="848" ht="14.25" customHeight="1">
      <c r="C848" s="8"/>
      <c r="H848" s="8"/>
    </row>
    <row r="849" ht="14.25" customHeight="1">
      <c r="C849" s="8"/>
      <c r="H849" s="8"/>
    </row>
    <row r="850" ht="14.25" customHeight="1">
      <c r="C850" s="8"/>
      <c r="H850" s="8"/>
    </row>
    <row r="851" ht="14.25" customHeight="1">
      <c r="C851" s="8"/>
      <c r="H851" s="8"/>
    </row>
    <row r="852" ht="14.25" customHeight="1">
      <c r="C852" s="8"/>
      <c r="H852" s="8"/>
    </row>
    <row r="853" ht="14.25" customHeight="1">
      <c r="C853" s="8"/>
      <c r="H853" s="8"/>
    </row>
    <row r="854" ht="14.25" customHeight="1">
      <c r="C854" s="8"/>
      <c r="H854" s="8"/>
    </row>
    <row r="855" ht="14.25" customHeight="1">
      <c r="C855" s="8"/>
      <c r="H855" s="8"/>
    </row>
    <row r="856" ht="14.25" customHeight="1">
      <c r="C856" s="8"/>
      <c r="H856" s="8"/>
    </row>
    <row r="857" ht="14.25" customHeight="1">
      <c r="C857" s="8"/>
      <c r="H857" s="8"/>
    </row>
    <row r="858" ht="14.25" customHeight="1">
      <c r="C858" s="8"/>
      <c r="H858" s="8"/>
    </row>
    <row r="859" ht="14.25" customHeight="1">
      <c r="C859" s="8"/>
      <c r="H859" s="8"/>
    </row>
    <row r="860" ht="14.25" customHeight="1">
      <c r="C860" s="8"/>
      <c r="H860" s="8"/>
    </row>
    <row r="861" ht="14.25" customHeight="1">
      <c r="C861" s="8"/>
      <c r="H861" s="8"/>
    </row>
    <row r="862" ht="14.25" customHeight="1">
      <c r="C862" s="8"/>
      <c r="H862" s="8"/>
    </row>
    <row r="863" ht="14.25" customHeight="1">
      <c r="C863" s="8"/>
      <c r="H863" s="8"/>
    </row>
    <row r="864" ht="14.25" customHeight="1">
      <c r="C864" s="8"/>
      <c r="H864" s="8"/>
    </row>
    <row r="865" ht="14.25" customHeight="1">
      <c r="C865" s="8"/>
      <c r="H865" s="8"/>
    </row>
    <row r="866" ht="14.25" customHeight="1">
      <c r="C866" s="8"/>
      <c r="H866" s="8"/>
    </row>
    <row r="867" ht="14.25" customHeight="1">
      <c r="C867" s="8"/>
      <c r="H867" s="8"/>
    </row>
    <row r="868" ht="14.25" customHeight="1">
      <c r="C868" s="8"/>
      <c r="H868" s="8"/>
    </row>
    <row r="869" ht="14.25" customHeight="1">
      <c r="C869" s="8"/>
      <c r="H869" s="8"/>
    </row>
    <row r="870" ht="14.25" customHeight="1">
      <c r="C870" s="8"/>
      <c r="H870" s="8"/>
    </row>
    <row r="871" ht="14.25" customHeight="1">
      <c r="C871" s="8"/>
      <c r="H871" s="8"/>
    </row>
    <row r="872" ht="14.25" customHeight="1">
      <c r="C872" s="8"/>
      <c r="H872" s="8"/>
    </row>
    <row r="873" ht="14.25" customHeight="1">
      <c r="C873" s="8"/>
      <c r="H873" s="8"/>
    </row>
    <row r="874" ht="14.25" customHeight="1">
      <c r="C874" s="8"/>
      <c r="H874" s="8"/>
    </row>
    <row r="875" ht="14.25" customHeight="1">
      <c r="C875" s="8"/>
      <c r="H875" s="8"/>
    </row>
    <row r="876" ht="14.25" customHeight="1">
      <c r="C876" s="8"/>
      <c r="H876" s="8"/>
    </row>
    <row r="877" ht="14.25" customHeight="1">
      <c r="C877" s="8"/>
      <c r="H877" s="8"/>
    </row>
    <row r="878" ht="14.25" customHeight="1">
      <c r="C878" s="8"/>
      <c r="H878" s="8"/>
    </row>
    <row r="879" ht="14.25" customHeight="1">
      <c r="C879" s="8"/>
      <c r="H879" s="8"/>
    </row>
    <row r="880" ht="14.25" customHeight="1">
      <c r="C880" s="8"/>
      <c r="H880" s="8"/>
    </row>
    <row r="881" ht="14.25" customHeight="1">
      <c r="C881" s="8"/>
      <c r="H881" s="8"/>
    </row>
    <row r="882" ht="14.25" customHeight="1">
      <c r="C882" s="8"/>
      <c r="H882" s="8"/>
    </row>
    <row r="883" ht="14.25" customHeight="1">
      <c r="C883" s="8"/>
      <c r="H883" s="8"/>
    </row>
    <row r="884" ht="14.25" customHeight="1">
      <c r="C884" s="8"/>
      <c r="H884" s="8"/>
    </row>
    <row r="885" ht="14.25" customHeight="1">
      <c r="C885" s="8"/>
      <c r="H885" s="8"/>
    </row>
    <row r="886" ht="14.25" customHeight="1">
      <c r="C886" s="8"/>
      <c r="H886" s="8"/>
    </row>
    <row r="887" ht="14.25" customHeight="1">
      <c r="C887" s="8"/>
      <c r="H887" s="8"/>
    </row>
    <row r="888" ht="14.25" customHeight="1">
      <c r="C888" s="8"/>
      <c r="H888" s="8"/>
    </row>
    <row r="889" ht="14.25" customHeight="1">
      <c r="C889" s="8"/>
      <c r="H889" s="8"/>
    </row>
    <row r="890" ht="14.25" customHeight="1">
      <c r="C890" s="8"/>
      <c r="H890" s="8"/>
    </row>
    <row r="891" ht="14.25" customHeight="1">
      <c r="C891" s="8"/>
      <c r="H891" s="8"/>
    </row>
    <row r="892" ht="14.25" customHeight="1">
      <c r="C892" s="8"/>
      <c r="H892" s="8"/>
    </row>
    <row r="893" ht="14.25" customHeight="1">
      <c r="C893" s="8"/>
      <c r="H893" s="8"/>
    </row>
    <row r="894" ht="14.25" customHeight="1">
      <c r="C894" s="8"/>
      <c r="H894" s="8"/>
    </row>
    <row r="895" ht="14.25" customHeight="1">
      <c r="C895" s="8"/>
      <c r="H895" s="8"/>
    </row>
    <row r="896" ht="14.25" customHeight="1">
      <c r="C896" s="8"/>
      <c r="H896" s="8"/>
    </row>
    <row r="897" ht="14.25" customHeight="1">
      <c r="C897" s="8"/>
      <c r="H897" s="8"/>
    </row>
    <row r="898" ht="14.25" customHeight="1">
      <c r="C898" s="8"/>
      <c r="H898" s="8"/>
    </row>
    <row r="899" ht="14.25" customHeight="1">
      <c r="C899" s="8"/>
      <c r="H899" s="8"/>
    </row>
    <row r="900" ht="14.25" customHeight="1">
      <c r="C900" s="8"/>
      <c r="H900" s="8"/>
    </row>
    <row r="901" ht="14.25" customHeight="1">
      <c r="C901" s="8"/>
      <c r="H901" s="8"/>
    </row>
    <row r="902" ht="14.25" customHeight="1">
      <c r="C902" s="8"/>
      <c r="H902" s="8"/>
    </row>
    <row r="903" ht="14.25" customHeight="1">
      <c r="C903" s="8"/>
      <c r="H903" s="8"/>
    </row>
    <row r="904" ht="14.25" customHeight="1">
      <c r="C904" s="8"/>
      <c r="H904" s="8"/>
    </row>
    <row r="905" ht="14.25" customHeight="1">
      <c r="C905" s="8"/>
      <c r="H905" s="8"/>
    </row>
    <row r="906" ht="14.25" customHeight="1">
      <c r="C906" s="8"/>
      <c r="H906" s="8"/>
    </row>
    <row r="907" ht="14.25" customHeight="1">
      <c r="C907" s="8"/>
      <c r="H907" s="8"/>
    </row>
    <row r="908" ht="14.25" customHeight="1">
      <c r="C908" s="8"/>
      <c r="H908" s="8"/>
    </row>
    <row r="909" ht="14.25" customHeight="1">
      <c r="C909" s="8"/>
      <c r="H909" s="8"/>
    </row>
    <row r="910" ht="14.25" customHeight="1">
      <c r="C910" s="8"/>
      <c r="H910" s="8"/>
    </row>
    <row r="911" ht="14.25" customHeight="1">
      <c r="C911" s="8"/>
      <c r="H911" s="8"/>
    </row>
    <row r="912" ht="14.25" customHeight="1">
      <c r="C912" s="8"/>
      <c r="H912" s="8"/>
    </row>
    <row r="913" ht="14.25" customHeight="1">
      <c r="C913" s="8"/>
      <c r="H913" s="8"/>
    </row>
    <row r="914" ht="14.25" customHeight="1">
      <c r="C914" s="8"/>
      <c r="H914" s="8"/>
    </row>
    <row r="915" ht="14.25" customHeight="1">
      <c r="C915" s="8"/>
      <c r="H915" s="8"/>
    </row>
    <row r="916" ht="14.25" customHeight="1">
      <c r="C916" s="8"/>
      <c r="H916" s="8"/>
    </row>
    <row r="917" ht="14.25" customHeight="1">
      <c r="C917" s="8"/>
      <c r="H917" s="8"/>
    </row>
    <row r="918" ht="14.25" customHeight="1">
      <c r="C918" s="8"/>
      <c r="H918" s="8"/>
    </row>
    <row r="919" ht="14.25" customHeight="1">
      <c r="C919" s="8"/>
      <c r="H919" s="8"/>
    </row>
    <row r="920" ht="14.25" customHeight="1">
      <c r="C920" s="8"/>
      <c r="H920" s="8"/>
    </row>
    <row r="921" ht="14.25" customHeight="1">
      <c r="C921" s="8"/>
      <c r="H921" s="8"/>
    </row>
    <row r="922" ht="14.25" customHeight="1">
      <c r="C922" s="8"/>
      <c r="H922" s="8"/>
    </row>
    <row r="923" ht="14.25" customHeight="1">
      <c r="C923" s="8"/>
      <c r="H923" s="8"/>
    </row>
    <row r="924" ht="14.25" customHeight="1">
      <c r="C924" s="8"/>
      <c r="H924" s="8"/>
    </row>
    <row r="925" ht="14.25" customHeight="1">
      <c r="C925" s="8"/>
      <c r="H925" s="8"/>
    </row>
    <row r="926" ht="14.25" customHeight="1">
      <c r="C926" s="8"/>
      <c r="H926" s="8"/>
    </row>
    <row r="927" ht="14.25" customHeight="1">
      <c r="C927" s="8"/>
      <c r="H927" s="8"/>
    </row>
    <row r="928" ht="14.25" customHeight="1">
      <c r="C928" s="8"/>
      <c r="H928" s="8"/>
    </row>
    <row r="929" ht="14.25" customHeight="1">
      <c r="C929" s="8"/>
      <c r="H929" s="8"/>
    </row>
    <row r="930" ht="14.25" customHeight="1">
      <c r="C930" s="8"/>
      <c r="H930" s="8"/>
    </row>
    <row r="931" ht="14.25" customHeight="1">
      <c r="C931" s="8"/>
      <c r="H931" s="8"/>
    </row>
    <row r="932" ht="14.25" customHeight="1">
      <c r="C932" s="8"/>
      <c r="H932" s="8"/>
    </row>
    <row r="933" ht="14.25" customHeight="1">
      <c r="C933" s="8"/>
      <c r="H933" s="8"/>
    </row>
    <row r="934" ht="14.25" customHeight="1">
      <c r="C934" s="8"/>
      <c r="H934" s="8"/>
    </row>
    <row r="935" ht="14.25" customHeight="1">
      <c r="C935" s="8"/>
      <c r="H935" s="8"/>
    </row>
    <row r="936" ht="14.25" customHeight="1">
      <c r="C936" s="8"/>
      <c r="H936" s="8"/>
    </row>
    <row r="937" ht="14.25" customHeight="1">
      <c r="C937" s="8"/>
      <c r="H937" s="8"/>
    </row>
    <row r="938" ht="14.25" customHeight="1">
      <c r="C938" s="8"/>
      <c r="H938" s="8"/>
    </row>
    <row r="939" ht="14.25" customHeight="1">
      <c r="C939" s="8"/>
      <c r="H939" s="8"/>
    </row>
    <row r="940" ht="14.25" customHeight="1">
      <c r="C940" s="8"/>
      <c r="H940" s="8"/>
    </row>
    <row r="941" ht="14.25" customHeight="1">
      <c r="C941" s="8"/>
      <c r="H941" s="8"/>
    </row>
    <row r="942" ht="14.25" customHeight="1">
      <c r="C942" s="8"/>
      <c r="H942" s="8"/>
    </row>
    <row r="943" ht="14.25" customHeight="1">
      <c r="C943" s="8"/>
      <c r="H943" s="8"/>
    </row>
    <row r="944" ht="14.25" customHeight="1">
      <c r="C944" s="8"/>
      <c r="H944" s="8"/>
    </row>
    <row r="945" ht="14.25" customHeight="1">
      <c r="C945" s="8"/>
      <c r="H945" s="8"/>
    </row>
    <row r="946" ht="14.25" customHeight="1">
      <c r="C946" s="8"/>
      <c r="H946" s="8"/>
    </row>
    <row r="947" ht="14.25" customHeight="1">
      <c r="C947" s="8"/>
      <c r="H947" s="8"/>
    </row>
    <row r="948" ht="14.25" customHeight="1">
      <c r="C948" s="8"/>
      <c r="H948" s="8"/>
    </row>
    <row r="949" ht="14.25" customHeight="1">
      <c r="C949" s="8"/>
      <c r="H949" s="8"/>
    </row>
    <row r="950" ht="14.25" customHeight="1">
      <c r="C950" s="8"/>
      <c r="H950" s="8"/>
    </row>
    <row r="951" ht="14.25" customHeight="1">
      <c r="C951" s="8"/>
      <c r="H951" s="8"/>
    </row>
    <row r="952" ht="14.25" customHeight="1">
      <c r="C952" s="8"/>
      <c r="H952" s="8"/>
    </row>
    <row r="953" ht="14.25" customHeight="1">
      <c r="C953" s="8"/>
      <c r="H953" s="8"/>
    </row>
    <row r="954" ht="14.25" customHeight="1">
      <c r="C954" s="8"/>
      <c r="H954" s="8"/>
    </row>
    <row r="955" ht="14.25" customHeight="1">
      <c r="C955" s="8"/>
      <c r="H955" s="8"/>
    </row>
    <row r="956" ht="14.25" customHeight="1">
      <c r="C956" s="8"/>
      <c r="H956" s="8"/>
    </row>
    <row r="957" ht="14.25" customHeight="1">
      <c r="C957" s="8"/>
      <c r="H957" s="8"/>
    </row>
    <row r="958" ht="14.25" customHeight="1">
      <c r="C958" s="8"/>
      <c r="H958" s="8"/>
    </row>
    <row r="959" ht="14.25" customHeight="1">
      <c r="C959" s="8"/>
      <c r="H959" s="8"/>
    </row>
    <row r="960" ht="14.25" customHeight="1">
      <c r="C960" s="8"/>
      <c r="H960" s="8"/>
    </row>
    <row r="961" ht="14.25" customHeight="1">
      <c r="C961" s="8"/>
      <c r="H961" s="8"/>
    </row>
    <row r="962" ht="14.25" customHeight="1">
      <c r="C962" s="8"/>
      <c r="H962" s="8"/>
    </row>
    <row r="963" ht="14.25" customHeight="1">
      <c r="C963" s="8"/>
      <c r="H963" s="8"/>
    </row>
    <row r="964" ht="14.25" customHeight="1">
      <c r="C964" s="8"/>
      <c r="H964" s="8"/>
    </row>
    <row r="965" ht="14.25" customHeight="1">
      <c r="C965" s="8"/>
      <c r="H965" s="8"/>
    </row>
    <row r="966" ht="14.25" customHeight="1">
      <c r="C966" s="8"/>
      <c r="H966" s="8"/>
    </row>
    <row r="967" ht="14.25" customHeight="1">
      <c r="C967" s="8"/>
      <c r="H967" s="8"/>
    </row>
    <row r="968" ht="14.25" customHeight="1">
      <c r="C968" s="8"/>
      <c r="H968" s="8"/>
    </row>
    <row r="969" ht="14.25" customHeight="1">
      <c r="C969" s="8"/>
      <c r="H969" s="8"/>
    </row>
    <row r="970" ht="14.25" customHeight="1">
      <c r="C970" s="8"/>
      <c r="H970" s="8"/>
    </row>
    <row r="971" ht="14.25" customHeight="1">
      <c r="C971" s="8"/>
      <c r="H971" s="8"/>
    </row>
    <row r="972" ht="14.25" customHeight="1">
      <c r="C972" s="8"/>
      <c r="H972" s="8"/>
    </row>
    <row r="973" ht="14.25" customHeight="1">
      <c r="C973" s="8"/>
      <c r="H973" s="8"/>
    </row>
    <row r="974" ht="14.25" customHeight="1">
      <c r="C974" s="8"/>
      <c r="H974" s="8"/>
    </row>
    <row r="975" ht="14.25" customHeight="1">
      <c r="C975" s="8"/>
      <c r="H975" s="8"/>
    </row>
    <row r="976" ht="14.25" customHeight="1">
      <c r="C976" s="8"/>
      <c r="H976" s="8"/>
    </row>
    <row r="977" ht="14.25" customHeight="1">
      <c r="C977" s="8"/>
      <c r="H977" s="8"/>
    </row>
    <row r="978" ht="14.25" customHeight="1">
      <c r="C978" s="8"/>
      <c r="H978" s="8"/>
    </row>
    <row r="979" ht="14.25" customHeight="1">
      <c r="C979" s="8"/>
      <c r="H979" s="8"/>
    </row>
    <row r="980" ht="14.25" customHeight="1">
      <c r="C980" s="8"/>
      <c r="H980" s="8"/>
    </row>
    <row r="981" ht="14.25" customHeight="1">
      <c r="C981" s="8"/>
      <c r="H981" s="8"/>
    </row>
    <row r="982" ht="14.25" customHeight="1">
      <c r="C982" s="8"/>
      <c r="H982" s="8"/>
    </row>
    <row r="983" ht="14.25" customHeight="1">
      <c r="C983" s="8"/>
      <c r="H983" s="8"/>
    </row>
    <row r="984" ht="14.25" customHeight="1">
      <c r="C984" s="8"/>
      <c r="H984" s="8"/>
    </row>
    <row r="985" ht="14.25" customHeight="1">
      <c r="C985" s="8"/>
      <c r="H985" s="8"/>
    </row>
    <row r="986" ht="14.25" customHeight="1">
      <c r="C986" s="8"/>
      <c r="H986" s="8"/>
    </row>
    <row r="987" ht="14.25" customHeight="1">
      <c r="C987" s="8"/>
      <c r="H987" s="8"/>
    </row>
    <row r="988" ht="14.25" customHeight="1">
      <c r="C988" s="8"/>
      <c r="H988" s="8"/>
    </row>
    <row r="989" ht="14.25" customHeight="1">
      <c r="C989" s="8"/>
      <c r="H989" s="8"/>
    </row>
    <row r="990" ht="14.25" customHeight="1">
      <c r="C990" s="8"/>
      <c r="H990" s="8"/>
    </row>
    <row r="991" ht="14.25" customHeight="1">
      <c r="C991" s="8"/>
      <c r="H991" s="8"/>
    </row>
    <row r="992" ht="14.25" customHeight="1">
      <c r="C992" s="8"/>
      <c r="H992" s="8"/>
    </row>
    <row r="993" ht="14.25" customHeight="1">
      <c r="C993" s="8"/>
      <c r="H993" s="8"/>
    </row>
    <row r="994" ht="14.25" customHeight="1">
      <c r="C994" s="8"/>
      <c r="H994" s="8"/>
    </row>
    <row r="995" ht="14.25" customHeight="1">
      <c r="C995" s="8"/>
      <c r="H995" s="8"/>
    </row>
    <row r="996" ht="14.25" customHeight="1">
      <c r="C996" s="8"/>
      <c r="H996" s="8"/>
    </row>
    <row r="997" ht="14.25" customHeight="1">
      <c r="C997" s="8"/>
      <c r="H997" s="8"/>
    </row>
    <row r="998" ht="14.25" customHeight="1">
      <c r="C998" s="8"/>
      <c r="H998" s="8"/>
    </row>
    <row r="999" ht="14.25" customHeight="1">
      <c r="C999" s="8"/>
      <c r="H999" s="8"/>
    </row>
    <row r="1000" ht="14.25" customHeight="1">
      <c r="C1000" s="8"/>
      <c r="H1000" s="8"/>
    </row>
  </sheetData>
  <autoFilter ref="$A$1:$J$150"/>
  <dataValidations>
    <dataValidation type="list" allowBlank="1" sqref="H2:H1000">
      <formula1>DICTIONARIES!$D$2:$D$4</formula1>
    </dataValidation>
    <dataValidation type="list" allowBlank="1" sqref="C2:C1000">
      <formula1>DICTIONARIES!$AJ$2:$AJ$4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4.0"/>
    <col customWidth="1" min="3" max="3" width="22.0"/>
    <col customWidth="1" min="4" max="6" width="16.0"/>
    <col customWidth="1" min="7" max="7" width="28.0"/>
    <col customWidth="1" min="8" max="8" width="45.0"/>
    <col customWidth="1" min="9" max="26" width="8.71"/>
  </cols>
  <sheetData>
    <row r="1" ht="14.25" customHeight="1">
      <c r="A1" s="9" t="s">
        <v>883</v>
      </c>
      <c r="B1" s="9" t="s">
        <v>762</v>
      </c>
      <c r="C1" s="9" t="s">
        <v>763</v>
      </c>
      <c r="D1" s="9" t="s">
        <v>948</v>
      </c>
      <c r="E1" s="9" t="s">
        <v>771</v>
      </c>
      <c r="F1" s="9" t="s">
        <v>949</v>
      </c>
      <c r="G1" s="9" t="s">
        <v>950</v>
      </c>
      <c r="H1" s="9" t="s">
        <v>116</v>
      </c>
    </row>
    <row r="2" ht="14.25" customHeight="1">
      <c r="A2" s="11" t="s">
        <v>267</v>
      </c>
      <c r="B2" s="11" t="s">
        <v>302</v>
      </c>
      <c r="C2" s="11" t="s">
        <v>239</v>
      </c>
      <c r="D2" s="11" t="s">
        <v>795</v>
      </c>
      <c r="E2" s="11" t="s">
        <v>536</v>
      </c>
      <c r="F2" s="11" t="s">
        <v>540</v>
      </c>
      <c r="G2" s="11" t="s">
        <v>951</v>
      </c>
      <c r="H2" s="11" t="s">
        <v>952</v>
      </c>
    </row>
    <row r="3" ht="14.25" customHeight="1">
      <c r="A3" s="11" t="s">
        <v>243</v>
      </c>
      <c r="B3" s="11" t="s">
        <v>302</v>
      </c>
      <c r="C3" s="11" t="s">
        <v>239</v>
      </c>
      <c r="D3" s="11" t="s">
        <v>795</v>
      </c>
      <c r="E3" s="11" t="s">
        <v>540</v>
      </c>
      <c r="F3" s="11"/>
      <c r="G3" s="11" t="s">
        <v>953</v>
      </c>
      <c r="H3" s="11"/>
    </row>
    <row r="4" ht="14.25" customHeight="1">
      <c r="A4" s="11" t="s">
        <v>346</v>
      </c>
      <c r="B4" s="11" t="s">
        <v>302</v>
      </c>
      <c r="C4" s="11" t="s">
        <v>239</v>
      </c>
      <c r="D4" s="11" t="s">
        <v>795</v>
      </c>
      <c r="E4" s="11" t="s">
        <v>543</v>
      </c>
      <c r="F4" s="11" t="s">
        <v>540</v>
      </c>
      <c r="G4" s="11" t="s">
        <v>954</v>
      </c>
      <c r="H4" s="11" t="s">
        <v>955</v>
      </c>
    </row>
    <row r="5" ht="14.25" customHeight="1">
      <c r="A5" s="11" t="s">
        <v>267</v>
      </c>
      <c r="B5" s="11" t="s">
        <v>246</v>
      </c>
      <c r="C5" s="11" t="s">
        <v>444</v>
      </c>
      <c r="D5" s="11" t="s">
        <v>301</v>
      </c>
      <c r="E5" s="11" t="s">
        <v>323</v>
      </c>
      <c r="F5" s="11"/>
      <c r="G5" s="11" t="s">
        <v>956</v>
      </c>
      <c r="H5" s="11"/>
    </row>
    <row r="6" ht="14.25" customHeight="1">
      <c r="A6" s="11" t="s">
        <v>346</v>
      </c>
      <c r="B6" s="11" t="s">
        <v>246</v>
      </c>
      <c r="C6" s="11" t="s">
        <v>444</v>
      </c>
      <c r="D6" s="11" t="s">
        <v>301</v>
      </c>
      <c r="E6" s="11" t="s">
        <v>284</v>
      </c>
      <c r="F6" s="11"/>
      <c r="G6" s="11" t="s">
        <v>957</v>
      </c>
      <c r="H6" s="11"/>
    </row>
    <row r="7" ht="14.25" customHeight="1">
      <c r="A7" s="11" t="s">
        <v>267</v>
      </c>
      <c r="B7" s="11" t="s">
        <v>286</v>
      </c>
      <c r="C7" s="11" t="s">
        <v>501</v>
      </c>
      <c r="D7" s="11" t="s">
        <v>958</v>
      </c>
      <c r="E7" s="11" t="s">
        <v>268</v>
      </c>
      <c r="F7" s="11"/>
      <c r="G7" s="11" t="s">
        <v>959</v>
      </c>
      <c r="H7" s="11"/>
    </row>
    <row r="8" ht="14.25" customHeight="1">
      <c r="A8" s="11" t="s">
        <v>346</v>
      </c>
      <c r="B8" s="11" t="s">
        <v>286</v>
      </c>
      <c r="C8" s="11" t="s">
        <v>501</v>
      </c>
      <c r="D8" s="11" t="s">
        <v>958</v>
      </c>
      <c r="E8" s="11" t="s">
        <v>242</v>
      </c>
      <c r="F8" s="11"/>
      <c r="G8" s="11" t="s">
        <v>960</v>
      </c>
      <c r="H8" s="11"/>
    </row>
    <row r="9" ht="14.25" customHeight="1">
      <c r="A9" s="11"/>
      <c r="B9" s="11"/>
      <c r="C9" s="11"/>
      <c r="D9" s="11"/>
      <c r="E9" s="11"/>
      <c r="F9" s="11"/>
      <c r="G9" s="11"/>
      <c r="H9" s="11"/>
    </row>
    <row r="10" ht="14.25" customHeight="1">
      <c r="A10" s="11"/>
      <c r="B10" s="11"/>
      <c r="C10" s="11"/>
      <c r="D10" s="11"/>
      <c r="E10" s="11"/>
      <c r="F10" s="11"/>
      <c r="G10" s="11"/>
      <c r="H10" s="11"/>
    </row>
    <row r="11" ht="14.25" customHeight="1">
      <c r="A11" s="11"/>
      <c r="B11" s="11"/>
      <c r="C11" s="11"/>
      <c r="D11" s="11"/>
      <c r="E11" s="11"/>
      <c r="F11" s="11"/>
      <c r="G11" s="11"/>
      <c r="H11" s="11"/>
    </row>
    <row r="12" ht="14.25" customHeight="1">
      <c r="A12" s="11"/>
      <c r="B12" s="11"/>
      <c r="C12" s="11"/>
      <c r="D12" s="11"/>
      <c r="E12" s="11"/>
      <c r="F12" s="11"/>
      <c r="G12" s="11"/>
      <c r="H12" s="11"/>
    </row>
    <row r="13" ht="14.25" customHeight="1">
      <c r="A13" s="11"/>
      <c r="B13" s="11"/>
      <c r="C13" s="11"/>
      <c r="D13" s="11"/>
      <c r="E13" s="11"/>
      <c r="F13" s="11"/>
      <c r="G13" s="11"/>
      <c r="H13" s="11"/>
    </row>
    <row r="14" ht="14.25" customHeight="1">
      <c r="A14" s="11"/>
      <c r="B14" s="11"/>
      <c r="C14" s="11"/>
      <c r="D14" s="11"/>
      <c r="E14" s="11"/>
      <c r="F14" s="11"/>
      <c r="G14" s="11"/>
      <c r="H14" s="11"/>
    </row>
    <row r="15" ht="14.25" customHeight="1">
      <c r="A15" s="11"/>
      <c r="B15" s="11"/>
      <c r="C15" s="11"/>
      <c r="D15" s="11"/>
      <c r="E15" s="11"/>
      <c r="F15" s="11"/>
      <c r="G15" s="11"/>
      <c r="H15" s="11"/>
    </row>
    <row r="16" ht="14.25" customHeight="1">
      <c r="A16" s="11"/>
      <c r="B16" s="11"/>
      <c r="C16" s="11"/>
      <c r="D16" s="11"/>
      <c r="E16" s="11"/>
      <c r="F16" s="11"/>
      <c r="G16" s="11"/>
      <c r="H16" s="11"/>
    </row>
    <row r="17" ht="14.25" customHeight="1">
      <c r="A17" s="11"/>
      <c r="B17" s="11"/>
      <c r="C17" s="11"/>
      <c r="D17" s="11"/>
      <c r="E17" s="11"/>
      <c r="F17" s="11"/>
      <c r="G17" s="11"/>
      <c r="H17" s="11"/>
    </row>
    <row r="18" ht="14.25" customHeight="1">
      <c r="A18" s="11"/>
      <c r="B18" s="11"/>
      <c r="C18" s="11"/>
      <c r="D18" s="11"/>
      <c r="E18" s="11"/>
      <c r="F18" s="11"/>
      <c r="G18" s="11"/>
      <c r="H18" s="11"/>
    </row>
    <row r="19" ht="14.25" customHeight="1">
      <c r="A19" s="11"/>
      <c r="B19" s="11"/>
      <c r="C19" s="11"/>
      <c r="D19" s="11"/>
      <c r="E19" s="11"/>
      <c r="F19" s="11"/>
      <c r="G19" s="11"/>
      <c r="H19" s="11"/>
    </row>
    <row r="20" ht="14.25" customHeight="1">
      <c r="A20" s="11"/>
      <c r="B20" s="11"/>
      <c r="C20" s="11"/>
      <c r="D20" s="11"/>
      <c r="E20" s="11"/>
      <c r="F20" s="11"/>
      <c r="G20" s="11"/>
      <c r="H20" s="11"/>
    </row>
    <row r="21" ht="14.25" customHeight="1">
      <c r="A21" s="11"/>
      <c r="B21" s="11"/>
      <c r="C21" s="11"/>
      <c r="D21" s="11"/>
      <c r="E21" s="11"/>
      <c r="F21" s="11"/>
      <c r="G21" s="11"/>
      <c r="H21" s="11"/>
    </row>
    <row r="22" ht="14.25" customHeight="1">
      <c r="A22" s="11"/>
      <c r="B22" s="11"/>
      <c r="C22" s="11"/>
      <c r="D22" s="11"/>
      <c r="E22" s="11"/>
      <c r="F22" s="11"/>
      <c r="G22" s="11"/>
      <c r="H22" s="11"/>
    </row>
    <row r="23" ht="14.25" customHeight="1">
      <c r="A23" s="11"/>
      <c r="B23" s="11"/>
      <c r="C23" s="11"/>
      <c r="D23" s="11"/>
      <c r="E23" s="11"/>
      <c r="F23" s="11"/>
      <c r="G23" s="11"/>
      <c r="H23" s="11"/>
    </row>
    <row r="24" ht="14.25" customHeight="1">
      <c r="A24" s="11"/>
      <c r="B24" s="11"/>
      <c r="C24" s="11"/>
      <c r="D24" s="11"/>
      <c r="E24" s="11"/>
      <c r="F24" s="11"/>
      <c r="G24" s="11"/>
      <c r="H24" s="11"/>
    </row>
    <row r="25" ht="14.25" customHeight="1">
      <c r="A25" s="11"/>
      <c r="B25" s="11"/>
      <c r="C25" s="11"/>
      <c r="D25" s="11"/>
      <c r="E25" s="11"/>
      <c r="F25" s="11"/>
      <c r="G25" s="11"/>
      <c r="H25" s="11"/>
    </row>
    <row r="26" ht="14.25" customHeight="1">
      <c r="A26" s="11"/>
      <c r="B26" s="11"/>
      <c r="C26" s="11"/>
      <c r="D26" s="11"/>
      <c r="E26" s="11"/>
      <c r="F26" s="11"/>
      <c r="G26" s="11"/>
      <c r="H26" s="11"/>
    </row>
    <row r="27" ht="14.25" customHeight="1">
      <c r="A27" s="11"/>
      <c r="B27" s="11"/>
      <c r="C27" s="11"/>
      <c r="D27" s="11"/>
      <c r="E27" s="11"/>
      <c r="F27" s="11"/>
      <c r="G27" s="11"/>
      <c r="H27" s="11"/>
    </row>
    <row r="28" ht="14.25" customHeight="1">
      <c r="A28" s="11"/>
      <c r="B28" s="11"/>
      <c r="C28" s="11"/>
      <c r="D28" s="11"/>
      <c r="E28" s="11"/>
      <c r="F28" s="11"/>
      <c r="G28" s="11"/>
      <c r="H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</row>
    <row r="151" ht="14.25" customHeight="1">
      <c r="A151" s="8"/>
      <c r="B151" s="8"/>
    </row>
    <row r="152" ht="14.25" customHeight="1">
      <c r="A152" s="8"/>
      <c r="B152" s="8"/>
    </row>
    <row r="153" ht="14.25" customHeight="1">
      <c r="A153" s="8"/>
      <c r="B153" s="8"/>
    </row>
    <row r="154" ht="14.25" customHeight="1">
      <c r="A154" s="8"/>
      <c r="B154" s="8"/>
    </row>
    <row r="155" ht="14.25" customHeight="1">
      <c r="A155" s="8"/>
      <c r="B155" s="8"/>
    </row>
    <row r="156" ht="14.25" customHeight="1">
      <c r="A156" s="8"/>
      <c r="B156" s="8"/>
    </row>
    <row r="157" ht="14.25" customHeight="1">
      <c r="A157" s="8"/>
      <c r="B157" s="8"/>
    </row>
    <row r="158" ht="14.25" customHeight="1">
      <c r="A158" s="8"/>
      <c r="B158" s="8"/>
    </row>
    <row r="159" ht="14.25" customHeight="1">
      <c r="A159" s="8"/>
      <c r="B159" s="8"/>
    </row>
    <row r="160" ht="14.25" customHeight="1">
      <c r="A160" s="8"/>
      <c r="B160" s="8"/>
    </row>
    <row r="161" ht="14.25" customHeight="1">
      <c r="A161" s="8"/>
      <c r="B161" s="8"/>
    </row>
    <row r="162" ht="14.25" customHeight="1">
      <c r="A162" s="8"/>
      <c r="B162" s="8"/>
    </row>
    <row r="163" ht="14.25" customHeight="1">
      <c r="A163" s="8"/>
      <c r="B163" s="8"/>
    </row>
    <row r="164" ht="14.25" customHeight="1">
      <c r="A164" s="8"/>
      <c r="B164" s="8"/>
    </row>
    <row r="165" ht="14.25" customHeight="1">
      <c r="A165" s="8"/>
      <c r="B165" s="8"/>
    </row>
    <row r="166" ht="14.25" customHeight="1">
      <c r="A166" s="8"/>
      <c r="B166" s="8"/>
    </row>
    <row r="167" ht="14.25" customHeight="1">
      <c r="A167" s="8"/>
      <c r="B167" s="8"/>
    </row>
    <row r="168" ht="14.25" customHeight="1">
      <c r="A168" s="8"/>
      <c r="B168" s="8"/>
    </row>
    <row r="169" ht="14.25" customHeight="1">
      <c r="A169" s="8"/>
      <c r="B169" s="8"/>
    </row>
    <row r="170" ht="14.25" customHeight="1">
      <c r="A170" s="8"/>
      <c r="B170" s="8"/>
    </row>
    <row r="171" ht="14.25" customHeight="1">
      <c r="A171" s="8"/>
      <c r="B171" s="8"/>
    </row>
    <row r="172" ht="14.25" customHeight="1">
      <c r="A172" s="8"/>
      <c r="B172" s="8"/>
    </row>
    <row r="173" ht="14.25" customHeight="1">
      <c r="A173" s="8"/>
      <c r="B173" s="8"/>
    </row>
    <row r="174" ht="14.25" customHeight="1">
      <c r="A174" s="8"/>
      <c r="B174" s="8"/>
    </row>
    <row r="175" ht="14.25" customHeight="1">
      <c r="A175" s="8"/>
      <c r="B175" s="8"/>
    </row>
    <row r="176" ht="14.25" customHeight="1">
      <c r="A176" s="8"/>
      <c r="B176" s="8"/>
    </row>
    <row r="177" ht="14.25" customHeight="1">
      <c r="A177" s="8"/>
      <c r="B177" s="8"/>
    </row>
    <row r="178" ht="14.25" customHeight="1">
      <c r="A178" s="8"/>
      <c r="B178" s="8"/>
    </row>
    <row r="179" ht="14.25" customHeight="1">
      <c r="A179" s="8"/>
      <c r="B179" s="8"/>
    </row>
    <row r="180" ht="14.25" customHeight="1">
      <c r="A180" s="8"/>
      <c r="B180" s="8"/>
    </row>
    <row r="181" ht="14.25" customHeight="1">
      <c r="A181" s="8"/>
      <c r="B181" s="8"/>
    </row>
    <row r="182" ht="14.25" customHeight="1">
      <c r="A182" s="8"/>
      <c r="B182" s="8"/>
    </row>
    <row r="183" ht="14.25" customHeight="1">
      <c r="A183" s="8"/>
      <c r="B183" s="8"/>
    </row>
    <row r="184" ht="14.25" customHeight="1">
      <c r="A184" s="8"/>
      <c r="B184" s="8"/>
    </row>
    <row r="185" ht="14.25" customHeight="1">
      <c r="A185" s="8"/>
      <c r="B185" s="8"/>
    </row>
    <row r="186" ht="14.25" customHeight="1">
      <c r="A186" s="8"/>
      <c r="B186" s="8"/>
    </row>
    <row r="187" ht="14.25" customHeight="1">
      <c r="A187" s="8"/>
      <c r="B187" s="8"/>
    </row>
    <row r="188" ht="14.25" customHeight="1">
      <c r="A188" s="8"/>
      <c r="B188" s="8"/>
    </row>
    <row r="189" ht="14.25" customHeight="1">
      <c r="A189" s="8"/>
      <c r="B189" s="8"/>
    </row>
    <row r="190" ht="14.25" customHeight="1">
      <c r="A190" s="8"/>
      <c r="B190" s="8"/>
    </row>
    <row r="191" ht="14.25" customHeight="1">
      <c r="A191" s="8"/>
      <c r="B191" s="8"/>
    </row>
    <row r="192" ht="14.25" customHeight="1">
      <c r="A192" s="8"/>
      <c r="B192" s="8"/>
    </row>
    <row r="193" ht="14.25" customHeight="1">
      <c r="A193" s="8"/>
      <c r="B193" s="8"/>
    </row>
    <row r="194" ht="14.25" customHeight="1">
      <c r="A194" s="8"/>
      <c r="B194" s="8"/>
    </row>
    <row r="195" ht="14.25" customHeight="1">
      <c r="A195" s="8"/>
      <c r="B195" s="8"/>
    </row>
    <row r="196" ht="14.25" customHeight="1">
      <c r="A196" s="8"/>
      <c r="B196" s="8"/>
    </row>
    <row r="197" ht="14.25" customHeight="1">
      <c r="A197" s="8"/>
      <c r="B197" s="8"/>
    </row>
    <row r="198" ht="14.25" customHeight="1">
      <c r="A198" s="8"/>
      <c r="B198" s="8"/>
    </row>
    <row r="199" ht="14.25" customHeight="1">
      <c r="A199" s="8"/>
      <c r="B199" s="8"/>
    </row>
    <row r="200" ht="14.25" customHeight="1">
      <c r="A200" s="8"/>
      <c r="B200" s="8"/>
    </row>
    <row r="201" ht="14.25" customHeight="1">
      <c r="A201" s="8"/>
      <c r="B201" s="8"/>
    </row>
    <row r="202" ht="14.25" customHeight="1">
      <c r="A202" s="8"/>
      <c r="B202" s="8"/>
    </row>
    <row r="203" ht="14.25" customHeight="1">
      <c r="A203" s="8"/>
      <c r="B203" s="8"/>
    </row>
    <row r="204" ht="14.25" customHeight="1">
      <c r="A204" s="8"/>
      <c r="B204" s="8"/>
    </row>
    <row r="205" ht="14.25" customHeight="1">
      <c r="A205" s="8"/>
      <c r="B205" s="8"/>
    </row>
    <row r="206" ht="14.25" customHeight="1">
      <c r="A206" s="8"/>
      <c r="B206" s="8"/>
    </row>
    <row r="207" ht="14.25" customHeight="1">
      <c r="A207" s="8"/>
      <c r="B207" s="8"/>
    </row>
    <row r="208" ht="14.25" customHeight="1">
      <c r="A208" s="8"/>
      <c r="B208" s="8"/>
    </row>
    <row r="209" ht="14.25" customHeight="1">
      <c r="A209" s="8"/>
      <c r="B209" s="8"/>
    </row>
    <row r="210" ht="14.25" customHeight="1">
      <c r="A210" s="8"/>
      <c r="B210" s="8"/>
    </row>
    <row r="211" ht="14.25" customHeight="1">
      <c r="A211" s="8"/>
      <c r="B211" s="8"/>
    </row>
    <row r="212" ht="14.25" customHeight="1">
      <c r="A212" s="8"/>
      <c r="B212" s="8"/>
    </row>
    <row r="213" ht="14.25" customHeight="1">
      <c r="A213" s="8"/>
      <c r="B213" s="8"/>
    </row>
    <row r="214" ht="14.25" customHeight="1">
      <c r="A214" s="8"/>
      <c r="B214" s="8"/>
    </row>
    <row r="215" ht="14.25" customHeight="1">
      <c r="A215" s="8"/>
      <c r="B215" s="8"/>
    </row>
    <row r="216" ht="14.25" customHeight="1">
      <c r="A216" s="8"/>
      <c r="B216" s="8"/>
    </row>
    <row r="217" ht="14.25" customHeight="1">
      <c r="A217" s="8"/>
      <c r="B217" s="8"/>
    </row>
    <row r="218" ht="14.25" customHeight="1">
      <c r="A218" s="8"/>
      <c r="B218" s="8"/>
    </row>
    <row r="219" ht="14.25" customHeight="1">
      <c r="A219" s="8"/>
      <c r="B219" s="8"/>
    </row>
    <row r="220" ht="14.25" customHeight="1">
      <c r="A220" s="8"/>
      <c r="B220" s="8"/>
    </row>
    <row r="221" ht="14.25" customHeight="1">
      <c r="A221" s="8"/>
      <c r="B221" s="8"/>
    </row>
    <row r="222" ht="14.25" customHeight="1">
      <c r="A222" s="8"/>
      <c r="B222" s="8"/>
    </row>
    <row r="223" ht="14.25" customHeight="1">
      <c r="A223" s="8"/>
      <c r="B223" s="8"/>
    </row>
    <row r="224" ht="14.25" customHeight="1">
      <c r="A224" s="8"/>
      <c r="B224" s="8"/>
    </row>
    <row r="225" ht="14.25" customHeight="1">
      <c r="A225" s="8"/>
      <c r="B225" s="8"/>
    </row>
    <row r="226" ht="14.25" customHeight="1">
      <c r="A226" s="8"/>
      <c r="B226" s="8"/>
    </row>
    <row r="227" ht="14.25" customHeight="1">
      <c r="A227" s="8"/>
      <c r="B227" s="8"/>
    </row>
    <row r="228" ht="14.25" customHeight="1">
      <c r="A228" s="8"/>
      <c r="B228" s="8"/>
    </row>
    <row r="229" ht="14.25" customHeight="1">
      <c r="A229" s="8"/>
      <c r="B229" s="8"/>
    </row>
    <row r="230" ht="14.25" customHeight="1">
      <c r="A230" s="8"/>
      <c r="B230" s="8"/>
    </row>
    <row r="231" ht="14.25" customHeight="1">
      <c r="A231" s="8"/>
      <c r="B231" s="8"/>
    </row>
    <row r="232" ht="14.25" customHeight="1">
      <c r="A232" s="8"/>
      <c r="B232" s="8"/>
    </row>
    <row r="233" ht="14.25" customHeight="1">
      <c r="A233" s="8"/>
      <c r="B233" s="8"/>
    </row>
    <row r="234" ht="14.25" customHeight="1">
      <c r="A234" s="8"/>
      <c r="B234" s="8"/>
    </row>
    <row r="235" ht="14.25" customHeight="1">
      <c r="A235" s="8"/>
      <c r="B235" s="8"/>
    </row>
    <row r="236" ht="14.25" customHeight="1">
      <c r="A236" s="8"/>
      <c r="B236" s="8"/>
    </row>
    <row r="237" ht="14.25" customHeight="1">
      <c r="A237" s="8"/>
      <c r="B237" s="8"/>
    </row>
    <row r="238" ht="14.25" customHeight="1">
      <c r="A238" s="8"/>
      <c r="B238" s="8"/>
    </row>
    <row r="239" ht="14.25" customHeight="1">
      <c r="A239" s="8"/>
      <c r="B239" s="8"/>
    </row>
    <row r="240" ht="14.25" customHeight="1">
      <c r="A240" s="8"/>
      <c r="B240" s="8"/>
    </row>
    <row r="241" ht="14.25" customHeight="1">
      <c r="A241" s="8"/>
      <c r="B241" s="8"/>
    </row>
    <row r="242" ht="14.25" customHeight="1">
      <c r="A242" s="8"/>
      <c r="B242" s="8"/>
    </row>
    <row r="243" ht="14.25" customHeight="1">
      <c r="A243" s="8"/>
      <c r="B243" s="8"/>
    </row>
    <row r="244" ht="14.25" customHeight="1">
      <c r="A244" s="8"/>
      <c r="B244" s="8"/>
    </row>
    <row r="245" ht="14.25" customHeight="1">
      <c r="A245" s="8"/>
      <c r="B245" s="8"/>
    </row>
    <row r="246" ht="14.25" customHeight="1">
      <c r="A246" s="8"/>
      <c r="B246" s="8"/>
    </row>
    <row r="247" ht="14.25" customHeight="1">
      <c r="A247" s="8"/>
      <c r="B247" s="8"/>
    </row>
    <row r="248" ht="14.25" customHeight="1">
      <c r="A248" s="8"/>
      <c r="B248" s="8"/>
    </row>
    <row r="249" ht="14.25" customHeight="1">
      <c r="A249" s="8"/>
      <c r="B249" s="8"/>
    </row>
    <row r="250" ht="14.25" customHeight="1">
      <c r="A250" s="8"/>
      <c r="B250" s="8"/>
    </row>
    <row r="251" ht="14.25" customHeight="1">
      <c r="A251" s="8"/>
      <c r="B251" s="8"/>
    </row>
    <row r="252" ht="14.25" customHeight="1">
      <c r="A252" s="8"/>
      <c r="B252" s="8"/>
    </row>
    <row r="253" ht="14.25" customHeight="1">
      <c r="A253" s="8"/>
      <c r="B253" s="8"/>
    </row>
    <row r="254" ht="14.25" customHeight="1">
      <c r="A254" s="8"/>
      <c r="B254" s="8"/>
    </row>
    <row r="255" ht="14.25" customHeight="1">
      <c r="A255" s="8"/>
      <c r="B255" s="8"/>
    </row>
    <row r="256" ht="14.25" customHeight="1">
      <c r="A256" s="8"/>
      <c r="B256" s="8"/>
    </row>
    <row r="257" ht="14.25" customHeight="1">
      <c r="A257" s="8"/>
      <c r="B257" s="8"/>
    </row>
    <row r="258" ht="14.25" customHeight="1">
      <c r="A258" s="8"/>
      <c r="B258" s="8"/>
    </row>
    <row r="259" ht="14.25" customHeight="1">
      <c r="A259" s="8"/>
      <c r="B259" s="8"/>
    </row>
    <row r="260" ht="14.25" customHeight="1">
      <c r="A260" s="8"/>
      <c r="B260" s="8"/>
    </row>
    <row r="261" ht="14.25" customHeight="1">
      <c r="A261" s="8"/>
      <c r="B261" s="8"/>
    </row>
    <row r="262" ht="14.25" customHeight="1">
      <c r="A262" s="8"/>
      <c r="B262" s="8"/>
    </row>
    <row r="263" ht="14.25" customHeight="1">
      <c r="A263" s="8"/>
      <c r="B263" s="8"/>
    </row>
    <row r="264" ht="14.25" customHeight="1">
      <c r="A264" s="8"/>
      <c r="B264" s="8"/>
    </row>
    <row r="265" ht="14.25" customHeight="1">
      <c r="A265" s="8"/>
      <c r="B265" s="8"/>
    </row>
    <row r="266" ht="14.25" customHeight="1">
      <c r="A266" s="8"/>
      <c r="B266" s="8"/>
    </row>
    <row r="267" ht="14.25" customHeight="1">
      <c r="A267" s="8"/>
      <c r="B267" s="8"/>
    </row>
    <row r="268" ht="14.25" customHeight="1">
      <c r="A268" s="8"/>
      <c r="B268" s="8"/>
    </row>
    <row r="269" ht="14.25" customHeight="1">
      <c r="A269" s="8"/>
      <c r="B269" s="8"/>
    </row>
    <row r="270" ht="14.25" customHeight="1">
      <c r="A270" s="8"/>
      <c r="B270" s="8"/>
    </row>
    <row r="271" ht="14.25" customHeight="1">
      <c r="A271" s="8"/>
      <c r="B271" s="8"/>
    </row>
    <row r="272" ht="14.25" customHeight="1">
      <c r="A272" s="8"/>
      <c r="B272" s="8"/>
    </row>
    <row r="273" ht="14.25" customHeight="1">
      <c r="A273" s="8"/>
      <c r="B273" s="8"/>
    </row>
    <row r="274" ht="14.25" customHeight="1">
      <c r="A274" s="8"/>
      <c r="B274" s="8"/>
    </row>
    <row r="275" ht="14.25" customHeight="1">
      <c r="A275" s="8"/>
      <c r="B275" s="8"/>
    </row>
    <row r="276" ht="14.25" customHeight="1">
      <c r="A276" s="8"/>
      <c r="B276" s="8"/>
    </row>
    <row r="277" ht="14.25" customHeight="1">
      <c r="A277" s="8"/>
      <c r="B277" s="8"/>
    </row>
    <row r="278" ht="14.25" customHeight="1">
      <c r="A278" s="8"/>
      <c r="B278" s="8"/>
    </row>
    <row r="279" ht="14.25" customHeight="1">
      <c r="A279" s="8"/>
      <c r="B279" s="8"/>
    </row>
    <row r="280" ht="14.25" customHeight="1">
      <c r="A280" s="8"/>
      <c r="B280" s="8"/>
    </row>
    <row r="281" ht="14.25" customHeight="1">
      <c r="A281" s="8"/>
      <c r="B281" s="8"/>
    </row>
    <row r="282" ht="14.25" customHeight="1">
      <c r="A282" s="8"/>
      <c r="B282" s="8"/>
    </row>
    <row r="283" ht="14.25" customHeight="1">
      <c r="A283" s="8"/>
      <c r="B283" s="8"/>
    </row>
    <row r="284" ht="14.25" customHeight="1">
      <c r="A284" s="8"/>
      <c r="B284" s="8"/>
    </row>
    <row r="285" ht="14.25" customHeight="1">
      <c r="A285" s="8"/>
      <c r="B285" s="8"/>
    </row>
    <row r="286" ht="14.25" customHeight="1">
      <c r="A286" s="8"/>
      <c r="B286" s="8"/>
    </row>
    <row r="287" ht="14.25" customHeight="1">
      <c r="A287" s="8"/>
      <c r="B287" s="8"/>
    </row>
    <row r="288" ht="14.25" customHeight="1">
      <c r="A288" s="8"/>
      <c r="B288" s="8"/>
    </row>
    <row r="289" ht="14.25" customHeight="1">
      <c r="A289" s="8"/>
      <c r="B289" s="8"/>
    </row>
    <row r="290" ht="14.25" customHeight="1">
      <c r="A290" s="8"/>
      <c r="B290" s="8"/>
    </row>
    <row r="291" ht="14.25" customHeight="1">
      <c r="A291" s="8"/>
      <c r="B291" s="8"/>
    </row>
    <row r="292" ht="14.25" customHeight="1">
      <c r="A292" s="8"/>
      <c r="B292" s="8"/>
    </row>
    <row r="293" ht="14.25" customHeight="1">
      <c r="A293" s="8"/>
      <c r="B293" s="8"/>
    </row>
    <row r="294" ht="14.25" customHeight="1">
      <c r="A294" s="8"/>
      <c r="B294" s="8"/>
    </row>
    <row r="295" ht="14.25" customHeight="1">
      <c r="A295" s="8"/>
      <c r="B295" s="8"/>
    </row>
    <row r="296" ht="14.25" customHeight="1">
      <c r="A296" s="8"/>
      <c r="B296" s="8"/>
    </row>
    <row r="297" ht="14.25" customHeight="1">
      <c r="A297" s="8"/>
      <c r="B297" s="8"/>
    </row>
    <row r="298" ht="14.25" customHeight="1">
      <c r="A298" s="8"/>
      <c r="B298" s="8"/>
    </row>
    <row r="299" ht="14.25" customHeight="1">
      <c r="A299" s="8"/>
      <c r="B299" s="8"/>
    </row>
    <row r="300" ht="14.25" customHeight="1">
      <c r="A300" s="8"/>
      <c r="B300" s="8"/>
    </row>
    <row r="301" ht="14.25" customHeight="1">
      <c r="A301" s="8"/>
      <c r="B301" s="8"/>
    </row>
    <row r="302" ht="14.25" customHeight="1">
      <c r="A302" s="8"/>
      <c r="B302" s="8"/>
    </row>
    <row r="303" ht="14.25" customHeight="1">
      <c r="A303" s="8"/>
      <c r="B303" s="8"/>
    </row>
    <row r="304" ht="14.25" customHeight="1">
      <c r="A304" s="8"/>
      <c r="B304" s="8"/>
    </row>
    <row r="305" ht="14.25" customHeight="1">
      <c r="A305" s="8"/>
      <c r="B305" s="8"/>
    </row>
    <row r="306" ht="14.25" customHeight="1">
      <c r="A306" s="8"/>
      <c r="B306" s="8"/>
    </row>
    <row r="307" ht="14.25" customHeight="1">
      <c r="A307" s="8"/>
      <c r="B307" s="8"/>
    </row>
    <row r="308" ht="14.25" customHeight="1">
      <c r="A308" s="8"/>
      <c r="B308" s="8"/>
    </row>
    <row r="309" ht="14.25" customHeight="1">
      <c r="A309" s="8"/>
      <c r="B309" s="8"/>
    </row>
    <row r="310" ht="14.25" customHeight="1">
      <c r="A310" s="8"/>
      <c r="B310" s="8"/>
    </row>
    <row r="311" ht="14.25" customHeight="1">
      <c r="A311" s="8"/>
      <c r="B311" s="8"/>
    </row>
    <row r="312" ht="14.25" customHeight="1">
      <c r="A312" s="8"/>
      <c r="B312" s="8"/>
    </row>
    <row r="313" ht="14.25" customHeight="1">
      <c r="A313" s="8"/>
      <c r="B313" s="8"/>
    </row>
    <row r="314" ht="14.25" customHeight="1">
      <c r="A314" s="8"/>
      <c r="B314" s="8"/>
    </row>
    <row r="315" ht="14.25" customHeight="1">
      <c r="A315" s="8"/>
      <c r="B315" s="8"/>
    </row>
    <row r="316" ht="14.25" customHeight="1">
      <c r="A316" s="8"/>
      <c r="B316" s="8"/>
    </row>
    <row r="317" ht="14.25" customHeight="1">
      <c r="A317" s="8"/>
      <c r="B317" s="8"/>
    </row>
    <row r="318" ht="14.25" customHeight="1">
      <c r="A318" s="8"/>
      <c r="B318" s="8"/>
    </row>
    <row r="319" ht="14.25" customHeight="1">
      <c r="A319" s="8"/>
      <c r="B319" s="8"/>
    </row>
    <row r="320" ht="14.25" customHeight="1">
      <c r="A320" s="8"/>
      <c r="B320" s="8"/>
    </row>
    <row r="321" ht="14.25" customHeight="1">
      <c r="A321" s="8"/>
      <c r="B321" s="8"/>
    </row>
    <row r="322" ht="14.25" customHeight="1">
      <c r="A322" s="8"/>
      <c r="B322" s="8"/>
    </row>
    <row r="323" ht="14.25" customHeight="1">
      <c r="A323" s="8"/>
      <c r="B323" s="8"/>
    </row>
    <row r="324" ht="14.25" customHeight="1">
      <c r="A324" s="8"/>
      <c r="B324" s="8"/>
    </row>
    <row r="325" ht="14.25" customHeight="1">
      <c r="A325" s="8"/>
      <c r="B325" s="8"/>
    </row>
    <row r="326" ht="14.25" customHeight="1">
      <c r="A326" s="8"/>
      <c r="B326" s="8"/>
    </row>
    <row r="327" ht="14.25" customHeight="1">
      <c r="A327" s="8"/>
      <c r="B327" s="8"/>
    </row>
    <row r="328" ht="14.25" customHeight="1">
      <c r="A328" s="8"/>
      <c r="B328" s="8"/>
    </row>
    <row r="329" ht="14.25" customHeight="1">
      <c r="A329" s="8"/>
      <c r="B329" s="8"/>
    </row>
    <row r="330" ht="14.25" customHeight="1">
      <c r="A330" s="8"/>
      <c r="B330" s="8"/>
    </row>
    <row r="331" ht="14.25" customHeight="1">
      <c r="A331" s="8"/>
      <c r="B331" s="8"/>
    </row>
    <row r="332" ht="14.25" customHeight="1">
      <c r="A332" s="8"/>
      <c r="B332" s="8"/>
    </row>
    <row r="333" ht="14.25" customHeight="1">
      <c r="A333" s="8"/>
      <c r="B333" s="8"/>
    </row>
    <row r="334" ht="14.25" customHeight="1">
      <c r="A334" s="8"/>
      <c r="B334" s="8"/>
    </row>
    <row r="335" ht="14.25" customHeight="1">
      <c r="A335" s="8"/>
      <c r="B335" s="8"/>
    </row>
    <row r="336" ht="14.25" customHeight="1">
      <c r="A336" s="8"/>
      <c r="B336" s="8"/>
    </row>
    <row r="337" ht="14.25" customHeight="1">
      <c r="A337" s="8"/>
      <c r="B337" s="8"/>
    </row>
    <row r="338" ht="14.25" customHeight="1">
      <c r="A338" s="8"/>
      <c r="B338" s="8"/>
    </row>
    <row r="339" ht="14.25" customHeight="1">
      <c r="A339" s="8"/>
      <c r="B339" s="8"/>
    </row>
    <row r="340" ht="14.25" customHeight="1">
      <c r="A340" s="8"/>
      <c r="B340" s="8"/>
    </row>
    <row r="341" ht="14.25" customHeight="1">
      <c r="A341" s="8"/>
      <c r="B341" s="8"/>
    </row>
    <row r="342" ht="14.25" customHeight="1">
      <c r="A342" s="8"/>
      <c r="B342" s="8"/>
    </row>
    <row r="343" ht="14.25" customHeight="1">
      <c r="A343" s="8"/>
      <c r="B343" s="8"/>
    </row>
    <row r="344" ht="14.25" customHeight="1">
      <c r="A344" s="8"/>
      <c r="B344" s="8"/>
    </row>
    <row r="345" ht="14.25" customHeight="1">
      <c r="A345" s="8"/>
      <c r="B345" s="8"/>
    </row>
    <row r="346" ht="14.25" customHeight="1">
      <c r="A346" s="8"/>
      <c r="B346" s="8"/>
    </row>
    <row r="347" ht="14.25" customHeight="1">
      <c r="A347" s="8"/>
      <c r="B347" s="8"/>
    </row>
    <row r="348" ht="14.25" customHeight="1">
      <c r="A348" s="8"/>
      <c r="B348" s="8"/>
    </row>
    <row r="349" ht="14.25" customHeight="1">
      <c r="A349" s="8"/>
      <c r="B349" s="8"/>
    </row>
    <row r="350" ht="14.25" customHeight="1">
      <c r="A350" s="8"/>
      <c r="B350" s="8"/>
    </row>
    <row r="351" ht="14.25" customHeight="1">
      <c r="A351" s="8"/>
      <c r="B351" s="8"/>
    </row>
    <row r="352" ht="14.25" customHeight="1">
      <c r="A352" s="8"/>
      <c r="B352" s="8"/>
    </row>
    <row r="353" ht="14.25" customHeight="1">
      <c r="A353" s="8"/>
      <c r="B353" s="8"/>
    </row>
    <row r="354" ht="14.25" customHeight="1">
      <c r="A354" s="8"/>
      <c r="B354" s="8"/>
    </row>
    <row r="355" ht="14.25" customHeight="1">
      <c r="A355" s="8"/>
      <c r="B355" s="8"/>
    </row>
    <row r="356" ht="14.25" customHeight="1">
      <c r="A356" s="8"/>
      <c r="B356" s="8"/>
    </row>
    <row r="357" ht="14.25" customHeight="1">
      <c r="A357" s="8"/>
      <c r="B357" s="8"/>
    </row>
    <row r="358" ht="14.25" customHeight="1">
      <c r="A358" s="8"/>
      <c r="B358" s="8"/>
    </row>
    <row r="359" ht="14.25" customHeight="1">
      <c r="A359" s="8"/>
      <c r="B359" s="8"/>
    </row>
    <row r="360" ht="14.25" customHeight="1">
      <c r="A360" s="8"/>
      <c r="B360" s="8"/>
    </row>
    <row r="361" ht="14.25" customHeight="1">
      <c r="A361" s="8"/>
      <c r="B361" s="8"/>
    </row>
    <row r="362" ht="14.25" customHeight="1">
      <c r="A362" s="8"/>
      <c r="B362" s="8"/>
    </row>
    <row r="363" ht="14.25" customHeight="1">
      <c r="A363" s="8"/>
      <c r="B363" s="8"/>
    </row>
    <row r="364" ht="14.25" customHeight="1">
      <c r="A364" s="8"/>
      <c r="B364" s="8"/>
    </row>
    <row r="365" ht="14.25" customHeight="1">
      <c r="A365" s="8"/>
      <c r="B365" s="8"/>
    </row>
    <row r="366" ht="14.25" customHeight="1">
      <c r="A366" s="8"/>
      <c r="B366" s="8"/>
    </row>
    <row r="367" ht="14.25" customHeight="1">
      <c r="A367" s="8"/>
      <c r="B367" s="8"/>
    </row>
    <row r="368" ht="14.25" customHeight="1">
      <c r="A368" s="8"/>
      <c r="B368" s="8"/>
    </row>
    <row r="369" ht="14.25" customHeight="1">
      <c r="A369" s="8"/>
      <c r="B369" s="8"/>
    </row>
    <row r="370" ht="14.25" customHeight="1">
      <c r="A370" s="8"/>
      <c r="B370" s="8"/>
    </row>
    <row r="371" ht="14.25" customHeight="1">
      <c r="A371" s="8"/>
      <c r="B371" s="8"/>
    </row>
    <row r="372" ht="14.25" customHeight="1">
      <c r="A372" s="8"/>
      <c r="B372" s="8"/>
    </row>
    <row r="373" ht="14.25" customHeight="1">
      <c r="A373" s="8"/>
      <c r="B373" s="8"/>
    </row>
    <row r="374" ht="14.25" customHeight="1">
      <c r="A374" s="8"/>
      <c r="B374" s="8"/>
    </row>
    <row r="375" ht="14.25" customHeight="1">
      <c r="A375" s="8"/>
      <c r="B375" s="8"/>
    </row>
    <row r="376" ht="14.25" customHeight="1">
      <c r="A376" s="8"/>
      <c r="B376" s="8"/>
    </row>
    <row r="377" ht="14.25" customHeight="1">
      <c r="A377" s="8"/>
      <c r="B377" s="8"/>
    </row>
    <row r="378" ht="14.25" customHeight="1">
      <c r="A378" s="8"/>
      <c r="B378" s="8"/>
    </row>
    <row r="379" ht="14.25" customHeight="1">
      <c r="A379" s="8"/>
      <c r="B379" s="8"/>
    </row>
    <row r="380" ht="14.25" customHeight="1">
      <c r="A380" s="8"/>
      <c r="B380" s="8"/>
    </row>
    <row r="381" ht="14.25" customHeight="1">
      <c r="A381" s="8"/>
      <c r="B381" s="8"/>
    </row>
    <row r="382" ht="14.25" customHeight="1">
      <c r="A382" s="8"/>
      <c r="B382" s="8"/>
    </row>
    <row r="383" ht="14.25" customHeight="1">
      <c r="A383" s="8"/>
      <c r="B383" s="8"/>
    </row>
    <row r="384" ht="14.25" customHeight="1">
      <c r="A384" s="8"/>
      <c r="B384" s="8"/>
    </row>
    <row r="385" ht="14.25" customHeight="1">
      <c r="A385" s="8"/>
      <c r="B385" s="8"/>
    </row>
    <row r="386" ht="14.25" customHeight="1">
      <c r="A386" s="8"/>
      <c r="B386" s="8"/>
    </row>
    <row r="387" ht="14.25" customHeight="1">
      <c r="A387" s="8"/>
      <c r="B387" s="8"/>
    </row>
    <row r="388" ht="14.25" customHeight="1">
      <c r="A388" s="8"/>
      <c r="B388" s="8"/>
    </row>
    <row r="389" ht="14.25" customHeight="1">
      <c r="A389" s="8"/>
      <c r="B389" s="8"/>
    </row>
    <row r="390" ht="14.25" customHeight="1">
      <c r="A390" s="8"/>
      <c r="B390" s="8"/>
    </row>
    <row r="391" ht="14.25" customHeight="1">
      <c r="A391" s="8"/>
      <c r="B391" s="8"/>
    </row>
    <row r="392" ht="14.25" customHeight="1">
      <c r="A392" s="8"/>
      <c r="B392" s="8"/>
    </row>
    <row r="393" ht="14.25" customHeight="1">
      <c r="A393" s="8"/>
      <c r="B393" s="8"/>
    </row>
    <row r="394" ht="14.25" customHeight="1">
      <c r="A394" s="8"/>
      <c r="B394" s="8"/>
    </row>
    <row r="395" ht="14.25" customHeight="1">
      <c r="A395" s="8"/>
      <c r="B395" s="8"/>
    </row>
    <row r="396" ht="14.25" customHeight="1">
      <c r="A396" s="8"/>
      <c r="B396" s="8"/>
    </row>
    <row r="397" ht="14.25" customHeight="1">
      <c r="A397" s="8"/>
      <c r="B397" s="8"/>
    </row>
    <row r="398" ht="14.25" customHeight="1">
      <c r="A398" s="8"/>
      <c r="B398" s="8"/>
    </row>
    <row r="399" ht="14.25" customHeight="1">
      <c r="A399" s="8"/>
      <c r="B399" s="8"/>
    </row>
    <row r="400" ht="14.25" customHeight="1">
      <c r="A400" s="8"/>
      <c r="B400" s="8"/>
    </row>
    <row r="401" ht="14.25" customHeight="1">
      <c r="A401" s="8"/>
      <c r="B401" s="8"/>
    </row>
    <row r="402" ht="14.25" customHeight="1">
      <c r="A402" s="8"/>
      <c r="B402" s="8"/>
    </row>
    <row r="403" ht="14.25" customHeight="1">
      <c r="A403" s="8"/>
      <c r="B403" s="8"/>
    </row>
    <row r="404" ht="14.25" customHeight="1">
      <c r="A404" s="8"/>
      <c r="B404" s="8"/>
    </row>
    <row r="405" ht="14.25" customHeight="1">
      <c r="A405" s="8"/>
      <c r="B405" s="8"/>
    </row>
    <row r="406" ht="14.25" customHeight="1">
      <c r="A406" s="8"/>
      <c r="B406" s="8"/>
    </row>
    <row r="407" ht="14.25" customHeight="1">
      <c r="A407" s="8"/>
      <c r="B407" s="8"/>
    </row>
    <row r="408" ht="14.25" customHeight="1">
      <c r="A408" s="8"/>
      <c r="B408" s="8"/>
    </row>
    <row r="409" ht="14.25" customHeight="1">
      <c r="A409" s="8"/>
      <c r="B409" s="8"/>
    </row>
    <row r="410" ht="14.25" customHeight="1">
      <c r="A410" s="8"/>
      <c r="B410" s="8"/>
    </row>
    <row r="411" ht="14.25" customHeight="1">
      <c r="A411" s="8"/>
      <c r="B411" s="8"/>
    </row>
    <row r="412" ht="14.25" customHeight="1">
      <c r="A412" s="8"/>
      <c r="B412" s="8"/>
    </row>
    <row r="413" ht="14.25" customHeight="1">
      <c r="A413" s="8"/>
      <c r="B413" s="8"/>
    </row>
    <row r="414" ht="14.25" customHeight="1">
      <c r="A414" s="8"/>
      <c r="B414" s="8"/>
    </row>
    <row r="415" ht="14.25" customHeight="1">
      <c r="A415" s="8"/>
      <c r="B415" s="8"/>
    </row>
    <row r="416" ht="14.25" customHeight="1">
      <c r="A416" s="8"/>
      <c r="B416" s="8"/>
    </row>
    <row r="417" ht="14.25" customHeight="1">
      <c r="A417" s="8"/>
      <c r="B417" s="8"/>
    </row>
    <row r="418" ht="14.25" customHeight="1">
      <c r="A418" s="8"/>
      <c r="B418" s="8"/>
    </row>
    <row r="419" ht="14.25" customHeight="1">
      <c r="A419" s="8"/>
      <c r="B419" s="8"/>
    </row>
    <row r="420" ht="14.25" customHeight="1">
      <c r="A420" s="8"/>
      <c r="B420" s="8"/>
    </row>
    <row r="421" ht="14.25" customHeight="1">
      <c r="A421" s="8"/>
      <c r="B421" s="8"/>
    </row>
    <row r="422" ht="14.25" customHeight="1">
      <c r="A422" s="8"/>
      <c r="B422" s="8"/>
    </row>
    <row r="423" ht="14.25" customHeight="1">
      <c r="A423" s="8"/>
      <c r="B423" s="8"/>
    </row>
    <row r="424" ht="14.25" customHeight="1">
      <c r="A424" s="8"/>
      <c r="B424" s="8"/>
    </row>
    <row r="425" ht="14.25" customHeight="1">
      <c r="A425" s="8"/>
      <c r="B425" s="8"/>
    </row>
    <row r="426" ht="14.25" customHeight="1">
      <c r="A426" s="8"/>
      <c r="B426" s="8"/>
    </row>
    <row r="427" ht="14.25" customHeight="1">
      <c r="A427" s="8"/>
      <c r="B427" s="8"/>
    </row>
    <row r="428" ht="14.25" customHeight="1">
      <c r="A428" s="8"/>
      <c r="B428" s="8"/>
    </row>
    <row r="429" ht="14.25" customHeight="1">
      <c r="A429" s="8"/>
      <c r="B429" s="8"/>
    </row>
    <row r="430" ht="14.25" customHeight="1">
      <c r="A430" s="8"/>
      <c r="B430" s="8"/>
    </row>
    <row r="431" ht="14.25" customHeight="1">
      <c r="A431" s="8"/>
      <c r="B431" s="8"/>
    </row>
    <row r="432" ht="14.25" customHeight="1">
      <c r="A432" s="8"/>
      <c r="B432" s="8"/>
    </row>
    <row r="433" ht="14.25" customHeight="1">
      <c r="A433" s="8"/>
      <c r="B433" s="8"/>
    </row>
    <row r="434" ht="14.25" customHeight="1">
      <c r="A434" s="8"/>
      <c r="B434" s="8"/>
    </row>
    <row r="435" ht="14.25" customHeight="1">
      <c r="A435" s="8"/>
      <c r="B435" s="8"/>
    </row>
    <row r="436" ht="14.25" customHeight="1">
      <c r="A436" s="8"/>
      <c r="B436" s="8"/>
    </row>
    <row r="437" ht="14.25" customHeight="1">
      <c r="A437" s="8"/>
      <c r="B437" s="8"/>
    </row>
    <row r="438" ht="14.25" customHeight="1">
      <c r="A438" s="8"/>
      <c r="B438" s="8"/>
    </row>
    <row r="439" ht="14.25" customHeight="1">
      <c r="A439" s="8"/>
      <c r="B439" s="8"/>
    </row>
    <row r="440" ht="14.25" customHeight="1">
      <c r="A440" s="8"/>
      <c r="B440" s="8"/>
    </row>
    <row r="441" ht="14.25" customHeight="1">
      <c r="A441" s="8"/>
      <c r="B441" s="8"/>
    </row>
    <row r="442" ht="14.25" customHeight="1">
      <c r="A442" s="8"/>
      <c r="B442" s="8"/>
    </row>
    <row r="443" ht="14.25" customHeight="1">
      <c r="A443" s="8"/>
      <c r="B443" s="8"/>
    </row>
    <row r="444" ht="14.25" customHeight="1">
      <c r="A444" s="8"/>
      <c r="B444" s="8"/>
    </row>
    <row r="445" ht="14.25" customHeight="1">
      <c r="A445" s="8"/>
      <c r="B445" s="8"/>
    </row>
    <row r="446" ht="14.25" customHeight="1">
      <c r="A446" s="8"/>
      <c r="B446" s="8"/>
    </row>
    <row r="447" ht="14.25" customHeight="1">
      <c r="A447" s="8"/>
      <c r="B447" s="8"/>
    </row>
    <row r="448" ht="14.25" customHeight="1">
      <c r="A448" s="8"/>
      <c r="B448" s="8"/>
    </row>
    <row r="449" ht="14.25" customHeight="1">
      <c r="A449" s="8"/>
      <c r="B449" s="8"/>
    </row>
    <row r="450" ht="14.25" customHeight="1">
      <c r="A450" s="8"/>
      <c r="B450" s="8"/>
    </row>
    <row r="451" ht="14.25" customHeight="1">
      <c r="A451" s="8"/>
      <c r="B451" s="8"/>
    </row>
    <row r="452" ht="14.25" customHeight="1">
      <c r="A452" s="8"/>
      <c r="B452" s="8"/>
    </row>
    <row r="453" ht="14.25" customHeight="1">
      <c r="A453" s="8"/>
      <c r="B453" s="8"/>
    </row>
    <row r="454" ht="14.25" customHeight="1">
      <c r="A454" s="8"/>
      <c r="B454" s="8"/>
    </row>
    <row r="455" ht="14.25" customHeight="1">
      <c r="A455" s="8"/>
      <c r="B455" s="8"/>
    </row>
    <row r="456" ht="14.25" customHeight="1">
      <c r="A456" s="8"/>
      <c r="B456" s="8"/>
    </row>
    <row r="457" ht="14.25" customHeight="1">
      <c r="A457" s="8"/>
      <c r="B457" s="8"/>
    </row>
    <row r="458" ht="14.25" customHeight="1">
      <c r="A458" s="8"/>
      <c r="B458" s="8"/>
    </row>
    <row r="459" ht="14.25" customHeight="1">
      <c r="A459" s="8"/>
      <c r="B459" s="8"/>
    </row>
    <row r="460" ht="14.25" customHeight="1">
      <c r="A460" s="8"/>
      <c r="B460" s="8"/>
    </row>
    <row r="461" ht="14.25" customHeight="1">
      <c r="A461" s="8"/>
      <c r="B461" s="8"/>
    </row>
    <row r="462" ht="14.25" customHeight="1">
      <c r="A462" s="8"/>
      <c r="B462" s="8"/>
    </row>
    <row r="463" ht="14.25" customHeight="1">
      <c r="A463" s="8"/>
      <c r="B463" s="8"/>
    </row>
    <row r="464" ht="14.25" customHeight="1">
      <c r="A464" s="8"/>
      <c r="B464" s="8"/>
    </row>
    <row r="465" ht="14.25" customHeight="1">
      <c r="A465" s="8"/>
      <c r="B465" s="8"/>
    </row>
    <row r="466" ht="14.25" customHeight="1">
      <c r="A466" s="8"/>
      <c r="B466" s="8"/>
    </row>
    <row r="467" ht="14.25" customHeight="1">
      <c r="A467" s="8"/>
      <c r="B467" s="8"/>
    </row>
    <row r="468" ht="14.25" customHeight="1">
      <c r="A468" s="8"/>
      <c r="B468" s="8"/>
    </row>
    <row r="469" ht="14.25" customHeight="1">
      <c r="A469" s="8"/>
      <c r="B469" s="8"/>
    </row>
    <row r="470" ht="14.25" customHeight="1">
      <c r="A470" s="8"/>
      <c r="B470" s="8"/>
    </row>
    <row r="471" ht="14.25" customHeight="1">
      <c r="A471" s="8"/>
      <c r="B471" s="8"/>
    </row>
    <row r="472" ht="14.25" customHeight="1">
      <c r="A472" s="8"/>
      <c r="B472" s="8"/>
    </row>
    <row r="473" ht="14.25" customHeight="1">
      <c r="A473" s="8"/>
      <c r="B473" s="8"/>
    </row>
    <row r="474" ht="14.25" customHeight="1">
      <c r="A474" s="8"/>
      <c r="B474" s="8"/>
    </row>
    <row r="475" ht="14.25" customHeight="1">
      <c r="A475" s="8"/>
      <c r="B475" s="8"/>
    </row>
    <row r="476" ht="14.25" customHeight="1">
      <c r="A476" s="8"/>
      <c r="B476" s="8"/>
    </row>
    <row r="477" ht="14.25" customHeight="1">
      <c r="A477" s="8"/>
      <c r="B477" s="8"/>
    </row>
    <row r="478" ht="14.25" customHeight="1">
      <c r="A478" s="8"/>
      <c r="B478" s="8"/>
    </row>
    <row r="479" ht="14.25" customHeight="1">
      <c r="A479" s="8"/>
      <c r="B479" s="8"/>
    </row>
    <row r="480" ht="14.25" customHeight="1">
      <c r="A480" s="8"/>
      <c r="B480" s="8"/>
    </row>
    <row r="481" ht="14.25" customHeight="1">
      <c r="A481" s="8"/>
      <c r="B481" s="8"/>
    </row>
    <row r="482" ht="14.25" customHeight="1">
      <c r="A482" s="8"/>
      <c r="B482" s="8"/>
    </row>
    <row r="483" ht="14.25" customHeight="1">
      <c r="A483" s="8"/>
      <c r="B483" s="8"/>
    </row>
    <row r="484" ht="14.25" customHeight="1">
      <c r="A484" s="8"/>
      <c r="B484" s="8"/>
    </row>
    <row r="485" ht="14.25" customHeight="1">
      <c r="A485" s="8"/>
      <c r="B485" s="8"/>
    </row>
    <row r="486" ht="14.25" customHeight="1">
      <c r="A486" s="8"/>
      <c r="B486" s="8"/>
    </row>
    <row r="487" ht="14.25" customHeight="1">
      <c r="A487" s="8"/>
      <c r="B487" s="8"/>
    </row>
    <row r="488" ht="14.25" customHeight="1">
      <c r="A488" s="8"/>
      <c r="B488" s="8"/>
    </row>
    <row r="489" ht="14.25" customHeight="1">
      <c r="A489" s="8"/>
      <c r="B489" s="8"/>
    </row>
    <row r="490" ht="14.25" customHeight="1">
      <c r="A490" s="8"/>
      <c r="B490" s="8"/>
    </row>
    <row r="491" ht="14.25" customHeight="1">
      <c r="A491" s="8"/>
      <c r="B491" s="8"/>
    </row>
    <row r="492" ht="14.25" customHeight="1">
      <c r="A492" s="8"/>
      <c r="B492" s="8"/>
    </row>
    <row r="493" ht="14.25" customHeight="1">
      <c r="A493" s="8"/>
      <c r="B493" s="8"/>
    </row>
    <row r="494" ht="14.25" customHeight="1">
      <c r="A494" s="8"/>
      <c r="B494" s="8"/>
    </row>
    <row r="495" ht="14.25" customHeight="1">
      <c r="A495" s="8"/>
      <c r="B495" s="8"/>
    </row>
    <row r="496" ht="14.25" customHeight="1">
      <c r="A496" s="8"/>
      <c r="B496" s="8"/>
    </row>
    <row r="497" ht="14.25" customHeight="1">
      <c r="A497" s="8"/>
      <c r="B497" s="8"/>
    </row>
    <row r="498" ht="14.25" customHeight="1">
      <c r="A498" s="8"/>
      <c r="B498" s="8"/>
    </row>
    <row r="499" ht="14.25" customHeight="1">
      <c r="A499" s="8"/>
      <c r="B499" s="8"/>
    </row>
    <row r="500" ht="14.25" customHeight="1">
      <c r="A500" s="8"/>
      <c r="B500" s="8"/>
    </row>
    <row r="501" ht="14.25" customHeight="1">
      <c r="A501" s="8"/>
      <c r="B501" s="8"/>
    </row>
    <row r="502" ht="14.25" customHeight="1">
      <c r="A502" s="8"/>
      <c r="B502" s="8"/>
    </row>
    <row r="503" ht="14.25" customHeight="1">
      <c r="A503" s="8"/>
      <c r="B503" s="8"/>
    </row>
    <row r="504" ht="14.25" customHeight="1">
      <c r="A504" s="8"/>
      <c r="B504" s="8"/>
    </row>
    <row r="505" ht="14.25" customHeight="1">
      <c r="A505" s="8"/>
      <c r="B505" s="8"/>
    </row>
    <row r="506" ht="14.25" customHeight="1">
      <c r="A506" s="8"/>
      <c r="B506" s="8"/>
    </row>
    <row r="507" ht="14.25" customHeight="1">
      <c r="A507" s="8"/>
      <c r="B507" s="8"/>
    </row>
    <row r="508" ht="14.25" customHeight="1">
      <c r="A508" s="8"/>
      <c r="B508" s="8"/>
    </row>
    <row r="509" ht="14.25" customHeight="1">
      <c r="A509" s="8"/>
      <c r="B509" s="8"/>
    </row>
    <row r="510" ht="14.25" customHeight="1">
      <c r="A510" s="8"/>
      <c r="B510" s="8"/>
    </row>
    <row r="511" ht="14.25" customHeight="1">
      <c r="A511" s="8"/>
      <c r="B511" s="8"/>
    </row>
    <row r="512" ht="14.25" customHeight="1">
      <c r="A512" s="8"/>
      <c r="B512" s="8"/>
    </row>
    <row r="513" ht="14.25" customHeight="1">
      <c r="A513" s="8"/>
      <c r="B513" s="8"/>
    </row>
    <row r="514" ht="14.25" customHeight="1">
      <c r="A514" s="8"/>
      <c r="B514" s="8"/>
    </row>
    <row r="515" ht="14.25" customHeight="1">
      <c r="A515" s="8"/>
      <c r="B515" s="8"/>
    </row>
    <row r="516" ht="14.25" customHeight="1">
      <c r="A516" s="8"/>
      <c r="B516" s="8"/>
    </row>
    <row r="517" ht="14.25" customHeight="1">
      <c r="A517" s="8"/>
      <c r="B517" s="8"/>
    </row>
    <row r="518" ht="14.25" customHeight="1">
      <c r="A518" s="8"/>
      <c r="B518" s="8"/>
    </row>
    <row r="519" ht="14.25" customHeight="1">
      <c r="A519" s="8"/>
      <c r="B519" s="8"/>
    </row>
    <row r="520" ht="14.25" customHeight="1">
      <c r="A520" s="8"/>
      <c r="B520" s="8"/>
    </row>
    <row r="521" ht="14.25" customHeight="1">
      <c r="A521" s="8"/>
      <c r="B521" s="8"/>
    </row>
    <row r="522" ht="14.25" customHeight="1">
      <c r="A522" s="8"/>
      <c r="B522" s="8"/>
    </row>
    <row r="523" ht="14.25" customHeight="1">
      <c r="A523" s="8"/>
      <c r="B523" s="8"/>
    </row>
    <row r="524" ht="14.25" customHeight="1">
      <c r="A524" s="8"/>
      <c r="B524" s="8"/>
    </row>
    <row r="525" ht="14.25" customHeight="1">
      <c r="A525" s="8"/>
      <c r="B525" s="8"/>
    </row>
    <row r="526" ht="14.25" customHeight="1">
      <c r="A526" s="8"/>
      <c r="B526" s="8"/>
    </row>
    <row r="527" ht="14.25" customHeight="1">
      <c r="A527" s="8"/>
      <c r="B527" s="8"/>
    </row>
    <row r="528" ht="14.25" customHeight="1">
      <c r="A528" s="8"/>
      <c r="B528" s="8"/>
    </row>
    <row r="529" ht="14.25" customHeight="1">
      <c r="A529" s="8"/>
      <c r="B529" s="8"/>
    </row>
    <row r="530" ht="14.25" customHeight="1">
      <c r="A530" s="8"/>
      <c r="B530" s="8"/>
    </row>
    <row r="531" ht="14.25" customHeight="1">
      <c r="A531" s="8"/>
      <c r="B531" s="8"/>
    </row>
    <row r="532" ht="14.25" customHeight="1">
      <c r="A532" s="8"/>
      <c r="B532" s="8"/>
    </row>
    <row r="533" ht="14.25" customHeight="1">
      <c r="A533" s="8"/>
      <c r="B533" s="8"/>
    </row>
    <row r="534" ht="14.25" customHeight="1">
      <c r="A534" s="8"/>
      <c r="B534" s="8"/>
    </row>
    <row r="535" ht="14.25" customHeight="1">
      <c r="A535" s="8"/>
      <c r="B535" s="8"/>
    </row>
    <row r="536" ht="14.25" customHeight="1">
      <c r="A536" s="8"/>
      <c r="B536" s="8"/>
    </row>
    <row r="537" ht="14.25" customHeight="1">
      <c r="A537" s="8"/>
      <c r="B537" s="8"/>
    </row>
    <row r="538" ht="14.25" customHeight="1">
      <c r="A538" s="8"/>
      <c r="B538" s="8"/>
    </row>
    <row r="539" ht="14.25" customHeight="1">
      <c r="A539" s="8"/>
      <c r="B539" s="8"/>
    </row>
    <row r="540" ht="14.25" customHeight="1">
      <c r="A540" s="8"/>
      <c r="B540" s="8"/>
    </row>
    <row r="541" ht="14.25" customHeight="1">
      <c r="A541" s="8"/>
      <c r="B541" s="8"/>
    </row>
    <row r="542" ht="14.25" customHeight="1">
      <c r="A542" s="8"/>
      <c r="B542" s="8"/>
    </row>
    <row r="543" ht="14.25" customHeight="1">
      <c r="A543" s="8"/>
      <c r="B543" s="8"/>
    </row>
    <row r="544" ht="14.25" customHeight="1">
      <c r="A544" s="8"/>
      <c r="B544" s="8"/>
    </row>
    <row r="545" ht="14.25" customHeight="1">
      <c r="A545" s="8"/>
      <c r="B545" s="8"/>
    </row>
    <row r="546" ht="14.25" customHeight="1">
      <c r="A546" s="8"/>
      <c r="B546" s="8"/>
    </row>
    <row r="547" ht="14.25" customHeight="1">
      <c r="A547" s="8"/>
      <c r="B547" s="8"/>
    </row>
    <row r="548" ht="14.25" customHeight="1">
      <c r="A548" s="8"/>
      <c r="B548" s="8"/>
    </row>
    <row r="549" ht="14.25" customHeight="1">
      <c r="A549" s="8"/>
      <c r="B549" s="8"/>
    </row>
    <row r="550" ht="14.25" customHeight="1">
      <c r="A550" s="8"/>
      <c r="B550" s="8"/>
    </row>
    <row r="551" ht="14.25" customHeight="1">
      <c r="A551" s="8"/>
      <c r="B551" s="8"/>
    </row>
    <row r="552" ht="14.25" customHeight="1">
      <c r="A552" s="8"/>
      <c r="B552" s="8"/>
    </row>
    <row r="553" ht="14.25" customHeight="1">
      <c r="A553" s="8"/>
      <c r="B553" s="8"/>
    </row>
    <row r="554" ht="14.25" customHeight="1">
      <c r="A554" s="8"/>
      <c r="B554" s="8"/>
    </row>
    <row r="555" ht="14.25" customHeight="1">
      <c r="A555" s="8"/>
      <c r="B555" s="8"/>
    </row>
    <row r="556" ht="14.25" customHeight="1">
      <c r="A556" s="8"/>
      <c r="B556" s="8"/>
    </row>
    <row r="557" ht="14.25" customHeight="1">
      <c r="A557" s="8"/>
      <c r="B557" s="8"/>
    </row>
    <row r="558" ht="14.25" customHeight="1">
      <c r="A558" s="8"/>
      <c r="B558" s="8"/>
    </row>
    <row r="559" ht="14.25" customHeight="1">
      <c r="A559" s="8"/>
      <c r="B559" s="8"/>
    </row>
    <row r="560" ht="14.25" customHeight="1">
      <c r="A560" s="8"/>
      <c r="B560" s="8"/>
    </row>
    <row r="561" ht="14.25" customHeight="1">
      <c r="A561" s="8"/>
      <c r="B561" s="8"/>
    </row>
    <row r="562" ht="14.25" customHeight="1">
      <c r="A562" s="8"/>
      <c r="B562" s="8"/>
    </row>
    <row r="563" ht="14.25" customHeight="1">
      <c r="A563" s="8"/>
      <c r="B563" s="8"/>
    </row>
    <row r="564" ht="14.25" customHeight="1">
      <c r="A564" s="8"/>
      <c r="B564" s="8"/>
    </row>
    <row r="565" ht="14.25" customHeight="1">
      <c r="A565" s="8"/>
      <c r="B565" s="8"/>
    </row>
    <row r="566" ht="14.25" customHeight="1">
      <c r="A566" s="8"/>
      <c r="B566" s="8"/>
    </row>
    <row r="567" ht="14.25" customHeight="1">
      <c r="A567" s="8"/>
      <c r="B567" s="8"/>
    </row>
    <row r="568" ht="14.25" customHeight="1">
      <c r="A568" s="8"/>
      <c r="B568" s="8"/>
    </row>
    <row r="569" ht="14.25" customHeight="1">
      <c r="A569" s="8"/>
      <c r="B569" s="8"/>
    </row>
    <row r="570" ht="14.25" customHeight="1">
      <c r="A570" s="8"/>
      <c r="B570" s="8"/>
    </row>
    <row r="571" ht="14.25" customHeight="1">
      <c r="A571" s="8"/>
      <c r="B571" s="8"/>
    </row>
    <row r="572" ht="14.25" customHeight="1">
      <c r="A572" s="8"/>
      <c r="B572" s="8"/>
    </row>
    <row r="573" ht="14.25" customHeight="1">
      <c r="A573" s="8"/>
      <c r="B573" s="8"/>
    </row>
    <row r="574" ht="14.25" customHeight="1">
      <c r="A574" s="8"/>
      <c r="B574" s="8"/>
    </row>
    <row r="575" ht="14.25" customHeight="1">
      <c r="A575" s="8"/>
      <c r="B575" s="8"/>
    </row>
    <row r="576" ht="14.25" customHeight="1">
      <c r="A576" s="8"/>
      <c r="B576" s="8"/>
    </row>
    <row r="577" ht="14.25" customHeight="1">
      <c r="A577" s="8"/>
      <c r="B577" s="8"/>
    </row>
    <row r="578" ht="14.25" customHeight="1">
      <c r="A578" s="8"/>
      <c r="B578" s="8"/>
    </row>
    <row r="579" ht="14.25" customHeight="1">
      <c r="A579" s="8"/>
      <c r="B579" s="8"/>
    </row>
    <row r="580" ht="14.25" customHeight="1">
      <c r="A580" s="8"/>
      <c r="B580" s="8"/>
    </row>
    <row r="581" ht="14.25" customHeight="1">
      <c r="A581" s="8"/>
      <c r="B581" s="8"/>
    </row>
    <row r="582" ht="14.25" customHeight="1">
      <c r="A582" s="8"/>
      <c r="B582" s="8"/>
    </row>
    <row r="583" ht="14.25" customHeight="1">
      <c r="A583" s="8"/>
      <c r="B583" s="8"/>
    </row>
    <row r="584" ht="14.25" customHeight="1">
      <c r="A584" s="8"/>
      <c r="B584" s="8"/>
    </row>
    <row r="585" ht="14.25" customHeight="1">
      <c r="A585" s="8"/>
      <c r="B585" s="8"/>
    </row>
    <row r="586" ht="14.25" customHeight="1">
      <c r="A586" s="8"/>
      <c r="B586" s="8"/>
    </row>
    <row r="587" ht="14.25" customHeight="1">
      <c r="A587" s="8"/>
      <c r="B587" s="8"/>
    </row>
    <row r="588" ht="14.25" customHeight="1">
      <c r="A588" s="8"/>
      <c r="B588" s="8"/>
    </row>
    <row r="589" ht="14.25" customHeight="1">
      <c r="A589" s="8"/>
      <c r="B589" s="8"/>
    </row>
    <row r="590" ht="14.25" customHeight="1">
      <c r="A590" s="8"/>
      <c r="B590" s="8"/>
    </row>
    <row r="591" ht="14.25" customHeight="1">
      <c r="A591" s="8"/>
      <c r="B591" s="8"/>
    </row>
    <row r="592" ht="14.25" customHeight="1">
      <c r="A592" s="8"/>
      <c r="B592" s="8"/>
    </row>
    <row r="593" ht="14.25" customHeight="1">
      <c r="A593" s="8"/>
      <c r="B593" s="8"/>
    </row>
    <row r="594" ht="14.25" customHeight="1">
      <c r="A594" s="8"/>
      <c r="B594" s="8"/>
    </row>
    <row r="595" ht="14.25" customHeight="1">
      <c r="A595" s="8"/>
      <c r="B595" s="8"/>
    </row>
    <row r="596" ht="14.25" customHeight="1">
      <c r="A596" s="8"/>
      <c r="B596" s="8"/>
    </row>
    <row r="597" ht="14.25" customHeight="1">
      <c r="A597" s="8"/>
      <c r="B597" s="8"/>
    </row>
    <row r="598" ht="14.25" customHeight="1">
      <c r="A598" s="8"/>
      <c r="B598" s="8"/>
    </row>
    <row r="599" ht="14.25" customHeight="1">
      <c r="A599" s="8"/>
      <c r="B599" s="8"/>
    </row>
    <row r="600" ht="14.25" customHeight="1">
      <c r="A600" s="8"/>
      <c r="B600" s="8"/>
    </row>
    <row r="601" ht="14.25" customHeight="1">
      <c r="A601" s="8"/>
      <c r="B601" s="8"/>
    </row>
    <row r="602" ht="14.25" customHeight="1">
      <c r="A602" s="8"/>
      <c r="B602" s="8"/>
    </row>
    <row r="603" ht="14.25" customHeight="1">
      <c r="A603" s="8"/>
      <c r="B603" s="8"/>
    </row>
    <row r="604" ht="14.25" customHeight="1">
      <c r="A604" s="8"/>
      <c r="B604" s="8"/>
    </row>
    <row r="605" ht="14.25" customHeight="1">
      <c r="A605" s="8"/>
      <c r="B605" s="8"/>
    </row>
    <row r="606" ht="14.25" customHeight="1">
      <c r="A606" s="8"/>
      <c r="B606" s="8"/>
    </row>
    <row r="607" ht="14.25" customHeight="1">
      <c r="A607" s="8"/>
      <c r="B607" s="8"/>
    </row>
    <row r="608" ht="14.25" customHeight="1">
      <c r="A608" s="8"/>
      <c r="B608" s="8"/>
    </row>
    <row r="609" ht="14.25" customHeight="1">
      <c r="A609" s="8"/>
      <c r="B609" s="8"/>
    </row>
    <row r="610" ht="14.25" customHeight="1">
      <c r="A610" s="8"/>
      <c r="B610" s="8"/>
    </row>
    <row r="611" ht="14.25" customHeight="1">
      <c r="A611" s="8"/>
      <c r="B611" s="8"/>
    </row>
    <row r="612" ht="14.25" customHeight="1">
      <c r="A612" s="8"/>
      <c r="B612" s="8"/>
    </row>
    <row r="613" ht="14.25" customHeight="1">
      <c r="A613" s="8"/>
      <c r="B613" s="8"/>
    </row>
    <row r="614" ht="14.25" customHeight="1">
      <c r="A614" s="8"/>
      <c r="B614" s="8"/>
    </row>
    <row r="615" ht="14.25" customHeight="1">
      <c r="A615" s="8"/>
      <c r="B615" s="8"/>
    </row>
    <row r="616" ht="14.25" customHeight="1">
      <c r="A616" s="8"/>
      <c r="B616" s="8"/>
    </row>
    <row r="617" ht="14.25" customHeight="1">
      <c r="A617" s="8"/>
      <c r="B617" s="8"/>
    </row>
    <row r="618" ht="14.25" customHeight="1">
      <c r="A618" s="8"/>
      <c r="B618" s="8"/>
    </row>
    <row r="619" ht="14.25" customHeight="1">
      <c r="A619" s="8"/>
      <c r="B619" s="8"/>
    </row>
    <row r="620" ht="14.25" customHeight="1">
      <c r="A620" s="8"/>
      <c r="B620" s="8"/>
    </row>
    <row r="621" ht="14.25" customHeight="1">
      <c r="A621" s="8"/>
      <c r="B621" s="8"/>
    </row>
    <row r="622" ht="14.25" customHeight="1">
      <c r="A622" s="8"/>
      <c r="B622" s="8"/>
    </row>
    <row r="623" ht="14.25" customHeight="1">
      <c r="A623" s="8"/>
      <c r="B623" s="8"/>
    </row>
    <row r="624" ht="14.25" customHeight="1">
      <c r="A624" s="8"/>
      <c r="B624" s="8"/>
    </row>
    <row r="625" ht="14.25" customHeight="1">
      <c r="A625" s="8"/>
      <c r="B625" s="8"/>
    </row>
    <row r="626" ht="14.25" customHeight="1">
      <c r="A626" s="8"/>
      <c r="B626" s="8"/>
    </row>
    <row r="627" ht="14.25" customHeight="1">
      <c r="A627" s="8"/>
      <c r="B627" s="8"/>
    </row>
    <row r="628" ht="14.25" customHeight="1">
      <c r="A628" s="8"/>
      <c r="B628" s="8"/>
    </row>
    <row r="629" ht="14.25" customHeight="1">
      <c r="A629" s="8"/>
      <c r="B629" s="8"/>
    </row>
    <row r="630" ht="14.25" customHeight="1">
      <c r="A630" s="8"/>
      <c r="B630" s="8"/>
    </row>
    <row r="631" ht="14.25" customHeight="1">
      <c r="A631" s="8"/>
      <c r="B631" s="8"/>
    </row>
    <row r="632" ht="14.25" customHeight="1">
      <c r="A632" s="8"/>
      <c r="B632" s="8"/>
    </row>
    <row r="633" ht="14.25" customHeight="1">
      <c r="A633" s="8"/>
      <c r="B633" s="8"/>
    </row>
    <row r="634" ht="14.25" customHeight="1">
      <c r="A634" s="8"/>
      <c r="B634" s="8"/>
    </row>
    <row r="635" ht="14.25" customHeight="1">
      <c r="A635" s="8"/>
      <c r="B635" s="8"/>
    </row>
    <row r="636" ht="14.25" customHeight="1">
      <c r="A636" s="8"/>
      <c r="B636" s="8"/>
    </row>
    <row r="637" ht="14.25" customHeight="1">
      <c r="A637" s="8"/>
      <c r="B637" s="8"/>
    </row>
    <row r="638" ht="14.25" customHeight="1">
      <c r="A638" s="8"/>
      <c r="B638" s="8"/>
    </row>
    <row r="639" ht="14.25" customHeight="1">
      <c r="A639" s="8"/>
      <c r="B639" s="8"/>
    </row>
    <row r="640" ht="14.25" customHeight="1">
      <c r="A640" s="8"/>
      <c r="B640" s="8"/>
    </row>
    <row r="641" ht="14.25" customHeight="1">
      <c r="A641" s="8"/>
      <c r="B641" s="8"/>
    </row>
    <row r="642" ht="14.25" customHeight="1">
      <c r="A642" s="8"/>
      <c r="B642" s="8"/>
    </row>
    <row r="643" ht="14.25" customHeight="1">
      <c r="A643" s="8"/>
      <c r="B643" s="8"/>
    </row>
    <row r="644" ht="14.25" customHeight="1">
      <c r="A644" s="8"/>
      <c r="B644" s="8"/>
    </row>
    <row r="645" ht="14.25" customHeight="1">
      <c r="A645" s="8"/>
      <c r="B645" s="8"/>
    </row>
    <row r="646" ht="14.25" customHeight="1">
      <c r="A646" s="8"/>
      <c r="B646" s="8"/>
    </row>
    <row r="647" ht="14.25" customHeight="1">
      <c r="A647" s="8"/>
      <c r="B647" s="8"/>
    </row>
    <row r="648" ht="14.25" customHeight="1">
      <c r="A648" s="8"/>
      <c r="B648" s="8"/>
    </row>
    <row r="649" ht="14.25" customHeight="1">
      <c r="A649" s="8"/>
      <c r="B649" s="8"/>
    </row>
    <row r="650" ht="14.25" customHeight="1">
      <c r="A650" s="8"/>
      <c r="B650" s="8"/>
    </row>
    <row r="651" ht="14.25" customHeight="1">
      <c r="A651" s="8"/>
      <c r="B651" s="8"/>
    </row>
    <row r="652" ht="14.25" customHeight="1">
      <c r="A652" s="8"/>
      <c r="B652" s="8"/>
    </row>
    <row r="653" ht="14.25" customHeight="1">
      <c r="A653" s="8"/>
      <c r="B653" s="8"/>
    </row>
    <row r="654" ht="14.25" customHeight="1">
      <c r="A654" s="8"/>
      <c r="B654" s="8"/>
    </row>
    <row r="655" ht="14.25" customHeight="1">
      <c r="A655" s="8"/>
      <c r="B655" s="8"/>
    </row>
    <row r="656" ht="14.25" customHeight="1">
      <c r="A656" s="8"/>
      <c r="B656" s="8"/>
    </row>
    <row r="657" ht="14.25" customHeight="1">
      <c r="A657" s="8"/>
      <c r="B657" s="8"/>
    </row>
    <row r="658" ht="14.25" customHeight="1">
      <c r="A658" s="8"/>
      <c r="B658" s="8"/>
    </row>
    <row r="659" ht="14.25" customHeight="1">
      <c r="A659" s="8"/>
      <c r="B659" s="8"/>
    </row>
    <row r="660" ht="14.25" customHeight="1">
      <c r="A660" s="8"/>
      <c r="B660" s="8"/>
    </row>
    <row r="661" ht="14.25" customHeight="1">
      <c r="A661" s="8"/>
      <c r="B661" s="8"/>
    </row>
    <row r="662" ht="14.25" customHeight="1">
      <c r="A662" s="8"/>
      <c r="B662" s="8"/>
    </row>
    <row r="663" ht="14.25" customHeight="1">
      <c r="A663" s="8"/>
      <c r="B663" s="8"/>
    </row>
    <row r="664" ht="14.25" customHeight="1">
      <c r="A664" s="8"/>
      <c r="B664" s="8"/>
    </row>
    <row r="665" ht="14.25" customHeight="1">
      <c r="A665" s="8"/>
      <c r="B665" s="8"/>
    </row>
    <row r="666" ht="14.25" customHeight="1">
      <c r="A666" s="8"/>
      <c r="B666" s="8"/>
    </row>
    <row r="667" ht="14.25" customHeight="1">
      <c r="A667" s="8"/>
      <c r="B667" s="8"/>
    </row>
    <row r="668" ht="14.25" customHeight="1">
      <c r="A668" s="8"/>
      <c r="B668" s="8"/>
    </row>
    <row r="669" ht="14.25" customHeight="1">
      <c r="A669" s="8"/>
      <c r="B669" s="8"/>
    </row>
    <row r="670" ht="14.25" customHeight="1">
      <c r="A670" s="8"/>
      <c r="B670" s="8"/>
    </row>
    <row r="671" ht="14.25" customHeight="1">
      <c r="A671" s="8"/>
      <c r="B671" s="8"/>
    </row>
    <row r="672" ht="14.25" customHeight="1">
      <c r="A672" s="8"/>
      <c r="B672" s="8"/>
    </row>
    <row r="673" ht="14.25" customHeight="1">
      <c r="A673" s="8"/>
      <c r="B673" s="8"/>
    </row>
    <row r="674" ht="14.25" customHeight="1">
      <c r="A674" s="8"/>
      <c r="B674" s="8"/>
    </row>
    <row r="675" ht="14.25" customHeight="1">
      <c r="A675" s="8"/>
      <c r="B675" s="8"/>
    </row>
    <row r="676" ht="14.25" customHeight="1">
      <c r="A676" s="8"/>
      <c r="B676" s="8"/>
    </row>
    <row r="677" ht="14.25" customHeight="1">
      <c r="A677" s="8"/>
      <c r="B677" s="8"/>
    </row>
    <row r="678" ht="14.25" customHeight="1">
      <c r="A678" s="8"/>
      <c r="B678" s="8"/>
    </row>
    <row r="679" ht="14.25" customHeight="1">
      <c r="A679" s="8"/>
      <c r="B679" s="8"/>
    </row>
    <row r="680" ht="14.25" customHeight="1">
      <c r="A680" s="8"/>
      <c r="B680" s="8"/>
    </row>
    <row r="681" ht="14.25" customHeight="1">
      <c r="A681" s="8"/>
      <c r="B681" s="8"/>
    </row>
    <row r="682" ht="14.25" customHeight="1">
      <c r="A682" s="8"/>
      <c r="B682" s="8"/>
    </row>
    <row r="683" ht="14.25" customHeight="1">
      <c r="A683" s="8"/>
      <c r="B683" s="8"/>
    </row>
    <row r="684" ht="14.25" customHeight="1">
      <c r="A684" s="8"/>
      <c r="B684" s="8"/>
    </row>
    <row r="685" ht="14.25" customHeight="1">
      <c r="A685" s="8"/>
      <c r="B685" s="8"/>
    </row>
    <row r="686" ht="14.25" customHeight="1">
      <c r="A686" s="8"/>
      <c r="B686" s="8"/>
    </row>
    <row r="687" ht="14.25" customHeight="1">
      <c r="A687" s="8"/>
      <c r="B687" s="8"/>
    </row>
    <row r="688" ht="14.25" customHeight="1">
      <c r="A688" s="8"/>
      <c r="B688" s="8"/>
    </row>
    <row r="689" ht="14.25" customHeight="1">
      <c r="A689" s="8"/>
      <c r="B689" s="8"/>
    </row>
    <row r="690" ht="14.25" customHeight="1">
      <c r="A690" s="8"/>
      <c r="B690" s="8"/>
    </row>
    <row r="691" ht="14.25" customHeight="1">
      <c r="A691" s="8"/>
      <c r="B691" s="8"/>
    </row>
    <row r="692" ht="14.25" customHeight="1">
      <c r="A692" s="8"/>
      <c r="B692" s="8"/>
    </row>
    <row r="693" ht="14.25" customHeight="1">
      <c r="A693" s="8"/>
      <c r="B693" s="8"/>
    </row>
    <row r="694" ht="14.25" customHeight="1">
      <c r="A694" s="8"/>
      <c r="B694" s="8"/>
    </row>
    <row r="695" ht="14.25" customHeight="1">
      <c r="A695" s="8"/>
      <c r="B695" s="8"/>
    </row>
    <row r="696" ht="14.25" customHeight="1">
      <c r="A696" s="8"/>
      <c r="B696" s="8"/>
    </row>
    <row r="697" ht="14.25" customHeight="1">
      <c r="A697" s="8"/>
      <c r="B697" s="8"/>
    </row>
    <row r="698" ht="14.25" customHeight="1">
      <c r="A698" s="8"/>
      <c r="B698" s="8"/>
    </row>
    <row r="699" ht="14.25" customHeight="1">
      <c r="A699" s="8"/>
      <c r="B699" s="8"/>
    </row>
    <row r="700" ht="14.25" customHeight="1">
      <c r="A700" s="8"/>
      <c r="B700" s="8"/>
    </row>
    <row r="701" ht="14.25" customHeight="1">
      <c r="A701" s="8"/>
      <c r="B701" s="8"/>
    </row>
    <row r="702" ht="14.25" customHeight="1">
      <c r="A702" s="8"/>
      <c r="B702" s="8"/>
    </row>
    <row r="703" ht="14.25" customHeight="1">
      <c r="A703" s="8"/>
      <c r="B703" s="8"/>
    </row>
    <row r="704" ht="14.25" customHeight="1">
      <c r="A704" s="8"/>
      <c r="B704" s="8"/>
    </row>
    <row r="705" ht="14.25" customHeight="1">
      <c r="A705" s="8"/>
      <c r="B705" s="8"/>
    </row>
    <row r="706" ht="14.25" customHeight="1">
      <c r="A706" s="8"/>
      <c r="B706" s="8"/>
    </row>
    <row r="707" ht="14.25" customHeight="1">
      <c r="A707" s="8"/>
      <c r="B707" s="8"/>
    </row>
    <row r="708" ht="14.25" customHeight="1">
      <c r="A708" s="8"/>
      <c r="B708" s="8"/>
    </row>
    <row r="709" ht="14.25" customHeight="1">
      <c r="A709" s="8"/>
      <c r="B709" s="8"/>
    </row>
    <row r="710" ht="14.25" customHeight="1">
      <c r="A710" s="8"/>
      <c r="B710" s="8"/>
    </row>
    <row r="711" ht="14.25" customHeight="1">
      <c r="A711" s="8"/>
      <c r="B711" s="8"/>
    </row>
    <row r="712" ht="14.25" customHeight="1">
      <c r="A712" s="8"/>
      <c r="B712" s="8"/>
    </row>
    <row r="713" ht="14.25" customHeight="1">
      <c r="A713" s="8"/>
      <c r="B713" s="8"/>
    </row>
    <row r="714" ht="14.25" customHeight="1">
      <c r="A714" s="8"/>
      <c r="B714" s="8"/>
    </row>
    <row r="715" ht="14.25" customHeight="1">
      <c r="A715" s="8"/>
      <c r="B715" s="8"/>
    </row>
    <row r="716" ht="14.25" customHeight="1">
      <c r="A716" s="8"/>
      <c r="B716" s="8"/>
    </row>
    <row r="717" ht="14.25" customHeight="1">
      <c r="A717" s="8"/>
      <c r="B717" s="8"/>
    </row>
    <row r="718" ht="14.25" customHeight="1">
      <c r="A718" s="8"/>
      <c r="B718" s="8"/>
    </row>
    <row r="719" ht="14.25" customHeight="1">
      <c r="A719" s="8"/>
      <c r="B719" s="8"/>
    </row>
    <row r="720" ht="14.25" customHeight="1">
      <c r="A720" s="8"/>
      <c r="B720" s="8"/>
    </row>
    <row r="721" ht="14.25" customHeight="1">
      <c r="A721" s="8"/>
      <c r="B721" s="8"/>
    </row>
    <row r="722" ht="14.25" customHeight="1">
      <c r="A722" s="8"/>
      <c r="B722" s="8"/>
    </row>
    <row r="723" ht="14.25" customHeight="1">
      <c r="A723" s="8"/>
      <c r="B723" s="8"/>
    </row>
    <row r="724" ht="14.25" customHeight="1">
      <c r="A724" s="8"/>
      <c r="B724" s="8"/>
    </row>
    <row r="725" ht="14.25" customHeight="1">
      <c r="A725" s="8"/>
      <c r="B725" s="8"/>
    </row>
    <row r="726" ht="14.25" customHeight="1">
      <c r="A726" s="8"/>
      <c r="B726" s="8"/>
    </row>
    <row r="727" ht="14.25" customHeight="1">
      <c r="A727" s="8"/>
      <c r="B727" s="8"/>
    </row>
    <row r="728" ht="14.25" customHeight="1">
      <c r="A728" s="8"/>
      <c r="B728" s="8"/>
    </row>
    <row r="729" ht="14.25" customHeight="1">
      <c r="A729" s="8"/>
      <c r="B729" s="8"/>
    </row>
    <row r="730" ht="14.25" customHeight="1">
      <c r="A730" s="8"/>
      <c r="B730" s="8"/>
    </row>
    <row r="731" ht="14.25" customHeight="1">
      <c r="A731" s="8"/>
      <c r="B731" s="8"/>
    </row>
    <row r="732" ht="14.25" customHeight="1">
      <c r="A732" s="8"/>
      <c r="B732" s="8"/>
    </row>
    <row r="733" ht="14.25" customHeight="1">
      <c r="A733" s="8"/>
      <c r="B733" s="8"/>
    </row>
    <row r="734" ht="14.25" customHeight="1">
      <c r="A734" s="8"/>
      <c r="B734" s="8"/>
    </row>
    <row r="735" ht="14.25" customHeight="1">
      <c r="A735" s="8"/>
      <c r="B735" s="8"/>
    </row>
    <row r="736" ht="14.25" customHeight="1">
      <c r="A736" s="8"/>
      <c r="B736" s="8"/>
    </row>
    <row r="737" ht="14.25" customHeight="1">
      <c r="A737" s="8"/>
      <c r="B737" s="8"/>
    </row>
    <row r="738" ht="14.25" customHeight="1">
      <c r="A738" s="8"/>
      <c r="B738" s="8"/>
    </row>
    <row r="739" ht="14.25" customHeight="1">
      <c r="A739" s="8"/>
      <c r="B739" s="8"/>
    </row>
    <row r="740" ht="14.25" customHeight="1">
      <c r="A740" s="8"/>
      <c r="B740" s="8"/>
    </row>
    <row r="741" ht="14.25" customHeight="1">
      <c r="A741" s="8"/>
      <c r="B741" s="8"/>
    </row>
    <row r="742" ht="14.25" customHeight="1">
      <c r="A742" s="8"/>
      <c r="B742" s="8"/>
    </row>
    <row r="743" ht="14.25" customHeight="1">
      <c r="A743" s="8"/>
      <c r="B743" s="8"/>
    </row>
    <row r="744" ht="14.25" customHeight="1">
      <c r="A744" s="8"/>
      <c r="B744" s="8"/>
    </row>
    <row r="745" ht="14.25" customHeight="1">
      <c r="A745" s="8"/>
      <c r="B745" s="8"/>
    </row>
    <row r="746" ht="14.25" customHeight="1">
      <c r="A746" s="8"/>
      <c r="B746" s="8"/>
    </row>
    <row r="747" ht="14.25" customHeight="1">
      <c r="A747" s="8"/>
      <c r="B747" s="8"/>
    </row>
    <row r="748" ht="14.25" customHeight="1">
      <c r="A748" s="8"/>
      <c r="B748" s="8"/>
    </row>
    <row r="749" ht="14.25" customHeight="1">
      <c r="A749" s="8"/>
      <c r="B749" s="8"/>
    </row>
    <row r="750" ht="14.25" customHeight="1">
      <c r="A750" s="8"/>
      <c r="B750" s="8"/>
    </row>
    <row r="751" ht="14.25" customHeight="1">
      <c r="A751" s="8"/>
      <c r="B751" s="8"/>
    </row>
    <row r="752" ht="14.25" customHeight="1">
      <c r="A752" s="8"/>
      <c r="B752" s="8"/>
    </row>
    <row r="753" ht="14.25" customHeight="1">
      <c r="A753" s="8"/>
      <c r="B753" s="8"/>
    </row>
    <row r="754" ht="14.25" customHeight="1">
      <c r="A754" s="8"/>
      <c r="B754" s="8"/>
    </row>
    <row r="755" ht="14.25" customHeight="1">
      <c r="A755" s="8"/>
      <c r="B755" s="8"/>
    </row>
    <row r="756" ht="14.25" customHeight="1">
      <c r="A756" s="8"/>
      <c r="B756" s="8"/>
    </row>
    <row r="757" ht="14.25" customHeight="1">
      <c r="A757" s="8"/>
      <c r="B757" s="8"/>
    </row>
    <row r="758" ht="14.25" customHeight="1">
      <c r="A758" s="8"/>
      <c r="B758" s="8"/>
    </row>
    <row r="759" ht="14.25" customHeight="1">
      <c r="A759" s="8"/>
      <c r="B759" s="8"/>
    </row>
    <row r="760" ht="14.25" customHeight="1">
      <c r="A760" s="8"/>
      <c r="B760" s="8"/>
    </row>
    <row r="761" ht="14.25" customHeight="1">
      <c r="A761" s="8"/>
      <c r="B761" s="8"/>
    </row>
    <row r="762" ht="14.25" customHeight="1">
      <c r="A762" s="8"/>
      <c r="B762" s="8"/>
    </row>
    <row r="763" ht="14.25" customHeight="1">
      <c r="A763" s="8"/>
      <c r="B763" s="8"/>
    </row>
    <row r="764" ht="14.25" customHeight="1">
      <c r="A764" s="8"/>
      <c r="B764" s="8"/>
    </row>
    <row r="765" ht="14.25" customHeight="1">
      <c r="A765" s="8"/>
      <c r="B765" s="8"/>
    </row>
    <row r="766" ht="14.25" customHeight="1">
      <c r="A766" s="8"/>
      <c r="B766" s="8"/>
    </row>
    <row r="767" ht="14.25" customHeight="1">
      <c r="A767" s="8"/>
      <c r="B767" s="8"/>
    </row>
    <row r="768" ht="14.25" customHeight="1">
      <c r="A768" s="8"/>
      <c r="B768" s="8"/>
    </row>
    <row r="769" ht="14.25" customHeight="1">
      <c r="A769" s="8"/>
      <c r="B769" s="8"/>
    </row>
    <row r="770" ht="14.25" customHeight="1">
      <c r="A770" s="8"/>
      <c r="B770" s="8"/>
    </row>
    <row r="771" ht="14.25" customHeight="1">
      <c r="A771" s="8"/>
      <c r="B771" s="8"/>
    </row>
    <row r="772" ht="14.25" customHeight="1">
      <c r="A772" s="8"/>
      <c r="B772" s="8"/>
    </row>
    <row r="773" ht="14.25" customHeight="1">
      <c r="A773" s="8"/>
      <c r="B773" s="8"/>
    </row>
    <row r="774" ht="14.25" customHeight="1">
      <c r="A774" s="8"/>
      <c r="B774" s="8"/>
    </row>
    <row r="775" ht="14.25" customHeight="1">
      <c r="A775" s="8"/>
      <c r="B775" s="8"/>
    </row>
    <row r="776" ht="14.25" customHeight="1">
      <c r="A776" s="8"/>
      <c r="B776" s="8"/>
    </row>
    <row r="777" ht="14.25" customHeight="1">
      <c r="A777" s="8"/>
      <c r="B777" s="8"/>
    </row>
    <row r="778" ht="14.25" customHeight="1">
      <c r="A778" s="8"/>
      <c r="B778" s="8"/>
    </row>
    <row r="779" ht="14.25" customHeight="1">
      <c r="A779" s="8"/>
      <c r="B779" s="8"/>
    </row>
    <row r="780" ht="14.25" customHeight="1">
      <c r="A780" s="8"/>
      <c r="B780" s="8"/>
    </row>
    <row r="781" ht="14.25" customHeight="1">
      <c r="A781" s="8"/>
      <c r="B781" s="8"/>
    </row>
    <row r="782" ht="14.25" customHeight="1">
      <c r="A782" s="8"/>
      <c r="B782" s="8"/>
    </row>
    <row r="783" ht="14.25" customHeight="1">
      <c r="A783" s="8"/>
      <c r="B783" s="8"/>
    </row>
    <row r="784" ht="14.25" customHeight="1">
      <c r="A784" s="8"/>
      <c r="B784" s="8"/>
    </row>
    <row r="785" ht="14.25" customHeight="1">
      <c r="A785" s="8"/>
      <c r="B785" s="8"/>
    </row>
    <row r="786" ht="14.25" customHeight="1">
      <c r="A786" s="8"/>
      <c r="B786" s="8"/>
    </row>
    <row r="787" ht="14.25" customHeight="1">
      <c r="A787" s="8"/>
      <c r="B787" s="8"/>
    </row>
    <row r="788" ht="14.25" customHeight="1">
      <c r="A788" s="8"/>
      <c r="B788" s="8"/>
    </row>
    <row r="789" ht="14.25" customHeight="1">
      <c r="A789" s="8"/>
      <c r="B789" s="8"/>
    </row>
    <row r="790" ht="14.25" customHeight="1">
      <c r="A790" s="8"/>
      <c r="B790" s="8"/>
    </row>
    <row r="791" ht="14.25" customHeight="1">
      <c r="A791" s="8"/>
      <c r="B791" s="8"/>
    </row>
    <row r="792" ht="14.25" customHeight="1">
      <c r="A792" s="8"/>
      <c r="B792" s="8"/>
    </row>
    <row r="793" ht="14.25" customHeight="1">
      <c r="A793" s="8"/>
      <c r="B793" s="8"/>
    </row>
    <row r="794" ht="14.25" customHeight="1">
      <c r="A794" s="8"/>
      <c r="B794" s="8"/>
    </row>
    <row r="795" ht="14.25" customHeight="1">
      <c r="A795" s="8"/>
      <c r="B795" s="8"/>
    </row>
    <row r="796" ht="14.25" customHeight="1">
      <c r="A796" s="8"/>
      <c r="B796" s="8"/>
    </row>
    <row r="797" ht="14.25" customHeight="1">
      <c r="A797" s="8"/>
      <c r="B797" s="8"/>
    </row>
    <row r="798" ht="14.25" customHeight="1">
      <c r="A798" s="8"/>
      <c r="B798" s="8"/>
    </row>
    <row r="799" ht="14.25" customHeight="1">
      <c r="A799" s="8"/>
      <c r="B799" s="8"/>
    </row>
    <row r="800" ht="14.25" customHeight="1">
      <c r="A800" s="8"/>
      <c r="B800" s="8"/>
    </row>
    <row r="801" ht="14.25" customHeight="1">
      <c r="A801" s="8"/>
      <c r="B801" s="8"/>
    </row>
    <row r="802" ht="14.25" customHeight="1">
      <c r="A802" s="8"/>
      <c r="B802" s="8"/>
    </row>
    <row r="803" ht="14.25" customHeight="1">
      <c r="A803" s="8"/>
      <c r="B803" s="8"/>
    </row>
    <row r="804" ht="14.25" customHeight="1">
      <c r="A804" s="8"/>
      <c r="B804" s="8"/>
    </row>
    <row r="805" ht="14.25" customHeight="1">
      <c r="A805" s="8"/>
      <c r="B805" s="8"/>
    </row>
    <row r="806" ht="14.25" customHeight="1">
      <c r="A806" s="8"/>
      <c r="B806" s="8"/>
    </row>
    <row r="807" ht="14.25" customHeight="1">
      <c r="A807" s="8"/>
      <c r="B807" s="8"/>
    </row>
    <row r="808" ht="14.25" customHeight="1">
      <c r="A808" s="8"/>
      <c r="B808" s="8"/>
    </row>
    <row r="809" ht="14.25" customHeight="1">
      <c r="A809" s="8"/>
      <c r="B809" s="8"/>
    </row>
    <row r="810" ht="14.25" customHeight="1">
      <c r="A810" s="8"/>
      <c r="B810" s="8"/>
    </row>
    <row r="811" ht="14.25" customHeight="1">
      <c r="A811" s="8"/>
      <c r="B811" s="8"/>
    </row>
    <row r="812" ht="14.25" customHeight="1">
      <c r="A812" s="8"/>
      <c r="B812" s="8"/>
    </row>
    <row r="813" ht="14.25" customHeight="1">
      <c r="A813" s="8"/>
      <c r="B813" s="8"/>
    </row>
    <row r="814" ht="14.25" customHeight="1">
      <c r="A814" s="8"/>
      <c r="B814" s="8"/>
    </row>
    <row r="815" ht="14.25" customHeight="1">
      <c r="A815" s="8"/>
      <c r="B815" s="8"/>
    </row>
    <row r="816" ht="14.25" customHeight="1">
      <c r="A816" s="8"/>
      <c r="B816" s="8"/>
    </row>
    <row r="817" ht="14.25" customHeight="1">
      <c r="A817" s="8"/>
      <c r="B817" s="8"/>
    </row>
    <row r="818" ht="14.25" customHeight="1">
      <c r="A818" s="8"/>
      <c r="B818" s="8"/>
    </row>
    <row r="819" ht="14.25" customHeight="1">
      <c r="A819" s="8"/>
      <c r="B819" s="8"/>
    </row>
    <row r="820" ht="14.25" customHeight="1">
      <c r="A820" s="8"/>
      <c r="B820" s="8"/>
    </row>
    <row r="821" ht="14.25" customHeight="1">
      <c r="A821" s="8"/>
      <c r="B821" s="8"/>
    </row>
    <row r="822" ht="14.25" customHeight="1">
      <c r="A822" s="8"/>
      <c r="B822" s="8"/>
    </row>
    <row r="823" ht="14.25" customHeight="1">
      <c r="A823" s="8"/>
      <c r="B823" s="8"/>
    </row>
    <row r="824" ht="14.25" customHeight="1">
      <c r="A824" s="8"/>
      <c r="B824" s="8"/>
    </row>
    <row r="825" ht="14.25" customHeight="1">
      <c r="A825" s="8"/>
      <c r="B825" s="8"/>
    </row>
    <row r="826" ht="14.25" customHeight="1">
      <c r="A826" s="8"/>
      <c r="B826" s="8"/>
    </row>
    <row r="827" ht="14.25" customHeight="1">
      <c r="A827" s="8"/>
      <c r="B827" s="8"/>
    </row>
    <row r="828" ht="14.25" customHeight="1">
      <c r="A828" s="8"/>
      <c r="B828" s="8"/>
    </row>
    <row r="829" ht="14.25" customHeight="1">
      <c r="A829" s="8"/>
      <c r="B829" s="8"/>
    </row>
    <row r="830" ht="14.25" customHeight="1">
      <c r="A830" s="8"/>
      <c r="B830" s="8"/>
    </row>
    <row r="831" ht="14.25" customHeight="1">
      <c r="A831" s="8"/>
      <c r="B831" s="8"/>
    </row>
    <row r="832" ht="14.25" customHeight="1">
      <c r="A832" s="8"/>
      <c r="B832" s="8"/>
    </row>
    <row r="833" ht="14.25" customHeight="1">
      <c r="A833" s="8"/>
      <c r="B833" s="8"/>
    </row>
    <row r="834" ht="14.25" customHeight="1">
      <c r="A834" s="8"/>
      <c r="B834" s="8"/>
    </row>
    <row r="835" ht="14.25" customHeight="1">
      <c r="A835" s="8"/>
      <c r="B835" s="8"/>
    </row>
    <row r="836" ht="14.25" customHeight="1">
      <c r="A836" s="8"/>
      <c r="B836" s="8"/>
    </row>
    <row r="837" ht="14.25" customHeight="1">
      <c r="A837" s="8"/>
      <c r="B837" s="8"/>
    </row>
    <row r="838" ht="14.25" customHeight="1">
      <c r="A838" s="8"/>
      <c r="B838" s="8"/>
    </row>
    <row r="839" ht="14.25" customHeight="1">
      <c r="A839" s="8"/>
      <c r="B839" s="8"/>
    </row>
    <row r="840" ht="14.25" customHeight="1">
      <c r="A840" s="8"/>
      <c r="B840" s="8"/>
    </row>
    <row r="841" ht="14.25" customHeight="1">
      <c r="A841" s="8"/>
      <c r="B841" s="8"/>
    </row>
    <row r="842" ht="14.25" customHeight="1">
      <c r="A842" s="8"/>
      <c r="B842" s="8"/>
    </row>
    <row r="843" ht="14.25" customHeight="1">
      <c r="A843" s="8"/>
      <c r="B843" s="8"/>
    </row>
    <row r="844" ht="14.25" customHeight="1">
      <c r="A844" s="8"/>
      <c r="B844" s="8"/>
    </row>
    <row r="845" ht="14.25" customHeight="1">
      <c r="A845" s="8"/>
      <c r="B845" s="8"/>
    </row>
    <row r="846" ht="14.25" customHeight="1">
      <c r="A846" s="8"/>
      <c r="B846" s="8"/>
    </row>
    <row r="847" ht="14.25" customHeight="1">
      <c r="A847" s="8"/>
      <c r="B847" s="8"/>
    </row>
    <row r="848" ht="14.25" customHeight="1">
      <c r="A848" s="8"/>
      <c r="B848" s="8"/>
    </row>
    <row r="849" ht="14.25" customHeight="1">
      <c r="A849" s="8"/>
      <c r="B849" s="8"/>
    </row>
    <row r="850" ht="14.25" customHeight="1">
      <c r="A850" s="8"/>
      <c r="B850" s="8"/>
    </row>
    <row r="851" ht="14.25" customHeight="1">
      <c r="A851" s="8"/>
      <c r="B851" s="8"/>
    </row>
    <row r="852" ht="14.25" customHeight="1">
      <c r="A852" s="8"/>
      <c r="B852" s="8"/>
    </row>
    <row r="853" ht="14.25" customHeight="1">
      <c r="A853" s="8"/>
      <c r="B853" s="8"/>
    </row>
    <row r="854" ht="14.25" customHeight="1">
      <c r="A854" s="8"/>
      <c r="B854" s="8"/>
    </row>
    <row r="855" ht="14.25" customHeight="1">
      <c r="A855" s="8"/>
      <c r="B855" s="8"/>
    </row>
    <row r="856" ht="14.25" customHeight="1">
      <c r="A856" s="8"/>
      <c r="B856" s="8"/>
    </row>
    <row r="857" ht="14.25" customHeight="1">
      <c r="A857" s="8"/>
      <c r="B857" s="8"/>
    </row>
    <row r="858" ht="14.25" customHeight="1">
      <c r="A858" s="8"/>
      <c r="B858" s="8"/>
    </row>
    <row r="859" ht="14.25" customHeight="1">
      <c r="A859" s="8"/>
      <c r="B859" s="8"/>
    </row>
    <row r="860" ht="14.25" customHeight="1">
      <c r="A860" s="8"/>
      <c r="B860" s="8"/>
    </row>
    <row r="861" ht="14.25" customHeight="1">
      <c r="A861" s="8"/>
      <c r="B861" s="8"/>
    </row>
    <row r="862" ht="14.25" customHeight="1">
      <c r="A862" s="8"/>
      <c r="B862" s="8"/>
    </row>
    <row r="863" ht="14.25" customHeight="1">
      <c r="A863" s="8"/>
      <c r="B863" s="8"/>
    </row>
    <row r="864" ht="14.25" customHeight="1">
      <c r="A864" s="8"/>
      <c r="B864" s="8"/>
    </row>
    <row r="865" ht="14.25" customHeight="1">
      <c r="A865" s="8"/>
      <c r="B865" s="8"/>
    </row>
    <row r="866" ht="14.25" customHeight="1">
      <c r="A866" s="8"/>
      <c r="B866" s="8"/>
    </row>
    <row r="867" ht="14.25" customHeight="1">
      <c r="A867" s="8"/>
      <c r="B867" s="8"/>
    </row>
    <row r="868" ht="14.25" customHeight="1">
      <c r="A868" s="8"/>
      <c r="B868" s="8"/>
    </row>
    <row r="869" ht="14.25" customHeight="1">
      <c r="A869" s="8"/>
      <c r="B869" s="8"/>
    </row>
    <row r="870" ht="14.25" customHeight="1">
      <c r="A870" s="8"/>
      <c r="B870" s="8"/>
    </row>
    <row r="871" ht="14.25" customHeight="1">
      <c r="A871" s="8"/>
      <c r="B871" s="8"/>
    </row>
    <row r="872" ht="14.25" customHeight="1">
      <c r="A872" s="8"/>
      <c r="B872" s="8"/>
    </row>
    <row r="873" ht="14.25" customHeight="1">
      <c r="A873" s="8"/>
      <c r="B873" s="8"/>
    </row>
    <row r="874" ht="14.25" customHeight="1">
      <c r="A874" s="8"/>
      <c r="B874" s="8"/>
    </row>
    <row r="875" ht="14.25" customHeight="1">
      <c r="A875" s="8"/>
      <c r="B875" s="8"/>
    </row>
    <row r="876" ht="14.25" customHeight="1">
      <c r="A876" s="8"/>
      <c r="B876" s="8"/>
    </row>
    <row r="877" ht="14.25" customHeight="1">
      <c r="A877" s="8"/>
      <c r="B877" s="8"/>
    </row>
    <row r="878" ht="14.25" customHeight="1">
      <c r="A878" s="8"/>
      <c r="B878" s="8"/>
    </row>
    <row r="879" ht="14.25" customHeight="1">
      <c r="A879" s="8"/>
      <c r="B879" s="8"/>
    </row>
    <row r="880" ht="14.25" customHeight="1">
      <c r="A880" s="8"/>
      <c r="B880" s="8"/>
    </row>
    <row r="881" ht="14.25" customHeight="1">
      <c r="A881" s="8"/>
      <c r="B881" s="8"/>
    </row>
    <row r="882" ht="14.25" customHeight="1">
      <c r="A882" s="8"/>
      <c r="B882" s="8"/>
    </row>
    <row r="883" ht="14.25" customHeight="1">
      <c r="A883" s="8"/>
      <c r="B883" s="8"/>
    </row>
    <row r="884" ht="14.25" customHeight="1">
      <c r="A884" s="8"/>
      <c r="B884" s="8"/>
    </row>
    <row r="885" ht="14.25" customHeight="1">
      <c r="A885" s="8"/>
      <c r="B885" s="8"/>
    </row>
    <row r="886" ht="14.25" customHeight="1">
      <c r="A886" s="8"/>
      <c r="B886" s="8"/>
    </row>
    <row r="887" ht="14.25" customHeight="1">
      <c r="A887" s="8"/>
      <c r="B887" s="8"/>
    </row>
    <row r="888" ht="14.25" customHeight="1">
      <c r="A888" s="8"/>
      <c r="B888" s="8"/>
    </row>
    <row r="889" ht="14.25" customHeight="1">
      <c r="A889" s="8"/>
      <c r="B889" s="8"/>
    </row>
    <row r="890" ht="14.25" customHeight="1">
      <c r="A890" s="8"/>
      <c r="B890" s="8"/>
    </row>
    <row r="891" ht="14.25" customHeight="1">
      <c r="A891" s="8"/>
      <c r="B891" s="8"/>
    </row>
    <row r="892" ht="14.25" customHeight="1">
      <c r="A892" s="8"/>
      <c r="B892" s="8"/>
    </row>
    <row r="893" ht="14.25" customHeight="1">
      <c r="A893" s="8"/>
      <c r="B893" s="8"/>
    </row>
    <row r="894" ht="14.25" customHeight="1">
      <c r="A894" s="8"/>
      <c r="B894" s="8"/>
    </row>
    <row r="895" ht="14.25" customHeight="1">
      <c r="A895" s="8"/>
      <c r="B895" s="8"/>
    </row>
    <row r="896" ht="14.25" customHeight="1">
      <c r="A896" s="8"/>
      <c r="B896" s="8"/>
    </row>
    <row r="897" ht="14.25" customHeight="1">
      <c r="A897" s="8"/>
      <c r="B897" s="8"/>
    </row>
    <row r="898" ht="14.25" customHeight="1">
      <c r="A898" s="8"/>
      <c r="B898" s="8"/>
    </row>
    <row r="899" ht="14.25" customHeight="1">
      <c r="A899" s="8"/>
      <c r="B899" s="8"/>
    </row>
    <row r="900" ht="14.25" customHeight="1">
      <c r="A900" s="8"/>
      <c r="B900" s="8"/>
    </row>
    <row r="901" ht="14.25" customHeight="1">
      <c r="A901" s="8"/>
      <c r="B901" s="8"/>
    </row>
    <row r="902" ht="14.25" customHeight="1">
      <c r="A902" s="8"/>
      <c r="B902" s="8"/>
    </row>
    <row r="903" ht="14.25" customHeight="1">
      <c r="A903" s="8"/>
      <c r="B903" s="8"/>
    </row>
    <row r="904" ht="14.25" customHeight="1">
      <c r="A904" s="8"/>
      <c r="B904" s="8"/>
    </row>
    <row r="905" ht="14.25" customHeight="1">
      <c r="A905" s="8"/>
      <c r="B905" s="8"/>
    </row>
    <row r="906" ht="14.25" customHeight="1">
      <c r="A906" s="8"/>
      <c r="B906" s="8"/>
    </row>
    <row r="907" ht="14.25" customHeight="1">
      <c r="A907" s="8"/>
      <c r="B907" s="8"/>
    </row>
    <row r="908" ht="14.25" customHeight="1">
      <c r="A908" s="8"/>
      <c r="B908" s="8"/>
    </row>
    <row r="909" ht="14.25" customHeight="1">
      <c r="A909" s="8"/>
      <c r="B909" s="8"/>
    </row>
    <row r="910" ht="14.25" customHeight="1">
      <c r="A910" s="8"/>
      <c r="B910" s="8"/>
    </row>
    <row r="911" ht="14.25" customHeight="1">
      <c r="A911" s="8"/>
      <c r="B911" s="8"/>
    </row>
    <row r="912" ht="14.25" customHeight="1">
      <c r="A912" s="8"/>
      <c r="B912" s="8"/>
    </row>
    <row r="913" ht="14.25" customHeight="1">
      <c r="A913" s="8"/>
      <c r="B913" s="8"/>
    </row>
    <row r="914" ht="14.25" customHeight="1">
      <c r="A914" s="8"/>
      <c r="B914" s="8"/>
    </row>
    <row r="915" ht="14.25" customHeight="1">
      <c r="A915" s="8"/>
      <c r="B915" s="8"/>
    </row>
    <row r="916" ht="14.25" customHeight="1">
      <c r="A916" s="8"/>
      <c r="B916" s="8"/>
    </row>
    <row r="917" ht="14.25" customHeight="1">
      <c r="A917" s="8"/>
      <c r="B917" s="8"/>
    </row>
    <row r="918" ht="14.25" customHeight="1">
      <c r="A918" s="8"/>
      <c r="B918" s="8"/>
    </row>
    <row r="919" ht="14.25" customHeight="1">
      <c r="A919" s="8"/>
      <c r="B919" s="8"/>
    </row>
    <row r="920" ht="14.25" customHeight="1">
      <c r="A920" s="8"/>
      <c r="B920" s="8"/>
    </row>
    <row r="921" ht="14.25" customHeight="1">
      <c r="A921" s="8"/>
      <c r="B921" s="8"/>
    </row>
    <row r="922" ht="14.25" customHeight="1">
      <c r="A922" s="8"/>
      <c r="B922" s="8"/>
    </row>
    <row r="923" ht="14.25" customHeight="1">
      <c r="A923" s="8"/>
      <c r="B923" s="8"/>
    </row>
    <row r="924" ht="14.25" customHeight="1">
      <c r="A924" s="8"/>
      <c r="B924" s="8"/>
    </row>
    <row r="925" ht="14.25" customHeight="1">
      <c r="A925" s="8"/>
      <c r="B925" s="8"/>
    </row>
    <row r="926" ht="14.25" customHeight="1">
      <c r="A926" s="8"/>
      <c r="B926" s="8"/>
    </row>
    <row r="927" ht="14.25" customHeight="1">
      <c r="A927" s="8"/>
      <c r="B927" s="8"/>
    </row>
    <row r="928" ht="14.25" customHeight="1">
      <c r="A928" s="8"/>
      <c r="B928" s="8"/>
    </row>
    <row r="929" ht="14.25" customHeight="1">
      <c r="A929" s="8"/>
      <c r="B929" s="8"/>
    </row>
    <row r="930" ht="14.25" customHeight="1">
      <c r="A930" s="8"/>
      <c r="B930" s="8"/>
    </row>
    <row r="931" ht="14.25" customHeight="1">
      <c r="A931" s="8"/>
      <c r="B931" s="8"/>
    </row>
    <row r="932" ht="14.25" customHeight="1">
      <c r="A932" s="8"/>
      <c r="B932" s="8"/>
    </row>
    <row r="933" ht="14.25" customHeight="1">
      <c r="A933" s="8"/>
      <c r="B933" s="8"/>
    </row>
    <row r="934" ht="14.25" customHeight="1">
      <c r="A934" s="8"/>
      <c r="B934" s="8"/>
    </row>
    <row r="935" ht="14.25" customHeight="1">
      <c r="A935" s="8"/>
      <c r="B935" s="8"/>
    </row>
    <row r="936" ht="14.25" customHeight="1">
      <c r="A936" s="8"/>
      <c r="B936" s="8"/>
    </row>
    <row r="937" ht="14.25" customHeight="1">
      <c r="A937" s="8"/>
      <c r="B937" s="8"/>
    </row>
    <row r="938" ht="14.25" customHeight="1">
      <c r="A938" s="8"/>
      <c r="B938" s="8"/>
    </row>
    <row r="939" ht="14.25" customHeight="1">
      <c r="A939" s="8"/>
      <c r="B939" s="8"/>
    </row>
    <row r="940" ht="14.25" customHeight="1">
      <c r="A940" s="8"/>
      <c r="B940" s="8"/>
    </row>
    <row r="941" ht="14.25" customHeight="1">
      <c r="A941" s="8"/>
      <c r="B941" s="8"/>
    </row>
    <row r="942" ht="14.25" customHeight="1">
      <c r="A942" s="8"/>
      <c r="B942" s="8"/>
    </row>
    <row r="943" ht="14.25" customHeight="1">
      <c r="A943" s="8"/>
      <c r="B943" s="8"/>
    </row>
    <row r="944" ht="14.25" customHeight="1">
      <c r="A944" s="8"/>
      <c r="B944" s="8"/>
    </row>
    <row r="945" ht="14.25" customHeight="1">
      <c r="A945" s="8"/>
      <c r="B945" s="8"/>
    </row>
    <row r="946" ht="14.25" customHeight="1">
      <c r="A946" s="8"/>
      <c r="B946" s="8"/>
    </row>
    <row r="947" ht="14.25" customHeight="1">
      <c r="A947" s="8"/>
      <c r="B947" s="8"/>
    </row>
    <row r="948" ht="14.25" customHeight="1">
      <c r="A948" s="8"/>
      <c r="B948" s="8"/>
    </row>
    <row r="949" ht="14.25" customHeight="1">
      <c r="A949" s="8"/>
      <c r="B949" s="8"/>
    </row>
    <row r="950" ht="14.25" customHeight="1">
      <c r="A950" s="8"/>
      <c r="B950" s="8"/>
    </row>
    <row r="951" ht="14.25" customHeight="1">
      <c r="A951" s="8"/>
      <c r="B951" s="8"/>
    </row>
    <row r="952" ht="14.25" customHeight="1">
      <c r="A952" s="8"/>
      <c r="B952" s="8"/>
    </row>
    <row r="953" ht="14.25" customHeight="1">
      <c r="A953" s="8"/>
      <c r="B953" s="8"/>
    </row>
    <row r="954" ht="14.25" customHeight="1">
      <c r="A954" s="8"/>
      <c r="B954" s="8"/>
    </row>
    <row r="955" ht="14.25" customHeight="1">
      <c r="A955" s="8"/>
      <c r="B955" s="8"/>
    </row>
    <row r="956" ht="14.25" customHeight="1">
      <c r="A956" s="8"/>
      <c r="B956" s="8"/>
    </row>
    <row r="957" ht="14.25" customHeight="1">
      <c r="A957" s="8"/>
      <c r="B957" s="8"/>
    </row>
    <row r="958" ht="14.25" customHeight="1">
      <c r="A958" s="8"/>
      <c r="B958" s="8"/>
    </row>
    <row r="959" ht="14.25" customHeight="1">
      <c r="A959" s="8"/>
      <c r="B959" s="8"/>
    </row>
    <row r="960" ht="14.25" customHeight="1">
      <c r="A960" s="8"/>
      <c r="B960" s="8"/>
    </row>
    <row r="961" ht="14.25" customHeight="1">
      <c r="A961" s="8"/>
      <c r="B961" s="8"/>
    </row>
    <row r="962" ht="14.25" customHeight="1">
      <c r="A962" s="8"/>
      <c r="B962" s="8"/>
    </row>
    <row r="963" ht="14.25" customHeight="1">
      <c r="A963" s="8"/>
      <c r="B963" s="8"/>
    </row>
    <row r="964" ht="14.25" customHeight="1">
      <c r="A964" s="8"/>
      <c r="B964" s="8"/>
    </row>
    <row r="965" ht="14.25" customHeight="1">
      <c r="A965" s="8"/>
      <c r="B965" s="8"/>
    </row>
    <row r="966" ht="14.25" customHeight="1">
      <c r="A966" s="8"/>
      <c r="B966" s="8"/>
    </row>
    <row r="967" ht="14.25" customHeight="1">
      <c r="A967" s="8"/>
      <c r="B967" s="8"/>
    </row>
    <row r="968" ht="14.25" customHeight="1">
      <c r="A968" s="8"/>
      <c r="B968" s="8"/>
    </row>
    <row r="969" ht="14.25" customHeight="1">
      <c r="A969" s="8"/>
      <c r="B969" s="8"/>
    </row>
    <row r="970" ht="14.25" customHeight="1">
      <c r="A970" s="8"/>
      <c r="B970" s="8"/>
    </row>
    <row r="971" ht="14.25" customHeight="1">
      <c r="A971" s="8"/>
      <c r="B971" s="8"/>
    </row>
    <row r="972" ht="14.25" customHeight="1">
      <c r="A972" s="8"/>
      <c r="B972" s="8"/>
    </row>
    <row r="973" ht="14.25" customHeight="1">
      <c r="A973" s="8"/>
      <c r="B973" s="8"/>
    </row>
    <row r="974" ht="14.25" customHeight="1">
      <c r="A974" s="8"/>
      <c r="B974" s="8"/>
    </row>
    <row r="975" ht="14.25" customHeight="1">
      <c r="A975" s="8"/>
      <c r="B975" s="8"/>
    </row>
    <row r="976" ht="14.25" customHeight="1">
      <c r="A976" s="8"/>
      <c r="B976" s="8"/>
    </row>
    <row r="977" ht="14.25" customHeight="1">
      <c r="A977" s="8"/>
      <c r="B977" s="8"/>
    </row>
    <row r="978" ht="14.25" customHeight="1">
      <c r="A978" s="8"/>
      <c r="B978" s="8"/>
    </row>
    <row r="979" ht="14.25" customHeight="1">
      <c r="A979" s="8"/>
      <c r="B979" s="8"/>
    </row>
    <row r="980" ht="14.25" customHeight="1">
      <c r="A980" s="8"/>
      <c r="B980" s="8"/>
    </row>
    <row r="981" ht="14.25" customHeight="1">
      <c r="A981" s="8"/>
      <c r="B981" s="8"/>
    </row>
    <row r="982" ht="14.25" customHeight="1">
      <c r="A982" s="8"/>
      <c r="B982" s="8"/>
    </row>
    <row r="983" ht="14.25" customHeight="1">
      <c r="A983" s="8"/>
      <c r="B983" s="8"/>
    </row>
    <row r="984" ht="14.25" customHeight="1">
      <c r="A984" s="8"/>
      <c r="B984" s="8"/>
    </row>
    <row r="985" ht="14.25" customHeight="1">
      <c r="A985" s="8"/>
      <c r="B985" s="8"/>
    </row>
    <row r="986" ht="14.25" customHeight="1">
      <c r="A986" s="8"/>
      <c r="B986" s="8"/>
    </row>
    <row r="987" ht="14.25" customHeight="1">
      <c r="A987" s="8"/>
      <c r="B987" s="8"/>
    </row>
    <row r="988" ht="14.25" customHeight="1">
      <c r="A988" s="8"/>
      <c r="B988" s="8"/>
    </row>
    <row r="989" ht="14.25" customHeight="1">
      <c r="A989" s="8"/>
      <c r="B989" s="8"/>
    </row>
    <row r="990" ht="14.25" customHeight="1">
      <c r="A990" s="8"/>
      <c r="B990" s="8"/>
    </row>
    <row r="991" ht="14.25" customHeight="1">
      <c r="A991" s="8"/>
      <c r="B991" s="8"/>
    </row>
    <row r="992" ht="14.25" customHeight="1">
      <c r="A992" s="8"/>
      <c r="B992" s="8"/>
    </row>
    <row r="993" ht="14.25" customHeight="1">
      <c r="A993" s="8"/>
      <c r="B993" s="8"/>
    </row>
    <row r="994" ht="14.25" customHeight="1">
      <c r="A994" s="8"/>
      <c r="B994" s="8"/>
    </row>
    <row r="995" ht="14.25" customHeight="1">
      <c r="A995" s="8"/>
      <c r="B995" s="8"/>
    </row>
    <row r="996" ht="14.25" customHeight="1">
      <c r="A996" s="8"/>
      <c r="B996" s="8"/>
    </row>
    <row r="997" ht="14.25" customHeight="1">
      <c r="A997" s="8"/>
      <c r="B997" s="8"/>
    </row>
    <row r="998" ht="14.25" customHeight="1">
      <c r="A998" s="8"/>
      <c r="B998" s="8"/>
    </row>
    <row r="999" ht="14.25" customHeight="1">
      <c r="A999" s="8"/>
      <c r="B999" s="8"/>
    </row>
    <row r="1000" ht="14.25" customHeight="1">
      <c r="A1000" s="8"/>
      <c r="B1000" s="8"/>
    </row>
  </sheetData>
  <autoFilter ref="$A$1:$H$150"/>
  <dataValidations>
    <dataValidation type="list" allowBlank="1" sqref="B2:B1000">
      <formula1>DICTIONARIES!$AK$2:$AK$4</formula1>
    </dataValidation>
    <dataValidation type="list" allowBlank="1" sqref="A2:A1000">
      <formula1>DICTIONARIES!$AJ$2:$AJ$4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8.0"/>
    <col customWidth="1" min="3" max="3" width="10.0"/>
    <col customWidth="1" min="4" max="4" width="24.0"/>
    <col customWidth="1" min="5" max="5" width="18.0"/>
    <col customWidth="1" min="6" max="9" width="14.0"/>
    <col customWidth="1" min="10" max="11" width="18.0"/>
    <col customWidth="1" min="12" max="12" width="24.0"/>
    <col customWidth="1" min="13" max="26" width="8.71"/>
  </cols>
  <sheetData>
    <row r="1" ht="14.25" customHeight="1">
      <c r="A1" s="9" t="s">
        <v>238</v>
      </c>
      <c r="B1" s="9" t="s">
        <v>302</v>
      </c>
      <c r="C1" s="9" t="s">
        <v>961</v>
      </c>
      <c r="D1" s="9" t="s">
        <v>962</v>
      </c>
      <c r="E1" s="9" t="s">
        <v>963</v>
      </c>
      <c r="F1" s="9" t="s">
        <v>964</v>
      </c>
      <c r="G1" s="9" t="s">
        <v>965</v>
      </c>
      <c r="H1" s="9" t="s">
        <v>966</v>
      </c>
      <c r="I1" s="9" t="s">
        <v>967</v>
      </c>
      <c r="J1" s="9" t="s">
        <v>968</v>
      </c>
      <c r="K1" s="9" t="s">
        <v>969</v>
      </c>
      <c r="L1" s="9" t="s">
        <v>116</v>
      </c>
    </row>
    <row r="2" ht="14.25" customHeight="1">
      <c r="A2" s="4" t="s">
        <v>267</v>
      </c>
      <c r="B2" s="4" t="s">
        <v>239</v>
      </c>
      <c r="C2" s="4">
        <v>10.0</v>
      </c>
      <c r="D2" s="4" t="s">
        <v>239</v>
      </c>
      <c r="E2" s="4" t="s">
        <v>245</v>
      </c>
      <c r="F2" s="4" t="s">
        <v>277</v>
      </c>
      <c r="G2" s="4" t="s">
        <v>245</v>
      </c>
      <c r="H2" s="4" t="s">
        <v>970</v>
      </c>
      <c r="I2" s="4" t="s">
        <v>971</v>
      </c>
      <c r="J2" s="4" t="s">
        <v>245</v>
      </c>
      <c r="K2" s="4" t="s">
        <v>245</v>
      </c>
      <c r="L2" s="4" t="s">
        <v>972</v>
      </c>
    </row>
    <row r="3" ht="14.25" customHeight="1">
      <c r="A3" s="4" t="s">
        <v>243</v>
      </c>
      <c r="B3" s="4" t="s">
        <v>239</v>
      </c>
      <c r="C3" s="4">
        <v>10.0</v>
      </c>
      <c r="D3" s="4" t="s">
        <v>239</v>
      </c>
      <c r="E3" s="4" t="s">
        <v>245</v>
      </c>
      <c r="F3" s="4" t="s">
        <v>316</v>
      </c>
      <c r="G3" s="4" t="s">
        <v>245</v>
      </c>
      <c r="H3" s="4" t="s">
        <v>973</v>
      </c>
      <c r="I3" s="4" t="s">
        <v>971</v>
      </c>
      <c r="J3" s="4" t="s">
        <v>245</v>
      </c>
      <c r="K3" s="4" t="s">
        <v>245</v>
      </c>
      <c r="L3" s="4" t="s">
        <v>974</v>
      </c>
    </row>
    <row r="4" ht="14.25" customHeight="1">
      <c r="A4" s="4" t="s">
        <v>346</v>
      </c>
      <c r="B4" s="4" t="s">
        <v>239</v>
      </c>
      <c r="C4" s="4">
        <v>10.0</v>
      </c>
      <c r="D4" s="4" t="s">
        <v>975</v>
      </c>
      <c r="E4" s="4" t="s">
        <v>245</v>
      </c>
      <c r="F4" s="4" t="s">
        <v>356</v>
      </c>
      <c r="G4" s="4" t="s">
        <v>245</v>
      </c>
      <c r="H4" s="4" t="s">
        <v>973</v>
      </c>
      <c r="I4" s="4" t="s">
        <v>971</v>
      </c>
      <c r="J4" s="4" t="s">
        <v>245</v>
      </c>
      <c r="K4" s="4" t="s">
        <v>245</v>
      </c>
      <c r="L4" s="4" t="s">
        <v>976</v>
      </c>
    </row>
    <row r="5" ht="14.25" customHeight="1">
      <c r="A5" s="4" t="s">
        <v>385</v>
      </c>
      <c r="B5" s="4" t="s">
        <v>239</v>
      </c>
      <c r="C5" s="4">
        <v>10.0</v>
      </c>
      <c r="D5" s="4" t="s">
        <v>239</v>
      </c>
      <c r="E5" s="4" t="s">
        <v>245</v>
      </c>
      <c r="F5" s="4" t="s">
        <v>356</v>
      </c>
      <c r="G5" s="4" t="s">
        <v>245</v>
      </c>
      <c r="H5" s="4" t="s">
        <v>973</v>
      </c>
      <c r="I5" s="4" t="s">
        <v>973</v>
      </c>
      <c r="J5" s="4" t="s">
        <v>245</v>
      </c>
      <c r="K5" s="4" t="s">
        <v>245</v>
      </c>
      <c r="L5" s="4" t="s">
        <v>977</v>
      </c>
    </row>
    <row r="6" ht="14.25" customHeight="1">
      <c r="A6" s="4" t="s">
        <v>243</v>
      </c>
      <c r="B6" s="4" t="s">
        <v>281</v>
      </c>
      <c r="C6" s="4">
        <v>20.0</v>
      </c>
      <c r="D6" s="4" t="s">
        <v>281</v>
      </c>
      <c r="E6" s="4" t="s">
        <v>245</v>
      </c>
      <c r="F6" s="4" t="s">
        <v>316</v>
      </c>
      <c r="G6" s="4" t="s">
        <v>245</v>
      </c>
      <c r="H6" s="4" t="s">
        <v>970</v>
      </c>
      <c r="I6" s="4" t="s">
        <v>971</v>
      </c>
      <c r="J6" s="4" t="s">
        <v>245</v>
      </c>
      <c r="K6" s="4" t="s">
        <v>245</v>
      </c>
      <c r="L6" s="4"/>
    </row>
    <row r="7" ht="14.25" customHeight="1">
      <c r="A7" s="4" t="s">
        <v>243</v>
      </c>
      <c r="B7" s="4" t="s">
        <v>320</v>
      </c>
      <c r="C7" s="4">
        <v>30.0</v>
      </c>
      <c r="D7" s="4" t="s">
        <v>320</v>
      </c>
      <c r="E7" s="4" t="s">
        <v>245</v>
      </c>
      <c r="F7" s="4" t="s">
        <v>316</v>
      </c>
      <c r="G7" s="4" t="s">
        <v>245</v>
      </c>
      <c r="H7" s="4" t="s">
        <v>973</v>
      </c>
      <c r="I7" s="4" t="s">
        <v>971</v>
      </c>
      <c r="J7" s="4" t="s">
        <v>245</v>
      </c>
      <c r="K7" s="4" t="s">
        <v>245</v>
      </c>
      <c r="L7" s="4"/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L$7"/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6.0"/>
    <col customWidth="1" min="3" max="3" width="12.0"/>
    <col customWidth="1" min="4" max="4" width="70.0"/>
    <col customWidth="1" min="5" max="5" width="16.0"/>
    <col customWidth="1" min="6" max="6" width="10.0"/>
    <col customWidth="1" min="7" max="7" width="24.0"/>
    <col customWidth="1" min="8" max="26" width="8.71"/>
  </cols>
  <sheetData>
    <row r="1" ht="14.25" customHeight="1">
      <c r="A1" s="9" t="s">
        <v>883</v>
      </c>
      <c r="B1" s="9" t="s">
        <v>302</v>
      </c>
      <c r="C1" s="9" t="s">
        <v>235</v>
      </c>
      <c r="D1" s="9" t="s">
        <v>978</v>
      </c>
      <c r="E1" s="9" t="s">
        <v>979</v>
      </c>
      <c r="F1" s="9" t="s">
        <v>55</v>
      </c>
      <c r="G1" s="9" t="s">
        <v>116</v>
      </c>
    </row>
    <row r="2" ht="14.25" customHeight="1">
      <c r="A2" s="4" t="s">
        <v>267</v>
      </c>
      <c r="B2" s="4" t="s">
        <v>980</v>
      </c>
      <c r="C2" s="4" t="s">
        <v>317</v>
      </c>
      <c r="D2" s="4" t="s">
        <v>981</v>
      </c>
      <c r="E2" s="4" t="s">
        <v>245</v>
      </c>
      <c r="F2" s="4">
        <v>10.0</v>
      </c>
      <c r="G2" s="4" t="s">
        <v>982</v>
      </c>
    </row>
    <row r="3" ht="14.25" customHeight="1">
      <c r="A3" s="4" t="s">
        <v>243</v>
      </c>
      <c r="B3" s="4" t="s">
        <v>980</v>
      </c>
      <c r="C3" s="4" t="s">
        <v>357</v>
      </c>
      <c r="D3" s="4" t="s">
        <v>983</v>
      </c>
      <c r="E3" s="4" t="s">
        <v>245</v>
      </c>
      <c r="F3" s="4">
        <v>10.0</v>
      </c>
      <c r="G3" s="4" t="s">
        <v>984</v>
      </c>
    </row>
    <row r="4" ht="14.25" customHeight="1">
      <c r="A4" s="4" t="s">
        <v>346</v>
      </c>
      <c r="B4" s="4" t="s">
        <v>980</v>
      </c>
      <c r="C4" s="4" t="s">
        <v>278</v>
      </c>
      <c r="D4" s="4" t="s">
        <v>985</v>
      </c>
      <c r="E4" s="4" t="s">
        <v>245</v>
      </c>
      <c r="F4" s="4">
        <v>10.0</v>
      </c>
      <c r="G4" s="4" t="s">
        <v>986</v>
      </c>
    </row>
    <row r="5" ht="14.25" customHeight="1">
      <c r="A5" s="4" t="s">
        <v>243</v>
      </c>
      <c r="B5" s="4" t="s">
        <v>281</v>
      </c>
      <c r="C5" s="4" t="s">
        <v>317</v>
      </c>
      <c r="D5" s="4" t="s">
        <v>987</v>
      </c>
      <c r="E5" s="4" t="s">
        <v>245</v>
      </c>
      <c r="F5" s="4">
        <v>20.0</v>
      </c>
      <c r="G5" s="4" t="s">
        <v>988</v>
      </c>
    </row>
    <row r="6" ht="14.25" customHeight="1">
      <c r="A6" s="4" t="s">
        <v>243</v>
      </c>
      <c r="B6" s="4" t="s">
        <v>239</v>
      </c>
      <c r="C6" s="4" t="s">
        <v>357</v>
      </c>
      <c r="D6" s="4" t="s">
        <v>989</v>
      </c>
      <c r="E6" s="4" t="s">
        <v>245</v>
      </c>
      <c r="F6" s="4">
        <v>20.0</v>
      </c>
      <c r="G6" s="4"/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6"/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2.0"/>
    <col customWidth="1" min="3" max="3" width="10.0"/>
    <col customWidth="1" min="4" max="5" width="14.0"/>
    <col customWidth="1" min="6" max="6" width="32.0"/>
    <col customWidth="1" min="7" max="7" width="10.0"/>
    <col customWidth="1" min="8" max="8" width="14.0"/>
    <col customWidth="1" min="9" max="11" width="12.0"/>
    <col customWidth="1" min="12" max="12" width="14.0"/>
    <col customWidth="1" min="13" max="13" width="12.0"/>
    <col customWidth="1" min="14" max="14" width="14.0"/>
    <col customWidth="1" min="15" max="15" width="44.0"/>
    <col customWidth="1" min="16" max="26" width="8.71"/>
  </cols>
  <sheetData>
    <row r="1" ht="14.25" customHeight="1">
      <c r="A1" s="9" t="s">
        <v>610</v>
      </c>
      <c r="B1" s="9" t="s">
        <v>883</v>
      </c>
      <c r="C1" s="9" t="s">
        <v>990</v>
      </c>
      <c r="D1" s="9" t="s">
        <v>991</v>
      </c>
      <c r="E1" s="9" t="s">
        <v>467</v>
      </c>
      <c r="F1" s="9" t="s">
        <v>885</v>
      </c>
      <c r="G1" s="9" t="s">
        <v>869</v>
      </c>
      <c r="H1" s="9" t="s">
        <v>992</v>
      </c>
      <c r="I1" s="9" t="s">
        <v>135</v>
      </c>
      <c r="J1" s="9" t="s">
        <v>993</v>
      </c>
      <c r="K1" s="9" t="s">
        <v>156</v>
      </c>
      <c r="L1" s="9" t="s">
        <v>994</v>
      </c>
      <c r="M1" s="9" t="s">
        <v>163</v>
      </c>
      <c r="N1" s="9" t="s">
        <v>995</v>
      </c>
      <c r="O1" s="9" t="s">
        <v>996</v>
      </c>
    </row>
    <row r="2" ht="14.25" customHeight="1">
      <c r="A2" s="11" t="s">
        <v>617</v>
      </c>
      <c r="B2" s="11" t="s">
        <v>346</v>
      </c>
      <c r="C2" s="11" t="s">
        <v>246</v>
      </c>
      <c r="D2" s="11" t="s">
        <v>451</v>
      </c>
      <c r="E2" s="11"/>
      <c r="F2" s="11">
        <f>IF($C2="","",IF($C2="Work",IFERROR(IF(SUMIFS(WORK_TARIFF_RULES!$G:$G,WORK_TARIFF_RULES!$A:$A,$D2,WORK_TARIFF_RULES!$C:$C,$B2)&lt;&gt;"",SUMIFS(WORK_TARIFF_RULES!$G:$G,WORK_TARIFF_RULES!$A:$A,$D2,WORK_TARIFF_RULES!$C:$C,$B2),SUMIFS(WORK_MASTER!$C:$C,WORK_MASTER!$A:$A,$D2)),""),IF($C2="Material",IFERROR(IF(SUMIFS(MATERIAL_TARIFF_RULES!$G:$G,MATERIAL_TARIFF_RULES!$A:$A,$D2,MATERIAL_TARIFF_RULES!$C:$C,$B2)&lt;&gt;"",SUMIFS(MATERIAL_TARIFF_RULES!$G:$G,MATERIAL_TARIFF_RULES!$A:$A,$D2,MATERIAL_TARIFF_RULES!$C:$C,$B2),SUMIFS(MATERIAL_VARIANTS!$J:$J,MATERIAL_VARIANTS!$A:$A,$E2)),""),"")))</f>
        <v>0</v>
      </c>
      <c r="G2" s="36">
        <v>120.0</v>
      </c>
      <c r="H2" s="36">
        <f>IF($C2="","",IF($C2="Work",IFERROR(SUMIFS(WORK_MASTER!$I:$I,WORK_MASTER!$A:$A,$D2),""),IF($C2="Material",IFERROR(SUMIFS(MATERIAL_VARIANTS!$I:$I,MATERIAL_VARIANTS!$A:$A,$E2),""),"")))</f>
        <v>320</v>
      </c>
      <c r="I2" s="36">
        <f>IF($C2="","",IF($C2="Work",IFERROR(SUMIFS(WORK_FACTOR_APPLICABILITY!$O:$O,WORK_FACTOR_APPLICABILITY!$A:$A,$D2,WORK_FACTOR_APPLICABILITY!$N:$N,$A2),1),IF($C2="Material",IFERROR(ROUND(1+SUMIFS(MATERIAL_FACTOR_APPLICABILITY!$D:$D,MATERIAL_FACTOR_APPLICABILITY!$A:$A,SUMIFS(MATERIAL_MASTER!$O:$O,MATERIAL_MASTER!$A:$A,$D2),MATERIAL_FACTOR_APPLICABILITY!$B:$B,"GeometryComplexity")*(SUMIFS(OBJECT_CONDITIONS!$W:$W,OBJECT_CONDITIONS!$A:$A,$A2)-1),3),1),"")))</f>
        <v>1.278</v>
      </c>
      <c r="J2" s="36">
        <f>IF($C2="","",IF($C2="Work",IFERROR(IF(SUMIFS(WORK_TARIFF_RULES!$F:$F,WORK_TARIFF_RULES!$A:$A,$D2,WORK_TARIFF_RULES!$C:$C,$B2)&lt;&gt;"",SUMIFS(WORK_TARIFF_RULES!$F:$F,WORK_TARIFF_RULES!$A:$A,$D2,WORK_TARIFF_RULES!$C:$C,$B2),SUMIFS(TARIFF_PROFILES!$D:$D,TARIFF_PROFILES!$A:$A,$B2)),1),IF($C2="Material",IFERROR(IF(SUMIFS(MATERIAL_TARIFF_RULES!$E:$E,MATERIAL_TARIFF_RULES!$A:$A,$D2,MATERIAL_TARIFF_RULES!$C:$C,$B2)&lt;&gt;"",SUMIFS(MATERIAL_TARIFF_RULES!$E:$E,MATERIAL_TARIFF_RULES!$A:$A,$D2,MATERIAL_TARIFF_RULES!$C:$C,$B2),SUMIFS(TARIFF_PROFILES!$E:$E,TARIFF_PROFILES!$A:$A,$B2)),1),"")))</f>
        <v>0</v>
      </c>
      <c r="K2" s="36">
        <f>IF($C2="","",IF($C2="Material",IFERROR(SUMIFS(MATERIAL_MASTER!$P:$P,MATERIAL_MASTER!$A:$A,$D2)*IF(SUMIFS(MATERIAL_TARIFF_RULES!$F:$F,MATERIAL_TARIFF_RULES!$A:$A,$D2,MATERIAL_TARIFF_RULES!$C:$C,$B2)="",SUMIFS(TARIFF_PROFILES!$H:$H,TARIFF_PROFILES!$A:$A,$B2),SUMIFS(MATERIAL_TARIFF_RULES!$F:$F,MATERIAL_TARIFF_RULES!$A:$A,$D2,MATERIAL_TARIFF_RULES!$C:$C,$B2)),1),1))</f>
        <v>1</v>
      </c>
      <c r="L2" s="36">
        <f t="shared" ref="L2:L100" si="1">IF($C2="","",IF($C2="Work",N($H2)*N($I2)*N($J2),IF($C2="Material",N($H2)*N($I2)*N($J2),"")))</f>
        <v>0</v>
      </c>
      <c r="M2" s="36">
        <f t="shared" ref="M2:M100" si="2">IF($C2="","",IF($C2="Material",N($G2)*N($K2),N($G2)))</f>
        <v>120</v>
      </c>
      <c r="N2" s="36">
        <f t="shared" ref="N2:N100" si="3">IF($C2="","",N($L2)*N($M2))</f>
        <v>0</v>
      </c>
      <c r="O2" s="11" t="str">
        <f t="shared" ref="O2:O100" si="4">IF($C2="","",IF($C2="Work","Тариф влияет на способ/детализацию и коэффициент работ",IF($C2="Material","Тариф влияет на вариант, качество, запас и показ материала","")))</f>
        <v>Тариф влияет на способ/детализацию и коэффициент работ</v>
      </c>
    </row>
    <row r="3" ht="14.25" customHeight="1">
      <c r="A3" s="11" t="s">
        <v>617</v>
      </c>
      <c r="B3" s="11" t="s">
        <v>346</v>
      </c>
      <c r="C3" s="11" t="s">
        <v>286</v>
      </c>
      <c r="D3" s="11" t="s">
        <v>493</v>
      </c>
      <c r="E3" s="11" t="s">
        <v>543</v>
      </c>
      <c r="F3" s="11">
        <f>IF($C3="","",IF($C3="Work",IFERROR(IF(SUMIFS(WORK_TARIFF_RULES!$G:$G,WORK_TARIFF_RULES!$A:$A,$D3,WORK_TARIFF_RULES!$C:$C,$B3)&lt;&gt;"",SUMIFS(WORK_TARIFF_RULES!$G:$G,WORK_TARIFF_RULES!$A:$A,$D3,WORK_TARIFF_RULES!$C:$C,$B3),SUMIFS(WORK_MASTER!$C:$C,WORK_MASTER!$A:$A,$D3)),""),IF($C3="Material",IFERROR(IF(SUMIFS(MATERIAL_TARIFF_RULES!$G:$G,MATERIAL_TARIFF_RULES!$A:$A,$D3,MATERIAL_TARIFF_RULES!$C:$C,$B3)&lt;&gt;"",SUMIFS(MATERIAL_TARIFF_RULES!$G:$G,MATERIAL_TARIFF_RULES!$A:$A,$D3,MATERIAL_TARIFF_RULES!$C:$C,$B3),SUMIFS(MATERIAL_VARIANTS!$J:$J,MATERIAL_VARIANTS!$A:$A,$E3)),""),"")))</f>
        <v>0</v>
      </c>
      <c r="G3" s="36">
        <v>120.0</v>
      </c>
      <c r="H3" s="36">
        <f>IF($C3="","",IF($C3="Work",IFERROR(SUMIFS(WORK_MASTER!$I:$I,WORK_MASTER!$A:$A,$D3),""),IF($C3="Material",IFERROR(SUMIFS(MATERIAL_VARIANTS!$I:$I,MATERIAL_VARIANTS!$A:$A,$E3),""),"")))</f>
        <v>0</v>
      </c>
      <c r="I3" s="36">
        <f>IF($C3="","",IF($C3="Work",IFERROR(SUMIFS(WORK_FACTOR_APPLICABILITY!$O:$O,WORK_FACTOR_APPLICABILITY!$A:$A,$D3,WORK_FACTOR_APPLICABILITY!$N:$N,$A3),1),IF($C3="Material",IFERROR(ROUND(1+SUMIFS(MATERIAL_FACTOR_APPLICABILITY!$D:$D,MATERIAL_FACTOR_APPLICABILITY!$A:$A,SUMIFS(MATERIAL_MASTER!$O:$O,MATERIAL_MASTER!$A:$A,$D3),MATERIAL_FACTOR_APPLICABILITY!$B:$B,"GeometryComplexity")*(SUMIFS(OBJECT_CONDITIONS!$W:$W,OBJECT_CONDITIONS!$A:$A,$A3)-1),3),1),"")))</f>
        <v>1</v>
      </c>
      <c r="J3" s="36">
        <f>IF($C3="","",IF($C3="Work",IFERROR(IF(SUMIFS(WORK_TARIFF_RULES!$F:$F,WORK_TARIFF_RULES!$A:$A,$D3,WORK_TARIFF_RULES!$C:$C,$B3)&lt;&gt;"",SUMIFS(WORK_TARIFF_RULES!$F:$F,WORK_TARIFF_RULES!$A:$A,$D3,WORK_TARIFF_RULES!$C:$C,$B3),SUMIFS(TARIFF_PROFILES!$D:$D,TARIFF_PROFILES!$A:$A,$B3)),1),IF($C3="Material",IFERROR(IF(SUMIFS(MATERIAL_TARIFF_RULES!$E:$E,MATERIAL_TARIFF_RULES!$A:$A,$D3,MATERIAL_TARIFF_RULES!$C:$C,$B3)&lt;&gt;"",SUMIFS(MATERIAL_TARIFF_RULES!$E:$E,MATERIAL_TARIFF_RULES!$A:$A,$D3,MATERIAL_TARIFF_RULES!$C:$C,$B3),SUMIFS(TARIFF_PROFILES!$E:$E,TARIFF_PROFILES!$A:$A,$B3)),1),"")))</f>
        <v>0</v>
      </c>
      <c r="K3" s="36">
        <f>IF($C3="","",IF($C3="Material",IFERROR(SUMIFS(MATERIAL_MASTER!$P:$P,MATERIAL_MASTER!$A:$A,$D3)*IF(SUMIFS(MATERIAL_TARIFF_RULES!$F:$F,MATERIAL_TARIFF_RULES!$A:$A,$D3,MATERIAL_TARIFF_RULES!$C:$C,$B3)="",SUMIFS(TARIFF_PROFILES!$H:$H,TARIFF_PROFILES!$A:$A,$B3),SUMIFS(MATERIAL_TARIFF_RULES!$F:$F,MATERIAL_TARIFF_RULES!$A:$A,$D3,MATERIAL_TARIFF_RULES!$C:$C,$B3)),1),1))</f>
        <v>0</v>
      </c>
      <c r="L3" s="36">
        <f t="shared" si="1"/>
        <v>0</v>
      </c>
      <c r="M3" s="36">
        <f t="shared" si="2"/>
        <v>0</v>
      </c>
      <c r="N3" s="36">
        <f t="shared" si="3"/>
        <v>0</v>
      </c>
      <c r="O3" s="11" t="str">
        <f t="shared" si="4"/>
        <v>Тариф влияет на вариант, качество, запас и показ материала</v>
      </c>
    </row>
    <row r="4" ht="14.25" customHeight="1">
      <c r="A4" s="11" t="s">
        <v>655</v>
      </c>
      <c r="B4" s="11" t="s">
        <v>267</v>
      </c>
      <c r="C4" s="11" t="s">
        <v>246</v>
      </c>
      <c r="D4" s="11" t="s">
        <v>444</v>
      </c>
      <c r="E4" s="11"/>
      <c r="F4" s="11">
        <f>IF($C4="","",IF($C4="Work",IFERROR(IF(SUMIFS(WORK_TARIFF_RULES!$G:$G,WORK_TARIFF_RULES!$A:$A,$D4,WORK_TARIFF_RULES!$C:$C,$B4)&lt;&gt;"",SUMIFS(WORK_TARIFF_RULES!$G:$G,WORK_TARIFF_RULES!$A:$A,$D4,WORK_TARIFF_RULES!$C:$C,$B4),SUMIFS(WORK_MASTER!$C:$C,WORK_MASTER!$A:$A,$D4)),""),IF($C4="Material",IFERROR(IF(SUMIFS(MATERIAL_TARIFF_RULES!$G:$G,MATERIAL_TARIFF_RULES!$A:$A,$D4,MATERIAL_TARIFF_RULES!$C:$C,$B4)&lt;&gt;"",SUMIFS(MATERIAL_TARIFF_RULES!$G:$G,MATERIAL_TARIFF_RULES!$A:$A,$D4,MATERIAL_TARIFF_RULES!$C:$C,$B4),SUMIFS(MATERIAL_VARIANTS!$J:$J,MATERIAL_VARIANTS!$A:$A,$E4)),""),"")))</f>
        <v>0</v>
      </c>
      <c r="G4" s="36">
        <v>200.0</v>
      </c>
      <c r="H4" s="36">
        <f>IF($C4="","",IF($C4="Work",IFERROR(SUMIFS(WORK_MASTER!$I:$I,WORK_MASTER!$A:$A,$D4),""),IF($C4="Material",IFERROR(SUMIFS(MATERIAL_VARIANTS!$I:$I,MATERIAL_VARIANTS!$A:$A,$E4),""),"")))</f>
        <v>350</v>
      </c>
      <c r="I4" s="36">
        <f>IF($C4="","",IF($C4="Work",IFERROR(SUMIFS(WORK_FACTOR_APPLICABILITY!$O:$O,WORK_FACTOR_APPLICABILITY!$A:$A,$D4,WORK_FACTOR_APPLICABILITY!$N:$N,$A4),1),IF($C4="Material",IFERROR(ROUND(1+SUMIFS(MATERIAL_FACTOR_APPLICABILITY!$D:$D,MATERIAL_FACTOR_APPLICABILITY!$A:$A,SUMIFS(MATERIAL_MASTER!$O:$O,MATERIAL_MASTER!$A:$A,$D4),MATERIAL_FACTOR_APPLICABILITY!$B:$B,"GeometryComplexity")*(SUMIFS(OBJECT_CONDITIONS!$W:$W,OBJECT_CONDITIONS!$A:$A,$A4)-1),3),1),"")))</f>
        <v>0</v>
      </c>
      <c r="J4" s="36">
        <f>IF($C4="","",IF($C4="Work",IFERROR(IF(SUMIFS(WORK_TARIFF_RULES!$F:$F,WORK_TARIFF_RULES!$A:$A,$D4,WORK_TARIFF_RULES!$C:$C,$B4)&lt;&gt;"",SUMIFS(WORK_TARIFF_RULES!$F:$F,WORK_TARIFF_RULES!$A:$A,$D4,WORK_TARIFF_RULES!$C:$C,$B4),SUMIFS(TARIFF_PROFILES!$D:$D,TARIFF_PROFILES!$A:$A,$B4)),1),IF($C4="Material",IFERROR(IF(SUMIFS(MATERIAL_TARIFF_RULES!$E:$E,MATERIAL_TARIFF_RULES!$A:$A,$D4,MATERIAL_TARIFF_RULES!$C:$C,$B4)&lt;&gt;"",SUMIFS(MATERIAL_TARIFF_RULES!$E:$E,MATERIAL_TARIFF_RULES!$A:$A,$D4,MATERIAL_TARIFF_RULES!$C:$C,$B4),SUMIFS(TARIFF_PROFILES!$E:$E,TARIFF_PROFILES!$A:$A,$B4)),1),"")))</f>
        <v>0</v>
      </c>
      <c r="K4" s="36">
        <f>IF($C4="","",IF($C4="Material",IFERROR(SUMIFS(MATERIAL_MASTER!$P:$P,MATERIAL_MASTER!$A:$A,$D4)*IF(SUMIFS(MATERIAL_TARIFF_RULES!$F:$F,MATERIAL_TARIFF_RULES!$A:$A,$D4,MATERIAL_TARIFF_RULES!$C:$C,$B4)="",SUMIFS(TARIFF_PROFILES!$H:$H,TARIFF_PROFILES!$A:$A,$B4),SUMIFS(MATERIAL_TARIFF_RULES!$F:$F,MATERIAL_TARIFF_RULES!$A:$A,$D4,MATERIAL_TARIFF_RULES!$C:$C,$B4)),1),1))</f>
        <v>1</v>
      </c>
      <c r="L4" s="36">
        <f t="shared" si="1"/>
        <v>0</v>
      </c>
      <c r="M4" s="36">
        <f t="shared" si="2"/>
        <v>200</v>
      </c>
      <c r="N4" s="36">
        <f t="shared" si="3"/>
        <v>0</v>
      </c>
      <c r="O4" s="11" t="str">
        <f t="shared" si="4"/>
        <v>Тариф влияет на способ/детализацию и коэффициент работ</v>
      </c>
    </row>
    <row r="5" ht="14.25" customHeight="1">
      <c r="A5" s="11" t="s">
        <v>655</v>
      </c>
      <c r="B5" s="11" t="s">
        <v>267</v>
      </c>
      <c r="C5" s="11" t="s">
        <v>286</v>
      </c>
      <c r="D5" s="11" t="s">
        <v>501</v>
      </c>
      <c r="E5" s="11" t="s">
        <v>545</v>
      </c>
      <c r="F5" s="11">
        <f>IF($C5="","",IF($C5="Work",IFERROR(IF(SUMIFS(WORK_TARIFF_RULES!$G:$G,WORK_TARIFF_RULES!$A:$A,$D5,WORK_TARIFF_RULES!$C:$C,$B5)&lt;&gt;"",SUMIFS(WORK_TARIFF_RULES!$G:$G,WORK_TARIFF_RULES!$A:$A,$D5,WORK_TARIFF_RULES!$C:$C,$B5),SUMIFS(WORK_MASTER!$C:$C,WORK_MASTER!$A:$A,$D5)),""),IF($C5="Material",IFERROR(IF(SUMIFS(MATERIAL_TARIFF_RULES!$G:$G,MATERIAL_TARIFF_RULES!$A:$A,$D5,MATERIAL_TARIFF_RULES!$C:$C,$B5)&lt;&gt;"",SUMIFS(MATERIAL_TARIFF_RULES!$G:$G,MATERIAL_TARIFF_RULES!$A:$A,$D5,MATERIAL_TARIFF_RULES!$C:$C,$B5),SUMIFS(MATERIAL_VARIANTS!$J:$J,MATERIAL_VARIANTS!$A:$A,$E5)),""),"")))</f>
        <v>0</v>
      </c>
      <c r="G5" s="36">
        <v>200.0</v>
      </c>
      <c r="H5" s="36">
        <f>IF($C5="","",IF($C5="Work",IFERROR(SUMIFS(WORK_MASTER!$I:$I,WORK_MASTER!$A:$A,$D5),""),IF($C5="Material",IFERROR(SUMIFS(MATERIAL_VARIANTS!$I:$I,MATERIAL_VARIANTS!$A:$A,$E5),""),"")))</f>
        <v>0</v>
      </c>
      <c r="I5" s="36">
        <f>IF($C5="","",IF($C5="Work",IFERROR(SUMIFS(WORK_FACTOR_APPLICABILITY!$O:$O,WORK_FACTOR_APPLICABILITY!$A:$A,$D5,WORK_FACTOR_APPLICABILITY!$N:$N,$A5),1),IF($C5="Material",IFERROR(ROUND(1+SUMIFS(MATERIAL_FACTOR_APPLICABILITY!$D:$D,MATERIAL_FACTOR_APPLICABILITY!$A:$A,SUMIFS(MATERIAL_MASTER!$O:$O,MATERIAL_MASTER!$A:$A,$D5),MATERIAL_FACTOR_APPLICABILITY!$B:$B,"GeometryComplexity")*(SUMIFS(OBJECT_CONDITIONS!$W:$W,OBJECT_CONDITIONS!$A:$A,$A5)-1),3),1),"")))</f>
        <v>1</v>
      </c>
      <c r="J5" s="36">
        <f>IF($C5="","",IF($C5="Work",IFERROR(IF(SUMIFS(WORK_TARIFF_RULES!$F:$F,WORK_TARIFF_RULES!$A:$A,$D5,WORK_TARIFF_RULES!$C:$C,$B5)&lt;&gt;"",SUMIFS(WORK_TARIFF_RULES!$F:$F,WORK_TARIFF_RULES!$A:$A,$D5,WORK_TARIFF_RULES!$C:$C,$B5),SUMIFS(TARIFF_PROFILES!$D:$D,TARIFF_PROFILES!$A:$A,$B5)),1),IF($C5="Material",IFERROR(IF(SUMIFS(MATERIAL_TARIFF_RULES!$E:$E,MATERIAL_TARIFF_RULES!$A:$A,$D5,MATERIAL_TARIFF_RULES!$C:$C,$B5)&lt;&gt;"",SUMIFS(MATERIAL_TARIFF_RULES!$E:$E,MATERIAL_TARIFF_RULES!$A:$A,$D5,MATERIAL_TARIFF_RULES!$C:$C,$B5),SUMIFS(TARIFF_PROFILES!$E:$E,TARIFF_PROFILES!$A:$A,$B5)),1),"")))</f>
        <v>0</v>
      </c>
      <c r="K5" s="36">
        <f>IF($C5="","",IF($C5="Material",IFERROR(SUMIFS(MATERIAL_MASTER!$P:$P,MATERIAL_MASTER!$A:$A,$D5)*IF(SUMIFS(MATERIAL_TARIFF_RULES!$F:$F,MATERIAL_TARIFF_RULES!$A:$A,$D5,MATERIAL_TARIFF_RULES!$C:$C,$B5)="",SUMIFS(TARIFF_PROFILES!$H:$H,TARIFF_PROFILES!$A:$A,$B5),SUMIFS(MATERIAL_TARIFF_RULES!$F:$F,MATERIAL_TARIFF_RULES!$A:$A,$D5,MATERIAL_TARIFF_RULES!$C:$C,$B5)),1),1))</f>
        <v>0</v>
      </c>
      <c r="L5" s="36">
        <f t="shared" si="1"/>
        <v>0</v>
      </c>
      <c r="M5" s="36">
        <f t="shared" si="2"/>
        <v>0</v>
      </c>
      <c r="N5" s="36">
        <f t="shared" si="3"/>
        <v>0</v>
      </c>
      <c r="O5" s="11" t="str">
        <f t="shared" si="4"/>
        <v>Тариф влияет на вариант, качество, запас и показ материала</v>
      </c>
    </row>
    <row r="6" ht="14.25" customHeight="1">
      <c r="A6" s="11"/>
      <c r="B6" s="11"/>
      <c r="C6" s="11"/>
      <c r="D6" s="11"/>
      <c r="E6" s="11"/>
      <c r="F6" s="11" t="str">
        <f>IF($C6="","",IF($C6="Work",IFERROR(IF(SUMIFS(WORK_TARIFF_RULES!$G:$G,WORK_TARIFF_RULES!$A:$A,$D6,WORK_TARIFF_RULES!$C:$C,$B6)&lt;&gt;"",SUMIFS(WORK_TARIFF_RULES!$G:$G,WORK_TARIFF_RULES!$A:$A,$D6,WORK_TARIFF_RULES!$C:$C,$B6),SUMIFS(WORK_MASTER!$C:$C,WORK_MASTER!$A:$A,$D6)),""),IF($C6="Material",IFERROR(IF(SUMIFS(MATERIAL_TARIFF_RULES!$G:$G,MATERIAL_TARIFF_RULES!$A:$A,$D6,MATERIAL_TARIFF_RULES!$C:$C,$B6)&lt;&gt;"",SUMIFS(MATERIAL_TARIFF_RULES!$G:$G,MATERIAL_TARIFF_RULES!$A:$A,$D6,MATERIAL_TARIFF_RULES!$C:$C,$B6),SUMIFS(MATERIAL_VARIANTS!$J:$J,MATERIAL_VARIANTS!$A:$A,$E6)),""),"")))</f>
        <v/>
      </c>
      <c r="G6" s="36"/>
      <c r="H6" s="36" t="str">
        <f>IF($C6="","",IF($C6="Work",IFERROR(SUMIFS(WORK_MASTER!$I:$I,WORK_MASTER!$A:$A,$D6),""),IF($C6="Material",IFERROR(SUMIFS(MATERIAL_VARIANTS!$I:$I,MATERIAL_VARIANTS!$A:$A,$E6),""),"")))</f>
        <v/>
      </c>
      <c r="I6" s="36" t="str">
        <f>IF($C6="","",IF($C6="Work",IFERROR(SUMIFS(WORK_FACTOR_APPLICABILITY!$O:$O,WORK_FACTOR_APPLICABILITY!$A:$A,$D6,WORK_FACTOR_APPLICABILITY!$N:$N,$A6),1),IF($C6="Material",IFERROR(ROUND(1+SUMIFS(MATERIAL_FACTOR_APPLICABILITY!$D:$D,MATERIAL_FACTOR_APPLICABILITY!$A:$A,SUMIFS(MATERIAL_MASTER!$O:$O,MATERIAL_MASTER!$A:$A,$D6),MATERIAL_FACTOR_APPLICABILITY!$B:$B,"GeometryComplexity")*(SUMIFS(OBJECT_CONDITIONS!$W:$W,OBJECT_CONDITIONS!$A:$A,$A6)-1),3),1),"")))</f>
        <v/>
      </c>
      <c r="J6" s="36" t="str">
        <f>IF($C6="","",IF($C6="Work",IFERROR(IF(SUMIFS(WORK_TARIFF_RULES!$F:$F,WORK_TARIFF_RULES!$A:$A,$D6,WORK_TARIFF_RULES!$C:$C,$B6)&lt;&gt;"",SUMIFS(WORK_TARIFF_RULES!$F:$F,WORK_TARIFF_RULES!$A:$A,$D6,WORK_TARIFF_RULES!$C:$C,$B6),SUMIFS(TARIFF_PROFILES!$D:$D,TARIFF_PROFILES!$A:$A,$B6)),1),IF($C6="Material",IFERROR(IF(SUMIFS(MATERIAL_TARIFF_RULES!$E:$E,MATERIAL_TARIFF_RULES!$A:$A,$D6,MATERIAL_TARIFF_RULES!$C:$C,$B6)&lt;&gt;"",SUMIFS(MATERIAL_TARIFF_RULES!$E:$E,MATERIAL_TARIFF_RULES!$A:$A,$D6,MATERIAL_TARIFF_RULES!$C:$C,$B6),SUMIFS(TARIFF_PROFILES!$E:$E,TARIFF_PROFILES!$A:$A,$B6)),1),"")))</f>
        <v/>
      </c>
      <c r="K6" s="36" t="str">
        <f>IF($C6="","",IF($C6="Material",IFERROR(SUMIFS(MATERIAL_MASTER!$P:$P,MATERIAL_MASTER!$A:$A,$D6)*IF(SUMIFS(MATERIAL_TARIFF_RULES!$F:$F,MATERIAL_TARIFF_RULES!$A:$A,$D6,MATERIAL_TARIFF_RULES!$C:$C,$B6)="",SUMIFS(TARIFF_PROFILES!$H:$H,TARIFF_PROFILES!$A:$A,$B6),SUMIFS(MATERIAL_TARIFF_RULES!$F:$F,MATERIAL_TARIFF_RULES!$A:$A,$D6,MATERIAL_TARIFF_RULES!$C:$C,$B6)),1),1))</f>
        <v/>
      </c>
      <c r="L6" s="36" t="str">
        <f t="shared" si="1"/>
        <v/>
      </c>
      <c r="M6" s="36" t="str">
        <f t="shared" si="2"/>
        <v/>
      </c>
      <c r="N6" s="36" t="str">
        <f t="shared" si="3"/>
        <v/>
      </c>
      <c r="O6" s="11" t="str">
        <f t="shared" si="4"/>
        <v/>
      </c>
    </row>
    <row r="7" ht="14.25" customHeight="1">
      <c r="A7" s="11"/>
      <c r="B7" s="11"/>
      <c r="C7" s="11"/>
      <c r="D7" s="11"/>
      <c r="E7" s="11"/>
      <c r="F7" s="11" t="str">
        <f>IF($C7="","",IF($C7="Work",IFERROR(IF(SUMIFS(WORK_TARIFF_RULES!$G:$G,WORK_TARIFF_RULES!$A:$A,$D7,WORK_TARIFF_RULES!$C:$C,$B7)&lt;&gt;"",SUMIFS(WORK_TARIFF_RULES!$G:$G,WORK_TARIFF_RULES!$A:$A,$D7,WORK_TARIFF_RULES!$C:$C,$B7),SUMIFS(WORK_MASTER!$C:$C,WORK_MASTER!$A:$A,$D7)),""),IF($C7="Material",IFERROR(IF(SUMIFS(MATERIAL_TARIFF_RULES!$G:$G,MATERIAL_TARIFF_RULES!$A:$A,$D7,MATERIAL_TARIFF_RULES!$C:$C,$B7)&lt;&gt;"",SUMIFS(MATERIAL_TARIFF_RULES!$G:$G,MATERIAL_TARIFF_RULES!$A:$A,$D7,MATERIAL_TARIFF_RULES!$C:$C,$B7),SUMIFS(MATERIAL_VARIANTS!$J:$J,MATERIAL_VARIANTS!$A:$A,$E7)),""),"")))</f>
        <v/>
      </c>
      <c r="G7" s="36"/>
      <c r="H7" s="36" t="str">
        <f>IF($C7="","",IF($C7="Work",IFERROR(SUMIFS(WORK_MASTER!$I:$I,WORK_MASTER!$A:$A,$D7),""),IF($C7="Material",IFERROR(SUMIFS(MATERIAL_VARIANTS!$I:$I,MATERIAL_VARIANTS!$A:$A,$E7),""),"")))</f>
        <v/>
      </c>
      <c r="I7" s="36" t="str">
        <f>IF($C7="","",IF($C7="Work",IFERROR(SUMIFS(WORK_FACTOR_APPLICABILITY!$O:$O,WORK_FACTOR_APPLICABILITY!$A:$A,$D7,WORK_FACTOR_APPLICABILITY!$N:$N,$A7),1),IF($C7="Material",IFERROR(ROUND(1+SUMIFS(MATERIAL_FACTOR_APPLICABILITY!$D:$D,MATERIAL_FACTOR_APPLICABILITY!$A:$A,SUMIFS(MATERIAL_MASTER!$O:$O,MATERIAL_MASTER!$A:$A,$D7),MATERIAL_FACTOR_APPLICABILITY!$B:$B,"GeometryComplexity")*(SUMIFS(OBJECT_CONDITIONS!$W:$W,OBJECT_CONDITIONS!$A:$A,$A7)-1),3),1),"")))</f>
        <v/>
      </c>
      <c r="J7" s="36" t="str">
        <f>IF($C7="","",IF($C7="Work",IFERROR(IF(SUMIFS(WORK_TARIFF_RULES!$F:$F,WORK_TARIFF_RULES!$A:$A,$D7,WORK_TARIFF_RULES!$C:$C,$B7)&lt;&gt;"",SUMIFS(WORK_TARIFF_RULES!$F:$F,WORK_TARIFF_RULES!$A:$A,$D7,WORK_TARIFF_RULES!$C:$C,$B7),SUMIFS(TARIFF_PROFILES!$D:$D,TARIFF_PROFILES!$A:$A,$B7)),1),IF($C7="Material",IFERROR(IF(SUMIFS(MATERIAL_TARIFF_RULES!$E:$E,MATERIAL_TARIFF_RULES!$A:$A,$D7,MATERIAL_TARIFF_RULES!$C:$C,$B7)&lt;&gt;"",SUMIFS(MATERIAL_TARIFF_RULES!$E:$E,MATERIAL_TARIFF_RULES!$A:$A,$D7,MATERIAL_TARIFF_RULES!$C:$C,$B7),SUMIFS(TARIFF_PROFILES!$E:$E,TARIFF_PROFILES!$A:$A,$B7)),1),"")))</f>
        <v/>
      </c>
      <c r="K7" s="36" t="str">
        <f>IF($C7="","",IF($C7="Material",IFERROR(SUMIFS(MATERIAL_MASTER!$P:$P,MATERIAL_MASTER!$A:$A,$D7)*IF(SUMIFS(MATERIAL_TARIFF_RULES!$F:$F,MATERIAL_TARIFF_RULES!$A:$A,$D7,MATERIAL_TARIFF_RULES!$C:$C,$B7)="",SUMIFS(TARIFF_PROFILES!$H:$H,TARIFF_PROFILES!$A:$A,$B7),SUMIFS(MATERIAL_TARIFF_RULES!$F:$F,MATERIAL_TARIFF_RULES!$A:$A,$D7,MATERIAL_TARIFF_RULES!$C:$C,$B7)),1),1))</f>
        <v/>
      </c>
      <c r="L7" s="36" t="str">
        <f t="shared" si="1"/>
        <v/>
      </c>
      <c r="M7" s="36" t="str">
        <f t="shared" si="2"/>
        <v/>
      </c>
      <c r="N7" s="36" t="str">
        <f t="shared" si="3"/>
        <v/>
      </c>
      <c r="O7" s="11" t="str">
        <f t="shared" si="4"/>
        <v/>
      </c>
    </row>
    <row r="8" ht="14.25" customHeight="1">
      <c r="A8" s="11"/>
      <c r="B8" s="11"/>
      <c r="C8" s="11"/>
      <c r="D8" s="11"/>
      <c r="E8" s="11"/>
      <c r="F8" s="11" t="str">
        <f>IF($C8="","",IF($C8="Work",IFERROR(IF(SUMIFS(WORK_TARIFF_RULES!$G:$G,WORK_TARIFF_RULES!$A:$A,$D8,WORK_TARIFF_RULES!$C:$C,$B8)&lt;&gt;"",SUMIFS(WORK_TARIFF_RULES!$G:$G,WORK_TARIFF_RULES!$A:$A,$D8,WORK_TARIFF_RULES!$C:$C,$B8),SUMIFS(WORK_MASTER!$C:$C,WORK_MASTER!$A:$A,$D8)),""),IF($C8="Material",IFERROR(IF(SUMIFS(MATERIAL_TARIFF_RULES!$G:$G,MATERIAL_TARIFF_RULES!$A:$A,$D8,MATERIAL_TARIFF_RULES!$C:$C,$B8)&lt;&gt;"",SUMIFS(MATERIAL_TARIFF_RULES!$G:$G,MATERIAL_TARIFF_RULES!$A:$A,$D8,MATERIAL_TARIFF_RULES!$C:$C,$B8),SUMIFS(MATERIAL_VARIANTS!$J:$J,MATERIAL_VARIANTS!$A:$A,$E8)),""),"")))</f>
        <v/>
      </c>
      <c r="G8" s="36"/>
      <c r="H8" s="36" t="str">
        <f>IF($C8="","",IF($C8="Work",IFERROR(SUMIFS(WORK_MASTER!$I:$I,WORK_MASTER!$A:$A,$D8),""),IF($C8="Material",IFERROR(SUMIFS(MATERIAL_VARIANTS!$I:$I,MATERIAL_VARIANTS!$A:$A,$E8),""),"")))</f>
        <v/>
      </c>
      <c r="I8" s="36" t="str">
        <f>IF($C8="","",IF($C8="Work",IFERROR(SUMIFS(WORK_FACTOR_APPLICABILITY!$O:$O,WORK_FACTOR_APPLICABILITY!$A:$A,$D8,WORK_FACTOR_APPLICABILITY!$N:$N,$A8),1),IF($C8="Material",IFERROR(ROUND(1+SUMIFS(MATERIAL_FACTOR_APPLICABILITY!$D:$D,MATERIAL_FACTOR_APPLICABILITY!$A:$A,SUMIFS(MATERIAL_MASTER!$O:$O,MATERIAL_MASTER!$A:$A,$D8),MATERIAL_FACTOR_APPLICABILITY!$B:$B,"GeometryComplexity")*(SUMIFS(OBJECT_CONDITIONS!$W:$W,OBJECT_CONDITIONS!$A:$A,$A8)-1),3),1),"")))</f>
        <v/>
      </c>
      <c r="J8" s="36" t="str">
        <f>IF($C8="","",IF($C8="Work",IFERROR(IF(SUMIFS(WORK_TARIFF_RULES!$F:$F,WORK_TARIFF_RULES!$A:$A,$D8,WORK_TARIFF_RULES!$C:$C,$B8)&lt;&gt;"",SUMIFS(WORK_TARIFF_RULES!$F:$F,WORK_TARIFF_RULES!$A:$A,$D8,WORK_TARIFF_RULES!$C:$C,$B8),SUMIFS(TARIFF_PROFILES!$D:$D,TARIFF_PROFILES!$A:$A,$B8)),1),IF($C8="Material",IFERROR(IF(SUMIFS(MATERIAL_TARIFF_RULES!$E:$E,MATERIAL_TARIFF_RULES!$A:$A,$D8,MATERIAL_TARIFF_RULES!$C:$C,$B8)&lt;&gt;"",SUMIFS(MATERIAL_TARIFF_RULES!$E:$E,MATERIAL_TARIFF_RULES!$A:$A,$D8,MATERIAL_TARIFF_RULES!$C:$C,$B8),SUMIFS(TARIFF_PROFILES!$E:$E,TARIFF_PROFILES!$A:$A,$B8)),1),"")))</f>
        <v/>
      </c>
      <c r="K8" s="36" t="str">
        <f>IF($C8="","",IF($C8="Material",IFERROR(SUMIFS(MATERIAL_MASTER!$P:$P,MATERIAL_MASTER!$A:$A,$D8)*IF(SUMIFS(MATERIAL_TARIFF_RULES!$F:$F,MATERIAL_TARIFF_RULES!$A:$A,$D8,MATERIAL_TARIFF_RULES!$C:$C,$B8)="",SUMIFS(TARIFF_PROFILES!$H:$H,TARIFF_PROFILES!$A:$A,$B8),SUMIFS(MATERIAL_TARIFF_RULES!$F:$F,MATERIAL_TARIFF_RULES!$A:$A,$D8,MATERIAL_TARIFF_RULES!$C:$C,$B8)),1),1))</f>
        <v/>
      </c>
      <c r="L8" s="36" t="str">
        <f t="shared" si="1"/>
        <v/>
      </c>
      <c r="M8" s="36" t="str">
        <f t="shared" si="2"/>
        <v/>
      </c>
      <c r="N8" s="36" t="str">
        <f t="shared" si="3"/>
        <v/>
      </c>
      <c r="O8" s="11" t="str">
        <f t="shared" si="4"/>
        <v/>
      </c>
    </row>
    <row r="9" ht="14.25" customHeight="1">
      <c r="A9" s="11"/>
      <c r="B9" s="11"/>
      <c r="C9" s="11"/>
      <c r="D9" s="11"/>
      <c r="E9" s="11"/>
      <c r="F9" s="11" t="str">
        <f>IF($C9="","",IF($C9="Work",IFERROR(IF(SUMIFS(WORK_TARIFF_RULES!$G:$G,WORK_TARIFF_RULES!$A:$A,$D9,WORK_TARIFF_RULES!$C:$C,$B9)&lt;&gt;"",SUMIFS(WORK_TARIFF_RULES!$G:$G,WORK_TARIFF_RULES!$A:$A,$D9,WORK_TARIFF_RULES!$C:$C,$B9),SUMIFS(WORK_MASTER!$C:$C,WORK_MASTER!$A:$A,$D9)),""),IF($C9="Material",IFERROR(IF(SUMIFS(MATERIAL_TARIFF_RULES!$G:$G,MATERIAL_TARIFF_RULES!$A:$A,$D9,MATERIAL_TARIFF_RULES!$C:$C,$B9)&lt;&gt;"",SUMIFS(MATERIAL_TARIFF_RULES!$G:$G,MATERIAL_TARIFF_RULES!$A:$A,$D9,MATERIAL_TARIFF_RULES!$C:$C,$B9),SUMIFS(MATERIAL_VARIANTS!$J:$J,MATERIAL_VARIANTS!$A:$A,$E9)),""),"")))</f>
        <v/>
      </c>
      <c r="G9" s="36"/>
      <c r="H9" s="36" t="str">
        <f>IF($C9="","",IF($C9="Work",IFERROR(SUMIFS(WORK_MASTER!$I:$I,WORK_MASTER!$A:$A,$D9),""),IF($C9="Material",IFERROR(SUMIFS(MATERIAL_VARIANTS!$I:$I,MATERIAL_VARIANTS!$A:$A,$E9),""),"")))</f>
        <v/>
      </c>
      <c r="I9" s="36" t="str">
        <f>IF($C9="","",IF($C9="Work",IFERROR(SUMIFS(WORK_FACTOR_APPLICABILITY!$O:$O,WORK_FACTOR_APPLICABILITY!$A:$A,$D9,WORK_FACTOR_APPLICABILITY!$N:$N,$A9),1),IF($C9="Material",IFERROR(ROUND(1+SUMIFS(MATERIAL_FACTOR_APPLICABILITY!$D:$D,MATERIAL_FACTOR_APPLICABILITY!$A:$A,SUMIFS(MATERIAL_MASTER!$O:$O,MATERIAL_MASTER!$A:$A,$D9),MATERIAL_FACTOR_APPLICABILITY!$B:$B,"GeometryComplexity")*(SUMIFS(OBJECT_CONDITIONS!$W:$W,OBJECT_CONDITIONS!$A:$A,$A9)-1),3),1),"")))</f>
        <v/>
      </c>
      <c r="J9" s="36" t="str">
        <f>IF($C9="","",IF($C9="Work",IFERROR(IF(SUMIFS(WORK_TARIFF_RULES!$F:$F,WORK_TARIFF_RULES!$A:$A,$D9,WORK_TARIFF_RULES!$C:$C,$B9)&lt;&gt;"",SUMIFS(WORK_TARIFF_RULES!$F:$F,WORK_TARIFF_RULES!$A:$A,$D9,WORK_TARIFF_RULES!$C:$C,$B9),SUMIFS(TARIFF_PROFILES!$D:$D,TARIFF_PROFILES!$A:$A,$B9)),1),IF($C9="Material",IFERROR(IF(SUMIFS(MATERIAL_TARIFF_RULES!$E:$E,MATERIAL_TARIFF_RULES!$A:$A,$D9,MATERIAL_TARIFF_RULES!$C:$C,$B9)&lt;&gt;"",SUMIFS(MATERIAL_TARIFF_RULES!$E:$E,MATERIAL_TARIFF_RULES!$A:$A,$D9,MATERIAL_TARIFF_RULES!$C:$C,$B9),SUMIFS(TARIFF_PROFILES!$E:$E,TARIFF_PROFILES!$A:$A,$B9)),1),"")))</f>
        <v/>
      </c>
      <c r="K9" s="36" t="str">
        <f>IF($C9="","",IF($C9="Material",IFERROR(SUMIFS(MATERIAL_MASTER!$P:$P,MATERIAL_MASTER!$A:$A,$D9)*IF(SUMIFS(MATERIAL_TARIFF_RULES!$F:$F,MATERIAL_TARIFF_RULES!$A:$A,$D9,MATERIAL_TARIFF_RULES!$C:$C,$B9)="",SUMIFS(TARIFF_PROFILES!$H:$H,TARIFF_PROFILES!$A:$A,$B9),SUMIFS(MATERIAL_TARIFF_RULES!$F:$F,MATERIAL_TARIFF_RULES!$A:$A,$D9,MATERIAL_TARIFF_RULES!$C:$C,$B9)),1),1))</f>
        <v/>
      </c>
      <c r="L9" s="36" t="str">
        <f t="shared" si="1"/>
        <v/>
      </c>
      <c r="M9" s="36" t="str">
        <f t="shared" si="2"/>
        <v/>
      </c>
      <c r="N9" s="36" t="str">
        <f t="shared" si="3"/>
        <v/>
      </c>
      <c r="O9" s="11" t="str">
        <f t="shared" si="4"/>
        <v/>
      </c>
    </row>
    <row r="10" ht="14.25" customHeight="1">
      <c r="A10" s="11"/>
      <c r="B10" s="11"/>
      <c r="C10" s="11"/>
      <c r="D10" s="11"/>
      <c r="E10" s="11"/>
      <c r="F10" s="11" t="str">
        <f>IF($C10="","",IF($C10="Work",IFERROR(IF(SUMIFS(WORK_TARIFF_RULES!$G:$G,WORK_TARIFF_RULES!$A:$A,$D10,WORK_TARIFF_RULES!$C:$C,$B10)&lt;&gt;"",SUMIFS(WORK_TARIFF_RULES!$G:$G,WORK_TARIFF_RULES!$A:$A,$D10,WORK_TARIFF_RULES!$C:$C,$B10),SUMIFS(WORK_MASTER!$C:$C,WORK_MASTER!$A:$A,$D10)),""),IF($C10="Material",IFERROR(IF(SUMIFS(MATERIAL_TARIFF_RULES!$G:$G,MATERIAL_TARIFF_RULES!$A:$A,$D10,MATERIAL_TARIFF_RULES!$C:$C,$B10)&lt;&gt;"",SUMIFS(MATERIAL_TARIFF_RULES!$G:$G,MATERIAL_TARIFF_RULES!$A:$A,$D10,MATERIAL_TARIFF_RULES!$C:$C,$B10),SUMIFS(MATERIAL_VARIANTS!$J:$J,MATERIAL_VARIANTS!$A:$A,$E10)),""),"")))</f>
        <v/>
      </c>
      <c r="G10" s="36"/>
      <c r="H10" s="36" t="str">
        <f>IF($C10="","",IF($C10="Work",IFERROR(SUMIFS(WORK_MASTER!$I:$I,WORK_MASTER!$A:$A,$D10),""),IF($C10="Material",IFERROR(SUMIFS(MATERIAL_VARIANTS!$I:$I,MATERIAL_VARIANTS!$A:$A,$E10),""),"")))</f>
        <v/>
      </c>
      <c r="I10" s="36" t="str">
        <f>IF($C10="","",IF($C10="Work",IFERROR(SUMIFS(WORK_FACTOR_APPLICABILITY!$O:$O,WORK_FACTOR_APPLICABILITY!$A:$A,$D10,WORK_FACTOR_APPLICABILITY!$N:$N,$A10),1),IF($C10="Material",IFERROR(ROUND(1+SUMIFS(MATERIAL_FACTOR_APPLICABILITY!$D:$D,MATERIAL_FACTOR_APPLICABILITY!$A:$A,SUMIFS(MATERIAL_MASTER!$O:$O,MATERIAL_MASTER!$A:$A,$D10),MATERIAL_FACTOR_APPLICABILITY!$B:$B,"GeometryComplexity")*(SUMIFS(OBJECT_CONDITIONS!$W:$W,OBJECT_CONDITIONS!$A:$A,$A10)-1),3),1),"")))</f>
        <v/>
      </c>
      <c r="J10" s="36" t="str">
        <f>IF($C10="","",IF($C10="Work",IFERROR(IF(SUMIFS(WORK_TARIFF_RULES!$F:$F,WORK_TARIFF_RULES!$A:$A,$D10,WORK_TARIFF_RULES!$C:$C,$B10)&lt;&gt;"",SUMIFS(WORK_TARIFF_RULES!$F:$F,WORK_TARIFF_RULES!$A:$A,$D10,WORK_TARIFF_RULES!$C:$C,$B10),SUMIFS(TARIFF_PROFILES!$D:$D,TARIFF_PROFILES!$A:$A,$B10)),1),IF($C10="Material",IFERROR(IF(SUMIFS(MATERIAL_TARIFF_RULES!$E:$E,MATERIAL_TARIFF_RULES!$A:$A,$D10,MATERIAL_TARIFF_RULES!$C:$C,$B10)&lt;&gt;"",SUMIFS(MATERIAL_TARIFF_RULES!$E:$E,MATERIAL_TARIFF_RULES!$A:$A,$D10,MATERIAL_TARIFF_RULES!$C:$C,$B10),SUMIFS(TARIFF_PROFILES!$E:$E,TARIFF_PROFILES!$A:$A,$B10)),1),"")))</f>
        <v/>
      </c>
      <c r="K10" s="36" t="str">
        <f>IF($C10="","",IF($C10="Material",IFERROR(SUMIFS(MATERIAL_MASTER!$P:$P,MATERIAL_MASTER!$A:$A,$D10)*IF(SUMIFS(MATERIAL_TARIFF_RULES!$F:$F,MATERIAL_TARIFF_RULES!$A:$A,$D10,MATERIAL_TARIFF_RULES!$C:$C,$B10)="",SUMIFS(TARIFF_PROFILES!$H:$H,TARIFF_PROFILES!$A:$A,$B10),SUMIFS(MATERIAL_TARIFF_RULES!$F:$F,MATERIAL_TARIFF_RULES!$A:$A,$D10,MATERIAL_TARIFF_RULES!$C:$C,$B10)),1),1))</f>
        <v/>
      </c>
      <c r="L10" s="36" t="str">
        <f t="shared" si="1"/>
        <v/>
      </c>
      <c r="M10" s="36" t="str">
        <f t="shared" si="2"/>
        <v/>
      </c>
      <c r="N10" s="36" t="str">
        <f t="shared" si="3"/>
        <v/>
      </c>
      <c r="O10" s="11" t="str">
        <f t="shared" si="4"/>
        <v/>
      </c>
    </row>
    <row r="11" ht="14.25" customHeight="1">
      <c r="A11" s="11"/>
      <c r="B11" s="11"/>
      <c r="C11" s="11"/>
      <c r="D11" s="11"/>
      <c r="E11" s="11"/>
      <c r="F11" s="11" t="str">
        <f>IF($C11="","",IF($C11="Work",IFERROR(IF(SUMIFS(WORK_TARIFF_RULES!$G:$G,WORK_TARIFF_RULES!$A:$A,$D11,WORK_TARIFF_RULES!$C:$C,$B11)&lt;&gt;"",SUMIFS(WORK_TARIFF_RULES!$G:$G,WORK_TARIFF_RULES!$A:$A,$D11,WORK_TARIFF_RULES!$C:$C,$B11),SUMIFS(WORK_MASTER!$C:$C,WORK_MASTER!$A:$A,$D11)),""),IF($C11="Material",IFERROR(IF(SUMIFS(MATERIAL_TARIFF_RULES!$G:$G,MATERIAL_TARIFF_RULES!$A:$A,$D11,MATERIAL_TARIFF_RULES!$C:$C,$B11)&lt;&gt;"",SUMIFS(MATERIAL_TARIFF_RULES!$G:$G,MATERIAL_TARIFF_RULES!$A:$A,$D11,MATERIAL_TARIFF_RULES!$C:$C,$B11),SUMIFS(MATERIAL_VARIANTS!$J:$J,MATERIAL_VARIANTS!$A:$A,$E11)),""),"")))</f>
        <v/>
      </c>
      <c r="G11" s="36"/>
      <c r="H11" s="36" t="str">
        <f>IF($C11="","",IF($C11="Work",IFERROR(SUMIFS(WORK_MASTER!$I:$I,WORK_MASTER!$A:$A,$D11),""),IF($C11="Material",IFERROR(SUMIFS(MATERIAL_VARIANTS!$I:$I,MATERIAL_VARIANTS!$A:$A,$E11),""),"")))</f>
        <v/>
      </c>
      <c r="I11" s="36" t="str">
        <f>IF($C11="","",IF($C11="Work",IFERROR(SUMIFS(WORK_FACTOR_APPLICABILITY!$O:$O,WORK_FACTOR_APPLICABILITY!$A:$A,$D11,WORK_FACTOR_APPLICABILITY!$N:$N,$A11),1),IF($C11="Material",IFERROR(ROUND(1+SUMIFS(MATERIAL_FACTOR_APPLICABILITY!$D:$D,MATERIAL_FACTOR_APPLICABILITY!$A:$A,SUMIFS(MATERIAL_MASTER!$O:$O,MATERIAL_MASTER!$A:$A,$D11),MATERIAL_FACTOR_APPLICABILITY!$B:$B,"GeometryComplexity")*(SUMIFS(OBJECT_CONDITIONS!$W:$W,OBJECT_CONDITIONS!$A:$A,$A11)-1),3),1),"")))</f>
        <v/>
      </c>
      <c r="J11" s="36" t="str">
        <f>IF($C11="","",IF($C11="Work",IFERROR(IF(SUMIFS(WORK_TARIFF_RULES!$F:$F,WORK_TARIFF_RULES!$A:$A,$D11,WORK_TARIFF_RULES!$C:$C,$B11)&lt;&gt;"",SUMIFS(WORK_TARIFF_RULES!$F:$F,WORK_TARIFF_RULES!$A:$A,$D11,WORK_TARIFF_RULES!$C:$C,$B11),SUMIFS(TARIFF_PROFILES!$D:$D,TARIFF_PROFILES!$A:$A,$B11)),1),IF($C11="Material",IFERROR(IF(SUMIFS(MATERIAL_TARIFF_RULES!$E:$E,MATERIAL_TARIFF_RULES!$A:$A,$D11,MATERIAL_TARIFF_RULES!$C:$C,$B11)&lt;&gt;"",SUMIFS(MATERIAL_TARIFF_RULES!$E:$E,MATERIAL_TARIFF_RULES!$A:$A,$D11,MATERIAL_TARIFF_RULES!$C:$C,$B11),SUMIFS(TARIFF_PROFILES!$E:$E,TARIFF_PROFILES!$A:$A,$B11)),1),"")))</f>
        <v/>
      </c>
      <c r="K11" s="36" t="str">
        <f>IF($C11="","",IF($C11="Material",IFERROR(SUMIFS(MATERIAL_MASTER!$P:$P,MATERIAL_MASTER!$A:$A,$D11)*IF(SUMIFS(MATERIAL_TARIFF_RULES!$F:$F,MATERIAL_TARIFF_RULES!$A:$A,$D11,MATERIAL_TARIFF_RULES!$C:$C,$B11)="",SUMIFS(TARIFF_PROFILES!$H:$H,TARIFF_PROFILES!$A:$A,$B11),SUMIFS(MATERIAL_TARIFF_RULES!$F:$F,MATERIAL_TARIFF_RULES!$A:$A,$D11,MATERIAL_TARIFF_RULES!$C:$C,$B11)),1),1))</f>
        <v/>
      </c>
      <c r="L11" s="36" t="str">
        <f t="shared" si="1"/>
        <v/>
      </c>
      <c r="M11" s="36" t="str">
        <f t="shared" si="2"/>
        <v/>
      </c>
      <c r="N11" s="36" t="str">
        <f t="shared" si="3"/>
        <v/>
      </c>
      <c r="O11" s="11" t="str">
        <f t="shared" si="4"/>
        <v/>
      </c>
    </row>
    <row r="12" ht="14.25" customHeight="1">
      <c r="A12" s="11"/>
      <c r="B12" s="11"/>
      <c r="C12" s="11"/>
      <c r="D12" s="11"/>
      <c r="E12" s="11"/>
      <c r="F12" s="11" t="str">
        <f>IF($C12="","",IF($C12="Work",IFERROR(IF(SUMIFS(WORK_TARIFF_RULES!$G:$G,WORK_TARIFF_RULES!$A:$A,$D12,WORK_TARIFF_RULES!$C:$C,$B12)&lt;&gt;"",SUMIFS(WORK_TARIFF_RULES!$G:$G,WORK_TARIFF_RULES!$A:$A,$D12,WORK_TARIFF_RULES!$C:$C,$B12),SUMIFS(WORK_MASTER!$C:$C,WORK_MASTER!$A:$A,$D12)),""),IF($C12="Material",IFERROR(IF(SUMIFS(MATERIAL_TARIFF_RULES!$G:$G,MATERIAL_TARIFF_RULES!$A:$A,$D12,MATERIAL_TARIFF_RULES!$C:$C,$B12)&lt;&gt;"",SUMIFS(MATERIAL_TARIFF_RULES!$G:$G,MATERIAL_TARIFF_RULES!$A:$A,$D12,MATERIAL_TARIFF_RULES!$C:$C,$B12),SUMIFS(MATERIAL_VARIANTS!$J:$J,MATERIAL_VARIANTS!$A:$A,$E12)),""),"")))</f>
        <v/>
      </c>
      <c r="G12" s="36"/>
      <c r="H12" s="36" t="str">
        <f>IF($C12="","",IF($C12="Work",IFERROR(SUMIFS(WORK_MASTER!$I:$I,WORK_MASTER!$A:$A,$D12),""),IF($C12="Material",IFERROR(SUMIFS(MATERIAL_VARIANTS!$I:$I,MATERIAL_VARIANTS!$A:$A,$E12),""),"")))</f>
        <v/>
      </c>
      <c r="I12" s="36" t="str">
        <f>IF($C12="","",IF($C12="Work",IFERROR(SUMIFS(WORK_FACTOR_APPLICABILITY!$O:$O,WORK_FACTOR_APPLICABILITY!$A:$A,$D12,WORK_FACTOR_APPLICABILITY!$N:$N,$A12),1),IF($C12="Material",IFERROR(ROUND(1+SUMIFS(MATERIAL_FACTOR_APPLICABILITY!$D:$D,MATERIAL_FACTOR_APPLICABILITY!$A:$A,SUMIFS(MATERIAL_MASTER!$O:$O,MATERIAL_MASTER!$A:$A,$D12),MATERIAL_FACTOR_APPLICABILITY!$B:$B,"GeometryComplexity")*(SUMIFS(OBJECT_CONDITIONS!$W:$W,OBJECT_CONDITIONS!$A:$A,$A12)-1),3),1),"")))</f>
        <v/>
      </c>
      <c r="J12" s="36" t="str">
        <f>IF($C12="","",IF($C12="Work",IFERROR(IF(SUMIFS(WORK_TARIFF_RULES!$F:$F,WORK_TARIFF_RULES!$A:$A,$D12,WORK_TARIFF_RULES!$C:$C,$B12)&lt;&gt;"",SUMIFS(WORK_TARIFF_RULES!$F:$F,WORK_TARIFF_RULES!$A:$A,$D12,WORK_TARIFF_RULES!$C:$C,$B12),SUMIFS(TARIFF_PROFILES!$D:$D,TARIFF_PROFILES!$A:$A,$B12)),1),IF($C12="Material",IFERROR(IF(SUMIFS(MATERIAL_TARIFF_RULES!$E:$E,MATERIAL_TARIFF_RULES!$A:$A,$D12,MATERIAL_TARIFF_RULES!$C:$C,$B12)&lt;&gt;"",SUMIFS(MATERIAL_TARIFF_RULES!$E:$E,MATERIAL_TARIFF_RULES!$A:$A,$D12,MATERIAL_TARIFF_RULES!$C:$C,$B12),SUMIFS(TARIFF_PROFILES!$E:$E,TARIFF_PROFILES!$A:$A,$B12)),1),"")))</f>
        <v/>
      </c>
      <c r="K12" s="36" t="str">
        <f>IF($C12="","",IF($C12="Material",IFERROR(SUMIFS(MATERIAL_MASTER!$P:$P,MATERIAL_MASTER!$A:$A,$D12)*IF(SUMIFS(MATERIAL_TARIFF_RULES!$F:$F,MATERIAL_TARIFF_RULES!$A:$A,$D12,MATERIAL_TARIFF_RULES!$C:$C,$B12)="",SUMIFS(TARIFF_PROFILES!$H:$H,TARIFF_PROFILES!$A:$A,$B12),SUMIFS(MATERIAL_TARIFF_RULES!$F:$F,MATERIAL_TARIFF_RULES!$A:$A,$D12,MATERIAL_TARIFF_RULES!$C:$C,$B12)),1),1))</f>
        <v/>
      </c>
      <c r="L12" s="36" t="str">
        <f t="shared" si="1"/>
        <v/>
      </c>
      <c r="M12" s="36" t="str">
        <f t="shared" si="2"/>
        <v/>
      </c>
      <c r="N12" s="36" t="str">
        <f t="shared" si="3"/>
        <v/>
      </c>
      <c r="O12" s="11" t="str">
        <f t="shared" si="4"/>
        <v/>
      </c>
    </row>
    <row r="13" ht="14.25" customHeight="1">
      <c r="A13" s="11"/>
      <c r="B13" s="11"/>
      <c r="C13" s="11"/>
      <c r="D13" s="11"/>
      <c r="E13" s="11"/>
      <c r="F13" s="11" t="str">
        <f>IF($C13="","",IF($C13="Work",IFERROR(IF(SUMIFS(WORK_TARIFF_RULES!$G:$G,WORK_TARIFF_RULES!$A:$A,$D13,WORK_TARIFF_RULES!$C:$C,$B13)&lt;&gt;"",SUMIFS(WORK_TARIFF_RULES!$G:$G,WORK_TARIFF_RULES!$A:$A,$D13,WORK_TARIFF_RULES!$C:$C,$B13),SUMIFS(WORK_MASTER!$C:$C,WORK_MASTER!$A:$A,$D13)),""),IF($C13="Material",IFERROR(IF(SUMIFS(MATERIAL_TARIFF_RULES!$G:$G,MATERIAL_TARIFF_RULES!$A:$A,$D13,MATERIAL_TARIFF_RULES!$C:$C,$B13)&lt;&gt;"",SUMIFS(MATERIAL_TARIFF_RULES!$G:$G,MATERIAL_TARIFF_RULES!$A:$A,$D13,MATERIAL_TARIFF_RULES!$C:$C,$B13),SUMIFS(MATERIAL_VARIANTS!$J:$J,MATERIAL_VARIANTS!$A:$A,$E13)),""),"")))</f>
        <v/>
      </c>
      <c r="G13" s="36"/>
      <c r="H13" s="36" t="str">
        <f>IF($C13="","",IF($C13="Work",IFERROR(SUMIFS(WORK_MASTER!$I:$I,WORK_MASTER!$A:$A,$D13),""),IF($C13="Material",IFERROR(SUMIFS(MATERIAL_VARIANTS!$I:$I,MATERIAL_VARIANTS!$A:$A,$E13),""),"")))</f>
        <v/>
      </c>
      <c r="I13" s="36" t="str">
        <f>IF($C13="","",IF($C13="Work",IFERROR(SUMIFS(WORK_FACTOR_APPLICABILITY!$O:$O,WORK_FACTOR_APPLICABILITY!$A:$A,$D13,WORK_FACTOR_APPLICABILITY!$N:$N,$A13),1),IF($C13="Material",IFERROR(ROUND(1+SUMIFS(MATERIAL_FACTOR_APPLICABILITY!$D:$D,MATERIAL_FACTOR_APPLICABILITY!$A:$A,SUMIFS(MATERIAL_MASTER!$O:$O,MATERIAL_MASTER!$A:$A,$D13),MATERIAL_FACTOR_APPLICABILITY!$B:$B,"GeometryComplexity")*(SUMIFS(OBJECT_CONDITIONS!$W:$W,OBJECT_CONDITIONS!$A:$A,$A13)-1),3),1),"")))</f>
        <v/>
      </c>
      <c r="J13" s="36" t="str">
        <f>IF($C13="","",IF($C13="Work",IFERROR(IF(SUMIFS(WORK_TARIFF_RULES!$F:$F,WORK_TARIFF_RULES!$A:$A,$D13,WORK_TARIFF_RULES!$C:$C,$B13)&lt;&gt;"",SUMIFS(WORK_TARIFF_RULES!$F:$F,WORK_TARIFF_RULES!$A:$A,$D13,WORK_TARIFF_RULES!$C:$C,$B13),SUMIFS(TARIFF_PROFILES!$D:$D,TARIFF_PROFILES!$A:$A,$B13)),1),IF($C13="Material",IFERROR(IF(SUMIFS(MATERIAL_TARIFF_RULES!$E:$E,MATERIAL_TARIFF_RULES!$A:$A,$D13,MATERIAL_TARIFF_RULES!$C:$C,$B13)&lt;&gt;"",SUMIFS(MATERIAL_TARIFF_RULES!$E:$E,MATERIAL_TARIFF_RULES!$A:$A,$D13,MATERIAL_TARIFF_RULES!$C:$C,$B13),SUMIFS(TARIFF_PROFILES!$E:$E,TARIFF_PROFILES!$A:$A,$B13)),1),"")))</f>
        <v/>
      </c>
      <c r="K13" s="36" t="str">
        <f>IF($C13="","",IF($C13="Material",IFERROR(SUMIFS(MATERIAL_MASTER!$P:$P,MATERIAL_MASTER!$A:$A,$D13)*IF(SUMIFS(MATERIAL_TARIFF_RULES!$F:$F,MATERIAL_TARIFF_RULES!$A:$A,$D13,MATERIAL_TARIFF_RULES!$C:$C,$B13)="",SUMIFS(TARIFF_PROFILES!$H:$H,TARIFF_PROFILES!$A:$A,$B13),SUMIFS(MATERIAL_TARIFF_RULES!$F:$F,MATERIAL_TARIFF_RULES!$A:$A,$D13,MATERIAL_TARIFF_RULES!$C:$C,$B13)),1),1))</f>
        <v/>
      </c>
      <c r="L13" s="36" t="str">
        <f t="shared" si="1"/>
        <v/>
      </c>
      <c r="M13" s="36" t="str">
        <f t="shared" si="2"/>
        <v/>
      </c>
      <c r="N13" s="36" t="str">
        <f t="shared" si="3"/>
        <v/>
      </c>
      <c r="O13" s="11" t="str">
        <f t="shared" si="4"/>
        <v/>
      </c>
    </row>
    <row r="14" ht="14.25" customHeight="1">
      <c r="A14" s="11"/>
      <c r="B14" s="11"/>
      <c r="C14" s="11"/>
      <c r="D14" s="11"/>
      <c r="E14" s="11"/>
      <c r="F14" s="11" t="str">
        <f>IF($C14="","",IF($C14="Work",IFERROR(IF(SUMIFS(WORK_TARIFF_RULES!$G:$G,WORK_TARIFF_RULES!$A:$A,$D14,WORK_TARIFF_RULES!$C:$C,$B14)&lt;&gt;"",SUMIFS(WORK_TARIFF_RULES!$G:$G,WORK_TARIFF_RULES!$A:$A,$D14,WORK_TARIFF_RULES!$C:$C,$B14),SUMIFS(WORK_MASTER!$C:$C,WORK_MASTER!$A:$A,$D14)),""),IF($C14="Material",IFERROR(IF(SUMIFS(MATERIAL_TARIFF_RULES!$G:$G,MATERIAL_TARIFF_RULES!$A:$A,$D14,MATERIAL_TARIFF_RULES!$C:$C,$B14)&lt;&gt;"",SUMIFS(MATERIAL_TARIFF_RULES!$G:$G,MATERIAL_TARIFF_RULES!$A:$A,$D14,MATERIAL_TARIFF_RULES!$C:$C,$B14),SUMIFS(MATERIAL_VARIANTS!$J:$J,MATERIAL_VARIANTS!$A:$A,$E14)),""),"")))</f>
        <v/>
      </c>
      <c r="G14" s="36"/>
      <c r="H14" s="36" t="str">
        <f>IF($C14="","",IF($C14="Work",IFERROR(SUMIFS(WORK_MASTER!$I:$I,WORK_MASTER!$A:$A,$D14),""),IF($C14="Material",IFERROR(SUMIFS(MATERIAL_VARIANTS!$I:$I,MATERIAL_VARIANTS!$A:$A,$E14),""),"")))</f>
        <v/>
      </c>
      <c r="I14" s="36" t="str">
        <f>IF($C14="","",IF($C14="Work",IFERROR(SUMIFS(WORK_FACTOR_APPLICABILITY!$O:$O,WORK_FACTOR_APPLICABILITY!$A:$A,$D14,WORK_FACTOR_APPLICABILITY!$N:$N,$A14),1),IF($C14="Material",IFERROR(ROUND(1+SUMIFS(MATERIAL_FACTOR_APPLICABILITY!$D:$D,MATERIAL_FACTOR_APPLICABILITY!$A:$A,SUMIFS(MATERIAL_MASTER!$O:$O,MATERIAL_MASTER!$A:$A,$D14),MATERIAL_FACTOR_APPLICABILITY!$B:$B,"GeometryComplexity")*(SUMIFS(OBJECT_CONDITIONS!$W:$W,OBJECT_CONDITIONS!$A:$A,$A14)-1),3),1),"")))</f>
        <v/>
      </c>
      <c r="J14" s="36" t="str">
        <f>IF($C14="","",IF($C14="Work",IFERROR(IF(SUMIFS(WORK_TARIFF_RULES!$F:$F,WORK_TARIFF_RULES!$A:$A,$D14,WORK_TARIFF_RULES!$C:$C,$B14)&lt;&gt;"",SUMIFS(WORK_TARIFF_RULES!$F:$F,WORK_TARIFF_RULES!$A:$A,$D14,WORK_TARIFF_RULES!$C:$C,$B14),SUMIFS(TARIFF_PROFILES!$D:$D,TARIFF_PROFILES!$A:$A,$B14)),1),IF($C14="Material",IFERROR(IF(SUMIFS(MATERIAL_TARIFF_RULES!$E:$E,MATERIAL_TARIFF_RULES!$A:$A,$D14,MATERIAL_TARIFF_RULES!$C:$C,$B14)&lt;&gt;"",SUMIFS(MATERIAL_TARIFF_RULES!$E:$E,MATERIAL_TARIFF_RULES!$A:$A,$D14,MATERIAL_TARIFF_RULES!$C:$C,$B14),SUMIFS(TARIFF_PROFILES!$E:$E,TARIFF_PROFILES!$A:$A,$B14)),1),"")))</f>
        <v/>
      </c>
      <c r="K14" s="36" t="str">
        <f>IF($C14="","",IF($C14="Material",IFERROR(SUMIFS(MATERIAL_MASTER!$P:$P,MATERIAL_MASTER!$A:$A,$D14)*IF(SUMIFS(MATERIAL_TARIFF_RULES!$F:$F,MATERIAL_TARIFF_RULES!$A:$A,$D14,MATERIAL_TARIFF_RULES!$C:$C,$B14)="",SUMIFS(TARIFF_PROFILES!$H:$H,TARIFF_PROFILES!$A:$A,$B14),SUMIFS(MATERIAL_TARIFF_RULES!$F:$F,MATERIAL_TARIFF_RULES!$A:$A,$D14,MATERIAL_TARIFF_RULES!$C:$C,$B14)),1),1))</f>
        <v/>
      </c>
      <c r="L14" s="36" t="str">
        <f t="shared" si="1"/>
        <v/>
      </c>
      <c r="M14" s="36" t="str">
        <f t="shared" si="2"/>
        <v/>
      </c>
      <c r="N14" s="36" t="str">
        <f t="shared" si="3"/>
        <v/>
      </c>
      <c r="O14" s="11" t="str">
        <f t="shared" si="4"/>
        <v/>
      </c>
    </row>
    <row r="15" ht="14.25" customHeight="1">
      <c r="A15" s="11"/>
      <c r="B15" s="11"/>
      <c r="C15" s="11"/>
      <c r="D15" s="11"/>
      <c r="E15" s="11"/>
      <c r="F15" s="11" t="str">
        <f>IF($C15="","",IF($C15="Work",IFERROR(IF(SUMIFS(WORK_TARIFF_RULES!$G:$G,WORK_TARIFF_RULES!$A:$A,$D15,WORK_TARIFF_RULES!$C:$C,$B15)&lt;&gt;"",SUMIFS(WORK_TARIFF_RULES!$G:$G,WORK_TARIFF_RULES!$A:$A,$D15,WORK_TARIFF_RULES!$C:$C,$B15),SUMIFS(WORK_MASTER!$C:$C,WORK_MASTER!$A:$A,$D15)),""),IF($C15="Material",IFERROR(IF(SUMIFS(MATERIAL_TARIFF_RULES!$G:$G,MATERIAL_TARIFF_RULES!$A:$A,$D15,MATERIAL_TARIFF_RULES!$C:$C,$B15)&lt;&gt;"",SUMIFS(MATERIAL_TARIFF_RULES!$G:$G,MATERIAL_TARIFF_RULES!$A:$A,$D15,MATERIAL_TARIFF_RULES!$C:$C,$B15),SUMIFS(MATERIAL_VARIANTS!$J:$J,MATERIAL_VARIANTS!$A:$A,$E15)),""),"")))</f>
        <v/>
      </c>
      <c r="G15" s="36"/>
      <c r="H15" s="36" t="str">
        <f>IF($C15="","",IF($C15="Work",IFERROR(SUMIFS(WORK_MASTER!$I:$I,WORK_MASTER!$A:$A,$D15),""),IF($C15="Material",IFERROR(SUMIFS(MATERIAL_VARIANTS!$I:$I,MATERIAL_VARIANTS!$A:$A,$E15),""),"")))</f>
        <v/>
      </c>
      <c r="I15" s="36" t="str">
        <f>IF($C15="","",IF($C15="Work",IFERROR(SUMIFS(WORK_FACTOR_APPLICABILITY!$O:$O,WORK_FACTOR_APPLICABILITY!$A:$A,$D15,WORK_FACTOR_APPLICABILITY!$N:$N,$A15),1),IF($C15="Material",IFERROR(ROUND(1+SUMIFS(MATERIAL_FACTOR_APPLICABILITY!$D:$D,MATERIAL_FACTOR_APPLICABILITY!$A:$A,SUMIFS(MATERIAL_MASTER!$O:$O,MATERIAL_MASTER!$A:$A,$D15),MATERIAL_FACTOR_APPLICABILITY!$B:$B,"GeometryComplexity")*(SUMIFS(OBJECT_CONDITIONS!$W:$W,OBJECT_CONDITIONS!$A:$A,$A15)-1),3),1),"")))</f>
        <v/>
      </c>
      <c r="J15" s="36" t="str">
        <f>IF($C15="","",IF($C15="Work",IFERROR(IF(SUMIFS(WORK_TARIFF_RULES!$F:$F,WORK_TARIFF_RULES!$A:$A,$D15,WORK_TARIFF_RULES!$C:$C,$B15)&lt;&gt;"",SUMIFS(WORK_TARIFF_RULES!$F:$F,WORK_TARIFF_RULES!$A:$A,$D15,WORK_TARIFF_RULES!$C:$C,$B15),SUMIFS(TARIFF_PROFILES!$D:$D,TARIFF_PROFILES!$A:$A,$B15)),1),IF($C15="Material",IFERROR(IF(SUMIFS(MATERIAL_TARIFF_RULES!$E:$E,MATERIAL_TARIFF_RULES!$A:$A,$D15,MATERIAL_TARIFF_RULES!$C:$C,$B15)&lt;&gt;"",SUMIFS(MATERIAL_TARIFF_RULES!$E:$E,MATERIAL_TARIFF_RULES!$A:$A,$D15,MATERIAL_TARIFF_RULES!$C:$C,$B15),SUMIFS(TARIFF_PROFILES!$E:$E,TARIFF_PROFILES!$A:$A,$B15)),1),"")))</f>
        <v/>
      </c>
      <c r="K15" s="36" t="str">
        <f>IF($C15="","",IF($C15="Material",IFERROR(SUMIFS(MATERIAL_MASTER!$P:$P,MATERIAL_MASTER!$A:$A,$D15)*IF(SUMIFS(MATERIAL_TARIFF_RULES!$F:$F,MATERIAL_TARIFF_RULES!$A:$A,$D15,MATERIAL_TARIFF_RULES!$C:$C,$B15)="",SUMIFS(TARIFF_PROFILES!$H:$H,TARIFF_PROFILES!$A:$A,$B15),SUMIFS(MATERIAL_TARIFF_RULES!$F:$F,MATERIAL_TARIFF_RULES!$A:$A,$D15,MATERIAL_TARIFF_RULES!$C:$C,$B15)),1),1))</f>
        <v/>
      </c>
      <c r="L15" s="36" t="str">
        <f t="shared" si="1"/>
        <v/>
      </c>
      <c r="M15" s="36" t="str">
        <f t="shared" si="2"/>
        <v/>
      </c>
      <c r="N15" s="36" t="str">
        <f t="shared" si="3"/>
        <v/>
      </c>
      <c r="O15" s="11" t="str">
        <f t="shared" si="4"/>
        <v/>
      </c>
    </row>
    <row r="16" ht="14.25" customHeight="1">
      <c r="A16" s="11"/>
      <c r="B16" s="11"/>
      <c r="C16" s="11"/>
      <c r="D16" s="11"/>
      <c r="E16" s="11"/>
      <c r="F16" s="11" t="str">
        <f>IF($C16="","",IF($C16="Work",IFERROR(IF(SUMIFS(WORK_TARIFF_RULES!$G:$G,WORK_TARIFF_RULES!$A:$A,$D16,WORK_TARIFF_RULES!$C:$C,$B16)&lt;&gt;"",SUMIFS(WORK_TARIFF_RULES!$G:$G,WORK_TARIFF_RULES!$A:$A,$D16,WORK_TARIFF_RULES!$C:$C,$B16),SUMIFS(WORK_MASTER!$C:$C,WORK_MASTER!$A:$A,$D16)),""),IF($C16="Material",IFERROR(IF(SUMIFS(MATERIAL_TARIFF_RULES!$G:$G,MATERIAL_TARIFF_RULES!$A:$A,$D16,MATERIAL_TARIFF_RULES!$C:$C,$B16)&lt;&gt;"",SUMIFS(MATERIAL_TARIFF_RULES!$G:$G,MATERIAL_TARIFF_RULES!$A:$A,$D16,MATERIAL_TARIFF_RULES!$C:$C,$B16),SUMIFS(MATERIAL_VARIANTS!$J:$J,MATERIAL_VARIANTS!$A:$A,$E16)),""),"")))</f>
        <v/>
      </c>
      <c r="G16" s="36"/>
      <c r="H16" s="36" t="str">
        <f>IF($C16="","",IF($C16="Work",IFERROR(SUMIFS(WORK_MASTER!$I:$I,WORK_MASTER!$A:$A,$D16),""),IF($C16="Material",IFERROR(SUMIFS(MATERIAL_VARIANTS!$I:$I,MATERIAL_VARIANTS!$A:$A,$E16),""),"")))</f>
        <v/>
      </c>
      <c r="I16" s="36" t="str">
        <f>IF($C16="","",IF($C16="Work",IFERROR(SUMIFS(WORK_FACTOR_APPLICABILITY!$O:$O,WORK_FACTOR_APPLICABILITY!$A:$A,$D16,WORK_FACTOR_APPLICABILITY!$N:$N,$A16),1),IF($C16="Material",IFERROR(ROUND(1+SUMIFS(MATERIAL_FACTOR_APPLICABILITY!$D:$D,MATERIAL_FACTOR_APPLICABILITY!$A:$A,SUMIFS(MATERIAL_MASTER!$O:$O,MATERIAL_MASTER!$A:$A,$D16),MATERIAL_FACTOR_APPLICABILITY!$B:$B,"GeometryComplexity")*(SUMIFS(OBJECT_CONDITIONS!$W:$W,OBJECT_CONDITIONS!$A:$A,$A16)-1),3),1),"")))</f>
        <v/>
      </c>
      <c r="J16" s="36" t="str">
        <f>IF($C16="","",IF($C16="Work",IFERROR(IF(SUMIFS(WORK_TARIFF_RULES!$F:$F,WORK_TARIFF_RULES!$A:$A,$D16,WORK_TARIFF_RULES!$C:$C,$B16)&lt;&gt;"",SUMIFS(WORK_TARIFF_RULES!$F:$F,WORK_TARIFF_RULES!$A:$A,$D16,WORK_TARIFF_RULES!$C:$C,$B16),SUMIFS(TARIFF_PROFILES!$D:$D,TARIFF_PROFILES!$A:$A,$B16)),1),IF($C16="Material",IFERROR(IF(SUMIFS(MATERIAL_TARIFF_RULES!$E:$E,MATERIAL_TARIFF_RULES!$A:$A,$D16,MATERIAL_TARIFF_RULES!$C:$C,$B16)&lt;&gt;"",SUMIFS(MATERIAL_TARIFF_RULES!$E:$E,MATERIAL_TARIFF_RULES!$A:$A,$D16,MATERIAL_TARIFF_RULES!$C:$C,$B16),SUMIFS(TARIFF_PROFILES!$E:$E,TARIFF_PROFILES!$A:$A,$B16)),1),"")))</f>
        <v/>
      </c>
      <c r="K16" s="36" t="str">
        <f>IF($C16="","",IF($C16="Material",IFERROR(SUMIFS(MATERIAL_MASTER!$P:$P,MATERIAL_MASTER!$A:$A,$D16)*IF(SUMIFS(MATERIAL_TARIFF_RULES!$F:$F,MATERIAL_TARIFF_RULES!$A:$A,$D16,MATERIAL_TARIFF_RULES!$C:$C,$B16)="",SUMIFS(TARIFF_PROFILES!$H:$H,TARIFF_PROFILES!$A:$A,$B16),SUMIFS(MATERIAL_TARIFF_RULES!$F:$F,MATERIAL_TARIFF_RULES!$A:$A,$D16,MATERIAL_TARIFF_RULES!$C:$C,$B16)),1),1))</f>
        <v/>
      </c>
      <c r="L16" s="36" t="str">
        <f t="shared" si="1"/>
        <v/>
      </c>
      <c r="M16" s="36" t="str">
        <f t="shared" si="2"/>
        <v/>
      </c>
      <c r="N16" s="36" t="str">
        <f t="shared" si="3"/>
        <v/>
      </c>
      <c r="O16" s="11" t="str">
        <f t="shared" si="4"/>
        <v/>
      </c>
    </row>
    <row r="17" ht="14.25" customHeight="1">
      <c r="A17" s="11"/>
      <c r="B17" s="11"/>
      <c r="C17" s="11"/>
      <c r="D17" s="11"/>
      <c r="E17" s="11"/>
      <c r="F17" s="11" t="str">
        <f>IF($C17="","",IF($C17="Work",IFERROR(IF(SUMIFS(WORK_TARIFF_RULES!$G:$G,WORK_TARIFF_RULES!$A:$A,$D17,WORK_TARIFF_RULES!$C:$C,$B17)&lt;&gt;"",SUMIFS(WORK_TARIFF_RULES!$G:$G,WORK_TARIFF_RULES!$A:$A,$D17,WORK_TARIFF_RULES!$C:$C,$B17),SUMIFS(WORK_MASTER!$C:$C,WORK_MASTER!$A:$A,$D17)),""),IF($C17="Material",IFERROR(IF(SUMIFS(MATERIAL_TARIFF_RULES!$G:$G,MATERIAL_TARIFF_RULES!$A:$A,$D17,MATERIAL_TARIFF_RULES!$C:$C,$B17)&lt;&gt;"",SUMIFS(MATERIAL_TARIFF_RULES!$G:$G,MATERIAL_TARIFF_RULES!$A:$A,$D17,MATERIAL_TARIFF_RULES!$C:$C,$B17),SUMIFS(MATERIAL_VARIANTS!$J:$J,MATERIAL_VARIANTS!$A:$A,$E17)),""),"")))</f>
        <v/>
      </c>
      <c r="G17" s="36"/>
      <c r="H17" s="36" t="str">
        <f>IF($C17="","",IF($C17="Work",IFERROR(SUMIFS(WORK_MASTER!$I:$I,WORK_MASTER!$A:$A,$D17),""),IF($C17="Material",IFERROR(SUMIFS(MATERIAL_VARIANTS!$I:$I,MATERIAL_VARIANTS!$A:$A,$E17),""),"")))</f>
        <v/>
      </c>
      <c r="I17" s="36" t="str">
        <f>IF($C17="","",IF($C17="Work",IFERROR(SUMIFS(WORK_FACTOR_APPLICABILITY!$O:$O,WORK_FACTOR_APPLICABILITY!$A:$A,$D17,WORK_FACTOR_APPLICABILITY!$N:$N,$A17),1),IF($C17="Material",IFERROR(ROUND(1+SUMIFS(MATERIAL_FACTOR_APPLICABILITY!$D:$D,MATERIAL_FACTOR_APPLICABILITY!$A:$A,SUMIFS(MATERIAL_MASTER!$O:$O,MATERIAL_MASTER!$A:$A,$D17),MATERIAL_FACTOR_APPLICABILITY!$B:$B,"GeometryComplexity")*(SUMIFS(OBJECT_CONDITIONS!$W:$W,OBJECT_CONDITIONS!$A:$A,$A17)-1),3),1),"")))</f>
        <v/>
      </c>
      <c r="J17" s="36" t="str">
        <f>IF($C17="","",IF($C17="Work",IFERROR(IF(SUMIFS(WORK_TARIFF_RULES!$F:$F,WORK_TARIFF_RULES!$A:$A,$D17,WORK_TARIFF_RULES!$C:$C,$B17)&lt;&gt;"",SUMIFS(WORK_TARIFF_RULES!$F:$F,WORK_TARIFF_RULES!$A:$A,$D17,WORK_TARIFF_RULES!$C:$C,$B17),SUMIFS(TARIFF_PROFILES!$D:$D,TARIFF_PROFILES!$A:$A,$B17)),1),IF($C17="Material",IFERROR(IF(SUMIFS(MATERIAL_TARIFF_RULES!$E:$E,MATERIAL_TARIFF_RULES!$A:$A,$D17,MATERIAL_TARIFF_RULES!$C:$C,$B17)&lt;&gt;"",SUMIFS(MATERIAL_TARIFF_RULES!$E:$E,MATERIAL_TARIFF_RULES!$A:$A,$D17,MATERIAL_TARIFF_RULES!$C:$C,$B17),SUMIFS(TARIFF_PROFILES!$E:$E,TARIFF_PROFILES!$A:$A,$B17)),1),"")))</f>
        <v/>
      </c>
      <c r="K17" s="36" t="str">
        <f>IF($C17="","",IF($C17="Material",IFERROR(SUMIFS(MATERIAL_MASTER!$P:$P,MATERIAL_MASTER!$A:$A,$D17)*IF(SUMIFS(MATERIAL_TARIFF_RULES!$F:$F,MATERIAL_TARIFF_RULES!$A:$A,$D17,MATERIAL_TARIFF_RULES!$C:$C,$B17)="",SUMIFS(TARIFF_PROFILES!$H:$H,TARIFF_PROFILES!$A:$A,$B17),SUMIFS(MATERIAL_TARIFF_RULES!$F:$F,MATERIAL_TARIFF_RULES!$A:$A,$D17,MATERIAL_TARIFF_RULES!$C:$C,$B17)),1),1))</f>
        <v/>
      </c>
      <c r="L17" s="36" t="str">
        <f t="shared" si="1"/>
        <v/>
      </c>
      <c r="M17" s="36" t="str">
        <f t="shared" si="2"/>
        <v/>
      </c>
      <c r="N17" s="36" t="str">
        <f t="shared" si="3"/>
        <v/>
      </c>
      <c r="O17" s="11" t="str">
        <f t="shared" si="4"/>
        <v/>
      </c>
    </row>
    <row r="18" ht="14.25" customHeight="1">
      <c r="A18" s="11"/>
      <c r="B18" s="11"/>
      <c r="C18" s="11"/>
      <c r="D18" s="11"/>
      <c r="E18" s="11"/>
      <c r="F18" s="11" t="str">
        <f>IF($C18="","",IF($C18="Work",IFERROR(IF(SUMIFS(WORK_TARIFF_RULES!$G:$G,WORK_TARIFF_RULES!$A:$A,$D18,WORK_TARIFF_RULES!$C:$C,$B18)&lt;&gt;"",SUMIFS(WORK_TARIFF_RULES!$G:$G,WORK_TARIFF_RULES!$A:$A,$D18,WORK_TARIFF_RULES!$C:$C,$B18),SUMIFS(WORK_MASTER!$C:$C,WORK_MASTER!$A:$A,$D18)),""),IF($C18="Material",IFERROR(IF(SUMIFS(MATERIAL_TARIFF_RULES!$G:$G,MATERIAL_TARIFF_RULES!$A:$A,$D18,MATERIAL_TARIFF_RULES!$C:$C,$B18)&lt;&gt;"",SUMIFS(MATERIAL_TARIFF_RULES!$G:$G,MATERIAL_TARIFF_RULES!$A:$A,$D18,MATERIAL_TARIFF_RULES!$C:$C,$B18),SUMIFS(MATERIAL_VARIANTS!$J:$J,MATERIAL_VARIANTS!$A:$A,$E18)),""),"")))</f>
        <v/>
      </c>
      <c r="G18" s="36"/>
      <c r="H18" s="36" t="str">
        <f>IF($C18="","",IF($C18="Work",IFERROR(SUMIFS(WORK_MASTER!$I:$I,WORK_MASTER!$A:$A,$D18),""),IF($C18="Material",IFERROR(SUMIFS(MATERIAL_VARIANTS!$I:$I,MATERIAL_VARIANTS!$A:$A,$E18),""),"")))</f>
        <v/>
      </c>
      <c r="I18" s="36" t="str">
        <f>IF($C18="","",IF($C18="Work",IFERROR(SUMIFS(WORK_FACTOR_APPLICABILITY!$O:$O,WORK_FACTOR_APPLICABILITY!$A:$A,$D18,WORK_FACTOR_APPLICABILITY!$N:$N,$A18),1),IF($C18="Material",IFERROR(ROUND(1+SUMIFS(MATERIAL_FACTOR_APPLICABILITY!$D:$D,MATERIAL_FACTOR_APPLICABILITY!$A:$A,SUMIFS(MATERIAL_MASTER!$O:$O,MATERIAL_MASTER!$A:$A,$D18),MATERIAL_FACTOR_APPLICABILITY!$B:$B,"GeometryComplexity")*(SUMIFS(OBJECT_CONDITIONS!$W:$W,OBJECT_CONDITIONS!$A:$A,$A18)-1),3),1),"")))</f>
        <v/>
      </c>
      <c r="J18" s="36" t="str">
        <f>IF($C18="","",IF($C18="Work",IFERROR(IF(SUMIFS(WORK_TARIFF_RULES!$F:$F,WORK_TARIFF_RULES!$A:$A,$D18,WORK_TARIFF_RULES!$C:$C,$B18)&lt;&gt;"",SUMIFS(WORK_TARIFF_RULES!$F:$F,WORK_TARIFF_RULES!$A:$A,$D18,WORK_TARIFF_RULES!$C:$C,$B18),SUMIFS(TARIFF_PROFILES!$D:$D,TARIFF_PROFILES!$A:$A,$B18)),1),IF($C18="Material",IFERROR(IF(SUMIFS(MATERIAL_TARIFF_RULES!$E:$E,MATERIAL_TARIFF_RULES!$A:$A,$D18,MATERIAL_TARIFF_RULES!$C:$C,$B18)&lt;&gt;"",SUMIFS(MATERIAL_TARIFF_RULES!$E:$E,MATERIAL_TARIFF_RULES!$A:$A,$D18,MATERIAL_TARIFF_RULES!$C:$C,$B18),SUMIFS(TARIFF_PROFILES!$E:$E,TARIFF_PROFILES!$A:$A,$B18)),1),"")))</f>
        <v/>
      </c>
      <c r="K18" s="36" t="str">
        <f>IF($C18="","",IF($C18="Material",IFERROR(SUMIFS(MATERIAL_MASTER!$P:$P,MATERIAL_MASTER!$A:$A,$D18)*IF(SUMIFS(MATERIAL_TARIFF_RULES!$F:$F,MATERIAL_TARIFF_RULES!$A:$A,$D18,MATERIAL_TARIFF_RULES!$C:$C,$B18)="",SUMIFS(TARIFF_PROFILES!$H:$H,TARIFF_PROFILES!$A:$A,$B18),SUMIFS(MATERIAL_TARIFF_RULES!$F:$F,MATERIAL_TARIFF_RULES!$A:$A,$D18,MATERIAL_TARIFF_RULES!$C:$C,$B18)),1),1))</f>
        <v/>
      </c>
      <c r="L18" s="36" t="str">
        <f t="shared" si="1"/>
        <v/>
      </c>
      <c r="M18" s="36" t="str">
        <f t="shared" si="2"/>
        <v/>
      </c>
      <c r="N18" s="36" t="str">
        <f t="shared" si="3"/>
        <v/>
      </c>
      <c r="O18" s="11" t="str">
        <f t="shared" si="4"/>
        <v/>
      </c>
    </row>
    <row r="19" ht="14.25" customHeight="1">
      <c r="A19" s="11"/>
      <c r="B19" s="11"/>
      <c r="C19" s="11"/>
      <c r="D19" s="11"/>
      <c r="E19" s="11"/>
      <c r="F19" s="11" t="str">
        <f>IF($C19="","",IF($C19="Work",IFERROR(IF(SUMIFS(WORK_TARIFF_RULES!$G:$G,WORK_TARIFF_RULES!$A:$A,$D19,WORK_TARIFF_RULES!$C:$C,$B19)&lt;&gt;"",SUMIFS(WORK_TARIFF_RULES!$G:$G,WORK_TARIFF_RULES!$A:$A,$D19,WORK_TARIFF_RULES!$C:$C,$B19),SUMIFS(WORK_MASTER!$C:$C,WORK_MASTER!$A:$A,$D19)),""),IF($C19="Material",IFERROR(IF(SUMIFS(MATERIAL_TARIFF_RULES!$G:$G,MATERIAL_TARIFF_RULES!$A:$A,$D19,MATERIAL_TARIFF_RULES!$C:$C,$B19)&lt;&gt;"",SUMIFS(MATERIAL_TARIFF_RULES!$G:$G,MATERIAL_TARIFF_RULES!$A:$A,$D19,MATERIAL_TARIFF_RULES!$C:$C,$B19),SUMIFS(MATERIAL_VARIANTS!$J:$J,MATERIAL_VARIANTS!$A:$A,$E19)),""),"")))</f>
        <v/>
      </c>
      <c r="G19" s="36"/>
      <c r="H19" s="36" t="str">
        <f>IF($C19="","",IF($C19="Work",IFERROR(SUMIFS(WORK_MASTER!$I:$I,WORK_MASTER!$A:$A,$D19),""),IF($C19="Material",IFERROR(SUMIFS(MATERIAL_VARIANTS!$I:$I,MATERIAL_VARIANTS!$A:$A,$E19),""),"")))</f>
        <v/>
      </c>
      <c r="I19" s="36" t="str">
        <f>IF($C19="","",IF($C19="Work",IFERROR(SUMIFS(WORK_FACTOR_APPLICABILITY!$O:$O,WORK_FACTOR_APPLICABILITY!$A:$A,$D19,WORK_FACTOR_APPLICABILITY!$N:$N,$A19),1),IF($C19="Material",IFERROR(ROUND(1+SUMIFS(MATERIAL_FACTOR_APPLICABILITY!$D:$D,MATERIAL_FACTOR_APPLICABILITY!$A:$A,SUMIFS(MATERIAL_MASTER!$O:$O,MATERIAL_MASTER!$A:$A,$D19),MATERIAL_FACTOR_APPLICABILITY!$B:$B,"GeometryComplexity")*(SUMIFS(OBJECT_CONDITIONS!$W:$W,OBJECT_CONDITIONS!$A:$A,$A19)-1),3),1),"")))</f>
        <v/>
      </c>
      <c r="J19" s="36" t="str">
        <f>IF($C19="","",IF($C19="Work",IFERROR(IF(SUMIFS(WORK_TARIFF_RULES!$F:$F,WORK_TARIFF_RULES!$A:$A,$D19,WORK_TARIFF_RULES!$C:$C,$B19)&lt;&gt;"",SUMIFS(WORK_TARIFF_RULES!$F:$F,WORK_TARIFF_RULES!$A:$A,$D19,WORK_TARIFF_RULES!$C:$C,$B19),SUMIFS(TARIFF_PROFILES!$D:$D,TARIFF_PROFILES!$A:$A,$B19)),1),IF($C19="Material",IFERROR(IF(SUMIFS(MATERIAL_TARIFF_RULES!$E:$E,MATERIAL_TARIFF_RULES!$A:$A,$D19,MATERIAL_TARIFF_RULES!$C:$C,$B19)&lt;&gt;"",SUMIFS(MATERIAL_TARIFF_RULES!$E:$E,MATERIAL_TARIFF_RULES!$A:$A,$D19,MATERIAL_TARIFF_RULES!$C:$C,$B19),SUMIFS(TARIFF_PROFILES!$E:$E,TARIFF_PROFILES!$A:$A,$B19)),1),"")))</f>
        <v/>
      </c>
      <c r="K19" s="36" t="str">
        <f>IF($C19="","",IF($C19="Material",IFERROR(SUMIFS(MATERIAL_MASTER!$P:$P,MATERIAL_MASTER!$A:$A,$D19)*IF(SUMIFS(MATERIAL_TARIFF_RULES!$F:$F,MATERIAL_TARIFF_RULES!$A:$A,$D19,MATERIAL_TARIFF_RULES!$C:$C,$B19)="",SUMIFS(TARIFF_PROFILES!$H:$H,TARIFF_PROFILES!$A:$A,$B19),SUMIFS(MATERIAL_TARIFF_RULES!$F:$F,MATERIAL_TARIFF_RULES!$A:$A,$D19,MATERIAL_TARIFF_RULES!$C:$C,$B19)),1),1))</f>
        <v/>
      </c>
      <c r="L19" s="36" t="str">
        <f t="shared" si="1"/>
        <v/>
      </c>
      <c r="M19" s="36" t="str">
        <f t="shared" si="2"/>
        <v/>
      </c>
      <c r="N19" s="36" t="str">
        <f t="shared" si="3"/>
        <v/>
      </c>
      <c r="O19" s="11" t="str">
        <f t="shared" si="4"/>
        <v/>
      </c>
    </row>
    <row r="20" ht="14.25" customHeight="1">
      <c r="A20" s="11"/>
      <c r="B20" s="11"/>
      <c r="C20" s="11"/>
      <c r="D20" s="11"/>
      <c r="E20" s="11"/>
      <c r="F20" s="11" t="str">
        <f>IF($C20="","",IF($C20="Work",IFERROR(IF(SUMIFS(WORK_TARIFF_RULES!$G:$G,WORK_TARIFF_RULES!$A:$A,$D20,WORK_TARIFF_RULES!$C:$C,$B20)&lt;&gt;"",SUMIFS(WORK_TARIFF_RULES!$G:$G,WORK_TARIFF_RULES!$A:$A,$D20,WORK_TARIFF_RULES!$C:$C,$B20),SUMIFS(WORK_MASTER!$C:$C,WORK_MASTER!$A:$A,$D20)),""),IF($C20="Material",IFERROR(IF(SUMIFS(MATERIAL_TARIFF_RULES!$G:$G,MATERIAL_TARIFF_RULES!$A:$A,$D20,MATERIAL_TARIFF_RULES!$C:$C,$B20)&lt;&gt;"",SUMIFS(MATERIAL_TARIFF_RULES!$G:$G,MATERIAL_TARIFF_RULES!$A:$A,$D20,MATERIAL_TARIFF_RULES!$C:$C,$B20),SUMIFS(MATERIAL_VARIANTS!$J:$J,MATERIAL_VARIANTS!$A:$A,$E20)),""),"")))</f>
        <v/>
      </c>
      <c r="G20" s="36"/>
      <c r="H20" s="36" t="str">
        <f>IF($C20="","",IF($C20="Work",IFERROR(SUMIFS(WORK_MASTER!$I:$I,WORK_MASTER!$A:$A,$D20),""),IF($C20="Material",IFERROR(SUMIFS(MATERIAL_VARIANTS!$I:$I,MATERIAL_VARIANTS!$A:$A,$E20),""),"")))</f>
        <v/>
      </c>
      <c r="I20" s="36" t="str">
        <f>IF($C20="","",IF($C20="Work",IFERROR(SUMIFS(WORK_FACTOR_APPLICABILITY!$O:$O,WORK_FACTOR_APPLICABILITY!$A:$A,$D20,WORK_FACTOR_APPLICABILITY!$N:$N,$A20),1),IF($C20="Material",IFERROR(ROUND(1+SUMIFS(MATERIAL_FACTOR_APPLICABILITY!$D:$D,MATERIAL_FACTOR_APPLICABILITY!$A:$A,SUMIFS(MATERIAL_MASTER!$O:$O,MATERIAL_MASTER!$A:$A,$D20),MATERIAL_FACTOR_APPLICABILITY!$B:$B,"GeometryComplexity")*(SUMIFS(OBJECT_CONDITIONS!$W:$W,OBJECT_CONDITIONS!$A:$A,$A20)-1),3),1),"")))</f>
        <v/>
      </c>
      <c r="J20" s="36" t="str">
        <f>IF($C20="","",IF($C20="Work",IFERROR(IF(SUMIFS(WORK_TARIFF_RULES!$F:$F,WORK_TARIFF_RULES!$A:$A,$D20,WORK_TARIFF_RULES!$C:$C,$B20)&lt;&gt;"",SUMIFS(WORK_TARIFF_RULES!$F:$F,WORK_TARIFF_RULES!$A:$A,$D20,WORK_TARIFF_RULES!$C:$C,$B20),SUMIFS(TARIFF_PROFILES!$D:$D,TARIFF_PROFILES!$A:$A,$B20)),1),IF($C20="Material",IFERROR(IF(SUMIFS(MATERIAL_TARIFF_RULES!$E:$E,MATERIAL_TARIFF_RULES!$A:$A,$D20,MATERIAL_TARIFF_RULES!$C:$C,$B20)&lt;&gt;"",SUMIFS(MATERIAL_TARIFF_RULES!$E:$E,MATERIAL_TARIFF_RULES!$A:$A,$D20,MATERIAL_TARIFF_RULES!$C:$C,$B20),SUMIFS(TARIFF_PROFILES!$E:$E,TARIFF_PROFILES!$A:$A,$B20)),1),"")))</f>
        <v/>
      </c>
      <c r="K20" s="36" t="str">
        <f>IF($C20="","",IF($C20="Material",IFERROR(SUMIFS(MATERIAL_MASTER!$P:$P,MATERIAL_MASTER!$A:$A,$D20)*IF(SUMIFS(MATERIAL_TARIFF_RULES!$F:$F,MATERIAL_TARIFF_RULES!$A:$A,$D20,MATERIAL_TARIFF_RULES!$C:$C,$B20)="",SUMIFS(TARIFF_PROFILES!$H:$H,TARIFF_PROFILES!$A:$A,$B20),SUMIFS(MATERIAL_TARIFF_RULES!$F:$F,MATERIAL_TARIFF_RULES!$A:$A,$D20,MATERIAL_TARIFF_RULES!$C:$C,$B20)),1),1))</f>
        <v/>
      </c>
      <c r="L20" s="36" t="str">
        <f t="shared" si="1"/>
        <v/>
      </c>
      <c r="M20" s="36" t="str">
        <f t="shared" si="2"/>
        <v/>
      </c>
      <c r="N20" s="36" t="str">
        <f t="shared" si="3"/>
        <v/>
      </c>
      <c r="O20" s="11" t="str">
        <f t="shared" si="4"/>
        <v/>
      </c>
    </row>
    <row r="21" ht="14.25" customHeight="1">
      <c r="A21" s="11"/>
      <c r="B21" s="11"/>
      <c r="C21" s="11"/>
      <c r="D21" s="11"/>
      <c r="E21" s="11"/>
      <c r="F21" s="11" t="str">
        <f>IF($C21="","",IF($C21="Work",IFERROR(IF(SUMIFS(WORK_TARIFF_RULES!$G:$G,WORK_TARIFF_RULES!$A:$A,$D21,WORK_TARIFF_RULES!$C:$C,$B21)&lt;&gt;"",SUMIFS(WORK_TARIFF_RULES!$G:$G,WORK_TARIFF_RULES!$A:$A,$D21,WORK_TARIFF_RULES!$C:$C,$B21),SUMIFS(WORK_MASTER!$C:$C,WORK_MASTER!$A:$A,$D21)),""),IF($C21="Material",IFERROR(IF(SUMIFS(MATERIAL_TARIFF_RULES!$G:$G,MATERIAL_TARIFF_RULES!$A:$A,$D21,MATERIAL_TARIFF_RULES!$C:$C,$B21)&lt;&gt;"",SUMIFS(MATERIAL_TARIFF_RULES!$G:$G,MATERIAL_TARIFF_RULES!$A:$A,$D21,MATERIAL_TARIFF_RULES!$C:$C,$B21),SUMIFS(MATERIAL_VARIANTS!$J:$J,MATERIAL_VARIANTS!$A:$A,$E21)),""),"")))</f>
        <v/>
      </c>
      <c r="G21" s="36"/>
      <c r="H21" s="36" t="str">
        <f>IF($C21="","",IF($C21="Work",IFERROR(SUMIFS(WORK_MASTER!$I:$I,WORK_MASTER!$A:$A,$D21),""),IF($C21="Material",IFERROR(SUMIFS(MATERIAL_VARIANTS!$I:$I,MATERIAL_VARIANTS!$A:$A,$E21),""),"")))</f>
        <v/>
      </c>
      <c r="I21" s="36" t="str">
        <f>IF($C21="","",IF($C21="Work",IFERROR(SUMIFS(WORK_FACTOR_APPLICABILITY!$O:$O,WORK_FACTOR_APPLICABILITY!$A:$A,$D21,WORK_FACTOR_APPLICABILITY!$N:$N,$A21),1),IF($C21="Material",IFERROR(ROUND(1+SUMIFS(MATERIAL_FACTOR_APPLICABILITY!$D:$D,MATERIAL_FACTOR_APPLICABILITY!$A:$A,SUMIFS(MATERIAL_MASTER!$O:$O,MATERIAL_MASTER!$A:$A,$D21),MATERIAL_FACTOR_APPLICABILITY!$B:$B,"GeometryComplexity")*(SUMIFS(OBJECT_CONDITIONS!$W:$W,OBJECT_CONDITIONS!$A:$A,$A21)-1),3),1),"")))</f>
        <v/>
      </c>
      <c r="J21" s="36" t="str">
        <f>IF($C21="","",IF($C21="Work",IFERROR(IF(SUMIFS(WORK_TARIFF_RULES!$F:$F,WORK_TARIFF_RULES!$A:$A,$D21,WORK_TARIFF_RULES!$C:$C,$B21)&lt;&gt;"",SUMIFS(WORK_TARIFF_RULES!$F:$F,WORK_TARIFF_RULES!$A:$A,$D21,WORK_TARIFF_RULES!$C:$C,$B21),SUMIFS(TARIFF_PROFILES!$D:$D,TARIFF_PROFILES!$A:$A,$B21)),1),IF($C21="Material",IFERROR(IF(SUMIFS(MATERIAL_TARIFF_RULES!$E:$E,MATERIAL_TARIFF_RULES!$A:$A,$D21,MATERIAL_TARIFF_RULES!$C:$C,$B21)&lt;&gt;"",SUMIFS(MATERIAL_TARIFF_RULES!$E:$E,MATERIAL_TARIFF_RULES!$A:$A,$D21,MATERIAL_TARIFF_RULES!$C:$C,$B21),SUMIFS(TARIFF_PROFILES!$E:$E,TARIFF_PROFILES!$A:$A,$B21)),1),"")))</f>
        <v/>
      </c>
      <c r="K21" s="36" t="str">
        <f>IF($C21="","",IF($C21="Material",IFERROR(SUMIFS(MATERIAL_MASTER!$P:$P,MATERIAL_MASTER!$A:$A,$D21)*IF(SUMIFS(MATERIAL_TARIFF_RULES!$F:$F,MATERIAL_TARIFF_RULES!$A:$A,$D21,MATERIAL_TARIFF_RULES!$C:$C,$B21)="",SUMIFS(TARIFF_PROFILES!$H:$H,TARIFF_PROFILES!$A:$A,$B21),SUMIFS(MATERIAL_TARIFF_RULES!$F:$F,MATERIAL_TARIFF_RULES!$A:$A,$D21,MATERIAL_TARIFF_RULES!$C:$C,$B21)),1),1))</f>
        <v/>
      </c>
      <c r="L21" s="36" t="str">
        <f t="shared" si="1"/>
        <v/>
      </c>
      <c r="M21" s="36" t="str">
        <f t="shared" si="2"/>
        <v/>
      </c>
      <c r="N21" s="36" t="str">
        <f t="shared" si="3"/>
        <v/>
      </c>
      <c r="O21" s="11" t="str">
        <f t="shared" si="4"/>
        <v/>
      </c>
    </row>
    <row r="22" ht="14.25" customHeight="1">
      <c r="A22" s="11"/>
      <c r="B22" s="11"/>
      <c r="C22" s="11"/>
      <c r="D22" s="11"/>
      <c r="E22" s="11"/>
      <c r="F22" s="11" t="str">
        <f>IF($C22="","",IF($C22="Work",IFERROR(IF(SUMIFS(WORK_TARIFF_RULES!$G:$G,WORK_TARIFF_RULES!$A:$A,$D22,WORK_TARIFF_RULES!$C:$C,$B22)&lt;&gt;"",SUMIFS(WORK_TARIFF_RULES!$G:$G,WORK_TARIFF_RULES!$A:$A,$D22,WORK_TARIFF_RULES!$C:$C,$B22),SUMIFS(WORK_MASTER!$C:$C,WORK_MASTER!$A:$A,$D22)),""),IF($C22="Material",IFERROR(IF(SUMIFS(MATERIAL_TARIFF_RULES!$G:$G,MATERIAL_TARIFF_RULES!$A:$A,$D22,MATERIAL_TARIFF_RULES!$C:$C,$B22)&lt;&gt;"",SUMIFS(MATERIAL_TARIFF_RULES!$G:$G,MATERIAL_TARIFF_RULES!$A:$A,$D22,MATERIAL_TARIFF_RULES!$C:$C,$B22),SUMIFS(MATERIAL_VARIANTS!$J:$J,MATERIAL_VARIANTS!$A:$A,$E22)),""),"")))</f>
        <v/>
      </c>
      <c r="G22" s="36"/>
      <c r="H22" s="36" t="str">
        <f>IF($C22="","",IF($C22="Work",IFERROR(SUMIFS(WORK_MASTER!$I:$I,WORK_MASTER!$A:$A,$D22),""),IF($C22="Material",IFERROR(SUMIFS(MATERIAL_VARIANTS!$I:$I,MATERIAL_VARIANTS!$A:$A,$E22),""),"")))</f>
        <v/>
      </c>
      <c r="I22" s="36" t="str">
        <f>IF($C22="","",IF($C22="Work",IFERROR(SUMIFS(WORK_FACTOR_APPLICABILITY!$O:$O,WORK_FACTOR_APPLICABILITY!$A:$A,$D22,WORK_FACTOR_APPLICABILITY!$N:$N,$A22),1),IF($C22="Material",IFERROR(ROUND(1+SUMIFS(MATERIAL_FACTOR_APPLICABILITY!$D:$D,MATERIAL_FACTOR_APPLICABILITY!$A:$A,SUMIFS(MATERIAL_MASTER!$O:$O,MATERIAL_MASTER!$A:$A,$D22),MATERIAL_FACTOR_APPLICABILITY!$B:$B,"GeometryComplexity")*(SUMIFS(OBJECT_CONDITIONS!$W:$W,OBJECT_CONDITIONS!$A:$A,$A22)-1),3),1),"")))</f>
        <v/>
      </c>
      <c r="J22" s="36" t="str">
        <f>IF($C22="","",IF($C22="Work",IFERROR(IF(SUMIFS(WORK_TARIFF_RULES!$F:$F,WORK_TARIFF_RULES!$A:$A,$D22,WORK_TARIFF_RULES!$C:$C,$B22)&lt;&gt;"",SUMIFS(WORK_TARIFF_RULES!$F:$F,WORK_TARIFF_RULES!$A:$A,$D22,WORK_TARIFF_RULES!$C:$C,$B22),SUMIFS(TARIFF_PROFILES!$D:$D,TARIFF_PROFILES!$A:$A,$B22)),1),IF($C22="Material",IFERROR(IF(SUMIFS(MATERIAL_TARIFF_RULES!$E:$E,MATERIAL_TARIFF_RULES!$A:$A,$D22,MATERIAL_TARIFF_RULES!$C:$C,$B22)&lt;&gt;"",SUMIFS(MATERIAL_TARIFF_RULES!$E:$E,MATERIAL_TARIFF_RULES!$A:$A,$D22,MATERIAL_TARIFF_RULES!$C:$C,$B22),SUMIFS(TARIFF_PROFILES!$E:$E,TARIFF_PROFILES!$A:$A,$B22)),1),"")))</f>
        <v/>
      </c>
      <c r="K22" s="36" t="str">
        <f>IF($C22="","",IF($C22="Material",IFERROR(SUMIFS(MATERIAL_MASTER!$P:$P,MATERIAL_MASTER!$A:$A,$D22)*IF(SUMIFS(MATERIAL_TARIFF_RULES!$F:$F,MATERIAL_TARIFF_RULES!$A:$A,$D22,MATERIAL_TARIFF_RULES!$C:$C,$B22)="",SUMIFS(TARIFF_PROFILES!$H:$H,TARIFF_PROFILES!$A:$A,$B22),SUMIFS(MATERIAL_TARIFF_RULES!$F:$F,MATERIAL_TARIFF_RULES!$A:$A,$D22,MATERIAL_TARIFF_RULES!$C:$C,$B22)),1),1))</f>
        <v/>
      </c>
      <c r="L22" s="36" t="str">
        <f t="shared" si="1"/>
        <v/>
      </c>
      <c r="M22" s="36" t="str">
        <f t="shared" si="2"/>
        <v/>
      </c>
      <c r="N22" s="36" t="str">
        <f t="shared" si="3"/>
        <v/>
      </c>
      <c r="O22" s="11" t="str">
        <f t="shared" si="4"/>
        <v/>
      </c>
    </row>
    <row r="23" ht="14.25" customHeight="1">
      <c r="A23" s="11"/>
      <c r="B23" s="11"/>
      <c r="C23" s="11"/>
      <c r="D23" s="11"/>
      <c r="E23" s="11"/>
      <c r="F23" s="11" t="str">
        <f>IF($C23="","",IF($C23="Work",IFERROR(IF(SUMIFS(WORK_TARIFF_RULES!$G:$G,WORK_TARIFF_RULES!$A:$A,$D23,WORK_TARIFF_RULES!$C:$C,$B23)&lt;&gt;"",SUMIFS(WORK_TARIFF_RULES!$G:$G,WORK_TARIFF_RULES!$A:$A,$D23,WORK_TARIFF_RULES!$C:$C,$B23),SUMIFS(WORK_MASTER!$C:$C,WORK_MASTER!$A:$A,$D23)),""),IF($C23="Material",IFERROR(IF(SUMIFS(MATERIAL_TARIFF_RULES!$G:$G,MATERIAL_TARIFF_RULES!$A:$A,$D23,MATERIAL_TARIFF_RULES!$C:$C,$B23)&lt;&gt;"",SUMIFS(MATERIAL_TARIFF_RULES!$G:$G,MATERIAL_TARIFF_RULES!$A:$A,$D23,MATERIAL_TARIFF_RULES!$C:$C,$B23),SUMIFS(MATERIAL_VARIANTS!$J:$J,MATERIAL_VARIANTS!$A:$A,$E23)),""),"")))</f>
        <v/>
      </c>
      <c r="G23" s="36"/>
      <c r="H23" s="36" t="str">
        <f>IF($C23="","",IF($C23="Work",IFERROR(SUMIFS(WORK_MASTER!$I:$I,WORK_MASTER!$A:$A,$D23),""),IF($C23="Material",IFERROR(SUMIFS(MATERIAL_VARIANTS!$I:$I,MATERIAL_VARIANTS!$A:$A,$E23),""),"")))</f>
        <v/>
      </c>
      <c r="I23" s="36" t="str">
        <f>IF($C23="","",IF($C23="Work",IFERROR(SUMIFS(WORK_FACTOR_APPLICABILITY!$O:$O,WORK_FACTOR_APPLICABILITY!$A:$A,$D23,WORK_FACTOR_APPLICABILITY!$N:$N,$A23),1),IF($C23="Material",IFERROR(ROUND(1+SUMIFS(MATERIAL_FACTOR_APPLICABILITY!$D:$D,MATERIAL_FACTOR_APPLICABILITY!$A:$A,SUMIFS(MATERIAL_MASTER!$O:$O,MATERIAL_MASTER!$A:$A,$D23),MATERIAL_FACTOR_APPLICABILITY!$B:$B,"GeometryComplexity")*(SUMIFS(OBJECT_CONDITIONS!$W:$W,OBJECT_CONDITIONS!$A:$A,$A23)-1),3),1),"")))</f>
        <v/>
      </c>
      <c r="J23" s="36" t="str">
        <f>IF($C23="","",IF($C23="Work",IFERROR(IF(SUMIFS(WORK_TARIFF_RULES!$F:$F,WORK_TARIFF_RULES!$A:$A,$D23,WORK_TARIFF_RULES!$C:$C,$B23)&lt;&gt;"",SUMIFS(WORK_TARIFF_RULES!$F:$F,WORK_TARIFF_RULES!$A:$A,$D23,WORK_TARIFF_RULES!$C:$C,$B23),SUMIFS(TARIFF_PROFILES!$D:$D,TARIFF_PROFILES!$A:$A,$B23)),1),IF($C23="Material",IFERROR(IF(SUMIFS(MATERIAL_TARIFF_RULES!$E:$E,MATERIAL_TARIFF_RULES!$A:$A,$D23,MATERIAL_TARIFF_RULES!$C:$C,$B23)&lt;&gt;"",SUMIFS(MATERIAL_TARIFF_RULES!$E:$E,MATERIAL_TARIFF_RULES!$A:$A,$D23,MATERIAL_TARIFF_RULES!$C:$C,$B23),SUMIFS(TARIFF_PROFILES!$E:$E,TARIFF_PROFILES!$A:$A,$B23)),1),"")))</f>
        <v/>
      </c>
      <c r="K23" s="36" t="str">
        <f>IF($C23="","",IF($C23="Material",IFERROR(SUMIFS(MATERIAL_MASTER!$P:$P,MATERIAL_MASTER!$A:$A,$D23)*IF(SUMIFS(MATERIAL_TARIFF_RULES!$F:$F,MATERIAL_TARIFF_RULES!$A:$A,$D23,MATERIAL_TARIFF_RULES!$C:$C,$B23)="",SUMIFS(TARIFF_PROFILES!$H:$H,TARIFF_PROFILES!$A:$A,$B23),SUMIFS(MATERIAL_TARIFF_RULES!$F:$F,MATERIAL_TARIFF_RULES!$A:$A,$D23,MATERIAL_TARIFF_RULES!$C:$C,$B23)),1),1))</f>
        <v/>
      </c>
      <c r="L23" s="36" t="str">
        <f t="shared" si="1"/>
        <v/>
      </c>
      <c r="M23" s="36" t="str">
        <f t="shared" si="2"/>
        <v/>
      </c>
      <c r="N23" s="36" t="str">
        <f t="shared" si="3"/>
        <v/>
      </c>
      <c r="O23" s="11" t="str">
        <f t="shared" si="4"/>
        <v/>
      </c>
    </row>
    <row r="24" ht="14.25" customHeight="1">
      <c r="A24" s="11"/>
      <c r="B24" s="11"/>
      <c r="C24" s="11"/>
      <c r="D24" s="11"/>
      <c r="E24" s="11"/>
      <c r="F24" s="11" t="str">
        <f>IF($C24="","",IF($C24="Work",IFERROR(IF(SUMIFS(WORK_TARIFF_RULES!$G:$G,WORK_TARIFF_RULES!$A:$A,$D24,WORK_TARIFF_RULES!$C:$C,$B24)&lt;&gt;"",SUMIFS(WORK_TARIFF_RULES!$G:$G,WORK_TARIFF_RULES!$A:$A,$D24,WORK_TARIFF_RULES!$C:$C,$B24),SUMIFS(WORK_MASTER!$C:$C,WORK_MASTER!$A:$A,$D24)),""),IF($C24="Material",IFERROR(IF(SUMIFS(MATERIAL_TARIFF_RULES!$G:$G,MATERIAL_TARIFF_RULES!$A:$A,$D24,MATERIAL_TARIFF_RULES!$C:$C,$B24)&lt;&gt;"",SUMIFS(MATERIAL_TARIFF_RULES!$G:$G,MATERIAL_TARIFF_RULES!$A:$A,$D24,MATERIAL_TARIFF_RULES!$C:$C,$B24),SUMIFS(MATERIAL_VARIANTS!$J:$J,MATERIAL_VARIANTS!$A:$A,$E24)),""),"")))</f>
        <v/>
      </c>
      <c r="G24" s="36"/>
      <c r="H24" s="36" t="str">
        <f>IF($C24="","",IF($C24="Work",IFERROR(SUMIFS(WORK_MASTER!$I:$I,WORK_MASTER!$A:$A,$D24),""),IF($C24="Material",IFERROR(SUMIFS(MATERIAL_VARIANTS!$I:$I,MATERIAL_VARIANTS!$A:$A,$E24),""),"")))</f>
        <v/>
      </c>
      <c r="I24" s="36" t="str">
        <f>IF($C24="","",IF($C24="Work",IFERROR(SUMIFS(WORK_FACTOR_APPLICABILITY!$O:$O,WORK_FACTOR_APPLICABILITY!$A:$A,$D24,WORK_FACTOR_APPLICABILITY!$N:$N,$A24),1),IF($C24="Material",IFERROR(ROUND(1+SUMIFS(MATERIAL_FACTOR_APPLICABILITY!$D:$D,MATERIAL_FACTOR_APPLICABILITY!$A:$A,SUMIFS(MATERIAL_MASTER!$O:$O,MATERIAL_MASTER!$A:$A,$D24),MATERIAL_FACTOR_APPLICABILITY!$B:$B,"GeometryComplexity")*(SUMIFS(OBJECT_CONDITIONS!$W:$W,OBJECT_CONDITIONS!$A:$A,$A24)-1),3),1),"")))</f>
        <v/>
      </c>
      <c r="J24" s="36" t="str">
        <f>IF($C24="","",IF($C24="Work",IFERROR(IF(SUMIFS(WORK_TARIFF_RULES!$F:$F,WORK_TARIFF_RULES!$A:$A,$D24,WORK_TARIFF_RULES!$C:$C,$B24)&lt;&gt;"",SUMIFS(WORK_TARIFF_RULES!$F:$F,WORK_TARIFF_RULES!$A:$A,$D24,WORK_TARIFF_RULES!$C:$C,$B24),SUMIFS(TARIFF_PROFILES!$D:$D,TARIFF_PROFILES!$A:$A,$B24)),1),IF($C24="Material",IFERROR(IF(SUMIFS(MATERIAL_TARIFF_RULES!$E:$E,MATERIAL_TARIFF_RULES!$A:$A,$D24,MATERIAL_TARIFF_RULES!$C:$C,$B24)&lt;&gt;"",SUMIFS(MATERIAL_TARIFF_RULES!$E:$E,MATERIAL_TARIFF_RULES!$A:$A,$D24,MATERIAL_TARIFF_RULES!$C:$C,$B24),SUMIFS(TARIFF_PROFILES!$E:$E,TARIFF_PROFILES!$A:$A,$B24)),1),"")))</f>
        <v/>
      </c>
      <c r="K24" s="36" t="str">
        <f>IF($C24="","",IF($C24="Material",IFERROR(SUMIFS(MATERIAL_MASTER!$P:$P,MATERIAL_MASTER!$A:$A,$D24)*IF(SUMIFS(MATERIAL_TARIFF_RULES!$F:$F,MATERIAL_TARIFF_RULES!$A:$A,$D24,MATERIAL_TARIFF_RULES!$C:$C,$B24)="",SUMIFS(TARIFF_PROFILES!$H:$H,TARIFF_PROFILES!$A:$A,$B24),SUMIFS(MATERIAL_TARIFF_RULES!$F:$F,MATERIAL_TARIFF_RULES!$A:$A,$D24,MATERIAL_TARIFF_RULES!$C:$C,$B24)),1),1))</f>
        <v/>
      </c>
      <c r="L24" s="36" t="str">
        <f t="shared" si="1"/>
        <v/>
      </c>
      <c r="M24" s="36" t="str">
        <f t="shared" si="2"/>
        <v/>
      </c>
      <c r="N24" s="36" t="str">
        <f t="shared" si="3"/>
        <v/>
      </c>
      <c r="O24" s="11" t="str">
        <f t="shared" si="4"/>
        <v/>
      </c>
    </row>
    <row r="25" ht="14.25" customHeight="1">
      <c r="A25" s="11"/>
      <c r="B25" s="11"/>
      <c r="C25" s="11"/>
      <c r="D25" s="11"/>
      <c r="E25" s="11"/>
      <c r="F25" s="11" t="str">
        <f>IF($C25="","",IF($C25="Work",IFERROR(IF(SUMIFS(WORK_TARIFF_RULES!$G:$G,WORK_TARIFF_RULES!$A:$A,$D25,WORK_TARIFF_RULES!$C:$C,$B25)&lt;&gt;"",SUMIFS(WORK_TARIFF_RULES!$G:$G,WORK_TARIFF_RULES!$A:$A,$D25,WORK_TARIFF_RULES!$C:$C,$B25),SUMIFS(WORK_MASTER!$C:$C,WORK_MASTER!$A:$A,$D25)),""),IF($C25="Material",IFERROR(IF(SUMIFS(MATERIAL_TARIFF_RULES!$G:$G,MATERIAL_TARIFF_RULES!$A:$A,$D25,MATERIAL_TARIFF_RULES!$C:$C,$B25)&lt;&gt;"",SUMIFS(MATERIAL_TARIFF_RULES!$G:$G,MATERIAL_TARIFF_RULES!$A:$A,$D25,MATERIAL_TARIFF_RULES!$C:$C,$B25),SUMIFS(MATERIAL_VARIANTS!$J:$J,MATERIAL_VARIANTS!$A:$A,$E25)),""),"")))</f>
        <v/>
      </c>
      <c r="G25" s="36"/>
      <c r="H25" s="36" t="str">
        <f>IF($C25="","",IF($C25="Work",IFERROR(SUMIFS(WORK_MASTER!$I:$I,WORK_MASTER!$A:$A,$D25),""),IF($C25="Material",IFERROR(SUMIFS(MATERIAL_VARIANTS!$I:$I,MATERIAL_VARIANTS!$A:$A,$E25),""),"")))</f>
        <v/>
      </c>
      <c r="I25" s="36" t="str">
        <f>IF($C25="","",IF($C25="Work",IFERROR(SUMIFS(WORK_FACTOR_APPLICABILITY!$O:$O,WORK_FACTOR_APPLICABILITY!$A:$A,$D25,WORK_FACTOR_APPLICABILITY!$N:$N,$A25),1),IF($C25="Material",IFERROR(ROUND(1+SUMIFS(MATERIAL_FACTOR_APPLICABILITY!$D:$D,MATERIAL_FACTOR_APPLICABILITY!$A:$A,SUMIFS(MATERIAL_MASTER!$O:$O,MATERIAL_MASTER!$A:$A,$D25),MATERIAL_FACTOR_APPLICABILITY!$B:$B,"GeometryComplexity")*(SUMIFS(OBJECT_CONDITIONS!$W:$W,OBJECT_CONDITIONS!$A:$A,$A25)-1),3),1),"")))</f>
        <v/>
      </c>
      <c r="J25" s="36" t="str">
        <f>IF($C25="","",IF($C25="Work",IFERROR(IF(SUMIFS(WORK_TARIFF_RULES!$F:$F,WORK_TARIFF_RULES!$A:$A,$D25,WORK_TARIFF_RULES!$C:$C,$B25)&lt;&gt;"",SUMIFS(WORK_TARIFF_RULES!$F:$F,WORK_TARIFF_RULES!$A:$A,$D25,WORK_TARIFF_RULES!$C:$C,$B25),SUMIFS(TARIFF_PROFILES!$D:$D,TARIFF_PROFILES!$A:$A,$B25)),1),IF($C25="Material",IFERROR(IF(SUMIFS(MATERIAL_TARIFF_RULES!$E:$E,MATERIAL_TARIFF_RULES!$A:$A,$D25,MATERIAL_TARIFF_RULES!$C:$C,$B25)&lt;&gt;"",SUMIFS(MATERIAL_TARIFF_RULES!$E:$E,MATERIAL_TARIFF_RULES!$A:$A,$D25,MATERIAL_TARIFF_RULES!$C:$C,$B25),SUMIFS(TARIFF_PROFILES!$E:$E,TARIFF_PROFILES!$A:$A,$B25)),1),"")))</f>
        <v/>
      </c>
      <c r="K25" s="36" t="str">
        <f>IF($C25="","",IF($C25="Material",IFERROR(SUMIFS(MATERIAL_MASTER!$P:$P,MATERIAL_MASTER!$A:$A,$D25)*IF(SUMIFS(MATERIAL_TARIFF_RULES!$F:$F,MATERIAL_TARIFF_RULES!$A:$A,$D25,MATERIAL_TARIFF_RULES!$C:$C,$B25)="",SUMIFS(TARIFF_PROFILES!$H:$H,TARIFF_PROFILES!$A:$A,$B25),SUMIFS(MATERIAL_TARIFF_RULES!$F:$F,MATERIAL_TARIFF_RULES!$A:$A,$D25,MATERIAL_TARIFF_RULES!$C:$C,$B25)),1),1))</f>
        <v/>
      </c>
      <c r="L25" s="36" t="str">
        <f t="shared" si="1"/>
        <v/>
      </c>
      <c r="M25" s="36" t="str">
        <f t="shared" si="2"/>
        <v/>
      </c>
      <c r="N25" s="36" t="str">
        <f t="shared" si="3"/>
        <v/>
      </c>
      <c r="O25" s="11" t="str">
        <f t="shared" si="4"/>
        <v/>
      </c>
    </row>
    <row r="26" ht="14.25" customHeight="1">
      <c r="A26" s="11"/>
      <c r="B26" s="11"/>
      <c r="C26" s="11"/>
      <c r="D26" s="11"/>
      <c r="E26" s="11"/>
      <c r="F26" s="11" t="str">
        <f>IF($C26="","",IF($C26="Work",IFERROR(IF(SUMIFS(WORK_TARIFF_RULES!$G:$G,WORK_TARIFF_RULES!$A:$A,$D26,WORK_TARIFF_RULES!$C:$C,$B26)&lt;&gt;"",SUMIFS(WORK_TARIFF_RULES!$G:$G,WORK_TARIFF_RULES!$A:$A,$D26,WORK_TARIFF_RULES!$C:$C,$B26),SUMIFS(WORK_MASTER!$C:$C,WORK_MASTER!$A:$A,$D26)),""),IF($C26="Material",IFERROR(IF(SUMIFS(MATERIAL_TARIFF_RULES!$G:$G,MATERIAL_TARIFF_RULES!$A:$A,$D26,MATERIAL_TARIFF_RULES!$C:$C,$B26)&lt;&gt;"",SUMIFS(MATERIAL_TARIFF_RULES!$G:$G,MATERIAL_TARIFF_RULES!$A:$A,$D26,MATERIAL_TARIFF_RULES!$C:$C,$B26),SUMIFS(MATERIAL_VARIANTS!$J:$J,MATERIAL_VARIANTS!$A:$A,$E26)),""),"")))</f>
        <v/>
      </c>
      <c r="G26" s="36"/>
      <c r="H26" s="36" t="str">
        <f>IF($C26="","",IF($C26="Work",IFERROR(SUMIFS(WORK_MASTER!$I:$I,WORK_MASTER!$A:$A,$D26),""),IF($C26="Material",IFERROR(SUMIFS(MATERIAL_VARIANTS!$I:$I,MATERIAL_VARIANTS!$A:$A,$E26),""),"")))</f>
        <v/>
      </c>
      <c r="I26" s="36" t="str">
        <f>IF($C26="","",IF($C26="Work",IFERROR(SUMIFS(WORK_FACTOR_APPLICABILITY!$O:$O,WORK_FACTOR_APPLICABILITY!$A:$A,$D26,WORK_FACTOR_APPLICABILITY!$N:$N,$A26),1),IF($C26="Material",IFERROR(ROUND(1+SUMIFS(MATERIAL_FACTOR_APPLICABILITY!$D:$D,MATERIAL_FACTOR_APPLICABILITY!$A:$A,SUMIFS(MATERIAL_MASTER!$O:$O,MATERIAL_MASTER!$A:$A,$D26),MATERIAL_FACTOR_APPLICABILITY!$B:$B,"GeometryComplexity")*(SUMIFS(OBJECT_CONDITIONS!$W:$W,OBJECT_CONDITIONS!$A:$A,$A26)-1),3),1),"")))</f>
        <v/>
      </c>
      <c r="J26" s="36" t="str">
        <f>IF($C26="","",IF($C26="Work",IFERROR(IF(SUMIFS(WORK_TARIFF_RULES!$F:$F,WORK_TARIFF_RULES!$A:$A,$D26,WORK_TARIFF_RULES!$C:$C,$B26)&lt;&gt;"",SUMIFS(WORK_TARIFF_RULES!$F:$F,WORK_TARIFF_RULES!$A:$A,$D26,WORK_TARIFF_RULES!$C:$C,$B26),SUMIFS(TARIFF_PROFILES!$D:$D,TARIFF_PROFILES!$A:$A,$B26)),1),IF($C26="Material",IFERROR(IF(SUMIFS(MATERIAL_TARIFF_RULES!$E:$E,MATERIAL_TARIFF_RULES!$A:$A,$D26,MATERIAL_TARIFF_RULES!$C:$C,$B26)&lt;&gt;"",SUMIFS(MATERIAL_TARIFF_RULES!$E:$E,MATERIAL_TARIFF_RULES!$A:$A,$D26,MATERIAL_TARIFF_RULES!$C:$C,$B26),SUMIFS(TARIFF_PROFILES!$E:$E,TARIFF_PROFILES!$A:$A,$B26)),1),"")))</f>
        <v/>
      </c>
      <c r="K26" s="36" t="str">
        <f>IF($C26="","",IF($C26="Material",IFERROR(SUMIFS(MATERIAL_MASTER!$P:$P,MATERIAL_MASTER!$A:$A,$D26)*IF(SUMIFS(MATERIAL_TARIFF_RULES!$F:$F,MATERIAL_TARIFF_RULES!$A:$A,$D26,MATERIAL_TARIFF_RULES!$C:$C,$B26)="",SUMIFS(TARIFF_PROFILES!$H:$H,TARIFF_PROFILES!$A:$A,$B26),SUMIFS(MATERIAL_TARIFF_RULES!$F:$F,MATERIAL_TARIFF_RULES!$A:$A,$D26,MATERIAL_TARIFF_RULES!$C:$C,$B26)),1),1))</f>
        <v/>
      </c>
      <c r="L26" s="36" t="str">
        <f t="shared" si="1"/>
        <v/>
      </c>
      <c r="M26" s="36" t="str">
        <f t="shared" si="2"/>
        <v/>
      </c>
      <c r="N26" s="36" t="str">
        <f t="shared" si="3"/>
        <v/>
      </c>
      <c r="O26" s="11" t="str">
        <f t="shared" si="4"/>
        <v/>
      </c>
    </row>
    <row r="27" ht="14.25" customHeight="1">
      <c r="A27" s="11"/>
      <c r="B27" s="11"/>
      <c r="C27" s="11"/>
      <c r="D27" s="11"/>
      <c r="E27" s="11"/>
      <c r="F27" s="11" t="str">
        <f>IF($C27="","",IF($C27="Work",IFERROR(IF(SUMIFS(WORK_TARIFF_RULES!$G:$G,WORK_TARIFF_RULES!$A:$A,$D27,WORK_TARIFF_RULES!$C:$C,$B27)&lt;&gt;"",SUMIFS(WORK_TARIFF_RULES!$G:$G,WORK_TARIFF_RULES!$A:$A,$D27,WORK_TARIFF_RULES!$C:$C,$B27),SUMIFS(WORK_MASTER!$C:$C,WORK_MASTER!$A:$A,$D27)),""),IF($C27="Material",IFERROR(IF(SUMIFS(MATERIAL_TARIFF_RULES!$G:$G,MATERIAL_TARIFF_RULES!$A:$A,$D27,MATERIAL_TARIFF_RULES!$C:$C,$B27)&lt;&gt;"",SUMIFS(MATERIAL_TARIFF_RULES!$G:$G,MATERIAL_TARIFF_RULES!$A:$A,$D27,MATERIAL_TARIFF_RULES!$C:$C,$B27),SUMIFS(MATERIAL_VARIANTS!$J:$J,MATERIAL_VARIANTS!$A:$A,$E27)),""),"")))</f>
        <v/>
      </c>
      <c r="G27" s="36"/>
      <c r="H27" s="36" t="str">
        <f>IF($C27="","",IF($C27="Work",IFERROR(SUMIFS(WORK_MASTER!$I:$I,WORK_MASTER!$A:$A,$D27),""),IF($C27="Material",IFERROR(SUMIFS(MATERIAL_VARIANTS!$I:$I,MATERIAL_VARIANTS!$A:$A,$E27),""),"")))</f>
        <v/>
      </c>
      <c r="I27" s="36" t="str">
        <f>IF($C27="","",IF($C27="Work",IFERROR(SUMIFS(WORK_FACTOR_APPLICABILITY!$O:$O,WORK_FACTOR_APPLICABILITY!$A:$A,$D27,WORK_FACTOR_APPLICABILITY!$N:$N,$A27),1),IF($C27="Material",IFERROR(ROUND(1+SUMIFS(MATERIAL_FACTOR_APPLICABILITY!$D:$D,MATERIAL_FACTOR_APPLICABILITY!$A:$A,SUMIFS(MATERIAL_MASTER!$O:$O,MATERIAL_MASTER!$A:$A,$D27),MATERIAL_FACTOR_APPLICABILITY!$B:$B,"GeometryComplexity")*(SUMIFS(OBJECT_CONDITIONS!$W:$W,OBJECT_CONDITIONS!$A:$A,$A27)-1),3),1),"")))</f>
        <v/>
      </c>
      <c r="J27" s="36" t="str">
        <f>IF($C27="","",IF($C27="Work",IFERROR(IF(SUMIFS(WORK_TARIFF_RULES!$F:$F,WORK_TARIFF_RULES!$A:$A,$D27,WORK_TARIFF_RULES!$C:$C,$B27)&lt;&gt;"",SUMIFS(WORK_TARIFF_RULES!$F:$F,WORK_TARIFF_RULES!$A:$A,$D27,WORK_TARIFF_RULES!$C:$C,$B27),SUMIFS(TARIFF_PROFILES!$D:$D,TARIFF_PROFILES!$A:$A,$B27)),1),IF($C27="Material",IFERROR(IF(SUMIFS(MATERIAL_TARIFF_RULES!$E:$E,MATERIAL_TARIFF_RULES!$A:$A,$D27,MATERIAL_TARIFF_RULES!$C:$C,$B27)&lt;&gt;"",SUMIFS(MATERIAL_TARIFF_RULES!$E:$E,MATERIAL_TARIFF_RULES!$A:$A,$D27,MATERIAL_TARIFF_RULES!$C:$C,$B27),SUMIFS(TARIFF_PROFILES!$E:$E,TARIFF_PROFILES!$A:$A,$B27)),1),"")))</f>
        <v/>
      </c>
      <c r="K27" s="36" t="str">
        <f>IF($C27="","",IF($C27="Material",IFERROR(SUMIFS(MATERIAL_MASTER!$P:$P,MATERIAL_MASTER!$A:$A,$D27)*IF(SUMIFS(MATERIAL_TARIFF_RULES!$F:$F,MATERIAL_TARIFF_RULES!$A:$A,$D27,MATERIAL_TARIFF_RULES!$C:$C,$B27)="",SUMIFS(TARIFF_PROFILES!$H:$H,TARIFF_PROFILES!$A:$A,$B27),SUMIFS(MATERIAL_TARIFF_RULES!$F:$F,MATERIAL_TARIFF_RULES!$A:$A,$D27,MATERIAL_TARIFF_RULES!$C:$C,$B27)),1),1))</f>
        <v/>
      </c>
      <c r="L27" s="36" t="str">
        <f t="shared" si="1"/>
        <v/>
      </c>
      <c r="M27" s="36" t="str">
        <f t="shared" si="2"/>
        <v/>
      </c>
      <c r="N27" s="36" t="str">
        <f t="shared" si="3"/>
        <v/>
      </c>
      <c r="O27" s="11" t="str">
        <f t="shared" si="4"/>
        <v/>
      </c>
    </row>
    <row r="28" ht="14.25" customHeight="1">
      <c r="A28" s="11"/>
      <c r="B28" s="11"/>
      <c r="C28" s="11"/>
      <c r="D28" s="11"/>
      <c r="E28" s="11"/>
      <c r="F28" s="11" t="str">
        <f>IF($C28="","",IF($C28="Work",IFERROR(IF(SUMIFS(WORK_TARIFF_RULES!$G:$G,WORK_TARIFF_RULES!$A:$A,$D28,WORK_TARIFF_RULES!$C:$C,$B28)&lt;&gt;"",SUMIFS(WORK_TARIFF_RULES!$G:$G,WORK_TARIFF_RULES!$A:$A,$D28,WORK_TARIFF_RULES!$C:$C,$B28),SUMIFS(WORK_MASTER!$C:$C,WORK_MASTER!$A:$A,$D28)),""),IF($C28="Material",IFERROR(IF(SUMIFS(MATERIAL_TARIFF_RULES!$G:$G,MATERIAL_TARIFF_RULES!$A:$A,$D28,MATERIAL_TARIFF_RULES!$C:$C,$B28)&lt;&gt;"",SUMIFS(MATERIAL_TARIFF_RULES!$G:$G,MATERIAL_TARIFF_RULES!$A:$A,$D28,MATERIAL_TARIFF_RULES!$C:$C,$B28),SUMIFS(MATERIAL_VARIANTS!$J:$J,MATERIAL_VARIANTS!$A:$A,$E28)),""),"")))</f>
        <v/>
      </c>
      <c r="G28" s="36"/>
      <c r="H28" s="36" t="str">
        <f>IF($C28="","",IF($C28="Work",IFERROR(SUMIFS(WORK_MASTER!$I:$I,WORK_MASTER!$A:$A,$D28),""),IF($C28="Material",IFERROR(SUMIFS(MATERIAL_VARIANTS!$I:$I,MATERIAL_VARIANTS!$A:$A,$E28),""),"")))</f>
        <v/>
      </c>
      <c r="I28" s="36" t="str">
        <f>IF($C28="","",IF($C28="Work",IFERROR(SUMIFS(WORK_FACTOR_APPLICABILITY!$O:$O,WORK_FACTOR_APPLICABILITY!$A:$A,$D28,WORK_FACTOR_APPLICABILITY!$N:$N,$A28),1),IF($C28="Material",IFERROR(ROUND(1+SUMIFS(MATERIAL_FACTOR_APPLICABILITY!$D:$D,MATERIAL_FACTOR_APPLICABILITY!$A:$A,SUMIFS(MATERIAL_MASTER!$O:$O,MATERIAL_MASTER!$A:$A,$D28),MATERIAL_FACTOR_APPLICABILITY!$B:$B,"GeometryComplexity")*(SUMIFS(OBJECT_CONDITIONS!$W:$W,OBJECT_CONDITIONS!$A:$A,$A28)-1),3),1),"")))</f>
        <v/>
      </c>
      <c r="J28" s="36" t="str">
        <f>IF($C28="","",IF($C28="Work",IFERROR(IF(SUMIFS(WORK_TARIFF_RULES!$F:$F,WORK_TARIFF_RULES!$A:$A,$D28,WORK_TARIFF_RULES!$C:$C,$B28)&lt;&gt;"",SUMIFS(WORK_TARIFF_RULES!$F:$F,WORK_TARIFF_RULES!$A:$A,$D28,WORK_TARIFF_RULES!$C:$C,$B28),SUMIFS(TARIFF_PROFILES!$D:$D,TARIFF_PROFILES!$A:$A,$B28)),1),IF($C28="Material",IFERROR(IF(SUMIFS(MATERIAL_TARIFF_RULES!$E:$E,MATERIAL_TARIFF_RULES!$A:$A,$D28,MATERIAL_TARIFF_RULES!$C:$C,$B28)&lt;&gt;"",SUMIFS(MATERIAL_TARIFF_RULES!$E:$E,MATERIAL_TARIFF_RULES!$A:$A,$D28,MATERIAL_TARIFF_RULES!$C:$C,$B28),SUMIFS(TARIFF_PROFILES!$E:$E,TARIFF_PROFILES!$A:$A,$B28)),1),"")))</f>
        <v/>
      </c>
      <c r="K28" s="36" t="str">
        <f>IF($C28="","",IF($C28="Material",IFERROR(SUMIFS(MATERIAL_MASTER!$P:$P,MATERIAL_MASTER!$A:$A,$D28)*IF(SUMIFS(MATERIAL_TARIFF_RULES!$F:$F,MATERIAL_TARIFF_RULES!$A:$A,$D28,MATERIAL_TARIFF_RULES!$C:$C,$B28)="",SUMIFS(TARIFF_PROFILES!$H:$H,TARIFF_PROFILES!$A:$A,$B28),SUMIFS(MATERIAL_TARIFF_RULES!$F:$F,MATERIAL_TARIFF_RULES!$A:$A,$D28,MATERIAL_TARIFF_RULES!$C:$C,$B28)),1),1))</f>
        <v/>
      </c>
      <c r="L28" s="36" t="str">
        <f t="shared" si="1"/>
        <v/>
      </c>
      <c r="M28" s="36" t="str">
        <f t="shared" si="2"/>
        <v/>
      </c>
      <c r="N28" s="36" t="str">
        <f t="shared" si="3"/>
        <v/>
      </c>
      <c r="O28" s="11" t="str">
        <f t="shared" si="4"/>
        <v/>
      </c>
    </row>
    <row r="29" ht="14.25" customHeight="1">
      <c r="A29" s="11"/>
      <c r="B29" s="11"/>
      <c r="C29" s="11"/>
      <c r="D29" s="11"/>
      <c r="E29" s="11"/>
      <c r="F29" s="11" t="str">
        <f>IF($C29="","",IF($C29="Work",IFERROR(IF(SUMIFS(WORK_TARIFF_RULES!$G:$G,WORK_TARIFF_RULES!$A:$A,$D29,WORK_TARIFF_RULES!$C:$C,$B29)&lt;&gt;"",SUMIFS(WORK_TARIFF_RULES!$G:$G,WORK_TARIFF_RULES!$A:$A,$D29,WORK_TARIFF_RULES!$C:$C,$B29),SUMIFS(WORK_MASTER!$C:$C,WORK_MASTER!$A:$A,$D29)),""),IF($C29="Material",IFERROR(IF(SUMIFS(MATERIAL_TARIFF_RULES!$G:$G,MATERIAL_TARIFF_RULES!$A:$A,$D29,MATERIAL_TARIFF_RULES!$C:$C,$B29)&lt;&gt;"",SUMIFS(MATERIAL_TARIFF_RULES!$G:$G,MATERIAL_TARIFF_RULES!$A:$A,$D29,MATERIAL_TARIFF_RULES!$C:$C,$B29),SUMIFS(MATERIAL_VARIANTS!$J:$J,MATERIAL_VARIANTS!$A:$A,$E29)),""),"")))</f>
        <v/>
      </c>
      <c r="G29" s="36"/>
      <c r="H29" s="36" t="str">
        <f>IF($C29="","",IF($C29="Work",IFERROR(SUMIFS(WORK_MASTER!$I:$I,WORK_MASTER!$A:$A,$D29),""),IF($C29="Material",IFERROR(SUMIFS(MATERIAL_VARIANTS!$I:$I,MATERIAL_VARIANTS!$A:$A,$E29),""),"")))</f>
        <v/>
      </c>
      <c r="I29" s="36" t="str">
        <f>IF($C29="","",IF($C29="Work",IFERROR(SUMIFS(WORK_FACTOR_APPLICABILITY!$O:$O,WORK_FACTOR_APPLICABILITY!$A:$A,$D29,WORK_FACTOR_APPLICABILITY!$N:$N,$A29),1),IF($C29="Material",IFERROR(ROUND(1+SUMIFS(MATERIAL_FACTOR_APPLICABILITY!$D:$D,MATERIAL_FACTOR_APPLICABILITY!$A:$A,SUMIFS(MATERIAL_MASTER!$O:$O,MATERIAL_MASTER!$A:$A,$D29),MATERIAL_FACTOR_APPLICABILITY!$B:$B,"GeometryComplexity")*(SUMIFS(OBJECT_CONDITIONS!$W:$W,OBJECT_CONDITIONS!$A:$A,$A29)-1),3),1),"")))</f>
        <v/>
      </c>
      <c r="J29" s="36" t="str">
        <f>IF($C29="","",IF($C29="Work",IFERROR(IF(SUMIFS(WORK_TARIFF_RULES!$F:$F,WORK_TARIFF_RULES!$A:$A,$D29,WORK_TARIFF_RULES!$C:$C,$B29)&lt;&gt;"",SUMIFS(WORK_TARIFF_RULES!$F:$F,WORK_TARIFF_RULES!$A:$A,$D29,WORK_TARIFF_RULES!$C:$C,$B29),SUMIFS(TARIFF_PROFILES!$D:$D,TARIFF_PROFILES!$A:$A,$B29)),1),IF($C29="Material",IFERROR(IF(SUMIFS(MATERIAL_TARIFF_RULES!$E:$E,MATERIAL_TARIFF_RULES!$A:$A,$D29,MATERIAL_TARIFF_RULES!$C:$C,$B29)&lt;&gt;"",SUMIFS(MATERIAL_TARIFF_RULES!$E:$E,MATERIAL_TARIFF_RULES!$A:$A,$D29,MATERIAL_TARIFF_RULES!$C:$C,$B29),SUMIFS(TARIFF_PROFILES!$E:$E,TARIFF_PROFILES!$A:$A,$B29)),1),"")))</f>
        <v/>
      </c>
      <c r="K29" s="36" t="str">
        <f>IF($C29="","",IF($C29="Material",IFERROR(SUMIFS(MATERIAL_MASTER!$P:$P,MATERIAL_MASTER!$A:$A,$D29)*IF(SUMIFS(MATERIAL_TARIFF_RULES!$F:$F,MATERIAL_TARIFF_RULES!$A:$A,$D29,MATERIAL_TARIFF_RULES!$C:$C,$B29)="",SUMIFS(TARIFF_PROFILES!$H:$H,TARIFF_PROFILES!$A:$A,$B29),SUMIFS(MATERIAL_TARIFF_RULES!$F:$F,MATERIAL_TARIFF_RULES!$A:$A,$D29,MATERIAL_TARIFF_RULES!$C:$C,$B29)),1),1))</f>
        <v/>
      </c>
      <c r="L29" s="36" t="str">
        <f t="shared" si="1"/>
        <v/>
      </c>
      <c r="M29" s="36" t="str">
        <f t="shared" si="2"/>
        <v/>
      </c>
      <c r="N29" s="36" t="str">
        <f t="shared" si="3"/>
        <v/>
      </c>
      <c r="O29" s="11" t="str">
        <f t="shared" si="4"/>
        <v/>
      </c>
    </row>
    <row r="30" ht="14.25" customHeight="1">
      <c r="A30" s="11"/>
      <c r="B30" s="11"/>
      <c r="C30" s="11"/>
      <c r="D30" s="11"/>
      <c r="E30" s="11"/>
      <c r="F30" s="11" t="str">
        <f>IF($C30="","",IF($C30="Work",IFERROR(IF(SUMIFS(WORK_TARIFF_RULES!$G:$G,WORK_TARIFF_RULES!$A:$A,$D30,WORK_TARIFF_RULES!$C:$C,$B30)&lt;&gt;"",SUMIFS(WORK_TARIFF_RULES!$G:$G,WORK_TARIFF_RULES!$A:$A,$D30,WORK_TARIFF_RULES!$C:$C,$B30),SUMIFS(WORK_MASTER!$C:$C,WORK_MASTER!$A:$A,$D30)),""),IF($C30="Material",IFERROR(IF(SUMIFS(MATERIAL_TARIFF_RULES!$G:$G,MATERIAL_TARIFF_RULES!$A:$A,$D30,MATERIAL_TARIFF_RULES!$C:$C,$B30)&lt;&gt;"",SUMIFS(MATERIAL_TARIFF_RULES!$G:$G,MATERIAL_TARIFF_RULES!$A:$A,$D30,MATERIAL_TARIFF_RULES!$C:$C,$B30),SUMIFS(MATERIAL_VARIANTS!$J:$J,MATERIAL_VARIANTS!$A:$A,$E30)),""),"")))</f>
        <v/>
      </c>
      <c r="G30" s="36"/>
      <c r="H30" s="36" t="str">
        <f>IF($C30="","",IF($C30="Work",IFERROR(SUMIFS(WORK_MASTER!$I:$I,WORK_MASTER!$A:$A,$D30),""),IF($C30="Material",IFERROR(SUMIFS(MATERIAL_VARIANTS!$I:$I,MATERIAL_VARIANTS!$A:$A,$E30),""),"")))</f>
        <v/>
      </c>
      <c r="I30" s="36" t="str">
        <f>IF($C30="","",IF($C30="Work",IFERROR(SUMIFS(WORK_FACTOR_APPLICABILITY!$O:$O,WORK_FACTOR_APPLICABILITY!$A:$A,$D30,WORK_FACTOR_APPLICABILITY!$N:$N,$A30),1),IF($C30="Material",IFERROR(ROUND(1+SUMIFS(MATERIAL_FACTOR_APPLICABILITY!$D:$D,MATERIAL_FACTOR_APPLICABILITY!$A:$A,SUMIFS(MATERIAL_MASTER!$O:$O,MATERIAL_MASTER!$A:$A,$D30),MATERIAL_FACTOR_APPLICABILITY!$B:$B,"GeometryComplexity")*(SUMIFS(OBJECT_CONDITIONS!$W:$W,OBJECT_CONDITIONS!$A:$A,$A30)-1),3),1),"")))</f>
        <v/>
      </c>
      <c r="J30" s="36" t="str">
        <f>IF($C30="","",IF($C30="Work",IFERROR(IF(SUMIFS(WORK_TARIFF_RULES!$F:$F,WORK_TARIFF_RULES!$A:$A,$D30,WORK_TARIFF_RULES!$C:$C,$B30)&lt;&gt;"",SUMIFS(WORK_TARIFF_RULES!$F:$F,WORK_TARIFF_RULES!$A:$A,$D30,WORK_TARIFF_RULES!$C:$C,$B30),SUMIFS(TARIFF_PROFILES!$D:$D,TARIFF_PROFILES!$A:$A,$B30)),1),IF($C30="Material",IFERROR(IF(SUMIFS(MATERIAL_TARIFF_RULES!$E:$E,MATERIAL_TARIFF_RULES!$A:$A,$D30,MATERIAL_TARIFF_RULES!$C:$C,$B30)&lt;&gt;"",SUMIFS(MATERIAL_TARIFF_RULES!$E:$E,MATERIAL_TARIFF_RULES!$A:$A,$D30,MATERIAL_TARIFF_RULES!$C:$C,$B30),SUMIFS(TARIFF_PROFILES!$E:$E,TARIFF_PROFILES!$A:$A,$B30)),1),"")))</f>
        <v/>
      </c>
      <c r="K30" s="36" t="str">
        <f>IF($C30="","",IF($C30="Material",IFERROR(SUMIFS(MATERIAL_MASTER!$P:$P,MATERIAL_MASTER!$A:$A,$D30)*IF(SUMIFS(MATERIAL_TARIFF_RULES!$F:$F,MATERIAL_TARIFF_RULES!$A:$A,$D30,MATERIAL_TARIFF_RULES!$C:$C,$B30)="",SUMIFS(TARIFF_PROFILES!$H:$H,TARIFF_PROFILES!$A:$A,$B30),SUMIFS(MATERIAL_TARIFF_RULES!$F:$F,MATERIAL_TARIFF_RULES!$A:$A,$D30,MATERIAL_TARIFF_RULES!$C:$C,$B30)),1),1))</f>
        <v/>
      </c>
      <c r="L30" s="36" t="str">
        <f t="shared" si="1"/>
        <v/>
      </c>
      <c r="M30" s="36" t="str">
        <f t="shared" si="2"/>
        <v/>
      </c>
      <c r="N30" s="36" t="str">
        <f t="shared" si="3"/>
        <v/>
      </c>
      <c r="O30" s="11" t="str">
        <f t="shared" si="4"/>
        <v/>
      </c>
    </row>
    <row r="31" ht="14.25" customHeight="1">
      <c r="A31" s="11"/>
      <c r="B31" s="11"/>
      <c r="C31" s="11"/>
      <c r="D31" s="11"/>
      <c r="E31" s="11"/>
      <c r="F31" s="11" t="str">
        <f>IF($C31="","",IF($C31="Work",IFERROR(IF(SUMIFS(WORK_TARIFF_RULES!$G:$G,WORK_TARIFF_RULES!$A:$A,$D31,WORK_TARIFF_RULES!$C:$C,$B31)&lt;&gt;"",SUMIFS(WORK_TARIFF_RULES!$G:$G,WORK_TARIFF_RULES!$A:$A,$D31,WORK_TARIFF_RULES!$C:$C,$B31),SUMIFS(WORK_MASTER!$C:$C,WORK_MASTER!$A:$A,$D31)),""),IF($C31="Material",IFERROR(IF(SUMIFS(MATERIAL_TARIFF_RULES!$G:$G,MATERIAL_TARIFF_RULES!$A:$A,$D31,MATERIAL_TARIFF_RULES!$C:$C,$B31)&lt;&gt;"",SUMIFS(MATERIAL_TARIFF_RULES!$G:$G,MATERIAL_TARIFF_RULES!$A:$A,$D31,MATERIAL_TARIFF_RULES!$C:$C,$B31),SUMIFS(MATERIAL_VARIANTS!$J:$J,MATERIAL_VARIANTS!$A:$A,$E31)),""),"")))</f>
        <v/>
      </c>
      <c r="G31" s="36"/>
      <c r="H31" s="36" t="str">
        <f>IF($C31="","",IF($C31="Work",IFERROR(SUMIFS(WORK_MASTER!$I:$I,WORK_MASTER!$A:$A,$D31),""),IF($C31="Material",IFERROR(SUMIFS(MATERIAL_VARIANTS!$I:$I,MATERIAL_VARIANTS!$A:$A,$E31),""),"")))</f>
        <v/>
      </c>
      <c r="I31" s="36" t="str">
        <f>IF($C31="","",IF($C31="Work",IFERROR(SUMIFS(WORK_FACTOR_APPLICABILITY!$O:$O,WORK_FACTOR_APPLICABILITY!$A:$A,$D31,WORK_FACTOR_APPLICABILITY!$N:$N,$A31),1),IF($C31="Material",IFERROR(ROUND(1+SUMIFS(MATERIAL_FACTOR_APPLICABILITY!$D:$D,MATERIAL_FACTOR_APPLICABILITY!$A:$A,SUMIFS(MATERIAL_MASTER!$O:$O,MATERIAL_MASTER!$A:$A,$D31),MATERIAL_FACTOR_APPLICABILITY!$B:$B,"GeometryComplexity")*(SUMIFS(OBJECT_CONDITIONS!$W:$W,OBJECT_CONDITIONS!$A:$A,$A31)-1),3),1),"")))</f>
        <v/>
      </c>
      <c r="J31" s="36" t="str">
        <f>IF($C31="","",IF($C31="Work",IFERROR(IF(SUMIFS(WORK_TARIFF_RULES!$F:$F,WORK_TARIFF_RULES!$A:$A,$D31,WORK_TARIFF_RULES!$C:$C,$B31)&lt;&gt;"",SUMIFS(WORK_TARIFF_RULES!$F:$F,WORK_TARIFF_RULES!$A:$A,$D31,WORK_TARIFF_RULES!$C:$C,$B31),SUMIFS(TARIFF_PROFILES!$D:$D,TARIFF_PROFILES!$A:$A,$B31)),1),IF($C31="Material",IFERROR(IF(SUMIFS(MATERIAL_TARIFF_RULES!$E:$E,MATERIAL_TARIFF_RULES!$A:$A,$D31,MATERIAL_TARIFF_RULES!$C:$C,$B31)&lt;&gt;"",SUMIFS(MATERIAL_TARIFF_RULES!$E:$E,MATERIAL_TARIFF_RULES!$A:$A,$D31,MATERIAL_TARIFF_RULES!$C:$C,$B31),SUMIFS(TARIFF_PROFILES!$E:$E,TARIFF_PROFILES!$A:$A,$B31)),1),"")))</f>
        <v/>
      </c>
      <c r="K31" s="36" t="str">
        <f>IF($C31="","",IF($C31="Material",IFERROR(SUMIFS(MATERIAL_MASTER!$P:$P,MATERIAL_MASTER!$A:$A,$D31)*IF(SUMIFS(MATERIAL_TARIFF_RULES!$F:$F,MATERIAL_TARIFF_RULES!$A:$A,$D31,MATERIAL_TARIFF_RULES!$C:$C,$B31)="",SUMIFS(TARIFF_PROFILES!$H:$H,TARIFF_PROFILES!$A:$A,$B31),SUMIFS(MATERIAL_TARIFF_RULES!$F:$F,MATERIAL_TARIFF_RULES!$A:$A,$D31,MATERIAL_TARIFF_RULES!$C:$C,$B31)),1),1))</f>
        <v/>
      </c>
      <c r="L31" s="36" t="str">
        <f t="shared" si="1"/>
        <v/>
      </c>
      <c r="M31" s="36" t="str">
        <f t="shared" si="2"/>
        <v/>
      </c>
      <c r="N31" s="36" t="str">
        <f t="shared" si="3"/>
        <v/>
      </c>
      <c r="O31" s="11" t="str">
        <f t="shared" si="4"/>
        <v/>
      </c>
    </row>
    <row r="32" ht="14.25" customHeight="1">
      <c r="A32" s="11"/>
      <c r="B32" s="11"/>
      <c r="C32" s="11"/>
      <c r="D32" s="11"/>
      <c r="E32" s="11"/>
      <c r="F32" s="11" t="str">
        <f>IF($C32="","",IF($C32="Work",IFERROR(IF(SUMIFS(WORK_TARIFF_RULES!$G:$G,WORK_TARIFF_RULES!$A:$A,$D32,WORK_TARIFF_RULES!$C:$C,$B32)&lt;&gt;"",SUMIFS(WORK_TARIFF_RULES!$G:$G,WORK_TARIFF_RULES!$A:$A,$D32,WORK_TARIFF_RULES!$C:$C,$B32),SUMIFS(WORK_MASTER!$C:$C,WORK_MASTER!$A:$A,$D32)),""),IF($C32="Material",IFERROR(IF(SUMIFS(MATERIAL_TARIFF_RULES!$G:$G,MATERIAL_TARIFF_RULES!$A:$A,$D32,MATERIAL_TARIFF_RULES!$C:$C,$B32)&lt;&gt;"",SUMIFS(MATERIAL_TARIFF_RULES!$G:$G,MATERIAL_TARIFF_RULES!$A:$A,$D32,MATERIAL_TARIFF_RULES!$C:$C,$B32),SUMIFS(MATERIAL_VARIANTS!$J:$J,MATERIAL_VARIANTS!$A:$A,$E32)),""),"")))</f>
        <v/>
      </c>
      <c r="G32" s="36"/>
      <c r="H32" s="36" t="str">
        <f>IF($C32="","",IF($C32="Work",IFERROR(SUMIFS(WORK_MASTER!$I:$I,WORK_MASTER!$A:$A,$D32),""),IF($C32="Material",IFERROR(SUMIFS(MATERIAL_VARIANTS!$I:$I,MATERIAL_VARIANTS!$A:$A,$E32),""),"")))</f>
        <v/>
      </c>
      <c r="I32" s="36" t="str">
        <f>IF($C32="","",IF($C32="Work",IFERROR(SUMIFS(WORK_FACTOR_APPLICABILITY!$O:$O,WORK_FACTOR_APPLICABILITY!$A:$A,$D32,WORK_FACTOR_APPLICABILITY!$N:$N,$A32),1),IF($C32="Material",IFERROR(ROUND(1+SUMIFS(MATERIAL_FACTOR_APPLICABILITY!$D:$D,MATERIAL_FACTOR_APPLICABILITY!$A:$A,SUMIFS(MATERIAL_MASTER!$O:$O,MATERIAL_MASTER!$A:$A,$D32),MATERIAL_FACTOR_APPLICABILITY!$B:$B,"GeometryComplexity")*(SUMIFS(OBJECT_CONDITIONS!$W:$W,OBJECT_CONDITIONS!$A:$A,$A32)-1),3),1),"")))</f>
        <v/>
      </c>
      <c r="J32" s="36" t="str">
        <f>IF($C32="","",IF($C32="Work",IFERROR(IF(SUMIFS(WORK_TARIFF_RULES!$F:$F,WORK_TARIFF_RULES!$A:$A,$D32,WORK_TARIFF_RULES!$C:$C,$B32)&lt;&gt;"",SUMIFS(WORK_TARIFF_RULES!$F:$F,WORK_TARIFF_RULES!$A:$A,$D32,WORK_TARIFF_RULES!$C:$C,$B32),SUMIFS(TARIFF_PROFILES!$D:$D,TARIFF_PROFILES!$A:$A,$B32)),1),IF($C32="Material",IFERROR(IF(SUMIFS(MATERIAL_TARIFF_RULES!$E:$E,MATERIAL_TARIFF_RULES!$A:$A,$D32,MATERIAL_TARIFF_RULES!$C:$C,$B32)&lt;&gt;"",SUMIFS(MATERIAL_TARIFF_RULES!$E:$E,MATERIAL_TARIFF_RULES!$A:$A,$D32,MATERIAL_TARIFF_RULES!$C:$C,$B32),SUMIFS(TARIFF_PROFILES!$E:$E,TARIFF_PROFILES!$A:$A,$B32)),1),"")))</f>
        <v/>
      </c>
      <c r="K32" s="36" t="str">
        <f>IF($C32="","",IF($C32="Material",IFERROR(SUMIFS(MATERIAL_MASTER!$P:$P,MATERIAL_MASTER!$A:$A,$D32)*IF(SUMIFS(MATERIAL_TARIFF_RULES!$F:$F,MATERIAL_TARIFF_RULES!$A:$A,$D32,MATERIAL_TARIFF_RULES!$C:$C,$B32)="",SUMIFS(TARIFF_PROFILES!$H:$H,TARIFF_PROFILES!$A:$A,$B32),SUMIFS(MATERIAL_TARIFF_RULES!$F:$F,MATERIAL_TARIFF_RULES!$A:$A,$D32,MATERIAL_TARIFF_RULES!$C:$C,$B32)),1),1))</f>
        <v/>
      </c>
      <c r="L32" s="36" t="str">
        <f t="shared" si="1"/>
        <v/>
      </c>
      <c r="M32" s="36" t="str">
        <f t="shared" si="2"/>
        <v/>
      </c>
      <c r="N32" s="36" t="str">
        <f t="shared" si="3"/>
        <v/>
      </c>
      <c r="O32" s="11" t="str">
        <f t="shared" si="4"/>
        <v/>
      </c>
    </row>
    <row r="33" ht="14.25" customHeight="1">
      <c r="A33" s="11"/>
      <c r="B33" s="11"/>
      <c r="C33" s="11"/>
      <c r="D33" s="11"/>
      <c r="E33" s="11"/>
      <c r="F33" s="11" t="str">
        <f>IF($C33="","",IF($C33="Work",IFERROR(IF(SUMIFS(WORK_TARIFF_RULES!$G:$G,WORK_TARIFF_RULES!$A:$A,$D33,WORK_TARIFF_RULES!$C:$C,$B33)&lt;&gt;"",SUMIFS(WORK_TARIFF_RULES!$G:$G,WORK_TARIFF_RULES!$A:$A,$D33,WORK_TARIFF_RULES!$C:$C,$B33),SUMIFS(WORK_MASTER!$C:$C,WORK_MASTER!$A:$A,$D33)),""),IF($C33="Material",IFERROR(IF(SUMIFS(MATERIAL_TARIFF_RULES!$G:$G,MATERIAL_TARIFF_RULES!$A:$A,$D33,MATERIAL_TARIFF_RULES!$C:$C,$B33)&lt;&gt;"",SUMIFS(MATERIAL_TARIFF_RULES!$G:$G,MATERIAL_TARIFF_RULES!$A:$A,$D33,MATERIAL_TARIFF_RULES!$C:$C,$B33),SUMIFS(MATERIAL_VARIANTS!$J:$J,MATERIAL_VARIANTS!$A:$A,$E33)),""),"")))</f>
        <v/>
      </c>
      <c r="G33" s="36"/>
      <c r="H33" s="36" t="str">
        <f>IF($C33="","",IF($C33="Work",IFERROR(SUMIFS(WORK_MASTER!$I:$I,WORK_MASTER!$A:$A,$D33),""),IF($C33="Material",IFERROR(SUMIFS(MATERIAL_VARIANTS!$I:$I,MATERIAL_VARIANTS!$A:$A,$E33),""),"")))</f>
        <v/>
      </c>
      <c r="I33" s="36" t="str">
        <f>IF($C33="","",IF($C33="Work",IFERROR(SUMIFS(WORK_FACTOR_APPLICABILITY!$O:$O,WORK_FACTOR_APPLICABILITY!$A:$A,$D33,WORK_FACTOR_APPLICABILITY!$N:$N,$A33),1),IF($C33="Material",IFERROR(ROUND(1+SUMIFS(MATERIAL_FACTOR_APPLICABILITY!$D:$D,MATERIAL_FACTOR_APPLICABILITY!$A:$A,SUMIFS(MATERIAL_MASTER!$O:$O,MATERIAL_MASTER!$A:$A,$D33),MATERIAL_FACTOR_APPLICABILITY!$B:$B,"GeometryComplexity")*(SUMIFS(OBJECT_CONDITIONS!$W:$W,OBJECT_CONDITIONS!$A:$A,$A33)-1),3),1),"")))</f>
        <v/>
      </c>
      <c r="J33" s="36" t="str">
        <f>IF($C33="","",IF($C33="Work",IFERROR(IF(SUMIFS(WORK_TARIFF_RULES!$F:$F,WORK_TARIFF_RULES!$A:$A,$D33,WORK_TARIFF_RULES!$C:$C,$B33)&lt;&gt;"",SUMIFS(WORK_TARIFF_RULES!$F:$F,WORK_TARIFF_RULES!$A:$A,$D33,WORK_TARIFF_RULES!$C:$C,$B33),SUMIFS(TARIFF_PROFILES!$D:$D,TARIFF_PROFILES!$A:$A,$B33)),1),IF($C33="Material",IFERROR(IF(SUMIFS(MATERIAL_TARIFF_RULES!$E:$E,MATERIAL_TARIFF_RULES!$A:$A,$D33,MATERIAL_TARIFF_RULES!$C:$C,$B33)&lt;&gt;"",SUMIFS(MATERIAL_TARIFF_RULES!$E:$E,MATERIAL_TARIFF_RULES!$A:$A,$D33,MATERIAL_TARIFF_RULES!$C:$C,$B33),SUMIFS(TARIFF_PROFILES!$E:$E,TARIFF_PROFILES!$A:$A,$B33)),1),"")))</f>
        <v/>
      </c>
      <c r="K33" s="36" t="str">
        <f>IF($C33="","",IF($C33="Material",IFERROR(SUMIFS(MATERIAL_MASTER!$P:$P,MATERIAL_MASTER!$A:$A,$D33)*IF(SUMIFS(MATERIAL_TARIFF_RULES!$F:$F,MATERIAL_TARIFF_RULES!$A:$A,$D33,MATERIAL_TARIFF_RULES!$C:$C,$B33)="",SUMIFS(TARIFF_PROFILES!$H:$H,TARIFF_PROFILES!$A:$A,$B33),SUMIFS(MATERIAL_TARIFF_RULES!$F:$F,MATERIAL_TARIFF_RULES!$A:$A,$D33,MATERIAL_TARIFF_RULES!$C:$C,$B33)),1),1))</f>
        <v/>
      </c>
      <c r="L33" s="36" t="str">
        <f t="shared" si="1"/>
        <v/>
      </c>
      <c r="M33" s="36" t="str">
        <f t="shared" si="2"/>
        <v/>
      </c>
      <c r="N33" s="36" t="str">
        <f t="shared" si="3"/>
        <v/>
      </c>
      <c r="O33" s="11" t="str">
        <f t="shared" si="4"/>
        <v/>
      </c>
    </row>
    <row r="34" ht="14.25" customHeight="1">
      <c r="A34" s="11"/>
      <c r="B34" s="11"/>
      <c r="C34" s="11"/>
      <c r="D34" s="11"/>
      <c r="E34" s="11"/>
      <c r="F34" s="11" t="str">
        <f>IF($C34="","",IF($C34="Work",IFERROR(IF(SUMIFS(WORK_TARIFF_RULES!$G:$G,WORK_TARIFF_RULES!$A:$A,$D34,WORK_TARIFF_RULES!$C:$C,$B34)&lt;&gt;"",SUMIFS(WORK_TARIFF_RULES!$G:$G,WORK_TARIFF_RULES!$A:$A,$D34,WORK_TARIFF_RULES!$C:$C,$B34),SUMIFS(WORK_MASTER!$C:$C,WORK_MASTER!$A:$A,$D34)),""),IF($C34="Material",IFERROR(IF(SUMIFS(MATERIAL_TARIFF_RULES!$G:$G,MATERIAL_TARIFF_RULES!$A:$A,$D34,MATERIAL_TARIFF_RULES!$C:$C,$B34)&lt;&gt;"",SUMIFS(MATERIAL_TARIFF_RULES!$G:$G,MATERIAL_TARIFF_RULES!$A:$A,$D34,MATERIAL_TARIFF_RULES!$C:$C,$B34),SUMIFS(MATERIAL_VARIANTS!$J:$J,MATERIAL_VARIANTS!$A:$A,$E34)),""),"")))</f>
        <v/>
      </c>
      <c r="G34" s="36"/>
      <c r="H34" s="36" t="str">
        <f>IF($C34="","",IF($C34="Work",IFERROR(SUMIFS(WORK_MASTER!$I:$I,WORK_MASTER!$A:$A,$D34),""),IF($C34="Material",IFERROR(SUMIFS(MATERIAL_VARIANTS!$I:$I,MATERIAL_VARIANTS!$A:$A,$E34),""),"")))</f>
        <v/>
      </c>
      <c r="I34" s="36" t="str">
        <f>IF($C34="","",IF($C34="Work",IFERROR(SUMIFS(WORK_FACTOR_APPLICABILITY!$O:$O,WORK_FACTOR_APPLICABILITY!$A:$A,$D34,WORK_FACTOR_APPLICABILITY!$N:$N,$A34),1),IF($C34="Material",IFERROR(ROUND(1+SUMIFS(MATERIAL_FACTOR_APPLICABILITY!$D:$D,MATERIAL_FACTOR_APPLICABILITY!$A:$A,SUMIFS(MATERIAL_MASTER!$O:$O,MATERIAL_MASTER!$A:$A,$D34),MATERIAL_FACTOR_APPLICABILITY!$B:$B,"GeometryComplexity")*(SUMIFS(OBJECT_CONDITIONS!$W:$W,OBJECT_CONDITIONS!$A:$A,$A34)-1),3),1),"")))</f>
        <v/>
      </c>
      <c r="J34" s="36" t="str">
        <f>IF($C34="","",IF($C34="Work",IFERROR(IF(SUMIFS(WORK_TARIFF_RULES!$F:$F,WORK_TARIFF_RULES!$A:$A,$D34,WORK_TARIFF_RULES!$C:$C,$B34)&lt;&gt;"",SUMIFS(WORK_TARIFF_RULES!$F:$F,WORK_TARIFF_RULES!$A:$A,$D34,WORK_TARIFF_RULES!$C:$C,$B34),SUMIFS(TARIFF_PROFILES!$D:$D,TARIFF_PROFILES!$A:$A,$B34)),1),IF($C34="Material",IFERROR(IF(SUMIFS(MATERIAL_TARIFF_RULES!$E:$E,MATERIAL_TARIFF_RULES!$A:$A,$D34,MATERIAL_TARIFF_RULES!$C:$C,$B34)&lt;&gt;"",SUMIFS(MATERIAL_TARIFF_RULES!$E:$E,MATERIAL_TARIFF_RULES!$A:$A,$D34,MATERIAL_TARIFF_RULES!$C:$C,$B34),SUMIFS(TARIFF_PROFILES!$E:$E,TARIFF_PROFILES!$A:$A,$B34)),1),"")))</f>
        <v/>
      </c>
      <c r="K34" s="36" t="str">
        <f>IF($C34="","",IF($C34="Material",IFERROR(SUMIFS(MATERIAL_MASTER!$P:$P,MATERIAL_MASTER!$A:$A,$D34)*IF(SUMIFS(MATERIAL_TARIFF_RULES!$F:$F,MATERIAL_TARIFF_RULES!$A:$A,$D34,MATERIAL_TARIFF_RULES!$C:$C,$B34)="",SUMIFS(TARIFF_PROFILES!$H:$H,TARIFF_PROFILES!$A:$A,$B34),SUMIFS(MATERIAL_TARIFF_RULES!$F:$F,MATERIAL_TARIFF_RULES!$A:$A,$D34,MATERIAL_TARIFF_RULES!$C:$C,$B34)),1),1))</f>
        <v/>
      </c>
      <c r="L34" s="36" t="str">
        <f t="shared" si="1"/>
        <v/>
      </c>
      <c r="M34" s="36" t="str">
        <f t="shared" si="2"/>
        <v/>
      </c>
      <c r="N34" s="36" t="str">
        <f t="shared" si="3"/>
        <v/>
      </c>
      <c r="O34" s="11" t="str">
        <f t="shared" si="4"/>
        <v/>
      </c>
    </row>
    <row r="35" ht="14.25" customHeight="1">
      <c r="A35" s="11"/>
      <c r="B35" s="11"/>
      <c r="C35" s="11"/>
      <c r="D35" s="11"/>
      <c r="E35" s="11"/>
      <c r="F35" s="11" t="str">
        <f>IF($C35="","",IF($C35="Work",IFERROR(IF(SUMIFS(WORK_TARIFF_RULES!$G:$G,WORK_TARIFF_RULES!$A:$A,$D35,WORK_TARIFF_RULES!$C:$C,$B35)&lt;&gt;"",SUMIFS(WORK_TARIFF_RULES!$G:$G,WORK_TARIFF_RULES!$A:$A,$D35,WORK_TARIFF_RULES!$C:$C,$B35),SUMIFS(WORK_MASTER!$C:$C,WORK_MASTER!$A:$A,$D35)),""),IF($C35="Material",IFERROR(IF(SUMIFS(MATERIAL_TARIFF_RULES!$G:$G,MATERIAL_TARIFF_RULES!$A:$A,$D35,MATERIAL_TARIFF_RULES!$C:$C,$B35)&lt;&gt;"",SUMIFS(MATERIAL_TARIFF_RULES!$G:$G,MATERIAL_TARIFF_RULES!$A:$A,$D35,MATERIAL_TARIFF_RULES!$C:$C,$B35),SUMIFS(MATERIAL_VARIANTS!$J:$J,MATERIAL_VARIANTS!$A:$A,$E35)),""),"")))</f>
        <v/>
      </c>
      <c r="G35" s="36"/>
      <c r="H35" s="36" t="str">
        <f>IF($C35="","",IF($C35="Work",IFERROR(SUMIFS(WORK_MASTER!$I:$I,WORK_MASTER!$A:$A,$D35),""),IF($C35="Material",IFERROR(SUMIFS(MATERIAL_VARIANTS!$I:$I,MATERIAL_VARIANTS!$A:$A,$E35),""),"")))</f>
        <v/>
      </c>
      <c r="I35" s="36" t="str">
        <f>IF($C35="","",IF($C35="Work",IFERROR(SUMIFS(WORK_FACTOR_APPLICABILITY!$O:$O,WORK_FACTOR_APPLICABILITY!$A:$A,$D35,WORK_FACTOR_APPLICABILITY!$N:$N,$A35),1),IF($C35="Material",IFERROR(ROUND(1+SUMIFS(MATERIAL_FACTOR_APPLICABILITY!$D:$D,MATERIAL_FACTOR_APPLICABILITY!$A:$A,SUMIFS(MATERIAL_MASTER!$O:$O,MATERIAL_MASTER!$A:$A,$D35),MATERIAL_FACTOR_APPLICABILITY!$B:$B,"GeometryComplexity")*(SUMIFS(OBJECT_CONDITIONS!$W:$W,OBJECT_CONDITIONS!$A:$A,$A35)-1),3),1),"")))</f>
        <v/>
      </c>
      <c r="J35" s="36" t="str">
        <f>IF($C35="","",IF($C35="Work",IFERROR(IF(SUMIFS(WORK_TARIFF_RULES!$F:$F,WORK_TARIFF_RULES!$A:$A,$D35,WORK_TARIFF_RULES!$C:$C,$B35)&lt;&gt;"",SUMIFS(WORK_TARIFF_RULES!$F:$F,WORK_TARIFF_RULES!$A:$A,$D35,WORK_TARIFF_RULES!$C:$C,$B35),SUMIFS(TARIFF_PROFILES!$D:$D,TARIFF_PROFILES!$A:$A,$B35)),1),IF($C35="Material",IFERROR(IF(SUMIFS(MATERIAL_TARIFF_RULES!$E:$E,MATERIAL_TARIFF_RULES!$A:$A,$D35,MATERIAL_TARIFF_RULES!$C:$C,$B35)&lt;&gt;"",SUMIFS(MATERIAL_TARIFF_RULES!$E:$E,MATERIAL_TARIFF_RULES!$A:$A,$D35,MATERIAL_TARIFF_RULES!$C:$C,$B35),SUMIFS(TARIFF_PROFILES!$E:$E,TARIFF_PROFILES!$A:$A,$B35)),1),"")))</f>
        <v/>
      </c>
      <c r="K35" s="36" t="str">
        <f>IF($C35="","",IF($C35="Material",IFERROR(SUMIFS(MATERIAL_MASTER!$P:$P,MATERIAL_MASTER!$A:$A,$D35)*IF(SUMIFS(MATERIAL_TARIFF_RULES!$F:$F,MATERIAL_TARIFF_RULES!$A:$A,$D35,MATERIAL_TARIFF_RULES!$C:$C,$B35)="",SUMIFS(TARIFF_PROFILES!$H:$H,TARIFF_PROFILES!$A:$A,$B35),SUMIFS(MATERIAL_TARIFF_RULES!$F:$F,MATERIAL_TARIFF_RULES!$A:$A,$D35,MATERIAL_TARIFF_RULES!$C:$C,$B35)),1),1))</f>
        <v/>
      </c>
      <c r="L35" s="36" t="str">
        <f t="shared" si="1"/>
        <v/>
      </c>
      <c r="M35" s="36" t="str">
        <f t="shared" si="2"/>
        <v/>
      </c>
      <c r="N35" s="36" t="str">
        <f t="shared" si="3"/>
        <v/>
      </c>
      <c r="O35" s="11" t="str">
        <f t="shared" si="4"/>
        <v/>
      </c>
    </row>
    <row r="36" ht="14.25" customHeight="1">
      <c r="A36" s="11"/>
      <c r="B36" s="11"/>
      <c r="C36" s="11"/>
      <c r="D36" s="11"/>
      <c r="E36" s="11"/>
      <c r="F36" s="11" t="str">
        <f>IF($C36="","",IF($C36="Work",IFERROR(IF(SUMIFS(WORK_TARIFF_RULES!$G:$G,WORK_TARIFF_RULES!$A:$A,$D36,WORK_TARIFF_RULES!$C:$C,$B36)&lt;&gt;"",SUMIFS(WORK_TARIFF_RULES!$G:$G,WORK_TARIFF_RULES!$A:$A,$D36,WORK_TARIFF_RULES!$C:$C,$B36),SUMIFS(WORK_MASTER!$C:$C,WORK_MASTER!$A:$A,$D36)),""),IF($C36="Material",IFERROR(IF(SUMIFS(MATERIAL_TARIFF_RULES!$G:$G,MATERIAL_TARIFF_RULES!$A:$A,$D36,MATERIAL_TARIFF_RULES!$C:$C,$B36)&lt;&gt;"",SUMIFS(MATERIAL_TARIFF_RULES!$G:$G,MATERIAL_TARIFF_RULES!$A:$A,$D36,MATERIAL_TARIFF_RULES!$C:$C,$B36),SUMIFS(MATERIAL_VARIANTS!$J:$J,MATERIAL_VARIANTS!$A:$A,$E36)),""),"")))</f>
        <v/>
      </c>
      <c r="G36" s="36"/>
      <c r="H36" s="36" t="str">
        <f>IF($C36="","",IF($C36="Work",IFERROR(SUMIFS(WORK_MASTER!$I:$I,WORK_MASTER!$A:$A,$D36),""),IF($C36="Material",IFERROR(SUMIFS(MATERIAL_VARIANTS!$I:$I,MATERIAL_VARIANTS!$A:$A,$E36),""),"")))</f>
        <v/>
      </c>
      <c r="I36" s="36" t="str">
        <f>IF($C36="","",IF($C36="Work",IFERROR(SUMIFS(WORK_FACTOR_APPLICABILITY!$O:$O,WORK_FACTOR_APPLICABILITY!$A:$A,$D36,WORK_FACTOR_APPLICABILITY!$N:$N,$A36),1),IF($C36="Material",IFERROR(ROUND(1+SUMIFS(MATERIAL_FACTOR_APPLICABILITY!$D:$D,MATERIAL_FACTOR_APPLICABILITY!$A:$A,SUMIFS(MATERIAL_MASTER!$O:$O,MATERIAL_MASTER!$A:$A,$D36),MATERIAL_FACTOR_APPLICABILITY!$B:$B,"GeometryComplexity")*(SUMIFS(OBJECT_CONDITIONS!$W:$W,OBJECT_CONDITIONS!$A:$A,$A36)-1),3),1),"")))</f>
        <v/>
      </c>
      <c r="J36" s="36" t="str">
        <f>IF($C36="","",IF($C36="Work",IFERROR(IF(SUMIFS(WORK_TARIFF_RULES!$F:$F,WORK_TARIFF_RULES!$A:$A,$D36,WORK_TARIFF_RULES!$C:$C,$B36)&lt;&gt;"",SUMIFS(WORK_TARIFF_RULES!$F:$F,WORK_TARIFF_RULES!$A:$A,$D36,WORK_TARIFF_RULES!$C:$C,$B36),SUMIFS(TARIFF_PROFILES!$D:$D,TARIFF_PROFILES!$A:$A,$B36)),1),IF($C36="Material",IFERROR(IF(SUMIFS(MATERIAL_TARIFF_RULES!$E:$E,MATERIAL_TARIFF_RULES!$A:$A,$D36,MATERIAL_TARIFF_RULES!$C:$C,$B36)&lt;&gt;"",SUMIFS(MATERIAL_TARIFF_RULES!$E:$E,MATERIAL_TARIFF_RULES!$A:$A,$D36,MATERIAL_TARIFF_RULES!$C:$C,$B36),SUMIFS(TARIFF_PROFILES!$E:$E,TARIFF_PROFILES!$A:$A,$B36)),1),"")))</f>
        <v/>
      </c>
      <c r="K36" s="36" t="str">
        <f>IF($C36="","",IF($C36="Material",IFERROR(SUMIFS(MATERIAL_MASTER!$P:$P,MATERIAL_MASTER!$A:$A,$D36)*IF(SUMIFS(MATERIAL_TARIFF_RULES!$F:$F,MATERIAL_TARIFF_RULES!$A:$A,$D36,MATERIAL_TARIFF_RULES!$C:$C,$B36)="",SUMIFS(TARIFF_PROFILES!$H:$H,TARIFF_PROFILES!$A:$A,$B36),SUMIFS(MATERIAL_TARIFF_RULES!$F:$F,MATERIAL_TARIFF_RULES!$A:$A,$D36,MATERIAL_TARIFF_RULES!$C:$C,$B36)),1),1))</f>
        <v/>
      </c>
      <c r="L36" s="36" t="str">
        <f t="shared" si="1"/>
        <v/>
      </c>
      <c r="M36" s="36" t="str">
        <f t="shared" si="2"/>
        <v/>
      </c>
      <c r="N36" s="36" t="str">
        <f t="shared" si="3"/>
        <v/>
      </c>
      <c r="O36" s="11" t="str">
        <f t="shared" si="4"/>
        <v/>
      </c>
    </row>
    <row r="37" ht="14.25" customHeight="1">
      <c r="A37" s="11"/>
      <c r="B37" s="11"/>
      <c r="C37" s="11"/>
      <c r="D37" s="11"/>
      <c r="E37" s="11"/>
      <c r="F37" s="11" t="str">
        <f>IF($C37="","",IF($C37="Work",IFERROR(IF(SUMIFS(WORK_TARIFF_RULES!$G:$G,WORK_TARIFF_RULES!$A:$A,$D37,WORK_TARIFF_RULES!$C:$C,$B37)&lt;&gt;"",SUMIFS(WORK_TARIFF_RULES!$G:$G,WORK_TARIFF_RULES!$A:$A,$D37,WORK_TARIFF_RULES!$C:$C,$B37),SUMIFS(WORK_MASTER!$C:$C,WORK_MASTER!$A:$A,$D37)),""),IF($C37="Material",IFERROR(IF(SUMIFS(MATERIAL_TARIFF_RULES!$G:$G,MATERIAL_TARIFF_RULES!$A:$A,$D37,MATERIAL_TARIFF_RULES!$C:$C,$B37)&lt;&gt;"",SUMIFS(MATERIAL_TARIFF_RULES!$G:$G,MATERIAL_TARIFF_RULES!$A:$A,$D37,MATERIAL_TARIFF_RULES!$C:$C,$B37),SUMIFS(MATERIAL_VARIANTS!$J:$J,MATERIAL_VARIANTS!$A:$A,$E37)),""),"")))</f>
        <v/>
      </c>
      <c r="G37" s="36"/>
      <c r="H37" s="36" t="str">
        <f>IF($C37="","",IF($C37="Work",IFERROR(SUMIFS(WORK_MASTER!$I:$I,WORK_MASTER!$A:$A,$D37),""),IF($C37="Material",IFERROR(SUMIFS(MATERIAL_VARIANTS!$I:$I,MATERIAL_VARIANTS!$A:$A,$E37),""),"")))</f>
        <v/>
      </c>
      <c r="I37" s="36" t="str">
        <f>IF($C37="","",IF($C37="Work",IFERROR(SUMIFS(WORK_FACTOR_APPLICABILITY!$O:$O,WORK_FACTOR_APPLICABILITY!$A:$A,$D37,WORK_FACTOR_APPLICABILITY!$N:$N,$A37),1),IF($C37="Material",IFERROR(ROUND(1+SUMIFS(MATERIAL_FACTOR_APPLICABILITY!$D:$D,MATERIAL_FACTOR_APPLICABILITY!$A:$A,SUMIFS(MATERIAL_MASTER!$O:$O,MATERIAL_MASTER!$A:$A,$D37),MATERIAL_FACTOR_APPLICABILITY!$B:$B,"GeometryComplexity")*(SUMIFS(OBJECT_CONDITIONS!$W:$W,OBJECT_CONDITIONS!$A:$A,$A37)-1),3),1),"")))</f>
        <v/>
      </c>
      <c r="J37" s="36" t="str">
        <f>IF($C37="","",IF($C37="Work",IFERROR(IF(SUMIFS(WORK_TARIFF_RULES!$F:$F,WORK_TARIFF_RULES!$A:$A,$D37,WORK_TARIFF_RULES!$C:$C,$B37)&lt;&gt;"",SUMIFS(WORK_TARIFF_RULES!$F:$F,WORK_TARIFF_RULES!$A:$A,$D37,WORK_TARIFF_RULES!$C:$C,$B37),SUMIFS(TARIFF_PROFILES!$D:$D,TARIFF_PROFILES!$A:$A,$B37)),1),IF($C37="Material",IFERROR(IF(SUMIFS(MATERIAL_TARIFF_RULES!$E:$E,MATERIAL_TARIFF_RULES!$A:$A,$D37,MATERIAL_TARIFF_RULES!$C:$C,$B37)&lt;&gt;"",SUMIFS(MATERIAL_TARIFF_RULES!$E:$E,MATERIAL_TARIFF_RULES!$A:$A,$D37,MATERIAL_TARIFF_RULES!$C:$C,$B37),SUMIFS(TARIFF_PROFILES!$E:$E,TARIFF_PROFILES!$A:$A,$B37)),1),"")))</f>
        <v/>
      </c>
      <c r="K37" s="36" t="str">
        <f>IF($C37="","",IF($C37="Material",IFERROR(SUMIFS(MATERIAL_MASTER!$P:$P,MATERIAL_MASTER!$A:$A,$D37)*IF(SUMIFS(MATERIAL_TARIFF_RULES!$F:$F,MATERIAL_TARIFF_RULES!$A:$A,$D37,MATERIAL_TARIFF_RULES!$C:$C,$B37)="",SUMIFS(TARIFF_PROFILES!$H:$H,TARIFF_PROFILES!$A:$A,$B37),SUMIFS(MATERIAL_TARIFF_RULES!$F:$F,MATERIAL_TARIFF_RULES!$A:$A,$D37,MATERIAL_TARIFF_RULES!$C:$C,$B37)),1),1))</f>
        <v/>
      </c>
      <c r="L37" s="36" t="str">
        <f t="shared" si="1"/>
        <v/>
      </c>
      <c r="M37" s="36" t="str">
        <f t="shared" si="2"/>
        <v/>
      </c>
      <c r="N37" s="36" t="str">
        <f t="shared" si="3"/>
        <v/>
      </c>
      <c r="O37" s="11" t="str">
        <f t="shared" si="4"/>
        <v/>
      </c>
    </row>
    <row r="38" ht="14.25" customHeight="1">
      <c r="A38" s="11"/>
      <c r="B38" s="11"/>
      <c r="C38" s="11"/>
      <c r="D38" s="11"/>
      <c r="E38" s="11"/>
      <c r="F38" s="11" t="str">
        <f>IF($C38="","",IF($C38="Work",IFERROR(IF(SUMIFS(WORK_TARIFF_RULES!$G:$G,WORK_TARIFF_RULES!$A:$A,$D38,WORK_TARIFF_RULES!$C:$C,$B38)&lt;&gt;"",SUMIFS(WORK_TARIFF_RULES!$G:$G,WORK_TARIFF_RULES!$A:$A,$D38,WORK_TARIFF_RULES!$C:$C,$B38),SUMIFS(WORK_MASTER!$C:$C,WORK_MASTER!$A:$A,$D38)),""),IF($C38="Material",IFERROR(IF(SUMIFS(MATERIAL_TARIFF_RULES!$G:$G,MATERIAL_TARIFF_RULES!$A:$A,$D38,MATERIAL_TARIFF_RULES!$C:$C,$B38)&lt;&gt;"",SUMIFS(MATERIAL_TARIFF_RULES!$G:$G,MATERIAL_TARIFF_RULES!$A:$A,$D38,MATERIAL_TARIFF_RULES!$C:$C,$B38),SUMIFS(MATERIAL_VARIANTS!$J:$J,MATERIAL_VARIANTS!$A:$A,$E38)),""),"")))</f>
        <v/>
      </c>
      <c r="G38" s="36"/>
      <c r="H38" s="36" t="str">
        <f>IF($C38="","",IF($C38="Work",IFERROR(SUMIFS(WORK_MASTER!$I:$I,WORK_MASTER!$A:$A,$D38),""),IF($C38="Material",IFERROR(SUMIFS(MATERIAL_VARIANTS!$I:$I,MATERIAL_VARIANTS!$A:$A,$E38),""),"")))</f>
        <v/>
      </c>
      <c r="I38" s="36" t="str">
        <f>IF($C38="","",IF($C38="Work",IFERROR(SUMIFS(WORK_FACTOR_APPLICABILITY!$O:$O,WORK_FACTOR_APPLICABILITY!$A:$A,$D38,WORK_FACTOR_APPLICABILITY!$N:$N,$A38),1),IF($C38="Material",IFERROR(ROUND(1+SUMIFS(MATERIAL_FACTOR_APPLICABILITY!$D:$D,MATERIAL_FACTOR_APPLICABILITY!$A:$A,SUMIFS(MATERIAL_MASTER!$O:$O,MATERIAL_MASTER!$A:$A,$D38),MATERIAL_FACTOR_APPLICABILITY!$B:$B,"GeometryComplexity")*(SUMIFS(OBJECT_CONDITIONS!$W:$W,OBJECT_CONDITIONS!$A:$A,$A38)-1),3),1),"")))</f>
        <v/>
      </c>
      <c r="J38" s="36" t="str">
        <f>IF($C38="","",IF($C38="Work",IFERROR(IF(SUMIFS(WORK_TARIFF_RULES!$F:$F,WORK_TARIFF_RULES!$A:$A,$D38,WORK_TARIFF_RULES!$C:$C,$B38)&lt;&gt;"",SUMIFS(WORK_TARIFF_RULES!$F:$F,WORK_TARIFF_RULES!$A:$A,$D38,WORK_TARIFF_RULES!$C:$C,$B38),SUMIFS(TARIFF_PROFILES!$D:$D,TARIFF_PROFILES!$A:$A,$B38)),1),IF($C38="Material",IFERROR(IF(SUMIFS(MATERIAL_TARIFF_RULES!$E:$E,MATERIAL_TARIFF_RULES!$A:$A,$D38,MATERIAL_TARIFF_RULES!$C:$C,$B38)&lt;&gt;"",SUMIFS(MATERIAL_TARIFF_RULES!$E:$E,MATERIAL_TARIFF_RULES!$A:$A,$D38,MATERIAL_TARIFF_RULES!$C:$C,$B38),SUMIFS(TARIFF_PROFILES!$E:$E,TARIFF_PROFILES!$A:$A,$B38)),1),"")))</f>
        <v/>
      </c>
      <c r="K38" s="36" t="str">
        <f>IF($C38="","",IF($C38="Material",IFERROR(SUMIFS(MATERIAL_MASTER!$P:$P,MATERIAL_MASTER!$A:$A,$D38)*IF(SUMIFS(MATERIAL_TARIFF_RULES!$F:$F,MATERIAL_TARIFF_RULES!$A:$A,$D38,MATERIAL_TARIFF_RULES!$C:$C,$B38)="",SUMIFS(TARIFF_PROFILES!$H:$H,TARIFF_PROFILES!$A:$A,$B38),SUMIFS(MATERIAL_TARIFF_RULES!$F:$F,MATERIAL_TARIFF_RULES!$A:$A,$D38,MATERIAL_TARIFF_RULES!$C:$C,$B38)),1),1))</f>
        <v/>
      </c>
      <c r="L38" s="36" t="str">
        <f t="shared" si="1"/>
        <v/>
      </c>
      <c r="M38" s="36" t="str">
        <f t="shared" si="2"/>
        <v/>
      </c>
      <c r="N38" s="36" t="str">
        <f t="shared" si="3"/>
        <v/>
      </c>
      <c r="O38" s="11" t="str">
        <f t="shared" si="4"/>
        <v/>
      </c>
    </row>
    <row r="39" ht="14.25" customHeight="1">
      <c r="A39" s="11"/>
      <c r="B39" s="11"/>
      <c r="C39" s="11"/>
      <c r="D39" s="11"/>
      <c r="E39" s="11"/>
      <c r="F39" s="11" t="str">
        <f>IF($C39="","",IF($C39="Work",IFERROR(IF(SUMIFS(WORK_TARIFF_RULES!$G:$G,WORK_TARIFF_RULES!$A:$A,$D39,WORK_TARIFF_RULES!$C:$C,$B39)&lt;&gt;"",SUMIFS(WORK_TARIFF_RULES!$G:$G,WORK_TARIFF_RULES!$A:$A,$D39,WORK_TARIFF_RULES!$C:$C,$B39),SUMIFS(WORK_MASTER!$C:$C,WORK_MASTER!$A:$A,$D39)),""),IF($C39="Material",IFERROR(IF(SUMIFS(MATERIAL_TARIFF_RULES!$G:$G,MATERIAL_TARIFF_RULES!$A:$A,$D39,MATERIAL_TARIFF_RULES!$C:$C,$B39)&lt;&gt;"",SUMIFS(MATERIAL_TARIFF_RULES!$G:$G,MATERIAL_TARIFF_RULES!$A:$A,$D39,MATERIAL_TARIFF_RULES!$C:$C,$B39),SUMIFS(MATERIAL_VARIANTS!$J:$J,MATERIAL_VARIANTS!$A:$A,$E39)),""),"")))</f>
        <v/>
      </c>
      <c r="G39" s="36"/>
      <c r="H39" s="36" t="str">
        <f>IF($C39="","",IF($C39="Work",IFERROR(SUMIFS(WORK_MASTER!$I:$I,WORK_MASTER!$A:$A,$D39),""),IF($C39="Material",IFERROR(SUMIFS(MATERIAL_VARIANTS!$I:$I,MATERIAL_VARIANTS!$A:$A,$E39),""),"")))</f>
        <v/>
      </c>
      <c r="I39" s="36" t="str">
        <f>IF($C39="","",IF($C39="Work",IFERROR(SUMIFS(WORK_FACTOR_APPLICABILITY!$O:$O,WORK_FACTOR_APPLICABILITY!$A:$A,$D39,WORK_FACTOR_APPLICABILITY!$N:$N,$A39),1),IF($C39="Material",IFERROR(ROUND(1+SUMIFS(MATERIAL_FACTOR_APPLICABILITY!$D:$D,MATERIAL_FACTOR_APPLICABILITY!$A:$A,SUMIFS(MATERIAL_MASTER!$O:$O,MATERIAL_MASTER!$A:$A,$D39),MATERIAL_FACTOR_APPLICABILITY!$B:$B,"GeometryComplexity")*(SUMIFS(OBJECT_CONDITIONS!$W:$W,OBJECT_CONDITIONS!$A:$A,$A39)-1),3),1),"")))</f>
        <v/>
      </c>
      <c r="J39" s="36" t="str">
        <f>IF($C39="","",IF($C39="Work",IFERROR(IF(SUMIFS(WORK_TARIFF_RULES!$F:$F,WORK_TARIFF_RULES!$A:$A,$D39,WORK_TARIFF_RULES!$C:$C,$B39)&lt;&gt;"",SUMIFS(WORK_TARIFF_RULES!$F:$F,WORK_TARIFF_RULES!$A:$A,$D39,WORK_TARIFF_RULES!$C:$C,$B39),SUMIFS(TARIFF_PROFILES!$D:$D,TARIFF_PROFILES!$A:$A,$B39)),1),IF($C39="Material",IFERROR(IF(SUMIFS(MATERIAL_TARIFF_RULES!$E:$E,MATERIAL_TARIFF_RULES!$A:$A,$D39,MATERIAL_TARIFF_RULES!$C:$C,$B39)&lt;&gt;"",SUMIFS(MATERIAL_TARIFF_RULES!$E:$E,MATERIAL_TARIFF_RULES!$A:$A,$D39,MATERIAL_TARIFF_RULES!$C:$C,$B39),SUMIFS(TARIFF_PROFILES!$E:$E,TARIFF_PROFILES!$A:$A,$B39)),1),"")))</f>
        <v/>
      </c>
      <c r="K39" s="36" t="str">
        <f>IF($C39="","",IF($C39="Material",IFERROR(SUMIFS(MATERIAL_MASTER!$P:$P,MATERIAL_MASTER!$A:$A,$D39)*IF(SUMIFS(MATERIAL_TARIFF_RULES!$F:$F,MATERIAL_TARIFF_RULES!$A:$A,$D39,MATERIAL_TARIFF_RULES!$C:$C,$B39)="",SUMIFS(TARIFF_PROFILES!$H:$H,TARIFF_PROFILES!$A:$A,$B39),SUMIFS(MATERIAL_TARIFF_RULES!$F:$F,MATERIAL_TARIFF_RULES!$A:$A,$D39,MATERIAL_TARIFF_RULES!$C:$C,$B39)),1),1))</f>
        <v/>
      </c>
      <c r="L39" s="36" t="str">
        <f t="shared" si="1"/>
        <v/>
      </c>
      <c r="M39" s="36" t="str">
        <f t="shared" si="2"/>
        <v/>
      </c>
      <c r="N39" s="36" t="str">
        <f t="shared" si="3"/>
        <v/>
      </c>
      <c r="O39" s="11" t="str">
        <f t="shared" si="4"/>
        <v/>
      </c>
    </row>
    <row r="40" ht="14.25" customHeight="1">
      <c r="A40" s="11"/>
      <c r="B40" s="11"/>
      <c r="C40" s="11"/>
      <c r="D40" s="11"/>
      <c r="E40" s="11"/>
      <c r="F40" s="11" t="str">
        <f>IF($C40="","",IF($C40="Work",IFERROR(IF(SUMIFS(WORK_TARIFF_RULES!$G:$G,WORK_TARIFF_RULES!$A:$A,$D40,WORK_TARIFF_RULES!$C:$C,$B40)&lt;&gt;"",SUMIFS(WORK_TARIFF_RULES!$G:$G,WORK_TARIFF_RULES!$A:$A,$D40,WORK_TARIFF_RULES!$C:$C,$B40),SUMIFS(WORK_MASTER!$C:$C,WORK_MASTER!$A:$A,$D40)),""),IF($C40="Material",IFERROR(IF(SUMIFS(MATERIAL_TARIFF_RULES!$G:$G,MATERIAL_TARIFF_RULES!$A:$A,$D40,MATERIAL_TARIFF_RULES!$C:$C,$B40)&lt;&gt;"",SUMIFS(MATERIAL_TARIFF_RULES!$G:$G,MATERIAL_TARIFF_RULES!$A:$A,$D40,MATERIAL_TARIFF_RULES!$C:$C,$B40),SUMIFS(MATERIAL_VARIANTS!$J:$J,MATERIAL_VARIANTS!$A:$A,$E40)),""),"")))</f>
        <v/>
      </c>
      <c r="G40" s="36"/>
      <c r="H40" s="36" t="str">
        <f>IF($C40="","",IF($C40="Work",IFERROR(SUMIFS(WORK_MASTER!$I:$I,WORK_MASTER!$A:$A,$D40),""),IF($C40="Material",IFERROR(SUMIFS(MATERIAL_VARIANTS!$I:$I,MATERIAL_VARIANTS!$A:$A,$E40),""),"")))</f>
        <v/>
      </c>
      <c r="I40" s="36" t="str">
        <f>IF($C40="","",IF($C40="Work",IFERROR(SUMIFS(WORK_FACTOR_APPLICABILITY!$O:$O,WORK_FACTOR_APPLICABILITY!$A:$A,$D40,WORK_FACTOR_APPLICABILITY!$N:$N,$A40),1),IF($C40="Material",IFERROR(ROUND(1+SUMIFS(MATERIAL_FACTOR_APPLICABILITY!$D:$D,MATERIAL_FACTOR_APPLICABILITY!$A:$A,SUMIFS(MATERIAL_MASTER!$O:$O,MATERIAL_MASTER!$A:$A,$D40),MATERIAL_FACTOR_APPLICABILITY!$B:$B,"GeometryComplexity")*(SUMIFS(OBJECT_CONDITIONS!$W:$W,OBJECT_CONDITIONS!$A:$A,$A40)-1),3),1),"")))</f>
        <v/>
      </c>
      <c r="J40" s="36" t="str">
        <f>IF($C40="","",IF($C40="Work",IFERROR(IF(SUMIFS(WORK_TARIFF_RULES!$F:$F,WORK_TARIFF_RULES!$A:$A,$D40,WORK_TARIFF_RULES!$C:$C,$B40)&lt;&gt;"",SUMIFS(WORK_TARIFF_RULES!$F:$F,WORK_TARIFF_RULES!$A:$A,$D40,WORK_TARIFF_RULES!$C:$C,$B40),SUMIFS(TARIFF_PROFILES!$D:$D,TARIFF_PROFILES!$A:$A,$B40)),1),IF($C40="Material",IFERROR(IF(SUMIFS(MATERIAL_TARIFF_RULES!$E:$E,MATERIAL_TARIFF_RULES!$A:$A,$D40,MATERIAL_TARIFF_RULES!$C:$C,$B40)&lt;&gt;"",SUMIFS(MATERIAL_TARIFF_RULES!$E:$E,MATERIAL_TARIFF_RULES!$A:$A,$D40,MATERIAL_TARIFF_RULES!$C:$C,$B40),SUMIFS(TARIFF_PROFILES!$E:$E,TARIFF_PROFILES!$A:$A,$B40)),1),"")))</f>
        <v/>
      </c>
      <c r="K40" s="36" t="str">
        <f>IF($C40="","",IF($C40="Material",IFERROR(SUMIFS(MATERIAL_MASTER!$P:$P,MATERIAL_MASTER!$A:$A,$D40)*IF(SUMIFS(MATERIAL_TARIFF_RULES!$F:$F,MATERIAL_TARIFF_RULES!$A:$A,$D40,MATERIAL_TARIFF_RULES!$C:$C,$B40)="",SUMIFS(TARIFF_PROFILES!$H:$H,TARIFF_PROFILES!$A:$A,$B40),SUMIFS(MATERIAL_TARIFF_RULES!$F:$F,MATERIAL_TARIFF_RULES!$A:$A,$D40,MATERIAL_TARIFF_RULES!$C:$C,$B40)),1),1))</f>
        <v/>
      </c>
      <c r="L40" s="36" t="str">
        <f t="shared" si="1"/>
        <v/>
      </c>
      <c r="M40" s="36" t="str">
        <f t="shared" si="2"/>
        <v/>
      </c>
      <c r="N40" s="36" t="str">
        <f t="shared" si="3"/>
        <v/>
      </c>
      <c r="O40" s="11" t="str">
        <f t="shared" si="4"/>
        <v/>
      </c>
    </row>
    <row r="41" ht="14.25" customHeight="1">
      <c r="A41" s="11"/>
      <c r="B41" s="11"/>
      <c r="C41" s="11"/>
      <c r="D41" s="11"/>
      <c r="E41" s="11"/>
      <c r="F41" s="11" t="str">
        <f>IF($C41="","",IF($C41="Work",IFERROR(IF(SUMIFS(WORK_TARIFF_RULES!$G:$G,WORK_TARIFF_RULES!$A:$A,$D41,WORK_TARIFF_RULES!$C:$C,$B41)&lt;&gt;"",SUMIFS(WORK_TARIFF_RULES!$G:$G,WORK_TARIFF_RULES!$A:$A,$D41,WORK_TARIFF_RULES!$C:$C,$B41),SUMIFS(WORK_MASTER!$C:$C,WORK_MASTER!$A:$A,$D41)),""),IF($C41="Material",IFERROR(IF(SUMIFS(MATERIAL_TARIFF_RULES!$G:$G,MATERIAL_TARIFF_RULES!$A:$A,$D41,MATERIAL_TARIFF_RULES!$C:$C,$B41)&lt;&gt;"",SUMIFS(MATERIAL_TARIFF_RULES!$G:$G,MATERIAL_TARIFF_RULES!$A:$A,$D41,MATERIAL_TARIFF_RULES!$C:$C,$B41),SUMIFS(MATERIAL_VARIANTS!$J:$J,MATERIAL_VARIANTS!$A:$A,$E41)),""),"")))</f>
        <v/>
      </c>
      <c r="G41" s="36"/>
      <c r="H41" s="36" t="str">
        <f>IF($C41="","",IF($C41="Work",IFERROR(SUMIFS(WORK_MASTER!$I:$I,WORK_MASTER!$A:$A,$D41),""),IF($C41="Material",IFERROR(SUMIFS(MATERIAL_VARIANTS!$I:$I,MATERIAL_VARIANTS!$A:$A,$E41),""),"")))</f>
        <v/>
      </c>
      <c r="I41" s="36" t="str">
        <f>IF($C41="","",IF($C41="Work",IFERROR(SUMIFS(WORK_FACTOR_APPLICABILITY!$O:$O,WORK_FACTOR_APPLICABILITY!$A:$A,$D41,WORK_FACTOR_APPLICABILITY!$N:$N,$A41),1),IF($C41="Material",IFERROR(ROUND(1+SUMIFS(MATERIAL_FACTOR_APPLICABILITY!$D:$D,MATERIAL_FACTOR_APPLICABILITY!$A:$A,SUMIFS(MATERIAL_MASTER!$O:$O,MATERIAL_MASTER!$A:$A,$D41),MATERIAL_FACTOR_APPLICABILITY!$B:$B,"GeometryComplexity")*(SUMIFS(OBJECT_CONDITIONS!$W:$W,OBJECT_CONDITIONS!$A:$A,$A41)-1),3),1),"")))</f>
        <v/>
      </c>
      <c r="J41" s="36" t="str">
        <f>IF($C41="","",IF($C41="Work",IFERROR(IF(SUMIFS(WORK_TARIFF_RULES!$F:$F,WORK_TARIFF_RULES!$A:$A,$D41,WORK_TARIFF_RULES!$C:$C,$B41)&lt;&gt;"",SUMIFS(WORK_TARIFF_RULES!$F:$F,WORK_TARIFF_RULES!$A:$A,$D41,WORK_TARIFF_RULES!$C:$C,$B41),SUMIFS(TARIFF_PROFILES!$D:$D,TARIFF_PROFILES!$A:$A,$B41)),1),IF($C41="Material",IFERROR(IF(SUMIFS(MATERIAL_TARIFF_RULES!$E:$E,MATERIAL_TARIFF_RULES!$A:$A,$D41,MATERIAL_TARIFF_RULES!$C:$C,$B41)&lt;&gt;"",SUMIFS(MATERIAL_TARIFF_RULES!$E:$E,MATERIAL_TARIFF_RULES!$A:$A,$D41,MATERIAL_TARIFF_RULES!$C:$C,$B41),SUMIFS(TARIFF_PROFILES!$E:$E,TARIFF_PROFILES!$A:$A,$B41)),1),"")))</f>
        <v/>
      </c>
      <c r="K41" s="36" t="str">
        <f>IF($C41="","",IF($C41="Material",IFERROR(SUMIFS(MATERIAL_MASTER!$P:$P,MATERIAL_MASTER!$A:$A,$D41)*IF(SUMIFS(MATERIAL_TARIFF_RULES!$F:$F,MATERIAL_TARIFF_RULES!$A:$A,$D41,MATERIAL_TARIFF_RULES!$C:$C,$B41)="",SUMIFS(TARIFF_PROFILES!$H:$H,TARIFF_PROFILES!$A:$A,$B41),SUMIFS(MATERIAL_TARIFF_RULES!$F:$F,MATERIAL_TARIFF_RULES!$A:$A,$D41,MATERIAL_TARIFF_RULES!$C:$C,$B41)),1),1))</f>
        <v/>
      </c>
      <c r="L41" s="36" t="str">
        <f t="shared" si="1"/>
        <v/>
      </c>
      <c r="M41" s="36" t="str">
        <f t="shared" si="2"/>
        <v/>
      </c>
      <c r="N41" s="36" t="str">
        <f t="shared" si="3"/>
        <v/>
      </c>
      <c r="O41" s="11" t="str">
        <f t="shared" si="4"/>
        <v/>
      </c>
    </row>
    <row r="42" ht="14.25" customHeight="1">
      <c r="A42" s="11"/>
      <c r="B42" s="11"/>
      <c r="C42" s="11"/>
      <c r="D42" s="11"/>
      <c r="E42" s="11"/>
      <c r="F42" s="11" t="str">
        <f>IF($C42="","",IF($C42="Work",IFERROR(IF(SUMIFS(WORK_TARIFF_RULES!$G:$G,WORK_TARIFF_RULES!$A:$A,$D42,WORK_TARIFF_RULES!$C:$C,$B42)&lt;&gt;"",SUMIFS(WORK_TARIFF_RULES!$G:$G,WORK_TARIFF_RULES!$A:$A,$D42,WORK_TARIFF_RULES!$C:$C,$B42),SUMIFS(WORK_MASTER!$C:$C,WORK_MASTER!$A:$A,$D42)),""),IF($C42="Material",IFERROR(IF(SUMIFS(MATERIAL_TARIFF_RULES!$G:$G,MATERIAL_TARIFF_RULES!$A:$A,$D42,MATERIAL_TARIFF_RULES!$C:$C,$B42)&lt;&gt;"",SUMIFS(MATERIAL_TARIFF_RULES!$G:$G,MATERIAL_TARIFF_RULES!$A:$A,$D42,MATERIAL_TARIFF_RULES!$C:$C,$B42),SUMIFS(MATERIAL_VARIANTS!$J:$J,MATERIAL_VARIANTS!$A:$A,$E42)),""),"")))</f>
        <v/>
      </c>
      <c r="G42" s="36"/>
      <c r="H42" s="36" t="str">
        <f>IF($C42="","",IF($C42="Work",IFERROR(SUMIFS(WORK_MASTER!$I:$I,WORK_MASTER!$A:$A,$D42),""),IF($C42="Material",IFERROR(SUMIFS(MATERIAL_VARIANTS!$I:$I,MATERIAL_VARIANTS!$A:$A,$E42),""),"")))</f>
        <v/>
      </c>
      <c r="I42" s="36" t="str">
        <f>IF($C42="","",IF($C42="Work",IFERROR(SUMIFS(WORK_FACTOR_APPLICABILITY!$O:$O,WORK_FACTOR_APPLICABILITY!$A:$A,$D42,WORK_FACTOR_APPLICABILITY!$N:$N,$A42),1),IF($C42="Material",IFERROR(ROUND(1+SUMIFS(MATERIAL_FACTOR_APPLICABILITY!$D:$D,MATERIAL_FACTOR_APPLICABILITY!$A:$A,SUMIFS(MATERIAL_MASTER!$O:$O,MATERIAL_MASTER!$A:$A,$D42),MATERIAL_FACTOR_APPLICABILITY!$B:$B,"GeometryComplexity")*(SUMIFS(OBJECT_CONDITIONS!$W:$W,OBJECT_CONDITIONS!$A:$A,$A42)-1),3),1),"")))</f>
        <v/>
      </c>
      <c r="J42" s="36" t="str">
        <f>IF($C42="","",IF($C42="Work",IFERROR(IF(SUMIFS(WORK_TARIFF_RULES!$F:$F,WORK_TARIFF_RULES!$A:$A,$D42,WORK_TARIFF_RULES!$C:$C,$B42)&lt;&gt;"",SUMIFS(WORK_TARIFF_RULES!$F:$F,WORK_TARIFF_RULES!$A:$A,$D42,WORK_TARIFF_RULES!$C:$C,$B42),SUMIFS(TARIFF_PROFILES!$D:$D,TARIFF_PROFILES!$A:$A,$B42)),1),IF($C42="Material",IFERROR(IF(SUMIFS(MATERIAL_TARIFF_RULES!$E:$E,MATERIAL_TARIFF_RULES!$A:$A,$D42,MATERIAL_TARIFF_RULES!$C:$C,$B42)&lt;&gt;"",SUMIFS(MATERIAL_TARIFF_RULES!$E:$E,MATERIAL_TARIFF_RULES!$A:$A,$D42,MATERIAL_TARIFF_RULES!$C:$C,$B42),SUMIFS(TARIFF_PROFILES!$E:$E,TARIFF_PROFILES!$A:$A,$B42)),1),"")))</f>
        <v/>
      </c>
      <c r="K42" s="36" t="str">
        <f>IF($C42="","",IF($C42="Material",IFERROR(SUMIFS(MATERIAL_MASTER!$P:$P,MATERIAL_MASTER!$A:$A,$D42)*IF(SUMIFS(MATERIAL_TARIFF_RULES!$F:$F,MATERIAL_TARIFF_RULES!$A:$A,$D42,MATERIAL_TARIFF_RULES!$C:$C,$B42)="",SUMIFS(TARIFF_PROFILES!$H:$H,TARIFF_PROFILES!$A:$A,$B42),SUMIFS(MATERIAL_TARIFF_RULES!$F:$F,MATERIAL_TARIFF_RULES!$A:$A,$D42,MATERIAL_TARIFF_RULES!$C:$C,$B42)),1),1))</f>
        <v/>
      </c>
      <c r="L42" s="36" t="str">
        <f t="shared" si="1"/>
        <v/>
      </c>
      <c r="M42" s="36" t="str">
        <f t="shared" si="2"/>
        <v/>
      </c>
      <c r="N42" s="36" t="str">
        <f t="shared" si="3"/>
        <v/>
      </c>
      <c r="O42" s="11" t="str">
        <f t="shared" si="4"/>
        <v/>
      </c>
    </row>
    <row r="43" ht="14.25" customHeight="1">
      <c r="A43" s="11"/>
      <c r="B43" s="11"/>
      <c r="C43" s="11"/>
      <c r="D43" s="11"/>
      <c r="E43" s="11"/>
      <c r="F43" s="11" t="str">
        <f>IF($C43="","",IF($C43="Work",IFERROR(IF(SUMIFS(WORK_TARIFF_RULES!$G:$G,WORK_TARIFF_RULES!$A:$A,$D43,WORK_TARIFF_RULES!$C:$C,$B43)&lt;&gt;"",SUMIFS(WORK_TARIFF_RULES!$G:$G,WORK_TARIFF_RULES!$A:$A,$D43,WORK_TARIFF_RULES!$C:$C,$B43),SUMIFS(WORK_MASTER!$C:$C,WORK_MASTER!$A:$A,$D43)),""),IF($C43="Material",IFERROR(IF(SUMIFS(MATERIAL_TARIFF_RULES!$G:$G,MATERIAL_TARIFF_RULES!$A:$A,$D43,MATERIAL_TARIFF_RULES!$C:$C,$B43)&lt;&gt;"",SUMIFS(MATERIAL_TARIFF_RULES!$G:$G,MATERIAL_TARIFF_RULES!$A:$A,$D43,MATERIAL_TARIFF_RULES!$C:$C,$B43),SUMIFS(MATERIAL_VARIANTS!$J:$J,MATERIAL_VARIANTS!$A:$A,$E43)),""),"")))</f>
        <v/>
      </c>
      <c r="G43" s="36"/>
      <c r="H43" s="36" t="str">
        <f>IF($C43="","",IF($C43="Work",IFERROR(SUMIFS(WORK_MASTER!$I:$I,WORK_MASTER!$A:$A,$D43),""),IF($C43="Material",IFERROR(SUMIFS(MATERIAL_VARIANTS!$I:$I,MATERIAL_VARIANTS!$A:$A,$E43),""),"")))</f>
        <v/>
      </c>
      <c r="I43" s="36" t="str">
        <f>IF($C43="","",IF($C43="Work",IFERROR(SUMIFS(WORK_FACTOR_APPLICABILITY!$O:$O,WORK_FACTOR_APPLICABILITY!$A:$A,$D43,WORK_FACTOR_APPLICABILITY!$N:$N,$A43),1),IF($C43="Material",IFERROR(ROUND(1+SUMIFS(MATERIAL_FACTOR_APPLICABILITY!$D:$D,MATERIAL_FACTOR_APPLICABILITY!$A:$A,SUMIFS(MATERIAL_MASTER!$O:$O,MATERIAL_MASTER!$A:$A,$D43),MATERIAL_FACTOR_APPLICABILITY!$B:$B,"GeometryComplexity")*(SUMIFS(OBJECT_CONDITIONS!$W:$W,OBJECT_CONDITIONS!$A:$A,$A43)-1),3),1),"")))</f>
        <v/>
      </c>
      <c r="J43" s="36" t="str">
        <f>IF($C43="","",IF($C43="Work",IFERROR(IF(SUMIFS(WORK_TARIFF_RULES!$F:$F,WORK_TARIFF_RULES!$A:$A,$D43,WORK_TARIFF_RULES!$C:$C,$B43)&lt;&gt;"",SUMIFS(WORK_TARIFF_RULES!$F:$F,WORK_TARIFF_RULES!$A:$A,$D43,WORK_TARIFF_RULES!$C:$C,$B43),SUMIFS(TARIFF_PROFILES!$D:$D,TARIFF_PROFILES!$A:$A,$B43)),1),IF($C43="Material",IFERROR(IF(SUMIFS(MATERIAL_TARIFF_RULES!$E:$E,MATERIAL_TARIFF_RULES!$A:$A,$D43,MATERIAL_TARIFF_RULES!$C:$C,$B43)&lt;&gt;"",SUMIFS(MATERIAL_TARIFF_RULES!$E:$E,MATERIAL_TARIFF_RULES!$A:$A,$D43,MATERIAL_TARIFF_RULES!$C:$C,$B43),SUMIFS(TARIFF_PROFILES!$E:$E,TARIFF_PROFILES!$A:$A,$B43)),1),"")))</f>
        <v/>
      </c>
      <c r="K43" s="36" t="str">
        <f>IF($C43="","",IF($C43="Material",IFERROR(SUMIFS(MATERIAL_MASTER!$P:$P,MATERIAL_MASTER!$A:$A,$D43)*IF(SUMIFS(MATERIAL_TARIFF_RULES!$F:$F,MATERIAL_TARIFF_RULES!$A:$A,$D43,MATERIAL_TARIFF_RULES!$C:$C,$B43)="",SUMIFS(TARIFF_PROFILES!$H:$H,TARIFF_PROFILES!$A:$A,$B43),SUMIFS(MATERIAL_TARIFF_RULES!$F:$F,MATERIAL_TARIFF_RULES!$A:$A,$D43,MATERIAL_TARIFF_RULES!$C:$C,$B43)),1),1))</f>
        <v/>
      </c>
      <c r="L43" s="36" t="str">
        <f t="shared" si="1"/>
        <v/>
      </c>
      <c r="M43" s="36" t="str">
        <f t="shared" si="2"/>
        <v/>
      </c>
      <c r="N43" s="36" t="str">
        <f t="shared" si="3"/>
        <v/>
      </c>
      <c r="O43" s="11" t="str">
        <f t="shared" si="4"/>
        <v/>
      </c>
    </row>
    <row r="44" ht="14.25" customHeight="1">
      <c r="A44" s="11"/>
      <c r="B44" s="11"/>
      <c r="C44" s="11"/>
      <c r="D44" s="11"/>
      <c r="E44" s="11"/>
      <c r="F44" s="11" t="str">
        <f>IF($C44="","",IF($C44="Work",IFERROR(IF(SUMIFS(WORK_TARIFF_RULES!$G:$G,WORK_TARIFF_RULES!$A:$A,$D44,WORK_TARIFF_RULES!$C:$C,$B44)&lt;&gt;"",SUMIFS(WORK_TARIFF_RULES!$G:$G,WORK_TARIFF_RULES!$A:$A,$D44,WORK_TARIFF_RULES!$C:$C,$B44),SUMIFS(WORK_MASTER!$C:$C,WORK_MASTER!$A:$A,$D44)),""),IF($C44="Material",IFERROR(IF(SUMIFS(MATERIAL_TARIFF_RULES!$G:$G,MATERIAL_TARIFF_RULES!$A:$A,$D44,MATERIAL_TARIFF_RULES!$C:$C,$B44)&lt;&gt;"",SUMIFS(MATERIAL_TARIFF_RULES!$G:$G,MATERIAL_TARIFF_RULES!$A:$A,$D44,MATERIAL_TARIFF_RULES!$C:$C,$B44),SUMIFS(MATERIAL_VARIANTS!$J:$J,MATERIAL_VARIANTS!$A:$A,$E44)),""),"")))</f>
        <v/>
      </c>
      <c r="G44" s="36"/>
      <c r="H44" s="36" t="str">
        <f>IF($C44="","",IF($C44="Work",IFERROR(SUMIFS(WORK_MASTER!$I:$I,WORK_MASTER!$A:$A,$D44),""),IF($C44="Material",IFERROR(SUMIFS(MATERIAL_VARIANTS!$I:$I,MATERIAL_VARIANTS!$A:$A,$E44),""),"")))</f>
        <v/>
      </c>
      <c r="I44" s="36" t="str">
        <f>IF($C44="","",IF($C44="Work",IFERROR(SUMIFS(WORK_FACTOR_APPLICABILITY!$O:$O,WORK_FACTOR_APPLICABILITY!$A:$A,$D44,WORK_FACTOR_APPLICABILITY!$N:$N,$A44),1),IF($C44="Material",IFERROR(ROUND(1+SUMIFS(MATERIAL_FACTOR_APPLICABILITY!$D:$D,MATERIAL_FACTOR_APPLICABILITY!$A:$A,SUMIFS(MATERIAL_MASTER!$O:$O,MATERIAL_MASTER!$A:$A,$D44),MATERIAL_FACTOR_APPLICABILITY!$B:$B,"GeometryComplexity")*(SUMIFS(OBJECT_CONDITIONS!$W:$W,OBJECT_CONDITIONS!$A:$A,$A44)-1),3),1),"")))</f>
        <v/>
      </c>
      <c r="J44" s="36" t="str">
        <f>IF($C44="","",IF($C44="Work",IFERROR(IF(SUMIFS(WORK_TARIFF_RULES!$F:$F,WORK_TARIFF_RULES!$A:$A,$D44,WORK_TARIFF_RULES!$C:$C,$B44)&lt;&gt;"",SUMIFS(WORK_TARIFF_RULES!$F:$F,WORK_TARIFF_RULES!$A:$A,$D44,WORK_TARIFF_RULES!$C:$C,$B44),SUMIFS(TARIFF_PROFILES!$D:$D,TARIFF_PROFILES!$A:$A,$B44)),1),IF($C44="Material",IFERROR(IF(SUMIFS(MATERIAL_TARIFF_RULES!$E:$E,MATERIAL_TARIFF_RULES!$A:$A,$D44,MATERIAL_TARIFF_RULES!$C:$C,$B44)&lt;&gt;"",SUMIFS(MATERIAL_TARIFF_RULES!$E:$E,MATERIAL_TARIFF_RULES!$A:$A,$D44,MATERIAL_TARIFF_RULES!$C:$C,$B44),SUMIFS(TARIFF_PROFILES!$E:$E,TARIFF_PROFILES!$A:$A,$B44)),1),"")))</f>
        <v/>
      </c>
      <c r="K44" s="36" t="str">
        <f>IF($C44="","",IF($C44="Material",IFERROR(SUMIFS(MATERIAL_MASTER!$P:$P,MATERIAL_MASTER!$A:$A,$D44)*IF(SUMIFS(MATERIAL_TARIFF_RULES!$F:$F,MATERIAL_TARIFF_RULES!$A:$A,$D44,MATERIAL_TARIFF_RULES!$C:$C,$B44)="",SUMIFS(TARIFF_PROFILES!$H:$H,TARIFF_PROFILES!$A:$A,$B44),SUMIFS(MATERIAL_TARIFF_RULES!$F:$F,MATERIAL_TARIFF_RULES!$A:$A,$D44,MATERIAL_TARIFF_RULES!$C:$C,$B44)),1),1))</f>
        <v/>
      </c>
      <c r="L44" s="36" t="str">
        <f t="shared" si="1"/>
        <v/>
      </c>
      <c r="M44" s="36" t="str">
        <f t="shared" si="2"/>
        <v/>
      </c>
      <c r="N44" s="36" t="str">
        <f t="shared" si="3"/>
        <v/>
      </c>
      <c r="O44" s="11" t="str">
        <f t="shared" si="4"/>
        <v/>
      </c>
    </row>
    <row r="45" ht="14.25" customHeight="1">
      <c r="A45" s="11"/>
      <c r="B45" s="11"/>
      <c r="C45" s="11"/>
      <c r="D45" s="11"/>
      <c r="E45" s="11"/>
      <c r="F45" s="11" t="str">
        <f>IF($C45="","",IF($C45="Work",IFERROR(IF(SUMIFS(WORK_TARIFF_RULES!$G:$G,WORK_TARIFF_RULES!$A:$A,$D45,WORK_TARIFF_RULES!$C:$C,$B45)&lt;&gt;"",SUMIFS(WORK_TARIFF_RULES!$G:$G,WORK_TARIFF_RULES!$A:$A,$D45,WORK_TARIFF_RULES!$C:$C,$B45),SUMIFS(WORK_MASTER!$C:$C,WORK_MASTER!$A:$A,$D45)),""),IF($C45="Material",IFERROR(IF(SUMIFS(MATERIAL_TARIFF_RULES!$G:$G,MATERIAL_TARIFF_RULES!$A:$A,$D45,MATERIAL_TARIFF_RULES!$C:$C,$B45)&lt;&gt;"",SUMIFS(MATERIAL_TARIFF_RULES!$G:$G,MATERIAL_TARIFF_RULES!$A:$A,$D45,MATERIAL_TARIFF_RULES!$C:$C,$B45),SUMIFS(MATERIAL_VARIANTS!$J:$J,MATERIAL_VARIANTS!$A:$A,$E45)),""),"")))</f>
        <v/>
      </c>
      <c r="G45" s="36"/>
      <c r="H45" s="36" t="str">
        <f>IF($C45="","",IF($C45="Work",IFERROR(SUMIFS(WORK_MASTER!$I:$I,WORK_MASTER!$A:$A,$D45),""),IF($C45="Material",IFERROR(SUMIFS(MATERIAL_VARIANTS!$I:$I,MATERIAL_VARIANTS!$A:$A,$E45),""),"")))</f>
        <v/>
      </c>
      <c r="I45" s="36" t="str">
        <f>IF($C45="","",IF($C45="Work",IFERROR(SUMIFS(WORK_FACTOR_APPLICABILITY!$O:$O,WORK_FACTOR_APPLICABILITY!$A:$A,$D45,WORK_FACTOR_APPLICABILITY!$N:$N,$A45),1),IF($C45="Material",IFERROR(ROUND(1+SUMIFS(MATERIAL_FACTOR_APPLICABILITY!$D:$D,MATERIAL_FACTOR_APPLICABILITY!$A:$A,SUMIFS(MATERIAL_MASTER!$O:$O,MATERIAL_MASTER!$A:$A,$D45),MATERIAL_FACTOR_APPLICABILITY!$B:$B,"GeometryComplexity")*(SUMIFS(OBJECT_CONDITIONS!$W:$W,OBJECT_CONDITIONS!$A:$A,$A45)-1),3),1),"")))</f>
        <v/>
      </c>
      <c r="J45" s="36" t="str">
        <f>IF($C45="","",IF($C45="Work",IFERROR(IF(SUMIFS(WORK_TARIFF_RULES!$F:$F,WORK_TARIFF_RULES!$A:$A,$D45,WORK_TARIFF_RULES!$C:$C,$B45)&lt;&gt;"",SUMIFS(WORK_TARIFF_RULES!$F:$F,WORK_TARIFF_RULES!$A:$A,$D45,WORK_TARIFF_RULES!$C:$C,$B45),SUMIFS(TARIFF_PROFILES!$D:$D,TARIFF_PROFILES!$A:$A,$B45)),1),IF($C45="Material",IFERROR(IF(SUMIFS(MATERIAL_TARIFF_RULES!$E:$E,MATERIAL_TARIFF_RULES!$A:$A,$D45,MATERIAL_TARIFF_RULES!$C:$C,$B45)&lt;&gt;"",SUMIFS(MATERIAL_TARIFF_RULES!$E:$E,MATERIAL_TARIFF_RULES!$A:$A,$D45,MATERIAL_TARIFF_RULES!$C:$C,$B45),SUMIFS(TARIFF_PROFILES!$E:$E,TARIFF_PROFILES!$A:$A,$B45)),1),"")))</f>
        <v/>
      </c>
      <c r="K45" s="36" t="str">
        <f>IF($C45="","",IF($C45="Material",IFERROR(SUMIFS(MATERIAL_MASTER!$P:$P,MATERIAL_MASTER!$A:$A,$D45)*IF(SUMIFS(MATERIAL_TARIFF_RULES!$F:$F,MATERIAL_TARIFF_RULES!$A:$A,$D45,MATERIAL_TARIFF_RULES!$C:$C,$B45)="",SUMIFS(TARIFF_PROFILES!$H:$H,TARIFF_PROFILES!$A:$A,$B45),SUMIFS(MATERIAL_TARIFF_RULES!$F:$F,MATERIAL_TARIFF_RULES!$A:$A,$D45,MATERIAL_TARIFF_RULES!$C:$C,$B45)),1),1))</f>
        <v/>
      </c>
      <c r="L45" s="36" t="str">
        <f t="shared" si="1"/>
        <v/>
      </c>
      <c r="M45" s="36" t="str">
        <f t="shared" si="2"/>
        <v/>
      </c>
      <c r="N45" s="36" t="str">
        <f t="shared" si="3"/>
        <v/>
      </c>
      <c r="O45" s="11" t="str">
        <f t="shared" si="4"/>
        <v/>
      </c>
    </row>
    <row r="46" ht="14.25" customHeight="1">
      <c r="A46" s="11"/>
      <c r="B46" s="11"/>
      <c r="C46" s="11"/>
      <c r="D46" s="11"/>
      <c r="E46" s="11"/>
      <c r="F46" s="11" t="str">
        <f>IF($C46="","",IF($C46="Work",IFERROR(IF(SUMIFS(WORK_TARIFF_RULES!$G:$G,WORK_TARIFF_RULES!$A:$A,$D46,WORK_TARIFF_RULES!$C:$C,$B46)&lt;&gt;"",SUMIFS(WORK_TARIFF_RULES!$G:$G,WORK_TARIFF_RULES!$A:$A,$D46,WORK_TARIFF_RULES!$C:$C,$B46),SUMIFS(WORK_MASTER!$C:$C,WORK_MASTER!$A:$A,$D46)),""),IF($C46="Material",IFERROR(IF(SUMIFS(MATERIAL_TARIFF_RULES!$G:$G,MATERIAL_TARIFF_RULES!$A:$A,$D46,MATERIAL_TARIFF_RULES!$C:$C,$B46)&lt;&gt;"",SUMIFS(MATERIAL_TARIFF_RULES!$G:$G,MATERIAL_TARIFF_RULES!$A:$A,$D46,MATERIAL_TARIFF_RULES!$C:$C,$B46),SUMIFS(MATERIAL_VARIANTS!$J:$J,MATERIAL_VARIANTS!$A:$A,$E46)),""),"")))</f>
        <v/>
      </c>
      <c r="G46" s="36"/>
      <c r="H46" s="36" t="str">
        <f>IF($C46="","",IF($C46="Work",IFERROR(SUMIFS(WORK_MASTER!$I:$I,WORK_MASTER!$A:$A,$D46),""),IF($C46="Material",IFERROR(SUMIFS(MATERIAL_VARIANTS!$I:$I,MATERIAL_VARIANTS!$A:$A,$E46),""),"")))</f>
        <v/>
      </c>
      <c r="I46" s="36" t="str">
        <f>IF($C46="","",IF($C46="Work",IFERROR(SUMIFS(WORK_FACTOR_APPLICABILITY!$O:$O,WORK_FACTOR_APPLICABILITY!$A:$A,$D46,WORK_FACTOR_APPLICABILITY!$N:$N,$A46),1),IF($C46="Material",IFERROR(ROUND(1+SUMIFS(MATERIAL_FACTOR_APPLICABILITY!$D:$D,MATERIAL_FACTOR_APPLICABILITY!$A:$A,SUMIFS(MATERIAL_MASTER!$O:$O,MATERIAL_MASTER!$A:$A,$D46),MATERIAL_FACTOR_APPLICABILITY!$B:$B,"GeometryComplexity")*(SUMIFS(OBJECT_CONDITIONS!$W:$W,OBJECT_CONDITIONS!$A:$A,$A46)-1),3),1),"")))</f>
        <v/>
      </c>
      <c r="J46" s="36" t="str">
        <f>IF($C46="","",IF($C46="Work",IFERROR(IF(SUMIFS(WORK_TARIFF_RULES!$F:$F,WORK_TARIFF_RULES!$A:$A,$D46,WORK_TARIFF_RULES!$C:$C,$B46)&lt;&gt;"",SUMIFS(WORK_TARIFF_RULES!$F:$F,WORK_TARIFF_RULES!$A:$A,$D46,WORK_TARIFF_RULES!$C:$C,$B46),SUMIFS(TARIFF_PROFILES!$D:$D,TARIFF_PROFILES!$A:$A,$B46)),1),IF($C46="Material",IFERROR(IF(SUMIFS(MATERIAL_TARIFF_RULES!$E:$E,MATERIAL_TARIFF_RULES!$A:$A,$D46,MATERIAL_TARIFF_RULES!$C:$C,$B46)&lt;&gt;"",SUMIFS(MATERIAL_TARIFF_RULES!$E:$E,MATERIAL_TARIFF_RULES!$A:$A,$D46,MATERIAL_TARIFF_RULES!$C:$C,$B46),SUMIFS(TARIFF_PROFILES!$E:$E,TARIFF_PROFILES!$A:$A,$B46)),1),"")))</f>
        <v/>
      </c>
      <c r="K46" s="36" t="str">
        <f>IF($C46="","",IF($C46="Material",IFERROR(SUMIFS(MATERIAL_MASTER!$P:$P,MATERIAL_MASTER!$A:$A,$D46)*IF(SUMIFS(MATERIAL_TARIFF_RULES!$F:$F,MATERIAL_TARIFF_RULES!$A:$A,$D46,MATERIAL_TARIFF_RULES!$C:$C,$B46)="",SUMIFS(TARIFF_PROFILES!$H:$H,TARIFF_PROFILES!$A:$A,$B46),SUMIFS(MATERIAL_TARIFF_RULES!$F:$F,MATERIAL_TARIFF_RULES!$A:$A,$D46,MATERIAL_TARIFF_RULES!$C:$C,$B46)),1),1))</f>
        <v/>
      </c>
      <c r="L46" s="36" t="str">
        <f t="shared" si="1"/>
        <v/>
      </c>
      <c r="M46" s="36" t="str">
        <f t="shared" si="2"/>
        <v/>
      </c>
      <c r="N46" s="36" t="str">
        <f t="shared" si="3"/>
        <v/>
      </c>
      <c r="O46" s="11" t="str">
        <f t="shared" si="4"/>
        <v/>
      </c>
    </row>
    <row r="47" ht="14.25" customHeight="1">
      <c r="A47" s="11"/>
      <c r="B47" s="11"/>
      <c r="C47" s="11"/>
      <c r="D47" s="11"/>
      <c r="E47" s="11"/>
      <c r="F47" s="11" t="str">
        <f>IF($C47="","",IF($C47="Work",IFERROR(IF(SUMIFS(WORK_TARIFF_RULES!$G:$G,WORK_TARIFF_RULES!$A:$A,$D47,WORK_TARIFF_RULES!$C:$C,$B47)&lt;&gt;"",SUMIFS(WORK_TARIFF_RULES!$G:$G,WORK_TARIFF_RULES!$A:$A,$D47,WORK_TARIFF_RULES!$C:$C,$B47),SUMIFS(WORK_MASTER!$C:$C,WORK_MASTER!$A:$A,$D47)),""),IF($C47="Material",IFERROR(IF(SUMIFS(MATERIAL_TARIFF_RULES!$G:$G,MATERIAL_TARIFF_RULES!$A:$A,$D47,MATERIAL_TARIFF_RULES!$C:$C,$B47)&lt;&gt;"",SUMIFS(MATERIAL_TARIFF_RULES!$G:$G,MATERIAL_TARIFF_RULES!$A:$A,$D47,MATERIAL_TARIFF_RULES!$C:$C,$B47),SUMIFS(MATERIAL_VARIANTS!$J:$J,MATERIAL_VARIANTS!$A:$A,$E47)),""),"")))</f>
        <v/>
      </c>
      <c r="G47" s="36"/>
      <c r="H47" s="36" t="str">
        <f>IF($C47="","",IF($C47="Work",IFERROR(SUMIFS(WORK_MASTER!$I:$I,WORK_MASTER!$A:$A,$D47),""),IF($C47="Material",IFERROR(SUMIFS(MATERIAL_VARIANTS!$I:$I,MATERIAL_VARIANTS!$A:$A,$E47),""),"")))</f>
        <v/>
      </c>
      <c r="I47" s="36" t="str">
        <f>IF($C47="","",IF($C47="Work",IFERROR(SUMIFS(WORK_FACTOR_APPLICABILITY!$O:$O,WORK_FACTOR_APPLICABILITY!$A:$A,$D47,WORK_FACTOR_APPLICABILITY!$N:$N,$A47),1),IF($C47="Material",IFERROR(ROUND(1+SUMIFS(MATERIAL_FACTOR_APPLICABILITY!$D:$D,MATERIAL_FACTOR_APPLICABILITY!$A:$A,SUMIFS(MATERIAL_MASTER!$O:$O,MATERIAL_MASTER!$A:$A,$D47),MATERIAL_FACTOR_APPLICABILITY!$B:$B,"GeometryComplexity")*(SUMIFS(OBJECT_CONDITIONS!$W:$W,OBJECT_CONDITIONS!$A:$A,$A47)-1),3),1),"")))</f>
        <v/>
      </c>
      <c r="J47" s="36" t="str">
        <f>IF($C47="","",IF($C47="Work",IFERROR(IF(SUMIFS(WORK_TARIFF_RULES!$F:$F,WORK_TARIFF_RULES!$A:$A,$D47,WORK_TARIFF_RULES!$C:$C,$B47)&lt;&gt;"",SUMIFS(WORK_TARIFF_RULES!$F:$F,WORK_TARIFF_RULES!$A:$A,$D47,WORK_TARIFF_RULES!$C:$C,$B47),SUMIFS(TARIFF_PROFILES!$D:$D,TARIFF_PROFILES!$A:$A,$B47)),1),IF($C47="Material",IFERROR(IF(SUMIFS(MATERIAL_TARIFF_RULES!$E:$E,MATERIAL_TARIFF_RULES!$A:$A,$D47,MATERIAL_TARIFF_RULES!$C:$C,$B47)&lt;&gt;"",SUMIFS(MATERIAL_TARIFF_RULES!$E:$E,MATERIAL_TARIFF_RULES!$A:$A,$D47,MATERIAL_TARIFF_RULES!$C:$C,$B47),SUMIFS(TARIFF_PROFILES!$E:$E,TARIFF_PROFILES!$A:$A,$B47)),1),"")))</f>
        <v/>
      </c>
      <c r="K47" s="36" t="str">
        <f>IF($C47="","",IF($C47="Material",IFERROR(SUMIFS(MATERIAL_MASTER!$P:$P,MATERIAL_MASTER!$A:$A,$D47)*IF(SUMIFS(MATERIAL_TARIFF_RULES!$F:$F,MATERIAL_TARIFF_RULES!$A:$A,$D47,MATERIAL_TARIFF_RULES!$C:$C,$B47)="",SUMIFS(TARIFF_PROFILES!$H:$H,TARIFF_PROFILES!$A:$A,$B47),SUMIFS(MATERIAL_TARIFF_RULES!$F:$F,MATERIAL_TARIFF_RULES!$A:$A,$D47,MATERIAL_TARIFF_RULES!$C:$C,$B47)),1),1))</f>
        <v/>
      </c>
      <c r="L47" s="36" t="str">
        <f t="shared" si="1"/>
        <v/>
      </c>
      <c r="M47" s="36" t="str">
        <f t="shared" si="2"/>
        <v/>
      </c>
      <c r="N47" s="36" t="str">
        <f t="shared" si="3"/>
        <v/>
      </c>
      <c r="O47" s="11" t="str">
        <f t="shared" si="4"/>
        <v/>
      </c>
    </row>
    <row r="48" ht="14.25" customHeight="1">
      <c r="A48" s="11"/>
      <c r="B48" s="11"/>
      <c r="C48" s="11"/>
      <c r="D48" s="11"/>
      <c r="E48" s="11"/>
      <c r="F48" s="11" t="str">
        <f>IF($C48="","",IF($C48="Work",IFERROR(IF(SUMIFS(WORK_TARIFF_RULES!$G:$G,WORK_TARIFF_RULES!$A:$A,$D48,WORK_TARIFF_RULES!$C:$C,$B48)&lt;&gt;"",SUMIFS(WORK_TARIFF_RULES!$G:$G,WORK_TARIFF_RULES!$A:$A,$D48,WORK_TARIFF_RULES!$C:$C,$B48),SUMIFS(WORK_MASTER!$C:$C,WORK_MASTER!$A:$A,$D48)),""),IF($C48="Material",IFERROR(IF(SUMIFS(MATERIAL_TARIFF_RULES!$G:$G,MATERIAL_TARIFF_RULES!$A:$A,$D48,MATERIAL_TARIFF_RULES!$C:$C,$B48)&lt;&gt;"",SUMIFS(MATERIAL_TARIFF_RULES!$G:$G,MATERIAL_TARIFF_RULES!$A:$A,$D48,MATERIAL_TARIFF_RULES!$C:$C,$B48),SUMIFS(MATERIAL_VARIANTS!$J:$J,MATERIAL_VARIANTS!$A:$A,$E48)),""),"")))</f>
        <v/>
      </c>
      <c r="G48" s="36"/>
      <c r="H48" s="36" t="str">
        <f>IF($C48="","",IF($C48="Work",IFERROR(SUMIFS(WORK_MASTER!$I:$I,WORK_MASTER!$A:$A,$D48),""),IF($C48="Material",IFERROR(SUMIFS(MATERIAL_VARIANTS!$I:$I,MATERIAL_VARIANTS!$A:$A,$E48),""),"")))</f>
        <v/>
      </c>
      <c r="I48" s="36" t="str">
        <f>IF($C48="","",IF($C48="Work",IFERROR(SUMIFS(WORK_FACTOR_APPLICABILITY!$O:$O,WORK_FACTOR_APPLICABILITY!$A:$A,$D48,WORK_FACTOR_APPLICABILITY!$N:$N,$A48),1),IF($C48="Material",IFERROR(ROUND(1+SUMIFS(MATERIAL_FACTOR_APPLICABILITY!$D:$D,MATERIAL_FACTOR_APPLICABILITY!$A:$A,SUMIFS(MATERIAL_MASTER!$O:$O,MATERIAL_MASTER!$A:$A,$D48),MATERIAL_FACTOR_APPLICABILITY!$B:$B,"GeometryComplexity")*(SUMIFS(OBJECT_CONDITIONS!$W:$W,OBJECT_CONDITIONS!$A:$A,$A48)-1),3),1),"")))</f>
        <v/>
      </c>
      <c r="J48" s="36" t="str">
        <f>IF($C48="","",IF($C48="Work",IFERROR(IF(SUMIFS(WORK_TARIFF_RULES!$F:$F,WORK_TARIFF_RULES!$A:$A,$D48,WORK_TARIFF_RULES!$C:$C,$B48)&lt;&gt;"",SUMIFS(WORK_TARIFF_RULES!$F:$F,WORK_TARIFF_RULES!$A:$A,$D48,WORK_TARIFF_RULES!$C:$C,$B48),SUMIFS(TARIFF_PROFILES!$D:$D,TARIFF_PROFILES!$A:$A,$B48)),1),IF($C48="Material",IFERROR(IF(SUMIFS(MATERIAL_TARIFF_RULES!$E:$E,MATERIAL_TARIFF_RULES!$A:$A,$D48,MATERIAL_TARIFF_RULES!$C:$C,$B48)&lt;&gt;"",SUMIFS(MATERIAL_TARIFF_RULES!$E:$E,MATERIAL_TARIFF_RULES!$A:$A,$D48,MATERIAL_TARIFF_RULES!$C:$C,$B48),SUMIFS(TARIFF_PROFILES!$E:$E,TARIFF_PROFILES!$A:$A,$B48)),1),"")))</f>
        <v/>
      </c>
      <c r="K48" s="36" t="str">
        <f>IF($C48="","",IF($C48="Material",IFERROR(SUMIFS(MATERIAL_MASTER!$P:$P,MATERIAL_MASTER!$A:$A,$D48)*IF(SUMIFS(MATERIAL_TARIFF_RULES!$F:$F,MATERIAL_TARIFF_RULES!$A:$A,$D48,MATERIAL_TARIFF_RULES!$C:$C,$B48)="",SUMIFS(TARIFF_PROFILES!$H:$H,TARIFF_PROFILES!$A:$A,$B48),SUMIFS(MATERIAL_TARIFF_RULES!$F:$F,MATERIAL_TARIFF_RULES!$A:$A,$D48,MATERIAL_TARIFF_RULES!$C:$C,$B48)),1),1))</f>
        <v/>
      </c>
      <c r="L48" s="36" t="str">
        <f t="shared" si="1"/>
        <v/>
      </c>
      <c r="M48" s="36" t="str">
        <f t="shared" si="2"/>
        <v/>
      </c>
      <c r="N48" s="36" t="str">
        <f t="shared" si="3"/>
        <v/>
      </c>
      <c r="O48" s="11" t="str">
        <f t="shared" si="4"/>
        <v/>
      </c>
    </row>
    <row r="49" ht="14.25" customHeight="1">
      <c r="A49" s="11"/>
      <c r="B49" s="11"/>
      <c r="C49" s="11"/>
      <c r="D49" s="11"/>
      <c r="E49" s="11"/>
      <c r="F49" s="11" t="str">
        <f>IF($C49="","",IF($C49="Work",IFERROR(IF(SUMIFS(WORK_TARIFF_RULES!$G:$G,WORK_TARIFF_RULES!$A:$A,$D49,WORK_TARIFF_RULES!$C:$C,$B49)&lt;&gt;"",SUMIFS(WORK_TARIFF_RULES!$G:$G,WORK_TARIFF_RULES!$A:$A,$D49,WORK_TARIFF_RULES!$C:$C,$B49),SUMIFS(WORK_MASTER!$C:$C,WORK_MASTER!$A:$A,$D49)),""),IF($C49="Material",IFERROR(IF(SUMIFS(MATERIAL_TARIFF_RULES!$G:$G,MATERIAL_TARIFF_RULES!$A:$A,$D49,MATERIAL_TARIFF_RULES!$C:$C,$B49)&lt;&gt;"",SUMIFS(MATERIAL_TARIFF_RULES!$G:$G,MATERIAL_TARIFF_RULES!$A:$A,$D49,MATERIAL_TARIFF_RULES!$C:$C,$B49),SUMIFS(MATERIAL_VARIANTS!$J:$J,MATERIAL_VARIANTS!$A:$A,$E49)),""),"")))</f>
        <v/>
      </c>
      <c r="G49" s="36"/>
      <c r="H49" s="36" t="str">
        <f>IF($C49="","",IF($C49="Work",IFERROR(SUMIFS(WORK_MASTER!$I:$I,WORK_MASTER!$A:$A,$D49),""),IF($C49="Material",IFERROR(SUMIFS(MATERIAL_VARIANTS!$I:$I,MATERIAL_VARIANTS!$A:$A,$E49),""),"")))</f>
        <v/>
      </c>
      <c r="I49" s="36" t="str">
        <f>IF($C49="","",IF($C49="Work",IFERROR(SUMIFS(WORK_FACTOR_APPLICABILITY!$O:$O,WORK_FACTOR_APPLICABILITY!$A:$A,$D49,WORK_FACTOR_APPLICABILITY!$N:$N,$A49),1),IF($C49="Material",IFERROR(ROUND(1+SUMIFS(MATERIAL_FACTOR_APPLICABILITY!$D:$D,MATERIAL_FACTOR_APPLICABILITY!$A:$A,SUMIFS(MATERIAL_MASTER!$O:$O,MATERIAL_MASTER!$A:$A,$D49),MATERIAL_FACTOR_APPLICABILITY!$B:$B,"GeometryComplexity")*(SUMIFS(OBJECT_CONDITIONS!$W:$W,OBJECT_CONDITIONS!$A:$A,$A49)-1),3),1),"")))</f>
        <v/>
      </c>
      <c r="J49" s="36" t="str">
        <f>IF($C49="","",IF($C49="Work",IFERROR(IF(SUMIFS(WORK_TARIFF_RULES!$F:$F,WORK_TARIFF_RULES!$A:$A,$D49,WORK_TARIFF_RULES!$C:$C,$B49)&lt;&gt;"",SUMIFS(WORK_TARIFF_RULES!$F:$F,WORK_TARIFF_RULES!$A:$A,$D49,WORK_TARIFF_RULES!$C:$C,$B49),SUMIFS(TARIFF_PROFILES!$D:$D,TARIFF_PROFILES!$A:$A,$B49)),1),IF($C49="Material",IFERROR(IF(SUMIFS(MATERIAL_TARIFF_RULES!$E:$E,MATERIAL_TARIFF_RULES!$A:$A,$D49,MATERIAL_TARIFF_RULES!$C:$C,$B49)&lt;&gt;"",SUMIFS(MATERIAL_TARIFF_RULES!$E:$E,MATERIAL_TARIFF_RULES!$A:$A,$D49,MATERIAL_TARIFF_RULES!$C:$C,$B49),SUMIFS(TARIFF_PROFILES!$E:$E,TARIFF_PROFILES!$A:$A,$B49)),1),"")))</f>
        <v/>
      </c>
      <c r="K49" s="36" t="str">
        <f>IF($C49="","",IF($C49="Material",IFERROR(SUMIFS(MATERIAL_MASTER!$P:$P,MATERIAL_MASTER!$A:$A,$D49)*IF(SUMIFS(MATERIAL_TARIFF_RULES!$F:$F,MATERIAL_TARIFF_RULES!$A:$A,$D49,MATERIAL_TARIFF_RULES!$C:$C,$B49)="",SUMIFS(TARIFF_PROFILES!$H:$H,TARIFF_PROFILES!$A:$A,$B49),SUMIFS(MATERIAL_TARIFF_RULES!$F:$F,MATERIAL_TARIFF_RULES!$A:$A,$D49,MATERIAL_TARIFF_RULES!$C:$C,$B49)),1),1))</f>
        <v/>
      </c>
      <c r="L49" s="36" t="str">
        <f t="shared" si="1"/>
        <v/>
      </c>
      <c r="M49" s="36" t="str">
        <f t="shared" si="2"/>
        <v/>
      </c>
      <c r="N49" s="36" t="str">
        <f t="shared" si="3"/>
        <v/>
      </c>
      <c r="O49" s="11" t="str">
        <f t="shared" si="4"/>
        <v/>
      </c>
    </row>
    <row r="50" ht="14.25" customHeight="1">
      <c r="A50" s="11"/>
      <c r="B50" s="11"/>
      <c r="C50" s="11"/>
      <c r="D50" s="11"/>
      <c r="E50" s="11"/>
      <c r="F50" s="11" t="str">
        <f>IF($C50="","",IF($C50="Work",IFERROR(IF(SUMIFS(WORK_TARIFF_RULES!$G:$G,WORK_TARIFF_RULES!$A:$A,$D50,WORK_TARIFF_RULES!$C:$C,$B50)&lt;&gt;"",SUMIFS(WORK_TARIFF_RULES!$G:$G,WORK_TARIFF_RULES!$A:$A,$D50,WORK_TARIFF_RULES!$C:$C,$B50),SUMIFS(WORK_MASTER!$C:$C,WORK_MASTER!$A:$A,$D50)),""),IF($C50="Material",IFERROR(IF(SUMIFS(MATERIAL_TARIFF_RULES!$G:$G,MATERIAL_TARIFF_RULES!$A:$A,$D50,MATERIAL_TARIFF_RULES!$C:$C,$B50)&lt;&gt;"",SUMIFS(MATERIAL_TARIFF_RULES!$G:$G,MATERIAL_TARIFF_RULES!$A:$A,$D50,MATERIAL_TARIFF_RULES!$C:$C,$B50),SUMIFS(MATERIAL_VARIANTS!$J:$J,MATERIAL_VARIANTS!$A:$A,$E50)),""),"")))</f>
        <v/>
      </c>
      <c r="G50" s="36"/>
      <c r="H50" s="36" t="str">
        <f>IF($C50="","",IF($C50="Work",IFERROR(SUMIFS(WORK_MASTER!$I:$I,WORK_MASTER!$A:$A,$D50),""),IF($C50="Material",IFERROR(SUMIFS(MATERIAL_VARIANTS!$I:$I,MATERIAL_VARIANTS!$A:$A,$E50),""),"")))</f>
        <v/>
      </c>
      <c r="I50" s="36" t="str">
        <f>IF($C50="","",IF($C50="Work",IFERROR(SUMIFS(WORK_FACTOR_APPLICABILITY!$O:$O,WORK_FACTOR_APPLICABILITY!$A:$A,$D50,WORK_FACTOR_APPLICABILITY!$N:$N,$A50),1),IF($C50="Material",IFERROR(ROUND(1+SUMIFS(MATERIAL_FACTOR_APPLICABILITY!$D:$D,MATERIAL_FACTOR_APPLICABILITY!$A:$A,SUMIFS(MATERIAL_MASTER!$O:$O,MATERIAL_MASTER!$A:$A,$D50),MATERIAL_FACTOR_APPLICABILITY!$B:$B,"GeometryComplexity")*(SUMIFS(OBJECT_CONDITIONS!$W:$W,OBJECT_CONDITIONS!$A:$A,$A50)-1),3),1),"")))</f>
        <v/>
      </c>
      <c r="J50" s="36" t="str">
        <f>IF($C50="","",IF($C50="Work",IFERROR(IF(SUMIFS(WORK_TARIFF_RULES!$F:$F,WORK_TARIFF_RULES!$A:$A,$D50,WORK_TARIFF_RULES!$C:$C,$B50)&lt;&gt;"",SUMIFS(WORK_TARIFF_RULES!$F:$F,WORK_TARIFF_RULES!$A:$A,$D50,WORK_TARIFF_RULES!$C:$C,$B50),SUMIFS(TARIFF_PROFILES!$D:$D,TARIFF_PROFILES!$A:$A,$B50)),1),IF($C50="Material",IFERROR(IF(SUMIFS(MATERIAL_TARIFF_RULES!$E:$E,MATERIAL_TARIFF_RULES!$A:$A,$D50,MATERIAL_TARIFF_RULES!$C:$C,$B50)&lt;&gt;"",SUMIFS(MATERIAL_TARIFF_RULES!$E:$E,MATERIAL_TARIFF_RULES!$A:$A,$D50,MATERIAL_TARIFF_RULES!$C:$C,$B50),SUMIFS(TARIFF_PROFILES!$E:$E,TARIFF_PROFILES!$A:$A,$B50)),1),"")))</f>
        <v/>
      </c>
      <c r="K50" s="36" t="str">
        <f>IF($C50="","",IF($C50="Material",IFERROR(SUMIFS(MATERIAL_MASTER!$P:$P,MATERIAL_MASTER!$A:$A,$D50)*IF(SUMIFS(MATERIAL_TARIFF_RULES!$F:$F,MATERIAL_TARIFF_RULES!$A:$A,$D50,MATERIAL_TARIFF_RULES!$C:$C,$B50)="",SUMIFS(TARIFF_PROFILES!$H:$H,TARIFF_PROFILES!$A:$A,$B50),SUMIFS(MATERIAL_TARIFF_RULES!$F:$F,MATERIAL_TARIFF_RULES!$A:$A,$D50,MATERIAL_TARIFF_RULES!$C:$C,$B50)),1),1))</f>
        <v/>
      </c>
      <c r="L50" s="36" t="str">
        <f t="shared" si="1"/>
        <v/>
      </c>
      <c r="M50" s="36" t="str">
        <f t="shared" si="2"/>
        <v/>
      </c>
      <c r="N50" s="36" t="str">
        <f t="shared" si="3"/>
        <v/>
      </c>
      <c r="O50" s="11" t="str">
        <f t="shared" si="4"/>
        <v/>
      </c>
    </row>
    <row r="51" ht="14.25" customHeight="1">
      <c r="A51" s="11"/>
      <c r="B51" s="11"/>
      <c r="C51" s="11"/>
      <c r="D51" s="11"/>
      <c r="E51" s="11"/>
      <c r="F51" s="11" t="str">
        <f>IF($C51="","",IF($C51="Work",IFERROR(IF(SUMIFS(WORK_TARIFF_RULES!$G:$G,WORK_TARIFF_RULES!$A:$A,$D51,WORK_TARIFF_RULES!$C:$C,$B51)&lt;&gt;"",SUMIFS(WORK_TARIFF_RULES!$G:$G,WORK_TARIFF_RULES!$A:$A,$D51,WORK_TARIFF_RULES!$C:$C,$B51),SUMIFS(WORK_MASTER!$C:$C,WORK_MASTER!$A:$A,$D51)),""),IF($C51="Material",IFERROR(IF(SUMIFS(MATERIAL_TARIFF_RULES!$G:$G,MATERIAL_TARIFF_RULES!$A:$A,$D51,MATERIAL_TARIFF_RULES!$C:$C,$B51)&lt;&gt;"",SUMIFS(MATERIAL_TARIFF_RULES!$G:$G,MATERIAL_TARIFF_RULES!$A:$A,$D51,MATERIAL_TARIFF_RULES!$C:$C,$B51),SUMIFS(MATERIAL_VARIANTS!$J:$J,MATERIAL_VARIANTS!$A:$A,$E51)),""),"")))</f>
        <v/>
      </c>
      <c r="G51" s="36"/>
      <c r="H51" s="36" t="str">
        <f>IF($C51="","",IF($C51="Work",IFERROR(SUMIFS(WORK_MASTER!$I:$I,WORK_MASTER!$A:$A,$D51),""),IF($C51="Material",IFERROR(SUMIFS(MATERIAL_VARIANTS!$I:$I,MATERIAL_VARIANTS!$A:$A,$E51),""),"")))</f>
        <v/>
      </c>
      <c r="I51" s="36" t="str">
        <f>IF($C51="","",IF($C51="Work",IFERROR(SUMIFS(WORK_FACTOR_APPLICABILITY!$O:$O,WORK_FACTOR_APPLICABILITY!$A:$A,$D51,WORK_FACTOR_APPLICABILITY!$N:$N,$A51),1),IF($C51="Material",IFERROR(ROUND(1+SUMIFS(MATERIAL_FACTOR_APPLICABILITY!$D:$D,MATERIAL_FACTOR_APPLICABILITY!$A:$A,SUMIFS(MATERIAL_MASTER!$O:$O,MATERIAL_MASTER!$A:$A,$D51),MATERIAL_FACTOR_APPLICABILITY!$B:$B,"GeometryComplexity")*(SUMIFS(OBJECT_CONDITIONS!$W:$W,OBJECT_CONDITIONS!$A:$A,$A51)-1),3),1),"")))</f>
        <v/>
      </c>
      <c r="J51" s="36" t="str">
        <f>IF($C51="","",IF($C51="Work",IFERROR(IF(SUMIFS(WORK_TARIFF_RULES!$F:$F,WORK_TARIFF_RULES!$A:$A,$D51,WORK_TARIFF_RULES!$C:$C,$B51)&lt;&gt;"",SUMIFS(WORK_TARIFF_RULES!$F:$F,WORK_TARIFF_RULES!$A:$A,$D51,WORK_TARIFF_RULES!$C:$C,$B51),SUMIFS(TARIFF_PROFILES!$D:$D,TARIFF_PROFILES!$A:$A,$B51)),1),IF($C51="Material",IFERROR(IF(SUMIFS(MATERIAL_TARIFF_RULES!$E:$E,MATERIAL_TARIFF_RULES!$A:$A,$D51,MATERIAL_TARIFF_RULES!$C:$C,$B51)&lt;&gt;"",SUMIFS(MATERIAL_TARIFF_RULES!$E:$E,MATERIAL_TARIFF_RULES!$A:$A,$D51,MATERIAL_TARIFF_RULES!$C:$C,$B51),SUMIFS(TARIFF_PROFILES!$E:$E,TARIFF_PROFILES!$A:$A,$B51)),1),"")))</f>
        <v/>
      </c>
      <c r="K51" s="36" t="str">
        <f>IF($C51="","",IF($C51="Material",IFERROR(SUMIFS(MATERIAL_MASTER!$P:$P,MATERIAL_MASTER!$A:$A,$D51)*IF(SUMIFS(MATERIAL_TARIFF_RULES!$F:$F,MATERIAL_TARIFF_RULES!$A:$A,$D51,MATERIAL_TARIFF_RULES!$C:$C,$B51)="",SUMIFS(TARIFF_PROFILES!$H:$H,TARIFF_PROFILES!$A:$A,$B51),SUMIFS(MATERIAL_TARIFF_RULES!$F:$F,MATERIAL_TARIFF_RULES!$A:$A,$D51,MATERIAL_TARIFF_RULES!$C:$C,$B51)),1),1))</f>
        <v/>
      </c>
      <c r="L51" s="36" t="str">
        <f t="shared" si="1"/>
        <v/>
      </c>
      <c r="M51" s="36" t="str">
        <f t="shared" si="2"/>
        <v/>
      </c>
      <c r="N51" s="36" t="str">
        <f t="shared" si="3"/>
        <v/>
      </c>
      <c r="O51" s="11" t="str">
        <f t="shared" si="4"/>
        <v/>
      </c>
    </row>
    <row r="52" ht="14.25" customHeight="1">
      <c r="A52" s="11"/>
      <c r="B52" s="11"/>
      <c r="C52" s="11"/>
      <c r="D52" s="11"/>
      <c r="E52" s="11"/>
      <c r="F52" s="11" t="str">
        <f>IF($C52="","",IF($C52="Work",IFERROR(IF(SUMIFS(WORK_TARIFF_RULES!$G:$G,WORK_TARIFF_RULES!$A:$A,$D52,WORK_TARIFF_RULES!$C:$C,$B52)&lt;&gt;"",SUMIFS(WORK_TARIFF_RULES!$G:$G,WORK_TARIFF_RULES!$A:$A,$D52,WORK_TARIFF_RULES!$C:$C,$B52),SUMIFS(WORK_MASTER!$C:$C,WORK_MASTER!$A:$A,$D52)),""),IF($C52="Material",IFERROR(IF(SUMIFS(MATERIAL_TARIFF_RULES!$G:$G,MATERIAL_TARIFF_RULES!$A:$A,$D52,MATERIAL_TARIFF_RULES!$C:$C,$B52)&lt;&gt;"",SUMIFS(MATERIAL_TARIFF_RULES!$G:$G,MATERIAL_TARIFF_RULES!$A:$A,$D52,MATERIAL_TARIFF_RULES!$C:$C,$B52),SUMIFS(MATERIAL_VARIANTS!$J:$J,MATERIAL_VARIANTS!$A:$A,$E52)),""),"")))</f>
        <v/>
      </c>
      <c r="G52" s="36"/>
      <c r="H52" s="36" t="str">
        <f>IF($C52="","",IF($C52="Work",IFERROR(SUMIFS(WORK_MASTER!$I:$I,WORK_MASTER!$A:$A,$D52),""),IF($C52="Material",IFERROR(SUMIFS(MATERIAL_VARIANTS!$I:$I,MATERIAL_VARIANTS!$A:$A,$E52),""),"")))</f>
        <v/>
      </c>
      <c r="I52" s="36" t="str">
        <f>IF($C52="","",IF($C52="Work",IFERROR(SUMIFS(WORK_FACTOR_APPLICABILITY!$O:$O,WORK_FACTOR_APPLICABILITY!$A:$A,$D52,WORK_FACTOR_APPLICABILITY!$N:$N,$A52),1),IF($C52="Material",IFERROR(ROUND(1+SUMIFS(MATERIAL_FACTOR_APPLICABILITY!$D:$D,MATERIAL_FACTOR_APPLICABILITY!$A:$A,SUMIFS(MATERIAL_MASTER!$O:$O,MATERIAL_MASTER!$A:$A,$D52),MATERIAL_FACTOR_APPLICABILITY!$B:$B,"GeometryComplexity")*(SUMIFS(OBJECT_CONDITIONS!$W:$W,OBJECT_CONDITIONS!$A:$A,$A52)-1),3),1),"")))</f>
        <v/>
      </c>
      <c r="J52" s="36" t="str">
        <f>IF($C52="","",IF($C52="Work",IFERROR(IF(SUMIFS(WORK_TARIFF_RULES!$F:$F,WORK_TARIFF_RULES!$A:$A,$D52,WORK_TARIFF_RULES!$C:$C,$B52)&lt;&gt;"",SUMIFS(WORK_TARIFF_RULES!$F:$F,WORK_TARIFF_RULES!$A:$A,$D52,WORK_TARIFF_RULES!$C:$C,$B52),SUMIFS(TARIFF_PROFILES!$D:$D,TARIFF_PROFILES!$A:$A,$B52)),1),IF($C52="Material",IFERROR(IF(SUMIFS(MATERIAL_TARIFF_RULES!$E:$E,MATERIAL_TARIFF_RULES!$A:$A,$D52,MATERIAL_TARIFF_RULES!$C:$C,$B52)&lt;&gt;"",SUMIFS(MATERIAL_TARIFF_RULES!$E:$E,MATERIAL_TARIFF_RULES!$A:$A,$D52,MATERIAL_TARIFF_RULES!$C:$C,$B52),SUMIFS(TARIFF_PROFILES!$E:$E,TARIFF_PROFILES!$A:$A,$B52)),1),"")))</f>
        <v/>
      </c>
      <c r="K52" s="36" t="str">
        <f>IF($C52="","",IF($C52="Material",IFERROR(SUMIFS(MATERIAL_MASTER!$P:$P,MATERIAL_MASTER!$A:$A,$D52)*IF(SUMIFS(MATERIAL_TARIFF_RULES!$F:$F,MATERIAL_TARIFF_RULES!$A:$A,$D52,MATERIAL_TARIFF_RULES!$C:$C,$B52)="",SUMIFS(TARIFF_PROFILES!$H:$H,TARIFF_PROFILES!$A:$A,$B52),SUMIFS(MATERIAL_TARIFF_RULES!$F:$F,MATERIAL_TARIFF_RULES!$A:$A,$D52,MATERIAL_TARIFF_RULES!$C:$C,$B52)),1),1))</f>
        <v/>
      </c>
      <c r="L52" s="36" t="str">
        <f t="shared" si="1"/>
        <v/>
      </c>
      <c r="M52" s="36" t="str">
        <f t="shared" si="2"/>
        <v/>
      </c>
      <c r="N52" s="36" t="str">
        <f t="shared" si="3"/>
        <v/>
      </c>
      <c r="O52" s="11" t="str">
        <f t="shared" si="4"/>
        <v/>
      </c>
    </row>
    <row r="53" ht="14.25" customHeight="1">
      <c r="A53" s="11"/>
      <c r="B53" s="11"/>
      <c r="C53" s="11"/>
      <c r="D53" s="11"/>
      <c r="E53" s="11"/>
      <c r="F53" s="11" t="str">
        <f>IF($C53="","",IF($C53="Work",IFERROR(IF(SUMIFS(WORK_TARIFF_RULES!$G:$G,WORK_TARIFF_RULES!$A:$A,$D53,WORK_TARIFF_RULES!$C:$C,$B53)&lt;&gt;"",SUMIFS(WORK_TARIFF_RULES!$G:$G,WORK_TARIFF_RULES!$A:$A,$D53,WORK_TARIFF_RULES!$C:$C,$B53),SUMIFS(WORK_MASTER!$C:$C,WORK_MASTER!$A:$A,$D53)),""),IF($C53="Material",IFERROR(IF(SUMIFS(MATERIAL_TARIFF_RULES!$G:$G,MATERIAL_TARIFF_RULES!$A:$A,$D53,MATERIAL_TARIFF_RULES!$C:$C,$B53)&lt;&gt;"",SUMIFS(MATERIAL_TARIFF_RULES!$G:$G,MATERIAL_TARIFF_RULES!$A:$A,$D53,MATERIAL_TARIFF_RULES!$C:$C,$B53),SUMIFS(MATERIAL_VARIANTS!$J:$J,MATERIAL_VARIANTS!$A:$A,$E53)),""),"")))</f>
        <v/>
      </c>
      <c r="G53" s="36"/>
      <c r="H53" s="36" t="str">
        <f>IF($C53="","",IF($C53="Work",IFERROR(SUMIFS(WORK_MASTER!$I:$I,WORK_MASTER!$A:$A,$D53),""),IF($C53="Material",IFERROR(SUMIFS(MATERIAL_VARIANTS!$I:$I,MATERIAL_VARIANTS!$A:$A,$E53),""),"")))</f>
        <v/>
      </c>
      <c r="I53" s="36" t="str">
        <f>IF($C53="","",IF($C53="Work",IFERROR(SUMIFS(WORK_FACTOR_APPLICABILITY!$O:$O,WORK_FACTOR_APPLICABILITY!$A:$A,$D53,WORK_FACTOR_APPLICABILITY!$N:$N,$A53),1),IF($C53="Material",IFERROR(ROUND(1+SUMIFS(MATERIAL_FACTOR_APPLICABILITY!$D:$D,MATERIAL_FACTOR_APPLICABILITY!$A:$A,SUMIFS(MATERIAL_MASTER!$O:$O,MATERIAL_MASTER!$A:$A,$D53),MATERIAL_FACTOR_APPLICABILITY!$B:$B,"GeometryComplexity")*(SUMIFS(OBJECT_CONDITIONS!$W:$W,OBJECT_CONDITIONS!$A:$A,$A53)-1),3),1),"")))</f>
        <v/>
      </c>
      <c r="J53" s="36" t="str">
        <f>IF($C53="","",IF($C53="Work",IFERROR(IF(SUMIFS(WORK_TARIFF_RULES!$F:$F,WORK_TARIFF_RULES!$A:$A,$D53,WORK_TARIFF_RULES!$C:$C,$B53)&lt;&gt;"",SUMIFS(WORK_TARIFF_RULES!$F:$F,WORK_TARIFF_RULES!$A:$A,$D53,WORK_TARIFF_RULES!$C:$C,$B53),SUMIFS(TARIFF_PROFILES!$D:$D,TARIFF_PROFILES!$A:$A,$B53)),1),IF($C53="Material",IFERROR(IF(SUMIFS(MATERIAL_TARIFF_RULES!$E:$E,MATERIAL_TARIFF_RULES!$A:$A,$D53,MATERIAL_TARIFF_RULES!$C:$C,$B53)&lt;&gt;"",SUMIFS(MATERIAL_TARIFF_RULES!$E:$E,MATERIAL_TARIFF_RULES!$A:$A,$D53,MATERIAL_TARIFF_RULES!$C:$C,$B53),SUMIFS(TARIFF_PROFILES!$E:$E,TARIFF_PROFILES!$A:$A,$B53)),1),"")))</f>
        <v/>
      </c>
      <c r="K53" s="36" t="str">
        <f>IF($C53="","",IF($C53="Material",IFERROR(SUMIFS(MATERIAL_MASTER!$P:$P,MATERIAL_MASTER!$A:$A,$D53)*IF(SUMIFS(MATERIAL_TARIFF_RULES!$F:$F,MATERIAL_TARIFF_RULES!$A:$A,$D53,MATERIAL_TARIFF_RULES!$C:$C,$B53)="",SUMIFS(TARIFF_PROFILES!$H:$H,TARIFF_PROFILES!$A:$A,$B53),SUMIFS(MATERIAL_TARIFF_RULES!$F:$F,MATERIAL_TARIFF_RULES!$A:$A,$D53,MATERIAL_TARIFF_RULES!$C:$C,$B53)),1),1))</f>
        <v/>
      </c>
      <c r="L53" s="36" t="str">
        <f t="shared" si="1"/>
        <v/>
      </c>
      <c r="M53" s="36" t="str">
        <f t="shared" si="2"/>
        <v/>
      </c>
      <c r="N53" s="36" t="str">
        <f t="shared" si="3"/>
        <v/>
      </c>
      <c r="O53" s="11" t="str">
        <f t="shared" si="4"/>
        <v/>
      </c>
    </row>
    <row r="54" ht="14.25" customHeight="1">
      <c r="A54" s="11"/>
      <c r="B54" s="11"/>
      <c r="C54" s="11"/>
      <c r="D54" s="11"/>
      <c r="E54" s="11"/>
      <c r="F54" s="11" t="str">
        <f>IF($C54="","",IF($C54="Work",IFERROR(IF(SUMIFS(WORK_TARIFF_RULES!$G:$G,WORK_TARIFF_RULES!$A:$A,$D54,WORK_TARIFF_RULES!$C:$C,$B54)&lt;&gt;"",SUMIFS(WORK_TARIFF_RULES!$G:$G,WORK_TARIFF_RULES!$A:$A,$D54,WORK_TARIFF_RULES!$C:$C,$B54),SUMIFS(WORK_MASTER!$C:$C,WORK_MASTER!$A:$A,$D54)),""),IF($C54="Material",IFERROR(IF(SUMIFS(MATERIAL_TARIFF_RULES!$G:$G,MATERIAL_TARIFF_RULES!$A:$A,$D54,MATERIAL_TARIFF_RULES!$C:$C,$B54)&lt;&gt;"",SUMIFS(MATERIAL_TARIFF_RULES!$G:$G,MATERIAL_TARIFF_RULES!$A:$A,$D54,MATERIAL_TARIFF_RULES!$C:$C,$B54),SUMIFS(MATERIAL_VARIANTS!$J:$J,MATERIAL_VARIANTS!$A:$A,$E54)),""),"")))</f>
        <v/>
      </c>
      <c r="G54" s="36"/>
      <c r="H54" s="36" t="str">
        <f>IF($C54="","",IF($C54="Work",IFERROR(SUMIFS(WORK_MASTER!$I:$I,WORK_MASTER!$A:$A,$D54),""),IF($C54="Material",IFERROR(SUMIFS(MATERIAL_VARIANTS!$I:$I,MATERIAL_VARIANTS!$A:$A,$E54),""),"")))</f>
        <v/>
      </c>
      <c r="I54" s="36" t="str">
        <f>IF($C54="","",IF($C54="Work",IFERROR(SUMIFS(WORK_FACTOR_APPLICABILITY!$O:$O,WORK_FACTOR_APPLICABILITY!$A:$A,$D54,WORK_FACTOR_APPLICABILITY!$N:$N,$A54),1),IF($C54="Material",IFERROR(ROUND(1+SUMIFS(MATERIAL_FACTOR_APPLICABILITY!$D:$D,MATERIAL_FACTOR_APPLICABILITY!$A:$A,SUMIFS(MATERIAL_MASTER!$O:$O,MATERIAL_MASTER!$A:$A,$D54),MATERIAL_FACTOR_APPLICABILITY!$B:$B,"GeometryComplexity")*(SUMIFS(OBJECT_CONDITIONS!$W:$W,OBJECT_CONDITIONS!$A:$A,$A54)-1),3),1),"")))</f>
        <v/>
      </c>
      <c r="J54" s="36" t="str">
        <f>IF($C54="","",IF($C54="Work",IFERROR(IF(SUMIFS(WORK_TARIFF_RULES!$F:$F,WORK_TARIFF_RULES!$A:$A,$D54,WORK_TARIFF_RULES!$C:$C,$B54)&lt;&gt;"",SUMIFS(WORK_TARIFF_RULES!$F:$F,WORK_TARIFF_RULES!$A:$A,$D54,WORK_TARIFF_RULES!$C:$C,$B54),SUMIFS(TARIFF_PROFILES!$D:$D,TARIFF_PROFILES!$A:$A,$B54)),1),IF($C54="Material",IFERROR(IF(SUMIFS(MATERIAL_TARIFF_RULES!$E:$E,MATERIAL_TARIFF_RULES!$A:$A,$D54,MATERIAL_TARIFF_RULES!$C:$C,$B54)&lt;&gt;"",SUMIFS(MATERIAL_TARIFF_RULES!$E:$E,MATERIAL_TARIFF_RULES!$A:$A,$D54,MATERIAL_TARIFF_RULES!$C:$C,$B54),SUMIFS(TARIFF_PROFILES!$E:$E,TARIFF_PROFILES!$A:$A,$B54)),1),"")))</f>
        <v/>
      </c>
      <c r="K54" s="36" t="str">
        <f>IF($C54="","",IF($C54="Material",IFERROR(SUMIFS(MATERIAL_MASTER!$P:$P,MATERIAL_MASTER!$A:$A,$D54)*IF(SUMIFS(MATERIAL_TARIFF_RULES!$F:$F,MATERIAL_TARIFF_RULES!$A:$A,$D54,MATERIAL_TARIFF_RULES!$C:$C,$B54)="",SUMIFS(TARIFF_PROFILES!$H:$H,TARIFF_PROFILES!$A:$A,$B54),SUMIFS(MATERIAL_TARIFF_RULES!$F:$F,MATERIAL_TARIFF_RULES!$A:$A,$D54,MATERIAL_TARIFF_RULES!$C:$C,$B54)),1),1))</f>
        <v/>
      </c>
      <c r="L54" s="36" t="str">
        <f t="shared" si="1"/>
        <v/>
      </c>
      <c r="M54" s="36" t="str">
        <f t="shared" si="2"/>
        <v/>
      </c>
      <c r="N54" s="36" t="str">
        <f t="shared" si="3"/>
        <v/>
      </c>
      <c r="O54" s="11" t="str">
        <f t="shared" si="4"/>
        <v/>
      </c>
    </row>
    <row r="55" ht="14.25" customHeight="1">
      <c r="A55" s="11"/>
      <c r="B55" s="11"/>
      <c r="C55" s="11"/>
      <c r="D55" s="11"/>
      <c r="E55" s="11"/>
      <c r="F55" s="11" t="str">
        <f>IF($C55="","",IF($C55="Work",IFERROR(IF(SUMIFS(WORK_TARIFF_RULES!$G:$G,WORK_TARIFF_RULES!$A:$A,$D55,WORK_TARIFF_RULES!$C:$C,$B55)&lt;&gt;"",SUMIFS(WORK_TARIFF_RULES!$G:$G,WORK_TARIFF_RULES!$A:$A,$D55,WORK_TARIFF_RULES!$C:$C,$B55),SUMIFS(WORK_MASTER!$C:$C,WORK_MASTER!$A:$A,$D55)),""),IF($C55="Material",IFERROR(IF(SUMIFS(MATERIAL_TARIFF_RULES!$G:$G,MATERIAL_TARIFF_RULES!$A:$A,$D55,MATERIAL_TARIFF_RULES!$C:$C,$B55)&lt;&gt;"",SUMIFS(MATERIAL_TARIFF_RULES!$G:$G,MATERIAL_TARIFF_RULES!$A:$A,$D55,MATERIAL_TARIFF_RULES!$C:$C,$B55),SUMIFS(MATERIAL_VARIANTS!$J:$J,MATERIAL_VARIANTS!$A:$A,$E55)),""),"")))</f>
        <v/>
      </c>
      <c r="G55" s="36"/>
      <c r="H55" s="36" t="str">
        <f>IF($C55="","",IF($C55="Work",IFERROR(SUMIFS(WORK_MASTER!$I:$I,WORK_MASTER!$A:$A,$D55),""),IF($C55="Material",IFERROR(SUMIFS(MATERIAL_VARIANTS!$I:$I,MATERIAL_VARIANTS!$A:$A,$E55),""),"")))</f>
        <v/>
      </c>
      <c r="I55" s="36" t="str">
        <f>IF($C55="","",IF($C55="Work",IFERROR(SUMIFS(WORK_FACTOR_APPLICABILITY!$O:$O,WORK_FACTOR_APPLICABILITY!$A:$A,$D55,WORK_FACTOR_APPLICABILITY!$N:$N,$A55),1),IF($C55="Material",IFERROR(ROUND(1+SUMIFS(MATERIAL_FACTOR_APPLICABILITY!$D:$D,MATERIAL_FACTOR_APPLICABILITY!$A:$A,SUMIFS(MATERIAL_MASTER!$O:$O,MATERIAL_MASTER!$A:$A,$D55),MATERIAL_FACTOR_APPLICABILITY!$B:$B,"GeometryComplexity")*(SUMIFS(OBJECT_CONDITIONS!$W:$W,OBJECT_CONDITIONS!$A:$A,$A55)-1),3),1),"")))</f>
        <v/>
      </c>
      <c r="J55" s="36" t="str">
        <f>IF($C55="","",IF($C55="Work",IFERROR(IF(SUMIFS(WORK_TARIFF_RULES!$F:$F,WORK_TARIFF_RULES!$A:$A,$D55,WORK_TARIFF_RULES!$C:$C,$B55)&lt;&gt;"",SUMIFS(WORK_TARIFF_RULES!$F:$F,WORK_TARIFF_RULES!$A:$A,$D55,WORK_TARIFF_RULES!$C:$C,$B55),SUMIFS(TARIFF_PROFILES!$D:$D,TARIFF_PROFILES!$A:$A,$B55)),1),IF($C55="Material",IFERROR(IF(SUMIFS(MATERIAL_TARIFF_RULES!$E:$E,MATERIAL_TARIFF_RULES!$A:$A,$D55,MATERIAL_TARIFF_RULES!$C:$C,$B55)&lt;&gt;"",SUMIFS(MATERIAL_TARIFF_RULES!$E:$E,MATERIAL_TARIFF_RULES!$A:$A,$D55,MATERIAL_TARIFF_RULES!$C:$C,$B55),SUMIFS(TARIFF_PROFILES!$E:$E,TARIFF_PROFILES!$A:$A,$B55)),1),"")))</f>
        <v/>
      </c>
      <c r="K55" s="36" t="str">
        <f>IF($C55="","",IF($C55="Material",IFERROR(SUMIFS(MATERIAL_MASTER!$P:$P,MATERIAL_MASTER!$A:$A,$D55)*IF(SUMIFS(MATERIAL_TARIFF_RULES!$F:$F,MATERIAL_TARIFF_RULES!$A:$A,$D55,MATERIAL_TARIFF_RULES!$C:$C,$B55)="",SUMIFS(TARIFF_PROFILES!$H:$H,TARIFF_PROFILES!$A:$A,$B55),SUMIFS(MATERIAL_TARIFF_RULES!$F:$F,MATERIAL_TARIFF_RULES!$A:$A,$D55,MATERIAL_TARIFF_RULES!$C:$C,$B55)),1),1))</f>
        <v/>
      </c>
      <c r="L55" s="36" t="str">
        <f t="shared" si="1"/>
        <v/>
      </c>
      <c r="M55" s="36" t="str">
        <f t="shared" si="2"/>
        <v/>
      </c>
      <c r="N55" s="36" t="str">
        <f t="shared" si="3"/>
        <v/>
      </c>
      <c r="O55" s="11" t="str">
        <f t="shared" si="4"/>
        <v/>
      </c>
    </row>
    <row r="56" ht="14.25" customHeight="1">
      <c r="A56" s="11"/>
      <c r="B56" s="11"/>
      <c r="C56" s="11"/>
      <c r="D56" s="11"/>
      <c r="E56" s="11"/>
      <c r="F56" s="11" t="str">
        <f>IF($C56="","",IF($C56="Work",IFERROR(IF(SUMIFS(WORK_TARIFF_RULES!$G:$G,WORK_TARIFF_RULES!$A:$A,$D56,WORK_TARIFF_RULES!$C:$C,$B56)&lt;&gt;"",SUMIFS(WORK_TARIFF_RULES!$G:$G,WORK_TARIFF_RULES!$A:$A,$D56,WORK_TARIFF_RULES!$C:$C,$B56),SUMIFS(WORK_MASTER!$C:$C,WORK_MASTER!$A:$A,$D56)),""),IF($C56="Material",IFERROR(IF(SUMIFS(MATERIAL_TARIFF_RULES!$G:$G,MATERIAL_TARIFF_RULES!$A:$A,$D56,MATERIAL_TARIFF_RULES!$C:$C,$B56)&lt;&gt;"",SUMIFS(MATERIAL_TARIFF_RULES!$G:$G,MATERIAL_TARIFF_RULES!$A:$A,$D56,MATERIAL_TARIFF_RULES!$C:$C,$B56),SUMIFS(MATERIAL_VARIANTS!$J:$J,MATERIAL_VARIANTS!$A:$A,$E56)),""),"")))</f>
        <v/>
      </c>
      <c r="G56" s="36"/>
      <c r="H56" s="36" t="str">
        <f>IF($C56="","",IF($C56="Work",IFERROR(SUMIFS(WORK_MASTER!$I:$I,WORK_MASTER!$A:$A,$D56),""),IF($C56="Material",IFERROR(SUMIFS(MATERIAL_VARIANTS!$I:$I,MATERIAL_VARIANTS!$A:$A,$E56),""),"")))</f>
        <v/>
      </c>
      <c r="I56" s="36" t="str">
        <f>IF($C56="","",IF($C56="Work",IFERROR(SUMIFS(WORK_FACTOR_APPLICABILITY!$O:$O,WORK_FACTOR_APPLICABILITY!$A:$A,$D56,WORK_FACTOR_APPLICABILITY!$N:$N,$A56),1),IF($C56="Material",IFERROR(ROUND(1+SUMIFS(MATERIAL_FACTOR_APPLICABILITY!$D:$D,MATERIAL_FACTOR_APPLICABILITY!$A:$A,SUMIFS(MATERIAL_MASTER!$O:$O,MATERIAL_MASTER!$A:$A,$D56),MATERIAL_FACTOR_APPLICABILITY!$B:$B,"GeometryComplexity")*(SUMIFS(OBJECT_CONDITIONS!$W:$W,OBJECT_CONDITIONS!$A:$A,$A56)-1),3),1),"")))</f>
        <v/>
      </c>
      <c r="J56" s="36" t="str">
        <f>IF($C56="","",IF($C56="Work",IFERROR(IF(SUMIFS(WORK_TARIFF_RULES!$F:$F,WORK_TARIFF_RULES!$A:$A,$D56,WORK_TARIFF_RULES!$C:$C,$B56)&lt;&gt;"",SUMIFS(WORK_TARIFF_RULES!$F:$F,WORK_TARIFF_RULES!$A:$A,$D56,WORK_TARIFF_RULES!$C:$C,$B56),SUMIFS(TARIFF_PROFILES!$D:$D,TARIFF_PROFILES!$A:$A,$B56)),1),IF($C56="Material",IFERROR(IF(SUMIFS(MATERIAL_TARIFF_RULES!$E:$E,MATERIAL_TARIFF_RULES!$A:$A,$D56,MATERIAL_TARIFF_RULES!$C:$C,$B56)&lt;&gt;"",SUMIFS(MATERIAL_TARIFF_RULES!$E:$E,MATERIAL_TARIFF_RULES!$A:$A,$D56,MATERIAL_TARIFF_RULES!$C:$C,$B56),SUMIFS(TARIFF_PROFILES!$E:$E,TARIFF_PROFILES!$A:$A,$B56)),1),"")))</f>
        <v/>
      </c>
      <c r="K56" s="36" t="str">
        <f>IF($C56="","",IF($C56="Material",IFERROR(SUMIFS(MATERIAL_MASTER!$P:$P,MATERIAL_MASTER!$A:$A,$D56)*IF(SUMIFS(MATERIAL_TARIFF_RULES!$F:$F,MATERIAL_TARIFF_RULES!$A:$A,$D56,MATERIAL_TARIFF_RULES!$C:$C,$B56)="",SUMIFS(TARIFF_PROFILES!$H:$H,TARIFF_PROFILES!$A:$A,$B56),SUMIFS(MATERIAL_TARIFF_RULES!$F:$F,MATERIAL_TARIFF_RULES!$A:$A,$D56,MATERIAL_TARIFF_RULES!$C:$C,$B56)),1),1))</f>
        <v/>
      </c>
      <c r="L56" s="36" t="str">
        <f t="shared" si="1"/>
        <v/>
      </c>
      <c r="M56" s="36" t="str">
        <f t="shared" si="2"/>
        <v/>
      </c>
      <c r="N56" s="36" t="str">
        <f t="shared" si="3"/>
        <v/>
      </c>
      <c r="O56" s="11" t="str">
        <f t="shared" si="4"/>
        <v/>
      </c>
    </row>
    <row r="57" ht="14.25" customHeight="1">
      <c r="A57" s="11"/>
      <c r="B57" s="11"/>
      <c r="C57" s="11"/>
      <c r="D57" s="11"/>
      <c r="E57" s="11"/>
      <c r="F57" s="11" t="str">
        <f>IF($C57="","",IF($C57="Work",IFERROR(IF(SUMIFS(WORK_TARIFF_RULES!$G:$G,WORK_TARIFF_RULES!$A:$A,$D57,WORK_TARIFF_RULES!$C:$C,$B57)&lt;&gt;"",SUMIFS(WORK_TARIFF_RULES!$G:$G,WORK_TARIFF_RULES!$A:$A,$D57,WORK_TARIFF_RULES!$C:$C,$B57),SUMIFS(WORK_MASTER!$C:$C,WORK_MASTER!$A:$A,$D57)),""),IF($C57="Material",IFERROR(IF(SUMIFS(MATERIAL_TARIFF_RULES!$G:$G,MATERIAL_TARIFF_RULES!$A:$A,$D57,MATERIAL_TARIFF_RULES!$C:$C,$B57)&lt;&gt;"",SUMIFS(MATERIAL_TARIFF_RULES!$G:$G,MATERIAL_TARIFF_RULES!$A:$A,$D57,MATERIAL_TARIFF_RULES!$C:$C,$B57),SUMIFS(MATERIAL_VARIANTS!$J:$J,MATERIAL_VARIANTS!$A:$A,$E57)),""),"")))</f>
        <v/>
      </c>
      <c r="G57" s="36"/>
      <c r="H57" s="36" t="str">
        <f>IF($C57="","",IF($C57="Work",IFERROR(SUMIFS(WORK_MASTER!$I:$I,WORK_MASTER!$A:$A,$D57),""),IF($C57="Material",IFERROR(SUMIFS(MATERIAL_VARIANTS!$I:$I,MATERIAL_VARIANTS!$A:$A,$E57),""),"")))</f>
        <v/>
      </c>
      <c r="I57" s="36" t="str">
        <f>IF($C57="","",IF($C57="Work",IFERROR(SUMIFS(WORK_FACTOR_APPLICABILITY!$O:$O,WORK_FACTOR_APPLICABILITY!$A:$A,$D57,WORK_FACTOR_APPLICABILITY!$N:$N,$A57),1),IF($C57="Material",IFERROR(ROUND(1+SUMIFS(MATERIAL_FACTOR_APPLICABILITY!$D:$D,MATERIAL_FACTOR_APPLICABILITY!$A:$A,SUMIFS(MATERIAL_MASTER!$O:$O,MATERIAL_MASTER!$A:$A,$D57),MATERIAL_FACTOR_APPLICABILITY!$B:$B,"GeometryComplexity")*(SUMIFS(OBJECT_CONDITIONS!$W:$W,OBJECT_CONDITIONS!$A:$A,$A57)-1),3),1),"")))</f>
        <v/>
      </c>
      <c r="J57" s="36" t="str">
        <f>IF($C57="","",IF($C57="Work",IFERROR(IF(SUMIFS(WORK_TARIFF_RULES!$F:$F,WORK_TARIFF_RULES!$A:$A,$D57,WORK_TARIFF_RULES!$C:$C,$B57)&lt;&gt;"",SUMIFS(WORK_TARIFF_RULES!$F:$F,WORK_TARIFF_RULES!$A:$A,$D57,WORK_TARIFF_RULES!$C:$C,$B57),SUMIFS(TARIFF_PROFILES!$D:$D,TARIFF_PROFILES!$A:$A,$B57)),1),IF($C57="Material",IFERROR(IF(SUMIFS(MATERIAL_TARIFF_RULES!$E:$E,MATERIAL_TARIFF_RULES!$A:$A,$D57,MATERIAL_TARIFF_RULES!$C:$C,$B57)&lt;&gt;"",SUMIFS(MATERIAL_TARIFF_RULES!$E:$E,MATERIAL_TARIFF_RULES!$A:$A,$D57,MATERIAL_TARIFF_RULES!$C:$C,$B57),SUMIFS(TARIFF_PROFILES!$E:$E,TARIFF_PROFILES!$A:$A,$B57)),1),"")))</f>
        <v/>
      </c>
      <c r="K57" s="36" t="str">
        <f>IF($C57="","",IF($C57="Material",IFERROR(SUMIFS(MATERIAL_MASTER!$P:$P,MATERIAL_MASTER!$A:$A,$D57)*IF(SUMIFS(MATERIAL_TARIFF_RULES!$F:$F,MATERIAL_TARIFF_RULES!$A:$A,$D57,MATERIAL_TARIFF_RULES!$C:$C,$B57)="",SUMIFS(TARIFF_PROFILES!$H:$H,TARIFF_PROFILES!$A:$A,$B57),SUMIFS(MATERIAL_TARIFF_RULES!$F:$F,MATERIAL_TARIFF_RULES!$A:$A,$D57,MATERIAL_TARIFF_RULES!$C:$C,$B57)),1),1))</f>
        <v/>
      </c>
      <c r="L57" s="36" t="str">
        <f t="shared" si="1"/>
        <v/>
      </c>
      <c r="M57" s="36" t="str">
        <f t="shared" si="2"/>
        <v/>
      </c>
      <c r="N57" s="36" t="str">
        <f t="shared" si="3"/>
        <v/>
      </c>
      <c r="O57" s="11" t="str">
        <f t="shared" si="4"/>
        <v/>
      </c>
    </row>
    <row r="58" ht="14.25" customHeight="1">
      <c r="A58" s="11"/>
      <c r="B58" s="11"/>
      <c r="C58" s="11"/>
      <c r="D58" s="11"/>
      <c r="E58" s="11"/>
      <c r="F58" s="11" t="str">
        <f>IF($C58="","",IF($C58="Work",IFERROR(IF(SUMIFS(WORK_TARIFF_RULES!$G:$G,WORK_TARIFF_RULES!$A:$A,$D58,WORK_TARIFF_RULES!$C:$C,$B58)&lt;&gt;"",SUMIFS(WORK_TARIFF_RULES!$G:$G,WORK_TARIFF_RULES!$A:$A,$D58,WORK_TARIFF_RULES!$C:$C,$B58),SUMIFS(WORK_MASTER!$C:$C,WORK_MASTER!$A:$A,$D58)),""),IF($C58="Material",IFERROR(IF(SUMIFS(MATERIAL_TARIFF_RULES!$G:$G,MATERIAL_TARIFF_RULES!$A:$A,$D58,MATERIAL_TARIFF_RULES!$C:$C,$B58)&lt;&gt;"",SUMIFS(MATERIAL_TARIFF_RULES!$G:$G,MATERIAL_TARIFF_RULES!$A:$A,$D58,MATERIAL_TARIFF_RULES!$C:$C,$B58),SUMIFS(MATERIAL_VARIANTS!$J:$J,MATERIAL_VARIANTS!$A:$A,$E58)),""),"")))</f>
        <v/>
      </c>
      <c r="G58" s="36"/>
      <c r="H58" s="36" t="str">
        <f>IF($C58="","",IF($C58="Work",IFERROR(SUMIFS(WORK_MASTER!$I:$I,WORK_MASTER!$A:$A,$D58),""),IF($C58="Material",IFERROR(SUMIFS(MATERIAL_VARIANTS!$I:$I,MATERIAL_VARIANTS!$A:$A,$E58),""),"")))</f>
        <v/>
      </c>
      <c r="I58" s="36" t="str">
        <f>IF($C58="","",IF($C58="Work",IFERROR(SUMIFS(WORK_FACTOR_APPLICABILITY!$O:$O,WORK_FACTOR_APPLICABILITY!$A:$A,$D58,WORK_FACTOR_APPLICABILITY!$N:$N,$A58),1),IF($C58="Material",IFERROR(ROUND(1+SUMIFS(MATERIAL_FACTOR_APPLICABILITY!$D:$D,MATERIAL_FACTOR_APPLICABILITY!$A:$A,SUMIFS(MATERIAL_MASTER!$O:$O,MATERIAL_MASTER!$A:$A,$D58),MATERIAL_FACTOR_APPLICABILITY!$B:$B,"GeometryComplexity")*(SUMIFS(OBJECT_CONDITIONS!$W:$W,OBJECT_CONDITIONS!$A:$A,$A58)-1),3),1),"")))</f>
        <v/>
      </c>
      <c r="J58" s="36" t="str">
        <f>IF($C58="","",IF($C58="Work",IFERROR(IF(SUMIFS(WORK_TARIFF_RULES!$F:$F,WORK_TARIFF_RULES!$A:$A,$D58,WORK_TARIFF_RULES!$C:$C,$B58)&lt;&gt;"",SUMIFS(WORK_TARIFF_RULES!$F:$F,WORK_TARIFF_RULES!$A:$A,$D58,WORK_TARIFF_RULES!$C:$C,$B58),SUMIFS(TARIFF_PROFILES!$D:$D,TARIFF_PROFILES!$A:$A,$B58)),1),IF($C58="Material",IFERROR(IF(SUMIFS(MATERIAL_TARIFF_RULES!$E:$E,MATERIAL_TARIFF_RULES!$A:$A,$D58,MATERIAL_TARIFF_RULES!$C:$C,$B58)&lt;&gt;"",SUMIFS(MATERIAL_TARIFF_RULES!$E:$E,MATERIAL_TARIFF_RULES!$A:$A,$D58,MATERIAL_TARIFF_RULES!$C:$C,$B58),SUMIFS(TARIFF_PROFILES!$E:$E,TARIFF_PROFILES!$A:$A,$B58)),1),"")))</f>
        <v/>
      </c>
      <c r="K58" s="36" t="str">
        <f>IF($C58="","",IF($C58="Material",IFERROR(SUMIFS(MATERIAL_MASTER!$P:$P,MATERIAL_MASTER!$A:$A,$D58)*IF(SUMIFS(MATERIAL_TARIFF_RULES!$F:$F,MATERIAL_TARIFF_RULES!$A:$A,$D58,MATERIAL_TARIFF_RULES!$C:$C,$B58)="",SUMIFS(TARIFF_PROFILES!$H:$H,TARIFF_PROFILES!$A:$A,$B58),SUMIFS(MATERIAL_TARIFF_RULES!$F:$F,MATERIAL_TARIFF_RULES!$A:$A,$D58,MATERIAL_TARIFF_RULES!$C:$C,$B58)),1),1))</f>
        <v/>
      </c>
      <c r="L58" s="36" t="str">
        <f t="shared" si="1"/>
        <v/>
      </c>
      <c r="M58" s="36" t="str">
        <f t="shared" si="2"/>
        <v/>
      </c>
      <c r="N58" s="36" t="str">
        <f t="shared" si="3"/>
        <v/>
      </c>
      <c r="O58" s="11" t="str">
        <f t="shared" si="4"/>
        <v/>
      </c>
    </row>
    <row r="59" ht="14.25" customHeight="1">
      <c r="A59" s="11"/>
      <c r="B59" s="11"/>
      <c r="C59" s="11"/>
      <c r="D59" s="11"/>
      <c r="E59" s="11"/>
      <c r="F59" s="11" t="str">
        <f>IF($C59="","",IF($C59="Work",IFERROR(IF(SUMIFS(WORK_TARIFF_RULES!$G:$G,WORK_TARIFF_RULES!$A:$A,$D59,WORK_TARIFF_RULES!$C:$C,$B59)&lt;&gt;"",SUMIFS(WORK_TARIFF_RULES!$G:$G,WORK_TARIFF_RULES!$A:$A,$D59,WORK_TARIFF_RULES!$C:$C,$B59),SUMIFS(WORK_MASTER!$C:$C,WORK_MASTER!$A:$A,$D59)),""),IF($C59="Material",IFERROR(IF(SUMIFS(MATERIAL_TARIFF_RULES!$G:$G,MATERIAL_TARIFF_RULES!$A:$A,$D59,MATERIAL_TARIFF_RULES!$C:$C,$B59)&lt;&gt;"",SUMIFS(MATERIAL_TARIFF_RULES!$G:$G,MATERIAL_TARIFF_RULES!$A:$A,$D59,MATERIAL_TARIFF_RULES!$C:$C,$B59),SUMIFS(MATERIAL_VARIANTS!$J:$J,MATERIAL_VARIANTS!$A:$A,$E59)),""),"")))</f>
        <v/>
      </c>
      <c r="G59" s="36"/>
      <c r="H59" s="36" t="str">
        <f>IF($C59="","",IF($C59="Work",IFERROR(SUMIFS(WORK_MASTER!$I:$I,WORK_MASTER!$A:$A,$D59),""),IF($C59="Material",IFERROR(SUMIFS(MATERIAL_VARIANTS!$I:$I,MATERIAL_VARIANTS!$A:$A,$E59),""),"")))</f>
        <v/>
      </c>
      <c r="I59" s="36" t="str">
        <f>IF($C59="","",IF($C59="Work",IFERROR(SUMIFS(WORK_FACTOR_APPLICABILITY!$O:$O,WORK_FACTOR_APPLICABILITY!$A:$A,$D59,WORK_FACTOR_APPLICABILITY!$N:$N,$A59),1),IF($C59="Material",IFERROR(ROUND(1+SUMIFS(MATERIAL_FACTOR_APPLICABILITY!$D:$D,MATERIAL_FACTOR_APPLICABILITY!$A:$A,SUMIFS(MATERIAL_MASTER!$O:$O,MATERIAL_MASTER!$A:$A,$D59),MATERIAL_FACTOR_APPLICABILITY!$B:$B,"GeometryComplexity")*(SUMIFS(OBJECT_CONDITIONS!$W:$W,OBJECT_CONDITIONS!$A:$A,$A59)-1),3),1),"")))</f>
        <v/>
      </c>
      <c r="J59" s="36" t="str">
        <f>IF($C59="","",IF($C59="Work",IFERROR(IF(SUMIFS(WORK_TARIFF_RULES!$F:$F,WORK_TARIFF_RULES!$A:$A,$D59,WORK_TARIFF_RULES!$C:$C,$B59)&lt;&gt;"",SUMIFS(WORK_TARIFF_RULES!$F:$F,WORK_TARIFF_RULES!$A:$A,$D59,WORK_TARIFF_RULES!$C:$C,$B59),SUMIFS(TARIFF_PROFILES!$D:$D,TARIFF_PROFILES!$A:$A,$B59)),1),IF($C59="Material",IFERROR(IF(SUMIFS(MATERIAL_TARIFF_RULES!$E:$E,MATERIAL_TARIFF_RULES!$A:$A,$D59,MATERIAL_TARIFF_RULES!$C:$C,$B59)&lt;&gt;"",SUMIFS(MATERIAL_TARIFF_RULES!$E:$E,MATERIAL_TARIFF_RULES!$A:$A,$D59,MATERIAL_TARIFF_RULES!$C:$C,$B59),SUMIFS(TARIFF_PROFILES!$E:$E,TARIFF_PROFILES!$A:$A,$B59)),1),"")))</f>
        <v/>
      </c>
      <c r="K59" s="36" t="str">
        <f>IF($C59="","",IF($C59="Material",IFERROR(SUMIFS(MATERIAL_MASTER!$P:$P,MATERIAL_MASTER!$A:$A,$D59)*IF(SUMIFS(MATERIAL_TARIFF_RULES!$F:$F,MATERIAL_TARIFF_RULES!$A:$A,$D59,MATERIAL_TARIFF_RULES!$C:$C,$B59)="",SUMIFS(TARIFF_PROFILES!$H:$H,TARIFF_PROFILES!$A:$A,$B59),SUMIFS(MATERIAL_TARIFF_RULES!$F:$F,MATERIAL_TARIFF_RULES!$A:$A,$D59,MATERIAL_TARIFF_RULES!$C:$C,$B59)),1),1))</f>
        <v/>
      </c>
      <c r="L59" s="36" t="str">
        <f t="shared" si="1"/>
        <v/>
      </c>
      <c r="M59" s="36" t="str">
        <f t="shared" si="2"/>
        <v/>
      </c>
      <c r="N59" s="36" t="str">
        <f t="shared" si="3"/>
        <v/>
      </c>
      <c r="O59" s="11" t="str">
        <f t="shared" si="4"/>
        <v/>
      </c>
    </row>
    <row r="60" ht="14.25" customHeight="1">
      <c r="A60" s="11"/>
      <c r="B60" s="11"/>
      <c r="C60" s="11"/>
      <c r="D60" s="11"/>
      <c r="E60" s="11"/>
      <c r="F60" s="11" t="str">
        <f>IF($C60="","",IF($C60="Work",IFERROR(IF(SUMIFS(WORK_TARIFF_RULES!$G:$G,WORK_TARIFF_RULES!$A:$A,$D60,WORK_TARIFF_RULES!$C:$C,$B60)&lt;&gt;"",SUMIFS(WORK_TARIFF_RULES!$G:$G,WORK_TARIFF_RULES!$A:$A,$D60,WORK_TARIFF_RULES!$C:$C,$B60),SUMIFS(WORK_MASTER!$C:$C,WORK_MASTER!$A:$A,$D60)),""),IF($C60="Material",IFERROR(IF(SUMIFS(MATERIAL_TARIFF_RULES!$G:$G,MATERIAL_TARIFF_RULES!$A:$A,$D60,MATERIAL_TARIFF_RULES!$C:$C,$B60)&lt;&gt;"",SUMIFS(MATERIAL_TARIFF_RULES!$G:$G,MATERIAL_TARIFF_RULES!$A:$A,$D60,MATERIAL_TARIFF_RULES!$C:$C,$B60),SUMIFS(MATERIAL_VARIANTS!$J:$J,MATERIAL_VARIANTS!$A:$A,$E60)),""),"")))</f>
        <v/>
      </c>
      <c r="G60" s="36"/>
      <c r="H60" s="36" t="str">
        <f>IF($C60="","",IF($C60="Work",IFERROR(SUMIFS(WORK_MASTER!$I:$I,WORK_MASTER!$A:$A,$D60),""),IF($C60="Material",IFERROR(SUMIFS(MATERIAL_VARIANTS!$I:$I,MATERIAL_VARIANTS!$A:$A,$E60),""),"")))</f>
        <v/>
      </c>
      <c r="I60" s="36" t="str">
        <f>IF($C60="","",IF($C60="Work",IFERROR(SUMIFS(WORK_FACTOR_APPLICABILITY!$O:$O,WORK_FACTOR_APPLICABILITY!$A:$A,$D60,WORK_FACTOR_APPLICABILITY!$N:$N,$A60),1),IF($C60="Material",IFERROR(ROUND(1+SUMIFS(MATERIAL_FACTOR_APPLICABILITY!$D:$D,MATERIAL_FACTOR_APPLICABILITY!$A:$A,SUMIFS(MATERIAL_MASTER!$O:$O,MATERIAL_MASTER!$A:$A,$D60),MATERIAL_FACTOR_APPLICABILITY!$B:$B,"GeometryComplexity")*(SUMIFS(OBJECT_CONDITIONS!$W:$W,OBJECT_CONDITIONS!$A:$A,$A60)-1),3),1),"")))</f>
        <v/>
      </c>
      <c r="J60" s="36" t="str">
        <f>IF($C60="","",IF($C60="Work",IFERROR(IF(SUMIFS(WORK_TARIFF_RULES!$F:$F,WORK_TARIFF_RULES!$A:$A,$D60,WORK_TARIFF_RULES!$C:$C,$B60)&lt;&gt;"",SUMIFS(WORK_TARIFF_RULES!$F:$F,WORK_TARIFF_RULES!$A:$A,$D60,WORK_TARIFF_RULES!$C:$C,$B60),SUMIFS(TARIFF_PROFILES!$D:$D,TARIFF_PROFILES!$A:$A,$B60)),1),IF($C60="Material",IFERROR(IF(SUMIFS(MATERIAL_TARIFF_RULES!$E:$E,MATERIAL_TARIFF_RULES!$A:$A,$D60,MATERIAL_TARIFF_RULES!$C:$C,$B60)&lt;&gt;"",SUMIFS(MATERIAL_TARIFF_RULES!$E:$E,MATERIAL_TARIFF_RULES!$A:$A,$D60,MATERIAL_TARIFF_RULES!$C:$C,$B60),SUMIFS(TARIFF_PROFILES!$E:$E,TARIFF_PROFILES!$A:$A,$B60)),1),"")))</f>
        <v/>
      </c>
      <c r="K60" s="36" t="str">
        <f>IF($C60="","",IF($C60="Material",IFERROR(SUMIFS(MATERIAL_MASTER!$P:$P,MATERIAL_MASTER!$A:$A,$D60)*IF(SUMIFS(MATERIAL_TARIFF_RULES!$F:$F,MATERIAL_TARIFF_RULES!$A:$A,$D60,MATERIAL_TARIFF_RULES!$C:$C,$B60)="",SUMIFS(TARIFF_PROFILES!$H:$H,TARIFF_PROFILES!$A:$A,$B60),SUMIFS(MATERIAL_TARIFF_RULES!$F:$F,MATERIAL_TARIFF_RULES!$A:$A,$D60,MATERIAL_TARIFF_RULES!$C:$C,$B60)),1),1))</f>
        <v/>
      </c>
      <c r="L60" s="36" t="str">
        <f t="shared" si="1"/>
        <v/>
      </c>
      <c r="M60" s="36" t="str">
        <f t="shared" si="2"/>
        <v/>
      </c>
      <c r="N60" s="36" t="str">
        <f t="shared" si="3"/>
        <v/>
      </c>
      <c r="O60" s="11" t="str">
        <f t="shared" si="4"/>
        <v/>
      </c>
    </row>
    <row r="61" ht="14.25" customHeight="1">
      <c r="A61" s="11"/>
      <c r="B61" s="11"/>
      <c r="C61" s="11"/>
      <c r="D61" s="11"/>
      <c r="E61" s="11"/>
      <c r="F61" s="11" t="str">
        <f>IF($C61="","",IF($C61="Work",IFERROR(IF(SUMIFS(WORK_TARIFF_RULES!$G:$G,WORK_TARIFF_RULES!$A:$A,$D61,WORK_TARIFF_RULES!$C:$C,$B61)&lt;&gt;"",SUMIFS(WORK_TARIFF_RULES!$G:$G,WORK_TARIFF_RULES!$A:$A,$D61,WORK_TARIFF_RULES!$C:$C,$B61),SUMIFS(WORK_MASTER!$C:$C,WORK_MASTER!$A:$A,$D61)),""),IF($C61="Material",IFERROR(IF(SUMIFS(MATERIAL_TARIFF_RULES!$G:$G,MATERIAL_TARIFF_RULES!$A:$A,$D61,MATERIAL_TARIFF_RULES!$C:$C,$B61)&lt;&gt;"",SUMIFS(MATERIAL_TARIFF_RULES!$G:$G,MATERIAL_TARIFF_RULES!$A:$A,$D61,MATERIAL_TARIFF_RULES!$C:$C,$B61),SUMIFS(MATERIAL_VARIANTS!$J:$J,MATERIAL_VARIANTS!$A:$A,$E61)),""),"")))</f>
        <v/>
      </c>
      <c r="G61" s="36"/>
      <c r="H61" s="36" t="str">
        <f>IF($C61="","",IF($C61="Work",IFERROR(SUMIFS(WORK_MASTER!$I:$I,WORK_MASTER!$A:$A,$D61),""),IF($C61="Material",IFERROR(SUMIFS(MATERIAL_VARIANTS!$I:$I,MATERIAL_VARIANTS!$A:$A,$E61),""),"")))</f>
        <v/>
      </c>
      <c r="I61" s="36" t="str">
        <f>IF($C61="","",IF($C61="Work",IFERROR(SUMIFS(WORK_FACTOR_APPLICABILITY!$O:$O,WORK_FACTOR_APPLICABILITY!$A:$A,$D61,WORK_FACTOR_APPLICABILITY!$N:$N,$A61),1),IF($C61="Material",IFERROR(ROUND(1+SUMIFS(MATERIAL_FACTOR_APPLICABILITY!$D:$D,MATERIAL_FACTOR_APPLICABILITY!$A:$A,SUMIFS(MATERIAL_MASTER!$O:$O,MATERIAL_MASTER!$A:$A,$D61),MATERIAL_FACTOR_APPLICABILITY!$B:$B,"GeometryComplexity")*(SUMIFS(OBJECT_CONDITIONS!$W:$W,OBJECT_CONDITIONS!$A:$A,$A61)-1),3),1),"")))</f>
        <v/>
      </c>
      <c r="J61" s="36" t="str">
        <f>IF($C61="","",IF($C61="Work",IFERROR(IF(SUMIFS(WORK_TARIFF_RULES!$F:$F,WORK_TARIFF_RULES!$A:$A,$D61,WORK_TARIFF_RULES!$C:$C,$B61)&lt;&gt;"",SUMIFS(WORK_TARIFF_RULES!$F:$F,WORK_TARIFF_RULES!$A:$A,$D61,WORK_TARIFF_RULES!$C:$C,$B61),SUMIFS(TARIFF_PROFILES!$D:$D,TARIFF_PROFILES!$A:$A,$B61)),1),IF($C61="Material",IFERROR(IF(SUMIFS(MATERIAL_TARIFF_RULES!$E:$E,MATERIAL_TARIFF_RULES!$A:$A,$D61,MATERIAL_TARIFF_RULES!$C:$C,$B61)&lt;&gt;"",SUMIFS(MATERIAL_TARIFF_RULES!$E:$E,MATERIAL_TARIFF_RULES!$A:$A,$D61,MATERIAL_TARIFF_RULES!$C:$C,$B61),SUMIFS(TARIFF_PROFILES!$E:$E,TARIFF_PROFILES!$A:$A,$B61)),1),"")))</f>
        <v/>
      </c>
      <c r="K61" s="36" t="str">
        <f>IF($C61="","",IF($C61="Material",IFERROR(SUMIFS(MATERIAL_MASTER!$P:$P,MATERIAL_MASTER!$A:$A,$D61)*IF(SUMIFS(MATERIAL_TARIFF_RULES!$F:$F,MATERIAL_TARIFF_RULES!$A:$A,$D61,MATERIAL_TARIFF_RULES!$C:$C,$B61)="",SUMIFS(TARIFF_PROFILES!$H:$H,TARIFF_PROFILES!$A:$A,$B61),SUMIFS(MATERIAL_TARIFF_RULES!$F:$F,MATERIAL_TARIFF_RULES!$A:$A,$D61,MATERIAL_TARIFF_RULES!$C:$C,$B61)),1),1))</f>
        <v/>
      </c>
      <c r="L61" s="36" t="str">
        <f t="shared" si="1"/>
        <v/>
      </c>
      <c r="M61" s="36" t="str">
        <f t="shared" si="2"/>
        <v/>
      </c>
      <c r="N61" s="36" t="str">
        <f t="shared" si="3"/>
        <v/>
      </c>
      <c r="O61" s="11" t="str">
        <f t="shared" si="4"/>
        <v/>
      </c>
    </row>
    <row r="62" ht="14.25" customHeight="1">
      <c r="A62" s="11"/>
      <c r="B62" s="11"/>
      <c r="C62" s="11"/>
      <c r="D62" s="11"/>
      <c r="E62" s="11"/>
      <c r="F62" s="11" t="str">
        <f>IF($C62="","",IF($C62="Work",IFERROR(IF(SUMIFS(WORK_TARIFF_RULES!$G:$G,WORK_TARIFF_RULES!$A:$A,$D62,WORK_TARIFF_RULES!$C:$C,$B62)&lt;&gt;"",SUMIFS(WORK_TARIFF_RULES!$G:$G,WORK_TARIFF_RULES!$A:$A,$D62,WORK_TARIFF_RULES!$C:$C,$B62),SUMIFS(WORK_MASTER!$C:$C,WORK_MASTER!$A:$A,$D62)),""),IF($C62="Material",IFERROR(IF(SUMIFS(MATERIAL_TARIFF_RULES!$G:$G,MATERIAL_TARIFF_RULES!$A:$A,$D62,MATERIAL_TARIFF_RULES!$C:$C,$B62)&lt;&gt;"",SUMIFS(MATERIAL_TARIFF_RULES!$G:$G,MATERIAL_TARIFF_RULES!$A:$A,$D62,MATERIAL_TARIFF_RULES!$C:$C,$B62),SUMIFS(MATERIAL_VARIANTS!$J:$J,MATERIAL_VARIANTS!$A:$A,$E62)),""),"")))</f>
        <v/>
      </c>
      <c r="G62" s="36"/>
      <c r="H62" s="36" t="str">
        <f>IF($C62="","",IF($C62="Work",IFERROR(SUMIFS(WORK_MASTER!$I:$I,WORK_MASTER!$A:$A,$D62),""),IF($C62="Material",IFERROR(SUMIFS(MATERIAL_VARIANTS!$I:$I,MATERIAL_VARIANTS!$A:$A,$E62),""),"")))</f>
        <v/>
      </c>
      <c r="I62" s="36" t="str">
        <f>IF($C62="","",IF($C62="Work",IFERROR(SUMIFS(WORK_FACTOR_APPLICABILITY!$O:$O,WORK_FACTOR_APPLICABILITY!$A:$A,$D62,WORK_FACTOR_APPLICABILITY!$N:$N,$A62),1),IF($C62="Material",IFERROR(ROUND(1+SUMIFS(MATERIAL_FACTOR_APPLICABILITY!$D:$D,MATERIAL_FACTOR_APPLICABILITY!$A:$A,SUMIFS(MATERIAL_MASTER!$O:$O,MATERIAL_MASTER!$A:$A,$D62),MATERIAL_FACTOR_APPLICABILITY!$B:$B,"GeometryComplexity")*(SUMIFS(OBJECT_CONDITIONS!$W:$W,OBJECT_CONDITIONS!$A:$A,$A62)-1),3),1),"")))</f>
        <v/>
      </c>
      <c r="J62" s="36" t="str">
        <f>IF($C62="","",IF($C62="Work",IFERROR(IF(SUMIFS(WORK_TARIFF_RULES!$F:$F,WORK_TARIFF_RULES!$A:$A,$D62,WORK_TARIFF_RULES!$C:$C,$B62)&lt;&gt;"",SUMIFS(WORK_TARIFF_RULES!$F:$F,WORK_TARIFF_RULES!$A:$A,$D62,WORK_TARIFF_RULES!$C:$C,$B62),SUMIFS(TARIFF_PROFILES!$D:$D,TARIFF_PROFILES!$A:$A,$B62)),1),IF($C62="Material",IFERROR(IF(SUMIFS(MATERIAL_TARIFF_RULES!$E:$E,MATERIAL_TARIFF_RULES!$A:$A,$D62,MATERIAL_TARIFF_RULES!$C:$C,$B62)&lt;&gt;"",SUMIFS(MATERIAL_TARIFF_RULES!$E:$E,MATERIAL_TARIFF_RULES!$A:$A,$D62,MATERIAL_TARIFF_RULES!$C:$C,$B62),SUMIFS(TARIFF_PROFILES!$E:$E,TARIFF_PROFILES!$A:$A,$B62)),1),"")))</f>
        <v/>
      </c>
      <c r="K62" s="36" t="str">
        <f>IF($C62="","",IF($C62="Material",IFERROR(SUMIFS(MATERIAL_MASTER!$P:$P,MATERIAL_MASTER!$A:$A,$D62)*IF(SUMIFS(MATERIAL_TARIFF_RULES!$F:$F,MATERIAL_TARIFF_RULES!$A:$A,$D62,MATERIAL_TARIFF_RULES!$C:$C,$B62)="",SUMIFS(TARIFF_PROFILES!$H:$H,TARIFF_PROFILES!$A:$A,$B62),SUMIFS(MATERIAL_TARIFF_RULES!$F:$F,MATERIAL_TARIFF_RULES!$A:$A,$D62,MATERIAL_TARIFF_RULES!$C:$C,$B62)),1),1))</f>
        <v/>
      </c>
      <c r="L62" s="36" t="str">
        <f t="shared" si="1"/>
        <v/>
      </c>
      <c r="M62" s="36" t="str">
        <f t="shared" si="2"/>
        <v/>
      </c>
      <c r="N62" s="36" t="str">
        <f t="shared" si="3"/>
        <v/>
      </c>
      <c r="O62" s="11" t="str">
        <f t="shared" si="4"/>
        <v/>
      </c>
    </row>
    <row r="63" ht="14.25" customHeight="1">
      <c r="A63" s="11"/>
      <c r="B63" s="11"/>
      <c r="C63" s="11"/>
      <c r="D63" s="11"/>
      <c r="E63" s="11"/>
      <c r="F63" s="11" t="str">
        <f>IF($C63="","",IF($C63="Work",IFERROR(IF(SUMIFS(WORK_TARIFF_RULES!$G:$G,WORK_TARIFF_RULES!$A:$A,$D63,WORK_TARIFF_RULES!$C:$C,$B63)&lt;&gt;"",SUMIFS(WORK_TARIFF_RULES!$G:$G,WORK_TARIFF_RULES!$A:$A,$D63,WORK_TARIFF_RULES!$C:$C,$B63),SUMIFS(WORK_MASTER!$C:$C,WORK_MASTER!$A:$A,$D63)),""),IF($C63="Material",IFERROR(IF(SUMIFS(MATERIAL_TARIFF_RULES!$G:$G,MATERIAL_TARIFF_RULES!$A:$A,$D63,MATERIAL_TARIFF_RULES!$C:$C,$B63)&lt;&gt;"",SUMIFS(MATERIAL_TARIFF_RULES!$G:$G,MATERIAL_TARIFF_RULES!$A:$A,$D63,MATERIAL_TARIFF_RULES!$C:$C,$B63),SUMIFS(MATERIAL_VARIANTS!$J:$J,MATERIAL_VARIANTS!$A:$A,$E63)),""),"")))</f>
        <v/>
      </c>
      <c r="G63" s="36"/>
      <c r="H63" s="36" t="str">
        <f>IF($C63="","",IF($C63="Work",IFERROR(SUMIFS(WORK_MASTER!$I:$I,WORK_MASTER!$A:$A,$D63),""),IF($C63="Material",IFERROR(SUMIFS(MATERIAL_VARIANTS!$I:$I,MATERIAL_VARIANTS!$A:$A,$E63),""),"")))</f>
        <v/>
      </c>
      <c r="I63" s="36" t="str">
        <f>IF($C63="","",IF($C63="Work",IFERROR(SUMIFS(WORK_FACTOR_APPLICABILITY!$O:$O,WORK_FACTOR_APPLICABILITY!$A:$A,$D63,WORK_FACTOR_APPLICABILITY!$N:$N,$A63),1),IF($C63="Material",IFERROR(ROUND(1+SUMIFS(MATERIAL_FACTOR_APPLICABILITY!$D:$D,MATERIAL_FACTOR_APPLICABILITY!$A:$A,SUMIFS(MATERIAL_MASTER!$O:$O,MATERIAL_MASTER!$A:$A,$D63),MATERIAL_FACTOR_APPLICABILITY!$B:$B,"GeometryComplexity")*(SUMIFS(OBJECT_CONDITIONS!$W:$W,OBJECT_CONDITIONS!$A:$A,$A63)-1),3),1),"")))</f>
        <v/>
      </c>
      <c r="J63" s="36" t="str">
        <f>IF($C63="","",IF($C63="Work",IFERROR(IF(SUMIFS(WORK_TARIFF_RULES!$F:$F,WORK_TARIFF_RULES!$A:$A,$D63,WORK_TARIFF_RULES!$C:$C,$B63)&lt;&gt;"",SUMIFS(WORK_TARIFF_RULES!$F:$F,WORK_TARIFF_RULES!$A:$A,$D63,WORK_TARIFF_RULES!$C:$C,$B63),SUMIFS(TARIFF_PROFILES!$D:$D,TARIFF_PROFILES!$A:$A,$B63)),1),IF($C63="Material",IFERROR(IF(SUMIFS(MATERIAL_TARIFF_RULES!$E:$E,MATERIAL_TARIFF_RULES!$A:$A,$D63,MATERIAL_TARIFF_RULES!$C:$C,$B63)&lt;&gt;"",SUMIFS(MATERIAL_TARIFF_RULES!$E:$E,MATERIAL_TARIFF_RULES!$A:$A,$D63,MATERIAL_TARIFF_RULES!$C:$C,$B63),SUMIFS(TARIFF_PROFILES!$E:$E,TARIFF_PROFILES!$A:$A,$B63)),1),"")))</f>
        <v/>
      </c>
      <c r="K63" s="36" t="str">
        <f>IF($C63="","",IF($C63="Material",IFERROR(SUMIFS(MATERIAL_MASTER!$P:$P,MATERIAL_MASTER!$A:$A,$D63)*IF(SUMIFS(MATERIAL_TARIFF_RULES!$F:$F,MATERIAL_TARIFF_RULES!$A:$A,$D63,MATERIAL_TARIFF_RULES!$C:$C,$B63)="",SUMIFS(TARIFF_PROFILES!$H:$H,TARIFF_PROFILES!$A:$A,$B63),SUMIFS(MATERIAL_TARIFF_RULES!$F:$F,MATERIAL_TARIFF_RULES!$A:$A,$D63,MATERIAL_TARIFF_RULES!$C:$C,$B63)),1),1))</f>
        <v/>
      </c>
      <c r="L63" s="36" t="str">
        <f t="shared" si="1"/>
        <v/>
      </c>
      <c r="M63" s="36" t="str">
        <f t="shared" si="2"/>
        <v/>
      </c>
      <c r="N63" s="36" t="str">
        <f t="shared" si="3"/>
        <v/>
      </c>
      <c r="O63" s="11" t="str">
        <f t="shared" si="4"/>
        <v/>
      </c>
    </row>
    <row r="64" ht="14.25" customHeight="1">
      <c r="A64" s="11"/>
      <c r="B64" s="11"/>
      <c r="C64" s="11"/>
      <c r="D64" s="11"/>
      <c r="E64" s="11"/>
      <c r="F64" s="11" t="str">
        <f>IF($C64="","",IF($C64="Work",IFERROR(IF(SUMIFS(WORK_TARIFF_RULES!$G:$G,WORK_TARIFF_RULES!$A:$A,$D64,WORK_TARIFF_RULES!$C:$C,$B64)&lt;&gt;"",SUMIFS(WORK_TARIFF_RULES!$G:$G,WORK_TARIFF_RULES!$A:$A,$D64,WORK_TARIFF_RULES!$C:$C,$B64),SUMIFS(WORK_MASTER!$C:$C,WORK_MASTER!$A:$A,$D64)),""),IF($C64="Material",IFERROR(IF(SUMIFS(MATERIAL_TARIFF_RULES!$G:$G,MATERIAL_TARIFF_RULES!$A:$A,$D64,MATERIAL_TARIFF_RULES!$C:$C,$B64)&lt;&gt;"",SUMIFS(MATERIAL_TARIFF_RULES!$G:$G,MATERIAL_TARIFF_RULES!$A:$A,$D64,MATERIAL_TARIFF_RULES!$C:$C,$B64),SUMIFS(MATERIAL_VARIANTS!$J:$J,MATERIAL_VARIANTS!$A:$A,$E64)),""),"")))</f>
        <v/>
      </c>
      <c r="G64" s="36"/>
      <c r="H64" s="36" t="str">
        <f>IF($C64="","",IF($C64="Work",IFERROR(SUMIFS(WORK_MASTER!$I:$I,WORK_MASTER!$A:$A,$D64),""),IF($C64="Material",IFERROR(SUMIFS(MATERIAL_VARIANTS!$I:$I,MATERIAL_VARIANTS!$A:$A,$E64),""),"")))</f>
        <v/>
      </c>
      <c r="I64" s="36" t="str">
        <f>IF($C64="","",IF($C64="Work",IFERROR(SUMIFS(WORK_FACTOR_APPLICABILITY!$O:$O,WORK_FACTOR_APPLICABILITY!$A:$A,$D64,WORK_FACTOR_APPLICABILITY!$N:$N,$A64),1),IF($C64="Material",IFERROR(ROUND(1+SUMIFS(MATERIAL_FACTOR_APPLICABILITY!$D:$D,MATERIAL_FACTOR_APPLICABILITY!$A:$A,SUMIFS(MATERIAL_MASTER!$O:$O,MATERIAL_MASTER!$A:$A,$D64),MATERIAL_FACTOR_APPLICABILITY!$B:$B,"GeometryComplexity")*(SUMIFS(OBJECT_CONDITIONS!$W:$W,OBJECT_CONDITIONS!$A:$A,$A64)-1),3),1),"")))</f>
        <v/>
      </c>
      <c r="J64" s="36" t="str">
        <f>IF($C64="","",IF($C64="Work",IFERROR(IF(SUMIFS(WORK_TARIFF_RULES!$F:$F,WORK_TARIFF_RULES!$A:$A,$D64,WORK_TARIFF_RULES!$C:$C,$B64)&lt;&gt;"",SUMIFS(WORK_TARIFF_RULES!$F:$F,WORK_TARIFF_RULES!$A:$A,$D64,WORK_TARIFF_RULES!$C:$C,$B64),SUMIFS(TARIFF_PROFILES!$D:$D,TARIFF_PROFILES!$A:$A,$B64)),1),IF($C64="Material",IFERROR(IF(SUMIFS(MATERIAL_TARIFF_RULES!$E:$E,MATERIAL_TARIFF_RULES!$A:$A,$D64,MATERIAL_TARIFF_RULES!$C:$C,$B64)&lt;&gt;"",SUMIFS(MATERIAL_TARIFF_RULES!$E:$E,MATERIAL_TARIFF_RULES!$A:$A,$D64,MATERIAL_TARIFF_RULES!$C:$C,$B64),SUMIFS(TARIFF_PROFILES!$E:$E,TARIFF_PROFILES!$A:$A,$B64)),1),"")))</f>
        <v/>
      </c>
      <c r="K64" s="36" t="str">
        <f>IF($C64="","",IF($C64="Material",IFERROR(SUMIFS(MATERIAL_MASTER!$P:$P,MATERIAL_MASTER!$A:$A,$D64)*IF(SUMIFS(MATERIAL_TARIFF_RULES!$F:$F,MATERIAL_TARIFF_RULES!$A:$A,$D64,MATERIAL_TARIFF_RULES!$C:$C,$B64)="",SUMIFS(TARIFF_PROFILES!$H:$H,TARIFF_PROFILES!$A:$A,$B64),SUMIFS(MATERIAL_TARIFF_RULES!$F:$F,MATERIAL_TARIFF_RULES!$A:$A,$D64,MATERIAL_TARIFF_RULES!$C:$C,$B64)),1),1))</f>
        <v/>
      </c>
      <c r="L64" s="36" t="str">
        <f t="shared" si="1"/>
        <v/>
      </c>
      <c r="M64" s="36" t="str">
        <f t="shared" si="2"/>
        <v/>
      </c>
      <c r="N64" s="36" t="str">
        <f t="shared" si="3"/>
        <v/>
      </c>
      <c r="O64" s="11" t="str">
        <f t="shared" si="4"/>
        <v/>
      </c>
    </row>
    <row r="65" ht="14.25" customHeight="1">
      <c r="A65" s="11"/>
      <c r="B65" s="11"/>
      <c r="C65" s="11"/>
      <c r="D65" s="11"/>
      <c r="E65" s="11"/>
      <c r="F65" s="11" t="str">
        <f>IF($C65="","",IF($C65="Work",IFERROR(IF(SUMIFS(WORK_TARIFF_RULES!$G:$G,WORK_TARIFF_RULES!$A:$A,$D65,WORK_TARIFF_RULES!$C:$C,$B65)&lt;&gt;"",SUMIFS(WORK_TARIFF_RULES!$G:$G,WORK_TARIFF_RULES!$A:$A,$D65,WORK_TARIFF_RULES!$C:$C,$B65),SUMIFS(WORK_MASTER!$C:$C,WORK_MASTER!$A:$A,$D65)),""),IF($C65="Material",IFERROR(IF(SUMIFS(MATERIAL_TARIFF_RULES!$G:$G,MATERIAL_TARIFF_RULES!$A:$A,$D65,MATERIAL_TARIFF_RULES!$C:$C,$B65)&lt;&gt;"",SUMIFS(MATERIAL_TARIFF_RULES!$G:$G,MATERIAL_TARIFF_RULES!$A:$A,$D65,MATERIAL_TARIFF_RULES!$C:$C,$B65),SUMIFS(MATERIAL_VARIANTS!$J:$J,MATERIAL_VARIANTS!$A:$A,$E65)),""),"")))</f>
        <v/>
      </c>
      <c r="G65" s="36"/>
      <c r="H65" s="36" t="str">
        <f>IF($C65="","",IF($C65="Work",IFERROR(SUMIFS(WORK_MASTER!$I:$I,WORK_MASTER!$A:$A,$D65),""),IF($C65="Material",IFERROR(SUMIFS(MATERIAL_VARIANTS!$I:$I,MATERIAL_VARIANTS!$A:$A,$E65),""),"")))</f>
        <v/>
      </c>
      <c r="I65" s="36" t="str">
        <f>IF($C65="","",IF($C65="Work",IFERROR(SUMIFS(WORK_FACTOR_APPLICABILITY!$O:$O,WORK_FACTOR_APPLICABILITY!$A:$A,$D65,WORK_FACTOR_APPLICABILITY!$N:$N,$A65),1),IF($C65="Material",IFERROR(ROUND(1+SUMIFS(MATERIAL_FACTOR_APPLICABILITY!$D:$D,MATERIAL_FACTOR_APPLICABILITY!$A:$A,SUMIFS(MATERIAL_MASTER!$O:$O,MATERIAL_MASTER!$A:$A,$D65),MATERIAL_FACTOR_APPLICABILITY!$B:$B,"GeometryComplexity")*(SUMIFS(OBJECT_CONDITIONS!$W:$W,OBJECT_CONDITIONS!$A:$A,$A65)-1),3),1),"")))</f>
        <v/>
      </c>
      <c r="J65" s="36" t="str">
        <f>IF($C65="","",IF($C65="Work",IFERROR(IF(SUMIFS(WORK_TARIFF_RULES!$F:$F,WORK_TARIFF_RULES!$A:$A,$D65,WORK_TARIFF_RULES!$C:$C,$B65)&lt;&gt;"",SUMIFS(WORK_TARIFF_RULES!$F:$F,WORK_TARIFF_RULES!$A:$A,$D65,WORK_TARIFF_RULES!$C:$C,$B65),SUMIFS(TARIFF_PROFILES!$D:$D,TARIFF_PROFILES!$A:$A,$B65)),1),IF($C65="Material",IFERROR(IF(SUMIFS(MATERIAL_TARIFF_RULES!$E:$E,MATERIAL_TARIFF_RULES!$A:$A,$D65,MATERIAL_TARIFF_RULES!$C:$C,$B65)&lt;&gt;"",SUMIFS(MATERIAL_TARIFF_RULES!$E:$E,MATERIAL_TARIFF_RULES!$A:$A,$D65,MATERIAL_TARIFF_RULES!$C:$C,$B65),SUMIFS(TARIFF_PROFILES!$E:$E,TARIFF_PROFILES!$A:$A,$B65)),1),"")))</f>
        <v/>
      </c>
      <c r="K65" s="36" t="str">
        <f>IF($C65="","",IF($C65="Material",IFERROR(SUMIFS(MATERIAL_MASTER!$P:$P,MATERIAL_MASTER!$A:$A,$D65)*IF(SUMIFS(MATERIAL_TARIFF_RULES!$F:$F,MATERIAL_TARIFF_RULES!$A:$A,$D65,MATERIAL_TARIFF_RULES!$C:$C,$B65)="",SUMIFS(TARIFF_PROFILES!$H:$H,TARIFF_PROFILES!$A:$A,$B65),SUMIFS(MATERIAL_TARIFF_RULES!$F:$F,MATERIAL_TARIFF_RULES!$A:$A,$D65,MATERIAL_TARIFF_RULES!$C:$C,$B65)),1),1))</f>
        <v/>
      </c>
      <c r="L65" s="36" t="str">
        <f t="shared" si="1"/>
        <v/>
      </c>
      <c r="M65" s="36" t="str">
        <f t="shared" si="2"/>
        <v/>
      </c>
      <c r="N65" s="36" t="str">
        <f t="shared" si="3"/>
        <v/>
      </c>
      <c r="O65" s="11" t="str">
        <f t="shared" si="4"/>
        <v/>
      </c>
    </row>
    <row r="66" ht="14.25" customHeight="1">
      <c r="A66" s="11"/>
      <c r="B66" s="11"/>
      <c r="C66" s="11"/>
      <c r="D66" s="11"/>
      <c r="E66" s="11"/>
      <c r="F66" s="11" t="str">
        <f>IF($C66="","",IF($C66="Work",IFERROR(IF(SUMIFS(WORK_TARIFF_RULES!$G:$G,WORK_TARIFF_RULES!$A:$A,$D66,WORK_TARIFF_RULES!$C:$C,$B66)&lt;&gt;"",SUMIFS(WORK_TARIFF_RULES!$G:$G,WORK_TARIFF_RULES!$A:$A,$D66,WORK_TARIFF_RULES!$C:$C,$B66),SUMIFS(WORK_MASTER!$C:$C,WORK_MASTER!$A:$A,$D66)),""),IF($C66="Material",IFERROR(IF(SUMIFS(MATERIAL_TARIFF_RULES!$G:$G,MATERIAL_TARIFF_RULES!$A:$A,$D66,MATERIAL_TARIFF_RULES!$C:$C,$B66)&lt;&gt;"",SUMIFS(MATERIAL_TARIFF_RULES!$G:$G,MATERIAL_TARIFF_RULES!$A:$A,$D66,MATERIAL_TARIFF_RULES!$C:$C,$B66),SUMIFS(MATERIAL_VARIANTS!$J:$J,MATERIAL_VARIANTS!$A:$A,$E66)),""),"")))</f>
        <v/>
      </c>
      <c r="G66" s="36"/>
      <c r="H66" s="36" t="str">
        <f>IF($C66="","",IF($C66="Work",IFERROR(SUMIFS(WORK_MASTER!$I:$I,WORK_MASTER!$A:$A,$D66),""),IF($C66="Material",IFERROR(SUMIFS(MATERIAL_VARIANTS!$I:$I,MATERIAL_VARIANTS!$A:$A,$E66),""),"")))</f>
        <v/>
      </c>
      <c r="I66" s="36" t="str">
        <f>IF($C66="","",IF($C66="Work",IFERROR(SUMIFS(WORK_FACTOR_APPLICABILITY!$O:$O,WORK_FACTOR_APPLICABILITY!$A:$A,$D66,WORK_FACTOR_APPLICABILITY!$N:$N,$A66),1),IF($C66="Material",IFERROR(ROUND(1+SUMIFS(MATERIAL_FACTOR_APPLICABILITY!$D:$D,MATERIAL_FACTOR_APPLICABILITY!$A:$A,SUMIFS(MATERIAL_MASTER!$O:$O,MATERIAL_MASTER!$A:$A,$D66),MATERIAL_FACTOR_APPLICABILITY!$B:$B,"GeometryComplexity")*(SUMIFS(OBJECT_CONDITIONS!$W:$W,OBJECT_CONDITIONS!$A:$A,$A66)-1),3),1),"")))</f>
        <v/>
      </c>
      <c r="J66" s="36" t="str">
        <f>IF($C66="","",IF($C66="Work",IFERROR(IF(SUMIFS(WORK_TARIFF_RULES!$F:$F,WORK_TARIFF_RULES!$A:$A,$D66,WORK_TARIFF_RULES!$C:$C,$B66)&lt;&gt;"",SUMIFS(WORK_TARIFF_RULES!$F:$F,WORK_TARIFF_RULES!$A:$A,$D66,WORK_TARIFF_RULES!$C:$C,$B66),SUMIFS(TARIFF_PROFILES!$D:$D,TARIFF_PROFILES!$A:$A,$B66)),1),IF($C66="Material",IFERROR(IF(SUMIFS(MATERIAL_TARIFF_RULES!$E:$E,MATERIAL_TARIFF_RULES!$A:$A,$D66,MATERIAL_TARIFF_RULES!$C:$C,$B66)&lt;&gt;"",SUMIFS(MATERIAL_TARIFF_RULES!$E:$E,MATERIAL_TARIFF_RULES!$A:$A,$D66,MATERIAL_TARIFF_RULES!$C:$C,$B66),SUMIFS(TARIFF_PROFILES!$E:$E,TARIFF_PROFILES!$A:$A,$B66)),1),"")))</f>
        <v/>
      </c>
      <c r="K66" s="36" t="str">
        <f>IF($C66="","",IF($C66="Material",IFERROR(SUMIFS(MATERIAL_MASTER!$P:$P,MATERIAL_MASTER!$A:$A,$D66)*IF(SUMIFS(MATERIAL_TARIFF_RULES!$F:$F,MATERIAL_TARIFF_RULES!$A:$A,$D66,MATERIAL_TARIFF_RULES!$C:$C,$B66)="",SUMIFS(TARIFF_PROFILES!$H:$H,TARIFF_PROFILES!$A:$A,$B66),SUMIFS(MATERIAL_TARIFF_RULES!$F:$F,MATERIAL_TARIFF_RULES!$A:$A,$D66,MATERIAL_TARIFF_RULES!$C:$C,$B66)),1),1))</f>
        <v/>
      </c>
      <c r="L66" s="36" t="str">
        <f t="shared" si="1"/>
        <v/>
      </c>
      <c r="M66" s="36" t="str">
        <f t="shared" si="2"/>
        <v/>
      </c>
      <c r="N66" s="36" t="str">
        <f t="shared" si="3"/>
        <v/>
      </c>
      <c r="O66" s="11" t="str">
        <f t="shared" si="4"/>
        <v/>
      </c>
    </row>
    <row r="67" ht="14.25" customHeight="1">
      <c r="A67" s="11"/>
      <c r="B67" s="11"/>
      <c r="C67" s="11"/>
      <c r="D67" s="11"/>
      <c r="E67" s="11"/>
      <c r="F67" s="11" t="str">
        <f>IF($C67="","",IF($C67="Work",IFERROR(IF(SUMIFS(WORK_TARIFF_RULES!$G:$G,WORK_TARIFF_RULES!$A:$A,$D67,WORK_TARIFF_RULES!$C:$C,$B67)&lt;&gt;"",SUMIFS(WORK_TARIFF_RULES!$G:$G,WORK_TARIFF_RULES!$A:$A,$D67,WORK_TARIFF_RULES!$C:$C,$B67),SUMIFS(WORK_MASTER!$C:$C,WORK_MASTER!$A:$A,$D67)),""),IF($C67="Material",IFERROR(IF(SUMIFS(MATERIAL_TARIFF_RULES!$G:$G,MATERIAL_TARIFF_RULES!$A:$A,$D67,MATERIAL_TARIFF_RULES!$C:$C,$B67)&lt;&gt;"",SUMIFS(MATERIAL_TARIFF_RULES!$G:$G,MATERIAL_TARIFF_RULES!$A:$A,$D67,MATERIAL_TARIFF_RULES!$C:$C,$B67),SUMIFS(MATERIAL_VARIANTS!$J:$J,MATERIAL_VARIANTS!$A:$A,$E67)),""),"")))</f>
        <v/>
      </c>
      <c r="G67" s="36"/>
      <c r="H67" s="36" t="str">
        <f>IF($C67="","",IF($C67="Work",IFERROR(SUMIFS(WORK_MASTER!$I:$I,WORK_MASTER!$A:$A,$D67),""),IF($C67="Material",IFERROR(SUMIFS(MATERIAL_VARIANTS!$I:$I,MATERIAL_VARIANTS!$A:$A,$E67),""),"")))</f>
        <v/>
      </c>
      <c r="I67" s="36" t="str">
        <f>IF($C67="","",IF($C67="Work",IFERROR(SUMIFS(WORK_FACTOR_APPLICABILITY!$O:$O,WORK_FACTOR_APPLICABILITY!$A:$A,$D67,WORK_FACTOR_APPLICABILITY!$N:$N,$A67),1),IF($C67="Material",IFERROR(ROUND(1+SUMIFS(MATERIAL_FACTOR_APPLICABILITY!$D:$D,MATERIAL_FACTOR_APPLICABILITY!$A:$A,SUMIFS(MATERIAL_MASTER!$O:$O,MATERIAL_MASTER!$A:$A,$D67),MATERIAL_FACTOR_APPLICABILITY!$B:$B,"GeometryComplexity")*(SUMIFS(OBJECT_CONDITIONS!$W:$W,OBJECT_CONDITIONS!$A:$A,$A67)-1),3),1),"")))</f>
        <v/>
      </c>
      <c r="J67" s="36" t="str">
        <f>IF($C67="","",IF($C67="Work",IFERROR(IF(SUMIFS(WORK_TARIFF_RULES!$F:$F,WORK_TARIFF_RULES!$A:$A,$D67,WORK_TARIFF_RULES!$C:$C,$B67)&lt;&gt;"",SUMIFS(WORK_TARIFF_RULES!$F:$F,WORK_TARIFF_RULES!$A:$A,$D67,WORK_TARIFF_RULES!$C:$C,$B67),SUMIFS(TARIFF_PROFILES!$D:$D,TARIFF_PROFILES!$A:$A,$B67)),1),IF($C67="Material",IFERROR(IF(SUMIFS(MATERIAL_TARIFF_RULES!$E:$E,MATERIAL_TARIFF_RULES!$A:$A,$D67,MATERIAL_TARIFF_RULES!$C:$C,$B67)&lt;&gt;"",SUMIFS(MATERIAL_TARIFF_RULES!$E:$E,MATERIAL_TARIFF_RULES!$A:$A,$D67,MATERIAL_TARIFF_RULES!$C:$C,$B67),SUMIFS(TARIFF_PROFILES!$E:$E,TARIFF_PROFILES!$A:$A,$B67)),1),"")))</f>
        <v/>
      </c>
      <c r="K67" s="36" t="str">
        <f>IF($C67="","",IF($C67="Material",IFERROR(SUMIFS(MATERIAL_MASTER!$P:$P,MATERIAL_MASTER!$A:$A,$D67)*IF(SUMIFS(MATERIAL_TARIFF_RULES!$F:$F,MATERIAL_TARIFF_RULES!$A:$A,$D67,MATERIAL_TARIFF_RULES!$C:$C,$B67)="",SUMIFS(TARIFF_PROFILES!$H:$H,TARIFF_PROFILES!$A:$A,$B67),SUMIFS(MATERIAL_TARIFF_RULES!$F:$F,MATERIAL_TARIFF_RULES!$A:$A,$D67,MATERIAL_TARIFF_RULES!$C:$C,$B67)),1),1))</f>
        <v/>
      </c>
      <c r="L67" s="36" t="str">
        <f t="shared" si="1"/>
        <v/>
      </c>
      <c r="M67" s="36" t="str">
        <f t="shared" si="2"/>
        <v/>
      </c>
      <c r="N67" s="36" t="str">
        <f t="shared" si="3"/>
        <v/>
      </c>
      <c r="O67" s="11" t="str">
        <f t="shared" si="4"/>
        <v/>
      </c>
    </row>
    <row r="68" ht="14.25" customHeight="1">
      <c r="A68" s="11"/>
      <c r="B68" s="11"/>
      <c r="C68" s="11"/>
      <c r="D68" s="11"/>
      <c r="E68" s="11"/>
      <c r="F68" s="11" t="str">
        <f>IF($C68="","",IF($C68="Work",IFERROR(IF(SUMIFS(WORK_TARIFF_RULES!$G:$G,WORK_TARIFF_RULES!$A:$A,$D68,WORK_TARIFF_RULES!$C:$C,$B68)&lt;&gt;"",SUMIFS(WORK_TARIFF_RULES!$G:$G,WORK_TARIFF_RULES!$A:$A,$D68,WORK_TARIFF_RULES!$C:$C,$B68),SUMIFS(WORK_MASTER!$C:$C,WORK_MASTER!$A:$A,$D68)),""),IF($C68="Material",IFERROR(IF(SUMIFS(MATERIAL_TARIFF_RULES!$G:$G,MATERIAL_TARIFF_RULES!$A:$A,$D68,MATERIAL_TARIFF_RULES!$C:$C,$B68)&lt;&gt;"",SUMIFS(MATERIAL_TARIFF_RULES!$G:$G,MATERIAL_TARIFF_RULES!$A:$A,$D68,MATERIAL_TARIFF_RULES!$C:$C,$B68),SUMIFS(MATERIAL_VARIANTS!$J:$J,MATERIAL_VARIANTS!$A:$A,$E68)),""),"")))</f>
        <v/>
      </c>
      <c r="G68" s="36"/>
      <c r="H68" s="36" t="str">
        <f>IF($C68="","",IF($C68="Work",IFERROR(SUMIFS(WORK_MASTER!$I:$I,WORK_MASTER!$A:$A,$D68),""),IF($C68="Material",IFERROR(SUMIFS(MATERIAL_VARIANTS!$I:$I,MATERIAL_VARIANTS!$A:$A,$E68),""),"")))</f>
        <v/>
      </c>
      <c r="I68" s="36" t="str">
        <f>IF($C68="","",IF($C68="Work",IFERROR(SUMIFS(WORK_FACTOR_APPLICABILITY!$O:$O,WORK_FACTOR_APPLICABILITY!$A:$A,$D68,WORK_FACTOR_APPLICABILITY!$N:$N,$A68),1),IF($C68="Material",IFERROR(ROUND(1+SUMIFS(MATERIAL_FACTOR_APPLICABILITY!$D:$D,MATERIAL_FACTOR_APPLICABILITY!$A:$A,SUMIFS(MATERIAL_MASTER!$O:$O,MATERIAL_MASTER!$A:$A,$D68),MATERIAL_FACTOR_APPLICABILITY!$B:$B,"GeometryComplexity")*(SUMIFS(OBJECT_CONDITIONS!$W:$W,OBJECT_CONDITIONS!$A:$A,$A68)-1),3),1),"")))</f>
        <v/>
      </c>
      <c r="J68" s="36" t="str">
        <f>IF($C68="","",IF($C68="Work",IFERROR(IF(SUMIFS(WORK_TARIFF_RULES!$F:$F,WORK_TARIFF_RULES!$A:$A,$D68,WORK_TARIFF_RULES!$C:$C,$B68)&lt;&gt;"",SUMIFS(WORK_TARIFF_RULES!$F:$F,WORK_TARIFF_RULES!$A:$A,$D68,WORK_TARIFF_RULES!$C:$C,$B68),SUMIFS(TARIFF_PROFILES!$D:$D,TARIFF_PROFILES!$A:$A,$B68)),1),IF($C68="Material",IFERROR(IF(SUMIFS(MATERIAL_TARIFF_RULES!$E:$E,MATERIAL_TARIFF_RULES!$A:$A,$D68,MATERIAL_TARIFF_RULES!$C:$C,$B68)&lt;&gt;"",SUMIFS(MATERIAL_TARIFF_RULES!$E:$E,MATERIAL_TARIFF_RULES!$A:$A,$D68,MATERIAL_TARIFF_RULES!$C:$C,$B68),SUMIFS(TARIFF_PROFILES!$E:$E,TARIFF_PROFILES!$A:$A,$B68)),1),"")))</f>
        <v/>
      </c>
      <c r="K68" s="36" t="str">
        <f>IF($C68="","",IF($C68="Material",IFERROR(SUMIFS(MATERIAL_MASTER!$P:$P,MATERIAL_MASTER!$A:$A,$D68)*IF(SUMIFS(MATERIAL_TARIFF_RULES!$F:$F,MATERIAL_TARIFF_RULES!$A:$A,$D68,MATERIAL_TARIFF_RULES!$C:$C,$B68)="",SUMIFS(TARIFF_PROFILES!$H:$H,TARIFF_PROFILES!$A:$A,$B68),SUMIFS(MATERIAL_TARIFF_RULES!$F:$F,MATERIAL_TARIFF_RULES!$A:$A,$D68,MATERIAL_TARIFF_RULES!$C:$C,$B68)),1),1))</f>
        <v/>
      </c>
      <c r="L68" s="36" t="str">
        <f t="shared" si="1"/>
        <v/>
      </c>
      <c r="M68" s="36" t="str">
        <f t="shared" si="2"/>
        <v/>
      </c>
      <c r="N68" s="36" t="str">
        <f t="shared" si="3"/>
        <v/>
      </c>
      <c r="O68" s="11" t="str">
        <f t="shared" si="4"/>
        <v/>
      </c>
    </row>
    <row r="69" ht="14.25" customHeight="1">
      <c r="A69" s="11"/>
      <c r="B69" s="11"/>
      <c r="C69" s="11"/>
      <c r="D69" s="11"/>
      <c r="E69" s="11"/>
      <c r="F69" s="11" t="str">
        <f>IF($C69="","",IF($C69="Work",IFERROR(IF(SUMIFS(WORK_TARIFF_RULES!$G:$G,WORK_TARIFF_RULES!$A:$A,$D69,WORK_TARIFF_RULES!$C:$C,$B69)&lt;&gt;"",SUMIFS(WORK_TARIFF_RULES!$G:$G,WORK_TARIFF_RULES!$A:$A,$D69,WORK_TARIFF_RULES!$C:$C,$B69),SUMIFS(WORK_MASTER!$C:$C,WORK_MASTER!$A:$A,$D69)),""),IF($C69="Material",IFERROR(IF(SUMIFS(MATERIAL_TARIFF_RULES!$G:$G,MATERIAL_TARIFF_RULES!$A:$A,$D69,MATERIAL_TARIFF_RULES!$C:$C,$B69)&lt;&gt;"",SUMIFS(MATERIAL_TARIFF_RULES!$G:$G,MATERIAL_TARIFF_RULES!$A:$A,$D69,MATERIAL_TARIFF_RULES!$C:$C,$B69),SUMIFS(MATERIAL_VARIANTS!$J:$J,MATERIAL_VARIANTS!$A:$A,$E69)),""),"")))</f>
        <v/>
      </c>
      <c r="G69" s="36"/>
      <c r="H69" s="36" t="str">
        <f>IF($C69="","",IF($C69="Work",IFERROR(SUMIFS(WORK_MASTER!$I:$I,WORK_MASTER!$A:$A,$D69),""),IF($C69="Material",IFERROR(SUMIFS(MATERIAL_VARIANTS!$I:$I,MATERIAL_VARIANTS!$A:$A,$E69),""),"")))</f>
        <v/>
      </c>
      <c r="I69" s="36" t="str">
        <f>IF($C69="","",IF($C69="Work",IFERROR(SUMIFS(WORK_FACTOR_APPLICABILITY!$O:$O,WORK_FACTOR_APPLICABILITY!$A:$A,$D69,WORK_FACTOR_APPLICABILITY!$N:$N,$A69),1),IF($C69="Material",IFERROR(ROUND(1+SUMIFS(MATERIAL_FACTOR_APPLICABILITY!$D:$D,MATERIAL_FACTOR_APPLICABILITY!$A:$A,SUMIFS(MATERIAL_MASTER!$O:$O,MATERIAL_MASTER!$A:$A,$D69),MATERIAL_FACTOR_APPLICABILITY!$B:$B,"GeometryComplexity")*(SUMIFS(OBJECT_CONDITIONS!$W:$W,OBJECT_CONDITIONS!$A:$A,$A69)-1),3),1),"")))</f>
        <v/>
      </c>
      <c r="J69" s="36" t="str">
        <f>IF($C69="","",IF($C69="Work",IFERROR(IF(SUMIFS(WORK_TARIFF_RULES!$F:$F,WORK_TARIFF_RULES!$A:$A,$D69,WORK_TARIFF_RULES!$C:$C,$B69)&lt;&gt;"",SUMIFS(WORK_TARIFF_RULES!$F:$F,WORK_TARIFF_RULES!$A:$A,$D69,WORK_TARIFF_RULES!$C:$C,$B69),SUMIFS(TARIFF_PROFILES!$D:$D,TARIFF_PROFILES!$A:$A,$B69)),1),IF($C69="Material",IFERROR(IF(SUMIFS(MATERIAL_TARIFF_RULES!$E:$E,MATERIAL_TARIFF_RULES!$A:$A,$D69,MATERIAL_TARIFF_RULES!$C:$C,$B69)&lt;&gt;"",SUMIFS(MATERIAL_TARIFF_RULES!$E:$E,MATERIAL_TARIFF_RULES!$A:$A,$D69,MATERIAL_TARIFF_RULES!$C:$C,$B69),SUMIFS(TARIFF_PROFILES!$E:$E,TARIFF_PROFILES!$A:$A,$B69)),1),"")))</f>
        <v/>
      </c>
      <c r="K69" s="36" t="str">
        <f>IF($C69="","",IF($C69="Material",IFERROR(SUMIFS(MATERIAL_MASTER!$P:$P,MATERIAL_MASTER!$A:$A,$D69)*IF(SUMIFS(MATERIAL_TARIFF_RULES!$F:$F,MATERIAL_TARIFF_RULES!$A:$A,$D69,MATERIAL_TARIFF_RULES!$C:$C,$B69)="",SUMIFS(TARIFF_PROFILES!$H:$H,TARIFF_PROFILES!$A:$A,$B69),SUMIFS(MATERIAL_TARIFF_RULES!$F:$F,MATERIAL_TARIFF_RULES!$A:$A,$D69,MATERIAL_TARIFF_RULES!$C:$C,$B69)),1),1))</f>
        <v/>
      </c>
      <c r="L69" s="36" t="str">
        <f t="shared" si="1"/>
        <v/>
      </c>
      <c r="M69" s="36" t="str">
        <f t="shared" si="2"/>
        <v/>
      </c>
      <c r="N69" s="36" t="str">
        <f t="shared" si="3"/>
        <v/>
      </c>
      <c r="O69" s="11" t="str">
        <f t="shared" si="4"/>
        <v/>
      </c>
    </row>
    <row r="70" ht="14.25" customHeight="1">
      <c r="A70" s="11"/>
      <c r="B70" s="11"/>
      <c r="C70" s="11"/>
      <c r="D70" s="11"/>
      <c r="E70" s="11"/>
      <c r="F70" s="11" t="str">
        <f>IF($C70="","",IF($C70="Work",IFERROR(IF(SUMIFS(WORK_TARIFF_RULES!$G:$G,WORK_TARIFF_RULES!$A:$A,$D70,WORK_TARIFF_RULES!$C:$C,$B70)&lt;&gt;"",SUMIFS(WORK_TARIFF_RULES!$G:$G,WORK_TARIFF_RULES!$A:$A,$D70,WORK_TARIFF_RULES!$C:$C,$B70),SUMIFS(WORK_MASTER!$C:$C,WORK_MASTER!$A:$A,$D70)),""),IF($C70="Material",IFERROR(IF(SUMIFS(MATERIAL_TARIFF_RULES!$G:$G,MATERIAL_TARIFF_RULES!$A:$A,$D70,MATERIAL_TARIFF_RULES!$C:$C,$B70)&lt;&gt;"",SUMIFS(MATERIAL_TARIFF_RULES!$G:$G,MATERIAL_TARIFF_RULES!$A:$A,$D70,MATERIAL_TARIFF_RULES!$C:$C,$B70),SUMIFS(MATERIAL_VARIANTS!$J:$J,MATERIAL_VARIANTS!$A:$A,$E70)),""),"")))</f>
        <v/>
      </c>
      <c r="G70" s="36"/>
      <c r="H70" s="36" t="str">
        <f>IF($C70="","",IF($C70="Work",IFERROR(SUMIFS(WORK_MASTER!$I:$I,WORK_MASTER!$A:$A,$D70),""),IF($C70="Material",IFERROR(SUMIFS(MATERIAL_VARIANTS!$I:$I,MATERIAL_VARIANTS!$A:$A,$E70),""),"")))</f>
        <v/>
      </c>
      <c r="I70" s="36" t="str">
        <f>IF($C70="","",IF($C70="Work",IFERROR(SUMIFS(WORK_FACTOR_APPLICABILITY!$O:$O,WORK_FACTOR_APPLICABILITY!$A:$A,$D70,WORK_FACTOR_APPLICABILITY!$N:$N,$A70),1),IF($C70="Material",IFERROR(ROUND(1+SUMIFS(MATERIAL_FACTOR_APPLICABILITY!$D:$D,MATERIAL_FACTOR_APPLICABILITY!$A:$A,SUMIFS(MATERIAL_MASTER!$O:$O,MATERIAL_MASTER!$A:$A,$D70),MATERIAL_FACTOR_APPLICABILITY!$B:$B,"GeometryComplexity")*(SUMIFS(OBJECT_CONDITIONS!$W:$W,OBJECT_CONDITIONS!$A:$A,$A70)-1),3),1),"")))</f>
        <v/>
      </c>
      <c r="J70" s="36" t="str">
        <f>IF($C70="","",IF($C70="Work",IFERROR(IF(SUMIFS(WORK_TARIFF_RULES!$F:$F,WORK_TARIFF_RULES!$A:$A,$D70,WORK_TARIFF_RULES!$C:$C,$B70)&lt;&gt;"",SUMIFS(WORK_TARIFF_RULES!$F:$F,WORK_TARIFF_RULES!$A:$A,$D70,WORK_TARIFF_RULES!$C:$C,$B70),SUMIFS(TARIFF_PROFILES!$D:$D,TARIFF_PROFILES!$A:$A,$B70)),1),IF($C70="Material",IFERROR(IF(SUMIFS(MATERIAL_TARIFF_RULES!$E:$E,MATERIAL_TARIFF_RULES!$A:$A,$D70,MATERIAL_TARIFF_RULES!$C:$C,$B70)&lt;&gt;"",SUMIFS(MATERIAL_TARIFF_RULES!$E:$E,MATERIAL_TARIFF_RULES!$A:$A,$D70,MATERIAL_TARIFF_RULES!$C:$C,$B70),SUMIFS(TARIFF_PROFILES!$E:$E,TARIFF_PROFILES!$A:$A,$B70)),1),"")))</f>
        <v/>
      </c>
      <c r="K70" s="36" t="str">
        <f>IF($C70="","",IF($C70="Material",IFERROR(SUMIFS(MATERIAL_MASTER!$P:$P,MATERIAL_MASTER!$A:$A,$D70)*IF(SUMIFS(MATERIAL_TARIFF_RULES!$F:$F,MATERIAL_TARIFF_RULES!$A:$A,$D70,MATERIAL_TARIFF_RULES!$C:$C,$B70)="",SUMIFS(TARIFF_PROFILES!$H:$H,TARIFF_PROFILES!$A:$A,$B70),SUMIFS(MATERIAL_TARIFF_RULES!$F:$F,MATERIAL_TARIFF_RULES!$A:$A,$D70,MATERIAL_TARIFF_RULES!$C:$C,$B70)),1),1))</f>
        <v/>
      </c>
      <c r="L70" s="36" t="str">
        <f t="shared" si="1"/>
        <v/>
      </c>
      <c r="M70" s="36" t="str">
        <f t="shared" si="2"/>
        <v/>
      </c>
      <c r="N70" s="36" t="str">
        <f t="shared" si="3"/>
        <v/>
      </c>
      <c r="O70" s="11" t="str">
        <f t="shared" si="4"/>
        <v/>
      </c>
    </row>
    <row r="71" ht="14.25" customHeight="1">
      <c r="A71" s="11"/>
      <c r="B71" s="11"/>
      <c r="C71" s="11"/>
      <c r="D71" s="11"/>
      <c r="E71" s="11"/>
      <c r="F71" s="11" t="str">
        <f>IF($C71="","",IF($C71="Work",IFERROR(IF(SUMIFS(WORK_TARIFF_RULES!$G:$G,WORK_TARIFF_RULES!$A:$A,$D71,WORK_TARIFF_RULES!$C:$C,$B71)&lt;&gt;"",SUMIFS(WORK_TARIFF_RULES!$G:$G,WORK_TARIFF_RULES!$A:$A,$D71,WORK_TARIFF_RULES!$C:$C,$B71),SUMIFS(WORK_MASTER!$C:$C,WORK_MASTER!$A:$A,$D71)),""),IF($C71="Material",IFERROR(IF(SUMIFS(MATERIAL_TARIFF_RULES!$G:$G,MATERIAL_TARIFF_RULES!$A:$A,$D71,MATERIAL_TARIFF_RULES!$C:$C,$B71)&lt;&gt;"",SUMIFS(MATERIAL_TARIFF_RULES!$G:$G,MATERIAL_TARIFF_RULES!$A:$A,$D71,MATERIAL_TARIFF_RULES!$C:$C,$B71),SUMIFS(MATERIAL_VARIANTS!$J:$J,MATERIAL_VARIANTS!$A:$A,$E71)),""),"")))</f>
        <v/>
      </c>
      <c r="G71" s="36"/>
      <c r="H71" s="36" t="str">
        <f>IF($C71="","",IF($C71="Work",IFERROR(SUMIFS(WORK_MASTER!$I:$I,WORK_MASTER!$A:$A,$D71),""),IF($C71="Material",IFERROR(SUMIFS(MATERIAL_VARIANTS!$I:$I,MATERIAL_VARIANTS!$A:$A,$E71),""),"")))</f>
        <v/>
      </c>
      <c r="I71" s="36" t="str">
        <f>IF($C71="","",IF($C71="Work",IFERROR(SUMIFS(WORK_FACTOR_APPLICABILITY!$O:$O,WORK_FACTOR_APPLICABILITY!$A:$A,$D71,WORK_FACTOR_APPLICABILITY!$N:$N,$A71),1),IF($C71="Material",IFERROR(ROUND(1+SUMIFS(MATERIAL_FACTOR_APPLICABILITY!$D:$D,MATERIAL_FACTOR_APPLICABILITY!$A:$A,SUMIFS(MATERIAL_MASTER!$O:$O,MATERIAL_MASTER!$A:$A,$D71),MATERIAL_FACTOR_APPLICABILITY!$B:$B,"GeometryComplexity")*(SUMIFS(OBJECT_CONDITIONS!$W:$W,OBJECT_CONDITIONS!$A:$A,$A71)-1),3),1),"")))</f>
        <v/>
      </c>
      <c r="J71" s="36" t="str">
        <f>IF($C71="","",IF($C71="Work",IFERROR(IF(SUMIFS(WORK_TARIFF_RULES!$F:$F,WORK_TARIFF_RULES!$A:$A,$D71,WORK_TARIFF_RULES!$C:$C,$B71)&lt;&gt;"",SUMIFS(WORK_TARIFF_RULES!$F:$F,WORK_TARIFF_RULES!$A:$A,$D71,WORK_TARIFF_RULES!$C:$C,$B71),SUMIFS(TARIFF_PROFILES!$D:$D,TARIFF_PROFILES!$A:$A,$B71)),1),IF($C71="Material",IFERROR(IF(SUMIFS(MATERIAL_TARIFF_RULES!$E:$E,MATERIAL_TARIFF_RULES!$A:$A,$D71,MATERIAL_TARIFF_RULES!$C:$C,$B71)&lt;&gt;"",SUMIFS(MATERIAL_TARIFF_RULES!$E:$E,MATERIAL_TARIFF_RULES!$A:$A,$D71,MATERIAL_TARIFF_RULES!$C:$C,$B71),SUMIFS(TARIFF_PROFILES!$E:$E,TARIFF_PROFILES!$A:$A,$B71)),1),"")))</f>
        <v/>
      </c>
      <c r="K71" s="36" t="str">
        <f>IF($C71="","",IF($C71="Material",IFERROR(SUMIFS(MATERIAL_MASTER!$P:$P,MATERIAL_MASTER!$A:$A,$D71)*IF(SUMIFS(MATERIAL_TARIFF_RULES!$F:$F,MATERIAL_TARIFF_RULES!$A:$A,$D71,MATERIAL_TARIFF_RULES!$C:$C,$B71)="",SUMIFS(TARIFF_PROFILES!$H:$H,TARIFF_PROFILES!$A:$A,$B71),SUMIFS(MATERIAL_TARIFF_RULES!$F:$F,MATERIAL_TARIFF_RULES!$A:$A,$D71,MATERIAL_TARIFF_RULES!$C:$C,$B71)),1),1))</f>
        <v/>
      </c>
      <c r="L71" s="36" t="str">
        <f t="shared" si="1"/>
        <v/>
      </c>
      <c r="M71" s="36" t="str">
        <f t="shared" si="2"/>
        <v/>
      </c>
      <c r="N71" s="36" t="str">
        <f t="shared" si="3"/>
        <v/>
      </c>
      <c r="O71" s="11" t="str">
        <f t="shared" si="4"/>
        <v/>
      </c>
    </row>
    <row r="72" ht="14.25" customHeight="1">
      <c r="A72" s="11"/>
      <c r="B72" s="11"/>
      <c r="C72" s="11"/>
      <c r="D72" s="11"/>
      <c r="E72" s="11"/>
      <c r="F72" s="11" t="str">
        <f>IF($C72="","",IF($C72="Work",IFERROR(IF(SUMIFS(WORK_TARIFF_RULES!$G:$G,WORK_TARIFF_RULES!$A:$A,$D72,WORK_TARIFF_RULES!$C:$C,$B72)&lt;&gt;"",SUMIFS(WORK_TARIFF_RULES!$G:$G,WORK_TARIFF_RULES!$A:$A,$D72,WORK_TARIFF_RULES!$C:$C,$B72),SUMIFS(WORK_MASTER!$C:$C,WORK_MASTER!$A:$A,$D72)),""),IF($C72="Material",IFERROR(IF(SUMIFS(MATERIAL_TARIFF_RULES!$G:$G,MATERIAL_TARIFF_RULES!$A:$A,$D72,MATERIAL_TARIFF_RULES!$C:$C,$B72)&lt;&gt;"",SUMIFS(MATERIAL_TARIFF_RULES!$G:$G,MATERIAL_TARIFF_RULES!$A:$A,$D72,MATERIAL_TARIFF_RULES!$C:$C,$B72),SUMIFS(MATERIAL_VARIANTS!$J:$J,MATERIAL_VARIANTS!$A:$A,$E72)),""),"")))</f>
        <v/>
      </c>
      <c r="G72" s="36"/>
      <c r="H72" s="36" t="str">
        <f>IF($C72="","",IF($C72="Work",IFERROR(SUMIFS(WORK_MASTER!$I:$I,WORK_MASTER!$A:$A,$D72),""),IF($C72="Material",IFERROR(SUMIFS(MATERIAL_VARIANTS!$I:$I,MATERIAL_VARIANTS!$A:$A,$E72),""),"")))</f>
        <v/>
      </c>
      <c r="I72" s="36" t="str">
        <f>IF($C72="","",IF($C72="Work",IFERROR(SUMIFS(WORK_FACTOR_APPLICABILITY!$O:$O,WORK_FACTOR_APPLICABILITY!$A:$A,$D72,WORK_FACTOR_APPLICABILITY!$N:$N,$A72),1),IF($C72="Material",IFERROR(ROUND(1+SUMIFS(MATERIAL_FACTOR_APPLICABILITY!$D:$D,MATERIAL_FACTOR_APPLICABILITY!$A:$A,SUMIFS(MATERIAL_MASTER!$O:$O,MATERIAL_MASTER!$A:$A,$D72),MATERIAL_FACTOR_APPLICABILITY!$B:$B,"GeometryComplexity")*(SUMIFS(OBJECT_CONDITIONS!$W:$W,OBJECT_CONDITIONS!$A:$A,$A72)-1),3),1),"")))</f>
        <v/>
      </c>
      <c r="J72" s="36" t="str">
        <f>IF($C72="","",IF($C72="Work",IFERROR(IF(SUMIFS(WORK_TARIFF_RULES!$F:$F,WORK_TARIFF_RULES!$A:$A,$D72,WORK_TARIFF_RULES!$C:$C,$B72)&lt;&gt;"",SUMIFS(WORK_TARIFF_RULES!$F:$F,WORK_TARIFF_RULES!$A:$A,$D72,WORK_TARIFF_RULES!$C:$C,$B72),SUMIFS(TARIFF_PROFILES!$D:$D,TARIFF_PROFILES!$A:$A,$B72)),1),IF($C72="Material",IFERROR(IF(SUMIFS(MATERIAL_TARIFF_RULES!$E:$E,MATERIAL_TARIFF_RULES!$A:$A,$D72,MATERIAL_TARIFF_RULES!$C:$C,$B72)&lt;&gt;"",SUMIFS(MATERIAL_TARIFF_RULES!$E:$E,MATERIAL_TARIFF_RULES!$A:$A,$D72,MATERIAL_TARIFF_RULES!$C:$C,$B72),SUMIFS(TARIFF_PROFILES!$E:$E,TARIFF_PROFILES!$A:$A,$B72)),1),"")))</f>
        <v/>
      </c>
      <c r="K72" s="36" t="str">
        <f>IF($C72="","",IF($C72="Material",IFERROR(SUMIFS(MATERIAL_MASTER!$P:$P,MATERIAL_MASTER!$A:$A,$D72)*IF(SUMIFS(MATERIAL_TARIFF_RULES!$F:$F,MATERIAL_TARIFF_RULES!$A:$A,$D72,MATERIAL_TARIFF_RULES!$C:$C,$B72)="",SUMIFS(TARIFF_PROFILES!$H:$H,TARIFF_PROFILES!$A:$A,$B72),SUMIFS(MATERIAL_TARIFF_RULES!$F:$F,MATERIAL_TARIFF_RULES!$A:$A,$D72,MATERIAL_TARIFF_RULES!$C:$C,$B72)),1),1))</f>
        <v/>
      </c>
      <c r="L72" s="36" t="str">
        <f t="shared" si="1"/>
        <v/>
      </c>
      <c r="M72" s="36" t="str">
        <f t="shared" si="2"/>
        <v/>
      </c>
      <c r="N72" s="36" t="str">
        <f t="shared" si="3"/>
        <v/>
      </c>
      <c r="O72" s="11" t="str">
        <f t="shared" si="4"/>
        <v/>
      </c>
    </row>
    <row r="73" ht="14.25" customHeight="1">
      <c r="A73" s="11"/>
      <c r="B73" s="11"/>
      <c r="C73" s="11"/>
      <c r="D73" s="11"/>
      <c r="E73" s="11"/>
      <c r="F73" s="11" t="str">
        <f>IF($C73="","",IF($C73="Work",IFERROR(IF(SUMIFS(WORK_TARIFF_RULES!$G:$G,WORK_TARIFF_RULES!$A:$A,$D73,WORK_TARIFF_RULES!$C:$C,$B73)&lt;&gt;"",SUMIFS(WORK_TARIFF_RULES!$G:$G,WORK_TARIFF_RULES!$A:$A,$D73,WORK_TARIFF_RULES!$C:$C,$B73),SUMIFS(WORK_MASTER!$C:$C,WORK_MASTER!$A:$A,$D73)),""),IF($C73="Material",IFERROR(IF(SUMIFS(MATERIAL_TARIFF_RULES!$G:$G,MATERIAL_TARIFF_RULES!$A:$A,$D73,MATERIAL_TARIFF_RULES!$C:$C,$B73)&lt;&gt;"",SUMIFS(MATERIAL_TARIFF_RULES!$G:$G,MATERIAL_TARIFF_RULES!$A:$A,$D73,MATERIAL_TARIFF_RULES!$C:$C,$B73),SUMIFS(MATERIAL_VARIANTS!$J:$J,MATERIAL_VARIANTS!$A:$A,$E73)),""),"")))</f>
        <v/>
      </c>
      <c r="G73" s="36"/>
      <c r="H73" s="36" t="str">
        <f>IF($C73="","",IF($C73="Work",IFERROR(SUMIFS(WORK_MASTER!$I:$I,WORK_MASTER!$A:$A,$D73),""),IF($C73="Material",IFERROR(SUMIFS(MATERIAL_VARIANTS!$I:$I,MATERIAL_VARIANTS!$A:$A,$E73),""),"")))</f>
        <v/>
      </c>
      <c r="I73" s="36" t="str">
        <f>IF($C73="","",IF($C73="Work",IFERROR(SUMIFS(WORK_FACTOR_APPLICABILITY!$O:$O,WORK_FACTOR_APPLICABILITY!$A:$A,$D73,WORK_FACTOR_APPLICABILITY!$N:$N,$A73),1),IF($C73="Material",IFERROR(ROUND(1+SUMIFS(MATERIAL_FACTOR_APPLICABILITY!$D:$D,MATERIAL_FACTOR_APPLICABILITY!$A:$A,SUMIFS(MATERIAL_MASTER!$O:$O,MATERIAL_MASTER!$A:$A,$D73),MATERIAL_FACTOR_APPLICABILITY!$B:$B,"GeometryComplexity")*(SUMIFS(OBJECT_CONDITIONS!$W:$W,OBJECT_CONDITIONS!$A:$A,$A73)-1),3),1),"")))</f>
        <v/>
      </c>
      <c r="J73" s="36" t="str">
        <f>IF($C73="","",IF($C73="Work",IFERROR(IF(SUMIFS(WORK_TARIFF_RULES!$F:$F,WORK_TARIFF_RULES!$A:$A,$D73,WORK_TARIFF_RULES!$C:$C,$B73)&lt;&gt;"",SUMIFS(WORK_TARIFF_RULES!$F:$F,WORK_TARIFF_RULES!$A:$A,$D73,WORK_TARIFF_RULES!$C:$C,$B73),SUMIFS(TARIFF_PROFILES!$D:$D,TARIFF_PROFILES!$A:$A,$B73)),1),IF($C73="Material",IFERROR(IF(SUMIFS(MATERIAL_TARIFF_RULES!$E:$E,MATERIAL_TARIFF_RULES!$A:$A,$D73,MATERIAL_TARIFF_RULES!$C:$C,$B73)&lt;&gt;"",SUMIFS(MATERIAL_TARIFF_RULES!$E:$E,MATERIAL_TARIFF_RULES!$A:$A,$D73,MATERIAL_TARIFF_RULES!$C:$C,$B73),SUMIFS(TARIFF_PROFILES!$E:$E,TARIFF_PROFILES!$A:$A,$B73)),1),"")))</f>
        <v/>
      </c>
      <c r="K73" s="36" t="str">
        <f>IF($C73="","",IF($C73="Material",IFERROR(SUMIFS(MATERIAL_MASTER!$P:$P,MATERIAL_MASTER!$A:$A,$D73)*IF(SUMIFS(MATERIAL_TARIFF_RULES!$F:$F,MATERIAL_TARIFF_RULES!$A:$A,$D73,MATERIAL_TARIFF_RULES!$C:$C,$B73)="",SUMIFS(TARIFF_PROFILES!$H:$H,TARIFF_PROFILES!$A:$A,$B73),SUMIFS(MATERIAL_TARIFF_RULES!$F:$F,MATERIAL_TARIFF_RULES!$A:$A,$D73,MATERIAL_TARIFF_RULES!$C:$C,$B73)),1),1))</f>
        <v/>
      </c>
      <c r="L73" s="36" t="str">
        <f t="shared" si="1"/>
        <v/>
      </c>
      <c r="M73" s="36" t="str">
        <f t="shared" si="2"/>
        <v/>
      </c>
      <c r="N73" s="36" t="str">
        <f t="shared" si="3"/>
        <v/>
      </c>
      <c r="O73" s="11" t="str">
        <f t="shared" si="4"/>
        <v/>
      </c>
    </row>
    <row r="74" ht="14.25" customHeight="1">
      <c r="A74" s="11"/>
      <c r="B74" s="11"/>
      <c r="C74" s="11"/>
      <c r="D74" s="11"/>
      <c r="E74" s="11"/>
      <c r="F74" s="11" t="str">
        <f>IF($C74="","",IF($C74="Work",IFERROR(IF(SUMIFS(WORK_TARIFF_RULES!$G:$G,WORK_TARIFF_RULES!$A:$A,$D74,WORK_TARIFF_RULES!$C:$C,$B74)&lt;&gt;"",SUMIFS(WORK_TARIFF_RULES!$G:$G,WORK_TARIFF_RULES!$A:$A,$D74,WORK_TARIFF_RULES!$C:$C,$B74),SUMIFS(WORK_MASTER!$C:$C,WORK_MASTER!$A:$A,$D74)),""),IF($C74="Material",IFERROR(IF(SUMIFS(MATERIAL_TARIFF_RULES!$G:$G,MATERIAL_TARIFF_RULES!$A:$A,$D74,MATERIAL_TARIFF_RULES!$C:$C,$B74)&lt;&gt;"",SUMIFS(MATERIAL_TARIFF_RULES!$G:$G,MATERIAL_TARIFF_RULES!$A:$A,$D74,MATERIAL_TARIFF_RULES!$C:$C,$B74),SUMIFS(MATERIAL_VARIANTS!$J:$J,MATERIAL_VARIANTS!$A:$A,$E74)),""),"")))</f>
        <v/>
      </c>
      <c r="G74" s="36"/>
      <c r="H74" s="36" t="str">
        <f>IF($C74="","",IF($C74="Work",IFERROR(SUMIFS(WORK_MASTER!$I:$I,WORK_MASTER!$A:$A,$D74),""),IF($C74="Material",IFERROR(SUMIFS(MATERIAL_VARIANTS!$I:$I,MATERIAL_VARIANTS!$A:$A,$E74),""),"")))</f>
        <v/>
      </c>
      <c r="I74" s="36" t="str">
        <f>IF($C74="","",IF($C74="Work",IFERROR(SUMIFS(WORK_FACTOR_APPLICABILITY!$O:$O,WORK_FACTOR_APPLICABILITY!$A:$A,$D74,WORK_FACTOR_APPLICABILITY!$N:$N,$A74),1),IF($C74="Material",IFERROR(ROUND(1+SUMIFS(MATERIAL_FACTOR_APPLICABILITY!$D:$D,MATERIAL_FACTOR_APPLICABILITY!$A:$A,SUMIFS(MATERIAL_MASTER!$O:$O,MATERIAL_MASTER!$A:$A,$D74),MATERIAL_FACTOR_APPLICABILITY!$B:$B,"GeometryComplexity")*(SUMIFS(OBJECT_CONDITIONS!$W:$W,OBJECT_CONDITIONS!$A:$A,$A74)-1),3),1),"")))</f>
        <v/>
      </c>
      <c r="J74" s="36" t="str">
        <f>IF($C74="","",IF($C74="Work",IFERROR(IF(SUMIFS(WORK_TARIFF_RULES!$F:$F,WORK_TARIFF_RULES!$A:$A,$D74,WORK_TARIFF_RULES!$C:$C,$B74)&lt;&gt;"",SUMIFS(WORK_TARIFF_RULES!$F:$F,WORK_TARIFF_RULES!$A:$A,$D74,WORK_TARIFF_RULES!$C:$C,$B74),SUMIFS(TARIFF_PROFILES!$D:$D,TARIFF_PROFILES!$A:$A,$B74)),1),IF($C74="Material",IFERROR(IF(SUMIFS(MATERIAL_TARIFF_RULES!$E:$E,MATERIAL_TARIFF_RULES!$A:$A,$D74,MATERIAL_TARIFF_RULES!$C:$C,$B74)&lt;&gt;"",SUMIFS(MATERIAL_TARIFF_RULES!$E:$E,MATERIAL_TARIFF_RULES!$A:$A,$D74,MATERIAL_TARIFF_RULES!$C:$C,$B74),SUMIFS(TARIFF_PROFILES!$E:$E,TARIFF_PROFILES!$A:$A,$B74)),1),"")))</f>
        <v/>
      </c>
      <c r="K74" s="36" t="str">
        <f>IF($C74="","",IF($C74="Material",IFERROR(SUMIFS(MATERIAL_MASTER!$P:$P,MATERIAL_MASTER!$A:$A,$D74)*IF(SUMIFS(MATERIAL_TARIFF_RULES!$F:$F,MATERIAL_TARIFF_RULES!$A:$A,$D74,MATERIAL_TARIFF_RULES!$C:$C,$B74)="",SUMIFS(TARIFF_PROFILES!$H:$H,TARIFF_PROFILES!$A:$A,$B74),SUMIFS(MATERIAL_TARIFF_RULES!$F:$F,MATERIAL_TARIFF_RULES!$A:$A,$D74,MATERIAL_TARIFF_RULES!$C:$C,$B74)),1),1))</f>
        <v/>
      </c>
      <c r="L74" s="36" t="str">
        <f t="shared" si="1"/>
        <v/>
      </c>
      <c r="M74" s="36" t="str">
        <f t="shared" si="2"/>
        <v/>
      </c>
      <c r="N74" s="36" t="str">
        <f t="shared" si="3"/>
        <v/>
      </c>
      <c r="O74" s="11" t="str">
        <f t="shared" si="4"/>
        <v/>
      </c>
    </row>
    <row r="75" ht="14.25" customHeight="1">
      <c r="A75" s="11"/>
      <c r="B75" s="11"/>
      <c r="C75" s="11"/>
      <c r="D75" s="11"/>
      <c r="E75" s="11"/>
      <c r="F75" s="11" t="str">
        <f>IF($C75="","",IF($C75="Work",IFERROR(IF(SUMIFS(WORK_TARIFF_RULES!$G:$G,WORK_TARIFF_RULES!$A:$A,$D75,WORK_TARIFF_RULES!$C:$C,$B75)&lt;&gt;"",SUMIFS(WORK_TARIFF_RULES!$G:$G,WORK_TARIFF_RULES!$A:$A,$D75,WORK_TARIFF_RULES!$C:$C,$B75),SUMIFS(WORK_MASTER!$C:$C,WORK_MASTER!$A:$A,$D75)),""),IF($C75="Material",IFERROR(IF(SUMIFS(MATERIAL_TARIFF_RULES!$G:$G,MATERIAL_TARIFF_RULES!$A:$A,$D75,MATERIAL_TARIFF_RULES!$C:$C,$B75)&lt;&gt;"",SUMIFS(MATERIAL_TARIFF_RULES!$G:$G,MATERIAL_TARIFF_RULES!$A:$A,$D75,MATERIAL_TARIFF_RULES!$C:$C,$B75),SUMIFS(MATERIAL_VARIANTS!$J:$J,MATERIAL_VARIANTS!$A:$A,$E75)),""),"")))</f>
        <v/>
      </c>
      <c r="G75" s="36"/>
      <c r="H75" s="36" t="str">
        <f>IF($C75="","",IF($C75="Work",IFERROR(SUMIFS(WORK_MASTER!$I:$I,WORK_MASTER!$A:$A,$D75),""),IF($C75="Material",IFERROR(SUMIFS(MATERIAL_VARIANTS!$I:$I,MATERIAL_VARIANTS!$A:$A,$E75),""),"")))</f>
        <v/>
      </c>
      <c r="I75" s="36" t="str">
        <f>IF($C75="","",IF($C75="Work",IFERROR(SUMIFS(WORK_FACTOR_APPLICABILITY!$O:$O,WORK_FACTOR_APPLICABILITY!$A:$A,$D75,WORK_FACTOR_APPLICABILITY!$N:$N,$A75),1),IF($C75="Material",IFERROR(ROUND(1+SUMIFS(MATERIAL_FACTOR_APPLICABILITY!$D:$D,MATERIAL_FACTOR_APPLICABILITY!$A:$A,SUMIFS(MATERIAL_MASTER!$O:$O,MATERIAL_MASTER!$A:$A,$D75),MATERIAL_FACTOR_APPLICABILITY!$B:$B,"GeometryComplexity")*(SUMIFS(OBJECT_CONDITIONS!$W:$W,OBJECT_CONDITIONS!$A:$A,$A75)-1),3),1),"")))</f>
        <v/>
      </c>
      <c r="J75" s="36" t="str">
        <f>IF($C75="","",IF($C75="Work",IFERROR(IF(SUMIFS(WORK_TARIFF_RULES!$F:$F,WORK_TARIFF_RULES!$A:$A,$D75,WORK_TARIFF_RULES!$C:$C,$B75)&lt;&gt;"",SUMIFS(WORK_TARIFF_RULES!$F:$F,WORK_TARIFF_RULES!$A:$A,$D75,WORK_TARIFF_RULES!$C:$C,$B75),SUMIFS(TARIFF_PROFILES!$D:$D,TARIFF_PROFILES!$A:$A,$B75)),1),IF($C75="Material",IFERROR(IF(SUMIFS(MATERIAL_TARIFF_RULES!$E:$E,MATERIAL_TARIFF_RULES!$A:$A,$D75,MATERIAL_TARIFF_RULES!$C:$C,$B75)&lt;&gt;"",SUMIFS(MATERIAL_TARIFF_RULES!$E:$E,MATERIAL_TARIFF_RULES!$A:$A,$D75,MATERIAL_TARIFF_RULES!$C:$C,$B75),SUMIFS(TARIFF_PROFILES!$E:$E,TARIFF_PROFILES!$A:$A,$B75)),1),"")))</f>
        <v/>
      </c>
      <c r="K75" s="36" t="str">
        <f>IF($C75="","",IF($C75="Material",IFERROR(SUMIFS(MATERIAL_MASTER!$P:$P,MATERIAL_MASTER!$A:$A,$D75)*IF(SUMIFS(MATERIAL_TARIFF_RULES!$F:$F,MATERIAL_TARIFF_RULES!$A:$A,$D75,MATERIAL_TARIFF_RULES!$C:$C,$B75)="",SUMIFS(TARIFF_PROFILES!$H:$H,TARIFF_PROFILES!$A:$A,$B75),SUMIFS(MATERIAL_TARIFF_RULES!$F:$F,MATERIAL_TARIFF_RULES!$A:$A,$D75,MATERIAL_TARIFF_RULES!$C:$C,$B75)),1),1))</f>
        <v/>
      </c>
      <c r="L75" s="36" t="str">
        <f t="shared" si="1"/>
        <v/>
      </c>
      <c r="M75" s="36" t="str">
        <f t="shared" si="2"/>
        <v/>
      </c>
      <c r="N75" s="36" t="str">
        <f t="shared" si="3"/>
        <v/>
      </c>
      <c r="O75" s="11" t="str">
        <f t="shared" si="4"/>
        <v/>
      </c>
    </row>
    <row r="76" ht="14.25" customHeight="1">
      <c r="A76" s="11"/>
      <c r="B76" s="11"/>
      <c r="C76" s="11"/>
      <c r="D76" s="11"/>
      <c r="E76" s="11"/>
      <c r="F76" s="11" t="str">
        <f>IF($C76="","",IF($C76="Work",IFERROR(IF(SUMIFS(WORK_TARIFF_RULES!$G:$G,WORK_TARIFF_RULES!$A:$A,$D76,WORK_TARIFF_RULES!$C:$C,$B76)&lt;&gt;"",SUMIFS(WORK_TARIFF_RULES!$G:$G,WORK_TARIFF_RULES!$A:$A,$D76,WORK_TARIFF_RULES!$C:$C,$B76),SUMIFS(WORK_MASTER!$C:$C,WORK_MASTER!$A:$A,$D76)),""),IF($C76="Material",IFERROR(IF(SUMIFS(MATERIAL_TARIFF_RULES!$G:$G,MATERIAL_TARIFF_RULES!$A:$A,$D76,MATERIAL_TARIFF_RULES!$C:$C,$B76)&lt;&gt;"",SUMIFS(MATERIAL_TARIFF_RULES!$G:$G,MATERIAL_TARIFF_RULES!$A:$A,$D76,MATERIAL_TARIFF_RULES!$C:$C,$B76),SUMIFS(MATERIAL_VARIANTS!$J:$J,MATERIAL_VARIANTS!$A:$A,$E76)),""),"")))</f>
        <v/>
      </c>
      <c r="G76" s="36"/>
      <c r="H76" s="36" t="str">
        <f>IF($C76="","",IF($C76="Work",IFERROR(SUMIFS(WORK_MASTER!$I:$I,WORK_MASTER!$A:$A,$D76),""),IF($C76="Material",IFERROR(SUMIFS(MATERIAL_VARIANTS!$I:$I,MATERIAL_VARIANTS!$A:$A,$E76),""),"")))</f>
        <v/>
      </c>
      <c r="I76" s="36" t="str">
        <f>IF($C76="","",IF($C76="Work",IFERROR(SUMIFS(WORK_FACTOR_APPLICABILITY!$O:$O,WORK_FACTOR_APPLICABILITY!$A:$A,$D76,WORK_FACTOR_APPLICABILITY!$N:$N,$A76),1),IF($C76="Material",IFERROR(ROUND(1+SUMIFS(MATERIAL_FACTOR_APPLICABILITY!$D:$D,MATERIAL_FACTOR_APPLICABILITY!$A:$A,SUMIFS(MATERIAL_MASTER!$O:$O,MATERIAL_MASTER!$A:$A,$D76),MATERIAL_FACTOR_APPLICABILITY!$B:$B,"GeometryComplexity")*(SUMIFS(OBJECT_CONDITIONS!$W:$W,OBJECT_CONDITIONS!$A:$A,$A76)-1),3),1),"")))</f>
        <v/>
      </c>
      <c r="J76" s="36" t="str">
        <f>IF($C76="","",IF($C76="Work",IFERROR(IF(SUMIFS(WORK_TARIFF_RULES!$F:$F,WORK_TARIFF_RULES!$A:$A,$D76,WORK_TARIFF_RULES!$C:$C,$B76)&lt;&gt;"",SUMIFS(WORK_TARIFF_RULES!$F:$F,WORK_TARIFF_RULES!$A:$A,$D76,WORK_TARIFF_RULES!$C:$C,$B76),SUMIFS(TARIFF_PROFILES!$D:$D,TARIFF_PROFILES!$A:$A,$B76)),1),IF($C76="Material",IFERROR(IF(SUMIFS(MATERIAL_TARIFF_RULES!$E:$E,MATERIAL_TARIFF_RULES!$A:$A,$D76,MATERIAL_TARIFF_RULES!$C:$C,$B76)&lt;&gt;"",SUMIFS(MATERIAL_TARIFF_RULES!$E:$E,MATERIAL_TARIFF_RULES!$A:$A,$D76,MATERIAL_TARIFF_RULES!$C:$C,$B76),SUMIFS(TARIFF_PROFILES!$E:$E,TARIFF_PROFILES!$A:$A,$B76)),1),"")))</f>
        <v/>
      </c>
      <c r="K76" s="36" t="str">
        <f>IF($C76="","",IF($C76="Material",IFERROR(SUMIFS(MATERIAL_MASTER!$P:$P,MATERIAL_MASTER!$A:$A,$D76)*IF(SUMIFS(MATERIAL_TARIFF_RULES!$F:$F,MATERIAL_TARIFF_RULES!$A:$A,$D76,MATERIAL_TARIFF_RULES!$C:$C,$B76)="",SUMIFS(TARIFF_PROFILES!$H:$H,TARIFF_PROFILES!$A:$A,$B76),SUMIFS(MATERIAL_TARIFF_RULES!$F:$F,MATERIAL_TARIFF_RULES!$A:$A,$D76,MATERIAL_TARIFF_RULES!$C:$C,$B76)),1),1))</f>
        <v/>
      </c>
      <c r="L76" s="36" t="str">
        <f t="shared" si="1"/>
        <v/>
      </c>
      <c r="M76" s="36" t="str">
        <f t="shared" si="2"/>
        <v/>
      </c>
      <c r="N76" s="36" t="str">
        <f t="shared" si="3"/>
        <v/>
      </c>
      <c r="O76" s="11" t="str">
        <f t="shared" si="4"/>
        <v/>
      </c>
    </row>
    <row r="77" ht="14.25" customHeight="1">
      <c r="A77" s="11"/>
      <c r="B77" s="11"/>
      <c r="C77" s="11"/>
      <c r="D77" s="11"/>
      <c r="E77" s="11"/>
      <c r="F77" s="11" t="str">
        <f>IF($C77="","",IF($C77="Work",IFERROR(IF(SUMIFS(WORK_TARIFF_RULES!$G:$G,WORK_TARIFF_RULES!$A:$A,$D77,WORK_TARIFF_RULES!$C:$C,$B77)&lt;&gt;"",SUMIFS(WORK_TARIFF_RULES!$G:$G,WORK_TARIFF_RULES!$A:$A,$D77,WORK_TARIFF_RULES!$C:$C,$B77),SUMIFS(WORK_MASTER!$C:$C,WORK_MASTER!$A:$A,$D77)),""),IF($C77="Material",IFERROR(IF(SUMIFS(MATERIAL_TARIFF_RULES!$G:$G,MATERIAL_TARIFF_RULES!$A:$A,$D77,MATERIAL_TARIFF_RULES!$C:$C,$B77)&lt;&gt;"",SUMIFS(MATERIAL_TARIFF_RULES!$G:$G,MATERIAL_TARIFF_RULES!$A:$A,$D77,MATERIAL_TARIFF_RULES!$C:$C,$B77),SUMIFS(MATERIAL_VARIANTS!$J:$J,MATERIAL_VARIANTS!$A:$A,$E77)),""),"")))</f>
        <v/>
      </c>
      <c r="G77" s="36"/>
      <c r="H77" s="36" t="str">
        <f>IF($C77="","",IF($C77="Work",IFERROR(SUMIFS(WORK_MASTER!$I:$I,WORK_MASTER!$A:$A,$D77),""),IF($C77="Material",IFERROR(SUMIFS(MATERIAL_VARIANTS!$I:$I,MATERIAL_VARIANTS!$A:$A,$E77),""),"")))</f>
        <v/>
      </c>
      <c r="I77" s="36" t="str">
        <f>IF($C77="","",IF($C77="Work",IFERROR(SUMIFS(WORK_FACTOR_APPLICABILITY!$O:$O,WORK_FACTOR_APPLICABILITY!$A:$A,$D77,WORK_FACTOR_APPLICABILITY!$N:$N,$A77),1),IF($C77="Material",IFERROR(ROUND(1+SUMIFS(MATERIAL_FACTOR_APPLICABILITY!$D:$D,MATERIAL_FACTOR_APPLICABILITY!$A:$A,SUMIFS(MATERIAL_MASTER!$O:$O,MATERIAL_MASTER!$A:$A,$D77),MATERIAL_FACTOR_APPLICABILITY!$B:$B,"GeometryComplexity")*(SUMIFS(OBJECT_CONDITIONS!$W:$W,OBJECT_CONDITIONS!$A:$A,$A77)-1),3),1),"")))</f>
        <v/>
      </c>
      <c r="J77" s="36" t="str">
        <f>IF($C77="","",IF($C77="Work",IFERROR(IF(SUMIFS(WORK_TARIFF_RULES!$F:$F,WORK_TARIFF_RULES!$A:$A,$D77,WORK_TARIFF_RULES!$C:$C,$B77)&lt;&gt;"",SUMIFS(WORK_TARIFF_RULES!$F:$F,WORK_TARIFF_RULES!$A:$A,$D77,WORK_TARIFF_RULES!$C:$C,$B77),SUMIFS(TARIFF_PROFILES!$D:$D,TARIFF_PROFILES!$A:$A,$B77)),1),IF($C77="Material",IFERROR(IF(SUMIFS(MATERIAL_TARIFF_RULES!$E:$E,MATERIAL_TARIFF_RULES!$A:$A,$D77,MATERIAL_TARIFF_RULES!$C:$C,$B77)&lt;&gt;"",SUMIFS(MATERIAL_TARIFF_RULES!$E:$E,MATERIAL_TARIFF_RULES!$A:$A,$D77,MATERIAL_TARIFF_RULES!$C:$C,$B77),SUMIFS(TARIFF_PROFILES!$E:$E,TARIFF_PROFILES!$A:$A,$B77)),1),"")))</f>
        <v/>
      </c>
      <c r="K77" s="36" t="str">
        <f>IF($C77="","",IF($C77="Material",IFERROR(SUMIFS(MATERIAL_MASTER!$P:$P,MATERIAL_MASTER!$A:$A,$D77)*IF(SUMIFS(MATERIAL_TARIFF_RULES!$F:$F,MATERIAL_TARIFF_RULES!$A:$A,$D77,MATERIAL_TARIFF_RULES!$C:$C,$B77)="",SUMIFS(TARIFF_PROFILES!$H:$H,TARIFF_PROFILES!$A:$A,$B77),SUMIFS(MATERIAL_TARIFF_RULES!$F:$F,MATERIAL_TARIFF_RULES!$A:$A,$D77,MATERIAL_TARIFF_RULES!$C:$C,$B77)),1),1))</f>
        <v/>
      </c>
      <c r="L77" s="36" t="str">
        <f t="shared" si="1"/>
        <v/>
      </c>
      <c r="M77" s="36" t="str">
        <f t="shared" si="2"/>
        <v/>
      </c>
      <c r="N77" s="36" t="str">
        <f t="shared" si="3"/>
        <v/>
      </c>
      <c r="O77" s="11" t="str">
        <f t="shared" si="4"/>
        <v/>
      </c>
    </row>
    <row r="78" ht="14.25" customHeight="1">
      <c r="A78" s="11"/>
      <c r="B78" s="11"/>
      <c r="C78" s="11"/>
      <c r="D78" s="11"/>
      <c r="E78" s="11"/>
      <c r="F78" s="11" t="str">
        <f>IF($C78="","",IF($C78="Work",IFERROR(IF(SUMIFS(WORK_TARIFF_RULES!$G:$G,WORK_TARIFF_RULES!$A:$A,$D78,WORK_TARIFF_RULES!$C:$C,$B78)&lt;&gt;"",SUMIFS(WORK_TARIFF_RULES!$G:$G,WORK_TARIFF_RULES!$A:$A,$D78,WORK_TARIFF_RULES!$C:$C,$B78),SUMIFS(WORK_MASTER!$C:$C,WORK_MASTER!$A:$A,$D78)),""),IF($C78="Material",IFERROR(IF(SUMIFS(MATERIAL_TARIFF_RULES!$G:$G,MATERIAL_TARIFF_RULES!$A:$A,$D78,MATERIAL_TARIFF_RULES!$C:$C,$B78)&lt;&gt;"",SUMIFS(MATERIAL_TARIFF_RULES!$G:$G,MATERIAL_TARIFF_RULES!$A:$A,$D78,MATERIAL_TARIFF_RULES!$C:$C,$B78),SUMIFS(MATERIAL_VARIANTS!$J:$J,MATERIAL_VARIANTS!$A:$A,$E78)),""),"")))</f>
        <v/>
      </c>
      <c r="G78" s="36"/>
      <c r="H78" s="36" t="str">
        <f>IF($C78="","",IF($C78="Work",IFERROR(SUMIFS(WORK_MASTER!$I:$I,WORK_MASTER!$A:$A,$D78),""),IF($C78="Material",IFERROR(SUMIFS(MATERIAL_VARIANTS!$I:$I,MATERIAL_VARIANTS!$A:$A,$E78),""),"")))</f>
        <v/>
      </c>
      <c r="I78" s="36" t="str">
        <f>IF($C78="","",IF($C78="Work",IFERROR(SUMIFS(WORK_FACTOR_APPLICABILITY!$O:$O,WORK_FACTOR_APPLICABILITY!$A:$A,$D78,WORK_FACTOR_APPLICABILITY!$N:$N,$A78),1),IF($C78="Material",IFERROR(ROUND(1+SUMIFS(MATERIAL_FACTOR_APPLICABILITY!$D:$D,MATERIAL_FACTOR_APPLICABILITY!$A:$A,SUMIFS(MATERIAL_MASTER!$O:$O,MATERIAL_MASTER!$A:$A,$D78),MATERIAL_FACTOR_APPLICABILITY!$B:$B,"GeometryComplexity")*(SUMIFS(OBJECT_CONDITIONS!$W:$W,OBJECT_CONDITIONS!$A:$A,$A78)-1),3),1),"")))</f>
        <v/>
      </c>
      <c r="J78" s="36" t="str">
        <f>IF($C78="","",IF($C78="Work",IFERROR(IF(SUMIFS(WORK_TARIFF_RULES!$F:$F,WORK_TARIFF_RULES!$A:$A,$D78,WORK_TARIFF_RULES!$C:$C,$B78)&lt;&gt;"",SUMIFS(WORK_TARIFF_RULES!$F:$F,WORK_TARIFF_RULES!$A:$A,$D78,WORK_TARIFF_RULES!$C:$C,$B78),SUMIFS(TARIFF_PROFILES!$D:$D,TARIFF_PROFILES!$A:$A,$B78)),1),IF($C78="Material",IFERROR(IF(SUMIFS(MATERIAL_TARIFF_RULES!$E:$E,MATERIAL_TARIFF_RULES!$A:$A,$D78,MATERIAL_TARIFF_RULES!$C:$C,$B78)&lt;&gt;"",SUMIFS(MATERIAL_TARIFF_RULES!$E:$E,MATERIAL_TARIFF_RULES!$A:$A,$D78,MATERIAL_TARIFF_RULES!$C:$C,$B78),SUMIFS(TARIFF_PROFILES!$E:$E,TARIFF_PROFILES!$A:$A,$B78)),1),"")))</f>
        <v/>
      </c>
      <c r="K78" s="36" t="str">
        <f>IF($C78="","",IF($C78="Material",IFERROR(SUMIFS(MATERIAL_MASTER!$P:$P,MATERIAL_MASTER!$A:$A,$D78)*IF(SUMIFS(MATERIAL_TARIFF_RULES!$F:$F,MATERIAL_TARIFF_RULES!$A:$A,$D78,MATERIAL_TARIFF_RULES!$C:$C,$B78)="",SUMIFS(TARIFF_PROFILES!$H:$H,TARIFF_PROFILES!$A:$A,$B78),SUMIFS(MATERIAL_TARIFF_RULES!$F:$F,MATERIAL_TARIFF_RULES!$A:$A,$D78,MATERIAL_TARIFF_RULES!$C:$C,$B78)),1),1))</f>
        <v/>
      </c>
      <c r="L78" s="36" t="str">
        <f t="shared" si="1"/>
        <v/>
      </c>
      <c r="M78" s="36" t="str">
        <f t="shared" si="2"/>
        <v/>
      </c>
      <c r="N78" s="36" t="str">
        <f t="shared" si="3"/>
        <v/>
      </c>
      <c r="O78" s="11" t="str">
        <f t="shared" si="4"/>
        <v/>
      </c>
    </row>
    <row r="79" ht="14.25" customHeight="1">
      <c r="A79" s="11"/>
      <c r="B79" s="11"/>
      <c r="C79" s="11"/>
      <c r="D79" s="11"/>
      <c r="E79" s="11"/>
      <c r="F79" s="11" t="str">
        <f>IF($C79="","",IF($C79="Work",IFERROR(IF(SUMIFS(WORK_TARIFF_RULES!$G:$G,WORK_TARIFF_RULES!$A:$A,$D79,WORK_TARIFF_RULES!$C:$C,$B79)&lt;&gt;"",SUMIFS(WORK_TARIFF_RULES!$G:$G,WORK_TARIFF_RULES!$A:$A,$D79,WORK_TARIFF_RULES!$C:$C,$B79),SUMIFS(WORK_MASTER!$C:$C,WORK_MASTER!$A:$A,$D79)),""),IF($C79="Material",IFERROR(IF(SUMIFS(MATERIAL_TARIFF_RULES!$G:$G,MATERIAL_TARIFF_RULES!$A:$A,$D79,MATERIAL_TARIFF_RULES!$C:$C,$B79)&lt;&gt;"",SUMIFS(MATERIAL_TARIFF_RULES!$G:$G,MATERIAL_TARIFF_RULES!$A:$A,$D79,MATERIAL_TARIFF_RULES!$C:$C,$B79),SUMIFS(MATERIAL_VARIANTS!$J:$J,MATERIAL_VARIANTS!$A:$A,$E79)),""),"")))</f>
        <v/>
      </c>
      <c r="G79" s="36"/>
      <c r="H79" s="36" t="str">
        <f>IF($C79="","",IF($C79="Work",IFERROR(SUMIFS(WORK_MASTER!$I:$I,WORK_MASTER!$A:$A,$D79),""),IF($C79="Material",IFERROR(SUMIFS(MATERIAL_VARIANTS!$I:$I,MATERIAL_VARIANTS!$A:$A,$E79),""),"")))</f>
        <v/>
      </c>
      <c r="I79" s="36" t="str">
        <f>IF($C79="","",IF($C79="Work",IFERROR(SUMIFS(WORK_FACTOR_APPLICABILITY!$O:$O,WORK_FACTOR_APPLICABILITY!$A:$A,$D79,WORK_FACTOR_APPLICABILITY!$N:$N,$A79),1),IF($C79="Material",IFERROR(ROUND(1+SUMIFS(MATERIAL_FACTOR_APPLICABILITY!$D:$D,MATERIAL_FACTOR_APPLICABILITY!$A:$A,SUMIFS(MATERIAL_MASTER!$O:$O,MATERIAL_MASTER!$A:$A,$D79),MATERIAL_FACTOR_APPLICABILITY!$B:$B,"GeometryComplexity")*(SUMIFS(OBJECT_CONDITIONS!$W:$W,OBJECT_CONDITIONS!$A:$A,$A79)-1),3),1),"")))</f>
        <v/>
      </c>
      <c r="J79" s="36" t="str">
        <f>IF($C79="","",IF($C79="Work",IFERROR(IF(SUMIFS(WORK_TARIFF_RULES!$F:$F,WORK_TARIFF_RULES!$A:$A,$D79,WORK_TARIFF_RULES!$C:$C,$B79)&lt;&gt;"",SUMIFS(WORK_TARIFF_RULES!$F:$F,WORK_TARIFF_RULES!$A:$A,$D79,WORK_TARIFF_RULES!$C:$C,$B79),SUMIFS(TARIFF_PROFILES!$D:$D,TARIFF_PROFILES!$A:$A,$B79)),1),IF($C79="Material",IFERROR(IF(SUMIFS(MATERIAL_TARIFF_RULES!$E:$E,MATERIAL_TARIFF_RULES!$A:$A,$D79,MATERIAL_TARIFF_RULES!$C:$C,$B79)&lt;&gt;"",SUMIFS(MATERIAL_TARIFF_RULES!$E:$E,MATERIAL_TARIFF_RULES!$A:$A,$D79,MATERIAL_TARIFF_RULES!$C:$C,$B79),SUMIFS(TARIFF_PROFILES!$E:$E,TARIFF_PROFILES!$A:$A,$B79)),1),"")))</f>
        <v/>
      </c>
      <c r="K79" s="36" t="str">
        <f>IF($C79="","",IF($C79="Material",IFERROR(SUMIFS(MATERIAL_MASTER!$P:$P,MATERIAL_MASTER!$A:$A,$D79)*IF(SUMIFS(MATERIAL_TARIFF_RULES!$F:$F,MATERIAL_TARIFF_RULES!$A:$A,$D79,MATERIAL_TARIFF_RULES!$C:$C,$B79)="",SUMIFS(TARIFF_PROFILES!$H:$H,TARIFF_PROFILES!$A:$A,$B79),SUMIFS(MATERIAL_TARIFF_RULES!$F:$F,MATERIAL_TARIFF_RULES!$A:$A,$D79,MATERIAL_TARIFF_RULES!$C:$C,$B79)),1),1))</f>
        <v/>
      </c>
      <c r="L79" s="36" t="str">
        <f t="shared" si="1"/>
        <v/>
      </c>
      <c r="M79" s="36" t="str">
        <f t="shared" si="2"/>
        <v/>
      </c>
      <c r="N79" s="36" t="str">
        <f t="shared" si="3"/>
        <v/>
      </c>
      <c r="O79" s="11" t="str">
        <f t="shared" si="4"/>
        <v/>
      </c>
    </row>
    <row r="80" ht="14.25" customHeight="1">
      <c r="A80" s="11"/>
      <c r="B80" s="11"/>
      <c r="C80" s="11"/>
      <c r="D80" s="11"/>
      <c r="E80" s="11"/>
      <c r="F80" s="11" t="str">
        <f>IF($C80="","",IF($C80="Work",IFERROR(IF(SUMIFS(WORK_TARIFF_RULES!$G:$G,WORK_TARIFF_RULES!$A:$A,$D80,WORK_TARIFF_RULES!$C:$C,$B80)&lt;&gt;"",SUMIFS(WORK_TARIFF_RULES!$G:$G,WORK_TARIFF_RULES!$A:$A,$D80,WORK_TARIFF_RULES!$C:$C,$B80),SUMIFS(WORK_MASTER!$C:$C,WORK_MASTER!$A:$A,$D80)),""),IF($C80="Material",IFERROR(IF(SUMIFS(MATERIAL_TARIFF_RULES!$G:$G,MATERIAL_TARIFF_RULES!$A:$A,$D80,MATERIAL_TARIFF_RULES!$C:$C,$B80)&lt;&gt;"",SUMIFS(MATERIAL_TARIFF_RULES!$G:$G,MATERIAL_TARIFF_RULES!$A:$A,$D80,MATERIAL_TARIFF_RULES!$C:$C,$B80),SUMIFS(MATERIAL_VARIANTS!$J:$J,MATERIAL_VARIANTS!$A:$A,$E80)),""),"")))</f>
        <v/>
      </c>
      <c r="G80" s="36"/>
      <c r="H80" s="36" t="str">
        <f>IF($C80="","",IF($C80="Work",IFERROR(SUMIFS(WORK_MASTER!$I:$I,WORK_MASTER!$A:$A,$D80),""),IF($C80="Material",IFERROR(SUMIFS(MATERIAL_VARIANTS!$I:$I,MATERIAL_VARIANTS!$A:$A,$E80),""),"")))</f>
        <v/>
      </c>
      <c r="I80" s="36" t="str">
        <f>IF($C80="","",IF($C80="Work",IFERROR(SUMIFS(WORK_FACTOR_APPLICABILITY!$O:$O,WORK_FACTOR_APPLICABILITY!$A:$A,$D80,WORK_FACTOR_APPLICABILITY!$N:$N,$A80),1),IF($C80="Material",IFERROR(ROUND(1+SUMIFS(MATERIAL_FACTOR_APPLICABILITY!$D:$D,MATERIAL_FACTOR_APPLICABILITY!$A:$A,SUMIFS(MATERIAL_MASTER!$O:$O,MATERIAL_MASTER!$A:$A,$D80),MATERIAL_FACTOR_APPLICABILITY!$B:$B,"GeometryComplexity")*(SUMIFS(OBJECT_CONDITIONS!$W:$W,OBJECT_CONDITIONS!$A:$A,$A80)-1),3),1),"")))</f>
        <v/>
      </c>
      <c r="J80" s="36" t="str">
        <f>IF($C80="","",IF($C80="Work",IFERROR(IF(SUMIFS(WORK_TARIFF_RULES!$F:$F,WORK_TARIFF_RULES!$A:$A,$D80,WORK_TARIFF_RULES!$C:$C,$B80)&lt;&gt;"",SUMIFS(WORK_TARIFF_RULES!$F:$F,WORK_TARIFF_RULES!$A:$A,$D80,WORK_TARIFF_RULES!$C:$C,$B80),SUMIFS(TARIFF_PROFILES!$D:$D,TARIFF_PROFILES!$A:$A,$B80)),1),IF($C80="Material",IFERROR(IF(SUMIFS(MATERIAL_TARIFF_RULES!$E:$E,MATERIAL_TARIFF_RULES!$A:$A,$D80,MATERIAL_TARIFF_RULES!$C:$C,$B80)&lt;&gt;"",SUMIFS(MATERIAL_TARIFF_RULES!$E:$E,MATERIAL_TARIFF_RULES!$A:$A,$D80,MATERIAL_TARIFF_RULES!$C:$C,$B80),SUMIFS(TARIFF_PROFILES!$E:$E,TARIFF_PROFILES!$A:$A,$B80)),1),"")))</f>
        <v/>
      </c>
      <c r="K80" s="36" t="str">
        <f>IF($C80="","",IF($C80="Material",IFERROR(SUMIFS(MATERIAL_MASTER!$P:$P,MATERIAL_MASTER!$A:$A,$D80)*IF(SUMIFS(MATERIAL_TARIFF_RULES!$F:$F,MATERIAL_TARIFF_RULES!$A:$A,$D80,MATERIAL_TARIFF_RULES!$C:$C,$B80)="",SUMIFS(TARIFF_PROFILES!$H:$H,TARIFF_PROFILES!$A:$A,$B80),SUMIFS(MATERIAL_TARIFF_RULES!$F:$F,MATERIAL_TARIFF_RULES!$A:$A,$D80,MATERIAL_TARIFF_RULES!$C:$C,$B80)),1),1))</f>
        <v/>
      </c>
      <c r="L80" s="36" t="str">
        <f t="shared" si="1"/>
        <v/>
      </c>
      <c r="M80" s="36" t="str">
        <f t="shared" si="2"/>
        <v/>
      </c>
      <c r="N80" s="36" t="str">
        <f t="shared" si="3"/>
        <v/>
      </c>
      <c r="O80" s="11" t="str">
        <f t="shared" si="4"/>
        <v/>
      </c>
    </row>
    <row r="81" ht="14.25" customHeight="1">
      <c r="A81" s="11"/>
      <c r="B81" s="11"/>
      <c r="C81" s="11"/>
      <c r="D81" s="11"/>
      <c r="E81" s="11"/>
      <c r="F81" s="11" t="str">
        <f>IF($C81="","",IF($C81="Work",IFERROR(IF(SUMIFS(WORK_TARIFF_RULES!$G:$G,WORK_TARIFF_RULES!$A:$A,$D81,WORK_TARIFF_RULES!$C:$C,$B81)&lt;&gt;"",SUMIFS(WORK_TARIFF_RULES!$G:$G,WORK_TARIFF_RULES!$A:$A,$D81,WORK_TARIFF_RULES!$C:$C,$B81),SUMIFS(WORK_MASTER!$C:$C,WORK_MASTER!$A:$A,$D81)),""),IF($C81="Material",IFERROR(IF(SUMIFS(MATERIAL_TARIFF_RULES!$G:$G,MATERIAL_TARIFF_RULES!$A:$A,$D81,MATERIAL_TARIFF_RULES!$C:$C,$B81)&lt;&gt;"",SUMIFS(MATERIAL_TARIFF_RULES!$G:$G,MATERIAL_TARIFF_RULES!$A:$A,$D81,MATERIAL_TARIFF_RULES!$C:$C,$B81),SUMIFS(MATERIAL_VARIANTS!$J:$J,MATERIAL_VARIANTS!$A:$A,$E81)),""),"")))</f>
        <v/>
      </c>
      <c r="G81" s="36"/>
      <c r="H81" s="36" t="str">
        <f>IF($C81="","",IF($C81="Work",IFERROR(SUMIFS(WORK_MASTER!$I:$I,WORK_MASTER!$A:$A,$D81),""),IF($C81="Material",IFERROR(SUMIFS(MATERIAL_VARIANTS!$I:$I,MATERIAL_VARIANTS!$A:$A,$E81),""),"")))</f>
        <v/>
      </c>
      <c r="I81" s="36" t="str">
        <f>IF($C81="","",IF($C81="Work",IFERROR(SUMIFS(WORK_FACTOR_APPLICABILITY!$O:$O,WORK_FACTOR_APPLICABILITY!$A:$A,$D81,WORK_FACTOR_APPLICABILITY!$N:$N,$A81),1),IF($C81="Material",IFERROR(ROUND(1+SUMIFS(MATERIAL_FACTOR_APPLICABILITY!$D:$D,MATERIAL_FACTOR_APPLICABILITY!$A:$A,SUMIFS(MATERIAL_MASTER!$O:$O,MATERIAL_MASTER!$A:$A,$D81),MATERIAL_FACTOR_APPLICABILITY!$B:$B,"GeometryComplexity")*(SUMIFS(OBJECT_CONDITIONS!$W:$W,OBJECT_CONDITIONS!$A:$A,$A81)-1),3),1),"")))</f>
        <v/>
      </c>
      <c r="J81" s="36" t="str">
        <f>IF($C81="","",IF($C81="Work",IFERROR(IF(SUMIFS(WORK_TARIFF_RULES!$F:$F,WORK_TARIFF_RULES!$A:$A,$D81,WORK_TARIFF_RULES!$C:$C,$B81)&lt;&gt;"",SUMIFS(WORK_TARIFF_RULES!$F:$F,WORK_TARIFF_RULES!$A:$A,$D81,WORK_TARIFF_RULES!$C:$C,$B81),SUMIFS(TARIFF_PROFILES!$D:$D,TARIFF_PROFILES!$A:$A,$B81)),1),IF($C81="Material",IFERROR(IF(SUMIFS(MATERIAL_TARIFF_RULES!$E:$E,MATERIAL_TARIFF_RULES!$A:$A,$D81,MATERIAL_TARIFF_RULES!$C:$C,$B81)&lt;&gt;"",SUMIFS(MATERIAL_TARIFF_RULES!$E:$E,MATERIAL_TARIFF_RULES!$A:$A,$D81,MATERIAL_TARIFF_RULES!$C:$C,$B81),SUMIFS(TARIFF_PROFILES!$E:$E,TARIFF_PROFILES!$A:$A,$B81)),1),"")))</f>
        <v/>
      </c>
      <c r="K81" s="36" t="str">
        <f>IF($C81="","",IF($C81="Material",IFERROR(SUMIFS(MATERIAL_MASTER!$P:$P,MATERIAL_MASTER!$A:$A,$D81)*IF(SUMIFS(MATERIAL_TARIFF_RULES!$F:$F,MATERIAL_TARIFF_RULES!$A:$A,$D81,MATERIAL_TARIFF_RULES!$C:$C,$B81)="",SUMIFS(TARIFF_PROFILES!$H:$H,TARIFF_PROFILES!$A:$A,$B81),SUMIFS(MATERIAL_TARIFF_RULES!$F:$F,MATERIAL_TARIFF_RULES!$A:$A,$D81,MATERIAL_TARIFF_RULES!$C:$C,$B81)),1),1))</f>
        <v/>
      </c>
      <c r="L81" s="36" t="str">
        <f t="shared" si="1"/>
        <v/>
      </c>
      <c r="M81" s="36" t="str">
        <f t="shared" si="2"/>
        <v/>
      </c>
      <c r="N81" s="36" t="str">
        <f t="shared" si="3"/>
        <v/>
      </c>
      <c r="O81" s="11" t="str">
        <f t="shared" si="4"/>
        <v/>
      </c>
    </row>
    <row r="82" ht="14.25" customHeight="1">
      <c r="A82" s="11"/>
      <c r="B82" s="11"/>
      <c r="C82" s="11"/>
      <c r="D82" s="11"/>
      <c r="E82" s="11"/>
      <c r="F82" s="11" t="str">
        <f>IF($C82="","",IF($C82="Work",IFERROR(IF(SUMIFS(WORK_TARIFF_RULES!$G:$G,WORK_TARIFF_RULES!$A:$A,$D82,WORK_TARIFF_RULES!$C:$C,$B82)&lt;&gt;"",SUMIFS(WORK_TARIFF_RULES!$G:$G,WORK_TARIFF_RULES!$A:$A,$D82,WORK_TARIFF_RULES!$C:$C,$B82),SUMIFS(WORK_MASTER!$C:$C,WORK_MASTER!$A:$A,$D82)),""),IF($C82="Material",IFERROR(IF(SUMIFS(MATERIAL_TARIFF_RULES!$G:$G,MATERIAL_TARIFF_RULES!$A:$A,$D82,MATERIAL_TARIFF_RULES!$C:$C,$B82)&lt;&gt;"",SUMIFS(MATERIAL_TARIFF_RULES!$G:$G,MATERIAL_TARIFF_RULES!$A:$A,$D82,MATERIAL_TARIFF_RULES!$C:$C,$B82),SUMIFS(MATERIAL_VARIANTS!$J:$J,MATERIAL_VARIANTS!$A:$A,$E82)),""),"")))</f>
        <v/>
      </c>
      <c r="G82" s="36"/>
      <c r="H82" s="36" t="str">
        <f>IF($C82="","",IF($C82="Work",IFERROR(SUMIFS(WORK_MASTER!$I:$I,WORK_MASTER!$A:$A,$D82),""),IF($C82="Material",IFERROR(SUMIFS(MATERIAL_VARIANTS!$I:$I,MATERIAL_VARIANTS!$A:$A,$E82),""),"")))</f>
        <v/>
      </c>
      <c r="I82" s="36" t="str">
        <f>IF($C82="","",IF($C82="Work",IFERROR(SUMIFS(WORK_FACTOR_APPLICABILITY!$O:$O,WORK_FACTOR_APPLICABILITY!$A:$A,$D82,WORK_FACTOR_APPLICABILITY!$N:$N,$A82),1),IF($C82="Material",IFERROR(ROUND(1+SUMIFS(MATERIAL_FACTOR_APPLICABILITY!$D:$D,MATERIAL_FACTOR_APPLICABILITY!$A:$A,SUMIFS(MATERIAL_MASTER!$O:$O,MATERIAL_MASTER!$A:$A,$D82),MATERIAL_FACTOR_APPLICABILITY!$B:$B,"GeometryComplexity")*(SUMIFS(OBJECT_CONDITIONS!$W:$W,OBJECT_CONDITIONS!$A:$A,$A82)-1),3),1),"")))</f>
        <v/>
      </c>
      <c r="J82" s="36" t="str">
        <f>IF($C82="","",IF($C82="Work",IFERROR(IF(SUMIFS(WORK_TARIFF_RULES!$F:$F,WORK_TARIFF_RULES!$A:$A,$D82,WORK_TARIFF_RULES!$C:$C,$B82)&lt;&gt;"",SUMIFS(WORK_TARIFF_RULES!$F:$F,WORK_TARIFF_RULES!$A:$A,$D82,WORK_TARIFF_RULES!$C:$C,$B82),SUMIFS(TARIFF_PROFILES!$D:$D,TARIFF_PROFILES!$A:$A,$B82)),1),IF($C82="Material",IFERROR(IF(SUMIFS(MATERIAL_TARIFF_RULES!$E:$E,MATERIAL_TARIFF_RULES!$A:$A,$D82,MATERIAL_TARIFF_RULES!$C:$C,$B82)&lt;&gt;"",SUMIFS(MATERIAL_TARIFF_RULES!$E:$E,MATERIAL_TARIFF_RULES!$A:$A,$D82,MATERIAL_TARIFF_RULES!$C:$C,$B82),SUMIFS(TARIFF_PROFILES!$E:$E,TARIFF_PROFILES!$A:$A,$B82)),1),"")))</f>
        <v/>
      </c>
      <c r="K82" s="36" t="str">
        <f>IF($C82="","",IF($C82="Material",IFERROR(SUMIFS(MATERIAL_MASTER!$P:$P,MATERIAL_MASTER!$A:$A,$D82)*IF(SUMIFS(MATERIAL_TARIFF_RULES!$F:$F,MATERIAL_TARIFF_RULES!$A:$A,$D82,MATERIAL_TARIFF_RULES!$C:$C,$B82)="",SUMIFS(TARIFF_PROFILES!$H:$H,TARIFF_PROFILES!$A:$A,$B82),SUMIFS(MATERIAL_TARIFF_RULES!$F:$F,MATERIAL_TARIFF_RULES!$A:$A,$D82,MATERIAL_TARIFF_RULES!$C:$C,$B82)),1),1))</f>
        <v/>
      </c>
      <c r="L82" s="36" t="str">
        <f t="shared" si="1"/>
        <v/>
      </c>
      <c r="M82" s="36" t="str">
        <f t="shared" si="2"/>
        <v/>
      </c>
      <c r="N82" s="36" t="str">
        <f t="shared" si="3"/>
        <v/>
      </c>
      <c r="O82" s="11" t="str">
        <f t="shared" si="4"/>
        <v/>
      </c>
    </row>
    <row r="83" ht="14.25" customHeight="1">
      <c r="A83" s="11"/>
      <c r="B83" s="11"/>
      <c r="C83" s="11"/>
      <c r="D83" s="11"/>
      <c r="E83" s="11"/>
      <c r="F83" s="11" t="str">
        <f>IF($C83="","",IF($C83="Work",IFERROR(IF(SUMIFS(WORK_TARIFF_RULES!$G:$G,WORK_TARIFF_RULES!$A:$A,$D83,WORK_TARIFF_RULES!$C:$C,$B83)&lt;&gt;"",SUMIFS(WORK_TARIFF_RULES!$G:$G,WORK_TARIFF_RULES!$A:$A,$D83,WORK_TARIFF_RULES!$C:$C,$B83),SUMIFS(WORK_MASTER!$C:$C,WORK_MASTER!$A:$A,$D83)),""),IF($C83="Material",IFERROR(IF(SUMIFS(MATERIAL_TARIFF_RULES!$G:$G,MATERIAL_TARIFF_RULES!$A:$A,$D83,MATERIAL_TARIFF_RULES!$C:$C,$B83)&lt;&gt;"",SUMIFS(MATERIAL_TARIFF_RULES!$G:$G,MATERIAL_TARIFF_RULES!$A:$A,$D83,MATERIAL_TARIFF_RULES!$C:$C,$B83),SUMIFS(MATERIAL_VARIANTS!$J:$J,MATERIAL_VARIANTS!$A:$A,$E83)),""),"")))</f>
        <v/>
      </c>
      <c r="G83" s="36"/>
      <c r="H83" s="36" t="str">
        <f>IF($C83="","",IF($C83="Work",IFERROR(SUMIFS(WORK_MASTER!$I:$I,WORK_MASTER!$A:$A,$D83),""),IF($C83="Material",IFERROR(SUMIFS(MATERIAL_VARIANTS!$I:$I,MATERIAL_VARIANTS!$A:$A,$E83),""),"")))</f>
        <v/>
      </c>
      <c r="I83" s="36" t="str">
        <f>IF($C83="","",IF($C83="Work",IFERROR(SUMIFS(WORK_FACTOR_APPLICABILITY!$O:$O,WORK_FACTOR_APPLICABILITY!$A:$A,$D83,WORK_FACTOR_APPLICABILITY!$N:$N,$A83),1),IF($C83="Material",IFERROR(ROUND(1+SUMIFS(MATERIAL_FACTOR_APPLICABILITY!$D:$D,MATERIAL_FACTOR_APPLICABILITY!$A:$A,SUMIFS(MATERIAL_MASTER!$O:$O,MATERIAL_MASTER!$A:$A,$D83),MATERIAL_FACTOR_APPLICABILITY!$B:$B,"GeometryComplexity")*(SUMIFS(OBJECT_CONDITIONS!$W:$W,OBJECT_CONDITIONS!$A:$A,$A83)-1),3),1),"")))</f>
        <v/>
      </c>
      <c r="J83" s="36" t="str">
        <f>IF($C83="","",IF($C83="Work",IFERROR(IF(SUMIFS(WORK_TARIFF_RULES!$F:$F,WORK_TARIFF_RULES!$A:$A,$D83,WORK_TARIFF_RULES!$C:$C,$B83)&lt;&gt;"",SUMIFS(WORK_TARIFF_RULES!$F:$F,WORK_TARIFF_RULES!$A:$A,$D83,WORK_TARIFF_RULES!$C:$C,$B83),SUMIFS(TARIFF_PROFILES!$D:$D,TARIFF_PROFILES!$A:$A,$B83)),1),IF($C83="Material",IFERROR(IF(SUMIFS(MATERIAL_TARIFF_RULES!$E:$E,MATERIAL_TARIFF_RULES!$A:$A,$D83,MATERIAL_TARIFF_RULES!$C:$C,$B83)&lt;&gt;"",SUMIFS(MATERIAL_TARIFF_RULES!$E:$E,MATERIAL_TARIFF_RULES!$A:$A,$D83,MATERIAL_TARIFF_RULES!$C:$C,$B83),SUMIFS(TARIFF_PROFILES!$E:$E,TARIFF_PROFILES!$A:$A,$B83)),1),"")))</f>
        <v/>
      </c>
      <c r="K83" s="36" t="str">
        <f>IF($C83="","",IF($C83="Material",IFERROR(SUMIFS(MATERIAL_MASTER!$P:$P,MATERIAL_MASTER!$A:$A,$D83)*IF(SUMIFS(MATERIAL_TARIFF_RULES!$F:$F,MATERIAL_TARIFF_RULES!$A:$A,$D83,MATERIAL_TARIFF_RULES!$C:$C,$B83)="",SUMIFS(TARIFF_PROFILES!$H:$H,TARIFF_PROFILES!$A:$A,$B83),SUMIFS(MATERIAL_TARIFF_RULES!$F:$F,MATERIAL_TARIFF_RULES!$A:$A,$D83,MATERIAL_TARIFF_RULES!$C:$C,$B83)),1),1))</f>
        <v/>
      </c>
      <c r="L83" s="36" t="str">
        <f t="shared" si="1"/>
        <v/>
      </c>
      <c r="M83" s="36" t="str">
        <f t="shared" si="2"/>
        <v/>
      </c>
      <c r="N83" s="36" t="str">
        <f t="shared" si="3"/>
        <v/>
      </c>
      <c r="O83" s="11" t="str">
        <f t="shared" si="4"/>
        <v/>
      </c>
    </row>
    <row r="84" ht="14.25" customHeight="1">
      <c r="A84" s="11"/>
      <c r="B84" s="11"/>
      <c r="C84" s="11"/>
      <c r="D84" s="11"/>
      <c r="E84" s="11"/>
      <c r="F84" s="11" t="str">
        <f>IF($C84="","",IF($C84="Work",IFERROR(IF(SUMIFS(WORK_TARIFF_RULES!$G:$G,WORK_TARIFF_RULES!$A:$A,$D84,WORK_TARIFF_RULES!$C:$C,$B84)&lt;&gt;"",SUMIFS(WORK_TARIFF_RULES!$G:$G,WORK_TARIFF_RULES!$A:$A,$D84,WORK_TARIFF_RULES!$C:$C,$B84),SUMIFS(WORK_MASTER!$C:$C,WORK_MASTER!$A:$A,$D84)),""),IF($C84="Material",IFERROR(IF(SUMIFS(MATERIAL_TARIFF_RULES!$G:$G,MATERIAL_TARIFF_RULES!$A:$A,$D84,MATERIAL_TARIFF_RULES!$C:$C,$B84)&lt;&gt;"",SUMIFS(MATERIAL_TARIFF_RULES!$G:$G,MATERIAL_TARIFF_RULES!$A:$A,$D84,MATERIAL_TARIFF_RULES!$C:$C,$B84),SUMIFS(MATERIAL_VARIANTS!$J:$J,MATERIAL_VARIANTS!$A:$A,$E84)),""),"")))</f>
        <v/>
      </c>
      <c r="G84" s="36"/>
      <c r="H84" s="36" t="str">
        <f>IF($C84="","",IF($C84="Work",IFERROR(SUMIFS(WORK_MASTER!$I:$I,WORK_MASTER!$A:$A,$D84),""),IF($C84="Material",IFERROR(SUMIFS(MATERIAL_VARIANTS!$I:$I,MATERIAL_VARIANTS!$A:$A,$E84),""),"")))</f>
        <v/>
      </c>
      <c r="I84" s="36" t="str">
        <f>IF($C84="","",IF($C84="Work",IFERROR(SUMIFS(WORK_FACTOR_APPLICABILITY!$O:$O,WORK_FACTOR_APPLICABILITY!$A:$A,$D84,WORK_FACTOR_APPLICABILITY!$N:$N,$A84),1),IF($C84="Material",IFERROR(ROUND(1+SUMIFS(MATERIAL_FACTOR_APPLICABILITY!$D:$D,MATERIAL_FACTOR_APPLICABILITY!$A:$A,SUMIFS(MATERIAL_MASTER!$O:$O,MATERIAL_MASTER!$A:$A,$D84),MATERIAL_FACTOR_APPLICABILITY!$B:$B,"GeometryComplexity")*(SUMIFS(OBJECT_CONDITIONS!$W:$W,OBJECT_CONDITIONS!$A:$A,$A84)-1),3),1),"")))</f>
        <v/>
      </c>
      <c r="J84" s="36" t="str">
        <f>IF($C84="","",IF($C84="Work",IFERROR(IF(SUMIFS(WORK_TARIFF_RULES!$F:$F,WORK_TARIFF_RULES!$A:$A,$D84,WORK_TARIFF_RULES!$C:$C,$B84)&lt;&gt;"",SUMIFS(WORK_TARIFF_RULES!$F:$F,WORK_TARIFF_RULES!$A:$A,$D84,WORK_TARIFF_RULES!$C:$C,$B84),SUMIFS(TARIFF_PROFILES!$D:$D,TARIFF_PROFILES!$A:$A,$B84)),1),IF($C84="Material",IFERROR(IF(SUMIFS(MATERIAL_TARIFF_RULES!$E:$E,MATERIAL_TARIFF_RULES!$A:$A,$D84,MATERIAL_TARIFF_RULES!$C:$C,$B84)&lt;&gt;"",SUMIFS(MATERIAL_TARIFF_RULES!$E:$E,MATERIAL_TARIFF_RULES!$A:$A,$D84,MATERIAL_TARIFF_RULES!$C:$C,$B84),SUMIFS(TARIFF_PROFILES!$E:$E,TARIFF_PROFILES!$A:$A,$B84)),1),"")))</f>
        <v/>
      </c>
      <c r="K84" s="36" t="str">
        <f>IF($C84="","",IF($C84="Material",IFERROR(SUMIFS(MATERIAL_MASTER!$P:$P,MATERIAL_MASTER!$A:$A,$D84)*IF(SUMIFS(MATERIAL_TARIFF_RULES!$F:$F,MATERIAL_TARIFF_RULES!$A:$A,$D84,MATERIAL_TARIFF_RULES!$C:$C,$B84)="",SUMIFS(TARIFF_PROFILES!$H:$H,TARIFF_PROFILES!$A:$A,$B84),SUMIFS(MATERIAL_TARIFF_RULES!$F:$F,MATERIAL_TARIFF_RULES!$A:$A,$D84,MATERIAL_TARIFF_RULES!$C:$C,$B84)),1),1))</f>
        <v/>
      </c>
      <c r="L84" s="36" t="str">
        <f t="shared" si="1"/>
        <v/>
      </c>
      <c r="M84" s="36" t="str">
        <f t="shared" si="2"/>
        <v/>
      </c>
      <c r="N84" s="36" t="str">
        <f t="shared" si="3"/>
        <v/>
      </c>
      <c r="O84" s="11" t="str">
        <f t="shared" si="4"/>
        <v/>
      </c>
    </row>
    <row r="85" ht="14.25" customHeight="1">
      <c r="A85" s="11"/>
      <c r="B85" s="11"/>
      <c r="C85" s="11"/>
      <c r="D85" s="11"/>
      <c r="E85" s="11"/>
      <c r="F85" s="11" t="str">
        <f>IF($C85="","",IF($C85="Work",IFERROR(IF(SUMIFS(WORK_TARIFF_RULES!$G:$G,WORK_TARIFF_RULES!$A:$A,$D85,WORK_TARIFF_RULES!$C:$C,$B85)&lt;&gt;"",SUMIFS(WORK_TARIFF_RULES!$G:$G,WORK_TARIFF_RULES!$A:$A,$D85,WORK_TARIFF_RULES!$C:$C,$B85),SUMIFS(WORK_MASTER!$C:$C,WORK_MASTER!$A:$A,$D85)),""),IF($C85="Material",IFERROR(IF(SUMIFS(MATERIAL_TARIFF_RULES!$G:$G,MATERIAL_TARIFF_RULES!$A:$A,$D85,MATERIAL_TARIFF_RULES!$C:$C,$B85)&lt;&gt;"",SUMIFS(MATERIAL_TARIFF_RULES!$G:$G,MATERIAL_TARIFF_RULES!$A:$A,$D85,MATERIAL_TARIFF_RULES!$C:$C,$B85),SUMIFS(MATERIAL_VARIANTS!$J:$J,MATERIAL_VARIANTS!$A:$A,$E85)),""),"")))</f>
        <v/>
      </c>
      <c r="G85" s="36"/>
      <c r="H85" s="36" t="str">
        <f>IF($C85="","",IF($C85="Work",IFERROR(SUMIFS(WORK_MASTER!$I:$I,WORK_MASTER!$A:$A,$D85),""),IF($C85="Material",IFERROR(SUMIFS(MATERIAL_VARIANTS!$I:$I,MATERIAL_VARIANTS!$A:$A,$E85),""),"")))</f>
        <v/>
      </c>
      <c r="I85" s="36" t="str">
        <f>IF($C85="","",IF($C85="Work",IFERROR(SUMIFS(WORK_FACTOR_APPLICABILITY!$O:$O,WORK_FACTOR_APPLICABILITY!$A:$A,$D85,WORK_FACTOR_APPLICABILITY!$N:$N,$A85),1),IF($C85="Material",IFERROR(ROUND(1+SUMIFS(MATERIAL_FACTOR_APPLICABILITY!$D:$D,MATERIAL_FACTOR_APPLICABILITY!$A:$A,SUMIFS(MATERIAL_MASTER!$O:$O,MATERIAL_MASTER!$A:$A,$D85),MATERIAL_FACTOR_APPLICABILITY!$B:$B,"GeometryComplexity")*(SUMIFS(OBJECT_CONDITIONS!$W:$W,OBJECT_CONDITIONS!$A:$A,$A85)-1),3),1),"")))</f>
        <v/>
      </c>
      <c r="J85" s="36" t="str">
        <f>IF($C85="","",IF($C85="Work",IFERROR(IF(SUMIFS(WORK_TARIFF_RULES!$F:$F,WORK_TARIFF_RULES!$A:$A,$D85,WORK_TARIFF_RULES!$C:$C,$B85)&lt;&gt;"",SUMIFS(WORK_TARIFF_RULES!$F:$F,WORK_TARIFF_RULES!$A:$A,$D85,WORK_TARIFF_RULES!$C:$C,$B85),SUMIFS(TARIFF_PROFILES!$D:$D,TARIFF_PROFILES!$A:$A,$B85)),1),IF($C85="Material",IFERROR(IF(SUMIFS(MATERIAL_TARIFF_RULES!$E:$E,MATERIAL_TARIFF_RULES!$A:$A,$D85,MATERIAL_TARIFF_RULES!$C:$C,$B85)&lt;&gt;"",SUMIFS(MATERIAL_TARIFF_RULES!$E:$E,MATERIAL_TARIFF_RULES!$A:$A,$D85,MATERIAL_TARIFF_RULES!$C:$C,$B85),SUMIFS(TARIFF_PROFILES!$E:$E,TARIFF_PROFILES!$A:$A,$B85)),1),"")))</f>
        <v/>
      </c>
      <c r="K85" s="36" t="str">
        <f>IF($C85="","",IF($C85="Material",IFERROR(SUMIFS(MATERIAL_MASTER!$P:$P,MATERIAL_MASTER!$A:$A,$D85)*IF(SUMIFS(MATERIAL_TARIFF_RULES!$F:$F,MATERIAL_TARIFF_RULES!$A:$A,$D85,MATERIAL_TARIFF_RULES!$C:$C,$B85)="",SUMIFS(TARIFF_PROFILES!$H:$H,TARIFF_PROFILES!$A:$A,$B85),SUMIFS(MATERIAL_TARIFF_RULES!$F:$F,MATERIAL_TARIFF_RULES!$A:$A,$D85,MATERIAL_TARIFF_RULES!$C:$C,$B85)),1),1))</f>
        <v/>
      </c>
      <c r="L85" s="36" t="str">
        <f t="shared" si="1"/>
        <v/>
      </c>
      <c r="M85" s="36" t="str">
        <f t="shared" si="2"/>
        <v/>
      </c>
      <c r="N85" s="36" t="str">
        <f t="shared" si="3"/>
        <v/>
      </c>
      <c r="O85" s="11" t="str">
        <f t="shared" si="4"/>
        <v/>
      </c>
    </row>
    <row r="86" ht="14.25" customHeight="1">
      <c r="A86" s="11"/>
      <c r="B86" s="11"/>
      <c r="C86" s="11"/>
      <c r="D86" s="11"/>
      <c r="E86" s="11"/>
      <c r="F86" s="11" t="str">
        <f>IF($C86="","",IF($C86="Work",IFERROR(IF(SUMIFS(WORK_TARIFF_RULES!$G:$G,WORK_TARIFF_RULES!$A:$A,$D86,WORK_TARIFF_RULES!$C:$C,$B86)&lt;&gt;"",SUMIFS(WORK_TARIFF_RULES!$G:$G,WORK_TARIFF_RULES!$A:$A,$D86,WORK_TARIFF_RULES!$C:$C,$B86),SUMIFS(WORK_MASTER!$C:$C,WORK_MASTER!$A:$A,$D86)),""),IF($C86="Material",IFERROR(IF(SUMIFS(MATERIAL_TARIFF_RULES!$G:$G,MATERIAL_TARIFF_RULES!$A:$A,$D86,MATERIAL_TARIFF_RULES!$C:$C,$B86)&lt;&gt;"",SUMIFS(MATERIAL_TARIFF_RULES!$G:$G,MATERIAL_TARIFF_RULES!$A:$A,$D86,MATERIAL_TARIFF_RULES!$C:$C,$B86),SUMIFS(MATERIAL_VARIANTS!$J:$J,MATERIAL_VARIANTS!$A:$A,$E86)),""),"")))</f>
        <v/>
      </c>
      <c r="G86" s="36"/>
      <c r="H86" s="36" t="str">
        <f>IF($C86="","",IF($C86="Work",IFERROR(SUMIFS(WORK_MASTER!$I:$I,WORK_MASTER!$A:$A,$D86),""),IF($C86="Material",IFERROR(SUMIFS(MATERIAL_VARIANTS!$I:$I,MATERIAL_VARIANTS!$A:$A,$E86),""),"")))</f>
        <v/>
      </c>
      <c r="I86" s="36" t="str">
        <f>IF($C86="","",IF($C86="Work",IFERROR(SUMIFS(WORK_FACTOR_APPLICABILITY!$O:$O,WORK_FACTOR_APPLICABILITY!$A:$A,$D86,WORK_FACTOR_APPLICABILITY!$N:$N,$A86),1),IF($C86="Material",IFERROR(ROUND(1+SUMIFS(MATERIAL_FACTOR_APPLICABILITY!$D:$D,MATERIAL_FACTOR_APPLICABILITY!$A:$A,SUMIFS(MATERIAL_MASTER!$O:$O,MATERIAL_MASTER!$A:$A,$D86),MATERIAL_FACTOR_APPLICABILITY!$B:$B,"GeometryComplexity")*(SUMIFS(OBJECT_CONDITIONS!$W:$W,OBJECT_CONDITIONS!$A:$A,$A86)-1),3),1),"")))</f>
        <v/>
      </c>
      <c r="J86" s="36" t="str">
        <f>IF($C86="","",IF($C86="Work",IFERROR(IF(SUMIFS(WORK_TARIFF_RULES!$F:$F,WORK_TARIFF_RULES!$A:$A,$D86,WORK_TARIFF_RULES!$C:$C,$B86)&lt;&gt;"",SUMIFS(WORK_TARIFF_RULES!$F:$F,WORK_TARIFF_RULES!$A:$A,$D86,WORK_TARIFF_RULES!$C:$C,$B86),SUMIFS(TARIFF_PROFILES!$D:$D,TARIFF_PROFILES!$A:$A,$B86)),1),IF($C86="Material",IFERROR(IF(SUMIFS(MATERIAL_TARIFF_RULES!$E:$E,MATERIAL_TARIFF_RULES!$A:$A,$D86,MATERIAL_TARIFF_RULES!$C:$C,$B86)&lt;&gt;"",SUMIFS(MATERIAL_TARIFF_RULES!$E:$E,MATERIAL_TARIFF_RULES!$A:$A,$D86,MATERIAL_TARIFF_RULES!$C:$C,$B86),SUMIFS(TARIFF_PROFILES!$E:$E,TARIFF_PROFILES!$A:$A,$B86)),1),"")))</f>
        <v/>
      </c>
      <c r="K86" s="36" t="str">
        <f>IF($C86="","",IF($C86="Material",IFERROR(SUMIFS(MATERIAL_MASTER!$P:$P,MATERIAL_MASTER!$A:$A,$D86)*IF(SUMIFS(MATERIAL_TARIFF_RULES!$F:$F,MATERIAL_TARIFF_RULES!$A:$A,$D86,MATERIAL_TARIFF_RULES!$C:$C,$B86)="",SUMIFS(TARIFF_PROFILES!$H:$H,TARIFF_PROFILES!$A:$A,$B86),SUMIFS(MATERIAL_TARIFF_RULES!$F:$F,MATERIAL_TARIFF_RULES!$A:$A,$D86,MATERIAL_TARIFF_RULES!$C:$C,$B86)),1),1))</f>
        <v/>
      </c>
      <c r="L86" s="36" t="str">
        <f t="shared" si="1"/>
        <v/>
      </c>
      <c r="M86" s="36" t="str">
        <f t="shared" si="2"/>
        <v/>
      </c>
      <c r="N86" s="36" t="str">
        <f t="shared" si="3"/>
        <v/>
      </c>
      <c r="O86" s="11" t="str">
        <f t="shared" si="4"/>
        <v/>
      </c>
    </row>
    <row r="87" ht="14.25" customHeight="1">
      <c r="A87" s="11"/>
      <c r="B87" s="11"/>
      <c r="C87" s="11"/>
      <c r="D87" s="11"/>
      <c r="E87" s="11"/>
      <c r="F87" s="11" t="str">
        <f>IF($C87="","",IF($C87="Work",IFERROR(IF(SUMIFS(WORK_TARIFF_RULES!$G:$G,WORK_TARIFF_RULES!$A:$A,$D87,WORK_TARIFF_RULES!$C:$C,$B87)&lt;&gt;"",SUMIFS(WORK_TARIFF_RULES!$G:$G,WORK_TARIFF_RULES!$A:$A,$D87,WORK_TARIFF_RULES!$C:$C,$B87),SUMIFS(WORK_MASTER!$C:$C,WORK_MASTER!$A:$A,$D87)),""),IF($C87="Material",IFERROR(IF(SUMIFS(MATERIAL_TARIFF_RULES!$G:$G,MATERIAL_TARIFF_RULES!$A:$A,$D87,MATERIAL_TARIFF_RULES!$C:$C,$B87)&lt;&gt;"",SUMIFS(MATERIAL_TARIFF_RULES!$G:$G,MATERIAL_TARIFF_RULES!$A:$A,$D87,MATERIAL_TARIFF_RULES!$C:$C,$B87),SUMIFS(MATERIAL_VARIANTS!$J:$J,MATERIAL_VARIANTS!$A:$A,$E87)),""),"")))</f>
        <v/>
      </c>
      <c r="G87" s="36"/>
      <c r="H87" s="36" t="str">
        <f>IF($C87="","",IF($C87="Work",IFERROR(SUMIFS(WORK_MASTER!$I:$I,WORK_MASTER!$A:$A,$D87),""),IF($C87="Material",IFERROR(SUMIFS(MATERIAL_VARIANTS!$I:$I,MATERIAL_VARIANTS!$A:$A,$E87),""),"")))</f>
        <v/>
      </c>
      <c r="I87" s="36" t="str">
        <f>IF($C87="","",IF($C87="Work",IFERROR(SUMIFS(WORK_FACTOR_APPLICABILITY!$O:$O,WORK_FACTOR_APPLICABILITY!$A:$A,$D87,WORK_FACTOR_APPLICABILITY!$N:$N,$A87),1),IF($C87="Material",IFERROR(ROUND(1+SUMIFS(MATERIAL_FACTOR_APPLICABILITY!$D:$D,MATERIAL_FACTOR_APPLICABILITY!$A:$A,SUMIFS(MATERIAL_MASTER!$O:$O,MATERIAL_MASTER!$A:$A,$D87),MATERIAL_FACTOR_APPLICABILITY!$B:$B,"GeometryComplexity")*(SUMIFS(OBJECT_CONDITIONS!$W:$W,OBJECT_CONDITIONS!$A:$A,$A87)-1),3),1),"")))</f>
        <v/>
      </c>
      <c r="J87" s="36" t="str">
        <f>IF($C87="","",IF($C87="Work",IFERROR(IF(SUMIFS(WORK_TARIFF_RULES!$F:$F,WORK_TARIFF_RULES!$A:$A,$D87,WORK_TARIFF_RULES!$C:$C,$B87)&lt;&gt;"",SUMIFS(WORK_TARIFF_RULES!$F:$F,WORK_TARIFF_RULES!$A:$A,$D87,WORK_TARIFF_RULES!$C:$C,$B87),SUMIFS(TARIFF_PROFILES!$D:$D,TARIFF_PROFILES!$A:$A,$B87)),1),IF($C87="Material",IFERROR(IF(SUMIFS(MATERIAL_TARIFF_RULES!$E:$E,MATERIAL_TARIFF_RULES!$A:$A,$D87,MATERIAL_TARIFF_RULES!$C:$C,$B87)&lt;&gt;"",SUMIFS(MATERIAL_TARIFF_RULES!$E:$E,MATERIAL_TARIFF_RULES!$A:$A,$D87,MATERIAL_TARIFF_RULES!$C:$C,$B87),SUMIFS(TARIFF_PROFILES!$E:$E,TARIFF_PROFILES!$A:$A,$B87)),1),"")))</f>
        <v/>
      </c>
      <c r="K87" s="36" t="str">
        <f>IF($C87="","",IF($C87="Material",IFERROR(SUMIFS(MATERIAL_MASTER!$P:$P,MATERIAL_MASTER!$A:$A,$D87)*IF(SUMIFS(MATERIAL_TARIFF_RULES!$F:$F,MATERIAL_TARIFF_RULES!$A:$A,$D87,MATERIAL_TARIFF_RULES!$C:$C,$B87)="",SUMIFS(TARIFF_PROFILES!$H:$H,TARIFF_PROFILES!$A:$A,$B87),SUMIFS(MATERIAL_TARIFF_RULES!$F:$F,MATERIAL_TARIFF_RULES!$A:$A,$D87,MATERIAL_TARIFF_RULES!$C:$C,$B87)),1),1))</f>
        <v/>
      </c>
      <c r="L87" s="36" t="str">
        <f t="shared" si="1"/>
        <v/>
      </c>
      <c r="M87" s="36" t="str">
        <f t="shared" si="2"/>
        <v/>
      </c>
      <c r="N87" s="36" t="str">
        <f t="shared" si="3"/>
        <v/>
      </c>
      <c r="O87" s="11" t="str">
        <f t="shared" si="4"/>
        <v/>
      </c>
    </row>
    <row r="88" ht="14.25" customHeight="1">
      <c r="A88" s="11"/>
      <c r="B88" s="11"/>
      <c r="C88" s="11"/>
      <c r="D88" s="11"/>
      <c r="E88" s="11"/>
      <c r="F88" s="11" t="str">
        <f>IF($C88="","",IF($C88="Work",IFERROR(IF(SUMIFS(WORK_TARIFF_RULES!$G:$G,WORK_TARIFF_RULES!$A:$A,$D88,WORK_TARIFF_RULES!$C:$C,$B88)&lt;&gt;"",SUMIFS(WORK_TARIFF_RULES!$G:$G,WORK_TARIFF_RULES!$A:$A,$D88,WORK_TARIFF_RULES!$C:$C,$B88),SUMIFS(WORK_MASTER!$C:$C,WORK_MASTER!$A:$A,$D88)),""),IF($C88="Material",IFERROR(IF(SUMIFS(MATERIAL_TARIFF_RULES!$G:$G,MATERIAL_TARIFF_RULES!$A:$A,$D88,MATERIAL_TARIFF_RULES!$C:$C,$B88)&lt;&gt;"",SUMIFS(MATERIAL_TARIFF_RULES!$G:$G,MATERIAL_TARIFF_RULES!$A:$A,$D88,MATERIAL_TARIFF_RULES!$C:$C,$B88),SUMIFS(MATERIAL_VARIANTS!$J:$J,MATERIAL_VARIANTS!$A:$A,$E88)),""),"")))</f>
        <v/>
      </c>
      <c r="G88" s="36"/>
      <c r="H88" s="36" t="str">
        <f>IF($C88="","",IF($C88="Work",IFERROR(SUMIFS(WORK_MASTER!$I:$I,WORK_MASTER!$A:$A,$D88),""),IF($C88="Material",IFERROR(SUMIFS(MATERIAL_VARIANTS!$I:$I,MATERIAL_VARIANTS!$A:$A,$E88),""),"")))</f>
        <v/>
      </c>
      <c r="I88" s="36" t="str">
        <f>IF($C88="","",IF($C88="Work",IFERROR(SUMIFS(WORK_FACTOR_APPLICABILITY!$O:$O,WORK_FACTOR_APPLICABILITY!$A:$A,$D88,WORK_FACTOR_APPLICABILITY!$N:$N,$A88),1),IF($C88="Material",IFERROR(ROUND(1+SUMIFS(MATERIAL_FACTOR_APPLICABILITY!$D:$D,MATERIAL_FACTOR_APPLICABILITY!$A:$A,SUMIFS(MATERIAL_MASTER!$O:$O,MATERIAL_MASTER!$A:$A,$D88),MATERIAL_FACTOR_APPLICABILITY!$B:$B,"GeometryComplexity")*(SUMIFS(OBJECT_CONDITIONS!$W:$W,OBJECT_CONDITIONS!$A:$A,$A88)-1),3),1),"")))</f>
        <v/>
      </c>
      <c r="J88" s="36" t="str">
        <f>IF($C88="","",IF($C88="Work",IFERROR(IF(SUMIFS(WORK_TARIFF_RULES!$F:$F,WORK_TARIFF_RULES!$A:$A,$D88,WORK_TARIFF_RULES!$C:$C,$B88)&lt;&gt;"",SUMIFS(WORK_TARIFF_RULES!$F:$F,WORK_TARIFF_RULES!$A:$A,$D88,WORK_TARIFF_RULES!$C:$C,$B88),SUMIFS(TARIFF_PROFILES!$D:$D,TARIFF_PROFILES!$A:$A,$B88)),1),IF($C88="Material",IFERROR(IF(SUMIFS(MATERIAL_TARIFF_RULES!$E:$E,MATERIAL_TARIFF_RULES!$A:$A,$D88,MATERIAL_TARIFF_RULES!$C:$C,$B88)&lt;&gt;"",SUMIFS(MATERIAL_TARIFF_RULES!$E:$E,MATERIAL_TARIFF_RULES!$A:$A,$D88,MATERIAL_TARIFF_RULES!$C:$C,$B88),SUMIFS(TARIFF_PROFILES!$E:$E,TARIFF_PROFILES!$A:$A,$B88)),1),"")))</f>
        <v/>
      </c>
      <c r="K88" s="36" t="str">
        <f>IF($C88="","",IF($C88="Material",IFERROR(SUMIFS(MATERIAL_MASTER!$P:$P,MATERIAL_MASTER!$A:$A,$D88)*IF(SUMIFS(MATERIAL_TARIFF_RULES!$F:$F,MATERIAL_TARIFF_RULES!$A:$A,$D88,MATERIAL_TARIFF_RULES!$C:$C,$B88)="",SUMIFS(TARIFF_PROFILES!$H:$H,TARIFF_PROFILES!$A:$A,$B88),SUMIFS(MATERIAL_TARIFF_RULES!$F:$F,MATERIAL_TARIFF_RULES!$A:$A,$D88,MATERIAL_TARIFF_RULES!$C:$C,$B88)),1),1))</f>
        <v/>
      </c>
      <c r="L88" s="36" t="str">
        <f t="shared" si="1"/>
        <v/>
      </c>
      <c r="M88" s="36" t="str">
        <f t="shared" si="2"/>
        <v/>
      </c>
      <c r="N88" s="36" t="str">
        <f t="shared" si="3"/>
        <v/>
      </c>
      <c r="O88" s="11" t="str">
        <f t="shared" si="4"/>
        <v/>
      </c>
    </row>
    <row r="89" ht="14.25" customHeight="1">
      <c r="A89" s="11"/>
      <c r="B89" s="11"/>
      <c r="C89" s="11"/>
      <c r="D89" s="11"/>
      <c r="E89" s="11"/>
      <c r="F89" s="11" t="str">
        <f>IF($C89="","",IF($C89="Work",IFERROR(IF(SUMIFS(WORK_TARIFF_RULES!$G:$G,WORK_TARIFF_RULES!$A:$A,$D89,WORK_TARIFF_RULES!$C:$C,$B89)&lt;&gt;"",SUMIFS(WORK_TARIFF_RULES!$G:$G,WORK_TARIFF_RULES!$A:$A,$D89,WORK_TARIFF_RULES!$C:$C,$B89),SUMIFS(WORK_MASTER!$C:$C,WORK_MASTER!$A:$A,$D89)),""),IF($C89="Material",IFERROR(IF(SUMIFS(MATERIAL_TARIFF_RULES!$G:$G,MATERIAL_TARIFF_RULES!$A:$A,$D89,MATERIAL_TARIFF_RULES!$C:$C,$B89)&lt;&gt;"",SUMIFS(MATERIAL_TARIFF_RULES!$G:$G,MATERIAL_TARIFF_RULES!$A:$A,$D89,MATERIAL_TARIFF_RULES!$C:$C,$B89),SUMIFS(MATERIAL_VARIANTS!$J:$J,MATERIAL_VARIANTS!$A:$A,$E89)),""),"")))</f>
        <v/>
      </c>
      <c r="G89" s="36"/>
      <c r="H89" s="36" t="str">
        <f>IF($C89="","",IF($C89="Work",IFERROR(SUMIFS(WORK_MASTER!$I:$I,WORK_MASTER!$A:$A,$D89),""),IF($C89="Material",IFERROR(SUMIFS(MATERIAL_VARIANTS!$I:$I,MATERIAL_VARIANTS!$A:$A,$E89),""),"")))</f>
        <v/>
      </c>
      <c r="I89" s="36" t="str">
        <f>IF($C89="","",IF($C89="Work",IFERROR(SUMIFS(WORK_FACTOR_APPLICABILITY!$O:$O,WORK_FACTOR_APPLICABILITY!$A:$A,$D89,WORK_FACTOR_APPLICABILITY!$N:$N,$A89),1),IF($C89="Material",IFERROR(ROUND(1+SUMIFS(MATERIAL_FACTOR_APPLICABILITY!$D:$D,MATERIAL_FACTOR_APPLICABILITY!$A:$A,SUMIFS(MATERIAL_MASTER!$O:$O,MATERIAL_MASTER!$A:$A,$D89),MATERIAL_FACTOR_APPLICABILITY!$B:$B,"GeometryComplexity")*(SUMIFS(OBJECT_CONDITIONS!$W:$W,OBJECT_CONDITIONS!$A:$A,$A89)-1),3),1),"")))</f>
        <v/>
      </c>
      <c r="J89" s="36" t="str">
        <f>IF($C89="","",IF($C89="Work",IFERROR(IF(SUMIFS(WORK_TARIFF_RULES!$F:$F,WORK_TARIFF_RULES!$A:$A,$D89,WORK_TARIFF_RULES!$C:$C,$B89)&lt;&gt;"",SUMIFS(WORK_TARIFF_RULES!$F:$F,WORK_TARIFF_RULES!$A:$A,$D89,WORK_TARIFF_RULES!$C:$C,$B89),SUMIFS(TARIFF_PROFILES!$D:$D,TARIFF_PROFILES!$A:$A,$B89)),1),IF($C89="Material",IFERROR(IF(SUMIFS(MATERIAL_TARIFF_RULES!$E:$E,MATERIAL_TARIFF_RULES!$A:$A,$D89,MATERIAL_TARIFF_RULES!$C:$C,$B89)&lt;&gt;"",SUMIFS(MATERIAL_TARIFF_RULES!$E:$E,MATERIAL_TARIFF_RULES!$A:$A,$D89,MATERIAL_TARIFF_RULES!$C:$C,$B89),SUMIFS(TARIFF_PROFILES!$E:$E,TARIFF_PROFILES!$A:$A,$B89)),1),"")))</f>
        <v/>
      </c>
      <c r="K89" s="36" t="str">
        <f>IF($C89="","",IF($C89="Material",IFERROR(SUMIFS(MATERIAL_MASTER!$P:$P,MATERIAL_MASTER!$A:$A,$D89)*IF(SUMIFS(MATERIAL_TARIFF_RULES!$F:$F,MATERIAL_TARIFF_RULES!$A:$A,$D89,MATERIAL_TARIFF_RULES!$C:$C,$B89)="",SUMIFS(TARIFF_PROFILES!$H:$H,TARIFF_PROFILES!$A:$A,$B89),SUMIFS(MATERIAL_TARIFF_RULES!$F:$F,MATERIAL_TARIFF_RULES!$A:$A,$D89,MATERIAL_TARIFF_RULES!$C:$C,$B89)),1),1))</f>
        <v/>
      </c>
      <c r="L89" s="36" t="str">
        <f t="shared" si="1"/>
        <v/>
      </c>
      <c r="M89" s="36" t="str">
        <f t="shared" si="2"/>
        <v/>
      </c>
      <c r="N89" s="36" t="str">
        <f t="shared" si="3"/>
        <v/>
      </c>
      <c r="O89" s="11" t="str">
        <f t="shared" si="4"/>
        <v/>
      </c>
    </row>
    <row r="90" ht="14.25" customHeight="1">
      <c r="A90" s="11"/>
      <c r="B90" s="11"/>
      <c r="C90" s="11"/>
      <c r="D90" s="11"/>
      <c r="E90" s="11"/>
      <c r="F90" s="11" t="str">
        <f>IF($C90="","",IF($C90="Work",IFERROR(IF(SUMIFS(WORK_TARIFF_RULES!$G:$G,WORK_TARIFF_RULES!$A:$A,$D90,WORK_TARIFF_RULES!$C:$C,$B90)&lt;&gt;"",SUMIFS(WORK_TARIFF_RULES!$G:$G,WORK_TARIFF_RULES!$A:$A,$D90,WORK_TARIFF_RULES!$C:$C,$B90),SUMIFS(WORK_MASTER!$C:$C,WORK_MASTER!$A:$A,$D90)),""),IF($C90="Material",IFERROR(IF(SUMIFS(MATERIAL_TARIFF_RULES!$G:$G,MATERIAL_TARIFF_RULES!$A:$A,$D90,MATERIAL_TARIFF_RULES!$C:$C,$B90)&lt;&gt;"",SUMIFS(MATERIAL_TARIFF_RULES!$G:$G,MATERIAL_TARIFF_RULES!$A:$A,$D90,MATERIAL_TARIFF_RULES!$C:$C,$B90),SUMIFS(MATERIAL_VARIANTS!$J:$J,MATERIAL_VARIANTS!$A:$A,$E90)),""),"")))</f>
        <v/>
      </c>
      <c r="G90" s="36"/>
      <c r="H90" s="36" t="str">
        <f>IF($C90="","",IF($C90="Work",IFERROR(SUMIFS(WORK_MASTER!$I:$I,WORK_MASTER!$A:$A,$D90),""),IF($C90="Material",IFERROR(SUMIFS(MATERIAL_VARIANTS!$I:$I,MATERIAL_VARIANTS!$A:$A,$E90),""),"")))</f>
        <v/>
      </c>
      <c r="I90" s="36" t="str">
        <f>IF($C90="","",IF($C90="Work",IFERROR(SUMIFS(WORK_FACTOR_APPLICABILITY!$O:$O,WORK_FACTOR_APPLICABILITY!$A:$A,$D90,WORK_FACTOR_APPLICABILITY!$N:$N,$A90),1),IF($C90="Material",IFERROR(ROUND(1+SUMIFS(MATERIAL_FACTOR_APPLICABILITY!$D:$D,MATERIAL_FACTOR_APPLICABILITY!$A:$A,SUMIFS(MATERIAL_MASTER!$O:$O,MATERIAL_MASTER!$A:$A,$D90),MATERIAL_FACTOR_APPLICABILITY!$B:$B,"GeometryComplexity")*(SUMIFS(OBJECT_CONDITIONS!$W:$W,OBJECT_CONDITIONS!$A:$A,$A90)-1),3),1),"")))</f>
        <v/>
      </c>
      <c r="J90" s="36" t="str">
        <f>IF($C90="","",IF($C90="Work",IFERROR(IF(SUMIFS(WORK_TARIFF_RULES!$F:$F,WORK_TARIFF_RULES!$A:$A,$D90,WORK_TARIFF_RULES!$C:$C,$B90)&lt;&gt;"",SUMIFS(WORK_TARIFF_RULES!$F:$F,WORK_TARIFF_RULES!$A:$A,$D90,WORK_TARIFF_RULES!$C:$C,$B90),SUMIFS(TARIFF_PROFILES!$D:$D,TARIFF_PROFILES!$A:$A,$B90)),1),IF($C90="Material",IFERROR(IF(SUMIFS(MATERIAL_TARIFF_RULES!$E:$E,MATERIAL_TARIFF_RULES!$A:$A,$D90,MATERIAL_TARIFF_RULES!$C:$C,$B90)&lt;&gt;"",SUMIFS(MATERIAL_TARIFF_RULES!$E:$E,MATERIAL_TARIFF_RULES!$A:$A,$D90,MATERIAL_TARIFF_RULES!$C:$C,$B90),SUMIFS(TARIFF_PROFILES!$E:$E,TARIFF_PROFILES!$A:$A,$B90)),1),"")))</f>
        <v/>
      </c>
      <c r="K90" s="36" t="str">
        <f>IF($C90="","",IF($C90="Material",IFERROR(SUMIFS(MATERIAL_MASTER!$P:$P,MATERIAL_MASTER!$A:$A,$D90)*IF(SUMIFS(MATERIAL_TARIFF_RULES!$F:$F,MATERIAL_TARIFF_RULES!$A:$A,$D90,MATERIAL_TARIFF_RULES!$C:$C,$B90)="",SUMIFS(TARIFF_PROFILES!$H:$H,TARIFF_PROFILES!$A:$A,$B90),SUMIFS(MATERIAL_TARIFF_RULES!$F:$F,MATERIAL_TARIFF_RULES!$A:$A,$D90,MATERIAL_TARIFF_RULES!$C:$C,$B90)),1),1))</f>
        <v/>
      </c>
      <c r="L90" s="36" t="str">
        <f t="shared" si="1"/>
        <v/>
      </c>
      <c r="M90" s="36" t="str">
        <f t="shared" si="2"/>
        <v/>
      </c>
      <c r="N90" s="36" t="str">
        <f t="shared" si="3"/>
        <v/>
      </c>
      <c r="O90" s="11" t="str">
        <f t="shared" si="4"/>
        <v/>
      </c>
    </row>
    <row r="91" ht="14.25" customHeight="1">
      <c r="A91" s="11"/>
      <c r="B91" s="11"/>
      <c r="C91" s="11"/>
      <c r="D91" s="11"/>
      <c r="E91" s="11"/>
      <c r="F91" s="11" t="str">
        <f>IF($C91="","",IF($C91="Work",IFERROR(IF(SUMIFS(WORK_TARIFF_RULES!$G:$G,WORK_TARIFF_RULES!$A:$A,$D91,WORK_TARIFF_RULES!$C:$C,$B91)&lt;&gt;"",SUMIFS(WORK_TARIFF_RULES!$G:$G,WORK_TARIFF_RULES!$A:$A,$D91,WORK_TARIFF_RULES!$C:$C,$B91),SUMIFS(WORK_MASTER!$C:$C,WORK_MASTER!$A:$A,$D91)),""),IF($C91="Material",IFERROR(IF(SUMIFS(MATERIAL_TARIFF_RULES!$G:$G,MATERIAL_TARIFF_RULES!$A:$A,$D91,MATERIAL_TARIFF_RULES!$C:$C,$B91)&lt;&gt;"",SUMIFS(MATERIAL_TARIFF_RULES!$G:$G,MATERIAL_TARIFF_RULES!$A:$A,$D91,MATERIAL_TARIFF_RULES!$C:$C,$B91),SUMIFS(MATERIAL_VARIANTS!$J:$J,MATERIAL_VARIANTS!$A:$A,$E91)),""),"")))</f>
        <v/>
      </c>
      <c r="G91" s="36"/>
      <c r="H91" s="36" t="str">
        <f>IF($C91="","",IF($C91="Work",IFERROR(SUMIFS(WORK_MASTER!$I:$I,WORK_MASTER!$A:$A,$D91),""),IF($C91="Material",IFERROR(SUMIFS(MATERIAL_VARIANTS!$I:$I,MATERIAL_VARIANTS!$A:$A,$E91),""),"")))</f>
        <v/>
      </c>
      <c r="I91" s="36" t="str">
        <f>IF($C91="","",IF($C91="Work",IFERROR(SUMIFS(WORK_FACTOR_APPLICABILITY!$O:$O,WORK_FACTOR_APPLICABILITY!$A:$A,$D91,WORK_FACTOR_APPLICABILITY!$N:$N,$A91),1),IF($C91="Material",IFERROR(ROUND(1+SUMIFS(MATERIAL_FACTOR_APPLICABILITY!$D:$D,MATERIAL_FACTOR_APPLICABILITY!$A:$A,SUMIFS(MATERIAL_MASTER!$O:$O,MATERIAL_MASTER!$A:$A,$D91),MATERIAL_FACTOR_APPLICABILITY!$B:$B,"GeometryComplexity")*(SUMIFS(OBJECT_CONDITIONS!$W:$W,OBJECT_CONDITIONS!$A:$A,$A91)-1),3),1),"")))</f>
        <v/>
      </c>
      <c r="J91" s="36" t="str">
        <f>IF($C91="","",IF($C91="Work",IFERROR(IF(SUMIFS(WORK_TARIFF_RULES!$F:$F,WORK_TARIFF_RULES!$A:$A,$D91,WORK_TARIFF_RULES!$C:$C,$B91)&lt;&gt;"",SUMIFS(WORK_TARIFF_RULES!$F:$F,WORK_TARIFF_RULES!$A:$A,$D91,WORK_TARIFF_RULES!$C:$C,$B91),SUMIFS(TARIFF_PROFILES!$D:$D,TARIFF_PROFILES!$A:$A,$B91)),1),IF($C91="Material",IFERROR(IF(SUMIFS(MATERIAL_TARIFF_RULES!$E:$E,MATERIAL_TARIFF_RULES!$A:$A,$D91,MATERIAL_TARIFF_RULES!$C:$C,$B91)&lt;&gt;"",SUMIFS(MATERIAL_TARIFF_RULES!$E:$E,MATERIAL_TARIFF_RULES!$A:$A,$D91,MATERIAL_TARIFF_RULES!$C:$C,$B91),SUMIFS(TARIFF_PROFILES!$E:$E,TARIFF_PROFILES!$A:$A,$B91)),1),"")))</f>
        <v/>
      </c>
      <c r="K91" s="36" t="str">
        <f>IF($C91="","",IF($C91="Material",IFERROR(SUMIFS(MATERIAL_MASTER!$P:$P,MATERIAL_MASTER!$A:$A,$D91)*IF(SUMIFS(MATERIAL_TARIFF_RULES!$F:$F,MATERIAL_TARIFF_RULES!$A:$A,$D91,MATERIAL_TARIFF_RULES!$C:$C,$B91)="",SUMIFS(TARIFF_PROFILES!$H:$H,TARIFF_PROFILES!$A:$A,$B91),SUMIFS(MATERIAL_TARIFF_RULES!$F:$F,MATERIAL_TARIFF_RULES!$A:$A,$D91,MATERIAL_TARIFF_RULES!$C:$C,$B91)),1),1))</f>
        <v/>
      </c>
      <c r="L91" s="36" t="str">
        <f t="shared" si="1"/>
        <v/>
      </c>
      <c r="M91" s="36" t="str">
        <f t="shared" si="2"/>
        <v/>
      </c>
      <c r="N91" s="36" t="str">
        <f t="shared" si="3"/>
        <v/>
      </c>
      <c r="O91" s="11" t="str">
        <f t="shared" si="4"/>
        <v/>
      </c>
    </row>
    <row r="92" ht="14.25" customHeight="1">
      <c r="A92" s="11"/>
      <c r="B92" s="11"/>
      <c r="C92" s="11"/>
      <c r="D92" s="11"/>
      <c r="E92" s="11"/>
      <c r="F92" s="11" t="str">
        <f>IF($C92="","",IF($C92="Work",IFERROR(IF(SUMIFS(WORK_TARIFF_RULES!$G:$G,WORK_TARIFF_RULES!$A:$A,$D92,WORK_TARIFF_RULES!$C:$C,$B92)&lt;&gt;"",SUMIFS(WORK_TARIFF_RULES!$G:$G,WORK_TARIFF_RULES!$A:$A,$D92,WORK_TARIFF_RULES!$C:$C,$B92),SUMIFS(WORK_MASTER!$C:$C,WORK_MASTER!$A:$A,$D92)),""),IF($C92="Material",IFERROR(IF(SUMIFS(MATERIAL_TARIFF_RULES!$G:$G,MATERIAL_TARIFF_RULES!$A:$A,$D92,MATERIAL_TARIFF_RULES!$C:$C,$B92)&lt;&gt;"",SUMIFS(MATERIAL_TARIFF_RULES!$G:$G,MATERIAL_TARIFF_RULES!$A:$A,$D92,MATERIAL_TARIFF_RULES!$C:$C,$B92),SUMIFS(MATERIAL_VARIANTS!$J:$J,MATERIAL_VARIANTS!$A:$A,$E92)),""),"")))</f>
        <v/>
      </c>
      <c r="G92" s="36"/>
      <c r="H92" s="36" t="str">
        <f>IF($C92="","",IF($C92="Work",IFERROR(SUMIFS(WORK_MASTER!$I:$I,WORK_MASTER!$A:$A,$D92),""),IF($C92="Material",IFERROR(SUMIFS(MATERIAL_VARIANTS!$I:$I,MATERIAL_VARIANTS!$A:$A,$E92),""),"")))</f>
        <v/>
      </c>
      <c r="I92" s="36" t="str">
        <f>IF($C92="","",IF($C92="Work",IFERROR(SUMIFS(WORK_FACTOR_APPLICABILITY!$O:$O,WORK_FACTOR_APPLICABILITY!$A:$A,$D92,WORK_FACTOR_APPLICABILITY!$N:$N,$A92),1),IF($C92="Material",IFERROR(ROUND(1+SUMIFS(MATERIAL_FACTOR_APPLICABILITY!$D:$D,MATERIAL_FACTOR_APPLICABILITY!$A:$A,SUMIFS(MATERIAL_MASTER!$O:$O,MATERIAL_MASTER!$A:$A,$D92),MATERIAL_FACTOR_APPLICABILITY!$B:$B,"GeometryComplexity")*(SUMIFS(OBJECT_CONDITIONS!$W:$W,OBJECT_CONDITIONS!$A:$A,$A92)-1),3),1),"")))</f>
        <v/>
      </c>
      <c r="J92" s="36" t="str">
        <f>IF($C92="","",IF($C92="Work",IFERROR(IF(SUMIFS(WORK_TARIFF_RULES!$F:$F,WORK_TARIFF_RULES!$A:$A,$D92,WORK_TARIFF_RULES!$C:$C,$B92)&lt;&gt;"",SUMIFS(WORK_TARIFF_RULES!$F:$F,WORK_TARIFF_RULES!$A:$A,$D92,WORK_TARIFF_RULES!$C:$C,$B92),SUMIFS(TARIFF_PROFILES!$D:$D,TARIFF_PROFILES!$A:$A,$B92)),1),IF($C92="Material",IFERROR(IF(SUMIFS(MATERIAL_TARIFF_RULES!$E:$E,MATERIAL_TARIFF_RULES!$A:$A,$D92,MATERIAL_TARIFF_RULES!$C:$C,$B92)&lt;&gt;"",SUMIFS(MATERIAL_TARIFF_RULES!$E:$E,MATERIAL_TARIFF_RULES!$A:$A,$D92,MATERIAL_TARIFF_RULES!$C:$C,$B92),SUMIFS(TARIFF_PROFILES!$E:$E,TARIFF_PROFILES!$A:$A,$B92)),1),"")))</f>
        <v/>
      </c>
      <c r="K92" s="36" t="str">
        <f>IF($C92="","",IF($C92="Material",IFERROR(SUMIFS(MATERIAL_MASTER!$P:$P,MATERIAL_MASTER!$A:$A,$D92)*IF(SUMIFS(MATERIAL_TARIFF_RULES!$F:$F,MATERIAL_TARIFF_RULES!$A:$A,$D92,MATERIAL_TARIFF_RULES!$C:$C,$B92)="",SUMIFS(TARIFF_PROFILES!$H:$H,TARIFF_PROFILES!$A:$A,$B92),SUMIFS(MATERIAL_TARIFF_RULES!$F:$F,MATERIAL_TARIFF_RULES!$A:$A,$D92,MATERIAL_TARIFF_RULES!$C:$C,$B92)),1),1))</f>
        <v/>
      </c>
      <c r="L92" s="36" t="str">
        <f t="shared" si="1"/>
        <v/>
      </c>
      <c r="M92" s="36" t="str">
        <f t="shared" si="2"/>
        <v/>
      </c>
      <c r="N92" s="36" t="str">
        <f t="shared" si="3"/>
        <v/>
      </c>
      <c r="O92" s="11" t="str">
        <f t="shared" si="4"/>
        <v/>
      </c>
    </row>
    <row r="93" ht="14.25" customHeight="1">
      <c r="A93" s="11"/>
      <c r="B93" s="11"/>
      <c r="C93" s="11"/>
      <c r="D93" s="11"/>
      <c r="E93" s="11"/>
      <c r="F93" s="11" t="str">
        <f>IF($C93="","",IF($C93="Work",IFERROR(IF(SUMIFS(WORK_TARIFF_RULES!$G:$G,WORK_TARIFF_RULES!$A:$A,$D93,WORK_TARIFF_RULES!$C:$C,$B93)&lt;&gt;"",SUMIFS(WORK_TARIFF_RULES!$G:$G,WORK_TARIFF_RULES!$A:$A,$D93,WORK_TARIFF_RULES!$C:$C,$B93),SUMIFS(WORK_MASTER!$C:$C,WORK_MASTER!$A:$A,$D93)),""),IF($C93="Material",IFERROR(IF(SUMIFS(MATERIAL_TARIFF_RULES!$G:$G,MATERIAL_TARIFF_RULES!$A:$A,$D93,MATERIAL_TARIFF_RULES!$C:$C,$B93)&lt;&gt;"",SUMIFS(MATERIAL_TARIFF_RULES!$G:$G,MATERIAL_TARIFF_RULES!$A:$A,$D93,MATERIAL_TARIFF_RULES!$C:$C,$B93),SUMIFS(MATERIAL_VARIANTS!$J:$J,MATERIAL_VARIANTS!$A:$A,$E93)),""),"")))</f>
        <v/>
      </c>
      <c r="G93" s="36"/>
      <c r="H93" s="36" t="str">
        <f>IF($C93="","",IF($C93="Work",IFERROR(SUMIFS(WORK_MASTER!$I:$I,WORK_MASTER!$A:$A,$D93),""),IF($C93="Material",IFERROR(SUMIFS(MATERIAL_VARIANTS!$I:$I,MATERIAL_VARIANTS!$A:$A,$E93),""),"")))</f>
        <v/>
      </c>
      <c r="I93" s="36" t="str">
        <f>IF($C93="","",IF($C93="Work",IFERROR(SUMIFS(WORK_FACTOR_APPLICABILITY!$O:$O,WORK_FACTOR_APPLICABILITY!$A:$A,$D93,WORK_FACTOR_APPLICABILITY!$N:$N,$A93),1),IF($C93="Material",IFERROR(ROUND(1+SUMIFS(MATERIAL_FACTOR_APPLICABILITY!$D:$D,MATERIAL_FACTOR_APPLICABILITY!$A:$A,SUMIFS(MATERIAL_MASTER!$O:$O,MATERIAL_MASTER!$A:$A,$D93),MATERIAL_FACTOR_APPLICABILITY!$B:$B,"GeometryComplexity")*(SUMIFS(OBJECT_CONDITIONS!$W:$W,OBJECT_CONDITIONS!$A:$A,$A93)-1),3),1),"")))</f>
        <v/>
      </c>
      <c r="J93" s="36" t="str">
        <f>IF($C93="","",IF($C93="Work",IFERROR(IF(SUMIFS(WORK_TARIFF_RULES!$F:$F,WORK_TARIFF_RULES!$A:$A,$D93,WORK_TARIFF_RULES!$C:$C,$B93)&lt;&gt;"",SUMIFS(WORK_TARIFF_RULES!$F:$F,WORK_TARIFF_RULES!$A:$A,$D93,WORK_TARIFF_RULES!$C:$C,$B93),SUMIFS(TARIFF_PROFILES!$D:$D,TARIFF_PROFILES!$A:$A,$B93)),1),IF($C93="Material",IFERROR(IF(SUMIFS(MATERIAL_TARIFF_RULES!$E:$E,MATERIAL_TARIFF_RULES!$A:$A,$D93,MATERIAL_TARIFF_RULES!$C:$C,$B93)&lt;&gt;"",SUMIFS(MATERIAL_TARIFF_RULES!$E:$E,MATERIAL_TARIFF_RULES!$A:$A,$D93,MATERIAL_TARIFF_RULES!$C:$C,$B93),SUMIFS(TARIFF_PROFILES!$E:$E,TARIFF_PROFILES!$A:$A,$B93)),1),"")))</f>
        <v/>
      </c>
      <c r="K93" s="36" t="str">
        <f>IF($C93="","",IF($C93="Material",IFERROR(SUMIFS(MATERIAL_MASTER!$P:$P,MATERIAL_MASTER!$A:$A,$D93)*IF(SUMIFS(MATERIAL_TARIFF_RULES!$F:$F,MATERIAL_TARIFF_RULES!$A:$A,$D93,MATERIAL_TARIFF_RULES!$C:$C,$B93)="",SUMIFS(TARIFF_PROFILES!$H:$H,TARIFF_PROFILES!$A:$A,$B93),SUMIFS(MATERIAL_TARIFF_RULES!$F:$F,MATERIAL_TARIFF_RULES!$A:$A,$D93,MATERIAL_TARIFF_RULES!$C:$C,$B93)),1),1))</f>
        <v/>
      </c>
      <c r="L93" s="36" t="str">
        <f t="shared" si="1"/>
        <v/>
      </c>
      <c r="M93" s="36" t="str">
        <f t="shared" si="2"/>
        <v/>
      </c>
      <c r="N93" s="36" t="str">
        <f t="shared" si="3"/>
        <v/>
      </c>
      <c r="O93" s="11" t="str">
        <f t="shared" si="4"/>
        <v/>
      </c>
    </row>
    <row r="94" ht="14.25" customHeight="1">
      <c r="A94" s="11"/>
      <c r="B94" s="11"/>
      <c r="C94" s="11"/>
      <c r="D94" s="11"/>
      <c r="E94" s="11"/>
      <c r="F94" s="11" t="str">
        <f>IF($C94="","",IF($C94="Work",IFERROR(IF(SUMIFS(WORK_TARIFF_RULES!$G:$G,WORK_TARIFF_RULES!$A:$A,$D94,WORK_TARIFF_RULES!$C:$C,$B94)&lt;&gt;"",SUMIFS(WORK_TARIFF_RULES!$G:$G,WORK_TARIFF_RULES!$A:$A,$D94,WORK_TARIFF_RULES!$C:$C,$B94),SUMIFS(WORK_MASTER!$C:$C,WORK_MASTER!$A:$A,$D94)),""),IF($C94="Material",IFERROR(IF(SUMIFS(MATERIAL_TARIFF_RULES!$G:$G,MATERIAL_TARIFF_RULES!$A:$A,$D94,MATERIAL_TARIFF_RULES!$C:$C,$B94)&lt;&gt;"",SUMIFS(MATERIAL_TARIFF_RULES!$G:$G,MATERIAL_TARIFF_RULES!$A:$A,$D94,MATERIAL_TARIFF_RULES!$C:$C,$B94),SUMIFS(MATERIAL_VARIANTS!$J:$J,MATERIAL_VARIANTS!$A:$A,$E94)),""),"")))</f>
        <v/>
      </c>
      <c r="G94" s="36"/>
      <c r="H94" s="36" t="str">
        <f>IF($C94="","",IF($C94="Work",IFERROR(SUMIFS(WORK_MASTER!$I:$I,WORK_MASTER!$A:$A,$D94),""),IF($C94="Material",IFERROR(SUMIFS(MATERIAL_VARIANTS!$I:$I,MATERIAL_VARIANTS!$A:$A,$E94),""),"")))</f>
        <v/>
      </c>
      <c r="I94" s="36" t="str">
        <f>IF($C94="","",IF($C94="Work",IFERROR(SUMIFS(WORK_FACTOR_APPLICABILITY!$O:$O,WORK_FACTOR_APPLICABILITY!$A:$A,$D94,WORK_FACTOR_APPLICABILITY!$N:$N,$A94),1),IF($C94="Material",IFERROR(ROUND(1+SUMIFS(MATERIAL_FACTOR_APPLICABILITY!$D:$D,MATERIAL_FACTOR_APPLICABILITY!$A:$A,SUMIFS(MATERIAL_MASTER!$O:$O,MATERIAL_MASTER!$A:$A,$D94),MATERIAL_FACTOR_APPLICABILITY!$B:$B,"GeometryComplexity")*(SUMIFS(OBJECT_CONDITIONS!$W:$W,OBJECT_CONDITIONS!$A:$A,$A94)-1),3),1),"")))</f>
        <v/>
      </c>
      <c r="J94" s="36" t="str">
        <f>IF($C94="","",IF($C94="Work",IFERROR(IF(SUMIFS(WORK_TARIFF_RULES!$F:$F,WORK_TARIFF_RULES!$A:$A,$D94,WORK_TARIFF_RULES!$C:$C,$B94)&lt;&gt;"",SUMIFS(WORK_TARIFF_RULES!$F:$F,WORK_TARIFF_RULES!$A:$A,$D94,WORK_TARIFF_RULES!$C:$C,$B94),SUMIFS(TARIFF_PROFILES!$D:$D,TARIFF_PROFILES!$A:$A,$B94)),1),IF($C94="Material",IFERROR(IF(SUMIFS(MATERIAL_TARIFF_RULES!$E:$E,MATERIAL_TARIFF_RULES!$A:$A,$D94,MATERIAL_TARIFF_RULES!$C:$C,$B94)&lt;&gt;"",SUMIFS(MATERIAL_TARIFF_RULES!$E:$E,MATERIAL_TARIFF_RULES!$A:$A,$D94,MATERIAL_TARIFF_RULES!$C:$C,$B94),SUMIFS(TARIFF_PROFILES!$E:$E,TARIFF_PROFILES!$A:$A,$B94)),1),"")))</f>
        <v/>
      </c>
      <c r="K94" s="36" t="str">
        <f>IF($C94="","",IF($C94="Material",IFERROR(SUMIFS(MATERIAL_MASTER!$P:$P,MATERIAL_MASTER!$A:$A,$D94)*IF(SUMIFS(MATERIAL_TARIFF_RULES!$F:$F,MATERIAL_TARIFF_RULES!$A:$A,$D94,MATERIAL_TARIFF_RULES!$C:$C,$B94)="",SUMIFS(TARIFF_PROFILES!$H:$H,TARIFF_PROFILES!$A:$A,$B94),SUMIFS(MATERIAL_TARIFF_RULES!$F:$F,MATERIAL_TARIFF_RULES!$A:$A,$D94,MATERIAL_TARIFF_RULES!$C:$C,$B94)),1),1))</f>
        <v/>
      </c>
      <c r="L94" s="36" t="str">
        <f t="shared" si="1"/>
        <v/>
      </c>
      <c r="M94" s="36" t="str">
        <f t="shared" si="2"/>
        <v/>
      </c>
      <c r="N94" s="36" t="str">
        <f t="shared" si="3"/>
        <v/>
      </c>
      <c r="O94" s="11" t="str">
        <f t="shared" si="4"/>
        <v/>
      </c>
    </row>
    <row r="95" ht="14.25" customHeight="1">
      <c r="A95" s="11"/>
      <c r="B95" s="11"/>
      <c r="C95" s="11"/>
      <c r="D95" s="11"/>
      <c r="E95" s="11"/>
      <c r="F95" s="11" t="str">
        <f>IF($C95="","",IF($C95="Work",IFERROR(IF(SUMIFS(WORK_TARIFF_RULES!$G:$G,WORK_TARIFF_RULES!$A:$A,$D95,WORK_TARIFF_RULES!$C:$C,$B95)&lt;&gt;"",SUMIFS(WORK_TARIFF_RULES!$G:$G,WORK_TARIFF_RULES!$A:$A,$D95,WORK_TARIFF_RULES!$C:$C,$B95),SUMIFS(WORK_MASTER!$C:$C,WORK_MASTER!$A:$A,$D95)),""),IF($C95="Material",IFERROR(IF(SUMIFS(MATERIAL_TARIFF_RULES!$G:$G,MATERIAL_TARIFF_RULES!$A:$A,$D95,MATERIAL_TARIFF_RULES!$C:$C,$B95)&lt;&gt;"",SUMIFS(MATERIAL_TARIFF_RULES!$G:$G,MATERIAL_TARIFF_RULES!$A:$A,$D95,MATERIAL_TARIFF_RULES!$C:$C,$B95),SUMIFS(MATERIAL_VARIANTS!$J:$J,MATERIAL_VARIANTS!$A:$A,$E95)),""),"")))</f>
        <v/>
      </c>
      <c r="G95" s="36"/>
      <c r="H95" s="36" t="str">
        <f>IF($C95="","",IF($C95="Work",IFERROR(SUMIFS(WORK_MASTER!$I:$I,WORK_MASTER!$A:$A,$D95),""),IF($C95="Material",IFERROR(SUMIFS(MATERIAL_VARIANTS!$I:$I,MATERIAL_VARIANTS!$A:$A,$E95),""),"")))</f>
        <v/>
      </c>
      <c r="I95" s="36" t="str">
        <f>IF($C95="","",IF($C95="Work",IFERROR(SUMIFS(WORK_FACTOR_APPLICABILITY!$O:$O,WORK_FACTOR_APPLICABILITY!$A:$A,$D95,WORK_FACTOR_APPLICABILITY!$N:$N,$A95),1),IF($C95="Material",IFERROR(ROUND(1+SUMIFS(MATERIAL_FACTOR_APPLICABILITY!$D:$D,MATERIAL_FACTOR_APPLICABILITY!$A:$A,SUMIFS(MATERIAL_MASTER!$O:$O,MATERIAL_MASTER!$A:$A,$D95),MATERIAL_FACTOR_APPLICABILITY!$B:$B,"GeometryComplexity")*(SUMIFS(OBJECT_CONDITIONS!$W:$W,OBJECT_CONDITIONS!$A:$A,$A95)-1),3),1),"")))</f>
        <v/>
      </c>
      <c r="J95" s="36" t="str">
        <f>IF($C95="","",IF($C95="Work",IFERROR(IF(SUMIFS(WORK_TARIFF_RULES!$F:$F,WORK_TARIFF_RULES!$A:$A,$D95,WORK_TARIFF_RULES!$C:$C,$B95)&lt;&gt;"",SUMIFS(WORK_TARIFF_RULES!$F:$F,WORK_TARIFF_RULES!$A:$A,$D95,WORK_TARIFF_RULES!$C:$C,$B95),SUMIFS(TARIFF_PROFILES!$D:$D,TARIFF_PROFILES!$A:$A,$B95)),1),IF($C95="Material",IFERROR(IF(SUMIFS(MATERIAL_TARIFF_RULES!$E:$E,MATERIAL_TARIFF_RULES!$A:$A,$D95,MATERIAL_TARIFF_RULES!$C:$C,$B95)&lt;&gt;"",SUMIFS(MATERIAL_TARIFF_RULES!$E:$E,MATERIAL_TARIFF_RULES!$A:$A,$D95,MATERIAL_TARIFF_RULES!$C:$C,$B95),SUMIFS(TARIFF_PROFILES!$E:$E,TARIFF_PROFILES!$A:$A,$B95)),1),"")))</f>
        <v/>
      </c>
      <c r="K95" s="36" t="str">
        <f>IF($C95="","",IF($C95="Material",IFERROR(SUMIFS(MATERIAL_MASTER!$P:$P,MATERIAL_MASTER!$A:$A,$D95)*IF(SUMIFS(MATERIAL_TARIFF_RULES!$F:$F,MATERIAL_TARIFF_RULES!$A:$A,$D95,MATERIAL_TARIFF_RULES!$C:$C,$B95)="",SUMIFS(TARIFF_PROFILES!$H:$H,TARIFF_PROFILES!$A:$A,$B95),SUMIFS(MATERIAL_TARIFF_RULES!$F:$F,MATERIAL_TARIFF_RULES!$A:$A,$D95,MATERIAL_TARIFF_RULES!$C:$C,$B95)),1),1))</f>
        <v/>
      </c>
      <c r="L95" s="36" t="str">
        <f t="shared" si="1"/>
        <v/>
      </c>
      <c r="M95" s="36" t="str">
        <f t="shared" si="2"/>
        <v/>
      </c>
      <c r="N95" s="36" t="str">
        <f t="shared" si="3"/>
        <v/>
      </c>
      <c r="O95" s="11" t="str">
        <f t="shared" si="4"/>
        <v/>
      </c>
    </row>
    <row r="96" ht="14.25" customHeight="1">
      <c r="A96" s="11"/>
      <c r="B96" s="11"/>
      <c r="C96" s="11"/>
      <c r="D96" s="11"/>
      <c r="E96" s="11"/>
      <c r="F96" s="11" t="str">
        <f>IF($C96="","",IF($C96="Work",IFERROR(IF(SUMIFS(WORK_TARIFF_RULES!$G:$G,WORK_TARIFF_RULES!$A:$A,$D96,WORK_TARIFF_RULES!$C:$C,$B96)&lt;&gt;"",SUMIFS(WORK_TARIFF_RULES!$G:$G,WORK_TARIFF_RULES!$A:$A,$D96,WORK_TARIFF_RULES!$C:$C,$B96),SUMIFS(WORK_MASTER!$C:$C,WORK_MASTER!$A:$A,$D96)),""),IF($C96="Material",IFERROR(IF(SUMIFS(MATERIAL_TARIFF_RULES!$G:$G,MATERIAL_TARIFF_RULES!$A:$A,$D96,MATERIAL_TARIFF_RULES!$C:$C,$B96)&lt;&gt;"",SUMIFS(MATERIAL_TARIFF_RULES!$G:$G,MATERIAL_TARIFF_RULES!$A:$A,$D96,MATERIAL_TARIFF_RULES!$C:$C,$B96),SUMIFS(MATERIAL_VARIANTS!$J:$J,MATERIAL_VARIANTS!$A:$A,$E96)),""),"")))</f>
        <v/>
      </c>
      <c r="G96" s="36"/>
      <c r="H96" s="36" t="str">
        <f>IF($C96="","",IF($C96="Work",IFERROR(SUMIFS(WORK_MASTER!$I:$I,WORK_MASTER!$A:$A,$D96),""),IF($C96="Material",IFERROR(SUMIFS(MATERIAL_VARIANTS!$I:$I,MATERIAL_VARIANTS!$A:$A,$E96),""),"")))</f>
        <v/>
      </c>
      <c r="I96" s="36" t="str">
        <f>IF($C96="","",IF($C96="Work",IFERROR(SUMIFS(WORK_FACTOR_APPLICABILITY!$O:$O,WORK_FACTOR_APPLICABILITY!$A:$A,$D96,WORK_FACTOR_APPLICABILITY!$N:$N,$A96),1),IF($C96="Material",IFERROR(ROUND(1+SUMIFS(MATERIAL_FACTOR_APPLICABILITY!$D:$D,MATERIAL_FACTOR_APPLICABILITY!$A:$A,SUMIFS(MATERIAL_MASTER!$O:$O,MATERIAL_MASTER!$A:$A,$D96),MATERIAL_FACTOR_APPLICABILITY!$B:$B,"GeometryComplexity")*(SUMIFS(OBJECT_CONDITIONS!$W:$W,OBJECT_CONDITIONS!$A:$A,$A96)-1),3),1),"")))</f>
        <v/>
      </c>
      <c r="J96" s="36" t="str">
        <f>IF($C96="","",IF($C96="Work",IFERROR(IF(SUMIFS(WORK_TARIFF_RULES!$F:$F,WORK_TARIFF_RULES!$A:$A,$D96,WORK_TARIFF_RULES!$C:$C,$B96)&lt;&gt;"",SUMIFS(WORK_TARIFF_RULES!$F:$F,WORK_TARIFF_RULES!$A:$A,$D96,WORK_TARIFF_RULES!$C:$C,$B96),SUMIFS(TARIFF_PROFILES!$D:$D,TARIFF_PROFILES!$A:$A,$B96)),1),IF($C96="Material",IFERROR(IF(SUMIFS(MATERIAL_TARIFF_RULES!$E:$E,MATERIAL_TARIFF_RULES!$A:$A,$D96,MATERIAL_TARIFF_RULES!$C:$C,$B96)&lt;&gt;"",SUMIFS(MATERIAL_TARIFF_RULES!$E:$E,MATERIAL_TARIFF_RULES!$A:$A,$D96,MATERIAL_TARIFF_RULES!$C:$C,$B96),SUMIFS(TARIFF_PROFILES!$E:$E,TARIFF_PROFILES!$A:$A,$B96)),1),"")))</f>
        <v/>
      </c>
      <c r="K96" s="36" t="str">
        <f>IF($C96="","",IF($C96="Material",IFERROR(SUMIFS(MATERIAL_MASTER!$P:$P,MATERIAL_MASTER!$A:$A,$D96)*IF(SUMIFS(MATERIAL_TARIFF_RULES!$F:$F,MATERIAL_TARIFF_RULES!$A:$A,$D96,MATERIAL_TARIFF_RULES!$C:$C,$B96)="",SUMIFS(TARIFF_PROFILES!$H:$H,TARIFF_PROFILES!$A:$A,$B96),SUMIFS(MATERIAL_TARIFF_RULES!$F:$F,MATERIAL_TARIFF_RULES!$A:$A,$D96,MATERIAL_TARIFF_RULES!$C:$C,$B96)),1),1))</f>
        <v/>
      </c>
      <c r="L96" s="36" t="str">
        <f t="shared" si="1"/>
        <v/>
      </c>
      <c r="M96" s="36" t="str">
        <f t="shared" si="2"/>
        <v/>
      </c>
      <c r="N96" s="36" t="str">
        <f t="shared" si="3"/>
        <v/>
      </c>
      <c r="O96" s="11" t="str">
        <f t="shared" si="4"/>
        <v/>
      </c>
    </row>
    <row r="97" ht="14.25" customHeight="1">
      <c r="A97" s="11"/>
      <c r="B97" s="11"/>
      <c r="C97" s="11"/>
      <c r="D97" s="11"/>
      <c r="E97" s="11"/>
      <c r="F97" s="11" t="str">
        <f>IF($C97="","",IF($C97="Work",IFERROR(IF(SUMIFS(WORK_TARIFF_RULES!$G:$G,WORK_TARIFF_RULES!$A:$A,$D97,WORK_TARIFF_RULES!$C:$C,$B97)&lt;&gt;"",SUMIFS(WORK_TARIFF_RULES!$G:$G,WORK_TARIFF_RULES!$A:$A,$D97,WORK_TARIFF_RULES!$C:$C,$B97),SUMIFS(WORK_MASTER!$C:$C,WORK_MASTER!$A:$A,$D97)),""),IF($C97="Material",IFERROR(IF(SUMIFS(MATERIAL_TARIFF_RULES!$G:$G,MATERIAL_TARIFF_RULES!$A:$A,$D97,MATERIAL_TARIFF_RULES!$C:$C,$B97)&lt;&gt;"",SUMIFS(MATERIAL_TARIFF_RULES!$G:$G,MATERIAL_TARIFF_RULES!$A:$A,$D97,MATERIAL_TARIFF_RULES!$C:$C,$B97),SUMIFS(MATERIAL_VARIANTS!$J:$J,MATERIAL_VARIANTS!$A:$A,$E97)),""),"")))</f>
        <v/>
      </c>
      <c r="G97" s="36"/>
      <c r="H97" s="36" t="str">
        <f>IF($C97="","",IF($C97="Work",IFERROR(SUMIFS(WORK_MASTER!$I:$I,WORK_MASTER!$A:$A,$D97),""),IF($C97="Material",IFERROR(SUMIFS(MATERIAL_VARIANTS!$I:$I,MATERIAL_VARIANTS!$A:$A,$E97),""),"")))</f>
        <v/>
      </c>
      <c r="I97" s="36" t="str">
        <f>IF($C97="","",IF($C97="Work",IFERROR(SUMIFS(WORK_FACTOR_APPLICABILITY!$O:$O,WORK_FACTOR_APPLICABILITY!$A:$A,$D97,WORK_FACTOR_APPLICABILITY!$N:$N,$A97),1),IF($C97="Material",IFERROR(ROUND(1+SUMIFS(MATERIAL_FACTOR_APPLICABILITY!$D:$D,MATERIAL_FACTOR_APPLICABILITY!$A:$A,SUMIFS(MATERIAL_MASTER!$O:$O,MATERIAL_MASTER!$A:$A,$D97),MATERIAL_FACTOR_APPLICABILITY!$B:$B,"GeometryComplexity")*(SUMIFS(OBJECT_CONDITIONS!$W:$W,OBJECT_CONDITIONS!$A:$A,$A97)-1),3),1),"")))</f>
        <v/>
      </c>
      <c r="J97" s="36" t="str">
        <f>IF($C97="","",IF($C97="Work",IFERROR(IF(SUMIFS(WORK_TARIFF_RULES!$F:$F,WORK_TARIFF_RULES!$A:$A,$D97,WORK_TARIFF_RULES!$C:$C,$B97)&lt;&gt;"",SUMIFS(WORK_TARIFF_RULES!$F:$F,WORK_TARIFF_RULES!$A:$A,$D97,WORK_TARIFF_RULES!$C:$C,$B97),SUMIFS(TARIFF_PROFILES!$D:$D,TARIFF_PROFILES!$A:$A,$B97)),1),IF($C97="Material",IFERROR(IF(SUMIFS(MATERIAL_TARIFF_RULES!$E:$E,MATERIAL_TARIFF_RULES!$A:$A,$D97,MATERIAL_TARIFF_RULES!$C:$C,$B97)&lt;&gt;"",SUMIFS(MATERIAL_TARIFF_RULES!$E:$E,MATERIAL_TARIFF_RULES!$A:$A,$D97,MATERIAL_TARIFF_RULES!$C:$C,$B97),SUMIFS(TARIFF_PROFILES!$E:$E,TARIFF_PROFILES!$A:$A,$B97)),1),"")))</f>
        <v/>
      </c>
      <c r="K97" s="36" t="str">
        <f>IF($C97="","",IF($C97="Material",IFERROR(SUMIFS(MATERIAL_MASTER!$P:$P,MATERIAL_MASTER!$A:$A,$D97)*IF(SUMIFS(MATERIAL_TARIFF_RULES!$F:$F,MATERIAL_TARIFF_RULES!$A:$A,$D97,MATERIAL_TARIFF_RULES!$C:$C,$B97)="",SUMIFS(TARIFF_PROFILES!$H:$H,TARIFF_PROFILES!$A:$A,$B97),SUMIFS(MATERIAL_TARIFF_RULES!$F:$F,MATERIAL_TARIFF_RULES!$A:$A,$D97,MATERIAL_TARIFF_RULES!$C:$C,$B97)),1),1))</f>
        <v/>
      </c>
      <c r="L97" s="36" t="str">
        <f t="shared" si="1"/>
        <v/>
      </c>
      <c r="M97" s="36" t="str">
        <f t="shared" si="2"/>
        <v/>
      </c>
      <c r="N97" s="36" t="str">
        <f t="shared" si="3"/>
        <v/>
      </c>
      <c r="O97" s="11" t="str">
        <f t="shared" si="4"/>
        <v/>
      </c>
    </row>
    <row r="98" ht="14.25" customHeight="1">
      <c r="A98" s="11"/>
      <c r="B98" s="11"/>
      <c r="C98" s="11"/>
      <c r="D98" s="11"/>
      <c r="E98" s="11"/>
      <c r="F98" s="11" t="str">
        <f>IF($C98="","",IF($C98="Work",IFERROR(IF(SUMIFS(WORK_TARIFF_RULES!$G:$G,WORK_TARIFF_RULES!$A:$A,$D98,WORK_TARIFF_RULES!$C:$C,$B98)&lt;&gt;"",SUMIFS(WORK_TARIFF_RULES!$G:$G,WORK_TARIFF_RULES!$A:$A,$D98,WORK_TARIFF_RULES!$C:$C,$B98),SUMIFS(WORK_MASTER!$C:$C,WORK_MASTER!$A:$A,$D98)),""),IF($C98="Material",IFERROR(IF(SUMIFS(MATERIAL_TARIFF_RULES!$G:$G,MATERIAL_TARIFF_RULES!$A:$A,$D98,MATERIAL_TARIFF_RULES!$C:$C,$B98)&lt;&gt;"",SUMIFS(MATERIAL_TARIFF_RULES!$G:$G,MATERIAL_TARIFF_RULES!$A:$A,$D98,MATERIAL_TARIFF_RULES!$C:$C,$B98),SUMIFS(MATERIAL_VARIANTS!$J:$J,MATERIAL_VARIANTS!$A:$A,$E98)),""),"")))</f>
        <v/>
      </c>
      <c r="G98" s="36"/>
      <c r="H98" s="36" t="str">
        <f>IF($C98="","",IF($C98="Work",IFERROR(SUMIFS(WORK_MASTER!$I:$I,WORK_MASTER!$A:$A,$D98),""),IF($C98="Material",IFERROR(SUMIFS(MATERIAL_VARIANTS!$I:$I,MATERIAL_VARIANTS!$A:$A,$E98),""),"")))</f>
        <v/>
      </c>
      <c r="I98" s="36" t="str">
        <f>IF($C98="","",IF($C98="Work",IFERROR(SUMIFS(WORK_FACTOR_APPLICABILITY!$O:$O,WORK_FACTOR_APPLICABILITY!$A:$A,$D98,WORK_FACTOR_APPLICABILITY!$N:$N,$A98),1),IF($C98="Material",IFERROR(ROUND(1+SUMIFS(MATERIAL_FACTOR_APPLICABILITY!$D:$D,MATERIAL_FACTOR_APPLICABILITY!$A:$A,SUMIFS(MATERIAL_MASTER!$O:$O,MATERIAL_MASTER!$A:$A,$D98),MATERIAL_FACTOR_APPLICABILITY!$B:$B,"GeometryComplexity")*(SUMIFS(OBJECT_CONDITIONS!$W:$W,OBJECT_CONDITIONS!$A:$A,$A98)-1),3),1),"")))</f>
        <v/>
      </c>
      <c r="J98" s="36" t="str">
        <f>IF($C98="","",IF($C98="Work",IFERROR(IF(SUMIFS(WORK_TARIFF_RULES!$F:$F,WORK_TARIFF_RULES!$A:$A,$D98,WORK_TARIFF_RULES!$C:$C,$B98)&lt;&gt;"",SUMIFS(WORK_TARIFF_RULES!$F:$F,WORK_TARIFF_RULES!$A:$A,$D98,WORK_TARIFF_RULES!$C:$C,$B98),SUMIFS(TARIFF_PROFILES!$D:$D,TARIFF_PROFILES!$A:$A,$B98)),1),IF($C98="Material",IFERROR(IF(SUMIFS(MATERIAL_TARIFF_RULES!$E:$E,MATERIAL_TARIFF_RULES!$A:$A,$D98,MATERIAL_TARIFF_RULES!$C:$C,$B98)&lt;&gt;"",SUMIFS(MATERIAL_TARIFF_RULES!$E:$E,MATERIAL_TARIFF_RULES!$A:$A,$D98,MATERIAL_TARIFF_RULES!$C:$C,$B98),SUMIFS(TARIFF_PROFILES!$E:$E,TARIFF_PROFILES!$A:$A,$B98)),1),"")))</f>
        <v/>
      </c>
      <c r="K98" s="36" t="str">
        <f>IF($C98="","",IF($C98="Material",IFERROR(SUMIFS(MATERIAL_MASTER!$P:$P,MATERIAL_MASTER!$A:$A,$D98)*IF(SUMIFS(MATERIAL_TARIFF_RULES!$F:$F,MATERIAL_TARIFF_RULES!$A:$A,$D98,MATERIAL_TARIFF_RULES!$C:$C,$B98)="",SUMIFS(TARIFF_PROFILES!$H:$H,TARIFF_PROFILES!$A:$A,$B98),SUMIFS(MATERIAL_TARIFF_RULES!$F:$F,MATERIAL_TARIFF_RULES!$A:$A,$D98,MATERIAL_TARIFF_RULES!$C:$C,$B98)),1),1))</f>
        <v/>
      </c>
      <c r="L98" s="36" t="str">
        <f t="shared" si="1"/>
        <v/>
      </c>
      <c r="M98" s="36" t="str">
        <f t="shared" si="2"/>
        <v/>
      </c>
      <c r="N98" s="36" t="str">
        <f t="shared" si="3"/>
        <v/>
      </c>
      <c r="O98" s="11" t="str">
        <f t="shared" si="4"/>
        <v/>
      </c>
    </row>
    <row r="99" ht="14.25" customHeight="1">
      <c r="A99" s="11"/>
      <c r="B99" s="11"/>
      <c r="C99" s="11"/>
      <c r="D99" s="11"/>
      <c r="E99" s="11"/>
      <c r="F99" s="11" t="str">
        <f>IF($C99="","",IF($C99="Work",IFERROR(IF(SUMIFS(WORK_TARIFF_RULES!$G:$G,WORK_TARIFF_RULES!$A:$A,$D99,WORK_TARIFF_RULES!$C:$C,$B99)&lt;&gt;"",SUMIFS(WORK_TARIFF_RULES!$G:$G,WORK_TARIFF_RULES!$A:$A,$D99,WORK_TARIFF_RULES!$C:$C,$B99),SUMIFS(WORK_MASTER!$C:$C,WORK_MASTER!$A:$A,$D99)),""),IF($C99="Material",IFERROR(IF(SUMIFS(MATERIAL_TARIFF_RULES!$G:$G,MATERIAL_TARIFF_RULES!$A:$A,$D99,MATERIAL_TARIFF_RULES!$C:$C,$B99)&lt;&gt;"",SUMIFS(MATERIAL_TARIFF_RULES!$G:$G,MATERIAL_TARIFF_RULES!$A:$A,$D99,MATERIAL_TARIFF_RULES!$C:$C,$B99),SUMIFS(MATERIAL_VARIANTS!$J:$J,MATERIAL_VARIANTS!$A:$A,$E99)),""),"")))</f>
        <v/>
      </c>
      <c r="G99" s="36"/>
      <c r="H99" s="36" t="str">
        <f>IF($C99="","",IF($C99="Work",IFERROR(SUMIFS(WORK_MASTER!$I:$I,WORK_MASTER!$A:$A,$D99),""),IF($C99="Material",IFERROR(SUMIFS(MATERIAL_VARIANTS!$I:$I,MATERIAL_VARIANTS!$A:$A,$E99),""),"")))</f>
        <v/>
      </c>
      <c r="I99" s="36" t="str">
        <f>IF($C99="","",IF($C99="Work",IFERROR(SUMIFS(WORK_FACTOR_APPLICABILITY!$O:$O,WORK_FACTOR_APPLICABILITY!$A:$A,$D99,WORK_FACTOR_APPLICABILITY!$N:$N,$A99),1),IF($C99="Material",IFERROR(ROUND(1+SUMIFS(MATERIAL_FACTOR_APPLICABILITY!$D:$D,MATERIAL_FACTOR_APPLICABILITY!$A:$A,SUMIFS(MATERIAL_MASTER!$O:$O,MATERIAL_MASTER!$A:$A,$D99),MATERIAL_FACTOR_APPLICABILITY!$B:$B,"GeometryComplexity")*(SUMIFS(OBJECT_CONDITIONS!$W:$W,OBJECT_CONDITIONS!$A:$A,$A99)-1),3),1),"")))</f>
        <v/>
      </c>
      <c r="J99" s="36" t="str">
        <f>IF($C99="","",IF($C99="Work",IFERROR(IF(SUMIFS(WORK_TARIFF_RULES!$F:$F,WORK_TARIFF_RULES!$A:$A,$D99,WORK_TARIFF_RULES!$C:$C,$B99)&lt;&gt;"",SUMIFS(WORK_TARIFF_RULES!$F:$F,WORK_TARIFF_RULES!$A:$A,$D99,WORK_TARIFF_RULES!$C:$C,$B99),SUMIFS(TARIFF_PROFILES!$D:$D,TARIFF_PROFILES!$A:$A,$B99)),1),IF($C99="Material",IFERROR(IF(SUMIFS(MATERIAL_TARIFF_RULES!$E:$E,MATERIAL_TARIFF_RULES!$A:$A,$D99,MATERIAL_TARIFF_RULES!$C:$C,$B99)&lt;&gt;"",SUMIFS(MATERIAL_TARIFF_RULES!$E:$E,MATERIAL_TARIFF_RULES!$A:$A,$D99,MATERIAL_TARIFF_RULES!$C:$C,$B99),SUMIFS(TARIFF_PROFILES!$E:$E,TARIFF_PROFILES!$A:$A,$B99)),1),"")))</f>
        <v/>
      </c>
      <c r="K99" s="36" t="str">
        <f>IF($C99="","",IF($C99="Material",IFERROR(SUMIFS(MATERIAL_MASTER!$P:$P,MATERIAL_MASTER!$A:$A,$D99)*IF(SUMIFS(MATERIAL_TARIFF_RULES!$F:$F,MATERIAL_TARIFF_RULES!$A:$A,$D99,MATERIAL_TARIFF_RULES!$C:$C,$B99)="",SUMIFS(TARIFF_PROFILES!$H:$H,TARIFF_PROFILES!$A:$A,$B99),SUMIFS(MATERIAL_TARIFF_RULES!$F:$F,MATERIAL_TARIFF_RULES!$A:$A,$D99,MATERIAL_TARIFF_RULES!$C:$C,$B99)),1),1))</f>
        <v/>
      </c>
      <c r="L99" s="36" t="str">
        <f t="shared" si="1"/>
        <v/>
      </c>
      <c r="M99" s="36" t="str">
        <f t="shared" si="2"/>
        <v/>
      </c>
      <c r="N99" s="36" t="str">
        <f t="shared" si="3"/>
        <v/>
      </c>
      <c r="O99" s="11" t="str">
        <f t="shared" si="4"/>
        <v/>
      </c>
    </row>
    <row r="100" ht="14.25" customHeight="1">
      <c r="A100" s="11"/>
      <c r="B100" s="11"/>
      <c r="C100" s="11"/>
      <c r="D100" s="11"/>
      <c r="E100" s="11"/>
      <c r="F100" s="11" t="str">
        <f>IF($C100="","",IF($C100="Work",IFERROR(IF(SUMIFS(WORK_TARIFF_RULES!$G:$G,WORK_TARIFF_RULES!$A:$A,$D100,WORK_TARIFF_RULES!$C:$C,$B100)&lt;&gt;"",SUMIFS(WORK_TARIFF_RULES!$G:$G,WORK_TARIFF_RULES!$A:$A,$D100,WORK_TARIFF_RULES!$C:$C,$B100),SUMIFS(WORK_MASTER!$C:$C,WORK_MASTER!$A:$A,$D100)),""),IF($C100="Material",IFERROR(IF(SUMIFS(MATERIAL_TARIFF_RULES!$G:$G,MATERIAL_TARIFF_RULES!$A:$A,$D100,MATERIAL_TARIFF_RULES!$C:$C,$B100)&lt;&gt;"",SUMIFS(MATERIAL_TARIFF_RULES!$G:$G,MATERIAL_TARIFF_RULES!$A:$A,$D100,MATERIAL_TARIFF_RULES!$C:$C,$B100),SUMIFS(MATERIAL_VARIANTS!$J:$J,MATERIAL_VARIANTS!$A:$A,$E100)),""),"")))</f>
        <v/>
      </c>
      <c r="G100" s="36"/>
      <c r="H100" s="36" t="str">
        <f>IF($C100="","",IF($C100="Work",IFERROR(SUMIFS(WORK_MASTER!$I:$I,WORK_MASTER!$A:$A,$D100),""),IF($C100="Material",IFERROR(SUMIFS(MATERIAL_VARIANTS!$I:$I,MATERIAL_VARIANTS!$A:$A,$E100),""),"")))</f>
        <v/>
      </c>
      <c r="I100" s="36" t="str">
        <f>IF($C100="","",IF($C100="Work",IFERROR(SUMIFS(WORK_FACTOR_APPLICABILITY!$O:$O,WORK_FACTOR_APPLICABILITY!$A:$A,$D100,WORK_FACTOR_APPLICABILITY!$N:$N,$A100),1),IF($C100="Material",IFERROR(ROUND(1+SUMIFS(MATERIAL_FACTOR_APPLICABILITY!$D:$D,MATERIAL_FACTOR_APPLICABILITY!$A:$A,SUMIFS(MATERIAL_MASTER!$O:$O,MATERIAL_MASTER!$A:$A,$D100),MATERIAL_FACTOR_APPLICABILITY!$B:$B,"GeometryComplexity")*(SUMIFS(OBJECT_CONDITIONS!$W:$W,OBJECT_CONDITIONS!$A:$A,$A100)-1),3),1),"")))</f>
        <v/>
      </c>
      <c r="J100" s="36" t="str">
        <f>IF($C100="","",IF($C100="Work",IFERROR(IF(SUMIFS(WORK_TARIFF_RULES!$F:$F,WORK_TARIFF_RULES!$A:$A,$D100,WORK_TARIFF_RULES!$C:$C,$B100)&lt;&gt;"",SUMIFS(WORK_TARIFF_RULES!$F:$F,WORK_TARIFF_RULES!$A:$A,$D100,WORK_TARIFF_RULES!$C:$C,$B100),SUMIFS(TARIFF_PROFILES!$D:$D,TARIFF_PROFILES!$A:$A,$B100)),1),IF($C100="Material",IFERROR(IF(SUMIFS(MATERIAL_TARIFF_RULES!$E:$E,MATERIAL_TARIFF_RULES!$A:$A,$D100,MATERIAL_TARIFF_RULES!$C:$C,$B100)&lt;&gt;"",SUMIFS(MATERIAL_TARIFF_RULES!$E:$E,MATERIAL_TARIFF_RULES!$A:$A,$D100,MATERIAL_TARIFF_RULES!$C:$C,$B100),SUMIFS(TARIFF_PROFILES!$E:$E,TARIFF_PROFILES!$A:$A,$B100)),1),"")))</f>
        <v/>
      </c>
      <c r="K100" s="36" t="str">
        <f>IF($C100="","",IF($C100="Material",IFERROR(SUMIFS(MATERIAL_MASTER!$P:$P,MATERIAL_MASTER!$A:$A,$D100)*IF(SUMIFS(MATERIAL_TARIFF_RULES!$F:$F,MATERIAL_TARIFF_RULES!$A:$A,$D100,MATERIAL_TARIFF_RULES!$C:$C,$B100)="",SUMIFS(TARIFF_PROFILES!$H:$H,TARIFF_PROFILES!$A:$A,$B100),SUMIFS(MATERIAL_TARIFF_RULES!$F:$F,MATERIAL_TARIFF_RULES!$A:$A,$D100,MATERIAL_TARIFF_RULES!$C:$C,$B100)),1),1))</f>
        <v/>
      </c>
      <c r="L100" s="36" t="str">
        <f t="shared" si="1"/>
        <v/>
      </c>
      <c r="M100" s="36" t="str">
        <f t="shared" si="2"/>
        <v/>
      </c>
      <c r="N100" s="36" t="str">
        <f t="shared" si="3"/>
        <v/>
      </c>
      <c r="O100" s="11" t="str">
        <f t="shared" si="4"/>
        <v/>
      </c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</row>
    <row r="151" ht="14.25" customHeight="1">
      <c r="A151" s="8"/>
      <c r="B151" s="8"/>
      <c r="C151" s="8"/>
    </row>
    <row r="152" ht="14.25" customHeight="1">
      <c r="A152" s="8"/>
      <c r="B152" s="8"/>
      <c r="C152" s="8"/>
    </row>
    <row r="153" ht="14.25" customHeight="1">
      <c r="A153" s="8"/>
      <c r="B153" s="8"/>
      <c r="C153" s="8"/>
    </row>
    <row r="154" ht="14.25" customHeight="1">
      <c r="A154" s="8"/>
      <c r="B154" s="8"/>
      <c r="C154" s="8"/>
    </row>
    <row r="155" ht="14.25" customHeight="1">
      <c r="A155" s="8"/>
      <c r="B155" s="8"/>
      <c r="C155" s="8"/>
    </row>
    <row r="156" ht="14.25" customHeight="1">
      <c r="A156" s="8"/>
      <c r="B156" s="8"/>
      <c r="C156" s="8"/>
    </row>
    <row r="157" ht="14.25" customHeight="1">
      <c r="A157" s="8"/>
      <c r="B157" s="8"/>
      <c r="C157" s="8"/>
    </row>
    <row r="158" ht="14.25" customHeight="1">
      <c r="A158" s="8"/>
      <c r="B158" s="8"/>
      <c r="C158" s="8"/>
    </row>
    <row r="159" ht="14.25" customHeight="1">
      <c r="A159" s="8"/>
      <c r="B159" s="8"/>
      <c r="C159" s="8"/>
    </row>
    <row r="160" ht="14.25" customHeight="1">
      <c r="A160" s="8"/>
      <c r="B160" s="8"/>
      <c r="C160" s="8"/>
    </row>
    <row r="161" ht="14.25" customHeight="1">
      <c r="A161" s="8"/>
      <c r="B161" s="8"/>
      <c r="C161" s="8"/>
    </row>
    <row r="162" ht="14.25" customHeight="1">
      <c r="A162" s="8"/>
      <c r="B162" s="8"/>
      <c r="C162" s="8"/>
    </row>
    <row r="163" ht="14.25" customHeight="1">
      <c r="A163" s="8"/>
      <c r="B163" s="8"/>
      <c r="C163" s="8"/>
    </row>
    <row r="164" ht="14.25" customHeight="1">
      <c r="A164" s="8"/>
      <c r="B164" s="8"/>
      <c r="C164" s="8"/>
    </row>
    <row r="165" ht="14.25" customHeight="1">
      <c r="A165" s="8"/>
      <c r="B165" s="8"/>
      <c r="C165" s="8"/>
    </row>
    <row r="166" ht="14.25" customHeight="1">
      <c r="A166" s="8"/>
      <c r="B166" s="8"/>
      <c r="C166" s="8"/>
    </row>
    <row r="167" ht="14.25" customHeight="1">
      <c r="A167" s="8"/>
      <c r="B167" s="8"/>
      <c r="C167" s="8"/>
    </row>
    <row r="168" ht="14.25" customHeight="1">
      <c r="A168" s="8"/>
      <c r="B168" s="8"/>
      <c r="C168" s="8"/>
    </row>
    <row r="169" ht="14.25" customHeight="1">
      <c r="A169" s="8"/>
      <c r="B169" s="8"/>
      <c r="C169" s="8"/>
    </row>
    <row r="170" ht="14.25" customHeight="1">
      <c r="A170" s="8"/>
      <c r="B170" s="8"/>
      <c r="C170" s="8"/>
    </row>
    <row r="171" ht="14.25" customHeight="1">
      <c r="A171" s="8"/>
      <c r="B171" s="8"/>
      <c r="C171" s="8"/>
    </row>
    <row r="172" ht="14.25" customHeight="1">
      <c r="A172" s="8"/>
      <c r="B172" s="8"/>
      <c r="C172" s="8"/>
    </row>
    <row r="173" ht="14.25" customHeight="1">
      <c r="A173" s="8"/>
      <c r="B173" s="8"/>
      <c r="C173" s="8"/>
    </row>
    <row r="174" ht="14.25" customHeight="1">
      <c r="A174" s="8"/>
      <c r="B174" s="8"/>
      <c r="C174" s="8"/>
    </row>
    <row r="175" ht="14.25" customHeight="1">
      <c r="A175" s="8"/>
      <c r="B175" s="8"/>
      <c r="C175" s="8"/>
    </row>
    <row r="176" ht="14.25" customHeight="1">
      <c r="A176" s="8"/>
      <c r="B176" s="8"/>
      <c r="C176" s="8"/>
    </row>
    <row r="177" ht="14.25" customHeight="1">
      <c r="A177" s="8"/>
      <c r="B177" s="8"/>
      <c r="C177" s="8"/>
    </row>
    <row r="178" ht="14.25" customHeight="1">
      <c r="A178" s="8"/>
      <c r="B178" s="8"/>
      <c r="C178" s="8"/>
    </row>
    <row r="179" ht="14.25" customHeight="1">
      <c r="A179" s="8"/>
      <c r="B179" s="8"/>
      <c r="C179" s="8"/>
    </row>
    <row r="180" ht="14.25" customHeight="1">
      <c r="A180" s="8"/>
      <c r="B180" s="8"/>
      <c r="C180" s="8"/>
    </row>
    <row r="181" ht="14.25" customHeight="1">
      <c r="A181" s="8"/>
      <c r="B181" s="8"/>
      <c r="C181" s="8"/>
    </row>
    <row r="182" ht="14.25" customHeight="1">
      <c r="A182" s="8"/>
      <c r="B182" s="8"/>
      <c r="C182" s="8"/>
    </row>
    <row r="183" ht="14.25" customHeight="1">
      <c r="A183" s="8"/>
      <c r="B183" s="8"/>
      <c r="C183" s="8"/>
    </row>
    <row r="184" ht="14.25" customHeight="1">
      <c r="A184" s="8"/>
      <c r="B184" s="8"/>
      <c r="C184" s="8"/>
    </row>
    <row r="185" ht="14.25" customHeight="1">
      <c r="A185" s="8"/>
      <c r="B185" s="8"/>
      <c r="C185" s="8"/>
    </row>
    <row r="186" ht="14.25" customHeight="1">
      <c r="A186" s="8"/>
      <c r="B186" s="8"/>
      <c r="C186" s="8"/>
    </row>
    <row r="187" ht="14.25" customHeight="1">
      <c r="A187" s="8"/>
      <c r="B187" s="8"/>
      <c r="C187" s="8"/>
    </row>
    <row r="188" ht="14.25" customHeight="1">
      <c r="A188" s="8"/>
      <c r="B188" s="8"/>
      <c r="C188" s="8"/>
    </row>
    <row r="189" ht="14.25" customHeight="1">
      <c r="A189" s="8"/>
      <c r="B189" s="8"/>
      <c r="C189" s="8"/>
    </row>
    <row r="190" ht="14.25" customHeight="1">
      <c r="A190" s="8"/>
      <c r="B190" s="8"/>
      <c r="C190" s="8"/>
    </row>
    <row r="191" ht="14.25" customHeight="1">
      <c r="A191" s="8"/>
      <c r="B191" s="8"/>
      <c r="C191" s="8"/>
    </row>
    <row r="192" ht="14.25" customHeight="1">
      <c r="A192" s="8"/>
      <c r="B192" s="8"/>
      <c r="C192" s="8"/>
    </row>
    <row r="193" ht="14.25" customHeight="1">
      <c r="A193" s="8"/>
      <c r="B193" s="8"/>
      <c r="C193" s="8"/>
    </row>
    <row r="194" ht="14.25" customHeight="1">
      <c r="A194" s="8"/>
      <c r="B194" s="8"/>
      <c r="C194" s="8"/>
    </row>
    <row r="195" ht="14.25" customHeight="1">
      <c r="A195" s="8"/>
      <c r="B195" s="8"/>
      <c r="C195" s="8"/>
    </row>
    <row r="196" ht="14.25" customHeight="1">
      <c r="A196" s="8"/>
      <c r="B196" s="8"/>
      <c r="C196" s="8"/>
    </row>
    <row r="197" ht="14.25" customHeight="1">
      <c r="A197" s="8"/>
      <c r="B197" s="8"/>
      <c r="C197" s="8"/>
    </row>
    <row r="198" ht="14.25" customHeight="1">
      <c r="A198" s="8"/>
      <c r="B198" s="8"/>
      <c r="C198" s="8"/>
    </row>
    <row r="199" ht="14.25" customHeight="1">
      <c r="A199" s="8"/>
      <c r="B199" s="8"/>
      <c r="C199" s="8"/>
    </row>
    <row r="200" ht="14.25" customHeight="1">
      <c r="A200" s="8"/>
      <c r="B200" s="8"/>
      <c r="C200" s="8"/>
    </row>
    <row r="201" ht="14.25" customHeight="1">
      <c r="A201" s="8"/>
      <c r="B201" s="8"/>
      <c r="C201" s="8"/>
    </row>
    <row r="202" ht="14.25" customHeight="1">
      <c r="A202" s="8"/>
      <c r="B202" s="8"/>
      <c r="C202" s="8"/>
    </row>
    <row r="203" ht="14.25" customHeight="1">
      <c r="A203" s="8"/>
      <c r="B203" s="8"/>
      <c r="C203" s="8"/>
    </row>
    <row r="204" ht="14.25" customHeight="1">
      <c r="A204" s="8"/>
      <c r="B204" s="8"/>
      <c r="C204" s="8"/>
    </row>
    <row r="205" ht="14.25" customHeight="1">
      <c r="A205" s="8"/>
      <c r="B205" s="8"/>
      <c r="C205" s="8"/>
    </row>
    <row r="206" ht="14.25" customHeight="1">
      <c r="A206" s="8"/>
      <c r="B206" s="8"/>
      <c r="C206" s="8"/>
    </row>
    <row r="207" ht="14.25" customHeight="1">
      <c r="A207" s="8"/>
      <c r="B207" s="8"/>
      <c r="C207" s="8"/>
    </row>
    <row r="208" ht="14.25" customHeight="1">
      <c r="A208" s="8"/>
      <c r="B208" s="8"/>
      <c r="C208" s="8"/>
    </row>
    <row r="209" ht="14.25" customHeight="1">
      <c r="A209" s="8"/>
      <c r="B209" s="8"/>
      <c r="C209" s="8"/>
    </row>
    <row r="210" ht="14.25" customHeight="1">
      <c r="A210" s="8"/>
      <c r="B210" s="8"/>
      <c r="C210" s="8"/>
    </row>
    <row r="211" ht="14.25" customHeight="1">
      <c r="A211" s="8"/>
      <c r="B211" s="8"/>
      <c r="C211" s="8"/>
    </row>
    <row r="212" ht="14.25" customHeight="1">
      <c r="A212" s="8"/>
      <c r="B212" s="8"/>
      <c r="C212" s="8"/>
    </row>
    <row r="213" ht="14.25" customHeight="1">
      <c r="A213" s="8"/>
      <c r="B213" s="8"/>
      <c r="C213" s="8"/>
    </row>
    <row r="214" ht="14.25" customHeight="1">
      <c r="A214" s="8"/>
      <c r="B214" s="8"/>
      <c r="C214" s="8"/>
    </row>
    <row r="215" ht="14.25" customHeight="1">
      <c r="A215" s="8"/>
      <c r="B215" s="8"/>
      <c r="C215" s="8"/>
    </row>
    <row r="216" ht="14.25" customHeight="1">
      <c r="A216" s="8"/>
      <c r="B216" s="8"/>
      <c r="C216" s="8"/>
    </row>
    <row r="217" ht="14.25" customHeight="1">
      <c r="A217" s="8"/>
      <c r="B217" s="8"/>
      <c r="C217" s="8"/>
    </row>
    <row r="218" ht="14.25" customHeight="1">
      <c r="A218" s="8"/>
      <c r="B218" s="8"/>
      <c r="C218" s="8"/>
    </row>
    <row r="219" ht="14.25" customHeight="1">
      <c r="A219" s="8"/>
      <c r="B219" s="8"/>
      <c r="C219" s="8"/>
    </row>
    <row r="220" ht="14.25" customHeight="1">
      <c r="A220" s="8"/>
      <c r="B220" s="8"/>
      <c r="C220" s="8"/>
    </row>
    <row r="221" ht="14.25" customHeight="1">
      <c r="A221" s="8"/>
      <c r="B221" s="8"/>
      <c r="C221" s="8"/>
    </row>
    <row r="222" ht="14.25" customHeight="1">
      <c r="A222" s="8"/>
      <c r="B222" s="8"/>
      <c r="C222" s="8"/>
    </row>
    <row r="223" ht="14.25" customHeight="1">
      <c r="A223" s="8"/>
      <c r="B223" s="8"/>
      <c r="C223" s="8"/>
    </row>
    <row r="224" ht="14.25" customHeight="1">
      <c r="A224" s="8"/>
      <c r="B224" s="8"/>
      <c r="C224" s="8"/>
    </row>
    <row r="225" ht="14.25" customHeight="1">
      <c r="A225" s="8"/>
      <c r="B225" s="8"/>
      <c r="C225" s="8"/>
    </row>
    <row r="226" ht="14.25" customHeight="1">
      <c r="A226" s="8"/>
      <c r="B226" s="8"/>
      <c r="C226" s="8"/>
    </row>
    <row r="227" ht="14.25" customHeight="1">
      <c r="A227" s="8"/>
      <c r="B227" s="8"/>
      <c r="C227" s="8"/>
    </row>
    <row r="228" ht="14.25" customHeight="1">
      <c r="A228" s="8"/>
      <c r="B228" s="8"/>
      <c r="C228" s="8"/>
    </row>
    <row r="229" ht="14.25" customHeight="1">
      <c r="A229" s="8"/>
      <c r="B229" s="8"/>
      <c r="C229" s="8"/>
    </row>
    <row r="230" ht="14.25" customHeight="1">
      <c r="A230" s="8"/>
      <c r="B230" s="8"/>
      <c r="C230" s="8"/>
    </row>
    <row r="231" ht="14.25" customHeight="1">
      <c r="A231" s="8"/>
      <c r="B231" s="8"/>
      <c r="C231" s="8"/>
    </row>
    <row r="232" ht="14.25" customHeight="1">
      <c r="A232" s="8"/>
      <c r="B232" s="8"/>
      <c r="C232" s="8"/>
    </row>
    <row r="233" ht="14.25" customHeight="1">
      <c r="A233" s="8"/>
      <c r="B233" s="8"/>
      <c r="C233" s="8"/>
    </row>
    <row r="234" ht="14.25" customHeight="1">
      <c r="A234" s="8"/>
      <c r="B234" s="8"/>
      <c r="C234" s="8"/>
    </row>
    <row r="235" ht="14.25" customHeight="1">
      <c r="A235" s="8"/>
      <c r="B235" s="8"/>
      <c r="C235" s="8"/>
    </row>
    <row r="236" ht="14.25" customHeight="1">
      <c r="A236" s="8"/>
      <c r="B236" s="8"/>
      <c r="C236" s="8"/>
    </row>
    <row r="237" ht="14.25" customHeight="1">
      <c r="A237" s="8"/>
      <c r="B237" s="8"/>
      <c r="C237" s="8"/>
    </row>
    <row r="238" ht="14.25" customHeight="1">
      <c r="A238" s="8"/>
      <c r="B238" s="8"/>
      <c r="C238" s="8"/>
    </row>
    <row r="239" ht="14.25" customHeight="1">
      <c r="A239" s="8"/>
      <c r="B239" s="8"/>
      <c r="C239" s="8"/>
    </row>
    <row r="240" ht="14.25" customHeight="1">
      <c r="A240" s="8"/>
      <c r="B240" s="8"/>
      <c r="C240" s="8"/>
    </row>
    <row r="241" ht="14.25" customHeight="1">
      <c r="A241" s="8"/>
      <c r="B241" s="8"/>
      <c r="C241" s="8"/>
    </row>
    <row r="242" ht="14.25" customHeight="1">
      <c r="A242" s="8"/>
      <c r="B242" s="8"/>
      <c r="C242" s="8"/>
    </row>
    <row r="243" ht="14.25" customHeight="1">
      <c r="A243" s="8"/>
      <c r="B243" s="8"/>
      <c r="C243" s="8"/>
    </row>
    <row r="244" ht="14.25" customHeight="1">
      <c r="A244" s="8"/>
      <c r="B244" s="8"/>
      <c r="C244" s="8"/>
    </row>
    <row r="245" ht="14.25" customHeight="1">
      <c r="A245" s="8"/>
      <c r="B245" s="8"/>
      <c r="C245" s="8"/>
    </row>
    <row r="246" ht="14.25" customHeight="1">
      <c r="A246" s="8"/>
      <c r="B246" s="8"/>
      <c r="C246" s="8"/>
    </row>
    <row r="247" ht="14.25" customHeight="1">
      <c r="A247" s="8"/>
      <c r="B247" s="8"/>
      <c r="C247" s="8"/>
    </row>
    <row r="248" ht="14.25" customHeight="1">
      <c r="A248" s="8"/>
      <c r="B248" s="8"/>
      <c r="C248" s="8"/>
    </row>
    <row r="249" ht="14.25" customHeight="1">
      <c r="A249" s="8"/>
      <c r="B249" s="8"/>
      <c r="C249" s="8"/>
    </row>
    <row r="250" ht="14.25" customHeight="1">
      <c r="A250" s="8"/>
      <c r="B250" s="8"/>
      <c r="C250" s="8"/>
    </row>
    <row r="251" ht="14.25" customHeight="1">
      <c r="A251" s="8"/>
      <c r="B251" s="8"/>
      <c r="C251" s="8"/>
    </row>
    <row r="252" ht="14.25" customHeight="1">
      <c r="A252" s="8"/>
      <c r="B252" s="8"/>
      <c r="C252" s="8"/>
    </row>
    <row r="253" ht="14.25" customHeight="1">
      <c r="A253" s="8"/>
      <c r="B253" s="8"/>
      <c r="C253" s="8"/>
    </row>
    <row r="254" ht="14.25" customHeight="1">
      <c r="A254" s="8"/>
      <c r="B254" s="8"/>
      <c r="C254" s="8"/>
    </row>
    <row r="255" ht="14.25" customHeight="1">
      <c r="A255" s="8"/>
      <c r="B255" s="8"/>
      <c r="C255" s="8"/>
    </row>
    <row r="256" ht="14.25" customHeight="1">
      <c r="A256" s="8"/>
      <c r="B256" s="8"/>
      <c r="C256" s="8"/>
    </row>
    <row r="257" ht="14.25" customHeight="1">
      <c r="A257" s="8"/>
      <c r="B257" s="8"/>
      <c r="C257" s="8"/>
    </row>
    <row r="258" ht="14.25" customHeight="1">
      <c r="A258" s="8"/>
      <c r="B258" s="8"/>
      <c r="C258" s="8"/>
    </row>
    <row r="259" ht="14.25" customHeight="1">
      <c r="A259" s="8"/>
      <c r="B259" s="8"/>
      <c r="C259" s="8"/>
    </row>
    <row r="260" ht="14.25" customHeight="1">
      <c r="A260" s="8"/>
      <c r="B260" s="8"/>
      <c r="C260" s="8"/>
    </row>
    <row r="261" ht="14.25" customHeight="1">
      <c r="A261" s="8"/>
      <c r="B261" s="8"/>
      <c r="C261" s="8"/>
    </row>
    <row r="262" ht="14.25" customHeight="1">
      <c r="A262" s="8"/>
      <c r="B262" s="8"/>
      <c r="C262" s="8"/>
    </row>
    <row r="263" ht="14.25" customHeight="1">
      <c r="A263" s="8"/>
      <c r="B263" s="8"/>
      <c r="C263" s="8"/>
    </row>
    <row r="264" ht="14.25" customHeight="1">
      <c r="A264" s="8"/>
      <c r="B264" s="8"/>
      <c r="C264" s="8"/>
    </row>
    <row r="265" ht="14.25" customHeight="1">
      <c r="A265" s="8"/>
      <c r="B265" s="8"/>
      <c r="C265" s="8"/>
    </row>
    <row r="266" ht="14.25" customHeight="1">
      <c r="A266" s="8"/>
      <c r="B266" s="8"/>
      <c r="C266" s="8"/>
    </row>
    <row r="267" ht="14.25" customHeight="1">
      <c r="A267" s="8"/>
      <c r="B267" s="8"/>
      <c r="C267" s="8"/>
    </row>
    <row r="268" ht="14.25" customHeight="1">
      <c r="A268" s="8"/>
      <c r="B268" s="8"/>
      <c r="C268" s="8"/>
    </row>
    <row r="269" ht="14.25" customHeight="1">
      <c r="A269" s="8"/>
      <c r="B269" s="8"/>
      <c r="C269" s="8"/>
    </row>
    <row r="270" ht="14.25" customHeight="1">
      <c r="A270" s="8"/>
      <c r="B270" s="8"/>
      <c r="C270" s="8"/>
    </row>
    <row r="271" ht="14.25" customHeight="1">
      <c r="A271" s="8"/>
      <c r="B271" s="8"/>
      <c r="C271" s="8"/>
    </row>
    <row r="272" ht="14.25" customHeight="1">
      <c r="A272" s="8"/>
      <c r="B272" s="8"/>
      <c r="C272" s="8"/>
    </row>
    <row r="273" ht="14.25" customHeight="1">
      <c r="A273" s="8"/>
      <c r="B273" s="8"/>
      <c r="C273" s="8"/>
    </row>
    <row r="274" ht="14.25" customHeight="1">
      <c r="A274" s="8"/>
      <c r="B274" s="8"/>
      <c r="C274" s="8"/>
    </row>
    <row r="275" ht="14.25" customHeight="1">
      <c r="A275" s="8"/>
      <c r="B275" s="8"/>
      <c r="C275" s="8"/>
    </row>
    <row r="276" ht="14.25" customHeight="1">
      <c r="A276" s="8"/>
      <c r="B276" s="8"/>
      <c r="C276" s="8"/>
    </row>
    <row r="277" ht="14.25" customHeight="1">
      <c r="A277" s="8"/>
      <c r="B277" s="8"/>
      <c r="C277" s="8"/>
    </row>
    <row r="278" ht="14.25" customHeight="1">
      <c r="A278" s="8"/>
      <c r="B278" s="8"/>
      <c r="C278" s="8"/>
    </row>
    <row r="279" ht="14.25" customHeight="1">
      <c r="A279" s="8"/>
      <c r="B279" s="8"/>
      <c r="C279" s="8"/>
    </row>
    <row r="280" ht="14.25" customHeight="1">
      <c r="A280" s="8"/>
      <c r="B280" s="8"/>
      <c r="C280" s="8"/>
    </row>
    <row r="281" ht="14.25" customHeight="1">
      <c r="A281" s="8"/>
      <c r="B281" s="8"/>
      <c r="C281" s="8"/>
    </row>
    <row r="282" ht="14.25" customHeight="1">
      <c r="A282" s="8"/>
      <c r="B282" s="8"/>
      <c r="C282" s="8"/>
    </row>
    <row r="283" ht="14.25" customHeight="1">
      <c r="A283" s="8"/>
      <c r="B283" s="8"/>
      <c r="C283" s="8"/>
    </row>
    <row r="284" ht="14.25" customHeight="1">
      <c r="A284" s="8"/>
      <c r="B284" s="8"/>
      <c r="C284" s="8"/>
    </row>
    <row r="285" ht="14.25" customHeight="1">
      <c r="A285" s="8"/>
      <c r="B285" s="8"/>
      <c r="C285" s="8"/>
    </row>
    <row r="286" ht="14.25" customHeight="1">
      <c r="A286" s="8"/>
      <c r="B286" s="8"/>
      <c r="C286" s="8"/>
    </row>
    <row r="287" ht="14.25" customHeight="1">
      <c r="A287" s="8"/>
      <c r="B287" s="8"/>
      <c r="C287" s="8"/>
    </row>
    <row r="288" ht="14.25" customHeight="1">
      <c r="A288" s="8"/>
      <c r="B288" s="8"/>
      <c r="C288" s="8"/>
    </row>
    <row r="289" ht="14.25" customHeight="1">
      <c r="A289" s="8"/>
      <c r="B289" s="8"/>
      <c r="C289" s="8"/>
    </row>
    <row r="290" ht="14.25" customHeight="1">
      <c r="A290" s="8"/>
      <c r="B290" s="8"/>
      <c r="C290" s="8"/>
    </row>
    <row r="291" ht="14.25" customHeight="1">
      <c r="A291" s="8"/>
      <c r="B291" s="8"/>
      <c r="C291" s="8"/>
    </row>
    <row r="292" ht="14.25" customHeight="1">
      <c r="A292" s="8"/>
      <c r="B292" s="8"/>
      <c r="C292" s="8"/>
    </row>
    <row r="293" ht="14.25" customHeight="1">
      <c r="A293" s="8"/>
      <c r="B293" s="8"/>
      <c r="C293" s="8"/>
    </row>
    <row r="294" ht="14.25" customHeight="1">
      <c r="A294" s="8"/>
      <c r="B294" s="8"/>
      <c r="C294" s="8"/>
    </row>
    <row r="295" ht="14.25" customHeight="1">
      <c r="A295" s="8"/>
      <c r="B295" s="8"/>
      <c r="C295" s="8"/>
    </row>
    <row r="296" ht="14.25" customHeight="1">
      <c r="A296" s="8"/>
      <c r="B296" s="8"/>
      <c r="C296" s="8"/>
    </row>
    <row r="297" ht="14.25" customHeight="1">
      <c r="A297" s="8"/>
      <c r="B297" s="8"/>
      <c r="C297" s="8"/>
    </row>
    <row r="298" ht="14.25" customHeight="1">
      <c r="A298" s="8"/>
      <c r="B298" s="8"/>
      <c r="C298" s="8"/>
    </row>
    <row r="299" ht="14.25" customHeight="1">
      <c r="A299" s="8"/>
      <c r="B299" s="8"/>
      <c r="C299" s="8"/>
    </row>
    <row r="300" ht="14.25" customHeight="1">
      <c r="A300" s="8"/>
      <c r="B300" s="8"/>
      <c r="C300" s="8"/>
    </row>
    <row r="301" ht="14.25" customHeight="1">
      <c r="A301" s="8"/>
      <c r="B301" s="8"/>
      <c r="C301" s="8"/>
    </row>
    <row r="302" ht="14.25" customHeight="1">
      <c r="A302" s="8"/>
      <c r="B302" s="8"/>
      <c r="C302" s="8"/>
    </row>
    <row r="303" ht="14.25" customHeight="1">
      <c r="A303" s="8"/>
      <c r="B303" s="8"/>
      <c r="C303" s="8"/>
    </row>
    <row r="304" ht="14.25" customHeight="1">
      <c r="A304" s="8"/>
      <c r="B304" s="8"/>
      <c r="C304" s="8"/>
    </row>
    <row r="305" ht="14.25" customHeight="1">
      <c r="A305" s="8"/>
      <c r="B305" s="8"/>
      <c r="C305" s="8"/>
    </row>
    <row r="306" ht="14.25" customHeight="1">
      <c r="A306" s="8"/>
      <c r="B306" s="8"/>
      <c r="C306" s="8"/>
    </row>
    <row r="307" ht="14.25" customHeight="1">
      <c r="A307" s="8"/>
      <c r="B307" s="8"/>
      <c r="C307" s="8"/>
    </row>
    <row r="308" ht="14.25" customHeight="1">
      <c r="A308" s="8"/>
      <c r="B308" s="8"/>
      <c r="C308" s="8"/>
    </row>
    <row r="309" ht="14.25" customHeight="1">
      <c r="A309" s="8"/>
      <c r="B309" s="8"/>
      <c r="C309" s="8"/>
    </row>
    <row r="310" ht="14.25" customHeight="1">
      <c r="A310" s="8"/>
      <c r="B310" s="8"/>
      <c r="C310" s="8"/>
    </row>
    <row r="311" ht="14.25" customHeight="1">
      <c r="A311" s="8"/>
      <c r="B311" s="8"/>
      <c r="C311" s="8"/>
    </row>
    <row r="312" ht="14.25" customHeight="1">
      <c r="A312" s="8"/>
      <c r="B312" s="8"/>
      <c r="C312" s="8"/>
    </row>
    <row r="313" ht="14.25" customHeight="1">
      <c r="A313" s="8"/>
      <c r="B313" s="8"/>
      <c r="C313" s="8"/>
    </row>
    <row r="314" ht="14.25" customHeight="1">
      <c r="A314" s="8"/>
      <c r="B314" s="8"/>
      <c r="C314" s="8"/>
    </row>
    <row r="315" ht="14.25" customHeight="1">
      <c r="A315" s="8"/>
      <c r="B315" s="8"/>
      <c r="C315" s="8"/>
    </row>
    <row r="316" ht="14.25" customHeight="1">
      <c r="A316" s="8"/>
      <c r="B316" s="8"/>
      <c r="C316" s="8"/>
    </row>
    <row r="317" ht="14.25" customHeight="1">
      <c r="A317" s="8"/>
      <c r="B317" s="8"/>
      <c r="C317" s="8"/>
    </row>
    <row r="318" ht="14.25" customHeight="1">
      <c r="A318" s="8"/>
      <c r="B318" s="8"/>
      <c r="C318" s="8"/>
    </row>
    <row r="319" ht="14.25" customHeight="1">
      <c r="A319" s="8"/>
      <c r="B319" s="8"/>
      <c r="C319" s="8"/>
    </row>
    <row r="320" ht="14.25" customHeight="1">
      <c r="A320" s="8"/>
      <c r="B320" s="8"/>
      <c r="C320" s="8"/>
    </row>
    <row r="321" ht="14.25" customHeight="1">
      <c r="A321" s="8"/>
      <c r="B321" s="8"/>
      <c r="C321" s="8"/>
    </row>
    <row r="322" ht="14.25" customHeight="1">
      <c r="A322" s="8"/>
      <c r="B322" s="8"/>
      <c r="C322" s="8"/>
    </row>
    <row r="323" ht="14.25" customHeight="1">
      <c r="A323" s="8"/>
      <c r="B323" s="8"/>
      <c r="C323" s="8"/>
    </row>
    <row r="324" ht="14.25" customHeight="1">
      <c r="A324" s="8"/>
      <c r="B324" s="8"/>
      <c r="C324" s="8"/>
    </row>
    <row r="325" ht="14.25" customHeight="1">
      <c r="A325" s="8"/>
      <c r="B325" s="8"/>
      <c r="C325" s="8"/>
    </row>
    <row r="326" ht="14.25" customHeight="1">
      <c r="A326" s="8"/>
      <c r="B326" s="8"/>
      <c r="C326" s="8"/>
    </row>
    <row r="327" ht="14.25" customHeight="1">
      <c r="A327" s="8"/>
      <c r="B327" s="8"/>
      <c r="C327" s="8"/>
    </row>
    <row r="328" ht="14.25" customHeight="1">
      <c r="A328" s="8"/>
      <c r="B328" s="8"/>
      <c r="C328" s="8"/>
    </row>
    <row r="329" ht="14.25" customHeight="1">
      <c r="A329" s="8"/>
      <c r="B329" s="8"/>
      <c r="C329" s="8"/>
    </row>
    <row r="330" ht="14.25" customHeight="1">
      <c r="A330" s="8"/>
      <c r="B330" s="8"/>
      <c r="C330" s="8"/>
    </row>
    <row r="331" ht="14.25" customHeight="1">
      <c r="A331" s="8"/>
      <c r="B331" s="8"/>
      <c r="C331" s="8"/>
    </row>
    <row r="332" ht="14.25" customHeight="1">
      <c r="A332" s="8"/>
      <c r="B332" s="8"/>
      <c r="C332" s="8"/>
    </row>
    <row r="333" ht="14.25" customHeight="1">
      <c r="A333" s="8"/>
      <c r="B333" s="8"/>
      <c r="C333" s="8"/>
    </row>
    <row r="334" ht="14.25" customHeight="1">
      <c r="A334" s="8"/>
      <c r="B334" s="8"/>
      <c r="C334" s="8"/>
    </row>
    <row r="335" ht="14.25" customHeight="1">
      <c r="A335" s="8"/>
      <c r="B335" s="8"/>
      <c r="C335" s="8"/>
    </row>
    <row r="336" ht="14.25" customHeight="1">
      <c r="A336" s="8"/>
      <c r="B336" s="8"/>
      <c r="C336" s="8"/>
    </row>
    <row r="337" ht="14.25" customHeight="1">
      <c r="A337" s="8"/>
      <c r="B337" s="8"/>
      <c r="C337" s="8"/>
    </row>
    <row r="338" ht="14.25" customHeight="1">
      <c r="A338" s="8"/>
      <c r="B338" s="8"/>
      <c r="C338" s="8"/>
    </row>
    <row r="339" ht="14.25" customHeight="1">
      <c r="A339" s="8"/>
      <c r="B339" s="8"/>
      <c r="C339" s="8"/>
    </row>
    <row r="340" ht="14.25" customHeight="1">
      <c r="A340" s="8"/>
      <c r="B340" s="8"/>
      <c r="C340" s="8"/>
    </row>
    <row r="341" ht="14.25" customHeight="1">
      <c r="A341" s="8"/>
      <c r="B341" s="8"/>
      <c r="C341" s="8"/>
    </row>
    <row r="342" ht="14.25" customHeight="1">
      <c r="A342" s="8"/>
      <c r="B342" s="8"/>
      <c r="C342" s="8"/>
    </row>
    <row r="343" ht="14.25" customHeight="1">
      <c r="A343" s="8"/>
      <c r="B343" s="8"/>
      <c r="C343" s="8"/>
    </row>
    <row r="344" ht="14.25" customHeight="1">
      <c r="A344" s="8"/>
      <c r="B344" s="8"/>
      <c r="C344" s="8"/>
    </row>
    <row r="345" ht="14.25" customHeight="1">
      <c r="A345" s="8"/>
      <c r="B345" s="8"/>
      <c r="C345" s="8"/>
    </row>
    <row r="346" ht="14.25" customHeight="1">
      <c r="A346" s="8"/>
      <c r="B346" s="8"/>
      <c r="C346" s="8"/>
    </row>
    <row r="347" ht="14.25" customHeight="1">
      <c r="A347" s="8"/>
      <c r="B347" s="8"/>
      <c r="C347" s="8"/>
    </row>
    <row r="348" ht="14.25" customHeight="1">
      <c r="A348" s="8"/>
      <c r="B348" s="8"/>
      <c r="C348" s="8"/>
    </row>
    <row r="349" ht="14.25" customHeight="1">
      <c r="A349" s="8"/>
      <c r="B349" s="8"/>
      <c r="C349" s="8"/>
    </row>
    <row r="350" ht="14.25" customHeight="1">
      <c r="A350" s="8"/>
      <c r="B350" s="8"/>
      <c r="C350" s="8"/>
    </row>
    <row r="351" ht="14.25" customHeight="1">
      <c r="A351" s="8"/>
      <c r="B351" s="8"/>
      <c r="C351" s="8"/>
    </row>
    <row r="352" ht="14.25" customHeight="1">
      <c r="A352" s="8"/>
      <c r="B352" s="8"/>
      <c r="C352" s="8"/>
    </row>
    <row r="353" ht="14.25" customHeight="1">
      <c r="A353" s="8"/>
      <c r="B353" s="8"/>
      <c r="C353" s="8"/>
    </row>
    <row r="354" ht="14.25" customHeight="1">
      <c r="A354" s="8"/>
      <c r="B354" s="8"/>
      <c r="C354" s="8"/>
    </row>
    <row r="355" ht="14.25" customHeight="1">
      <c r="A355" s="8"/>
      <c r="B355" s="8"/>
      <c r="C355" s="8"/>
    </row>
    <row r="356" ht="14.25" customHeight="1">
      <c r="A356" s="8"/>
      <c r="B356" s="8"/>
      <c r="C356" s="8"/>
    </row>
    <row r="357" ht="14.25" customHeight="1">
      <c r="A357" s="8"/>
      <c r="B357" s="8"/>
      <c r="C357" s="8"/>
    </row>
    <row r="358" ht="14.25" customHeight="1">
      <c r="A358" s="8"/>
      <c r="B358" s="8"/>
      <c r="C358" s="8"/>
    </row>
    <row r="359" ht="14.25" customHeight="1">
      <c r="A359" s="8"/>
      <c r="B359" s="8"/>
      <c r="C359" s="8"/>
    </row>
    <row r="360" ht="14.25" customHeight="1">
      <c r="A360" s="8"/>
      <c r="B360" s="8"/>
      <c r="C360" s="8"/>
    </row>
    <row r="361" ht="14.25" customHeight="1">
      <c r="A361" s="8"/>
      <c r="B361" s="8"/>
      <c r="C361" s="8"/>
    </row>
    <row r="362" ht="14.25" customHeight="1">
      <c r="A362" s="8"/>
      <c r="B362" s="8"/>
      <c r="C362" s="8"/>
    </row>
    <row r="363" ht="14.25" customHeight="1">
      <c r="A363" s="8"/>
      <c r="B363" s="8"/>
      <c r="C363" s="8"/>
    </row>
    <row r="364" ht="14.25" customHeight="1">
      <c r="A364" s="8"/>
      <c r="B364" s="8"/>
      <c r="C364" s="8"/>
    </row>
    <row r="365" ht="14.25" customHeight="1">
      <c r="A365" s="8"/>
      <c r="B365" s="8"/>
      <c r="C365" s="8"/>
    </row>
    <row r="366" ht="14.25" customHeight="1">
      <c r="A366" s="8"/>
      <c r="B366" s="8"/>
      <c r="C366" s="8"/>
    </row>
    <row r="367" ht="14.25" customHeight="1">
      <c r="A367" s="8"/>
      <c r="B367" s="8"/>
      <c r="C367" s="8"/>
    </row>
    <row r="368" ht="14.25" customHeight="1">
      <c r="A368" s="8"/>
      <c r="B368" s="8"/>
      <c r="C368" s="8"/>
    </row>
    <row r="369" ht="14.25" customHeight="1">
      <c r="A369" s="8"/>
      <c r="B369" s="8"/>
      <c r="C369" s="8"/>
    </row>
    <row r="370" ht="14.25" customHeight="1">
      <c r="A370" s="8"/>
      <c r="B370" s="8"/>
      <c r="C370" s="8"/>
    </row>
    <row r="371" ht="14.25" customHeight="1">
      <c r="A371" s="8"/>
      <c r="B371" s="8"/>
      <c r="C371" s="8"/>
    </row>
    <row r="372" ht="14.25" customHeight="1">
      <c r="A372" s="8"/>
      <c r="B372" s="8"/>
      <c r="C372" s="8"/>
    </row>
    <row r="373" ht="14.25" customHeight="1">
      <c r="A373" s="8"/>
      <c r="B373" s="8"/>
      <c r="C373" s="8"/>
    </row>
    <row r="374" ht="14.25" customHeight="1">
      <c r="A374" s="8"/>
      <c r="B374" s="8"/>
      <c r="C374" s="8"/>
    </row>
    <row r="375" ht="14.25" customHeight="1">
      <c r="A375" s="8"/>
      <c r="B375" s="8"/>
      <c r="C375" s="8"/>
    </row>
    <row r="376" ht="14.25" customHeight="1">
      <c r="A376" s="8"/>
      <c r="B376" s="8"/>
      <c r="C376" s="8"/>
    </row>
    <row r="377" ht="14.25" customHeight="1">
      <c r="A377" s="8"/>
      <c r="B377" s="8"/>
      <c r="C377" s="8"/>
    </row>
    <row r="378" ht="14.25" customHeight="1">
      <c r="A378" s="8"/>
      <c r="B378" s="8"/>
      <c r="C378" s="8"/>
    </row>
    <row r="379" ht="14.25" customHeight="1">
      <c r="A379" s="8"/>
      <c r="B379" s="8"/>
      <c r="C379" s="8"/>
    </row>
    <row r="380" ht="14.25" customHeight="1">
      <c r="A380" s="8"/>
      <c r="B380" s="8"/>
      <c r="C380" s="8"/>
    </row>
    <row r="381" ht="14.25" customHeight="1">
      <c r="A381" s="8"/>
      <c r="B381" s="8"/>
      <c r="C381" s="8"/>
    </row>
    <row r="382" ht="14.25" customHeight="1">
      <c r="A382" s="8"/>
      <c r="B382" s="8"/>
      <c r="C382" s="8"/>
    </row>
    <row r="383" ht="14.25" customHeight="1">
      <c r="A383" s="8"/>
      <c r="B383" s="8"/>
      <c r="C383" s="8"/>
    </row>
    <row r="384" ht="14.25" customHeight="1">
      <c r="A384" s="8"/>
      <c r="B384" s="8"/>
      <c r="C384" s="8"/>
    </row>
    <row r="385" ht="14.25" customHeight="1">
      <c r="A385" s="8"/>
      <c r="B385" s="8"/>
      <c r="C385" s="8"/>
    </row>
    <row r="386" ht="14.25" customHeight="1">
      <c r="A386" s="8"/>
      <c r="B386" s="8"/>
      <c r="C386" s="8"/>
    </row>
    <row r="387" ht="14.25" customHeight="1">
      <c r="A387" s="8"/>
      <c r="B387" s="8"/>
      <c r="C387" s="8"/>
    </row>
    <row r="388" ht="14.25" customHeight="1">
      <c r="A388" s="8"/>
      <c r="B388" s="8"/>
      <c r="C388" s="8"/>
    </row>
    <row r="389" ht="14.25" customHeight="1">
      <c r="A389" s="8"/>
      <c r="B389" s="8"/>
      <c r="C389" s="8"/>
    </row>
    <row r="390" ht="14.25" customHeight="1">
      <c r="A390" s="8"/>
      <c r="B390" s="8"/>
      <c r="C390" s="8"/>
    </row>
    <row r="391" ht="14.25" customHeight="1">
      <c r="A391" s="8"/>
      <c r="B391" s="8"/>
      <c r="C391" s="8"/>
    </row>
    <row r="392" ht="14.25" customHeight="1">
      <c r="A392" s="8"/>
      <c r="B392" s="8"/>
      <c r="C392" s="8"/>
    </row>
    <row r="393" ht="14.25" customHeight="1">
      <c r="A393" s="8"/>
      <c r="B393" s="8"/>
      <c r="C393" s="8"/>
    </row>
    <row r="394" ht="14.25" customHeight="1">
      <c r="A394" s="8"/>
      <c r="B394" s="8"/>
      <c r="C394" s="8"/>
    </row>
    <row r="395" ht="14.25" customHeight="1">
      <c r="A395" s="8"/>
      <c r="B395" s="8"/>
      <c r="C395" s="8"/>
    </row>
    <row r="396" ht="14.25" customHeight="1">
      <c r="A396" s="8"/>
      <c r="B396" s="8"/>
      <c r="C396" s="8"/>
    </row>
    <row r="397" ht="14.25" customHeight="1">
      <c r="A397" s="8"/>
      <c r="B397" s="8"/>
      <c r="C397" s="8"/>
    </row>
    <row r="398" ht="14.25" customHeight="1">
      <c r="A398" s="8"/>
      <c r="B398" s="8"/>
      <c r="C398" s="8"/>
    </row>
    <row r="399" ht="14.25" customHeight="1">
      <c r="A399" s="8"/>
      <c r="B399" s="8"/>
      <c r="C399" s="8"/>
    </row>
    <row r="400" ht="14.25" customHeight="1">
      <c r="A400" s="8"/>
      <c r="B400" s="8"/>
      <c r="C400" s="8"/>
    </row>
    <row r="401" ht="14.25" customHeight="1">
      <c r="A401" s="8"/>
      <c r="B401" s="8"/>
      <c r="C401" s="8"/>
    </row>
    <row r="402" ht="14.25" customHeight="1">
      <c r="A402" s="8"/>
      <c r="B402" s="8"/>
      <c r="C402" s="8"/>
    </row>
    <row r="403" ht="14.25" customHeight="1">
      <c r="A403" s="8"/>
      <c r="B403" s="8"/>
      <c r="C403" s="8"/>
    </row>
    <row r="404" ht="14.25" customHeight="1">
      <c r="A404" s="8"/>
      <c r="B404" s="8"/>
      <c r="C404" s="8"/>
    </row>
    <row r="405" ht="14.25" customHeight="1">
      <c r="A405" s="8"/>
      <c r="B405" s="8"/>
      <c r="C405" s="8"/>
    </row>
    <row r="406" ht="14.25" customHeight="1">
      <c r="A406" s="8"/>
      <c r="B406" s="8"/>
      <c r="C406" s="8"/>
    </row>
    <row r="407" ht="14.25" customHeight="1">
      <c r="A407" s="8"/>
      <c r="B407" s="8"/>
      <c r="C407" s="8"/>
    </row>
    <row r="408" ht="14.25" customHeight="1">
      <c r="A408" s="8"/>
      <c r="B408" s="8"/>
      <c r="C408" s="8"/>
    </row>
    <row r="409" ht="14.25" customHeight="1">
      <c r="A409" s="8"/>
      <c r="B409" s="8"/>
      <c r="C409" s="8"/>
    </row>
    <row r="410" ht="14.25" customHeight="1">
      <c r="A410" s="8"/>
      <c r="B410" s="8"/>
      <c r="C410" s="8"/>
    </row>
    <row r="411" ht="14.25" customHeight="1">
      <c r="A411" s="8"/>
      <c r="B411" s="8"/>
      <c r="C411" s="8"/>
    </row>
    <row r="412" ht="14.25" customHeight="1">
      <c r="A412" s="8"/>
      <c r="B412" s="8"/>
      <c r="C412" s="8"/>
    </row>
    <row r="413" ht="14.25" customHeight="1">
      <c r="A413" s="8"/>
      <c r="B413" s="8"/>
      <c r="C413" s="8"/>
    </row>
    <row r="414" ht="14.25" customHeight="1">
      <c r="A414" s="8"/>
      <c r="B414" s="8"/>
      <c r="C414" s="8"/>
    </row>
    <row r="415" ht="14.25" customHeight="1">
      <c r="A415" s="8"/>
      <c r="B415" s="8"/>
      <c r="C415" s="8"/>
    </row>
    <row r="416" ht="14.25" customHeight="1">
      <c r="A416" s="8"/>
      <c r="B416" s="8"/>
      <c r="C416" s="8"/>
    </row>
    <row r="417" ht="14.25" customHeight="1">
      <c r="A417" s="8"/>
      <c r="B417" s="8"/>
      <c r="C417" s="8"/>
    </row>
    <row r="418" ht="14.25" customHeight="1">
      <c r="A418" s="8"/>
      <c r="B418" s="8"/>
      <c r="C418" s="8"/>
    </row>
    <row r="419" ht="14.25" customHeight="1">
      <c r="A419" s="8"/>
      <c r="B419" s="8"/>
      <c r="C419" s="8"/>
    </row>
    <row r="420" ht="14.25" customHeight="1">
      <c r="A420" s="8"/>
      <c r="B420" s="8"/>
      <c r="C420" s="8"/>
    </row>
    <row r="421" ht="14.25" customHeight="1">
      <c r="A421" s="8"/>
      <c r="B421" s="8"/>
      <c r="C421" s="8"/>
    </row>
    <row r="422" ht="14.25" customHeight="1">
      <c r="A422" s="8"/>
      <c r="B422" s="8"/>
      <c r="C422" s="8"/>
    </row>
    <row r="423" ht="14.25" customHeight="1">
      <c r="A423" s="8"/>
      <c r="B423" s="8"/>
      <c r="C423" s="8"/>
    </row>
    <row r="424" ht="14.25" customHeight="1">
      <c r="A424" s="8"/>
      <c r="B424" s="8"/>
      <c r="C424" s="8"/>
    </row>
    <row r="425" ht="14.25" customHeight="1">
      <c r="A425" s="8"/>
      <c r="B425" s="8"/>
      <c r="C425" s="8"/>
    </row>
    <row r="426" ht="14.25" customHeight="1">
      <c r="A426" s="8"/>
      <c r="B426" s="8"/>
      <c r="C426" s="8"/>
    </row>
    <row r="427" ht="14.25" customHeight="1">
      <c r="A427" s="8"/>
      <c r="B427" s="8"/>
      <c r="C427" s="8"/>
    </row>
    <row r="428" ht="14.25" customHeight="1">
      <c r="A428" s="8"/>
      <c r="B428" s="8"/>
      <c r="C428" s="8"/>
    </row>
    <row r="429" ht="14.25" customHeight="1">
      <c r="A429" s="8"/>
      <c r="B429" s="8"/>
      <c r="C429" s="8"/>
    </row>
    <row r="430" ht="14.25" customHeight="1">
      <c r="A430" s="8"/>
      <c r="B430" s="8"/>
      <c r="C430" s="8"/>
    </row>
    <row r="431" ht="14.25" customHeight="1">
      <c r="A431" s="8"/>
      <c r="B431" s="8"/>
      <c r="C431" s="8"/>
    </row>
    <row r="432" ht="14.25" customHeight="1">
      <c r="A432" s="8"/>
      <c r="B432" s="8"/>
      <c r="C432" s="8"/>
    </row>
    <row r="433" ht="14.25" customHeight="1">
      <c r="A433" s="8"/>
      <c r="B433" s="8"/>
      <c r="C433" s="8"/>
    </row>
    <row r="434" ht="14.25" customHeight="1">
      <c r="A434" s="8"/>
      <c r="B434" s="8"/>
      <c r="C434" s="8"/>
    </row>
    <row r="435" ht="14.25" customHeight="1">
      <c r="A435" s="8"/>
      <c r="B435" s="8"/>
      <c r="C435" s="8"/>
    </row>
    <row r="436" ht="14.25" customHeight="1">
      <c r="A436" s="8"/>
      <c r="B436" s="8"/>
      <c r="C436" s="8"/>
    </row>
    <row r="437" ht="14.25" customHeight="1">
      <c r="A437" s="8"/>
      <c r="B437" s="8"/>
      <c r="C437" s="8"/>
    </row>
    <row r="438" ht="14.25" customHeight="1">
      <c r="A438" s="8"/>
      <c r="B438" s="8"/>
      <c r="C438" s="8"/>
    </row>
    <row r="439" ht="14.25" customHeight="1">
      <c r="A439" s="8"/>
      <c r="B439" s="8"/>
      <c r="C439" s="8"/>
    </row>
    <row r="440" ht="14.25" customHeight="1">
      <c r="A440" s="8"/>
      <c r="B440" s="8"/>
      <c r="C440" s="8"/>
    </row>
    <row r="441" ht="14.25" customHeight="1">
      <c r="A441" s="8"/>
      <c r="B441" s="8"/>
      <c r="C441" s="8"/>
    </row>
    <row r="442" ht="14.25" customHeight="1">
      <c r="A442" s="8"/>
      <c r="B442" s="8"/>
      <c r="C442" s="8"/>
    </row>
    <row r="443" ht="14.25" customHeight="1">
      <c r="A443" s="8"/>
      <c r="B443" s="8"/>
      <c r="C443" s="8"/>
    </row>
    <row r="444" ht="14.25" customHeight="1">
      <c r="A444" s="8"/>
      <c r="B444" s="8"/>
      <c r="C444" s="8"/>
    </row>
    <row r="445" ht="14.25" customHeight="1">
      <c r="A445" s="8"/>
      <c r="B445" s="8"/>
      <c r="C445" s="8"/>
    </row>
    <row r="446" ht="14.25" customHeight="1">
      <c r="A446" s="8"/>
      <c r="B446" s="8"/>
      <c r="C446" s="8"/>
    </row>
    <row r="447" ht="14.25" customHeight="1">
      <c r="A447" s="8"/>
      <c r="B447" s="8"/>
      <c r="C447" s="8"/>
    </row>
    <row r="448" ht="14.25" customHeight="1">
      <c r="A448" s="8"/>
      <c r="B448" s="8"/>
      <c r="C448" s="8"/>
    </row>
    <row r="449" ht="14.25" customHeight="1">
      <c r="A449" s="8"/>
      <c r="B449" s="8"/>
      <c r="C449" s="8"/>
    </row>
    <row r="450" ht="14.25" customHeight="1">
      <c r="A450" s="8"/>
      <c r="B450" s="8"/>
      <c r="C450" s="8"/>
    </row>
    <row r="451" ht="14.25" customHeight="1">
      <c r="A451" s="8"/>
      <c r="B451" s="8"/>
      <c r="C451" s="8"/>
    </row>
    <row r="452" ht="14.25" customHeight="1">
      <c r="A452" s="8"/>
      <c r="B452" s="8"/>
      <c r="C452" s="8"/>
    </row>
    <row r="453" ht="14.25" customHeight="1">
      <c r="A453" s="8"/>
      <c r="B453" s="8"/>
      <c r="C453" s="8"/>
    </row>
    <row r="454" ht="14.25" customHeight="1">
      <c r="A454" s="8"/>
      <c r="B454" s="8"/>
      <c r="C454" s="8"/>
    </row>
    <row r="455" ht="14.25" customHeight="1">
      <c r="A455" s="8"/>
      <c r="B455" s="8"/>
      <c r="C455" s="8"/>
    </row>
    <row r="456" ht="14.25" customHeight="1">
      <c r="A456" s="8"/>
      <c r="B456" s="8"/>
      <c r="C456" s="8"/>
    </row>
    <row r="457" ht="14.25" customHeight="1">
      <c r="A457" s="8"/>
      <c r="B457" s="8"/>
      <c r="C457" s="8"/>
    </row>
    <row r="458" ht="14.25" customHeight="1">
      <c r="A458" s="8"/>
      <c r="B458" s="8"/>
      <c r="C458" s="8"/>
    </row>
    <row r="459" ht="14.25" customHeight="1">
      <c r="A459" s="8"/>
      <c r="B459" s="8"/>
      <c r="C459" s="8"/>
    </row>
    <row r="460" ht="14.25" customHeight="1">
      <c r="A460" s="8"/>
      <c r="B460" s="8"/>
      <c r="C460" s="8"/>
    </row>
    <row r="461" ht="14.25" customHeight="1">
      <c r="A461" s="8"/>
      <c r="B461" s="8"/>
      <c r="C461" s="8"/>
    </row>
    <row r="462" ht="14.25" customHeight="1">
      <c r="A462" s="8"/>
      <c r="B462" s="8"/>
      <c r="C462" s="8"/>
    </row>
    <row r="463" ht="14.25" customHeight="1">
      <c r="A463" s="8"/>
      <c r="B463" s="8"/>
      <c r="C463" s="8"/>
    </row>
    <row r="464" ht="14.25" customHeight="1">
      <c r="A464" s="8"/>
      <c r="B464" s="8"/>
      <c r="C464" s="8"/>
    </row>
    <row r="465" ht="14.25" customHeight="1">
      <c r="A465" s="8"/>
      <c r="B465" s="8"/>
      <c r="C465" s="8"/>
    </row>
    <row r="466" ht="14.25" customHeight="1">
      <c r="A466" s="8"/>
      <c r="B466" s="8"/>
      <c r="C466" s="8"/>
    </row>
    <row r="467" ht="14.25" customHeight="1">
      <c r="A467" s="8"/>
      <c r="B467" s="8"/>
      <c r="C467" s="8"/>
    </row>
    <row r="468" ht="14.25" customHeight="1">
      <c r="A468" s="8"/>
      <c r="B468" s="8"/>
      <c r="C468" s="8"/>
    </row>
    <row r="469" ht="14.25" customHeight="1">
      <c r="A469" s="8"/>
      <c r="B469" s="8"/>
      <c r="C469" s="8"/>
    </row>
    <row r="470" ht="14.25" customHeight="1">
      <c r="A470" s="8"/>
      <c r="B470" s="8"/>
      <c r="C470" s="8"/>
    </row>
    <row r="471" ht="14.25" customHeight="1">
      <c r="A471" s="8"/>
      <c r="B471" s="8"/>
      <c r="C471" s="8"/>
    </row>
    <row r="472" ht="14.25" customHeight="1">
      <c r="A472" s="8"/>
      <c r="B472" s="8"/>
      <c r="C472" s="8"/>
    </row>
    <row r="473" ht="14.25" customHeight="1">
      <c r="A473" s="8"/>
      <c r="B473" s="8"/>
      <c r="C473" s="8"/>
    </row>
    <row r="474" ht="14.25" customHeight="1">
      <c r="A474" s="8"/>
      <c r="B474" s="8"/>
      <c r="C474" s="8"/>
    </row>
    <row r="475" ht="14.25" customHeight="1">
      <c r="A475" s="8"/>
      <c r="B475" s="8"/>
      <c r="C475" s="8"/>
    </row>
    <row r="476" ht="14.25" customHeight="1">
      <c r="A476" s="8"/>
      <c r="B476" s="8"/>
      <c r="C476" s="8"/>
    </row>
    <row r="477" ht="14.25" customHeight="1">
      <c r="A477" s="8"/>
      <c r="B477" s="8"/>
      <c r="C477" s="8"/>
    </row>
    <row r="478" ht="14.25" customHeight="1">
      <c r="A478" s="8"/>
      <c r="B478" s="8"/>
      <c r="C478" s="8"/>
    </row>
    <row r="479" ht="14.25" customHeight="1">
      <c r="A479" s="8"/>
      <c r="B479" s="8"/>
      <c r="C479" s="8"/>
    </row>
    <row r="480" ht="14.25" customHeight="1">
      <c r="A480" s="8"/>
      <c r="B480" s="8"/>
      <c r="C480" s="8"/>
    </row>
    <row r="481" ht="14.25" customHeight="1">
      <c r="A481" s="8"/>
      <c r="B481" s="8"/>
      <c r="C481" s="8"/>
    </row>
    <row r="482" ht="14.25" customHeight="1">
      <c r="A482" s="8"/>
      <c r="B482" s="8"/>
      <c r="C482" s="8"/>
    </row>
    <row r="483" ht="14.25" customHeight="1">
      <c r="A483" s="8"/>
      <c r="B483" s="8"/>
      <c r="C483" s="8"/>
    </row>
    <row r="484" ht="14.25" customHeight="1">
      <c r="A484" s="8"/>
      <c r="B484" s="8"/>
      <c r="C484" s="8"/>
    </row>
    <row r="485" ht="14.25" customHeight="1">
      <c r="A485" s="8"/>
      <c r="B485" s="8"/>
      <c r="C485" s="8"/>
    </row>
    <row r="486" ht="14.25" customHeight="1">
      <c r="A486" s="8"/>
      <c r="B486" s="8"/>
      <c r="C486" s="8"/>
    </row>
    <row r="487" ht="14.25" customHeight="1">
      <c r="A487" s="8"/>
      <c r="B487" s="8"/>
      <c r="C487" s="8"/>
    </row>
    <row r="488" ht="14.25" customHeight="1">
      <c r="A488" s="8"/>
      <c r="B488" s="8"/>
      <c r="C488" s="8"/>
    </row>
    <row r="489" ht="14.25" customHeight="1">
      <c r="A489" s="8"/>
      <c r="B489" s="8"/>
      <c r="C489" s="8"/>
    </row>
    <row r="490" ht="14.25" customHeight="1">
      <c r="A490" s="8"/>
      <c r="B490" s="8"/>
      <c r="C490" s="8"/>
    </row>
    <row r="491" ht="14.25" customHeight="1">
      <c r="A491" s="8"/>
      <c r="B491" s="8"/>
      <c r="C491" s="8"/>
    </row>
    <row r="492" ht="14.25" customHeight="1">
      <c r="A492" s="8"/>
      <c r="B492" s="8"/>
      <c r="C492" s="8"/>
    </row>
    <row r="493" ht="14.25" customHeight="1">
      <c r="A493" s="8"/>
      <c r="B493" s="8"/>
      <c r="C493" s="8"/>
    </row>
    <row r="494" ht="14.25" customHeight="1">
      <c r="A494" s="8"/>
      <c r="B494" s="8"/>
      <c r="C494" s="8"/>
    </row>
    <row r="495" ht="14.25" customHeight="1">
      <c r="A495" s="8"/>
      <c r="B495" s="8"/>
      <c r="C495" s="8"/>
    </row>
    <row r="496" ht="14.25" customHeight="1">
      <c r="A496" s="8"/>
      <c r="B496" s="8"/>
      <c r="C496" s="8"/>
    </row>
    <row r="497" ht="14.25" customHeight="1">
      <c r="A497" s="8"/>
      <c r="B497" s="8"/>
      <c r="C497" s="8"/>
    </row>
    <row r="498" ht="14.25" customHeight="1">
      <c r="A498" s="8"/>
      <c r="B498" s="8"/>
      <c r="C498" s="8"/>
    </row>
    <row r="499" ht="14.25" customHeight="1">
      <c r="A499" s="8"/>
      <c r="B499" s="8"/>
      <c r="C499" s="8"/>
    </row>
    <row r="500" ht="14.25" customHeight="1">
      <c r="A500" s="8"/>
      <c r="B500" s="8"/>
      <c r="C500" s="8"/>
    </row>
    <row r="501" ht="14.25" customHeight="1">
      <c r="A501" s="8"/>
      <c r="B501" s="8"/>
      <c r="C501" s="8"/>
    </row>
    <row r="502" ht="14.25" customHeight="1">
      <c r="A502" s="8"/>
      <c r="B502" s="8"/>
      <c r="C502" s="8"/>
    </row>
    <row r="503" ht="14.25" customHeight="1">
      <c r="A503" s="8"/>
      <c r="B503" s="8"/>
      <c r="C503" s="8"/>
    </row>
    <row r="504" ht="14.25" customHeight="1">
      <c r="A504" s="8"/>
      <c r="B504" s="8"/>
      <c r="C504" s="8"/>
    </row>
    <row r="505" ht="14.25" customHeight="1">
      <c r="A505" s="8"/>
      <c r="B505" s="8"/>
      <c r="C505" s="8"/>
    </row>
    <row r="506" ht="14.25" customHeight="1">
      <c r="A506" s="8"/>
      <c r="B506" s="8"/>
      <c r="C506" s="8"/>
    </row>
    <row r="507" ht="14.25" customHeight="1">
      <c r="A507" s="8"/>
      <c r="B507" s="8"/>
      <c r="C507" s="8"/>
    </row>
    <row r="508" ht="14.25" customHeight="1">
      <c r="A508" s="8"/>
      <c r="B508" s="8"/>
      <c r="C508" s="8"/>
    </row>
    <row r="509" ht="14.25" customHeight="1">
      <c r="A509" s="8"/>
      <c r="B509" s="8"/>
      <c r="C509" s="8"/>
    </row>
    <row r="510" ht="14.25" customHeight="1">
      <c r="A510" s="8"/>
      <c r="B510" s="8"/>
      <c r="C510" s="8"/>
    </row>
    <row r="511" ht="14.25" customHeight="1">
      <c r="A511" s="8"/>
      <c r="B511" s="8"/>
      <c r="C511" s="8"/>
    </row>
    <row r="512" ht="14.25" customHeight="1">
      <c r="A512" s="8"/>
      <c r="B512" s="8"/>
      <c r="C512" s="8"/>
    </row>
    <row r="513" ht="14.25" customHeight="1">
      <c r="A513" s="8"/>
      <c r="B513" s="8"/>
      <c r="C513" s="8"/>
    </row>
    <row r="514" ht="14.25" customHeight="1">
      <c r="A514" s="8"/>
      <c r="B514" s="8"/>
      <c r="C514" s="8"/>
    </row>
    <row r="515" ht="14.25" customHeight="1">
      <c r="A515" s="8"/>
      <c r="B515" s="8"/>
      <c r="C515" s="8"/>
    </row>
    <row r="516" ht="14.25" customHeight="1">
      <c r="A516" s="8"/>
      <c r="B516" s="8"/>
      <c r="C516" s="8"/>
    </row>
    <row r="517" ht="14.25" customHeight="1">
      <c r="A517" s="8"/>
      <c r="B517" s="8"/>
      <c r="C517" s="8"/>
    </row>
    <row r="518" ht="14.25" customHeight="1">
      <c r="A518" s="8"/>
      <c r="B518" s="8"/>
      <c r="C518" s="8"/>
    </row>
    <row r="519" ht="14.25" customHeight="1">
      <c r="A519" s="8"/>
      <c r="B519" s="8"/>
      <c r="C519" s="8"/>
    </row>
    <row r="520" ht="14.25" customHeight="1">
      <c r="A520" s="8"/>
      <c r="B520" s="8"/>
      <c r="C520" s="8"/>
    </row>
    <row r="521" ht="14.25" customHeight="1">
      <c r="A521" s="8"/>
      <c r="B521" s="8"/>
      <c r="C521" s="8"/>
    </row>
    <row r="522" ht="14.25" customHeight="1">
      <c r="A522" s="8"/>
      <c r="B522" s="8"/>
      <c r="C522" s="8"/>
    </row>
    <row r="523" ht="14.25" customHeight="1">
      <c r="A523" s="8"/>
      <c r="B523" s="8"/>
      <c r="C523" s="8"/>
    </row>
    <row r="524" ht="14.25" customHeight="1">
      <c r="A524" s="8"/>
      <c r="B524" s="8"/>
      <c r="C524" s="8"/>
    </row>
    <row r="525" ht="14.25" customHeight="1">
      <c r="A525" s="8"/>
      <c r="B525" s="8"/>
      <c r="C525" s="8"/>
    </row>
    <row r="526" ht="14.25" customHeight="1">
      <c r="A526" s="8"/>
      <c r="B526" s="8"/>
      <c r="C526" s="8"/>
    </row>
    <row r="527" ht="14.25" customHeight="1">
      <c r="A527" s="8"/>
      <c r="B527" s="8"/>
      <c r="C527" s="8"/>
    </row>
    <row r="528" ht="14.25" customHeight="1">
      <c r="A528" s="8"/>
      <c r="B528" s="8"/>
      <c r="C528" s="8"/>
    </row>
    <row r="529" ht="14.25" customHeight="1">
      <c r="A529" s="8"/>
      <c r="B529" s="8"/>
      <c r="C529" s="8"/>
    </row>
    <row r="530" ht="14.25" customHeight="1">
      <c r="A530" s="8"/>
      <c r="B530" s="8"/>
      <c r="C530" s="8"/>
    </row>
    <row r="531" ht="14.25" customHeight="1">
      <c r="A531" s="8"/>
      <c r="B531" s="8"/>
      <c r="C531" s="8"/>
    </row>
    <row r="532" ht="14.25" customHeight="1">
      <c r="A532" s="8"/>
      <c r="B532" s="8"/>
      <c r="C532" s="8"/>
    </row>
    <row r="533" ht="14.25" customHeight="1">
      <c r="A533" s="8"/>
      <c r="B533" s="8"/>
      <c r="C533" s="8"/>
    </row>
    <row r="534" ht="14.25" customHeight="1">
      <c r="A534" s="8"/>
      <c r="B534" s="8"/>
      <c r="C534" s="8"/>
    </row>
    <row r="535" ht="14.25" customHeight="1">
      <c r="A535" s="8"/>
      <c r="B535" s="8"/>
      <c r="C535" s="8"/>
    </row>
    <row r="536" ht="14.25" customHeight="1">
      <c r="A536" s="8"/>
      <c r="B536" s="8"/>
      <c r="C536" s="8"/>
    </row>
    <row r="537" ht="14.25" customHeight="1">
      <c r="A537" s="8"/>
      <c r="B537" s="8"/>
      <c r="C537" s="8"/>
    </row>
    <row r="538" ht="14.25" customHeight="1">
      <c r="A538" s="8"/>
      <c r="B538" s="8"/>
      <c r="C538" s="8"/>
    </row>
    <row r="539" ht="14.25" customHeight="1">
      <c r="A539" s="8"/>
      <c r="B539" s="8"/>
      <c r="C539" s="8"/>
    </row>
    <row r="540" ht="14.25" customHeight="1">
      <c r="A540" s="8"/>
      <c r="B540" s="8"/>
      <c r="C540" s="8"/>
    </row>
    <row r="541" ht="14.25" customHeight="1">
      <c r="A541" s="8"/>
      <c r="B541" s="8"/>
      <c r="C541" s="8"/>
    </row>
    <row r="542" ht="14.25" customHeight="1">
      <c r="A542" s="8"/>
      <c r="B542" s="8"/>
      <c r="C542" s="8"/>
    </row>
    <row r="543" ht="14.25" customHeight="1">
      <c r="A543" s="8"/>
      <c r="B543" s="8"/>
      <c r="C543" s="8"/>
    </row>
    <row r="544" ht="14.25" customHeight="1">
      <c r="A544" s="8"/>
      <c r="B544" s="8"/>
      <c r="C544" s="8"/>
    </row>
    <row r="545" ht="14.25" customHeight="1">
      <c r="A545" s="8"/>
      <c r="B545" s="8"/>
      <c r="C545" s="8"/>
    </row>
    <row r="546" ht="14.25" customHeight="1">
      <c r="A546" s="8"/>
      <c r="B546" s="8"/>
      <c r="C546" s="8"/>
    </row>
    <row r="547" ht="14.25" customHeight="1">
      <c r="A547" s="8"/>
      <c r="B547" s="8"/>
      <c r="C547" s="8"/>
    </row>
    <row r="548" ht="14.25" customHeight="1">
      <c r="A548" s="8"/>
      <c r="B548" s="8"/>
      <c r="C548" s="8"/>
    </row>
    <row r="549" ht="14.25" customHeight="1">
      <c r="A549" s="8"/>
      <c r="B549" s="8"/>
      <c r="C549" s="8"/>
    </row>
    <row r="550" ht="14.25" customHeight="1">
      <c r="A550" s="8"/>
      <c r="B550" s="8"/>
      <c r="C550" s="8"/>
    </row>
    <row r="551" ht="14.25" customHeight="1">
      <c r="A551" s="8"/>
      <c r="B551" s="8"/>
      <c r="C551" s="8"/>
    </row>
    <row r="552" ht="14.25" customHeight="1">
      <c r="A552" s="8"/>
      <c r="B552" s="8"/>
      <c r="C552" s="8"/>
    </row>
    <row r="553" ht="14.25" customHeight="1">
      <c r="A553" s="8"/>
      <c r="B553" s="8"/>
      <c r="C553" s="8"/>
    </row>
    <row r="554" ht="14.25" customHeight="1">
      <c r="A554" s="8"/>
      <c r="B554" s="8"/>
      <c r="C554" s="8"/>
    </row>
    <row r="555" ht="14.25" customHeight="1">
      <c r="A555" s="8"/>
      <c r="B555" s="8"/>
      <c r="C555" s="8"/>
    </row>
    <row r="556" ht="14.25" customHeight="1">
      <c r="A556" s="8"/>
      <c r="B556" s="8"/>
      <c r="C556" s="8"/>
    </row>
    <row r="557" ht="14.25" customHeight="1">
      <c r="A557" s="8"/>
      <c r="B557" s="8"/>
      <c r="C557" s="8"/>
    </row>
    <row r="558" ht="14.25" customHeight="1">
      <c r="A558" s="8"/>
      <c r="B558" s="8"/>
      <c r="C558" s="8"/>
    </row>
    <row r="559" ht="14.25" customHeight="1">
      <c r="A559" s="8"/>
      <c r="B559" s="8"/>
      <c r="C559" s="8"/>
    </row>
    <row r="560" ht="14.25" customHeight="1">
      <c r="A560" s="8"/>
      <c r="B560" s="8"/>
      <c r="C560" s="8"/>
    </row>
    <row r="561" ht="14.25" customHeight="1">
      <c r="A561" s="8"/>
      <c r="B561" s="8"/>
      <c r="C561" s="8"/>
    </row>
    <row r="562" ht="14.25" customHeight="1">
      <c r="A562" s="8"/>
      <c r="B562" s="8"/>
      <c r="C562" s="8"/>
    </row>
    <row r="563" ht="14.25" customHeight="1">
      <c r="A563" s="8"/>
      <c r="B563" s="8"/>
      <c r="C563" s="8"/>
    </row>
    <row r="564" ht="14.25" customHeight="1">
      <c r="A564" s="8"/>
      <c r="B564" s="8"/>
      <c r="C564" s="8"/>
    </row>
    <row r="565" ht="14.25" customHeight="1">
      <c r="A565" s="8"/>
      <c r="B565" s="8"/>
      <c r="C565" s="8"/>
    </row>
    <row r="566" ht="14.25" customHeight="1">
      <c r="A566" s="8"/>
      <c r="B566" s="8"/>
      <c r="C566" s="8"/>
    </row>
    <row r="567" ht="14.25" customHeight="1">
      <c r="A567" s="8"/>
      <c r="B567" s="8"/>
      <c r="C567" s="8"/>
    </row>
    <row r="568" ht="14.25" customHeight="1">
      <c r="A568" s="8"/>
      <c r="B568" s="8"/>
      <c r="C568" s="8"/>
    </row>
    <row r="569" ht="14.25" customHeight="1">
      <c r="A569" s="8"/>
      <c r="B569" s="8"/>
      <c r="C569" s="8"/>
    </row>
    <row r="570" ht="14.25" customHeight="1">
      <c r="A570" s="8"/>
      <c r="B570" s="8"/>
      <c r="C570" s="8"/>
    </row>
    <row r="571" ht="14.25" customHeight="1">
      <c r="A571" s="8"/>
      <c r="B571" s="8"/>
      <c r="C571" s="8"/>
    </row>
    <row r="572" ht="14.25" customHeight="1">
      <c r="A572" s="8"/>
      <c r="B572" s="8"/>
      <c r="C572" s="8"/>
    </row>
    <row r="573" ht="14.25" customHeight="1">
      <c r="A573" s="8"/>
      <c r="B573" s="8"/>
      <c r="C573" s="8"/>
    </row>
    <row r="574" ht="14.25" customHeight="1">
      <c r="A574" s="8"/>
      <c r="B574" s="8"/>
      <c r="C574" s="8"/>
    </row>
    <row r="575" ht="14.25" customHeight="1">
      <c r="A575" s="8"/>
      <c r="B575" s="8"/>
      <c r="C575" s="8"/>
    </row>
    <row r="576" ht="14.25" customHeight="1">
      <c r="A576" s="8"/>
      <c r="B576" s="8"/>
      <c r="C576" s="8"/>
    </row>
    <row r="577" ht="14.25" customHeight="1">
      <c r="A577" s="8"/>
      <c r="B577" s="8"/>
      <c r="C577" s="8"/>
    </row>
    <row r="578" ht="14.25" customHeight="1">
      <c r="A578" s="8"/>
      <c r="B578" s="8"/>
      <c r="C578" s="8"/>
    </row>
    <row r="579" ht="14.25" customHeight="1">
      <c r="A579" s="8"/>
      <c r="B579" s="8"/>
      <c r="C579" s="8"/>
    </row>
    <row r="580" ht="14.25" customHeight="1">
      <c r="A580" s="8"/>
      <c r="B580" s="8"/>
      <c r="C580" s="8"/>
    </row>
    <row r="581" ht="14.25" customHeight="1">
      <c r="A581" s="8"/>
      <c r="B581" s="8"/>
      <c r="C581" s="8"/>
    </row>
    <row r="582" ht="14.25" customHeight="1">
      <c r="A582" s="8"/>
      <c r="B582" s="8"/>
      <c r="C582" s="8"/>
    </row>
    <row r="583" ht="14.25" customHeight="1">
      <c r="A583" s="8"/>
      <c r="B583" s="8"/>
      <c r="C583" s="8"/>
    </row>
    <row r="584" ht="14.25" customHeight="1">
      <c r="A584" s="8"/>
      <c r="B584" s="8"/>
      <c r="C584" s="8"/>
    </row>
    <row r="585" ht="14.25" customHeight="1">
      <c r="A585" s="8"/>
      <c r="B585" s="8"/>
      <c r="C585" s="8"/>
    </row>
    <row r="586" ht="14.25" customHeight="1">
      <c r="A586" s="8"/>
      <c r="B586" s="8"/>
      <c r="C586" s="8"/>
    </row>
    <row r="587" ht="14.25" customHeight="1">
      <c r="A587" s="8"/>
      <c r="B587" s="8"/>
      <c r="C587" s="8"/>
    </row>
    <row r="588" ht="14.25" customHeight="1">
      <c r="A588" s="8"/>
      <c r="B588" s="8"/>
      <c r="C588" s="8"/>
    </row>
    <row r="589" ht="14.25" customHeight="1">
      <c r="A589" s="8"/>
      <c r="B589" s="8"/>
      <c r="C589" s="8"/>
    </row>
    <row r="590" ht="14.25" customHeight="1">
      <c r="A590" s="8"/>
      <c r="B590" s="8"/>
      <c r="C590" s="8"/>
    </row>
    <row r="591" ht="14.25" customHeight="1">
      <c r="A591" s="8"/>
      <c r="B591" s="8"/>
      <c r="C591" s="8"/>
    </row>
    <row r="592" ht="14.25" customHeight="1">
      <c r="A592" s="8"/>
      <c r="B592" s="8"/>
      <c r="C592" s="8"/>
    </row>
    <row r="593" ht="14.25" customHeight="1">
      <c r="A593" s="8"/>
      <c r="B593" s="8"/>
      <c r="C593" s="8"/>
    </row>
    <row r="594" ht="14.25" customHeight="1">
      <c r="A594" s="8"/>
      <c r="B594" s="8"/>
      <c r="C594" s="8"/>
    </row>
    <row r="595" ht="14.25" customHeight="1">
      <c r="A595" s="8"/>
      <c r="B595" s="8"/>
      <c r="C595" s="8"/>
    </row>
    <row r="596" ht="14.25" customHeight="1">
      <c r="A596" s="8"/>
      <c r="B596" s="8"/>
      <c r="C596" s="8"/>
    </row>
    <row r="597" ht="14.25" customHeight="1">
      <c r="A597" s="8"/>
      <c r="B597" s="8"/>
      <c r="C597" s="8"/>
    </row>
    <row r="598" ht="14.25" customHeight="1">
      <c r="A598" s="8"/>
      <c r="B598" s="8"/>
      <c r="C598" s="8"/>
    </row>
    <row r="599" ht="14.25" customHeight="1">
      <c r="A599" s="8"/>
      <c r="B599" s="8"/>
      <c r="C599" s="8"/>
    </row>
    <row r="600" ht="14.25" customHeight="1">
      <c r="A600" s="8"/>
      <c r="B600" s="8"/>
      <c r="C600" s="8"/>
    </row>
    <row r="601" ht="14.25" customHeight="1">
      <c r="A601" s="8"/>
      <c r="B601" s="8"/>
      <c r="C601" s="8"/>
    </row>
    <row r="602" ht="14.25" customHeight="1">
      <c r="A602" s="8"/>
      <c r="B602" s="8"/>
      <c r="C602" s="8"/>
    </row>
    <row r="603" ht="14.25" customHeight="1">
      <c r="A603" s="8"/>
      <c r="B603" s="8"/>
      <c r="C603" s="8"/>
    </row>
    <row r="604" ht="14.25" customHeight="1">
      <c r="A604" s="8"/>
      <c r="B604" s="8"/>
      <c r="C604" s="8"/>
    </row>
    <row r="605" ht="14.25" customHeight="1">
      <c r="A605" s="8"/>
      <c r="B605" s="8"/>
      <c r="C605" s="8"/>
    </row>
    <row r="606" ht="14.25" customHeight="1">
      <c r="A606" s="8"/>
      <c r="B606" s="8"/>
      <c r="C606" s="8"/>
    </row>
    <row r="607" ht="14.25" customHeight="1">
      <c r="A607" s="8"/>
      <c r="B607" s="8"/>
      <c r="C607" s="8"/>
    </row>
    <row r="608" ht="14.25" customHeight="1">
      <c r="A608" s="8"/>
      <c r="B608" s="8"/>
      <c r="C608" s="8"/>
    </row>
    <row r="609" ht="14.25" customHeight="1">
      <c r="A609" s="8"/>
      <c r="B609" s="8"/>
      <c r="C609" s="8"/>
    </row>
    <row r="610" ht="14.25" customHeight="1">
      <c r="A610" s="8"/>
      <c r="B610" s="8"/>
      <c r="C610" s="8"/>
    </row>
    <row r="611" ht="14.25" customHeight="1">
      <c r="A611" s="8"/>
      <c r="B611" s="8"/>
      <c r="C611" s="8"/>
    </row>
    <row r="612" ht="14.25" customHeight="1">
      <c r="A612" s="8"/>
      <c r="B612" s="8"/>
      <c r="C612" s="8"/>
    </row>
    <row r="613" ht="14.25" customHeight="1">
      <c r="A613" s="8"/>
      <c r="B613" s="8"/>
      <c r="C613" s="8"/>
    </row>
    <row r="614" ht="14.25" customHeight="1">
      <c r="A614" s="8"/>
      <c r="B614" s="8"/>
      <c r="C614" s="8"/>
    </row>
    <row r="615" ht="14.25" customHeight="1">
      <c r="A615" s="8"/>
      <c r="B615" s="8"/>
      <c r="C615" s="8"/>
    </row>
    <row r="616" ht="14.25" customHeight="1">
      <c r="A616" s="8"/>
      <c r="B616" s="8"/>
      <c r="C616" s="8"/>
    </row>
    <row r="617" ht="14.25" customHeight="1">
      <c r="A617" s="8"/>
      <c r="B617" s="8"/>
      <c r="C617" s="8"/>
    </row>
    <row r="618" ht="14.25" customHeight="1">
      <c r="A618" s="8"/>
      <c r="B618" s="8"/>
      <c r="C618" s="8"/>
    </row>
    <row r="619" ht="14.25" customHeight="1">
      <c r="A619" s="8"/>
      <c r="B619" s="8"/>
      <c r="C619" s="8"/>
    </row>
    <row r="620" ht="14.25" customHeight="1">
      <c r="A620" s="8"/>
      <c r="B620" s="8"/>
      <c r="C620" s="8"/>
    </row>
    <row r="621" ht="14.25" customHeight="1">
      <c r="A621" s="8"/>
      <c r="B621" s="8"/>
      <c r="C621" s="8"/>
    </row>
    <row r="622" ht="14.25" customHeight="1">
      <c r="A622" s="8"/>
      <c r="B622" s="8"/>
      <c r="C622" s="8"/>
    </row>
    <row r="623" ht="14.25" customHeight="1">
      <c r="A623" s="8"/>
      <c r="B623" s="8"/>
      <c r="C623" s="8"/>
    </row>
    <row r="624" ht="14.25" customHeight="1">
      <c r="A624" s="8"/>
      <c r="B624" s="8"/>
      <c r="C624" s="8"/>
    </row>
    <row r="625" ht="14.25" customHeight="1">
      <c r="A625" s="8"/>
      <c r="B625" s="8"/>
      <c r="C625" s="8"/>
    </row>
    <row r="626" ht="14.25" customHeight="1">
      <c r="A626" s="8"/>
      <c r="B626" s="8"/>
      <c r="C626" s="8"/>
    </row>
    <row r="627" ht="14.25" customHeight="1">
      <c r="A627" s="8"/>
      <c r="B627" s="8"/>
      <c r="C627" s="8"/>
    </row>
    <row r="628" ht="14.25" customHeight="1">
      <c r="A628" s="8"/>
      <c r="B628" s="8"/>
      <c r="C628" s="8"/>
    </row>
    <row r="629" ht="14.25" customHeight="1">
      <c r="A629" s="8"/>
      <c r="B629" s="8"/>
      <c r="C629" s="8"/>
    </row>
    <row r="630" ht="14.25" customHeight="1">
      <c r="A630" s="8"/>
      <c r="B630" s="8"/>
      <c r="C630" s="8"/>
    </row>
    <row r="631" ht="14.25" customHeight="1">
      <c r="A631" s="8"/>
      <c r="B631" s="8"/>
      <c r="C631" s="8"/>
    </row>
    <row r="632" ht="14.25" customHeight="1">
      <c r="A632" s="8"/>
      <c r="B632" s="8"/>
      <c r="C632" s="8"/>
    </row>
    <row r="633" ht="14.25" customHeight="1">
      <c r="A633" s="8"/>
      <c r="B633" s="8"/>
      <c r="C633" s="8"/>
    </row>
    <row r="634" ht="14.25" customHeight="1">
      <c r="A634" s="8"/>
      <c r="B634" s="8"/>
      <c r="C634" s="8"/>
    </row>
    <row r="635" ht="14.25" customHeight="1">
      <c r="A635" s="8"/>
      <c r="B635" s="8"/>
      <c r="C635" s="8"/>
    </row>
    <row r="636" ht="14.25" customHeight="1">
      <c r="A636" s="8"/>
      <c r="B636" s="8"/>
      <c r="C636" s="8"/>
    </row>
    <row r="637" ht="14.25" customHeight="1">
      <c r="A637" s="8"/>
      <c r="B637" s="8"/>
      <c r="C637" s="8"/>
    </row>
    <row r="638" ht="14.25" customHeight="1">
      <c r="A638" s="8"/>
      <c r="B638" s="8"/>
      <c r="C638" s="8"/>
    </row>
    <row r="639" ht="14.25" customHeight="1">
      <c r="A639" s="8"/>
      <c r="B639" s="8"/>
      <c r="C639" s="8"/>
    </row>
    <row r="640" ht="14.25" customHeight="1">
      <c r="A640" s="8"/>
      <c r="B640" s="8"/>
      <c r="C640" s="8"/>
    </row>
    <row r="641" ht="14.25" customHeight="1">
      <c r="A641" s="8"/>
      <c r="B641" s="8"/>
      <c r="C641" s="8"/>
    </row>
    <row r="642" ht="14.25" customHeight="1">
      <c r="A642" s="8"/>
      <c r="B642" s="8"/>
      <c r="C642" s="8"/>
    </row>
    <row r="643" ht="14.25" customHeight="1">
      <c r="A643" s="8"/>
      <c r="B643" s="8"/>
      <c r="C643" s="8"/>
    </row>
    <row r="644" ht="14.25" customHeight="1">
      <c r="A644" s="8"/>
      <c r="B644" s="8"/>
      <c r="C644" s="8"/>
    </row>
    <row r="645" ht="14.25" customHeight="1">
      <c r="A645" s="8"/>
      <c r="B645" s="8"/>
      <c r="C645" s="8"/>
    </row>
    <row r="646" ht="14.25" customHeight="1">
      <c r="A646" s="8"/>
      <c r="B646" s="8"/>
      <c r="C646" s="8"/>
    </row>
    <row r="647" ht="14.25" customHeight="1">
      <c r="A647" s="8"/>
      <c r="B647" s="8"/>
      <c r="C647" s="8"/>
    </row>
    <row r="648" ht="14.25" customHeight="1">
      <c r="A648" s="8"/>
      <c r="B648" s="8"/>
      <c r="C648" s="8"/>
    </row>
    <row r="649" ht="14.25" customHeight="1">
      <c r="A649" s="8"/>
      <c r="B649" s="8"/>
      <c r="C649" s="8"/>
    </row>
    <row r="650" ht="14.25" customHeight="1">
      <c r="A650" s="8"/>
      <c r="B650" s="8"/>
      <c r="C650" s="8"/>
    </row>
    <row r="651" ht="14.25" customHeight="1">
      <c r="A651" s="8"/>
      <c r="B651" s="8"/>
      <c r="C651" s="8"/>
    </row>
    <row r="652" ht="14.25" customHeight="1">
      <c r="A652" s="8"/>
      <c r="B652" s="8"/>
      <c r="C652" s="8"/>
    </row>
    <row r="653" ht="14.25" customHeight="1">
      <c r="A653" s="8"/>
      <c r="B653" s="8"/>
      <c r="C653" s="8"/>
    </row>
    <row r="654" ht="14.25" customHeight="1">
      <c r="A654" s="8"/>
      <c r="B654" s="8"/>
      <c r="C654" s="8"/>
    </row>
    <row r="655" ht="14.25" customHeight="1">
      <c r="A655" s="8"/>
      <c r="B655" s="8"/>
      <c r="C655" s="8"/>
    </row>
    <row r="656" ht="14.25" customHeight="1">
      <c r="A656" s="8"/>
      <c r="B656" s="8"/>
      <c r="C656" s="8"/>
    </row>
    <row r="657" ht="14.25" customHeight="1">
      <c r="A657" s="8"/>
      <c r="B657" s="8"/>
      <c r="C657" s="8"/>
    </row>
    <row r="658" ht="14.25" customHeight="1">
      <c r="A658" s="8"/>
      <c r="B658" s="8"/>
      <c r="C658" s="8"/>
    </row>
    <row r="659" ht="14.25" customHeight="1">
      <c r="A659" s="8"/>
      <c r="B659" s="8"/>
      <c r="C659" s="8"/>
    </row>
    <row r="660" ht="14.25" customHeight="1">
      <c r="A660" s="8"/>
      <c r="B660" s="8"/>
      <c r="C660" s="8"/>
    </row>
    <row r="661" ht="14.25" customHeight="1">
      <c r="A661" s="8"/>
      <c r="B661" s="8"/>
      <c r="C661" s="8"/>
    </row>
    <row r="662" ht="14.25" customHeight="1">
      <c r="A662" s="8"/>
      <c r="B662" s="8"/>
      <c r="C662" s="8"/>
    </row>
    <row r="663" ht="14.25" customHeight="1">
      <c r="A663" s="8"/>
      <c r="B663" s="8"/>
      <c r="C663" s="8"/>
    </row>
    <row r="664" ht="14.25" customHeight="1">
      <c r="A664" s="8"/>
      <c r="B664" s="8"/>
      <c r="C664" s="8"/>
    </row>
    <row r="665" ht="14.25" customHeight="1">
      <c r="A665" s="8"/>
      <c r="B665" s="8"/>
      <c r="C665" s="8"/>
    </row>
    <row r="666" ht="14.25" customHeight="1">
      <c r="A666" s="8"/>
      <c r="B666" s="8"/>
      <c r="C666" s="8"/>
    </row>
    <row r="667" ht="14.25" customHeight="1">
      <c r="A667" s="8"/>
      <c r="B667" s="8"/>
      <c r="C667" s="8"/>
    </row>
    <row r="668" ht="14.25" customHeight="1">
      <c r="A668" s="8"/>
      <c r="B668" s="8"/>
      <c r="C668" s="8"/>
    </row>
    <row r="669" ht="14.25" customHeight="1">
      <c r="A669" s="8"/>
      <c r="B669" s="8"/>
      <c r="C669" s="8"/>
    </row>
    <row r="670" ht="14.25" customHeight="1">
      <c r="A670" s="8"/>
      <c r="B670" s="8"/>
      <c r="C670" s="8"/>
    </row>
    <row r="671" ht="14.25" customHeight="1">
      <c r="A671" s="8"/>
      <c r="B671" s="8"/>
      <c r="C671" s="8"/>
    </row>
    <row r="672" ht="14.25" customHeight="1">
      <c r="A672" s="8"/>
      <c r="B672" s="8"/>
      <c r="C672" s="8"/>
    </row>
    <row r="673" ht="14.25" customHeight="1">
      <c r="A673" s="8"/>
      <c r="B673" s="8"/>
      <c r="C673" s="8"/>
    </row>
    <row r="674" ht="14.25" customHeight="1">
      <c r="A674" s="8"/>
      <c r="B674" s="8"/>
      <c r="C674" s="8"/>
    </row>
    <row r="675" ht="14.25" customHeight="1">
      <c r="A675" s="8"/>
      <c r="B675" s="8"/>
      <c r="C675" s="8"/>
    </row>
    <row r="676" ht="14.25" customHeight="1">
      <c r="A676" s="8"/>
      <c r="B676" s="8"/>
      <c r="C676" s="8"/>
    </row>
    <row r="677" ht="14.25" customHeight="1">
      <c r="A677" s="8"/>
      <c r="B677" s="8"/>
      <c r="C677" s="8"/>
    </row>
    <row r="678" ht="14.25" customHeight="1">
      <c r="A678" s="8"/>
      <c r="B678" s="8"/>
      <c r="C678" s="8"/>
    </row>
    <row r="679" ht="14.25" customHeight="1">
      <c r="A679" s="8"/>
      <c r="B679" s="8"/>
      <c r="C679" s="8"/>
    </row>
    <row r="680" ht="14.25" customHeight="1">
      <c r="A680" s="8"/>
      <c r="B680" s="8"/>
      <c r="C680" s="8"/>
    </row>
    <row r="681" ht="14.25" customHeight="1">
      <c r="A681" s="8"/>
      <c r="B681" s="8"/>
      <c r="C681" s="8"/>
    </row>
    <row r="682" ht="14.25" customHeight="1">
      <c r="A682" s="8"/>
      <c r="B682" s="8"/>
      <c r="C682" s="8"/>
    </row>
    <row r="683" ht="14.25" customHeight="1">
      <c r="A683" s="8"/>
      <c r="B683" s="8"/>
      <c r="C683" s="8"/>
    </row>
    <row r="684" ht="14.25" customHeight="1">
      <c r="A684" s="8"/>
      <c r="B684" s="8"/>
      <c r="C684" s="8"/>
    </row>
    <row r="685" ht="14.25" customHeight="1">
      <c r="A685" s="8"/>
      <c r="B685" s="8"/>
      <c r="C685" s="8"/>
    </row>
    <row r="686" ht="14.25" customHeight="1">
      <c r="A686" s="8"/>
      <c r="B686" s="8"/>
      <c r="C686" s="8"/>
    </row>
    <row r="687" ht="14.25" customHeight="1">
      <c r="A687" s="8"/>
      <c r="B687" s="8"/>
      <c r="C687" s="8"/>
    </row>
    <row r="688" ht="14.25" customHeight="1">
      <c r="A688" s="8"/>
      <c r="B688" s="8"/>
      <c r="C688" s="8"/>
    </row>
    <row r="689" ht="14.25" customHeight="1">
      <c r="A689" s="8"/>
      <c r="B689" s="8"/>
      <c r="C689" s="8"/>
    </row>
    <row r="690" ht="14.25" customHeight="1">
      <c r="A690" s="8"/>
      <c r="B690" s="8"/>
      <c r="C690" s="8"/>
    </row>
    <row r="691" ht="14.25" customHeight="1">
      <c r="A691" s="8"/>
      <c r="B691" s="8"/>
      <c r="C691" s="8"/>
    </row>
    <row r="692" ht="14.25" customHeight="1">
      <c r="A692" s="8"/>
      <c r="B692" s="8"/>
      <c r="C692" s="8"/>
    </row>
    <row r="693" ht="14.25" customHeight="1">
      <c r="A693" s="8"/>
      <c r="B693" s="8"/>
      <c r="C693" s="8"/>
    </row>
    <row r="694" ht="14.25" customHeight="1">
      <c r="A694" s="8"/>
      <c r="B694" s="8"/>
      <c r="C694" s="8"/>
    </row>
    <row r="695" ht="14.25" customHeight="1">
      <c r="A695" s="8"/>
      <c r="B695" s="8"/>
      <c r="C695" s="8"/>
    </row>
    <row r="696" ht="14.25" customHeight="1">
      <c r="A696" s="8"/>
      <c r="B696" s="8"/>
      <c r="C696" s="8"/>
    </row>
    <row r="697" ht="14.25" customHeight="1">
      <c r="A697" s="8"/>
      <c r="B697" s="8"/>
      <c r="C697" s="8"/>
    </row>
    <row r="698" ht="14.25" customHeight="1">
      <c r="A698" s="8"/>
      <c r="B698" s="8"/>
      <c r="C698" s="8"/>
    </row>
    <row r="699" ht="14.25" customHeight="1">
      <c r="A699" s="8"/>
      <c r="B699" s="8"/>
      <c r="C699" s="8"/>
    </row>
    <row r="700" ht="14.25" customHeight="1">
      <c r="A700" s="8"/>
      <c r="B700" s="8"/>
      <c r="C700" s="8"/>
    </row>
    <row r="701" ht="14.25" customHeight="1">
      <c r="A701" s="8"/>
      <c r="B701" s="8"/>
      <c r="C701" s="8"/>
    </row>
    <row r="702" ht="14.25" customHeight="1">
      <c r="A702" s="8"/>
      <c r="B702" s="8"/>
      <c r="C702" s="8"/>
    </row>
    <row r="703" ht="14.25" customHeight="1">
      <c r="A703" s="8"/>
      <c r="B703" s="8"/>
      <c r="C703" s="8"/>
    </row>
    <row r="704" ht="14.25" customHeight="1">
      <c r="A704" s="8"/>
      <c r="B704" s="8"/>
      <c r="C704" s="8"/>
    </row>
    <row r="705" ht="14.25" customHeight="1">
      <c r="A705" s="8"/>
      <c r="B705" s="8"/>
      <c r="C705" s="8"/>
    </row>
    <row r="706" ht="14.25" customHeight="1">
      <c r="A706" s="8"/>
      <c r="B706" s="8"/>
      <c r="C706" s="8"/>
    </row>
    <row r="707" ht="14.25" customHeight="1">
      <c r="A707" s="8"/>
      <c r="B707" s="8"/>
      <c r="C707" s="8"/>
    </row>
    <row r="708" ht="14.25" customHeight="1">
      <c r="A708" s="8"/>
      <c r="B708" s="8"/>
      <c r="C708" s="8"/>
    </row>
    <row r="709" ht="14.25" customHeight="1">
      <c r="A709" s="8"/>
      <c r="B709" s="8"/>
      <c r="C709" s="8"/>
    </row>
    <row r="710" ht="14.25" customHeight="1">
      <c r="A710" s="8"/>
      <c r="B710" s="8"/>
      <c r="C710" s="8"/>
    </row>
    <row r="711" ht="14.25" customHeight="1">
      <c r="A711" s="8"/>
      <c r="B711" s="8"/>
      <c r="C711" s="8"/>
    </row>
    <row r="712" ht="14.25" customHeight="1">
      <c r="A712" s="8"/>
      <c r="B712" s="8"/>
      <c r="C712" s="8"/>
    </row>
    <row r="713" ht="14.25" customHeight="1">
      <c r="A713" s="8"/>
      <c r="B713" s="8"/>
      <c r="C713" s="8"/>
    </row>
    <row r="714" ht="14.25" customHeight="1">
      <c r="A714" s="8"/>
      <c r="B714" s="8"/>
      <c r="C714" s="8"/>
    </row>
    <row r="715" ht="14.25" customHeight="1">
      <c r="A715" s="8"/>
      <c r="B715" s="8"/>
      <c r="C715" s="8"/>
    </row>
    <row r="716" ht="14.25" customHeight="1">
      <c r="A716" s="8"/>
      <c r="B716" s="8"/>
      <c r="C716" s="8"/>
    </row>
    <row r="717" ht="14.25" customHeight="1">
      <c r="A717" s="8"/>
      <c r="B717" s="8"/>
      <c r="C717" s="8"/>
    </row>
    <row r="718" ht="14.25" customHeight="1">
      <c r="A718" s="8"/>
      <c r="B718" s="8"/>
      <c r="C718" s="8"/>
    </row>
    <row r="719" ht="14.25" customHeight="1">
      <c r="A719" s="8"/>
      <c r="B719" s="8"/>
      <c r="C719" s="8"/>
    </row>
    <row r="720" ht="14.25" customHeight="1">
      <c r="A720" s="8"/>
      <c r="B720" s="8"/>
      <c r="C720" s="8"/>
    </row>
    <row r="721" ht="14.25" customHeight="1">
      <c r="A721" s="8"/>
      <c r="B721" s="8"/>
      <c r="C721" s="8"/>
    </row>
    <row r="722" ht="14.25" customHeight="1">
      <c r="A722" s="8"/>
      <c r="B722" s="8"/>
      <c r="C722" s="8"/>
    </row>
    <row r="723" ht="14.25" customHeight="1">
      <c r="A723" s="8"/>
      <c r="B723" s="8"/>
      <c r="C723" s="8"/>
    </row>
    <row r="724" ht="14.25" customHeight="1">
      <c r="A724" s="8"/>
      <c r="B724" s="8"/>
      <c r="C724" s="8"/>
    </row>
    <row r="725" ht="14.25" customHeight="1">
      <c r="A725" s="8"/>
      <c r="B725" s="8"/>
      <c r="C725" s="8"/>
    </row>
    <row r="726" ht="14.25" customHeight="1">
      <c r="A726" s="8"/>
      <c r="B726" s="8"/>
      <c r="C726" s="8"/>
    </row>
    <row r="727" ht="14.25" customHeight="1">
      <c r="A727" s="8"/>
      <c r="B727" s="8"/>
      <c r="C727" s="8"/>
    </row>
    <row r="728" ht="14.25" customHeight="1">
      <c r="A728" s="8"/>
      <c r="B728" s="8"/>
      <c r="C728" s="8"/>
    </row>
    <row r="729" ht="14.25" customHeight="1">
      <c r="A729" s="8"/>
      <c r="B729" s="8"/>
      <c r="C729" s="8"/>
    </row>
    <row r="730" ht="14.25" customHeight="1">
      <c r="A730" s="8"/>
      <c r="B730" s="8"/>
      <c r="C730" s="8"/>
    </row>
    <row r="731" ht="14.25" customHeight="1">
      <c r="A731" s="8"/>
      <c r="B731" s="8"/>
      <c r="C731" s="8"/>
    </row>
    <row r="732" ht="14.25" customHeight="1">
      <c r="A732" s="8"/>
      <c r="B732" s="8"/>
      <c r="C732" s="8"/>
    </row>
    <row r="733" ht="14.25" customHeight="1">
      <c r="A733" s="8"/>
      <c r="B733" s="8"/>
      <c r="C733" s="8"/>
    </row>
    <row r="734" ht="14.25" customHeight="1">
      <c r="A734" s="8"/>
      <c r="B734" s="8"/>
      <c r="C734" s="8"/>
    </row>
    <row r="735" ht="14.25" customHeight="1">
      <c r="A735" s="8"/>
      <c r="B735" s="8"/>
      <c r="C735" s="8"/>
    </row>
    <row r="736" ht="14.25" customHeight="1">
      <c r="A736" s="8"/>
      <c r="B736" s="8"/>
      <c r="C736" s="8"/>
    </row>
    <row r="737" ht="14.25" customHeight="1">
      <c r="A737" s="8"/>
      <c r="B737" s="8"/>
      <c r="C737" s="8"/>
    </row>
    <row r="738" ht="14.25" customHeight="1">
      <c r="A738" s="8"/>
      <c r="B738" s="8"/>
      <c r="C738" s="8"/>
    </row>
    <row r="739" ht="14.25" customHeight="1">
      <c r="A739" s="8"/>
      <c r="B739" s="8"/>
      <c r="C739" s="8"/>
    </row>
    <row r="740" ht="14.25" customHeight="1">
      <c r="A740" s="8"/>
      <c r="B740" s="8"/>
      <c r="C740" s="8"/>
    </row>
    <row r="741" ht="14.25" customHeight="1">
      <c r="A741" s="8"/>
      <c r="B741" s="8"/>
      <c r="C741" s="8"/>
    </row>
    <row r="742" ht="14.25" customHeight="1">
      <c r="A742" s="8"/>
      <c r="B742" s="8"/>
      <c r="C742" s="8"/>
    </row>
    <row r="743" ht="14.25" customHeight="1">
      <c r="A743" s="8"/>
      <c r="B743" s="8"/>
      <c r="C743" s="8"/>
    </row>
    <row r="744" ht="14.25" customHeight="1">
      <c r="A744" s="8"/>
      <c r="B744" s="8"/>
      <c r="C744" s="8"/>
    </row>
    <row r="745" ht="14.25" customHeight="1">
      <c r="A745" s="8"/>
      <c r="B745" s="8"/>
      <c r="C745" s="8"/>
    </row>
    <row r="746" ht="14.25" customHeight="1">
      <c r="A746" s="8"/>
      <c r="B746" s="8"/>
      <c r="C746" s="8"/>
    </row>
    <row r="747" ht="14.25" customHeight="1">
      <c r="A747" s="8"/>
      <c r="B747" s="8"/>
      <c r="C747" s="8"/>
    </row>
    <row r="748" ht="14.25" customHeight="1">
      <c r="A748" s="8"/>
      <c r="B748" s="8"/>
      <c r="C748" s="8"/>
    </row>
    <row r="749" ht="14.25" customHeight="1">
      <c r="A749" s="8"/>
      <c r="B749" s="8"/>
      <c r="C749" s="8"/>
    </row>
    <row r="750" ht="14.25" customHeight="1">
      <c r="A750" s="8"/>
      <c r="B750" s="8"/>
      <c r="C750" s="8"/>
    </row>
    <row r="751" ht="14.25" customHeight="1">
      <c r="A751" s="8"/>
      <c r="B751" s="8"/>
      <c r="C751" s="8"/>
    </row>
    <row r="752" ht="14.25" customHeight="1">
      <c r="A752" s="8"/>
      <c r="B752" s="8"/>
      <c r="C752" s="8"/>
    </row>
    <row r="753" ht="14.25" customHeight="1">
      <c r="A753" s="8"/>
      <c r="B753" s="8"/>
      <c r="C753" s="8"/>
    </row>
    <row r="754" ht="14.25" customHeight="1">
      <c r="A754" s="8"/>
      <c r="B754" s="8"/>
      <c r="C754" s="8"/>
    </row>
    <row r="755" ht="14.25" customHeight="1">
      <c r="A755" s="8"/>
      <c r="B755" s="8"/>
      <c r="C755" s="8"/>
    </row>
    <row r="756" ht="14.25" customHeight="1">
      <c r="A756" s="8"/>
      <c r="B756" s="8"/>
      <c r="C756" s="8"/>
    </row>
    <row r="757" ht="14.25" customHeight="1">
      <c r="A757" s="8"/>
      <c r="B757" s="8"/>
      <c r="C757" s="8"/>
    </row>
    <row r="758" ht="14.25" customHeight="1">
      <c r="A758" s="8"/>
      <c r="B758" s="8"/>
      <c r="C758" s="8"/>
    </row>
    <row r="759" ht="14.25" customHeight="1">
      <c r="A759" s="8"/>
      <c r="B759" s="8"/>
      <c r="C759" s="8"/>
    </row>
    <row r="760" ht="14.25" customHeight="1">
      <c r="A760" s="8"/>
      <c r="B760" s="8"/>
      <c r="C760" s="8"/>
    </row>
    <row r="761" ht="14.25" customHeight="1">
      <c r="A761" s="8"/>
      <c r="B761" s="8"/>
      <c r="C761" s="8"/>
    </row>
    <row r="762" ht="14.25" customHeight="1">
      <c r="A762" s="8"/>
      <c r="B762" s="8"/>
      <c r="C762" s="8"/>
    </row>
    <row r="763" ht="14.25" customHeight="1">
      <c r="A763" s="8"/>
      <c r="B763" s="8"/>
      <c r="C763" s="8"/>
    </row>
    <row r="764" ht="14.25" customHeight="1">
      <c r="A764" s="8"/>
      <c r="B764" s="8"/>
      <c r="C764" s="8"/>
    </row>
    <row r="765" ht="14.25" customHeight="1">
      <c r="A765" s="8"/>
      <c r="B765" s="8"/>
      <c r="C765" s="8"/>
    </row>
    <row r="766" ht="14.25" customHeight="1">
      <c r="A766" s="8"/>
      <c r="B766" s="8"/>
      <c r="C766" s="8"/>
    </row>
    <row r="767" ht="14.25" customHeight="1">
      <c r="A767" s="8"/>
      <c r="B767" s="8"/>
      <c r="C767" s="8"/>
    </row>
    <row r="768" ht="14.25" customHeight="1">
      <c r="A768" s="8"/>
      <c r="B768" s="8"/>
      <c r="C768" s="8"/>
    </row>
    <row r="769" ht="14.25" customHeight="1">
      <c r="A769" s="8"/>
      <c r="B769" s="8"/>
      <c r="C769" s="8"/>
    </row>
    <row r="770" ht="14.25" customHeight="1">
      <c r="A770" s="8"/>
      <c r="B770" s="8"/>
      <c r="C770" s="8"/>
    </row>
    <row r="771" ht="14.25" customHeight="1">
      <c r="A771" s="8"/>
      <c r="B771" s="8"/>
      <c r="C771" s="8"/>
    </row>
    <row r="772" ht="14.25" customHeight="1">
      <c r="A772" s="8"/>
      <c r="B772" s="8"/>
      <c r="C772" s="8"/>
    </row>
    <row r="773" ht="14.25" customHeight="1">
      <c r="A773" s="8"/>
      <c r="B773" s="8"/>
      <c r="C773" s="8"/>
    </row>
    <row r="774" ht="14.25" customHeight="1">
      <c r="A774" s="8"/>
      <c r="B774" s="8"/>
      <c r="C774" s="8"/>
    </row>
    <row r="775" ht="14.25" customHeight="1">
      <c r="A775" s="8"/>
      <c r="B775" s="8"/>
      <c r="C775" s="8"/>
    </row>
    <row r="776" ht="14.25" customHeight="1">
      <c r="A776" s="8"/>
      <c r="B776" s="8"/>
      <c r="C776" s="8"/>
    </row>
    <row r="777" ht="14.25" customHeight="1">
      <c r="A777" s="8"/>
      <c r="B777" s="8"/>
      <c r="C777" s="8"/>
    </row>
    <row r="778" ht="14.25" customHeight="1">
      <c r="A778" s="8"/>
      <c r="B778" s="8"/>
      <c r="C778" s="8"/>
    </row>
    <row r="779" ht="14.25" customHeight="1">
      <c r="A779" s="8"/>
      <c r="B779" s="8"/>
      <c r="C779" s="8"/>
    </row>
    <row r="780" ht="14.25" customHeight="1">
      <c r="A780" s="8"/>
      <c r="B780" s="8"/>
      <c r="C780" s="8"/>
    </row>
    <row r="781" ht="14.25" customHeight="1">
      <c r="A781" s="8"/>
      <c r="B781" s="8"/>
      <c r="C781" s="8"/>
    </row>
    <row r="782" ht="14.25" customHeight="1">
      <c r="A782" s="8"/>
      <c r="B782" s="8"/>
      <c r="C782" s="8"/>
    </row>
    <row r="783" ht="14.25" customHeight="1">
      <c r="A783" s="8"/>
      <c r="B783" s="8"/>
      <c r="C783" s="8"/>
    </row>
    <row r="784" ht="14.25" customHeight="1">
      <c r="A784" s="8"/>
      <c r="B784" s="8"/>
      <c r="C784" s="8"/>
    </row>
    <row r="785" ht="14.25" customHeight="1">
      <c r="A785" s="8"/>
      <c r="B785" s="8"/>
      <c r="C785" s="8"/>
    </row>
    <row r="786" ht="14.25" customHeight="1">
      <c r="A786" s="8"/>
      <c r="B786" s="8"/>
      <c r="C786" s="8"/>
    </row>
    <row r="787" ht="14.25" customHeight="1">
      <c r="A787" s="8"/>
      <c r="B787" s="8"/>
      <c r="C787" s="8"/>
    </row>
    <row r="788" ht="14.25" customHeight="1">
      <c r="A788" s="8"/>
      <c r="B788" s="8"/>
      <c r="C788" s="8"/>
    </row>
    <row r="789" ht="14.25" customHeight="1">
      <c r="A789" s="8"/>
      <c r="B789" s="8"/>
      <c r="C789" s="8"/>
    </row>
    <row r="790" ht="14.25" customHeight="1">
      <c r="A790" s="8"/>
      <c r="B790" s="8"/>
      <c r="C790" s="8"/>
    </row>
    <row r="791" ht="14.25" customHeight="1">
      <c r="A791" s="8"/>
      <c r="B791" s="8"/>
      <c r="C791" s="8"/>
    </row>
    <row r="792" ht="14.25" customHeight="1">
      <c r="A792" s="8"/>
      <c r="B792" s="8"/>
      <c r="C792" s="8"/>
    </row>
    <row r="793" ht="14.25" customHeight="1">
      <c r="A793" s="8"/>
      <c r="B793" s="8"/>
      <c r="C793" s="8"/>
    </row>
    <row r="794" ht="14.25" customHeight="1">
      <c r="A794" s="8"/>
      <c r="B794" s="8"/>
      <c r="C794" s="8"/>
    </row>
    <row r="795" ht="14.25" customHeight="1">
      <c r="A795" s="8"/>
      <c r="B795" s="8"/>
      <c r="C795" s="8"/>
    </row>
    <row r="796" ht="14.25" customHeight="1">
      <c r="A796" s="8"/>
      <c r="B796" s="8"/>
      <c r="C796" s="8"/>
    </row>
    <row r="797" ht="14.25" customHeight="1">
      <c r="A797" s="8"/>
      <c r="B797" s="8"/>
      <c r="C797" s="8"/>
    </row>
    <row r="798" ht="14.25" customHeight="1">
      <c r="A798" s="8"/>
      <c r="B798" s="8"/>
      <c r="C798" s="8"/>
    </row>
    <row r="799" ht="14.25" customHeight="1">
      <c r="A799" s="8"/>
      <c r="B799" s="8"/>
      <c r="C799" s="8"/>
    </row>
    <row r="800" ht="14.25" customHeight="1">
      <c r="A800" s="8"/>
      <c r="B800" s="8"/>
      <c r="C800" s="8"/>
    </row>
    <row r="801" ht="14.25" customHeight="1">
      <c r="A801" s="8"/>
      <c r="B801" s="8"/>
      <c r="C801" s="8"/>
    </row>
    <row r="802" ht="14.25" customHeight="1">
      <c r="A802" s="8"/>
      <c r="B802" s="8"/>
      <c r="C802" s="8"/>
    </row>
    <row r="803" ht="14.25" customHeight="1">
      <c r="A803" s="8"/>
      <c r="B803" s="8"/>
      <c r="C803" s="8"/>
    </row>
    <row r="804" ht="14.25" customHeight="1">
      <c r="A804" s="8"/>
      <c r="B804" s="8"/>
      <c r="C804" s="8"/>
    </row>
    <row r="805" ht="14.25" customHeight="1">
      <c r="A805" s="8"/>
      <c r="B805" s="8"/>
      <c r="C805" s="8"/>
    </row>
    <row r="806" ht="14.25" customHeight="1">
      <c r="A806" s="8"/>
      <c r="B806" s="8"/>
      <c r="C806" s="8"/>
    </row>
    <row r="807" ht="14.25" customHeight="1">
      <c r="A807" s="8"/>
      <c r="B807" s="8"/>
      <c r="C807" s="8"/>
    </row>
    <row r="808" ht="14.25" customHeight="1">
      <c r="A808" s="8"/>
      <c r="B808" s="8"/>
      <c r="C808" s="8"/>
    </row>
    <row r="809" ht="14.25" customHeight="1">
      <c r="A809" s="8"/>
      <c r="B809" s="8"/>
      <c r="C809" s="8"/>
    </row>
    <row r="810" ht="14.25" customHeight="1">
      <c r="A810" s="8"/>
      <c r="B810" s="8"/>
      <c r="C810" s="8"/>
    </row>
    <row r="811" ht="14.25" customHeight="1">
      <c r="A811" s="8"/>
      <c r="B811" s="8"/>
      <c r="C811" s="8"/>
    </row>
    <row r="812" ht="14.25" customHeight="1">
      <c r="A812" s="8"/>
      <c r="B812" s="8"/>
      <c r="C812" s="8"/>
    </row>
    <row r="813" ht="14.25" customHeight="1">
      <c r="A813" s="8"/>
      <c r="B813" s="8"/>
      <c r="C813" s="8"/>
    </row>
    <row r="814" ht="14.25" customHeight="1">
      <c r="A814" s="8"/>
      <c r="B814" s="8"/>
      <c r="C814" s="8"/>
    </row>
    <row r="815" ht="14.25" customHeight="1">
      <c r="A815" s="8"/>
      <c r="B815" s="8"/>
      <c r="C815" s="8"/>
    </row>
    <row r="816" ht="14.25" customHeight="1">
      <c r="A816" s="8"/>
      <c r="B816" s="8"/>
      <c r="C816" s="8"/>
    </row>
    <row r="817" ht="14.25" customHeight="1">
      <c r="A817" s="8"/>
      <c r="B817" s="8"/>
      <c r="C817" s="8"/>
    </row>
    <row r="818" ht="14.25" customHeight="1">
      <c r="A818" s="8"/>
      <c r="B818" s="8"/>
      <c r="C818" s="8"/>
    </row>
    <row r="819" ht="14.25" customHeight="1">
      <c r="A819" s="8"/>
      <c r="B819" s="8"/>
      <c r="C819" s="8"/>
    </row>
    <row r="820" ht="14.25" customHeight="1">
      <c r="A820" s="8"/>
      <c r="B820" s="8"/>
      <c r="C820" s="8"/>
    </row>
    <row r="821" ht="14.25" customHeight="1">
      <c r="A821" s="8"/>
      <c r="B821" s="8"/>
      <c r="C821" s="8"/>
    </row>
    <row r="822" ht="14.25" customHeight="1">
      <c r="A822" s="8"/>
      <c r="B822" s="8"/>
      <c r="C822" s="8"/>
    </row>
    <row r="823" ht="14.25" customHeight="1">
      <c r="A823" s="8"/>
      <c r="B823" s="8"/>
      <c r="C823" s="8"/>
    </row>
    <row r="824" ht="14.25" customHeight="1">
      <c r="A824" s="8"/>
      <c r="B824" s="8"/>
      <c r="C824" s="8"/>
    </row>
    <row r="825" ht="14.25" customHeight="1">
      <c r="A825" s="8"/>
      <c r="B825" s="8"/>
      <c r="C825" s="8"/>
    </row>
    <row r="826" ht="14.25" customHeight="1">
      <c r="A826" s="8"/>
      <c r="B826" s="8"/>
      <c r="C826" s="8"/>
    </row>
    <row r="827" ht="14.25" customHeight="1">
      <c r="A827" s="8"/>
      <c r="B827" s="8"/>
      <c r="C827" s="8"/>
    </row>
    <row r="828" ht="14.25" customHeight="1">
      <c r="A828" s="8"/>
      <c r="B828" s="8"/>
      <c r="C828" s="8"/>
    </row>
    <row r="829" ht="14.25" customHeight="1">
      <c r="A829" s="8"/>
      <c r="B829" s="8"/>
      <c r="C829" s="8"/>
    </row>
    <row r="830" ht="14.25" customHeight="1">
      <c r="A830" s="8"/>
      <c r="B830" s="8"/>
      <c r="C830" s="8"/>
    </row>
    <row r="831" ht="14.25" customHeight="1">
      <c r="A831" s="8"/>
      <c r="B831" s="8"/>
      <c r="C831" s="8"/>
    </row>
    <row r="832" ht="14.25" customHeight="1">
      <c r="A832" s="8"/>
      <c r="B832" s="8"/>
      <c r="C832" s="8"/>
    </row>
    <row r="833" ht="14.25" customHeight="1">
      <c r="A833" s="8"/>
      <c r="B833" s="8"/>
      <c r="C833" s="8"/>
    </row>
    <row r="834" ht="14.25" customHeight="1">
      <c r="A834" s="8"/>
      <c r="B834" s="8"/>
      <c r="C834" s="8"/>
    </row>
    <row r="835" ht="14.25" customHeight="1">
      <c r="A835" s="8"/>
      <c r="B835" s="8"/>
      <c r="C835" s="8"/>
    </row>
    <row r="836" ht="14.25" customHeight="1">
      <c r="A836" s="8"/>
      <c r="B836" s="8"/>
      <c r="C836" s="8"/>
    </row>
    <row r="837" ht="14.25" customHeight="1">
      <c r="A837" s="8"/>
      <c r="B837" s="8"/>
      <c r="C837" s="8"/>
    </row>
    <row r="838" ht="14.25" customHeight="1">
      <c r="A838" s="8"/>
      <c r="B838" s="8"/>
      <c r="C838" s="8"/>
    </row>
    <row r="839" ht="14.25" customHeight="1">
      <c r="A839" s="8"/>
      <c r="B839" s="8"/>
      <c r="C839" s="8"/>
    </row>
    <row r="840" ht="14.25" customHeight="1">
      <c r="A840" s="8"/>
      <c r="B840" s="8"/>
      <c r="C840" s="8"/>
    </row>
    <row r="841" ht="14.25" customHeight="1">
      <c r="A841" s="8"/>
      <c r="B841" s="8"/>
      <c r="C841" s="8"/>
    </row>
    <row r="842" ht="14.25" customHeight="1">
      <c r="A842" s="8"/>
      <c r="B842" s="8"/>
      <c r="C842" s="8"/>
    </row>
    <row r="843" ht="14.25" customHeight="1">
      <c r="A843" s="8"/>
      <c r="B843" s="8"/>
      <c r="C843" s="8"/>
    </row>
    <row r="844" ht="14.25" customHeight="1">
      <c r="A844" s="8"/>
      <c r="B844" s="8"/>
      <c r="C844" s="8"/>
    </row>
    <row r="845" ht="14.25" customHeight="1">
      <c r="A845" s="8"/>
      <c r="B845" s="8"/>
      <c r="C845" s="8"/>
    </row>
    <row r="846" ht="14.25" customHeight="1">
      <c r="A846" s="8"/>
      <c r="B846" s="8"/>
      <c r="C846" s="8"/>
    </row>
    <row r="847" ht="14.25" customHeight="1">
      <c r="A847" s="8"/>
      <c r="B847" s="8"/>
      <c r="C847" s="8"/>
    </row>
    <row r="848" ht="14.25" customHeight="1">
      <c r="A848" s="8"/>
      <c r="B848" s="8"/>
      <c r="C848" s="8"/>
    </row>
    <row r="849" ht="14.25" customHeight="1">
      <c r="A849" s="8"/>
      <c r="B849" s="8"/>
      <c r="C849" s="8"/>
    </row>
    <row r="850" ht="14.25" customHeight="1">
      <c r="A850" s="8"/>
      <c r="B850" s="8"/>
      <c r="C850" s="8"/>
    </row>
    <row r="851" ht="14.25" customHeight="1">
      <c r="A851" s="8"/>
      <c r="B851" s="8"/>
      <c r="C851" s="8"/>
    </row>
    <row r="852" ht="14.25" customHeight="1">
      <c r="A852" s="8"/>
      <c r="B852" s="8"/>
      <c r="C852" s="8"/>
    </row>
    <row r="853" ht="14.25" customHeight="1">
      <c r="A853" s="8"/>
      <c r="B853" s="8"/>
      <c r="C853" s="8"/>
    </row>
    <row r="854" ht="14.25" customHeight="1">
      <c r="A854" s="8"/>
      <c r="B854" s="8"/>
      <c r="C854" s="8"/>
    </row>
    <row r="855" ht="14.25" customHeight="1">
      <c r="A855" s="8"/>
      <c r="B855" s="8"/>
      <c r="C855" s="8"/>
    </row>
    <row r="856" ht="14.25" customHeight="1">
      <c r="A856" s="8"/>
      <c r="B856" s="8"/>
      <c r="C856" s="8"/>
    </row>
    <row r="857" ht="14.25" customHeight="1">
      <c r="A857" s="8"/>
      <c r="B857" s="8"/>
      <c r="C857" s="8"/>
    </row>
    <row r="858" ht="14.25" customHeight="1">
      <c r="A858" s="8"/>
      <c r="B858" s="8"/>
      <c r="C858" s="8"/>
    </row>
    <row r="859" ht="14.25" customHeight="1">
      <c r="A859" s="8"/>
      <c r="B859" s="8"/>
      <c r="C859" s="8"/>
    </row>
    <row r="860" ht="14.25" customHeight="1">
      <c r="A860" s="8"/>
      <c r="B860" s="8"/>
      <c r="C860" s="8"/>
    </row>
    <row r="861" ht="14.25" customHeight="1">
      <c r="A861" s="8"/>
      <c r="B861" s="8"/>
      <c r="C861" s="8"/>
    </row>
    <row r="862" ht="14.25" customHeight="1">
      <c r="A862" s="8"/>
      <c r="B862" s="8"/>
      <c r="C862" s="8"/>
    </row>
    <row r="863" ht="14.25" customHeight="1">
      <c r="A863" s="8"/>
      <c r="B863" s="8"/>
      <c r="C863" s="8"/>
    </row>
    <row r="864" ht="14.25" customHeight="1">
      <c r="A864" s="8"/>
      <c r="B864" s="8"/>
      <c r="C864" s="8"/>
    </row>
    <row r="865" ht="14.25" customHeight="1">
      <c r="A865" s="8"/>
      <c r="B865" s="8"/>
      <c r="C865" s="8"/>
    </row>
    <row r="866" ht="14.25" customHeight="1">
      <c r="A866" s="8"/>
      <c r="B866" s="8"/>
      <c r="C866" s="8"/>
    </row>
    <row r="867" ht="14.25" customHeight="1">
      <c r="A867" s="8"/>
      <c r="B867" s="8"/>
      <c r="C867" s="8"/>
    </row>
    <row r="868" ht="14.25" customHeight="1">
      <c r="A868" s="8"/>
      <c r="B868" s="8"/>
      <c r="C868" s="8"/>
    </row>
    <row r="869" ht="14.25" customHeight="1">
      <c r="A869" s="8"/>
      <c r="B869" s="8"/>
      <c r="C869" s="8"/>
    </row>
    <row r="870" ht="14.25" customHeight="1">
      <c r="A870" s="8"/>
      <c r="B870" s="8"/>
      <c r="C870" s="8"/>
    </row>
    <row r="871" ht="14.25" customHeight="1">
      <c r="A871" s="8"/>
      <c r="B871" s="8"/>
      <c r="C871" s="8"/>
    </row>
    <row r="872" ht="14.25" customHeight="1">
      <c r="A872" s="8"/>
      <c r="B872" s="8"/>
      <c r="C872" s="8"/>
    </row>
    <row r="873" ht="14.25" customHeight="1">
      <c r="A873" s="8"/>
      <c r="B873" s="8"/>
      <c r="C873" s="8"/>
    </row>
    <row r="874" ht="14.25" customHeight="1">
      <c r="A874" s="8"/>
      <c r="B874" s="8"/>
      <c r="C874" s="8"/>
    </row>
    <row r="875" ht="14.25" customHeight="1">
      <c r="A875" s="8"/>
      <c r="B875" s="8"/>
      <c r="C875" s="8"/>
    </row>
    <row r="876" ht="14.25" customHeight="1">
      <c r="A876" s="8"/>
      <c r="B876" s="8"/>
      <c r="C876" s="8"/>
    </row>
    <row r="877" ht="14.25" customHeight="1">
      <c r="A877" s="8"/>
      <c r="B877" s="8"/>
      <c r="C877" s="8"/>
    </row>
    <row r="878" ht="14.25" customHeight="1">
      <c r="A878" s="8"/>
      <c r="B878" s="8"/>
      <c r="C878" s="8"/>
    </row>
    <row r="879" ht="14.25" customHeight="1">
      <c r="A879" s="8"/>
      <c r="B879" s="8"/>
      <c r="C879" s="8"/>
    </row>
    <row r="880" ht="14.25" customHeight="1">
      <c r="A880" s="8"/>
      <c r="B880" s="8"/>
      <c r="C880" s="8"/>
    </row>
    <row r="881" ht="14.25" customHeight="1">
      <c r="A881" s="8"/>
      <c r="B881" s="8"/>
      <c r="C881" s="8"/>
    </row>
    <row r="882" ht="14.25" customHeight="1">
      <c r="A882" s="8"/>
      <c r="B882" s="8"/>
      <c r="C882" s="8"/>
    </row>
    <row r="883" ht="14.25" customHeight="1">
      <c r="A883" s="8"/>
      <c r="B883" s="8"/>
      <c r="C883" s="8"/>
    </row>
    <row r="884" ht="14.25" customHeight="1">
      <c r="A884" s="8"/>
      <c r="B884" s="8"/>
      <c r="C884" s="8"/>
    </row>
    <row r="885" ht="14.25" customHeight="1">
      <c r="A885" s="8"/>
      <c r="B885" s="8"/>
      <c r="C885" s="8"/>
    </row>
    <row r="886" ht="14.25" customHeight="1">
      <c r="A886" s="8"/>
      <c r="B886" s="8"/>
      <c r="C886" s="8"/>
    </row>
    <row r="887" ht="14.25" customHeight="1">
      <c r="A887" s="8"/>
      <c r="B887" s="8"/>
      <c r="C887" s="8"/>
    </row>
    <row r="888" ht="14.25" customHeight="1">
      <c r="A888" s="8"/>
      <c r="B888" s="8"/>
      <c r="C888" s="8"/>
    </row>
    <row r="889" ht="14.25" customHeight="1">
      <c r="A889" s="8"/>
      <c r="B889" s="8"/>
      <c r="C889" s="8"/>
    </row>
    <row r="890" ht="14.25" customHeight="1">
      <c r="A890" s="8"/>
      <c r="B890" s="8"/>
      <c r="C890" s="8"/>
    </row>
    <row r="891" ht="14.25" customHeight="1">
      <c r="A891" s="8"/>
      <c r="B891" s="8"/>
      <c r="C891" s="8"/>
    </row>
    <row r="892" ht="14.25" customHeight="1">
      <c r="A892" s="8"/>
      <c r="B892" s="8"/>
      <c r="C892" s="8"/>
    </row>
    <row r="893" ht="14.25" customHeight="1">
      <c r="A893" s="8"/>
      <c r="B893" s="8"/>
      <c r="C893" s="8"/>
    </row>
    <row r="894" ht="14.25" customHeight="1">
      <c r="A894" s="8"/>
      <c r="B894" s="8"/>
      <c r="C894" s="8"/>
    </row>
    <row r="895" ht="14.25" customHeight="1">
      <c r="A895" s="8"/>
      <c r="B895" s="8"/>
      <c r="C895" s="8"/>
    </row>
    <row r="896" ht="14.25" customHeight="1">
      <c r="A896" s="8"/>
      <c r="B896" s="8"/>
      <c r="C896" s="8"/>
    </row>
    <row r="897" ht="14.25" customHeight="1">
      <c r="A897" s="8"/>
      <c r="B897" s="8"/>
      <c r="C897" s="8"/>
    </row>
    <row r="898" ht="14.25" customHeight="1">
      <c r="A898" s="8"/>
      <c r="B898" s="8"/>
      <c r="C898" s="8"/>
    </row>
    <row r="899" ht="14.25" customHeight="1">
      <c r="A899" s="8"/>
      <c r="B899" s="8"/>
      <c r="C899" s="8"/>
    </row>
    <row r="900" ht="14.25" customHeight="1">
      <c r="A900" s="8"/>
      <c r="B900" s="8"/>
      <c r="C900" s="8"/>
    </row>
    <row r="901" ht="14.25" customHeight="1">
      <c r="A901" s="8"/>
      <c r="B901" s="8"/>
      <c r="C901" s="8"/>
    </row>
    <row r="902" ht="14.25" customHeight="1">
      <c r="A902" s="8"/>
      <c r="B902" s="8"/>
      <c r="C902" s="8"/>
    </row>
    <row r="903" ht="14.25" customHeight="1">
      <c r="A903" s="8"/>
      <c r="B903" s="8"/>
      <c r="C903" s="8"/>
    </row>
    <row r="904" ht="14.25" customHeight="1">
      <c r="A904" s="8"/>
      <c r="B904" s="8"/>
      <c r="C904" s="8"/>
    </row>
    <row r="905" ht="14.25" customHeight="1">
      <c r="A905" s="8"/>
      <c r="B905" s="8"/>
      <c r="C905" s="8"/>
    </row>
    <row r="906" ht="14.25" customHeight="1">
      <c r="A906" s="8"/>
      <c r="B906" s="8"/>
      <c r="C906" s="8"/>
    </row>
    <row r="907" ht="14.25" customHeight="1">
      <c r="A907" s="8"/>
      <c r="B907" s="8"/>
      <c r="C907" s="8"/>
    </row>
    <row r="908" ht="14.25" customHeight="1">
      <c r="A908" s="8"/>
      <c r="B908" s="8"/>
      <c r="C908" s="8"/>
    </row>
    <row r="909" ht="14.25" customHeight="1">
      <c r="A909" s="8"/>
      <c r="B909" s="8"/>
      <c r="C909" s="8"/>
    </row>
    <row r="910" ht="14.25" customHeight="1">
      <c r="A910" s="8"/>
      <c r="B910" s="8"/>
      <c r="C910" s="8"/>
    </row>
    <row r="911" ht="14.25" customHeight="1">
      <c r="A911" s="8"/>
      <c r="B911" s="8"/>
      <c r="C911" s="8"/>
    </row>
    <row r="912" ht="14.25" customHeight="1">
      <c r="A912" s="8"/>
      <c r="B912" s="8"/>
      <c r="C912" s="8"/>
    </row>
    <row r="913" ht="14.25" customHeight="1">
      <c r="A913" s="8"/>
      <c r="B913" s="8"/>
      <c r="C913" s="8"/>
    </row>
    <row r="914" ht="14.25" customHeight="1">
      <c r="A914" s="8"/>
      <c r="B914" s="8"/>
      <c r="C914" s="8"/>
    </row>
    <row r="915" ht="14.25" customHeight="1">
      <c r="A915" s="8"/>
      <c r="B915" s="8"/>
      <c r="C915" s="8"/>
    </row>
    <row r="916" ht="14.25" customHeight="1">
      <c r="A916" s="8"/>
      <c r="B916" s="8"/>
      <c r="C916" s="8"/>
    </row>
    <row r="917" ht="14.25" customHeight="1">
      <c r="A917" s="8"/>
      <c r="B917" s="8"/>
      <c r="C917" s="8"/>
    </row>
    <row r="918" ht="14.25" customHeight="1">
      <c r="A918" s="8"/>
      <c r="B918" s="8"/>
      <c r="C918" s="8"/>
    </row>
    <row r="919" ht="14.25" customHeight="1">
      <c r="A919" s="8"/>
      <c r="B919" s="8"/>
      <c r="C919" s="8"/>
    </row>
    <row r="920" ht="14.25" customHeight="1">
      <c r="A920" s="8"/>
      <c r="B920" s="8"/>
      <c r="C920" s="8"/>
    </row>
    <row r="921" ht="14.25" customHeight="1">
      <c r="A921" s="8"/>
      <c r="B921" s="8"/>
      <c r="C921" s="8"/>
    </row>
    <row r="922" ht="14.25" customHeight="1">
      <c r="A922" s="8"/>
      <c r="B922" s="8"/>
      <c r="C922" s="8"/>
    </row>
    <row r="923" ht="14.25" customHeight="1">
      <c r="A923" s="8"/>
      <c r="B923" s="8"/>
      <c r="C923" s="8"/>
    </row>
    <row r="924" ht="14.25" customHeight="1">
      <c r="A924" s="8"/>
      <c r="B924" s="8"/>
      <c r="C924" s="8"/>
    </row>
    <row r="925" ht="14.25" customHeight="1">
      <c r="A925" s="8"/>
      <c r="B925" s="8"/>
      <c r="C925" s="8"/>
    </row>
    <row r="926" ht="14.25" customHeight="1">
      <c r="A926" s="8"/>
      <c r="B926" s="8"/>
      <c r="C926" s="8"/>
    </row>
    <row r="927" ht="14.25" customHeight="1">
      <c r="A927" s="8"/>
      <c r="B927" s="8"/>
      <c r="C927" s="8"/>
    </row>
    <row r="928" ht="14.25" customHeight="1">
      <c r="A928" s="8"/>
      <c r="B928" s="8"/>
      <c r="C928" s="8"/>
    </row>
    <row r="929" ht="14.25" customHeight="1">
      <c r="A929" s="8"/>
      <c r="B929" s="8"/>
      <c r="C929" s="8"/>
    </row>
    <row r="930" ht="14.25" customHeight="1">
      <c r="A930" s="8"/>
      <c r="B930" s="8"/>
      <c r="C930" s="8"/>
    </row>
    <row r="931" ht="14.25" customHeight="1">
      <c r="A931" s="8"/>
      <c r="B931" s="8"/>
      <c r="C931" s="8"/>
    </row>
    <row r="932" ht="14.25" customHeight="1">
      <c r="A932" s="8"/>
      <c r="B932" s="8"/>
      <c r="C932" s="8"/>
    </row>
    <row r="933" ht="14.25" customHeight="1">
      <c r="A933" s="8"/>
      <c r="B933" s="8"/>
      <c r="C933" s="8"/>
    </row>
    <row r="934" ht="14.25" customHeight="1">
      <c r="A934" s="8"/>
      <c r="B934" s="8"/>
      <c r="C934" s="8"/>
    </row>
    <row r="935" ht="14.25" customHeight="1">
      <c r="A935" s="8"/>
      <c r="B935" s="8"/>
      <c r="C935" s="8"/>
    </row>
    <row r="936" ht="14.25" customHeight="1">
      <c r="A936" s="8"/>
      <c r="B936" s="8"/>
      <c r="C936" s="8"/>
    </row>
    <row r="937" ht="14.25" customHeight="1">
      <c r="A937" s="8"/>
      <c r="B937" s="8"/>
      <c r="C937" s="8"/>
    </row>
    <row r="938" ht="14.25" customHeight="1">
      <c r="A938" s="8"/>
      <c r="B938" s="8"/>
      <c r="C938" s="8"/>
    </row>
    <row r="939" ht="14.25" customHeight="1">
      <c r="A939" s="8"/>
      <c r="B939" s="8"/>
      <c r="C939" s="8"/>
    </row>
    <row r="940" ht="14.25" customHeight="1">
      <c r="A940" s="8"/>
      <c r="B940" s="8"/>
      <c r="C940" s="8"/>
    </row>
    <row r="941" ht="14.25" customHeight="1">
      <c r="A941" s="8"/>
      <c r="B941" s="8"/>
      <c r="C941" s="8"/>
    </row>
    <row r="942" ht="14.25" customHeight="1">
      <c r="A942" s="8"/>
      <c r="B942" s="8"/>
      <c r="C942" s="8"/>
    </row>
    <row r="943" ht="14.25" customHeight="1">
      <c r="A943" s="8"/>
      <c r="B943" s="8"/>
      <c r="C943" s="8"/>
    </row>
    <row r="944" ht="14.25" customHeight="1">
      <c r="A944" s="8"/>
      <c r="B944" s="8"/>
      <c r="C944" s="8"/>
    </row>
    <row r="945" ht="14.25" customHeight="1">
      <c r="A945" s="8"/>
      <c r="B945" s="8"/>
      <c r="C945" s="8"/>
    </row>
    <row r="946" ht="14.25" customHeight="1">
      <c r="A946" s="8"/>
      <c r="B946" s="8"/>
      <c r="C946" s="8"/>
    </row>
    <row r="947" ht="14.25" customHeight="1">
      <c r="A947" s="8"/>
      <c r="B947" s="8"/>
      <c r="C947" s="8"/>
    </row>
    <row r="948" ht="14.25" customHeight="1">
      <c r="A948" s="8"/>
      <c r="B948" s="8"/>
      <c r="C948" s="8"/>
    </row>
    <row r="949" ht="14.25" customHeight="1">
      <c r="A949" s="8"/>
      <c r="B949" s="8"/>
      <c r="C949" s="8"/>
    </row>
    <row r="950" ht="14.25" customHeight="1">
      <c r="A950" s="8"/>
      <c r="B950" s="8"/>
      <c r="C950" s="8"/>
    </row>
    <row r="951" ht="14.25" customHeight="1">
      <c r="A951" s="8"/>
      <c r="B951" s="8"/>
      <c r="C951" s="8"/>
    </row>
    <row r="952" ht="14.25" customHeight="1">
      <c r="A952" s="8"/>
      <c r="B952" s="8"/>
      <c r="C952" s="8"/>
    </row>
    <row r="953" ht="14.25" customHeight="1">
      <c r="A953" s="8"/>
      <c r="B953" s="8"/>
      <c r="C953" s="8"/>
    </row>
    <row r="954" ht="14.25" customHeight="1">
      <c r="A954" s="8"/>
      <c r="B954" s="8"/>
      <c r="C954" s="8"/>
    </row>
    <row r="955" ht="14.25" customHeight="1">
      <c r="A955" s="8"/>
      <c r="B955" s="8"/>
      <c r="C955" s="8"/>
    </row>
    <row r="956" ht="14.25" customHeight="1">
      <c r="A956" s="8"/>
      <c r="B956" s="8"/>
      <c r="C956" s="8"/>
    </row>
    <row r="957" ht="14.25" customHeight="1">
      <c r="A957" s="8"/>
      <c r="B957" s="8"/>
      <c r="C957" s="8"/>
    </row>
    <row r="958" ht="14.25" customHeight="1">
      <c r="A958" s="8"/>
      <c r="B958" s="8"/>
      <c r="C958" s="8"/>
    </row>
    <row r="959" ht="14.25" customHeight="1">
      <c r="A959" s="8"/>
      <c r="B959" s="8"/>
      <c r="C959" s="8"/>
    </row>
    <row r="960" ht="14.25" customHeight="1">
      <c r="A960" s="8"/>
      <c r="B960" s="8"/>
      <c r="C960" s="8"/>
    </row>
    <row r="961" ht="14.25" customHeight="1">
      <c r="A961" s="8"/>
      <c r="B961" s="8"/>
      <c r="C961" s="8"/>
    </row>
    <row r="962" ht="14.25" customHeight="1">
      <c r="A962" s="8"/>
      <c r="B962" s="8"/>
      <c r="C962" s="8"/>
    </row>
    <row r="963" ht="14.25" customHeight="1">
      <c r="A963" s="8"/>
      <c r="B963" s="8"/>
      <c r="C963" s="8"/>
    </row>
    <row r="964" ht="14.25" customHeight="1">
      <c r="A964" s="8"/>
      <c r="B964" s="8"/>
      <c r="C964" s="8"/>
    </row>
    <row r="965" ht="14.25" customHeight="1">
      <c r="A965" s="8"/>
      <c r="B965" s="8"/>
      <c r="C965" s="8"/>
    </row>
    <row r="966" ht="14.25" customHeight="1">
      <c r="A966" s="8"/>
      <c r="B966" s="8"/>
      <c r="C966" s="8"/>
    </row>
    <row r="967" ht="14.25" customHeight="1">
      <c r="A967" s="8"/>
      <c r="B967" s="8"/>
      <c r="C967" s="8"/>
    </row>
    <row r="968" ht="14.25" customHeight="1">
      <c r="A968" s="8"/>
      <c r="B968" s="8"/>
      <c r="C968" s="8"/>
    </row>
    <row r="969" ht="14.25" customHeight="1">
      <c r="A969" s="8"/>
      <c r="B969" s="8"/>
      <c r="C969" s="8"/>
    </row>
    <row r="970" ht="14.25" customHeight="1">
      <c r="A970" s="8"/>
      <c r="B970" s="8"/>
      <c r="C970" s="8"/>
    </row>
    <row r="971" ht="14.25" customHeight="1">
      <c r="A971" s="8"/>
      <c r="B971" s="8"/>
      <c r="C971" s="8"/>
    </row>
    <row r="972" ht="14.25" customHeight="1">
      <c r="A972" s="8"/>
      <c r="B972" s="8"/>
      <c r="C972" s="8"/>
    </row>
    <row r="973" ht="14.25" customHeight="1">
      <c r="A973" s="8"/>
      <c r="B973" s="8"/>
      <c r="C973" s="8"/>
    </row>
    <row r="974" ht="14.25" customHeight="1">
      <c r="A974" s="8"/>
      <c r="B974" s="8"/>
      <c r="C974" s="8"/>
    </row>
    <row r="975" ht="14.25" customHeight="1">
      <c r="A975" s="8"/>
      <c r="B975" s="8"/>
      <c r="C975" s="8"/>
    </row>
    <row r="976" ht="14.25" customHeight="1">
      <c r="A976" s="8"/>
      <c r="B976" s="8"/>
      <c r="C976" s="8"/>
    </row>
    <row r="977" ht="14.25" customHeight="1">
      <c r="A977" s="8"/>
      <c r="B977" s="8"/>
      <c r="C977" s="8"/>
    </row>
    <row r="978" ht="14.25" customHeight="1">
      <c r="A978" s="8"/>
      <c r="B978" s="8"/>
      <c r="C978" s="8"/>
    </row>
    <row r="979" ht="14.25" customHeight="1">
      <c r="A979" s="8"/>
      <c r="B979" s="8"/>
      <c r="C979" s="8"/>
    </row>
    <row r="980" ht="14.25" customHeight="1">
      <c r="A980" s="8"/>
      <c r="B980" s="8"/>
      <c r="C980" s="8"/>
    </row>
    <row r="981" ht="14.25" customHeight="1">
      <c r="A981" s="8"/>
      <c r="B981" s="8"/>
      <c r="C981" s="8"/>
    </row>
    <row r="982" ht="14.25" customHeight="1">
      <c r="A982" s="8"/>
      <c r="B982" s="8"/>
      <c r="C982" s="8"/>
    </row>
    <row r="983" ht="14.25" customHeight="1">
      <c r="A983" s="8"/>
      <c r="B983" s="8"/>
      <c r="C983" s="8"/>
    </row>
    <row r="984" ht="14.25" customHeight="1">
      <c r="A984" s="8"/>
      <c r="B984" s="8"/>
      <c r="C984" s="8"/>
    </row>
    <row r="985" ht="14.25" customHeight="1">
      <c r="A985" s="8"/>
      <c r="B985" s="8"/>
      <c r="C985" s="8"/>
    </row>
    <row r="986" ht="14.25" customHeight="1">
      <c r="A986" s="8"/>
      <c r="B986" s="8"/>
      <c r="C986" s="8"/>
    </row>
    <row r="987" ht="14.25" customHeight="1">
      <c r="A987" s="8"/>
      <c r="B987" s="8"/>
      <c r="C987" s="8"/>
    </row>
    <row r="988" ht="14.25" customHeight="1">
      <c r="A988" s="8"/>
      <c r="B988" s="8"/>
      <c r="C988" s="8"/>
    </row>
    <row r="989" ht="14.25" customHeight="1">
      <c r="A989" s="8"/>
      <c r="B989" s="8"/>
      <c r="C989" s="8"/>
    </row>
    <row r="990" ht="14.25" customHeight="1">
      <c r="A990" s="8"/>
      <c r="B990" s="8"/>
      <c r="C990" s="8"/>
    </row>
    <row r="991" ht="14.25" customHeight="1">
      <c r="A991" s="8"/>
      <c r="B991" s="8"/>
      <c r="C991" s="8"/>
    </row>
    <row r="992" ht="14.25" customHeight="1">
      <c r="A992" s="8"/>
      <c r="B992" s="8"/>
      <c r="C992" s="8"/>
    </row>
    <row r="993" ht="14.25" customHeight="1">
      <c r="A993" s="8"/>
      <c r="B993" s="8"/>
      <c r="C993" s="8"/>
    </row>
    <row r="994" ht="14.25" customHeight="1">
      <c r="A994" s="8"/>
      <c r="B994" s="8"/>
      <c r="C994" s="8"/>
    </row>
    <row r="995" ht="14.25" customHeight="1">
      <c r="A995" s="8"/>
      <c r="B995" s="8"/>
      <c r="C995" s="8"/>
    </row>
    <row r="996" ht="14.25" customHeight="1">
      <c r="A996" s="8"/>
      <c r="B996" s="8"/>
      <c r="C996" s="8"/>
    </row>
    <row r="997" ht="14.25" customHeight="1">
      <c r="A997" s="8"/>
      <c r="B997" s="8"/>
      <c r="C997" s="8"/>
    </row>
    <row r="998" ht="14.25" customHeight="1">
      <c r="A998" s="8"/>
      <c r="B998" s="8"/>
      <c r="C998" s="8"/>
    </row>
    <row r="999" ht="14.25" customHeight="1">
      <c r="A999" s="8"/>
      <c r="B999" s="8"/>
      <c r="C999" s="8"/>
    </row>
    <row r="1000" ht="14.25" customHeight="1">
      <c r="A1000" s="8"/>
      <c r="B1000" s="8"/>
      <c r="C1000" s="8"/>
    </row>
  </sheetData>
  <autoFilter ref="$A$1:$O$150"/>
  <dataValidations>
    <dataValidation type="list" allowBlank="1" sqref="C2:C1000">
      <formula1>DICTIONARIES!$H$2:$H$3</formula1>
    </dataValidation>
    <dataValidation type="list" allowBlank="1" sqref="B2:B1000">
      <formula1>DICTIONARIES!$AJ$2:$AJ$4</formula1>
    </dataValidation>
    <dataValidation type="list" allowBlank="1" sqref="A2:A1000">
      <formula1>OBJECT_CONDITIONS!$A$2:$A$1000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2.0"/>
    <col customWidth="1" min="4" max="4" width="14.0"/>
    <col customWidth="1" min="5" max="5" width="12.0"/>
    <col customWidth="1" min="6" max="6" width="28.0"/>
    <col customWidth="1" min="7" max="8" width="10.0"/>
    <col customWidth="1" min="9" max="9" width="16.0"/>
    <col customWidth="1" min="10" max="10" width="18.0"/>
    <col customWidth="1" min="11" max="11" width="12.0"/>
    <col customWidth="1" min="12" max="12" width="14.0"/>
    <col customWidth="1" min="13" max="14" width="12.0"/>
    <col customWidth="1" min="15" max="15" width="18.0"/>
    <col customWidth="1" min="16" max="17" width="16.0"/>
    <col customWidth="1" min="18" max="18" width="14.0"/>
    <col customWidth="1" min="19" max="19" width="10.0"/>
    <col customWidth="1" min="20" max="20" width="16.0"/>
    <col customWidth="1" min="21" max="21" width="36.0"/>
    <col customWidth="1" min="22" max="26" width="8.71"/>
  </cols>
  <sheetData>
    <row r="1" ht="14.25" customHeight="1">
      <c r="A1" s="9" t="s">
        <v>610</v>
      </c>
      <c r="B1" s="9" t="s">
        <v>883</v>
      </c>
      <c r="C1" s="9" t="s">
        <v>990</v>
      </c>
      <c r="D1" s="9" t="s">
        <v>991</v>
      </c>
      <c r="E1" s="9" t="s">
        <v>467</v>
      </c>
      <c r="F1" s="9" t="s">
        <v>885</v>
      </c>
      <c r="G1" s="9" t="s">
        <v>869</v>
      </c>
      <c r="H1" s="9" t="s">
        <v>870</v>
      </c>
      <c r="I1" s="9" t="s">
        <v>997</v>
      </c>
      <c r="J1" s="9" t="s">
        <v>998</v>
      </c>
      <c r="K1" s="9" t="s">
        <v>135</v>
      </c>
      <c r="L1" s="9" t="s">
        <v>142</v>
      </c>
      <c r="M1" s="9" t="s">
        <v>993</v>
      </c>
      <c r="N1" s="9" t="s">
        <v>156</v>
      </c>
      <c r="O1" s="9" t="s">
        <v>999</v>
      </c>
      <c r="P1" s="9" t="s">
        <v>1000</v>
      </c>
      <c r="Q1" s="9" t="s">
        <v>1001</v>
      </c>
      <c r="R1" s="9" t="s">
        <v>441</v>
      </c>
      <c r="S1" s="9" t="s">
        <v>650</v>
      </c>
      <c r="T1" s="9" t="s">
        <v>1002</v>
      </c>
      <c r="U1" s="9" t="s">
        <v>1003</v>
      </c>
    </row>
    <row r="2" ht="14.25" customHeight="1">
      <c r="A2" s="4" t="s">
        <v>617</v>
      </c>
      <c r="B2" s="4" t="s">
        <v>346</v>
      </c>
      <c r="C2" s="4" t="s">
        <v>246</v>
      </c>
      <c r="D2" s="4" t="s">
        <v>451</v>
      </c>
      <c r="E2" s="4" t="s">
        <v>477</v>
      </c>
      <c r="F2" s="4">
        <f>IF($C2="","",IF($C2="Work",IFERROR(IF(SUMIFS(WORK_TARIFF_RULES!$G:$G,WORK_TARIFF_RULES!$A:$A,$D2,WORK_TARIFF_RULES!$C:$C,$B2)&lt;&gt;"",SUMIFS(WORK_TARIFF_RULES!$G:$G,WORK_TARIFF_RULES!$A:$A,$D2,WORK_TARIFF_RULES!$C:$C,$B2),SUMIFS(WORK_MASTER!$C:$C,WORK_MASTER!$A:$A,$D2)),""),IF($C2="Material",IFERROR(IF(SUMIFS(MATERIAL_TARIFF_RULES!$G:$G,MATERIAL_TARIFF_RULES!$A:$A,$D2,MATERIAL_TARIFF_RULES!$C:$C,$B2)&lt;&gt;"",SUMIFS(MATERIAL_TARIFF_RULES!$G:$G,MATERIAL_TARIFF_RULES!$A:$A,$D2,MATERIAL_TARIFF_RULES!$C:$C,$B2),SUMIFS(MATERIAL_VARIANTS!$J:$J,MATERIAL_VARIANTS!$A:$A,$E2)),""),IF($C2="Logistics","Мобилизация и логистика объекта",""))))</f>
        <v>0</v>
      </c>
      <c r="G2" s="4">
        <v>120.0</v>
      </c>
      <c r="H2" s="4" t="s">
        <v>241</v>
      </c>
      <c r="I2" s="33">
        <f>IF($C2="","",IF($C2="Work",IFERROR(SUMIFS(WORK_MASTER!$I:$I,WORK_MASTER!$A:$A,$D2),0),IF($C2="Material",IFERROR(SUMIFS(MATERIAL_VARIANTS!$I:$I,MATERIAL_VARIANTS!$A:$A,$E2),0),0)))</f>
        <v>320</v>
      </c>
      <c r="J2" s="33">
        <f>IF($C2="","",IF($C2="Work",IF($E2&lt;&gt;"",IFERROR(SUMIFS(WORK_VARIANTS!$H:$H,WORK_VARIANTS!$A:$A,$E2),1),1),1))</f>
        <v>0</v>
      </c>
      <c r="K2" s="33">
        <f t="array" ref="K2">IF($C2="","",IF($C2="Work",IFERROR(SUMIFS(WORK_FACTOR_APPLICABILITY!$O:$O,WORK_FACTOR_APPLICABILITY!$A:$A,$D2,WORK_FACTOR_APPLICABILITY!$N:$N,$A2),1),IF($C2="Material",IFERROR(INDEX(MATERIAL_QUANTITY_EXAMPLE!$N:$N,MATCH(1,(MATERIAL_QUANTITY_EXAMPLE!$A:$A=MATERIAL_QUANTITY_EXAMPLE!$A:$A)*(MATERIAL_QUANTITY_EXAMPLE!$B:$B=$A2)*(MATERIAL_QUANTITY_EXAMPLE!$C:$C=$D2),0)),1),1)))</f>
        <v>1.278</v>
      </c>
      <c r="L2" s="33">
        <f t="array" ref="L2">IF($A2="","",IF($C2="Material",1,IFERROR(INDEX(OBJECT_CONDITIONS!$AH:$AH,MATCH($A2,OBJECT_CONDITIONS!$A:$A,0))*INDEX(OBJECT_CONDITIONS!$AJ:$AJ,MATCH($A2,OBJECT_CONDITIONS!$A:$A,0))*INDEX(OBJECT_CONDITIONS!$AL:$AL,MATCH($A2,OBJECT_CONDITIONS!$A:$A,0)),1)))</f>
        <v>1.294272</v>
      </c>
      <c r="M2" s="33">
        <f>IF($B2="","",IF($C2="Work",IFERROR(IF(SUMIFS(WORK_TARIFF_RULES!$F:$F,WORK_TARIFF_RULES!$A:$A,$D2,WORK_TARIFF_RULES!$C:$C,$B2)&lt;&gt;"",SUMIFS(WORK_TARIFF_RULES!$F:$F,WORK_TARIFF_RULES!$A:$A,$D2,WORK_TARIFF_RULES!$C:$C,$B2),SUMIFS(TARIFF_PROFILES!$D:$D,TARIFF_PROFILES!$A:$A,$B2)),1),IF($C2="Material",IFERROR(IF(SUMIFS(MATERIAL_TARIFF_RULES!$E:$E,MATERIAL_TARIFF_RULES!$A:$A,$D2,MATERIAL_TARIFF_RULES!$C:$C,$B2)&lt;&gt;"",SUMIFS(MATERIAL_TARIFF_RULES!$E:$E,MATERIAL_TARIFF_RULES!$A:$A,$D2,MATERIAL_TARIFF_RULES!$C:$C,$B2),SUMIFS(TARIFF_PROFILES!$E:$E,TARIFF_PROFILES!$A:$A,$B2)),1),SUMIFS(TARIFF_PROFILES!$F:$F,TARIFF_PROFILES!$A:$A,$B2))))</f>
        <v>0</v>
      </c>
      <c r="N2" s="33">
        <f>IF($C2="Material",IFERROR(SUMIFS(MATERIAL_MASTER!$P:$P,MATERIAL_MASTER!$A:$A,$D2)*IF(SUMIFS(MATERIAL_TARIFF_RULES!$F:$F,MATERIAL_TARIFF_RULES!$A:$A,$D2,MATERIAL_TARIFF_RULES!$C:$C,$B2)="",SUMIFS(TARIFF_PROFILES!$H:$H,TARIFF_PROFILES!$A:$A,$B2),SUMIFS(MATERIAL_TARIFF_RULES!$F:$F,MATERIAL_TARIFF_RULES!$A:$A,$D2,MATERIAL_TARIFF_RULES!$C:$C,$B2)),1),1)</f>
        <v>1</v>
      </c>
      <c r="O2" s="4">
        <f t="shared" ref="O2:O60" si="1">IF($C2="","",IF($C2="Material",ROUNDUP(N($G2)*N($N2),0),N($G2)))</f>
        <v>120</v>
      </c>
      <c r="P2" s="4">
        <f t="array" ref="P2">IF(ROW()=2,MAX(0,INDEX(COMMERCIAL_POLICY!$B:$B,MATCH($B2,COMMERCIAL_POLICY!$A:$A,0))-SUM($Q$2:$Q$60)),0)</f>
        <v>376703.104</v>
      </c>
      <c r="Q2" s="28">
        <f t="array" ref="Q2">IF($C2="","",IF($C2="Material",N($I2)*N($K2)*N($M2)*N($O2),IF($C2="Logistics",INDEX(COMMERCIAL_POLICY!$D:$D,MATCH($B2,COMMERCIAL_POLICY!$A:$A,0))*N($L2),N($I2)*N($J2)*N($K2)*N($L2)*N($M2)*N($G2))))</f>
        <v>0</v>
      </c>
      <c r="R2" s="4" t="str">
        <f t="array" ref="R2">IF($A2="","",INDEX(OBJECT_CONDITIONS!$AM:$AM,MATCH($A2,OBJECT_CONDITIONS!$A:$A,0)))</f>
        <v>С НДС 20%</v>
      </c>
      <c r="S2" s="33">
        <f t="array" ref="S2">IF($R2="","",INDEX(TAX_MODES!$B:$B,MATCH($R2,TAX_MODES!$A:$A,0)))</f>
        <v>0.2</v>
      </c>
      <c r="T2" s="28">
        <f t="shared" ref="T2:T60" si="2">IF($Q2="","",N($Q2)*(1+N($S2)))</f>
        <v>0</v>
      </c>
      <c r="U2" s="4" t="str">
        <f t="shared" ref="U2:U60" si="3">IF($C2="","",IF($C2="Material","Net x reserve x rounded purchase logic",IF($C2="Logistics","Mobilization from COMMERCIAL_POLICY x operating coeff","Base x method/variant x site x operating x tariff")) )</f>
        <v>Base x method/variant x site x operating x tariff</v>
      </c>
    </row>
    <row r="3" ht="14.25" customHeight="1">
      <c r="A3" s="4" t="s">
        <v>617</v>
      </c>
      <c r="B3" s="4" t="s">
        <v>346</v>
      </c>
      <c r="C3" s="4" t="s">
        <v>286</v>
      </c>
      <c r="D3" s="4" t="s">
        <v>493</v>
      </c>
      <c r="E3" s="4" t="s">
        <v>543</v>
      </c>
      <c r="F3" s="4">
        <f>IF($C3="","",IF($C3="Work",IFERROR(IF(SUMIFS(WORK_TARIFF_RULES!$G:$G,WORK_TARIFF_RULES!$A:$A,$D3,WORK_TARIFF_RULES!$C:$C,$B3)&lt;&gt;"",SUMIFS(WORK_TARIFF_RULES!$G:$G,WORK_TARIFF_RULES!$A:$A,$D3,WORK_TARIFF_RULES!$C:$C,$B3),SUMIFS(WORK_MASTER!$C:$C,WORK_MASTER!$A:$A,$D3)),""),IF($C3="Material",IFERROR(IF(SUMIFS(MATERIAL_TARIFF_RULES!$G:$G,MATERIAL_TARIFF_RULES!$A:$A,$D3,MATERIAL_TARIFF_RULES!$C:$C,$B3)&lt;&gt;"",SUMIFS(MATERIAL_TARIFF_RULES!$G:$G,MATERIAL_TARIFF_RULES!$A:$A,$D3,MATERIAL_TARIFF_RULES!$C:$C,$B3),SUMIFS(MATERIAL_VARIANTS!$J:$J,MATERIAL_VARIANTS!$A:$A,$E3)),""),IF($C3="Logistics","Мобилизация и логистика объекта",""))))</f>
        <v>0</v>
      </c>
      <c r="G3" s="4">
        <v>120.0</v>
      </c>
      <c r="H3" s="4" t="s">
        <v>241</v>
      </c>
      <c r="I3" s="33">
        <f>IF($C3="","",IF($C3="Work",IFERROR(SUMIFS(WORK_MASTER!$I:$I,WORK_MASTER!$A:$A,$D3),0),IF($C3="Material",IFERROR(SUMIFS(MATERIAL_VARIANTS!$I:$I,MATERIAL_VARIANTS!$A:$A,$E3),0),0)))</f>
        <v>0</v>
      </c>
      <c r="J3" s="33">
        <f>IF($C3="","",IF($C3="Work",IF($E3&lt;&gt;"",IFERROR(SUMIFS(WORK_VARIANTS!$H:$H,WORK_VARIANTS!$A:$A,$E3),1),1),1))</f>
        <v>1</v>
      </c>
      <c r="K3" s="33">
        <f t="array" ref="K3">IF($C3="","",IF($C3="Work",IFERROR(SUMIFS(WORK_FACTOR_APPLICABILITY!$O:$O,WORK_FACTOR_APPLICABILITY!$A:$A,$D3,WORK_FACTOR_APPLICABILITY!$N:$N,$A3),1),IF($C3="Material",IFERROR(INDEX(MATERIAL_QUANTITY_EXAMPLE!$N:$N,MATCH(1,(MATERIAL_QUANTITY_EXAMPLE!$A:$A=MATERIAL_QUANTITY_EXAMPLE!$A:$A)*(MATERIAL_QUANTITY_EXAMPLE!$B:$B=$A3)*(MATERIAL_QUANTITY_EXAMPLE!$C:$C=$D3),0)),1),1)))</f>
        <v>1.059</v>
      </c>
      <c r="L3" s="33">
        <f t="array" ref="L3">IF($A3="","",IF($C3="Material",1,IFERROR(INDEX(OBJECT_CONDITIONS!$AH:$AH,MATCH($A3,OBJECT_CONDITIONS!$A:$A,0))*INDEX(OBJECT_CONDITIONS!$AJ:$AJ,MATCH($A3,OBJECT_CONDITIONS!$A:$A,0))*INDEX(OBJECT_CONDITIONS!$AL:$AL,MATCH($A3,OBJECT_CONDITIONS!$A:$A,0)),1)))</f>
        <v>1</v>
      </c>
      <c r="M3" s="33">
        <f>IF($B3="","",IF($C3="Work",IFERROR(IF(SUMIFS(WORK_TARIFF_RULES!$F:$F,WORK_TARIFF_RULES!$A:$A,$D3,WORK_TARIFF_RULES!$C:$C,$B3)&lt;&gt;"",SUMIFS(WORK_TARIFF_RULES!$F:$F,WORK_TARIFF_RULES!$A:$A,$D3,WORK_TARIFF_RULES!$C:$C,$B3),SUMIFS(TARIFF_PROFILES!$D:$D,TARIFF_PROFILES!$A:$A,$B3)),1),IF($C3="Material",IFERROR(IF(SUMIFS(MATERIAL_TARIFF_RULES!$E:$E,MATERIAL_TARIFF_RULES!$A:$A,$D3,MATERIAL_TARIFF_RULES!$C:$C,$B3)&lt;&gt;"",SUMIFS(MATERIAL_TARIFF_RULES!$E:$E,MATERIAL_TARIFF_RULES!$A:$A,$D3,MATERIAL_TARIFF_RULES!$C:$C,$B3),SUMIFS(TARIFF_PROFILES!$E:$E,TARIFF_PROFILES!$A:$A,$B3)),1),SUMIFS(TARIFF_PROFILES!$F:$F,TARIFF_PROFILES!$A:$A,$B3))))</f>
        <v>0</v>
      </c>
      <c r="N3" s="33">
        <f>IF($C3="Material",IFERROR(SUMIFS(MATERIAL_MASTER!$P:$P,MATERIAL_MASTER!$A:$A,$D3)*IF(SUMIFS(MATERIAL_TARIFF_RULES!$F:$F,MATERIAL_TARIFF_RULES!$A:$A,$D3,MATERIAL_TARIFF_RULES!$C:$C,$B3)="",SUMIFS(TARIFF_PROFILES!$H:$H,TARIFF_PROFILES!$A:$A,$B3),SUMIFS(MATERIAL_TARIFF_RULES!$F:$F,MATERIAL_TARIFF_RULES!$A:$A,$D3,MATERIAL_TARIFF_RULES!$C:$C,$B3)),1),1)</f>
        <v>0</v>
      </c>
      <c r="O3" s="4">
        <f t="shared" si="1"/>
        <v>0</v>
      </c>
      <c r="P3" s="4">
        <f t="array" ref="P3">IF(ROW()=2,MAX(0,INDEX(COMMERCIAL_POLICY!$B:$B,MATCH($B3,COMMERCIAL_POLICY!$A:$A,0))-SUM($Q$2:$Q$60)),0)</f>
        <v>0</v>
      </c>
      <c r="Q3" s="28">
        <f t="array" ref="Q3">IF($C3="","",IF($C3="Material",N($I3)*N($K3)*N($M3)*N($O3),IF($C3="Logistics",INDEX(COMMERCIAL_POLICY!$D:$D,MATCH($B3,COMMERCIAL_POLICY!$A:$A,0))*N($L3),N($I3)*N($J3)*N($K3)*N($L3)*N($M3)*N($G3))))</f>
        <v>0</v>
      </c>
      <c r="R3" s="4" t="str">
        <f t="array" ref="R3">IF($A3="","",INDEX(OBJECT_CONDITIONS!$AM:$AM,MATCH($A3,OBJECT_CONDITIONS!$A:$A,0)))</f>
        <v>С НДС 20%</v>
      </c>
      <c r="S3" s="33">
        <f t="array" ref="S3">IF($R3="","",INDEX(TAX_MODES!$B:$B,MATCH($R3,TAX_MODES!$A:$A,0)))</f>
        <v>0.2</v>
      </c>
      <c r="T3" s="28">
        <f t="shared" si="2"/>
        <v>0</v>
      </c>
      <c r="U3" s="4" t="str">
        <f t="shared" si="3"/>
        <v>Net x reserve x rounded purchase logic</v>
      </c>
    </row>
    <row r="4" ht="14.25" customHeight="1">
      <c r="A4" s="4" t="s">
        <v>617</v>
      </c>
      <c r="B4" s="4" t="s">
        <v>346</v>
      </c>
      <c r="C4" s="4" t="s">
        <v>355</v>
      </c>
      <c r="D4" s="4" t="s">
        <v>1004</v>
      </c>
      <c r="E4" s="4"/>
      <c r="F4" s="4" t="str">
        <f>IF($C4="","",IF($C4="Work",IFERROR(IF(SUMIFS(WORK_TARIFF_RULES!$G:$G,WORK_TARIFF_RULES!$A:$A,$D4,WORK_TARIFF_RULES!$C:$C,$B4)&lt;&gt;"",SUMIFS(WORK_TARIFF_RULES!$G:$G,WORK_TARIFF_RULES!$A:$A,$D4,WORK_TARIFF_RULES!$C:$C,$B4),SUMIFS(WORK_MASTER!$C:$C,WORK_MASTER!$A:$A,$D4)),""),IF($C4="Material",IFERROR(IF(SUMIFS(MATERIAL_TARIFF_RULES!$G:$G,MATERIAL_TARIFF_RULES!$A:$A,$D4,MATERIAL_TARIFF_RULES!$C:$C,$B4)&lt;&gt;"",SUMIFS(MATERIAL_TARIFF_RULES!$G:$G,MATERIAL_TARIFF_RULES!$A:$A,$D4,MATERIAL_TARIFF_RULES!$C:$C,$B4),SUMIFS(MATERIAL_VARIANTS!$J:$J,MATERIAL_VARIANTS!$A:$A,$E4)),""),IF($C4="Logistics","Мобилизация и логистика объекта",""))))</f>
        <v>Мобилизация и логистика объекта</v>
      </c>
      <c r="G4" s="4">
        <v>1.0</v>
      </c>
      <c r="H4" s="4" t="s">
        <v>388</v>
      </c>
      <c r="I4" s="33">
        <f>IF($C4="","",IF($C4="Work",IFERROR(SUMIFS(WORK_MASTER!$I:$I,WORK_MASTER!$A:$A,$D4),0),IF($C4="Material",IFERROR(SUMIFS(MATERIAL_VARIANTS!$I:$I,MATERIAL_VARIANTS!$A:$A,$E4),0),0)))</f>
        <v>0</v>
      </c>
      <c r="J4" s="33">
        <f>IF($C4="","",IF($C4="Work",IF($E4&lt;&gt;"",IFERROR(SUMIFS(WORK_VARIANTS!$H:$H,WORK_VARIANTS!$A:$A,$E4),1),1),1))</f>
        <v>1</v>
      </c>
      <c r="K4" s="33">
        <f t="array" ref="K4">IF($C4="","",IF($C4="Work",IFERROR(SUMIFS(WORK_FACTOR_APPLICABILITY!$O:$O,WORK_FACTOR_APPLICABILITY!$A:$A,$D4,WORK_FACTOR_APPLICABILITY!$N:$N,$A4),1),IF($C4="Material",IFERROR(INDEX(MATERIAL_QUANTITY_EXAMPLE!$N:$N,MATCH(1,(MATERIAL_QUANTITY_EXAMPLE!$A:$A=MATERIAL_QUANTITY_EXAMPLE!$A:$A)*(MATERIAL_QUANTITY_EXAMPLE!$B:$B=$A4)*(MATERIAL_QUANTITY_EXAMPLE!$C:$C=$D4),0)),1),1)))</f>
        <v>1</v>
      </c>
      <c r="L4" s="33">
        <f t="array" ref="L4">IF($A4="","",IF($C4="Material",1,IFERROR(INDEX(OBJECT_CONDITIONS!$AH:$AH,MATCH($A4,OBJECT_CONDITIONS!$A:$A,0))*INDEX(OBJECT_CONDITIONS!$AJ:$AJ,MATCH($A4,OBJECT_CONDITIONS!$A:$A,0))*INDEX(OBJECT_CONDITIONS!$AL:$AL,MATCH($A4,OBJECT_CONDITIONS!$A:$A,0)),1)))</f>
        <v>1.294272</v>
      </c>
      <c r="M4" s="33">
        <f>IF($B4="","",IF($C4="Work",IFERROR(IF(SUMIFS(WORK_TARIFF_RULES!$F:$F,WORK_TARIFF_RULES!$A:$A,$D4,WORK_TARIFF_RULES!$C:$C,$B4)&lt;&gt;"",SUMIFS(WORK_TARIFF_RULES!$F:$F,WORK_TARIFF_RULES!$A:$A,$D4,WORK_TARIFF_RULES!$C:$C,$B4),SUMIFS(TARIFF_PROFILES!$D:$D,TARIFF_PROFILES!$A:$A,$B4)),1),IF($C4="Material",IFERROR(IF(SUMIFS(MATERIAL_TARIFF_RULES!$E:$E,MATERIAL_TARIFF_RULES!$A:$A,$D4,MATERIAL_TARIFF_RULES!$C:$C,$B4)&lt;&gt;"",SUMIFS(MATERIAL_TARIFF_RULES!$E:$E,MATERIAL_TARIFF_RULES!$A:$A,$D4,MATERIAL_TARIFF_RULES!$C:$C,$B4),SUMIFS(TARIFF_PROFILES!$E:$E,TARIFF_PROFILES!$A:$A,$B4)),1),SUMIFS(TARIFF_PROFILES!$F:$F,TARIFF_PROFILES!$A:$A,$B4))))</f>
        <v>1.03</v>
      </c>
      <c r="N4" s="33">
        <f>IF($C4="Material",IFERROR(SUMIFS(MATERIAL_MASTER!$P:$P,MATERIAL_MASTER!$A:$A,$D4)*IF(SUMIFS(MATERIAL_TARIFF_RULES!$F:$F,MATERIAL_TARIFF_RULES!$A:$A,$D4,MATERIAL_TARIFF_RULES!$C:$C,$B4)="",SUMIFS(TARIFF_PROFILES!$H:$H,TARIFF_PROFILES!$A:$A,$B4),SUMIFS(MATERIAL_TARIFF_RULES!$F:$F,MATERIAL_TARIFF_RULES!$A:$A,$D4,MATERIAL_TARIFF_RULES!$C:$C,$B4)),1),1)</f>
        <v>1</v>
      </c>
      <c r="O4" s="4">
        <f t="shared" si="1"/>
        <v>1</v>
      </c>
      <c r="P4" s="4">
        <f t="array" ref="P4">IF(ROW()=2,MAX(0,INDEX(COMMERCIAL_POLICY!$B:$B,MATCH($B4,COMMERCIAL_POLICY!$A:$A,0))-SUM($Q$2:$Q$60)),0)</f>
        <v>0</v>
      </c>
      <c r="Q4" s="28">
        <f t="array" ref="Q4">IF($C4="","",IF($C4="Material",N($I4)*N($K4)*N($M4)*N($O4),IF($C4="Logistics",INDEX(COMMERCIAL_POLICY!$D:$D,MATCH($B4,COMMERCIAL_POLICY!$A:$A,0))*N($L4),N($I4)*N($J4)*N($K4)*N($L4)*N($M4)*N($G4))))</f>
        <v>23296.896</v>
      </c>
      <c r="R4" s="4" t="str">
        <f t="array" ref="R4">IF($A4="","",INDEX(OBJECT_CONDITIONS!$AM:$AM,MATCH($A4,OBJECT_CONDITIONS!$A:$A,0)))</f>
        <v>С НДС 20%</v>
      </c>
      <c r="S4" s="33">
        <f t="array" ref="S4">IF($R4="","",INDEX(TAX_MODES!$B:$B,MATCH($R4,TAX_MODES!$A:$A,0)))</f>
        <v>0.2</v>
      </c>
      <c r="T4" s="28">
        <f t="shared" si="2"/>
        <v>27956.2752</v>
      </c>
      <c r="U4" s="4" t="str">
        <f t="shared" si="3"/>
        <v>Mobilization from COMMERCIAL_POLICY x operating coeff</v>
      </c>
    </row>
    <row r="5" ht="14.25" customHeight="1">
      <c r="A5" s="4" t="s">
        <v>655</v>
      </c>
      <c r="B5" s="4" t="s">
        <v>267</v>
      </c>
      <c r="C5" s="4" t="s">
        <v>246</v>
      </c>
      <c r="D5" s="4" t="s">
        <v>444</v>
      </c>
      <c r="E5" s="4" t="s">
        <v>475</v>
      </c>
      <c r="F5" s="4">
        <f>IF($C5="","",IF($C5="Work",IFERROR(IF(SUMIFS(WORK_TARIFF_RULES!$G:$G,WORK_TARIFF_RULES!$A:$A,$D5,WORK_TARIFF_RULES!$C:$C,$B5)&lt;&gt;"",SUMIFS(WORK_TARIFF_RULES!$G:$G,WORK_TARIFF_RULES!$A:$A,$D5,WORK_TARIFF_RULES!$C:$C,$B5),SUMIFS(WORK_MASTER!$C:$C,WORK_MASTER!$A:$A,$D5)),""),IF($C5="Material",IFERROR(IF(SUMIFS(MATERIAL_TARIFF_RULES!$G:$G,MATERIAL_TARIFF_RULES!$A:$A,$D5,MATERIAL_TARIFF_RULES!$C:$C,$B5)&lt;&gt;"",SUMIFS(MATERIAL_TARIFF_RULES!$G:$G,MATERIAL_TARIFF_RULES!$A:$A,$D5,MATERIAL_TARIFF_RULES!$C:$C,$B5),SUMIFS(MATERIAL_VARIANTS!$J:$J,MATERIAL_VARIANTS!$A:$A,$E5)),""),IF($C5="Logistics","Мобилизация и логистика объекта",""))))</f>
        <v>0</v>
      </c>
      <c r="G5" s="4">
        <v>200.0</v>
      </c>
      <c r="H5" s="4" t="s">
        <v>241</v>
      </c>
      <c r="I5" s="33">
        <f>IF($C5="","",IF($C5="Work",IFERROR(SUMIFS(WORK_MASTER!$I:$I,WORK_MASTER!$A:$A,$D5),0),IF($C5="Material",IFERROR(SUMIFS(MATERIAL_VARIANTS!$I:$I,MATERIAL_VARIANTS!$A:$A,$E5),0),0)))</f>
        <v>350</v>
      </c>
      <c r="J5" s="33">
        <f>IF($C5="","",IF($C5="Work",IF($E5&lt;&gt;"",IFERROR(SUMIFS(WORK_VARIANTS!$H:$H,WORK_VARIANTS!$A:$A,$E5),1),1),1))</f>
        <v>0</v>
      </c>
      <c r="K5" s="33">
        <f t="array" ref="K5">IF($C5="","",IF($C5="Work",IFERROR(SUMIFS(WORK_FACTOR_APPLICABILITY!$O:$O,WORK_FACTOR_APPLICABILITY!$A:$A,$D5,WORK_FACTOR_APPLICABILITY!$N:$N,$A5),1),IF($C5="Material",IFERROR(INDEX(MATERIAL_QUANTITY_EXAMPLE!$N:$N,MATCH(1,(MATERIAL_QUANTITY_EXAMPLE!$A:$A=MATERIAL_QUANTITY_EXAMPLE!$A:$A)*(MATERIAL_QUANTITY_EXAMPLE!$B:$B=$A5)*(MATERIAL_QUANTITY_EXAMPLE!$C:$C=$D5),0)),1),1)))</f>
        <v>0</v>
      </c>
      <c r="L5" s="33">
        <f t="array" ref="L5">IF($A5="","",IF($C5="Material",1,IFERROR(INDEX(OBJECT_CONDITIONS!$AH:$AH,MATCH($A5,OBJECT_CONDITIONS!$A:$A,0))*INDEX(OBJECT_CONDITIONS!$AJ:$AJ,MATCH($A5,OBJECT_CONDITIONS!$A:$A,0))*INDEX(OBJECT_CONDITIONS!$AL:$AL,MATCH($A5,OBJECT_CONDITIONS!$A:$A,0)),1)))</f>
        <v>1</v>
      </c>
      <c r="M5" s="33">
        <f>IF($B5="","",IF($C5="Work",IFERROR(IF(SUMIFS(WORK_TARIFF_RULES!$F:$F,WORK_TARIFF_RULES!$A:$A,$D5,WORK_TARIFF_RULES!$C:$C,$B5)&lt;&gt;"",SUMIFS(WORK_TARIFF_RULES!$F:$F,WORK_TARIFF_RULES!$A:$A,$D5,WORK_TARIFF_RULES!$C:$C,$B5),SUMIFS(TARIFF_PROFILES!$D:$D,TARIFF_PROFILES!$A:$A,$B5)),1),IF($C5="Material",IFERROR(IF(SUMIFS(MATERIAL_TARIFF_RULES!$E:$E,MATERIAL_TARIFF_RULES!$A:$A,$D5,MATERIAL_TARIFF_RULES!$C:$C,$B5)&lt;&gt;"",SUMIFS(MATERIAL_TARIFF_RULES!$E:$E,MATERIAL_TARIFF_RULES!$A:$A,$D5,MATERIAL_TARIFF_RULES!$C:$C,$B5),SUMIFS(TARIFF_PROFILES!$E:$E,TARIFF_PROFILES!$A:$A,$B5)),1),SUMIFS(TARIFF_PROFILES!$F:$F,TARIFF_PROFILES!$A:$A,$B5))))</f>
        <v>0</v>
      </c>
      <c r="N5" s="33">
        <f>IF($C5="Material",IFERROR(SUMIFS(MATERIAL_MASTER!$P:$P,MATERIAL_MASTER!$A:$A,$D5)*IF(SUMIFS(MATERIAL_TARIFF_RULES!$F:$F,MATERIAL_TARIFF_RULES!$A:$A,$D5,MATERIAL_TARIFF_RULES!$C:$C,$B5)="",SUMIFS(TARIFF_PROFILES!$H:$H,TARIFF_PROFILES!$A:$A,$B5),SUMIFS(MATERIAL_TARIFF_RULES!$F:$F,MATERIAL_TARIFF_RULES!$A:$A,$D5,MATERIAL_TARIFF_RULES!$C:$C,$B5)),1),1)</f>
        <v>1</v>
      </c>
      <c r="O5" s="4">
        <f t="shared" si="1"/>
        <v>200</v>
      </c>
      <c r="P5" s="4">
        <f t="array" ref="P5">IF(ROW()=2,MAX(0,INDEX(COMMERCIAL_POLICY!$B:$B,MATCH($B5,COMMERCIAL_POLICY!$A:$A,0))-SUM($Q$2:$Q$60)),0)</f>
        <v>0</v>
      </c>
      <c r="Q5" s="28">
        <f t="array" ref="Q5">IF($C5="","",IF($C5="Material",N($I5)*N($K5)*N($M5)*N($O5),IF($C5="Logistics",INDEX(COMMERCIAL_POLICY!$D:$D,MATCH($B5,COMMERCIAL_POLICY!$A:$A,0))*N($L5),N($I5)*N($J5)*N($K5)*N($L5)*N($M5)*N($G5))))</f>
        <v>0</v>
      </c>
      <c r="R5" s="4" t="str">
        <f t="array" ref="R5">IF($A5="","",INDEX(OBJECT_CONDITIONS!$AM:$AM,MATCH($A5,OBJECT_CONDITIONS!$A:$A,0)))</f>
        <v>Без НДС</v>
      </c>
      <c r="S5" s="33">
        <f t="array" ref="S5">IF($R5="","",INDEX(TAX_MODES!$B:$B,MATCH($R5,TAX_MODES!$A:$A,0)))</f>
        <v>0</v>
      </c>
      <c r="T5" s="28">
        <f t="shared" si="2"/>
        <v>0</v>
      </c>
      <c r="U5" s="4" t="str">
        <f t="shared" si="3"/>
        <v>Base x method/variant x site x operating x tariff</v>
      </c>
    </row>
    <row r="6" ht="14.25" customHeight="1">
      <c r="A6" s="4"/>
      <c r="B6" s="4"/>
      <c r="C6" s="4"/>
      <c r="D6" s="4"/>
      <c r="E6" s="4"/>
      <c r="F6" s="4" t="str">
        <f>IF($C6="","",IF($C6="Work",IFERROR(IF(SUMIFS(WORK_TARIFF_RULES!$G:$G,WORK_TARIFF_RULES!$A:$A,$D6,WORK_TARIFF_RULES!$C:$C,$B6)&lt;&gt;"",SUMIFS(WORK_TARIFF_RULES!$G:$G,WORK_TARIFF_RULES!$A:$A,$D6,WORK_TARIFF_RULES!$C:$C,$B6),SUMIFS(WORK_MASTER!$C:$C,WORK_MASTER!$A:$A,$D6)),""),IF($C6="Material",IFERROR(IF(SUMIFS(MATERIAL_TARIFF_RULES!$G:$G,MATERIAL_TARIFF_RULES!$A:$A,$D6,MATERIAL_TARIFF_RULES!$C:$C,$B6)&lt;&gt;"",SUMIFS(MATERIAL_TARIFF_RULES!$G:$G,MATERIAL_TARIFF_RULES!$A:$A,$D6,MATERIAL_TARIFF_RULES!$C:$C,$B6),SUMIFS(MATERIAL_VARIANTS!$J:$J,MATERIAL_VARIANTS!$A:$A,$E6)),""),IF($C6="Logistics","Мобилизация и логистика объекта",""))))</f>
        <v/>
      </c>
      <c r="G6" s="4"/>
      <c r="H6" s="4"/>
      <c r="I6" s="33" t="str">
        <f>IF($C6="","",IF($C6="Work",IFERROR(SUMIFS(WORK_MASTER!$I:$I,WORK_MASTER!$A:$A,$D6),0),IF($C6="Material",IFERROR(SUMIFS(MATERIAL_VARIANTS!$I:$I,MATERIAL_VARIANTS!$A:$A,$E6),0),0)))</f>
        <v/>
      </c>
      <c r="J6" s="33" t="str">
        <f>IF($C6="","",IF($C6="Work",IF($E6&lt;&gt;"",IFERROR(SUMIFS(WORK_VARIANTS!$H:$H,WORK_VARIANTS!$A:$A,$E6),1),1),1))</f>
        <v/>
      </c>
      <c r="K6" s="33" t="str">
        <f t="array" ref="K6">IF($C6="","",IF($C6="Work",IFERROR(SUMIFS(WORK_FACTOR_APPLICABILITY!$O:$O,WORK_FACTOR_APPLICABILITY!$A:$A,$D6,WORK_FACTOR_APPLICABILITY!$N:$N,$A6),1),IF($C6="Material",IFERROR(INDEX(MATERIAL_QUANTITY_EXAMPLE!$N:$N,MATCH(1,(MATERIAL_QUANTITY_EXAMPLE!$A:$A=MATERIAL_QUANTITY_EXAMPLE!$A:$A)*(MATERIAL_QUANTITY_EXAMPLE!$B:$B=$A6)*(MATERIAL_QUANTITY_EXAMPLE!$C:$C=$D6),0)),1),1)))</f>
        <v/>
      </c>
      <c r="L6" s="33" t="str">
        <f t="array" ref="L6">IF($A6="","",IF($C6="Material",1,IFERROR(INDEX(OBJECT_CONDITIONS!$AH:$AH,MATCH($A6,OBJECT_CONDITIONS!$A:$A,0))*INDEX(OBJECT_CONDITIONS!$AJ:$AJ,MATCH($A6,OBJECT_CONDITIONS!$A:$A,0))*INDEX(OBJECT_CONDITIONS!$AL:$AL,MATCH($A6,OBJECT_CONDITIONS!$A:$A,0)),1)))</f>
        <v/>
      </c>
      <c r="M6" s="33" t="str">
        <f>IF($B6="","",IF($C6="Work",IFERROR(IF(SUMIFS(WORK_TARIFF_RULES!$F:$F,WORK_TARIFF_RULES!$A:$A,$D6,WORK_TARIFF_RULES!$C:$C,$B6)&lt;&gt;"",SUMIFS(WORK_TARIFF_RULES!$F:$F,WORK_TARIFF_RULES!$A:$A,$D6,WORK_TARIFF_RULES!$C:$C,$B6),SUMIFS(TARIFF_PROFILES!$D:$D,TARIFF_PROFILES!$A:$A,$B6)),1),IF($C6="Material",IFERROR(IF(SUMIFS(MATERIAL_TARIFF_RULES!$E:$E,MATERIAL_TARIFF_RULES!$A:$A,$D6,MATERIAL_TARIFF_RULES!$C:$C,$B6)&lt;&gt;"",SUMIFS(MATERIAL_TARIFF_RULES!$E:$E,MATERIAL_TARIFF_RULES!$A:$A,$D6,MATERIAL_TARIFF_RULES!$C:$C,$B6),SUMIFS(TARIFF_PROFILES!$E:$E,TARIFF_PROFILES!$A:$A,$B6)),1),SUMIFS(TARIFF_PROFILES!$F:$F,TARIFF_PROFILES!$A:$A,$B6))))</f>
        <v/>
      </c>
      <c r="N6" s="33">
        <f>IF($C6="Material",IFERROR(SUMIFS(MATERIAL_MASTER!$P:$P,MATERIAL_MASTER!$A:$A,$D6)*IF(SUMIFS(MATERIAL_TARIFF_RULES!$F:$F,MATERIAL_TARIFF_RULES!$A:$A,$D6,MATERIAL_TARIFF_RULES!$C:$C,$B6)="",SUMIFS(TARIFF_PROFILES!$H:$H,TARIFF_PROFILES!$A:$A,$B6),SUMIFS(MATERIAL_TARIFF_RULES!$F:$F,MATERIAL_TARIFF_RULES!$A:$A,$D6,MATERIAL_TARIFF_RULES!$C:$C,$B6)),1),1)</f>
        <v>1</v>
      </c>
      <c r="O6" s="4" t="str">
        <f t="shared" si="1"/>
        <v/>
      </c>
      <c r="P6" s="4">
        <f t="array" ref="P6">IF(ROW()=2,MAX(0,INDEX(COMMERCIAL_POLICY!$B:$B,MATCH($B6,COMMERCIAL_POLICY!$A:$A,0))-SUM($Q$2:$Q$60)),0)</f>
        <v>0</v>
      </c>
      <c r="Q6" s="28" t="str">
        <f t="array" ref="Q6">IF($C6="","",IF($C6="Material",N($I6)*N($K6)*N($M6)*N($O6),IF($C6="Logistics",INDEX(COMMERCIAL_POLICY!$D:$D,MATCH($B6,COMMERCIAL_POLICY!$A:$A,0))*N($L6),N($I6)*N($J6)*N($K6)*N($L6)*N($M6)*N($G6))))</f>
        <v/>
      </c>
      <c r="R6" s="4" t="str">
        <f t="array" ref="R6">IF($A6="","",INDEX(OBJECT_CONDITIONS!$AM:$AM,MATCH($A6,OBJECT_CONDITIONS!$A:$A,0)))</f>
        <v/>
      </c>
      <c r="S6" s="33" t="str">
        <f t="array" ref="S6">IF($R6="","",INDEX(TAX_MODES!$B:$B,MATCH($R6,TAX_MODES!$A:$A,0)))</f>
        <v/>
      </c>
      <c r="T6" s="28" t="str">
        <f t="shared" si="2"/>
        <v/>
      </c>
      <c r="U6" s="4" t="str">
        <f t="shared" si="3"/>
        <v/>
      </c>
    </row>
    <row r="7" ht="14.25" customHeight="1">
      <c r="A7" s="4"/>
      <c r="B7" s="4"/>
      <c r="C7" s="4"/>
      <c r="D7" s="4"/>
      <c r="E7" s="4"/>
      <c r="F7" s="4" t="str">
        <f>IF($C7="","",IF($C7="Work",IFERROR(IF(SUMIFS(WORK_TARIFF_RULES!$G:$G,WORK_TARIFF_RULES!$A:$A,$D7,WORK_TARIFF_RULES!$C:$C,$B7)&lt;&gt;"",SUMIFS(WORK_TARIFF_RULES!$G:$G,WORK_TARIFF_RULES!$A:$A,$D7,WORK_TARIFF_RULES!$C:$C,$B7),SUMIFS(WORK_MASTER!$C:$C,WORK_MASTER!$A:$A,$D7)),""),IF($C7="Material",IFERROR(IF(SUMIFS(MATERIAL_TARIFF_RULES!$G:$G,MATERIAL_TARIFF_RULES!$A:$A,$D7,MATERIAL_TARIFF_RULES!$C:$C,$B7)&lt;&gt;"",SUMIFS(MATERIAL_TARIFF_RULES!$G:$G,MATERIAL_TARIFF_RULES!$A:$A,$D7,MATERIAL_TARIFF_RULES!$C:$C,$B7),SUMIFS(MATERIAL_VARIANTS!$J:$J,MATERIAL_VARIANTS!$A:$A,$E7)),""),IF($C7="Logistics","Мобилизация и логистика объекта",""))))</f>
        <v/>
      </c>
      <c r="G7" s="4"/>
      <c r="H7" s="4"/>
      <c r="I7" s="33" t="str">
        <f>IF($C7="","",IF($C7="Work",IFERROR(SUMIFS(WORK_MASTER!$I:$I,WORK_MASTER!$A:$A,$D7),0),IF($C7="Material",IFERROR(SUMIFS(MATERIAL_VARIANTS!$I:$I,MATERIAL_VARIANTS!$A:$A,$E7),0),0)))</f>
        <v/>
      </c>
      <c r="J7" s="33" t="str">
        <f>IF($C7="","",IF($C7="Work",IF($E7&lt;&gt;"",IFERROR(SUMIFS(WORK_VARIANTS!$H:$H,WORK_VARIANTS!$A:$A,$E7),1),1),1))</f>
        <v/>
      </c>
      <c r="K7" s="33" t="str">
        <f t="array" ref="K7">IF($C7="","",IF($C7="Work",IFERROR(SUMIFS(WORK_FACTOR_APPLICABILITY!$O:$O,WORK_FACTOR_APPLICABILITY!$A:$A,$D7,WORK_FACTOR_APPLICABILITY!$N:$N,$A7),1),IF($C7="Material",IFERROR(INDEX(MATERIAL_QUANTITY_EXAMPLE!$N:$N,MATCH(1,(MATERIAL_QUANTITY_EXAMPLE!$A:$A=MATERIAL_QUANTITY_EXAMPLE!$A:$A)*(MATERIAL_QUANTITY_EXAMPLE!$B:$B=$A7)*(MATERIAL_QUANTITY_EXAMPLE!$C:$C=$D7),0)),1),1)))</f>
        <v/>
      </c>
      <c r="L7" s="33" t="str">
        <f t="array" ref="L7">IF($A7="","",IF($C7="Material",1,IFERROR(INDEX(OBJECT_CONDITIONS!$AH:$AH,MATCH($A7,OBJECT_CONDITIONS!$A:$A,0))*INDEX(OBJECT_CONDITIONS!$AJ:$AJ,MATCH($A7,OBJECT_CONDITIONS!$A:$A,0))*INDEX(OBJECT_CONDITIONS!$AL:$AL,MATCH($A7,OBJECT_CONDITIONS!$A:$A,0)),1)))</f>
        <v/>
      </c>
      <c r="M7" s="33" t="str">
        <f>IF($B7="","",IF($C7="Work",IFERROR(IF(SUMIFS(WORK_TARIFF_RULES!$F:$F,WORK_TARIFF_RULES!$A:$A,$D7,WORK_TARIFF_RULES!$C:$C,$B7)&lt;&gt;"",SUMIFS(WORK_TARIFF_RULES!$F:$F,WORK_TARIFF_RULES!$A:$A,$D7,WORK_TARIFF_RULES!$C:$C,$B7),SUMIFS(TARIFF_PROFILES!$D:$D,TARIFF_PROFILES!$A:$A,$B7)),1),IF($C7="Material",IFERROR(IF(SUMIFS(MATERIAL_TARIFF_RULES!$E:$E,MATERIAL_TARIFF_RULES!$A:$A,$D7,MATERIAL_TARIFF_RULES!$C:$C,$B7)&lt;&gt;"",SUMIFS(MATERIAL_TARIFF_RULES!$E:$E,MATERIAL_TARIFF_RULES!$A:$A,$D7,MATERIAL_TARIFF_RULES!$C:$C,$B7),SUMIFS(TARIFF_PROFILES!$E:$E,TARIFF_PROFILES!$A:$A,$B7)),1),SUMIFS(TARIFF_PROFILES!$F:$F,TARIFF_PROFILES!$A:$A,$B7))))</f>
        <v/>
      </c>
      <c r="N7" s="33">
        <f>IF($C7="Material",IFERROR(SUMIFS(MATERIAL_MASTER!$P:$P,MATERIAL_MASTER!$A:$A,$D7)*IF(SUMIFS(MATERIAL_TARIFF_RULES!$F:$F,MATERIAL_TARIFF_RULES!$A:$A,$D7,MATERIAL_TARIFF_RULES!$C:$C,$B7)="",SUMIFS(TARIFF_PROFILES!$H:$H,TARIFF_PROFILES!$A:$A,$B7),SUMIFS(MATERIAL_TARIFF_RULES!$F:$F,MATERIAL_TARIFF_RULES!$A:$A,$D7,MATERIAL_TARIFF_RULES!$C:$C,$B7)),1),1)</f>
        <v>1</v>
      </c>
      <c r="O7" s="4" t="str">
        <f t="shared" si="1"/>
        <v/>
      </c>
      <c r="P7" s="4">
        <f t="array" ref="P7">IF(ROW()=2,MAX(0,INDEX(COMMERCIAL_POLICY!$B:$B,MATCH($B7,COMMERCIAL_POLICY!$A:$A,0))-SUM($Q$2:$Q$60)),0)</f>
        <v>0</v>
      </c>
      <c r="Q7" s="28" t="str">
        <f t="array" ref="Q7">IF($C7="","",IF($C7="Material",N($I7)*N($K7)*N($M7)*N($O7),IF($C7="Logistics",INDEX(COMMERCIAL_POLICY!$D:$D,MATCH($B7,COMMERCIAL_POLICY!$A:$A,0))*N($L7),N($I7)*N($J7)*N($K7)*N($L7)*N($M7)*N($G7))))</f>
        <v/>
      </c>
      <c r="R7" s="4" t="str">
        <f t="array" ref="R7">IF($A7="","",INDEX(OBJECT_CONDITIONS!$AM:$AM,MATCH($A7,OBJECT_CONDITIONS!$A:$A,0)))</f>
        <v/>
      </c>
      <c r="S7" s="33" t="str">
        <f t="array" ref="S7">IF($R7="","",INDEX(TAX_MODES!$B:$B,MATCH($R7,TAX_MODES!$A:$A,0)))</f>
        <v/>
      </c>
      <c r="T7" s="28" t="str">
        <f t="shared" si="2"/>
        <v/>
      </c>
      <c r="U7" s="4" t="str">
        <f t="shared" si="3"/>
        <v/>
      </c>
    </row>
    <row r="8" ht="14.25" customHeight="1">
      <c r="A8" s="4"/>
      <c r="B8" s="4"/>
      <c r="C8" s="4"/>
      <c r="D8" s="4"/>
      <c r="E8" s="4"/>
      <c r="F8" s="4" t="str">
        <f>IF($C8="","",IF($C8="Work",IFERROR(IF(SUMIFS(WORK_TARIFF_RULES!$G:$G,WORK_TARIFF_RULES!$A:$A,$D8,WORK_TARIFF_RULES!$C:$C,$B8)&lt;&gt;"",SUMIFS(WORK_TARIFF_RULES!$G:$G,WORK_TARIFF_RULES!$A:$A,$D8,WORK_TARIFF_RULES!$C:$C,$B8),SUMIFS(WORK_MASTER!$C:$C,WORK_MASTER!$A:$A,$D8)),""),IF($C8="Material",IFERROR(IF(SUMIFS(MATERIAL_TARIFF_RULES!$G:$G,MATERIAL_TARIFF_RULES!$A:$A,$D8,MATERIAL_TARIFF_RULES!$C:$C,$B8)&lt;&gt;"",SUMIFS(MATERIAL_TARIFF_RULES!$G:$G,MATERIAL_TARIFF_RULES!$A:$A,$D8,MATERIAL_TARIFF_RULES!$C:$C,$B8),SUMIFS(MATERIAL_VARIANTS!$J:$J,MATERIAL_VARIANTS!$A:$A,$E8)),""),IF($C8="Logistics","Мобилизация и логистика объекта",""))))</f>
        <v/>
      </c>
      <c r="G8" s="4"/>
      <c r="H8" s="4"/>
      <c r="I8" s="33" t="str">
        <f>IF($C8="","",IF($C8="Work",IFERROR(SUMIFS(WORK_MASTER!$I:$I,WORK_MASTER!$A:$A,$D8),0),IF($C8="Material",IFERROR(SUMIFS(MATERIAL_VARIANTS!$I:$I,MATERIAL_VARIANTS!$A:$A,$E8),0),0)))</f>
        <v/>
      </c>
      <c r="J8" s="33" t="str">
        <f>IF($C8="","",IF($C8="Work",IF($E8&lt;&gt;"",IFERROR(SUMIFS(WORK_VARIANTS!$H:$H,WORK_VARIANTS!$A:$A,$E8),1),1),1))</f>
        <v/>
      </c>
      <c r="K8" s="33" t="str">
        <f t="array" ref="K8">IF($C8="","",IF($C8="Work",IFERROR(SUMIFS(WORK_FACTOR_APPLICABILITY!$O:$O,WORK_FACTOR_APPLICABILITY!$A:$A,$D8,WORK_FACTOR_APPLICABILITY!$N:$N,$A8),1),IF($C8="Material",IFERROR(INDEX(MATERIAL_QUANTITY_EXAMPLE!$N:$N,MATCH(1,(MATERIAL_QUANTITY_EXAMPLE!$A:$A=MATERIAL_QUANTITY_EXAMPLE!$A:$A)*(MATERIAL_QUANTITY_EXAMPLE!$B:$B=$A8)*(MATERIAL_QUANTITY_EXAMPLE!$C:$C=$D8),0)),1),1)))</f>
        <v/>
      </c>
      <c r="L8" s="33" t="str">
        <f t="array" ref="L8">IF($A8="","",IF($C8="Material",1,IFERROR(INDEX(OBJECT_CONDITIONS!$AH:$AH,MATCH($A8,OBJECT_CONDITIONS!$A:$A,0))*INDEX(OBJECT_CONDITIONS!$AJ:$AJ,MATCH($A8,OBJECT_CONDITIONS!$A:$A,0))*INDEX(OBJECT_CONDITIONS!$AL:$AL,MATCH($A8,OBJECT_CONDITIONS!$A:$A,0)),1)))</f>
        <v/>
      </c>
      <c r="M8" s="33" t="str">
        <f>IF($B8="","",IF($C8="Work",IFERROR(IF(SUMIFS(WORK_TARIFF_RULES!$F:$F,WORK_TARIFF_RULES!$A:$A,$D8,WORK_TARIFF_RULES!$C:$C,$B8)&lt;&gt;"",SUMIFS(WORK_TARIFF_RULES!$F:$F,WORK_TARIFF_RULES!$A:$A,$D8,WORK_TARIFF_RULES!$C:$C,$B8),SUMIFS(TARIFF_PROFILES!$D:$D,TARIFF_PROFILES!$A:$A,$B8)),1),IF($C8="Material",IFERROR(IF(SUMIFS(MATERIAL_TARIFF_RULES!$E:$E,MATERIAL_TARIFF_RULES!$A:$A,$D8,MATERIAL_TARIFF_RULES!$C:$C,$B8)&lt;&gt;"",SUMIFS(MATERIAL_TARIFF_RULES!$E:$E,MATERIAL_TARIFF_RULES!$A:$A,$D8,MATERIAL_TARIFF_RULES!$C:$C,$B8),SUMIFS(TARIFF_PROFILES!$E:$E,TARIFF_PROFILES!$A:$A,$B8)),1),SUMIFS(TARIFF_PROFILES!$F:$F,TARIFF_PROFILES!$A:$A,$B8))))</f>
        <v/>
      </c>
      <c r="N8" s="33">
        <f>IF($C8="Material",IFERROR(SUMIFS(MATERIAL_MASTER!$P:$P,MATERIAL_MASTER!$A:$A,$D8)*IF(SUMIFS(MATERIAL_TARIFF_RULES!$F:$F,MATERIAL_TARIFF_RULES!$A:$A,$D8,MATERIAL_TARIFF_RULES!$C:$C,$B8)="",SUMIFS(TARIFF_PROFILES!$H:$H,TARIFF_PROFILES!$A:$A,$B8),SUMIFS(MATERIAL_TARIFF_RULES!$F:$F,MATERIAL_TARIFF_RULES!$A:$A,$D8,MATERIAL_TARIFF_RULES!$C:$C,$B8)),1),1)</f>
        <v>1</v>
      </c>
      <c r="O8" s="4" t="str">
        <f t="shared" si="1"/>
        <v/>
      </c>
      <c r="P8" s="4">
        <f t="array" ref="P8">IF(ROW()=2,MAX(0,INDEX(COMMERCIAL_POLICY!$B:$B,MATCH($B8,COMMERCIAL_POLICY!$A:$A,0))-SUM($Q$2:$Q$60)),0)</f>
        <v>0</v>
      </c>
      <c r="Q8" s="28" t="str">
        <f t="array" ref="Q8">IF($C8="","",IF($C8="Material",N($I8)*N($K8)*N($M8)*N($O8),IF($C8="Logistics",INDEX(COMMERCIAL_POLICY!$D:$D,MATCH($B8,COMMERCIAL_POLICY!$A:$A,0))*N($L8),N($I8)*N($J8)*N($K8)*N($L8)*N($M8)*N($G8))))</f>
        <v/>
      </c>
      <c r="R8" s="4" t="str">
        <f t="array" ref="R8">IF($A8="","",INDEX(OBJECT_CONDITIONS!$AM:$AM,MATCH($A8,OBJECT_CONDITIONS!$A:$A,0)))</f>
        <v/>
      </c>
      <c r="S8" s="33" t="str">
        <f t="array" ref="S8">IF($R8="","",INDEX(TAX_MODES!$B:$B,MATCH($R8,TAX_MODES!$A:$A,0)))</f>
        <v/>
      </c>
      <c r="T8" s="28" t="str">
        <f t="shared" si="2"/>
        <v/>
      </c>
      <c r="U8" s="4" t="str">
        <f t="shared" si="3"/>
        <v/>
      </c>
    </row>
    <row r="9" ht="14.25" customHeight="1">
      <c r="A9" s="4"/>
      <c r="B9" s="4"/>
      <c r="C9" s="4"/>
      <c r="D9" s="4"/>
      <c r="E9" s="4"/>
      <c r="F9" s="4" t="str">
        <f>IF($C9="","",IF($C9="Work",IFERROR(IF(SUMIFS(WORK_TARIFF_RULES!$G:$G,WORK_TARIFF_RULES!$A:$A,$D9,WORK_TARIFF_RULES!$C:$C,$B9)&lt;&gt;"",SUMIFS(WORK_TARIFF_RULES!$G:$G,WORK_TARIFF_RULES!$A:$A,$D9,WORK_TARIFF_RULES!$C:$C,$B9),SUMIFS(WORK_MASTER!$C:$C,WORK_MASTER!$A:$A,$D9)),""),IF($C9="Material",IFERROR(IF(SUMIFS(MATERIAL_TARIFF_RULES!$G:$G,MATERIAL_TARIFF_RULES!$A:$A,$D9,MATERIAL_TARIFF_RULES!$C:$C,$B9)&lt;&gt;"",SUMIFS(MATERIAL_TARIFF_RULES!$G:$G,MATERIAL_TARIFF_RULES!$A:$A,$D9,MATERIAL_TARIFF_RULES!$C:$C,$B9),SUMIFS(MATERIAL_VARIANTS!$J:$J,MATERIAL_VARIANTS!$A:$A,$E9)),""),IF($C9="Logistics","Мобилизация и логистика объекта",""))))</f>
        <v/>
      </c>
      <c r="G9" s="4"/>
      <c r="H9" s="4"/>
      <c r="I9" s="33" t="str">
        <f>IF($C9="","",IF($C9="Work",IFERROR(SUMIFS(WORK_MASTER!$I:$I,WORK_MASTER!$A:$A,$D9),0),IF($C9="Material",IFERROR(SUMIFS(MATERIAL_VARIANTS!$I:$I,MATERIAL_VARIANTS!$A:$A,$E9),0),0)))</f>
        <v/>
      </c>
      <c r="J9" s="33" t="str">
        <f>IF($C9="","",IF($C9="Work",IF($E9&lt;&gt;"",IFERROR(SUMIFS(WORK_VARIANTS!$H:$H,WORK_VARIANTS!$A:$A,$E9),1),1),1))</f>
        <v/>
      </c>
      <c r="K9" s="33" t="str">
        <f t="array" ref="K9">IF($C9="","",IF($C9="Work",IFERROR(SUMIFS(WORK_FACTOR_APPLICABILITY!$O:$O,WORK_FACTOR_APPLICABILITY!$A:$A,$D9,WORK_FACTOR_APPLICABILITY!$N:$N,$A9),1),IF($C9="Material",IFERROR(INDEX(MATERIAL_QUANTITY_EXAMPLE!$N:$N,MATCH(1,(MATERIAL_QUANTITY_EXAMPLE!$A:$A=MATERIAL_QUANTITY_EXAMPLE!$A:$A)*(MATERIAL_QUANTITY_EXAMPLE!$B:$B=$A9)*(MATERIAL_QUANTITY_EXAMPLE!$C:$C=$D9),0)),1),1)))</f>
        <v/>
      </c>
      <c r="L9" s="33" t="str">
        <f t="array" ref="L9">IF($A9="","",IF($C9="Material",1,IFERROR(INDEX(OBJECT_CONDITIONS!$AH:$AH,MATCH($A9,OBJECT_CONDITIONS!$A:$A,0))*INDEX(OBJECT_CONDITIONS!$AJ:$AJ,MATCH($A9,OBJECT_CONDITIONS!$A:$A,0))*INDEX(OBJECT_CONDITIONS!$AL:$AL,MATCH($A9,OBJECT_CONDITIONS!$A:$A,0)),1)))</f>
        <v/>
      </c>
      <c r="M9" s="33" t="str">
        <f>IF($B9="","",IF($C9="Work",IFERROR(IF(SUMIFS(WORK_TARIFF_RULES!$F:$F,WORK_TARIFF_RULES!$A:$A,$D9,WORK_TARIFF_RULES!$C:$C,$B9)&lt;&gt;"",SUMIFS(WORK_TARIFF_RULES!$F:$F,WORK_TARIFF_RULES!$A:$A,$D9,WORK_TARIFF_RULES!$C:$C,$B9),SUMIFS(TARIFF_PROFILES!$D:$D,TARIFF_PROFILES!$A:$A,$B9)),1),IF($C9="Material",IFERROR(IF(SUMIFS(MATERIAL_TARIFF_RULES!$E:$E,MATERIAL_TARIFF_RULES!$A:$A,$D9,MATERIAL_TARIFF_RULES!$C:$C,$B9)&lt;&gt;"",SUMIFS(MATERIAL_TARIFF_RULES!$E:$E,MATERIAL_TARIFF_RULES!$A:$A,$D9,MATERIAL_TARIFF_RULES!$C:$C,$B9),SUMIFS(TARIFF_PROFILES!$E:$E,TARIFF_PROFILES!$A:$A,$B9)),1),SUMIFS(TARIFF_PROFILES!$F:$F,TARIFF_PROFILES!$A:$A,$B9))))</f>
        <v/>
      </c>
      <c r="N9" s="33">
        <f>IF($C9="Material",IFERROR(SUMIFS(MATERIAL_MASTER!$P:$P,MATERIAL_MASTER!$A:$A,$D9)*IF(SUMIFS(MATERIAL_TARIFF_RULES!$F:$F,MATERIAL_TARIFF_RULES!$A:$A,$D9,MATERIAL_TARIFF_RULES!$C:$C,$B9)="",SUMIFS(TARIFF_PROFILES!$H:$H,TARIFF_PROFILES!$A:$A,$B9),SUMIFS(MATERIAL_TARIFF_RULES!$F:$F,MATERIAL_TARIFF_RULES!$A:$A,$D9,MATERIAL_TARIFF_RULES!$C:$C,$B9)),1),1)</f>
        <v>1</v>
      </c>
      <c r="O9" s="4" t="str">
        <f t="shared" si="1"/>
        <v/>
      </c>
      <c r="P9" s="4">
        <f t="array" ref="P9">IF(ROW()=2,MAX(0,INDEX(COMMERCIAL_POLICY!$B:$B,MATCH($B9,COMMERCIAL_POLICY!$A:$A,0))-SUM($Q$2:$Q$60)),0)</f>
        <v>0</v>
      </c>
      <c r="Q9" s="28" t="str">
        <f t="array" ref="Q9">IF($C9="","",IF($C9="Material",N($I9)*N($K9)*N($M9)*N($O9),IF($C9="Logistics",INDEX(COMMERCIAL_POLICY!$D:$D,MATCH($B9,COMMERCIAL_POLICY!$A:$A,0))*N($L9),N($I9)*N($J9)*N($K9)*N($L9)*N($M9)*N($G9))))</f>
        <v/>
      </c>
      <c r="R9" s="4" t="str">
        <f t="array" ref="R9">IF($A9="","",INDEX(OBJECT_CONDITIONS!$AM:$AM,MATCH($A9,OBJECT_CONDITIONS!$A:$A,0)))</f>
        <v/>
      </c>
      <c r="S9" s="33" t="str">
        <f t="array" ref="S9">IF($R9="","",INDEX(TAX_MODES!$B:$B,MATCH($R9,TAX_MODES!$A:$A,0)))</f>
        <v/>
      </c>
      <c r="T9" s="28" t="str">
        <f t="shared" si="2"/>
        <v/>
      </c>
      <c r="U9" s="4" t="str">
        <f t="shared" si="3"/>
        <v/>
      </c>
    </row>
    <row r="10" ht="14.25" customHeight="1">
      <c r="A10" s="4"/>
      <c r="B10" s="4"/>
      <c r="C10" s="4"/>
      <c r="D10" s="4"/>
      <c r="E10" s="4"/>
      <c r="F10" s="4" t="str">
        <f>IF($C10="","",IF($C10="Work",IFERROR(IF(SUMIFS(WORK_TARIFF_RULES!$G:$G,WORK_TARIFF_RULES!$A:$A,$D10,WORK_TARIFF_RULES!$C:$C,$B10)&lt;&gt;"",SUMIFS(WORK_TARIFF_RULES!$G:$G,WORK_TARIFF_RULES!$A:$A,$D10,WORK_TARIFF_RULES!$C:$C,$B10),SUMIFS(WORK_MASTER!$C:$C,WORK_MASTER!$A:$A,$D10)),""),IF($C10="Material",IFERROR(IF(SUMIFS(MATERIAL_TARIFF_RULES!$G:$G,MATERIAL_TARIFF_RULES!$A:$A,$D10,MATERIAL_TARIFF_RULES!$C:$C,$B10)&lt;&gt;"",SUMIFS(MATERIAL_TARIFF_RULES!$G:$G,MATERIAL_TARIFF_RULES!$A:$A,$D10,MATERIAL_TARIFF_RULES!$C:$C,$B10),SUMIFS(MATERIAL_VARIANTS!$J:$J,MATERIAL_VARIANTS!$A:$A,$E10)),""),IF($C10="Logistics","Мобилизация и логистика объекта",""))))</f>
        <v/>
      </c>
      <c r="G10" s="4"/>
      <c r="H10" s="4"/>
      <c r="I10" s="33" t="str">
        <f>IF($C10="","",IF($C10="Work",IFERROR(SUMIFS(WORK_MASTER!$I:$I,WORK_MASTER!$A:$A,$D10),0),IF($C10="Material",IFERROR(SUMIFS(MATERIAL_VARIANTS!$I:$I,MATERIAL_VARIANTS!$A:$A,$E10),0),0)))</f>
        <v/>
      </c>
      <c r="J10" s="33" t="str">
        <f>IF($C10="","",IF($C10="Work",IF($E10&lt;&gt;"",IFERROR(SUMIFS(WORK_VARIANTS!$H:$H,WORK_VARIANTS!$A:$A,$E10),1),1),1))</f>
        <v/>
      </c>
      <c r="K10" s="33" t="str">
        <f t="array" ref="K10">IF($C10="","",IF($C10="Work",IFERROR(SUMIFS(WORK_FACTOR_APPLICABILITY!$O:$O,WORK_FACTOR_APPLICABILITY!$A:$A,$D10,WORK_FACTOR_APPLICABILITY!$N:$N,$A10),1),IF($C10="Material",IFERROR(INDEX(MATERIAL_QUANTITY_EXAMPLE!$N:$N,MATCH(1,(MATERIAL_QUANTITY_EXAMPLE!$A:$A=MATERIAL_QUANTITY_EXAMPLE!$A:$A)*(MATERIAL_QUANTITY_EXAMPLE!$B:$B=$A10)*(MATERIAL_QUANTITY_EXAMPLE!$C:$C=$D10),0)),1),1)))</f>
        <v/>
      </c>
      <c r="L10" s="33" t="str">
        <f t="array" ref="L10">IF($A10="","",IF($C10="Material",1,IFERROR(INDEX(OBJECT_CONDITIONS!$AH:$AH,MATCH($A10,OBJECT_CONDITIONS!$A:$A,0))*INDEX(OBJECT_CONDITIONS!$AJ:$AJ,MATCH($A10,OBJECT_CONDITIONS!$A:$A,0))*INDEX(OBJECT_CONDITIONS!$AL:$AL,MATCH($A10,OBJECT_CONDITIONS!$A:$A,0)),1)))</f>
        <v/>
      </c>
      <c r="M10" s="33" t="str">
        <f>IF($B10="","",IF($C10="Work",IFERROR(IF(SUMIFS(WORK_TARIFF_RULES!$F:$F,WORK_TARIFF_RULES!$A:$A,$D10,WORK_TARIFF_RULES!$C:$C,$B10)&lt;&gt;"",SUMIFS(WORK_TARIFF_RULES!$F:$F,WORK_TARIFF_RULES!$A:$A,$D10,WORK_TARIFF_RULES!$C:$C,$B10),SUMIFS(TARIFF_PROFILES!$D:$D,TARIFF_PROFILES!$A:$A,$B10)),1),IF($C10="Material",IFERROR(IF(SUMIFS(MATERIAL_TARIFF_RULES!$E:$E,MATERIAL_TARIFF_RULES!$A:$A,$D10,MATERIAL_TARIFF_RULES!$C:$C,$B10)&lt;&gt;"",SUMIFS(MATERIAL_TARIFF_RULES!$E:$E,MATERIAL_TARIFF_RULES!$A:$A,$D10,MATERIAL_TARIFF_RULES!$C:$C,$B10),SUMIFS(TARIFF_PROFILES!$E:$E,TARIFF_PROFILES!$A:$A,$B10)),1),SUMIFS(TARIFF_PROFILES!$F:$F,TARIFF_PROFILES!$A:$A,$B10))))</f>
        <v/>
      </c>
      <c r="N10" s="33">
        <f>IF($C10="Material",IFERROR(SUMIFS(MATERIAL_MASTER!$P:$P,MATERIAL_MASTER!$A:$A,$D10)*IF(SUMIFS(MATERIAL_TARIFF_RULES!$F:$F,MATERIAL_TARIFF_RULES!$A:$A,$D10,MATERIAL_TARIFF_RULES!$C:$C,$B10)="",SUMIFS(TARIFF_PROFILES!$H:$H,TARIFF_PROFILES!$A:$A,$B10),SUMIFS(MATERIAL_TARIFF_RULES!$F:$F,MATERIAL_TARIFF_RULES!$A:$A,$D10,MATERIAL_TARIFF_RULES!$C:$C,$B10)),1),1)</f>
        <v>1</v>
      </c>
      <c r="O10" s="4" t="str">
        <f t="shared" si="1"/>
        <v/>
      </c>
      <c r="P10" s="4">
        <f t="array" ref="P10">IF(ROW()=2,MAX(0,INDEX(COMMERCIAL_POLICY!$B:$B,MATCH($B10,COMMERCIAL_POLICY!$A:$A,0))-SUM($Q$2:$Q$60)),0)</f>
        <v>0</v>
      </c>
      <c r="Q10" s="28" t="str">
        <f t="array" ref="Q10">IF($C10="","",IF($C10="Material",N($I10)*N($K10)*N($M10)*N($O10),IF($C10="Logistics",INDEX(COMMERCIAL_POLICY!$D:$D,MATCH($B10,COMMERCIAL_POLICY!$A:$A,0))*N($L10),N($I10)*N($J10)*N($K10)*N($L10)*N($M10)*N($G10))))</f>
        <v/>
      </c>
      <c r="R10" s="4" t="str">
        <f t="array" ref="R10">IF($A10="","",INDEX(OBJECT_CONDITIONS!$AM:$AM,MATCH($A10,OBJECT_CONDITIONS!$A:$A,0)))</f>
        <v/>
      </c>
      <c r="S10" s="33" t="str">
        <f t="array" ref="S10">IF($R10="","",INDEX(TAX_MODES!$B:$B,MATCH($R10,TAX_MODES!$A:$A,0)))</f>
        <v/>
      </c>
      <c r="T10" s="28" t="str">
        <f t="shared" si="2"/>
        <v/>
      </c>
      <c r="U10" s="4" t="str">
        <f t="shared" si="3"/>
        <v/>
      </c>
    </row>
    <row r="11" ht="14.25" customHeight="1">
      <c r="A11" s="4"/>
      <c r="B11" s="4"/>
      <c r="C11" s="4"/>
      <c r="D11" s="4"/>
      <c r="E11" s="4"/>
      <c r="F11" s="4" t="str">
        <f>IF($C11="","",IF($C11="Work",IFERROR(IF(SUMIFS(WORK_TARIFF_RULES!$G:$G,WORK_TARIFF_RULES!$A:$A,$D11,WORK_TARIFF_RULES!$C:$C,$B11)&lt;&gt;"",SUMIFS(WORK_TARIFF_RULES!$G:$G,WORK_TARIFF_RULES!$A:$A,$D11,WORK_TARIFF_RULES!$C:$C,$B11),SUMIFS(WORK_MASTER!$C:$C,WORK_MASTER!$A:$A,$D11)),""),IF($C11="Material",IFERROR(IF(SUMIFS(MATERIAL_TARIFF_RULES!$G:$G,MATERIAL_TARIFF_RULES!$A:$A,$D11,MATERIAL_TARIFF_RULES!$C:$C,$B11)&lt;&gt;"",SUMIFS(MATERIAL_TARIFF_RULES!$G:$G,MATERIAL_TARIFF_RULES!$A:$A,$D11,MATERIAL_TARIFF_RULES!$C:$C,$B11),SUMIFS(MATERIAL_VARIANTS!$J:$J,MATERIAL_VARIANTS!$A:$A,$E11)),""),IF($C11="Logistics","Мобилизация и логистика объекта",""))))</f>
        <v/>
      </c>
      <c r="G11" s="4"/>
      <c r="H11" s="4"/>
      <c r="I11" s="33" t="str">
        <f>IF($C11="","",IF($C11="Work",IFERROR(SUMIFS(WORK_MASTER!$I:$I,WORK_MASTER!$A:$A,$D11),0),IF($C11="Material",IFERROR(SUMIFS(MATERIAL_VARIANTS!$I:$I,MATERIAL_VARIANTS!$A:$A,$E11),0),0)))</f>
        <v/>
      </c>
      <c r="J11" s="33" t="str">
        <f>IF($C11="","",IF($C11="Work",IF($E11&lt;&gt;"",IFERROR(SUMIFS(WORK_VARIANTS!$H:$H,WORK_VARIANTS!$A:$A,$E11),1),1),1))</f>
        <v/>
      </c>
      <c r="K11" s="33" t="str">
        <f t="array" ref="K11">IF($C11="","",IF($C11="Work",IFERROR(SUMIFS(WORK_FACTOR_APPLICABILITY!$O:$O,WORK_FACTOR_APPLICABILITY!$A:$A,$D11,WORK_FACTOR_APPLICABILITY!$N:$N,$A11),1),IF($C11="Material",IFERROR(INDEX(MATERIAL_QUANTITY_EXAMPLE!$N:$N,MATCH(1,(MATERIAL_QUANTITY_EXAMPLE!$A:$A=MATERIAL_QUANTITY_EXAMPLE!$A:$A)*(MATERIAL_QUANTITY_EXAMPLE!$B:$B=$A11)*(MATERIAL_QUANTITY_EXAMPLE!$C:$C=$D11),0)),1),1)))</f>
        <v/>
      </c>
      <c r="L11" s="33" t="str">
        <f t="array" ref="L11">IF($A11="","",IF($C11="Material",1,IFERROR(INDEX(OBJECT_CONDITIONS!$AH:$AH,MATCH($A11,OBJECT_CONDITIONS!$A:$A,0))*INDEX(OBJECT_CONDITIONS!$AJ:$AJ,MATCH($A11,OBJECT_CONDITIONS!$A:$A,0))*INDEX(OBJECT_CONDITIONS!$AL:$AL,MATCH($A11,OBJECT_CONDITIONS!$A:$A,0)),1)))</f>
        <v/>
      </c>
      <c r="M11" s="33" t="str">
        <f>IF($B11="","",IF($C11="Work",IFERROR(IF(SUMIFS(WORK_TARIFF_RULES!$F:$F,WORK_TARIFF_RULES!$A:$A,$D11,WORK_TARIFF_RULES!$C:$C,$B11)&lt;&gt;"",SUMIFS(WORK_TARIFF_RULES!$F:$F,WORK_TARIFF_RULES!$A:$A,$D11,WORK_TARIFF_RULES!$C:$C,$B11),SUMIFS(TARIFF_PROFILES!$D:$D,TARIFF_PROFILES!$A:$A,$B11)),1),IF($C11="Material",IFERROR(IF(SUMIFS(MATERIAL_TARIFF_RULES!$E:$E,MATERIAL_TARIFF_RULES!$A:$A,$D11,MATERIAL_TARIFF_RULES!$C:$C,$B11)&lt;&gt;"",SUMIFS(MATERIAL_TARIFF_RULES!$E:$E,MATERIAL_TARIFF_RULES!$A:$A,$D11,MATERIAL_TARIFF_RULES!$C:$C,$B11),SUMIFS(TARIFF_PROFILES!$E:$E,TARIFF_PROFILES!$A:$A,$B11)),1),SUMIFS(TARIFF_PROFILES!$F:$F,TARIFF_PROFILES!$A:$A,$B11))))</f>
        <v/>
      </c>
      <c r="N11" s="33">
        <f>IF($C11="Material",IFERROR(SUMIFS(MATERIAL_MASTER!$P:$P,MATERIAL_MASTER!$A:$A,$D11)*IF(SUMIFS(MATERIAL_TARIFF_RULES!$F:$F,MATERIAL_TARIFF_RULES!$A:$A,$D11,MATERIAL_TARIFF_RULES!$C:$C,$B11)="",SUMIFS(TARIFF_PROFILES!$H:$H,TARIFF_PROFILES!$A:$A,$B11),SUMIFS(MATERIAL_TARIFF_RULES!$F:$F,MATERIAL_TARIFF_RULES!$A:$A,$D11,MATERIAL_TARIFF_RULES!$C:$C,$B11)),1),1)</f>
        <v>1</v>
      </c>
      <c r="O11" s="4" t="str">
        <f t="shared" si="1"/>
        <v/>
      </c>
      <c r="P11" s="4">
        <f t="array" ref="P11">IF(ROW()=2,MAX(0,INDEX(COMMERCIAL_POLICY!$B:$B,MATCH($B11,COMMERCIAL_POLICY!$A:$A,0))-SUM($Q$2:$Q$60)),0)</f>
        <v>0</v>
      </c>
      <c r="Q11" s="28" t="str">
        <f t="array" ref="Q11">IF($C11="","",IF($C11="Material",N($I11)*N($K11)*N($M11)*N($O11),IF($C11="Logistics",INDEX(COMMERCIAL_POLICY!$D:$D,MATCH($B11,COMMERCIAL_POLICY!$A:$A,0))*N($L11),N($I11)*N($J11)*N($K11)*N($L11)*N($M11)*N($G11))))</f>
        <v/>
      </c>
      <c r="R11" s="4" t="str">
        <f t="array" ref="R11">IF($A11="","",INDEX(OBJECT_CONDITIONS!$AM:$AM,MATCH($A11,OBJECT_CONDITIONS!$A:$A,0)))</f>
        <v/>
      </c>
      <c r="S11" s="33" t="str">
        <f t="array" ref="S11">IF($R11="","",INDEX(TAX_MODES!$B:$B,MATCH($R11,TAX_MODES!$A:$A,0)))</f>
        <v/>
      </c>
      <c r="T11" s="28" t="str">
        <f t="shared" si="2"/>
        <v/>
      </c>
      <c r="U11" s="4" t="str">
        <f t="shared" si="3"/>
        <v/>
      </c>
    </row>
    <row r="12" ht="14.25" customHeight="1">
      <c r="A12" s="4"/>
      <c r="B12" s="4"/>
      <c r="C12" s="4"/>
      <c r="D12" s="4"/>
      <c r="E12" s="4"/>
      <c r="F12" s="4" t="str">
        <f>IF($C12="","",IF($C12="Work",IFERROR(IF(SUMIFS(WORK_TARIFF_RULES!$G:$G,WORK_TARIFF_RULES!$A:$A,$D12,WORK_TARIFF_RULES!$C:$C,$B12)&lt;&gt;"",SUMIFS(WORK_TARIFF_RULES!$G:$G,WORK_TARIFF_RULES!$A:$A,$D12,WORK_TARIFF_RULES!$C:$C,$B12),SUMIFS(WORK_MASTER!$C:$C,WORK_MASTER!$A:$A,$D12)),""),IF($C12="Material",IFERROR(IF(SUMIFS(MATERIAL_TARIFF_RULES!$G:$G,MATERIAL_TARIFF_RULES!$A:$A,$D12,MATERIAL_TARIFF_RULES!$C:$C,$B12)&lt;&gt;"",SUMIFS(MATERIAL_TARIFF_RULES!$G:$G,MATERIAL_TARIFF_RULES!$A:$A,$D12,MATERIAL_TARIFF_RULES!$C:$C,$B12),SUMIFS(MATERIAL_VARIANTS!$J:$J,MATERIAL_VARIANTS!$A:$A,$E12)),""),IF($C12="Logistics","Мобилизация и логистика объекта",""))))</f>
        <v/>
      </c>
      <c r="G12" s="4"/>
      <c r="H12" s="4"/>
      <c r="I12" s="33" t="str">
        <f>IF($C12="","",IF($C12="Work",IFERROR(SUMIFS(WORK_MASTER!$I:$I,WORK_MASTER!$A:$A,$D12),0),IF($C12="Material",IFERROR(SUMIFS(MATERIAL_VARIANTS!$I:$I,MATERIAL_VARIANTS!$A:$A,$E12),0),0)))</f>
        <v/>
      </c>
      <c r="J12" s="33" t="str">
        <f>IF($C12="","",IF($C12="Work",IF($E12&lt;&gt;"",IFERROR(SUMIFS(WORK_VARIANTS!$H:$H,WORK_VARIANTS!$A:$A,$E12),1),1),1))</f>
        <v/>
      </c>
      <c r="K12" s="33" t="str">
        <f t="array" ref="K12">IF($C12="","",IF($C12="Work",IFERROR(SUMIFS(WORK_FACTOR_APPLICABILITY!$O:$O,WORK_FACTOR_APPLICABILITY!$A:$A,$D12,WORK_FACTOR_APPLICABILITY!$N:$N,$A12),1),IF($C12="Material",IFERROR(INDEX(MATERIAL_QUANTITY_EXAMPLE!$N:$N,MATCH(1,(MATERIAL_QUANTITY_EXAMPLE!$A:$A=MATERIAL_QUANTITY_EXAMPLE!$A:$A)*(MATERIAL_QUANTITY_EXAMPLE!$B:$B=$A12)*(MATERIAL_QUANTITY_EXAMPLE!$C:$C=$D12),0)),1),1)))</f>
        <v/>
      </c>
      <c r="L12" s="33" t="str">
        <f t="array" ref="L12">IF($A12="","",IF($C12="Material",1,IFERROR(INDEX(OBJECT_CONDITIONS!$AH:$AH,MATCH($A12,OBJECT_CONDITIONS!$A:$A,0))*INDEX(OBJECT_CONDITIONS!$AJ:$AJ,MATCH($A12,OBJECT_CONDITIONS!$A:$A,0))*INDEX(OBJECT_CONDITIONS!$AL:$AL,MATCH($A12,OBJECT_CONDITIONS!$A:$A,0)),1)))</f>
        <v/>
      </c>
      <c r="M12" s="33" t="str">
        <f>IF($B12="","",IF($C12="Work",IFERROR(IF(SUMIFS(WORK_TARIFF_RULES!$F:$F,WORK_TARIFF_RULES!$A:$A,$D12,WORK_TARIFF_RULES!$C:$C,$B12)&lt;&gt;"",SUMIFS(WORK_TARIFF_RULES!$F:$F,WORK_TARIFF_RULES!$A:$A,$D12,WORK_TARIFF_RULES!$C:$C,$B12),SUMIFS(TARIFF_PROFILES!$D:$D,TARIFF_PROFILES!$A:$A,$B12)),1),IF($C12="Material",IFERROR(IF(SUMIFS(MATERIAL_TARIFF_RULES!$E:$E,MATERIAL_TARIFF_RULES!$A:$A,$D12,MATERIAL_TARIFF_RULES!$C:$C,$B12)&lt;&gt;"",SUMIFS(MATERIAL_TARIFF_RULES!$E:$E,MATERIAL_TARIFF_RULES!$A:$A,$D12,MATERIAL_TARIFF_RULES!$C:$C,$B12),SUMIFS(TARIFF_PROFILES!$E:$E,TARIFF_PROFILES!$A:$A,$B12)),1),SUMIFS(TARIFF_PROFILES!$F:$F,TARIFF_PROFILES!$A:$A,$B12))))</f>
        <v/>
      </c>
      <c r="N12" s="33">
        <f>IF($C12="Material",IFERROR(SUMIFS(MATERIAL_MASTER!$P:$P,MATERIAL_MASTER!$A:$A,$D12)*IF(SUMIFS(MATERIAL_TARIFF_RULES!$F:$F,MATERIAL_TARIFF_RULES!$A:$A,$D12,MATERIAL_TARIFF_RULES!$C:$C,$B12)="",SUMIFS(TARIFF_PROFILES!$H:$H,TARIFF_PROFILES!$A:$A,$B12),SUMIFS(MATERIAL_TARIFF_RULES!$F:$F,MATERIAL_TARIFF_RULES!$A:$A,$D12,MATERIAL_TARIFF_RULES!$C:$C,$B12)),1),1)</f>
        <v>1</v>
      </c>
      <c r="O12" s="4" t="str">
        <f t="shared" si="1"/>
        <v/>
      </c>
      <c r="P12" s="4">
        <f t="array" ref="P12">IF(ROW()=2,MAX(0,INDEX(COMMERCIAL_POLICY!$B:$B,MATCH($B12,COMMERCIAL_POLICY!$A:$A,0))-SUM($Q$2:$Q$60)),0)</f>
        <v>0</v>
      </c>
      <c r="Q12" s="28" t="str">
        <f t="array" ref="Q12">IF($C12="","",IF($C12="Material",N($I12)*N($K12)*N($M12)*N($O12),IF($C12="Logistics",INDEX(COMMERCIAL_POLICY!$D:$D,MATCH($B12,COMMERCIAL_POLICY!$A:$A,0))*N($L12),N($I12)*N($J12)*N($K12)*N($L12)*N($M12)*N($G12))))</f>
        <v/>
      </c>
      <c r="R12" s="4" t="str">
        <f t="array" ref="R12">IF($A12="","",INDEX(OBJECT_CONDITIONS!$AM:$AM,MATCH($A12,OBJECT_CONDITIONS!$A:$A,0)))</f>
        <v/>
      </c>
      <c r="S12" s="33" t="str">
        <f t="array" ref="S12">IF($R12="","",INDEX(TAX_MODES!$B:$B,MATCH($R12,TAX_MODES!$A:$A,0)))</f>
        <v/>
      </c>
      <c r="T12" s="28" t="str">
        <f t="shared" si="2"/>
        <v/>
      </c>
      <c r="U12" s="4" t="str">
        <f t="shared" si="3"/>
        <v/>
      </c>
    </row>
    <row r="13" ht="14.25" customHeight="1">
      <c r="A13" s="4"/>
      <c r="B13" s="4"/>
      <c r="C13" s="4"/>
      <c r="D13" s="4"/>
      <c r="E13" s="4"/>
      <c r="F13" s="4" t="str">
        <f>IF($C13="","",IF($C13="Work",IFERROR(IF(SUMIFS(WORK_TARIFF_RULES!$G:$G,WORK_TARIFF_RULES!$A:$A,$D13,WORK_TARIFF_RULES!$C:$C,$B13)&lt;&gt;"",SUMIFS(WORK_TARIFF_RULES!$G:$G,WORK_TARIFF_RULES!$A:$A,$D13,WORK_TARIFF_RULES!$C:$C,$B13),SUMIFS(WORK_MASTER!$C:$C,WORK_MASTER!$A:$A,$D13)),""),IF($C13="Material",IFERROR(IF(SUMIFS(MATERIAL_TARIFF_RULES!$G:$G,MATERIAL_TARIFF_RULES!$A:$A,$D13,MATERIAL_TARIFF_RULES!$C:$C,$B13)&lt;&gt;"",SUMIFS(MATERIAL_TARIFF_RULES!$G:$G,MATERIAL_TARIFF_RULES!$A:$A,$D13,MATERIAL_TARIFF_RULES!$C:$C,$B13),SUMIFS(MATERIAL_VARIANTS!$J:$J,MATERIAL_VARIANTS!$A:$A,$E13)),""),IF($C13="Logistics","Мобилизация и логистика объекта",""))))</f>
        <v/>
      </c>
      <c r="G13" s="4"/>
      <c r="H13" s="4"/>
      <c r="I13" s="33" t="str">
        <f>IF($C13="","",IF($C13="Work",IFERROR(SUMIFS(WORK_MASTER!$I:$I,WORK_MASTER!$A:$A,$D13),0),IF($C13="Material",IFERROR(SUMIFS(MATERIAL_VARIANTS!$I:$I,MATERIAL_VARIANTS!$A:$A,$E13),0),0)))</f>
        <v/>
      </c>
      <c r="J13" s="33" t="str">
        <f>IF($C13="","",IF($C13="Work",IF($E13&lt;&gt;"",IFERROR(SUMIFS(WORK_VARIANTS!$H:$H,WORK_VARIANTS!$A:$A,$E13),1),1),1))</f>
        <v/>
      </c>
      <c r="K13" s="33" t="str">
        <f t="array" ref="K13">IF($C13="","",IF($C13="Work",IFERROR(SUMIFS(WORK_FACTOR_APPLICABILITY!$O:$O,WORK_FACTOR_APPLICABILITY!$A:$A,$D13,WORK_FACTOR_APPLICABILITY!$N:$N,$A13),1),IF($C13="Material",IFERROR(INDEX(MATERIAL_QUANTITY_EXAMPLE!$N:$N,MATCH(1,(MATERIAL_QUANTITY_EXAMPLE!$A:$A=MATERIAL_QUANTITY_EXAMPLE!$A:$A)*(MATERIAL_QUANTITY_EXAMPLE!$B:$B=$A13)*(MATERIAL_QUANTITY_EXAMPLE!$C:$C=$D13),0)),1),1)))</f>
        <v/>
      </c>
      <c r="L13" s="33" t="str">
        <f t="array" ref="L13">IF($A13="","",IF($C13="Material",1,IFERROR(INDEX(OBJECT_CONDITIONS!$AH:$AH,MATCH($A13,OBJECT_CONDITIONS!$A:$A,0))*INDEX(OBJECT_CONDITIONS!$AJ:$AJ,MATCH($A13,OBJECT_CONDITIONS!$A:$A,0))*INDEX(OBJECT_CONDITIONS!$AL:$AL,MATCH($A13,OBJECT_CONDITIONS!$A:$A,0)),1)))</f>
        <v/>
      </c>
      <c r="M13" s="33" t="str">
        <f>IF($B13="","",IF($C13="Work",IFERROR(IF(SUMIFS(WORK_TARIFF_RULES!$F:$F,WORK_TARIFF_RULES!$A:$A,$D13,WORK_TARIFF_RULES!$C:$C,$B13)&lt;&gt;"",SUMIFS(WORK_TARIFF_RULES!$F:$F,WORK_TARIFF_RULES!$A:$A,$D13,WORK_TARIFF_RULES!$C:$C,$B13),SUMIFS(TARIFF_PROFILES!$D:$D,TARIFF_PROFILES!$A:$A,$B13)),1),IF($C13="Material",IFERROR(IF(SUMIFS(MATERIAL_TARIFF_RULES!$E:$E,MATERIAL_TARIFF_RULES!$A:$A,$D13,MATERIAL_TARIFF_RULES!$C:$C,$B13)&lt;&gt;"",SUMIFS(MATERIAL_TARIFF_RULES!$E:$E,MATERIAL_TARIFF_RULES!$A:$A,$D13,MATERIAL_TARIFF_RULES!$C:$C,$B13),SUMIFS(TARIFF_PROFILES!$E:$E,TARIFF_PROFILES!$A:$A,$B13)),1),SUMIFS(TARIFF_PROFILES!$F:$F,TARIFF_PROFILES!$A:$A,$B13))))</f>
        <v/>
      </c>
      <c r="N13" s="33">
        <f>IF($C13="Material",IFERROR(SUMIFS(MATERIAL_MASTER!$P:$P,MATERIAL_MASTER!$A:$A,$D13)*IF(SUMIFS(MATERIAL_TARIFF_RULES!$F:$F,MATERIAL_TARIFF_RULES!$A:$A,$D13,MATERIAL_TARIFF_RULES!$C:$C,$B13)="",SUMIFS(TARIFF_PROFILES!$H:$H,TARIFF_PROFILES!$A:$A,$B13),SUMIFS(MATERIAL_TARIFF_RULES!$F:$F,MATERIAL_TARIFF_RULES!$A:$A,$D13,MATERIAL_TARIFF_RULES!$C:$C,$B13)),1),1)</f>
        <v>1</v>
      </c>
      <c r="O13" s="4" t="str">
        <f t="shared" si="1"/>
        <v/>
      </c>
      <c r="P13" s="4">
        <f t="array" ref="P13">IF(ROW()=2,MAX(0,INDEX(COMMERCIAL_POLICY!$B:$B,MATCH($B13,COMMERCIAL_POLICY!$A:$A,0))-SUM($Q$2:$Q$60)),0)</f>
        <v>0</v>
      </c>
      <c r="Q13" s="28" t="str">
        <f t="array" ref="Q13">IF($C13="","",IF($C13="Material",N($I13)*N($K13)*N($M13)*N($O13),IF($C13="Logistics",INDEX(COMMERCIAL_POLICY!$D:$D,MATCH($B13,COMMERCIAL_POLICY!$A:$A,0))*N($L13),N($I13)*N($J13)*N($K13)*N($L13)*N($M13)*N($G13))))</f>
        <v/>
      </c>
      <c r="R13" s="4" t="str">
        <f t="array" ref="R13">IF($A13="","",INDEX(OBJECT_CONDITIONS!$AM:$AM,MATCH($A13,OBJECT_CONDITIONS!$A:$A,0)))</f>
        <v/>
      </c>
      <c r="S13" s="33" t="str">
        <f t="array" ref="S13">IF($R13="","",INDEX(TAX_MODES!$B:$B,MATCH($R13,TAX_MODES!$A:$A,0)))</f>
        <v/>
      </c>
      <c r="T13" s="28" t="str">
        <f t="shared" si="2"/>
        <v/>
      </c>
      <c r="U13" s="4" t="str">
        <f t="shared" si="3"/>
        <v/>
      </c>
    </row>
    <row r="14" ht="14.25" customHeight="1">
      <c r="A14" s="4"/>
      <c r="B14" s="4"/>
      <c r="C14" s="4"/>
      <c r="D14" s="4"/>
      <c r="E14" s="4"/>
      <c r="F14" s="4" t="str">
        <f>IF($C14="","",IF($C14="Work",IFERROR(IF(SUMIFS(WORK_TARIFF_RULES!$G:$G,WORK_TARIFF_RULES!$A:$A,$D14,WORK_TARIFF_RULES!$C:$C,$B14)&lt;&gt;"",SUMIFS(WORK_TARIFF_RULES!$G:$G,WORK_TARIFF_RULES!$A:$A,$D14,WORK_TARIFF_RULES!$C:$C,$B14),SUMIFS(WORK_MASTER!$C:$C,WORK_MASTER!$A:$A,$D14)),""),IF($C14="Material",IFERROR(IF(SUMIFS(MATERIAL_TARIFF_RULES!$G:$G,MATERIAL_TARIFF_RULES!$A:$A,$D14,MATERIAL_TARIFF_RULES!$C:$C,$B14)&lt;&gt;"",SUMIFS(MATERIAL_TARIFF_RULES!$G:$G,MATERIAL_TARIFF_RULES!$A:$A,$D14,MATERIAL_TARIFF_RULES!$C:$C,$B14),SUMIFS(MATERIAL_VARIANTS!$J:$J,MATERIAL_VARIANTS!$A:$A,$E14)),""),IF($C14="Logistics","Мобилизация и логистика объекта",""))))</f>
        <v/>
      </c>
      <c r="G14" s="4"/>
      <c r="H14" s="4"/>
      <c r="I14" s="33" t="str">
        <f>IF($C14="","",IF($C14="Work",IFERROR(SUMIFS(WORK_MASTER!$I:$I,WORK_MASTER!$A:$A,$D14),0),IF($C14="Material",IFERROR(SUMIFS(MATERIAL_VARIANTS!$I:$I,MATERIAL_VARIANTS!$A:$A,$E14),0),0)))</f>
        <v/>
      </c>
      <c r="J14" s="33" t="str">
        <f>IF($C14="","",IF($C14="Work",IF($E14&lt;&gt;"",IFERROR(SUMIFS(WORK_VARIANTS!$H:$H,WORK_VARIANTS!$A:$A,$E14),1),1),1))</f>
        <v/>
      </c>
      <c r="K14" s="33" t="str">
        <f t="array" ref="K14">IF($C14="","",IF($C14="Work",IFERROR(SUMIFS(WORK_FACTOR_APPLICABILITY!$O:$O,WORK_FACTOR_APPLICABILITY!$A:$A,$D14,WORK_FACTOR_APPLICABILITY!$N:$N,$A14),1),IF($C14="Material",IFERROR(INDEX(MATERIAL_QUANTITY_EXAMPLE!$N:$N,MATCH(1,(MATERIAL_QUANTITY_EXAMPLE!$A:$A=MATERIAL_QUANTITY_EXAMPLE!$A:$A)*(MATERIAL_QUANTITY_EXAMPLE!$B:$B=$A14)*(MATERIAL_QUANTITY_EXAMPLE!$C:$C=$D14),0)),1),1)))</f>
        <v/>
      </c>
      <c r="L14" s="33" t="str">
        <f t="array" ref="L14">IF($A14="","",IF($C14="Material",1,IFERROR(INDEX(OBJECT_CONDITIONS!$AH:$AH,MATCH($A14,OBJECT_CONDITIONS!$A:$A,0))*INDEX(OBJECT_CONDITIONS!$AJ:$AJ,MATCH($A14,OBJECT_CONDITIONS!$A:$A,0))*INDEX(OBJECT_CONDITIONS!$AL:$AL,MATCH($A14,OBJECT_CONDITIONS!$A:$A,0)),1)))</f>
        <v/>
      </c>
      <c r="M14" s="33" t="str">
        <f>IF($B14="","",IF($C14="Work",IFERROR(IF(SUMIFS(WORK_TARIFF_RULES!$F:$F,WORK_TARIFF_RULES!$A:$A,$D14,WORK_TARIFF_RULES!$C:$C,$B14)&lt;&gt;"",SUMIFS(WORK_TARIFF_RULES!$F:$F,WORK_TARIFF_RULES!$A:$A,$D14,WORK_TARIFF_RULES!$C:$C,$B14),SUMIFS(TARIFF_PROFILES!$D:$D,TARIFF_PROFILES!$A:$A,$B14)),1),IF($C14="Material",IFERROR(IF(SUMIFS(MATERIAL_TARIFF_RULES!$E:$E,MATERIAL_TARIFF_RULES!$A:$A,$D14,MATERIAL_TARIFF_RULES!$C:$C,$B14)&lt;&gt;"",SUMIFS(MATERIAL_TARIFF_RULES!$E:$E,MATERIAL_TARIFF_RULES!$A:$A,$D14,MATERIAL_TARIFF_RULES!$C:$C,$B14),SUMIFS(TARIFF_PROFILES!$E:$E,TARIFF_PROFILES!$A:$A,$B14)),1),SUMIFS(TARIFF_PROFILES!$F:$F,TARIFF_PROFILES!$A:$A,$B14))))</f>
        <v/>
      </c>
      <c r="N14" s="33">
        <f>IF($C14="Material",IFERROR(SUMIFS(MATERIAL_MASTER!$P:$P,MATERIAL_MASTER!$A:$A,$D14)*IF(SUMIFS(MATERIAL_TARIFF_RULES!$F:$F,MATERIAL_TARIFF_RULES!$A:$A,$D14,MATERIAL_TARIFF_RULES!$C:$C,$B14)="",SUMIFS(TARIFF_PROFILES!$H:$H,TARIFF_PROFILES!$A:$A,$B14),SUMIFS(MATERIAL_TARIFF_RULES!$F:$F,MATERIAL_TARIFF_RULES!$A:$A,$D14,MATERIAL_TARIFF_RULES!$C:$C,$B14)),1),1)</f>
        <v>1</v>
      </c>
      <c r="O14" s="4" t="str">
        <f t="shared" si="1"/>
        <v/>
      </c>
      <c r="P14" s="4">
        <f t="array" ref="P14">IF(ROW()=2,MAX(0,INDEX(COMMERCIAL_POLICY!$B:$B,MATCH($B14,COMMERCIAL_POLICY!$A:$A,0))-SUM($Q$2:$Q$60)),0)</f>
        <v>0</v>
      </c>
      <c r="Q14" s="28" t="str">
        <f t="array" ref="Q14">IF($C14="","",IF($C14="Material",N($I14)*N($K14)*N($M14)*N($O14),IF($C14="Logistics",INDEX(COMMERCIAL_POLICY!$D:$D,MATCH($B14,COMMERCIAL_POLICY!$A:$A,0))*N($L14),N($I14)*N($J14)*N($K14)*N($L14)*N($M14)*N($G14))))</f>
        <v/>
      </c>
      <c r="R14" s="4" t="str">
        <f t="array" ref="R14">IF($A14="","",INDEX(OBJECT_CONDITIONS!$AM:$AM,MATCH($A14,OBJECT_CONDITIONS!$A:$A,0)))</f>
        <v/>
      </c>
      <c r="S14" s="33" t="str">
        <f t="array" ref="S14">IF($R14="","",INDEX(TAX_MODES!$B:$B,MATCH($R14,TAX_MODES!$A:$A,0)))</f>
        <v/>
      </c>
      <c r="T14" s="28" t="str">
        <f t="shared" si="2"/>
        <v/>
      </c>
      <c r="U14" s="4" t="str">
        <f t="shared" si="3"/>
        <v/>
      </c>
    </row>
    <row r="15" ht="14.25" customHeight="1">
      <c r="A15" s="4"/>
      <c r="B15" s="4"/>
      <c r="C15" s="4"/>
      <c r="D15" s="4"/>
      <c r="E15" s="4"/>
      <c r="F15" s="4" t="str">
        <f>IF($C15="","",IF($C15="Work",IFERROR(IF(SUMIFS(WORK_TARIFF_RULES!$G:$G,WORK_TARIFF_RULES!$A:$A,$D15,WORK_TARIFF_RULES!$C:$C,$B15)&lt;&gt;"",SUMIFS(WORK_TARIFF_RULES!$G:$G,WORK_TARIFF_RULES!$A:$A,$D15,WORK_TARIFF_RULES!$C:$C,$B15),SUMIFS(WORK_MASTER!$C:$C,WORK_MASTER!$A:$A,$D15)),""),IF($C15="Material",IFERROR(IF(SUMIFS(MATERIAL_TARIFF_RULES!$G:$G,MATERIAL_TARIFF_RULES!$A:$A,$D15,MATERIAL_TARIFF_RULES!$C:$C,$B15)&lt;&gt;"",SUMIFS(MATERIAL_TARIFF_RULES!$G:$G,MATERIAL_TARIFF_RULES!$A:$A,$D15,MATERIAL_TARIFF_RULES!$C:$C,$B15),SUMIFS(MATERIAL_VARIANTS!$J:$J,MATERIAL_VARIANTS!$A:$A,$E15)),""),IF($C15="Logistics","Мобилизация и логистика объекта",""))))</f>
        <v/>
      </c>
      <c r="G15" s="4"/>
      <c r="H15" s="4"/>
      <c r="I15" s="33" t="str">
        <f>IF($C15="","",IF($C15="Work",IFERROR(SUMIFS(WORK_MASTER!$I:$I,WORK_MASTER!$A:$A,$D15),0),IF($C15="Material",IFERROR(SUMIFS(MATERIAL_VARIANTS!$I:$I,MATERIAL_VARIANTS!$A:$A,$E15),0),0)))</f>
        <v/>
      </c>
      <c r="J15" s="33" t="str">
        <f>IF($C15="","",IF($C15="Work",IF($E15&lt;&gt;"",IFERROR(SUMIFS(WORK_VARIANTS!$H:$H,WORK_VARIANTS!$A:$A,$E15),1),1),1))</f>
        <v/>
      </c>
      <c r="K15" s="33" t="str">
        <f t="array" ref="K15">IF($C15="","",IF($C15="Work",IFERROR(SUMIFS(WORK_FACTOR_APPLICABILITY!$O:$O,WORK_FACTOR_APPLICABILITY!$A:$A,$D15,WORK_FACTOR_APPLICABILITY!$N:$N,$A15),1),IF($C15="Material",IFERROR(INDEX(MATERIAL_QUANTITY_EXAMPLE!$N:$N,MATCH(1,(MATERIAL_QUANTITY_EXAMPLE!$A:$A=MATERIAL_QUANTITY_EXAMPLE!$A:$A)*(MATERIAL_QUANTITY_EXAMPLE!$B:$B=$A15)*(MATERIAL_QUANTITY_EXAMPLE!$C:$C=$D15),0)),1),1)))</f>
        <v/>
      </c>
      <c r="L15" s="33" t="str">
        <f t="array" ref="L15">IF($A15="","",IF($C15="Material",1,IFERROR(INDEX(OBJECT_CONDITIONS!$AH:$AH,MATCH($A15,OBJECT_CONDITIONS!$A:$A,0))*INDEX(OBJECT_CONDITIONS!$AJ:$AJ,MATCH($A15,OBJECT_CONDITIONS!$A:$A,0))*INDEX(OBJECT_CONDITIONS!$AL:$AL,MATCH($A15,OBJECT_CONDITIONS!$A:$A,0)),1)))</f>
        <v/>
      </c>
      <c r="M15" s="33" t="str">
        <f>IF($B15="","",IF($C15="Work",IFERROR(IF(SUMIFS(WORK_TARIFF_RULES!$F:$F,WORK_TARIFF_RULES!$A:$A,$D15,WORK_TARIFF_RULES!$C:$C,$B15)&lt;&gt;"",SUMIFS(WORK_TARIFF_RULES!$F:$F,WORK_TARIFF_RULES!$A:$A,$D15,WORK_TARIFF_RULES!$C:$C,$B15),SUMIFS(TARIFF_PROFILES!$D:$D,TARIFF_PROFILES!$A:$A,$B15)),1),IF($C15="Material",IFERROR(IF(SUMIFS(MATERIAL_TARIFF_RULES!$E:$E,MATERIAL_TARIFF_RULES!$A:$A,$D15,MATERIAL_TARIFF_RULES!$C:$C,$B15)&lt;&gt;"",SUMIFS(MATERIAL_TARIFF_RULES!$E:$E,MATERIAL_TARIFF_RULES!$A:$A,$D15,MATERIAL_TARIFF_RULES!$C:$C,$B15),SUMIFS(TARIFF_PROFILES!$E:$E,TARIFF_PROFILES!$A:$A,$B15)),1),SUMIFS(TARIFF_PROFILES!$F:$F,TARIFF_PROFILES!$A:$A,$B15))))</f>
        <v/>
      </c>
      <c r="N15" s="33">
        <f>IF($C15="Material",IFERROR(SUMIFS(MATERIAL_MASTER!$P:$P,MATERIAL_MASTER!$A:$A,$D15)*IF(SUMIFS(MATERIAL_TARIFF_RULES!$F:$F,MATERIAL_TARIFF_RULES!$A:$A,$D15,MATERIAL_TARIFF_RULES!$C:$C,$B15)="",SUMIFS(TARIFF_PROFILES!$H:$H,TARIFF_PROFILES!$A:$A,$B15),SUMIFS(MATERIAL_TARIFF_RULES!$F:$F,MATERIAL_TARIFF_RULES!$A:$A,$D15,MATERIAL_TARIFF_RULES!$C:$C,$B15)),1),1)</f>
        <v>1</v>
      </c>
      <c r="O15" s="4" t="str">
        <f t="shared" si="1"/>
        <v/>
      </c>
      <c r="P15" s="4">
        <f t="array" ref="P15">IF(ROW()=2,MAX(0,INDEX(COMMERCIAL_POLICY!$B:$B,MATCH($B15,COMMERCIAL_POLICY!$A:$A,0))-SUM($Q$2:$Q$60)),0)</f>
        <v>0</v>
      </c>
      <c r="Q15" s="28" t="str">
        <f t="array" ref="Q15">IF($C15="","",IF($C15="Material",N($I15)*N($K15)*N($M15)*N($O15),IF($C15="Logistics",INDEX(COMMERCIAL_POLICY!$D:$D,MATCH($B15,COMMERCIAL_POLICY!$A:$A,0))*N($L15),N($I15)*N($J15)*N($K15)*N($L15)*N($M15)*N($G15))))</f>
        <v/>
      </c>
      <c r="R15" s="4" t="str">
        <f t="array" ref="R15">IF($A15="","",INDEX(OBJECT_CONDITIONS!$AM:$AM,MATCH($A15,OBJECT_CONDITIONS!$A:$A,0)))</f>
        <v/>
      </c>
      <c r="S15" s="33" t="str">
        <f t="array" ref="S15">IF($R15="","",INDEX(TAX_MODES!$B:$B,MATCH($R15,TAX_MODES!$A:$A,0)))</f>
        <v/>
      </c>
      <c r="T15" s="28" t="str">
        <f t="shared" si="2"/>
        <v/>
      </c>
      <c r="U15" s="4" t="str">
        <f t="shared" si="3"/>
        <v/>
      </c>
    </row>
    <row r="16" ht="14.25" customHeight="1">
      <c r="A16" s="4"/>
      <c r="B16" s="4"/>
      <c r="C16" s="4"/>
      <c r="D16" s="4"/>
      <c r="E16" s="4"/>
      <c r="F16" s="4" t="str">
        <f>IF($C16="","",IF($C16="Work",IFERROR(IF(SUMIFS(WORK_TARIFF_RULES!$G:$G,WORK_TARIFF_RULES!$A:$A,$D16,WORK_TARIFF_RULES!$C:$C,$B16)&lt;&gt;"",SUMIFS(WORK_TARIFF_RULES!$G:$G,WORK_TARIFF_RULES!$A:$A,$D16,WORK_TARIFF_RULES!$C:$C,$B16),SUMIFS(WORK_MASTER!$C:$C,WORK_MASTER!$A:$A,$D16)),""),IF($C16="Material",IFERROR(IF(SUMIFS(MATERIAL_TARIFF_RULES!$G:$G,MATERIAL_TARIFF_RULES!$A:$A,$D16,MATERIAL_TARIFF_RULES!$C:$C,$B16)&lt;&gt;"",SUMIFS(MATERIAL_TARIFF_RULES!$G:$G,MATERIAL_TARIFF_RULES!$A:$A,$D16,MATERIAL_TARIFF_RULES!$C:$C,$B16),SUMIFS(MATERIAL_VARIANTS!$J:$J,MATERIAL_VARIANTS!$A:$A,$E16)),""),IF($C16="Logistics","Мобилизация и логистика объекта",""))))</f>
        <v/>
      </c>
      <c r="G16" s="4"/>
      <c r="H16" s="4"/>
      <c r="I16" s="33" t="str">
        <f>IF($C16="","",IF($C16="Work",IFERROR(SUMIFS(WORK_MASTER!$I:$I,WORK_MASTER!$A:$A,$D16),0),IF($C16="Material",IFERROR(SUMIFS(MATERIAL_VARIANTS!$I:$I,MATERIAL_VARIANTS!$A:$A,$E16),0),0)))</f>
        <v/>
      </c>
      <c r="J16" s="33" t="str">
        <f>IF($C16="","",IF($C16="Work",IF($E16&lt;&gt;"",IFERROR(SUMIFS(WORK_VARIANTS!$H:$H,WORK_VARIANTS!$A:$A,$E16),1),1),1))</f>
        <v/>
      </c>
      <c r="K16" s="33" t="str">
        <f t="array" ref="K16">IF($C16="","",IF($C16="Work",IFERROR(SUMIFS(WORK_FACTOR_APPLICABILITY!$O:$O,WORK_FACTOR_APPLICABILITY!$A:$A,$D16,WORK_FACTOR_APPLICABILITY!$N:$N,$A16),1),IF($C16="Material",IFERROR(INDEX(MATERIAL_QUANTITY_EXAMPLE!$N:$N,MATCH(1,(MATERIAL_QUANTITY_EXAMPLE!$A:$A=MATERIAL_QUANTITY_EXAMPLE!$A:$A)*(MATERIAL_QUANTITY_EXAMPLE!$B:$B=$A16)*(MATERIAL_QUANTITY_EXAMPLE!$C:$C=$D16),0)),1),1)))</f>
        <v/>
      </c>
      <c r="L16" s="33" t="str">
        <f t="array" ref="L16">IF($A16="","",IF($C16="Material",1,IFERROR(INDEX(OBJECT_CONDITIONS!$AH:$AH,MATCH($A16,OBJECT_CONDITIONS!$A:$A,0))*INDEX(OBJECT_CONDITIONS!$AJ:$AJ,MATCH($A16,OBJECT_CONDITIONS!$A:$A,0))*INDEX(OBJECT_CONDITIONS!$AL:$AL,MATCH($A16,OBJECT_CONDITIONS!$A:$A,0)),1)))</f>
        <v/>
      </c>
      <c r="M16" s="33" t="str">
        <f>IF($B16="","",IF($C16="Work",IFERROR(IF(SUMIFS(WORK_TARIFF_RULES!$F:$F,WORK_TARIFF_RULES!$A:$A,$D16,WORK_TARIFF_RULES!$C:$C,$B16)&lt;&gt;"",SUMIFS(WORK_TARIFF_RULES!$F:$F,WORK_TARIFF_RULES!$A:$A,$D16,WORK_TARIFF_RULES!$C:$C,$B16),SUMIFS(TARIFF_PROFILES!$D:$D,TARIFF_PROFILES!$A:$A,$B16)),1),IF($C16="Material",IFERROR(IF(SUMIFS(MATERIAL_TARIFF_RULES!$E:$E,MATERIAL_TARIFF_RULES!$A:$A,$D16,MATERIAL_TARIFF_RULES!$C:$C,$B16)&lt;&gt;"",SUMIFS(MATERIAL_TARIFF_RULES!$E:$E,MATERIAL_TARIFF_RULES!$A:$A,$D16,MATERIAL_TARIFF_RULES!$C:$C,$B16),SUMIFS(TARIFF_PROFILES!$E:$E,TARIFF_PROFILES!$A:$A,$B16)),1),SUMIFS(TARIFF_PROFILES!$F:$F,TARIFF_PROFILES!$A:$A,$B16))))</f>
        <v/>
      </c>
      <c r="N16" s="33">
        <f>IF($C16="Material",IFERROR(SUMIFS(MATERIAL_MASTER!$P:$P,MATERIAL_MASTER!$A:$A,$D16)*IF(SUMIFS(MATERIAL_TARIFF_RULES!$F:$F,MATERIAL_TARIFF_RULES!$A:$A,$D16,MATERIAL_TARIFF_RULES!$C:$C,$B16)="",SUMIFS(TARIFF_PROFILES!$H:$H,TARIFF_PROFILES!$A:$A,$B16),SUMIFS(MATERIAL_TARIFF_RULES!$F:$F,MATERIAL_TARIFF_RULES!$A:$A,$D16,MATERIAL_TARIFF_RULES!$C:$C,$B16)),1),1)</f>
        <v>1</v>
      </c>
      <c r="O16" s="4" t="str">
        <f t="shared" si="1"/>
        <v/>
      </c>
      <c r="P16" s="4">
        <f t="array" ref="P16">IF(ROW()=2,MAX(0,INDEX(COMMERCIAL_POLICY!$B:$B,MATCH($B16,COMMERCIAL_POLICY!$A:$A,0))-SUM($Q$2:$Q$60)),0)</f>
        <v>0</v>
      </c>
      <c r="Q16" s="28" t="str">
        <f t="array" ref="Q16">IF($C16="","",IF($C16="Material",N($I16)*N($K16)*N($M16)*N($O16),IF($C16="Logistics",INDEX(COMMERCIAL_POLICY!$D:$D,MATCH($B16,COMMERCIAL_POLICY!$A:$A,0))*N($L16),N($I16)*N($J16)*N($K16)*N($L16)*N($M16)*N($G16))))</f>
        <v/>
      </c>
      <c r="R16" s="4" t="str">
        <f t="array" ref="R16">IF($A16="","",INDEX(OBJECT_CONDITIONS!$AM:$AM,MATCH($A16,OBJECT_CONDITIONS!$A:$A,0)))</f>
        <v/>
      </c>
      <c r="S16" s="33" t="str">
        <f t="array" ref="S16">IF($R16="","",INDEX(TAX_MODES!$B:$B,MATCH($R16,TAX_MODES!$A:$A,0)))</f>
        <v/>
      </c>
      <c r="T16" s="28" t="str">
        <f t="shared" si="2"/>
        <v/>
      </c>
      <c r="U16" s="4" t="str">
        <f t="shared" si="3"/>
        <v/>
      </c>
    </row>
    <row r="17" ht="14.25" customHeight="1">
      <c r="A17" s="4"/>
      <c r="B17" s="4"/>
      <c r="C17" s="4"/>
      <c r="D17" s="4"/>
      <c r="E17" s="4"/>
      <c r="F17" s="4" t="str">
        <f>IF($C17="","",IF($C17="Work",IFERROR(IF(SUMIFS(WORK_TARIFF_RULES!$G:$G,WORK_TARIFF_RULES!$A:$A,$D17,WORK_TARIFF_RULES!$C:$C,$B17)&lt;&gt;"",SUMIFS(WORK_TARIFF_RULES!$G:$G,WORK_TARIFF_RULES!$A:$A,$D17,WORK_TARIFF_RULES!$C:$C,$B17),SUMIFS(WORK_MASTER!$C:$C,WORK_MASTER!$A:$A,$D17)),""),IF($C17="Material",IFERROR(IF(SUMIFS(MATERIAL_TARIFF_RULES!$G:$G,MATERIAL_TARIFF_RULES!$A:$A,$D17,MATERIAL_TARIFF_RULES!$C:$C,$B17)&lt;&gt;"",SUMIFS(MATERIAL_TARIFF_RULES!$G:$G,MATERIAL_TARIFF_RULES!$A:$A,$D17,MATERIAL_TARIFF_RULES!$C:$C,$B17),SUMIFS(MATERIAL_VARIANTS!$J:$J,MATERIAL_VARIANTS!$A:$A,$E17)),""),IF($C17="Logistics","Мобилизация и логистика объекта",""))))</f>
        <v/>
      </c>
      <c r="G17" s="4"/>
      <c r="H17" s="4"/>
      <c r="I17" s="33" t="str">
        <f>IF($C17="","",IF($C17="Work",IFERROR(SUMIFS(WORK_MASTER!$I:$I,WORK_MASTER!$A:$A,$D17),0),IF($C17="Material",IFERROR(SUMIFS(MATERIAL_VARIANTS!$I:$I,MATERIAL_VARIANTS!$A:$A,$E17),0),0)))</f>
        <v/>
      </c>
      <c r="J17" s="33" t="str">
        <f>IF($C17="","",IF($C17="Work",IF($E17&lt;&gt;"",IFERROR(SUMIFS(WORK_VARIANTS!$H:$H,WORK_VARIANTS!$A:$A,$E17),1),1),1))</f>
        <v/>
      </c>
      <c r="K17" s="33" t="str">
        <f t="array" ref="K17">IF($C17="","",IF($C17="Work",IFERROR(SUMIFS(WORK_FACTOR_APPLICABILITY!$O:$O,WORK_FACTOR_APPLICABILITY!$A:$A,$D17,WORK_FACTOR_APPLICABILITY!$N:$N,$A17),1),IF($C17="Material",IFERROR(INDEX(MATERIAL_QUANTITY_EXAMPLE!$N:$N,MATCH(1,(MATERIAL_QUANTITY_EXAMPLE!$A:$A=MATERIAL_QUANTITY_EXAMPLE!$A:$A)*(MATERIAL_QUANTITY_EXAMPLE!$B:$B=$A17)*(MATERIAL_QUANTITY_EXAMPLE!$C:$C=$D17),0)),1),1)))</f>
        <v/>
      </c>
      <c r="L17" s="33" t="str">
        <f t="array" ref="L17">IF($A17="","",IF($C17="Material",1,IFERROR(INDEX(OBJECT_CONDITIONS!$AH:$AH,MATCH($A17,OBJECT_CONDITIONS!$A:$A,0))*INDEX(OBJECT_CONDITIONS!$AJ:$AJ,MATCH($A17,OBJECT_CONDITIONS!$A:$A,0))*INDEX(OBJECT_CONDITIONS!$AL:$AL,MATCH($A17,OBJECT_CONDITIONS!$A:$A,0)),1)))</f>
        <v/>
      </c>
      <c r="M17" s="33" t="str">
        <f>IF($B17="","",IF($C17="Work",IFERROR(IF(SUMIFS(WORK_TARIFF_RULES!$F:$F,WORK_TARIFF_RULES!$A:$A,$D17,WORK_TARIFF_RULES!$C:$C,$B17)&lt;&gt;"",SUMIFS(WORK_TARIFF_RULES!$F:$F,WORK_TARIFF_RULES!$A:$A,$D17,WORK_TARIFF_RULES!$C:$C,$B17),SUMIFS(TARIFF_PROFILES!$D:$D,TARIFF_PROFILES!$A:$A,$B17)),1),IF($C17="Material",IFERROR(IF(SUMIFS(MATERIAL_TARIFF_RULES!$E:$E,MATERIAL_TARIFF_RULES!$A:$A,$D17,MATERIAL_TARIFF_RULES!$C:$C,$B17)&lt;&gt;"",SUMIFS(MATERIAL_TARIFF_RULES!$E:$E,MATERIAL_TARIFF_RULES!$A:$A,$D17,MATERIAL_TARIFF_RULES!$C:$C,$B17),SUMIFS(TARIFF_PROFILES!$E:$E,TARIFF_PROFILES!$A:$A,$B17)),1),SUMIFS(TARIFF_PROFILES!$F:$F,TARIFF_PROFILES!$A:$A,$B17))))</f>
        <v/>
      </c>
      <c r="N17" s="33">
        <f>IF($C17="Material",IFERROR(SUMIFS(MATERIAL_MASTER!$P:$P,MATERIAL_MASTER!$A:$A,$D17)*IF(SUMIFS(MATERIAL_TARIFF_RULES!$F:$F,MATERIAL_TARIFF_RULES!$A:$A,$D17,MATERIAL_TARIFF_RULES!$C:$C,$B17)="",SUMIFS(TARIFF_PROFILES!$H:$H,TARIFF_PROFILES!$A:$A,$B17),SUMIFS(MATERIAL_TARIFF_RULES!$F:$F,MATERIAL_TARIFF_RULES!$A:$A,$D17,MATERIAL_TARIFF_RULES!$C:$C,$B17)),1),1)</f>
        <v>1</v>
      </c>
      <c r="O17" s="4" t="str">
        <f t="shared" si="1"/>
        <v/>
      </c>
      <c r="P17" s="4">
        <f t="array" ref="P17">IF(ROW()=2,MAX(0,INDEX(COMMERCIAL_POLICY!$B:$B,MATCH($B17,COMMERCIAL_POLICY!$A:$A,0))-SUM($Q$2:$Q$60)),0)</f>
        <v>0</v>
      </c>
      <c r="Q17" s="28" t="str">
        <f t="array" ref="Q17">IF($C17="","",IF($C17="Material",N($I17)*N($K17)*N($M17)*N($O17),IF($C17="Logistics",INDEX(COMMERCIAL_POLICY!$D:$D,MATCH($B17,COMMERCIAL_POLICY!$A:$A,0))*N($L17),N($I17)*N($J17)*N($K17)*N($L17)*N($M17)*N($G17))))</f>
        <v/>
      </c>
      <c r="R17" s="4" t="str">
        <f t="array" ref="R17">IF($A17="","",INDEX(OBJECT_CONDITIONS!$AM:$AM,MATCH($A17,OBJECT_CONDITIONS!$A:$A,0)))</f>
        <v/>
      </c>
      <c r="S17" s="33" t="str">
        <f t="array" ref="S17">IF($R17="","",INDEX(TAX_MODES!$B:$B,MATCH($R17,TAX_MODES!$A:$A,0)))</f>
        <v/>
      </c>
      <c r="T17" s="28" t="str">
        <f t="shared" si="2"/>
        <v/>
      </c>
      <c r="U17" s="4" t="str">
        <f t="shared" si="3"/>
        <v/>
      </c>
    </row>
    <row r="18" ht="14.25" customHeight="1">
      <c r="A18" s="4"/>
      <c r="B18" s="4"/>
      <c r="C18" s="4"/>
      <c r="D18" s="4"/>
      <c r="E18" s="4"/>
      <c r="F18" s="4" t="str">
        <f>IF($C18="","",IF($C18="Work",IFERROR(IF(SUMIFS(WORK_TARIFF_RULES!$G:$G,WORK_TARIFF_RULES!$A:$A,$D18,WORK_TARIFF_RULES!$C:$C,$B18)&lt;&gt;"",SUMIFS(WORK_TARIFF_RULES!$G:$G,WORK_TARIFF_RULES!$A:$A,$D18,WORK_TARIFF_RULES!$C:$C,$B18),SUMIFS(WORK_MASTER!$C:$C,WORK_MASTER!$A:$A,$D18)),""),IF($C18="Material",IFERROR(IF(SUMIFS(MATERIAL_TARIFF_RULES!$G:$G,MATERIAL_TARIFF_RULES!$A:$A,$D18,MATERIAL_TARIFF_RULES!$C:$C,$B18)&lt;&gt;"",SUMIFS(MATERIAL_TARIFF_RULES!$G:$G,MATERIAL_TARIFF_RULES!$A:$A,$D18,MATERIAL_TARIFF_RULES!$C:$C,$B18),SUMIFS(MATERIAL_VARIANTS!$J:$J,MATERIAL_VARIANTS!$A:$A,$E18)),""),IF($C18="Logistics","Мобилизация и логистика объекта",""))))</f>
        <v/>
      </c>
      <c r="G18" s="4"/>
      <c r="H18" s="4"/>
      <c r="I18" s="33" t="str">
        <f>IF($C18="","",IF($C18="Work",IFERROR(SUMIFS(WORK_MASTER!$I:$I,WORK_MASTER!$A:$A,$D18),0),IF($C18="Material",IFERROR(SUMIFS(MATERIAL_VARIANTS!$I:$I,MATERIAL_VARIANTS!$A:$A,$E18),0),0)))</f>
        <v/>
      </c>
      <c r="J18" s="33" t="str">
        <f>IF($C18="","",IF($C18="Work",IF($E18&lt;&gt;"",IFERROR(SUMIFS(WORK_VARIANTS!$H:$H,WORK_VARIANTS!$A:$A,$E18),1),1),1))</f>
        <v/>
      </c>
      <c r="K18" s="33" t="str">
        <f t="array" ref="K18">IF($C18="","",IF($C18="Work",IFERROR(SUMIFS(WORK_FACTOR_APPLICABILITY!$O:$O,WORK_FACTOR_APPLICABILITY!$A:$A,$D18,WORK_FACTOR_APPLICABILITY!$N:$N,$A18),1),IF($C18="Material",IFERROR(INDEX(MATERIAL_QUANTITY_EXAMPLE!$N:$N,MATCH(1,(MATERIAL_QUANTITY_EXAMPLE!$A:$A=MATERIAL_QUANTITY_EXAMPLE!$A:$A)*(MATERIAL_QUANTITY_EXAMPLE!$B:$B=$A18)*(MATERIAL_QUANTITY_EXAMPLE!$C:$C=$D18),0)),1),1)))</f>
        <v/>
      </c>
      <c r="L18" s="33" t="str">
        <f t="array" ref="L18">IF($A18="","",IF($C18="Material",1,IFERROR(INDEX(OBJECT_CONDITIONS!$AH:$AH,MATCH($A18,OBJECT_CONDITIONS!$A:$A,0))*INDEX(OBJECT_CONDITIONS!$AJ:$AJ,MATCH($A18,OBJECT_CONDITIONS!$A:$A,0))*INDEX(OBJECT_CONDITIONS!$AL:$AL,MATCH($A18,OBJECT_CONDITIONS!$A:$A,0)),1)))</f>
        <v/>
      </c>
      <c r="M18" s="33" t="str">
        <f>IF($B18="","",IF($C18="Work",IFERROR(IF(SUMIFS(WORK_TARIFF_RULES!$F:$F,WORK_TARIFF_RULES!$A:$A,$D18,WORK_TARIFF_RULES!$C:$C,$B18)&lt;&gt;"",SUMIFS(WORK_TARIFF_RULES!$F:$F,WORK_TARIFF_RULES!$A:$A,$D18,WORK_TARIFF_RULES!$C:$C,$B18),SUMIFS(TARIFF_PROFILES!$D:$D,TARIFF_PROFILES!$A:$A,$B18)),1),IF($C18="Material",IFERROR(IF(SUMIFS(MATERIAL_TARIFF_RULES!$E:$E,MATERIAL_TARIFF_RULES!$A:$A,$D18,MATERIAL_TARIFF_RULES!$C:$C,$B18)&lt;&gt;"",SUMIFS(MATERIAL_TARIFF_RULES!$E:$E,MATERIAL_TARIFF_RULES!$A:$A,$D18,MATERIAL_TARIFF_RULES!$C:$C,$B18),SUMIFS(TARIFF_PROFILES!$E:$E,TARIFF_PROFILES!$A:$A,$B18)),1),SUMIFS(TARIFF_PROFILES!$F:$F,TARIFF_PROFILES!$A:$A,$B18))))</f>
        <v/>
      </c>
      <c r="N18" s="33">
        <f>IF($C18="Material",IFERROR(SUMIFS(MATERIAL_MASTER!$P:$P,MATERIAL_MASTER!$A:$A,$D18)*IF(SUMIFS(MATERIAL_TARIFF_RULES!$F:$F,MATERIAL_TARIFF_RULES!$A:$A,$D18,MATERIAL_TARIFF_RULES!$C:$C,$B18)="",SUMIFS(TARIFF_PROFILES!$H:$H,TARIFF_PROFILES!$A:$A,$B18),SUMIFS(MATERIAL_TARIFF_RULES!$F:$F,MATERIAL_TARIFF_RULES!$A:$A,$D18,MATERIAL_TARIFF_RULES!$C:$C,$B18)),1),1)</f>
        <v>1</v>
      </c>
      <c r="O18" s="4" t="str">
        <f t="shared" si="1"/>
        <v/>
      </c>
      <c r="P18" s="4">
        <f t="array" ref="P18">IF(ROW()=2,MAX(0,INDEX(COMMERCIAL_POLICY!$B:$B,MATCH($B18,COMMERCIAL_POLICY!$A:$A,0))-SUM($Q$2:$Q$60)),0)</f>
        <v>0</v>
      </c>
      <c r="Q18" s="28" t="str">
        <f t="array" ref="Q18">IF($C18="","",IF($C18="Material",N($I18)*N($K18)*N($M18)*N($O18),IF($C18="Logistics",INDEX(COMMERCIAL_POLICY!$D:$D,MATCH($B18,COMMERCIAL_POLICY!$A:$A,0))*N($L18),N($I18)*N($J18)*N($K18)*N($L18)*N($M18)*N($G18))))</f>
        <v/>
      </c>
      <c r="R18" s="4" t="str">
        <f t="array" ref="R18">IF($A18="","",INDEX(OBJECT_CONDITIONS!$AM:$AM,MATCH($A18,OBJECT_CONDITIONS!$A:$A,0)))</f>
        <v/>
      </c>
      <c r="S18" s="33" t="str">
        <f t="array" ref="S18">IF($R18="","",INDEX(TAX_MODES!$B:$B,MATCH($R18,TAX_MODES!$A:$A,0)))</f>
        <v/>
      </c>
      <c r="T18" s="28" t="str">
        <f t="shared" si="2"/>
        <v/>
      </c>
      <c r="U18" s="4" t="str">
        <f t="shared" si="3"/>
        <v/>
      </c>
    </row>
    <row r="19" ht="14.25" customHeight="1">
      <c r="A19" s="4"/>
      <c r="B19" s="4"/>
      <c r="C19" s="4"/>
      <c r="D19" s="4"/>
      <c r="E19" s="4"/>
      <c r="F19" s="4" t="str">
        <f>IF($C19="","",IF($C19="Work",IFERROR(IF(SUMIFS(WORK_TARIFF_RULES!$G:$G,WORK_TARIFF_RULES!$A:$A,$D19,WORK_TARIFF_RULES!$C:$C,$B19)&lt;&gt;"",SUMIFS(WORK_TARIFF_RULES!$G:$G,WORK_TARIFF_RULES!$A:$A,$D19,WORK_TARIFF_RULES!$C:$C,$B19),SUMIFS(WORK_MASTER!$C:$C,WORK_MASTER!$A:$A,$D19)),""),IF($C19="Material",IFERROR(IF(SUMIFS(MATERIAL_TARIFF_RULES!$G:$G,MATERIAL_TARIFF_RULES!$A:$A,$D19,MATERIAL_TARIFF_RULES!$C:$C,$B19)&lt;&gt;"",SUMIFS(MATERIAL_TARIFF_RULES!$G:$G,MATERIAL_TARIFF_RULES!$A:$A,$D19,MATERIAL_TARIFF_RULES!$C:$C,$B19),SUMIFS(MATERIAL_VARIANTS!$J:$J,MATERIAL_VARIANTS!$A:$A,$E19)),""),IF($C19="Logistics","Мобилизация и логистика объекта",""))))</f>
        <v/>
      </c>
      <c r="G19" s="4"/>
      <c r="H19" s="4"/>
      <c r="I19" s="33" t="str">
        <f>IF($C19="","",IF($C19="Work",IFERROR(SUMIFS(WORK_MASTER!$I:$I,WORK_MASTER!$A:$A,$D19),0),IF($C19="Material",IFERROR(SUMIFS(MATERIAL_VARIANTS!$I:$I,MATERIAL_VARIANTS!$A:$A,$E19),0),0)))</f>
        <v/>
      </c>
      <c r="J19" s="33" t="str">
        <f>IF($C19="","",IF($C19="Work",IF($E19&lt;&gt;"",IFERROR(SUMIFS(WORK_VARIANTS!$H:$H,WORK_VARIANTS!$A:$A,$E19),1),1),1))</f>
        <v/>
      </c>
      <c r="K19" s="33" t="str">
        <f t="array" ref="K19">IF($C19="","",IF($C19="Work",IFERROR(SUMIFS(WORK_FACTOR_APPLICABILITY!$O:$O,WORK_FACTOR_APPLICABILITY!$A:$A,$D19,WORK_FACTOR_APPLICABILITY!$N:$N,$A19),1),IF($C19="Material",IFERROR(INDEX(MATERIAL_QUANTITY_EXAMPLE!$N:$N,MATCH(1,(MATERIAL_QUANTITY_EXAMPLE!$A:$A=MATERIAL_QUANTITY_EXAMPLE!$A:$A)*(MATERIAL_QUANTITY_EXAMPLE!$B:$B=$A19)*(MATERIAL_QUANTITY_EXAMPLE!$C:$C=$D19),0)),1),1)))</f>
        <v/>
      </c>
      <c r="L19" s="33" t="str">
        <f t="array" ref="L19">IF($A19="","",IF($C19="Material",1,IFERROR(INDEX(OBJECT_CONDITIONS!$AH:$AH,MATCH($A19,OBJECT_CONDITIONS!$A:$A,0))*INDEX(OBJECT_CONDITIONS!$AJ:$AJ,MATCH($A19,OBJECT_CONDITIONS!$A:$A,0))*INDEX(OBJECT_CONDITIONS!$AL:$AL,MATCH($A19,OBJECT_CONDITIONS!$A:$A,0)),1)))</f>
        <v/>
      </c>
      <c r="M19" s="33" t="str">
        <f>IF($B19="","",IF($C19="Work",IFERROR(IF(SUMIFS(WORK_TARIFF_RULES!$F:$F,WORK_TARIFF_RULES!$A:$A,$D19,WORK_TARIFF_RULES!$C:$C,$B19)&lt;&gt;"",SUMIFS(WORK_TARIFF_RULES!$F:$F,WORK_TARIFF_RULES!$A:$A,$D19,WORK_TARIFF_RULES!$C:$C,$B19),SUMIFS(TARIFF_PROFILES!$D:$D,TARIFF_PROFILES!$A:$A,$B19)),1),IF($C19="Material",IFERROR(IF(SUMIFS(MATERIAL_TARIFF_RULES!$E:$E,MATERIAL_TARIFF_RULES!$A:$A,$D19,MATERIAL_TARIFF_RULES!$C:$C,$B19)&lt;&gt;"",SUMIFS(MATERIAL_TARIFF_RULES!$E:$E,MATERIAL_TARIFF_RULES!$A:$A,$D19,MATERIAL_TARIFF_RULES!$C:$C,$B19),SUMIFS(TARIFF_PROFILES!$E:$E,TARIFF_PROFILES!$A:$A,$B19)),1),SUMIFS(TARIFF_PROFILES!$F:$F,TARIFF_PROFILES!$A:$A,$B19))))</f>
        <v/>
      </c>
      <c r="N19" s="33">
        <f>IF($C19="Material",IFERROR(SUMIFS(MATERIAL_MASTER!$P:$P,MATERIAL_MASTER!$A:$A,$D19)*IF(SUMIFS(MATERIAL_TARIFF_RULES!$F:$F,MATERIAL_TARIFF_RULES!$A:$A,$D19,MATERIAL_TARIFF_RULES!$C:$C,$B19)="",SUMIFS(TARIFF_PROFILES!$H:$H,TARIFF_PROFILES!$A:$A,$B19),SUMIFS(MATERIAL_TARIFF_RULES!$F:$F,MATERIAL_TARIFF_RULES!$A:$A,$D19,MATERIAL_TARIFF_RULES!$C:$C,$B19)),1),1)</f>
        <v>1</v>
      </c>
      <c r="O19" s="4" t="str">
        <f t="shared" si="1"/>
        <v/>
      </c>
      <c r="P19" s="4">
        <f t="array" ref="P19">IF(ROW()=2,MAX(0,INDEX(COMMERCIAL_POLICY!$B:$B,MATCH($B19,COMMERCIAL_POLICY!$A:$A,0))-SUM($Q$2:$Q$60)),0)</f>
        <v>0</v>
      </c>
      <c r="Q19" s="28" t="str">
        <f t="array" ref="Q19">IF($C19="","",IF($C19="Material",N($I19)*N($K19)*N($M19)*N($O19),IF($C19="Logistics",INDEX(COMMERCIAL_POLICY!$D:$D,MATCH($B19,COMMERCIAL_POLICY!$A:$A,0))*N($L19),N($I19)*N($J19)*N($K19)*N($L19)*N($M19)*N($G19))))</f>
        <v/>
      </c>
      <c r="R19" s="4" t="str">
        <f t="array" ref="R19">IF($A19="","",INDEX(OBJECT_CONDITIONS!$AM:$AM,MATCH($A19,OBJECT_CONDITIONS!$A:$A,0)))</f>
        <v/>
      </c>
      <c r="S19" s="33" t="str">
        <f t="array" ref="S19">IF($R19="","",INDEX(TAX_MODES!$B:$B,MATCH($R19,TAX_MODES!$A:$A,0)))</f>
        <v/>
      </c>
      <c r="T19" s="28" t="str">
        <f t="shared" si="2"/>
        <v/>
      </c>
      <c r="U19" s="4" t="str">
        <f t="shared" si="3"/>
        <v/>
      </c>
    </row>
    <row r="20" ht="14.25" customHeight="1">
      <c r="A20" s="4"/>
      <c r="B20" s="4"/>
      <c r="C20" s="4"/>
      <c r="D20" s="4"/>
      <c r="E20" s="4"/>
      <c r="F20" s="4" t="str">
        <f>IF($C20="","",IF($C20="Work",IFERROR(IF(SUMIFS(WORK_TARIFF_RULES!$G:$G,WORK_TARIFF_RULES!$A:$A,$D20,WORK_TARIFF_RULES!$C:$C,$B20)&lt;&gt;"",SUMIFS(WORK_TARIFF_RULES!$G:$G,WORK_TARIFF_RULES!$A:$A,$D20,WORK_TARIFF_RULES!$C:$C,$B20),SUMIFS(WORK_MASTER!$C:$C,WORK_MASTER!$A:$A,$D20)),""),IF($C20="Material",IFERROR(IF(SUMIFS(MATERIAL_TARIFF_RULES!$G:$G,MATERIAL_TARIFF_RULES!$A:$A,$D20,MATERIAL_TARIFF_RULES!$C:$C,$B20)&lt;&gt;"",SUMIFS(MATERIAL_TARIFF_RULES!$G:$G,MATERIAL_TARIFF_RULES!$A:$A,$D20,MATERIAL_TARIFF_RULES!$C:$C,$B20),SUMIFS(MATERIAL_VARIANTS!$J:$J,MATERIAL_VARIANTS!$A:$A,$E20)),""),IF($C20="Logistics","Мобилизация и логистика объекта",""))))</f>
        <v/>
      </c>
      <c r="G20" s="4"/>
      <c r="H20" s="4"/>
      <c r="I20" s="33" t="str">
        <f>IF($C20="","",IF($C20="Work",IFERROR(SUMIFS(WORK_MASTER!$I:$I,WORK_MASTER!$A:$A,$D20),0),IF($C20="Material",IFERROR(SUMIFS(MATERIAL_VARIANTS!$I:$I,MATERIAL_VARIANTS!$A:$A,$E20),0),0)))</f>
        <v/>
      </c>
      <c r="J20" s="33" t="str">
        <f>IF($C20="","",IF($C20="Work",IF($E20&lt;&gt;"",IFERROR(SUMIFS(WORK_VARIANTS!$H:$H,WORK_VARIANTS!$A:$A,$E20),1),1),1))</f>
        <v/>
      </c>
      <c r="K20" s="33" t="str">
        <f t="array" ref="K20">IF($C20="","",IF($C20="Work",IFERROR(SUMIFS(WORK_FACTOR_APPLICABILITY!$O:$O,WORK_FACTOR_APPLICABILITY!$A:$A,$D20,WORK_FACTOR_APPLICABILITY!$N:$N,$A20),1),IF($C20="Material",IFERROR(INDEX(MATERIAL_QUANTITY_EXAMPLE!$N:$N,MATCH(1,(MATERIAL_QUANTITY_EXAMPLE!$A:$A=MATERIAL_QUANTITY_EXAMPLE!$A:$A)*(MATERIAL_QUANTITY_EXAMPLE!$B:$B=$A20)*(MATERIAL_QUANTITY_EXAMPLE!$C:$C=$D20),0)),1),1)))</f>
        <v/>
      </c>
      <c r="L20" s="33" t="str">
        <f t="array" ref="L20">IF($A20="","",IF($C20="Material",1,IFERROR(INDEX(OBJECT_CONDITIONS!$AH:$AH,MATCH($A20,OBJECT_CONDITIONS!$A:$A,0))*INDEX(OBJECT_CONDITIONS!$AJ:$AJ,MATCH($A20,OBJECT_CONDITIONS!$A:$A,0))*INDEX(OBJECT_CONDITIONS!$AL:$AL,MATCH($A20,OBJECT_CONDITIONS!$A:$A,0)),1)))</f>
        <v/>
      </c>
      <c r="M20" s="33" t="str">
        <f>IF($B20="","",IF($C20="Work",IFERROR(IF(SUMIFS(WORK_TARIFF_RULES!$F:$F,WORK_TARIFF_RULES!$A:$A,$D20,WORK_TARIFF_RULES!$C:$C,$B20)&lt;&gt;"",SUMIFS(WORK_TARIFF_RULES!$F:$F,WORK_TARIFF_RULES!$A:$A,$D20,WORK_TARIFF_RULES!$C:$C,$B20),SUMIFS(TARIFF_PROFILES!$D:$D,TARIFF_PROFILES!$A:$A,$B20)),1),IF($C20="Material",IFERROR(IF(SUMIFS(MATERIAL_TARIFF_RULES!$E:$E,MATERIAL_TARIFF_RULES!$A:$A,$D20,MATERIAL_TARIFF_RULES!$C:$C,$B20)&lt;&gt;"",SUMIFS(MATERIAL_TARIFF_RULES!$E:$E,MATERIAL_TARIFF_RULES!$A:$A,$D20,MATERIAL_TARIFF_RULES!$C:$C,$B20),SUMIFS(TARIFF_PROFILES!$E:$E,TARIFF_PROFILES!$A:$A,$B20)),1),SUMIFS(TARIFF_PROFILES!$F:$F,TARIFF_PROFILES!$A:$A,$B20))))</f>
        <v/>
      </c>
      <c r="N20" s="33">
        <f>IF($C20="Material",IFERROR(SUMIFS(MATERIAL_MASTER!$P:$P,MATERIAL_MASTER!$A:$A,$D20)*IF(SUMIFS(MATERIAL_TARIFF_RULES!$F:$F,MATERIAL_TARIFF_RULES!$A:$A,$D20,MATERIAL_TARIFF_RULES!$C:$C,$B20)="",SUMIFS(TARIFF_PROFILES!$H:$H,TARIFF_PROFILES!$A:$A,$B20),SUMIFS(MATERIAL_TARIFF_RULES!$F:$F,MATERIAL_TARIFF_RULES!$A:$A,$D20,MATERIAL_TARIFF_RULES!$C:$C,$B20)),1),1)</f>
        <v>1</v>
      </c>
      <c r="O20" s="4" t="str">
        <f t="shared" si="1"/>
        <v/>
      </c>
      <c r="P20" s="4">
        <f t="array" ref="P20">IF(ROW()=2,MAX(0,INDEX(COMMERCIAL_POLICY!$B:$B,MATCH($B20,COMMERCIAL_POLICY!$A:$A,0))-SUM($Q$2:$Q$60)),0)</f>
        <v>0</v>
      </c>
      <c r="Q20" s="28" t="str">
        <f t="array" ref="Q20">IF($C20="","",IF($C20="Material",N($I20)*N($K20)*N($M20)*N($O20),IF($C20="Logistics",INDEX(COMMERCIAL_POLICY!$D:$D,MATCH($B20,COMMERCIAL_POLICY!$A:$A,0))*N($L20),N($I20)*N($J20)*N($K20)*N($L20)*N($M20)*N($G20))))</f>
        <v/>
      </c>
      <c r="R20" s="4" t="str">
        <f t="array" ref="R20">IF($A20="","",INDEX(OBJECT_CONDITIONS!$AM:$AM,MATCH($A20,OBJECT_CONDITIONS!$A:$A,0)))</f>
        <v/>
      </c>
      <c r="S20" s="33" t="str">
        <f t="array" ref="S20">IF($R20="","",INDEX(TAX_MODES!$B:$B,MATCH($R20,TAX_MODES!$A:$A,0)))</f>
        <v/>
      </c>
      <c r="T20" s="28" t="str">
        <f t="shared" si="2"/>
        <v/>
      </c>
      <c r="U20" s="4" t="str">
        <f t="shared" si="3"/>
        <v/>
      </c>
    </row>
    <row r="21" ht="14.25" customHeight="1">
      <c r="A21" s="4"/>
      <c r="B21" s="4"/>
      <c r="C21" s="4"/>
      <c r="D21" s="4"/>
      <c r="E21" s="4"/>
      <c r="F21" s="4" t="str">
        <f>IF($C21="","",IF($C21="Work",IFERROR(IF(SUMIFS(WORK_TARIFF_RULES!$G:$G,WORK_TARIFF_RULES!$A:$A,$D21,WORK_TARIFF_RULES!$C:$C,$B21)&lt;&gt;"",SUMIFS(WORK_TARIFF_RULES!$G:$G,WORK_TARIFF_RULES!$A:$A,$D21,WORK_TARIFF_RULES!$C:$C,$B21),SUMIFS(WORK_MASTER!$C:$C,WORK_MASTER!$A:$A,$D21)),""),IF($C21="Material",IFERROR(IF(SUMIFS(MATERIAL_TARIFF_RULES!$G:$G,MATERIAL_TARIFF_RULES!$A:$A,$D21,MATERIAL_TARIFF_RULES!$C:$C,$B21)&lt;&gt;"",SUMIFS(MATERIAL_TARIFF_RULES!$G:$G,MATERIAL_TARIFF_RULES!$A:$A,$D21,MATERIAL_TARIFF_RULES!$C:$C,$B21),SUMIFS(MATERIAL_VARIANTS!$J:$J,MATERIAL_VARIANTS!$A:$A,$E21)),""),IF($C21="Logistics","Мобилизация и логистика объекта",""))))</f>
        <v/>
      </c>
      <c r="G21" s="4"/>
      <c r="H21" s="4"/>
      <c r="I21" s="33" t="str">
        <f>IF($C21="","",IF($C21="Work",IFERROR(SUMIFS(WORK_MASTER!$I:$I,WORK_MASTER!$A:$A,$D21),0),IF($C21="Material",IFERROR(SUMIFS(MATERIAL_VARIANTS!$I:$I,MATERIAL_VARIANTS!$A:$A,$E21),0),0)))</f>
        <v/>
      </c>
      <c r="J21" s="33" t="str">
        <f>IF($C21="","",IF($C21="Work",IF($E21&lt;&gt;"",IFERROR(SUMIFS(WORK_VARIANTS!$H:$H,WORK_VARIANTS!$A:$A,$E21),1),1),1))</f>
        <v/>
      </c>
      <c r="K21" s="33" t="str">
        <f t="array" ref="K21">IF($C21="","",IF($C21="Work",IFERROR(SUMIFS(WORK_FACTOR_APPLICABILITY!$O:$O,WORK_FACTOR_APPLICABILITY!$A:$A,$D21,WORK_FACTOR_APPLICABILITY!$N:$N,$A21),1),IF($C21="Material",IFERROR(INDEX(MATERIAL_QUANTITY_EXAMPLE!$N:$N,MATCH(1,(MATERIAL_QUANTITY_EXAMPLE!$A:$A=MATERIAL_QUANTITY_EXAMPLE!$A:$A)*(MATERIAL_QUANTITY_EXAMPLE!$B:$B=$A21)*(MATERIAL_QUANTITY_EXAMPLE!$C:$C=$D21),0)),1),1)))</f>
        <v/>
      </c>
      <c r="L21" s="33" t="str">
        <f t="array" ref="L21">IF($A21="","",IF($C21="Material",1,IFERROR(INDEX(OBJECT_CONDITIONS!$AH:$AH,MATCH($A21,OBJECT_CONDITIONS!$A:$A,0))*INDEX(OBJECT_CONDITIONS!$AJ:$AJ,MATCH($A21,OBJECT_CONDITIONS!$A:$A,0))*INDEX(OBJECT_CONDITIONS!$AL:$AL,MATCH($A21,OBJECT_CONDITIONS!$A:$A,0)),1)))</f>
        <v/>
      </c>
      <c r="M21" s="33" t="str">
        <f>IF($B21="","",IF($C21="Work",IFERROR(IF(SUMIFS(WORK_TARIFF_RULES!$F:$F,WORK_TARIFF_RULES!$A:$A,$D21,WORK_TARIFF_RULES!$C:$C,$B21)&lt;&gt;"",SUMIFS(WORK_TARIFF_RULES!$F:$F,WORK_TARIFF_RULES!$A:$A,$D21,WORK_TARIFF_RULES!$C:$C,$B21),SUMIFS(TARIFF_PROFILES!$D:$D,TARIFF_PROFILES!$A:$A,$B21)),1),IF($C21="Material",IFERROR(IF(SUMIFS(MATERIAL_TARIFF_RULES!$E:$E,MATERIAL_TARIFF_RULES!$A:$A,$D21,MATERIAL_TARIFF_RULES!$C:$C,$B21)&lt;&gt;"",SUMIFS(MATERIAL_TARIFF_RULES!$E:$E,MATERIAL_TARIFF_RULES!$A:$A,$D21,MATERIAL_TARIFF_RULES!$C:$C,$B21),SUMIFS(TARIFF_PROFILES!$E:$E,TARIFF_PROFILES!$A:$A,$B21)),1),SUMIFS(TARIFF_PROFILES!$F:$F,TARIFF_PROFILES!$A:$A,$B21))))</f>
        <v/>
      </c>
      <c r="N21" s="33">
        <f>IF($C21="Material",IFERROR(SUMIFS(MATERIAL_MASTER!$P:$P,MATERIAL_MASTER!$A:$A,$D21)*IF(SUMIFS(MATERIAL_TARIFF_RULES!$F:$F,MATERIAL_TARIFF_RULES!$A:$A,$D21,MATERIAL_TARIFF_RULES!$C:$C,$B21)="",SUMIFS(TARIFF_PROFILES!$H:$H,TARIFF_PROFILES!$A:$A,$B21),SUMIFS(MATERIAL_TARIFF_RULES!$F:$F,MATERIAL_TARIFF_RULES!$A:$A,$D21,MATERIAL_TARIFF_RULES!$C:$C,$B21)),1),1)</f>
        <v>1</v>
      </c>
      <c r="O21" s="4" t="str">
        <f t="shared" si="1"/>
        <v/>
      </c>
      <c r="P21" s="4">
        <f t="array" ref="P21">IF(ROW()=2,MAX(0,INDEX(COMMERCIAL_POLICY!$B:$B,MATCH($B21,COMMERCIAL_POLICY!$A:$A,0))-SUM($Q$2:$Q$60)),0)</f>
        <v>0</v>
      </c>
      <c r="Q21" s="28" t="str">
        <f t="array" ref="Q21">IF($C21="","",IF($C21="Material",N($I21)*N($K21)*N($M21)*N($O21),IF($C21="Logistics",INDEX(COMMERCIAL_POLICY!$D:$D,MATCH($B21,COMMERCIAL_POLICY!$A:$A,0))*N($L21),N($I21)*N($J21)*N($K21)*N($L21)*N($M21)*N($G21))))</f>
        <v/>
      </c>
      <c r="R21" s="4" t="str">
        <f t="array" ref="R21">IF($A21="","",INDEX(OBJECT_CONDITIONS!$AM:$AM,MATCH($A21,OBJECT_CONDITIONS!$A:$A,0)))</f>
        <v/>
      </c>
      <c r="S21" s="33" t="str">
        <f t="array" ref="S21">IF($R21="","",INDEX(TAX_MODES!$B:$B,MATCH($R21,TAX_MODES!$A:$A,0)))</f>
        <v/>
      </c>
      <c r="T21" s="28" t="str">
        <f t="shared" si="2"/>
        <v/>
      </c>
      <c r="U21" s="4" t="str">
        <f t="shared" si="3"/>
        <v/>
      </c>
    </row>
    <row r="22" ht="14.25" customHeight="1">
      <c r="A22" s="4"/>
      <c r="B22" s="4"/>
      <c r="C22" s="4"/>
      <c r="D22" s="4"/>
      <c r="E22" s="4"/>
      <c r="F22" s="4" t="str">
        <f>IF($C22="","",IF($C22="Work",IFERROR(IF(SUMIFS(WORK_TARIFF_RULES!$G:$G,WORK_TARIFF_RULES!$A:$A,$D22,WORK_TARIFF_RULES!$C:$C,$B22)&lt;&gt;"",SUMIFS(WORK_TARIFF_RULES!$G:$G,WORK_TARIFF_RULES!$A:$A,$D22,WORK_TARIFF_RULES!$C:$C,$B22),SUMIFS(WORK_MASTER!$C:$C,WORK_MASTER!$A:$A,$D22)),""),IF($C22="Material",IFERROR(IF(SUMIFS(MATERIAL_TARIFF_RULES!$G:$G,MATERIAL_TARIFF_RULES!$A:$A,$D22,MATERIAL_TARIFF_RULES!$C:$C,$B22)&lt;&gt;"",SUMIFS(MATERIAL_TARIFF_RULES!$G:$G,MATERIAL_TARIFF_RULES!$A:$A,$D22,MATERIAL_TARIFF_RULES!$C:$C,$B22),SUMIFS(MATERIAL_VARIANTS!$J:$J,MATERIAL_VARIANTS!$A:$A,$E22)),""),IF($C22="Logistics","Мобилизация и логистика объекта",""))))</f>
        <v/>
      </c>
      <c r="G22" s="4"/>
      <c r="H22" s="4"/>
      <c r="I22" s="33" t="str">
        <f>IF($C22="","",IF($C22="Work",IFERROR(SUMIFS(WORK_MASTER!$I:$I,WORK_MASTER!$A:$A,$D22),0),IF($C22="Material",IFERROR(SUMIFS(MATERIAL_VARIANTS!$I:$I,MATERIAL_VARIANTS!$A:$A,$E22),0),0)))</f>
        <v/>
      </c>
      <c r="J22" s="33" t="str">
        <f>IF($C22="","",IF($C22="Work",IF($E22&lt;&gt;"",IFERROR(SUMIFS(WORK_VARIANTS!$H:$H,WORK_VARIANTS!$A:$A,$E22),1),1),1))</f>
        <v/>
      </c>
      <c r="K22" s="33" t="str">
        <f t="array" ref="K22">IF($C22="","",IF($C22="Work",IFERROR(SUMIFS(WORK_FACTOR_APPLICABILITY!$O:$O,WORK_FACTOR_APPLICABILITY!$A:$A,$D22,WORK_FACTOR_APPLICABILITY!$N:$N,$A22),1),IF($C22="Material",IFERROR(INDEX(MATERIAL_QUANTITY_EXAMPLE!$N:$N,MATCH(1,(MATERIAL_QUANTITY_EXAMPLE!$A:$A=MATERIAL_QUANTITY_EXAMPLE!$A:$A)*(MATERIAL_QUANTITY_EXAMPLE!$B:$B=$A22)*(MATERIAL_QUANTITY_EXAMPLE!$C:$C=$D22),0)),1),1)))</f>
        <v/>
      </c>
      <c r="L22" s="33" t="str">
        <f t="array" ref="L22">IF($A22="","",IF($C22="Material",1,IFERROR(INDEX(OBJECT_CONDITIONS!$AH:$AH,MATCH($A22,OBJECT_CONDITIONS!$A:$A,0))*INDEX(OBJECT_CONDITIONS!$AJ:$AJ,MATCH($A22,OBJECT_CONDITIONS!$A:$A,0))*INDEX(OBJECT_CONDITIONS!$AL:$AL,MATCH($A22,OBJECT_CONDITIONS!$A:$A,0)),1)))</f>
        <v/>
      </c>
      <c r="M22" s="33" t="str">
        <f>IF($B22="","",IF($C22="Work",IFERROR(IF(SUMIFS(WORK_TARIFF_RULES!$F:$F,WORK_TARIFF_RULES!$A:$A,$D22,WORK_TARIFF_RULES!$C:$C,$B22)&lt;&gt;"",SUMIFS(WORK_TARIFF_RULES!$F:$F,WORK_TARIFF_RULES!$A:$A,$D22,WORK_TARIFF_RULES!$C:$C,$B22),SUMIFS(TARIFF_PROFILES!$D:$D,TARIFF_PROFILES!$A:$A,$B22)),1),IF($C22="Material",IFERROR(IF(SUMIFS(MATERIAL_TARIFF_RULES!$E:$E,MATERIAL_TARIFF_RULES!$A:$A,$D22,MATERIAL_TARIFF_RULES!$C:$C,$B22)&lt;&gt;"",SUMIFS(MATERIAL_TARIFF_RULES!$E:$E,MATERIAL_TARIFF_RULES!$A:$A,$D22,MATERIAL_TARIFF_RULES!$C:$C,$B22),SUMIFS(TARIFF_PROFILES!$E:$E,TARIFF_PROFILES!$A:$A,$B22)),1),SUMIFS(TARIFF_PROFILES!$F:$F,TARIFF_PROFILES!$A:$A,$B22))))</f>
        <v/>
      </c>
      <c r="N22" s="33">
        <f>IF($C22="Material",IFERROR(SUMIFS(MATERIAL_MASTER!$P:$P,MATERIAL_MASTER!$A:$A,$D22)*IF(SUMIFS(MATERIAL_TARIFF_RULES!$F:$F,MATERIAL_TARIFF_RULES!$A:$A,$D22,MATERIAL_TARIFF_RULES!$C:$C,$B22)="",SUMIFS(TARIFF_PROFILES!$H:$H,TARIFF_PROFILES!$A:$A,$B22),SUMIFS(MATERIAL_TARIFF_RULES!$F:$F,MATERIAL_TARIFF_RULES!$A:$A,$D22,MATERIAL_TARIFF_RULES!$C:$C,$B22)),1),1)</f>
        <v>1</v>
      </c>
      <c r="O22" s="4" t="str">
        <f t="shared" si="1"/>
        <v/>
      </c>
      <c r="P22" s="4">
        <f t="array" ref="P22">IF(ROW()=2,MAX(0,INDEX(COMMERCIAL_POLICY!$B:$B,MATCH($B22,COMMERCIAL_POLICY!$A:$A,0))-SUM($Q$2:$Q$60)),0)</f>
        <v>0</v>
      </c>
      <c r="Q22" s="28" t="str">
        <f t="array" ref="Q22">IF($C22="","",IF($C22="Material",N($I22)*N($K22)*N($M22)*N($O22),IF($C22="Logistics",INDEX(COMMERCIAL_POLICY!$D:$D,MATCH($B22,COMMERCIAL_POLICY!$A:$A,0))*N($L22),N($I22)*N($J22)*N($K22)*N($L22)*N($M22)*N($G22))))</f>
        <v/>
      </c>
      <c r="R22" s="4" t="str">
        <f t="array" ref="R22">IF($A22="","",INDEX(OBJECT_CONDITIONS!$AM:$AM,MATCH($A22,OBJECT_CONDITIONS!$A:$A,0)))</f>
        <v/>
      </c>
      <c r="S22" s="33" t="str">
        <f t="array" ref="S22">IF($R22="","",INDEX(TAX_MODES!$B:$B,MATCH($R22,TAX_MODES!$A:$A,0)))</f>
        <v/>
      </c>
      <c r="T22" s="28" t="str">
        <f t="shared" si="2"/>
        <v/>
      </c>
      <c r="U22" s="4" t="str">
        <f t="shared" si="3"/>
        <v/>
      </c>
    </row>
    <row r="23" ht="14.25" customHeight="1">
      <c r="A23" s="4"/>
      <c r="B23" s="4"/>
      <c r="C23" s="4"/>
      <c r="D23" s="4"/>
      <c r="E23" s="4"/>
      <c r="F23" s="4" t="str">
        <f>IF($C23="","",IF($C23="Work",IFERROR(IF(SUMIFS(WORK_TARIFF_RULES!$G:$G,WORK_TARIFF_RULES!$A:$A,$D23,WORK_TARIFF_RULES!$C:$C,$B23)&lt;&gt;"",SUMIFS(WORK_TARIFF_RULES!$G:$G,WORK_TARIFF_RULES!$A:$A,$D23,WORK_TARIFF_RULES!$C:$C,$B23),SUMIFS(WORK_MASTER!$C:$C,WORK_MASTER!$A:$A,$D23)),""),IF($C23="Material",IFERROR(IF(SUMIFS(MATERIAL_TARIFF_RULES!$G:$G,MATERIAL_TARIFF_RULES!$A:$A,$D23,MATERIAL_TARIFF_RULES!$C:$C,$B23)&lt;&gt;"",SUMIFS(MATERIAL_TARIFF_RULES!$G:$G,MATERIAL_TARIFF_RULES!$A:$A,$D23,MATERIAL_TARIFF_RULES!$C:$C,$B23),SUMIFS(MATERIAL_VARIANTS!$J:$J,MATERIAL_VARIANTS!$A:$A,$E23)),""),IF($C23="Logistics","Мобилизация и логистика объекта",""))))</f>
        <v/>
      </c>
      <c r="G23" s="4"/>
      <c r="H23" s="4"/>
      <c r="I23" s="33" t="str">
        <f>IF($C23="","",IF($C23="Work",IFERROR(SUMIFS(WORK_MASTER!$I:$I,WORK_MASTER!$A:$A,$D23),0),IF($C23="Material",IFERROR(SUMIFS(MATERIAL_VARIANTS!$I:$I,MATERIAL_VARIANTS!$A:$A,$E23),0),0)))</f>
        <v/>
      </c>
      <c r="J23" s="33" t="str">
        <f>IF($C23="","",IF($C23="Work",IF($E23&lt;&gt;"",IFERROR(SUMIFS(WORK_VARIANTS!$H:$H,WORK_VARIANTS!$A:$A,$E23),1),1),1))</f>
        <v/>
      </c>
      <c r="K23" s="33" t="str">
        <f t="array" ref="K23">IF($C23="","",IF($C23="Work",IFERROR(SUMIFS(WORK_FACTOR_APPLICABILITY!$O:$O,WORK_FACTOR_APPLICABILITY!$A:$A,$D23,WORK_FACTOR_APPLICABILITY!$N:$N,$A23),1),IF($C23="Material",IFERROR(INDEX(MATERIAL_QUANTITY_EXAMPLE!$N:$N,MATCH(1,(MATERIAL_QUANTITY_EXAMPLE!$A:$A=MATERIAL_QUANTITY_EXAMPLE!$A:$A)*(MATERIAL_QUANTITY_EXAMPLE!$B:$B=$A23)*(MATERIAL_QUANTITY_EXAMPLE!$C:$C=$D23),0)),1),1)))</f>
        <v/>
      </c>
      <c r="L23" s="33" t="str">
        <f t="array" ref="L23">IF($A23="","",IF($C23="Material",1,IFERROR(INDEX(OBJECT_CONDITIONS!$AH:$AH,MATCH($A23,OBJECT_CONDITIONS!$A:$A,0))*INDEX(OBJECT_CONDITIONS!$AJ:$AJ,MATCH($A23,OBJECT_CONDITIONS!$A:$A,0))*INDEX(OBJECT_CONDITIONS!$AL:$AL,MATCH($A23,OBJECT_CONDITIONS!$A:$A,0)),1)))</f>
        <v/>
      </c>
      <c r="M23" s="33" t="str">
        <f>IF($B23="","",IF($C23="Work",IFERROR(IF(SUMIFS(WORK_TARIFF_RULES!$F:$F,WORK_TARIFF_RULES!$A:$A,$D23,WORK_TARIFF_RULES!$C:$C,$B23)&lt;&gt;"",SUMIFS(WORK_TARIFF_RULES!$F:$F,WORK_TARIFF_RULES!$A:$A,$D23,WORK_TARIFF_RULES!$C:$C,$B23),SUMIFS(TARIFF_PROFILES!$D:$D,TARIFF_PROFILES!$A:$A,$B23)),1),IF($C23="Material",IFERROR(IF(SUMIFS(MATERIAL_TARIFF_RULES!$E:$E,MATERIAL_TARIFF_RULES!$A:$A,$D23,MATERIAL_TARIFF_RULES!$C:$C,$B23)&lt;&gt;"",SUMIFS(MATERIAL_TARIFF_RULES!$E:$E,MATERIAL_TARIFF_RULES!$A:$A,$D23,MATERIAL_TARIFF_RULES!$C:$C,$B23),SUMIFS(TARIFF_PROFILES!$E:$E,TARIFF_PROFILES!$A:$A,$B23)),1),SUMIFS(TARIFF_PROFILES!$F:$F,TARIFF_PROFILES!$A:$A,$B23))))</f>
        <v/>
      </c>
      <c r="N23" s="33">
        <f>IF($C23="Material",IFERROR(SUMIFS(MATERIAL_MASTER!$P:$P,MATERIAL_MASTER!$A:$A,$D23)*IF(SUMIFS(MATERIAL_TARIFF_RULES!$F:$F,MATERIAL_TARIFF_RULES!$A:$A,$D23,MATERIAL_TARIFF_RULES!$C:$C,$B23)="",SUMIFS(TARIFF_PROFILES!$H:$H,TARIFF_PROFILES!$A:$A,$B23),SUMIFS(MATERIAL_TARIFF_RULES!$F:$F,MATERIAL_TARIFF_RULES!$A:$A,$D23,MATERIAL_TARIFF_RULES!$C:$C,$B23)),1),1)</f>
        <v>1</v>
      </c>
      <c r="O23" s="4" t="str">
        <f t="shared" si="1"/>
        <v/>
      </c>
      <c r="P23" s="4">
        <f t="array" ref="P23">IF(ROW()=2,MAX(0,INDEX(COMMERCIAL_POLICY!$B:$B,MATCH($B23,COMMERCIAL_POLICY!$A:$A,0))-SUM($Q$2:$Q$60)),0)</f>
        <v>0</v>
      </c>
      <c r="Q23" s="28" t="str">
        <f t="array" ref="Q23">IF($C23="","",IF($C23="Material",N($I23)*N($K23)*N($M23)*N($O23),IF($C23="Logistics",INDEX(COMMERCIAL_POLICY!$D:$D,MATCH($B23,COMMERCIAL_POLICY!$A:$A,0))*N($L23),N($I23)*N($J23)*N($K23)*N($L23)*N($M23)*N($G23))))</f>
        <v/>
      </c>
      <c r="R23" s="4" t="str">
        <f t="array" ref="R23">IF($A23="","",INDEX(OBJECT_CONDITIONS!$AM:$AM,MATCH($A23,OBJECT_CONDITIONS!$A:$A,0)))</f>
        <v/>
      </c>
      <c r="S23" s="33" t="str">
        <f t="array" ref="S23">IF($R23="","",INDEX(TAX_MODES!$B:$B,MATCH($R23,TAX_MODES!$A:$A,0)))</f>
        <v/>
      </c>
      <c r="T23" s="28" t="str">
        <f t="shared" si="2"/>
        <v/>
      </c>
      <c r="U23" s="4" t="str">
        <f t="shared" si="3"/>
        <v/>
      </c>
    </row>
    <row r="24" ht="14.25" customHeight="1">
      <c r="A24" s="4"/>
      <c r="B24" s="4"/>
      <c r="C24" s="4"/>
      <c r="D24" s="4"/>
      <c r="E24" s="4"/>
      <c r="F24" s="4" t="str">
        <f>IF($C24="","",IF($C24="Work",IFERROR(IF(SUMIFS(WORK_TARIFF_RULES!$G:$G,WORK_TARIFF_RULES!$A:$A,$D24,WORK_TARIFF_RULES!$C:$C,$B24)&lt;&gt;"",SUMIFS(WORK_TARIFF_RULES!$G:$G,WORK_TARIFF_RULES!$A:$A,$D24,WORK_TARIFF_RULES!$C:$C,$B24),SUMIFS(WORK_MASTER!$C:$C,WORK_MASTER!$A:$A,$D24)),""),IF($C24="Material",IFERROR(IF(SUMIFS(MATERIAL_TARIFF_RULES!$G:$G,MATERIAL_TARIFF_RULES!$A:$A,$D24,MATERIAL_TARIFF_RULES!$C:$C,$B24)&lt;&gt;"",SUMIFS(MATERIAL_TARIFF_RULES!$G:$G,MATERIAL_TARIFF_RULES!$A:$A,$D24,MATERIAL_TARIFF_RULES!$C:$C,$B24),SUMIFS(MATERIAL_VARIANTS!$J:$J,MATERIAL_VARIANTS!$A:$A,$E24)),""),IF($C24="Logistics","Мобилизация и логистика объекта",""))))</f>
        <v/>
      </c>
      <c r="G24" s="4"/>
      <c r="H24" s="4"/>
      <c r="I24" s="33" t="str">
        <f>IF($C24="","",IF($C24="Work",IFERROR(SUMIFS(WORK_MASTER!$I:$I,WORK_MASTER!$A:$A,$D24),0),IF($C24="Material",IFERROR(SUMIFS(MATERIAL_VARIANTS!$I:$I,MATERIAL_VARIANTS!$A:$A,$E24),0),0)))</f>
        <v/>
      </c>
      <c r="J24" s="33" t="str">
        <f>IF($C24="","",IF($C24="Work",IF($E24&lt;&gt;"",IFERROR(SUMIFS(WORK_VARIANTS!$H:$H,WORK_VARIANTS!$A:$A,$E24),1),1),1))</f>
        <v/>
      </c>
      <c r="K24" s="33" t="str">
        <f t="array" ref="K24">IF($C24="","",IF($C24="Work",IFERROR(SUMIFS(WORK_FACTOR_APPLICABILITY!$O:$O,WORK_FACTOR_APPLICABILITY!$A:$A,$D24,WORK_FACTOR_APPLICABILITY!$N:$N,$A24),1),IF($C24="Material",IFERROR(INDEX(MATERIAL_QUANTITY_EXAMPLE!$N:$N,MATCH(1,(MATERIAL_QUANTITY_EXAMPLE!$A:$A=MATERIAL_QUANTITY_EXAMPLE!$A:$A)*(MATERIAL_QUANTITY_EXAMPLE!$B:$B=$A24)*(MATERIAL_QUANTITY_EXAMPLE!$C:$C=$D24),0)),1),1)))</f>
        <v/>
      </c>
      <c r="L24" s="33" t="str">
        <f t="array" ref="L24">IF($A24="","",IF($C24="Material",1,IFERROR(INDEX(OBJECT_CONDITIONS!$AH:$AH,MATCH($A24,OBJECT_CONDITIONS!$A:$A,0))*INDEX(OBJECT_CONDITIONS!$AJ:$AJ,MATCH($A24,OBJECT_CONDITIONS!$A:$A,0))*INDEX(OBJECT_CONDITIONS!$AL:$AL,MATCH($A24,OBJECT_CONDITIONS!$A:$A,0)),1)))</f>
        <v/>
      </c>
      <c r="M24" s="33" t="str">
        <f>IF($B24="","",IF($C24="Work",IFERROR(IF(SUMIFS(WORK_TARIFF_RULES!$F:$F,WORK_TARIFF_RULES!$A:$A,$D24,WORK_TARIFF_RULES!$C:$C,$B24)&lt;&gt;"",SUMIFS(WORK_TARIFF_RULES!$F:$F,WORK_TARIFF_RULES!$A:$A,$D24,WORK_TARIFF_RULES!$C:$C,$B24),SUMIFS(TARIFF_PROFILES!$D:$D,TARIFF_PROFILES!$A:$A,$B24)),1),IF($C24="Material",IFERROR(IF(SUMIFS(MATERIAL_TARIFF_RULES!$E:$E,MATERIAL_TARIFF_RULES!$A:$A,$D24,MATERIAL_TARIFF_RULES!$C:$C,$B24)&lt;&gt;"",SUMIFS(MATERIAL_TARIFF_RULES!$E:$E,MATERIAL_TARIFF_RULES!$A:$A,$D24,MATERIAL_TARIFF_RULES!$C:$C,$B24),SUMIFS(TARIFF_PROFILES!$E:$E,TARIFF_PROFILES!$A:$A,$B24)),1),SUMIFS(TARIFF_PROFILES!$F:$F,TARIFF_PROFILES!$A:$A,$B24))))</f>
        <v/>
      </c>
      <c r="N24" s="33">
        <f>IF($C24="Material",IFERROR(SUMIFS(MATERIAL_MASTER!$P:$P,MATERIAL_MASTER!$A:$A,$D24)*IF(SUMIFS(MATERIAL_TARIFF_RULES!$F:$F,MATERIAL_TARIFF_RULES!$A:$A,$D24,MATERIAL_TARIFF_RULES!$C:$C,$B24)="",SUMIFS(TARIFF_PROFILES!$H:$H,TARIFF_PROFILES!$A:$A,$B24),SUMIFS(MATERIAL_TARIFF_RULES!$F:$F,MATERIAL_TARIFF_RULES!$A:$A,$D24,MATERIAL_TARIFF_RULES!$C:$C,$B24)),1),1)</f>
        <v>1</v>
      </c>
      <c r="O24" s="4" t="str">
        <f t="shared" si="1"/>
        <v/>
      </c>
      <c r="P24" s="4">
        <f t="array" ref="P24">IF(ROW()=2,MAX(0,INDEX(COMMERCIAL_POLICY!$B:$B,MATCH($B24,COMMERCIAL_POLICY!$A:$A,0))-SUM($Q$2:$Q$60)),0)</f>
        <v>0</v>
      </c>
      <c r="Q24" s="28" t="str">
        <f t="array" ref="Q24">IF($C24="","",IF($C24="Material",N($I24)*N($K24)*N($M24)*N($O24),IF($C24="Logistics",INDEX(COMMERCIAL_POLICY!$D:$D,MATCH($B24,COMMERCIAL_POLICY!$A:$A,0))*N($L24),N($I24)*N($J24)*N($K24)*N($L24)*N($M24)*N($G24))))</f>
        <v/>
      </c>
      <c r="R24" s="4" t="str">
        <f t="array" ref="R24">IF($A24="","",INDEX(OBJECT_CONDITIONS!$AM:$AM,MATCH($A24,OBJECT_CONDITIONS!$A:$A,0)))</f>
        <v/>
      </c>
      <c r="S24" s="33" t="str">
        <f t="array" ref="S24">IF($R24="","",INDEX(TAX_MODES!$B:$B,MATCH($R24,TAX_MODES!$A:$A,0)))</f>
        <v/>
      </c>
      <c r="T24" s="28" t="str">
        <f t="shared" si="2"/>
        <v/>
      </c>
      <c r="U24" s="4" t="str">
        <f t="shared" si="3"/>
        <v/>
      </c>
    </row>
    <row r="25" ht="14.25" customHeight="1">
      <c r="A25" s="4"/>
      <c r="B25" s="4"/>
      <c r="C25" s="4"/>
      <c r="D25" s="4"/>
      <c r="E25" s="4"/>
      <c r="F25" s="4" t="str">
        <f>IF($C25="","",IF($C25="Work",IFERROR(IF(SUMIFS(WORK_TARIFF_RULES!$G:$G,WORK_TARIFF_RULES!$A:$A,$D25,WORK_TARIFF_RULES!$C:$C,$B25)&lt;&gt;"",SUMIFS(WORK_TARIFF_RULES!$G:$G,WORK_TARIFF_RULES!$A:$A,$D25,WORK_TARIFF_RULES!$C:$C,$B25),SUMIFS(WORK_MASTER!$C:$C,WORK_MASTER!$A:$A,$D25)),""),IF($C25="Material",IFERROR(IF(SUMIFS(MATERIAL_TARIFF_RULES!$G:$G,MATERIAL_TARIFF_RULES!$A:$A,$D25,MATERIAL_TARIFF_RULES!$C:$C,$B25)&lt;&gt;"",SUMIFS(MATERIAL_TARIFF_RULES!$G:$G,MATERIAL_TARIFF_RULES!$A:$A,$D25,MATERIAL_TARIFF_RULES!$C:$C,$B25),SUMIFS(MATERIAL_VARIANTS!$J:$J,MATERIAL_VARIANTS!$A:$A,$E25)),""),IF($C25="Logistics","Мобилизация и логистика объекта",""))))</f>
        <v/>
      </c>
      <c r="G25" s="4"/>
      <c r="H25" s="4"/>
      <c r="I25" s="33" t="str">
        <f>IF($C25="","",IF($C25="Work",IFERROR(SUMIFS(WORK_MASTER!$I:$I,WORK_MASTER!$A:$A,$D25),0),IF($C25="Material",IFERROR(SUMIFS(MATERIAL_VARIANTS!$I:$I,MATERIAL_VARIANTS!$A:$A,$E25),0),0)))</f>
        <v/>
      </c>
      <c r="J25" s="33" t="str">
        <f>IF($C25="","",IF($C25="Work",IF($E25&lt;&gt;"",IFERROR(SUMIFS(WORK_VARIANTS!$H:$H,WORK_VARIANTS!$A:$A,$E25),1),1),1))</f>
        <v/>
      </c>
      <c r="K25" s="33" t="str">
        <f t="array" ref="K25">IF($C25="","",IF($C25="Work",IFERROR(SUMIFS(WORK_FACTOR_APPLICABILITY!$O:$O,WORK_FACTOR_APPLICABILITY!$A:$A,$D25,WORK_FACTOR_APPLICABILITY!$N:$N,$A25),1),IF($C25="Material",IFERROR(INDEX(MATERIAL_QUANTITY_EXAMPLE!$N:$N,MATCH(1,(MATERIAL_QUANTITY_EXAMPLE!$A:$A=MATERIAL_QUANTITY_EXAMPLE!$A:$A)*(MATERIAL_QUANTITY_EXAMPLE!$B:$B=$A25)*(MATERIAL_QUANTITY_EXAMPLE!$C:$C=$D25),0)),1),1)))</f>
        <v/>
      </c>
      <c r="L25" s="33" t="str">
        <f t="array" ref="L25">IF($A25="","",IF($C25="Material",1,IFERROR(INDEX(OBJECT_CONDITIONS!$AH:$AH,MATCH($A25,OBJECT_CONDITIONS!$A:$A,0))*INDEX(OBJECT_CONDITIONS!$AJ:$AJ,MATCH($A25,OBJECT_CONDITIONS!$A:$A,0))*INDEX(OBJECT_CONDITIONS!$AL:$AL,MATCH($A25,OBJECT_CONDITIONS!$A:$A,0)),1)))</f>
        <v/>
      </c>
      <c r="M25" s="33" t="str">
        <f>IF($B25="","",IF($C25="Work",IFERROR(IF(SUMIFS(WORK_TARIFF_RULES!$F:$F,WORK_TARIFF_RULES!$A:$A,$D25,WORK_TARIFF_RULES!$C:$C,$B25)&lt;&gt;"",SUMIFS(WORK_TARIFF_RULES!$F:$F,WORK_TARIFF_RULES!$A:$A,$D25,WORK_TARIFF_RULES!$C:$C,$B25),SUMIFS(TARIFF_PROFILES!$D:$D,TARIFF_PROFILES!$A:$A,$B25)),1),IF($C25="Material",IFERROR(IF(SUMIFS(MATERIAL_TARIFF_RULES!$E:$E,MATERIAL_TARIFF_RULES!$A:$A,$D25,MATERIAL_TARIFF_RULES!$C:$C,$B25)&lt;&gt;"",SUMIFS(MATERIAL_TARIFF_RULES!$E:$E,MATERIAL_TARIFF_RULES!$A:$A,$D25,MATERIAL_TARIFF_RULES!$C:$C,$B25),SUMIFS(TARIFF_PROFILES!$E:$E,TARIFF_PROFILES!$A:$A,$B25)),1),SUMIFS(TARIFF_PROFILES!$F:$F,TARIFF_PROFILES!$A:$A,$B25))))</f>
        <v/>
      </c>
      <c r="N25" s="33">
        <f>IF($C25="Material",IFERROR(SUMIFS(MATERIAL_MASTER!$P:$P,MATERIAL_MASTER!$A:$A,$D25)*IF(SUMIFS(MATERIAL_TARIFF_RULES!$F:$F,MATERIAL_TARIFF_RULES!$A:$A,$D25,MATERIAL_TARIFF_RULES!$C:$C,$B25)="",SUMIFS(TARIFF_PROFILES!$H:$H,TARIFF_PROFILES!$A:$A,$B25),SUMIFS(MATERIAL_TARIFF_RULES!$F:$F,MATERIAL_TARIFF_RULES!$A:$A,$D25,MATERIAL_TARIFF_RULES!$C:$C,$B25)),1),1)</f>
        <v>1</v>
      </c>
      <c r="O25" s="4" t="str">
        <f t="shared" si="1"/>
        <v/>
      </c>
      <c r="P25" s="4">
        <f t="array" ref="P25">IF(ROW()=2,MAX(0,INDEX(COMMERCIAL_POLICY!$B:$B,MATCH($B25,COMMERCIAL_POLICY!$A:$A,0))-SUM($Q$2:$Q$60)),0)</f>
        <v>0</v>
      </c>
      <c r="Q25" s="28" t="str">
        <f t="array" ref="Q25">IF($C25="","",IF($C25="Material",N($I25)*N($K25)*N($M25)*N($O25),IF($C25="Logistics",INDEX(COMMERCIAL_POLICY!$D:$D,MATCH($B25,COMMERCIAL_POLICY!$A:$A,0))*N($L25),N($I25)*N($J25)*N($K25)*N($L25)*N($M25)*N($G25))))</f>
        <v/>
      </c>
      <c r="R25" s="4" t="str">
        <f t="array" ref="R25">IF($A25="","",INDEX(OBJECT_CONDITIONS!$AM:$AM,MATCH($A25,OBJECT_CONDITIONS!$A:$A,0)))</f>
        <v/>
      </c>
      <c r="S25" s="33" t="str">
        <f t="array" ref="S25">IF($R25="","",INDEX(TAX_MODES!$B:$B,MATCH($R25,TAX_MODES!$A:$A,0)))</f>
        <v/>
      </c>
      <c r="T25" s="28" t="str">
        <f t="shared" si="2"/>
        <v/>
      </c>
      <c r="U25" s="4" t="str">
        <f t="shared" si="3"/>
        <v/>
      </c>
    </row>
    <row r="26" ht="14.25" customHeight="1">
      <c r="A26" s="4"/>
      <c r="B26" s="4"/>
      <c r="C26" s="4"/>
      <c r="D26" s="4"/>
      <c r="E26" s="4"/>
      <c r="F26" s="4" t="str">
        <f>IF($C26="","",IF($C26="Work",IFERROR(IF(SUMIFS(WORK_TARIFF_RULES!$G:$G,WORK_TARIFF_RULES!$A:$A,$D26,WORK_TARIFF_RULES!$C:$C,$B26)&lt;&gt;"",SUMIFS(WORK_TARIFF_RULES!$G:$G,WORK_TARIFF_RULES!$A:$A,$D26,WORK_TARIFF_RULES!$C:$C,$B26),SUMIFS(WORK_MASTER!$C:$C,WORK_MASTER!$A:$A,$D26)),""),IF($C26="Material",IFERROR(IF(SUMIFS(MATERIAL_TARIFF_RULES!$G:$G,MATERIAL_TARIFF_RULES!$A:$A,$D26,MATERIAL_TARIFF_RULES!$C:$C,$B26)&lt;&gt;"",SUMIFS(MATERIAL_TARIFF_RULES!$G:$G,MATERIAL_TARIFF_RULES!$A:$A,$D26,MATERIAL_TARIFF_RULES!$C:$C,$B26),SUMIFS(MATERIAL_VARIANTS!$J:$J,MATERIAL_VARIANTS!$A:$A,$E26)),""),IF($C26="Logistics","Мобилизация и логистика объекта",""))))</f>
        <v/>
      </c>
      <c r="G26" s="4"/>
      <c r="H26" s="4"/>
      <c r="I26" s="33" t="str">
        <f>IF($C26="","",IF($C26="Work",IFERROR(SUMIFS(WORK_MASTER!$I:$I,WORK_MASTER!$A:$A,$D26),0),IF($C26="Material",IFERROR(SUMIFS(MATERIAL_VARIANTS!$I:$I,MATERIAL_VARIANTS!$A:$A,$E26),0),0)))</f>
        <v/>
      </c>
      <c r="J26" s="33" t="str">
        <f>IF($C26="","",IF($C26="Work",IF($E26&lt;&gt;"",IFERROR(SUMIFS(WORK_VARIANTS!$H:$H,WORK_VARIANTS!$A:$A,$E26),1),1),1))</f>
        <v/>
      </c>
      <c r="K26" s="33" t="str">
        <f t="array" ref="K26">IF($C26="","",IF($C26="Work",IFERROR(SUMIFS(WORK_FACTOR_APPLICABILITY!$O:$O,WORK_FACTOR_APPLICABILITY!$A:$A,$D26,WORK_FACTOR_APPLICABILITY!$N:$N,$A26),1),IF($C26="Material",IFERROR(INDEX(MATERIAL_QUANTITY_EXAMPLE!$N:$N,MATCH(1,(MATERIAL_QUANTITY_EXAMPLE!$A:$A=MATERIAL_QUANTITY_EXAMPLE!$A:$A)*(MATERIAL_QUANTITY_EXAMPLE!$B:$B=$A26)*(MATERIAL_QUANTITY_EXAMPLE!$C:$C=$D26),0)),1),1)))</f>
        <v/>
      </c>
      <c r="L26" s="33" t="str">
        <f t="array" ref="L26">IF($A26="","",IF($C26="Material",1,IFERROR(INDEX(OBJECT_CONDITIONS!$AH:$AH,MATCH($A26,OBJECT_CONDITIONS!$A:$A,0))*INDEX(OBJECT_CONDITIONS!$AJ:$AJ,MATCH($A26,OBJECT_CONDITIONS!$A:$A,0))*INDEX(OBJECT_CONDITIONS!$AL:$AL,MATCH($A26,OBJECT_CONDITIONS!$A:$A,0)),1)))</f>
        <v/>
      </c>
      <c r="M26" s="33" t="str">
        <f>IF($B26="","",IF($C26="Work",IFERROR(IF(SUMIFS(WORK_TARIFF_RULES!$F:$F,WORK_TARIFF_RULES!$A:$A,$D26,WORK_TARIFF_RULES!$C:$C,$B26)&lt;&gt;"",SUMIFS(WORK_TARIFF_RULES!$F:$F,WORK_TARIFF_RULES!$A:$A,$D26,WORK_TARIFF_RULES!$C:$C,$B26),SUMIFS(TARIFF_PROFILES!$D:$D,TARIFF_PROFILES!$A:$A,$B26)),1),IF($C26="Material",IFERROR(IF(SUMIFS(MATERIAL_TARIFF_RULES!$E:$E,MATERIAL_TARIFF_RULES!$A:$A,$D26,MATERIAL_TARIFF_RULES!$C:$C,$B26)&lt;&gt;"",SUMIFS(MATERIAL_TARIFF_RULES!$E:$E,MATERIAL_TARIFF_RULES!$A:$A,$D26,MATERIAL_TARIFF_RULES!$C:$C,$B26),SUMIFS(TARIFF_PROFILES!$E:$E,TARIFF_PROFILES!$A:$A,$B26)),1),SUMIFS(TARIFF_PROFILES!$F:$F,TARIFF_PROFILES!$A:$A,$B26))))</f>
        <v/>
      </c>
      <c r="N26" s="33">
        <f>IF($C26="Material",IFERROR(SUMIFS(MATERIAL_MASTER!$P:$P,MATERIAL_MASTER!$A:$A,$D26)*IF(SUMIFS(MATERIAL_TARIFF_RULES!$F:$F,MATERIAL_TARIFF_RULES!$A:$A,$D26,MATERIAL_TARIFF_RULES!$C:$C,$B26)="",SUMIFS(TARIFF_PROFILES!$H:$H,TARIFF_PROFILES!$A:$A,$B26),SUMIFS(MATERIAL_TARIFF_RULES!$F:$F,MATERIAL_TARIFF_RULES!$A:$A,$D26,MATERIAL_TARIFF_RULES!$C:$C,$B26)),1),1)</f>
        <v>1</v>
      </c>
      <c r="O26" s="4" t="str">
        <f t="shared" si="1"/>
        <v/>
      </c>
      <c r="P26" s="4">
        <f t="array" ref="P26">IF(ROW()=2,MAX(0,INDEX(COMMERCIAL_POLICY!$B:$B,MATCH($B26,COMMERCIAL_POLICY!$A:$A,0))-SUM($Q$2:$Q$60)),0)</f>
        <v>0</v>
      </c>
      <c r="Q26" s="28" t="str">
        <f t="array" ref="Q26">IF($C26="","",IF($C26="Material",N($I26)*N($K26)*N($M26)*N($O26),IF($C26="Logistics",INDEX(COMMERCIAL_POLICY!$D:$D,MATCH($B26,COMMERCIAL_POLICY!$A:$A,0))*N($L26),N($I26)*N($J26)*N($K26)*N($L26)*N($M26)*N($G26))))</f>
        <v/>
      </c>
      <c r="R26" s="4" t="str">
        <f t="array" ref="R26">IF($A26="","",INDEX(OBJECT_CONDITIONS!$AM:$AM,MATCH($A26,OBJECT_CONDITIONS!$A:$A,0)))</f>
        <v/>
      </c>
      <c r="S26" s="33" t="str">
        <f t="array" ref="S26">IF($R26="","",INDEX(TAX_MODES!$B:$B,MATCH($R26,TAX_MODES!$A:$A,0)))</f>
        <v/>
      </c>
      <c r="T26" s="28" t="str">
        <f t="shared" si="2"/>
        <v/>
      </c>
      <c r="U26" s="4" t="str">
        <f t="shared" si="3"/>
        <v/>
      </c>
    </row>
    <row r="27" ht="14.25" customHeight="1">
      <c r="A27" s="4"/>
      <c r="B27" s="4"/>
      <c r="C27" s="4"/>
      <c r="D27" s="4"/>
      <c r="E27" s="4"/>
      <c r="F27" s="4" t="str">
        <f>IF($C27="","",IF($C27="Work",IFERROR(IF(SUMIFS(WORK_TARIFF_RULES!$G:$G,WORK_TARIFF_RULES!$A:$A,$D27,WORK_TARIFF_RULES!$C:$C,$B27)&lt;&gt;"",SUMIFS(WORK_TARIFF_RULES!$G:$G,WORK_TARIFF_RULES!$A:$A,$D27,WORK_TARIFF_RULES!$C:$C,$B27),SUMIFS(WORK_MASTER!$C:$C,WORK_MASTER!$A:$A,$D27)),""),IF($C27="Material",IFERROR(IF(SUMIFS(MATERIAL_TARIFF_RULES!$G:$G,MATERIAL_TARIFF_RULES!$A:$A,$D27,MATERIAL_TARIFF_RULES!$C:$C,$B27)&lt;&gt;"",SUMIFS(MATERIAL_TARIFF_RULES!$G:$G,MATERIAL_TARIFF_RULES!$A:$A,$D27,MATERIAL_TARIFF_RULES!$C:$C,$B27),SUMIFS(MATERIAL_VARIANTS!$J:$J,MATERIAL_VARIANTS!$A:$A,$E27)),""),IF($C27="Logistics","Мобилизация и логистика объекта",""))))</f>
        <v/>
      </c>
      <c r="G27" s="4"/>
      <c r="H27" s="4"/>
      <c r="I27" s="33" t="str">
        <f>IF($C27="","",IF($C27="Work",IFERROR(SUMIFS(WORK_MASTER!$I:$I,WORK_MASTER!$A:$A,$D27),0),IF($C27="Material",IFERROR(SUMIFS(MATERIAL_VARIANTS!$I:$I,MATERIAL_VARIANTS!$A:$A,$E27),0),0)))</f>
        <v/>
      </c>
      <c r="J27" s="33" t="str">
        <f>IF($C27="","",IF($C27="Work",IF($E27&lt;&gt;"",IFERROR(SUMIFS(WORK_VARIANTS!$H:$H,WORK_VARIANTS!$A:$A,$E27),1),1),1))</f>
        <v/>
      </c>
      <c r="K27" s="33" t="str">
        <f t="array" ref="K27">IF($C27="","",IF($C27="Work",IFERROR(SUMIFS(WORK_FACTOR_APPLICABILITY!$O:$O,WORK_FACTOR_APPLICABILITY!$A:$A,$D27,WORK_FACTOR_APPLICABILITY!$N:$N,$A27),1),IF($C27="Material",IFERROR(INDEX(MATERIAL_QUANTITY_EXAMPLE!$N:$N,MATCH(1,(MATERIAL_QUANTITY_EXAMPLE!$A:$A=MATERIAL_QUANTITY_EXAMPLE!$A:$A)*(MATERIAL_QUANTITY_EXAMPLE!$B:$B=$A27)*(MATERIAL_QUANTITY_EXAMPLE!$C:$C=$D27),0)),1),1)))</f>
        <v/>
      </c>
      <c r="L27" s="33" t="str">
        <f t="array" ref="L27">IF($A27="","",IF($C27="Material",1,IFERROR(INDEX(OBJECT_CONDITIONS!$AH:$AH,MATCH($A27,OBJECT_CONDITIONS!$A:$A,0))*INDEX(OBJECT_CONDITIONS!$AJ:$AJ,MATCH($A27,OBJECT_CONDITIONS!$A:$A,0))*INDEX(OBJECT_CONDITIONS!$AL:$AL,MATCH($A27,OBJECT_CONDITIONS!$A:$A,0)),1)))</f>
        <v/>
      </c>
      <c r="M27" s="33" t="str">
        <f>IF($B27="","",IF($C27="Work",IFERROR(IF(SUMIFS(WORK_TARIFF_RULES!$F:$F,WORK_TARIFF_RULES!$A:$A,$D27,WORK_TARIFF_RULES!$C:$C,$B27)&lt;&gt;"",SUMIFS(WORK_TARIFF_RULES!$F:$F,WORK_TARIFF_RULES!$A:$A,$D27,WORK_TARIFF_RULES!$C:$C,$B27),SUMIFS(TARIFF_PROFILES!$D:$D,TARIFF_PROFILES!$A:$A,$B27)),1),IF($C27="Material",IFERROR(IF(SUMIFS(MATERIAL_TARIFF_RULES!$E:$E,MATERIAL_TARIFF_RULES!$A:$A,$D27,MATERIAL_TARIFF_RULES!$C:$C,$B27)&lt;&gt;"",SUMIFS(MATERIAL_TARIFF_RULES!$E:$E,MATERIAL_TARIFF_RULES!$A:$A,$D27,MATERIAL_TARIFF_RULES!$C:$C,$B27),SUMIFS(TARIFF_PROFILES!$E:$E,TARIFF_PROFILES!$A:$A,$B27)),1),SUMIFS(TARIFF_PROFILES!$F:$F,TARIFF_PROFILES!$A:$A,$B27))))</f>
        <v/>
      </c>
      <c r="N27" s="33">
        <f>IF($C27="Material",IFERROR(SUMIFS(MATERIAL_MASTER!$P:$P,MATERIAL_MASTER!$A:$A,$D27)*IF(SUMIFS(MATERIAL_TARIFF_RULES!$F:$F,MATERIAL_TARIFF_RULES!$A:$A,$D27,MATERIAL_TARIFF_RULES!$C:$C,$B27)="",SUMIFS(TARIFF_PROFILES!$H:$H,TARIFF_PROFILES!$A:$A,$B27),SUMIFS(MATERIAL_TARIFF_RULES!$F:$F,MATERIAL_TARIFF_RULES!$A:$A,$D27,MATERIAL_TARIFF_RULES!$C:$C,$B27)),1),1)</f>
        <v>1</v>
      </c>
      <c r="O27" s="4" t="str">
        <f t="shared" si="1"/>
        <v/>
      </c>
      <c r="P27" s="4">
        <f t="array" ref="P27">IF(ROW()=2,MAX(0,INDEX(COMMERCIAL_POLICY!$B:$B,MATCH($B27,COMMERCIAL_POLICY!$A:$A,0))-SUM($Q$2:$Q$60)),0)</f>
        <v>0</v>
      </c>
      <c r="Q27" s="28" t="str">
        <f t="array" ref="Q27">IF($C27="","",IF($C27="Material",N($I27)*N($K27)*N($M27)*N($O27),IF($C27="Logistics",INDEX(COMMERCIAL_POLICY!$D:$D,MATCH($B27,COMMERCIAL_POLICY!$A:$A,0))*N($L27),N($I27)*N($J27)*N($K27)*N($L27)*N($M27)*N($G27))))</f>
        <v/>
      </c>
      <c r="R27" s="4" t="str">
        <f t="array" ref="R27">IF($A27="","",INDEX(OBJECT_CONDITIONS!$AM:$AM,MATCH($A27,OBJECT_CONDITIONS!$A:$A,0)))</f>
        <v/>
      </c>
      <c r="S27" s="33" t="str">
        <f t="array" ref="S27">IF($R27="","",INDEX(TAX_MODES!$B:$B,MATCH($R27,TAX_MODES!$A:$A,0)))</f>
        <v/>
      </c>
      <c r="T27" s="28" t="str">
        <f t="shared" si="2"/>
        <v/>
      </c>
      <c r="U27" s="4" t="str">
        <f t="shared" si="3"/>
        <v/>
      </c>
    </row>
    <row r="28" ht="14.25" customHeight="1">
      <c r="A28" s="4"/>
      <c r="B28" s="4"/>
      <c r="C28" s="4"/>
      <c r="D28" s="4"/>
      <c r="E28" s="4"/>
      <c r="F28" s="4" t="str">
        <f>IF($C28="","",IF($C28="Work",IFERROR(IF(SUMIFS(WORK_TARIFF_RULES!$G:$G,WORK_TARIFF_RULES!$A:$A,$D28,WORK_TARIFF_RULES!$C:$C,$B28)&lt;&gt;"",SUMIFS(WORK_TARIFF_RULES!$G:$G,WORK_TARIFF_RULES!$A:$A,$D28,WORK_TARIFF_RULES!$C:$C,$B28),SUMIFS(WORK_MASTER!$C:$C,WORK_MASTER!$A:$A,$D28)),""),IF($C28="Material",IFERROR(IF(SUMIFS(MATERIAL_TARIFF_RULES!$G:$G,MATERIAL_TARIFF_RULES!$A:$A,$D28,MATERIAL_TARIFF_RULES!$C:$C,$B28)&lt;&gt;"",SUMIFS(MATERIAL_TARIFF_RULES!$G:$G,MATERIAL_TARIFF_RULES!$A:$A,$D28,MATERIAL_TARIFF_RULES!$C:$C,$B28),SUMIFS(MATERIAL_VARIANTS!$J:$J,MATERIAL_VARIANTS!$A:$A,$E28)),""),IF($C28="Logistics","Мобилизация и логистика объекта",""))))</f>
        <v/>
      </c>
      <c r="G28" s="4"/>
      <c r="H28" s="4"/>
      <c r="I28" s="33" t="str">
        <f>IF($C28="","",IF($C28="Work",IFERROR(SUMIFS(WORK_MASTER!$I:$I,WORK_MASTER!$A:$A,$D28),0),IF($C28="Material",IFERROR(SUMIFS(MATERIAL_VARIANTS!$I:$I,MATERIAL_VARIANTS!$A:$A,$E28),0),0)))</f>
        <v/>
      </c>
      <c r="J28" s="33" t="str">
        <f>IF($C28="","",IF($C28="Work",IF($E28&lt;&gt;"",IFERROR(SUMIFS(WORK_VARIANTS!$H:$H,WORK_VARIANTS!$A:$A,$E28),1),1),1))</f>
        <v/>
      </c>
      <c r="K28" s="33" t="str">
        <f t="array" ref="K28">IF($C28="","",IF($C28="Work",IFERROR(SUMIFS(WORK_FACTOR_APPLICABILITY!$O:$O,WORK_FACTOR_APPLICABILITY!$A:$A,$D28,WORK_FACTOR_APPLICABILITY!$N:$N,$A28),1),IF($C28="Material",IFERROR(INDEX(MATERIAL_QUANTITY_EXAMPLE!$N:$N,MATCH(1,(MATERIAL_QUANTITY_EXAMPLE!$A:$A=MATERIAL_QUANTITY_EXAMPLE!$A:$A)*(MATERIAL_QUANTITY_EXAMPLE!$B:$B=$A28)*(MATERIAL_QUANTITY_EXAMPLE!$C:$C=$D28),0)),1),1)))</f>
        <v/>
      </c>
      <c r="L28" s="33" t="str">
        <f t="array" ref="L28">IF($A28="","",IF($C28="Material",1,IFERROR(INDEX(OBJECT_CONDITIONS!$AH:$AH,MATCH($A28,OBJECT_CONDITIONS!$A:$A,0))*INDEX(OBJECT_CONDITIONS!$AJ:$AJ,MATCH($A28,OBJECT_CONDITIONS!$A:$A,0))*INDEX(OBJECT_CONDITIONS!$AL:$AL,MATCH($A28,OBJECT_CONDITIONS!$A:$A,0)),1)))</f>
        <v/>
      </c>
      <c r="M28" s="33" t="str">
        <f>IF($B28="","",IF($C28="Work",IFERROR(IF(SUMIFS(WORK_TARIFF_RULES!$F:$F,WORK_TARIFF_RULES!$A:$A,$D28,WORK_TARIFF_RULES!$C:$C,$B28)&lt;&gt;"",SUMIFS(WORK_TARIFF_RULES!$F:$F,WORK_TARIFF_RULES!$A:$A,$D28,WORK_TARIFF_RULES!$C:$C,$B28),SUMIFS(TARIFF_PROFILES!$D:$D,TARIFF_PROFILES!$A:$A,$B28)),1),IF($C28="Material",IFERROR(IF(SUMIFS(MATERIAL_TARIFF_RULES!$E:$E,MATERIAL_TARIFF_RULES!$A:$A,$D28,MATERIAL_TARIFF_RULES!$C:$C,$B28)&lt;&gt;"",SUMIFS(MATERIAL_TARIFF_RULES!$E:$E,MATERIAL_TARIFF_RULES!$A:$A,$D28,MATERIAL_TARIFF_RULES!$C:$C,$B28),SUMIFS(TARIFF_PROFILES!$E:$E,TARIFF_PROFILES!$A:$A,$B28)),1),SUMIFS(TARIFF_PROFILES!$F:$F,TARIFF_PROFILES!$A:$A,$B28))))</f>
        <v/>
      </c>
      <c r="N28" s="33">
        <f>IF($C28="Material",IFERROR(SUMIFS(MATERIAL_MASTER!$P:$P,MATERIAL_MASTER!$A:$A,$D28)*IF(SUMIFS(MATERIAL_TARIFF_RULES!$F:$F,MATERIAL_TARIFF_RULES!$A:$A,$D28,MATERIAL_TARIFF_RULES!$C:$C,$B28)="",SUMIFS(TARIFF_PROFILES!$H:$H,TARIFF_PROFILES!$A:$A,$B28),SUMIFS(MATERIAL_TARIFF_RULES!$F:$F,MATERIAL_TARIFF_RULES!$A:$A,$D28,MATERIAL_TARIFF_RULES!$C:$C,$B28)),1),1)</f>
        <v>1</v>
      </c>
      <c r="O28" s="4" t="str">
        <f t="shared" si="1"/>
        <v/>
      </c>
      <c r="P28" s="4">
        <f t="array" ref="P28">IF(ROW()=2,MAX(0,INDEX(COMMERCIAL_POLICY!$B:$B,MATCH($B28,COMMERCIAL_POLICY!$A:$A,0))-SUM($Q$2:$Q$60)),0)</f>
        <v>0</v>
      </c>
      <c r="Q28" s="28" t="str">
        <f t="array" ref="Q28">IF($C28="","",IF($C28="Material",N($I28)*N($K28)*N($M28)*N($O28),IF($C28="Logistics",INDEX(COMMERCIAL_POLICY!$D:$D,MATCH($B28,COMMERCIAL_POLICY!$A:$A,0))*N($L28),N($I28)*N($J28)*N($K28)*N($L28)*N($M28)*N($G28))))</f>
        <v/>
      </c>
      <c r="R28" s="4" t="str">
        <f t="array" ref="R28">IF($A28="","",INDEX(OBJECT_CONDITIONS!$AM:$AM,MATCH($A28,OBJECT_CONDITIONS!$A:$A,0)))</f>
        <v/>
      </c>
      <c r="S28" s="33" t="str">
        <f t="array" ref="S28">IF($R28="","",INDEX(TAX_MODES!$B:$B,MATCH($R28,TAX_MODES!$A:$A,0)))</f>
        <v/>
      </c>
      <c r="T28" s="28" t="str">
        <f t="shared" si="2"/>
        <v/>
      </c>
      <c r="U28" s="4" t="str">
        <f t="shared" si="3"/>
        <v/>
      </c>
    </row>
    <row r="29" ht="14.25" customHeight="1">
      <c r="A29" s="4"/>
      <c r="B29" s="4"/>
      <c r="C29" s="4"/>
      <c r="D29" s="4"/>
      <c r="E29" s="4"/>
      <c r="F29" s="4" t="str">
        <f>IF($C29="","",IF($C29="Work",IFERROR(IF(SUMIFS(WORK_TARIFF_RULES!$G:$G,WORK_TARIFF_RULES!$A:$A,$D29,WORK_TARIFF_RULES!$C:$C,$B29)&lt;&gt;"",SUMIFS(WORK_TARIFF_RULES!$G:$G,WORK_TARIFF_RULES!$A:$A,$D29,WORK_TARIFF_RULES!$C:$C,$B29),SUMIFS(WORK_MASTER!$C:$C,WORK_MASTER!$A:$A,$D29)),""),IF($C29="Material",IFERROR(IF(SUMIFS(MATERIAL_TARIFF_RULES!$G:$G,MATERIAL_TARIFF_RULES!$A:$A,$D29,MATERIAL_TARIFF_RULES!$C:$C,$B29)&lt;&gt;"",SUMIFS(MATERIAL_TARIFF_RULES!$G:$G,MATERIAL_TARIFF_RULES!$A:$A,$D29,MATERIAL_TARIFF_RULES!$C:$C,$B29),SUMIFS(MATERIAL_VARIANTS!$J:$J,MATERIAL_VARIANTS!$A:$A,$E29)),""),IF($C29="Logistics","Мобилизация и логистика объекта",""))))</f>
        <v/>
      </c>
      <c r="G29" s="4"/>
      <c r="H29" s="4"/>
      <c r="I29" s="33" t="str">
        <f>IF($C29="","",IF($C29="Work",IFERROR(SUMIFS(WORK_MASTER!$I:$I,WORK_MASTER!$A:$A,$D29),0),IF($C29="Material",IFERROR(SUMIFS(MATERIAL_VARIANTS!$I:$I,MATERIAL_VARIANTS!$A:$A,$E29),0),0)))</f>
        <v/>
      </c>
      <c r="J29" s="33" t="str">
        <f>IF($C29="","",IF($C29="Work",IF($E29&lt;&gt;"",IFERROR(SUMIFS(WORK_VARIANTS!$H:$H,WORK_VARIANTS!$A:$A,$E29),1),1),1))</f>
        <v/>
      </c>
      <c r="K29" s="33" t="str">
        <f t="array" ref="K29">IF($C29="","",IF($C29="Work",IFERROR(SUMIFS(WORK_FACTOR_APPLICABILITY!$O:$O,WORK_FACTOR_APPLICABILITY!$A:$A,$D29,WORK_FACTOR_APPLICABILITY!$N:$N,$A29),1),IF($C29="Material",IFERROR(INDEX(MATERIAL_QUANTITY_EXAMPLE!$N:$N,MATCH(1,(MATERIAL_QUANTITY_EXAMPLE!$A:$A=MATERIAL_QUANTITY_EXAMPLE!$A:$A)*(MATERIAL_QUANTITY_EXAMPLE!$B:$B=$A29)*(MATERIAL_QUANTITY_EXAMPLE!$C:$C=$D29),0)),1),1)))</f>
        <v/>
      </c>
      <c r="L29" s="33" t="str">
        <f t="array" ref="L29">IF($A29="","",IF($C29="Material",1,IFERROR(INDEX(OBJECT_CONDITIONS!$AH:$AH,MATCH($A29,OBJECT_CONDITIONS!$A:$A,0))*INDEX(OBJECT_CONDITIONS!$AJ:$AJ,MATCH($A29,OBJECT_CONDITIONS!$A:$A,0))*INDEX(OBJECT_CONDITIONS!$AL:$AL,MATCH($A29,OBJECT_CONDITIONS!$A:$A,0)),1)))</f>
        <v/>
      </c>
      <c r="M29" s="33" t="str">
        <f>IF($B29="","",IF($C29="Work",IFERROR(IF(SUMIFS(WORK_TARIFF_RULES!$F:$F,WORK_TARIFF_RULES!$A:$A,$D29,WORK_TARIFF_RULES!$C:$C,$B29)&lt;&gt;"",SUMIFS(WORK_TARIFF_RULES!$F:$F,WORK_TARIFF_RULES!$A:$A,$D29,WORK_TARIFF_RULES!$C:$C,$B29),SUMIFS(TARIFF_PROFILES!$D:$D,TARIFF_PROFILES!$A:$A,$B29)),1),IF($C29="Material",IFERROR(IF(SUMIFS(MATERIAL_TARIFF_RULES!$E:$E,MATERIAL_TARIFF_RULES!$A:$A,$D29,MATERIAL_TARIFF_RULES!$C:$C,$B29)&lt;&gt;"",SUMIFS(MATERIAL_TARIFF_RULES!$E:$E,MATERIAL_TARIFF_RULES!$A:$A,$D29,MATERIAL_TARIFF_RULES!$C:$C,$B29),SUMIFS(TARIFF_PROFILES!$E:$E,TARIFF_PROFILES!$A:$A,$B29)),1),SUMIFS(TARIFF_PROFILES!$F:$F,TARIFF_PROFILES!$A:$A,$B29))))</f>
        <v/>
      </c>
      <c r="N29" s="33">
        <f>IF($C29="Material",IFERROR(SUMIFS(MATERIAL_MASTER!$P:$P,MATERIAL_MASTER!$A:$A,$D29)*IF(SUMIFS(MATERIAL_TARIFF_RULES!$F:$F,MATERIAL_TARIFF_RULES!$A:$A,$D29,MATERIAL_TARIFF_RULES!$C:$C,$B29)="",SUMIFS(TARIFF_PROFILES!$H:$H,TARIFF_PROFILES!$A:$A,$B29),SUMIFS(MATERIAL_TARIFF_RULES!$F:$F,MATERIAL_TARIFF_RULES!$A:$A,$D29,MATERIAL_TARIFF_RULES!$C:$C,$B29)),1),1)</f>
        <v>1</v>
      </c>
      <c r="O29" s="4" t="str">
        <f t="shared" si="1"/>
        <v/>
      </c>
      <c r="P29" s="4">
        <f t="array" ref="P29">IF(ROW()=2,MAX(0,INDEX(COMMERCIAL_POLICY!$B:$B,MATCH($B29,COMMERCIAL_POLICY!$A:$A,0))-SUM($Q$2:$Q$60)),0)</f>
        <v>0</v>
      </c>
      <c r="Q29" s="28" t="str">
        <f t="array" ref="Q29">IF($C29="","",IF($C29="Material",N($I29)*N($K29)*N($M29)*N($O29),IF($C29="Logistics",INDEX(COMMERCIAL_POLICY!$D:$D,MATCH($B29,COMMERCIAL_POLICY!$A:$A,0))*N($L29),N($I29)*N($J29)*N($K29)*N($L29)*N($M29)*N($G29))))</f>
        <v/>
      </c>
      <c r="R29" s="4" t="str">
        <f t="array" ref="R29">IF($A29="","",INDEX(OBJECT_CONDITIONS!$AM:$AM,MATCH($A29,OBJECT_CONDITIONS!$A:$A,0)))</f>
        <v/>
      </c>
      <c r="S29" s="33" t="str">
        <f t="array" ref="S29">IF($R29="","",INDEX(TAX_MODES!$B:$B,MATCH($R29,TAX_MODES!$A:$A,0)))</f>
        <v/>
      </c>
      <c r="T29" s="28" t="str">
        <f t="shared" si="2"/>
        <v/>
      </c>
      <c r="U29" s="4" t="str">
        <f t="shared" si="3"/>
        <v/>
      </c>
    </row>
    <row r="30" ht="14.25" customHeight="1">
      <c r="A30" s="4"/>
      <c r="B30" s="4"/>
      <c r="C30" s="4"/>
      <c r="D30" s="4"/>
      <c r="E30" s="4"/>
      <c r="F30" s="4" t="str">
        <f>IF($C30="","",IF($C30="Work",IFERROR(IF(SUMIFS(WORK_TARIFF_RULES!$G:$G,WORK_TARIFF_RULES!$A:$A,$D30,WORK_TARIFF_RULES!$C:$C,$B30)&lt;&gt;"",SUMIFS(WORK_TARIFF_RULES!$G:$G,WORK_TARIFF_RULES!$A:$A,$D30,WORK_TARIFF_RULES!$C:$C,$B30),SUMIFS(WORK_MASTER!$C:$C,WORK_MASTER!$A:$A,$D30)),""),IF($C30="Material",IFERROR(IF(SUMIFS(MATERIAL_TARIFF_RULES!$G:$G,MATERIAL_TARIFF_RULES!$A:$A,$D30,MATERIAL_TARIFF_RULES!$C:$C,$B30)&lt;&gt;"",SUMIFS(MATERIAL_TARIFF_RULES!$G:$G,MATERIAL_TARIFF_RULES!$A:$A,$D30,MATERIAL_TARIFF_RULES!$C:$C,$B30),SUMIFS(MATERIAL_VARIANTS!$J:$J,MATERIAL_VARIANTS!$A:$A,$E30)),""),IF($C30="Logistics","Мобилизация и логистика объекта",""))))</f>
        <v/>
      </c>
      <c r="G30" s="4"/>
      <c r="H30" s="4"/>
      <c r="I30" s="33" t="str">
        <f>IF($C30="","",IF($C30="Work",IFERROR(SUMIFS(WORK_MASTER!$I:$I,WORK_MASTER!$A:$A,$D30),0),IF($C30="Material",IFERROR(SUMIFS(MATERIAL_VARIANTS!$I:$I,MATERIAL_VARIANTS!$A:$A,$E30),0),0)))</f>
        <v/>
      </c>
      <c r="J30" s="33" t="str">
        <f>IF($C30="","",IF($C30="Work",IF($E30&lt;&gt;"",IFERROR(SUMIFS(WORK_VARIANTS!$H:$H,WORK_VARIANTS!$A:$A,$E30),1),1),1))</f>
        <v/>
      </c>
      <c r="K30" s="33" t="str">
        <f t="array" ref="K30">IF($C30="","",IF($C30="Work",IFERROR(SUMIFS(WORK_FACTOR_APPLICABILITY!$O:$O,WORK_FACTOR_APPLICABILITY!$A:$A,$D30,WORK_FACTOR_APPLICABILITY!$N:$N,$A30),1),IF($C30="Material",IFERROR(INDEX(MATERIAL_QUANTITY_EXAMPLE!$N:$N,MATCH(1,(MATERIAL_QUANTITY_EXAMPLE!$A:$A=MATERIAL_QUANTITY_EXAMPLE!$A:$A)*(MATERIAL_QUANTITY_EXAMPLE!$B:$B=$A30)*(MATERIAL_QUANTITY_EXAMPLE!$C:$C=$D30),0)),1),1)))</f>
        <v/>
      </c>
      <c r="L30" s="33" t="str">
        <f t="array" ref="L30">IF($A30="","",IF($C30="Material",1,IFERROR(INDEX(OBJECT_CONDITIONS!$AH:$AH,MATCH($A30,OBJECT_CONDITIONS!$A:$A,0))*INDEX(OBJECT_CONDITIONS!$AJ:$AJ,MATCH($A30,OBJECT_CONDITIONS!$A:$A,0))*INDEX(OBJECT_CONDITIONS!$AL:$AL,MATCH($A30,OBJECT_CONDITIONS!$A:$A,0)),1)))</f>
        <v/>
      </c>
      <c r="M30" s="33" t="str">
        <f>IF($B30="","",IF($C30="Work",IFERROR(IF(SUMIFS(WORK_TARIFF_RULES!$F:$F,WORK_TARIFF_RULES!$A:$A,$D30,WORK_TARIFF_RULES!$C:$C,$B30)&lt;&gt;"",SUMIFS(WORK_TARIFF_RULES!$F:$F,WORK_TARIFF_RULES!$A:$A,$D30,WORK_TARIFF_RULES!$C:$C,$B30),SUMIFS(TARIFF_PROFILES!$D:$D,TARIFF_PROFILES!$A:$A,$B30)),1),IF($C30="Material",IFERROR(IF(SUMIFS(MATERIAL_TARIFF_RULES!$E:$E,MATERIAL_TARIFF_RULES!$A:$A,$D30,MATERIAL_TARIFF_RULES!$C:$C,$B30)&lt;&gt;"",SUMIFS(MATERIAL_TARIFF_RULES!$E:$E,MATERIAL_TARIFF_RULES!$A:$A,$D30,MATERIAL_TARIFF_RULES!$C:$C,$B30),SUMIFS(TARIFF_PROFILES!$E:$E,TARIFF_PROFILES!$A:$A,$B30)),1),SUMIFS(TARIFF_PROFILES!$F:$F,TARIFF_PROFILES!$A:$A,$B30))))</f>
        <v/>
      </c>
      <c r="N30" s="33">
        <f>IF($C30="Material",IFERROR(SUMIFS(MATERIAL_MASTER!$P:$P,MATERIAL_MASTER!$A:$A,$D30)*IF(SUMIFS(MATERIAL_TARIFF_RULES!$F:$F,MATERIAL_TARIFF_RULES!$A:$A,$D30,MATERIAL_TARIFF_RULES!$C:$C,$B30)="",SUMIFS(TARIFF_PROFILES!$H:$H,TARIFF_PROFILES!$A:$A,$B30),SUMIFS(MATERIAL_TARIFF_RULES!$F:$F,MATERIAL_TARIFF_RULES!$A:$A,$D30,MATERIAL_TARIFF_RULES!$C:$C,$B30)),1),1)</f>
        <v>1</v>
      </c>
      <c r="O30" s="4" t="str">
        <f t="shared" si="1"/>
        <v/>
      </c>
      <c r="P30" s="4">
        <f t="array" ref="P30">IF(ROW()=2,MAX(0,INDEX(COMMERCIAL_POLICY!$B:$B,MATCH($B30,COMMERCIAL_POLICY!$A:$A,0))-SUM($Q$2:$Q$60)),0)</f>
        <v>0</v>
      </c>
      <c r="Q30" s="28" t="str">
        <f t="array" ref="Q30">IF($C30="","",IF($C30="Material",N($I30)*N($K30)*N($M30)*N($O30),IF($C30="Logistics",INDEX(COMMERCIAL_POLICY!$D:$D,MATCH($B30,COMMERCIAL_POLICY!$A:$A,0))*N($L30),N($I30)*N($J30)*N($K30)*N($L30)*N($M30)*N($G30))))</f>
        <v/>
      </c>
      <c r="R30" s="4" t="str">
        <f t="array" ref="R30">IF($A30="","",INDEX(OBJECT_CONDITIONS!$AM:$AM,MATCH($A30,OBJECT_CONDITIONS!$A:$A,0)))</f>
        <v/>
      </c>
      <c r="S30" s="33" t="str">
        <f t="array" ref="S30">IF($R30="","",INDEX(TAX_MODES!$B:$B,MATCH($R30,TAX_MODES!$A:$A,0)))</f>
        <v/>
      </c>
      <c r="T30" s="28" t="str">
        <f t="shared" si="2"/>
        <v/>
      </c>
      <c r="U30" s="4" t="str">
        <f t="shared" si="3"/>
        <v/>
      </c>
    </row>
    <row r="31" ht="14.25" customHeight="1">
      <c r="A31" s="4"/>
      <c r="B31" s="4"/>
      <c r="C31" s="4"/>
      <c r="D31" s="4"/>
      <c r="E31" s="4"/>
      <c r="F31" s="4" t="str">
        <f>IF($C31="","",IF($C31="Work",IFERROR(IF(SUMIFS(WORK_TARIFF_RULES!$G:$G,WORK_TARIFF_RULES!$A:$A,$D31,WORK_TARIFF_RULES!$C:$C,$B31)&lt;&gt;"",SUMIFS(WORK_TARIFF_RULES!$G:$G,WORK_TARIFF_RULES!$A:$A,$D31,WORK_TARIFF_RULES!$C:$C,$B31),SUMIFS(WORK_MASTER!$C:$C,WORK_MASTER!$A:$A,$D31)),""),IF($C31="Material",IFERROR(IF(SUMIFS(MATERIAL_TARIFF_RULES!$G:$G,MATERIAL_TARIFF_RULES!$A:$A,$D31,MATERIAL_TARIFF_RULES!$C:$C,$B31)&lt;&gt;"",SUMIFS(MATERIAL_TARIFF_RULES!$G:$G,MATERIAL_TARIFF_RULES!$A:$A,$D31,MATERIAL_TARIFF_RULES!$C:$C,$B31),SUMIFS(MATERIAL_VARIANTS!$J:$J,MATERIAL_VARIANTS!$A:$A,$E31)),""),IF($C31="Logistics","Мобилизация и логистика объекта",""))))</f>
        <v/>
      </c>
      <c r="G31" s="4"/>
      <c r="H31" s="4"/>
      <c r="I31" s="33" t="str">
        <f>IF($C31="","",IF($C31="Work",IFERROR(SUMIFS(WORK_MASTER!$I:$I,WORK_MASTER!$A:$A,$D31),0),IF($C31="Material",IFERROR(SUMIFS(MATERIAL_VARIANTS!$I:$I,MATERIAL_VARIANTS!$A:$A,$E31),0),0)))</f>
        <v/>
      </c>
      <c r="J31" s="33" t="str">
        <f>IF($C31="","",IF($C31="Work",IF($E31&lt;&gt;"",IFERROR(SUMIFS(WORK_VARIANTS!$H:$H,WORK_VARIANTS!$A:$A,$E31),1),1),1))</f>
        <v/>
      </c>
      <c r="K31" s="33" t="str">
        <f t="array" ref="K31">IF($C31="","",IF($C31="Work",IFERROR(SUMIFS(WORK_FACTOR_APPLICABILITY!$O:$O,WORK_FACTOR_APPLICABILITY!$A:$A,$D31,WORK_FACTOR_APPLICABILITY!$N:$N,$A31),1),IF($C31="Material",IFERROR(INDEX(MATERIAL_QUANTITY_EXAMPLE!$N:$N,MATCH(1,(MATERIAL_QUANTITY_EXAMPLE!$A:$A=MATERIAL_QUANTITY_EXAMPLE!$A:$A)*(MATERIAL_QUANTITY_EXAMPLE!$B:$B=$A31)*(MATERIAL_QUANTITY_EXAMPLE!$C:$C=$D31),0)),1),1)))</f>
        <v/>
      </c>
      <c r="L31" s="33" t="str">
        <f t="array" ref="L31">IF($A31="","",IF($C31="Material",1,IFERROR(INDEX(OBJECT_CONDITIONS!$AH:$AH,MATCH($A31,OBJECT_CONDITIONS!$A:$A,0))*INDEX(OBJECT_CONDITIONS!$AJ:$AJ,MATCH($A31,OBJECT_CONDITIONS!$A:$A,0))*INDEX(OBJECT_CONDITIONS!$AL:$AL,MATCH($A31,OBJECT_CONDITIONS!$A:$A,0)),1)))</f>
        <v/>
      </c>
      <c r="M31" s="33" t="str">
        <f>IF($B31="","",IF($C31="Work",IFERROR(IF(SUMIFS(WORK_TARIFF_RULES!$F:$F,WORK_TARIFF_RULES!$A:$A,$D31,WORK_TARIFF_RULES!$C:$C,$B31)&lt;&gt;"",SUMIFS(WORK_TARIFF_RULES!$F:$F,WORK_TARIFF_RULES!$A:$A,$D31,WORK_TARIFF_RULES!$C:$C,$B31),SUMIFS(TARIFF_PROFILES!$D:$D,TARIFF_PROFILES!$A:$A,$B31)),1),IF($C31="Material",IFERROR(IF(SUMIFS(MATERIAL_TARIFF_RULES!$E:$E,MATERIAL_TARIFF_RULES!$A:$A,$D31,MATERIAL_TARIFF_RULES!$C:$C,$B31)&lt;&gt;"",SUMIFS(MATERIAL_TARIFF_RULES!$E:$E,MATERIAL_TARIFF_RULES!$A:$A,$D31,MATERIAL_TARIFF_RULES!$C:$C,$B31),SUMIFS(TARIFF_PROFILES!$E:$E,TARIFF_PROFILES!$A:$A,$B31)),1),SUMIFS(TARIFF_PROFILES!$F:$F,TARIFF_PROFILES!$A:$A,$B31))))</f>
        <v/>
      </c>
      <c r="N31" s="33">
        <f>IF($C31="Material",IFERROR(SUMIFS(MATERIAL_MASTER!$P:$P,MATERIAL_MASTER!$A:$A,$D31)*IF(SUMIFS(MATERIAL_TARIFF_RULES!$F:$F,MATERIAL_TARIFF_RULES!$A:$A,$D31,MATERIAL_TARIFF_RULES!$C:$C,$B31)="",SUMIFS(TARIFF_PROFILES!$H:$H,TARIFF_PROFILES!$A:$A,$B31),SUMIFS(MATERIAL_TARIFF_RULES!$F:$F,MATERIAL_TARIFF_RULES!$A:$A,$D31,MATERIAL_TARIFF_RULES!$C:$C,$B31)),1),1)</f>
        <v>1</v>
      </c>
      <c r="O31" s="4" t="str">
        <f t="shared" si="1"/>
        <v/>
      </c>
      <c r="P31" s="4">
        <f t="array" ref="P31">IF(ROW()=2,MAX(0,INDEX(COMMERCIAL_POLICY!$B:$B,MATCH($B31,COMMERCIAL_POLICY!$A:$A,0))-SUM($Q$2:$Q$60)),0)</f>
        <v>0</v>
      </c>
      <c r="Q31" s="28" t="str">
        <f t="array" ref="Q31">IF($C31="","",IF($C31="Material",N($I31)*N($K31)*N($M31)*N($O31),IF($C31="Logistics",INDEX(COMMERCIAL_POLICY!$D:$D,MATCH($B31,COMMERCIAL_POLICY!$A:$A,0))*N($L31),N($I31)*N($J31)*N($K31)*N($L31)*N($M31)*N($G31))))</f>
        <v/>
      </c>
      <c r="R31" s="4" t="str">
        <f t="array" ref="R31">IF($A31="","",INDEX(OBJECT_CONDITIONS!$AM:$AM,MATCH($A31,OBJECT_CONDITIONS!$A:$A,0)))</f>
        <v/>
      </c>
      <c r="S31" s="33" t="str">
        <f t="array" ref="S31">IF($R31="","",INDEX(TAX_MODES!$B:$B,MATCH($R31,TAX_MODES!$A:$A,0)))</f>
        <v/>
      </c>
      <c r="T31" s="28" t="str">
        <f t="shared" si="2"/>
        <v/>
      </c>
      <c r="U31" s="4" t="str">
        <f t="shared" si="3"/>
        <v/>
      </c>
    </row>
    <row r="32" ht="14.25" customHeight="1">
      <c r="A32" s="4"/>
      <c r="B32" s="4"/>
      <c r="C32" s="4"/>
      <c r="D32" s="4"/>
      <c r="E32" s="4"/>
      <c r="F32" s="4" t="str">
        <f>IF($C32="","",IF($C32="Work",IFERROR(IF(SUMIFS(WORK_TARIFF_RULES!$G:$G,WORK_TARIFF_RULES!$A:$A,$D32,WORK_TARIFF_RULES!$C:$C,$B32)&lt;&gt;"",SUMIFS(WORK_TARIFF_RULES!$G:$G,WORK_TARIFF_RULES!$A:$A,$D32,WORK_TARIFF_RULES!$C:$C,$B32),SUMIFS(WORK_MASTER!$C:$C,WORK_MASTER!$A:$A,$D32)),""),IF($C32="Material",IFERROR(IF(SUMIFS(MATERIAL_TARIFF_RULES!$G:$G,MATERIAL_TARIFF_RULES!$A:$A,$D32,MATERIAL_TARIFF_RULES!$C:$C,$B32)&lt;&gt;"",SUMIFS(MATERIAL_TARIFF_RULES!$G:$G,MATERIAL_TARIFF_RULES!$A:$A,$D32,MATERIAL_TARIFF_RULES!$C:$C,$B32),SUMIFS(MATERIAL_VARIANTS!$J:$J,MATERIAL_VARIANTS!$A:$A,$E32)),""),IF($C32="Logistics","Мобилизация и логистика объекта",""))))</f>
        <v/>
      </c>
      <c r="G32" s="4"/>
      <c r="H32" s="4"/>
      <c r="I32" s="33" t="str">
        <f>IF($C32="","",IF($C32="Work",IFERROR(SUMIFS(WORK_MASTER!$I:$I,WORK_MASTER!$A:$A,$D32),0),IF($C32="Material",IFERROR(SUMIFS(MATERIAL_VARIANTS!$I:$I,MATERIAL_VARIANTS!$A:$A,$E32),0),0)))</f>
        <v/>
      </c>
      <c r="J32" s="33" t="str">
        <f>IF($C32="","",IF($C32="Work",IF($E32&lt;&gt;"",IFERROR(SUMIFS(WORK_VARIANTS!$H:$H,WORK_VARIANTS!$A:$A,$E32),1),1),1))</f>
        <v/>
      </c>
      <c r="K32" s="33" t="str">
        <f t="array" ref="K32">IF($C32="","",IF($C32="Work",IFERROR(SUMIFS(WORK_FACTOR_APPLICABILITY!$O:$O,WORK_FACTOR_APPLICABILITY!$A:$A,$D32,WORK_FACTOR_APPLICABILITY!$N:$N,$A32),1),IF($C32="Material",IFERROR(INDEX(MATERIAL_QUANTITY_EXAMPLE!$N:$N,MATCH(1,(MATERIAL_QUANTITY_EXAMPLE!$A:$A=MATERIAL_QUANTITY_EXAMPLE!$A:$A)*(MATERIAL_QUANTITY_EXAMPLE!$B:$B=$A32)*(MATERIAL_QUANTITY_EXAMPLE!$C:$C=$D32),0)),1),1)))</f>
        <v/>
      </c>
      <c r="L32" s="33" t="str">
        <f t="array" ref="L32">IF($A32="","",IF($C32="Material",1,IFERROR(INDEX(OBJECT_CONDITIONS!$AH:$AH,MATCH($A32,OBJECT_CONDITIONS!$A:$A,0))*INDEX(OBJECT_CONDITIONS!$AJ:$AJ,MATCH($A32,OBJECT_CONDITIONS!$A:$A,0))*INDEX(OBJECT_CONDITIONS!$AL:$AL,MATCH($A32,OBJECT_CONDITIONS!$A:$A,0)),1)))</f>
        <v/>
      </c>
      <c r="M32" s="33" t="str">
        <f>IF($B32="","",IF($C32="Work",IFERROR(IF(SUMIFS(WORK_TARIFF_RULES!$F:$F,WORK_TARIFF_RULES!$A:$A,$D32,WORK_TARIFF_RULES!$C:$C,$B32)&lt;&gt;"",SUMIFS(WORK_TARIFF_RULES!$F:$F,WORK_TARIFF_RULES!$A:$A,$D32,WORK_TARIFF_RULES!$C:$C,$B32),SUMIFS(TARIFF_PROFILES!$D:$D,TARIFF_PROFILES!$A:$A,$B32)),1),IF($C32="Material",IFERROR(IF(SUMIFS(MATERIAL_TARIFF_RULES!$E:$E,MATERIAL_TARIFF_RULES!$A:$A,$D32,MATERIAL_TARIFF_RULES!$C:$C,$B32)&lt;&gt;"",SUMIFS(MATERIAL_TARIFF_RULES!$E:$E,MATERIAL_TARIFF_RULES!$A:$A,$D32,MATERIAL_TARIFF_RULES!$C:$C,$B32),SUMIFS(TARIFF_PROFILES!$E:$E,TARIFF_PROFILES!$A:$A,$B32)),1),SUMIFS(TARIFF_PROFILES!$F:$F,TARIFF_PROFILES!$A:$A,$B32))))</f>
        <v/>
      </c>
      <c r="N32" s="33">
        <f>IF($C32="Material",IFERROR(SUMIFS(MATERIAL_MASTER!$P:$P,MATERIAL_MASTER!$A:$A,$D32)*IF(SUMIFS(MATERIAL_TARIFF_RULES!$F:$F,MATERIAL_TARIFF_RULES!$A:$A,$D32,MATERIAL_TARIFF_RULES!$C:$C,$B32)="",SUMIFS(TARIFF_PROFILES!$H:$H,TARIFF_PROFILES!$A:$A,$B32),SUMIFS(MATERIAL_TARIFF_RULES!$F:$F,MATERIAL_TARIFF_RULES!$A:$A,$D32,MATERIAL_TARIFF_RULES!$C:$C,$B32)),1),1)</f>
        <v>1</v>
      </c>
      <c r="O32" s="4" t="str">
        <f t="shared" si="1"/>
        <v/>
      </c>
      <c r="P32" s="4">
        <f t="array" ref="P32">IF(ROW()=2,MAX(0,INDEX(COMMERCIAL_POLICY!$B:$B,MATCH($B32,COMMERCIAL_POLICY!$A:$A,0))-SUM($Q$2:$Q$60)),0)</f>
        <v>0</v>
      </c>
      <c r="Q32" s="28" t="str">
        <f t="array" ref="Q32">IF($C32="","",IF($C32="Material",N($I32)*N($K32)*N($M32)*N($O32),IF($C32="Logistics",INDEX(COMMERCIAL_POLICY!$D:$D,MATCH($B32,COMMERCIAL_POLICY!$A:$A,0))*N($L32),N($I32)*N($J32)*N($K32)*N($L32)*N($M32)*N($G32))))</f>
        <v/>
      </c>
      <c r="R32" s="4" t="str">
        <f t="array" ref="R32">IF($A32="","",INDEX(OBJECT_CONDITIONS!$AM:$AM,MATCH($A32,OBJECT_CONDITIONS!$A:$A,0)))</f>
        <v/>
      </c>
      <c r="S32" s="33" t="str">
        <f t="array" ref="S32">IF($R32="","",INDEX(TAX_MODES!$B:$B,MATCH($R32,TAX_MODES!$A:$A,0)))</f>
        <v/>
      </c>
      <c r="T32" s="28" t="str">
        <f t="shared" si="2"/>
        <v/>
      </c>
      <c r="U32" s="4" t="str">
        <f t="shared" si="3"/>
        <v/>
      </c>
    </row>
    <row r="33" ht="14.25" customHeight="1">
      <c r="A33" s="4"/>
      <c r="B33" s="4"/>
      <c r="C33" s="4"/>
      <c r="D33" s="4"/>
      <c r="E33" s="4"/>
      <c r="F33" s="4" t="str">
        <f>IF($C33="","",IF($C33="Work",IFERROR(IF(SUMIFS(WORK_TARIFF_RULES!$G:$G,WORK_TARIFF_RULES!$A:$A,$D33,WORK_TARIFF_RULES!$C:$C,$B33)&lt;&gt;"",SUMIFS(WORK_TARIFF_RULES!$G:$G,WORK_TARIFF_RULES!$A:$A,$D33,WORK_TARIFF_RULES!$C:$C,$B33),SUMIFS(WORK_MASTER!$C:$C,WORK_MASTER!$A:$A,$D33)),""),IF($C33="Material",IFERROR(IF(SUMIFS(MATERIAL_TARIFF_RULES!$G:$G,MATERIAL_TARIFF_RULES!$A:$A,$D33,MATERIAL_TARIFF_RULES!$C:$C,$B33)&lt;&gt;"",SUMIFS(MATERIAL_TARIFF_RULES!$G:$G,MATERIAL_TARIFF_RULES!$A:$A,$D33,MATERIAL_TARIFF_RULES!$C:$C,$B33),SUMIFS(MATERIAL_VARIANTS!$J:$J,MATERIAL_VARIANTS!$A:$A,$E33)),""),IF($C33="Logistics","Мобилизация и логистика объекта",""))))</f>
        <v/>
      </c>
      <c r="G33" s="4"/>
      <c r="H33" s="4"/>
      <c r="I33" s="33" t="str">
        <f>IF($C33="","",IF($C33="Work",IFERROR(SUMIFS(WORK_MASTER!$I:$I,WORK_MASTER!$A:$A,$D33),0),IF($C33="Material",IFERROR(SUMIFS(MATERIAL_VARIANTS!$I:$I,MATERIAL_VARIANTS!$A:$A,$E33),0),0)))</f>
        <v/>
      </c>
      <c r="J33" s="33" t="str">
        <f>IF($C33="","",IF($C33="Work",IF($E33&lt;&gt;"",IFERROR(SUMIFS(WORK_VARIANTS!$H:$H,WORK_VARIANTS!$A:$A,$E33),1),1),1))</f>
        <v/>
      </c>
      <c r="K33" s="33" t="str">
        <f t="array" ref="K33">IF($C33="","",IF($C33="Work",IFERROR(SUMIFS(WORK_FACTOR_APPLICABILITY!$O:$O,WORK_FACTOR_APPLICABILITY!$A:$A,$D33,WORK_FACTOR_APPLICABILITY!$N:$N,$A33),1),IF($C33="Material",IFERROR(INDEX(MATERIAL_QUANTITY_EXAMPLE!$N:$N,MATCH(1,(MATERIAL_QUANTITY_EXAMPLE!$A:$A=MATERIAL_QUANTITY_EXAMPLE!$A:$A)*(MATERIAL_QUANTITY_EXAMPLE!$B:$B=$A33)*(MATERIAL_QUANTITY_EXAMPLE!$C:$C=$D33),0)),1),1)))</f>
        <v/>
      </c>
      <c r="L33" s="33" t="str">
        <f t="array" ref="L33">IF($A33="","",IF($C33="Material",1,IFERROR(INDEX(OBJECT_CONDITIONS!$AH:$AH,MATCH($A33,OBJECT_CONDITIONS!$A:$A,0))*INDEX(OBJECT_CONDITIONS!$AJ:$AJ,MATCH($A33,OBJECT_CONDITIONS!$A:$A,0))*INDEX(OBJECT_CONDITIONS!$AL:$AL,MATCH($A33,OBJECT_CONDITIONS!$A:$A,0)),1)))</f>
        <v/>
      </c>
      <c r="M33" s="33" t="str">
        <f>IF($B33="","",IF($C33="Work",IFERROR(IF(SUMIFS(WORK_TARIFF_RULES!$F:$F,WORK_TARIFF_RULES!$A:$A,$D33,WORK_TARIFF_RULES!$C:$C,$B33)&lt;&gt;"",SUMIFS(WORK_TARIFF_RULES!$F:$F,WORK_TARIFF_RULES!$A:$A,$D33,WORK_TARIFF_RULES!$C:$C,$B33),SUMIFS(TARIFF_PROFILES!$D:$D,TARIFF_PROFILES!$A:$A,$B33)),1),IF($C33="Material",IFERROR(IF(SUMIFS(MATERIAL_TARIFF_RULES!$E:$E,MATERIAL_TARIFF_RULES!$A:$A,$D33,MATERIAL_TARIFF_RULES!$C:$C,$B33)&lt;&gt;"",SUMIFS(MATERIAL_TARIFF_RULES!$E:$E,MATERIAL_TARIFF_RULES!$A:$A,$D33,MATERIAL_TARIFF_RULES!$C:$C,$B33),SUMIFS(TARIFF_PROFILES!$E:$E,TARIFF_PROFILES!$A:$A,$B33)),1),SUMIFS(TARIFF_PROFILES!$F:$F,TARIFF_PROFILES!$A:$A,$B33))))</f>
        <v/>
      </c>
      <c r="N33" s="33">
        <f>IF($C33="Material",IFERROR(SUMIFS(MATERIAL_MASTER!$P:$P,MATERIAL_MASTER!$A:$A,$D33)*IF(SUMIFS(MATERIAL_TARIFF_RULES!$F:$F,MATERIAL_TARIFF_RULES!$A:$A,$D33,MATERIAL_TARIFF_RULES!$C:$C,$B33)="",SUMIFS(TARIFF_PROFILES!$H:$H,TARIFF_PROFILES!$A:$A,$B33),SUMIFS(MATERIAL_TARIFF_RULES!$F:$F,MATERIAL_TARIFF_RULES!$A:$A,$D33,MATERIAL_TARIFF_RULES!$C:$C,$B33)),1),1)</f>
        <v>1</v>
      </c>
      <c r="O33" s="4" t="str">
        <f t="shared" si="1"/>
        <v/>
      </c>
      <c r="P33" s="4">
        <f t="array" ref="P33">IF(ROW()=2,MAX(0,INDEX(COMMERCIAL_POLICY!$B:$B,MATCH($B33,COMMERCIAL_POLICY!$A:$A,0))-SUM($Q$2:$Q$60)),0)</f>
        <v>0</v>
      </c>
      <c r="Q33" s="28" t="str">
        <f t="array" ref="Q33">IF($C33="","",IF($C33="Material",N($I33)*N($K33)*N($M33)*N($O33),IF($C33="Logistics",INDEX(COMMERCIAL_POLICY!$D:$D,MATCH($B33,COMMERCIAL_POLICY!$A:$A,0))*N($L33),N($I33)*N($J33)*N($K33)*N($L33)*N($M33)*N($G33))))</f>
        <v/>
      </c>
      <c r="R33" s="4" t="str">
        <f t="array" ref="R33">IF($A33="","",INDEX(OBJECT_CONDITIONS!$AM:$AM,MATCH($A33,OBJECT_CONDITIONS!$A:$A,0)))</f>
        <v/>
      </c>
      <c r="S33" s="33" t="str">
        <f t="array" ref="S33">IF($R33="","",INDEX(TAX_MODES!$B:$B,MATCH($R33,TAX_MODES!$A:$A,0)))</f>
        <v/>
      </c>
      <c r="T33" s="28" t="str">
        <f t="shared" si="2"/>
        <v/>
      </c>
      <c r="U33" s="4" t="str">
        <f t="shared" si="3"/>
        <v/>
      </c>
    </row>
    <row r="34" ht="14.25" customHeight="1">
      <c r="A34" s="4"/>
      <c r="B34" s="4"/>
      <c r="C34" s="4"/>
      <c r="D34" s="4"/>
      <c r="E34" s="4"/>
      <c r="F34" s="4" t="str">
        <f>IF($C34="","",IF($C34="Work",IFERROR(IF(SUMIFS(WORK_TARIFF_RULES!$G:$G,WORK_TARIFF_RULES!$A:$A,$D34,WORK_TARIFF_RULES!$C:$C,$B34)&lt;&gt;"",SUMIFS(WORK_TARIFF_RULES!$G:$G,WORK_TARIFF_RULES!$A:$A,$D34,WORK_TARIFF_RULES!$C:$C,$B34),SUMIFS(WORK_MASTER!$C:$C,WORK_MASTER!$A:$A,$D34)),""),IF($C34="Material",IFERROR(IF(SUMIFS(MATERIAL_TARIFF_RULES!$G:$G,MATERIAL_TARIFF_RULES!$A:$A,$D34,MATERIAL_TARIFF_RULES!$C:$C,$B34)&lt;&gt;"",SUMIFS(MATERIAL_TARIFF_RULES!$G:$G,MATERIAL_TARIFF_RULES!$A:$A,$D34,MATERIAL_TARIFF_RULES!$C:$C,$B34),SUMIFS(MATERIAL_VARIANTS!$J:$J,MATERIAL_VARIANTS!$A:$A,$E34)),""),IF($C34="Logistics","Мобилизация и логистика объекта",""))))</f>
        <v/>
      </c>
      <c r="G34" s="4"/>
      <c r="H34" s="4"/>
      <c r="I34" s="33" t="str">
        <f>IF($C34="","",IF($C34="Work",IFERROR(SUMIFS(WORK_MASTER!$I:$I,WORK_MASTER!$A:$A,$D34),0),IF($C34="Material",IFERROR(SUMIFS(MATERIAL_VARIANTS!$I:$I,MATERIAL_VARIANTS!$A:$A,$E34),0),0)))</f>
        <v/>
      </c>
      <c r="J34" s="33" t="str">
        <f>IF($C34="","",IF($C34="Work",IF($E34&lt;&gt;"",IFERROR(SUMIFS(WORK_VARIANTS!$H:$H,WORK_VARIANTS!$A:$A,$E34),1),1),1))</f>
        <v/>
      </c>
      <c r="K34" s="33" t="str">
        <f t="array" ref="K34">IF($C34="","",IF($C34="Work",IFERROR(SUMIFS(WORK_FACTOR_APPLICABILITY!$O:$O,WORK_FACTOR_APPLICABILITY!$A:$A,$D34,WORK_FACTOR_APPLICABILITY!$N:$N,$A34),1),IF($C34="Material",IFERROR(INDEX(MATERIAL_QUANTITY_EXAMPLE!$N:$N,MATCH(1,(MATERIAL_QUANTITY_EXAMPLE!$A:$A=MATERIAL_QUANTITY_EXAMPLE!$A:$A)*(MATERIAL_QUANTITY_EXAMPLE!$B:$B=$A34)*(MATERIAL_QUANTITY_EXAMPLE!$C:$C=$D34),0)),1),1)))</f>
        <v/>
      </c>
      <c r="L34" s="33" t="str">
        <f t="array" ref="L34">IF($A34="","",IF($C34="Material",1,IFERROR(INDEX(OBJECT_CONDITIONS!$AH:$AH,MATCH($A34,OBJECT_CONDITIONS!$A:$A,0))*INDEX(OBJECT_CONDITIONS!$AJ:$AJ,MATCH($A34,OBJECT_CONDITIONS!$A:$A,0))*INDEX(OBJECT_CONDITIONS!$AL:$AL,MATCH($A34,OBJECT_CONDITIONS!$A:$A,0)),1)))</f>
        <v/>
      </c>
      <c r="M34" s="33" t="str">
        <f>IF($B34="","",IF($C34="Work",IFERROR(IF(SUMIFS(WORK_TARIFF_RULES!$F:$F,WORK_TARIFF_RULES!$A:$A,$D34,WORK_TARIFF_RULES!$C:$C,$B34)&lt;&gt;"",SUMIFS(WORK_TARIFF_RULES!$F:$F,WORK_TARIFF_RULES!$A:$A,$D34,WORK_TARIFF_RULES!$C:$C,$B34),SUMIFS(TARIFF_PROFILES!$D:$D,TARIFF_PROFILES!$A:$A,$B34)),1),IF($C34="Material",IFERROR(IF(SUMIFS(MATERIAL_TARIFF_RULES!$E:$E,MATERIAL_TARIFF_RULES!$A:$A,$D34,MATERIAL_TARIFF_RULES!$C:$C,$B34)&lt;&gt;"",SUMIFS(MATERIAL_TARIFF_RULES!$E:$E,MATERIAL_TARIFF_RULES!$A:$A,$D34,MATERIAL_TARIFF_RULES!$C:$C,$B34),SUMIFS(TARIFF_PROFILES!$E:$E,TARIFF_PROFILES!$A:$A,$B34)),1),SUMIFS(TARIFF_PROFILES!$F:$F,TARIFF_PROFILES!$A:$A,$B34))))</f>
        <v/>
      </c>
      <c r="N34" s="33">
        <f>IF($C34="Material",IFERROR(SUMIFS(MATERIAL_MASTER!$P:$P,MATERIAL_MASTER!$A:$A,$D34)*IF(SUMIFS(MATERIAL_TARIFF_RULES!$F:$F,MATERIAL_TARIFF_RULES!$A:$A,$D34,MATERIAL_TARIFF_RULES!$C:$C,$B34)="",SUMIFS(TARIFF_PROFILES!$H:$H,TARIFF_PROFILES!$A:$A,$B34),SUMIFS(MATERIAL_TARIFF_RULES!$F:$F,MATERIAL_TARIFF_RULES!$A:$A,$D34,MATERIAL_TARIFF_RULES!$C:$C,$B34)),1),1)</f>
        <v>1</v>
      </c>
      <c r="O34" s="4" t="str">
        <f t="shared" si="1"/>
        <v/>
      </c>
      <c r="P34" s="4">
        <f t="array" ref="P34">IF(ROW()=2,MAX(0,INDEX(COMMERCIAL_POLICY!$B:$B,MATCH($B34,COMMERCIAL_POLICY!$A:$A,0))-SUM($Q$2:$Q$60)),0)</f>
        <v>0</v>
      </c>
      <c r="Q34" s="28" t="str">
        <f t="array" ref="Q34">IF($C34="","",IF($C34="Material",N($I34)*N($K34)*N($M34)*N($O34),IF($C34="Logistics",INDEX(COMMERCIAL_POLICY!$D:$D,MATCH($B34,COMMERCIAL_POLICY!$A:$A,0))*N($L34),N($I34)*N($J34)*N($K34)*N($L34)*N($M34)*N($G34))))</f>
        <v/>
      </c>
      <c r="R34" s="4" t="str">
        <f t="array" ref="R34">IF($A34="","",INDEX(OBJECT_CONDITIONS!$AM:$AM,MATCH($A34,OBJECT_CONDITIONS!$A:$A,0)))</f>
        <v/>
      </c>
      <c r="S34" s="33" t="str">
        <f t="array" ref="S34">IF($R34="","",INDEX(TAX_MODES!$B:$B,MATCH($R34,TAX_MODES!$A:$A,0)))</f>
        <v/>
      </c>
      <c r="T34" s="28" t="str">
        <f t="shared" si="2"/>
        <v/>
      </c>
      <c r="U34" s="4" t="str">
        <f t="shared" si="3"/>
        <v/>
      </c>
    </row>
    <row r="35" ht="14.25" customHeight="1">
      <c r="A35" s="4"/>
      <c r="B35" s="4"/>
      <c r="C35" s="4"/>
      <c r="D35" s="4"/>
      <c r="E35" s="4"/>
      <c r="F35" s="4" t="str">
        <f>IF($C35="","",IF($C35="Work",IFERROR(IF(SUMIFS(WORK_TARIFF_RULES!$G:$G,WORK_TARIFF_RULES!$A:$A,$D35,WORK_TARIFF_RULES!$C:$C,$B35)&lt;&gt;"",SUMIFS(WORK_TARIFF_RULES!$G:$G,WORK_TARIFF_RULES!$A:$A,$D35,WORK_TARIFF_RULES!$C:$C,$B35),SUMIFS(WORK_MASTER!$C:$C,WORK_MASTER!$A:$A,$D35)),""),IF($C35="Material",IFERROR(IF(SUMIFS(MATERIAL_TARIFF_RULES!$G:$G,MATERIAL_TARIFF_RULES!$A:$A,$D35,MATERIAL_TARIFF_RULES!$C:$C,$B35)&lt;&gt;"",SUMIFS(MATERIAL_TARIFF_RULES!$G:$G,MATERIAL_TARIFF_RULES!$A:$A,$D35,MATERIAL_TARIFF_RULES!$C:$C,$B35),SUMIFS(MATERIAL_VARIANTS!$J:$J,MATERIAL_VARIANTS!$A:$A,$E35)),""),IF($C35="Logistics","Мобилизация и логистика объекта",""))))</f>
        <v/>
      </c>
      <c r="G35" s="4"/>
      <c r="H35" s="4"/>
      <c r="I35" s="33" t="str">
        <f>IF($C35="","",IF($C35="Work",IFERROR(SUMIFS(WORK_MASTER!$I:$I,WORK_MASTER!$A:$A,$D35),0),IF($C35="Material",IFERROR(SUMIFS(MATERIAL_VARIANTS!$I:$I,MATERIAL_VARIANTS!$A:$A,$E35),0),0)))</f>
        <v/>
      </c>
      <c r="J35" s="33" t="str">
        <f>IF($C35="","",IF($C35="Work",IF($E35&lt;&gt;"",IFERROR(SUMIFS(WORK_VARIANTS!$H:$H,WORK_VARIANTS!$A:$A,$E35),1),1),1))</f>
        <v/>
      </c>
      <c r="K35" s="33" t="str">
        <f t="array" ref="K35">IF($C35="","",IF($C35="Work",IFERROR(SUMIFS(WORK_FACTOR_APPLICABILITY!$O:$O,WORK_FACTOR_APPLICABILITY!$A:$A,$D35,WORK_FACTOR_APPLICABILITY!$N:$N,$A35),1),IF($C35="Material",IFERROR(INDEX(MATERIAL_QUANTITY_EXAMPLE!$N:$N,MATCH(1,(MATERIAL_QUANTITY_EXAMPLE!$A:$A=MATERIAL_QUANTITY_EXAMPLE!$A:$A)*(MATERIAL_QUANTITY_EXAMPLE!$B:$B=$A35)*(MATERIAL_QUANTITY_EXAMPLE!$C:$C=$D35),0)),1),1)))</f>
        <v/>
      </c>
      <c r="L35" s="33" t="str">
        <f t="array" ref="L35">IF($A35="","",IF($C35="Material",1,IFERROR(INDEX(OBJECT_CONDITIONS!$AH:$AH,MATCH($A35,OBJECT_CONDITIONS!$A:$A,0))*INDEX(OBJECT_CONDITIONS!$AJ:$AJ,MATCH($A35,OBJECT_CONDITIONS!$A:$A,0))*INDEX(OBJECT_CONDITIONS!$AL:$AL,MATCH($A35,OBJECT_CONDITIONS!$A:$A,0)),1)))</f>
        <v/>
      </c>
      <c r="M35" s="33" t="str">
        <f>IF($B35="","",IF($C35="Work",IFERROR(IF(SUMIFS(WORK_TARIFF_RULES!$F:$F,WORK_TARIFF_RULES!$A:$A,$D35,WORK_TARIFF_RULES!$C:$C,$B35)&lt;&gt;"",SUMIFS(WORK_TARIFF_RULES!$F:$F,WORK_TARIFF_RULES!$A:$A,$D35,WORK_TARIFF_RULES!$C:$C,$B35),SUMIFS(TARIFF_PROFILES!$D:$D,TARIFF_PROFILES!$A:$A,$B35)),1),IF($C35="Material",IFERROR(IF(SUMIFS(MATERIAL_TARIFF_RULES!$E:$E,MATERIAL_TARIFF_RULES!$A:$A,$D35,MATERIAL_TARIFF_RULES!$C:$C,$B35)&lt;&gt;"",SUMIFS(MATERIAL_TARIFF_RULES!$E:$E,MATERIAL_TARIFF_RULES!$A:$A,$D35,MATERIAL_TARIFF_RULES!$C:$C,$B35),SUMIFS(TARIFF_PROFILES!$E:$E,TARIFF_PROFILES!$A:$A,$B35)),1),SUMIFS(TARIFF_PROFILES!$F:$F,TARIFF_PROFILES!$A:$A,$B35))))</f>
        <v/>
      </c>
      <c r="N35" s="33">
        <f>IF($C35="Material",IFERROR(SUMIFS(MATERIAL_MASTER!$P:$P,MATERIAL_MASTER!$A:$A,$D35)*IF(SUMIFS(MATERIAL_TARIFF_RULES!$F:$F,MATERIAL_TARIFF_RULES!$A:$A,$D35,MATERIAL_TARIFF_RULES!$C:$C,$B35)="",SUMIFS(TARIFF_PROFILES!$H:$H,TARIFF_PROFILES!$A:$A,$B35),SUMIFS(MATERIAL_TARIFF_RULES!$F:$F,MATERIAL_TARIFF_RULES!$A:$A,$D35,MATERIAL_TARIFF_RULES!$C:$C,$B35)),1),1)</f>
        <v>1</v>
      </c>
      <c r="O35" s="4" t="str">
        <f t="shared" si="1"/>
        <v/>
      </c>
      <c r="P35" s="4">
        <f t="array" ref="P35">IF(ROW()=2,MAX(0,INDEX(COMMERCIAL_POLICY!$B:$B,MATCH($B35,COMMERCIAL_POLICY!$A:$A,0))-SUM($Q$2:$Q$60)),0)</f>
        <v>0</v>
      </c>
      <c r="Q35" s="28" t="str">
        <f t="array" ref="Q35">IF($C35="","",IF($C35="Material",N($I35)*N($K35)*N($M35)*N($O35),IF($C35="Logistics",INDEX(COMMERCIAL_POLICY!$D:$D,MATCH($B35,COMMERCIAL_POLICY!$A:$A,0))*N($L35),N($I35)*N($J35)*N($K35)*N($L35)*N($M35)*N($G35))))</f>
        <v/>
      </c>
      <c r="R35" s="4" t="str">
        <f t="array" ref="R35">IF($A35="","",INDEX(OBJECT_CONDITIONS!$AM:$AM,MATCH($A35,OBJECT_CONDITIONS!$A:$A,0)))</f>
        <v/>
      </c>
      <c r="S35" s="33" t="str">
        <f t="array" ref="S35">IF($R35="","",INDEX(TAX_MODES!$B:$B,MATCH($R35,TAX_MODES!$A:$A,0)))</f>
        <v/>
      </c>
      <c r="T35" s="28" t="str">
        <f t="shared" si="2"/>
        <v/>
      </c>
      <c r="U35" s="4" t="str">
        <f t="shared" si="3"/>
        <v/>
      </c>
    </row>
    <row r="36" ht="14.25" customHeight="1">
      <c r="A36" s="4"/>
      <c r="B36" s="4"/>
      <c r="C36" s="4"/>
      <c r="D36" s="4"/>
      <c r="E36" s="4"/>
      <c r="F36" s="4" t="str">
        <f>IF($C36="","",IF($C36="Work",IFERROR(IF(SUMIFS(WORK_TARIFF_RULES!$G:$G,WORK_TARIFF_RULES!$A:$A,$D36,WORK_TARIFF_RULES!$C:$C,$B36)&lt;&gt;"",SUMIFS(WORK_TARIFF_RULES!$G:$G,WORK_TARIFF_RULES!$A:$A,$D36,WORK_TARIFF_RULES!$C:$C,$B36),SUMIFS(WORK_MASTER!$C:$C,WORK_MASTER!$A:$A,$D36)),""),IF($C36="Material",IFERROR(IF(SUMIFS(MATERIAL_TARIFF_RULES!$G:$G,MATERIAL_TARIFF_RULES!$A:$A,$D36,MATERIAL_TARIFF_RULES!$C:$C,$B36)&lt;&gt;"",SUMIFS(MATERIAL_TARIFF_RULES!$G:$G,MATERIAL_TARIFF_RULES!$A:$A,$D36,MATERIAL_TARIFF_RULES!$C:$C,$B36),SUMIFS(MATERIAL_VARIANTS!$J:$J,MATERIAL_VARIANTS!$A:$A,$E36)),""),IF($C36="Logistics","Мобилизация и логистика объекта",""))))</f>
        <v/>
      </c>
      <c r="G36" s="4"/>
      <c r="H36" s="4"/>
      <c r="I36" s="33" t="str">
        <f>IF($C36="","",IF($C36="Work",IFERROR(SUMIFS(WORK_MASTER!$I:$I,WORK_MASTER!$A:$A,$D36),0),IF($C36="Material",IFERROR(SUMIFS(MATERIAL_VARIANTS!$I:$I,MATERIAL_VARIANTS!$A:$A,$E36),0),0)))</f>
        <v/>
      </c>
      <c r="J36" s="33" t="str">
        <f>IF($C36="","",IF($C36="Work",IF($E36&lt;&gt;"",IFERROR(SUMIFS(WORK_VARIANTS!$H:$H,WORK_VARIANTS!$A:$A,$E36),1),1),1))</f>
        <v/>
      </c>
      <c r="K36" s="33" t="str">
        <f t="array" ref="K36">IF($C36="","",IF($C36="Work",IFERROR(SUMIFS(WORK_FACTOR_APPLICABILITY!$O:$O,WORK_FACTOR_APPLICABILITY!$A:$A,$D36,WORK_FACTOR_APPLICABILITY!$N:$N,$A36),1),IF($C36="Material",IFERROR(INDEX(MATERIAL_QUANTITY_EXAMPLE!$N:$N,MATCH(1,(MATERIAL_QUANTITY_EXAMPLE!$A:$A=MATERIAL_QUANTITY_EXAMPLE!$A:$A)*(MATERIAL_QUANTITY_EXAMPLE!$B:$B=$A36)*(MATERIAL_QUANTITY_EXAMPLE!$C:$C=$D36),0)),1),1)))</f>
        <v/>
      </c>
      <c r="L36" s="33" t="str">
        <f t="array" ref="L36">IF($A36="","",IF($C36="Material",1,IFERROR(INDEX(OBJECT_CONDITIONS!$AH:$AH,MATCH($A36,OBJECT_CONDITIONS!$A:$A,0))*INDEX(OBJECT_CONDITIONS!$AJ:$AJ,MATCH($A36,OBJECT_CONDITIONS!$A:$A,0))*INDEX(OBJECT_CONDITIONS!$AL:$AL,MATCH($A36,OBJECT_CONDITIONS!$A:$A,0)),1)))</f>
        <v/>
      </c>
      <c r="M36" s="33" t="str">
        <f>IF($B36="","",IF($C36="Work",IFERROR(IF(SUMIFS(WORK_TARIFF_RULES!$F:$F,WORK_TARIFF_RULES!$A:$A,$D36,WORK_TARIFF_RULES!$C:$C,$B36)&lt;&gt;"",SUMIFS(WORK_TARIFF_RULES!$F:$F,WORK_TARIFF_RULES!$A:$A,$D36,WORK_TARIFF_RULES!$C:$C,$B36),SUMIFS(TARIFF_PROFILES!$D:$D,TARIFF_PROFILES!$A:$A,$B36)),1),IF($C36="Material",IFERROR(IF(SUMIFS(MATERIAL_TARIFF_RULES!$E:$E,MATERIAL_TARIFF_RULES!$A:$A,$D36,MATERIAL_TARIFF_RULES!$C:$C,$B36)&lt;&gt;"",SUMIFS(MATERIAL_TARIFF_RULES!$E:$E,MATERIAL_TARIFF_RULES!$A:$A,$D36,MATERIAL_TARIFF_RULES!$C:$C,$B36),SUMIFS(TARIFF_PROFILES!$E:$E,TARIFF_PROFILES!$A:$A,$B36)),1),SUMIFS(TARIFF_PROFILES!$F:$F,TARIFF_PROFILES!$A:$A,$B36))))</f>
        <v/>
      </c>
      <c r="N36" s="33">
        <f>IF($C36="Material",IFERROR(SUMIFS(MATERIAL_MASTER!$P:$P,MATERIAL_MASTER!$A:$A,$D36)*IF(SUMIFS(MATERIAL_TARIFF_RULES!$F:$F,MATERIAL_TARIFF_RULES!$A:$A,$D36,MATERIAL_TARIFF_RULES!$C:$C,$B36)="",SUMIFS(TARIFF_PROFILES!$H:$H,TARIFF_PROFILES!$A:$A,$B36),SUMIFS(MATERIAL_TARIFF_RULES!$F:$F,MATERIAL_TARIFF_RULES!$A:$A,$D36,MATERIAL_TARIFF_RULES!$C:$C,$B36)),1),1)</f>
        <v>1</v>
      </c>
      <c r="O36" s="4" t="str">
        <f t="shared" si="1"/>
        <v/>
      </c>
      <c r="P36" s="4">
        <f t="array" ref="P36">IF(ROW()=2,MAX(0,INDEX(COMMERCIAL_POLICY!$B:$B,MATCH($B36,COMMERCIAL_POLICY!$A:$A,0))-SUM($Q$2:$Q$60)),0)</f>
        <v>0</v>
      </c>
      <c r="Q36" s="28" t="str">
        <f t="array" ref="Q36">IF($C36="","",IF($C36="Material",N($I36)*N($K36)*N($M36)*N($O36),IF($C36="Logistics",INDEX(COMMERCIAL_POLICY!$D:$D,MATCH($B36,COMMERCIAL_POLICY!$A:$A,0))*N($L36),N($I36)*N($J36)*N($K36)*N($L36)*N($M36)*N($G36))))</f>
        <v/>
      </c>
      <c r="R36" s="4" t="str">
        <f t="array" ref="R36">IF($A36="","",INDEX(OBJECT_CONDITIONS!$AM:$AM,MATCH($A36,OBJECT_CONDITIONS!$A:$A,0)))</f>
        <v/>
      </c>
      <c r="S36" s="33" t="str">
        <f t="array" ref="S36">IF($R36="","",INDEX(TAX_MODES!$B:$B,MATCH($R36,TAX_MODES!$A:$A,0)))</f>
        <v/>
      </c>
      <c r="T36" s="28" t="str">
        <f t="shared" si="2"/>
        <v/>
      </c>
      <c r="U36" s="4" t="str">
        <f t="shared" si="3"/>
        <v/>
      </c>
    </row>
    <row r="37" ht="14.25" customHeight="1">
      <c r="A37" s="4"/>
      <c r="B37" s="4"/>
      <c r="C37" s="4"/>
      <c r="D37" s="4"/>
      <c r="E37" s="4"/>
      <c r="F37" s="4" t="str">
        <f>IF($C37="","",IF($C37="Work",IFERROR(IF(SUMIFS(WORK_TARIFF_RULES!$G:$G,WORK_TARIFF_RULES!$A:$A,$D37,WORK_TARIFF_RULES!$C:$C,$B37)&lt;&gt;"",SUMIFS(WORK_TARIFF_RULES!$G:$G,WORK_TARIFF_RULES!$A:$A,$D37,WORK_TARIFF_RULES!$C:$C,$B37),SUMIFS(WORK_MASTER!$C:$C,WORK_MASTER!$A:$A,$D37)),""),IF($C37="Material",IFERROR(IF(SUMIFS(MATERIAL_TARIFF_RULES!$G:$G,MATERIAL_TARIFF_RULES!$A:$A,$D37,MATERIAL_TARIFF_RULES!$C:$C,$B37)&lt;&gt;"",SUMIFS(MATERIAL_TARIFF_RULES!$G:$G,MATERIAL_TARIFF_RULES!$A:$A,$D37,MATERIAL_TARIFF_RULES!$C:$C,$B37),SUMIFS(MATERIAL_VARIANTS!$J:$J,MATERIAL_VARIANTS!$A:$A,$E37)),""),IF($C37="Logistics","Мобилизация и логистика объекта",""))))</f>
        <v/>
      </c>
      <c r="G37" s="4"/>
      <c r="H37" s="4"/>
      <c r="I37" s="33" t="str">
        <f>IF($C37="","",IF($C37="Work",IFERROR(SUMIFS(WORK_MASTER!$I:$I,WORK_MASTER!$A:$A,$D37),0),IF($C37="Material",IFERROR(SUMIFS(MATERIAL_VARIANTS!$I:$I,MATERIAL_VARIANTS!$A:$A,$E37),0),0)))</f>
        <v/>
      </c>
      <c r="J37" s="33" t="str">
        <f>IF($C37="","",IF($C37="Work",IF($E37&lt;&gt;"",IFERROR(SUMIFS(WORK_VARIANTS!$H:$H,WORK_VARIANTS!$A:$A,$E37),1),1),1))</f>
        <v/>
      </c>
      <c r="K37" s="33" t="str">
        <f t="array" ref="K37">IF($C37="","",IF($C37="Work",IFERROR(SUMIFS(WORK_FACTOR_APPLICABILITY!$O:$O,WORK_FACTOR_APPLICABILITY!$A:$A,$D37,WORK_FACTOR_APPLICABILITY!$N:$N,$A37),1),IF($C37="Material",IFERROR(INDEX(MATERIAL_QUANTITY_EXAMPLE!$N:$N,MATCH(1,(MATERIAL_QUANTITY_EXAMPLE!$A:$A=MATERIAL_QUANTITY_EXAMPLE!$A:$A)*(MATERIAL_QUANTITY_EXAMPLE!$B:$B=$A37)*(MATERIAL_QUANTITY_EXAMPLE!$C:$C=$D37),0)),1),1)))</f>
        <v/>
      </c>
      <c r="L37" s="33" t="str">
        <f t="array" ref="L37">IF($A37="","",IF($C37="Material",1,IFERROR(INDEX(OBJECT_CONDITIONS!$AH:$AH,MATCH($A37,OBJECT_CONDITIONS!$A:$A,0))*INDEX(OBJECT_CONDITIONS!$AJ:$AJ,MATCH($A37,OBJECT_CONDITIONS!$A:$A,0))*INDEX(OBJECT_CONDITIONS!$AL:$AL,MATCH($A37,OBJECT_CONDITIONS!$A:$A,0)),1)))</f>
        <v/>
      </c>
      <c r="M37" s="33" t="str">
        <f>IF($B37="","",IF($C37="Work",IFERROR(IF(SUMIFS(WORK_TARIFF_RULES!$F:$F,WORK_TARIFF_RULES!$A:$A,$D37,WORK_TARIFF_RULES!$C:$C,$B37)&lt;&gt;"",SUMIFS(WORK_TARIFF_RULES!$F:$F,WORK_TARIFF_RULES!$A:$A,$D37,WORK_TARIFF_RULES!$C:$C,$B37),SUMIFS(TARIFF_PROFILES!$D:$D,TARIFF_PROFILES!$A:$A,$B37)),1),IF($C37="Material",IFERROR(IF(SUMIFS(MATERIAL_TARIFF_RULES!$E:$E,MATERIAL_TARIFF_RULES!$A:$A,$D37,MATERIAL_TARIFF_RULES!$C:$C,$B37)&lt;&gt;"",SUMIFS(MATERIAL_TARIFF_RULES!$E:$E,MATERIAL_TARIFF_RULES!$A:$A,$D37,MATERIAL_TARIFF_RULES!$C:$C,$B37),SUMIFS(TARIFF_PROFILES!$E:$E,TARIFF_PROFILES!$A:$A,$B37)),1),SUMIFS(TARIFF_PROFILES!$F:$F,TARIFF_PROFILES!$A:$A,$B37))))</f>
        <v/>
      </c>
      <c r="N37" s="33">
        <f>IF($C37="Material",IFERROR(SUMIFS(MATERIAL_MASTER!$P:$P,MATERIAL_MASTER!$A:$A,$D37)*IF(SUMIFS(MATERIAL_TARIFF_RULES!$F:$F,MATERIAL_TARIFF_RULES!$A:$A,$D37,MATERIAL_TARIFF_RULES!$C:$C,$B37)="",SUMIFS(TARIFF_PROFILES!$H:$H,TARIFF_PROFILES!$A:$A,$B37),SUMIFS(MATERIAL_TARIFF_RULES!$F:$F,MATERIAL_TARIFF_RULES!$A:$A,$D37,MATERIAL_TARIFF_RULES!$C:$C,$B37)),1),1)</f>
        <v>1</v>
      </c>
      <c r="O37" s="4" t="str">
        <f t="shared" si="1"/>
        <v/>
      </c>
      <c r="P37" s="4">
        <f t="array" ref="P37">IF(ROW()=2,MAX(0,INDEX(COMMERCIAL_POLICY!$B:$B,MATCH($B37,COMMERCIAL_POLICY!$A:$A,0))-SUM($Q$2:$Q$60)),0)</f>
        <v>0</v>
      </c>
      <c r="Q37" s="28" t="str">
        <f t="array" ref="Q37">IF($C37="","",IF($C37="Material",N($I37)*N($K37)*N($M37)*N($O37),IF($C37="Logistics",INDEX(COMMERCIAL_POLICY!$D:$D,MATCH($B37,COMMERCIAL_POLICY!$A:$A,0))*N($L37),N($I37)*N($J37)*N($K37)*N($L37)*N($M37)*N($G37))))</f>
        <v/>
      </c>
      <c r="R37" s="4" t="str">
        <f t="array" ref="R37">IF($A37="","",INDEX(OBJECT_CONDITIONS!$AM:$AM,MATCH($A37,OBJECT_CONDITIONS!$A:$A,0)))</f>
        <v/>
      </c>
      <c r="S37" s="33" t="str">
        <f t="array" ref="S37">IF($R37="","",INDEX(TAX_MODES!$B:$B,MATCH($R37,TAX_MODES!$A:$A,0)))</f>
        <v/>
      </c>
      <c r="T37" s="28" t="str">
        <f t="shared" si="2"/>
        <v/>
      </c>
      <c r="U37" s="4" t="str">
        <f t="shared" si="3"/>
        <v/>
      </c>
    </row>
    <row r="38" ht="14.25" customHeight="1">
      <c r="A38" s="4"/>
      <c r="B38" s="4"/>
      <c r="C38" s="4"/>
      <c r="D38" s="4"/>
      <c r="E38" s="4"/>
      <c r="F38" s="4" t="str">
        <f>IF($C38="","",IF($C38="Work",IFERROR(IF(SUMIFS(WORK_TARIFF_RULES!$G:$G,WORK_TARIFF_RULES!$A:$A,$D38,WORK_TARIFF_RULES!$C:$C,$B38)&lt;&gt;"",SUMIFS(WORK_TARIFF_RULES!$G:$G,WORK_TARIFF_RULES!$A:$A,$D38,WORK_TARIFF_RULES!$C:$C,$B38),SUMIFS(WORK_MASTER!$C:$C,WORK_MASTER!$A:$A,$D38)),""),IF($C38="Material",IFERROR(IF(SUMIFS(MATERIAL_TARIFF_RULES!$G:$G,MATERIAL_TARIFF_RULES!$A:$A,$D38,MATERIAL_TARIFF_RULES!$C:$C,$B38)&lt;&gt;"",SUMIFS(MATERIAL_TARIFF_RULES!$G:$G,MATERIAL_TARIFF_RULES!$A:$A,$D38,MATERIAL_TARIFF_RULES!$C:$C,$B38),SUMIFS(MATERIAL_VARIANTS!$J:$J,MATERIAL_VARIANTS!$A:$A,$E38)),""),IF($C38="Logistics","Мобилизация и логистика объекта",""))))</f>
        <v/>
      </c>
      <c r="G38" s="4"/>
      <c r="H38" s="4"/>
      <c r="I38" s="33" t="str">
        <f>IF($C38="","",IF($C38="Work",IFERROR(SUMIFS(WORK_MASTER!$I:$I,WORK_MASTER!$A:$A,$D38),0),IF($C38="Material",IFERROR(SUMIFS(MATERIAL_VARIANTS!$I:$I,MATERIAL_VARIANTS!$A:$A,$E38),0),0)))</f>
        <v/>
      </c>
      <c r="J38" s="33" t="str">
        <f>IF($C38="","",IF($C38="Work",IF($E38&lt;&gt;"",IFERROR(SUMIFS(WORK_VARIANTS!$H:$H,WORK_VARIANTS!$A:$A,$E38),1),1),1))</f>
        <v/>
      </c>
      <c r="K38" s="33" t="str">
        <f t="array" ref="K38">IF($C38="","",IF($C38="Work",IFERROR(SUMIFS(WORK_FACTOR_APPLICABILITY!$O:$O,WORK_FACTOR_APPLICABILITY!$A:$A,$D38,WORK_FACTOR_APPLICABILITY!$N:$N,$A38),1),IF($C38="Material",IFERROR(INDEX(MATERIAL_QUANTITY_EXAMPLE!$N:$N,MATCH(1,(MATERIAL_QUANTITY_EXAMPLE!$A:$A=MATERIAL_QUANTITY_EXAMPLE!$A:$A)*(MATERIAL_QUANTITY_EXAMPLE!$B:$B=$A38)*(MATERIAL_QUANTITY_EXAMPLE!$C:$C=$D38),0)),1),1)))</f>
        <v/>
      </c>
      <c r="L38" s="33" t="str">
        <f t="array" ref="L38">IF($A38="","",IF($C38="Material",1,IFERROR(INDEX(OBJECT_CONDITIONS!$AH:$AH,MATCH($A38,OBJECT_CONDITIONS!$A:$A,0))*INDEX(OBJECT_CONDITIONS!$AJ:$AJ,MATCH($A38,OBJECT_CONDITIONS!$A:$A,0))*INDEX(OBJECT_CONDITIONS!$AL:$AL,MATCH($A38,OBJECT_CONDITIONS!$A:$A,0)),1)))</f>
        <v/>
      </c>
      <c r="M38" s="33" t="str">
        <f>IF($B38="","",IF($C38="Work",IFERROR(IF(SUMIFS(WORK_TARIFF_RULES!$F:$F,WORK_TARIFF_RULES!$A:$A,$D38,WORK_TARIFF_RULES!$C:$C,$B38)&lt;&gt;"",SUMIFS(WORK_TARIFF_RULES!$F:$F,WORK_TARIFF_RULES!$A:$A,$D38,WORK_TARIFF_RULES!$C:$C,$B38),SUMIFS(TARIFF_PROFILES!$D:$D,TARIFF_PROFILES!$A:$A,$B38)),1),IF($C38="Material",IFERROR(IF(SUMIFS(MATERIAL_TARIFF_RULES!$E:$E,MATERIAL_TARIFF_RULES!$A:$A,$D38,MATERIAL_TARIFF_RULES!$C:$C,$B38)&lt;&gt;"",SUMIFS(MATERIAL_TARIFF_RULES!$E:$E,MATERIAL_TARIFF_RULES!$A:$A,$D38,MATERIAL_TARIFF_RULES!$C:$C,$B38),SUMIFS(TARIFF_PROFILES!$E:$E,TARIFF_PROFILES!$A:$A,$B38)),1),SUMIFS(TARIFF_PROFILES!$F:$F,TARIFF_PROFILES!$A:$A,$B38))))</f>
        <v/>
      </c>
      <c r="N38" s="33">
        <f>IF($C38="Material",IFERROR(SUMIFS(MATERIAL_MASTER!$P:$P,MATERIAL_MASTER!$A:$A,$D38)*IF(SUMIFS(MATERIAL_TARIFF_RULES!$F:$F,MATERIAL_TARIFF_RULES!$A:$A,$D38,MATERIAL_TARIFF_RULES!$C:$C,$B38)="",SUMIFS(TARIFF_PROFILES!$H:$H,TARIFF_PROFILES!$A:$A,$B38),SUMIFS(MATERIAL_TARIFF_RULES!$F:$F,MATERIAL_TARIFF_RULES!$A:$A,$D38,MATERIAL_TARIFF_RULES!$C:$C,$B38)),1),1)</f>
        <v>1</v>
      </c>
      <c r="O38" s="4" t="str">
        <f t="shared" si="1"/>
        <v/>
      </c>
      <c r="P38" s="4">
        <f t="array" ref="P38">IF(ROW()=2,MAX(0,INDEX(COMMERCIAL_POLICY!$B:$B,MATCH($B38,COMMERCIAL_POLICY!$A:$A,0))-SUM($Q$2:$Q$60)),0)</f>
        <v>0</v>
      </c>
      <c r="Q38" s="28" t="str">
        <f t="array" ref="Q38">IF($C38="","",IF($C38="Material",N($I38)*N($K38)*N($M38)*N($O38),IF($C38="Logistics",INDEX(COMMERCIAL_POLICY!$D:$D,MATCH($B38,COMMERCIAL_POLICY!$A:$A,0))*N($L38),N($I38)*N($J38)*N($K38)*N($L38)*N($M38)*N($G38))))</f>
        <v/>
      </c>
      <c r="R38" s="4" t="str">
        <f t="array" ref="R38">IF($A38="","",INDEX(OBJECT_CONDITIONS!$AM:$AM,MATCH($A38,OBJECT_CONDITIONS!$A:$A,0)))</f>
        <v/>
      </c>
      <c r="S38" s="33" t="str">
        <f t="array" ref="S38">IF($R38="","",INDEX(TAX_MODES!$B:$B,MATCH($R38,TAX_MODES!$A:$A,0)))</f>
        <v/>
      </c>
      <c r="T38" s="28" t="str">
        <f t="shared" si="2"/>
        <v/>
      </c>
      <c r="U38" s="4" t="str">
        <f t="shared" si="3"/>
        <v/>
      </c>
    </row>
    <row r="39" ht="14.25" customHeight="1">
      <c r="A39" s="4"/>
      <c r="B39" s="4"/>
      <c r="C39" s="4"/>
      <c r="D39" s="4"/>
      <c r="E39" s="4"/>
      <c r="F39" s="4" t="str">
        <f>IF($C39="","",IF($C39="Work",IFERROR(IF(SUMIFS(WORK_TARIFF_RULES!$G:$G,WORK_TARIFF_RULES!$A:$A,$D39,WORK_TARIFF_RULES!$C:$C,$B39)&lt;&gt;"",SUMIFS(WORK_TARIFF_RULES!$G:$G,WORK_TARIFF_RULES!$A:$A,$D39,WORK_TARIFF_RULES!$C:$C,$B39),SUMIFS(WORK_MASTER!$C:$C,WORK_MASTER!$A:$A,$D39)),""),IF($C39="Material",IFERROR(IF(SUMIFS(MATERIAL_TARIFF_RULES!$G:$G,MATERIAL_TARIFF_RULES!$A:$A,$D39,MATERIAL_TARIFF_RULES!$C:$C,$B39)&lt;&gt;"",SUMIFS(MATERIAL_TARIFF_RULES!$G:$G,MATERIAL_TARIFF_RULES!$A:$A,$D39,MATERIAL_TARIFF_RULES!$C:$C,$B39),SUMIFS(MATERIAL_VARIANTS!$J:$J,MATERIAL_VARIANTS!$A:$A,$E39)),""),IF($C39="Logistics","Мобилизация и логистика объекта",""))))</f>
        <v/>
      </c>
      <c r="G39" s="4"/>
      <c r="H39" s="4"/>
      <c r="I39" s="33" t="str">
        <f>IF($C39="","",IF($C39="Work",IFERROR(SUMIFS(WORK_MASTER!$I:$I,WORK_MASTER!$A:$A,$D39),0),IF($C39="Material",IFERROR(SUMIFS(MATERIAL_VARIANTS!$I:$I,MATERIAL_VARIANTS!$A:$A,$E39),0),0)))</f>
        <v/>
      </c>
      <c r="J39" s="33" t="str">
        <f>IF($C39="","",IF($C39="Work",IF($E39&lt;&gt;"",IFERROR(SUMIFS(WORK_VARIANTS!$H:$H,WORK_VARIANTS!$A:$A,$E39),1),1),1))</f>
        <v/>
      </c>
      <c r="K39" s="33" t="str">
        <f t="array" ref="K39">IF($C39="","",IF($C39="Work",IFERROR(SUMIFS(WORK_FACTOR_APPLICABILITY!$O:$O,WORK_FACTOR_APPLICABILITY!$A:$A,$D39,WORK_FACTOR_APPLICABILITY!$N:$N,$A39),1),IF($C39="Material",IFERROR(INDEX(MATERIAL_QUANTITY_EXAMPLE!$N:$N,MATCH(1,(MATERIAL_QUANTITY_EXAMPLE!$A:$A=MATERIAL_QUANTITY_EXAMPLE!$A:$A)*(MATERIAL_QUANTITY_EXAMPLE!$B:$B=$A39)*(MATERIAL_QUANTITY_EXAMPLE!$C:$C=$D39),0)),1),1)))</f>
        <v/>
      </c>
      <c r="L39" s="33" t="str">
        <f t="array" ref="L39">IF($A39="","",IF($C39="Material",1,IFERROR(INDEX(OBJECT_CONDITIONS!$AH:$AH,MATCH($A39,OBJECT_CONDITIONS!$A:$A,0))*INDEX(OBJECT_CONDITIONS!$AJ:$AJ,MATCH($A39,OBJECT_CONDITIONS!$A:$A,0))*INDEX(OBJECT_CONDITIONS!$AL:$AL,MATCH($A39,OBJECT_CONDITIONS!$A:$A,0)),1)))</f>
        <v/>
      </c>
      <c r="M39" s="33" t="str">
        <f>IF($B39="","",IF($C39="Work",IFERROR(IF(SUMIFS(WORK_TARIFF_RULES!$F:$F,WORK_TARIFF_RULES!$A:$A,$D39,WORK_TARIFF_RULES!$C:$C,$B39)&lt;&gt;"",SUMIFS(WORK_TARIFF_RULES!$F:$F,WORK_TARIFF_RULES!$A:$A,$D39,WORK_TARIFF_RULES!$C:$C,$B39),SUMIFS(TARIFF_PROFILES!$D:$D,TARIFF_PROFILES!$A:$A,$B39)),1),IF($C39="Material",IFERROR(IF(SUMIFS(MATERIAL_TARIFF_RULES!$E:$E,MATERIAL_TARIFF_RULES!$A:$A,$D39,MATERIAL_TARIFF_RULES!$C:$C,$B39)&lt;&gt;"",SUMIFS(MATERIAL_TARIFF_RULES!$E:$E,MATERIAL_TARIFF_RULES!$A:$A,$D39,MATERIAL_TARIFF_RULES!$C:$C,$B39),SUMIFS(TARIFF_PROFILES!$E:$E,TARIFF_PROFILES!$A:$A,$B39)),1),SUMIFS(TARIFF_PROFILES!$F:$F,TARIFF_PROFILES!$A:$A,$B39))))</f>
        <v/>
      </c>
      <c r="N39" s="33">
        <f>IF($C39="Material",IFERROR(SUMIFS(MATERIAL_MASTER!$P:$P,MATERIAL_MASTER!$A:$A,$D39)*IF(SUMIFS(MATERIAL_TARIFF_RULES!$F:$F,MATERIAL_TARIFF_RULES!$A:$A,$D39,MATERIAL_TARIFF_RULES!$C:$C,$B39)="",SUMIFS(TARIFF_PROFILES!$H:$H,TARIFF_PROFILES!$A:$A,$B39),SUMIFS(MATERIAL_TARIFF_RULES!$F:$F,MATERIAL_TARIFF_RULES!$A:$A,$D39,MATERIAL_TARIFF_RULES!$C:$C,$B39)),1),1)</f>
        <v>1</v>
      </c>
      <c r="O39" s="4" t="str">
        <f t="shared" si="1"/>
        <v/>
      </c>
      <c r="P39" s="4">
        <f t="array" ref="P39">IF(ROW()=2,MAX(0,INDEX(COMMERCIAL_POLICY!$B:$B,MATCH($B39,COMMERCIAL_POLICY!$A:$A,0))-SUM($Q$2:$Q$60)),0)</f>
        <v>0</v>
      </c>
      <c r="Q39" s="28" t="str">
        <f t="array" ref="Q39">IF($C39="","",IF($C39="Material",N($I39)*N($K39)*N($M39)*N($O39),IF($C39="Logistics",INDEX(COMMERCIAL_POLICY!$D:$D,MATCH($B39,COMMERCIAL_POLICY!$A:$A,0))*N($L39),N($I39)*N($J39)*N($K39)*N($L39)*N($M39)*N($G39))))</f>
        <v/>
      </c>
      <c r="R39" s="4" t="str">
        <f t="array" ref="R39">IF($A39="","",INDEX(OBJECT_CONDITIONS!$AM:$AM,MATCH($A39,OBJECT_CONDITIONS!$A:$A,0)))</f>
        <v/>
      </c>
      <c r="S39" s="33" t="str">
        <f t="array" ref="S39">IF($R39="","",INDEX(TAX_MODES!$B:$B,MATCH($R39,TAX_MODES!$A:$A,0)))</f>
        <v/>
      </c>
      <c r="T39" s="28" t="str">
        <f t="shared" si="2"/>
        <v/>
      </c>
      <c r="U39" s="4" t="str">
        <f t="shared" si="3"/>
        <v/>
      </c>
    </row>
    <row r="40" ht="14.25" customHeight="1">
      <c r="A40" s="4"/>
      <c r="B40" s="4"/>
      <c r="C40" s="4"/>
      <c r="D40" s="4"/>
      <c r="E40" s="4"/>
      <c r="F40" s="4" t="str">
        <f>IF($C40="","",IF($C40="Work",IFERROR(IF(SUMIFS(WORK_TARIFF_RULES!$G:$G,WORK_TARIFF_RULES!$A:$A,$D40,WORK_TARIFF_RULES!$C:$C,$B40)&lt;&gt;"",SUMIFS(WORK_TARIFF_RULES!$G:$G,WORK_TARIFF_RULES!$A:$A,$D40,WORK_TARIFF_RULES!$C:$C,$B40),SUMIFS(WORK_MASTER!$C:$C,WORK_MASTER!$A:$A,$D40)),""),IF($C40="Material",IFERROR(IF(SUMIFS(MATERIAL_TARIFF_RULES!$G:$G,MATERIAL_TARIFF_RULES!$A:$A,$D40,MATERIAL_TARIFF_RULES!$C:$C,$B40)&lt;&gt;"",SUMIFS(MATERIAL_TARIFF_RULES!$G:$G,MATERIAL_TARIFF_RULES!$A:$A,$D40,MATERIAL_TARIFF_RULES!$C:$C,$B40),SUMIFS(MATERIAL_VARIANTS!$J:$J,MATERIAL_VARIANTS!$A:$A,$E40)),""),IF($C40="Logistics","Мобилизация и логистика объекта",""))))</f>
        <v/>
      </c>
      <c r="G40" s="4"/>
      <c r="H40" s="4"/>
      <c r="I40" s="33" t="str">
        <f>IF($C40="","",IF($C40="Work",IFERROR(SUMIFS(WORK_MASTER!$I:$I,WORK_MASTER!$A:$A,$D40),0),IF($C40="Material",IFERROR(SUMIFS(MATERIAL_VARIANTS!$I:$I,MATERIAL_VARIANTS!$A:$A,$E40),0),0)))</f>
        <v/>
      </c>
      <c r="J40" s="33" t="str">
        <f>IF($C40="","",IF($C40="Work",IF($E40&lt;&gt;"",IFERROR(SUMIFS(WORK_VARIANTS!$H:$H,WORK_VARIANTS!$A:$A,$E40),1),1),1))</f>
        <v/>
      </c>
      <c r="K40" s="33" t="str">
        <f t="array" ref="K40">IF($C40="","",IF($C40="Work",IFERROR(SUMIFS(WORK_FACTOR_APPLICABILITY!$O:$O,WORK_FACTOR_APPLICABILITY!$A:$A,$D40,WORK_FACTOR_APPLICABILITY!$N:$N,$A40),1),IF($C40="Material",IFERROR(INDEX(MATERIAL_QUANTITY_EXAMPLE!$N:$N,MATCH(1,(MATERIAL_QUANTITY_EXAMPLE!$A:$A=MATERIAL_QUANTITY_EXAMPLE!$A:$A)*(MATERIAL_QUANTITY_EXAMPLE!$B:$B=$A40)*(MATERIAL_QUANTITY_EXAMPLE!$C:$C=$D40),0)),1),1)))</f>
        <v/>
      </c>
      <c r="L40" s="33" t="str">
        <f t="array" ref="L40">IF($A40="","",IF($C40="Material",1,IFERROR(INDEX(OBJECT_CONDITIONS!$AH:$AH,MATCH($A40,OBJECT_CONDITIONS!$A:$A,0))*INDEX(OBJECT_CONDITIONS!$AJ:$AJ,MATCH($A40,OBJECT_CONDITIONS!$A:$A,0))*INDEX(OBJECT_CONDITIONS!$AL:$AL,MATCH($A40,OBJECT_CONDITIONS!$A:$A,0)),1)))</f>
        <v/>
      </c>
      <c r="M40" s="33" t="str">
        <f>IF($B40="","",IF($C40="Work",IFERROR(IF(SUMIFS(WORK_TARIFF_RULES!$F:$F,WORK_TARIFF_RULES!$A:$A,$D40,WORK_TARIFF_RULES!$C:$C,$B40)&lt;&gt;"",SUMIFS(WORK_TARIFF_RULES!$F:$F,WORK_TARIFF_RULES!$A:$A,$D40,WORK_TARIFF_RULES!$C:$C,$B40),SUMIFS(TARIFF_PROFILES!$D:$D,TARIFF_PROFILES!$A:$A,$B40)),1),IF($C40="Material",IFERROR(IF(SUMIFS(MATERIAL_TARIFF_RULES!$E:$E,MATERIAL_TARIFF_RULES!$A:$A,$D40,MATERIAL_TARIFF_RULES!$C:$C,$B40)&lt;&gt;"",SUMIFS(MATERIAL_TARIFF_RULES!$E:$E,MATERIAL_TARIFF_RULES!$A:$A,$D40,MATERIAL_TARIFF_RULES!$C:$C,$B40),SUMIFS(TARIFF_PROFILES!$E:$E,TARIFF_PROFILES!$A:$A,$B40)),1),SUMIFS(TARIFF_PROFILES!$F:$F,TARIFF_PROFILES!$A:$A,$B40))))</f>
        <v/>
      </c>
      <c r="N40" s="33">
        <f>IF($C40="Material",IFERROR(SUMIFS(MATERIAL_MASTER!$P:$P,MATERIAL_MASTER!$A:$A,$D40)*IF(SUMIFS(MATERIAL_TARIFF_RULES!$F:$F,MATERIAL_TARIFF_RULES!$A:$A,$D40,MATERIAL_TARIFF_RULES!$C:$C,$B40)="",SUMIFS(TARIFF_PROFILES!$H:$H,TARIFF_PROFILES!$A:$A,$B40),SUMIFS(MATERIAL_TARIFF_RULES!$F:$F,MATERIAL_TARIFF_RULES!$A:$A,$D40,MATERIAL_TARIFF_RULES!$C:$C,$B40)),1),1)</f>
        <v>1</v>
      </c>
      <c r="O40" s="4" t="str">
        <f t="shared" si="1"/>
        <v/>
      </c>
      <c r="P40" s="4">
        <f t="array" ref="P40">IF(ROW()=2,MAX(0,INDEX(COMMERCIAL_POLICY!$B:$B,MATCH($B40,COMMERCIAL_POLICY!$A:$A,0))-SUM($Q$2:$Q$60)),0)</f>
        <v>0</v>
      </c>
      <c r="Q40" s="28" t="str">
        <f t="array" ref="Q40">IF($C40="","",IF($C40="Material",N($I40)*N($K40)*N($M40)*N($O40),IF($C40="Logistics",INDEX(COMMERCIAL_POLICY!$D:$D,MATCH($B40,COMMERCIAL_POLICY!$A:$A,0))*N($L40),N($I40)*N($J40)*N($K40)*N($L40)*N($M40)*N($G40))))</f>
        <v/>
      </c>
      <c r="R40" s="4" t="str">
        <f t="array" ref="R40">IF($A40="","",INDEX(OBJECT_CONDITIONS!$AM:$AM,MATCH($A40,OBJECT_CONDITIONS!$A:$A,0)))</f>
        <v/>
      </c>
      <c r="S40" s="33" t="str">
        <f t="array" ref="S40">IF($R40="","",INDEX(TAX_MODES!$B:$B,MATCH($R40,TAX_MODES!$A:$A,0)))</f>
        <v/>
      </c>
      <c r="T40" s="28" t="str">
        <f t="shared" si="2"/>
        <v/>
      </c>
      <c r="U40" s="4" t="str">
        <f t="shared" si="3"/>
        <v/>
      </c>
    </row>
    <row r="41" ht="14.25" customHeight="1">
      <c r="A41" s="4"/>
      <c r="B41" s="4"/>
      <c r="C41" s="4"/>
      <c r="D41" s="4"/>
      <c r="E41" s="4"/>
      <c r="F41" s="4" t="str">
        <f>IF($C41="","",IF($C41="Work",IFERROR(IF(SUMIFS(WORK_TARIFF_RULES!$G:$G,WORK_TARIFF_RULES!$A:$A,$D41,WORK_TARIFF_RULES!$C:$C,$B41)&lt;&gt;"",SUMIFS(WORK_TARIFF_RULES!$G:$G,WORK_TARIFF_RULES!$A:$A,$D41,WORK_TARIFF_RULES!$C:$C,$B41),SUMIFS(WORK_MASTER!$C:$C,WORK_MASTER!$A:$A,$D41)),""),IF($C41="Material",IFERROR(IF(SUMIFS(MATERIAL_TARIFF_RULES!$G:$G,MATERIAL_TARIFF_RULES!$A:$A,$D41,MATERIAL_TARIFF_RULES!$C:$C,$B41)&lt;&gt;"",SUMIFS(MATERIAL_TARIFF_RULES!$G:$G,MATERIAL_TARIFF_RULES!$A:$A,$D41,MATERIAL_TARIFF_RULES!$C:$C,$B41),SUMIFS(MATERIAL_VARIANTS!$J:$J,MATERIAL_VARIANTS!$A:$A,$E41)),""),IF($C41="Logistics","Мобилизация и логистика объекта",""))))</f>
        <v/>
      </c>
      <c r="G41" s="4"/>
      <c r="H41" s="4"/>
      <c r="I41" s="33" t="str">
        <f>IF($C41="","",IF($C41="Work",IFERROR(SUMIFS(WORK_MASTER!$I:$I,WORK_MASTER!$A:$A,$D41),0),IF($C41="Material",IFERROR(SUMIFS(MATERIAL_VARIANTS!$I:$I,MATERIAL_VARIANTS!$A:$A,$E41),0),0)))</f>
        <v/>
      </c>
      <c r="J41" s="33" t="str">
        <f>IF($C41="","",IF($C41="Work",IF($E41&lt;&gt;"",IFERROR(SUMIFS(WORK_VARIANTS!$H:$H,WORK_VARIANTS!$A:$A,$E41),1),1),1))</f>
        <v/>
      </c>
      <c r="K41" s="33" t="str">
        <f t="array" ref="K41">IF($C41="","",IF($C41="Work",IFERROR(SUMIFS(WORK_FACTOR_APPLICABILITY!$O:$O,WORK_FACTOR_APPLICABILITY!$A:$A,$D41,WORK_FACTOR_APPLICABILITY!$N:$N,$A41),1),IF($C41="Material",IFERROR(INDEX(MATERIAL_QUANTITY_EXAMPLE!$N:$N,MATCH(1,(MATERIAL_QUANTITY_EXAMPLE!$A:$A=MATERIAL_QUANTITY_EXAMPLE!$A:$A)*(MATERIAL_QUANTITY_EXAMPLE!$B:$B=$A41)*(MATERIAL_QUANTITY_EXAMPLE!$C:$C=$D41),0)),1),1)))</f>
        <v/>
      </c>
      <c r="L41" s="33" t="str">
        <f t="array" ref="L41">IF($A41="","",IF($C41="Material",1,IFERROR(INDEX(OBJECT_CONDITIONS!$AH:$AH,MATCH($A41,OBJECT_CONDITIONS!$A:$A,0))*INDEX(OBJECT_CONDITIONS!$AJ:$AJ,MATCH($A41,OBJECT_CONDITIONS!$A:$A,0))*INDEX(OBJECT_CONDITIONS!$AL:$AL,MATCH($A41,OBJECT_CONDITIONS!$A:$A,0)),1)))</f>
        <v/>
      </c>
      <c r="M41" s="33" t="str">
        <f>IF($B41="","",IF($C41="Work",IFERROR(IF(SUMIFS(WORK_TARIFF_RULES!$F:$F,WORK_TARIFF_RULES!$A:$A,$D41,WORK_TARIFF_RULES!$C:$C,$B41)&lt;&gt;"",SUMIFS(WORK_TARIFF_RULES!$F:$F,WORK_TARIFF_RULES!$A:$A,$D41,WORK_TARIFF_RULES!$C:$C,$B41),SUMIFS(TARIFF_PROFILES!$D:$D,TARIFF_PROFILES!$A:$A,$B41)),1),IF($C41="Material",IFERROR(IF(SUMIFS(MATERIAL_TARIFF_RULES!$E:$E,MATERIAL_TARIFF_RULES!$A:$A,$D41,MATERIAL_TARIFF_RULES!$C:$C,$B41)&lt;&gt;"",SUMIFS(MATERIAL_TARIFF_RULES!$E:$E,MATERIAL_TARIFF_RULES!$A:$A,$D41,MATERIAL_TARIFF_RULES!$C:$C,$B41),SUMIFS(TARIFF_PROFILES!$E:$E,TARIFF_PROFILES!$A:$A,$B41)),1),SUMIFS(TARIFF_PROFILES!$F:$F,TARIFF_PROFILES!$A:$A,$B41))))</f>
        <v/>
      </c>
      <c r="N41" s="33">
        <f>IF($C41="Material",IFERROR(SUMIFS(MATERIAL_MASTER!$P:$P,MATERIAL_MASTER!$A:$A,$D41)*IF(SUMIFS(MATERIAL_TARIFF_RULES!$F:$F,MATERIAL_TARIFF_RULES!$A:$A,$D41,MATERIAL_TARIFF_RULES!$C:$C,$B41)="",SUMIFS(TARIFF_PROFILES!$H:$H,TARIFF_PROFILES!$A:$A,$B41),SUMIFS(MATERIAL_TARIFF_RULES!$F:$F,MATERIAL_TARIFF_RULES!$A:$A,$D41,MATERIAL_TARIFF_RULES!$C:$C,$B41)),1),1)</f>
        <v>1</v>
      </c>
      <c r="O41" s="4" t="str">
        <f t="shared" si="1"/>
        <v/>
      </c>
      <c r="P41" s="4">
        <f t="array" ref="P41">IF(ROW()=2,MAX(0,INDEX(COMMERCIAL_POLICY!$B:$B,MATCH($B41,COMMERCIAL_POLICY!$A:$A,0))-SUM($Q$2:$Q$60)),0)</f>
        <v>0</v>
      </c>
      <c r="Q41" s="28" t="str">
        <f t="array" ref="Q41">IF($C41="","",IF($C41="Material",N($I41)*N($K41)*N($M41)*N($O41),IF($C41="Logistics",INDEX(COMMERCIAL_POLICY!$D:$D,MATCH($B41,COMMERCIAL_POLICY!$A:$A,0))*N($L41),N($I41)*N($J41)*N($K41)*N($L41)*N($M41)*N($G41))))</f>
        <v/>
      </c>
      <c r="R41" s="4" t="str">
        <f t="array" ref="R41">IF($A41="","",INDEX(OBJECT_CONDITIONS!$AM:$AM,MATCH($A41,OBJECT_CONDITIONS!$A:$A,0)))</f>
        <v/>
      </c>
      <c r="S41" s="33" t="str">
        <f t="array" ref="S41">IF($R41="","",INDEX(TAX_MODES!$B:$B,MATCH($R41,TAX_MODES!$A:$A,0)))</f>
        <v/>
      </c>
      <c r="T41" s="28" t="str">
        <f t="shared" si="2"/>
        <v/>
      </c>
      <c r="U41" s="4" t="str">
        <f t="shared" si="3"/>
        <v/>
      </c>
    </row>
    <row r="42" ht="14.25" customHeight="1">
      <c r="A42" s="4"/>
      <c r="B42" s="4"/>
      <c r="C42" s="4"/>
      <c r="D42" s="4"/>
      <c r="E42" s="4"/>
      <c r="F42" s="4" t="str">
        <f>IF($C42="","",IF($C42="Work",IFERROR(IF(SUMIFS(WORK_TARIFF_RULES!$G:$G,WORK_TARIFF_RULES!$A:$A,$D42,WORK_TARIFF_RULES!$C:$C,$B42)&lt;&gt;"",SUMIFS(WORK_TARIFF_RULES!$G:$G,WORK_TARIFF_RULES!$A:$A,$D42,WORK_TARIFF_RULES!$C:$C,$B42),SUMIFS(WORK_MASTER!$C:$C,WORK_MASTER!$A:$A,$D42)),""),IF($C42="Material",IFERROR(IF(SUMIFS(MATERIAL_TARIFF_RULES!$G:$G,MATERIAL_TARIFF_RULES!$A:$A,$D42,MATERIAL_TARIFF_RULES!$C:$C,$B42)&lt;&gt;"",SUMIFS(MATERIAL_TARIFF_RULES!$G:$G,MATERIAL_TARIFF_RULES!$A:$A,$D42,MATERIAL_TARIFF_RULES!$C:$C,$B42),SUMIFS(MATERIAL_VARIANTS!$J:$J,MATERIAL_VARIANTS!$A:$A,$E42)),""),IF($C42="Logistics","Мобилизация и логистика объекта",""))))</f>
        <v/>
      </c>
      <c r="G42" s="4"/>
      <c r="H42" s="4"/>
      <c r="I42" s="33" t="str">
        <f>IF($C42="","",IF($C42="Work",IFERROR(SUMIFS(WORK_MASTER!$I:$I,WORK_MASTER!$A:$A,$D42),0),IF($C42="Material",IFERROR(SUMIFS(MATERIAL_VARIANTS!$I:$I,MATERIAL_VARIANTS!$A:$A,$E42),0),0)))</f>
        <v/>
      </c>
      <c r="J42" s="33" t="str">
        <f>IF($C42="","",IF($C42="Work",IF($E42&lt;&gt;"",IFERROR(SUMIFS(WORK_VARIANTS!$H:$H,WORK_VARIANTS!$A:$A,$E42),1),1),1))</f>
        <v/>
      </c>
      <c r="K42" s="33" t="str">
        <f t="array" ref="K42">IF($C42="","",IF($C42="Work",IFERROR(SUMIFS(WORK_FACTOR_APPLICABILITY!$O:$O,WORK_FACTOR_APPLICABILITY!$A:$A,$D42,WORK_FACTOR_APPLICABILITY!$N:$N,$A42),1),IF($C42="Material",IFERROR(INDEX(MATERIAL_QUANTITY_EXAMPLE!$N:$N,MATCH(1,(MATERIAL_QUANTITY_EXAMPLE!$A:$A=MATERIAL_QUANTITY_EXAMPLE!$A:$A)*(MATERIAL_QUANTITY_EXAMPLE!$B:$B=$A42)*(MATERIAL_QUANTITY_EXAMPLE!$C:$C=$D42),0)),1),1)))</f>
        <v/>
      </c>
      <c r="L42" s="33" t="str">
        <f t="array" ref="L42">IF($A42="","",IF($C42="Material",1,IFERROR(INDEX(OBJECT_CONDITIONS!$AH:$AH,MATCH($A42,OBJECT_CONDITIONS!$A:$A,0))*INDEX(OBJECT_CONDITIONS!$AJ:$AJ,MATCH($A42,OBJECT_CONDITIONS!$A:$A,0))*INDEX(OBJECT_CONDITIONS!$AL:$AL,MATCH($A42,OBJECT_CONDITIONS!$A:$A,0)),1)))</f>
        <v/>
      </c>
      <c r="M42" s="33" t="str">
        <f>IF($B42="","",IF($C42="Work",IFERROR(IF(SUMIFS(WORK_TARIFF_RULES!$F:$F,WORK_TARIFF_RULES!$A:$A,$D42,WORK_TARIFF_RULES!$C:$C,$B42)&lt;&gt;"",SUMIFS(WORK_TARIFF_RULES!$F:$F,WORK_TARIFF_RULES!$A:$A,$D42,WORK_TARIFF_RULES!$C:$C,$B42),SUMIFS(TARIFF_PROFILES!$D:$D,TARIFF_PROFILES!$A:$A,$B42)),1),IF($C42="Material",IFERROR(IF(SUMIFS(MATERIAL_TARIFF_RULES!$E:$E,MATERIAL_TARIFF_RULES!$A:$A,$D42,MATERIAL_TARIFF_RULES!$C:$C,$B42)&lt;&gt;"",SUMIFS(MATERIAL_TARIFF_RULES!$E:$E,MATERIAL_TARIFF_RULES!$A:$A,$D42,MATERIAL_TARIFF_RULES!$C:$C,$B42),SUMIFS(TARIFF_PROFILES!$E:$E,TARIFF_PROFILES!$A:$A,$B42)),1),SUMIFS(TARIFF_PROFILES!$F:$F,TARIFF_PROFILES!$A:$A,$B42))))</f>
        <v/>
      </c>
      <c r="N42" s="33">
        <f>IF($C42="Material",IFERROR(SUMIFS(MATERIAL_MASTER!$P:$P,MATERIAL_MASTER!$A:$A,$D42)*IF(SUMIFS(MATERIAL_TARIFF_RULES!$F:$F,MATERIAL_TARIFF_RULES!$A:$A,$D42,MATERIAL_TARIFF_RULES!$C:$C,$B42)="",SUMIFS(TARIFF_PROFILES!$H:$H,TARIFF_PROFILES!$A:$A,$B42),SUMIFS(MATERIAL_TARIFF_RULES!$F:$F,MATERIAL_TARIFF_RULES!$A:$A,$D42,MATERIAL_TARIFF_RULES!$C:$C,$B42)),1),1)</f>
        <v>1</v>
      </c>
      <c r="O42" s="4" t="str">
        <f t="shared" si="1"/>
        <v/>
      </c>
      <c r="P42" s="4">
        <f t="array" ref="P42">IF(ROW()=2,MAX(0,INDEX(COMMERCIAL_POLICY!$B:$B,MATCH($B42,COMMERCIAL_POLICY!$A:$A,0))-SUM($Q$2:$Q$60)),0)</f>
        <v>0</v>
      </c>
      <c r="Q42" s="28" t="str">
        <f t="array" ref="Q42">IF($C42="","",IF($C42="Material",N($I42)*N($K42)*N($M42)*N($O42),IF($C42="Logistics",INDEX(COMMERCIAL_POLICY!$D:$D,MATCH($B42,COMMERCIAL_POLICY!$A:$A,0))*N($L42),N($I42)*N($J42)*N($K42)*N($L42)*N($M42)*N($G42))))</f>
        <v/>
      </c>
      <c r="R42" s="4" t="str">
        <f t="array" ref="R42">IF($A42="","",INDEX(OBJECT_CONDITIONS!$AM:$AM,MATCH($A42,OBJECT_CONDITIONS!$A:$A,0)))</f>
        <v/>
      </c>
      <c r="S42" s="33" t="str">
        <f t="array" ref="S42">IF($R42="","",INDEX(TAX_MODES!$B:$B,MATCH($R42,TAX_MODES!$A:$A,0)))</f>
        <v/>
      </c>
      <c r="T42" s="28" t="str">
        <f t="shared" si="2"/>
        <v/>
      </c>
      <c r="U42" s="4" t="str">
        <f t="shared" si="3"/>
        <v/>
      </c>
    </row>
    <row r="43" ht="14.25" customHeight="1">
      <c r="A43" s="4"/>
      <c r="B43" s="4"/>
      <c r="C43" s="4"/>
      <c r="D43" s="4"/>
      <c r="E43" s="4"/>
      <c r="F43" s="4" t="str">
        <f>IF($C43="","",IF($C43="Work",IFERROR(IF(SUMIFS(WORK_TARIFF_RULES!$G:$G,WORK_TARIFF_RULES!$A:$A,$D43,WORK_TARIFF_RULES!$C:$C,$B43)&lt;&gt;"",SUMIFS(WORK_TARIFF_RULES!$G:$G,WORK_TARIFF_RULES!$A:$A,$D43,WORK_TARIFF_RULES!$C:$C,$B43),SUMIFS(WORK_MASTER!$C:$C,WORK_MASTER!$A:$A,$D43)),""),IF($C43="Material",IFERROR(IF(SUMIFS(MATERIAL_TARIFF_RULES!$G:$G,MATERIAL_TARIFF_RULES!$A:$A,$D43,MATERIAL_TARIFF_RULES!$C:$C,$B43)&lt;&gt;"",SUMIFS(MATERIAL_TARIFF_RULES!$G:$G,MATERIAL_TARIFF_RULES!$A:$A,$D43,MATERIAL_TARIFF_RULES!$C:$C,$B43),SUMIFS(MATERIAL_VARIANTS!$J:$J,MATERIAL_VARIANTS!$A:$A,$E43)),""),IF($C43="Logistics","Мобилизация и логистика объекта",""))))</f>
        <v/>
      </c>
      <c r="G43" s="4"/>
      <c r="H43" s="4"/>
      <c r="I43" s="33" t="str">
        <f>IF($C43="","",IF($C43="Work",IFERROR(SUMIFS(WORK_MASTER!$I:$I,WORK_MASTER!$A:$A,$D43),0),IF($C43="Material",IFERROR(SUMIFS(MATERIAL_VARIANTS!$I:$I,MATERIAL_VARIANTS!$A:$A,$E43),0),0)))</f>
        <v/>
      </c>
      <c r="J43" s="33" t="str">
        <f>IF($C43="","",IF($C43="Work",IF($E43&lt;&gt;"",IFERROR(SUMIFS(WORK_VARIANTS!$H:$H,WORK_VARIANTS!$A:$A,$E43),1),1),1))</f>
        <v/>
      </c>
      <c r="K43" s="33" t="str">
        <f t="array" ref="K43">IF($C43="","",IF($C43="Work",IFERROR(SUMIFS(WORK_FACTOR_APPLICABILITY!$O:$O,WORK_FACTOR_APPLICABILITY!$A:$A,$D43,WORK_FACTOR_APPLICABILITY!$N:$N,$A43),1),IF($C43="Material",IFERROR(INDEX(MATERIAL_QUANTITY_EXAMPLE!$N:$N,MATCH(1,(MATERIAL_QUANTITY_EXAMPLE!$A:$A=MATERIAL_QUANTITY_EXAMPLE!$A:$A)*(MATERIAL_QUANTITY_EXAMPLE!$B:$B=$A43)*(MATERIAL_QUANTITY_EXAMPLE!$C:$C=$D43),0)),1),1)))</f>
        <v/>
      </c>
      <c r="L43" s="33" t="str">
        <f t="array" ref="L43">IF($A43="","",IF($C43="Material",1,IFERROR(INDEX(OBJECT_CONDITIONS!$AH:$AH,MATCH($A43,OBJECT_CONDITIONS!$A:$A,0))*INDEX(OBJECT_CONDITIONS!$AJ:$AJ,MATCH($A43,OBJECT_CONDITIONS!$A:$A,0))*INDEX(OBJECT_CONDITIONS!$AL:$AL,MATCH($A43,OBJECT_CONDITIONS!$A:$A,0)),1)))</f>
        <v/>
      </c>
      <c r="M43" s="33" t="str">
        <f>IF($B43="","",IF($C43="Work",IFERROR(IF(SUMIFS(WORK_TARIFF_RULES!$F:$F,WORK_TARIFF_RULES!$A:$A,$D43,WORK_TARIFF_RULES!$C:$C,$B43)&lt;&gt;"",SUMIFS(WORK_TARIFF_RULES!$F:$F,WORK_TARIFF_RULES!$A:$A,$D43,WORK_TARIFF_RULES!$C:$C,$B43),SUMIFS(TARIFF_PROFILES!$D:$D,TARIFF_PROFILES!$A:$A,$B43)),1),IF($C43="Material",IFERROR(IF(SUMIFS(MATERIAL_TARIFF_RULES!$E:$E,MATERIAL_TARIFF_RULES!$A:$A,$D43,MATERIAL_TARIFF_RULES!$C:$C,$B43)&lt;&gt;"",SUMIFS(MATERIAL_TARIFF_RULES!$E:$E,MATERIAL_TARIFF_RULES!$A:$A,$D43,MATERIAL_TARIFF_RULES!$C:$C,$B43),SUMIFS(TARIFF_PROFILES!$E:$E,TARIFF_PROFILES!$A:$A,$B43)),1),SUMIFS(TARIFF_PROFILES!$F:$F,TARIFF_PROFILES!$A:$A,$B43))))</f>
        <v/>
      </c>
      <c r="N43" s="33">
        <f>IF($C43="Material",IFERROR(SUMIFS(MATERIAL_MASTER!$P:$P,MATERIAL_MASTER!$A:$A,$D43)*IF(SUMIFS(MATERIAL_TARIFF_RULES!$F:$F,MATERIAL_TARIFF_RULES!$A:$A,$D43,MATERIAL_TARIFF_RULES!$C:$C,$B43)="",SUMIFS(TARIFF_PROFILES!$H:$H,TARIFF_PROFILES!$A:$A,$B43),SUMIFS(MATERIAL_TARIFF_RULES!$F:$F,MATERIAL_TARIFF_RULES!$A:$A,$D43,MATERIAL_TARIFF_RULES!$C:$C,$B43)),1),1)</f>
        <v>1</v>
      </c>
      <c r="O43" s="4" t="str">
        <f t="shared" si="1"/>
        <v/>
      </c>
      <c r="P43" s="4">
        <f t="array" ref="P43">IF(ROW()=2,MAX(0,INDEX(COMMERCIAL_POLICY!$B:$B,MATCH($B43,COMMERCIAL_POLICY!$A:$A,0))-SUM($Q$2:$Q$60)),0)</f>
        <v>0</v>
      </c>
      <c r="Q43" s="28" t="str">
        <f t="array" ref="Q43">IF($C43="","",IF($C43="Material",N($I43)*N($K43)*N($M43)*N($O43),IF($C43="Logistics",INDEX(COMMERCIAL_POLICY!$D:$D,MATCH($B43,COMMERCIAL_POLICY!$A:$A,0))*N($L43),N($I43)*N($J43)*N($K43)*N($L43)*N($M43)*N($G43))))</f>
        <v/>
      </c>
      <c r="R43" s="4" t="str">
        <f t="array" ref="R43">IF($A43="","",INDEX(OBJECT_CONDITIONS!$AM:$AM,MATCH($A43,OBJECT_CONDITIONS!$A:$A,0)))</f>
        <v/>
      </c>
      <c r="S43" s="33" t="str">
        <f t="array" ref="S43">IF($R43="","",INDEX(TAX_MODES!$B:$B,MATCH($R43,TAX_MODES!$A:$A,0)))</f>
        <v/>
      </c>
      <c r="T43" s="28" t="str">
        <f t="shared" si="2"/>
        <v/>
      </c>
      <c r="U43" s="4" t="str">
        <f t="shared" si="3"/>
        <v/>
      </c>
    </row>
    <row r="44" ht="14.25" customHeight="1">
      <c r="A44" s="4"/>
      <c r="B44" s="4"/>
      <c r="C44" s="4"/>
      <c r="D44" s="4"/>
      <c r="E44" s="4"/>
      <c r="F44" s="4" t="str">
        <f>IF($C44="","",IF($C44="Work",IFERROR(IF(SUMIFS(WORK_TARIFF_RULES!$G:$G,WORK_TARIFF_RULES!$A:$A,$D44,WORK_TARIFF_RULES!$C:$C,$B44)&lt;&gt;"",SUMIFS(WORK_TARIFF_RULES!$G:$G,WORK_TARIFF_RULES!$A:$A,$D44,WORK_TARIFF_RULES!$C:$C,$B44),SUMIFS(WORK_MASTER!$C:$C,WORK_MASTER!$A:$A,$D44)),""),IF($C44="Material",IFERROR(IF(SUMIFS(MATERIAL_TARIFF_RULES!$G:$G,MATERIAL_TARIFF_RULES!$A:$A,$D44,MATERIAL_TARIFF_RULES!$C:$C,$B44)&lt;&gt;"",SUMIFS(MATERIAL_TARIFF_RULES!$G:$G,MATERIAL_TARIFF_RULES!$A:$A,$D44,MATERIAL_TARIFF_RULES!$C:$C,$B44),SUMIFS(MATERIAL_VARIANTS!$J:$J,MATERIAL_VARIANTS!$A:$A,$E44)),""),IF($C44="Logistics","Мобилизация и логистика объекта",""))))</f>
        <v/>
      </c>
      <c r="G44" s="4"/>
      <c r="H44" s="4"/>
      <c r="I44" s="33" t="str">
        <f>IF($C44="","",IF($C44="Work",IFERROR(SUMIFS(WORK_MASTER!$I:$I,WORK_MASTER!$A:$A,$D44),0),IF($C44="Material",IFERROR(SUMIFS(MATERIAL_VARIANTS!$I:$I,MATERIAL_VARIANTS!$A:$A,$E44),0),0)))</f>
        <v/>
      </c>
      <c r="J44" s="33" t="str">
        <f>IF($C44="","",IF($C44="Work",IF($E44&lt;&gt;"",IFERROR(SUMIFS(WORK_VARIANTS!$H:$H,WORK_VARIANTS!$A:$A,$E44),1),1),1))</f>
        <v/>
      </c>
      <c r="K44" s="33" t="str">
        <f t="array" ref="K44">IF($C44="","",IF($C44="Work",IFERROR(SUMIFS(WORK_FACTOR_APPLICABILITY!$O:$O,WORK_FACTOR_APPLICABILITY!$A:$A,$D44,WORK_FACTOR_APPLICABILITY!$N:$N,$A44),1),IF($C44="Material",IFERROR(INDEX(MATERIAL_QUANTITY_EXAMPLE!$N:$N,MATCH(1,(MATERIAL_QUANTITY_EXAMPLE!$A:$A=MATERIAL_QUANTITY_EXAMPLE!$A:$A)*(MATERIAL_QUANTITY_EXAMPLE!$B:$B=$A44)*(MATERIAL_QUANTITY_EXAMPLE!$C:$C=$D44),0)),1),1)))</f>
        <v/>
      </c>
      <c r="L44" s="33" t="str">
        <f t="array" ref="L44">IF($A44="","",IF($C44="Material",1,IFERROR(INDEX(OBJECT_CONDITIONS!$AH:$AH,MATCH($A44,OBJECT_CONDITIONS!$A:$A,0))*INDEX(OBJECT_CONDITIONS!$AJ:$AJ,MATCH($A44,OBJECT_CONDITIONS!$A:$A,0))*INDEX(OBJECT_CONDITIONS!$AL:$AL,MATCH($A44,OBJECT_CONDITIONS!$A:$A,0)),1)))</f>
        <v/>
      </c>
      <c r="M44" s="33" t="str">
        <f>IF($B44="","",IF($C44="Work",IFERROR(IF(SUMIFS(WORK_TARIFF_RULES!$F:$F,WORK_TARIFF_RULES!$A:$A,$D44,WORK_TARIFF_RULES!$C:$C,$B44)&lt;&gt;"",SUMIFS(WORK_TARIFF_RULES!$F:$F,WORK_TARIFF_RULES!$A:$A,$D44,WORK_TARIFF_RULES!$C:$C,$B44),SUMIFS(TARIFF_PROFILES!$D:$D,TARIFF_PROFILES!$A:$A,$B44)),1),IF($C44="Material",IFERROR(IF(SUMIFS(MATERIAL_TARIFF_RULES!$E:$E,MATERIAL_TARIFF_RULES!$A:$A,$D44,MATERIAL_TARIFF_RULES!$C:$C,$B44)&lt;&gt;"",SUMIFS(MATERIAL_TARIFF_RULES!$E:$E,MATERIAL_TARIFF_RULES!$A:$A,$D44,MATERIAL_TARIFF_RULES!$C:$C,$B44),SUMIFS(TARIFF_PROFILES!$E:$E,TARIFF_PROFILES!$A:$A,$B44)),1),SUMIFS(TARIFF_PROFILES!$F:$F,TARIFF_PROFILES!$A:$A,$B44))))</f>
        <v/>
      </c>
      <c r="N44" s="33">
        <f>IF($C44="Material",IFERROR(SUMIFS(MATERIAL_MASTER!$P:$P,MATERIAL_MASTER!$A:$A,$D44)*IF(SUMIFS(MATERIAL_TARIFF_RULES!$F:$F,MATERIAL_TARIFF_RULES!$A:$A,$D44,MATERIAL_TARIFF_RULES!$C:$C,$B44)="",SUMIFS(TARIFF_PROFILES!$H:$H,TARIFF_PROFILES!$A:$A,$B44),SUMIFS(MATERIAL_TARIFF_RULES!$F:$F,MATERIAL_TARIFF_RULES!$A:$A,$D44,MATERIAL_TARIFF_RULES!$C:$C,$B44)),1),1)</f>
        <v>1</v>
      </c>
      <c r="O44" s="4" t="str">
        <f t="shared" si="1"/>
        <v/>
      </c>
      <c r="P44" s="4">
        <f t="array" ref="P44">IF(ROW()=2,MAX(0,INDEX(COMMERCIAL_POLICY!$B:$B,MATCH($B44,COMMERCIAL_POLICY!$A:$A,0))-SUM($Q$2:$Q$60)),0)</f>
        <v>0</v>
      </c>
      <c r="Q44" s="28" t="str">
        <f t="array" ref="Q44">IF($C44="","",IF($C44="Material",N($I44)*N($K44)*N($M44)*N($O44),IF($C44="Logistics",INDEX(COMMERCIAL_POLICY!$D:$D,MATCH($B44,COMMERCIAL_POLICY!$A:$A,0))*N($L44),N($I44)*N($J44)*N($K44)*N($L44)*N($M44)*N($G44))))</f>
        <v/>
      </c>
      <c r="R44" s="4" t="str">
        <f t="array" ref="R44">IF($A44="","",INDEX(OBJECT_CONDITIONS!$AM:$AM,MATCH($A44,OBJECT_CONDITIONS!$A:$A,0)))</f>
        <v/>
      </c>
      <c r="S44" s="33" t="str">
        <f t="array" ref="S44">IF($R44="","",INDEX(TAX_MODES!$B:$B,MATCH($R44,TAX_MODES!$A:$A,0)))</f>
        <v/>
      </c>
      <c r="T44" s="28" t="str">
        <f t="shared" si="2"/>
        <v/>
      </c>
      <c r="U44" s="4" t="str">
        <f t="shared" si="3"/>
        <v/>
      </c>
    </row>
    <row r="45" ht="14.25" customHeight="1">
      <c r="A45" s="4"/>
      <c r="B45" s="4"/>
      <c r="C45" s="4"/>
      <c r="D45" s="4"/>
      <c r="E45" s="4"/>
      <c r="F45" s="4" t="str">
        <f>IF($C45="","",IF($C45="Work",IFERROR(IF(SUMIFS(WORK_TARIFF_RULES!$G:$G,WORK_TARIFF_RULES!$A:$A,$D45,WORK_TARIFF_RULES!$C:$C,$B45)&lt;&gt;"",SUMIFS(WORK_TARIFF_RULES!$G:$G,WORK_TARIFF_RULES!$A:$A,$D45,WORK_TARIFF_RULES!$C:$C,$B45),SUMIFS(WORK_MASTER!$C:$C,WORK_MASTER!$A:$A,$D45)),""),IF($C45="Material",IFERROR(IF(SUMIFS(MATERIAL_TARIFF_RULES!$G:$G,MATERIAL_TARIFF_RULES!$A:$A,$D45,MATERIAL_TARIFF_RULES!$C:$C,$B45)&lt;&gt;"",SUMIFS(MATERIAL_TARIFF_RULES!$G:$G,MATERIAL_TARIFF_RULES!$A:$A,$D45,MATERIAL_TARIFF_RULES!$C:$C,$B45),SUMIFS(MATERIAL_VARIANTS!$J:$J,MATERIAL_VARIANTS!$A:$A,$E45)),""),IF($C45="Logistics","Мобилизация и логистика объекта",""))))</f>
        <v/>
      </c>
      <c r="G45" s="4"/>
      <c r="H45" s="4"/>
      <c r="I45" s="33" t="str">
        <f>IF($C45="","",IF($C45="Work",IFERROR(SUMIFS(WORK_MASTER!$I:$I,WORK_MASTER!$A:$A,$D45),0),IF($C45="Material",IFERROR(SUMIFS(MATERIAL_VARIANTS!$I:$I,MATERIAL_VARIANTS!$A:$A,$E45),0),0)))</f>
        <v/>
      </c>
      <c r="J45" s="33" t="str">
        <f>IF($C45="","",IF($C45="Work",IF($E45&lt;&gt;"",IFERROR(SUMIFS(WORK_VARIANTS!$H:$H,WORK_VARIANTS!$A:$A,$E45),1),1),1))</f>
        <v/>
      </c>
      <c r="K45" s="33" t="str">
        <f t="array" ref="K45">IF($C45="","",IF($C45="Work",IFERROR(SUMIFS(WORK_FACTOR_APPLICABILITY!$O:$O,WORK_FACTOR_APPLICABILITY!$A:$A,$D45,WORK_FACTOR_APPLICABILITY!$N:$N,$A45),1),IF($C45="Material",IFERROR(INDEX(MATERIAL_QUANTITY_EXAMPLE!$N:$N,MATCH(1,(MATERIAL_QUANTITY_EXAMPLE!$A:$A=MATERIAL_QUANTITY_EXAMPLE!$A:$A)*(MATERIAL_QUANTITY_EXAMPLE!$B:$B=$A45)*(MATERIAL_QUANTITY_EXAMPLE!$C:$C=$D45),0)),1),1)))</f>
        <v/>
      </c>
      <c r="L45" s="33" t="str">
        <f t="array" ref="L45">IF($A45="","",IF($C45="Material",1,IFERROR(INDEX(OBJECT_CONDITIONS!$AH:$AH,MATCH($A45,OBJECT_CONDITIONS!$A:$A,0))*INDEX(OBJECT_CONDITIONS!$AJ:$AJ,MATCH($A45,OBJECT_CONDITIONS!$A:$A,0))*INDEX(OBJECT_CONDITIONS!$AL:$AL,MATCH($A45,OBJECT_CONDITIONS!$A:$A,0)),1)))</f>
        <v/>
      </c>
      <c r="M45" s="33" t="str">
        <f>IF($B45="","",IF($C45="Work",IFERROR(IF(SUMIFS(WORK_TARIFF_RULES!$F:$F,WORK_TARIFF_RULES!$A:$A,$D45,WORK_TARIFF_RULES!$C:$C,$B45)&lt;&gt;"",SUMIFS(WORK_TARIFF_RULES!$F:$F,WORK_TARIFF_RULES!$A:$A,$D45,WORK_TARIFF_RULES!$C:$C,$B45),SUMIFS(TARIFF_PROFILES!$D:$D,TARIFF_PROFILES!$A:$A,$B45)),1),IF($C45="Material",IFERROR(IF(SUMIFS(MATERIAL_TARIFF_RULES!$E:$E,MATERIAL_TARIFF_RULES!$A:$A,$D45,MATERIAL_TARIFF_RULES!$C:$C,$B45)&lt;&gt;"",SUMIFS(MATERIAL_TARIFF_RULES!$E:$E,MATERIAL_TARIFF_RULES!$A:$A,$D45,MATERIAL_TARIFF_RULES!$C:$C,$B45),SUMIFS(TARIFF_PROFILES!$E:$E,TARIFF_PROFILES!$A:$A,$B45)),1),SUMIFS(TARIFF_PROFILES!$F:$F,TARIFF_PROFILES!$A:$A,$B45))))</f>
        <v/>
      </c>
      <c r="N45" s="33">
        <f>IF($C45="Material",IFERROR(SUMIFS(MATERIAL_MASTER!$P:$P,MATERIAL_MASTER!$A:$A,$D45)*IF(SUMIFS(MATERIAL_TARIFF_RULES!$F:$F,MATERIAL_TARIFF_RULES!$A:$A,$D45,MATERIAL_TARIFF_RULES!$C:$C,$B45)="",SUMIFS(TARIFF_PROFILES!$H:$H,TARIFF_PROFILES!$A:$A,$B45),SUMIFS(MATERIAL_TARIFF_RULES!$F:$F,MATERIAL_TARIFF_RULES!$A:$A,$D45,MATERIAL_TARIFF_RULES!$C:$C,$B45)),1),1)</f>
        <v>1</v>
      </c>
      <c r="O45" s="4" t="str">
        <f t="shared" si="1"/>
        <v/>
      </c>
      <c r="P45" s="4">
        <f t="array" ref="P45">IF(ROW()=2,MAX(0,INDEX(COMMERCIAL_POLICY!$B:$B,MATCH($B45,COMMERCIAL_POLICY!$A:$A,0))-SUM($Q$2:$Q$60)),0)</f>
        <v>0</v>
      </c>
      <c r="Q45" s="28" t="str">
        <f t="array" ref="Q45">IF($C45="","",IF($C45="Material",N($I45)*N($K45)*N($M45)*N($O45),IF($C45="Logistics",INDEX(COMMERCIAL_POLICY!$D:$D,MATCH($B45,COMMERCIAL_POLICY!$A:$A,0))*N($L45),N($I45)*N($J45)*N($K45)*N($L45)*N($M45)*N($G45))))</f>
        <v/>
      </c>
      <c r="R45" s="4" t="str">
        <f t="array" ref="R45">IF($A45="","",INDEX(OBJECT_CONDITIONS!$AM:$AM,MATCH($A45,OBJECT_CONDITIONS!$A:$A,0)))</f>
        <v/>
      </c>
      <c r="S45" s="33" t="str">
        <f t="array" ref="S45">IF($R45="","",INDEX(TAX_MODES!$B:$B,MATCH($R45,TAX_MODES!$A:$A,0)))</f>
        <v/>
      </c>
      <c r="T45" s="28" t="str">
        <f t="shared" si="2"/>
        <v/>
      </c>
      <c r="U45" s="4" t="str">
        <f t="shared" si="3"/>
        <v/>
      </c>
    </row>
    <row r="46" ht="14.25" customHeight="1">
      <c r="A46" s="4"/>
      <c r="B46" s="4"/>
      <c r="C46" s="4"/>
      <c r="D46" s="4"/>
      <c r="E46" s="4"/>
      <c r="F46" s="4" t="str">
        <f>IF($C46="","",IF($C46="Work",IFERROR(IF(SUMIFS(WORK_TARIFF_RULES!$G:$G,WORK_TARIFF_RULES!$A:$A,$D46,WORK_TARIFF_RULES!$C:$C,$B46)&lt;&gt;"",SUMIFS(WORK_TARIFF_RULES!$G:$G,WORK_TARIFF_RULES!$A:$A,$D46,WORK_TARIFF_RULES!$C:$C,$B46),SUMIFS(WORK_MASTER!$C:$C,WORK_MASTER!$A:$A,$D46)),""),IF($C46="Material",IFERROR(IF(SUMIFS(MATERIAL_TARIFF_RULES!$G:$G,MATERIAL_TARIFF_RULES!$A:$A,$D46,MATERIAL_TARIFF_RULES!$C:$C,$B46)&lt;&gt;"",SUMIFS(MATERIAL_TARIFF_RULES!$G:$G,MATERIAL_TARIFF_RULES!$A:$A,$D46,MATERIAL_TARIFF_RULES!$C:$C,$B46),SUMIFS(MATERIAL_VARIANTS!$J:$J,MATERIAL_VARIANTS!$A:$A,$E46)),""),IF($C46="Logistics","Мобилизация и логистика объекта",""))))</f>
        <v/>
      </c>
      <c r="G46" s="4"/>
      <c r="H46" s="4"/>
      <c r="I46" s="33" t="str">
        <f>IF($C46="","",IF($C46="Work",IFERROR(SUMIFS(WORK_MASTER!$I:$I,WORK_MASTER!$A:$A,$D46),0),IF($C46="Material",IFERROR(SUMIFS(MATERIAL_VARIANTS!$I:$I,MATERIAL_VARIANTS!$A:$A,$E46),0),0)))</f>
        <v/>
      </c>
      <c r="J46" s="33" t="str">
        <f>IF($C46="","",IF($C46="Work",IF($E46&lt;&gt;"",IFERROR(SUMIFS(WORK_VARIANTS!$H:$H,WORK_VARIANTS!$A:$A,$E46),1),1),1))</f>
        <v/>
      </c>
      <c r="K46" s="33" t="str">
        <f t="array" ref="K46">IF($C46="","",IF($C46="Work",IFERROR(SUMIFS(WORK_FACTOR_APPLICABILITY!$O:$O,WORK_FACTOR_APPLICABILITY!$A:$A,$D46,WORK_FACTOR_APPLICABILITY!$N:$N,$A46),1),IF($C46="Material",IFERROR(INDEX(MATERIAL_QUANTITY_EXAMPLE!$N:$N,MATCH(1,(MATERIAL_QUANTITY_EXAMPLE!$A:$A=MATERIAL_QUANTITY_EXAMPLE!$A:$A)*(MATERIAL_QUANTITY_EXAMPLE!$B:$B=$A46)*(MATERIAL_QUANTITY_EXAMPLE!$C:$C=$D46),0)),1),1)))</f>
        <v/>
      </c>
      <c r="L46" s="33" t="str">
        <f t="array" ref="L46">IF($A46="","",IF($C46="Material",1,IFERROR(INDEX(OBJECT_CONDITIONS!$AH:$AH,MATCH($A46,OBJECT_CONDITIONS!$A:$A,0))*INDEX(OBJECT_CONDITIONS!$AJ:$AJ,MATCH($A46,OBJECT_CONDITIONS!$A:$A,0))*INDEX(OBJECT_CONDITIONS!$AL:$AL,MATCH($A46,OBJECT_CONDITIONS!$A:$A,0)),1)))</f>
        <v/>
      </c>
      <c r="M46" s="33" t="str">
        <f>IF($B46="","",IF($C46="Work",IFERROR(IF(SUMIFS(WORK_TARIFF_RULES!$F:$F,WORK_TARIFF_RULES!$A:$A,$D46,WORK_TARIFF_RULES!$C:$C,$B46)&lt;&gt;"",SUMIFS(WORK_TARIFF_RULES!$F:$F,WORK_TARIFF_RULES!$A:$A,$D46,WORK_TARIFF_RULES!$C:$C,$B46),SUMIFS(TARIFF_PROFILES!$D:$D,TARIFF_PROFILES!$A:$A,$B46)),1),IF($C46="Material",IFERROR(IF(SUMIFS(MATERIAL_TARIFF_RULES!$E:$E,MATERIAL_TARIFF_RULES!$A:$A,$D46,MATERIAL_TARIFF_RULES!$C:$C,$B46)&lt;&gt;"",SUMIFS(MATERIAL_TARIFF_RULES!$E:$E,MATERIAL_TARIFF_RULES!$A:$A,$D46,MATERIAL_TARIFF_RULES!$C:$C,$B46),SUMIFS(TARIFF_PROFILES!$E:$E,TARIFF_PROFILES!$A:$A,$B46)),1),SUMIFS(TARIFF_PROFILES!$F:$F,TARIFF_PROFILES!$A:$A,$B46))))</f>
        <v/>
      </c>
      <c r="N46" s="33">
        <f>IF($C46="Material",IFERROR(SUMIFS(MATERIAL_MASTER!$P:$P,MATERIAL_MASTER!$A:$A,$D46)*IF(SUMIFS(MATERIAL_TARIFF_RULES!$F:$F,MATERIAL_TARIFF_RULES!$A:$A,$D46,MATERIAL_TARIFF_RULES!$C:$C,$B46)="",SUMIFS(TARIFF_PROFILES!$H:$H,TARIFF_PROFILES!$A:$A,$B46),SUMIFS(MATERIAL_TARIFF_RULES!$F:$F,MATERIAL_TARIFF_RULES!$A:$A,$D46,MATERIAL_TARIFF_RULES!$C:$C,$B46)),1),1)</f>
        <v>1</v>
      </c>
      <c r="O46" s="4" t="str">
        <f t="shared" si="1"/>
        <v/>
      </c>
      <c r="P46" s="4">
        <f t="array" ref="P46">IF(ROW()=2,MAX(0,INDEX(COMMERCIAL_POLICY!$B:$B,MATCH($B46,COMMERCIAL_POLICY!$A:$A,0))-SUM($Q$2:$Q$60)),0)</f>
        <v>0</v>
      </c>
      <c r="Q46" s="28" t="str">
        <f t="array" ref="Q46">IF($C46="","",IF($C46="Material",N($I46)*N($K46)*N($M46)*N($O46),IF($C46="Logistics",INDEX(COMMERCIAL_POLICY!$D:$D,MATCH($B46,COMMERCIAL_POLICY!$A:$A,0))*N($L46),N($I46)*N($J46)*N($K46)*N($L46)*N($M46)*N($G46))))</f>
        <v/>
      </c>
      <c r="R46" s="4" t="str">
        <f t="array" ref="R46">IF($A46="","",INDEX(OBJECT_CONDITIONS!$AM:$AM,MATCH($A46,OBJECT_CONDITIONS!$A:$A,0)))</f>
        <v/>
      </c>
      <c r="S46" s="33" t="str">
        <f t="array" ref="S46">IF($R46="","",INDEX(TAX_MODES!$B:$B,MATCH($R46,TAX_MODES!$A:$A,0)))</f>
        <v/>
      </c>
      <c r="T46" s="28" t="str">
        <f t="shared" si="2"/>
        <v/>
      </c>
      <c r="U46" s="4" t="str">
        <f t="shared" si="3"/>
        <v/>
      </c>
    </row>
    <row r="47" ht="14.25" customHeight="1">
      <c r="A47" s="4"/>
      <c r="B47" s="4"/>
      <c r="C47" s="4"/>
      <c r="D47" s="4"/>
      <c r="E47" s="4"/>
      <c r="F47" s="4" t="str">
        <f>IF($C47="","",IF($C47="Work",IFERROR(IF(SUMIFS(WORK_TARIFF_RULES!$G:$G,WORK_TARIFF_RULES!$A:$A,$D47,WORK_TARIFF_RULES!$C:$C,$B47)&lt;&gt;"",SUMIFS(WORK_TARIFF_RULES!$G:$G,WORK_TARIFF_RULES!$A:$A,$D47,WORK_TARIFF_RULES!$C:$C,$B47),SUMIFS(WORK_MASTER!$C:$C,WORK_MASTER!$A:$A,$D47)),""),IF($C47="Material",IFERROR(IF(SUMIFS(MATERIAL_TARIFF_RULES!$G:$G,MATERIAL_TARIFF_RULES!$A:$A,$D47,MATERIAL_TARIFF_RULES!$C:$C,$B47)&lt;&gt;"",SUMIFS(MATERIAL_TARIFF_RULES!$G:$G,MATERIAL_TARIFF_RULES!$A:$A,$D47,MATERIAL_TARIFF_RULES!$C:$C,$B47),SUMIFS(MATERIAL_VARIANTS!$J:$J,MATERIAL_VARIANTS!$A:$A,$E47)),""),IF($C47="Logistics","Мобилизация и логистика объекта",""))))</f>
        <v/>
      </c>
      <c r="G47" s="4"/>
      <c r="H47" s="4"/>
      <c r="I47" s="33" t="str">
        <f>IF($C47="","",IF($C47="Work",IFERROR(SUMIFS(WORK_MASTER!$I:$I,WORK_MASTER!$A:$A,$D47),0),IF($C47="Material",IFERROR(SUMIFS(MATERIAL_VARIANTS!$I:$I,MATERIAL_VARIANTS!$A:$A,$E47),0),0)))</f>
        <v/>
      </c>
      <c r="J47" s="33" t="str">
        <f>IF($C47="","",IF($C47="Work",IF($E47&lt;&gt;"",IFERROR(SUMIFS(WORK_VARIANTS!$H:$H,WORK_VARIANTS!$A:$A,$E47),1),1),1))</f>
        <v/>
      </c>
      <c r="K47" s="33" t="str">
        <f t="array" ref="K47">IF($C47="","",IF($C47="Work",IFERROR(SUMIFS(WORK_FACTOR_APPLICABILITY!$O:$O,WORK_FACTOR_APPLICABILITY!$A:$A,$D47,WORK_FACTOR_APPLICABILITY!$N:$N,$A47),1),IF($C47="Material",IFERROR(INDEX(MATERIAL_QUANTITY_EXAMPLE!$N:$N,MATCH(1,(MATERIAL_QUANTITY_EXAMPLE!$A:$A=MATERIAL_QUANTITY_EXAMPLE!$A:$A)*(MATERIAL_QUANTITY_EXAMPLE!$B:$B=$A47)*(MATERIAL_QUANTITY_EXAMPLE!$C:$C=$D47),0)),1),1)))</f>
        <v/>
      </c>
      <c r="L47" s="33" t="str">
        <f t="array" ref="L47">IF($A47="","",IF($C47="Material",1,IFERROR(INDEX(OBJECT_CONDITIONS!$AH:$AH,MATCH($A47,OBJECT_CONDITIONS!$A:$A,0))*INDEX(OBJECT_CONDITIONS!$AJ:$AJ,MATCH($A47,OBJECT_CONDITIONS!$A:$A,0))*INDEX(OBJECT_CONDITIONS!$AL:$AL,MATCH($A47,OBJECT_CONDITIONS!$A:$A,0)),1)))</f>
        <v/>
      </c>
      <c r="M47" s="33" t="str">
        <f>IF($B47="","",IF($C47="Work",IFERROR(IF(SUMIFS(WORK_TARIFF_RULES!$F:$F,WORK_TARIFF_RULES!$A:$A,$D47,WORK_TARIFF_RULES!$C:$C,$B47)&lt;&gt;"",SUMIFS(WORK_TARIFF_RULES!$F:$F,WORK_TARIFF_RULES!$A:$A,$D47,WORK_TARIFF_RULES!$C:$C,$B47),SUMIFS(TARIFF_PROFILES!$D:$D,TARIFF_PROFILES!$A:$A,$B47)),1),IF($C47="Material",IFERROR(IF(SUMIFS(MATERIAL_TARIFF_RULES!$E:$E,MATERIAL_TARIFF_RULES!$A:$A,$D47,MATERIAL_TARIFF_RULES!$C:$C,$B47)&lt;&gt;"",SUMIFS(MATERIAL_TARIFF_RULES!$E:$E,MATERIAL_TARIFF_RULES!$A:$A,$D47,MATERIAL_TARIFF_RULES!$C:$C,$B47),SUMIFS(TARIFF_PROFILES!$E:$E,TARIFF_PROFILES!$A:$A,$B47)),1),SUMIFS(TARIFF_PROFILES!$F:$F,TARIFF_PROFILES!$A:$A,$B47))))</f>
        <v/>
      </c>
      <c r="N47" s="33">
        <f>IF($C47="Material",IFERROR(SUMIFS(MATERIAL_MASTER!$P:$P,MATERIAL_MASTER!$A:$A,$D47)*IF(SUMIFS(MATERIAL_TARIFF_RULES!$F:$F,MATERIAL_TARIFF_RULES!$A:$A,$D47,MATERIAL_TARIFF_RULES!$C:$C,$B47)="",SUMIFS(TARIFF_PROFILES!$H:$H,TARIFF_PROFILES!$A:$A,$B47),SUMIFS(MATERIAL_TARIFF_RULES!$F:$F,MATERIAL_TARIFF_RULES!$A:$A,$D47,MATERIAL_TARIFF_RULES!$C:$C,$B47)),1),1)</f>
        <v>1</v>
      </c>
      <c r="O47" s="4" t="str">
        <f t="shared" si="1"/>
        <v/>
      </c>
      <c r="P47" s="4">
        <f t="array" ref="P47">IF(ROW()=2,MAX(0,INDEX(COMMERCIAL_POLICY!$B:$B,MATCH($B47,COMMERCIAL_POLICY!$A:$A,0))-SUM($Q$2:$Q$60)),0)</f>
        <v>0</v>
      </c>
      <c r="Q47" s="28" t="str">
        <f t="array" ref="Q47">IF($C47="","",IF($C47="Material",N($I47)*N($K47)*N($M47)*N($O47),IF($C47="Logistics",INDEX(COMMERCIAL_POLICY!$D:$D,MATCH($B47,COMMERCIAL_POLICY!$A:$A,0))*N($L47),N($I47)*N($J47)*N($K47)*N($L47)*N($M47)*N($G47))))</f>
        <v/>
      </c>
      <c r="R47" s="4" t="str">
        <f t="array" ref="R47">IF($A47="","",INDEX(OBJECT_CONDITIONS!$AM:$AM,MATCH($A47,OBJECT_CONDITIONS!$A:$A,0)))</f>
        <v/>
      </c>
      <c r="S47" s="33" t="str">
        <f t="array" ref="S47">IF($R47="","",INDEX(TAX_MODES!$B:$B,MATCH($R47,TAX_MODES!$A:$A,0)))</f>
        <v/>
      </c>
      <c r="T47" s="28" t="str">
        <f t="shared" si="2"/>
        <v/>
      </c>
      <c r="U47" s="4" t="str">
        <f t="shared" si="3"/>
        <v/>
      </c>
    </row>
    <row r="48" ht="14.25" customHeight="1">
      <c r="A48" s="4"/>
      <c r="B48" s="4"/>
      <c r="C48" s="4"/>
      <c r="D48" s="4"/>
      <c r="E48" s="4"/>
      <c r="F48" s="4" t="str">
        <f>IF($C48="","",IF($C48="Work",IFERROR(IF(SUMIFS(WORK_TARIFF_RULES!$G:$G,WORK_TARIFF_RULES!$A:$A,$D48,WORK_TARIFF_RULES!$C:$C,$B48)&lt;&gt;"",SUMIFS(WORK_TARIFF_RULES!$G:$G,WORK_TARIFF_RULES!$A:$A,$D48,WORK_TARIFF_RULES!$C:$C,$B48),SUMIFS(WORK_MASTER!$C:$C,WORK_MASTER!$A:$A,$D48)),""),IF($C48="Material",IFERROR(IF(SUMIFS(MATERIAL_TARIFF_RULES!$G:$G,MATERIAL_TARIFF_RULES!$A:$A,$D48,MATERIAL_TARIFF_RULES!$C:$C,$B48)&lt;&gt;"",SUMIFS(MATERIAL_TARIFF_RULES!$G:$G,MATERIAL_TARIFF_RULES!$A:$A,$D48,MATERIAL_TARIFF_RULES!$C:$C,$B48),SUMIFS(MATERIAL_VARIANTS!$J:$J,MATERIAL_VARIANTS!$A:$A,$E48)),""),IF($C48="Logistics","Мобилизация и логистика объекта",""))))</f>
        <v/>
      </c>
      <c r="G48" s="4"/>
      <c r="H48" s="4"/>
      <c r="I48" s="33" t="str">
        <f>IF($C48="","",IF($C48="Work",IFERROR(SUMIFS(WORK_MASTER!$I:$I,WORK_MASTER!$A:$A,$D48),0),IF($C48="Material",IFERROR(SUMIFS(MATERIAL_VARIANTS!$I:$I,MATERIAL_VARIANTS!$A:$A,$E48),0),0)))</f>
        <v/>
      </c>
      <c r="J48" s="33" t="str">
        <f>IF($C48="","",IF($C48="Work",IF($E48&lt;&gt;"",IFERROR(SUMIFS(WORK_VARIANTS!$H:$H,WORK_VARIANTS!$A:$A,$E48),1),1),1))</f>
        <v/>
      </c>
      <c r="K48" s="33" t="str">
        <f t="array" ref="K48">IF($C48="","",IF($C48="Work",IFERROR(SUMIFS(WORK_FACTOR_APPLICABILITY!$O:$O,WORK_FACTOR_APPLICABILITY!$A:$A,$D48,WORK_FACTOR_APPLICABILITY!$N:$N,$A48),1),IF($C48="Material",IFERROR(INDEX(MATERIAL_QUANTITY_EXAMPLE!$N:$N,MATCH(1,(MATERIAL_QUANTITY_EXAMPLE!$A:$A=MATERIAL_QUANTITY_EXAMPLE!$A:$A)*(MATERIAL_QUANTITY_EXAMPLE!$B:$B=$A48)*(MATERIAL_QUANTITY_EXAMPLE!$C:$C=$D48),0)),1),1)))</f>
        <v/>
      </c>
      <c r="L48" s="33" t="str">
        <f t="array" ref="L48">IF($A48="","",IF($C48="Material",1,IFERROR(INDEX(OBJECT_CONDITIONS!$AH:$AH,MATCH($A48,OBJECT_CONDITIONS!$A:$A,0))*INDEX(OBJECT_CONDITIONS!$AJ:$AJ,MATCH($A48,OBJECT_CONDITIONS!$A:$A,0))*INDEX(OBJECT_CONDITIONS!$AL:$AL,MATCH($A48,OBJECT_CONDITIONS!$A:$A,0)),1)))</f>
        <v/>
      </c>
      <c r="M48" s="33" t="str">
        <f>IF($B48="","",IF($C48="Work",IFERROR(IF(SUMIFS(WORK_TARIFF_RULES!$F:$F,WORK_TARIFF_RULES!$A:$A,$D48,WORK_TARIFF_RULES!$C:$C,$B48)&lt;&gt;"",SUMIFS(WORK_TARIFF_RULES!$F:$F,WORK_TARIFF_RULES!$A:$A,$D48,WORK_TARIFF_RULES!$C:$C,$B48),SUMIFS(TARIFF_PROFILES!$D:$D,TARIFF_PROFILES!$A:$A,$B48)),1),IF($C48="Material",IFERROR(IF(SUMIFS(MATERIAL_TARIFF_RULES!$E:$E,MATERIAL_TARIFF_RULES!$A:$A,$D48,MATERIAL_TARIFF_RULES!$C:$C,$B48)&lt;&gt;"",SUMIFS(MATERIAL_TARIFF_RULES!$E:$E,MATERIAL_TARIFF_RULES!$A:$A,$D48,MATERIAL_TARIFF_RULES!$C:$C,$B48),SUMIFS(TARIFF_PROFILES!$E:$E,TARIFF_PROFILES!$A:$A,$B48)),1),SUMIFS(TARIFF_PROFILES!$F:$F,TARIFF_PROFILES!$A:$A,$B48))))</f>
        <v/>
      </c>
      <c r="N48" s="33">
        <f>IF($C48="Material",IFERROR(SUMIFS(MATERIAL_MASTER!$P:$P,MATERIAL_MASTER!$A:$A,$D48)*IF(SUMIFS(MATERIAL_TARIFF_RULES!$F:$F,MATERIAL_TARIFF_RULES!$A:$A,$D48,MATERIAL_TARIFF_RULES!$C:$C,$B48)="",SUMIFS(TARIFF_PROFILES!$H:$H,TARIFF_PROFILES!$A:$A,$B48),SUMIFS(MATERIAL_TARIFF_RULES!$F:$F,MATERIAL_TARIFF_RULES!$A:$A,$D48,MATERIAL_TARIFF_RULES!$C:$C,$B48)),1),1)</f>
        <v>1</v>
      </c>
      <c r="O48" s="4" t="str">
        <f t="shared" si="1"/>
        <v/>
      </c>
      <c r="P48" s="4">
        <f t="array" ref="P48">IF(ROW()=2,MAX(0,INDEX(COMMERCIAL_POLICY!$B:$B,MATCH($B48,COMMERCIAL_POLICY!$A:$A,0))-SUM($Q$2:$Q$60)),0)</f>
        <v>0</v>
      </c>
      <c r="Q48" s="28" t="str">
        <f t="array" ref="Q48">IF($C48="","",IF($C48="Material",N($I48)*N($K48)*N($M48)*N($O48),IF($C48="Logistics",INDEX(COMMERCIAL_POLICY!$D:$D,MATCH($B48,COMMERCIAL_POLICY!$A:$A,0))*N($L48),N($I48)*N($J48)*N($K48)*N($L48)*N($M48)*N($G48))))</f>
        <v/>
      </c>
      <c r="R48" s="4" t="str">
        <f t="array" ref="R48">IF($A48="","",INDEX(OBJECT_CONDITIONS!$AM:$AM,MATCH($A48,OBJECT_CONDITIONS!$A:$A,0)))</f>
        <v/>
      </c>
      <c r="S48" s="33" t="str">
        <f t="array" ref="S48">IF($R48="","",INDEX(TAX_MODES!$B:$B,MATCH($R48,TAX_MODES!$A:$A,0)))</f>
        <v/>
      </c>
      <c r="T48" s="28" t="str">
        <f t="shared" si="2"/>
        <v/>
      </c>
      <c r="U48" s="4" t="str">
        <f t="shared" si="3"/>
        <v/>
      </c>
    </row>
    <row r="49" ht="14.25" customHeight="1">
      <c r="A49" s="4"/>
      <c r="B49" s="4"/>
      <c r="C49" s="4"/>
      <c r="D49" s="4"/>
      <c r="E49" s="4"/>
      <c r="F49" s="4" t="str">
        <f>IF($C49="","",IF($C49="Work",IFERROR(IF(SUMIFS(WORK_TARIFF_RULES!$G:$G,WORK_TARIFF_RULES!$A:$A,$D49,WORK_TARIFF_RULES!$C:$C,$B49)&lt;&gt;"",SUMIFS(WORK_TARIFF_RULES!$G:$G,WORK_TARIFF_RULES!$A:$A,$D49,WORK_TARIFF_RULES!$C:$C,$B49),SUMIFS(WORK_MASTER!$C:$C,WORK_MASTER!$A:$A,$D49)),""),IF($C49="Material",IFERROR(IF(SUMIFS(MATERIAL_TARIFF_RULES!$G:$G,MATERIAL_TARIFF_RULES!$A:$A,$D49,MATERIAL_TARIFF_RULES!$C:$C,$B49)&lt;&gt;"",SUMIFS(MATERIAL_TARIFF_RULES!$G:$G,MATERIAL_TARIFF_RULES!$A:$A,$D49,MATERIAL_TARIFF_RULES!$C:$C,$B49),SUMIFS(MATERIAL_VARIANTS!$J:$J,MATERIAL_VARIANTS!$A:$A,$E49)),""),IF($C49="Logistics","Мобилизация и логистика объекта",""))))</f>
        <v/>
      </c>
      <c r="G49" s="4"/>
      <c r="H49" s="4"/>
      <c r="I49" s="33" t="str">
        <f>IF($C49="","",IF($C49="Work",IFERROR(SUMIFS(WORK_MASTER!$I:$I,WORK_MASTER!$A:$A,$D49),0),IF($C49="Material",IFERROR(SUMIFS(MATERIAL_VARIANTS!$I:$I,MATERIAL_VARIANTS!$A:$A,$E49),0),0)))</f>
        <v/>
      </c>
      <c r="J49" s="33" t="str">
        <f>IF($C49="","",IF($C49="Work",IF($E49&lt;&gt;"",IFERROR(SUMIFS(WORK_VARIANTS!$H:$H,WORK_VARIANTS!$A:$A,$E49),1),1),1))</f>
        <v/>
      </c>
      <c r="K49" s="33" t="str">
        <f t="array" ref="K49">IF($C49="","",IF($C49="Work",IFERROR(SUMIFS(WORK_FACTOR_APPLICABILITY!$O:$O,WORK_FACTOR_APPLICABILITY!$A:$A,$D49,WORK_FACTOR_APPLICABILITY!$N:$N,$A49),1),IF($C49="Material",IFERROR(INDEX(MATERIAL_QUANTITY_EXAMPLE!$N:$N,MATCH(1,(MATERIAL_QUANTITY_EXAMPLE!$A:$A=MATERIAL_QUANTITY_EXAMPLE!$A:$A)*(MATERIAL_QUANTITY_EXAMPLE!$B:$B=$A49)*(MATERIAL_QUANTITY_EXAMPLE!$C:$C=$D49),0)),1),1)))</f>
        <v/>
      </c>
      <c r="L49" s="33" t="str">
        <f t="array" ref="L49">IF($A49="","",IF($C49="Material",1,IFERROR(INDEX(OBJECT_CONDITIONS!$AH:$AH,MATCH($A49,OBJECT_CONDITIONS!$A:$A,0))*INDEX(OBJECT_CONDITIONS!$AJ:$AJ,MATCH($A49,OBJECT_CONDITIONS!$A:$A,0))*INDEX(OBJECT_CONDITIONS!$AL:$AL,MATCH($A49,OBJECT_CONDITIONS!$A:$A,0)),1)))</f>
        <v/>
      </c>
      <c r="M49" s="33" t="str">
        <f>IF($B49="","",IF($C49="Work",IFERROR(IF(SUMIFS(WORK_TARIFF_RULES!$F:$F,WORK_TARIFF_RULES!$A:$A,$D49,WORK_TARIFF_RULES!$C:$C,$B49)&lt;&gt;"",SUMIFS(WORK_TARIFF_RULES!$F:$F,WORK_TARIFF_RULES!$A:$A,$D49,WORK_TARIFF_RULES!$C:$C,$B49),SUMIFS(TARIFF_PROFILES!$D:$D,TARIFF_PROFILES!$A:$A,$B49)),1),IF($C49="Material",IFERROR(IF(SUMIFS(MATERIAL_TARIFF_RULES!$E:$E,MATERIAL_TARIFF_RULES!$A:$A,$D49,MATERIAL_TARIFF_RULES!$C:$C,$B49)&lt;&gt;"",SUMIFS(MATERIAL_TARIFF_RULES!$E:$E,MATERIAL_TARIFF_RULES!$A:$A,$D49,MATERIAL_TARIFF_RULES!$C:$C,$B49),SUMIFS(TARIFF_PROFILES!$E:$E,TARIFF_PROFILES!$A:$A,$B49)),1),SUMIFS(TARIFF_PROFILES!$F:$F,TARIFF_PROFILES!$A:$A,$B49))))</f>
        <v/>
      </c>
      <c r="N49" s="33">
        <f>IF($C49="Material",IFERROR(SUMIFS(MATERIAL_MASTER!$P:$P,MATERIAL_MASTER!$A:$A,$D49)*IF(SUMIFS(MATERIAL_TARIFF_RULES!$F:$F,MATERIAL_TARIFF_RULES!$A:$A,$D49,MATERIAL_TARIFF_RULES!$C:$C,$B49)="",SUMIFS(TARIFF_PROFILES!$H:$H,TARIFF_PROFILES!$A:$A,$B49),SUMIFS(MATERIAL_TARIFF_RULES!$F:$F,MATERIAL_TARIFF_RULES!$A:$A,$D49,MATERIAL_TARIFF_RULES!$C:$C,$B49)),1),1)</f>
        <v>1</v>
      </c>
      <c r="O49" s="4" t="str">
        <f t="shared" si="1"/>
        <v/>
      </c>
      <c r="P49" s="4">
        <f t="array" ref="P49">IF(ROW()=2,MAX(0,INDEX(COMMERCIAL_POLICY!$B:$B,MATCH($B49,COMMERCIAL_POLICY!$A:$A,0))-SUM($Q$2:$Q$60)),0)</f>
        <v>0</v>
      </c>
      <c r="Q49" s="28" t="str">
        <f t="array" ref="Q49">IF($C49="","",IF($C49="Material",N($I49)*N($K49)*N($M49)*N($O49),IF($C49="Logistics",INDEX(COMMERCIAL_POLICY!$D:$D,MATCH($B49,COMMERCIAL_POLICY!$A:$A,0))*N($L49),N($I49)*N($J49)*N($K49)*N($L49)*N($M49)*N($G49))))</f>
        <v/>
      </c>
      <c r="R49" s="4" t="str">
        <f t="array" ref="R49">IF($A49="","",INDEX(OBJECT_CONDITIONS!$AM:$AM,MATCH($A49,OBJECT_CONDITIONS!$A:$A,0)))</f>
        <v/>
      </c>
      <c r="S49" s="33" t="str">
        <f t="array" ref="S49">IF($R49="","",INDEX(TAX_MODES!$B:$B,MATCH($R49,TAX_MODES!$A:$A,0)))</f>
        <v/>
      </c>
      <c r="T49" s="28" t="str">
        <f t="shared" si="2"/>
        <v/>
      </c>
      <c r="U49" s="4" t="str">
        <f t="shared" si="3"/>
        <v/>
      </c>
    </row>
    <row r="50" ht="14.25" customHeight="1">
      <c r="A50" s="4"/>
      <c r="B50" s="4"/>
      <c r="C50" s="4"/>
      <c r="D50" s="4"/>
      <c r="E50" s="4"/>
      <c r="F50" s="4" t="str">
        <f>IF($C50="","",IF($C50="Work",IFERROR(IF(SUMIFS(WORK_TARIFF_RULES!$G:$G,WORK_TARIFF_RULES!$A:$A,$D50,WORK_TARIFF_RULES!$C:$C,$B50)&lt;&gt;"",SUMIFS(WORK_TARIFF_RULES!$G:$G,WORK_TARIFF_RULES!$A:$A,$D50,WORK_TARIFF_RULES!$C:$C,$B50),SUMIFS(WORK_MASTER!$C:$C,WORK_MASTER!$A:$A,$D50)),""),IF($C50="Material",IFERROR(IF(SUMIFS(MATERIAL_TARIFF_RULES!$G:$G,MATERIAL_TARIFF_RULES!$A:$A,$D50,MATERIAL_TARIFF_RULES!$C:$C,$B50)&lt;&gt;"",SUMIFS(MATERIAL_TARIFF_RULES!$G:$G,MATERIAL_TARIFF_RULES!$A:$A,$D50,MATERIAL_TARIFF_RULES!$C:$C,$B50),SUMIFS(MATERIAL_VARIANTS!$J:$J,MATERIAL_VARIANTS!$A:$A,$E50)),""),IF($C50="Logistics","Мобилизация и логистика объекта",""))))</f>
        <v/>
      </c>
      <c r="G50" s="4"/>
      <c r="H50" s="4"/>
      <c r="I50" s="33" t="str">
        <f>IF($C50="","",IF($C50="Work",IFERROR(SUMIFS(WORK_MASTER!$I:$I,WORK_MASTER!$A:$A,$D50),0),IF($C50="Material",IFERROR(SUMIFS(MATERIAL_VARIANTS!$I:$I,MATERIAL_VARIANTS!$A:$A,$E50),0),0)))</f>
        <v/>
      </c>
      <c r="J50" s="33" t="str">
        <f>IF($C50="","",IF($C50="Work",IF($E50&lt;&gt;"",IFERROR(SUMIFS(WORK_VARIANTS!$H:$H,WORK_VARIANTS!$A:$A,$E50),1),1),1))</f>
        <v/>
      </c>
      <c r="K50" s="33" t="str">
        <f t="array" ref="K50">IF($C50="","",IF($C50="Work",IFERROR(SUMIFS(WORK_FACTOR_APPLICABILITY!$O:$O,WORK_FACTOR_APPLICABILITY!$A:$A,$D50,WORK_FACTOR_APPLICABILITY!$N:$N,$A50),1),IF($C50="Material",IFERROR(INDEX(MATERIAL_QUANTITY_EXAMPLE!$N:$N,MATCH(1,(MATERIAL_QUANTITY_EXAMPLE!$A:$A=MATERIAL_QUANTITY_EXAMPLE!$A:$A)*(MATERIAL_QUANTITY_EXAMPLE!$B:$B=$A50)*(MATERIAL_QUANTITY_EXAMPLE!$C:$C=$D50),0)),1),1)))</f>
        <v/>
      </c>
      <c r="L50" s="33" t="str">
        <f t="array" ref="L50">IF($A50="","",IF($C50="Material",1,IFERROR(INDEX(OBJECT_CONDITIONS!$AH:$AH,MATCH($A50,OBJECT_CONDITIONS!$A:$A,0))*INDEX(OBJECT_CONDITIONS!$AJ:$AJ,MATCH($A50,OBJECT_CONDITIONS!$A:$A,0))*INDEX(OBJECT_CONDITIONS!$AL:$AL,MATCH($A50,OBJECT_CONDITIONS!$A:$A,0)),1)))</f>
        <v/>
      </c>
      <c r="M50" s="33" t="str">
        <f>IF($B50="","",IF($C50="Work",IFERROR(IF(SUMIFS(WORK_TARIFF_RULES!$F:$F,WORK_TARIFF_RULES!$A:$A,$D50,WORK_TARIFF_RULES!$C:$C,$B50)&lt;&gt;"",SUMIFS(WORK_TARIFF_RULES!$F:$F,WORK_TARIFF_RULES!$A:$A,$D50,WORK_TARIFF_RULES!$C:$C,$B50),SUMIFS(TARIFF_PROFILES!$D:$D,TARIFF_PROFILES!$A:$A,$B50)),1),IF($C50="Material",IFERROR(IF(SUMIFS(MATERIAL_TARIFF_RULES!$E:$E,MATERIAL_TARIFF_RULES!$A:$A,$D50,MATERIAL_TARIFF_RULES!$C:$C,$B50)&lt;&gt;"",SUMIFS(MATERIAL_TARIFF_RULES!$E:$E,MATERIAL_TARIFF_RULES!$A:$A,$D50,MATERIAL_TARIFF_RULES!$C:$C,$B50),SUMIFS(TARIFF_PROFILES!$E:$E,TARIFF_PROFILES!$A:$A,$B50)),1),SUMIFS(TARIFF_PROFILES!$F:$F,TARIFF_PROFILES!$A:$A,$B50))))</f>
        <v/>
      </c>
      <c r="N50" s="33">
        <f>IF($C50="Material",IFERROR(SUMIFS(MATERIAL_MASTER!$P:$P,MATERIAL_MASTER!$A:$A,$D50)*IF(SUMIFS(MATERIAL_TARIFF_RULES!$F:$F,MATERIAL_TARIFF_RULES!$A:$A,$D50,MATERIAL_TARIFF_RULES!$C:$C,$B50)="",SUMIFS(TARIFF_PROFILES!$H:$H,TARIFF_PROFILES!$A:$A,$B50),SUMIFS(MATERIAL_TARIFF_RULES!$F:$F,MATERIAL_TARIFF_RULES!$A:$A,$D50,MATERIAL_TARIFF_RULES!$C:$C,$B50)),1),1)</f>
        <v>1</v>
      </c>
      <c r="O50" s="4" t="str">
        <f t="shared" si="1"/>
        <v/>
      </c>
      <c r="P50" s="4">
        <f t="array" ref="P50">IF(ROW()=2,MAX(0,INDEX(COMMERCIAL_POLICY!$B:$B,MATCH($B50,COMMERCIAL_POLICY!$A:$A,0))-SUM($Q$2:$Q$60)),0)</f>
        <v>0</v>
      </c>
      <c r="Q50" s="28" t="str">
        <f t="array" ref="Q50">IF($C50="","",IF($C50="Material",N($I50)*N($K50)*N($M50)*N($O50),IF($C50="Logistics",INDEX(COMMERCIAL_POLICY!$D:$D,MATCH($B50,COMMERCIAL_POLICY!$A:$A,0))*N($L50),N($I50)*N($J50)*N($K50)*N($L50)*N($M50)*N($G50))))</f>
        <v/>
      </c>
      <c r="R50" s="4" t="str">
        <f t="array" ref="R50">IF($A50="","",INDEX(OBJECT_CONDITIONS!$AM:$AM,MATCH($A50,OBJECT_CONDITIONS!$A:$A,0)))</f>
        <v/>
      </c>
      <c r="S50" s="33" t="str">
        <f t="array" ref="S50">IF($R50="","",INDEX(TAX_MODES!$B:$B,MATCH($R50,TAX_MODES!$A:$A,0)))</f>
        <v/>
      </c>
      <c r="T50" s="28" t="str">
        <f t="shared" si="2"/>
        <v/>
      </c>
      <c r="U50" s="4" t="str">
        <f t="shared" si="3"/>
        <v/>
      </c>
    </row>
    <row r="51" ht="14.25" customHeight="1">
      <c r="A51" s="4"/>
      <c r="B51" s="4"/>
      <c r="C51" s="4"/>
      <c r="D51" s="4"/>
      <c r="E51" s="4"/>
      <c r="F51" s="4" t="str">
        <f>IF($C51="","",IF($C51="Work",IFERROR(IF(SUMIFS(WORK_TARIFF_RULES!$G:$G,WORK_TARIFF_RULES!$A:$A,$D51,WORK_TARIFF_RULES!$C:$C,$B51)&lt;&gt;"",SUMIFS(WORK_TARIFF_RULES!$G:$G,WORK_TARIFF_RULES!$A:$A,$D51,WORK_TARIFF_RULES!$C:$C,$B51),SUMIFS(WORK_MASTER!$C:$C,WORK_MASTER!$A:$A,$D51)),""),IF($C51="Material",IFERROR(IF(SUMIFS(MATERIAL_TARIFF_RULES!$G:$G,MATERIAL_TARIFF_RULES!$A:$A,$D51,MATERIAL_TARIFF_RULES!$C:$C,$B51)&lt;&gt;"",SUMIFS(MATERIAL_TARIFF_RULES!$G:$G,MATERIAL_TARIFF_RULES!$A:$A,$D51,MATERIAL_TARIFF_RULES!$C:$C,$B51),SUMIFS(MATERIAL_VARIANTS!$J:$J,MATERIAL_VARIANTS!$A:$A,$E51)),""),IF($C51="Logistics","Мобилизация и логистика объекта",""))))</f>
        <v/>
      </c>
      <c r="G51" s="4"/>
      <c r="H51" s="4"/>
      <c r="I51" s="33" t="str">
        <f>IF($C51="","",IF($C51="Work",IFERROR(SUMIFS(WORK_MASTER!$I:$I,WORK_MASTER!$A:$A,$D51),0),IF($C51="Material",IFERROR(SUMIFS(MATERIAL_VARIANTS!$I:$I,MATERIAL_VARIANTS!$A:$A,$E51),0),0)))</f>
        <v/>
      </c>
      <c r="J51" s="33" t="str">
        <f>IF($C51="","",IF($C51="Work",IF($E51&lt;&gt;"",IFERROR(SUMIFS(WORK_VARIANTS!$H:$H,WORK_VARIANTS!$A:$A,$E51),1),1),1))</f>
        <v/>
      </c>
      <c r="K51" s="33" t="str">
        <f t="array" ref="K51">IF($C51="","",IF($C51="Work",IFERROR(SUMIFS(WORK_FACTOR_APPLICABILITY!$O:$O,WORK_FACTOR_APPLICABILITY!$A:$A,$D51,WORK_FACTOR_APPLICABILITY!$N:$N,$A51),1),IF($C51="Material",IFERROR(INDEX(MATERIAL_QUANTITY_EXAMPLE!$N:$N,MATCH(1,(MATERIAL_QUANTITY_EXAMPLE!$A:$A=MATERIAL_QUANTITY_EXAMPLE!$A:$A)*(MATERIAL_QUANTITY_EXAMPLE!$B:$B=$A51)*(MATERIAL_QUANTITY_EXAMPLE!$C:$C=$D51),0)),1),1)))</f>
        <v/>
      </c>
      <c r="L51" s="33" t="str">
        <f t="array" ref="L51">IF($A51="","",IF($C51="Material",1,IFERROR(INDEX(OBJECT_CONDITIONS!$AH:$AH,MATCH($A51,OBJECT_CONDITIONS!$A:$A,0))*INDEX(OBJECT_CONDITIONS!$AJ:$AJ,MATCH($A51,OBJECT_CONDITIONS!$A:$A,0))*INDEX(OBJECT_CONDITIONS!$AL:$AL,MATCH($A51,OBJECT_CONDITIONS!$A:$A,0)),1)))</f>
        <v/>
      </c>
      <c r="M51" s="33" t="str">
        <f>IF($B51="","",IF($C51="Work",IFERROR(IF(SUMIFS(WORK_TARIFF_RULES!$F:$F,WORK_TARIFF_RULES!$A:$A,$D51,WORK_TARIFF_RULES!$C:$C,$B51)&lt;&gt;"",SUMIFS(WORK_TARIFF_RULES!$F:$F,WORK_TARIFF_RULES!$A:$A,$D51,WORK_TARIFF_RULES!$C:$C,$B51),SUMIFS(TARIFF_PROFILES!$D:$D,TARIFF_PROFILES!$A:$A,$B51)),1),IF($C51="Material",IFERROR(IF(SUMIFS(MATERIAL_TARIFF_RULES!$E:$E,MATERIAL_TARIFF_RULES!$A:$A,$D51,MATERIAL_TARIFF_RULES!$C:$C,$B51)&lt;&gt;"",SUMIFS(MATERIAL_TARIFF_RULES!$E:$E,MATERIAL_TARIFF_RULES!$A:$A,$D51,MATERIAL_TARIFF_RULES!$C:$C,$B51),SUMIFS(TARIFF_PROFILES!$E:$E,TARIFF_PROFILES!$A:$A,$B51)),1),SUMIFS(TARIFF_PROFILES!$F:$F,TARIFF_PROFILES!$A:$A,$B51))))</f>
        <v/>
      </c>
      <c r="N51" s="33">
        <f>IF($C51="Material",IFERROR(SUMIFS(MATERIAL_MASTER!$P:$P,MATERIAL_MASTER!$A:$A,$D51)*IF(SUMIFS(MATERIAL_TARIFF_RULES!$F:$F,MATERIAL_TARIFF_RULES!$A:$A,$D51,MATERIAL_TARIFF_RULES!$C:$C,$B51)="",SUMIFS(TARIFF_PROFILES!$H:$H,TARIFF_PROFILES!$A:$A,$B51),SUMIFS(MATERIAL_TARIFF_RULES!$F:$F,MATERIAL_TARIFF_RULES!$A:$A,$D51,MATERIAL_TARIFF_RULES!$C:$C,$B51)),1),1)</f>
        <v>1</v>
      </c>
      <c r="O51" s="4" t="str">
        <f t="shared" si="1"/>
        <v/>
      </c>
      <c r="P51" s="4">
        <f t="array" ref="P51">IF(ROW()=2,MAX(0,INDEX(COMMERCIAL_POLICY!$B:$B,MATCH($B51,COMMERCIAL_POLICY!$A:$A,0))-SUM($Q$2:$Q$60)),0)</f>
        <v>0</v>
      </c>
      <c r="Q51" s="28" t="str">
        <f t="array" ref="Q51">IF($C51="","",IF($C51="Material",N($I51)*N($K51)*N($M51)*N($O51),IF($C51="Logistics",INDEX(COMMERCIAL_POLICY!$D:$D,MATCH($B51,COMMERCIAL_POLICY!$A:$A,0))*N($L51),N($I51)*N($J51)*N($K51)*N($L51)*N($M51)*N($G51))))</f>
        <v/>
      </c>
      <c r="R51" s="4" t="str">
        <f t="array" ref="R51">IF($A51="","",INDEX(OBJECT_CONDITIONS!$AM:$AM,MATCH($A51,OBJECT_CONDITIONS!$A:$A,0)))</f>
        <v/>
      </c>
      <c r="S51" s="33" t="str">
        <f t="array" ref="S51">IF($R51="","",INDEX(TAX_MODES!$B:$B,MATCH($R51,TAX_MODES!$A:$A,0)))</f>
        <v/>
      </c>
      <c r="T51" s="28" t="str">
        <f t="shared" si="2"/>
        <v/>
      </c>
      <c r="U51" s="4" t="str">
        <f t="shared" si="3"/>
        <v/>
      </c>
    </row>
    <row r="52" ht="14.25" customHeight="1">
      <c r="A52" s="4"/>
      <c r="B52" s="4"/>
      <c r="C52" s="4"/>
      <c r="D52" s="4"/>
      <c r="E52" s="4"/>
      <c r="F52" s="4" t="str">
        <f>IF($C52="","",IF($C52="Work",IFERROR(IF(SUMIFS(WORK_TARIFF_RULES!$G:$G,WORK_TARIFF_RULES!$A:$A,$D52,WORK_TARIFF_RULES!$C:$C,$B52)&lt;&gt;"",SUMIFS(WORK_TARIFF_RULES!$G:$G,WORK_TARIFF_RULES!$A:$A,$D52,WORK_TARIFF_RULES!$C:$C,$B52),SUMIFS(WORK_MASTER!$C:$C,WORK_MASTER!$A:$A,$D52)),""),IF($C52="Material",IFERROR(IF(SUMIFS(MATERIAL_TARIFF_RULES!$G:$G,MATERIAL_TARIFF_RULES!$A:$A,$D52,MATERIAL_TARIFF_RULES!$C:$C,$B52)&lt;&gt;"",SUMIFS(MATERIAL_TARIFF_RULES!$G:$G,MATERIAL_TARIFF_RULES!$A:$A,$D52,MATERIAL_TARIFF_RULES!$C:$C,$B52),SUMIFS(MATERIAL_VARIANTS!$J:$J,MATERIAL_VARIANTS!$A:$A,$E52)),""),IF($C52="Logistics","Мобилизация и логистика объекта",""))))</f>
        <v/>
      </c>
      <c r="G52" s="4"/>
      <c r="H52" s="4"/>
      <c r="I52" s="33" t="str">
        <f>IF($C52="","",IF($C52="Work",IFERROR(SUMIFS(WORK_MASTER!$I:$I,WORK_MASTER!$A:$A,$D52),0),IF($C52="Material",IFERROR(SUMIFS(MATERIAL_VARIANTS!$I:$I,MATERIAL_VARIANTS!$A:$A,$E52),0),0)))</f>
        <v/>
      </c>
      <c r="J52" s="33" t="str">
        <f>IF($C52="","",IF($C52="Work",IF($E52&lt;&gt;"",IFERROR(SUMIFS(WORK_VARIANTS!$H:$H,WORK_VARIANTS!$A:$A,$E52),1),1),1))</f>
        <v/>
      </c>
      <c r="K52" s="33" t="str">
        <f t="array" ref="K52">IF($C52="","",IF($C52="Work",IFERROR(SUMIFS(WORK_FACTOR_APPLICABILITY!$O:$O,WORK_FACTOR_APPLICABILITY!$A:$A,$D52,WORK_FACTOR_APPLICABILITY!$N:$N,$A52),1),IF($C52="Material",IFERROR(INDEX(MATERIAL_QUANTITY_EXAMPLE!$N:$N,MATCH(1,(MATERIAL_QUANTITY_EXAMPLE!$A:$A=MATERIAL_QUANTITY_EXAMPLE!$A:$A)*(MATERIAL_QUANTITY_EXAMPLE!$B:$B=$A52)*(MATERIAL_QUANTITY_EXAMPLE!$C:$C=$D52),0)),1),1)))</f>
        <v/>
      </c>
      <c r="L52" s="33" t="str">
        <f t="array" ref="L52">IF($A52="","",IF($C52="Material",1,IFERROR(INDEX(OBJECT_CONDITIONS!$AH:$AH,MATCH($A52,OBJECT_CONDITIONS!$A:$A,0))*INDEX(OBJECT_CONDITIONS!$AJ:$AJ,MATCH($A52,OBJECT_CONDITIONS!$A:$A,0))*INDEX(OBJECT_CONDITIONS!$AL:$AL,MATCH($A52,OBJECT_CONDITIONS!$A:$A,0)),1)))</f>
        <v/>
      </c>
      <c r="M52" s="33" t="str">
        <f>IF($B52="","",IF($C52="Work",IFERROR(IF(SUMIFS(WORK_TARIFF_RULES!$F:$F,WORK_TARIFF_RULES!$A:$A,$D52,WORK_TARIFF_RULES!$C:$C,$B52)&lt;&gt;"",SUMIFS(WORK_TARIFF_RULES!$F:$F,WORK_TARIFF_RULES!$A:$A,$D52,WORK_TARIFF_RULES!$C:$C,$B52),SUMIFS(TARIFF_PROFILES!$D:$D,TARIFF_PROFILES!$A:$A,$B52)),1),IF($C52="Material",IFERROR(IF(SUMIFS(MATERIAL_TARIFF_RULES!$E:$E,MATERIAL_TARIFF_RULES!$A:$A,$D52,MATERIAL_TARIFF_RULES!$C:$C,$B52)&lt;&gt;"",SUMIFS(MATERIAL_TARIFF_RULES!$E:$E,MATERIAL_TARIFF_RULES!$A:$A,$D52,MATERIAL_TARIFF_RULES!$C:$C,$B52),SUMIFS(TARIFF_PROFILES!$E:$E,TARIFF_PROFILES!$A:$A,$B52)),1),SUMIFS(TARIFF_PROFILES!$F:$F,TARIFF_PROFILES!$A:$A,$B52))))</f>
        <v/>
      </c>
      <c r="N52" s="33">
        <f>IF($C52="Material",IFERROR(SUMIFS(MATERIAL_MASTER!$P:$P,MATERIAL_MASTER!$A:$A,$D52)*IF(SUMIFS(MATERIAL_TARIFF_RULES!$F:$F,MATERIAL_TARIFF_RULES!$A:$A,$D52,MATERIAL_TARIFF_RULES!$C:$C,$B52)="",SUMIFS(TARIFF_PROFILES!$H:$H,TARIFF_PROFILES!$A:$A,$B52),SUMIFS(MATERIAL_TARIFF_RULES!$F:$F,MATERIAL_TARIFF_RULES!$A:$A,$D52,MATERIAL_TARIFF_RULES!$C:$C,$B52)),1),1)</f>
        <v>1</v>
      </c>
      <c r="O52" s="4" t="str">
        <f t="shared" si="1"/>
        <v/>
      </c>
      <c r="P52" s="4">
        <f t="array" ref="P52">IF(ROW()=2,MAX(0,INDEX(COMMERCIAL_POLICY!$B:$B,MATCH($B52,COMMERCIAL_POLICY!$A:$A,0))-SUM($Q$2:$Q$60)),0)</f>
        <v>0</v>
      </c>
      <c r="Q52" s="28" t="str">
        <f t="array" ref="Q52">IF($C52="","",IF($C52="Material",N($I52)*N($K52)*N($M52)*N($O52),IF($C52="Logistics",INDEX(COMMERCIAL_POLICY!$D:$D,MATCH($B52,COMMERCIAL_POLICY!$A:$A,0))*N($L52),N($I52)*N($J52)*N($K52)*N($L52)*N($M52)*N($G52))))</f>
        <v/>
      </c>
      <c r="R52" s="4" t="str">
        <f t="array" ref="R52">IF($A52="","",INDEX(OBJECT_CONDITIONS!$AM:$AM,MATCH($A52,OBJECT_CONDITIONS!$A:$A,0)))</f>
        <v/>
      </c>
      <c r="S52" s="33" t="str">
        <f t="array" ref="S52">IF($R52="","",INDEX(TAX_MODES!$B:$B,MATCH($R52,TAX_MODES!$A:$A,0)))</f>
        <v/>
      </c>
      <c r="T52" s="28" t="str">
        <f t="shared" si="2"/>
        <v/>
      </c>
      <c r="U52" s="4" t="str">
        <f t="shared" si="3"/>
        <v/>
      </c>
    </row>
    <row r="53" ht="14.25" customHeight="1">
      <c r="A53" s="4"/>
      <c r="B53" s="4"/>
      <c r="C53" s="4"/>
      <c r="D53" s="4"/>
      <c r="E53" s="4"/>
      <c r="F53" s="4" t="str">
        <f>IF($C53="","",IF($C53="Work",IFERROR(IF(SUMIFS(WORK_TARIFF_RULES!$G:$G,WORK_TARIFF_RULES!$A:$A,$D53,WORK_TARIFF_RULES!$C:$C,$B53)&lt;&gt;"",SUMIFS(WORK_TARIFF_RULES!$G:$G,WORK_TARIFF_RULES!$A:$A,$D53,WORK_TARIFF_RULES!$C:$C,$B53),SUMIFS(WORK_MASTER!$C:$C,WORK_MASTER!$A:$A,$D53)),""),IF($C53="Material",IFERROR(IF(SUMIFS(MATERIAL_TARIFF_RULES!$G:$G,MATERIAL_TARIFF_RULES!$A:$A,$D53,MATERIAL_TARIFF_RULES!$C:$C,$B53)&lt;&gt;"",SUMIFS(MATERIAL_TARIFF_RULES!$G:$G,MATERIAL_TARIFF_RULES!$A:$A,$D53,MATERIAL_TARIFF_RULES!$C:$C,$B53),SUMIFS(MATERIAL_VARIANTS!$J:$J,MATERIAL_VARIANTS!$A:$A,$E53)),""),IF($C53="Logistics","Мобилизация и логистика объекта",""))))</f>
        <v/>
      </c>
      <c r="G53" s="4"/>
      <c r="H53" s="4"/>
      <c r="I53" s="33" t="str">
        <f>IF($C53="","",IF($C53="Work",IFERROR(SUMIFS(WORK_MASTER!$I:$I,WORK_MASTER!$A:$A,$D53),0),IF($C53="Material",IFERROR(SUMIFS(MATERIAL_VARIANTS!$I:$I,MATERIAL_VARIANTS!$A:$A,$E53),0),0)))</f>
        <v/>
      </c>
      <c r="J53" s="33" t="str">
        <f>IF($C53="","",IF($C53="Work",IF($E53&lt;&gt;"",IFERROR(SUMIFS(WORK_VARIANTS!$H:$H,WORK_VARIANTS!$A:$A,$E53),1),1),1))</f>
        <v/>
      </c>
      <c r="K53" s="33" t="str">
        <f t="array" ref="K53">IF($C53="","",IF($C53="Work",IFERROR(SUMIFS(WORK_FACTOR_APPLICABILITY!$O:$O,WORK_FACTOR_APPLICABILITY!$A:$A,$D53,WORK_FACTOR_APPLICABILITY!$N:$N,$A53),1),IF($C53="Material",IFERROR(INDEX(MATERIAL_QUANTITY_EXAMPLE!$N:$N,MATCH(1,(MATERIAL_QUANTITY_EXAMPLE!$A:$A=MATERIAL_QUANTITY_EXAMPLE!$A:$A)*(MATERIAL_QUANTITY_EXAMPLE!$B:$B=$A53)*(MATERIAL_QUANTITY_EXAMPLE!$C:$C=$D53),0)),1),1)))</f>
        <v/>
      </c>
      <c r="L53" s="33" t="str">
        <f t="array" ref="L53">IF($A53="","",IF($C53="Material",1,IFERROR(INDEX(OBJECT_CONDITIONS!$AH:$AH,MATCH($A53,OBJECT_CONDITIONS!$A:$A,0))*INDEX(OBJECT_CONDITIONS!$AJ:$AJ,MATCH($A53,OBJECT_CONDITIONS!$A:$A,0))*INDEX(OBJECT_CONDITIONS!$AL:$AL,MATCH($A53,OBJECT_CONDITIONS!$A:$A,0)),1)))</f>
        <v/>
      </c>
      <c r="M53" s="33" t="str">
        <f>IF($B53="","",IF($C53="Work",IFERROR(IF(SUMIFS(WORK_TARIFF_RULES!$F:$F,WORK_TARIFF_RULES!$A:$A,$D53,WORK_TARIFF_RULES!$C:$C,$B53)&lt;&gt;"",SUMIFS(WORK_TARIFF_RULES!$F:$F,WORK_TARIFF_RULES!$A:$A,$D53,WORK_TARIFF_RULES!$C:$C,$B53),SUMIFS(TARIFF_PROFILES!$D:$D,TARIFF_PROFILES!$A:$A,$B53)),1),IF($C53="Material",IFERROR(IF(SUMIFS(MATERIAL_TARIFF_RULES!$E:$E,MATERIAL_TARIFF_RULES!$A:$A,$D53,MATERIAL_TARIFF_RULES!$C:$C,$B53)&lt;&gt;"",SUMIFS(MATERIAL_TARIFF_RULES!$E:$E,MATERIAL_TARIFF_RULES!$A:$A,$D53,MATERIAL_TARIFF_RULES!$C:$C,$B53),SUMIFS(TARIFF_PROFILES!$E:$E,TARIFF_PROFILES!$A:$A,$B53)),1),SUMIFS(TARIFF_PROFILES!$F:$F,TARIFF_PROFILES!$A:$A,$B53))))</f>
        <v/>
      </c>
      <c r="N53" s="33">
        <f>IF($C53="Material",IFERROR(SUMIFS(MATERIAL_MASTER!$P:$P,MATERIAL_MASTER!$A:$A,$D53)*IF(SUMIFS(MATERIAL_TARIFF_RULES!$F:$F,MATERIAL_TARIFF_RULES!$A:$A,$D53,MATERIAL_TARIFF_RULES!$C:$C,$B53)="",SUMIFS(TARIFF_PROFILES!$H:$H,TARIFF_PROFILES!$A:$A,$B53),SUMIFS(MATERIAL_TARIFF_RULES!$F:$F,MATERIAL_TARIFF_RULES!$A:$A,$D53,MATERIAL_TARIFF_RULES!$C:$C,$B53)),1),1)</f>
        <v>1</v>
      </c>
      <c r="O53" s="4" t="str">
        <f t="shared" si="1"/>
        <v/>
      </c>
      <c r="P53" s="4">
        <f t="array" ref="P53">IF(ROW()=2,MAX(0,INDEX(COMMERCIAL_POLICY!$B:$B,MATCH($B53,COMMERCIAL_POLICY!$A:$A,0))-SUM($Q$2:$Q$60)),0)</f>
        <v>0</v>
      </c>
      <c r="Q53" s="28" t="str">
        <f t="array" ref="Q53">IF($C53="","",IF($C53="Material",N($I53)*N($K53)*N($M53)*N($O53),IF($C53="Logistics",INDEX(COMMERCIAL_POLICY!$D:$D,MATCH($B53,COMMERCIAL_POLICY!$A:$A,0))*N($L53),N($I53)*N($J53)*N($K53)*N($L53)*N($M53)*N($G53))))</f>
        <v/>
      </c>
      <c r="R53" s="4" t="str">
        <f t="array" ref="R53">IF($A53="","",INDEX(OBJECT_CONDITIONS!$AM:$AM,MATCH($A53,OBJECT_CONDITIONS!$A:$A,0)))</f>
        <v/>
      </c>
      <c r="S53" s="33" t="str">
        <f t="array" ref="S53">IF($R53="","",INDEX(TAX_MODES!$B:$B,MATCH($R53,TAX_MODES!$A:$A,0)))</f>
        <v/>
      </c>
      <c r="T53" s="28" t="str">
        <f t="shared" si="2"/>
        <v/>
      </c>
      <c r="U53" s="4" t="str">
        <f t="shared" si="3"/>
        <v/>
      </c>
    </row>
    <row r="54" ht="14.25" customHeight="1">
      <c r="A54" s="4"/>
      <c r="B54" s="4"/>
      <c r="C54" s="4"/>
      <c r="D54" s="4"/>
      <c r="E54" s="4"/>
      <c r="F54" s="4" t="str">
        <f>IF($C54="","",IF($C54="Work",IFERROR(IF(SUMIFS(WORK_TARIFF_RULES!$G:$G,WORK_TARIFF_RULES!$A:$A,$D54,WORK_TARIFF_RULES!$C:$C,$B54)&lt;&gt;"",SUMIFS(WORK_TARIFF_RULES!$G:$G,WORK_TARIFF_RULES!$A:$A,$D54,WORK_TARIFF_RULES!$C:$C,$B54),SUMIFS(WORK_MASTER!$C:$C,WORK_MASTER!$A:$A,$D54)),""),IF($C54="Material",IFERROR(IF(SUMIFS(MATERIAL_TARIFF_RULES!$G:$G,MATERIAL_TARIFF_RULES!$A:$A,$D54,MATERIAL_TARIFF_RULES!$C:$C,$B54)&lt;&gt;"",SUMIFS(MATERIAL_TARIFF_RULES!$G:$G,MATERIAL_TARIFF_RULES!$A:$A,$D54,MATERIAL_TARIFF_RULES!$C:$C,$B54),SUMIFS(MATERIAL_VARIANTS!$J:$J,MATERIAL_VARIANTS!$A:$A,$E54)),""),IF($C54="Logistics","Мобилизация и логистика объекта",""))))</f>
        <v/>
      </c>
      <c r="G54" s="4"/>
      <c r="H54" s="4"/>
      <c r="I54" s="33" t="str">
        <f>IF($C54="","",IF($C54="Work",IFERROR(SUMIFS(WORK_MASTER!$I:$I,WORK_MASTER!$A:$A,$D54),0),IF($C54="Material",IFERROR(SUMIFS(MATERIAL_VARIANTS!$I:$I,MATERIAL_VARIANTS!$A:$A,$E54),0),0)))</f>
        <v/>
      </c>
      <c r="J54" s="33" t="str">
        <f>IF($C54="","",IF($C54="Work",IF($E54&lt;&gt;"",IFERROR(SUMIFS(WORK_VARIANTS!$H:$H,WORK_VARIANTS!$A:$A,$E54),1),1),1))</f>
        <v/>
      </c>
      <c r="K54" s="33" t="str">
        <f t="array" ref="K54">IF($C54="","",IF($C54="Work",IFERROR(SUMIFS(WORK_FACTOR_APPLICABILITY!$O:$O,WORK_FACTOR_APPLICABILITY!$A:$A,$D54,WORK_FACTOR_APPLICABILITY!$N:$N,$A54),1),IF($C54="Material",IFERROR(INDEX(MATERIAL_QUANTITY_EXAMPLE!$N:$N,MATCH(1,(MATERIAL_QUANTITY_EXAMPLE!$A:$A=MATERIAL_QUANTITY_EXAMPLE!$A:$A)*(MATERIAL_QUANTITY_EXAMPLE!$B:$B=$A54)*(MATERIAL_QUANTITY_EXAMPLE!$C:$C=$D54),0)),1),1)))</f>
        <v/>
      </c>
      <c r="L54" s="33" t="str">
        <f t="array" ref="L54">IF($A54="","",IF($C54="Material",1,IFERROR(INDEX(OBJECT_CONDITIONS!$AH:$AH,MATCH($A54,OBJECT_CONDITIONS!$A:$A,0))*INDEX(OBJECT_CONDITIONS!$AJ:$AJ,MATCH($A54,OBJECT_CONDITIONS!$A:$A,0))*INDEX(OBJECT_CONDITIONS!$AL:$AL,MATCH($A54,OBJECT_CONDITIONS!$A:$A,0)),1)))</f>
        <v/>
      </c>
      <c r="M54" s="33" t="str">
        <f>IF($B54="","",IF($C54="Work",IFERROR(IF(SUMIFS(WORK_TARIFF_RULES!$F:$F,WORK_TARIFF_RULES!$A:$A,$D54,WORK_TARIFF_RULES!$C:$C,$B54)&lt;&gt;"",SUMIFS(WORK_TARIFF_RULES!$F:$F,WORK_TARIFF_RULES!$A:$A,$D54,WORK_TARIFF_RULES!$C:$C,$B54),SUMIFS(TARIFF_PROFILES!$D:$D,TARIFF_PROFILES!$A:$A,$B54)),1),IF($C54="Material",IFERROR(IF(SUMIFS(MATERIAL_TARIFF_RULES!$E:$E,MATERIAL_TARIFF_RULES!$A:$A,$D54,MATERIAL_TARIFF_RULES!$C:$C,$B54)&lt;&gt;"",SUMIFS(MATERIAL_TARIFF_RULES!$E:$E,MATERIAL_TARIFF_RULES!$A:$A,$D54,MATERIAL_TARIFF_RULES!$C:$C,$B54),SUMIFS(TARIFF_PROFILES!$E:$E,TARIFF_PROFILES!$A:$A,$B54)),1),SUMIFS(TARIFF_PROFILES!$F:$F,TARIFF_PROFILES!$A:$A,$B54))))</f>
        <v/>
      </c>
      <c r="N54" s="33">
        <f>IF($C54="Material",IFERROR(SUMIFS(MATERIAL_MASTER!$P:$P,MATERIAL_MASTER!$A:$A,$D54)*IF(SUMIFS(MATERIAL_TARIFF_RULES!$F:$F,MATERIAL_TARIFF_RULES!$A:$A,$D54,MATERIAL_TARIFF_RULES!$C:$C,$B54)="",SUMIFS(TARIFF_PROFILES!$H:$H,TARIFF_PROFILES!$A:$A,$B54),SUMIFS(MATERIAL_TARIFF_RULES!$F:$F,MATERIAL_TARIFF_RULES!$A:$A,$D54,MATERIAL_TARIFF_RULES!$C:$C,$B54)),1),1)</f>
        <v>1</v>
      </c>
      <c r="O54" s="4" t="str">
        <f t="shared" si="1"/>
        <v/>
      </c>
      <c r="P54" s="4">
        <f t="array" ref="P54">IF(ROW()=2,MAX(0,INDEX(COMMERCIAL_POLICY!$B:$B,MATCH($B54,COMMERCIAL_POLICY!$A:$A,0))-SUM($Q$2:$Q$60)),0)</f>
        <v>0</v>
      </c>
      <c r="Q54" s="28" t="str">
        <f t="array" ref="Q54">IF($C54="","",IF($C54="Material",N($I54)*N($K54)*N($M54)*N($O54),IF($C54="Logistics",INDEX(COMMERCIAL_POLICY!$D:$D,MATCH($B54,COMMERCIAL_POLICY!$A:$A,0))*N($L54),N($I54)*N($J54)*N($K54)*N($L54)*N($M54)*N($G54))))</f>
        <v/>
      </c>
      <c r="R54" s="4" t="str">
        <f t="array" ref="R54">IF($A54="","",INDEX(OBJECT_CONDITIONS!$AM:$AM,MATCH($A54,OBJECT_CONDITIONS!$A:$A,0)))</f>
        <v/>
      </c>
      <c r="S54" s="33" t="str">
        <f t="array" ref="S54">IF($R54="","",INDEX(TAX_MODES!$B:$B,MATCH($R54,TAX_MODES!$A:$A,0)))</f>
        <v/>
      </c>
      <c r="T54" s="28" t="str">
        <f t="shared" si="2"/>
        <v/>
      </c>
      <c r="U54" s="4" t="str">
        <f t="shared" si="3"/>
        <v/>
      </c>
    </row>
    <row r="55" ht="14.25" customHeight="1">
      <c r="A55" s="4"/>
      <c r="B55" s="4"/>
      <c r="C55" s="4"/>
      <c r="D55" s="4"/>
      <c r="E55" s="4"/>
      <c r="F55" s="4" t="str">
        <f>IF($C55="","",IF($C55="Work",IFERROR(IF(SUMIFS(WORK_TARIFF_RULES!$G:$G,WORK_TARIFF_RULES!$A:$A,$D55,WORK_TARIFF_RULES!$C:$C,$B55)&lt;&gt;"",SUMIFS(WORK_TARIFF_RULES!$G:$G,WORK_TARIFF_RULES!$A:$A,$D55,WORK_TARIFF_RULES!$C:$C,$B55),SUMIFS(WORK_MASTER!$C:$C,WORK_MASTER!$A:$A,$D55)),""),IF($C55="Material",IFERROR(IF(SUMIFS(MATERIAL_TARIFF_RULES!$G:$G,MATERIAL_TARIFF_RULES!$A:$A,$D55,MATERIAL_TARIFF_RULES!$C:$C,$B55)&lt;&gt;"",SUMIFS(MATERIAL_TARIFF_RULES!$G:$G,MATERIAL_TARIFF_RULES!$A:$A,$D55,MATERIAL_TARIFF_RULES!$C:$C,$B55),SUMIFS(MATERIAL_VARIANTS!$J:$J,MATERIAL_VARIANTS!$A:$A,$E55)),""),IF($C55="Logistics","Мобилизация и логистика объекта",""))))</f>
        <v/>
      </c>
      <c r="G55" s="4"/>
      <c r="H55" s="4"/>
      <c r="I55" s="33" t="str">
        <f>IF($C55="","",IF($C55="Work",IFERROR(SUMIFS(WORK_MASTER!$I:$I,WORK_MASTER!$A:$A,$D55),0),IF($C55="Material",IFERROR(SUMIFS(MATERIAL_VARIANTS!$I:$I,MATERIAL_VARIANTS!$A:$A,$E55),0),0)))</f>
        <v/>
      </c>
      <c r="J55" s="33" t="str">
        <f>IF($C55="","",IF($C55="Work",IF($E55&lt;&gt;"",IFERROR(SUMIFS(WORK_VARIANTS!$H:$H,WORK_VARIANTS!$A:$A,$E55),1),1),1))</f>
        <v/>
      </c>
      <c r="K55" s="33" t="str">
        <f t="array" ref="K55">IF($C55="","",IF($C55="Work",IFERROR(SUMIFS(WORK_FACTOR_APPLICABILITY!$O:$O,WORK_FACTOR_APPLICABILITY!$A:$A,$D55,WORK_FACTOR_APPLICABILITY!$N:$N,$A55),1),IF($C55="Material",IFERROR(INDEX(MATERIAL_QUANTITY_EXAMPLE!$N:$N,MATCH(1,(MATERIAL_QUANTITY_EXAMPLE!$A:$A=MATERIAL_QUANTITY_EXAMPLE!$A:$A)*(MATERIAL_QUANTITY_EXAMPLE!$B:$B=$A55)*(MATERIAL_QUANTITY_EXAMPLE!$C:$C=$D55),0)),1),1)))</f>
        <v/>
      </c>
      <c r="L55" s="33" t="str">
        <f t="array" ref="L55">IF($A55="","",IF($C55="Material",1,IFERROR(INDEX(OBJECT_CONDITIONS!$AH:$AH,MATCH($A55,OBJECT_CONDITIONS!$A:$A,0))*INDEX(OBJECT_CONDITIONS!$AJ:$AJ,MATCH($A55,OBJECT_CONDITIONS!$A:$A,0))*INDEX(OBJECT_CONDITIONS!$AL:$AL,MATCH($A55,OBJECT_CONDITIONS!$A:$A,0)),1)))</f>
        <v/>
      </c>
      <c r="M55" s="33" t="str">
        <f>IF($B55="","",IF($C55="Work",IFERROR(IF(SUMIFS(WORK_TARIFF_RULES!$F:$F,WORK_TARIFF_RULES!$A:$A,$D55,WORK_TARIFF_RULES!$C:$C,$B55)&lt;&gt;"",SUMIFS(WORK_TARIFF_RULES!$F:$F,WORK_TARIFF_RULES!$A:$A,$D55,WORK_TARIFF_RULES!$C:$C,$B55),SUMIFS(TARIFF_PROFILES!$D:$D,TARIFF_PROFILES!$A:$A,$B55)),1),IF($C55="Material",IFERROR(IF(SUMIFS(MATERIAL_TARIFF_RULES!$E:$E,MATERIAL_TARIFF_RULES!$A:$A,$D55,MATERIAL_TARIFF_RULES!$C:$C,$B55)&lt;&gt;"",SUMIFS(MATERIAL_TARIFF_RULES!$E:$E,MATERIAL_TARIFF_RULES!$A:$A,$D55,MATERIAL_TARIFF_RULES!$C:$C,$B55),SUMIFS(TARIFF_PROFILES!$E:$E,TARIFF_PROFILES!$A:$A,$B55)),1),SUMIFS(TARIFF_PROFILES!$F:$F,TARIFF_PROFILES!$A:$A,$B55))))</f>
        <v/>
      </c>
      <c r="N55" s="33">
        <f>IF($C55="Material",IFERROR(SUMIFS(MATERIAL_MASTER!$P:$P,MATERIAL_MASTER!$A:$A,$D55)*IF(SUMIFS(MATERIAL_TARIFF_RULES!$F:$F,MATERIAL_TARIFF_RULES!$A:$A,$D55,MATERIAL_TARIFF_RULES!$C:$C,$B55)="",SUMIFS(TARIFF_PROFILES!$H:$H,TARIFF_PROFILES!$A:$A,$B55),SUMIFS(MATERIAL_TARIFF_RULES!$F:$F,MATERIAL_TARIFF_RULES!$A:$A,$D55,MATERIAL_TARIFF_RULES!$C:$C,$B55)),1),1)</f>
        <v>1</v>
      </c>
      <c r="O55" s="4" t="str">
        <f t="shared" si="1"/>
        <v/>
      </c>
      <c r="P55" s="4">
        <f t="array" ref="P55">IF(ROW()=2,MAX(0,INDEX(COMMERCIAL_POLICY!$B:$B,MATCH($B55,COMMERCIAL_POLICY!$A:$A,0))-SUM($Q$2:$Q$60)),0)</f>
        <v>0</v>
      </c>
      <c r="Q55" s="28" t="str">
        <f t="array" ref="Q55">IF($C55="","",IF($C55="Material",N($I55)*N($K55)*N($M55)*N($O55),IF($C55="Logistics",INDEX(COMMERCIAL_POLICY!$D:$D,MATCH($B55,COMMERCIAL_POLICY!$A:$A,0))*N($L55),N($I55)*N($J55)*N($K55)*N($L55)*N($M55)*N($G55))))</f>
        <v/>
      </c>
      <c r="R55" s="4" t="str">
        <f t="array" ref="R55">IF($A55="","",INDEX(OBJECT_CONDITIONS!$AM:$AM,MATCH($A55,OBJECT_CONDITIONS!$A:$A,0)))</f>
        <v/>
      </c>
      <c r="S55" s="33" t="str">
        <f t="array" ref="S55">IF($R55="","",INDEX(TAX_MODES!$B:$B,MATCH($R55,TAX_MODES!$A:$A,0)))</f>
        <v/>
      </c>
      <c r="T55" s="28" t="str">
        <f t="shared" si="2"/>
        <v/>
      </c>
      <c r="U55" s="4" t="str">
        <f t="shared" si="3"/>
        <v/>
      </c>
    </row>
    <row r="56" ht="14.25" customHeight="1">
      <c r="A56" s="4"/>
      <c r="B56" s="4"/>
      <c r="C56" s="4"/>
      <c r="D56" s="4"/>
      <c r="E56" s="4"/>
      <c r="F56" s="4" t="str">
        <f>IF($C56="","",IF($C56="Work",IFERROR(IF(SUMIFS(WORK_TARIFF_RULES!$G:$G,WORK_TARIFF_RULES!$A:$A,$D56,WORK_TARIFF_RULES!$C:$C,$B56)&lt;&gt;"",SUMIFS(WORK_TARIFF_RULES!$G:$G,WORK_TARIFF_RULES!$A:$A,$D56,WORK_TARIFF_RULES!$C:$C,$B56),SUMIFS(WORK_MASTER!$C:$C,WORK_MASTER!$A:$A,$D56)),""),IF($C56="Material",IFERROR(IF(SUMIFS(MATERIAL_TARIFF_RULES!$G:$G,MATERIAL_TARIFF_RULES!$A:$A,$D56,MATERIAL_TARIFF_RULES!$C:$C,$B56)&lt;&gt;"",SUMIFS(MATERIAL_TARIFF_RULES!$G:$G,MATERIAL_TARIFF_RULES!$A:$A,$D56,MATERIAL_TARIFF_RULES!$C:$C,$B56),SUMIFS(MATERIAL_VARIANTS!$J:$J,MATERIAL_VARIANTS!$A:$A,$E56)),""),IF($C56="Logistics","Мобилизация и логистика объекта",""))))</f>
        <v/>
      </c>
      <c r="G56" s="4"/>
      <c r="H56" s="4"/>
      <c r="I56" s="33" t="str">
        <f>IF($C56="","",IF($C56="Work",IFERROR(SUMIFS(WORK_MASTER!$I:$I,WORK_MASTER!$A:$A,$D56),0),IF($C56="Material",IFERROR(SUMIFS(MATERIAL_VARIANTS!$I:$I,MATERIAL_VARIANTS!$A:$A,$E56),0),0)))</f>
        <v/>
      </c>
      <c r="J56" s="33" t="str">
        <f>IF($C56="","",IF($C56="Work",IF($E56&lt;&gt;"",IFERROR(SUMIFS(WORK_VARIANTS!$H:$H,WORK_VARIANTS!$A:$A,$E56),1),1),1))</f>
        <v/>
      </c>
      <c r="K56" s="33" t="str">
        <f t="array" ref="K56">IF($C56="","",IF($C56="Work",IFERROR(SUMIFS(WORK_FACTOR_APPLICABILITY!$O:$O,WORK_FACTOR_APPLICABILITY!$A:$A,$D56,WORK_FACTOR_APPLICABILITY!$N:$N,$A56),1),IF($C56="Material",IFERROR(INDEX(MATERIAL_QUANTITY_EXAMPLE!$N:$N,MATCH(1,(MATERIAL_QUANTITY_EXAMPLE!$A:$A=MATERIAL_QUANTITY_EXAMPLE!$A:$A)*(MATERIAL_QUANTITY_EXAMPLE!$B:$B=$A56)*(MATERIAL_QUANTITY_EXAMPLE!$C:$C=$D56),0)),1),1)))</f>
        <v/>
      </c>
      <c r="L56" s="33" t="str">
        <f t="array" ref="L56">IF($A56="","",IF($C56="Material",1,IFERROR(INDEX(OBJECT_CONDITIONS!$AH:$AH,MATCH($A56,OBJECT_CONDITIONS!$A:$A,0))*INDEX(OBJECT_CONDITIONS!$AJ:$AJ,MATCH($A56,OBJECT_CONDITIONS!$A:$A,0))*INDEX(OBJECT_CONDITIONS!$AL:$AL,MATCH($A56,OBJECT_CONDITIONS!$A:$A,0)),1)))</f>
        <v/>
      </c>
      <c r="M56" s="33" t="str">
        <f>IF($B56="","",IF($C56="Work",IFERROR(IF(SUMIFS(WORK_TARIFF_RULES!$F:$F,WORK_TARIFF_RULES!$A:$A,$D56,WORK_TARIFF_RULES!$C:$C,$B56)&lt;&gt;"",SUMIFS(WORK_TARIFF_RULES!$F:$F,WORK_TARIFF_RULES!$A:$A,$D56,WORK_TARIFF_RULES!$C:$C,$B56),SUMIFS(TARIFF_PROFILES!$D:$D,TARIFF_PROFILES!$A:$A,$B56)),1),IF($C56="Material",IFERROR(IF(SUMIFS(MATERIAL_TARIFF_RULES!$E:$E,MATERIAL_TARIFF_RULES!$A:$A,$D56,MATERIAL_TARIFF_RULES!$C:$C,$B56)&lt;&gt;"",SUMIFS(MATERIAL_TARIFF_RULES!$E:$E,MATERIAL_TARIFF_RULES!$A:$A,$D56,MATERIAL_TARIFF_RULES!$C:$C,$B56),SUMIFS(TARIFF_PROFILES!$E:$E,TARIFF_PROFILES!$A:$A,$B56)),1),SUMIFS(TARIFF_PROFILES!$F:$F,TARIFF_PROFILES!$A:$A,$B56))))</f>
        <v/>
      </c>
      <c r="N56" s="33">
        <f>IF($C56="Material",IFERROR(SUMIFS(MATERIAL_MASTER!$P:$P,MATERIAL_MASTER!$A:$A,$D56)*IF(SUMIFS(MATERIAL_TARIFF_RULES!$F:$F,MATERIAL_TARIFF_RULES!$A:$A,$D56,MATERIAL_TARIFF_RULES!$C:$C,$B56)="",SUMIFS(TARIFF_PROFILES!$H:$H,TARIFF_PROFILES!$A:$A,$B56),SUMIFS(MATERIAL_TARIFF_RULES!$F:$F,MATERIAL_TARIFF_RULES!$A:$A,$D56,MATERIAL_TARIFF_RULES!$C:$C,$B56)),1),1)</f>
        <v>1</v>
      </c>
      <c r="O56" s="4" t="str">
        <f t="shared" si="1"/>
        <v/>
      </c>
      <c r="P56" s="4">
        <f t="array" ref="P56">IF(ROW()=2,MAX(0,INDEX(COMMERCIAL_POLICY!$B:$B,MATCH($B56,COMMERCIAL_POLICY!$A:$A,0))-SUM($Q$2:$Q$60)),0)</f>
        <v>0</v>
      </c>
      <c r="Q56" s="28" t="str">
        <f t="array" ref="Q56">IF($C56="","",IF($C56="Material",N($I56)*N($K56)*N($M56)*N($O56),IF($C56="Logistics",INDEX(COMMERCIAL_POLICY!$D:$D,MATCH($B56,COMMERCIAL_POLICY!$A:$A,0))*N($L56),N($I56)*N($J56)*N($K56)*N($L56)*N($M56)*N($G56))))</f>
        <v/>
      </c>
      <c r="R56" s="4" t="str">
        <f t="array" ref="R56">IF($A56="","",INDEX(OBJECT_CONDITIONS!$AM:$AM,MATCH($A56,OBJECT_CONDITIONS!$A:$A,0)))</f>
        <v/>
      </c>
      <c r="S56" s="33" t="str">
        <f t="array" ref="S56">IF($R56="","",INDEX(TAX_MODES!$B:$B,MATCH($R56,TAX_MODES!$A:$A,0)))</f>
        <v/>
      </c>
      <c r="T56" s="28" t="str">
        <f t="shared" si="2"/>
        <v/>
      </c>
      <c r="U56" s="4" t="str">
        <f t="shared" si="3"/>
        <v/>
      </c>
    </row>
    <row r="57" ht="14.25" customHeight="1">
      <c r="A57" s="4"/>
      <c r="B57" s="4"/>
      <c r="C57" s="4"/>
      <c r="D57" s="4"/>
      <c r="E57" s="4"/>
      <c r="F57" s="4" t="str">
        <f>IF($C57="","",IF($C57="Work",IFERROR(IF(SUMIFS(WORK_TARIFF_RULES!$G:$G,WORK_TARIFF_RULES!$A:$A,$D57,WORK_TARIFF_RULES!$C:$C,$B57)&lt;&gt;"",SUMIFS(WORK_TARIFF_RULES!$G:$G,WORK_TARIFF_RULES!$A:$A,$D57,WORK_TARIFF_RULES!$C:$C,$B57),SUMIFS(WORK_MASTER!$C:$C,WORK_MASTER!$A:$A,$D57)),""),IF($C57="Material",IFERROR(IF(SUMIFS(MATERIAL_TARIFF_RULES!$G:$G,MATERIAL_TARIFF_RULES!$A:$A,$D57,MATERIAL_TARIFF_RULES!$C:$C,$B57)&lt;&gt;"",SUMIFS(MATERIAL_TARIFF_RULES!$G:$G,MATERIAL_TARIFF_RULES!$A:$A,$D57,MATERIAL_TARIFF_RULES!$C:$C,$B57),SUMIFS(MATERIAL_VARIANTS!$J:$J,MATERIAL_VARIANTS!$A:$A,$E57)),""),IF($C57="Logistics","Мобилизация и логистика объекта",""))))</f>
        <v/>
      </c>
      <c r="G57" s="4"/>
      <c r="H57" s="4"/>
      <c r="I57" s="33" t="str">
        <f>IF($C57="","",IF($C57="Work",IFERROR(SUMIFS(WORK_MASTER!$I:$I,WORK_MASTER!$A:$A,$D57),0),IF($C57="Material",IFERROR(SUMIFS(MATERIAL_VARIANTS!$I:$I,MATERIAL_VARIANTS!$A:$A,$E57),0),0)))</f>
        <v/>
      </c>
      <c r="J57" s="33" t="str">
        <f>IF($C57="","",IF($C57="Work",IF($E57&lt;&gt;"",IFERROR(SUMIFS(WORK_VARIANTS!$H:$H,WORK_VARIANTS!$A:$A,$E57),1),1),1))</f>
        <v/>
      </c>
      <c r="K57" s="33" t="str">
        <f t="array" ref="K57">IF($C57="","",IF($C57="Work",IFERROR(SUMIFS(WORK_FACTOR_APPLICABILITY!$O:$O,WORK_FACTOR_APPLICABILITY!$A:$A,$D57,WORK_FACTOR_APPLICABILITY!$N:$N,$A57),1),IF($C57="Material",IFERROR(INDEX(MATERIAL_QUANTITY_EXAMPLE!$N:$N,MATCH(1,(MATERIAL_QUANTITY_EXAMPLE!$A:$A=MATERIAL_QUANTITY_EXAMPLE!$A:$A)*(MATERIAL_QUANTITY_EXAMPLE!$B:$B=$A57)*(MATERIAL_QUANTITY_EXAMPLE!$C:$C=$D57),0)),1),1)))</f>
        <v/>
      </c>
      <c r="L57" s="33" t="str">
        <f t="array" ref="L57">IF($A57="","",IF($C57="Material",1,IFERROR(INDEX(OBJECT_CONDITIONS!$AH:$AH,MATCH($A57,OBJECT_CONDITIONS!$A:$A,0))*INDEX(OBJECT_CONDITIONS!$AJ:$AJ,MATCH($A57,OBJECT_CONDITIONS!$A:$A,0))*INDEX(OBJECT_CONDITIONS!$AL:$AL,MATCH($A57,OBJECT_CONDITIONS!$A:$A,0)),1)))</f>
        <v/>
      </c>
      <c r="M57" s="33" t="str">
        <f>IF($B57="","",IF($C57="Work",IFERROR(IF(SUMIFS(WORK_TARIFF_RULES!$F:$F,WORK_TARIFF_RULES!$A:$A,$D57,WORK_TARIFF_RULES!$C:$C,$B57)&lt;&gt;"",SUMIFS(WORK_TARIFF_RULES!$F:$F,WORK_TARIFF_RULES!$A:$A,$D57,WORK_TARIFF_RULES!$C:$C,$B57),SUMIFS(TARIFF_PROFILES!$D:$D,TARIFF_PROFILES!$A:$A,$B57)),1),IF($C57="Material",IFERROR(IF(SUMIFS(MATERIAL_TARIFF_RULES!$E:$E,MATERIAL_TARIFF_RULES!$A:$A,$D57,MATERIAL_TARIFF_RULES!$C:$C,$B57)&lt;&gt;"",SUMIFS(MATERIAL_TARIFF_RULES!$E:$E,MATERIAL_TARIFF_RULES!$A:$A,$D57,MATERIAL_TARIFF_RULES!$C:$C,$B57),SUMIFS(TARIFF_PROFILES!$E:$E,TARIFF_PROFILES!$A:$A,$B57)),1),SUMIFS(TARIFF_PROFILES!$F:$F,TARIFF_PROFILES!$A:$A,$B57))))</f>
        <v/>
      </c>
      <c r="N57" s="33">
        <f>IF($C57="Material",IFERROR(SUMIFS(MATERIAL_MASTER!$P:$P,MATERIAL_MASTER!$A:$A,$D57)*IF(SUMIFS(MATERIAL_TARIFF_RULES!$F:$F,MATERIAL_TARIFF_RULES!$A:$A,$D57,MATERIAL_TARIFF_RULES!$C:$C,$B57)="",SUMIFS(TARIFF_PROFILES!$H:$H,TARIFF_PROFILES!$A:$A,$B57),SUMIFS(MATERIAL_TARIFF_RULES!$F:$F,MATERIAL_TARIFF_RULES!$A:$A,$D57,MATERIAL_TARIFF_RULES!$C:$C,$B57)),1),1)</f>
        <v>1</v>
      </c>
      <c r="O57" s="4" t="str">
        <f t="shared" si="1"/>
        <v/>
      </c>
      <c r="P57" s="4">
        <f t="array" ref="P57">IF(ROW()=2,MAX(0,INDEX(COMMERCIAL_POLICY!$B:$B,MATCH($B57,COMMERCIAL_POLICY!$A:$A,0))-SUM($Q$2:$Q$60)),0)</f>
        <v>0</v>
      </c>
      <c r="Q57" s="28" t="str">
        <f t="array" ref="Q57">IF($C57="","",IF($C57="Material",N($I57)*N($K57)*N($M57)*N($O57),IF($C57="Logistics",INDEX(COMMERCIAL_POLICY!$D:$D,MATCH($B57,COMMERCIAL_POLICY!$A:$A,0))*N($L57),N($I57)*N($J57)*N($K57)*N($L57)*N($M57)*N($G57))))</f>
        <v/>
      </c>
      <c r="R57" s="4" t="str">
        <f t="array" ref="R57">IF($A57="","",INDEX(OBJECT_CONDITIONS!$AM:$AM,MATCH($A57,OBJECT_CONDITIONS!$A:$A,0)))</f>
        <v/>
      </c>
      <c r="S57" s="33" t="str">
        <f t="array" ref="S57">IF($R57="","",INDEX(TAX_MODES!$B:$B,MATCH($R57,TAX_MODES!$A:$A,0)))</f>
        <v/>
      </c>
      <c r="T57" s="28" t="str">
        <f t="shared" si="2"/>
        <v/>
      </c>
      <c r="U57" s="4" t="str">
        <f t="shared" si="3"/>
        <v/>
      </c>
    </row>
    <row r="58" ht="14.25" customHeight="1">
      <c r="A58" s="4"/>
      <c r="B58" s="4"/>
      <c r="C58" s="4"/>
      <c r="D58" s="4"/>
      <c r="E58" s="4"/>
      <c r="F58" s="4" t="str">
        <f>IF($C58="","",IF($C58="Work",IFERROR(IF(SUMIFS(WORK_TARIFF_RULES!$G:$G,WORK_TARIFF_RULES!$A:$A,$D58,WORK_TARIFF_RULES!$C:$C,$B58)&lt;&gt;"",SUMIFS(WORK_TARIFF_RULES!$G:$G,WORK_TARIFF_RULES!$A:$A,$D58,WORK_TARIFF_RULES!$C:$C,$B58),SUMIFS(WORK_MASTER!$C:$C,WORK_MASTER!$A:$A,$D58)),""),IF($C58="Material",IFERROR(IF(SUMIFS(MATERIAL_TARIFF_RULES!$G:$G,MATERIAL_TARIFF_RULES!$A:$A,$D58,MATERIAL_TARIFF_RULES!$C:$C,$B58)&lt;&gt;"",SUMIFS(MATERIAL_TARIFF_RULES!$G:$G,MATERIAL_TARIFF_RULES!$A:$A,$D58,MATERIAL_TARIFF_RULES!$C:$C,$B58),SUMIFS(MATERIAL_VARIANTS!$J:$J,MATERIAL_VARIANTS!$A:$A,$E58)),""),IF($C58="Logistics","Мобилизация и логистика объекта",""))))</f>
        <v/>
      </c>
      <c r="G58" s="4"/>
      <c r="H58" s="4"/>
      <c r="I58" s="33" t="str">
        <f>IF($C58="","",IF($C58="Work",IFERROR(SUMIFS(WORK_MASTER!$I:$I,WORK_MASTER!$A:$A,$D58),0),IF($C58="Material",IFERROR(SUMIFS(MATERIAL_VARIANTS!$I:$I,MATERIAL_VARIANTS!$A:$A,$E58),0),0)))</f>
        <v/>
      </c>
      <c r="J58" s="33" t="str">
        <f>IF($C58="","",IF($C58="Work",IF($E58&lt;&gt;"",IFERROR(SUMIFS(WORK_VARIANTS!$H:$H,WORK_VARIANTS!$A:$A,$E58),1),1),1))</f>
        <v/>
      </c>
      <c r="K58" s="33" t="str">
        <f t="array" ref="K58">IF($C58="","",IF($C58="Work",IFERROR(SUMIFS(WORK_FACTOR_APPLICABILITY!$O:$O,WORK_FACTOR_APPLICABILITY!$A:$A,$D58,WORK_FACTOR_APPLICABILITY!$N:$N,$A58),1),IF($C58="Material",IFERROR(INDEX(MATERIAL_QUANTITY_EXAMPLE!$N:$N,MATCH(1,(MATERIAL_QUANTITY_EXAMPLE!$A:$A=MATERIAL_QUANTITY_EXAMPLE!$A:$A)*(MATERIAL_QUANTITY_EXAMPLE!$B:$B=$A58)*(MATERIAL_QUANTITY_EXAMPLE!$C:$C=$D58),0)),1),1)))</f>
        <v/>
      </c>
      <c r="L58" s="33" t="str">
        <f t="array" ref="L58">IF($A58="","",IF($C58="Material",1,IFERROR(INDEX(OBJECT_CONDITIONS!$AH:$AH,MATCH($A58,OBJECT_CONDITIONS!$A:$A,0))*INDEX(OBJECT_CONDITIONS!$AJ:$AJ,MATCH($A58,OBJECT_CONDITIONS!$A:$A,0))*INDEX(OBJECT_CONDITIONS!$AL:$AL,MATCH($A58,OBJECT_CONDITIONS!$A:$A,0)),1)))</f>
        <v/>
      </c>
      <c r="M58" s="33" t="str">
        <f>IF($B58="","",IF($C58="Work",IFERROR(IF(SUMIFS(WORK_TARIFF_RULES!$F:$F,WORK_TARIFF_RULES!$A:$A,$D58,WORK_TARIFF_RULES!$C:$C,$B58)&lt;&gt;"",SUMIFS(WORK_TARIFF_RULES!$F:$F,WORK_TARIFF_RULES!$A:$A,$D58,WORK_TARIFF_RULES!$C:$C,$B58),SUMIFS(TARIFF_PROFILES!$D:$D,TARIFF_PROFILES!$A:$A,$B58)),1),IF($C58="Material",IFERROR(IF(SUMIFS(MATERIAL_TARIFF_RULES!$E:$E,MATERIAL_TARIFF_RULES!$A:$A,$D58,MATERIAL_TARIFF_RULES!$C:$C,$B58)&lt;&gt;"",SUMIFS(MATERIAL_TARIFF_RULES!$E:$E,MATERIAL_TARIFF_RULES!$A:$A,$D58,MATERIAL_TARIFF_RULES!$C:$C,$B58),SUMIFS(TARIFF_PROFILES!$E:$E,TARIFF_PROFILES!$A:$A,$B58)),1),SUMIFS(TARIFF_PROFILES!$F:$F,TARIFF_PROFILES!$A:$A,$B58))))</f>
        <v/>
      </c>
      <c r="N58" s="33">
        <f>IF($C58="Material",IFERROR(SUMIFS(MATERIAL_MASTER!$P:$P,MATERIAL_MASTER!$A:$A,$D58)*IF(SUMIFS(MATERIAL_TARIFF_RULES!$F:$F,MATERIAL_TARIFF_RULES!$A:$A,$D58,MATERIAL_TARIFF_RULES!$C:$C,$B58)="",SUMIFS(TARIFF_PROFILES!$H:$H,TARIFF_PROFILES!$A:$A,$B58),SUMIFS(MATERIAL_TARIFF_RULES!$F:$F,MATERIAL_TARIFF_RULES!$A:$A,$D58,MATERIAL_TARIFF_RULES!$C:$C,$B58)),1),1)</f>
        <v>1</v>
      </c>
      <c r="O58" s="4" t="str">
        <f t="shared" si="1"/>
        <v/>
      </c>
      <c r="P58" s="4">
        <f t="array" ref="P58">IF(ROW()=2,MAX(0,INDEX(COMMERCIAL_POLICY!$B:$B,MATCH($B58,COMMERCIAL_POLICY!$A:$A,0))-SUM($Q$2:$Q$60)),0)</f>
        <v>0</v>
      </c>
      <c r="Q58" s="28" t="str">
        <f t="array" ref="Q58">IF($C58="","",IF($C58="Material",N($I58)*N($K58)*N($M58)*N($O58),IF($C58="Logistics",INDEX(COMMERCIAL_POLICY!$D:$D,MATCH($B58,COMMERCIAL_POLICY!$A:$A,0))*N($L58),N($I58)*N($J58)*N($K58)*N($L58)*N($M58)*N($G58))))</f>
        <v/>
      </c>
      <c r="R58" s="4" t="str">
        <f t="array" ref="R58">IF($A58="","",INDEX(OBJECT_CONDITIONS!$AM:$AM,MATCH($A58,OBJECT_CONDITIONS!$A:$A,0)))</f>
        <v/>
      </c>
      <c r="S58" s="33" t="str">
        <f t="array" ref="S58">IF($R58="","",INDEX(TAX_MODES!$B:$B,MATCH($R58,TAX_MODES!$A:$A,0)))</f>
        <v/>
      </c>
      <c r="T58" s="28" t="str">
        <f t="shared" si="2"/>
        <v/>
      </c>
      <c r="U58" s="4" t="str">
        <f t="shared" si="3"/>
        <v/>
      </c>
    </row>
    <row r="59" ht="14.25" customHeight="1">
      <c r="A59" s="4"/>
      <c r="B59" s="4"/>
      <c r="C59" s="4"/>
      <c r="D59" s="4"/>
      <c r="E59" s="4"/>
      <c r="F59" s="4" t="str">
        <f>IF($C59="","",IF($C59="Work",IFERROR(IF(SUMIFS(WORK_TARIFF_RULES!$G:$G,WORK_TARIFF_RULES!$A:$A,$D59,WORK_TARIFF_RULES!$C:$C,$B59)&lt;&gt;"",SUMIFS(WORK_TARIFF_RULES!$G:$G,WORK_TARIFF_RULES!$A:$A,$D59,WORK_TARIFF_RULES!$C:$C,$B59),SUMIFS(WORK_MASTER!$C:$C,WORK_MASTER!$A:$A,$D59)),""),IF($C59="Material",IFERROR(IF(SUMIFS(MATERIAL_TARIFF_RULES!$G:$G,MATERIAL_TARIFF_RULES!$A:$A,$D59,MATERIAL_TARIFF_RULES!$C:$C,$B59)&lt;&gt;"",SUMIFS(MATERIAL_TARIFF_RULES!$G:$G,MATERIAL_TARIFF_RULES!$A:$A,$D59,MATERIAL_TARIFF_RULES!$C:$C,$B59),SUMIFS(MATERIAL_VARIANTS!$J:$J,MATERIAL_VARIANTS!$A:$A,$E59)),""),IF($C59="Logistics","Мобилизация и логистика объекта",""))))</f>
        <v/>
      </c>
      <c r="G59" s="4"/>
      <c r="H59" s="4"/>
      <c r="I59" s="33" t="str">
        <f>IF($C59="","",IF($C59="Work",IFERROR(SUMIFS(WORK_MASTER!$I:$I,WORK_MASTER!$A:$A,$D59),0),IF($C59="Material",IFERROR(SUMIFS(MATERIAL_VARIANTS!$I:$I,MATERIAL_VARIANTS!$A:$A,$E59),0),0)))</f>
        <v/>
      </c>
      <c r="J59" s="33" t="str">
        <f>IF($C59="","",IF($C59="Work",IF($E59&lt;&gt;"",IFERROR(SUMIFS(WORK_VARIANTS!$H:$H,WORK_VARIANTS!$A:$A,$E59),1),1),1))</f>
        <v/>
      </c>
      <c r="K59" s="33" t="str">
        <f t="array" ref="K59">IF($C59="","",IF($C59="Work",IFERROR(SUMIFS(WORK_FACTOR_APPLICABILITY!$O:$O,WORK_FACTOR_APPLICABILITY!$A:$A,$D59,WORK_FACTOR_APPLICABILITY!$N:$N,$A59),1),IF($C59="Material",IFERROR(INDEX(MATERIAL_QUANTITY_EXAMPLE!$N:$N,MATCH(1,(MATERIAL_QUANTITY_EXAMPLE!$A:$A=MATERIAL_QUANTITY_EXAMPLE!$A:$A)*(MATERIAL_QUANTITY_EXAMPLE!$B:$B=$A59)*(MATERIAL_QUANTITY_EXAMPLE!$C:$C=$D59),0)),1),1)))</f>
        <v/>
      </c>
      <c r="L59" s="33" t="str">
        <f t="array" ref="L59">IF($A59="","",IF($C59="Material",1,IFERROR(INDEX(OBJECT_CONDITIONS!$AH:$AH,MATCH($A59,OBJECT_CONDITIONS!$A:$A,0))*INDEX(OBJECT_CONDITIONS!$AJ:$AJ,MATCH($A59,OBJECT_CONDITIONS!$A:$A,0))*INDEX(OBJECT_CONDITIONS!$AL:$AL,MATCH($A59,OBJECT_CONDITIONS!$A:$A,0)),1)))</f>
        <v/>
      </c>
      <c r="M59" s="33" t="str">
        <f>IF($B59="","",IF($C59="Work",IFERROR(IF(SUMIFS(WORK_TARIFF_RULES!$F:$F,WORK_TARIFF_RULES!$A:$A,$D59,WORK_TARIFF_RULES!$C:$C,$B59)&lt;&gt;"",SUMIFS(WORK_TARIFF_RULES!$F:$F,WORK_TARIFF_RULES!$A:$A,$D59,WORK_TARIFF_RULES!$C:$C,$B59),SUMIFS(TARIFF_PROFILES!$D:$D,TARIFF_PROFILES!$A:$A,$B59)),1),IF($C59="Material",IFERROR(IF(SUMIFS(MATERIAL_TARIFF_RULES!$E:$E,MATERIAL_TARIFF_RULES!$A:$A,$D59,MATERIAL_TARIFF_RULES!$C:$C,$B59)&lt;&gt;"",SUMIFS(MATERIAL_TARIFF_RULES!$E:$E,MATERIAL_TARIFF_RULES!$A:$A,$D59,MATERIAL_TARIFF_RULES!$C:$C,$B59),SUMIFS(TARIFF_PROFILES!$E:$E,TARIFF_PROFILES!$A:$A,$B59)),1),SUMIFS(TARIFF_PROFILES!$F:$F,TARIFF_PROFILES!$A:$A,$B59))))</f>
        <v/>
      </c>
      <c r="N59" s="33">
        <f>IF($C59="Material",IFERROR(SUMIFS(MATERIAL_MASTER!$P:$P,MATERIAL_MASTER!$A:$A,$D59)*IF(SUMIFS(MATERIAL_TARIFF_RULES!$F:$F,MATERIAL_TARIFF_RULES!$A:$A,$D59,MATERIAL_TARIFF_RULES!$C:$C,$B59)="",SUMIFS(TARIFF_PROFILES!$H:$H,TARIFF_PROFILES!$A:$A,$B59),SUMIFS(MATERIAL_TARIFF_RULES!$F:$F,MATERIAL_TARIFF_RULES!$A:$A,$D59,MATERIAL_TARIFF_RULES!$C:$C,$B59)),1),1)</f>
        <v>1</v>
      </c>
      <c r="O59" s="4" t="str">
        <f t="shared" si="1"/>
        <v/>
      </c>
      <c r="P59" s="4">
        <f t="array" ref="P59">IF(ROW()=2,MAX(0,INDEX(COMMERCIAL_POLICY!$B:$B,MATCH($B59,COMMERCIAL_POLICY!$A:$A,0))-SUM($Q$2:$Q$60)),0)</f>
        <v>0</v>
      </c>
      <c r="Q59" s="28" t="str">
        <f t="array" ref="Q59">IF($C59="","",IF($C59="Material",N($I59)*N($K59)*N($M59)*N($O59),IF($C59="Logistics",INDEX(COMMERCIAL_POLICY!$D:$D,MATCH($B59,COMMERCIAL_POLICY!$A:$A,0))*N($L59),N($I59)*N($J59)*N($K59)*N($L59)*N($M59)*N($G59))))</f>
        <v/>
      </c>
      <c r="R59" s="4" t="str">
        <f t="array" ref="R59">IF($A59="","",INDEX(OBJECT_CONDITIONS!$AM:$AM,MATCH($A59,OBJECT_CONDITIONS!$A:$A,0)))</f>
        <v/>
      </c>
      <c r="S59" s="33" t="str">
        <f t="array" ref="S59">IF($R59="","",INDEX(TAX_MODES!$B:$B,MATCH($R59,TAX_MODES!$A:$A,0)))</f>
        <v/>
      </c>
      <c r="T59" s="28" t="str">
        <f t="shared" si="2"/>
        <v/>
      </c>
      <c r="U59" s="4" t="str">
        <f t="shared" si="3"/>
        <v/>
      </c>
    </row>
    <row r="60" ht="14.25" customHeight="1">
      <c r="A60" s="4"/>
      <c r="B60" s="4"/>
      <c r="C60" s="4"/>
      <c r="D60" s="4"/>
      <c r="E60" s="4"/>
      <c r="F60" s="4" t="str">
        <f>IF($C60="","",IF($C60="Work",IFERROR(IF(SUMIFS(WORK_TARIFF_RULES!$G:$G,WORK_TARIFF_RULES!$A:$A,$D60,WORK_TARIFF_RULES!$C:$C,$B60)&lt;&gt;"",SUMIFS(WORK_TARIFF_RULES!$G:$G,WORK_TARIFF_RULES!$A:$A,$D60,WORK_TARIFF_RULES!$C:$C,$B60),SUMIFS(WORK_MASTER!$C:$C,WORK_MASTER!$A:$A,$D60)),""),IF($C60="Material",IFERROR(IF(SUMIFS(MATERIAL_TARIFF_RULES!$G:$G,MATERIAL_TARIFF_RULES!$A:$A,$D60,MATERIAL_TARIFF_RULES!$C:$C,$B60)&lt;&gt;"",SUMIFS(MATERIAL_TARIFF_RULES!$G:$G,MATERIAL_TARIFF_RULES!$A:$A,$D60,MATERIAL_TARIFF_RULES!$C:$C,$B60),SUMIFS(MATERIAL_VARIANTS!$J:$J,MATERIAL_VARIANTS!$A:$A,$E60)),""),IF($C60="Logistics","Мобилизация и логистика объекта",""))))</f>
        <v/>
      </c>
      <c r="G60" s="4"/>
      <c r="H60" s="4"/>
      <c r="I60" s="33" t="str">
        <f>IF($C60="","",IF($C60="Work",IFERROR(SUMIFS(WORK_MASTER!$I:$I,WORK_MASTER!$A:$A,$D60),0),IF($C60="Material",IFERROR(SUMIFS(MATERIAL_VARIANTS!$I:$I,MATERIAL_VARIANTS!$A:$A,$E60),0),0)))</f>
        <v/>
      </c>
      <c r="J60" s="33" t="str">
        <f>IF($C60="","",IF($C60="Work",IF($E60&lt;&gt;"",IFERROR(SUMIFS(WORK_VARIANTS!$H:$H,WORK_VARIANTS!$A:$A,$E60),1),1),1))</f>
        <v/>
      </c>
      <c r="K60" s="33" t="str">
        <f t="array" ref="K60">IF($C60="","",IF($C60="Work",IFERROR(SUMIFS(WORK_FACTOR_APPLICABILITY!$O:$O,WORK_FACTOR_APPLICABILITY!$A:$A,$D60,WORK_FACTOR_APPLICABILITY!$N:$N,$A60),1),IF($C60="Material",IFERROR(INDEX(MATERIAL_QUANTITY_EXAMPLE!$N:$N,MATCH(1,(MATERIAL_QUANTITY_EXAMPLE!$A:$A=MATERIAL_QUANTITY_EXAMPLE!$A:$A)*(MATERIAL_QUANTITY_EXAMPLE!$B:$B=$A60)*(MATERIAL_QUANTITY_EXAMPLE!$C:$C=$D60),0)),1),1)))</f>
        <v/>
      </c>
      <c r="L60" s="33" t="str">
        <f t="array" ref="L60">IF($A60="","",IF($C60="Material",1,IFERROR(INDEX(OBJECT_CONDITIONS!$AH:$AH,MATCH($A60,OBJECT_CONDITIONS!$A:$A,0))*INDEX(OBJECT_CONDITIONS!$AJ:$AJ,MATCH($A60,OBJECT_CONDITIONS!$A:$A,0))*INDEX(OBJECT_CONDITIONS!$AL:$AL,MATCH($A60,OBJECT_CONDITIONS!$A:$A,0)),1)))</f>
        <v/>
      </c>
      <c r="M60" s="33" t="str">
        <f>IF($B60="","",IF($C60="Work",IFERROR(IF(SUMIFS(WORK_TARIFF_RULES!$F:$F,WORK_TARIFF_RULES!$A:$A,$D60,WORK_TARIFF_RULES!$C:$C,$B60)&lt;&gt;"",SUMIFS(WORK_TARIFF_RULES!$F:$F,WORK_TARIFF_RULES!$A:$A,$D60,WORK_TARIFF_RULES!$C:$C,$B60),SUMIFS(TARIFF_PROFILES!$D:$D,TARIFF_PROFILES!$A:$A,$B60)),1),IF($C60="Material",IFERROR(IF(SUMIFS(MATERIAL_TARIFF_RULES!$E:$E,MATERIAL_TARIFF_RULES!$A:$A,$D60,MATERIAL_TARIFF_RULES!$C:$C,$B60)&lt;&gt;"",SUMIFS(MATERIAL_TARIFF_RULES!$E:$E,MATERIAL_TARIFF_RULES!$A:$A,$D60,MATERIAL_TARIFF_RULES!$C:$C,$B60),SUMIFS(TARIFF_PROFILES!$E:$E,TARIFF_PROFILES!$A:$A,$B60)),1),SUMIFS(TARIFF_PROFILES!$F:$F,TARIFF_PROFILES!$A:$A,$B60))))</f>
        <v/>
      </c>
      <c r="N60" s="33">
        <f>IF($C60="Material",IFERROR(SUMIFS(MATERIAL_MASTER!$P:$P,MATERIAL_MASTER!$A:$A,$D60)*IF(SUMIFS(MATERIAL_TARIFF_RULES!$F:$F,MATERIAL_TARIFF_RULES!$A:$A,$D60,MATERIAL_TARIFF_RULES!$C:$C,$B60)="",SUMIFS(TARIFF_PROFILES!$H:$H,TARIFF_PROFILES!$A:$A,$B60),SUMIFS(MATERIAL_TARIFF_RULES!$F:$F,MATERIAL_TARIFF_RULES!$A:$A,$D60,MATERIAL_TARIFF_RULES!$C:$C,$B60)),1),1)</f>
        <v>1</v>
      </c>
      <c r="O60" s="4" t="str">
        <f t="shared" si="1"/>
        <v/>
      </c>
      <c r="P60" s="4">
        <f t="array" ref="P60">IF(ROW()=2,MAX(0,INDEX(COMMERCIAL_POLICY!$B:$B,MATCH($B60,COMMERCIAL_POLICY!$A:$A,0))-SUM($Q$2:$Q$60)),0)</f>
        <v>0</v>
      </c>
      <c r="Q60" s="28" t="str">
        <f t="array" ref="Q60">IF($C60="","",IF($C60="Material",N($I60)*N($K60)*N($M60)*N($O60),IF($C60="Logistics",INDEX(COMMERCIAL_POLICY!$D:$D,MATCH($B60,COMMERCIAL_POLICY!$A:$A,0))*N($L60),N($I60)*N($J60)*N($K60)*N($L60)*N($M60)*N($G60))))</f>
        <v/>
      </c>
      <c r="R60" s="4" t="str">
        <f t="array" ref="R60">IF($A60="","",INDEX(OBJECT_CONDITIONS!$AM:$AM,MATCH($A60,OBJECT_CONDITIONS!$A:$A,0)))</f>
        <v/>
      </c>
      <c r="S60" s="33" t="str">
        <f t="array" ref="S60">IF($R60="","",INDEX(TAX_MODES!$B:$B,MATCH($R60,TAX_MODES!$A:$A,0)))</f>
        <v/>
      </c>
      <c r="T60" s="28" t="str">
        <f t="shared" si="2"/>
        <v/>
      </c>
      <c r="U60" s="4" t="str">
        <f t="shared" si="3"/>
        <v/>
      </c>
    </row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U$60"/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2.0"/>
    <col customWidth="1" min="2" max="2" width="18.0"/>
    <col customWidth="1" min="3" max="3" width="52.0"/>
    <col customWidth="1" min="4" max="26" width="8.71"/>
  </cols>
  <sheetData>
    <row r="1" ht="14.25" customHeight="1">
      <c r="A1" s="37" t="s">
        <v>1005</v>
      </c>
      <c r="B1" s="37" t="s">
        <v>1006</v>
      </c>
      <c r="C1" s="37" t="s">
        <v>616</v>
      </c>
    </row>
    <row r="2" ht="14.25" customHeight="1">
      <c r="A2" s="38" t="s">
        <v>1007</v>
      </c>
      <c r="B2" s="38">
        <v>279.0</v>
      </c>
      <c r="C2" s="38" t="s">
        <v>1008</v>
      </c>
    </row>
    <row r="3" ht="14.25" customHeight="1">
      <c r="A3" s="39" t="s">
        <v>1009</v>
      </c>
      <c r="B3" s="39">
        <v>157.0</v>
      </c>
      <c r="C3" s="39" t="s">
        <v>1010</v>
      </c>
    </row>
    <row r="4" ht="14.25" customHeight="1">
      <c r="A4" s="38" t="s">
        <v>1011</v>
      </c>
      <c r="B4" s="38">
        <v>121.0</v>
      </c>
      <c r="C4" s="38" t="s">
        <v>1012</v>
      </c>
    </row>
    <row r="5" ht="14.25" customHeight="1">
      <c r="A5" s="39" t="s">
        <v>1013</v>
      </c>
      <c r="B5" s="39">
        <v>121.0</v>
      </c>
      <c r="C5" s="39" t="s">
        <v>1014</v>
      </c>
    </row>
    <row r="6" ht="14.25" customHeight="1">
      <c r="A6" s="38" t="s">
        <v>1015</v>
      </c>
      <c r="B6" s="38">
        <v>10.0</v>
      </c>
      <c r="C6" s="38" t="s">
        <v>1016</v>
      </c>
    </row>
    <row r="7" ht="14.25" customHeight="1">
      <c r="A7" s="39" t="s">
        <v>1017</v>
      </c>
      <c r="B7" s="39">
        <v>16.0</v>
      </c>
      <c r="C7" s="39" t="s">
        <v>1018</v>
      </c>
    </row>
    <row r="8" ht="14.25" customHeight="1">
      <c r="A8" s="38" t="s">
        <v>1019</v>
      </c>
      <c r="B8" s="38">
        <v>6.0</v>
      </c>
      <c r="C8" s="38" t="s">
        <v>1020</v>
      </c>
    </row>
    <row r="9" ht="14.25" customHeight="1">
      <c r="A9" s="39" t="s">
        <v>1021</v>
      </c>
      <c r="B9" s="39"/>
      <c r="C9" s="39" t="s">
        <v>1022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9"/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40.0"/>
    <col customWidth="1" min="3" max="3" width="12.0"/>
    <col customWidth="1" min="4" max="5" width="13.0"/>
    <col customWidth="1" min="6" max="6" width="14.0"/>
    <col customWidth="1" min="7" max="7" width="40.0"/>
    <col customWidth="1" min="8" max="9" width="24.0"/>
    <col customWidth="1" min="10" max="10" width="39.0"/>
    <col customWidth="1" min="11" max="11" width="14.0"/>
    <col customWidth="1" min="12" max="12" width="37.0"/>
    <col customWidth="1" min="13" max="14" width="29.0"/>
    <col customWidth="1" min="15" max="15" width="19.0"/>
    <col customWidth="1" min="16" max="16" width="18.0"/>
    <col customWidth="1" min="17" max="17" width="19.0"/>
    <col customWidth="1" min="18" max="18" width="13.0"/>
    <col customWidth="1" min="19" max="19" width="40.0"/>
    <col customWidth="1" min="20" max="26" width="8.71"/>
  </cols>
  <sheetData>
    <row r="1" ht="14.25" customHeight="1">
      <c r="A1" s="37" t="s">
        <v>555</v>
      </c>
      <c r="B1" s="37" t="s">
        <v>556</v>
      </c>
      <c r="C1" s="37" t="s">
        <v>1023</v>
      </c>
      <c r="D1" s="37" t="s">
        <v>1024</v>
      </c>
      <c r="E1" s="37" t="s">
        <v>1025</v>
      </c>
      <c r="F1" s="37" t="s">
        <v>1026</v>
      </c>
      <c r="G1" s="37" t="s">
        <v>1027</v>
      </c>
      <c r="H1" s="37" t="s">
        <v>1028</v>
      </c>
      <c r="I1" s="37" t="s">
        <v>1029</v>
      </c>
      <c r="J1" s="37" t="s">
        <v>1030</v>
      </c>
      <c r="K1" s="37" t="s">
        <v>428</v>
      </c>
      <c r="L1" s="37" t="s">
        <v>427</v>
      </c>
      <c r="M1" s="37" t="s">
        <v>1031</v>
      </c>
      <c r="N1" s="37" t="s">
        <v>433</v>
      </c>
      <c r="O1" s="37" t="s">
        <v>196</v>
      </c>
      <c r="P1" s="37" t="s">
        <v>1032</v>
      </c>
      <c r="Q1" s="37" t="s">
        <v>1033</v>
      </c>
      <c r="R1" s="37" t="s">
        <v>562</v>
      </c>
      <c r="S1" s="37" t="s">
        <v>1034</v>
      </c>
    </row>
    <row r="2" ht="14.25" customHeight="1">
      <c r="A2" s="38" t="s">
        <v>563</v>
      </c>
      <c r="B2" s="38" t="s">
        <v>1035</v>
      </c>
      <c r="C2" s="38" t="s">
        <v>402</v>
      </c>
      <c r="D2" s="38" t="s">
        <v>1036</v>
      </c>
      <c r="E2" s="40">
        <v>0.03</v>
      </c>
      <c r="F2" s="38" t="s">
        <v>402</v>
      </c>
      <c r="G2" s="38" t="s">
        <v>402</v>
      </c>
      <c r="H2" s="38" t="s">
        <v>402</v>
      </c>
      <c r="I2" s="38" t="s">
        <v>402</v>
      </c>
      <c r="J2" s="38" t="s">
        <v>423</v>
      </c>
      <c r="K2" s="38" t="s">
        <v>400</v>
      </c>
      <c r="L2" s="38" t="s">
        <v>1035</v>
      </c>
      <c r="M2" s="38" t="s">
        <v>1037</v>
      </c>
      <c r="N2" s="38" t="s">
        <v>242</v>
      </c>
      <c r="O2" s="38" t="s">
        <v>335</v>
      </c>
      <c r="P2" s="41" t="s">
        <v>1038</v>
      </c>
      <c r="Q2" s="41"/>
      <c r="R2" s="38" t="s">
        <v>255</v>
      </c>
      <c r="S2" s="42" t="s">
        <v>1039</v>
      </c>
    </row>
    <row r="3" ht="14.25" customHeight="1">
      <c r="A3" s="39" t="s">
        <v>566</v>
      </c>
      <c r="B3" s="39" t="s">
        <v>1040</v>
      </c>
      <c r="C3" s="39" t="s">
        <v>241</v>
      </c>
      <c r="D3" s="39" t="s">
        <v>1041</v>
      </c>
      <c r="E3" s="43">
        <v>3480.0</v>
      </c>
      <c r="F3" s="39" t="s">
        <v>1042</v>
      </c>
      <c r="G3" s="39"/>
      <c r="H3" s="39" t="s">
        <v>239</v>
      </c>
      <c r="I3" s="39" t="s">
        <v>239</v>
      </c>
      <c r="J3" s="39" t="s">
        <v>239</v>
      </c>
      <c r="K3" s="39" t="s">
        <v>282</v>
      </c>
      <c r="L3" s="39" t="s">
        <v>252</v>
      </c>
      <c r="M3" s="39" t="s">
        <v>1012</v>
      </c>
      <c r="N3" s="39" t="s">
        <v>242</v>
      </c>
      <c r="O3" s="39" t="s">
        <v>335</v>
      </c>
      <c r="P3" s="44" t="s">
        <v>1043</v>
      </c>
      <c r="Q3" s="44" t="s">
        <v>536</v>
      </c>
      <c r="R3" s="39" t="s">
        <v>255</v>
      </c>
      <c r="S3" s="45" t="s">
        <v>1044</v>
      </c>
    </row>
    <row r="4" ht="14.25" customHeight="1">
      <c r="A4" s="38" t="s">
        <v>567</v>
      </c>
      <c r="B4" s="38" t="s">
        <v>1045</v>
      </c>
      <c r="C4" s="38" t="s">
        <v>306</v>
      </c>
      <c r="D4" s="38" t="s">
        <v>1046</v>
      </c>
      <c r="E4" s="40">
        <v>48.0</v>
      </c>
      <c r="F4" s="38" t="s">
        <v>1042</v>
      </c>
      <c r="G4" s="38" t="s">
        <v>1047</v>
      </c>
      <c r="H4" s="38" t="s">
        <v>1048</v>
      </c>
      <c r="I4" s="38" t="s">
        <v>1048</v>
      </c>
      <c r="J4" s="38" t="s">
        <v>281</v>
      </c>
      <c r="K4" s="38" t="s">
        <v>282</v>
      </c>
      <c r="L4" s="38" t="s">
        <v>1049</v>
      </c>
      <c r="M4" s="38" t="s">
        <v>1012</v>
      </c>
      <c r="N4" s="38" t="s">
        <v>242</v>
      </c>
      <c r="O4" s="38" t="s">
        <v>335</v>
      </c>
      <c r="P4" s="41" t="s">
        <v>1050</v>
      </c>
      <c r="Q4" s="41" t="s">
        <v>540</v>
      </c>
      <c r="R4" s="38" t="s">
        <v>255</v>
      </c>
      <c r="S4" s="42" t="s">
        <v>1044</v>
      </c>
    </row>
    <row r="5" ht="14.25" customHeight="1">
      <c r="A5" s="39" t="s">
        <v>1051</v>
      </c>
      <c r="B5" s="39" t="s">
        <v>1052</v>
      </c>
      <c r="C5" s="39" t="s">
        <v>1053</v>
      </c>
      <c r="D5" s="39" t="s">
        <v>1054</v>
      </c>
      <c r="E5" s="43">
        <v>580.0</v>
      </c>
      <c r="F5" s="39" t="s">
        <v>1042</v>
      </c>
      <c r="G5" s="39" t="s">
        <v>1055</v>
      </c>
      <c r="H5" s="39" t="s">
        <v>239</v>
      </c>
      <c r="I5" s="39" t="s">
        <v>239</v>
      </c>
      <c r="J5" s="39" t="s">
        <v>239</v>
      </c>
      <c r="K5" s="39" t="s">
        <v>282</v>
      </c>
      <c r="L5" s="39" t="s">
        <v>1056</v>
      </c>
      <c r="M5" s="39" t="s">
        <v>1012</v>
      </c>
      <c r="N5" s="39" t="s">
        <v>242</v>
      </c>
      <c r="O5" s="39" t="s">
        <v>335</v>
      </c>
      <c r="P5" s="44" t="s">
        <v>1057</v>
      </c>
      <c r="Q5" s="44" t="s">
        <v>543</v>
      </c>
      <c r="R5" s="39" t="s">
        <v>255</v>
      </c>
      <c r="S5" s="45" t="s">
        <v>1044</v>
      </c>
    </row>
    <row r="6" ht="14.25" customHeight="1">
      <c r="A6" s="38" t="s">
        <v>1058</v>
      </c>
      <c r="B6" s="38" t="s">
        <v>1059</v>
      </c>
      <c r="C6" s="38" t="s">
        <v>241</v>
      </c>
      <c r="D6" s="38" t="s">
        <v>1060</v>
      </c>
      <c r="E6" s="40">
        <v>250.0</v>
      </c>
      <c r="F6" s="38" t="s">
        <v>1061</v>
      </c>
      <c r="G6" s="38" t="s">
        <v>1055</v>
      </c>
      <c r="H6" s="38" t="s">
        <v>239</v>
      </c>
      <c r="I6" s="38" t="s">
        <v>239</v>
      </c>
      <c r="J6" s="38" t="s">
        <v>239</v>
      </c>
      <c r="K6" s="38" t="s">
        <v>240</v>
      </c>
      <c r="L6" s="38" t="s">
        <v>1062</v>
      </c>
      <c r="M6" s="38" t="s">
        <v>1063</v>
      </c>
      <c r="N6" s="38" t="s">
        <v>242</v>
      </c>
      <c r="O6" s="38" t="s">
        <v>335</v>
      </c>
      <c r="P6" s="41" t="s">
        <v>1064</v>
      </c>
      <c r="Q6" s="41"/>
      <c r="R6" s="38" t="s">
        <v>255</v>
      </c>
      <c r="S6" s="42" t="s">
        <v>1044</v>
      </c>
    </row>
    <row r="7" ht="14.25" customHeight="1">
      <c r="A7" s="39" t="s">
        <v>1065</v>
      </c>
      <c r="B7" s="39" t="s">
        <v>1066</v>
      </c>
      <c r="C7" s="39" t="s">
        <v>1067</v>
      </c>
      <c r="D7" s="39" t="s">
        <v>1068</v>
      </c>
      <c r="E7" s="43">
        <v>8000.0</v>
      </c>
      <c r="F7" s="39" t="s">
        <v>402</v>
      </c>
      <c r="G7" s="39" t="s">
        <v>402</v>
      </c>
      <c r="H7" s="39" t="s">
        <v>402</v>
      </c>
      <c r="I7" s="39" t="s">
        <v>1069</v>
      </c>
      <c r="J7" s="39" t="s">
        <v>420</v>
      </c>
      <c r="K7" s="39" t="s">
        <v>361</v>
      </c>
      <c r="L7" s="39" t="s">
        <v>1070</v>
      </c>
      <c r="M7" s="39" t="s">
        <v>1071</v>
      </c>
      <c r="N7" s="39" t="s">
        <v>268</v>
      </c>
      <c r="O7" s="39" t="s">
        <v>335</v>
      </c>
      <c r="P7" s="44" t="s">
        <v>1072</v>
      </c>
      <c r="Q7" s="44"/>
      <c r="R7" s="39" t="s">
        <v>255</v>
      </c>
      <c r="S7" s="45" t="s">
        <v>1073</v>
      </c>
    </row>
    <row r="8" ht="14.25" customHeight="1">
      <c r="A8" s="38" t="s">
        <v>1074</v>
      </c>
      <c r="B8" s="38" t="s">
        <v>1075</v>
      </c>
      <c r="C8" s="38" t="s">
        <v>1076</v>
      </c>
      <c r="D8" s="38" t="s">
        <v>1077</v>
      </c>
      <c r="E8" s="40">
        <v>2300.0</v>
      </c>
      <c r="F8" s="38" t="s">
        <v>1078</v>
      </c>
      <c r="G8" s="38" t="s">
        <v>1079</v>
      </c>
      <c r="H8" s="38" t="s">
        <v>1078</v>
      </c>
      <c r="I8" s="38" t="s">
        <v>1078</v>
      </c>
      <c r="J8" s="38" t="s">
        <v>239</v>
      </c>
      <c r="K8" s="38" t="s">
        <v>321</v>
      </c>
      <c r="L8" s="38" t="s">
        <v>1080</v>
      </c>
      <c r="M8" s="38" t="s">
        <v>1080</v>
      </c>
      <c r="N8" s="38" t="s">
        <v>268</v>
      </c>
      <c r="O8" s="38" t="s">
        <v>335</v>
      </c>
      <c r="P8" s="41" t="s">
        <v>1081</v>
      </c>
      <c r="Q8" s="41"/>
      <c r="R8" s="38" t="s">
        <v>255</v>
      </c>
      <c r="S8" s="42" t="s">
        <v>1082</v>
      </c>
    </row>
    <row r="9" ht="14.25" customHeight="1">
      <c r="A9" s="39" t="s">
        <v>1083</v>
      </c>
      <c r="B9" s="39" t="s">
        <v>1084</v>
      </c>
      <c r="C9" s="39" t="s">
        <v>1076</v>
      </c>
      <c r="D9" s="39" t="s">
        <v>1085</v>
      </c>
      <c r="E9" s="43">
        <v>800.0</v>
      </c>
      <c r="F9" s="39" t="s">
        <v>1078</v>
      </c>
      <c r="G9" s="39" t="s">
        <v>1086</v>
      </c>
      <c r="H9" s="39" t="s">
        <v>1086</v>
      </c>
      <c r="I9" s="39" t="s">
        <v>1078</v>
      </c>
      <c r="J9" s="39" t="s">
        <v>320</v>
      </c>
      <c r="K9" s="39" t="s">
        <v>321</v>
      </c>
      <c r="L9" s="39" t="s">
        <v>1080</v>
      </c>
      <c r="M9" s="39" t="s">
        <v>1080</v>
      </c>
      <c r="N9" s="39" t="s">
        <v>268</v>
      </c>
      <c r="O9" s="39" t="s">
        <v>335</v>
      </c>
      <c r="P9" s="44" t="s">
        <v>1087</v>
      </c>
      <c r="Q9" s="44"/>
      <c r="R9" s="39" t="s">
        <v>255</v>
      </c>
      <c r="S9" s="45" t="s">
        <v>1044</v>
      </c>
    </row>
    <row r="10" ht="14.25" customHeight="1">
      <c r="A10" s="38" t="s">
        <v>1088</v>
      </c>
      <c r="B10" s="38" t="s">
        <v>1089</v>
      </c>
      <c r="C10" s="38" t="s">
        <v>1076</v>
      </c>
      <c r="D10" s="38" t="s">
        <v>1090</v>
      </c>
      <c r="E10" s="40">
        <v>5500.0</v>
      </c>
      <c r="F10" s="38" t="s">
        <v>1078</v>
      </c>
      <c r="G10" s="38" t="s">
        <v>1055</v>
      </c>
      <c r="H10" s="38" t="s">
        <v>1078</v>
      </c>
      <c r="I10" s="38" t="s">
        <v>1078</v>
      </c>
      <c r="J10" s="38" t="s">
        <v>239</v>
      </c>
      <c r="K10" s="38" t="s">
        <v>321</v>
      </c>
      <c r="L10" s="38" t="s">
        <v>1080</v>
      </c>
      <c r="M10" s="38" t="s">
        <v>1080</v>
      </c>
      <c r="N10" s="38" t="s">
        <v>268</v>
      </c>
      <c r="O10" s="38" t="s">
        <v>335</v>
      </c>
      <c r="P10" s="41" t="s">
        <v>1091</v>
      </c>
      <c r="Q10" s="41"/>
      <c r="R10" s="38" t="s">
        <v>255</v>
      </c>
      <c r="S10" s="42" t="s">
        <v>1082</v>
      </c>
    </row>
    <row r="11" ht="14.25" customHeight="1">
      <c r="A11" s="39" t="s">
        <v>1092</v>
      </c>
      <c r="B11" s="39" t="s">
        <v>1093</v>
      </c>
      <c r="C11" s="39" t="s">
        <v>1067</v>
      </c>
      <c r="D11" s="39" t="s">
        <v>1094</v>
      </c>
      <c r="E11" s="43">
        <v>11700.0</v>
      </c>
      <c r="F11" s="39" t="s">
        <v>402</v>
      </c>
      <c r="G11" s="39" t="s">
        <v>402</v>
      </c>
      <c r="H11" s="39" t="s">
        <v>402</v>
      </c>
      <c r="I11" s="39" t="s">
        <v>1095</v>
      </c>
      <c r="J11" s="39" t="s">
        <v>420</v>
      </c>
      <c r="K11" s="39" t="s">
        <v>361</v>
      </c>
      <c r="L11" s="39" t="s">
        <v>1070</v>
      </c>
      <c r="M11" s="39" t="s">
        <v>1071</v>
      </c>
      <c r="N11" s="39" t="s">
        <v>268</v>
      </c>
      <c r="O11" s="39" t="s">
        <v>335</v>
      </c>
      <c r="P11" s="44" t="s">
        <v>1096</v>
      </c>
      <c r="Q11" s="44"/>
      <c r="R11" s="39" t="s">
        <v>255</v>
      </c>
      <c r="S11" s="45" t="s">
        <v>1073</v>
      </c>
    </row>
    <row r="12" ht="14.25" customHeight="1">
      <c r="A12" s="38" t="s">
        <v>1097</v>
      </c>
      <c r="B12" s="38" t="s">
        <v>1098</v>
      </c>
      <c r="C12" s="38" t="s">
        <v>1076</v>
      </c>
      <c r="D12" s="38" t="s">
        <v>1099</v>
      </c>
      <c r="E12" s="40">
        <v>770.0</v>
      </c>
      <c r="F12" s="38" t="s">
        <v>1078</v>
      </c>
      <c r="G12" s="38" t="s">
        <v>1055</v>
      </c>
      <c r="H12" s="38" t="s">
        <v>1078</v>
      </c>
      <c r="I12" s="38" t="s">
        <v>1078</v>
      </c>
      <c r="J12" s="38" t="s">
        <v>239</v>
      </c>
      <c r="K12" s="38" t="s">
        <v>321</v>
      </c>
      <c r="L12" s="38" t="s">
        <v>1080</v>
      </c>
      <c r="M12" s="38" t="s">
        <v>1080</v>
      </c>
      <c r="N12" s="38" t="s">
        <v>268</v>
      </c>
      <c r="O12" s="38" t="s">
        <v>335</v>
      </c>
      <c r="P12" s="41" t="s">
        <v>1100</v>
      </c>
      <c r="Q12" s="41"/>
      <c r="R12" s="38" t="s">
        <v>255</v>
      </c>
      <c r="S12" s="42" t="s">
        <v>1082</v>
      </c>
    </row>
    <row r="13" ht="14.25" customHeight="1">
      <c r="A13" s="39" t="s">
        <v>1101</v>
      </c>
      <c r="B13" s="39" t="s">
        <v>1102</v>
      </c>
      <c r="C13" s="39" t="s">
        <v>1103</v>
      </c>
      <c r="D13" s="39" t="s">
        <v>1104</v>
      </c>
      <c r="E13" s="43">
        <v>63.0</v>
      </c>
      <c r="F13" s="39" t="s">
        <v>1042</v>
      </c>
      <c r="G13" s="39" t="s">
        <v>1055</v>
      </c>
      <c r="H13" s="39" t="s">
        <v>239</v>
      </c>
      <c r="I13" s="39" t="s">
        <v>239</v>
      </c>
      <c r="J13" s="39" t="s">
        <v>239</v>
      </c>
      <c r="K13" s="39" t="s">
        <v>282</v>
      </c>
      <c r="L13" s="39" t="s">
        <v>1062</v>
      </c>
      <c r="M13" s="39" t="s">
        <v>1012</v>
      </c>
      <c r="N13" s="39" t="s">
        <v>242</v>
      </c>
      <c r="O13" s="39" t="s">
        <v>335</v>
      </c>
      <c r="P13" s="44" t="s">
        <v>1105</v>
      </c>
      <c r="Q13" s="44" t="s">
        <v>545</v>
      </c>
      <c r="R13" s="39" t="s">
        <v>255</v>
      </c>
      <c r="S13" s="45" t="s">
        <v>1044</v>
      </c>
    </row>
    <row r="14" ht="14.25" customHeight="1">
      <c r="A14" s="38" t="s">
        <v>1106</v>
      </c>
      <c r="B14" s="38" t="s">
        <v>1107</v>
      </c>
      <c r="C14" s="38" t="s">
        <v>1103</v>
      </c>
      <c r="D14" s="38" t="s">
        <v>1108</v>
      </c>
      <c r="E14" s="40">
        <v>85.0</v>
      </c>
      <c r="F14" s="38" t="s">
        <v>1042</v>
      </c>
      <c r="G14" s="38" t="s">
        <v>1055</v>
      </c>
      <c r="H14" s="38" t="s">
        <v>239</v>
      </c>
      <c r="I14" s="38" t="s">
        <v>239</v>
      </c>
      <c r="J14" s="38" t="s">
        <v>239</v>
      </c>
      <c r="K14" s="38" t="s">
        <v>282</v>
      </c>
      <c r="L14" s="38" t="s">
        <v>1062</v>
      </c>
      <c r="M14" s="38" t="s">
        <v>1012</v>
      </c>
      <c r="N14" s="38" t="s">
        <v>242</v>
      </c>
      <c r="O14" s="38" t="s">
        <v>335</v>
      </c>
      <c r="P14" s="41" t="s">
        <v>1109</v>
      </c>
      <c r="Q14" s="41" t="s">
        <v>547</v>
      </c>
      <c r="R14" s="38" t="s">
        <v>255</v>
      </c>
      <c r="S14" s="42" t="s">
        <v>1044</v>
      </c>
    </row>
    <row r="15" ht="14.25" customHeight="1">
      <c r="A15" s="39" t="s">
        <v>1110</v>
      </c>
      <c r="B15" s="39" t="s">
        <v>1111</v>
      </c>
      <c r="C15" s="39" t="s">
        <v>1103</v>
      </c>
      <c r="D15" s="39" t="s">
        <v>1112</v>
      </c>
      <c r="E15" s="43">
        <v>350.0</v>
      </c>
      <c r="F15" s="39" t="s">
        <v>1061</v>
      </c>
      <c r="G15" s="39" t="s">
        <v>1055</v>
      </c>
      <c r="H15" s="39" t="s">
        <v>239</v>
      </c>
      <c r="I15" s="39" t="s">
        <v>239</v>
      </c>
      <c r="J15" s="39" t="s">
        <v>239</v>
      </c>
      <c r="K15" s="39" t="s">
        <v>240</v>
      </c>
      <c r="L15" s="39" t="s">
        <v>1113</v>
      </c>
      <c r="M15" s="39" t="s">
        <v>1063</v>
      </c>
      <c r="N15" s="39" t="s">
        <v>242</v>
      </c>
      <c r="O15" s="39" t="s">
        <v>335</v>
      </c>
      <c r="P15" s="44" t="s">
        <v>1114</v>
      </c>
      <c r="Q15" s="44"/>
      <c r="R15" s="39" t="s">
        <v>255</v>
      </c>
      <c r="S15" s="45" t="s">
        <v>1044</v>
      </c>
    </row>
    <row r="16" ht="14.25" customHeight="1">
      <c r="A16" s="38" t="s">
        <v>1115</v>
      </c>
      <c r="B16" s="38" t="s">
        <v>1116</v>
      </c>
      <c r="C16" s="38" t="s">
        <v>362</v>
      </c>
      <c r="D16" s="38" t="s">
        <v>1117</v>
      </c>
      <c r="E16" s="40">
        <v>15000.0</v>
      </c>
      <c r="F16" s="38" t="s">
        <v>1042</v>
      </c>
      <c r="G16" s="38" t="s">
        <v>1118</v>
      </c>
      <c r="H16" s="38" t="s">
        <v>1119</v>
      </c>
      <c r="I16" s="38" t="s">
        <v>1119</v>
      </c>
      <c r="J16" s="38" t="s">
        <v>405</v>
      </c>
      <c r="K16" s="38" t="s">
        <v>282</v>
      </c>
      <c r="L16" s="38" t="s">
        <v>1120</v>
      </c>
      <c r="M16" s="38" t="s">
        <v>1012</v>
      </c>
      <c r="N16" s="38" t="s">
        <v>242</v>
      </c>
      <c r="O16" s="38" t="s">
        <v>335</v>
      </c>
      <c r="P16" s="41" t="s">
        <v>1121</v>
      </c>
      <c r="Q16" s="41" t="s">
        <v>549</v>
      </c>
      <c r="R16" s="38" t="s">
        <v>255</v>
      </c>
      <c r="S16" s="42" t="s">
        <v>1044</v>
      </c>
    </row>
    <row r="17" ht="14.25" customHeight="1">
      <c r="A17" s="39" t="s">
        <v>1122</v>
      </c>
      <c r="B17" s="39" t="s">
        <v>1123</v>
      </c>
      <c r="C17" s="39" t="s">
        <v>1124</v>
      </c>
      <c r="D17" s="39" t="s">
        <v>1125</v>
      </c>
      <c r="E17" s="43">
        <v>24000.0</v>
      </c>
      <c r="F17" s="39" t="s">
        <v>1078</v>
      </c>
      <c r="G17" s="39" t="s">
        <v>1118</v>
      </c>
      <c r="H17" s="39" t="s">
        <v>1119</v>
      </c>
      <c r="I17" s="39" t="s">
        <v>1078</v>
      </c>
      <c r="J17" s="39" t="s">
        <v>405</v>
      </c>
      <c r="K17" s="39" t="s">
        <v>321</v>
      </c>
      <c r="L17" s="39" t="s">
        <v>1120</v>
      </c>
      <c r="M17" s="39" t="s">
        <v>1080</v>
      </c>
      <c r="N17" s="39" t="s">
        <v>268</v>
      </c>
      <c r="O17" s="39" t="s">
        <v>335</v>
      </c>
      <c r="P17" s="44" t="s">
        <v>1126</v>
      </c>
      <c r="Q17" s="44"/>
      <c r="R17" s="39" t="s">
        <v>255</v>
      </c>
      <c r="S17" s="45" t="s">
        <v>1044</v>
      </c>
    </row>
    <row r="18" ht="14.25" customHeight="1">
      <c r="A18" s="38" t="s">
        <v>1127</v>
      </c>
      <c r="B18" s="38" t="s">
        <v>1128</v>
      </c>
      <c r="C18" s="38" t="s">
        <v>306</v>
      </c>
      <c r="D18" s="38" t="s">
        <v>1129</v>
      </c>
      <c r="E18" s="40">
        <v>6000.0</v>
      </c>
      <c r="F18" s="38" t="s">
        <v>1042</v>
      </c>
      <c r="G18" s="38" t="s">
        <v>386</v>
      </c>
      <c r="H18" s="38" t="s">
        <v>386</v>
      </c>
      <c r="I18" s="38" t="s">
        <v>386</v>
      </c>
      <c r="J18" s="38" t="s">
        <v>386</v>
      </c>
      <c r="K18" s="38" t="s">
        <v>282</v>
      </c>
      <c r="L18" s="38" t="s">
        <v>1130</v>
      </c>
      <c r="M18" s="38" t="s">
        <v>1012</v>
      </c>
      <c r="N18" s="38" t="s">
        <v>242</v>
      </c>
      <c r="O18" s="38" t="s">
        <v>335</v>
      </c>
      <c r="P18" s="41" t="s">
        <v>1131</v>
      </c>
      <c r="Q18" s="41" t="s">
        <v>551</v>
      </c>
      <c r="R18" s="38" t="s">
        <v>255</v>
      </c>
      <c r="S18" s="42" t="s">
        <v>1044</v>
      </c>
    </row>
    <row r="19" ht="14.25" customHeight="1">
      <c r="A19" s="39" t="s">
        <v>1132</v>
      </c>
      <c r="B19" s="39" t="s">
        <v>1133</v>
      </c>
      <c r="C19" s="39" t="s">
        <v>1103</v>
      </c>
      <c r="D19" s="39" t="s">
        <v>1134</v>
      </c>
      <c r="E19" s="43">
        <v>0.0</v>
      </c>
      <c r="F19" s="39" t="s">
        <v>1042</v>
      </c>
      <c r="G19" s="39" t="s">
        <v>1135</v>
      </c>
      <c r="H19" s="39" t="s">
        <v>239</v>
      </c>
      <c r="I19" s="39" t="s">
        <v>239</v>
      </c>
      <c r="J19" s="39" t="s">
        <v>239</v>
      </c>
      <c r="K19" s="39" t="s">
        <v>282</v>
      </c>
      <c r="L19" s="39" t="s">
        <v>1049</v>
      </c>
      <c r="M19" s="39" t="s">
        <v>1012</v>
      </c>
      <c r="N19" s="39" t="s">
        <v>242</v>
      </c>
      <c r="O19" s="39" t="s">
        <v>335</v>
      </c>
      <c r="P19" s="44" t="s">
        <v>1136</v>
      </c>
      <c r="Q19" s="44" t="s">
        <v>553</v>
      </c>
      <c r="R19" s="39" t="s">
        <v>255</v>
      </c>
      <c r="S19" s="45" t="s">
        <v>1044</v>
      </c>
    </row>
    <row r="20" ht="14.25" customHeight="1">
      <c r="A20" s="38" t="s">
        <v>1137</v>
      </c>
      <c r="B20" s="38" t="s">
        <v>1138</v>
      </c>
      <c r="C20" s="38" t="s">
        <v>1103</v>
      </c>
      <c r="D20" s="38" t="s">
        <v>1139</v>
      </c>
      <c r="E20" s="40">
        <v>320.0</v>
      </c>
      <c r="F20" s="38" t="s">
        <v>1042</v>
      </c>
      <c r="G20" s="38" t="s">
        <v>1055</v>
      </c>
      <c r="H20" s="38" t="s">
        <v>239</v>
      </c>
      <c r="I20" s="38" t="s">
        <v>239</v>
      </c>
      <c r="J20" s="38" t="s">
        <v>239</v>
      </c>
      <c r="K20" s="38" t="s">
        <v>282</v>
      </c>
      <c r="L20" s="38" t="s">
        <v>1049</v>
      </c>
      <c r="M20" s="38" t="s">
        <v>1012</v>
      </c>
      <c r="N20" s="38" t="s">
        <v>242</v>
      </c>
      <c r="O20" s="38" t="s">
        <v>335</v>
      </c>
      <c r="P20" s="41" t="s">
        <v>1140</v>
      </c>
      <c r="Q20" s="41" t="s">
        <v>1141</v>
      </c>
      <c r="R20" s="38" t="s">
        <v>255</v>
      </c>
      <c r="S20" s="42" t="s">
        <v>1044</v>
      </c>
    </row>
    <row r="21" ht="14.25" customHeight="1">
      <c r="A21" s="39" t="s">
        <v>1142</v>
      </c>
      <c r="B21" s="39" t="s">
        <v>1143</v>
      </c>
      <c r="C21" s="39" t="s">
        <v>1103</v>
      </c>
      <c r="D21" s="39" t="s">
        <v>1144</v>
      </c>
      <c r="E21" s="43">
        <v>430.0</v>
      </c>
      <c r="F21" s="39" t="s">
        <v>1042</v>
      </c>
      <c r="G21" s="39" t="s">
        <v>1047</v>
      </c>
      <c r="H21" s="39" t="s">
        <v>1048</v>
      </c>
      <c r="I21" s="39" t="s">
        <v>1048</v>
      </c>
      <c r="J21" s="39" t="s">
        <v>281</v>
      </c>
      <c r="K21" s="39" t="s">
        <v>282</v>
      </c>
      <c r="L21" s="39" t="s">
        <v>1049</v>
      </c>
      <c r="M21" s="39" t="s">
        <v>1012</v>
      </c>
      <c r="N21" s="39" t="s">
        <v>242</v>
      </c>
      <c r="O21" s="39" t="s">
        <v>335</v>
      </c>
      <c r="P21" s="44" t="s">
        <v>1145</v>
      </c>
      <c r="Q21" s="44" t="s">
        <v>1146</v>
      </c>
      <c r="R21" s="39" t="s">
        <v>255</v>
      </c>
      <c r="S21" s="45" t="s">
        <v>1044</v>
      </c>
    </row>
    <row r="22" ht="14.25" customHeight="1">
      <c r="A22" s="38" t="s">
        <v>1147</v>
      </c>
      <c r="B22" s="38" t="s">
        <v>1148</v>
      </c>
      <c r="C22" s="38" t="s">
        <v>306</v>
      </c>
      <c r="D22" s="38" t="s">
        <v>1149</v>
      </c>
      <c r="E22" s="40">
        <v>280.0</v>
      </c>
      <c r="F22" s="38" t="s">
        <v>1042</v>
      </c>
      <c r="G22" s="38" t="s">
        <v>1118</v>
      </c>
      <c r="H22" s="38" t="s">
        <v>1119</v>
      </c>
      <c r="I22" s="38" t="s">
        <v>1119</v>
      </c>
      <c r="J22" s="38" t="s">
        <v>405</v>
      </c>
      <c r="K22" s="38" t="s">
        <v>282</v>
      </c>
      <c r="L22" s="38" t="s">
        <v>1150</v>
      </c>
      <c r="M22" s="38" t="s">
        <v>1012</v>
      </c>
      <c r="N22" s="38" t="s">
        <v>242</v>
      </c>
      <c r="O22" s="38" t="s">
        <v>335</v>
      </c>
      <c r="P22" s="41" t="s">
        <v>1151</v>
      </c>
      <c r="Q22" s="41" t="s">
        <v>1152</v>
      </c>
      <c r="R22" s="38" t="s">
        <v>255</v>
      </c>
      <c r="S22" s="42" t="s">
        <v>1044</v>
      </c>
    </row>
    <row r="23" ht="14.25" customHeight="1">
      <c r="A23" s="39" t="s">
        <v>1153</v>
      </c>
      <c r="B23" s="39" t="s">
        <v>1154</v>
      </c>
      <c r="C23" s="39" t="s">
        <v>306</v>
      </c>
      <c r="D23" s="39" t="s">
        <v>1155</v>
      </c>
      <c r="E23" s="43">
        <v>245.0</v>
      </c>
      <c r="F23" s="39" t="s">
        <v>1042</v>
      </c>
      <c r="G23" s="39" t="s">
        <v>1055</v>
      </c>
      <c r="H23" s="39" t="s">
        <v>239</v>
      </c>
      <c r="I23" s="39" t="s">
        <v>239</v>
      </c>
      <c r="J23" s="39" t="s">
        <v>239</v>
      </c>
      <c r="K23" s="39" t="s">
        <v>282</v>
      </c>
      <c r="L23" s="39" t="s">
        <v>1056</v>
      </c>
      <c r="M23" s="39" t="s">
        <v>1012</v>
      </c>
      <c r="N23" s="39" t="s">
        <v>242</v>
      </c>
      <c r="O23" s="39" t="s">
        <v>335</v>
      </c>
      <c r="P23" s="44" t="s">
        <v>1156</v>
      </c>
      <c r="Q23" s="44" t="s">
        <v>1157</v>
      </c>
      <c r="R23" s="39" t="s">
        <v>255</v>
      </c>
      <c r="S23" s="45" t="s">
        <v>1044</v>
      </c>
    </row>
    <row r="24" ht="14.25" customHeight="1">
      <c r="A24" s="38" t="s">
        <v>1158</v>
      </c>
      <c r="B24" s="38" t="s">
        <v>1159</v>
      </c>
      <c r="C24" s="38" t="s">
        <v>241</v>
      </c>
      <c r="D24" s="38" t="s">
        <v>1160</v>
      </c>
      <c r="E24" s="40">
        <v>2500.0</v>
      </c>
      <c r="F24" s="38" t="s">
        <v>1042</v>
      </c>
      <c r="G24" s="38" t="s">
        <v>1055</v>
      </c>
      <c r="H24" s="38" t="s">
        <v>239</v>
      </c>
      <c r="I24" s="38" t="s">
        <v>239</v>
      </c>
      <c r="J24" s="38" t="s">
        <v>239</v>
      </c>
      <c r="K24" s="38" t="s">
        <v>282</v>
      </c>
      <c r="L24" s="38" t="s">
        <v>252</v>
      </c>
      <c r="M24" s="38" t="s">
        <v>1012</v>
      </c>
      <c r="N24" s="38" t="s">
        <v>242</v>
      </c>
      <c r="O24" s="38" t="s">
        <v>335</v>
      </c>
      <c r="P24" s="41" t="s">
        <v>1161</v>
      </c>
      <c r="Q24" s="41" t="s">
        <v>1162</v>
      </c>
      <c r="R24" s="38" t="s">
        <v>255</v>
      </c>
      <c r="S24" s="42" t="s">
        <v>1044</v>
      </c>
    </row>
    <row r="25" ht="14.25" customHeight="1">
      <c r="A25" s="39" t="s">
        <v>1163</v>
      </c>
      <c r="B25" s="39" t="s">
        <v>1164</v>
      </c>
      <c r="C25" s="39" t="s">
        <v>241</v>
      </c>
      <c r="D25" s="39" t="s">
        <v>1077</v>
      </c>
      <c r="E25" s="43">
        <v>2300.0</v>
      </c>
      <c r="F25" s="39" t="s">
        <v>1042</v>
      </c>
      <c r="G25" s="39" t="s">
        <v>1055</v>
      </c>
      <c r="H25" s="39" t="s">
        <v>239</v>
      </c>
      <c r="I25" s="39" t="s">
        <v>239</v>
      </c>
      <c r="J25" s="39" t="s">
        <v>239</v>
      </c>
      <c r="K25" s="39" t="s">
        <v>282</v>
      </c>
      <c r="L25" s="39" t="s">
        <v>252</v>
      </c>
      <c r="M25" s="39" t="s">
        <v>1012</v>
      </c>
      <c r="N25" s="39" t="s">
        <v>242</v>
      </c>
      <c r="O25" s="39" t="s">
        <v>335</v>
      </c>
      <c r="P25" s="44" t="s">
        <v>1165</v>
      </c>
      <c r="Q25" s="44" t="s">
        <v>1166</v>
      </c>
      <c r="R25" s="39" t="s">
        <v>255</v>
      </c>
      <c r="S25" s="45" t="s">
        <v>1044</v>
      </c>
    </row>
    <row r="26" ht="14.25" customHeight="1">
      <c r="A26" s="38" t="s">
        <v>1167</v>
      </c>
      <c r="B26" s="38" t="s">
        <v>1168</v>
      </c>
      <c r="C26" s="38" t="s">
        <v>241</v>
      </c>
      <c r="D26" s="38" t="s">
        <v>1169</v>
      </c>
      <c r="E26" s="40">
        <v>4730.0</v>
      </c>
      <c r="F26" s="38" t="s">
        <v>1042</v>
      </c>
      <c r="G26" s="38" t="s">
        <v>1079</v>
      </c>
      <c r="H26" s="38" t="s">
        <v>239</v>
      </c>
      <c r="I26" s="38" t="s">
        <v>239</v>
      </c>
      <c r="J26" s="38" t="s">
        <v>239</v>
      </c>
      <c r="K26" s="38" t="s">
        <v>282</v>
      </c>
      <c r="L26" s="38" t="s">
        <v>252</v>
      </c>
      <c r="M26" s="38" t="s">
        <v>1012</v>
      </c>
      <c r="N26" s="38" t="s">
        <v>242</v>
      </c>
      <c r="O26" s="38" t="s">
        <v>335</v>
      </c>
      <c r="P26" s="41" t="s">
        <v>1170</v>
      </c>
      <c r="Q26" s="41" t="s">
        <v>1171</v>
      </c>
      <c r="R26" s="38" t="s">
        <v>255</v>
      </c>
      <c r="S26" s="42" t="s">
        <v>1044</v>
      </c>
    </row>
    <row r="27" ht="14.25" customHeight="1">
      <c r="A27" s="39" t="s">
        <v>1172</v>
      </c>
      <c r="B27" s="39" t="s">
        <v>1173</v>
      </c>
      <c r="C27" s="39" t="s">
        <v>241</v>
      </c>
      <c r="D27" s="39" t="s">
        <v>1174</v>
      </c>
      <c r="E27" s="43">
        <v>4630.0</v>
      </c>
      <c r="F27" s="39" t="s">
        <v>1042</v>
      </c>
      <c r="G27" s="39" t="s">
        <v>1079</v>
      </c>
      <c r="H27" s="39" t="s">
        <v>239</v>
      </c>
      <c r="I27" s="39" t="s">
        <v>239</v>
      </c>
      <c r="J27" s="39" t="s">
        <v>239</v>
      </c>
      <c r="K27" s="39" t="s">
        <v>282</v>
      </c>
      <c r="L27" s="39" t="s">
        <v>252</v>
      </c>
      <c r="M27" s="39" t="s">
        <v>1012</v>
      </c>
      <c r="N27" s="39" t="s">
        <v>242</v>
      </c>
      <c r="O27" s="39" t="s">
        <v>335</v>
      </c>
      <c r="P27" s="44" t="s">
        <v>1175</v>
      </c>
      <c r="Q27" s="44" t="s">
        <v>1176</v>
      </c>
      <c r="R27" s="39" t="s">
        <v>255</v>
      </c>
      <c r="S27" s="45" t="s">
        <v>1044</v>
      </c>
    </row>
    <row r="28" ht="14.25" customHeight="1">
      <c r="A28" s="38" t="s">
        <v>1177</v>
      </c>
      <c r="B28" s="38" t="s">
        <v>1178</v>
      </c>
      <c r="C28" s="38" t="s">
        <v>241</v>
      </c>
      <c r="D28" s="38" t="s">
        <v>1179</v>
      </c>
      <c r="E28" s="40">
        <v>840.0</v>
      </c>
      <c r="F28" s="38" t="s">
        <v>1042</v>
      </c>
      <c r="G28" s="38" t="s">
        <v>1079</v>
      </c>
      <c r="H28" s="38" t="s">
        <v>239</v>
      </c>
      <c r="I28" s="38" t="s">
        <v>239</v>
      </c>
      <c r="J28" s="38" t="s">
        <v>239</v>
      </c>
      <c r="K28" s="38" t="s">
        <v>282</v>
      </c>
      <c r="L28" s="38" t="s">
        <v>252</v>
      </c>
      <c r="M28" s="38" t="s">
        <v>1012</v>
      </c>
      <c r="N28" s="38" t="s">
        <v>242</v>
      </c>
      <c r="O28" s="38" t="s">
        <v>335</v>
      </c>
      <c r="P28" s="41" t="s">
        <v>1180</v>
      </c>
      <c r="Q28" s="41" t="s">
        <v>1181</v>
      </c>
      <c r="R28" s="38" t="s">
        <v>255</v>
      </c>
      <c r="S28" s="42" t="s">
        <v>1044</v>
      </c>
    </row>
    <row r="29" ht="14.25" customHeight="1">
      <c r="A29" s="39" t="s">
        <v>1182</v>
      </c>
      <c r="B29" s="39" t="s">
        <v>1183</v>
      </c>
      <c r="C29" s="39" t="s">
        <v>241</v>
      </c>
      <c r="D29" s="39" t="s">
        <v>1184</v>
      </c>
      <c r="E29" s="43">
        <v>1100.0</v>
      </c>
      <c r="F29" s="39" t="s">
        <v>1042</v>
      </c>
      <c r="G29" s="39" t="s">
        <v>1055</v>
      </c>
      <c r="H29" s="39" t="s">
        <v>239</v>
      </c>
      <c r="I29" s="39" t="s">
        <v>239</v>
      </c>
      <c r="J29" s="39" t="s">
        <v>239</v>
      </c>
      <c r="K29" s="39" t="s">
        <v>282</v>
      </c>
      <c r="L29" s="39" t="s">
        <v>252</v>
      </c>
      <c r="M29" s="39" t="s">
        <v>1012</v>
      </c>
      <c r="N29" s="39" t="s">
        <v>242</v>
      </c>
      <c r="O29" s="39" t="s">
        <v>335</v>
      </c>
      <c r="P29" s="44" t="s">
        <v>1185</v>
      </c>
      <c r="Q29" s="44" t="s">
        <v>1186</v>
      </c>
      <c r="R29" s="39" t="s">
        <v>255</v>
      </c>
      <c r="S29" s="45" t="s">
        <v>1044</v>
      </c>
    </row>
    <row r="30" ht="14.25" customHeight="1">
      <c r="A30" s="38" t="s">
        <v>1187</v>
      </c>
      <c r="B30" s="38" t="s">
        <v>1188</v>
      </c>
      <c r="C30" s="38" t="s">
        <v>241</v>
      </c>
      <c r="D30" s="38" t="s">
        <v>1189</v>
      </c>
      <c r="E30" s="40">
        <v>3025.0</v>
      </c>
      <c r="F30" s="38" t="s">
        <v>1042</v>
      </c>
      <c r="G30" s="38" t="s">
        <v>1079</v>
      </c>
      <c r="H30" s="38" t="s">
        <v>239</v>
      </c>
      <c r="I30" s="38" t="s">
        <v>239</v>
      </c>
      <c r="J30" s="38" t="s">
        <v>239</v>
      </c>
      <c r="K30" s="38" t="s">
        <v>282</v>
      </c>
      <c r="L30" s="38" t="s">
        <v>252</v>
      </c>
      <c r="M30" s="38" t="s">
        <v>1012</v>
      </c>
      <c r="N30" s="38" t="s">
        <v>242</v>
      </c>
      <c r="O30" s="38" t="s">
        <v>335</v>
      </c>
      <c r="P30" s="41" t="s">
        <v>1190</v>
      </c>
      <c r="Q30" s="41" t="s">
        <v>1191</v>
      </c>
      <c r="R30" s="38" t="s">
        <v>255</v>
      </c>
      <c r="S30" s="42" t="s">
        <v>1044</v>
      </c>
    </row>
    <row r="31" ht="14.25" customHeight="1">
      <c r="A31" s="39" t="s">
        <v>1192</v>
      </c>
      <c r="B31" s="39" t="s">
        <v>1193</v>
      </c>
      <c r="C31" s="39" t="s">
        <v>241</v>
      </c>
      <c r="D31" s="39" t="s">
        <v>1194</v>
      </c>
      <c r="E31" s="43">
        <v>360.0</v>
      </c>
      <c r="F31" s="39" t="s">
        <v>1061</v>
      </c>
      <c r="G31" s="39" t="s">
        <v>1055</v>
      </c>
      <c r="H31" s="39" t="s">
        <v>1195</v>
      </c>
      <c r="I31" s="39" t="s">
        <v>239</v>
      </c>
      <c r="J31" s="39" t="s">
        <v>399</v>
      </c>
      <c r="K31" s="39" t="s">
        <v>240</v>
      </c>
      <c r="L31" s="39" t="s">
        <v>1196</v>
      </c>
      <c r="M31" s="39" t="s">
        <v>1063</v>
      </c>
      <c r="N31" s="39" t="s">
        <v>242</v>
      </c>
      <c r="O31" s="39" t="s">
        <v>335</v>
      </c>
      <c r="P31" s="44" t="s">
        <v>1197</v>
      </c>
      <c r="Q31" s="44"/>
      <c r="R31" s="39" t="s">
        <v>255</v>
      </c>
      <c r="S31" s="45" t="s">
        <v>1044</v>
      </c>
    </row>
    <row r="32" ht="14.25" customHeight="1">
      <c r="A32" s="38" t="s">
        <v>1198</v>
      </c>
      <c r="B32" s="38" t="s">
        <v>1199</v>
      </c>
      <c r="C32" s="38" t="s">
        <v>362</v>
      </c>
      <c r="D32" s="38" t="s">
        <v>1184</v>
      </c>
      <c r="E32" s="40">
        <v>1100.0</v>
      </c>
      <c r="F32" s="38" t="s">
        <v>1061</v>
      </c>
      <c r="G32" s="38" t="s">
        <v>1195</v>
      </c>
      <c r="H32" s="38" t="s">
        <v>1195</v>
      </c>
      <c r="I32" s="38" t="s">
        <v>1200</v>
      </c>
      <c r="J32" s="38" t="s">
        <v>399</v>
      </c>
      <c r="K32" s="38" t="s">
        <v>240</v>
      </c>
      <c r="L32" s="38" t="s">
        <v>1196</v>
      </c>
      <c r="M32" s="38" t="s">
        <v>1063</v>
      </c>
      <c r="N32" s="38" t="s">
        <v>242</v>
      </c>
      <c r="O32" s="38" t="s">
        <v>335</v>
      </c>
      <c r="P32" s="41" t="s">
        <v>1201</v>
      </c>
      <c r="Q32" s="41"/>
      <c r="R32" s="38" t="s">
        <v>255</v>
      </c>
      <c r="S32" s="42" t="s">
        <v>1044</v>
      </c>
    </row>
    <row r="33" ht="14.25" customHeight="1">
      <c r="A33" s="39" t="s">
        <v>1202</v>
      </c>
      <c r="B33" s="39" t="s">
        <v>1203</v>
      </c>
      <c r="C33" s="39" t="s">
        <v>241</v>
      </c>
      <c r="D33" s="39" t="s">
        <v>1204</v>
      </c>
      <c r="E33" s="43">
        <v>6500.0</v>
      </c>
      <c r="F33" s="39" t="s">
        <v>1061</v>
      </c>
      <c r="G33" s="39" t="s">
        <v>1135</v>
      </c>
      <c r="H33" s="39" t="s">
        <v>239</v>
      </c>
      <c r="I33" s="39" t="s">
        <v>239</v>
      </c>
      <c r="J33" s="39" t="s">
        <v>239</v>
      </c>
      <c r="K33" s="39" t="s">
        <v>240</v>
      </c>
      <c r="L33" s="39" t="s">
        <v>1113</v>
      </c>
      <c r="M33" s="39" t="s">
        <v>1063</v>
      </c>
      <c r="N33" s="39" t="s">
        <v>242</v>
      </c>
      <c r="O33" s="39" t="s">
        <v>335</v>
      </c>
      <c r="P33" s="44" t="s">
        <v>1205</v>
      </c>
      <c r="Q33" s="44"/>
      <c r="R33" s="39" t="s">
        <v>255</v>
      </c>
      <c r="S33" s="45" t="s">
        <v>1044</v>
      </c>
    </row>
    <row r="34" ht="14.25" customHeight="1">
      <c r="A34" s="38" t="s">
        <v>1206</v>
      </c>
      <c r="B34" s="38" t="s">
        <v>1207</v>
      </c>
      <c r="C34" s="38" t="s">
        <v>241</v>
      </c>
      <c r="D34" s="38" t="s">
        <v>1208</v>
      </c>
      <c r="E34" s="40">
        <v>260.0</v>
      </c>
      <c r="F34" s="38" t="s">
        <v>1061</v>
      </c>
      <c r="G34" s="38" t="s">
        <v>1086</v>
      </c>
      <c r="H34" s="38" t="s">
        <v>1086</v>
      </c>
      <c r="I34" s="38" t="s">
        <v>1086</v>
      </c>
      <c r="J34" s="38" t="s">
        <v>320</v>
      </c>
      <c r="K34" s="38" t="s">
        <v>240</v>
      </c>
      <c r="L34" s="38" t="s">
        <v>1209</v>
      </c>
      <c r="M34" s="38" t="s">
        <v>1063</v>
      </c>
      <c r="N34" s="38" t="s">
        <v>242</v>
      </c>
      <c r="O34" s="38" t="s">
        <v>335</v>
      </c>
      <c r="P34" s="41" t="s">
        <v>1210</v>
      </c>
      <c r="Q34" s="41"/>
      <c r="R34" s="38" t="s">
        <v>255</v>
      </c>
      <c r="S34" s="42" t="s">
        <v>1044</v>
      </c>
    </row>
    <row r="35" ht="14.25" customHeight="1">
      <c r="A35" s="46" t="s">
        <v>1211</v>
      </c>
      <c r="B35" s="46" t="s">
        <v>1212</v>
      </c>
      <c r="C35" s="46" t="s">
        <v>402</v>
      </c>
      <c r="D35" s="46" t="s">
        <v>1213</v>
      </c>
      <c r="E35" s="47">
        <v>0.015</v>
      </c>
      <c r="F35" s="46" t="s">
        <v>402</v>
      </c>
      <c r="G35" s="46" t="s">
        <v>402</v>
      </c>
      <c r="H35" s="46" t="s">
        <v>402</v>
      </c>
      <c r="I35" s="46" t="s">
        <v>402</v>
      </c>
      <c r="J35" s="46" t="s">
        <v>420</v>
      </c>
      <c r="K35" s="46" t="s">
        <v>387</v>
      </c>
      <c r="L35" s="46" t="s">
        <v>1070</v>
      </c>
      <c r="M35" s="46" t="s">
        <v>1214</v>
      </c>
      <c r="N35" s="46" t="s">
        <v>322</v>
      </c>
      <c r="O35" s="46" t="s">
        <v>335</v>
      </c>
      <c r="P35" s="48" t="s">
        <v>1215</v>
      </c>
      <c r="Q35" s="48"/>
      <c r="R35" s="46" t="s">
        <v>245</v>
      </c>
      <c r="S35" s="49" t="s">
        <v>1216</v>
      </c>
    </row>
    <row r="36" ht="14.25" customHeight="1">
      <c r="A36" s="38" t="s">
        <v>1217</v>
      </c>
      <c r="B36" s="38" t="s">
        <v>1218</v>
      </c>
      <c r="C36" s="38" t="s">
        <v>362</v>
      </c>
      <c r="D36" s="38" t="s">
        <v>1219</v>
      </c>
      <c r="E36" s="40">
        <v>2000.0</v>
      </c>
      <c r="F36" s="38" t="s">
        <v>1061</v>
      </c>
      <c r="G36" s="38" t="s">
        <v>1047</v>
      </c>
      <c r="H36" s="38" t="s">
        <v>1048</v>
      </c>
      <c r="I36" s="38" t="s">
        <v>1048</v>
      </c>
      <c r="J36" s="38" t="s">
        <v>281</v>
      </c>
      <c r="K36" s="38" t="s">
        <v>240</v>
      </c>
      <c r="L36" s="38" t="s">
        <v>447</v>
      </c>
      <c r="M36" s="38" t="s">
        <v>1063</v>
      </c>
      <c r="N36" s="38" t="s">
        <v>242</v>
      </c>
      <c r="O36" s="38" t="s">
        <v>335</v>
      </c>
      <c r="P36" s="41" t="s">
        <v>1220</v>
      </c>
      <c r="Q36" s="41"/>
      <c r="R36" s="38" t="s">
        <v>255</v>
      </c>
      <c r="S36" s="42" t="s">
        <v>1044</v>
      </c>
    </row>
    <row r="37" ht="14.25" customHeight="1">
      <c r="A37" s="39" t="s">
        <v>1221</v>
      </c>
      <c r="B37" s="39" t="s">
        <v>1222</v>
      </c>
      <c r="C37" s="39" t="s">
        <v>362</v>
      </c>
      <c r="D37" s="39" t="s">
        <v>1223</v>
      </c>
      <c r="E37" s="43">
        <v>850.0</v>
      </c>
      <c r="F37" s="39" t="s">
        <v>1061</v>
      </c>
      <c r="G37" s="39" t="s">
        <v>1086</v>
      </c>
      <c r="H37" s="39" t="s">
        <v>1086</v>
      </c>
      <c r="I37" s="39" t="s">
        <v>1086</v>
      </c>
      <c r="J37" s="39" t="s">
        <v>320</v>
      </c>
      <c r="K37" s="39" t="s">
        <v>240</v>
      </c>
      <c r="L37" s="39" t="s">
        <v>1209</v>
      </c>
      <c r="M37" s="39" t="s">
        <v>1063</v>
      </c>
      <c r="N37" s="39" t="s">
        <v>242</v>
      </c>
      <c r="O37" s="39" t="s">
        <v>335</v>
      </c>
      <c r="P37" s="44" t="s">
        <v>1224</v>
      </c>
      <c r="Q37" s="44"/>
      <c r="R37" s="39" t="s">
        <v>255</v>
      </c>
      <c r="S37" s="45" t="s">
        <v>1044</v>
      </c>
    </row>
    <row r="38" ht="14.25" customHeight="1">
      <c r="A38" s="38" t="s">
        <v>1225</v>
      </c>
      <c r="B38" s="38" t="s">
        <v>1226</v>
      </c>
      <c r="C38" s="38" t="s">
        <v>362</v>
      </c>
      <c r="D38" s="38" t="s">
        <v>1227</v>
      </c>
      <c r="E38" s="40">
        <v>1200.0</v>
      </c>
      <c r="F38" s="38" t="s">
        <v>1228</v>
      </c>
      <c r="G38" s="38" t="s">
        <v>1055</v>
      </c>
      <c r="H38" s="38" t="s">
        <v>1228</v>
      </c>
      <c r="I38" s="38" t="s">
        <v>1228</v>
      </c>
      <c r="J38" s="38" t="s">
        <v>419</v>
      </c>
      <c r="K38" s="38" t="s">
        <v>361</v>
      </c>
      <c r="L38" s="38" t="s">
        <v>1229</v>
      </c>
      <c r="M38" s="38" t="s">
        <v>1071</v>
      </c>
      <c r="N38" s="38" t="s">
        <v>268</v>
      </c>
      <c r="O38" s="38" t="s">
        <v>335</v>
      </c>
      <c r="P38" s="41" t="s">
        <v>1230</v>
      </c>
      <c r="Q38" s="41"/>
      <c r="R38" s="38" t="s">
        <v>255</v>
      </c>
      <c r="S38" s="42" t="s">
        <v>1231</v>
      </c>
    </row>
    <row r="39" ht="14.25" customHeight="1">
      <c r="A39" s="39" t="s">
        <v>1232</v>
      </c>
      <c r="B39" s="39" t="s">
        <v>1233</v>
      </c>
      <c r="C39" s="39" t="s">
        <v>1234</v>
      </c>
      <c r="D39" s="39" t="s">
        <v>1235</v>
      </c>
      <c r="E39" s="43">
        <v>32000.0</v>
      </c>
      <c r="F39" s="39" t="s">
        <v>1228</v>
      </c>
      <c r="G39" s="39" t="s">
        <v>1236</v>
      </c>
      <c r="H39" s="39" t="s">
        <v>1228</v>
      </c>
      <c r="I39" s="39" t="s">
        <v>1228</v>
      </c>
      <c r="J39" s="39" t="s">
        <v>419</v>
      </c>
      <c r="K39" s="39" t="s">
        <v>361</v>
      </c>
      <c r="L39" s="39" t="s">
        <v>1229</v>
      </c>
      <c r="M39" s="39" t="s">
        <v>1071</v>
      </c>
      <c r="N39" s="39" t="s">
        <v>268</v>
      </c>
      <c r="O39" s="39" t="s">
        <v>335</v>
      </c>
      <c r="P39" s="44" t="s">
        <v>1237</v>
      </c>
      <c r="Q39" s="44"/>
      <c r="R39" s="39" t="s">
        <v>255</v>
      </c>
      <c r="S39" s="45" t="s">
        <v>1231</v>
      </c>
    </row>
    <row r="40" ht="14.25" customHeight="1">
      <c r="A40" s="38" t="s">
        <v>1238</v>
      </c>
      <c r="B40" s="38" t="s">
        <v>1239</v>
      </c>
      <c r="C40" s="38" t="s">
        <v>1234</v>
      </c>
      <c r="D40" s="38" t="s">
        <v>1240</v>
      </c>
      <c r="E40" s="40">
        <v>5000.0</v>
      </c>
      <c r="F40" s="38" t="s">
        <v>402</v>
      </c>
      <c r="G40" s="38" t="s">
        <v>402</v>
      </c>
      <c r="H40" s="38" t="s">
        <v>402</v>
      </c>
      <c r="I40" s="38" t="s">
        <v>1069</v>
      </c>
      <c r="J40" s="38" t="s">
        <v>420</v>
      </c>
      <c r="K40" s="38" t="s">
        <v>361</v>
      </c>
      <c r="L40" s="38" t="s">
        <v>1070</v>
      </c>
      <c r="M40" s="38" t="s">
        <v>1071</v>
      </c>
      <c r="N40" s="38" t="s">
        <v>268</v>
      </c>
      <c r="O40" s="38" t="s">
        <v>335</v>
      </c>
      <c r="P40" s="41" t="s">
        <v>1241</v>
      </c>
      <c r="Q40" s="41"/>
      <c r="R40" s="38" t="s">
        <v>255</v>
      </c>
      <c r="S40" s="42" t="s">
        <v>1073</v>
      </c>
    </row>
    <row r="41" ht="14.25" customHeight="1">
      <c r="A41" s="39" t="s">
        <v>1242</v>
      </c>
      <c r="B41" s="39" t="s">
        <v>1243</v>
      </c>
      <c r="C41" s="39" t="s">
        <v>362</v>
      </c>
      <c r="D41" s="39" t="s">
        <v>1184</v>
      </c>
      <c r="E41" s="43">
        <v>1100.0</v>
      </c>
      <c r="F41" s="39" t="s">
        <v>1061</v>
      </c>
      <c r="G41" s="39" t="s">
        <v>1055</v>
      </c>
      <c r="H41" s="39" t="s">
        <v>239</v>
      </c>
      <c r="I41" s="39" t="s">
        <v>239</v>
      </c>
      <c r="J41" s="39" t="s">
        <v>239</v>
      </c>
      <c r="K41" s="39" t="s">
        <v>240</v>
      </c>
      <c r="L41" s="39" t="s">
        <v>1244</v>
      </c>
      <c r="M41" s="39" t="s">
        <v>1063</v>
      </c>
      <c r="N41" s="39" t="s">
        <v>242</v>
      </c>
      <c r="O41" s="39" t="s">
        <v>335</v>
      </c>
      <c r="P41" s="44" t="s">
        <v>1245</v>
      </c>
      <c r="Q41" s="44"/>
      <c r="R41" s="39" t="s">
        <v>255</v>
      </c>
      <c r="S41" s="45" t="s">
        <v>1044</v>
      </c>
    </row>
    <row r="42" ht="14.25" customHeight="1">
      <c r="A42" s="38" t="s">
        <v>1246</v>
      </c>
      <c r="B42" s="38" t="s">
        <v>1247</v>
      </c>
      <c r="C42" s="38" t="s">
        <v>362</v>
      </c>
      <c r="D42" s="38" t="s">
        <v>1085</v>
      </c>
      <c r="E42" s="40">
        <v>800.0</v>
      </c>
      <c r="F42" s="38" t="s">
        <v>1061</v>
      </c>
      <c r="G42" s="38" t="s">
        <v>1055</v>
      </c>
      <c r="H42" s="38" t="s">
        <v>239</v>
      </c>
      <c r="I42" s="38" t="s">
        <v>239</v>
      </c>
      <c r="J42" s="38" t="s">
        <v>239</v>
      </c>
      <c r="K42" s="38" t="s">
        <v>240</v>
      </c>
      <c r="L42" s="38" t="s">
        <v>1244</v>
      </c>
      <c r="M42" s="38" t="s">
        <v>1063</v>
      </c>
      <c r="N42" s="38" t="s">
        <v>242</v>
      </c>
      <c r="O42" s="38" t="s">
        <v>335</v>
      </c>
      <c r="P42" s="41" t="s">
        <v>1248</v>
      </c>
      <c r="Q42" s="41"/>
      <c r="R42" s="38" t="s">
        <v>255</v>
      </c>
      <c r="S42" s="42" t="s">
        <v>1044</v>
      </c>
    </row>
    <row r="43" ht="14.25" customHeight="1">
      <c r="A43" s="39" t="s">
        <v>1249</v>
      </c>
      <c r="B43" s="39" t="s">
        <v>1250</v>
      </c>
      <c r="C43" s="39" t="s">
        <v>1103</v>
      </c>
      <c r="D43" s="39" t="s">
        <v>1227</v>
      </c>
      <c r="E43" s="43">
        <v>1200.0</v>
      </c>
      <c r="F43" s="39" t="s">
        <v>1061</v>
      </c>
      <c r="G43" s="39" t="s">
        <v>1251</v>
      </c>
      <c r="H43" s="39" t="s">
        <v>1251</v>
      </c>
      <c r="I43" s="39" t="s">
        <v>1251</v>
      </c>
      <c r="J43" s="39" t="s">
        <v>413</v>
      </c>
      <c r="K43" s="39" t="s">
        <v>240</v>
      </c>
      <c r="L43" s="39" t="s">
        <v>1252</v>
      </c>
      <c r="M43" s="39" t="s">
        <v>1063</v>
      </c>
      <c r="N43" s="39" t="s">
        <v>242</v>
      </c>
      <c r="O43" s="39" t="s">
        <v>335</v>
      </c>
      <c r="P43" s="44" t="s">
        <v>1253</v>
      </c>
      <c r="Q43" s="44"/>
      <c r="R43" s="39" t="s">
        <v>255</v>
      </c>
      <c r="S43" s="45" t="s">
        <v>1254</v>
      </c>
    </row>
    <row r="44" ht="14.25" customHeight="1">
      <c r="A44" s="38" t="s">
        <v>1255</v>
      </c>
      <c r="B44" s="38" t="s">
        <v>1256</v>
      </c>
      <c r="C44" s="38" t="s">
        <v>362</v>
      </c>
      <c r="D44" s="38" t="s">
        <v>1257</v>
      </c>
      <c r="E44" s="40">
        <v>3500.0</v>
      </c>
      <c r="F44" s="38" t="s">
        <v>1061</v>
      </c>
      <c r="G44" s="38" t="s">
        <v>1251</v>
      </c>
      <c r="H44" s="38" t="s">
        <v>1251</v>
      </c>
      <c r="I44" s="38" t="s">
        <v>1251</v>
      </c>
      <c r="J44" s="38" t="s">
        <v>413</v>
      </c>
      <c r="K44" s="38" t="s">
        <v>240</v>
      </c>
      <c r="L44" s="38" t="s">
        <v>1252</v>
      </c>
      <c r="M44" s="38" t="s">
        <v>1063</v>
      </c>
      <c r="N44" s="38" t="s">
        <v>242</v>
      </c>
      <c r="O44" s="38" t="s">
        <v>335</v>
      </c>
      <c r="P44" s="41" t="s">
        <v>1258</v>
      </c>
      <c r="Q44" s="41"/>
      <c r="R44" s="38" t="s">
        <v>255</v>
      </c>
      <c r="S44" s="42" t="s">
        <v>1254</v>
      </c>
    </row>
    <row r="45" ht="14.25" customHeight="1">
      <c r="A45" s="46" t="s">
        <v>1259</v>
      </c>
      <c r="B45" s="46" t="s">
        <v>1260</v>
      </c>
      <c r="C45" s="46" t="s">
        <v>306</v>
      </c>
      <c r="D45" s="46" t="s">
        <v>1261</v>
      </c>
      <c r="E45" s="47">
        <v>1800.0</v>
      </c>
      <c r="F45" s="46" t="s">
        <v>1061</v>
      </c>
      <c r="G45" s="46" t="s">
        <v>1251</v>
      </c>
      <c r="H45" s="46" t="s">
        <v>1251</v>
      </c>
      <c r="I45" s="46" t="s">
        <v>1251</v>
      </c>
      <c r="J45" s="46" t="s">
        <v>415</v>
      </c>
      <c r="K45" s="46" t="s">
        <v>240</v>
      </c>
      <c r="L45" s="46" t="s">
        <v>1262</v>
      </c>
      <c r="M45" s="46" t="s">
        <v>1063</v>
      </c>
      <c r="N45" s="46" t="s">
        <v>242</v>
      </c>
      <c r="O45" s="46" t="s">
        <v>293</v>
      </c>
      <c r="P45" s="48" t="s">
        <v>1263</v>
      </c>
      <c r="Q45" s="48"/>
      <c r="R45" s="46" t="s">
        <v>245</v>
      </c>
      <c r="S45" s="49" t="s">
        <v>1264</v>
      </c>
    </row>
    <row r="46" ht="14.25" customHeight="1">
      <c r="A46" s="46" t="s">
        <v>1265</v>
      </c>
      <c r="B46" s="46" t="s">
        <v>1266</v>
      </c>
      <c r="C46" s="46" t="s">
        <v>306</v>
      </c>
      <c r="D46" s="46" t="s">
        <v>1267</v>
      </c>
      <c r="E46" s="47">
        <v>950.0</v>
      </c>
      <c r="F46" s="46" t="s">
        <v>1061</v>
      </c>
      <c r="G46" s="46" t="s">
        <v>1251</v>
      </c>
      <c r="H46" s="46" t="s">
        <v>1251</v>
      </c>
      <c r="I46" s="46" t="s">
        <v>1251</v>
      </c>
      <c r="J46" s="46" t="s">
        <v>413</v>
      </c>
      <c r="K46" s="46" t="s">
        <v>240</v>
      </c>
      <c r="L46" s="46" t="s">
        <v>1268</v>
      </c>
      <c r="M46" s="46" t="s">
        <v>1063</v>
      </c>
      <c r="N46" s="46" t="s">
        <v>242</v>
      </c>
      <c r="O46" s="46" t="s">
        <v>293</v>
      </c>
      <c r="P46" s="48" t="s">
        <v>1269</v>
      </c>
      <c r="Q46" s="48"/>
      <c r="R46" s="46" t="s">
        <v>245</v>
      </c>
      <c r="S46" s="49" t="s">
        <v>1270</v>
      </c>
    </row>
    <row r="47" ht="14.25" customHeight="1">
      <c r="A47" s="39" t="s">
        <v>1271</v>
      </c>
      <c r="B47" s="39" t="s">
        <v>1272</v>
      </c>
      <c r="C47" s="39" t="s">
        <v>241</v>
      </c>
      <c r="D47" s="39" t="s">
        <v>1273</v>
      </c>
      <c r="E47" s="43">
        <v>40.0</v>
      </c>
      <c r="F47" s="39" t="s">
        <v>1061</v>
      </c>
      <c r="G47" s="39" t="s">
        <v>1195</v>
      </c>
      <c r="H47" s="39" t="s">
        <v>1195</v>
      </c>
      <c r="I47" s="39" t="s">
        <v>1200</v>
      </c>
      <c r="J47" s="39" t="s">
        <v>399</v>
      </c>
      <c r="K47" s="39" t="s">
        <v>240</v>
      </c>
      <c r="L47" s="39" t="s">
        <v>1274</v>
      </c>
      <c r="M47" s="39" t="s">
        <v>1063</v>
      </c>
      <c r="N47" s="39" t="s">
        <v>242</v>
      </c>
      <c r="O47" s="39" t="s">
        <v>335</v>
      </c>
      <c r="P47" s="44" t="s">
        <v>1275</v>
      </c>
      <c r="Q47" s="44"/>
      <c r="R47" s="39" t="s">
        <v>255</v>
      </c>
      <c r="S47" s="45" t="s">
        <v>1044</v>
      </c>
    </row>
    <row r="48" ht="14.25" customHeight="1">
      <c r="A48" s="38" t="s">
        <v>1276</v>
      </c>
      <c r="B48" s="38" t="s">
        <v>1277</v>
      </c>
      <c r="C48" s="38" t="s">
        <v>241</v>
      </c>
      <c r="D48" s="38" t="s">
        <v>1278</v>
      </c>
      <c r="E48" s="40">
        <v>3850.0</v>
      </c>
      <c r="F48" s="38" t="s">
        <v>1042</v>
      </c>
      <c r="G48" s="38" t="s">
        <v>1079</v>
      </c>
      <c r="H48" s="38" t="s">
        <v>239</v>
      </c>
      <c r="I48" s="38" t="s">
        <v>239</v>
      </c>
      <c r="J48" s="38" t="s">
        <v>239</v>
      </c>
      <c r="K48" s="38" t="s">
        <v>282</v>
      </c>
      <c r="L48" s="38" t="s">
        <v>252</v>
      </c>
      <c r="M48" s="38" t="s">
        <v>1012</v>
      </c>
      <c r="N48" s="38" t="s">
        <v>242</v>
      </c>
      <c r="O48" s="38" t="s">
        <v>335</v>
      </c>
      <c r="P48" s="41" t="s">
        <v>1279</v>
      </c>
      <c r="Q48" s="41" t="s">
        <v>1280</v>
      </c>
      <c r="R48" s="38" t="s">
        <v>255</v>
      </c>
      <c r="S48" s="42" t="s">
        <v>1044</v>
      </c>
    </row>
    <row r="49" ht="14.25" customHeight="1">
      <c r="A49" s="39" t="s">
        <v>1281</v>
      </c>
      <c r="B49" s="39" t="s">
        <v>1282</v>
      </c>
      <c r="C49" s="39" t="s">
        <v>241</v>
      </c>
      <c r="D49" s="39" t="s">
        <v>1283</v>
      </c>
      <c r="E49" s="43">
        <v>4620.0</v>
      </c>
      <c r="F49" s="39" t="s">
        <v>1042</v>
      </c>
      <c r="G49" s="39" t="s">
        <v>1079</v>
      </c>
      <c r="H49" s="39" t="s">
        <v>239</v>
      </c>
      <c r="I49" s="39" t="s">
        <v>239</v>
      </c>
      <c r="J49" s="39" t="s">
        <v>239</v>
      </c>
      <c r="K49" s="39" t="s">
        <v>282</v>
      </c>
      <c r="L49" s="39" t="s">
        <v>252</v>
      </c>
      <c r="M49" s="39" t="s">
        <v>1012</v>
      </c>
      <c r="N49" s="39" t="s">
        <v>242</v>
      </c>
      <c r="O49" s="39" t="s">
        <v>335</v>
      </c>
      <c r="P49" s="44" t="s">
        <v>1284</v>
      </c>
      <c r="Q49" s="44" t="s">
        <v>1285</v>
      </c>
      <c r="R49" s="39" t="s">
        <v>255</v>
      </c>
      <c r="S49" s="45" t="s">
        <v>1044</v>
      </c>
    </row>
    <row r="50" ht="14.25" customHeight="1">
      <c r="A50" s="38" t="s">
        <v>1286</v>
      </c>
      <c r="B50" s="38" t="s">
        <v>1287</v>
      </c>
      <c r="C50" s="38" t="s">
        <v>1288</v>
      </c>
      <c r="D50" s="38" t="s">
        <v>1289</v>
      </c>
      <c r="E50" s="40">
        <v>330.0</v>
      </c>
      <c r="F50" s="38" t="s">
        <v>1042</v>
      </c>
      <c r="G50" s="38" t="s">
        <v>1047</v>
      </c>
      <c r="H50" s="38" t="s">
        <v>1048</v>
      </c>
      <c r="I50" s="38" t="s">
        <v>1048</v>
      </c>
      <c r="J50" s="38" t="s">
        <v>281</v>
      </c>
      <c r="K50" s="38" t="s">
        <v>282</v>
      </c>
      <c r="L50" s="38" t="s">
        <v>1290</v>
      </c>
      <c r="M50" s="38" t="s">
        <v>1012</v>
      </c>
      <c r="N50" s="38" t="s">
        <v>242</v>
      </c>
      <c r="O50" s="38" t="s">
        <v>335</v>
      </c>
      <c r="P50" s="41" t="s">
        <v>1291</v>
      </c>
      <c r="Q50" s="41" t="s">
        <v>1292</v>
      </c>
      <c r="R50" s="38" t="s">
        <v>255</v>
      </c>
      <c r="S50" s="42" t="s">
        <v>1044</v>
      </c>
    </row>
    <row r="51" ht="14.25" customHeight="1">
      <c r="A51" s="39" t="s">
        <v>1293</v>
      </c>
      <c r="B51" s="39" t="s">
        <v>1294</v>
      </c>
      <c r="C51" s="39" t="s">
        <v>1288</v>
      </c>
      <c r="D51" s="39" t="s">
        <v>1295</v>
      </c>
      <c r="E51" s="43">
        <v>115.0</v>
      </c>
      <c r="F51" s="39" t="s">
        <v>1042</v>
      </c>
      <c r="G51" s="39" t="s">
        <v>1135</v>
      </c>
      <c r="H51" s="39" t="s">
        <v>239</v>
      </c>
      <c r="I51" s="39" t="s">
        <v>239</v>
      </c>
      <c r="J51" s="39" t="s">
        <v>239</v>
      </c>
      <c r="K51" s="39" t="s">
        <v>282</v>
      </c>
      <c r="L51" s="39" t="s">
        <v>1062</v>
      </c>
      <c r="M51" s="39" t="s">
        <v>1012</v>
      </c>
      <c r="N51" s="39" t="s">
        <v>242</v>
      </c>
      <c r="O51" s="39" t="s">
        <v>335</v>
      </c>
      <c r="P51" s="44" t="s">
        <v>1296</v>
      </c>
      <c r="Q51" s="44" t="s">
        <v>1297</v>
      </c>
      <c r="R51" s="39" t="s">
        <v>255</v>
      </c>
      <c r="S51" s="45" t="s">
        <v>1044</v>
      </c>
    </row>
    <row r="52" ht="14.25" customHeight="1">
      <c r="A52" s="38" t="s">
        <v>1298</v>
      </c>
      <c r="B52" s="38" t="s">
        <v>1299</v>
      </c>
      <c r="C52" s="38" t="s">
        <v>1288</v>
      </c>
      <c r="D52" s="38" t="s">
        <v>1300</v>
      </c>
      <c r="E52" s="40">
        <v>145.0</v>
      </c>
      <c r="F52" s="38" t="s">
        <v>1042</v>
      </c>
      <c r="G52" s="38" t="s">
        <v>1055</v>
      </c>
      <c r="H52" s="38" t="s">
        <v>239</v>
      </c>
      <c r="I52" s="38" t="s">
        <v>239</v>
      </c>
      <c r="J52" s="38" t="s">
        <v>239</v>
      </c>
      <c r="K52" s="38" t="s">
        <v>282</v>
      </c>
      <c r="L52" s="38" t="s">
        <v>1062</v>
      </c>
      <c r="M52" s="38" t="s">
        <v>1012</v>
      </c>
      <c r="N52" s="38" t="s">
        <v>242</v>
      </c>
      <c r="O52" s="38" t="s">
        <v>335</v>
      </c>
      <c r="P52" s="41" t="s">
        <v>1301</v>
      </c>
      <c r="Q52" s="41" t="s">
        <v>1302</v>
      </c>
      <c r="R52" s="38" t="s">
        <v>255</v>
      </c>
      <c r="S52" s="42" t="s">
        <v>1044</v>
      </c>
    </row>
    <row r="53" ht="14.25" customHeight="1">
      <c r="A53" s="39" t="s">
        <v>1303</v>
      </c>
      <c r="B53" s="39" t="s">
        <v>1304</v>
      </c>
      <c r="C53" s="39" t="s">
        <v>241</v>
      </c>
      <c r="D53" s="39" t="s">
        <v>1305</v>
      </c>
      <c r="E53" s="43">
        <v>75.0</v>
      </c>
      <c r="F53" s="39" t="s">
        <v>1042</v>
      </c>
      <c r="G53" s="39" t="s">
        <v>1079</v>
      </c>
      <c r="H53" s="39" t="s">
        <v>239</v>
      </c>
      <c r="I53" s="39" t="s">
        <v>239</v>
      </c>
      <c r="J53" s="39" t="s">
        <v>239</v>
      </c>
      <c r="K53" s="39" t="s">
        <v>282</v>
      </c>
      <c r="L53" s="39" t="s">
        <v>522</v>
      </c>
      <c r="M53" s="39" t="s">
        <v>1012</v>
      </c>
      <c r="N53" s="39" t="s">
        <v>242</v>
      </c>
      <c r="O53" s="39" t="s">
        <v>335</v>
      </c>
      <c r="P53" s="44" t="s">
        <v>1306</v>
      </c>
      <c r="Q53" s="44" t="s">
        <v>1307</v>
      </c>
      <c r="R53" s="39" t="s">
        <v>255</v>
      </c>
      <c r="S53" s="45" t="s">
        <v>1044</v>
      </c>
    </row>
    <row r="54" ht="14.25" customHeight="1">
      <c r="A54" s="38" t="s">
        <v>1308</v>
      </c>
      <c r="B54" s="38" t="s">
        <v>1309</v>
      </c>
      <c r="C54" s="38" t="s">
        <v>241</v>
      </c>
      <c r="D54" s="38" t="s">
        <v>1310</v>
      </c>
      <c r="E54" s="40">
        <v>105.0</v>
      </c>
      <c r="F54" s="38" t="s">
        <v>1042</v>
      </c>
      <c r="G54" s="38" t="s">
        <v>1079</v>
      </c>
      <c r="H54" s="38" t="s">
        <v>239</v>
      </c>
      <c r="I54" s="38" t="s">
        <v>239</v>
      </c>
      <c r="J54" s="38" t="s">
        <v>239</v>
      </c>
      <c r="K54" s="38" t="s">
        <v>282</v>
      </c>
      <c r="L54" s="38" t="s">
        <v>522</v>
      </c>
      <c r="M54" s="38" t="s">
        <v>1012</v>
      </c>
      <c r="N54" s="38" t="s">
        <v>242</v>
      </c>
      <c r="O54" s="38" t="s">
        <v>335</v>
      </c>
      <c r="P54" s="41" t="s">
        <v>1311</v>
      </c>
      <c r="Q54" s="41" t="s">
        <v>1312</v>
      </c>
      <c r="R54" s="38" t="s">
        <v>255</v>
      </c>
      <c r="S54" s="42" t="s">
        <v>1044</v>
      </c>
    </row>
    <row r="55" ht="14.25" customHeight="1">
      <c r="A55" s="39" t="s">
        <v>1313</v>
      </c>
      <c r="B55" s="39" t="s">
        <v>1314</v>
      </c>
      <c r="C55" s="39" t="s">
        <v>306</v>
      </c>
      <c r="D55" s="39" t="s">
        <v>1315</v>
      </c>
      <c r="E55" s="43">
        <v>650.0</v>
      </c>
      <c r="F55" s="39" t="s">
        <v>1042</v>
      </c>
      <c r="G55" s="39" t="s">
        <v>1086</v>
      </c>
      <c r="H55" s="39" t="s">
        <v>1086</v>
      </c>
      <c r="I55" s="39" t="s">
        <v>1086</v>
      </c>
      <c r="J55" s="39" t="s">
        <v>320</v>
      </c>
      <c r="K55" s="39" t="s">
        <v>282</v>
      </c>
      <c r="L55" s="39" t="s">
        <v>1316</v>
      </c>
      <c r="M55" s="39" t="s">
        <v>1012</v>
      </c>
      <c r="N55" s="39" t="s">
        <v>242</v>
      </c>
      <c r="O55" s="39" t="s">
        <v>335</v>
      </c>
      <c r="P55" s="44" t="s">
        <v>1317</v>
      </c>
      <c r="Q55" s="44" t="s">
        <v>1318</v>
      </c>
      <c r="R55" s="39" t="s">
        <v>255</v>
      </c>
      <c r="S55" s="45" t="s">
        <v>1044</v>
      </c>
    </row>
    <row r="56" ht="14.25" customHeight="1">
      <c r="A56" s="38" t="s">
        <v>1319</v>
      </c>
      <c r="B56" s="38" t="s">
        <v>1320</v>
      </c>
      <c r="C56" s="38" t="s">
        <v>1103</v>
      </c>
      <c r="D56" s="38" t="s">
        <v>1321</v>
      </c>
      <c r="E56" s="40">
        <v>150.0</v>
      </c>
      <c r="F56" s="38" t="s">
        <v>1061</v>
      </c>
      <c r="G56" s="38" t="s">
        <v>1055</v>
      </c>
      <c r="H56" s="38" t="s">
        <v>239</v>
      </c>
      <c r="I56" s="38" t="s">
        <v>239</v>
      </c>
      <c r="J56" s="38" t="s">
        <v>239</v>
      </c>
      <c r="K56" s="38" t="s">
        <v>282</v>
      </c>
      <c r="L56" s="38" t="s">
        <v>1056</v>
      </c>
      <c r="M56" s="38" t="s">
        <v>1012</v>
      </c>
      <c r="N56" s="38" t="s">
        <v>242</v>
      </c>
      <c r="O56" s="38" t="s">
        <v>335</v>
      </c>
      <c r="P56" s="41" t="s">
        <v>1322</v>
      </c>
      <c r="Q56" s="41" t="s">
        <v>1323</v>
      </c>
      <c r="R56" s="38" t="s">
        <v>255</v>
      </c>
      <c r="S56" s="42" t="s">
        <v>1044</v>
      </c>
    </row>
    <row r="57" ht="14.25" customHeight="1">
      <c r="A57" s="39" t="s">
        <v>1324</v>
      </c>
      <c r="B57" s="39" t="s">
        <v>1325</v>
      </c>
      <c r="C57" s="39" t="s">
        <v>362</v>
      </c>
      <c r="D57" s="39" t="s">
        <v>1326</v>
      </c>
      <c r="E57" s="43">
        <v>1880.0</v>
      </c>
      <c r="F57" s="39" t="s">
        <v>1042</v>
      </c>
      <c r="G57" s="39" t="s">
        <v>1055</v>
      </c>
      <c r="H57" s="39" t="s">
        <v>239</v>
      </c>
      <c r="I57" s="39" t="s">
        <v>239</v>
      </c>
      <c r="J57" s="39" t="s">
        <v>239</v>
      </c>
      <c r="K57" s="39" t="s">
        <v>282</v>
      </c>
      <c r="L57" s="39" t="s">
        <v>522</v>
      </c>
      <c r="M57" s="39" t="s">
        <v>1012</v>
      </c>
      <c r="N57" s="39" t="s">
        <v>242</v>
      </c>
      <c r="O57" s="39" t="s">
        <v>335</v>
      </c>
      <c r="P57" s="44" t="s">
        <v>1327</v>
      </c>
      <c r="Q57" s="44" t="s">
        <v>1328</v>
      </c>
      <c r="R57" s="39" t="s">
        <v>255</v>
      </c>
      <c r="S57" s="45" t="s">
        <v>1044</v>
      </c>
    </row>
    <row r="58" ht="14.25" customHeight="1">
      <c r="A58" s="38" t="s">
        <v>1329</v>
      </c>
      <c r="B58" s="38" t="s">
        <v>1330</v>
      </c>
      <c r="C58" s="38" t="s">
        <v>362</v>
      </c>
      <c r="D58" s="38" t="s">
        <v>1068</v>
      </c>
      <c r="E58" s="40">
        <v>8000.0</v>
      </c>
      <c r="F58" s="38" t="s">
        <v>1042</v>
      </c>
      <c r="G58" s="38" t="s">
        <v>1135</v>
      </c>
      <c r="H58" s="38" t="s">
        <v>239</v>
      </c>
      <c r="I58" s="38" t="s">
        <v>239</v>
      </c>
      <c r="J58" s="38" t="s">
        <v>239</v>
      </c>
      <c r="K58" s="38" t="s">
        <v>282</v>
      </c>
      <c r="L58" s="38" t="s">
        <v>522</v>
      </c>
      <c r="M58" s="38" t="s">
        <v>1012</v>
      </c>
      <c r="N58" s="38" t="s">
        <v>242</v>
      </c>
      <c r="O58" s="38" t="s">
        <v>335</v>
      </c>
      <c r="P58" s="41" t="s">
        <v>1331</v>
      </c>
      <c r="Q58" s="41" t="s">
        <v>1332</v>
      </c>
      <c r="R58" s="38" t="s">
        <v>255</v>
      </c>
      <c r="S58" s="42" t="s">
        <v>1044</v>
      </c>
    </row>
    <row r="59" ht="14.25" customHeight="1">
      <c r="A59" s="39" t="s">
        <v>1333</v>
      </c>
      <c r="B59" s="39" t="s">
        <v>1334</v>
      </c>
      <c r="C59" s="39" t="s">
        <v>416</v>
      </c>
      <c r="D59" s="39" t="s">
        <v>1335</v>
      </c>
      <c r="E59" s="43">
        <v>18700.0</v>
      </c>
      <c r="F59" s="39" t="s">
        <v>1042</v>
      </c>
      <c r="G59" s="39" t="s">
        <v>1079</v>
      </c>
      <c r="H59" s="39" t="s">
        <v>239</v>
      </c>
      <c r="I59" s="39" t="s">
        <v>239</v>
      </c>
      <c r="J59" s="39" t="s">
        <v>239</v>
      </c>
      <c r="K59" s="39" t="s">
        <v>282</v>
      </c>
      <c r="L59" s="39" t="s">
        <v>522</v>
      </c>
      <c r="M59" s="39" t="s">
        <v>1012</v>
      </c>
      <c r="N59" s="39" t="s">
        <v>242</v>
      </c>
      <c r="O59" s="39" t="s">
        <v>335</v>
      </c>
      <c r="P59" s="44" t="s">
        <v>1336</v>
      </c>
      <c r="Q59" s="44" t="s">
        <v>1337</v>
      </c>
      <c r="R59" s="39" t="s">
        <v>255</v>
      </c>
      <c r="S59" s="45" t="s">
        <v>1044</v>
      </c>
    </row>
    <row r="60" ht="14.25" customHeight="1">
      <c r="A60" s="38" t="s">
        <v>1338</v>
      </c>
      <c r="B60" s="38" t="s">
        <v>1339</v>
      </c>
      <c r="C60" s="38" t="s">
        <v>362</v>
      </c>
      <c r="D60" s="38" t="s">
        <v>1227</v>
      </c>
      <c r="E60" s="40">
        <v>1200.0</v>
      </c>
      <c r="F60" s="38" t="s">
        <v>1042</v>
      </c>
      <c r="G60" s="38" t="s">
        <v>1135</v>
      </c>
      <c r="H60" s="38" t="s">
        <v>239</v>
      </c>
      <c r="I60" s="38" t="s">
        <v>239</v>
      </c>
      <c r="J60" s="38" t="s">
        <v>239</v>
      </c>
      <c r="K60" s="38" t="s">
        <v>282</v>
      </c>
      <c r="L60" s="38" t="s">
        <v>1062</v>
      </c>
      <c r="M60" s="38" t="s">
        <v>1012</v>
      </c>
      <c r="N60" s="38" t="s">
        <v>242</v>
      </c>
      <c r="O60" s="38" t="s">
        <v>335</v>
      </c>
      <c r="P60" s="41" t="s">
        <v>1340</v>
      </c>
      <c r="Q60" s="41" t="s">
        <v>1341</v>
      </c>
      <c r="R60" s="38" t="s">
        <v>255</v>
      </c>
      <c r="S60" s="42" t="s">
        <v>1044</v>
      </c>
    </row>
    <row r="61" ht="14.25" customHeight="1">
      <c r="A61" s="46" t="s">
        <v>1342</v>
      </c>
      <c r="B61" s="46" t="s">
        <v>1343</v>
      </c>
      <c r="C61" s="46" t="s">
        <v>362</v>
      </c>
      <c r="D61" s="46" t="s">
        <v>1077</v>
      </c>
      <c r="E61" s="47">
        <v>2300.0</v>
      </c>
      <c r="F61" s="46" t="s">
        <v>1042</v>
      </c>
      <c r="G61" s="46" t="s">
        <v>1200</v>
      </c>
      <c r="H61" s="46" t="s">
        <v>1200</v>
      </c>
      <c r="I61" s="46" t="s">
        <v>1200</v>
      </c>
      <c r="J61" s="46" t="s">
        <v>399</v>
      </c>
      <c r="K61" s="46" t="s">
        <v>282</v>
      </c>
      <c r="L61" s="46" t="s">
        <v>1012</v>
      </c>
      <c r="M61" s="46" t="s">
        <v>1012</v>
      </c>
      <c r="N61" s="46" t="s">
        <v>242</v>
      </c>
      <c r="O61" s="46" t="s">
        <v>293</v>
      </c>
      <c r="P61" s="48" t="s">
        <v>1344</v>
      </c>
      <c r="Q61" s="48" t="s">
        <v>1345</v>
      </c>
      <c r="R61" s="46" t="s">
        <v>245</v>
      </c>
      <c r="S61" s="49" t="s">
        <v>1044</v>
      </c>
    </row>
    <row r="62" ht="14.25" customHeight="1">
      <c r="A62" s="38" t="s">
        <v>1346</v>
      </c>
      <c r="B62" s="38" t="s">
        <v>1347</v>
      </c>
      <c r="C62" s="38" t="s">
        <v>241</v>
      </c>
      <c r="D62" s="38" t="s">
        <v>1348</v>
      </c>
      <c r="E62" s="40">
        <v>60.0</v>
      </c>
      <c r="F62" s="38" t="s">
        <v>1061</v>
      </c>
      <c r="G62" s="38" t="s">
        <v>1135</v>
      </c>
      <c r="H62" s="38" t="s">
        <v>239</v>
      </c>
      <c r="I62" s="38" t="s">
        <v>239</v>
      </c>
      <c r="J62" s="38" t="s">
        <v>239</v>
      </c>
      <c r="K62" s="38" t="s">
        <v>240</v>
      </c>
      <c r="L62" s="38" t="s">
        <v>1113</v>
      </c>
      <c r="M62" s="38" t="s">
        <v>1063</v>
      </c>
      <c r="N62" s="38" t="s">
        <v>242</v>
      </c>
      <c r="O62" s="38" t="s">
        <v>335</v>
      </c>
      <c r="P62" s="41" t="s">
        <v>1349</v>
      </c>
      <c r="Q62" s="41"/>
      <c r="R62" s="38" t="s">
        <v>255</v>
      </c>
      <c r="S62" s="42" t="s">
        <v>1044</v>
      </c>
    </row>
    <row r="63" ht="14.25" customHeight="1">
      <c r="A63" s="39" t="s">
        <v>1350</v>
      </c>
      <c r="B63" s="39" t="s">
        <v>1351</v>
      </c>
      <c r="C63" s="39" t="s">
        <v>1053</v>
      </c>
      <c r="D63" s="39" t="s">
        <v>1352</v>
      </c>
      <c r="E63" s="43">
        <v>400.0</v>
      </c>
      <c r="F63" s="39" t="s">
        <v>1042</v>
      </c>
      <c r="G63" s="39" t="s">
        <v>1135</v>
      </c>
      <c r="H63" s="39" t="s">
        <v>239</v>
      </c>
      <c r="I63" s="39" t="s">
        <v>239</v>
      </c>
      <c r="J63" s="39" t="s">
        <v>239</v>
      </c>
      <c r="K63" s="39" t="s">
        <v>282</v>
      </c>
      <c r="L63" s="39" t="s">
        <v>1062</v>
      </c>
      <c r="M63" s="39" t="s">
        <v>1012</v>
      </c>
      <c r="N63" s="39" t="s">
        <v>242</v>
      </c>
      <c r="O63" s="39" t="s">
        <v>335</v>
      </c>
      <c r="P63" s="44" t="s">
        <v>1353</v>
      </c>
      <c r="Q63" s="44" t="s">
        <v>1354</v>
      </c>
      <c r="R63" s="39" t="s">
        <v>255</v>
      </c>
      <c r="S63" s="45" t="s">
        <v>1044</v>
      </c>
    </row>
    <row r="64" ht="14.25" customHeight="1">
      <c r="A64" s="38" t="s">
        <v>1355</v>
      </c>
      <c r="B64" s="38" t="s">
        <v>1356</v>
      </c>
      <c r="C64" s="38" t="s">
        <v>362</v>
      </c>
      <c r="D64" s="38" t="s">
        <v>1357</v>
      </c>
      <c r="E64" s="40">
        <v>3900.0</v>
      </c>
      <c r="F64" s="38" t="s">
        <v>1061</v>
      </c>
      <c r="G64" s="38" t="s">
        <v>1251</v>
      </c>
      <c r="H64" s="38" t="s">
        <v>1251</v>
      </c>
      <c r="I64" s="38" t="s">
        <v>1251</v>
      </c>
      <c r="J64" s="38" t="s">
        <v>413</v>
      </c>
      <c r="K64" s="38" t="s">
        <v>240</v>
      </c>
      <c r="L64" s="38" t="s">
        <v>1252</v>
      </c>
      <c r="M64" s="38" t="s">
        <v>1063</v>
      </c>
      <c r="N64" s="38" t="s">
        <v>242</v>
      </c>
      <c r="O64" s="38" t="s">
        <v>335</v>
      </c>
      <c r="P64" s="41" t="s">
        <v>1358</v>
      </c>
      <c r="Q64" s="41"/>
      <c r="R64" s="38" t="s">
        <v>255</v>
      </c>
      <c r="S64" s="42" t="s">
        <v>1254</v>
      </c>
    </row>
    <row r="65" ht="14.25" customHeight="1">
      <c r="A65" s="39" t="s">
        <v>1359</v>
      </c>
      <c r="B65" s="39" t="s">
        <v>1360</v>
      </c>
      <c r="C65" s="39" t="s">
        <v>1103</v>
      </c>
      <c r="D65" s="39" t="s">
        <v>1267</v>
      </c>
      <c r="E65" s="43">
        <v>950.0</v>
      </c>
      <c r="F65" s="39" t="s">
        <v>1061</v>
      </c>
      <c r="G65" s="39" t="s">
        <v>1251</v>
      </c>
      <c r="H65" s="39" t="s">
        <v>1251</v>
      </c>
      <c r="I65" s="39" t="s">
        <v>1251</v>
      </c>
      <c r="J65" s="39" t="s">
        <v>413</v>
      </c>
      <c r="K65" s="39" t="s">
        <v>240</v>
      </c>
      <c r="L65" s="39" t="s">
        <v>1252</v>
      </c>
      <c r="M65" s="39" t="s">
        <v>1063</v>
      </c>
      <c r="N65" s="39" t="s">
        <v>242</v>
      </c>
      <c r="O65" s="39" t="s">
        <v>335</v>
      </c>
      <c r="P65" s="44" t="s">
        <v>1361</v>
      </c>
      <c r="Q65" s="44"/>
      <c r="R65" s="39" t="s">
        <v>255</v>
      </c>
      <c r="S65" s="45" t="s">
        <v>1254</v>
      </c>
    </row>
    <row r="66" ht="14.25" customHeight="1">
      <c r="A66" s="38" t="s">
        <v>1362</v>
      </c>
      <c r="B66" s="38" t="s">
        <v>1363</v>
      </c>
      <c r="C66" s="38" t="s">
        <v>241</v>
      </c>
      <c r="D66" s="38" t="s">
        <v>1315</v>
      </c>
      <c r="E66" s="40">
        <v>650.0</v>
      </c>
      <c r="F66" s="38" t="s">
        <v>1061</v>
      </c>
      <c r="G66" s="38" t="s">
        <v>1086</v>
      </c>
      <c r="H66" s="38" t="s">
        <v>1251</v>
      </c>
      <c r="I66" s="38" t="s">
        <v>1086</v>
      </c>
      <c r="J66" s="38" t="s">
        <v>413</v>
      </c>
      <c r="K66" s="38" t="s">
        <v>240</v>
      </c>
      <c r="L66" s="38" t="s">
        <v>1252</v>
      </c>
      <c r="M66" s="38" t="s">
        <v>1063</v>
      </c>
      <c r="N66" s="38" t="s">
        <v>242</v>
      </c>
      <c r="O66" s="38" t="s">
        <v>335</v>
      </c>
      <c r="P66" s="41" t="s">
        <v>1364</v>
      </c>
      <c r="Q66" s="41"/>
      <c r="R66" s="38" t="s">
        <v>255</v>
      </c>
      <c r="S66" s="42" t="s">
        <v>1254</v>
      </c>
    </row>
    <row r="67" ht="14.25" customHeight="1">
      <c r="A67" s="39" t="s">
        <v>1365</v>
      </c>
      <c r="B67" s="39" t="s">
        <v>1366</v>
      </c>
      <c r="C67" s="39" t="s">
        <v>306</v>
      </c>
      <c r="D67" s="39" t="s">
        <v>1367</v>
      </c>
      <c r="E67" s="43">
        <v>1500.0</v>
      </c>
      <c r="F67" s="39" t="s">
        <v>1061</v>
      </c>
      <c r="G67" s="39" t="s">
        <v>1368</v>
      </c>
      <c r="H67" s="39" t="s">
        <v>1369</v>
      </c>
      <c r="I67" s="39" t="s">
        <v>1369</v>
      </c>
      <c r="J67" s="39" t="s">
        <v>360</v>
      </c>
      <c r="K67" s="39" t="s">
        <v>240</v>
      </c>
      <c r="L67" s="39" t="s">
        <v>1252</v>
      </c>
      <c r="M67" s="39" t="s">
        <v>1063</v>
      </c>
      <c r="N67" s="39" t="s">
        <v>242</v>
      </c>
      <c r="O67" s="39" t="s">
        <v>335</v>
      </c>
      <c r="P67" s="44" t="s">
        <v>1370</v>
      </c>
      <c r="Q67" s="44"/>
      <c r="R67" s="39" t="s">
        <v>255</v>
      </c>
      <c r="S67" s="45" t="s">
        <v>1044</v>
      </c>
    </row>
    <row r="68" ht="14.25" customHeight="1">
      <c r="A68" s="38" t="s">
        <v>1371</v>
      </c>
      <c r="B68" s="38" t="s">
        <v>1372</v>
      </c>
      <c r="C68" s="38" t="s">
        <v>306</v>
      </c>
      <c r="D68" s="38" t="s">
        <v>1373</v>
      </c>
      <c r="E68" s="40">
        <v>5700.0</v>
      </c>
      <c r="F68" s="38" t="s">
        <v>1042</v>
      </c>
      <c r="G68" s="38" t="s">
        <v>1079</v>
      </c>
      <c r="H68" s="38" t="s">
        <v>239</v>
      </c>
      <c r="I68" s="38" t="s">
        <v>239</v>
      </c>
      <c r="J68" s="38" t="s">
        <v>239</v>
      </c>
      <c r="K68" s="38" t="s">
        <v>282</v>
      </c>
      <c r="L68" s="38" t="s">
        <v>1056</v>
      </c>
      <c r="M68" s="38" t="s">
        <v>1012</v>
      </c>
      <c r="N68" s="38" t="s">
        <v>242</v>
      </c>
      <c r="O68" s="38" t="s">
        <v>335</v>
      </c>
      <c r="P68" s="41" t="s">
        <v>1374</v>
      </c>
      <c r="Q68" s="41" t="s">
        <v>1375</v>
      </c>
      <c r="R68" s="38" t="s">
        <v>255</v>
      </c>
      <c r="S68" s="42" t="s">
        <v>1044</v>
      </c>
    </row>
    <row r="69" ht="14.25" customHeight="1">
      <c r="A69" s="39" t="s">
        <v>1376</v>
      </c>
      <c r="B69" s="39" t="s">
        <v>1377</v>
      </c>
      <c r="C69" s="39" t="s">
        <v>306</v>
      </c>
      <c r="D69" s="39" t="s">
        <v>1378</v>
      </c>
      <c r="E69" s="43">
        <v>72.0</v>
      </c>
      <c r="F69" s="39" t="s">
        <v>1042</v>
      </c>
      <c r="G69" s="39" t="s">
        <v>1055</v>
      </c>
      <c r="H69" s="39" t="s">
        <v>239</v>
      </c>
      <c r="I69" s="39" t="s">
        <v>239</v>
      </c>
      <c r="J69" s="39" t="s">
        <v>239</v>
      </c>
      <c r="K69" s="39" t="s">
        <v>282</v>
      </c>
      <c r="L69" s="39" t="s">
        <v>1056</v>
      </c>
      <c r="M69" s="39" t="s">
        <v>1012</v>
      </c>
      <c r="N69" s="39" t="s">
        <v>242</v>
      </c>
      <c r="O69" s="39" t="s">
        <v>335</v>
      </c>
      <c r="P69" s="44" t="s">
        <v>1379</v>
      </c>
      <c r="Q69" s="44" t="s">
        <v>1380</v>
      </c>
      <c r="R69" s="39" t="s">
        <v>255</v>
      </c>
      <c r="S69" s="45" t="s">
        <v>1044</v>
      </c>
    </row>
    <row r="70" ht="14.25" customHeight="1">
      <c r="A70" s="38" t="s">
        <v>1381</v>
      </c>
      <c r="B70" s="38" t="s">
        <v>1382</v>
      </c>
      <c r="C70" s="38" t="s">
        <v>306</v>
      </c>
      <c r="D70" s="38" t="s">
        <v>1383</v>
      </c>
      <c r="E70" s="40">
        <v>3300.0</v>
      </c>
      <c r="F70" s="38" t="s">
        <v>1042</v>
      </c>
      <c r="G70" s="38" t="s">
        <v>1368</v>
      </c>
      <c r="H70" s="38" t="s">
        <v>1369</v>
      </c>
      <c r="I70" s="38" t="s">
        <v>1369</v>
      </c>
      <c r="J70" s="38" t="s">
        <v>360</v>
      </c>
      <c r="K70" s="38" t="s">
        <v>282</v>
      </c>
      <c r="L70" s="38" t="s">
        <v>1384</v>
      </c>
      <c r="M70" s="38" t="s">
        <v>1012</v>
      </c>
      <c r="N70" s="38" t="s">
        <v>242</v>
      </c>
      <c r="O70" s="38" t="s">
        <v>335</v>
      </c>
      <c r="P70" s="41" t="s">
        <v>1385</v>
      </c>
      <c r="Q70" s="41" t="s">
        <v>1386</v>
      </c>
      <c r="R70" s="38" t="s">
        <v>255</v>
      </c>
      <c r="S70" s="42" t="s">
        <v>1044</v>
      </c>
    </row>
    <row r="71" ht="14.25" customHeight="1">
      <c r="A71" s="46" t="s">
        <v>1387</v>
      </c>
      <c r="B71" s="46" t="s">
        <v>1388</v>
      </c>
      <c r="C71" s="46" t="s">
        <v>306</v>
      </c>
      <c r="D71" s="46" t="s">
        <v>1389</v>
      </c>
      <c r="E71" s="47">
        <v>1400.0</v>
      </c>
      <c r="F71" s="46" t="s">
        <v>1042</v>
      </c>
      <c r="G71" s="46" t="s">
        <v>1135</v>
      </c>
      <c r="H71" s="46" t="s">
        <v>239</v>
      </c>
      <c r="I71" s="46" t="s">
        <v>239</v>
      </c>
      <c r="J71" s="46" t="s">
        <v>239</v>
      </c>
      <c r="K71" s="46" t="s">
        <v>282</v>
      </c>
      <c r="L71" s="46" t="s">
        <v>1390</v>
      </c>
      <c r="M71" s="46" t="s">
        <v>1012</v>
      </c>
      <c r="N71" s="46" t="s">
        <v>242</v>
      </c>
      <c r="O71" s="46" t="s">
        <v>293</v>
      </c>
      <c r="P71" s="48" t="s">
        <v>1391</v>
      </c>
      <c r="Q71" s="48" t="s">
        <v>1392</v>
      </c>
      <c r="R71" s="46" t="s">
        <v>245</v>
      </c>
      <c r="S71" s="49" t="s">
        <v>1393</v>
      </c>
    </row>
    <row r="72" ht="14.25" customHeight="1">
      <c r="A72" s="38" t="s">
        <v>1394</v>
      </c>
      <c r="B72" s="38" t="s">
        <v>1395</v>
      </c>
      <c r="C72" s="38" t="s">
        <v>1103</v>
      </c>
      <c r="D72" s="38" t="s">
        <v>1396</v>
      </c>
      <c r="E72" s="40">
        <v>70.0</v>
      </c>
      <c r="F72" s="38" t="s">
        <v>1042</v>
      </c>
      <c r="G72" s="38" t="s">
        <v>1055</v>
      </c>
      <c r="H72" s="38" t="s">
        <v>239</v>
      </c>
      <c r="I72" s="38" t="s">
        <v>239</v>
      </c>
      <c r="J72" s="38" t="s">
        <v>239</v>
      </c>
      <c r="K72" s="38" t="s">
        <v>282</v>
      </c>
      <c r="L72" s="38" t="s">
        <v>1056</v>
      </c>
      <c r="M72" s="38" t="s">
        <v>1012</v>
      </c>
      <c r="N72" s="38" t="s">
        <v>242</v>
      </c>
      <c r="O72" s="38" t="s">
        <v>335</v>
      </c>
      <c r="P72" s="41" t="s">
        <v>1397</v>
      </c>
      <c r="Q72" s="41" t="s">
        <v>1398</v>
      </c>
      <c r="R72" s="38" t="s">
        <v>255</v>
      </c>
      <c r="S72" s="42" t="s">
        <v>1044</v>
      </c>
    </row>
    <row r="73" ht="14.25" customHeight="1">
      <c r="A73" s="39" t="s">
        <v>1399</v>
      </c>
      <c r="B73" s="39" t="s">
        <v>1400</v>
      </c>
      <c r="C73" s="39" t="s">
        <v>306</v>
      </c>
      <c r="D73" s="39" t="s">
        <v>1401</v>
      </c>
      <c r="E73" s="43">
        <v>1680.0</v>
      </c>
      <c r="F73" s="39" t="s">
        <v>1042</v>
      </c>
      <c r="G73" s="39" t="s">
        <v>1055</v>
      </c>
      <c r="H73" s="39" t="s">
        <v>239</v>
      </c>
      <c r="I73" s="39" t="s">
        <v>239</v>
      </c>
      <c r="J73" s="39" t="s">
        <v>239</v>
      </c>
      <c r="K73" s="39" t="s">
        <v>282</v>
      </c>
      <c r="L73" s="39" t="s">
        <v>1056</v>
      </c>
      <c r="M73" s="39" t="s">
        <v>1012</v>
      </c>
      <c r="N73" s="39" t="s">
        <v>242</v>
      </c>
      <c r="O73" s="39" t="s">
        <v>335</v>
      </c>
      <c r="P73" s="44" t="s">
        <v>1402</v>
      </c>
      <c r="Q73" s="44" t="s">
        <v>1403</v>
      </c>
      <c r="R73" s="39" t="s">
        <v>255</v>
      </c>
      <c r="S73" s="45" t="s">
        <v>1044</v>
      </c>
    </row>
    <row r="74" ht="14.25" customHeight="1">
      <c r="A74" s="38" t="s">
        <v>1404</v>
      </c>
      <c r="B74" s="38" t="s">
        <v>1405</v>
      </c>
      <c r="C74" s="38" t="s">
        <v>306</v>
      </c>
      <c r="D74" s="38" t="s">
        <v>1406</v>
      </c>
      <c r="E74" s="40">
        <v>1025.0</v>
      </c>
      <c r="F74" s="38" t="s">
        <v>1042</v>
      </c>
      <c r="G74" s="38" t="s">
        <v>1055</v>
      </c>
      <c r="H74" s="38" t="s">
        <v>239</v>
      </c>
      <c r="I74" s="38" t="s">
        <v>239</v>
      </c>
      <c r="J74" s="38" t="s">
        <v>239</v>
      </c>
      <c r="K74" s="38" t="s">
        <v>282</v>
      </c>
      <c r="L74" s="38" t="s">
        <v>1056</v>
      </c>
      <c r="M74" s="38" t="s">
        <v>1012</v>
      </c>
      <c r="N74" s="38" t="s">
        <v>242</v>
      </c>
      <c r="O74" s="38" t="s">
        <v>335</v>
      </c>
      <c r="P74" s="41" t="s">
        <v>1407</v>
      </c>
      <c r="Q74" s="41" t="s">
        <v>1408</v>
      </c>
      <c r="R74" s="38" t="s">
        <v>255</v>
      </c>
      <c r="S74" s="42" t="s">
        <v>1044</v>
      </c>
    </row>
    <row r="75" ht="14.25" customHeight="1">
      <c r="A75" s="39" t="s">
        <v>1409</v>
      </c>
      <c r="B75" s="39" t="s">
        <v>1410</v>
      </c>
      <c r="C75" s="39" t="s">
        <v>306</v>
      </c>
      <c r="D75" s="39" t="s">
        <v>1411</v>
      </c>
      <c r="E75" s="43">
        <v>410.0</v>
      </c>
      <c r="F75" s="39" t="s">
        <v>1042</v>
      </c>
      <c r="G75" s="39" t="s">
        <v>1055</v>
      </c>
      <c r="H75" s="39" t="s">
        <v>239</v>
      </c>
      <c r="I75" s="39" t="s">
        <v>239</v>
      </c>
      <c r="J75" s="39" t="s">
        <v>239</v>
      </c>
      <c r="K75" s="39" t="s">
        <v>282</v>
      </c>
      <c r="L75" s="39" t="s">
        <v>1056</v>
      </c>
      <c r="M75" s="39" t="s">
        <v>1012</v>
      </c>
      <c r="N75" s="39" t="s">
        <v>242</v>
      </c>
      <c r="O75" s="39" t="s">
        <v>335</v>
      </c>
      <c r="P75" s="44" t="s">
        <v>1412</v>
      </c>
      <c r="Q75" s="44" t="s">
        <v>1413</v>
      </c>
      <c r="R75" s="39" t="s">
        <v>255</v>
      </c>
      <c r="S75" s="45" t="s">
        <v>1044</v>
      </c>
    </row>
    <row r="76" ht="14.25" customHeight="1">
      <c r="A76" s="38" t="s">
        <v>1414</v>
      </c>
      <c r="B76" s="38" t="s">
        <v>1415</v>
      </c>
      <c r="C76" s="38" t="s">
        <v>306</v>
      </c>
      <c r="D76" s="38" t="s">
        <v>1416</v>
      </c>
      <c r="E76" s="40">
        <v>560.0</v>
      </c>
      <c r="F76" s="38" t="s">
        <v>1042</v>
      </c>
      <c r="G76" s="38" t="s">
        <v>1055</v>
      </c>
      <c r="H76" s="38" t="s">
        <v>239</v>
      </c>
      <c r="I76" s="38" t="s">
        <v>239</v>
      </c>
      <c r="J76" s="38" t="s">
        <v>239</v>
      </c>
      <c r="K76" s="38" t="s">
        <v>282</v>
      </c>
      <c r="L76" s="38" t="s">
        <v>1056</v>
      </c>
      <c r="M76" s="38" t="s">
        <v>1012</v>
      </c>
      <c r="N76" s="38" t="s">
        <v>242</v>
      </c>
      <c r="O76" s="38" t="s">
        <v>335</v>
      </c>
      <c r="P76" s="41" t="s">
        <v>1417</v>
      </c>
      <c r="Q76" s="41" t="s">
        <v>1418</v>
      </c>
      <c r="R76" s="38" t="s">
        <v>255</v>
      </c>
      <c r="S76" s="42" t="s">
        <v>1044</v>
      </c>
    </row>
    <row r="77" ht="14.25" customHeight="1">
      <c r="A77" s="39" t="s">
        <v>1419</v>
      </c>
      <c r="B77" s="39" t="s">
        <v>1420</v>
      </c>
      <c r="C77" s="39" t="s">
        <v>306</v>
      </c>
      <c r="D77" s="39" t="s">
        <v>1421</v>
      </c>
      <c r="E77" s="43">
        <v>1465.0</v>
      </c>
      <c r="F77" s="39" t="s">
        <v>1042</v>
      </c>
      <c r="G77" s="39" t="s">
        <v>1079</v>
      </c>
      <c r="H77" s="39" t="s">
        <v>239</v>
      </c>
      <c r="I77" s="39" t="s">
        <v>239</v>
      </c>
      <c r="J77" s="39" t="s">
        <v>239</v>
      </c>
      <c r="K77" s="39" t="s">
        <v>282</v>
      </c>
      <c r="L77" s="39" t="s">
        <v>1056</v>
      </c>
      <c r="M77" s="39" t="s">
        <v>1012</v>
      </c>
      <c r="N77" s="39" t="s">
        <v>242</v>
      </c>
      <c r="O77" s="39" t="s">
        <v>335</v>
      </c>
      <c r="P77" s="44" t="s">
        <v>1422</v>
      </c>
      <c r="Q77" s="44" t="s">
        <v>1423</v>
      </c>
      <c r="R77" s="39" t="s">
        <v>255</v>
      </c>
      <c r="S77" s="45" t="s">
        <v>1044</v>
      </c>
    </row>
    <row r="78" ht="14.25" customHeight="1">
      <c r="A78" s="38" t="s">
        <v>1424</v>
      </c>
      <c r="B78" s="38" t="s">
        <v>1425</v>
      </c>
      <c r="C78" s="38" t="s">
        <v>306</v>
      </c>
      <c r="D78" s="38" t="s">
        <v>1426</v>
      </c>
      <c r="E78" s="40">
        <v>570.0</v>
      </c>
      <c r="F78" s="38" t="s">
        <v>1042</v>
      </c>
      <c r="G78" s="38" t="s">
        <v>1086</v>
      </c>
      <c r="H78" s="38" t="s">
        <v>1086</v>
      </c>
      <c r="I78" s="38" t="s">
        <v>1086</v>
      </c>
      <c r="J78" s="38" t="s">
        <v>320</v>
      </c>
      <c r="K78" s="38" t="s">
        <v>282</v>
      </c>
      <c r="L78" s="38" t="s">
        <v>1316</v>
      </c>
      <c r="M78" s="38" t="s">
        <v>1012</v>
      </c>
      <c r="N78" s="38" t="s">
        <v>242</v>
      </c>
      <c r="O78" s="38" t="s">
        <v>335</v>
      </c>
      <c r="P78" s="41" t="s">
        <v>1427</v>
      </c>
      <c r="Q78" s="41" t="s">
        <v>1428</v>
      </c>
      <c r="R78" s="38" t="s">
        <v>255</v>
      </c>
      <c r="S78" s="42" t="s">
        <v>1044</v>
      </c>
    </row>
    <row r="79" ht="14.25" customHeight="1">
      <c r="A79" s="39" t="s">
        <v>1429</v>
      </c>
      <c r="B79" s="39" t="s">
        <v>1430</v>
      </c>
      <c r="C79" s="39" t="s">
        <v>1234</v>
      </c>
      <c r="D79" s="39" t="s">
        <v>1431</v>
      </c>
      <c r="E79" s="43">
        <v>3600.0</v>
      </c>
      <c r="F79" s="39" t="s">
        <v>402</v>
      </c>
      <c r="G79" s="39" t="s">
        <v>402</v>
      </c>
      <c r="H79" s="39" t="s">
        <v>402</v>
      </c>
      <c r="I79" s="39" t="s">
        <v>1095</v>
      </c>
      <c r="J79" s="39" t="s">
        <v>420</v>
      </c>
      <c r="K79" s="39" t="s">
        <v>361</v>
      </c>
      <c r="L79" s="39" t="s">
        <v>1070</v>
      </c>
      <c r="M79" s="39" t="s">
        <v>1071</v>
      </c>
      <c r="N79" s="39" t="s">
        <v>268</v>
      </c>
      <c r="O79" s="39" t="s">
        <v>335</v>
      </c>
      <c r="P79" s="44" t="s">
        <v>1432</v>
      </c>
      <c r="Q79" s="44"/>
      <c r="R79" s="39" t="s">
        <v>255</v>
      </c>
      <c r="S79" s="45" t="s">
        <v>1073</v>
      </c>
    </row>
    <row r="80" ht="14.25" customHeight="1">
      <c r="A80" s="38" t="s">
        <v>1433</v>
      </c>
      <c r="B80" s="38" t="s">
        <v>1434</v>
      </c>
      <c r="C80" s="38" t="s">
        <v>402</v>
      </c>
      <c r="D80" s="38" t="s">
        <v>1435</v>
      </c>
      <c r="E80" s="40">
        <v>0.056</v>
      </c>
      <c r="F80" s="38" t="s">
        <v>402</v>
      </c>
      <c r="G80" s="38" t="s">
        <v>402</v>
      </c>
      <c r="H80" s="38" t="s">
        <v>402</v>
      </c>
      <c r="I80" s="38" t="s">
        <v>402</v>
      </c>
      <c r="J80" s="38" t="s">
        <v>421</v>
      </c>
      <c r="K80" s="38" t="s">
        <v>361</v>
      </c>
      <c r="L80" s="38" t="s">
        <v>1436</v>
      </c>
      <c r="M80" s="38" t="s">
        <v>1071</v>
      </c>
      <c r="N80" s="38" t="s">
        <v>268</v>
      </c>
      <c r="O80" s="38" t="s">
        <v>335</v>
      </c>
      <c r="P80" s="41" t="s">
        <v>1437</v>
      </c>
      <c r="Q80" s="41"/>
      <c r="R80" s="38" t="s">
        <v>255</v>
      </c>
      <c r="S80" s="42" t="s">
        <v>1438</v>
      </c>
    </row>
    <row r="81" ht="14.25" customHeight="1">
      <c r="A81" s="39" t="s">
        <v>1439</v>
      </c>
      <c r="B81" s="39" t="s">
        <v>1440</v>
      </c>
      <c r="C81" s="39" t="s">
        <v>1441</v>
      </c>
      <c r="D81" s="39" t="s">
        <v>1077</v>
      </c>
      <c r="E81" s="43">
        <v>2300.0</v>
      </c>
      <c r="F81" s="39" t="s">
        <v>1042</v>
      </c>
      <c r="G81" s="39" t="s">
        <v>1055</v>
      </c>
      <c r="H81" s="39" t="s">
        <v>239</v>
      </c>
      <c r="I81" s="39" t="s">
        <v>239</v>
      </c>
      <c r="J81" s="39" t="s">
        <v>239</v>
      </c>
      <c r="K81" s="39" t="s">
        <v>282</v>
      </c>
      <c r="L81" s="39" t="s">
        <v>1062</v>
      </c>
      <c r="M81" s="39" t="s">
        <v>1012</v>
      </c>
      <c r="N81" s="39" t="s">
        <v>242</v>
      </c>
      <c r="O81" s="39" t="s">
        <v>335</v>
      </c>
      <c r="P81" s="44" t="s">
        <v>1442</v>
      </c>
      <c r="Q81" s="44" t="s">
        <v>1443</v>
      </c>
      <c r="R81" s="39" t="s">
        <v>255</v>
      </c>
      <c r="S81" s="45" t="s">
        <v>1044</v>
      </c>
    </row>
    <row r="82" ht="14.25" customHeight="1">
      <c r="A82" s="38" t="s">
        <v>1444</v>
      </c>
      <c r="B82" s="38" t="s">
        <v>1445</v>
      </c>
      <c r="C82" s="38" t="s">
        <v>1234</v>
      </c>
      <c r="D82" s="38" t="s">
        <v>1446</v>
      </c>
      <c r="E82" s="40">
        <v>17900.0</v>
      </c>
      <c r="F82" s="38" t="s">
        <v>402</v>
      </c>
      <c r="G82" s="38" t="s">
        <v>402</v>
      </c>
      <c r="H82" s="38" t="s">
        <v>402</v>
      </c>
      <c r="I82" s="38" t="s">
        <v>1069</v>
      </c>
      <c r="J82" s="38" t="s">
        <v>420</v>
      </c>
      <c r="K82" s="38" t="s">
        <v>361</v>
      </c>
      <c r="L82" s="38" t="s">
        <v>1070</v>
      </c>
      <c r="M82" s="38" t="s">
        <v>1071</v>
      </c>
      <c r="N82" s="38" t="s">
        <v>268</v>
      </c>
      <c r="O82" s="38" t="s">
        <v>335</v>
      </c>
      <c r="P82" s="41" t="s">
        <v>1447</v>
      </c>
      <c r="Q82" s="41"/>
      <c r="R82" s="38" t="s">
        <v>255</v>
      </c>
      <c r="S82" s="42" t="s">
        <v>1073</v>
      </c>
    </row>
    <row r="83" ht="14.25" customHeight="1">
      <c r="A83" s="39" t="s">
        <v>1448</v>
      </c>
      <c r="B83" s="39" t="s">
        <v>1449</v>
      </c>
      <c r="C83" s="39" t="s">
        <v>362</v>
      </c>
      <c r="D83" s="39" t="s">
        <v>1450</v>
      </c>
      <c r="E83" s="43">
        <v>9500.0</v>
      </c>
      <c r="F83" s="39" t="s">
        <v>1061</v>
      </c>
      <c r="G83" s="39" t="s">
        <v>1055</v>
      </c>
      <c r="H83" s="39" t="s">
        <v>239</v>
      </c>
      <c r="I83" s="39" t="s">
        <v>239</v>
      </c>
      <c r="J83" s="39" t="s">
        <v>239</v>
      </c>
      <c r="K83" s="39" t="s">
        <v>240</v>
      </c>
      <c r="L83" s="39" t="s">
        <v>1113</v>
      </c>
      <c r="M83" s="39" t="s">
        <v>1063</v>
      </c>
      <c r="N83" s="39" t="s">
        <v>242</v>
      </c>
      <c r="O83" s="39" t="s">
        <v>335</v>
      </c>
      <c r="P83" s="44" t="s">
        <v>1451</v>
      </c>
      <c r="Q83" s="44"/>
      <c r="R83" s="39" t="s">
        <v>255</v>
      </c>
      <c r="S83" s="45" t="s">
        <v>1044</v>
      </c>
    </row>
    <row r="84" ht="14.25" customHeight="1">
      <c r="A84" s="38" t="s">
        <v>1452</v>
      </c>
      <c r="B84" s="38" t="s">
        <v>1449</v>
      </c>
      <c r="C84" s="38" t="s">
        <v>362</v>
      </c>
      <c r="D84" s="38" t="s">
        <v>1453</v>
      </c>
      <c r="E84" s="40">
        <v>9900.0</v>
      </c>
      <c r="F84" s="38" t="s">
        <v>1061</v>
      </c>
      <c r="G84" s="38" t="s">
        <v>1118</v>
      </c>
      <c r="H84" s="38" t="s">
        <v>1119</v>
      </c>
      <c r="I84" s="38" t="s">
        <v>1119</v>
      </c>
      <c r="J84" s="38" t="s">
        <v>405</v>
      </c>
      <c r="K84" s="38" t="s">
        <v>240</v>
      </c>
      <c r="L84" s="38" t="s">
        <v>1120</v>
      </c>
      <c r="M84" s="38" t="s">
        <v>1063</v>
      </c>
      <c r="N84" s="38" t="s">
        <v>242</v>
      </c>
      <c r="O84" s="38" t="s">
        <v>335</v>
      </c>
      <c r="P84" s="41" t="s">
        <v>1454</v>
      </c>
      <c r="Q84" s="41"/>
      <c r="R84" s="38" t="s">
        <v>255</v>
      </c>
      <c r="S84" s="42" t="s">
        <v>1044</v>
      </c>
    </row>
    <row r="85" ht="14.25" customHeight="1">
      <c r="A85" s="39" t="s">
        <v>1455</v>
      </c>
      <c r="B85" s="39" t="s">
        <v>1456</v>
      </c>
      <c r="C85" s="39" t="s">
        <v>306</v>
      </c>
      <c r="D85" s="39" t="s">
        <v>1457</v>
      </c>
      <c r="E85" s="43">
        <v>1420.0</v>
      </c>
      <c r="F85" s="39" t="s">
        <v>1061</v>
      </c>
      <c r="G85" s="39" t="s">
        <v>1079</v>
      </c>
      <c r="H85" s="39" t="s">
        <v>239</v>
      </c>
      <c r="I85" s="39" t="s">
        <v>239</v>
      </c>
      <c r="J85" s="39" t="s">
        <v>239</v>
      </c>
      <c r="K85" s="39" t="s">
        <v>282</v>
      </c>
      <c r="L85" s="39" t="s">
        <v>1062</v>
      </c>
      <c r="M85" s="39" t="s">
        <v>1012</v>
      </c>
      <c r="N85" s="39" t="s">
        <v>242</v>
      </c>
      <c r="O85" s="39" t="s">
        <v>335</v>
      </c>
      <c r="P85" s="44" t="s">
        <v>1458</v>
      </c>
      <c r="Q85" s="44" t="s">
        <v>1459</v>
      </c>
      <c r="R85" s="39" t="s">
        <v>255</v>
      </c>
      <c r="S85" s="45" t="s">
        <v>1044</v>
      </c>
    </row>
    <row r="86" ht="14.25" customHeight="1">
      <c r="A86" s="38" t="s">
        <v>1460</v>
      </c>
      <c r="B86" s="38" t="s">
        <v>1461</v>
      </c>
      <c r="C86" s="38" t="s">
        <v>1103</v>
      </c>
      <c r="D86" s="38" t="s">
        <v>1223</v>
      </c>
      <c r="E86" s="40">
        <v>850.0</v>
      </c>
      <c r="F86" s="38" t="s">
        <v>1061</v>
      </c>
      <c r="G86" s="38" t="s">
        <v>1055</v>
      </c>
      <c r="H86" s="38" t="s">
        <v>239</v>
      </c>
      <c r="I86" s="38" t="s">
        <v>239</v>
      </c>
      <c r="J86" s="38" t="s">
        <v>239</v>
      </c>
      <c r="K86" s="38" t="s">
        <v>240</v>
      </c>
      <c r="L86" s="38" t="s">
        <v>1056</v>
      </c>
      <c r="M86" s="38" t="s">
        <v>1063</v>
      </c>
      <c r="N86" s="38" t="s">
        <v>242</v>
      </c>
      <c r="O86" s="38" t="s">
        <v>335</v>
      </c>
      <c r="P86" s="41" t="s">
        <v>1462</v>
      </c>
      <c r="Q86" s="41"/>
      <c r="R86" s="38" t="s">
        <v>255</v>
      </c>
      <c r="S86" s="42" t="s">
        <v>1044</v>
      </c>
    </row>
    <row r="87" ht="14.25" customHeight="1">
      <c r="A87" s="39" t="s">
        <v>1463</v>
      </c>
      <c r="B87" s="39" t="s">
        <v>1464</v>
      </c>
      <c r="C87" s="39" t="s">
        <v>1103</v>
      </c>
      <c r="D87" s="39" t="s">
        <v>1223</v>
      </c>
      <c r="E87" s="43">
        <v>850.0</v>
      </c>
      <c r="F87" s="39" t="s">
        <v>1061</v>
      </c>
      <c r="G87" s="39" t="s">
        <v>1055</v>
      </c>
      <c r="H87" s="39" t="s">
        <v>239</v>
      </c>
      <c r="I87" s="39" t="s">
        <v>239</v>
      </c>
      <c r="J87" s="39" t="s">
        <v>239</v>
      </c>
      <c r="K87" s="39" t="s">
        <v>240</v>
      </c>
      <c r="L87" s="39" t="s">
        <v>1056</v>
      </c>
      <c r="M87" s="39" t="s">
        <v>1063</v>
      </c>
      <c r="N87" s="39" t="s">
        <v>242</v>
      </c>
      <c r="O87" s="39" t="s">
        <v>335</v>
      </c>
      <c r="P87" s="44" t="s">
        <v>1465</v>
      </c>
      <c r="Q87" s="44"/>
      <c r="R87" s="39" t="s">
        <v>255</v>
      </c>
      <c r="S87" s="45" t="s">
        <v>1044</v>
      </c>
    </row>
    <row r="88" ht="14.25" customHeight="1">
      <c r="A88" s="38" t="s">
        <v>1466</v>
      </c>
      <c r="B88" s="38" t="s">
        <v>1467</v>
      </c>
      <c r="C88" s="38" t="s">
        <v>306</v>
      </c>
      <c r="D88" s="38" t="s">
        <v>1468</v>
      </c>
      <c r="E88" s="40">
        <v>170.0</v>
      </c>
      <c r="F88" s="38" t="s">
        <v>1042</v>
      </c>
      <c r="G88" s="38" t="s">
        <v>386</v>
      </c>
      <c r="H88" s="38" t="s">
        <v>386</v>
      </c>
      <c r="I88" s="38" t="s">
        <v>386</v>
      </c>
      <c r="J88" s="38" t="s">
        <v>386</v>
      </c>
      <c r="K88" s="38" t="s">
        <v>282</v>
      </c>
      <c r="L88" s="38" t="s">
        <v>1469</v>
      </c>
      <c r="M88" s="38" t="s">
        <v>1012</v>
      </c>
      <c r="N88" s="38" t="s">
        <v>242</v>
      </c>
      <c r="O88" s="38" t="s">
        <v>335</v>
      </c>
      <c r="P88" s="41" t="s">
        <v>1470</v>
      </c>
      <c r="Q88" s="41" t="s">
        <v>1471</v>
      </c>
      <c r="R88" s="38" t="s">
        <v>255</v>
      </c>
      <c r="S88" s="42" t="s">
        <v>1044</v>
      </c>
    </row>
    <row r="89" ht="14.25" customHeight="1">
      <c r="A89" s="39" t="s">
        <v>1472</v>
      </c>
      <c r="B89" s="39" t="s">
        <v>1473</v>
      </c>
      <c r="C89" s="39" t="s">
        <v>306</v>
      </c>
      <c r="D89" s="39" t="s">
        <v>1474</v>
      </c>
      <c r="E89" s="43">
        <v>190.0</v>
      </c>
      <c r="F89" s="39" t="s">
        <v>1042</v>
      </c>
      <c r="G89" s="39" t="s">
        <v>386</v>
      </c>
      <c r="H89" s="39" t="s">
        <v>386</v>
      </c>
      <c r="I89" s="39" t="s">
        <v>386</v>
      </c>
      <c r="J89" s="39" t="s">
        <v>386</v>
      </c>
      <c r="K89" s="39" t="s">
        <v>282</v>
      </c>
      <c r="L89" s="39" t="s">
        <v>1469</v>
      </c>
      <c r="M89" s="39" t="s">
        <v>1012</v>
      </c>
      <c r="N89" s="39" t="s">
        <v>242</v>
      </c>
      <c r="O89" s="39" t="s">
        <v>335</v>
      </c>
      <c r="P89" s="44" t="s">
        <v>1475</v>
      </c>
      <c r="Q89" s="44" t="s">
        <v>1476</v>
      </c>
      <c r="R89" s="39" t="s">
        <v>255</v>
      </c>
      <c r="S89" s="45" t="s">
        <v>1044</v>
      </c>
    </row>
    <row r="90" ht="14.25" customHeight="1">
      <c r="A90" s="38" t="s">
        <v>1477</v>
      </c>
      <c r="B90" s="38" t="s">
        <v>1478</v>
      </c>
      <c r="C90" s="38" t="s">
        <v>306</v>
      </c>
      <c r="D90" s="38" t="s">
        <v>1479</v>
      </c>
      <c r="E90" s="40">
        <v>340.0</v>
      </c>
      <c r="F90" s="38" t="s">
        <v>1042</v>
      </c>
      <c r="G90" s="38" t="s">
        <v>1055</v>
      </c>
      <c r="H90" s="38" t="s">
        <v>239</v>
      </c>
      <c r="I90" s="38" t="s">
        <v>239</v>
      </c>
      <c r="J90" s="38" t="s">
        <v>239</v>
      </c>
      <c r="K90" s="38" t="s">
        <v>282</v>
      </c>
      <c r="L90" s="38" t="s">
        <v>1056</v>
      </c>
      <c r="M90" s="38" t="s">
        <v>1012</v>
      </c>
      <c r="N90" s="38" t="s">
        <v>242</v>
      </c>
      <c r="O90" s="38" t="s">
        <v>335</v>
      </c>
      <c r="P90" s="41" t="s">
        <v>1480</v>
      </c>
      <c r="Q90" s="41" t="s">
        <v>1481</v>
      </c>
      <c r="R90" s="38" t="s">
        <v>255</v>
      </c>
      <c r="S90" s="42" t="s">
        <v>1044</v>
      </c>
    </row>
    <row r="91" ht="14.25" customHeight="1">
      <c r="A91" s="39" t="s">
        <v>1482</v>
      </c>
      <c r="B91" s="39" t="s">
        <v>1483</v>
      </c>
      <c r="C91" s="39" t="s">
        <v>306</v>
      </c>
      <c r="D91" s="39" t="s">
        <v>1484</v>
      </c>
      <c r="E91" s="43">
        <v>1520.0</v>
      </c>
      <c r="F91" s="39" t="s">
        <v>1042</v>
      </c>
      <c r="G91" s="39" t="s">
        <v>1086</v>
      </c>
      <c r="H91" s="39" t="s">
        <v>1086</v>
      </c>
      <c r="I91" s="39" t="s">
        <v>1086</v>
      </c>
      <c r="J91" s="39" t="s">
        <v>320</v>
      </c>
      <c r="K91" s="39" t="s">
        <v>282</v>
      </c>
      <c r="L91" s="39" t="s">
        <v>1485</v>
      </c>
      <c r="M91" s="39" t="s">
        <v>1012</v>
      </c>
      <c r="N91" s="39" t="s">
        <v>242</v>
      </c>
      <c r="O91" s="39" t="s">
        <v>335</v>
      </c>
      <c r="P91" s="44" t="s">
        <v>1486</v>
      </c>
      <c r="Q91" s="44" t="s">
        <v>1487</v>
      </c>
      <c r="R91" s="39" t="s">
        <v>255</v>
      </c>
      <c r="S91" s="45" t="s">
        <v>1044</v>
      </c>
    </row>
    <row r="92" ht="14.25" customHeight="1">
      <c r="A92" s="38" t="s">
        <v>1488</v>
      </c>
      <c r="B92" s="38" t="s">
        <v>1489</v>
      </c>
      <c r="C92" s="38" t="s">
        <v>306</v>
      </c>
      <c r="D92" s="38" t="s">
        <v>1490</v>
      </c>
      <c r="E92" s="40">
        <v>2070.0</v>
      </c>
      <c r="F92" s="38" t="s">
        <v>1042</v>
      </c>
      <c r="G92" s="38" t="s">
        <v>1086</v>
      </c>
      <c r="H92" s="38" t="s">
        <v>1086</v>
      </c>
      <c r="I92" s="38" t="s">
        <v>1086</v>
      </c>
      <c r="J92" s="38" t="s">
        <v>320</v>
      </c>
      <c r="K92" s="38" t="s">
        <v>282</v>
      </c>
      <c r="L92" s="38" t="s">
        <v>1485</v>
      </c>
      <c r="M92" s="38" t="s">
        <v>1012</v>
      </c>
      <c r="N92" s="38" t="s">
        <v>242</v>
      </c>
      <c r="O92" s="38" t="s">
        <v>335</v>
      </c>
      <c r="P92" s="41" t="s">
        <v>1491</v>
      </c>
      <c r="Q92" s="41" t="s">
        <v>1492</v>
      </c>
      <c r="R92" s="38" t="s">
        <v>255</v>
      </c>
      <c r="S92" s="42" t="s">
        <v>1044</v>
      </c>
    </row>
    <row r="93" ht="14.25" customHeight="1">
      <c r="A93" s="39" t="s">
        <v>1493</v>
      </c>
      <c r="B93" s="39" t="s">
        <v>1494</v>
      </c>
      <c r="C93" s="39" t="s">
        <v>306</v>
      </c>
      <c r="D93" s="39" t="s">
        <v>1495</v>
      </c>
      <c r="E93" s="43">
        <v>5400.0</v>
      </c>
      <c r="F93" s="39" t="s">
        <v>1042</v>
      </c>
      <c r="G93" s="39" t="s">
        <v>1086</v>
      </c>
      <c r="H93" s="39" t="s">
        <v>1086</v>
      </c>
      <c r="I93" s="39" t="s">
        <v>1086</v>
      </c>
      <c r="J93" s="39" t="s">
        <v>320</v>
      </c>
      <c r="K93" s="39" t="s">
        <v>282</v>
      </c>
      <c r="L93" s="39" t="s">
        <v>1485</v>
      </c>
      <c r="M93" s="39" t="s">
        <v>1012</v>
      </c>
      <c r="N93" s="39" t="s">
        <v>242</v>
      </c>
      <c r="O93" s="39" t="s">
        <v>335</v>
      </c>
      <c r="P93" s="44" t="s">
        <v>1496</v>
      </c>
      <c r="Q93" s="44" t="s">
        <v>1497</v>
      </c>
      <c r="R93" s="39" t="s">
        <v>255</v>
      </c>
      <c r="S93" s="45" t="s">
        <v>1044</v>
      </c>
    </row>
    <row r="94" ht="14.25" customHeight="1">
      <c r="A94" s="38" t="s">
        <v>1498</v>
      </c>
      <c r="B94" s="38" t="s">
        <v>1499</v>
      </c>
      <c r="C94" s="38" t="s">
        <v>306</v>
      </c>
      <c r="D94" s="38" t="s">
        <v>1500</v>
      </c>
      <c r="E94" s="40">
        <v>5566.0</v>
      </c>
      <c r="F94" s="38" t="s">
        <v>1042</v>
      </c>
      <c r="G94" s="38" t="s">
        <v>1368</v>
      </c>
      <c r="H94" s="38" t="s">
        <v>1369</v>
      </c>
      <c r="I94" s="38" t="s">
        <v>1369</v>
      </c>
      <c r="J94" s="38" t="s">
        <v>360</v>
      </c>
      <c r="K94" s="38" t="s">
        <v>282</v>
      </c>
      <c r="L94" s="38" t="s">
        <v>1501</v>
      </c>
      <c r="M94" s="38" t="s">
        <v>1012</v>
      </c>
      <c r="N94" s="38" t="s">
        <v>242</v>
      </c>
      <c r="O94" s="38" t="s">
        <v>335</v>
      </c>
      <c r="P94" s="41" t="s">
        <v>1502</v>
      </c>
      <c r="Q94" s="41" t="s">
        <v>1503</v>
      </c>
      <c r="R94" s="38" t="s">
        <v>255</v>
      </c>
      <c r="S94" s="42" t="s">
        <v>1044</v>
      </c>
    </row>
    <row r="95" ht="14.25" customHeight="1">
      <c r="A95" s="39" t="s">
        <v>1504</v>
      </c>
      <c r="B95" s="39" t="s">
        <v>1505</v>
      </c>
      <c r="C95" s="39" t="s">
        <v>306</v>
      </c>
      <c r="D95" s="39" t="s">
        <v>1506</v>
      </c>
      <c r="E95" s="43">
        <v>810.0</v>
      </c>
      <c r="F95" s="39" t="s">
        <v>1042</v>
      </c>
      <c r="G95" s="39" t="s">
        <v>1368</v>
      </c>
      <c r="H95" s="39" t="s">
        <v>1369</v>
      </c>
      <c r="I95" s="39" t="s">
        <v>1369</v>
      </c>
      <c r="J95" s="39" t="s">
        <v>360</v>
      </c>
      <c r="K95" s="39" t="s">
        <v>282</v>
      </c>
      <c r="L95" s="39" t="s">
        <v>1501</v>
      </c>
      <c r="M95" s="39" t="s">
        <v>1012</v>
      </c>
      <c r="N95" s="39" t="s">
        <v>242</v>
      </c>
      <c r="O95" s="39" t="s">
        <v>335</v>
      </c>
      <c r="P95" s="44" t="s">
        <v>1507</v>
      </c>
      <c r="Q95" s="44" t="s">
        <v>1508</v>
      </c>
      <c r="R95" s="39" t="s">
        <v>255</v>
      </c>
      <c r="S95" s="45" t="s">
        <v>1044</v>
      </c>
    </row>
    <row r="96" ht="14.25" customHeight="1">
      <c r="A96" s="38" t="s">
        <v>1509</v>
      </c>
      <c r="B96" s="38" t="s">
        <v>1510</v>
      </c>
      <c r="C96" s="38" t="s">
        <v>306</v>
      </c>
      <c r="D96" s="38" t="s">
        <v>1511</v>
      </c>
      <c r="E96" s="40">
        <v>8165.0</v>
      </c>
      <c r="F96" s="38" t="s">
        <v>1042</v>
      </c>
      <c r="G96" s="38" t="s">
        <v>1368</v>
      </c>
      <c r="H96" s="38" t="s">
        <v>1369</v>
      </c>
      <c r="I96" s="38" t="s">
        <v>1369</v>
      </c>
      <c r="J96" s="38" t="s">
        <v>360</v>
      </c>
      <c r="K96" s="38" t="s">
        <v>282</v>
      </c>
      <c r="L96" s="38" t="s">
        <v>1501</v>
      </c>
      <c r="M96" s="38" t="s">
        <v>1012</v>
      </c>
      <c r="N96" s="38" t="s">
        <v>242</v>
      </c>
      <c r="O96" s="38" t="s">
        <v>335</v>
      </c>
      <c r="P96" s="41" t="s">
        <v>1512</v>
      </c>
      <c r="Q96" s="41" t="s">
        <v>1513</v>
      </c>
      <c r="R96" s="38" t="s">
        <v>255</v>
      </c>
      <c r="S96" s="42" t="s">
        <v>1044</v>
      </c>
    </row>
    <row r="97" ht="14.25" customHeight="1">
      <c r="A97" s="39" t="s">
        <v>1514</v>
      </c>
      <c r="B97" s="39" t="s">
        <v>1515</v>
      </c>
      <c r="C97" s="39" t="s">
        <v>388</v>
      </c>
      <c r="D97" s="39" t="s">
        <v>1516</v>
      </c>
      <c r="E97" s="43">
        <v>36000.0</v>
      </c>
      <c r="F97" s="39" t="s">
        <v>1061</v>
      </c>
      <c r="G97" s="39" t="s">
        <v>1086</v>
      </c>
      <c r="H97" s="39" t="s">
        <v>1086</v>
      </c>
      <c r="I97" s="39" t="s">
        <v>1086</v>
      </c>
      <c r="J97" s="39" t="s">
        <v>417</v>
      </c>
      <c r="K97" s="39" t="s">
        <v>240</v>
      </c>
      <c r="L97" s="39" t="s">
        <v>1517</v>
      </c>
      <c r="M97" s="39" t="s">
        <v>1063</v>
      </c>
      <c r="N97" s="39" t="s">
        <v>242</v>
      </c>
      <c r="O97" s="39" t="s">
        <v>335</v>
      </c>
      <c r="P97" s="44" t="s">
        <v>1518</v>
      </c>
      <c r="Q97" s="44"/>
      <c r="R97" s="39" t="s">
        <v>255</v>
      </c>
      <c r="S97" s="45" t="s">
        <v>1044</v>
      </c>
    </row>
    <row r="98" ht="14.25" customHeight="1">
      <c r="A98" s="38" t="s">
        <v>1519</v>
      </c>
      <c r="B98" s="38" t="s">
        <v>1520</v>
      </c>
      <c r="C98" s="38" t="s">
        <v>1103</v>
      </c>
      <c r="D98" s="38" t="s">
        <v>1521</v>
      </c>
      <c r="E98" s="40">
        <v>50.0</v>
      </c>
      <c r="F98" s="38" t="s">
        <v>1061</v>
      </c>
      <c r="G98" s="38" t="s">
        <v>1251</v>
      </c>
      <c r="H98" s="38" t="s">
        <v>1251</v>
      </c>
      <c r="I98" s="38" t="s">
        <v>1251</v>
      </c>
      <c r="J98" s="38" t="s">
        <v>409</v>
      </c>
      <c r="K98" s="38" t="s">
        <v>240</v>
      </c>
      <c r="L98" s="38" t="s">
        <v>1522</v>
      </c>
      <c r="M98" s="38" t="s">
        <v>1063</v>
      </c>
      <c r="N98" s="38" t="s">
        <v>242</v>
      </c>
      <c r="O98" s="38" t="s">
        <v>335</v>
      </c>
      <c r="P98" s="41" t="s">
        <v>1523</v>
      </c>
      <c r="Q98" s="41"/>
      <c r="R98" s="38" t="s">
        <v>255</v>
      </c>
      <c r="S98" s="42" t="s">
        <v>1254</v>
      </c>
    </row>
    <row r="99" ht="14.25" customHeight="1">
      <c r="A99" s="39" t="s">
        <v>1524</v>
      </c>
      <c r="B99" s="39" t="s">
        <v>1525</v>
      </c>
      <c r="C99" s="39" t="s">
        <v>388</v>
      </c>
      <c r="D99" s="39" t="s">
        <v>1526</v>
      </c>
      <c r="E99" s="43">
        <v>1000.0</v>
      </c>
      <c r="F99" s="39" t="s">
        <v>1042</v>
      </c>
      <c r="G99" s="39" t="s">
        <v>386</v>
      </c>
      <c r="H99" s="39" t="s">
        <v>386</v>
      </c>
      <c r="I99" s="39" t="s">
        <v>386</v>
      </c>
      <c r="J99" s="39" t="s">
        <v>386</v>
      </c>
      <c r="K99" s="39" t="s">
        <v>282</v>
      </c>
      <c r="L99" s="39" t="s">
        <v>1130</v>
      </c>
      <c r="M99" s="39" t="s">
        <v>1012</v>
      </c>
      <c r="N99" s="39" t="s">
        <v>242</v>
      </c>
      <c r="O99" s="39" t="s">
        <v>335</v>
      </c>
      <c r="P99" s="44" t="s">
        <v>1527</v>
      </c>
      <c r="Q99" s="44" t="s">
        <v>1528</v>
      </c>
      <c r="R99" s="39" t="s">
        <v>255</v>
      </c>
      <c r="S99" s="45" t="s">
        <v>1044</v>
      </c>
    </row>
    <row r="100" ht="14.25" customHeight="1">
      <c r="A100" s="38" t="s">
        <v>1529</v>
      </c>
      <c r="B100" s="38" t="s">
        <v>1530</v>
      </c>
      <c r="C100" s="38" t="s">
        <v>241</v>
      </c>
      <c r="D100" s="38" t="s">
        <v>1531</v>
      </c>
      <c r="E100" s="40">
        <v>300.0</v>
      </c>
      <c r="F100" s="38" t="s">
        <v>1061</v>
      </c>
      <c r="G100" s="38" t="s">
        <v>1200</v>
      </c>
      <c r="H100" s="38" t="s">
        <v>1251</v>
      </c>
      <c r="I100" s="38" t="s">
        <v>1251</v>
      </c>
      <c r="J100" s="38" t="s">
        <v>413</v>
      </c>
      <c r="K100" s="38" t="s">
        <v>240</v>
      </c>
      <c r="L100" s="38" t="s">
        <v>1532</v>
      </c>
      <c r="M100" s="38" t="s">
        <v>1063</v>
      </c>
      <c r="N100" s="38" t="s">
        <v>242</v>
      </c>
      <c r="O100" s="38" t="s">
        <v>335</v>
      </c>
      <c r="P100" s="41" t="s">
        <v>1533</v>
      </c>
      <c r="Q100" s="41"/>
      <c r="R100" s="38" t="s">
        <v>255</v>
      </c>
      <c r="S100" s="42" t="s">
        <v>1254</v>
      </c>
    </row>
    <row r="101" ht="14.25" customHeight="1">
      <c r="A101" s="39" t="s">
        <v>1534</v>
      </c>
      <c r="B101" s="39" t="s">
        <v>1535</v>
      </c>
      <c r="C101" s="39" t="s">
        <v>1053</v>
      </c>
      <c r="D101" s="39" t="s">
        <v>1536</v>
      </c>
      <c r="E101" s="43">
        <v>1300.0</v>
      </c>
      <c r="F101" s="39" t="s">
        <v>1042</v>
      </c>
      <c r="G101" s="39" t="s">
        <v>1055</v>
      </c>
      <c r="H101" s="39" t="s">
        <v>239</v>
      </c>
      <c r="I101" s="39" t="s">
        <v>239</v>
      </c>
      <c r="J101" s="39" t="s">
        <v>239</v>
      </c>
      <c r="K101" s="39" t="s">
        <v>282</v>
      </c>
      <c r="L101" s="39" t="s">
        <v>1056</v>
      </c>
      <c r="M101" s="39" t="s">
        <v>1012</v>
      </c>
      <c r="N101" s="39" t="s">
        <v>242</v>
      </c>
      <c r="O101" s="39" t="s">
        <v>335</v>
      </c>
      <c r="P101" s="44" t="s">
        <v>1537</v>
      </c>
      <c r="Q101" s="44" t="s">
        <v>1538</v>
      </c>
      <c r="R101" s="39" t="s">
        <v>255</v>
      </c>
      <c r="S101" s="45" t="s">
        <v>1044</v>
      </c>
    </row>
    <row r="102" ht="14.25" customHeight="1">
      <c r="A102" s="38" t="s">
        <v>1539</v>
      </c>
      <c r="B102" s="38" t="s">
        <v>1540</v>
      </c>
      <c r="C102" s="38" t="s">
        <v>306</v>
      </c>
      <c r="D102" s="38" t="s">
        <v>1541</v>
      </c>
      <c r="E102" s="40">
        <v>4115.0</v>
      </c>
      <c r="F102" s="38" t="s">
        <v>1042</v>
      </c>
      <c r="G102" s="38" t="s">
        <v>1368</v>
      </c>
      <c r="H102" s="38" t="s">
        <v>1369</v>
      </c>
      <c r="I102" s="38" t="s">
        <v>1369</v>
      </c>
      <c r="J102" s="38" t="s">
        <v>360</v>
      </c>
      <c r="K102" s="38" t="s">
        <v>282</v>
      </c>
      <c r="L102" s="38" t="s">
        <v>1501</v>
      </c>
      <c r="M102" s="38" t="s">
        <v>1012</v>
      </c>
      <c r="N102" s="38" t="s">
        <v>242</v>
      </c>
      <c r="O102" s="38" t="s">
        <v>335</v>
      </c>
      <c r="P102" s="41" t="s">
        <v>1542</v>
      </c>
      <c r="Q102" s="41" t="s">
        <v>1543</v>
      </c>
      <c r="R102" s="38" t="s">
        <v>255</v>
      </c>
      <c r="S102" s="42" t="s">
        <v>1044</v>
      </c>
    </row>
    <row r="103" ht="14.25" customHeight="1">
      <c r="A103" s="39" t="s">
        <v>1544</v>
      </c>
      <c r="B103" s="39" t="s">
        <v>1545</v>
      </c>
      <c r="C103" s="39" t="s">
        <v>1103</v>
      </c>
      <c r="D103" s="39" t="s">
        <v>1546</v>
      </c>
      <c r="E103" s="43">
        <v>10000.0</v>
      </c>
      <c r="F103" s="39" t="s">
        <v>1042</v>
      </c>
      <c r="G103" s="39" t="s">
        <v>386</v>
      </c>
      <c r="H103" s="39" t="s">
        <v>386</v>
      </c>
      <c r="I103" s="39" t="s">
        <v>386</v>
      </c>
      <c r="J103" s="39" t="s">
        <v>386</v>
      </c>
      <c r="K103" s="39" t="s">
        <v>282</v>
      </c>
      <c r="L103" s="39" t="s">
        <v>1130</v>
      </c>
      <c r="M103" s="39" t="s">
        <v>1012</v>
      </c>
      <c r="N103" s="39" t="s">
        <v>242</v>
      </c>
      <c r="O103" s="39" t="s">
        <v>335</v>
      </c>
      <c r="P103" s="44" t="s">
        <v>1547</v>
      </c>
      <c r="Q103" s="44" t="s">
        <v>1548</v>
      </c>
      <c r="R103" s="39" t="s">
        <v>255</v>
      </c>
      <c r="S103" s="45" t="s">
        <v>1044</v>
      </c>
    </row>
    <row r="104" ht="14.25" customHeight="1">
      <c r="A104" s="38" t="s">
        <v>1549</v>
      </c>
      <c r="B104" s="38" t="s">
        <v>1550</v>
      </c>
      <c r="C104" s="38" t="s">
        <v>306</v>
      </c>
      <c r="D104" s="38" t="s">
        <v>1367</v>
      </c>
      <c r="E104" s="40">
        <v>1500.0</v>
      </c>
      <c r="F104" s="38" t="s">
        <v>1042</v>
      </c>
      <c r="G104" s="38" t="s">
        <v>386</v>
      </c>
      <c r="H104" s="38" t="s">
        <v>386</v>
      </c>
      <c r="I104" s="38" t="s">
        <v>386</v>
      </c>
      <c r="J104" s="38" t="s">
        <v>386</v>
      </c>
      <c r="K104" s="38" t="s">
        <v>282</v>
      </c>
      <c r="L104" s="38" t="s">
        <v>1469</v>
      </c>
      <c r="M104" s="38" t="s">
        <v>1012</v>
      </c>
      <c r="N104" s="38" t="s">
        <v>242</v>
      </c>
      <c r="O104" s="38" t="s">
        <v>335</v>
      </c>
      <c r="P104" s="41" t="s">
        <v>1551</v>
      </c>
      <c r="Q104" s="41" t="s">
        <v>1552</v>
      </c>
      <c r="R104" s="38" t="s">
        <v>255</v>
      </c>
      <c r="S104" s="42" t="s">
        <v>1044</v>
      </c>
    </row>
    <row r="105" ht="14.25" customHeight="1">
      <c r="A105" s="39" t="s">
        <v>1553</v>
      </c>
      <c r="B105" s="39" t="s">
        <v>1554</v>
      </c>
      <c r="C105" s="39" t="s">
        <v>306</v>
      </c>
      <c r="D105" s="39" t="s">
        <v>1555</v>
      </c>
      <c r="E105" s="43">
        <v>4000.0</v>
      </c>
      <c r="F105" s="39" t="s">
        <v>1042</v>
      </c>
      <c r="G105" s="39" t="s">
        <v>1055</v>
      </c>
      <c r="H105" s="39" t="s">
        <v>239</v>
      </c>
      <c r="I105" s="39" t="s">
        <v>239</v>
      </c>
      <c r="J105" s="39" t="s">
        <v>239</v>
      </c>
      <c r="K105" s="39" t="s">
        <v>282</v>
      </c>
      <c r="L105" s="39" t="s">
        <v>1062</v>
      </c>
      <c r="M105" s="39" t="s">
        <v>1012</v>
      </c>
      <c r="N105" s="39" t="s">
        <v>242</v>
      </c>
      <c r="O105" s="39" t="s">
        <v>335</v>
      </c>
      <c r="P105" s="44" t="s">
        <v>1556</v>
      </c>
      <c r="Q105" s="44" t="s">
        <v>1557</v>
      </c>
      <c r="R105" s="39" t="s">
        <v>255</v>
      </c>
      <c r="S105" s="45" t="s">
        <v>1044</v>
      </c>
    </row>
    <row r="106" ht="14.25" customHeight="1">
      <c r="A106" s="38" t="s">
        <v>1558</v>
      </c>
      <c r="B106" s="38" t="s">
        <v>1559</v>
      </c>
      <c r="C106" s="38" t="s">
        <v>1103</v>
      </c>
      <c r="D106" s="38" t="s">
        <v>1560</v>
      </c>
      <c r="E106" s="40">
        <v>4010.0</v>
      </c>
      <c r="F106" s="38" t="s">
        <v>1042</v>
      </c>
      <c r="G106" s="38" t="s">
        <v>1368</v>
      </c>
      <c r="H106" s="38" t="s">
        <v>1369</v>
      </c>
      <c r="I106" s="38" t="s">
        <v>1369</v>
      </c>
      <c r="J106" s="38" t="s">
        <v>360</v>
      </c>
      <c r="K106" s="38" t="s">
        <v>282</v>
      </c>
      <c r="L106" s="38" t="s">
        <v>1384</v>
      </c>
      <c r="M106" s="38" t="s">
        <v>1012</v>
      </c>
      <c r="N106" s="38" t="s">
        <v>242</v>
      </c>
      <c r="O106" s="38" t="s">
        <v>335</v>
      </c>
      <c r="P106" s="41" t="s">
        <v>1561</v>
      </c>
      <c r="Q106" s="41" t="s">
        <v>1562</v>
      </c>
      <c r="R106" s="38" t="s">
        <v>255</v>
      </c>
      <c r="S106" s="42" t="s">
        <v>1044</v>
      </c>
    </row>
    <row r="107" ht="14.25" customHeight="1">
      <c r="A107" s="39" t="s">
        <v>1563</v>
      </c>
      <c r="B107" s="39" t="s">
        <v>1564</v>
      </c>
      <c r="C107" s="39" t="s">
        <v>306</v>
      </c>
      <c r="D107" s="39" t="s">
        <v>1565</v>
      </c>
      <c r="E107" s="43">
        <v>3640.0</v>
      </c>
      <c r="F107" s="39" t="s">
        <v>1042</v>
      </c>
      <c r="G107" s="39" t="s">
        <v>1368</v>
      </c>
      <c r="H107" s="39" t="s">
        <v>1369</v>
      </c>
      <c r="I107" s="39" t="s">
        <v>1369</v>
      </c>
      <c r="J107" s="39" t="s">
        <v>360</v>
      </c>
      <c r="K107" s="39" t="s">
        <v>282</v>
      </c>
      <c r="L107" s="39" t="s">
        <v>1501</v>
      </c>
      <c r="M107" s="39" t="s">
        <v>1012</v>
      </c>
      <c r="N107" s="39" t="s">
        <v>242</v>
      </c>
      <c r="O107" s="39" t="s">
        <v>335</v>
      </c>
      <c r="P107" s="44" t="s">
        <v>1566</v>
      </c>
      <c r="Q107" s="44" t="s">
        <v>1567</v>
      </c>
      <c r="R107" s="39" t="s">
        <v>255</v>
      </c>
      <c r="S107" s="45" t="s">
        <v>1044</v>
      </c>
    </row>
    <row r="108" ht="14.25" customHeight="1">
      <c r="A108" s="38" t="s">
        <v>1568</v>
      </c>
      <c r="B108" s="38" t="s">
        <v>1569</v>
      </c>
      <c r="C108" s="38" t="s">
        <v>418</v>
      </c>
      <c r="D108" s="38" t="s">
        <v>1289</v>
      </c>
      <c r="E108" s="40">
        <v>330.0</v>
      </c>
      <c r="F108" s="38" t="s">
        <v>1042</v>
      </c>
      <c r="G108" s="38" t="s">
        <v>1055</v>
      </c>
      <c r="H108" s="38" t="s">
        <v>239</v>
      </c>
      <c r="I108" s="38" t="s">
        <v>239</v>
      </c>
      <c r="J108" s="38" t="s">
        <v>239</v>
      </c>
      <c r="K108" s="38" t="s">
        <v>282</v>
      </c>
      <c r="L108" s="38" t="s">
        <v>1113</v>
      </c>
      <c r="M108" s="38" t="s">
        <v>1012</v>
      </c>
      <c r="N108" s="38" t="s">
        <v>242</v>
      </c>
      <c r="O108" s="38" t="s">
        <v>335</v>
      </c>
      <c r="P108" s="41" t="s">
        <v>1570</v>
      </c>
      <c r="Q108" s="41" t="s">
        <v>1571</v>
      </c>
      <c r="R108" s="38" t="s">
        <v>255</v>
      </c>
      <c r="S108" s="42" t="s">
        <v>1044</v>
      </c>
    </row>
    <row r="109" ht="14.25" customHeight="1">
      <c r="A109" s="39" t="s">
        <v>1572</v>
      </c>
      <c r="B109" s="39" t="s">
        <v>1573</v>
      </c>
      <c r="C109" s="39" t="s">
        <v>306</v>
      </c>
      <c r="D109" s="39" t="s">
        <v>1574</v>
      </c>
      <c r="E109" s="43">
        <v>3910.0</v>
      </c>
      <c r="F109" s="39" t="s">
        <v>1042</v>
      </c>
      <c r="G109" s="39" t="s">
        <v>1368</v>
      </c>
      <c r="H109" s="39" t="s">
        <v>1369</v>
      </c>
      <c r="I109" s="39" t="s">
        <v>1369</v>
      </c>
      <c r="J109" s="39" t="s">
        <v>360</v>
      </c>
      <c r="K109" s="39" t="s">
        <v>282</v>
      </c>
      <c r="L109" s="39" t="s">
        <v>1316</v>
      </c>
      <c r="M109" s="39" t="s">
        <v>1012</v>
      </c>
      <c r="N109" s="39" t="s">
        <v>242</v>
      </c>
      <c r="O109" s="39" t="s">
        <v>335</v>
      </c>
      <c r="P109" s="44" t="s">
        <v>1575</v>
      </c>
      <c r="Q109" s="44" t="s">
        <v>1576</v>
      </c>
      <c r="R109" s="39" t="s">
        <v>255</v>
      </c>
      <c r="S109" s="45" t="s">
        <v>1044</v>
      </c>
    </row>
    <row r="110" ht="14.25" customHeight="1">
      <c r="A110" s="46" t="s">
        <v>1577</v>
      </c>
      <c r="B110" s="46" t="s">
        <v>1578</v>
      </c>
      <c r="C110" s="46" t="s">
        <v>388</v>
      </c>
      <c r="D110" s="46" t="s">
        <v>1579</v>
      </c>
      <c r="E110" s="47">
        <v>9000.0</v>
      </c>
      <c r="F110" s="46" t="s">
        <v>1042</v>
      </c>
      <c r="G110" s="46" t="s">
        <v>1200</v>
      </c>
      <c r="H110" s="46" t="s">
        <v>1200</v>
      </c>
      <c r="I110" s="46" t="s">
        <v>1200</v>
      </c>
      <c r="J110" s="46" t="s">
        <v>399</v>
      </c>
      <c r="K110" s="46" t="s">
        <v>282</v>
      </c>
      <c r="L110" s="46" t="s">
        <v>1012</v>
      </c>
      <c r="M110" s="46" t="s">
        <v>1012</v>
      </c>
      <c r="N110" s="46" t="s">
        <v>242</v>
      </c>
      <c r="O110" s="46" t="s">
        <v>293</v>
      </c>
      <c r="P110" s="48" t="s">
        <v>1580</v>
      </c>
      <c r="Q110" s="48" t="s">
        <v>1581</v>
      </c>
      <c r="R110" s="46" t="s">
        <v>245</v>
      </c>
      <c r="S110" s="49" t="s">
        <v>1044</v>
      </c>
    </row>
    <row r="111" ht="14.25" customHeight="1">
      <c r="A111" s="39" t="s">
        <v>1582</v>
      </c>
      <c r="B111" s="39" t="s">
        <v>1583</v>
      </c>
      <c r="C111" s="39" t="s">
        <v>418</v>
      </c>
      <c r="D111" s="39" t="s">
        <v>1219</v>
      </c>
      <c r="E111" s="43">
        <v>2000.0</v>
      </c>
      <c r="F111" s="39" t="s">
        <v>1042</v>
      </c>
      <c r="G111" s="39" t="s">
        <v>1055</v>
      </c>
      <c r="H111" s="39" t="s">
        <v>239</v>
      </c>
      <c r="I111" s="39" t="s">
        <v>239</v>
      </c>
      <c r="J111" s="39" t="s">
        <v>239</v>
      </c>
      <c r="K111" s="39" t="s">
        <v>282</v>
      </c>
      <c r="L111" s="39" t="s">
        <v>1062</v>
      </c>
      <c r="M111" s="39" t="s">
        <v>1012</v>
      </c>
      <c r="N111" s="39" t="s">
        <v>242</v>
      </c>
      <c r="O111" s="39" t="s">
        <v>335</v>
      </c>
      <c r="P111" s="44" t="s">
        <v>1584</v>
      </c>
      <c r="Q111" s="44" t="s">
        <v>1585</v>
      </c>
      <c r="R111" s="39" t="s">
        <v>255</v>
      </c>
      <c r="S111" s="45" t="s">
        <v>1044</v>
      </c>
    </row>
    <row r="112" ht="14.25" customHeight="1">
      <c r="A112" s="38" t="s">
        <v>1586</v>
      </c>
      <c r="B112" s="38" t="s">
        <v>1587</v>
      </c>
      <c r="C112" s="38" t="s">
        <v>362</v>
      </c>
      <c r="D112" s="38" t="s">
        <v>1588</v>
      </c>
      <c r="E112" s="40">
        <v>500.0</v>
      </c>
      <c r="F112" s="38" t="s">
        <v>1061</v>
      </c>
      <c r="G112" s="38" t="s">
        <v>1195</v>
      </c>
      <c r="H112" s="38" t="s">
        <v>1195</v>
      </c>
      <c r="I112" s="38" t="s">
        <v>1195</v>
      </c>
      <c r="J112" s="38" t="s">
        <v>399</v>
      </c>
      <c r="K112" s="38" t="s">
        <v>240</v>
      </c>
      <c r="L112" s="38" t="s">
        <v>1012</v>
      </c>
      <c r="M112" s="38" t="s">
        <v>1063</v>
      </c>
      <c r="N112" s="38" t="s">
        <v>242</v>
      </c>
      <c r="O112" s="38" t="s">
        <v>335</v>
      </c>
      <c r="P112" s="41" t="s">
        <v>1589</v>
      </c>
      <c r="Q112" s="41"/>
      <c r="R112" s="38" t="s">
        <v>255</v>
      </c>
      <c r="S112" s="42" t="s">
        <v>1044</v>
      </c>
    </row>
    <row r="113" ht="14.25" customHeight="1">
      <c r="A113" s="39" t="s">
        <v>1590</v>
      </c>
      <c r="B113" s="39" t="s">
        <v>1591</v>
      </c>
      <c r="C113" s="39" t="s">
        <v>362</v>
      </c>
      <c r="D113" s="39" t="s">
        <v>1352</v>
      </c>
      <c r="E113" s="43">
        <v>400.0</v>
      </c>
      <c r="F113" s="39" t="s">
        <v>1061</v>
      </c>
      <c r="G113" s="39" t="s">
        <v>1195</v>
      </c>
      <c r="H113" s="39" t="s">
        <v>1195</v>
      </c>
      <c r="I113" s="39" t="s">
        <v>1195</v>
      </c>
      <c r="J113" s="39" t="s">
        <v>399</v>
      </c>
      <c r="K113" s="39" t="s">
        <v>240</v>
      </c>
      <c r="L113" s="39" t="s">
        <v>1012</v>
      </c>
      <c r="M113" s="39" t="s">
        <v>1063</v>
      </c>
      <c r="N113" s="39" t="s">
        <v>242</v>
      </c>
      <c r="O113" s="39" t="s">
        <v>335</v>
      </c>
      <c r="P113" s="44" t="s">
        <v>1592</v>
      </c>
      <c r="Q113" s="44"/>
      <c r="R113" s="39" t="s">
        <v>255</v>
      </c>
      <c r="S113" s="45" t="s">
        <v>1044</v>
      </c>
    </row>
    <row r="114" ht="14.25" customHeight="1">
      <c r="A114" s="38" t="s">
        <v>1593</v>
      </c>
      <c r="B114" s="38" t="s">
        <v>1594</v>
      </c>
      <c r="C114" s="38" t="s">
        <v>362</v>
      </c>
      <c r="D114" s="38" t="s">
        <v>1184</v>
      </c>
      <c r="E114" s="40">
        <v>1100.0</v>
      </c>
      <c r="F114" s="38" t="s">
        <v>1061</v>
      </c>
      <c r="G114" s="38" t="s">
        <v>1195</v>
      </c>
      <c r="H114" s="38" t="s">
        <v>1195</v>
      </c>
      <c r="I114" s="38" t="s">
        <v>1200</v>
      </c>
      <c r="J114" s="38" t="s">
        <v>399</v>
      </c>
      <c r="K114" s="38" t="s">
        <v>240</v>
      </c>
      <c r="L114" s="38" t="s">
        <v>1196</v>
      </c>
      <c r="M114" s="38" t="s">
        <v>1063</v>
      </c>
      <c r="N114" s="38" t="s">
        <v>242</v>
      </c>
      <c r="O114" s="38" t="s">
        <v>335</v>
      </c>
      <c r="P114" s="41" t="s">
        <v>1595</v>
      </c>
      <c r="Q114" s="41"/>
      <c r="R114" s="38" t="s">
        <v>255</v>
      </c>
      <c r="S114" s="42" t="s">
        <v>1044</v>
      </c>
    </row>
    <row r="115" ht="14.25" customHeight="1">
      <c r="A115" s="39" t="s">
        <v>1596</v>
      </c>
      <c r="B115" s="39" t="s">
        <v>1597</v>
      </c>
      <c r="C115" s="39" t="s">
        <v>388</v>
      </c>
      <c r="D115" s="39" t="s">
        <v>1598</v>
      </c>
      <c r="E115" s="43">
        <v>30000.0</v>
      </c>
      <c r="F115" s="39" t="s">
        <v>1061</v>
      </c>
      <c r="G115" s="39" t="s">
        <v>1055</v>
      </c>
      <c r="H115" s="39" t="s">
        <v>239</v>
      </c>
      <c r="I115" s="39" t="s">
        <v>239</v>
      </c>
      <c r="J115" s="39" t="s">
        <v>239</v>
      </c>
      <c r="K115" s="39" t="s">
        <v>240</v>
      </c>
      <c r="L115" s="39" t="s">
        <v>1056</v>
      </c>
      <c r="M115" s="39" t="s">
        <v>1063</v>
      </c>
      <c r="N115" s="39" t="s">
        <v>242</v>
      </c>
      <c r="O115" s="39" t="s">
        <v>335</v>
      </c>
      <c r="P115" s="44" t="s">
        <v>1599</v>
      </c>
      <c r="Q115" s="44"/>
      <c r="R115" s="39" t="s">
        <v>255</v>
      </c>
      <c r="S115" s="45" t="s">
        <v>1044</v>
      </c>
    </row>
    <row r="116" ht="14.25" customHeight="1">
      <c r="A116" s="38" t="s">
        <v>1600</v>
      </c>
      <c r="B116" s="38" t="s">
        <v>1601</v>
      </c>
      <c r="C116" s="38" t="s">
        <v>306</v>
      </c>
      <c r="D116" s="38" t="s">
        <v>1257</v>
      </c>
      <c r="E116" s="40">
        <v>3500.0</v>
      </c>
      <c r="F116" s="38" t="s">
        <v>1061</v>
      </c>
      <c r="G116" s="38" t="s">
        <v>386</v>
      </c>
      <c r="H116" s="38" t="s">
        <v>386</v>
      </c>
      <c r="I116" s="38" t="s">
        <v>386</v>
      </c>
      <c r="J116" s="38" t="s">
        <v>386</v>
      </c>
      <c r="K116" s="38" t="s">
        <v>240</v>
      </c>
      <c r="L116" s="38" t="s">
        <v>1602</v>
      </c>
      <c r="M116" s="38" t="s">
        <v>1063</v>
      </c>
      <c r="N116" s="38" t="s">
        <v>242</v>
      </c>
      <c r="O116" s="38" t="s">
        <v>335</v>
      </c>
      <c r="P116" s="41" t="s">
        <v>1603</v>
      </c>
      <c r="Q116" s="41"/>
      <c r="R116" s="38" t="s">
        <v>255</v>
      </c>
      <c r="S116" s="42" t="s">
        <v>1044</v>
      </c>
    </row>
    <row r="117" ht="14.25" customHeight="1">
      <c r="A117" s="39" t="s">
        <v>1604</v>
      </c>
      <c r="B117" s="39" t="s">
        <v>1605</v>
      </c>
      <c r="C117" s="39" t="s">
        <v>306</v>
      </c>
      <c r="D117" s="39" t="s">
        <v>1117</v>
      </c>
      <c r="E117" s="43">
        <v>15000.0</v>
      </c>
      <c r="F117" s="39" t="s">
        <v>1061</v>
      </c>
      <c r="G117" s="39" t="s">
        <v>1368</v>
      </c>
      <c r="H117" s="39" t="s">
        <v>1369</v>
      </c>
      <c r="I117" s="39" t="s">
        <v>1369</v>
      </c>
      <c r="J117" s="39" t="s">
        <v>360</v>
      </c>
      <c r="K117" s="39" t="s">
        <v>240</v>
      </c>
      <c r="L117" s="39" t="s">
        <v>1501</v>
      </c>
      <c r="M117" s="39" t="s">
        <v>1063</v>
      </c>
      <c r="N117" s="39" t="s">
        <v>242</v>
      </c>
      <c r="O117" s="39" t="s">
        <v>335</v>
      </c>
      <c r="P117" s="44" t="s">
        <v>1606</v>
      </c>
      <c r="Q117" s="44"/>
      <c r="R117" s="39" t="s">
        <v>255</v>
      </c>
      <c r="S117" s="45" t="s">
        <v>1044</v>
      </c>
    </row>
    <row r="118" ht="14.25" customHeight="1">
      <c r="A118" s="38" t="s">
        <v>1607</v>
      </c>
      <c r="B118" s="38" t="s">
        <v>1608</v>
      </c>
      <c r="C118" s="38" t="s">
        <v>306</v>
      </c>
      <c r="D118" s="38" t="s">
        <v>1367</v>
      </c>
      <c r="E118" s="40">
        <v>1500.0</v>
      </c>
      <c r="F118" s="38" t="s">
        <v>1061</v>
      </c>
      <c r="G118" s="38" t="s">
        <v>386</v>
      </c>
      <c r="H118" s="38" t="s">
        <v>386</v>
      </c>
      <c r="I118" s="38" t="s">
        <v>386</v>
      </c>
      <c r="J118" s="38" t="s">
        <v>386</v>
      </c>
      <c r="K118" s="38" t="s">
        <v>240</v>
      </c>
      <c r="L118" s="38" t="s">
        <v>1130</v>
      </c>
      <c r="M118" s="38" t="s">
        <v>1063</v>
      </c>
      <c r="N118" s="38" t="s">
        <v>242</v>
      </c>
      <c r="O118" s="38" t="s">
        <v>335</v>
      </c>
      <c r="P118" s="41" t="s">
        <v>1609</v>
      </c>
      <c r="Q118" s="41"/>
      <c r="R118" s="38" t="s">
        <v>255</v>
      </c>
      <c r="S118" s="42" t="s">
        <v>1044</v>
      </c>
    </row>
    <row r="119" ht="14.25" customHeight="1">
      <c r="A119" s="39" t="s">
        <v>1610</v>
      </c>
      <c r="B119" s="39" t="s">
        <v>1611</v>
      </c>
      <c r="C119" s="39" t="s">
        <v>306</v>
      </c>
      <c r="D119" s="39" t="s">
        <v>1184</v>
      </c>
      <c r="E119" s="43">
        <v>1100.0</v>
      </c>
      <c r="F119" s="39" t="s">
        <v>1061</v>
      </c>
      <c r="G119" s="39" t="s">
        <v>386</v>
      </c>
      <c r="H119" s="39" t="s">
        <v>386</v>
      </c>
      <c r="I119" s="39" t="s">
        <v>386</v>
      </c>
      <c r="J119" s="39" t="s">
        <v>386</v>
      </c>
      <c r="K119" s="39" t="s">
        <v>240</v>
      </c>
      <c r="L119" s="39" t="s">
        <v>1130</v>
      </c>
      <c r="M119" s="39" t="s">
        <v>1063</v>
      </c>
      <c r="N119" s="39" t="s">
        <v>242</v>
      </c>
      <c r="O119" s="39" t="s">
        <v>335</v>
      </c>
      <c r="P119" s="44" t="s">
        <v>1612</v>
      </c>
      <c r="Q119" s="44"/>
      <c r="R119" s="39" t="s">
        <v>255</v>
      </c>
      <c r="S119" s="45" t="s">
        <v>1044</v>
      </c>
    </row>
    <row r="120" ht="14.25" customHeight="1">
      <c r="A120" s="38" t="s">
        <v>1613</v>
      </c>
      <c r="B120" s="38" t="s">
        <v>1614</v>
      </c>
      <c r="C120" s="38" t="s">
        <v>1103</v>
      </c>
      <c r="D120" s="38" t="s">
        <v>1615</v>
      </c>
      <c r="E120" s="40">
        <v>3000.0</v>
      </c>
      <c r="F120" s="38" t="s">
        <v>1061</v>
      </c>
      <c r="G120" s="38" t="s">
        <v>386</v>
      </c>
      <c r="H120" s="38" t="s">
        <v>386</v>
      </c>
      <c r="I120" s="38" t="s">
        <v>386</v>
      </c>
      <c r="J120" s="38" t="s">
        <v>386</v>
      </c>
      <c r="K120" s="38" t="s">
        <v>240</v>
      </c>
      <c r="L120" s="38" t="s">
        <v>1602</v>
      </c>
      <c r="M120" s="38" t="s">
        <v>1063</v>
      </c>
      <c r="N120" s="38" t="s">
        <v>242</v>
      </c>
      <c r="O120" s="38" t="s">
        <v>335</v>
      </c>
      <c r="P120" s="41" t="s">
        <v>1616</v>
      </c>
      <c r="Q120" s="41"/>
      <c r="R120" s="38" t="s">
        <v>255</v>
      </c>
      <c r="S120" s="42" t="s">
        <v>1044</v>
      </c>
    </row>
    <row r="121" ht="14.25" customHeight="1">
      <c r="A121" s="39" t="s">
        <v>1617</v>
      </c>
      <c r="B121" s="39" t="s">
        <v>1618</v>
      </c>
      <c r="C121" s="39" t="s">
        <v>306</v>
      </c>
      <c r="D121" s="39" t="s">
        <v>1367</v>
      </c>
      <c r="E121" s="43">
        <v>1500.0</v>
      </c>
      <c r="F121" s="39" t="s">
        <v>1061</v>
      </c>
      <c r="G121" s="39" t="s">
        <v>1135</v>
      </c>
      <c r="H121" s="39" t="s">
        <v>239</v>
      </c>
      <c r="I121" s="39" t="s">
        <v>239</v>
      </c>
      <c r="J121" s="39" t="s">
        <v>239</v>
      </c>
      <c r="K121" s="39" t="s">
        <v>240</v>
      </c>
      <c r="L121" s="39" t="s">
        <v>1390</v>
      </c>
      <c r="M121" s="39" t="s">
        <v>1063</v>
      </c>
      <c r="N121" s="39" t="s">
        <v>242</v>
      </c>
      <c r="O121" s="39" t="s">
        <v>335</v>
      </c>
      <c r="P121" s="44" t="s">
        <v>1619</v>
      </c>
      <c r="Q121" s="44"/>
      <c r="R121" s="39" t="s">
        <v>255</v>
      </c>
      <c r="S121" s="45" t="s">
        <v>1044</v>
      </c>
    </row>
    <row r="122" ht="14.25" customHeight="1">
      <c r="A122" s="38" t="s">
        <v>1620</v>
      </c>
      <c r="B122" s="38" t="s">
        <v>1621</v>
      </c>
      <c r="C122" s="38" t="s">
        <v>306</v>
      </c>
      <c r="D122" s="38" t="s">
        <v>1622</v>
      </c>
      <c r="E122" s="40">
        <v>2200.0</v>
      </c>
      <c r="F122" s="38" t="s">
        <v>1061</v>
      </c>
      <c r="G122" s="38" t="s">
        <v>1368</v>
      </c>
      <c r="H122" s="38" t="s">
        <v>1369</v>
      </c>
      <c r="I122" s="38" t="s">
        <v>1369</v>
      </c>
      <c r="J122" s="38" t="s">
        <v>360</v>
      </c>
      <c r="K122" s="38" t="s">
        <v>240</v>
      </c>
      <c r="L122" s="38" t="s">
        <v>1384</v>
      </c>
      <c r="M122" s="38" t="s">
        <v>1063</v>
      </c>
      <c r="N122" s="38" t="s">
        <v>242</v>
      </c>
      <c r="O122" s="38" t="s">
        <v>335</v>
      </c>
      <c r="P122" s="41" t="s">
        <v>1623</v>
      </c>
      <c r="Q122" s="41"/>
      <c r="R122" s="38" t="s">
        <v>255</v>
      </c>
      <c r="S122" s="42" t="s">
        <v>1044</v>
      </c>
    </row>
    <row r="123" ht="14.25" customHeight="1">
      <c r="A123" s="39" t="s">
        <v>1624</v>
      </c>
      <c r="B123" s="39" t="s">
        <v>1625</v>
      </c>
      <c r="C123" s="39" t="s">
        <v>241</v>
      </c>
      <c r="D123" s="39" t="s">
        <v>1315</v>
      </c>
      <c r="E123" s="43">
        <v>650.0</v>
      </c>
      <c r="F123" s="39" t="s">
        <v>1061</v>
      </c>
      <c r="G123" s="39" t="s">
        <v>1055</v>
      </c>
      <c r="H123" s="39" t="s">
        <v>239</v>
      </c>
      <c r="I123" s="39" t="s">
        <v>239</v>
      </c>
      <c r="J123" s="39" t="s">
        <v>239</v>
      </c>
      <c r="K123" s="39" t="s">
        <v>240</v>
      </c>
      <c r="L123" s="39" t="s">
        <v>1062</v>
      </c>
      <c r="M123" s="39" t="s">
        <v>1063</v>
      </c>
      <c r="N123" s="39" t="s">
        <v>242</v>
      </c>
      <c r="O123" s="39" t="s">
        <v>335</v>
      </c>
      <c r="P123" s="44" t="s">
        <v>1626</v>
      </c>
      <c r="Q123" s="44"/>
      <c r="R123" s="39" t="s">
        <v>255</v>
      </c>
      <c r="S123" s="45" t="s">
        <v>1044</v>
      </c>
    </row>
    <row r="124" ht="14.25" customHeight="1">
      <c r="A124" s="38" t="s">
        <v>1627</v>
      </c>
      <c r="B124" s="38" t="s">
        <v>1628</v>
      </c>
      <c r="C124" s="38" t="s">
        <v>306</v>
      </c>
      <c r="D124" s="38" t="s">
        <v>1204</v>
      </c>
      <c r="E124" s="40">
        <v>6500.0</v>
      </c>
      <c r="F124" s="38" t="s">
        <v>1061</v>
      </c>
      <c r="G124" s="38" t="s">
        <v>1086</v>
      </c>
      <c r="H124" s="38" t="s">
        <v>1086</v>
      </c>
      <c r="I124" s="38" t="s">
        <v>1086</v>
      </c>
      <c r="J124" s="38" t="s">
        <v>320</v>
      </c>
      <c r="K124" s="38" t="s">
        <v>240</v>
      </c>
      <c r="L124" s="38" t="s">
        <v>1629</v>
      </c>
      <c r="M124" s="38" t="s">
        <v>1063</v>
      </c>
      <c r="N124" s="38" t="s">
        <v>242</v>
      </c>
      <c r="O124" s="38" t="s">
        <v>335</v>
      </c>
      <c r="P124" s="41" t="s">
        <v>1630</v>
      </c>
      <c r="Q124" s="41"/>
      <c r="R124" s="38" t="s">
        <v>255</v>
      </c>
      <c r="S124" s="42" t="s">
        <v>1044</v>
      </c>
    </row>
    <row r="125" ht="14.25" customHeight="1">
      <c r="A125" s="39" t="s">
        <v>1631</v>
      </c>
      <c r="B125" s="39" t="s">
        <v>1632</v>
      </c>
      <c r="C125" s="39" t="s">
        <v>306</v>
      </c>
      <c r="D125" s="39" t="s">
        <v>1633</v>
      </c>
      <c r="E125" s="43">
        <v>3800.0</v>
      </c>
      <c r="F125" s="39" t="s">
        <v>1061</v>
      </c>
      <c r="G125" s="39" t="s">
        <v>1086</v>
      </c>
      <c r="H125" s="39" t="s">
        <v>1086</v>
      </c>
      <c r="I125" s="39" t="s">
        <v>1086</v>
      </c>
      <c r="J125" s="39" t="s">
        <v>320</v>
      </c>
      <c r="K125" s="39" t="s">
        <v>240</v>
      </c>
      <c r="L125" s="39" t="s">
        <v>1629</v>
      </c>
      <c r="M125" s="39" t="s">
        <v>1063</v>
      </c>
      <c r="N125" s="39" t="s">
        <v>242</v>
      </c>
      <c r="O125" s="39" t="s">
        <v>335</v>
      </c>
      <c r="P125" s="44" t="s">
        <v>1634</v>
      </c>
      <c r="Q125" s="44"/>
      <c r="R125" s="39" t="s">
        <v>255</v>
      </c>
      <c r="S125" s="45" t="s">
        <v>1044</v>
      </c>
    </row>
    <row r="126" ht="14.25" customHeight="1">
      <c r="A126" s="38" t="s">
        <v>1635</v>
      </c>
      <c r="B126" s="38" t="s">
        <v>1636</v>
      </c>
      <c r="C126" s="38" t="s">
        <v>306</v>
      </c>
      <c r="D126" s="38" t="s">
        <v>1637</v>
      </c>
      <c r="E126" s="40">
        <v>20000.0</v>
      </c>
      <c r="F126" s="38" t="s">
        <v>1061</v>
      </c>
      <c r="G126" s="38" t="s">
        <v>386</v>
      </c>
      <c r="H126" s="38" t="s">
        <v>386</v>
      </c>
      <c r="I126" s="38" t="s">
        <v>386</v>
      </c>
      <c r="J126" s="38" t="s">
        <v>386</v>
      </c>
      <c r="K126" s="38" t="s">
        <v>240</v>
      </c>
      <c r="L126" s="38" t="s">
        <v>1130</v>
      </c>
      <c r="M126" s="38" t="s">
        <v>1063</v>
      </c>
      <c r="N126" s="38" t="s">
        <v>242</v>
      </c>
      <c r="O126" s="38" t="s">
        <v>335</v>
      </c>
      <c r="P126" s="41" t="s">
        <v>1638</v>
      </c>
      <c r="Q126" s="41"/>
      <c r="R126" s="38" t="s">
        <v>255</v>
      </c>
      <c r="S126" s="42" t="s">
        <v>1044</v>
      </c>
    </row>
    <row r="127" ht="14.25" customHeight="1">
      <c r="A127" s="39" t="s">
        <v>1639</v>
      </c>
      <c r="B127" s="39" t="s">
        <v>1640</v>
      </c>
      <c r="C127" s="39" t="s">
        <v>241</v>
      </c>
      <c r="D127" s="39" t="s">
        <v>1641</v>
      </c>
      <c r="E127" s="43">
        <v>450.0</v>
      </c>
      <c r="F127" s="39" t="s">
        <v>1061</v>
      </c>
      <c r="G127" s="39" t="s">
        <v>1055</v>
      </c>
      <c r="H127" s="39" t="s">
        <v>239</v>
      </c>
      <c r="I127" s="39" t="s">
        <v>239</v>
      </c>
      <c r="J127" s="39" t="s">
        <v>239</v>
      </c>
      <c r="K127" s="39" t="s">
        <v>240</v>
      </c>
      <c r="L127" s="39" t="s">
        <v>1056</v>
      </c>
      <c r="M127" s="39" t="s">
        <v>1063</v>
      </c>
      <c r="N127" s="39" t="s">
        <v>242</v>
      </c>
      <c r="O127" s="39" t="s">
        <v>335</v>
      </c>
      <c r="P127" s="44" t="s">
        <v>1642</v>
      </c>
      <c r="Q127" s="44"/>
      <c r="R127" s="39" t="s">
        <v>255</v>
      </c>
      <c r="S127" s="45" t="s">
        <v>1044</v>
      </c>
    </row>
    <row r="128" ht="14.25" customHeight="1">
      <c r="A128" s="38" t="s">
        <v>1643</v>
      </c>
      <c r="B128" s="38" t="s">
        <v>1644</v>
      </c>
      <c r="C128" s="38" t="s">
        <v>306</v>
      </c>
      <c r="D128" s="38" t="s">
        <v>1633</v>
      </c>
      <c r="E128" s="40">
        <v>3800.0</v>
      </c>
      <c r="F128" s="38" t="s">
        <v>1061</v>
      </c>
      <c r="G128" s="38" t="s">
        <v>1368</v>
      </c>
      <c r="H128" s="38" t="s">
        <v>1369</v>
      </c>
      <c r="I128" s="38" t="s">
        <v>1369</v>
      </c>
      <c r="J128" s="38" t="s">
        <v>360</v>
      </c>
      <c r="K128" s="38" t="s">
        <v>240</v>
      </c>
      <c r="L128" s="38" t="s">
        <v>1501</v>
      </c>
      <c r="M128" s="38" t="s">
        <v>1063</v>
      </c>
      <c r="N128" s="38" t="s">
        <v>242</v>
      </c>
      <c r="O128" s="38" t="s">
        <v>335</v>
      </c>
      <c r="P128" s="41" t="s">
        <v>1645</v>
      </c>
      <c r="Q128" s="41"/>
      <c r="R128" s="38" t="s">
        <v>255</v>
      </c>
      <c r="S128" s="42" t="s">
        <v>1044</v>
      </c>
    </row>
    <row r="129" ht="14.25" customHeight="1">
      <c r="A129" s="39" t="s">
        <v>1646</v>
      </c>
      <c r="B129" s="39" t="s">
        <v>1647</v>
      </c>
      <c r="C129" s="39" t="s">
        <v>1103</v>
      </c>
      <c r="D129" s="39" t="s">
        <v>1648</v>
      </c>
      <c r="E129" s="43">
        <v>1350.0</v>
      </c>
      <c r="F129" s="39" t="s">
        <v>1061</v>
      </c>
      <c r="G129" s="39" t="s">
        <v>1368</v>
      </c>
      <c r="H129" s="39" t="s">
        <v>1369</v>
      </c>
      <c r="I129" s="39" t="s">
        <v>1369</v>
      </c>
      <c r="J129" s="39" t="s">
        <v>360</v>
      </c>
      <c r="K129" s="39" t="s">
        <v>240</v>
      </c>
      <c r="L129" s="39" t="s">
        <v>1384</v>
      </c>
      <c r="M129" s="39" t="s">
        <v>1063</v>
      </c>
      <c r="N129" s="39" t="s">
        <v>242</v>
      </c>
      <c r="O129" s="39" t="s">
        <v>335</v>
      </c>
      <c r="P129" s="44" t="s">
        <v>1649</v>
      </c>
      <c r="Q129" s="44"/>
      <c r="R129" s="39" t="s">
        <v>255</v>
      </c>
      <c r="S129" s="45" t="s">
        <v>1044</v>
      </c>
    </row>
    <row r="130" ht="14.25" customHeight="1">
      <c r="A130" s="38" t="s">
        <v>1650</v>
      </c>
      <c r="B130" s="38" t="s">
        <v>1651</v>
      </c>
      <c r="C130" s="38" t="s">
        <v>306</v>
      </c>
      <c r="D130" s="38" t="s">
        <v>1622</v>
      </c>
      <c r="E130" s="40">
        <v>2200.0</v>
      </c>
      <c r="F130" s="38" t="s">
        <v>1061</v>
      </c>
      <c r="G130" s="38" t="s">
        <v>1368</v>
      </c>
      <c r="H130" s="38" t="s">
        <v>1369</v>
      </c>
      <c r="I130" s="38" t="s">
        <v>1369</v>
      </c>
      <c r="J130" s="38" t="s">
        <v>360</v>
      </c>
      <c r="K130" s="38" t="s">
        <v>240</v>
      </c>
      <c r="L130" s="38" t="s">
        <v>1384</v>
      </c>
      <c r="M130" s="38" t="s">
        <v>1063</v>
      </c>
      <c r="N130" s="38" t="s">
        <v>242</v>
      </c>
      <c r="O130" s="38" t="s">
        <v>335</v>
      </c>
      <c r="P130" s="41" t="s">
        <v>1652</v>
      </c>
      <c r="Q130" s="41"/>
      <c r="R130" s="38" t="s">
        <v>255</v>
      </c>
      <c r="S130" s="42" t="s">
        <v>1044</v>
      </c>
    </row>
    <row r="131" ht="14.25" customHeight="1">
      <c r="A131" s="39" t="s">
        <v>1653</v>
      </c>
      <c r="B131" s="39" t="s">
        <v>1654</v>
      </c>
      <c r="C131" s="39" t="s">
        <v>306</v>
      </c>
      <c r="D131" s="39" t="s">
        <v>1227</v>
      </c>
      <c r="E131" s="43">
        <v>1200.0</v>
      </c>
      <c r="F131" s="39" t="s">
        <v>1061</v>
      </c>
      <c r="G131" s="39" t="s">
        <v>386</v>
      </c>
      <c r="H131" s="39" t="s">
        <v>386</v>
      </c>
      <c r="I131" s="39" t="s">
        <v>386</v>
      </c>
      <c r="J131" s="39" t="s">
        <v>386</v>
      </c>
      <c r="K131" s="39" t="s">
        <v>240</v>
      </c>
      <c r="L131" s="39" t="s">
        <v>1130</v>
      </c>
      <c r="M131" s="39" t="s">
        <v>1063</v>
      </c>
      <c r="N131" s="39" t="s">
        <v>242</v>
      </c>
      <c r="O131" s="39" t="s">
        <v>335</v>
      </c>
      <c r="P131" s="44" t="s">
        <v>1655</v>
      </c>
      <c r="Q131" s="44"/>
      <c r="R131" s="39" t="s">
        <v>255</v>
      </c>
      <c r="S131" s="45" t="s">
        <v>1044</v>
      </c>
    </row>
    <row r="132" ht="14.25" customHeight="1">
      <c r="A132" s="38" t="s">
        <v>1656</v>
      </c>
      <c r="B132" s="38" t="s">
        <v>1657</v>
      </c>
      <c r="C132" s="38" t="s">
        <v>306</v>
      </c>
      <c r="D132" s="38" t="s">
        <v>1184</v>
      </c>
      <c r="E132" s="40">
        <v>1100.0</v>
      </c>
      <c r="F132" s="38" t="s">
        <v>1061</v>
      </c>
      <c r="G132" s="38" t="s">
        <v>386</v>
      </c>
      <c r="H132" s="38" t="s">
        <v>386</v>
      </c>
      <c r="I132" s="38" t="s">
        <v>386</v>
      </c>
      <c r="J132" s="38" t="s">
        <v>386</v>
      </c>
      <c r="K132" s="38" t="s">
        <v>240</v>
      </c>
      <c r="L132" s="38" t="s">
        <v>1130</v>
      </c>
      <c r="M132" s="38" t="s">
        <v>1063</v>
      </c>
      <c r="N132" s="38" t="s">
        <v>242</v>
      </c>
      <c r="O132" s="38" t="s">
        <v>335</v>
      </c>
      <c r="P132" s="41" t="s">
        <v>1658</v>
      </c>
      <c r="Q132" s="41"/>
      <c r="R132" s="38" t="s">
        <v>255</v>
      </c>
      <c r="S132" s="42" t="s">
        <v>1044</v>
      </c>
    </row>
    <row r="133" ht="14.25" customHeight="1">
      <c r="A133" s="39" t="s">
        <v>1659</v>
      </c>
      <c r="B133" s="39" t="s">
        <v>1660</v>
      </c>
      <c r="C133" s="39" t="s">
        <v>1103</v>
      </c>
      <c r="D133" s="39" t="s">
        <v>1641</v>
      </c>
      <c r="E133" s="43">
        <v>450.0</v>
      </c>
      <c r="F133" s="39" t="s">
        <v>1061</v>
      </c>
      <c r="G133" s="39" t="s">
        <v>1055</v>
      </c>
      <c r="H133" s="39" t="s">
        <v>239</v>
      </c>
      <c r="I133" s="39" t="s">
        <v>239</v>
      </c>
      <c r="J133" s="39" t="s">
        <v>239</v>
      </c>
      <c r="K133" s="39" t="s">
        <v>240</v>
      </c>
      <c r="L133" s="39" t="s">
        <v>1113</v>
      </c>
      <c r="M133" s="39" t="s">
        <v>1063</v>
      </c>
      <c r="N133" s="39" t="s">
        <v>242</v>
      </c>
      <c r="O133" s="39" t="s">
        <v>335</v>
      </c>
      <c r="P133" s="44" t="s">
        <v>1661</v>
      </c>
      <c r="Q133" s="44"/>
      <c r="R133" s="39" t="s">
        <v>255</v>
      </c>
      <c r="S133" s="45" t="s">
        <v>1044</v>
      </c>
    </row>
    <row r="134" ht="14.25" customHeight="1">
      <c r="A134" s="38" t="s">
        <v>1662</v>
      </c>
      <c r="B134" s="38" t="s">
        <v>1660</v>
      </c>
      <c r="C134" s="38" t="s">
        <v>1103</v>
      </c>
      <c r="D134" s="38" t="s">
        <v>1663</v>
      </c>
      <c r="E134" s="40">
        <v>990.0</v>
      </c>
      <c r="F134" s="38" t="s">
        <v>1061</v>
      </c>
      <c r="G134" s="38" t="s">
        <v>1118</v>
      </c>
      <c r="H134" s="38" t="s">
        <v>1119</v>
      </c>
      <c r="I134" s="38" t="s">
        <v>1119</v>
      </c>
      <c r="J134" s="38" t="s">
        <v>405</v>
      </c>
      <c r="K134" s="38" t="s">
        <v>240</v>
      </c>
      <c r="L134" s="38" t="s">
        <v>1120</v>
      </c>
      <c r="M134" s="38" t="s">
        <v>1063</v>
      </c>
      <c r="N134" s="38" t="s">
        <v>242</v>
      </c>
      <c r="O134" s="38" t="s">
        <v>335</v>
      </c>
      <c r="P134" s="41" t="s">
        <v>1664</v>
      </c>
      <c r="Q134" s="41"/>
      <c r="R134" s="38" t="s">
        <v>255</v>
      </c>
      <c r="S134" s="42" t="s">
        <v>1044</v>
      </c>
    </row>
    <row r="135" ht="14.25" customHeight="1">
      <c r="A135" s="39" t="s">
        <v>1665</v>
      </c>
      <c r="B135" s="39" t="s">
        <v>1666</v>
      </c>
      <c r="C135" s="39" t="s">
        <v>241</v>
      </c>
      <c r="D135" s="39" t="s">
        <v>1667</v>
      </c>
      <c r="E135" s="43">
        <v>3400.0</v>
      </c>
      <c r="F135" s="39" t="s">
        <v>1061</v>
      </c>
      <c r="G135" s="39" t="s">
        <v>1079</v>
      </c>
      <c r="H135" s="39" t="s">
        <v>239</v>
      </c>
      <c r="I135" s="39" t="s">
        <v>239</v>
      </c>
      <c r="J135" s="39" t="s">
        <v>239</v>
      </c>
      <c r="K135" s="39" t="s">
        <v>240</v>
      </c>
      <c r="L135" s="39" t="s">
        <v>252</v>
      </c>
      <c r="M135" s="39" t="s">
        <v>1063</v>
      </c>
      <c r="N135" s="39" t="s">
        <v>242</v>
      </c>
      <c r="O135" s="39" t="s">
        <v>335</v>
      </c>
      <c r="P135" s="44" t="s">
        <v>1668</v>
      </c>
      <c r="Q135" s="44"/>
      <c r="R135" s="39" t="s">
        <v>255</v>
      </c>
      <c r="S135" s="45" t="s">
        <v>1044</v>
      </c>
    </row>
    <row r="136" ht="14.25" customHeight="1">
      <c r="A136" s="38" t="s">
        <v>1669</v>
      </c>
      <c r="B136" s="38" t="s">
        <v>1670</v>
      </c>
      <c r="C136" s="38" t="s">
        <v>241</v>
      </c>
      <c r="D136" s="38" t="s">
        <v>1671</v>
      </c>
      <c r="E136" s="40">
        <v>3700.0</v>
      </c>
      <c r="F136" s="38" t="s">
        <v>1061</v>
      </c>
      <c r="G136" s="38" t="s">
        <v>1079</v>
      </c>
      <c r="H136" s="38" t="s">
        <v>239</v>
      </c>
      <c r="I136" s="38" t="s">
        <v>239</v>
      </c>
      <c r="J136" s="38" t="s">
        <v>239</v>
      </c>
      <c r="K136" s="38" t="s">
        <v>240</v>
      </c>
      <c r="L136" s="38" t="s">
        <v>252</v>
      </c>
      <c r="M136" s="38" t="s">
        <v>1063</v>
      </c>
      <c r="N136" s="38" t="s">
        <v>242</v>
      </c>
      <c r="O136" s="38" t="s">
        <v>335</v>
      </c>
      <c r="P136" s="41" t="s">
        <v>1672</v>
      </c>
      <c r="Q136" s="41"/>
      <c r="R136" s="38" t="s">
        <v>255</v>
      </c>
      <c r="S136" s="42" t="s">
        <v>1044</v>
      </c>
    </row>
    <row r="137" ht="14.25" customHeight="1">
      <c r="A137" s="39" t="s">
        <v>1673</v>
      </c>
      <c r="B137" s="39" t="s">
        <v>1674</v>
      </c>
      <c r="C137" s="39" t="s">
        <v>241</v>
      </c>
      <c r="D137" s="39" t="s">
        <v>1675</v>
      </c>
      <c r="E137" s="43">
        <v>2700.0</v>
      </c>
      <c r="F137" s="39" t="s">
        <v>1061</v>
      </c>
      <c r="G137" s="39" t="s">
        <v>1079</v>
      </c>
      <c r="H137" s="39" t="s">
        <v>239</v>
      </c>
      <c r="I137" s="39" t="s">
        <v>239</v>
      </c>
      <c r="J137" s="39" t="s">
        <v>239</v>
      </c>
      <c r="K137" s="39" t="s">
        <v>240</v>
      </c>
      <c r="L137" s="39" t="s">
        <v>252</v>
      </c>
      <c r="M137" s="39" t="s">
        <v>1063</v>
      </c>
      <c r="N137" s="39" t="s">
        <v>242</v>
      </c>
      <c r="O137" s="39" t="s">
        <v>335</v>
      </c>
      <c r="P137" s="44" t="s">
        <v>1676</v>
      </c>
      <c r="Q137" s="44"/>
      <c r="R137" s="39" t="s">
        <v>255</v>
      </c>
      <c r="S137" s="45" t="s">
        <v>1044</v>
      </c>
    </row>
    <row r="138" ht="14.25" customHeight="1">
      <c r="A138" s="38" t="s">
        <v>1677</v>
      </c>
      <c r="B138" s="38" t="s">
        <v>1678</v>
      </c>
      <c r="C138" s="38" t="s">
        <v>241</v>
      </c>
      <c r="D138" s="38" t="s">
        <v>1622</v>
      </c>
      <c r="E138" s="40">
        <v>2200.0</v>
      </c>
      <c r="F138" s="38" t="s">
        <v>1061</v>
      </c>
      <c r="G138" s="38" t="s">
        <v>1055</v>
      </c>
      <c r="H138" s="38" t="s">
        <v>239</v>
      </c>
      <c r="I138" s="38" t="s">
        <v>239</v>
      </c>
      <c r="J138" s="38" t="s">
        <v>239</v>
      </c>
      <c r="K138" s="38" t="s">
        <v>240</v>
      </c>
      <c r="L138" s="38" t="s">
        <v>252</v>
      </c>
      <c r="M138" s="38" t="s">
        <v>1063</v>
      </c>
      <c r="N138" s="38" t="s">
        <v>242</v>
      </c>
      <c r="O138" s="38" t="s">
        <v>335</v>
      </c>
      <c r="P138" s="41" t="s">
        <v>1679</v>
      </c>
      <c r="Q138" s="41"/>
      <c r="R138" s="38" t="s">
        <v>255</v>
      </c>
      <c r="S138" s="42" t="s">
        <v>1044</v>
      </c>
    </row>
    <row r="139" ht="14.25" customHeight="1">
      <c r="A139" s="39" t="s">
        <v>1680</v>
      </c>
      <c r="B139" s="39" t="s">
        <v>1681</v>
      </c>
      <c r="C139" s="39" t="s">
        <v>241</v>
      </c>
      <c r="D139" s="39" t="s">
        <v>1077</v>
      </c>
      <c r="E139" s="43">
        <v>2300.0</v>
      </c>
      <c r="F139" s="39" t="s">
        <v>1061</v>
      </c>
      <c r="G139" s="39" t="s">
        <v>1086</v>
      </c>
      <c r="H139" s="39" t="s">
        <v>239</v>
      </c>
      <c r="I139" s="39" t="s">
        <v>239</v>
      </c>
      <c r="J139" s="39" t="s">
        <v>239</v>
      </c>
      <c r="K139" s="39" t="s">
        <v>240</v>
      </c>
      <c r="L139" s="39" t="s">
        <v>252</v>
      </c>
      <c r="M139" s="39" t="s">
        <v>1063</v>
      </c>
      <c r="N139" s="39" t="s">
        <v>242</v>
      </c>
      <c r="O139" s="39" t="s">
        <v>335</v>
      </c>
      <c r="P139" s="44" t="s">
        <v>1682</v>
      </c>
      <c r="Q139" s="44"/>
      <c r="R139" s="39" t="s">
        <v>255</v>
      </c>
      <c r="S139" s="45" t="s">
        <v>1044</v>
      </c>
    </row>
    <row r="140" ht="14.25" customHeight="1">
      <c r="A140" s="38" t="s">
        <v>1683</v>
      </c>
      <c r="B140" s="38" t="s">
        <v>1684</v>
      </c>
      <c r="C140" s="38" t="s">
        <v>241</v>
      </c>
      <c r="D140" s="38" t="s">
        <v>1685</v>
      </c>
      <c r="E140" s="40">
        <v>1980.0</v>
      </c>
      <c r="F140" s="38" t="s">
        <v>1061</v>
      </c>
      <c r="G140" s="38" t="s">
        <v>1079</v>
      </c>
      <c r="H140" s="38" t="s">
        <v>239</v>
      </c>
      <c r="I140" s="38" t="s">
        <v>239</v>
      </c>
      <c r="J140" s="38" t="s">
        <v>239</v>
      </c>
      <c r="K140" s="38" t="s">
        <v>240</v>
      </c>
      <c r="L140" s="38" t="s">
        <v>252</v>
      </c>
      <c r="M140" s="38" t="s">
        <v>1063</v>
      </c>
      <c r="N140" s="38" t="s">
        <v>242</v>
      </c>
      <c r="O140" s="38" t="s">
        <v>335</v>
      </c>
      <c r="P140" s="41" t="s">
        <v>1686</v>
      </c>
      <c r="Q140" s="41"/>
      <c r="R140" s="38" t="s">
        <v>255</v>
      </c>
      <c r="S140" s="42" t="s">
        <v>1044</v>
      </c>
    </row>
    <row r="141" ht="14.25" customHeight="1">
      <c r="A141" s="39" t="s">
        <v>1687</v>
      </c>
      <c r="B141" s="39" t="s">
        <v>1688</v>
      </c>
      <c r="C141" s="39" t="s">
        <v>241</v>
      </c>
      <c r="D141" s="39" t="s">
        <v>1267</v>
      </c>
      <c r="E141" s="43">
        <v>950.0</v>
      </c>
      <c r="F141" s="39" t="s">
        <v>1061</v>
      </c>
      <c r="G141" s="39" t="s">
        <v>1135</v>
      </c>
      <c r="H141" s="39" t="s">
        <v>239</v>
      </c>
      <c r="I141" s="39" t="s">
        <v>239</v>
      </c>
      <c r="J141" s="39" t="s">
        <v>239</v>
      </c>
      <c r="K141" s="39" t="s">
        <v>240</v>
      </c>
      <c r="L141" s="39" t="s">
        <v>252</v>
      </c>
      <c r="M141" s="39" t="s">
        <v>1063</v>
      </c>
      <c r="N141" s="39" t="s">
        <v>242</v>
      </c>
      <c r="O141" s="39" t="s">
        <v>335</v>
      </c>
      <c r="P141" s="44" t="s">
        <v>1689</v>
      </c>
      <c r="Q141" s="44"/>
      <c r="R141" s="39" t="s">
        <v>255</v>
      </c>
      <c r="S141" s="45" t="s">
        <v>1044</v>
      </c>
    </row>
    <row r="142" ht="14.25" customHeight="1">
      <c r="A142" s="38" t="s">
        <v>1690</v>
      </c>
      <c r="B142" s="38" t="s">
        <v>1691</v>
      </c>
      <c r="C142" s="38" t="s">
        <v>241</v>
      </c>
      <c r="D142" s="38" t="s">
        <v>1692</v>
      </c>
      <c r="E142" s="40">
        <v>2900.0</v>
      </c>
      <c r="F142" s="38" t="s">
        <v>1061</v>
      </c>
      <c r="G142" s="38" t="s">
        <v>1055</v>
      </c>
      <c r="H142" s="38" t="s">
        <v>239</v>
      </c>
      <c r="I142" s="38" t="s">
        <v>239</v>
      </c>
      <c r="J142" s="38" t="s">
        <v>239</v>
      </c>
      <c r="K142" s="38" t="s">
        <v>240</v>
      </c>
      <c r="L142" s="38" t="s">
        <v>252</v>
      </c>
      <c r="M142" s="38" t="s">
        <v>1063</v>
      </c>
      <c r="N142" s="38" t="s">
        <v>242</v>
      </c>
      <c r="O142" s="38" t="s">
        <v>335</v>
      </c>
      <c r="P142" s="41" t="s">
        <v>1693</v>
      </c>
      <c r="Q142" s="41"/>
      <c r="R142" s="38" t="s">
        <v>255</v>
      </c>
      <c r="S142" s="42" t="s">
        <v>1044</v>
      </c>
    </row>
    <row r="143" ht="14.25" customHeight="1">
      <c r="A143" s="39" t="s">
        <v>1694</v>
      </c>
      <c r="B143" s="39" t="s">
        <v>1695</v>
      </c>
      <c r="C143" s="39" t="s">
        <v>241</v>
      </c>
      <c r="D143" s="39" t="s">
        <v>1696</v>
      </c>
      <c r="E143" s="43">
        <v>1600.0</v>
      </c>
      <c r="F143" s="39" t="s">
        <v>1061</v>
      </c>
      <c r="G143" s="39" t="s">
        <v>1079</v>
      </c>
      <c r="H143" s="39" t="s">
        <v>239</v>
      </c>
      <c r="I143" s="39" t="s">
        <v>239</v>
      </c>
      <c r="J143" s="39" t="s">
        <v>239</v>
      </c>
      <c r="K143" s="39" t="s">
        <v>240</v>
      </c>
      <c r="L143" s="39" t="s">
        <v>252</v>
      </c>
      <c r="M143" s="39" t="s">
        <v>1063</v>
      </c>
      <c r="N143" s="39" t="s">
        <v>242</v>
      </c>
      <c r="O143" s="39" t="s">
        <v>335</v>
      </c>
      <c r="P143" s="44" t="s">
        <v>1697</v>
      </c>
      <c r="Q143" s="44"/>
      <c r="R143" s="39" t="s">
        <v>255</v>
      </c>
      <c r="S143" s="45" t="s">
        <v>1044</v>
      </c>
    </row>
    <row r="144" ht="14.25" customHeight="1">
      <c r="A144" s="38" t="s">
        <v>1698</v>
      </c>
      <c r="B144" s="38" t="s">
        <v>1695</v>
      </c>
      <c r="C144" s="38" t="s">
        <v>241</v>
      </c>
      <c r="D144" s="38" t="s">
        <v>1267</v>
      </c>
      <c r="E144" s="40">
        <v>950.0</v>
      </c>
      <c r="F144" s="38" t="s">
        <v>1061</v>
      </c>
      <c r="G144" s="38" t="s">
        <v>1135</v>
      </c>
      <c r="H144" s="38" t="s">
        <v>239</v>
      </c>
      <c r="I144" s="38" t="s">
        <v>239</v>
      </c>
      <c r="J144" s="38" t="s">
        <v>239</v>
      </c>
      <c r="K144" s="38" t="s">
        <v>240</v>
      </c>
      <c r="L144" s="38" t="s">
        <v>252</v>
      </c>
      <c r="M144" s="38" t="s">
        <v>1063</v>
      </c>
      <c r="N144" s="38" t="s">
        <v>242</v>
      </c>
      <c r="O144" s="38" t="s">
        <v>335</v>
      </c>
      <c r="P144" s="41" t="s">
        <v>1697</v>
      </c>
      <c r="Q144" s="41"/>
      <c r="R144" s="38" t="s">
        <v>255</v>
      </c>
      <c r="S144" s="42" t="s">
        <v>1044</v>
      </c>
    </row>
    <row r="145" ht="14.25" customHeight="1">
      <c r="A145" s="39" t="s">
        <v>1699</v>
      </c>
      <c r="B145" s="39" t="s">
        <v>1700</v>
      </c>
      <c r="C145" s="39" t="s">
        <v>241</v>
      </c>
      <c r="D145" s="39" t="s">
        <v>1536</v>
      </c>
      <c r="E145" s="43">
        <v>1300.0</v>
      </c>
      <c r="F145" s="39" t="s">
        <v>1061</v>
      </c>
      <c r="G145" s="39" t="s">
        <v>1079</v>
      </c>
      <c r="H145" s="39" t="s">
        <v>239</v>
      </c>
      <c r="I145" s="39" t="s">
        <v>239</v>
      </c>
      <c r="J145" s="39" t="s">
        <v>239</v>
      </c>
      <c r="K145" s="39" t="s">
        <v>240</v>
      </c>
      <c r="L145" s="39" t="s">
        <v>252</v>
      </c>
      <c r="M145" s="39" t="s">
        <v>1063</v>
      </c>
      <c r="N145" s="39" t="s">
        <v>242</v>
      </c>
      <c r="O145" s="39" t="s">
        <v>335</v>
      </c>
      <c r="P145" s="44" t="s">
        <v>1701</v>
      </c>
      <c r="Q145" s="44"/>
      <c r="R145" s="39" t="s">
        <v>255</v>
      </c>
      <c r="S145" s="45" t="s">
        <v>1044</v>
      </c>
    </row>
    <row r="146" ht="14.25" customHeight="1">
      <c r="A146" s="38" t="s">
        <v>1702</v>
      </c>
      <c r="B146" s="38" t="s">
        <v>1703</v>
      </c>
      <c r="C146" s="38" t="s">
        <v>241</v>
      </c>
      <c r="D146" s="38" t="s">
        <v>1357</v>
      </c>
      <c r="E146" s="40">
        <v>3900.0</v>
      </c>
      <c r="F146" s="38" t="s">
        <v>1061</v>
      </c>
      <c r="G146" s="38" t="s">
        <v>1079</v>
      </c>
      <c r="H146" s="38" t="s">
        <v>239</v>
      </c>
      <c r="I146" s="38" t="s">
        <v>239</v>
      </c>
      <c r="J146" s="38" t="s">
        <v>239</v>
      </c>
      <c r="K146" s="38" t="s">
        <v>240</v>
      </c>
      <c r="L146" s="38" t="s">
        <v>252</v>
      </c>
      <c r="M146" s="38" t="s">
        <v>1063</v>
      </c>
      <c r="N146" s="38" t="s">
        <v>242</v>
      </c>
      <c r="O146" s="38" t="s">
        <v>335</v>
      </c>
      <c r="P146" s="41" t="s">
        <v>1704</v>
      </c>
      <c r="Q146" s="41"/>
      <c r="R146" s="38" t="s">
        <v>255</v>
      </c>
      <c r="S146" s="42" t="s">
        <v>1044</v>
      </c>
    </row>
    <row r="147" ht="14.25" customHeight="1">
      <c r="A147" s="39" t="s">
        <v>1705</v>
      </c>
      <c r="B147" s="39" t="s">
        <v>1706</v>
      </c>
      <c r="C147" s="39" t="s">
        <v>306</v>
      </c>
      <c r="D147" s="39" t="s">
        <v>1707</v>
      </c>
      <c r="E147" s="43">
        <v>630.0</v>
      </c>
      <c r="F147" s="39" t="s">
        <v>1042</v>
      </c>
      <c r="G147" s="39" t="s">
        <v>1368</v>
      </c>
      <c r="H147" s="39" t="s">
        <v>1369</v>
      </c>
      <c r="I147" s="39" t="s">
        <v>1369</v>
      </c>
      <c r="J147" s="39" t="s">
        <v>360</v>
      </c>
      <c r="K147" s="39" t="s">
        <v>282</v>
      </c>
      <c r="L147" s="39" t="s">
        <v>1501</v>
      </c>
      <c r="M147" s="39" t="s">
        <v>1012</v>
      </c>
      <c r="N147" s="39" t="s">
        <v>242</v>
      </c>
      <c r="O147" s="39" t="s">
        <v>335</v>
      </c>
      <c r="P147" s="44" t="s">
        <v>1708</v>
      </c>
      <c r="Q147" s="44" t="s">
        <v>1709</v>
      </c>
      <c r="R147" s="39" t="s">
        <v>255</v>
      </c>
      <c r="S147" s="45" t="s">
        <v>1044</v>
      </c>
    </row>
    <row r="148" ht="14.25" customHeight="1">
      <c r="A148" s="38" t="s">
        <v>1710</v>
      </c>
      <c r="B148" s="38" t="s">
        <v>1711</v>
      </c>
      <c r="C148" s="38" t="s">
        <v>306</v>
      </c>
      <c r="D148" s="38" t="s">
        <v>1536</v>
      </c>
      <c r="E148" s="40">
        <v>1300.0</v>
      </c>
      <c r="F148" s="38" t="s">
        <v>1042</v>
      </c>
      <c r="G148" s="38" t="s">
        <v>1368</v>
      </c>
      <c r="H148" s="38" t="s">
        <v>1369</v>
      </c>
      <c r="I148" s="38" t="s">
        <v>1369</v>
      </c>
      <c r="J148" s="38" t="s">
        <v>360</v>
      </c>
      <c r="K148" s="38" t="s">
        <v>282</v>
      </c>
      <c r="L148" s="38" t="s">
        <v>1501</v>
      </c>
      <c r="M148" s="38" t="s">
        <v>1012</v>
      </c>
      <c r="N148" s="38" t="s">
        <v>242</v>
      </c>
      <c r="O148" s="38" t="s">
        <v>335</v>
      </c>
      <c r="P148" s="41" t="s">
        <v>1712</v>
      </c>
      <c r="Q148" s="41" t="s">
        <v>1713</v>
      </c>
      <c r="R148" s="38" t="s">
        <v>255</v>
      </c>
      <c r="S148" s="42" t="s">
        <v>1044</v>
      </c>
    </row>
    <row r="149" ht="14.25" customHeight="1">
      <c r="A149" s="46" t="s">
        <v>1714</v>
      </c>
      <c r="B149" s="46" t="s">
        <v>1715</v>
      </c>
      <c r="C149" s="46" t="s">
        <v>402</v>
      </c>
      <c r="D149" s="46" t="s">
        <v>1716</v>
      </c>
      <c r="E149" s="47">
        <v>0.05</v>
      </c>
      <c r="F149" s="46" t="s">
        <v>402</v>
      </c>
      <c r="G149" s="46" t="s">
        <v>402</v>
      </c>
      <c r="H149" s="46" t="s">
        <v>402</v>
      </c>
      <c r="I149" s="46" t="s">
        <v>402</v>
      </c>
      <c r="J149" s="46" t="s">
        <v>422</v>
      </c>
      <c r="K149" s="46" t="s">
        <v>387</v>
      </c>
      <c r="L149" s="46" t="s">
        <v>1717</v>
      </c>
      <c r="M149" s="46" t="s">
        <v>1214</v>
      </c>
      <c r="N149" s="46" t="s">
        <v>322</v>
      </c>
      <c r="O149" s="46" t="s">
        <v>335</v>
      </c>
      <c r="P149" s="48" t="s">
        <v>1718</v>
      </c>
      <c r="Q149" s="48"/>
      <c r="R149" s="46" t="s">
        <v>245</v>
      </c>
      <c r="S149" s="49" t="s">
        <v>1719</v>
      </c>
    </row>
    <row r="150" ht="14.25" customHeight="1">
      <c r="A150" s="38" t="s">
        <v>1720</v>
      </c>
      <c r="B150" s="38" t="s">
        <v>1721</v>
      </c>
      <c r="C150" s="38" t="s">
        <v>362</v>
      </c>
      <c r="D150" s="38" t="s">
        <v>1722</v>
      </c>
      <c r="E150" s="40">
        <v>900.0</v>
      </c>
      <c r="F150" s="38" t="s">
        <v>1061</v>
      </c>
      <c r="G150" s="38" t="s">
        <v>1723</v>
      </c>
      <c r="H150" s="38" t="s">
        <v>1724</v>
      </c>
      <c r="I150" s="38" t="s">
        <v>1724</v>
      </c>
      <c r="J150" s="38" t="s">
        <v>409</v>
      </c>
      <c r="K150" s="38" t="s">
        <v>240</v>
      </c>
      <c r="L150" s="38" t="s">
        <v>1725</v>
      </c>
      <c r="M150" s="38" t="s">
        <v>1063</v>
      </c>
      <c r="N150" s="38" t="s">
        <v>242</v>
      </c>
      <c r="O150" s="38" t="s">
        <v>335</v>
      </c>
      <c r="P150" s="41" t="s">
        <v>1726</v>
      </c>
      <c r="Q150" s="41"/>
      <c r="R150" s="38" t="s">
        <v>255</v>
      </c>
      <c r="S150" s="42" t="s">
        <v>1044</v>
      </c>
    </row>
    <row r="151" ht="14.25" customHeight="1">
      <c r="A151" s="39" t="s">
        <v>1727</v>
      </c>
      <c r="B151" s="39" t="s">
        <v>1728</v>
      </c>
      <c r="C151" s="39" t="s">
        <v>362</v>
      </c>
      <c r="D151" s="39" t="s">
        <v>1722</v>
      </c>
      <c r="E151" s="43">
        <v>900.0</v>
      </c>
      <c r="F151" s="39" t="s">
        <v>1061</v>
      </c>
      <c r="G151" s="39" t="s">
        <v>1055</v>
      </c>
      <c r="H151" s="39" t="s">
        <v>239</v>
      </c>
      <c r="I151" s="39" t="s">
        <v>239</v>
      </c>
      <c r="J151" s="39" t="s">
        <v>239</v>
      </c>
      <c r="K151" s="39" t="s">
        <v>240</v>
      </c>
      <c r="L151" s="39" t="s">
        <v>1244</v>
      </c>
      <c r="M151" s="39" t="s">
        <v>1063</v>
      </c>
      <c r="N151" s="39" t="s">
        <v>242</v>
      </c>
      <c r="O151" s="39" t="s">
        <v>335</v>
      </c>
      <c r="P151" s="44" t="s">
        <v>1729</v>
      </c>
      <c r="Q151" s="44"/>
      <c r="R151" s="39" t="s">
        <v>255</v>
      </c>
      <c r="S151" s="45" t="s">
        <v>1044</v>
      </c>
    </row>
    <row r="152" ht="14.25" customHeight="1">
      <c r="A152" s="38" t="s">
        <v>1730</v>
      </c>
      <c r="B152" s="38" t="s">
        <v>1731</v>
      </c>
      <c r="C152" s="38" t="s">
        <v>1103</v>
      </c>
      <c r="D152" s="38" t="s">
        <v>1352</v>
      </c>
      <c r="E152" s="40">
        <v>400.0</v>
      </c>
      <c r="F152" s="38" t="s">
        <v>1061</v>
      </c>
      <c r="G152" s="38" t="s">
        <v>386</v>
      </c>
      <c r="H152" s="38" t="s">
        <v>386</v>
      </c>
      <c r="I152" s="38" t="s">
        <v>386</v>
      </c>
      <c r="J152" s="38" t="s">
        <v>386</v>
      </c>
      <c r="K152" s="38" t="s">
        <v>240</v>
      </c>
      <c r="L152" s="38" t="s">
        <v>1469</v>
      </c>
      <c r="M152" s="38" t="s">
        <v>1063</v>
      </c>
      <c r="N152" s="38" t="s">
        <v>242</v>
      </c>
      <c r="O152" s="38" t="s">
        <v>335</v>
      </c>
      <c r="P152" s="41" t="s">
        <v>1732</v>
      </c>
      <c r="Q152" s="41"/>
      <c r="R152" s="38" t="s">
        <v>255</v>
      </c>
      <c r="S152" s="42" t="s">
        <v>1044</v>
      </c>
    </row>
    <row r="153" ht="14.25" customHeight="1">
      <c r="A153" s="39" t="s">
        <v>1733</v>
      </c>
      <c r="B153" s="39" t="s">
        <v>1734</v>
      </c>
      <c r="C153" s="39" t="s">
        <v>1103</v>
      </c>
      <c r="D153" s="39" t="s">
        <v>1735</v>
      </c>
      <c r="E153" s="43">
        <v>220.0</v>
      </c>
      <c r="F153" s="39" t="s">
        <v>1061</v>
      </c>
      <c r="G153" s="39" t="s">
        <v>1047</v>
      </c>
      <c r="H153" s="39" t="s">
        <v>1048</v>
      </c>
      <c r="I153" s="39" t="s">
        <v>1048</v>
      </c>
      <c r="J153" s="39" t="s">
        <v>281</v>
      </c>
      <c r="K153" s="39" t="s">
        <v>240</v>
      </c>
      <c r="L153" s="39" t="s">
        <v>1290</v>
      </c>
      <c r="M153" s="39" t="s">
        <v>1063</v>
      </c>
      <c r="N153" s="39" t="s">
        <v>242</v>
      </c>
      <c r="O153" s="39" t="s">
        <v>335</v>
      </c>
      <c r="P153" s="44" t="s">
        <v>1736</v>
      </c>
      <c r="Q153" s="44"/>
      <c r="R153" s="39" t="s">
        <v>255</v>
      </c>
      <c r="S153" s="45" t="s">
        <v>1044</v>
      </c>
    </row>
    <row r="154" ht="14.25" customHeight="1">
      <c r="A154" s="38" t="s">
        <v>1737</v>
      </c>
      <c r="B154" s="38" t="s">
        <v>1738</v>
      </c>
      <c r="C154" s="38" t="s">
        <v>306</v>
      </c>
      <c r="D154" s="38" t="s">
        <v>1117</v>
      </c>
      <c r="E154" s="40">
        <v>15000.0</v>
      </c>
      <c r="F154" s="38" t="s">
        <v>1061</v>
      </c>
      <c r="G154" s="38" t="s">
        <v>1251</v>
      </c>
      <c r="H154" s="38" t="s">
        <v>1251</v>
      </c>
      <c r="I154" s="38" t="s">
        <v>1251</v>
      </c>
      <c r="J154" s="38" t="s">
        <v>415</v>
      </c>
      <c r="K154" s="38" t="s">
        <v>240</v>
      </c>
      <c r="L154" s="38" t="s">
        <v>1739</v>
      </c>
      <c r="M154" s="38" t="s">
        <v>1063</v>
      </c>
      <c r="N154" s="38" t="s">
        <v>242</v>
      </c>
      <c r="O154" s="38" t="s">
        <v>335</v>
      </c>
      <c r="P154" s="41" t="s">
        <v>1740</v>
      </c>
      <c r="Q154" s="41"/>
      <c r="R154" s="38" t="s">
        <v>255</v>
      </c>
      <c r="S154" s="42" t="s">
        <v>1254</v>
      </c>
    </row>
    <row r="155" ht="14.25" customHeight="1">
      <c r="A155" s="39" t="s">
        <v>1741</v>
      </c>
      <c r="B155" s="39" t="s">
        <v>1742</v>
      </c>
      <c r="C155" s="39" t="s">
        <v>388</v>
      </c>
      <c r="D155" s="39" t="s">
        <v>1743</v>
      </c>
      <c r="E155" s="43">
        <v>26400.0</v>
      </c>
      <c r="F155" s="39" t="s">
        <v>1061</v>
      </c>
      <c r="G155" s="39" t="s">
        <v>1055</v>
      </c>
      <c r="H155" s="39" t="s">
        <v>239</v>
      </c>
      <c r="I155" s="39" t="s">
        <v>239</v>
      </c>
      <c r="J155" s="39" t="s">
        <v>239</v>
      </c>
      <c r="K155" s="39" t="s">
        <v>240</v>
      </c>
      <c r="L155" s="39" t="s">
        <v>1056</v>
      </c>
      <c r="M155" s="39" t="s">
        <v>1063</v>
      </c>
      <c r="N155" s="39" t="s">
        <v>242</v>
      </c>
      <c r="O155" s="39" t="s">
        <v>335</v>
      </c>
      <c r="P155" s="44" t="s">
        <v>1744</v>
      </c>
      <c r="Q155" s="44"/>
      <c r="R155" s="39" t="s">
        <v>255</v>
      </c>
      <c r="S155" s="45" t="s">
        <v>1044</v>
      </c>
    </row>
    <row r="156" ht="14.25" customHeight="1">
      <c r="A156" s="38" t="s">
        <v>1745</v>
      </c>
      <c r="B156" s="38" t="s">
        <v>1746</v>
      </c>
      <c r="C156" s="38" t="s">
        <v>241</v>
      </c>
      <c r="D156" s="38" t="s">
        <v>1060</v>
      </c>
      <c r="E156" s="40">
        <v>250.0</v>
      </c>
      <c r="F156" s="38" t="s">
        <v>1061</v>
      </c>
      <c r="G156" s="38" t="s">
        <v>1055</v>
      </c>
      <c r="H156" s="38" t="s">
        <v>239</v>
      </c>
      <c r="I156" s="38" t="s">
        <v>239</v>
      </c>
      <c r="J156" s="38" t="s">
        <v>239</v>
      </c>
      <c r="K156" s="38" t="s">
        <v>240</v>
      </c>
      <c r="L156" s="38" t="s">
        <v>1056</v>
      </c>
      <c r="M156" s="38" t="s">
        <v>1063</v>
      </c>
      <c r="N156" s="38" t="s">
        <v>242</v>
      </c>
      <c r="O156" s="38" t="s">
        <v>335</v>
      </c>
      <c r="P156" s="41" t="s">
        <v>1747</v>
      </c>
      <c r="Q156" s="41"/>
      <c r="R156" s="38" t="s">
        <v>255</v>
      </c>
      <c r="S156" s="42" t="s">
        <v>1044</v>
      </c>
    </row>
    <row r="157" ht="14.25" customHeight="1">
      <c r="A157" s="39" t="s">
        <v>1748</v>
      </c>
      <c r="B157" s="39" t="s">
        <v>1749</v>
      </c>
      <c r="C157" s="39" t="s">
        <v>306</v>
      </c>
      <c r="D157" s="39" t="s">
        <v>1750</v>
      </c>
      <c r="E157" s="43">
        <v>2150.0</v>
      </c>
      <c r="F157" s="39" t="s">
        <v>1042</v>
      </c>
      <c r="G157" s="39" t="s">
        <v>386</v>
      </c>
      <c r="H157" s="39" t="s">
        <v>386</v>
      </c>
      <c r="I157" s="39" t="s">
        <v>386</v>
      </c>
      <c r="J157" s="39" t="s">
        <v>386</v>
      </c>
      <c r="K157" s="39" t="s">
        <v>282</v>
      </c>
      <c r="L157" s="39" t="s">
        <v>1130</v>
      </c>
      <c r="M157" s="39" t="s">
        <v>1012</v>
      </c>
      <c r="N157" s="39" t="s">
        <v>242</v>
      </c>
      <c r="O157" s="39" t="s">
        <v>335</v>
      </c>
      <c r="P157" s="44" t="s">
        <v>1751</v>
      </c>
      <c r="Q157" s="44" t="s">
        <v>1752</v>
      </c>
      <c r="R157" s="39" t="s">
        <v>255</v>
      </c>
      <c r="S157" s="45" t="s">
        <v>1044</v>
      </c>
    </row>
    <row r="158" ht="14.25" customHeight="1">
      <c r="A158" s="38" t="s">
        <v>1753</v>
      </c>
      <c r="B158" s="38" t="s">
        <v>1754</v>
      </c>
      <c r="C158" s="38" t="s">
        <v>362</v>
      </c>
      <c r="D158" s="38" t="s">
        <v>1755</v>
      </c>
      <c r="E158" s="40">
        <v>3100.0</v>
      </c>
      <c r="F158" s="38" t="s">
        <v>1042</v>
      </c>
      <c r="G158" s="38" t="s">
        <v>1079</v>
      </c>
      <c r="H158" s="38" t="s">
        <v>239</v>
      </c>
      <c r="I158" s="38" t="s">
        <v>239</v>
      </c>
      <c r="J158" s="38" t="s">
        <v>239</v>
      </c>
      <c r="K158" s="38" t="s">
        <v>282</v>
      </c>
      <c r="L158" s="38" t="s">
        <v>522</v>
      </c>
      <c r="M158" s="38" t="s">
        <v>1012</v>
      </c>
      <c r="N158" s="38" t="s">
        <v>242</v>
      </c>
      <c r="O158" s="38" t="s">
        <v>335</v>
      </c>
      <c r="P158" s="41" t="s">
        <v>1756</v>
      </c>
      <c r="Q158" s="41" t="s">
        <v>1757</v>
      </c>
      <c r="R158" s="38" t="s">
        <v>255</v>
      </c>
      <c r="S158" s="42" t="s">
        <v>1044</v>
      </c>
    </row>
    <row r="159" ht="14.25" customHeight="1">
      <c r="A159" s="39" t="s">
        <v>1758</v>
      </c>
      <c r="B159" s="39" t="s">
        <v>1759</v>
      </c>
      <c r="C159" s="39" t="s">
        <v>362</v>
      </c>
      <c r="D159" s="39" t="s">
        <v>1367</v>
      </c>
      <c r="E159" s="43">
        <v>1500.0</v>
      </c>
      <c r="F159" s="39" t="s">
        <v>1042</v>
      </c>
      <c r="G159" s="39" t="s">
        <v>1135</v>
      </c>
      <c r="H159" s="39" t="s">
        <v>239</v>
      </c>
      <c r="I159" s="39" t="s">
        <v>239</v>
      </c>
      <c r="J159" s="39" t="s">
        <v>239</v>
      </c>
      <c r="K159" s="39" t="s">
        <v>282</v>
      </c>
      <c r="L159" s="39" t="s">
        <v>522</v>
      </c>
      <c r="M159" s="39" t="s">
        <v>1012</v>
      </c>
      <c r="N159" s="39" t="s">
        <v>242</v>
      </c>
      <c r="O159" s="39" t="s">
        <v>335</v>
      </c>
      <c r="P159" s="44" t="s">
        <v>1760</v>
      </c>
      <c r="Q159" s="44" t="s">
        <v>1761</v>
      </c>
      <c r="R159" s="39" t="s">
        <v>255</v>
      </c>
      <c r="S159" s="45" t="s">
        <v>1044</v>
      </c>
    </row>
    <row r="160" ht="14.25" customHeight="1">
      <c r="A160" s="38" t="s">
        <v>1762</v>
      </c>
      <c r="B160" s="38" t="s">
        <v>1763</v>
      </c>
      <c r="C160" s="38" t="s">
        <v>306</v>
      </c>
      <c r="D160" s="38" t="s">
        <v>1641</v>
      </c>
      <c r="E160" s="40">
        <v>450.0</v>
      </c>
      <c r="F160" s="38" t="s">
        <v>1042</v>
      </c>
      <c r="G160" s="38" t="s">
        <v>1086</v>
      </c>
      <c r="H160" s="38" t="s">
        <v>1086</v>
      </c>
      <c r="I160" s="38" t="s">
        <v>1086</v>
      </c>
      <c r="J160" s="38" t="s">
        <v>320</v>
      </c>
      <c r="K160" s="38" t="s">
        <v>282</v>
      </c>
      <c r="L160" s="38" t="s">
        <v>1316</v>
      </c>
      <c r="M160" s="38" t="s">
        <v>1012</v>
      </c>
      <c r="N160" s="38" t="s">
        <v>242</v>
      </c>
      <c r="O160" s="38" t="s">
        <v>335</v>
      </c>
      <c r="P160" s="41" t="s">
        <v>1764</v>
      </c>
      <c r="Q160" s="41" t="s">
        <v>1765</v>
      </c>
      <c r="R160" s="38" t="s">
        <v>255</v>
      </c>
      <c r="S160" s="42" t="s">
        <v>1044</v>
      </c>
    </row>
    <row r="161" ht="14.25" customHeight="1">
      <c r="A161" s="39" t="s">
        <v>1766</v>
      </c>
      <c r="B161" s="39" t="s">
        <v>1767</v>
      </c>
      <c r="C161" s="39" t="s">
        <v>241</v>
      </c>
      <c r="D161" s="39" t="s">
        <v>1352</v>
      </c>
      <c r="E161" s="43">
        <v>400.0</v>
      </c>
      <c r="F161" s="39" t="s">
        <v>1061</v>
      </c>
      <c r="G161" s="39" t="s">
        <v>1200</v>
      </c>
      <c r="H161" s="39" t="s">
        <v>1200</v>
      </c>
      <c r="I161" s="39" t="s">
        <v>1200</v>
      </c>
      <c r="J161" s="39" t="s">
        <v>399</v>
      </c>
      <c r="K161" s="39" t="s">
        <v>240</v>
      </c>
      <c r="L161" s="39" t="s">
        <v>1012</v>
      </c>
      <c r="M161" s="39" t="s">
        <v>1063</v>
      </c>
      <c r="N161" s="39" t="s">
        <v>242</v>
      </c>
      <c r="O161" s="39" t="s">
        <v>335</v>
      </c>
      <c r="P161" s="44" t="s">
        <v>1768</v>
      </c>
      <c r="Q161" s="44"/>
      <c r="R161" s="39" t="s">
        <v>255</v>
      </c>
      <c r="S161" s="45" t="s">
        <v>1044</v>
      </c>
    </row>
    <row r="162" ht="14.25" customHeight="1">
      <c r="A162" s="38" t="s">
        <v>1769</v>
      </c>
      <c r="B162" s="38" t="s">
        <v>1770</v>
      </c>
      <c r="C162" s="38" t="s">
        <v>241</v>
      </c>
      <c r="D162" s="38" t="s">
        <v>1771</v>
      </c>
      <c r="E162" s="40">
        <v>470.0</v>
      </c>
      <c r="F162" s="38" t="s">
        <v>1061</v>
      </c>
      <c r="G162" s="38" t="s">
        <v>1047</v>
      </c>
      <c r="H162" s="38" t="s">
        <v>1048</v>
      </c>
      <c r="I162" s="38" t="s">
        <v>1048</v>
      </c>
      <c r="J162" s="38" t="s">
        <v>281</v>
      </c>
      <c r="K162" s="38" t="s">
        <v>240</v>
      </c>
      <c r="L162" s="38" t="s">
        <v>447</v>
      </c>
      <c r="M162" s="38" t="s">
        <v>1063</v>
      </c>
      <c r="N162" s="38" t="s">
        <v>242</v>
      </c>
      <c r="O162" s="38" t="s">
        <v>335</v>
      </c>
      <c r="P162" s="41" t="s">
        <v>1772</v>
      </c>
      <c r="Q162" s="41"/>
      <c r="R162" s="38" t="s">
        <v>255</v>
      </c>
      <c r="S162" s="42" t="s">
        <v>1044</v>
      </c>
    </row>
    <row r="163" ht="14.25" customHeight="1">
      <c r="A163" s="39" t="s">
        <v>1773</v>
      </c>
      <c r="B163" s="39" t="s">
        <v>1774</v>
      </c>
      <c r="C163" s="39" t="s">
        <v>362</v>
      </c>
      <c r="D163" s="39" t="s">
        <v>1722</v>
      </c>
      <c r="E163" s="43">
        <v>900.0</v>
      </c>
      <c r="F163" s="39" t="s">
        <v>1061</v>
      </c>
      <c r="G163" s="39" t="s">
        <v>1086</v>
      </c>
      <c r="H163" s="39" t="s">
        <v>239</v>
      </c>
      <c r="I163" s="39" t="s">
        <v>239</v>
      </c>
      <c r="J163" s="39" t="s">
        <v>239</v>
      </c>
      <c r="K163" s="39" t="s">
        <v>240</v>
      </c>
      <c r="L163" s="39" t="s">
        <v>1244</v>
      </c>
      <c r="M163" s="39" t="s">
        <v>1063</v>
      </c>
      <c r="N163" s="39" t="s">
        <v>242</v>
      </c>
      <c r="O163" s="39" t="s">
        <v>335</v>
      </c>
      <c r="P163" s="44" t="s">
        <v>1775</v>
      </c>
      <c r="Q163" s="44"/>
      <c r="R163" s="39" t="s">
        <v>255</v>
      </c>
      <c r="S163" s="45" t="s">
        <v>1044</v>
      </c>
    </row>
    <row r="164" ht="14.25" customHeight="1">
      <c r="A164" s="38" t="s">
        <v>1776</v>
      </c>
      <c r="B164" s="38" t="s">
        <v>1777</v>
      </c>
      <c r="C164" s="38" t="s">
        <v>362</v>
      </c>
      <c r="D164" s="38" t="s">
        <v>1778</v>
      </c>
      <c r="E164" s="40">
        <v>600.0</v>
      </c>
      <c r="F164" s="38" t="s">
        <v>1061</v>
      </c>
      <c r="G164" s="38" t="s">
        <v>1086</v>
      </c>
      <c r="H164" s="38" t="s">
        <v>239</v>
      </c>
      <c r="I164" s="38" t="s">
        <v>239</v>
      </c>
      <c r="J164" s="38" t="s">
        <v>239</v>
      </c>
      <c r="K164" s="38" t="s">
        <v>240</v>
      </c>
      <c r="L164" s="38" t="s">
        <v>1244</v>
      </c>
      <c r="M164" s="38" t="s">
        <v>1063</v>
      </c>
      <c r="N164" s="38" t="s">
        <v>242</v>
      </c>
      <c r="O164" s="38" t="s">
        <v>335</v>
      </c>
      <c r="P164" s="41" t="s">
        <v>1779</v>
      </c>
      <c r="Q164" s="41"/>
      <c r="R164" s="38" t="s">
        <v>255</v>
      </c>
      <c r="S164" s="42" t="s">
        <v>1044</v>
      </c>
    </row>
    <row r="165" ht="14.25" customHeight="1">
      <c r="A165" s="39" t="s">
        <v>1780</v>
      </c>
      <c r="B165" s="39" t="s">
        <v>1781</v>
      </c>
      <c r="C165" s="39" t="s">
        <v>362</v>
      </c>
      <c r="D165" s="39" t="s">
        <v>1085</v>
      </c>
      <c r="E165" s="43">
        <v>800.0</v>
      </c>
      <c r="F165" s="39" t="s">
        <v>1061</v>
      </c>
      <c r="G165" s="39" t="s">
        <v>1086</v>
      </c>
      <c r="H165" s="39" t="s">
        <v>239</v>
      </c>
      <c r="I165" s="39" t="s">
        <v>239</v>
      </c>
      <c r="J165" s="39" t="s">
        <v>239</v>
      </c>
      <c r="K165" s="39" t="s">
        <v>240</v>
      </c>
      <c r="L165" s="39" t="s">
        <v>522</v>
      </c>
      <c r="M165" s="39" t="s">
        <v>1063</v>
      </c>
      <c r="N165" s="39" t="s">
        <v>242</v>
      </c>
      <c r="O165" s="39" t="s">
        <v>335</v>
      </c>
      <c r="P165" s="44" t="s">
        <v>1782</v>
      </c>
      <c r="Q165" s="44"/>
      <c r="R165" s="39" t="s">
        <v>255</v>
      </c>
      <c r="S165" s="45" t="s">
        <v>1044</v>
      </c>
    </row>
    <row r="166" ht="14.25" customHeight="1">
      <c r="A166" s="38" t="s">
        <v>1783</v>
      </c>
      <c r="B166" s="38" t="s">
        <v>1784</v>
      </c>
      <c r="C166" s="38" t="s">
        <v>306</v>
      </c>
      <c r="D166" s="38" t="s">
        <v>1675</v>
      </c>
      <c r="E166" s="40">
        <v>2700.0</v>
      </c>
      <c r="F166" s="38" t="s">
        <v>1042</v>
      </c>
      <c r="G166" s="38" t="s">
        <v>1368</v>
      </c>
      <c r="H166" s="38" t="s">
        <v>1369</v>
      </c>
      <c r="I166" s="38" t="s">
        <v>1369</v>
      </c>
      <c r="J166" s="38" t="s">
        <v>360</v>
      </c>
      <c r="K166" s="38" t="s">
        <v>282</v>
      </c>
      <c r="L166" s="38" t="s">
        <v>1384</v>
      </c>
      <c r="M166" s="38" t="s">
        <v>1012</v>
      </c>
      <c r="N166" s="38" t="s">
        <v>242</v>
      </c>
      <c r="O166" s="38" t="s">
        <v>335</v>
      </c>
      <c r="P166" s="41" t="s">
        <v>1785</v>
      </c>
      <c r="Q166" s="41" t="s">
        <v>1786</v>
      </c>
      <c r="R166" s="38" t="s">
        <v>255</v>
      </c>
      <c r="S166" s="42" t="s">
        <v>1044</v>
      </c>
    </row>
    <row r="167" ht="14.25" customHeight="1">
      <c r="A167" s="39" t="s">
        <v>1787</v>
      </c>
      <c r="B167" s="39" t="s">
        <v>1788</v>
      </c>
      <c r="C167" s="39" t="s">
        <v>362</v>
      </c>
      <c r="D167" s="39" t="s">
        <v>1789</v>
      </c>
      <c r="E167" s="43">
        <v>2600.0</v>
      </c>
      <c r="F167" s="39" t="s">
        <v>1042</v>
      </c>
      <c r="G167" s="39" t="s">
        <v>1047</v>
      </c>
      <c r="H167" s="39" t="s">
        <v>1048</v>
      </c>
      <c r="I167" s="39" t="s">
        <v>1048</v>
      </c>
      <c r="J167" s="39" t="s">
        <v>281</v>
      </c>
      <c r="K167" s="39" t="s">
        <v>282</v>
      </c>
      <c r="L167" s="39" t="s">
        <v>1316</v>
      </c>
      <c r="M167" s="39" t="s">
        <v>1012</v>
      </c>
      <c r="N167" s="39" t="s">
        <v>242</v>
      </c>
      <c r="O167" s="39" t="s">
        <v>335</v>
      </c>
      <c r="P167" s="44" t="s">
        <v>1790</v>
      </c>
      <c r="Q167" s="44" t="s">
        <v>1791</v>
      </c>
      <c r="R167" s="39" t="s">
        <v>255</v>
      </c>
      <c r="S167" s="45" t="s">
        <v>1044</v>
      </c>
    </row>
    <row r="168" ht="14.25" customHeight="1">
      <c r="A168" s="38" t="s">
        <v>1792</v>
      </c>
      <c r="B168" s="38" t="s">
        <v>1793</v>
      </c>
      <c r="C168" s="38" t="s">
        <v>306</v>
      </c>
      <c r="D168" s="38" t="s">
        <v>1794</v>
      </c>
      <c r="E168" s="40">
        <v>399.0</v>
      </c>
      <c r="F168" s="38" t="s">
        <v>1042</v>
      </c>
      <c r="G168" s="38" t="s">
        <v>1135</v>
      </c>
      <c r="H168" s="38" t="s">
        <v>239</v>
      </c>
      <c r="I168" s="38" t="s">
        <v>239</v>
      </c>
      <c r="J168" s="38" t="s">
        <v>239</v>
      </c>
      <c r="K168" s="38" t="s">
        <v>282</v>
      </c>
      <c r="L168" s="38" t="s">
        <v>522</v>
      </c>
      <c r="M168" s="38" t="s">
        <v>1012</v>
      </c>
      <c r="N168" s="38" t="s">
        <v>242</v>
      </c>
      <c r="O168" s="38" t="s">
        <v>335</v>
      </c>
      <c r="P168" s="41" t="s">
        <v>1795</v>
      </c>
      <c r="Q168" s="41" t="s">
        <v>1796</v>
      </c>
      <c r="R168" s="38" t="s">
        <v>255</v>
      </c>
      <c r="S168" s="42" t="s">
        <v>1044</v>
      </c>
    </row>
    <row r="169" ht="14.25" customHeight="1">
      <c r="A169" s="39" t="s">
        <v>1797</v>
      </c>
      <c r="B169" s="39" t="s">
        <v>1798</v>
      </c>
      <c r="C169" s="39" t="s">
        <v>306</v>
      </c>
      <c r="D169" s="39" t="s">
        <v>1060</v>
      </c>
      <c r="E169" s="43">
        <v>250.0</v>
      </c>
      <c r="F169" s="39" t="s">
        <v>1042</v>
      </c>
      <c r="G169" s="39" t="s">
        <v>1135</v>
      </c>
      <c r="H169" s="39" t="s">
        <v>239</v>
      </c>
      <c r="I169" s="39" t="s">
        <v>239</v>
      </c>
      <c r="J169" s="39" t="s">
        <v>239</v>
      </c>
      <c r="K169" s="39" t="s">
        <v>282</v>
      </c>
      <c r="L169" s="39" t="s">
        <v>522</v>
      </c>
      <c r="M169" s="39" t="s">
        <v>1012</v>
      </c>
      <c r="N169" s="39" t="s">
        <v>242</v>
      </c>
      <c r="O169" s="39" t="s">
        <v>335</v>
      </c>
      <c r="P169" s="44" t="s">
        <v>1799</v>
      </c>
      <c r="Q169" s="44" t="s">
        <v>1800</v>
      </c>
      <c r="R169" s="39" t="s">
        <v>255</v>
      </c>
      <c r="S169" s="45" t="s">
        <v>1044</v>
      </c>
    </row>
    <row r="170" ht="14.25" customHeight="1">
      <c r="A170" s="38" t="s">
        <v>1801</v>
      </c>
      <c r="B170" s="38" t="s">
        <v>1802</v>
      </c>
      <c r="C170" s="38" t="s">
        <v>241</v>
      </c>
      <c r="D170" s="38" t="s">
        <v>1803</v>
      </c>
      <c r="E170" s="40">
        <v>30.0</v>
      </c>
      <c r="F170" s="38" t="s">
        <v>1042</v>
      </c>
      <c r="G170" s="38" t="s">
        <v>1055</v>
      </c>
      <c r="H170" s="38" t="s">
        <v>239</v>
      </c>
      <c r="I170" s="38" t="s">
        <v>239</v>
      </c>
      <c r="J170" s="38" t="s">
        <v>239</v>
      </c>
      <c r="K170" s="38" t="s">
        <v>282</v>
      </c>
      <c r="L170" s="38" t="s">
        <v>1062</v>
      </c>
      <c r="M170" s="38" t="s">
        <v>1012</v>
      </c>
      <c r="N170" s="38" t="s">
        <v>242</v>
      </c>
      <c r="O170" s="38" t="s">
        <v>335</v>
      </c>
      <c r="P170" s="41" t="s">
        <v>1804</v>
      </c>
      <c r="Q170" s="41" t="s">
        <v>1805</v>
      </c>
      <c r="R170" s="38" t="s">
        <v>255</v>
      </c>
      <c r="S170" s="42" t="s">
        <v>1044</v>
      </c>
    </row>
    <row r="171" ht="14.25" customHeight="1">
      <c r="A171" s="39" t="s">
        <v>1806</v>
      </c>
      <c r="B171" s="39" t="s">
        <v>1807</v>
      </c>
      <c r="C171" s="39" t="s">
        <v>241</v>
      </c>
      <c r="D171" s="39" t="s">
        <v>1160</v>
      </c>
      <c r="E171" s="43">
        <v>2500.0</v>
      </c>
      <c r="F171" s="39" t="s">
        <v>1042</v>
      </c>
      <c r="G171" s="39" t="s">
        <v>1135</v>
      </c>
      <c r="H171" s="39" t="s">
        <v>239</v>
      </c>
      <c r="I171" s="39" t="s">
        <v>239</v>
      </c>
      <c r="J171" s="39" t="s">
        <v>239</v>
      </c>
      <c r="K171" s="39" t="s">
        <v>282</v>
      </c>
      <c r="L171" s="39" t="s">
        <v>252</v>
      </c>
      <c r="M171" s="39" t="s">
        <v>1012</v>
      </c>
      <c r="N171" s="39" t="s">
        <v>242</v>
      </c>
      <c r="O171" s="39" t="s">
        <v>335</v>
      </c>
      <c r="P171" s="44" t="s">
        <v>1808</v>
      </c>
      <c r="Q171" s="44" t="s">
        <v>1809</v>
      </c>
      <c r="R171" s="39" t="s">
        <v>255</v>
      </c>
      <c r="S171" s="45" t="s">
        <v>1044</v>
      </c>
    </row>
    <row r="172" ht="14.25" customHeight="1">
      <c r="A172" s="38" t="s">
        <v>1810</v>
      </c>
      <c r="B172" s="38" t="s">
        <v>1811</v>
      </c>
      <c r="C172" s="38" t="s">
        <v>241</v>
      </c>
      <c r="D172" s="38" t="s">
        <v>1812</v>
      </c>
      <c r="E172" s="40">
        <v>8500.0</v>
      </c>
      <c r="F172" s="38" t="s">
        <v>1042</v>
      </c>
      <c r="G172" s="38" t="s">
        <v>1055</v>
      </c>
      <c r="H172" s="38" t="s">
        <v>239</v>
      </c>
      <c r="I172" s="38" t="s">
        <v>239</v>
      </c>
      <c r="J172" s="38" t="s">
        <v>239</v>
      </c>
      <c r="K172" s="38" t="s">
        <v>282</v>
      </c>
      <c r="L172" s="38" t="s">
        <v>252</v>
      </c>
      <c r="M172" s="38" t="s">
        <v>1012</v>
      </c>
      <c r="N172" s="38" t="s">
        <v>242</v>
      </c>
      <c r="O172" s="38" t="s">
        <v>335</v>
      </c>
      <c r="P172" s="41" t="s">
        <v>1813</v>
      </c>
      <c r="Q172" s="41" t="s">
        <v>1814</v>
      </c>
      <c r="R172" s="38" t="s">
        <v>255</v>
      </c>
      <c r="S172" s="42" t="s">
        <v>1044</v>
      </c>
    </row>
    <row r="173" ht="14.25" customHeight="1">
      <c r="A173" s="39" t="s">
        <v>1815</v>
      </c>
      <c r="B173" s="39" t="s">
        <v>1816</v>
      </c>
      <c r="C173" s="39" t="s">
        <v>362</v>
      </c>
      <c r="D173" s="39" t="s">
        <v>1588</v>
      </c>
      <c r="E173" s="43">
        <v>500.0</v>
      </c>
      <c r="F173" s="39" t="s">
        <v>1061</v>
      </c>
      <c r="G173" s="39" t="s">
        <v>1236</v>
      </c>
      <c r="H173" s="39" t="s">
        <v>1228</v>
      </c>
      <c r="I173" s="39" t="s">
        <v>1228</v>
      </c>
      <c r="J173" s="39" t="s">
        <v>419</v>
      </c>
      <c r="K173" s="39" t="s">
        <v>240</v>
      </c>
      <c r="L173" s="39" t="s">
        <v>1229</v>
      </c>
      <c r="M173" s="39" t="s">
        <v>1071</v>
      </c>
      <c r="N173" s="39" t="s">
        <v>268</v>
      </c>
      <c r="O173" s="39" t="s">
        <v>335</v>
      </c>
      <c r="P173" s="44" t="s">
        <v>1817</v>
      </c>
      <c r="Q173" s="44"/>
      <c r="R173" s="39" t="s">
        <v>255</v>
      </c>
      <c r="S173" s="45" t="s">
        <v>1231</v>
      </c>
    </row>
    <row r="174" ht="14.25" customHeight="1">
      <c r="A174" s="38" t="s">
        <v>1818</v>
      </c>
      <c r="B174" s="38" t="s">
        <v>1819</v>
      </c>
      <c r="C174" s="38" t="s">
        <v>241</v>
      </c>
      <c r="D174" s="38" t="s">
        <v>1219</v>
      </c>
      <c r="E174" s="40">
        <v>2000.0</v>
      </c>
      <c r="F174" s="38" t="s">
        <v>1061</v>
      </c>
      <c r="G174" s="38" t="s">
        <v>1118</v>
      </c>
      <c r="H174" s="38" t="s">
        <v>1119</v>
      </c>
      <c r="I174" s="38" t="s">
        <v>1119</v>
      </c>
      <c r="J174" s="38" t="s">
        <v>405</v>
      </c>
      <c r="K174" s="38" t="s">
        <v>240</v>
      </c>
      <c r="L174" s="38" t="s">
        <v>522</v>
      </c>
      <c r="M174" s="38" t="s">
        <v>1063</v>
      </c>
      <c r="N174" s="38" t="s">
        <v>242</v>
      </c>
      <c r="O174" s="38" t="s">
        <v>335</v>
      </c>
      <c r="P174" s="41" t="s">
        <v>1820</v>
      </c>
      <c r="Q174" s="41"/>
      <c r="R174" s="38" t="s">
        <v>255</v>
      </c>
      <c r="S174" s="42" t="s">
        <v>1044</v>
      </c>
    </row>
    <row r="175" ht="14.25" customHeight="1">
      <c r="A175" s="39" t="s">
        <v>1821</v>
      </c>
      <c r="B175" s="39" t="s">
        <v>1822</v>
      </c>
      <c r="C175" s="39" t="s">
        <v>1103</v>
      </c>
      <c r="D175" s="39" t="s">
        <v>1054</v>
      </c>
      <c r="E175" s="43">
        <v>580.0</v>
      </c>
      <c r="F175" s="39" t="s">
        <v>1061</v>
      </c>
      <c r="G175" s="39" t="s">
        <v>1055</v>
      </c>
      <c r="H175" s="39" t="s">
        <v>239</v>
      </c>
      <c r="I175" s="39" t="s">
        <v>239</v>
      </c>
      <c r="J175" s="39" t="s">
        <v>239</v>
      </c>
      <c r="K175" s="39" t="s">
        <v>240</v>
      </c>
      <c r="L175" s="39" t="s">
        <v>1113</v>
      </c>
      <c r="M175" s="39" t="s">
        <v>1063</v>
      </c>
      <c r="N175" s="39" t="s">
        <v>242</v>
      </c>
      <c r="O175" s="39" t="s">
        <v>335</v>
      </c>
      <c r="P175" s="44" t="s">
        <v>1823</v>
      </c>
      <c r="Q175" s="44"/>
      <c r="R175" s="39" t="s">
        <v>255</v>
      </c>
      <c r="S175" s="45" t="s">
        <v>1044</v>
      </c>
    </row>
    <row r="176" ht="14.25" customHeight="1">
      <c r="A176" s="38" t="s">
        <v>1824</v>
      </c>
      <c r="B176" s="38" t="s">
        <v>1825</v>
      </c>
      <c r="C176" s="38" t="s">
        <v>1103</v>
      </c>
      <c r="D176" s="38" t="s">
        <v>1826</v>
      </c>
      <c r="E176" s="40">
        <v>700.0</v>
      </c>
      <c r="F176" s="38" t="s">
        <v>1061</v>
      </c>
      <c r="G176" s="38" t="s">
        <v>1079</v>
      </c>
      <c r="H176" s="38" t="s">
        <v>239</v>
      </c>
      <c r="I176" s="38" t="s">
        <v>239</v>
      </c>
      <c r="J176" s="38" t="s">
        <v>239</v>
      </c>
      <c r="K176" s="38" t="s">
        <v>240</v>
      </c>
      <c r="L176" s="38" t="s">
        <v>1062</v>
      </c>
      <c r="M176" s="38" t="s">
        <v>1063</v>
      </c>
      <c r="N176" s="38" t="s">
        <v>242</v>
      </c>
      <c r="O176" s="38" t="s">
        <v>335</v>
      </c>
      <c r="P176" s="41" t="s">
        <v>1827</v>
      </c>
      <c r="Q176" s="41"/>
      <c r="R176" s="38" t="s">
        <v>255</v>
      </c>
      <c r="S176" s="42" t="s">
        <v>1044</v>
      </c>
    </row>
    <row r="177" ht="14.25" customHeight="1">
      <c r="A177" s="39" t="s">
        <v>1828</v>
      </c>
      <c r="B177" s="39" t="s">
        <v>1829</v>
      </c>
      <c r="C177" s="39" t="s">
        <v>388</v>
      </c>
      <c r="D177" s="39" t="s">
        <v>1219</v>
      </c>
      <c r="E177" s="43">
        <v>2000.0</v>
      </c>
      <c r="F177" s="39" t="s">
        <v>1061</v>
      </c>
      <c r="G177" s="39" t="s">
        <v>386</v>
      </c>
      <c r="H177" s="39" t="s">
        <v>386</v>
      </c>
      <c r="I177" s="39" t="s">
        <v>386</v>
      </c>
      <c r="J177" s="39" t="s">
        <v>386</v>
      </c>
      <c r="K177" s="39" t="s">
        <v>240</v>
      </c>
      <c r="L177" s="39" t="s">
        <v>1130</v>
      </c>
      <c r="M177" s="39" t="s">
        <v>1063</v>
      </c>
      <c r="N177" s="39" t="s">
        <v>242</v>
      </c>
      <c r="O177" s="39" t="s">
        <v>335</v>
      </c>
      <c r="P177" s="44" t="s">
        <v>1830</v>
      </c>
      <c r="Q177" s="44"/>
      <c r="R177" s="39" t="s">
        <v>255</v>
      </c>
      <c r="S177" s="45" t="s">
        <v>1044</v>
      </c>
    </row>
    <row r="178" ht="14.25" customHeight="1">
      <c r="A178" s="38" t="s">
        <v>1831</v>
      </c>
      <c r="B178" s="38" t="s">
        <v>1832</v>
      </c>
      <c r="C178" s="38" t="s">
        <v>241</v>
      </c>
      <c r="D178" s="38" t="s">
        <v>1622</v>
      </c>
      <c r="E178" s="40">
        <v>2200.0</v>
      </c>
      <c r="F178" s="38" t="s">
        <v>1042</v>
      </c>
      <c r="G178" s="38" t="s">
        <v>1079</v>
      </c>
      <c r="H178" s="38" t="s">
        <v>239</v>
      </c>
      <c r="I178" s="38" t="s">
        <v>239</v>
      </c>
      <c r="J178" s="38" t="s">
        <v>239</v>
      </c>
      <c r="K178" s="38" t="s">
        <v>282</v>
      </c>
      <c r="L178" s="38" t="s">
        <v>252</v>
      </c>
      <c r="M178" s="38" t="s">
        <v>1012</v>
      </c>
      <c r="N178" s="38" t="s">
        <v>242</v>
      </c>
      <c r="O178" s="38" t="s">
        <v>335</v>
      </c>
      <c r="P178" s="41" t="s">
        <v>1833</v>
      </c>
      <c r="Q178" s="41" t="s">
        <v>1834</v>
      </c>
      <c r="R178" s="38" t="s">
        <v>255</v>
      </c>
      <c r="S178" s="42" t="s">
        <v>1044</v>
      </c>
    </row>
    <row r="179" ht="14.25" customHeight="1">
      <c r="A179" s="39" t="s">
        <v>1835</v>
      </c>
      <c r="B179" s="39" t="s">
        <v>1836</v>
      </c>
      <c r="C179" s="39" t="s">
        <v>306</v>
      </c>
      <c r="D179" s="39" t="s">
        <v>1837</v>
      </c>
      <c r="E179" s="43">
        <v>605.0</v>
      </c>
      <c r="F179" s="39" t="s">
        <v>1042</v>
      </c>
      <c r="G179" s="39" t="s">
        <v>1079</v>
      </c>
      <c r="H179" s="39" t="s">
        <v>239</v>
      </c>
      <c r="I179" s="39" t="s">
        <v>239</v>
      </c>
      <c r="J179" s="39" t="s">
        <v>239</v>
      </c>
      <c r="K179" s="39" t="s">
        <v>282</v>
      </c>
      <c r="L179" s="39" t="s">
        <v>1113</v>
      </c>
      <c r="M179" s="39" t="s">
        <v>1012</v>
      </c>
      <c r="N179" s="39" t="s">
        <v>242</v>
      </c>
      <c r="O179" s="39" t="s">
        <v>335</v>
      </c>
      <c r="P179" s="44" t="s">
        <v>1838</v>
      </c>
      <c r="Q179" s="44" t="s">
        <v>1839</v>
      </c>
      <c r="R179" s="39" t="s">
        <v>255</v>
      </c>
      <c r="S179" s="45" t="s">
        <v>1044</v>
      </c>
    </row>
    <row r="180" ht="14.25" customHeight="1">
      <c r="A180" s="38" t="s">
        <v>1840</v>
      </c>
      <c r="B180" s="38" t="s">
        <v>1841</v>
      </c>
      <c r="C180" s="38" t="s">
        <v>306</v>
      </c>
      <c r="D180" s="38" t="s">
        <v>1267</v>
      </c>
      <c r="E180" s="40">
        <v>950.0</v>
      </c>
      <c r="F180" s="38" t="s">
        <v>1061</v>
      </c>
      <c r="G180" s="38" t="s">
        <v>1251</v>
      </c>
      <c r="H180" s="38" t="s">
        <v>1251</v>
      </c>
      <c r="I180" s="38" t="s">
        <v>1251</v>
      </c>
      <c r="J180" s="38" t="s">
        <v>415</v>
      </c>
      <c r="K180" s="38" t="s">
        <v>240</v>
      </c>
      <c r="L180" s="38" t="s">
        <v>1739</v>
      </c>
      <c r="M180" s="38" t="s">
        <v>1063</v>
      </c>
      <c r="N180" s="38" t="s">
        <v>242</v>
      </c>
      <c r="O180" s="38" t="s">
        <v>335</v>
      </c>
      <c r="P180" s="41" t="s">
        <v>1842</v>
      </c>
      <c r="Q180" s="41"/>
      <c r="R180" s="38" t="s">
        <v>255</v>
      </c>
      <c r="S180" s="42" t="s">
        <v>1254</v>
      </c>
    </row>
    <row r="181" ht="14.25" customHeight="1">
      <c r="A181" s="39" t="s">
        <v>1843</v>
      </c>
      <c r="B181" s="39" t="s">
        <v>1844</v>
      </c>
      <c r="C181" s="39" t="s">
        <v>306</v>
      </c>
      <c r="D181" s="39" t="s">
        <v>1184</v>
      </c>
      <c r="E181" s="43">
        <v>1100.0</v>
      </c>
      <c r="F181" s="39" t="s">
        <v>1042</v>
      </c>
      <c r="G181" s="39" t="s">
        <v>1118</v>
      </c>
      <c r="H181" s="39" t="s">
        <v>1119</v>
      </c>
      <c r="I181" s="39" t="s">
        <v>1119</v>
      </c>
      <c r="J181" s="39" t="s">
        <v>405</v>
      </c>
      <c r="K181" s="39" t="s">
        <v>282</v>
      </c>
      <c r="L181" s="39" t="s">
        <v>1120</v>
      </c>
      <c r="M181" s="39" t="s">
        <v>1012</v>
      </c>
      <c r="N181" s="39" t="s">
        <v>242</v>
      </c>
      <c r="O181" s="39" t="s">
        <v>335</v>
      </c>
      <c r="P181" s="44" t="s">
        <v>1845</v>
      </c>
      <c r="Q181" s="44" t="s">
        <v>1846</v>
      </c>
      <c r="R181" s="39" t="s">
        <v>255</v>
      </c>
      <c r="S181" s="45" t="s">
        <v>1044</v>
      </c>
    </row>
    <row r="182" ht="14.25" customHeight="1">
      <c r="A182" s="38" t="s">
        <v>1847</v>
      </c>
      <c r="B182" s="38" t="s">
        <v>1848</v>
      </c>
      <c r="C182" s="38" t="s">
        <v>241</v>
      </c>
      <c r="D182" s="38" t="s">
        <v>1321</v>
      </c>
      <c r="E182" s="40">
        <v>150.0</v>
      </c>
      <c r="F182" s="38" t="s">
        <v>1061</v>
      </c>
      <c r="G182" s="38" t="s">
        <v>1079</v>
      </c>
      <c r="H182" s="38" t="s">
        <v>239</v>
      </c>
      <c r="I182" s="38" t="s">
        <v>239</v>
      </c>
      <c r="J182" s="38" t="s">
        <v>239</v>
      </c>
      <c r="K182" s="38" t="s">
        <v>240</v>
      </c>
      <c r="L182" s="38" t="s">
        <v>522</v>
      </c>
      <c r="M182" s="38" t="s">
        <v>1063</v>
      </c>
      <c r="N182" s="38" t="s">
        <v>242</v>
      </c>
      <c r="O182" s="38" t="s">
        <v>335</v>
      </c>
      <c r="P182" s="41" t="s">
        <v>1849</v>
      </c>
      <c r="Q182" s="41"/>
      <c r="R182" s="38" t="s">
        <v>255</v>
      </c>
      <c r="S182" s="42" t="s">
        <v>1044</v>
      </c>
    </row>
    <row r="183" ht="14.25" customHeight="1">
      <c r="A183" s="39" t="s">
        <v>1850</v>
      </c>
      <c r="B183" s="39" t="s">
        <v>1851</v>
      </c>
      <c r="C183" s="39" t="s">
        <v>362</v>
      </c>
      <c r="D183" s="39" t="s">
        <v>1852</v>
      </c>
      <c r="E183" s="43">
        <v>1700.0</v>
      </c>
      <c r="F183" s="39" t="s">
        <v>1061</v>
      </c>
      <c r="G183" s="39" t="s">
        <v>1047</v>
      </c>
      <c r="H183" s="39" t="s">
        <v>1048</v>
      </c>
      <c r="I183" s="39" t="s">
        <v>1048</v>
      </c>
      <c r="J183" s="39" t="s">
        <v>281</v>
      </c>
      <c r="K183" s="39" t="s">
        <v>282</v>
      </c>
      <c r="L183" s="39" t="s">
        <v>447</v>
      </c>
      <c r="M183" s="39" t="s">
        <v>1012</v>
      </c>
      <c r="N183" s="39" t="s">
        <v>242</v>
      </c>
      <c r="O183" s="39" t="s">
        <v>335</v>
      </c>
      <c r="P183" s="44" t="s">
        <v>1853</v>
      </c>
      <c r="Q183" s="44" t="s">
        <v>1854</v>
      </c>
      <c r="R183" s="39" t="s">
        <v>255</v>
      </c>
      <c r="S183" s="45" t="s">
        <v>1044</v>
      </c>
    </row>
    <row r="184" ht="14.25" customHeight="1">
      <c r="A184" s="38" t="s">
        <v>1855</v>
      </c>
      <c r="B184" s="38" t="s">
        <v>1856</v>
      </c>
      <c r="C184" s="38" t="s">
        <v>388</v>
      </c>
      <c r="D184" s="38" t="s">
        <v>1857</v>
      </c>
      <c r="E184" s="40">
        <v>131400.0</v>
      </c>
      <c r="F184" s="38" t="s">
        <v>1042</v>
      </c>
      <c r="G184" s="38" t="s">
        <v>1055</v>
      </c>
      <c r="H184" s="38" t="s">
        <v>239</v>
      </c>
      <c r="I184" s="38" t="s">
        <v>239</v>
      </c>
      <c r="J184" s="38" t="s">
        <v>239</v>
      </c>
      <c r="K184" s="38" t="s">
        <v>282</v>
      </c>
      <c r="L184" s="38" t="s">
        <v>1056</v>
      </c>
      <c r="M184" s="38" t="s">
        <v>1012</v>
      </c>
      <c r="N184" s="38" t="s">
        <v>242</v>
      </c>
      <c r="O184" s="38" t="s">
        <v>335</v>
      </c>
      <c r="P184" s="41" t="s">
        <v>1858</v>
      </c>
      <c r="Q184" s="41" t="s">
        <v>1859</v>
      </c>
      <c r="R184" s="38" t="s">
        <v>255</v>
      </c>
      <c r="S184" s="42" t="s">
        <v>1044</v>
      </c>
    </row>
    <row r="185" ht="14.25" customHeight="1">
      <c r="A185" s="39" t="s">
        <v>1860</v>
      </c>
      <c r="B185" s="39" t="s">
        <v>1861</v>
      </c>
      <c r="C185" s="39" t="s">
        <v>1124</v>
      </c>
      <c r="D185" s="39" t="s">
        <v>1862</v>
      </c>
      <c r="E185" s="43">
        <v>26000.0</v>
      </c>
      <c r="F185" s="39" t="s">
        <v>1078</v>
      </c>
      <c r="G185" s="39" t="s">
        <v>1086</v>
      </c>
      <c r="H185" s="39" t="s">
        <v>1086</v>
      </c>
      <c r="I185" s="39" t="s">
        <v>1078</v>
      </c>
      <c r="J185" s="39" t="s">
        <v>320</v>
      </c>
      <c r="K185" s="39" t="s">
        <v>321</v>
      </c>
      <c r="L185" s="39" t="s">
        <v>1080</v>
      </c>
      <c r="M185" s="39" t="s">
        <v>1080</v>
      </c>
      <c r="N185" s="39" t="s">
        <v>268</v>
      </c>
      <c r="O185" s="39" t="s">
        <v>335</v>
      </c>
      <c r="P185" s="44" t="s">
        <v>1863</v>
      </c>
      <c r="Q185" s="44"/>
      <c r="R185" s="39" t="s">
        <v>255</v>
      </c>
      <c r="S185" s="45" t="s">
        <v>1044</v>
      </c>
    </row>
    <row r="186" ht="14.25" customHeight="1">
      <c r="A186" s="38" t="s">
        <v>1864</v>
      </c>
      <c r="B186" s="38" t="s">
        <v>1865</v>
      </c>
      <c r="C186" s="38" t="s">
        <v>388</v>
      </c>
      <c r="D186" s="38" t="s">
        <v>1546</v>
      </c>
      <c r="E186" s="40">
        <v>10000.0</v>
      </c>
      <c r="F186" s="38" t="s">
        <v>1061</v>
      </c>
      <c r="G186" s="38" t="s">
        <v>386</v>
      </c>
      <c r="H186" s="38" t="s">
        <v>386</v>
      </c>
      <c r="I186" s="38" t="s">
        <v>386</v>
      </c>
      <c r="J186" s="38" t="s">
        <v>386</v>
      </c>
      <c r="K186" s="38" t="s">
        <v>240</v>
      </c>
      <c r="L186" s="38" t="s">
        <v>1866</v>
      </c>
      <c r="M186" s="38" t="s">
        <v>1063</v>
      </c>
      <c r="N186" s="38" t="s">
        <v>242</v>
      </c>
      <c r="O186" s="38" t="s">
        <v>335</v>
      </c>
      <c r="P186" s="41" t="s">
        <v>1867</v>
      </c>
      <c r="Q186" s="41"/>
      <c r="R186" s="38" t="s">
        <v>255</v>
      </c>
      <c r="S186" s="42" t="s">
        <v>1044</v>
      </c>
    </row>
    <row r="187" ht="14.25" customHeight="1">
      <c r="A187" s="39" t="s">
        <v>1868</v>
      </c>
      <c r="B187" s="39" t="s">
        <v>1869</v>
      </c>
      <c r="C187" s="39" t="s">
        <v>241</v>
      </c>
      <c r="D187" s="39" t="s">
        <v>1826</v>
      </c>
      <c r="E187" s="43">
        <v>700.0</v>
      </c>
      <c r="F187" s="39" t="s">
        <v>1061</v>
      </c>
      <c r="G187" s="39" t="s">
        <v>1251</v>
      </c>
      <c r="H187" s="39" t="s">
        <v>1251</v>
      </c>
      <c r="I187" s="39" t="s">
        <v>1251</v>
      </c>
      <c r="J187" s="39" t="s">
        <v>413</v>
      </c>
      <c r="K187" s="39" t="s">
        <v>240</v>
      </c>
      <c r="L187" s="39" t="s">
        <v>1252</v>
      </c>
      <c r="M187" s="39" t="s">
        <v>1063</v>
      </c>
      <c r="N187" s="39" t="s">
        <v>242</v>
      </c>
      <c r="O187" s="39" t="s">
        <v>335</v>
      </c>
      <c r="P187" s="44" t="s">
        <v>1870</v>
      </c>
      <c r="Q187" s="44"/>
      <c r="R187" s="39" t="s">
        <v>255</v>
      </c>
      <c r="S187" s="45" t="s">
        <v>1254</v>
      </c>
    </row>
    <row r="188" ht="14.25" customHeight="1">
      <c r="A188" s="38" t="s">
        <v>1871</v>
      </c>
      <c r="B188" s="38" t="s">
        <v>1872</v>
      </c>
      <c r="C188" s="38" t="s">
        <v>241</v>
      </c>
      <c r="D188" s="38" t="s">
        <v>1803</v>
      </c>
      <c r="E188" s="40">
        <v>30.0</v>
      </c>
      <c r="F188" s="38" t="s">
        <v>1061</v>
      </c>
      <c r="G188" s="38" t="s">
        <v>1195</v>
      </c>
      <c r="H188" s="38" t="s">
        <v>1195</v>
      </c>
      <c r="I188" s="38" t="s">
        <v>1200</v>
      </c>
      <c r="J188" s="38" t="s">
        <v>399</v>
      </c>
      <c r="K188" s="38" t="s">
        <v>240</v>
      </c>
      <c r="L188" s="38" t="s">
        <v>1274</v>
      </c>
      <c r="M188" s="38" t="s">
        <v>1063</v>
      </c>
      <c r="N188" s="38" t="s">
        <v>242</v>
      </c>
      <c r="O188" s="38" t="s">
        <v>335</v>
      </c>
      <c r="P188" s="41" t="s">
        <v>1873</v>
      </c>
      <c r="Q188" s="41"/>
      <c r="R188" s="38" t="s">
        <v>255</v>
      </c>
      <c r="S188" s="42" t="s">
        <v>1044</v>
      </c>
    </row>
    <row r="189" ht="14.25" customHeight="1">
      <c r="A189" s="46" t="s">
        <v>1874</v>
      </c>
      <c r="B189" s="46" t="s">
        <v>1875</v>
      </c>
      <c r="C189" s="46" t="s">
        <v>388</v>
      </c>
      <c r="D189" s="46"/>
      <c r="E189" s="47"/>
      <c r="F189" s="46" t="s">
        <v>1042</v>
      </c>
      <c r="G189" s="46" t="s">
        <v>1086</v>
      </c>
      <c r="H189" s="46" t="s">
        <v>1086</v>
      </c>
      <c r="I189" s="46" t="s">
        <v>1086</v>
      </c>
      <c r="J189" s="46" t="s">
        <v>320</v>
      </c>
      <c r="K189" s="46" t="s">
        <v>282</v>
      </c>
      <c r="L189" s="46" t="s">
        <v>1316</v>
      </c>
      <c r="M189" s="46" t="s">
        <v>1012</v>
      </c>
      <c r="N189" s="46" t="s">
        <v>268</v>
      </c>
      <c r="O189" s="46" t="s">
        <v>293</v>
      </c>
      <c r="P189" s="48" t="s">
        <v>1876</v>
      </c>
      <c r="Q189" s="48" t="s">
        <v>1877</v>
      </c>
      <c r="R189" s="46" t="s">
        <v>245</v>
      </c>
      <c r="S189" s="49" t="s">
        <v>1878</v>
      </c>
    </row>
    <row r="190" ht="14.25" customHeight="1">
      <c r="A190" s="38" t="s">
        <v>1879</v>
      </c>
      <c r="B190" s="38" t="s">
        <v>1880</v>
      </c>
      <c r="C190" s="38" t="s">
        <v>306</v>
      </c>
      <c r="D190" s="38" t="s">
        <v>1881</v>
      </c>
      <c r="E190" s="40">
        <v>645.0</v>
      </c>
      <c r="F190" s="38" t="s">
        <v>1042</v>
      </c>
      <c r="G190" s="38" t="s">
        <v>1135</v>
      </c>
      <c r="H190" s="38" t="s">
        <v>239</v>
      </c>
      <c r="I190" s="38" t="s">
        <v>239</v>
      </c>
      <c r="J190" s="38" t="s">
        <v>239</v>
      </c>
      <c r="K190" s="38" t="s">
        <v>282</v>
      </c>
      <c r="L190" s="38" t="s">
        <v>1113</v>
      </c>
      <c r="M190" s="38" t="s">
        <v>1012</v>
      </c>
      <c r="N190" s="38" t="s">
        <v>242</v>
      </c>
      <c r="O190" s="38" t="s">
        <v>335</v>
      </c>
      <c r="P190" s="41" t="s">
        <v>1882</v>
      </c>
      <c r="Q190" s="41" t="s">
        <v>1883</v>
      </c>
      <c r="R190" s="38" t="s">
        <v>255</v>
      </c>
      <c r="S190" s="42" t="s">
        <v>1044</v>
      </c>
    </row>
    <row r="191" ht="14.25" customHeight="1">
      <c r="A191" s="39" t="s">
        <v>1884</v>
      </c>
      <c r="B191" s="39" t="s">
        <v>1885</v>
      </c>
      <c r="C191" s="39" t="s">
        <v>306</v>
      </c>
      <c r="D191" s="39" t="s">
        <v>1184</v>
      </c>
      <c r="E191" s="43">
        <v>1100.0</v>
      </c>
      <c r="F191" s="39" t="s">
        <v>1042</v>
      </c>
      <c r="G191" s="39" t="s">
        <v>386</v>
      </c>
      <c r="H191" s="39" t="s">
        <v>386</v>
      </c>
      <c r="I191" s="39" t="s">
        <v>386</v>
      </c>
      <c r="J191" s="39" t="s">
        <v>386</v>
      </c>
      <c r="K191" s="39" t="s">
        <v>282</v>
      </c>
      <c r="L191" s="39" t="s">
        <v>1130</v>
      </c>
      <c r="M191" s="39" t="s">
        <v>1012</v>
      </c>
      <c r="N191" s="39" t="s">
        <v>242</v>
      </c>
      <c r="O191" s="39" t="s">
        <v>335</v>
      </c>
      <c r="P191" s="44" t="s">
        <v>1886</v>
      </c>
      <c r="Q191" s="44" t="s">
        <v>1887</v>
      </c>
      <c r="R191" s="39" t="s">
        <v>255</v>
      </c>
      <c r="S191" s="45" t="s">
        <v>1044</v>
      </c>
    </row>
    <row r="192" ht="14.25" customHeight="1">
      <c r="A192" s="38" t="s">
        <v>1888</v>
      </c>
      <c r="B192" s="38" t="s">
        <v>1889</v>
      </c>
      <c r="C192" s="38" t="s">
        <v>306</v>
      </c>
      <c r="D192" s="38" t="s">
        <v>1890</v>
      </c>
      <c r="E192" s="40">
        <v>7900.0</v>
      </c>
      <c r="F192" s="38" t="s">
        <v>1042</v>
      </c>
      <c r="G192" s="38" t="s">
        <v>386</v>
      </c>
      <c r="H192" s="38" t="s">
        <v>386</v>
      </c>
      <c r="I192" s="38" t="s">
        <v>386</v>
      </c>
      <c r="J192" s="38" t="s">
        <v>386</v>
      </c>
      <c r="K192" s="38" t="s">
        <v>282</v>
      </c>
      <c r="L192" s="38" t="s">
        <v>1130</v>
      </c>
      <c r="M192" s="38" t="s">
        <v>1012</v>
      </c>
      <c r="N192" s="38" t="s">
        <v>242</v>
      </c>
      <c r="O192" s="38" t="s">
        <v>335</v>
      </c>
      <c r="P192" s="41" t="s">
        <v>1891</v>
      </c>
      <c r="Q192" s="41" t="s">
        <v>1892</v>
      </c>
      <c r="R192" s="38" t="s">
        <v>255</v>
      </c>
      <c r="S192" s="42" t="s">
        <v>1044</v>
      </c>
    </row>
    <row r="193" ht="14.25" customHeight="1">
      <c r="A193" s="39" t="s">
        <v>1893</v>
      </c>
      <c r="B193" s="39" t="s">
        <v>1894</v>
      </c>
      <c r="C193" s="39" t="s">
        <v>241</v>
      </c>
      <c r="D193" s="39" t="s">
        <v>1735</v>
      </c>
      <c r="E193" s="43">
        <v>220.0</v>
      </c>
      <c r="F193" s="39" t="s">
        <v>1061</v>
      </c>
      <c r="G193" s="39" t="s">
        <v>1251</v>
      </c>
      <c r="H193" s="39" t="s">
        <v>1251</v>
      </c>
      <c r="I193" s="39" t="s">
        <v>1251</v>
      </c>
      <c r="J193" s="39" t="s">
        <v>399</v>
      </c>
      <c r="K193" s="39" t="s">
        <v>240</v>
      </c>
      <c r="L193" s="39" t="s">
        <v>1895</v>
      </c>
      <c r="M193" s="39" t="s">
        <v>1063</v>
      </c>
      <c r="N193" s="39" t="s">
        <v>242</v>
      </c>
      <c r="O193" s="39" t="s">
        <v>335</v>
      </c>
      <c r="P193" s="44" t="s">
        <v>1896</v>
      </c>
      <c r="Q193" s="44"/>
      <c r="R193" s="39" t="s">
        <v>255</v>
      </c>
      <c r="S193" s="45" t="s">
        <v>1254</v>
      </c>
    </row>
    <row r="194" ht="14.25" customHeight="1">
      <c r="A194" s="38" t="s">
        <v>1897</v>
      </c>
      <c r="B194" s="38" t="s">
        <v>1898</v>
      </c>
      <c r="C194" s="38" t="s">
        <v>1441</v>
      </c>
      <c r="D194" s="38" t="s">
        <v>1899</v>
      </c>
      <c r="E194" s="40">
        <v>1470.0</v>
      </c>
      <c r="F194" s="38" t="s">
        <v>1042</v>
      </c>
      <c r="G194" s="38" t="s">
        <v>1079</v>
      </c>
      <c r="H194" s="38" t="s">
        <v>239</v>
      </c>
      <c r="I194" s="38" t="s">
        <v>239</v>
      </c>
      <c r="J194" s="38" t="s">
        <v>239</v>
      </c>
      <c r="K194" s="38" t="s">
        <v>282</v>
      </c>
      <c r="L194" s="38" t="s">
        <v>1056</v>
      </c>
      <c r="M194" s="38" t="s">
        <v>1012</v>
      </c>
      <c r="N194" s="38" t="s">
        <v>242</v>
      </c>
      <c r="O194" s="38" t="s">
        <v>335</v>
      </c>
      <c r="P194" s="41" t="s">
        <v>1900</v>
      </c>
      <c r="Q194" s="41" t="s">
        <v>1901</v>
      </c>
      <c r="R194" s="38" t="s">
        <v>255</v>
      </c>
      <c r="S194" s="42" t="s">
        <v>1044</v>
      </c>
    </row>
    <row r="195" ht="14.25" customHeight="1">
      <c r="A195" s="39" t="s">
        <v>1902</v>
      </c>
      <c r="B195" s="39" t="s">
        <v>1903</v>
      </c>
      <c r="C195" s="39" t="s">
        <v>1441</v>
      </c>
      <c r="D195" s="39" t="s">
        <v>1904</v>
      </c>
      <c r="E195" s="43">
        <v>680.0</v>
      </c>
      <c r="F195" s="39" t="s">
        <v>1042</v>
      </c>
      <c r="G195" s="39" t="s">
        <v>1055</v>
      </c>
      <c r="H195" s="39" t="s">
        <v>239</v>
      </c>
      <c r="I195" s="39" t="s">
        <v>239</v>
      </c>
      <c r="J195" s="39" t="s">
        <v>239</v>
      </c>
      <c r="K195" s="39" t="s">
        <v>282</v>
      </c>
      <c r="L195" s="39" t="s">
        <v>1056</v>
      </c>
      <c r="M195" s="39" t="s">
        <v>1012</v>
      </c>
      <c r="N195" s="39" t="s">
        <v>242</v>
      </c>
      <c r="O195" s="39" t="s">
        <v>335</v>
      </c>
      <c r="P195" s="44" t="s">
        <v>1905</v>
      </c>
      <c r="Q195" s="44" t="s">
        <v>1906</v>
      </c>
      <c r="R195" s="39" t="s">
        <v>255</v>
      </c>
      <c r="S195" s="45" t="s">
        <v>1044</v>
      </c>
    </row>
    <row r="196" ht="14.25" customHeight="1">
      <c r="A196" s="38" t="s">
        <v>1907</v>
      </c>
      <c r="B196" s="38" t="s">
        <v>1908</v>
      </c>
      <c r="C196" s="38" t="s">
        <v>306</v>
      </c>
      <c r="D196" s="38" t="s">
        <v>1909</v>
      </c>
      <c r="E196" s="40">
        <v>540.0</v>
      </c>
      <c r="F196" s="38" t="s">
        <v>1042</v>
      </c>
      <c r="G196" s="38" t="s">
        <v>1055</v>
      </c>
      <c r="H196" s="38" t="s">
        <v>239</v>
      </c>
      <c r="I196" s="38" t="s">
        <v>239</v>
      </c>
      <c r="J196" s="38" t="s">
        <v>239</v>
      </c>
      <c r="K196" s="38" t="s">
        <v>282</v>
      </c>
      <c r="L196" s="38" t="s">
        <v>1056</v>
      </c>
      <c r="M196" s="38" t="s">
        <v>1012</v>
      </c>
      <c r="N196" s="38" t="s">
        <v>242</v>
      </c>
      <c r="O196" s="38" t="s">
        <v>335</v>
      </c>
      <c r="P196" s="41" t="s">
        <v>1910</v>
      </c>
      <c r="Q196" s="41" t="s">
        <v>1911</v>
      </c>
      <c r="R196" s="38" t="s">
        <v>255</v>
      </c>
      <c r="S196" s="42" t="s">
        <v>1044</v>
      </c>
    </row>
    <row r="197" ht="14.25" customHeight="1">
      <c r="A197" s="39" t="s">
        <v>1912</v>
      </c>
      <c r="B197" s="39" t="s">
        <v>1913</v>
      </c>
      <c r="C197" s="39" t="s">
        <v>306</v>
      </c>
      <c r="D197" s="39" t="s">
        <v>1914</v>
      </c>
      <c r="E197" s="43">
        <v>12000.0</v>
      </c>
      <c r="F197" s="39" t="s">
        <v>1042</v>
      </c>
      <c r="G197" s="39" t="s">
        <v>386</v>
      </c>
      <c r="H197" s="39" t="s">
        <v>386</v>
      </c>
      <c r="I197" s="39" t="s">
        <v>386</v>
      </c>
      <c r="J197" s="39" t="s">
        <v>386</v>
      </c>
      <c r="K197" s="39" t="s">
        <v>282</v>
      </c>
      <c r="L197" s="39" t="s">
        <v>1130</v>
      </c>
      <c r="M197" s="39" t="s">
        <v>1012</v>
      </c>
      <c r="N197" s="39" t="s">
        <v>242</v>
      </c>
      <c r="O197" s="39" t="s">
        <v>335</v>
      </c>
      <c r="P197" s="44" t="s">
        <v>1915</v>
      </c>
      <c r="Q197" s="44" t="s">
        <v>1916</v>
      </c>
      <c r="R197" s="39" t="s">
        <v>255</v>
      </c>
      <c r="S197" s="45" t="s">
        <v>1044</v>
      </c>
    </row>
    <row r="198" ht="14.25" customHeight="1">
      <c r="A198" s="38" t="s">
        <v>1917</v>
      </c>
      <c r="B198" s="38" t="s">
        <v>1918</v>
      </c>
      <c r="C198" s="38" t="s">
        <v>306</v>
      </c>
      <c r="D198" s="38" t="s">
        <v>1637</v>
      </c>
      <c r="E198" s="40">
        <v>20000.0</v>
      </c>
      <c r="F198" s="38" t="s">
        <v>1042</v>
      </c>
      <c r="G198" s="38" t="s">
        <v>386</v>
      </c>
      <c r="H198" s="38" t="s">
        <v>386</v>
      </c>
      <c r="I198" s="38" t="s">
        <v>386</v>
      </c>
      <c r="J198" s="38" t="s">
        <v>386</v>
      </c>
      <c r="K198" s="38" t="s">
        <v>282</v>
      </c>
      <c r="L198" s="38" t="s">
        <v>1130</v>
      </c>
      <c r="M198" s="38" t="s">
        <v>1012</v>
      </c>
      <c r="N198" s="38" t="s">
        <v>242</v>
      </c>
      <c r="O198" s="38" t="s">
        <v>335</v>
      </c>
      <c r="P198" s="41" t="s">
        <v>1919</v>
      </c>
      <c r="Q198" s="41" t="s">
        <v>1920</v>
      </c>
      <c r="R198" s="38" t="s">
        <v>255</v>
      </c>
      <c r="S198" s="42" t="s">
        <v>1044</v>
      </c>
    </row>
    <row r="199" ht="14.25" customHeight="1">
      <c r="A199" s="39" t="s">
        <v>1921</v>
      </c>
      <c r="B199" s="39" t="s">
        <v>1922</v>
      </c>
      <c r="C199" s="39" t="s">
        <v>306</v>
      </c>
      <c r="D199" s="39" t="s">
        <v>1923</v>
      </c>
      <c r="E199" s="43">
        <v>18000.0</v>
      </c>
      <c r="F199" s="39" t="s">
        <v>1042</v>
      </c>
      <c r="G199" s="39" t="s">
        <v>386</v>
      </c>
      <c r="H199" s="39" t="s">
        <v>386</v>
      </c>
      <c r="I199" s="39" t="s">
        <v>386</v>
      </c>
      <c r="J199" s="39" t="s">
        <v>386</v>
      </c>
      <c r="K199" s="39" t="s">
        <v>282</v>
      </c>
      <c r="L199" s="39" t="s">
        <v>1130</v>
      </c>
      <c r="M199" s="39" t="s">
        <v>1012</v>
      </c>
      <c r="N199" s="39" t="s">
        <v>242</v>
      </c>
      <c r="O199" s="39" t="s">
        <v>335</v>
      </c>
      <c r="P199" s="44" t="s">
        <v>1924</v>
      </c>
      <c r="Q199" s="44" t="s">
        <v>1925</v>
      </c>
      <c r="R199" s="39" t="s">
        <v>255</v>
      </c>
      <c r="S199" s="45" t="s">
        <v>1044</v>
      </c>
    </row>
    <row r="200" ht="14.25" customHeight="1">
      <c r="A200" s="38" t="s">
        <v>1926</v>
      </c>
      <c r="B200" s="38" t="s">
        <v>1927</v>
      </c>
      <c r="C200" s="38" t="s">
        <v>306</v>
      </c>
      <c r="D200" s="38" t="s">
        <v>1928</v>
      </c>
      <c r="E200" s="40">
        <v>225.0</v>
      </c>
      <c r="F200" s="38" t="s">
        <v>1042</v>
      </c>
      <c r="G200" s="38" t="s">
        <v>1135</v>
      </c>
      <c r="H200" s="38" t="s">
        <v>239</v>
      </c>
      <c r="I200" s="38" t="s">
        <v>239</v>
      </c>
      <c r="J200" s="38" t="s">
        <v>239</v>
      </c>
      <c r="K200" s="38" t="s">
        <v>282</v>
      </c>
      <c r="L200" s="38" t="s">
        <v>1113</v>
      </c>
      <c r="M200" s="38" t="s">
        <v>1012</v>
      </c>
      <c r="N200" s="38" t="s">
        <v>242</v>
      </c>
      <c r="O200" s="38" t="s">
        <v>335</v>
      </c>
      <c r="P200" s="41" t="s">
        <v>1929</v>
      </c>
      <c r="Q200" s="41" t="s">
        <v>1930</v>
      </c>
      <c r="R200" s="38" t="s">
        <v>255</v>
      </c>
      <c r="S200" s="42" t="s">
        <v>1044</v>
      </c>
    </row>
    <row r="201" ht="14.25" customHeight="1">
      <c r="A201" s="39" t="s">
        <v>1931</v>
      </c>
      <c r="B201" s="39" t="s">
        <v>1932</v>
      </c>
      <c r="C201" s="39" t="s">
        <v>241</v>
      </c>
      <c r="D201" s="39" t="s">
        <v>1696</v>
      </c>
      <c r="E201" s="43">
        <v>1600.0</v>
      </c>
      <c r="F201" s="39" t="s">
        <v>1042</v>
      </c>
      <c r="G201" s="39" t="s">
        <v>1079</v>
      </c>
      <c r="H201" s="39" t="s">
        <v>239</v>
      </c>
      <c r="I201" s="39" t="s">
        <v>239</v>
      </c>
      <c r="J201" s="39" t="s">
        <v>239</v>
      </c>
      <c r="K201" s="39" t="s">
        <v>282</v>
      </c>
      <c r="L201" s="39" t="s">
        <v>252</v>
      </c>
      <c r="M201" s="39" t="s">
        <v>1012</v>
      </c>
      <c r="N201" s="39" t="s">
        <v>242</v>
      </c>
      <c r="O201" s="39" t="s">
        <v>335</v>
      </c>
      <c r="P201" s="44" t="s">
        <v>1933</v>
      </c>
      <c r="Q201" s="44" t="s">
        <v>1934</v>
      </c>
      <c r="R201" s="39" t="s">
        <v>255</v>
      </c>
      <c r="S201" s="45" t="s">
        <v>1044</v>
      </c>
    </row>
    <row r="202" ht="14.25" customHeight="1">
      <c r="A202" s="38" t="s">
        <v>1935</v>
      </c>
      <c r="B202" s="38" t="s">
        <v>1936</v>
      </c>
      <c r="C202" s="38" t="s">
        <v>241</v>
      </c>
      <c r="D202" s="38" t="s">
        <v>1531</v>
      </c>
      <c r="E202" s="40">
        <v>300.0</v>
      </c>
      <c r="F202" s="38" t="s">
        <v>1061</v>
      </c>
      <c r="G202" s="38" t="s">
        <v>1086</v>
      </c>
      <c r="H202" s="38" t="s">
        <v>1086</v>
      </c>
      <c r="I202" s="38" t="s">
        <v>1086</v>
      </c>
      <c r="J202" s="38" t="s">
        <v>320</v>
      </c>
      <c r="K202" s="38" t="s">
        <v>240</v>
      </c>
      <c r="L202" s="38" t="s">
        <v>1209</v>
      </c>
      <c r="M202" s="38" t="s">
        <v>1063</v>
      </c>
      <c r="N202" s="38" t="s">
        <v>242</v>
      </c>
      <c r="O202" s="38" t="s">
        <v>335</v>
      </c>
      <c r="P202" s="41" t="s">
        <v>1937</v>
      </c>
      <c r="Q202" s="41"/>
      <c r="R202" s="38" t="s">
        <v>255</v>
      </c>
      <c r="S202" s="42" t="s">
        <v>1044</v>
      </c>
    </row>
    <row r="203" ht="14.25" customHeight="1">
      <c r="A203" s="39" t="s">
        <v>1938</v>
      </c>
      <c r="B203" s="39" t="s">
        <v>1939</v>
      </c>
      <c r="C203" s="39" t="s">
        <v>241</v>
      </c>
      <c r="D203" s="39" t="s">
        <v>1940</v>
      </c>
      <c r="E203" s="43">
        <v>3650.0</v>
      </c>
      <c r="F203" s="39" t="s">
        <v>1061</v>
      </c>
      <c r="G203" s="39" t="s">
        <v>1251</v>
      </c>
      <c r="H203" s="39" t="s">
        <v>1251</v>
      </c>
      <c r="I203" s="39" t="s">
        <v>1251</v>
      </c>
      <c r="J203" s="39" t="s">
        <v>413</v>
      </c>
      <c r="K203" s="39" t="s">
        <v>240</v>
      </c>
      <c r="L203" s="39" t="s">
        <v>1252</v>
      </c>
      <c r="M203" s="39" t="s">
        <v>1063</v>
      </c>
      <c r="N203" s="39" t="s">
        <v>242</v>
      </c>
      <c r="O203" s="39" t="s">
        <v>335</v>
      </c>
      <c r="P203" s="44" t="s">
        <v>1941</v>
      </c>
      <c r="Q203" s="44"/>
      <c r="R203" s="39" t="s">
        <v>255</v>
      </c>
      <c r="S203" s="45" t="s">
        <v>1254</v>
      </c>
    </row>
    <row r="204" ht="14.25" customHeight="1">
      <c r="A204" s="38" t="s">
        <v>1942</v>
      </c>
      <c r="B204" s="38" t="s">
        <v>1943</v>
      </c>
      <c r="C204" s="38" t="s">
        <v>306</v>
      </c>
      <c r="D204" s="38" t="s">
        <v>1160</v>
      </c>
      <c r="E204" s="40">
        <v>2500.0</v>
      </c>
      <c r="F204" s="38" t="s">
        <v>1042</v>
      </c>
      <c r="G204" s="38" t="s">
        <v>386</v>
      </c>
      <c r="H204" s="38" t="s">
        <v>386</v>
      </c>
      <c r="I204" s="38" t="s">
        <v>386</v>
      </c>
      <c r="J204" s="38" t="s">
        <v>386</v>
      </c>
      <c r="K204" s="38" t="s">
        <v>282</v>
      </c>
      <c r="L204" s="38" t="s">
        <v>1130</v>
      </c>
      <c r="M204" s="38" t="s">
        <v>1012</v>
      </c>
      <c r="N204" s="38" t="s">
        <v>242</v>
      </c>
      <c r="O204" s="38" t="s">
        <v>335</v>
      </c>
      <c r="P204" s="41" t="s">
        <v>1944</v>
      </c>
      <c r="Q204" s="41" t="s">
        <v>1945</v>
      </c>
      <c r="R204" s="38" t="s">
        <v>255</v>
      </c>
      <c r="S204" s="42" t="s">
        <v>1044</v>
      </c>
    </row>
    <row r="205" ht="14.25" customHeight="1">
      <c r="A205" s="39" t="s">
        <v>1946</v>
      </c>
      <c r="B205" s="39" t="s">
        <v>1947</v>
      </c>
      <c r="C205" s="39" t="s">
        <v>306</v>
      </c>
      <c r="D205" s="39" t="s">
        <v>1633</v>
      </c>
      <c r="E205" s="43">
        <v>3800.0</v>
      </c>
      <c r="F205" s="39" t="s">
        <v>1061</v>
      </c>
      <c r="G205" s="39" t="s">
        <v>1251</v>
      </c>
      <c r="H205" s="39" t="s">
        <v>1251</v>
      </c>
      <c r="I205" s="39" t="s">
        <v>1251</v>
      </c>
      <c r="J205" s="39" t="s">
        <v>413</v>
      </c>
      <c r="K205" s="39" t="s">
        <v>240</v>
      </c>
      <c r="L205" s="39" t="s">
        <v>1948</v>
      </c>
      <c r="M205" s="39" t="s">
        <v>1063</v>
      </c>
      <c r="N205" s="39" t="s">
        <v>242</v>
      </c>
      <c r="O205" s="39" t="s">
        <v>335</v>
      </c>
      <c r="P205" s="44" t="s">
        <v>1949</v>
      </c>
      <c r="Q205" s="44"/>
      <c r="R205" s="39" t="s">
        <v>255</v>
      </c>
      <c r="S205" s="45" t="s">
        <v>1254</v>
      </c>
    </row>
    <row r="206" ht="14.25" customHeight="1">
      <c r="A206" s="46" t="s">
        <v>1950</v>
      </c>
      <c r="B206" s="46" t="s">
        <v>1951</v>
      </c>
      <c r="C206" s="46" t="s">
        <v>1952</v>
      </c>
      <c r="D206" s="46" t="s">
        <v>1227</v>
      </c>
      <c r="E206" s="47">
        <v>1200.0</v>
      </c>
      <c r="F206" s="46" t="s">
        <v>1042</v>
      </c>
      <c r="G206" s="46" t="s">
        <v>1200</v>
      </c>
      <c r="H206" s="46" t="s">
        <v>1200</v>
      </c>
      <c r="I206" s="46" t="s">
        <v>1200</v>
      </c>
      <c r="J206" s="46" t="s">
        <v>399</v>
      </c>
      <c r="K206" s="46" t="s">
        <v>282</v>
      </c>
      <c r="L206" s="46" t="s">
        <v>1012</v>
      </c>
      <c r="M206" s="46" t="s">
        <v>1012</v>
      </c>
      <c r="N206" s="46" t="s">
        <v>242</v>
      </c>
      <c r="O206" s="46" t="s">
        <v>293</v>
      </c>
      <c r="P206" s="48" t="s">
        <v>1953</v>
      </c>
      <c r="Q206" s="48" t="s">
        <v>1954</v>
      </c>
      <c r="R206" s="46" t="s">
        <v>245</v>
      </c>
      <c r="S206" s="49" t="s">
        <v>1044</v>
      </c>
    </row>
    <row r="207" ht="14.25" customHeight="1">
      <c r="A207" s="39" t="s">
        <v>1955</v>
      </c>
      <c r="B207" s="39" t="s">
        <v>1956</v>
      </c>
      <c r="C207" s="39" t="s">
        <v>1952</v>
      </c>
      <c r="D207" s="39" t="s">
        <v>1622</v>
      </c>
      <c r="E207" s="43">
        <v>2200.0</v>
      </c>
      <c r="F207" s="39" t="s">
        <v>1042</v>
      </c>
      <c r="G207" s="39" t="s">
        <v>1047</v>
      </c>
      <c r="H207" s="39" t="s">
        <v>1048</v>
      </c>
      <c r="I207" s="39" t="s">
        <v>1048</v>
      </c>
      <c r="J207" s="39" t="s">
        <v>281</v>
      </c>
      <c r="K207" s="39" t="s">
        <v>282</v>
      </c>
      <c r="L207" s="39" t="s">
        <v>1316</v>
      </c>
      <c r="M207" s="39" t="s">
        <v>1012</v>
      </c>
      <c r="N207" s="39" t="s">
        <v>242</v>
      </c>
      <c r="O207" s="39" t="s">
        <v>335</v>
      </c>
      <c r="P207" s="44" t="s">
        <v>1957</v>
      </c>
      <c r="Q207" s="44" t="s">
        <v>1958</v>
      </c>
      <c r="R207" s="39" t="s">
        <v>255</v>
      </c>
      <c r="S207" s="45" t="s">
        <v>1044</v>
      </c>
    </row>
    <row r="208" ht="14.25" customHeight="1">
      <c r="A208" s="46" t="s">
        <v>1959</v>
      </c>
      <c r="B208" s="46" t="s">
        <v>1960</v>
      </c>
      <c r="C208" s="46" t="s">
        <v>402</v>
      </c>
      <c r="D208" s="46" t="s">
        <v>1961</v>
      </c>
      <c r="E208" s="47">
        <v>0.01</v>
      </c>
      <c r="F208" s="46" t="s">
        <v>402</v>
      </c>
      <c r="G208" s="46" t="s">
        <v>402</v>
      </c>
      <c r="H208" s="46" t="s">
        <v>402</v>
      </c>
      <c r="I208" s="46" t="s">
        <v>402</v>
      </c>
      <c r="J208" s="46" t="s">
        <v>421</v>
      </c>
      <c r="K208" s="46" t="s">
        <v>387</v>
      </c>
      <c r="L208" s="46" t="s">
        <v>1962</v>
      </c>
      <c r="M208" s="46" t="s">
        <v>1214</v>
      </c>
      <c r="N208" s="46" t="s">
        <v>322</v>
      </c>
      <c r="O208" s="46" t="s">
        <v>335</v>
      </c>
      <c r="P208" s="48" t="s">
        <v>1963</v>
      </c>
      <c r="Q208" s="48"/>
      <c r="R208" s="46" t="s">
        <v>245</v>
      </c>
      <c r="S208" s="49" t="s">
        <v>1964</v>
      </c>
    </row>
    <row r="209" ht="14.25" customHeight="1">
      <c r="A209" s="39" t="s">
        <v>1965</v>
      </c>
      <c r="B209" s="39" t="s">
        <v>1966</v>
      </c>
      <c r="C209" s="39" t="s">
        <v>1103</v>
      </c>
      <c r="D209" s="39" t="s">
        <v>1967</v>
      </c>
      <c r="E209" s="43">
        <v>480.0</v>
      </c>
      <c r="F209" s="39" t="s">
        <v>1042</v>
      </c>
      <c r="G209" s="39" t="s">
        <v>1368</v>
      </c>
      <c r="H209" s="39" t="s">
        <v>1369</v>
      </c>
      <c r="I209" s="39" t="s">
        <v>1369</v>
      </c>
      <c r="J209" s="39" t="s">
        <v>360</v>
      </c>
      <c r="K209" s="39" t="s">
        <v>282</v>
      </c>
      <c r="L209" s="39" t="s">
        <v>1968</v>
      </c>
      <c r="M209" s="39" t="s">
        <v>1012</v>
      </c>
      <c r="N209" s="39" t="s">
        <v>242</v>
      </c>
      <c r="O209" s="39" t="s">
        <v>335</v>
      </c>
      <c r="P209" s="44" t="s">
        <v>1969</v>
      </c>
      <c r="Q209" s="44" t="s">
        <v>1970</v>
      </c>
      <c r="R209" s="39" t="s">
        <v>255</v>
      </c>
      <c r="S209" s="45" t="s">
        <v>1044</v>
      </c>
    </row>
    <row r="210" ht="14.25" customHeight="1">
      <c r="A210" s="38" t="s">
        <v>1971</v>
      </c>
      <c r="B210" s="38" t="s">
        <v>1972</v>
      </c>
      <c r="C210" s="38" t="s">
        <v>1103</v>
      </c>
      <c r="D210" s="38" t="s">
        <v>1973</v>
      </c>
      <c r="E210" s="40">
        <v>185.0</v>
      </c>
      <c r="F210" s="38" t="s">
        <v>1042</v>
      </c>
      <c r="G210" s="38" t="s">
        <v>1086</v>
      </c>
      <c r="H210" s="38" t="s">
        <v>1086</v>
      </c>
      <c r="I210" s="38" t="s">
        <v>1086</v>
      </c>
      <c r="J210" s="38" t="s">
        <v>320</v>
      </c>
      <c r="K210" s="38" t="s">
        <v>282</v>
      </c>
      <c r="L210" s="38" t="s">
        <v>1974</v>
      </c>
      <c r="M210" s="38" t="s">
        <v>1012</v>
      </c>
      <c r="N210" s="38" t="s">
        <v>242</v>
      </c>
      <c r="O210" s="38" t="s">
        <v>335</v>
      </c>
      <c r="P210" s="41" t="s">
        <v>1975</v>
      </c>
      <c r="Q210" s="41" t="s">
        <v>1976</v>
      </c>
      <c r="R210" s="38" t="s">
        <v>255</v>
      </c>
      <c r="S210" s="42" t="s">
        <v>1044</v>
      </c>
    </row>
    <row r="211" ht="14.25" customHeight="1">
      <c r="A211" s="39" t="s">
        <v>1977</v>
      </c>
      <c r="B211" s="39" t="s">
        <v>1978</v>
      </c>
      <c r="C211" s="39" t="s">
        <v>1103</v>
      </c>
      <c r="D211" s="39" t="s">
        <v>1979</v>
      </c>
      <c r="E211" s="43">
        <v>305.0</v>
      </c>
      <c r="F211" s="39" t="s">
        <v>1042</v>
      </c>
      <c r="G211" s="39" t="s">
        <v>1055</v>
      </c>
      <c r="H211" s="39" t="s">
        <v>239</v>
      </c>
      <c r="I211" s="39" t="s">
        <v>239</v>
      </c>
      <c r="J211" s="39" t="s">
        <v>239</v>
      </c>
      <c r="K211" s="39" t="s">
        <v>282</v>
      </c>
      <c r="L211" s="39" t="s">
        <v>1062</v>
      </c>
      <c r="M211" s="39" t="s">
        <v>1012</v>
      </c>
      <c r="N211" s="39" t="s">
        <v>242</v>
      </c>
      <c r="O211" s="39" t="s">
        <v>335</v>
      </c>
      <c r="P211" s="44" t="s">
        <v>1980</v>
      </c>
      <c r="Q211" s="44" t="s">
        <v>1981</v>
      </c>
      <c r="R211" s="39" t="s">
        <v>255</v>
      </c>
      <c r="S211" s="45" t="s">
        <v>1044</v>
      </c>
    </row>
    <row r="212" ht="14.25" customHeight="1">
      <c r="A212" s="38" t="s">
        <v>1982</v>
      </c>
      <c r="B212" s="38" t="s">
        <v>1983</v>
      </c>
      <c r="C212" s="38" t="s">
        <v>306</v>
      </c>
      <c r="D212" s="38" t="s">
        <v>1984</v>
      </c>
      <c r="E212" s="40">
        <v>710.0</v>
      </c>
      <c r="F212" s="38" t="s">
        <v>1042</v>
      </c>
      <c r="G212" s="38" t="s">
        <v>1368</v>
      </c>
      <c r="H212" s="38" t="s">
        <v>1369</v>
      </c>
      <c r="I212" s="38" t="s">
        <v>1369</v>
      </c>
      <c r="J212" s="38" t="s">
        <v>360</v>
      </c>
      <c r="K212" s="38" t="s">
        <v>282</v>
      </c>
      <c r="L212" s="38" t="s">
        <v>1968</v>
      </c>
      <c r="M212" s="38" t="s">
        <v>1012</v>
      </c>
      <c r="N212" s="38" t="s">
        <v>242</v>
      </c>
      <c r="O212" s="38" t="s">
        <v>335</v>
      </c>
      <c r="P212" s="41" t="s">
        <v>1985</v>
      </c>
      <c r="Q212" s="41" t="s">
        <v>1986</v>
      </c>
      <c r="R212" s="38" t="s">
        <v>255</v>
      </c>
      <c r="S212" s="42" t="s">
        <v>1044</v>
      </c>
    </row>
    <row r="213" ht="14.25" customHeight="1">
      <c r="A213" s="39" t="s">
        <v>1987</v>
      </c>
      <c r="B213" s="39" t="s">
        <v>1988</v>
      </c>
      <c r="C213" s="39" t="s">
        <v>1103</v>
      </c>
      <c r="D213" s="39" t="s">
        <v>1989</v>
      </c>
      <c r="E213" s="43">
        <v>460.0</v>
      </c>
      <c r="F213" s="39" t="s">
        <v>1042</v>
      </c>
      <c r="G213" s="39" t="s">
        <v>1055</v>
      </c>
      <c r="H213" s="39" t="s">
        <v>239</v>
      </c>
      <c r="I213" s="39" t="s">
        <v>239</v>
      </c>
      <c r="J213" s="39" t="s">
        <v>239</v>
      </c>
      <c r="K213" s="39" t="s">
        <v>282</v>
      </c>
      <c r="L213" s="39" t="s">
        <v>1049</v>
      </c>
      <c r="M213" s="39" t="s">
        <v>1012</v>
      </c>
      <c r="N213" s="39" t="s">
        <v>242</v>
      </c>
      <c r="O213" s="39" t="s">
        <v>335</v>
      </c>
      <c r="P213" s="44" t="s">
        <v>1990</v>
      </c>
      <c r="Q213" s="44" t="s">
        <v>1991</v>
      </c>
      <c r="R213" s="39" t="s">
        <v>255</v>
      </c>
      <c r="S213" s="45" t="s">
        <v>1044</v>
      </c>
    </row>
    <row r="214" ht="14.25" customHeight="1">
      <c r="A214" s="38" t="s">
        <v>1992</v>
      </c>
      <c r="B214" s="38" t="s">
        <v>1993</v>
      </c>
      <c r="C214" s="38" t="s">
        <v>418</v>
      </c>
      <c r="D214" s="38" t="s">
        <v>1994</v>
      </c>
      <c r="E214" s="40">
        <v>615.0</v>
      </c>
      <c r="F214" s="38" t="s">
        <v>1042</v>
      </c>
      <c r="G214" s="38" t="s">
        <v>1135</v>
      </c>
      <c r="H214" s="38" t="s">
        <v>239</v>
      </c>
      <c r="I214" s="38" t="s">
        <v>239</v>
      </c>
      <c r="J214" s="38" t="s">
        <v>239</v>
      </c>
      <c r="K214" s="38" t="s">
        <v>282</v>
      </c>
      <c r="L214" s="38" t="s">
        <v>1062</v>
      </c>
      <c r="M214" s="38" t="s">
        <v>1012</v>
      </c>
      <c r="N214" s="38" t="s">
        <v>242</v>
      </c>
      <c r="O214" s="38" t="s">
        <v>335</v>
      </c>
      <c r="P214" s="41" t="s">
        <v>1995</v>
      </c>
      <c r="Q214" s="41" t="s">
        <v>1996</v>
      </c>
      <c r="R214" s="38" t="s">
        <v>255</v>
      </c>
      <c r="S214" s="42" t="s">
        <v>1044</v>
      </c>
    </row>
    <row r="215" ht="14.25" customHeight="1">
      <c r="A215" s="39" t="s">
        <v>1997</v>
      </c>
      <c r="B215" s="39" t="s">
        <v>1998</v>
      </c>
      <c r="C215" s="39" t="s">
        <v>418</v>
      </c>
      <c r="D215" s="39" t="s">
        <v>1474</v>
      </c>
      <c r="E215" s="43">
        <v>190.0</v>
      </c>
      <c r="F215" s="39" t="s">
        <v>1042</v>
      </c>
      <c r="G215" s="39" t="s">
        <v>1047</v>
      </c>
      <c r="H215" s="39" t="s">
        <v>1048</v>
      </c>
      <c r="I215" s="39" t="s">
        <v>1048</v>
      </c>
      <c r="J215" s="39" t="s">
        <v>281</v>
      </c>
      <c r="K215" s="39" t="s">
        <v>282</v>
      </c>
      <c r="L215" s="39" t="s">
        <v>1290</v>
      </c>
      <c r="M215" s="39" t="s">
        <v>1012</v>
      </c>
      <c r="N215" s="39" t="s">
        <v>242</v>
      </c>
      <c r="O215" s="39" t="s">
        <v>335</v>
      </c>
      <c r="P215" s="44" t="s">
        <v>1999</v>
      </c>
      <c r="Q215" s="44" t="s">
        <v>2000</v>
      </c>
      <c r="R215" s="39" t="s">
        <v>255</v>
      </c>
      <c r="S215" s="45" t="s">
        <v>1044</v>
      </c>
    </row>
    <row r="216" ht="14.25" customHeight="1">
      <c r="A216" s="38" t="s">
        <v>2001</v>
      </c>
      <c r="B216" s="38" t="s">
        <v>2002</v>
      </c>
      <c r="C216" s="38" t="s">
        <v>1103</v>
      </c>
      <c r="D216" s="38" t="s">
        <v>1321</v>
      </c>
      <c r="E216" s="40">
        <v>150.0</v>
      </c>
      <c r="F216" s="38" t="s">
        <v>1061</v>
      </c>
      <c r="G216" s="38" t="s">
        <v>386</v>
      </c>
      <c r="H216" s="38" t="s">
        <v>386</v>
      </c>
      <c r="I216" s="38" t="s">
        <v>386</v>
      </c>
      <c r="J216" s="38" t="s">
        <v>386</v>
      </c>
      <c r="K216" s="38" t="s">
        <v>240</v>
      </c>
      <c r="L216" s="38" t="s">
        <v>1469</v>
      </c>
      <c r="M216" s="38" t="s">
        <v>1063</v>
      </c>
      <c r="N216" s="38" t="s">
        <v>242</v>
      </c>
      <c r="O216" s="38" t="s">
        <v>335</v>
      </c>
      <c r="P216" s="41" t="s">
        <v>2003</v>
      </c>
      <c r="Q216" s="41"/>
      <c r="R216" s="38" t="s">
        <v>255</v>
      </c>
      <c r="S216" s="42" t="s">
        <v>1044</v>
      </c>
    </row>
    <row r="217" ht="14.25" customHeight="1">
      <c r="A217" s="39" t="s">
        <v>2004</v>
      </c>
      <c r="B217" s="39" t="s">
        <v>2005</v>
      </c>
      <c r="C217" s="39" t="s">
        <v>241</v>
      </c>
      <c r="D217" s="39" t="s">
        <v>1273</v>
      </c>
      <c r="E217" s="43">
        <v>40.0</v>
      </c>
      <c r="F217" s="39" t="s">
        <v>1061</v>
      </c>
      <c r="G217" s="39" t="s">
        <v>239</v>
      </c>
      <c r="H217" s="39" t="s">
        <v>239</v>
      </c>
      <c r="I217" s="39" t="s">
        <v>239</v>
      </c>
      <c r="J217" s="39" t="s">
        <v>239</v>
      </c>
      <c r="K217" s="39" t="s">
        <v>240</v>
      </c>
      <c r="L217" s="39" t="s">
        <v>522</v>
      </c>
      <c r="M217" s="39" t="s">
        <v>1063</v>
      </c>
      <c r="N217" s="39" t="s">
        <v>242</v>
      </c>
      <c r="O217" s="39" t="s">
        <v>335</v>
      </c>
      <c r="P217" s="44" t="s">
        <v>2006</v>
      </c>
      <c r="Q217" s="44"/>
      <c r="R217" s="39" t="s">
        <v>255</v>
      </c>
      <c r="S217" s="45" t="s">
        <v>1044</v>
      </c>
    </row>
    <row r="218" ht="14.25" customHeight="1">
      <c r="A218" s="38" t="s">
        <v>2007</v>
      </c>
      <c r="B218" s="38" t="s">
        <v>2008</v>
      </c>
      <c r="C218" s="38" t="s">
        <v>1103</v>
      </c>
      <c r="D218" s="38" t="s">
        <v>2009</v>
      </c>
      <c r="E218" s="40">
        <v>180.0</v>
      </c>
      <c r="F218" s="38" t="s">
        <v>1061</v>
      </c>
      <c r="G218" s="38" t="s">
        <v>386</v>
      </c>
      <c r="H218" s="38" t="s">
        <v>386</v>
      </c>
      <c r="I218" s="38" t="s">
        <v>386</v>
      </c>
      <c r="J218" s="38" t="s">
        <v>386</v>
      </c>
      <c r="K218" s="38" t="s">
        <v>240</v>
      </c>
      <c r="L218" s="38" t="s">
        <v>1602</v>
      </c>
      <c r="M218" s="38" t="s">
        <v>1063</v>
      </c>
      <c r="N218" s="38" t="s">
        <v>242</v>
      </c>
      <c r="O218" s="38" t="s">
        <v>335</v>
      </c>
      <c r="P218" s="41" t="s">
        <v>2010</v>
      </c>
      <c r="Q218" s="41"/>
      <c r="R218" s="38" t="s">
        <v>255</v>
      </c>
      <c r="S218" s="42" t="s">
        <v>1044</v>
      </c>
    </row>
    <row r="219" ht="14.25" customHeight="1">
      <c r="A219" s="39" t="s">
        <v>2011</v>
      </c>
      <c r="B219" s="39" t="s">
        <v>2012</v>
      </c>
      <c r="C219" s="39" t="s">
        <v>1103</v>
      </c>
      <c r="D219" s="39" t="s">
        <v>1778</v>
      </c>
      <c r="E219" s="43">
        <v>600.0</v>
      </c>
      <c r="F219" s="39" t="s">
        <v>1061</v>
      </c>
      <c r="G219" s="39" t="s">
        <v>239</v>
      </c>
      <c r="H219" s="39" t="s">
        <v>239</v>
      </c>
      <c r="I219" s="39" t="s">
        <v>239</v>
      </c>
      <c r="J219" s="39" t="s">
        <v>239</v>
      </c>
      <c r="K219" s="39" t="s">
        <v>240</v>
      </c>
      <c r="L219" s="39" t="s">
        <v>1062</v>
      </c>
      <c r="M219" s="39" t="s">
        <v>1063</v>
      </c>
      <c r="N219" s="39" t="s">
        <v>242</v>
      </c>
      <c r="O219" s="39" t="s">
        <v>335</v>
      </c>
      <c r="P219" s="44" t="s">
        <v>2013</v>
      </c>
      <c r="Q219" s="44"/>
      <c r="R219" s="39" t="s">
        <v>255</v>
      </c>
      <c r="S219" s="45" t="s">
        <v>1044</v>
      </c>
    </row>
    <row r="220" ht="14.25" customHeight="1">
      <c r="A220" s="38" t="s">
        <v>2014</v>
      </c>
      <c r="B220" s="38" t="s">
        <v>2015</v>
      </c>
      <c r="C220" s="38" t="s">
        <v>241</v>
      </c>
      <c r="D220" s="38" t="s">
        <v>2016</v>
      </c>
      <c r="E220" s="40">
        <v>80.0</v>
      </c>
      <c r="F220" s="38" t="s">
        <v>1061</v>
      </c>
      <c r="G220" s="38" t="s">
        <v>239</v>
      </c>
      <c r="H220" s="38" t="s">
        <v>239</v>
      </c>
      <c r="I220" s="38" t="s">
        <v>239</v>
      </c>
      <c r="J220" s="38" t="s">
        <v>239</v>
      </c>
      <c r="K220" s="38" t="s">
        <v>240</v>
      </c>
      <c r="L220" s="38" t="s">
        <v>1062</v>
      </c>
      <c r="M220" s="38" t="s">
        <v>1063</v>
      </c>
      <c r="N220" s="38" t="s">
        <v>242</v>
      </c>
      <c r="O220" s="38" t="s">
        <v>335</v>
      </c>
      <c r="P220" s="41" t="s">
        <v>2017</v>
      </c>
      <c r="Q220" s="41"/>
      <c r="R220" s="38" t="s">
        <v>255</v>
      </c>
      <c r="S220" s="42" t="s">
        <v>1044</v>
      </c>
    </row>
    <row r="221" ht="14.25" customHeight="1">
      <c r="A221" s="39" t="s">
        <v>2018</v>
      </c>
      <c r="B221" s="39" t="s">
        <v>2019</v>
      </c>
      <c r="C221" s="39" t="s">
        <v>1103</v>
      </c>
      <c r="D221" s="39" t="s">
        <v>2020</v>
      </c>
      <c r="E221" s="43">
        <v>240.0</v>
      </c>
      <c r="F221" s="39" t="s">
        <v>1061</v>
      </c>
      <c r="G221" s="39" t="s">
        <v>1047</v>
      </c>
      <c r="H221" s="39" t="s">
        <v>1048</v>
      </c>
      <c r="I221" s="39" t="s">
        <v>1048</v>
      </c>
      <c r="J221" s="39" t="s">
        <v>281</v>
      </c>
      <c r="K221" s="39" t="s">
        <v>282</v>
      </c>
      <c r="L221" s="39" t="s">
        <v>1049</v>
      </c>
      <c r="M221" s="39" t="s">
        <v>1012</v>
      </c>
      <c r="N221" s="39" t="s">
        <v>242</v>
      </c>
      <c r="O221" s="39" t="s">
        <v>335</v>
      </c>
      <c r="P221" s="44" t="s">
        <v>2021</v>
      </c>
      <c r="Q221" s="44" t="s">
        <v>2022</v>
      </c>
      <c r="R221" s="39" t="s">
        <v>255</v>
      </c>
      <c r="S221" s="45" t="s">
        <v>1044</v>
      </c>
    </row>
    <row r="222" ht="14.25" customHeight="1">
      <c r="A222" s="38" t="s">
        <v>2023</v>
      </c>
      <c r="B222" s="38" t="s">
        <v>2024</v>
      </c>
      <c r="C222" s="38" t="s">
        <v>1103</v>
      </c>
      <c r="D222" s="38" t="s">
        <v>1208</v>
      </c>
      <c r="E222" s="40">
        <v>260.0</v>
      </c>
      <c r="F222" s="38" t="s">
        <v>1061</v>
      </c>
      <c r="G222" s="38" t="s">
        <v>1135</v>
      </c>
      <c r="H222" s="38" t="s">
        <v>239</v>
      </c>
      <c r="I222" s="38" t="s">
        <v>239</v>
      </c>
      <c r="J222" s="38" t="s">
        <v>239</v>
      </c>
      <c r="K222" s="38" t="s">
        <v>282</v>
      </c>
      <c r="L222" s="38" t="s">
        <v>1049</v>
      </c>
      <c r="M222" s="38" t="s">
        <v>1012</v>
      </c>
      <c r="N222" s="38" t="s">
        <v>242</v>
      </c>
      <c r="O222" s="38" t="s">
        <v>335</v>
      </c>
      <c r="P222" s="41" t="s">
        <v>2025</v>
      </c>
      <c r="Q222" s="41" t="s">
        <v>2026</v>
      </c>
      <c r="R222" s="38" t="s">
        <v>255</v>
      </c>
      <c r="S222" s="42" t="s">
        <v>1044</v>
      </c>
    </row>
    <row r="223" ht="14.25" customHeight="1">
      <c r="A223" s="39" t="s">
        <v>2027</v>
      </c>
      <c r="B223" s="39" t="s">
        <v>2028</v>
      </c>
      <c r="C223" s="39" t="s">
        <v>1103</v>
      </c>
      <c r="D223" s="39" t="s">
        <v>1641</v>
      </c>
      <c r="E223" s="43">
        <v>450.0</v>
      </c>
      <c r="F223" s="39" t="s">
        <v>1061</v>
      </c>
      <c r="G223" s="39" t="s">
        <v>1047</v>
      </c>
      <c r="H223" s="39" t="s">
        <v>1048</v>
      </c>
      <c r="I223" s="39" t="s">
        <v>1048</v>
      </c>
      <c r="J223" s="39" t="s">
        <v>281</v>
      </c>
      <c r="K223" s="39" t="s">
        <v>282</v>
      </c>
      <c r="L223" s="39" t="s">
        <v>1049</v>
      </c>
      <c r="M223" s="39" t="s">
        <v>1012</v>
      </c>
      <c r="N223" s="39" t="s">
        <v>242</v>
      </c>
      <c r="O223" s="39" t="s">
        <v>335</v>
      </c>
      <c r="P223" s="44" t="s">
        <v>2029</v>
      </c>
      <c r="Q223" s="44" t="s">
        <v>2030</v>
      </c>
      <c r="R223" s="39" t="s">
        <v>255</v>
      </c>
      <c r="S223" s="45" t="s">
        <v>1044</v>
      </c>
    </row>
    <row r="224" ht="14.25" customHeight="1">
      <c r="A224" s="38" t="s">
        <v>2031</v>
      </c>
      <c r="B224" s="38" t="s">
        <v>2032</v>
      </c>
      <c r="C224" s="38" t="s">
        <v>1103</v>
      </c>
      <c r="D224" s="38" t="s">
        <v>2033</v>
      </c>
      <c r="E224" s="40">
        <v>120.0</v>
      </c>
      <c r="F224" s="38" t="s">
        <v>1061</v>
      </c>
      <c r="G224" s="38" t="s">
        <v>1135</v>
      </c>
      <c r="H224" s="38" t="s">
        <v>239</v>
      </c>
      <c r="I224" s="38" t="s">
        <v>239</v>
      </c>
      <c r="J224" s="38" t="s">
        <v>239</v>
      </c>
      <c r="K224" s="38" t="s">
        <v>282</v>
      </c>
      <c r="L224" s="38" t="s">
        <v>1049</v>
      </c>
      <c r="M224" s="38" t="s">
        <v>1012</v>
      </c>
      <c r="N224" s="38" t="s">
        <v>242</v>
      </c>
      <c r="O224" s="38" t="s">
        <v>335</v>
      </c>
      <c r="P224" s="41" t="s">
        <v>2034</v>
      </c>
      <c r="Q224" s="41" t="s">
        <v>2035</v>
      </c>
      <c r="R224" s="38" t="s">
        <v>255</v>
      </c>
      <c r="S224" s="42" t="s">
        <v>1044</v>
      </c>
    </row>
    <row r="225" ht="14.25" customHeight="1">
      <c r="A225" s="39" t="s">
        <v>2036</v>
      </c>
      <c r="B225" s="39" t="s">
        <v>2037</v>
      </c>
      <c r="C225" s="39" t="s">
        <v>362</v>
      </c>
      <c r="D225" s="39" t="s">
        <v>1675</v>
      </c>
      <c r="E225" s="43">
        <v>2700.0</v>
      </c>
      <c r="F225" s="39" t="s">
        <v>1061</v>
      </c>
      <c r="G225" s="39" t="s">
        <v>1118</v>
      </c>
      <c r="H225" s="39" t="s">
        <v>1119</v>
      </c>
      <c r="I225" s="39" t="s">
        <v>1119</v>
      </c>
      <c r="J225" s="39" t="s">
        <v>405</v>
      </c>
      <c r="K225" s="39" t="s">
        <v>240</v>
      </c>
      <c r="L225" s="39" t="s">
        <v>1120</v>
      </c>
      <c r="M225" s="39" t="s">
        <v>1063</v>
      </c>
      <c r="N225" s="39" t="s">
        <v>242</v>
      </c>
      <c r="O225" s="39" t="s">
        <v>335</v>
      </c>
      <c r="P225" s="44" t="s">
        <v>2038</v>
      </c>
      <c r="Q225" s="44"/>
      <c r="R225" s="39" t="s">
        <v>255</v>
      </c>
      <c r="S225" s="45" t="s">
        <v>1044</v>
      </c>
    </row>
    <row r="226" ht="14.25" customHeight="1">
      <c r="A226" s="38" t="s">
        <v>2039</v>
      </c>
      <c r="B226" s="38" t="s">
        <v>2040</v>
      </c>
      <c r="C226" s="38" t="s">
        <v>241</v>
      </c>
      <c r="D226" s="38" t="s">
        <v>2041</v>
      </c>
      <c r="E226" s="40">
        <v>1150.0</v>
      </c>
      <c r="F226" s="38" t="s">
        <v>1061</v>
      </c>
      <c r="G226" s="38" t="s">
        <v>1135</v>
      </c>
      <c r="H226" s="38" t="s">
        <v>239</v>
      </c>
      <c r="I226" s="38" t="s">
        <v>239</v>
      </c>
      <c r="J226" s="38" t="s">
        <v>239</v>
      </c>
      <c r="K226" s="38" t="s">
        <v>240</v>
      </c>
      <c r="L226" s="38" t="s">
        <v>252</v>
      </c>
      <c r="M226" s="38" t="s">
        <v>1063</v>
      </c>
      <c r="N226" s="38" t="s">
        <v>242</v>
      </c>
      <c r="O226" s="38" t="s">
        <v>335</v>
      </c>
      <c r="P226" s="41" t="s">
        <v>2042</v>
      </c>
      <c r="Q226" s="41"/>
      <c r="R226" s="38" t="s">
        <v>255</v>
      </c>
      <c r="S226" s="42" t="s">
        <v>1044</v>
      </c>
    </row>
    <row r="227" ht="14.25" customHeight="1">
      <c r="A227" s="39" t="s">
        <v>2043</v>
      </c>
      <c r="B227" s="39" t="s">
        <v>2044</v>
      </c>
      <c r="C227" s="39" t="s">
        <v>1103</v>
      </c>
      <c r="D227" s="39" t="s">
        <v>2045</v>
      </c>
      <c r="E227" s="43">
        <v>1900.0</v>
      </c>
      <c r="F227" s="39" t="s">
        <v>1061</v>
      </c>
      <c r="G227" s="39" t="s">
        <v>1079</v>
      </c>
      <c r="H227" s="39" t="s">
        <v>239</v>
      </c>
      <c r="I227" s="39" t="s">
        <v>239</v>
      </c>
      <c r="J227" s="39" t="s">
        <v>239</v>
      </c>
      <c r="K227" s="39" t="s">
        <v>240</v>
      </c>
      <c r="L227" s="39" t="s">
        <v>1049</v>
      </c>
      <c r="M227" s="39" t="s">
        <v>1063</v>
      </c>
      <c r="N227" s="39" t="s">
        <v>242</v>
      </c>
      <c r="O227" s="39" t="s">
        <v>335</v>
      </c>
      <c r="P227" s="44" t="s">
        <v>2046</v>
      </c>
      <c r="Q227" s="44"/>
      <c r="R227" s="39" t="s">
        <v>255</v>
      </c>
      <c r="S227" s="45" t="s">
        <v>1044</v>
      </c>
    </row>
    <row r="228" ht="14.25" customHeight="1">
      <c r="A228" s="38" t="s">
        <v>2047</v>
      </c>
      <c r="B228" s="38" t="s">
        <v>2048</v>
      </c>
      <c r="C228" s="38" t="s">
        <v>1103</v>
      </c>
      <c r="D228" s="38" t="s">
        <v>1389</v>
      </c>
      <c r="E228" s="40">
        <v>1400.0</v>
      </c>
      <c r="F228" s="38" t="s">
        <v>1061</v>
      </c>
      <c r="G228" s="38" t="s">
        <v>1079</v>
      </c>
      <c r="H228" s="38" t="s">
        <v>239</v>
      </c>
      <c r="I228" s="38" t="s">
        <v>239</v>
      </c>
      <c r="J228" s="38" t="s">
        <v>239</v>
      </c>
      <c r="K228" s="38" t="s">
        <v>240</v>
      </c>
      <c r="L228" s="38" t="s">
        <v>1049</v>
      </c>
      <c r="M228" s="38" t="s">
        <v>1063</v>
      </c>
      <c r="N228" s="38" t="s">
        <v>242</v>
      </c>
      <c r="O228" s="38" t="s">
        <v>335</v>
      </c>
      <c r="P228" s="41" t="s">
        <v>2049</v>
      </c>
      <c r="Q228" s="41"/>
      <c r="R228" s="38" t="s">
        <v>255</v>
      </c>
      <c r="S228" s="42" t="s">
        <v>1044</v>
      </c>
    </row>
    <row r="229" ht="14.25" customHeight="1">
      <c r="A229" s="39" t="s">
        <v>2050</v>
      </c>
      <c r="B229" s="39" t="s">
        <v>2051</v>
      </c>
      <c r="C229" s="39" t="s">
        <v>306</v>
      </c>
      <c r="D229" s="39" t="s">
        <v>1722</v>
      </c>
      <c r="E229" s="43">
        <v>900.0</v>
      </c>
      <c r="F229" s="39" t="s">
        <v>1061</v>
      </c>
      <c r="G229" s="39" t="s">
        <v>1368</v>
      </c>
      <c r="H229" s="39" t="s">
        <v>1369</v>
      </c>
      <c r="I229" s="39" t="s">
        <v>1369</v>
      </c>
      <c r="J229" s="39" t="s">
        <v>360</v>
      </c>
      <c r="K229" s="39" t="s">
        <v>240</v>
      </c>
      <c r="L229" s="39" t="s">
        <v>1501</v>
      </c>
      <c r="M229" s="39" t="s">
        <v>1063</v>
      </c>
      <c r="N229" s="39" t="s">
        <v>242</v>
      </c>
      <c r="O229" s="39" t="s">
        <v>335</v>
      </c>
      <c r="P229" s="44" t="s">
        <v>2052</v>
      </c>
      <c r="Q229" s="44"/>
      <c r="R229" s="39" t="s">
        <v>255</v>
      </c>
      <c r="S229" s="45" t="s">
        <v>1044</v>
      </c>
    </row>
    <row r="230" ht="14.25" customHeight="1">
      <c r="A230" s="38" t="s">
        <v>2053</v>
      </c>
      <c r="B230" s="38" t="s">
        <v>2054</v>
      </c>
      <c r="C230" s="38" t="s">
        <v>306</v>
      </c>
      <c r="D230" s="38" t="s">
        <v>1389</v>
      </c>
      <c r="E230" s="40">
        <v>1400.0</v>
      </c>
      <c r="F230" s="38" t="s">
        <v>1061</v>
      </c>
      <c r="G230" s="38" t="s">
        <v>1368</v>
      </c>
      <c r="H230" s="38" t="s">
        <v>1369</v>
      </c>
      <c r="I230" s="38" t="s">
        <v>1369</v>
      </c>
      <c r="J230" s="38" t="s">
        <v>360</v>
      </c>
      <c r="K230" s="38" t="s">
        <v>240</v>
      </c>
      <c r="L230" s="38" t="s">
        <v>1501</v>
      </c>
      <c r="M230" s="38" t="s">
        <v>1063</v>
      </c>
      <c r="N230" s="38" t="s">
        <v>242</v>
      </c>
      <c r="O230" s="38" t="s">
        <v>335</v>
      </c>
      <c r="P230" s="41" t="s">
        <v>2055</v>
      </c>
      <c r="Q230" s="41"/>
      <c r="R230" s="38" t="s">
        <v>255</v>
      </c>
      <c r="S230" s="42" t="s">
        <v>1044</v>
      </c>
    </row>
    <row r="231" ht="14.25" customHeight="1">
      <c r="A231" s="39" t="s">
        <v>2056</v>
      </c>
      <c r="B231" s="39" t="s">
        <v>2057</v>
      </c>
      <c r="C231" s="39" t="s">
        <v>306</v>
      </c>
      <c r="D231" s="39" t="s">
        <v>1112</v>
      </c>
      <c r="E231" s="43">
        <v>350.0</v>
      </c>
      <c r="F231" s="39" t="s">
        <v>1061</v>
      </c>
      <c r="G231" s="39" t="s">
        <v>1368</v>
      </c>
      <c r="H231" s="39" t="s">
        <v>1369</v>
      </c>
      <c r="I231" s="39" t="s">
        <v>1369</v>
      </c>
      <c r="J231" s="39" t="s">
        <v>360</v>
      </c>
      <c r="K231" s="39" t="s">
        <v>240</v>
      </c>
      <c r="L231" s="39" t="s">
        <v>1501</v>
      </c>
      <c r="M231" s="39" t="s">
        <v>1063</v>
      </c>
      <c r="N231" s="39" t="s">
        <v>242</v>
      </c>
      <c r="O231" s="39" t="s">
        <v>335</v>
      </c>
      <c r="P231" s="44" t="s">
        <v>2058</v>
      </c>
      <c r="Q231" s="44"/>
      <c r="R231" s="39" t="s">
        <v>255</v>
      </c>
      <c r="S231" s="45" t="s">
        <v>1044</v>
      </c>
    </row>
    <row r="232" ht="14.25" customHeight="1">
      <c r="A232" s="38" t="s">
        <v>2059</v>
      </c>
      <c r="B232" s="38" t="s">
        <v>2060</v>
      </c>
      <c r="C232" s="38" t="s">
        <v>1103</v>
      </c>
      <c r="D232" s="38" t="s">
        <v>2061</v>
      </c>
      <c r="E232" s="40">
        <v>100.0</v>
      </c>
      <c r="F232" s="38" t="s">
        <v>1061</v>
      </c>
      <c r="G232" s="38" t="s">
        <v>1135</v>
      </c>
      <c r="H232" s="38" t="s">
        <v>239</v>
      </c>
      <c r="I232" s="38" t="s">
        <v>239</v>
      </c>
      <c r="J232" s="38" t="s">
        <v>239</v>
      </c>
      <c r="K232" s="38" t="s">
        <v>240</v>
      </c>
      <c r="L232" s="38" t="s">
        <v>1113</v>
      </c>
      <c r="M232" s="38" t="s">
        <v>1063</v>
      </c>
      <c r="N232" s="38" t="s">
        <v>242</v>
      </c>
      <c r="O232" s="38" t="s">
        <v>335</v>
      </c>
      <c r="P232" s="41" t="s">
        <v>2062</v>
      </c>
      <c r="Q232" s="41"/>
      <c r="R232" s="38" t="s">
        <v>255</v>
      </c>
      <c r="S232" s="42" t="s">
        <v>1044</v>
      </c>
    </row>
    <row r="233" ht="14.25" customHeight="1">
      <c r="A233" s="39" t="s">
        <v>2063</v>
      </c>
      <c r="B233" s="39" t="s">
        <v>2064</v>
      </c>
      <c r="C233" s="39" t="s">
        <v>241</v>
      </c>
      <c r="D233" s="39" t="s">
        <v>1060</v>
      </c>
      <c r="E233" s="43">
        <v>250.0</v>
      </c>
      <c r="F233" s="39" t="s">
        <v>1061</v>
      </c>
      <c r="G233" s="39" t="s">
        <v>1135</v>
      </c>
      <c r="H233" s="39" t="s">
        <v>239</v>
      </c>
      <c r="I233" s="39" t="s">
        <v>239</v>
      </c>
      <c r="J233" s="39" t="s">
        <v>239</v>
      </c>
      <c r="K233" s="39" t="s">
        <v>240</v>
      </c>
      <c r="L233" s="39" t="s">
        <v>522</v>
      </c>
      <c r="M233" s="39" t="s">
        <v>1063</v>
      </c>
      <c r="N233" s="39" t="s">
        <v>242</v>
      </c>
      <c r="O233" s="39" t="s">
        <v>335</v>
      </c>
      <c r="P233" s="44" t="s">
        <v>2065</v>
      </c>
      <c r="Q233" s="44"/>
      <c r="R233" s="39" t="s">
        <v>255</v>
      </c>
      <c r="S233" s="45" t="s">
        <v>1044</v>
      </c>
    </row>
    <row r="234" ht="14.25" customHeight="1">
      <c r="A234" s="38" t="s">
        <v>2066</v>
      </c>
      <c r="B234" s="38" t="s">
        <v>452</v>
      </c>
      <c r="C234" s="38" t="s">
        <v>241</v>
      </c>
      <c r="D234" s="38" t="s">
        <v>1904</v>
      </c>
      <c r="E234" s="40">
        <v>680.0</v>
      </c>
      <c r="F234" s="38" t="s">
        <v>1061</v>
      </c>
      <c r="G234" s="38" t="s">
        <v>1047</v>
      </c>
      <c r="H234" s="38" t="s">
        <v>1048</v>
      </c>
      <c r="I234" s="38" t="s">
        <v>1048</v>
      </c>
      <c r="J234" s="38" t="s">
        <v>281</v>
      </c>
      <c r="K234" s="38" t="s">
        <v>240</v>
      </c>
      <c r="L234" s="38" t="s">
        <v>1290</v>
      </c>
      <c r="M234" s="38" t="s">
        <v>1063</v>
      </c>
      <c r="N234" s="38" t="s">
        <v>242</v>
      </c>
      <c r="O234" s="38" t="s">
        <v>335</v>
      </c>
      <c r="P234" s="41" t="s">
        <v>2067</v>
      </c>
      <c r="Q234" s="41"/>
      <c r="R234" s="38" t="s">
        <v>255</v>
      </c>
      <c r="S234" s="42" t="s">
        <v>1044</v>
      </c>
    </row>
    <row r="235" ht="14.25" customHeight="1">
      <c r="A235" s="39" t="s">
        <v>2068</v>
      </c>
      <c r="B235" s="39" t="s">
        <v>2069</v>
      </c>
      <c r="C235" s="39" t="s">
        <v>241</v>
      </c>
      <c r="D235" s="39" t="s">
        <v>2070</v>
      </c>
      <c r="E235" s="43">
        <v>195.0</v>
      </c>
      <c r="F235" s="39" t="s">
        <v>1061</v>
      </c>
      <c r="G235" s="39" t="s">
        <v>1135</v>
      </c>
      <c r="H235" s="39" t="s">
        <v>239</v>
      </c>
      <c r="I235" s="39" t="s">
        <v>239</v>
      </c>
      <c r="J235" s="39" t="s">
        <v>239</v>
      </c>
      <c r="K235" s="39" t="s">
        <v>240</v>
      </c>
      <c r="L235" s="39" t="s">
        <v>522</v>
      </c>
      <c r="M235" s="39" t="s">
        <v>1063</v>
      </c>
      <c r="N235" s="39" t="s">
        <v>242</v>
      </c>
      <c r="O235" s="39" t="s">
        <v>335</v>
      </c>
      <c r="P235" s="44" t="s">
        <v>2071</v>
      </c>
      <c r="Q235" s="44"/>
      <c r="R235" s="39" t="s">
        <v>255</v>
      </c>
      <c r="S235" s="45" t="s">
        <v>1044</v>
      </c>
    </row>
    <row r="236" ht="14.25" customHeight="1">
      <c r="A236" s="38" t="s">
        <v>2072</v>
      </c>
      <c r="B236" s="38" t="s">
        <v>2073</v>
      </c>
      <c r="C236" s="38" t="s">
        <v>241</v>
      </c>
      <c r="D236" s="38" t="s">
        <v>2074</v>
      </c>
      <c r="E236" s="40">
        <v>208.0</v>
      </c>
      <c r="F236" s="38" t="s">
        <v>1061</v>
      </c>
      <c r="G236" s="38" t="s">
        <v>1047</v>
      </c>
      <c r="H236" s="38" t="s">
        <v>1048</v>
      </c>
      <c r="I236" s="38" t="s">
        <v>1048</v>
      </c>
      <c r="J236" s="38" t="s">
        <v>281</v>
      </c>
      <c r="K236" s="38" t="s">
        <v>240</v>
      </c>
      <c r="L236" s="38" t="s">
        <v>1290</v>
      </c>
      <c r="M236" s="38" t="s">
        <v>1063</v>
      </c>
      <c r="N236" s="38" t="s">
        <v>242</v>
      </c>
      <c r="O236" s="38" t="s">
        <v>335</v>
      </c>
      <c r="P236" s="41" t="s">
        <v>2075</v>
      </c>
      <c r="Q236" s="41"/>
      <c r="R236" s="38" t="s">
        <v>255</v>
      </c>
      <c r="S236" s="42" t="s">
        <v>1044</v>
      </c>
    </row>
    <row r="237" ht="14.25" customHeight="1">
      <c r="A237" s="39" t="s">
        <v>2076</v>
      </c>
      <c r="B237" s="39" t="s">
        <v>2077</v>
      </c>
      <c r="C237" s="39" t="s">
        <v>241</v>
      </c>
      <c r="D237" s="39" t="s">
        <v>1722</v>
      </c>
      <c r="E237" s="43">
        <v>900.0</v>
      </c>
      <c r="F237" s="39" t="s">
        <v>1061</v>
      </c>
      <c r="G237" s="39" t="s">
        <v>1079</v>
      </c>
      <c r="H237" s="39" t="s">
        <v>239</v>
      </c>
      <c r="I237" s="39" t="s">
        <v>239</v>
      </c>
      <c r="J237" s="39" t="s">
        <v>239</v>
      </c>
      <c r="K237" s="39" t="s">
        <v>240</v>
      </c>
      <c r="L237" s="39" t="s">
        <v>522</v>
      </c>
      <c r="M237" s="39" t="s">
        <v>1063</v>
      </c>
      <c r="N237" s="39" t="s">
        <v>242</v>
      </c>
      <c r="O237" s="39" t="s">
        <v>335</v>
      </c>
      <c r="P237" s="44" t="s">
        <v>2078</v>
      </c>
      <c r="Q237" s="44"/>
      <c r="R237" s="39" t="s">
        <v>255</v>
      </c>
      <c r="S237" s="45" t="s">
        <v>1044</v>
      </c>
    </row>
    <row r="238" ht="14.25" customHeight="1">
      <c r="A238" s="38" t="s">
        <v>2079</v>
      </c>
      <c r="B238" s="38" t="s">
        <v>2080</v>
      </c>
      <c r="C238" s="38" t="s">
        <v>241</v>
      </c>
      <c r="D238" s="38" t="s">
        <v>1204</v>
      </c>
      <c r="E238" s="40">
        <v>6500.0</v>
      </c>
      <c r="F238" s="38" t="s">
        <v>1061</v>
      </c>
      <c r="G238" s="38" t="s">
        <v>1079</v>
      </c>
      <c r="H238" s="38" t="s">
        <v>239</v>
      </c>
      <c r="I238" s="38" t="s">
        <v>239</v>
      </c>
      <c r="J238" s="38" t="s">
        <v>239</v>
      </c>
      <c r="K238" s="38" t="s">
        <v>240</v>
      </c>
      <c r="L238" s="38" t="s">
        <v>252</v>
      </c>
      <c r="M238" s="38" t="s">
        <v>1063</v>
      </c>
      <c r="N238" s="38" t="s">
        <v>242</v>
      </c>
      <c r="O238" s="38" t="s">
        <v>335</v>
      </c>
      <c r="P238" s="41" t="s">
        <v>2081</v>
      </c>
      <c r="Q238" s="41"/>
      <c r="R238" s="38" t="s">
        <v>255</v>
      </c>
      <c r="S238" s="42" t="s">
        <v>1044</v>
      </c>
    </row>
    <row r="239" ht="14.25" customHeight="1">
      <c r="A239" s="39" t="s">
        <v>2082</v>
      </c>
      <c r="B239" s="39" t="s">
        <v>2083</v>
      </c>
      <c r="C239" s="39" t="s">
        <v>1103</v>
      </c>
      <c r="D239" s="39" t="s">
        <v>1321</v>
      </c>
      <c r="E239" s="43">
        <v>150.0</v>
      </c>
      <c r="F239" s="39" t="s">
        <v>1061</v>
      </c>
      <c r="G239" s="39" t="s">
        <v>1086</v>
      </c>
      <c r="H239" s="39" t="s">
        <v>1086</v>
      </c>
      <c r="I239" s="39" t="s">
        <v>1086</v>
      </c>
      <c r="J239" s="39" t="s">
        <v>320</v>
      </c>
      <c r="K239" s="39" t="s">
        <v>240</v>
      </c>
      <c r="L239" s="39" t="s">
        <v>2084</v>
      </c>
      <c r="M239" s="39" t="s">
        <v>1063</v>
      </c>
      <c r="N239" s="39" t="s">
        <v>242</v>
      </c>
      <c r="O239" s="39" t="s">
        <v>335</v>
      </c>
      <c r="P239" s="44" t="s">
        <v>2085</v>
      </c>
      <c r="Q239" s="44"/>
      <c r="R239" s="39" t="s">
        <v>255</v>
      </c>
      <c r="S239" s="45" t="s">
        <v>1044</v>
      </c>
    </row>
    <row r="240" ht="14.25" customHeight="1">
      <c r="A240" s="38" t="s">
        <v>2086</v>
      </c>
      <c r="B240" s="38" t="s">
        <v>2087</v>
      </c>
      <c r="C240" s="38" t="s">
        <v>241</v>
      </c>
      <c r="D240" s="38" t="s">
        <v>2088</v>
      </c>
      <c r="E240" s="40">
        <v>860.0</v>
      </c>
      <c r="F240" s="38" t="s">
        <v>1061</v>
      </c>
      <c r="G240" s="38" t="s">
        <v>1079</v>
      </c>
      <c r="H240" s="38" t="s">
        <v>239</v>
      </c>
      <c r="I240" s="38" t="s">
        <v>239</v>
      </c>
      <c r="J240" s="38" t="s">
        <v>239</v>
      </c>
      <c r="K240" s="38" t="s">
        <v>240</v>
      </c>
      <c r="L240" s="38" t="s">
        <v>522</v>
      </c>
      <c r="M240" s="38" t="s">
        <v>1063</v>
      </c>
      <c r="N240" s="38" t="s">
        <v>242</v>
      </c>
      <c r="O240" s="38" t="s">
        <v>335</v>
      </c>
      <c r="P240" s="41" t="s">
        <v>2089</v>
      </c>
      <c r="Q240" s="41"/>
      <c r="R240" s="38" t="s">
        <v>255</v>
      </c>
      <c r="S240" s="42" t="s">
        <v>1044</v>
      </c>
    </row>
    <row r="241" ht="14.25" customHeight="1">
      <c r="A241" s="39" t="s">
        <v>2090</v>
      </c>
      <c r="B241" s="39" t="s">
        <v>2091</v>
      </c>
      <c r="C241" s="39" t="s">
        <v>241</v>
      </c>
      <c r="D241" s="39" t="s">
        <v>2092</v>
      </c>
      <c r="E241" s="43">
        <v>640.0</v>
      </c>
      <c r="F241" s="39" t="s">
        <v>1061</v>
      </c>
      <c r="G241" s="39" t="s">
        <v>1079</v>
      </c>
      <c r="H241" s="39" t="s">
        <v>239</v>
      </c>
      <c r="I241" s="39" t="s">
        <v>239</v>
      </c>
      <c r="J241" s="39" t="s">
        <v>239</v>
      </c>
      <c r="K241" s="39" t="s">
        <v>240</v>
      </c>
      <c r="L241" s="39" t="s">
        <v>522</v>
      </c>
      <c r="M241" s="39" t="s">
        <v>1063</v>
      </c>
      <c r="N241" s="39" t="s">
        <v>242</v>
      </c>
      <c r="O241" s="39" t="s">
        <v>335</v>
      </c>
      <c r="P241" s="44" t="s">
        <v>2093</v>
      </c>
      <c r="Q241" s="44"/>
      <c r="R241" s="39" t="s">
        <v>255</v>
      </c>
      <c r="S241" s="45" t="s">
        <v>1044</v>
      </c>
    </row>
    <row r="242" ht="14.25" customHeight="1">
      <c r="A242" s="38" t="s">
        <v>2094</v>
      </c>
      <c r="B242" s="38" t="s">
        <v>2095</v>
      </c>
      <c r="C242" s="38" t="s">
        <v>1103</v>
      </c>
      <c r="D242" s="38" t="s">
        <v>2096</v>
      </c>
      <c r="E242" s="40">
        <v>920.0</v>
      </c>
      <c r="F242" s="38" t="s">
        <v>1061</v>
      </c>
      <c r="G242" s="38" t="s">
        <v>1086</v>
      </c>
      <c r="H242" s="38" t="s">
        <v>1086</v>
      </c>
      <c r="I242" s="38" t="s">
        <v>1086</v>
      </c>
      <c r="J242" s="38" t="s">
        <v>320</v>
      </c>
      <c r="K242" s="38" t="s">
        <v>240</v>
      </c>
      <c r="L242" s="38" t="s">
        <v>1629</v>
      </c>
      <c r="M242" s="38" t="s">
        <v>1063</v>
      </c>
      <c r="N242" s="38" t="s">
        <v>242</v>
      </c>
      <c r="O242" s="38" t="s">
        <v>335</v>
      </c>
      <c r="P242" s="41" t="s">
        <v>2097</v>
      </c>
      <c r="Q242" s="41"/>
      <c r="R242" s="38" t="s">
        <v>255</v>
      </c>
      <c r="S242" s="42" t="s">
        <v>1044</v>
      </c>
    </row>
    <row r="243" ht="14.25" customHeight="1">
      <c r="A243" s="39" t="s">
        <v>2098</v>
      </c>
      <c r="B243" s="39" t="s">
        <v>2099</v>
      </c>
      <c r="C243" s="39" t="s">
        <v>1103</v>
      </c>
      <c r="D243" s="39" t="s">
        <v>1588</v>
      </c>
      <c r="E243" s="43">
        <v>500.0</v>
      </c>
      <c r="F243" s="39" t="s">
        <v>1061</v>
      </c>
      <c r="G243" s="39" t="s">
        <v>1723</v>
      </c>
      <c r="H243" s="39" t="s">
        <v>1724</v>
      </c>
      <c r="I243" s="39" t="s">
        <v>1724</v>
      </c>
      <c r="J243" s="39" t="s">
        <v>409</v>
      </c>
      <c r="K243" s="39" t="s">
        <v>240</v>
      </c>
      <c r="L243" s="39" t="s">
        <v>2100</v>
      </c>
      <c r="M243" s="39" t="s">
        <v>1063</v>
      </c>
      <c r="N243" s="39" t="s">
        <v>242</v>
      </c>
      <c r="O243" s="39" t="s">
        <v>335</v>
      </c>
      <c r="P243" s="44" t="s">
        <v>2101</v>
      </c>
      <c r="Q243" s="44"/>
      <c r="R243" s="39" t="s">
        <v>255</v>
      </c>
      <c r="S243" s="45" t="s">
        <v>1044</v>
      </c>
    </row>
    <row r="244" ht="14.25" customHeight="1">
      <c r="A244" s="38" t="s">
        <v>2102</v>
      </c>
      <c r="B244" s="38" t="s">
        <v>2103</v>
      </c>
      <c r="C244" s="38" t="s">
        <v>1103</v>
      </c>
      <c r="D244" s="38" t="s">
        <v>1588</v>
      </c>
      <c r="E244" s="40">
        <v>500.0</v>
      </c>
      <c r="F244" s="38" t="s">
        <v>1061</v>
      </c>
      <c r="G244" s="38" t="s">
        <v>1055</v>
      </c>
      <c r="H244" s="38" t="s">
        <v>239</v>
      </c>
      <c r="I244" s="38" t="s">
        <v>239</v>
      </c>
      <c r="J244" s="38" t="s">
        <v>239</v>
      </c>
      <c r="K244" s="38" t="s">
        <v>240</v>
      </c>
      <c r="L244" s="38" t="s">
        <v>1062</v>
      </c>
      <c r="M244" s="38" t="s">
        <v>1063</v>
      </c>
      <c r="N244" s="38" t="s">
        <v>242</v>
      </c>
      <c r="O244" s="38" t="s">
        <v>335</v>
      </c>
      <c r="P244" s="41" t="s">
        <v>2104</v>
      </c>
      <c r="Q244" s="41"/>
      <c r="R244" s="38" t="s">
        <v>255</v>
      </c>
      <c r="S244" s="42" t="s">
        <v>1044</v>
      </c>
    </row>
    <row r="245" ht="14.25" customHeight="1">
      <c r="A245" s="39" t="s">
        <v>2105</v>
      </c>
      <c r="B245" s="39" t="s">
        <v>2106</v>
      </c>
      <c r="C245" s="39" t="s">
        <v>1103</v>
      </c>
      <c r="D245" s="39" t="s">
        <v>2107</v>
      </c>
      <c r="E245" s="43">
        <v>750.0</v>
      </c>
      <c r="F245" s="39" t="s">
        <v>1061</v>
      </c>
      <c r="G245" s="39" t="s">
        <v>1723</v>
      </c>
      <c r="H245" s="39" t="s">
        <v>1724</v>
      </c>
      <c r="I245" s="39" t="s">
        <v>1724</v>
      </c>
      <c r="J245" s="39" t="s">
        <v>409</v>
      </c>
      <c r="K245" s="39" t="s">
        <v>240</v>
      </c>
      <c r="L245" s="39" t="s">
        <v>2100</v>
      </c>
      <c r="M245" s="39" t="s">
        <v>1063</v>
      </c>
      <c r="N245" s="39" t="s">
        <v>242</v>
      </c>
      <c r="O245" s="39" t="s">
        <v>335</v>
      </c>
      <c r="P245" s="44" t="s">
        <v>2108</v>
      </c>
      <c r="Q245" s="44"/>
      <c r="R245" s="39" t="s">
        <v>255</v>
      </c>
      <c r="S245" s="45" t="s">
        <v>1044</v>
      </c>
    </row>
    <row r="246" ht="14.25" customHeight="1">
      <c r="A246" s="38" t="s">
        <v>2109</v>
      </c>
      <c r="B246" s="38" t="s">
        <v>2110</v>
      </c>
      <c r="C246" s="38" t="s">
        <v>1103</v>
      </c>
      <c r="D246" s="38" t="s">
        <v>1261</v>
      </c>
      <c r="E246" s="40">
        <v>1800.0</v>
      </c>
      <c r="F246" s="38" t="s">
        <v>1061</v>
      </c>
      <c r="G246" s="38" t="s">
        <v>1368</v>
      </c>
      <c r="H246" s="38" t="s">
        <v>1369</v>
      </c>
      <c r="I246" s="38" t="s">
        <v>1369</v>
      </c>
      <c r="J246" s="38" t="s">
        <v>360</v>
      </c>
      <c r="K246" s="38" t="s">
        <v>240</v>
      </c>
      <c r="L246" s="38" t="s">
        <v>1629</v>
      </c>
      <c r="M246" s="38" t="s">
        <v>1063</v>
      </c>
      <c r="N246" s="38" t="s">
        <v>242</v>
      </c>
      <c r="O246" s="38" t="s">
        <v>335</v>
      </c>
      <c r="P246" s="41" t="s">
        <v>2111</v>
      </c>
      <c r="Q246" s="41"/>
      <c r="R246" s="38" t="s">
        <v>255</v>
      </c>
      <c r="S246" s="42" t="s">
        <v>1044</v>
      </c>
    </row>
    <row r="247" ht="14.25" customHeight="1">
      <c r="A247" s="39" t="s">
        <v>2112</v>
      </c>
      <c r="B247" s="39" t="s">
        <v>2113</v>
      </c>
      <c r="C247" s="39" t="s">
        <v>1103</v>
      </c>
      <c r="D247" s="39" t="s">
        <v>1778</v>
      </c>
      <c r="E247" s="43">
        <v>600.0</v>
      </c>
      <c r="F247" s="39" t="s">
        <v>1061</v>
      </c>
      <c r="G247" s="39" t="s">
        <v>1135</v>
      </c>
      <c r="H247" s="39" t="s">
        <v>239</v>
      </c>
      <c r="I247" s="39" t="s">
        <v>239</v>
      </c>
      <c r="J247" s="39" t="s">
        <v>239</v>
      </c>
      <c r="K247" s="39" t="s">
        <v>240</v>
      </c>
      <c r="L247" s="39" t="s">
        <v>1390</v>
      </c>
      <c r="M247" s="39" t="s">
        <v>1063</v>
      </c>
      <c r="N247" s="39" t="s">
        <v>242</v>
      </c>
      <c r="O247" s="39" t="s">
        <v>335</v>
      </c>
      <c r="P247" s="44" t="s">
        <v>2114</v>
      </c>
      <c r="Q247" s="44"/>
      <c r="R247" s="39" t="s">
        <v>255</v>
      </c>
      <c r="S247" s="45" t="s">
        <v>1044</v>
      </c>
    </row>
    <row r="248" ht="14.25" customHeight="1">
      <c r="A248" s="38" t="s">
        <v>2115</v>
      </c>
      <c r="B248" s="38" t="s">
        <v>2116</v>
      </c>
      <c r="C248" s="38" t="s">
        <v>241</v>
      </c>
      <c r="D248" s="38" t="s">
        <v>1396</v>
      </c>
      <c r="E248" s="40">
        <v>70.0</v>
      </c>
      <c r="F248" s="38" t="s">
        <v>1061</v>
      </c>
      <c r="G248" s="38" t="s">
        <v>1086</v>
      </c>
      <c r="H248" s="38" t="s">
        <v>239</v>
      </c>
      <c r="I248" s="38" t="s">
        <v>239</v>
      </c>
      <c r="J248" s="38" t="s">
        <v>239</v>
      </c>
      <c r="K248" s="38" t="s">
        <v>240</v>
      </c>
      <c r="L248" s="38" t="s">
        <v>522</v>
      </c>
      <c r="M248" s="38" t="s">
        <v>1063</v>
      </c>
      <c r="N248" s="38" t="s">
        <v>242</v>
      </c>
      <c r="O248" s="38" t="s">
        <v>335</v>
      </c>
      <c r="P248" s="41" t="s">
        <v>2117</v>
      </c>
      <c r="Q248" s="41"/>
      <c r="R248" s="38" t="s">
        <v>255</v>
      </c>
      <c r="S248" s="42" t="s">
        <v>1044</v>
      </c>
    </row>
    <row r="249" ht="14.25" customHeight="1">
      <c r="A249" s="39" t="s">
        <v>2118</v>
      </c>
      <c r="B249" s="39" t="s">
        <v>2119</v>
      </c>
      <c r="C249" s="39" t="s">
        <v>241</v>
      </c>
      <c r="D249" s="39" t="s">
        <v>2120</v>
      </c>
      <c r="E249" s="43">
        <v>230.0</v>
      </c>
      <c r="F249" s="39" t="s">
        <v>1061</v>
      </c>
      <c r="G249" s="39" t="s">
        <v>1079</v>
      </c>
      <c r="H249" s="39" t="s">
        <v>239</v>
      </c>
      <c r="I249" s="39" t="s">
        <v>239</v>
      </c>
      <c r="J249" s="39" t="s">
        <v>239</v>
      </c>
      <c r="K249" s="39" t="s">
        <v>240</v>
      </c>
      <c r="L249" s="39" t="s">
        <v>522</v>
      </c>
      <c r="M249" s="39" t="s">
        <v>1063</v>
      </c>
      <c r="N249" s="39" t="s">
        <v>242</v>
      </c>
      <c r="O249" s="39" t="s">
        <v>335</v>
      </c>
      <c r="P249" s="44" t="s">
        <v>2121</v>
      </c>
      <c r="Q249" s="44"/>
      <c r="R249" s="39" t="s">
        <v>255</v>
      </c>
      <c r="S249" s="45" t="s">
        <v>1044</v>
      </c>
    </row>
    <row r="250" ht="14.25" customHeight="1">
      <c r="A250" s="38" t="s">
        <v>2122</v>
      </c>
      <c r="B250" s="38" t="s">
        <v>2123</v>
      </c>
      <c r="C250" s="38" t="s">
        <v>241</v>
      </c>
      <c r="D250" s="38" t="s">
        <v>1735</v>
      </c>
      <c r="E250" s="40">
        <v>220.0</v>
      </c>
      <c r="F250" s="38" t="s">
        <v>1061</v>
      </c>
      <c r="G250" s="38" t="s">
        <v>1079</v>
      </c>
      <c r="H250" s="38" t="s">
        <v>239</v>
      </c>
      <c r="I250" s="38" t="s">
        <v>239</v>
      </c>
      <c r="J250" s="38" t="s">
        <v>239</v>
      </c>
      <c r="K250" s="38" t="s">
        <v>240</v>
      </c>
      <c r="L250" s="38" t="s">
        <v>1113</v>
      </c>
      <c r="M250" s="38" t="s">
        <v>1063</v>
      </c>
      <c r="N250" s="38" t="s">
        <v>242</v>
      </c>
      <c r="O250" s="38" t="s">
        <v>335</v>
      </c>
      <c r="P250" s="41" t="s">
        <v>2124</v>
      </c>
      <c r="Q250" s="41"/>
      <c r="R250" s="38" t="s">
        <v>255</v>
      </c>
      <c r="S250" s="42" t="s">
        <v>1044</v>
      </c>
    </row>
    <row r="251" ht="14.25" customHeight="1">
      <c r="A251" s="39" t="s">
        <v>2125</v>
      </c>
      <c r="B251" s="39" t="s">
        <v>2126</v>
      </c>
      <c r="C251" s="39" t="s">
        <v>241</v>
      </c>
      <c r="D251" s="39" t="s">
        <v>2127</v>
      </c>
      <c r="E251" s="43">
        <v>200.0</v>
      </c>
      <c r="F251" s="39" t="s">
        <v>1061</v>
      </c>
      <c r="G251" s="39" t="s">
        <v>1135</v>
      </c>
      <c r="H251" s="39" t="s">
        <v>239</v>
      </c>
      <c r="I251" s="39" t="s">
        <v>239</v>
      </c>
      <c r="J251" s="39" t="s">
        <v>239</v>
      </c>
      <c r="K251" s="39" t="s">
        <v>240</v>
      </c>
      <c r="L251" s="39" t="s">
        <v>1062</v>
      </c>
      <c r="M251" s="39" t="s">
        <v>1063</v>
      </c>
      <c r="N251" s="39" t="s">
        <v>242</v>
      </c>
      <c r="O251" s="39" t="s">
        <v>335</v>
      </c>
      <c r="P251" s="44" t="s">
        <v>2128</v>
      </c>
      <c r="Q251" s="44"/>
      <c r="R251" s="39" t="s">
        <v>255</v>
      </c>
      <c r="S251" s="45" t="s">
        <v>1044</v>
      </c>
    </row>
    <row r="252" ht="14.25" customHeight="1">
      <c r="A252" s="38" t="s">
        <v>2129</v>
      </c>
      <c r="B252" s="38" t="s">
        <v>2130</v>
      </c>
      <c r="C252" s="38" t="s">
        <v>241</v>
      </c>
      <c r="D252" s="38" t="s">
        <v>2131</v>
      </c>
      <c r="E252" s="40">
        <v>130.0</v>
      </c>
      <c r="F252" s="38" t="s">
        <v>1061</v>
      </c>
      <c r="G252" s="38" t="s">
        <v>1135</v>
      </c>
      <c r="H252" s="38" t="s">
        <v>239</v>
      </c>
      <c r="I252" s="38" t="s">
        <v>239</v>
      </c>
      <c r="J252" s="38" t="s">
        <v>239</v>
      </c>
      <c r="K252" s="38" t="s">
        <v>240</v>
      </c>
      <c r="L252" s="38" t="s">
        <v>522</v>
      </c>
      <c r="M252" s="38" t="s">
        <v>1063</v>
      </c>
      <c r="N252" s="38" t="s">
        <v>242</v>
      </c>
      <c r="O252" s="38" t="s">
        <v>335</v>
      </c>
      <c r="P252" s="41" t="s">
        <v>2132</v>
      </c>
      <c r="Q252" s="41"/>
      <c r="R252" s="38" t="s">
        <v>255</v>
      </c>
      <c r="S252" s="42" t="s">
        <v>1044</v>
      </c>
    </row>
    <row r="253" ht="14.25" customHeight="1">
      <c r="A253" s="39" t="s">
        <v>2133</v>
      </c>
      <c r="B253" s="39" t="s">
        <v>2134</v>
      </c>
      <c r="C253" s="39" t="s">
        <v>241</v>
      </c>
      <c r="D253" s="39" t="s">
        <v>2135</v>
      </c>
      <c r="E253" s="43">
        <v>289.0</v>
      </c>
      <c r="F253" s="39" t="s">
        <v>1061</v>
      </c>
      <c r="G253" s="39" t="s">
        <v>1055</v>
      </c>
      <c r="H253" s="39" t="s">
        <v>239</v>
      </c>
      <c r="I253" s="39" t="s">
        <v>239</v>
      </c>
      <c r="J253" s="39" t="s">
        <v>239</v>
      </c>
      <c r="K253" s="39" t="s">
        <v>240</v>
      </c>
      <c r="L253" s="39" t="s">
        <v>522</v>
      </c>
      <c r="M253" s="39" t="s">
        <v>1063</v>
      </c>
      <c r="N253" s="39" t="s">
        <v>242</v>
      </c>
      <c r="O253" s="39" t="s">
        <v>335</v>
      </c>
      <c r="P253" s="44" t="s">
        <v>2136</v>
      </c>
      <c r="Q253" s="44"/>
      <c r="R253" s="39" t="s">
        <v>255</v>
      </c>
      <c r="S253" s="45" t="s">
        <v>1044</v>
      </c>
    </row>
    <row r="254" ht="14.25" customHeight="1">
      <c r="A254" s="38" t="s">
        <v>2137</v>
      </c>
      <c r="B254" s="38" t="s">
        <v>2138</v>
      </c>
      <c r="C254" s="38" t="s">
        <v>241</v>
      </c>
      <c r="D254" s="38" t="s">
        <v>1967</v>
      </c>
      <c r="E254" s="40">
        <v>480.0</v>
      </c>
      <c r="F254" s="38" t="s">
        <v>1061</v>
      </c>
      <c r="G254" s="38" t="s">
        <v>1055</v>
      </c>
      <c r="H254" s="38" t="s">
        <v>239</v>
      </c>
      <c r="I254" s="38" t="s">
        <v>239</v>
      </c>
      <c r="J254" s="38" t="s">
        <v>239</v>
      </c>
      <c r="K254" s="38" t="s">
        <v>240</v>
      </c>
      <c r="L254" s="38" t="s">
        <v>522</v>
      </c>
      <c r="M254" s="38" t="s">
        <v>1063</v>
      </c>
      <c r="N254" s="38" t="s">
        <v>242</v>
      </c>
      <c r="O254" s="38" t="s">
        <v>335</v>
      </c>
      <c r="P254" s="41" t="s">
        <v>2139</v>
      </c>
      <c r="Q254" s="41"/>
      <c r="R254" s="38" t="s">
        <v>255</v>
      </c>
      <c r="S254" s="42" t="s">
        <v>1044</v>
      </c>
    </row>
    <row r="255" ht="14.25" customHeight="1">
      <c r="A255" s="39" t="s">
        <v>2140</v>
      </c>
      <c r="B255" s="39" t="s">
        <v>2141</v>
      </c>
      <c r="C255" s="39" t="s">
        <v>241</v>
      </c>
      <c r="D255" s="39" t="s">
        <v>1352</v>
      </c>
      <c r="E255" s="43">
        <v>400.0</v>
      </c>
      <c r="F255" s="39" t="s">
        <v>1061</v>
      </c>
      <c r="G255" s="39" t="s">
        <v>1086</v>
      </c>
      <c r="H255" s="39" t="s">
        <v>239</v>
      </c>
      <c r="I255" s="39" t="s">
        <v>239</v>
      </c>
      <c r="J255" s="39" t="s">
        <v>239</v>
      </c>
      <c r="K255" s="39" t="s">
        <v>240</v>
      </c>
      <c r="L255" s="39" t="s">
        <v>522</v>
      </c>
      <c r="M255" s="39" t="s">
        <v>1063</v>
      </c>
      <c r="N255" s="39" t="s">
        <v>242</v>
      </c>
      <c r="O255" s="39" t="s">
        <v>335</v>
      </c>
      <c r="P255" s="44" t="s">
        <v>2142</v>
      </c>
      <c r="Q255" s="44"/>
      <c r="R255" s="39" t="s">
        <v>255</v>
      </c>
      <c r="S255" s="45" t="s">
        <v>1044</v>
      </c>
    </row>
    <row r="256" ht="14.25" customHeight="1">
      <c r="A256" s="38" t="s">
        <v>2143</v>
      </c>
      <c r="B256" s="38" t="s">
        <v>2144</v>
      </c>
      <c r="C256" s="38" t="s">
        <v>241</v>
      </c>
      <c r="D256" s="38" t="s">
        <v>2145</v>
      </c>
      <c r="E256" s="40">
        <v>510.0</v>
      </c>
      <c r="F256" s="38" t="s">
        <v>1061</v>
      </c>
      <c r="G256" s="38" t="s">
        <v>1055</v>
      </c>
      <c r="H256" s="38" t="s">
        <v>239</v>
      </c>
      <c r="I256" s="38" t="s">
        <v>239</v>
      </c>
      <c r="J256" s="38" t="s">
        <v>239</v>
      </c>
      <c r="K256" s="38" t="s">
        <v>240</v>
      </c>
      <c r="L256" s="38" t="s">
        <v>252</v>
      </c>
      <c r="M256" s="38" t="s">
        <v>1063</v>
      </c>
      <c r="N256" s="38" t="s">
        <v>242</v>
      </c>
      <c r="O256" s="38" t="s">
        <v>335</v>
      </c>
      <c r="P256" s="41" t="s">
        <v>2146</v>
      </c>
      <c r="Q256" s="41"/>
      <c r="R256" s="38" t="s">
        <v>255</v>
      </c>
      <c r="S256" s="42" t="s">
        <v>1044</v>
      </c>
    </row>
    <row r="257" ht="14.25" customHeight="1">
      <c r="A257" s="39" t="s">
        <v>2147</v>
      </c>
      <c r="B257" s="39" t="s">
        <v>2148</v>
      </c>
      <c r="C257" s="39" t="s">
        <v>1103</v>
      </c>
      <c r="D257" s="39" t="s">
        <v>1826</v>
      </c>
      <c r="E257" s="43">
        <v>700.0</v>
      </c>
      <c r="F257" s="39" t="s">
        <v>1061</v>
      </c>
      <c r="G257" s="39" t="s">
        <v>1055</v>
      </c>
      <c r="H257" s="39" t="s">
        <v>239</v>
      </c>
      <c r="I257" s="39" t="s">
        <v>239</v>
      </c>
      <c r="J257" s="39" t="s">
        <v>239</v>
      </c>
      <c r="K257" s="39" t="s">
        <v>240</v>
      </c>
      <c r="L257" s="39" t="s">
        <v>1049</v>
      </c>
      <c r="M257" s="39" t="s">
        <v>1063</v>
      </c>
      <c r="N257" s="39" t="s">
        <v>242</v>
      </c>
      <c r="O257" s="39" t="s">
        <v>335</v>
      </c>
      <c r="P257" s="44" t="s">
        <v>2149</v>
      </c>
      <c r="Q257" s="44"/>
      <c r="R257" s="39" t="s">
        <v>255</v>
      </c>
      <c r="S257" s="45" t="s">
        <v>1044</v>
      </c>
    </row>
    <row r="258" ht="14.25" customHeight="1">
      <c r="A258" s="38" t="s">
        <v>2150</v>
      </c>
      <c r="B258" s="38" t="s">
        <v>2151</v>
      </c>
      <c r="C258" s="38" t="s">
        <v>241</v>
      </c>
      <c r="D258" s="38" t="s">
        <v>2033</v>
      </c>
      <c r="E258" s="40">
        <v>120.0</v>
      </c>
      <c r="F258" s="38" t="s">
        <v>1061</v>
      </c>
      <c r="G258" s="38" t="s">
        <v>1135</v>
      </c>
      <c r="H258" s="38" t="s">
        <v>239</v>
      </c>
      <c r="I258" s="38" t="s">
        <v>239</v>
      </c>
      <c r="J258" s="38" t="s">
        <v>239</v>
      </c>
      <c r="K258" s="38" t="s">
        <v>240</v>
      </c>
      <c r="L258" s="38" t="s">
        <v>522</v>
      </c>
      <c r="M258" s="38" t="s">
        <v>1063</v>
      </c>
      <c r="N258" s="38" t="s">
        <v>242</v>
      </c>
      <c r="O258" s="38" t="s">
        <v>335</v>
      </c>
      <c r="P258" s="41" t="s">
        <v>2152</v>
      </c>
      <c r="Q258" s="41"/>
      <c r="R258" s="38" t="s">
        <v>255</v>
      </c>
      <c r="S258" s="42" t="s">
        <v>1044</v>
      </c>
    </row>
    <row r="259" ht="14.25" customHeight="1">
      <c r="A259" s="39" t="s">
        <v>2153</v>
      </c>
      <c r="B259" s="39" t="s">
        <v>2154</v>
      </c>
      <c r="C259" s="39" t="s">
        <v>241</v>
      </c>
      <c r="D259" s="39" t="s">
        <v>2155</v>
      </c>
      <c r="E259" s="43">
        <v>165.0</v>
      </c>
      <c r="F259" s="39" t="s">
        <v>1061</v>
      </c>
      <c r="G259" s="39" t="s">
        <v>1135</v>
      </c>
      <c r="H259" s="39" t="s">
        <v>239</v>
      </c>
      <c r="I259" s="39" t="s">
        <v>239</v>
      </c>
      <c r="J259" s="39" t="s">
        <v>239</v>
      </c>
      <c r="K259" s="39" t="s">
        <v>240</v>
      </c>
      <c r="L259" s="39" t="s">
        <v>522</v>
      </c>
      <c r="M259" s="39" t="s">
        <v>1063</v>
      </c>
      <c r="N259" s="39" t="s">
        <v>242</v>
      </c>
      <c r="O259" s="39" t="s">
        <v>335</v>
      </c>
      <c r="P259" s="44" t="s">
        <v>2156</v>
      </c>
      <c r="Q259" s="44"/>
      <c r="R259" s="39" t="s">
        <v>255</v>
      </c>
      <c r="S259" s="45" t="s">
        <v>1044</v>
      </c>
    </row>
    <row r="260" ht="14.25" customHeight="1">
      <c r="A260" s="38" t="s">
        <v>2157</v>
      </c>
      <c r="B260" s="38" t="s">
        <v>2158</v>
      </c>
      <c r="C260" s="38" t="s">
        <v>241</v>
      </c>
      <c r="D260" s="38" t="s">
        <v>2159</v>
      </c>
      <c r="E260" s="40">
        <v>198.0</v>
      </c>
      <c r="F260" s="38" t="s">
        <v>1061</v>
      </c>
      <c r="G260" s="38" t="s">
        <v>1055</v>
      </c>
      <c r="H260" s="38" t="s">
        <v>239</v>
      </c>
      <c r="I260" s="38" t="s">
        <v>239</v>
      </c>
      <c r="J260" s="38" t="s">
        <v>239</v>
      </c>
      <c r="K260" s="38" t="s">
        <v>240</v>
      </c>
      <c r="L260" s="38" t="s">
        <v>522</v>
      </c>
      <c r="M260" s="38" t="s">
        <v>1063</v>
      </c>
      <c r="N260" s="38" t="s">
        <v>242</v>
      </c>
      <c r="O260" s="38" t="s">
        <v>335</v>
      </c>
      <c r="P260" s="41" t="s">
        <v>2160</v>
      </c>
      <c r="Q260" s="41"/>
      <c r="R260" s="38" t="s">
        <v>255</v>
      </c>
      <c r="S260" s="42" t="s">
        <v>1044</v>
      </c>
    </row>
    <row r="261" ht="14.25" customHeight="1">
      <c r="A261" s="39" t="s">
        <v>2161</v>
      </c>
      <c r="B261" s="39" t="s">
        <v>2162</v>
      </c>
      <c r="C261" s="39" t="s">
        <v>241</v>
      </c>
      <c r="D261" s="39" t="s">
        <v>2163</v>
      </c>
      <c r="E261" s="43">
        <v>253.0</v>
      </c>
      <c r="F261" s="39" t="s">
        <v>1061</v>
      </c>
      <c r="G261" s="39" t="s">
        <v>1135</v>
      </c>
      <c r="H261" s="39" t="s">
        <v>239</v>
      </c>
      <c r="I261" s="39" t="s">
        <v>239</v>
      </c>
      <c r="J261" s="39" t="s">
        <v>239</v>
      </c>
      <c r="K261" s="39" t="s">
        <v>240</v>
      </c>
      <c r="L261" s="39" t="s">
        <v>522</v>
      </c>
      <c r="M261" s="39" t="s">
        <v>1063</v>
      </c>
      <c r="N261" s="39" t="s">
        <v>242</v>
      </c>
      <c r="O261" s="39" t="s">
        <v>335</v>
      </c>
      <c r="P261" s="44" t="s">
        <v>2164</v>
      </c>
      <c r="Q261" s="44"/>
      <c r="R261" s="39" t="s">
        <v>255</v>
      </c>
      <c r="S261" s="45" t="s">
        <v>1044</v>
      </c>
    </row>
    <row r="262" ht="14.25" customHeight="1">
      <c r="A262" s="38" t="s">
        <v>2165</v>
      </c>
      <c r="B262" s="38" t="s">
        <v>2166</v>
      </c>
      <c r="C262" s="38" t="s">
        <v>241</v>
      </c>
      <c r="D262" s="38" t="s">
        <v>2167</v>
      </c>
      <c r="E262" s="40">
        <v>275.0</v>
      </c>
      <c r="F262" s="38" t="s">
        <v>1061</v>
      </c>
      <c r="G262" s="38" t="s">
        <v>1086</v>
      </c>
      <c r="H262" s="38" t="s">
        <v>239</v>
      </c>
      <c r="I262" s="38" t="s">
        <v>239</v>
      </c>
      <c r="J262" s="38" t="s">
        <v>239</v>
      </c>
      <c r="K262" s="38" t="s">
        <v>240</v>
      </c>
      <c r="L262" s="38" t="s">
        <v>522</v>
      </c>
      <c r="M262" s="38" t="s">
        <v>1063</v>
      </c>
      <c r="N262" s="38" t="s">
        <v>242</v>
      </c>
      <c r="O262" s="38" t="s">
        <v>335</v>
      </c>
      <c r="P262" s="41" t="s">
        <v>2168</v>
      </c>
      <c r="Q262" s="41"/>
      <c r="R262" s="38" t="s">
        <v>255</v>
      </c>
      <c r="S262" s="42" t="s">
        <v>1044</v>
      </c>
    </row>
    <row r="263" ht="14.25" customHeight="1">
      <c r="A263" s="39" t="s">
        <v>2169</v>
      </c>
      <c r="B263" s="39" t="s">
        <v>2170</v>
      </c>
      <c r="C263" s="39" t="s">
        <v>241</v>
      </c>
      <c r="D263" s="39" t="s">
        <v>1289</v>
      </c>
      <c r="E263" s="43">
        <v>330.0</v>
      </c>
      <c r="F263" s="39" t="s">
        <v>1061</v>
      </c>
      <c r="G263" s="39" t="s">
        <v>1055</v>
      </c>
      <c r="H263" s="39" t="s">
        <v>239</v>
      </c>
      <c r="I263" s="39" t="s">
        <v>239</v>
      </c>
      <c r="J263" s="39" t="s">
        <v>239</v>
      </c>
      <c r="K263" s="39" t="s">
        <v>240</v>
      </c>
      <c r="L263" s="39" t="s">
        <v>522</v>
      </c>
      <c r="M263" s="39" t="s">
        <v>1063</v>
      </c>
      <c r="N263" s="39" t="s">
        <v>242</v>
      </c>
      <c r="O263" s="39" t="s">
        <v>335</v>
      </c>
      <c r="P263" s="44" t="s">
        <v>2171</v>
      </c>
      <c r="Q263" s="44"/>
      <c r="R263" s="39" t="s">
        <v>255</v>
      </c>
      <c r="S263" s="45" t="s">
        <v>1044</v>
      </c>
    </row>
    <row r="264" ht="14.25" customHeight="1">
      <c r="A264" s="38" t="s">
        <v>2172</v>
      </c>
      <c r="B264" s="38" t="s">
        <v>2173</v>
      </c>
      <c r="C264" s="38" t="s">
        <v>241</v>
      </c>
      <c r="D264" s="38" t="s">
        <v>2174</v>
      </c>
      <c r="E264" s="40">
        <v>660.0</v>
      </c>
      <c r="F264" s="38" t="s">
        <v>1061</v>
      </c>
      <c r="G264" s="38" t="s">
        <v>1055</v>
      </c>
      <c r="H264" s="38" t="s">
        <v>239</v>
      </c>
      <c r="I264" s="38" t="s">
        <v>239</v>
      </c>
      <c r="J264" s="38" t="s">
        <v>239</v>
      </c>
      <c r="K264" s="38" t="s">
        <v>240</v>
      </c>
      <c r="L264" s="38" t="s">
        <v>522</v>
      </c>
      <c r="M264" s="38" t="s">
        <v>1063</v>
      </c>
      <c r="N264" s="38" t="s">
        <v>242</v>
      </c>
      <c r="O264" s="38" t="s">
        <v>335</v>
      </c>
      <c r="P264" s="41" t="s">
        <v>2175</v>
      </c>
      <c r="Q264" s="41"/>
      <c r="R264" s="38" t="s">
        <v>255</v>
      </c>
      <c r="S264" s="42" t="s">
        <v>1044</v>
      </c>
    </row>
    <row r="265" ht="14.25" customHeight="1">
      <c r="A265" s="39" t="s">
        <v>2176</v>
      </c>
      <c r="B265" s="39" t="s">
        <v>2177</v>
      </c>
      <c r="C265" s="39" t="s">
        <v>241</v>
      </c>
      <c r="D265" s="39" t="s">
        <v>1348</v>
      </c>
      <c r="E265" s="43">
        <v>60.0</v>
      </c>
      <c r="F265" s="39" t="s">
        <v>1061</v>
      </c>
      <c r="G265" s="39" t="s">
        <v>1047</v>
      </c>
      <c r="H265" s="39" t="s">
        <v>1048</v>
      </c>
      <c r="I265" s="39" t="s">
        <v>1048</v>
      </c>
      <c r="J265" s="39" t="s">
        <v>281</v>
      </c>
      <c r="K265" s="39" t="s">
        <v>240</v>
      </c>
      <c r="L265" s="39" t="s">
        <v>447</v>
      </c>
      <c r="M265" s="39" t="s">
        <v>1063</v>
      </c>
      <c r="N265" s="39" t="s">
        <v>242</v>
      </c>
      <c r="O265" s="39" t="s">
        <v>335</v>
      </c>
      <c r="P265" s="44" t="s">
        <v>2178</v>
      </c>
      <c r="Q265" s="44"/>
      <c r="R265" s="39" t="s">
        <v>255</v>
      </c>
      <c r="S265" s="45" t="s">
        <v>1044</v>
      </c>
    </row>
    <row r="266" ht="14.25" customHeight="1">
      <c r="A266" s="38" t="s">
        <v>2179</v>
      </c>
      <c r="B266" s="38" t="s">
        <v>2180</v>
      </c>
      <c r="C266" s="38" t="s">
        <v>241</v>
      </c>
      <c r="D266" s="38" t="s">
        <v>1208</v>
      </c>
      <c r="E266" s="40">
        <v>260.0</v>
      </c>
      <c r="F266" s="38" t="s">
        <v>1061</v>
      </c>
      <c r="G266" s="38" t="s">
        <v>1047</v>
      </c>
      <c r="H266" s="38" t="s">
        <v>1048</v>
      </c>
      <c r="I266" s="38" t="s">
        <v>1048</v>
      </c>
      <c r="J266" s="38" t="s">
        <v>281</v>
      </c>
      <c r="K266" s="38" t="s">
        <v>240</v>
      </c>
      <c r="L266" s="38" t="s">
        <v>1290</v>
      </c>
      <c r="M266" s="38" t="s">
        <v>1063</v>
      </c>
      <c r="N266" s="38" t="s">
        <v>242</v>
      </c>
      <c r="O266" s="38" t="s">
        <v>335</v>
      </c>
      <c r="P266" s="41" t="s">
        <v>2181</v>
      </c>
      <c r="Q266" s="41"/>
      <c r="R266" s="38" t="s">
        <v>255</v>
      </c>
      <c r="S266" s="42" t="s">
        <v>1044</v>
      </c>
    </row>
    <row r="267" ht="14.25" customHeight="1">
      <c r="A267" s="39" t="s">
        <v>2182</v>
      </c>
      <c r="B267" s="39" t="s">
        <v>2183</v>
      </c>
      <c r="C267" s="39" t="s">
        <v>241</v>
      </c>
      <c r="D267" s="39" t="s">
        <v>2184</v>
      </c>
      <c r="E267" s="43">
        <v>2550.0</v>
      </c>
      <c r="F267" s="39" t="s">
        <v>1061</v>
      </c>
      <c r="G267" s="39" t="s">
        <v>1079</v>
      </c>
      <c r="H267" s="39" t="s">
        <v>239</v>
      </c>
      <c r="I267" s="39" t="s">
        <v>239</v>
      </c>
      <c r="J267" s="39" t="s">
        <v>239</v>
      </c>
      <c r="K267" s="39" t="s">
        <v>240</v>
      </c>
      <c r="L267" s="39" t="s">
        <v>252</v>
      </c>
      <c r="M267" s="39" t="s">
        <v>1063</v>
      </c>
      <c r="N267" s="39" t="s">
        <v>242</v>
      </c>
      <c r="O267" s="39" t="s">
        <v>335</v>
      </c>
      <c r="P267" s="44" t="s">
        <v>2185</v>
      </c>
      <c r="Q267" s="44"/>
      <c r="R267" s="39" t="s">
        <v>255</v>
      </c>
      <c r="S267" s="45" t="s">
        <v>1044</v>
      </c>
    </row>
    <row r="268" ht="14.25" customHeight="1">
      <c r="A268" s="38" t="s">
        <v>2186</v>
      </c>
      <c r="B268" s="38" t="s">
        <v>2187</v>
      </c>
      <c r="C268" s="38" t="s">
        <v>1103</v>
      </c>
      <c r="D268" s="38" t="s">
        <v>1722</v>
      </c>
      <c r="E268" s="40">
        <v>900.0</v>
      </c>
      <c r="F268" s="38" t="s">
        <v>1061</v>
      </c>
      <c r="G268" s="38" t="s">
        <v>386</v>
      </c>
      <c r="H268" s="38" t="s">
        <v>386</v>
      </c>
      <c r="I268" s="38" t="s">
        <v>386</v>
      </c>
      <c r="J268" s="38" t="s">
        <v>386</v>
      </c>
      <c r="K268" s="38" t="s">
        <v>240</v>
      </c>
      <c r="L268" s="38" t="s">
        <v>1469</v>
      </c>
      <c r="M268" s="38" t="s">
        <v>1063</v>
      </c>
      <c r="N268" s="38" t="s">
        <v>242</v>
      </c>
      <c r="O268" s="38" t="s">
        <v>335</v>
      </c>
      <c r="P268" s="41" t="s">
        <v>2188</v>
      </c>
      <c r="Q268" s="41"/>
      <c r="R268" s="38" t="s">
        <v>255</v>
      </c>
      <c r="S268" s="42" t="s">
        <v>1044</v>
      </c>
    </row>
    <row r="269" ht="14.25" customHeight="1">
      <c r="A269" s="39" t="s">
        <v>2189</v>
      </c>
      <c r="B269" s="39" t="s">
        <v>2190</v>
      </c>
      <c r="C269" s="39" t="s">
        <v>306</v>
      </c>
      <c r="D269" s="39" t="s">
        <v>1671</v>
      </c>
      <c r="E269" s="43">
        <v>3700.0</v>
      </c>
      <c r="F269" s="39" t="s">
        <v>1061</v>
      </c>
      <c r="G269" s="39" t="s">
        <v>386</v>
      </c>
      <c r="H269" s="39" t="s">
        <v>386</v>
      </c>
      <c r="I269" s="39" t="s">
        <v>386</v>
      </c>
      <c r="J269" s="39" t="s">
        <v>386</v>
      </c>
      <c r="K269" s="39" t="s">
        <v>240</v>
      </c>
      <c r="L269" s="39" t="s">
        <v>1130</v>
      </c>
      <c r="M269" s="39" t="s">
        <v>1063</v>
      </c>
      <c r="N269" s="39" t="s">
        <v>242</v>
      </c>
      <c r="O269" s="39" t="s">
        <v>335</v>
      </c>
      <c r="P269" s="44" t="s">
        <v>2191</v>
      </c>
      <c r="Q269" s="44"/>
      <c r="R269" s="39" t="s">
        <v>255</v>
      </c>
      <c r="S269" s="45" t="s">
        <v>1044</v>
      </c>
    </row>
    <row r="270" ht="14.25" customHeight="1">
      <c r="A270" s="38" t="s">
        <v>2192</v>
      </c>
      <c r="B270" s="38" t="s">
        <v>2193</v>
      </c>
      <c r="C270" s="38" t="s">
        <v>306</v>
      </c>
      <c r="D270" s="38" t="s">
        <v>2194</v>
      </c>
      <c r="E270" s="40">
        <v>2880.0</v>
      </c>
      <c r="F270" s="38" t="s">
        <v>1042</v>
      </c>
      <c r="G270" s="38" t="s">
        <v>1055</v>
      </c>
      <c r="H270" s="38" t="s">
        <v>239</v>
      </c>
      <c r="I270" s="38" t="s">
        <v>239</v>
      </c>
      <c r="J270" s="38" t="s">
        <v>239</v>
      </c>
      <c r="K270" s="38" t="s">
        <v>282</v>
      </c>
      <c r="L270" s="38" t="s">
        <v>1113</v>
      </c>
      <c r="M270" s="38" t="s">
        <v>1012</v>
      </c>
      <c r="N270" s="38" t="s">
        <v>242</v>
      </c>
      <c r="O270" s="38" t="s">
        <v>335</v>
      </c>
      <c r="P270" s="41" t="s">
        <v>2195</v>
      </c>
      <c r="Q270" s="41" t="s">
        <v>2196</v>
      </c>
      <c r="R270" s="38" t="s">
        <v>255</v>
      </c>
      <c r="S270" s="42" t="s">
        <v>1044</v>
      </c>
    </row>
    <row r="271" ht="14.25" customHeight="1">
      <c r="A271" s="39" t="s">
        <v>2197</v>
      </c>
      <c r="B271" s="39" t="s">
        <v>2198</v>
      </c>
      <c r="C271" s="39" t="s">
        <v>388</v>
      </c>
      <c r="D271" s="39" t="s">
        <v>2127</v>
      </c>
      <c r="E271" s="43">
        <v>200.0</v>
      </c>
      <c r="F271" s="39" t="s">
        <v>1042</v>
      </c>
      <c r="G271" s="39" t="s">
        <v>1368</v>
      </c>
      <c r="H271" s="39" t="s">
        <v>1369</v>
      </c>
      <c r="I271" s="39" t="s">
        <v>1369</v>
      </c>
      <c r="J271" s="39" t="s">
        <v>360</v>
      </c>
      <c r="K271" s="39" t="s">
        <v>282</v>
      </c>
      <c r="L271" s="39" t="s">
        <v>1968</v>
      </c>
      <c r="M271" s="39" t="s">
        <v>1012</v>
      </c>
      <c r="N271" s="39" t="s">
        <v>242</v>
      </c>
      <c r="O271" s="39" t="s">
        <v>335</v>
      </c>
      <c r="P271" s="44" t="s">
        <v>2199</v>
      </c>
      <c r="Q271" s="44" t="s">
        <v>2200</v>
      </c>
      <c r="R271" s="39" t="s">
        <v>255</v>
      </c>
      <c r="S271" s="45" t="s">
        <v>1044</v>
      </c>
    </row>
    <row r="272" ht="14.25" customHeight="1">
      <c r="A272" s="38" t="s">
        <v>2201</v>
      </c>
      <c r="B272" s="38" t="s">
        <v>2202</v>
      </c>
      <c r="C272" s="38" t="s">
        <v>306</v>
      </c>
      <c r="D272" s="38" t="s">
        <v>2145</v>
      </c>
      <c r="E272" s="40">
        <v>510.0</v>
      </c>
      <c r="F272" s="38" t="s">
        <v>1042</v>
      </c>
      <c r="G272" s="38" t="s">
        <v>1368</v>
      </c>
      <c r="H272" s="38" t="s">
        <v>1369</v>
      </c>
      <c r="I272" s="38" t="s">
        <v>1369</v>
      </c>
      <c r="J272" s="38" t="s">
        <v>360</v>
      </c>
      <c r="K272" s="38" t="s">
        <v>282</v>
      </c>
      <c r="L272" s="38" t="s">
        <v>1316</v>
      </c>
      <c r="M272" s="38" t="s">
        <v>1012</v>
      </c>
      <c r="N272" s="38" t="s">
        <v>242</v>
      </c>
      <c r="O272" s="38" t="s">
        <v>335</v>
      </c>
      <c r="P272" s="41" t="s">
        <v>2203</v>
      </c>
      <c r="Q272" s="41" t="s">
        <v>2204</v>
      </c>
      <c r="R272" s="38" t="s">
        <v>255</v>
      </c>
      <c r="S272" s="42" t="s">
        <v>1044</v>
      </c>
    </row>
    <row r="273" ht="14.25" customHeight="1">
      <c r="A273" s="39" t="s">
        <v>2205</v>
      </c>
      <c r="B273" s="39" t="s">
        <v>2206</v>
      </c>
      <c r="C273" s="39" t="s">
        <v>306</v>
      </c>
      <c r="D273" s="39" t="s">
        <v>2207</v>
      </c>
      <c r="E273" s="43">
        <v>265.0</v>
      </c>
      <c r="F273" s="39" t="s">
        <v>1042</v>
      </c>
      <c r="G273" s="39" t="s">
        <v>386</v>
      </c>
      <c r="H273" s="39" t="s">
        <v>386</v>
      </c>
      <c r="I273" s="39" t="s">
        <v>386</v>
      </c>
      <c r="J273" s="39" t="s">
        <v>386</v>
      </c>
      <c r="K273" s="39" t="s">
        <v>282</v>
      </c>
      <c r="L273" s="39" t="s">
        <v>2208</v>
      </c>
      <c r="M273" s="39" t="s">
        <v>1012</v>
      </c>
      <c r="N273" s="39" t="s">
        <v>242</v>
      </c>
      <c r="O273" s="39" t="s">
        <v>335</v>
      </c>
      <c r="P273" s="44" t="s">
        <v>2209</v>
      </c>
      <c r="Q273" s="44" t="s">
        <v>2210</v>
      </c>
      <c r="R273" s="39" t="s">
        <v>255</v>
      </c>
      <c r="S273" s="45" t="s">
        <v>1044</v>
      </c>
    </row>
    <row r="274" ht="14.25" customHeight="1">
      <c r="A274" s="38" t="s">
        <v>2211</v>
      </c>
      <c r="B274" s="38" t="s">
        <v>2212</v>
      </c>
      <c r="C274" s="38" t="s">
        <v>241</v>
      </c>
      <c r="D274" s="38" t="s">
        <v>1267</v>
      </c>
      <c r="E274" s="40">
        <v>950.0</v>
      </c>
      <c r="F274" s="38" t="s">
        <v>1061</v>
      </c>
      <c r="G274" s="38" t="s">
        <v>1086</v>
      </c>
      <c r="H274" s="38" t="s">
        <v>239</v>
      </c>
      <c r="I274" s="38" t="s">
        <v>239</v>
      </c>
      <c r="J274" s="38" t="s">
        <v>239</v>
      </c>
      <c r="K274" s="38" t="s">
        <v>240</v>
      </c>
      <c r="L274" s="38" t="s">
        <v>1244</v>
      </c>
      <c r="M274" s="38" t="s">
        <v>1063</v>
      </c>
      <c r="N274" s="38" t="s">
        <v>242</v>
      </c>
      <c r="O274" s="38" t="s">
        <v>335</v>
      </c>
      <c r="P274" s="41" t="s">
        <v>2213</v>
      </c>
      <c r="Q274" s="41"/>
      <c r="R274" s="38" t="s">
        <v>255</v>
      </c>
      <c r="S274" s="42" t="s">
        <v>1044</v>
      </c>
    </row>
    <row r="275" ht="14.25" customHeight="1">
      <c r="A275" s="39" t="s">
        <v>2214</v>
      </c>
      <c r="B275" s="39" t="s">
        <v>2215</v>
      </c>
      <c r="C275" s="39" t="s">
        <v>241</v>
      </c>
      <c r="D275" s="39" t="s">
        <v>1521</v>
      </c>
      <c r="E275" s="43">
        <v>50.0</v>
      </c>
      <c r="F275" s="39" t="s">
        <v>1061</v>
      </c>
      <c r="G275" s="39" t="s">
        <v>1135</v>
      </c>
      <c r="H275" s="39" t="s">
        <v>239</v>
      </c>
      <c r="I275" s="39" t="s">
        <v>239</v>
      </c>
      <c r="J275" s="39" t="s">
        <v>239</v>
      </c>
      <c r="K275" s="39" t="s">
        <v>240</v>
      </c>
      <c r="L275" s="39" t="s">
        <v>1113</v>
      </c>
      <c r="M275" s="39" t="s">
        <v>1063</v>
      </c>
      <c r="N275" s="39" t="s">
        <v>242</v>
      </c>
      <c r="O275" s="39" t="s">
        <v>335</v>
      </c>
      <c r="P275" s="44" t="s">
        <v>2216</v>
      </c>
      <c r="Q275" s="44"/>
      <c r="R275" s="39" t="s">
        <v>255</v>
      </c>
      <c r="S275" s="45" t="s">
        <v>1044</v>
      </c>
    </row>
    <row r="276" ht="14.25" customHeight="1">
      <c r="A276" s="38" t="s">
        <v>2217</v>
      </c>
      <c r="B276" s="38" t="s">
        <v>2218</v>
      </c>
      <c r="C276" s="38" t="s">
        <v>362</v>
      </c>
      <c r="D276" s="38" t="s">
        <v>2219</v>
      </c>
      <c r="E276" s="40">
        <v>2060.0</v>
      </c>
      <c r="F276" s="38" t="s">
        <v>1042</v>
      </c>
      <c r="G276" s="38" t="s">
        <v>1086</v>
      </c>
      <c r="H276" s="38" t="s">
        <v>1086</v>
      </c>
      <c r="I276" s="38" t="s">
        <v>1086</v>
      </c>
      <c r="J276" s="38" t="s">
        <v>320</v>
      </c>
      <c r="K276" s="38" t="s">
        <v>282</v>
      </c>
      <c r="L276" s="38" t="s">
        <v>1316</v>
      </c>
      <c r="M276" s="38" t="s">
        <v>1012</v>
      </c>
      <c r="N276" s="38" t="s">
        <v>242</v>
      </c>
      <c r="O276" s="38" t="s">
        <v>335</v>
      </c>
      <c r="P276" s="41" t="s">
        <v>2220</v>
      </c>
      <c r="Q276" s="41" t="s">
        <v>2221</v>
      </c>
      <c r="R276" s="38" t="s">
        <v>255</v>
      </c>
      <c r="S276" s="42" t="s">
        <v>1044</v>
      </c>
    </row>
    <row r="277" ht="14.25" customHeight="1">
      <c r="A277" s="39" t="s">
        <v>2222</v>
      </c>
      <c r="B277" s="39" t="s">
        <v>2223</v>
      </c>
      <c r="C277" s="39" t="s">
        <v>362</v>
      </c>
      <c r="D277" s="39" t="s">
        <v>2224</v>
      </c>
      <c r="E277" s="43">
        <v>2840.0</v>
      </c>
      <c r="F277" s="39" t="s">
        <v>1042</v>
      </c>
      <c r="G277" s="39" t="s">
        <v>1086</v>
      </c>
      <c r="H277" s="39" t="s">
        <v>1086</v>
      </c>
      <c r="I277" s="39" t="s">
        <v>1086</v>
      </c>
      <c r="J277" s="39" t="s">
        <v>320</v>
      </c>
      <c r="K277" s="39" t="s">
        <v>282</v>
      </c>
      <c r="L277" s="39" t="s">
        <v>1316</v>
      </c>
      <c r="M277" s="39" t="s">
        <v>1012</v>
      </c>
      <c r="N277" s="39" t="s">
        <v>242</v>
      </c>
      <c r="O277" s="39" t="s">
        <v>335</v>
      </c>
      <c r="P277" s="44" t="s">
        <v>2225</v>
      </c>
      <c r="Q277" s="44" t="s">
        <v>2226</v>
      </c>
      <c r="R277" s="39" t="s">
        <v>255</v>
      </c>
      <c r="S277" s="45" t="s">
        <v>1044</v>
      </c>
    </row>
    <row r="278" ht="14.25" customHeight="1">
      <c r="A278" s="38" t="s">
        <v>2227</v>
      </c>
      <c r="B278" s="38" t="s">
        <v>2228</v>
      </c>
      <c r="C278" s="38" t="s">
        <v>306</v>
      </c>
      <c r="D278" s="38" t="s">
        <v>1479</v>
      </c>
      <c r="E278" s="40">
        <v>340.0</v>
      </c>
      <c r="F278" s="38" t="s">
        <v>1042</v>
      </c>
      <c r="G278" s="38" t="s">
        <v>386</v>
      </c>
      <c r="H278" s="38" t="s">
        <v>386</v>
      </c>
      <c r="I278" s="38" t="s">
        <v>386</v>
      </c>
      <c r="J278" s="38" t="s">
        <v>386</v>
      </c>
      <c r="K278" s="38" t="s">
        <v>282</v>
      </c>
      <c r="L278" s="38" t="s">
        <v>2208</v>
      </c>
      <c r="M278" s="38" t="s">
        <v>1012</v>
      </c>
      <c r="N278" s="38" t="s">
        <v>242</v>
      </c>
      <c r="O278" s="38" t="s">
        <v>335</v>
      </c>
      <c r="P278" s="41" t="s">
        <v>2229</v>
      </c>
      <c r="Q278" s="41" t="s">
        <v>2230</v>
      </c>
      <c r="R278" s="38" t="s">
        <v>255</v>
      </c>
      <c r="S278" s="42" t="s">
        <v>1044</v>
      </c>
    </row>
    <row r="279" ht="14.25" customHeight="1">
      <c r="A279" s="39" t="s">
        <v>2231</v>
      </c>
      <c r="B279" s="39" t="s">
        <v>2232</v>
      </c>
      <c r="C279" s="39" t="s">
        <v>306</v>
      </c>
      <c r="D279" s="39" t="s">
        <v>2233</v>
      </c>
      <c r="E279" s="43">
        <v>35000.0</v>
      </c>
      <c r="F279" s="39" t="s">
        <v>1061</v>
      </c>
      <c r="G279" s="39" t="s">
        <v>386</v>
      </c>
      <c r="H279" s="39" t="s">
        <v>386</v>
      </c>
      <c r="I279" s="39" t="s">
        <v>386</v>
      </c>
      <c r="J279" s="39" t="s">
        <v>386</v>
      </c>
      <c r="K279" s="39" t="s">
        <v>282</v>
      </c>
      <c r="L279" s="39" t="s">
        <v>1130</v>
      </c>
      <c r="M279" s="39" t="s">
        <v>1012</v>
      </c>
      <c r="N279" s="39" t="s">
        <v>242</v>
      </c>
      <c r="O279" s="39" t="s">
        <v>335</v>
      </c>
      <c r="P279" s="44" t="s">
        <v>2234</v>
      </c>
      <c r="Q279" s="44" t="s">
        <v>2235</v>
      </c>
      <c r="R279" s="39" t="s">
        <v>255</v>
      </c>
      <c r="S279" s="45" t="s">
        <v>1044</v>
      </c>
    </row>
    <row r="280" ht="14.25" customHeight="1">
      <c r="A280" s="38" t="s">
        <v>2236</v>
      </c>
      <c r="B280" s="38" t="s">
        <v>2237</v>
      </c>
      <c r="C280" s="38" t="s">
        <v>1441</v>
      </c>
      <c r="D280" s="38" t="s">
        <v>2238</v>
      </c>
      <c r="E280" s="40">
        <v>690.0</v>
      </c>
      <c r="F280" s="38" t="s">
        <v>1042</v>
      </c>
      <c r="G280" s="38" t="s">
        <v>1055</v>
      </c>
      <c r="H280" s="38" t="s">
        <v>239</v>
      </c>
      <c r="I280" s="38" t="s">
        <v>239</v>
      </c>
      <c r="J280" s="38" t="s">
        <v>239</v>
      </c>
      <c r="K280" s="38" t="s">
        <v>282</v>
      </c>
      <c r="L280" s="38" t="s">
        <v>1056</v>
      </c>
      <c r="M280" s="38" t="s">
        <v>1012</v>
      </c>
      <c r="N280" s="38" t="s">
        <v>242</v>
      </c>
      <c r="O280" s="38" t="s">
        <v>335</v>
      </c>
      <c r="P280" s="41" t="s">
        <v>2239</v>
      </c>
      <c r="Q280" s="41" t="s">
        <v>2240</v>
      </c>
      <c r="R280" s="38" t="s">
        <v>255</v>
      </c>
      <c r="S280" s="42" t="s">
        <v>1044</v>
      </c>
    </row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S$280"/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3" width="40.0"/>
    <col customWidth="1" min="4" max="4" width="39.0"/>
    <col customWidth="1" min="5" max="5" width="37.0"/>
    <col customWidth="1" min="6" max="6" width="14.0"/>
    <col customWidth="1" min="7" max="7" width="12.0"/>
    <col customWidth="1" min="8" max="8" width="14.0"/>
    <col customWidth="1" min="9" max="9" width="11.0"/>
    <col customWidth="1" min="10" max="10" width="18.0"/>
    <col customWidth="1" min="11" max="11" width="29.0"/>
    <col customWidth="1" min="12" max="12" width="40.0"/>
    <col customWidth="1" min="13" max="13" width="16.0"/>
    <col customWidth="1" min="14" max="14" width="10.0"/>
    <col customWidth="1" min="15" max="15" width="40.0"/>
    <col customWidth="1" min="16" max="16" width="17.0"/>
    <col customWidth="1" min="17" max="17" width="24.0"/>
    <col customWidth="1" min="18" max="18" width="19.0"/>
    <col customWidth="1" min="19" max="19" width="17.0"/>
    <col customWidth="1" min="20" max="20" width="20.0"/>
    <col customWidth="1" min="21" max="26" width="8.71"/>
  </cols>
  <sheetData>
    <row r="1" ht="14.25" customHeight="1">
      <c r="A1" s="37" t="s">
        <v>424</v>
      </c>
      <c r="B1" s="37" t="s">
        <v>425</v>
      </c>
      <c r="C1" s="37" t="s">
        <v>426</v>
      </c>
      <c r="D1" s="37" t="s">
        <v>302</v>
      </c>
      <c r="E1" s="37" t="s">
        <v>427</v>
      </c>
      <c r="F1" s="37" t="s">
        <v>428</v>
      </c>
      <c r="G1" s="37" t="s">
        <v>429</v>
      </c>
      <c r="H1" s="37" t="s">
        <v>430</v>
      </c>
      <c r="I1" s="37" t="s">
        <v>431</v>
      </c>
      <c r="J1" s="37" t="s">
        <v>432</v>
      </c>
      <c r="K1" s="37" t="s">
        <v>433</v>
      </c>
      <c r="L1" s="37" t="s">
        <v>434</v>
      </c>
      <c r="M1" s="37" t="s">
        <v>435</v>
      </c>
      <c r="N1" s="37" t="s">
        <v>436</v>
      </c>
      <c r="O1" s="37" t="s">
        <v>116</v>
      </c>
      <c r="P1" s="37" t="s">
        <v>437</v>
      </c>
      <c r="Q1" s="37" t="s">
        <v>438</v>
      </c>
      <c r="R1" s="37" t="s">
        <v>196</v>
      </c>
      <c r="S1" s="37" t="s">
        <v>2241</v>
      </c>
      <c r="T1" s="37" t="s">
        <v>2242</v>
      </c>
    </row>
    <row r="2" ht="14.25" customHeight="1">
      <c r="A2" s="38" t="s">
        <v>1038</v>
      </c>
      <c r="B2" s="38" t="s">
        <v>1035</v>
      </c>
      <c r="C2" s="38" t="s">
        <v>1035</v>
      </c>
      <c r="D2" s="38" t="s">
        <v>423</v>
      </c>
      <c r="E2" s="38" t="s">
        <v>1035</v>
      </c>
      <c r="F2" s="38" t="s">
        <v>400</v>
      </c>
      <c r="G2" s="38" t="s">
        <v>402</v>
      </c>
      <c r="H2" s="38" t="s">
        <v>402</v>
      </c>
      <c r="I2" s="40">
        <v>0.03</v>
      </c>
      <c r="J2" s="38" t="s">
        <v>243</v>
      </c>
      <c r="K2" s="38" t="s">
        <v>242</v>
      </c>
      <c r="L2" s="38" t="s">
        <v>2243</v>
      </c>
      <c r="M2" s="38" t="s">
        <v>245</v>
      </c>
      <c r="N2" s="38" t="s">
        <v>245</v>
      </c>
      <c r="O2" s="42" t="s">
        <v>2244</v>
      </c>
      <c r="P2" s="38" t="s">
        <v>245</v>
      </c>
      <c r="Q2" s="38" t="s">
        <v>2245</v>
      </c>
      <c r="R2" s="38" t="s">
        <v>335</v>
      </c>
      <c r="S2" s="38">
        <v>1.0</v>
      </c>
      <c r="T2" s="38" t="s">
        <v>563</v>
      </c>
    </row>
    <row r="3" ht="14.25" customHeight="1">
      <c r="A3" s="39" t="s">
        <v>1064</v>
      </c>
      <c r="B3" s="39" t="s">
        <v>1059</v>
      </c>
      <c r="C3" s="39" t="s">
        <v>1059</v>
      </c>
      <c r="D3" s="39" t="s">
        <v>239</v>
      </c>
      <c r="E3" s="39" t="s">
        <v>1062</v>
      </c>
      <c r="F3" s="39" t="s">
        <v>240</v>
      </c>
      <c r="G3" s="39" t="s">
        <v>241</v>
      </c>
      <c r="H3" s="39" t="s">
        <v>244</v>
      </c>
      <c r="I3" s="43">
        <v>250.0</v>
      </c>
      <c r="J3" s="39" t="s">
        <v>243</v>
      </c>
      <c r="K3" s="39" t="s">
        <v>242</v>
      </c>
      <c r="L3" s="39" t="s">
        <v>2246</v>
      </c>
      <c r="M3" s="39" t="s">
        <v>245</v>
      </c>
      <c r="N3" s="39" t="s">
        <v>245</v>
      </c>
      <c r="O3" s="45" t="s">
        <v>2244</v>
      </c>
      <c r="P3" s="39" t="s">
        <v>245</v>
      </c>
      <c r="Q3" s="39" t="s">
        <v>2245</v>
      </c>
      <c r="R3" s="39" t="s">
        <v>335</v>
      </c>
      <c r="S3" s="39">
        <v>1.0</v>
      </c>
      <c r="T3" s="39" t="s">
        <v>1058</v>
      </c>
    </row>
    <row r="4" ht="14.25" customHeight="1">
      <c r="A4" s="38" t="s">
        <v>1072</v>
      </c>
      <c r="B4" s="38" t="s">
        <v>1066</v>
      </c>
      <c r="C4" s="38" t="s">
        <v>1066</v>
      </c>
      <c r="D4" s="38" t="s">
        <v>420</v>
      </c>
      <c r="E4" s="38" t="s">
        <v>1070</v>
      </c>
      <c r="F4" s="38" t="s">
        <v>361</v>
      </c>
      <c r="G4" s="38" t="s">
        <v>1067</v>
      </c>
      <c r="H4" s="38" t="s">
        <v>2247</v>
      </c>
      <c r="I4" s="40">
        <v>8000.0</v>
      </c>
      <c r="J4" s="38" t="s">
        <v>243</v>
      </c>
      <c r="K4" s="38" t="s">
        <v>268</v>
      </c>
      <c r="L4" s="38" t="s">
        <v>2248</v>
      </c>
      <c r="M4" s="38" t="s">
        <v>245</v>
      </c>
      <c r="N4" s="38" t="s">
        <v>245</v>
      </c>
      <c r="O4" s="42" t="s">
        <v>2244</v>
      </c>
      <c r="P4" s="38" t="s">
        <v>255</v>
      </c>
      <c r="Q4" s="38" t="s">
        <v>2245</v>
      </c>
      <c r="R4" s="38" t="s">
        <v>335</v>
      </c>
      <c r="S4" s="38">
        <v>1.0</v>
      </c>
      <c r="T4" s="38" t="s">
        <v>1065</v>
      </c>
    </row>
    <row r="5" ht="14.25" customHeight="1">
      <c r="A5" s="39" t="s">
        <v>1081</v>
      </c>
      <c r="B5" s="39" t="s">
        <v>1075</v>
      </c>
      <c r="C5" s="39" t="s">
        <v>1075</v>
      </c>
      <c r="D5" s="39" t="s">
        <v>239</v>
      </c>
      <c r="E5" s="39" t="s">
        <v>1080</v>
      </c>
      <c r="F5" s="39" t="s">
        <v>321</v>
      </c>
      <c r="G5" s="39" t="s">
        <v>1076</v>
      </c>
      <c r="H5" s="39" t="s">
        <v>2247</v>
      </c>
      <c r="I5" s="43">
        <v>2300.0</v>
      </c>
      <c r="J5" s="39" t="s">
        <v>323</v>
      </c>
      <c r="K5" s="39" t="s">
        <v>268</v>
      </c>
      <c r="L5" s="39" t="s">
        <v>2249</v>
      </c>
      <c r="M5" s="39" t="s">
        <v>245</v>
      </c>
      <c r="N5" s="39" t="s">
        <v>245</v>
      </c>
      <c r="O5" s="45" t="s">
        <v>2244</v>
      </c>
      <c r="P5" s="39" t="s">
        <v>255</v>
      </c>
      <c r="Q5" s="39" t="s">
        <v>2245</v>
      </c>
      <c r="R5" s="39" t="s">
        <v>335</v>
      </c>
      <c r="S5" s="39">
        <v>1.0</v>
      </c>
      <c r="T5" s="39" t="s">
        <v>1074</v>
      </c>
    </row>
    <row r="6" ht="14.25" customHeight="1">
      <c r="A6" s="38" t="s">
        <v>1087</v>
      </c>
      <c r="B6" s="38" t="s">
        <v>1084</v>
      </c>
      <c r="C6" s="38" t="s">
        <v>1084</v>
      </c>
      <c r="D6" s="38" t="s">
        <v>320</v>
      </c>
      <c r="E6" s="38" t="s">
        <v>1080</v>
      </c>
      <c r="F6" s="38" t="s">
        <v>321</v>
      </c>
      <c r="G6" s="38" t="s">
        <v>1076</v>
      </c>
      <c r="H6" s="38" t="s">
        <v>2247</v>
      </c>
      <c r="I6" s="40">
        <v>800.0</v>
      </c>
      <c r="J6" s="38" t="s">
        <v>323</v>
      </c>
      <c r="K6" s="38" t="s">
        <v>268</v>
      </c>
      <c r="L6" s="38" t="s">
        <v>2250</v>
      </c>
      <c r="M6" s="38" t="s">
        <v>245</v>
      </c>
      <c r="N6" s="38" t="s">
        <v>245</v>
      </c>
      <c r="O6" s="42" t="s">
        <v>2244</v>
      </c>
      <c r="P6" s="38" t="s">
        <v>255</v>
      </c>
      <c r="Q6" s="38" t="s">
        <v>2245</v>
      </c>
      <c r="R6" s="38" t="s">
        <v>335</v>
      </c>
      <c r="S6" s="38">
        <v>1.0</v>
      </c>
      <c r="T6" s="38" t="s">
        <v>1083</v>
      </c>
    </row>
    <row r="7" ht="14.25" customHeight="1">
      <c r="A7" s="39" t="s">
        <v>1091</v>
      </c>
      <c r="B7" s="39" t="s">
        <v>1089</v>
      </c>
      <c r="C7" s="39" t="s">
        <v>1089</v>
      </c>
      <c r="D7" s="39" t="s">
        <v>239</v>
      </c>
      <c r="E7" s="39" t="s">
        <v>1080</v>
      </c>
      <c r="F7" s="39" t="s">
        <v>321</v>
      </c>
      <c r="G7" s="39" t="s">
        <v>1076</v>
      </c>
      <c r="H7" s="39" t="s">
        <v>2247</v>
      </c>
      <c r="I7" s="43">
        <v>5500.0</v>
      </c>
      <c r="J7" s="39" t="s">
        <v>323</v>
      </c>
      <c r="K7" s="39" t="s">
        <v>268</v>
      </c>
      <c r="L7" s="39" t="s">
        <v>2251</v>
      </c>
      <c r="M7" s="39" t="s">
        <v>245</v>
      </c>
      <c r="N7" s="39" t="s">
        <v>245</v>
      </c>
      <c r="O7" s="45" t="s">
        <v>2244</v>
      </c>
      <c r="P7" s="39" t="s">
        <v>255</v>
      </c>
      <c r="Q7" s="39" t="s">
        <v>2245</v>
      </c>
      <c r="R7" s="39" t="s">
        <v>335</v>
      </c>
      <c r="S7" s="39">
        <v>1.0</v>
      </c>
      <c r="T7" s="39" t="s">
        <v>1088</v>
      </c>
    </row>
    <row r="8" ht="14.25" customHeight="1">
      <c r="A8" s="38" t="s">
        <v>1096</v>
      </c>
      <c r="B8" s="38" t="s">
        <v>1093</v>
      </c>
      <c r="C8" s="38" t="s">
        <v>1093</v>
      </c>
      <c r="D8" s="38" t="s">
        <v>420</v>
      </c>
      <c r="E8" s="38" t="s">
        <v>1070</v>
      </c>
      <c r="F8" s="38" t="s">
        <v>361</v>
      </c>
      <c r="G8" s="38" t="s">
        <v>1067</v>
      </c>
      <c r="H8" s="38" t="s">
        <v>2247</v>
      </c>
      <c r="I8" s="40">
        <v>11700.0</v>
      </c>
      <c r="J8" s="38" t="s">
        <v>243</v>
      </c>
      <c r="K8" s="38" t="s">
        <v>268</v>
      </c>
      <c r="L8" s="38" t="s">
        <v>2252</v>
      </c>
      <c r="M8" s="38" t="s">
        <v>245</v>
      </c>
      <c r="N8" s="38" t="s">
        <v>245</v>
      </c>
      <c r="O8" s="42" t="s">
        <v>2244</v>
      </c>
      <c r="P8" s="38" t="s">
        <v>255</v>
      </c>
      <c r="Q8" s="38" t="s">
        <v>2245</v>
      </c>
      <c r="R8" s="38" t="s">
        <v>335</v>
      </c>
      <c r="S8" s="38">
        <v>1.0</v>
      </c>
      <c r="T8" s="38" t="s">
        <v>1092</v>
      </c>
    </row>
    <row r="9" ht="14.25" customHeight="1">
      <c r="A9" s="39" t="s">
        <v>1100</v>
      </c>
      <c r="B9" s="39" t="s">
        <v>1098</v>
      </c>
      <c r="C9" s="39" t="s">
        <v>1098</v>
      </c>
      <c r="D9" s="39" t="s">
        <v>239</v>
      </c>
      <c r="E9" s="39" t="s">
        <v>1080</v>
      </c>
      <c r="F9" s="39" t="s">
        <v>321</v>
      </c>
      <c r="G9" s="39" t="s">
        <v>1076</v>
      </c>
      <c r="H9" s="39" t="s">
        <v>2247</v>
      </c>
      <c r="I9" s="43">
        <v>770.0</v>
      </c>
      <c r="J9" s="39" t="s">
        <v>323</v>
      </c>
      <c r="K9" s="39" t="s">
        <v>268</v>
      </c>
      <c r="L9" s="39" t="s">
        <v>2253</v>
      </c>
      <c r="M9" s="39" t="s">
        <v>245</v>
      </c>
      <c r="N9" s="39" t="s">
        <v>245</v>
      </c>
      <c r="O9" s="45" t="s">
        <v>2244</v>
      </c>
      <c r="P9" s="39" t="s">
        <v>255</v>
      </c>
      <c r="Q9" s="39" t="s">
        <v>2245</v>
      </c>
      <c r="R9" s="39" t="s">
        <v>335</v>
      </c>
      <c r="S9" s="39">
        <v>1.0</v>
      </c>
      <c r="T9" s="39" t="s">
        <v>1097</v>
      </c>
    </row>
    <row r="10" ht="14.25" customHeight="1">
      <c r="A10" s="38" t="s">
        <v>1114</v>
      </c>
      <c r="B10" s="38" t="s">
        <v>1111</v>
      </c>
      <c r="C10" s="38" t="s">
        <v>1111</v>
      </c>
      <c r="D10" s="38" t="s">
        <v>239</v>
      </c>
      <c r="E10" s="38" t="s">
        <v>1113</v>
      </c>
      <c r="F10" s="38" t="s">
        <v>240</v>
      </c>
      <c r="G10" s="38" t="s">
        <v>1103</v>
      </c>
      <c r="H10" s="38" t="s">
        <v>2247</v>
      </c>
      <c r="I10" s="40">
        <v>350.0</v>
      </c>
      <c r="J10" s="38" t="s">
        <v>243</v>
      </c>
      <c r="K10" s="38" t="s">
        <v>242</v>
      </c>
      <c r="L10" s="38" t="s">
        <v>2254</v>
      </c>
      <c r="M10" s="38" t="s">
        <v>245</v>
      </c>
      <c r="N10" s="38" t="s">
        <v>245</v>
      </c>
      <c r="O10" s="42" t="s">
        <v>2244</v>
      </c>
      <c r="P10" s="38" t="s">
        <v>245</v>
      </c>
      <c r="Q10" s="38" t="s">
        <v>2245</v>
      </c>
      <c r="R10" s="38" t="s">
        <v>335</v>
      </c>
      <c r="S10" s="38">
        <v>1.0</v>
      </c>
      <c r="T10" s="38" t="s">
        <v>1110</v>
      </c>
    </row>
    <row r="11" ht="14.25" customHeight="1">
      <c r="A11" s="39" t="s">
        <v>1126</v>
      </c>
      <c r="B11" s="39" t="s">
        <v>1123</v>
      </c>
      <c r="C11" s="39" t="s">
        <v>1123</v>
      </c>
      <c r="D11" s="39" t="s">
        <v>405</v>
      </c>
      <c r="E11" s="39" t="s">
        <v>1120</v>
      </c>
      <c r="F11" s="39" t="s">
        <v>321</v>
      </c>
      <c r="G11" s="39" t="s">
        <v>1124</v>
      </c>
      <c r="H11" s="39" t="s">
        <v>2247</v>
      </c>
      <c r="I11" s="43">
        <v>24000.0</v>
      </c>
      <c r="J11" s="39" t="s">
        <v>323</v>
      </c>
      <c r="K11" s="39" t="s">
        <v>268</v>
      </c>
      <c r="L11" s="39" t="s">
        <v>2255</v>
      </c>
      <c r="M11" s="39" t="s">
        <v>245</v>
      </c>
      <c r="N11" s="39" t="s">
        <v>245</v>
      </c>
      <c r="O11" s="45" t="s">
        <v>2244</v>
      </c>
      <c r="P11" s="39" t="s">
        <v>255</v>
      </c>
      <c r="Q11" s="39" t="s">
        <v>2245</v>
      </c>
      <c r="R11" s="39" t="s">
        <v>335</v>
      </c>
      <c r="S11" s="39">
        <v>1.0</v>
      </c>
      <c r="T11" s="39" t="s">
        <v>1122</v>
      </c>
    </row>
    <row r="12" ht="14.25" customHeight="1">
      <c r="A12" s="38" t="s">
        <v>1197</v>
      </c>
      <c r="B12" s="38" t="s">
        <v>1193</v>
      </c>
      <c r="C12" s="38" t="s">
        <v>1193</v>
      </c>
      <c r="D12" s="38" t="s">
        <v>399</v>
      </c>
      <c r="E12" s="38" t="s">
        <v>1196</v>
      </c>
      <c r="F12" s="38" t="s">
        <v>240</v>
      </c>
      <c r="G12" s="38" t="s">
        <v>241</v>
      </c>
      <c r="H12" s="38" t="s">
        <v>244</v>
      </c>
      <c r="I12" s="40">
        <v>360.0</v>
      </c>
      <c r="J12" s="38" t="s">
        <v>243</v>
      </c>
      <c r="K12" s="38" t="s">
        <v>242</v>
      </c>
      <c r="L12" s="38" t="s">
        <v>2256</v>
      </c>
      <c r="M12" s="38" t="s">
        <v>245</v>
      </c>
      <c r="N12" s="38" t="s">
        <v>245</v>
      </c>
      <c r="O12" s="42" t="s">
        <v>2244</v>
      </c>
      <c r="P12" s="38" t="s">
        <v>245</v>
      </c>
      <c r="Q12" s="38" t="s">
        <v>2245</v>
      </c>
      <c r="R12" s="38" t="s">
        <v>335</v>
      </c>
      <c r="S12" s="38">
        <v>1.0</v>
      </c>
      <c r="T12" s="38" t="s">
        <v>1192</v>
      </c>
    </row>
    <row r="13" ht="14.25" customHeight="1">
      <c r="A13" s="39" t="s">
        <v>1201</v>
      </c>
      <c r="B13" s="39" t="s">
        <v>1199</v>
      </c>
      <c r="C13" s="39" t="s">
        <v>1199</v>
      </c>
      <c r="D13" s="39" t="s">
        <v>399</v>
      </c>
      <c r="E13" s="39" t="s">
        <v>1196</v>
      </c>
      <c r="F13" s="39" t="s">
        <v>240</v>
      </c>
      <c r="G13" s="39" t="s">
        <v>362</v>
      </c>
      <c r="H13" s="39" t="s">
        <v>364</v>
      </c>
      <c r="I13" s="43">
        <v>1100.0</v>
      </c>
      <c r="J13" s="39" t="s">
        <v>243</v>
      </c>
      <c r="K13" s="39" t="s">
        <v>242</v>
      </c>
      <c r="L13" s="39" t="s">
        <v>2257</v>
      </c>
      <c r="M13" s="39" t="s">
        <v>245</v>
      </c>
      <c r="N13" s="39" t="s">
        <v>245</v>
      </c>
      <c r="O13" s="45" t="s">
        <v>2244</v>
      </c>
      <c r="P13" s="39" t="s">
        <v>245</v>
      </c>
      <c r="Q13" s="39" t="s">
        <v>2245</v>
      </c>
      <c r="R13" s="39" t="s">
        <v>335</v>
      </c>
      <c r="S13" s="39">
        <v>1.0</v>
      </c>
      <c r="T13" s="39" t="s">
        <v>1198</v>
      </c>
    </row>
    <row r="14" ht="14.25" customHeight="1">
      <c r="A14" s="38" t="s">
        <v>1205</v>
      </c>
      <c r="B14" s="38" t="s">
        <v>1203</v>
      </c>
      <c r="C14" s="38" t="s">
        <v>1203</v>
      </c>
      <c r="D14" s="38" t="s">
        <v>239</v>
      </c>
      <c r="E14" s="38" t="s">
        <v>1113</v>
      </c>
      <c r="F14" s="38" t="s">
        <v>240</v>
      </c>
      <c r="G14" s="38" t="s">
        <v>241</v>
      </c>
      <c r="H14" s="38" t="s">
        <v>244</v>
      </c>
      <c r="I14" s="40">
        <v>6500.0</v>
      </c>
      <c r="J14" s="38" t="s">
        <v>243</v>
      </c>
      <c r="K14" s="38" t="s">
        <v>242</v>
      </c>
      <c r="L14" s="38" t="s">
        <v>2258</v>
      </c>
      <c r="M14" s="38" t="s">
        <v>245</v>
      </c>
      <c r="N14" s="38" t="s">
        <v>245</v>
      </c>
      <c r="O14" s="42" t="s">
        <v>2244</v>
      </c>
      <c r="P14" s="38" t="s">
        <v>245</v>
      </c>
      <c r="Q14" s="38" t="s">
        <v>2245</v>
      </c>
      <c r="R14" s="38" t="s">
        <v>335</v>
      </c>
      <c r="S14" s="38">
        <v>1.0</v>
      </c>
      <c r="T14" s="38" t="s">
        <v>1202</v>
      </c>
    </row>
    <row r="15" ht="14.25" customHeight="1">
      <c r="A15" s="39" t="s">
        <v>1210</v>
      </c>
      <c r="B15" s="39" t="s">
        <v>1207</v>
      </c>
      <c r="C15" s="39" t="s">
        <v>1207</v>
      </c>
      <c r="D15" s="39" t="s">
        <v>320</v>
      </c>
      <c r="E15" s="39" t="s">
        <v>1209</v>
      </c>
      <c r="F15" s="39" t="s">
        <v>240</v>
      </c>
      <c r="G15" s="39" t="s">
        <v>241</v>
      </c>
      <c r="H15" s="39" t="s">
        <v>244</v>
      </c>
      <c r="I15" s="43">
        <v>260.0</v>
      </c>
      <c r="J15" s="39" t="s">
        <v>243</v>
      </c>
      <c r="K15" s="39" t="s">
        <v>242</v>
      </c>
      <c r="L15" s="39" t="s">
        <v>2259</v>
      </c>
      <c r="M15" s="39" t="s">
        <v>245</v>
      </c>
      <c r="N15" s="39" t="s">
        <v>245</v>
      </c>
      <c r="O15" s="45" t="s">
        <v>2244</v>
      </c>
      <c r="P15" s="39" t="s">
        <v>245</v>
      </c>
      <c r="Q15" s="39" t="s">
        <v>2245</v>
      </c>
      <c r="R15" s="39" t="s">
        <v>335</v>
      </c>
      <c r="S15" s="39">
        <v>1.0</v>
      </c>
      <c r="T15" s="39" t="s">
        <v>1206</v>
      </c>
    </row>
    <row r="16" ht="14.25" customHeight="1">
      <c r="A16" s="38" t="s">
        <v>1215</v>
      </c>
      <c r="B16" s="38" t="s">
        <v>1212</v>
      </c>
      <c r="C16" s="38" t="s">
        <v>1212</v>
      </c>
      <c r="D16" s="38" t="s">
        <v>420</v>
      </c>
      <c r="E16" s="38" t="s">
        <v>1070</v>
      </c>
      <c r="F16" s="38" t="s">
        <v>387</v>
      </c>
      <c r="G16" s="38" t="s">
        <v>402</v>
      </c>
      <c r="H16" s="38" t="s">
        <v>402</v>
      </c>
      <c r="I16" s="40">
        <v>0.015</v>
      </c>
      <c r="J16" s="38" t="s">
        <v>243</v>
      </c>
      <c r="K16" s="38" t="s">
        <v>322</v>
      </c>
      <c r="L16" s="38" t="s">
        <v>2260</v>
      </c>
      <c r="M16" s="38" t="s">
        <v>255</v>
      </c>
      <c r="N16" s="38" t="s">
        <v>245</v>
      </c>
      <c r="O16" s="42" t="s">
        <v>2244</v>
      </c>
      <c r="P16" s="38" t="s">
        <v>255</v>
      </c>
      <c r="Q16" s="38" t="s">
        <v>2245</v>
      </c>
      <c r="R16" s="38" t="s">
        <v>335</v>
      </c>
      <c r="S16" s="38">
        <v>1.0</v>
      </c>
      <c r="T16" s="38" t="s">
        <v>1211</v>
      </c>
    </row>
    <row r="17" ht="14.25" customHeight="1">
      <c r="A17" s="39" t="s">
        <v>1220</v>
      </c>
      <c r="B17" s="39" t="s">
        <v>1218</v>
      </c>
      <c r="C17" s="39" t="s">
        <v>1218</v>
      </c>
      <c r="D17" s="39" t="s">
        <v>281</v>
      </c>
      <c r="E17" s="39" t="s">
        <v>447</v>
      </c>
      <c r="F17" s="39" t="s">
        <v>240</v>
      </c>
      <c r="G17" s="39" t="s">
        <v>362</v>
      </c>
      <c r="H17" s="39" t="s">
        <v>364</v>
      </c>
      <c r="I17" s="43">
        <v>2000.0</v>
      </c>
      <c r="J17" s="39" t="s">
        <v>284</v>
      </c>
      <c r="K17" s="39" t="s">
        <v>242</v>
      </c>
      <c r="L17" s="39" t="s">
        <v>2261</v>
      </c>
      <c r="M17" s="39" t="s">
        <v>245</v>
      </c>
      <c r="N17" s="39" t="s">
        <v>245</v>
      </c>
      <c r="O17" s="45" t="s">
        <v>2244</v>
      </c>
      <c r="P17" s="39" t="s">
        <v>245</v>
      </c>
      <c r="Q17" s="39" t="s">
        <v>2245</v>
      </c>
      <c r="R17" s="39" t="s">
        <v>335</v>
      </c>
      <c r="S17" s="39">
        <v>1.0</v>
      </c>
      <c r="T17" s="39" t="s">
        <v>1217</v>
      </c>
    </row>
    <row r="18" ht="14.25" customHeight="1">
      <c r="A18" s="38" t="s">
        <v>1224</v>
      </c>
      <c r="B18" s="38" t="s">
        <v>1222</v>
      </c>
      <c r="C18" s="38" t="s">
        <v>1222</v>
      </c>
      <c r="D18" s="38" t="s">
        <v>320</v>
      </c>
      <c r="E18" s="38" t="s">
        <v>1209</v>
      </c>
      <c r="F18" s="38" t="s">
        <v>240</v>
      </c>
      <c r="G18" s="38" t="s">
        <v>362</v>
      </c>
      <c r="H18" s="38" t="s">
        <v>364</v>
      </c>
      <c r="I18" s="40">
        <v>850.0</v>
      </c>
      <c r="J18" s="38" t="s">
        <v>243</v>
      </c>
      <c r="K18" s="38" t="s">
        <v>242</v>
      </c>
      <c r="L18" s="38" t="s">
        <v>2262</v>
      </c>
      <c r="M18" s="38" t="s">
        <v>245</v>
      </c>
      <c r="N18" s="38" t="s">
        <v>245</v>
      </c>
      <c r="O18" s="42" t="s">
        <v>2244</v>
      </c>
      <c r="P18" s="38" t="s">
        <v>245</v>
      </c>
      <c r="Q18" s="38" t="s">
        <v>2245</v>
      </c>
      <c r="R18" s="38" t="s">
        <v>335</v>
      </c>
      <c r="S18" s="38">
        <v>1.0</v>
      </c>
      <c r="T18" s="38" t="s">
        <v>1221</v>
      </c>
    </row>
    <row r="19" ht="14.25" customHeight="1">
      <c r="A19" s="39" t="s">
        <v>1230</v>
      </c>
      <c r="B19" s="39" t="s">
        <v>1226</v>
      </c>
      <c r="C19" s="39" t="s">
        <v>1226</v>
      </c>
      <c r="D19" s="39" t="s">
        <v>419</v>
      </c>
      <c r="E19" s="39" t="s">
        <v>1229</v>
      </c>
      <c r="F19" s="39" t="s">
        <v>361</v>
      </c>
      <c r="G19" s="39" t="s">
        <v>362</v>
      </c>
      <c r="H19" s="39" t="s">
        <v>364</v>
      </c>
      <c r="I19" s="43">
        <v>1200.0</v>
      </c>
      <c r="J19" s="39" t="s">
        <v>243</v>
      </c>
      <c r="K19" s="39" t="s">
        <v>268</v>
      </c>
      <c r="L19" s="39" t="s">
        <v>2263</v>
      </c>
      <c r="M19" s="39" t="s">
        <v>245</v>
      </c>
      <c r="N19" s="39" t="s">
        <v>245</v>
      </c>
      <c r="O19" s="45" t="s">
        <v>2244</v>
      </c>
      <c r="P19" s="39" t="s">
        <v>255</v>
      </c>
      <c r="Q19" s="39" t="s">
        <v>2245</v>
      </c>
      <c r="R19" s="39" t="s">
        <v>335</v>
      </c>
      <c r="S19" s="39">
        <v>1.0</v>
      </c>
      <c r="T19" s="39" t="s">
        <v>1225</v>
      </c>
    </row>
    <row r="20" ht="14.25" customHeight="1">
      <c r="A20" s="38" t="s">
        <v>1237</v>
      </c>
      <c r="B20" s="38" t="s">
        <v>1233</v>
      </c>
      <c r="C20" s="38" t="s">
        <v>1233</v>
      </c>
      <c r="D20" s="38" t="s">
        <v>419</v>
      </c>
      <c r="E20" s="38" t="s">
        <v>1229</v>
      </c>
      <c r="F20" s="38" t="s">
        <v>361</v>
      </c>
      <c r="G20" s="38" t="s">
        <v>1234</v>
      </c>
      <c r="H20" s="38" t="s">
        <v>2247</v>
      </c>
      <c r="I20" s="40">
        <v>32000.0</v>
      </c>
      <c r="J20" s="38" t="s">
        <v>243</v>
      </c>
      <c r="K20" s="38" t="s">
        <v>268</v>
      </c>
      <c r="L20" s="38" t="s">
        <v>2264</v>
      </c>
      <c r="M20" s="38" t="s">
        <v>245</v>
      </c>
      <c r="N20" s="38" t="s">
        <v>245</v>
      </c>
      <c r="O20" s="42" t="s">
        <v>2244</v>
      </c>
      <c r="P20" s="38" t="s">
        <v>255</v>
      </c>
      <c r="Q20" s="38" t="s">
        <v>2245</v>
      </c>
      <c r="R20" s="38" t="s">
        <v>335</v>
      </c>
      <c r="S20" s="38">
        <v>1.0</v>
      </c>
      <c r="T20" s="38" t="s">
        <v>1232</v>
      </c>
    </row>
    <row r="21" ht="14.25" customHeight="1">
      <c r="A21" s="39" t="s">
        <v>1241</v>
      </c>
      <c r="B21" s="39" t="s">
        <v>1239</v>
      </c>
      <c r="C21" s="39" t="s">
        <v>1239</v>
      </c>
      <c r="D21" s="39" t="s">
        <v>420</v>
      </c>
      <c r="E21" s="39" t="s">
        <v>1070</v>
      </c>
      <c r="F21" s="39" t="s">
        <v>361</v>
      </c>
      <c r="G21" s="39" t="s">
        <v>1234</v>
      </c>
      <c r="H21" s="39" t="s">
        <v>2247</v>
      </c>
      <c r="I21" s="43">
        <v>5000.0</v>
      </c>
      <c r="J21" s="39" t="s">
        <v>243</v>
      </c>
      <c r="K21" s="39" t="s">
        <v>268</v>
      </c>
      <c r="L21" s="39" t="s">
        <v>2265</v>
      </c>
      <c r="M21" s="39" t="s">
        <v>245</v>
      </c>
      <c r="N21" s="39" t="s">
        <v>245</v>
      </c>
      <c r="O21" s="45" t="s">
        <v>2244</v>
      </c>
      <c r="P21" s="39" t="s">
        <v>255</v>
      </c>
      <c r="Q21" s="39" t="s">
        <v>2245</v>
      </c>
      <c r="R21" s="39" t="s">
        <v>335</v>
      </c>
      <c r="S21" s="39">
        <v>1.0</v>
      </c>
      <c r="T21" s="39" t="s">
        <v>1238</v>
      </c>
    </row>
    <row r="22" ht="14.25" customHeight="1">
      <c r="A22" s="38" t="s">
        <v>1245</v>
      </c>
      <c r="B22" s="38" t="s">
        <v>1243</v>
      </c>
      <c r="C22" s="38" t="s">
        <v>1243</v>
      </c>
      <c r="D22" s="38" t="s">
        <v>239</v>
      </c>
      <c r="E22" s="38" t="s">
        <v>1244</v>
      </c>
      <c r="F22" s="38" t="s">
        <v>240</v>
      </c>
      <c r="G22" s="38" t="s">
        <v>362</v>
      </c>
      <c r="H22" s="38" t="s">
        <v>364</v>
      </c>
      <c r="I22" s="40">
        <v>1100.0</v>
      </c>
      <c r="J22" s="38" t="s">
        <v>284</v>
      </c>
      <c r="K22" s="38" t="s">
        <v>242</v>
      </c>
      <c r="L22" s="38" t="s">
        <v>2266</v>
      </c>
      <c r="M22" s="38" t="s">
        <v>245</v>
      </c>
      <c r="N22" s="38" t="s">
        <v>245</v>
      </c>
      <c r="O22" s="42" t="s">
        <v>2244</v>
      </c>
      <c r="P22" s="38" t="s">
        <v>245</v>
      </c>
      <c r="Q22" s="38" t="s">
        <v>2245</v>
      </c>
      <c r="R22" s="38" t="s">
        <v>335</v>
      </c>
      <c r="S22" s="38">
        <v>1.0</v>
      </c>
      <c r="T22" s="38" t="s">
        <v>1242</v>
      </c>
    </row>
    <row r="23" ht="14.25" customHeight="1">
      <c r="A23" s="39" t="s">
        <v>1248</v>
      </c>
      <c r="B23" s="39" t="s">
        <v>1247</v>
      </c>
      <c r="C23" s="39" t="s">
        <v>1247</v>
      </c>
      <c r="D23" s="39" t="s">
        <v>239</v>
      </c>
      <c r="E23" s="39" t="s">
        <v>1244</v>
      </c>
      <c r="F23" s="39" t="s">
        <v>240</v>
      </c>
      <c r="G23" s="39" t="s">
        <v>362</v>
      </c>
      <c r="H23" s="39" t="s">
        <v>364</v>
      </c>
      <c r="I23" s="43">
        <v>800.0</v>
      </c>
      <c r="J23" s="39" t="s">
        <v>243</v>
      </c>
      <c r="K23" s="39" t="s">
        <v>242</v>
      </c>
      <c r="L23" s="39" t="s">
        <v>2267</v>
      </c>
      <c r="M23" s="39" t="s">
        <v>245</v>
      </c>
      <c r="N23" s="39" t="s">
        <v>245</v>
      </c>
      <c r="O23" s="45" t="s">
        <v>2244</v>
      </c>
      <c r="P23" s="39" t="s">
        <v>245</v>
      </c>
      <c r="Q23" s="39" t="s">
        <v>2245</v>
      </c>
      <c r="R23" s="39" t="s">
        <v>335</v>
      </c>
      <c r="S23" s="39">
        <v>1.0</v>
      </c>
      <c r="T23" s="39" t="s">
        <v>1246</v>
      </c>
    </row>
    <row r="24" ht="14.25" customHeight="1">
      <c r="A24" s="38" t="s">
        <v>1253</v>
      </c>
      <c r="B24" s="38" t="s">
        <v>1250</v>
      </c>
      <c r="C24" s="38" t="s">
        <v>1250</v>
      </c>
      <c r="D24" s="38" t="s">
        <v>413</v>
      </c>
      <c r="E24" s="38" t="s">
        <v>1252</v>
      </c>
      <c r="F24" s="38" t="s">
        <v>240</v>
      </c>
      <c r="G24" s="38" t="s">
        <v>1103</v>
      </c>
      <c r="H24" s="38" t="s">
        <v>2247</v>
      </c>
      <c r="I24" s="40">
        <v>1200.0</v>
      </c>
      <c r="J24" s="38" t="s">
        <v>243</v>
      </c>
      <c r="K24" s="38" t="s">
        <v>242</v>
      </c>
      <c r="L24" s="38" t="s">
        <v>2268</v>
      </c>
      <c r="M24" s="38" t="s">
        <v>245</v>
      </c>
      <c r="N24" s="38" t="s">
        <v>245</v>
      </c>
      <c r="O24" s="42" t="s">
        <v>2244</v>
      </c>
      <c r="P24" s="38" t="s">
        <v>245</v>
      </c>
      <c r="Q24" s="38" t="s">
        <v>2245</v>
      </c>
      <c r="R24" s="38" t="s">
        <v>335</v>
      </c>
      <c r="S24" s="38">
        <v>1.0</v>
      </c>
      <c r="T24" s="38" t="s">
        <v>1249</v>
      </c>
    </row>
    <row r="25" ht="14.25" customHeight="1">
      <c r="A25" s="39" t="s">
        <v>1258</v>
      </c>
      <c r="B25" s="39" t="s">
        <v>1256</v>
      </c>
      <c r="C25" s="39" t="s">
        <v>1256</v>
      </c>
      <c r="D25" s="39" t="s">
        <v>413</v>
      </c>
      <c r="E25" s="39" t="s">
        <v>1252</v>
      </c>
      <c r="F25" s="39" t="s">
        <v>240</v>
      </c>
      <c r="G25" s="39" t="s">
        <v>362</v>
      </c>
      <c r="H25" s="39" t="s">
        <v>364</v>
      </c>
      <c r="I25" s="43">
        <v>3500.0</v>
      </c>
      <c r="J25" s="39" t="s">
        <v>243</v>
      </c>
      <c r="K25" s="39" t="s">
        <v>242</v>
      </c>
      <c r="L25" s="39" t="s">
        <v>2269</v>
      </c>
      <c r="M25" s="39" t="s">
        <v>245</v>
      </c>
      <c r="N25" s="39" t="s">
        <v>245</v>
      </c>
      <c r="O25" s="45" t="s">
        <v>2244</v>
      </c>
      <c r="P25" s="39" t="s">
        <v>245</v>
      </c>
      <c r="Q25" s="39" t="s">
        <v>2245</v>
      </c>
      <c r="R25" s="39" t="s">
        <v>335</v>
      </c>
      <c r="S25" s="39">
        <v>1.0</v>
      </c>
      <c r="T25" s="39" t="s">
        <v>1255</v>
      </c>
    </row>
    <row r="26" ht="14.25" customHeight="1">
      <c r="A26" s="38" t="s">
        <v>1263</v>
      </c>
      <c r="B26" s="38" t="s">
        <v>1260</v>
      </c>
      <c r="C26" s="38" t="s">
        <v>1260</v>
      </c>
      <c r="D26" s="38" t="s">
        <v>415</v>
      </c>
      <c r="E26" s="38" t="s">
        <v>1262</v>
      </c>
      <c r="F26" s="38" t="s">
        <v>240</v>
      </c>
      <c r="G26" s="38" t="s">
        <v>306</v>
      </c>
      <c r="H26" s="38" t="s">
        <v>324</v>
      </c>
      <c r="I26" s="40">
        <v>1800.0</v>
      </c>
      <c r="J26" s="38" t="s">
        <v>243</v>
      </c>
      <c r="K26" s="38" t="s">
        <v>242</v>
      </c>
      <c r="L26" s="38" t="s">
        <v>2270</v>
      </c>
      <c r="M26" s="38" t="s">
        <v>245</v>
      </c>
      <c r="N26" s="38" t="s">
        <v>245</v>
      </c>
      <c r="O26" s="42" t="s">
        <v>2244</v>
      </c>
      <c r="P26" s="38" t="s">
        <v>245</v>
      </c>
      <c r="Q26" s="38" t="s">
        <v>2245</v>
      </c>
      <c r="R26" s="38" t="s">
        <v>293</v>
      </c>
      <c r="S26" s="38">
        <v>1.0</v>
      </c>
      <c r="T26" s="38" t="s">
        <v>1259</v>
      </c>
    </row>
    <row r="27" ht="14.25" customHeight="1">
      <c r="A27" s="39" t="s">
        <v>1269</v>
      </c>
      <c r="B27" s="39" t="s">
        <v>1266</v>
      </c>
      <c r="C27" s="39" t="s">
        <v>1266</v>
      </c>
      <c r="D27" s="39" t="s">
        <v>413</v>
      </c>
      <c r="E27" s="39" t="s">
        <v>1268</v>
      </c>
      <c r="F27" s="39" t="s">
        <v>240</v>
      </c>
      <c r="G27" s="39" t="s">
        <v>306</v>
      </c>
      <c r="H27" s="39" t="s">
        <v>324</v>
      </c>
      <c r="I27" s="43">
        <v>950.0</v>
      </c>
      <c r="J27" s="39" t="s">
        <v>243</v>
      </c>
      <c r="K27" s="39" t="s">
        <v>242</v>
      </c>
      <c r="L27" s="39" t="s">
        <v>2271</v>
      </c>
      <c r="M27" s="39" t="s">
        <v>245</v>
      </c>
      <c r="N27" s="39" t="s">
        <v>245</v>
      </c>
      <c r="O27" s="45" t="s">
        <v>2244</v>
      </c>
      <c r="P27" s="39" t="s">
        <v>245</v>
      </c>
      <c r="Q27" s="39" t="s">
        <v>2245</v>
      </c>
      <c r="R27" s="39" t="s">
        <v>293</v>
      </c>
      <c r="S27" s="39">
        <v>1.0</v>
      </c>
      <c r="T27" s="39" t="s">
        <v>1265</v>
      </c>
    </row>
    <row r="28" ht="14.25" customHeight="1">
      <c r="A28" s="38" t="s">
        <v>1275</v>
      </c>
      <c r="B28" s="38" t="s">
        <v>1272</v>
      </c>
      <c r="C28" s="38" t="s">
        <v>1272</v>
      </c>
      <c r="D28" s="38" t="s">
        <v>399</v>
      </c>
      <c r="E28" s="38" t="s">
        <v>1274</v>
      </c>
      <c r="F28" s="38" t="s">
        <v>240</v>
      </c>
      <c r="G28" s="38" t="s">
        <v>241</v>
      </c>
      <c r="H28" s="38" t="s">
        <v>244</v>
      </c>
      <c r="I28" s="40">
        <v>40.0</v>
      </c>
      <c r="J28" s="38" t="s">
        <v>243</v>
      </c>
      <c r="K28" s="38" t="s">
        <v>242</v>
      </c>
      <c r="L28" s="38" t="s">
        <v>2272</v>
      </c>
      <c r="M28" s="38" t="s">
        <v>245</v>
      </c>
      <c r="N28" s="38" t="s">
        <v>245</v>
      </c>
      <c r="O28" s="42" t="s">
        <v>2244</v>
      </c>
      <c r="P28" s="38" t="s">
        <v>245</v>
      </c>
      <c r="Q28" s="38" t="s">
        <v>2245</v>
      </c>
      <c r="R28" s="38" t="s">
        <v>335</v>
      </c>
      <c r="S28" s="38">
        <v>1.0</v>
      </c>
      <c r="T28" s="38" t="s">
        <v>1271</v>
      </c>
    </row>
    <row r="29" ht="14.25" customHeight="1">
      <c r="A29" s="39" t="s">
        <v>1349</v>
      </c>
      <c r="B29" s="39" t="s">
        <v>1347</v>
      </c>
      <c r="C29" s="39" t="s">
        <v>1347</v>
      </c>
      <c r="D29" s="39" t="s">
        <v>239</v>
      </c>
      <c r="E29" s="39" t="s">
        <v>1113</v>
      </c>
      <c r="F29" s="39" t="s">
        <v>240</v>
      </c>
      <c r="G29" s="39" t="s">
        <v>241</v>
      </c>
      <c r="H29" s="39" t="s">
        <v>244</v>
      </c>
      <c r="I29" s="43">
        <v>60.0</v>
      </c>
      <c r="J29" s="39" t="s">
        <v>243</v>
      </c>
      <c r="K29" s="39" t="s">
        <v>242</v>
      </c>
      <c r="L29" s="39" t="s">
        <v>2273</v>
      </c>
      <c r="M29" s="39" t="s">
        <v>245</v>
      </c>
      <c r="N29" s="39" t="s">
        <v>245</v>
      </c>
      <c r="O29" s="45" t="s">
        <v>2244</v>
      </c>
      <c r="P29" s="39" t="s">
        <v>245</v>
      </c>
      <c r="Q29" s="39" t="s">
        <v>2245</v>
      </c>
      <c r="R29" s="39" t="s">
        <v>335</v>
      </c>
      <c r="S29" s="39">
        <v>1.0</v>
      </c>
      <c r="T29" s="39" t="s">
        <v>1346</v>
      </c>
    </row>
    <row r="30" ht="14.25" customHeight="1">
      <c r="A30" s="38" t="s">
        <v>1358</v>
      </c>
      <c r="B30" s="38" t="s">
        <v>1356</v>
      </c>
      <c r="C30" s="38" t="s">
        <v>1356</v>
      </c>
      <c r="D30" s="38" t="s">
        <v>413</v>
      </c>
      <c r="E30" s="38" t="s">
        <v>1252</v>
      </c>
      <c r="F30" s="38" t="s">
        <v>240</v>
      </c>
      <c r="G30" s="38" t="s">
        <v>362</v>
      </c>
      <c r="H30" s="38" t="s">
        <v>364</v>
      </c>
      <c r="I30" s="40">
        <v>3900.0</v>
      </c>
      <c r="J30" s="38" t="s">
        <v>243</v>
      </c>
      <c r="K30" s="38" t="s">
        <v>242</v>
      </c>
      <c r="L30" s="38" t="s">
        <v>2274</v>
      </c>
      <c r="M30" s="38" t="s">
        <v>245</v>
      </c>
      <c r="N30" s="38" t="s">
        <v>245</v>
      </c>
      <c r="O30" s="42" t="s">
        <v>2244</v>
      </c>
      <c r="P30" s="38" t="s">
        <v>245</v>
      </c>
      <c r="Q30" s="38" t="s">
        <v>2245</v>
      </c>
      <c r="R30" s="38" t="s">
        <v>335</v>
      </c>
      <c r="S30" s="38">
        <v>1.0</v>
      </c>
      <c r="T30" s="38" t="s">
        <v>1355</v>
      </c>
    </row>
    <row r="31" ht="14.25" customHeight="1">
      <c r="A31" s="39" t="s">
        <v>1361</v>
      </c>
      <c r="B31" s="39" t="s">
        <v>1360</v>
      </c>
      <c r="C31" s="39" t="s">
        <v>1360</v>
      </c>
      <c r="D31" s="39" t="s">
        <v>413</v>
      </c>
      <c r="E31" s="39" t="s">
        <v>1252</v>
      </c>
      <c r="F31" s="39" t="s">
        <v>240</v>
      </c>
      <c r="G31" s="39" t="s">
        <v>1103</v>
      </c>
      <c r="H31" s="39" t="s">
        <v>2247</v>
      </c>
      <c r="I31" s="43">
        <v>950.0</v>
      </c>
      <c r="J31" s="39" t="s">
        <v>243</v>
      </c>
      <c r="K31" s="39" t="s">
        <v>242</v>
      </c>
      <c r="L31" s="39" t="s">
        <v>2275</v>
      </c>
      <c r="M31" s="39" t="s">
        <v>245</v>
      </c>
      <c r="N31" s="39" t="s">
        <v>245</v>
      </c>
      <c r="O31" s="45" t="s">
        <v>2244</v>
      </c>
      <c r="P31" s="39" t="s">
        <v>245</v>
      </c>
      <c r="Q31" s="39" t="s">
        <v>2245</v>
      </c>
      <c r="R31" s="39" t="s">
        <v>335</v>
      </c>
      <c r="S31" s="39">
        <v>1.0</v>
      </c>
      <c r="T31" s="39" t="s">
        <v>1359</v>
      </c>
    </row>
    <row r="32" ht="14.25" customHeight="1">
      <c r="A32" s="38" t="s">
        <v>1364</v>
      </c>
      <c r="B32" s="38" t="s">
        <v>1363</v>
      </c>
      <c r="C32" s="38" t="s">
        <v>1363</v>
      </c>
      <c r="D32" s="38" t="s">
        <v>413</v>
      </c>
      <c r="E32" s="38" t="s">
        <v>1252</v>
      </c>
      <c r="F32" s="38" t="s">
        <v>240</v>
      </c>
      <c r="G32" s="38" t="s">
        <v>241</v>
      </c>
      <c r="H32" s="38" t="s">
        <v>244</v>
      </c>
      <c r="I32" s="40">
        <v>650.0</v>
      </c>
      <c r="J32" s="38" t="s">
        <v>243</v>
      </c>
      <c r="K32" s="38" t="s">
        <v>242</v>
      </c>
      <c r="L32" s="38" t="s">
        <v>2276</v>
      </c>
      <c r="M32" s="38" t="s">
        <v>245</v>
      </c>
      <c r="N32" s="38" t="s">
        <v>245</v>
      </c>
      <c r="O32" s="42" t="s">
        <v>2244</v>
      </c>
      <c r="P32" s="38" t="s">
        <v>245</v>
      </c>
      <c r="Q32" s="38" t="s">
        <v>2245</v>
      </c>
      <c r="R32" s="38" t="s">
        <v>335</v>
      </c>
      <c r="S32" s="38">
        <v>1.0</v>
      </c>
      <c r="T32" s="38" t="s">
        <v>1362</v>
      </c>
    </row>
    <row r="33" ht="14.25" customHeight="1">
      <c r="A33" s="39" t="s">
        <v>1370</v>
      </c>
      <c r="B33" s="39" t="s">
        <v>1366</v>
      </c>
      <c r="C33" s="39" t="s">
        <v>1366</v>
      </c>
      <c r="D33" s="39" t="s">
        <v>360</v>
      </c>
      <c r="E33" s="39" t="s">
        <v>1252</v>
      </c>
      <c r="F33" s="39" t="s">
        <v>240</v>
      </c>
      <c r="G33" s="39" t="s">
        <v>306</v>
      </c>
      <c r="H33" s="39" t="s">
        <v>324</v>
      </c>
      <c r="I33" s="43">
        <v>1500.0</v>
      </c>
      <c r="J33" s="39" t="s">
        <v>243</v>
      </c>
      <c r="K33" s="39" t="s">
        <v>242</v>
      </c>
      <c r="L33" s="39" t="s">
        <v>2277</v>
      </c>
      <c r="M33" s="39" t="s">
        <v>245</v>
      </c>
      <c r="N33" s="39" t="s">
        <v>245</v>
      </c>
      <c r="O33" s="45" t="s">
        <v>2244</v>
      </c>
      <c r="P33" s="39" t="s">
        <v>245</v>
      </c>
      <c r="Q33" s="39" t="s">
        <v>2245</v>
      </c>
      <c r="R33" s="39" t="s">
        <v>335</v>
      </c>
      <c r="S33" s="39">
        <v>1.0</v>
      </c>
      <c r="T33" s="39" t="s">
        <v>1365</v>
      </c>
    </row>
    <row r="34" ht="14.25" customHeight="1">
      <c r="A34" s="38" t="s">
        <v>1432</v>
      </c>
      <c r="B34" s="38" t="s">
        <v>1430</v>
      </c>
      <c r="C34" s="38" t="s">
        <v>1430</v>
      </c>
      <c r="D34" s="38" t="s">
        <v>420</v>
      </c>
      <c r="E34" s="38" t="s">
        <v>1070</v>
      </c>
      <c r="F34" s="38" t="s">
        <v>361</v>
      </c>
      <c r="G34" s="38" t="s">
        <v>1234</v>
      </c>
      <c r="H34" s="38" t="s">
        <v>2247</v>
      </c>
      <c r="I34" s="40">
        <v>3600.0</v>
      </c>
      <c r="J34" s="38" t="s">
        <v>243</v>
      </c>
      <c r="K34" s="38" t="s">
        <v>268</v>
      </c>
      <c r="L34" s="38" t="s">
        <v>2278</v>
      </c>
      <c r="M34" s="38" t="s">
        <v>245</v>
      </c>
      <c r="N34" s="38" t="s">
        <v>245</v>
      </c>
      <c r="O34" s="42" t="s">
        <v>2244</v>
      </c>
      <c r="P34" s="38" t="s">
        <v>255</v>
      </c>
      <c r="Q34" s="38" t="s">
        <v>2245</v>
      </c>
      <c r="R34" s="38" t="s">
        <v>335</v>
      </c>
      <c r="S34" s="38">
        <v>1.0</v>
      </c>
      <c r="T34" s="38" t="s">
        <v>1429</v>
      </c>
    </row>
    <row r="35" ht="14.25" customHeight="1">
      <c r="A35" s="39" t="s">
        <v>1437</v>
      </c>
      <c r="B35" s="39" t="s">
        <v>1434</v>
      </c>
      <c r="C35" s="39" t="s">
        <v>1434</v>
      </c>
      <c r="D35" s="39" t="s">
        <v>421</v>
      </c>
      <c r="E35" s="39" t="s">
        <v>1436</v>
      </c>
      <c r="F35" s="39" t="s">
        <v>361</v>
      </c>
      <c r="G35" s="39" t="s">
        <v>402</v>
      </c>
      <c r="H35" s="39" t="s">
        <v>402</v>
      </c>
      <c r="I35" s="43">
        <v>0.056</v>
      </c>
      <c r="J35" s="39" t="s">
        <v>243</v>
      </c>
      <c r="K35" s="39" t="s">
        <v>268</v>
      </c>
      <c r="L35" s="39" t="s">
        <v>2279</v>
      </c>
      <c r="M35" s="39" t="s">
        <v>245</v>
      </c>
      <c r="N35" s="39" t="s">
        <v>245</v>
      </c>
      <c r="O35" s="45" t="s">
        <v>2244</v>
      </c>
      <c r="P35" s="39" t="s">
        <v>255</v>
      </c>
      <c r="Q35" s="39" t="s">
        <v>2245</v>
      </c>
      <c r="R35" s="39" t="s">
        <v>335</v>
      </c>
      <c r="S35" s="39">
        <v>1.0</v>
      </c>
      <c r="T35" s="39" t="s">
        <v>1433</v>
      </c>
    </row>
    <row r="36" ht="14.25" customHeight="1">
      <c r="A36" s="38" t="s">
        <v>1447</v>
      </c>
      <c r="B36" s="38" t="s">
        <v>1445</v>
      </c>
      <c r="C36" s="38" t="s">
        <v>1445</v>
      </c>
      <c r="D36" s="38" t="s">
        <v>420</v>
      </c>
      <c r="E36" s="38" t="s">
        <v>1070</v>
      </c>
      <c r="F36" s="38" t="s">
        <v>361</v>
      </c>
      <c r="G36" s="38" t="s">
        <v>1234</v>
      </c>
      <c r="H36" s="38" t="s">
        <v>2247</v>
      </c>
      <c r="I36" s="40">
        <v>17900.0</v>
      </c>
      <c r="J36" s="38" t="s">
        <v>243</v>
      </c>
      <c r="K36" s="38" t="s">
        <v>268</v>
      </c>
      <c r="L36" s="38" t="s">
        <v>2280</v>
      </c>
      <c r="M36" s="38" t="s">
        <v>245</v>
      </c>
      <c r="N36" s="38" t="s">
        <v>245</v>
      </c>
      <c r="O36" s="42" t="s">
        <v>2244</v>
      </c>
      <c r="P36" s="38" t="s">
        <v>255</v>
      </c>
      <c r="Q36" s="38" t="s">
        <v>2245</v>
      </c>
      <c r="R36" s="38" t="s">
        <v>335</v>
      </c>
      <c r="S36" s="38">
        <v>1.0</v>
      </c>
      <c r="T36" s="38" t="s">
        <v>1444</v>
      </c>
    </row>
    <row r="37" ht="14.25" customHeight="1">
      <c r="A37" s="39" t="s">
        <v>1451</v>
      </c>
      <c r="B37" s="39" t="s">
        <v>1449</v>
      </c>
      <c r="C37" s="39" t="s">
        <v>1449</v>
      </c>
      <c r="D37" s="39" t="s">
        <v>239</v>
      </c>
      <c r="E37" s="39" t="s">
        <v>1113</v>
      </c>
      <c r="F37" s="39" t="s">
        <v>240</v>
      </c>
      <c r="G37" s="39" t="s">
        <v>362</v>
      </c>
      <c r="H37" s="39" t="s">
        <v>364</v>
      </c>
      <c r="I37" s="43">
        <v>9500.0</v>
      </c>
      <c r="J37" s="39" t="s">
        <v>243</v>
      </c>
      <c r="K37" s="39" t="s">
        <v>242</v>
      </c>
      <c r="L37" s="39" t="s">
        <v>2281</v>
      </c>
      <c r="M37" s="39" t="s">
        <v>245</v>
      </c>
      <c r="N37" s="39" t="s">
        <v>245</v>
      </c>
      <c r="O37" s="45" t="s">
        <v>2244</v>
      </c>
      <c r="P37" s="39" t="s">
        <v>245</v>
      </c>
      <c r="Q37" s="39" t="s">
        <v>2245</v>
      </c>
      <c r="R37" s="39" t="s">
        <v>335</v>
      </c>
      <c r="S37" s="39">
        <v>1.0</v>
      </c>
      <c r="T37" s="39" t="s">
        <v>1448</v>
      </c>
    </row>
    <row r="38" ht="14.25" customHeight="1">
      <c r="A38" s="38" t="s">
        <v>1454</v>
      </c>
      <c r="B38" s="38" t="s">
        <v>1449</v>
      </c>
      <c r="C38" s="38" t="s">
        <v>1449</v>
      </c>
      <c r="D38" s="38" t="s">
        <v>405</v>
      </c>
      <c r="E38" s="38" t="s">
        <v>1120</v>
      </c>
      <c r="F38" s="38" t="s">
        <v>240</v>
      </c>
      <c r="G38" s="38" t="s">
        <v>362</v>
      </c>
      <c r="H38" s="38" t="s">
        <v>364</v>
      </c>
      <c r="I38" s="40">
        <v>9900.0</v>
      </c>
      <c r="J38" s="38" t="s">
        <v>243</v>
      </c>
      <c r="K38" s="38" t="s">
        <v>242</v>
      </c>
      <c r="L38" s="38" t="s">
        <v>2281</v>
      </c>
      <c r="M38" s="38" t="s">
        <v>245</v>
      </c>
      <c r="N38" s="38" t="s">
        <v>245</v>
      </c>
      <c r="O38" s="42" t="s">
        <v>2244</v>
      </c>
      <c r="P38" s="38" t="s">
        <v>245</v>
      </c>
      <c r="Q38" s="38" t="s">
        <v>2245</v>
      </c>
      <c r="R38" s="38" t="s">
        <v>335</v>
      </c>
      <c r="S38" s="38">
        <v>1.0</v>
      </c>
      <c r="T38" s="38" t="s">
        <v>1452</v>
      </c>
    </row>
    <row r="39" ht="14.25" customHeight="1">
      <c r="A39" s="39" t="s">
        <v>1462</v>
      </c>
      <c r="B39" s="39" t="s">
        <v>1461</v>
      </c>
      <c r="C39" s="39" t="s">
        <v>1461</v>
      </c>
      <c r="D39" s="39" t="s">
        <v>239</v>
      </c>
      <c r="E39" s="39" t="s">
        <v>1056</v>
      </c>
      <c r="F39" s="39" t="s">
        <v>240</v>
      </c>
      <c r="G39" s="39" t="s">
        <v>1103</v>
      </c>
      <c r="H39" s="39" t="s">
        <v>2247</v>
      </c>
      <c r="I39" s="43">
        <v>850.0</v>
      </c>
      <c r="J39" s="39" t="s">
        <v>243</v>
      </c>
      <c r="K39" s="39" t="s">
        <v>242</v>
      </c>
      <c r="L39" s="39" t="s">
        <v>2282</v>
      </c>
      <c r="M39" s="39" t="s">
        <v>245</v>
      </c>
      <c r="N39" s="39" t="s">
        <v>245</v>
      </c>
      <c r="O39" s="45" t="s">
        <v>2244</v>
      </c>
      <c r="P39" s="39" t="s">
        <v>245</v>
      </c>
      <c r="Q39" s="39" t="s">
        <v>2245</v>
      </c>
      <c r="R39" s="39" t="s">
        <v>335</v>
      </c>
      <c r="S39" s="39">
        <v>1.0</v>
      </c>
      <c r="T39" s="39" t="s">
        <v>1460</v>
      </c>
    </row>
    <row r="40" ht="14.25" customHeight="1">
      <c r="A40" s="38" t="s">
        <v>1465</v>
      </c>
      <c r="B40" s="38" t="s">
        <v>1464</v>
      </c>
      <c r="C40" s="38" t="s">
        <v>1464</v>
      </c>
      <c r="D40" s="38" t="s">
        <v>239</v>
      </c>
      <c r="E40" s="38" t="s">
        <v>1056</v>
      </c>
      <c r="F40" s="38" t="s">
        <v>240</v>
      </c>
      <c r="G40" s="38" t="s">
        <v>1103</v>
      </c>
      <c r="H40" s="38" t="s">
        <v>2247</v>
      </c>
      <c r="I40" s="40">
        <v>850.0</v>
      </c>
      <c r="J40" s="38" t="s">
        <v>243</v>
      </c>
      <c r="K40" s="38" t="s">
        <v>242</v>
      </c>
      <c r="L40" s="38" t="s">
        <v>2283</v>
      </c>
      <c r="M40" s="38" t="s">
        <v>245</v>
      </c>
      <c r="N40" s="38" t="s">
        <v>245</v>
      </c>
      <c r="O40" s="42" t="s">
        <v>2244</v>
      </c>
      <c r="P40" s="38" t="s">
        <v>245</v>
      </c>
      <c r="Q40" s="38" t="s">
        <v>2245</v>
      </c>
      <c r="R40" s="38" t="s">
        <v>335</v>
      </c>
      <c r="S40" s="38">
        <v>1.0</v>
      </c>
      <c r="T40" s="38" t="s">
        <v>1463</v>
      </c>
    </row>
    <row r="41" ht="14.25" customHeight="1">
      <c r="A41" s="39" t="s">
        <v>1518</v>
      </c>
      <c r="B41" s="39" t="s">
        <v>1515</v>
      </c>
      <c r="C41" s="39" t="s">
        <v>1515</v>
      </c>
      <c r="D41" s="39" t="s">
        <v>417</v>
      </c>
      <c r="E41" s="39" t="s">
        <v>1517</v>
      </c>
      <c r="F41" s="39" t="s">
        <v>240</v>
      </c>
      <c r="G41" s="39" t="s">
        <v>388</v>
      </c>
      <c r="H41" s="39" t="s">
        <v>2284</v>
      </c>
      <c r="I41" s="43">
        <v>36000.0</v>
      </c>
      <c r="J41" s="39" t="s">
        <v>243</v>
      </c>
      <c r="K41" s="39" t="s">
        <v>242</v>
      </c>
      <c r="L41" s="39" t="s">
        <v>2285</v>
      </c>
      <c r="M41" s="39" t="s">
        <v>245</v>
      </c>
      <c r="N41" s="39" t="s">
        <v>245</v>
      </c>
      <c r="O41" s="45" t="s">
        <v>2244</v>
      </c>
      <c r="P41" s="39" t="s">
        <v>245</v>
      </c>
      <c r="Q41" s="39" t="s">
        <v>2245</v>
      </c>
      <c r="R41" s="39" t="s">
        <v>335</v>
      </c>
      <c r="S41" s="39">
        <v>1.0</v>
      </c>
      <c r="T41" s="39" t="s">
        <v>1514</v>
      </c>
    </row>
    <row r="42" ht="14.25" customHeight="1">
      <c r="A42" s="38" t="s">
        <v>1523</v>
      </c>
      <c r="B42" s="38" t="s">
        <v>1520</v>
      </c>
      <c r="C42" s="38" t="s">
        <v>1520</v>
      </c>
      <c r="D42" s="38" t="s">
        <v>409</v>
      </c>
      <c r="E42" s="38" t="s">
        <v>1522</v>
      </c>
      <c r="F42" s="38" t="s">
        <v>240</v>
      </c>
      <c r="G42" s="38" t="s">
        <v>1103</v>
      </c>
      <c r="H42" s="38" t="s">
        <v>2247</v>
      </c>
      <c r="I42" s="40">
        <v>50.0</v>
      </c>
      <c r="J42" s="38" t="s">
        <v>243</v>
      </c>
      <c r="K42" s="38" t="s">
        <v>242</v>
      </c>
      <c r="L42" s="38" t="s">
        <v>2286</v>
      </c>
      <c r="M42" s="38" t="s">
        <v>245</v>
      </c>
      <c r="N42" s="38" t="s">
        <v>245</v>
      </c>
      <c r="O42" s="42" t="s">
        <v>2244</v>
      </c>
      <c r="P42" s="38" t="s">
        <v>245</v>
      </c>
      <c r="Q42" s="38" t="s">
        <v>2245</v>
      </c>
      <c r="R42" s="38" t="s">
        <v>335</v>
      </c>
      <c r="S42" s="38">
        <v>1.0</v>
      </c>
      <c r="T42" s="38" t="s">
        <v>1519</v>
      </c>
    </row>
    <row r="43" ht="14.25" customHeight="1">
      <c r="A43" s="39" t="s">
        <v>1533</v>
      </c>
      <c r="B43" s="39" t="s">
        <v>1530</v>
      </c>
      <c r="C43" s="39" t="s">
        <v>1530</v>
      </c>
      <c r="D43" s="39" t="s">
        <v>413</v>
      </c>
      <c r="E43" s="39" t="s">
        <v>1532</v>
      </c>
      <c r="F43" s="39" t="s">
        <v>240</v>
      </c>
      <c r="G43" s="39" t="s">
        <v>241</v>
      </c>
      <c r="H43" s="39" t="s">
        <v>244</v>
      </c>
      <c r="I43" s="43">
        <v>300.0</v>
      </c>
      <c r="J43" s="39" t="s">
        <v>284</v>
      </c>
      <c r="K43" s="39" t="s">
        <v>242</v>
      </c>
      <c r="L43" s="39" t="s">
        <v>2287</v>
      </c>
      <c r="M43" s="39" t="s">
        <v>245</v>
      </c>
      <c r="N43" s="39" t="s">
        <v>245</v>
      </c>
      <c r="O43" s="45" t="s">
        <v>2244</v>
      </c>
      <c r="P43" s="39" t="s">
        <v>245</v>
      </c>
      <c r="Q43" s="39" t="s">
        <v>2245</v>
      </c>
      <c r="R43" s="39" t="s">
        <v>335</v>
      </c>
      <c r="S43" s="39">
        <v>1.0</v>
      </c>
      <c r="T43" s="39" t="s">
        <v>1529</v>
      </c>
    </row>
    <row r="44" ht="14.25" customHeight="1">
      <c r="A44" s="38" t="s">
        <v>1589</v>
      </c>
      <c r="B44" s="38" t="s">
        <v>1587</v>
      </c>
      <c r="C44" s="38" t="s">
        <v>1587</v>
      </c>
      <c r="D44" s="38" t="s">
        <v>399</v>
      </c>
      <c r="E44" s="38" t="s">
        <v>1012</v>
      </c>
      <c r="F44" s="38" t="s">
        <v>240</v>
      </c>
      <c r="G44" s="38" t="s">
        <v>362</v>
      </c>
      <c r="H44" s="38" t="s">
        <v>364</v>
      </c>
      <c r="I44" s="40">
        <v>500.0</v>
      </c>
      <c r="J44" s="38" t="s">
        <v>243</v>
      </c>
      <c r="K44" s="38" t="s">
        <v>242</v>
      </c>
      <c r="L44" s="38" t="s">
        <v>2288</v>
      </c>
      <c r="M44" s="38" t="s">
        <v>245</v>
      </c>
      <c r="N44" s="38" t="s">
        <v>245</v>
      </c>
      <c r="O44" s="42" t="s">
        <v>2244</v>
      </c>
      <c r="P44" s="38" t="s">
        <v>245</v>
      </c>
      <c r="Q44" s="38" t="s">
        <v>2245</v>
      </c>
      <c r="R44" s="38" t="s">
        <v>335</v>
      </c>
      <c r="S44" s="38">
        <v>1.0</v>
      </c>
      <c r="T44" s="38" t="s">
        <v>1586</v>
      </c>
    </row>
    <row r="45" ht="14.25" customHeight="1">
      <c r="A45" s="39" t="s">
        <v>1592</v>
      </c>
      <c r="B45" s="39" t="s">
        <v>1591</v>
      </c>
      <c r="C45" s="39" t="s">
        <v>1591</v>
      </c>
      <c r="D45" s="39" t="s">
        <v>399</v>
      </c>
      <c r="E45" s="39" t="s">
        <v>1012</v>
      </c>
      <c r="F45" s="39" t="s">
        <v>240</v>
      </c>
      <c r="G45" s="39" t="s">
        <v>362</v>
      </c>
      <c r="H45" s="39" t="s">
        <v>364</v>
      </c>
      <c r="I45" s="43">
        <v>400.0</v>
      </c>
      <c r="J45" s="39" t="s">
        <v>243</v>
      </c>
      <c r="K45" s="39" t="s">
        <v>242</v>
      </c>
      <c r="L45" s="39" t="s">
        <v>2289</v>
      </c>
      <c r="M45" s="39" t="s">
        <v>245</v>
      </c>
      <c r="N45" s="39" t="s">
        <v>245</v>
      </c>
      <c r="O45" s="45" t="s">
        <v>2244</v>
      </c>
      <c r="P45" s="39" t="s">
        <v>245</v>
      </c>
      <c r="Q45" s="39" t="s">
        <v>2245</v>
      </c>
      <c r="R45" s="39" t="s">
        <v>335</v>
      </c>
      <c r="S45" s="39">
        <v>1.0</v>
      </c>
      <c r="T45" s="39" t="s">
        <v>1590</v>
      </c>
    </row>
    <row r="46" ht="14.25" customHeight="1">
      <c r="A46" s="38" t="s">
        <v>1595</v>
      </c>
      <c r="B46" s="38" t="s">
        <v>1594</v>
      </c>
      <c r="C46" s="38" t="s">
        <v>1594</v>
      </c>
      <c r="D46" s="38" t="s">
        <v>399</v>
      </c>
      <c r="E46" s="38" t="s">
        <v>1196</v>
      </c>
      <c r="F46" s="38" t="s">
        <v>240</v>
      </c>
      <c r="G46" s="38" t="s">
        <v>362</v>
      </c>
      <c r="H46" s="38" t="s">
        <v>364</v>
      </c>
      <c r="I46" s="40">
        <v>1100.0</v>
      </c>
      <c r="J46" s="38" t="s">
        <v>243</v>
      </c>
      <c r="K46" s="38" t="s">
        <v>242</v>
      </c>
      <c r="L46" s="38" t="s">
        <v>2290</v>
      </c>
      <c r="M46" s="38" t="s">
        <v>245</v>
      </c>
      <c r="N46" s="38" t="s">
        <v>245</v>
      </c>
      <c r="O46" s="42" t="s">
        <v>2244</v>
      </c>
      <c r="P46" s="38" t="s">
        <v>245</v>
      </c>
      <c r="Q46" s="38" t="s">
        <v>2245</v>
      </c>
      <c r="R46" s="38" t="s">
        <v>335</v>
      </c>
      <c r="S46" s="38">
        <v>1.0</v>
      </c>
      <c r="T46" s="38" t="s">
        <v>1593</v>
      </c>
    </row>
    <row r="47" ht="14.25" customHeight="1">
      <c r="A47" s="39" t="s">
        <v>1599</v>
      </c>
      <c r="B47" s="39" t="s">
        <v>1597</v>
      </c>
      <c r="C47" s="39" t="s">
        <v>1597</v>
      </c>
      <c r="D47" s="39" t="s">
        <v>239</v>
      </c>
      <c r="E47" s="39" t="s">
        <v>1056</v>
      </c>
      <c r="F47" s="39" t="s">
        <v>240</v>
      </c>
      <c r="G47" s="39" t="s">
        <v>388</v>
      </c>
      <c r="H47" s="39" t="s">
        <v>2284</v>
      </c>
      <c r="I47" s="43">
        <v>30000.0</v>
      </c>
      <c r="J47" s="39" t="s">
        <v>243</v>
      </c>
      <c r="K47" s="39" t="s">
        <v>242</v>
      </c>
      <c r="L47" s="39" t="s">
        <v>2291</v>
      </c>
      <c r="M47" s="39" t="s">
        <v>245</v>
      </c>
      <c r="N47" s="39" t="s">
        <v>245</v>
      </c>
      <c r="O47" s="45" t="s">
        <v>2244</v>
      </c>
      <c r="P47" s="39" t="s">
        <v>245</v>
      </c>
      <c r="Q47" s="39" t="s">
        <v>2245</v>
      </c>
      <c r="R47" s="39" t="s">
        <v>335</v>
      </c>
      <c r="S47" s="39">
        <v>1.0</v>
      </c>
      <c r="T47" s="39" t="s">
        <v>1596</v>
      </c>
    </row>
    <row r="48" ht="14.25" customHeight="1">
      <c r="A48" s="38" t="s">
        <v>1603</v>
      </c>
      <c r="B48" s="38" t="s">
        <v>1601</v>
      </c>
      <c r="C48" s="38" t="s">
        <v>1601</v>
      </c>
      <c r="D48" s="38" t="s">
        <v>386</v>
      </c>
      <c r="E48" s="38" t="s">
        <v>1602</v>
      </c>
      <c r="F48" s="38" t="s">
        <v>240</v>
      </c>
      <c r="G48" s="38" t="s">
        <v>306</v>
      </c>
      <c r="H48" s="38" t="s">
        <v>324</v>
      </c>
      <c r="I48" s="40">
        <v>3500.0</v>
      </c>
      <c r="J48" s="38" t="s">
        <v>243</v>
      </c>
      <c r="K48" s="38" t="s">
        <v>242</v>
      </c>
      <c r="L48" s="38" t="s">
        <v>2292</v>
      </c>
      <c r="M48" s="38" t="s">
        <v>245</v>
      </c>
      <c r="N48" s="38" t="s">
        <v>245</v>
      </c>
      <c r="O48" s="42" t="s">
        <v>2244</v>
      </c>
      <c r="P48" s="38" t="s">
        <v>245</v>
      </c>
      <c r="Q48" s="38" t="s">
        <v>2245</v>
      </c>
      <c r="R48" s="38" t="s">
        <v>335</v>
      </c>
      <c r="S48" s="38">
        <v>1.0</v>
      </c>
      <c r="T48" s="38" t="s">
        <v>1600</v>
      </c>
    </row>
    <row r="49" ht="14.25" customHeight="1">
      <c r="A49" s="39" t="s">
        <v>1606</v>
      </c>
      <c r="B49" s="39" t="s">
        <v>1605</v>
      </c>
      <c r="C49" s="39" t="s">
        <v>1605</v>
      </c>
      <c r="D49" s="39" t="s">
        <v>360</v>
      </c>
      <c r="E49" s="39" t="s">
        <v>1501</v>
      </c>
      <c r="F49" s="39" t="s">
        <v>240</v>
      </c>
      <c r="G49" s="39" t="s">
        <v>306</v>
      </c>
      <c r="H49" s="39" t="s">
        <v>324</v>
      </c>
      <c r="I49" s="43">
        <v>15000.0</v>
      </c>
      <c r="J49" s="39" t="s">
        <v>243</v>
      </c>
      <c r="K49" s="39" t="s">
        <v>242</v>
      </c>
      <c r="L49" s="39" t="s">
        <v>2293</v>
      </c>
      <c r="M49" s="39" t="s">
        <v>245</v>
      </c>
      <c r="N49" s="39" t="s">
        <v>245</v>
      </c>
      <c r="O49" s="45" t="s">
        <v>2244</v>
      </c>
      <c r="P49" s="39" t="s">
        <v>245</v>
      </c>
      <c r="Q49" s="39" t="s">
        <v>2245</v>
      </c>
      <c r="R49" s="39" t="s">
        <v>335</v>
      </c>
      <c r="S49" s="39">
        <v>1.0</v>
      </c>
      <c r="T49" s="39" t="s">
        <v>1604</v>
      </c>
    </row>
    <row r="50" ht="14.25" customHeight="1">
      <c r="A50" s="38" t="s">
        <v>1609</v>
      </c>
      <c r="B50" s="38" t="s">
        <v>1608</v>
      </c>
      <c r="C50" s="38" t="s">
        <v>1608</v>
      </c>
      <c r="D50" s="38" t="s">
        <v>386</v>
      </c>
      <c r="E50" s="38" t="s">
        <v>1130</v>
      </c>
      <c r="F50" s="38" t="s">
        <v>240</v>
      </c>
      <c r="G50" s="38" t="s">
        <v>306</v>
      </c>
      <c r="H50" s="38" t="s">
        <v>324</v>
      </c>
      <c r="I50" s="40">
        <v>1500.0</v>
      </c>
      <c r="J50" s="38" t="s">
        <v>243</v>
      </c>
      <c r="K50" s="38" t="s">
        <v>242</v>
      </c>
      <c r="L50" s="38" t="s">
        <v>2294</v>
      </c>
      <c r="M50" s="38" t="s">
        <v>245</v>
      </c>
      <c r="N50" s="38" t="s">
        <v>245</v>
      </c>
      <c r="O50" s="42" t="s">
        <v>2244</v>
      </c>
      <c r="P50" s="38" t="s">
        <v>245</v>
      </c>
      <c r="Q50" s="38" t="s">
        <v>2245</v>
      </c>
      <c r="R50" s="38" t="s">
        <v>335</v>
      </c>
      <c r="S50" s="38">
        <v>1.0</v>
      </c>
      <c r="T50" s="38" t="s">
        <v>1607</v>
      </c>
    </row>
    <row r="51" ht="14.25" customHeight="1">
      <c r="A51" s="39" t="s">
        <v>1612</v>
      </c>
      <c r="B51" s="39" t="s">
        <v>1611</v>
      </c>
      <c r="C51" s="39" t="s">
        <v>1611</v>
      </c>
      <c r="D51" s="39" t="s">
        <v>386</v>
      </c>
      <c r="E51" s="39" t="s">
        <v>1130</v>
      </c>
      <c r="F51" s="39" t="s">
        <v>240</v>
      </c>
      <c r="G51" s="39" t="s">
        <v>306</v>
      </c>
      <c r="H51" s="39" t="s">
        <v>324</v>
      </c>
      <c r="I51" s="43">
        <v>1100.0</v>
      </c>
      <c r="J51" s="39" t="s">
        <v>243</v>
      </c>
      <c r="K51" s="39" t="s">
        <v>242</v>
      </c>
      <c r="L51" s="39" t="s">
        <v>2295</v>
      </c>
      <c r="M51" s="39" t="s">
        <v>245</v>
      </c>
      <c r="N51" s="39" t="s">
        <v>245</v>
      </c>
      <c r="O51" s="45" t="s">
        <v>2244</v>
      </c>
      <c r="P51" s="39" t="s">
        <v>245</v>
      </c>
      <c r="Q51" s="39" t="s">
        <v>2245</v>
      </c>
      <c r="R51" s="39" t="s">
        <v>335</v>
      </c>
      <c r="S51" s="39">
        <v>1.0</v>
      </c>
      <c r="T51" s="39" t="s">
        <v>1610</v>
      </c>
    </row>
    <row r="52" ht="14.25" customHeight="1">
      <c r="A52" s="38" t="s">
        <v>1616</v>
      </c>
      <c r="B52" s="38" t="s">
        <v>1614</v>
      </c>
      <c r="C52" s="38" t="s">
        <v>1614</v>
      </c>
      <c r="D52" s="38" t="s">
        <v>386</v>
      </c>
      <c r="E52" s="38" t="s">
        <v>1602</v>
      </c>
      <c r="F52" s="38" t="s">
        <v>240</v>
      </c>
      <c r="G52" s="38" t="s">
        <v>1103</v>
      </c>
      <c r="H52" s="38" t="s">
        <v>2247</v>
      </c>
      <c r="I52" s="40">
        <v>3000.0</v>
      </c>
      <c r="J52" s="38" t="s">
        <v>243</v>
      </c>
      <c r="K52" s="38" t="s">
        <v>242</v>
      </c>
      <c r="L52" s="38" t="s">
        <v>2296</v>
      </c>
      <c r="M52" s="38" t="s">
        <v>245</v>
      </c>
      <c r="N52" s="38" t="s">
        <v>245</v>
      </c>
      <c r="O52" s="42" t="s">
        <v>2244</v>
      </c>
      <c r="P52" s="38" t="s">
        <v>245</v>
      </c>
      <c r="Q52" s="38" t="s">
        <v>2245</v>
      </c>
      <c r="R52" s="38" t="s">
        <v>335</v>
      </c>
      <c r="S52" s="38">
        <v>1.0</v>
      </c>
      <c r="T52" s="38" t="s">
        <v>1613</v>
      </c>
    </row>
    <row r="53" ht="14.25" customHeight="1">
      <c r="A53" s="39" t="s">
        <v>1619</v>
      </c>
      <c r="B53" s="39" t="s">
        <v>1618</v>
      </c>
      <c r="C53" s="39" t="s">
        <v>1618</v>
      </c>
      <c r="D53" s="39" t="s">
        <v>239</v>
      </c>
      <c r="E53" s="39" t="s">
        <v>1390</v>
      </c>
      <c r="F53" s="39" t="s">
        <v>240</v>
      </c>
      <c r="G53" s="39" t="s">
        <v>306</v>
      </c>
      <c r="H53" s="39" t="s">
        <v>324</v>
      </c>
      <c r="I53" s="43">
        <v>1500.0</v>
      </c>
      <c r="J53" s="39" t="s">
        <v>243</v>
      </c>
      <c r="K53" s="39" t="s">
        <v>242</v>
      </c>
      <c r="L53" s="39" t="s">
        <v>2297</v>
      </c>
      <c r="M53" s="39" t="s">
        <v>245</v>
      </c>
      <c r="N53" s="39" t="s">
        <v>245</v>
      </c>
      <c r="O53" s="45" t="s">
        <v>2244</v>
      </c>
      <c r="P53" s="39" t="s">
        <v>245</v>
      </c>
      <c r="Q53" s="39" t="s">
        <v>2245</v>
      </c>
      <c r="R53" s="39" t="s">
        <v>335</v>
      </c>
      <c r="S53" s="39">
        <v>1.0</v>
      </c>
      <c r="T53" s="39" t="s">
        <v>1617</v>
      </c>
    </row>
    <row r="54" ht="14.25" customHeight="1">
      <c r="A54" s="38" t="s">
        <v>1623</v>
      </c>
      <c r="B54" s="38" t="s">
        <v>1621</v>
      </c>
      <c r="C54" s="38" t="s">
        <v>1621</v>
      </c>
      <c r="D54" s="38" t="s">
        <v>360</v>
      </c>
      <c r="E54" s="38" t="s">
        <v>1384</v>
      </c>
      <c r="F54" s="38" t="s">
        <v>240</v>
      </c>
      <c r="G54" s="38" t="s">
        <v>306</v>
      </c>
      <c r="H54" s="38" t="s">
        <v>324</v>
      </c>
      <c r="I54" s="40">
        <v>2200.0</v>
      </c>
      <c r="J54" s="38" t="s">
        <v>243</v>
      </c>
      <c r="K54" s="38" t="s">
        <v>242</v>
      </c>
      <c r="L54" s="38" t="s">
        <v>2298</v>
      </c>
      <c r="M54" s="38" t="s">
        <v>245</v>
      </c>
      <c r="N54" s="38" t="s">
        <v>245</v>
      </c>
      <c r="O54" s="42" t="s">
        <v>2244</v>
      </c>
      <c r="P54" s="38" t="s">
        <v>245</v>
      </c>
      <c r="Q54" s="38" t="s">
        <v>2245</v>
      </c>
      <c r="R54" s="38" t="s">
        <v>335</v>
      </c>
      <c r="S54" s="38">
        <v>1.0</v>
      </c>
      <c r="T54" s="38" t="s">
        <v>1620</v>
      </c>
    </row>
    <row r="55" ht="14.25" customHeight="1">
      <c r="A55" s="39" t="s">
        <v>1626</v>
      </c>
      <c r="B55" s="39" t="s">
        <v>1625</v>
      </c>
      <c r="C55" s="39" t="s">
        <v>1625</v>
      </c>
      <c r="D55" s="39" t="s">
        <v>239</v>
      </c>
      <c r="E55" s="39" t="s">
        <v>1062</v>
      </c>
      <c r="F55" s="39" t="s">
        <v>240</v>
      </c>
      <c r="G55" s="39" t="s">
        <v>241</v>
      </c>
      <c r="H55" s="39" t="s">
        <v>244</v>
      </c>
      <c r="I55" s="43">
        <v>650.0</v>
      </c>
      <c r="J55" s="39" t="s">
        <v>243</v>
      </c>
      <c r="K55" s="39" t="s">
        <v>242</v>
      </c>
      <c r="L55" s="39" t="s">
        <v>2299</v>
      </c>
      <c r="M55" s="39" t="s">
        <v>245</v>
      </c>
      <c r="N55" s="39" t="s">
        <v>245</v>
      </c>
      <c r="O55" s="45" t="s">
        <v>2244</v>
      </c>
      <c r="P55" s="39" t="s">
        <v>245</v>
      </c>
      <c r="Q55" s="39" t="s">
        <v>2245</v>
      </c>
      <c r="R55" s="39" t="s">
        <v>335</v>
      </c>
      <c r="S55" s="39">
        <v>1.0</v>
      </c>
      <c r="T55" s="39" t="s">
        <v>1624</v>
      </c>
    </row>
    <row r="56" ht="14.25" customHeight="1">
      <c r="A56" s="38" t="s">
        <v>1630</v>
      </c>
      <c r="B56" s="38" t="s">
        <v>1628</v>
      </c>
      <c r="C56" s="38" t="s">
        <v>1628</v>
      </c>
      <c r="D56" s="38" t="s">
        <v>320</v>
      </c>
      <c r="E56" s="38" t="s">
        <v>1629</v>
      </c>
      <c r="F56" s="38" t="s">
        <v>240</v>
      </c>
      <c r="G56" s="38" t="s">
        <v>306</v>
      </c>
      <c r="H56" s="38" t="s">
        <v>324</v>
      </c>
      <c r="I56" s="40">
        <v>6500.0</v>
      </c>
      <c r="J56" s="38" t="s">
        <v>243</v>
      </c>
      <c r="K56" s="38" t="s">
        <v>242</v>
      </c>
      <c r="L56" s="38" t="s">
        <v>2300</v>
      </c>
      <c r="M56" s="38" t="s">
        <v>245</v>
      </c>
      <c r="N56" s="38" t="s">
        <v>245</v>
      </c>
      <c r="O56" s="42" t="s">
        <v>2244</v>
      </c>
      <c r="P56" s="38" t="s">
        <v>245</v>
      </c>
      <c r="Q56" s="38" t="s">
        <v>2245</v>
      </c>
      <c r="R56" s="38" t="s">
        <v>335</v>
      </c>
      <c r="S56" s="38">
        <v>1.0</v>
      </c>
      <c r="T56" s="38" t="s">
        <v>1627</v>
      </c>
    </row>
    <row r="57" ht="14.25" customHeight="1">
      <c r="A57" s="39" t="s">
        <v>1634</v>
      </c>
      <c r="B57" s="39" t="s">
        <v>1632</v>
      </c>
      <c r="C57" s="39" t="s">
        <v>1632</v>
      </c>
      <c r="D57" s="39" t="s">
        <v>320</v>
      </c>
      <c r="E57" s="39" t="s">
        <v>1629</v>
      </c>
      <c r="F57" s="39" t="s">
        <v>240</v>
      </c>
      <c r="G57" s="39" t="s">
        <v>306</v>
      </c>
      <c r="H57" s="39" t="s">
        <v>324</v>
      </c>
      <c r="I57" s="43">
        <v>3800.0</v>
      </c>
      <c r="J57" s="39" t="s">
        <v>243</v>
      </c>
      <c r="K57" s="39" t="s">
        <v>242</v>
      </c>
      <c r="L57" s="39" t="s">
        <v>2300</v>
      </c>
      <c r="M57" s="39" t="s">
        <v>245</v>
      </c>
      <c r="N57" s="39" t="s">
        <v>245</v>
      </c>
      <c r="O57" s="45" t="s">
        <v>2244</v>
      </c>
      <c r="P57" s="39" t="s">
        <v>245</v>
      </c>
      <c r="Q57" s="39" t="s">
        <v>2245</v>
      </c>
      <c r="R57" s="39" t="s">
        <v>335</v>
      </c>
      <c r="S57" s="39">
        <v>1.0</v>
      </c>
      <c r="T57" s="39" t="s">
        <v>1631</v>
      </c>
    </row>
    <row r="58" ht="14.25" customHeight="1">
      <c r="A58" s="38" t="s">
        <v>1638</v>
      </c>
      <c r="B58" s="38" t="s">
        <v>1636</v>
      </c>
      <c r="C58" s="38" t="s">
        <v>1636</v>
      </c>
      <c r="D58" s="38" t="s">
        <v>386</v>
      </c>
      <c r="E58" s="38" t="s">
        <v>1130</v>
      </c>
      <c r="F58" s="38" t="s">
        <v>240</v>
      </c>
      <c r="G58" s="38" t="s">
        <v>306</v>
      </c>
      <c r="H58" s="38" t="s">
        <v>324</v>
      </c>
      <c r="I58" s="40">
        <v>20000.0</v>
      </c>
      <c r="J58" s="38" t="s">
        <v>243</v>
      </c>
      <c r="K58" s="38" t="s">
        <v>242</v>
      </c>
      <c r="L58" s="38" t="s">
        <v>2301</v>
      </c>
      <c r="M58" s="38" t="s">
        <v>245</v>
      </c>
      <c r="N58" s="38" t="s">
        <v>245</v>
      </c>
      <c r="O58" s="42" t="s">
        <v>2244</v>
      </c>
      <c r="P58" s="38" t="s">
        <v>245</v>
      </c>
      <c r="Q58" s="38" t="s">
        <v>2245</v>
      </c>
      <c r="R58" s="38" t="s">
        <v>335</v>
      </c>
      <c r="S58" s="38">
        <v>1.0</v>
      </c>
      <c r="T58" s="38" t="s">
        <v>1635</v>
      </c>
    </row>
    <row r="59" ht="14.25" customHeight="1">
      <c r="A59" s="39" t="s">
        <v>1642</v>
      </c>
      <c r="B59" s="39" t="s">
        <v>1640</v>
      </c>
      <c r="C59" s="39" t="s">
        <v>1640</v>
      </c>
      <c r="D59" s="39" t="s">
        <v>239</v>
      </c>
      <c r="E59" s="39" t="s">
        <v>1056</v>
      </c>
      <c r="F59" s="39" t="s">
        <v>240</v>
      </c>
      <c r="G59" s="39" t="s">
        <v>241</v>
      </c>
      <c r="H59" s="39" t="s">
        <v>244</v>
      </c>
      <c r="I59" s="43">
        <v>450.0</v>
      </c>
      <c r="J59" s="39" t="s">
        <v>243</v>
      </c>
      <c r="K59" s="39" t="s">
        <v>242</v>
      </c>
      <c r="L59" s="39" t="s">
        <v>2302</v>
      </c>
      <c r="M59" s="39" t="s">
        <v>245</v>
      </c>
      <c r="N59" s="39" t="s">
        <v>245</v>
      </c>
      <c r="O59" s="45" t="s">
        <v>2244</v>
      </c>
      <c r="P59" s="39" t="s">
        <v>245</v>
      </c>
      <c r="Q59" s="39" t="s">
        <v>2245</v>
      </c>
      <c r="R59" s="39" t="s">
        <v>335</v>
      </c>
      <c r="S59" s="39">
        <v>1.0</v>
      </c>
      <c r="T59" s="39" t="s">
        <v>1639</v>
      </c>
    </row>
    <row r="60" ht="14.25" customHeight="1">
      <c r="A60" s="38" t="s">
        <v>1645</v>
      </c>
      <c r="B60" s="38" t="s">
        <v>1644</v>
      </c>
      <c r="C60" s="38" t="s">
        <v>1644</v>
      </c>
      <c r="D60" s="38" t="s">
        <v>360</v>
      </c>
      <c r="E60" s="38" t="s">
        <v>1501</v>
      </c>
      <c r="F60" s="38" t="s">
        <v>240</v>
      </c>
      <c r="G60" s="38" t="s">
        <v>306</v>
      </c>
      <c r="H60" s="38" t="s">
        <v>324</v>
      </c>
      <c r="I60" s="40">
        <v>3800.0</v>
      </c>
      <c r="J60" s="38" t="s">
        <v>243</v>
      </c>
      <c r="K60" s="38" t="s">
        <v>242</v>
      </c>
      <c r="L60" s="38" t="s">
        <v>2303</v>
      </c>
      <c r="M60" s="38" t="s">
        <v>245</v>
      </c>
      <c r="N60" s="38" t="s">
        <v>245</v>
      </c>
      <c r="O60" s="42" t="s">
        <v>2244</v>
      </c>
      <c r="P60" s="38" t="s">
        <v>245</v>
      </c>
      <c r="Q60" s="38" t="s">
        <v>2245</v>
      </c>
      <c r="R60" s="38" t="s">
        <v>335</v>
      </c>
      <c r="S60" s="38">
        <v>1.0</v>
      </c>
      <c r="T60" s="38" t="s">
        <v>1643</v>
      </c>
    </row>
    <row r="61" ht="14.25" customHeight="1">
      <c r="A61" s="39" t="s">
        <v>1649</v>
      </c>
      <c r="B61" s="39" t="s">
        <v>1647</v>
      </c>
      <c r="C61" s="39" t="s">
        <v>1647</v>
      </c>
      <c r="D61" s="39" t="s">
        <v>360</v>
      </c>
      <c r="E61" s="39" t="s">
        <v>1384</v>
      </c>
      <c r="F61" s="39" t="s">
        <v>240</v>
      </c>
      <c r="G61" s="39" t="s">
        <v>1103</v>
      </c>
      <c r="H61" s="39" t="s">
        <v>2247</v>
      </c>
      <c r="I61" s="43">
        <v>1350.0</v>
      </c>
      <c r="J61" s="39" t="s">
        <v>243</v>
      </c>
      <c r="K61" s="39" t="s">
        <v>242</v>
      </c>
      <c r="L61" s="39" t="s">
        <v>2304</v>
      </c>
      <c r="M61" s="39" t="s">
        <v>245</v>
      </c>
      <c r="N61" s="39" t="s">
        <v>245</v>
      </c>
      <c r="O61" s="45" t="s">
        <v>2244</v>
      </c>
      <c r="P61" s="39" t="s">
        <v>245</v>
      </c>
      <c r="Q61" s="39" t="s">
        <v>2245</v>
      </c>
      <c r="R61" s="39" t="s">
        <v>335</v>
      </c>
      <c r="S61" s="39">
        <v>1.0</v>
      </c>
      <c r="T61" s="39" t="s">
        <v>1646</v>
      </c>
    </row>
    <row r="62" ht="14.25" customHeight="1">
      <c r="A62" s="38" t="s">
        <v>1652</v>
      </c>
      <c r="B62" s="38" t="s">
        <v>1651</v>
      </c>
      <c r="C62" s="38" t="s">
        <v>1651</v>
      </c>
      <c r="D62" s="38" t="s">
        <v>360</v>
      </c>
      <c r="E62" s="38" t="s">
        <v>1384</v>
      </c>
      <c r="F62" s="38" t="s">
        <v>240</v>
      </c>
      <c r="G62" s="38" t="s">
        <v>306</v>
      </c>
      <c r="H62" s="38" t="s">
        <v>324</v>
      </c>
      <c r="I62" s="40">
        <v>2200.0</v>
      </c>
      <c r="J62" s="38" t="s">
        <v>243</v>
      </c>
      <c r="K62" s="38" t="s">
        <v>242</v>
      </c>
      <c r="L62" s="38" t="s">
        <v>2305</v>
      </c>
      <c r="M62" s="38" t="s">
        <v>245</v>
      </c>
      <c r="N62" s="38" t="s">
        <v>245</v>
      </c>
      <c r="O62" s="42" t="s">
        <v>2244</v>
      </c>
      <c r="P62" s="38" t="s">
        <v>245</v>
      </c>
      <c r="Q62" s="38" t="s">
        <v>2245</v>
      </c>
      <c r="R62" s="38" t="s">
        <v>335</v>
      </c>
      <c r="S62" s="38">
        <v>1.0</v>
      </c>
      <c r="T62" s="38" t="s">
        <v>1650</v>
      </c>
    </row>
    <row r="63" ht="14.25" customHeight="1">
      <c r="A63" s="39" t="s">
        <v>1655</v>
      </c>
      <c r="B63" s="39" t="s">
        <v>1654</v>
      </c>
      <c r="C63" s="39" t="s">
        <v>1654</v>
      </c>
      <c r="D63" s="39" t="s">
        <v>386</v>
      </c>
      <c r="E63" s="39" t="s">
        <v>1130</v>
      </c>
      <c r="F63" s="39" t="s">
        <v>240</v>
      </c>
      <c r="G63" s="39" t="s">
        <v>306</v>
      </c>
      <c r="H63" s="39" t="s">
        <v>324</v>
      </c>
      <c r="I63" s="43">
        <v>1200.0</v>
      </c>
      <c r="J63" s="39" t="s">
        <v>243</v>
      </c>
      <c r="K63" s="39" t="s">
        <v>242</v>
      </c>
      <c r="L63" s="39" t="s">
        <v>2306</v>
      </c>
      <c r="M63" s="39" t="s">
        <v>245</v>
      </c>
      <c r="N63" s="39" t="s">
        <v>245</v>
      </c>
      <c r="O63" s="45" t="s">
        <v>2244</v>
      </c>
      <c r="P63" s="39" t="s">
        <v>245</v>
      </c>
      <c r="Q63" s="39" t="s">
        <v>2245</v>
      </c>
      <c r="R63" s="39" t="s">
        <v>335</v>
      </c>
      <c r="S63" s="39">
        <v>1.0</v>
      </c>
      <c r="T63" s="39" t="s">
        <v>1653</v>
      </c>
    </row>
    <row r="64" ht="14.25" customHeight="1">
      <c r="A64" s="38" t="s">
        <v>1658</v>
      </c>
      <c r="B64" s="38" t="s">
        <v>1657</v>
      </c>
      <c r="C64" s="38" t="s">
        <v>1657</v>
      </c>
      <c r="D64" s="38" t="s">
        <v>386</v>
      </c>
      <c r="E64" s="38" t="s">
        <v>1130</v>
      </c>
      <c r="F64" s="38" t="s">
        <v>240</v>
      </c>
      <c r="G64" s="38" t="s">
        <v>306</v>
      </c>
      <c r="H64" s="38" t="s">
        <v>324</v>
      </c>
      <c r="I64" s="40">
        <v>1100.0</v>
      </c>
      <c r="J64" s="38" t="s">
        <v>243</v>
      </c>
      <c r="K64" s="38" t="s">
        <v>242</v>
      </c>
      <c r="L64" s="38" t="s">
        <v>2307</v>
      </c>
      <c r="M64" s="38" t="s">
        <v>245</v>
      </c>
      <c r="N64" s="38" t="s">
        <v>245</v>
      </c>
      <c r="O64" s="42" t="s">
        <v>2244</v>
      </c>
      <c r="P64" s="38" t="s">
        <v>245</v>
      </c>
      <c r="Q64" s="38" t="s">
        <v>2245</v>
      </c>
      <c r="R64" s="38" t="s">
        <v>335</v>
      </c>
      <c r="S64" s="38">
        <v>1.0</v>
      </c>
      <c r="T64" s="38" t="s">
        <v>1656</v>
      </c>
    </row>
    <row r="65" ht="14.25" customHeight="1">
      <c r="A65" s="39" t="s">
        <v>1661</v>
      </c>
      <c r="B65" s="39" t="s">
        <v>1660</v>
      </c>
      <c r="C65" s="39" t="s">
        <v>1660</v>
      </c>
      <c r="D65" s="39" t="s">
        <v>239</v>
      </c>
      <c r="E65" s="39" t="s">
        <v>1113</v>
      </c>
      <c r="F65" s="39" t="s">
        <v>240</v>
      </c>
      <c r="G65" s="39" t="s">
        <v>1103</v>
      </c>
      <c r="H65" s="39" t="s">
        <v>2247</v>
      </c>
      <c r="I65" s="43">
        <v>450.0</v>
      </c>
      <c r="J65" s="39" t="s">
        <v>243</v>
      </c>
      <c r="K65" s="39" t="s">
        <v>242</v>
      </c>
      <c r="L65" s="39" t="s">
        <v>2308</v>
      </c>
      <c r="M65" s="39" t="s">
        <v>245</v>
      </c>
      <c r="N65" s="39" t="s">
        <v>245</v>
      </c>
      <c r="O65" s="45" t="s">
        <v>2244</v>
      </c>
      <c r="P65" s="39" t="s">
        <v>245</v>
      </c>
      <c r="Q65" s="39" t="s">
        <v>2245</v>
      </c>
      <c r="R65" s="39" t="s">
        <v>335</v>
      </c>
      <c r="S65" s="39">
        <v>1.0</v>
      </c>
      <c r="T65" s="39" t="s">
        <v>1659</v>
      </c>
    </row>
    <row r="66" ht="14.25" customHeight="1">
      <c r="A66" s="38" t="s">
        <v>1664</v>
      </c>
      <c r="B66" s="38" t="s">
        <v>1660</v>
      </c>
      <c r="C66" s="38" t="s">
        <v>1660</v>
      </c>
      <c r="D66" s="38" t="s">
        <v>405</v>
      </c>
      <c r="E66" s="38" t="s">
        <v>1120</v>
      </c>
      <c r="F66" s="38" t="s">
        <v>240</v>
      </c>
      <c r="G66" s="38" t="s">
        <v>1103</v>
      </c>
      <c r="H66" s="38" t="s">
        <v>2247</v>
      </c>
      <c r="I66" s="40">
        <v>990.0</v>
      </c>
      <c r="J66" s="38" t="s">
        <v>243</v>
      </c>
      <c r="K66" s="38" t="s">
        <v>242</v>
      </c>
      <c r="L66" s="38" t="s">
        <v>2308</v>
      </c>
      <c r="M66" s="38" t="s">
        <v>245</v>
      </c>
      <c r="N66" s="38" t="s">
        <v>245</v>
      </c>
      <c r="O66" s="42" t="s">
        <v>2244</v>
      </c>
      <c r="P66" s="38" t="s">
        <v>245</v>
      </c>
      <c r="Q66" s="38" t="s">
        <v>2245</v>
      </c>
      <c r="R66" s="38" t="s">
        <v>335</v>
      </c>
      <c r="S66" s="38">
        <v>1.0</v>
      </c>
      <c r="T66" s="38" t="s">
        <v>1662</v>
      </c>
    </row>
    <row r="67" ht="14.25" customHeight="1">
      <c r="A67" s="39" t="s">
        <v>1668</v>
      </c>
      <c r="B67" s="39" t="s">
        <v>1666</v>
      </c>
      <c r="C67" s="39" t="s">
        <v>1666</v>
      </c>
      <c r="D67" s="39" t="s">
        <v>239</v>
      </c>
      <c r="E67" s="39" t="s">
        <v>252</v>
      </c>
      <c r="F67" s="39" t="s">
        <v>240</v>
      </c>
      <c r="G67" s="39" t="s">
        <v>241</v>
      </c>
      <c r="H67" s="39" t="s">
        <v>244</v>
      </c>
      <c r="I67" s="43">
        <v>3400.0</v>
      </c>
      <c r="J67" s="39" t="s">
        <v>243</v>
      </c>
      <c r="K67" s="39" t="s">
        <v>242</v>
      </c>
      <c r="L67" s="39" t="s">
        <v>2309</v>
      </c>
      <c r="M67" s="39" t="s">
        <v>245</v>
      </c>
      <c r="N67" s="39" t="s">
        <v>245</v>
      </c>
      <c r="O67" s="45" t="s">
        <v>2244</v>
      </c>
      <c r="P67" s="39" t="s">
        <v>245</v>
      </c>
      <c r="Q67" s="39" t="s">
        <v>2245</v>
      </c>
      <c r="R67" s="39" t="s">
        <v>335</v>
      </c>
      <c r="S67" s="39">
        <v>1.0</v>
      </c>
      <c r="T67" s="39" t="s">
        <v>1665</v>
      </c>
    </row>
    <row r="68" ht="14.25" customHeight="1">
      <c r="A68" s="38" t="s">
        <v>1672</v>
      </c>
      <c r="B68" s="38" t="s">
        <v>1670</v>
      </c>
      <c r="C68" s="38" t="s">
        <v>1670</v>
      </c>
      <c r="D68" s="38" t="s">
        <v>239</v>
      </c>
      <c r="E68" s="38" t="s">
        <v>252</v>
      </c>
      <c r="F68" s="38" t="s">
        <v>240</v>
      </c>
      <c r="G68" s="38" t="s">
        <v>241</v>
      </c>
      <c r="H68" s="38" t="s">
        <v>244</v>
      </c>
      <c r="I68" s="40">
        <v>3700.0</v>
      </c>
      <c r="J68" s="38" t="s">
        <v>243</v>
      </c>
      <c r="K68" s="38" t="s">
        <v>242</v>
      </c>
      <c r="L68" s="38" t="s">
        <v>2310</v>
      </c>
      <c r="M68" s="38" t="s">
        <v>245</v>
      </c>
      <c r="N68" s="38" t="s">
        <v>245</v>
      </c>
      <c r="O68" s="42" t="s">
        <v>2244</v>
      </c>
      <c r="P68" s="38" t="s">
        <v>245</v>
      </c>
      <c r="Q68" s="38" t="s">
        <v>2245</v>
      </c>
      <c r="R68" s="38" t="s">
        <v>335</v>
      </c>
      <c r="S68" s="38">
        <v>1.0</v>
      </c>
      <c r="T68" s="38" t="s">
        <v>1669</v>
      </c>
    </row>
    <row r="69" ht="14.25" customHeight="1">
      <c r="A69" s="39" t="s">
        <v>1676</v>
      </c>
      <c r="B69" s="39" t="s">
        <v>1674</v>
      </c>
      <c r="C69" s="39" t="s">
        <v>1674</v>
      </c>
      <c r="D69" s="39" t="s">
        <v>239</v>
      </c>
      <c r="E69" s="39" t="s">
        <v>252</v>
      </c>
      <c r="F69" s="39" t="s">
        <v>240</v>
      </c>
      <c r="G69" s="39" t="s">
        <v>241</v>
      </c>
      <c r="H69" s="39" t="s">
        <v>244</v>
      </c>
      <c r="I69" s="43">
        <v>2700.0</v>
      </c>
      <c r="J69" s="39" t="s">
        <v>243</v>
      </c>
      <c r="K69" s="39" t="s">
        <v>242</v>
      </c>
      <c r="L69" s="39" t="s">
        <v>2311</v>
      </c>
      <c r="M69" s="39" t="s">
        <v>245</v>
      </c>
      <c r="N69" s="39" t="s">
        <v>245</v>
      </c>
      <c r="O69" s="45" t="s">
        <v>2244</v>
      </c>
      <c r="P69" s="39" t="s">
        <v>245</v>
      </c>
      <c r="Q69" s="39" t="s">
        <v>2245</v>
      </c>
      <c r="R69" s="39" t="s">
        <v>335</v>
      </c>
      <c r="S69" s="39">
        <v>1.0</v>
      </c>
      <c r="T69" s="39" t="s">
        <v>1673</v>
      </c>
    </row>
    <row r="70" ht="14.25" customHeight="1">
      <c r="A70" s="38" t="s">
        <v>1679</v>
      </c>
      <c r="B70" s="38" t="s">
        <v>1678</v>
      </c>
      <c r="C70" s="38" t="s">
        <v>1678</v>
      </c>
      <c r="D70" s="38" t="s">
        <v>239</v>
      </c>
      <c r="E70" s="38" t="s">
        <v>252</v>
      </c>
      <c r="F70" s="38" t="s">
        <v>240</v>
      </c>
      <c r="G70" s="38" t="s">
        <v>241</v>
      </c>
      <c r="H70" s="38" t="s">
        <v>244</v>
      </c>
      <c r="I70" s="40">
        <v>2200.0</v>
      </c>
      <c r="J70" s="38" t="s">
        <v>243</v>
      </c>
      <c r="K70" s="38" t="s">
        <v>242</v>
      </c>
      <c r="L70" s="38" t="s">
        <v>2312</v>
      </c>
      <c r="M70" s="38" t="s">
        <v>245</v>
      </c>
      <c r="N70" s="38" t="s">
        <v>245</v>
      </c>
      <c r="O70" s="42" t="s">
        <v>2244</v>
      </c>
      <c r="P70" s="38" t="s">
        <v>245</v>
      </c>
      <c r="Q70" s="38" t="s">
        <v>2245</v>
      </c>
      <c r="R70" s="38" t="s">
        <v>335</v>
      </c>
      <c r="S70" s="38">
        <v>1.0</v>
      </c>
      <c r="T70" s="38" t="s">
        <v>1677</v>
      </c>
    </row>
    <row r="71" ht="14.25" customHeight="1">
      <c r="A71" s="39" t="s">
        <v>1682</v>
      </c>
      <c r="B71" s="39" t="s">
        <v>1681</v>
      </c>
      <c r="C71" s="39" t="s">
        <v>1681</v>
      </c>
      <c r="D71" s="39" t="s">
        <v>239</v>
      </c>
      <c r="E71" s="39" t="s">
        <v>252</v>
      </c>
      <c r="F71" s="39" t="s">
        <v>240</v>
      </c>
      <c r="G71" s="39" t="s">
        <v>241</v>
      </c>
      <c r="H71" s="39" t="s">
        <v>244</v>
      </c>
      <c r="I71" s="43">
        <v>2300.0</v>
      </c>
      <c r="J71" s="39" t="s">
        <v>243</v>
      </c>
      <c r="K71" s="39" t="s">
        <v>242</v>
      </c>
      <c r="L71" s="39" t="s">
        <v>2313</v>
      </c>
      <c r="M71" s="39" t="s">
        <v>245</v>
      </c>
      <c r="N71" s="39" t="s">
        <v>245</v>
      </c>
      <c r="O71" s="45" t="s">
        <v>2244</v>
      </c>
      <c r="P71" s="39" t="s">
        <v>245</v>
      </c>
      <c r="Q71" s="39" t="s">
        <v>2245</v>
      </c>
      <c r="R71" s="39" t="s">
        <v>335</v>
      </c>
      <c r="S71" s="39">
        <v>1.0</v>
      </c>
      <c r="T71" s="39" t="s">
        <v>1680</v>
      </c>
    </row>
    <row r="72" ht="14.25" customHeight="1">
      <c r="A72" s="38" t="s">
        <v>1686</v>
      </c>
      <c r="B72" s="38" t="s">
        <v>1684</v>
      </c>
      <c r="C72" s="38" t="s">
        <v>1684</v>
      </c>
      <c r="D72" s="38" t="s">
        <v>239</v>
      </c>
      <c r="E72" s="38" t="s">
        <v>252</v>
      </c>
      <c r="F72" s="38" t="s">
        <v>240</v>
      </c>
      <c r="G72" s="38" t="s">
        <v>241</v>
      </c>
      <c r="H72" s="38" t="s">
        <v>244</v>
      </c>
      <c r="I72" s="40">
        <v>1980.0</v>
      </c>
      <c r="J72" s="38" t="s">
        <v>243</v>
      </c>
      <c r="K72" s="38" t="s">
        <v>242</v>
      </c>
      <c r="L72" s="38" t="s">
        <v>2314</v>
      </c>
      <c r="M72" s="38" t="s">
        <v>245</v>
      </c>
      <c r="N72" s="38" t="s">
        <v>245</v>
      </c>
      <c r="O72" s="42" t="s">
        <v>2244</v>
      </c>
      <c r="P72" s="38" t="s">
        <v>245</v>
      </c>
      <c r="Q72" s="38" t="s">
        <v>2245</v>
      </c>
      <c r="R72" s="38" t="s">
        <v>335</v>
      </c>
      <c r="S72" s="38">
        <v>1.0</v>
      </c>
      <c r="T72" s="38" t="s">
        <v>1683</v>
      </c>
    </row>
    <row r="73" ht="14.25" customHeight="1">
      <c r="A73" s="39" t="s">
        <v>1689</v>
      </c>
      <c r="B73" s="39" t="s">
        <v>1688</v>
      </c>
      <c r="C73" s="39" t="s">
        <v>1688</v>
      </c>
      <c r="D73" s="39" t="s">
        <v>239</v>
      </c>
      <c r="E73" s="39" t="s">
        <v>252</v>
      </c>
      <c r="F73" s="39" t="s">
        <v>240</v>
      </c>
      <c r="G73" s="39" t="s">
        <v>241</v>
      </c>
      <c r="H73" s="39" t="s">
        <v>244</v>
      </c>
      <c r="I73" s="43">
        <v>950.0</v>
      </c>
      <c r="J73" s="39" t="s">
        <v>243</v>
      </c>
      <c r="K73" s="39" t="s">
        <v>242</v>
      </c>
      <c r="L73" s="39" t="s">
        <v>2315</v>
      </c>
      <c r="M73" s="39" t="s">
        <v>245</v>
      </c>
      <c r="N73" s="39" t="s">
        <v>245</v>
      </c>
      <c r="O73" s="45" t="s">
        <v>2244</v>
      </c>
      <c r="P73" s="39" t="s">
        <v>245</v>
      </c>
      <c r="Q73" s="39" t="s">
        <v>2245</v>
      </c>
      <c r="R73" s="39" t="s">
        <v>335</v>
      </c>
      <c r="S73" s="39">
        <v>1.0</v>
      </c>
      <c r="T73" s="39" t="s">
        <v>1687</v>
      </c>
    </row>
    <row r="74" ht="14.25" customHeight="1">
      <c r="A74" s="38" t="s">
        <v>1693</v>
      </c>
      <c r="B74" s="38" t="s">
        <v>1691</v>
      </c>
      <c r="C74" s="38" t="s">
        <v>1691</v>
      </c>
      <c r="D74" s="38" t="s">
        <v>239</v>
      </c>
      <c r="E74" s="38" t="s">
        <v>252</v>
      </c>
      <c r="F74" s="38" t="s">
        <v>240</v>
      </c>
      <c r="G74" s="38" t="s">
        <v>241</v>
      </c>
      <c r="H74" s="38" t="s">
        <v>244</v>
      </c>
      <c r="I74" s="40">
        <v>2900.0</v>
      </c>
      <c r="J74" s="38" t="s">
        <v>243</v>
      </c>
      <c r="K74" s="38" t="s">
        <v>242</v>
      </c>
      <c r="L74" s="38" t="s">
        <v>2316</v>
      </c>
      <c r="M74" s="38" t="s">
        <v>245</v>
      </c>
      <c r="N74" s="38" t="s">
        <v>245</v>
      </c>
      <c r="O74" s="42" t="s">
        <v>2244</v>
      </c>
      <c r="P74" s="38" t="s">
        <v>245</v>
      </c>
      <c r="Q74" s="38" t="s">
        <v>2245</v>
      </c>
      <c r="R74" s="38" t="s">
        <v>335</v>
      </c>
      <c r="S74" s="38">
        <v>1.0</v>
      </c>
      <c r="T74" s="38" t="s">
        <v>1690</v>
      </c>
    </row>
    <row r="75" ht="14.25" customHeight="1">
      <c r="A75" s="39" t="s">
        <v>1697</v>
      </c>
      <c r="B75" s="39" t="s">
        <v>1695</v>
      </c>
      <c r="C75" s="39" t="s">
        <v>1695</v>
      </c>
      <c r="D75" s="39" t="s">
        <v>239</v>
      </c>
      <c r="E75" s="39" t="s">
        <v>252</v>
      </c>
      <c r="F75" s="39" t="s">
        <v>240</v>
      </c>
      <c r="G75" s="39" t="s">
        <v>241</v>
      </c>
      <c r="H75" s="39" t="s">
        <v>244</v>
      </c>
      <c r="I75" s="43">
        <v>1600.0</v>
      </c>
      <c r="J75" s="39" t="s">
        <v>243</v>
      </c>
      <c r="K75" s="39" t="s">
        <v>242</v>
      </c>
      <c r="L75" s="39" t="s">
        <v>2317</v>
      </c>
      <c r="M75" s="39" t="s">
        <v>245</v>
      </c>
      <c r="N75" s="39" t="s">
        <v>245</v>
      </c>
      <c r="O75" s="45" t="s">
        <v>2318</v>
      </c>
      <c r="P75" s="39" t="s">
        <v>245</v>
      </c>
      <c r="Q75" s="39" t="s">
        <v>2245</v>
      </c>
      <c r="R75" s="39" t="s">
        <v>335</v>
      </c>
      <c r="S75" s="39">
        <v>2.0</v>
      </c>
      <c r="T75" s="39" t="s">
        <v>1694</v>
      </c>
    </row>
    <row r="76" ht="14.25" customHeight="1">
      <c r="A76" s="38" t="s">
        <v>1701</v>
      </c>
      <c r="B76" s="38" t="s">
        <v>1700</v>
      </c>
      <c r="C76" s="38" t="s">
        <v>1700</v>
      </c>
      <c r="D76" s="38" t="s">
        <v>239</v>
      </c>
      <c r="E76" s="38" t="s">
        <v>252</v>
      </c>
      <c r="F76" s="38" t="s">
        <v>240</v>
      </c>
      <c r="G76" s="38" t="s">
        <v>241</v>
      </c>
      <c r="H76" s="38" t="s">
        <v>244</v>
      </c>
      <c r="I76" s="40">
        <v>1300.0</v>
      </c>
      <c r="J76" s="38" t="s">
        <v>243</v>
      </c>
      <c r="K76" s="38" t="s">
        <v>242</v>
      </c>
      <c r="L76" s="38" t="s">
        <v>2319</v>
      </c>
      <c r="M76" s="38" t="s">
        <v>245</v>
      </c>
      <c r="N76" s="38" t="s">
        <v>245</v>
      </c>
      <c r="O76" s="42" t="s">
        <v>2244</v>
      </c>
      <c r="P76" s="38" t="s">
        <v>245</v>
      </c>
      <c r="Q76" s="38" t="s">
        <v>2245</v>
      </c>
      <c r="R76" s="38" t="s">
        <v>335</v>
      </c>
      <c r="S76" s="38">
        <v>1.0</v>
      </c>
      <c r="T76" s="38" t="s">
        <v>1699</v>
      </c>
    </row>
    <row r="77" ht="14.25" customHeight="1">
      <c r="A77" s="39" t="s">
        <v>1704</v>
      </c>
      <c r="B77" s="39" t="s">
        <v>1703</v>
      </c>
      <c r="C77" s="39" t="s">
        <v>1703</v>
      </c>
      <c r="D77" s="39" t="s">
        <v>239</v>
      </c>
      <c r="E77" s="39" t="s">
        <v>252</v>
      </c>
      <c r="F77" s="39" t="s">
        <v>240</v>
      </c>
      <c r="G77" s="39" t="s">
        <v>241</v>
      </c>
      <c r="H77" s="39" t="s">
        <v>244</v>
      </c>
      <c r="I77" s="43">
        <v>3900.0</v>
      </c>
      <c r="J77" s="39" t="s">
        <v>243</v>
      </c>
      <c r="K77" s="39" t="s">
        <v>242</v>
      </c>
      <c r="L77" s="39" t="s">
        <v>2320</v>
      </c>
      <c r="M77" s="39" t="s">
        <v>245</v>
      </c>
      <c r="N77" s="39" t="s">
        <v>245</v>
      </c>
      <c r="O77" s="45" t="s">
        <v>2244</v>
      </c>
      <c r="P77" s="39" t="s">
        <v>245</v>
      </c>
      <c r="Q77" s="39" t="s">
        <v>2245</v>
      </c>
      <c r="R77" s="39" t="s">
        <v>335</v>
      </c>
      <c r="S77" s="39">
        <v>1.0</v>
      </c>
      <c r="T77" s="39" t="s">
        <v>1702</v>
      </c>
    </row>
    <row r="78" ht="14.25" customHeight="1">
      <c r="A78" s="38" t="s">
        <v>1718</v>
      </c>
      <c r="B78" s="38" t="s">
        <v>1715</v>
      </c>
      <c r="C78" s="38" t="s">
        <v>1715</v>
      </c>
      <c r="D78" s="38" t="s">
        <v>422</v>
      </c>
      <c r="E78" s="38" t="s">
        <v>1717</v>
      </c>
      <c r="F78" s="38" t="s">
        <v>387</v>
      </c>
      <c r="G78" s="38" t="s">
        <v>402</v>
      </c>
      <c r="H78" s="38" t="s">
        <v>402</v>
      </c>
      <c r="I78" s="40">
        <v>0.05</v>
      </c>
      <c r="J78" s="38" t="s">
        <v>243</v>
      </c>
      <c r="K78" s="38" t="s">
        <v>322</v>
      </c>
      <c r="L78" s="38" t="s">
        <v>2321</v>
      </c>
      <c r="M78" s="38" t="s">
        <v>255</v>
      </c>
      <c r="N78" s="38" t="s">
        <v>245</v>
      </c>
      <c r="O78" s="42" t="s">
        <v>2244</v>
      </c>
      <c r="P78" s="38" t="s">
        <v>255</v>
      </c>
      <c r="Q78" s="38" t="s">
        <v>2245</v>
      </c>
      <c r="R78" s="38" t="s">
        <v>335</v>
      </c>
      <c r="S78" s="38">
        <v>1.0</v>
      </c>
      <c r="T78" s="38" t="s">
        <v>1714</v>
      </c>
    </row>
    <row r="79" ht="14.25" customHeight="1">
      <c r="A79" s="39" t="s">
        <v>1726</v>
      </c>
      <c r="B79" s="39" t="s">
        <v>1721</v>
      </c>
      <c r="C79" s="39" t="s">
        <v>1721</v>
      </c>
      <c r="D79" s="39" t="s">
        <v>409</v>
      </c>
      <c r="E79" s="39" t="s">
        <v>1725</v>
      </c>
      <c r="F79" s="39" t="s">
        <v>240</v>
      </c>
      <c r="G79" s="39" t="s">
        <v>362</v>
      </c>
      <c r="H79" s="39" t="s">
        <v>364</v>
      </c>
      <c r="I79" s="43">
        <v>900.0</v>
      </c>
      <c r="J79" s="39" t="s">
        <v>243</v>
      </c>
      <c r="K79" s="39" t="s">
        <v>242</v>
      </c>
      <c r="L79" s="39" t="s">
        <v>2322</v>
      </c>
      <c r="M79" s="39" t="s">
        <v>245</v>
      </c>
      <c r="N79" s="39" t="s">
        <v>245</v>
      </c>
      <c r="O79" s="45" t="s">
        <v>2244</v>
      </c>
      <c r="P79" s="39" t="s">
        <v>245</v>
      </c>
      <c r="Q79" s="39" t="s">
        <v>2245</v>
      </c>
      <c r="R79" s="39" t="s">
        <v>335</v>
      </c>
      <c r="S79" s="39">
        <v>1.0</v>
      </c>
      <c r="T79" s="39" t="s">
        <v>1720</v>
      </c>
    </row>
    <row r="80" ht="14.25" customHeight="1">
      <c r="A80" s="38" t="s">
        <v>1729</v>
      </c>
      <c r="B80" s="38" t="s">
        <v>1728</v>
      </c>
      <c r="C80" s="38" t="s">
        <v>1728</v>
      </c>
      <c r="D80" s="38" t="s">
        <v>239</v>
      </c>
      <c r="E80" s="38" t="s">
        <v>1244</v>
      </c>
      <c r="F80" s="38" t="s">
        <v>240</v>
      </c>
      <c r="G80" s="38" t="s">
        <v>362</v>
      </c>
      <c r="H80" s="38" t="s">
        <v>364</v>
      </c>
      <c r="I80" s="40">
        <v>900.0</v>
      </c>
      <c r="J80" s="38" t="s">
        <v>284</v>
      </c>
      <c r="K80" s="38" t="s">
        <v>242</v>
      </c>
      <c r="L80" s="38" t="s">
        <v>2323</v>
      </c>
      <c r="M80" s="38" t="s">
        <v>245</v>
      </c>
      <c r="N80" s="38" t="s">
        <v>245</v>
      </c>
      <c r="O80" s="42" t="s">
        <v>2244</v>
      </c>
      <c r="P80" s="38" t="s">
        <v>245</v>
      </c>
      <c r="Q80" s="38" t="s">
        <v>2245</v>
      </c>
      <c r="R80" s="38" t="s">
        <v>335</v>
      </c>
      <c r="S80" s="38">
        <v>1.0</v>
      </c>
      <c r="T80" s="38" t="s">
        <v>1727</v>
      </c>
    </row>
    <row r="81" ht="14.25" customHeight="1">
      <c r="A81" s="39" t="s">
        <v>1732</v>
      </c>
      <c r="B81" s="39" t="s">
        <v>1731</v>
      </c>
      <c r="C81" s="39" t="s">
        <v>1731</v>
      </c>
      <c r="D81" s="39" t="s">
        <v>386</v>
      </c>
      <c r="E81" s="39" t="s">
        <v>1469</v>
      </c>
      <c r="F81" s="39" t="s">
        <v>240</v>
      </c>
      <c r="G81" s="39" t="s">
        <v>1103</v>
      </c>
      <c r="H81" s="39" t="s">
        <v>2247</v>
      </c>
      <c r="I81" s="43">
        <v>400.0</v>
      </c>
      <c r="J81" s="39" t="s">
        <v>243</v>
      </c>
      <c r="K81" s="39" t="s">
        <v>242</v>
      </c>
      <c r="L81" s="39" t="s">
        <v>2324</v>
      </c>
      <c r="M81" s="39" t="s">
        <v>245</v>
      </c>
      <c r="N81" s="39" t="s">
        <v>245</v>
      </c>
      <c r="O81" s="45" t="s">
        <v>2244</v>
      </c>
      <c r="P81" s="39" t="s">
        <v>245</v>
      </c>
      <c r="Q81" s="39" t="s">
        <v>2245</v>
      </c>
      <c r="R81" s="39" t="s">
        <v>335</v>
      </c>
      <c r="S81" s="39">
        <v>1.0</v>
      </c>
      <c r="T81" s="39" t="s">
        <v>1730</v>
      </c>
    </row>
    <row r="82" ht="14.25" customHeight="1">
      <c r="A82" s="38" t="s">
        <v>1736</v>
      </c>
      <c r="B82" s="38" t="s">
        <v>1734</v>
      </c>
      <c r="C82" s="38" t="s">
        <v>1734</v>
      </c>
      <c r="D82" s="38" t="s">
        <v>281</v>
      </c>
      <c r="E82" s="38" t="s">
        <v>1290</v>
      </c>
      <c r="F82" s="38" t="s">
        <v>240</v>
      </c>
      <c r="G82" s="38" t="s">
        <v>1103</v>
      </c>
      <c r="H82" s="38" t="s">
        <v>2247</v>
      </c>
      <c r="I82" s="40">
        <v>220.0</v>
      </c>
      <c r="J82" s="38" t="s">
        <v>243</v>
      </c>
      <c r="K82" s="38" t="s">
        <v>242</v>
      </c>
      <c r="L82" s="38" t="s">
        <v>2325</v>
      </c>
      <c r="M82" s="38" t="s">
        <v>245</v>
      </c>
      <c r="N82" s="38" t="s">
        <v>245</v>
      </c>
      <c r="O82" s="42" t="s">
        <v>2244</v>
      </c>
      <c r="P82" s="38" t="s">
        <v>245</v>
      </c>
      <c r="Q82" s="38" t="s">
        <v>2245</v>
      </c>
      <c r="R82" s="38" t="s">
        <v>335</v>
      </c>
      <c r="S82" s="38">
        <v>1.0</v>
      </c>
      <c r="T82" s="38" t="s">
        <v>1733</v>
      </c>
    </row>
    <row r="83" ht="14.25" customHeight="1">
      <c r="A83" s="39" t="s">
        <v>1740</v>
      </c>
      <c r="B83" s="39" t="s">
        <v>1738</v>
      </c>
      <c r="C83" s="39" t="s">
        <v>1738</v>
      </c>
      <c r="D83" s="39" t="s">
        <v>415</v>
      </c>
      <c r="E83" s="39" t="s">
        <v>1739</v>
      </c>
      <c r="F83" s="39" t="s">
        <v>240</v>
      </c>
      <c r="G83" s="39" t="s">
        <v>306</v>
      </c>
      <c r="H83" s="39" t="s">
        <v>324</v>
      </c>
      <c r="I83" s="43">
        <v>15000.0</v>
      </c>
      <c r="J83" s="39" t="s">
        <v>243</v>
      </c>
      <c r="K83" s="39" t="s">
        <v>242</v>
      </c>
      <c r="L83" s="39" t="s">
        <v>2326</v>
      </c>
      <c r="M83" s="39" t="s">
        <v>245</v>
      </c>
      <c r="N83" s="39" t="s">
        <v>245</v>
      </c>
      <c r="O83" s="45" t="s">
        <v>2244</v>
      </c>
      <c r="P83" s="39" t="s">
        <v>245</v>
      </c>
      <c r="Q83" s="39" t="s">
        <v>2245</v>
      </c>
      <c r="R83" s="39" t="s">
        <v>335</v>
      </c>
      <c r="S83" s="39">
        <v>1.0</v>
      </c>
      <c r="T83" s="39" t="s">
        <v>1737</v>
      </c>
    </row>
    <row r="84" ht="14.25" customHeight="1">
      <c r="A84" s="38" t="s">
        <v>1744</v>
      </c>
      <c r="B84" s="38" t="s">
        <v>1742</v>
      </c>
      <c r="C84" s="38" t="s">
        <v>1742</v>
      </c>
      <c r="D84" s="38" t="s">
        <v>239</v>
      </c>
      <c r="E84" s="38" t="s">
        <v>1056</v>
      </c>
      <c r="F84" s="38" t="s">
        <v>240</v>
      </c>
      <c r="G84" s="38" t="s">
        <v>388</v>
      </c>
      <c r="H84" s="38" t="s">
        <v>2284</v>
      </c>
      <c r="I84" s="40">
        <v>26400.0</v>
      </c>
      <c r="J84" s="38" t="s">
        <v>243</v>
      </c>
      <c r="K84" s="38" t="s">
        <v>242</v>
      </c>
      <c r="L84" s="38" t="s">
        <v>2327</v>
      </c>
      <c r="M84" s="38" t="s">
        <v>245</v>
      </c>
      <c r="N84" s="38" t="s">
        <v>245</v>
      </c>
      <c r="O84" s="42" t="s">
        <v>2244</v>
      </c>
      <c r="P84" s="38" t="s">
        <v>245</v>
      </c>
      <c r="Q84" s="38" t="s">
        <v>2245</v>
      </c>
      <c r="R84" s="38" t="s">
        <v>335</v>
      </c>
      <c r="S84" s="38">
        <v>1.0</v>
      </c>
      <c r="T84" s="38" t="s">
        <v>1741</v>
      </c>
    </row>
    <row r="85" ht="14.25" customHeight="1">
      <c r="A85" s="39" t="s">
        <v>1747</v>
      </c>
      <c r="B85" s="39" t="s">
        <v>1746</v>
      </c>
      <c r="C85" s="39" t="s">
        <v>1746</v>
      </c>
      <c r="D85" s="39" t="s">
        <v>239</v>
      </c>
      <c r="E85" s="39" t="s">
        <v>1056</v>
      </c>
      <c r="F85" s="39" t="s">
        <v>240</v>
      </c>
      <c r="G85" s="39" t="s">
        <v>241</v>
      </c>
      <c r="H85" s="39" t="s">
        <v>244</v>
      </c>
      <c r="I85" s="43">
        <v>250.0</v>
      </c>
      <c r="J85" s="39" t="s">
        <v>243</v>
      </c>
      <c r="K85" s="39" t="s">
        <v>242</v>
      </c>
      <c r="L85" s="39" t="s">
        <v>2328</v>
      </c>
      <c r="M85" s="39" t="s">
        <v>245</v>
      </c>
      <c r="N85" s="39" t="s">
        <v>245</v>
      </c>
      <c r="O85" s="45" t="s">
        <v>2244</v>
      </c>
      <c r="P85" s="39" t="s">
        <v>245</v>
      </c>
      <c r="Q85" s="39" t="s">
        <v>2245</v>
      </c>
      <c r="R85" s="39" t="s">
        <v>335</v>
      </c>
      <c r="S85" s="39">
        <v>1.0</v>
      </c>
      <c r="T85" s="39" t="s">
        <v>1745</v>
      </c>
    </row>
    <row r="86" ht="14.25" customHeight="1">
      <c r="A86" s="38" t="s">
        <v>1768</v>
      </c>
      <c r="B86" s="38" t="s">
        <v>1767</v>
      </c>
      <c r="C86" s="38" t="s">
        <v>1767</v>
      </c>
      <c r="D86" s="38" t="s">
        <v>399</v>
      </c>
      <c r="E86" s="38" t="s">
        <v>1012</v>
      </c>
      <c r="F86" s="38" t="s">
        <v>240</v>
      </c>
      <c r="G86" s="38" t="s">
        <v>241</v>
      </c>
      <c r="H86" s="38" t="s">
        <v>244</v>
      </c>
      <c r="I86" s="40">
        <v>400.0</v>
      </c>
      <c r="J86" s="38" t="s">
        <v>243</v>
      </c>
      <c r="K86" s="38" t="s">
        <v>242</v>
      </c>
      <c r="L86" s="38" t="s">
        <v>2329</v>
      </c>
      <c r="M86" s="38" t="s">
        <v>245</v>
      </c>
      <c r="N86" s="38" t="s">
        <v>245</v>
      </c>
      <c r="O86" s="42" t="s">
        <v>2244</v>
      </c>
      <c r="P86" s="38" t="s">
        <v>245</v>
      </c>
      <c r="Q86" s="38" t="s">
        <v>2245</v>
      </c>
      <c r="R86" s="38" t="s">
        <v>335</v>
      </c>
      <c r="S86" s="38">
        <v>1.0</v>
      </c>
      <c r="T86" s="38" t="s">
        <v>1766</v>
      </c>
    </row>
    <row r="87" ht="14.25" customHeight="1">
      <c r="A87" s="39" t="s">
        <v>1772</v>
      </c>
      <c r="B87" s="39" t="s">
        <v>1770</v>
      </c>
      <c r="C87" s="39" t="s">
        <v>1770</v>
      </c>
      <c r="D87" s="39" t="s">
        <v>281</v>
      </c>
      <c r="E87" s="39" t="s">
        <v>447</v>
      </c>
      <c r="F87" s="39" t="s">
        <v>240</v>
      </c>
      <c r="G87" s="39" t="s">
        <v>241</v>
      </c>
      <c r="H87" s="39" t="s">
        <v>244</v>
      </c>
      <c r="I87" s="43">
        <v>470.0</v>
      </c>
      <c r="J87" s="39" t="s">
        <v>243</v>
      </c>
      <c r="K87" s="39" t="s">
        <v>242</v>
      </c>
      <c r="L87" s="39" t="s">
        <v>2330</v>
      </c>
      <c r="M87" s="39" t="s">
        <v>245</v>
      </c>
      <c r="N87" s="39" t="s">
        <v>245</v>
      </c>
      <c r="O87" s="45" t="s">
        <v>2244</v>
      </c>
      <c r="P87" s="39" t="s">
        <v>245</v>
      </c>
      <c r="Q87" s="39" t="s">
        <v>2245</v>
      </c>
      <c r="R87" s="39" t="s">
        <v>335</v>
      </c>
      <c r="S87" s="39">
        <v>1.0</v>
      </c>
      <c r="T87" s="39" t="s">
        <v>1769</v>
      </c>
    </row>
    <row r="88" ht="14.25" customHeight="1">
      <c r="A88" s="38" t="s">
        <v>1775</v>
      </c>
      <c r="B88" s="38" t="s">
        <v>1774</v>
      </c>
      <c r="C88" s="38" t="s">
        <v>1774</v>
      </c>
      <c r="D88" s="38" t="s">
        <v>239</v>
      </c>
      <c r="E88" s="38" t="s">
        <v>1244</v>
      </c>
      <c r="F88" s="38" t="s">
        <v>240</v>
      </c>
      <c r="G88" s="38" t="s">
        <v>362</v>
      </c>
      <c r="H88" s="38" t="s">
        <v>364</v>
      </c>
      <c r="I88" s="40">
        <v>900.0</v>
      </c>
      <c r="J88" s="38" t="s">
        <v>243</v>
      </c>
      <c r="K88" s="38" t="s">
        <v>242</v>
      </c>
      <c r="L88" s="38" t="s">
        <v>2331</v>
      </c>
      <c r="M88" s="38" t="s">
        <v>245</v>
      </c>
      <c r="N88" s="38" t="s">
        <v>245</v>
      </c>
      <c r="O88" s="42" t="s">
        <v>2244</v>
      </c>
      <c r="P88" s="38" t="s">
        <v>245</v>
      </c>
      <c r="Q88" s="38" t="s">
        <v>2245</v>
      </c>
      <c r="R88" s="38" t="s">
        <v>335</v>
      </c>
      <c r="S88" s="38">
        <v>1.0</v>
      </c>
      <c r="T88" s="38" t="s">
        <v>1773</v>
      </c>
    </row>
    <row r="89" ht="14.25" customHeight="1">
      <c r="A89" s="39" t="s">
        <v>1779</v>
      </c>
      <c r="B89" s="39" t="s">
        <v>1777</v>
      </c>
      <c r="C89" s="39" t="s">
        <v>1777</v>
      </c>
      <c r="D89" s="39" t="s">
        <v>239</v>
      </c>
      <c r="E89" s="39" t="s">
        <v>1244</v>
      </c>
      <c r="F89" s="39" t="s">
        <v>240</v>
      </c>
      <c r="G89" s="39" t="s">
        <v>362</v>
      </c>
      <c r="H89" s="39" t="s">
        <v>364</v>
      </c>
      <c r="I89" s="43">
        <v>600.0</v>
      </c>
      <c r="J89" s="39" t="s">
        <v>243</v>
      </c>
      <c r="K89" s="39" t="s">
        <v>242</v>
      </c>
      <c r="L89" s="39" t="s">
        <v>2332</v>
      </c>
      <c r="M89" s="39" t="s">
        <v>245</v>
      </c>
      <c r="N89" s="39" t="s">
        <v>245</v>
      </c>
      <c r="O89" s="45" t="s">
        <v>2244</v>
      </c>
      <c r="P89" s="39" t="s">
        <v>245</v>
      </c>
      <c r="Q89" s="39" t="s">
        <v>2245</v>
      </c>
      <c r="R89" s="39" t="s">
        <v>335</v>
      </c>
      <c r="S89" s="39">
        <v>1.0</v>
      </c>
      <c r="T89" s="39" t="s">
        <v>1776</v>
      </c>
    </row>
    <row r="90" ht="14.25" customHeight="1">
      <c r="A90" s="38" t="s">
        <v>1782</v>
      </c>
      <c r="B90" s="38" t="s">
        <v>1781</v>
      </c>
      <c r="C90" s="38" t="s">
        <v>1781</v>
      </c>
      <c r="D90" s="38" t="s">
        <v>239</v>
      </c>
      <c r="E90" s="38" t="s">
        <v>522</v>
      </c>
      <c r="F90" s="38" t="s">
        <v>240</v>
      </c>
      <c r="G90" s="38" t="s">
        <v>362</v>
      </c>
      <c r="H90" s="38" t="s">
        <v>364</v>
      </c>
      <c r="I90" s="40">
        <v>800.0</v>
      </c>
      <c r="J90" s="38" t="s">
        <v>243</v>
      </c>
      <c r="K90" s="38" t="s">
        <v>242</v>
      </c>
      <c r="L90" s="38" t="s">
        <v>2333</v>
      </c>
      <c r="M90" s="38" t="s">
        <v>245</v>
      </c>
      <c r="N90" s="38" t="s">
        <v>245</v>
      </c>
      <c r="O90" s="42" t="s">
        <v>2244</v>
      </c>
      <c r="P90" s="38" t="s">
        <v>245</v>
      </c>
      <c r="Q90" s="38" t="s">
        <v>2245</v>
      </c>
      <c r="R90" s="38" t="s">
        <v>335</v>
      </c>
      <c r="S90" s="38">
        <v>1.0</v>
      </c>
      <c r="T90" s="38" t="s">
        <v>1780</v>
      </c>
    </row>
    <row r="91" ht="14.25" customHeight="1">
      <c r="A91" s="39" t="s">
        <v>1817</v>
      </c>
      <c r="B91" s="39" t="s">
        <v>1816</v>
      </c>
      <c r="C91" s="39" t="s">
        <v>1816</v>
      </c>
      <c r="D91" s="39" t="s">
        <v>419</v>
      </c>
      <c r="E91" s="39" t="s">
        <v>1229</v>
      </c>
      <c r="F91" s="39" t="s">
        <v>240</v>
      </c>
      <c r="G91" s="39" t="s">
        <v>362</v>
      </c>
      <c r="H91" s="39" t="s">
        <v>364</v>
      </c>
      <c r="I91" s="43">
        <v>500.0</v>
      </c>
      <c r="J91" s="39" t="s">
        <v>243</v>
      </c>
      <c r="K91" s="39" t="s">
        <v>268</v>
      </c>
      <c r="L91" s="39" t="s">
        <v>2334</v>
      </c>
      <c r="M91" s="39" t="s">
        <v>245</v>
      </c>
      <c r="N91" s="39" t="s">
        <v>245</v>
      </c>
      <c r="O91" s="45" t="s">
        <v>2244</v>
      </c>
      <c r="P91" s="39" t="s">
        <v>245</v>
      </c>
      <c r="Q91" s="39" t="s">
        <v>2245</v>
      </c>
      <c r="R91" s="39" t="s">
        <v>335</v>
      </c>
      <c r="S91" s="39">
        <v>1.0</v>
      </c>
      <c r="T91" s="39" t="s">
        <v>1815</v>
      </c>
    </row>
    <row r="92" ht="14.25" customHeight="1">
      <c r="A92" s="38" t="s">
        <v>1820</v>
      </c>
      <c r="B92" s="38" t="s">
        <v>1819</v>
      </c>
      <c r="C92" s="38" t="s">
        <v>1819</v>
      </c>
      <c r="D92" s="38" t="s">
        <v>405</v>
      </c>
      <c r="E92" s="38" t="s">
        <v>522</v>
      </c>
      <c r="F92" s="38" t="s">
        <v>240</v>
      </c>
      <c r="G92" s="38" t="s">
        <v>241</v>
      </c>
      <c r="H92" s="38" t="s">
        <v>244</v>
      </c>
      <c r="I92" s="40">
        <v>2000.0</v>
      </c>
      <c r="J92" s="38" t="s">
        <v>243</v>
      </c>
      <c r="K92" s="38" t="s">
        <v>242</v>
      </c>
      <c r="L92" s="38" t="s">
        <v>2335</v>
      </c>
      <c r="M92" s="38" t="s">
        <v>245</v>
      </c>
      <c r="N92" s="38" t="s">
        <v>245</v>
      </c>
      <c r="O92" s="42" t="s">
        <v>2244</v>
      </c>
      <c r="P92" s="38" t="s">
        <v>245</v>
      </c>
      <c r="Q92" s="38" t="s">
        <v>2245</v>
      </c>
      <c r="R92" s="38" t="s">
        <v>335</v>
      </c>
      <c r="S92" s="38">
        <v>1.0</v>
      </c>
      <c r="T92" s="38" t="s">
        <v>1818</v>
      </c>
    </row>
    <row r="93" ht="14.25" customHeight="1">
      <c r="A93" s="39" t="s">
        <v>1823</v>
      </c>
      <c r="B93" s="39" t="s">
        <v>1822</v>
      </c>
      <c r="C93" s="39" t="s">
        <v>1822</v>
      </c>
      <c r="D93" s="39" t="s">
        <v>239</v>
      </c>
      <c r="E93" s="39" t="s">
        <v>1113</v>
      </c>
      <c r="F93" s="39" t="s">
        <v>240</v>
      </c>
      <c r="G93" s="39" t="s">
        <v>1103</v>
      </c>
      <c r="H93" s="39" t="s">
        <v>2247</v>
      </c>
      <c r="I93" s="43">
        <v>580.0</v>
      </c>
      <c r="J93" s="39" t="s">
        <v>243</v>
      </c>
      <c r="K93" s="39" t="s">
        <v>242</v>
      </c>
      <c r="L93" s="39" t="s">
        <v>2336</v>
      </c>
      <c r="M93" s="39" t="s">
        <v>245</v>
      </c>
      <c r="N93" s="39" t="s">
        <v>245</v>
      </c>
      <c r="O93" s="45" t="s">
        <v>2244</v>
      </c>
      <c r="P93" s="39" t="s">
        <v>245</v>
      </c>
      <c r="Q93" s="39" t="s">
        <v>2245</v>
      </c>
      <c r="R93" s="39" t="s">
        <v>335</v>
      </c>
      <c r="S93" s="39">
        <v>1.0</v>
      </c>
      <c r="T93" s="39" t="s">
        <v>1821</v>
      </c>
    </row>
    <row r="94" ht="14.25" customHeight="1">
      <c r="A94" s="38" t="s">
        <v>1827</v>
      </c>
      <c r="B94" s="38" t="s">
        <v>1825</v>
      </c>
      <c r="C94" s="38" t="s">
        <v>1825</v>
      </c>
      <c r="D94" s="38" t="s">
        <v>239</v>
      </c>
      <c r="E94" s="38" t="s">
        <v>1062</v>
      </c>
      <c r="F94" s="38" t="s">
        <v>240</v>
      </c>
      <c r="G94" s="38" t="s">
        <v>1103</v>
      </c>
      <c r="H94" s="38" t="s">
        <v>2247</v>
      </c>
      <c r="I94" s="40">
        <v>700.0</v>
      </c>
      <c r="J94" s="38" t="s">
        <v>243</v>
      </c>
      <c r="K94" s="38" t="s">
        <v>242</v>
      </c>
      <c r="L94" s="38" t="s">
        <v>2337</v>
      </c>
      <c r="M94" s="38" t="s">
        <v>245</v>
      </c>
      <c r="N94" s="38" t="s">
        <v>245</v>
      </c>
      <c r="O94" s="42" t="s">
        <v>2244</v>
      </c>
      <c r="P94" s="38" t="s">
        <v>245</v>
      </c>
      <c r="Q94" s="38" t="s">
        <v>2245</v>
      </c>
      <c r="R94" s="38" t="s">
        <v>335</v>
      </c>
      <c r="S94" s="38">
        <v>1.0</v>
      </c>
      <c r="T94" s="38" t="s">
        <v>1824</v>
      </c>
    </row>
    <row r="95" ht="14.25" customHeight="1">
      <c r="A95" s="39" t="s">
        <v>1830</v>
      </c>
      <c r="B95" s="39" t="s">
        <v>1829</v>
      </c>
      <c r="C95" s="39" t="s">
        <v>1829</v>
      </c>
      <c r="D95" s="39" t="s">
        <v>386</v>
      </c>
      <c r="E95" s="39" t="s">
        <v>1130</v>
      </c>
      <c r="F95" s="39" t="s">
        <v>240</v>
      </c>
      <c r="G95" s="39" t="s">
        <v>388</v>
      </c>
      <c r="H95" s="39" t="s">
        <v>2284</v>
      </c>
      <c r="I95" s="43">
        <v>2000.0</v>
      </c>
      <c r="J95" s="39" t="s">
        <v>243</v>
      </c>
      <c r="K95" s="39" t="s">
        <v>242</v>
      </c>
      <c r="L95" s="39" t="s">
        <v>2338</v>
      </c>
      <c r="M95" s="39" t="s">
        <v>245</v>
      </c>
      <c r="N95" s="39" t="s">
        <v>245</v>
      </c>
      <c r="O95" s="45" t="s">
        <v>2244</v>
      </c>
      <c r="P95" s="39" t="s">
        <v>245</v>
      </c>
      <c r="Q95" s="39" t="s">
        <v>2245</v>
      </c>
      <c r="R95" s="39" t="s">
        <v>335</v>
      </c>
      <c r="S95" s="39">
        <v>1.0</v>
      </c>
      <c r="T95" s="39" t="s">
        <v>1828</v>
      </c>
    </row>
    <row r="96" ht="14.25" customHeight="1">
      <c r="A96" s="38" t="s">
        <v>1842</v>
      </c>
      <c r="B96" s="38" t="s">
        <v>1841</v>
      </c>
      <c r="C96" s="38" t="s">
        <v>1841</v>
      </c>
      <c r="D96" s="38" t="s">
        <v>415</v>
      </c>
      <c r="E96" s="38" t="s">
        <v>1739</v>
      </c>
      <c r="F96" s="38" t="s">
        <v>240</v>
      </c>
      <c r="G96" s="38" t="s">
        <v>306</v>
      </c>
      <c r="H96" s="38" t="s">
        <v>324</v>
      </c>
      <c r="I96" s="40">
        <v>950.0</v>
      </c>
      <c r="J96" s="38" t="s">
        <v>243</v>
      </c>
      <c r="K96" s="38" t="s">
        <v>242</v>
      </c>
      <c r="L96" s="38" t="s">
        <v>2339</v>
      </c>
      <c r="M96" s="38" t="s">
        <v>245</v>
      </c>
      <c r="N96" s="38" t="s">
        <v>245</v>
      </c>
      <c r="O96" s="42" t="s">
        <v>2244</v>
      </c>
      <c r="P96" s="38" t="s">
        <v>245</v>
      </c>
      <c r="Q96" s="38" t="s">
        <v>2245</v>
      </c>
      <c r="R96" s="38" t="s">
        <v>335</v>
      </c>
      <c r="S96" s="38">
        <v>1.0</v>
      </c>
      <c r="T96" s="38" t="s">
        <v>1840</v>
      </c>
    </row>
    <row r="97" ht="14.25" customHeight="1">
      <c r="A97" s="39" t="s">
        <v>1849</v>
      </c>
      <c r="B97" s="39" t="s">
        <v>1848</v>
      </c>
      <c r="C97" s="39" t="s">
        <v>1848</v>
      </c>
      <c r="D97" s="39" t="s">
        <v>239</v>
      </c>
      <c r="E97" s="39" t="s">
        <v>522</v>
      </c>
      <c r="F97" s="39" t="s">
        <v>240</v>
      </c>
      <c r="G97" s="39" t="s">
        <v>241</v>
      </c>
      <c r="H97" s="39" t="s">
        <v>244</v>
      </c>
      <c r="I97" s="43">
        <v>150.0</v>
      </c>
      <c r="J97" s="39" t="s">
        <v>243</v>
      </c>
      <c r="K97" s="39" t="s">
        <v>242</v>
      </c>
      <c r="L97" s="39" t="s">
        <v>2340</v>
      </c>
      <c r="M97" s="39" t="s">
        <v>245</v>
      </c>
      <c r="N97" s="39" t="s">
        <v>245</v>
      </c>
      <c r="O97" s="45" t="s">
        <v>2244</v>
      </c>
      <c r="P97" s="39" t="s">
        <v>245</v>
      </c>
      <c r="Q97" s="39" t="s">
        <v>2245</v>
      </c>
      <c r="R97" s="39" t="s">
        <v>335</v>
      </c>
      <c r="S97" s="39">
        <v>1.0</v>
      </c>
      <c r="T97" s="39" t="s">
        <v>1847</v>
      </c>
    </row>
    <row r="98" ht="14.25" customHeight="1">
      <c r="A98" s="38" t="s">
        <v>1863</v>
      </c>
      <c r="B98" s="38" t="s">
        <v>1861</v>
      </c>
      <c r="C98" s="38" t="s">
        <v>1861</v>
      </c>
      <c r="D98" s="38" t="s">
        <v>320</v>
      </c>
      <c r="E98" s="38" t="s">
        <v>1080</v>
      </c>
      <c r="F98" s="38" t="s">
        <v>321</v>
      </c>
      <c r="G98" s="38" t="s">
        <v>1124</v>
      </c>
      <c r="H98" s="38" t="s">
        <v>2247</v>
      </c>
      <c r="I98" s="40">
        <v>26000.0</v>
      </c>
      <c r="J98" s="38" t="s">
        <v>323</v>
      </c>
      <c r="K98" s="38" t="s">
        <v>268</v>
      </c>
      <c r="L98" s="38" t="s">
        <v>2341</v>
      </c>
      <c r="M98" s="38" t="s">
        <v>245</v>
      </c>
      <c r="N98" s="38" t="s">
        <v>245</v>
      </c>
      <c r="O98" s="42" t="s">
        <v>2244</v>
      </c>
      <c r="P98" s="38" t="s">
        <v>255</v>
      </c>
      <c r="Q98" s="38" t="s">
        <v>2245</v>
      </c>
      <c r="R98" s="38" t="s">
        <v>335</v>
      </c>
      <c r="S98" s="38">
        <v>1.0</v>
      </c>
      <c r="T98" s="38" t="s">
        <v>1860</v>
      </c>
    </row>
    <row r="99" ht="14.25" customHeight="1">
      <c r="A99" s="39" t="s">
        <v>1867</v>
      </c>
      <c r="B99" s="39" t="s">
        <v>1865</v>
      </c>
      <c r="C99" s="39" t="s">
        <v>1865</v>
      </c>
      <c r="D99" s="39" t="s">
        <v>386</v>
      </c>
      <c r="E99" s="39" t="s">
        <v>1866</v>
      </c>
      <c r="F99" s="39" t="s">
        <v>240</v>
      </c>
      <c r="G99" s="39" t="s">
        <v>388</v>
      </c>
      <c r="H99" s="39" t="s">
        <v>2284</v>
      </c>
      <c r="I99" s="43">
        <v>10000.0</v>
      </c>
      <c r="J99" s="39" t="s">
        <v>243</v>
      </c>
      <c r="K99" s="39" t="s">
        <v>242</v>
      </c>
      <c r="L99" s="39" t="s">
        <v>2342</v>
      </c>
      <c r="M99" s="39" t="s">
        <v>245</v>
      </c>
      <c r="N99" s="39" t="s">
        <v>245</v>
      </c>
      <c r="O99" s="45" t="s">
        <v>2244</v>
      </c>
      <c r="P99" s="39" t="s">
        <v>245</v>
      </c>
      <c r="Q99" s="39" t="s">
        <v>2245</v>
      </c>
      <c r="R99" s="39" t="s">
        <v>335</v>
      </c>
      <c r="S99" s="39">
        <v>1.0</v>
      </c>
      <c r="T99" s="39" t="s">
        <v>1864</v>
      </c>
    </row>
    <row r="100" ht="14.25" customHeight="1">
      <c r="A100" s="38" t="s">
        <v>1870</v>
      </c>
      <c r="B100" s="38" t="s">
        <v>1869</v>
      </c>
      <c r="C100" s="38" t="s">
        <v>1869</v>
      </c>
      <c r="D100" s="38" t="s">
        <v>413</v>
      </c>
      <c r="E100" s="38" t="s">
        <v>1252</v>
      </c>
      <c r="F100" s="38" t="s">
        <v>240</v>
      </c>
      <c r="G100" s="38" t="s">
        <v>241</v>
      </c>
      <c r="H100" s="38" t="s">
        <v>244</v>
      </c>
      <c r="I100" s="40">
        <v>700.0</v>
      </c>
      <c r="J100" s="38" t="s">
        <v>243</v>
      </c>
      <c r="K100" s="38" t="s">
        <v>242</v>
      </c>
      <c r="L100" s="38" t="s">
        <v>2343</v>
      </c>
      <c r="M100" s="38" t="s">
        <v>245</v>
      </c>
      <c r="N100" s="38" t="s">
        <v>245</v>
      </c>
      <c r="O100" s="42" t="s">
        <v>2244</v>
      </c>
      <c r="P100" s="38" t="s">
        <v>245</v>
      </c>
      <c r="Q100" s="38" t="s">
        <v>2245</v>
      </c>
      <c r="R100" s="38" t="s">
        <v>335</v>
      </c>
      <c r="S100" s="38">
        <v>1.0</v>
      </c>
      <c r="T100" s="38" t="s">
        <v>1868</v>
      </c>
    </row>
    <row r="101" ht="14.25" customHeight="1">
      <c r="A101" s="39" t="s">
        <v>1873</v>
      </c>
      <c r="B101" s="39" t="s">
        <v>1872</v>
      </c>
      <c r="C101" s="39" t="s">
        <v>1872</v>
      </c>
      <c r="D101" s="39" t="s">
        <v>399</v>
      </c>
      <c r="E101" s="39" t="s">
        <v>1274</v>
      </c>
      <c r="F101" s="39" t="s">
        <v>240</v>
      </c>
      <c r="G101" s="39" t="s">
        <v>241</v>
      </c>
      <c r="H101" s="39" t="s">
        <v>244</v>
      </c>
      <c r="I101" s="43">
        <v>30.0</v>
      </c>
      <c r="J101" s="39" t="s">
        <v>243</v>
      </c>
      <c r="K101" s="39" t="s">
        <v>242</v>
      </c>
      <c r="L101" s="39" t="s">
        <v>2344</v>
      </c>
      <c r="M101" s="39" t="s">
        <v>245</v>
      </c>
      <c r="N101" s="39" t="s">
        <v>245</v>
      </c>
      <c r="O101" s="45" t="s">
        <v>2244</v>
      </c>
      <c r="P101" s="39" t="s">
        <v>245</v>
      </c>
      <c r="Q101" s="39" t="s">
        <v>2245</v>
      </c>
      <c r="R101" s="39" t="s">
        <v>335</v>
      </c>
      <c r="S101" s="39">
        <v>1.0</v>
      </c>
      <c r="T101" s="39" t="s">
        <v>1871</v>
      </c>
    </row>
    <row r="102" ht="14.25" customHeight="1">
      <c r="A102" s="38" t="s">
        <v>1896</v>
      </c>
      <c r="B102" s="38" t="s">
        <v>1894</v>
      </c>
      <c r="C102" s="38" t="s">
        <v>1894</v>
      </c>
      <c r="D102" s="38" t="s">
        <v>399</v>
      </c>
      <c r="E102" s="38" t="s">
        <v>1895</v>
      </c>
      <c r="F102" s="38" t="s">
        <v>240</v>
      </c>
      <c r="G102" s="38" t="s">
        <v>241</v>
      </c>
      <c r="H102" s="38" t="s">
        <v>244</v>
      </c>
      <c r="I102" s="40">
        <v>220.0</v>
      </c>
      <c r="J102" s="38" t="s">
        <v>284</v>
      </c>
      <c r="K102" s="38" t="s">
        <v>242</v>
      </c>
      <c r="L102" s="38" t="s">
        <v>2345</v>
      </c>
      <c r="M102" s="38" t="s">
        <v>245</v>
      </c>
      <c r="N102" s="38" t="s">
        <v>245</v>
      </c>
      <c r="O102" s="42" t="s">
        <v>2244</v>
      </c>
      <c r="P102" s="38" t="s">
        <v>245</v>
      </c>
      <c r="Q102" s="38" t="s">
        <v>2245</v>
      </c>
      <c r="R102" s="38" t="s">
        <v>335</v>
      </c>
      <c r="S102" s="38">
        <v>1.0</v>
      </c>
      <c r="T102" s="38" t="s">
        <v>1893</v>
      </c>
    </row>
    <row r="103" ht="14.25" customHeight="1">
      <c r="A103" s="39" t="s">
        <v>1937</v>
      </c>
      <c r="B103" s="39" t="s">
        <v>1936</v>
      </c>
      <c r="C103" s="39" t="s">
        <v>1936</v>
      </c>
      <c r="D103" s="39" t="s">
        <v>320</v>
      </c>
      <c r="E103" s="39" t="s">
        <v>1209</v>
      </c>
      <c r="F103" s="39" t="s">
        <v>240</v>
      </c>
      <c r="G103" s="39" t="s">
        <v>241</v>
      </c>
      <c r="H103" s="39" t="s">
        <v>244</v>
      </c>
      <c r="I103" s="43">
        <v>300.0</v>
      </c>
      <c r="J103" s="39" t="s">
        <v>243</v>
      </c>
      <c r="K103" s="39" t="s">
        <v>242</v>
      </c>
      <c r="L103" s="39" t="s">
        <v>2346</v>
      </c>
      <c r="M103" s="39" t="s">
        <v>245</v>
      </c>
      <c r="N103" s="39" t="s">
        <v>245</v>
      </c>
      <c r="O103" s="45" t="s">
        <v>2244</v>
      </c>
      <c r="P103" s="39" t="s">
        <v>245</v>
      </c>
      <c r="Q103" s="39" t="s">
        <v>2245</v>
      </c>
      <c r="R103" s="39" t="s">
        <v>335</v>
      </c>
      <c r="S103" s="39">
        <v>1.0</v>
      </c>
      <c r="T103" s="39" t="s">
        <v>1935</v>
      </c>
    </row>
    <row r="104" ht="14.25" customHeight="1">
      <c r="A104" s="38" t="s">
        <v>1941</v>
      </c>
      <c r="B104" s="38" t="s">
        <v>1939</v>
      </c>
      <c r="C104" s="38" t="s">
        <v>1939</v>
      </c>
      <c r="D104" s="38" t="s">
        <v>413</v>
      </c>
      <c r="E104" s="38" t="s">
        <v>1252</v>
      </c>
      <c r="F104" s="38" t="s">
        <v>240</v>
      </c>
      <c r="G104" s="38" t="s">
        <v>241</v>
      </c>
      <c r="H104" s="38" t="s">
        <v>244</v>
      </c>
      <c r="I104" s="40">
        <v>3650.0</v>
      </c>
      <c r="J104" s="38" t="s">
        <v>243</v>
      </c>
      <c r="K104" s="38" t="s">
        <v>242</v>
      </c>
      <c r="L104" s="38" t="s">
        <v>2347</v>
      </c>
      <c r="M104" s="38" t="s">
        <v>245</v>
      </c>
      <c r="N104" s="38" t="s">
        <v>245</v>
      </c>
      <c r="O104" s="42" t="s">
        <v>2244</v>
      </c>
      <c r="P104" s="38" t="s">
        <v>245</v>
      </c>
      <c r="Q104" s="38" t="s">
        <v>2245</v>
      </c>
      <c r="R104" s="38" t="s">
        <v>335</v>
      </c>
      <c r="S104" s="38">
        <v>1.0</v>
      </c>
      <c r="T104" s="38" t="s">
        <v>1938</v>
      </c>
    </row>
    <row r="105" ht="14.25" customHeight="1">
      <c r="A105" s="39" t="s">
        <v>1949</v>
      </c>
      <c r="B105" s="39" t="s">
        <v>1947</v>
      </c>
      <c r="C105" s="39" t="s">
        <v>1947</v>
      </c>
      <c r="D105" s="39" t="s">
        <v>413</v>
      </c>
      <c r="E105" s="39" t="s">
        <v>1948</v>
      </c>
      <c r="F105" s="39" t="s">
        <v>240</v>
      </c>
      <c r="G105" s="39" t="s">
        <v>306</v>
      </c>
      <c r="H105" s="39" t="s">
        <v>324</v>
      </c>
      <c r="I105" s="43">
        <v>3800.0</v>
      </c>
      <c r="J105" s="39" t="s">
        <v>243</v>
      </c>
      <c r="K105" s="39" t="s">
        <v>242</v>
      </c>
      <c r="L105" s="39" t="s">
        <v>2348</v>
      </c>
      <c r="M105" s="39" t="s">
        <v>245</v>
      </c>
      <c r="N105" s="39" t="s">
        <v>245</v>
      </c>
      <c r="O105" s="45" t="s">
        <v>2244</v>
      </c>
      <c r="P105" s="39" t="s">
        <v>245</v>
      </c>
      <c r="Q105" s="39" t="s">
        <v>2245</v>
      </c>
      <c r="R105" s="39" t="s">
        <v>335</v>
      </c>
      <c r="S105" s="39">
        <v>1.0</v>
      </c>
      <c r="T105" s="39" t="s">
        <v>1946</v>
      </c>
    </row>
    <row r="106" ht="14.25" customHeight="1">
      <c r="A106" s="38" t="s">
        <v>1963</v>
      </c>
      <c r="B106" s="38" t="s">
        <v>1960</v>
      </c>
      <c r="C106" s="38" t="s">
        <v>1960</v>
      </c>
      <c r="D106" s="38" t="s">
        <v>421</v>
      </c>
      <c r="E106" s="38" t="s">
        <v>1962</v>
      </c>
      <c r="F106" s="38" t="s">
        <v>387</v>
      </c>
      <c r="G106" s="38" t="s">
        <v>402</v>
      </c>
      <c r="H106" s="38" t="s">
        <v>402</v>
      </c>
      <c r="I106" s="40">
        <v>0.01</v>
      </c>
      <c r="J106" s="38" t="s">
        <v>243</v>
      </c>
      <c r="K106" s="38" t="s">
        <v>322</v>
      </c>
      <c r="L106" s="38" t="s">
        <v>2349</v>
      </c>
      <c r="M106" s="38" t="s">
        <v>255</v>
      </c>
      <c r="N106" s="38" t="s">
        <v>245</v>
      </c>
      <c r="O106" s="42" t="s">
        <v>2244</v>
      </c>
      <c r="P106" s="38" t="s">
        <v>255</v>
      </c>
      <c r="Q106" s="38" t="s">
        <v>2245</v>
      </c>
      <c r="R106" s="38" t="s">
        <v>335</v>
      </c>
      <c r="S106" s="38">
        <v>1.0</v>
      </c>
      <c r="T106" s="38" t="s">
        <v>1959</v>
      </c>
    </row>
    <row r="107" ht="14.25" customHeight="1">
      <c r="A107" s="39" t="s">
        <v>2003</v>
      </c>
      <c r="B107" s="39" t="s">
        <v>2002</v>
      </c>
      <c r="C107" s="39" t="s">
        <v>2002</v>
      </c>
      <c r="D107" s="39" t="s">
        <v>386</v>
      </c>
      <c r="E107" s="39" t="s">
        <v>1469</v>
      </c>
      <c r="F107" s="39" t="s">
        <v>240</v>
      </c>
      <c r="G107" s="39" t="s">
        <v>1103</v>
      </c>
      <c r="H107" s="39" t="s">
        <v>2247</v>
      </c>
      <c r="I107" s="43">
        <v>150.0</v>
      </c>
      <c r="J107" s="39" t="s">
        <v>243</v>
      </c>
      <c r="K107" s="39" t="s">
        <v>242</v>
      </c>
      <c r="L107" s="39" t="s">
        <v>2350</v>
      </c>
      <c r="M107" s="39" t="s">
        <v>245</v>
      </c>
      <c r="N107" s="39" t="s">
        <v>245</v>
      </c>
      <c r="O107" s="45" t="s">
        <v>2244</v>
      </c>
      <c r="P107" s="39" t="s">
        <v>245</v>
      </c>
      <c r="Q107" s="39" t="s">
        <v>2245</v>
      </c>
      <c r="R107" s="39" t="s">
        <v>335</v>
      </c>
      <c r="S107" s="39">
        <v>1.0</v>
      </c>
      <c r="T107" s="39" t="s">
        <v>2001</v>
      </c>
    </row>
    <row r="108" ht="14.25" customHeight="1">
      <c r="A108" s="38" t="s">
        <v>2006</v>
      </c>
      <c r="B108" s="38" t="s">
        <v>2005</v>
      </c>
      <c r="C108" s="38" t="s">
        <v>2005</v>
      </c>
      <c r="D108" s="38" t="s">
        <v>239</v>
      </c>
      <c r="E108" s="38" t="s">
        <v>522</v>
      </c>
      <c r="F108" s="38" t="s">
        <v>240</v>
      </c>
      <c r="G108" s="38" t="s">
        <v>241</v>
      </c>
      <c r="H108" s="38" t="s">
        <v>244</v>
      </c>
      <c r="I108" s="40">
        <v>40.0</v>
      </c>
      <c r="J108" s="38" t="s">
        <v>243</v>
      </c>
      <c r="K108" s="38" t="s">
        <v>242</v>
      </c>
      <c r="L108" s="38" t="s">
        <v>2351</v>
      </c>
      <c r="M108" s="38" t="s">
        <v>245</v>
      </c>
      <c r="N108" s="38" t="s">
        <v>245</v>
      </c>
      <c r="O108" s="42" t="s">
        <v>2244</v>
      </c>
      <c r="P108" s="38" t="s">
        <v>245</v>
      </c>
      <c r="Q108" s="38" t="s">
        <v>2245</v>
      </c>
      <c r="R108" s="38" t="s">
        <v>335</v>
      </c>
      <c r="S108" s="38">
        <v>1.0</v>
      </c>
      <c r="T108" s="38" t="s">
        <v>2004</v>
      </c>
    </row>
    <row r="109" ht="14.25" customHeight="1">
      <c r="A109" s="39" t="s">
        <v>2010</v>
      </c>
      <c r="B109" s="39" t="s">
        <v>2008</v>
      </c>
      <c r="C109" s="39" t="s">
        <v>2008</v>
      </c>
      <c r="D109" s="39" t="s">
        <v>386</v>
      </c>
      <c r="E109" s="39" t="s">
        <v>1602</v>
      </c>
      <c r="F109" s="39" t="s">
        <v>240</v>
      </c>
      <c r="G109" s="39" t="s">
        <v>1103</v>
      </c>
      <c r="H109" s="39" t="s">
        <v>2247</v>
      </c>
      <c r="I109" s="43">
        <v>180.0</v>
      </c>
      <c r="J109" s="39" t="s">
        <v>243</v>
      </c>
      <c r="K109" s="39" t="s">
        <v>242</v>
      </c>
      <c r="L109" s="39" t="s">
        <v>2352</v>
      </c>
      <c r="M109" s="39" t="s">
        <v>245</v>
      </c>
      <c r="N109" s="39" t="s">
        <v>245</v>
      </c>
      <c r="O109" s="45" t="s">
        <v>2244</v>
      </c>
      <c r="P109" s="39" t="s">
        <v>245</v>
      </c>
      <c r="Q109" s="39" t="s">
        <v>2245</v>
      </c>
      <c r="R109" s="39" t="s">
        <v>335</v>
      </c>
      <c r="S109" s="39">
        <v>1.0</v>
      </c>
      <c r="T109" s="39" t="s">
        <v>2007</v>
      </c>
    </row>
    <row r="110" ht="14.25" customHeight="1">
      <c r="A110" s="38" t="s">
        <v>2013</v>
      </c>
      <c r="B110" s="38" t="s">
        <v>2012</v>
      </c>
      <c r="C110" s="38" t="s">
        <v>2012</v>
      </c>
      <c r="D110" s="38" t="s">
        <v>239</v>
      </c>
      <c r="E110" s="38" t="s">
        <v>1062</v>
      </c>
      <c r="F110" s="38" t="s">
        <v>240</v>
      </c>
      <c r="G110" s="38" t="s">
        <v>1103</v>
      </c>
      <c r="H110" s="38" t="s">
        <v>2247</v>
      </c>
      <c r="I110" s="40">
        <v>600.0</v>
      </c>
      <c r="J110" s="38" t="s">
        <v>243</v>
      </c>
      <c r="K110" s="38" t="s">
        <v>242</v>
      </c>
      <c r="L110" s="38" t="s">
        <v>2353</v>
      </c>
      <c r="M110" s="38" t="s">
        <v>245</v>
      </c>
      <c r="N110" s="38" t="s">
        <v>245</v>
      </c>
      <c r="O110" s="42" t="s">
        <v>2244</v>
      </c>
      <c r="P110" s="38" t="s">
        <v>245</v>
      </c>
      <c r="Q110" s="38" t="s">
        <v>2245</v>
      </c>
      <c r="R110" s="38" t="s">
        <v>335</v>
      </c>
      <c r="S110" s="38">
        <v>1.0</v>
      </c>
      <c r="T110" s="38" t="s">
        <v>2011</v>
      </c>
    </row>
    <row r="111" ht="14.25" customHeight="1">
      <c r="A111" s="39" t="s">
        <v>2017</v>
      </c>
      <c r="B111" s="39" t="s">
        <v>2015</v>
      </c>
      <c r="C111" s="39" t="s">
        <v>2015</v>
      </c>
      <c r="D111" s="39" t="s">
        <v>239</v>
      </c>
      <c r="E111" s="39" t="s">
        <v>1062</v>
      </c>
      <c r="F111" s="39" t="s">
        <v>240</v>
      </c>
      <c r="G111" s="39" t="s">
        <v>241</v>
      </c>
      <c r="H111" s="39" t="s">
        <v>244</v>
      </c>
      <c r="I111" s="43">
        <v>80.0</v>
      </c>
      <c r="J111" s="39" t="s">
        <v>323</v>
      </c>
      <c r="K111" s="39" t="s">
        <v>242</v>
      </c>
      <c r="L111" s="39" t="s">
        <v>2354</v>
      </c>
      <c r="M111" s="39" t="s">
        <v>245</v>
      </c>
      <c r="N111" s="39" t="s">
        <v>245</v>
      </c>
      <c r="O111" s="45" t="s">
        <v>2244</v>
      </c>
      <c r="P111" s="39" t="s">
        <v>245</v>
      </c>
      <c r="Q111" s="39" t="s">
        <v>2245</v>
      </c>
      <c r="R111" s="39" t="s">
        <v>335</v>
      </c>
      <c r="S111" s="39">
        <v>1.0</v>
      </c>
      <c r="T111" s="39" t="s">
        <v>2014</v>
      </c>
    </row>
    <row r="112" ht="14.25" customHeight="1">
      <c r="A112" s="38" t="s">
        <v>2038</v>
      </c>
      <c r="B112" s="38" t="s">
        <v>2037</v>
      </c>
      <c r="C112" s="38" t="s">
        <v>2037</v>
      </c>
      <c r="D112" s="38" t="s">
        <v>405</v>
      </c>
      <c r="E112" s="38" t="s">
        <v>1120</v>
      </c>
      <c r="F112" s="38" t="s">
        <v>240</v>
      </c>
      <c r="G112" s="38" t="s">
        <v>362</v>
      </c>
      <c r="H112" s="38" t="s">
        <v>364</v>
      </c>
      <c r="I112" s="40">
        <v>2700.0</v>
      </c>
      <c r="J112" s="38" t="s">
        <v>243</v>
      </c>
      <c r="K112" s="38" t="s">
        <v>242</v>
      </c>
      <c r="L112" s="38" t="s">
        <v>2355</v>
      </c>
      <c r="M112" s="38" t="s">
        <v>245</v>
      </c>
      <c r="N112" s="38" t="s">
        <v>245</v>
      </c>
      <c r="O112" s="42" t="s">
        <v>2244</v>
      </c>
      <c r="P112" s="38" t="s">
        <v>245</v>
      </c>
      <c r="Q112" s="38" t="s">
        <v>2245</v>
      </c>
      <c r="R112" s="38" t="s">
        <v>335</v>
      </c>
      <c r="S112" s="38">
        <v>1.0</v>
      </c>
      <c r="T112" s="38" t="s">
        <v>2036</v>
      </c>
    </row>
    <row r="113" ht="14.25" customHeight="1">
      <c r="A113" s="39" t="s">
        <v>2042</v>
      </c>
      <c r="B113" s="39" t="s">
        <v>2040</v>
      </c>
      <c r="C113" s="39" t="s">
        <v>2040</v>
      </c>
      <c r="D113" s="39" t="s">
        <v>239</v>
      </c>
      <c r="E113" s="39" t="s">
        <v>252</v>
      </c>
      <c r="F113" s="39" t="s">
        <v>240</v>
      </c>
      <c r="G113" s="39" t="s">
        <v>241</v>
      </c>
      <c r="H113" s="39" t="s">
        <v>244</v>
      </c>
      <c r="I113" s="43">
        <v>1150.0</v>
      </c>
      <c r="J113" s="39" t="s">
        <v>243</v>
      </c>
      <c r="K113" s="39" t="s">
        <v>242</v>
      </c>
      <c r="L113" s="39" t="s">
        <v>2356</v>
      </c>
      <c r="M113" s="39" t="s">
        <v>245</v>
      </c>
      <c r="N113" s="39" t="s">
        <v>245</v>
      </c>
      <c r="O113" s="45" t="s">
        <v>2244</v>
      </c>
      <c r="P113" s="39" t="s">
        <v>245</v>
      </c>
      <c r="Q113" s="39" t="s">
        <v>2245</v>
      </c>
      <c r="R113" s="39" t="s">
        <v>335</v>
      </c>
      <c r="S113" s="39">
        <v>1.0</v>
      </c>
      <c r="T113" s="39" t="s">
        <v>2039</v>
      </c>
    </row>
    <row r="114" ht="14.25" customHeight="1">
      <c r="A114" s="38" t="s">
        <v>2046</v>
      </c>
      <c r="B114" s="38" t="s">
        <v>2044</v>
      </c>
      <c r="C114" s="38" t="s">
        <v>2044</v>
      </c>
      <c r="D114" s="38" t="s">
        <v>239</v>
      </c>
      <c r="E114" s="38" t="s">
        <v>1049</v>
      </c>
      <c r="F114" s="38" t="s">
        <v>240</v>
      </c>
      <c r="G114" s="38" t="s">
        <v>1103</v>
      </c>
      <c r="H114" s="38" t="s">
        <v>2247</v>
      </c>
      <c r="I114" s="40">
        <v>1900.0</v>
      </c>
      <c r="J114" s="38" t="s">
        <v>243</v>
      </c>
      <c r="K114" s="38" t="s">
        <v>242</v>
      </c>
      <c r="L114" s="38" t="s">
        <v>2357</v>
      </c>
      <c r="M114" s="38" t="s">
        <v>245</v>
      </c>
      <c r="N114" s="38" t="s">
        <v>245</v>
      </c>
      <c r="O114" s="42" t="s">
        <v>2244</v>
      </c>
      <c r="P114" s="38" t="s">
        <v>245</v>
      </c>
      <c r="Q114" s="38" t="s">
        <v>2245</v>
      </c>
      <c r="R114" s="38" t="s">
        <v>335</v>
      </c>
      <c r="S114" s="38">
        <v>1.0</v>
      </c>
      <c r="T114" s="38" t="s">
        <v>2043</v>
      </c>
    </row>
    <row r="115" ht="14.25" customHeight="1">
      <c r="A115" s="39" t="s">
        <v>2049</v>
      </c>
      <c r="B115" s="39" t="s">
        <v>2048</v>
      </c>
      <c r="C115" s="39" t="s">
        <v>2048</v>
      </c>
      <c r="D115" s="39" t="s">
        <v>239</v>
      </c>
      <c r="E115" s="39" t="s">
        <v>1049</v>
      </c>
      <c r="F115" s="39" t="s">
        <v>240</v>
      </c>
      <c r="G115" s="39" t="s">
        <v>1103</v>
      </c>
      <c r="H115" s="39" t="s">
        <v>2247</v>
      </c>
      <c r="I115" s="43">
        <v>1400.0</v>
      </c>
      <c r="J115" s="39" t="s">
        <v>243</v>
      </c>
      <c r="K115" s="39" t="s">
        <v>242</v>
      </c>
      <c r="L115" s="39" t="s">
        <v>2358</v>
      </c>
      <c r="M115" s="39" t="s">
        <v>245</v>
      </c>
      <c r="N115" s="39" t="s">
        <v>245</v>
      </c>
      <c r="O115" s="45" t="s">
        <v>2244</v>
      </c>
      <c r="P115" s="39" t="s">
        <v>245</v>
      </c>
      <c r="Q115" s="39" t="s">
        <v>2245</v>
      </c>
      <c r="R115" s="39" t="s">
        <v>335</v>
      </c>
      <c r="S115" s="39">
        <v>1.0</v>
      </c>
      <c r="T115" s="39" t="s">
        <v>2047</v>
      </c>
    </row>
    <row r="116" ht="14.25" customHeight="1">
      <c r="A116" s="38" t="s">
        <v>2052</v>
      </c>
      <c r="B116" s="38" t="s">
        <v>2051</v>
      </c>
      <c r="C116" s="38" t="s">
        <v>2051</v>
      </c>
      <c r="D116" s="38" t="s">
        <v>360</v>
      </c>
      <c r="E116" s="38" t="s">
        <v>1501</v>
      </c>
      <c r="F116" s="38" t="s">
        <v>240</v>
      </c>
      <c r="G116" s="38" t="s">
        <v>306</v>
      </c>
      <c r="H116" s="38" t="s">
        <v>324</v>
      </c>
      <c r="I116" s="40">
        <v>900.0</v>
      </c>
      <c r="J116" s="38" t="s">
        <v>243</v>
      </c>
      <c r="K116" s="38" t="s">
        <v>242</v>
      </c>
      <c r="L116" s="38" t="s">
        <v>2359</v>
      </c>
      <c r="M116" s="38" t="s">
        <v>245</v>
      </c>
      <c r="N116" s="38" t="s">
        <v>245</v>
      </c>
      <c r="O116" s="42" t="s">
        <v>2244</v>
      </c>
      <c r="P116" s="38" t="s">
        <v>245</v>
      </c>
      <c r="Q116" s="38" t="s">
        <v>2245</v>
      </c>
      <c r="R116" s="38" t="s">
        <v>335</v>
      </c>
      <c r="S116" s="38">
        <v>1.0</v>
      </c>
      <c r="T116" s="38" t="s">
        <v>2050</v>
      </c>
    </row>
    <row r="117" ht="14.25" customHeight="1">
      <c r="A117" s="39" t="s">
        <v>2055</v>
      </c>
      <c r="B117" s="39" t="s">
        <v>2054</v>
      </c>
      <c r="C117" s="39" t="s">
        <v>2054</v>
      </c>
      <c r="D117" s="39" t="s">
        <v>360</v>
      </c>
      <c r="E117" s="39" t="s">
        <v>1501</v>
      </c>
      <c r="F117" s="39" t="s">
        <v>240</v>
      </c>
      <c r="G117" s="39" t="s">
        <v>306</v>
      </c>
      <c r="H117" s="39" t="s">
        <v>324</v>
      </c>
      <c r="I117" s="43">
        <v>1400.0</v>
      </c>
      <c r="J117" s="39" t="s">
        <v>243</v>
      </c>
      <c r="K117" s="39" t="s">
        <v>242</v>
      </c>
      <c r="L117" s="39" t="s">
        <v>2360</v>
      </c>
      <c r="M117" s="39" t="s">
        <v>245</v>
      </c>
      <c r="N117" s="39" t="s">
        <v>245</v>
      </c>
      <c r="O117" s="45" t="s">
        <v>2244</v>
      </c>
      <c r="P117" s="39" t="s">
        <v>245</v>
      </c>
      <c r="Q117" s="39" t="s">
        <v>2245</v>
      </c>
      <c r="R117" s="39" t="s">
        <v>335</v>
      </c>
      <c r="S117" s="39">
        <v>1.0</v>
      </c>
      <c r="T117" s="39" t="s">
        <v>2053</v>
      </c>
    </row>
    <row r="118" ht="14.25" customHeight="1">
      <c r="A118" s="38" t="s">
        <v>2058</v>
      </c>
      <c r="B118" s="38" t="s">
        <v>2057</v>
      </c>
      <c r="C118" s="38" t="s">
        <v>2057</v>
      </c>
      <c r="D118" s="38" t="s">
        <v>360</v>
      </c>
      <c r="E118" s="38" t="s">
        <v>1501</v>
      </c>
      <c r="F118" s="38" t="s">
        <v>240</v>
      </c>
      <c r="G118" s="38" t="s">
        <v>306</v>
      </c>
      <c r="H118" s="38" t="s">
        <v>324</v>
      </c>
      <c r="I118" s="40">
        <v>350.0</v>
      </c>
      <c r="J118" s="38" t="s">
        <v>243</v>
      </c>
      <c r="K118" s="38" t="s">
        <v>242</v>
      </c>
      <c r="L118" s="38" t="s">
        <v>2361</v>
      </c>
      <c r="M118" s="38" t="s">
        <v>245</v>
      </c>
      <c r="N118" s="38" t="s">
        <v>245</v>
      </c>
      <c r="O118" s="42" t="s">
        <v>2244</v>
      </c>
      <c r="P118" s="38" t="s">
        <v>245</v>
      </c>
      <c r="Q118" s="38" t="s">
        <v>2245</v>
      </c>
      <c r="R118" s="38" t="s">
        <v>335</v>
      </c>
      <c r="S118" s="38">
        <v>1.0</v>
      </c>
      <c r="T118" s="38" t="s">
        <v>2056</v>
      </c>
    </row>
    <row r="119" ht="14.25" customHeight="1">
      <c r="A119" s="39" t="s">
        <v>2062</v>
      </c>
      <c r="B119" s="39" t="s">
        <v>2060</v>
      </c>
      <c r="C119" s="39" t="s">
        <v>2060</v>
      </c>
      <c r="D119" s="39" t="s">
        <v>239</v>
      </c>
      <c r="E119" s="39" t="s">
        <v>1113</v>
      </c>
      <c r="F119" s="39" t="s">
        <v>240</v>
      </c>
      <c r="G119" s="39" t="s">
        <v>1103</v>
      </c>
      <c r="H119" s="39" t="s">
        <v>2247</v>
      </c>
      <c r="I119" s="43">
        <v>100.0</v>
      </c>
      <c r="J119" s="39" t="s">
        <v>243</v>
      </c>
      <c r="K119" s="39" t="s">
        <v>242</v>
      </c>
      <c r="L119" s="39" t="s">
        <v>2362</v>
      </c>
      <c r="M119" s="39" t="s">
        <v>245</v>
      </c>
      <c r="N119" s="39" t="s">
        <v>245</v>
      </c>
      <c r="O119" s="45" t="s">
        <v>2244</v>
      </c>
      <c r="P119" s="39" t="s">
        <v>245</v>
      </c>
      <c r="Q119" s="39" t="s">
        <v>2245</v>
      </c>
      <c r="R119" s="39" t="s">
        <v>335</v>
      </c>
      <c r="S119" s="39">
        <v>1.0</v>
      </c>
      <c r="T119" s="39" t="s">
        <v>2059</v>
      </c>
    </row>
    <row r="120" ht="14.25" customHeight="1">
      <c r="A120" s="38" t="s">
        <v>2065</v>
      </c>
      <c r="B120" s="38" t="s">
        <v>2064</v>
      </c>
      <c r="C120" s="38" t="s">
        <v>2064</v>
      </c>
      <c r="D120" s="38" t="s">
        <v>239</v>
      </c>
      <c r="E120" s="38" t="s">
        <v>522</v>
      </c>
      <c r="F120" s="38" t="s">
        <v>240</v>
      </c>
      <c r="G120" s="38" t="s">
        <v>241</v>
      </c>
      <c r="H120" s="38" t="s">
        <v>244</v>
      </c>
      <c r="I120" s="40">
        <v>250.0</v>
      </c>
      <c r="J120" s="38" t="s">
        <v>243</v>
      </c>
      <c r="K120" s="38" t="s">
        <v>242</v>
      </c>
      <c r="L120" s="38" t="s">
        <v>2363</v>
      </c>
      <c r="M120" s="38" t="s">
        <v>245</v>
      </c>
      <c r="N120" s="38" t="s">
        <v>245</v>
      </c>
      <c r="O120" s="42" t="s">
        <v>2244</v>
      </c>
      <c r="P120" s="38" t="s">
        <v>245</v>
      </c>
      <c r="Q120" s="38" t="s">
        <v>2245</v>
      </c>
      <c r="R120" s="38" t="s">
        <v>335</v>
      </c>
      <c r="S120" s="38">
        <v>1.0</v>
      </c>
      <c r="T120" s="38" t="s">
        <v>2063</v>
      </c>
    </row>
    <row r="121" ht="14.25" customHeight="1">
      <c r="A121" s="39" t="s">
        <v>2067</v>
      </c>
      <c r="B121" s="39" t="s">
        <v>452</v>
      </c>
      <c r="C121" s="39" t="s">
        <v>452</v>
      </c>
      <c r="D121" s="39" t="s">
        <v>281</v>
      </c>
      <c r="E121" s="39" t="s">
        <v>1290</v>
      </c>
      <c r="F121" s="39" t="s">
        <v>240</v>
      </c>
      <c r="G121" s="39" t="s">
        <v>241</v>
      </c>
      <c r="H121" s="39" t="s">
        <v>244</v>
      </c>
      <c r="I121" s="43">
        <v>680.0</v>
      </c>
      <c r="J121" s="39" t="s">
        <v>243</v>
      </c>
      <c r="K121" s="39" t="s">
        <v>242</v>
      </c>
      <c r="L121" s="39" t="s">
        <v>2364</v>
      </c>
      <c r="M121" s="39" t="s">
        <v>245</v>
      </c>
      <c r="N121" s="39" t="s">
        <v>245</v>
      </c>
      <c r="O121" s="45" t="s">
        <v>2244</v>
      </c>
      <c r="P121" s="39" t="s">
        <v>245</v>
      </c>
      <c r="Q121" s="39" t="s">
        <v>2245</v>
      </c>
      <c r="R121" s="39" t="s">
        <v>335</v>
      </c>
      <c r="S121" s="39">
        <v>1.0</v>
      </c>
      <c r="T121" s="39" t="s">
        <v>2066</v>
      </c>
    </row>
    <row r="122" ht="14.25" customHeight="1">
      <c r="A122" s="38" t="s">
        <v>2071</v>
      </c>
      <c r="B122" s="38" t="s">
        <v>2069</v>
      </c>
      <c r="C122" s="38" t="s">
        <v>2069</v>
      </c>
      <c r="D122" s="38" t="s">
        <v>239</v>
      </c>
      <c r="E122" s="38" t="s">
        <v>522</v>
      </c>
      <c r="F122" s="38" t="s">
        <v>240</v>
      </c>
      <c r="G122" s="38" t="s">
        <v>241</v>
      </c>
      <c r="H122" s="38" t="s">
        <v>244</v>
      </c>
      <c r="I122" s="40">
        <v>195.0</v>
      </c>
      <c r="J122" s="38" t="s">
        <v>243</v>
      </c>
      <c r="K122" s="38" t="s">
        <v>242</v>
      </c>
      <c r="L122" s="38" t="s">
        <v>2365</v>
      </c>
      <c r="M122" s="38" t="s">
        <v>245</v>
      </c>
      <c r="N122" s="38" t="s">
        <v>245</v>
      </c>
      <c r="O122" s="42" t="s">
        <v>2244</v>
      </c>
      <c r="P122" s="38" t="s">
        <v>245</v>
      </c>
      <c r="Q122" s="38" t="s">
        <v>2245</v>
      </c>
      <c r="R122" s="38" t="s">
        <v>335</v>
      </c>
      <c r="S122" s="38">
        <v>1.0</v>
      </c>
      <c r="T122" s="38" t="s">
        <v>2068</v>
      </c>
    </row>
    <row r="123" ht="14.25" customHeight="1">
      <c r="A123" s="39" t="s">
        <v>2075</v>
      </c>
      <c r="B123" s="39" t="s">
        <v>2073</v>
      </c>
      <c r="C123" s="39" t="s">
        <v>2073</v>
      </c>
      <c r="D123" s="39" t="s">
        <v>281</v>
      </c>
      <c r="E123" s="39" t="s">
        <v>1290</v>
      </c>
      <c r="F123" s="39" t="s">
        <v>240</v>
      </c>
      <c r="G123" s="39" t="s">
        <v>241</v>
      </c>
      <c r="H123" s="39" t="s">
        <v>244</v>
      </c>
      <c r="I123" s="43">
        <v>208.0</v>
      </c>
      <c r="J123" s="39" t="s">
        <v>243</v>
      </c>
      <c r="K123" s="39" t="s">
        <v>242</v>
      </c>
      <c r="L123" s="39" t="s">
        <v>2365</v>
      </c>
      <c r="M123" s="39" t="s">
        <v>245</v>
      </c>
      <c r="N123" s="39" t="s">
        <v>245</v>
      </c>
      <c r="O123" s="45" t="s">
        <v>2244</v>
      </c>
      <c r="P123" s="39" t="s">
        <v>245</v>
      </c>
      <c r="Q123" s="39" t="s">
        <v>2245</v>
      </c>
      <c r="R123" s="39" t="s">
        <v>335</v>
      </c>
      <c r="S123" s="39">
        <v>1.0</v>
      </c>
      <c r="T123" s="39" t="s">
        <v>2072</v>
      </c>
    </row>
    <row r="124" ht="14.25" customHeight="1">
      <c r="A124" s="38" t="s">
        <v>2078</v>
      </c>
      <c r="B124" s="38" t="s">
        <v>2077</v>
      </c>
      <c r="C124" s="38" t="s">
        <v>2077</v>
      </c>
      <c r="D124" s="38" t="s">
        <v>239</v>
      </c>
      <c r="E124" s="38" t="s">
        <v>522</v>
      </c>
      <c r="F124" s="38" t="s">
        <v>240</v>
      </c>
      <c r="G124" s="38" t="s">
        <v>241</v>
      </c>
      <c r="H124" s="38" t="s">
        <v>244</v>
      </c>
      <c r="I124" s="40">
        <v>900.0</v>
      </c>
      <c r="J124" s="38" t="s">
        <v>243</v>
      </c>
      <c r="K124" s="38" t="s">
        <v>242</v>
      </c>
      <c r="L124" s="38" t="s">
        <v>2366</v>
      </c>
      <c r="M124" s="38" t="s">
        <v>245</v>
      </c>
      <c r="N124" s="38" t="s">
        <v>245</v>
      </c>
      <c r="O124" s="42" t="s">
        <v>2244</v>
      </c>
      <c r="P124" s="38" t="s">
        <v>245</v>
      </c>
      <c r="Q124" s="38" t="s">
        <v>2245</v>
      </c>
      <c r="R124" s="38" t="s">
        <v>335</v>
      </c>
      <c r="S124" s="38">
        <v>1.0</v>
      </c>
      <c r="T124" s="38" t="s">
        <v>2076</v>
      </c>
    </row>
    <row r="125" ht="14.25" customHeight="1">
      <c r="A125" s="39" t="s">
        <v>2081</v>
      </c>
      <c r="B125" s="39" t="s">
        <v>2080</v>
      </c>
      <c r="C125" s="39" t="s">
        <v>2080</v>
      </c>
      <c r="D125" s="39" t="s">
        <v>239</v>
      </c>
      <c r="E125" s="39" t="s">
        <v>252</v>
      </c>
      <c r="F125" s="39" t="s">
        <v>240</v>
      </c>
      <c r="G125" s="39" t="s">
        <v>241</v>
      </c>
      <c r="H125" s="39" t="s">
        <v>244</v>
      </c>
      <c r="I125" s="43">
        <v>6500.0</v>
      </c>
      <c r="J125" s="39" t="s">
        <v>243</v>
      </c>
      <c r="K125" s="39" t="s">
        <v>242</v>
      </c>
      <c r="L125" s="39" t="s">
        <v>2367</v>
      </c>
      <c r="M125" s="39" t="s">
        <v>245</v>
      </c>
      <c r="N125" s="39" t="s">
        <v>245</v>
      </c>
      <c r="O125" s="45" t="s">
        <v>2244</v>
      </c>
      <c r="P125" s="39" t="s">
        <v>245</v>
      </c>
      <c r="Q125" s="39" t="s">
        <v>2245</v>
      </c>
      <c r="R125" s="39" t="s">
        <v>335</v>
      </c>
      <c r="S125" s="39">
        <v>1.0</v>
      </c>
      <c r="T125" s="39" t="s">
        <v>2079</v>
      </c>
    </row>
    <row r="126" ht="14.25" customHeight="1">
      <c r="A126" s="38" t="s">
        <v>2085</v>
      </c>
      <c r="B126" s="38" t="s">
        <v>2083</v>
      </c>
      <c r="C126" s="38" t="s">
        <v>2083</v>
      </c>
      <c r="D126" s="38" t="s">
        <v>320</v>
      </c>
      <c r="E126" s="38" t="s">
        <v>2084</v>
      </c>
      <c r="F126" s="38" t="s">
        <v>240</v>
      </c>
      <c r="G126" s="38" t="s">
        <v>1103</v>
      </c>
      <c r="H126" s="38" t="s">
        <v>2247</v>
      </c>
      <c r="I126" s="40">
        <v>150.0</v>
      </c>
      <c r="J126" s="38" t="s">
        <v>243</v>
      </c>
      <c r="K126" s="38" t="s">
        <v>242</v>
      </c>
      <c r="L126" s="38" t="s">
        <v>2368</v>
      </c>
      <c r="M126" s="38" t="s">
        <v>245</v>
      </c>
      <c r="N126" s="38" t="s">
        <v>245</v>
      </c>
      <c r="O126" s="42" t="s">
        <v>2244</v>
      </c>
      <c r="P126" s="38" t="s">
        <v>245</v>
      </c>
      <c r="Q126" s="38" t="s">
        <v>2245</v>
      </c>
      <c r="R126" s="38" t="s">
        <v>335</v>
      </c>
      <c r="S126" s="38">
        <v>1.0</v>
      </c>
      <c r="T126" s="38" t="s">
        <v>2082</v>
      </c>
    </row>
    <row r="127" ht="14.25" customHeight="1">
      <c r="A127" s="39" t="s">
        <v>2089</v>
      </c>
      <c r="B127" s="39" t="s">
        <v>2087</v>
      </c>
      <c r="C127" s="39" t="s">
        <v>2087</v>
      </c>
      <c r="D127" s="39" t="s">
        <v>239</v>
      </c>
      <c r="E127" s="39" t="s">
        <v>522</v>
      </c>
      <c r="F127" s="39" t="s">
        <v>240</v>
      </c>
      <c r="G127" s="39" t="s">
        <v>241</v>
      </c>
      <c r="H127" s="39" t="s">
        <v>244</v>
      </c>
      <c r="I127" s="43">
        <v>860.0</v>
      </c>
      <c r="J127" s="39" t="s">
        <v>243</v>
      </c>
      <c r="K127" s="39" t="s">
        <v>242</v>
      </c>
      <c r="L127" s="39" t="s">
        <v>2369</v>
      </c>
      <c r="M127" s="39" t="s">
        <v>245</v>
      </c>
      <c r="N127" s="39" t="s">
        <v>245</v>
      </c>
      <c r="O127" s="45" t="s">
        <v>2244</v>
      </c>
      <c r="P127" s="39" t="s">
        <v>245</v>
      </c>
      <c r="Q127" s="39" t="s">
        <v>2245</v>
      </c>
      <c r="R127" s="39" t="s">
        <v>335</v>
      </c>
      <c r="S127" s="39">
        <v>1.0</v>
      </c>
      <c r="T127" s="39" t="s">
        <v>2086</v>
      </c>
    </row>
    <row r="128" ht="14.25" customHeight="1">
      <c r="A128" s="38" t="s">
        <v>2093</v>
      </c>
      <c r="B128" s="38" t="s">
        <v>2091</v>
      </c>
      <c r="C128" s="38" t="s">
        <v>2091</v>
      </c>
      <c r="D128" s="38" t="s">
        <v>239</v>
      </c>
      <c r="E128" s="38" t="s">
        <v>522</v>
      </c>
      <c r="F128" s="38" t="s">
        <v>240</v>
      </c>
      <c r="G128" s="38" t="s">
        <v>241</v>
      </c>
      <c r="H128" s="38" t="s">
        <v>244</v>
      </c>
      <c r="I128" s="40">
        <v>640.0</v>
      </c>
      <c r="J128" s="38" t="s">
        <v>243</v>
      </c>
      <c r="K128" s="38" t="s">
        <v>242</v>
      </c>
      <c r="L128" s="38" t="s">
        <v>2370</v>
      </c>
      <c r="M128" s="38" t="s">
        <v>245</v>
      </c>
      <c r="N128" s="38" t="s">
        <v>245</v>
      </c>
      <c r="O128" s="42" t="s">
        <v>2244</v>
      </c>
      <c r="P128" s="38" t="s">
        <v>245</v>
      </c>
      <c r="Q128" s="38" t="s">
        <v>2245</v>
      </c>
      <c r="R128" s="38" t="s">
        <v>335</v>
      </c>
      <c r="S128" s="38">
        <v>1.0</v>
      </c>
      <c r="T128" s="38" t="s">
        <v>2090</v>
      </c>
    </row>
    <row r="129" ht="14.25" customHeight="1">
      <c r="A129" s="39" t="s">
        <v>2097</v>
      </c>
      <c r="B129" s="39" t="s">
        <v>2095</v>
      </c>
      <c r="C129" s="39" t="s">
        <v>2095</v>
      </c>
      <c r="D129" s="39" t="s">
        <v>320</v>
      </c>
      <c r="E129" s="39" t="s">
        <v>1629</v>
      </c>
      <c r="F129" s="39" t="s">
        <v>240</v>
      </c>
      <c r="G129" s="39" t="s">
        <v>1103</v>
      </c>
      <c r="H129" s="39" t="s">
        <v>2247</v>
      </c>
      <c r="I129" s="43">
        <v>920.0</v>
      </c>
      <c r="J129" s="39" t="s">
        <v>243</v>
      </c>
      <c r="K129" s="39" t="s">
        <v>242</v>
      </c>
      <c r="L129" s="39" t="s">
        <v>2371</v>
      </c>
      <c r="M129" s="39" t="s">
        <v>245</v>
      </c>
      <c r="N129" s="39" t="s">
        <v>245</v>
      </c>
      <c r="O129" s="45" t="s">
        <v>2244</v>
      </c>
      <c r="P129" s="39" t="s">
        <v>245</v>
      </c>
      <c r="Q129" s="39" t="s">
        <v>2245</v>
      </c>
      <c r="R129" s="39" t="s">
        <v>335</v>
      </c>
      <c r="S129" s="39">
        <v>1.0</v>
      </c>
      <c r="T129" s="39" t="s">
        <v>2094</v>
      </c>
    </row>
    <row r="130" ht="14.25" customHeight="1">
      <c r="A130" s="38" t="s">
        <v>2101</v>
      </c>
      <c r="B130" s="38" t="s">
        <v>2099</v>
      </c>
      <c r="C130" s="38" t="s">
        <v>2099</v>
      </c>
      <c r="D130" s="38" t="s">
        <v>409</v>
      </c>
      <c r="E130" s="38" t="s">
        <v>2100</v>
      </c>
      <c r="F130" s="38" t="s">
        <v>240</v>
      </c>
      <c r="G130" s="38" t="s">
        <v>1103</v>
      </c>
      <c r="H130" s="38" t="s">
        <v>2247</v>
      </c>
      <c r="I130" s="40">
        <v>500.0</v>
      </c>
      <c r="J130" s="38" t="s">
        <v>243</v>
      </c>
      <c r="K130" s="38" t="s">
        <v>242</v>
      </c>
      <c r="L130" s="38" t="s">
        <v>2372</v>
      </c>
      <c r="M130" s="38" t="s">
        <v>245</v>
      </c>
      <c r="N130" s="38" t="s">
        <v>245</v>
      </c>
      <c r="O130" s="42" t="s">
        <v>2244</v>
      </c>
      <c r="P130" s="38" t="s">
        <v>245</v>
      </c>
      <c r="Q130" s="38" t="s">
        <v>2245</v>
      </c>
      <c r="R130" s="38" t="s">
        <v>335</v>
      </c>
      <c r="S130" s="38">
        <v>1.0</v>
      </c>
      <c r="T130" s="38" t="s">
        <v>2098</v>
      </c>
    </row>
    <row r="131" ht="14.25" customHeight="1">
      <c r="A131" s="39" t="s">
        <v>2104</v>
      </c>
      <c r="B131" s="39" t="s">
        <v>2103</v>
      </c>
      <c r="C131" s="39" t="s">
        <v>2103</v>
      </c>
      <c r="D131" s="39" t="s">
        <v>239</v>
      </c>
      <c r="E131" s="39" t="s">
        <v>1062</v>
      </c>
      <c r="F131" s="39" t="s">
        <v>240</v>
      </c>
      <c r="G131" s="39" t="s">
        <v>1103</v>
      </c>
      <c r="H131" s="39" t="s">
        <v>2247</v>
      </c>
      <c r="I131" s="43">
        <v>500.0</v>
      </c>
      <c r="J131" s="39" t="s">
        <v>243</v>
      </c>
      <c r="K131" s="39" t="s">
        <v>242</v>
      </c>
      <c r="L131" s="39" t="s">
        <v>2373</v>
      </c>
      <c r="M131" s="39" t="s">
        <v>245</v>
      </c>
      <c r="N131" s="39" t="s">
        <v>245</v>
      </c>
      <c r="O131" s="45" t="s">
        <v>2244</v>
      </c>
      <c r="P131" s="39" t="s">
        <v>245</v>
      </c>
      <c r="Q131" s="39" t="s">
        <v>2245</v>
      </c>
      <c r="R131" s="39" t="s">
        <v>335</v>
      </c>
      <c r="S131" s="39">
        <v>1.0</v>
      </c>
      <c r="T131" s="39" t="s">
        <v>2102</v>
      </c>
    </row>
    <row r="132" ht="14.25" customHeight="1">
      <c r="A132" s="38" t="s">
        <v>2108</v>
      </c>
      <c r="B132" s="38" t="s">
        <v>2106</v>
      </c>
      <c r="C132" s="38" t="s">
        <v>2106</v>
      </c>
      <c r="D132" s="38" t="s">
        <v>409</v>
      </c>
      <c r="E132" s="38" t="s">
        <v>2100</v>
      </c>
      <c r="F132" s="38" t="s">
        <v>240</v>
      </c>
      <c r="G132" s="38" t="s">
        <v>1103</v>
      </c>
      <c r="H132" s="38" t="s">
        <v>2247</v>
      </c>
      <c r="I132" s="40">
        <v>750.0</v>
      </c>
      <c r="J132" s="38" t="s">
        <v>243</v>
      </c>
      <c r="K132" s="38" t="s">
        <v>242</v>
      </c>
      <c r="L132" s="38" t="s">
        <v>2374</v>
      </c>
      <c r="M132" s="38" t="s">
        <v>245</v>
      </c>
      <c r="N132" s="38" t="s">
        <v>245</v>
      </c>
      <c r="O132" s="42" t="s">
        <v>2244</v>
      </c>
      <c r="P132" s="38" t="s">
        <v>245</v>
      </c>
      <c r="Q132" s="38" t="s">
        <v>2245</v>
      </c>
      <c r="R132" s="38" t="s">
        <v>335</v>
      </c>
      <c r="S132" s="38">
        <v>1.0</v>
      </c>
      <c r="T132" s="38" t="s">
        <v>2105</v>
      </c>
    </row>
    <row r="133" ht="14.25" customHeight="1">
      <c r="A133" s="39" t="s">
        <v>2111</v>
      </c>
      <c r="B133" s="39" t="s">
        <v>2110</v>
      </c>
      <c r="C133" s="39" t="s">
        <v>2110</v>
      </c>
      <c r="D133" s="39" t="s">
        <v>360</v>
      </c>
      <c r="E133" s="39" t="s">
        <v>1629</v>
      </c>
      <c r="F133" s="39" t="s">
        <v>240</v>
      </c>
      <c r="G133" s="39" t="s">
        <v>1103</v>
      </c>
      <c r="H133" s="39" t="s">
        <v>2247</v>
      </c>
      <c r="I133" s="43">
        <v>1800.0</v>
      </c>
      <c r="J133" s="39" t="s">
        <v>243</v>
      </c>
      <c r="K133" s="39" t="s">
        <v>242</v>
      </c>
      <c r="L133" s="39" t="s">
        <v>2375</v>
      </c>
      <c r="M133" s="39" t="s">
        <v>245</v>
      </c>
      <c r="N133" s="39" t="s">
        <v>245</v>
      </c>
      <c r="O133" s="45" t="s">
        <v>2244</v>
      </c>
      <c r="P133" s="39" t="s">
        <v>245</v>
      </c>
      <c r="Q133" s="39" t="s">
        <v>2245</v>
      </c>
      <c r="R133" s="39" t="s">
        <v>335</v>
      </c>
      <c r="S133" s="39">
        <v>1.0</v>
      </c>
      <c r="T133" s="39" t="s">
        <v>2109</v>
      </c>
    </row>
    <row r="134" ht="14.25" customHeight="1">
      <c r="A134" s="38" t="s">
        <v>2114</v>
      </c>
      <c r="B134" s="38" t="s">
        <v>2113</v>
      </c>
      <c r="C134" s="38" t="s">
        <v>2113</v>
      </c>
      <c r="D134" s="38" t="s">
        <v>239</v>
      </c>
      <c r="E134" s="38" t="s">
        <v>1390</v>
      </c>
      <c r="F134" s="38" t="s">
        <v>240</v>
      </c>
      <c r="G134" s="38" t="s">
        <v>1103</v>
      </c>
      <c r="H134" s="38" t="s">
        <v>2247</v>
      </c>
      <c r="I134" s="40">
        <v>600.0</v>
      </c>
      <c r="J134" s="38" t="s">
        <v>243</v>
      </c>
      <c r="K134" s="38" t="s">
        <v>242</v>
      </c>
      <c r="L134" s="38" t="s">
        <v>2376</v>
      </c>
      <c r="M134" s="38" t="s">
        <v>245</v>
      </c>
      <c r="N134" s="38" t="s">
        <v>245</v>
      </c>
      <c r="O134" s="42" t="s">
        <v>2244</v>
      </c>
      <c r="P134" s="38" t="s">
        <v>245</v>
      </c>
      <c r="Q134" s="38" t="s">
        <v>2245</v>
      </c>
      <c r="R134" s="38" t="s">
        <v>335</v>
      </c>
      <c r="S134" s="38">
        <v>1.0</v>
      </c>
      <c r="T134" s="38" t="s">
        <v>2112</v>
      </c>
    </row>
    <row r="135" ht="14.25" customHeight="1">
      <c r="A135" s="39" t="s">
        <v>2117</v>
      </c>
      <c r="B135" s="39" t="s">
        <v>2116</v>
      </c>
      <c r="C135" s="39" t="s">
        <v>2116</v>
      </c>
      <c r="D135" s="39" t="s">
        <v>239</v>
      </c>
      <c r="E135" s="39" t="s">
        <v>522</v>
      </c>
      <c r="F135" s="39" t="s">
        <v>240</v>
      </c>
      <c r="G135" s="39" t="s">
        <v>241</v>
      </c>
      <c r="H135" s="39" t="s">
        <v>244</v>
      </c>
      <c r="I135" s="43">
        <v>70.0</v>
      </c>
      <c r="J135" s="39" t="s">
        <v>243</v>
      </c>
      <c r="K135" s="39" t="s">
        <v>242</v>
      </c>
      <c r="L135" s="39" t="s">
        <v>2377</v>
      </c>
      <c r="M135" s="39" t="s">
        <v>245</v>
      </c>
      <c r="N135" s="39" t="s">
        <v>245</v>
      </c>
      <c r="O135" s="45" t="s">
        <v>2244</v>
      </c>
      <c r="P135" s="39" t="s">
        <v>245</v>
      </c>
      <c r="Q135" s="39" t="s">
        <v>2245</v>
      </c>
      <c r="R135" s="39" t="s">
        <v>335</v>
      </c>
      <c r="S135" s="39">
        <v>1.0</v>
      </c>
      <c r="T135" s="39" t="s">
        <v>2115</v>
      </c>
    </row>
    <row r="136" ht="14.25" customHeight="1">
      <c r="A136" s="38" t="s">
        <v>2121</v>
      </c>
      <c r="B136" s="38" t="s">
        <v>2119</v>
      </c>
      <c r="C136" s="38" t="s">
        <v>2119</v>
      </c>
      <c r="D136" s="38" t="s">
        <v>239</v>
      </c>
      <c r="E136" s="38" t="s">
        <v>522</v>
      </c>
      <c r="F136" s="38" t="s">
        <v>240</v>
      </c>
      <c r="G136" s="38" t="s">
        <v>241</v>
      </c>
      <c r="H136" s="38" t="s">
        <v>244</v>
      </c>
      <c r="I136" s="40">
        <v>230.0</v>
      </c>
      <c r="J136" s="38" t="s">
        <v>243</v>
      </c>
      <c r="K136" s="38" t="s">
        <v>242</v>
      </c>
      <c r="L136" s="38" t="s">
        <v>2378</v>
      </c>
      <c r="M136" s="38" t="s">
        <v>245</v>
      </c>
      <c r="N136" s="38" t="s">
        <v>245</v>
      </c>
      <c r="O136" s="42" t="s">
        <v>2244</v>
      </c>
      <c r="P136" s="38" t="s">
        <v>245</v>
      </c>
      <c r="Q136" s="38" t="s">
        <v>2245</v>
      </c>
      <c r="R136" s="38" t="s">
        <v>335</v>
      </c>
      <c r="S136" s="38">
        <v>1.0</v>
      </c>
      <c r="T136" s="38" t="s">
        <v>2118</v>
      </c>
    </row>
    <row r="137" ht="14.25" customHeight="1">
      <c r="A137" s="39" t="s">
        <v>2124</v>
      </c>
      <c r="B137" s="39" t="s">
        <v>2123</v>
      </c>
      <c r="C137" s="39" t="s">
        <v>2123</v>
      </c>
      <c r="D137" s="39" t="s">
        <v>239</v>
      </c>
      <c r="E137" s="39" t="s">
        <v>1113</v>
      </c>
      <c r="F137" s="39" t="s">
        <v>240</v>
      </c>
      <c r="G137" s="39" t="s">
        <v>241</v>
      </c>
      <c r="H137" s="39" t="s">
        <v>244</v>
      </c>
      <c r="I137" s="43">
        <v>220.0</v>
      </c>
      <c r="J137" s="39" t="s">
        <v>243</v>
      </c>
      <c r="K137" s="39" t="s">
        <v>242</v>
      </c>
      <c r="L137" s="39" t="s">
        <v>2379</v>
      </c>
      <c r="M137" s="39" t="s">
        <v>245</v>
      </c>
      <c r="N137" s="39" t="s">
        <v>245</v>
      </c>
      <c r="O137" s="45" t="s">
        <v>2244</v>
      </c>
      <c r="P137" s="39" t="s">
        <v>245</v>
      </c>
      <c r="Q137" s="39" t="s">
        <v>2245</v>
      </c>
      <c r="R137" s="39" t="s">
        <v>335</v>
      </c>
      <c r="S137" s="39">
        <v>1.0</v>
      </c>
      <c r="T137" s="39" t="s">
        <v>2122</v>
      </c>
    </row>
    <row r="138" ht="14.25" customHeight="1">
      <c r="A138" s="38" t="s">
        <v>2128</v>
      </c>
      <c r="B138" s="38" t="s">
        <v>2126</v>
      </c>
      <c r="C138" s="38" t="s">
        <v>2126</v>
      </c>
      <c r="D138" s="38" t="s">
        <v>239</v>
      </c>
      <c r="E138" s="38" t="s">
        <v>1062</v>
      </c>
      <c r="F138" s="38" t="s">
        <v>240</v>
      </c>
      <c r="G138" s="38" t="s">
        <v>241</v>
      </c>
      <c r="H138" s="38" t="s">
        <v>244</v>
      </c>
      <c r="I138" s="40">
        <v>200.0</v>
      </c>
      <c r="J138" s="38" t="s">
        <v>243</v>
      </c>
      <c r="K138" s="38" t="s">
        <v>242</v>
      </c>
      <c r="L138" s="38" t="s">
        <v>2380</v>
      </c>
      <c r="M138" s="38" t="s">
        <v>245</v>
      </c>
      <c r="N138" s="38" t="s">
        <v>245</v>
      </c>
      <c r="O138" s="42" t="s">
        <v>2244</v>
      </c>
      <c r="P138" s="38" t="s">
        <v>245</v>
      </c>
      <c r="Q138" s="38" t="s">
        <v>2245</v>
      </c>
      <c r="R138" s="38" t="s">
        <v>335</v>
      </c>
      <c r="S138" s="38">
        <v>1.0</v>
      </c>
      <c r="T138" s="38" t="s">
        <v>2125</v>
      </c>
    </row>
    <row r="139" ht="14.25" customHeight="1">
      <c r="A139" s="39" t="s">
        <v>2132</v>
      </c>
      <c r="B139" s="39" t="s">
        <v>2130</v>
      </c>
      <c r="C139" s="39" t="s">
        <v>2130</v>
      </c>
      <c r="D139" s="39" t="s">
        <v>239</v>
      </c>
      <c r="E139" s="39" t="s">
        <v>522</v>
      </c>
      <c r="F139" s="39" t="s">
        <v>240</v>
      </c>
      <c r="G139" s="39" t="s">
        <v>241</v>
      </c>
      <c r="H139" s="39" t="s">
        <v>244</v>
      </c>
      <c r="I139" s="43">
        <v>130.0</v>
      </c>
      <c r="J139" s="39" t="s">
        <v>243</v>
      </c>
      <c r="K139" s="39" t="s">
        <v>242</v>
      </c>
      <c r="L139" s="39" t="s">
        <v>2381</v>
      </c>
      <c r="M139" s="39" t="s">
        <v>245</v>
      </c>
      <c r="N139" s="39" t="s">
        <v>245</v>
      </c>
      <c r="O139" s="45" t="s">
        <v>2244</v>
      </c>
      <c r="P139" s="39" t="s">
        <v>245</v>
      </c>
      <c r="Q139" s="39" t="s">
        <v>2245</v>
      </c>
      <c r="R139" s="39" t="s">
        <v>335</v>
      </c>
      <c r="S139" s="39">
        <v>1.0</v>
      </c>
      <c r="T139" s="39" t="s">
        <v>2129</v>
      </c>
    </row>
    <row r="140" ht="14.25" customHeight="1">
      <c r="A140" s="38" t="s">
        <v>2136</v>
      </c>
      <c r="B140" s="38" t="s">
        <v>2134</v>
      </c>
      <c r="C140" s="38" t="s">
        <v>2134</v>
      </c>
      <c r="D140" s="38" t="s">
        <v>239</v>
      </c>
      <c r="E140" s="38" t="s">
        <v>522</v>
      </c>
      <c r="F140" s="38" t="s">
        <v>240</v>
      </c>
      <c r="G140" s="38" t="s">
        <v>241</v>
      </c>
      <c r="H140" s="38" t="s">
        <v>244</v>
      </c>
      <c r="I140" s="40">
        <v>289.0</v>
      </c>
      <c r="J140" s="38" t="s">
        <v>243</v>
      </c>
      <c r="K140" s="38" t="s">
        <v>242</v>
      </c>
      <c r="L140" s="38" t="s">
        <v>2382</v>
      </c>
      <c r="M140" s="38" t="s">
        <v>245</v>
      </c>
      <c r="N140" s="38" t="s">
        <v>245</v>
      </c>
      <c r="O140" s="42" t="s">
        <v>2244</v>
      </c>
      <c r="P140" s="38" t="s">
        <v>245</v>
      </c>
      <c r="Q140" s="38" t="s">
        <v>2245</v>
      </c>
      <c r="R140" s="38" t="s">
        <v>335</v>
      </c>
      <c r="S140" s="38">
        <v>1.0</v>
      </c>
      <c r="T140" s="38" t="s">
        <v>2133</v>
      </c>
    </row>
    <row r="141" ht="14.25" customHeight="1">
      <c r="A141" s="39" t="s">
        <v>2139</v>
      </c>
      <c r="B141" s="39" t="s">
        <v>2138</v>
      </c>
      <c r="C141" s="39" t="s">
        <v>2138</v>
      </c>
      <c r="D141" s="39" t="s">
        <v>239</v>
      </c>
      <c r="E141" s="39" t="s">
        <v>522</v>
      </c>
      <c r="F141" s="39" t="s">
        <v>240</v>
      </c>
      <c r="G141" s="39" t="s">
        <v>241</v>
      </c>
      <c r="H141" s="39" t="s">
        <v>244</v>
      </c>
      <c r="I141" s="43">
        <v>480.0</v>
      </c>
      <c r="J141" s="39" t="s">
        <v>243</v>
      </c>
      <c r="K141" s="39" t="s">
        <v>242</v>
      </c>
      <c r="L141" s="39" t="s">
        <v>2383</v>
      </c>
      <c r="M141" s="39" t="s">
        <v>245</v>
      </c>
      <c r="N141" s="39" t="s">
        <v>245</v>
      </c>
      <c r="O141" s="45" t="s">
        <v>2244</v>
      </c>
      <c r="P141" s="39" t="s">
        <v>245</v>
      </c>
      <c r="Q141" s="39" t="s">
        <v>2245</v>
      </c>
      <c r="R141" s="39" t="s">
        <v>335</v>
      </c>
      <c r="S141" s="39">
        <v>1.0</v>
      </c>
      <c r="T141" s="39" t="s">
        <v>2137</v>
      </c>
    </row>
    <row r="142" ht="14.25" customHeight="1">
      <c r="A142" s="38" t="s">
        <v>2142</v>
      </c>
      <c r="B142" s="38" t="s">
        <v>2141</v>
      </c>
      <c r="C142" s="38" t="s">
        <v>2141</v>
      </c>
      <c r="D142" s="38" t="s">
        <v>239</v>
      </c>
      <c r="E142" s="38" t="s">
        <v>522</v>
      </c>
      <c r="F142" s="38" t="s">
        <v>240</v>
      </c>
      <c r="G142" s="38" t="s">
        <v>241</v>
      </c>
      <c r="H142" s="38" t="s">
        <v>244</v>
      </c>
      <c r="I142" s="40">
        <v>400.0</v>
      </c>
      <c r="J142" s="38" t="s">
        <v>243</v>
      </c>
      <c r="K142" s="38" t="s">
        <v>242</v>
      </c>
      <c r="L142" s="38" t="s">
        <v>2383</v>
      </c>
      <c r="M142" s="38" t="s">
        <v>245</v>
      </c>
      <c r="N142" s="38" t="s">
        <v>245</v>
      </c>
      <c r="O142" s="42" t="s">
        <v>2244</v>
      </c>
      <c r="P142" s="38" t="s">
        <v>245</v>
      </c>
      <c r="Q142" s="38" t="s">
        <v>2245</v>
      </c>
      <c r="R142" s="38" t="s">
        <v>335</v>
      </c>
      <c r="S142" s="38">
        <v>1.0</v>
      </c>
      <c r="T142" s="38" t="s">
        <v>2140</v>
      </c>
    </row>
    <row r="143" ht="14.25" customHeight="1">
      <c r="A143" s="39" t="s">
        <v>2146</v>
      </c>
      <c r="B143" s="39" t="s">
        <v>2144</v>
      </c>
      <c r="C143" s="39" t="s">
        <v>2144</v>
      </c>
      <c r="D143" s="39" t="s">
        <v>239</v>
      </c>
      <c r="E143" s="39" t="s">
        <v>252</v>
      </c>
      <c r="F143" s="39" t="s">
        <v>240</v>
      </c>
      <c r="G143" s="39" t="s">
        <v>241</v>
      </c>
      <c r="H143" s="39" t="s">
        <v>244</v>
      </c>
      <c r="I143" s="43">
        <v>510.0</v>
      </c>
      <c r="J143" s="39" t="s">
        <v>243</v>
      </c>
      <c r="K143" s="39" t="s">
        <v>242</v>
      </c>
      <c r="L143" s="39" t="s">
        <v>2384</v>
      </c>
      <c r="M143" s="39" t="s">
        <v>245</v>
      </c>
      <c r="N143" s="39" t="s">
        <v>245</v>
      </c>
      <c r="O143" s="45" t="s">
        <v>2244</v>
      </c>
      <c r="P143" s="39" t="s">
        <v>245</v>
      </c>
      <c r="Q143" s="39" t="s">
        <v>2245</v>
      </c>
      <c r="R143" s="39" t="s">
        <v>335</v>
      </c>
      <c r="S143" s="39">
        <v>1.0</v>
      </c>
      <c r="T143" s="39" t="s">
        <v>2143</v>
      </c>
    </row>
    <row r="144" ht="14.25" customHeight="1">
      <c r="A144" s="38" t="s">
        <v>2149</v>
      </c>
      <c r="B144" s="38" t="s">
        <v>2148</v>
      </c>
      <c r="C144" s="38" t="s">
        <v>2148</v>
      </c>
      <c r="D144" s="38" t="s">
        <v>239</v>
      </c>
      <c r="E144" s="38" t="s">
        <v>1049</v>
      </c>
      <c r="F144" s="38" t="s">
        <v>240</v>
      </c>
      <c r="G144" s="38" t="s">
        <v>1103</v>
      </c>
      <c r="H144" s="38" t="s">
        <v>2247</v>
      </c>
      <c r="I144" s="40">
        <v>700.0</v>
      </c>
      <c r="J144" s="38" t="s">
        <v>243</v>
      </c>
      <c r="K144" s="38" t="s">
        <v>242</v>
      </c>
      <c r="L144" s="38" t="s">
        <v>2385</v>
      </c>
      <c r="M144" s="38" t="s">
        <v>245</v>
      </c>
      <c r="N144" s="38" t="s">
        <v>245</v>
      </c>
      <c r="O144" s="42" t="s">
        <v>2244</v>
      </c>
      <c r="P144" s="38" t="s">
        <v>245</v>
      </c>
      <c r="Q144" s="38" t="s">
        <v>2245</v>
      </c>
      <c r="R144" s="38" t="s">
        <v>335</v>
      </c>
      <c r="S144" s="38">
        <v>1.0</v>
      </c>
      <c r="T144" s="38" t="s">
        <v>2147</v>
      </c>
    </row>
    <row r="145" ht="14.25" customHeight="1">
      <c r="A145" s="39" t="s">
        <v>2152</v>
      </c>
      <c r="B145" s="39" t="s">
        <v>2151</v>
      </c>
      <c r="C145" s="39" t="s">
        <v>2151</v>
      </c>
      <c r="D145" s="39" t="s">
        <v>239</v>
      </c>
      <c r="E145" s="39" t="s">
        <v>522</v>
      </c>
      <c r="F145" s="39" t="s">
        <v>240</v>
      </c>
      <c r="G145" s="39" t="s">
        <v>241</v>
      </c>
      <c r="H145" s="39" t="s">
        <v>244</v>
      </c>
      <c r="I145" s="43">
        <v>120.0</v>
      </c>
      <c r="J145" s="39" t="s">
        <v>243</v>
      </c>
      <c r="K145" s="39" t="s">
        <v>242</v>
      </c>
      <c r="L145" s="39" t="s">
        <v>2386</v>
      </c>
      <c r="M145" s="39" t="s">
        <v>245</v>
      </c>
      <c r="N145" s="39" t="s">
        <v>245</v>
      </c>
      <c r="O145" s="45" t="s">
        <v>2244</v>
      </c>
      <c r="P145" s="39" t="s">
        <v>245</v>
      </c>
      <c r="Q145" s="39" t="s">
        <v>2245</v>
      </c>
      <c r="R145" s="39" t="s">
        <v>335</v>
      </c>
      <c r="S145" s="39">
        <v>1.0</v>
      </c>
      <c r="T145" s="39" t="s">
        <v>2150</v>
      </c>
    </row>
    <row r="146" ht="14.25" customHeight="1">
      <c r="A146" s="38" t="s">
        <v>2156</v>
      </c>
      <c r="B146" s="38" t="s">
        <v>2154</v>
      </c>
      <c r="C146" s="38" t="s">
        <v>2154</v>
      </c>
      <c r="D146" s="38" t="s">
        <v>239</v>
      </c>
      <c r="E146" s="38" t="s">
        <v>522</v>
      </c>
      <c r="F146" s="38" t="s">
        <v>240</v>
      </c>
      <c r="G146" s="38" t="s">
        <v>241</v>
      </c>
      <c r="H146" s="38" t="s">
        <v>244</v>
      </c>
      <c r="I146" s="40">
        <v>165.0</v>
      </c>
      <c r="J146" s="38" t="s">
        <v>243</v>
      </c>
      <c r="K146" s="38" t="s">
        <v>242</v>
      </c>
      <c r="L146" s="38" t="s">
        <v>2387</v>
      </c>
      <c r="M146" s="38" t="s">
        <v>245</v>
      </c>
      <c r="N146" s="38" t="s">
        <v>245</v>
      </c>
      <c r="O146" s="42" t="s">
        <v>2244</v>
      </c>
      <c r="P146" s="38" t="s">
        <v>245</v>
      </c>
      <c r="Q146" s="38" t="s">
        <v>2245</v>
      </c>
      <c r="R146" s="38" t="s">
        <v>335</v>
      </c>
      <c r="S146" s="38">
        <v>1.0</v>
      </c>
      <c r="T146" s="38" t="s">
        <v>2153</v>
      </c>
    </row>
    <row r="147" ht="14.25" customHeight="1">
      <c r="A147" s="39" t="s">
        <v>2160</v>
      </c>
      <c r="B147" s="39" t="s">
        <v>2158</v>
      </c>
      <c r="C147" s="39" t="s">
        <v>2158</v>
      </c>
      <c r="D147" s="39" t="s">
        <v>239</v>
      </c>
      <c r="E147" s="39" t="s">
        <v>522</v>
      </c>
      <c r="F147" s="39" t="s">
        <v>240</v>
      </c>
      <c r="G147" s="39" t="s">
        <v>241</v>
      </c>
      <c r="H147" s="39" t="s">
        <v>244</v>
      </c>
      <c r="I147" s="43">
        <v>198.0</v>
      </c>
      <c r="J147" s="39" t="s">
        <v>243</v>
      </c>
      <c r="K147" s="39" t="s">
        <v>242</v>
      </c>
      <c r="L147" s="39" t="s">
        <v>2388</v>
      </c>
      <c r="M147" s="39" t="s">
        <v>245</v>
      </c>
      <c r="N147" s="39" t="s">
        <v>245</v>
      </c>
      <c r="O147" s="45" t="s">
        <v>2244</v>
      </c>
      <c r="P147" s="39" t="s">
        <v>245</v>
      </c>
      <c r="Q147" s="39" t="s">
        <v>2245</v>
      </c>
      <c r="R147" s="39" t="s">
        <v>335</v>
      </c>
      <c r="S147" s="39">
        <v>1.0</v>
      </c>
      <c r="T147" s="39" t="s">
        <v>2157</v>
      </c>
    </row>
    <row r="148" ht="14.25" customHeight="1">
      <c r="A148" s="38" t="s">
        <v>2164</v>
      </c>
      <c r="B148" s="38" t="s">
        <v>2162</v>
      </c>
      <c r="C148" s="38" t="s">
        <v>2162</v>
      </c>
      <c r="D148" s="38" t="s">
        <v>239</v>
      </c>
      <c r="E148" s="38" t="s">
        <v>522</v>
      </c>
      <c r="F148" s="38" t="s">
        <v>240</v>
      </c>
      <c r="G148" s="38" t="s">
        <v>241</v>
      </c>
      <c r="H148" s="38" t="s">
        <v>244</v>
      </c>
      <c r="I148" s="40">
        <v>253.0</v>
      </c>
      <c r="J148" s="38" t="s">
        <v>243</v>
      </c>
      <c r="K148" s="38" t="s">
        <v>242</v>
      </c>
      <c r="L148" s="38" t="s">
        <v>2389</v>
      </c>
      <c r="M148" s="38" t="s">
        <v>245</v>
      </c>
      <c r="N148" s="38" t="s">
        <v>245</v>
      </c>
      <c r="O148" s="42" t="s">
        <v>2244</v>
      </c>
      <c r="P148" s="38" t="s">
        <v>245</v>
      </c>
      <c r="Q148" s="38" t="s">
        <v>2245</v>
      </c>
      <c r="R148" s="38" t="s">
        <v>335</v>
      </c>
      <c r="S148" s="38">
        <v>1.0</v>
      </c>
      <c r="T148" s="38" t="s">
        <v>2161</v>
      </c>
    </row>
    <row r="149" ht="14.25" customHeight="1">
      <c r="A149" s="39" t="s">
        <v>2168</v>
      </c>
      <c r="B149" s="39" t="s">
        <v>2166</v>
      </c>
      <c r="C149" s="39" t="s">
        <v>2166</v>
      </c>
      <c r="D149" s="39" t="s">
        <v>239</v>
      </c>
      <c r="E149" s="39" t="s">
        <v>522</v>
      </c>
      <c r="F149" s="39" t="s">
        <v>240</v>
      </c>
      <c r="G149" s="39" t="s">
        <v>241</v>
      </c>
      <c r="H149" s="39" t="s">
        <v>244</v>
      </c>
      <c r="I149" s="43">
        <v>275.0</v>
      </c>
      <c r="J149" s="39" t="s">
        <v>243</v>
      </c>
      <c r="K149" s="39" t="s">
        <v>242</v>
      </c>
      <c r="L149" s="39" t="s">
        <v>2390</v>
      </c>
      <c r="M149" s="39" t="s">
        <v>245</v>
      </c>
      <c r="N149" s="39" t="s">
        <v>245</v>
      </c>
      <c r="O149" s="45" t="s">
        <v>2244</v>
      </c>
      <c r="P149" s="39" t="s">
        <v>245</v>
      </c>
      <c r="Q149" s="39" t="s">
        <v>2245</v>
      </c>
      <c r="R149" s="39" t="s">
        <v>335</v>
      </c>
      <c r="S149" s="39">
        <v>1.0</v>
      </c>
      <c r="T149" s="39" t="s">
        <v>2165</v>
      </c>
    </row>
    <row r="150" ht="14.25" customHeight="1">
      <c r="A150" s="38" t="s">
        <v>2171</v>
      </c>
      <c r="B150" s="38" t="s">
        <v>2170</v>
      </c>
      <c r="C150" s="38" t="s">
        <v>2170</v>
      </c>
      <c r="D150" s="38" t="s">
        <v>239</v>
      </c>
      <c r="E150" s="38" t="s">
        <v>522</v>
      </c>
      <c r="F150" s="38" t="s">
        <v>240</v>
      </c>
      <c r="G150" s="38" t="s">
        <v>241</v>
      </c>
      <c r="H150" s="38" t="s">
        <v>244</v>
      </c>
      <c r="I150" s="40">
        <v>330.0</v>
      </c>
      <c r="J150" s="38" t="s">
        <v>243</v>
      </c>
      <c r="K150" s="38" t="s">
        <v>242</v>
      </c>
      <c r="L150" s="38" t="s">
        <v>2391</v>
      </c>
      <c r="M150" s="38" t="s">
        <v>245</v>
      </c>
      <c r="N150" s="38" t="s">
        <v>245</v>
      </c>
      <c r="O150" s="42" t="s">
        <v>2244</v>
      </c>
      <c r="P150" s="38" t="s">
        <v>245</v>
      </c>
      <c r="Q150" s="38" t="s">
        <v>2245</v>
      </c>
      <c r="R150" s="38" t="s">
        <v>335</v>
      </c>
      <c r="S150" s="38">
        <v>1.0</v>
      </c>
      <c r="T150" s="38" t="s">
        <v>2169</v>
      </c>
    </row>
    <row r="151" ht="14.25" customHeight="1">
      <c r="A151" s="39" t="s">
        <v>2175</v>
      </c>
      <c r="B151" s="39" t="s">
        <v>2173</v>
      </c>
      <c r="C151" s="39" t="s">
        <v>2173</v>
      </c>
      <c r="D151" s="39" t="s">
        <v>239</v>
      </c>
      <c r="E151" s="39" t="s">
        <v>522</v>
      </c>
      <c r="F151" s="39" t="s">
        <v>240</v>
      </c>
      <c r="G151" s="39" t="s">
        <v>241</v>
      </c>
      <c r="H151" s="39" t="s">
        <v>244</v>
      </c>
      <c r="I151" s="43">
        <v>660.0</v>
      </c>
      <c r="J151" s="39" t="s">
        <v>243</v>
      </c>
      <c r="K151" s="39" t="s">
        <v>242</v>
      </c>
      <c r="L151" s="39" t="s">
        <v>2392</v>
      </c>
      <c r="M151" s="39" t="s">
        <v>245</v>
      </c>
      <c r="N151" s="39" t="s">
        <v>245</v>
      </c>
      <c r="O151" s="45" t="s">
        <v>2244</v>
      </c>
      <c r="P151" s="39" t="s">
        <v>245</v>
      </c>
      <c r="Q151" s="39" t="s">
        <v>2245</v>
      </c>
      <c r="R151" s="39" t="s">
        <v>335</v>
      </c>
      <c r="S151" s="39">
        <v>1.0</v>
      </c>
      <c r="T151" s="39" t="s">
        <v>2172</v>
      </c>
    </row>
    <row r="152" ht="14.25" customHeight="1">
      <c r="A152" s="38" t="s">
        <v>2178</v>
      </c>
      <c r="B152" s="38" t="s">
        <v>2177</v>
      </c>
      <c r="C152" s="38" t="s">
        <v>2177</v>
      </c>
      <c r="D152" s="38" t="s">
        <v>281</v>
      </c>
      <c r="E152" s="38" t="s">
        <v>447</v>
      </c>
      <c r="F152" s="38" t="s">
        <v>240</v>
      </c>
      <c r="G152" s="38" t="s">
        <v>241</v>
      </c>
      <c r="H152" s="38" t="s">
        <v>244</v>
      </c>
      <c r="I152" s="40">
        <v>60.0</v>
      </c>
      <c r="J152" s="38" t="s">
        <v>243</v>
      </c>
      <c r="K152" s="38" t="s">
        <v>242</v>
      </c>
      <c r="L152" s="38" t="s">
        <v>2393</v>
      </c>
      <c r="M152" s="38" t="s">
        <v>245</v>
      </c>
      <c r="N152" s="38" t="s">
        <v>245</v>
      </c>
      <c r="O152" s="42" t="s">
        <v>2244</v>
      </c>
      <c r="P152" s="38" t="s">
        <v>245</v>
      </c>
      <c r="Q152" s="38" t="s">
        <v>2245</v>
      </c>
      <c r="R152" s="38" t="s">
        <v>335</v>
      </c>
      <c r="S152" s="38">
        <v>1.0</v>
      </c>
      <c r="T152" s="38" t="s">
        <v>2176</v>
      </c>
    </row>
    <row r="153" ht="14.25" customHeight="1">
      <c r="A153" s="39" t="s">
        <v>2181</v>
      </c>
      <c r="B153" s="39" t="s">
        <v>2180</v>
      </c>
      <c r="C153" s="39" t="s">
        <v>2180</v>
      </c>
      <c r="D153" s="39" t="s">
        <v>281</v>
      </c>
      <c r="E153" s="39" t="s">
        <v>1290</v>
      </c>
      <c r="F153" s="39" t="s">
        <v>240</v>
      </c>
      <c r="G153" s="39" t="s">
        <v>241</v>
      </c>
      <c r="H153" s="39" t="s">
        <v>244</v>
      </c>
      <c r="I153" s="43">
        <v>260.0</v>
      </c>
      <c r="J153" s="39" t="s">
        <v>243</v>
      </c>
      <c r="K153" s="39" t="s">
        <v>242</v>
      </c>
      <c r="L153" s="39" t="s">
        <v>2394</v>
      </c>
      <c r="M153" s="39" t="s">
        <v>245</v>
      </c>
      <c r="N153" s="39" t="s">
        <v>245</v>
      </c>
      <c r="O153" s="45" t="s">
        <v>2244</v>
      </c>
      <c r="P153" s="39" t="s">
        <v>245</v>
      </c>
      <c r="Q153" s="39" t="s">
        <v>2245</v>
      </c>
      <c r="R153" s="39" t="s">
        <v>335</v>
      </c>
      <c r="S153" s="39">
        <v>1.0</v>
      </c>
      <c r="T153" s="39" t="s">
        <v>2179</v>
      </c>
    </row>
    <row r="154" ht="14.25" customHeight="1">
      <c r="A154" s="38" t="s">
        <v>2185</v>
      </c>
      <c r="B154" s="38" t="s">
        <v>2183</v>
      </c>
      <c r="C154" s="38" t="s">
        <v>2183</v>
      </c>
      <c r="D154" s="38" t="s">
        <v>239</v>
      </c>
      <c r="E154" s="38" t="s">
        <v>252</v>
      </c>
      <c r="F154" s="38" t="s">
        <v>240</v>
      </c>
      <c r="G154" s="38" t="s">
        <v>241</v>
      </c>
      <c r="H154" s="38" t="s">
        <v>244</v>
      </c>
      <c r="I154" s="40">
        <v>2550.0</v>
      </c>
      <c r="J154" s="38" t="s">
        <v>243</v>
      </c>
      <c r="K154" s="38" t="s">
        <v>242</v>
      </c>
      <c r="L154" s="38" t="s">
        <v>2395</v>
      </c>
      <c r="M154" s="38" t="s">
        <v>245</v>
      </c>
      <c r="N154" s="38" t="s">
        <v>245</v>
      </c>
      <c r="O154" s="42" t="s">
        <v>2244</v>
      </c>
      <c r="P154" s="38" t="s">
        <v>245</v>
      </c>
      <c r="Q154" s="38" t="s">
        <v>2245</v>
      </c>
      <c r="R154" s="38" t="s">
        <v>335</v>
      </c>
      <c r="S154" s="38">
        <v>1.0</v>
      </c>
      <c r="T154" s="38" t="s">
        <v>2182</v>
      </c>
    </row>
    <row r="155" ht="14.25" customHeight="1">
      <c r="A155" s="39" t="s">
        <v>2188</v>
      </c>
      <c r="B155" s="39" t="s">
        <v>2187</v>
      </c>
      <c r="C155" s="39" t="s">
        <v>2187</v>
      </c>
      <c r="D155" s="39" t="s">
        <v>386</v>
      </c>
      <c r="E155" s="39" t="s">
        <v>1469</v>
      </c>
      <c r="F155" s="39" t="s">
        <v>240</v>
      </c>
      <c r="G155" s="39" t="s">
        <v>1103</v>
      </c>
      <c r="H155" s="39" t="s">
        <v>2247</v>
      </c>
      <c r="I155" s="43">
        <v>900.0</v>
      </c>
      <c r="J155" s="39" t="s">
        <v>243</v>
      </c>
      <c r="K155" s="39" t="s">
        <v>242</v>
      </c>
      <c r="L155" s="39" t="s">
        <v>2396</v>
      </c>
      <c r="M155" s="39" t="s">
        <v>245</v>
      </c>
      <c r="N155" s="39" t="s">
        <v>245</v>
      </c>
      <c r="O155" s="45" t="s">
        <v>2244</v>
      </c>
      <c r="P155" s="39" t="s">
        <v>245</v>
      </c>
      <c r="Q155" s="39" t="s">
        <v>2245</v>
      </c>
      <c r="R155" s="39" t="s">
        <v>335</v>
      </c>
      <c r="S155" s="39">
        <v>1.0</v>
      </c>
      <c r="T155" s="39" t="s">
        <v>2186</v>
      </c>
    </row>
    <row r="156" ht="14.25" customHeight="1">
      <c r="A156" s="38" t="s">
        <v>2191</v>
      </c>
      <c r="B156" s="38" t="s">
        <v>2190</v>
      </c>
      <c r="C156" s="38" t="s">
        <v>2190</v>
      </c>
      <c r="D156" s="38" t="s">
        <v>386</v>
      </c>
      <c r="E156" s="38" t="s">
        <v>1130</v>
      </c>
      <c r="F156" s="38" t="s">
        <v>240</v>
      </c>
      <c r="G156" s="38" t="s">
        <v>306</v>
      </c>
      <c r="H156" s="38" t="s">
        <v>324</v>
      </c>
      <c r="I156" s="40">
        <v>3700.0</v>
      </c>
      <c r="J156" s="38" t="s">
        <v>243</v>
      </c>
      <c r="K156" s="38" t="s">
        <v>242</v>
      </c>
      <c r="L156" s="38" t="s">
        <v>2397</v>
      </c>
      <c r="M156" s="38" t="s">
        <v>245</v>
      </c>
      <c r="N156" s="38" t="s">
        <v>245</v>
      </c>
      <c r="O156" s="42" t="s">
        <v>2244</v>
      </c>
      <c r="P156" s="38" t="s">
        <v>245</v>
      </c>
      <c r="Q156" s="38" t="s">
        <v>2245</v>
      </c>
      <c r="R156" s="38" t="s">
        <v>335</v>
      </c>
      <c r="S156" s="38">
        <v>1.0</v>
      </c>
      <c r="T156" s="38" t="s">
        <v>2189</v>
      </c>
    </row>
    <row r="157" ht="14.25" customHeight="1">
      <c r="A157" s="39" t="s">
        <v>2213</v>
      </c>
      <c r="B157" s="39" t="s">
        <v>2212</v>
      </c>
      <c r="C157" s="39" t="s">
        <v>2212</v>
      </c>
      <c r="D157" s="39" t="s">
        <v>239</v>
      </c>
      <c r="E157" s="39" t="s">
        <v>1244</v>
      </c>
      <c r="F157" s="39" t="s">
        <v>240</v>
      </c>
      <c r="G157" s="39" t="s">
        <v>241</v>
      </c>
      <c r="H157" s="39" t="s">
        <v>244</v>
      </c>
      <c r="I157" s="43">
        <v>950.0</v>
      </c>
      <c r="J157" s="39" t="s">
        <v>243</v>
      </c>
      <c r="K157" s="39" t="s">
        <v>242</v>
      </c>
      <c r="L157" s="39" t="s">
        <v>2398</v>
      </c>
      <c r="M157" s="39" t="s">
        <v>245</v>
      </c>
      <c r="N157" s="39" t="s">
        <v>245</v>
      </c>
      <c r="O157" s="45" t="s">
        <v>2244</v>
      </c>
      <c r="P157" s="39" t="s">
        <v>245</v>
      </c>
      <c r="Q157" s="39" t="s">
        <v>2245</v>
      </c>
      <c r="R157" s="39" t="s">
        <v>335</v>
      </c>
      <c r="S157" s="39">
        <v>1.0</v>
      </c>
      <c r="T157" s="39" t="s">
        <v>2211</v>
      </c>
    </row>
    <row r="158" ht="14.25" customHeight="1">
      <c r="A158" s="38" t="s">
        <v>2216</v>
      </c>
      <c r="B158" s="38" t="s">
        <v>2215</v>
      </c>
      <c r="C158" s="38" t="s">
        <v>2215</v>
      </c>
      <c r="D158" s="38" t="s">
        <v>239</v>
      </c>
      <c r="E158" s="38" t="s">
        <v>1113</v>
      </c>
      <c r="F158" s="38" t="s">
        <v>240</v>
      </c>
      <c r="G158" s="38" t="s">
        <v>241</v>
      </c>
      <c r="H158" s="38" t="s">
        <v>244</v>
      </c>
      <c r="I158" s="40">
        <v>50.0</v>
      </c>
      <c r="J158" s="38" t="s">
        <v>243</v>
      </c>
      <c r="K158" s="38" t="s">
        <v>242</v>
      </c>
      <c r="L158" s="38" t="s">
        <v>2399</v>
      </c>
      <c r="M158" s="38" t="s">
        <v>245</v>
      </c>
      <c r="N158" s="38" t="s">
        <v>245</v>
      </c>
      <c r="O158" s="42" t="s">
        <v>2244</v>
      </c>
      <c r="P158" s="38" t="s">
        <v>245</v>
      </c>
      <c r="Q158" s="38" t="s">
        <v>2245</v>
      </c>
      <c r="R158" s="38" t="s">
        <v>335</v>
      </c>
      <c r="S158" s="38">
        <v>1.0</v>
      </c>
      <c r="T158" s="38" t="s">
        <v>2214</v>
      </c>
    </row>
    <row r="159" ht="14.25" customHeight="1">
      <c r="A159" s="50" t="s">
        <v>2400</v>
      </c>
      <c r="B159" s="50" t="s">
        <v>2401</v>
      </c>
      <c r="C159" s="50" t="s">
        <v>2401</v>
      </c>
      <c r="D159" s="50" t="s">
        <v>239</v>
      </c>
      <c r="E159" s="50" t="s">
        <v>1049</v>
      </c>
      <c r="F159" s="50" t="s">
        <v>240</v>
      </c>
      <c r="G159" s="50" t="s">
        <v>2402</v>
      </c>
      <c r="H159" s="50" t="s">
        <v>2403</v>
      </c>
      <c r="I159" s="50">
        <v>180.0</v>
      </c>
      <c r="K159" s="50" t="s">
        <v>242</v>
      </c>
      <c r="L159" s="50" t="s">
        <v>2404</v>
      </c>
      <c r="N159" s="50" t="s">
        <v>245</v>
      </c>
      <c r="P159" s="50" t="s">
        <v>245</v>
      </c>
      <c r="Q159" s="50" t="s">
        <v>2405</v>
      </c>
      <c r="R159" s="50" t="s">
        <v>2406</v>
      </c>
      <c r="S159" s="50">
        <v>0.0</v>
      </c>
      <c r="T159" s="50" t="s">
        <v>2405</v>
      </c>
    </row>
    <row r="160" ht="14.25" customHeight="1">
      <c r="A160" s="50" t="s">
        <v>2407</v>
      </c>
      <c r="B160" s="50" t="s">
        <v>2408</v>
      </c>
      <c r="C160" s="50" t="s">
        <v>2408</v>
      </c>
      <c r="D160" s="50" t="s">
        <v>415</v>
      </c>
      <c r="E160" s="50" t="s">
        <v>1739</v>
      </c>
      <c r="F160" s="50" t="s">
        <v>240</v>
      </c>
      <c r="G160" s="50" t="s">
        <v>306</v>
      </c>
      <c r="H160" s="50" t="s">
        <v>324</v>
      </c>
      <c r="I160" s="50">
        <v>800.0</v>
      </c>
      <c r="K160" s="50" t="s">
        <v>242</v>
      </c>
      <c r="L160" s="50" t="s">
        <v>2409</v>
      </c>
      <c r="N160" s="50" t="s">
        <v>245</v>
      </c>
      <c r="P160" s="50" t="s">
        <v>245</v>
      </c>
      <c r="Q160" s="50" t="s">
        <v>2405</v>
      </c>
      <c r="R160" s="50" t="s">
        <v>2406</v>
      </c>
      <c r="S160" s="50">
        <v>0.0</v>
      </c>
      <c r="T160" s="50" t="s">
        <v>2405</v>
      </c>
    </row>
    <row r="161" ht="14.25" customHeight="1">
      <c r="A161" s="50" t="s">
        <v>2410</v>
      </c>
      <c r="B161" s="50" t="s">
        <v>2411</v>
      </c>
      <c r="C161" s="50" t="s">
        <v>2411</v>
      </c>
      <c r="D161" s="50" t="s">
        <v>415</v>
      </c>
      <c r="E161" s="50" t="s">
        <v>1739</v>
      </c>
      <c r="F161" s="50" t="s">
        <v>240</v>
      </c>
      <c r="G161" s="50" t="s">
        <v>306</v>
      </c>
      <c r="H161" s="50" t="s">
        <v>324</v>
      </c>
      <c r="I161" s="50">
        <v>2500.0</v>
      </c>
      <c r="K161" s="50" t="s">
        <v>242</v>
      </c>
      <c r="L161" s="50" t="s">
        <v>2412</v>
      </c>
      <c r="N161" s="50" t="s">
        <v>245</v>
      </c>
      <c r="P161" s="50" t="s">
        <v>245</v>
      </c>
      <c r="Q161" s="50" t="s">
        <v>2405</v>
      </c>
      <c r="R161" s="50" t="s">
        <v>2406</v>
      </c>
      <c r="S161" s="50">
        <v>0.0</v>
      </c>
      <c r="T161" s="50" t="s">
        <v>2405</v>
      </c>
    </row>
    <row r="162" ht="14.25" customHeight="1">
      <c r="A162" s="50" t="s">
        <v>2413</v>
      </c>
      <c r="B162" s="50" t="s">
        <v>2414</v>
      </c>
      <c r="C162" s="50" t="s">
        <v>2414</v>
      </c>
      <c r="D162" s="50" t="s">
        <v>415</v>
      </c>
      <c r="E162" s="50" t="s">
        <v>1739</v>
      </c>
      <c r="F162" s="50" t="s">
        <v>240</v>
      </c>
      <c r="G162" s="50" t="s">
        <v>306</v>
      </c>
      <c r="H162" s="50" t="s">
        <v>324</v>
      </c>
      <c r="I162" s="50">
        <v>6000.0</v>
      </c>
      <c r="K162" s="50" t="s">
        <v>242</v>
      </c>
      <c r="L162" s="50" t="s">
        <v>2415</v>
      </c>
      <c r="N162" s="50" t="s">
        <v>245</v>
      </c>
      <c r="P162" s="50" t="s">
        <v>245</v>
      </c>
      <c r="Q162" s="50" t="s">
        <v>2405</v>
      </c>
      <c r="R162" s="50" t="s">
        <v>2406</v>
      </c>
      <c r="S162" s="50">
        <v>0.0</v>
      </c>
      <c r="T162" s="50" t="s">
        <v>2405</v>
      </c>
    </row>
    <row r="163" ht="14.25" customHeight="1">
      <c r="A163" s="50" t="s">
        <v>2416</v>
      </c>
      <c r="B163" s="50" t="s">
        <v>2417</v>
      </c>
      <c r="C163" s="50" t="s">
        <v>2417</v>
      </c>
      <c r="D163" s="50" t="s">
        <v>415</v>
      </c>
      <c r="E163" s="50" t="s">
        <v>1739</v>
      </c>
      <c r="F163" s="50" t="s">
        <v>240</v>
      </c>
      <c r="G163" s="50" t="s">
        <v>306</v>
      </c>
      <c r="H163" s="50" t="s">
        <v>324</v>
      </c>
      <c r="I163" s="50">
        <v>350.0</v>
      </c>
      <c r="K163" s="50" t="s">
        <v>242</v>
      </c>
      <c r="L163" s="50" t="s">
        <v>2418</v>
      </c>
      <c r="N163" s="50" t="s">
        <v>245</v>
      </c>
      <c r="P163" s="50" t="s">
        <v>245</v>
      </c>
      <c r="Q163" s="50" t="s">
        <v>2405</v>
      </c>
      <c r="R163" s="50" t="s">
        <v>2406</v>
      </c>
      <c r="S163" s="50">
        <v>0.0</v>
      </c>
      <c r="T163" s="50" t="s">
        <v>2405</v>
      </c>
    </row>
    <row r="164" ht="14.25" customHeight="1">
      <c r="A164" s="50" t="s">
        <v>2419</v>
      </c>
      <c r="B164" s="50" t="s">
        <v>2420</v>
      </c>
      <c r="C164" s="50" t="s">
        <v>2420</v>
      </c>
      <c r="D164" s="50" t="s">
        <v>415</v>
      </c>
      <c r="E164" s="50" t="s">
        <v>1739</v>
      </c>
      <c r="F164" s="50" t="s">
        <v>240</v>
      </c>
      <c r="G164" s="50" t="s">
        <v>306</v>
      </c>
      <c r="H164" s="50" t="s">
        <v>324</v>
      </c>
      <c r="I164" s="50">
        <v>120.0</v>
      </c>
      <c r="K164" s="50" t="s">
        <v>242</v>
      </c>
      <c r="L164" s="50" t="s">
        <v>2421</v>
      </c>
      <c r="N164" s="50" t="s">
        <v>245</v>
      </c>
      <c r="P164" s="50" t="s">
        <v>245</v>
      </c>
      <c r="Q164" s="50" t="s">
        <v>2405</v>
      </c>
      <c r="R164" s="50" t="s">
        <v>2406</v>
      </c>
      <c r="S164" s="50">
        <v>0.0</v>
      </c>
      <c r="T164" s="50" t="s">
        <v>2405</v>
      </c>
    </row>
    <row r="165" ht="14.25" customHeight="1">
      <c r="A165" s="50" t="s">
        <v>2422</v>
      </c>
      <c r="B165" s="50" t="s">
        <v>2423</v>
      </c>
      <c r="C165" s="50" t="s">
        <v>2423</v>
      </c>
      <c r="D165" s="50" t="s">
        <v>417</v>
      </c>
      <c r="E165" s="50" t="s">
        <v>2424</v>
      </c>
      <c r="F165" s="50" t="s">
        <v>240</v>
      </c>
      <c r="G165" s="50" t="s">
        <v>2425</v>
      </c>
      <c r="H165" s="50" t="s">
        <v>2426</v>
      </c>
      <c r="I165" s="50">
        <v>18000.0</v>
      </c>
      <c r="K165" s="50" t="s">
        <v>242</v>
      </c>
      <c r="L165" s="50" t="s">
        <v>2427</v>
      </c>
      <c r="N165" s="50" t="s">
        <v>245</v>
      </c>
      <c r="P165" s="50" t="s">
        <v>245</v>
      </c>
      <c r="Q165" s="50" t="s">
        <v>2405</v>
      </c>
      <c r="R165" s="50" t="s">
        <v>2406</v>
      </c>
      <c r="S165" s="50">
        <v>0.0</v>
      </c>
      <c r="T165" s="50" t="s">
        <v>2405</v>
      </c>
    </row>
    <row r="166" ht="14.25" customHeight="1">
      <c r="A166" s="50" t="s">
        <v>2428</v>
      </c>
      <c r="B166" s="50" t="s">
        <v>2429</v>
      </c>
      <c r="C166" s="50" t="s">
        <v>2429</v>
      </c>
      <c r="D166" s="50" t="s">
        <v>417</v>
      </c>
      <c r="E166" s="50" t="s">
        <v>2424</v>
      </c>
      <c r="F166" s="50" t="s">
        <v>240</v>
      </c>
      <c r="G166" s="50" t="s">
        <v>2425</v>
      </c>
      <c r="H166" s="50" t="s">
        <v>2426</v>
      </c>
      <c r="I166" s="50">
        <v>32000.0</v>
      </c>
      <c r="K166" s="50" t="s">
        <v>242</v>
      </c>
      <c r="L166" s="50" t="s">
        <v>2430</v>
      </c>
      <c r="N166" s="50" t="s">
        <v>245</v>
      </c>
      <c r="P166" s="50" t="s">
        <v>245</v>
      </c>
      <c r="Q166" s="50" t="s">
        <v>2405</v>
      </c>
      <c r="R166" s="50" t="s">
        <v>2406</v>
      </c>
      <c r="S166" s="50">
        <v>0.0</v>
      </c>
      <c r="T166" s="50" t="s">
        <v>2405</v>
      </c>
    </row>
    <row r="167" ht="14.25" customHeight="1">
      <c r="A167" s="50" t="s">
        <v>2431</v>
      </c>
      <c r="B167" s="50" t="s">
        <v>2432</v>
      </c>
      <c r="C167" s="50" t="s">
        <v>2432</v>
      </c>
      <c r="D167" s="50" t="s">
        <v>417</v>
      </c>
      <c r="E167" s="50" t="s">
        <v>2424</v>
      </c>
      <c r="F167" s="50" t="s">
        <v>240</v>
      </c>
      <c r="G167" s="50" t="s">
        <v>2425</v>
      </c>
      <c r="H167" s="50" t="s">
        <v>2426</v>
      </c>
      <c r="I167" s="50">
        <v>45000.0</v>
      </c>
      <c r="K167" s="50" t="s">
        <v>242</v>
      </c>
      <c r="L167" s="50" t="s">
        <v>2433</v>
      </c>
      <c r="N167" s="50" t="s">
        <v>245</v>
      </c>
      <c r="P167" s="50" t="s">
        <v>245</v>
      </c>
      <c r="Q167" s="50" t="s">
        <v>2405</v>
      </c>
      <c r="R167" s="50" t="s">
        <v>2406</v>
      </c>
      <c r="S167" s="50">
        <v>0.0</v>
      </c>
      <c r="T167" s="50" t="s">
        <v>2405</v>
      </c>
    </row>
    <row r="168" ht="14.25" customHeight="1">
      <c r="A168" s="50" t="s">
        <v>2434</v>
      </c>
      <c r="B168" s="50" t="s">
        <v>2435</v>
      </c>
      <c r="C168" s="50" t="s">
        <v>2435</v>
      </c>
      <c r="D168" s="50" t="s">
        <v>386</v>
      </c>
      <c r="E168" s="50" t="s">
        <v>1130</v>
      </c>
      <c r="F168" s="50" t="s">
        <v>240</v>
      </c>
      <c r="G168" s="50" t="s">
        <v>2436</v>
      </c>
      <c r="H168" s="50" t="s">
        <v>2437</v>
      </c>
      <c r="I168" s="50">
        <v>8000.0</v>
      </c>
      <c r="K168" s="50" t="s">
        <v>242</v>
      </c>
      <c r="L168" s="50" t="s">
        <v>2438</v>
      </c>
      <c r="N168" s="50" t="s">
        <v>245</v>
      </c>
      <c r="P168" s="50" t="s">
        <v>245</v>
      </c>
      <c r="Q168" s="50" t="s">
        <v>2405</v>
      </c>
      <c r="R168" s="50" t="s">
        <v>2406</v>
      </c>
      <c r="S168" s="50">
        <v>0.0</v>
      </c>
      <c r="T168" s="50" t="s">
        <v>2405</v>
      </c>
    </row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T$168"/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4" width="40.0"/>
    <col customWidth="1" min="5" max="5" width="39.0"/>
    <col customWidth="1" min="6" max="6" width="30.0"/>
    <col customWidth="1" min="7" max="7" width="14.0"/>
    <col customWidth="1" min="8" max="10" width="10.0"/>
    <col customWidth="1" min="11" max="11" width="21.0"/>
    <col customWidth="1" min="12" max="12" width="26.0"/>
    <col customWidth="1" min="13" max="13" width="10.0"/>
    <col customWidth="1" min="14" max="14" width="31.0"/>
    <col customWidth="1" min="15" max="15" width="25.0"/>
    <col customWidth="1" min="16" max="16" width="18.0"/>
    <col customWidth="1" min="17" max="17" width="32.0"/>
    <col customWidth="1" min="18" max="18" width="17.0"/>
    <col customWidth="1" min="19" max="26" width="8.71"/>
  </cols>
  <sheetData>
    <row r="1" ht="14.25" customHeight="1">
      <c r="A1" s="37" t="s">
        <v>344</v>
      </c>
      <c r="B1" s="37" t="s">
        <v>307</v>
      </c>
      <c r="C1" s="37" t="s">
        <v>485</v>
      </c>
      <c r="D1" s="37" t="s">
        <v>486</v>
      </c>
      <c r="E1" s="37" t="s">
        <v>302</v>
      </c>
      <c r="F1" s="37" t="s">
        <v>427</v>
      </c>
      <c r="G1" s="37" t="s">
        <v>428</v>
      </c>
      <c r="H1" s="37" t="s">
        <v>487</v>
      </c>
      <c r="I1" s="37" t="s">
        <v>488</v>
      </c>
      <c r="J1" s="37" t="s">
        <v>489</v>
      </c>
      <c r="K1" s="37" t="s">
        <v>266</v>
      </c>
      <c r="L1" s="37" t="s">
        <v>490</v>
      </c>
      <c r="M1" s="37" t="s">
        <v>436</v>
      </c>
      <c r="N1" s="37" t="s">
        <v>116</v>
      </c>
      <c r="O1" s="37" t="s">
        <v>377</v>
      </c>
      <c r="P1" s="37" t="s">
        <v>491</v>
      </c>
      <c r="Q1" s="37" t="s">
        <v>492</v>
      </c>
      <c r="R1" s="37" t="s">
        <v>437</v>
      </c>
    </row>
    <row r="2" ht="14.25" customHeight="1">
      <c r="A2" s="38" t="s">
        <v>1043</v>
      </c>
      <c r="B2" s="38" t="s">
        <v>2439</v>
      </c>
      <c r="C2" s="38" t="s">
        <v>1040</v>
      </c>
      <c r="D2" s="38" t="s">
        <v>1040</v>
      </c>
      <c r="E2" s="38" t="s">
        <v>239</v>
      </c>
      <c r="F2" s="38" t="s">
        <v>252</v>
      </c>
      <c r="G2" s="38" t="s">
        <v>282</v>
      </c>
      <c r="H2" s="38" t="s">
        <v>241</v>
      </c>
      <c r="I2" s="51">
        <v>50.0</v>
      </c>
      <c r="J2" s="51">
        <v>100.0</v>
      </c>
      <c r="K2" s="38" t="s">
        <v>252</v>
      </c>
      <c r="L2" s="38" t="s">
        <v>242</v>
      </c>
      <c r="M2" s="38" t="s">
        <v>245</v>
      </c>
      <c r="N2" s="42" t="s">
        <v>2440</v>
      </c>
      <c r="O2" s="38" t="s">
        <v>2441</v>
      </c>
      <c r="P2" s="52">
        <v>1.05</v>
      </c>
      <c r="Q2" s="38" t="s">
        <v>2442</v>
      </c>
      <c r="R2" s="38" t="s">
        <v>245</v>
      </c>
    </row>
    <row r="3" ht="14.25" customHeight="1">
      <c r="A3" s="39" t="s">
        <v>1050</v>
      </c>
      <c r="B3" s="39" t="s">
        <v>2443</v>
      </c>
      <c r="C3" s="39" t="s">
        <v>1045</v>
      </c>
      <c r="D3" s="39" t="s">
        <v>1045</v>
      </c>
      <c r="E3" s="39" t="s">
        <v>281</v>
      </c>
      <c r="F3" s="39" t="s">
        <v>1049</v>
      </c>
      <c r="G3" s="39" t="s">
        <v>282</v>
      </c>
      <c r="H3" s="39" t="s">
        <v>306</v>
      </c>
      <c r="I3" s="53"/>
      <c r="J3" s="53"/>
      <c r="K3" s="39" t="s">
        <v>330</v>
      </c>
      <c r="L3" s="39" t="s">
        <v>242</v>
      </c>
      <c r="M3" s="39" t="s">
        <v>245</v>
      </c>
      <c r="N3" s="45" t="s">
        <v>2440</v>
      </c>
      <c r="O3" s="39" t="s">
        <v>2444</v>
      </c>
      <c r="P3" s="54">
        <v>1.1</v>
      </c>
      <c r="Q3" s="39" t="s">
        <v>2442</v>
      </c>
      <c r="R3" s="39" t="s">
        <v>245</v>
      </c>
    </row>
    <row r="4" ht="14.25" customHeight="1">
      <c r="A4" s="38" t="s">
        <v>1057</v>
      </c>
      <c r="B4" s="38" t="s">
        <v>2445</v>
      </c>
      <c r="C4" s="38" t="s">
        <v>1052</v>
      </c>
      <c r="D4" s="38" t="s">
        <v>1052</v>
      </c>
      <c r="E4" s="38" t="s">
        <v>239</v>
      </c>
      <c r="F4" s="38" t="s">
        <v>1056</v>
      </c>
      <c r="G4" s="38" t="s">
        <v>282</v>
      </c>
      <c r="H4" s="38" t="s">
        <v>1053</v>
      </c>
      <c r="I4" s="51"/>
      <c r="J4" s="51"/>
      <c r="K4" s="38" t="s">
        <v>2446</v>
      </c>
      <c r="L4" s="38" t="s">
        <v>242</v>
      </c>
      <c r="M4" s="38" t="s">
        <v>245</v>
      </c>
      <c r="N4" s="42" t="s">
        <v>2440</v>
      </c>
      <c r="O4" s="38" t="s">
        <v>2447</v>
      </c>
      <c r="P4" s="52">
        <v>1.0</v>
      </c>
      <c r="Q4" s="38" t="s">
        <v>2448</v>
      </c>
      <c r="R4" s="38" t="s">
        <v>245</v>
      </c>
    </row>
    <row r="5" ht="14.25" customHeight="1">
      <c r="A5" s="39" t="s">
        <v>1105</v>
      </c>
      <c r="B5" s="39" t="s">
        <v>2449</v>
      </c>
      <c r="C5" s="39" t="s">
        <v>1102</v>
      </c>
      <c r="D5" s="39" t="s">
        <v>1102</v>
      </c>
      <c r="E5" s="39" t="s">
        <v>239</v>
      </c>
      <c r="F5" s="39" t="s">
        <v>1062</v>
      </c>
      <c r="G5" s="39" t="s">
        <v>282</v>
      </c>
      <c r="H5" s="39" t="s">
        <v>1103</v>
      </c>
      <c r="I5" s="53"/>
      <c r="J5" s="53"/>
      <c r="K5" s="39" t="s">
        <v>2446</v>
      </c>
      <c r="L5" s="39" t="s">
        <v>242</v>
      </c>
      <c r="M5" s="39" t="s">
        <v>245</v>
      </c>
      <c r="N5" s="45" t="s">
        <v>2440</v>
      </c>
      <c r="O5" s="39" t="s">
        <v>2447</v>
      </c>
      <c r="P5" s="54">
        <v>1.0</v>
      </c>
      <c r="Q5" s="39" t="s">
        <v>2448</v>
      </c>
      <c r="R5" s="39" t="s">
        <v>245</v>
      </c>
    </row>
    <row r="6" ht="14.25" customHeight="1">
      <c r="A6" s="38" t="s">
        <v>1109</v>
      </c>
      <c r="B6" s="38" t="s">
        <v>2449</v>
      </c>
      <c r="C6" s="38" t="s">
        <v>1107</v>
      </c>
      <c r="D6" s="38" t="s">
        <v>1107</v>
      </c>
      <c r="E6" s="38" t="s">
        <v>239</v>
      </c>
      <c r="F6" s="38" t="s">
        <v>1062</v>
      </c>
      <c r="G6" s="38" t="s">
        <v>282</v>
      </c>
      <c r="H6" s="38" t="s">
        <v>1103</v>
      </c>
      <c r="I6" s="51"/>
      <c r="J6" s="51"/>
      <c r="K6" s="38" t="s">
        <v>2446</v>
      </c>
      <c r="L6" s="38" t="s">
        <v>242</v>
      </c>
      <c r="M6" s="38" t="s">
        <v>245</v>
      </c>
      <c r="N6" s="42" t="s">
        <v>2440</v>
      </c>
      <c r="O6" s="38" t="s">
        <v>2447</v>
      </c>
      <c r="P6" s="52">
        <v>1.0</v>
      </c>
      <c r="Q6" s="38" t="s">
        <v>2448</v>
      </c>
      <c r="R6" s="38" t="s">
        <v>245</v>
      </c>
    </row>
    <row r="7" ht="14.25" customHeight="1">
      <c r="A7" s="39" t="s">
        <v>1121</v>
      </c>
      <c r="B7" s="39" t="s">
        <v>2450</v>
      </c>
      <c r="C7" s="39" t="s">
        <v>1116</v>
      </c>
      <c r="D7" s="39" t="s">
        <v>1116</v>
      </c>
      <c r="E7" s="39" t="s">
        <v>405</v>
      </c>
      <c r="F7" s="39" t="s">
        <v>1120</v>
      </c>
      <c r="G7" s="39" t="s">
        <v>282</v>
      </c>
      <c r="H7" s="39" t="s">
        <v>362</v>
      </c>
      <c r="I7" s="53"/>
      <c r="J7" s="53"/>
      <c r="K7" s="39" t="s">
        <v>2451</v>
      </c>
      <c r="L7" s="39" t="s">
        <v>242</v>
      </c>
      <c r="M7" s="39" t="s">
        <v>245</v>
      </c>
      <c r="N7" s="45" t="s">
        <v>2440</v>
      </c>
      <c r="O7" s="39" t="s">
        <v>2452</v>
      </c>
      <c r="P7" s="54">
        <v>1.08</v>
      </c>
      <c r="Q7" s="39" t="s">
        <v>2453</v>
      </c>
      <c r="R7" s="39" t="s">
        <v>245</v>
      </c>
    </row>
    <row r="8" ht="14.25" customHeight="1">
      <c r="A8" s="38" t="s">
        <v>1131</v>
      </c>
      <c r="B8" s="38" t="s">
        <v>2454</v>
      </c>
      <c r="C8" s="38" t="s">
        <v>1128</v>
      </c>
      <c r="D8" s="38" t="s">
        <v>1128</v>
      </c>
      <c r="E8" s="38" t="s">
        <v>386</v>
      </c>
      <c r="F8" s="38" t="s">
        <v>1130</v>
      </c>
      <c r="G8" s="38" t="s">
        <v>282</v>
      </c>
      <c r="H8" s="38" t="s">
        <v>306</v>
      </c>
      <c r="I8" s="51"/>
      <c r="J8" s="51"/>
      <c r="K8" s="38" t="s">
        <v>2455</v>
      </c>
      <c r="L8" s="38" t="s">
        <v>242</v>
      </c>
      <c r="M8" s="38" t="s">
        <v>245</v>
      </c>
      <c r="N8" s="42" t="s">
        <v>2440</v>
      </c>
      <c r="O8" s="38" t="s">
        <v>2441</v>
      </c>
      <c r="P8" s="52">
        <v>1.05</v>
      </c>
      <c r="Q8" s="38" t="s">
        <v>2442</v>
      </c>
      <c r="R8" s="38" t="s">
        <v>245</v>
      </c>
    </row>
    <row r="9" ht="14.25" customHeight="1">
      <c r="A9" s="39" t="s">
        <v>1136</v>
      </c>
      <c r="B9" s="39" t="s">
        <v>2456</v>
      </c>
      <c r="C9" s="39" t="s">
        <v>1133</v>
      </c>
      <c r="D9" s="39" t="s">
        <v>1133</v>
      </c>
      <c r="E9" s="39" t="s">
        <v>239</v>
      </c>
      <c r="F9" s="39" t="s">
        <v>1049</v>
      </c>
      <c r="G9" s="39" t="s">
        <v>282</v>
      </c>
      <c r="H9" s="39" t="s">
        <v>1103</v>
      </c>
      <c r="I9" s="53"/>
      <c r="J9" s="53"/>
      <c r="K9" s="39" t="s">
        <v>330</v>
      </c>
      <c r="L9" s="39" t="s">
        <v>242</v>
      </c>
      <c r="M9" s="39" t="s">
        <v>245</v>
      </c>
      <c r="N9" s="45" t="s">
        <v>2440</v>
      </c>
      <c r="O9" s="39" t="s">
        <v>2444</v>
      </c>
      <c r="P9" s="54">
        <v>1.1</v>
      </c>
      <c r="Q9" s="39" t="s">
        <v>2442</v>
      </c>
      <c r="R9" s="39" t="s">
        <v>245</v>
      </c>
    </row>
    <row r="10" ht="14.25" customHeight="1">
      <c r="A10" s="38" t="s">
        <v>1140</v>
      </c>
      <c r="B10" s="38" t="s">
        <v>2457</v>
      </c>
      <c r="C10" s="38" t="s">
        <v>1138</v>
      </c>
      <c r="D10" s="38" t="s">
        <v>1138</v>
      </c>
      <c r="E10" s="38" t="s">
        <v>239</v>
      </c>
      <c r="F10" s="38" t="s">
        <v>1049</v>
      </c>
      <c r="G10" s="38" t="s">
        <v>282</v>
      </c>
      <c r="H10" s="38" t="s">
        <v>1103</v>
      </c>
      <c r="I10" s="51"/>
      <c r="J10" s="51"/>
      <c r="K10" s="38" t="s">
        <v>330</v>
      </c>
      <c r="L10" s="38" t="s">
        <v>242</v>
      </c>
      <c r="M10" s="38" t="s">
        <v>245</v>
      </c>
      <c r="N10" s="42" t="s">
        <v>2440</v>
      </c>
      <c r="O10" s="38" t="s">
        <v>2444</v>
      </c>
      <c r="P10" s="52">
        <v>1.1</v>
      </c>
      <c r="Q10" s="38" t="s">
        <v>2442</v>
      </c>
      <c r="R10" s="38" t="s">
        <v>245</v>
      </c>
    </row>
    <row r="11" ht="14.25" customHeight="1">
      <c r="A11" s="39" t="s">
        <v>1145</v>
      </c>
      <c r="B11" s="39" t="s">
        <v>2458</v>
      </c>
      <c r="C11" s="39" t="s">
        <v>1143</v>
      </c>
      <c r="D11" s="39" t="s">
        <v>1143</v>
      </c>
      <c r="E11" s="39" t="s">
        <v>281</v>
      </c>
      <c r="F11" s="39" t="s">
        <v>1049</v>
      </c>
      <c r="G11" s="39" t="s">
        <v>282</v>
      </c>
      <c r="H11" s="39" t="s">
        <v>1103</v>
      </c>
      <c r="I11" s="53">
        <v>100.0</v>
      </c>
      <c r="J11" s="53">
        <v>8.0</v>
      </c>
      <c r="K11" s="39" t="s">
        <v>330</v>
      </c>
      <c r="L11" s="39" t="s">
        <v>242</v>
      </c>
      <c r="M11" s="39" t="s">
        <v>245</v>
      </c>
      <c r="N11" s="45" t="s">
        <v>2440</v>
      </c>
      <c r="O11" s="39" t="s">
        <v>2444</v>
      </c>
      <c r="P11" s="54">
        <v>1.1</v>
      </c>
      <c r="Q11" s="39" t="s">
        <v>2442</v>
      </c>
      <c r="R11" s="39" t="s">
        <v>245</v>
      </c>
    </row>
    <row r="12" ht="14.25" customHeight="1">
      <c r="A12" s="38" t="s">
        <v>1151</v>
      </c>
      <c r="B12" s="38" t="s">
        <v>2459</v>
      </c>
      <c r="C12" s="38" t="s">
        <v>1148</v>
      </c>
      <c r="D12" s="38" t="s">
        <v>1148</v>
      </c>
      <c r="E12" s="38" t="s">
        <v>405</v>
      </c>
      <c r="F12" s="38" t="s">
        <v>1150</v>
      </c>
      <c r="G12" s="38" t="s">
        <v>282</v>
      </c>
      <c r="H12" s="38" t="s">
        <v>306</v>
      </c>
      <c r="I12" s="51">
        <v>50.0</v>
      </c>
      <c r="J12" s="51">
        <v>50.0</v>
      </c>
      <c r="K12" s="38" t="s">
        <v>2460</v>
      </c>
      <c r="L12" s="38" t="s">
        <v>242</v>
      </c>
      <c r="M12" s="38" t="s">
        <v>245</v>
      </c>
      <c r="N12" s="42" t="s">
        <v>2440</v>
      </c>
      <c r="O12" s="38" t="s">
        <v>2444</v>
      </c>
      <c r="P12" s="52">
        <v>1.1</v>
      </c>
      <c r="Q12" s="38" t="s">
        <v>2442</v>
      </c>
      <c r="R12" s="38" t="s">
        <v>245</v>
      </c>
    </row>
    <row r="13" ht="14.25" customHeight="1">
      <c r="A13" s="39" t="s">
        <v>1156</v>
      </c>
      <c r="B13" s="39" t="s">
        <v>2461</v>
      </c>
      <c r="C13" s="39" t="s">
        <v>1154</v>
      </c>
      <c r="D13" s="39" t="s">
        <v>1154</v>
      </c>
      <c r="E13" s="39" t="s">
        <v>239</v>
      </c>
      <c r="F13" s="39" t="s">
        <v>1056</v>
      </c>
      <c r="G13" s="39" t="s">
        <v>282</v>
      </c>
      <c r="H13" s="39" t="s">
        <v>306</v>
      </c>
      <c r="I13" s="53">
        <v>30.0</v>
      </c>
      <c r="J13" s="53">
        <v>45.0</v>
      </c>
      <c r="K13" s="39" t="s">
        <v>2460</v>
      </c>
      <c r="L13" s="39" t="s">
        <v>242</v>
      </c>
      <c r="M13" s="39" t="s">
        <v>245</v>
      </c>
      <c r="N13" s="45" t="s">
        <v>2440</v>
      </c>
      <c r="O13" s="39" t="s">
        <v>2444</v>
      </c>
      <c r="P13" s="54">
        <v>1.1</v>
      </c>
      <c r="Q13" s="39" t="s">
        <v>2442</v>
      </c>
      <c r="R13" s="39" t="s">
        <v>245</v>
      </c>
    </row>
    <row r="14" ht="14.25" customHeight="1">
      <c r="A14" s="38" t="s">
        <v>1161</v>
      </c>
      <c r="B14" s="38" t="s">
        <v>2462</v>
      </c>
      <c r="C14" s="38" t="s">
        <v>1159</v>
      </c>
      <c r="D14" s="38" t="s">
        <v>1159</v>
      </c>
      <c r="E14" s="38" t="s">
        <v>239</v>
      </c>
      <c r="F14" s="38" t="s">
        <v>252</v>
      </c>
      <c r="G14" s="38" t="s">
        <v>282</v>
      </c>
      <c r="H14" s="38" t="s">
        <v>241</v>
      </c>
      <c r="I14" s="51">
        <v>100.0</v>
      </c>
      <c r="J14" s="51">
        <v>100.0</v>
      </c>
      <c r="K14" s="38" t="s">
        <v>252</v>
      </c>
      <c r="L14" s="38" t="s">
        <v>242</v>
      </c>
      <c r="M14" s="38" t="s">
        <v>245</v>
      </c>
      <c r="N14" s="42" t="s">
        <v>2440</v>
      </c>
      <c r="O14" s="38" t="s">
        <v>2441</v>
      </c>
      <c r="P14" s="52">
        <v>1.05</v>
      </c>
      <c r="Q14" s="38" t="s">
        <v>2442</v>
      </c>
      <c r="R14" s="38" t="s">
        <v>245</v>
      </c>
    </row>
    <row r="15" ht="14.25" customHeight="1">
      <c r="A15" s="39" t="s">
        <v>1165</v>
      </c>
      <c r="B15" s="39" t="s">
        <v>2462</v>
      </c>
      <c r="C15" s="39" t="s">
        <v>1164</v>
      </c>
      <c r="D15" s="39" t="s">
        <v>1164</v>
      </c>
      <c r="E15" s="39" t="s">
        <v>239</v>
      </c>
      <c r="F15" s="39" t="s">
        <v>252</v>
      </c>
      <c r="G15" s="39" t="s">
        <v>282</v>
      </c>
      <c r="H15" s="39" t="s">
        <v>241</v>
      </c>
      <c r="I15" s="53">
        <v>100.0</v>
      </c>
      <c r="J15" s="53">
        <v>100.0</v>
      </c>
      <c r="K15" s="39" t="s">
        <v>252</v>
      </c>
      <c r="L15" s="39" t="s">
        <v>242</v>
      </c>
      <c r="M15" s="39" t="s">
        <v>245</v>
      </c>
      <c r="N15" s="45" t="s">
        <v>2440</v>
      </c>
      <c r="O15" s="39" t="s">
        <v>2441</v>
      </c>
      <c r="P15" s="54">
        <v>1.05</v>
      </c>
      <c r="Q15" s="39" t="s">
        <v>2442</v>
      </c>
      <c r="R15" s="39" t="s">
        <v>245</v>
      </c>
    </row>
    <row r="16" ht="14.25" customHeight="1">
      <c r="A16" s="38" t="s">
        <v>1170</v>
      </c>
      <c r="B16" s="38" t="s">
        <v>2463</v>
      </c>
      <c r="C16" s="38" t="s">
        <v>1168</v>
      </c>
      <c r="D16" s="38" t="s">
        <v>1168</v>
      </c>
      <c r="E16" s="38" t="s">
        <v>239</v>
      </c>
      <c r="F16" s="38" t="s">
        <v>252</v>
      </c>
      <c r="G16" s="38" t="s">
        <v>282</v>
      </c>
      <c r="H16" s="38" t="s">
        <v>241</v>
      </c>
      <c r="I16" s="51"/>
      <c r="J16" s="51"/>
      <c r="K16" s="38" t="s">
        <v>252</v>
      </c>
      <c r="L16" s="38" t="s">
        <v>242</v>
      </c>
      <c r="M16" s="38" t="s">
        <v>245</v>
      </c>
      <c r="N16" s="42" t="s">
        <v>2440</v>
      </c>
      <c r="O16" s="38" t="s">
        <v>2441</v>
      </c>
      <c r="P16" s="52">
        <v>1.05</v>
      </c>
      <c r="Q16" s="38" t="s">
        <v>2442</v>
      </c>
      <c r="R16" s="38" t="s">
        <v>245</v>
      </c>
    </row>
    <row r="17" ht="14.25" customHeight="1">
      <c r="A17" s="39" t="s">
        <v>1175</v>
      </c>
      <c r="B17" s="39" t="s">
        <v>2464</v>
      </c>
      <c r="C17" s="39" t="s">
        <v>1173</v>
      </c>
      <c r="D17" s="39" t="s">
        <v>1173</v>
      </c>
      <c r="E17" s="39" t="s">
        <v>239</v>
      </c>
      <c r="F17" s="39" t="s">
        <v>252</v>
      </c>
      <c r="G17" s="39" t="s">
        <v>282</v>
      </c>
      <c r="H17" s="39" t="s">
        <v>241</v>
      </c>
      <c r="I17" s="53">
        <v>100.0</v>
      </c>
      <c r="J17" s="53">
        <v>100.0</v>
      </c>
      <c r="K17" s="39" t="s">
        <v>252</v>
      </c>
      <c r="L17" s="39" t="s">
        <v>242</v>
      </c>
      <c r="M17" s="39" t="s">
        <v>245</v>
      </c>
      <c r="N17" s="45" t="s">
        <v>2440</v>
      </c>
      <c r="O17" s="39" t="s">
        <v>2441</v>
      </c>
      <c r="P17" s="54">
        <v>1.05</v>
      </c>
      <c r="Q17" s="39" t="s">
        <v>2442</v>
      </c>
      <c r="R17" s="39" t="s">
        <v>245</v>
      </c>
    </row>
    <row r="18" ht="14.25" customHeight="1">
      <c r="A18" s="38" t="s">
        <v>1180</v>
      </c>
      <c r="B18" s="38" t="s">
        <v>2465</v>
      </c>
      <c r="C18" s="38" t="s">
        <v>1178</v>
      </c>
      <c r="D18" s="38" t="s">
        <v>1178</v>
      </c>
      <c r="E18" s="38" t="s">
        <v>239</v>
      </c>
      <c r="F18" s="38" t="s">
        <v>252</v>
      </c>
      <c r="G18" s="38" t="s">
        <v>282</v>
      </c>
      <c r="H18" s="38" t="s">
        <v>241</v>
      </c>
      <c r="I18" s="51"/>
      <c r="J18" s="51"/>
      <c r="K18" s="38" t="s">
        <v>252</v>
      </c>
      <c r="L18" s="38" t="s">
        <v>242</v>
      </c>
      <c r="M18" s="38" t="s">
        <v>245</v>
      </c>
      <c r="N18" s="42" t="s">
        <v>2440</v>
      </c>
      <c r="O18" s="38" t="s">
        <v>2441</v>
      </c>
      <c r="P18" s="52">
        <v>1.05</v>
      </c>
      <c r="Q18" s="38" t="s">
        <v>2442</v>
      </c>
      <c r="R18" s="38" t="s">
        <v>245</v>
      </c>
    </row>
    <row r="19" ht="14.25" customHeight="1">
      <c r="A19" s="39" t="s">
        <v>1185</v>
      </c>
      <c r="B19" s="39" t="s">
        <v>2466</v>
      </c>
      <c r="C19" s="39" t="s">
        <v>1183</v>
      </c>
      <c r="D19" s="39" t="s">
        <v>1183</v>
      </c>
      <c r="E19" s="39" t="s">
        <v>239</v>
      </c>
      <c r="F19" s="39" t="s">
        <v>252</v>
      </c>
      <c r="G19" s="39" t="s">
        <v>282</v>
      </c>
      <c r="H19" s="39" t="s">
        <v>241</v>
      </c>
      <c r="I19" s="53">
        <v>197.0</v>
      </c>
      <c r="J19" s="53">
        <v>97.0</v>
      </c>
      <c r="K19" s="39" t="s">
        <v>252</v>
      </c>
      <c r="L19" s="39" t="s">
        <v>242</v>
      </c>
      <c r="M19" s="39" t="s">
        <v>245</v>
      </c>
      <c r="N19" s="45" t="s">
        <v>2440</v>
      </c>
      <c r="O19" s="39" t="s">
        <v>2441</v>
      </c>
      <c r="P19" s="54">
        <v>1.05</v>
      </c>
      <c r="Q19" s="39" t="s">
        <v>2442</v>
      </c>
      <c r="R19" s="39" t="s">
        <v>245</v>
      </c>
    </row>
    <row r="20" ht="14.25" customHeight="1">
      <c r="A20" s="38" t="s">
        <v>1190</v>
      </c>
      <c r="B20" s="38" t="s">
        <v>2467</v>
      </c>
      <c r="C20" s="38" t="s">
        <v>1188</v>
      </c>
      <c r="D20" s="38" t="s">
        <v>1188</v>
      </c>
      <c r="E20" s="38" t="s">
        <v>239</v>
      </c>
      <c r="F20" s="38" t="s">
        <v>252</v>
      </c>
      <c r="G20" s="38" t="s">
        <v>282</v>
      </c>
      <c r="H20" s="38" t="s">
        <v>241</v>
      </c>
      <c r="I20" s="51"/>
      <c r="J20" s="51"/>
      <c r="K20" s="38" t="s">
        <v>252</v>
      </c>
      <c r="L20" s="38" t="s">
        <v>242</v>
      </c>
      <c r="M20" s="38" t="s">
        <v>245</v>
      </c>
      <c r="N20" s="42" t="s">
        <v>2440</v>
      </c>
      <c r="O20" s="38" t="s">
        <v>2441</v>
      </c>
      <c r="P20" s="52">
        <v>1.05</v>
      </c>
      <c r="Q20" s="38" t="s">
        <v>2442</v>
      </c>
      <c r="R20" s="38" t="s">
        <v>245</v>
      </c>
    </row>
    <row r="21" ht="14.25" customHeight="1">
      <c r="A21" s="39" t="s">
        <v>1279</v>
      </c>
      <c r="B21" s="39" t="s">
        <v>2468</v>
      </c>
      <c r="C21" s="39" t="s">
        <v>1277</v>
      </c>
      <c r="D21" s="39" t="s">
        <v>1277</v>
      </c>
      <c r="E21" s="39" t="s">
        <v>239</v>
      </c>
      <c r="F21" s="39" t="s">
        <v>252</v>
      </c>
      <c r="G21" s="39" t="s">
        <v>282</v>
      </c>
      <c r="H21" s="39" t="s">
        <v>241</v>
      </c>
      <c r="I21" s="53">
        <v>100.0</v>
      </c>
      <c r="J21" s="53">
        <v>80.0</v>
      </c>
      <c r="K21" s="39" t="s">
        <v>252</v>
      </c>
      <c r="L21" s="39" t="s">
        <v>242</v>
      </c>
      <c r="M21" s="39" t="s">
        <v>245</v>
      </c>
      <c r="N21" s="45" t="s">
        <v>2440</v>
      </c>
      <c r="O21" s="39" t="s">
        <v>2441</v>
      </c>
      <c r="P21" s="54">
        <v>1.05</v>
      </c>
      <c r="Q21" s="39" t="s">
        <v>2442</v>
      </c>
      <c r="R21" s="39" t="s">
        <v>245</v>
      </c>
    </row>
    <row r="22" ht="14.25" customHeight="1">
      <c r="A22" s="38" t="s">
        <v>1284</v>
      </c>
      <c r="B22" s="38" t="s">
        <v>2468</v>
      </c>
      <c r="C22" s="38" t="s">
        <v>1282</v>
      </c>
      <c r="D22" s="38" t="s">
        <v>1282</v>
      </c>
      <c r="E22" s="38" t="s">
        <v>239</v>
      </c>
      <c r="F22" s="38" t="s">
        <v>252</v>
      </c>
      <c r="G22" s="38" t="s">
        <v>282</v>
      </c>
      <c r="H22" s="38" t="s">
        <v>241</v>
      </c>
      <c r="I22" s="51">
        <v>80.0</v>
      </c>
      <c r="J22" s="51">
        <v>80.0</v>
      </c>
      <c r="K22" s="38" t="s">
        <v>252</v>
      </c>
      <c r="L22" s="38" t="s">
        <v>242</v>
      </c>
      <c r="M22" s="38" t="s">
        <v>245</v>
      </c>
      <c r="N22" s="42" t="s">
        <v>2440</v>
      </c>
      <c r="O22" s="38" t="s">
        <v>2441</v>
      </c>
      <c r="P22" s="52">
        <v>1.05</v>
      </c>
      <c r="Q22" s="38" t="s">
        <v>2442</v>
      </c>
      <c r="R22" s="38" t="s">
        <v>245</v>
      </c>
    </row>
    <row r="23" ht="14.25" customHeight="1">
      <c r="A23" s="39" t="s">
        <v>1291</v>
      </c>
      <c r="B23" s="39" t="s">
        <v>2469</v>
      </c>
      <c r="C23" s="39" t="s">
        <v>1287</v>
      </c>
      <c r="D23" s="39" t="s">
        <v>1287</v>
      </c>
      <c r="E23" s="39" t="s">
        <v>281</v>
      </c>
      <c r="F23" s="39" t="s">
        <v>1290</v>
      </c>
      <c r="G23" s="39" t="s">
        <v>282</v>
      </c>
      <c r="H23" s="39" t="s">
        <v>1288</v>
      </c>
      <c r="I23" s="53"/>
      <c r="J23" s="53"/>
      <c r="K23" s="39" t="s">
        <v>2470</v>
      </c>
      <c r="L23" s="39" t="s">
        <v>242</v>
      </c>
      <c r="M23" s="39" t="s">
        <v>245</v>
      </c>
      <c r="N23" s="45" t="s">
        <v>2440</v>
      </c>
      <c r="O23" s="39" t="s">
        <v>2471</v>
      </c>
      <c r="P23" s="54">
        <v>1.1</v>
      </c>
      <c r="Q23" s="39" t="s">
        <v>2442</v>
      </c>
      <c r="R23" s="39" t="s">
        <v>245</v>
      </c>
    </row>
    <row r="24" ht="14.25" customHeight="1">
      <c r="A24" s="38" t="s">
        <v>1296</v>
      </c>
      <c r="B24" s="38" t="s">
        <v>2472</v>
      </c>
      <c r="C24" s="38" t="s">
        <v>1294</v>
      </c>
      <c r="D24" s="38" t="s">
        <v>1294</v>
      </c>
      <c r="E24" s="38" t="s">
        <v>239</v>
      </c>
      <c r="F24" s="38" t="s">
        <v>1062</v>
      </c>
      <c r="G24" s="38" t="s">
        <v>282</v>
      </c>
      <c r="H24" s="38" t="s">
        <v>1288</v>
      </c>
      <c r="I24" s="51"/>
      <c r="J24" s="51"/>
      <c r="K24" s="38" t="s">
        <v>2470</v>
      </c>
      <c r="L24" s="38" t="s">
        <v>242</v>
      </c>
      <c r="M24" s="38" t="s">
        <v>245</v>
      </c>
      <c r="N24" s="42" t="s">
        <v>2440</v>
      </c>
      <c r="O24" s="38" t="s">
        <v>2471</v>
      </c>
      <c r="P24" s="52">
        <v>1.1</v>
      </c>
      <c r="Q24" s="38" t="s">
        <v>2442</v>
      </c>
      <c r="R24" s="38" t="s">
        <v>245</v>
      </c>
    </row>
    <row r="25" ht="14.25" customHeight="1">
      <c r="A25" s="39" t="s">
        <v>1301</v>
      </c>
      <c r="B25" s="39" t="s">
        <v>2472</v>
      </c>
      <c r="C25" s="39" t="s">
        <v>1299</v>
      </c>
      <c r="D25" s="39" t="s">
        <v>1299</v>
      </c>
      <c r="E25" s="39" t="s">
        <v>239</v>
      </c>
      <c r="F25" s="39" t="s">
        <v>1062</v>
      </c>
      <c r="G25" s="39" t="s">
        <v>282</v>
      </c>
      <c r="H25" s="39" t="s">
        <v>1288</v>
      </c>
      <c r="I25" s="53"/>
      <c r="J25" s="53"/>
      <c r="K25" s="39" t="s">
        <v>2470</v>
      </c>
      <c r="L25" s="39" t="s">
        <v>242</v>
      </c>
      <c r="M25" s="39" t="s">
        <v>245</v>
      </c>
      <c r="N25" s="45" t="s">
        <v>2440</v>
      </c>
      <c r="O25" s="39" t="s">
        <v>2471</v>
      </c>
      <c r="P25" s="54">
        <v>1.1</v>
      </c>
      <c r="Q25" s="39" t="s">
        <v>2442</v>
      </c>
      <c r="R25" s="39" t="s">
        <v>245</v>
      </c>
    </row>
    <row r="26" ht="14.25" customHeight="1">
      <c r="A26" s="38" t="s">
        <v>1306</v>
      </c>
      <c r="B26" s="38" t="s">
        <v>2473</v>
      </c>
      <c r="C26" s="38" t="s">
        <v>1304</v>
      </c>
      <c r="D26" s="38" t="s">
        <v>1304</v>
      </c>
      <c r="E26" s="38" t="s">
        <v>239</v>
      </c>
      <c r="F26" s="38" t="s">
        <v>522</v>
      </c>
      <c r="G26" s="38" t="s">
        <v>282</v>
      </c>
      <c r="H26" s="38" t="s">
        <v>241</v>
      </c>
      <c r="I26" s="51"/>
      <c r="J26" s="51"/>
      <c r="K26" s="38" t="s">
        <v>367</v>
      </c>
      <c r="L26" s="38" t="s">
        <v>242</v>
      </c>
      <c r="M26" s="38" t="s">
        <v>245</v>
      </c>
      <c r="N26" s="42" t="s">
        <v>2440</v>
      </c>
      <c r="O26" s="38" t="s">
        <v>2471</v>
      </c>
      <c r="P26" s="52">
        <v>1.1</v>
      </c>
      <c r="Q26" s="38" t="s">
        <v>2442</v>
      </c>
      <c r="R26" s="38" t="s">
        <v>245</v>
      </c>
    </row>
    <row r="27" ht="14.25" customHeight="1">
      <c r="A27" s="39" t="s">
        <v>1311</v>
      </c>
      <c r="B27" s="39" t="s">
        <v>2473</v>
      </c>
      <c r="C27" s="39" t="s">
        <v>1309</v>
      </c>
      <c r="D27" s="39" t="s">
        <v>1309</v>
      </c>
      <c r="E27" s="39" t="s">
        <v>239</v>
      </c>
      <c r="F27" s="39" t="s">
        <v>522</v>
      </c>
      <c r="G27" s="39" t="s">
        <v>282</v>
      </c>
      <c r="H27" s="39" t="s">
        <v>241</v>
      </c>
      <c r="I27" s="53"/>
      <c r="J27" s="53"/>
      <c r="K27" s="39" t="s">
        <v>367</v>
      </c>
      <c r="L27" s="39" t="s">
        <v>242</v>
      </c>
      <c r="M27" s="39" t="s">
        <v>245</v>
      </c>
      <c r="N27" s="45" t="s">
        <v>2440</v>
      </c>
      <c r="O27" s="39" t="s">
        <v>2471</v>
      </c>
      <c r="P27" s="54">
        <v>1.1</v>
      </c>
      <c r="Q27" s="39" t="s">
        <v>2442</v>
      </c>
      <c r="R27" s="39" t="s">
        <v>245</v>
      </c>
    </row>
    <row r="28" ht="14.25" customHeight="1">
      <c r="A28" s="38" t="s">
        <v>1317</v>
      </c>
      <c r="B28" s="38" t="s">
        <v>2474</v>
      </c>
      <c r="C28" s="38" t="s">
        <v>1314</v>
      </c>
      <c r="D28" s="38" t="s">
        <v>1314</v>
      </c>
      <c r="E28" s="38" t="s">
        <v>320</v>
      </c>
      <c r="F28" s="38" t="s">
        <v>1316</v>
      </c>
      <c r="G28" s="38" t="s">
        <v>282</v>
      </c>
      <c r="H28" s="38" t="s">
        <v>306</v>
      </c>
      <c r="I28" s="51"/>
      <c r="J28" s="51"/>
      <c r="K28" s="38" t="s">
        <v>2455</v>
      </c>
      <c r="L28" s="38" t="s">
        <v>242</v>
      </c>
      <c r="M28" s="38" t="s">
        <v>245</v>
      </c>
      <c r="N28" s="42" t="s">
        <v>2440</v>
      </c>
      <c r="O28" s="38" t="s">
        <v>2441</v>
      </c>
      <c r="P28" s="52">
        <v>1.05</v>
      </c>
      <c r="Q28" s="38" t="s">
        <v>2442</v>
      </c>
      <c r="R28" s="38" t="s">
        <v>245</v>
      </c>
    </row>
    <row r="29" ht="14.25" customHeight="1">
      <c r="A29" s="39" t="s">
        <v>1322</v>
      </c>
      <c r="B29" s="39" t="s">
        <v>2475</v>
      </c>
      <c r="C29" s="39" t="s">
        <v>1320</v>
      </c>
      <c r="D29" s="39" t="s">
        <v>1320</v>
      </c>
      <c r="E29" s="39" t="s">
        <v>239</v>
      </c>
      <c r="F29" s="39" t="s">
        <v>1056</v>
      </c>
      <c r="G29" s="39" t="s">
        <v>282</v>
      </c>
      <c r="H29" s="39" t="s">
        <v>1103</v>
      </c>
      <c r="I29" s="53"/>
      <c r="J29" s="53"/>
      <c r="K29" s="39" t="s">
        <v>2446</v>
      </c>
      <c r="L29" s="39" t="s">
        <v>242</v>
      </c>
      <c r="M29" s="39" t="s">
        <v>245</v>
      </c>
      <c r="N29" s="45" t="s">
        <v>2440</v>
      </c>
      <c r="O29" s="39" t="s">
        <v>2447</v>
      </c>
      <c r="P29" s="54">
        <v>1.0</v>
      </c>
      <c r="Q29" s="39" t="s">
        <v>2448</v>
      </c>
      <c r="R29" s="39" t="s">
        <v>245</v>
      </c>
    </row>
    <row r="30" ht="14.25" customHeight="1">
      <c r="A30" s="38" t="s">
        <v>1327</v>
      </c>
      <c r="B30" s="38" t="s">
        <v>2476</v>
      </c>
      <c r="C30" s="38" t="s">
        <v>1325</v>
      </c>
      <c r="D30" s="38" t="s">
        <v>1325</v>
      </c>
      <c r="E30" s="38" t="s">
        <v>239</v>
      </c>
      <c r="F30" s="38" t="s">
        <v>522</v>
      </c>
      <c r="G30" s="38" t="s">
        <v>282</v>
      </c>
      <c r="H30" s="38" t="s">
        <v>362</v>
      </c>
      <c r="I30" s="51"/>
      <c r="J30" s="51"/>
      <c r="K30" s="38" t="s">
        <v>2451</v>
      </c>
      <c r="L30" s="38" t="s">
        <v>242</v>
      </c>
      <c r="M30" s="38" t="s">
        <v>245</v>
      </c>
      <c r="N30" s="42" t="s">
        <v>2440</v>
      </c>
      <c r="O30" s="38" t="s">
        <v>2452</v>
      </c>
      <c r="P30" s="52">
        <v>1.08</v>
      </c>
      <c r="Q30" s="38" t="s">
        <v>2453</v>
      </c>
      <c r="R30" s="38" t="s">
        <v>245</v>
      </c>
    </row>
    <row r="31" ht="14.25" customHeight="1">
      <c r="A31" s="39" t="s">
        <v>1331</v>
      </c>
      <c r="B31" s="39" t="s">
        <v>2477</v>
      </c>
      <c r="C31" s="39" t="s">
        <v>1330</v>
      </c>
      <c r="D31" s="39" t="s">
        <v>1330</v>
      </c>
      <c r="E31" s="39" t="s">
        <v>239</v>
      </c>
      <c r="F31" s="39" t="s">
        <v>522</v>
      </c>
      <c r="G31" s="39" t="s">
        <v>282</v>
      </c>
      <c r="H31" s="39" t="s">
        <v>362</v>
      </c>
      <c r="I31" s="53"/>
      <c r="J31" s="53"/>
      <c r="K31" s="39" t="s">
        <v>2446</v>
      </c>
      <c r="L31" s="39" t="s">
        <v>242</v>
      </c>
      <c r="M31" s="39" t="s">
        <v>245</v>
      </c>
      <c r="N31" s="45" t="s">
        <v>2440</v>
      </c>
      <c r="O31" s="39" t="s">
        <v>2452</v>
      </c>
      <c r="P31" s="54">
        <v>1.08</v>
      </c>
      <c r="Q31" s="39" t="s">
        <v>2453</v>
      </c>
      <c r="R31" s="39" t="s">
        <v>245</v>
      </c>
    </row>
    <row r="32" ht="14.25" customHeight="1">
      <c r="A32" s="38" t="s">
        <v>1336</v>
      </c>
      <c r="B32" s="38" t="s">
        <v>2478</v>
      </c>
      <c r="C32" s="38" t="s">
        <v>1334</v>
      </c>
      <c r="D32" s="38" t="s">
        <v>1334</v>
      </c>
      <c r="E32" s="38" t="s">
        <v>239</v>
      </c>
      <c r="F32" s="38" t="s">
        <v>522</v>
      </c>
      <c r="G32" s="38" t="s">
        <v>282</v>
      </c>
      <c r="H32" s="38" t="s">
        <v>416</v>
      </c>
      <c r="I32" s="51"/>
      <c r="J32" s="51"/>
      <c r="K32" s="38" t="s">
        <v>2446</v>
      </c>
      <c r="L32" s="38" t="s">
        <v>242</v>
      </c>
      <c r="M32" s="38" t="s">
        <v>245</v>
      </c>
      <c r="N32" s="42" t="s">
        <v>2440</v>
      </c>
      <c r="O32" s="38" t="s">
        <v>2447</v>
      </c>
      <c r="P32" s="52">
        <v>1.0</v>
      </c>
      <c r="Q32" s="38" t="s">
        <v>2448</v>
      </c>
      <c r="R32" s="38" t="s">
        <v>245</v>
      </c>
    </row>
    <row r="33" ht="14.25" customHeight="1">
      <c r="A33" s="39" t="s">
        <v>1340</v>
      </c>
      <c r="B33" s="39" t="s">
        <v>2479</v>
      </c>
      <c r="C33" s="39" t="s">
        <v>1339</v>
      </c>
      <c r="D33" s="39" t="s">
        <v>1339</v>
      </c>
      <c r="E33" s="39" t="s">
        <v>239</v>
      </c>
      <c r="F33" s="39" t="s">
        <v>1062</v>
      </c>
      <c r="G33" s="39" t="s">
        <v>282</v>
      </c>
      <c r="H33" s="39" t="s">
        <v>362</v>
      </c>
      <c r="I33" s="53"/>
      <c r="J33" s="53"/>
      <c r="K33" s="39" t="s">
        <v>2451</v>
      </c>
      <c r="L33" s="39" t="s">
        <v>242</v>
      </c>
      <c r="M33" s="39" t="s">
        <v>245</v>
      </c>
      <c r="N33" s="45" t="s">
        <v>2440</v>
      </c>
      <c r="O33" s="39" t="s">
        <v>2452</v>
      </c>
      <c r="P33" s="54">
        <v>1.08</v>
      </c>
      <c r="Q33" s="39" t="s">
        <v>2453</v>
      </c>
      <c r="R33" s="39" t="s">
        <v>245</v>
      </c>
    </row>
    <row r="34" ht="14.25" customHeight="1">
      <c r="A34" s="38" t="s">
        <v>1344</v>
      </c>
      <c r="B34" s="38" t="s">
        <v>2480</v>
      </c>
      <c r="C34" s="38" t="s">
        <v>1343</v>
      </c>
      <c r="D34" s="38" t="s">
        <v>1343</v>
      </c>
      <c r="E34" s="38" t="s">
        <v>399</v>
      </c>
      <c r="F34" s="38" t="s">
        <v>1012</v>
      </c>
      <c r="G34" s="38" t="s">
        <v>282</v>
      </c>
      <c r="H34" s="38" t="s">
        <v>362</v>
      </c>
      <c r="I34" s="51"/>
      <c r="J34" s="51"/>
      <c r="K34" s="38" t="s">
        <v>2451</v>
      </c>
      <c r="L34" s="38" t="s">
        <v>242</v>
      </c>
      <c r="M34" s="38" t="s">
        <v>245</v>
      </c>
      <c r="N34" s="42" t="s">
        <v>2440</v>
      </c>
      <c r="O34" s="38" t="s">
        <v>2452</v>
      </c>
      <c r="P34" s="52">
        <v>1.08</v>
      </c>
      <c r="Q34" s="38" t="s">
        <v>2453</v>
      </c>
      <c r="R34" s="38" t="s">
        <v>245</v>
      </c>
    </row>
    <row r="35" ht="14.25" customHeight="1">
      <c r="A35" s="39" t="s">
        <v>1353</v>
      </c>
      <c r="B35" s="39" t="s">
        <v>2481</v>
      </c>
      <c r="C35" s="39" t="s">
        <v>1351</v>
      </c>
      <c r="D35" s="39" t="s">
        <v>1351</v>
      </c>
      <c r="E35" s="39" t="s">
        <v>239</v>
      </c>
      <c r="F35" s="39" t="s">
        <v>1062</v>
      </c>
      <c r="G35" s="39" t="s">
        <v>282</v>
      </c>
      <c r="H35" s="39" t="s">
        <v>1053</v>
      </c>
      <c r="I35" s="53"/>
      <c r="J35" s="53"/>
      <c r="K35" s="39" t="s">
        <v>2451</v>
      </c>
      <c r="L35" s="39" t="s">
        <v>242</v>
      </c>
      <c r="M35" s="39" t="s">
        <v>245</v>
      </c>
      <c r="N35" s="45" t="s">
        <v>2440</v>
      </c>
      <c r="O35" s="39" t="s">
        <v>2452</v>
      </c>
      <c r="P35" s="54">
        <v>1.08</v>
      </c>
      <c r="Q35" s="39" t="s">
        <v>2453</v>
      </c>
      <c r="R35" s="39" t="s">
        <v>245</v>
      </c>
    </row>
    <row r="36" ht="14.25" customHeight="1">
      <c r="A36" s="38" t="s">
        <v>1374</v>
      </c>
      <c r="B36" s="38" t="s">
        <v>2482</v>
      </c>
      <c r="C36" s="38" t="s">
        <v>1372</v>
      </c>
      <c r="D36" s="38" t="s">
        <v>1372</v>
      </c>
      <c r="E36" s="38" t="s">
        <v>239</v>
      </c>
      <c r="F36" s="38" t="s">
        <v>1056</v>
      </c>
      <c r="G36" s="38" t="s">
        <v>282</v>
      </c>
      <c r="H36" s="38" t="s">
        <v>306</v>
      </c>
      <c r="I36" s="51"/>
      <c r="J36" s="51"/>
      <c r="K36" s="38" t="s">
        <v>2455</v>
      </c>
      <c r="L36" s="38" t="s">
        <v>242</v>
      </c>
      <c r="M36" s="38" t="s">
        <v>245</v>
      </c>
      <c r="N36" s="42" t="s">
        <v>2440</v>
      </c>
      <c r="O36" s="38" t="s">
        <v>2441</v>
      </c>
      <c r="P36" s="52">
        <v>1.05</v>
      </c>
      <c r="Q36" s="38" t="s">
        <v>2442</v>
      </c>
      <c r="R36" s="38" t="s">
        <v>245</v>
      </c>
    </row>
    <row r="37" ht="14.25" customHeight="1">
      <c r="A37" s="39" t="s">
        <v>1379</v>
      </c>
      <c r="B37" s="39" t="s">
        <v>2483</v>
      </c>
      <c r="C37" s="39" t="s">
        <v>1377</v>
      </c>
      <c r="D37" s="39" t="s">
        <v>1377</v>
      </c>
      <c r="E37" s="39" t="s">
        <v>239</v>
      </c>
      <c r="F37" s="39" t="s">
        <v>1056</v>
      </c>
      <c r="G37" s="39" t="s">
        <v>282</v>
      </c>
      <c r="H37" s="39" t="s">
        <v>306</v>
      </c>
      <c r="I37" s="53"/>
      <c r="J37" s="53"/>
      <c r="K37" s="39" t="s">
        <v>2455</v>
      </c>
      <c r="L37" s="39" t="s">
        <v>242</v>
      </c>
      <c r="M37" s="39" t="s">
        <v>245</v>
      </c>
      <c r="N37" s="45" t="s">
        <v>2440</v>
      </c>
      <c r="O37" s="39" t="s">
        <v>2441</v>
      </c>
      <c r="P37" s="54">
        <v>1.05</v>
      </c>
      <c r="Q37" s="39" t="s">
        <v>2442</v>
      </c>
      <c r="R37" s="39" t="s">
        <v>245</v>
      </c>
    </row>
    <row r="38" ht="14.25" customHeight="1">
      <c r="A38" s="38" t="s">
        <v>1385</v>
      </c>
      <c r="B38" s="38" t="s">
        <v>2484</v>
      </c>
      <c r="C38" s="38" t="s">
        <v>1382</v>
      </c>
      <c r="D38" s="38" t="s">
        <v>1382</v>
      </c>
      <c r="E38" s="38" t="s">
        <v>360</v>
      </c>
      <c r="F38" s="38" t="s">
        <v>1384</v>
      </c>
      <c r="G38" s="38" t="s">
        <v>282</v>
      </c>
      <c r="H38" s="38" t="s">
        <v>306</v>
      </c>
      <c r="I38" s="51"/>
      <c r="J38" s="51"/>
      <c r="K38" s="38" t="s">
        <v>2485</v>
      </c>
      <c r="L38" s="38" t="s">
        <v>242</v>
      </c>
      <c r="M38" s="38" t="s">
        <v>245</v>
      </c>
      <c r="N38" s="42" t="s">
        <v>2440</v>
      </c>
      <c r="O38" s="38" t="s">
        <v>2447</v>
      </c>
      <c r="P38" s="52">
        <v>1.0</v>
      </c>
      <c r="Q38" s="38" t="s">
        <v>2448</v>
      </c>
      <c r="R38" s="38" t="s">
        <v>245</v>
      </c>
    </row>
    <row r="39" ht="14.25" customHeight="1">
      <c r="A39" s="39" t="s">
        <v>1391</v>
      </c>
      <c r="B39" s="39" t="s">
        <v>2486</v>
      </c>
      <c r="C39" s="39" t="s">
        <v>1388</v>
      </c>
      <c r="D39" s="39" t="s">
        <v>1388</v>
      </c>
      <c r="E39" s="39" t="s">
        <v>239</v>
      </c>
      <c r="F39" s="39" t="s">
        <v>1390</v>
      </c>
      <c r="G39" s="39" t="s">
        <v>282</v>
      </c>
      <c r="H39" s="39" t="s">
        <v>306</v>
      </c>
      <c r="I39" s="53">
        <v>300.0</v>
      </c>
      <c r="J39" s="53">
        <v>300.0</v>
      </c>
      <c r="K39" s="39" t="s">
        <v>2485</v>
      </c>
      <c r="L39" s="39" t="s">
        <v>242</v>
      </c>
      <c r="M39" s="39" t="s">
        <v>245</v>
      </c>
      <c r="N39" s="45" t="s">
        <v>2440</v>
      </c>
      <c r="O39" s="39" t="s">
        <v>2447</v>
      </c>
      <c r="P39" s="54">
        <v>1.0</v>
      </c>
      <c r="Q39" s="39" t="s">
        <v>2448</v>
      </c>
      <c r="R39" s="39" t="s">
        <v>245</v>
      </c>
    </row>
    <row r="40" ht="14.25" customHeight="1">
      <c r="A40" s="38" t="s">
        <v>1397</v>
      </c>
      <c r="B40" s="38" t="s">
        <v>2487</v>
      </c>
      <c r="C40" s="38" t="s">
        <v>1395</v>
      </c>
      <c r="D40" s="38" t="s">
        <v>1395</v>
      </c>
      <c r="E40" s="38" t="s">
        <v>239</v>
      </c>
      <c r="F40" s="38" t="s">
        <v>1056</v>
      </c>
      <c r="G40" s="38" t="s">
        <v>282</v>
      </c>
      <c r="H40" s="38" t="s">
        <v>1103</v>
      </c>
      <c r="I40" s="51">
        <v>25.0</v>
      </c>
      <c r="J40" s="51">
        <v>100.0</v>
      </c>
      <c r="K40" s="38" t="s">
        <v>2460</v>
      </c>
      <c r="L40" s="38" t="s">
        <v>242</v>
      </c>
      <c r="M40" s="38" t="s">
        <v>245</v>
      </c>
      <c r="N40" s="42" t="s">
        <v>2440</v>
      </c>
      <c r="O40" s="38" t="s">
        <v>2444</v>
      </c>
      <c r="P40" s="52">
        <v>1.1</v>
      </c>
      <c r="Q40" s="38" t="s">
        <v>2442</v>
      </c>
      <c r="R40" s="38" t="s">
        <v>245</v>
      </c>
    </row>
    <row r="41" ht="14.25" customHeight="1">
      <c r="A41" s="39" t="s">
        <v>1402</v>
      </c>
      <c r="B41" s="39" t="s">
        <v>2488</v>
      </c>
      <c r="C41" s="39" t="s">
        <v>1400</v>
      </c>
      <c r="D41" s="39" t="s">
        <v>1400</v>
      </c>
      <c r="E41" s="39" t="s">
        <v>239</v>
      </c>
      <c r="F41" s="39" t="s">
        <v>1056</v>
      </c>
      <c r="G41" s="39" t="s">
        <v>282</v>
      </c>
      <c r="H41" s="39" t="s">
        <v>306</v>
      </c>
      <c r="I41" s="53">
        <v>45.0</v>
      </c>
      <c r="J41" s="53">
        <v>145.0</v>
      </c>
      <c r="K41" s="39" t="s">
        <v>2460</v>
      </c>
      <c r="L41" s="39" t="s">
        <v>242</v>
      </c>
      <c r="M41" s="39" t="s">
        <v>245</v>
      </c>
      <c r="N41" s="45" t="s">
        <v>2440</v>
      </c>
      <c r="O41" s="39" t="s">
        <v>2444</v>
      </c>
      <c r="P41" s="54">
        <v>1.1</v>
      </c>
      <c r="Q41" s="39" t="s">
        <v>2442</v>
      </c>
      <c r="R41" s="39" t="s">
        <v>245</v>
      </c>
    </row>
    <row r="42" ht="14.25" customHeight="1">
      <c r="A42" s="38" t="s">
        <v>1407</v>
      </c>
      <c r="B42" s="38" t="s">
        <v>2489</v>
      </c>
      <c r="C42" s="38" t="s">
        <v>1405</v>
      </c>
      <c r="D42" s="38" t="s">
        <v>1405</v>
      </c>
      <c r="E42" s="38" t="s">
        <v>239</v>
      </c>
      <c r="F42" s="38" t="s">
        <v>1056</v>
      </c>
      <c r="G42" s="38" t="s">
        <v>282</v>
      </c>
      <c r="H42" s="38" t="s">
        <v>306</v>
      </c>
      <c r="I42" s="51">
        <v>50.0</v>
      </c>
      <c r="J42" s="51">
        <v>100.0</v>
      </c>
      <c r="K42" s="38" t="s">
        <v>2460</v>
      </c>
      <c r="L42" s="38" t="s">
        <v>242</v>
      </c>
      <c r="M42" s="38" t="s">
        <v>245</v>
      </c>
      <c r="N42" s="42" t="s">
        <v>2440</v>
      </c>
      <c r="O42" s="38" t="s">
        <v>2444</v>
      </c>
      <c r="P42" s="52">
        <v>1.1</v>
      </c>
      <c r="Q42" s="38" t="s">
        <v>2442</v>
      </c>
      <c r="R42" s="38" t="s">
        <v>245</v>
      </c>
    </row>
    <row r="43" ht="14.25" customHeight="1">
      <c r="A43" s="39" t="s">
        <v>1412</v>
      </c>
      <c r="B43" s="39" t="s">
        <v>2490</v>
      </c>
      <c r="C43" s="39" t="s">
        <v>1410</v>
      </c>
      <c r="D43" s="39" t="s">
        <v>1410</v>
      </c>
      <c r="E43" s="39" t="s">
        <v>239</v>
      </c>
      <c r="F43" s="39" t="s">
        <v>1056</v>
      </c>
      <c r="G43" s="39" t="s">
        <v>282</v>
      </c>
      <c r="H43" s="39" t="s">
        <v>306</v>
      </c>
      <c r="I43" s="53">
        <v>20.0</v>
      </c>
      <c r="J43" s="53">
        <v>125.0</v>
      </c>
      <c r="K43" s="39" t="s">
        <v>2460</v>
      </c>
      <c r="L43" s="39" t="s">
        <v>242</v>
      </c>
      <c r="M43" s="39" t="s">
        <v>245</v>
      </c>
      <c r="N43" s="45" t="s">
        <v>2440</v>
      </c>
      <c r="O43" s="39" t="s">
        <v>2444</v>
      </c>
      <c r="P43" s="54">
        <v>1.1</v>
      </c>
      <c r="Q43" s="39" t="s">
        <v>2442</v>
      </c>
      <c r="R43" s="39" t="s">
        <v>245</v>
      </c>
    </row>
    <row r="44" ht="14.25" customHeight="1">
      <c r="A44" s="38" t="s">
        <v>1417</v>
      </c>
      <c r="B44" s="38" t="s">
        <v>2490</v>
      </c>
      <c r="C44" s="38" t="s">
        <v>1415</v>
      </c>
      <c r="D44" s="38" t="s">
        <v>1415</v>
      </c>
      <c r="E44" s="38" t="s">
        <v>239</v>
      </c>
      <c r="F44" s="38" t="s">
        <v>1056</v>
      </c>
      <c r="G44" s="38" t="s">
        <v>282</v>
      </c>
      <c r="H44" s="38" t="s">
        <v>306</v>
      </c>
      <c r="I44" s="51">
        <v>20.0</v>
      </c>
      <c r="J44" s="51">
        <v>145.0</v>
      </c>
      <c r="K44" s="38" t="s">
        <v>2460</v>
      </c>
      <c r="L44" s="38" t="s">
        <v>242</v>
      </c>
      <c r="M44" s="38" t="s">
        <v>245</v>
      </c>
      <c r="N44" s="42" t="s">
        <v>2440</v>
      </c>
      <c r="O44" s="38" t="s">
        <v>2444</v>
      </c>
      <c r="P44" s="52">
        <v>1.1</v>
      </c>
      <c r="Q44" s="38" t="s">
        <v>2442</v>
      </c>
      <c r="R44" s="38" t="s">
        <v>245</v>
      </c>
    </row>
    <row r="45" ht="14.25" customHeight="1">
      <c r="A45" s="39" t="s">
        <v>1422</v>
      </c>
      <c r="B45" s="39" t="s">
        <v>2491</v>
      </c>
      <c r="C45" s="39" t="s">
        <v>1420</v>
      </c>
      <c r="D45" s="39" t="s">
        <v>1420</v>
      </c>
      <c r="E45" s="39" t="s">
        <v>239</v>
      </c>
      <c r="F45" s="39" t="s">
        <v>1056</v>
      </c>
      <c r="G45" s="39" t="s">
        <v>282</v>
      </c>
      <c r="H45" s="39" t="s">
        <v>306</v>
      </c>
      <c r="I45" s="53">
        <v>145.0</v>
      </c>
      <c r="J45" s="53">
        <v>28.0</v>
      </c>
      <c r="K45" s="39" t="s">
        <v>2460</v>
      </c>
      <c r="L45" s="39" t="s">
        <v>242</v>
      </c>
      <c r="M45" s="39" t="s">
        <v>245</v>
      </c>
      <c r="N45" s="45" t="s">
        <v>2440</v>
      </c>
      <c r="O45" s="39" t="s">
        <v>2444</v>
      </c>
      <c r="P45" s="54">
        <v>1.1</v>
      </c>
      <c r="Q45" s="39" t="s">
        <v>2442</v>
      </c>
      <c r="R45" s="39" t="s">
        <v>245</v>
      </c>
    </row>
    <row r="46" ht="14.25" customHeight="1">
      <c r="A46" s="38" t="s">
        <v>1427</v>
      </c>
      <c r="B46" s="38" t="s">
        <v>2492</v>
      </c>
      <c r="C46" s="38" t="s">
        <v>1425</v>
      </c>
      <c r="D46" s="38" t="s">
        <v>1425</v>
      </c>
      <c r="E46" s="38" t="s">
        <v>320</v>
      </c>
      <c r="F46" s="38" t="s">
        <v>1316</v>
      </c>
      <c r="G46" s="38" t="s">
        <v>282</v>
      </c>
      <c r="H46" s="38" t="s">
        <v>306</v>
      </c>
      <c r="I46" s="51">
        <v>150.0</v>
      </c>
      <c r="J46" s="51">
        <v>25.0</v>
      </c>
      <c r="K46" s="38" t="s">
        <v>2460</v>
      </c>
      <c r="L46" s="38" t="s">
        <v>242</v>
      </c>
      <c r="M46" s="38" t="s">
        <v>245</v>
      </c>
      <c r="N46" s="42" t="s">
        <v>2440</v>
      </c>
      <c r="O46" s="38" t="s">
        <v>2444</v>
      </c>
      <c r="P46" s="52">
        <v>1.1</v>
      </c>
      <c r="Q46" s="38" t="s">
        <v>2442</v>
      </c>
      <c r="R46" s="38" t="s">
        <v>245</v>
      </c>
    </row>
    <row r="47" ht="14.25" customHeight="1">
      <c r="A47" s="39" t="s">
        <v>1442</v>
      </c>
      <c r="B47" s="39" t="s">
        <v>2493</v>
      </c>
      <c r="C47" s="39" t="s">
        <v>1440</v>
      </c>
      <c r="D47" s="39" t="s">
        <v>1440</v>
      </c>
      <c r="E47" s="39" t="s">
        <v>239</v>
      </c>
      <c r="F47" s="39" t="s">
        <v>1062</v>
      </c>
      <c r="G47" s="39" t="s">
        <v>282</v>
      </c>
      <c r="H47" s="39" t="s">
        <v>1441</v>
      </c>
      <c r="I47" s="53">
        <v>8.0</v>
      </c>
      <c r="J47" s="53">
        <v>100.0</v>
      </c>
      <c r="K47" s="39" t="s">
        <v>2446</v>
      </c>
      <c r="L47" s="39" t="s">
        <v>242</v>
      </c>
      <c r="M47" s="39" t="s">
        <v>245</v>
      </c>
      <c r="N47" s="45" t="s">
        <v>2440</v>
      </c>
      <c r="O47" s="39" t="s">
        <v>2447</v>
      </c>
      <c r="P47" s="54">
        <v>1.0</v>
      </c>
      <c r="Q47" s="39" t="s">
        <v>2448</v>
      </c>
      <c r="R47" s="39" t="s">
        <v>245</v>
      </c>
    </row>
    <row r="48" ht="14.25" customHeight="1">
      <c r="A48" s="38" t="s">
        <v>1458</v>
      </c>
      <c r="B48" s="38" t="s">
        <v>2494</v>
      </c>
      <c r="C48" s="38" t="s">
        <v>1456</v>
      </c>
      <c r="D48" s="38" t="s">
        <v>1456</v>
      </c>
      <c r="E48" s="38" t="s">
        <v>239</v>
      </c>
      <c r="F48" s="38" t="s">
        <v>1062</v>
      </c>
      <c r="G48" s="38" t="s">
        <v>282</v>
      </c>
      <c r="H48" s="38" t="s">
        <v>306</v>
      </c>
      <c r="I48" s="51"/>
      <c r="J48" s="51"/>
      <c r="K48" s="38" t="s">
        <v>2455</v>
      </c>
      <c r="L48" s="38" t="s">
        <v>242</v>
      </c>
      <c r="M48" s="38" t="s">
        <v>245</v>
      </c>
      <c r="N48" s="42" t="s">
        <v>2440</v>
      </c>
      <c r="O48" s="38" t="s">
        <v>2441</v>
      </c>
      <c r="P48" s="52">
        <v>1.05</v>
      </c>
      <c r="Q48" s="38" t="s">
        <v>2442</v>
      </c>
      <c r="R48" s="38" t="s">
        <v>245</v>
      </c>
    </row>
    <row r="49" ht="14.25" customHeight="1">
      <c r="A49" s="39" t="s">
        <v>1470</v>
      </c>
      <c r="B49" s="39" t="s">
        <v>2495</v>
      </c>
      <c r="C49" s="39" t="s">
        <v>1467</v>
      </c>
      <c r="D49" s="39" t="s">
        <v>1467</v>
      </c>
      <c r="E49" s="39" t="s">
        <v>386</v>
      </c>
      <c r="F49" s="39" t="s">
        <v>1469</v>
      </c>
      <c r="G49" s="39" t="s">
        <v>282</v>
      </c>
      <c r="H49" s="39" t="s">
        <v>306</v>
      </c>
      <c r="I49" s="53">
        <v>3.0</v>
      </c>
      <c r="J49" s="53">
        <v>1.0</v>
      </c>
      <c r="K49" s="39" t="s">
        <v>2485</v>
      </c>
      <c r="L49" s="39" t="s">
        <v>242</v>
      </c>
      <c r="M49" s="39" t="s">
        <v>245</v>
      </c>
      <c r="N49" s="45" t="s">
        <v>2440</v>
      </c>
      <c r="O49" s="39" t="s">
        <v>2447</v>
      </c>
      <c r="P49" s="54">
        <v>1.0</v>
      </c>
      <c r="Q49" s="39" t="s">
        <v>2448</v>
      </c>
      <c r="R49" s="39" t="s">
        <v>245</v>
      </c>
    </row>
    <row r="50" ht="14.25" customHeight="1">
      <c r="A50" s="38" t="s">
        <v>1475</v>
      </c>
      <c r="B50" s="38" t="s">
        <v>2495</v>
      </c>
      <c r="C50" s="38" t="s">
        <v>1473</v>
      </c>
      <c r="D50" s="38" t="s">
        <v>1473</v>
      </c>
      <c r="E50" s="38" t="s">
        <v>386</v>
      </c>
      <c r="F50" s="38" t="s">
        <v>1469</v>
      </c>
      <c r="G50" s="38" t="s">
        <v>282</v>
      </c>
      <c r="H50" s="38" t="s">
        <v>306</v>
      </c>
      <c r="I50" s="51">
        <v>3.0</v>
      </c>
      <c r="J50" s="51">
        <v>2.0</v>
      </c>
      <c r="K50" s="38" t="s">
        <v>2485</v>
      </c>
      <c r="L50" s="38" t="s">
        <v>242</v>
      </c>
      <c r="M50" s="38" t="s">
        <v>245</v>
      </c>
      <c r="N50" s="42" t="s">
        <v>2440</v>
      </c>
      <c r="O50" s="38" t="s">
        <v>2447</v>
      </c>
      <c r="P50" s="52">
        <v>1.0</v>
      </c>
      <c r="Q50" s="38" t="s">
        <v>2448</v>
      </c>
      <c r="R50" s="38" t="s">
        <v>245</v>
      </c>
    </row>
    <row r="51" ht="14.25" customHeight="1">
      <c r="A51" s="39" t="s">
        <v>1480</v>
      </c>
      <c r="B51" s="39" t="s">
        <v>2496</v>
      </c>
      <c r="C51" s="39" t="s">
        <v>1478</v>
      </c>
      <c r="D51" s="39" t="s">
        <v>1478</v>
      </c>
      <c r="E51" s="39" t="s">
        <v>239</v>
      </c>
      <c r="F51" s="39" t="s">
        <v>1056</v>
      </c>
      <c r="G51" s="39" t="s">
        <v>282</v>
      </c>
      <c r="H51" s="39" t="s">
        <v>306</v>
      </c>
      <c r="I51" s="53"/>
      <c r="J51" s="53"/>
      <c r="K51" s="39" t="s">
        <v>2455</v>
      </c>
      <c r="L51" s="39" t="s">
        <v>242</v>
      </c>
      <c r="M51" s="39" t="s">
        <v>245</v>
      </c>
      <c r="N51" s="45" t="s">
        <v>2440</v>
      </c>
      <c r="O51" s="39" t="s">
        <v>2441</v>
      </c>
      <c r="P51" s="54">
        <v>1.05</v>
      </c>
      <c r="Q51" s="39" t="s">
        <v>2442</v>
      </c>
      <c r="R51" s="39" t="s">
        <v>245</v>
      </c>
    </row>
    <row r="52" ht="14.25" customHeight="1">
      <c r="A52" s="38" t="s">
        <v>1486</v>
      </c>
      <c r="B52" s="38" t="s">
        <v>2497</v>
      </c>
      <c r="C52" s="38" t="s">
        <v>1483</v>
      </c>
      <c r="D52" s="38" t="s">
        <v>1483</v>
      </c>
      <c r="E52" s="38" t="s">
        <v>320</v>
      </c>
      <c r="F52" s="38" t="s">
        <v>1485</v>
      </c>
      <c r="G52" s="38" t="s">
        <v>282</v>
      </c>
      <c r="H52" s="38" t="s">
        <v>306</v>
      </c>
      <c r="I52" s="51">
        <v>276.0</v>
      </c>
      <c r="J52" s="51">
        <v>1000.0</v>
      </c>
      <c r="K52" s="38" t="s">
        <v>2485</v>
      </c>
      <c r="L52" s="38" t="s">
        <v>242</v>
      </c>
      <c r="M52" s="38" t="s">
        <v>245</v>
      </c>
      <c r="N52" s="42" t="s">
        <v>2440</v>
      </c>
      <c r="O52" s="38" t="s">
        <v>2447</v>
      </c>
      <c r="P52" s="52">
        <v>1.0</v>
      </c>
      <c r="Q52" s="38" t="s">
        <v>2448</v>
      </c>
      <c r="R52" s="38" t="s">
        <v>245</v>
      </c>
    </row>
    <row r="53" ht="14.25" customHeight="1">
      <c r="A53" s="39" t="s">
        <v>1491</v>
      </c>
      <c r="B53" s="39" t="s">
        <v>2497</v>
      </c>
      <c r="C53" s="39" t="s">
        <v>1489</v>
      </c>
      <c r="D53" s="39" t="s">
        <v>1489</v>
      </c>
      <c r="E53" s="39" t="s">
        <v>320</v>
      </c>
      <c r="F53" s="39" t="s">
        <v>1485</v>
      </c>
      <c r="G53" s="39" t="s">
        <v>282</v>
      </c>
      <c r="H53" s="39" t="s">
        <v>306</v>
      </c>
      <c r="I53" s="53">
        <v>276.0</v>
      </c>
      <c r="J53" s="53">
        <v>1500.0</v>
      </c>
      <c r="K53" s="39" t="s">
        <v>2485</v>
      </c>
      <c r="L53" s="39" t="s">
        <v>242</v>
      </c>
      <c r="M53" s="39" t="s">
        <v>245</v>
      </c>
      <c r="N53" s="45" t="s">
        <v>2440</v>
      </c>
      <c r="O53" s="39" t="s">
        <v>2447</v>
      </c>
      <c r="P53" s="54">
        <v>1.0</v>
      </c>
      <c r="Q53" s="39" t="s">
        <v>2448</v>
      </c>
      <c r="R53" s="39" t="s">
        <v>245</v>
      </c>
    </row>
    <row r="54" ht="14.25" customHeight="1">
      <c r="A54" s="38" t="s">
        <v>1496</v>
      </c>
      <c r="B54" s="38" t="s">
        <v>2498</v>
      </c>
      <c r="C54" s="38" t="s">
        <v>1494</v>
      </c>
      <c r="D54" s="38" t="s">
        <v>1494</v>
      </c>
      <c r="E54" s="38" t="s">
        <v>320</v>
      </c>
      <c r="F54" s="38" t="s">
        <v>1485</v>
      </c>
      <c r="G54" s="38" t="s">
        <v>282</v>
      </c>
      <c r="H54" s="38" t="s">
        <v>306</v>
      </c>
      <c r="I54" s="51">
        <v>400.0</v>
      </c>
      <c r="J54" s="51">
        <v>2000.0</v>
      </c>
      <c r="K54" s="38" t="s">
        <v>2485</v>
      </c>
      <c r="L54" s="38" t="s">
        <v>242</v>
      </c>
      <c r="M54" s="38" t="s">
        <v>245</v>
      </c>
      <c r="N54" s="42" t="s">
        <v>2440</v>
      </c>
      <c r="O54" s="38" t="s">
        <v>2447</v>
      </c>
      <c r="P54" s="52">
        <v>1.0</v>
      </c>
      <c r="Q54" s="38" t="s">
        <v>2448</v>
      </c>
      <c r="R54" s="38" t="s">
        <v>245</v>
      </c>
    </row>
    <row r="55" ht="14.25" customHeight="1">
      <c r="A55" s="39" t="s">
        <v>1502</v>
      </c>
      <c r="B55" s="39" t="s">
        <v>2499</v>
      </c>
      <c r="C55" s="39" t="s">
        <v>1499</v>
      </c>
      <c r="D55" s="39" t="s">
        <v>1499</v>
      </c>
      <c r="E55" s="39" t="s">
        <v>360</v>
      </c>
      <c r="F55" s="39" t="s">
        <v>1501</v>
      </c>
      <c r="G55" s="39" t="s">
        <v>282</v>
      </c>
      <c r="H55" s="39" t="s">
        <v>306</v>
      </c>
      <c r="I55" s="53"/>
      <c r="J55" s="53"/>
      <c r="K55" s="39" t="s">
        <v>2451</v>
      </c>
      <c r="L55" s="39" t="s">
        <v>242</v>
      </c>
      <c r="M55" s="39" t="s">
        <v>245</v>
      </c>
      <c r="N55" s="45" t="s">
        <v>2440</v>
      </c>
      <c r="O55" s="39" t="s">
        <v>2452</v>
      </c>
      <c r="P55" s="54">
        <v>1.08</v>
      </c>
      <c r="Q55" s="39" t="s">
        <v>2453</v>
      </c>
      <c r="R55" s="39" t="s">
        <v>245</v>
      </c>
    </row>
    <row r="56" ht="14.25" customHeight="1">
      <c r="A56" s="38" t="s">
        <v>1507</v>
      </c>
      <c r="B56" s="38" t="s">
        <v>2500</v>
      </c>
      <c r="C56" s="38" t="s">
        <v>1505</v>
      </c>
      <c r="D56" s="38" t="s">
        <v>1505</v>
      </c>
      <c r="E56" s="38" t="s">
        <v>360</v>
      </c>
      <c r="F56" s="38" t="s">
        <v>1501</v>
      </c>
      <c r="G56" s="38" t="s">
        <v>282</v>
      </c>
      <c r="H56" s="38" t="s">
        <v>306</v>
      </c>
      <c r="I56" s="51"/>
      <c r="J56" s="51"/>
      <c r="K56" s="38" t="s">
        <v>2451</v>
      </c>
      <c r="L56" s="38" t="s">
        <v>242</v>
      </c>
      <c r="M56" s="38" t="s">
        <v>245</v>
      </c>
      <c r="N56" s="42" t="s">
        <v>2440</v>
      </c>
      <c r="O56" s="38" t="s">
        <v>2452</v>
      </c>
      <c r="P56" s="52">
        <v>1.08</v>
      </c>
      <c r="Q56" s="38" t="s">
        <v>2453</v>
      </c>
      <c r="R56" s="38" t="s">
        <v>245</v>
      </c>
    </row>
    <row r="57" ht="14.25" customHeight="1">
      <c r="A57" s="39" t="s">
        <v>1512</v>
      </c>
      <c r="B57" s="39" t="s">
        <v>2501</v>
      </c>
      <c r="C57" s="39" t="s">
        <v>1510</v>
      </c>
      <c r="D57" s="39" t="s">
        <v>1510</v>
      </c>
      <c r="E57" s="39" t="s">
        <v>360</v>
      </c>
      <c r="F57" s="39" t="s">
        <v>1501</v>
      </c>
      <c r="G57" s="39" t="s">
        <v>282</v>
      </c>
      <c r="H57" s="39" t="s">
        <v>306</v>
      </c>
      <c r="I57" s="53"/>
      <c r="J57" s="53"/>
      <c r="K57" s="39" t="s">
        <v>2451</v>
      </c>
      <c r="L57" s="39" t="s">
        <v>242</v>
      </c>
      <c r="M57" s="39" t="s">
        <v>245</v>
      </c>
      <c r="N57" s="45" t="s">
        <v>2440</v>
      </c>
      <c r="O57" s="39" t="s">
        <v>2452</v>
      </c>
      <c r="P57" s="54">
        <v>1.08</v>
      </c>
      <c r="Q57" s="39" t="s">
        <v>2453</v>
      </c>
      <c r="R57" s="39" t="s">
        <v>245</v>
      </c>
    </row>
    <row r="58" ht="14.25" customHeight="1">
      <c r="A58" s="38" t="s">
        <v>1527</v>
      </c>
      <c r="B58" s="38" t="s">
        <v>2502</v>
      </c>
      <c r="C58" s="38" t="s">
        <v>1525</v>
      </c>
      <c r="D58" s="38" t="s">
        <v>1525</v>
      </c>
      <c r="E58" s="38" t="s">
        <v>386</v>
      </c>
      <c r="F58" s="38" t="s">
        <v>1130</v>
      </c>
      <c r="G58" s="38" t="s">
        <v>282</v>
      </c>
      <c r="H58" s="38" t="s">
        <v>388</v>
      </c>
      <c r="I58" s="51">
        <v>100.0</v>
      </c>
      <c r="J58" s="51">
        <v>100.0</v>
      </c>
      <c r="K58" s="38" t="s">
        <v>2446</v>
      </c>
      <c r="L58" s="38" t="s">
        <v>242</v>
      </c>
      <c r="M58" s="38" t="s">
        <v>245</v>
      </c>
      <c r="N58" s="42" t="s">
        <v>2440</v>
      </c>
      <c r="O58" s="38" t="s">
        <v>2447</v>
      </c>
      <c r="P58" s="52">
        <v>1.0</v>
      </c>
      <c r="Q58" s="38" t="s">
        <v>2448</v>
      </c>
      <c r="R58" s="38" t="s">
        <v>245</v>
      </c>
    </row>
    <row r="59" ht="14.25" customHeight="1">
      <c r="A59" s="39" t="s">
        <v>1537</v>
      </c>
      <c r="B59" s="39" t="s">
        <v>2503</v>
      </c>
      <c r="C59" s="39" t="s">
        <v>1535</v>
      </c>
      <c r="D59" s="39" t="s">
        <v>1535</v>
      </c>
      <c r="E59" s="39" t="s">
        <v>239</v>
      </c>
      <c r="F59" s="39" t="s">
        <v>1056</v>
      </c>
      <c r="G59" s="39" t="s">
        <v>282</v>
      </c>
      <c r="H59" s="39" t="s">
        <v>1053</v>
      </c>
      <c r="I59" s="53"/>
      <c r="J59" s="53"/>
      <c r="K59" s="39" t="s">
        <v>2446</v>
      </c>
      <c r="L59" s="39" t="s">
        <v>242</v>
      </c>
      <c r="M59" s="39" t="s">
        <v>245</v>
      </c>
      <c r="N59" s="45" t="s">
        <v>2440</v>
      </c>
      <c r="O59" s="39" t="s">
        <v>2447</v>
      </c>
      <c r="P59" s="54">
        <v>1.0</v>
      </c>
      <c r="Q59" s="39" t="s">
        <v>2448</v>
      </c>
      <c r="R59" s="39" t="s">
        <v>245</v>
      </c>
    </row>
    <row r="60" ht="14.25" customHeight="1">
      <c r="A60" s="38" t="s">
        <v>1542</v>
      </c>
      <c r="B60" s="38" t="s">
        <v>2504</v>
      </c>
      <c r="C60" s="38" t="s">
        <v>1540</v>
      </c>
      <c r="D60" s="38" t="s">
        <v>1540</v>
      </c>
      <c r="E60" s="38" t="s">
        <v>360</v>
      </c>
      <c r="F60" s="38" t="s">
        <v>1501</v>
      </c>
      <c r="G60" s="38" t="s">
        <v>282</v>
      </c>
      <c r="H60" s="38" t="s">
        <v>306</v>
      </c>
      <c r="I60" s="51"/>
      <c r="J60" s="51"/>
      <c r="K60" s="38" t="s">
        <v>2451</v>
      </c>
      <c r="L60" s="38" t="s">
        <v>242</v>
      </c>
      <c r="M60" s="38" t="s">
        <v>245</v>
      </c>
      <c r="N60" s="42" t="s">
        <v>2440</v>
      </c>
      <c r="O60" s="38" t="s">
        <v>2452</v>
      </c>
      <c r="P60" s="52">
        <v>1.08</v>
      </c>
      <c r="Q60" s="38" t="s">
        <v>2453</v>
      </c>
      <c r="R60" s="38" t="s">
        <v>245</v>
      </c>
    </row>
    <row r="61" ht="14.25" customHeight="1">
      <c r="A61" s="39" t="s">
        <v>1547</v>
      </c>
      <c r="B61" s="39" t="s">
        <v>2505</v>
      </c>
      <c r="C61" s="39" t="s">
        <v>1545</v>
      </c>
      <c r="D61" s="39" t="s">
        <v>1545</v>
      </c>
      <c r="E61" s="39" t="s">
        <v>386</v>
      </c>
      <c r="F61" s="39" t="s">
        <v>1130</v>
      </c>
      <c r="G61" s="39" t="s">
        <v>282</v>
      </c>
      <c r="H61" s="39" t="s">
        <v>1103</v>
      </c>
      <c r="I61" s="53"/>
      <c r="J61" s="53"/>
      <c r="K61" s="39" t="s">
        <v>2446</v>
      </c>
      <c r="L61" s="39" t="s">
        <v>242</v>
      </c>
      <c r="M61" s="39" t="s">
        <v>245</v>
      </c>
      <c r="N61" s="45" t="s">
        <v>2440</v>
      </c>
      <c r="O61" s="39" t="s">
        <v>2447</v>
      </c>
      <c r="P61" s="54">
        <v>1.0</v>
      </c>
      <c r="Q61" s="39" t="s">
        <v>2448</v>
      </c>
      <c r="R61" s="39" t="s">
        <v>245</v>
      </c>
    </row>
    <row r="62" ht="14.25" customHeight="1">
      <c r="A62" s="38" t="s">
        <v>1551</v>
      </c>
      <c r="B62" s="38" t="s">
        <v>2506</v>
      </c>
      <c r="C62" s="38" t="s">
        <v>1550</v>
      </c>
      <c r="D62" s="38" t="s">
        <v>1550</v>
      </c>
      <c r="E62" s="38" t="s">
        <v>386</v>
      </c>
      <c r="F62" s="38" t="s">
        <v>1469</v>
      </c>
      <c r="G62" s="38" t="s">
        <v>282</v>
      </c>
      <c r="H62" s="38" t="s">
        <v>306</v>
      </c>
      <c r="I62" s="51"/>
      <c r="J62" s="51"/>
      <c r="K62" s="38" t="s">
        <v>2455</v>
      </c>
      <c r="L62" s="38" t="s">
        <v>242</v>
      </c>
      <c r="M62" s="38" t="s">
        <v>245</v>
      </c>
      <c r="N62" s="42" t="s">
        <v>2440</v>
      </c>
      <c r="O62" s="38" t="s">
        <v>2441</v>
      </c>
      <c r="P62" s="52">
        <v>1.05</v>
      </c>
      <c r="Q62" s="38" t="s">
        <v>2442</v>
      </c>
      <c r="R62" s="38" t="s">
        <v>245</v>
      </c>
    </row>
    <row r="63" ht="14.25" customHeight="1">
      <c r="A63" s="39" t="s">
        <v>1556</v>
      </c>
      <c r="B63" s="39" t="s">
        <v>1554</v>
      </c>
      <c r="C63" s="39" t="s">
        <v>1554</v>
      </c>
      <c r="D63" s="39" t="s">
        <v>1554</v>
      </c>
      <c r="E63" s="39" t="s">
        <v>239</v>
      </c>
      <c r="F63" s="39" t="s">
        <v>1062</v>
      </c>
      <c r="G63" s="39" t="s">
        <v>282</v>
      </c>
      <c r="H63" s="39" t="s">
        <v>306</v>
      </c>
      <c r="I63" s="53"/>
      <c r="J63" s="53"/>
      <c r="K63" s="39" t="s">
        <v>2455</v>
      </c>
      <c r="L63" s="39" t="s">
        <v>242</v>
      </c>
      <c r="M63" s="39" t="s">
        <v>245</v>
      </c>
      <c r="N63" s="45" t="s">
        <v>2440</v>
      </c>
      <c r="O63" s="39" t="s">
        <v>2441</v>
      </c>
      <c r="P63" s="54">
        <v>1.05</v>
      </c>
      <c r="Q63" s="39" t="s">
        <v>2442</v>
      </c>
      <c r="R63" s="39" t="s">
        <v>245</v>
      </c>
    </row>
    <row r="64" ht="14.25" customHeight="1">
      <c r="A64" s="38" t="s">
        <v>1561</v>
      </c>
      <c r="B64" s="38" t="s">
        <v>2507</v>
      </c>
      <c r="C64" s="38" t="s">
        <v>1559</v>
      </c>
      <c r="D64" s="38" t="s">
        <v>1559</v>
      </c>
      <c r="E64" s="38" t="s">
        <v>360</v>
      </c>
      <c r="F64" s="38" t="s">
        <v>1384</v>
      </c>
      <c r="G64" s="38" t="s">
        <v>282</v>
      </c>
      <c r="H64" s="38" t="s">
        <v>1103</v>
      </c>
      <c r="I64" s="51"/>
      <c r="J64" s="51"/>
      <c r="K64" s="38" t="s">
        <v>2485</v>
      </c>
      <c r="L64" s="38" t="s">
        <v>242</v>
      </c>
      <c r="M64" s="38" t="s">
        <v>245</v>
      </c>
      <c r="N64" s="42" t="s">
        <v>2440</v>
      </c>
      <c r="O64" s="38" t="s">
        <v>2447</v>
      </c>
      <c r="P64" s="52">
        <v>1.0</v>
      </c>
      <c r="Q64" s="38" t="s">
        <v>2448</v>
      </c>
      <c r="R64" s="38" t="s">
        <v>245</v>
      </c>
    </row>
    <row r="65" ht="14.25" customHeight="1">
      <c r="A65" s="39" t="s">
        <v>1566</v>
      </c>
      <c r="B65" s="39" t="s">
        <v>2508</v>
      </c>
      <c r="C65" s="39" t="s">
        <v>1564</v>
      </c>
      <c r="D65" s="39" t="s">
        <v>1564</v>
      </c>
      <c r="E65" s="39" t="s">
        <v>360</v>
      </c>
      <c r="F65" s="39" t="s">
        <v>1501</v>
      </c>
      <c r="G65" s="39" t="s">
        <v>282</v>
      </c>
      <c r="H65" s="39" t="s">
        <v>306</v>
      </c>
      <c r="I65" s="53"/>
      <c r="J65" s="53"/>
      <c r="K65" s="39" t="s">
        <v>2485</v>
      </c>
      <c r="L65" s="39" t="s">
        <v>242</v>
      </c>
      <c r="M65" s="39" t="s">
        <v>245</v>
      </c>
      <c r="N65" s="45" t="s">
        <v>2440</v>
      </c>
      <c r="O65" s="39" t="s">
        <v>2447</v>
      </c>
      <c r="P65" s="54">
        <v>1.0</v>
      </c>
      <c r="Q65" s="39" t="s">
        <v>2448</v>
      </c>
      <c r="R65" s="39" t="s">
        <v>245</v>
      </c>
    </row>
    <row r="66" ht="14.25" customHeight="1">
      <c r="A66" s="38" t="s">
        <v>1570</v>
      </c>
      <c r="B66" s="38" t="s">
        <v>2509</v>
      </c>
      <c r="C66" s="38" t="s">
        <v>1569</v>
      </c>
      <c r="D66" s="38" t="s">
        <v>1569</v>
      </c>
      <c r="E66" s="38" t="s">
        <v>239</v>
      </c>
      <c r="F66" s="38" t="s">
        <v>1113</v>
      </c>
      <c r="G66" s="38" t="s">
        <v>282</v>
      </c>
      <c r="H66" s="38" t="s">
        <v>418</v>
      </c>
      <c r="I66" s="51"/>
      <c r="J66" s="51"/>
      <c r="K66" s="38" t="s">
        <v>2446</v>
      </c>
      <c r="L66" s="38" t="s">
        <v>242</v>
      </c>
      <c r="M66" s="38" t="s">
        <v>245</v>
      </c>
      <c r="N66" s="42" t="s">
        <v>2440</v>
      </c>
      <c r="O66" s="38" t="s">
        <v>2447</v>
      </c>
      <c r="P66" s="52">
        <v>1.0</v>
      </c>
      <c r="Q66" s="38" t="s">
        <v>2448</v>
      </c>
      <c r="R66" s="38" t="s">
        <v>245</v>
      </c>
    </row>
    <row r="67" ht="14.25" customHeight="1">
      <c r="A67" s="39" t="s">
        <v>1575</v>
      </c>
      <c r="B67" s="39" t="s">
        <v>2509</v>
      </c>
      <c r="C67" s="39" t="s">
        <v>1573</v>
      </c>
      <c r="D67" s="39" t="s">
        <v>1573</v>
      </c>
      <c r="E67" s="39" t="s">
        <v>360</v>
      </c>
      <c r="F67" s="39" t="s">
        <v>1316</v>
      </c>
      <c r="G67" s="39" t="s">
        <v>282</v>
      </c>
      <c r="H67" s="39" t="s">
        <v>306</v>
      </c>
      <c r="I67" s="53"/>
      <c r="J67" s="53"/>
      <c r="K67" s="39" t="s">
        <v>2455</v>
      </c>
      <c r="L67" s="39" t="s">
        <v>242</v>
      </c>
      <c r="M67" s="39" t="s">
        <v>245</v>
      </c>
      <c r="N67" s="45" t="s">
        <v>2440</v>
      </c>
      <c r="O67" s="39" t="s">
        <v>2441</v>
      </c>
      <c r="P67" s="54">
        <v>1.05</v>
      </c>
      <c r="Q67" s="39" t="s">
        <v>2442</v>
      </c>
      <c r="R67" s="39" t="s">
        <v>245</v>
      </c>
    </row>
    <row r="68" ht="14.25" customHeight="1">
      <c r="A68" s="38" t="s">
        <v>1580</v>
      </c>
      <c r="B68" s="38" t="s">
        <v>2510</v>
      </c>
      <c r="C68" s="38" t="s">
        <v>1578</v>
      </c>
      <c r="D68" s="38" t="s">
        <v>1578</v>
      </c>
      <c r="E68" s="38" t="s">
        <v>399</v>
      </c>
      <c r="F68" s="38" t="s">
        <v>1012</v>
      </c>
      <c r="G68" s="38" t="s">
        <v>282</v>
      </c>
      <c r="H68" s="38" t="s">
        <v>388</v>
      </c>
      <c r="I68" s="51"/>
      <c r="J68" s="51"/>
      <c r="K68" s="38" t="s">
        <v>2446</v>
      </c>
      <c r="L68" s="38" t="s">
        <v>242</v>
      </c>
      <c r="M68" s="38" t="s">
        <v>245</v>
      </c>
      <c r="N68" s="42" t="s">
        <v>2440</v>
      </c>
      <c r="O68" s="38" t="s">
        <v>2447</v>
      </c>
      <c r="P68" s="52">
        <v>1.0</v>
      </c>
      <c r="Q68" s="38" t="s">
        <v>2448</v>
      </c>
      <c r="R68" s="38" t="s">
        <v>245</v>
      </c>
    </row>
    <row r="69" ht="14.25" customHeight="1">
      <c r="A69" s="39" t="s">
        <v>1584</v>
      </c>
      <c r="B69" s="39" t="s">
        <v>2511</v>
      </c>
      <c r="C69" s="39" t="s">
        <v>1583</v>
      </c>
      <c r="D69" s="39" t="s">
        <v>1583</v>
      </c>
      <c r="E69" s="39" t="s">
        <v>239</v>
      </c>
      <c r="F69" s="39" t="s">
        <v>1062</v>
      </c>
      <c r="G69" s="39" t="s">
        <v>282</v>
      </c>
      <c r="H69" s="39" t="s">
        <v>418</v>
      </c>
      <c r="I69" s="53"/>
      <c r="J69" s="53"/>
      <c r="K69" s="39" t="s">
        <v>2446</v>
      </c>
      <c r="L69" s="39" t="s">
        <v>242</v>
      </c>
      <c r="M69" s="39" t="s">
        <v>245</v>
      </c>
      <c r="N69" s="45" t="s">
        <v>2440</v>
      </c>
      <c r="O69" s="39" t="s">
        <v>2447</v>
      </c>
      <c r="P69" s="54">
        <v>1.0</v>
      </c>
      <c r="Q69" s="39" t="s">
        <v>2448</v>
      </c>
      <c r="R69" s="39" t="s">
        <v>245</v>
      </c>
    </row>
    <row r="70" ht="14.25" customHeight="1">
      <c r="A70" s="38" t="s">
        <v>1708</v>
      </c>
      <c r="B70" s="38" t="s">
        <v>2512</v>
      </c>
      <c r="C70" s="38" t="s">
        <v>1706</v>
      </c>
      <c r="D70" s="38" t="s">
        <v>1706</v>
      </c>
      <c r="E70" s="38" t="s">
        <v>360</v>
      </c>
      <c r="F70" s="38" t="s">
        <v>1501</v>
      </c>
      <c r="G70" s="38" t="s">
        <v>282</v>
      </c>
      <c r="H70" s="38" t="s">
        <v>306</v>
      </c>
      <c r="I70" s="51"/>
      <c r="J70" s="51"/>
      <c r="K70" s="38" t="s">
        <v>2485</v>
      </c>
      <c r="L70" s="38" t="s">
        <v>242</v>
      </c>
      <c r="M70" s="38" t="s">
        <v>245</v>
      </c>
      <c r="N70" s="42" t="s">
        <v>2440</v>
      </c>
      <c r="O70" s="38" t="s">
        <v>2447</v>
      </c>
      <c r="P70" s="52">
        <v>1.0</v>
      </c>
      <c r="Q70" s="38" t="s">
        <v>2448</v>
      </c>
      <c r="R70" s="38" t="s">
        <v>245</v>
      </c>
    </row>
    <row r="71" ht="14.25" customHeight="1">
      <c r="A71" s="39" t="s">
        <v>1712</v>
      </c>
      <c r="B71" s="39" t="s">
        <v>2513</v>
      </c>
      <c r="C71" s="39" t="s">
        <v>1711</v>
      </c>
      <c r="D71" s="39" t="s">
        <v>1711</v>
      </c>
      <c r="E71" s="39" t="s">
        <v>360</v>
      </c>
      <c r="F71" s="39" t="s">
        <v>1501</v>
      </c>
      <c r="G71" s="39" t="s">
        <v>282</v>
      </c>
      <c r="H71" s="39" t="s">
        <v>306</v>
      </c>
      <c r="I71" s="53"/>
      <c r="J71" s="53"/>
      <c r="K71" s="39" t="s">
        <v>2485</v>
      </c>
      <c r="L71" s="39" t="s">
        <v>242</v>
      </c>
      <c r="M71" s="39" t="s">
        <v>245</v>
      </c>
      <c r="N71" s="45" t="s">
        <v>2440</v>
      </c>
      <c r="O71" s="39" t="s">
        <v>2447</v>
      </c>
      <c r="P71" s="54">
        <v>1.0</v>
      </c>
      <c r="Q71" s="39" t="s">
        <v>2448</v>
      </c>
      <c r="R71" s="39" t="s">
        <v>245</v>
      </c>
    </row>
    <row r="72" ht="14.25" customHeight="1">
      <c r="A72" s="38" t="s">
        <v>1751</v>
      </c>
      <c r="B72" s="38" t="s">
        <v>2514</v>
      </c>
      <c r="C72" s="38" t="s">
        <v>1749</v>
      </c>
      <c r="D72" s="38" t="s">
        <v>1749</v>
      </c>
      <c r="E72" s="38" t="s">
        <v>386</v>
      </c>
      <c r="F72" s="38" t="s">
        <v>1130</v>
      </c>
      <c r="G72" s="38" t="s">
        <v>282</v>
      </c>
      <c r="H72" s="38" t="s">
        <v>306</v>
      </c>
      <c r="I72" s="51"/>
      <c r="J72" s="51"/>
      <c r="K72" s="38" t="s">
        <v>2451</v>
      </c>
      <c r="L72" s="38" t="s">
        <v>242</v>
      </c>
      <c r="M72" s="38" t="s">
        <v>245</v>
      </c>
      <c r="N72" s="42" t="s">
        <v>2440</v>
      </c>
      <c r="O72" s="38" t="s">
        <v>2452</v>
      </c>
      <c r="P72" s="52">
        <v>1.08</v>
      </c>
      <c r="Q72" s="38" t="s">
        <v>2453</v>
      </c>
      <c r="R72" s="38" t="s">
        <v>245</v>
      </c>
    </row>
    <row r="73" ht="14.25" customHeight="1">
      <c r="A73" s="39" t="s">
        <v>1756</v>
      </c>
      <c r="B73" s="39" t="s">
        <v>2515</v>
      </c>
      <c r="C73" s="39" t="s">
        <v>1754</v>
      </c>
      <c r="D73" s="39" t="s">
        <v>1754</v>
      </c>
      <c r="E73" s="39" t="s">
        <v>239</v>
      </c>
      <c r="F73" s="39" t="s">
        <v>522</v>
      </c>
      <c r="G73" s="39" t="s">
        <v>282</v>
      </c>
      <c r="H73" s="39" t="s">
        <v>362</v>
      </c>
      <c r="I73" s="53"/>
      <c r="J73" s="53"/>
      <c r="K73" s="39" t="s">
        <v>2451</v>
      </c>
      <c r="L73" s="39" t="s">
        <v>242</v>
      </c>
      <c r="M73" s="39" t="s">
        <v>245</v>
      </c>
      <c r="N73" s="45" t="s">
        <v>2440</v>
      </c>
      <c r="O73" s="39" t="s">
        <v>2452</v>
      </c>
      <c r="P73" s="54">
        <v>1.08</v>
      </c>
      <c r="Q73" s="39" t="s">
        <v>2453</v>
      </c>
      <c r="R73" s="39" t="s">
        <v>245</v>
      </c>
    </row>
    <row r="74" ht="14.25" customHeight="1">
      <c r="A74" s="38" t="s">
        <v>1760</v>
      </c>
      <c r="B74" s="38" t="s">
        <v>2516</v>
      </c>
      <c r="C74" s="38" t="s">
        <v>1759</v>
      </c>
      <c r="D74" s="38" t="s">
        <v>1759</v>
      </c>
      <c r="E74" s="38" t="s">
        <v>239</v>
      </c>
      <c r="F74" s="38" t="s">
        <v>522</v>
      </c>
      <c r="G74" s="38" t="s">
        <v>282</v>
      </c>
      <c r="H74" s="38" t="s">
        <v>362</v>
      </c>
      <c r="I74" s="51"/>
      <c r="J74" s="51"/>
      <c r="K74" s="38" t="s">
        <v>2451</v>
      </c>
      <c r="L74" s="38" t="s">
        <v>242</v>
      </c>
      <c r="M74" s="38" t="s">
        <v>245</v>
      </c>
      <c r="N74" s="42" t="s">
        <v>2440</v>
      </c>
      <c r="O74" s="38" t="s">
        <v>2452</v>
      </c>
      <c r="P74" s="52">
        <v>1.08</v>
      </c>
      <c r="Q74" s="38" t="s">
        <v>2453</v>
      </c>
      <c r="R74" s="38" t="s">
        <v>245</v>
      </c>
    </row>
    <row r="75" ht="14.25" customHeight="1">
      <c r="A75" s="39" t="s">
        <v>1764</v>
      </c>
      <c r="B75" s="39" t="s">
        <v>2517</v>
      </c>
      <c r="C75" s="39" t="s">
        <v>1763</v>
      </c>
      <c r="D75" s="39" t="s">
        <v>1763</v>
      </c>
      <c r="E75" s="39" t="s">
        <v>320</v>
      </c>
      <c r="F75" s="39" t="s">
        <v>1316</v>
      </c>
      <c r="G75" s="39" t="s">
        <v>282</v>
      </c>
      <c r="H75" s="39" t="s">
        <v>306</v>
      </c>
      <c r="I75" s="53"/>
      <c r="J75" s="53"/>
      <c r="K75" s="39" t="s">
        <v>2451</v>
      </c>
      <c r="L75" s="39" t="s">
        <v>242</v>
      </c>
      <c r="M75" s="39" t="s">
        <v>245</v>
      </c>
      <c r="N75" s="45" t="s">
        <v>2440</v>
      </c>
      <c r="O75" s="39" t="s">
        <v>2452</v>
      </c>
      <c r="P75" s="54">
        <v>1.08</v>
      </c>
      <c r="Q75" s="39" t="s">
        <v>2453</v>
      </c>
      <c r="R75" s="39" t="s">
        <v>245</v>
      </c>
    </row>
    <row r="76" ht="14.25" customHeight="1">
      <c r="A76" s="38" t="s">
        <v>1785</v>
      </c>
      <c r="B76" s="38" t="s">
        <v>2518</v>
      </c>
      <c r="C76" s="38" t="s">
        <v>1784</v>
      </c>
      <c r="D76" s="38" t="s">
        <v>1784</v>
      </c>
      <c r="E76" s="38" t="s">
        <v>360</v>
      </c>
      <c r="F76" s="38" t="s">
        <v>1384</v>
      </c>
      <c r="G76" s="38" t="s">
        <v>282</v>
      </c>
      <c r="H76" s="38" t="s">
        <v>306</v>
      </c>
      <c r="I76" s="51">
        <v>500.0</v>
      </c>
      <c r="J76" s="51">
        <v>160.0</v>
      </c>
      <c r="K76" s="38" t="s">
        <v>2451</v>
      </c>
      <c r="L76" s="38" t="s">
        <v>242</v>
      </c>
      <c r="M76" s="38" t="s">
        <v>245</v>
      </c>
      <c r="N76" s="42" t="s">
        <v>2440</v>
      </c>
      <c r="O76" s="38" t="s">
        <v>2452</v>
      </c>
      <c r="P76" s="52">
        <v>1.08</v>
      </c>
      <c r="Q76" s="38" t="s">
        <v>2453</v>
      </c>
      <c r="R76" s="38" t="s">
        <v>245</v>
      </c>
    </row>
    <row r="77" ht="14.25" customHeight="1">
      <c r="A77" s="39" t="s">
        <v>1790</v>
      </c>
      <c r="B77" s="39" t="s">
        <v>2519</v>
      </c>
      <c r="C77" s="39" t="s">
        <v>1788</v>
      </c>
      <c r="D77" s="39" t="s">
        <v>1788</v>
      </c>
      <c r="E77" s="39" t="s">
        <v>281</v>
      </c>
      <c r="F77" s="39" t="s">
        <v>1316</v>
      </c>
      <c r="G77" s="39" t="s">
        <v>282</v>
      </c>
      <c r="H77" s="39" t="s">
        <v>362</v>
      </c>
      <c r="I77" s="53"/>
      <c r="J77" s="53"/>
      <c r="K77" s="39" t="s">
        <v>2451</v>
      </c>
      <c r="L77" s="39" t="s">
        <v>242</v>
      </c>
      <c r="M77" s="39" t="s">
        <v>245</v>
      </c>
      <c r="N77" s="45" t="s">
        <v>2440</v>
      </c>
      <c r="O77" s="39" t="s">
        <v>2452</v>
      </c>
      <c r="P77" s="54">
        <v>1.08</v>
      </c>
      <c r="Q77" s="39" t="s">
        <v>2453</v>
      </c>
      <c r="R77" s="39" t="s">
        <v>245</v>
      </c>
    </row>
    <row r="78" ht="14.25" customHeight="1">
      <c r="A78" s="38" t="s">
        <v>1795</v>
      </c>
      <c r="B78" s="38" t="s">
        <v>2520</v>
      </c>
      <c r="C78" s="38" t="s">
        <v>1793</v>
      </c>
      <c r="D78" s="38" t="s">
        <v>1793</v>
      </c>
      <c r="E78" s="38" t="s">
        <v>239</v>
      </c>
      <c r="F78" s="38" t="s">
        <v>522</v>
      </c>
      <c r="G78" s="38" t="s">
        <v>282</v>
      </c>
      <c r="H78" s="38" t="s">
        <v>306</v>
      </c>
      <c r="I78" s="51"/>
      <c r="J78" s="51"/>
      <c r="K78" s="38" t="s">
        <v>2451</v>
      </c>
      <c r="L78" s="38" t="s">
        <v>242</v>
      </c>
      <c r="M78" s="38" t="s">
        <v>245</v>
      </c>
      <c r="N78" s="42" t="s">
        <v>2440</v>
      </c>
      <c r="O78" s="38" t="s">
        <v>2452</v>
      </c>
      <c r="P78" s="52">
        <v>1.08</v>
      </c>
      <c r="Q78" s="38" t="s">
        <v>2453</v>
      </c>
      <c r="R78" s="38" t="s">
        <v>245</v>
      </c>
    </row>
    <row r="79" ht="14.25" customHeight="1">
      <c r="A79" s="39" t="s">
        <v>1799</v>
      </c>
      <c r="B79" s="39" t="s">
        <v>2521</v>
      </c>
      <c r="C79" s="39" t="s">
        <v>1798</v>
      </c>
      <c r="D79" s="39" t="s">
        <v>1798</v>
      </c>
      <c r="E79" s="39" t="s">
        <v>239</v>
      </c>
      <c r="F79" s="39" t="s">
        <v>522</v>
      </c>
      <c r="G79" s="39" t="s">
        <v>282</v>
      </c>
      <c r="H79" s="39" t="s">
        <v>306</v>
      </c>
      <c r="I79" s="53"/>
      <c r="J79" s="53"/>
      <c r="K79" s="39" t="s">
        <v>2451</v>
      </c>
      <c r="L79" s="39" t="s">
        <v>242</v>
      </c>
      <c r="M79" s="39" t="s">
        <v>245</v>
      </c>
      <c r="N79" s="45" t="s">
        <v>2440</v>
      </c>
      <c r="O79" s="39" t="s">
        <v>2452</v>
      </c>
      <c r="P79" s="54">
        <v>1.08</v>
      </c>
      <c r="Q79" s="39" t="s">
        <v>2453</v>
      </c>
      <c r="R79" s="39" t="s">
        <v>245</v>
      </c>
    </row>
    <row r="80" ht="14.25" customHeight="1">
      <c r="A80" s="38" t="s">
        <v>1804</v>
      </c>
      <c r="B80" s="38" t="s">
        <v>1802</v>
      </c>
      <c r="C80" s="38" t="s">
        <v>1802</v>
      </c>
      <c r="D80" s="38" t="s">
        <v>1802</v>
      </c>
      <c r="E80" s="38" t="s">
        <v>239</v>
      </c>
      <c r="F80" s="38" t="s">
        <v>1062</v>
      </c>
      <c r="G80" s="38" t="s">
        <v>282</v>
      </c>
      <c r="H80" s="38" t="s">
        <v>241</v>
      </c>
      <c r="I80" s="51"/>
      <c r="J80" s="51"/>
      <c r="K80" s="38" t="s">
        <v>367</v>
      </c>
      <c r="L80" s="38" t="s">
        <v>242</v>
      </c>
      <c r="M80" s="38" t="s">
        <v>245</v>
      </c>
      <c r="N80" s="42" t="s">
        <v>2440</v>
      </c>
      <c r="O80" s="38" t="s">
        <v>2471</v>
      </c>
      <c r="P80" s="52">
        <v>1.1</v>
      </c>
      <c r="Q80" s="38" t="s">
        <v>2442</v>
      </c>
      <c r="R80" s="38" t="s">
        <v>245</v>
      </c>
    </row>
    <row r="81" ht="14.25" customHeight="1">
      <c r="A81" s="39" t="s">
        <v>1808</v>
      </c>
      <c r="B81" s="39" t="s">
        <v>2522</v>
      </c>
      <c r="C81" s="39" t="s">
        <v>1807</v>
      </c>
      <c r="D81" s="39" t="s">
        <v>1807</v>
      </c>
      <c r="E81" s="39" t="s">
        <v>239</v>
      </c>
      <c r="F81" s="39" t="s">
        <v>252</v>
      </c>
      <c r="G81" s="39" t="s">
        <v>282</v>
      </c>
      <c r="H81" s="39" t="s">
        <v>241</v>
      </c>
      <c r="I81" s="53"/>
      <c r="J81" s="53"/>
      <c r="K81" s="39" t="s">
        <v>252</v>
      </c>
      <c r="L81" s="39" t="s">
        <v>242</v>
      </c>
      <c r="M81" s="39" t="s">
        <v>245</v>
      </c>
      <c r="N81" s="45" t="s">
        <v>2440</v>
      </c>
      <c r="O81" s="39" t="s">
        <v>2452</v>
      </c>
      <c r="P81" s="54">
        <v>1.08</v>
      </c>
      <c r="Q81" s="39" t="s">
        <v>2453</v>
      </c>
      <c r="R81" s="39" t="s">
        <v>245</v>
      </c>
    </row>
    <row r="82" ht="14.25" customHeight="1">
      <c r="A82" s="38" t="s">
        <v>1813</v>
      </c>
      <c r="B82" s="38" t="s">
        <v>2523</v>
      </c>
      <c r="C82" s="38" t="s">
        <v>1811</v>
      </c>
      <c r="D82" s="38" t="s">
        <v>1811</v>
      </c>
      <c r="E82" s="38" t="s">
        <v>239</v>
      </c>
      <c r="F82" s="38" t="s">
        <v>252</v>
      </c>
      <c r="G82" s="38" t="s">
        <v>282</v>
      </c>
      <c r="H82" s="38" t="s">
        <v>241</v>
      </c>
      <c r="I82" s="51"/>
      <c r="J82" s="51"/>
      <c r="K82" s="38" t="s">
        <v>252</v>
      </c>
      <c r="L82" s="38" t="s">
        <v>242</v>
      </c>
      <c r="M82" s="38" t="s">
        <v>245</v>
      </c>
      <c r="N82" s="42" t="s">
        <v>2440</v>
      </c>
      <c r="O82" s="38" t="s">
        <v>2452</v>
      </c>
      <c r="P82" s="52">
        <v>1.08</v>
      </c>
      <c r="Q82" s="38" t="s">
        <v>2453</v>
      </c>
      <c r="R82" s="38" t="s">
        <v>245</v>
      </c>
    </row>
    <row r="83" ht="14.25" customHeight="1">
      <c r="A83" s="39" t="s">
        <v>1833</v>
      </c>
      <c r="B83" s="39" t="s">
        <v>2524</v>
      </c>
      <c r="C83" s="39" t="s">
        <v>1832</v>
      </c>
      <c r="D83" s="39" t="s">
        <v>1832</v>
      </c>
      <c r="E83" s="39" t="s">
        <v>239</v>
      </c>
      <c r="F83" s="39" t="s">
        <v>252</v>
      </c>
      <c r="G83" s="39" t="s">
        <v>282</v>
      </c>
      <c r="H83" s="39" t="s">
        <v>241</v>
      </c>
      <c r="I83" s="53"/>
      <c r="J83" s="53"/>
      <c r="K83" s="39" t="s">
        <v>252</v>
      </c>
      <c r="L83" s="39" t="s">
        <v>242</v>
      </c>
      <c r="M83" s="39" t="s">
        <v>245</v>
      </c>
      <c r="N83" s="45" t="s">
        <v>2440</v>
      </c>
      <c r="O83" s="39" t="s">
        <v>2441</v>
      </c>
      <c r="P83" s="54">
        <v>1.05</v>
      </c>
      <c r="Q83" s="39" t="s">
        <v>2442</v>
      </c>
      <c r="R83" s="39" t="s">
        <v>245</v>
      </c>
    </row>
    <row r="84" ht="14.25" customHeight="1">
      <c r="A84" s="38" t="s">
        <v>1838</v>
      </c>
      <c r="B84" s="38" t="s">
        <v>2525</v>
      </c>
      <c r="C84" s="38" t="s">
        <v>1836</v>
      </c>
      <c r="D84" s="38" t="s">
        <v>1836</v>
      </c>
      <c r="E84" s="38" t="s">
        <v>239</v>
      </c>
      <c r="F84" s="38" t="s">
        <v>1113</v>
      </c>
      <c r="G84" s="38" t="s">
        <v>282</v>
      </c>
      <c r="H84" s="38" t="s">
        <v>306</v>
      </c>
      <c r="I84" s="51"/>
      <c r="J84" s="51"/>
      <c r="K84" s="38" t="s">
        <v>2451</v>
      </c>
      <c r="L84" s="38" t="s">
        <v>242</v>
      </c>
      <c r="M84" s="38" t="s">
        <v>245</v>
      </c>
      <c r="N84" s="42" t="s">
        <v>2440</v>
      </c>
      <c r="O84" s="38" t="s">
        <v>2452</v>
      </c>
      <c r="P84" s="52">
        <v>1.08</v>
      </c>
      <c r="Q84" s="38" t="s">
        <v>2453</v>
      </c>
      <c r="R84" s="38" t="s">
        <v>245</v>
      </c>
    </row>
    <row r="85" ht="14.25" customHeight="1">
      <c r="A85" s="39" t="s">
        <v>1845</v>
      </c>
      <c r="B85" s="39" t="s">
        <v>2526</v>
      </c>
      <c r="C85" s="39" t="s">
        <v>1844</v>
      </c>
      <c r="D85" s="39" t="s">
        <v>1844</v>
      </c>
      <c r="E85" s="39" t="s">
        <v>405</v>
      </c>
      <c r="F85" s="39" t="s">
        <v>1120</v>
      </c>
      <c r="G85" s="39" t="s">
        <v>282</v>
      </c>
      <c r="H85" s="39" t="s">
        <v>306</v>
      </c>
      <c r="I85" s="53"/>
      <c r="J85" s="53"/>
      <c r="K85" s="39" t="s">
        <v>2455</v>
      </c>
      <c r="L85" s="39" t="s">
        <v>242</v>
      </c>
      <c r="M85" s="39" t="s">
        <v>245</v>
      </c>
      <c r="N85" s="45" t="s">
        <v>2440</v>
      </c>
      <c r="O85" s="39" t="s">
        <v>2441</v>
      </c>
      <c r="P85" s="54">
        <v>1.05</v>
      </c>
      <c r="Q85" s="39" t="s">
        <v>2442</v>
      </c>
      <c r="R85" s="39" t="s">
        <v>245</v>
      </c>
    </row>
    <row r="86" ht="14.25" customHeight="1">
      <c r="A86" s="38" t="s">
        <v>1853</v>
      </c>
      <c r="B86" s="38" t="s">
        <v>2527</v>
      </c>
      <c r="C86" s="38" t="s">
        <v>1851</v>
      </c>
      <c r="D86" s="38" t="s">
        <v>1851</v>
      </c>
      <c r="E86" s="38" t="s">
        <v>281</v>
      </c>
      <c r="F86" s="38" t="s">
        <v>447</v>
      </c>
      <c r="G86" s="38" t="s">
        <v>282</v>
      </c>
      <c r="H86" s="38" t="s">
        <v>362</v>
      </c>
      <c r="I86" s="51"/>
      <c r="J86" s="51"/>
      <c r="K86" s="38" t="s">
        <v>2451</v>
      </c>
      <c r="L86" s="38" t="s">
        <v>242</v>
      </c>
      <c r="M86" s="38" t="s">
        <v>245</v>
      </c>
      <c r="N86" s="42" t="s">
        <v>2440</v>
      </c>
      <c r="O86" s="38" t="s">
        <v>2452</v>
      </c>
      <c r="P86" s="52">
        <v>1.08</v>
      </c>
      <c r="Q86" s="38" t="s">
        <v>2453</v>
      </c>
      <c r="R86" s="38" t="s">
        <v>245</v>
      </c>
    </row>
    <row r="87" ht="14.25" customHeight="1">
      <c r="A87" s="39" t="s">
        <v>1858</v>
      </c>
      <c r="B87" s="39" t="s">
        <v>2528</v>
      </c>
      <c r="C87" s="39" t="s">
        <v>1856</v>
      </c>
      <c r="D87" s="39" t="s">
        <v>1856</v>
      </c>
      <c r="E87" s="39" t="s">
        <v>239</v>
      </c>
      <c r="F87" s="39" t="s">
        <v>1056</v>
      </c>
      <c r="G87" s="39" t="s">
        <v>282</v>
      </c>
      <c r="H87" s="39" t="s">
        <v>388</v>
      </c>
      <c r="I87" s="53"/>
      <c r="J87" s="53"/>
      <c r="K87" s="39" t="s">
        <v>2446</v>
      </c>
      <c r="L87" s="39" t="s">
        <v>242</v>
      </c>
      <c r="M87" s="39" t="s">
        <v>245</v>
      </c>
      <c r="N87" s="45" t="s">
        <v>2440</v>
      </c>
      <c r="O87" s="39" t="s">
        <v>2447</v>
      </c>
      <c r="P87" s="54">
        <v>1.0</v>
      </c>
      <c r="Q87" s="39" t="s">
        <v>2448</v>
      </c>
      <c r="R87" s="39" t="s">
        <v>245</v>
      </c>
    </row>
    <row r="88" ht="14.25" customHeight="1">
      <c r="A88" s="38" t="s">
        <v>1876</v>
      </c>
      <c r="B88" s="38" t="s">
        <v>2529</v>
      </c>
      <c r="C88" s="38" t="s">
        <v>1875</v>
      </c>
      <c r="D88" s="38" t="s">
        <v>1875</v>
      </c>
      <c r="E88" s="38" t="s">
        <v>320</v>
      </c>
      <c r="F88" s="38" t="s">
        <v>1316</v>
      </c>
      <c r="G88" s="38" t="s">
        <v>282</v>
      </c>
      <c r="H88" s="38" t="s">
        <v>388</v>
      </c>
      <c r="I88" s="51"/>
      <c r="J88" s="51"/>
      <c r="K88" s="38" t="s">
        <v>2446</v>
      </c>
      <c r="L88" s="38" t="s">
        <v>268</v>
      </c>
      <c r="M88" s="38" t="s">
        <v>245</v>
      </c>
      <c r="N88" s="42" t="s">
        <v>2440</v>
      </c>
      <c r="O88" s="38" t="s">
        <v>2447</v>
      </c>
      <c r="P88" s="52">
        <v>1.0</v>
      </c>
      <c r="Q88" s="38" t="s">
        <v>2448</v>
      </c>
      <c r="R88" s="38" t="s">
        <v>245</v>
      </c>
    </row>
    <row r="89" ht="14.25" customHeight="1">
      <c r="A89" s="39" t="s">
        <v>1882</v>
      </c>
      <c r="B89" s="39" t="s">
        <v>2530</v>
      </c>
      <c r="C89" s="39" t="s">
        <v>1880</v>
      </c>
      <c r="D89" s="39" t="s">
        <v>1880</v>
      </c>
      <c r="E89" s="39" t="s">
        <v>239</v>
      </c>
      <c r="F89" s="39" t="s">
        <v>1113</v>
      </c>
      <c r="G89" s="39" t="s">
        <v>282</v>
      </c>
      <c r="H89" s="39" t="s">
        <v>306</v>
      </c>
      <c r="I89" s="53"/>
      <c r="J89" s="53"/>
      <c r="K89" s="39" t="s">
        <v>2451</v>
      </c>
      <c r="L89" s="39" t="s">
        <v>242</v>
      </c>
      <c r="M89" s="39" t="s">
        <v>245</v>
      </c>
      <c r="N89" s="45" t="s">
        <v>2440</v>
      </c>
      <c r="O89" s="39" t="s">
        <v>2452</v>
      </c>
      <c r="P89" s="54">
        <v>1.08</v>
      </c>
      <c r="Q89" s="39" t="s">
        <v>2453</v>
      </c>
      <c r="R89" s="39" t="s">
        <v>245</v>
      </c>
    </row>
    <row r="90" ht="14.25" customHeight="1">
      <c r="A90" s="38" t="s">
        <v>1886</v>
      </c>
      <c r="B90" s="38" t="s">
        <v>2531</v>
      </c>
      <c r="C90" s="38" t="s">
        <v>1885</v>
      </c>
      <c r="D90" s="38" t="s">
        <v>1885</v>
      </c>
      <c r="E90" s="38" t="s">
        <v>386</v>
      </c>
      <c r="F90" s="38" t="s">
        <v>1130</v>
      </c>
      <c r="G90" s="38" t="s">
        <v>282</v>
      </c>
      <c r="H90" s="38" t="s">
        <v>306</v>
      </c>
      <c r="I90" s="51"/>
      <c r="J90" s="51"/>
      <c r="K90" s="38" t="s">
        <v>2451</v>
      </c>
      <c r="L90" s="38" t="s">
        <v>242</v>
      </c>
      <c r="M90" s="38" t="s">
        <v>245</v>
      </c>
      <c r="N90" s="42" t="s">
        <v>2440</v>
      </c>
      <c r="O90" s="38" t="s">
        <v>2452</v>
      </c>
      <c r="P90" s="52">
        <v>1.08</v>
      </c>
      <c r="Q90" s="38" t="s">
        <v>2453</v>
      </c>
      <c r="R90" s="38" t="s">
        <v>245</v>
      </c>
    </row>
    <row r="91" ht="14.25" customHeight="1">
      <c r="A91" s="39" t="s">
        <v>1891</v>
      </c>
      <c r="B91" s="39" t="s">
        <v>2532</v>
      </c>
      <c r="C91" s="39" t="s">
        <v>1889</v>
      </c>
      <c r="D91" s="39" t="s">
        <v>1889</v>
      </c>
      <c r="E91" s="39" t="s">
        <v>386</v>
      </c>
      <c r="F91" s="39" t="s">
        <v>1130</v>
      </c>
      <c r="G91" s="39" t="s">
        <v>282</v>
      </c>
      <c r="H91" s="39" t="s">
        <v>306</v>
      </c>
      <c r="I91" s="53"/>
      <c r="J91" s="53"/>
      <c r="K91" s="39" t="s">
        <v>2455</v>
      </c>
      <c r="L91" s="39" t="s">
        <v>242</v>
      </c>
      <c r="M91" s="39" t="s">
        <v>245</v>
      </c>
      <c r="N91" s="45" t="s">
        <v>2440</v>
      </c>
      <c r="O91" s="39" t="s">
        <v>2441</v>
      </c>
      <c r="P91" s="54">
        <v>1.05</v>
      </c>
      <c r="Q91" s="39" t="s">
        <v>2442</v>
      </c>
      <c r="R91" s="39" t="s">
        <v>245</v>
      </c>
    </row>
    <row r="92" ht="14.25" customHeight="1">
      <c r="A92" s="38" t="s">
        <v>1900</v>
      </c>
      <c r="B92" s="38" t="s">
        <v>2533</v>
      </c>
      <c r="C92" s="38" t="s">
        <v>1898</v>
      </c>
      <c r="D92" s="38" t="s">
        <v>1898</v>
      </c>
      <c r="E92" s="38" t="s">
        <v>239</v>
      </c>
      <c r="F92" s="38" t="s">
        <v>1056</v>
      </c>
      <c r="G92" s="38" t="s">
        <v>282</v>
      </c>
      <c r="H92" s="38" t="s">
        <v>1441</v>
      </c>
      <c r="I92" s="51"/>
      <c r="J92" s="51"/>
      <c r="K92" s="38" t="s">
        <v>2446</v>
      </c>
      <c r="L92" s="38" t="s">
        <v>242</v>
      </c>
      <c r="M92" s="38" t="s">
        <v>245</v>
      </c>
      <c r="N92" s="42" t="s">
        <v>2440</v>
      </c>
      <c r="O92" s="38" t="s">
        <v>2447</v>
      </c>
      <c r="P92" s="52">
        <v>1.0</v>
      </c>
      <c r="Q92" s="38" t="s">
        <v>2448</v>
      </c>
      <c r="R92" s="38" t="s">
        <v>245</v>
      </c>
    </row>
    <row r="93" ht="14.25" customHeight="1">
      <c r="A93" s="39" t="s">
        <v>1905</v>
      </c>
      <c r="B93" s="39" t="s">
        <v>2534</v>
      </c>
      <c r="C93" s="39" t="s">
        <v>1903</v>
      </c>
      <c r="D93" s="39" t="s">
        <v>1903</v>
      </c>
      <c r="E93" s="39" t="s">
        <v>239</v>
      </c>
      <c r="F93" s="39" t="s">
        <v>1056</v>
      </c>
      <c r="G93" s="39" t="s">
        <v>282</v>
      </c>
      <c r="H93" s="39" t="s">
        <v>1441</v>
      </c>
      <c r="I93" s="53"/>
      <c r="J93" s="53"/>
      <c r="K93" s="39" t="s">
        <v>2446</v>
      </c>
      <c r="L93" s="39" t="s">
        <v>242</v>
      </c>
      <c r="M93" s="39" t="s">
        <v>245</v>
      </c>
      <c r="N93" s="45" t="s">
        <v>2440</v>
      </c>
      <c r="O93" s="39" t="s">
        <v>2447</v>
      </c>
      <c r="P93" s="54">
        <v>1.0</v>
      </c>
      <c r="Q93" s="39" t="s">
        <v>2448</v>
      </c>
      <c r="R93" s="39" t="s">
        <v>245</v>
      </c>
    </row>
    <row r="94" ht="14.25" customHeight="1">
      <c r="A94" s="38" t="s">
        <v>1910</v>
      </c>
      <c r="B94" s="38" t="s">
        <v>2535</v>
      </c>
      <c r="C94" s="38" t="s">
        <v>1908</v>
      </c>
      <c r="D94" s="38" t="s">
        <v>1908</v>
      </c>
      <c r="E94" s="38" t="s">
        <v>239</v>
      </c>
      <c r="F94" s="38" t="s">
        <v>1056</v>
      </c>
      <c r="G94" s="38" t="s">
        <v>282</v>
      </c>
      <c r="H94" s="38" t="s">
        <v>306</v>
      </c>
      <c r="I94" s="51">
        <v>8.0</v>
      </c>
      <c r="J94" s="51">
        <v>100.0</v>
      </c>
      <c r="K94" s="38" t="s">
        <v>2455</v>
      </c>
      <c r="L94" s="38" t="s">
        <v>242</v>
      </c>
      <c r="M94" s="38" t="s">
        <v>245</v>
      </c>
      <c r="N94" s="42" t="s">
        <v>2440</v>
      </c>
      <c r="O94" s="38" t="s">
        <v>2441</v>
      </c>
      <c r="P94" s="52">
        <v>1.05</v>
      </c>
      <c r="Q94" s="38" t="s">
        <v>2442</v>
      </c>
      <c r="R94" s="38" t="s">
        <v>245</v>
      </c>
    </row>
    <row r="95" ht="14.25" customHeight="1">
      <c r="A95" s="39" t="s">
        <v>1915</v>
      </c>
      <c r="B95" s="39" t="s">
        <v>2536</v>
      </c>
      <c r="C95" s="39" t="s">
        <v>1913</v>
      </c>
      <c r="D95" s="39" t="s">
        <v>1913</v>
      </c>
      <c r="E95" s="39" t="s">
        <v>386</v>
      </c>
      <c r="F95" s="39" t="s">
        <v>1130</v>
      </c>
      <c r="G95" s="39" t="s">
        <v>282</v>
      </c>
      <c r="H95" s="39" t="s">
        <v>306</v>
      </c>
      <c r="I95" s="53"/>
      <c r="J95" s="53"/>
      <c r="K95" s="39" t="s">
        <v>2455</v>
      </c>
      <c r="L95" s="39" t="s">
        <v>242</v>
      </c>
      <c r="M95" s="39" t="s">
        <v>245</v>
      </c>
      <c r="N95" s="45" t="s">
        <v>2440</v>
      </c>
      <c r="O95" s="39" t="s">
        <v>2441</v>
      </c>
      <c r="P95" s="54">
        <v>1.05</v>
      </c>
      <c r="Q95" s="39" t="s">
        <v>2442</v>
      </c>
      <c r="R95" s="39" t="s">
        <v>245</v>
      </c>
    </row>
    <row r="96" ht="14.25" customHeight="1">
      <c r="A96" s="38" t="s">
        <v>1919</v>
      </c>
      <c r="B96" s="38" t="s">
        <v>2537</v>
      </c>
      <c r="C96" s="38" t="s">
        <v>1918</v>
      </c>
      <c r="D96" s="38" t="s">
        <v>1918</v>
      </c>
      <c r="E96" s="38" t="s">
        <v>386</v>
      </c>
      <c r="F96" s="38" t="s">
        <v>1130</v>
      </c>
      <c r="G96" s="38" t="s">
        <v>282</v>
      </c>
      <c r="H96" s="38" t="s">
        <v>306</v>
      </c>
      <c r="I96" s="51"/>
      <c r="J96" s="51"/>
      <c r="K96" s="38" t="s">
        <v>2455</v>
      </c>
      <c r="L96" s="38" t="s">
        <v>242</v>
      </c>
      <c r="M96" s="38" t="s">
        <v>245</v>
      </c>
      <c r="N96" s="42" t="s">
        <v>2440</v>
      </c>
      <c r="O96" s="38" t="s">
        <v>2441</v>
      </c>
      <c r="P96" s="52">
        <v>1.05</v>
      </c>
      <c r="Q96" s="38" t="s">
        <v>2442</v>
      </c>
      <c r="R96" s="38" t="s">
        <v>245</v>
      </c>
    </row>
    <row r="97" ht="14.25" customHeight="1">
      <c r="A97" s="39" t="s">
        <v>1924</v>
      </c>
      <c r="B97" s="39" t="s">
        <v>2538</v>
      </c>
      <c r="C97" s="39" t="s">
        <v>1922</v>
      </c>
      <c r="D97" s="39" t="s">
        <v>1922</v>
      </c>
      <c r="E97" s="39" t="s">
        <v>386</v>
      </c>
      <c r="F97" s="39" t="s">
        <v>1130</v>
      </c>
      <c r="G97" s="39" t="s">
        <v>282</v>
      </c>
      <c r="H97" s="39" t="s">
        <v>306</v>
      </c>
      <c r="I97" s="53"/>
      <c r="J97" s="53"/>
      <c r="K97" s="39" t="s">
        <v>2455</v>
      </c>
      <c r="L97" s="39" t="s">
        <v>242</v>
      </c>
      <c r="M97" s="39" t="s">
        <v>245</v>
      </c>
      <c r="N97" s="45" t="s">
        <v>2440</v>
      </c>
      <c r="O97" s="39" t="s">
        <v>2441</v>
      </c>
      <c r="P97" s="54">
        <v>1.05</v>
      </c>
      <c r="Q97" s="39" t="s">
        <v>2442</v>
      </c>
      <c r="R97" s="39" t="s">
        <v>245</v>
      </c>
    </row>
    <row r="98" ht="14.25" customHeight="1">
      <c r="A98" s="38" t="s">
        <v>1929</v>
      </c>
      <c r="B98" s="38" t="s">
        <v>2539</v>
      </c>
      <c r="C98" s="38" t="s">
        <v>1927</v>
      </c>
      <c r="D98" s="38" t="s">
        <v>1927</v>
      </c>
      <c r="E98" s="38" t="s">
        <v>239</v>
      </c>
      <c r="F98" s="38" t="s">
        <v>1113</v>
      </c>
      <c r="G98" s="38" t="s">
        <v>282</v>
      </c>
      <c r="H98" s="38" t="s">
        <v>306</v>
      </c>
      <c r="I98" s="51">
        <v>50.0</v>
      </c>
      <c r="J98" s="51">
        <v>50.0</v>
      </c>
      <c r="K98" s="38" t="s">
        <v>367</v>
      </c>
      <c r="L98" s="38" t="s">
        <v>242</v>
      </c>
      <c r="M98" s="38" t="s">
        <v>245</v>
      </c>
      <c r="N98" s="42" t="s">
        <v>2440</v>
      </c>
      <c r="O98" s="38" t="s">
        <v>2447</v>
      </c>
      <c r="P98" s="52">
        <v>1.0</v>
      </c>
      <c r="Q98" s="38" t="s">
        <v>2448</v>
      </c>
      <c r="R98" s="38" t="s">
        <v>245</v>
      </c>
    </row>
    <row r="99" ht="14.25" customHeight="1">
      <c r="A99" s="39" t="s">
        <v>1933</v>
      </c>
      <c r="B99" s="39" t="s">
        <v>2540</v>
      </c>
      <c r="C99" s="39" t="s">
        <v>1932</v>
      </c>
      <c r="D99" s="39" t="s">
        <v>1932</v>
      </c>
      <c r="E99" s="39" t="s">
        <v>239</v>
      </c>
      <c r="F99" s="39" t="s">
        <v>252</v>
      </c>
      <c r="G99" s="39" t="s">
        <v>282</v>
      </c>
      <c r="H99" s="39" t="s">
        <v>241</v>
      </c>
      <c r="I99" s="53"/>
      <c r="J99" s="53"/>
      <c r="K99" s="39" t="s">
        <v>252</v>
      </c>
      <c r="L99" s="39" t="s">
        <v>242</v>
      </c>
      <c r="M99" s="39" t="s">
        <v>245</v>
      </c>
      <c r="N99" s="45" t="s">
        <v>2440</v>
      </c>
      <c r="O99" s="39" t="s">
        <v>2441</v>
      </c>
      <c r="P99" s="54">
        <v>1.05</v>
      </c>
      <c r="Q99" s="39" t="s">
        <v>2442</v>
      </c>
      <c r="R99" s="39" t="s">
        <v>245</v>
      </c>
    </row>
    <row r="100" ht="14.25" customHeight="1">
      <c r="A100" s="38" t="s">
        <v>1944</v>
      </c>
      <c r="B100" s="38" t="s">
        <v>2541</v>
      </c>
      <c r="C100" s="38" t="s">
        <v>1943</v>
      </c>
      <c r="D100" s="38" t="s">
        <v>1943</v>
      </c>
      <c r="E100" s="38" t="s">
        <v>386</v>
      </c>
      <c r="F100" s="38" t="s">
        <v>1130</v>
      </c>
      <c r="G100" s="38" t="s">
        <v>282</v>
      </c>
      <c r="H100" s="38" t="s">
        <v>306</v>
      </c>
      <c r="I100" s="51"/>
      <c r="J100" s="51"/>
      <c r="K100" s="38" t="s">
        <v>2455</v>
      </c>
      <c r="L100" s="38" t="s">
        <v>242</v>
      </c>
      <c r="M100" s="38" t="s">
        <v>245</v>
      </c>
      <c r="N100" s="42" t="s">
        <v>2440</v>
      </c>
      <c r="O100" s="38" t="s">
        <v>2441</v>
      </c>
      <c r="P100" s="52">
        <v>1.05</v>
      </c>
      <c r="Q100" s="38" t="s">
        <v>2442</v>
      </c>
      <c r="R100" s="38" t="s">
        <v>245</v>
      </c>
    </row>
    <row r="101" ht="14.25" customHeight="1">
      <c r="A101" s="39" t="s">
        <v>1953</v>
      </c>
      <c r="B101" s="39" t="s">
        <v>2542</v>
      </c>
      <c r="C101" s="39" t="s">
        <v>1951</v>
      </c>
      <c r="D101" s="39" t="s">
        <v>1951</v>
      </c>
      <c r="E101" s="39" t="s">
        <v>399</v>
      </c>
      <c r="F101" s="39" t="s">
        <v>1012</v>
      </c>
      <c r="G101" s="39" t="s">
        <v>282</v>
      </c>
      <c r="H101" s="39" t="s">
        <v>1952</v>
      </c>
      <c r="I101" s="53"/>
      <c r="J101" s="53"/>
      <c r="K101" s="39" t="s">
        <v>2451</v>
      </c>
      <c r="L101" s="39" t="s">
        <v>242</v>
      </c>
      <c r="M101" s="39" t="s">
        <v>245</v>
      </c>
      <c r="N101" s="45" t="s">
        <v>2440</v>
      </c>
      <c r="O101" s="39" t="s">
        <v>2452</v>
      </c>
      <c r="P101" s="54">
        <v>1.08</v>
      </c>
      <c r="Q101" s="39" t="s">
        <v>2453</v>
      </c>
      <c r="R101" s="39" t="s">
        <v>245</v>
      </c>
    </row>
    <row r="102" ht="14.25" customHeight="1">
      <c r="A102" s="38" t="s">
        <v>1957</v>
      </c>
      <c r="B102" s="38" t="s">
        <v>2543</v>
      </c>
      <c r="C102" s="38" t="s">
        <v>1956</v>
      </c>
      <c r="D102" s="38" t="s">
        <v>1956</v>
      </c>
      <c r="E102" s="38" t="s">
        <v>281</v>
      </c>
      <c r="F102" s="38" t="s">
        <v>1316</v>
      </c>
      <c r="G102" s="38" t="s">
        <v>282</v>
      </c>
      <c r="H102" s="38" t="s">
        <v>1952</v>
      </c>
      <c r="I102" s="51"/>
      <c r="J102" s="51"/>
      <c r="K102" s="38" t="s">
        <v>2451</v>
      </c>
      <c r="L102" s="38" t="s">
        <v>242</v>
      </c>
      <c r="M102" s="38" t="s">
        <v>245</v>
      </c>
      <c r="N102" s="42" t="s">
        <v>2440</v>
      </c>
      <c r="O102" s="38" t="s">
        <v>2452</v>
      </c>
      <c r="P102" s="52">
        <v>1.08</v>
      </c>
      <c r="Q102" s="38" t="s">
        <v>2453</v>
      </c>
      <c r="R102" s="38" t="s">
        <v>245</v>
      </c>
    </row>
    <row r="103" ht="14.25" customHeight="1">
      <c r="A103" s="39" t="s">
        <v>1969</v>
      </c>
      <c r="B103" s="39" t="s">
        <v>2544</v>
      </c>
      <c r="C103" s="39" t="s">
        <v>1966</v>
      </c>
      <c r="D103" s="39" t="s">
        <v>1966</v>
      </c>
      <c r="E103" s="39" t="s">
        <v>360</v>
      </c>
      <c r="F103" s="39" t="s">
        <v>1968</v>
      </c>
      <c r="G103" s="39" t="s">
        <v>282</v>
      </c>
      <c r="H103" s="39" t="s">
        <v>1103</v>
      </c>
      <c r="I103" s="53"/>
      <c r="J103" s="53"/>
      <c r="K103" s="39" t="s">
        <v>2485</v>
      </c>
      <c r="L103" s="39" t="s">
        <v>242</v>
      </c>
      <c r="M103" s="39" t="s">
        <v>245</v>
      </c>
      <c r="N103" s="45" t="s">
        <v>2440</v>
      </c>
      <c r="O103" s="39" t="s">
        <v>2447</v>
      </c>
      <c r="P103" s="54">
        <v>1.0</v>
      </c>
      <c r="Q103" s="39" t="s">
        <v>2448</v>
      </c>
      <c r="R103" s="39" t="s">
        <v>245</v>
      </c>
    </row>
    <row r="104" ht="14.25" customHeight="1">
      <c r="A104" s="38" t="s">
        <v>1975</v>
      </c>
      <c r="B104" s="38" t="s">
        <v>2545</v>
      </c>
      <c r="C104" s="38" t="s">
        <v>1972</v>
      </c>
      <c r="D104" s="38" t="s">
        <v>1972</v>
      </c>
      <c r="E104" s="38" t="s">
        <v>320</v>
      </c>
      <c r="F104" s="38" t="s">
        <v>1974</v>
      </c>
      <c r="G104" s="38" t="s">
        <v>282</v>
      </c>
      <c r="H104" s="38" t="s">
        <v>1103</v>
      </c>
      <c r="I104" s="51"/>
      <c r="J104" s="51"/>
      <c r="K104" s="38" t="s">
        <v>2485</v>
      </c>
      <c r="L104" s="38" t="s">
        <v>242</v>
      </c>
      <c r="M104" s="38" t="s">
        <v>245</v>
      </c>
      <c r="N104" s="42" t="s">
        <v>2440</v>
      </c>
      <c r="O104" s="38" t="s">
        <v>2447</v>
      </c>
      <c r="P104" s="52">
        <v>1.0</v>
      </c>
      <c r="Q104" s="38" t="s">
        <v>2448</v>
      </c>
      <c r="R104" s="38" t="s">
        <v>245</v>
      </c>
    </row>
    <row r="105" ht="14.25" customHeight="1">
      <c r="A105" s="39" t="s">
        <v>1980</v>
      </c>
      <c r="B105" s="39" t="s">
        <v>2546</v>
      </c>
      <c r="C105" s="39" t="s">
        <v>1978</v>
      </c>
      <c r="D105" s="39" t="s">
        <v>1978</v>
      </c>
      <c r="E105" s="39" t="s">
        <v>239</v>
      </c>
      <c r="F105" s="39" t="s">
        <v>1062</v>
      </c>
      <c r="G105" s="39" t="s">
        <v>282</v>
      </c>
      <c r="H105" s="39" t="s">
        <v>1103</v>
      </c>
      <c r="I105" s="53"/>
      <c r="J105" s="53"/>
      <c r="K105" s="39" t="s">
        <v>2485</v>
      </c>
      <c r="L105" s="39" t="s">
        <v>242</v>
      </c>
      <c r="M105" s="39" t="s">
        <v>245</v>
      </c>
      <c r="N105" s="45" t="s">
        <v>2440</v>
      </c>
      <c r="O105" s="39" t="s">
        <v>2447</v>
      </c>
      <c r="P105" s="54">
        <v>1.0</v>
      </c>
      <c r="Q105" s="39" t="s">
        <v>2448</v>
      </c>
      <c r="R105" s="39" t="s">
        <v>245</v>
      </c>
    </row>
    <row r="106" ht="14.25" customHeight="1">
      <c r="A106" s="38" t="s">
        <v>1985</v>
      </c>
      <c r="B106" s="38" t="s">
        <v>2547</v>
      </c>
      <c r="C106" s="38" t="s">
        <v>1983</v>
      </c>
      <c r="D106" s="38" t="s">
        <v>1983</v>
      </c>
      <c r="E106" s="38" t="s">
        <v>360</v>
      </c>
      <c r="F106" s="38" t="s">
        <v>1968</v>
      </c>
      <c r="G106" s="38" t="s">
        <v>282</v>
      </c>
      <c r="H106" s="38" t="s">
        <v>306</v>
      </c>
      <c r="I106" s="51"/>
      <c r="J106" s="51"/>
      <c r="K106" s="38" t="s">
        <v>2485</v>
      </c>
      <c r="L106" s="38" t="s">
        <v>242</v>
      </c>
      <c r="M106" s="38" t="s">
        <v>245</v>
      </c>
      <c r="N106" s="42" t="s">
        <v>2440</v>
      </c>
      <c r="O106" s="38" t="s">
        <v>2447</v>
      </c>
      <c r="P106" s="52">
        <v>1.0</v>
      </c>
      <c r="Q106" s="38" t="s">
        <v>2448</v>
      </c>
      <c r="R106" s="38" t="s">
        <v>245</v>
      </c>
    </row>
    <row r="107" ht="14.25" customHeight="1">
      <c r="A107" s="39" t="s">
        <v>1990</v>
      </c>
      <c r="B107" s="39" t="s">
        <v>2548</v>
      </c>
      <c r="C107" s="39" t="s">
        <v>1988</v>
      </c>
      <c r="D107" s="39" t="s">
        <v>1988</v>
      </c>
      <c r="E107" s="39" t="s">
        <v>239</v>
      </c>
      <c r="F107" s="39" t="s">
        <v>1049</v>
      </c>
      <c r="G107" s="39" t="s">
        <v>282</v>
      </c>
      <c r="H107" s="39" t="s">
        <v>1103</v>
      </c>
      <c r="I107" s="53">
        <v>50.0</v>
      </c>
      <c r="J107" s="53">
        <v>50.0</v>
      </c>
      <c r="K107" s="39" t="s">
        <v>2446</v>
      </c>
      <c r="L107" s="39" t="s">
        <v>242</v>
      </c>
      <c r="M107" s="39" t="s">
        <v>245</v>
      </c>
      <c r="N107" s="45" t="s">
        <v>2440</v>
      </c>
      <c r="O107" s="39" t="s">
        <v>2447</v>
      </c>
      <c r="P107" s="54">
        <v>1.0</v>
      </c>
      <c r="Q107" s="39" t="s">
        <v>2448</v>
      </c>
      <c r="R107" s="39" t="s">
        <v>245</v>
      </c>
    </row>
    <row r="108" ht="14.25" customHeight="1">
      <c r="A108" s="38" t="s">
        <v>1995</v>
      </c>
      <c r="B108" s="38" t="s">
        <v>2549</v>
      </c>
      <c r="C108" s="38" t="s">
        <v>1993</v>
      </c>
      <c r="D108" s="38" t="s">
        <v>1993</v>
      </c>
      <c r="E108" s="38" t="s">
        <v>239</v>
      </c>
      <c r="F108" s="38" t="s">
        <v>1062</v>
      </c>
      <c r="G108" s="38" t="s">
        <v>282</v>
      </c>
      <c r="H108" s="38" t="s">
        <v>418</v>
      </c>
      <c r="I108" s="51"/>
      <c r="J108" s="51"/>
      <c r="K108" s="38" t="s">
        <v>2446</v>
      </c>
      <c r="L108" s="38" t="s">
        <v>242</v>
      </c>
      <c r="M108" s="38" t="s">
        <v>245</v>
      </c>
      <c r="N108" s="42" t="s">
        <v>2440</v>
      </c>
      <c r="O108" s="38" t="s">
        <v>2447</v>
      </c>
      <c r="P108" s="52">
        <v>1.0</v>
      </c>
      <c r="Q108" s="38" t="s">
        <v>2448</v>
      </c>
      <c r="R108" s="38" t="s">
        <v>245</v>
      </c>
    </row>
    <row r="109" ht="14.25" customHeight="1">
      <c r="A109" s="39" t="s">
        <v>1999</v>
      </c>
      <c r="B109" s="39" t="s">
        <v>2550</v>
      </c>
      <c r="C109" s="39" t="s">
        <v>1998</v>
      </c>
      <c r="D109" s="39" t="s">
        <v>1998</v>
      </c>
      <c r="E109" s="39" t="s">
        <v>281</v>
      </c>
      <c r="F109" s="39" t="s">
        <v>1290</v>
      </c>
      <c r="G109" s="39" t="s">
        <v>282</v>
      </c>
      <c r="H109" s="39" t="s">
        <v>418</v>
      </c>
      <c r="I109" s="53"/>
      <c r="J109" s="53"/>
      <c r="K109" s="39" t="s">
        <v>2470</v>
      </c>
      <c r="L109" s="39" t="s">
        <v>242</v>
      </c>
      <c r="M109" s="39" t="s">
        <v>245</v>
      </c>
      <c r="N109" s="45" t="s">
        <v>2440</v>
      </c>
      <c r="O109" s="39" t="s">
        <v>2447</v>
      </c>
      <c r="P109" s="54">
        <v>1.0</v>
      </c>
      <c r="Q109" s="39" t="s">
        <v>2448</v>
      </c>
      <c r="R109" s="39" t="s">
        <v>245</v>
      </c>
    </row>
    <row r="110" ht="14.25" customHeight="1">
      <c r="A110" s="38" t="s">
        <v>2021</v>
      </c>
      <c r="B110" s="38" t="s">
        <v>2551</v>
      </c>
      <c r="C110" s="38" t="s">
        <v>2019</v>
      </c>
      <c r="D110" s="38" t="s">
        <v>2019</v>
      </c>
      <c r="E110" s="38" t="s">
        <v>281</v>
      </c>
      <c r="F110" s="38" t="s">
        <v>1049</v>
      </c>
      <c r="G110" s="38" t="s">
        <v>282</v>
      </c>
      <c r="H110" s="38" t="s">
        <v>1103</v>
      </c>
      <c r="I110" s="51"/>
      <c r="J110" s="51"/>
      <c r="K110" s="38" t="s">
        <v>330</v>
      </c>
      <c r="L110" s="38" t="s">
        <v>242</v>
      </c>
      <c r="M110" s="38" t="s">
        <v>245</v>
      </c>
      <c r="N110" s="42" t="s">
        <v>2440</v>
      </c>
      <c r="O110" s="38" t="s">
        <v>2444</v>
      </c>
      <c r="P110" s="52">
        <v>1.1</v>
      </c>
      <c r="Q110" s="38" t="s">
        <v>2442</v>
      </c>
      <c r="R110" s="38" t="s">
        <v>245</v>
      </c>
    </row>
    <row r="111" ht="14.25" customHeight="1">
      <c r="A111" s="39" t="s">
        <v>2025</v>
      </c>
      <c r="B111" s="39" t="s">
        <v>2552</v>
      </c>
      <c r="C111" s="39" t="s">
        <v>2024</v>
      </c>
      <c r="D111" s="39" t="s">
        <v>2024</v>
      </c>
      <c r="E111" s="39" t="s">
        <v>239</v>
      </c>
      <c r="F111" s="39" t="s">
        <v>1049</v>
      </c>
      <c r="G111" s="39" t="s">
        <v>282</v>
      </c>
      <c r="H111" s="39" t="s">
        <v>1103</v>
      </c>
      <c r="I111" s="53"/>
      <c r="J111" s="53"/>
      <c r="K111" s="39" t="s">
        <v>330</v>
      </c>
      <c r="L111" s="39" t="s">
        <v>242</v>
      </c>
      <c r="M111" s="39" t="s">
        <v>245</v>
      </c>
      <c r="N111" s="45" t="s">
        <v>2440</v>
      </c>
      <c r="O111" s="39" t="s">
        <v>2444</v>
      </c>
      <c r="P111" s="54">
        <v>1.1</v>
      </c>
      <c r="Q111" s="39" t="s">
        <v>2442</v>
      </c>
      <c r="R111" s="39" t="s">
        <v>245</v>
      </c>
    </row>
    <row r="112" ht="14.25" customHeight="1">
      <c r="A112" s="38" t="s">
        <v>2029</v>
      </c>
      <c r="B112" s="38" t="s">
        <v>2553</v>
      </c>
      <c r="C112" s="38" t="s">
        <v>2028</v>
      </c>
      <c r="D112" s="38" t="s">
        <v>2028</v>
      </c>
      <c r="E112" s="38" t="s">
        <v>281</v>
      </c>
      <c r="F112" s="38" t="s">
        <v>1049</v>
      </c>
      <c r="G112" s="38" t="s">
        <v>282</v>
      </c>
      <c r="H112" s="38" t="s">
        <v>1103</v>
      </c>
      <c r="I112" s="51"/>
      <c r="J112" s="51"/>
      <c r="K112" s="38" t="s">
        <v>330</v>
      </c>
      <c r="L112" s="38" t="s">
        <v>242</v>
      </c>
      <c r="M112" s="38" t="s">
        <v>245</v>
      </c>
      <c r="N112" s="42" t="s">
        <v>2440</v>
      </c>
      <c r="O112" s="38" t="s">
        <v>2444</v>
      </c>
      <c r="P112" s="52">
        <v>1.1</v>
      </c>
      <c r="Q112" s="38" t="s">
        <v>2442</v>
      </c>
      <c r="R112" s="38" t="s">
        <v>245</v>
      </c>
    </row>
    <row r="113" ht="14.25" customHeight="1">
      <c r="A113" s="39" t="s">
        <v>2034</v>
      </c>
      <c r="B113" s="39" t="s">
        <v>2554</v>
      </c>
      <c r="C113" s="39" t="s">
        <v>2032</v>
      </c>
      <c r="D113" s="39" t="s">
        <v>2032</v>
      </c>
      <c r="E113" s="39" t="s">
        <v>239</v>
      </c>
      <c r="F113" s="39" t="s">
        <v>1049</v>
      </c>
      <c r="G113" s="39" t="s">
        <v>282</v>
      </c>
      <c r="H113" s="39" t="s">
        <v>1103</v>
      </c>
      <c r="I113" s="53"/>
      <c r="J113" s="53"/>
      <c r="K113" s="39" t="s">
        <v>330</v>
      </c>
      <c r="L113" s="39" t="s">
        <v>242</v>
      </c>
      <c r="M113" s="39" t="s">
        <v>245</v>
      </c>
      <c r="N113" s="45" t="s">
        <v>2440</v>
      </c>
      <c r="O113" s="39" t="s">
        <v>2444</v>
      </c>
      <c r="P113" s="54">
        <v>1.1</v>
      </c>
      <c r="Q113" s="39" t="s">
        <v>2442</v>
      </c>
      <c r="R113" s="39" t="s">
        <v>245</v>
      </c>
    </row>
    <row r="114" ht="14.25" customHeight="1">
      <c r="A114" s="38" t="s">
        <v>2195</v>
      </c>
      <c r="B114" s="38" t="s">
        <v>2555</v>
      </c>
      <c r="C114" s="38" t="s">
        <v>2193</v>
      </c>
      <c r="D114" s="38" t="s">
        <v>2193</v>
      </c>
      <c r="E114" s="38" t="s">
        <v>239</v>
      </c>
      <c r="F114" s="38" t="s">
        <v>1113</v>
      </c>
      <c r="G114" s="38" t="s">
        <v>282</v>
      </c>
      <c r="H114" s="38" t="s">
        <v>306</v>
      </c>
      <c r="I114" s="51">
        <v>12.0</v>
      </c>
      <c r="J114" s="51">
        <v>1220.0</v>
      </c>
      <c r="K114" s="38" t="s">
        <v>2455</v>
      </c>
      <c r="L114" s="38" t="s">
        <v>242</v>
      </c>
      <c r="M114" s="38" t="s">
        <v>245</v>
      </c>
      <c r="N114" s="42" t="s">
        <v>2440</v>
      </c>
      <c r="O114" s="38" t="s">
        <v>2441</v>
      </c>
      <c r="P114" s="52">
        <v>1.05</v>
      </c>
      <c r="Q114" s="38" t="s">
        <v>2442</v>
      </c>
      <c r="R114" s="38" t="s">
        <v>245</v>
      </c>
    </row>
    <row r="115" ht="14.25" customHeight="1">
      <c r="A115" s="39" t="s">
        <v>2199</v>
      </c>
      <c r="B115" s="39" t="s">
        <v>2556</v>
      </c>
      <c r="C115" s="39" t="s">
        <v>2198</v>
      </c>
      <c r="D115" s="39" t="s">
        <v>2198</v>
      </c>
      <c r="E115" s="39" t="s">
        <v>360</v>
      </c>
      <c r="F115" s="39" t="s">
        <v>1968</v>
      </c>
      <c r="G115" s="39" t="s">
        <v>282</v>
      </c>
      <c r="H115" s="39" t="s">
        <v>388</v>
      </c>
      <c r="I115" s="53"/>
      <c r="J115" s="53"/>
      <c r="K115" s="39" t="s">
        <v>2446</v>
      </c>
      <c r="L115" s="39" t="s">
        <v>242</v>
      </c>
      <c r="M115" s="39" t="s">
        <v>245</v>
      </c>
      <c r="N115" s="45" t="s">
        <v>2440</v>
      </c>
      <c r="O115" s="39" t="s">
        <v>2447</v>
      </c>
      <c r="P115" s="54">
        <v>1.0</v>
      </c>
      <c r="Q115" s="39" t="s">
        <v>2448</v>
      </c>
      <c r="R115" s="39" t="s">
        <v>245</v>
      </c>
    </row>
    <row r="116" ht="14.25" customHeight="1">
      <c r="A116" s="38" t="s">
        <v>2203</v>
      </c>
      <c r="B116" s="38" t="s">
        <v>2557</v>
      </c>
      <c r="C116" s="38" t="s">
        <v>2202</v>
      </c>
      <c r="D116" s="38" t="s">
        <v>2202</v>
      </c>
      <c r="E116" s="38" t="s">
        <v>360</v>
      </c>
      <c r="F116" s="38" t="s">
        <v>1316</v>
      </c>
      <c r="G116" s="38" t="s">
        <v>282</v>
      </c>
      <c r="H116" s="38" t="s">
        <v>306</v>
      </c>
      <c r="I116" s="51"/>
      <c r="J116" s="51"/>
      <c r="K116" s="38" t="s">
        <v>2451</v>
      </c>
      <c r="L116" s="38" t="s">
        <v>242</v>
      </c>
      <c r="M116" s="38" t="s">
        <v>245</v>
      </c>
      <c r="N116" s="42" t="s">
        <v>2440</v>
      </c>
      <c r="O116" s="38" t="s">
        <v>2452</v>
      </c>
      <c r="P116" s="52">
        <v>1.08</v>
      </c>
      <c r="Q116" s="38" t="s">
        <v>2453</v>
      </c>
      <c r="R116" s="38" t="s">
        <v>245</v>
      </c>
    </row>
    <row r="117" ht="14.25" customHeight="1">
      <c r="A117" s="39" t="s">
        <v>2209</v>
      </c>
      <c r="B117" s="39" t="s">
        <v>2558</v>
      </c>
      <c r="C117" s="39" t="s">
        <v>2206</v>
      </c>
      <c r="D117" s="39" t="s">
        <v>2206</v>
      </c>
      <c r="E117" s="39" t="s">
        <v>386</v>
      </c>
      <c r="F117" s="39" t="s">
        <v>2208</v>
      </c>
      <c r="G117" s="39" t="s">
        <v>282</v>
      </c>
      <c r="H117" s="39" t="s">
        <v>306</v>
      </c>
      <c r="I117" s="53"/>
      <c r="J117" s="53"/>
      <c r="K117" s="39" t="s">
        <v>2455</v>
      </c>
      <c r="L117" s="39" t="s">
        <v>242</v>
      </c>
      <c r="M117" s="39" t="s">
        <v>245</v>
      </c>
      <c r="N117" s="45" t="s">
        <v>2440</v>
      </c>
      <c r="O117" s="39" t="s">
        <v>2441</v>
      </c>
      <c r="P117" s="54">
        <v>1.05</v>
      </c>
      <c r="Q117" s="39" t="s">
        <v>2442</v>
      </c>
      <c r="R117" s="39" t="s">
        <v>245</v>
      </c>
    </row>
    <row r="118" ht="14.25" customHeight="1">
      <c r="A118" s="38" t="s">
        <v>2220</v>
      </c>
      <c r="B118" s="38" t="s">
        <v>2559</v>
      </c>
      <c r="C118" s="38" t="s">
        <v>2218</v>
      </c>
      <c r="D118" s="38" t="s">
        <v>2218</v>
      </c>
      <c r="E118" s="38" t="s">
        <v>320</v>
      </c>
      <c r="F118" s="38" t="s">
        <v>1316</v>
      </c>
      <c r="G118" s="38" t="s">
        <v>282</v>
      </c>
      <c r="H118" s="38" t="s">
        <v>362</v>
      </c>
      <c r="I118" s="51"/>
      <c r="J118" s="51"/>
      <c r="K118" s="38" t="s">
        <v>2451</v>
      </c>
      <c r="L118" s="38" t="s">
        <v>242</v>
      </c>
      <c r="M118" s="38" t="s">
        <v>245</v>
      </c>
      <c r="N118" s="42" t="s">
        <v>2440</v>
      </c>
      <c r="O118" s="38" t="s">
        <v>2452</v>
      </c>
      <c r="P118" s="52">
        <v>1.08</v>
      </c>
      <c r="Q118" s="38" t="s">
        <v>2453</v>
      </c>
      <c r="R118" s="38" t="s">
        <v>245</v>
      </c>
    </row>
    <row r="119" ht="14.25" customHeight="1">
      <c r="A119" s="39" t="s">
        <v>2225</v>
      </c>
      <c r="B119" s="39" t="s">
        <v>2560</v>
      </c>
      <c r="C119" s="39" t="s">
        <v>2223</v>
      </c>
      <c r="D119" s="39" t="s">
        <v>2223</v>
      </c>
      <c r="E119" s="39" t="s">
        <v>320</v>
      </c>
      <c r="F119" s="39" t="s">
        <v>1316</v>
      </c>
      <c r="G119" s="39" t="s">
        <v>282</v>
      </c>
      <c r="H119" s="39" t="s">
        <v>362</v>
      </c>
      <c r="I119" s="53"/>
      <c r="J119" s="53"/>
      <c r="K119" s="39" t="s">
        <v>2451</v>
      </c>
      <c r="L119" s="39" t="s">
        <v>242</v>
      </c>
      <c r="M119" s="39" t="s">
        <v>245</v>
      </c>
      <c r="N119" s="45" t="s">
        <v>2440</v>
      </c>
      <c r="O119" s="39" t="s">
        <v>2452</v>
      </c>
      <c r="P119" s="54">
        <v>1.08</v>
      </c>
      <c r="Q119" s="39" t="s">
        <v>2453</v>
      </c>
      <c r="R119" s="39" t="s">
        <v>245</v>
      </c>
    </row>
    <row r="120" ht="14.25" customHeight="1">
      <c r="A120" s="38" t="s">
        <v>2229</v>
      </c>
      <c r="B120" s="38" t="s">
        <v>2560</v>
      </c>
      <c r="C120" s="38" t="s">
        <v>2228</v>
      </c>
      <c r="D120" s="38" t="s">
        <v>2228</v>
      </c>
      <c r="E120" s="38" t="s">
        <v>386</v>
      </c>
      <c r="F120" s="38" t="s">
        <v>2208</v>
      </c>
      <c r="G120" s="38" t="s">
        <v>282</v>
      </c>
      <c r="H120" s="38" t="s">
        <v>306</v>
      </c>
      <c r="I120" s="51"/>
      <c r="J120" s="51"/>
      <c r="K120" s="38" t="s">
        <v>2451</v>
      </c>
      <c r="L120" s="38" t="s">
        <v>242</v>
      </c>
      <c r="M120" s="38" t="s">
        <v>245</v>
      </c>
      <c r="N120" s="42" t="s">
        <v>2440</v>
      </c>
      <c r="O120" s="38" t="s">
        <v>2452</v>
      </c>
      <c r="P120" s="52">
        <v>1.08</v>
      </c>
      <c r="Q120" s="38" t="s">
        <v>2453</v>
      </c>
      <c r="R120" s="38" t="s">
        <v>245</v>
      </c>
    </row>
    <row r="121" ht="14.25" customHeight="1">
      <c r="A121" s="39" t="s">
        <v>2234</v>
      </c>
      <c r="B121" s="39" t="s">
        <v>2561</v>
      </c>
      <c r="C121" s="39" t="s">
        <v>2232</v>
      </c>
      <c r="D121" s="39" t="s">
        <v>2232</v>
      </c>
      <c r="E121" s="39" t="s">
        <v>386</v>
      </c>
      <c r="F121" s="39" t="s">
        <v>1130</v>
      </c>
      <c r="G121" s="39" t="s">
        <v>282</v>
      </c>
      <c r="H121" s="39" t="s">
        <v>306</v>
      </c>
      <c r="I121" s="53">
        <v>500.0</v>
      </c>
      <c r="J121" s="53">
        <v>600.0</v>
      </c>
      <c r="K121" s="39" t="s">
        <v>2455</v>
      </c>
      <c r="L121" s="39" t="s">
        <v>242</v>
      </c>
      <c r="M121" s="39" t="s">
        <v>245</v>
      </c>
      <c r="N121" s="45" t="s">
        <v>2440</v>
      </c>
      <c r="O121" s="39" t="s">
        <v>2441</v>
      </c>
      <c r="P121" s="54">
        <v>1.05</v>
      </c>
      <c r="Q121" s="39" t="s">
        <v>2442</v>
      </c>
      <c r="R121" s="39" t="s">
        <v>245</v>
      </c>
    </row>
    <row r="122" ht="14.25" customHeight="1">
      <c r="A122" s="38" t="s">
        <v>2239</v>
      </c>
      <c r="B122" s="38" t="s">
        <v>2562</v>
      </c>
      <c r="C122" s="38" t="s">
        <v>2237</v>
      </c>
      <c r="D122" s="38" t="s">
        <v>2237</v>
      </c>
      <c r="E122" s="38" t="s">
        <v>239</v>
      </c>
      <c r="F122" s="38" t="s">
        <v>1056</v>
      </c>
      <c r="G122" s="38" t="s">
        <v>282</v>
      </c>
      <c r="H122" s="38" t="s">
        <v>1441</v>
      </c>
      <c r="I122" s="51"/>
      <c r="J122" s="51"/>
      <c r="K122" s="38" t="s">
        <v>2446</v>
      </c>
      <c r="L122" s="38" t="s">
        <v>242</v>
      </c>
      <c r="M122" s="38" t="s">
        <v>245</v>
      </c>
      <c r="N122" s="42" t="s">
        <v>2440</v>
      </c>
      <c r="O122" s="38" t="s">
        <v>2447</v>
      </c>
      <c r="P122" s="52">
        <v>1.0</v>
      </c>
      <c r="Q122" s="38" t="s">
        <v>2448</v>
      </c>
      <c r="R122" s="38" t="s">
        <v>245</v>
      </c>
    </row>
    <row r="123" ht="14.25" customHeight="1">
      <c r="A123" s="50" t="s">
        <v>2563</v>
      </c>
      <c r="B123" s="50" t="s">
        <v>2564</v>
      </c>
      <c r="C123" s="50" t="s">
        <v>2565</v>
      </c>
      <c r="D123" s="50" t="s">
        <v>2565</v>
      </c>
      <c r="E123" s="50" t="s">
        <v>239</v>
      </c>
      <c r="F123" s="50" t="s">
        <v>522</v>
      </c>
      <c r="G123" s="50" t="s">
        <v>282</v>
      </c>
      <c r="H123" s="50" t="s">
        <v>362</v>
      </c>
      <c r="K123" s="50" t="s">
        <v>2451</v>
      </c>
      <c r="L123" s="50" t="s">
        <v>242</v>
      </c>
      <c r="M123" s="50" t="s">
        <v>245</v>
      </c>
      <c r="O123" s="50" t="s">
        <v>2452</v>
      </c>
      <c r="P123" s="55">
        <v>46235.0</v>
      </c>
      <c r="Q123" s="50" t="s">
        <v>2453</v>
      </c>
      <c r="R123" s="50" t="s">
        <v>245</v>
      </c>
    </row>
    <row r="124" ht="14.25" customHeight="1">
      <c r="A124" s="50" t="s">
        <v>2566</v>
      </c>
      <c r="B124" s="50" t="s">
        <v>2567</v>
      </c>
      <c r="C124" s="50" t="s">
        <v>2568</v>
      </c>
      <c r="D124" s="50" t="s">
        <v>2569</v>
      </c>
      <c r="E124" s="50" t="s">
        <v>239</v>
      </c>
      <c r="F124" s="50" t="s">
        <v>1049</v>
      </c>
      <c r="G124" s="50" t="s">
        <v>282</v>
      </c>
      <c r="H124" s="50" t="s">
        <v>306</v>
      </c>
      <c r="K124" s="50" t="s">
        <v>330</v>
      </c>
      <c r="L124" s="50" t="s">
        <v>242</v>
      </c>
      <c r="M124" s="50" t="s">
        <v>245</v>
      </c>
      <c r="P124" s="50">
        <v>1.0</v>
      </c>
      <c r="R124" s="50" t="s">
        <v>245</v>
      </c>
    </row>
    <row r="125" ht="14.25" customHeight="1">
      <c r="A125" s="50" t="s">
        <v>2570</v>
      </c>
      <c r="B125" s="50" t="s">
        <v>2571</v>
      </c>
      <c r="C125" s="50" t="s">
        <v>2572</v>
      </c>
      <c r="D125" s="50" t="s">
        <v>2572</v>
      </c>
      <c r="E125" s="50" t="s">
        <v>281</v>
      </c>
      <c r="F125" s="50" t="s">
        <v>1316</v>
      </c>
      <c r="G125" s="50" t="s">
        <v>282</v>
      </c>
      <c r="H125" s="50" t="s">
        <v>418</v>
      </c>
      <c r="K125" s="50" t="s">
        <v>2446</v>
      </c>
      <c r="L125" s="50" t="s">
        <v>242</v>
      </c>
      <c r="M125" s="50" t="s">
        <v>245</v>
      </c>
      <c r="P125" s="50">
        <v>1.0</v>
      </c>
      <c r="R125" s="50" t="s">
        <v>245</v>
      </c>
    </row>
    <row r="126" ht="14.25" customHeight="1">
      <c r="A126" s="50" t="s">
        <v>2573</v>
      </c>
      <c r="B126" s="50" t="s">
        <v>2574</v>
      </c>
      <c r="C126" s="50" t="s">
        <v>2575</v>
      </c>
      <c r="D126" s="50" t="s">
        <v>2576</v>
      </c>
      <c r="E126" s="50" t="s">
        <v>417</v>
      </c>
      <c r="F126" s="50" t="s">
        <v>1974</v>
      </c>
      <c r="G126" s="50" t="s">
        <v>282</v>
      </c>
      <c r="H126" s="50" t="s">
        <v>2402</v>
      </c>
      <c r="K126" s="50" t="s">
        <v>2446</v>
      </c>
      <c r="L126" s="50" t="s">
        <v>242</v>
      </c>
      <c r="M126" s="50" t="s">
        <v>245</v>
      </c>
      <c r="P126" s="50">
        <v>1.0</v>
      </c>
      <c r="R126" s="50" t="s">
        <v>245</v>
      </c>
    </row>
    <row r="127" ht="14.25" customHeight="1">
      <c r="A127" s="50" t="s">
        <v>2577</v>
      </c>
      <c r="B127" s="50" t="s">
        <v>2578</v>
      </c>
      <c r="C127" s="50" t="s">
        <v>2579</v>
      </c>
      <c r="D127" s="50" t="s">
        <v>2580</v>
      </c>
      <c r="E127" s="50" t="s">
        <v>417</v>
      </c>
      <c r="F127" s="50" t="s">
        <v>2581</v>
      </c>
      <c r="G127" s="50" t="s">
        <v>282</v>
      </c>
      <c r="H127" s="50" t="s">
        <v>306</v>
      </c>
      <c r="K127" s="50" t="s">
        <v>2446</v>
      </c>
      <c r="L127" s="50" t="s">
        <v>242</v>
      </c>
      <c r="M127" s="50" t="s">
        <v>245</v>
      </c>
      <c r="P127" s="50">
        <v>1.0</v>
      </c>
      <c r="R127" s="50" t="s">
        <v>245</v>
      </c>
    </row>
    <row r="128" ht="14.25" customHeight="1">
      <c r="A128" s="50" t="s">
        <v>2582</v>
      </c>
      <c r="B128" s="50" t="s">
        <v>2583</v>
      </c>
      <c r="C128" s="50" t="s">
        <v>2584</v>
      </c>
      <c r="D128" s="50" t="s">
        <v>2584</v>
      </c>
      <c r="E128" s="50" t="s">
        <v>386</v>
      </c>
      <c r="F128" s="50" t="s">
        <v>1130</v>
      </c>
      <c r="G128" s="50" t="s">
        <v>282</v>
      </c>
      <c r="H128" s="50" t="s">
        <v>306</v>
      </c>
      <c r="K128" s="50" t="s">
        <v>2446</v>
      </c>
      <c r="L128" s="50" t="s">
        <v>242</v>
      </c>
      <c r="M128" s="50" t="s">
        <v>245</v>
      </c>
      <c r="P128" s="50">
        <v>1.0</v>
      </c>
      <c r="R128" s="50" t="s">
        <v>245</v>
      </c>
    </row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R$128"/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12.0"/>
    <col customWidth="1" min="3" max="3" width="18.0"/>
    <col customWidth="1" min="4" max="4" width="14.0"/>
    <col customWidth="1" min="5" max="5" width="13.0"/>
    <col customWidth="1" min="6" max="6" width="16.0"/>
    <col customWidth="1" min="7" max="7" width="21.0"/>
    <col customWidth="1" min="8" max="8" width="20.0"/>
    <col customWidth="1" min="9" max="9" width="11.0"/>
    <col customWidth="1" min="10" max="10" width="10.0"/>
    <col customWidth="1" min="11" max="11" width="40.0"/>
    <col customWidth="1" min="12" max="26" width="8.71"/>
  </cols>
  <sheetData>
    <row r="1" ht="14.25" customHeight="1">
      <c r="A1" s="37" t="s">
        <v>467</v>
      </c>
      <c r="B1" s="37" t="s">
        <v>424</v>
      </c>
      <c r="C1" s="37" t="s">
        <v>468</v>
      </c>
      <c r="D1" s="37" t="s">
        <v>469</v>
      </c>
      <c r="E1" s="37" t="s">
        <v>470</v>
      </c>
      <c r="F1" s="37" t="s">
        <v>471</v>
      </c>
      <c r="G1" s="37" t="s">
        <v>472</v>
      </c>
      <c r="H1" s="37" t="s">
        <v>473</v>
      </c>
      <c r="I1" s="37" t="s">
        <v>474</v>
      </c>
      <c r="J1" s="37" t="s">
        <v>436</v>
      </c>
      <c r="K1" s="37" t="s">
        <v>116</v>
      </c>
    </row>
    <row r="2" ht="14.25" customHeight="1">
      <c r="A2" s="41" t="s">
        <v>475</v>
      </c>
      <c r="B2" s="38" t="s">
        <v>1038</v>
      </c>
      <c r="C2" s="38" t="s">
        <v>243</v>
      </c>
      <c r="D2" s="38" t="s">
        <v>243</v>
      </c>
      <c r="E2" s="52">
        <v>1.0</v>
      </c>
      <c r="F2" s="52">
        <v>1.0</v>
      </c>
      <c r="G2" s="56"/>
      <c r="H2" s="56">
        <v>0.03</v>
      </c>
      <c r="I2" s="38" t="s">
        <v>245</v>
      </c>
      <c r="J2" s="38" t="s">
        <v>245</v>
      </c>
      <c r="K2" s="42" t="s">
        <v>2585</v>
      </c>
    </row>
    <row r="3" ht="14.25" customHeight="1">
      <c r="A3" s="44" t="s">
        <v>477</v>
      </c>
      <c r="B3" s="39" t="s">
        <v>1064</v>
      </c>
      <c r="C3" s="39" t="s">
        <v>243</v>
      </c>
      <c r="D3" s="39" t="s">
        <v>243</v>
      </c>
      <c r="E3" s="54">
        <v>1.0</v>
      </c>
      <c r="F3" s="54">
        <v>1.0</v>
      </c>
      <c r="G3" s="57"/>
      <c r="H3" s="57">
        <v>250.0</v>
      </c>
      <c r="I3" s="39" t="s">
        <v>245</v>
      </c>
      <c r="J3" s="39" t="s">
        <v>245</v>
      </c>
      <c r="K3" s="45" t="s">
        <v>2585</v>
      </c>
    </row>
    <row r="4" ht="14.25" customHeight="1">
      <c r="A4" s="41" t="s">
        <v>478</v>
      </c>
      <c r="B4" s="38" t="s">
        <v>1072</v>
      </c>
      <c r="C4" s="38" t="s">
        <v>243</v>
      </c>
      <c r="D4" s="38" t="s">
        <v>243</v>
      </c>
      <c r="E4" s="52">
        <v>1.0</v>
      </c>
      <c r="F4" s="52">
        <v>1.0</v>
      </c>
      <c r="G4" s="56"/>
      <c r="H4" s="56">
        <v>8000.0</v>
      </c>
      <c r="I4" s="38" t="s">
        <v>245</v>
      </c>
      <c r="J4" s="38" t="s">
        <v>245</v>
      </c>
      <c r="K4" s="42" t="s">
        <v>2585</v>
      </c>
    </row>
    <row r="5" ht="14.25" customHeight="1">
      <c r="A5" s="44" t="s">
        <v>479</v>
      </c>
      <c r="B5" s="39" t="s">
        <v>1081</v>
      </c>
      <c r="C5" s="39" t="s">
        <v>323</v>
      </c>
      <c r="D5" s="39" t="s">
        <v>243</v>
      </c>
      <c r="E5" s="54">
        <v>1.0</v>
      </c>
      <c r="F5" s="54">
        <v>1.0</v>
      </c>
      <c r="G5" s="57"/>
      <c r="H5" s="57">
        <v>2300.0</v>
      </c>
      <c r="I5" s="39" t="s">
        <v>245</v>
      </c>
      <c r="J5" s="39" t="s">
        <v>245</v>
      </c>
      <c r="K5" s="45" t="s">
        <v>2585</v>
      </c>
    </row>
    <row r="6" ht="14.25" customHeight="1">
      <c r="A6" s="41" t="s">
        <v>481</v>
      </c>
      <c r="B6" s="38" t="s">
        <v>1087</v>
      </c>
      <c r="C6" s="38" t="s">
        <v>323</v>
      </c>
      <c r="D6" s="38" t="s">
        <v>243</v>
      </c>
      <c r="E6" s="52">
        <v>1.0</v>
      </c>
      <c r="F6" s="52">
        <v>1.0</v>
      </c>
      <c r="G6" s="56"/>
      <c r="H6" s="56">
        <v>800.0</v>
      </c>
      <c r="I6" s="38" t="s">
        <v>245</v>
      </c>
      <c r="J6" s="38" t="s">
        <v>245</v>
      </c>
      <c r="K6" s="42" t="s">
        <v>2585</v>
      </c>
    </row>
    <row r="7" ht="14.25" customHeight="1">
      <c r="A7" s="44" t="s">
        <v>482</v>
      </c>
      <c r="B7" s="39" t="s">
        <v>1091</v>
      </c>
      <c r="C7" s="39" t="s">
        <v>323</v>
      </c>
      <c r="D7" s="39" t="s">
        <v>243</v>
      </c>
      <c r="E7" s="54">
        <v>1.0</v>
      </c>
      <c r="F7" s="54">
        <v>1.0</v>
      </c>
      <c r="G7" s="57"/>
      <c r="H7" s="57">
        <v>5500.0</v>
      </c>
      <c r="I7" s="39" t="s">
        <v>245</v>
      </c>
      <c r="J7" s="39" t="s">
        <v>245</v>
      </c>
      <c r="K7" s="45" t="s">
        <v>2585</v>
      </c>
    </row>
    <row r="8" ht="14.25" customHeight="1">
      <c r="A8" s="41" t="s">
        <v>2586</v>
      </c>
      <c r="B8" s="38" t="s">
        <v>1096</v>
      </c>
      <c r="C8" s="38" t="s">
        <v>243</v>
      </c>
      <c r="D8" s="38" t="s">
        <v>243</v>
      </c>
      <c r="E8" s="52">
        <v>1.0</v>
      </c>
      <c r="F8" s="52">
        <v>1.0</v>
      </c>
      <c r="G8" s="56"/>
      <c r="H8" s="56">
        <v>11700.0</v>
      </c>
      <c r="I8" s="38" t="s">
        <v>245</v>
      </c>
      <c r="J8" s="38" t="s">
        <v>245</v>
      </c>
      <c r="K8" s="42" t="s">
        <v>2585</v>
      </c>
    </row>
    <row r="9" ht="14.25" customHeight="1">
      <c r="A9" s="44" t="s">
        <v>2587</v>
      </c>
      <c r="B9" s="39" t="s">
        <v>1100</v>
      </c>
      <c r="C9" s="39" t="s">
        <v>323</v>
      </c>
      <c r="D9" s="39" t="s">
        <v>243</v>
      </c>
      <c r="E9" s="54">
        <v>1.0</v>
      </c>
      <c r="F9" s="54">
        <v>1.0</v>
      </c>
      <c r="G9" s="57"/>
      <c r="H9" s="57">
        <v>770.0</v>
      </c>
      <c r="I9" s="39" t="s">
        <v>245</v>
      </c>
      <c r="J9" s="39" t="s">
        <v>245</v>
      </c>
      <c r="K9" s="45" t="s">
        <v>2585</v>
      </c>
    </row>
    <row r="10" ht="14.25" customHeight="1">
      <c r="A10" s="41" t="s">
        <v>2588</v>
      </c>
      <c r="B10" s="38" t="s">
        <v>1114</v>
      </c>
      <c r="C10" s="38" t="s">
        <v>243</v>
      </c>
      <c r="D10" s="38" t="s">
        <v>243</v>
      </c>
      <c r="E10" s="52">
        <v>1.0</v>
      </c>
      <c r="F10" s="52">
        <v>1.0</v>
      </c>
      <c r="G10" s="56"/>
      <c r="H10" s="56">
        <v>350.0</v>
      </c>
      <c r="I10" s="38" t="s">
        <v>245</v>
      </c>
      <c r="J10" s="38" t="s">
        <v>245</v>
      </c>
      <c r="K10" s="42" t="s">
        <v>2585</v>
      </c>
    </row>
    <row r="11" ht="14.25" customHeight="1">
      <c r="A11" s="44" t="s">
        <v>2589</v>
      </c>
      <c r="B11" s="39" t="s">
        <v>1126</v>
      </c>
      <c r="C11" s="39" t="s">
        <v>323</v>
      </c>
      <c r="D11" s="39" t="s">
        <v>243</v>
      </c>
      <c r="E11" s="54">
        <v>1.0</v>
      </c>
      <c r="F11" s="54">
        <v>1.0</v>
      </c>
      <c r="G11" s="57"/>
      <c r="H11" s="57">
        <v>24000.0</v>
      </c>
      <c r="I11" s="39" t="s">
        <v>245</v>
      </c>
      <c r="J11" s="39" t="s">
        <v>245</v>
      </c>
      <c r="K11" s="45" t="s">
        <v>2585</v>
      </c>
    </row>
    <row r="12" ht="14.25" customHeight="1">
      <c r="A12" s="41" t="s">
        <v>2590</v>
      </c>
      <c r="B12" s="38" t="s">
        <v>1197</v>
      </c>
      <c r="C12" s="38" t="s">
        <v>243</v>
      </c>
      <c r="D12" s="38" t="s">
        <v>243</v>
      </c>
      <c r="E12" s="52">
        <v>1.0</v>
      </c>
      <c r="F12" s="52">
        <v>1.0</v>
      </c>
      <c r="G12" s="56"/>
      <c r="H12" s="56">
        <v>360.0</v>
      </c>
      <c r="I12" s="38" t="s">
        <v>245</v>
      </c>
      <c r="J12" s="38" t="s">
        <v>245</v>
      </c>
      <c r="K12" s="42" t="s">
        <v>2585</v>
      </c>
    </row>
    <row r="13" ht="14.25" customHeight="1">
      <c r="A13" s="44" t="s">
        <v>2591</v>
      </c>
      <c r="B13" s="39" t="s">
        <v>1201</v>
      </c>
      <c r="C13" s="39" t="s">
        <v>243</v>
      </c>
      <c r="D13" s="39" t="s">
        <v>243</v>
      </c>
      <c r="E13" s="54">
        <v>1.0</v>
      </c>
      <c r="F13" s="54">
        <v>1.0</v>
      </c>
      <c r="G13" s="57"/>
      <c r="H13" s="57">
        <v>1100.0</v>
      </c>
      <c r="I13" s="39" t="s">
        <v>245</v>
      </c>
      <c r="J13" s="39" t="s">
        <v>245</v>
      </c>
      <c r="K13" s="45" t="s">
        <v>2585</v>
      </c>
    </row>
    <row r="14" ht="14.25" customHeight="1">
      <c r="A14" s="41" t="s">
        <v>2592</v>
      </c>
      <c r="B14" s="38" t="s">
        <v>1205</v>
      </c>
      <c r="C14" s="38" t="s">
        <v>243</v>
      </c>
      <c r="D14" s="38" t="s">
        <v>243</v>
      </c>
      <c r="E14" s="52">
        <v>1.0</v>
      </c>
      <c r="F14" s="52">
        <v>1.0</v>
      </c>
      <c r="G14" s="56"/>
      <c r="H14" s="56">
        <v>6500.0</v>
      </c>
      <c r="I14" s="38" t="s">
        <v>245</v>
      </c>
      <c r="J14" s="38" t="s">
        <v>245</v>
      </c>
      <c r="K14" s="42" t="s">
        <v>2585</v>
      </c>
    </row>
    <row r="15" ht="14.25" customHeight="1">
      <c r="A15" s="44" t="s">
        <v>2593</v>
      </c>
      <c r="B15" s="39" t="s">
        <v>1210</v>
      </c>
      <c r="C15" s="39" t="s">
        <v>243</v>
      </c>
      <c r="D15" s="39" t="s">
        <v>243</v>
      </c>
      <c r="E15" s="54">
        <v>1.0</v>
      </c>
      <c r="F15" s="54">
        <v>1.0</v>
      </c>
      <c r="G15" s="57"/>
      <c r="H15" s="57">
        <v>260.0</v>
      </c>
      <c r="I15" s="39" t="s">
        <v>245</v>
      </c>
      <c r="J15" s="39" t="s">
        <v>245</v>
      </c>
      <c r="K15" s="45" t="s">
        <v>2585</v>
      </c>
    </row>
    <row r="16" ht="14.25" customHeight="1">
      <c r="A16" s="41" t="s">
        <v>2594</v>
      </c>
      <c r="B16" s="38" t="s">
        <v>1215</v>
      </c>
      <c r="C16" s="38" t="s">
        <v>243</v>
      </c>
      <c r="D16" s="38" t="s">
        <v>243</v>
      </c>
      <c r="E16" s="52">
        <v>1.0</v>
      </c>
      <c r="F16" s="52">
        <v>1.0</v>
      </c>
      <c r="G16" s="56"/>
      <c r="H16" s="56">
        <v>0.015</v>
      </c>
      <c r="I16" s="38" t="s">
        <v>245</v>
      </c>
      <c r="J16" s="38" t="s">
        <v>245</v>
      </c>
      <c r="K16" s="42" t="s">
        <v>2585</v>
      </c>
    </row>
    <row r="17" ht="14.25" customHeight="1">
      <c r="A17" s="44" t="s">
        <v>2595</v>
      </c>
      <c r="B17" s="39" t="s">
        <v>1220</v>
      </c>
      <c r="C17" s="39" t="s">
        <v>284</v>
      </c>
      <c r="D17" s="39" t="s">
        <v>243</v>
      </c>
      <c r="E17" s="54">
        <v>1.0</v>
      </c>
      <c r="F17" s="54">
        <v>1.0</v>
      </c>
      <c r="G17" s="57"/>
      <c r="H17" s="57">
        <v>2000.0</v>
      </c>
      <c r="I17" s="39" t="s">
        <v>245</v>
      </c>
      <c r="J17" s="39" t="s">
        <v>245</v>
      </c>
      <c r="K17" s="45" t="s">
        <v>2585</v>
      </c>
    </row>
    <row r="18" ht="14.25" customHeight="1">
      <c r="A18" s="41" t="s">
        <v>2596</v>
      </c>
      <c r="B18" s="38" t="s">
        <v>1224</v>
      </c>
      <c r="C18" s="38" t="s">
        <v>243</v>
      </c>
      <c r="D18" s="38" t="s">
        <v>243</v>
      </c>
      <c r="E18" s="52">
        <v>1.0</v>
      </c>
      <c r="F18" s="52">
        <v>1.0</v>
      </c>
      <c r="G18" s="56"/>
      <c r="H18" s="56">
        <v>850.0</v>
      </c>
      <c r="I18" s="38" t="s">
        <v>245</v>
      </c>
      <c r="J18" s="38" t="s">
        <v>245</v>
      </c>
      <c r="K18" s="42" t="s">
        <v>2585</v>
      </c>
    </row>
    <row r="19" ht="14.25" customHeight="1">
      <c r="A19" s="44" t="s">
        <v>2597</v>
      </c>
      <c r="B19" s="39" t="s">
        <v>1230</v>
      </c>
      <c r="C19" s="39" t="s">
        <v>243</v>
      </c>
      <c r="D19" s="39" t="s">
        <v>243</v>
      </c>
      <c r="E19" s="54">
        <v>1.0</v>
      </c>
      <c r="F19" s="54">
        <v>1.0</v>
      </c>
      <c r="G19" s="57"/>
      <c r="H19" s="57">
        <v>1200.0</v>
      </c>
      <c r="I19" s="39" t="s">
        <v>245</v>
      </c>
      <c r="J19" s="39" t="s">
        <v>245</v>
      </c>
      <c r="K19" s="45" t="s">
        <v>2585</v>
      </c>
    </row>
    <row r="20" ht="14.25" customHeight="1">
      <c r="A20" s="41" t="s">
        <v>2598</v>
      </c>
      <c r="B20" s="38" t="s">
        <v>1237</v>
      </c>
      <c r="C20" s="38" t="s">
        <v>243</v>
      </c>
      <c r="D20" s="38" t="s">
        <v>243</v>
      </c>
      <c r="E20" s="52">
        <v>1.0</v>
      </c>
      <c r="F20" s="52">
        <v>1.0</v>
      </c>
      <c r="G20" s="56"/>
      <c r="H20" s="56">
        <v>32000.0</v>
      </c>
      <c r="I20" s="38" t="s">
        <v>245</v>
      </c>
      <c r="J20" s="38" t="s">
        <v>245</v>
      </c>
      <c r="K20" s="42" t="s">
        <v>2585</v>
      </c>
    </row>
    <row r="21" ht="14.25" customHeight="1">
      <c r="A21" s="44" t="s">
        <v>2599</v>
      </c>
      <c r="B21" s="39" t="s">
        <v>1241</v>
      </c>
      <c r="C21" s="39" t="s">
        <v>243</v>
      </c>
      <c r="D21" s="39" t="s">
        <v>243</v>
      </c>
      <c r="E21" s="54">
        <v>1.0</v>
      </c>
      <c r="F21" s="54">
        <v>1.0</v>
      </c>
      <c r="G21" s="57"/>
      <c r="H21" s="57">
        <v>5000.0</v>
      </c>
      <c r="I21" s="39" t="s">
        <v>245</v>
      </c>
      <c r="J21" s="39" t="s">
        <v>245</v>
      </c>
      <c r="K21" s="45" t="s">
        <v>2585</v>
      </c>
    </row>
    <row r="22" ht="14.25" customHeight="1">
      <c r="A22" s="41" t="s">
        <v>2600</v>
      </c>
      <c r="B22" s="38" t="s">
        <v>1245</v>
      </c>
      <c r="C22" s="38" t="s">
        <v>284</v>
      </c>
      <c r="D22" s="38" t="s">
        <v>243</v>
      </c>
      <c r="E22" s="52">
        <v>1.0</v>
      </c>
      <c r="F22" s="52">
        <v>1.0</v>
      </c>
      <c r="G22" s="56"/>
      <c r="H22" s="56">
        <v>1100.0</v>
      </c>
      <c r="I22" s="38" t="s">
        <v>245</v>
      </c>
      <c r="J22" s="38" t="s">
        <v>245</v>
      </c>
      <c r="K22" s="42" t="s">
        <v>2585</v>
      </c>
    </row>
    <row r="23" ht="14.25" customHeight="1">
      <c r="A23" s="44" t="s">
        <v>2601</v>
      </c>
      <c r="B23" s="39" t="s">
        <v>1248</v>
      </c>
      <c r="C23" s="39" t="s">
        <v>243</v>
      </c>
      <c r="D23" s="39" t="s">
        <v>243</v>
      </c>
      <c r="E23" s="54">
        <v>1.0</v>
      </c>
      <c r="F23" s="54">
        <v>1.0</v>
      </c>
      <c r="G23" s="57"/>
      <c r="H23" s="57">
        <v>800.0</v>
      </c>
      <c r="I23" s="39" t="s">
        <v>245</v>
      </c>
      <c r="J23" s="39" t="s">
        <v>245</v>
      </c>
      <c r="K23" s="45" t="s">
        <v>2585</v>
      </c>
    </row>
    <row r="24" ht="14.25" customHeight="1">
      <c r="A24" s="41" t="s">
        <v>2602</v>
      </c>
      <c r="B24" s="38" t="s">
        <v>1253</v>
      </c>
      <c r="C24" s="38" t="s">
        <v>243</v>
      </c>
      <c r="D24" s="38" t="s">
        <v>243</v>
      </c>
      <c r="E24" s="52">
        <v>1.0</v>
      </c>
      <c r="F24" s="52">
        <v>1.0</v>
      </c>
      <c r="G24" s="56"/>
      <c r="H24" s="56">
        <v>1200.0</v>
      </c>
      <c r="I24" s="38" t="s">
        <v>245</v>
      </c>
      <c r="J24" s="38" t="s">
        <v>245</v>
      </c>
      <c r="K24" s="42" t="s">
        <v>2585</v>
      </c>
    </row>
    <row r="25" ht="14.25" customHeight="1">
      <c r="A25" s="44" t="s">
        <v>2603</v>
      </c>
      <c r="B25" s="39" t="s">
        <v>1258</v>
      </c>
      <c r="C25" s="39" t="s">
        <v>243</v>
      </c>
      <c r="D25" s="39" t="s">
        <v>243</v>
      </c>
      <c r="E25" s="54">
        <v>1.0</v>
      </c>
      <c r="F25" s="54">
        <v>1.0</v>
      </c>
      <c r="G25" s="57"/>
      <c r="H25" s="57">
        <v>3500.0</v>
      </c>
      <c r="I25" s="39" t="s">
        <v>245</v>
      </c>
      <c r="J25" s="39" t="s">
        <v>245</v>
      </c>
      <c r="K25" s="45" t="s">
        <v>2585</v>
      </c>
    </row>
    <row r="26" ht="14.25" customHeight="1">
      <c r="A26" s="41" t="s">
        <v>2604</v>
      </c>
      <c r="B26" s="38" t="s">
        <v>1263</v>
      </c>
      <c r="C26" s="38" t="s">
        <v>243</v>
      </c>
      <c r="D26" s="38" t="s">
        <v>243</v>
      </c>
      <c r="E26" s="52">
        <v>1.0</v>
      </c>
      <c r="F26" s="52">
        <v>1.0</v>
      </c>
      <c r="G26" s="56"/>
      <c r="H26" s="56">
        <v>1800.0</v>
      </c>
      <c r="I26" s="38" t="s">
        <v>245</v>
      </c>
      <c r="J26" s="38" t="s">
        <v>245</v>
      </c>
      <c r="K26" s="42" t="s">
        <v>2585</v>
      </c>
    </row>
    <row r="27" ht="14.25" customHeight="1">
      <c r="A27" s="44" t="s">
        <v>2605</v>
      </c>
      <c r="B27" s="39" t="s">
        <v>1269</v>
      </c>
      <c r="C27" s="39" t="s">
        <v>243</v>
      </c>
      <c r="D27" s="39" t="s">
        <v>243</v>
      </c>
      <c r="E27" s="54">
        <v>1.0</v>
      </c>
      <c r="F27" s="54">
        <v>1.0</v>
      </c>
      <c r="G27" s="57"/>
      <c r="H27" s="57">
        <v>950.0</v>
      </c>
      <c r="I27" s="39" t="s">
        <v>245</v>
      </c>
      <c r="J27" s="39" t="s">
        <v>245</v>
      </c>
      <c r="K27" s="45" t="s">
        <v>2585</v>
      </c>
    </row>
    <row r="28" ht="14.25" customHeight="1">
      <c r="A28" s="41" t="s">
        <v>2606</v>
      </c>
      <c r="B28" s="38" t="s">
        <v>1275</v>
      </c>
      <c r="C28" s="38" t="s">
        <v>243</v>
      </c>
      <c r="D28" s="38" t="s">
        <v>243</v>
      </c>
      <c r="E28" s="52">
        <v>1.0</v>
      </c>
      <c r="F28" s="52">
        <v>1.0</v>
      </c>
      <c r="G28" s="56"/>
      <c r="H28" s="56">
        <v>40.0</v>
      </c>
      <c r="I28" s="38" t="s">
        <v>245</v>
      </c>
      <c r="J28" s="38" t="s">
        <v>245</v>
      </c>
      <c r="K28" s="42" t="s">
        <v>2585</v>
      </c>
    </row>
    <row r="29" ht="14.25" customHeight="1">
      <c r="A29" s="44" t="s">
        <v>2607</v>
      </c>
      <c r="B29" s="39" t="s">
        <v>1349</v>
      </c>
      <c r="C29" s="39" t="s">
        <v>243</v>
      </c>
      <c r="D29" s="39" t="s">
        <v>243</v>
      </c>
      <c r="E29" s="54">
        <v>1.0</v>
      </c>
      <c r="F29" s="54">
        <v>1.0</v>
      </c>
      <c r="G29" s="57"/>
      <c r="H29" s="57">
        <v>60.0</v>
      </c>
      <c r="I29" s="39" t="s">
        <v>245</v>
      </c>
      <c r="J29" s="39" t="s">
        <v>245</v>
      </c>
      <c r="K29" s="45" t="s">
        <v>2585</v>
      </c>
    </row>
    <row r="30" ht="14.25" customHeight="1">
      <c r="A30" s="41" t="s">
        <v>2608</v>
      </c>
      <c r="B30" s="38" t="s">
        <v>1358</v>
      </c>
      <c r="C30" s="38" t="s">
        <v>243</v>
      </c>
      <c r="D30" s="38" t="s">
        <v>243</v>
      </c>
      <c r="E30" s="52">
        <v>1.0</v>
      </c>
      <c r="F30" s="52">
        <v>1.0</v>
      </c>
      <c r="G30" s="56"/>
      <c r="H30" s="56">
        <v>3900.0</v>
      </c>
      <c r="I30" s="38" t="s">
        <v>245</v>
      </c>
      <c r="J30" s="38" t="s">
        <v>245</v>
      </c>
      <c r="K30" s="42" t="s">
        <v>2585</v>
      </c>
    </row>
    <row r="31" ht="14.25" customHeight="1">
      <c r="A31" s="44" t="s">
        <v>2609</v>
      </c>
      <c r="B31" s="39" t="s">
        <v>1361</v>
      </c>
      <c r="C31" s="39" t="s">
        <v>243</v>
      </c>
      <c r="D31" s="39" t="s">
        <v>243</v>
      </c>
      <c r="E31" s="54">
        <v>1.0</v>
      </c>
      <c r="F31" s="54">
        <v>1.0</v>
      </c>
      <c r="G31" s="57"/>
      <c r="H31" s="57">
        <v>950.0</v>
      </c>
      <c r="I31" s="39" t="s">
        <v>245</v>
      </c>
      <c r="J31" s="39" t="s">
        <v>245</v>
      </c>
      <c r="K31" s="45" t="s">
        <v>2585</v>
      </c>
    </row>
    <row r="32" ht="14.25" customHeight="1">
      <c r="A32" s="41" t="s">
        <v>2610</v>
      </c>
      <c r="B32" s="38" t="s">
        <v>1364</v>
      </c>
      <c r="C32" s="38" t="s">
        <v>243</v>
      </c>
      <c r="D32" s="38" t="s">
        <v>243</v>
      </c>
      <c r="E32" s="52">
        <v>1.0</v>
      </c>
      <c r="F32" s="52">
        <v>1.0</v>
      </c>
      <c r="G32" s="56"/>
      <c r="H32" s="56">
        <v>650.0</v>
      </c>
      <c r="I32" s="38" t="s">
        <v>245</v>
      </c>
      <c r="J32" s="38" t="s">
        <v>245</v>
      </c>
      <c r="K32" s="42" t="s">
        <v>2585</v>
      </c>
    </row>
    <row r="33" ht="14.25" customHeight="1">
      <c r="A33" s="44" t="s">
        <v>2611</v>
      </c>
      <c r="B33" s="39" t="s">
        <v>1370</v>
      </c>
      <c r="C33" s="39" t="s">
        <v>243</v>
      </c>
      <c r="D33" s="39" t="s">
        <v>243</v>
      </c>
      <c r="E33" s="54">
        <v>1.0</v>
      </c>
      <c r="F33" s="54">
        <v>1.0</v>
      </c>
      <c r="G33" s="57"/>
      <c r="H33" s="57">
        <v>1500.0</v>
      </c>
      <c r="I33" s="39" t="s">
        <v>245</v>
      </c>
      <c r="J33" s="39" t="s">
        <v>245</v>
      </c>
      <c r="K33" s="45" t="s">
        <v>2585</v>
      </c>
    </row>
    <row r="34" ht="14.25" customHeight="1">
      <c r="A34" s="41" t="s">
        <v>2612</v>
      </c>
      <c r="B34" s="38" t="s">
        <v>1432</v>
      </c>
      <c r="C34" s="38" t="s">
        <v>243</v>
      </c>
      <c r="D34" s="38" t="s">
        <v>243</v>
      </c>
      <c r="E34" s="52">
        <v>1.0</v>
      </c>
      <c r="F34" s="52">
        <v>1.0</v>
      </c>
      <c r="G34" s="56"/>
      <c r="H34" s="56">
        <v>3600.0</v>
      </c>
      <c r="I34" s="38" t="s">
        <v>245</v>
      </c>
      <c r="J34" s="38" t="s">
        <v>245</v>
      </c>
      <c r="K34" s="42" t="s">
        <v>2585</v>
      </c>
    </row>
    <row r="35" ht="14.25" customHeight="1">
      <c r="A35" s="44" t="s">
        <v>2613</v>
      </c>
      <c r="B35" s="39" t="s">
        <v>1437</v>
      </c>
      <c r="C35" s="39" t="s">
        <v>243</v>
      </c>
      <c r="D35" s="39" t="s">
        <v>243</v>
      </c>
      <c r="E35" s="54">
        <v>1.0</v>
      </c>
      <c r="F35" s="54">
        <v>1.0</v>
      </c>
      <c r="G35" s="57"/>
      <c r="H35" s="57">
        <v>0.056</v>
      </c>
      <c r="I35" s="39" t="s">
        <v>245</v>
      </c>
      <c r="J35" s="39" t="s">
        <v>245</v>
      </c>
      <c r="K35" s="45" t="s">
        <v>2585</v>
      </c>
    </row>
    <row r="36" ht="14.25" customHeight="1">
      <c r="A36" s="41" t="s">
        <v>2614</v>
      </c>
      <c r="B36" s="38" t="s">
        <v>1447</v>
      </c>
      <c r="C36" s="38" t="s">
        <v>243</v>
      </c>
      <c r="D36" s="38" t="s">
        <v>243</v>
      </c>
      <c r="E36" s="52">
        <v>1.0</v>
      </c>
      <c r="F36" s="52">
        <v>1.0</v>
      </c>
      <c r="G36" s="56"/>
      <c r="H36" s="56">
        <v>17900.0</v>
      </c>
      <c r="I36" s="38" t="s">
        <v>245</v>
      </c>
      <c r="J36" s="38" t="s">
        <v>245</v>
      </c>
      <c r="K36" s="42" t="s">
        <v>2585</v>
      </c>
    </row>
    <row r="37" ht="14.25" customHeight="1">
      <c r="A37" s="44" t="s">
        <v>2615</v>
      </c>
      <c r="B37" s="39" t="s">
        <v>1451</v>
      </c>
      <c r="C37" s="39" t="s">
        <v>243</v>
      </c>
      <c r="D37" s="39" t="s">
        <v>243</v>
      </c>
      <c r="E37" s="54">
        <v>1.0</v>
      </c>
      <c r="F37" s="54">
        <v>1.0</v>
      </c>
      <c r="G37" s="57"/>
      <c r="H37" s="57">
        <v>9500.0</v>
      </c>
      <c r="I37" s="39" t="s">
        <v>245</v>
      </c>
      <c r="J37" s="39" t="s">
        <v>245</v>
      </c>
      <c r="K37" s="45" t="s">
        <v>2585</v>
      </c>
    </row>
    <row r="38" ht="14.25" customHeight="1">
      <c r="A38" s="41" t="s">
        <v>2616</v>
      </c>
      <c r="B38" s="38" t="s">
        <v>1454</v>
      </c>
      <c r="C38" s="38" t="s">
        <v>243</v>
      </c>
      <c r="D38" s="38" t="s">
        <v>243</v>
      </c>
      <c r="E38" s="52">
        <v>1.0</v>
      </c>
      <c r="F38" s="52">
        <v>1.0</v>
      </c>
      <c r="G38" s="56"/>
      <c r="H38" s="56">
        <v>9900.0</v>
      </c>
      <c r="I38" s="38" t="s">
        <v>245</v>
      </c>
      <c r="J38" s="38" t="s">
        <v>245</v>
      </c>
      <c r="K38" s="42" t="s">
        <v>2585</v>
      </c>
    </row>
    <row r="39" ht="14.25" customHeight="1">
      <c r="A39" s="44" t="s">
        <v>2617</v>
      </c>
      <c r="B39" s="39" t="s">
        <v>1462</v>
      </c>
      <c r="C39" s="39" t="s">
        <v>243</v>
      </c>
      <c r="D39" s="39" t="s">
        <v>243</v>
      </c>
      <c r="E39" s="54">
        <v>1.0</v>
      </c>
      <c r="F39" s="54">
        <v>1.0</v>
      </c>
      <c r="G39" s="57"/>
      <c r="H39" s="57">
        <v>850.0</v>
      </c>
      <c r="I39" s="39" t="s">
        <v>245</v>
      </c>
      <c r="J39" s="39" t="s">
        <v>245</v>
      </c>
      <c r="K39" s="45" t="s">
        <v>2585</v>
      </c>
    </row>
    <row r="40" ht="14.25" customHeight="1">
      <c r="A40" s="41" t="s">
        <v>2618</v>
      </c>
      <c r="B40" s="38" t="s">
        <v>1465</v>
      </c>
      <c r="C40" s="38" t="s">
        <v>243</v>
      </c>
      <c r="D40" s="38" t="s">
        <v>243</v>
      </c>
      <c r="E40" s="52">
        <v>1.0</v>
      </c>
      <c r="F40" s="52">
        <v>1.0</v>
      </c>
      <c r="G40" s="56"/>
      <c r="H40" s="56">
        <v>850.0</v>
      </c>
      <c r="I40" s="38" t="s">
        <v>245</v>
      </c>
      <c r="J40" s="38" t="s">
        <v>245</v>
      </c>
      <c r="K40" s="42" t="s">
        <v>2585</v>
      </c>
    </row>
    <row r="41" ht="14.25" customHeight="1">
      <c r="A41" s="44" t="s">
        <v>2619</v>
      </c>
      <c r="B41" s="39" t="s">
        <v>1518</v>
      </c>
      <c r="C41" s="39" t="s">
        <v>243</v>
      </c>
      <c r="D41" s="39" t="s">
        <v>243</v>
      </c>
      <c r="E41" s="54">
        <v>1.0</v>
      </c>
      <c r="F41" s="54">
        <v>1.0</v>
      </c>
      <c r="G41" s="57"/>
      <c r="H41" s="57">
        <v>36000.0</v>
      </c>
      <c r="I41" s="39" t="s">
        <v>245</v>
      </c>
      <c r="J41" s="39" t="s">
        <v>245</v>
      </c>
      <c r="K41" s="45" t="s">
        <v>2585</v>
      </c>
    </row>
    <row r="42" ht="14.25" customHeight="1">
      <c r="A42" s="41" t="s">
        <v>2620</v>
      </c>
      <c r="B42" s="38" t="s">
        <v>1523</v>
      </c>
      <c r="C42" s="38" t="s">
        <v>243</v>
      </c>
      <c r="D42" s="38" t="s">
        <v>243</v>
      </c>
      <c r="E42" s="52">
        <v>1.0</v>
      </c>
      <c r="F42" s="52">
        <v>1.0</v>
      </c>
      <c r="G42" s="56"/>
      <c r="H42" s="56">
        <v>50.0</v>
      </c>
      <c r="I42" s="38" t="s">
        <v>245</v>
      </c>
      <c r="J42" s="38" t="s">
        <v>245</v>
      </c>
      <c r="K42" s="42" t="s">
        <v>2585</v>
      </c>
    </row>
    <row r="43" ht="14.25" customHeight="1">
      <c r="A43" s="44" t="s">
        <v>2621</v>
      </c>
      <c r="B43" s="39" t="s">
        <v>1533</v>
      </c>
      <c r="C43" s="39" t="s">
        <v>284</v>
      </c>
      <c r="D43" s="39" t="s">
        <v>243</v>
      </c>
      <c r="E43" s="54">
        <v>1.0</v>
      </c>
      <c r="F43" s="54">
        <v>1.0</v>
      </c>
      <c r="G43" s="57"/>
      <c r="H43" s="57">
        <v>300.0</v>
      </c>
      <c r="I43" s="39" t="s">
        <v>245</v>
      </c>
      <c r="J43" s="39" t="s">
        <v>245</v>
      </c>
      <c r="K43" s="45" t="s">
        <v>2585</v>
      </c>
    </row>
    <row r="44" ht="14.25" customHeight="1">
      <c r="A44" s="41" t="s">
        <v>2622</v>
      </c>
      <c r="B44" s="38" t="s">
        <v>1589</v>
      </c>
      <c r="C44" s="38" t="s">
        <v>243</v>
      </c>
      <c r="D44" s="38" t="s">
        <v>243</v>
      </c>
      <c r="E44" s="52">
        <v>1.0</v>
      </c>
      <c r="F44" s="52">
        <v>1.0</v>
      </c>
      <c r="G44" s="56"/>
      <c r="H44" s="56">
        <v>500.0</v>
      </c>
      <c r="I44" s="38" t="s">
        <v>245</v>
      </c>
      <c r="J44" s="38" t="s">
        <v>245</v>
      </c>
      <c r="K44" s="42" t="s">
        <v>2585</v>
      </c>
    </row>
    <row r="45" ht="14.25" customHeight="1">
      <c r="A45" s="44" t="s">
        <v>2623</v>
      </c>
      <c r="B45" s="39" t="s">
        <v>1592</v>
      </c>
      <c r="C45" s="39" t="s">
        <v>243</v>
      </c>
      <c r="D45" s="39" t="s">
        <v>243</v>
      </c>
      <c r="E45" s="54">
        <v>1.0</v>
      </c>
      <c r="F45" s="54">
        <v>1.0</v>
      </c>
      <c r="G45" s="57"/>
      <c r="H45" s="57">
        <v>400.0</v>
      </c>
      <c r="I45" s="39" t="s">
        <v>245</v>
      </c>
      <c r="J45" s="39" t="s">
        <v>245</v>
      </c>
      <c r="K45" s="45" t="s">
        <v>2585</v>
      </c>
    </row>
    <row r="46" ht="14.25" customHeight="1">
      <c r="A46" s="41" t="s">
        <v>2624</v>
      </c>
      <c r="B46" s="38" t="s">
        <v>1595</v>
      </c>
      <c r="C46" s="38" t="s">
        <v>243</v>
      </c>
      <c r="D46" s="38" t="s">
        <v>243</v>
      </c>
      <c r="E46" s="52">
        <v>1.0</v>
      </c>
      <c r="F46" s="52">
        <v>1.0</v>
      </c>
      <c r="G46" s="56"/>
      <c r="H46" s="56">
        <v>1100.0</v>
      </c>
      <c r="I46" s="38" t="s">
        <v>245</v>
      </c>
      <c r="J46" s="38" t="s">
        <v>245</v>
      </c>
      <c r="K46" s="42" t="s">
        <v>2585</v>
      </c>
    </row>
    <row r="47" ht="14.25" customHeight="1">
      <c r="A47" s="44" t="s">
        <v>2625</v>
      </c>
      <c r="B47" s="39" t="s">
        <v>1599</v>
      </c>
      <c r="C47" s="39" t="s">
        <v>243</v>
      </c>
      <c r="D47" s="39" t="s">
        <v>243</v>
      </c>
      <c r="E47" s="54">
        <v>1.0</v>
      </c>
      <c r="F47" s="54">
        <v>1.0</v>
      </c>
      <c r="G47" s="57"/>
      <c r="H47" s="57">
        <v>30000.0</v>
      </c>
      <c r="I47" s="39" t="s">
        <v>245</v>
      </c>
      <c r="J47" s="39" t="s">
        <v>245</v>
      </c>
      <c r="K47" s="45" t="s">
        <v>2585</v>
      </c>
    </row>
    <row r="48" ht="14.25" customHeight="1">
      <c r="A48" s="41" t="s">
        <v>2626</v>
      </c>
      <c r="B48" s="38" t="s">
        <v>1603</v>
      </c>
      <c r="C48" s="38" t="s">
        <v>243</v>
      </c>
      <c r="D48" s="38" t="s">
        <v>243</v>
      </c>
      <c r="E48" s="52">
        <v>1.0</v>
      </c>
      <c r="F48" s="52">
        <v>1.0</v>
      </c>
      <c r="G48" s="56"/>
      <c r="H48" s="56">
        <v>3500.0</v>
      </c>
      <c r="I48" s="38" t="s">
        <v>245</v>
      </c>
      <c r="J48" s="38" t="s">
        <v>245</v>
      </c>
      <c r="K48" s="42" t="s">
        <v>2585</v>
      </c>
    </row>
    <row r="49" ht="14.25" customHeight="1">
      <c r="A49" s="44" t="s">
        <v>2627</v>
      </c>
      <c r="B49" s="39" t="s">
        <v>1606</v>
      </c>
      <c r="C49" s="39" t="s">
        <v>243</v>
      </c>
      <c r="D49" s="39" t="s">
        <v>243</v>
      </c>
      <c r="E49" s="54">
        <v>1.0</v>
      </c>
      <c r="F49" s="54">
        <v>1.0</v>
      </c>
      <c r="G49" s="57"/>
      <c r="H49" s="57">
        <v>15000.0</v>
      </c>
      <c r="I49" s="39" t="s">
        <v>245</v>
      </c>
      <c r="J49" s="39" t="s">
        <v>245</v>
      </c>
      <c r="K49" s="45" t="s">
        <v>2585</v>
      </c>
    </row>
    <row r="50" ht="14.25" customHeight="1">
      <c r="A50" s="41" t="s">
        <v>2628</v>
      </c>
      <c r="B50" s="38" t="s">
        <v>1609</v>
      </c>
      <c r="C50" s="38" t="s">
        <v>243</v>
      </c>
      <c r="D50" s="38" t="s">
        <v>243</v>
      </c>
      <c r="E50" s="52">
        <v>1.0</v>
      </c>
      <c r="F50" s="52">
        <v>1.0</v>
      </c>
      <c r="G50" s="56"/>
      <c r="H50" s="56">
        <v>1500.0</v>
      </c>
      <c r="I50" s="38" t="s">
        <v>245</v>
      </c>
      <c r="J50" s="38" t="s">
        <v>245</v>
      </c>
      <c r="K50" s="42" t="s">
        <v>2585</v>
      </c>
    </row>
    <row r="51" ht="14.25" customHeight="1">
      <c r="A51" s="44" t="s">
        <v>2629</v>
      </c>
      <c r="B51" s="39" t="s">
        <v>1612</v>
      </c>
      <c r="C51" s="39" t="s">
        <v>243</v>
      </c>
      <c r="D51" s="39" t="s">
        <v>243</v>
      </c>
      <c r="E51" s="54">
        <v>1.0</v>
      </c>
      <c r="F51" s="54">
        <v>1.0</v>
      </c>
      <c r="G51" s="57"/>
      <c r="H51" s="57">
        <v>1100.0</v>
      </c>
      <c r="I51" s="39" t="s">
        <v>245</v>
      </c>
      <c r="J51" s="39" t="s">
        <v>245</v>
      </c>
      <c r="K51" s="45" t="s">
        <v>2585</v>
      </c>
    </row>
    <row r="52" ht="14.25" customHeight="1">
      <c r="A52" s="41" t="s">
        <v>2630</v>
      </c>
      <c r="B52" s="38" t="s">
        <v>1616</v>
      </c>
      <c r="C52" s="38" t="s">
        <v>243</v>
      </c>
      <c r="D52" s="38" t="s">
        <v>243</v>
      </c>
      <c r="E52" s="52">
        <v>1.0</v>
      </c>
      <c r="F52" s="52">
        <v>1.0</v>
      </c>
      <c r="G52" s="56"/>
      <c r="H52" s="56">
        <v>3000.0</v>
      </c>
      <c r="I52" s="38" t="s">
        <v>245</v>
      </c>
      <c r="J52" s="38" t="s">
        <v>245</v>
      </c>
      <c r="K52" s="42" t="s">
        <v>2585</v>
      </c>
    </row>
    <row r="53" ht="14.25" customHeight="1">
      <c r="A53" s="44" t="s">
        <v>2631</v>
      </c>
      <c r="B53" s="39" t="s">
        <v>1619</v>
      </c>
      <c r="C53" s="39" t="s">
        <v>243</v>
      </c>
      <c r="D53" s="39" t="s">
        <v>243</v>
      </c>
      <c r="E53" s="54">
        <v>1.0</v>
      </c>
      <c r="F53" s="54">
        <v>1.0</v>
      </c>
      <c r="G53" s="57"/>
      <c r="H53" s="57">
        <v>1500.0</v>
      </c>
      <c r="I53" s="39" t="s">
        <v>245</v>
      </c>
      <c r="J53" s="39" t="s">
        <v>245</v>
      </c>
      <c r="K53" s="45" t="s">
        <v>2585</v>
      </c>
    </row>
    <row r="54" ht="14.25" customHeight="1">
      <c r="A54" s="41" t="s">
        <v>2632</v>
      </c>
      <c r="B54" s="38" t="s">
        <v>1623</v>
      </c>
      <c r="C54" s="38" t="s">
        <v>243</v>
      </c>
      <c r="D54" s="38" t="s">
        <v>243</v>
      </c>
      <c r="E54" s="52">
        <v>1.0</v>
      </c>
      <c r="F54" s="52">
        <v>1.0</v>
      </c>
      <c r="G54" s="56"/>
      <c r="H54" s="56">
        <v>2200.0</v>
      </c>
      <c r="I54" s="38" t="s">
        <v>245</v>
      </c>
      <c r="J54" s="38" t="s">
        <v>245</v>
      </c>
      <c r="K54" s="42" t="s">
        <v>2585</v>
      </c>
    </row>
    <row r="55" ht="14.25" customHeight="1">
      <c r="A55" s="44" t="s">
        <v>2633</v>
      </c>
      <c r="B55" s="39" t="s">
        <v>1626</v>
      </c>
      <c r="C55" s="39" t="s">
        <v>243</v>
      </c>
      <c r="D55" s="39" t="s">
        <v>243</v>
      </c>
      <c r="E55" s="54">
        <v>1.0</v>
      </c>
      <c r="F55" s="54">
        <v>1.0</v>
      </c>
      <c r="G55" s="57"/>
      <c r="H55" s="57">
        <v>650.0</v>
      </c>
      <c r="I55" s="39" t="s">
        <v>245</v>
      </c>
      <c r="J55" s="39" t="s">
        <v>245</v>
      </c>
      <c r="K55" s="45" t="s">
        <v>2585</v>
      </c>
    </row>
    <row r="56" ht="14.25" customHeight="1">
      <c r="A56" s="41" t="s">
        <v>2634</v>
      </c>
      <c r="B56" s="38" t="s">
        <v>1630</v>
      </c>
      <c r="C56" s="38" t="s">
        <v>243</v>
      </c>
      <c r="D56" s="38" t="s">
        <v>243</v>
      </c>
      <c r="E56" s="52">
        <v>1.0</v>
      </c>
      <c r="F56" s="52">
        <v>1.0</v>
      </c>
      <c r="G56" s="56"/>
      <c r="H56" s="56">
        <v>6500.0</v>
      </c>
      <c r="I56" s="38" t="s">
        <v>245</v>
      </c>
      <c r="J56" s="38" t="s">
        <v>245</v>
      </c>
      <c r="K56" s="42" t="s">
        <v>2585</v>
      </c>
    </row>
    <row r="57" ht="14.25" customHeight="1">
      <c r="A57" s="44" t="s">
        <v>2635</v>
      </c>
      <c r="B57" s="39" t="s">
        <v>1634</v>
      </c>
      <c r="C57" s="39" t="s">
        <v>243</v>
      </c>
      <c r="D57" s="39" t="s">
        <v>243</v>
      </c>
      <c r="E57" s="54">
        <v>1.0</v>
      </c>
      <c r="F57" s="54">
        <v>1.0</v>
      </c>
      <c r="G57" s="57"/>
      <c r="H57" s="57">
        <v>3800.0</v>
      </c>
      <c r="I57" s="39" t="s">
        <v>245</v>
      </c>
      <c r="J57" s="39" t="s">
        <v>245</v>
      </c>
      <c r="K57" s="45" t="s">
        <v>2585</v>
      </c>
    </row>
    <row r="58" ht="14.25" customHeight="1">
      <c r="A58" s="41" t="s">
        <v>2636</v>
      </c>
      <c r="B58" s="38" t="s">
        <v>1638</v>
      </c>
      <c r="C58" s="38" t="s">
        <v>243</v>
      </c>
      <c r="D58" s="38" t="s">
        <v>243</v>
      </c>
      <c r="E58" s="52">
        <v>1.0</v>
      </c>
      <c r="F58" s="52">
        <v>1.0</v>
      </c>
      <c r="G58" s="56"/>
      <c r="H58" s="56">
        <v>20000.0</v>
      </c>
      <c r="I58" s="38" t="s">
        <v>245</v>
      </c>
      <c r="J58" s="38" t="s">
        <v>245</v>
      </c>
      <c r="K58" s="42" t="s">
        <v>2585</v>
      </c>
    </row>
    <row r="59" ht="14.25" customHeight="1">
      <c r="A59" s="44" t="s">
        <v>2637</v>
      </c>
      <c r="B59" s="39" t="s">
        <v>1642</v>
      </c>
      <c r="C59" s="39" t="s">
        <v>243</v>
      </c>
      <c r="D59" s="39" t="s">
        <v>243</v>
      </c>
      <c r="E59" s="54">
        <v>1.0</v>
      </c>
      <c r="F59" s="54">
        <v>1.0</v>
      </c>
      <c r="G59" s="57"/>
      <c r="H59" s="57">
        <v>450.0</v>
      </c>
      <c r="I59" s="39" t="s">
        <v>245</v>
      </c>
      <c r="J59" s="39" t="s">
        <v>245</v>
      </c>
      <c r="K59" s="45" t="s">
        <v>2585</v>
      </c>
    </row>
    <row r="60" ht="14.25" customHeight="1">
      <c r="A60" s="41" t="s">
        <v>2638</v>
      </c>
      <c r="B60" s="38" t="s">
        <v>1645</v>
      </c>
      <c r="C60" s="38" t="s">
        <v>243</v>
      </c>
      <c r="D60" s="38" t="s">
        <v>243</v>
      </c>
      <c r="E60" s="52">
        <v>1.0</v>
      </c>
      <c r="F60" s="52">
        <v>1.0</v>
      </c>
      <c r="G60" s="56"/>
      <c r="H60" s="56">
        <v>3800.0</v>
      </c>
      <c r="I60" s="38" t="s">
        <v>245</v>
      </c>
      <c r="J60" s="38" t="s">
        <v>245</v>
      </c>
      <c r="K60" s="42" t="s">
        <v>2585</v>
      </c>
    </row>
    <row r="61" ht="14.25" customHeight="1">
      <c r="A61" s="44" t="s">
        <v>2639</v>
      </c>
      <c r="B61" s="39" t="s">
        <v>1649</v>
      </c>
      <c r="C61" s="39" t="s">
        <v>243</v>
      </c>
      <c r="D61" s="39" t="s">
        <v>243</v>
      </c>
      <c r="E61" s="54">
        <v>1.0</v>
      </c>
      <c r="F61" s="54">
        <v>1.0</v>
      </c>
      <c r="G61" s="57"/>
      <c r="H61" s="57">
        <v>1350.0</v>
      </c>
      <c r="I61" s="39" t="s">
        <v>245</v>
      </c>
      <c r="J61" s="39" t="s">
        <v>245</v>
      </c>
      <c r="K61" s="45" t="s">
        <v>2585</v>
      </c>
    </row>
    <row r="62" ht="14.25" customHeight="1">
      <c r="A62" s="41" t="s">
        <v>2640</v>
      </c>
      <c r="B62" s="38" t="s">
        <v>1652</v>
      </c>
      <c r="C62" s="38" t="s">
        <v>243</v>
      </c>
      <c r="D62" s="38" t="s">
        <v>243</v>
      </c>
      <c r="E62" s="52">
        <v>1.0</v>
      </c>
      <c r="F62" s="52">
        <v>1.0</v>
      </c>
      <c r="G62" s="56"/>
      <c r="H62" s="56">
        <v>2200.0</v>
      </c>
      <c r="I62" s="38" t="s">
        <v>245</v>
      </c>
      <c r="J62" s="38" t="s">
        <v>245</v>
      </c>
      <c r="K62" s="42" t="s">
        <v>2585</v>
      </c>
    </row>
    <row r="63" ht="14.25" customHeight="1">
      <c r="A63" s="44" t="s">
        <v>2641</v>
      </c>
      <c r="B63" s="39" t="s">
        <v>1655</v>
      </c>
      <c r="C63" s="39" t="s">
        <v>243</v>
      </c>
      <c r="D63" s="39" t="s">
        <v>243</v>
      </c>
      <c r="E63" s="54">
        <v>1.0</v>
      </c>
      <c r="F63" s="54">
        <v>1.0</v>
      </c>
      <c r="G63" s="57"/>
      <c r="H63" s="57">
        <v>1200.0</v>
      </c>
      <c r="I63" s="39" t="s">
        <v>245</v>
      </c>
      <c r="J63" s="39" t="s">
        <v>245</v>
      </c>
      <c r="K63" s="45" t="s">
        <v>2585</v>
      </c>
    </row>
    <row r="64" ht="14.25" customHeight="1">
      <c r="A64" s="41" t="s">
        <v>2642</v>
      </c>
      <c r="B64" s="38" t="s">
        <v>1658</v>
      </c>
      <c r="C64" s="38" t="s">
        <v>243</v>
      </c>
      <c r="D64" s="38" t="s">
        <v>243</v>
      </c>
      <c r="E64" s="52">
        <v>1.0</v>
      </c>
      <c r="F64" s="52">
        <v>1.0</v>
      </c>
      <c r="G64" s="56"/>
      <c r="H64" s="56">
        <v>1100.0</v>
      </c>
      <c r="I64" s="38" t="s">
        <v>245</v>
      </c>
      <c r="J64" s="38" t="s">
        <v>245</v>
      </c>
      <c r="K64" s="42" t="s">
        <v>2585</v>
      </c>
    </row>
    <row r="65" ht="14.25" customHeight="1">
      <c r="A65" s="44" t="s">
        <v>2643</v>
      </c>
      <c r="B65" s="39" t="s">
        <v>1661</v>
      </c>
      <c r="C65" s="39" t="s">
        <v>243</v>
      </c>
      <c r="D65" s="39" t="s">
        <v>243</v>
      </c>
      <c r="E65" s="54">
        <v>1.0</v>
      </c>
      <c r="F65" s="54">
        <v>1.0</v>
      </c>
      <c r="G65" s="57"/>
      <c r="H65" s="57">
        <v>450.0</v>
      </c>
      <c r="I65" s="39" t="s">
        <v>245</v>
      </c>
      <c r="J65" s="39" t="s">
        <v>245</v>
      </c>
      <c r="K65" s="45" t="s">
        <v>2585</v>
      </c>
    </row>
    <row r="66" ht="14.25" customHeight="1">
      <c r="A66" s="41" t="s">
        <v>2644</v>
      </c>
      <c r="B66" s="38" t="s">
        <v>1664</v>
      </c>
      <c r="C66" s="38" t="s">
        <v>243</v>
      </c>
      <c r="D66" s="38" t="s">
        <v>243</v>
      </c>
      <c r="E66" s="52">
        <v>1.0</v>
      </c>
      <c r="F66" s="52">
        <v>1.0</v>
      </c>
      <c r="G66" s="56"/>
      <c r="H66" s="56">
        <v>990.0</v>
      </c>
      <c r="I66" s="38" t="s">
        <v>245</v>
      </c>
      <c r="J66" s="38" t="s">
        <v>245</v>
      </c>
      <c r="K66" s="42" t="s">
        <v>2585</v>
      </c>
    </row>
    <row r="67" ht="14.25" customHeight="1">
      <c r="A67" s="44" t="s">
        <v>2645</v>
      </c>
      <c r="B67" s="39" t="s">
        <v>1668</v>
      </c>
      <c r="C67" s="39" t="s">
        <v>243</v>
      </c>
      <c r="D67" s="39" t="s">
        <v>243</v>
      </c>
      <c r="E67" s="54">
        <v>1.0</v>
      </c>
      <c r="F67" s="54">
        <v>1.0</v>
      </c>
      <c r="G67" s="57"/>
      <c r="H67" s="57">
        <v>3400.0</v>
      </c>
      <c r="I67" s="39" t="s">
        <v>245</v>
      </c>
      <c r="J67" s="39" t="s">
        <v>245</v>
      </c>
      <c r="K67" s="45" t="s">
        <v>2585</v>
      </c>
    </row>
    <row r="68" ht="14.25" customHeight="1">
      <c r="A68" s="41" t="s">
        <v>2646</v>
      </c>
      <c r="B68" s="38" t="s">
        <v>1672</v>
      </c>
      <c r="C68" s="38" t="s">
        <v>243</v>
      </c>
      <c r="D68" s="38" t="s">
        <v>243</v>
      </c>
      <c r="E68" s="52">
        <v>1.0</v>
      </c>
      <c r="F68" s="52">
        <v>1.0</v>
      </c>
      <c r="G68" s="56"/>
      <c r="H68" s="56">
        <v>3700.0</v>
      </c>
      <c r="I68" s="38" t="s">
        <v>245</v>
      </c>
      <c r="J68" s="38" t="s">
        <v>245</v>
      </c>
      <c r="K68" s="42" t="s">
        <v>2585</v>
      </c>
    </row>
    <row r="69" ht="14.25" customHeight="1">
      <c r="A69" s="44" t="s">
        <v>2647</v>
      </c>
      <c r="B69" s="39" t="s">
        <v>1676</v>
      </c>
      <c r="C69" s="39" t="s">
        <v>243</v>
      </c>
      <c r="D69" s="39" t="s">
        <v>243</v>
      </c>
      <c r="E69" s="54">
        <v>1.0</v>
      </c>
      <c r="F69" s="54">
        <v>1.0</v>
      </c>
      <c r="G69" s="57"/>
      <c r="H69" s="57">
        <v>2700.0</v>
      </c>
      <c r="I69" s="39" t="s">
        <v>245</v>
      </c>
      <c r="J69" s="39" t="s">
        <v>245</v>
      </c>
      <c r="K69" s="45" t="s">
        <v>2585</v>
      </c>
    </row>
    <row r="70" ht="14.25" customHeight="1">
      <c r="A70" s="41" t="s">
        <v>2648</v>
      </c>
      <c r="B70" s="38" t="s">
        <v>1679</v>
      </c>
      <c r="C70" s="38" t="s">
        <v>243</v>
      </c>
      <c r="D70" s="38" t="s">
        <v>243</v>
      </c>
      <c r="E70" s="52">
        <v>1.0</v>
      </c>
      <c r="F70" s="52">
        <v>1.0</v>
      </c>
      <c r="G70" s="56"/>
      <c r="H70" s="56">
        <v>2200.0</v>
      </c>
      <c r="I70" s="38" t="s">
        <v>245</v>
      </c>
      <c r="J70" s="38" t="s">
        <v>245</v>
      </c>
      <c r="K70" s="42" t="s">
        <v>2585</v>
      </c>
    </row>
    <row r="71" ht="14.25" customHeight="1">
      <c r="A71" s="44" t="s">
        <v>2649</v>
      </c>
      <c r="B71" s="39" t="s">
        <v>1682</v>
      </c>
      <c r="C71" s="39" t="s">
        <v>243</v>
      </c>
      <c r="D71" s="39" t="s">
        <v>243</v>
      </c>
      <c r="E71" s="54">
        <v>1.0</v>
      </c>
      <c r="F71" s="54">
        <v>1.0</v>
      </c>
      <c r="G71" s="57"/>
      <c r="H71" s="57">
        <v>2300.0</v>
      </c>
      <c r="I71" s="39" t="s">
        <v>245</v>
      </c>
      <c r="J71" s="39" t="s">
        <v>245</v>
      </c>
      <c r="K71" s="45" t="s">
        <v>2585</v>
      </c>
    </row>
    <row r="72" ht="14.25" customHeight="1">
      <c r="A72" s="41" t="s">
        <v>2650</v>
      </c>
      <c r="B72" s="38" t="s">
        <v>1686</v>
      </c>
      <c r="C72" s="38" t="s">
        <v>243</v>
      </c>
      <c r="D72" s="38" t="s">
        <v>243</v>
      </c>
      <c r="E72" s="52">
        <v>1.0</v>
      </c>
      <c r="F72" s="52">
        <v>1.0</v>
      </c>
      <c r="G72" s="56"/>
      <c r="H72" s="56">
        <v>1980.0</v>
      </c>
      <c r="I72" s="38" t="s">
        <v>245</v>
      </c>
      <c r="J72" s="38" t="s">
        <v>245</v>
      </c>
      <c r="K72" s="42" t="s">
        <v>2585</v>
      </c>
    </row>
    <row r="73" ht="14.25" customHeight="1">
      <c r="A73" s="44" t="s">
        <v>2651</v>
      </c>
      <c r="B73" s="39" t="s">
        <v>1689</v>
      </c>
      <c r="C73" s="39" t="s">
        <v>243</v>
      </c>
      <c r="D73" s="39" t="s">
        <v>243</v>
      </c>
      <c r="E73" s="54">
        <v>1.0</v>
      </c>
      <c r="F73" s="54">
        <v>1.0</v>
      </c>
      <c r="G73" s="57"/>
      <c r="H73" s="57">
        <v>950.0</v>
      </c>
      <c r="I73" s="39" t="s">
        <v>245</v>
      </c>
      <c r="J73" s="39" t="s">
        <v>245</v>
      </c>
      <c r="K73" s="45" t="s">
        <v>2585</v>
      </c>
    </row>
    <row r="74" ht="14.25" customHeight="1">
      <c r="A74" s="41" t="s">
        <v>2652</v>
      </c>
      <c r="B74" s="38" t="s">
        <v>1693</v>
      </c>
      <c r="C74" s="38" t="s">
        <v>243</v>
      </c>
      <c r="D74" s="38" t="s">
        <v>243</v>
      </c>
      <c r="E74" s="52">
        <v>1.0</v>
      </c>
      <c r="F74" s="52">
        <v>1.0</v>
      </c>
      <c r="G74" s="56"/>
      <c r="H74" s="56">
        <v>2900.0</v>
      </c>
      <c r="I74" s="38" t="s">
        <v>245</v>
      </c>
      <c r="J74" s="38" t="s">
        <v>245</v>
      </c>
      <c r="K74" s="42" t="s">
        <v>2585</v>
      </c>
    </row>
    <row r="75" ht="14.25" customHeight="1">
      <c r="A75" s="44" t="s">
        <v>2653</v>
      </c>
      <c r="B75" s="39" t="s">
        <v>1697</v>
      </c>
      <c r="C75" s="39" t="s">
        <v>243</v>
      </c>
      <c r="D75" s="39" t="s">
        <v>243</v>
      </c>
      <c r="E75" s="54">
        <v>1.0</v>
      </c>
      <c r="F75" s="54">
        <v>1.0</v>
      </c>
      <c r="G75" s="57"/>
      <c r="H75" s="57">
        <v>1600.0</v>
      </c>
      <c r="I75" s="39" t="s">
        <v>245</v>
      </c>
      <c r="J75" s="39" t="s">
        <v>245</v>
      </c>
      <c r="K75" s="45" t="s">
        <v>2585</v>
      </c>
    </row>
    <row r="76" ht="14.25" customHeight="1">
      <c r="A76" s="41" t="s">
        <v>2654</v>
      </c>
      <c r="B76" s="38" t="s">
        <v>1701</v>
      </c>
      <c r="C76" s="38" t="s">
        <v>243</v>
      </c>
      <c r="D76" s="38" t="s">
        <v>243</v>
      </c>
      <c r="E76" s="52">
        <v>1.0</v>
      </c>
      <c r="F76" s="52">
        <v>1.0</v>
      </c>
      <c r="G76" s="56"/>
      <c r="H76" s="56">
        <v>1300.0</v>
      </c>
      <c r="I76" s="38" t="s">
        <v>245</v>
      </c>
      <c r="J76" s="38" t="s">
        <v>245</v>
      </c>
      <c r="K76" s="42" t="s">
        <v>2585</v>
      </c>
    </row>
    <row r="77" ht="14.25" customHeight="1">
      <c r="A77" s="44" t="s">
        <v>2655</v>
      </c>
      <c r="B77" s="39" t="s">
        <v>1704</v>
      </c>
      <c r="C77" s="39" t="s">
        <v>243</v>
      </c>
      <c r="D77" s="39" t="s">
        <v>243</v>
      </c>
      <c r="E77" s="54">
        <v>1.0</v>
      </c>
      <c r="F77" s="54">
        <v>1.0</v>
      </c>
      <c r="G77" s="57"/>
      <c r="H77" s="57">
        <v>3900.0</v>
      </c>
      <c r="I77" s="39" t="s">
        <v>245</v>
      </c>
      <c r="J77" s="39" t="s">
        <v>245</v>
      </c>
      <c r="K77" s="45" t="s">
        <v>2585</v>
      </c>
    </row>
    <row r="78" ht="14.25" customHeight="1">
      <c r="A78" s="41" t="s">
        <v>2656</v>
      </c>
      <c r="B78" s="38" t="s">
        <v>1718</v>
      </c>
      <c r="C78" s="38" t="s">
        <v>243</v>
      </c>
      <c r="D78" s="38" t="s">
        <v>243</v>
      </c>
      <c r="E78" s="52">
        <v>1.0</v>
      </c>
      <c r="F78" s="52">
        <v>1.0</v>
      </c>
      <c r="G78" s="56"/>
      <c r="H78" s="56">
        <v>0.05</v>
      </c>
      <c r="I78" s="38" t="s">
        <v>245</v>
      </c>
      <c r="J78" s="38" t="s">
        <v>245</v>
      </c>
      <c r="K78" s="42" t="s">
        <v>2585</v>
      </c>
    </row>
    <row r="79" ht="14.25" customHeight="1">
      <c r="A79" s="44" t="s">
        <v>2657</v>
      </c>
      <c r="B79" s="39" t="s">
        <v>1726</v>
      </c>
      <c r="C79" s="39" t="s">
        <v>243</v>
      </c>
      <c r="D79" s="39" t="s">
        <v>243</v>
      </c>
      <c r="E79" s="54">
        <v>1.0</v>
      </c>
      <c r="F79" s="54">
        <v>1.0</v>
      </c>
      <c r="G79" s="57"/>
      <c r="H79" s="57">
        <v>900.0</v>
      </c>
      <c r="I79" s="39" t="s">
        <v>245</v>
      </c>
      <c r="J79" s="39" t="s">
        <v>245</v>
      </c>
      <c r="K79" s="45" t="s">
        <v>2585</v>
      </c>
    </row>
    <row r="80" ht="14.25" customHeight="1">
      <c r="A80" s="41" t="s">
        <v>2658</v>
      </c>
      <c r="B80" s="38" t="s">
        <v>1729</v>
      </c>
      <c r="C80" s="38" t="s">
        <v>284</v>
      </c>
      <c r="D80" s="38" t="s">
        <v>243</v>
      </c>
      <c r="E80" s="52">
        <v>1.0</v>
      </c>
      <c r="F80" s="52">
        <v>1.0</v>
      </c>
      <c r="G80" s="56"/>
      <c r="H80" s="56">
        <v>900.0</v>
      </c>
      <c r="I80" s="38" t="s">
        <v>245</v>
      </c>
      <c r="J80" s="38" t="s">
        <v>245</v>
      </c>
      <c r="K80" s="42" t="s">
        <v>2585</v>
      </c>
    </row>
    <row r="81" ht="14.25" customHeight="1">
      <c r="A81" s="44" t="s">
        <v>2659</v>
      </c>
      <c r="B81" s="39" t="s">
        <v>1732</v>
      </c>
      <c r="C81" s="39" t="s">
        <v>243</v>
      </c>
      <c r="D81" s="39" t="s">
        <v>243</v>
      </c>
      <c r="E81" s="54">
        <v>1.0</v>
      </c>
      <c r="F81" s="54">
        <v>1.0</v>
      </c>
      <c r="G81" s="57"/>
      <c r="H81" s="57">
        <v>400.0</v>
      </c>
      <c r="I81" s="39" t="s">
        <v>245</v>
      </c>
      <c r="J81" s="39" t="s">
        <v>245</v>
      </c>
      <c r="K81" s="45" t="s">
        <v>2585</v>
      </c>
    </row>
    <row r="82" ht="14.25" customHeight="1">
      <c r="A82" s="41" t="s">
        <v>2660</v>
      </c>
      <c r="B82" s="38" t="s">
        <v>1736</v>
      </c>
      <c r="C82" s="38" t="s">
        <v>243</v>
      </c>
      <c r="D82" s="38" t="s">
        <v>243</v>
      </c>
      <c r="E82" s="52">
        <v>1.0</v>
      </c>
      <c r="F82" s="52">
        <v>1.0</v>
      </c>
      <c r="G82" s="56"/>
      <c r="H82" s="56">
        <v>220.0</v>
      </c>
      <c r="I82" s="38" t="s">
        <v>245</v>
      </c>
      <c r="J82" s="38" t="s">
        <v>245</v>
      </c>
      <c r="K82" s="42" t="s">
        <v>2585</v>
      </c>
    </row>
    <row r="83" ht="14.25" customHeight="1">
      <c r="A83" s="44" t="s">
        <v>2661</v>
      </c>
      <c r="B83" s="39" t="s">
        <v>1740</v>
      </c>
      <c r="C83" s="39" t="s">
        <v>243</v>
      </c>
      <c r="D83" s="39" t="s">
        <v>243</v>
      </c>
      <c r="E83" s="54">
        <v>1.0</v>
      </c>
      <c r="F83" s="54">
        <v>1.0</v>
      </c>
      <c r="G83" s="57"/>
      <c r="H83" s="57">
        <v>15000.0</v>
      </c>
      <c r="I83" s="39" t="s">
        <v>245</v>
      </c>
      <c r="J83" s="39" t="s">
        <v>245</v>
      </c>
      <c r="K83" s="45" t="s">
        <v>2585</v>
      </c>
    </row>
    <row r="84" ht="14.25" customHeight="1">
      <c r="A84" s="41" t="s">
        <v>2662</v>
      </c>
      <c r="B84" s="38" t="s">
        <v>1744</v>
      </c>
      <c r="C84" s="38" t="s">
        <v>243</v>
      </c>
      <c r="D84" s="38" t="s">
        <v>243</v>
      </c>
      <c r="E84" s="52">
        <v>1.0</v>
      </c>
      <c r="F84" s="52">
        <v>1.0</v>
      </c>
      <c r="G84" s="56"/>
      <c r="H84" s="56">
        <v>26400.0</v>
      </c>
      <c r="I84" s="38" t="s">
        <v>245</v>
      </c>
      <c r="J84" s="38" t="s">
        <v>245</v>
      </c>
      <c r="K84" s="42" t="s">
        <v>2585</v>
      </c>
    </row>
    <row r="85" ht="14.25" customHeight="1">
      <c r="A85" s="44" t="s">
        <v>2663</v>
      </c>
      <c r="B85" s="39" t="s">
        <v>1747</v>
      </c>
      <c r="C85" s="39" t="s">
        <v>243</v>
      </c>
      <c r="D85" s="39" t="s">
        <v>243</v>
      </c>
      <c r="E85" s="54">
        <v>1.0</v>
      </c>
      <c r="F85" s="54">
        <v>1.0</v>
      </c>
      <c r="G85" s="57"/>
      <c r="H85" s="57">
        <v>250.0</v>
      </c>
      <c r="I85" s="39" t="s">
        <v>245</v>
      </c>
      <c r="J85" s="39" t="s">
        <v>245</v>
      </c>
      <c r="K85" s="45" t="s">
        <v>2585</v>
      </c>
    </row>
    <row r="86" ht="14.25" customHeight="1">
      <c r="A86" s="41" t="s">
        <v>2664</v>
      </c>
      <c r="B86" s="38" t="s">
        <v>1768</v>
      </c>
      <c r="C86" s="38" t="s">
        <v>243</v>
      </c>
      <c r="D86" s="38" t="s">
        <v>243</v>
      </c>
      <c r="E86" s="52">
        <v>1.0</v>
      </c>
      <c r="F86" s="52">
        <v>1.0</v>
      </c>
      <c r="G86" s="56"/>
      <c r="H86" s="56">
        <v>400.0</v>
      </c>
      <c r="I86" s="38" t="s">
        <v>245</v>
      </c>
      <c r="J86" s="38" t="s">
        <v>245</v>
      </c>
      <c r="K86" s="42" t="s">
        <v>2585</v>
      </c>
    </row>
    <row r="87" ht="14.25" customHeight="1">
      <c r="A87" s="44" t="s">
        <v>2665</v>
      </c>
      <c r="B87" s="39" t="s">
        <v>1772</v>
      </c>
      <c r="C87" s="39" t="s">
        <v>243</v>
      </c>
      <c r="D87" s="39" t="s">
        <v>243</v>
      </c>
      <c r="E87" s="54">
        <v>1.0</v>
      </c>
      <c r="F87" s="54">
        <v>1.0</v>
      </c>
      <c r="G87" s="57"/>
      <c r="H87" s="57">
        <v>470.0</v>
      </c>
      <c r="I87" s="39" t="s">
        <v>245</v>
      </c>
      <c r="J87" s="39" t="s">
        <v>245</v>
      </c>
      <c r="K87" s="45" t="s">
        <v>2585</v>
      </c>
    </row>
    <row r="88" ht="14.25" customHeight="1">
      <c r="A88" s="41" t="s">
        <v>2666</v>
      </c>
      <c r="B88" s="38" t="s">
        <v>1775</v>
      </c>
      <c r="C88" s="38" t="s">
        <v>243</v>
      </c>
      <c r="D88" s="38" t="s">
        <v>243</v>
      </c>
      <c r="E88" s="52">
        <v>1.0</v>
      </c>
      <c r="F88" s="52">
        <v>1.0</v>
      </c>
      <c r="G88" s="56"/>
      <c r="H88" s="56">
        <v>900.0</v>
      </c>
      <c r="I88" s="38" t="s">
        <v>245</v>
      </c>
      <c r="J88" s="38" t="s">
        <v>245</v>
      </c>
      <c r="K88" s="42" t="s">
        <v>2585</v>
      </c>
    </row>
    <row r="89" ht="14.25" customHeight="1">
      <c r="A89" s="44" t="s">
        <v>2667</v>
      </c>
      <c r="B89" s="39" t="s">
        <v>1779</v>
      </c>
      <c r="C89" s="39" t="s">
        <v>243</v>
      </c>
      <c r="D89" s="39" t="s">
        <v>243</v>
      </c>
      <c r="E89" s="54">
        <v>1.0</v>
      </c>
      <c r="F89" s="54">
        <v>1.0</v>
      </c>
      <c r="G89" s="57"/>
      <c r="H89" s="57">
        <v>600.0</v>
      </c>
      <c r="I89" s="39" t="s">
        <v>245</v>
      </c>
      <c r="J89" s="39" t="s">
        <v>245</v>
      </c>
      <c r="K89" s="45" t="s">
        <v>2585</v>
      </c>
    </row>
    <row r="90" ht="14.25" customHeight="1">
      <c r="A90" s="41" t="s">
        <v>2668</v>
      </c>
      <c r="B90" s="38" t="s">
        <v>1782</v>
      </c>
      <c r="C90" s="38" t="s">
        <v>243</v>
      </c>
      <c r="D90" s="38" t="s">
        <v>243</v>
      </c>
      <c r="E90" s="52">
        <v>1.0</v>
      </c>
      <c r="F90" s="52">
        <v>1.0</v>
      </c>
      <c r="G90" s="56"/>
      <c r="H90" s="56">
        <v>800.0</v>
      </c>
      <c r="I90" s="38" t="s">
        <v>245</v>
      </c>
      <c r="J90" s="38" t="s">
        <v>245</v>
      </c>
      <c r="K90" s="42" t="s">
        <v>2585</v>
      </c>
    </row>
    <row r="91" ht="14.25" customHeight="1">
      <c r="A91" s="44" t="s">
        <v>2669</v>
      </c>
      <c r="B91" s="39" t="s">
        <v>1817</v>
      </c>
      <c r="C91" s="39" t="s">
        <v>243</v>
      </c>
      <c r="D91" s="39" t="s">
        <v>243</v>
      </c>
      <c r="E91" s="54">
        <v>1.0</v>
      </c>
      <c r="F91" s="54">
        <v>1.0</v>
      </c>
      <c r="G91" s="57"/>
      <c r="H91" s="57">
        <v>500.0</v>
      </c>
      <c r="I91" s="39" t="s">
        <v>245</v>
      </c>
      <c r="J91" s="39" t="s">
        <v>245</v>
      </c>
      <c r="K91" s="45" t="s">
        <v>2585</v>
      </c>
    </row>
    <row r="92" ht="14.25" customHeight="1">
      <c r="A92" s="41" t="s">
        <v>2670</v>
      </c>
      <c r="B92" s="38" t="s">
        <v>1820</v>
      </c>
      <c r="C92" s="38" t="s">
        <v>243</v>
      </c>
      <c r="D92" s="38" t="s">
        <v>243</v>
      </c>
      <c r="E92" s="52">
        <v>1.0</v>
      </c>
      <c r="F92" s="52">
        <v>1.0</v>
      </c>
      <c r="G92" s="56"/>
      <c r="H92" s="56">
        <v>2000.0</v>
      </c>
      <c r="I92" s="38" t="s">
        <v>245</v>
      </c>
      <c r="J92" s="38" t="s">
        <v>245</v>
      </c>
      <c r="K92" s="42" t="s">
        <v>2585</v>
      </c>
    </row>
    <row r="93" ht="14.25" customHeight="1">
      <c r="A93" s="44" t="s">
        <v>2671</v>
      </c>
      <c r="B93" s="39" t="s">
        <v>1823</v>
      </c>
      <c r="C93" s="39" t="s">
        <v>243</v>
      </c>
      <c r="D93" s="39" t="s">
        <v>243</v>
      </c>
      <c r="E93" s="54">
        <v>1.0</v>
      </c>
      <c r="F93" s="54">
        <v>1.0</v>
      </c>
      <c r="G93" s="57"/>
      <c r="H93" s="57">
        <v>580.0</v>
      </c>
      <c r="I93" s="39" t="s">
        <v>245</v>
      </c>
      <c r="J93" s="39" t="s">
        <v>245</v>
      </c>
      <c r="K93" s="45" t="s">
        <v>2585</v>
      </c>
    </row>
    <row r="94" ht="14.25" customHeight="1">
      <c r="A94" s="41" t="s">
        <v>2672</v>
      </c>
      <c r="B94" s="38" t="s">
        <v>1827</v>
      </c>
      <c r="C94" s="38" t="s">
        <v>243</v>
      </c>
      <c r="D94" s="38" t="s">
        <v>243</v>
      </c>
      <c r="E94" s="52">
        <v>1.0</v>
      </c>
      <c r="F94" s="52">
        <v>1.0</v>
      </c>
      <c r="G94" s="56"/>
      <c r="H94" s="56">
        <v>700.0</v>
      </c>
      <c r="I94" s="38" t="s">
        <v>245</v>
      </c>
      <c r="J94" s="38" t="s">
        <v>245</v>
      </c>
      <c r="K94" s="42" t="s">
        <v>2585</v>
      </c>
    </row>
    <row r="95" ht="14.25" customHeight="1">
      <c r="A95" s="44" t="s">
        <v>2673</v>
      </c>
      <c r="B95" s="39" t="s">
        <v>1830</v>
      </c>
      <c r="C95" s="39" t="s">
        <v>243</v>
      </c>
      <c r="D95" s="39" t="s">
        <v>243</v>
      </c>
      <c r="E95" s="54">
        <v>1.0</v>
      </c>
      <c r="F95" s="54">
        <v>1.0</v>
      </c>
      <c r="G95" s="57"/>
      <c r="H95" s="57">
        <v>2000.0</v>
      </c>
      <c r="I95" s="39" t="s">
        <v>245</v>
      </c>
      <c r="J95" s="39" t="s">
        <v>245</v>
      </c>
      <c r="K95" s="45" t="s">
        <v>2585</v>
      </c>
    </row>
    <row r="96" ht="14.25" customHeight="1">
      <c r="A96" s="41" t="s">
        <v>2674</v>
      </c>
      <c r="B96" s="38" t="s">
        <v>1842</v>
      </c>
      <c r="C96" s="38" t="s">
        <v>243</v>
      </c>
      <c r="D96" s="38" t="s">
        <v>243</v>
      </c>
      <c r="E96" s="52">
        <v>1.0</v>
      </c>
      <c r="F96" s="52">
        <v>1.0</v>
      </c>
      <c r="G96" s="56"/>
      <c r="H96" s="56">
        <v>950.0</v>
      </c>
      <c r="I96" s="38" t="s">
        <v>245</v>
      </c>
      <c r="J96" s="38" t="s">
        <v>245</v>
      </c>
      <c r="K96" s="42" t="s">
        <v>2585</v>
      </c>
    </row>
    <row r="97" ht="14.25" customHeight="1">
      <c r="A97" s="44" t="s">
        <v>2675</v>
      </c>
      <c r="B97" s="39" t="s">
        <v>1849</v>
      </c>
      <c r="C97" s="39" t="s">
        <v>243</v>
      </c>
      <c r="D97" s="39" t="s">
        <v>243</v>
      </c>
      <c r="E97" s="54">
        <v>1.0</v>
      </c>
      <c r="F97" s="54">
        <v>1.0</v>
      </c>
      <c r="G97" s="57"/>
      <c r="H97" s="57">
        <v>150.0</v>
      </c>
      <c r="I97" s="39" t="s">
        <v>245</v>
      </c>
      <c r="J97" s="39" t="s">
        <v>245</v>
      </c>
      <c r="K97" s="45" t="s">
        <v>2585</v>
      </c>
    </row>
    <row r="98" ht="14.25" customHeight="1">
      <c r="A98" s="41" t="s">
        <v>2676</v>
      </c>
      <c r="B98" s="38" t="s">
        <v>1863</v>
      </c>
      <c r="C98" s="38" t="s">
        <v>323</v>
      </c>
      <c r="D98" s="38" t="s">
        <v>243</v>
      </c>
      <c r="E98" s="52">
        <v>1.0</v>
      </c>
      <c r="F98" s="52">
        <v>1.0</v>
      </c>
      <c r="G98" s="56"/>
      <c r="H98" s="56">
        <v>26000.0</v>
      </c>
      <c r="I98" s="38" t="s">
        <v>245</v>
      </c>
      <c r="J98" s="38" t="s">
        <v>245</v>
      </c>
      <c r="K98" s="42" t="s">
        <v>2585</v>
      </c>
    </row>
    <row r="99" ht="14.25" customHeight="1">
      <c r="A99" s="44" t="s">
        <v>2677</v>
      </c>
      <c r="B99" s="39" t="s">
        <v>1867</v>
      </c>
      <c r="C99" s="39" t="s">
        <v>243</v>
      </c>
      <c r="D99" s="39" t="s">
        <v>243</v>
      </c>
      <c r="E99" s="54">
        <v>1.0</v>
      </c>
      <c r="F99" s="54">
        <v>1.0</v>
      </c>
      <c r="G99" s="57"/>
      <c r="H99" s="57">
        <v>10000.0</v>
      </c>
      <c r="I99" s="39" t="s">
        <v>245</v>
      </c>
      <c r="J99" s="39" t="s">
        <v>245</v>
      </c>
      <c r="K99" s="45" t="s">
        <v>2585</v>
      </c>
    </row>
    <row r="100" ht="14.25" customHeight="1">
      <c r="A100" s="41" t="s">
        <v>2678</v>
      </c>
      <c r="B100" s="38" t="s">
        <v>1870</v>
      </c>
      <c r="C100" s="38" t="s">
        <v>243</v>
      </c>
      <c r="D100" s="38" t="s">
        <v>243</v>
      </c>
      <c r="E100" s="52">
        <v>1.0</v>
      </c>
      <c r="F100" s="52">
        <v>1.0</v>
      </c>
      <c r="G100" s="56"/>
      <c r="H100" s="56">
        <v>700.0</v>
      </c>
      <c r="I100" s="38" t="s">
        <v>245</v>
      </c>
      <c r="J100" s="38" t="s">
        <v>245</v>
      </c>
      <c r="K100" s="42" t="s">
        <v>2585</v>
      </c>
    </row>
    <row r="101" ht="14.25" customHeight="1">
      <c r="A101" s="44" t="s">
        <v>2679</v>
      </c>
      <c r="B101" s="39" t="s">
        <v>1873</v>
      </c>
      <c r="C101" s="39" t="s">
        <v>243</v>
      </c>
      <c r="D101" s="39" t="s">
        <v>243</v>
      </c>
      <c r="E101" s="54">
        <v>1.0</v>
      </c>
      <c r="F101" s="54">
        <v>1.0</v>
      </c>
      <c r="G101" s="57"/>
      <c r="H101" s="57">
        <v>30.0</v>
      </c>
      <c r="I101" s="39" t="s">
        <v>245</v>
      </c>
      <c r="J101" s="39" t="s">
        <v>245</v>
      </c>
      <c r="K101" s="45" t="s">
        <v>2585</v>
      </c>
    </row>
    <row r="102" ht="14.25" customHeight="1">
      <c r="A102" s="41" t="s">
        <v>2680</v>
      </c>
      <c r="B102" s="38" t="s">
        <v>1896</v>
      </c>
      <c r="C102" s="38" t="s">
        <v>284</v>
      </c>
      <c r="D102" s="38" t="s">
        <v>243</v>
      </c>
      <c r="E102" s="52">
        <v>1.0</v>
      </c>
      <c r="F102" s="52">
        <v>1.0</v>
      </c>
      <c r="G102" s="56"/>
      <c r="H102" s="56">
        <v>220.0</v>
      </c>
      <c r="I102" s="38" t="s">
        <v>245</v>
      </c>
      <c r="J102" s="38" t="s">
        <v>245</v>
      </c>
      <c r="K102" s="42" t="s">
        <v>2585</v>
      </c>
    </row>
    <row r="103" ht="14.25" customHeight="1">
      <c r="A103" s="44" t="s">
        <v>2681</v>
      </c>
      <c r="B103" s="39" t="s">
        <v>1937</v>
      </c>
      <c r="C103" s="39" t="s">
        <v>243</v>
      </c>
      <c r="D103" s="39" t="s">
        <v>243</v>
      </c>
      <c r="E103" s="54">
        <v>1.0</v>
      </c>
      <c r="F103" s="54">
        <v>1.0</v>
      </c>
      <c r="G103" s="57"/>
      <c r="H103" s="57">
        <v>300.0</v>
      </c>
      <c r="I103" s="39" t="s">
        <v>245</v>
      </c>
      <c r="J103" s="39" t="s">
        <v>245</v>
      </c>
      <c r="K103" s="45" t="s">
        <v>2585</v>
      </c>
    </row>
    <row r="104" ht="14.25" customHeight="1">
      <c r="A104" s="41" t="s">
        <v>2682</v>
      </c>
      <c r="B104" s="38" t="s">
        <v>1941</v>
      </c>
      <c r="C104" s="38" t="s">
        <v>243</v>
      </c>
      <c r="D104" s="38" t="s">
        <v>243</v>
      </c>
      <c r="E104" s="52">
        <v>1.0</v>
      </c>
      <c r="F104" s="52">
        <v>1.0</v>
      </c>
      <c r="G104" s="56"/>
      <c r="H104" s="56">
        <v>3650.0</v>
      </c>
      <c r="I104" s="38" t="s">
        <v>245</v>
      </c>
      <c r="J104" s="38" t="s">
        <v>245</v>
      </c>
      <c r="K104" s="42" t="s">
        <v>2585</v>
      </c>
    </row>
    <row r="105" ht="14.25" customHeight="1">
      <c r="A105" s="44" t="s">
        <v>2683</v>
      </c>
      <c r="B105" s="39" t="s">
        <v>1949</v>
      </c>
      <c r="C105" s="39" t="s">
        <v>243</v>
      </c>
      <c r="D105" s="39" t="s">
        <v>243</v>
      </c>
      <c r="E105" s="54">
        <v>1.0</v>
      </c>
      <c r="F105" s="54">
        <v>1.0</v>
      </c>
      <c r="G105" s="57"/>
      <c r="H105" s="57">
        <v>3800.0</v>
      </c>
      <c r="I105" s="39" t="s">
        <v>245</v>
      </c>
      <c r="J105" s="39" t="s">
        <v>245</v>
      </c>
      <c r="K105" s="45" t="s">
        <v>2585</v>
      </c>
    </row>
    <row r="106" ht="14.25" customHeight="1">
      <c r="A106" s="41" t="s">
        <v>2684</v>
      </c>
      <c r="B106" s="38" t="s">
        <v>1963</v>
      </c>
      <c r="C106" s="38" t="s">
        <v>243</v>
      </c>
      <c r="D106" s="38" t="s">
        <v>243</v>
      </c>
      <c r="E106" s="52">
        <v>1.0</v>
      </c>
      <c r="F106" s="52">
        <v>1.0</v>
      </c>
      <c r="G106" s="56"/>
      <c r="H106" s="56">
        <v>0.01</v>
      </c>
      <c r="I106" s="38" t="s">
        <v>245</v>
      </c>
      <c r="J106" s="38" t="s">
        <v>245</v>
      </c>
      <c r="K106" s="42" t="s">
        <v>2585</v>
      </c>
    </row>
    <row r="107" ht="14.25" customHeight="1">
      <c r="A107" s="44" t="s">
        <v>2685</v>
      </c>
      <c r="B107" s="39" t="s">
        <v>2003</v>
      </c>
      <c r="C107" s="39" t="s">
        <v>243</v>
      </c>
      <c r="D107" s="39" t="s">
        <v>243</v>
      </c>
      <c r="E107" s="54">
        <v>1.0</v>
      </c>
      <c r="F107" s="54">
        <v>1.0</v>
      </c>
      <c r="G107" s="57"/>
      <c r="H107" s="57">
        <v>150.0</v>
      </c>
      <c r="I107" s="39" t="s">
        <v>245</v>
      </c>
      <c r="J107" s="39" t="s">
        <v>245</v>
      </c>
      <c r="K107" s="45" t="s">
        <v>2585</v>
      </c>
    </row>
    <row r="108" ht="14.25" customHeight="1">
      <c r="A108" s="41" t="s">
        <v>2686</v>
      </c>
      <c r="B108" s="38" t="s">
        <v>2006</v>
      </c>
      <c r="C108" s="38" t="s">
        <v>243</v>
      </c>
      <c r="D108" s="38" t="s">
        <v>243</v>
      </c>
      <c r="E108" s="52">
        <v>1.0</v>
      </c>
      <c r="F108" s="52">
        <v>1.0</v>
      </c>
      <c r="G108" s="56"/>
      <c r="H108" s="56">
        <v>40.0</v>
      </c>
      <c r="I108" s="38" t="s">
        <v>245</v>
      </c>
      <c r="J108" s="38" t="s">
        <v>245</v>
      </c>
      <c r="K108" s="42" t="s">
        <v>2585</v>
      </c>
    </row>
    <row r="109" ht="14.25" customHeight="1">
      <c r="A109" s="44" t="s">
        <v>2687</v>
      </c>
      <c r="B109" s="39" t="s">
        <v>2010</v>
      </c>
      <c r="C109" s="39" t="s">
        <v>243</v>
      </c>
      <c r="D109" s="39" t="s">
        <v>243</v>
      </c>
      <c r="E109" s="54">
        <v>1.0</v>
      </c>
      <c r="F109" s="54">
        <v>1.0</v>
      </c>
      <c r="G109" s="57"/>
      <c r="H109" s="57">
        <v>180.0</v>
      </c>
      <c r="I109" s="39" t="s">
        <v>245</v>
      </c>
      <c r="J109" s="39" t="s">
        <v>245</v>
      </c>
      <c r="K109" s="45" t="s">
        <v>2585</v>
      </c>
    </row>
    <row r="110" ht="14.25" customHeight="1">
      <c r="A110" s="41" t="s">
        <v>2688</v>
      </c>
      <c r="B110" s="38" t="s">
        <v>2013</v>
      </c>
      <c r="C110" s="38" t="s">
        <v>243</v>
      </c>
      <c r="D110" s="38" t="s">
        <v>243</v>
      </c>
      <c r="E110" s="52">
        <v>1.0</v>
      </c>
      <c r="F110" s="52">
        <v>1.0</v>
      </c>
      <c r="G110" s="56"/>
      <c r="H110" s="56">
        <v>600.0</v>
      </c>
      <c r="I110" s="38" t="s">
        <v>245</v>
      </c>
      <c r="J110" s="38" t="s">
        <v>245</v>
      </c>
      <c r="K110" s="42" t="s">
        <v>2585</v>
      </c>
    </row>
    <row r="111" ht="14.25" customHeight="1">
      <c r="A111" s="44" t="s">
        <v>2689</v>
      </c>
      <c r="B111" s="39" t="s">
        <v>2017</v>
      </c>
      <c r="C111" s="39" t="s">
        <v>323</v>
      </c>
      <c r="D111" s="39" t="s">
        <v>243</v>
      </c>
      <c r="E111" s="54">
        <v>1.0</v>
      </c>
      <c r="F111" s="54">
        <v>1.0</v>
      </c>
      <c r="G111" s="57"/>
      <c r="H111" s="57">
        <v>80.0</v>
      </c>
      <c r="I111" s="39" t="s">
        <v>245</v>
      </c>
      <c r="J111" s="39" t="s">
        <v>245</v>
      </c>
      <c r="K111" s="45" t="s">
        <v>2585</v>
      </c>
    </row>
    <row r="112" ht="14.25" customHeight="1">
      <c r="A112" s="41" t="s">
        <v>2690</v>
      </c>
      <c r="B112" s="38" t="s">
        <v>2038</v>
      </c>
      <c r="C112" s="38" t="s">
        <v>243</v>
      </c>
      <c r="D112" s="38" t="s">
        <v>243</v>
      </c>
      <c r="E112" s="52">
        <v>1.0</v>
      </c>
      <c r="F112" s="52">
        <v>1.0</v>
      </c>
      <c r="G112" s="56"/>
      <c r="H112" s="56">
        <v>2700.0</v>
      </c>
      <c r="I112" s="38" t="s">
        <v>245</v>
      </c>
      <c r="J112" s="38" t="s">
        <v>245</v>
      </c>
      <c r="K112" s="42" t="s">
        <v>2585</v>
      </c>
    </row>
    <row r="113" ht="14.25" customHeight="1">
      <c r="A113" s="44" t="s">
        <v>2691</v>
      </c>
      <c r="B113" s="39" t="s">
        <v>2042</v>
      </c>
      <c r="C113" s="39" t="s">
        <v>243</v>
      </c>
      <c r="D113" s="39" t="s">
        <v>243</v>
      </c>
      <c r="E113" s="54">
        <v>1.0</v>
      </c>
      <c r="F113" s="54">
        <v>1.0</v>
      </c>
      <c r="G113" s="57"/>
      <c r="H113" s="57">
        <v>1150.0</v>
      </c>
      <c r="I113" s="39" t="s">
        <v>245</v>
      </c>
      <c r="J113" s="39" t="s">
        <v>245</v>
      </c>
      <c r="K113" s="45" t="s">
        <v>2585</v>
      </c>
    </row>
    <row r="114" ht="14.25" customHeight="1">
      <c r="A114" s="41" t="s">
        <v>2692</v>
      </c>
      <c r="B114" s="38" t="s">
        <v>2046</v>
      </c>
      <c r="C114" s="38" t="s">
        <v>243</v>
      </c>
      <c r="D114" s="38" t="s">
        <v>243</v>
      </c>
      <c r="E114" s="52">
        <v>1.0</v>
      </c>
      <c r="F114" s="52">
        <v>1.0</v>
      </c>
      <c r="G114" s="56"/>
      <c r="H114" s="56">
        <v>1900.0</v>
      </c>
      <c r="I114" s="38" t="s">
        <v>245</v>
      </c>
      <c r="J114" s="38" t="s">
        <v>245</v>
      </c>
      <c r="K114" s="42" t="s">
        <v>2585</v>
      </c>
    </row>
    <row r="115" ht="14.25" customHeight="1">
      <c r="A115" s="44" t="s">
        <v>2693</v>
      </c>
      <c r="B115" s="39" t="s">
        <v>2049</v>
      </c>
      <c r="C115" s="39" t="s">
        <v>243</v>
      </c>
      <c r="D115" s="39" t="s">
        <v>243</v>
      </c>
      <c r="E115" s="54">
        <v>1.0</v>
      </c>
      <c r="F115" s="54">
        <v>1.0</v>
      </c>
      <c r="G115" s="57"/>
      <c r="H115" s="57">
        <v>1400.0</v>
      </c>
      <c r="I115" s="39" t="s">
        <v>245</v>
      </c>
      <c r="J115" s="39" t="s">
        <v>245</v>
      </c>
      <c r="K115" s="45" t="s">
        <v>2585</v>
      </c>
    </row>
    <row r="116" ht="14.25" customHeight="1">
      <c r="A116" s="41" t="s">
        <v>2694</v>
      </c>
      <c r="B116" s="38" t="s">
        <v>2052</v>
      </c>
      <c r="C116" s="38" t="s">
        <v>243</v>
      </c>
      <c r="D116" s="38" t="s">
        <v>243</v>
      </c>
      <c r="E116" s="52">
        <v>1.0</v>
      </c>
      <c r="F116" s="52">
        <v>1.0</v>
      </c>
      <c r="G116" s="56"/>
      <c r="H116" s="56">
        <v>900.0</v>
      </c>
      <c r="I116" s="38" t="s">
        <v>245</v>
      </c>
      <c r="J116" s="38" t="s">
        <v>245</v>
      </c>
      <c r="K116" s="42" t="s">
        <v>2585</v>
      </c>
    </row>
    <row r="117" ht="14.25" customHeight="1">
      <c r="A117" s="44" t="s">
        <v>2695</v>
      </c>
      <c r="B117" s="39" t="s">
        <v>2055</v>
      </c>
      <c r="C117" s="39" t="s">
        <v>243</v>
      </c>
      <c r="D117" s="39" t="s">
        <v>243</v>
      </c>
      <c r="E117" s="54">
        <v>1.0</v>
      </c>
      <c r="F117" s="54">
        <v>1.0</v>
      </c>
      <c r="G117" s="57"/>
      <c r="H117" s="57">
        <v>1400.0</v>
      </c>
      <c r="I117" s="39" t="s">
        <v>245</v>
      </c>
      <c r="J117" s="39" t="s">
        <v>245</v>
      </c>
      <c r="K117" s="45" t="s">
        <v>2585</v>
      </c>
    </row>
    <row r="118" ht="14.25" customHeight="1">
      <c r="A118" s="41" t="s">
        <v>2696</v>
      </c>
      <c r="B118" s="38" t="s">
        <v>2058</v>
      </c>
      <c r="C118" s="38" t="s">
        <v>243</v>
      </c>
      <c r="D118" s="38" t="s">
        <v>243</v>
      </c>
      <c r="E118" s="52">
        <v>1.0</v>
      </c>
      <c r="F118" s="52">
        <v>1.0</v>
      </c>
      <c r="G118" s="56"/>
      <c r="H118" s="56">
        <v>350.0</v>
      </c>
      <c r="I118" s="38" t="s">
        <v>245</v>
      </c>
      <c r="J118" s="38" t="s">
        <v>245</v>
      </c>
      <c r="K118" s="42" t="s">
        <v>2585</v>
      </c>
    </row>
    <row r="119" ht="14.25" customHeight="1">
      <c r="A119" s="44" t="s">
        <v>2697</v>
      </c>
      <c r="B119" s="39" t="s">
        <v>2062</v>
      </c>
      <c r="C119" s="39" t="s">
        <v>243</v>
      </c>
      <c r="D119" s="39" t="s">
        <v>243</v>
      </c>
      <c r="E119" s="54">
        <v>1.0</v>
      </c>
      <c r="F119" s="54">
        <v>1.0</v>
      </c>
      <c r="G119" s="57"/>
      <c r="H119" s="57">
        <v>100.0</v>
      </c>
      <c r="I119" s="39" t="s">
        <v>245</v>
      </c>
      <c r="J119" s="39" t="s">
        <v>245</v>
      </c>
      <c r="K119" s="45" t="s">
        <v>2585</v>
      </c>
    </row>
    <row r="120" ht="14.25" customHeight="1">
      <c r="A120" s="41" t="s">
        <v>2698</v>
      </c>
      <c r="B120" s="38" t="s">
        <v>2065</v>
      </c>
      <c r="C120" s="38" t="s">
        <v>243</v>
      </c>
      <c r="D120" s="38" t="s">
        <v>243</v>
      </c>
      <c r="E120" s="52">
        <v>1.0</v>
      </c>
      <c r="F120" s="52">
        <v>1.0</v>
      </c>
      <c r="G120" s="56"/>
      <c r="H120" s="56">
        <v>250.0</v>
      </c>
      <c r="I120" s="38" t="s">
        <v>245</v>
      </c>
      <c r="J120" s="38" t="s">
        <v>245</v>
      </c>
      <c r="K120" s="42" t="s">
        <v>2585</v>
      </c>
    </row>
    <row r="121" ht="14.25" customHeight="1">
      <c r="A121" s="44" t="s">
        <v>2699</v>
      </c>
      <c r="B121" s="39" t="s">
        <v>2067</v>
      </c>
      <c r="C121" s="39" t="s">
        <v>243</v>
      </c>
      <c r="D121" s="39" t="s">
        <v>243</v>
      </c>
      <c r="E121" s="54">
        <v>1.0</v>
      </c>
      <c r="F121" s="54">
        <v>1.0</v>
      </c>
      <c r="G121" s="57"/>
      <c r="H121" s="57">
        <v>680.0</v>
      </c>
      <c r="I121" s="39" t="s">
        <v>245</v>
      </c>
      <c r="J121" s="39" t="s">
        <v>245</v>
      </c>
      <c r="K121" s="45" t="s">
        <v>2585</v>
      </c>
    </row>
    <row r="122" ht="14.25" customHeight="1">
      <c r="A122" s="41" t="s">
        <v>2700</v>
      </c>
      <c r="B122" s="38" t="s">
        <v>2071</v>
      </c>
      <c r="C122" s="38" t="s">
        <v>243</v>
      </c>
      <c r="D122" s="38" t="s">
        <v>243</v>
      </c>
      <c r="E122" s="52">
        <v>1.0</v>
      </c>
      <c r="F122" s="52">
        <v>1.0</v>
      </c>
      <c r="G122" s="56"/>
      <c r="H122" s="56">
        <v>195.0</v>
      </c>
      <c r="I122" s="38" t="s">
        <v>245</v>
      </c>
      <c r="J122" s="38" t="s">
        <v>245</v>
      </c>
      <c r="K122" s="42" t="s">
        <v>2585</v>
      </c>
    </row>
    <row r="123" ht="14.25" customHeight="1">
      <c r="A123" s="44" t="s">
        <v>2701</v>
      </c>
      <c r="B123" s="39" t="s">
        <v>2075</v>
      </c>
      <c r="C123" s="39" t="s">
        <v>243</v>
      </c>
      <c r="D123" s="39" t="s">
        <v>243</v>
      </c>
      <c r="E123" s="54">
        <v>1.0</v>
      </c>
      <c r="F123" s="54">
        <v>1.0</v>
      </c>
      <c r="G123" s="57"/>
      <c r="H123" s="57">
        <v>208.0</v>
      </c>
      <c r="I123" s="39" t="s">
        <v>245</v>
      </c>
      <c r="J123" s="39" t="s">
        <v>245</v>
      </c>
      <c r="K123" s="45" t="s">
        <v>2585</v>
      </c>
    </row>
    <row r="124" ht="14.25" customHeight="1">
      <c r="A124" s="41" t="s">
        <v>2702</v>
      </c>
      <c r="B124" s="38" t="s">
        <v>2078</v>
      </c>
      <c r="C124" s="38" t="s">
        <v>243</v>
      </c>
      <c r="D124" s="38" t="s">
        <v>243</v>
      </c>
      <c r="E124" s="52">
        <v>1.0</v>
      </c>
      <c r="F124" s="52">
        <v>1.0</v>
      </c>
      <c r="G124" s="56"/>
      <c r="H124" s="56">
        <v>900.0</v>
      </c>
      <c r="I124" s="38" t="s">
        <v>245</v>
      </c>
      <c r="J124" s="38" t="s">
        <v>245</v>
      </c>
      <c r="K124" s="42" t="s">
        <v>2585</v>
      </c>
    </row>
    <row r="125" ht="14.25" customHeight="1">
      <c r="A125" s="44" t="s">
        <v>2703</v>
      </c>
      <c r="B125" s="39" t="s">
        <v>2081</v>
      </c>
      <c r="C125" s="39" t="s">
        <v>243</v>
      </c>
      <c r="D125" s="39" t="s">
        <v>243</v>
      </c>
      <c r="E125" s="54">
        <v>1.0</v>
      </c>
      <c r="F125" s="54">
        <v>1.0</v>
      </c>
      <c r="G125" s="57"/>
      <c r="H125" s="57">
        <v>6500.0</v>
      </c>
      <c r="I125" s="39" t="s">
        <v>245</v>
      </c>
      <c r="J125" s="39" t="s">
        <v>245</v>
      </c>
      <c r="K125" s="45" t="s">
        <v>2585</v>
      </c>
    </row>
    <row r="126" ht="14.25" customHeight="1">
      <c r="A126" s="41" t="s">
        <v>2704</v>
      </c>
      <c r="B126" s="38" t="s">
        <v>2085</v>
      </c>
      <c r="C126" s="38" t="s">
        <v>243</v>
      </c>
      <c r="D126" s="38" t="s">
        <v>243</v>
      </c>
      <c r="E126" s="52">
        <v>1.0</v>
      </c>
      <c r="F126" s="52">
        <v>1.0</v>
      </c>
      <c r="G126" s="56"/>
      <c r="H126" s="56">
        <v>150.0</v>
      </c>
      <c r="I126" s="38" t="s">
        <v>245</v>
      </c>
      <c r="J126" s="38" t="s">
        <v>245</v>
      </c>
      <c r="K126" s="42" t="s">
        <v>2585</v>
      </c>
    </row>
    <row r="127" ht="14.25" customHeight="1">
      <c r="A127" s="44" t="s">
        <v>2705</v>
      </c>
      <c r="B127" s="39" t="s">
        <v>2089</v>
      </c>
      <c r="C127" s="39" t="s">
        <v>243</v>
      </c>
      <c r="D127" s="39" t="s">
        <v>243</v>
      </c>
      <c r="E127" s="54">
        <v>1.0</v>
      </c>
      <c r="F127" s="54">
        <v>1.0</v>
      </c>
      <c r="G127" s="57"/>
      <c r="H127" s="57">
        <v>860.0</v>
      </c>
      <c r="I127" s="39" t="s">
        <v>245</v>
      </c>
      <c r="J127" s="39" t="s">
        <v>245</v>
      </c>
      <c r="K127" s="45" t="s">
        <v>2585</v>
      </c>
    </row>
    <row r="128" ht="14.25" customHeight="1">
      <c r="A128" s="41" t="s">
        <v>2706</v>
      </c>
      <c r="B128" s="38" t="s">
        <v>2093</v>
      </c>
      <c r="C128" s="38" t="s">
        <v>243</v>
      </c>
      <c r="D128" s="38" t="s">
        <v>243</v>
      </c>
      <c r="E128" s="52">
        <v>1.0</v>
      </c>
      <c r="F128" s="52">
        <v>1.0</v>
      </c>
      <c r="G128" s="56"/>
      <c r="H128" s="56">
        <v>640.0</v>
      </c>
      <c r="I128" s="38" t="s">
        <v>245</v>
      </c>
      <c r="J128" s="38" t="s">
        <v>245</v>
      </c>
      <c r="K128" s="42" t="s">
        <v>2585</v>
      </c>
    </row>
    <row r="129" ht="14.25" customHeight="1">
      <c r="A129" s="44" t="s">
        <v>2707</v>
      </c>
      <c r="B129" s="39" t="s">
        <v>2097</v>
      </c>
      <c r="C129" s="39" t="s">
        <v>243</v>
      </c>
      <c r="D129" s="39" t="s">
        <v>243</v>
      </c>
      <c r="E129" s="54">
        <v>1.0</v>
      </c>
      <c r="F129" s="54">
        <v>1.0</v>
      </c>
      <c r="G129" s="57"/>
      <c r="H129" s="57">
        <v>920.0</v>
      </c>
      <c r="I129" s="39" t="s">
        <v>245</v>
      </c>
      <c r="J129" s="39" t="s">
        <v>245</v>
      </c>
      <c r="K129" s="45" t="s">
        <v>2585</v>
      </c>
    </row>
    <row r="130" ht="14.25" customHeight="1">
      <c r="A130" s="41" t="s">
        <v>2708</v>
      </c>
      <c r="B130" s="38" t="s">
        <v>2101</v>
      </c>
      <c r="C130" s="38" t="s">
        <v>243</v>
      </c>
      <c r="D130" s="38" t="s">
        <v>243</v>
      </c>
      <c r="E130" s="52">
        <v>1.0</v>
      </c>
      <c r="F130" s="52">
        <v>1.0</v>
      </c>
      <c r="G130" s="56"/>
      <c r="H130" s="56">
        <v>500.0</v>
      </c>
      <c r="I130" s="38" t="s">
        <v>245</v>
      </c>
      <c r="J130" s="38" t="s">
        <v>245</v>
      </c>
      <c r="K130" s="42" t="s">
        <v>2585</v>
      </c>
    </row>
    <row r="131" ht="14.25" customHeight="1">
      <c r="A131" s="44" t="s">
        <v>2709</v>
      </c>
      <c r="B131" s="39" t="s">
        <v>2104</v>
      </c>
      <c r="C131" s="39" t="s">
        <v>243</v>
      </c>
      <c r="D131" s="39" t="s">
        <v>243</v>
      </c>
      <c r="E131" s="54">
        <v>1.0</v>
      </c>
      <c r="F131" s="54">
        <v>1.0</v>
      </c>
      <c r="G131" s="57"/>
      <c r="H131" s="57">
        <v>500.0</v>
      </c>
      <c r="I131" s="39" t="s">
        <v>245</v>
      </c>
      <c r="J131" s="39" t="s">
        <v>245</v>
      </c>
      <c r="K131" s="45" t="s">
        <v>2585</v>
      </c>
    </row>
    <row r="132" ht="14.25" customHeight="1">
      <c r="A132" s="41" t="s">
        <v>2710</v>
      </c>
      <c r="B132" s="38" t="s">
        <v>2108</v>
      </c>
      <c r="C132" s="38" t="s">
        <v>243</v>
      </c>
      <c r="D132" s="38" t="s">
        <v>243</v>
      </c>
      <c r="E132" s="52">
        <v>1.0</v>
      </c>
      <c r="F132" s="52">
        <v>1.0</v>
      </c>
      <c r="G132" s="56"/>
      <c r="H132" s="56">
        <v>750.0</v>
      </c>
      <c r="I132" s="38" t="s">
        <v>245</v>
      </c>
      <c r="J132" s="38" t="s">
        <v>245</v>
      </c>
      <c r="K132" s="42" t="s">
        <v>2585</v>
      </c>
    </row>
    <row r="133" ht="14.25" customHeight="1">
      <c r="A133" s="44" t="s">
        <v>2711</v>
      </c>
      <c r="B133" s="39" t="s">
        <v>2111</v>
      </c>
      <c r="C133" s="39" t="s">
        <v>243</v>
      </c>
      <c r="D133" s="39" t="s">
        <v>243</v>
      </c>
      <c r="E133" s="54">
        <v>1.0</v>
      </c>
      <c r="F133" s="54">
        <v>1.0</v>
      </c>
      <c r="G133" s="57"/>
      <c r="H133" s="57">
        <v>1800.0</v>
      </c>
      <c r="I133" s="39" t="s">
        <v>245</v>
      </c>
      <c r="J133" s="39" t="s">
        <v>245</v>
      </c>
      <c r="K133" s="45" t="s">
        <v>2585</v>
      </c>
    </row>
    <row r="134" ht="14.25" customHeight="1">
      <c r="A134" s="41" t="s">
        <v>2712</v>
      </c>
      <c r="B134" s="38" t="s">
        <v>2114</v>
      </c>
      <c r="C134" s="38" t="s">
        <v>243</v>
      </c>
      <c r="D134" s="38" t="s">
        <v>243</v>
      </c>
      <c r="E134" s="52">
        <v>1.0</v>
      </c>
      <c r="F134" s="52">
        <v>1.0</v>
      </c>
      <c r="G134" s="56"/>
      <c r="H134" s="56">
        <v>600.0</v>
      </c>
      <c r="I134" s="38" t="s">
        <v>245</v>
      </c>
      <c r="J134" s="38" t="s">
        <v>245</v>
      </c>
      <c r="K134" s="42" t="s">
        <v>2585</v>
      </c>
    </row>
    <row r="135" ht="14.25" customHeight="1">
      <c r="A135" s="44" t="s">
        <v>2713</v>
      </c>
      <c r="B135" s="39" t="s">
        <v>2117</v>
      </c>
      <c r="C135" s="39" t="s">
        <v>243</v>
      </c>
      <c r="D135" s="39" t="s">
        <v>243</v>
      </c>
      <c r="E135" s="54">
        <v>1.0</v>
      </c>
      <c r="F135" s="54">
        <v>1.0</v>
      </c>
      <c r="G135" s="57"/>
      <c r="H135" s="57">
        <v>70.0</v>
      </c>
      <c r="I135" s="39" t="s">
        <v>245</v>
      </c>
      <c r="J135" s="39" t="s">
        <v>245</v>
      </c>
      <c r="K135" s="45" t="s">
        <v>2585</v>
      </c>
    </row>
    <row r="136" ht="14.25" customHeight="1">
      <c r="A136" s="41" t="s">
        <v>2714</v>
      </c>
      <c r="B136" s="38" t="s">
        <v>2121</v>
      </c>
      <c r="C136" s="38" t="s">
        <v>243</v>
      </c>
      <c r="D136" s="38" t="s">
        <v>243</v>
      </c>
      <c r="E136" s="52">
        <v>1.0</v>
      </c>
      <c r="F136" s="52">
        <v>1.0</v>
      </c>
      <c r="G136" s="56"/>
      <c r="H136" s="56">
        <v>230.0</v>
      </c>
      <c r="I136" s="38" t="s">
        <v>245</v>
      </c>
      <c r="J136" s="38" t="s">
        <v>245</v>
      </c>
      <c r="K136" s="42" t="s">
        <v>2585</v>
      </c>
    </row>
    <row r="137" ht="14.25" customHeight="1">
      <c r="A137" s="44" t="s">
        <v>2715</v>
      </c>
      <c r="B137" s="39" t="s">
        <v>2124</v>
      </c>
      <c r="C137" s="39" t="s">
        <v>243</v>
      </c>
      <c r="D137" s="39" t="s">
        <v>243</v>
      </c>
      <c r="E137" s="54">
        <v>1.0</v>
      </c>
      <c r="F137" s="54">
        <v>1.0</v>
      </c>
      <c r="G137" s="57"/>
      <c r="H137" s="57">
        <v>220.0</v>
      </c>
      <c r="I137" s="39" t="s">
        <v>245</v>
      </c>
      <c r="J137" s="39" t="s">
        <v>245</v>
      </c>
      <c r="K137" s="45" t="s">
        <v>2585</v>
      </c>
    </row>
    <row r="138" ht="14.25" customHeight="1">
      <c r="A138" s="41" t="s">
        <v>2716</v>
      </c>
      <c r="B138" s="38" t="s">
        <v>2128</v>
      </c>
      <c r="C138" s="38" t="s">
        <v>243</v>
      </c>
      <c r="D138" s="38" t="s">
        <v>243</v>
      </c>
      <c r="E138" s="52">
        <v>1.0</v>
      </c>
      <c r="F138" s="52">
        <v>1.0</v>
      </c>
      <c r="G138" s="56"/>
      <c r="H138" s="56">
        <v>200.0</v>
      </c>
      <c r="I138" s="38" t="s">
        <v>245</v>
      </c>
      <c r="J138" s="38" t="s">
        <v>245</v>
      </c>
      <c r="K138" s="42" t="s">
        <v>2585</v>
      </c>
    </row>
    <row r="139" ht="14.25" customHeight="1">
      <c r="A139" s="44" t="s">
        <v>2717</v>
      </c>
      <c r="B139" s="39" t="s">
        <v>2132</v>
      </c>
      <c r="C139" s="39" t="s">
        <v>243</v>
      </c>
      <c r="D139" s="39" t="s">
        <v>243</v>
      </c>
      <c r="E139" s="54">
        <v>1.0</v>
      </c>
      <c r="F139" s="54">
        <v>1.0</v>
      </c>
      <c r="G139" s="57"/>
      <c r="H139" s="57">
        <v>130.0</v>
      </c>
      <c r="I139" s="39" t="s">
        <v>245</v>
      </c>
      <c r="J139" s="39" t="s">
        <v>245</v>
      </c>
      <c r="K139" s="45" t="s">
        <v>2585</v>
      </c>
    </row>
    <row r="140" ht="14.25" customHeight="1">
      <c r="A140" s="41" t="s">
        <v>2718</v>
      </c>
      <c r="B140" s="38" t="s">
        <v>2136</v>
      </c>
      <c r="C140" s="38" t="s">
        <v>243</v>
      </c>
      <c r="D140" s="38" t="s">
        <v>243</v>
      </c>
      <c r="E140" s="52">
        <v>1.0</v>
      </c>
      <c r="F140" s="52">
        <v>1.0</v>
      </c>
      <c r="G140" s="56"/>
      <c r="H140" s="56">
        <v>289.0</v>
      </c>
      <c r="I140" s="38" t="s">
        <v>245</v>
      </c>
      <c r="J140" s="38" t="s">
        <v>245</v>
      </c>
      <c r="K140" s="42" t="s">
        <v>2585</v>
      </c>
    </row>
    <row r="141" ht="14.25" customHeight="1">
      <c r="A141" s="44" t="s">
        <v>2719</v>
      </c>
      <c r="B141" s="39" t="s">
        <v>2139</v>
      </c>
      <c r="C141" s="39" t="s">
        <v>243</v>
      </c>
      <c r="D141" s="39" t="s">
        <v>243</v>
      </c>
      <c r="E141" s="54">
        <v>1.0</v>
      </c>
      <c r="F141" s="54">
        <v>1.0</v>
      </c>
      <c r="G141" s="57"/>
      <c r="H141" s="57">
        <v>480.0</v>
      </c>
      <c r="I141" s="39" t="s">
        <v>245</v>
      </c>
      <c r="J141" s="39" t="s">
        <v>245</v>
      </c>
      <c r="K141" s="45" t="s">
        <v>2585</v>
      </c>
    </row>
    <row r="142" ht="14.25" customHeight="1">
      <c r="A142" s="41" t="s">
        <v>2720</v>
      </c>
      <c r="B142" s="38" t="s">
        <v>2142</v>
      </c>
      <c r="C142" s="38" t="s">
        <v>243</v>
      </c>
      <c r="D142" s="38" t="s">
        <v>243</v>
      </c>
      <c r="E142" s="52">
        <v>1.0</v>
      </c>
      <c r="F142" s="52">
        <v>1.0</v>
      </c>
      <c r="G142" s="56"/>
      <c r="H142" s="56">
        <v>400.0</v>
      </c>
      <c r="I142" s="38" t="s">
        <v>245</v>
      </c>
      <c r="J142" s="38" t="s">
        <v>245</v>
      </c>
      <c r="K142" s="42" t="s">
        <v>2585</v>
      </c>
    </row>
    <row r="143" ht="14.25" customHeight="1">
      <c r="A143" s="44" t="s">
        <v>2721</v>
      </c>
      <c r="B143" s="39" t="s">
        <v>2146</v>
      </c>
      <c r="C143" s="39" t="s">
        <v>243</v>
      </c>
      <c r="D143" s="39" t="s">
        <v>243</v>
      </c>
      <c r="E143" s="54">
        <v>1.0</v>
      </c>
      <c r="F143" s="54">
        <v>1.0</v>
      </c>
      <c r="G143" s="57"/>
      <c r="H143" s="57">
        <v>510.0</v>
      </c>
      <c r="I143" s="39" t="s">
        <v>245</v>
      </c>
      <c r="J143" s="39" t="s">
        <v>245</v>
      </c>
      <c r="K143" s="45" t="s">
        <v>2585</v>
      </c>
    </row>
    <row r="144" ht="14.25" customHeight="1">
      <c r="A144" s="41" t="s">
        <v>2722</v>
      </c>
      <c r="B144" s="38" t="s">
        <v>2149</v>
      </c>
      <c r="C144" s="38" t="s">
        <v>243</v>
      </c>
      <c r="D144" s="38" t="s">
        <v>243</v>
      </c>
      <c r="E144" s="52">
        <v>1.0</v>
      </c>
      <c r="F144" s="52">
        <v>1.0</v>
      </c>
      <c r="G144" s="56"/>
      <c r="H144" s="56">
        <v>700.0</v>
      </c>
      <c r="I144" s="38" t="s">
        <v>245</v>
      </c>
      <c r="J144" s="38" t="s">
        <v>245</v>
      </c>
      <c r="K144" s="42" t="s">
        <v>2585</v>
      </c>
    </row>
    <row r="145" ht="14.25" customHeight="1">
      <c r="A145" s="44" t="s">
        <v>2723</v>
      </c>
      <c r="B145" s="39" t="s">
        <v>2152</v>
      </c>
      <c r="C145" s="39" t="s">
        <v>243</v>
      </c>
      <c r="D145" s="39" t="s">
        <v>243</v>
      </c>
      <c r="E145" s="54">
        <v>1.0</v>
      </c>
      <c r="F145" s="54">
        <v>1.0</v>
      </c>
      <c r="G145" s="57"/>
      <c r="H145" s="57">
        <v>120.0</v>
      </c>
      <c r="I145" s="39" t="s">
        <v>245</v>
      </c>
      <c r="J145" s="39" t="s">
        <v>245</v>
      </c>
      <c r="K145" s="45" t="s">
        <v>2585</v>
      </c>
    </row>
    <row r="146" ht="14.25" customHeight="1">
      <c r="A146" s="41" t="s">
        <v>2724</v>
      </c>
      <c r="B146" s="38" t="s">
        <v>2156</v>
      </c>
      <c r="C146" s="38" t="s">
        <v>243</v>
      </c>
      <c r="D146" s="38" t="s">
        <v>243</v>
      </c>
      <c r="E146" s="52">
        <v>1.0</v>
      </c>
      <c r="F146" s="52">
        <v>1.0</v>
      </c>
      <c r="G146" s="56"/>
      <c r="H146" s="56">
        <v>165.0</v>
      </c>
      <c r="I146" s="38" t="s">
        <v>245</v>
      </c>
      <c r="J146" s="38" t="s">
        <v>245</v>
      </c>
      <c r="K146" s="42" t="s">
        <v>2585</v>
      </c>
    </row>
    <row r="147" ht="14.25" customHeight="1">
      <c r="A147" s="44" t="s">
        <v>2725</v>
      </c>
      <c r="B147" s="39" t="s">
        <v>2160</v>
      </c>
      <c r="C147" s="39" t="s">
        <v>243</v>
      </c>
      <c r="D147" s="39" t="s">
        <v>243</v>
      </c>
      <c r="E147" s="54">
        <v>1.0</v>
      </c>
      <c r="F147" s="54">
        <v>1.0</v>
      </c>
      <c r="G147" s="57"/>
      <c r="H147" s="57">
        <v>198.0</v>
      </c>
      <c r="I147" s="39" t="s">
        <v>245</v>
      </c>
      <c r="J147" s="39" t="s">
        <v>245</v>
      </c>
      <c r="K147" s="45" t="s">
        <v>2585</v>
      </c>
    </row>
    <row r="148" ht="14.25" customHeight="1">
      <c r="A148" s="41" t="s">
        <v>2726</v>
      </c>
      <c r="B148" s="38" t="s">
        <v>2164</v>
      </c>
      <c r="C148" s="38" t="s">
        <v>243</v>
      </c>
      <c r="D148" s="38" t="s">
        <v>243</v>
      </c>
      <c r="E148" s="52">
        <v>1.0</v>
      </c>
      <c r="F148" s="52">
        <v>1.0</v>
      </c>
      <c r="G148" s="56"/>
      <c r="H148" s="56">
        <v>253.0</v>
      </c>
      <c r="I148" s="38" t="s">
        <v>245</v>
      </c>
      <c r="J148" s="38" t="s">
        <v>245</v>
      </c>
      <c r="K148" s="42" t="s">
        <v>2585</v>
      </c>
    </row>
    <row r="149" ht="14.25" customHeight="1">
      <c r="A149" s="44" t="s">
        <v>2727</v>
      </c>
      <c r="B149" s="39" t="s">
        <v>2168</v>
      </c>
      <c r="C149" s="39" t="s">
        <v>243</v>
      </c>
      <c r="D149" s="39" t="s">
        <v>243</v>
      </c>
      <c r="E149" s="54">
        <v>1.0</v>
      </c>
      <c r="F149" s="54">
        <v>1.0</v>
      </c>
      <c r="G149" s="57"/>
      <c r="H149" s="57">
        <v>275.0</v>
      </c>
      <c r="I149" s="39" t="s">
        <v>245</v>
      </c>
      <c r="J149" s="39" t="s">
        <v>245</v>
      </c>
      <c r="K149" s="45" t="s">
        <v>2585</v>
      </c>
    </row>
    <row r="150" ht="14.25" customHeight="1">
      <c r="A150" s="41" t="s">
        <v>2728</v>
      </c>
      <c r="B150" s="38" t="s">
        <v>2171</v>
      </c>
      <c r="C150" s="38" t="s">
        <v>243</v>
      </c>
      <c r="D150" s="38" t="s">
        <v>243</v>
      </c>
      <c r="E150" s="52">
        <v>1.0</v>
      </c>
      <c r="F150" s="52">
        <v>1.0</v>
      </c>
      <c r="G150" s="56"/>
      <c r="H150" s="56">
        <v>330.0</v>
      </c>
      <c r="I150" s="38" t="s">
        <v>245</v>
      </c>
      <c r="J150" s="38" t="s">
        <v>245</v>
      </c>
      <c r="K150" s="42" t="s">
        <v>2585</v>
      </c>
    </row>
    <row r="151" ht="14.25" customHeight="1">
      <c r="A151" s="44" t="s">
        <v>2729</v>
      </c>
      <c r="B151" s="39" t="s">
        <v>2175</v>
      </c>
      <c r="C151" s="39" t="s">
        <v>243</v>
      </c>
      <c r="D151" s="39" t="s">
        <v>243</v>
      </c>
      <c r="E151" s="54">
        <v>1.0</v>
      </c>
      <c r="F151" s="54">
        <v>1.0</v>
      </c>
      <c r="G151" s="57"/>
      <c r="H151" s="57">
        <v>660.0</v>
      </c>
      <c r="I151" s="39" t="s">
        <v>245</v>
      </c>
      <c r="J151" s="39" t="s">
        <v>245</v>
      </c>
      <c r="K151" s="45" t="s">
        <v>2585</v>
      </c>
    </row>
    <row r="152" ht="14.25" customHeight="1">
      <c r="A152" s="41" t="s">
        <v>2730</v>
      </c>
      <c r="B152" s="38" t="s">
        <v>2178</v>
      </c>
      <c r="C152" s="38" t="s">
        <v>243</v>
      </c>
      <c r="D152" s="38" t="s">
        <v>243</v>
      </c>
      <c r="E152" s="52">
        <v>1.0</v>
      </c>
      <c r="F152" s="52">
        <v>1.0</v>
      </c>
      <c r="G152" s="56"/>
      <c r="H152" s="56">
        <v>60.0</v>
      </c>
      <c r="I152" s="38" t="s">
        <v>245</v>
      </c>
      <c r="J152" s="38" t="s">
        <v>245</v>
      </c>
      <c r="K152" s="42" t="s">
        <v>2585</v>
      </c>
    </row>
    <row r="153" ht="14.25" customHeight="1">
      <c r="A153" s="44" t="s">
        <v>2731</v>
      </c>
      <c r="B153" s="39" t="s">
        <v>2181</v>
      </c>
      <c r="C153" s="39" t="s">
        <v>243</v>
      </c>
      <c r="D153" s="39" t="s">
        <v>243</v>
      </c>
      <c r="E153" s="54">
        <v>1.0</v>
      </c>
      <c r="F153" s="54">
        <v>1.0</v>
      </c>
      <c r="G153" s="57"/>
      <c r="H153" s="57">
        <v>260.0</v>
      </c>
      <c r="I153" s="39" t="s">
        <v>245</v>
      </c>
      <c r="J153" s="39" t="s">
        <v>245</v>
      </c>
      <c r="K153" s="45" t="s">
        <v>2585</v>
      </c>
    </row>
    <row r="154" ht="14.25" customHeight="1">
      <c r="A154" s="41" t="s">
        <v>2732</v>
      </c>
      <c r="B154" s="38" t="s">
        <v>2185</v>
      </c>
      <c r="C154" s="38" t="s">
        <v>243</v>
      </c>
      <c r="D154" s="38" t="s">
        <v>243</v>
      </c>
      <c r="E154" s="52">
        <v>1.0</v>
      </c>
      <c r="F154" s="52">
        <v>1.0</v>
      </c>
      <c r="G154" s="56"/>
      <c r="H154" s="56">
        <v>2550.0</v>
      </c>
      <c r="I154" s="38" t="s">
        <v>245</v>
      </c>
      <c r="J154" s="38" t="s">
        <v>245</v>
      </c>
      <c r="K154" s="42" t="s">
        <v>2585</v>
      </c>
    </row>
    <row r="155" ht="14.25" customHeight="1">
      <c r="A155" s="44" t="s">
        <v>2733</v>
      </c>
      <c r="B155" s="39" t="s">
        <v>2188</v>
      </c>
      <c r="C155" s="39" t="s">
        <v>243</v>
      </c>
      <c r="D155" s="39" t="s">
        <v>243</v>
      </c>
      <c r="E155" s="54">
        <v>1.0</v>
      </c>
      <c r="F155" s="54">
        <v>1.0</v>
      </c>
      <c r="G155" s="57"/>
      <c r="H155" s="57">
        <v>900.0</v>
      </c>
      <c r="I155" s="39" t="s">
        <v>245</v>
      </c>
      <c r="J155" s="39" t="s">
        <v>245</v>
      </c>
      <c r="K155" s="45" t="s">
        <v>2585</v>
      </c>
    </row>
    <row r="156" ht="14.25" customHeight="1">
      <c r="A156" s="41" t="s">
        <v>2734</v>
      </c>
      <c r="B156" s="38" t="s">
        <v>2191</v>
      </c>
      <c r="C156" s="38" t="s">
        <v>243</v>
      </c>
      <c r="D156" s="38" t="s">
        <v>243</v>
      </c>
      <c r="E156" s="52">
        <v>1.0</v>
      </c>
      <c r="F156" s="52">
        <v>1.0</v>
      </c>
      <c r="G156" s="56"/>
      <c r="H156" s="56">
        <v>3700.0</v>
      </c>
      <c r="I156" s="38" t="s">
        <v>245</v>
      </c>
      <c r="J156" s="38" t="s">
        <v>245</v>
      </c>
      <c r="K156" s="42" t="s">
        <v>2585</v>
      </c>
    </row>
    <row r="157" ht="14.25" customHeight="1">
      <c r="A157" s="44" t="s">
        <v>2735</v>
      </c>
      <c r="B157" s="39" t="s">
        <v>2213</v>
      </c>
      <c r="C157" s="39" t="s">
        <v>243</v>
      </c>
      <c r="D157" s="39" t="s">
        <v>243</v>
      </c>
      <c r="E157" s="54">
        <v>1.0</v>
      </c>
      <c r="F157" s="54">
        <v>1.0</v>
      </c>
      <c r="G157" s="57"/>
      <c r="H157" s="57">
        <v>950.0</v>
      </c>
      <c r="I157" s="39" t="s">
        <v>245</v>
      </c>
      <c r="J157" s="39" t="s">
        <v>245</v>
      </c>
      <c r="K157" s="45" t="s">
        <v>2585</v>
      </c>
    </row>
    <row r="158" ht="14.25" customHeight="1">
      <c r="A158" s="41" t="s">
        <v>2736</v>
      </c>
      <c r="B158" s="38" t="s">
        <v>2216</v>
      </c>
      <c r="C158" s="38" t="s">
        <v>243</v>
      </c>
      <c r="D158" s="38" t="s">
        <v>243</v>
      </c>
      <c r="E158" s="52">
        <v>1.0</v>
      </c>
      <c r="F158" s="52">
        <v>1.0</v>
      </c>
      <c r="G158" s="56"/>
      <c r="H158" s="56">
        <v>50.0</v>
      </c>
      <c r="I158" s="38" t="s">
        <v>245</v>
      </c>
      <c r="J158" s="38" t="s">
        <v>245</v>
      </c>
      <c r="K158" s="42" t="s">
        <v>2585</v>
      </c>
    </row>
    <row r="159" ht="14.25" customHeight="1">
      <c r="A159" s="50" t="s">
        <v>2737</v>
      </c>
      <c r="B159" s="50" t="s">
        <v>2400</v>
      </c>
      <c r="C159" s="50" t="s">
        <v>243</v>
      </c>
      <c r="D159" s="50" t="s">
        <v>243</v>
      </c>
      <c r="E159" s="50">
        <v>1.0</v>
      </c>
      <c r="F159" s="50">
        <v>1.0</v>
      </c>
      <c r="H159" s="50">
        <v>180.0</v>
      </c>
      <c r="I159" s="50" t="s">
        <v>245</v>
      </c>
      <c r="J159" s="50" t="s">
        <v>245</v>
      </c>
    </row>
    <row r="160" ht="14.25" customHeight="1">
      <c r="A160" s="50" t="s">
        <v>2738</v>
      </c>
      <c r="B160" s="50" t="s">
        <v>2407</v>
      </c>
      <c r="C160" s="50" t="s">
        <v>243</v>
      </c>
      <c r="D160" s="50" t="s">
        <v>243</v>
      </c>
      <c r="E160" s="50">
        <v>1.0</v>
      </c>
      <c r="F160" s="50">
        <v>1.0</v>
      </c>
      <c r="H160" s="50">
        <v>800.0</v>
      </c>
      <c r="I160" s="50" t="s">
        <v>245</v>
      </c>
      <c r="J160" s="50" t="s">
        <v>245</v>
      </c>
    </row>
    <row r="161" ht="14.25" customHeight="1">
      <c r="A161" s="50" t="s">
        <v>2739</v>
      </c>
      <c r="B161" s="50" t="s">
        <v>2410</v>
      </c>
      <c r="C161" s="50" t="s">
        <v>243</v>
      </c>
      <c r="D161" s="50" t="s">
        <v>243</v>
      </c>
      <c r="E161" s="50">
        <v>1.0</v>
      </c>
      <c r="F161" s="50">
        <v>1.0</v>
      </c>
      <c r="H161" s="50">
        <v>2500.0</v>
      </c>
      <c r="I161" s="50" t="s">
        <v>245</v>
      </c>
      <c r="J161" s="50" t="s">
        <v>245</v>
      </c>
    </row>
    <row r="162" ht="14.25" customHeight="1">
      <c r="A162" s="50" t="s">
        <v>2740</v>
      </c>
      <c r="B162" s="50" t="s">
        <v>2413</v>
      </c>
      <c r="C162" s="50" t="s">
        <v>243</v>
      </c>
      <c r="D162" s="50" t="s">
        <v>243</v>
      </c>
      <c r="E162" s="50">
        <v>1.0</v>
      </c>
      <c r="F162" s="50">
        <v>1.0</v>
      </c>
      <c r="H162" s="50">
        <v>6000.0</v>
      </c>
      <c r="I162" s="50" t="s">
        <v>245</v>
      </c>
      <c r="J162" s="50" t="s">
        <v>245</v>
      </c>
    </row>
    <row r="163" ht="14.25" customHeight="1">
      <c r="A163" s="50" t="s">
        <v>2741</v>
      </c>
      <c r="B163" s="50" t="s">
        <v>2416</v>
      </c>
      <c r="C163" s="50" t="s">
        <v>243</v>
      </c>
      <c r="D163" s="50" t="s">
        <v>243</v>
      </c>
      <c r="E163" s="50">
        <v>1.0</v>
      </c>
      <c r="F163" s="50">
        <v>1.0</v>
      </c>
      <c r="H163" s="50">
        <v>350.0</v>
      </c>
      <c r="I163" s="50" t="s">
        <v>245</v>
      </c>
      <c r="J163" s="50" t="s">
        <v>245</v>
      </c>
    </row>
    <row r="164" ht="14.25" customHeight="1">
      <c r="A164" s="50" t="s">
        <v>2742</v>
      </c>
      <c r="B164" s="50" t="s">
        <v>2419</v>
      </c>
      <c r="C164" s="50" t="s">
        <v>243</v>
      </c>
      <c r="D164" s="50" t="s">
        <v>243</v>
      </c>
      <c r="E164" s="50">
        <v>1.0</v>
      </c>
      <c r="F164" s="50">
        <v>1.0</v>
      </c>
      <c r="H164" s="50">
        <v>120.0</v>
      </c>
      <c r="I164" s="50" t="s">
        <v>245</v>
      </c>
      <c r="J164" s="50" t="s">
        <v>245</v>
      </c>
    </row>
    <row r="165" ht="14.25" customHeight="1">
      <c r="A165" s="50" t="s">
        <v>2743</v>
      </c>
      <c r="B165" s="50" t="s">
        <v>2422</v>
      </c>
      <c r="C165" s="50" t="s">
        <v>243</v>
      </c>
      <c r="D165" s="50" t="s">
        <v>243</v>
      </c>
      <c r="E165" s="50">
        <v>1.0</v>
      </c>
      <c r="F165" s="50">
        <v>1.0</v>
      </c>
      <c r="H165" s="50">
        <v>18000.0</v>
      </c>
      <c r="I165" s="50" t="s">
        <v>245</v>
      </c>
      <c r="J165" s="50" t="s">
        <v>245</v>
      </c>
    </row>
    <row r="166" ht="14.25" customHeight="1">
      <c r="A166" s="50" t="s">
        <v>2744</v>
      </c>
      <c r="B166" s="50" t="s">
        <v>2428</v>
      </c>
      <c r="C166" s="50" t="s">
        <v>243</v>
      </c>
      <c r="D166" s="50" t="s">
        <v>243</v>
      </c>
      <c r="E166" s="50">
        <v>1.0</v>
      </c>
      <c r="F166" s="50">
        <v>1.0</v>
      </c>
      <c r="H166" s="50">
        <v>32000.0</v>
      </c>
      <c r="I166" s="50" t="s">
        <v>245</v>
      </c>
      <c r="J166" s="50" t="s">
        <v>245</v>
      </c>
    </row>
    <row r="167" ht="14.25" customHeight="1">
      <c r="A167" s="50" t="s">
        <v>2745</v>
      </c>
      <c r="B167" s="50" t="s">
        <v>2431</v>
      </c>
      <c r="C167" s="50" t="s">
        <v>243</v>
      </c>
      <c r="D167" s="50" t="s">
        <v>243</v>
      </c>
      <c r="E167" s="50">
        <v>1.0</v>
      </c>
      <c r="F167" s="50">
        <v>1.0</v>
      </c>
      <c r="H167" s="50">
        <v>45000.0</v>
      </c>
      <c r="I167" s="50" t="s">
        <v>245</v>
      </c>
      <c r="J167" s="50" t="s">
        <v>245</v>
      </c>
    </row>
    <row r="168" ht="14.25" customHeight="1">
      <c r="A168" s="50" t="s">
        <v>2746</v>
      </c>
      <c r="B168" s="50" t="s">
        <v>2434</v>
      </c>
      <c r="C168" s="50" t="s">
        <v>243</v>
      </c>
      <c r="D168" s="50" t="s">
        <v>243</v>
      </c>
      <c r="E168" s="50">
        <v>1.0</v>
      </c>
      <c r="F168" s="50">
        <v>1.0</v>
      </c>
      <c r="H168" s="50">
        <v>8000.0</v>
      </c>
      <c r="I168" s="50" t="s">
        <v>245</v>
      </c>
      <c r="J168" s="50" t="s">
        <v>245</v>
      </c>
    </row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K$168"/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12.0"/>
    <col customWidth="1" min="3" max="3" width="13.0"/>
    <col customWidth="1" min="4" max="6" width="10.0"/>
    <col customWidth="1" min="7" max="7" width="11.0"/>
    <col customWidth="1" min="8" max="9" width="14.0"/>
    <col customWidth="1" min="10" max="10" width="40.0"/>
    <col customWidth="1" min="11" max="11" width="19.0"/>
    <col customWidth="1" min="12" max="12" width="11.0"/>
    <col customWidth="1" min="13" max="13" width="10.0"/>
    <col customWidth="1" min="14" max="14" width="40.0"/>
    <col customWidth="1" min="15" max="15" width="14.0"/>
    <col customWidth="1" min="16" max="16" width="25.0"/>
    <col customWidth="1" min="17" max="17" width="14.0"/>
    <col customWidth="1" min="18" max="18" width="10.0"/>
    <col customWidth="1" min="19" max="19" width="14.0"/>
    <col customWidth="1" min="20" max="20" width="24.0"/>
    <col customWidth="1" min="21" max="21" width="16.0"/>
    <col customWidth="1" min="22" max="22" width="14.0"/>
    <col customWidth="1" min="23" max="24" width="10.0"/>
    <col customWidth="1" min="25" max="25" width="14.0"/>
    <col customWidth="1" min="26" max="26" width="19.0"/>
    <col customWidth="1" min="27" max="27" width="13.0"/>
  </cols>
  <sheetData>
    <row r="1" ht="14.25" customHeight="1">
      <c r="A1" s="37" t="s">
        <v>467</v>
      </c>
      <c r="B1" s="37" t="s">
        <v>344</v>
      </c>
      <c r="C1" s="37" t="s">
        <v>524</v>
      </c>
      <c r="D1" s="37" t="s">
        <v>525</v>
      </c>
      <c r="E1" s="37" t="s">
        <v>199</v>
      </c>
      <c r="F1" s="37" t="s">
        <v>200</v>
      </c>
      <c r="G1" s="37" t="s">
        <v>198</v>
      </c>
      <c r="H1" s="37" t="s">
        <v>526</v>
      </c>
      <c r="I1" s="37" t="s">
        <v>527</v>
      </c>
      <c r="J1" s="37" t="s">
        <v>528</v>
      </c>
      <c r="K1" s="37" t="s">
        <v>433</v>
      </c>
      <c r="L1" s="37" t="s">
        <v>474</v>
      </c>
      <c r="M1" s="37" t="s">
        <v>436</v>
      </c>
      <c r="N1" s="37" t="s">
        <v>116</v>
      </c>
      <c r="O1" s="37" t="s">
        <v>529</v>
      </c>
      <c r="P1" s="37" t="s">
        <v>530</v>
      </c>
      <c r="Q1" s="37" t="s">
        <v>531</v>
      </c>
      <c r="R1" s="37" t="s">
        <v>532</v>
      </c>
      <c r="S1" s="37" t="s">
        <v>533</v>
      </c>
      <c r="T1" s="37" t="s">
        <v>438</v>
      </c>
      <c r="U1" s="37" t="s">
        <v>439</v>
      </c>
      <c r="V1" s="37" t="s">
        <v>440</v>
      </c>
      <c r="W1" s="37" t="s">
        <v>441</v>
      </c>
      <c r="X1" s="37" t="s">
        <v>534</v>
      </c>
      <c r="Y1" s="37" t="s">
        <v>535</v>
      </c>
      <c r="Z1" s="37" t="s">
        <v>196</v>
      </c>
      <c r="AA1" s="37" t="s">
        <v>555</v>
      </c>
    </row>
    <row r="2" ht="14.25" customHeight="1">
      <c r="A2" s="41" t="s">
        <v>536</v>
      </c>
      <c r="B2" s="38" t="s">
        <v>1043</v>
      </c>
      <c r="C2" s="51">
        <v>100.0</v>
      </c>
      <c r="D2" s="38"/>
      <c r="E2" s="38"/>
      <c r="F2" s="38"/>
      <c r="G2" s="38"/>
      <c r="H2" s="38"/>
      <c r="I2" s="40">
        <v>3480.0</v>
      </c>
      <c r="J2" s="38" t="s">
        <v>1040</v>
      </c>
      <c r="K2" s="38" t="s">
        <v>242</v>
      </c>
      <c r="L2" s="38" t="s">
        <v>245</v>
      </c>
      <c r="M2" s="38" t="s">
        <v>245</v>
      </c>
      <c r="N2" s="42" t="s">
        <v>2747</v>
      </c>
      <c r="O2" s="38" t="s">
        <v>241</v>
      </c>
      <c r="P2" s="56"/>
      <c r="Q2" s="38" t="s">
        <v>241</v>
      </c>
      <c r="R2" s="38"/>
      <c r="S2" s="51"/>
      <c r="T2" s="38" t="s">
        <v>2245</v>
      </c>
      <c r="U2" s="38"/>
      <c r="V2" s="38"/>
      <c r="W2" s="38"/>
      <c r="X2" s="56"/>
      <c r="Y2" s="51"/>
      <c r="Z2" s="38" t="s">
        <v>335</v>
      </c>
      <c r="AA2" s="38" t="s">
        <v>566</v>
      </c>
    </row>
    <row r="3" ht="14.25" customHeight="1">
      <c r="A3" s="44" t="s">
        <v>540</v>
      </c>
      <c r="B3" s="39" t="s">
        <v>1050</v>
      </c>
      <c r="C3" s="53"/>
      <c r="D3" s="39"/>
      <c r="E3" s="39"/>
      <c r="F3" s="39"/>
      <c r="G3" s="39"/>
      <c r="H3" s="39"/>
      <c r="I3" s="43">
        <v>48.0</v>
      </c>
      <c r="J3" s="39" t="s">
        <v>1045</v>
      </c>
      <c r="K3" s="39" t="s">
        <v>242</v>
      </c>
      <c r="L3" s="39" t="s">
        <v>245</v>
      </c>
      <c r="M3" s="39" t="s">
        <v>245</v>
      </c>
      <c r="N3" s="45" t="s">
        <v>2747</v>
      </c>
      <c r="O3" s="39" t="s">
        <v>306</v>
      </c>
      <c r="P3" s="57"/>
      <c r="Q3" s="39" t="s">
        <v>306</v>
      </c>
      <c r="R3" s="39"/>
      <c r="S3" s="53"/>
      <c r="T3" s="39" t="s">
        <v>2245</v>
      </c>
      <c r="U3" s="39"/>
      <c r="V3" s="39"/>
      <c r="W3" s="39"/>
      <c r="X3" s="57"/>
      <c r="Y3" s="53"/>
      <c r="Z3" s="39" t="s">
        <v>335</v>
      </c>
      <c r="AA3" s="39" t="s">
        <v>567</v>
      </c>
    </row>
    <row r="4" ht="14.25" customHeight="1">
      <c r="A4" s="41" t="s">
        <v>543</v>
      </c>
      <c r="B4" s="38" t="s">
        <v>1057</v>
      </c>
      <c r="C4" s="51"/>
      <c r="D4" s="38"/>
      <c r="E4" s="38"/>
      <c r="F4" s="38"/>
      <c r="G4" s="38"/>
      <c r="H4" s="38"/>
      <c r="I4" s="40">
        <v>580.0</v>
      </c>
      <c r="J4" s="38" t="s">
        <v>1052</v>
      </c>
      <c r="K4" s="38" t="s">
        <v>242</v>
      </c>
      <c r="L4" s="38" t="s">
        <v>245</v>
      </c>
      <c r="M4" s="38" t="s">
        <v>245</v>
      </c>
      <c r="N4" s="42" t="s">
        <v>2747</v>
      </c>
      <c r="O4" s="38" t="s">
        <v>1053</v>
      </c>
      <c r="P4" s="56"/>
      <c r="Q4" s="38" t="s">
        <v>1053</v>
      </c>
      <c r="R4" s="38"/>
      <c r="S4" s="51"/>
      <c r="T4" s="38" t="s">
        <v>2245</v>
      </c>
      <c r="U4" s="38"/>
      <c r="V4" s="38"/>
      <c r="W4" s="38"/>
      <c r="X4" s="56"/>
      <c r="Y4" s="51"/>
      <c r="Z4" s="38" t="s">
        <v>335</v>
      </c>
      <c r="AA4" s="38" t="s">
        <v>1051</v>
      </c>
    </row>
    <row r="5" ht="14.25" customHeight="1">
      <c r="A5" s="44" t="s">
        <v>545</v>
      </c>
      <c r="B5" s="39" t="s">
        <v>1105</v>
      </c>
      <c r="C5" s="53"/>
      <c r="D5" s="39"/>
      <c r="E5" s="39"/>
      <c r="F5" s="39"/>
      <c r="G5" s="39"/>
      <c r="H5" s="39"/>
      <c r="I5" s="43">
        <v>63.0</v>
      </c>
      <c r="J5" s="39" t="s">
        <v>1102</v>
      </c>
      <c r="K5" s="39" t="s">
        <v>242</v>
      </c>
      <c r="L5" s="39" t="s">
        <v>245</v>
      </c>
      <c r="M5" s="39" t="s">
        <v>245</v>
      </c>
      <c r="N5" s="45" t="s">
        <v>2747</v>
      </c>
      <c r="O5" s="39" t="s">
        <v>1103</v>
      </c>
      <c r="P5" s="57"/>
      <c r="Q5" s="39" t="s">
        <v>1103</v>
      </c>
      <c r="R5" s="39"/>
      <c r="S5" s="53"/>
      <c r="T5" s="39" t="s">
        <v>2245</v>
      </c>
      <c r="U5" s="39"/>
      <c r="V5" s="39"/>
      <c r="W5" s="39"/>
      <c r="X5" s="57"/>
      <c r="Y5" s="53"/>
      <c r="Z5" s="39" t="s">
        <v>335</v>
      </c>
      <c r="AA5" s="39" t="s">
        <v>1101</v>
      </c>
    </row>
    <row r="6" ht="14.25" customHeight="1">
      <c r="A6" s="41" t="s">
        <v>547</v>
      </c>
      <c r="B6" s="38" t="s">
        <v>1109</v>
      </c>
      <c r="C6" s="51"/>
      <c r="D6" s="38"/>
      <c r="E6" s="38"/>
      <c r="F6" s="38"/>
      <c r="G6" s="38"/>
      <c r="H6" s="38"/>
      <c r="I6" s="40">
        <v>85.0</v>
      </c>
      <c r="J6" s="38" t="s">
        <v>1107</v>
      </c>
      <c r="K6" s="38" t="s">
        <v>242</v>
      </c>
      <c r="L6" s="38" t="s">
        <v>245</v>
      </c>
      <c r="M6" s="38" t="s">
        <v>245</v>
      </c>
      <c r="N6" s="42" t="s">
        <v>2747</v>
      </c>
      <c r="O6" s="38" t="s">
        <v>1103</v>
      </c>
      <c r="P6" s="56"/>
      <c r="Q6" s="38" t="s">
        <v>1103</v>
      </c>
      <c r="R6" s="38"/>
      <c r="S6" s="51"/>
      <c r="T6" s="38" t="s">
        <v>2245</v>
      </c>
      <c r="U6" s="38"/>
      <c r="V6" s="38"/>
      <c r="W6" s="38"/>
      <c r="X6" s="56"/>
      <c r="Y6" s="51"/>
      <c r="Z6" s="38" t="s">
        <v>335</v>
      </c>
      <c r="AA6" s="38" t="s">
        <v>1106</v>
      </c>
    </row>
    <row r="7" ht="14.25" customHeight="1">
      <c r="A7" s="44" t="s">
        <v>549</v>
      </c>
      <c r="B7" s="39" t="s">
        <v>1121</v>
      </c>
      <c r="C7" s="53"/>
      <c r="D7" s="39"/>
      <c r="E7" s="39"/>
      <c r="F7" s="39"/>
      <c r="G7" s="39"/>
      <c r="H7" s="39"/>
      <c r="I7" s="43">
        <v>15000.0</v>
      </c>
      <c r="J7" s="39" t="s">
        <v>1116</v>
      </c>
      <c r="K7" s="39" t="s">
        <v>242</v>
      </c>
      <c r="L7" s="39" t="s">
        <v>245</v>
      </c>
      <c r="M7" s="39" t="s">
        <v>245</v>
      </c>
      <c r="N7" s="45" t="s">
        <v>2747</v>
      </c>
      <c r="O7" s="39" t="s">
        <v>362</v>
      </c>
      <c r="P7" s="57"/>
      <c r="Q7" s="39" t="s">
        <v>362</v>
      </c>
      <c r="R7" s="39"/>
      <c r="S7" s="53"/>
      <c r="T7" s="39" t="s">
        <v>2245</v>
      </c>
      <c r="U7" s="39"/>
      <c r="V7" s="39"/>
      <c r="W7" s="39"/>
      <c r="X7" s="57"/>
      <c r="Y7" s="53"/>
      <c r="Z7" s="39" t="s">
        <v>335</v>
      </c>
      <c r="AA7" s="39" t="s">
        <v>1115</v>
      </c>
    </row>
    <row r="8" ht="14.25" customHeight="1">
      <c r="A8" s="41" t="s">
        <v>551</v>
      </c>
      <c r="B8" s="38" t="s">
        <v>1131</v>
      </c>
      <c r="C8" s="51"/>
      <c r="D8" s="38"/>
      <c r="E8" s="38"/>
      <c r="F8" s="38"/>
      <c r="G8" s="38"/>
      <c r="H8" s="38"/>
      <c r="I8" s="40">
        <v>6000.0</v>
      </c>
      <c r="J8" s="38" t="s">
        <v>1128</v>
      </c>
      <c r="K8" s="38" t="s">
        <v>242</v>
      </c>
      <c r="L8" s="38" t="s">
        <v>245</v>
      </c>
      <c r="M8" s="38" t="s">
        <v>245</v>
      </c>
      <c r="N8" s="42" t="s">
        <v>2747</v>
      </c>
      <c r="O8" s="38" t="s">
        <v>306</v>
      </c>
      <c r="P8" s="56"/>
      <c r="Q8" s="38" t="s">
        <v>306</v>
      </c>
      <c r="R8" s="38"/>
      <c r="S8" s="51"/>
      <c r="T8" s="38" t="s">
        <v>2245</v>
      </c>
      <c r="U8" s="38"/>
      <c r="V8" s="38"/>
      <c r="W8" s="38"/>
      <c r="X8" s="56"/>
      <c r="Y8" s="51"/>
      <c r="Z8" s="38" t="s">
        <v>335</v>
      </c>
      <c r="AA8" s="38" t="s">
        <v>1127</v>
      </c>
    </row>
    <row r="9" ht="14.25" customHeight="1">
      <c r="A9" s="44" t="s">
        <v>553</v>
      </c>
      <c r="B9" s="39" t="s">
        <v>1136</v>
      </c>
      <c r="C9" s="53"/>
      <c r="D9" s="39"/>
      <c r="E9" s="39"/>
      <c r="F9" s="39"/>
      <c r="G9" s="39"/>
      <c r="H9" s="39"/>
      <c r="I9" s="43">
        <v>0.0</v>
      </c>
      <c r="J9" s="39" t="s">
        <v>1133</v>
      </c>
      <c r="K9" s="39" t="s">
        <v>242</v>
      </c>
      <c r="L9" s="39" t="s">
        <v>245</v>
      </c>
      <c r="M9" s="39" t="s">
        <v>245</v>
      </c>
      <c r="N9" s="45" t="s">
        <v>2747</v>
      </c>
      <c r="O9" s="39" t="s">
        <v>1103</v>
      </c>
      <c r="P9" s="57"/>
      <c r="Q9" s="39" t="s">
        <v>1103</v>
      </c>
      <c r="R9" s="39"/>
      <c r="S9" s="53"/>
      <c r="T9" s="39" t="s">
        <v>2245</v>
      </c>
      <c r="U9" s="39"/>
      <c r="V9" s="39"/>
      <c r="W9" s="39"/>
      <c r="X9" s="57"/>
      <c r="Y9" s="53"/>
      <c r="Z9" s="39" t="s">
        <v>335</v>
      </c>
      <c r="AA9" s="39" t="s">
        <v>1132</v>
      </c>
    </row>
    <row r="10" ht="14.25" customHeight="1">
      <c r="A10" s="41" t="s">
        <v>1141</v>
      </c>
      <c r="B10" s="38" t="s">
        <v>1140</v>
      </c>
      <c r="C10" s="51"/>
      <c r="D10" s="38"/>
      <c r="E10" s="38"/>
      <c r="F10" s="38"/>
      <c r="G10" s="38"/>
      <c r="H10" s="38"/>
      <c r="I10" s="40">
        <v>320.0</v>
      </c>
      <c r="J10" s="38" t="s">
        <v>1138</v>
      </c>
      <c r="K10" s="38" t="s">
        <v>242</v>
      </c>
      <c r="L10" s="38" t="s">
        <v>245</v>
      </c>
      <c r="M10" s="38" t="s">
        <v>245</v>
      </c>
      <c r="N10" s="42" t="s">
        <v>2747</v>
      </c>
      <c r="O10" s="38" t="s">
        <v>1103</v>
      </c>
      <c r="P10" s="56"/>
      <c r="Q10" s="38" t="s">
        <v>1103</v>
      </c>
      <c r="R10" s="38"/>
      <c r="S10" s="51"/>
      <c r="T10" s="38" t="s">
        <v>2245</v>
      </c>
      <c r="U10" s="38"/>
      <c r="V10" s="38"/>
      <c r="W10" s="38"/>
      <c r="X10" s="56"/>
      <c r="Y10" s="51"/>
      <c r="Z10" s="38" t="s">
        <v>335</v>
      </c>
      <c r="AA10" s="38" t="s">
        <v>1137</v>
      </c>
    </row>
    <row r="11" ht="14.25" customHeight="1">
      <c r="A11" s="44" t="s">
        <v>1146</v>
      </c>
      <c r="B11" s="39" t="s">
        <v>1145</v>
      </c>
      <c r="C11" s="53">
        <v>4.0</v>
      </c>
      <c r="D11" s="39"/>
      <c r="E11" s="39"/>
      <c r="F11" s="39"/>
      <c r="G11" s="39"/>
      <c r="H11" s="39"/>
      <c r="I11" s="43">
        <v>430.0</v>
      </c>
      <c r="J11" s="39" t="s">
        <v>1143</v>
      </c>
      <c r="K11" s="39" t="s">
        <v>242</v>
      </c>
      <c r="L11" s="39" t="s">
        <v>245</v>
      </c>
      <c r="M11" s="39" t="s">
        <v>245</v>
      </c>
      <c r="N11" s="45" t="s">
        <v>2747</v>
      </c>
      <c r="O11" s="39" t="s">
        <v>1103</v>
      </c>
      <c r="P11" s="57"/>
      <c r="Q11" s="39" t="s">
        <v>1103</v>
      </c>
      <c r="R11" s="39"/>
      <c r="S11" s="53"/>
      <c r="T11" s="39" t="s">
        <v>2245</v>
      </c>
      <c r="U11" s="39"/>
      <c r="V11" s="39"/>
      <c r="W11" s="39"/>
      <c r="X11" s="57"/>
      <c r="Y11" s="53"/>
      <c r="Z11" s="39" t="s">
        <v>335</v>
      </c>
      <c r="AA11" s="39" t="s">
        <v>1142</v>
      </c>
    </row>
    <row r="12" ht="14.25" customHeight="1">
      <c r="A12" s="41" t="s">
        <v>1152</v>
      </c>
      <c r="B12" s="38" t="s">
        <v>1151</v>
      </c>
      <c r="C12" s="51">
        <v>3000.0</v>
      </c>
      <c r="D12" s="38"/>
      <c r="E12" s="38"/>
      <c r="F12" s="38"/>
      <c r="G12" s="38"/>
      <c r="H12" s="38"/>
      <c r="I12" s="40">
        <v>280.0</v>
      </c>
      <c r="J12" s="38" t="s">
        <v>1148</v>
      </c>
      <c r="K12" s="38" t="s">
        <v>242</v>
      </c>
      <c r="L12" s="38" t="s">
        <v>245</v>
      </c>
      <c r="M12" s="38" t="s">
        <v>245</v>
      </c>
      <c r="N12" s="42" t="s">
        <v>2747</v>
      </c>
      <c r="O12" s="38" t="s">
        <v>306</v>
      </c>
      <c r="P12" s="56"/>
      <c r="Q12" s="38" t="s">
        <v>306</v>
      </c>
      <c r="R12" s="38"/>
      <c r="S12" s="51"/>
      <c r="T12" s="38" t="s">
        <v>2245</v>
      </c>
      <c r="U12" s="38"/>
      <c r="V12" s="38"/>
      <c r="W12" s="38"/>
      <c r="X12" s="56"/>
      <c r="Y12" s="51"/>
      <c r="Z12" s="38" t="s">
        <v>335</v>
      </c>
      <c r="AA12" s="38" t="s">
        <v>1147</v>
      </c>
    </row>
    <row r="13" ht="14.25" customHeight="1">
      <c r="A13" s="44" t="s">
        <v>1157</v>
      </c>
      <c r="B13" s="39" t="s">
        <v>1156</v>
      </c>
      <c r="C13" s="53">
        <v>3000.0</v>
      </c>
      <c r="D13" s="39"/>
      <c r="E13" s="39"/>
      <c r="F13" s="39"/>
      <c r="G13" s="39"/>
      <c r="H13" s="39"/>
      <c r="I13" s="43">
        <v>245.0</v>
      </c>
      <c r="J13" s="39" t="s">
        <v>1154</v>
      </c>
      <c r="K13" s="39" t="s">
        <v>242</v>
      </c>
      <c r="L13" s="39" t="s">
        <v>245</v>
      </c>
      <c r="M13" s="39" t="s">
        <v>245</v>
      </c>
      <c r="N13" s="45" t="s">
        <v>2747</v>
      </c>
      <c r="O13" s="39" t="s">
        <v>306</v>
      </c>
      <c r="P13" s="57"/>
      <c r="Q13" s="39" t="s">
        <v>306</v>
      </c>
      <c r="R13" s="39"/>
      <c r="S13" s="53"/>
      <c r="T13" s="39" t="s">
        <v>2245</v>
      </c>
      <c r="U13" s="39"/>
      <c r="V13" s="39"/>
      <c r="W13" s="39"/>
      <c r="X13" s="57"/>
      <c r="Y13" s="53"/>
      <c r="Z13" s="39" t="s">
        <v>335</v>
      </c>
      <c r="AA13" s="39" t="s">
        <v>1153</v>
      </c>
    </row>
    <row r="14" ht="14.25" customHeight="1">
      <c r="A14" s="41" t="s">
        <v>1162</v>
      </c>
      <c r="B14" s="38" t="s">
        <v>1161</v>
      </c>
      <c r="C14" s="51">
        <v>100.0</v>
      </c>
      <c r="D14" s="38"/>
      <c r="E14" s="38"/>
      <c r="F14" s="38"/>
      <c r="G14" s="38"/>
      <c r="H14" s="38"/>
      <c r="I14" s="40">
        <v>2500.0</v>
      </c>
      <c r="J14" s="38" t="s">
        <v>1159</v>
      </c>
      <c r="K14" s="38" t="s">
        <v>242</v>
      </c>
      <c r="L14" s="38" t="s">
        <v>245</v>
      </c>
      <c r="M14" s="38" t="s">
        <v>245</v>
      </c>
      <c r="N14" s="42" t="s">
        <v>2747</v>
      </c>
      <c r="O14" s="38" t="s">
        <v>241</v>
      </c>
      <c r="P14" s="56"/>
      <c r="Q14" s="38" t="s">
        <v>241</v>
      </c>
      <c r="R14" s="38"/>
      <c r="S14" s="51"/>
      <c r="T14" s="38" t="s">
        <v>2245</v>
      </c>
      <c r="U14" s="38"/>
      <c r="V14" s="38"/>
      <c r="W14" s="38"/>
      <c r="X14" s="56"/>
      <c r="Y14" s="51"/>
      <c r="Z14" s="38" t="s">
        <v>335</v>
      </c>
      <c r="AA14" s="38" t="s">
        <v>1158</v>
      </c>
    </row>
    <row r="15" ht="14.25" customHeight="1">
      <c r="A15" s="44" t="s">
        <v>1166</v>
      </c>
      <c r="B15" s="39" t="s">
        <v>1165</v>
      </c>
      <c r="C15" s="53">
        <v>50.0</v>
      </c>
      <c r="D15" s="39"/>
      <c r="E15" s="39"/>
      <c r="F15" s="39"/>
      <c r="G15" s="39"/>
      <c r="H15" s="39"/>
      <c r="I15" s="43">
        <v>2300.0</v>
      </c>
      <c r="J15" s="39" t="s">
        <v>1164</v>
      </c>
      <c r="K15" s="39" t="s">
        <v>242</v>
      </c>
      <c r="L15" s="39" t="s">
        <v>245</v>
      </c>
      <c r="M15" s="39" t="s">
        <v>245</v>
      </c>
      <c r="N15" s="45" t="s">
        <v>2747</v>
      </c>
      <c r="O15" s="39" t="s">
        <v>241</v>
      </c>
      <c r="P15" s="57"/>
      <c r="Q15" s="39" t="s">
        <v>241</v>
      </c>
      <c r="R15" s="39"/>
      <c r="S15" s="53"/>
      <c r="T15" s="39" t="s">
        <v>2245</v>
      </c>
      <c r="U15" s="39"/>
      <c r="V15" s="39"/>
      <c r="W15" s="39"/>
      <c r="X15" s="57"/>
      <c r="Y15" s="53"/>
      <c r="Z15" s="39" t="s">
        <v>335</v>
      </c>
      <c r="AA15" s="39" t="s">
        <v>1163</v>
      </c>
    </row>
    <row r="16" ht="14.25" customHeight="1">
      <c r="A16" s="41" t="s">
        <v>1171</v>
      </c>
      <c r="B16" s="38" t="s">
        <v>1170</v>
      </c>
      <c r="C16" s="51"/>
      <c r="D16" s="38"/>
      <c r="E16" s="38"/>
      <c r="F16" s="38"/>
      <c r="G16" s="38"/>
      <c r="H16" s="38"/>
      <c r="I16" s="40">
        <v>4730.0</v>
      </c>
      <c r="J16" s="38" t="s">
        <v>1168</v>
      </c>
      <c r="K16" s="38" t="s">
        <v>242</v>
      </c>
      <c r="L16" s="38" t="s">
        <v>245</v>
      </c>
      <c r="M16" s="38" t="s">
        <v>245</v>
      </c>
      <c r="N16" s="42" t="s">
        <v>2747</v>
      </c>
      <c r="O16" s="38" t="s">
        <v>241</v>
      </c>
      <c r="P16" s="56"/>
      <c r="Q16" s="38" t="s">
        <v>241</v>
      </c>
      <c r="R16" s="38"/>
      <c r="S16" s="51"/>
      <c r="T16" s="38" t="s">
        <v>2245</v>
      </c>
      <c r="U16" s="38"/>
      <c r="V16" s="38"/>
      <c r="W16" s="38"/>
      <c r="X16" s="56"/>
      <c r="Y16" s="51"/>
      <c r="Z16" s="38" t="s">
        <v>335</v>
      </c>
      <c r="AA16" s="38" t="s">
        <v>1167</v>
      </c>
    </row>
    <row r="17" ht="14.25" customHeight="1">
      <c r="A17" s="44" t="s">
        <v>1176</v>
      </c>
      <c r="B17" s="39" t="s">
        <v>1175</v>
      </c>
      <c r="C17" s="53">
        <v>50.0</v>
      </c>
      <c r="D17" s="39"/>
      <c r="E17" s="39"/>
      <c r="F17" s="39"/>
      <c r="G17" s="39"/>
      <c r="H17" s="39"/>
      <c r="I17" s="43">
        <v>4630.0</v>
      </c>
      <c r="J17" s="39" t="s">
        <v>1173</v>
      </c>
      <c r="K17" s="39" t="s">
        <v>242</v>
      </c>
      <c r="L17" s="39" t="s">
        <v>245</v>
      </c>
      <c r="M17" s="39" t="s">
        <v>245</v>
      </c>
      <c r="N17" s="45" t="s">
        <v>2747</v>
      </c>
      <c r="O17" s="39" t="s">
        <v>241</v>
      </c>
      <c r="P17" s="57"/>
      <c r="Q17" s="39" t="s">
        <v>241</v>
      </c>
      <c r="R17" s="39"/>
      <c r="S17" s="53"/>
      <c r="T17" s="39" t="s">
        <v>2245</v>
      </c>
      <c r="U17" s="39"/>
      <c r="V17" s="39"/>
      <c r="W17" s="39"/>
      <c r="X17" s="57"/>
      <c r="Y17" s="53"/>
      <c r="Z17" s="39" t="s">
        <v>335</v>
      </c>
      <c r="AA17" s="39" t="s">
        <v>1172</v>
      </c>
    </row>
    <row r="18" ht="14.25" customHeight="1">
      <c r="A18" s="41" t="s">
        <v>1181</v>
      </c>
      <c r="B18" s="38" t="s">
        <v>1180</v>
      </c>
      <c r="C18" s="51"/>
      <c r="D18" s="38"/>
      <c r="E18" s="38"/>
      <c r="F18" s="38"/>
      <c r="G18" s="38"/>
      <c r="H18" s="38"/>
      <c r="I18" s="40">
        <v>840.0</v>
      </c>
      <c r="J18" s="38" t="s">
        <v>1178</v>
      </c>
      <c r="K18" s="38" t="s">
        <v>242</v>
      </c>
      <c r="L18" s="38" t="s">
        <v>245</v>
      </c>
      <c r="M18" s="38" t="s">
        <v>245</v>
      </c>
      <c r="N18" s="42" t="s">
        <v>2747</v>
      </c>
      <c r="O18" s="38" t="s">
        <v>241</v>
      </c>
      <c r="P18" s="56"/>
      <c r="Q18" s="38" t="s">
        <v>241</v>
      </c>
      <c r="R18" s="38"/>
      <c r="S18" s="51"/>
      <c r="T18" s="38" t="s">
        <v>2245</v>
      </c>
      <c r="U18" s="38"/>
      <c r="V18" s="38"/>
      <c r="W18" s="38"/>
      <c r="X18" s="56"/>
      <c r="Y18" s="51"/>
      <c r="Z18" s="38" t="s">
        <v>335</v>
      </c>
      <c r="AA18" s="38" t="s">
        <v>1177</v>
      </c>
    </row>
    <row r="19" ht="14.25" customHeight="1">
      <c r="A19" s="44" t="s">
        <v>1186</v>
      </c>
      <c r="B19" s="39" t="s">
        <v>1185</v>
      </c>
      <c r="C19" s="53">
        <v>60.0</v>
      </c>
      <c r="D19" s="39"/>
      <c r="E19" s="39"/>
      <c r="F19" s="39"/>
      <c r="G19" s="39"/>
      <c r="H19" s="39"/>
      <c r="I19" s="43">
        <v>1100.0</v>
      </c>
      <c r="J19" s="39" t="s">
        <v>1183</v>
      </c>
      <c r="K19" s="39" t="s">
        <v>242</v>
      </c>
      <c r="L19" s="39" t="s">
        <v>245</v>
      </c>
      <c r="M19" s="39" t="s">
        <v>245</v>
      </c>
      <c r="N19" s="45" t="s">
        <v>2747</v>
      </c>
      <c r="O19" s="39" t="s">
        <v>241</v>
      </c>
      <c r="P19" s="57"/>
      <c r="Q19" s="39" t="s">
        <v>241</v>
      </c>
      <c r="R19" s="39"/>
      <c r="S19" s="53"/>
      <c r="T19" s="39" t="s">
        <v>2245</v>
      </c>
      <c r="U19" s="39"/>
      <c r="V19" s="39"/>
      <c r="W19" s="39"/>
      <c r="X19" s="57"/>
      <c r="Y19" s="53"/>
      <c r="Z19" s="39" t="s">
        <v>335</v>
      </c>
      <c r="AA19" s="39" t="s">
        <v>1182</v>
      </c>
    </row>
    <row r="20" ht="14.25" customHeight="1">
      <c r="A20" s="41" t="s">
        <v>1191</v>
      </c>
      <c r="B20" s="38" t="s">
        <v>1190</v>
      </c>
      <c r="C20" s="51"/>
      <c r="D20" s="38"/>
      <c r="E20" s="38"/>
      <c r="F20" s="38"/>
      <c r="G20" s="38"/>
      <c r="H20" s="38"/>
      <c r="I20" s="40">
        <v>3025.0</v>
      </c>
      <c r="J20" s="38" t="s">
        <v>1188</v>
      </c>
      <c r="K20" s="38" t="s">
        <v>242</v>
      </c>
      <c r="L20" s="38" t="s">
        <v>245</v>
      </c>
      <c r="M20" s="38" t="s">
        <v>245</v>
      </c>
      <c r="N20" s="42" t="s">
        <v>2747</v>
      </c>
      <c r="O20" s="38" t="s">
        <v>241</v>
      </c>
      <c r="P20" s="56"/>
      <c r="Q20" s="38" t="s">
        <v>241</v>
      </c>
      <c r="R20" s="38"/>
      <c r="S20" s="51"/>
      <c r="T20" s="38" t="s">
        <v>2245</v>
      </c>
      <c r="U20" s="38"/>
      <c r="V20" s="38"/>
      <c r="W20" s="38"/>
      <c r="X20" s="56"/>
      <c r="Y20" s="51"/>
      <c r="Z20" s="38" t="s">
        <v>335</v>
      </c>
      <c r="AA20" s="38" t="s">
        <v>1187</v>
      </c>
    </row>
    <row r="21" ht="14.25" customHeight="1">
      <c r="A21" s="44" t="s">
        <v>1280</v>
      </c>
      <c r="B21" s="39" t="s">
        <v>1279</v>
      </c>
      <c r="C21" s="53">
        <v>50.0</v>
      </c>
      <c r="D21" s="39"/>
      <c r="E21" s="39"/>
      <c r="F21" s="39"/>
      <c r="G21" s="39"/>
      <c r="H21" s="39"/>
      <c r="I21" s="43">
        <v>3850.0</v>
      </c>
      <c r="J21" s="39" t="s">
        <v>1277</v>
      </c>
      <c r="K21" s="39" t="s">
        <v>242</v>
      </c>
      <c r="L21" s="39" t="s">
        <v>245</v>
      </c>
      <c r="M21" s="39" t="s">
        <v>245</v>
      </c>
      <c r="N21" s="45" t="s">
        <v>2747</v>
      </c>
      <c r="O21" s="39" t="s">
        <v>241</v>
      </c>
      <c r="P21" s="57"/>
      <c r="Q21" s="39" t="s">
        <v>241</v>
      </c>
      <c r="R21" s="39"/>
      <c r="S21" s="53"/>
      <c r="T21" s="39" t="s">
        <v>2245</v>
      </c>
      <c r="U21" s="39"/>
      <c r="V21" s="39"/>
      <c r="W21" s="39"/>
      <c r="X21" s="57"/>
      <c r="Y21" s="53"/>
      <c r="Z21" s="39" t="s">
        <v>335</v>
      </c>
      <c r="AA21" s="39" t="s">
        <v>1276</v>
      </c>
    </row>
    <row r="22" ht="14.25" customHeight="1">
      <c r="A22" s="41" t="s">
        <v>1285</v>
      </c>
      <c r="B22" s="38" t="s">
        <v>1284</v>
      </c>
      <c r="C22" s="51">
        <v>80.0</v>
      </c>
      <c r="D22" s="38"/>
      <c r="E22" s="38"/>
      <c r="F22" s="38"/>
      <c r="G22" s="38"/>
      <c r="H22" s="38"/>
      <c r="I22" s="40">
        <v>4620.0</v>
      </c>
      <c r="J22" s="38" t="s">
        <v>1282</v>
      </c>
      <c r="K22" s="38" t="s">
        <v>242</v>
      </c>
      <c r="L22" s="38" t="s">
        <v>245</v>
      </c>
      <c r="M22" s="38" t="s">
        <v>245</v>
      </c>
      <c r="N22" s="42" t="s">
        <v>2747</v>
      </c>
      <c r="O22" s="38" t="s">
        <v>241</v>
      </c>
      <c r="P22" s="56"/>
      <c r="Q22" s="38" t="s">
        <v>241</v>
      </c>
      <c r="R22" s="38"/>
      <c r="S22" s="51"/>
      <c r="T22" s="38" t="s">
        <v>2245</v>
      </c>
      <c r="U22" s="38"/>
      <c r="V22" s="38"/>
      <c r="W22" s="38"/>
      <c r="X22" s="56"/>
      <c r="Y22" s="51"/>
      <c r="Z22" s="38" t="s">
        <v>335</v>
      </c>
      <c r="AA22" s="38" t="s">
        <v>1281</v>
      </c>
    </row>
    <row r="23" ht="14.25" customHeight="1">
      <c r="A23" s="44" t="s">
        <v>1292</v>
      </c>
      <c r="B23" s="39" t="s">
        <v>1291</v>
      </c>
      <c r="C23" s="53"/>
      <c r="D23" s="39"/>
      <c r="E23" s="39"/>
      <c r="F23" s="39"/>
      <c r="G23" s="39"/>
      <c r="H23" s="39"/>
      <c r="I23" s="43">
        <v>330.0</v>
      </c>
      <c r="J23" s="39" t="s">
        <v>1287</v>
      </c>
      <c r="K23" s="39" t="s">
        <v>242</v>
      </c>
      <c r="L23" s="39" t="s">
        <v>245</v>
      </c>
      <c r="M23" s="39" t="s">
        <v>245</v>
      </c>
      <c r="N23" s="45" t="s">
        <v>2747</v>
      </c>
      <c r="O23" s="39" t="s">
        <v>1288</v>
      </c>
      <c r="P23" s="57"/>
      <c r="Q23" s="39" t="s">
        <v>1288</v>
      </c>
      <c r="R23" s="39"/>
      <c r="S23" s="53"/>
      <c r="T23" s="39" t="s">
        <v>2245</v>
      </c>
      <c r="U23" s="39"/>
      <c r="V23" s="39"/>
      <c r="W23" s="39"/>
      <c r="X23" s="57"/>
      <c r="Y23" s="53"/>
      <c r="Z23" s="39" t="s">
        <v>335</v>
      </c>
      <c r="AA23" s="39" t="s">
        <v>1286</v>
      </c>
    </row>
    <row r="24" ht="14.25" customHeight="1">
      <c r="A24" s="41" t="s">
        <v>1297</v>
      </c>
      <c r="B24" s="38" t="s">
        <v>1296</v>
      </c>
      <c r="C24" s="51"/>
      <c r="D24" s="38"/>
      <c r="E24" s="38"/>
      <c r="F24" s="38"/>
      <c r="G24" s="38"/>
      <c r="H24" s="38"/>
      <c r="I24" s="40">
        <v>115.0</v>
      </c>
      <c r="J24" s="38" t="s">
        <v>1294</v>
      </c>
      <c r="K24" s="38" t="s">
        <v>242</v>
      </c>
      <c r="L24" s="38" t="s">
        <v>245</v>
      </c>
      <c r="M24" s="38" t="s">
        <v>245</v>
      </c>
      <c r="N24" s="42" t="s">
        <v>2747</v>
      </c>
      <c r="O24" s="38" t="s">
        <v>1288</v>
      </c>
      <c r="P24" s="56"/>
      <c r="Q24" s="38" t="s">
        <v>1288</v>
      </c>
      <c r="R24" s="38"/>
      <c r="S24" s="51"/>
      <c r="T24" s="38" t="s">
        <v>2245</v>
      </c>
      <c r="U24" s="38"/>
      <c r="V24" s="38"/>
      <c r="W24" s="38"/>
      <c r="X24" s="56"/>
      <c r="Y24" s="51"/>
      <c r="Z24" s="38" t="s">
        <v>335</v>
      </c>
      <c r="AA24" s="38" t="s">
        <v>1293</v>
      </c>
    </row>
    <row r="25" ht="14.25" customHeight="1">
      <c r="A25" s="44" t="s">
        <v>1302</v>
      </c>
      <c r="B25" s="39" t="s">
        <v>1301</v>
      </c>
      <c r="C25" s="53"/>
      <c r="D25" s="39"/>
      <c r="E25" s="39"/>
      <c r="F25" s="39"/>
      <c r="G25" s="39"/>
      <c r="H25" s="39"/>
      <c r="I25" s="43">
        <v>145.0</v>
      </c>
      <c r="J25" s="39" t="s">
        <v>1299</v>
      </c>
      <c r="K25" s="39" t="s">
        <v>242</v>
      </c>
      <c r="L25" s="39" t="s">
        <v>245</v>
      </c>
      <c r="M25" s="39" t="s">
        <v>245</v>
      </c>
      <c r="N25" s="45" t="s">
        <v>2747</v>
      </c>
      <c r="O25" s="39" t="s">
        <v>1288</v>
      </c>
      <c r="P25" s="57"/>
      <c r="Q25" s="39" t="s">
        <v>1288</v>
      </c>
      <c r="R25" s="39"/>
      <c r="S25" s="53"/>
      <c r="T25" s="39" t="s">
        <v>2245</v>
      </c>
      <c r="U25" s="39"/>
      <c r="V25" s="39"/>
      <c r="W25" s="39"/>
      <c r="X25" s="57"/>
      <c r="Y25" s="53"/>
      <c r="Z25" s="39" t="s">
        <v>335</v>
      </c>
      <c r="AA25" s="39" t="s">
        <v>1298</v>
      </c>
    </row>
    <row r="26" ht="14.25" customHeight="1">
      <c r="A26" s="41" t="s">
        <v>1307</v>
      </c>
      <c r="B26" s="38" t="s">
        <v>1306</v>
      </c>
      <c r="C26" s="51"/>
      <c r="D26" s="38"/>
      <c r="E26" s="38"/>
      <c r="F26" s="38"/>
      <c r="G26" s="38"/>
      <c r="H26" s="38"/>
      <c r="I26" s="40">
        <v>75.0</v>
      </c>
      <c r="J26" s="38" t="s">
        <v>1304</v>
      </c>
      <c r="K26" s="38" t="s">
        <v>242</v>
      </c>
      <c r="L26" s="38" t="s">
        <v>245</v>
      </c>
      <c r="M26" s="38" t="s">
        <v>245</v>
      </c>
      <c r="N26" s="42" t="s">
        <v>2747</v>
      </c>
      <c r="O26" s="38" t="s">
        <v>241</v>
      </c>
      <c r="P26" s="56"/>
      <c r="Q26" s="38" t="s">
        <v>241</v>
      </c>
      <c r="R26" s="38"/>
      <c r="S26" s="51"/>
      <c r="T26" s="38" t="s">
        <v>2245</v>
      </c>
      <c r="U26" s="38"/>
      <c r="V26" s="38"/>
      <c r="W26" s="38"/>
      <c r="X26" s="56"/>
      <c r="Y26" s="51"/>
      <c r="Z26" s="38" t="s">
        <v>335</v>
      </c>
      <c r="AA26" s="38" t="s">
        <v>1303</v>
      </c>
    </row>
    <row r="27" ht="14.25" customHeight="1">
      <c r="A27" s="44" t="s">
        <v>1312</v>
      </c>
      <c r="B27" s="39" t="s">
        <v>1311</v>
      </c>
      <c r="C27" s="53"/>
      <c r="D27" s="39"/>
      <c r="E27" s="39"/>
      <c r="F27" s="39"/>
      <c r="G27" s="39"/>
      <c r="H27" s="39"/>
      <c r="I27" s="43">
        <v>105.0</v>
      </c>
      <c r="J27" s="39" t="s">
        <v>1309</v>
      </c>
      <c r="K27" s="39" t="s">
        <v>242</v>
      </c>
      <c r="L27" s="39" t="s">
        <v>245</v>
      </c>
      <c r="M27" s="39" t="s">
        <v>245</v>
      </c>
      <c r="N27" s="45" t="s">
        <v>2747</v>
      </c>
      <c r="O27" s="39" t="s">
        <v>241</v>
      </c>
      <c r="P27" s="57"/>
      <c r="Q27" s="39" t="s">
        <v>241</v>
      </c>
      <c r="R27" s="39"/>
      <c r="S27" s="53"/>
      <c r="T27" s="39" t="s">
        <v>2245</v>
      </c>
      <c r="U27" s="39"/>
      <c r="V27" s="39"/>
      <c r="W27" s="39"/>
      <c r="X27" s="57"/>
      <c r="Y27" s="53"/>
      <c r="Z27" s="39" t="s">
        <v>335</v>
      </c>
      <c r="AA27" s="39" t="s">
        <v>1308</v>
      </c>
    </row>
    <row r="28" ht="14.25" customHeight="1">
      <c r="A28" s="41" t="s">
        <v>1318</v>
      </c>
      <c r="B28" s="38" t="s">
        <v>1317</v>
      </c>
      <c r="C28" s="51"/>
      <c r="D28" s="38"/>
      <c r="E28" s="38"/>
      <c r="F28" s="38"/>
      <c r="G28" s="38"/>
      <c r="H28" s="38"/>
      <c r="I28" s="40">
        <v>650.0</v>
      </c>
      <c r="J28" s="38" t="s">
        <v>1314</v>
      </c>
      <c r="K28" s="38" t="s">
        <v>242</v>
      </c>
      <c r="L28" s="38" t="s">
        <v>245</v>
      </c>
      <c r="M28" s="38" t="s">
        <v>245</v>
      </c>
      <c r="N28" s="42" t="s">
        <v>2747</v>
      </c>
      <c r="O28" s="38" t="s">
        <v>306</v>
      </c>
      <c r="P28" s="56"/>
      <c r="Q28" s="38" t="s">
        <v>306</v>
      </c>
      <c r="R28" s="38"/>
      <c r="S28" s="51"/>
      <c r="T28" s="38" t="s">
        <v>2245</v>
      </c>
      <c r="U28" s="38"/>
      <c r="V28" s="38"/>
      <c r="W28" s="38"/>
      <c r="X28" s="56"/>
      <c r="Y28" s="51"/>
      <c r="Z28" s="38" t="s">
        <v>335</v>
      </c>
      <c r="AA28" s="38" t="s">
        <v>1313</v>
      </c>
    </row>
    <row r="29" ht="14.25" customHeight="1">
      <c r="A29" s="44" t="s">
        <v>1323</v>
      </c>
      <c r="B29" s="39" t="s">
        <v>1322</v>
      </c>
      <c r="C29" s="53"/>
      <c r="D29" s="39"/>
      <c r="E29" s="39"/>
      <c r="F29" s="39"/>
      <c r="G29" s="39"/>
      <c r="H29" s="39"/>
      <c r="I29" s="43">
        <v>150.0</v>
      </c>
      <c r="J29" s="39" t="s">
        <v>1320</v>
      </c>
      <c r="K29" s="39" t="s">
        <v>242</v>
      </c>
      <c r="L29" s="39" t="s">
        <v>245</v>
      </c>
      <c r="M29" s="39" t="s">
        <v>245</v>
      </c>
      <c r="N29" s="45" t="s">
        <v>2747</v>
      </c>
      <c r="O29" s="39" t="s">
        <v>1103</v>
      </c>
      <c r="P29" s="57"/>
      <c r="Q29" s="39" t="s">
        <v>1103</v>
      </c>
      <c r="R29" s="39"/>
      <c r="S29" s="53"/>
      <c r="T29" s="39" t="s">
        <v>2245</v>
      </c>
      <c r="U29" s="39"/>
      <c r="V29" s="39"/>
      <c r="W29" s="39"/>
      <c r="X29" s="57"/>
      <c r="Y29" s="53"/>
      <c r="Z29" s="39" t="s">
        <v>335</v>
      </c>
      <c r="AA29" s="39" t="s">
        <v>1319</v>
      </c>
    </row>
    <row r="30" ht="14.25" customHeight="1">
      <c r="A30" s="41" t="s">
        <v>1328</v>
      </c>
      <c r="B30" s="38" t="s">
        <v>1327</v>
      </c>
      <c r="C30" s="51"/>
      <c r="D30" s="38"/>
      <c r="E30" s="38"/>
      <c r="F30" s="38"/>
      <c r="G30" s="38"/>
      <c r="H30" s="38"/>
      <c r="I30" s="40">
        <v>1880.0</v>
      </c>
      <c r="J30" s="38" t="s">
        <v>1325</v>
      </c>
      <c r="K30" s="38" t="s">
        <v>242</v>
      </c>
      <c r="L30" s="38" t="s">
        <v>245</v>
      </c>
      <c r="M30" s="38" t="s">
        <v>245</v>
      </c>
      <c r="N30" s="42" t="s">
        <v>2747</v>
      </c>
      <c r="O30" s="38" t="s">
        <v>362</v>
      </c>
      <c r="P30" s="56"/>
      <c r="Q30" s="38" t="s">
        <v>362</v>
      </c>
      <c r="R30" s="38"/>
      <c r="S30" s="51"/>
      <c r="T30" s="38" t="s">
        <v>2245</v>
      </c>
      <c r="U30" s="38"/>
      <c r="V30" s="38"/>
      <c r="W30" s="38"/>
      <c r="X30" s="56"/>
      <c r="Y30" s="51"/>
      <c r="Z30" s="38" t="s">
        <v>335</v>
      </c>
      <c r="AA30" s="38" t="s">
        <v>1324</v>
      </c>
    </row>
    <row r="31" ht="14.25" customHeight="1">
      <c r="A31" s="44" t="s">
        <v>1332</v>
      </c>
      <c r="B31" s="39" t="s">
        <v>1331</v>
      </c>
      <c r="C31" s="53"/>
      <c r="D31" s="39"/>
      <c r="E31" s="39"/>
      <c r="F31" s="39"/>
      <c r="G31" s="39"/>
      <c r="H31" s="39"/>
      <c r="I31" s="43">
        <v>8000.0</v>
      </c>
      <c r="J31" s="39" t="s">
        <v>1330</v>
      </c>
      <c r="K31" s="39" t="s">
        <v>242</v>
      </c>
      <c r="L31" s="39" t="s">
        <v>245</v>
      </c>
      <c r="M31" s="39" t="s">
        <v>245</v>
      </c>
      <c r="N31" s="45" t="s">
        <v>2747</v>
      </c>
      <c r="O31" s="39" t="s">
        <v>362</v>
      </c>
      <c r="P31" s="57"/>
      <c r="Q31" s="39" t="s">
        <v>362</v>
      </c>
      <c r="R31" s="39"/>
      <c r="S31" s="53"/>
      <c r="T31" s="39" t="s">
        <v>2245</v>
      </c>
      <c r="U31" s="39"/>
      <c r="V31" s="39"/>
      <c r="W31" s="39"/>
      <c r="X31" s="57"/>
      <c r="Y31" s="53"/>
      <c r="Z31" s="39" t="s">
        <v>335</v>
      </c>
      <c r="AA31" s="39" t="s">
        <v>1329</v>
      </c>
    </row>
    <row r="32" ht="14.25" customHeight="1">
      <c r="A32" s="41" t="s">
        <v>1337</v>
      </c>
      <c r="B32" s="38" t="s">
        <v>1336</v>
      </c>
      <c r="C32" s="51"/>
      <c r="D32" s="38"/>
      <c r="E32" s="38"/>
      <c r="F32" s="38"/>
      <c r="G32" s="38"/>
      <c r="H32" s="38"/>
      <c r="I32" s="40">
        <v>18700.0</v>
      </c>
      <c r="J32" s="38" t="s">
        <v>1334</v>
      </c>
      <c r="K32" s="38" t="s">
        <v>242</v>
      </c>
      <c r="L32" s="38" t="s">
        <v>245</v>
      </c>
      <c r="M32" s="38" t="s">
        <v>245</v>
      </c>
      <c r="N32" s="42" t="s">
        <v>2747</v>
      </c>
      <c r="O32" s="38" t="s">
        <v>416</v>
      </c>
      <c r="P32" s="56"/>
      <c r="Q32" s="38" t="s">
        <v>416</v>
      </c>
      <c r="R32" s="38"/>
      <c r="S32" s="51"/>
      <c r="T32" s="38" t="s">
        <v>2245</v>
      </c>
      <c r="U32" s="38"/>
      <c r="V32" s="38"/>
      <c r="W32" s="38"/>
      <c r="X32" s="56"/>
      <c r="Y32" s="51"/>
      <c r="Z32" s="38" t="s">
        <v>335</v>
      </c>
      <c r="AA32" s="38" t="s">
        <v>1333</v>
      </c>
    </row>
    <row r="33" ht="14.25" customHeight="1">
      <c r="A33" s="44" t="s">
        <v>1341</v>
      </c>
      <c r="B33" s="39" t="s">
        <v>1340</v>
      </c>
      <c r="C33" s="53"/>
      <c r="D33" s="39"/>
      <c r="E33" s="39"/>
      <c r="F33" s="39"/>
      <c r="G33" s="39"/>
      <c r="H33" s="39"/>
      <c r="I33" s="43">
        <v>1200.0</v>
      </c>
      <c r="J33" s="39" t="s">
        <v>1339</v>
      </c>
      <c r="K33" s="39" t="s">
        <v>242</v>
      </c>
      <c r="L33" s="39" t="s">
        <v>245</v>
      </c>
      <c r="M33" s="39" t="s">
        <v>245</v>
      </c>
      <c r="N33" s="45" t="s">
        <v>2747</v>
      </c>
      <c r="O33" s="39" t="s">
        <v>362</v>
      </c>
      <c r="P33" s="57"/>
      <c r="Q33" s="39" t="s">
        <v>362</v>
      </c>
      <c r="R33" s="39"/>
      <c r="S33" s="53"/>
      <c r="T33" s="39" t="s">
        <v>2245</v>
      </c>
      <c r="U33" s="39"/>
      <c r="V33" s="39"/>
      <c r="W33" s="39"/>
      <c r="X33" s="57"/>
      <c r="Y33" s="53"/>
      <c r="Z33" s="39" t="s">
        <v>335</v>
      </c>
      <c r="AA33" s="39" t="s">
        <v>1338</v>
      </c>
    </row>
    <row r="34" ht="14.25" customHeight="1">
      <c r="A34" s="41" t="s">
        <v>1345</v>
      </c>
      <c r="B34" s="38" t="s">
        <v>1344</v>
      </c>
      <c r="C34" s="51"/>
      <c r="D34" s="38"/>
      <c r="E34" s="38"/>
      <c r="F34" s="38"/>
      <c r="G34" s="38"/>
      <c r="H34" s="38"/>
      <c r="I34" s="40">
        <v>2300.0</v>
      </c>
      <c r="J34" s="38" t="s">
        <v>1343</v>
      </c>
      <c r="K34" s="38" t="s">
        <v>242</v>
      </c>
      <c r="L34" s="38" t="s">
        <v>245</v>
      </c>
      <c r="M34" s="38" t="s">
        <v>245</v>
      </c>
      <c r="N34" s="42" t="s">
        <v>2747</v>
      </c>
      <c r="O34" s="38" t="s">
        <v>362</v>
      </c>
      <c r="P34" s="56"/>
      <c r="Q34" s="38" t="s">
        <v>362</v>
      </c>
      <c r="R34" s="38"/>
      <c r="S34" s="51"/>
      <c r="T34" s="38" t="s">
        <v>2245</v>
      </c>
      <c r="U34" s="38"/>
      <c r="V34" s="38"/>
      <c r="W34" s="38"/>
      <c r="X34" s="56"/>
      <c r="Y34" s="51"/>
      <c r="Z34" s="38" t="s">
        <v>293</v>
      </c>
      <c r="AA34" s="38" t="s">
        <v>1342</v>
      </c>
    </row>
    <row r="35" ht="14.25" customHeight="1">
      <c r="A35" s="44" t="s">
        <v>1354</v>
      </c>
      <c r="B35" s="39" t="s">
        <v>1353</v>
      </c>
      <c r="C35" s="53"/>
      <c r="D35" s="39"/>
      <c r="E35" s="39"/>
      <c r="F35" s="39"/>
      <c r="G35" s="39"/>
      <c r="H35" s="39"/>
      <c r="I35" s="43">
        <v>400.0</v>
      </c>
      <c r="J35" s="39" t="s">
        <v>1351</v>
      </c>
      <c r="K35" s="39" t="s">
        <v>242</v>
      </c>
      <c r="L35" s="39" t="s">
        <v>245</v>
      </c>
      <c r="M35" s="39" t="s">
        <v>245</v>
      </c>
      <c r="N35" s="45" t="s">
        <v>2747</v>
      </c>
      <c r="O35" s="39" t="s">
        <v>1053</v>
      </c>
      <c r="P35" s="57"/>
      <c r="Q35" s="39" t="s">
        <v>1053</v>
      </c>
      <c r="R35" s="39"/>
      <c r="S35" s="53"/>
      <c r="T35" s="39" t="s">
        <v>2245</v>
      </c>
      <c r="U35" s="39"/>
      <c r="V35" s="39"/>
      <c r="W35" s="39"/>
      <c r="X35" s="57"/>
      <c r="Y35" s="53"/>
      <c r="Z35" s="39" t="s">
        <v>335</v>
      </c>
      <c r="AA35" s="39" t="s">
        <v>1350</v>
      </c>
    </row>
    <row r="36" ht="14.25" customHeight="1">
      <c r="A36" s="41" t="s">
        <v>1375</v>
      </c>
      <c r="B36" s="38" t="s">
        <v>1374</v>
      </c>
      <c r="C36" s="51"/>
      <c r="D36" s="38"/>
      <c r="E36" s="38"/>
      <c r="F36" s="38"/>
      <c r="G36" s="38"/>
      <c r="H36" s="38"/>
      <c r="I36" s="40">
        <v>5700.0</v>
      </c>
      <c r="J36" s="38" t="s">
        <v>1372</v>
      </c>
      <c r="K36" s="38" t="s">
        <v>242</v>
      </c>
      <c r="L36" s="38" t="s">
        <v>245</v>
      </c>
      <c r="M36" s="38" t="s">
        <v>245</v>
      </c>
      <c r="N36" s="42" t="s">
        <v>2747</v>
      </c>
      <c r="O36" s="38" t="s">
        <v>306</v>
      </c>
      <c r="P36" s="56"/>
      <c r="Q36" s="38" t="s">
        <v>306</v>
      </c>
      <c r="R36" s="38"/>
      <c r="S36" s="51"/>
      <c r="T36" s="38" t="s">
        <v>2245</v>
      </c>
      <c r="U36" s="38"/>
      <c r="V36" s="38"/>
      <c r="W36" s="38"/>
      <c r="X36" s="56"/>
      <c r="Y36" s="51"/>
      <c r="Z36" s="38" t="s">
        <v>335</v>
      </c>
      <c r="AA36" s="38" t="s">
        <v>1371</v>
      </c>
    </row>
    <row r="37" ht="14.25" customHeight="1">
      <c r="A37" s="44" t="s">
        <v>1380</v>
      </c>
      <c r="B37" s="39" t="s">
        <v>1379</v>
      </c>
      <c r="C37" s="53"/>
      <c r="D37" s="39"/>
      <c r="E37" s="39"/>
      <c r="F37" s="39"/>
      <c r="G37" s="39"/>
      <c r="H37" s="39"/>
      <c r="I37" s="43">
        <v>72.0</v>
      </c>
      <c r="J37" s="39" t="s">
        <v>1377</v>
      </c>
      <c r="K37" s="39" t="s">
        <v>242</v>
      </c>
      <c r="L37" s="39" t="s">
        <v>245</v>
      </c>
      <c r="M37" s="39" t="s">
        <v>245</v>
      </c>
      <c r="N37" s="45" t="s">
        <v>2747</v>
      </c>
      <c r="O37" s="39" t="s">
        <v>306</v>
      </c>
      <c r="P37" s="57"/>
      <c r="Q37" s="39" t="s">
        <v>306</v>
      </c>
      <c r="R37" s="39"/>
      <c r="S37" s="53"/>
      <c r="T37" s="39" t="s">
        <v>2245</v>
      </c>
      <c r="U37" s="39"/>
      <c r="V37" s="39"/>
      <c r="W37" s="39"/>
      <c r="X37" s="57"/>
      <c r="Y37" s="53"/>
      <c r="Z37" s="39" t="s">
        <v>335</v>
      </c>
      <c r="AA37" s="39" t="s">
        <v>1376</v>
      </c>
    </row>
    <row r="38" ht="14.25" customHeight="1">
      <c r="A38" s="41" t="s">
        <v>1386</v>
      </c>
      <c r="B38" s="38" t="s">
        <v>1385</v>
      </c>
      <c r="C38" s="51"/>
      <c r="D38" s="38"/>
      <c r="E38" s="38"/>
      <c r="F38" s="38"/>
      <c r="G38" s="38"/>
      <c r="H38" s="38"/>
      <c r="I38" s="40">
        <v>3300.0</v>
      </c>
      <c r="J38" s="38" t="s">
        <v>1382</v>
      </c>
      <c r="K38" s="38" t="s">
        <v>242</v>
      </c>
      <c r="L38" s="38" t="s">
        <v>245</v>
      </c>
      <c r="M38" s="38" t="s">
        <v>245</v>
      </c>
      <c r="N38" s="42" t="s">
        <v>2747</v>
      </c>
      <c r="O38" s="38" t="s">
        <v>306</v>
      </c>
      <c r="P38" s="56"/>
      <c r="Q38" s="38" t="s">
        <v>306</v>
      </c>
      <c r="R38" s="38"/>
      <c r="S38" s="51"/>
      <c r="T38" s="38" t="s">
        <v>2245</v>
      </c>
      <c r="U38" s="38"/>
      <c r="V38" s="38"/>
      <c r="W38" s="38"/>
      <c r="X38" s="56"/>
      <c r="Y38" s="51"/>
      <c r="Z38" s="38" t="s">
        <v>335</v>
      </c>
      <c r="AA38" s="38" t="s">
        <v>1381</v>
      </c>
    </row>
    <row r="39" ht="14.25" customHeight="1">
      <c r="A39" s="44" t="s">
        <v>1392</v>
      </c>
      <c r="B39" s="39" t="s">
        <v>1391</v>
      </c>
      <c r="C39" s="53">
        <v>300.0</v>
      </c>
      <c r="D39" s="39"/>
      <c r="E39" s="39"/>
      <c r="F39" s="39"/>
      <c r="G39" s="39"/>
      <c r="H39" s="39"/>
      <c r="I39" s="43">
        <v>1400.0</v>
      </c>
      <c r="J39" s="39" t="s">
        <v>1388</v>
      </c>
      <c r="K39" s="39" t="s">
        <v>242</v>
      </c>
      <c r="L39" s="39" t="s">
        <v>245</v>
      </c>
      <c r="M39" s="39" t="s">
        <v>245</v>
      </c>
      <c r="N39" s="45" t="s">
        <v>2747</v>
      </c>
      <c r="O39" s="39" t="s">
        <v>306</v>
      </c>
      <c r="P39" s="57"/>
      <c r="Q39" s="39" t="s">
        <v>306</v>
      </c>
      <c r="R39" s="39"/>
      <c r="S39" s="53"/>
      <c r="T39" s="39" t="s">
        <v>2245</v>
      </c>
      <c r="U39" s="39"/>
      <c r="V39" s="39"/>
      <c r="W39" s="39"/>
      <c r="X39" s="57"/>
      <c r="Y39" s="53"/>
      <c r="Z39" s="39" t="s">
        <v>293</v>
      </c>
      <c r="AA39" s="39" t="s">
        <v>1387</v>
      </c>
    </row>
    <row r="40" ht="14.25" customHeight="1">
      <c r="A40" s="41" t="s">
        <v>1398</v>
      </c>
      <c r="B40" s="38" t="s">
        <v>1397</v>
      </c>
      <c r="C40" s="51">
        <v>3000.0</v>
      </c>
      <c r="D40" s="38"/>
      <c r="E40" s="38"/>
      <c r="F40" s="38"/>
      <c r="G40" s="38"/>
      <c r="H40" s="38"/>
      <c r="I40" s="40">
        <v>70.0</v>
      </c>
      <c r="J40" s="38" t="s">
        <v>1395</v>
      </c>
      <c r="K40" s="38" t="s">
        <v>242</v>
      </c>
      <c r="L40" s="38" t="s">
        <v>245</v>
      </c>
      <c r="M40" s="38" t="s">
        <v>245</v>
      </c>
      <c r="N40" s="42" t="s">
        <v>2747</v>
      </c>
      <c r="O40" s="38" t="s">
        <v>1103</v>
      </c>
      <c r="P40" s="56"/>
      <c r="Q40" s="38" t="s">
        <v>1103</v>
      </c>
      <c r="R40" s="38"/>
      <c r="S40" s="51"/>
      <c r="T40" s="38" t="s">
        <v>2245</v>
      </c>
      <c r="U40" s="38"/>
      <c r="V40" s="38"/>
      <c r="W40" s="38"/>
      <c r="X40" s="56"/>
      <c r="Y40" s="51"/>
      <c r="Z40" s="38" t="s">
        <v>335</v>
      </c>
      <c r="AA40" s="38" t="s">
        <v>1394</v>
      </c>
    </row>
    <row r="41" ht="14.25" customHeight="1">
      <c r="A41" s="44" t="s">
        <v>1403</v>
      </c>
      <c r="B41" s="39" t="s">
        <v>1402</v>
      </c>
      <c r="C41" s="53">
        <v>6000.0</v>
      </c>
      <c r="D41" s="39"/>
      <c r="E41" s="39"/>
      <c r="F41" s="39"/>
      <c r="G41" s="39"/>
      <c r="H41" s="39"/>
      <c r="I41" s="43">
        <v>1680.0</v>
      </c>
      <c r="J41" s="39" t="s">
        <v>1400</v>
      </c>
      <c r="K41" s="39" t="s">
        <v>242</v>
      </c>
      <c r="L41" s="39" t="s">
        <v>245</v>
      </c>
      <c r="M41" s="39" t="s">
        <v>245</v>
      </c>
      <c r="N41" s="45" t="s">
        <v>2747</v>
      </c>
      <c r="O41" s="39" t="s">
        <v>306</v>
      </c>
      <c r="P41" s="57"/>
      <c r="Q41" s="39" t="s">
        <v>306</v>
      </c>
      <c r="R41" s="39"/>
      <c r="S41" s="53"/>
      <c r="T41" s="39" t="s">
        <v>2245</v>
      </c>
      <c r="U41" s="39"/>
      <c r="V41" s="39"/>
      <c r="W41" s="39"/>
      <c r="X41" s="57"/>
      <c r="Y41" s="53"/>
      <c r="Z41" s="39" t="s">
        <v>335</v>
      </c>
      <c r="AA41" s="39" t="s">
        <v>1399</v>
      </c>
    </row>
    <row r="42" ht="14.25" customHeight="1">
      <c r="A42" s="41" t="s">
        <v>1408</v>
      </c>
      <c r="B42" s="38" t="s">
        <v>1407</v>
      </c>
      <c r="C42" s="51">
        <v>6000.0</v>
      </c>
      <c r="D42" s="38"/>
      <c r="E42" s="38"/>
      <c r="F42" s="38"/>
      <c r="G42" s="38"/>
      <c r="H42" s="38"/>
      <c r="I42" s="40">
        <v>1025.0</v>
      </c>
      <c r="J42" s="38" t="s">
        <v>1405</v>
      </c>
      <c r="K42" s="38" t="s">
        <v>242</v>
      </c>
      <c r="L42" s="38" t="s">
        <v>245</v>
      </c>
      <c r="M42" s="38" t="s">
        <v>245</v>
      </c>
      <c r="N42" s="42" t="s">
        <v>2747</v>
      </c>
      <c r="O42" s="38" t="s">
        <v>306</v>
      </c>
      <c r="P42" s="56"/>
      <c r="Q42" s="38" t="s">
        <v>306</v>
      </c>
      <c r="R42" s="38"/>
      <c r="S42" s="51"/>
      <c r="T42" s="38" t="s">
        <v>2245</v>
      </c>
      <c r="U42" s="38"/>
      <c r="V42" s="38"/>
      <c r="W42" s="38"/>
      <c r="X42" s="56"/>
      <c r="Y42" s="51"/>
      <c r="Z42" s="38" t="s">
        <v>335</v>
      </c>
      <c r="AA42" s="38" t="s">
        <v>1404</v>
      </c>
    </row>
    <row r="43" ht="14.25" customHeight="1">
      <c r="A43" s="44" t="s">
        <v>1413</v>
      </c>
      <c r="B43" s="39" t="s">
        <v>1412</v>
      </c>
      <c r="C43" s="53">
        <v>3000.0</v>
      </c>
      <c r="D43" s="39"/>
      <c r="E43" s="39"/>
      <c r="F43" s="39"/>
      <c r="G43" s="39"/>
      <c r="H43" s="39"/>
      <c r="I43" s="43">
        <v>410.0</v>
      </c>
      <c r="J43" s="39" t="s">
        <v>1410</v>
      </c>
      <c r="K43" s="39" t="s">
        <v>242</v>
      </c>
      <c r="L43" s="39" t="s">
        <v>245</v>
      </c>
      <c r="M43" s="39" t="s">
        <v>245</v>
      </c>
      <c r="N43" s="45" t="s">
        <v>2747</v>
      </c>
      <c r="O43" s="39" t="s">
        <v>306</v>
      </c>
      <c r="P43" s="57"/>
      <c r="Q43" s="39" t="s">
        <v>306</v>
      </c>
      <c r="R43" s="39"/>
      <c r="S43" s="53"/>
      <c r="T43" s="39" t="s">
        <v>2245</v>
      </c>
      <c r="U43" s="39"/>
      <c r="V43" s="39"/>
      <c r="W43" s="39"/>
      <c r="X43" s="57"/>
      <c r="Y43" s="53"/>
      <c r="Z43" s="39" t="s">
        <v>335</v>
      </c>
      <c r="AA43" s="39" t="s">
        <v>1409</v>
      </c>
    </row>
    <row r="44" ht="14.25" customHeight="1">
      <c r="A44" s="41" t="s">
        <v>1418</v>
      </c>
      <c r="B44" s="38" t="s">
        <v>1417</v>
      </c>
      <c r="C44" s="51">
        <v>3000.0</v>
      </c>
      <c r="D44" s="38"/>
      <c r="E44" s="38"/>
      <c r="F44" s="38"/>
      <c r="G44" s="38"/>
      <c r="H44" s="38"/>
      <c r="I44" s="40">
        <v>560.0</v>
      </c>
      <c r="J44" s="38" t="s">
        <v>1415</v>
      </c>
      <c r="K44" s="38" t="s">
        <v>242</v>
      </c>
      <c r="L44" s="38" t="s">
        <v>245</v>
      </c>
      <c r="M44" s="38" t="s">
        <v>245</v>
      </c>
      <c r="N44" s="42" t="s">
        <v>2747</v>
      </c>
      <c r="O44" s="38" t="s">
        <v>306</v>
      </c>
      <c r="P44" s="56"/>
      <c r="Q44" s="38" t="s">
        <v>306</v>
      </c>
      <c r="R44" s="38"/>
      <c r="S44" s="51"/>
      <c r="T44" s="38" t="s">
        <v>2245</v>
      </c>
      <c r="U44" s="38"/>
      <c r="V44" s="38"/>
      <c r="W44" s="38"/>
      <c r="X44" s="56"/>
      <c r="Y44" s="51"/>
      <c r="Z44" s="38" t="s">
        <v>335</v>
      </c>
      <c r="AA44" s="38" t="s">
        <v>1414</v>
      </c>
    </row>
    <row r="45" ht="14.25" customHeight="1">
      <c r="A45" s="44" t="s">
        <v>1423</v>
      </c>
      <c r="B45" s="39" t="s">
        <v>1422</v>
      </c>
      <c r="C45" s="53">
        <v>6000.0</v>
      </c>
      <c r="D45" s="39"/>
      <c r="E45" s="39"/>
      <c r="F45" s="39"/>
      <c r="G45" s="39"/>
      <c r="H45" s="39"/>
      <c r="I45" s="43">
        <v>1465.0</v>
      </c>
      <c r="J45" s="39" t="s">
        <v>1420</v>
      </c>
      <c r="K45" s="39" t="s">
        <v>242</v>
      </c>
      <c r="L45" s="39" t="s">
        <v>245</v>
      </c>
      <c r="M45" s="39" t="s">
        <v>245</v>
      </c>
      <c r="N45" s="45" t="s">
        <v>2747</v>
      </c>
      <c r="O45" s="39" t="s">
        <v>306</v>
      </c>
      <c r="P45" s="57"/>
      <c r="Q45" s="39" t="s">
        <v>306</v>
      </c>
      <c r="R45" s="39"/>
      <c r="S45" s="53"/>
      <c r="T45" s="39" t="s">
        <v>2245</v>
      </c>
      <c r="U45" s="39"/>
      <c r="V45" s="39"/>
      <c r="W45" s="39"/>
      <c r="X45" s="57"/>
      <c r="Y45" s="53"/>
      <c r="Z45" s="39" t="s">
        <v>335</v>
      </c>
      <c r="AA45" s="39" t="s">
        <v>1419</v>
      </c>
    </row>
    <row r="46" ht="14.25" customHeight="1">
      <c r="A46" s="41" t="s">
        <v>1428</v>
      </c>
      <c r="B46" s="38" t="s">
        <v>1427</v>
      </c>
      <c r="C46" s="51">
        <v>6000.0</v>
      </c>
      <c r="D46" s="38"/>
      <c r="E46" s="38"/>
      <c r="F46" s="38"/>
      <c r="G46" s="38"/>
      <c r="H46" s="38"/>
      <c r="I46" s="40">
        <v>570.0</v>
      </c>
      <c r="J46" s="38" t="s">
        <v>1425</v>
      </c>
      <c r="K46" s="38" t="s">
        <v>242</v>
      </c>
      <c r="L46" s="38" t="s">
        <v>245</v>
      </c>
      <c r="M46" s="38" t="s">
        <v>245</v>
      </c>
      <c r="N46" s="42" t="s">
        <v>2747</v>
      </c>
      <c r="O46" s="38" t="s">
        <v>306</v>
      </c>
      <c r="P46" s="56"/>
      <c r="Q46" s="38" t="s">
        <v>306</v>
      </c>
      <c r="R46" s="38"/>
      <c r="S46" s="51"/>
      <c r="T46" s="38" t="s">
        <v>2245</v>
      </c>
      <c r="U46" s="38"/>
      <c r="V46" s="38"/>
      <c r="W46" s="38"/>
      <c r="X46" s="56"/>
      <c r="Y46" s="51"/>
      <c r="Z46" s="38" t="s">
        <v>335</v>
      </c>
      <c r="AA46" s="38" t="s">
        <v>1424</v>
      </c>
    </row>
    <row r="47" ht="14.25" customHeight="1">
      <c r="A47" s="44" t="s">
        <v>1443</v>
      </c>
      <c r="B47" s="39" t="s">
        <v>1442</v>
      </c>
      <c r="C47" s="53"/>
      <c r="D47" s="39"/>
      <c r="E47" s="39"/>
      <c r="F47" s="39"/>
      <c r="G47" s="39"/>
      <c r="H47" s="39"/>
      <c r="I47" s="43">
        <v>2300.0</v>
      </c>
      <c r="J47" s="39" t="s">
        <v>1440</v>
      </c>
      <c r="K47" s="39" t="s">
        <v>242</v>
      </c>
      <c r="L47" s="39" t="s">
        <v>245</v>
      </c>
      <c r="M47" s="39" t="s">
        <v>245</v>
      </c>
      <c r="N47" s="45" t="s">
        <v>2747</v>
      </c>
      <c r="O47" s="39" t="s">
        <v>1441</v>
      </c>
      <c r="P47" s="57"/>
      <c r="Q47" s="39" t="s">
        <v>1441</v>
      </c>
      <c r="R47" s="39"/>
      <c r="S47" s="53"/>
      <c r="T47" s="39" t="s">
        <v>2245</v>
      </c>
      <c r="U47" s="39"/>
      <c r="V47" s="39"/>
      <c r="W47" s="39"/>
      <c r="X47" s="57"/>
      <c r="Y47" s="53"/>
      <c r="Z47" s="39" t="s">
        <v>335</v>
      </c>
      <c r="AA47" s="39" t="s">
        <v>1439</v>
      </c>
    </row>
    <row r="48" ht="14.25" customHeight="1">
      <c r="A48" s="41" t="s">
        <v>1459</v>
      </c>
      <c r="B48" s="38" t="s">
        <v>1458</v>
      </c>
      <c r="C48" s="51"/>
      <c r="D48" s="38"/>
      <c r="E48" s="38"/>
      <c r="F48" s="38"/>
      <c r="G48" s="38"/>
      <c r="H48" s="38"/>
      <c r="I48" s="40">
        <v>1420.0</v>
      </c>
      <c r="J48" s="38" t="s">
        <v>1456</v>
      </c>
      <c r="K48" s="38" t="s">
        <v>242</v>
      </c>
      <c r="L48" s="38" t="s">
        <v>245</v>
      </c>
      <c r="M48" s="38" t="s">
        <v>245</v>
      </c>
      <c r="N48" s="42" t="s">
        <v>2747</v>
      </c>
      <c r="O48" s="38" t="s">
        <v>306</v>
      </c>
      <c r="P48" s="56"/>
      <c r="Q48" s="38" t="s">
        <v>306</v>
      </c>
      <c r="R48" s="38"/>
      <c r="S48" s="51"/>
      <c r="T48" s="38" t="s">
        <v>2245</v>
      </c>
      <c r="U48" s="38"/>
      <c r="V48" s="38"/>
      <c r="W48" s="38"/>
      <c r="X48" s="56"/>
      <c r="Y48" s="51"/>
      <c r="Z48" s="38" t="s">
        <v>335</v>
      </c>
      <c r="AA48" s="38" t="s">
        <v>1455</v>
      </c>
    </row>
    <row r="49" ht="14.25" customHeight="1">
      <c r="A49" s="44" t="s">
        <v>1471</v>
      </c>
      <c r="B49" s="39" t="s">
        <v>1470</v>
      </c>
      <c r="C49" s="53"/>
      <c r="D49" s="39"/>
      <c r="E49" s="39"/>
      <c r="F49" s="39"/>
      <c r="G49" s="39"/>
      <c r="H49" s="39"/>
      <c r="I49" s="43">
        <v>170.0</v>
      </c>
      <c r="J49" s="39" t="s">
        <v>1467</v>
      </c>
      <c r="K49" s="39" t="s">
        <v>242</v>
      </c>
      <c r="L49" s="39" t="s">
        <v>245</v>
      </c>
      <c r="M49" s="39" t="s">
        <v>245</v>
      </c>
      <c r="N49" s="45" t="s">
        <v>2747</v>
      </c>
      <c r="O49" s="39" t="s">
        <v>306</v>
      </c>
      <c r="P49" s="57"/>
      <c r="Q49" s="39" t="s">
        <v>306</v>
      </c>
      <c r="R49" s="39"/>
      <c r="S49" s="53"/>
      <c r="T49" s="39" t="s">
        <v>2245</v>
      </c>
      <c r="U49" s="39"/>
      <c r="V49" s="39"/>
      <c r="W49" s="39"/>
      <c r="X49" s="57"/>
      <c r="Y49" s="53"/>
      <c r="Z49" s="39" t="s">
        <v>335</v>
      </c>
      <c r="AA49" s="39" t="s">
        <v>1466</v>
      </c>
    </row>
    <row r="50" ht="14.25" customHeight="1">
      <c r="A50" s="41" t="s">
        <v>1476</v>
      </c>
      <c r="B50" s="38" t="s">
        <v>1475</v>
      </c>
      <c r="C50" s="51"/>
      <c r="D50" s="38"/>
      <c r="E50" s="38"/>
      <c r="F50" s="38"/>
      <c r="G50" s="38"/>
      <c r="H50" s="38"/>
      <c r="I50" s="40">
        <v>190.0</v>
      </c>
      <c r="J50" s="38" t="s">
        <v>1473</v>
      </c>
      <c r="K50" s="38" t="s">
        <v>242</v>
      </c>
      <c r="L50" s="38" t="s">
        <v>245</v>
      </c>
      <c r="M50" s="38" t="s">
        <v>245</v>
      </c>
      <c r="N50" s="42" t="s">
        <v>2747</v>
      </c>
      <c r="O50" s="38" t="s">
        <v>306</v>
      </c>
      <c r="P50" s="56"/>
      <c r="Q50" s="38" t="s">
        <v>306</v>
      </c>
      <c r="R50" s="38"/>
      <c r="S50" s="51"/>
      <c r="T50" s="38" t="s">
        <v>2245</v>
      </c>
      <c r="U50" s="38"/>
      <c r="V50" s="38"/>
      <c r="W50" s="38"/>
      <c r="X50" s="56"/>
      <c r="Y50" s="51"/>
      <c r="Z50" s="38" t="s">
        <v>335</v>
      </c>
      <c r="AA50" s="38" t="s">
        <v>1472</v>
      </c>
    </row>
    <row r="51" ht="14.25" customHeight="1">
      <c r="A51" s="44" t="s">
        <v>1481</v>
      </c>
      <c r="B51" s="39" t="s">
        <v>1480</v>
      </c>
      <c r="C51" s="53"/>
      <c r="D51" s="39"/>
      <c r="E51" s="39"/>
      <c r="F51" s="39"/>
      <c r="G51" s="39"/>
      <c r="H51" s="39"/>
      <c r="I51" s="43">
        <v>340.0</v>
      </c>
      <c r="J51" s="39" t="s">
        <v>1478</v>
      </c>
      <c r="K51" s="39" t="s">
        <v>242</v>
      </c>
      <c r="L51" s="39" t="s">
        <v>245</v>
      </c>
      <c r="M51" s="39" t="s">
        <v>245</v>
      </c>
      <c r="N51" s="45" t="s">
        <v>2747</v>
      </c>
      <c r="O51" s="39" t="s">
        <v>306</v>
      </c>
      <c r="P51" s="57"/>
      <c r="Q51" s="39" t="s">
        <v>306</v>
      </c>
      <c r="R51" s="39"/>
      <c r="S51" s="53"/>
      <c r="T51" s="39" t="s">
        <v>2245</v>
      </c>
      <c r="U51" s="39"/>
      <c r="V51" s="39"/>
      <c r="W51" s="39"/>
      <c r="X51" s="57"/>
      <c r="Y51" s="53"/>
      <c r="Z51" s="39" t="s">
        <v>335</v>
      </c>
      <c r="AA51" s="39" t="s">
        <v>1477</v>
      </c>
    </row>
    <row r="52" ht="14.25" customHeight="1">
      <c r="A52" s="41" t="s">
        <v>1487</v>
      </c>
      <c r="B52" s="38" t="s">
        <v>1486</v>
      </c>
      <c r="C52" s="51"/>
      <c r="D52" s="38"/>
      <c r="E52" s="38"/>
      <c r="F52" s="38"/>
      <c r="G52" s="38"/>
      <c r="H52" s="38"/>
      <c r="I52" s="40">
        <v>1520.0</v>
      </c>
      <c r="J52" s="38" t="s">
        <v>1483</v>
      </c>
      <c r="K52" s="38" t="s">
        <v>242</v>
      </c>
      <c r="L52" s="38" t="s">
        <v>245</v>
      </c>
      <c r="M52" s="38" t="s">
        <v>245</v>
      </c>
      <c r="N52" s="42" t="s">
        <v>2747</v>
      </c>
      <c r="O52" s="38" t="s">
        <v>306</v>
      </c>
      <c r="P52" s="56"/>
      <c r="Q52" s="38" t="s">
        <v>306</v>
      </c>
      <c r="R52" s="38"/>
      <c r="S52" s="51"/>
      <c r="T52" s="38" t="s">
        <v>2245</v>
      </c>
      <c r="U52" s="38"/>
      <c r="V52" s="38"/>
      <c r="W52" s="38"/>
      <c r="X52" s="56"/>
      <c r="Y52" s="51"/>
      <c r="Z52" s="38" t="s">
        <v>335</v>
      </c>
      <c r="AA52" s="38" t="s">
        <v>1482</v>
      </c>
    </row>
    <row r="53" ht="14.25" customHeight="1">
      <c r="A53" s="44" t="s">
        <v>1492</v>
      </c>
      <c r="B53" s="39" t="s">
        <v>1491</v>
      </c>
      <c r="C53" s="53"/>
      <c r="D53" s="39"/>
      <c r="E53" s="39"/>
      <c r="F53" s="39"/>
      <c r="G53" s="39"/>
      <c r="H53" s="39"/>
      <c r="I53" s="43">
        <v>2070.0</v>
      </c>
      <c r="J53" s="39" t="s">
        <v>1489</v>
      </c>
      <c r="K53" s="39" t="s">
        <v>242</v>
      </c>
      <c r="L53" s="39" t="s">
        <v>245</v>
      </c>
      <c r="M53" s="39" t="s">
        <v>245</v>
      </c>
      <c r="N53" s="45" t="s">
        <v>2747</v>
      </c>
      <c r="O53" s="39" t="s">
        <v>306</v>
      </c>
      <c r="P53" s="57"/>
      <c r="Q53" s="39" t="s">
        <v>306</v>
      </c>
      <c r="R53" s="39"/>
      <c r="S53" s="53"/>
      <c r="T53" s="39" t="s">
        <v>2245</v>
      </c>
      <c r="U53" s="39"/>
      <c r="V53" s="39"/>
      <c r="W53" s="39"/>
      <c r="X53" s="57"/>
      <c r="Y53" s="53"/>
      <c r="Z53" s="39" t="s">
        <v>335</v>
      </c>
      <c r="AA53" s="39" t="s">
        <v>1488</v>
      </c>
    </row>
    <row r="54" ht="14.25" customHeight="1">
      <c r="A54" s="41" t="s">
        <v>1497</v>
      </c>
      <c r="B54" s="38" t="s">
        <v>1496</v>
      </c>
      <c r="C54" s="51"/>
      <c r="D54" s="38"/>
      <c r="E54" s="38"/>
      <c r="F54" s="38"/>
      <c r="G54" s="38"/>
      <c r="H54" s="38"/>
      <c r="I54" s="40">
        <v>5400.0</v>
      </c>
      <c r="J54" s="38" t="s">
        <v>1494</v>
      </c>
      <c r="K54" s="38" t="s">
        <v>242</v>
      </c>
      <c r="L54" s="38" t="s">
        <v>245</v>
      </c>
      <c r="M54" s="38" t="s">
        <v>245</v>
      </c>
      <c r="N54" s="42" t="s">
        <v>2747</v>
      </c>
      <c r="O54" s="38" t="s">
        <v>306</v>
      </c>
      <c r="P54" s="56"/>
      <c r="Q54" s="38" t="s">
        <v>306</v>
      </c>
      <c r="R54" s="38"/>
      <c r="S54" s="51"/>
      <c r="T54" s="38" t="s">
        <v>2245</v>
      </c>
      <c r="U54" s="38"/>
      <c r="V54" s="38"/>
      <c r="W54" s="38"/>
      <c r="X54" s="56"/>
      <c r="Y54" s="51"/>
      <c r="Z54" s="38" t="s">
        <v>335</v>
      </c>
      <c r="AA54" s="38" t="s">
        <v>1493</v>
      </c>
    </row>
    <row r="55" ht="14.25" customHeight="1">
      <c r="A55" s="44" t="s">
        <v>1503</v>
      </c>
      <c r="B55" s="39" t="s">
        <v>1502</v>
      </c>
      <c r="C55" s="53"/>
      <c r="D55" s="39"/>
      <c r="E55" s="39"/>
      <c r="F55" s="39"/>
      <c r="G55" s="39"/>
      <c r="H55" s="39"/>
      <c r="I55" s="43">
        <v>5566.0</v>
      </c>
      <c r="J55" s="39" t="s">
        <v>1499</v>
      </c>
      <c r="K55" s="39" t="s">
        <v>242</v>
      </c>
      <c r="L55" s="39" t="s">
        <v>245</v>
      </c>
      <c r="M55" s="39" t="s">
        <v>245</v>
      </c>
      <c r="N55" s="45" t="s">
        <v>2747</v>
      </c>
      <c r="O55" s="39" t="s">
        <v>306</v>
      </c>
      <c r="P55" s="57"/>
      <c r="Q55" s="39" t="s">
        <v>306</v>
      </c>
      <c r="R55" s="39"/>
      <c r="S55" s="53"/>
      <c r="T55" s="39" t="s">
        <v>2245</v>
      </c>
      <c r="U55" s="39"/>
      <c r="V55" s="39"/>
      <c r="W55" s="39"/>
      <c r="X55" s="57"/>
      <c r="Y55" s="53"/>
      <c r="Z55" s="39" t="s">
        <v>335</v>
      </c>
      <c r="AA55" s="39" t="s">
        <v>1498</v>
      </c>
    </row>
    <row r="56" ht="14.25" customHeight="1">
      <c r="A56" s="41" t="s">
        <v>1508</v>
      </c>
      <c r="B56" s="38" t="s">
        <v>1507</v>
      </c>
      <c r="C56" s="51"/>
      <c r="D56" s="38"/>
      <c r="E56" s="38"/>
      <c r="F56" s="38"/>
      <c r="G56" s="38"/>
      <c r="H56" s="38"/>
      <c r="I56" s="40">
        <v>810.0</v>
      </c>
      <c r="J56" s="38" t="s">
        <v>1505</v>
      </c>
      <c r="K56" s="38" t="s">
        <v>242</v>
      </c>
      <c r="L56" s="38" t="s">
        <v>245</v>
      </c>
      <c r="M56" s="38" t="s">
        <v>245</v>
      </c>
      <c r="N56" s="42" t="s">
        <v>2747</v>
      </c>
      <c r="O56" s="38" t="s">
        <v>306</v>
      </c>
      <c r="P56" s="56"/>
      <c r="Q56" s="38" t="s">
        <v>306</v>
      </c>
      <c r="R56" s="38"/>
      <c r="S56" s="51"/>
      <c r="T56" s="38" t="s">
        <v>2245</v>
      </c>
      <c r="U56" s="38"/>
      <c r="V56" s="38"/>
      <c r="W56" s="38"/>
      <c r="X56" s="56"/>
      <c r="Y56" s="51"/>
      <c r="Z56" s="38" t="s">
        <v>335</v>
      </c>
      <c r="AA56" s="38" t="s">
        <v>1504</v>
      </c>
    </row>
    <row r="57" ht="14.25" customHeight="1">
      <c r="A57" s="44" t="s">
        <v>1513</v>
      </c>
      <c r="B57" s="39" t="s">
        <v>1512</v>
      </c>
      <c r="C57" s="53"/>
      <c r="D57" s="39"/>
      <c r="E57" s="39"/>
      <c r="F57" s="39"/>
      <c r="G57" s="39"/>
      <c r="H57" s="39"/>
      <c r="I57" s="43">
        <v>8165.0</v>
      </c>
      <c r="J57" s="39" t="s">
        <v>1510</v>
      </c>
      <c r="K57" s="39" t="s">
        <v>242</v>
      </c>
      <c r="L57" s="39" t="s">
        <v>245</v>
      </c>
      <c r="M57" s="39" t="s">
        <v>245</v>
      </c>
      <c r="N57" s="45" t="s">
        <v>2747</v>
      </c>
      <c r="O57" s="39" t="s">
        <v>306</v>
      </c>
      <c r="P57" s="57"/>
      <c r="Q57" s="39" t="s">
        <v>306</v>
      </c>
      <c r="R57" s="39"/>
      <c r="S57" s="53"/>
      <c r="T57" s="39" t="s">
        <v>2245</v>
      </c>
      <c r="U57" s="39"/>
      <c r="V57" s="39"/>
      <c r="W57" s="39"/>
      <c r="X57" s="57"/>
      <c r="Y57" s="53"/>
      <c r="Z57" s="39" t="s">
        <v>335</v>
      </c>
      <c r="AA57" s="39" t="s">
        <v>1509</v>
      </c>
    </row>
    <row r="58" ht="14.25" customHeight="1">
      <c r="A58" s="41" t="s">
        <v>1528</v>
      </c>
      <c r="B58" s="38" t="s">
        <v>1527</v>
      </c>
      <c r="C58" s="51"/>
      <c r="D58" s="38"/>
      <c r="E58" s="38"/>
      <c r="F58" s="38"/>
      <c r="G58" s="38"/>
      <c r="H58" s="38"/>
      <c r="I58" s="40">
        <v>1000.0</v>
      </c>
      <c r="J58" s="38" t="s">
        <v>1525</v>
      </c>
      <c r="K58" s="38" t="s">
        <v>242</v>
      </c>
      <c r="L58" s="38" t="s">
        <v>245</v>
      </c>
      <c r="M58" s="38" t="s">
        <v>245</v>
      </c>
      <c r="N58" s="42" t="s">
        <v>2747</v>
      </c>
      <c r="O58" s="38" t="s">
        <v>388</v>
      </c>
      <c r="P58" s="56"/>
      <c r="Q58" s="38" t="s">
        <v>388</v>
      </c>
      <c r="R58" s="38"/>
      <c r="S58" s="51"/>
      <c r="T58" s="38" t="s">
        <v>2245</v>
      </c>
      <c r="U58" s="38"/>
      <c r="V58" s="38"/>
      <c r="W58" s="38"/>
      <c r="X58" s="56"/>
      <c r="Y58" s="51"/>
      <c r="Z58" s="38" t="s">
        <v>335</v>
      </c>
      <c r="AA58" s="38" t="s">
        <v>1524</v>
      </c>
    </row>
    <row r="59" ht="14.25" customHeight="1">
      <c r="A59" s="44" t="s">
        <v>1538</v>
      </c>
      <c r="B59" s="39" t="s">
        <v>1537</v>
      </c>
      <c r="C59" s="53"/>
      <c r="D59" s="39"/>
      <c r="E59" s="39"/>
      <c r="F59" s="39"/>
      <c r="G59" s="39"/>
      <c r="H59" s="39"/>
      <c r="I59" s="43">
        <v>1300.0</v>
      </c>
      <c r="J59" s="39" t="s">
        <v>1535</v>
      </c>
      <c r="K59" s="39" t="s">
        <v>242</v>
      </c>
      <c r="L59" s="39" t="s">
        <v>245</v>
      </c>
      <c r="M59" s="39" t="s">
        <v>245</v>
      </c>
      <c r="N59" s="45" t="s">
        <v>2747</v>
      </c>
      <c r="O59" s="39" t="s">
        <v>1053</v>
      </c>
      <c r="P59" s="57"/>
      <c r="Q59" s="39" t="s">
        <v>1053</v>
      </c>
      <c r="R59" s="39"/>
      <c r="S59" s="53"/>
      <c r="T59" s="39" t="s">
        <v>2245</v>
      </c>
      <c r="U59" s="39"/>
      <c r="V59" s="39"/>
      <c r="W59" s="39"/>
      <c r="X59" s="57"/>
      <c r="Y59" s="53"/>
      <c r="Z59" s="39" t="s">
        <v>335</v>
      </c>
      <c r="AA59" s="39" t="s">
        <v>1534</v>
      </c>
    </row>
    <row r="60" ht="14.25" customHeight="1">
      <c r="A60" s="41" t="s">
        <v>1543</v>
      </c>
      <c r="B60" s="38" t="s">
        <v>1542</v>
      </c>
      <c r="C60" s="51"/>
      <c r="D60" s="38"/>
      <c r="E60" s="38"/>
      <c r="F60" s="38"/>
      <c r="G60" s="38"/>
      <c r="H60" s="38"/>
      <c r="I60" s="40">
        <v>4115.0</v>
      </c>
      <c r="J60" s="38" t="s">
        <v>1540</v>
      </c>
      <c r="K60" s="38" t="s">
        <v>242</v>
      </c>
      <c r="L60" s="38" t="s">
        <v>245</v>
      </c>
      <c r="M60" s="38" t="s">
        <v>245</v>
      </c>
      <c r="N60" s="42" t="s">
        <v>2747</v>
      </c>
      <c r="O60" s="38" t="s">
        <v>306</v>
      </c>
      <c r="P60" s="56"/>
      <c r="Q60" s="38" t="s">
        <v>306</v>
      </c>
      <c r="R60" s="38"/>
      <c r="S60" s="51"/>
      <c r="T60" s="38" t="s">
        <v>2245</v>
      </c>
      <c r="U60" s="38"/>
      <c r="V60" s="38"/>
      <c r="W60" s="38"/>
      <c r="X60" s="56"/>
      <c r="Y60" s="51"/>
      <c r="Z60" s="38" t="s">
        <v>335</v>
      </c>
      <c r="AA60" s="38" t="s">
        <v>1539</v>
      </c>
    </row>
    <row r="61" ht="14.25" customHeight="1">
      <c r="A61" s="44" t="s">
        <v>1548</v>
      </c>
      <c r="B61" s="39" t="s">
        <v>1547</v>
      </c>
      <c r="C61" s="53"/>
      <c r="D61" s="39"/>
      <c r="E61" s="39"/>
      <c r="F61" s="39"/>
      <c r="G61" s="39"/>
      <c r="H61" s="39"/>
      <c r="I61" s="43">
        <v>10000.0</v>
      </c>
      <c r="J61" s="39" t="s">
        <v>1545</v>
      </c>
      <c r="K61" s="39" t="s">
        <v>242</v>
      </c>
      <c r="L61" s="39" t="s">
        <v>245</v>
      </c>
      <c r="M61" s="39" t="s">
        <v>245</v>
      </c>
      <c r="N61" s="45" t="s">
        <v>2747</v>
      </c>
      <c r="O61" s="39" t="s">
        <v>1103</v>
      </c>
      <c r="P61" s="57"/>
      <c r="Q61" s="39" t="s">
        <v>1103</v>
      </c>
      <c r="R61" s="39"/>
      <c r="S61" s="53"/>
      <c r="T61" s="39" t="s">
        <v>2245</v>
      </c>
      <c r="U61" s="39"/>
      <c r="V61" s="39"/>
      <c r="W61" s="39"/>
      <c r="X61" s="57"/>
      <c r="Y61" s="53"/>
      <c r="Z61" s="39" t="s">
        <v>335</v>
      </c>
      <c r="AA61" s="39" t="s">
        <v>1544</v>
      </c>
    </row>
    <row r="62" ht="14.25" customHeight="1">
      <c r="A62" s="41" t="s">
        <v>1552</v>
      </c>
      <c r="B62" s="38" t="s">
        <v>1551</v>
      </c>
      <c r="C62" s="51"/>
      <c r="D62" s="38"/>
      <c r="E62" s="38"/>
      <c r="F62" s="38"/>
      <c r="G62" s="38"/>
      <c r="H62" s="38"/>
      <c r="I62" s="40">
        <v>1500.0</v>
      </c>
      <c r="J62" s="38" t="s">
        <v>1550</v>
      </c>
      <c r="K62" s="38" t="s">
        <v>242</v>
      </c>
      <c r="L62" s="38" t="s">
        <v>245</v>
      </c>
      <c r="M62" s="38" t="s">
        <v>245</v>
      </c>
      <c r="N62" s="42" t="s">
        <v>2747</v>
      </c>
      <c r="O62" s="38" t="s">
        <v>306</v>
      </c>
      <c r="P62" s="56"/>
      <c r="Q62" s="38" t="s">
        <v>306</v>
      </c>
      <c r="R62" s="38"/>
      <c r="S62" s="51"/>
      <c r="T62" s="38" t="s">
        <v>2245</v>
      </c>
      <c r="U62" s="38"/>
      <c r="V62" s="38"/>
      <c r="W62" s="38"/>
      <c r="X62" s="56"/>
      <c r="Y62" s="51"/>
      <c r="Z62" s="38" t="s">
        <v>335</v>
      </c>
      <c r="AA62" s="38" t="s">
        <v>1549</v>
      </c>
    </row>
    <row r="63" ht="14.25" customHeight="1">
      <c r="A63" s="44" t="s">
        <v>1557</v>
      </c>
      <c r="B63" s="39" t="s">
        <v>1556</v>
      </c>
      <c r="C63" s="53"/>
      <c r="D63" s="39"/>
      <c r="E63" s="39"/>
      <c r="F63" s="39"/>
      <c r="G63" s="39"/>
      <c r="H63" s="39"/>
      <c r="I63" s="43">
        <v>4000.0</v>
      </c>
      <c r="J63" s="39" t="s">
        <v>1554</v>
      </c>
      <c r="K63" s="39" t="s">
        <v>242</v>
      </c>
      <c r="L63" s="39" t="s">
        <v>245</v>
      </c>
      <c r="M63" s="39" t="s">
        <v>245</v>
      </c>
      <c r="N63" s="45" t="s">
        <v>2747</v>
      </c>
      <c r="O63" s="39" t="s">
        <v>306</v>
      </c>
      <c r="P63" s="57"/>
      <c r="Q63" s="39" t="s">
        <v>306</v>
      </c>
      <c r="R63" s="39"/>
      <c r="S63" s="53"/>
      <c r="T63" s="39" t="s">
        <v>2245</v>
      </c>
      <c r="U63" s="39"/>
      <c r="V63" s="39"/>
      <c r="W63" s="39"/>
      <c r="X63" s="57"/>
      <c r="Y63" s="53"/>
      <c r="Z63" s="39" t="s">
        <v>335</v>
      </c>
      <c r="AA63" s="39" t="s">
        <v>1553</v>
      </c>
    </row>
    <row r="64" ht="14.25" customHeight="1">
      <c r="A64" s="41" t="s">
        <v>1562</v>
      </c>
      <c r="B64" s="38" t="s">
        <v>1561</v>
      </c>
      <c r="C64" s="51"/>
      <c r="D64" s="38"/>
      <c r="E64" s="38"/>
      <c r="F64" s="38"/>
      <c r="G64" s="38"/>
      <c r="H64" s="38"/>
      <c r="I64" s="40">
        <v>4010.0</v>
      </c>
      <c r="J64" s="38" t="s">
        <v>1559</v>
      </c>
      <c r="K64" s="38" t="s">
        <v>242</v>
      </c>
      <c r="L64" s="38" t="s">
        <v>245</v>
      </c>
      <c r="M64" s="38" t="s">
        <v>245</v>
      </c>
      <c r="N64" s="42" t="s">
        <v>2747</v>
      </c>
      <c r="O64" s="38" t="s">
        <v>1103</v>
      </c>
      <c r="P64" s="56"/>
      <c r="Q64" s="38" t="s">
        <v>1103</v>
      </c>
      <c r="R64" s="38"/>
      <c r="S64" s="51"/>
      <c r="T64" s="38" t="s">
        <v>2245</v>
      </c>
      <c r="U64" s="38"/>
      <c r="V64" s="38"/>
      <c r="W64" s="38"/>
      <c r="X64" s="56"/>
      <c r="Y64" s="51"/>
      <c r="Z64" s="38" t="s">
        <v>335</v>
      </c>
      <c r="AA64" s="38" t="s">
        <v>1558</v>
      </c>
    </row>
    <row r="65" ht="14.25" customHeight="1">
      <c r="A65" s="44" t="s">
        <v>1567</v>
      </c>
      <c r="B65" s="39" t="s">
        <v>1566</v>
      </c>
      <c r="C65" s="53"/>
      <c r="D65" s="39" t="s">
        <v>366</v>
      </c>
      <c r="E65" s="39"/>
      <c r="F65" s="39"/>
      <c r="G65" s="39"/>
      <c r="H65" s="39"/>
      <c r="I65" s="43">
        <v>3640.0</v>
      </c>
      <c r="J65" s="39" t="s">
        <v>1564</v>
      </c>
      <c r="K65" s="39" t="s">
        <v>242</v>
      </c>
      <c r="L65" s="39" t="s">
        <v>245</v>
      </c>
      <c r="M65" s="39" t="s">
        <v>245</v>
      </c>
      <c r="N65" s="45" t="s">
        <v>2747</v>
      </c>
      <c r="O65" s="39" t="s">
        <v>306</v>
      </c>
      <c r="P65" s="57"/>
      <c r="Q65" s="39" t="s">
        <v>306</v>
      </c>
      <c r="R65" s="39"/>
      <c r="S65" s="53"/>
      <c r="T65" s="39" t="s">
        <v>2245</v>
      </c>
      <c r="U65" s="39"/>
      <c r="V65" s="39"/>
      <c r="W65" s="39"/>
      <c r="X65" s="57"/>
      <c r="Y65" s="53"/>
      <c r="Z65" s="39" t="s">
        <v>335</v>
      </c>
      <c r="AA65" s="39" t="s">
        <v>1563</v>
      </c>
    </row>
    <row r="66" ht="14.25" customHeight="1">
      <c r="A66" s="41" t="s">
        <v>1571</v>
      </c>
      <c r="B66" s="38" t="s">
        <v>1570</v>
      </c>
      <c r="C66" s="51"/>
      <c r="D66" s="38"/>
      <c r="E66" s="38"/>
      <c r="F66" s="38"/>
      <c r="G66" s="38"/>
      <c r="H66" s="38"/>
      <c r="I66" s="40">
        <v>330.0</v>
      </c>
      <c r="J66" s="38" t="s">
        <v>1569</v>
      </c>
      <c r="K66" s="38" t="s">
        <v>242</v>
      </c>
      <c r="L66" s="38" t="s">
        <v>245</v>
      </c>
      <c r="M66" s="38" t="s">
        <v>245</v>
      </c>
      <c r="N66" s="42" t="s">
        <v>2747</v>
      </c>
      <c r="O66" s="38" t="s">
        <v>418</v>
      </c>
      <c r="P66" s="56"/>
      <c r="Q66" s="38" t="s">
        <v>418</v>
      </c>
      <c r="R66" s="38"/>
      <c r="S66" s="51"/>
      <c r="T66" s="38" t="s">
        <v>2245</v>
      </c>
      <c r="U66" s="38"/>
      <c r="V66" s="38"/>
      <c r="W66" s="38"/>
      <c r="X66" s="56"/>
      <c r="Y66" s="51"/>
      <c r="Z66" s="38" t="s">
        <v>335</v>
      </c>
      <c r="AA66" s="38" t="s">
        <v>1568</v>
      </c>
    </row>
    <row r="67" ht="14.25" customHeight="1">
      <c r="A67" s="44" t="s">
        <v>1576</v>
      </c>
      <c r="B67" s="39" t="s">
        <v>1575</v>
      </c>
      <c r="C67" s="53"/>
      <c r="D67" s="39"/>
      <c r="E67" s="39"/>
      <c r="F67" s="39"/>
      <c r="G67" s="39"/>
      <c r="H67" s="39"/>
      <c r="I67" s="43">
        <v>3910.0</v>
      </c>
      <c r="J67" s="39" t="s">
        <v>1573</v>
      </c>
      <c r="K67" s="39" t="s">
        <v>242</v>
      </c>
      <c r="L67" s="39" t="s">
        <v>245</v>
      </c>
      <c r="M67" s="39" t="s">
        <v>245</v>
      </c>
      <c r="N67" s="45" t="s">
        <v>2747</v>
      </c>
      <c r="O67" s="39" t="s">
        <v>306</v>
      </c>
      <c r="P67" s="57"/>
      <c r="Q67" s="39" t="s">
        <v>306</v>
      </c>
      <c r="R67" s="39"/>
      <c r="S67" s="53"/>
      <c r="T67" s="39" t="s">
        <v>2245</v>
      </c>
      <c r="U67" s="39"/>
      <c r="V67" s="39"/>
      <c r="W67" s="39"/>
      <c r="X67" s="57"/>
      <c r="Y67" s="53"/>
      <c r="Z67" s="39" t="s">
        <v>335</v>
      </c>
      <c r="AA67" s="39" t="s">
        <v>1572</v>
      </c>
    </row>
    <row r="68" ht="14.25" customHeight="1">
      <c r="A68" s="41" t="s">
        <v>1581</v>
      </c>
      <c r="B68" s="38" t="s">
        <v>1580</v>
      </c>
      <c r="C68" s="51"/>
      <c r="D68" s="38"/>
      <c r="E68" s="38"/>
      <c r="F68" s="38"/>
      <c r="G68" s="38"/>
      <c r="H68" s="38"/>
      <c r="I68" s="40">
        <v>9000.0</v>
      </c>
      <c r="J68" s="38" t="s">
        <v>1578</v>
      </c>
      <c r="K68" s="38" t="s">
        <v>242</v>
      </c>
      <c r="L68" s="38" t="s">
        <v>245</v>
      </c>
      <c r="M68" s="38" t="s">
        <v>245</v>
      </c>
      <c r="N68" s="42" t="s">
        <v>2747</v>
      </c>
      <c r="O68" s="38" t="s">
        <v>388</v>
      </c>
      <c r="P68" s="56"/>
      <c r="Q68" s="38" t="s">
        <v>388</v>
      </c>
      <c r="R68" s="38"/>
      <c r="S68" s="51"/>
      <c r="T68" s="38" t="s">
        <v>2245</v>
      </c>
      <c r="U68" s="38"/>
      <c r="V68" s="38"/>
      <c r="W68" s="38"/>
      <c r="X68" s="56"/>
      <c r="Y68" s="51"/>
      <c r="Z68" s="38" t="s">
        <v>293</v>
      </c>
      <c r="AA68" s="38" t="s">
        <v>1577</v>
      </c>
    </row>
    <row r="69" ht="14.25" customHeight="1">
      <c r="A69" s="44" t="s">
        <v>1585</v>
      </c>
      <c r="B69" s="39" t="s">
        <v>1584</v>
      </c>
      <c r="C69" s="53"/>
      <c r="D69" s="39"/>
      <c r="E69" s="39"/>
      <c r="F69" s="39"/>
      <c r="G69" s="39"/>
      <c r="H69" s="39"/>
      <c r="I69" s="43">
        <v>2000.0</v>
      </c>
      <c r="J69" s="39" t="s">
        <v>1583</v>
      </c>
      <c r="K69" s="39" t="s">
        <v>242</v>
      </c>
      <c r="L69" s="39" t="s">
        <v>245</v>
      </c>
      <c r="M69" s="39" t="s">
        <v>245</v>
      </c>
      <c r="N69" s="45" t="s">
        <v>2747</v>
      </c>
      <c r="O69" s="39" t="s">
        <v>418</v>
      </c>
      <c r="P69" s="57"/>
      <c r="Q69" s="39" t="s">
        <v>418</v>
      </c>
      <c r="R69" s="39"/>
      <c r="S69" s="53"/>
      <c r="T69" s="39" t="s">
        <v>2245</v>
      </c>
      <c r="U69" s="39"/>
      <c r="V69" s="39"/>
      <c r="W69" s="39"/>
      <c r="X69" s="57"/>
      <c r="Y69" s="53"/>
      <c r="Z69" s="39" t="s">
        <v>335</v>
      </c>
      <c r="AA69" s="39" t="s">
        <v>1582</v>
      </c>
    </row>
    <row r="70" ht="14.25" customHeight="1">
      <c r="A70" s="41" t="s">
        <v>1709</v>
      </c>
      <c r="B70" s="38" t="s">
        <v>1708</v>
      </c>
      <c r="C70" s="51"/>
      <c r="D70" s="38"/>
      <c r="E70" s="38"/>
      <c r="F70" s="38"/>
      <c r="G70" s="38"/>
      <c r="H70" s="38"/>
      <c r="I70" s="40">
        <v>630.0</v>
      </c>
      <c r="J70" s="38" t="s">
        <v>1706</v>
      </c>
      <c r="K70" s="38" t="s">
        <v>242</v>
      </c>
      <c r="L70" s="38" t="s">
        <v>245</v>
      </c>
      <c r="M70" s="38" t="s">
        <v>245</v>
      </c>
      <c r="N70" s="42" t="s">
        <v>2747</v>
      </c>
      <c r="O70" s="38" t="s">
        <v>306</v>
      </c>
      <c r="P70" s="56"/>
      <c r="Q70" s="38" t="s">
        <v>306</v>
      </c>
      <c r="R70" s="38"/>
      <c r="S70" s="51"/>
      <c r="T70" s="38" t="s">
        <v>2245</v>
      </c>
      <c r="U70" s="38"/>
      <c r="V70" s="38"/>
      <c r="W70" s="38"/>
      <c r="X70" s="56"/>
      <c r="Y70" s="51"/>
      <c r="Z70" s="38" t="s">
        <v>335</v>
      </c>
      <c r="AA70" s="38" t="s">
        <v>1705</v>
      </c>
    </row>
    <row r="71" ht="14.25" customHeight="1">
      <c r="A71" s="44" t="s">
        <v>1713</v>
      </c>
      <c r="B71" s="39" t="s">
        <v>1712</v>
      </c>
      <c r="C71" s="53"/>
      <c r="D71" s="39"/>
      <c r="E71" s="39"/>
      <c r="F71" s="39"/>
      <c r="G71" s="39"/>
      <c r="H71" s="39"/>
      <c r="I71" s="43">
        <v>1300.0</v>
      </c>
      <c r="J71" s="39" t="s">
        <v>1711</v>
      </c>
      <c r="K71" s="39" t="s">
        <v>242</v>
      </c>
      <c r="L71" s="39" t="s">
        <v>245</v>
      </c>
      <c r="M71" s="39" t="s">
        <v>245</v>
      </c>
      <c r="N71" s="45" t="s">
        <v>2747</v>
      </c>
      <c r="O71" s="39" t="s">
        <v>306</v>
      </c>
      <c r="P71" s="57"/>
      <c r="Q71" s="39" t="s">
        <v>306</v>
      </c>
      <c r="R71" s="39"/>
      <c r="S71" s="53"/>
      <c r="T71" s="39" t="s">
        <v>2245</v>
      </c>
      <c r="U71" s="39"/>
      <c r="V71" s="39"/>
      <c r="W71" s="39"/>
      <c r="X71" s="57"/>
      <c r="Y71" s="53"/>
      <c r="Z71" s="39" t="s">
        <v>335</v>
      </c>
      <c r="AA71" s="39" t="s">
        <v>1710</v>
      </c>
    </row>
    <row r="72" ht="14.25" customHeight="1">
      <c r="A72" s="41" t="s">
        <v>1752</v>
      </c>
      <c r="B72" s="38" t="s">
        <v>1751</v>
      </c>
      <c r="C72" s="51"/>
      <c r="D72" s="38"/>
      <c r="E72" s="38"/>
      <c r="F72" s="38"/>
      <c r="G72" s="38"/>
      <c r="H72" s="38"/>
      <c r="I72" s="40">
        <v>2150.0</v>
      </c>
      <c r="J72" s="38" t="s">
        <v>1749</v>
      </c>
      <c r="K72" s="38" t="s">
        <v>242</v>
      </c>
      <c r="L72" s="38" t="s">
        <v>245</v>
      </c>
      <c r="M72" s="38" t="s">
        <v>245</v>
      </c>
      <c r="N72" s="42" t="s">
        <v>2747</v>
      </c>
      <c r="O72" s="38" t="s">
        <v>306</v>
      </c>
      <c r="P72" s="56"/>
      <c r="Q72" s="38" t="s">
        <v>306</v>
      </c>
      <c r="R72" s="38"/>
      <c r="S72" s="51"/>
      <c r="T72" s="38" t="s">
        <v>2245</v>
      </c>
      <c r="U72" s="38"/>
      <c r="V72" s="38"/>
      <c r="W72" s="38"/>
      <c r="X72" s="56"/>
      <c r="Y72" s="51"/>
      <c r="Z72" s="38" t="s">
        <v>335</v>
      </c>
      <c r="AA72" s="38" t="s">
        <v>1748</v>
      </c>
    </row>
    <row r="73" ht="14.25" customHeight="1">
      <c r="A73" s="44" t="s">
        <v>1757</v>
      </c>
      <c r="B73" s="39" t="s">
        <v>1756</v>
      </c>
      <c r="C73" s="53"/>
      <c r="D73" s="39"/>
      <c r="E73" s="39"/>
      <c r="F73" s="39"/>
      <c r="G73" s="39"/>
      <c r="H73" s="39"/>
      <c r="I73" s="43">
        <v>3100.0</v>
      </c>
      <c r="J73" s="39" t="s">
        <v>1754</v>
      </c>
      <c r="K73" s="39" t="s">
        <v>242</v>
      </c>
      <c r="L73" s="39" t="s">
        <v>245</v>
      </c>
      <c r="M73" s="39" t="s">
        <v>245</v>
      </c>
      <c r="N73" s="45" t="s">
        <v>2747</v>
      </c>
      <c r="O73" s="39" t="s">
        <v>362</v>
      </c>
      <c r="P73" s="57"/>
      <c r="Q73" s="39" t="s">
        <v>362</v>
      </c>
      <c r="R73" s="39"/>
      <c r="S73" s="53"/>
      <c r="T73" s="39" t="s">
        <v>2245</v>
      </c>
      <c r="U73" s="39"/>
      <c r="V73" s="39"/>
      <c r="W73" s="39"/>
      <c r="X73" s="57"/>
      <c r="Y73" s="53"/>
      <c r="Z73" s="39" t="s">
        <v>335</v>
      </c>
      <c r="AA73" s="39" t="s">
        <v>1753</v>
      </c>
    </row>
    <row r="74" ht="14.25" customHeight="1">
      <c r="A74" s="41" t="s">
        <v>1761</v>
      </c>
      <c r="B74" s="38" t="s">
        <v>1760</v>
      </c>
      <c r="C74" s="51"/>
      <c r="D74" s="38"/>
      <c r="E74" s="38"/>
      <c r="F74" s="38"/>
      <c r="G74" s="38"/>
      <c r="H74" s="38"/>
      <c r="I74" s="40">
        <v>1500.0</v>
      </c>
      <c r="J74" s="38" t="s">
        <v>1759</v>
      </c>
      <c r="K74" s="38" t="s">
        <v>242</v>
      </c>
      <c r="L74" s="38" t="s">
        <v>245</v>
      </c>
      <c r="M74" s="38" t="s">
        <v>245</v>
      </c>
      <c r="N74" s="42" t="s">
        <v>2747</v>
      </c>
      <c r="O74" s="38" t="s">
        <v>362</v>
      </c>
      <c r="P74" s="56"/>
      <c r="Q74" s="38" t="s">
        <v>362</v>
      </c>
      <c r="R74" s="38"/>
      <c r="S74" s="51"/>
      <c r="T74" s="38" t="s">
        <v>2245</v>
      </c>
      <c r="U74" s="38"/>
      <c r="V74" s="38"/>
      <c r="W74" s="38"/>
      <c r="X74" s="56"/>
      <c r="Y74" s="51"/>
      <c r="Z74" s="38" t="s">
        <v>335</v>
      </c>
      <c r="AA74" s="38" t="s">
        <v>1758</v>
      </c>
    </row>
    <row r="75" ht="14.25" customHeight="1">
      <c r="A75" s="44" t="s">
        <v>1765</v>
      </c>
      <c r="B75" s="39" t="s">
        <v>1764</v>
      </c>
      <c r="C75" s="53"/>
      <c r="D75" s="39"/>
      <c r="E75" s="39"/>
      <c r="F75" s="39"/>
      <c r="G75" s="39"/>
      <c r="H75" s="39"/>
      <c r="I75" s="43">
        <v>450.0</v>
      </c>
      <c r="J75" s="39" t="s">
        <v>1763</v>
      </c>
      <c r="K75" s="39" t="s">
        <v>242</v>
      </c>
      <c r="L75" s="39" t="s">
        <v>245</v>
      </c>
      <c r="M75" s="39" t="s">
        <v>245</v>
      </c>
      <c r="N75" s="45" t="s">
        <v>2747</v>
      </c>
      <c r="O75" s="39" t="s">
        <v>306</v>
      </c>
      <c r="P75" s="57"/>
      <c r="Q75" s="39" t="s">
        <v>306</v>
      </c>
      <c r="R75" s="39"/>
      <c r="S75" s="53"/>
      <c r="T75" s="39" t="s">
        <v>2245</v>
      </c>
      <c r="U75" s="39"/>
      <c r="V75" s="39"/>
      <c r="W75" s="39"/>
      <c r="X75" s="57"/>
      <c r="Y75" s="53"/>
      <c r="Z75" s="39" t="s">
        <v>335</v>
      </c>
      <c r="AA75" s="39" t="s">
        <v>1762</v>
      </c>
    </row>
    <row r="76" ht="14.25" customHeight="1">
      <c r="A76" s="41" t="s">
        <v>1786</v>
      </c>
      <c r="B76" s="38" t="s">
        <v>1785</v>
      </c>
      <c r="C76" s="51">
        <v>420.0</v>
      </c>
      <c r="D76" s="38"/>
      <c r="E76" s="38"/>
      <c r="F76" s="38"/>
      <c r="G76" s="38"/>
      <c r="H76" s="38"/>
      <c r="I76" s="40">
        <v>2700.0</v>
      </c>
      <c r="J76" s="38" t="s">
        <v>1784</v>
      </c>
      <c r="K76" s="38" t="s">
        <v>242</v>
      </c>
      <c r="L76" s="38" t="s">
        <v>245</v>
      </c>
      <c r="M76" s="38" t="s">
        <v>245</v>
      </c>
      <c r="N76" s="42" t="s">
        <v>2747</v>
      </c>
      <c r="O76" s="38" t="s">
        <v>306</v>
      </c>
      <c r="P76" s="56"/>
      <c r="Q76" s="38" t="s">
        <v>306</v>
      </c>
      <c r="R76" s="38"/>
      <c r="S76" s="51"/>
      <c r="T76" s="38" t="s">
        <v>2245</v>
      </c>
      <c r="U76" s="38"/>
      <c r="V76" s="38"/>
      <c r="W76" s="38"/>
      <c r="X76" s="56"/>
      <c r="Y76" s="51"/>
      <c r="Z76" s="38" t="s">
        <v>335</v>
      </c>
      <c r="AA76" s="38" t="s">
        <v>1783</v>
      </c>
    </row>
    <row r="77" ht="14.25" customHeight="1">
      <c r="A77" s="44" t="s">
        <v>1791</v>
      </c>
      <c r="B77" s="39" t="s">
        <v>1790</v>
      </c>
      <c r="C77" s="53"/>
      <c r="D77" s="39"/>
      <c r="E77" s="39"/>
      <c r="F77" s="39"/>
      <c r="G77" s="39"/>
      <c r="H77" s="39"/>
      <c r="I77" s="43">
        <v>2600.0</v>
      </c>
      <c r="J77" s="39" t="s">
        <v>1788</v>
      </c>
      <c r="K77" s="39" t="s">
        <v>242</v>
      </c>
      <c r="L77" s="39" t="s">
        <v>245</v>
      </c>
      <c r="M77" s="39" t="s">
        <v>245</v>
      </c>
      <c r="N77" s="45" t="s">
        <v>2747</v>
      </c>
      <c r="O77" s="39" t="s">
        <v>362</v>
      </c>
      <c r="P77" s="57"/>
      <c r="Q77" s="39" t="s">
        <v>362</v>
      </c>
      <c r="R77" s="39"/>
      <c r="S77" s="53"/>
      <c r="T77" s="39" t="s">
        <v>2245</v>
      </c>
      <c r="U77" s="39"/>
      <c r="V77" s="39"/>
      <c r="W77" s="39"/>
      <c r="X77" s="57"/>
      <c r="Y77" s="53"/>
      <c r="Z77" s="39" t="s">
        <v>335</v>
      </c>
      <c r="AA77" s="39" t="s">
        <v>1787</v>
      </c>
    </row>
    <row r="78" ht="14.25" customHeight="1">
      <c r="A78" s="41" t="s">
        <v>1796</v>
      </c>
      <c r="B78" s="38" t="s">
        <v>1795</v>
      </c>
      <c r="C78" s="51"/>
      <c r="D78" s="38"/>
      <c r="E78" s="38"/>
      <c r="F78" s="38"/>
      <c r="G78" s="38"/>
      <c r="H78" s="38"/>
      <c r="I78" s="40">
        <v>399.0</v>
      </c>
      <c r="J78" s="38" t="s">
        <v>1793</v>
      </c>
      <c r="K78" s="38" t="s">
        <v>242</v>
      </c>
      <c r="L78" s="38" t="s">
        <v>245</v>
      </c>
      <c r="M78" s="38" t="s">
        <v>245</v>
      </c>
      <c r="N78" s="42" t="s">
        <v>2747</v>
      </c>
      <c r="O78" s="38" t="s">
        <v>306</v>
      </c>
      <c r="P78" s="56"/>
      <c r="Q78" s="38" t="s">
        <v>306</v>
      </c>
      <c r="R78" s="38"/>
      <c r="S78" s="51"/>
      <c r="T78" s="38" t="s">
        <v>2245</v>
      </c>
      <c r="U78" s="38"/>
      <c r="V78" s="38"/>
      <c r="W78" s="38"/>
      <c r="X78" s="56"/>
      <c r="Y78" s="51"/>
      <c r="Z78" s="38" t="s">
        <v>335</v>
      </c>
      <c r="AA78" s="38" t="s">
        <v>1792</v>
      </c>
    </row>
    <row r="79" ht="14.25" customHeight="1">
      <c r="A79" s="44" t="s">
        <v>1800</v>
      </c>
      <c r="B79" s="39" t="s">
        <v>1799</v>
      </c>
      <c r="C79" s="53"/>
      <c r="D79" s="39"/>
      <c r="E79" s="39"/>
      <c r="F79" s="39"/>
      <c r="G79" s="39"/>
      <c r="H79" s="39"/>
      <c r="I79" s="43">
        <v>250.0</v>
      </c>
      <c r="J79" s="39" t="s">
        <v>1798</v>
      </c>
      <c r="K79" s="39" t="s">
        <v>242</v>
      </c>
      <c r="L79" s="39" t="s">
        <v>245</v>
      </c>
      <c r="M79" s="39" t="s">
        <v>245</v>
      </c>
      <c r="N79" s="45" t="s">
        <v>2747</v>
      </c>
      <c r="O79" s="39" t="s">
        <v>306</v>
      </c>
      <c r="P79" s="57"/>
      <c r="Q79" s="39" t="s">
        <v>306</v>
      </c>
      <c r="R79" s="39"/>
      <c r="S79" s="53"/>
      <c r="T79" s="39" t="s">
        <v>2245</v>
      </c>
      <c r="U79" s="39"/>
      <c r="V79" s="39"/>
      <c r="W79" s="39"/>
      <c r="X79" s="57"/>
      <c r="Y79" s="53"/>
      <c r="Z79" s="39" t="s">
        <v>335</v>
      </c>
      <c r="AA79" s="39" t="s">
        <v>1797</v>
      </c>
    </row>
    <row r="80" ht="14.25" customHeight="1">
      <c r="A80" s="41" t="s">
        <v>1805</v>
      </c>
      <c r="B80" s="38" t="s">
        <v>1804</v>
      </c>
      <c r="C80" s="51"/>
      <c r="D80" s="38"/>
      <c r="E80" s="38"/>
      <c r="F80" s="38"/>
      <c r="G80" s="38"/>
      <c r="H80" s="38"/>
      <c r="I80" s="40">
        <v>30.0</v>
      </c>
      <c r="J80" s="38" t="s">
        <v>1802</v>
      </c>
      <c r="K80" s="38" t="s">
        <v>242</v>
      </c>
      <c r="L80" s="38" t="s">
        <v>245</v>
      </c>
      <c r="M80" s="38" t="s">
        <v>245</v>
      </c>
      <c r="N80" s="42" t="s">
        <v>2747</v>
      </c>
      <c r="O80" s="38" t="s">
        <v>241</v>
      </c>
      <c r="P80" s="56"/>
      <c r="Q80" s="38" t="s">
        <v>241</v>
      </c>
      <c r="R80" s="38"/>
      <c r="S80" s="51"/>
      <c r="T80" s="38" t="s">
        <v>2245</v>
      </c>
      <c r="U80" s="38"/>
      <c r="V80" s="38"/>
      <c r="W80" s="38"/>
      <c r="X80" s="56"/>
      <c r="Y80" s="51"/>
      <c r="Z80" s="38" t="s">
        <v>335</v>
      </c>
      <c r="AA80" s="38" t="s">
        <v>1801</v>
      </c>
    </row>
    <row r="81" ht="14.25" customHeight="1">
      <c r="A81" s="44" t="s">
        <v>1809</v>
      </c>
      <c r="B81" s="39" t="s">
        <v>1808</v>
      </c>
      <c r="C81" s="53"/>
      <c r="D81" s="39"/>
      <c r="E81" s="39"/>
      <c r="F81" s="39"/>
      <c r="G81" s="39"/>
      <c r="H81" s="39"/>
      <c r="I81" s="43">
        <v>2500.0</v>
      </c>
      <c r="J81" s="39" t="s">
        <v>1807</v>
      </c>
      <c r="K81" s="39" t="s">
        <v>242</v>
      </c>
      <c r="L81" s="39" t="s">
        <v>245</v>
      </c>
      <c r="M81" s="39" t="s">
        <v>245</v>
      </c>
      <c r="N81" s="45" t="s">
        <v>2747</v>
      </c>
      <c r="O81" s="39" t="s">
        <v>241</v>
      </c>
      <c r="P81" s="57"/>
      <c r="Q81" s="39" t="s">
        <v>241</v>
      </c>
      <c r="R81" s="39"/>
      <c r="S81" s="53"/>
      <c r="T81" s="39" t="s">
        <v>2245</v>
      </c>
      <c r="U81" s="39"/>
      <c r="V81" s="39"/>
      <c r="W81" s="39"/>
      <c r="X81" s="57"/>
      <c r="Y81" s="53"/>
      <c r="Z81" s="39" t="s">
        <v>335</v>
      </c>
      <c r="AA81" s="39" t="s">
        <v>1806</v>
      </c>
    </row>
    <row r="82" ht="14.25" customHeight="1">
      <c r="A82" s="41" t="s">
        <v>1814</v>
      </c>
      <c r="B82" s="38" t="s">
        <v>1813</v>
      </c>
      <c r="C82" s="51"/>
      <c r="D82" s="38"/>
      <c r="E82" s="38"/>
      <c r="F82" s="38"/>
      <c r="G82" s="38"/>
      <c r="H82" s="38"/>
      <c r="I82" s="40">
        <v>8500.0</v>
      </c>
      <c r="J82" s="38" t="s">
        <v>1811</v>
      </c>
      <c r="K82" s="38" t="s">
        <v>242</v>
      </c>
      <c r="L82" s="38" t="s">
        <v>245</v>
      </c>
      <c r="M82" s="38" t="s">
        <v>245</v>
      </c>
      <c r="N82" s="42" t="s">
        <v>2747</v>
      </c>
      <c r="O82" s="38" t="s">
        <v>241</v>
      </c>
      <c r="P82" s="56"/>
      <c r="Q82" s="38" t="s">
        <v>241</v>
      </c>
      <c r="R82" s="38"/>
      <c r="S82" s="51"/>
      <c r="T82" s="38" t="s">
        <v>2245</v>
      </c>
      <c r="U82" s="38"/>
      <c r="V82" s="38"/>
      <c r="W82" s="38"/>
      <c r="X82" s="56"/>
      <c r="Y82" s="51"/>
      <c r="Z82" s="38" t="s">
        <v>335</v>
      </c>
      <c r="AA82" s="38" t="s">
        <v>1810</v>
      </c>
    </row>
    <row r="83" ht="14.25" customHeight="1">
      <c r="A83" s="44" t="s">
        <v>1834</v>
      </c>
      <c r="B83" s="39" t="s">
        <v>1833</v>
      </c>
      <c r="C83" s="53"/>
      <c r="D83" s="39"/>
      <c r="E83" s="39"/>
      <c r="F83" s="39"/>
      <c r="G83" s="39"/>
      <c r="H83" s="39"/>
      <c r="I83" s="43">
        <v>2200.0</v>
      </c>
      <c r="J83" s="39" t="s">
        <v>1832</v>
      </c>
      <c r="K83" s="39" t="s">
        <v>242</v>
      </c>
      <c r="L83" s="39" t="s">
        <v>245</v>
      </c>
      <c r="M83" s="39" t="s">
        <v>245</v>
      </c>
      <c r="N83" s="45" t="s">
        <v>2747</v>
      </c>
      <c r="O83" s="39" t="s">
        <v>241</v>
      </c>
      <c r="P83" s="57"/>
      <c r="Q83" s="39" t="s">
        <v>241</v>
      </c>
      <c r="R83" s="39"/>
      <c r="S83" s="53"/>
      <c r="T83" s="39" t="s">
        <v>2245</v>
      </c>
      <c r="U83" s="39"/>
      <c r="V83" s="39"/>
      <c r="W83" s="39"/>
      <c r="X83" s="57"/>
      <c r="Y83" s="53"/>
      <c r="Z83" s="39" t="s">
        <v>335</v>
      </c>
      <c r="AA83" s="39" t="s">
        <v>1831</v>
      </c>
    </row>
    <row r="84" ht="14.25" customHeight="1">
      <c r="A84" s="41" t="s">
        <v>1839</v>
      </c>
      <c r="B84" s="38" t="s">
        <v>1838</v>
      </c>
      <c r="C84" s="51"/>
      <c r="D84" s="38"/>
      <c r="E84" s="38"/>
      <c r="F84" s="38"/>
      <c r="G84" s="38"/>
      <c r="H84" s="38"/>
      <c r="I84" s="40">
        <v>605.0</v>
      </c>
      <c r="J84" s="38" t="s">
        <v>1836</v>
      </c>
      <c r="K84" s="38" t="s">
        <v>242</v>
      </c>
      <c r="L84" s="38" t="s">
        <v>245</v>
      </c>
      <c r="M84" s="38" t="s">
        <v>245</v>
      </c>
      <c r="N84" s="42" t="s">
        <v>2747</v>
      </c>
      <c r="O84" s="38" t="s">
        <v>306</v>
      </c>
      <c r="P84" s="56"/>
      <c r="Q84" s="38" t="s">
        <v>306</v>
      </c>
      <c r="R84" s="38"/>
      <c r="S84" s="51"/>
      <c r="T84" s="38" t="s">
        <v>2245</v>
      </c>
      <c r="U84" s="38"/>
      <c r="V84" s="38"/>
      <c r="W84" s="38"/>
      <c r="X84" s="56"/>
      <c r="Y84" s="51"/>
      <c r="Z84" s="38" t="s">
        <v>335</v>
      </c>
      <c r="AA84" s="38" t="s">
        <v>1835</v>
      </c>
    </row>
    <row r="85" ht="14.25" customHeight="1">
      <c r="A85" s="44" t="s">
        <v>1846</v>
      </c>
      <c r="B85" s="39" t="s">
        <v>1845</v>
      </c>
      <c r="C85" s="53"/>
      <c r="D85" s="39"/>
      <c r="E85" s="39"/>
      <c r="F85" s="39"/>
      <c r="G85" s="39"/>
      <c r="H85" s="39"/>
      <c r="I85" s="43">
        <v>1100.0</v>
      </c>
      <c r="J85" s="39" t="s">
        <v>1844</v>
      </c>
      <c r="K85" s="39" t="s">
        <v>242</v>
      </c>
      <c r="L85" s="39" t="s">
        <v>245</v>
      </c>
      <c r="M85" s="39" t="s">
        <v>245</v>
      </c>
      <c r="N85" s="45" t="s">
        <v>2747</v>
      </c>
      <c r="O85" s="39" t="s">
        <v>306</v>
      </c>
      <c r="P85" s="57"/>
      <c r="Q85" s="39" t="s">
        <v>306</v>
      </c>
      <c r="R85" s="39"/>
      <c r="S85" s="53"/>
      <c r="T85" s="39" t="s">
        <v>2245</v>
      </c>
      <c r="U85" s="39"/>
      <c r="V85" s="39"/>
      <c r="W85" s="39"/>
      <c r="X85" s="57"/>
      <c r="Y85" s="53"/>
      <c r="Z85" s="39" t="s">
        <v>335</v>
      </c>
      <c r="AA85" s="39" t="s">
        <v>1843</v>
      </c>
    </row>
    <row r="86" ht="14.25" customHeight="1">
      <c r="A86" s="41" t="s">
        <v>1854</v>
      </c>
      <c r="B86" s="38" t="s">
        <v>1853</v>
      </c>
      <c r="C86" s="51"/>
      <c r="D86" s="38"/>
      <c r="E86" s="38"/>
      <c r="F86" s="38"/>
      <c r="G86" s="38"/>
      <c r="H86" s="38"/>
      <c r="I86" s="40">
        <v>1700.0</v>
      </c>
      <c r="J86" s="38" t="s">
        <v>1851</v>
      </c>
      <c r="K86" s="38" t="s">
        <v>242</v>
      </c>
      <c r="L86" s="38" t="s">
        <v>245</v>
      </c>
      <c r="M86" s="38" t="s">
        <v>245</v>
      </c>
      <c r="N86" s="42" t="s">
        <v>2747</v>
      </c>
      <c r="O86" s="38" t="s">
        <v>362</v>
      </c>
      <c r="P86" s="56"/>
      <c r="Q86" s="38" t="s">
        <v>362</v>
      </c>
      <c r="R86" s="38"/>
      <c r="S86" s="51"/>
      <c r="T86" s="38" t="s">
        <v>2245</v>
      </c>
      <c r="U86" s="38"/>
      <c r="V86" s="38"/>
      <c r="W86" s="38"/>
      <c r="X86" s="56"/>
      <c r="Y86" s="51"/>
      <c r="Z86" s="38" t="s">
        <v>335</v>
      </c>
      <c r="AA86" s="38" t="s">
        <v>1850</v>
      </c>
    </row>
    <row r="87" ht="14.25" customHeight="1">
      <c r="A87" s="44" t="s">
        <v>1859</v>
      </c>
      <c r="B87" s="39" t="s">
        <v>1858</v>
      </c>
      <c r="C87" s="53"/>
      <c r="D87" s="39"/>
      <c r="E87" s="39"/>
      <c r="F87" s="39"/>
      <c r="G87" s="39"/>
      <c r="H87" s="39"/>
      <c r="I87" s="43">
        <v>131400.0</v>
      </c>
      <c r="J87" s="39" t="s">
        <v>1856</v>
      </c>
      <c r="K87" s="39" t="s">
        <v>242</v>
      </c>
      <c r="L87" s="39" t="s">
        <v>245</v>
      </c>
      <c r="M87" s="39" t="s">
        <v>245</v>
      </c>
      <c r="N87" s="45" t="s">
        <v>2747</v>
      </c>
      <c r="O87" s="39" t="s">
        <v>388</v>
      </c>
      <c r="P87" s="57"/>
      <c r="Q87" s="39" t="s">
        <v>388</v>
      </c>
      <c r="R87" s="39"/>
      <c r="S87" s="53"/>
      <c r="T87" s="39" t="s">
        <v>2245</v>
      </c>
      <c r="U87" s="39"/>
      <c r="V87" s="39"/>
      <c r="W87" s="39"/>
      <c r="X87" s="57"/>
      <c r="Y87" s="53"/>
      <c r="Z87" s="39" t="s">
        <v>335</v>
      </c>
      <c r="AA87" s="39" t="s">
        <v>1855</v>
      </c>
    </row>
    <row r="88" ht="14.25" customHeight="1">
      <c r="A88" s="41" t="s">
        <v>1877</v>
      </c>
      <c r="B88" s="38" t="s">
        <v>1876</v>
      </c>
      <c r="C88" s="51"/>
      <c r="D88" s="38"/>
      <c r="E88" s="38"/>
      <c r="F88" s="38"/>
      <c r="G88" s="38"/>
      <c r="H88" s="38"/>
      <c r="I88" s="40"/>
      <c r="J88" s="38" t="s">
        <v>1875</v>
      </c>
      <c r="K88" s="38" t="s">
        <v>268</v>
      </c>
      <c r="L88" s="38" t="s">
        <v>245</v>
      </c>
      <c r="M88" s="38" t="s">
        <v>245</v>
      </c>
      <c r="N88" s="42" t="s">
        <v>2747</v>
      </c>
      <c r="O88" s="38" t="s">
        <v>388</v>
      </c>
      <c r="P88" s="56"/>
      <c r="Q88" s="38" t="s">
        <v>388</v>
      </c>
      <c r="R88" s="38"/>
      <c r="S88" s="51"/>
      <c r="T88" s="38" t="s">
        <v>2245</v>
      </c>
      <c r="U88" s="38"/>
      <c r="V88" s="38"/>
      <c r="W88" s="38"/>
      <c r="X88" s="56"/>
      <c r="Y88" s="51"/>
      <c r="Z88" s="38" t="s">
        <v>293</v>
      </c>
      <c r="AA88" s="38" t="s">
        <v>1874</v>
      </c>
    </row>
    <row r="89" ht="14.25" customHeight="1">
      <c r="A89" s="44" t="s">
        <v>1883</v>
      </c>
      <c r="B89" s="39" t="s">
        <v>1882</v>
      </c>
      <c r="C89" s="53"/>
      <c r="D89" s="39"/>
      <c r="E89" s="39"/>
      <c r="F89" s="39"/>
      <c r="G89" s="39"/>
      <c r="H89" s="39"/>
      <c r="I89" s="43">
        <v>645.0</v>
      </c>
      <c r="J89" s="39" t="s">
        <v>1880</v>
      </c>
      <c r="K89" s="39" t="s">
        <v>242</v>
      </c>
      <c r="L89" s="39" t="s">
        <v>245</v>
      </c>
      <c r="M89" s="39" t="s">
        <v>245</v>
      </c>
      <c r="N89" s="45" t="s">
        <v>2747</v>
      </c>
      <c r="O89" s="39" t="s">
        <v>306</v>
      </c>
      <c r="P89" s="57"/>
      <c r="Q89" s="39" t="s">
        <v>306</v>
      </c>
      <c r="R89" s="39"/>
      <c r="S89" s="53"/>
      <c r="T89" s="39" t="s">
        <v>2245</v>
      </c>
      <c r="U89" s="39"/>
      <c r="V89" s="39"/>
      <c r="W89" s="39"/>
      <c r="X89" s="57"/>
      <c r="Y89" s="53"/>
      <c r="Z89" s="39" t="s">
        <v>335</v>
      </c>
      <c r="AA89" s="39" t="s">
        <v>1879</v>
      </c>
    </row>
    <row r="90" ht="14.25" customHeight="1">
      <c r="A90" s="41" t="s">
        <v>1887</v>
      </c>
      <c r="B90" s="38" t="s">
        <v>1886</v>
      </c>
      <c r="C90" s="51"/>
      <c r="D90" s="38"/>
      <c r="E90" s="38"/>
      <c r="F90" s="38"/>
      <c r="G90" s="38"/>
      <c r="H90" s="38"/>
      <c r="I90" s="40">
        <v>1100.0</v>
      </c>
      <c r="J90" s="38" t="s">
        <v>1885</v>
      </c>
      <c r="K90" s="38" t="s">
        <v>242</v>
      </c>
      <c r="L90" s="38" t="s">
        <v>245</v>
      </c>
      <c r="M90" s="38" t="s">
        <v>245</v>
      </c>
      <c r="N90" s="42" t="s">
        <v>2747</v>
      </c>
      <c r="O90" s="38" t="s">
        <v>306</v>
      </c>
      <c r="P90" s="56"/>
      <c r="Q90" s="38" t="s">
        <v>306</v>
      </c>
      <c r="R90" s="38"/>
      <c r="S90" s="51"/>
      <c r="T90" s="38" t="s">
        <v>2245</v>
      </c>
      <c r="U90" s="38"/>
      <c r="V90" s="38"/>
      <c r="W90" s="38"/>
      <c r="X90" s="56"/>
      <c r="Y90" s="51"/>
      <c r="Z90" s="38" t="s">
        <v>335</v>
      </c>
      <c r="AA90" s="38" t="s">
        <v>1884</v>
      </c>
    </row>
    <row r="91" ht="14.25" customHeight="1">
      <c r="A91" s="44" t="s">
        <v>1892</v>
      </c>
      <c r="B91" s="39" t="s">
        <v>1891</v>
      </c>
      <c r="C91" s="53"/>
      <c r="D91" s="39"/>
      <c r="E91" s="39"/>
      <c r="F91" s="39"/>
      <c r="G91" s="39"/>
      <c r="H91" s="39"/>
      <c r="I91" s="43">
        <v>7900.0</v>
      </c>
      <c r="J91" s="39" t="s">
        <v>1889</v>
      </c>
      <c r="K91" s="39" t="s">
        <v>242</v>
      </c>
      <c r="L91" s="39" t="s">
        <v>245</v>
      </c>
      <c r="M91" s="39" t="s">
        <v>245</v>
      </c>
      <c r="N91" s="45" t="s">
        <v>2747</v>
      </c>
      <c r="O91" s="39" t="s">
        <v>306</v>
      </c>
      <c r="P91" s="57"/>
      <c r="Q91" s="39" t="s">
        <v>306</v>
      </c>
      <c r="R91" s="39"/>
      <c r="S91" s="53"/>
      <c r="T91" s="39" t="s">
        <v>2245</v>
      </c>
      <c r="U91" s="39"/>
      <c r="V91" s="39"/>
      <c r="W91" s="39"/>
      <c r="X91" s="57"/>
      <c r="Y91" s="53"/>
      <c r="Z91" s="39" t="s">
        <v>335</v>
      </c>
      <c r="AA91" s="39" t="s">
        <v>1888</v>
      </c>
    </row>
    <row r="92" ht="14.25" customHeight="1">
      <c r="A92" s="41" t="s">
        <v>1901</v>
      </c>
      <c r="B92" s="38" t="s">
        <v>1900</v>
      </c>
      <c r="C92" s="51"/>
      <c r="D92" s="38"/>
      <c r="E92" s="38"/>
      <c r="F92" s="38"/>
      <c r="G92" s="38"/>
      <c r="H92" s="38"/>
      <c r="I92" s="40">
        <v>1470.0</v>
      </c>
      <c r="J92" s="38" t="s">
        <v>1898</v>
      </c>
      <c r="K92" s="38" t="s">
        <v>242</v>
      </c>
      <c r="L92" s="38" t="s">
        <v>245</v>
      </c>
      <c r="M92" s="38" t="s">
        <v>245</v>
      </c>
      <c r="N92" s="42" t="s">
        <v>2747</v>
      </c>
      <c r="O92" s="38" t="s">
        <v>1441</v>
      </c>
      <c r="P92" s="56"/>
      <c r="Q92" s="38" t="s">
        <v>1441</v>
      </c>
      <c r="R92" s="38"/>
      <c r="S92" s="51"/>
      <c r="T92" s="38" t="s">
        <v>2245</v>
      </c>
      <c r="U92" s="38"/>
      <c r="V92" s="38"/>
      <c r="W92" s="38"/>
      <c r="X92" s="56"/>
      <c r="Y92" s="51"/>
      <c r="Z92" s="38" t="s">
        <v>335</v>
      </c>
      <c r="AA92" s="38" t="s">
        <v>1897</v>
      </c>
    </row>
    <row r="93" ht="14.25" customHeight="1">
      <c r="A93" s="44" t="s">
        <v>1906</v>
      </c>
      <c r="B93" s="39" t="s">
        <v>1905</v>
      </c>
      <c r="C93" s="53"/>
      <c r="D93" s="39"/>
      <c r="E93" s="39"/>
      <c r="F93" s="39"/>
      <c r="G93" s="39"/>
      <c r="H93" s="39"/>
      <c r="I93" s="43">
        <v>680.0</v>
      </c>
      <c r="J93" s="39" t="s">
        <v>1903</v>
      </c>
      <c r="K93" s="39" t="s">
        <v>242</v>
      </c>
      <c r="L93" s="39" t="s">
        <v>245</v>
      </c>
      <c r="M93" s="39" t="s">
        <v>245</v>
      </c>
      <c r="N93" s="45" t="s">
        <v>2747</v>
      </c>
      <c r="O93" s="39" t="s">
        <v>1441</v>
      </c>
      <c r="P93" s="57"/>
      <c r="Q93" s="39" t="s">
        <v>1441</v>
      </c>
      <c r="R93" s="39"/>
      <c r="S93" s="53"/>
      <c r="T93" s="39" t="s">
        <v>2245</v>
      </c>
      <c r="U93" s="39"/>
      <c r="V93" s="39"/>
      <c r="W93" s="39"/>
      <c r="X93" s="57"/>
      <c r="Y93" s="53"/>
      <c r="Z93" s="39" t="s">
        <v>335</v>
      </c>
      <c r="AA93" s="39" t="s">
        <v>1902</v>
      </c>
    </row>
    <row r="94" ht="14.25" customHeight="1">
      <c r="A94" s="41" t="s">
        <v>1911</v>
      </c>
      <c r="B94" s="38" t="s">
        <v>1910</v>
      </c>
      <c r="C94" s="51"/>
      <c r="D94" s="38"/>
      <c r="E94" s="38"/>
      <c r="F94" s="38"/>
      <c r="G94" s="38"/>
      <c r="H94" s="38"/>
      <c r="I94" s="40">
        <v>540.0</v>
      </c>
      <c r="J94" s="38" t="s">
        <v>1908</v>
      </c>
      <c r="K94" s="38" t="s">
        <v>242</v>
      </c>
      <c r="L94" s="38" t="s">
        <v>245</v>
      </c>
      <c r="M94" s="38" t="s">
        <v>245</v>
      </c>
      <c r="N94" s="42" t="s">
        <v>2747</v>
      </c>
      <c r="O94" s="38" t="s">
        <v>306</v>
      </c>
      <c r="P94" s="56"/>
      <c r="Q94" s="38" t="s">
        <v>306</v>
      </c>
      <c r="R94" s="38"/>
      <c r="S94" s="51"/>
      <c r="T94" s="38" t="s">
        <v>2245</v>
      </c>
      <c r="U94" s="38"/>
      <c r="V94" s="38"/>
      <c r="W94" s="38"/>
      <c r="X94" s="56"/>
      <c r="Y94" s="51"/>
      <c r="Z94" s="38" t="s">
        <v>335</v>
      </c>
      <c r="AA94" s="38" t="s">
        <v>1907</v>
      </c>
    </row>
    <row r="95" ht="14.25" customHeight="1">
      <c r="A95" s="44" t="s">
        <v>1916</v>
      </c>
      <c r="B95" s="39" t="s">
        <v>1915</v>
      </c>
      <c r="C95" s="53"/>
      <c r="D95" s="39"/>
      <c r="E95" s="39"/>
      <c r="F95" s="39"/>
      <c r="G95" s="39"/>
      <c r="H95" s="39"/>
      <c r="I95" s="43">
        <v>12000.0</v>
      </c>
      <c r="J95" s="39" t="s">
        <v>1913</v>
      </c>
      <c r="K95" s="39" t="s">
        <v>242</v>
      </c>
      <c r="L95" s="39" t="s">
        <v>245</v>
      </c>
      <c r="M95" s="39" t="s">
        <v>245</v>
      </c>
      <c r="N95" s="45" t="s">
        <v>2747</v>
      </c>
      <c r="O95" s="39" t="s">
        <v>306</v>
      </c>
      <c r="P95" s="57"/>
      <c r="Q95" s="39" t="s">
        <v>306</v>
      </c>
      <c r="R95" s="39"/>
      <c r="S95" s="53"/>
      <c r="T95" s="39" t="s">
        <v>2245</v>
      </c>
      <c r="U95" s="39"/>
      <c r="V95" s="39"/>
      <c r="W95" s="39"/>
      <c r="X95" s="57"/>
      <c r="Y95" s="53"/>
      <c r="Z95" s="39" t="s">
        <v>335</v>
      </c>
      <c r="AA95" s="39" t="s">
        <v>1912</v>
      </c>
    </row>
    <row r="96" ht="14.25" customHeight="1">
      <c r="A96" s="41" t="s">
        <v>1920</v>
      </c>
      <c r="B96" s="38" t="s">
        <v>1919</v>
      </c>
      <c r="C96" s="51"/>
      <c r="D96" s="38"/>
      <c r="E96" s="38"/>
      <c r="F96" s="38"/>
      <c r="G96" s="38"/>
      <c r="H96" s="38"/>
      <c r="I96" s="40">
        <v>20000.0</v>
      </c>
      <c r="J96" s="38" t="s">
        <v>1918</v>
      </c>
      <c r="K96" s="38" t="s">
        <v>242</v>
      </c>
      <c r="L96" s="38" t="s">
        <v>245</v>
      </c>
      <c r="M96" s="38" t="s">
        <v>245</v>
      </c>
      <c r="N96" s="42" t="s">
        <v>2747</v>
      </c>
      <c r="O96" s="38" t="s">
        <v>306</v>
      </c>
      <c r="P96" s="56"/>
      <c r="Q96" s="38" t="s">
        <v>306</v>
      </c>
      <c r="R96" s="38"/>
      <c r="S96" s="51"/>
      <c r="T96" s="38" t="s">
        <v>2245</v>
      </c>
      <c r="U96" s="38"/>
      <c r="V96" s="38"/>
      <c r="W96" s="38"/>
      <c r="X96" s="56"/>
      <c r="Y96" s="51"/>
      <c r="Z96" s="38" t="s">
        <v>335</v>
      </c>
      <c r="AA96" s="38" t="s">
        <v>1917</v>
      </c>
    </row>
    <row r="97" ht="14.25" customHeight="1">
      <c r="A97" s="44" t="s">
        <v>1925</v>
      </c>
      <c r="B97" s="39" t="s">
        <v>1924</v>
      </c>
      <c r="C97" s="53"/>
      <c r="D97" s="39"/>
      <c r="E97" s="39"/>
      <c r="F97" s="39"/>
      <c r="G97" s="39"/>
      <c r="H97" s="39"/>
      <c r="I97" s="43">
        <v>18000.0</v>
      </c>
      <c r="J97" s="39" t="s">
        <v>1922</v>
      </c>
      <c r="K97" s="39" t="s">
        <v>242</v>
      </c>
      <c r="L97" s="39" t="s">
        <v>245</v>
      </c>
      <c r="M97" s="39" t="s">
        <v>245</v>
      </c>
      <c r="N97" s="45" t="s">
        <v>2747</v>
      </c>
      <c r="O97" s="39" t="s">
        <v>306</v>
      </c>
      <c r="P97" s="57"/>
      <c r="Q97" s="39" t="s">
        <v>306</v>
      </c>
      <c r="R97" s="39"/>
      <c r="S97" s="53"/>
      <c r="T97" s="39" t="s">
        <v>2245</v>
      </c>
      <c r="U97" s="39"/>
      <c r="V97" s="39"/>
      <c r="W97" s="39"/>
      <c r="X97" s="57"/>
      <c r="Y97" s="53"/>
      <c r="Z97" s="39" t="s">
        <v>335</v>
      </c>
      <c r="AA97" s="39" t="s">
        <v>1921</v>
      </c>
    </row>
    <row r="98" ht="14.25" customHeight="1">
      <c r="A98" s="41" t="s">
        <v>1930</v>
      </c>
      <c r="B98" s="38" t="s">
        <v>1929</v>
      </c>
      <c r="C98" s="51"/>
      <c r="D98" s="38"/>
      <c r="E98" s="38"/>
      <c r="F98" s="38"/>
      <c r="G98" s="38"/>
      <c r="H98" s="38"/>
      <c r="I98" s="40">
        <v>225.0</v>
      </c>
      <c r="J98" s="38" t="s">
        <v>1927</v>
      </c>
      <c r="K98" s="38" t="s">
        <v>242</v>
      </c>
      <c r="L98" s="38" t="s">
        <v>245</v>
      </c>
      <c r="M98" s="38" t="s">
        <v>245</v>
      </c>
      <c r="N98" s="42" t="s">
        <v>2747</v>
      </c>
      <c r="O98" s="38" t="s">
        <v>306</v>
      </c>
      <c r="P98" s="56"/>
      <c r="Q98" s="38" t="s">
        <v>306</v>
      </c>
      <c r="R98" s="38"/>
      <c r="S98" s="51"/>
      <c r="T98" s="38" t="s">
        <v>2245</v>
      </c>
      <c r="U98" s="38"/>
      <c r="V98" s="38"/>
      <c r="W98" s="38"/>
      <c r="X98" s="56"/>
      <c r="Y98" s="51"/>
      <c r="Z98" s="38" t="s">
        <v>335</v>
      </c>
      <c r="AA98" s="38" t="s">
        <v>1926</v>
      </c>
    </row>
    <row r="99" ht="14.25" customHeight="1">
      <c r="A99" s="44" t="s">
        <v>1934</v>
      </c>
      <c r="B99" s="39" t="s">
        <v>1933</v>
      </c>
      <c r="C99" s="53"/>
      <c r="D99" s="39"/>
      <c r="E99" s="39"/>
      <c r="F99" s="39"/>
      <c r="G99" s="39"/>
      <c r="H99" s="39"/>
      <c r="I99" s="43">
        <v>1600.0</v>
      </c>
      <c r="J99" s="39" t="s">
        <v>1932</v>
      </c>
      <c r="K99" s="39" t="s">
        <v>242</v>
      </c>
      <c r="L99" s="39" t="s">
        <v>245</v>
      </c>
      <c r="M99" s="39" t="s">
        <v>245</v>
      </c>
      <c r="N99" s="45" t="s">
        <v>2747</v>
      </c>
      <c r="O99" s="39" t="s">
        <v>241</v>
      </c>
      <c r="P99" s="57"/>
      <c r="Q99" s="39" t="s">
        <v>241</v>
      </c>
      <c r="R99" s="39"/>
      <c r="S99" s="53"/>
      <c r="T99" s="39" t="s">
        <v>2245</v>
      </c>
      <c r="U99" s="39"/>
      <c r="V99" s="39"/>
      <c r="W99" s="39"/>
      <c r="X99" s="57"/>
      <c r="Y99" s="53"/>
      <c r="Z99" s="39" t="s">
        <v>335</v>
      </c>
      <c r="AA99" s="39" t="s">
        <v>1931</v>
      </c>
    </row>
    <row r="100" ht="14.25" customHeight="1">
      <c r="A100" s="41" t="s">
        <v>1945</v>
      </c>
      <c r="B100" s="38" t="s">
        <v>1944</v>
      </c>
      <c r="C100" s="51"/>
      <c r="D100" s="38"/>
      <c r="E100" s="38"/>
      <c r="F100" s="38"/>
      <c r="G100" s="38"/>
      <c r="H100" s="38"/>
      <c r="I100" s="40">
        <v>2500.0</v>
      </c>
      <c r="J100" s="38" t="s">
        <v>1943</v>
      </c>
      <c r="K100" s="38" t="s">
        <v>242</v>
      </c>
      <c r="L100" s="38" t="s">
        <v>245</v>
      </c>
      <c r="M100" s="38" t="s">
        <v>245</v>
      </c>
      <c r="N100" s="42" t="s">
        <v>2747</v>
      </c>
      <c r="O100" s="38" t="s">
        <v>306</v>
      </c>
      <c r="P100" s="56"/>
      <c r="Q100" s="38" t="s">
        <v>306</v>
      </c>
      <c r="R100" s="38"/>
      <c r="S100" s="51"/>
      <c r="T100" s="38" t="s">
        <v>2245</v>
      </c>
      <c r="U100" s="38"/>
      <c r="V100" s="38"/>
      <c r="W100" s="38"/>
      <c r="X100" s="56"/>
      <c r="Y100" s="51"/>
      <c r="Z100" s="38" t="s">
        <v>335</v>
      </c>
      <c r="AA100" s="38" t="s">
        <v>1942</v>
      </c>
    </row>
    <row r="101" ht="14.25" customHeight="1">
      <c r="A101" s="44" t="s">
        <v>1954</v>
      </c>
      <c r="B101" s="39" t="s">
        <v>1953</v>
      </c>
      <c r="C101" s="53"/>
      <c r="D101" s="39"/>
      <c r="E101" s="39"/>
      <c r="F101" s="39"/>
      <c r="G101" s="39"/>
      <c r="H101" s="39"/>
      <c r="I101" s="43">
        <v>1200.0</v>
      </c>
      <c r="J101" s="39" t="s">
        <v>1951</v>
      </c>
      <c r="K101" s="39" t="s">
        <v>242</v>
      </c>
      <c r="L101" s="39" t="s">
        <v>245</v>
      </c>
      <c r="M101" s="39" t="s">
        <v>245</v>
      </c>
      <c r="N101" s="45" t="s">
        <v>2747</v>
      </c>
      <c r="O101" s="39" t="s">
        <v>1952</v>
      </c>
      <c r="P101" s="57"/>
      <c r="Q101" s="39" t="s">
        <v>1952</v>
      </c>
      <c r="R101" s="39"/>
      <c r="S101" s="53"/>
      <c r="T101" s="39" t="s">
        <v>2245</v>
      </c>
      <c r="U101" s="39"/>
      <c r="V101" s="39"/>
      <c r="W101" s="39"/>
      <c r="X101" s="57"/>
      <c r="Y101" s="53"/>
      <c r="Z101" s="39" t="s">
        <v>293</v>
      </c>
      <c r="AA101" s="39" t="s">
        <v>1950</v>
      </c>
    </row>
    <row r="102" ht="14.25" customHeight="1">
      <c r="A102" s="41" t="s">
        <v>1958</v>
      </c>
      <c r="B102" s="38" t="s">
        <v>1957</v>
      </c>
      <c r="C102" s="51"/>
      <c r="D102" s="38"/>
      <c r="E102" s="38"/>
      <c r="F102" s="38"/>
      <c r="G102" s="38"/>
      <c r="H102" s="38"/>
      <c r="I102" s="40">
        <v>2200.0</v>
      </c>
      <c r="J102" s="38" t="s">
        <v>1956</v>
      </c>
      <c r="K102" s="38" t="s">
        <v>242</v>
      </c>
      <c r="L102" s="38" t="s">
        <v>245</v>
      </c>
      <c r="M102" s="38" t="s">
        <v>245</v>
      </c>
      <c r="N102" s="42" t="s">
        <v>2747</v>
      </c>
      <c r="O102" s="38" t="s">
        <v>1952</v>
      </c>
      <c r="P102" s="56"/>
      <c r="Q102" s="38" t="s">
        <v>1952</v>
      </c>
      <c r="R102" s="38"/>
      <c r="S102" s="51"/>
      <c r="T102" s="38" t="s">
        <v>2245</v>
      </c>
      <c r="U102" s="38"/>
      <c r="V102" s="38"/>
      <c r="W102" s="38"/>
      <c r="X102" s="56"/>
      <c r="Y102" s="51"/>
      <c r="Z102" s="38" t="s">
        <v>335</v>
      </c>
      <c r="AA102" s="38" t="s">
        <v>1955</v>
      </c>
    </row>
    <row r="103" ht="14.25" customHeight="1">
      <c r="A103" s="44" t="s">
        <v>1970</v>
      </c>
      <c r="B103" s="39" t="s">
        <v>1969</v>
      </c>
      <c r="C103" s="53"/>
      <c r="D103" s="39"/>
      <c r="E103" s="39"/>
      <c r="F103" s="39"/>
      <c r="G103" s="39"/>
      <c r="H103" s="39"/>
      <c r="I103" s="43">
        <v>480.0</v>
      </c>
      <c r="J103" s="39" t="s">
        <v>1966</v>
      </c>
      <c r="K103" s="39" t="s">
        <v>242</v>
      </c>
      <c r="L103" s="39" t="s">
        <v>245</v>
      </c>
      <c r="M103" s="39" t="s">
        <v>245</v>
      </c>
      <c r="N103" s="45" t="s">
        <v>2747</v>
      </c>
      <c r="O103" s="39" t="s">
        <v>1103</v>
      </c>
      <c r="P103" s="57"/>
      <c r="Q103" s="39" t="s">
        <v>1103</v>
      </c>
      <c r="R103" s="39"/>
      <c r="S103" s="53"/>
      <c r="T103" s="39" t="s">
        <v>2245</v>
      </c>
      <c r="U103" s="39"/>
      <c r="V103" s="39"/>
      <c r="W103" s="39"/>
      <c r="X103" s="57"/>
      <c r="Y103" s="53"/>
      <c r="Z103" s="39" t="s">
        <v>335</v>
      </c>
      <c r="AA103" s="39" t="s">
        <v>1965</v>
      </c>
    </row>
    <row r="104" ht="14.25" customHeight="1">
      <c r="A104" s="41" t="s">
        <v>1976</v>
      </c>
      <c r="B104" s="38" t="s">
        <v>1975</v>
      </c>
      <c r="C104" s="51"/>
      <c r="D104" s="38"/>
      <c r="E104" s="38"/>
      <c r="F104" s="38"/>
      <c r="G104" s="38"/>
      <c r="H104" s="38"/>
      <c r="I104" s="40">
        <v>185.0</v>
      </c>
      <c r="J104" s="38" t="s">
        <v>1972</v>
      </c>
      <c r="K104" s="38" t="s">
        <v>242</v>
      </c>
      <c r="L104" s="38" t="s">
        <v>245</v>
      </c>
      <c r="M104" s="38" t="s">
        <v>245</v>
      </c>
      <c r="N104" s="42" t="s">
        <v>2747</v>
      </c>
      <c r="O104" s="38" t="s">
        <v>1103</v>
      </c>
      <c r="P104" s="56"/>
      <c r="Q104" s="38" t="s">
        <v>1103</v>
      </c>
      <c r="R104" s="38"/>
      <c r="S104" s="51"/>
      <c r="T104" s="38" t="s">
        <v>2245</v>
      </c>
      <c r="U104" s="38"/>
      <c r="V104" s="38"/>
      <c r="W104" s="38"/>
      <c r="X104" s="56"/>
      <c r="Y104" s="51"/>
      <c r="Z104" s="38" t="s">
        <v>335</v>
      </c>
      <c r="AA104" s="38" t="s">
        <v>1971</v>
      </c>
    </row>
    <row r="105" ht="14.25" customHeight="1">
      <c r="A105" s="44" t="s">
        <v>1981</v>
      </c>
      <c r="B105" s="39" t="s">
        <v>1980</v>
      </c>
      <c r="C105" s="53"/>
      <c r="D105" s="39"/>
      <c r="E105" s="39"/>
      <c r="F105" s="39"/>
      <c r="G105" s="39"/>
      <c r="H105" s="39"/>
      <c r="I105" s="43">
        <v>305.0</v>
      </c>
      <c r="J105" s="39" t="s">
        <v>1978</v>
      </c>
      <c r="K105" s="39" t="s">
        <v>242</v>
      </c>
      <c r="L105" s="39" t="s">
        <v>245</v>
      </c>
      <c r="M105" s="39" t="s">
        <v>245</v>
      </c>
      <c r="N105" s="45" t="s">
        <v>2747</v>
      </c>
      <c r="O105" s="39" t="s">
        <v>1103</v>
      </c>
      <c r="P105" s="57"/>
      <c r="Q105" s="39" t="s">
        <v>1103</v>
      </c>
      <c r="R105" s="39"/>
      <c r="S105" s="53"/>
      <c r="T105" s="39" t="s">
        <v>2245</v>
      </c>
      <c r="U105" s="39"/>
      <c r="V105" s="39"/>
      <c r="W105" s="39"/>
      <c r="X105" s="57"/>
      <c r="Y105" s="53"/>
      <c r="Z105" s="39" t="s">
        <v>335</v>
      </c>
      <c r="AA105" s="39" t="s">
        <v>1977</v>
      </c>
    </row>
    <row r="106" ht="14.25" customHeight="1">
      <c r="A106" s="41" t="s">
        <v>1986</v>
      </c>
      <c r="B106" s="38" t="s">
        <v>1985</v>
      </c>
      <c r="C106" s="51"/>
      <c r="D106" s="38"/>
      <c r="E106" s="38"/>
      <c r="F106" s="38"/>
      <c r="G106" s="38"/>
      <c r="H106" s="38"/>
      <c r="I106" s="40">
        <v>710.0</v>
      </c>
      <c r="J106" s="38" t="s">
        <v>1983</v>
      </c>
      <c r="K106" s="38" t="s">
        <v>242</v>
      </c>
      <c r="L106" s="38" t="s">
        <v>245</v>
      </c>
      <c r="M106" s="38" t="s">
        <v>245</v>
      </c>
      <c r="N106" s="42" t="s">
        <v>2747</v>
      </c>
      <c r="O106" s="38" t="s">
        <v>306</v>
      </c>
      <c r="P106" s="56"/>
      <c r="Q106" s="38" t="s">
        <v>306</v>
      </c>
      <c r="R106" s="38"/>
      <c r="S106" s="51"/>
      <c r="T106" s="38" t="s">
        <v>2245</v>
      </c>
      <c r="U106" s="38"/>
      <c r="V106" s="38"/>
      <c r="W106" s="38"/>
      <c r="X106" s="56"/>
      <c r="Y106" s="51"/>
      <c r="Z106" s="38" t="s">
        <v>335</v>
      </c>
      <c r="AA106" s="38" t="s">
        <v>1982</v>
      </c>
    </row>
    <row r="107" ht="14.25" customHeight="1">
      <c r="A107" s="44" t="s">
        <v>1991</v>
      </c>
      <c r="B107" s="39" t="s">
        <v>1990</v>
      </c>
      <c r="C107" s="53">
        <v>5.0</v>
      </c>
      <c r="D107" s="39"/>
      <c r="E107" s="39"/>
      <c r="F107" s="39"/>
      <c r="G107" s="39"/>
      <c r="H107" s="39"/>
      <c r="I107" s="43">
        <v>460.0</v>
      </c>
      <c r="J107" s="39" t="s">
        <v>1988</v>
      </c>
      <c r="K107" s="39" t="s">
        <v>242</v>
      </c>
      <c r="L107" s="39" t="s">
        <v>245</v>
      </c>
      <c r="M107" s="39" t="s">
        <v>245</v>
      </c>
      <c r="N107" s="45" t="s">
        <v>2747</v>
      </c>
      <c r="O107" s="39" t="s">
        <v>1103</v>
      </c>
      <c r="P107" s="57"/>
      <c r="Q107" s="39" t="s">
        <v>1103</v>
      </c>
      <c r="R107" s="39"/>
      <c r="S107" s="53"/>
      <c r="T107" s="39" t="s">
        <v>2245</v>
      </c>
      <c r="U107" s="39"/>
      <c r="V107" s="39"/>
      <c r="W107" s="39"/>
      <c r="X107" s="57"/>
      <c r="Y107" s="53"/>
      <c r="Z107" s="39" t="s">
        <v>335</v>
      </c>
      <c r="AA107" s="39" t="s">
        <v>1987</v>
      </c>
    </row>
    <row r="108" ht="14.25" customHeight="1">
      <c r="A108" s="41" t="s">
        <v>1996</v>
      </c>
      <c r="B108" s="38" t="s">
        <v>1995</v>
      </c>
      <c r="C108" s="51"/>
      <c r="D108" s="38"/>
      <c r="E108" s="38"/>
      <c r="F108" s="38"/>
      <c r="G108" s="38"/>
      <c r="H108" s="38"/>
      <c r="I108" s="40">
        <v>615.0</v>
      </c>
      <c r="J108" s="38" t="s">
        <v>1993</v>
      </c>
      <c r="K108" s="38" t="s">
        <v>242</v>
      </c>
      <c r="L108" s="38" t="s">
        <v>245</v>
      </c>
      <c r="M108" s="38" t="s">
        <v>245</v>
      </c>
      <c r="N108" s="42" t="s">
        <v>2747</v>
      </c>
      <c r="O108" s="38" t="s">
        <v>418</v>
      </c>
      <c r="P108" s="56"/>
      <c r="Q108" s="38" t="s">
        <v>418</v>
      </c>
      <c r="R108" s="38"/>
      <c r="S108" s="51"/>
      <c r="T108" s="38" t="s">
        <v>2245</v>
      </c>
      <c r="U108" s="38"/>
      <c r="V108" s="38"/>
      <c r="W108" s="38"/>
      <c r="X108" s="56"/>
      <c r="Y108" s="51"/>
      <c r="Z108" s="38" t="s">
        <v>335</v>
      </c>
      <c r="AA108" s="38" t="s">
        <v>1992</v>
      </c>
    </row>
    <row r="109" ht="14.25" customHeight="1">
      <c r="A109" s="44" t="s">
        <v>2000</v>
      </c>
      <c r="B109" s="39" t="s">
        <v>1999</v>
      </c>
      <c r="C109" s="53"/>
      <c r="D109" s="39"/>
      <c r="E109" s="39"/>
      <c r="F109" s="39"/>
      <c r="G109" s="39"/>
      <c r="H109" s="39"/>
      <c r="I109" s="43">
        <v>190.0</v>
      </c>
      <c r="J109" s="39" t="s">
        <v>1998</v>
      </c>
      <c r="K109" s="39" t="s">
        <v>242</v>
      </c>
      <c r="L109" s="39" t="s">
        <v>245</v>
      </c>
      <c r="M109" s="39" t="s">
        <v>245</v>
      </c>
      <c r="N109" s="45" t="s">
        <v>2747</v>
      </c>
      <c r="O109" s="39" t="s">
        <v>418</v>
      </c>
      <c r="P109" s="57"/>
      <c r="Q109" s="39" t="s">
        <v>418</v>
      </c>
      <c r="R109" s="39"/>
      <c r="S109" s="53"/>
      <c r="T109" s="39" t="s">
        <v>2245</v>
      </c>
      <c r="U109" s="39"/>
      <c r="V109" s="39"/>
      <c r="W109" s="39"/>
      <c r="X109" s="57"/>
      <c r="Y109" s="53"/>
      <c r="Z109" s="39" t="s">
        <v>335</v>
      </c>
      <c r="AA109" s="39" t="s">
        <v>1997</v>
      </c>
    </row>
    <row r="110" ht="14.25" customHeight="1">
      <c r="A110" s="41" t="s">
        <v>2022</v>
      </c>
      <c r="B110" s="38" t="s">
        <v>2021</v>
      </c>
      <c r="C110" s="51"/>
      <c r="D110" s="38"/>
      <c r="E110" s="38"/>
      <c r="F110" s="38"/>
      <c r="G110" s="38"/>
      <c r="H110" s="38"/>
      <c r="I110" s="40">
        <v>240.0</v>
      </c>
      <c r="J110" s="38" t="s">
        <v>2019</v>
      </c>
      <c r="K110" s="38" t="s">
        <v>242</v>
      </c>
      <c r="L110" s="38" t="s">
        <v>245</v>
      </c>
      <c r="M110" s="38" t="s">
        <v>245</v>
      </c>
      <c r="N110" s="42" t="s">
        <v>2747</v>
      </c>
      <c r="O110" s="38" t="s">
        <v>1103</v>
      </c>
      <c r="P110" s="56"/>
      <c r="Q110" s="38" t="s">
        <v>1103</v>
      </c>
      <c r="R110" s="38"/>
      <c r="S110" s="51"/>
      <c r="T110" s="38" t="s">
        <v>2245</v>
      </c>
      <c r="U110" s="38"/>
      <c r="V110" s="38"/>
      <c r="W110" s="38"/>
      <c r="X110" s="56"/>
      <c r="Y110" s="51"/>
      <c r="Z110" s="38" t="s">
        <v>335</v>
      </c>
      <c r="AA110" s="38" t="s">
        <v>2018</v>
      </c>
    </row>
    <row r="111" ht="14.25" customHeight="1">
      <c r="A111" s="44" t="s">
        <v>2026</v>
      </c>
      <c r="B111" s="39" t="s">
        <v>2025</v>
      </c>
      <c r="C111" s="53"/>
      <c r="D111" s="39"/>
      <c r="E111" s="39"/>
      <c r="F111" s="39"/>
      <c r="G111" s="39"/>
      <c r="H111" s="39"/>
      <c r="I111" s="43">
        <v>260.0</v>
      </c>
      <c r="J111" s="39" t="s">
        <v>2024</v>
      </c>
      <c r="K111" s="39" t="s">
        <v>242</v>
      </c>
      <c r="L111" s="39" t="s">
        <v>245</v>
      </c>
      <c r="M111" s="39" t="s">
        <v>245</v>
      </c>
      <c r="N111" s="45" t="s">
        <v>2747</v>
      </c>
      <c r="O111" s="39" t="s">
        <v>1103</v>
      </c>
      <c r="P111" s="57"/>
      <c r="Q111" s="39" t="s">
        <v>1103</v>
      </c>
      <c r="R111" s="39"/>
      <c r="S111" s="53"/>
      <c r="T111" s="39" t="s">
        <v>2245</v>
      </c>
      <c r="U111" s="39"/>
      <c r="V111" s="39"/>
      <c r="W111" s="39"/>
      <c r="X111" s="57"/>
      <c r="Y111" s="53"/>
      <c r="Z111" s="39" t="s">
        <v>335</v>
      </c>
      <c r="AA111" s="39" t="s">
        <v>2023</v>
      </c>
    </row>
    <row r="112" ht="14.25" customHeight="1">
      <c r="A112" s="41" t="s">
        <v>2030</v>
      </c>
      <c r="B112" s="38" t="s">
        <v>2029</v>
      </c>
      <c r="C112" s="51"/>
      <c r="D112" s="38"/>
      <c r="E112" s="38"/>
      <c r="F112" s="38"/>
      <c r="G112" s="38"/>
      <c r="H112" s="38"/>
      <c r="I112" s="40">
        <v>450.0</v>
      </c>
      <c r="J112" s="38" t="s">
        <v>2028</v>
      </c>
      <c r="K112" s="38" t="s">
        <v>242</v>
      </c>
      <c r="L112" s="38" t="s">
        <v>245</v>
      </c>
      <c r="M112" s="38" t="s">
        <v>245</v>
      </c>
      <c r="N112" s="42" t="s">
        <v>2747</v>
      </c>
      <c r="O112" s="38" t="s">
        <v>1103</v>
      </c>
      <c r="P112" s="56"/>
      <c r="Q112" s="38" t="s">
        <v>1103</v>
      </c>
      <c r="R112" s="38"/>
      <c r="S112" s="51"/>
      <c r="T112" s="38" t="s">
        <v>2245</v>
      </c>
      <c r="U112" s="38"/>
      <c r="V112" s="38"/>
      <c r="W112" s="38"/>
      <c r="X112" s="56"/>
      <c r="Y112" s="51"/>
      <c r="Z112" s="38" t="s">
        <v>335</v>
      </c>
      <c r="AA112" s="38" t="s">
        <v>2027</v>
      </c>
    </row>
    <row r="113" ht="14.25" customHeight="1">
      <c r="A113" s="44" t="s">
        <v>2035</v>
      </c>
      <c r="B113" s="39" t="s">
        <v>2034</v>
      </c>
      <c r="C113" s="53"/>
      <c r="D113" s="39"/>
      <c r="E113" s="39"/>
      <c r="F113" s="39"/>
      <c r="G113" s="39"/>
      <c r="H113" s="39"/>
      <c r="I113" s="43">
        <v>120.0</v>
      </c>
      <c r="J113" s="39" t="s">
        <v>2032</v>
      </c>
      <c r="K113" s="39" t="s">
        <v>242</v>
      </c>
      <c r="L113" s="39" t="s">
        <v>245</v>
      </c>
      <c r="M113" s="39" t="s">
        <v>245</v>
      </c>
      <c r="N113" s="45" t="s">
        <v>2747</v>
      </c>
      <c r="O113" s="39" t="s">
        <v>1103</v>
      </c>
      <c r="P113" s="57"/>
      <c r="Q113" s="39" t="s">
        <v>1103</v>
      </c>
      <c r="R113" s="39"/>
      <c r="S113" s="53"/>
      <c r="T113" s="39" t="s">
        <v>2245</v>
      </c>
      <c r="U113" s="39"/>
      <c r="V113" s="39"/>
      <c r="W113" s="39"/>
      <c r="X113" s="57"/>
      <c r="Y113" s="53"/>
      <c r="Z113" s="39" t="s">
        <v>335</v>
      </c>
      <c r="AA113" s="39" t="s">
        <v>2031</v>
      </c>
    </row>
    <row r="114" ht="14.25" customHeight="1">
      <c r="A114" s="41" t="s">
        <v>2196</v>
      </c>
      <c r="B114" s="38" t="s">
        <v>2195</v>
      </c>
      <c r="C114" s="51">
        <v>2440.0</v>
      </c>
      <c r="D114" s="38"/>
      <c r="E114" s="38"/>
      <c r="F114" s="38"/>
      <c r="G114" s="38"/>
      <c r="H114" s="38"/>
      <c r="I114" s="40">
        <v>2880.0</v>
      </c>
      <c r="J114" s="38" t="s">
        <v>2193</v>
      </c>
      <c r="K114" s="38" t="s">
        <v>242</v>
      </c>
      <c r="L114" s="38" t="s">
        <v>245</v>
      </c>
      <c r="M114" s="38" t="s">
        <v>245</v>
      </c>
      <c r="N114" s="42" t="s">
        <v>2747</v>
      </c>
      <c r="O114" s="38" t="s">
        <v>306</v>
      </c>
      <c r="P114" s="56"/>
      <c r="Q114" s="38" t="s">
        <v>306</v>
      </c>
      <c r="R114" s="38"/>
      <c r="S114" s="51"/>
      <c r="T114" s="38" t="s">
        <v>2245</v>
      </c>
      <c r="U114" s="38"/>
      <c r="V114" s="38"/>
      <c r="W114" s="38"/>
      <c r="X114" s="56"/>
      <c r="Y114" s="51"/>
      <c r="Z114" s="38" t="s">
        <v>335</v>
      </c>
      <c r="AA114" s="38" t="s">
        <v>2192</v>
      </c>
    </row>
    <row r="115" ht="14.25" customHeight="1">
      <c r="A115" s="44" t="s">
        <v>2200</v>
      </c>
      <c r="B115" s="39" t="s">
        <v>2199</v>
      </c>
      <c r="C115" s="53"/>
      <c r="D115" s="39"/>
      <c r="E115" s="39"/>
      <c r="F115" s="39"/>
      <c r="G115" s="39"/>
      <c r="H115" s="39"/>
      <c r="I115" s="43">
        <v>200.0</v>
      </c>
      <c r="J115" s="39" t="s">
        <v>2198</v>
      </c>
      <c r="K115" s="39" t="s">
        <v>242</v>
      </c>
      <c r="L115" s="39" t="s">
        <v>245</v>
      </c>
      <c r="M115" s="39" t="s">
        <v>245</v>
      </c>
      <c r="N115" s="45" t="s">
        <v>2747</v>
      </c>
      <c r="O115" s="39" t="s">
        <v>388</v>
      </c>
      <c r="P115" s="57"/>
      <c r="Q115" s="39" t="s">
        <v>388</v>
      </c>
      <c r="R115" s="39"/>
      <c r="S115" s="53"/>
      <c r="T115" s="39" t="s">
        <v>2245</v>
      </c>
      <c r="U115" s="39"/>
      <c r="V115" s="39"/>
      <c r="W115" s="39"/>
      <c r="X115" s="57"/>
      <c r="Y115" s="53"/>
      <c r="Z115" s="39" t="s">
        <v>335</v>
      </c>
      <c r="AA115" s="39" t="s">
        <v>2197</v>
      </c>
    </row>
    <row r="116" ht="14.25" customHeight="1">
      <c r="A116" s="41" t="s">
        <v>2204</v>
      </c>
      <c r="B116" s="38" t="s">
        <v>2203</v>
      </c>
      <c r="C116" s="51"/>
      <c r="D116" s="38"/>
      <c r="E116" s="38"/>
      <c r="F116" s="38"/>
      <c r="G116" s="38"/>
      <c r="H116" s="38"/>
      <c r="I116" s="40">
        <v>510.0</v>
      </c>
      <c r="J116" s="38" t="s">
        <v>2202</v>
      </c>
      <c r="K116" s="38" t="s">
        <v>242</v>
      </c>
      <c r="L116" s="38" t="s">
        <v>245</v>
      </c>
      <c r="M116" s="38" t="s">
        <v>245</v>
      </c>
      <c r="N116" s="42" t="s">
        <v>2747</v>
      </c>
      <c r="O116" s="38" t="s">
        <v>306</v>
      </c>
      <c r="P116" s="56"/>
      <c r="Q116" s="38" t="s">
        <v>306</v>
      </c>
      <c r="R116" s="38"/>
      <c r="S116" s="51"/>
      <c r="T116" s="38" t="s">
        <v>2245</v>
      </c>
      <c r="U116" s="38"/>
      <c r="V116" s="38"/>
      <c r="W116" s="38"/>
      <c r="X116" s="56"/>
      <c r="Y116" s="51"/>
      <c r="Z116" s="38" t="s">
        <v>335</v>
      </c>
      <c r="AA116" s="38" t="s">
        <v>2201</v>
      </c>
    </row>
    <row r="117" ht="14.25" customHeight="1">
      <c r="A117" s="44" t="s">
        <v>2210</v>
      </c>
      <c r="B117" s="39" t="s">
        <v>2209</v>
      </c>
      <c r="C117" s="53"/>
      <c r="D117" s="39"/>
      <c r="E117" s="39"/>
      <c r="F117" s="39"/>
      <c r="G117" s="39"/>
      <c r="H117" s="39"/>
      <c r="I117" s="43">
        <v>265.0</v>
      </c>
      <c r="J117" s="39" t="s">
        <v>2206</v>
      </c>
      <c r="K117" s="39" t="s">
        <v>242</v>
      </c>
      <c r="L117" s="39" t="s">
        <v>245</v>
      </c>
      <c r="M117" s="39" t="s">
        <v>245</v>
      </c>
      <c r="N117" s="45" t="s">
        <v>2747</v>
      </c>
      <c r="O117" s="39" t="s">
        <v>306</v>
      </c>
      <c r="P117" s="57"/>
      <c r="Q117" s="39" t="s">
        <v>306</v>
      </c>
      <c r="R117" s="39"/>
      <c r="S117" s="53"/>
      <c r="T117" s="39" t="s">
        <v>2245</v>
      </c>
      <c r="U117" s="39"/>
      <c r="V117" s="39"/>
      <c r="W117" s="39"/>
      <c r="X117" s="57"/>
      <c r="Y117" s="53"/>
      <c r="Z117" s="39" t="s">
        <v>335</v>
      </c>
      <c r="AA117" s="39" t="s">
        <v>2205</v>
      </c>
    </row>
    <row r="118" ht="14.25" customHeight="1">
      <c r="A118" s="41" t="s">
        <v>2221</v>
      </c>
      <c r="B118" s="38" t="s">
        <v>2220</v>
      </c>
      <c r="C118" s="51"/>
      <c r="D118" s="38"/>
      <c r="E118" s="38"/>
      <c r="F118" s="38"/>
      <c r="G118" s="38"/>
      <c r="H118" s="38"/>
      <c r="I118" s="40">
        <v>2060.0</v>
      </c>
      <c r="J118" s="38" t="s">
        <v>2218</v>
      </c>
      <c r="K118" s="38" t="s">
        <v>242</v>
      </c>
      <c r="L118" s="38" t="s">
        <v>245</v>
      </c>
      <c r="M118" s="38" t="s">
        <v>245</v>
      </c>
      <c r="N118" s="42" t="s">
        <v>2747</v>
      </c>
      <c r="O118" s="38" t="s">
        <v>362</v>
      </c>
      <c r="P118" s="56"/>
      <c r="Q118" s="38" t="s">
        <v>362</v>
      </c>
      <c r="R118" s="38"/>
      <c r="S118" s="51"/>
      <c r="T118" s="38" t="s">
        <v>2245</v>
      </c>
      <c r="U118" s="38"/>
      <c r="V118" s="38"/>
      <c r="W118" s="38"/>
      <c r="X118" s="56"/>
      <c r="Y118" s="51"/>
      <c r="Z118" s="38" t="s">
        <v>335</v>
      </c>
      <c r="AA118" s="38" t="s">
        <v>2217</v>
      </c>
    </row>
    <row r="119" ht="14.25" customHeight="1">
      <c r="A119" s="44" t="s">
        <v>2226</v>
      </c>
      <c r="B119" s="39" t="s">
        <v>2225</v>
      </c>
      <c r="C119" s="53"/>
      <c r="D119" s="39"/>
      <c r="E119" s="39"/>
      <c r="F119" s="39"/>
      <c r="G119" s="39"/>
      <c r="H119" s="39"/>
      <c r="I119" s="43">
        <v>2840.0</v>
      </c>
      <c r="J119" s="39" t="s">
        <v>2223</v>
      </c>
      <c r="K119" s="39" t="s">
        <v>242</v>
      </c>
      <c r="L119" s="39" t="s">
        <v>245</v>
      </c>
      <c r="M119" s="39" t="s">
        <v>245</v>
      </c>
      <c r="N119" s="45" t="s">
        <v>2747</v>
      </c>
      <c r="O119" s="39" t="s">
        <v>362</v>
      </c>
      <c r="P119" s="57"/>
      <c r="Q119" s="39" t="s">
        <v>362</v>
      </c>
      <c r="R119" s="39"/>
      <c r="S119" s="53"/>
      <c r="T119" s="39" t="s">
        <v>2245</v>
      </c>
      <c r="U119" s="39"/>
      <c r="V119" s="39"/>
      <c r="W119" s="39"/>
      <c r="X119" s="57"/>
      <c r="Y119" s="53"/>
      <c r="Z119" s="39" t="s">
        <v>335</v>
      </c>
      <c r="AA119" s="39" t="s">
        <v>2222</v>
      </c>
    </row>
    <row r="120" ht="14.25" customHeight="1">
      <c r="A120" s="41" t="s">
        <v>2230</v>
      </c>
      <c r="B120" s="38" t="s">
        <v>2229</v>
      </c>
      <c r="C120" s="51"/>
      <c r="D120" s="38"/>
      <c r="E120" s="38"/>
      <c r="F120" s="38"/>
      <c r="G120" s="38"/>
      <c r="H120" s="38"/>
      <c r="I120" s="40">
        <v>340.0</v>
      </c>
      <c r="J120" s="38" t="s">
        <v>2228</v>
      </c>
      <c r="K120" s="38" t="s">
        <v>242</v>
      </c>
      <c r="L120" s="38" t="s">
        <v>245</v>
      </c>
      <c r="M120" s="38" t="s">
        <v>245</v>
      </c>
      <c r="N120" s="42" t="s">
        <v>2747</v>
      </c>
      <c r="O120" s="38" t="s">
        <v>306</v>
      </c>
      <c r="P120" s="56"/>
      <c r="Q120" s="38" t="s">
        <v>306</v>
      </c>
      <c r="R120" s="38"/>
      <c r="S120" s="51"/>
      <c r="T120" s="38" t="s">
        <v>2245</v>
      </c>
      <c r="U120" s="38"/>
      <c r="V120" s="38"/>
      <c r="W120" s="38"/>
      <c r="X120" s="56"/>
      <c r="Y120" s="51"/>
      <c r="Z120" s="38" t="s">
        <v>335</v>
      </c>
      <c r="AA120" s="38" t="s">
        <v>2227</v>
      </c>
    </row>
    <row r="121" ht="14.25" customHeight="1">
      <c r="A121" s="44" t="s">
        <v>2235</v>
      </c>
      <c r="B121" s="39" t="s">
        <v>2234</v>
      </c>
      <c r="C121" s="53">
        <v>200.0</v>
      </c>
      <c r="D121" s="39"/>
      <c r="E121" s="39"/>
      <c r="F121" s="39"/>
      <c r="G121" s="39"/>
      <c r="H121" s="39"/>
      <c r="I121" s="43">
        <v>35000.0</v>
      </c>
      <c r="J121" s="39" t="s">
        <v>2232</v>
      </c>
      <c r="K121" s="39" t="s">
        <v>242</v>
      </c>
      <c r="L121" s="39" t="s">
        <v>245</v>
      </c>
      <c r="M121" s="39" t="s">
        <v>245</v>
      </c>
      <c r="N121" s="45" t="s">
        <v>2747</v>
      </c>
      <c r="O121" s="39" t="s">
        <v>306</v>
      </c>
      <c r="P121" s="57"/>
      <c r="Q121" s="39" t="s">
        <v>306</v>
      </c>
      <c r="R121" s="39"/>
      <c r="S121" s="53"/>
      <c r="T121" s="39" t="s">
        <v>2245</v>
      </c>
      <c r="U121" s="39"/>
      <c r="V121" s="39"/>
      <c r="W121" s="39"/>
      <c r="X121" s="57"/>
      <c r="Y121" s="53"/>
      <c r="Z121" s="39" t="s">
        <v>335</v>
      </c>
      <c r="AA121" s="39" t="s">
        <v>2231</v>
      </c>
    </row>
    <row r="122" ht="14.25" customHeight="1">
      <c r="A122" s="41" t="s">
        <v>2240</v>
      </c>
      <c r="B122" s="38" t="s">
        <v>2239</v>
      </c>
      <c r="C122" s="51"/>
      <c r="D122" s="38"/>
      <c r="E122" s="38"/>
      <c r="F122" s="38"/>
      <c r="G122" s="38"/>
      <c r="H122" s="38"/>
      <c r="I122" s="40">
        <v>690.0</v>
      </c>
      <c r="J122" s="38" t="s">
        <v>2237</v>
      </c>
      <c r="K122" s="38" t="s">
        <v>242</v>
      </c>
      <c r="L122" s="38" t="s">
        <v>245</v>
      </c>
      <c r="M122" s="38" t="s">
        <v>245</v>
      </c>
      <c r="N122" s="42" t="s">
        <v>2747</v>
      </c>
      <c r="O122" s="38" t="s">
        <v>1441</v>
      </c>
      <c r="P122" s="56"/>
      <c r="Q122" s="38" t="s">
        <v>1441</v>
      </c>
      <c r="R122" s="38"/>
      <c r="S122" s="51"/>
      <c r="T122" s="38" t="s">
        <v>2245</v>
      </c>
      <c r="U122" s="38"/>
      <c r="V122" s="38"/>
      <c r="W122" s="38"/>
      <c r="X122" s="56"/>
      <c r="Y122" s="51"/>
      <c r="Z122" s="38" t="s">
        <v>335</v>
      </c>
      <c r="AA122" s="38" t="s">
        <v>2236</v>
      </c>
    </row>
    <row r="123" ht="14.25" customHeight="1">
      <c r="A123" s="50" t="s">
        <v>2748</v>
      </c>
      <c r="B123" s="50" t="s">
        <v>2563</v>
      </c>
      <c r="I123" s="50">
        <v>800.0</v>
      </c>
      <c r="J123" s="50" t="s">
        <v>2565</v>
      </c>
      <c r="K123" s="50" t="s">
        <v>242</v>
      </c>
      <c r="L123" s="50" t="s">
        <v>245</v>
      </c>
      <c r="M123" s="50" t="s">
        <v>245</v>
      </c>
      <c r="O123" s="50" t="s">
        <v>362</v>
      </c>
      <c r="Q123" s="50" t="s">
        <v>362</v>
      </c>
      <c r="T123" s="50" t="s">
        <v>2405</v>
      </c>
      <c r="Z123" s="50" t="s">
        <v>2406</v>
      </c>
      <c r="AA123" s="50" t="s">
        <v>2405</v>
      </c>
    </row>
    <row r="124" ht="14.25" customHeight="1">
      <c r="A124" s="50" t="s">
        <v>2749</v>
      </c>
      <c r="B124" s="50" t="s">
        <v>2566</v>
      </c>
      <c r="I124" s="50">
        <v>220.0</v>
      </c>
      <c r="J124" s="50" t="s">
        <v>2569</v>
      </c>
      <c r="K124" s="50" t="s">
        <v>242</v>
      </c>
      <c r="L124" s="50" t="s">
        <v>245</v>
      </c>
      <c r="M124" s="50" t="s">
        <v>245</v>
      </c>
      <c r="O124" s="50" t="s">
        <v>306</v>
      </c>
      <c r="Q124" s="50" t="s">
        <v>306</v>
      </c>
      <c r="T124" s="50" t="s">
        <v>2405</v>
      </c>
      <c r="Z124" s="50" t="s">
        <v>2406</v>
      </c>
      <c r="AA124" s="50" t="s">
        <v>2405</v>
      </c>
    </row>
    <row r="125" ht="14.25" customHeight="1">
      <c r="A125" s="50" t="s">
        <v>2750</v>
      </c>
      <c r="B125" s="50" t="s">
        <v>2570</v>
      </c>
      <c r="I125" s="50">
        <v>380.0</v>
      </c>
      <c r="J125" s="50" t="s">
        <v>2572</v>
      </c>
      <c r="K125" s="50" t="s">
        <v>242</v>
      </c>
      <c r="L125" s="50" t="s">
        <v>245</v>
      </c>
      <c r="M125" s="50" t="s">
        <v>245</v>
      </c>
      <c r="O125" s="50" t="s">
        <v>418</v>
      </c>
      <c r="Q125" s="50" t="s">
        <v>418</v>
      </c>
      <c r="T125" s="50" t="s">
        <v>2405</v>
      </c>
      <c r="Z125" s="50" t="s">
        <v>2406</v>
      </c>
      <c r="AA125" s="50" t="s">
        <v>2405</v>
      </c>
    </row>
    <row r="126" ht="14.25" customHeight="1">
      <c r="A126" s="50" t="s">
        <v>2751</v>
      </c>
      <c r="B126" s="50" t="s">
        <v>2573</v>
      </c>
      <c r="I126" s="50">
        <v>85.0</v>
      </c>
      <c r="J126" s="50" t="s">
        <v>2576</v>
      </c>
      <c r="K126" s="50" t="s">
        <v>242</v>
      </c>
      <c r="L126" s="50" t="s">
        <v>245</v>
      </c>
      <c r="M126" s="50" t="s">
        <v>245</v>
      </c>
      <c r="O126" s="50" t="s">
        <v>2402</v>
      </c>
      <c r="Q126" s="50" t="s">
        <v>2402</v>
      </c>
      <c r="T126" s="50" t="s">
        <v>2405</v>
      </c>
      <c r="Z126" s="50" t="s">
        <v>2406</v>
      </c>
      <c r="AA126" s="50" t="s">
        <v>2405</v>
      </c>
    </row>
    <row r="127" ht="14.25" customHeight="1">
      <c r="A127" s="50" t="s">
        <v>2752</v>
      </c>
      <c r="B127" s="50" t="s">
        <v>2577</v>
      </c>
      <c r="I127" s="50">
        <v>1200.0</v>
      </c>
      <c r="J127" s="50" t="s">
        <v>2580</v>
      </c>
      <c r="K127" s="50" t="s">
        <v>242</v>
      </c>
      <c r="L127" s="50" t="s">
        <v>245</v>
      </c>
      <c r="M127" s="50" t="s">
        <v>245</v>
      </c>
      <c r="O127" s="50" t="s">
        <v>306</v>
      </c>
      <c r="Q127" s="50" t="s">
        <v>306</v>
      </c>
      <c r="T127" s="50" t="s">
        <v>2405</v>
      </c>
      <c r="Z127" s="50" t="s">
        <v>2406</v>
      </c>
      <c r="AA127" s="50" t="s">
        <v>2405</v>
      </c>
    </row>
    <row r="128" ht="14.25" customHeight="1">
      <c r="A128" s="50" t="s">
        <v>2753</v>
      </c>
      <c r="B128" s="50" t="s">
        <v>2582</v>
      </c>
      <c r="I128" s="50">
        <v>2800.0</v>
      </c>
      <c r="J128" s="50" t="s">
        <v>2584</v>
      </c>
      <c r="K128" s="50" t="s">
        <v>242</v>
      </c>
      <c r="L128" s="50" t="s">
        <v>245</v>
      </c>
      <c r="M128" s="50" t="s">
        <v>245</v>
      </c>
      <c r="O128" s="50" t="s">
        <v>306</v>
      </c>
      <c r="Q128" s="50" t="s">
        <v>306</v>
      </c>
      <c r="T128" s="50" t="s">
        <v>2405</v>
      </c>
      <c r="Z128" s="50" t="s">
        <v>2406</v>
      </c>
      <c r="AA128" s="50" t="s">
        <v>2405</v>
      </c>
    </row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AA$122"/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40.0"/>
    <col customWidth="1" min="3" max="3" width="24.0"/>
    <col customWidth="1" min="4" max="4" width="17.0"/>
    <col customWidth="1" min="5" max="5" width="24.0"/>
    <col customWidth="1" min="6" max="7" width="12.0"/>
    <col customWidth="1" min="8" max="8" width="11.0"/>
    <col customWidth="1" min="9" max="9" width="19.0"/>
    <col customWidth="1" min="10" max="10" width="15.0"/>
    <col customWidth="1" min="11" max="11" width="13.0"/>
    <col customWidth="1" min="12" max="12" width="40.0"/>
    <col customWidth="1" min="13" max="26" width="8.71"/>
  </cols>
  <sheetData>
    <row r="1" ht="14.25" customHeight="1">
      <c r="A1" s="37" t="s">
        <v>555</v>
      </c>
      <c r="B1" s="37" t="s">
        <v>556</v>
      </c>
      <c r="C1" s="37" t="s">
        <v>557</v>
      </c>
      <c r="D1" s="37" t="s">
        <v>558</v>
      </c>
      <c r="E1" s="37" t="s">
        <v>559</v>
      </c>
      <c r="F1" s="37" t="s">
        <v>560</v>
      </c>
      <c r="G1" s="37" t="s">
        <v>561</v>
      </c>
      <c r="H1" s="37" t="s">
        <v>467</v>
      </c>
      <c r="I1" s="37" t="s">
        <v>196</v>
      </c>
      <c r="J1" s="37" t="s">
        <v>197</v>
      </c>
      <c r="K1" s="37" t="s">
        <v>562</v>
      </c>
      <c r="L1" s="37" t="s">
        <v>116</v>
      </c>
    </row>
    <row r="2" ht="14.25" customHeight="1">
      <c r="A2" s="38" t="s">
        <v>563</v>
      </c>
      <c r="B2" s="38" t="s">
        <v>1035</v>
      </c>
      <c r="C2" s="38" t="s">
        <v>2754</v>
      </c>
      <c r="D2" s="38">
        <v>2.0</v>
      </c>
      <c r="E2" s="38" t="s">
        <v>402</v>
      </c>
      <c r="F2" s="38" t="s">
        <v>246</v>
      </c>
      <c r="G2" s="41" t="s">
        <v>1038</v>
      </c>
      <c r="H2" s="41"/>
      <c r="I2" s="38" t="s">
        <v>335</v>
      </c>
      <c r="J2" s="38" t="s">
        <v>2755</v>
      </c>
      <c r="K2" s="38" t="s">
        <v>255</v>
      </c>
      <c r="L2" s="42" t="s">
        <v>1039</v>
      </c>
    </row>
    <row r="3" ht="14.25" customHeight="1">
      <c r="A3" s="39" t="s">
        <v>566</v>
      </c>
      <c r="B3" s="39" t="s">
        <v>1040</v>
      </c>
      <c r="C3" s="39" t="s">
        <v>2754</v>
      </c>
      <c r="D3" s="39">
        <v>3.0</v>
      </c>
      <c r="E3" s="39" t="s">
        <v>239</v>
      </c>
      <c r="F3" s="39" t="s">
        <v>286</v>
      </c>
      <c r="G3" s="44" t="s">
        <v>1043</v>
      </c>
      <c r="H3" s="44" t="s">
        <v>536</v>
      </c>
      <c r="I3" s="39" t="s">
        <v>335</v>
      </c>
      <c r="J3" s="39" t="s">
        <v>2755</v>
      </c>
      <c r="K3" s="39" t="s">
        <v>255</v>
      </c>
      <c r="L3" s="45" t="s">
        <v>1044</v>
      </c>
    </row>
    <row r="4" ht="14.25" customHeight="1">
      <c r="A4" s="38" t="s">
        <v>567</v>
      </c>
      <c r="B4" s="38" t="s">
        <v>1045</v>
      </c>
      <c r="C4" s="38" t="s">
        <v>2754</v>
      </c>
      <c r="D4" s="38">
        <v>4.0</v>
      </c>
      <c r="E4" s="38" t="s">
        <v>1048</v>
      </c>
      <c r="F4" s="38" t="s">
        <v>286</v>
      </c>
      <c r="G4" s="41" t="s">
        <v>1050</v>
      </c>
      <c r="H4" s="41" t="s">
        <v>540</v>
      </c>
      <c r="I4" s="38" t="s">
        <v>335</v>
      </c>
      <c r="J4" s="38" t="s">
        <v>2755</v>
      </c>
      <c r="K4" s="38" t="s">
        <v>255</v>
      </c>
      <c r="L4" s="42" t="s">
        <v>1044</v>
      </c>
    </row>
    <row r="5" ht="14.25" customHeight="1">
      <c r="A5" s="39" t="s">
        <v>1051</v>
      </c>
      <c r="B5" s="39" t="s">
        <v>1052</v>
      </c>
      <c r="C5" s="39" t="s">
        <v>2754</v>
      </c>
      <c r="D5" s="39">
        <v>5.0</v>
      </c>
      <c r="E5" s="39" t="s">
        <v>239</v>
      </c>
      <c r="F5" s="39" t="s">
        <v>286</v>
      </c>
      <c r="G5" s="44" t="s">
        <v>1057</v>
      </c>
      <c r="H5" s="44" t="s">
        <v>543</v>
      </c>
      <c r="I5" s="39" t="s">
        <v>335</v>
      </c>
      <c r="J5" s="39" t="s">
        <v>2755</v>
      </c>
      <c r="K5" s="39" t="s">
        <v>255</v>
      </c>
      <c r="L5" s="45" t="s">
        <v>1044</v>
      </c>
    </row>
    <row r="6" ht="14.25" customHeight="1">
      <c r="A6" s="38" t="s">
        <v>1058</v>
      </c>
      <c r="B6" s="38" t="s">
        <v>1059</v>
      </c>
      <c r="C6" s="38" t="s">
        <v>2754</v>
      </c>
      <c r="D6" s="38">
        <v>6.0</v>
      </c>
      <c r="E6" s="38" t="s">
        <v>239</v>
      </c>
      <c r="F6" s="38" t="s">
        <v>246</v>
      </c>
      <c r="G6" s="41" t="s">
        <v>1064</v>
      </c>
      <c r="H6" s="41"/>
      <c r="I6" s="38" t="s">
        <v>335</v>
      </c>
      <c r="J6" s="38" t="s">
        <v>2755</v>
      </c>
      <c r="K6" s="38" t="s">
        <v>255</v>
      </c>
      <c r="L6" s="42" t="s">
        <v>1044</v>
      </c>
    </row>
    <row r="7" ht="14.25" customHeight="1">
      <c r="A7" s="39" t="s">
        <v>1065</v>
      </c>
      <c r="B7" s="39" t="s">
        <v>1066</v>
      </c>
      <c r="C7" s="39" t="s">
        <v>2754</v>
      </c>
      <c r="D7" s="39">
        <v>7.0</v>
      </c>
      <c r="E7" s="39" t="s">
        <v>402</v>
      </c>
      <c r="F7" s="39" t="s">
        <v>246</v>
      </c>
      <c r="G7" s="44" t="s">
        <v>1072</v>
      </c>
      <c r="H7" s="44"/>
      <c r="I7" s="39" t="s">
        <v>335</v>
      </c>
      <c r="J7" s="39" t="s">
        <v>2755</v>
      </c>
      <c r="K7" s="39" t="s">
        <v>255</v>
      </c>
      <c r="L7" s="45" t="s">
        <v>1073</v>
      </c>
    </row>
    <row r="8" ht="14.25" customHeight="1">
      <c r="A8" s="38" t="s">
        <v>1074</v>
      </c>
      <c r="B8" s="38" t="s">
        <v>1075</v>
      </c>
      <c r="C8" s="38" t="s">
        <v>2754</v>
      </c>
      <c r="D8" s="38">
        <v>8.0</v>
      </c>
      <c r="E8" s="38" t="s">
        <v>1078</v>
      </c>
      <c r="F8" s="38" t="s">
        <v>246</v>
      </c>
      <c r="G8" s="41" t="s">
        <v>1081</v>
      </c>
      <c r="H8" s="41"/>
      <c r="I8" s="38" t="s">
        <v>335</v>
      </c>
      <c r="J8" s="38" t="s">
        <v>2755</v>
      </c>
      <c r="K8" s="38" t="s">
        <v>255</v>
      </c>
      <c r="L8" s="42" t="s">
        <v>1082</v>
      </c>
    </row>
    <row r="9" ht="14.25" customHeight="1">
      <c r="A9" s="39" t="s">
        <v>1083</v>
      </c>
      <c r="B9" s="39" t="s">
        <v>1084</v>
      </c>
      <c r="C9" s="39" t="s">
        <v>2754</v>
      </c>
      <c r="D9" s="39">
        <v>9.0</v>
      </c>
      <c r="E9" s="39" t="s">
        <v>1086</v>
      </c>
      <c r="F9" s="39" t="s">
        <v>246</v>
      </c>
      <c r="G9" s="44" t="s">
        <v>1087</v>
      </c>
      <c r="H9" s="44"/>
      <c r="I9" s="39" t="s">
        <v>335</v>
      </c>
      <c r="J9" s="39" t="s">
        <v>2755</v>
      </c>
      <c r="K9" s="39" t="s">
        <v>255</v>
      </c>
      <c r="L9" s="45" t="s">
        <v>1044</v>
      </c>
    </row>
    <row r="10" ht="14.25" customHeight="1">
      <c r="A10" s="38" t="s">
        <v>1088</v>
      </c>
      <c r="B10" s="38" t="s">
        <v>1089</v>
      </c>
      <c r="C10" s="38" t="s">
        <v>2754</v>
      </c>
      <c r="D10" s="38">
        <v>10.0</v>
      </c>
      <c r="E10" s="38" t="s">
        <v>1078</v>
      </c>
      <c r="F10" s="38" t="s">
        <v>246</v>
      </c>
      <c r="G10" s="41" t="s">
        <v>1091</v>
      </c>
      <c r="H10" s="41"/>
      <c r="I10" s="38" t="s">
        <v>335</v>
      </c>
      <c r="J10" s="38" t="s">
        <v>2755</v>
      </c>
      <c r="K10" s="38" t="s">
        <v>255</v>
      </c>
      <c r="L10" s="42" t="s">
        <v>1082</v>
      </c>
    </row>
    <row r="11" ht="14.25" customHeight="1">
      <c r="A11" s="39" t="s">
        <v>1092</v>
      </c>
      <c r="B11" s="39" t="s">
        <v>1093</v>
      </c>
      <c r="C11" s="39" t="s">
        <v>2754</v>
      </c>
      <c r="D11" s="39">
        <v>11.0</v>
      </c>
      <c r="E11" s="39" t="s">
        <v>402</v>
      </c>
      <c r="F11" s="39" t="s">
        <v>246</v>
      </c>
      <c r="G11" s="44" t="s">
        <v>1096</v>
      </c>
      <c r="H11" s="44"/>
      <c r="I11" s="39" t="s">
        <v>335</v>
      </c>
      <c r="J11" s="39" t="s">
        <v>2755</v>
      </c>
      <c r="K11" s="39" t="s">
        <v>255</v>
      </c>
      <c r="L11" s="45" t="s">
        <v>1073</v>
      </c>
    </row>
    <row r="12" ht="14.25" customHeight="1">
      <c r="A12" s="38" t="s">
        <v>1097</v>
      </c>
      <c r="B12" s="38" t="s">
        <v>1098</v>
      </c>
      <c r="C12" s="38" t="s">
        <v>2754</v>
      </c>
      <c r="D12" s="38">
        <v>12.0</v>
      </c>
      <c r="E12" s="38" t="s">
        <v>1078</v>
      </c>
      <c r="F12" s="38" t="s">
        <v>246</v>
      </c>
      <c r="G12" s="41" t="s">
        <v>1100</v>
      </c>
      <c r="H12" s="41"/>
      <c r="I12" s="38" t="s">
        <v>335</v>
      </c>
      <c r="J12" s="38" t="s">
        <v>2755</v>
      </c>
      <c r="K12" s="38" t="s">
        <v>255</v>
      </c>
      <c r="L12" s="42" t="s">
        <v>1082</v>
      </c>
    </row>
    <row r="13" ht="14.25" customHeight="1">
      <c r="A13" s="39" t="s">
        <v>1101</v>
      </c>
      <c r="B13" s="39" t="s">
        <v>1102</v>
      </c>
      <c r="C13" s="39" t="s">
        <v>2754</v>
      </c>
      <c r="D13" s="39">
        <v>13.0</v>
      </c>
      <c r="E13" s="39" t="s">
        <v>239</v>
      </c>
      <c r="F13" s="39" t="s">
        <v>286</v>
      </c>
      <c r="G13" s="44" t="s">
        <v>1105</v>
      </c>
      <c r="H13" s="44" t="s">
        <v>545</v>
      </c>
      <c r="I13" s="39" t="s">
        <v>335</v>
      </c>
      <c r="J13" s="39" t="s">
        <v>2755</v>
      </c>
      <c r="K13" s="39" t="s">
        <v>255</v>
      </c>
      <c r="L13" s="45" t="s">
        <v>1044</v>
      </c>
    </row>
    <row r="14" ht="14.25" customHeight="1">
      <c r="A14" s="38" t="s">
        <v>1106</v>
      </c>
      <c r="B14" s="38" t="s">
        <v>1107</v>
      </c>
      <c r="C14" s="38" t="s">
        <v>2754</v>
      </c>
      <c r="D14" s="38">
        <v>14.0</v>
      </c>
      <c r="E14" s="38" t="s">
        <v>239</v>
      </c>
      <c r="F14" s="38" t="s">
        <v>286</v>
      </c>
      <c r="G14" s="41" t="s">
        <v>1109</v>
      </c>
      <c r="H14" s="41" t="s">
        <v>547</v>
      </c>
      <c r="I14" s="38" t="s">
        <v>335</v>
      </c>
      <c r="J14" s="38" t="s">
        <v>2755</v>
      </c>
      <c r="K14" s="38" t="s">
        <v>255</v>
      </c>
      <c r="L14" s="42" t="s">
        <v>1044</v>
      </c>
    </row>
    <row r="15" ht="14.25" customHeight="1">
      <c r="A15" s="39" t="s">
        <v>1110</v>
      </c>
      <c r="B15" s="39" t="s">
        <v>1111</v>
      </c>
      <c r="C15" s="39" t="s">
        <v>2754</v>
      </c>
      <c r="D15" s="39">
        <v>15.0</v>
      </c>
      <c r="E15" s="39" t="s">
        <v>239</v>
      </c>
      <c r="F15" s="39" t="s">
        <v>246</v>
      </c>
      <c r="G15" s="44" t="s">
        <v>1114</v>
      </c>
      <c r="H15" s="44"/>
      <c r="I15" s="39" t="s">
        <v>335</v>
      </c>
      <c r="J15" s="39" t="s">
        <v>2755</v>
      </c>
      <c r="K15" s="39" t="s">
        <v>255</v>
      </c>
      <c r="L15" s="45" t="s">
        <v>1044</v>
      </c>
    </row>
    <row r="16" ht="14.25" customHeight="1">
      <c r="A16" s="38" t="s">
        <v>1115</v>
      </c>
      <c r="B16" s="38" t="s">
        <v>1116</v>
      </c>
      <c r="C16" s="38" t="s">
        <v>2754</v>
      </c>
      <c r="D16" s="38">
        <v>16.0</v>
      </c>
      <c r="E16" s="38" t="s">
        <v>1119</v>
      </c>
      <c r="F16" s="38" t="s">
        <v>286</v>
      </c>
      <c r="G16" s="41" t="s">
        <v>1121</v>
      </c>
      <c r="H16" s="41" t="s">
        <v>549</v>
      </c>
      <c r="I16" s="38" t="s">
        <v>335</v>
      </c>
      <c r="J16" s="38" t="s">
        <v>2755</v>
      </c>
      <c r="K16" s="38" t="s">
        <v>255</v>
      </c>
      <c r="L16" s="42" t="s">
        <v>1044</v>
      </c>
    </row>
    <row r="17" ht="14.25" customHeight="1">
      <c r="A17" s="39" t="s">
        <v>1122</v>
      </c>
      <c r="B17" s="39" t="s">
        <v>1123</v>
      </c>
      <c r="C17" s="39" t="s">
        <v>2754</v>
      </c>
      <c r="D17" s="39">
        <v>17.0</v>
      </c>
      <c r="E17" s="39" t="s">
        <v>1119</v>
      </c>
      <c r="F17" s="39" t="s">
        <v>246</v>
      </c>
      <c r="G17" s="44" t="s">
        <v>1126</v>
      </c>
      <c r="H17" s="44"/>
      <c r="I17" s="39" t="s">
        <v>335</v>
      </c>
      <c r="J17" s="39" t="s">
        <v>2755</v>
      </c>
      <c r="K17" s="39" t="s">
        <v>255</v>
      </c>
      <c r="L17" s="45" t="s">
        <v>1044</v>
      </c>
    </row>
    <row r="18" ht="14.25" customHeight="1">
      <c r="A18" s="38" t="s">
        <v>1127</v>
      </c>
      <c r="B18" s="38" t="s">
        <v>1128</v>
      </c>
      <c r="C18" s="38" t="s">
        <v>2754</v>
      </c>
      <c r="D18" s="38">
        <v>18.0</v>
      </c>
      <c r="E18" s="38" t="s">
        <v>386</v>
      </c>
      <c r="F18" s="38" t="s">
        <v>286</v>
      </c>
      <c r="G18" s="41" t="s">
        <v>1131</v>
      </c>
      <c r="H18" s="41" t="s">
        <v>551</v>
      </c>
      <c r="I18" s="38" t="s">
        <v>335</v>
      </c>
      <c r="J18" s="38" t="s">
        <v>2755</v>
      </c>
      <c r="K18" s="38" t="s">
        <v>255</v>
      </c>
      <c r="L18" s="42" t="s">
        <v>1044</v>
      </c>
    </row>
    <row r="19" ht="14.25" customHeight="1">
      <c r="A19" s="39" t="s">
        <v>1132</v>
      </c>
      <c r="B19" s="39" t="s">
        <v>1133</v>
      </c>
      <c r="C19" s="39" t="s">
        <v>2754</v>
      </c>
      <c r="D19" s="39">
        <v>19.0</v>
      </c>
      <c r="E19" s="39" t="s">
        <v>239</v>
      </c>
      <c r="F19" s="39" t="s">
        <v>286</v>
      </c>
      <c r="G19" s="44" t="s">
        <v>1136</v>
      </c>
      <c r="H19" s="44" t="s">
        <v>553</v>
      </c>
      <c r="I19" s="39" t="s">
        <v>335</v>
      </c>
      <c r="J19" s="39" t="s">
        <v>2755</v>
      </c>
      <c r="K19" s="39" t="s">
        <v>255</v>
      </c>
      <c r="L19" s="45" t="s">
        <v>1044</v>
      </c>
    </row>
    <row r="20" ht="14.25" customHeight="1">
      <c r="A20" s="38" t="s">
        <v>1137</v>
      </c>
      <c r="B20" s="38" t="s">
        <v>1138</v>
      </c>
      <c r="C20" s="38" t="s">
        <v>2754</v>
      </c>
      <c r="D20" s="38">
        <v>20.0</v>
      </c>
      <c r="E20" s="38" t="s">
        <v>239</v>
      </c>
      <c r="F20" s="38" t="s">
        <v>286</v>
      </c>
      <c r="G20" s="41" t="s">
        <v>1140</v>
      </c>
      <c r="H20" s="41" t="s">
        <v>1141</v>
      </c>
      <c r="I20" s="38" t="s">
        <v>335</v>
      </c>
      <c r="J20" s="38" t="s">
        <v>2755</v>
      </c>
      <c r="K20" s="38" t="s">
        <v>255</v>
      </c>
      <c r="L20" s="42" t="s">
        <v>1044</v>
      </c>
    </row>
    <row r="21" ht="14.25" customHeight="1">
      <c r="A21" s="39" t="s">
        <v>1142</v>
      </c>
      <c r="B21" s="39" t="s">
        <v>1143</v>
      </c>
      <c r="C21" s="39" t="s">
        <v>2754</v>
      </c>
      <c r="D21" s="39">
        <v>21.0</v>
      </c>
      <c r="E21" s="39" t="s">
        <v>1048</v>
      </c>
      <c r="F21" s="39" t="s">
        <v>286</v>
      </c>
      <c r="G21" s="44" t="s">
        <v>1145</v>
      </c>
      <c r="H21" s="44" t="s">
        <v>1146</v>
      </c>
      <c r="I21" s="39" t="s">
        <v>335</v>
      </c>
      <c r="J21" s="39" t="s">
        <v>2755</v>
      </c>
      <c r="K21" s="39" t="s">
        <v>255</v>
      </c>
      <c r="L21" s="45" t="s">
        <v>1044</v>
      </c>
    </row>
    <row r="22" ht="14.25" customHeight="1">
      <c r="A22" s="38" t="s">
        <v>1147</v>
      </c>
      <c r="B22" s="38" t="s">
        <v>1148</v>
      </c>
      <c r="C22" s="38" t="s">
        <v>2754</v>
      </c>
      <c r="D22" s="38">
        <v>22.0</v>
      </c>
      <c r="E22" s="38" t="s">
        <v>1119</v>
      </c>
      <c r="F22" s="38" t="s">
        <v>286</v>
      </c>
      <c r="G22" s="41" t="s">
        <v>1151</v>
      </c>
      <c r="H22" s="41" t="s">
        <v>1152</v>
      </c>
      <c r="I22" s="38" t="s">
        <v>335</v>
      </c>
      <c r="J22" s="38" t="s">
        <v>2755</v>
      </c>
      <c r="K22" s="38" t="s">
        <v>255</v>
      </c>
      <c r="L22" s="42" t="s">
        <v>1044</v>
      </c>
    </row>
    <row r="23" ht="14.25" customHeight="1">
      <c r="A23" s="39" t="s">
        <v>1153</v>
      </c>
      <c r="B23" s="39" t="s">
        <v>1154</v>
      </c>
      <c r="C23" s="39" t="s">
        <v>2754</v>
      </c>
      <c r="D23" s="39">
        <v>23.0</v>
      </c>
      <c r="E23" s="39" t="s">
        <v>239</v>
      </c>
      <c r="F23" s="39" t="s">
        <v>286</v>
      </c>
      <c r="G23" s="44" t="s">
        <v>1156</v>
      </c>
      <c r="H23" s="44" t="s">
        <v>1157</v>
      </c>
      <c r="I23" s="39" t="s">
        <v>335</v>
      </c>
      <c r="J23" s="39" t="s">
        <v>2755</v>
      </c>
      <c r="K23" s="39" t="s">
        <v>255</v>
      </c>
      <c r="L23" s="45" t="s">
        <v>1044</v>
      </c>
    </row>
    <row r="24" ht="14.25" customHeight="1">
      <c r="A24" s="38" t="s">
        <v>1158</v>
      </c>
      <c r="B24" s="38" t="s">
        <v>1159</v>
      </c>
      <c r="C24" s="38" t="s">
        <v>2754</v>
      </c>
      <c r="D24" s="38">
        <v>24.0</v>
      </c>
      <c r="E24" s="38" t="s">
        <v>239</v>
      </c>
      <c r="F24" s="38" t="s">
        <v>286</v>
      </c>
      <c r="G24" s="41" t="s">
        <v>1161</v>
      </c>
      <c r="H24" s="41" t="s">
        <v>1162</v>
      </c>
      <c r="I24" s="38" t="s">
        <v>335</v>
      </c>
      <c r="J24" s="38" t="s">
        <v>2755</v>
      </c>
      <c r="K24" s="38" t="s">
        <v>255</v>
      </c>
      <c r="L24" s="42" t="s">
        <v>1044</v>
      </c>
    </row>
    <row r="25" ht="14.25" customHeight="1">
      <c r="A25" s="39" t="s">
        <v>1163</v>
      </c>
      <c r="B25" s="39" t="s">
        <v>1164</v>
      </c>
      <c r="C25" s="39" t="s">
        <v>2754</v>
      </c>
      <c r="D25" s="39">
        <v>25.0</v>
      </c>
      <c r="E25" s="39" t="s">
        <v>239</v>
      </c>
      <c r="F25" s="39" t="s">
        <v>286</v>
      </c>
      <c r="G25" s="44" t="s">
        <v>1165</v>
      </c>
      <c r="H25" s="44" t="s">
        <v>1166</v>
      </c>
      <c r="I25" s="39" t="s">
        <v>335</v>
      </c>
      <c r="J25" s="39" t="s">
        <v>2755</v>
      </c>
      <c r="K25" s="39" t="s">
        <v>255</v>
      </c>
      <c r="L25" s="45" t="s">
        <v>1044</v>
      </c>
    </row>
    <row r="26" ht="14.25" customHeight="1">
      <c r="A26" s="38" t="s">
        <v>1167</v>
      </c>
      <c r="B26" s="38" t="s">
        <v>1168</v>
      </c>
      <c r="C26" s="38" t="s">
        <v>2754</v>
      </c>
      <c r="D26" s="38">
        <v>26.0</v>
      </c>
      <c r="E26" s="38" t="s">
        <v>239</v>
      </c>
      <c r="F26" s="38" t="s">
        <v>286</v>
      </c>
      <c r="G26" s="41" t="s">
        <v>1170</v>
      </c>
      <c r="H26" s="41" t="s">
        <v>1171</v>
      </c>
      <c r="I26" s="38" t="s">
        <v>335</v>
      </c>
      <c r="J26" s="38" t="s">
        <v>2755</v>
      </c>
      <c r="K26" s="38" t="s">
        <v>255</v>
      </c>
      <c r="L26" s="42" t="s">
        <v>1044</v>
      </c>
    </row>
    <row r="27" ht="14.25" customHeight="1">
      <c r="A27" s="39" t="s">
        <v>1172</v>
      </c>
      <c r="B27" s="39" t="s">
        <v>1173</v>
      </c>
      <c r="C27" s="39" t="s">
        <v>2754</v>
      </c>
      <c r="D27" s="39">
        <v>27.0</v>
      </c>
      <c r="E27" s="39" t="s">
        <v>239</v>
      </c>
      <c r="F27" s="39" t="s">
        <v>286</v>
      </c>
      <c r="G27" s="44" t="s">
        <v>1175</v>
      </c>
      <c r="H27" s="44" t="s">
        <v>1176</v>
      </c>
      <c r="I27" s="39" t="s">
        <v>335</v>
      </c>
      <c r="J27" s="39" t="s">
        <v>2755</v>
      </c>
      <c r="K27" s="39" t="s">
        <v>255</v>
      </c>
      <c r="L27" s="45" t="s">
        <v>1044</v>
      </c>
    </row>
    <row r="28" ht="14.25" customHeight="1">
      <c r="A28" s="38" t="s">
        <v>1177</v>
      </c>
      <c r="B28" s="38" t="s">
        <v>1178</v>
      </c>
      <c r="C28" s="38" t="s">
        <v>2754</v>
      </c>
      <c r="D28" s="38">
        <v>28.0</v>
      </c>
      <c r="E28" s="38" t="s">
        <v>239</v>
      </c>
      <c r="F28" s="38" t="s">
        <v>286</v>
      </c>
      <c r="G28" s="41" t="s">
        <v>1180</v>
      </c>
      <c r="H28" s="41" t="s">
        <v>1181</v>
      </c>
      <c r="I28" s="38" t="s">
        <v>335</v>
      </c>
      <c r="J28" s="38" t="s">
        <v>2755</v>
      </c>
      <c r="K28" s="38" t="s">
        <v>255</v>
      </c>
      <c r="L28" s="42" t="s">
        <v>1044</v>
      </c>
    </row>
    <row r="29" ht="14.25" customHeight="1">
      <c r="A29" s="39" t="s">
        <v>1182</v>
      </c>
      <c r="B29" s="39" t="s">
        <v>1183</v>
      </c>
      <c r="C29" s="39" t="s">
        <v>2754</v>
      </c>
      <c r="D29" s="39">
        <v>29.0</v>
      </c>
      <c r="E29" s="39" t="s">
        <v>239</v>
      </c>
      <c r="F29" s="39" t="s">
        <v>286</v>
      </c>
      <c r="G29" s="44" t="s">
        <v>1185</v>
      </c>
      <c r="H29" s="44" t="s">
        <v>1186</v>
      </c>
      <c r="I29" s="39" t="s">
        <v>335</v>
      </c>
      <c r="J29" s="39" t="s">
        <v>2755</v>
      </c>
      <c r="K29" s="39" t="s">
        <v>255</v>
      </c>
      <c r="L29" s="45" t="s">
        <v>1044</v>
      </c>
    </row>
    <row r="30" ht="14.25" customHeight="1">
      <c r="A30" s="38" t="s">
        <v>1187</v>
      </c>
      <c r="B30" s="38" t="s">
        <v>1188</v>
      </c>
      <c r="C30" s="38" t="s">
        <v>2754</v>
      </c>
      <c r="D30" s="38">
        <v>30.0</v>
      </c>
      <c r="E30" s="38" t="s">
        <v>239</v>
      </c>
      <c r="F30" s="38" t="s">
        <v>286</v>
      </c>
      <c r="G30" s="41" t="s">
        <v>1190</v>
      </c>
      <c r="H30" s="41" t="s">
        <v>1191</v>
      </c>
      <c r="I30" s="38" t="s">
        <v>335</v>
      </c>
      <c r="J30" s="38" t="s">
        <v>2755</v>
      </c>
      <c r="K30" s="38" t="s">
        <v>255</v>
      </c>
      <c r="L30" s="42" t="s">
        <v>1044</v>
      </c>
    </row>
    <row r="31" ht="14.25" customHeight="1">
      <c r="A31" s="39" t="s">
        <v>1192</v>
      </c>
      <c r="B31" s="39" t="s">
        <v>1193</v>
      </c>
      <c r="C31" s="39" t="s">
        <v>2754</v>
      </c>
      <c r="D31" s="39">
        <v>31.0</v>
      </c>
      <c r="E31" s="39" t="s">
        <v>1195</v>
      </c>
      <c r="F31" s="39" t="s">
        <v>246</v>
      </c>
      <c r="G31" s="44" t="s">
        <v>1197</v>
      </c>
      <c r="H31" s="44"/>
      <c r="I31" s="39" t="s">
        <v>335</v>
      </c>
      <c r="J31" s="39" t="s">
        <v>2755</v>
      </c>
      <c r="K31" s="39" t="s">
        <v>255</v>
      </c>
      <c r="L31" s="45" t="s">
        <v>1044</v>
      </c>
    </row>
    <row r="32" ht="14.25" customHeight="1">
      <c r="A32" s="38" t="s">
        <v>1198</v>
      </c>
      <c r="B32" s="38" t="s">
        <v>1199</v>
      </c>
      <c r="C32" s="38" t="s">
        <v>2754</v>
      </c>
      <c r="D32" s="38">
        <v>32.0</v>
      </c>
      <c r="E32" s="38" t="s">
        <v>1195</v>
      </c>
      <c r="F32" s="38" t="s">
        <v>246</v>
      </c>
      <c r="G32" s="41" t="s">
        <v>1201</v>
      </c>
      <c r="H32" s="41"/>
      <c r="I32" s="38" t="s">
        <v>335</v>
      </c>
      <c r="J32" s="38" t="s">
        <v>2755</v>
      </c>
      <c r="K32" s="38" t="s">
        <v>255</v>
      </c>
      <c r="L32" s="42" t="s">
        <v>1044</v>
      </c>
    </row>
    <row r="33" ht="14.25" customHeight="1">
      <c r="A33" s="39" t="s">
        <v>1202</v>
      </c>
      <c r="B33" s="39" t="s">
        <v>1203</v>
      </c>
      <c r="C33" s="39" t="s">
        <v>2754</v>
      </c>
      <c r="D33" s="39">
        <v>33.0</v>
      </c>
      <c r="E33" s="39" t="s">
        <v>239</v>
      </c>
      <c r="F33" s="39" t="s">
        <v>246</v>
      </c>
      <c r="G33" s="44" t="s">
        <v>1205</v>
      </c>
      <c r="H33" s="44"/>
      <c r="I33" s="39" t="s">
        <v>335</v>
      </c>
      <c r="J33" s="39" t="s">
        <v>2755</v>
      </c>
      <c r="K33" s="39" t="s">
        <v>255</v>
      </c>
      <c r="L33" s="45" t="s">
        <v>1044</v>
      </c>
    </row>
    <row r="34" ht="14.25" customHeight="1">
      <c r="A34" s="38" t="s">
        <v>1206</v>
      </c>
      <c r="B34" s="38" t="s">
        <v>1207</v>
      </c>
      <c r="C34" s="38" t="s">
        <v>2754</v>
      </c>
      <c r="D34" s="38">
        <v>34.0</v>
      </c>
      <c r="E34" s="38" t="s">
        <v>1086</v>
      </c>
      <c r="F34" s="38" t="s">
        <v>246</v>
      </c>
      <c r="G34" s="41" t="s">
        <v>1210</v>
      </c>
      <c r="H34" s="41"/>
      <c r="I34" s="38" t="s">
        <v>335</v>
      </c>
      <c r="J34" s="38" t="s">
        <v>2755</v>
      </c>
      <c r="K34" s="38" t="s">
        <v>255</v>
      </c>
      <c r="L34" s="42" t="s">
        <v>1044</v>
      </c>
    </row>
    <row r="35" ht="14.25" customHeight="1">
      <c r="A35" s="46" t="s">
        <v>1211</v>
      </c>
      <c r="B35" s="46" t="s">
        <v>1212</v>
      </c>
      <c r="C35" s="46" t="s">
        <v>2754</v>
      </c>
      <c r="D35" s="46">
        <v>35.0</v>
      </c>
      <c r="E35" s="46" t="s">
        <v>402</v>
      </c>
      <c r="F35" s="46" t="s">
        <v>246</v>
      </c>
      <c r="G35" s="48" t="s">
        <v>1215</v>
      </c>
      <c r="H35" s="48"/>
      <c r="I35" s="46" t="s">
        <v>335</v>
      </c>
      <c r="J35" s="46" t="s">
        <v>2755</v>
      </c>
      <c r="K35" s="46" t="s">
        <v>245</v>
      </c>
      <c r="L35" s="49" t="s">
        <v>1216</v>
      </c>
    </row>
    <row r="36" ht="14.25" customHeight="1">
      <c r="A36" s="38" t="s">
        <v>1217</v>
      </c>
      <c r="B36" s="38" t="s">
        <v>1218</v>
      </c>
      <c r="C36" s="38" t="s">
        <v>2754</v>
      </c>
      <c r="D36" s="38">
        <v>36.0</v>
      </c>
      <c r="E36" s="38" t="s">
        <v>1048</v>
      </c>
      <c r="F36" s="38" t="s">
        <v>246</v>
      </c>
      <c r="G36" s="41" t="s">
        <v>1220</v>
      </c>
      <c r="H36" s="41"/>
      <c r="I36" s="38" t="s">
        <v>335</v>
      </c>
      <c r="J36" s="38" t="s">
        <v>2755</v>
      </c>
      <c r="K36" s="38" t="s">
        <v>255</v>
      </c>
      <c r="L36" s="42" t="s">
        <v>1044</v>
      </c>
    </row>
    <row r="37" ht="14.25" customHeight="1">
      <c r="A37" s="39" t="s">
        <v>1221</v>
      </c>
      <c r="B37" s="39" t="s">
        <v>1222</v>
      </c>
      <c r="C37" s="39" t="s">
        <v>2754</v>
      </c>
      <c r="D37" s="39">
        <v>37.0</v>
      </c>
      <c r="E37" s="39" t="s">
        <v>1086</v>
      </c>
      <c r="F37" s="39" t="s">
        <v>246</v>
      </c>
      <c r="G37" s="44" t="s">
        <v>1224</v>
      </c>
      <c r="H37" s="44"/>
      <c r="I37" s="39" t="s">
        <v>335</v>
      </c>
      <c r="J37" s="39" t="s">
        <v>2755</v>
      </c>
      <c r="K37" s="39" t="s">
        <v>255</v>
      </c>
      <c r="L37" s="45" t="s">
        <v>1044</v>
      </c>
    </row>
    <row r="38" ht="14.25" customHeight="1">
      <c r="A38" s="38" t="s">
        <v>1225</v>
      </c>
      <c r="B38" s="38" t="s">
        <v>1226</v>
      </c>
      <c r="C38" s="38" t="s">
        <v>2754</v>
      </c>
      <c r="D38" s="38">
        <v>38.0</v>
      </c>
      <c r="E38" s="38" t="s">
        <v>1228</v>
      </c>
      <c r="F38" s="38" t="s">
        <v>246</v>
      </c>
      <c r="G38" s="41" t="s">
        <v>1230</v>
      </c>
      <c r="H38" s="41"/>
      <c r="I38" s="38" t="s">
        <v>335</v>
      </c>
      <c r="J38" s="38" t="s">
        <v>2755</v>
      </c>
      <c r="K38" s="38" t="s">
        <v>255</v>
      </c>
      <c r="L38" s="42" t="s">
        <v>1231</v>
      </c>
    </row>
    <row r="39" ht="14.25" customHeight="1">
      <c r="A39" s="39" t="s">
        <v>1232</v>
      </c>
      <c r="B39" s="39" t="s">
        <v>1233</v>
      </c>
      <c r="C39" s="39" t="s">
        <v>2754</v>
      </c>
      <c r="D39" s="39">
        <v>39.0</v>
      </c>
      <c r="E39" s="39" t="s">
        <v>1228</v>
      </c>
      <c r="F39" s="39" t="s">
        <v>246</v>
      </c>
      <c r="G39" s="44" t="s">
        <v>1237</v>
      </c>
      <c r="H39" s="44"/>
      <c r="I39" s="39" t="s">
        <v>335</v>
      </c>
      <c r="J39" s="39" t="s">
        <v>2755</v>
      </c>
      <c r="K39" s="39" t="s">
        <v>255</v>
      </c>
      <c r="L39" s="45" t="s">
        <v>1231</v>
      </c>
    </row>
    <row r="40" ht="14.25" customHeight="1">
      <c r="A40" s="38" t="s">
        <v>1238</v>
      </c>
      <c r="B40" s="38" t="s">
        <v>1239</v>
      </c>
      <c r="C40" s="38" t="s">
        <v>2754</v>
      </c>
      <c r="D40" s="38">
        <v>40.0</v>
      </c>
      <c r="E40" s="38" t="s">
        <v>402</v>
      </c>
      <c r="F40" s="38" t="s">
        <v>246</v>
      </c>
      <c r="G40" s="41" t="s">
        <v>1241</v>
      </c>
      <c r="H40" s="41"/>
      <c r="I40" s="38" t="s">
        <v>335</v>
      </c>
      <c r="J40" s="38" t="s">
        <v>2755</v>
      </c>
      <c r="K40" s="38" t="s">
        <v>255</v>
      </c>
      <c r="L40" s="42" t="s">
        <v>1073</v>
      </c>
    </row>
    <row r="41" ht="14.25" customHeight="1">
      <c r="A41" s="39" t="s">
        <v>1242</v>
      </c>
      <c r="B41" s="39" t="s">
        <v>1243</v>
      </c>
      <c r="C41" s="39" t="s">
        <v>2754</v>
      </c>
      <c r="D41" s="39">
        <v>41.0</v>
      </c>
      <c r="E41" s="39" t="s">
        <v>239</v>
      </c>
      <c r="F41" s="39" t="s">
        <v>246</v>
      </c>
      <c r="G41" s="44" t="s">
        <v>1245</v>
      </c>
      <c r="H41" s="44"/>
      <c r="I41" s="39" t="s">
        <v>335</v>
      </c>
      <c r="J41" s="39" t="s">
        <v>2755</v>
      </c>
      <c r="K41" s="39" t="s">
        <v>255</v>
      </c>
      <c r="L41" s="45" t="s">
        <v>1044</v>
      </c>
    </row>
    <row r="42" ht="14.25" customHeight="1">
      <c r="A42" s="38" t="s">
        <v>1246</v>
      </c>
      <c r="B42" s="38" t="s">
        <v>1247</v>
      </c>
      <c r="C42" s="38" t="s">
        <v>2754</v>
      </c>
      <c r="D42" s="38">
        <v>42.0</v>
      </c>
      <c r="E42" s="38" t="s">
        <v>239</v>
      </c>
      <c r="F42" s="38" t="s">
        <v>246</v>
      </c>
      <c r="G42" s="41" t="s">
        <v>1248</v>
      </c>
      <c r="H42" s="41"/>
      <c r="I42" s="38" t="s">
        <v>335</v>
      </c>
      <c r="J42" s="38" t="s">
        <v>2755</v>
      </c>
      <c r="K42" s="38" t="s">
        <v>255</v>
      </c>
      <c r="L42" s="42" t="s">
        <v>1044</v>
      </c>
    </row>
    <row r="43" ht="14.25" customHeight="1">
      <c r="A43" s="39" t="s">
        <v>1249</v>
      </c>
      <c r="B43" s="39" t="s">
        <v>1250</v>
      </c>
      <c r="C43" s="39" t="s">
        <v>2754</v>
      </c>
      <c r="D43" s="39">
        <v>43.0</v>
      </c>
      <c r="E43" s="39" t="s">
        <v>1251</v>
      </c>
      <c r="F43" s="39" t="s">
        <v>246</v>
      </c>
      <c r="G43" s="44" t="s">
        <v>1253</v>
      </c>
      <c r="H43" s="44"/>
      <c r="I43" s="39" t="s">
        <v>335</v>
      </c>
      <c r="J43" s="39" t="s">
        <v>2755</v>
      </c>
      <c r="K43" s="39" t="s">
        <v>255</v>
      </c>
      <c r="L43" s="45" t="s">
        <v>1254</v>
      </c>
    </row>
    <row r="44" ht="14.25" customHeight="1">
      <c r="A44" s="38" t="s">
        <v>1255</v>
      </c>
      <c r="B44" s="38" t="s">
        <v>1256</v>
      </c>
      <c r="C44" s="38" t="s">
        <v>2754</v>
      </c>
      <c r="D44" s="38">
        <v>44.0</v>
      </c>
      <c r="E44" s="38" t="s">
        <v>1251</v>
      </c>
      <c r="F44" s="38" t="s">
        <v>246</v>
      </c>
      <c r="G44" s="41" t="s">
        <v>1258</v>
      </c>
      <c r="H44" s="41"/>
      <c r="I44" s="38" t="s">
        <v>335</v>
      </c>
      <c r="J44" s="38" t="s">
        <v>2755</v>
      </c>
      <c r="K44" s="38" t="s">
        <v>255</v>
      </c>
      <c r="L44" s="42" t="s">
        <v>1254</v>
      </c>
    </row>
    <row r="45" ht="14.25" customHeight="1">
      <c r="A45" s="46" t="s">
        <v>1259</v>
      </c>
      <c r="B45" s="46" t="s">
        <v>1260</v>
      </c>
      <c r="C45" s="46" t="s">
        <v>2754</v>
      </c>
      <c r="D45" s="46">
        <v>45.0</v>
      </c>
      <c r="E45" s="46" t="s">
        <v>1251</v>
      </c>
      <c r="F45" s="46" t="s">
        <v>246</v>
      </c>
      <c r="G45" s="48" t="s">
        <v>1263</v>
      </c>
      <c r="H45" s="48"/>
      <c r="I45" s="46" t="s">
        <v>293</v>
      </c>
      <c r="J45" s="46" t="s">
        <v>2755</v>
      </c>
      <c r="K45" s="46" t="s">
        <v>245</v>
      </c>
      <c r="L45" s="49" t="s">
        <v>1264</v>
      </c>
    </row>
    <row r="46" ht="14.25" customHeight="1">
      <c r="A46" s="46" t="s">
        <v>1265</v>
      </c>
      <c r="B46" s="46" t="s">
        <v>1266</v>
      </c>
      <c r="C46" s="46" t="s">
        <v>2754</v>
      </c>
      <c r="D46" s="46">
        <v>46.0</v>
      </c>
      <c r="E46" s="46" t="s">
        <v>1251</v>
      </c>
      <c r="F46" s="46" t="s">
        <v>246</v>
      </c>
      <c r="G46" s="48" t="s">
        <v>1269</v>
      </c>
      <c r="H46" s="48"/>
      <c r="I46" s="46" t="s">
        <v>293</v>
      </c>
      <c r="J46" s="46" t="s">
        <v>2755</v>
      </c>
      <c r="K46" s="46" t="s">
        <v>245</v>
      </c>
      <c r="L46" s="49" t="s">
        <v>1270</v>
      </c>
    </row>
    <row r="47" ht="14.25" customHeight="1">
      <c r="A47" s="39" t="s">
        <v>1271</v>
      </c>
      <c r="B47" s="39" t="s">
        <v>1272</v>
      </c>
      <c r="C47" s="39" t="s">
        <v>2754</v>
      </c>
      <c r="D47" s="39">
        <v>47.0</v>
      </c>
      <c r="E47" s="39" t="s">
        <v>1195</v>
      </c>
      <c r="F47" s="39" t="s">
        <v>246</v>
      </c>
      <c r="G47" s="44" t="s">
        <v>1275</v>
      </c>
      <c r="H47" s="44"/>
      <c r="I47" s="39" t="s">
        <v>335</v>
      </c>
      <c r="J47" s="39" t="s">
        <v>2755</v>
      </c>
      <c r="K47" s="39" t="s">
        <v>255</v>
      </c>
      <c r="L47" s="45" t="s">
        <v>1044</v>
      </c>
    </row>
    <row r="48" ht="14.25" customHeight="1">
      <c r="A48" s="38" t="s">
        <v>1276</v>
      </c>
      <c r="B48" s="38" t="s">
        <v>1277</v>
      </c>
      <c r="C48" s="38" t="s">
        <v>2754</v>
      </c>
      <c r="D48" s="38">
        <v>48.0</v>
      </c>
      <c r="E48" s="38" t="s">
        <v>239</v>
      </c>
      <c r="F48" s="38" t="s">
        <v>286</v>
      </c>
      <c r="G48" s="41" t="s">
        <v>1279</v>
      </c>
      <c r="H48" s="41" t="s">
        <v>1280</v>
      </c>
      <c r="I48" s="38" t="s">
        <v>335</v>
      </c>
      <c r="J48" s="38" t="s">
        <v>2755</v>
      </c>
      <c r="K48" s="38" t="s">
        <v>255</v>
      </c>
      <c r="L48" s="42" t="s">
        <v>1044</v>
      </c>
    </row>
    <row r="49" ht="14.25" customHeight="1">
      <c r="A49" s="39" t="s">
        <v>1281</v>
      </c>
      <c r="B49" s="39" t="s">
        <v>1282</v>
      </c>
      <c r="C49" s="39" t="s">
        <v>2754</v>
      </c>
      <c r="D49" s="39">
        <v>49.0</v>
      </c>
      <c r="E49" s="39" t="s">
        <v>239</v>
      </c>
      <c r="F49" s="39" t="s">
        <v>286</v>
      </c>
      <c r="G49" s="44" t="s">
        <v>1284</v>
      </c>
      <c r="H49" s="44" t="s">
        <v>1285</v>
      </c>
      <c r="I49" s="39" t="s">
        <v>335</v>
      </c>
      <c r="J49" s="39" t="s">
        <v>2755</v>
      </c>
      <c r="K49" s="39" t="s">
        <v>255</v>
      </c>
      <c r="L49" s="45" t="s">
        <v>1044</v>
      </c>
    </row>
    <row r="50" ht="14.25" customHeight="1">
      <c r="A50" s="38" t="s">
        <v>1286</v>
      </c>
      <c r="B50" s="38" t="s">
        <v>1287</v>
      </c>
      <c r="C50" s="38" t="s">
        <v>2754</v>
      </c>
      <c r="D50" s="38">
        <v>50.0</v>
      </c>
      <c r="E50" s="38" t="s">
        <v>1048</v>
      </c>
      <c r="F50" s="38" t="s">
        <v>286</v>
      </c>
      <c r="G50" s="41" t="s">
        <v>1291</v>
      </c>
      <c r="H50" s="41" t="s">
        <v>1292</v>
      </c>
      <c r="I50" s="38" t="s">
        <v>335</v>
      </c>
      <c r="J50" s="38" t="s">
        <v>2755</v>
      </c>
      <c r="K50" s="38" t="s">
        <v>255</v>
      </c>
      <c r="L50" s="42" t="s">
        <v>1044</v>
      </c>
    </row>
    <row r="51" ht="14.25" customHeight="1">
      <c r="A51" s="39" t="s">
        <v>1293</v>
      </c>
      <c r="B51" s="39" t="s">
        <v>1294</v>
      </c>
      <c r="C51" s="39" t="s">
        <v>2754</v>
      </c>
      <c r="D51" s="39">
        <v>51.0</v>
      </c>
      <c r="E51" s="39" t="s">
        <v>239</v>
      </c>
      <c r="F51" s="39" t="s">
        <v>286</v>
      </c>
      <c r="G51" s="44" t="s">
        <v>1296</v>
      </c>
      <c r="H51" s="44" t="s">
        <v>1297</v>
      </c>
      <c r="I51" s="39" t="s">
        <v>335</v>
      </c>
      <c r="J51" s="39" t="s">
        <v>2755</v>
      </c>
      <c r="K51" s="39" t="s">
        <v>255</v>
      </c>
      <c r="L51" s="45" t="s">
        <v>1044</v>
      </c>
    </row>
    <row r="52" ht="14.25" customHeight="1">
      <c r="A52" s="38" t="s">
        <v>1298</v>
      </c>
      <c r="B52" s="38" t="s">
        <v>1299</v>
      </c>
      <c r="C52" s="38" t="s">
        <v>2754</v>
      </c>
      <c r="D52" s="38">
        <v>52.0</v>
      </c>
      <c r="E52" s="38" t="s">
        <v>239</v>
      </c>
      <c r="F52" s="38" t="s">
        <v>286</v>
      </c>
      <c r="G52" s="41" t="s">
        <v>1301</v>
      </c>
      <c r="H52" s="41" t="s">
        <v>1302</v>
      </c>
      <c r="I52" s="38" t="s">
        <v>335</v>
      </c>
      <c r="J52" s="38" t="s">
        <v>2755</v>
      </c>
      <c r="K52" s="38" t="s">
        <v>255</v>
      </c>
      <c r="L52" s="42" t="s">
        <v>1044</v>
      </c>
    </row>
    <row r="53" ht="14.25" customHeight="1">
      <c r="A53" s="39" t="s">
        <v>1303</v>
      </c>
      <c r="B53" s="39" t="s">
        <v>1304</v>
      </c>
      <c r="C53" s="39" t="s">
        <v>2754</v>
      </c>
      <c r="D53" s="39">
        <v>53.0</v>
      </c>
      <c r="E53" s="39" t="s">
        <v>239</v>
      </c>
      <c r="F53" s="39" t="s">
        <v>286</v>
      </c>
      <c r="G53" s="44" t="s">
        <v>1306</v>
      </c>
      <c r="H53" s="44" t="s">
        <v>1307</v>
      </c>
      <c r="I53" s="39" t="s">
        <v>335</v>
      </c>
      <c r="J53" s="39" t="s">
        <v>2755</v>
      </c>
      <c r="K53" s="39" t="s">
        <v>255</v>
      </c>
      <c r="L53" s="45" t="s">
        <v>1044</v>
      </c>
    </row>
    <row r="54" ht="14.25" customHeight="1">
      <c r="A54" s="38" t="s">
        <v>1308</v>
      </c>
      <c r="B54" s="38" t="s">
        <v>1309</v>
      </c>
      <c r="C54" s="38" t="s">
        <v>2754</v>
      </c>
      <c r="D54" s="38">
        <v>54.0</v>
      </c>
      <c r="E54" s="38" t="s">
        <v>239</v>
      </c>
      <c r="F54" s="38" t="s">
        <v>286</v>
      </c>
      <c r="G54" s="41" t="s">
        <v>1311</v>
      </c>
      <c r="H54" s="41" t="s">
        <v>1312</v>
      </c>
      <c r="I54" s="38" t="s">
        <v>335</v>
      </c>
      <c r="J54" s="38" t="s">
        <v>2755</v>
      </c>
      <c r="K54" s="38" t="s">
        <v>255</v>
      </c>
      <c r="L54" s="42" t="s">
        <v>1044</v>
      </c>
    </row>
    <row r="55" ht="14.25" customHeight="1">
      <c r="A55" s="39" t="s">
        <v>1313</v>
      </c>
      <c r="B55" s="39" t="s">
        <v>1314</v>
      </c>
      <c r="C55" s="39" t="s">
        <v>2754</v>
      </c>
      <c r="D55" s="39">
        <v>55.0</v>
      </c>
      <c r="E55" s="39" t="s">
        <v>1086</v>
      </c>
      <c r="F55" s="39" t="s">
        <v>286</v>
      </c>
      <c r="G55" s="44" t="s">
        <v>1317</v>
      </c>
      <c r="H55" s="44" t="s">
        <v>1318</v>
      </c>
      <c r="I55" s="39" t="s">
        <v>335</v>
      </c>
      <c r="J55" s="39" t="s">
        <v>2755</v>
      </c>
      <c r="K55" s="39" t="s">
        <v>255</v>
      </c>
      <c r="L55" s="45" t="s">
        <v>1044</v>
      </c>
    </row>
    <row r="56" ht="14.25" customHeight="1">
      <c r="A56" s="38" t="s">
        <v>1319</v>
      </c>
      <c r="B56" s="38" t="s">
        <v>1320</v>
      </c>
      <c r="C56" s="38" t="s">
        <v>2754</v>
      </c>
      <c r="D56" s="38">
        <v>56.0</v>
      </c>
      <c r="E56" s="38" t="s">
        <v>239</v>
      </c>
      <c r="F56" s="38" t="s">
        <v>286</v>
      </c>
      <c r="G56" s="41" t="s">
        <v>1322</v>
      </c>
      <c r="H56" s="41" t="s">
        <v>1323</v>
      </c>
      <c r="I56" s="38" t="s">
        <v>335</v>
      </c>
      <c r="J56" s="38" t="s">
        <v>2755</v>
      </c>
      <c r="K56" s="38" t="s">
        <v>255</v>
      </c>
      <c r="L56" s="42" t="s">
        <v>1044</v>
      </c>
    </row>
    <row r="57" ht="14.25" customHeight="1">
      <c r="A57" s="39" t="s">
        <v>1324</v>
      </c>
      <c r="B57" s="39" t="s">
        <v>1325</v>
      </c>
      <c r="C57" s="39" t="s">
        <v>2754</v>
      </c>
      <c r="D57" s="39">
        <v>57.0</v>
      </c>
      <c r="E57" s="39" t="s">
        <v>239</v>
      </c>
      <c r="F57" s="39" t="s">
        <v>286</v>
      </c>
      <c r="G57" s="44" t="s">
        <v>1327</v>
      </c>
      <c r="H57" s="44" t="s">
        <v>1328</v>
      </c>
      <c r="I57" s="39" t="s">
        <v>335</v>
      </c>
      <c r="J57" s="39" t="s">
        <v>2755</v>
      </c>
      <c r="K57" s="39" t="s">
        <v>255</v>
      </c>
      <c r="L57" s="45" t="s">
        <v>1044</v>
      </c>
    </row>
    <row r="58" ht="14.25" customHeight="1">
      <c r="A58" s="38" t="s">
        <v>1329</v>
      </c>
      <c r="B58" s="38" t="s">
        <v>1330</v>
      </c>
      <c r="C58" s="38" t="s">
        <v>2754</v>
      </c>
      <c r="D58" s="38">
        <v>58.0</v>
      </c>
      <c r="E58" s="38" t="s">
        <v>239</v>
      </c>
      <c r="F58" s="38" t="s">
        <v>286</v>
      </c>
      <c r="G58" s="41" t="s">
        <v>1331</v>
      </c>
      <c r="H58" s="41" t="s">
        <v>1332</v>
      </c>
      <c r="I58" s="38" t="s">
        <v>335</v>
      </c>
      <c r="J58" s="38" t="s">
        <v>2755</v>
      </c>
      <c r="K58" s="38" t="s">
        <v>255</v>
      </c>
      <c r="L58" s="42" t="s">
        <v>1044</v>
      </c>
    </row>
    <row r="59" ht="14.25" customHeight="1">
      <c r="A59" s="39" t="s">
        <v>1333</v>
      </c>
      <c r="B59" s="39" t="s">
        <v>1334</v>
      </c>
      <c r="C59" s="39" t="s">
        <v>2754</v>
      </c>
      <c r="D59" s="39">
        <v>59.0</v>
      </c>
      <c r="E59" s="39" t="s">
        <v>239</v>
      </c>
      <c r="F59" s="39" t="s">
        <v>286</v>
      </c>
      <c r="G59" s="44" t="s">
        <v>1336</v>
      </c>
      <c r="H59" s="44" t="s">
        <v>1337</v>
      </c>
      <c r="I59" s="39" t="s">
        <v>335</v>
      </c>
      <c r="J59" s="39" t="s">
        <v>2755</v>
      </c>
      <c r="K59" s="39" t="s">
        <v>255</v>
      </c>
      <c r="L59" s="45" t="s">
        <v>1044</v>
      </c>
    </row>
    <row r="60" ht="14.25" customHeight="1">
      <c r="A60" s="38" t="s">
        <v>1338</v>
      </c>
      <c r="B60" s="38" t="s">
        <v>1339</v>
      </c>
      <c r="C60" s="38" t="s">
        <v>2754</v>
      </c>
      <c r="D60" s="38">
        <v>60.0</v>
      </c>
      <c r="E60" s="38" t="s">
        <v>239</v>
      </c>
      <c r="F60" s="38" t="s">
        <v>286</v>
      </c>
      <c r="G60" s="41" t="s">
        <v>1340</v>
      </c>
      <c r="H60" s="41" t="s">
        <v>1341</v>
      </c>
      <c r="I60" s="38" t="s">
        <v>335</v>
      </c>
      <c r="J60" s="38" t="s">
        <v>2755</v>
      </c>
      <c r="K60" s="38" t="s">
        <v>255</v>
      </c>
      <c r="L60" s="42" t="s">
        <v>1044</v>
      </c>
    </row>
    <row r="61" ht="14.25" customHeight="1">
      <c r="A61" s="46" t="s">
        <v>1342</v>
      </c>
      <c r="B61" s="46" t="s">
        <v>1343</v>
      </c>
      <c r="C61" s="46" t="s">
        <v>2754</v>
      </c>
      <c r="D61" s="46">
        <v>61.0</v>
      </c>
      <c r="E61" s="46" t="s">
        <v>1200</v>
      </c>
      <c r="F61" s="46" t="s">
        <v>286</v>
      </c>
      <c r="G61" s="48" t="s">
        <v>1344</v>
      </c>
      <c r="H61" s="48" t="s">
        <v>1345</v>
      </c>
      <c r="I61" s="46" t="s">
        <v>293</v>
      </c>
      <c r="J61" s="46" t="s">
        <v>2755</v>
      </c>
      <c r="K61" s="46" t="s">
        <v>245</v>
      </c>
      <c r="L61" s="49" t="s">
        <v>1044</v>
      </c>
    </row>
    <row r="62" ht="14.25" customHeight="1">
      <c r="A62" s="38" t="s">
        <v>1346</v>
      </c>
      <c r="B62" s="38" t="s">
        <v>1347</v>
      </c>
      <c r="C62" s="38" t="s">
        <v>2754</v>
      </c>
      <c r="D62" s="38">
        <v>62.0</v>
      </c>
      <c r="E62" s="38" t="s">
        <v>239</v>
      </c>
      <c r="F62" s="38" t="s">
        <v>246</v>
      </c>
      <c r="G62" s="41" t="s">
        <v>1349</v>
      </c>
      <c r="H62" s="41"/>
      <c r="I62" s="38" t="s">
        <v>335</v>
      </c>
      <c r="J62" s="38" t="s">
        <v>2755</v>
      </c>
      <c r="K62" s="38" t="s">
        <v>255</v>
      </c>
      <c r="L62" s="42" t="s">
        <v>1044</v>
      </c>
    </row>
    <row r="63" ht="14.25" customHeight="1">
      <c r="A63" s="39" t="s">
        <v>1350</v>
      </c>
      <c r="B63" s="39" t="s">
        <v>1351</v>
      </c>
      <c r="C63" s="39" t="s">
        <v>2754</v>
      </c>
      <c r="D63" s="39">
        <v>63.0</v>
      </c>
      <c r="E63" s="39" t="s">
        <v>239</v>
      </c>
      <c r="F63" s="39" t="s">
        <v>286</v>
      </c>
      <c r="G63" s="44" t="s">
        <v>1353</v>
      </c>
      <c r="H63" s="44" t="s">
        <v>1354</v>
      </c>
      <c r="I63" s="39" t="s">
        <v>335</v>
      </c>
      <c r="J63" s="39" t="s">
        <v>2755</v>
      </c>
      <c r="K63" s="39" t="s">
        <v>255</v>
      </c>
      <c r="L63" s="45" t="s">
        <v>1044</v>
      </c>
    </row>
    <row r="64" ht="14.25" customHeight="1">
      <c r="A64" s="38" t="s">
        <v>1355</v>
      </c>
      <c r="B64" s="38" t="s">
        <v>1356</v>
      </c>
      <c r="C64" s="38" t="s">
        <v>2754</v>
      </c>
      <c r="D64" s="38">
        <v>64.0</v>
      </c>
      <c r="E64" s="38" t="s">
        <v>1251</v>
      </c>
      <c r="F64" s="38" t="s">
        <v>246</v>
      </c>
      <c r="G64" s="41" t="s">
        <v>1358</v>
      </c>
      <c r="H64" s="41"/>
      <c r="I64" s="38" t="s">
        <v>335</v>
      </c>
      <c r="J64" s="38" t="s">
        <v>2755</v>
      </c>
      <c r="K64" s="38" t="s">
        <v>255</v>
      </c>
      <c r="L64" s="42" t="s">
        <v>1254</v>
      </c>
    </row>
    <row r="65" ht="14.25" customHeight="1">
      <c r="A65" s="39" t="s">
        <v>1359</v>
      </c>
      <c r="B65" s="39" t="s">
        <v>1360</v>
      </c>
      <c r="C65" s="39" t="s">
        <v>2754</v>
      </c>
      <c r="D65" s="39">
        <v>65.0</v>
      </c>
      <c r="E65" s="39" t="s">
        <v>1251</v>
      </c>
      <c r="F65" s="39" t="s">
        <v>246</v>
      </c>
      <c r="G65" s="44" t="s">
        <v>1361</v>
      </c>
      <c r="H65" s="44"/>
      <c r="I65" s="39" t="s">
        <v>335</v>
      </c>
      <c r="J65" s="39" t="s">
        <v>2755</v>
      </c>
      <c r="K65" s="39" t="s">
        <v>255</v>
      </c>
      <c r="L65" s="45" t="s">
        <v>1254</v>
      </c>
    </row>
    <row r="66" ht="14.25" customHeight="1">
      <c r="A66" s="38" t="s">
        <v>1362</v>
      </c>
      <c r="B66" s="38" t="s">
        <v>1363</v>
      </c>
      <c r="C66" s="38" t="s">
        <v>2754</v>
      </c>
      <c r="D66" s="38">
        <v>66.0</v>
      </c>
      <c r="E66" s="38" t="s">
        <v>1251</v>
      </c>
      <c r="F66" s="38" t="s">
        <v>246</v>
      </c>
      <c r="G66" s="41" t="s">
        <v>1364</v>
      </c>
      <c r="H66" s="41"/>
      <c r="I66" s="38" t="s">
        <v>335</v>
      </c>
      <c r="J66" s="38" t="s">
        <v>2755</v>
      </c>
      <c r="K66" s="38" t="s">
        <v>255</v>
      </c>
      <c r="L66" s="42" t="s">
        <v>1254</v>
      </c>
    </row>
    <row r="67" ht="14.25" customHeight="1">
      <c r="A67" s="39" t="s">
        <v>1365</v>
      </c>
      <c r="B67" s="39" t="s">
        <v>1366</v>
      </c>
      <c r="C67" s="39" t="s">
        <v>2754</v>
      </c>
      <c r="D67" s="39">
        <v>67.0</v>
      </c>
      <c r="E67" s="39" t="s">
        <v>1369</v>
      </c>
      <c r="F67" s="39" t="s">
        <v>246</v>
      </c>
      <c r="G67" s="44" t="s">
        <v>1370</v>
      </c>
      <c r="H67" s="44"/>
      <c r="I67" s="39" t="s">
        <v>335</v>
      </c>
      <c r="J67" s="39" t="s">
        <v>2755</v>
      </c>
      <c r="K67" s="39" t="s">
        <v>255</v>
      </c>
      <c r="L67" s="45" t="s">
        <v>1044</v>
      </c>
    </row>
    <row r="68" ht="14.25" customHeight="1">
      <c r="A68" s="38" t="s">
        <v>1371</v>
      </c>
      <c r="B68" s="38" t="s">
        <v>1372</v>
      </c>
      <c r="C68" s="38" t="s">
        <v>2754</v>
      </c>
      <c r="D68" s="38">
        <v>68.0</v>
      </c>
      <c r="E68" s="38" t="s">
        <v>239</v>
      </c>
      <c r="F68" s="38" t="s">
        <v>286</v>
      </c>
      <c r="G68" s="41" t="s">
        <v>1374</v>
      </c>
      <c r="H68" s="41" t="s">
        <v>1375</v>
      </c>
      <c r="I68" s="38" t="s">
        <v>335</v>
      </c>
      <c r="J68" s="38" t="s">
        <v>2755</v>
      </c>
      <c r="K68" s="38" t="s">
        <v>255</v>
      </c>
      <c r="L68" s="42" t="s">
        <v>1044</v>
      </c>
    </row>
    <row r="69" ht="14.25" customHeight="1">
      <c r="A69" s="39" t="s">
        <v>1376</v>
      </c>
      <c r="B69" s="39" t="s">
        <v>1377</v>
      </c>
      <c r="C69" s="39" t="s">
        <v>2754</v>
      </c>
      <c r="D69" s="39">
        <v>69.0</v>
      </c>
      <c r="E69" s="39" t="s">
        <v>239</v>
      </c>
      <c r="F69" s="39" t="s">
        <v>286</v>
      </c>
      <c r="G69" s="44" t="s">
        <v>1379</v>
      </c>
      <c r="H69" s="44" t="s">
        <v>1380</v>
      </c>
      <c r="I69" s="39" t="s">
        <v>335</v>
      </c>
      <c r="J69" s="39" t="s">
        <v>2755</v>
      </c>
      <c r="K69" s="39" t="s">
        <v>255</v>
      </c>
      <c r="L69" s="45" t="s">
        <v>1044</v>
      </c>
    </row>
    <row r="70" ht="14.25" customHeight="1">
      <c r="A70" s="38" t="s">
        <v>1381</v>
      </c>
      <c r="B70" s="38" t="s">
        <v>1382</v>
      </c>
      <c r="C70" s="38" t="s">
        <v>2754</v>
      </c>
      <c r="D70" s="38">
        <v>70.0</v>
      </c>
      <c r="E70" s="38" t="s">
        <v>1369</v>
      </c>
      <c r="F70" s="38" t="s">
        <v>286</v>
      </c>
      <c r="G70" s="41" t="s">
        <v>1385</v>
      </c>
      <c r="H70" s="41" t="s">
        <v>1386</v>
      </c>
      <c r="I70" s="38" t="s">
        <v>335</v>
      </c>
      <c r="J70" s="38" t="s">
        <v>2755</v>
      </c>
      <c r="K70" s="38" t="s">
        <v>255</v>
      </c>
      <c r="L70" s="42" t="s">
        <v>1044</v>
      </c>
    </row>
    <row r="71" ht="14.25" customHeight="1">
      <c r="A71" s="46" t="s">
        <v>1387</v>
      </c>
      <c r="B71" s="46" t="s">
        <v>1388</v>
      </c>
      <c r="C71" s="46" t="s">
        <v>2754</v>
      </c>
      <c r="D71" s="46">
        <v>71.0</v>
      </c>
      <c r="E71" s="46" t="s">
        <v>239</v>
      </c>
      <c r="F71" s="46" t="s">
        <v>286</v>
      </c>
      <c r="G71" s="48" t="s">
        <v>1391</v>
      </c>
      <c r="H71" s="48" t="s">
        <v>1392</v>
      </c>
      <c r="I71" s="46" t="s">
        <v>293</v>
      </c>
      <c r="J71" s="46" t="s">
        <v>2755</v>
      </c>
      <c r="K71" s="46" t="s">
        <v>245</v>
      </c>
      <c r="L71" s="49" t="s">
        <v>1393</v>
      </c>
    </row>
    <row r="72" ht="14.25" customHeight="1">
      <c r="A72" s="38" t="s">
        <v>1394</v>
      </c>
      <c r="B72" s="38" t="s">
        <v>1395</v>
      </c>
      <c r="C72" s="38" t="s">
        <v>2754</v>
      </c>
      <c r="D72" s="38">
        <v>72.0</v>
      </c>
      <c r="E72" s="38" t="s">
        <v>239</v>
      </c>
      <c r="F72" s="38" t="s">
        <v>286</v>
      </c>
      <c r="G72" s="41" t="s">
        <v>1397</v>
      </c>
      <c r="H72" s="41" t="s">
        <v>1398</v>
      </c>
      <c r="I72" s="38" t="s">
        <v>335</v>
      </c>
      <c r="J72" s="38" t="s">
        <v>2755</v>
      </c>
      <c r="K72" s="38" t="s">
        <v>255</v>
      </c>
      <c r="L72" s="42" t="s">
        <v>1044</v>
      </c>
    </row>
    <row r="73" ht="14.25" customHeight="1">
      <c r="A73" s="39" t="s">
        <v>1399</v>
      </c>
      <c r="B73" s="39" t="s">
        <v>1400</v>
      </c>
      <c r="C73" s="39" t="s">
        <v>2754</v>
      </c>
      <c r="D73" s="39">
        <v>73.0</v>
      </c>
      <c r="E73" s="39" t="s">
        <v>239</v>
      </c>
      <c r="F73" s="39" t="s">
        <v>286</v>
      </c>
      <c r="G73" s="44" t="s">
        <v>1402</v>
      </c>
      <c r="H73" s="44" t="s">
        <v>1403</v>
      </c>
      <c r="I73" s="39" t="s">
        <v>335</v>
      </c>
      <c r="J73" s="39" t="s">
        <v>2755</v>
      </c>
      <c r="K73" s="39" t="s">
        <v>255</v>
      </c>
      <c r="L73" s="45" t="s">
        <v>1044</v>
      </c>
    </row>
    <row r="74" ht="14.25" customHeight="1">
      <c r="A74" s="38" t="s">
        <v>1404</v>
      </c>
      <c r="B74" s="38" t="s">
        <v>1405</v>
      </c>
      <c r="C74" s="38" t="s">
        <v>2754</v>
      </c>
      <c r="D74" s="38">
        <v>74.0</v>
      </c>
      <c r="E74" s="38" t="s">
        <v>239</v>
      </c>
      <c r="F74" s="38" t="s">
        <v>286</v>
      </c>
      <c r="G74" s="41" t="s">
        <v>1407</v>
      </c>
      <c r="H74" s="41" t="s">
        <v>1408</v>
      </c>
      <c r="I74" s="38" t="s">
        <v>335</v>
      </c>
      <c r="J74" s="38" t="s">
        <v>2755</v>
      </c>
      <c r="K74" s="38" t="s">
        <v>255</v>
      </c>
      <c r="L74" s="42" t="s">
        <v>1044</v>
      </c>
    </row>
    <row r="75" ht="14.25" customHeight="1">
      <c r="A75" s="39" t="s">
        <v>1409</v>
      </c>
      <c r="B75" s="39" t="s">
        <v>1410</v>
      </c>
      <c r="C75" s="39" t="s">
        <v>2754</v>
      </c>
      <c r="D75" s="39">
        <v>75.0</v>
      </c>
      <c r="E75" s="39" t="s">
        <v>239</v>
      </c>
      <c r="F75" s="39" t="s">
        <v>286</v>
      </c>
      <c r="G75" s="44" t="s">
        <v>1412</v>
      </c>
      <c r="H75" s="44" t="s">
        <v>1413</v>
      </c>
      <c r="I75" s="39" t="s">
        <v>335</v>
      </c>
      <c r="J75" s="39" t="s">
        <v>2755</v>
      </c>
      <c r="K75" s="39" t="s">
        <v>255</v>
      </c>
      <c r="L75" s="45" t="s">
        <v>1044</v>
      </c>
    </row>
    <row r="76" ht="14.25" customHeight="1">
      <c r="A76" s="38" t="s">
        <v>1414</v>
      </c>
      <c r="B76" s="38" t="s">
        <v>1415</v>
      </c>
      <c r="C76" s="38" t="s">
        <v>2754</v>
      </c>
      <c r="D76" s="38">
        <v>76.0</v>
      </c>
      <c r="E76" s="38" t="s">
        <v>239</v>
      </c>
      <c r="F76" s="38" t="s">
        <v>286</v>
      </c>
      <c r="G76" s="41" t="s">
        <v>1417</v>
      </c>
      <c r="H76" s="41" t="s">
        <v>1418</v>
      </c>
      <c r="I76" s="38" t="s">
        <v>335</v>
      </c>
      <c r="J76" s="38" t="s">
        <v>2755</v>
      </c>
      <c r="K76" s="38" t="s">
        <v>255</v>
      </c>
      <c r="L76" s="42" t="s">
        <v>1044</v>
      </c>
    </row>
    <row r="77" ht="14.25" customHeight="1">
      <c r="A77" s="39" t="s">
        <v>1419</v>
      </c>
      <c r="B77" s="39" t="s">
        <v>1420</v>
      </c>
      <c r="C77" s="39" t="s">
        <v>2754</v>
      </c>
      <c r="D77" s="39">
        <v>77.0</v>
      </c>
      <c r="E77" s="39" t="s">
        <v>239</v>
      </c>
      <c r="F77" s="39" t="s">
        <v>286</v>
      </c>
      <c r="G77" s="44" t="s">
        <v>1422</v>
      </c>
      <c r="H77" s="44" t="s">
        <v>1423</v>
      </c>
      <c r="I77" s="39" t="s">
        <v>335</v>
      </c>
      <c r="J77" s="39" t="s">
        <v>2755</v>
      </c>
      <c r="K77" s="39" t="s">
        <v>255</v>
      </c>
      <c r="L77" s="45" t="s">
        <v>1044</v>
      </c>
    </row>
    <row r="78" ht="14.25" customHeight="1">
      <c r="A78" s="38" t="s">
        <v>1424</v>
      </c>
      <c r="B78" s="38" t="s">
        <v>1425</v>
      </c>
      <c r="C78" s="38" t="s">
        <v>2754</v>
      </c>
      <c r="D78" s="38">
        <v>78.0</v>
      </c>
      <c r="E78" s="38" t="s">
        <v>1086</v>
      </c>
      <c r="F78" s="38" t="s">
        <v>286</v>
      </c>
      <c r="G78" s="41" t="s">
        <v>1427</v>
      </c>
      <c r="H78" s="41" t="s">
        <v>1428</v>
      </c>
      <c r="I78" s="38" t="s">
        <v>335</v>
      </c>
      <c r="J78" s="38" t="s">
        <v>2755</v>
      </c>
      <c r="K78" s="38" t="s">
        <v>255</v>
      </c>
      <c r="L78" s="42" t="s">
        <v>1044</v>
      </c>
    </row>
    <row r="79" ht="14.25" customHeight="1">
      <c r="A79" s="39" t="s">
        <v>1429</v>
      </c>
      <c r="B79" s="39" t="s">
        <v>1430</v>
      </c>
      <c r="C79" s="39" t="s">
        <v>2754</v>
      </c>
      <c r="D79" s="39">
        <v>79.0</v>
      </c>
      <c r="E79" s="39" t="s">
        <v>402</v>
      </c>
      <c r="F79" s="39" t="s">
        <v>246</v>
      </c>
      <c r="G79" s="44" t="s">
        <v>1432</v>
      </c>
      <c r="H79" s="44"/>
      <c r="I79" s="39" t="s">
        <v>335</v>
      </c>
      <c r="J79" s="39" t="s">
        <v>2755</v>
      </c>
      <c r="K79" s="39" t="s">
        <v>255</v>
      </c>
      <c r="L79" s="45" t="s">
        <v>1073</v>
      </c>
    </row>
    <row r="80" ht="14.25" customHeight="1">
      <c r="A80" s="38" t="s">
        <v>1433</v>
      </c>
      <c r="B80" s="38" t="s">
        <v>1434</v>
      </c>
      <c r="C80" s="38" t="s">
        <v>2754</v>
      </c>
      <c r="D80" s="38">
        <v>80.0</v>
      </c>
      <c r="E80" s="38" t="s">
        <v>402</v>
      </c>
      <c r="F80" s="38" t="s">
        <v>246</v>
      </c>
      <c r="G80" s="41" t="s">
        <v>1437</v>
      </c>
      <c r="H80" s="41"/>
      <c r="I80" s="38" t="s">
        <v>335</v>
      </c>
      <c r="J80" s="38" t="s">
        <v>2755</v>
      </c>
      <c r="K80" s="38" t="s">
        <v>255</v>
      </c>
      <c r="L80" s="42" t="s">
        <v>1438</v>
      </c>
    </row>
    <row r="81" ht="14.25" customHeight="1">
      <c r="A81" s="39" t="s">
        <v>1439</v>
      </c>
      <c r="B81" s="39" t="s">
        <v>1440</v>
      </c>
      <c r="C81" s="39" t="s">
        <v>2754</v>
      </c>
      <c r="D81" s="39">
        <v>81.0</v>
      </c>
      <c r="E81" s="39" t="s">
        <v>239</v>
      </c>
      <c r="F81" s="39" t="s">
        <v>286</v>
      </c>
      <c r="G81" s="44" t="s">
        <v>1442</v>
      </c>
      <c r="H81" s="44" t="s">
        <v>1443</v>
      </c>
      <c r="I81" s="39" t="s">
        <v>335</v>
      </c>
      <c r="J81" s="39" t="s">
        <v>2755</v>
      </c>
      <c r="K81" s="39" t="s">
        <v>255</v>
      </c>
      <c r="L81" s="45" t="s">
        <v>1044</v>
      </c>
    </row>
    <row r="82" ht="14.25" customHeight="1">
      <c r="A82" s="38" t="s">
        <v>1444</v>
      </c>
      <c r="B82" s="38" t="s">
        <v>1445</v>
      </c>
      <c r="C82" s="38" t="s">
        <v>2754</v>
      </c>
      <c r="D82" s="38">
        <v>82.0</v>
      </c>
      <c r="E82" s="38" t="s">
        <v>402</v>
      </c>
      <c r="F82" s="38" t="s">
        <v>246</v>
      </c>
      <c r="G82" s="41" t="s">
        <v>1447</v>
      </c>
      <c r="H82" s="41"/>
      <c r="I82" s="38" t="s">
        <v>335</v>
      </c>
      <c r="J82" s="38" t="s">
        <v>2755</v>
      </c>
      <c r="K82" s="38" t="s">
        <v>255</v>
      </c>
      <c r="L82" s="42" t="s">
        <v>1073</v>
      </c>
    </row>
    <row r="83" ht="14.25" customHeight="1">
      <c r="A83" s="39" t="s">
        <v>1448</v>
      </c>
      <c r="B83" s="39" t="s">
        <v>1449</v>
      </c>
      <c r="C83" s="39" t="s">
        <v>2754</v>
      </c>
      <c r="D83" s="39">
        <v>83.0</v>
      </c>
      <c r="E83" s="39" t="s">
        <v>239</v>
      </c>
      <c r="F83" s="39" t="s">
        <v>246</v>
      </c>
      <c r="G83" s="44" t="s">
        <v>1451</v>
      </c>
      <c r="H83" s="44"/>
      <c r="I83" s="39" t="s">
        <v>335</v>
      </c>
      <c r="J83" s="39" t="s">
        <v>2755</v>
      </c>
      <c r="K83" s="39" t="s">
        <v>255</v>
      </c>
      <c r="L83" s="45" t="s">
        <v>1044</v>
      </c>
    </row>
    <row r="84" ht="14.25" customHeight="1">
      <c r="A84" s="38" t="s">
        <v>1452</v>
      </c>
      <c r="B84" s="38" t="s">
        <v>1449</v>
      </c>
      <c r="C84" s="38" t="s">
        <v>2754</v>
      </c>
      <c r="D84" s="38">
        <v>84.0</v>
      </c>
      <c r="E84" s="38" t="s">
        <v>1119</v>
      </c>
      <c r="F84" s="38" t="s">
        <v>246</v>
      </c>
      <c r="G84" s="41" t="s">
        <v>1454</v>
      </c>
      <c r="H84" s="41"/>
      <c r="I84" s="38" t="s">
        <v>335</v>
      </c>
      <c r="J84" s="38" t="s">
        <v>2755</v>
      </c>
      <c r="K84" s="38" t="s">
        <v>255</v>
      </c>
      <c r="L84" s="42" t="s">
        <v>1044</v>
      </c>
    </row>
    <row r="85" ht="14.25" customHeight="1">
      <c r="A85" s="39" t="s">
        <v>1455</v>
      </c>
      <c r="B85" s="39" t="s">
        <v>1456</v>
      </c>
      <c r="C85" s="39" t="s">
        <v>2754</v>
      </c>
      <c r="D85" s="39">
        <v>85.0</v>
      </c>
      <c r="E85" s="39" t="s">
        <v>239</v>
      </c>
      <c r="F85" s="39" t="s">
        <v>286</v>
      </c>
      <c r="G85" s="44" t="s">
        <v>1458</v>
      </c>
      <c r="H85" s="44" t="s">
        <v>1459</v>
      </c>
      <c r="I85" s="39" t="s">
        <v>335</v>
      </c>
      <c r="J85" s="39" t="s">
        <v>2755</v>
      </c>
      <c r="K85" s="39" t="s">
        <v>255</v>
      </c>
      <c r="L85" s="45" t="s">
        <v>1044</v>
      </c>
    </row>
    <row r="86" ht="14.25" customHeight="1">
      <c r="A86" s="38" t="s">
        <v>1460</v>
      </c>
      <c r="B86" s="38" t="s">
        <v>1461</v>
      </c>
      <c r="C86" s="38" t="s">
        <v>2754</v>
      </c>
      <c r="D86" s="38">
        <v>86.0</v>
      </c>
      <c r="E86" s="38" t="s">
        <v>239</v>
      </c>
      <c r="F86" s="38" t="s">
        <v>246</v>
      </c>
      <c r="G86" s="41" t="s">
        <v>1462</v>
      </c>
      <c r="H86" s="41"/>
      <c r="I86" s="38" t="s">
        <v>335</v>
      </c>
      <c r="J86" s="38" t="s">
        <v>2755</v>
      </c>
      <c r="K86" s="38" t="s">
        <v>255</v>
      </c>
      <c r="L86" s="42" t="s">
        <v>1044</v>
      </c>
    </row>
    <row r="87" ht="14.25" customHeight="1">
      <c r="A87" s="39" t="s">
        <v>1463</v>
      </c>
      <c r="B87" s="39" t="s">
        <v>1464</v>
      </c>
      <c r="C87" s="39" t="s">
        <v>2754</v>
      </c>
      <c r="D87" s="39">
        <v>87.0</v>
      </c>
      <c r="E87" s="39" t="s">
        <v>239</v>
      </c>
      <c r="F87" s="39" t="s">
        <v>246</v>
      </c>
      <c r="G87" s="44" t="s">
        <v>1465</v>
      </c>
      <c r="H87" s="44"/>
      <c r="I87" s="39" t="s">
        <v>335</v>
      </c>
      <c r="J87" s="39" t="s">
        <v>2755</v>
      </c>
      <c r="K87" s="39" t="s">
        <v>255</v>
      </c>
      <c r="L87" s="45" t="s">
        <v>1044</v>
      </c>
    </row>
    <row r="88" ht="14.25" customHeight="1">
      <c r="A88" s="38" t="s">
        <v>1466</v>
      </c>
      <c r="B88" s="38" t="s">
        <v>1467</v>
      </c>
      <c r="C88" s="38" t="s">
        <v>2754</v>
      </c>
      <c r="D88" s="38">
        <v>88.0</v>
      </c>
      <c r="E88" s="38" t="s">
        <v>386</v>
      </c>
      <c r="F88" s="38" t="s">
        <v>286</v>
      </c>
      <c r="G88" s="41" t="s">
        <v>1470</v>
      </c>
      <c r="H88" s="41" t="s">
        <v>1471</v>
      </c>
      <c r="I88" s="38" t="s">
        <v>335</v>
      </c>
      <c r="J88" s="38" t="s">
        <v>2755</v>
      </c>
      <c r="K88" s="38" t="s">
        <v>255</v>
      </c>
      <c r="L88" s="42" t="s">
        <v>1044</v>
      </c>
    </row>
    <row r="89" ht="14.25" customHeight="1">
      <c r="A89" s="39" t="s">
        <v>1472</v>
      </c>
      <c r="B89" s="39" t="s">
        <v>1473</v>
      </c>
      <c r="C89" s="39" t="s">
        <v>2754</v>
      </c>
      <c r="D89" s="39">
        <v>89.0</v>
      </c>
      <c r="E89" s="39" t="s">
        <v>386</v>
      </c>
      <c r="F89" s="39" t="s">
        <v>286</v>
      </c>
      <c r="G89" s="44" t="s">
        <v>1475</v>
      </c>
      <c r="H89" s="44" t="s">
        <v>1476</v>
      </c>
      <c r="I89" s="39" t="s">
        <v>335</v>
      </c>
      <c r="J89" s="39" t="s">
        <v>2755</v>
      </c>
      <c r="K89" s="39" t="s">
        <v>255</v>
      </c>
      <c r="L89" s="45" t="s">
        <v>1044</v>
      </c>
    </row>
    <row r="90" ht="14.25" customHeight="1">
      <c r="A90" s="38" t="s">
        <v>1477</v>
      </c>
      <c r="B90" s="38" t="s">
        <v>1478</v>
      </c>
      <c r="C90" s="38" t="s">
        <v>2754</v>
      </c>
      <c r="D90" s="38">
        <v>90.0</v>
      </c>
      <c r="E90" s="38" t="s">
        <v>239</v>
      </c>
      <c r="F90" s="38" t="s">
        <v>286</v>
      </c>
      <c r="G90" s="41" t="s">
        <v>1480</v>
      </c>
      <c r="H90" s="41" t="s">
        <v>1481</v>
      </c>
      <c r="I90" s="38" t="s">
        <v>335</v>
      </c>
      <c r="J90" s="38" t="s">
        <v>2755</v>
      </c>
      <c r="K90" s="38" t="s">
        <v>255</v>
      </c>
      <c r="L90" s="42" t="s">
        <v>1044</v>
      </c>
    </row>
    <row r="91" ht="14.25" customHeight="1">
      <c r="A91" s="39" t="s">
        <v>1482</v>
      </c>
      <c r="B91" s="39" t="s">
        <v>1483</v>
      </c>
      <c r="C91" s="39" t="s">
        <v>2754</v>
      </c>
      <c r="D91" s="39">
        <v>91.0</v>
      </c>
      <c r="E91" s="39" t="s">
        <v>1086</v>
      </c>
      <c r="F91" s="39" t="s">
        <v>286</v>
      </c>
      <c r="G91" s="44" t="s">
        <v>1486</v>
      </c>
      <c r="H91" s="44" t="s">
        <v>1487</v>
      </c>
      <c r="I91" s="39" t="s">
        <v>335</v>
      </c>
      <c r="J91" s="39" t="s">
        <v>2755</v>
      </c>
      <c r="K91" s="39" t="s">
        <v>255</v>
      </c>
      <c r="L91" s="45" t="s">
        <v>1044</v>
      </c>
    </row>
    <row r="92" ht="14.25" customHeight="1">
      <c r="A92" s="38" t="s">
        <v>1488</v>
      </c>
      <c r="B92" s="38" t="s">
        <v>1489</v>
      </c>
      <c r="C92" s="38" t="s">
        <v>2754</v>
      </c>
      <c r="D92" s="38">
        <v>92.0</v>
      </c>
      <c r="E92" s="38" t="s">
        <v>1086</v>
      </c>
      <c r="F92" s="38" t="s">
        <v>286</v>
      </c>
      <c r="G92" s="41" t="s">
        <v>1491</v>
      </c>
      <c r="H92" s="41" t="s">
        <v>1492</v>
      </c>
      <c r="I92" s="38" t="s">
        <v>335</v>
      </c>
      <c r="J92" s="38" t="s">
        <v>2755</v>
      </c>
      <c r="K92" s="38" t="s">
        <v>255</v>
      </c>
      <c r="L92" s="42" t="s">
        <v>1044</v>
      </c>
    </row>
    <row r="93" ht="14.25" customHeight="1">
      <c r="A93" s="39" t="s">
        <v>1493</v>
      </c>
      <c r="B93" s="39" t="s">
        <v>1494</v>
      </c>
      <c r="C93" s="39" t="s">
        <v>2754</v>
      </c>
      <c r="D93" s="39">
        <v>93.0</v>
      </c>
      <c r="E93" s="39" t="s">
        <v>1086</v>
      </c>
      <c r="F93" s="39" t="s">
        <v>286</v>
      </c>
      <c r="G93" s="44" t="s">
        <v>1496</v>
      </c>
      <c r="H93" s="44" t="s">
        <v>1497</v>
      </c>
      <c r="I93" s="39" t="s">
        <v>335</v>
      </c>
      <c r="J93" s="39" t="s">
        <v>2755</v>
      </c>
      <c r="K93" s="39" t="s">
        <v>255</v>
      </c>
      <c r="L93" s="45" t="s">
        <v>1044</v>
      </c>
    </row>
    <row r="94" ht="14.25" customHeight="1">
      <c r="A94" s="38" t="s">
        <v>1498</v>
      </c>
      <c r="B94" s="38" t="s">
        <v>1499</v>
      </c>
      <c r="C94" s="38" t="s">
        <v>2754</v>
      </c>
      <c r="D94" s="38">
        <v>94.0</v>
      </c>
      <c r="E94" s="38" t="s">
        <v>1369</v>
      </c>
      <c r="F94" s="38" t="s">
        <v>286</v>
      </c>
      <c r="G94" s="41" t="s">
        <v>1502</v>
      </c>
      <c r="H94" s="41" t="s">
        <v>1503</v>
      </c>
      <c r="I94" s="38" t="s">
        <v>335</v>
      </c>
      <c r="J94" s="38" t="s">
        <v>2755</v>
      </c>
      <c r="K94" s="38" t="s">
        <v>255</v>
      </c>
      <c r="L94" s="42" t="s">
        <v>1044</v>
      </c>
    </row>
    <row r="95" ht="14.25" customHeight="1">
      <c r="A95" s="39" t="s">
        <v>1504</v>
      </c>
      <c r="B95" s="39" t="s">
        <v>1505</v>
      </c>
      <c r="C95" s="39" t="s">
        <v>2754</v>
      </c>
      <c r="D95" s="39">
        <v>95.0</v>
      </c>
      <c r="E95" s="39" t="s">
        <v>1369</v>
      </c>
      <c r="F95" s="39" t="s">
        <v>286</v>
      </c>
      <c r="G95" s="44" t="s">
        <v>1507</v>
      </c>
      <c r="H95" s="44" t="s">
        <v>1508</v>
      </c>
      <c r="I95" s="39" t="s">
        <v>335</v>
      </c>
      <c r="J95" s="39" t="s">
        <v>2755</v>
      </c>
      <c r="K95" s="39" t="s">
        <v>255</v>
      </c>
      <c r="L95" s="45" t="s">
        <v>1044</v>
      </c>
    </row>
    <row r="96" ht="14.25" customHeight="1">
      <c r="A96" s="38" t="s">
        <v>1509</v>
      </c>
      <c r="B96" s="38" t="s">
        <v>1510</v>
      </c>
      <c r="C96" s="38" t="s">
        <v>2754</v>
      </c>
      <c r="D96" s="38">
        <v>96.0</v>
      </c>
      <c r="E96" s="38" t="s">
        <v>1369</v>
      </c>
      <c r="F96" s="38" t="s">
        <v>286</v>
      </c>
      <c r="G96" s="41" t="s">
        <v>1512</v>
      </c>
      <c r="H96" s="41" t="s">
        <v>1513</v>
      </c>
      <c r="I96" s="38" t="s">
        <v>335</v>
      </c>
      <c r="J96" s="38" t="s">
        <v>2755</v>
      </c>
      <c r="K96" s="38" t="s">
        <v>255</v>
      </c>
      <c r="L96" s="42" t="s">
        <v>1044</v>
      </c>
    </row>
    <row r="97" ht="14.25" customHeight="1">
      <c r="A97" s="39" t="s">
        <v>1514</v>
      </c>
      <c r="B97" s="39" t="s">
        <v>1515</v>
      </c>
      <c r="C97" s="39" t="s">
        <v>2754</v>
      </c>
      <c r="D97" s="39">
        <v>97.0</v>
      </c>
      <c r="E97" s="39" t="s">
        <v>1086</v>
      </c>
      <c r="F97" s="39" t="s">
        <v>246</v>
      </c>
      <c r="G97" s="44" t="s">
        <v>1518</v>
      </c>
      <c r="H97" s="44"/>
      <c r="I97" s="39" t="s">
        <v>335</v>
      </c>
      <c r="J97" s="39" t="s">
        <v>2755</v>
      </c>
      <c r="K97" s="39" t="s">
        <v>255</v>
      </c>
      <c r="L97" s="45" t="s">
        <v>1044</v>
      </c>
    </row>
    <row r="98" ht="14.25" customHeight="1">
      <c r="A98" s="38" t="s">
        <v>1519</v>
      </c>
      <c r="B98" s="38" t="s">
        <v>1520</v>
      </c>
      <c r="C98" s="38" t="s">
        <v>2754</v>
      </c>
      <c r="D98" s="38">
        <v>98.0</v>
      </c>
      <c r="E98" s="38" t="s">
        <v>1251</v>
      </c>
      <c r="F98" s="38" t="s">
        <v>246</v>
      </c>
      <c r="G98" s="41" t="s">
        <v>1523</v>
      </c>
      <c r="H98" s="41"/>
      <c r="I98" s="38" t="s">
        <v>335</v>
      </c>
      <c r="J98" s="38" t="s">
        <v>2755</v>
      </c>
      <c r="K98" s="38" t="s">
        <v>255</v>
      </c>
      <c r="L98" s="42" t="s">
        <v>1254</v>
      </c>
    </row>
    <row r="99" ht="14.25" customHeight="1">
      <c r="A99" s="39" t="s">
        <v>1524</v>
      </c>
      <c r="B99" s="39" t="s">
        <v>1525</v>
      </c>
      <c r="C99" s="39" t="s">
        <v>2754</v>
      </c>
      <c r="D99" s="39">
        <v>99.0</v>
      </c>
      <c r="E99" s="39" t="s">
        <v>386</v>
      </c>
      <c r="F99" s="39" t="s">
        <v>286</v>
      </c>
      <c r="G99" s="44" t="s">
        <v>1527</v>
      </c>
      <c r="H99" s="44" t="s">
        <v>1528</v>
      </c>
      <c r="I99" s="39" t="s">
        <v>335</v>
      </c>
      <c r="J99" s="39" t="s">
        <v>2755</v>
      </c>
      <c r="K99" s="39" t="s">
        <v>255</v>
      </c>
      <c r="L99" s="45" t="s">
        <v>1044</v>
      </c>
    </row>
    <row r="100" ht="14.25" customHeight="1">
      <c r="A100" s="38" t="s">
        <v>1529</v>
      </c>
      <c r="B100" s="38" t="s">
        <v>1530</v>
      </c>
      <c r="C100" s="38" t="s">
        <v>2754</v>
      </c>
      <c r="D100" s="38">
        <v>100.0</v>
      </c>
      <c r="E100" s="38" t="s">
        <v>1251</v>
      </c>
      <c r="F100" s="38" t="s">
        <v>246</v>
      </c>
      <c r="G100" s="41" t="s">
        <v>1533</v>
      </c>
      <c r="H100" s="41"/>
      <c r="I100" s="38" t="s">
        <v>335</v>
      </c>
      <c r="J100" s="38" t="s">
        <v>2755</v>
      </c>
      <c r="K100" s="38" t="s">
        <v>255</v>
      </c>
      <c r="L100" s="42" t="s">
        <v>1254</v>
      </c>
    </row>
    <row r="101" ht="14.25" customHeight="1">
      <c r="A101" s="39" t="s">
        <v>1534</v>
      </c>
      <c r="B101" s="39" t="s">
        <v>1535</v>
      </c>
      <c r="C101" s="39" t="s">
        <v>2754</v>
      </c>
      <c r="D101" s="39">
        <v>101.0</v>
      </c>
      <c r="E101" s="39" t="s">
        <v>239</v>
      </c>
      <c r="F101" s="39" t="s">
        <v>286</v>
      </c>
      <c r="G101" s="44" t="s">
        <v>1537</v>
      </c>
      <c r="H101" s="44" t="s">
        <v>1538</v>
      </c>
      <c r="I101" s="39" t="s">
        <v>335</v>
      </c>
      <c r="J101" s="39" t="s">
        <v>2755</v>
      </c>
      <c r="K101" s="39" t="s">
        <v>255</v>
      </c>
      <c r="L101" s="45" t="s">
        <v>1044</v>
      </c>
    </row>
    <row r="102" ht="14.25" customHeight="1">
      <c r="A102" s="38" t="s">
        <v>1539</v>
      </c>
      <c r="B102" s="38" t="s">
        <v>1540</v>
      </c>
      <c r="C102" s="38" t="s">
        <v>2754</v>
      </c>
      <c r="D102" s="38">
        <v>102.0</v>
      </c>
      <c r="E102" s="38" t="s">
        <v>1369</v>
      </c>
      <c r="F102" s="38" t="s">
        <v>286</v>
      </c>
      <c r="G102" s="41" t="s">
        <v>1542</v>
      </c>
      <c r="H102" s="41" t="s">
        <v>1543</v>
      </c>
      <c r="I102" s="38" t="s">
        <v>335</v>
      </c>
      <c r="J102" s="38" t="s">
        <v>2755</v>
      </c>
      <c r="K102" s="38" t="s">
        <v>255</v>
      </c>
      <c r="L102" s="42" t="s">
        <v>1044</v>
      </c>
    </row>
    <row r="103" ht="14.25" customHeight="1">
      <c r="A103" s="39" t="s">
        <v>1544</v>
      </c>
      <c r="B103" s="39" t="s">
        <v>1545</v>
      </c>
      <c r="C103" s="39" t="s">
        <v>2754</v>
      </c>
      <c r="D103" s="39">
        <v>103.0</v>
      </c>
      <c r="E103" s="39" t="s">
        <v>386</v>
      </c>
      <c r="F103" s="39" t="s">
        <v>286</v>
      </c>
      <c r="G103" s="44" t="s">
        <v>1547</v>
      </c>
      <c r="H103" s="44" t="s">
        <v>1548</v>
      </c>
      <c r="I103" s="39" t="s">
        <v>335</v>
      </c>
      <c r="J103" s="39" t="s">
        <v>2755</v>
      </c>
      <c r="K103" s="39" t="s">
        <v>255</v>
      </c>
      <c r="L103" s="45" t="s">
        <v>1044</v>
      </c>
    </row>
    <row r="104" ht="14.25" customHeight="1">
      <c r="A104" s="38" t="s">
        <v>1549</v>
      </c>
      <c r="B104" s="38" t="s">
        <v>1550</v>
      </c>
      <c r="C104" s="38" t="s">
        <v>2754</v>
      </c>
      <c r="D104" s="38">
        <v>104.0</v>
      </c>
      <c r="E104" s="38" t="s">
        <v>386</v>
      </c>
      <c r="F104" s="38" t="s">
        <v>286</v>
      </c>
      <c r="G104" s="41" t="s">
        <v>1551</v>
      </c>
      <c r="H104" s="41" t="s">
        <v>1552</v>
      </c>
      <c r="I104" s="38" t="s">
        <v>335</v>
      </c>
      <c r="J104" s="38" t="s">
        <v>2755</v>
      </c>
      <c r="K104" s="38" t="s">
        <v>255</v>
      </c>
      <c r="L104" s="42" t="s">
        <v>1044</v>
      </c>
    </row>
    <row r="105" ht="14.25" customHeight="1">
      <c r="A105" s="39" t="s">
        <v>1553</v>
      </c>
      <c r="B105" s="39" t="s">
        <v>1554</v>
      </c>
      <c r="C105" s="39" t="s">
        <v>2754</v>
      </c>
      <c r="D105" s="39">
        <v>105.0</v>
      </c>
      <c r="E105" s="39" t="s">
        <v>239</v>
      </c>
      <c r="F105" s="39" t="s">
        <v>286</v>
      </c>
      <c r="G105" s="44" t="s">
        <v>1556</v>
      </c>
      <c r="H105" s="44" t="s">
        <v>1557</v>
      </c>
      <c r="I105" s="39" t="s">
        <v>335</v>
      </c>
      <c r="J105" s="39" t="s">
        <v>2755</v>
      </c>
      <c r="K105" s="39" t="s">
        <v>255</v>
      </c>
      <c r="L105" s="45" t="s">
        <v>1044</v>
      </c>
    </row>
    <row r="106" ht="14.25" customHeight="1">
      <c r="A106" s="38" t="s">
        <v>1558</v>
      </c>
      <c r="B106" s="38" t="s">
        <v>1559</v>
      </c>
      <c r="C106" s="38" t="s">
        <v>2754</v>
      </c>
      <c r="D106" s="38">
        <v>106.0</v>
      </c>
      <c r="E106" s="38" t="s">
        <v>1369</v>
      </c>
      <c r="F106" s="38" t="s">
        <v>286</v>
      </c>
      <c r="G106" s="41" t="s">
        <v>1561</v>
      </c>
      <c r="H106" s="41" t="s">
        <v>1562</v>
      </c>
      <c r="I106" s="38" t="s">
        <v>335</v>
      </c>
      <c r="J106" s="38" t="s">
        <v>2755</v>
      </c>
      <c r="K106" s="38" t="s">
        <v>255</v>
      </c>
      <c r="L106" s="42" t="s">
        <v>1044</v>
      </c>
    </row>
    <row r="107" ht="14.25" customHeight="1">
      <c r="A107" s="39" t="s">
        <v>1563</v>
      </c>
      <c r="B107" s="39" t="s">
        <v>1564</v>
      </c>
      <c r="C107" s="39" t="s">
        <v>2754</v>
      </c>
      <c r="D107" s="39">
        <v>107.0</v>
      </c>
      <c r="E107" s="39" t="s">
        <v>1369</v>
      </c>
      <c r="F107" s="39" t="s">
        <v>286</v>
      </c>
      <c r="G107" s="44" t="s">
        <v>1566</v>
      </c>
      <c r="H107" s="44" t="s">
        <v>1567</v>
      </c>
      <c r="I107" s="39" t="s">
        <v>335</v>
      </c>
      <c r="J107" s="39" t="s">
        <v>2755</v>
      </c>
      <c r="K107" s="39" t="s">
        <v>255</v>
      </c>
      <c r="L107" s="45" t="s">
        <v>1044</v>
      </c>
    </row>
    <row r="108" ht="14.25" customHeight="1">
      <c r="A108" s="38" t="s">
        <v>1568</v>
      </c>
      <c r="B108" s="38" t="s">
        <v>1569</v>
      </c>
      <c r="C108" s="38" t="s">
        <v>2754</v>
      </c>
      <c r="D108" s="38">
        <v>108.0</v>
      </c>
      <c r="E108" s="38" t="s">
        <v>239</v>
      </c>
      <c r="F108" s="38" t="s">
        <v>286</v>
      </c>
      <c r="G108" s="41" t="s">
        <v>1570</v>
      </c>
      <c r="H108" s="41" t="s">
        <v>1571</v>
      </c>
      <c r="I108" s="38" t="s">
        <v>335</v>
      </c>
      <c r="J108" s="38" t="s">
        <v>2755</v>
      </c>
      <c r="K108" s="38" t="s">
        <v>255</v>
      </c>
      <c r="L108" s="42" t="s">
        <v>1044</v>
      </c>
    </row>
    <row r="109" ht="14.25" customHeight="1">
      <c r="A109" s="39" t="s">
        <v>1572</v>
      </c>
      <c r="B109" s="39" t="s">
        <v>1573</v>
      </c>
      <c r="C109" s="39" t="s">
        <v>2754</v>
      </c>
      <c r="D109" s="39">
        <v>109.0</v>
      </c>
      <c r="E109" s="39" t="s">
        <v>1369</v>
      </c>
      <c r="F109" s="39" t="s">
        <v>286</v>
      </c>
      <c r="G109" s="44" t="s">
        <v>1575</v>
      </c>
      <c r="H109" s="44" t="s">
        <v>1576</v>
      </c>
      <c r="I109" s="39" t="s">
        <v>335</v>
      </c>
      <c r="J109" s="39" t="s">
        <v>2755</v>
      </c>
      <c r="K109" s="39" t="s">
        <v>255</v>
      </c>
      <c r="L109" s="45" t="s">
        <v>1044</v>
      </c>
    </row>
    <row r="110" ht="14.25" customHeight="1">
      <c r="A110" s="46" t="s">
        <v>1577</v>
      </c>
      <c r="B110" s="46" t="s">
        <v>1578</v>
      </c>
      <c r="C110" s="46" t="s">
        <v>2754</v>
      </c>
      <c r="D110" s="46">
        <v>110.0</v>
      </c>
      <c r="E110" s="46" t="s">
        <v>1200</v>
      </c>
      <c r="F110" s="46" t="s">
        <v>286</v>
      </c>
      <c r="G110" s="48" t="s">
        <v>1580</v>
      </c>
      <c r="H110" s="48" t="s">
        <v>1581</v>
      </c>
      <c r="I110" s="46" t="s">
        <v>293</v>
      </c>
      <c r="J110" s="46" t="s">
        <v>2755</v>
      </c>
      <c r="K110" s="46" t="s">
        <v>245</v>
      </c>
      <c r="L110" s="49" t="s">
        <v>1044</v>
      </c>
    </row>
    <row r="111" ht="14.25" customHeight="1">
      <c r="A111" s="39" t="s">
        <v>1582</v>
      </c>
      <c r="B111" s="39" t="s">
        <v>1583</v>
      </c>
      <c r="C111" s="39" t="s">
        <v>2754</v>
      </c>
      <c r="D111" s="39">
        <v>111.0</v>
      </c>
      <c r="E111" s="39" t="s">
        <v>239</v>
      </c>
      <c r="F111" s="39" t="s">
        <v>286</v>
      </c>
      <c r="G111" s="44" t="s">
        <v>1584</v>
      </c>
      <c r="H111" s="44" t="s">
        <v>1585</v>
      </c>
      <c r="I111" s="39" t="s">
        <v>335</v>
      </c>
      <c r="J111" s="39" t="s">
        <v>2755</v>
      </c>
      <c r="K111" s="39" t="s">
        <v>255</v>
      </c>
      <c r="L111" s="45" t="s">
        <v>1044</v>
      </c>
    </row>
    <row r="112" ht="14.25" customHeight="1">
      <c r="A112" s="38" t="s">
        <v>1586</v>
      </c>
      <c r="B112" s="38" t="s">
        <v>1587</v>
      </c>
      <c r="C112" s="38" t="s">
        <v>2754</v>
      </c>
      <c r="D112" s="38">
        <v>112.0</v>
      </c>
      <c r="E112" s="38" t="s">
        <v>1195</v>
      </c>
      <c r="F112" s="38" t="s">
        <v>246</v>
      </c>
      <c r="G112" s="41" t="s">
        <v>1589</v>
      </c>
      <c r="H112" s="41"/>
      <c r="I112" s="38" t="s">
        <v>335</v>
      </c>
      <c r="J112" s="38" t="s">
        <v>2755</v>
      </c>
      <c r="K112" s="38" t="s">
        <v>255</v>
      </c>
      <c r="L112" s="42" t="s">
        <v>1044</v>
      </c>
    </row>
    <row r="113" ht="14.25" customHeight="1">
      <c r="A113" s="39" t="s">
        <v>1590</v>
      </c>
      <c r="B113" s="39" t="s">
        <v>1591</v>
      </c>
      <c r="C113" s="39" t="s">
        <v>2754</v>
      </c>
      <c r="D113" s="39">
        <v>113.0</v>
      </c>
      <c r="E113" s="39" t="s">
        <v>1195</v>
      </c>
      <c r="F113" s="39" t="s">
        <v>246</v>
      </c>
      <c r="G113" s="44" t="s">
        <v>1592</v>
      </c>
      <c r="H113" s="44"/>
      <c r="I113" s="39" t="s">
        <v>335</v>
      </c>
      <c r="J113" s="39" t="s">
        <v>2755</v>
      </c>
      <c r="K113" s="39" t="s">
        <v>255</v>
      </c>
      <c r="L113" s="45" t="s">
        <v>1044</v>
      </c>
    </row>
    <row r="114" ht="14.25" customHeight="1">
      <c r="A114" s="38" t="s">
        <v>1593</v>
      </c>
      <c r="B114" s="38" t="s">
        <v>1594</v>
      </c>
      <c r="C114" s="38" t="s">
        <v>2754</v>
      </c>
      <c r="D114" s="38">
        <v>114.0</v>
      </c>
      <c r="E114" s="38" t="s">
        <v>1195</v>
      </c>
      <c r="F114" s="38" t="s">
        <v>246</v>
      </c>
      <c r="G114" s="41" t="s">
        <v>1595</v>
      </c>
      <c r="H114" s="41"/>
      <c r="I114" s="38" t="s">
        <v>335</v>
      </c>
      <c r="J114" s="38" t="s">
        <v>2755</v>
      </c>
      <c r="K114" s="38" t="s">
        <v>255</v>
      </c>
      <c r="L114" s="42" t="s">
        <v>1044</v>
      </c>
    </row>
    <row r="115" ht="14.25" customHeight="1">
      <c r="A115" s="39" t="s">
        <v>1596</v>
      </c>
      <c r="B115" s="39" t="s">
        <v>1597</v>
      </c>
      <c r="C115" s="39" t="s">
        <v>2754</v>
      </c>
      <c r="D115" s="39">
        <v>115.0</v>
      </c>
      <c r="E115" s="39" t="s">
        <v>239</v>
      </c>
      <c r="F115" s="39" t="s">
        <v>246</v>
      </c>
      <c r="G115" s="44" t="s">
        <v>1599</v>
      </c>
      <c r="H115" s="44"/>
      <c r="I115" s="39" t="s">
        <v>335</v>
      </c>
      <c r="J115" s="39" t="s">
        <v>2755</v>
      </c>
      <c r="K115" s="39" t="s">
        <v>255</v>
      </c>
      <c r="L115" s="45" t="s">
        <v>1044</v>
      </c>
    </row>
    <row r="116" ht="14.25" customHeight="1">
      <c r="A116" s="38" t="s">
        <v>1600</v>
      </c>
      <c r="B116" s="38" t="s">
        <v>1601</v>
      </c>
      <c r="C116" s="38" t="s">
        <v>2754</v>
      </c>
      <c r="D116" s="38">
        <v>116.0</v>
      </c>
      <c r="E116" s="38" t="s">
        <v>386</v>
      </c>
      <c r="F116" s="38" t="s">
        <v>246</v>
      </c>
      <c r="G116" s="41" t="s">
        <v>1603</v>
      </c>
      <c r="H116" s="41"/>
      <c r="I116" s="38" t="s">
        <v>335</v>
      </c>
      <c r="J116" s="38" t="s">
        <v>2755</v>
      </c>
      <c r="K116" s="38" t="s">
        <v>255</v>
      </c>
      <c r="L116" s="42" t="s">
        <v>1044</v>
      </c>
    </row>
    <row r="117" ht="14.25" customHeight="1">
      <c r="A117" s="39" t="s">
        <v>1604</v>
      </c>
      <c r="B117" s="39" t="s">
        <v>1605</v>
      </c>
      <c r="C117" s="39" t="s">
        <v>2754</v>
      </c>
      <c r="D117" s="39">
        <v>117.0</v>
      </c>
      <c r="E117" s="39" t="s">
        <v>1369</v>
      </c>
      <c r="F117" s="39" t="s">
        <v>246</v>
      </c>
      <c r="G117" s="44" t="s">
        <v>1606</v>
      </c>
      <c r="H117" s="44"/>
      <c r="I117" s="39" t="s">
        <v>335</v>
      </c>
      <c r="J117" s="39" t="s">
        <v>2755</v>
      </c>
      <c r="K117" s="39" t="s">
        <v>255</v>
      </c>
      <c r="L117" s="45" t="s">
        <v>1044</v>
      </c>
    </row>
    <row r="118" ht="14.25" customHeight="1">
      <c r="A118" s="38" t="s">
        <v>1607</v>
      </c>
      <c r="B118" s="38" t="s">
        <v>1608</v>
      </c>
      <c r="C118" s="38" t="s">
        <v>2754</v>
      </c>
      <c r="D118" s="38">
        <v>118.0</v>
      </c>
      <c r="E118" s="38" t="s">
        <v>386</v>
      </c>
      <c r="F118" s="38" t="s">
        <v>246</v>
      </c>
      <c r="G118" s="41" t="s">
        <v>1609</v>
      </c>
      <c r="H118" s="41"/>
      <c r="I118" s="38" t="s">
        <v>335</v>
      </c>
      <c r="J118" s="38" t="s">
        <v>2755</v>
      </c>
      <c r="K118" s="38" t="s">
        <v>255</v>
      </c>
      <c r="L118" s="42" t="s">
        <v>1044</v>
      </c>
    </row>
    <row r="119" ht="14.25" customHeight="1">
      <c r="A119" s="39" t="s">
        <v>1610</v>
      </c>
      <c r="B119" s="39" t="s">
        <v>1611</v>
      </c>
      <c r="C119" s="39" t="s">
        <v>2754</v>
      </c>
      <c r="D119" s="39">
        <v>119.0</v>
      </c>
      <c r="E119" s="39" t="s">
        <v>386</v>
      </c>
      <c r="F119" s="39" t="s">
        <v>246</v>
      </c>
      <c r="G119" s="44" t="s">
        <v>1612</v>
      </c>
      <c r="H119" s="44"/>
      <c r="I119" s="39" t="s">
        <v>335</v>
      </c>
      <c r="J119" s="39" t="s">
        <v>2755</v>
      </c>
      <c r="K119" s="39" t="s">
        <v>255</v>
      </c>
      <c r="L119" s="45" t="s">
        <v>1044</v>
      </c>
    </row>
    <row r="120" ht="14.25" customHeight="1">
      <c r="A120" s="38" t="s">
        <v>1613</v>
      </c>
      <c r="B120" s="38" t="s">
        <v>1614</v>
      </c>
      <c r="C120" s="38" t="s">
        <v>2754</v>
      </c>
      <c r="D120" s="38">
        <v>120.0</v>
      </c>
      <c r="E120" s="38" t="s">
        <v>386</v>
      </c>
      <c r="F120" s="38" t="s">
        <v>246</v>
      </c>
      <c r="G120" s="41" t="s">
        <v>1616</v>
      </c>
      <c r="H120" s="41"/>
      <c r="I120" s="38" t="s">
        <v>335</v>
      </c>
      <c r="J120" s="38" t="s">
        <v>2755</v>
      </c>
      <c r="K120" s="38" t="s">
        <v>255</v>
      </c>
      <c r="L120" s="42" t="s">
        <v>1044</v>
      </c>
    </row>
    <row r="121" ht="14.25" customHeight="1">
      <c r="A121" s="39" t="s">
        <v>1617</v>
      </c>
      <c r="B121" s="39" t="s">
        <v>1618</v>
      </c>
      <c r="C121" s="39" t="s">
        <v>2754</v>
      </c>
      <c r="D121" s="39">
        <v>121.0</v>
      </c>
      <c r="E121" s="39" t="s">
        <v>239</v>
      </c>
      <c r="F121" s="39" t="s">
        <v>246</v>
      </c>
      <c r="G121" s="44" t="s">
        <v>1619</v>
      </c>
      <c r="H121" s="44"/>
      <c r="I121" s="39" t="s">
        <v>335</v>
      </c>
      <c r="J121" s="39" t="s">
        <v>2755</v>
      </c>
      <c r="K121" s="39" t="s">
        <v>255</v>
      </c>
      <c r="L121" s="45" t="s">
        <v>1044</v>
      </c>
    </row>
    <row r="122" ht="14.25" customHeight="1">
      <c r="A122" s="38" t="s">
        <v>1620</v>
      </c>
      <c r="B122" s="38" t="s">
        <v>1621</v>
      </c>
      <c r="C122" s="38" t="s">
        <v>2754</v>
      </c>
      <c r="D122" s="38">
        <v>122.0</v>
      </c>
      <c r="E122" s="38" t="s">
        <v>1369</v>
      </c>
      <c r="F122" s="38" t="s">
        <v>246</v>
      </c>
      <c r="G122" s="41" t="s">
        <v>1623</v>
      </c>
      <c r="H122" s="41"/>
      <c r="I122" s="38" t="s">
        <v>335</v>
      </c>
      <c r="J122" s="38" t="s">
        <v>2755</v>
      </c>
      <c r="K122" s="38" t="s">
        <v>255</v>
      </c>
      <c r="L122" s="42" t="s">
        <v>1044</v>
      </c>
    </row>
    <row r="123" ht="14.25" customHeight="1">
      <c r="A123" s="39" t="s">
        <v>1624</v>
      </c>
      <c r="B123" s="39" t="s">
        <v>1625</v>
      </c>
      <c r="C123" s="39" t="s">
        <v>2754</v>
      </c>
      <c r="D123" s="39">
        <v>123.0</v>
      </c>
      <c r="E123" s="39" t="s">
        <v>239</v>
      </c>
      <c r="F123" s="39" t="s">
        <v>246</v>
      </c>
      <c r="G123" s="44" t="s">
        <v>1626</v>
      </c>
      <c r="H123" s="44"/>
      <c r="I123" s="39" t="s">
        <v>335</v>
      </c>
      <c r="J123" s="39" t="s">
        <v>2755</v>
      </c>
      <c r="K123" s="39" t="s">
        <v>255</v>
      </c>
      <c r="L123" s="45" t="s">
        <v>1044</v>
      </c>
    </row>
    <row r="124" ht="14.25" customHeight="1">
      <c r="A124" s="38" t="s">
        <v>1627</v>
      </c>
      <c r="B124" s="38" t="s">
        <v>1628</v>
      </c>
      <c r="C124" s="38" t="s">
        <v>2754</v>
      </c>
      <c r="D124" s="38">
        <v>124.0</v>
      </c>
      <c r="E124" s="38" t="s">
        <v>1086</v>
      </c>
      <c r="F124" s="38" t="s">
        <v>246</v>
      </c>
      <c r="G124" s="41" t="s">
        <v>1630</v>
      </c>
      <c r="H124" s="41"/>
      <c r="I124" s="38" t="s">
        <v>335</v>
      </c>
      <c r="J124" s="38" t="s">
        <v>2755</v>
      </c>
      <c r="K124" s="38" t="s">
        <v>255</v>
      </c>
      <c r="L124" s="42" t="s">
        <v>1044</v>
      </c>
    </row>
    <row r="125" ht="14.25" customHeight="1">
      <c r="A125" s="39" t="s">
        <v>1631</v>
      </c>
      <c r="B125" s="39" t="s">
        <v>1632</v>
      </c>
      <c r="C125" s="39" t="s">
        <v>2754</v>
      </c>
      <c r="D125" s="39">
        <v>125.0</v>
      </c>
      <c r="E125" s="39" t="s">
        <v>1086</v>
      </c>
      <c r="F125" s="39" t="s">
        <v>246</v>
      </c>
      <c r="G125" s="44" t="s">
        <v>1634</v>
      </c>
      <c r="H125" s="44"/>
      <c r="I125" s="39" t="s">
        <v>335</v>
      </c>
      <c r="J125" s="39" t="s">
        <v>2755</v>
      </c>
      <c r="K125" s="39" t="s">
        <v>255</v>
      </c>
      <c r="L125" s="45" t="s">
        <v>1044</v>
      </c>
    </row>
    <row r="126" ht="14.25" customHeight="1">
      <c r="A126" s="38" t="s">
        <v>1635</v>
      </c>
      <c r="B126" s="38" t="s">
        <v>1636</v>
      </c>
      <c r="C126" s="38" t="s">
        <v>2754</v>
      </c>
      <c r="D126" s="38">
        <v>126.0</v>
      </c>
      <c r="E126" s="38" t="s">
        <v>386</v>
      </c>
      <c r="F126" s="38" t="s">
        <v>246</v>
      </c>
      <c r="G126" s="41" t="s">
        <v>1638</v>
      </c>
      <c r="H126" s="41"/>
      <c r="I126" s="38" t="s">
        <v>335</v>
      </c>
      <c r="J126" s="38" t="s">
        <v>2755</v>
      </c>
      <c r="K126" s="38" t="s">
        <v>255</v>
      </c>
      <c r="L126" s="42" t="s">
        <v>1044</v>
      </c>
    </row>
    <row r="127" ht="14.25" customHeight="1">
      <c r="A127" s="39" t="s">
        <v>1639</v>
      </c>
      <c r="B127" s="39" t="s">
        <v>1640</v>
      </c>
      <c r="C127" s="39" t="s">
        <v>2754</v>
      </c>
      <c r="D127" s="39">
        <v>127.0</v>
      </c>
      <c r="E127" s="39" t="s">
        <v>239</v>
      </c>
      <c r="F127" s="39" t="s">
        <v>246</v>
      </c>
      <c r="G127" s="44" t="s">
        <v>1642</v>
      </c>
      <c r="H127" s="44"/>
      <c r="I127" s="39" t="s">
        <v>335</v>
      </c>
      <c r="J127" s="39" t="s">
        <v>2755</v>
      </c>
      <c r="K127" s="39" t="s">
        <v>255</v>
      </c>
      <c r="L127" s="45" t="s">
        <v>1044</v>
      </c>
    </row>
    <row r="128" ht="14.25" customHeight="1">
      <c r="A128" s="38" t="s">
        <v>1643</v>
      </c>
      <c r="B128" s="38" t="s">
        <v>1644</v>
      </c>
      <c r="C128" s="38" t="s">
        <v>2754</v>
      </c>
      <c r="D128" s="38">
        <v>128.0</v>
      </c>
      <c r="E128" s="38" t="s">
        <v>1369</v>
      </c>
      <c r="F128" s="38" t="s">
        <v>246</v>
      </c>
      <c r="G128" s="41" t="s">
        <v>1645</v>
      </c>
      <c r="H128" s="41"/>
      <c r="I128" s="38" t="s">
        <v>335</v>
      </c>
      <c r="J128" s="38" t="s">
        <v>2755</v>
      </c>
      <c r="K128" s="38" t="s">
        <v>255</v>
      </c>
      <c r="L128" s="42" t="s">
        <v>1044</v>
      </c>
    </row>
    <row r="129" ht="14.25" customHeight="1">
      <c r="A129" s="39" t="s">
        <v>1646</v>
      </c>
      <c r="B129" s="39" t="s">
        <v>1647</v>
      </c>
      <c r="C129" s="39" t="s">
        <v>2754</v>
      </c>
      <c r="D129" s="39">
        <v>129.0</v>
      </c>
      <c r="E129" s="39" t="s">
        <v>1369</v>
      </c>
      <c r="F129" s="39" t="s">
        <v>246</v>
      </c>
      <c r="G129" s="44" t="s">
        <v>1649</v>
      </c>
      <c r="H129" s="44"/>
      <c r="I129" s="39" t="s">
        <v>335</v>
      </c>
      <c r="J129" s="39" t="s">
        <v>2755</v>
      </c>
      <c r="K129" s="39" t="s">
        <v>255</v>
      </c>
      <c r="L129" s="45" t="s">
        <v>1044</v>
      </c>
    </row>
    <row r="130" ht="14.25" customHeight="1">
      <c r="A130" s="38" t="s">
        <v>1650</v>
      </c>
      <c r="B130" s="38" t="s">
        <v>1651</v>
      </c>
      <c r="C130" s="38" t="s">
        <v>2754</v>
      </c>
      <c r="D130" s="38">
        <v>130.0</v>
      </c>
      <c r="E130" s="38" t="s">
        <v>1369</v>
      </c>
      <c r="F130" s="38" t="s">
        <v>246</v>
      </c>
      <c r="G130" s="41" t="s">
        <v>1652</v>
      </c>
      <c r="H130" s="41"/>
      <c r="I130" s="38" t="s">
        <v>335</v>
      </c>
      <c r="J130" s="38" t="s">
        <v>2755</v>
      </c>
      <c r="K130" s="38" t="s">
        <v>255</v>
      </c>
      <c r="L130" s="42" t="s">
        <v>1044</v>
      </c>
    </row>
    <row r="131" ht="14.25" customHeight="1">
      <c r="A131" s="39" t="s">
        <v>1653</v>
      </c>
      <c r="B131" s="39" t="s">
        <v>1654</v>
      </c>
      <c r="C131" s="39" t="s">
        <v>2754</v>
      </c>
      <c r="D131" s="39">
        <v>131.0</v>
      </c>
      <c r="E131" s="39" t="s">
        <v>386</v>
      </c>
      <c r="F131" s="39" t="s">
        <v>246</v>
      </c>
      <c r="G131" s="44" t="s">
        <v>1655</v>
      </c>
      <c r="H131" s="44"/>
      <c r="I131" s="39" t="s">
        <v>335</v>
      </c>
      <c r="J131" s="39" t="s">
        <v>2755</v>
      </c>
      <c r="K131" s="39" t="s">
        <v>255</v>
      </c>
      <c r="L131" s="45" t="s">
        <v>1044</v>
      </c>
    </row>
    <row r="132" ht="14.25" customHeight="1">
      <c r="A132" s="38" t="s">
        <v>1656</v>
      </c>
      <c r="B132" s="38" t="s">
        <v>1657</v>
      </c>
      <c r="C132" s="38" t="s">
        <v>2754</v>
      </c>
      <c r="D132" s="38">
        <v>132.0</v>
      </c>
      <c r="E132" s="38" t="s">
        <v>386</v>
      </c>
      <c r="F132" s="38" t="s">
        <v>246</v>
      </c>
      <c r="G132" s="41" t="s">
        <v>1658</v>
      </c>
      <c r="H132" s="41"/>
      <c r="I132" s="38" t="s">
        <v>335</v>
      </c>
      <c r="J132" s="38" t="s">
        <v>2755</v>
      </c>
      <c r="K132" s="38" t="s">
        <v>255</v>
      </c>
      <c r="L132" s="42" t="s">
        <v>1044</v>
      </c>
    </row>
    <row r="133" ht="14.25" customHeight="1">
      <c r="A133" s="39" t="s">
        <v>1659</v>
      </c>
      <c r="B133" s="39" t="s">
        <v>1660</v>
      </c>
      <c r="C133" s="39" t="s">
        <v>2754</v>
      </c>
      <c r="D133" s="39">
        <v>133.0</v>
      </c>
      <c r="E133" s="39" t="s">
        <v>239</v>
      </c>
      <c r="F133" s="39" t="s">
        <v>246</v>
      </c>
      <c r="G133" s="44" t="s">
        <v>1661</v>
      </c>
      <c r="H133" s="44"/>
      <c r="I133" s="39" t="s">
        <v>335</v>
      </c>
      <c r="J133" s="39" t="s">
        <v>2755</v>
      </c>
      <c r="K133" s="39" t="s">
        <v>255</v>
      </c>
      <c r="L133" s="45" t="s">
        <v>1044</v>
      </c>
    </row>
    <row r="134" ht="14.25" customHeight="1">
      <c r="A134" s="38" t="s">
        <v>1662</v>
      </c>
      <c r="B134" s="38" t="s">
        <v>1660</v>
      </c>
      <c r="C134" s="38" t="s">
        <v>2754</v>
      </c>
      <c r="D134" s="38">
        <v>134.0</v>
      </c>
      <c r="E134" s="38" t="s">
        <v>1119</v>
      </c>
      <c r="F134" s="38" t="s">
        <v>246</v>
      </c>
      <c r="G134" s="41" t="s">
        <v>1664</v>
      </c>
      <c r="H134" s="41"/>
      <c r="I134" s="38" t="s">
        <v>335</v>
      </c>
      <c r="J134" s="38" t="s">
        <v>2755</v>
      </c>
      <c r="K134" s="38" t="s">
        <v>255</v>
      </c>
      <c r="L134" s="42" t="s">
        <v>1044</v>
      </c>
    </row>
    <row r="135" ht="14.25" customHeight="1">
      <c r="A135" s="39" t="s">
        <v>1665</v>
      </c>
      <c r="B135" s="39" t="s">
        <v>1666</v>
      </c>
      <c r="C135" s="39" t="s">
        <v>2754</v>
      </c>
      <c r="D135" s="39">
        <v>135.0</v>
      </c>
      <c r="E135" s="39" t="s">
        <v>239</v>
      </c>
      <c r="F135" s="39" t="s">
        <v>246</v>
      </c>
      <c r="G135" s="44" t="s">
        <v>1668</v>
      </c>
      <c r="H135" s="44"/>
      <c r="I135" s="39" t="s">
        <v>335</v>
      </c>
      <c r="J135" s="39" t="s">
        <v>2755</v>
      </c>
      <c r="K135" s="39" t="s">
        <v>255</v>
      </c>
      <c r="L135" s="45" t="s">
        <v>1044</v>
      </c>
    </row>
    <row r="136" ht="14.25" customHeight="1">
      <c r="A136" s="38" t="s">
        <v>1669</v>
      </c>
      <c r="B136" s="38" t="s">
        <v>1670</v>
      </c>
      <c r="C136" s="38" t="s">
        <v>2754</v>
      </c>
      <c r="D136" s="38">
        <v>136.0</v>
      </c>
      <c r="E136" s="38" t="s">
        <v>239</v>
      </c>
      <c r="F136" s="38" t="s">
        <v>246</v>
      </c>
      <c r="G136" s="41" t="s">
        <v>1672</v>
      </c>
      <c r="H136" s="41"/>
      <c r="I136" s="38" t="s">
        <v>335</v>
      </c>
      <c r="J136" s="38" t="s">
        <v>2755</v>
      </c>
      <c r="K136" s="38" t="s">
        <v>255</v>
      </c>
      <c r="L136" s="42" t="s">
        <v>1044</v>
      </c>
    </row>
    <row r="137" ht="14.25" customHeight="1">
      <c r="A137" s="39" t="s">
        <v>1673</v>
      </c>
      <c r="B137" s="39" t="s">
        <v>1674</v>
      </c>
      <c r="C137" s="39" t="s">
        <v>2754</v>
      </c>
      <c r="D137" s="39">
        <v>137.0</v>
      </c>
      <c r="E137" s="39" t="s">
        <v>239</v>
      </c>
      <c r="F137" s="39" t="s">
        <v>246</v>
      </c>
      <c r="G137" s="44" t="s">
        <v>1676</v>
      </c>
      <c r="H137" s="44"/>
      <c r="I137" s="39" t="s">
        <v>335</v>
      </c>
      <c r="J137" s="39" t="s">
        <v>2755</v>
      </c>
      <c r="K137" s="39" t="s">
        <v>255</v>
      </c>
      <c r="L137" s="45" t="s">
        <v>1044</v>
      </c>
    </row>
    <row r="138" ht="14.25" customHeight="1">
      <c r="A138" s="38" t="s">
        <v>1677</v>
      </c>
      <c r="B138" s="38" t="s">
        <v>1678</v>
      </c>
      <c r="C138" s="38" t="s">
        <v>2754</v>
      </c>
      <c r="D138" s="38">
        <v>138.0</v>
      </c>
      <c r="E138" s="38" t="s">
        <v>239</v>
      </c>
      <c r="F138" s="38" t="s">
        <v>246</v>
      </c>
      <c r="G138" s="41" t="s">
        <v>1679</v>
      </c>
      <c r="H138" s="41"/>
      <c r="I138" s="38" t="s">
        <v>335</v>
      </c>
      <c r="J138" s="38" t="s">
        <v>2755</v>
      </c>
      <c r="K138" s="38" t="s">
        <v>255</v>
      </c>
      <c r="L138" s="42" t="s">
        <v>1044</v>
      </c>
    </row>
    <row r="139" ht="14.25" customHeight="1">
      <c r="A139" s="39" t="s">
        <v>1680</v>
      </c>
      <c r="B139" s="39" t="s">
        <v>1681</v>
      </c>
      <c r="C139" s="39" t="s">
        <v>2754</v>
      </c>
      <c r="D139" s="39">
        <v>139.0</v>
      </c>
      <c r="E139" s="39" t="s">
        <v>239</v>
      </c>
      <c r="F139" s="39" t="s">
        <v>246</v>
      </c>
      <c r="G139" s="44" t="s">
        <v>1682</v>
      </c>
      <c r="H139" s="44"/>
      <c r="I139" s="39" t="s">
        <v>335</v>
      </c>
      <c r="J139" s="39" t="s">
        <v>2755</v>
      </c>
      <c r="K139" s="39" t="s">
        <v>255</v>
      </c>
      <c r="L139" s="45" t="s">
        <v>1044</v>
      </c>
    </row>
    <row r="140" ht="14.25" customHeight="1">
      <c r="A140" s="38" t="s">
        <v>1683</v>
      </c>
      <c r="B140" s="38" t="s">
        <v>1684</v>
      </c>
      <c r="C140" s="38" t="s">
        <v>2754</v>
      </c>
      <c r="D140" s="38">
        <v>140.0</v>
      </c>
      <c r="E140" s="38" t="s">
        <v>239</v>
      </c>
      <c r="F140" s="38" t="s">
        <v>246</v>
      </c>
      <c r="G140" s="41" t="s">
        <v>1686</v>
      </c>
      <c r="H140" s="41"/>
      <c r="I140" s="38" t="s">
        <v>335</v>
      </c>
      <c r="J140" s="38" t="s">
        <v>2755</v>
      </c>
      <c r="K140" s="38" t="s">
        <v>255</v>
      </c>
      <c r="L140" s="42" t="s">
        <v>1044</v>
      </c>
    </row>
    <row r="141" ht="14.25" customHeight="1">
      <c r="A141" s="39" t="s">
        <v>1687</v>
      </c>
      <c r="B141" s="39" t="s">
        <v>1688</v>
      </c>
      <c r="C141" s="39" t="s">
        <v>2754</v>
      </c>
      <c r="D141" s="39">
        <v>141.0</v>
      </c>
      <c r="E141" s="39" t="s">
        <v>239</v>
      </c>
      <c r="F141" s="39" t="s">
        <v>246</v>
      </c>
      <c r="G141" s="44" t="s">
        <v>1689</v>
      </c>
      <c r="H141" s="44"/>
      <c r="I141" s="39" t="s">
        <v>335</v>
      </c>
      <c r="J141" s="39" t="s">
        <v>2755</v>
      </c>
      <c r="K141" s="39" t="s">
        <v>255</v>
      </c>
      <c r="L141" s="45" t="s">
        <v>1044</v>
      </c>
    </row>
    <row r="142" ht="14.25" customHeight="1">
      <c r="A142" s="38" t="s">
        <v>1690</v>
      </c>
      <c r="B142" s="38" t="s">
        <v>1691</v>
      </c>
      <c r="C142" s="38" t="s">
        <v>2754</v>
      </c>
      <c r="D142" s="38">
        <v>142.0</v>
      </c>
      <c r="E142" s="38" t="s">
        <v>239</v>
      </c>
      <c r="F142" s="38" t="s">
        <v>246</v>
      </c>
      <c r="G142" s="41" t="s">
        <v>1693</v>
      </c>
      <c r="H142" s="41"/>
      <c r="I142" s="38" t="s">
        <v>335</v>
      </c>
      <c r="J142" s="38" t="s">
        <v>2755</v>
      </c>
      <c r="K142" s="38" t="s">
        <v>255</v>
      </c>
      <c r="L142" s="42" t="s">
        <v>1044</v>
      </c>
    </row>
    <row r="143" ht="14.25" customHeight="1">
      <c r="A143" s="39" t="s">
        <v>1694</v>
      </c>
      <c r="B143" s="39" t="s">
        <v>1695</v>
      </c>
      <c r="C143" s="39" t="s">
        <v>2754</v>
      </c>
      <c r="D143" s="39">
        <v>143.0</v>
      </c>
      <c r="E143" s="39" t="s">
        <v>239</v>
      </c>
      <c r="F143" s="39" t="s">
        <v>246</v>
      </c>
      <c r="G143" s="44" t="s">
        <v>1697</v>
      </c>
      <c r="H143" s="44"/>
      <c r="I143" s="39" t="s">
        <v>335</v>
      </c>
      <c r="J143" s="39" t="s">
        <v>2755</v>
      </c>
      <c r="K143" s="39" t="s">
        <v>255</v>
      </c>
      <c r="L143" s="45" t="s">
        <v>1044</v>
      </c>
    </row>
    <row r="144" ht="14.25" customHeight="1">
      <c r="A144" s="38" t="s">
        <v>1698</v>
      </c>
      <c r="B144" s="38" t="s">
        <v>1695</v>
      </c>
      <c r="C144" s="38" t="s">
        <v>2754</v>
      </c>
      <c r="D144" s="38">
        <v>144.0</v>
      </c>
      <c r="E144" s="38" t="s">
        <v>239</v>
      </c>
      <c r="F144" s="38" t="s">
        <v>246</v>
      </c>
      <c r="G144" s="41" t="s">
        <v>1697</v>
      </c>
      <c r="H144" s="41"/>
      <c r="I144" s="38" t="s">
        <v>335</v>
      </c>
      <c r="J144" s="38" t="s">
        <v>2755</v>
      </c>
      <c r="K144" s="38" t="s">
        <v>255</v>
      </c>
      <c r="L144" s="42" t="s">
        <v>1044</v>
      </c>
    </row>
    <row r="145" ht="14.25" customHeight="1">
      <c r="A145" s="39" t="s">
        <v>1699</v>
      </c>
      <c r="B145" s="39" t="s">
        <v>1700</v>
      </c>
      <c r="C145" s="39" t="s">
        <v>2754</v>
      </c>
      <c r="D145" s="39">
        <v>145.0</v>
      </c>
      <c r="E145" s="39" t="s">
        <v>239</v>
      </c>
      <c r="F145" s="39" t="s">
        <v>246</v>
      </c>
      <c r="G145" s="44" t="s">
        <v>1701</v>
      </c>
      <c r="H145" s="44"/>
      <c r="I145" s="39" t="s">
        <v>335</v>
      </c>
      <c r="J145" s="39" t="s">
        <v>2755</v>
      </c>
      <c r="K145" s="39" t="s">
        <v>255</v>
      </c>
      <c r="L145" s="45" t="s">
        <v>1044</v>
      </c>
    </row>
    <row r="146" ht="14.25" customHeight="1">
      <c r="A146" s="38" t="s">
        <v>1702</v>
      </c>
      <c r="B146" s="38" t="s">
        <v>1703</v>
      </c>
      <c r="C146" s="38" t="s">
        <v>2754</v>
      </c>
      <c r="D146" s="38">
        <v>146.0</v>
      </c>
      <c r="E146" s="38" t="s">
        <v>239</v>
      </c>
      <c r="F146" s="38" t="s">
        <v>246</v>
      </c>
      <c r="G146" s="41" t="s">
        <v>1704</v>
      </c>
      <c r="H146" s="41"/>
      <c r="I146" s="38" t="s">
        <v>335</v>
      </c>
      <c r="J146" s="38" t="s">
        <v>2755</v>
      </c>
      <c r="K146" s="38" t="s">
        <v>255</v>
      </c>
      <c r="L146" s="42" t="s">
        <v>1044</v>
      </c>
    </row>
    <row r="147" ht="14.25" customHeight="1">
      <c r="A147" s="39" t="s">
        <v>1705</v>
      </c>
      <c r="B147" s="39" t="s">
        <v>1706</v>
      </c>
      <c r="C147" s="39" t="s">
        <v>2754</v>
      </c>
      <c r="D147" s="39">
        <v>147.0</v>
      </c>
      <c r="E147" s="39" t="s">
        <v>1369</v>
      </c>
      <c r="F147" s="39" t="s">
        <v>286</v>
      </c>
      <c r="G147" s="44" t="s">
        <v>1708</v>
      </c>
      <c r="H147" s="44" t="s">
        <v>1709</v>
      </c>
      <c r="I147" s="39" t="s">
        <v>335</v>
      </c>
      <c r="J147" s="39" t="s">
        <v>2755</v>
      </c>
      <c r="K147" s="39" t="s">
        <v>255</v>
      </c>
      <c r="L147" s="45" t="s">
        <v>1044</v>
      </c>
    </row>
    <row r="148" ht="14.25" customHeight="1">
      <c r="A148" s="38" t="s">
        <v>1710</v>
      </c>
      <c r="B148" s="38" t="s">
        <v>1711</v>
      </c>
      <c r="C148" s="38" t="s">
        <v>2754</v>
      </c>
      <c r="D148" s="38">
        <v>148.0</v>
      </c>
      <c r="E148" s="38" t="s">
        <v>1369</v>
      </c>
      <c r="F148" s="38" t="s">
        <v>286</v>
      </c>
      <c r="G148" s="41" t="s">
        <v>1712</v>
      </c>
      <c r="H148" s="41" t="s">
        <v>1713</v>
      </c>
      <c r="I148" s="38" t="s">
        <v>335</v>
      </c>
      <c r="J148" s="38" t="s">
        <v>2755</v>
      </c>
      <c r="K148" s="38" t="s">
        <v>255</v>
      </c>
      <c r="L148" s="42" t="s">
        <v>1044</v>
      </c>
    </row>
    <row r="149" ht="14.25" customHeight="1">
      <c r="A149" s="46" t="s">
        <v>1714</v>
      </c>
      <c r="B149" s="46" t="s">
        <v>1715</v>
      </c>
      <c r="C149" s="46" t="s">
        <v>2754</v>
      </c>
      <c r="D149" s="46">
        <v>149.0</v>
      </c>
      <c r="E149" s="46" t="s">
        <v>402</v>
      </c>
      <c r="F149" s="46" t="s">
        <v>246</v>
      </c>
      <c r="G149" s="48" t="s">
        <v>1718</v>
      </c>
      <c r="H149" s="48"/>
      <c r="I149" s="46" t="s">
        <v>335</v>
      </c>
      <c r="J149" s="46" t="s">
        <v>2755</v>
      </c>
      <c r="K149" s="46" t="s">
        <v>245</v>
      </c>
      <c r="L149" s="49" t="s">
        <v>1719</v>
      </c>
    </row>
    <row r="150" ht="14.25" customHeight="1">
      <c r="A150" s="38" t="s">
        <v>1720</v>
      </c>
      <c r="B150" s="38" t="s">
        <v>1721</v>
      </c>
      <c r="C150" s="38" t="s">
        <v>2754</v>
      </c>
      <c r="D150" s="38">
        <v>150.0</v>
      </c>
      <c r="E150" s="38" t="s">
        <v>1724</v>
      </c>
      <c r="F150" s="38" t="s">
        <v>246</v>
      </c>
      <c r="G150" s="41" t="s">
        <v>1726</v>
      </c>
      <c r="H150" s="41"/>
      <c r="I150" s="38" t="s">
        <v>335</v>
      </c>
      <c r="J150" s="38" t="s">
        <v>2755</v>
      </c>
      <c r="K150" s="38" t="s">
        <v>255</v>
      </c>
      <c r="L150" s="42" t="s">
        <v>1044</v>
      </c>
    </row>
    <row r="151" ht="14.25" customHeight="1">
      <c r="A151" s="39" t="s">
        <v>1727</v>
      </c>
      <c r="B151" s="39" t="s">
        <v>1728</v>
      </c>
      <c r="C151" s="39" t="s">
        <v>2754</v>
      </c>
      <c r="D151" s="39">
        <v>151.0</v>
      </c>
      <c r="E151" s="39" t="s">
        <v>239</v>
      </c>
      <c r="F151" s="39" t="s">
        <v>246</v>
      </c>
      <c r="G151" s="44" t="s">
        <v>1729</v>
      </c>
      <c r="H151" s="44"/>
      <c r="I151" s="39" t="s">
        <v>335</v>
      </c>
      <c r="J151" s="39" t="s">
        <v>2755</v>
      </c>
      <c r="K151" s="39" t="s">
        <v>255</v>
      </c>
      <c r="L151" s="45" t="s">
        <v>1044</v>
      </c>
    </row>
    <row r="152" ht="14.25" customHeight="1">
      <c r="A152" s="38" t="s">
        <v>1730</v>
      </c>
      <c r="B152" s="38" t="s">
        <v>1731</v>
      </c>
      <c r="C152" s="38" t="s">
        <v>2754</v>
      </c>
      <c r="D152" s="38">
        <v>152.0</v>
      </c>
      <c r="E152" s="38" t="s">
        <v>386</v>
      </c>
      <c r="F152" s="38" t="s">
        <v>246</v>
      </c>
      <c r="G152" s="41" t="s">
        <v>1732</v>
      </c>
      <c r="H152" s="41"/>
      <c r="I152" s="38" t="s">
        <v>335</v>
      </c>
      <c r="J152" s="38" t="s">
        <v>2755</v>
      </c>
      <c r="K152" s="38" t="s">
        <v>255</v>
      </c>
      <c r="L152" s="42" t="s">
        <v>1044</v>
      </c>
    </row>
    <row r="153" ht="14.25" customHeight="1">
      <c r="A153" s="39" t="s">
        <v>1733</v>
      </c>
      <c r="B153" s="39" t="s">
        <v>1734</v>
      </c>
      <c r="C153" s="39" t="s">
        <v>2754</v>
      </c>
      <c r="D153" s="39">
        <v>153.0</v>
      </c>
      <c r="E153" s="39" t="s">
        <v>1048</v>
      </c>
      <c r="F153" s="39" t="s">
        <v>246</v>
      </c>
      <c r="G153" s="44" t="s">
        <v>1736</v>
      </c>
      <c r="H153" s="44"/>
      <c r="I153" s="39" t="s">
        <v>335</v>
      </c>
      <c r="J153" s="39" t="s">
        <v>2755</v>
      </c>
      <c r="K153" s="39" t="s">
        <v>255</v>
      </c>
      <c r="L153" s="45" t="s">
        <v>1044</v>
      </c>
    </row>
    <row r="154" ht="14.25" customHeight="1">
      <c r="A154" s="38" t="s">
        <v>1737</v>
      </c>
      <c r="B154" s="38" t="s">
        <v>1738</v>
      </c>
      <c r="C154" s="38" t="s">
        <v>2754</v>
      </c>
      <c r="D154" s="38">
        <v>154.0</v>
      </c>
      <c r="E154" s="38" t="s">
        <v>1251</v>
      </c>
      <c r="F154" s="38" t="s">
        <v>246</v>
      </c>
      <c r="G154" s="41" t="s">
        <v>1740</v>
      </c>
      <c r="H154" s="41"/>
      <c r="I154" s="38" t="s">
        <v>335</v>
      </c>
      <c r="J154" s="38" t="s">
        <v>2755</v>
      </c>
      <c r="K154" s="38" t="s">
        <v>255</v>
      </c>
      <c r="L154" s="42" t="s">
        <v>1254</v>
      </c>
    </row>
    <row r="155" ht="14.25" customHeight="1">
      <c r="A155" s="39" t="s">
        <v>1741</v>
      </c>
      <c r="B155" s="39" t="s">
        <v>1742</v>
      </c>
      <c r="C155" s="39" t="s">
        <v>2754</v>
      </c>
      <c r="D155" s="39">
        <v>155.0</v>
      </c>
      <c r="E155" s="39" t="s">
        <v>239</v>
      </c>
      <c r="F155" s="39" t="s">
        <v>246</v>
      </c>
      <c r="G155" s="44" t="s">
        <v>1744</v>
      </c>
      <c r="H155" s="44"/>
      <c r="I155" s="39" t="s">
        <v>335</v>
      </c>
      <c r="J155" s="39" t="s">
        <v>2755</v>
      </c>
      <c r="K155" s="39" t="s">
        <v>255</v>
      </c>
      <c r="L155" s="45" t="s">
        <v>1044</v>
      </c>
    </row>
    <row r="156" ht="14.25" customHeight="1">
      <c r="A156" s="38" t="s">
        <v>1745</v>
      </c>
      <c r="B156" s="38" t="s">
        <v>1746</v>
      </c>
      <c r="C156" s="38" t="s">
        <v>2754</v>
      </c>
      <c r="D156" s="38">
        <v>156.0</v>
      </c>
      <c r="E156" s="38" t="s">
        <v>239</v>
      </c>
      <c r="F156" s="38" t="s">
        <v>246</v>
      </c>
      <c r="G156" s="41" t="s">
        <v>1747</v>
      </c>
      <c r="H156" s="41"/>
      <c r="I156" s="38" t="s">
        <v>335</v>
      </c>
      <c r="J156" s="38" t="s">
        <v>2755</v>
      </c>
      <c r="K156" s="38" t="s">
        <v>255</v>
      </c>
      <c r="L156" s="42" t="s">
        <v>1044</v>
      </c>
    </row>
    <row r="157" ht="14.25" customHeight="1">
      <c r="A157" s="39" t="s">
        <v>1748</v>
      </c>
      <c r="B157" s="39" t="s">
        <v>1749</v>
      </c>
      <c r="C157" s="39" t="s">
        <v>2754</v>
      </c>
      <c r="D157" s="39">
        <v>157.0</v>
      </c>
      <c r="E157" s="39" t="s">
        <v>386</v>
      </c>
      <c r="F157" s="39" t="s">
        <v>286</v>
      </c>
      <c r="G157" s="44" t="s">
        <v>1751</v>
      </c>
      <c r="H157" s="44" t="s">
        <v>1752</v>
      </c>
      <c r="I157" s="39" t="s">
        <v>335</v>
      </c>
      <c r="J157" s="39" t="s">
        <v>2755</v>
      </c>
      <c r="K157" s="39" t="s">
        <v>255</v>
      </c>
      <c r="L157" s="45" t="s">
        <v>1044</v>
      </c>
    </row>
    <row r="158" ht="14.25" customHeight="1">
      <c r="A158" s="38" t="s">
        <v>1753</v>
      </c>
      <c r="B158" s="38" t="s">
        <v>1754</v>
      </c>
      <c r="C158" s="38" t="s">
        <v>2754</v>
      </c>
      <c r="D158" s="38">
        <v>158.0</v>
      </c>
      <c r="E158" s="38" t="s">
        <v>239</v>
      </c>
      <c r="F158" s="38" t="s">
        <v>286</v>
      </c>
      <c r="G158" s="41" t="s">
        <v>1756</v>
      </c>
      <c r="H158" s="41" t="s">
        <v>1757</v>
      </c>
      <c r="I158" s="38" t="s">
        <v>335</v>
      </c>
      <c r="J158" s="38" t="s">
        <v>2755</v>
      </c>
      <c r="K158" s="38" t="s">
        <v>255</v>
      </c>
      <c r="L158" s="42" t="s">
        <v>1044</v>
      </c>
    </row>
    <row r="159" ht="14.25" customHeight="1">
      <c r="A159" s="39" t="s">
        <v>1758</v>
      </c>
      <c r="B159" s="39" t="s">
        <v>1759</v>
      </c>
      <c r="C159" s="39" t="s">
        <v>2754</v>
      </c>
      <c r="D159" s="39">
        <v>159.0</v>
      </c>
      <c r="E159" s="39" t="s">
        <v>239</v>
      </c>
      <c r="F159" s="39" t="s">
        <v>286</v>
      </c>
      <c r="G159" s="44" t="s">
        <v>1760</v>
      </c>
      <c r="H159" s="44" t="s">
        <v>1761</v>
      </c>
      <c r="I159" s="39" t="s">
        <v>335</v>
      </c>
      <c r="J159" s="39" t="s">
        <v>2755</v>
      </c>
      <c r="K159" s="39" t="s">
        <v>255</v>
      </c>
      <c r="L159" s="45" t="s">
        <v>1044</v>
      </c>
    </row>
    <row r="160" ht="14.25" customHeight="1">
      <c r="A160" s="38" t="s">
        <v>1762</v>
      </c>
      <c r="B160" s="38" t="s">
        <v>1763</v>
      </c>
      <c r="C160" s="38" t="s">
        <v>2754</v>
      </c>
      <c r="D160" s="38">
        <v>160.0</v>
      </c>
      <c r="E160" s="38" t="s">
        <v>1086</v>
      </c>
      <c r="F160" s="38" t="s">
        <v>286</v>
      </c>
      <c r="G160" s="41" t="s">
        <v>1764</v>
      </c>
      <c r="H160" s="41" t="s">
        <v>1765</v>
      </c>
      <c r="I160" s="38" t="s">
        <v>335</v>
      </c>
      <c r="J160" s="38" t="s">
        <v>2755</v>
      </c>
      <c r="K160" s="38" t="s">
        <v>255</v>
      </c>
      <c r="L160" s="42" t="s">
        <v>1044</v>
      </c>
    </row>
    <row r="161" ht="14.25" customHeight="1">
      <c r="A161" s="39" t="s">
        <v>1766</v>
      </c>
      <c r="B161" s="39" t="s">
        <v>1767</v>
      </c>
      <c r="C161" s="39" t="s">
        <v>2754</v>
      </c>
      <c r="D161" s="39">
        <v>161.0</v>
      </c>
      <c r="E161" s="39" t="s">
        <v>1200</v>
      </c>
      <c r="F161" s="39" t="s">
        <v>246</v>
      </c>
      <c r="G161" s="44" t="s">
        <v>1768</v>
      </c>
      <c r="H161" s="44"/>
      <c r="I161" s="39" t="s">
        <v>335</v>
      </c>
      <c r="J161" s="39" t="s">
        <v>2755</v>
      </c>
      <c r="K161" s="39" t="s">
        <v>255</v>
      </c>
      <c r="L161" s="45" t="s">
        <v>1044</v>
      </c>
    </row>
    <row r="162" ht="14.25" customHeight="1">
      <c r="A162" s="38" t="s">
        <v>1769</v>
      </c>
      <c r="B162" s="38" t="s">
        <v>1770</v>
      </c>
      <c r="C162" s="38" t="s">
        <v>2754</v>
      </c>
      <c r="D162" s="38">
        <v>162.0</v>
      </c>
      <c r="E162" s="38" t="s">
        <v>1048</v>
      </c>
      <c r="F162" s="38" t="s">
        <v>246</v>
      </c>
      <c r="G162" s="41" t="s">
        <v>1772</v>
      </c>
      <c r="H162" s="41"/>
      <c r="I162" s="38" t="s">
        <v>335</v>
      </c>
      <c r="J162" s="38" t="s">
        <v>2755</v>
      </c>
      <c r="K162" s="38" t="s">
        <v>255</v>
      </c>
      <c r="L162" s="42" t="s">
        <v>1044</v>
      </c>
    </row>
    <row r="163" ht="14.25" customHeight="1">
      <c r="A163" s="39" t="s">
        <v>1773</v>
      </c>
      <c r="B163" s="39" t="s">
        <v>1774</v>
      </c>
      <c r="C163" s="39" t="s">
        <v>2754</v>
      </c>
      <c r="D163" s="39">
        <v>163.0</v>
      </c>
      <c r="E163" s="39" t="s">
        <v>239</v>
      </c>
      <c r="F163" s="39" t="s">
        <v>246</v>
      </c>
      <c r="G163" s="44" t="s">
        <v>1775</v>
      </c>
      <c r="H163" s="44"/>
      <c r="I163" s="39" t="s">
        <v>335</v>
      </c>
      <c r="J163" s="39" t="s">
        <v>2755</v>
      </c>
      <c r="K163" s="39" t="s">
        <v>255</v>
      </c>
      <c r="L163" s="45" t="s">
        <v>1044</v>
      </c>
    </row>
    <row r="164" ht="14.25" customHeight="1">
      <c r="A164" s="38" t="s">
        <v>1776</v>
      </c>
      <c r="B164" s="38" t="s">
        <v>1777</v>
      </c>
      <c r="C164" s="38" t="s">
        <v>2754</v>
      </c>
      <c r="D164" s="38">
        <v>164.0</v>
      </c>
      <c r="E164" s="38" t="s">
        <v>239</v>
      </c>
      <c r="F164" s="38" t="s">
        <v>246</v>
      </c>
      <c r="G164" s="41" t="s">
        <v>1779</v>
      </c>
      <c r="H164" s="41"/>
      <c r="I164" s="38" t="s">
        <v>335</v>
      </c>
      <c r="J164" s="38" t="s">
        <v>2755</v>
      </c>
      <c r="K164" s="38" t="s">
        <v>255</v>
      </c>
      <c r="L164" s="42" t="s">
        <v>1044</v>
      </c>
    </row>
    <row r="165" ht="14.25" customHeight="1">
      <c r="A165" s="39" t="s">
        <v>1780</v>
      </c>
      <c r="B165" s="39" t="s">
        <v>1781</v>
      </c>
      <c r="C165" s="39" t="s">
        <v>2754</v>
      </c>
      <c r="D165" s="39">
        <v>165.0</v>
      </c>
      <c r="E165" s="39" t="s">
        <v>239</v>
      </c>
      <c r="F165" s="39" t="s">
        <v>246</v>
      </c>
      <c r="G165" s="44" t="s">
        <v>1782</v>
      </c>
      <c r="H165" s="44"/>
      <c r="I165" s="39" t="s">
        <v>335</v>
      </c>
      <c r="J165" s="39" t="s">
        <v>2755</v>
      </c>
      <c r="K165" s="39" t="s">
        <v>255</v>
      </c>
      <c r="L165" s="45" t="s">
        <v>1044</v>
      </c>
    </row>
    <row r="166" ht="14.25" customHeight="1">
      <c r="A166" s="38" t="s">
        <v>1783</v>
      </c>
      <c r="B166" s="38" t="s">
        <v>1784</v>
      </c>
      <c r="C166" s="38" t="s">
        <v>2754</v>
      </c>
      <c r="D166" s="38">
        <v>166.0</v>
      </c>
      <c r="E166" s="38" t="s">
        <v>1369</v>
      </c>
      <c r="F166" s="38" t="s">
        <v>286</v>
      </c>
      <c r="G166" s="41" t="s">
        <v>1785</v>
      </c>
      <c r="H166" s="41" t="s">
        <v>1786</v>
      </c>
      <c r="I166" s="38" t="s">
        <v>335</v>
      </c>
      <c r="J166" s="38" t="s">
        <v>2755</v>
      </c>
      <c r="K166" s="38" t="s">
        <v>255</v>
      </c>
      <c r="L166" s="42" t="s">
        <v>1044</v>
      </c>
    </row>
    <row r="167" ht="14.25" customHeight="1">
      <c r="A167" s="39" t="s">
        <v>1787</v>
      </c>
      <c r="B167" s="39" t="s">
        <v>1788</v>
      </c>
      <c r="C167" s="39" t="s">
        <v>2754</v>
      </c>
      <c r="D167" s="39">
        <v>167.0</v>
      </c>
      <c r="E167" s="39" t="s">
        <v>1048</v>
      </c>
      <c r="F167" s="39" t="s">
        <v>286</v>
      </c>
      <c r="G167" s="44" t="s">
        <v>1790</v>
      </c>
      <c r="H167" s="44" t="s">
        <v>1791</v>
      </c>
      <c r="I167" s="39" t="s">
        <v>335</v>
      </c>
      <c r="J167" s="39" t="s">
        <v>2755</v>
      </c>
      <c r="K167" s="39" t="s">
        <v>255</v>
      </c>
      <c r="L167" s="45" t="s">
        <v>1044</v>
      </c>
    </row>
    <row r="168" ht="14.25" customHeight="1">
      <c r="A168" s="38" t="s">
        <v>1792</v>
      </c>
      <c r="B168" s="38" t="s">
        <v>1793</v>
      </c>
      <c r="C168" s="38" t="s">
        <v>2754</v>
      </c>
      <c r="D168" s="38">
        <v>168.0</v>
      </c>
      <c r="E168" s="38" t="s">
        <v>239</v>
      </c>
      <c r="F168" s="38" t="s">
        <v>286</v>
      </c>
      <c r="G168" s="41" t="s">
        <v>1795</v>
      </c>
      <c r="H168" s="41" t="s">
        <v>1796</v>
      </c>
      <c r="I168" s="38" t="s">
        <v>335</v>
      </c>
      <c r="J168" s="38" t="s">
        <v>2755</v>
      </c>
      <c r="K168" s="38" t="s">
        <v>255</v>
      </c>
      <c r="L168" s="42" t="s">
        <v>1044</v>
      </c>
    </row>
    <row r="169" ht="14.25" customHeight="1">
      <c r="A169" s="39" t="s">
        <v>1797</v>
      </c>
      <c r="B169" s="39" t="s">
        <v>1798</v>
      </c>
      <c r="C169" s="39" t="s">
        <v>2754</v>
      </c>
      <c r="D169" s="39">
        <v>169.0</v>
      </c>
      <c r="E169" s="39" t="s">
        <v>239</v>
      </c>
      <c r="F169" s="39" t="s">
        <v>286</v>
      </c>
      <c r="G169" s="44" t="s">
        <v>1799</v>
      </c>
      <c r="H169" s="44" t="s">
        <v>1800</v>
      </c>
      <c r="I169" s="39" t="s">
        <v>335</v>
      </c>
      <c r="J169" s="39" t="s">
        <v>2755</v>
      </c>
      <c r="K169" s="39" t="s">
        <v>255</v>
      </c>
      <c r="L169" s="45" t="s">
        <v>1044</v>
      </c>
    </row>
    <row r="170" ht="14.25" customHeight="1">
      <c r="A170" s="38" t="s">
        <v>1801</v>
      </c>
      <c r="B170" s="38" t="s">
        <v>1802</v>
      </c>
      <c r="C170" s="38" t="s">
        <v>2754</v>
      </c>
      <c r="D170" s="38">
        <v>170.0</v>
      </c>
      <c r="E170" s="38" t="s">
        <v>239</v>
      </c>
      <c r="F170" s="38" t="s">
        <v>286</v>
      </c>
      <c r="G170" s="41" t="s">
        <v>1804</v>
      </c>
      <c r="H170" s="41" t="s">
        <v>1805</v>
      </c>
      <c r="I170" s="38" t="s">
        <v>335</v>
      </c>
      <c r="J170" s="38" t="s">
        <v>2755</v>
      </c>
      <c r="K170" s="38" t="s">
        <v>255</v>
      </c>
      <c r="L170" s="42" t="s">
        <v>1044</v>
      </c>
    </row>
    <row r="171" ht="14.25" customHeight="1">
      <c r="A171" s="39" t="s">
        <v>1806</v>
      </c>
      <c r="B171" s="39" t="s">
        <v>1807</v>
      </c>
      <c r="C171" s="39" t="s">
        <v>2754</v>
      </c>
      <c r="D171" s="39">
        <v>171.0</v>
      </c>
      <c r="E171" s="39" t="s">
        <v>239</v>
      </c>
      <c r="F171" s="39" t="s">
        <v>286</v>
      </c>
      <c r="G171" s="44" t="s">
        <v>1808</v>
      </c>
      <c r="H171" s="44" t="s">
        <v>1809</v>
      </c>
      <c r="I171" s="39" t="s">
        <v>335</v>
      </c>
      <c r="J171" s="39" t="s">
        <v>2755</v>
      </c>
      <c r="K171" s="39" t="s">
        <v>255</v>
      </c>
      <c r="L171" s="45" t="s">
        <v>1044</v>
      </c>
    </row>
    <row r="172" ht="14.25" customHeight="1">
      <c r="A172" s="38" t="s">
        <v>1810</v>
      </c>
      <c r="B172" s="38" t="s">
        <v>1811</v>
      </c>
      <c r="C172" s="38" t="s">
        <v>2754</v>
      </c>
      <c r="D172" s="38">
        <v>172.0</v>
      </c>
      <c r="E172" s="38" t="s">
        <v>239</v>
      </c>
      <c r="F172" s="38" t="s">
        <v>286</v>
      </c>
      <c r="G172" s="41" t="s">
        <v>1813</v>
      </c>
      <c r="H172" s="41" t="s">
        <v>1814</v>
      </c>
      <c r="I172" s="38" t="s">
        <v>335</v>
      </c>
      <c r="J172" s="38" t="s">
        <v>2755</v>
      </c>
      <c r="K172" s="38" t="s">
        <v>255</v>
      </c>
      <c r="L172" s="42" t="s">
        <v>1044</v>
      </c>
    </row>
    <row r="173" ht="14.25" customHeight="1">
      <c r="A173" s="39" t="s">
        <v>1815</v>
      </c>
      <c r="B173" s="39" t="s">
        <v>1816</v>
      </c>
      <c r="C173" s="39" t="s">
        <v>2754</v>
      </c>
      <c r="D173" s="39">
        <v>173.0</v>
      </c>
      <c r="E173" s="39" t="s">
        <v>1228</v>
      </c>
      <c r="F173" s="39" t="s">
        <v>246</v>
      </c>
      <c r="G173" s="44" t="s">
        <v>1817</v>
      </c>
      <c r="H173" s="44"/>
      <c r="I173" s="39" t="s">
        <v>335</v>
      </c>
      <c r="J173" s="39" t="s">
        <v>2755</v>
      </c>
      <c r="K173" s="39" t="s">
        <v>255</v>
      </c>
      <c r="L173" s="45" t="s">
        <v>1231</v>
      </c>
    </row>
    <row r="174" ht="14.25" customHeight="1">
      <c r="A174" s="38" t="s">
        <v>1818</v>
      </c>
      <c r="B174" s="38" t="s">
        <v>1819</v>
      </c>
      <c r="C174" s="38" t="s">
        <v>2754</v>
      </c>
      <c r="D174" s="38">
        <v>174.0</v>
      </c>
      <c r="E174" s="38" t="s">
        <v>1119</v>
      </c>
      <c r="F174" s="38" t="s">
        <v>246</v>
      </c>
      <c r="G174" s="41" t="s">
        <v>1820</v>
      </c>
      <c r="H174" s="41"/>
      <c r="I174" s="38" t="s">
        <v>335</v>
      </c>
      <c r="J174" s="38" t="s">
        <v>2755</v>
      </c>
      <c r="K174" s="38" t="s">
        <v>255</v>
      </c>
      <c r="L174" s="42" t="s">
        <v>1044</v>
      </c>
    </row>
    <row r="175" ht="14.25" customHeight="1">
      <c r="A175" s="39" t="s">
        <v>1821</v>
      </c>
      <c r="B175" s="39" t="s">
        <v>1822</v>
      </c>
      <c r="C175" s="39" t="s">
        <v>2754</v>
      </c>
      <c r="D175" s="39">
        <v>175.0</v>
      </c>
      <c r="E175" s="39" t="s">
        <v>239</v>
      </c>
      <c r="F175" s="39" t="s">
        <v>246</v>
      </c>
      <c r="G175" s="44" t="s">
        <v>1823</v>
      </c>
      <c r="H175" s="44"/>
      <c r="I175" s="39" t="s">
        <v>335</v>
      </c>
      <c r="J175" s="39" t="s">
        <v>2755</v>
      </c>
      <c r="K175" s="39" t="s">
        <v>255</v>
      </c>
      <c r="L175" s="45" t="s">
        <v>1044</v>
      </c>
    </row>
    <row r="176" ht="14.25" customHeight="1">
      <c r="A176" s="38" t="s">
        <v>1824</v>
      </c>
      <c r="B176" s="38" t="s">
        <v>1825</v>
      </c>
      <c r="C176" s="38" t="s">
        <v>2754</v>
      </c>
      <c r="D176" s="38">
        <v>176.0</v>
      </c>
      <c r="E176" s="38" t="s">
        <v>239</v>
      </c>
      <c r="F176" s="38" t="s">
        <v>246</v>
      </c>
      <c r="G176" s="41" t="s">
        <v>1827</v>
      </c>
      <c r="H176" s="41"/>
      <c r="I176" s="38" t="s">
        <v>335</v>
      </c>
      <c r="J176" s="38" t="s">
        <v>2755</v>
      </c>
      <c r="K176" s="38" t="s">
        <v>255</v>
      </c>
      <c r="L176" s="42" t="s">
        <v>1044</v>
      </c>
    </row>
    <row r="177" ht="14.25" customHeight="1">
      <c r="A177" s="39" t="s">
        <v>1828</v>
      </c>
      <c r="B177" s="39" t="s">
        <v>1829</v>
      </c>
      <c r="C177" s="39" t="s">
        <v>2754</v>
      </c>
      <c r="D177" s="39">
        <v>177.0</v>
      </c>
      <c r="E177" s="39" t="s">
        <v>386</v>
      </c>
      <c r="F177" s="39" t="s">
        <v>246</v>
      </c>
      <c r="G177" s="44" t="s">
        <v>1830</v>
      </c>
      <c r="H177" s="44"/>
      <c r="I177" s="39" t="s">
        <v>335</v>
      </c>
      <c r="J177" s="39" t="s">
        <v>2755</v>
      </c>
      <c r="K177" s="39" t="s">
        <v>255</v>
      </c>
      <c r="L177" s="45" t="s">
        <v>1044</v>
      </c>
    </row>
    <row r="178" ht="14.25" customHeight="1">
      <c r="A178" s="38" t="s">
        <v>1831</v>
      </c>
      <c r="B178" s="38" t="s">
        <v>1832</v>
      </c>
      <c r="C178" s="38" t="s">
        <v>2754</v>
      </c>
      <c r="D178" s="38">
        <v>178.0</v>
      </c>
      <c r="E178" s="38" t="s">
        <v>239</v>
      </c>
      <c r="F178" s="38" t="s">
        <v>286</v>
      </c>
      <c r="G178" s="41" t="s">
        <v>1833</v>
      </c>
      <c r="H178" s="41" t="s">
        <v>1834</v>
      </c>
      <c r="I178" s="38" t="s">
        <v>335</v>
      </c>
      <c r="J178" s="38" t="s">
        <v>2755</v>
      </c>
      <c r="K178" s="38" t="s">
        <v>255</v>
      </c>
      <c r="L178" s="42" t="s">
        <v>1044</v>
      </c>
    </row>
    <row r="179" ht="14.25" customHeight="1">
      <c r="A179" s="39" t="s">
        <v>1835</v>
      </c>
      <c r="B179" s="39" t="s">
        <v>1836</v>
      </c>
      <c r="C179" s="39" t="s">
        <v>2754</v>
      </c>
      <c r="D179" s="39">
        <v>179.0</v>
      </c>
      <c r="E179" s="39" t="s">
        <v>239</v>
      </c>
      <c r="F179" s="39" t="s">
        <v>286</v>
      </c>
      <c r="G179" s="44" t="s">
        <v>1838</v>
      </c>
      <c r="H179" s="44" t="s">
        <v>1839</v>
      </c>
      <c r="I179" s="39" t="s">
        <v>335</v>
      </c>
      <c r="J179" s="39" t="s">
        <v>2755</v>
      </c>
      <c r="K179" s="39" t="s">
        <v>255</v>
      </c>
      <c r="L179" s="45" t="s">
        <v>1044</v>
      </c>
    </row>
    <row r="180" ht="14.25" customHeight="1">
      <c r="A180" s="38" t="s">
        <v>1840</v>
      </c>
      <c r="B180" s="38" t="s">
        <v>1841</v>
      </c>
      <c r="C180" s="38" t="s">
        <v>2754</v>
      </c>
      <c r="D180" s="38">
        <v>180.0</v>
      </c>
      <c r="E180" s="38" t="s">
        <v>1251</v>
      </c>
      <c r="F180" s="38" t="s">
        <v>246</v>
      </c>
      <c r="G180" s="41" t="s">
        <v>1842</v>
      </c>
      <c r="H180" s="41"/>
      <c r="I180" s="38" t="s">
        <v>335</v>
      </c>
      <c r="J180" s="38" t="s">
        <v>2755</v>
      </c>
      <c r="K180" s="38" t="s">
        <v>255</v>
      </c>
      <c r="L180" s="42" t="s">
        <v>1254</v>
      </c>
    </row>
    <row r="181" ht="14.25" customHeight="1">
      <c r="A181" s="39" t="s">
        <v>1843</v>
      </c>
      <c r="B181" s="39" t="s">
        <v>1844</v>
      </c>
      <c r="C181" s="39" t="s">
        <v>2754</v>
      </c>
      <c r="D181" s="39">
        <v>181.0</v>
      </c>
      <c r="E181" s="39" t="s">
        <v>1119</v>
      </c>
      <c r="F181" s="39" t="s">
        <v>286</v>
      </c>
      <c r="G181" s="44" t="s">
        <v>1845</v>
      </c>
      <c r="H181" s="44" t="s">
        <v>1846</v>
      </c>
      <c r="I181" s="39" t="s">
        <v>335</v>
      </c>
      <c r="J181" s="39" t="s">
        <v>2755</v>
      </c>
      <c r="K181" s="39" t="s">
        <v>255</v>
      </c>
      <c r="L181" s="45" t="s">
        <v>1044</v>
      </c>
    </row>
    <row r="182" ht="14.25" customHeight="1">
      <c r="A182" s="38" t="s">
        <v>1847</v>
      </c>
      <c r="B182" s="38" t="s">
        <v>1848</v>
      </c>
      <c r="C182" s="38" t="s">
        <v>2754</v>
      </c>
      <c r="D182" s="38">
        <v>182.0</v>
      </c>
      <c r="E182" s="38" t="s">
        <v>239</v>
      </c>
      <c r="F182" s="38" t="s">
        <v>246</v>
      </c>
      <c r="G182" s="41" t="s">
        <v>1849</v>
      </c>
      <c r="H182" s="41"/>
      <c r="I182" s="38" t="s">
        <v>335</v>
      </c>
      <c r="J182" s="38" t="s">
        <v>2755</v>
      </c>
      <c r="K182" s="38" t="s">
        <v>255</v>
      </c>
      <c r="L182" s="42" t="s">
        <v>1044</v>
      </c>
    </row>
    <row r="183" ht="14.25" customHeight="1">
      <c r="A183" s="39" t="s">
        <v>1850</v>
      </c>
      <c r="B183" s="39" t="s">
        <v>1851</v>
      </c>
      <c r="C183" s="39" t="s">
        <v>2754</v>
      </c>
      <c r="D183" s="39">
        <v>183.0</v>
      </c>
      <c r="E183" s="39" t="s">
        <v>1048</v>
      </c>
      <c r="F183" s="39" t="s">
        <v>286</v>
      </c>
      <c r="G183" s="44" t="s">
        <v>1853</v>
      </c>
      <c r="H183" s="44" t="s">
        <v>1854</v>
      </c>
      <c r="I183" s="39" t="s">
        <v>335</v>
      </c>
      <c r="J183" s="39" t="s">
        <v>2755</v>
      </c>
      <c r="K183" s="39" t="s">
        <v>255</v>
      </c>
      <c r="L183" s="45" t="s">
        <v>1044</v>
      </c>
    </row>
    <row r="184" ht="14.25" customHeight="1">
      <c r="A184" s="38" t="s">
        <v>1855</v>
      </c>
      <c r="B184" s="38" t="s">
        <v>1856</v>
      </c>
      <c r="C184" s="38" t="s">
        <v>2754</v>
      </c>
      <c r="D184" s="38">
        <v>184.0</v>
      </c>
      <c r="E184" s="38" t="s">
        <v>239</v>
      </c>
      <c r="F184" s="38" t="s">
        <v>286</v>
      </c>
      <c r="G184" s="41" t="s">
        <v>1858</v>
      </c>
      <c r="H184" s="41" t="s">
        <v>1859</v>
      </c>
      <c r="I184" s="38" t="s">
        <v>335</v>
      </c>
      <c r="J184" s="38" t="s">
        <v>2755</v>
      </c>
      <c r="K184" s="38" t="s">
        <v>255</v>
      </c>
      <c r="L184" s="42" t="s">
        <v>1044</v>
      </c>
    </row>
    <row r="185" ht="14.25" customHeight="1">
      <c r="A185" s="39" t="s">
        <v>1860</v>
      </c>
      <c r="B185" s="39" t="s">
        <v>1861</v>
      </c>
      <c r="C185" s="39" t="s">
        <v>2754</v>
      </c>
      <c r="D185" s="39">
        <v>185.0</v>
      </c>
      <c r="E185" s="39" t="s">
        <v>1086</v>
      </c>
      <c r="F185" s="39" t="s">
        <v>246</v>
      </c>
      <c r="G185" s="44" t="s">
        <v>1863</v>
      </c>
      <c r="H185" s="44"/>
      <c r="I185" s="39" t="s">
        <v>335</v>
      </c>
      <c r="J185" s="39" t="s">
        <v>2755</v>
      </c>
      <c r="K185" s="39" t="s">
        <v>255</v>
      </c>
      <c r="L185" s="45" t="s">
        <v>1044</v>
      </c>
    </row>
    <row r="186" ht="14.25" customHeight="1">
      <c r="A186" s="38" t="s">
        <v>1864</v>
      </c>
      <c r="B186" s="38" t="s">
        <v>1865</v>
      </c>
      <c r="C186" s="38" t="s">
        <v>2754</v>
      </c>
      <c r="D186" s="38">
        <v>186.0</v>
      </c>
      <c r="E186" s="38" t="s">
        <v>386</v>
      </c>
      <c r="F186" s="38" t="s">
        <v>246</v>
      </c>
      <c r="G186" s="41" t="s">
        <v>1867</v>
      </c>
      <c r="H186" s="41"/>
      <c r="I186" s="38" t="s">
        <v>335</v>
      </c>
      <c r="J186" s="38" t="s">
        <v>2755</v>
      </c>
      <c r="K186" s="38" t="s">
        <v>255</v>
      </c>
      <c r="L186" s="42" t="s">
        <v>1044</v>
      </c>
    </row>
    <row r="187" ht="14.25" customHeight="1">
      <c r="A187" s="39" t="s">
        <v>1868</v>
      </c>
      <c r="B187" s="39" t="s">
        <v>1869</v>
      </c>
      <c r="C187" s="39" t="s">
        <v>2754</v>
      </c>
      <c r="D187" s="39">
        <v>187.0</v>
      </c>
      <c r="E187" s="39" t="s">
        <v>1251</v>
      </c>
      <c r="F187" s="39" t="s">
        <v>246</v>
      </c>
      <c r="G187" s="44" t="s">
        <v>1870</v>
      </c>
      <c r="H187" s="44"/>
      <c r="I187" s="39" t="s">
        <v>335</v>
      </c>
      <c r="J187" s="39" t="s">
        <v>2755</v>
      </c>
      <c r="K187" s="39" t="s">
        <v>255</v>
      </c>
      <c r="L187" s="45" t="s">
        <v>1254</v>
      </c>
    </row>
    <row r="188" ht="14.25" customHeight="1">
      <c r="A188" s="38" t="s">
        <v>1871</v>
      </c>
      <c r="B188" s="38" t="s">
        <v>1872</v>
      </c>
      <c r="C188" s="38" t="s">
        <v>2754</v>
      </c>
      <c r="D188" s="38">
        <v>188.0</v>
      </c>
      <c r="E188" s="38" t="s">
        <v>1195</v>
      </c>
      <c r="F188" s="38" t="s">
        <v>246</v>
      </c>
      <c r="G188" s="41" t="s">
        <v>1873</v>
      </c>
      <c r="H188" s="41"/>
      <c r="I188" s="38" t="s">
        <v>335</v>
      </c>
      <c r="J188" s="38" t="s">
        <v>2755</v>
      </c>
      <c r="K188" s="38" t="s">
        <v>255</v>
      </c>
      <c r="L188" s="42" t="s">
        <v>1044</v>
      </c>
    </row>
    <row r="189" ht="14.25" customHeight="1">
      <c r="A189" s="46" t="s">
        <v>1874</v>
      </c>
      <c r="B189" s="46" t="s">
        <v>1875</v>
      </c>
      <c r="C189" s="46" t="s">
        <v>2754</v>
      </c>
      <c r="D189" s="46">
        <v>189.0</v>
      </c>
      <c r="E189" s="46" t="s">
        <v>1086</v>
      </c>
      <c r="F189" s="46" t="s">
        <v>286</v>
      </c>
      <c r="G189" s="48" t="s">
        <v>1876</v>
      </c>
      <c r="H189" s="48" t="s">
        <v>1877</v>
      </c>
      <c r="I189" s="46" t="s">
        <v>293</v>
      </c>
      <c r="J189" s="46" t="s">
        <v>2755</v>
      </c>
      <c r="K189" s="46" t="s">
        <v>245</v>
      </c>
      <c r="L189" s="49" t="s">
        <v>1878</v>
      </c>
    </row>
    <row r="190" ht="14.25" customHeight="1">
      <c r="A190" s="38" t="s">
        <v>1879</v>
      </c>
      <c r="B190" s="38" t="s">
        <v>1880</v>
      </c>
      <c r="C190" s="38" t="s">
        <v>2754</v>
      </c>
      <c r="D190" s="38">
        <v>190.0</v>
      </c>
      <c r="E190" s="38" t="s">
        <v>239</v>
      </c>
      <c r="F190" s="38" t="s">
        <v>286</v>
      </c>
      <c r="G190" s="41" t="s">
        <v>1882</v>
      </c>
      <c r="H190" s="41" t="s">
        <v>1883</v>
      </c>
      <c r="I190" s="38" t="s">
        <v>335</v>
      </c>
      <c r="J190" s="38" t="s">
        <v>2755</v>
      </c>
      <c r="K190" s="38" t="s">
        <v>255</v>
      </c>
      <c r="L190" s="42" t="s">
        <v>1044</v>
      </c>
    </row>
    <row r="191" ht="14.25" customHeight="1">
      <c r="A191" s="39" t="s">
        <v>1884</v>
      </c>
      <c r="B191" s="39" t="s">
        <v>1885</v>
      </c>
      <c r="C191" s="39" t="s">
        <v>2754</v>
      </c>
      <c r="D191" s="39">
        <v>191.0</v>
      </c>
      <c r="E191" s="39" t="s">
        <v>386</v>
      </c>
      <c r="F191" s="39" t="s">
        <v>286</v>
      </c>
      <c r="G191" s="44" t="s">
        <v>1886</v>
      </c>
      <c r="H191" s="44" t="s">
        <v>1887</v>
      </c>
      <c r="I191" s="39" t="s">
        <v>335</v>
      </c>
      <c r="J191" s="39" t="s">
        <v>2755</v>
      </c>
      <c r="K191" s="39" t="s">
        <v>255</v>
      </c>
      <c r="L191" s="45" t="s">
        <v>1044</v>
      </c>
    </row>
    <row r="192" ht="14.25" customHeight="1">
      <c r="A192" s="38" t="s">
        <v>1888</v>
      </c>
      <c r="B192" s="38" t="s">
        <v>1889</v>
      </c>
      <c r="C192" s="38" t="s">
        <v>2754</v>
      </c>
      <c r="D192" s="38">
        <v>192.0</v>
      </c>
      <c r="E192" s="38" t="s">
        <v>386</v>
      </c>
      <c r="F192" s="38" t="s">
        <v>286</v>
      </c>
      <c r="G192" s="41" t="s">
        <v>1891</v>
      </c>
      <c r="H192" s="41" t="s">
        <v>1892</v>
      </c>
      <c r="I192" s="38" t="s">
        <v>335</v>
      </c>
      <c r="J192" s="38" t="s">
        <v>2755</v>
      </c>
      <c r="K192" s="38" t="s">
        <v>255</v>
      </c>
      <c r="L192" s="42" t="s">
        <v>1044</v>
      </c>
    </row>
    <row r="193" ht="14.25" customHeight="1">
      <c r="A193" s="39" t="s">
        <v>1893</v>
      </c>
      <c r="B193" s="39" t="s">
        <v>1894</v>
      </c>
      <c r="C193" s="39" t="s">
        <v>2754</v>
      </c>
      <c r="D193" s="39">
        <v>193.0</v>
      </c>
      <c r="E193" s="39" t="s">
        <v>1251</v>
      </c>
      <c r="F193" s="39" t="s">
        <v>246</v>
      </c>
      <c r="G193" s="44" t="s">
        <v>1896</v>
      </c>
      <c r="H193" s="44"/>
      <c r="I193" s="39" t="s">
        <v>335</v>
      </c>
      <c r="J193" s="39" t="s">
        <v>2755</v>
      </c>
      <c r="K193" s="39" t="s">
        <v>255</v>
      </c>
      <c r="L193" s="45" t="s">
        <v>1254</v>
      </c>
    </row>
    <row r="194" ht="14.25" customHeight="1">
      <c r="A194" s="38" t="s">
        <v>1897</v>
      </c>
      <c r="B194" s="38" t="s">
        <v>1898</v>
      </c>
      <c r="C194" s="38" t="s">
        <v>2754</v>
      </c>
      <c r="D194" s="38">
        <v>194.0</v>
      </c>
      <c r="E194" s="38" t="s">
        <v>239</v>
      </c>
      <c r="F194" s="38" t="s">
        <v>286</v>
      </c>
      <c r="G194" s="41" t="s">
        <v>1900</v>
      </c>
      <c r="H194" s="41" t="s">
        <v>1901</v>
      </c>
      <c r="I194" s="38" t="s">
        <v>335</v>
      </c>
      <c r="J194" s="38" t="s">
        <v>2755</v>
      </c>
      <c r="K194" s="38" t="s">
        <v>255</v>
      </c>
      <c r="L194" s="42" t="s">
        <v>1044</v>
      </c>
    </row>
    <row r="195" ht="14.25" customHeight="1">
      <c r="A195" s="39" t="s">
        <v>1902</v>
      </c>
      <c r="B195" s="39" t="s">
        <v>1903</v>
      </c>
      <c r="C195" s="39" t="s">
        <v>2754</v>
      </c>
      <c r="D195" s="39">
        <v>195.0</v>
      </c>
      <c r="E195" s="39" t="s">
        <v>239</v>
      </c>
      <c r="F195" s="39" t="s">
        <v>286</v>
      </c>
      <c r="G195" s="44" t="s">
        <v>1905</v>
      </c>
      <c r="H195" s="44" t="s">
        <v>1906</v>
      </c>
      <c r="I195" s="39" t="s">
        <v>335</v>
      </c>
      <c r="J195" s="39" t="s">
        <v>2755</v>
      </c>
      <c r="K195" s="39" t="s">
        <v>255</v>
      </c>
      <c r="L195" s="45" t="s">
        <v>1044</v>
      </c>
    </row>
    <row r="196" ht="14.25" customHeight="1">
      <c r="A196" s="38" t="s">
        <v>1907</v>
      </c>
      <c r="B196" s="38" t="s">
        <v>1908</v>
      </c>
      <c r="C196" s="38" t="s">
        <v>2754</v>
      </c>
      <c r="D196" s="38">
        <v>196.0</v>
      </c>
      <c r="E196" s="38" t="s">
        <v>239</v>
      </c>
      <c r="F196" s="38" t="s">
        <v>286</v>
      </c>
      <c r="G196" s="41" t="s">
        <v>1910</v>
      </c>
      <c r="H196" s="41" t="s">
        <v>1911</v>
      </c>
      <c r="I196" s="38" t="s">
        <v>335</v>
      </c>
      <c r="J196" s="38" t="s">
        <v>2755</v>
      </c>
      <c r="K196" s="38" t="s">
        <v>255</v>
      </c>
      <c r="L196" s="42" t="s">
        <v>1044</v>
      </c>
    </row>
    <row r="197" ht="14.25" customHeight="1">
      <c r="A197" s="39" t="s">
        <v>1912</v>
      </c>
      <c r="B197" s="39" t="s">
        <v>1913</v>
      </c>
      <c r="C197" s="39" t="s">
        <v>2754</v>
      </c>
      <c r="D197" s="39">
        <v>197.0</v>
      </c>
      <c r="E197" s="39" t="s">
        <v>386</v>
      </c>
      <c r="F197" s="39" t="s">
        <v>286</v>
      </c>
      <c r="G197" s="44" t="s">
        <v>1915</v>
      </c>
      <c r="H197" s="44" t="s">
        <v>1916</v>
      </c>
      <c r="I197" s="39" t="s">
        <v>335</v>
      </c>
      <c r="J197" s="39" t="s">
        <v>2755</v>
      </c>
      <c r="K197" s="39" t="s">
        <v>255</v>
      </c>
      <c r="L197" s="45" t="s">
        <v>1044</v>
      </c>
    </row>
    <row r="198" ht="14.25" customHeight="1">
      <c r="A198" s="38" t="s">
        <v>1917</v>
      </c>
      <c r="B198" s="38" t="s">
        <v>1918</v>
      </c>
      <c r="C198" s="38" t="s">
        <v>2754</v>
      </c>
      <c r="D198" s="38">
        <v>198.0</v>
      </c>
      <c r="E198" s="38" t="s">
        <v>386</v>
      </c>
      <c r="F198" s="38" t="s">
        <v>286</v>
      </c>
      <c r="G198" s="41" t="s">
        <v>1919</v>
      </c>
      <c r="H198" s="41" t="s">
        <v>1920</v>
      </c>
      <c r="I198" s="38" t="s">
        <v>335</v>
      </c>
      <c r="J198" s="38" t="s">
        <v>2755</v>
      </c>
      <c r="K198" s="38" t="s">
        <v>255</v>
      </c>
      <c r="L198" s="42" t="s">
        <v>1044</v>
      </c>
    </row>
    <row r="199" ht="14.25" customHeight="1">
      <c r="A199" s="39" t="s">
        <v>1921</v>
      </c>
      <c r="B199" s="39" t="s">
        <v>1922</v>
      </c>
      <c r="C199" s="39" t="s">
        <v>2754</v>
      </c>
      <c r="D199" s="39">
        <v>199.0</v>
      </c>
      <c r="E199" s="39" t="s">
        <v>386</v>
      </c>
      <c r="F199" s="39" t="s">
        <v>286</v>
      </c>
      <c r="G199" s="44" t="s">
        <v>1924</v>
      </c>
      <c r="H199" s="44" t="s">
        <v>1925</v>
      </c>
      <c r="I199" s="39" t="s">
        <v>335</v>
      </c>
      <c r="J199" s="39" t="s">
        <v>2755</v>
      </c>
      <c r="K199" s="39" t="s">
        <v>255</v>
      </c>
      <c r="L199" s="45" t="s">
        <v>1044</v>
      </c>
    </row>
    <row r="200" ht="14.25" customHeight="1">
      <c r="A200" s="38" t="s">
        <v>1926</v>
      </c>
      <c r="B200" s="38" t="s">
        <v>1927</v>
      </c>
      <c r="C200" s="38" t="s">
        <v>2754</v>
      </c>
      <c r="D200" s="38">
        <v>200.0</v>
      </c>
      <c r="E200" s="38" t="s">
        <v>239</v>
      </c>
      <c r="F200" s="38" t="s">
        <v>286</v>
      </c>
      <c r="G200" s="41" t="s">
        <v>1929</v>
      </c>
      <c r="H200" s="41" t="s">
        <v>1930</v>
      </c>
      <c r="I200" s="38" t="s">
        <v>335</v>
      </c>
      <c r="J200" s="38" t="s">
        <v>2755</v>
      </c>
      <c r="K200" s="38" t="s">
        <v>255</v>
      </c>
      <c r="L200" s="42" t="s">
        <v>1044</v>
      </c>
    </row>
    <row r="201" ht="14.25" customHeight="1">
      <c r="A201" s="39" t="s">
        <v>1931</v>
      </c>
      <c r="B201" s="39" t="s">
        <v>1932</v>
      </c>
      <c r="C201" s="39" t="s">
        <v>2754</v>
      </c>
      <c r="D201" s="39">
        <v>201.0</v>
      </c>
      <c r="E201" s="39" t="s">
        <v>239</v>
      </c>
      <c r="F201" s="39" t="s">
        <v>286</v>
      </c>
      <c r="G201" s="44" t="s">
        <v>1933</v>
      </c>
      <c r="H201" s="44" t="s">
        <v>1934</v>
      </c>
      <c r="I201" s="39" t="s">
        <v>335</v>
      </c>
      <c r="J201" s="39" t="s">
        <v>2755</v>
      </c>
      <c r="K201" s="39" t="s">
        <v>255</v>
      </c>
      <c r="L201" s="45" t="s">
        <v>1044</v>
      </c>
    </row>
    <row r="202" ht="14.25" customHeight="1">
      <c r="A202" s="38" t="s">
        <v>1935</v>
      </c>
      <c r="B202" s="38" t="s">
        <v>1936</v>
      </c>
      <c r="C202" s="38" t="s">
        <v>2754</v>
      </c>
      <c r="D202" s="38">
        <v>202.0</v>
      </c>
      <c r="E202" s="38" t="s">
        <v>1086</v>
      </c>
      <c r="F202" s="38" t="s">
        <v>246</v>
      </c>
      <c r="G202" s="41" t="s">
        <v>1937</v>
      </c>
      <c r="H202" s="41"/>
      <c r="I202" s="38" t="s">
        <v>335</v>
      </c>
      <c r="J202" s="38" t="s">
        <v>2755</v>
      </c>
      <c r="K202" s="38" t="s">
        <v>255</v>
      </c>
      <c r="L202" s="42" t="s">
        <v>1044</v>
      </c>
    </row>
    <row r="203" ht="14.25" customHeight="1">
      <c r="A203" s="39" t="s">
        <v>1938</v>
      </c>
      <c r="B203" s="39" t="s">
        <v>1939</v>
      </c>
      <c r="C203" s="39" t="s">
        <v>2754</v>
      </c>
      <c r="D203" s="39">
        <v>203.0</v>
      </c>
      <c r="E203" s="39" t="s">
        <v>1251</v>
      </c>
      <c r="F203" s="39" t="s">
        <v>246</v>
      </c>
      <c r="G203" s="44" t="s">
        <v>1941</v>
      </c>
      <c r="H203" s="44"/>
      <c r="I203" s="39" t="s">
        <v>335</v>
      </c>
      <c r="J203" s="39" t="s">
        <v>2755</v>
      </c>
      <c r="K203" s="39" t="s">
        <v>255</v>
      </c>
      <c r="L203" s="45" t="s">
        <v>1254</v>
      </c>
    </row>
    <row r="204" ht="14.25" customHeight="1">
      <c r="A204" s="38" t="s">
        <v>1942</v>
      </c>
      <c r="B204" s="38" t="s">
        <v>1943</v>
      </c>
      <c r="C204" s="38" t="s">
        <v>2754</v>
      </c>
      <c r="D204" s="38">
        <v>204.0</v>
      </c>
      <c r="E204" s="38" t="s">
        <v>386</v>
      </c>
      <c r="F204" s="38" t="s">
        <v>286</v>
      </c>
      <c r="G204" s="41" t="s">
        <v>1944</v>
      </c>
      <c r="H204" s="41" t="s">
        <v>1945</v>
      </c>
      <c r="I204" s="38" t="s">
        <v>335</v>
      </c>
      <c r="J204" s="38" t="s">
        <v>2755</v>
      </c>
      <c r="K204" s="38" t="s">
        <v>255</v>
      </c>
      <c r="L204" s="42" t="s">
        <v>1044</v>
      </c>
    </row>
    <row r="205" ht="14.25" customHeight="1">
      <c r="A205" s="39" t="s">
        <v>1946</v>
      </c>
      <c r="B205" s="39" t="s">
        <v>1947</v>
      </c>
      <c r="C205" s="39" t="s">
        <v>2754</v>
      </c>
      <c r="D205" s="39">
        <v>205.0</v>
      </c>
      <c r="E205" s="39" t="s">
        <v>1251</v>
      </c>
      <c r="F205" s="39" t="s">
        <v>246</v>
      </c>
      <c r="G205" s="44" t="s">
        <v>1949</v>
      </c>
      <c r="H205" s="44"/>
      <c r="I205" s="39" t="s">
        <v>335</v>
      </c>
      <c r="J205" s="39" t="s">
        <v>2755</v>
      </c>
      <c r="K205" s="39" t="s">
        <v>255</v>
      </c>
      <c r="L205" s="45" t="s">
        <v>1254</v>
      </c>
    </row>
    <row r="206" ht="14.25" customHeight="1">
      <c r="A206" s="46" t="s">
        <v>1950</v>
      </c>
      <c r="B206" s="46" t="s">
        <v>1951</v>
      </c>
      <c r="C206" s="46" t="s">
        <v>2754</v>
      </c>
      <c r="D206" s="46">
        <v>206.0</v>
      </c>
      <c r="E206" s="46" t="s">
        <v>1200</v>
      </c>
      <c r="F206" s="46" t="s">
        <v>286</v>
      </c>
      <c r="G206" s="48" t="s">
        <v>1953</v>
      </c>
      <c r="H206" s="48" t="s">
        <v>1954</v>
      </c>
      <c r="I206" s="46" t="s">
        <v>293</v>
      </c>
      <c r="J206" s="46" t="s">
        <v>2755</v>
      </c>
      <c r="K206" s="46" t="s">
        <v>245</v>
      </c>
      <c r="L206" s="49" t="s">
        <v>1044</v>
      </c>
    </row>
    <row r="207" ht="14.25" customHeight="1">
      <c r="A207" s="39" t="s">
        <v>1955</v>
      </c>
      <c r="B207" s="39" t="s">
        <v>1956</v>
      </c>
      <c r="C207" s="39" t="s">
        <v>2754</v>
      </c>
      <c r="D207" s="39">
        <v>207.0</v>
      </c>
      <c r="E207" s="39" t="s">
        <v>1048</v>
      </c>
      <c r="F207" s="39" t="s">
        <v>286</v>
      </c>
      <c r="G207" s="44" t="s">
        <v>1957</v>
      </c>
      <c r="H207" s="44" t="s">
        <v>1958</v>
      </c>
      <c r="I207" s="39" t="s">
        <v>335</v>
      </c>
      <c r="J207" s="39" t="s">
        <v>2755</v>
      </c>
      <c r="K207" s="39" t="s">
        <v>255</v>
      </c>
      <c r="L207" s="45" t="s">
        <v>1044</v>
      </c>
    </row>
    <row r="208" ht="14.25" customHeight="1">
      <c r="A208" s="46" t="s">
        <v>1959</v>
      </c>
      <c r="B208" s="46" t="s">
        <v>1960</v>
      </c>
      <c r="C208" s="46" t="s">
        <v>2754</v>
      </c>
      <c r="D208" s="46">
        <v>208.0</v>
      </c>
      <c r="E208" s="46" t="s">
        <v>402</v>
      </c>
      <c r="F208" s="46" t="s">
        <v>246</v>
      </c>
      <c r="G208" s="48" t="s">
        <v>1963</v>
      </c>
      <c r="H208" s="48"/>
      <c r="I208" s="46" t="s">
        <v>335</v>
      </c>
      <c r="J208" s="46" t="s">
        <v>2755</v>
      </c>
      <c r="K208" s="46" t="s">
        <v>245</v>
      </c>
      <c r="L208" s="49" t="s">
        <v>1964</v>
      </c>
    </row>
    <row r="209" ht="14.25" customHeight="1">
      <c r="A209" s="39" t="s">
        <v>1965</v>
      </c>
      <c r="B209" s="39" t="s">
        <v>1966</v>
      </c>
      <c r="C209" s="39" t="s">
        <v>2754</v>
      </c>
      <c r="D209" s="39">
        <v>209.0</v>
      </c>
      <c r="E209" s="39" t="s">
        <v>1369</v>
      </c>
      <c r="F209" s="39" t="s">
        <v>286</v>
      </c>
      <c r="G209" s="44" t="s">
        <v>1969</v>
      </c>
      <c r="H209" s="44" t="s">
        <v>1970</v>
      </c>
      <c r="I209" s="39" t="s">
        <v>335</v>
      </c>
      <c r="J209" s="39" t="s">
        <v>2755</v>
      </c>
      <c r="K209" s="39" t="s">
        <v>255</v>
      </c>
      <c r="L209" s="45" t="s">
        <v>1044</v>
      </c>
    </row>
    <row r="210" ht="14.25" customHeight="1">
      <c r="A210" s="38" t="s">
        <v>1971</v>
      </c>
      <c r="B210" s="38" t="s">
        <v>1972</v>
      </c>
      <c r="C210" s="38" t="s">
        <v>2754</v>
      </c>
      <c r="D210" s="38">
        <v>210.0</v>
      </c>
      <c r="E210" s="38" t="s">
        <v>1086</v>
      </c>
      <c r="F210" s="38" t="s">
        <v>286</v>
      </c>
      <c r="G210" s="41" t="s">
        <v>1975</v>
      </c>
      <c r="H210" s="41" t="s">
        <v>1976</v>
      </c>
      <c r="I210" s="38" t="s">
        <v>335</v>
      </c>
      <c r="J210" s="38" t="s">
        <v>2755</v>
      </c>
      <c r="K210" s="38" t="s">
        <v>255</v>
      </c>
      <c r="L210" s="42" t="s">
        <v>1044</v>
      </c>
    </row>
    <row r="211" ht="14.25" customHeight="1">
      <c r="A211" s="39" t="s">
        <v>1977</v>
      </c>
      <c r="B211" s="39" t="s">
        <v>1978</v>
      </c>
      <c r="C211" s="39" t="s">
        <v>2754</v>
      </c>
      <c r="D211" s="39">
        <v>211.0</v>
      </c>
      <c r="E211" s="39" t="s">
        <v>239</v>
      </c>
      <c r="F211" s="39" t="s">
        <v>286</v>
      </c>
      <c r="G211" s="44" t="s">
        <v>1980</v>
      </c>
      <c r="H211" s="44" t="s">
        <v>1981</v>
      </c>
      <c r="I211" s="39" t="s">
        <v>335</v>
      </c>
      <c r="J211" s="39" t="s">
        <v>2755</v>
      </c>
      <c r="K211" s="39" t="s">
        <v>255</v>
      </c>
      <c r="L211" s="45" t="s">
        <v>1044</v>
      </c>
    </row>
    <row r="212" ht="14.25" customHeight="1">
      <c r="A212" s="38" t="s">
        <v>1982</v>
      </c>
      <c r="B212" s="38" t="s">
        <v>1983</v>
      </c>
      <c r="C212" s="38" t="s">
        <v>2754</v>
      </c>
      <c r="D212" s="38">
        <v>212.0</v>
      </c>
      <c r="E212" s="38" t="s">
        <v>1369</v>
      </c>
      <c r="F212" s="38" t="s">
        <v>286</v>
      </c>
      <c r="G212" s="41" t="s">
        <v>1985</v>
      </c>
      <c r="H212" s="41" t="s">
        <v>1986</v>
      </c>
      <c r="I212" s="38" t="s">
        <v>335</v>
      </c>
      <c r="J212" s="38" t="s">
        <v>2755</v>
      </c>
      <c r="K212" s="38" t="s">
        <v>255</v>
      </c>
      <c r="L212" s="42" t="s">
        <v>1044</v>
      </c>
    </row>
    <row r="213" ht="14.25" customHeight="1">
      <c r="A213" s="39" t="s">
        <v>1987</v>
      </c>
      <c r="B213" s="39" t="s">
        <v>1988</v>
      </c>
      <c r="C213" s="39" t="s">
        <v>2754</v>
      </c>
      <c r="D213" s="39">
        <v>213.0</v>
      </c>
      <c r="E213" s="39" t="s">
        <v>239</v>
      </c>
      <c r="F213" s="39" t="s">
        <v>286</v>
      </c>
      <c r="G213" s="44" t="s">
        <v>1990</v>
      </c>
      <c r="H213" s="44" t="s">
        <v>1991</v>
      </c>
      <c r="I213" s="39" t="s">
        <v>335</v>
      </c>
      <c r="J213" s="39" t="s">
        <v>2755</v>
      </c>
      <c r="K213" s="39" t="s">
        <v>255</v>
      </c>
      <c r="L213" s="45" t="s">
        <v>1044</v>
      </c>
    </row>
    <row r="214" ht="14.25" customHeight="1">
      <c r="A214" s="38" t="s">
        <v>1992</v>
      </c>
      <c r="B214" s="38" t="s">
        <v>1993</v>
      </c>
      <c r="C214" s="38" t="s">
        <v>2754</v>
      </c>
      <c r="D214" s="38">
        <v>214.0</v>
      </c>
      <c r="E214" s="38" t="s">
        <v>239</v>
      </c>
      <c r="F214" s="38" t="s">
        <v>286</v>
      </c>
      <c r="G214" s="41" t="s">
        <v>1995</v>
      </c>
      <c r="H214" s="41" t="s">
        <v>1996</v>
      </c>
      <c r="I214" s="38" t="s">
        <v>335</v>
      </c>
      <c r="J214" s="38" t="s">
        <v>2755</v>
      </c>
      <c r="K214" s="38" t="s">
        <v>255</v>
      </c>
      <c r="L214" s="42" t="s">
        <v>1044</v>
      </c>
    </row>
    <row r="215" ht="14.25" customHeight="1">
      <c r="A215" s="39" t="s">
        <v>1997</v>
      </c>
      <c r="B215" s="39" t="s">
        <v>1998</v>
      </c>
      <c r="C215" s="39" t="s">
        <v>2754</v>
      </c>
      <c r="D215" s="39">
        <v>215.0</v>
      </c>
      <c r="E215" s="39" t="s">
        <v>1048</v>
      </c>
      <c r="F215" s="39" t="s">
        <v>286</v>
      </c>
      <c r="G215" s="44" t="s">
        <v>1999</v>
      </c>
      <c r="H215" s="44" t="s">
        <v>2000</v>
      </c>
      <c r="I215" s="39" t="s">
        <v>335</v>
      </c>
      <c r="J215" s="39" t="s">
        <v>2755</v>
      </c>
      <c r="K215" s="39" t="s">
        <v>255</v>
      </c>
      <c r="L215" s="45" t="s">
        <v>1044</v>
      </c>
    </row>
    <row r="216" ht="14.25" customHeight="1">
      <c r="A216" s="38" t="s">
        <v>2001</v>
      </c>
      <c r="B216" s="38" t="s">
        <v>2002</v>
      </c>
      <c r="C216" s="38" t="s">
        <v>2754</v>
      </c>
      <c r="D216" s="38">
        <v>216.0</v>
      </c>
      <c r="E216" s="38" t="s">
        <v>386</v>
      </c>
      <c r="F216" s="38" t="s">
        <v>246</v>
      </c>
      <c r="G216" s="41" t="s">
        <v>2003</v>
      </c>
      <c r="H216" s="41"/>
      <c r="I216" s="38" t="s">
        <v>335</v>
      </c>
      <c r="J216" s="38" t="s">
        <v>2755</v>
      </c>
      <c r="K216" s="38" t="s">
        <v>255</v>
      </c>
      <c r="L216" s="42" t="s">
        <v>1044</v>
      </c>
    </row>
    <row r="217" ht="14.25" customHeight="1">
      <c r="A217" s="39" t="s">
        <v>2004</v>
      </c>
      <c r="B217" s="39" t="s">
        <v>2005</v>
      </c>
      <c r="C217" s="39" t="s">
        <v>2754</v>
      </c>
      <c r="D217" s="39">
        <v>217.0</v>
      </c>
      <c r="E217" s="39" t="s">
        <v>239</v>
      </c>
      <c r="F217" s="39" t="s">
        <v>246</v>
      </c>
      <c r="G217" s="44" t="s">
        <v>2006</v>
      </c>
      <c r="H217" s="44"/>
      <c r="I217" s="39" t="s">
        <v>335</v>
      </c>
      <c r="J217" s="39" t="s">
        <v>2755</v>
      </c>
      <c r="K217" s="39" t="s">
        <v>255</v>
      </c>
      <c r="L217" s="45" t="s">
        <v>1044</v>
      </c>
    </row>
    <row r="218" ht="14.25" customHeight="1">
      <c r="A218" s="38" t="s">
        <v>2007</v>
      </c>
      <c r="B218" s="38" t="s">
        <v>2008</v>
      </c>
      <c r="C218" s="38" t="s">
        <v>2754</v>
      </c>
      <c r="D218" s="38">
        <v>218.0</v>
      </c>
      <c r="E218" s="38" t="s">
        <v>386</v>
      </c>
      <c r="F218" s="38" t="s">
        <v>246</v>
      </c>
      <c r="G218" s="41" t="s">
        <v>2010</v>
      </c>
      <c r="H218" s="41"/>
      <c r="I218" s="38" t="s">
        <v>335</v>
      </c>
      <c r="J218" s="38" t="s">
        <v>2755</v>
      </c>
      <c r="K218" s="38" t="s">
        <v>255</v>
      </c>
      <c r="L218" s="42" t="s">
        <v>1044</v>
      </c>
    </row>
    <row r="219" ht="14.25" customHeight="1">
      <c r="A219" s="39" t="s">
        <v>2011</v>
      </c>
      <c r="B219" s="39" t="s">
        <v>2012</v>
      </c>
      <c r="C219" s="39" t="s">
        <v>2754</v>
      </c>
      <c r="D219" s="39">
        <v>219.0</v>
      </c>
      <c r="E219" s="39" t="s">
        <v>239</v>
      </c>
      <c r="F219" s="39" t="s">
        <v>246</v>
      </c>
      <c r="G219" s="44" t="s">
        <v>2013</v>
      </c>
      <c r="H219" s="44"/>
      <c r="I219" s="39" t="s">
        <v>335</v>
      </c>
      <c r="J219" s="39" t="s">
        <v>2755</v>
      </c>
      <c r="K219" s="39" t="s">
        <v>255</v>
      </c>
      <c r="L219" s="45" t="s">
        <v>1044</v>
      </c>
    </row>
    <row r="220" ht="14.25" customHeight="1">
      <c r="A220" s="38" t="s">
        <v>2014</v>
      </c>
      <c r="B220" s="38" t="s">
        <v>2015</v>
      </c>
      <c r="C220" s="38" t="s">
        <v>2754</v>
      </c>
      <c r="D220" s="38">
        <v>220.0</v>
      </c>
      <c r="E220" s="38" t="s">
        <v>239</v>
      </c>
      <c r="F220" s="38" t="s">
        <v>246</v>
      </c>
      <c r="G220" s="41" t="s">
        <v>2017</v>
      </c>
      <c r="H220" s="41"/>
      <c r="I220" s="38" t="s">
        <v>335</v>
      </c>
      <c r="J220" s="38" t="s">
        <v>2755</v>
      </c>
      <c r="K220" s="38" t="s">
        <v>255</v>
      </c>
      <c r="L220" s="42" t="s">
        <v>1044</v>
      </c>
    </row>
    <row r="221" ht="14.25" customHeight="1">
      <c r="A221" s="39" t="s">
        <v>2018</v>
      </c>
      <c r="B221" s="39" t="s">
        <v>2019</v>
      </c>
      <c r="C221" s="39" t="s">
        <v>2754</v>
      </c>
      <c r="D221" s="39">
        <v>221.0</v>
      </c>
      <c r="E221" s="39" t="s">
        <v>1048</v>
      </c>
      <c r="F221" s="39" t="s">
        <v>286</v>
      </c>
      <c r="G221" s="44" t="s">
        <v>2021</v>
      </c>
      <c r="H221" s="44" t="s">
        <v>2022</v>
      </c>
      <c r="I221" s="39" t="s">
        <v>335</v>
      </c>
      <c r="J221" s="39" t="s">
        <v>2755</v>
      </c>
      <c r="K221" s="39" t="s">
        <v>255</v>
      </c>
      <c r="L221" s="45" t="s">
        <v>1044</v>
      </c>
    </row>
    <row r="222" ht="14.25" customHeight="1">
      <c r="A222" s="38" t="s">
        <v>2023</v>
      </c>
      <c r="B222" s="38" t="s">
        <v>2024</v>
      </c>
      <c r="C222" s="38" t="s">
        <v>2754</v>
      </c>
      <c r="D222" s="38">
        <v>222.0</v>
      </c>
      <c r="E222" s="38" t="s">
        <v>239</v>
      </c>
      <c r="F222" s="38" t="s">
        <v>286</v>
      </c>
      <c r="G222" s="41" t="s">
        <v>2025</v>
      </c>
      <c r="H222" s="41" t="s">
        <v>2026</v>
      </c>
      <c r="I222" s="38" t="s">
        <v>335</v>
      </c>
      <c r="J222" s="38" t="s">
        <v>2755</v>
      </c>
      <c r="K222" s="38" t="s">
        <v>255</v>
      </c>
      <c r="L222" s="42" t="s">
        <v>1044</v>
      </c>
    </row>
    <row r="223" ht="14.25" customHeight="1">
      <c r="A223" s="39" t="s">
        <v>2027</v>
      </c>
      <c r="B223" s="39" t="s">
        <v>2028</v>
      </c>
      <c r="C223" s="39" t="s">
        <v>2754</v>
      </c>
      <c r="D223" s="39">
        <v>223.0</v>
      </c>
      <c r="E223" s="39" t="s">
        <v>1048</v>
      </c>
      <c r="F223" s="39" t="s">
        <v>286</v>
      </c>
      <c r="G223" s="44" t="s">
        <v>2029</v>
      </c>
      <c r="H223" s="44" t="s">
        <v>2030</v>
      </c>
      <c r="I223" s="39" t="s">
        <v>335</v>
      </c>
      <c r="J223" s="39" t="s">
        <v>2755</v>
      </c>
      <c r="K223" s="39" t="s">
        <v>255</v>
      </c>
      <c r="L223" s="45" t="s">
        <v>1044</v>
      </c>
    </row>
    <row r="224" ht="14.25" customHeight="1">
      <c r="A224" s="38" t="s">
        <v>2031</v>
      </c>
      <c r="B224" s="38" t="s">
        <v>2032</v>
      </c>
      <c r="C224" s="38" t="s">
        <v>2754</v>
      </c>
      <c r="D224" s="38">
        <v>224.0</v>
      </c>
      <c r="E224" s="38" t="s">
        <v>239</v>
      </c>
      <c r="F224" s="38" t="s">
        <v>286</v>
      </c>
      <c r="G224" s="41" t="s">
        <v>2034</v>
      </c>
      <c r="H224" s="41" t="s">
        <v>2035</v>
      </c>
      <c r="I224" s="38" t="s">
        <v>335</v>
      </c>
      <c r="J224" s="38" t="s">
        <v>2755</v>
      </c>
      <c r="K224" s="38" t="s">
        <v>255</v>
      </c>
      <c r="L224" s="42" t="s">
        <v>1044</v>
      </c>
    </row>
    <row r="225" ht="14.25" customHeight="1">
      <c r="A225" s="39" t="s">
        <v>2036</v>
      </c>
      <c r="B225" s="39" t="s">
        <v>2037</v>
      </c>
      <c r="C225" s="39" t="s">
        <v>2754</v>
      </c>
      <c r="D225" s="39">
        <v>225.0</v>
      </c>
      <c r="E225" s="39" t="s">
        <v>1119</v>
      </c>
      <c r="F225" s="39" t="s">
        <v>246</v>
      </c>
      <c r="G225" s="44" t="s">
        <v>2038</v>
      </c>
      <c r="H225" s="44"/>
      <c r="I225" s="39" t="s">
        <v>335</v>
      </c>
      <c r="J225" s="39" t="s">
        <v>2755</v>
      </c>
      <c r="K225" s="39" t="s">
        <v>255</v>
      </c>
      <c r="L225" s="45" t="s">
        <v>1044</v>
      </c>
    </row>
    <row r="226" ht="14.25" customHeight="1">
      <c r="A226" s="38" t="s">
        <v>2039</v>
      </c>
      <c r="B226" s="38" t="s">
        <v>2040</v>
      </c>
      <c r="C226" s="38" t="s">
        <v>2754</v>
      </c>
      <c r="D226" s="38">
        <v>226.0</v>
      </c>
      <c r="E226" s="38" t="s">
        <v>239</v>
      </c>
      <c r="F226" s="38" t="s">
        <v>246</v>
      </c>
      <c r="G226" s="41" t="s">
        <v>2042</v>
      </c>
      <c r="H226" s="41"/>
      <c r="I226" s="38" t="s">
        <v>335</v>
      </c>
      <c r="J226" s="38" t="s">
        <v>2755</v>
      </c>
      <c r="K226" s="38" t="s">
        <v>255</v>
      </c>
      <c r="L226" s="42" t="s">
        <v>1044</v>
      </c>
    </row>
    <row r="227" ht="14.25" customHeight="1">
      <c r="A227" s="39" t="s">
        <v>2043</v>
      </c>
      <c r="B227" s="39" t="s">
        <v>2044</v>
      </c>
      <c r="C227" s="39" t="s">
        <v>2754</v>
      </c>
      <c r="D227" s="39">
        <v>227.0</v>
      </c>
      <c r="E227" s="39" t="s">
        <v>239</v>
      </c>
      <c r="F227" s="39" t="s">
        <v>246</v>
      </c>
      <c r="G227" s="44" t="s">
        <v>2046</v>
      </c>
      <c r="H227" s="44"/>
      <c r="I227" s="39" t="s">
        <v>335</v>
      </c>
      <c r="J227" s="39" t="s">
        <v>2755</v>
      </c>
      <c r="K227" s="39" t="s">
        <v>255</v>
      </c>
      <c r="L227" s="45" t="s">
        <v>1044</v>
      </c>
    </row>
    <row r="228" ht="14.25" customHeight="1">
      <c r="A228" s="38" t="s">
        <v>2047</v>
      </c>
      <c r="B228" s="38" t="s">
        <v>2048</v>
      </c>
      <c r="C228" s="38" t="s">
        <v>2754</v>
      </c>
      <c r="D228" s="38">
        <v>228.0</v>
      </c>
      <c r="E228" s="38" t="s">
        <v>239</v>
      </c>
      <c r="F228" s="38" t="s">
        <v>246</v>
      </c>
      <c r="G228" s="41" t="s">
        <v>2049</v>
      </c>
      <c r="H228" s="41"/>
      <c r="I228" s="38" t="s">
        <v>335</v>
      </c>
      <c r="J228" s="38" t="s">
        <v>2755</v>
      </c>
      <c r="K228" s="38" t="s">
        <v>255</v>
      </c>
      <c r="L228" s="42" t="s">
        <v>1044</v>
      </c>
    </row>
    <row r="229" ht="14.25" customHeight="1">
      <c r="A229" s="39" t="s">
        <v>2050</v>
      </c>
      <c r="B229" s="39" t="s">
        <v>2051</v>
      </c>
      <c r="C229" s="39" t="s">
        <v>2754</v>
      </c>
      <c r="D229" s="39">
        <v>229.0</v>
      </c>
      <c r="E229" s="39" t="s">
        <v>1369</v>
      </c>
      <c r="F229" s="39" t="s">
        <v>246</v>
      </c>
      <c r="G229" s="44" t="s">
        <v>2052</v>
      </c>
      <c r="H229" s="44"/>
      <c r="I229" s="39" t="s">
        <v>335</v>
      </c>
      <c r="J229" s="39" t="s">
        <v>2755</v>
      </c>
      <c r="K229" s="39" t="s">
        <v>255</v>
      </c>
      <c r="L229" s="45" t="s">
        <v>1044</v>
      </c>
    </row>
    <row r="230" ht="14.25" customHeight="1">
      <c r="A230" s="38" t="s">
        <v>2053</v>
      </c>
      <c r="B230" s="38" t="s">
        <v>2054</v>
      </c>
      <c r="C230" s="38" t="s">
        <v>2754</v>
      </c>
      <c r="D230" s="38">
        <v>230.0</v>
      </c>
      <c r="E230" s="38" t="s">
        <v>1369</v>
      </c>
      <c r="F230" s="38" t="s">
        <v>246</v>
      </c>
      <c r="G230" s="41" t="s">
        <v>2055</v>
      </c>
      <c r="H230" s="41"/>
      <c r="I230" s="38" t="s">
        <v>335</v>
      </c>
      <c r="J230" s="38" t="s">
        <v>2755</v>
      </c>
      <c r="K230" s="38" t="s">
        <v>255</v>
      </c>
      <c r="L230" s="42" t="s">
        <v>1044</v>
      </c>
    </row>
    <row r="231" ht="14.25" customHeight="1">
      <c r="A231" s="39" t="s">
        <v>2056</v>
      </c>
      <c r="B231" s="39" t="s">
        <v>2057</v>
      </c>
      <c r="C231" s="39" t="s">
        <v>2754</v>
      </c>
      <c r="D231" s="39">
        <v>231.0</v>
      </c>
      <c r="E231" s="39" t="s">
        <v>1369</v>
      </c>
      <c r="F231" s="39" t="s">
        <v>246</v>
      </c>
      <c r="G231" s="44" t="s">
        <v>2058</v>
      </c>
      <c r="H231" s="44"/>
      <c r="I231" s="39" t="s">
        <v>335</v>
      </c>
      <c r="J231" s="39" t="s">
        <v>2755</v>
      </c>
      <c r="K231" s="39" t="s">
        <v>255</v>
      </c>
      <c r="L231" s="45" t="s">
        <v>1044</v>
      </c>
    </row>
    <row r="232" ht="14.25" customHeight="1">
      <c r="A232" s="38" t="s">
        <v>2059</v>
      </c>
      <c r="B232" s="38" t="s">
        <v>2060</v>
      </c>
      <c r="C232" s="38" t="s">
        <v>2754</v>
      </c>
      <c r="D232" s="38">
        <v>232.0</v>
      </c>
      <c r="E232" s="38" t="s">
        <v>239</v>
      </c>
      <c r="F232" s="38" t="s">
        <v>246</v>
      </c>
      <c r="G232" s="41" t="s">
        <v>2062</v>
      </c>
      <c r="H232" s="41"/>
      <c r="I232" s="38" t="s">
        <v>335</v>
      </c>
      <c r="J232" s="38" t="s">
        <v>2755</v>
      </c>
      <c r="K232" s="38" t="s">
        <v>255</v>
      </c>
      <c r="L232" s="42" t="s">
        <v>1044</v>
      </c>
    </row>
    <row r="233" ht="14.25" customHeight="1">
      <c r="A233" s="39" t="s">
        <v>2063</v>
      </c>
      <c r="B233" s="39" t="s">
        <v>2064</v>
      </c>
      <c r="C233" s="39" t="s">
        <v>2754</v>
      </c>
      <c r="D233" s="39">
        <v>233.0</v>
      </c>
      <c r="E233" s="39" t="s">
        <v>239</v>
      </c>
      <c r="F233" s="39" t="s">
        <v>246</v>
      </c>
      <c r="G233" s="44" t="s">
        <v>2065</v>
      </c>
      <c r="H233" s="44"/>
      <c r="I233" s="39" t="s">
        <v>335</v>
      </c>
      <c r="J233" s="39" t="s">
        <v>2755</v>
      </c>
      <c r="K233" s="39" t="s">
        <v>255</v>
      </c>
      <c r="L233" s="45" t="s">
        <v>1044</v>
      </c>
    </row>
    <row r="234" ht="14.25" customHeight="1">
      <c r="A234" s="38" t="s">
        <v>2066</v>
      </c>
      <c r="B234" s="38" t="s">
        <v>452</v>
      </c>
      <c r="C234" s="38" t="s">
        <v>2754</v>
      </c>
      <c r="D234" s="38">
        <v>234.0</v>
      </c>
      <c r="E234" s="38" t="s">
        <v>1048</v>
      </c>
      <c r="F234" s="38" t="s">
        <v>246</v>
      </c>
      <c r="G234" s="41" t="s">
        <v>2067</v>
      </c>
      <c r="H234" s="41"/>
      <c r="I234" s="38" t="s">
        <v>335</v>
      </c>
      <c r="J234" s="38" t="s">
        <v>2755</v>
      </c>
      <c r="K234" s="38" t="s">
        <v>255</v>
      </c>
      <c r="L234" s="42" t="s">
        <v>1044</v>
      </c>
    </row>
    <row r="235" ht="14.25" customHeight="1">
      <c r="A235" s="39" t="s">
        <v>2068</v>
      </c>
      <c r="B235" s="39" t="s">
        <v>2069</v>
      </c>
      <c r="C235" s="39" t="s">
        <v>2754</v>
      </c>
      <c r="D235" s="39">
        <v>235.0</v>
      </c>
      <c r="E235" s="39" t="s">
        <v>239</v>
      </c>
      <c r="F235" s="39" t="s">
        <v>246</v>
      </c>
      <c r="G235" s="44" t="s">
        <v>2071</v>
      </c>
      <c r="H235" s="44"/>
      <c r="I235" s="39" t="s">
        <v>335</v>
      </c>
      <c r="J235" s="39" t="s">
        <v>2755</v>
      </c>
      <c r="K235" s="39" t="s">
        <v>255</v>
      </c>
      <c r="L235" s="45" t="s">
        <v>1044</v>
      </c>
    </row>
    <row r="236" ht="14.25" customHeight="1">
      <c r="A236" s="38" t="s">
        <v>2072</v>
      </c>
      <c r="B236" s="38" t="s">
        <v>2073</v>
      </c>
      <c r="C236" s="38" t="s">
        <v>2754</v>
      </c>
      <c r="D236" s="38">
        <v>236.0</v>
      </c>
      <c r="E236" s="38" t="s">
        <v>1048</v>
      </c>
      <c r="F236" s="38" t="s">
        <v>246</v>
      </c>
      <c r="G236" s="41" t="s">
        <v>2075</v>
      </c>
      <c r="H236" s="41"/>
      <c r="I236" s="38" t="s">
        <v>335</v>
      </c>
      <c r="J236" s="38" t="s">
        <v>2755</v>
      </c>
      <c r="K236" s="38" t="s">
        <v>255</v>
      </c>
      <c r="L236" s="42" t="s">
        <v>1044</v>
      </c>
    </row>
    <row r="237" ht="14.25" customHeight="1">
      <c r="A237" s="39" t="s">
        <v>2076</v>
      </c>
      <c r="B237" s="39" t="s">
        <v>2077</v>
      </c>
      <c r="C237" s="39" t="s">
        <v>2754</v>
      </c>
      <c r="D237" s="39">
        <v>237.0</v>
      </c>
      <c r="E237" s="39" t="s">
        <v>239</v>
      </c>
      <c r="F237" s="39" t="s">
        <v>246</v>
      </c>
      <c r="G237" s="44" t="s">
        <v>2078</v>
      </c>
      <c r="H237" s="44"/>
      <c r="I237" s="39" t="s">
        <v>335</v>
      </c>
      <c r="J237" s="39" t="s">
        <v>2755</v>
      </c>
      <c r="K237" s="39" t="s">
        <v>255</v>
      </c>
      <c r="L237" s="45" t="s">
        <v>1044</v>
      </c>
    </row>
    <row r="238" ht="14.25" customHeight="1">
      <c r="A238" s="38" t="s">
        <v>2079</v>
      </c>
      <c r="B238" s="38" t="s">
        <v>2080</v>
      </c>
      <c r="C238" s="38" t="s">
        <v>2754</v>
      </c>
      <c r="D238" s="38">
        <v>238.0</v>
      </c>
      <c r="E238" s="38" t="s">
        <v>239</v>
      </c>
      <c r="F238" s="38" t="s">
        <v>246</v>
      </c>
      <c r="G238" s="41" t="s">
        <v>2081</v>
      </c>
      <c r="H238" s="41"/>
      <c r="I238" s="38" t="s">
        <v>335</v>
      </c>
      <c r="J238" s="38" t="s">
        <v>2755</v>
      </c>
      <c r="K238" s="38" t="s">
        <v>255</v>
      </c>
      <c r="L238" s="42" t="s">
        <v>1044</v>
      </c>
    </row>
    <row r="239" ht="14.25" customHeight="1">
      <c r="A239" s="39" t="s">
        <v>2082</v>
      </c>
      <c r="B239" s="39" t="s">
        <v>2083</v>
      </c>
      <c r="C239" s="39" t="s">
        <v>2754</v>
      </c>
      <c r="D239" s="39">
        <v>239.0</v>
      </c>
      <c r="E239" s="39" t="s">
        <v>1086</v>
      </c>
      <c r="F239" s="39" t="s">
        <v>246</v>
      </c>
      <c r="G239" s="44" t="s">
        <v>2085</v>
      </c>
      <c r="H239" s="44"/>
      <c r="I239" s="39" t="s">
        <v>335</v>
      </c>
      <c r="J239" s="39" t="s">
        <v>2755</v>
      </c>
      <c r="K239" s="39" t="s">
        <v>255</v>
      </c>
      <c r="L239" s="45" t="s">
        <v>1044</v>
      </c>
    </row>
    <row r="240" ht="14.25" customHeight="1">
      <c r="A240" s="38" t="s">
        <v>2086</v>
      </c>
      <c r="B240" s="38" t="s">
        <v>2087</v>
      </c>
      <c r="C240" s="38" t="s">
        <v>2754</v>
      </c>
      <c r="D240" s="38">
        <v>240.0</v>
      </c>
      <c r="E240" s="38" t="s">
        <v>239</v>
      </c>
      <c r="F240" s="38" t="s">
        <v>246</v>
      </c>
      <c r="G240" s="41" t="s">
        <v>2089</v>
      </c>
      <c r="H240" s="41"/>
      <c r="I240" s="38" t="s">
        <v>335</v>
      </c>
      <c r="J240" s="38" t="s">
        <v>2755</v>
      </c>
      <c r="K240" s="38" t="s">
        <v>255</v>
      </c>
      <c r="L240" s="42" t="s">
        <v>1044</v>
      </c>
    </row>
    <row r="241" ht="14.25" customHeight="1">
      <c r="A241" s="39" t="s">
        <v>2090</v>
      </c>
      <c r="B241" s="39" t="s">
        <v>2091</v>
      </c>
      <c r="C241" s="39" t="s">
        <v>2754</v>
      </c>
      <c r="D241" s="39">
        <v>241.0</v>
      </c>
      <c r="E241" s="39" t="s">
        <v>239</v>
      </c>
      <c r="F241" s="39" t="s">
        <v>246</v>
      </c>
      <c r="G241" s="44" t="s">
        <v>2093</v>
      </c>
      <c r="H241" s="44"/>
      <c r="I241" s="39" t="s">
        <v>335</v>
      </c>
      <c r="J241" s="39" t="s">
        <v>2755</v>
      </c>
      <c r="K241" s="39" t="s">
        <v>255</v>
      </c>
      <c r="L241" s="45" t="s">
        <v>1044</v>
      </c>
    </row>
    <row r="242" ht="14.25" customHeight="1">
      <c r="A242" s="38" t="s">
        <v>2094</v>
      </c>
      <c r="B242" s="38" t="s">
        <v>2095</v>
      </c>
      <c r="C242" s="38" t="s">
        <v>2754</v>
      </c>
      <c r="D242" s="38">
        <v>242.0</v>
      </c>
      <c r="E242" s="38" t="s">
        <v>1086</v>
      </c>
      <c r="F242" s="38" t="s">
        <v>246</v>
      </c>
      <c r="G242" s="41" t="s">
        <v>2097</v>
      </c>
      <c r="H242" s="41"/>
      <c r="I242" s="38" t="s">
        <v>335</v>
      </c>
      <c r="J242" s="38" t="s">
        <v>2755</v>
      </c>
      <c r="K242" s="38" t="s">
        <v>255</v>
      </c>
      <c r="L242" s="42" t="s">
        <v>1044</v>
      </c>
    </row>
    <row r="243" ht="14.25" customHeight="1">
      <c r="A243" s="39" t="s">
        <v>2098</v>
      </c>
      <c r="B243" s="39" t="s">
        <v>2099</v>
      </c>
      <c r="C243" s="39" t="s">
        <v>2754</v>
      </c>
      <c r="D243" s="39">
        <v>243.0</v>
      </c>
      <c r="E243" s="39" t="s">
        <v>1724</v>
      </c>
      <c r="F243" s="39" t="s">
        <v>246</v>
      </c>
      <c r="G243" s="44" t="s">
        <v>2101</v>
      </c>
      <c r="H243" s="44"/>
      <c r="I243" s="39" t="s">
        <v>335</v>
      </c>
      <c r="J243" s="39" t="s">
        <v>2755</v>
      </c>
      <c r="K243" s="39" t="s">
        <v>255</v>
      </c>
      <c r="L243" s="45" t="s">
        <v>1044</v>
      </c>
    </row>
    <row r="244" ht="14.25" customHeight="1">
      <c r="A244" s="38" t="s">
        <v>2102</v>
      </c>
      <c r="B244" s="38" t="s">
        <v>2103</v>
      </c>
      <c r="C244" s="38" t="s">
        <v>2754</v>
      </c>
      <c r="D244" s="38">
        <v>244.0</v>
      </c>
      <c r="E244" s="38" t="s">
        <v>239</v>
      </c>
      <c r="F244" s="38" t="s">
        <v>246</v>
      </c>
      <c r="G244" s="41" t="s">
        <v>2104</v>
      </c>
      <c r="H244" s="41"/>
      <c r="I244" s="38" t="s">
        <v>335</v>
      </c>
      <c r="J244" s="38" t="s">
        <v>2755</v>
      </c>
      <c r="K244" s="38" t="s">
        <v>255</v>
      </c>
      <c r="L244" s="42" t="s">
        <v>1044</v>
      </c>
    </row>
    <row r="245" ht="14.25" customHeight="1">
      <c r="A245" s="39" t="s">
        <v>2105</v>
      </c>
      <c r="B245" s="39" t="s">
        <v>2106</v>
      </c>
      <c r="C245" s="39" t="s">
        <v>2754</v>
      </c>
      <c r="D245" s="39">
        <v>245.0</v>
      </c>
      <c r="E245" s="39" t="s">
        <v>1724</v>
      </c>
      <c r="F245" s="39" t="s">
        <v>246</v>
      </c>
      <c r="G245" s="44" t="s">
        <v>2108</v>
      </c>
      <c r="H245" s="44"/>
      <c r="I245" s="39" t="s">
        <v>335</v>
      </c>
      <c r="J245" s="39" t="s">
        <v>2755</v>
      </c>
      <c r="K245" s="39" t="s">
        <v>255</v>
      </c>
      <c r="L245" s="45" t="s">
        <v>1044</v>
      </c>
    </row>
    <row r="246" ht="14.25" customHeight="1">
      <c r="A246" s="38" t="s">
        <v>2109</v>
      </c>
      <c r="B246" s="38" t="s">
        <v>2110</v>
      </c>
      <c r="C246" s="38" t="s">
        <v>2754</v>
      </c>
      <c r="D246" s="38">
        <v>246.0</v>
      </c>
      <c r="E246" s="38" t="s">
        <v>1369</v>
      </c>
      <c r="F246" s="38" t="s">
        <v>246</v>
      </c>
      <c r="G246" s="41" t="s">
        <v>2111</v>
      </c>
      <c r="H246" s="41"/>
      <c r="I246" s="38" t="s">
        <v>335</v>
      </c>
      <c r="J246" s="38" t="s">
        <v>2755</v>
      </c>
      <c r="K246" s="38" t="s">
        <v>255</v>
      </c>
      <c r="L246" s="42" t="s">
        <v>1044</v>
      </c>
    </row>
    <row r="247" ht="14.25" customHeight="1">
      <c r="A247" s="39" t="s">
        <v>2112</v>
      </c>
      <c r="B247" s="39" t="s">
        <v>2113</v>
      </c>
      <c r="C247" s="39" t="s">
        <v>2754</v>
      </c>
      <c r="D247" s="39">
        <v>247.0</v>
      </c>
      <c r="E247" s="39" t="s">
        <v>239</v>
      </c>
      <c r="F247" s="39" t="s">
        <v>246</v>
      </c>
      <c r="G247" s="44" t="s">
        <v>2114</v>
      </c>
      <c r="H247" s="44"/>
      <c r="I247" s="39" t="s">
        <v>335</v>
      </c>
      <c r="J247" s="39" t="s">
        <v>2755</v>
      </c>
      <c r="K247" s="39" t="s">
        <v>255</v>
      </c>
      <c r="L247" s="45" t="s">
        <v>1044</v>
      </c>
    </row>
    <row r="248" ht="14.25" customHeight="1">
      <c r="A248" s="38" t="s">
        <v>2115</v>
      </c>
      <c r="B248" s="38" t="s">
        <v>2116</v>
      </c>
      <c r="C248" s="38" t="s">
        <v>2754</v>
      </c>
      <c r="D248" s="38">
        <v>248.0</v>
      </c>
      <c r="E248" s="38" t="s">
        <v>239</v>
      </c>
      <c r="F248" s="38" t="s">
        <v>246</v>
      </c>
      <c r="G248" s="41" t="s">
        <v>2117</v>
      </c>
      <c r="H248" s="41"/>
      <c r="I248" s="38" t="s">
        <v>335</v>
      </c>
      <c r="J248" s="38" t="s">
        <v>2755</v>
      </c>
      <c r="K248" s="38" t="s">
        <v>255</v>
      </c>
      <c r="L248" s="42" t="s">
        <v>1044</v>
      </c>
    </row>
    <row r="249" ht="14.25" customHeight="1">
      <c r="A249" s="39" t="s">
        <v>2118</v>
      </c>
      <c r="B249" s="39" t="s">
        <v>2119</v>
      </c>
      <c r="C249" s="39" t="s">
        <v>2754</v>
      </c>
      <c r="D249" s="39">
        <v>249.0</v>
      </c>
      <c r="E249" s="39" t="s">
        <v>239</v>
      </c>
      <c r="F249" s="39" t="s">
        <v>246</v>
      </c>
      <c r="G249" s="44" t="s">
        <v>2121</v>
      </c>
      <c r="H249" s="44"/>
      <c r="I249" s="39" t="s">
        <v>335</v>
      </c>
      <c r="J249" s="39" t="s">
        <v>2755</v>
      </c>
      <c r="K249" s="39" t="s">
        <v>255</v>
      </c>
      <c r="L249" s="45" t="s">
        <v>1044</v>
      </c>
    </row>
    <row r="250" ht="14.25" customHeight="1">
      <c r="A250" s="38" t="s">
        <v>2122</v>
      </c>
      <c r="B250" s="38" t="s">
        <v>2123</v>
      </c>
      <c r="C250" s="38" t="s">
        <v>2754</v>
      </c>
      <c r="D250" s="38">
        <v>250.0</v>
      </c>
      <c r="E250" s="38" t="s">
        <v>239</v>
      </c>
      <c r="F250" s="38" t="s">
        <v>246</v>
      </c>
      <c r="G250" s="41" t="s">
        <v>2124</v>
      </c>
      <c r="H250" s="41"/>
      <c r="I250" s="38" t="s">
        <v>335</v>
      </c>
      <c r="J250" s="38" t="s">
        <v>2755</v>
      </c>
      <c r="K250" s="38" t="s">
        <v>255</v>
      </c>
      <c r="L250" s="42" t="s">
        <v>1044</v>
      </c>
    </row>
    <row r="251" ht="14.25" customHeight="1">
      <c r="A251" s="39" t="s">
        <v>2125</v>
      </c>
      <c r="B251" s="39" t="s">
        <v>2126</v>
      </c>
      <c r="C251" s="39" t="s">
        <v>2754</v>
      </c>
      <c r="D251" s="39">
        <v>251.0</v>
      </c>
      <c r="E251" s="39" t="s">
        <v>239</v>
      </c>
      <c r="F251" s="39" t="s">
        <v>246</v>
      </c>
      <c r="G251" s="44" t="s">
        <v>2128</v>
      </c>
      <c r="H251" s="44"/>
      <c r="I251" s="39" t="s">
        <v>335</v>
      </c>
      <c r="J251" s="39" t="s">
        <v>2755</v>
      </c>
      <c r="K251" s="39" t="s">
        <v>255</v>
      </c>
      <c r="L251" s="45" t="s">
        <v>1044</v>
      </c>
    </row>
    <row r="252" ht="14.25" customHeight="1">
      <c r="A252" s="38" t="s">
        <v>2129</v>
      </c>
      <c r="B252" s="38" t="s">
        <v>2130</v>
      </c>
      <c r="C252" s="38" t="s">
        <v>2754</v>
      </c>
      <c r="D252" s="38">
        <v>252.0</v>
      </c>
      <c r="E252" s="38" t="s">
        <v>239</v>
      </c>
      <c r="F252" s="38" t="s">
        <v>246</v>
      </c>
      <c r="G252" s="41" t="s">
        <v>2132</v>
      </c>
      <c r="H252" s="41"/>
      <c r="I252" s="38" t="s">
        <v>335</v>
      </c>
      <c r="J252" s="38" t="s">
        <v>2755</v>
      </c>
      <c r="K252" s="38" t="s">
        <v>255</v>
      </c>
      <c r="L252" s="42" t="s">
        <v>1044</v>
      </c>
    </row>
    <row r="253" ht="14.25" customHeight="1">
      <c r="A253" s="39" t="s">
        <v>2133</v>
      </c>
      <c r="B253" s="39" t="s">
        <v>2134</v>
      </c>
      <c r="C253" s="39" t="s">
        <v>2754</v>
      </c>
      <c r="D253" s="39">
        <v>253.0</v>
      </c>
      <c r="E253" s="39" t="s">
        <v>239</v>
      </c>
      <c r="F253" s="39" t="s">
        <v>246</v>
      </c>
      <c r="G253" s="44" t="s">
        <v>2136</v>
      </c>
      <c r="H253" s="44"/>
      <c r="I253" s="39" t="s">
        <v>335</v>
      </c>
      <c r="J253" s="39" t="s">
        <v>2755</v>
      </c>
      <c r="K253" s="39" t="s">
        <v>255</v>
      </c>
      <c r="L253" s="45" t="s">
        <v>1044</v>
      </c>
    </row>
    <row r="254" ht="14.25" customHeight="1">
      <c r="A254" s="38" t="s">
        <v>2137</v>
      </c>
      <c r="B254" s="38" t="s">
        <v>2138</v>
      </c>
      <c r="C254" s="38" t="s">
        <v>2754</v>
      </c>
      <c r="D254" s="38">
        <v>254.0</v>
      </c>
      <c r="E254" s="38" t="s">
        <v>239</v>
      </c>
      <c r="F254" s="38" t="s">
        <v>246</v>
      </c>
      <c r="G254" s="41" t="s">
        <v>2139</v>
      </c>
      <c r="H254" s="41"/>
      <c r="I254" s="38" t="s">
        <v>335</v>
      </c>
      <c r="J254" s="38" t="s">
        <v>2755</v>
      </c>
      <c r="K254" s="38" t="s">
        <v>255</v>
      </c>
      <c r="L254" s="42" t="s">
        <v>1044</v>
      </c>
    </row>
    <row r="255" ht="14.25" customHeight="1">
      <c r="A255" s="39" t="s">
        <v>2140</v>
      </c>
      <c r="B255" s="39" t="s">
        <v>2141</v>
      </c>
      <c r="C255" s="39" t="s">
        <v>2754</v>
      </c>
      <c r="D255" s="39">
        <v>255.0</v>
      </c>
      <c r="E255" s="39" t="s">
        <v>239</v>
      </c>
      <c r="F255" s="39" t="s">
        <v>246</v>
      </c>
      <c r="G255" s="44" t="s">
        <v>2142</v>
      </c>
      <c r="H255" s="44"/>
      <c r="I255" s="39" t="s">
        <v>335</v>
      </c>
      <c r="J255" s="39" t="s">
        <v>2755</v>
      </c>
      <c r="K255" s="39" t="s">
        <v>255</v>
      </c>
      <c r="L255" s="45" t="s">
        <v>1044</v>
      </c>
    </row>
    <row r="256" ht="14.25" customHeight="1">
      <c r="A256" s="38" t="s">
        <v>2143</v>
      </c>
      <c r="B256" s="38" t="s">
        <v>2144</v>
      </c>
      <c r="C256" s="38" t="s">
        <v>2754</v>
      </c>
      <c r="D256" s="38">
        <v>256.0</v>
      </c>
      <c r="E256" s="38" t="s">
        <v>239</v>
      </c>
      <c r="F256" s="38" t="s">
        <v>246</v>
      </c>
      <c r="G256" s="41" t="s">
        <v>2146</v>
      </c>
      <c r="H256" s="41"/>
      <c r="I256" s="38" t="s">
        <v>335</v>
      </c>
      <c r="J256" s="38" t="s">
        <v>2755</v>
      </c>
      <c r="K256" s="38" t="s">
        <v>255</v>
      </c>
      <c r="L256" s="42" t="s">
        <v>1044</v>
      </c>
    </row>
    <row r="257" ht="14.25" customHeight="1">
      <c r="A257" s="39" t="s">
        <v>2147</v>
      </c>
      <c r="B257" s="39" t="s">
        <v>2148</v>
      </c>
      <c r="C257" s="39" t="s">
        <v>2754</v>
      </c>
      <c r="D257" s="39">
        <v>257.0</v>
      </c>
      <c r="E257" s="39" t="s">
        <v>239</v>
      </c>
      <c r="F257" s="39" t="s">
        <v>246</v>
      </c>
      <c r="G257" s="44" t="s">
        <v>2149</v>
      </c>
      <c r="H257" s="44"/>
      <c r="I257" s="39" t="s">
        <v>335</v>
      </c>
      <c r="J257" s="39" t="s">
        <v>2755</v>
      </c>
      <c r="K257" s="39" t="s">
        <v>255</v>
      </c>
      <c r="L257" s="45" t="s">
        <v>1044</v>
      </c>
    </row>
    <row r="258" ht="14.25" customHeight="1">
      <c r="A258" s="38" t="s">
        <v>2150</v>
      </c>
      <c r="B258" s="38" t="s">
        <v>2151</v>
      </c>
      <c r="C258" s="38" t="s">
        <v>2754</v>
      </c>
      <c r="D258" s="38">
        <v>258.0</v>
      </c>
      <c r="E258" s="38" t="s">
        <v>239</v>
      </c>
      <c r="F258" s="38" t="s">
        <v>246</v>
      </c>
      <c r="G258" s="41" t="s">
        <v>2152</v>
      </c>
      <c r="H258" s="41"/>
      <c r="I258" s="38" t="s">
        <v>335</v>
      </c>
      <c r="J258" s="38" t="s">
        <v>2755</v>
      </c>
      <c r="K258" s="38" t="s">
        <v>255</v>
      </c>
      <c r="L258" s="42" t="s">
        <v>1044</v>
      </c>
    </row>
    <row r="259" ht="14.25" customHeight="1">
      <c r="A259" s="39" t="s">
        <v>2153</v>
      </c>
      <c r="B259" s="39" t="s">
        <v>2154</v>
      </c>
      <c r="C259" s="39" t="s">
        <v>2754</v>
      </c>
      <c r="D259" s="39">
        <v>259.0</v>
      </c>
      <c r="E259" s="39" t="s">
        <v>239</v>
      </c>
      <c r="F259" s="39" t="s">
        <v>246</v>
      </c>
      <c r="G259" s="44" t="s">
        <v>2156</v>
      </c>
      <c r="H259" s="44"/>
      <c r="I259" s="39" t="s">
        <v>335</v>
      </c>
      <c r="J259" s="39" t="s">
        <v>2755</v>
      </c>
      <c r="K259" s="39" t="s">
        <v>255</v>
      </c>
      <c r="L259" s="45" t="s">
        <v>1044</v>
      </c>
    </row>
    <row r="260" ht="14.25" customHeight="1">
      <c r="A260" s="38" t="s">
        <v>2157</v>
      </c>
      <c r="B260" s="38" t="s">
        <v>2158</v>
      </c>
      <c r="C260" s="38" t="s">
        <v>2754</v>
      </c>
      <c r="D260" s="38">
        <v>260.0</v>
      </c>
      <c r="E260" s="38" t="s">
        <v>239</v>
      </c>
      <c r="F260" s="38" t="s">
        <v>246</v>
      </c>
      <c r="G260" s="41" t="s">
        <v>2160</v>
      </c>
      <c r="H260" s="41"/>
      <c r="I260" s="38" t="s">
        <v>335</v>
      </c>
      <c r="J260" s="38" t="s">
        <v>2755</v>
      </c>
      <c r="K260" s="38" t="s">
        <v>255</v>
      </c>
      <c r="L260" s="42" t="s">
        <v>1044</v>
      </c>
    </row>
    <row r="261" ht="14.25" customHeight="1">
      <c r="A261" s="39" t="s">
        <v>2161</v>
      </c>
      <c r="B261" s="39" t="s">
        <v>2162</v>
      </c>
      <c r="C261" s="39" t="s">
        <v>2754</v>
      </c>
      <c r="D261" s="39">
        <v>261.0</v>
      </c>
      <c r="E261" s="39" t="s">
        <v>239</v>
      </c>
      <c r="F261" s="39" t="s">
        <v>246</v>
      </c>
      <c r="G261" s="44" t="s">
        <v>2164</v>
      </c>
      <c r="H261" s="44"/>
      <c r="I261" s="39" t="s">
        <v>335</v>
      </c>
      <c r="J261" s="39" t="s">
        <v>2755</v>
      </c>
      <c r="K261" s="39" t="s">
        <v>255</v>
      </c>
      <c r="L261" s="45" t="s">
        <v>1044</v>
      </c>
    </row>
    <row r="262" ht="14.25" customHeight="1">
      <c r="A262" s="38" t="s">
        <v>2165</v>
      </c>
      <c r="B262" s="38" t="s">
        <v>2166</v>
      </c>
      <c r="C262" s="38" t="s">
        <v>2754</v>
      </c>
      <c r="D262" s="38">
        <v>262.0</v>
      </c>
      <c r="E262" s="38" t="s">
        <v>239</v>
      </c>
      <c r="F262" s="38" t="s">
        <v>246</v>
      </c>
      <c r="G262" s="41" t="s">
        <v>2168</v>
      </c>
      <c r="H262" s="41"/>
      <c r="I262" s="38" t="s">
        <v>335</v>
      </c>
      <c r="J262" s="38" t="s">
        <v>2755</v>
      </c>
      <c r="K262" s="38" t="s">
        <v>255</v>
      </c>
      <c r="L262" s="42" t="s">
        <v>1044</v>
      </c>
    </row>
    <row r="263" ht="14.25" customHeight="1">
      <c r="A263" s="39" t="s">
        <v>2169</v>
      </c>
      <c r="B263" s="39" t="s">
        <v>2170</v>
      </c>
      <c r="C263" s="39" t="s">
        <v>2754</v>
      </c>
      <c r="D263" s="39">
        <v>263.0</v>
      </c>
      <c r="E263" s="39" t="s">
        <v>239</v>
      </c>
      <c r="F263" s="39" t="s">
        <v>246</v>
      </c>
      <c r="G263" s="44" t="s">
        <v>2171</v>
      </c>
      <c r="H263" s="44"/>
      <c r="I263" s="39" t="s">
        <v>335</v>
      </c>
      <c r="J263" s="39" t="s">
        <v>2755</v>
      </c>
      <c r="K263" s="39" t="s">
        <v>255</v>
      </c>
      <c r="L263" s="45" t="s">
        <v>1044</v>
      </c>
    </row>
    <row r="264" ht="14.25" customHeight="1">
      <c r="A264" s="38" t="s">
        <v>2172</v>
      </c>
      <c r="B264" s="38" t="s">
        <v>2173</v>
      </c>
      <c r="C264" s="38" t="s">
        <v>2754</v>
      </c>
      <c r="D264" s="38">
        <v>264.0</v>
      </c>
      <c r="E264" s="38" t="s">
        <v>239</v>
      </c>
      <c r="F264" s="38" t="s">
        <v>246</v>
      </c>
      <c r="G264" s="41" t="s">
        <v>2175</v>
      </c>
      <c r="H264" s="41"/>
      <c r="I264" s="38" t="s">
        <v>335</v>
      </c>
      <c r="J264" s="38" t="s">
        <v>2755</v>
      </c>
      <c r="K264" s="38" t="s">
        <v>255</v>
      </c>
      <c r="L264" s="42" t="s">
        <v>1044</v>
      </c>
    </row>
    <row r="265" ht="14.25" customHeight="1">
      <c r="A265" s="39" t="s">
        <v>2176</v>
      </c>
      <c r="B265" s="39" t="s">
        <v>2177</v>
      </c>
      <c r="C265" s="39" t="s">
        <v>2754</v>
      </c>
      <c r="D265" s="39">
        <v>265.0</v>
      </c>
      <c r="E265" s="39" t="s">
        <v>1048</v>
      </c>
      <c r="F265" s="39" t="s">
        <v>246</v>
      </c>
      <c r="G265" s="44" t="s">
        <v>2178</v>
      </c>
      <c r="H265" s="44"/>
      <c r="I265" s="39" t="s">
        <v>335</v>
      </c>
      <c r="J265" s="39" t="s">
        <v>2755</v>
      </c>
      <c r="K265" s="39" t="s">
        <v>255</v>
      </c>
      <c r="L265" s="45" t="s">
        <v>1044</v>
      </c>
    </row>
    <row r="266" ht="14.25" customHeight="1">
      <c r="A266" s="38" t="s">
        <v>2179</v>
      </c>
      <c r="B266" s="38" t="s">
        <v>2180</v>
      </c>
      <c r="C266" s="38" t="s">
        <v>2754</v>
      </c>
      <c r="D266" s="38">
        <v>266.0</v>
      </c>
      <c r="E266" s="38" t="s">
        <v>1048</v>
      </c>
      <c r="F266" s="38" t="s">
        <v>246</v>
      </c>
      <c r="G266" s="41" t="s">
        <v>2181</v>
      </c>
      <c r="H266" s="41"/>
      <c r="I266" s="38" t="s">
        <v>335</v>
      </c>
      <c r="J266" s="38" t="s">
        <v>2755</v>
      </c>
      <c r="K266" s="38" t="s">
        <v>255</v>
      </c>
      <c r="L266" s="42" t="s">
        <v>1044</v>
      </c>
    </row>
    <row r="267" ht="14.25" customHeight="1">
      <c r="A267" s="39" t="s">
        <v>2182</v>
      </c>
      <c r="B267" s="39" t="s">
        <v>2183</v>
      </c>
      <c r="C267" s="39" t="s">
        <v>2754</v>
      </c>
      <c r="D267" s="39">
        <v>267.0</v>
      </c>
      <c r="E267" s="39" t="s">
        <v>239</v>
      </c>
      <c r="F267" s="39" t="s">
        <v>246</v>
      </c>
      <c r="G267" s="44" t="s">
        <v>2185</v>
      </c>
      <c r="H267" s="44"/>
      <c r="I267" s="39" t="s">
        <v>335</v>
      </c>
      <c r="J267" s="39" t="s">
        <v>2755</v>
      </c>
      <c r="K267" s="39" t="s">
        <v>255</v>
      </c>
      <c r="L267" s="45" t="s">
        <v>1044</v>
      </c>
    </row>
    <row r="268" ht="14.25" customHeight="1">
      <c r="A268" s="38" t="s">
        <v>2186</v>
      </c>
      <c r="B268" s="38" t="s">
        <v>2187</v>
      </c>
      <c r="C268" s="38" t="s">
        <v>2754</v>
      </c>
      <c r="D268" s="38">
        <v>268.0</v>
      </c>
      <c r="E268" s="38" t="s">
        <v>386</v>
      </c>
      <c r="F268" s="38" t="s">
        <v>246</v>
      </c>
      <c r="G268" s="41" t="s">
        <v>2188</v>
      </c>
      <c r="H268" s="41"/>
      <c r="I268" s="38" t="s">
        <v>335</v>
      </c>
      <c r="J268" s="38" t="s">
        <v>2755</v>
      </c>
      <c r="K268" s="38" t="s">
        <v>255</v>
      </c>
      <c r="L268" s="42" t="s">
        <v>1044</v>
      </c>
    </row>
    <row r="269" ht="14.25" customHeight="1">
      <c r="A269" s="39" t="s">
        <v>2189</v>
      </c>
      <c r="B269" s="39" t="s">
        <v>2190</v>
      </c>
      <c r="C269" s="39" t="s">
        <v>2754</v>
      </c>
      <c r="D269" s="39">
        <v>269.0</v>
      </c>
      <c r="E269" s="39" t="s">
        <v>386</v>
      </c>
      <c r="F269" s="39" t="s">
        <v>246</v>
      </c>
      <c r="G269" s="44" t="s">
        <v>2191</v>
      </c>
      <c r="H269" s="44"/>
      <c r="I269" s="39" t="s">
        <v>335</v>
      </c>
      <c r="J269" s="39" t="s">
        <v>2755</v>
      </c>
      <c r="K269" s="39" t="s">
        <v>255</v>
      </c>
      <c r="L269" s="45" t="s">
        <v>1044</v>
      </c>
    </row>
    <row r="270" ht="14.25" customHeight="1">
      <c r="A270" s="38" t="s">
        <v>2192</v>
      </c>
      <c r="B270" s="38" t="s">
        <v>2193</v>
      </c>
      <c r="C270" s="38" t="s">
        <v>2754</v>
      </c>
      <c r="D270" s="38">
        <v>270.0</v>
      </c>
      <c r="E270" s="38" t="s">
        <v>239</v>
      </c>
      <c r="F270" s="38" t="s">
        <v>286</v>
      </c>
      <c r="G270" s="41" t="s">
        <v>2195</v>
      </c>
      <c r="H270" s="41" t="s">
        <v>2196</v>
      </c>
      <c r="I270" s="38" t="s">
        <v>335</v>
      </c>
      <c r="J270" s="38" t="s">
        <v>2755</v>
      </c>
      <c r="K270" s="38" t="s">
        <v>255</v>
      </c>
      <c r="L270" s="42" t="s">
        <v>1044</v>
      </c>
    </row>
    <row r="271" ht="14.25" customHeight="1">
      <c r="A271" s="39" t="s">
        <v>2197</v>
      </c>
      <c r="B271" s="39" t="s">
        <v>2198</v>
      </c>
      <c r="C271" s="39" t="s">
        <v>2754</v>
      </c>
      <c r="D271" s="39">
        <v>271.0</v>
      </c>
      <c r="E271" s="39" t="s">
        <v>1369</v>
      </c>
      <c r="F271" s="39" t="s">
        <v>286</v>
      </c>
      <c r="G271" s="44" t="s">
        <v>2199</v>
      </c>
      <c r="H271" s="44" t="s">
        <v>2200</v>
      </c>
      <c r="I271" s="39" t="s">
        <v>335</v>
      </c>
      <c r="J271" s="39" t="s">
        <v>2755</v>
      </c>
      <c r="K271" s="39" t="s">
        <v>255</v>
      </c>
      <c r="L271" s="45" t="s">
        <v>1044</v>
      </c>
    </row>
    <row r="272" ht="14.25" customHeight="1">
      <c r="A272" s="38" t="s">
        <v>2201</v>
      </c>
      <c r="B272" s="38" t="s">
        <v>2202</v>
      </c>
      <c r="C272" s="38" t="s">
        <v>2754</v>
      </c>
      <c r="D272" s="38">
        <v>272.0</v>
      </c>
      <c r="E272" s="38" t="s">
        <v>1369</v>
      </c>
      <c r="F272" s="38" t="s">
        <v>286</v>
      </c>
      <c r="G272" s="41" t="s">
        <v>2203</v>
      </c>
      <c r="H272" s="41" t="s">
        <v>2204</v>
      </c>
      <c r="I272" s="38" t="s">
        <v>335</v>
      </c>
      <c r="J272" s="38" t="s">
        <v>2755</v>
      </c>
      <c r="K272" s="38" t="s">
        <v>255</v>
      </c>
      <c r="L272" s="42" t="s">
        <v>1044</v>
      </c>
    </row>
    <row r="273" ht="14.25" customHeight="1">
      <c r="A273" s="39" t="s">
        <v>2205</v>
      </c>
      <c r="B273" s="39" t="s">
        <v>2206</v>
      </c>
      <c r="C273" s="39" t="s">
        <v>2754</v>
      </c>
      <c r="D273" s="39">
        <v>273.0</v>
      </c>
      <c r="E273" s="39" t="s">
        <v>386</v>
      </c>
      <c r="F273" s="39" t="s">
        <v>286</v>
      </c>
      <c r="G273" s="44" t="s">
        <v>2209</v>
      </c>
      <c r="H273" s="44" t="s">
        <v>2210</v>
      </c>
      <c r="I273" s="39" t="s">
        <v>335</v>
      </c>
      <c r="J273" s="39" t="s">
        <v>2755</v>
      </c>
      <c r="K273" s="39" t="s">
        <v>255</v>
      </c>
      <c r="L273" s="45" t="s">
        <v>1044</v>
      </c>
    </row>
    <row r="274" ht="14.25" customHeight="1">
      <c r="A274" s="38" t="s">
        <v>2211</v>
      </c>
      <c r="B274" s="38" t="s">
        <v>2212</v>
      </c>
      <c r="C274" s="38" t="s">
        <v>2754</v>
      </c>
      <c r="D274" s="38">
        <v>274.0</v>
      </c>
      <c r="E274" s="38" t="s">
        <v>239</v>
      </c>
      <c r="F274" s="38" t="s">
        <v>246</v>
      </c>
      <c r="G274" s="41" t="s">
        <v>2213</v>
      </c>
      <c r="H274" s="41"/>
      <c r="I274" s="38" t="s">
        <v>335</v>
      </c>
      <c r="J274" s="38" t="s">
        <v>2755</v>
      </c>
      <c r="K274" s="38" t="s">
        <v>255</v>
      </c>
      <c r="L274" s="42" t="s">
        <v>1044</v>
      </c>
    </row>
    <row r="275" ht="14.25" customHeight="1">
      <c r="A275" s="39" t="s">
        <v>2214</v>
      </c>
      <c r="B275" s="39" t="s">
        <v>2215</v>
      </c>
      <c r="C275" s="39" t="s">
        <v>2754</v>
      </c>
      <c r="D275" s="39">
        <v>275.0</v>
      </c>
      <c r="E275" s="39" t="s">
        <v>239</v>
      </c>
      <c r="F275" s="39" t="s">
        <v>246</v>
      </c>
      <c r="G275" s="44" t="s">
        <v>2216</v>
      </c>
      <c r="H275" s="44"/>
      <c r="I275" s="39" t="s">
        <v>335</v>
      </c>
      <c r="J275" s="39" t="s">
        <v>2755</v>
      </c>
      <c r="K275" s="39" t="s">
        <v>255</v>
      </c>
      <c r="L275" s="45" t="s">
        <v>1044</v>
      </c>
    </row>
    <row r="276" ht="14.25" customHeight="1">
      <c r="A276" s="38" t="s">
        <v>2217</v>
      </c>
      <c r="B276" s="38" t="s">
        <v>2218</v>
      </c>
      <c r="C276" s="38" t="s">
        <v>2754</v>
      </c>
      <c r="D276" s="38">
        <v>276.0</v>
      </c>
      <c r="E276" s="38" t="s">
        <v>1086</v>
      </c>
      <c r="F276" s="38" t="s">
        <v>286</v>
      </c>
      <c r="G276" s="41" t="s">
        <v>2220</v>
      </c>
      <c r="H276" s="41" t="s">
        <v>2221</v>
      </c>
      <c r="I276" s="38" t="s">
        <v>335</v>
      </c>
      <c r="J276" s="38" t="s">
        <v>2755</v>
      </c>
      <c r="K276" s="38" t="s">
        <v>255</v>
      </c>
      <c r="L276" s="42" t="s">
        <v>1044</v>
      </c>
    </row>
    <row r="277" ht="14.25" customHeight="1">
      <c r="A277" s="39" t="s">
        <v>2222</v>
      </c>
      <c r="B277" s="39" t="s">
        <v>2223</v>
      </c>
      <c r="C277" s="39" t="s">
        <v>2754</v>
      </c>
      <c r="D277" s="39">
        <v>277.0</v>
      </c>
      <c r="E277" s="39" t="s">
        <v>1086</v>
      </c>
      <c r="F277" s="39" t="s">
        <v>286</v>
      </c>
      <c r="G277" s="44" t="s">
        <v>2225</v>
      </c>
      <c r="H277" s="44" t="s">
        <v>2226</v>
      </c>
      <c r="I277" s="39" t="s">
        <v>335</v>
      </c>
      <c r="J277" s="39" t="s">
        <v>2755</v>
      </c>
      <c r="K277" s="39" t="s">
        <v>255</v>
      </c>
      <c r="L277" s="45" t="s">
        <v>1044</v>
      </c>
    </row>
    <row r="278" ht="14.25" customHeight="1">
      <c r="A278" s="38" t="s">
        <v>2227</v>
      </c>
      <c r="B278" s="38" t="s">
        <v>2228</v>
      </c>
      <c r="C278" s="38" t="s">
        <v>2754</v>
      </c>
      <c r="D278" s="38">
        <v>278.0</v>
      </c>
      <c r="E278" s="38" t="s">
        <v>386</v>
      </c>
      <c r="F278" s="38" t="s">
        <v>286</v>
      </c>
      <c r="G278" s="41" t="s">
        <v>2229</v>
      </c>
      <c r="H278" s="41" t="s">
        <v>2230</v>
      </c>
      <c r="I278" s="38" t="s">
        <v>335</v>
      </c>
      <c r="J278" s="38" t="s">
        <v>2755</v>
      </c>
      <c r="K278" s="38" t="s">
        <v>255</v>
      </c>
      <c r="L278" s="42" t="s">
        <v>1044</v>
      </c>
    </row>
    <row r="279" ht="14.25" customHeight="1">
      <c r="A279" s="39" t="s">
        <v>2231</v>
      </c>
      <c r="B279" s="39" t="s">
        <v>2232</v>
      </c>
      <c r="C279" s="39" t="s">
        <v>2754</v>
      </c>
      <c r="D279" s="39">
        <v>279.0</v>
      </c>
      <c r="E279" s="39" t="s">
        <v>386</v>
      </c>
      <c r="F279" s="39" t="s">
        <v>286</v>
      </c>
      <c r="G279" s="44" t="s">
        <v>2234</v>
      </c>
      <c r="H279" s="44" t="s">
        <v>2235</v>
      </c>
      <c r="I279" s="39" t="s">
        <v>335</v>
      </c>
      <c r="J279" s="39" t="s">
        <v>2755</v>
      </c>
      <c r="K279" s="39" t="s">
        <v>255</v>
      </c>
      <c r="L279" s="45" t="s">
        <v>1044</v>
      </c>
    </row>
    <row r="280" ht="14.25" customHeight="1">
      <c r="A280" s="38" t="s">
        <v>2236</v>
      </c>
      <c r="B280" s="38" t="s">
        <v>2237</v>
      </c>
      <c r="C280" s="38" t="s">
        <v>2754</v>
      </c>
      <c r="D280" s="38">
        <v>280.0</v>
      </c>
      <c r="E280" s="38" t="s">
        <v>239</v>
      </c>
      <c r="F280" s="38" t="s">
        <v>286</v>
      </c>
      <c r="G280" s="41" t="s">
        <v>2239</v>
      </c>
      <c r="H280" s="41" t="s">
        <v>2240</v>
      </c>
      <c r="I280" s="38" t="s">
        <v>335</v>
      </c>
      <c r="J280" s="38" t="s">
        <v>2755</v>
      </c>
      <c r="K280" s="38" t="s">
        <v>255</v>
      </c>
      <c r="L280" s="42" t="s">
        <v>1044</v>
      </c>
    </row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L$280"/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40.0"/>
    <col customWidth="1" min="3" max="3" width="10.0"/>
    <col customWidth="1" min="4" max="4" width="12.0"/>
    <col customWidth="1" min="5" max="5" width="26.0"/>
    <col customWidth="1" min="6" max="6" width="23.0"/>
    <col customWidth="1" min="7" max="7" width="40.0"/>
    <col customWidth="1" min="8" max="8" width="29.0"/>
    <col customWidth="1" min="9" max="9" width="12.0"/>
    <col customWidth="1" min="10" max="10" width="40.0"/>
    <col customWidth="1" min="11" max="26" width="8.71"/>
  </cols>
  <sheetData>
    <row r="1" ht="14.25" customHeight="1">
      <c r="A1" s="37" t="s">
        <v>424</v>
      </c>
      <c r="B1" s="37" t="s">
        <v>425</v>
      </c>
      <c r="C1" s="37" t="s">
        <v>883</v>
      </c>
      <c r="D1" s="37" t="s">
        <v>914</v>
      </c>
      <c r="E1" s="37" t="s">
        <v>915</v>
      </c>
      <c r="F1" s="37" t="s">
        <v>916</v>
      </c>
      <c r="G1" s="37" t="s">
        <v>917</v>
      </c>
      <c r="H1" s="37" t="s">
        <v>918</v>
      </c>
      <c r="I1" s="37" t="s">
        <v>919</v>
      </c>
      <c r="J1" s="37" t="s">
        <v>116</v>
      </c>
    </row>
    <row r="2" ht="14.25" customHeight="1">
      <c r="A2" s="38" t="s">
        <v>1038</v>
      </c>
      <c r="B2" s="38" t="s">
        <v>1035</v>
      </c>
      <c r="C2" s="38" t="s">
        <v>267</v>
      </c>
      <c r="D2" s="38" t="s">
        <v>245</v>
      </c>
      <c r="E2" s="38" t="s">
        <v>243</v>
      </c>
      <c r="F2" s="38"/>
      <c r="G2" s="38" t="s">
        <v>1035</v>
      </c>
      <c r="H2" s="38" t="s">
        <v>268</v>
      </c>
      <c r="I2" s="38" t="s">
        <v>277</v>
      </c>
      <c r="J2" s="38" t="s">
        <v>2756</v>
      </c>
    </row>
    <row r="3" ht="14.25" customHeight="1">
      <c r="A3" s="39" t="s">
        <v>1038</v>
      </c>
      <c r="B3" s="39" t="s">
        <v>1035</v>
      </c>
      <c r="C3" s="39" t="s">
        <v>243</v>
      </c>
      <c r="D3" s="39" t="s">
        <v>245</v>
      </c>
      <c r="E3" s="39" t="s">
        <v>243</v>
      </c>
      <c r="F3" s="39"/>
      <c r="G3" s="39" t="s">
        <v>1035</v>
      </c>
      <c r="H3" s="39" t="s">
        <v>242</v>
      </c>
      <c r="I3" s="39" t="s">
        <v>316</v>
      </c>
      <c r="J3" s="39" t="s">
        <v>2756</v>
      </c>
    </row>
    <row r="4" ht="14.25" customHeight="1">
      <c r="A4" s="38" t="s">
        <v>1038</v>
      </c>
      <c r="B4" s="38" t="s">
        <v>1035</v>
      </c>
      <c r="C4" s="38" t="s">
        <v>346</v>
      </c>
      <c r="D4" s="38" t="s">
        <v>245</v>
      </c>
      <c r="E4" s="38" t="s">
        <v>243</v>
      </c>
      <c r="F4" s="38"/>
      <c r="G4" s="38" t="s">
        <v>1035</v>
      </c>
      <c r="H4" s="38" t="s">
        <v>242</v>
      </c>
      <c r="I4" s="38" t="s">
        <v>356</v>
      </c>
      <c r="J4" s="38" t="s">
        <v>2756</v>
      </c>
    </row>
    <row r="5" ht="14.25" customHeight="1">
      <c r="A5" s="39" t="s">
        <v>1064</v>
      </c>
      <c r="B5" s="39" t="s">
        <v>1059</v>
      </c>
      <c r="C5" s="39" t="s">
        <v>267</v>
      </c>
      <c r="D5" s="39" t="s">
        <v>245</v>
      </c>
      <c r="E5" s="39" t="s">
        <v>243</v>
      </c>
      <c r="F5" s="39"/>
      <c r="G5" s="39" t="s">
        <v>1059</v>
      </c>
      <c r="H5" s="39" t="s">
        <v>268</v>
      </c>
      <c r="I5" s="39" t="s">
        <v>277</v>
      </c>
      <c r="J5" s="39" t="s">
        <v>2756</v>
      </c>
    </row>
    <row r="6" ht="14.25" customHeight="1">
      <c r="A6" s="38" t="s">
        <v>1064</v>
      </c>
      <c r="B6" s="38" t="s">
        <v>1059</v>
      </c>
      <c r="C6" s="38" t="s">
        <v>243</v>
      </c>
      <c r="D6" s="38" t="s">
        <v>245</v>
      </c>
      <c r="E6" s="38" t="s">
        <v>243</v>
      </c>
      <c r="F6" s="38"/>
      <c r="G6" s="38" t="s">
        <v>1059</v>
      </c>
      <c r="H6" s="38" t="s">
        <v>242</v>
      </c>
      <c r="I6" s="38" t="s">
        <v>316</v>
      </c>
      <c r="J6" s="38" t="s">
        <v>2756</v>
      </c>
    </row>
    <row r="7" ht="14.25" customHeight="1">
      <c r="A7" s="39" t="s">
        <v>1064</v>
      </c>
      <c r="B7" s="39" t="s">
        <v>1059</v>
      </c>
      <c r="C7" s="39" t="s">
        <v>346</v>
      </c>
      <c r="D7" s="39" t="s">
        <v>245</v>
      </c>
      <c r="E7" s="39" t="s">
        <v>243</v>
      </c>
      <c r="F7" s="39"/>
      <c r="G7" s="39" t="s">
        <v>1059</v>
      </c>
      <c r="H7" s="39" t="s">
        <v>242</v>
      </c>
      <c r="I7" s="39" t="s">
        <v>356</v>
      </c>
      <c r="J7" s="39" t="s">
        <v>2756</v>
      </c>
    </row>
    <row r="8" ht="14.25" customHeight="1">
      <c r="A8" s="38" t="s">
        <v>1072</v>
      </c>
      <c r="B8" s="38" t="s">
        <v>1066</v>
      </c>
      <c r="C8" s="38" t="s">
        <v>267</v>
      </c>
      <c r="D8" s="38" t="s">
        <v>245</v>
      </c>
      <c r="E8" s="38" t="s">
        <v>243</v>
      </c>
      <c r="F8" s="38"/>
      <c r="G8" s="38" t="s">
        <v>1066</v>
      </c>
      <c r="H8" s="38" t="s">
        <v>268</v>
      </c>
      <c r="I8" s="38" t="s">
        <v>277</v>
      </c>
      <c r="J8" s="38" t="s">
        <v>2756</v>
      </c>
    </row>
    <row r="9" ht="14.25" customHeight="1">
      <c r="A9" s="39" t="s">
        <v>1072</v>
      </c>
      <c r="B9" s="39" t="s">
        <v>1066</v>
      </c>
      <c r="C9" s="39" t="s">
        <v>243</v>
      </c>
      <c r="D9" s="39" t="s">
        <v>245</v>
      </c>
      <c r="E9" s="39" t="s">
        <v>243</v>
      </c>
      <c r="F9" s="39"/>
      <c r="G9" s="39" t="s">
        <v>1066</v>
      </c>
      <c r="H9" s="39" t="s">
        <v>268</v>
      </c>
      <c r="I9" s="39" t="s">
        <v>316</v>
      </c>
      <c r="J9" s="39" t="s">
        <v>2756</v>
      </c>
    </row>
    <row r="10" ht="14.25" customHeight="1">
      <c r="A10" s="38" t="s">
        <v>1072</v>
      </c>
      <c r="B10" s="38" t="s">
        <v>1066</v>
      </c>
      <c r="C10" s="38" t="s">
        <v>346</v>
      </c>
      <c r="D10" s="38" t="s">
        <v>245</v>
      </c>
      <c r="E10" s="38" t="s">
        <v>243</v>
      </c>
      <c r="F10" s="38"/>
      <c r="G10" s="38" t="s">
        <v>1066</v>
      </c>
      <c r="H10" s="38" t="s">
        <v>268</v>
      </c>
      <c r="I10" s="38" t="s">
        <v>356</v>
      </c>
      <c r="J10" s="38" t="s">
        <v>2756</v>
      </c>
    </row>
    <row r="11" ht="14.25" customHeight="1">
      <c r="A11" s="39" t="s">
        <v>1081</v>
      </c>
      <c r="B11" s="39" t="s">
        <v>1075</v>
      </c>
      <c r="C11" s="39" t="s">
        <v>267</v>
      </c>
      <c r="D11" s="39" t="s">
        <v>245</v>
      </c>
      <c r="E11" s="39" t="s">
        <v>323</v>
      </c>
      <c r="F11" s="39"/>
      <c r="G11" s="39" t="s">
        <v>1075</v>
      </c>
      <c r="H11" s="39" t="s">
        <v>268</v>
      </c>
      <c r="I11" s="39" t="s">
        <v>277</v>
      </c>
      <c r="J11" s="39" t="s">
        <v>2756</v>
      </c>
    </row>
    <row r="12" ht="14.25" customHeight="1">
      <c r="A12" s="38" t="s">
        <v>1081</v>
      </c>
      <c r="B12" s="38" t="s">
        <v>1075</v>
      </c>
      <c r="C12" s="38" t="s">
        <v>243</v>
      </c>
      <c r="D12" s="38" t="s">
        <v>245</v>
      </c>
      <c r="E12" s="38" t="s">
        <v>323</v>
      </c>
      <c r="F12" s="38"/>
      <c r="G12" s="38" t="s">
        <v>1075</v>
      </c>
      <c r="H12" s="38" t="s">
        <v>268</v>
      </c>
      <c r="I12" s="38" t="s">
        <v>316</v>
      </c>
      <c r="J12" s="38" t="s">
        <v>2756</v>
      </c>
    </row>
    <row r="13" ht="14.25" customHeight="1">
      <c r="A13" s="39" t="s">
        <v>1081</v>
      </c>
      <c r="B13" s="39" t="s">
        <v>1075</v>
      </c>
      <c r="C13" s="39" t="s">
        <v>346</v>
      </c>
      <c r="D13" s="39" t="s">
        <v>245</v>
      </c>
      <c r="E13" s="39" t="s">
        <v>323</v>
      </c>
      <c r="F13" s="39"/>
      <c r="G13" s="39" t="s">
        <v>1075</v>
      </c>
      <c r="H13" s="39" t="s">
        <v>268</v>
      </c>
      <c r="I13" s="39" t="s">
        <v>356</v>
      </c>
      <c r="J13" s="39" t="s">
        <v>2756</v>
      </c>
    </row>
    <row r="14" ht="14.25" customHeight="1">
      <c r="A14" s="38" t="s">
        <v>1087</v>
      </c>
      <c r="B14" s="38" t="s">
        <v>1084</v>
      </c>
      <c r="C14" s="38" t="s">
        <v>267</v>
      </c>
      <c r="D14" s="38" t="s">
        <v>245</v>
      </c>
      <c r="E14" s="38" t="s">
        <v>323</v>
      </c>
      <c r="F14" s="38"/>
      <c r="G14" s="38" t="s">
        <v>1084</v>
      </c>
      <c r="H14" s="38" t="s">
        <v>268</v>
      </c>
      <c r="I14" s="38" t="s">
        <v>277</v>
      </c>
      <c r="J14" s="38" t="s">
        <v>2756</v>
      </c>
    </row>
    <row r="15" ht="14.25" customHeight="1">
      <c r="A15" s="39" t="s">
        <v>1087</v>
      </c>
      <c r="B15" s="39" t="s">
        <v>1084</v>
      </c>
      <c r="C15" s="39" t="s">
        <v>243</v>
      </c>
      <c r="D15" s="39" t="s">
        <v>245</v>
      </c>
      <c r="E15" s="39" t="s">
        <v>323</v>
      </c>
      <c r="F15" s="39"/>
      <c r="G15" s="39" t="s">
        <v>1084</v>
      </c>
      <c r="H15" s="39" t="s">
        <v>268</v>
      </c>
      <c r="I15" s="39" t="s">
        <v>316</v>
      </c>
      <c r="J15" s="39" t="s">
        <v>2756</v>
      </c>
    </row>
    <row r="16" ht="14.25" customHeight="1">
      <c r="A16" s="38" t="s">
        <v>1087</v>
      </c>
      <c r="B16" s="38" t="s">
        <v>1084</v>
      </c>
      <c r="C16" s="38" t="s">
        <v>346</v>
      </c>
      <c r="D16" s="38" t="s">
        <v>245</v>
      </c>
      <c r="E16" s="38" t="s">
        <v>323</v>
      </c>
      <c r="F16" s="38"/>
      <c r="G16" s="38" t="s">
        <v>1084</v>
      </c>
      <c r="H16" s="38" t="s">
        <v>268</v>
      </c>
      <c r="I16" s="38" t="s">
        <v>356</v>
      </c>
      <c r="J16" s="38" t="s">
        <v>2756</v>
      </c>
    </row>
    <row r="17" ht="14.25" customHeight="1">
      <c r="A17" s="39" t="s">
        <v>1091</v>
      </c>
      <c r="B17" s="39" t="s">
        <v>1089</v>
      </c>
      <c r="C17" s="39" t="s">
        <v>267</v>
      </c>
      <c r="D17" s="39" t="s">
        <v>245</v>
      </c>
      <c r="E17" s="39" t="s">
        <v>323</v>
      </c>
      <c r="F17" s="39"/>
      <c r="G17" s="39" t="s">
        <v>1089</v>
      </c>
      <c r="H17" s="39" t="s">
        <v>268</v>
      </c>
      <c r="I17" s="39" t="s">
        <v>277</v>
      </c>
      <c r="J17" s="39" t="s">
        <v>2756</v>
      </c>
    </row>
    <row r="18" ht="14.25" customHeight="1">
      <c r="A18" s="38" t="s">
        <v>1091</v>
      </c>
      <c r="B18" s="38" t="s">
        <v>1089</v>
      </c>
      <c r="C18" s="38" t="s">
        <v>243</v>
      </c>
      <c r="D18" s="38" t="s">
        <v>245</v>
      </c>
      <c r="E18" s="38" t="s">
        <v>323</v>
      </c>
      <c r="F18" s="38"/>
      <c r="G18" s="38" t="s">
        <v>1089</v>
      </c>
      <c r="H18" s="38" t="s">
        <v>268</v>
      </c>
      <c r="I18" s="38" t="s">
        <v>316</v>
      </c>
      <c r="J18" s="38" t="s">
        <v>2756</v>
      </c>
    </row>
    <row r="19" ht="14.25" customHeight="1">
      <c r="A19" s="39" t="s">
        <v>1091</v>
      </c>
      <c r="B19" s="39" t="s">
        <v>1089</v>
      </c>
      <c r="C19" s="39" t="s">
        <v>346</v>
      </c>
      <c r="D19" s="39" t="s">
        <v>245</v>
      </c>
      <c r="E19" s="39" t="s">
        <v>323</v>
      </c>
      <c r="F19" s="39"/>
      <c r="G19" s="39" t="s">
        <v>1089</v>
      </c>
      <c r="H19" s="39" t="s">
        <v>268</v>
      </c>
      <c r="I19" s="39" t="s">
        <v>356</v>
      </c>
      <c r="J19" s="39" t="s">
        <v>2756</v>
      </c>
    </row>
    <row r="20" ht="14.25" customHeight="1">
      <c r="A20" s="38" t="s">
        <v>1096</v>
      </c>
      <c r="B20" s="38" t="s">
        <v>1093</v>
      </c>
      <c r="C20" s="38" t="s">
        <v>267</v>
      </c>
      <c r="D20" s="38" t="s">
        <v>245</v>
      </c>
      <c r="E20" s="38" t="s">
        <v>243</v>
      </c>
      <c r="F20" s="38"/>
      <c r="G20" s="38" t="s">
        <v>1093</v>
      </c>
      <c r="H20" s="38" t="s">
        <v>268</v>
      </c>
      <c r="I20" s="38" t="s">
        <v>277</v>
      </c>
      <c r="J20" s="38" t="s">
        <v>2756</v>
      </c>
    </row>
    <row r="21" ht="14.25" customHeight="1">
      <c r="A21" s="39" t="s">
        <v>1096</v>
      </c>
      <c r="B21" s="39" t="s">
        <v>1093</v>
      </c>
      <c r="C21" s="39" t="s">
        <v>243</v>
      </c>
      <c r="D21" s="39" t="s">
        <v>245</v>
      </c>
      <c r="E21" s="39" t="s">
        <v>243</v>
      </c>
      <c r="F21" s="39"/>
      <c r="G21" s="39" t="s">
        <v>1093</v>
      </c>
      <c r="H21" s="39" t="s">
        <v>268</v>
      </c>
      <c r="I21" s="39" t="s">
        <v>316</v>
      </c>
      <c r="J21" s="39" t="s">
        <v>2756</v>
      </c>
    </row>
    <row r="22" ht="14.25" customHeight="1">
      <c r="A22" s="38" t="s">
        <v>1096</v>
      </c>
      <c r="B22" s="38" t="s">
        <v>1093</v>
      </c>
      <c r="C22" s="38" t="s">
        <v>346</v>
      </c>
      <c r="D22" s="38" t="s">
        <v>245</v>
      </c>
      <c r="E22" s="38" t="s">
        <v>243</v>
      </c>
      <c r="F22" s="38"/>
      <c r="G22" s="38" t="s">
        <v>1093</v>
      </c>
      <c r="H22" s="38" t="s">
        <v>268</v>
      </c>
      <c r="I22" s="38" t="s">
        <v>356</v>
      </c>
      <c r="J22" s="38" t="s">
        <v>2756</v>
      </c>
    </row>
    <row r="23" ht="14.25" customHeight="1">
      <c r="A23" s="39" t="s">
        <v>1100</v>
      </c>
      <c r="B23" s="39" t="s">
        <v>1098</v>
      </c>
      <c r="C23" s="39" t="s">
        <v>267</v>
      </c>
      <c r="D23" s="39" t="s">
        <v>245</v>
      </c>
      <c r="E23" s="39" t="s">
        <v>323</v>
      </c>
      <c r="F23" s="39"/>
      <c r="G23" s="39" t="s">
        <v>1098</v>
      </c>
      <c r="H23" s="39" t="s">
        <v>268</v>
      </c>
      <c r="I23" s="39" t="s">
        <v>277</v>
      </c>
      <c r="J23" s="39" t="s">
        <v>2756</v>
      </c>
    </row>
    <row r="24" ht="14.25" customHeight="1">
      <c r="A24" s="38" t="s">
        <v>1100</v>
      </c>
      <c r="B24" s="38" t="s">
        <v>1098</v>
      </c>
      <c r="C24" s="38" t="s">
        <v>243</v>
      </c>
      <c r="D24" s="38" t="s">
        <v>245</v>
      </c>
      <c r="E24" s="38" t="s">
        <v>323</v>
      </c>
      <c r="F24" s="38"/>
      <c r="G24" s="38" t="s">
        <v>1098</v>
      </c>
      <c r="H24" s="38" t="s">
        <v>268</v>
      </c>
      <c r="I24" s="38" t="s">
        <v>316</v>
      </c>
      <c r="J24" s="38" t="s">
        <v>2756</v>
      </c>
    </row>
    <row r="25" ht="14.25" customHeight="1">
      <c r="A25" s="39" t="s">
        <v>1100</v>
      </c>
      <c r="B25" s="39" t="s">
        <v>1098</v>
      </c>
      <c r="C25" s="39" t="s">
        <v>346</v>
      </c>
      <c r="D25" s="39" t="s">
        <v>245</v>
      </c>
      <c r="E25" s="39" t="s">
        <v>323</v>
      </c>
      <c r="F25" s="39"/>
      <c r="G25" s="39" t="s">
        <v>1098</v>
      </c>
      <c r="H25" s="39" t="s">
        <v>268</v>
      </c>
      <c r="I25" s="39" t="s">
        <v>356</v>
      </c>
      <c r="J25" s="39" t="s">
        <v>2756</v>
      </c>
    </row>
    <row r="26" ht="14.25" customHeight="1">
      <c r="A26" s="38" t="s">
        <v>1114</v>
      </c>
      <c r="B26" s="38" t="s">
        <v>1111</v>
      </c>
      <c r="C26" s="38" t="s">
        <v>267</v>
      </c>
      <c r="D26" s="38" t="s">
        <v>245</v>
      </c>
      <c r="E26" s="38" t="s">
        <v>243</v>
      </c>
      <c r="F26" s="38"/>
      <c r="G26" s="38" t="s">
        <v>1111</v>
      </c>
      <c r="H26" s="38" t="s">
        <v>268</v>
      </c>
      <c r="I26" s="38" t="s">
        <v>277</v>
      </c>
      <c r="J26" s="38" t="s">
        <v>2756</v>
      </c>
    </row>
    <row r="27" ht="14.25" customHeight="1">
      <c r="A27" s="39" t="s">
        <v>1114</v>
      </c>
      <c r="B27" s="39" t="s">
        <v>1111</v>
      </c>
      <c r="C27" s="39" t="s">
        <v>243</v>
      </c>
      <c r="D27" s="39" t="s">
        <v>245</v>
      </c>
      <c r="E27" s="39" t="s">
        <v>243</v>
      </c>
      <c r="F27" s="39"/>
      <c r="G27" s="39" t="s">
        <v>1111</v>
      </c>
      <c r="H27" s="39" t="s">
        <v>242</v>
      </c>
      <c r="I27" s="39" t="s">
        <v>316</v>
      </c>
      <c r="J27" s="39" t="s">
        <v>2756</v>
      </c>
    </row>
    <row r="28" ht="14.25" customHeight="1">
      <c r="A28" s="38" t="s">
        <v>1114</v>
      </c>
      <c r="B28" s="38" t="s">
        <v>1111</v>
      </c>
      <c r="C28" s="38" t="s">
        <v>346</v>
      </c>
      <c r="D28" s="38" t="s">
        <v>245</v>
      </c>
      <c r="E28" s="38" t="s">
        <v>243</v>
      </c>
      <c r="F28" s="38"/>
      <c r="G28" s="38" t="s">
        <v>1111</v>
      </c>
      <c r="H28" s="38" t="s">
        <v>242</v>
      </c>
      <c r="I28" s="38" t="s">
        <v>356</v>
      </c>
      <c r="J28" s="38" t="s">
        <v>2756</v>
      </c>
    </row>
    <row r="29" ht="14.25" customHeight="1">
      <c r="A29" s="39" t="s">
        <v>1126</v>
      </c>
      <c r="B29" s="39" t="s">
        <v>1123</v>
      </c>
      <c r="C29" s="39" t="s">
        <v>267</v>
      </c>
      <c r="D29" s="39" t="s">
        <v>245</v>
      </c>
      <c r="E29" s="39" t="s">
        <v>323</v>
      </c>
      <c r="F29" s="39"/>
      <c r="G29" s="39" t="s">
        <v>1123</v>
      </c>
      <c r="H29" s="39" t="s">
        <v>268</v>
      </c>
      <c r="I29" s="39" t="s">
        <v>277</v>
      </c>
      <c r="J29" s="39" t="s">
        <v>2756</v>
      </c>
    </row>
    <row r="30" ht="14.25" customHeight="1">
      <c r="A30" s="38" t="s">
        <v>1126</v>
      </c>
      <c r="B30" s="38" t="s">
        <v>1123</v>
      </c>
      <c r="C30" s="38" t="s">
        <v>243</v>
      </c>
      <c r="D30" s="38" t="s">
        <v>245</v>
      </c>
      <c r="E30" s="38" t="s">
        <v>323</v>
      </c>
      <c r="F30" s="38"/>
      <c r="G30" s="38" t="s">
        <v>1123</v>
      </c>
      <c r="H30" s="38" t="s">
        <v>268</v>
      </c>
      <c r="I30" s="38" t="s">
        <v>316</v>
      </c>
      <c r="J30" s="38" t="s">
        <v>2756</v>
      </c>
    </row>
    <row r="31" ht="14.25" customHeight="1">
      <c r="A31" s="39" t="s">
        <v>1126</v>
      </c>
      <c r="B31" s="39" t="s">
        <v>1123</v>
      </c>
      <c r="C31" s="39" t="s">
        <v>346</v>
      </c>
      <c r="D31" s="39" t="s">
        <v>245</v>
      </c>
      <c r="E31" s="39" t="s">
        <v>323</v>
      </c>
      <c r="F31" s="39"/>
      <c r="G31" s="39" t="s">
        <v>1123</v>
      </c>
      <c r="H31" s="39" t="s">
        <v>268</v>
      </c>
      <c r="I31" s="39" t="s">
        <v>356</v>
      </c>
      <c r="J31" s="39" t="s">
        <v>2756</v>
      </c>
    </row>
    <row r="32" ht="14.25" customHeight="1">
      <c r="A32" s="38" t="s">
        <v>1197</v>
      </c>
      <c r="B32" s="38" t="s">
        <v>1193</v>
      </c>
      <c r="C32" s="38" t="s">
        <v>267</v>
      </c>
      <c r="D32" s="38" t="s">
        <v>245</v>
      </c>
      <c r="E32" s="38" t="s">
        <v>243</v>
      </c>
      <c r="F32" s="38"/>
      <c r="G32" s="38" t="s">
        <v>1193</v>
      </c>
      <c r="H32" s="38" t="s">
        <v>268</v>
      </c>
      <c r="I32" s="38" t="s">
        <v>277</v>
      </c>
      <c r="J32" s="38" t="s">
        <v>2756</v>
      </c>
    </row>
    <row r="33" ht="14.25" customHeight="1">
      <c r="A33" s="39" t="s">
        <v>1197</v>
      </c>
      <c r="B33" s="39" t="s">
        <v>1193</v>
      </c>
      <c r="C33" s="39" t="s">
        <v>243</v>
      </c>
      <c r="D33" s="39" t="s">
        <v>245</v>
      </c>
      <c r="E33" s="39" t="s">
        <v>243</v>
      </c>
      <c r="F33" s="39"/>
      <c r="G33" s="39" t="s">
        <v>1193</v>
      </c>
      <c r="H33" s="39" t="s">
        <v>242</v>
      </c>
      <c r="I33" s="39" t="s">
        <v>316</v>
      </c>
      <c r="J33" s="39" t="s">
        <v>2756</v>
      </c>
    </row>
    <row r="34" ht="14.25" customHeight="1">
      <c r="A34" s="38" t="s">
        <v>1197</v>
      </c>
      <c r="B34" s="38" t="s">
        <v>1193</v>
      </c>
      <c r="C34" s="38" t="s">
        <v>346</v>
      </c>
      <c r="D34" s="38" t="s">
        <v>245</v>
      </c>
      <c r="E34" s="38" t="s">
        <v>243</v>
      </c>
      <c r="F34" s="38"/>
      <c r="G34" s="38" t="s">
        <v>1193</v>
      </c>
      <c r="H34" s="38" t="s">
        <v>242</v>
      </c>
      <c r="I34" s="38" t="s">
        <v>356</v>
      </c>
      <c r="J34" s="38" t="s">
        <v>2756</v>
      </c>
    </row>
    <row r="35" ht="14.25" customHeight="1">
      <c r="A35" s="39" t="s">
        <v>1201</v>
      </c>
      <c r="B35" s="39" t="s">
        <v>1199</v>
      </c>
      <c r="C35" s="39" t="s">
        <v>267</v>
      </c>
      <c r="D35" s="39" t="s">
        <v>245</v>
      </c>
      <c r="E35" s="39" t="s">
        <v>243</v>
      </c>
      <c r="F35" s="39"/>
      <c r="G35" s="39" t="s">
        <v>1199</v>
      </c>
      <c r="H35" s="39" t="s">
        <v>268</v>
      </c>
      <c r="I35" s="39" t="s">
        <v>277</v>
      </c>
      <c r="J35" s="39" t="s">
        <v>2756</v>
      </c>
    </row>
    <row r="36" ht="14.25" customHeight="1">
      <c r="A36" s="38" t="s">
        <v>1201</v>
      </c>
      <c r="B36" s="38" t="s">
        <v>1199</v>
      </c>
      <c r="C36" s="38" t="s">
        <v>243</v>
      </c>
      <c r="D36" s="38" t="s">
        <v>245</v>
      </c>
      <c r="E36" s="38" t="s">
        <v>243</v>
      </c>
      <c r="F36" s="38"/>
      <c r="G36" s="38" t="s">
        <v>1199</v>
      </c>
      <c r="H36" s="38" t="s">
        <v>242</v>
      </c>
      <c r="I36" s="38" t="s">
        <v>316</v>
      </c>
      <c r="J36" s="38" t="s">
        <v>2756</v>
      </c>
    </row>
    <row r="37" ht="14.25" customHeight="1">
      <c r="A37" s="39" t="s">
        <v>1201</v>
      </c>
      <c r="B37" s="39" t="s">
        <v>1199</v>
      </c>
      <c r="C37" s="39" t="s">
        <v>346</v>
      </c>
      <c r="D37" s="39" t="s">
        <v>245</v>
      </c>
      <c r="E37" s="39" t="s">
        <v>243</v>
      </c>
      <c r="F37" s="39"/>
      <c r="G37" s="39" t="s">
        <v>1199</v>
      </c>
      <c r="H37" s="39" t="s">
        <v>242</v>
      </c>
      <c r="I37" s="39" t="s">
        <v>356</v>
      </c>
      <c r="J37" s="39" t="s">
        <v>2756</v>
      </c>
    </row>
    <row r="38" ht="14.25" customHeight="1">
      <c r="A38" s="38" t="s">
        <v>1205</v>
      </c>
      <c r="B38" s="38" t="s">
        <v>1203</v>
      </c>
      <c r="C38" s="38" t="s">
        <v>267</v>
      </c>
      <c r="D38" s="38" t="s">
        <v>245</v>
      </c>
      <c r="E38" s="38" t="s">
        <v>243</v>
      </c>
      <c r="F38" s="38"/>
      <c r="G38" s="38" t="s">
        <v>1203</v>
      </c>
      <c r="H38" s="38" t="s">
        <v>268</v>
      </c>
      <c r="I38" s="38" t="s">
        <v>277</v>
      </c>
      <c r="J38" s="38" t="s">
        <v>2756</v>
      </c>
    </row>
    <row r="39" ht="14.25" customHeight="1">
      <c r="A39" s="39" t="s">
        <v>1205</v>
      </c>
      <c r="B39" s="39" t="s">
        <v>1203</v>
      </c>
      <c r="C39" s="39" t="s">
        <v>243</v>
      </c>
      <c r="D39" s="39" t="s">
        <v>245</v>
      </c>
      <c r="E39" s="39" t="s">
        <v>243</v>
      </c>
      <c r="F39" s="39"/>
      <c r="G39" s="39" t="s">
        <v>1203</v>
      </c>
      <c r="H39" s="39" t="s">
        <v>242</v>
      </c>
      <c r="I39" s="39" t="s">
        <v>316</v>
      </c>
      <c r="J39" s="39" t="s">
        <v>2756</v>
      </c>
    </row>
    <row r="40" ht="14.25" customHeight="1">
      <c r="A40" s="38" t="s">
        <v>1205</v>
      </c>
      <c r="B40" s="38" t="s">
        <v>1203</v>
      </c>
      <c r="C40" s="38" t="s">
        <v>346</v>
      </c>
      <c r="D40" s="38" t="s">
        <v>245</v>
      </c>
      <c r="E40" s="38" t="s">
        <v>243</v>
      </c>
      <c r="F40" s="38"/>
      <c r="G40" s="38" t="s">
        <v>1203</v>
      </c>
      <c r="H40" s="38" t="s">
        <v>242</v>
      </c>
      <c r="I40" s="38" t="s">
        <v>356</v>
      </c>
      <c r="J40" s="38" t="s">
        <v>2756</v>
      </c>
    </row>
    <row r="41" ht="14.25" customHeight="1">
      <c r="A41" s="39" t="s">
        <v>1210</v>
      </c>
      <c r="B41" s="39" t="s">
        <v>1207</v>
      </c>
      <c r="C41" s="39" t="s">
        <v>267</v>
      </c>
      <c r="D41" s="39" t="s">
        <v>245</v>
      </c>
      <c r="E41" s="39" t="s">
        <v>243</v>
      </c>
      <c r="F41" s="39"/>
      <c r="G41" s="39" t="s">
        <v>1207</v>
      </c>
      <c r="H41" s="39" t="s">
        <v>268</v>
      </c>
      <c r="I41" s="39" t="s">
        <v>277</v>
      </c>
      <c r="J41" s="39" t="s">
        <v>2756</v>
      </c>
    </row>
    <row r="42" ht="14.25" customHeight="1">
      <c r="A42" s="38" t="s">
        <v>1210</v>
      </c>
      <c r="B42" s="38" t="s">
        <v>1207</v>
      </c>
      <c r="C42" s="38" t="s">
        <v>243</v>
      </c>
      <c r="D42" s="38" t="s">
        <v>245</v>
      </c>
      <c r="E42" s="38" t="s">
        <v>243</v>
      </c>
      <c r="F42" s="38"/>
      <c r="G42" s="38" t="s">
        <v>1207</v>
      </c>
      <c r="H42" s="38" t="s">
        <v>242</v>
      </c>
      <c r="I42" s="38" t="s">
        <v>316</v>
      </c>
      <c r="J42" s="38" t="s">
        <v>2756</v>
      </c>
    </row>
    <row r="43" ht="14.25" customHeight="1">
      <c r="A43" s="39" t="s">
        <v>1210</v>
      </c>
      <c r="B43" s="39" t="s">
        <v>1207</v>
      </c>
      <c r="C43" s="39" t="s">
        <v>346</v>
      </c>
      <c r="D43" s="39" t="s">
        <v>245</v>
      </c>
      <c r="E43" s="39" t="s">
        <v>243</v>
      </c>
      <c r="F43" s="39"/>
      <c r="G43" s="39" t="s">
        <v>1207</v>
      </c>
      <c r="H43" s="39" t="s">
        <v>242</v>
      </c>
      <c r="I43" s="39" t="s">
        <v>356</v>
      </c>
      <c r="J43" s="39" t="s">
        <v>2756</v>
      </c>
    </row>
    <row r="44" ht="14.25" customHeight="1">
      <c r="A44" s="38" t="s">
        <v>1215</v>
      </c>
      <c r="B44" s="38" t="s">
        <v>1212</v>
      </c>
      <c r="C44" s="38" t="s">
        <v>267</v>
      </c>
      <c r="D44" s="38" t="s">
        <v>245</v>
      </c>
      <c r="E44" s="38" t="s">
        <v>243</v>
      </c>
      <c r="F44" s="38"/>
      <c r="G44" s="38" t="s">
        <v>1212</v>
      </c>
      <c r="H44" s="38" t="s">
        <v>322</v>
      </c>
      <c r="I44" s="38" t="s">
        <v>277</v>
      </c>
      <c r="J44" s="38" t="s">
        <v>2756</v>
      </c>
    </row>
    <row r="45" ht="14.25" customHeight="1">
      <c r="A45" s="39" t="s">
        <v>1215</v>
      </c>
      <c r="B45" s="39" t="s">
        <v>1212</v>
      </c>
      <c r="C45" s="39" t="s">
        <v>243</v>
      </c>
      <c r="D45" s="39" t="s">
        <v>245</v>
      </c>
      <c r="E45" s="39" t="s">
        <v>243</v>
      </c>
      <c r="F45" s="39"/>
      <c r="G45" s="39" t="s">
        <v>1212</v>
      </c>
      <c r="H45" s="39" t="s">
        <v>322</v>
      </c>
      <c r="I45" s="39" t="s">
        <v>316</v>
      </c>
      <c r="J45" s="39" t="s">
        <v>2756</v>
      </c>
    </row>
    <row r="46" ht="14.25" customHeight="1">
      <c r="A46" s="38" t="s">
        <v>1215</v>
      </c>
      <c r="B46" s="38" t="s">
        <v>1212</v>
      </c>
      <c r="C46" s="38" t="s">
        <v>346</v>
      </c>
      <c r="D46" s="38" t="s">
        <v>245</v>
      </c>
      <c r="E46" s="38" t="s">
        <v>243</v>
      </c>
      <c r="F46" s="38"/>
      <c r="G46" s="38" t="s">
        <v>1212</v>
      </c>
      <c r="H46" s="38" t="s">
        <v>322</v>
      </c>
      <c r="I46" s="38" t="s">
        <v>356</v>
      </c>
      <c r="J46" s="38" t="s">
        <v>2756</v>
      </c>
    </row>
    <row r="47" ht="14.25" customHeight="1">
      <c r="A47" s="39" t="s">
        <v>1220</v>
      </c>
      <c r="B47" s="39" t="s">
        <v>1218</v>
      </c>
      <c r="C47" s="39" t="s">
        <v>267</v>
      </c>
      <c r="D47" s="39" t="s">
        <v>245</v>
      </c>
      <c r="E47" s="39" t="s">
        <v>284</v>
      </c>
      <c r="F47" s="39"/>
      <c r="G47" s="39" t="s">
        <v>1218</v>
      </c>
      <c r="H47" s="39" t="s">
        <v>268</v>
      </c>
      <c r="I47" s="39" t="s">
        <v>277</v>
      </c>
      <c r="J47" s="39" t="s">
        <v>2756</v>
      </c>
    </row>
    <row r="48" ht="14.25" customHeight="1">
      <c r="A48" s="38" t="s">
        <v>1220</v>
      </c>
      <c r="B48" s="38" t="s">
        <v>1218</v>
      </c>
      <c r="C48" s="38" t="s">
        <v>243</v>
      </c>
      <c r="D48" s="38" t="s">
        <v>245</v>
      </c>
      <c r="E48" s="38" t="s">
        <v>284</v>
      </c>
      <c r="F48" s="38"/>
      <c r="G48" s="38" t="s">
        <v>1218</v>
      </c>
      <c r="H48" s="38" t="s">
        <v>242</v>
      </c>
      <c r="I48" s="38" t="s">
        <v>316</v>
      </c>
      <c r="J48" s="38" t="s">
        <v>2756</v>
      </c>
    </row>
    <row r="49" ht="14.25" customHeight="1">
      <c r="A49" s="39" t="s">
        <v>1220</v>
      </c>
      <c r="B49" s="39" t="s">
        <v>1218</v>
      </c>
      <c r="C49" s="39" t="s">
        <v>346</v>
      </c>
      <c r="D49" s="39" t="s">
        <v>245</v>
      </c>
      <c r="E49" s="39" t="s">
        <v>284</v>
      </c>
      <c r="F49" s="39"/>
      <c r="G49" s="39" t="s">
        <v>1218</v>
      </c>
      <c r="H49" s="39" t="s">
        <v>242</v>
      </c>
      <c r="I49" s="39" t="s">
        <v>356</v>
      </c>
      <c r="J49" s="39" t="s">
        <v>2756</v>
      </c>
    </row>
    <row r="50" ht="14.25" customHeight="1">
      <c r="A50" s="38" t="s">
        <v>1224</v>
      </c>
      <c r="B50" s="38" t="s">
        <v>1222</v>
      </c>
      <c r="C50" s="38" t="s">
        <v>267</v>
      </c>
      <c r="D50" s="38" t="s">
        <v>245</v>
      </c>
      <c r="E50" s="38" t="s">
        <v>243</v>
      </c>
      <c r="F50" s="38"/>
      <c r="G50" s="38" t="s">
        <v>1222</v>
      </c>
      <c r="H50" s="38" t="s">
        <v>268</v>
      </c>
      <c r="I50" s="38" t="s">
        <v>277</v>
      </c>
      <c r="J50" s="38" t="s">
        <v>2756</v>
      </c>
    </row>
    <row r="51" ht="14.25" customHeight="1">
      <c r="A51" s="39" t="s">
        <v>1224</v>
      </c>
      <c r="B51" s="39" t="s">
        <v>1222</v>
      </c>
      <c r="C51" s="39" t="s">
        <v>243</v>
      </c>
      <c r="D51" s="39" t="s">
        <v>245</v>
      </c>
      <c r="E51" s="39" t="s">
        <v>243</v>
      </c>
      <c r="F51" s="39"/>
      <c r="G51" s="39" t="s">
        <v>1222</v>
      </c>
      <c r="H51" s="39" t="s">
        <v>242</v>
      </c>
      <c r="I51" s="39" t="s">
        <v>316</v>
      </c>
      <c r="J51" s="39" t="s">
        <v>2756</v>
      </c>
    </row>
    <row r="52" ht="14.25" customHeight="1">
      <c r="A52" s="38" t="s">
        <v>1224</v>
      </c>
      <c r="B52" s="38" t="s">
        <v>1222</v>
      </c>
      <c r="C52" s="38" t="s">
        <v>346</v>
      </c>
      <c r="D52" s="38" t="s">
        <v>245</v>
      </c>
      <c r="E52" s="38" t="s">
        <v>243</v>
      </c>
      <c r="F52" s="38"/>
      <c r="G52" s="38" t="s">
        <v>1222</v>
      </c>
      <c r="H52" s="38" t="s">
        <v>242</v>
      </c>
      <c r="I52" s="38" t="s">
        <v>356</v>
      </c>
      <c r="J52" s="38" t="s">
        <v>2756</v>
      </c>
    </row>
    <row r="53" ht="14.25" customHeight="1">
      <c r="A53" s="39" t="s">
        <v>1230</v>
      </c>
      <c r="B53" s="39" t="s">
        <v>1226</v>
      </c>
      <c r="C53" s="39" t="s">
        <v>267</v>
      </c>
      <c r="D53" s="39" t="s">
        <v>245</v>
      </c>
      <c r="E53" s="39" t="s">
        <v>243</v>
      </c>
      <c r="F53" s="39"/>
      <c r="G53" s="39" t="s">
        <v>1226</v>
      </c>
      <c r="H53" s="39" t="s">
        <v>268</v>
      </c>
      <c r="I53" s="39" t="s">
        <v>277</v>
      </c>
      <c r="J53" s="39" t="s">
        <v>2756</v>
      </c>
    </row>
    <row r="54" ht="14.25" customHeight="1">
      <c r="A54" s="38" t="s">
        <v>1230</v>
      </c>
      <c r="B54" s="38" t="s">
        <v>1226</v>
      </c>
      <c r="C54" s="38" t="s">
        <v>243</v>
      </c>
      <c r="D54" s="38" t="s">
        <v>245</v>
      </c>
      <c r="E54" s="38" t="s">
        <v>243</v>
      </c>
      <c r="F54" s="38"/>
      <c r="G54" s="38" t="s">
        <v>1226</v>
      </c>
      <c r="H54" s="38" t="s">
        <v>268</v>
      </c>
      <c r="I54" s="38" t="s">
        <v>316</v>
      </c>
      <c r="J54" s="38" t="s">
        <v>2756</v>
      </c>
    </row>
    <row r="55" ht="14.25" customHeight="1">
      <c r="A55" s="39" t="s">
        <v>1230</v>
      </c>
      <c r="B55" s="39" t="s">
        <v>1226</v>
      </c>
      <c r="C55" s="39" t="s">
        <v>346</v>
      </c>
      <c r="D55" s="39" t="s">
        <v>245</v>
      </c>
      <c r="E55" s="39" t="s">
        <v>243</v>
      </c>
      <c r="F55" s="39"/>
      <c r="G55" s="39" t="s">
        <v>1226</v>
      </c>
      <c r="H55" s="39" t="s">
        <v>268</v>
      </c>
      <c r="I55" s="39" t="s">
        <v>356</v>
      </c>
      <c r="J55" s="39" t="s">
        <v>2756</v>
      </c>
    </row>
    <row r="56" ht="14.25" customHeight="1">
      <c r="A56" s="38" t="s">
        <v>1237</v>
      </c>
      <c r="B56" s="38" t="s">
        <v>1233</v>
      </c>
      <c r="C56" s="38" t="s">
        <v>267</v>
      </c>
      <c r="D56" s="38" t="s">
        <v>245</v>
      </c>
      <c r="E56" s="38" t="s">
        <v>243</v>
      </c>
      <c r="F56" s="38"/>
      <c r="G56" s="38" t="s">
        <v>1233</v>
      </c>
      <c r="H56" s="38" t="s">
        <v>268</v>
      </c>
      <c r="I56" s="38" t="s">
        <v>277</v>
      </c>
      <c r="J56" s="38" t="s">
        <v>2756</v>
      </c>
    </row>
    <row r="57" ht="14.25" customHeight="1">
      <c r="A57" s="39" t="s">
        <v>1237</v>
      </c>
      <c r="B57" s="39" t="s">
        <v>1233</v>
      </c>
      <c r="C57" s="39" t="s">
        <v>243</v>
      </c>
      <c r="D57" s="39" t="s">
        <v>245</v>
      </c>
      <c r="E57" s="39" t="s">
        <v>243</v>
      </c>
      <c r="F57" s="39"/>
      <c r="G57" s="39" t="s">
        <v>1233</v>
      </c>
      <c r="H57" s="39" t="s">
        <v>268</v>
      </c>
      <c r="I57" s="39" t="s">
        <v>316</v>
      </c>
      <c r="J57" s="39" t="s">
        <v>2756</v>
      </c>
    </row>
    <row r="58" ht="14.25" customHeight="1">
      <c r="A58" s="38" t="s">
        <v>1237</v>
      </c>
      <c r="B58" s="38" t="s">
        <v>1233</v>
      </c>
      <c r="C58" s="38" t="s">
        <v>346</v>
      </c>
      <c r="D58" s="38" t="s">
        <v>245</v>
      </c>
      <c r="E58" s="38" t="s">
        <v>243</v>
      </c>
      <c r="F58" s="38"/>
      <c r="G58" s="38" t="s">
        <v>1233</v>
      </c>
      <c r="H58" s="38" t="s">
        <v>268</v>
      </c>
      <c r="I58" s="38" t="s">
        <v>356</v>
      </c>
      <c r="J58" s="38" t="s">
        <v>2756</v>
      </c>
    </row>
    <row r="59" ht="14.25" customHeight="1">
      <c r="A59" s="39" t="s">
        <v>1241</v>
      </c>
      <c r="B59" s="39" t="s">
        <v>1239</v>
      </c>
      <c r="C59" s="39" t="s">
        <v>267</v>
      </c>
      <c r="D59" s="39" t="s">
        <v>245</v>
      </c>
      <c r="E59" s="39" t="s">
        <v>243</v>
      </c>
      <c r="F59" s="39"/>
      <c r="G59" s="39" t="s">
        <v>1239</v>
      </c>
      <c r="H59" s="39" t="s">
        <v>268</v>
      </c>
      <c r="I59" s="39" t="s">
        <v>277</v>
      </c>
      <c r="J59" s="39" t="s">
        <v>2756</v>
      </c>
    </row>
    <row r="60" ht="14.25" customHeight="1">
      <c r="A60" s="38" t="s">
        <v>1241</v>
      </c>
      <c r="B60" s="38" t="s">
        <v>1239</v>
      </c>
      <c r="C60" s="38" t="s">
        <v>243</v>
      </c>
      <c r="D60" s="38" t="s">
        <v>245</v>
      </c>
      <c r="E60" s="38" t="s">
        <v>243</v>
      </c>
      <c r="F60" s="38"/>
      <c r="G60" s="38" t="s">
        <v>1239</v>
      </c>
      <c r="H60" s="38" t="s">
        <v>268</v>
      </c>
      <c r="I60" s="38" t="s">
        <v>316</v>
      </c>
      <c r="J60" s="38" t="s">
        <v>2756</v>
      </c>
    </row>
    <row r="61" ht="14.25" customHeight="1">
      <c r="A61" s="39" t="s">
        <v>1241</v>
      </c>
      <c r="B61" s="39" t="s">
        <v>1239</v>
      </c>
      <c r="C61" s="39" t="s">
        <v>346</v>
      </c>
      <c r="D61" s="39" t="s">
        <v>245</v>
      </c>
      <c r="E61" s="39" t="s">
        <v>243</v>
      </c>
      <c r="F61" s="39"/>
      <c r="G61" s="39" t="s">
        <v>1239</v>
      </c>
      <c r="H61" s="39" t="s">
        <v>268</v>
      </c>
      <c r="I61" s="39" t="s">
        <v>356</v>
      </c>
      <c r="J61" s="39" t="s">
        <v>2756</v>
      </c>
    </row>
    <row r="62" ht="14.25" customHeight="1">
      <c r="A62" s="38" t="s">
        <v>1245</v>
      </c>
      <c r="B62" s="38" t="s">
        <v>1243</v>
      </c>
      <c r="C62" s="38" t="s">
        <v>267</v>
      </c>
      <c r="D62" s="38" t="s">
        <v>245</v>
      </c>
      <c r="E62" s="38" t="s">
        <v>284</v>
      </c>
      <c r="F62" s="38"/>
      <c r="G62" s="38" t="s">
        <v>1243</v>
      </c>
      <c r="H62" s="38" t="s">
        <v>268</v>
      </c>
      <c r="I62" s="38" t="s">
        <v>277</v>
      </c>
      <c r="J62" s="38" t="s">
        <v>2756</v>
      </c>
    </row>
    <row r="63" ht="14.25" customHeight="1">
      <c r="A63" s="39" t="s">
        <v>1245</v>
      </c>
      <c r="B63" s="39" t="s">
        <v>1243</v>
      </c>
      <c r="C63" s="39" t="s">
        <v>243</v>
      </c>
      <c r="D63" s="39" t="s">
        <v>245</v>
      </c>
      <c r="E63" s="39" t="s">
        <v>284</v>
      </c>
      <c r="F63" s="39"/>
      <c r="G63" s="39" t="s">
        <v>1243</v>
      </c>
      <c r="H63" s="39" t="s">
        <v>242</v>
      </c>
      <c r="I63" s="39" t="s">
        <v>316</v>
      </c>
      <c r="J63" s="39" t="s">
        <v>2756</v>
      </c>
    </row>
    <row r="64" ht="14.25" customHeight="1">
      <c r="A64" s="38" t="s">
        <v>1245</v>
      </c>
      <c r="B64" s="38" t="s">
        <v>1243</v>
      </c>
      <c r="C64" s="38" t="s">
        <v>346</v>
      </c>
      <c r="D64" s="38" t="s">
        <v>245</v>
      </c>
      <c r="E64" s="38" t="s">
        <v>284</v>
      </c>
      <c r="F64" s="38"/>
      <c r="G64" s="38" t="s">
        <v>1243</v>
      </c>
      <c r="H64" s="38" t="s">
        <v>242</v>
      </c>
      <c r="I64" s="38" t="s">
        <v>356</v>
      </c>
      <c r="J64" s="38" t="s">
        <v>2756</v>
      </c>
    </row>
    <row r="65" ht="14.25" customHeight="1">
      <c r="A65" s="39" t="s">
        <v>1248</v>
      </c>
      <c r="B65" s="39" t="s">
        <v>1247</v>
      </c>
      <c r="C65" s="39" t="s">
        <v>267</v>
      </c>
      <c r="D65" s="39" t="s">
        <v>245</v>
      </c>
      <c r="E65" s="39" t="s">
        <v>243</v>
      </c>
      <c r="F65" s="39"/>
      <c r="G65" s="39" t="s">
        <v>1247</v>
      </c>
      <c r="H65" s="39" t="s">
        <v>268</v>
      </c>
      <c r="I65" s="39" t="s">
        <v>277</v>
      </c>
      <c r="J65" s="39" t="s">
        <v>2756</v>
      </c>
    </row>
    <row r="66" ht="14.25" customHeight="1">
      <c r="A66" s="38" t="s">
        <v>1248</v>
      </c>
      <c r="B66" s="38" t="s">
        <v>1247</v>
      </c>
      <c r="C66" s="38" t="s">
        <v>243</v>
      </c>
      <c r="D66" s="38" t="s">
        <v>245</v>
      </c>
      <c r="E66" s="38" t="s">
        <v>243</v>
      </c>
      <c r="F66" s="38"/>
      <c r="G66" s="38" t="s">
        <v>1247</v>
      </c>
      <c r="H66" s="38" t="s">
        <v>242</v>
      </c>
      <c r="I66" s="38" t="s">
        <v>316</v>
      </c>
      <c r="J66" s="38" t="s">
        <v>2756</v>
      </c>
    </row>
    <row r="67" ht="14.25" customHeight="1">
      <c r="A67" s="39" t="s">
        <v>1248</v>
      </c>
      <c r="B67" s="39" t="s">
        <v>1247</v>
      </c>
      <c r="C67" s="39" t="s">
        <v>346</v>
      </c>
      <c r="D67" s="39" t="s">
        <v>245</v>
      </c>
      <c r="E67" s="39" t="s">
        <v>243</v>
      </c>
      <c r="F67" s="39"/>
      <c r="G67" s="39" t="s">
        <v>1247</v>
      </c>
      <c r="H67" s="39" t="s">
        <v>242</v>
      </c>
      <c r="I67" s="39" t="s">
        <v>356</v>
      </c>
      <c r="J67" s="39" t="s">
        <v>2756</v>
      </c>
    </row>
    <row r="68" ht="14.25" customHeight="1">
      <c r="A68" s="38" t="s">
        <v>1253</v>
      </c>
      <c r="B68" s="38" t="s">
        <v>1250</v>
      </c>
      <c r="C68" s="38" t="s">
        <v>267</v>
      </c>
      <c r="D68" s="38" t="s">
        <v>245</v>
      </c>
      <c r="E68" s="38" t="s">
        <v>243</v>
      </c>
      <c r="F68" s="38"/>
      <c r="G68" s="38" t="s">
        <v>1250</v>
      </c>
      <c r="H68" s="38" t="s">
        <v>268</v>
      </c>
      <c r="I68" s="38" t="s">
        <v>277</v>
      </c>
      <c r="J68" s="38" t="s">
        <v>2756</v>
      </c>
    </row>
    <row r="69" ht="14.25" customHeight="1">
      <c r="A69" s="39" t="s">
        <v>1253</v>
      </c>
      <c r="B69" s="39" t="s">
        <v>1250</v>
      </c>
      <c r="C69" s="39" t="s">
        <v>243</v>
      </c>
      <c r="D69" s="39" t="s">
        <v>245</v>
      </c>
      <c r="E69" s="39" t="s">
        <v>243</v>
      </c>
      <c r="F69" s="39"/>
      <c r="G69" s="39" t="s">
        <v>1250</v>
      </c>
      <c r="H69" s="39" t="s">
        <v>242</v>
      </c>
      <c r="I69" s="39" t="s">
        <v>316</v>
      </c>
      <c r="J69" s="39" t="s">
        <v>2756</v>
      </c>
    </row>
    <row r="70" ht="14.25" customHeight="1">
      <c r="A70" s="38" t="s">
        <v>1253</v>
      </c>
      <c r="B70" s="38" t="s">
        <v>1250</v>
      </c>
      <c r="C70" s="38" t="s">
        <v>346</v>
      </c>
      <c r="D70" s="38" t="s">
        <v>245</v>
      </c>
      <c r="E70" s="38" t="s">
        <v>243</v>
      </c>
      <c r="F70" s="38"/>
      <c r="G70" s="38" t="s">
        <v>1250</v>
      </c>
      <c r="H70" s="38" t="s">
        <v>242</v>
      </c>
      <c r="I70" s="38" t="s">
        <v>356</v>
      </c>
      <c r="J70" s="38" t="s">
        <v>2756</v>
      </c>
    </row>
    <row r="71" ht="14.25" customHeight="1">
      <c r="A71" s="39" t="s">
        <v>1258</v>
      </c>
      <c r="B71" s="39" t="s">
        <v>1256</v>
      </c>
      <c r="C71" s="39" t="s">
        <v>267</v>
      </c>
      <c r="D71" s="39" t="s">
        <v>245</v>
      </c>
      <c r="E71" s="39" t="s">
        <v>243</v>
      </c>
      <c r="F71" s="39"/>
      <c r="G71" s="39" t="s">
        <v>1256</v>
      </c>
      <c r="H71" s="39" t="s">
        <v>268</v>
      </c>
      <c r="I71" s="39" t="s">
        <v>277</v>
      </c>
      <c r="J71" s="39" t="s">
        <v>2756</v>
      </c>
    </row>
    <row r="72" ht="14.25" customHeight="1">
      <c r="A72" s="38" t="s">
        <v>1258</v>
      </c>
      <c r="B72" s="38" t="s">
        <v>1256</v>
      </c>
      <c r="C72" s="38" t="s">
        <v>243</v>
      </c>
      <c r="D72" s="38" t="s">
        <v>245</v>
      </c>
      <c r="E72" s="38" t="s">
        <v>243</v>
      </c>
      <c r="F72" s="38"/>
      <c r="G72" s="38" t="s">
        <v>1256</v>
      </c>
      <c r="H72" s="38" t="s">
        <v>242</v>
      </c>
      <c r="I72" s="38" t="s">
        <v>316</v>
      </c>
      <c r="J72" s="38" t="s">
        <v>2756</v>
      </c>
    </row>
    <row r="73" ht="14.25" customHeight="1">
      <c r="A73" s="39" t="s">
        <v>1258</v>
      </c>
      <c r="B73" s="39" t="s">
        <v>1256</v>
      </c>
      <c r="C73" s="39" t="s">
        <v>346</v>
      </c>
      <c r="D73" s="39" t="s">
        <v>245</v>
      </c>
      <c r="E73" s="39" t="s">
        <v>243</v>
      </c>
      <c r="F73" s="39"/>
      <c r="G73" s="39" t="s">
        <v>1256</v>
      </c>
      <c r="H73" s="39" t="s">
        <v>242</v>
      </c>
      <c r="I73" s="39" t="s">
        <v>356</v>
      </c>
      <c r="J73" s="39" t="s">
        <v>2756</v>
      </c>
    </row>
    <row r="74" ht="14.25" customHeight="1">
      <c r="A74" s="38" t="s">
        <v>1263</v>
      </c>
      <c r="B74" s="38" t="s">
        <v>1260</v>
      </c>
      <c r="C74" s="38" t="s">
        <v>267</v>
      </c>
      <c r="D74" s="38" t="s">
        <v>245</v>
      </c>
      <c r="E74" s="38" t="s">
        <v>243</v>
      </c>
      <c r="F74" s="38"/>
      <c r="G74" s="38" t="s">
        <v>1260</v>
      </c>
      <c r="H74" s="38" t="s">
        <v>268</v>
      </c>
      <c r="I74" s="38" t="s">
        <v>277</v>
      </c>
      <c r="J74" s="38" t="s">
        <v>2756</v>
      </c>
    </row>
    <row r="75" ht="14.25" customHeight="1">
      <c r="A75" s="39" t="s">
        <v>1263</v>
      </c>
      <c r="B75" s="39" t="s">
        <v>1260</v>
      </c>
      <c r="C75" s="39" t="s">
        <v>243</v>
      </c>
      <c r="D75" s="39" t="s">
        <v>245</v>
      </c>
      <c r="E75" s="39" t="s">
        <v>243</v>
      </c>
      <c r="F75" s="39"/>
      <c r="G75" s="39" t="s">
        <v>1260</v>
      </c>
      <c r="H75" s="39" t="s">
        <v>242</v>
      </c>
      <c r="I75" s="39" t="s">
        <v>316</v>
      </c>
      <c r="J75" s="39" t="s">
        <v>2756</v>
      </c>
    </row>
    <row r="76" ht="14.25" customHeight="1">
      <c r="A76" s="38" t="s">
        <v>1263</v>
      </c>
      <c r="B76" s="38" t="s">
        <v>1260</v>
      </c>
      <c r="C76" s="38" t="s">
        <v>346</v>
      </c>
      <c r="D76" s="38" t="s">
        <v>245</v>
      </c>
      <c r="E76" s="38" t="s">
        <v>243</v>
      </c>
      <c r="F76" s="38"/>
      <c r="G76" s="38" t="s">
        <v>1260</v>
      </c>
      <c r="H76" s="38" t="s">
        <v>242</v>
      </c>
      <c r="I76" s="38" t="s">
        <v>356</v>
      </c>
      <c r="J76" s="38" t="s">
        <v>2756</v>
      </c>
    </row>
    <row r="77" ht="14.25" customHeight="1">
      <c r="A77" s="39" t="s">
        <v>1269</v>
      </c>
      <c r="B77" s="39" t="s">
        <v>1266</v>
      </c>
      <c r="C77" s="39" t="s">
        <v>267</v>
      </c>
      <c r="D77" s="39" t="s">
        <v>245</v>
      </c>
      <c r="E77" s="39" t="s">
        <v>243</v>
      </c>
      <c r="F77" s="39"/>
      <c r="G77" s="39" t="s">
        <v>1266</v>
      </c>
      <c r="H77" s="39" t="s">
        <v>268</v>
      </c>
      <c r="I77" s="39" t="s">
        <v>277</v>
      </c>
      <c r="J77" s="39" t="s">
        <v>2756</v>
      </c>
    </row>
    <row r="78" ht="14.25" customHeight="1">
      <c r="A78" s="38" t="s">
        <v>1269</v>
      </c>
      <c r="B78" s="38" t="s">
        <v>1266</v>
      </c>
      <c r="C78" s="38" t="s">
        <v>243</v>
      </c>
      <c r="D78" s="38" t="s">
        <v>245</v>
      </c>
      <c r="E78" s="38" t="s">
        <v>243</v>
      </c>
      <c r="F78" s="38"/>
      <c r="G78" s="38" t="s">
        <v>1266</v>
      </c>
      <c r="H78" s="38" t="s">
        <v>242</v>
      </c>
      <c r="I78" s="38" t="s">
        <v>316</v>
      </c>
      <c r="J78" s="38" t="s">
        <v>2756</v>
      </c>
    </row>
    <row r="79" ht="14.25" customHeight="1">
      <c r="A79" s="39" t="s">
        <v>1269</v>
      </c>
      <c r="B79" s="39" t="s">
        <v>1266</v>
      </c>
      <c r="C79" s="39" t="s">
        <v>346</v>
      </c>
      <c r="D79" s="39" t="s">
        <v>245</v>
      </c>
      <c r="E79" s="39" t="s">
        <v>243</v>
      </c>
      <c r="F79" s="39"/>
      <c r="G79" s="39" t="s">
        <v>1266</v>
      </c>
      <c r="H79" s="39" t="s">
        <v>242</v>
      </c>
      <c r="I79" s="39" t="s">
        <v>356</v>
      </c>
      <c r="J79" s="39" t="s">
        <v>2756</v>
      </c>
    </row>
    <row r="80" ht="14.25" customHeight="1">
      <c r="A80" s="38" t="s">
        <v>1275</v>
      </c>
      <c r="B80" s="38" t="s">
        <v>1272</v>
      </c>
      <c r="C80" s="38" t="s">
        <v>267</v>
      </c>
      <c r="D80" s="38" t="s">
        <v>245</v>
      </c>
      <c r="E80" s="38" t="s">
        <v>243</v>
      </c>
      <c r="F80" s="38"/>
      <c r="G80" s="38" t="s">
        <v>1272</v>
      </c>
      <c r="H80" s="38" t="s">
        <v>268</v>
      </c>
      <c r="I80" s="38" t="s">
        <v>277</v>
      </c>
      <c r="J80" s="38" t="s">
        <v>2756</v>
      </c>
    </row>
    <row r="81" ht="14.25" customHeight="1">
      <c r="A81" s="39" t="s">
        <v>1275</v>
      </c>
      <c r="B81" s="39" t="s">
        <v>1272</v>
      </c>
      <c r="C81" s="39" t="s">
        <v>243</v>
      </c>
      <c r="D81" s="39" t="s">
        <v>245</v>
      </c>
      <c r="E81" s="39" t="s">
        <v>243</v>
      </c>
      <c r="F81" s="39"/>
      <c r="G81" s="39" t="s">
        <v>1272</v>
      </c>
      <c r="H81" s="39" t="s">
        <v>242</v>
      </c>
      <c r="I81" s="39" t="s">
        <v>316</v>
      </c>
      <c r="J81" s="39" t="s">
        <v>2756</v>
      </c>
    </row>
    <row r="82" ht="14.25" customHeight="1">
      <c r="A82" s="38" t="s">
        <v>1275</v>
      </c>
      <c r="B82" s="38" t="s">
        <v>1272</v>
      </c>
      <c r="C82" s="38" t="s">
        <v>346</v>
      </c>
      <c r="D82" s="38" t="s">
        <v>245</v>
      </c>
      <c r="E82" s="38" t="s">
        <v>243</v>
      </c>
      <c r="F82" s="38"/>
      <c r="G82" s="38" t="s">
        <v>1272</v>
      </c>
      <c r="H82" s="38" t="s">
        <v>242</v>
      </c>
      <c r="I82" s="38" t="s">
        <v>356</v>
      </c>
      <c r="J82" s="38" t="s">
        <v>2756</v>
      </c>
    </row>
    <row r="83" ht="14.25" customHeight="1">
      <c r="A83" s="39" t="s">
        <v>1349</v>
      </c>
      <c r="B83" s="39" t="s">
        <v>1347</v>
      </c>
      <c r="C83" s="39" t="s">
        <v>267</v>
      </c>
      <c r="D83" s="39" t="s">
        <v>245</v>
      </c>
      <c r="E83" s="39" t="s">
        <v>243</v>
      </c>
      <c r="F83" s="39"/>
      <c r="G83" s="39" t="s">
        <v>1347</v>
      </c>
      <c r="H83" s="39" t="s">
        <v>268</v>
      </c>
      <c r="I83" s="39" t="s">
        <v>277</v>
      </c>
      <c r="J83" s="39" t="s">
        <v>2756</v>
      </c>
    </row>
    <row r="84" ht="14.25" customHeight="1">
      <c r="A84" s="38" t="s">
        <v>1349</v>
      </c>
      <c r="B84" s="38" t="s">
        <v>1347</v>
      </c>
      <c r="C84" s="38" t="s">
        <v>243</v>
      </c>
      <c r="D84" s="38" t="s">
        <v>245</v>
      </c>
      <c r="E84" s="38" t="s">
        <v>243</v>
      </c>
      <c r="F84" s="38"/>
      <c r="G84" s="38" t="s">
        <v>1347</v>
      </c>
      <c r="H84" s="38" t="s">
        <v>242</v>
      </c>
      <c r="I84" s="38" t="s">
        <v>316</v>
      </c>
      <c r="J84" s="38" t="s">
        <v>2756</v>
      </c>
    </row>
    <row r="85" ht="14.25" customHeight="1">
      <c r="A85" s="39" t="s">
        <v>1349</v>
      </c>
      <c r="B85" s="39" t="s">
        <v>1347</v>
      </c>
      <c r="C85" s="39" t="s">
        <v>346</v>
      </c>
      <c r="D85" s="39" t="s">
        <v>245</v>
      </c>
      <c r="E85" s="39" t="s">
        <v>243</v>
      </c>
      <c r="F85" s="39"/>
      <c r="G85" s="39" t="s">
        <v>1347</v>
      </c>
      <c r="H85" s="39" t="s">
        <v>242</v>
      </c>
      <c r="I85" s="39" t="s">
        <v>356</v>
      </c>
      <c r="J85" s="39" t="s">
        <v>2756</v>
      </c>
    </row>
    <row r="86" ht="14.25" customHeight="1">
      <c r="A86" s="38" t="s">
        <v>1358</v>
      </c>
      <c r="B86" s="38" t="s">
        <v>1356</v>
      </c>
      <c r="C86" s="38" t="s">
        <v>267</v>
      </c>
      <c r="D86" s="38" t="s">
        <v>245</v>
      </c>
      <c r="E86" s="38" t="s">
        <v>243</v>
      </c>
      <c r="F86" s="38"/>
      <c r="G86" s="38" t="s">
        <v>1356</v>
      </c>
      <c r="H86" s="38" t="s">
        <v>268</v>
      </c>
      <c r="I86" s="38" t="s">
        <v>277</v>
      </c>
      <c r="J86" s="38" t="s">
        <v>2756</v>
      </c>
    </row>
    <row r="87" ht="14.25" customHeight="1">
      <c r="A87" s="39" t="s">
        <v>1358</v>
      </c>
      <c r="B87" s="39" t="s">
        <v>1356</v>
      </c>
      <c r="C87" s="39" t="s">
        <v>243</v>
      </c>
      <c r="D87" s="39" t="s">
        <v>245</v>
      </c>
      <c r="E87" s="39" t="s">
        <v>243</v>
      </c>
      <c r="F87" s="39"/>
      <c r="G87" s="39" t="s">
        <v>1356</v>
      </c>
      <c r="H87" s="39" t="s">
        <v>242</v>
      </c>
      <c r="I87" s="39" t="s">
        <v>316</v>
      </c>
      <c r="J87" s="39" t="s">
        <v>2756</v>
      </c>
    </row>
    <row r="88" ht="14.25" customHeight="1">
      <c r="A88" s="38" t="s">
        <v>1358</v>
      </c>
      <c r="B88" s="38" t="s">
        <v>1356</v>
      </c>
      <c r="C88" s="38" t="s">
        <v>346</v>
      </c>
      <c r="D88" s="38" t="s">
        <v>245</v>
      </c>
      <c r="E88" s="38" t="s">
        <v>243</v>
      </c>
      <c r="F88" s="38"/>
      <c r="G88" s="38" t="s">
        <v>1356</v>
      </c>
      <c r="H88" s="38" t="s">
        <v>242</v>
      </c>
      <c r="I88" s="38" t="s">
        <v>356</v>
      </c>
      <c r="J88" s="38" t="s">
        <v>2756</v>
      </c>
    </row>
    <row r="89" ht="14.25" customHeight="1">
      <c r="A89" s="39" t="s">
        <v>1361</v>
      </c>
      <c r="B89" s="39" t="s">
        <v>1360</v>
      </c>
      <c r="C89" s="39" t="s">
        <v>267</v>
      </c>
      <c r="D89" s="39" t="s">
        <v>245</v>
      </c>
      <c r="E89" s="39" t="s">
        <v>243</v>
      </c>
      <c r="F89" s="39"/>
      <c r="G89" s="39" t="s">
        <v>1360</v>
      </c>
      <c r="H89" s="39" t="s">
        <v>268</v>
      </c>
      <c r="I89" s="39" t="s">
        <v>277</v>
      </c>
      <c r="J89" s="39" t="s">
        <v>2756</v>
      </c>
    </row>
    <row r="90" ht="14.25" customHeight="1">
      <c r="A90" s="38" t="s">
        <v>1361</v>
      </c>
      <c r="B90" s="38" t="s">
        <v>1360</v>
      </c>
      <c r="C90" s="38" t="s">
        <v>243</v>
      </c>
      <c r="D90" s="38" t="s">
        <v>245</v>
      </c>
      <c r="E90" s="38" t="s">
        <v>243</v>
      </c>
      <c r="F90" s="38"/>
      <c r="G90" s="38" t="s">
        <v>1360</v>
      </c>
      <c r="H90" s="38" t="s">
        <v>242</v>
      </c>
      <c r="I90" s="38" t="s">
        <v>316</v>
      </c>
      <c r="J90" s="38" t="s">
        <v>2756</v>
      </c>
    </row>
    <row r="91" ht="14.25" customHeight="1">
      <c r="A91" s="39" t="s">
        <v>1361</v>
      </c>
      <c r="B91" s="39" t="s">
        <v>1360</v>
      </c>
      <c r="C91" s="39" t="s">
        <v>346</v>
      </c>
      <c r="D91" s="39" t="s">
        <v>245</v>
      </c>
      <c r="E91" s="39" t="s">
        <v>243</v>
      </c>
      <c r="F91" s="39"/>
      <c r="G91" s="39" t="s">
        <v>1360</v>
      </c>
      <c r="H91" s="39" t="s">
        <v>242</v>
      </c>
      <c r="I91" s="39" t="s">
        <v>356</v>
      </c>
      <c r="J91" s="39" t="s">
        <v>2756</v>
      </c>
    </row>
    <row r="92" ht="14.25" customHeight="1">
      <c r="A92" s="38" t="s">
        <v>1364</v>
      </c>
      <c r="B92" s="38" t="s">
        <v>1363</v>
      </c>
      <c r="C92" s="38" t="s">
        <v>267</v>
      </c>
      <c r="D92" s="38" t="s">
        <v>245</v>
      </c>
      <c r="E92" s="38" t="s">
        <v>243</v>
      </c>
      <c r="F92" s="38"/>
      <c r="G92" s="38" t="s">
        <v>1363</v>
      </c>
      <c r="H92" s="38" t="s">
        <v>268</v>
      </c>
      <c r="I92" s="38" t="s">
        <v>277</v>
      </c>
      <c r="J92" s="38" t="s">
        <v>2756</v>
      </c>
    </row>
    <row r="93" ht="14.25" customHeight="1">
      <c r="A93" s="39" t="s">
        <v>1364</v>
      </c>
      <c r="B93" s="39" t="s">
        <v>1363</v>
      </c>
      <c r="C93" s="39" t="s">
        <v>243</v>
      </c>
      <c r="D93" s="39" t="s">
        <v>245</v>
      </c>
      <c r="E93" s="39" t="s">
        <v>243</v>
      </c>
      <c r="F93" s="39"/>
      <c r="G93" s="39" t="s">
        <v>1363</v>
      </c>
      <c r="H93" s="39" t="s">
        <v>242</v>
      </c>
      <c r="I93" s="39" t="s">
        <v>316</v>
      </c>
      <c r="J93" s="39" t="s">
        <v>2756</v>
      </c>
    </row>
    <row r="94" ht="14.25" customHeight="1">
      <c r="A94" s="38" t="s">
        <v>1364</v>
      </c>
      <c r="B94" s="38" t="s">
        <v>1363</v>
      </c>
      <c r="C94" s="38" t="s">
        <v>346</v>
      </c>
      <c r="D94" s="38" t="s">
        <v>245</v>
      </c>
      <c r="E94" s="38" t="s">
        <v>243</v>
      </c>
      <c r="F94" s="38"/>
      <c r="G94" s="38" t="s">
        <v>1363</v>
      </c>
      <c r="H94" s="38" t="s">
        <v>242</v>
      </c>
      <c r="I94" s="38" t="s">
        <v>356</v>
      </c>
      <c r="J94" s="38" t="s">
        <v>2756</v>
      </c>
    </row>
    <row r="95" ht="14.25" customHeight="1">
      <c r="A95" s="39" t="s">
        <v>1370</v>
      </c>
      <c r="B95" s="39" t="s">
        <v>1366</v>
      </c>
      <c r="C95" s="39" t="s">
        <v>267</v>
      </c>
      <c r="D95" s="39" t="s">
        <v>245</v>
      </c>
      <c r="E95" s="39" t="s">
        <v>243</v>
      </c>
      <c r="F95" s="39"/>
      <c r="G95" s="39" t="s">
        <v>1366</v>
      </c>
      <c r="H95" s="39" t="s">
        <v>268</v>
      </c>
      <c r="I95" s="39" t="s">
        <v>277</v>
      </c>
      <c r="J95" s="39" t="s">
        <v>2756</v>
      </c>
    </row>
    <row r="96" ht="14.25" customHeight="1">
      <c r="A96" s="38" t="s">
        <v>1370</v>
      </c>
      <c r="B96" s="38" t="s">
        <v>1366</v>
      </c>
      <c r="C96" s="38" t="s">
        <v>243</v>
      </c>
      <c r="D96" s="38" t="s">
        <v>245</v>
      </c>
      <c r="E96" s="38" t="s">
        <v>243</v>
      </c>
      <c r="F96" s="38"/>
      <c r="G96" s="38" t="s">
        <v>1366</v>
      </c>
      <c r="H96" s="38" t="s">
        <v>242</v>
      </c>
      <c r="I96" s="38" t="s">
        <v>316</v>
      </c>
      <c r="J96" s="38" t="s">
        <v>2756</v>
      </c>
    </row>
    <row r="97" ht="14.25" customHeight="1">
      <c r="A97" s="39" t="s">
        <v>1370</v>
      </c>
      <c r="B97" s="39" t="s">
        <v>1366</v>
      </c>
      <c r="C97" s="39" t="s">
        <v>346</v>
      </c>
      <c r="D97" s="39" t="s">
        <v>245</v>
      </c>
      <c r="E97" s="39" t="s">
        <v>243</v>
      </c>
      <c r="F97" s="39"/>
      <c r="G97" s="39" t="s">
        <v>1366</v>
      </c>
      <c r="H97" s="39" t="s">
        <v>242</v>
      </c>
      <c r="I97" s="39" t="s">
        <v>356</v>
      </c>
      <c r="J97" s="39" t="s">
        <v>2756</v>
      </c>
    </row>
    <row r="98" ht="14.25" customHeight="1">
      <c r="A98" s="38" t="s">
        <v>1432</v>
      </c>
      <c r="B98" s="38" t="s">
        <v>1430</v>
      </c>
      <c r="C98" s="38" t="s">
        <v>267</v>
      </c>
      <c r="D98" s="38" t="s">
        <v>245</v>
      </c>
      <c r="E98" s="38" t="s">
        <v>243</v>
      </c>
      <c r="F98" s="38"/>
      <c r="G98" s="38" t="s">
        <v>1430</v>
      </c>
      <c r="H98" s="38" t="s">
        <v>268</v>
      </c>
      <c r="I98" s="38" t="s">
        <v>277</v>
      </c>
      <c r="J98" s="38" t="s">
        <v>2756</v>
      </c>
    </row>
    <row r="99" ht="14.25" customHeight="1">
      <c r="A99" s="39" t="s">
        <v>1432</v>
      </c>
      <c r="B99" s="39" t="s">
        <v>1430</v>
      </c>
      <c r="C99" s="39" t="s">
        <v>243</v>
      </c>
      <c r="D99" s="39" t="s">
        <v>245</v>
      </c>
      <c r="E99" s="39" t="s">
        <v>243</v>
      </c>
      <c r="F99" s="39"/>
      <c r="G99" s="39" t="s">
        <v>1430</v>
      </c>
      <c r="H99" s="39" t="s">
        <v>268</v>
      </c>
      <c r="I99" s="39" t="s">
        <v>316</v>
      </c>
      <c r="J99" s="39" t="s">
        <v>2756</v>
      </c>
    </row>
    <row r="100" ht="14.25" customHeight="1">
      <c r="A100" s="38" t="s">
        <v>1432</v>
      </c>
      <c r="B100" s="38" t="s">
        <v>1430</v>
      </c>
      <c r="C100" s="38" t="s">
        <v>346</v>
      </c>
      <c r="D100" s="38" t="s">
        <v>245</v>
      </c>
      <c r="E100" s="38" t="s">
        <v>243</v>
      </c>
      <c r="F100" s="38"/>
      <c r="G100" s="38" t="s">
        <v>1430</v>
      </c>
      <c r="H100" s="38" t="s">
        <v>268</v>
      </c>
      <c r="I100" s="38" t="s">
        <v>356</v>
      </c>
      <c r="J100" s="38" t="s">
        <v>2756</v>
      </c>
    </row>
    <row r="101" ht="14.25" customHeight="1">
      <c r="A101" s="39" t="s">
        <v>1437</v>
      </c>
      <c r="B101" s="39" t="s">
        <v>1434</v>
      </c>
      <c r="C101" s="39" t="s">
        <v>267</v>
      </c>
      <c r="D101" s="39" t="s">
        <v>245</v>
      </c>
      <c r="E101" s="39" t="s">
        <v>243</v>
      </c>
      <c r="F101" s="39"/>
      <c r="G101" s="39" t="s">
        <v>1434</v>
      </c>
      <c r="H101" s="39" t="s">
        <v>268</v>
      </c>
      <c r="I101" s="39" t="s">
        <v>277</v>
      </c>
      <c r="J101" s="39" t="s">
        <v>2756</v>
      </c>
    </row>
    <row r="102" ht="14.25" customHeight="1">
      <c r="A102" s="38" t="s">
        <v>1437</v>
      </c>
      <c r="B102" s="38" t="s">
        <v>1434</v>
      </c>
      <c r="C102" s="38" t="s">
        <v>243</v>
      </c>
      <c r="D102" s="38" t="s">
        <v>245</v>
      </c>
      <c r="E102" s="38" t="s">
        <v>243</v>
      </c>
      <c r="F102" s="38"/>
      <c r="G102" s="38" t="s">
        <v>1434</v>
      </c>
      <c r="H102" s="38" t="s">
        <v>268</v>
      </c>
      <c r="I102" s="38" t="s">
        <v>316</v>
      </c>
      <c r="J102" s="38" t="s">
        <v>2756</v>
      </c>
    </row>
    <row r="103" ht="14.25" customHeight="1">
      <c r="A103" s="39" t="s">
        <v>1437</v>
      </c>
      <c r="B103" s="39" t="s">
        <v>1434</v>
      </c>
      <c r="C103" s="39" t="s">
        <v>346</v>
      </c>
      <c r="D103" s="39" t="s">
        <v>245</v>
      </c>
      <c r="E103" s="39" t="s">
        <v>243</v>
      </c>
      <c r="F103" s="39"/>
      <c r="G103" s="39" t="s">
        <v>1434</v>
      </c>
      <c r="H103" s="39" t="s">
        <v>268</v>
      </c>
      <c r="I103" s="39" t="s">
        <v>356</v>
      </c>
      <c r="J103" s="39" t="s">
        <v>2756</v>
      </c>
    </row>
    <row r="104" ht="14.25" customHeight="1">
      <c r="A104" s="38" t="s">
        <v>1447</v>
      </c>
      <c r="B104" s="38" t="s">
        <v>1445</v>
      </c>
      <c r="C104" s="38" t="s">
        <v>267</v>
      </c>
      <c r="D104" s="38" t="s">
        <v>245</v>
      </c>
      <c r="E104" s="38" t="s">
        <v>243</v>
      </c>
      <c r="F104" s="38"/>
      <c r="G104" s="38" t="s">
        <v>1445</v>
      </c>
      <c r="H104" s="38" t="s">
        <v>268</v>
      </c>
      <c r="I104" s="38" t="s">
        <v>277</v>
      </c>
      <c r="J104" s="38" t="s">
        <v>2756</v>
      </c>
    </row>
    <row r="105" ht="14.25" customHeight="1">
      <c r="A105" s="39" t="s">
        <v>1447</v>
      </c>
      <c r="B105" s="39" t="s">
        <v>1445</v>
      </c>
      <c r="C105" s="39" t="s">
        <v>243</v>
      </c>
      <c r="D105" s="39" t="s">
        <v>245</v>
      </c>
      <c r="E105" s="39" t="s">
        <v>243</v>
      </c>
      <c r="F105" s="39"/>
      <c r="G105" s="39" t="s">
        <v>1445</v>
      </c>
      <c r="H105" s="39" t="s">
        <v>268</v>
      </c>
      <c r="I105" s="39" t="s">
        <v>316</v>
      </c>
      <c r="J105" s="39" t="s">
        <v>2756</v>
      </c>
    </row>
    <row r="106" ht="14.25" customHeight="1">
      <c r="A106" s="38" t="s">
        <v>1447</v>
      </c>
      <c r="B106" s="38" t="s">
        <v>1445</v>
      </c>
      <c r="C106" s="38" t="s">
        <v>346</v>
      </c>
      <c r="D106" s="38" t="s">
        <v>245</v>
      </c>
      <c r="E106" s="38" t="s">
        <v>243</v>
      </c>
      <c r="F106" s="38"/>
      <c r="G106" s="38" t="s">
        <v>1445</v>
      </c>
      <c r="H106" s="38" t="s">
        <v>268</v>
      </c>
      <c r="I106" s="38" t="s">
        <v>356</v>
      </c>
      <c r="J106" s="38" t="s">
        <v>2756</v>
      </c>
    </row>
    <row r="107" ht="14.25" customHeight="1">
      <c r="A107" s="39" t="s">
        <v>1451</v>
      </c>
      <c r="B107" s="39" t="s">
        <v>1449</v>
      </c>
      <c r="C107" s="39" t="s">
        <v>267</v>
      </c>
      <c r="D107" s="39" t="s">
        <v>245</v>
      </c>
      <c r="E107" s="39" t="s">
        <v>243</v>
      </c>
      <c r="F107" s="39"/>
      <c r="G107" s="39" t="s">
        <v>1449</v>
      </c>
      <c r="H107" s="39" t="s">
        <v>268</v>
      </c>
      <c r="I107" s="39" t="s">
        <v>277</v>
      </c>
      <c r="J107" s="39" t="s">
        <v>2756</v>
      </c>
    </row>
    <row r="108" ht="14.25" customHeight="1">
      <c r="A108" s="38" t="s">
        <v>1451</v>
      </c>
      <c r="B108" s="38" t="s">
        <v>1449</v>
      </c>
      <c r="C108" s="38" t="s">
        <v>243</v>
      </c>
      <c r="D108" s="38" t="s">
        <v>245</v>
      </c>
      <c r="E108" s="38" t="s">
        <v>243</v>
      </c>
      <c r="F108" s="38"/>
      <c r="G108" s="38" t="s">
        <v>1449</v>
      </c>
      <c r="H108" s="38" t="s">
        <v>242</v>
      </c>
      <c r="I108" s="38" t="s">
        <v>316</v>
      </c>
      <c r="J108" s="38" t="s">
        <v>2756</v>
      </c>
    </row>
    <row r="109" ht="14.25" customHeight="1">
      <c r="A109" s="39" t="s">
        <v>1451</v>
      </c>
      <c r="B109" s="39" t="s">
        <v>1449</v>
      </c>
      <c r="C109" s="39" t="s">
        <v>346</v>
      </c>
      <c r="D109" s="39" t="s">
        <v>245</v>
      </c>
      <c r="E109" s="39" t="s">
        <v>243</v>
      </c>
      <c r="F109" s="39"/>
      <c r="G109" s="39" t="s">
        <v>1449</v>
      </c>
      <c r="H109" s="39" t="s">
        <v>242</v>
      </c>
      <c r="I109" s="39" t="s">
        <v>356</v>
      </c>
      <c r="J109" s="39" t="s">
        <v>2756</v>
      </c>
    </row>
    <row r="110" ht="14.25" customHeight="1">
      <c r="A110" s="38" t="s">
        <v>1454</v>
      </c>
      <c r="B110" s="38" t="s">
        <v>1449</v>
      </c>
      <c r="C110" s="38" t="s">
        <v>267</v>
      </c>
      <c r="D110" s="38" t="s">
        <v>245</v>
      </c>
      <c r="E110" s="38" t="s">
        <v>243</v>
      </c>
      <c r="F110" s="38"/>
      <c r="G110" s="38" t="s">
        <v>1449</v>
      </c>
      <c r="H110" s="38" t="s">
        <v>268</v>
      </c>
      <c r="I110" s="38" t="s">
        <v>277</v>
      </c>
      <c r="J110" s="38" t="s">
        <v>2756</v>
      </c>
    </row>
    <row r="111" ht="14.25" customHeight="1">
      <c r="A111" s="39" t="s">
        <v>1454</v>
      </c>
      <c r="B111" s="39" t="s">
        <v>1449</v>
      </c>
      <c r="C111" s="39" t="s">
        <v>243</v>
      </c>
      <c r="D111" s="39" t="s">
        <v>245</v>
      </c>
      <c r="E111" s="39" t="s">
        <v>243</v>
      </c>
      <c r="F111" s="39"/>
      <c r="G111" s="39" t="s">
        <v>1449</v>
      </c>
      <c r="H111" s="39" t="s">
        <v>242</v>
      </c>
      <c r="I111" s="39" t="s">
        <v>316</v>
      </c>
      <c r="J111" s="39" t="s">
        <v>2756</v>
      </c>
    </row>
    <row r="112" ht="14.25" customHeight="1">
      <c r="A112" s="38" t="s">
        <v>1454</v>
      </c>
      <c r="B112" s="38" t="s">
        <v>1449</v>
      </c>
      <c r="C112" s="38" t="s">
        <v>346</v>
      </c>
      <c r="D112" s="38" t="s">
        <v>245</v>
      </c>
      <c r="E112" s="38" t="s">
        <v>243</v>
      </c>
      <c r="F112" s="38"/>
      <c r="G112" s="38" t="s">
        <v>1449</v>
      </c>
      <c r="H112" s="38" t="s">
        <v>242</v>
      </c>
      <c r="I112" s="38" t="s">
        <v>356</v>
      </c>
      <c r="J112" s="38" t="s">
        <v>2756</v>
      </c>
    </row>
    <row r="113" ht="14.25" customHeight="1">
      <c r="A113" s="39" t="s">
        <v>1462</v>
      </c>
      <c r="B113" s="39" t="s">
        <v>1461</v>
      </c>
      <c r="C113" s="39" t="s">
        <v>267</v>
      </c>
      <c r="D113" s="39" t="s">
        <v>245</v>
      </c>
      <c r="E113" s="39" t="s">
        <v>243</v>
      </c>
      <c r="F113" s="39"/>
      <c r="G113" s="39" t="s">
        <v>1461</v>
      </c>
      <c r="H113" s="39" t="s">
        <v>268</v>
      </c>
      <c r="I113" s="39" t="s">
        <v>277</v>
      </c>
      <c r="J113" s="39" t="s">
        <v>2756</v>
      </c>
    </row>
    <row r="114" ht="14.25" customHeight="1">
      <c r="A114" s="38" t="s">
        <v>1462</v>
      </c>
      <c r="B114" s="38" t="s">
        <v>1461</v>
      </c>
      <c r="C114" s="38" t="s">
        <v>243</v>
      </c>
      <c r="D114" s="38" t="s">
        <v>245</v>
      </c>
      <c r="E114" s="38" t="s">
        <v>243</v>
      </c>
      <c r="F114" s="38"/>
      <c r="G114" s="38" t="s">
        <v>1461</v>
      </c>
      <c r="H114" s="38" t="s">
        <v>242</v>
      </c>
      <c r="I114" s="38" t="s">
        <v>316</v>
      </c>
      <c r="J114" s="38" t="s">
        <v>2756</v>
      </c>
    </row>
    <row r="115" ht="14.25" customHeight="1">
      <c r="A115" s="39" t="s">
        <v>1462</v>
      </c>
      <c r="B115" s="39" t="s">
        <v>1461</v>
      </c>
      <c r="C115" s="39" t="s">
        <v>346</v>
      </c>
      <c r="D115" s="39" t="s">
        <v>245</v>
      </c>
      <c r="E115" s="39" t="s">
        <v>243</v>
      </c>
      <c r="F115" s="39"/>
      <c r="G115" s="39" t="s">
        <v>1461</v>
      </c>
      <c r="H115" s="39" t="s">
        <v>242</v>
      </c>
      <c r="I115" s="39" t="s">
        <v>356</v>
      </c>
      <c r="J115" s="39" t="s">
        <v>2756</v>
      </c>
    </row>
    <row r="116" ht="14.25" customHeight="1">
      <c r="A116" s="38" t="s">
        <v>1465</v>
      </c>
      <c r="B116" s="38" t="s">
        <v>1464</v>
      </c>
      <c r="C116" s="38" t="s">
        <v>267</v>
      </c>
      <c r="D116" s="38" t="s">
        <v>245</v>
      </c>
      <c r="E116" s="38" t="s">
        <v>243</v>
      </c>
      <c r="F116" s="38"/>
      <c r="G116" s="38" t="s">
        <v>1464</v>
      </c>
      <c r="H116" s="38" t="s">
        <v>268</v>
      </c>
      <c r="I116" s="38" t="s">
        <v>277</v>
      </c>
      <c r="J116" s="38" t="s">
        <v>2756</v>
      </c>
    </row>
    <row r="117" ht="14.25" customHeight="1">
      <c r="A117" s="39" t="s">
        <v>1465</v>
      </c>
      <c r="B117" s="39" t="s">
        <v>1464</v>
      </c>
      <c r="C117" s="39" t="s">
        <v>243</v>
      </c>
      <c r="D117" s="39" t="s">
        <v>245</v>
      </c>
      <c r="E117" s="39" t="s">
        <v>243</v>
      </c>
      <c r="F117" s="39"/>
      <c r="G117" s="39" t="s">
        <v>1464</v>
      </c>
      <c r="H117" s="39" t="s">
        <v>242</v>
      </c>
      <c r="I117" s="39" t="s">
        <v>316</v>
      </c>
      <c r="J117" s="39" t="s">
        <v>2756</v>
      </c>
    </row>
    <row r="118" ht="14.25" customHeight="1">
      <c r="A118" s="38" t="s">
        <v>1465</v>
      </c>
      <c r="B118" s="38" t="s">
        <v>1464</v>
      </c>
      <c r="C118" s="38" t="s">
        <v>346</v>
      </c>
      <c r="D118" s="38" t="s">
        <v>245</v>
      </c>
      <c r="E118" s="38" t="s">
        <v>243</v>
      </c>
      <c r="F118" s="38"/>
      <c r="G118" s="38" t="s">
        <v>1464</v>
      </c>
      <c r="H118" s="38" t="s">
        <v>242</v>
      </c>
      <c r="I118" s="38" t="s">
        <v>356</v>
      </c>
      <c r="J118" s="38" t="s">
        <v>2756</v>
      </c>
    </row>
    <row r="119" ht="14.25" customHeight="1">
      <c r="A119" s="39" t="s">
        <v>1518</v>
      </c>
      <c r="B119" s="39" t="s">
        <v>1515</v>
      </c>
      <c r="C119" s="39" t="s">
        <v>267</v>
      </c>
      <c r="D119" s="39" t="s">
        <v>245</v>
      </c>
      <c r="E119" s="39" t="s">
        <v>243</v>
      </c>
      <c r="F119" s="39"/>
      <c r="G119" s="39" t="s">
        <v>1515</v>
      </c>
      <c r="H119" s="39" t="s">
        <v>268</v>
      </c>
      <c r="I119" s="39" t="s">
        <v>277</v>
      </c>
      <c r="J119" s="39" t="s">
        <v>2756</v>
      </c>
    </row>
    <row r="120" ht="14.25" customHeight="1">
      <c r="A120" s="38" t="s">
        <v>1518</v>
      </c>
      <c r="B120" s="38" t="s">
        <v>1515</v>
      </c>
      <c r="C120" s="38" t="s">
        <v>243</v>
      </c>
      <c r="D120" s="38" t="s">
        <v>245</v>
      </c>
      <c r="E120" s="38" t="s">
        <v>243</v>
      </c>
      <c r="F120" s="38"/>
      <c r="G120" s="38" t="s">
        <v>1515</v>
      </c>
      <c r="H120" s="38" t="s">
        <v>242</v>
      </c>
      <c r="I120" s="38" t="s">
        <v>316</v>
      </c>
      <c r="J120" s="38" t="s">
        <v>2756</v>
      </c>
    </row>
    <row r="121" ht="14.25" customHeight="1">
      <c r="A121" s="39" t="s">
        <v>1518</v>
      </c>
      <c r="B121" s="39" t="s">
        <v>1515</v>
      </c>
      <c r="C121" s="39" t="s">
        <v>346</v>
      </c>
      <c r="D121" s="39" t="s">
        <v>245</v>
      </c>
      <c r="E121" s="39" t="s">
        <v>243</v>
      </c>
      <c r="F121" s="39"/>
      <c r="G121" s="39" t="s">
        <v>1515</v>
      </c>
      <c r="H121" s="39" t="s">
        <v>242</v>
      </c>
      <c r="I121" s="39" t="s">
        <v>356</v>
      </c>
      <c r="J121" s="39" t="s">
        <v>2756</v>
      </c>
    </row>
    <row r="122" ht="14.25" customHeight="1">
      <c r="A122" s="38" t="s">
        <v>1523</v>
      </c>
      <c r="B122" s="38" t="s">
        <v>1520</v>
      </c>
      <c r="C122" s="38" t="s">
        <v>267</v>
      </c>
      <c r="D122" s="38" t="s">
        <v>245</v>
      </c>
      <c r="E122" s="38" t="s">
        <v>243</v>
      </c>
      <c r="F122" s="38"/>
      <c r="G122" s="38" t="s">
        <v>1520</v>
      </c>
      <c r="H122" s="38" t="s">
        <v>268</v>
      </c>
      <c r="I122" s="38" t="s">
        <v>277</v>
      </c>
      <c r="J122" s="38" t="s">
        <v>2756</v>
      </c>
    </row>
    <row r="123" ht="14.25" customHeight="1">
      <c r="A123" s="39" t="s">
        <v>1523</v>
      </c>
      <c r="B123" s="39" t="s">
        <v>1520</v>
      </c>
      <c r="C123" s="39" t="s">
        <v>243</v>
      </c>
      <c r="D123" s="39" t="s">
        <v>245</v>
      </c>
      <c r="E123" s="39" t="s">
        <v>243</v>
      </c>
      <c r="F123" s="39"/>
      <c r="G123" s="39" t="s">
        <v>1520</v>
      </c>
      <c r="H123" s="39" t="s">
        <v>242</v>
      </c>
      <c r="I123" s="39" t="s">
        <v>316</v>
      </c>
      <c r="J123" s="39" t="s">
        <v>2756</v>
      </c>
    </row>
    <row r="124" ht="14.25" customHeight="1">
      <c r="A124" s="38" t="s">
        <v>1523</v>
      </c>
      <c r="B124" s="38" t="s">
        <v>1520</v>
      </c>
      <c r="C124" s="38" t="s">
        <v>346</v>
      </c>
      <c r="D124" s="38" t="s">
        <v>245</v>
      </c>
      <c r="E124" s="38" t="s">
        <v>243</v>
      </c>
      <c r="F124" s="38"/>
      <c r="G124" s="38" t="s">
        <v>1520</v>
      </c>
      <c r="H124" s="38" t="s">
        <v>242</v>
      </c>
      <c r="I124" s="38" t="s">
        <v>356</v>
      </c>
      <c r="J124" s="38" t="s">
        <v>2756</v>
      </c>
    </row>
    <row r="125" ht="14.25" customHeight="1">
      <c r="A125" s="39" t="s">
        <v>1533</v>
      </c>
      <c r="B125" s="39" t="s">
        <v>1530</v>
      </c>
      <c r="C125" s="39" t="s">
        <v>267</v>
      </c>
      <c r="D125" s="39" t="s">
        <v>245</v>
      </c>
      <c r="E125" s="39" t="s">
        <v>284</v>
      </c>
      <c r="F125" s="39"/>
      <c r="G125" s="39" t="s">
        <v>1530</v>
      </c>
      <c r="H125" s="39" t="s">
        <v>268</v>
      </c>
      <c r="I125" s="39" t="s">
        <v>277</v>
      </c>
      <c r="J125" s="39" t="s">
        <v>2756</v>
      </c>
    </row>
    <row r="126" ht="14.25" customHeight="1">
      <c r="A126" s="38" t="s">
        <v>1533</v>
      </c>
      <c r="B126" s="38" t="s">
        <v>1530</v>
      </c>
      <c r="C126" s="38" t="s">
        <v>243</v>
      </c>
      <c r="D126" s="38" t="s">
        <v>245</v>
      </c>
      <c r="E126" s="38" t="s">
        <v>284</v>
      </c>
      <c r="F126" s="38"/>
      <c r="G126" s="38" t="s">
        <v>1530</v>
      </c>
      <c r="H126" s="38" t="s">
        <v>242</v>
      </c>
      <c r="I126" s="38" t="s">
        <v>316</v>
      </c>
      <c r="J126" s="38" t="s">
        <v>2756</v>
      </c>
    </row>
    <row r="127" ht="14.25" customHeight="1">
      <c r="A127" s="39" t="s">
        <v>1533</v>
      </c>
      <c r="B127" s="39" t="s">
        <v>1530</v>
      </c>
      <c r="C127" s="39" t="s">
        <v>346</v>
      </c>
      <c r="D127" s="39" t="s">
        <v>245</v>
      </c>
      <c r="E127" s="39" t="s">
        <v>284</v>
      </c>
      <c r="F127" s="39"/>
      <c r="G127" s="39" t="s">
        <v>1530</v>
      </c>
      <c r="H127" s="39" t="s">
        <v>242</v>
      </c>
      <c r="I127" s="39" t="s">
        <v>356</v>
      </c>
      <c r="J127" s="39" t="s">
        <v>2756</v>
      </c>
    </row>
    <row r="128" ht="14.25" customHeight="1">
      <c r="A128" s="38" t="s">
        <v>1589</v>
      </c>
      <c r="B128" s="38" t="s">
        <v>1587</v>
      </c>
      <c r="C128" s="38" t="s">
        <v>267</v>
      </c>
      <c r="D128" s="38" t="s">
        <v>245</v>
      </c>
      <c r="E128" s="38" t="s">
        <v>243</v>
      </c>
      <c r="F128" s="38"/>
      <c r="G128" s="38" t="s">
        <v>1587</v>
      </c>
      <c r="H128" s="38" t="s">
        <v>268</v>
      </c>
      <c r="I128" s="38" t="s">
        <v>277</v>
      </c>
      <c r="J128" s="38" t="s">
        <v>2756</v>
      </c>
    </row>
    <row r="129" ht="14.25" customHeight="1">
      <c r="A129" s="39" t="s">
        <v>1589</v>
      </c>
      <c r="B129" s="39" t="s">
        <v>1587</v>
      </c>
      <c r="C129" s="39" t="s">
        <v>243</v>
      </c>
      <c r="D129" s="39" t="s">
        <v>245</v>
      </c>
      <c r="E129" s="39" t="s">
        <v>243</v>
      </c>
      <c r="F129" s="39"/>
      <c r="G129" s="39" t="s">
        <v>1587</v>
      </c>
      <c r="H129" s="39" t="s">
        <v>242</v>
      </c>
      <c r="I129" s="39" t="s">
        <v>316</v>
      </c>
      <c r="J129" s="39" t="s">
        <v>2756</v>
      </c>
    </row>
    <row r="130" ht="14.25" customHeight="1">
      <c r="A130" s="38" t="s">
        <v>1589</v>
      </c>
      <c r="B130" s="38" t="s">
        <v>1587</v>
      </c>
      <c r="C130" s="38" t="s">
        <v>346</v>
      </c>
      <c r="D130" s="38" t="s">
        <v>245</v>
      </c>
      <c r="E130" s="38" t="s">
        <v>243</v>
      </c>
      <c r="F130" s="38"/>
      <c r="G130" s="38" t="s">
        <v>1587</v>
      </c>
      <c r="H130" s="38" t="s">
        <v>242</v>
      </c>
      <c r="I130" s="38" t="s">
        <v>356</v>
      </c>
      <c r="J130" s="38" t="s">
        <v>2756</v>
      </c>
    </row>
    <row r="131" ht="14.25" customHeight="1">
      <c r="A131" s="39" t="s">
        <v>1592</v>
      </c>
      <c r="B131" s="39" t="s">
        <v>1591</v>
      </c>
      <c r="C131" s="39" t="s">
        <v>267</v>
      </c>
      <c r="D131" s="39" t="s">
        <v>245</v>
      </c>
      <c r="E131" s="39" t="s">
        <v>243</v>
      </c>
      <c r="F131" s="39"/>
      <c r="G131" s="39" t="s">
        <v>1591</v>
      </c>
      <c r="H131" s="39" t="s">
        <v>268</v>
      </c>
      <c r="I131" s="39" t="s">
        <v>277</v>
      </c>
      <c r="J131" s="39" t="s">
        <v>2756</v>
      </c>
    </row>
    <row r="132" ht="14.25" customHeight="1">
      <c r="A132" s="38" t="s">
        <v>1592</v>
      </c>
      <c r="B132" s="38" t="s">
        <v>1591</v>
      </c>
      <c r="C132" s="38" t="s">
        <v>243</v>
      </c>
      <c r="D132" s="38" t="s">
        <v>245</v>
      </c>
      <c r="E132" s="38" t="s">
        <v>243</v>
      </c>
      <c r="F132" s="38"/>
      <c r="G132" s="38" t="s">
        <v>1591</v>
      </c>
      <c r="H132" s="38" t="s">
        <v>242</v>
      </c>
      <c r="I132" s="38" t="s">
        <v>316</v>
      </c>
      <c r="J132" s="38" t="s">
        <v>2756</v>
      </c>
    </row>
    <row r="133" ht="14.25" customHeight="1">
      <c r="A133" s="39" t="s">
        <v>1592</v>
      </c>
      <c r="B133" s="39" t="s">
        <v>1591</v>
      </c>
      <c r="C133" s="39" t="s">
        <v>346</v>
      </c>
      <c r="D133" s="39" t="s">
        <v>245</v>
      </c>
      <c r="E133" s="39" t="s">
        <v>243</v>
      </c>
      <c r="F133" s="39"/>
      <c r="G133" s="39" t="s">
        <v>1591</v>
      </c>
      <c r="H133" s="39" t="s">
        <v>242</v>
      </c>
      <c r="I133" s="39" t="s">
        <v>356</v>
      </c>
      <c r="J133" s="39" t="s">
        <v>2756</v>
      </c>
    </row>
    <row r="134" ht="14.25" customHeight="1">
      <c r="A134" s="38" t="s">
        <v>1595</v>
      </c>
      <c r="B134" s="38" t="s">
        <v>1594</v>
      </c>
      <c r="C134" s="38" t="s">
        <v>267</v>
      </c>
      <c r="D134" s="38" t="s">
        <v>245</v>
      </c>
      <c r="E134" s="38" t="s">
        <v>243</v>
      </c>
      <c r="F134" s="38"/>
      <c r="G134" s="38" t="s">
        <v>1594</v>
      </c>
      <c r="H134" s="38" t="s">
        <v>268</v>
      </c>
      <c r="I134" s="38" t="s">
        <v>277</v>
      </c>
      <c r="J134" s="38" t="s">
        <v>2756</v>
      </c>
    </row>
    <row r="135" ht="14.25" customHeight="1">
      <c r="A135" s="39" t="s">
        <v>1595</v>
      </c>
      <c r="B135" s="39" t="s">
        <v>1594</v>
      </c>
      <c r="C135" s="39" t="s">
        <v>243</v>
      </c>
      <c r="D135" s="39" t="s">
        <v>245</v>
      </c>
      <c r="E135" s="39" t="s">
        <v>243</v>
      </c>
      <c r="F135" s="39"/>
      <c r="G135" s="39" t="s">
        <v>1594</v>
      </c>
      <c r="H135" s="39" t="s">
        <v>242</v>
      </c>
      <c r="I135" s="39" t="s">
        <v>316</v>
      </c>
      <c r="J135" s="39" t="s">
        <v>2756</v>
      </c>
    </row>
    <row r="136" ht="14.25" customHeight="1">
      <c r="A136" s="38" t="s">
        <v>1595</v>
      </c>
      <c r="B136" s="38" t="s">
        <v>1594</v>
      </c>
      <c r="C136" s="38" t="s">
        <v>346</v>
      </c>
      <c r="D136" s="38" t="s">
        <v>245</v>
      </c>
      <c r="E136" s="38" t="s">
        <v>243</v>
      </c>
      <c r="F136" s="38"/>
      <c r="G136" s="38" t="s">
        <v>1594</v>
      </c>
      <c r="H136" s="38" t="s">
        <v>242</v>
      </c>
      <c r="I136" s="38" t="s">
        <v>356</v>
      </c>
      <c r="J136" s="38" t="s">
        <v>2756</v>
      </c>
    </row>
    <row r="137" ht="14.25" customHeight="1">
      <c r="A137" s="39" t="s">
        <v>1599</v>
      </c>
      <c r="B137" s="39" t="s">
        <v>1597</v>
      </c>
      <c r="C137" s="39" t="s">
        <v>267</v>
      </c>
      <c r="D137" s="39" t="s">
        <v>245</v>
      </c>
      <c r="E137" s="39" t="s">
        <v>243</v>
      </c>
      <c r="F137" s="39"/>
      <c r="G137" s="39" t="s">
        <v>1597</v>
      </c>
      <c r="H137" s="39" t="s">
        <v>268</v>
      </c>
      <c r="I137" s="39" t="s">
        <v>277</v>
      </c>
      <c r="J137" s="39" t="s">
        <v>2756</v>
      </c>
    </row>
    <row r="138" ht="14.25" customHeight="1">
      <c r="A138" s="38" t="s">
        <v>1599</v>
      </c>
      <c r="B138" s="38" t="s">
        <v>1597</v>
      </c>
      <c r="C138" s="38" t="s">
        <v>243</v>
      </c>
      <c r="D138" s="38" t="s">
        <v>245</v>
      </c>
      <c r="E138" s="38" t="s">
        <v>243</v>
      </c>
      <c r="F138" s="38"/>
      <c r="G138" s="38" t="s">
        <v>1597</v>
      </c>
      <c r="H138" s="38" t="s">
        <v>242</v>
      </c>
      <c r="I138" s="38" t="s">
        <v>316</v>
      </c>
      <c r="J138" s="38" t="s">
        <v>2756</v>
      </c>
    </row>
    <row r="139" ht="14.25" customHeight="1">
      <c r="A139" s="39" t="s">
        <v>1599</v>
      </c>
      <c r="B139" s="39" t="s">
        <v>1597</v>
      </c>
      <c r="C139" s="39" t="s">
        <v>346</v>
      </c>
      <c r="D139" s="39" t="s">
        <v>245</v>
      </c>
      <c r="E139" s="39" t="s">
        <v>243</v>
      </c>
      <c r="F139" s="39"/>
      <c r="G139" s="39" t="s">
        <v>1597</v>
      </c>
      <c r="H139" s="39" t="s">
        <v>242</v>
      </c>
      <c r="I139" s="39" t="s">
        <v>356</v>
      </c>
      <c r="J139" s="39" t="s">
        <v>2756</v>
      </c>
    </row>
    <row r="140" ht="14.25" customHeight="1">
      <c r="A140" s="38" t="s">
        <v>1603</v>
      </c>
      <c r="B140" s="38" t="s">
        <v>1601</v>
      </c>
      <c r="C140" s="38" t="s">
        <v>267</v>
      </c>
      <c r="D140" s="38" t="s">
        <v>245</v>
      </c>
      <c r="E140" s="38" t="s">
        <v>243</v>
      </c>
      <c r="F140" s="38"/>
      <c r="G140" s="38" t="s">
        <v>1601</v>
      </c>
      <c r="H140" s="38" t="s">
        <v>268</v>
      </c>
      <c r="I140" s="38" t="s">
        <v>277</v>
      </c>
      <c r="J140" s="38" t="s">
        <v>2756</v>
      </c>
    </row>
    <row r="141" ht="14.25" customHeight="1">
      <c r="A141" s="39" t="s">
        <v>1603</v>
      </c>
      <c r="B141" s="39" t="s">
        <v>1601</v>
      </c>
      <c r="C141" s="39" t="s">
        <v>243</v>
      </c>
      <c r="D141" s="39" t="s">
        <v>245</v>
      </c>
      <c r="E141" s="39" t="s">
        <v>243</v>
      </c>
      <c r="F141" s="39"/>
      <c r="G141" s="39" t="s">
        <v>1601</v>
      </c>
      <c r="H141" s="39" t="s">
        <v>242</v>
      </c>
      <c r="I141" s="39" t="s">
        <v>316</v>
      </c>
      <c r="J141" s="39" t="s">
        <v>2756</v>
      </c>
    </row>
    <row r="142" ht="14.25" customHeight="1">
      <c r="A142" s="38" t="s">
        <v>1603</v>
      </c>
      <c r="B142" s="38" t="s">
        <v>1601</v>
      </c>
      <c r="C142" s="38" t="s">
        <v>346</v>
      </c>
      <c r="D142" s="38" t="s">
        <v>245</v>
      </c>
      <c r="E142" s="38" t="s">
        <v>243</v>
      </c>
      <c r="F142" s="38"/>
      <c r="G142" s="38" t="s">
        <v>1601</v>
      </c>
      <c r="H142" s="38" t="s">
        <v>242</v>
      </c>
      <c r="I142" s="38" t="s">
        <v>356</v>
      </c>
      <c r="J142" s="38" t="s">
        <v>2756</v>
      </c>
    </row>
    <row r="143" ht="14.25" customHeight="1">
      <c r="A143" s="39" t="s">
        <v>1606</v>
      </c>
      <c r="B143" s="39" t="s">
        <v>1605</v>
      </c>
      <c r="C143" s="39" t="s">
        <v>267</v>
      </c>
      <c r="D143" s="39" t="s">
        <v>245</v>
      </c>
      <c r="E143" s="39" t="s">
        <v>243</v>
      </c>
      <c r="F143" s="39"/>
      <c r="G143" s="39" t="s">
        <v>1605</v>
      </c>
      <c r="H143" s="39" t="s">
        <v>268</v>
      </c>
      <c r="I143" s="39" t="s">
        <v>277</v>
      </c>
      <c r="J143" s="39" t="s">
        <v>2756</v>
      </c>
    </row>
    <row r="144" ht="14.25" customHeight="1">
      <c r="A144" s="38" t="s">
        <v>1606</v>
      </c>
      <c r="B144" s="38" t="s">
        <v>1605</v>
      </c>
      <c r="C144" s="38" t="s">
        <v>243</v>
      </c>
      <c r="D144" s="38" t="s">
        <v>245</v>
      </c>
      <c r="E144" s="38" t="s">
        <v>243</v>
      </c>
      <c r="F144" s="38"/>
      <c r="G144" s="38" t="s">
        <v>1605</v>
      </c>
      <c r="H144" s="38" t="s">
        <v>242</v>
      </c>
      <c r="I144" s="38" t="s">
        <v>316</v>
      </c>
      <c r="J144" s="38" t="s">
        <v>2756</v>
      </c>
    </row>
    <row r="145" ht="14.25" customHeight="1">
      <c r="A145" s="39" t="s">
        <v>1606</v>
      </c>
      <c r="B145" s="39" t="s">
        <v>1605</v>
      </c>
      <c r="C145" s="39" t="s">
        <v>346</v>
      </c>
      <c r="D145" s="39" t="s">
        <v>245</v>
      </c>
      <c r="E145" s="39" t="s">
        <v>243</v>
      </c>
      <c r="F145" s="39"/>
      <c r="G145" s="39" t="s">
        <v>1605</v>
      </c>
      <c r="H145" s="39" t="s">
        <v>242</v>
      </c>
      <c r="I145" s="39" t="s">
        <v>356</v>
      </c>
      <c r="J145" s="39" t="s">
        <v>2756</v>
      </c>
    </row>
    <row r="146" ht="14.25" customHeight="1">
      <c r="A146" s="38" t="s">
        <v>1609</v>
      </c>
      <c r="B146" s="38" t="s">
        <v>1608</v>
      </c>
      <c r="C146" s="38" t="s">
        <v>267</v>
      </c>
      <c r="D146" s="38" t="s">
        <v>245</v>
      </c>
      <c r="E146" s="38" t="s">
        <v>243</v>
      </c>
      <c r="F146" s="38"/>
      <c r="G146" s="38" t="s">
        <v>1608</v>
      </c>
      <c r="H146" s="38" t="s">
        <v>268</v>
      </c>
      <c r="I146" s="38" t="s">
        <v>277</v>
      </c>
      <c r="J146" s="38" t="s">
        <v>2756</v>
      </c>
    </row>
    <row r="147" ht="14.25" customHeight="1">
      <c r="A147" s="39" t="s">
        <v>1609</v>
      </c>
      <c r="B147" s="39" t="s">
        <v>1608</v>
      </c>
      <c r="C147" s="39" t="s">
        <v>243</v>
      </c>
      <c r="D147" s="39" t="s">
        <v>245</v>
      </c>
      <c r="E147" s="39" t="s">
        <v>243</v>
      </c>
      <c r="F147" s="39"/>
      <c r="G147" s="39" t="s">
        <v>1608</v>
      </c>
      <c r="H147" s="39" t="s">
        <v>242</v>
      </c>
      <c r="I147" s="39" t="s">
        <v>316</v>
      </c>
      <c r="J147" s="39" t="s">
        <v>2756</v>
      </c>
    </row>
    <row r="148" ht="14.25" customHeight="1">
      <c r="A148" s="38" t="s">
        <v>1609</v>
      </c>
      <c r="B148" s="38" t="s">
        <v>1608</v>
      </c>
      <c r="C148" s="38" t="s">
        <v>346</v>
      </c>
      <c r="D148" s="38" t="s">
        <v>245</v>
      </c>
      <c r="E148" s="38" t="s">
        <v>243</v>
      </c>
      <c r="F148" s="38"/>
      <c r="G148" s="38" t="s">
        <v>1608</v>
      </c>
      <c r="H148" s="38" t="s">
        <v>242</v>
      </c>
      <c r="I148" s="38" t="s">
        <v>356</v>
      </c>
      <c r="J148" s="38" t="s">
        <v>2756</v>
      </c>
    </row>
    <row r="149" ht="14.25" customHeight="1">
      <c r="A149" s="39" t="s">
        <v>1612</v>
      </c>
      <c r="B149" s="39" t="s">
        <v>1611</v>
      </c>
      <c r="C149" s="39" t="s">
        <v>267</v>
      </c>
      <c r="D149" s="39" t="s">
        <v>245</v>
      </c>
      <c r="E149" s="39" t="s">
        <v>243</v>
      </c>
      <c r="F149" s="39"/>
      <c r="G149" s="39" t="s">
        <v>1611</v>
      </c>
      <c r="H149" s="39" t="s">
        <v>268</v>
      </c>
      <c r="I149" s="39" t="s">
        <v>277</v>
      </c>
      <c r="J149" s="39" t="s">
        <v>2756</v>
      </c>
    </row>
    <row r="150" ht="14.25" customHeight="1">
      <c r="A150" s="38" t="s">
        <v>1612</v>
      </c>
      <c r="B150" s="38" t="s">
        <v>1611</v>
      </c>
      <c r="C150" s="38" t="s">
        <v>243</v>
      </c>
      <c r="D150" s="38" t="s">
        <v>245</v>
      </c>
      <c r="E150" s="38" t="s">
        <v>243</v>
      </c>
      <c r="F150" s="38"/>
      <c r="G150" s="38" t="s">
        <v>1611</v>
      </c>
      <c r="H150" s="38" t="s">
        <v>242</v>
      </c>
      <c r="I150" s="38" t="s">
        <v>316</v>
      </c>
      <c r="J150" s="38" t="s">
        <v>2756</v>
      </c>
    </row>
    <row r="151" ht="14.25" customHeight="1">
      <c r="A151" s="39" t="s">
        <v>1612</v>
      </c>
      <c r="B151" s="39" t="s">
        <v>1611</v>
      </c>
      <c r="C151" s="39" t="s">
        <v>346</v>
      </c>
      <c r="D151" s="39" t="s">
        <v>245</v>
      </c>
      <c r="E151" s="39" t="s">
        <v>243</v>
      </c>
      <c r="F151" s="39"/>
      <c r="G151" s="39" t="s">
        <v>1611</v>
      </c>
      <c r="H151" s="39" t="s">
        <v>242</v>
      </c>
      <c r="I151" s="39" t="s">
        <v>356</v>
      </c>
      <c r="J151" s="39" t="s">
        <v>2756</v>
      </c>
    </row>
    <row r="152" ht="14.25" customHeight="1">
      <c r="A152" s="38" t="s">
        <v>1616</v>
      </c>
      <c r="B152" s="38" t="s">
        <v>1614</v>
      </c>
      <c r="C152" s="38" t="s">
        <v>267</v>
      </c>
      <c r="D152" s="38" t="s">
        <v>245</v>
      </c>
      <c r="E152" s="38" t="s">
        <v>243</v>
      </c>
      <c r="F152" s="38"/>
      <c r="G152" s="38" t="s">
        <v>1614</v>
      </c>
      <c r="H152" s="38" t="s">
        <v>268</v>
      </c>
      <c r="I152" s="38" t="s">
        <v>277</v>
      </c>
      <c r="J152" s="38" t="s">
        <v>2756</v>
      </c>
    </row>
    <row r="153" ht="14.25" customHeight="1">
      <c r="A153" s="39" t="s">
        <v>1616</v>
      </c>
      <c r="B153" s="39" t="s">
        <v>1614</v>
      </c>
      <c r="C153" s="39" t="s">
        <v>243</v>
      </c>
      <c r="D153" s="39" t="s">
        <v>245</v>
      </c>
      <c r="E153" s="39" t="s">
        <v>243</v>
      </c>
      <c r="F153" s="39"/>
      <c r="G153" s="39" t="s">
        <v>1614</v>
      </c>
      <c r="H153" s="39" t="s">
        <v>242</v>
      </c>
      <c r="I153" s="39" t="s">
        <v>316</v>
      </c>
      <c r="J153" s="39" t="s">
        <v>2756</v>
      </c>
    </row>
    <row r="154" ht="14.25" customHeight="1">
      <c r="A154" s="38" t="s">
        <v>1616</v>
      </c>
      <c r="B154" s="38" t="s">
        <v>1614</v>
      </c>
      <c r="C154" s="38" t="s">
        <v>346</v>
      </c>
      <c r="D154" s="38" t="s">
        <v>245</v>
      </c>
      <c r="E154" s="38" t="s">
        <v>243</v>
      </c>
      <c r="F154" s="38"/>
      <c r="G154" s="38" t="s">
        <v>1614</v>
      </c>
      <c r="H154" s="38" t="s">
        <v>242</v>
      </c>
      <c r="I154" s="38" t="s">
        <v>356</v>
      </c>
      <c r="J154" s="38" t="s">
        <v>2756</v>
      </c>
    </row>
    <row r="155" ht="14.25" customHeight="1">
      <c r="A155" s="39" t="s">
        <v>1619</v>
      </c>
      <c r="B155" s="39" t="s">
        <v>1618</v>
      </c>
      <c r="C155" s="39" t="s">
        <v>267</v>
      </c>
      <c r="D155" s="39" t="s">
        <v>245</v>
      </c>
      <c r="E155" s="39" t="s">
        <v>243</v>
      </c>
      <c r="F155" s="39"/>
      <c r="G155" s="39" t="s">
        <v>1618</v>
      </c>
      <c r="H155" s="39" t="s">
        <v>268</v>
      </c>
      <c r="I155" s="39" t="s">
        <v>277</v>
      </c>
      <c r="J155" s="39" t="s">
        <v>2756</v>
      </c>
    </row>
    <row r="156" ht="14.25" customHeight="1">
      <c r="A156" s="38" t="s">
        <v>1619</v>
      </c>
      <c r="B156" s="38" t="s">
        <v>1618</v>
      </c>
      <c r="C156" s="38" t="s">
        <v>243</v>
      </c>
      <c r="D156" s="38" t="s">
        <v>245</v>
      </c>
      <c r="E156" s="38" t="s">
        <v>243</v>
      </c>
      <c r="F156" s="38"/>
      <c r="G156" s="38" t="s">
        <v>1618</v>
      </c>
      <c r="H156" s="38" t="s">
        <v>242</v>
      </c>
      <c r="I156" s="38" t="s">
        <v>316</v>
      </c>
      <c r="J156" s="38" t="s">
        <v>2756</v>
      </c>
    </row>
    <row r="157" ht="14.25" customHeight="1">
      <c r="A157" s="39" t="s">
        <v>1619</v>
      </c>
      <c r="B157" s="39" t="s">
        <v>1618</v>
      </c>
      <c r="C157" s="39" t="s">
        <v>346</v>
      </c>
      <c r="D157" s="39" t="s">
        <v>245</v>
      </c>
      <c r="E157" s="39" t="s">
        <v>243</v>
      </c>
      <c r="F157" s="39"/>
      <c r="G157" s="39" t="s">
        <v>1618</v>
      </c>
      <c r="H157" s="39" t="s">
        <v>242</v>
      </c>
      <c r="I157" s="39" t="s">
        <v>356</v>
      </c>
      <c r="J157" s="39" t="s">
        <v>2756</v>
      </c>
    </row>
    <row r="158" ht="14.25" customHeight="1">
      <c r="A158" s="38" t="s">
        <v>1623</v>
      </c>
      <c r="B158" s="38" t="s">
        <v>1621</v>
      </c>
      <c r="C158" s="38" t="s">
        <v>267</v>
      </c>
      <c r="D158" s="38" t="s">
        <v>245</v>
      </c>
      <c r="E158" s="38" t="s">
        <v>243</v>
      </c>
      <c r="F158" s="38"/>
      <c r="G158" s="38" t="s">
        <v>1621</v>
      </c>
      <c r="H158" s="38" t="s">
        <v>268</v>
      </c>
      <c r="I158" s="38" t="s">
        <v>277</v>
      </c>
      <c r="J158" s="38" t="s">
        <v>2756</v>
      </c>
    </row>
    <row r="159" ht="14.25" customHeight="1">
      <c r="A159" s="39" t="s">
        <v>1623</v>
      </c>
      <c r="B159" s="39" t="s">
        <v>1621</v>
      </c>
      <c r="C159" s="39" t="s">
        <v>243</v>
      </c>
      <c r="D159" s="39" t="s">
        <v>245</v>
      </c>
      <c r="E159" s="39" t="s">
        <v>243</v>
      </c>
      <c r="F159" s="39"/>
      <c r="G159" s="39" t="s">
        <v>1621</v>
      </c>
      <c r="H159" s="39" t="s">
        <v>242</v>
      </c>
      <c r="I159" s="39" t="s">
        <v>316</v>
      </c>
      <c r="J159" s="39" t="s">
        <v>2756</v>
      </c>
    </row>
    <row r="160" ht="14.25" customHeight="1">
      <c r="A160" s="38" t="s">
        <v>1623</v>
      </c>
      <c r="B160" s="38" t="s">
        <v>1621</v>
      </c>
      <c r="C160" s="38" t="s">
        <v>346</v>
      </c>
      <c r="D160" s="38" t="s">
        <v>245</v>
      </c>
      <c r="E160" s="38" t="s">
        <v>243</v>
      </c>
      <c r="F160" s="38"/>
      <c r="G160" s="38" t="s">
        <v>1621</v>
      </c>
      <c r="H160" s="38" t="s">
        <v>242</v>
      </c>
      <c r="I160" s="38" t="s">
        <v>356</v>
      </c>
      <c r="J160" s="38" t="s">
        <v>2756</v>
      </c>
    </row>
    <row r="161" ht="14.25" customHeight="1">
      <c r="A161" s="39" t="s">
        <v>1626</v>
      </c>
      <c r="B161" s="39" t="s">
        <v>1625</v>
      </c>
      <c r="C161" s="39" t="s">
        <v>267</v>
      </c>
      <c r="D161" s="39" t="s">
        <v>245</v>
      </c>
      <c r="E161" s="39" t="s">
        <v>243</v>
      </c>
      <c r="F161" s="39"/>
      <c r="G161" s="39" t="s">
        <v>1625</v>
      </c>
      <c r="H161" s="39" t="s">
        <v>268</v>
      </c>
      <c r="I161" s="39" t="s">
        <v>277</v>
      </c>
      <c r="J161" s="39" t="s">
        <v>2756</v>
      </c>
    </row>
    <row r="162" ht="14.25" customHeight="1">
      <c r="A162" s="38" t="s">
        <v>1626</v>
      </c>
      <c r="B162" s="38" t="s">
        <v>1625</v>
      </c>
      <c r="C162" s="38" t="s">
        <v>243</v>
      </c>
      <c r="D162" s="38" t="s">
        <v>245</v>
      </c>
      <c r="E162" s="38" t="s">
        <v>243</v>
      </c>
      <c r="F162" s="38"/>
      <c r="G162" s="38" t="s">
        <v>1625</v>
      </c>
      <c r="H162" s="38" t="s">
        <v>242</v>
      </c>
      <c r="I162" s="38" t="s">
        <v>316</v>
      </c>
      <c r="J162" s="38" t="s">
        <v>2756</v>
      </c>
    </row>
    <row r="163" ht="14.25" customHeight="1">
      <c r="A163" s="39" t="s">
        <v>1626</v>
      </c>
      <c r="B163" s="39" t="s">
        <v>1625</v>
      </c>
      <c r="C163" s="39" t="s">
        <v>346</v>
      </c>
      <c r="D163" s="39" t="s">
        <v>245</v>
      </c>
      <c r="E163" s="39" t="s">
        <v>243</v>
      </c>
      <c r="F163" s="39"/>
      <c r="G163" s="39" t="s">
        <v>1625</v>
      </c>
      <c r="H163" s="39" t="s">
        <v>242</v>
      </c>
      <c r="I163" s="39" t="s">
        <v>356</v>
      </c>
      <c r="J163" s="39" t="s">
        <v>2756</v>
      </c>
    </row>
    <row r="164" ht="14.25" customHeight="1">
      <c r="A164" s="38" t="s">
        <v>1630</v>
      </c>
      <c r="B164" s="38" t="s">
        <v>1628</v>
      </c>
      <c r="C164" s="38" t="s">
        <v>267</v>
      </c>
      <c r="D164" s="38" t="s">
        <v>245</v>
      </c>
      <c r="E164" s="38" t="s">
        <v>243</v>
      </c>
      <c r="F164" s="38"/>
      <c r="G164" s="38" t="s">
        <v>1628</v>
      </c>
      <c r="H164" s="38" t="s">
        <v>268</v>
      </c>
      <c r="I164" s="38" t="s">
        <v>277</v>
      </c>
      <c r="J164" s="38" t="s">
        <v>2756</v>
      </c>
    </row>
    <row r="165" ht="14.25" customHeight="1">
      <c r="A165" s="39" t="s">
        <v>1630</v>
      </c>
      <c r="B165" s="39" t="s">
        <v>1628</v>
      </c>
      <c r="C165" s="39" t="s">
        <v>243</v>
      </c>
      <c r="D165" s="39" t="s">
        <v>245</v>
      </c>
      <c r="E165" s="39" t="s">
        <v>243</v>
      </c>
      <c r="F165" s="39"/>
      <c r="G165" s="39" t="s">
        <v>1628</v>
      </c>
      <c r="H165" s="39" t="s">
        <v>242</v>
      </c>
      <c r="I165" s="39" t="s">
        <v>316</v>
      </c>
      <c r="J165" s="39" t="s">
        <v>2756</v>
      </c>
    </row>
    <row r="166" ht="14.25" customHeight="1">
      <c r="A166" s="38" t="s">
        <v>1630</v>
      </c>
      <c r="B166" s="38" t="s">
        <v>1628</v>
      </c>
      <c r="C166" s="38" t="s">
        <v>346</v>
      </c>
      <c r="D166" s="38" t="s">
        <v>245</v>
      </c>
      <c r="E166" s="38" t="s">
        <v>243</v>
      </c>
      <c r="F166" s="38"/>
      <c r="G166" s="38" t="s">
        <v>1628</v>
      </c>
      <c r="H166" s="38" t="s">
        <v>242</v>
      </c>
      <c r="I166" s="38" t="s">
        <v>356</v>
      </c>
      <c r="J166" s="38" t="s">
        <v>2756</v>
      </c>
    </row>
    <row r="167" ht="14.25" customHeight="1">
      <c r="A167" s="39" t="s">
        <v>1634</v>
      </c>
      <c r="B167" s="39" t="s">
        <v>1632</v>
      </c>
      <c r="C167" s="39" t="s">
        <v>267</v>
      </c>
      <c r="D167" s="39" t="s">
        <v>245</v>
      </c>
      <c r="E167" s="39" t="s">
        <v>243</v>
      </c>
      <c r="F167" s="39"/>
      <c r="G167" s="39" t="s">
        <v>1632</v>
      </c>
      <c r="H167" s="39" t="s">
        <v>268</v>
      </c>
      <c r="I167" s="39" t="s">
        <v>277</v>
      </c>
      <c r="J167" s="39" t="s">
        <v>2756</v>
      </c>
    </row>
    <row r="168" ht="14.25" customHeight="1">
      <c r="A168" s="38" t="s">
        <v>1634</v>
      </c>
      <c r="B168" s="38" t="s">
        <v>1632</v>
      </c>
      <c r="C168" s="38" t="s">
        <v>243</v>
      </c>
      <c r="D168" s="38" t="s">
        <v>245</v>
      </c>
      <c r="E168" s="38" t="s">
        <v>243</v>
      </c>
      <c r="F168" s="38"/>
      <c r="G168" s="38" t="s">
        <v>1632</v>
      </c>
      <c r="H168" s="38" t="s">
        <v>242</v>
      </c>
      <c r="I168" s="38" t="s">
        <v>316</v>
      </c>
      <c r="J168" s="38" t="s">
        <v>2756</v>
      </c>
    </row>
    <row r="169" ht="14.25" customHeight="1">
      <c r="A169" s="39" t="s">
        <v>1634</v>
      </c>
      <c r="B169" s="39" t="s">
        <v>1632</v>
      </c>
      <c r="C169" s="39" t="s">
        <v>346</v>
      </c>
      <c r="D169" s="39" t="s">
        <v>245</v>
      </c>
      <c r="E169" s="39" t="s">
        <v>243</v>
      </c>
      <c r="F169" s="39"/>
      <c r="G169" s="39" t="s">
        <v>1632</v>
      </c>
      <c r="H169" s="39" t="s">
        <v>242</v>
      </c>
      <c r="I169" s="39" t="s">
        <v>356</v>
      </c>
      <c r="J169" s="39" t="s">
        <v>2756</v>
      </c>
    </row>
    <row r="170" ht="14.25" customHeight="1">
      <c r="A170" s="38" t="s">
        <v>1638</v>
      </c>
      <c r="B170" s="38" t="s">
        <v>1636</v>
      </c>
      <c r="C170" s="38" t="s">
        <v>267</v>
      </c>
      <c r="D170" s="38" t="s">
        <v>245</v>
      </c>
      <c r="E170" s="38" t="s">
        <v>243</v>
      </c>
      <c r="F170" s="38"/>
      <c r="G170" s="38" t="s">
        <v>1636</v>
      </c>
      <c r="H170" s="38" t="s">
        <v>268</v>
      </c>
      <c r="I170" s="38" t="s">
        <v>277</v>
      </c>
      <c r="J170" s="38" t="s">
        <v>2756</v>
      </c>
    </row>
    <row r="171" ht="14.25" customHeight="1">
      <c r="A171" s="39" t="s">
        <v>1638</v>
      </c>
      <c r="B171" s="39" t="s">
        <v>1636</v>
      </c>
      <c r="C171" s="39" t="s">
        <v>243</v>
      </c>
      <c r="D171" s="39" t="s">
        <v>245</v>
      </c>
      <c r="E171" s="39" t="s">
        <v>243</v>
      </c>
      <c r="F171" s="39"/>
      <c r="G171" s="39" t="s">
        <v>1636</v>
      </c>
      <c r="H171" s="39" t="s">
        <v>242</v>
      </c>
      <c r="I171" s="39" t="s">
        <v>316</v>
      </c>
      <c r="J171" s="39" t="s">
        <v>2756</v>
      </c>
    </row>
    <row r="172" ht="14.25" customHeight="1">
      <c r="A172" s="38" t="s">
        <v>1638</v>
      </c>
      <c r="B172" s="38" t="s">
        <v>1636</v>
      </c>
      <c r="C172" s="38" t="s">
        <v>346</v>
      </c>
      <c r="D172" s="38" t="s">
        <v>245</v>
      </c>
      <c r="E172" s="38" t="s">
        <v>243</v>
      </c>
      <c r="F172" s="38"/>
      <c r="G172" s="38" t="s">
        <v>1636</v>
      </c>
      <c r="H172" s="38" t="s">
        <v>242</v>
      </c>
      <c r="I172" s="38" t="s">
        <v>356</v>
      </c>
      <c r="J172" s="38" t="s">
        <v>2756</v>
      </c>
    </row>
    <row r="173" ht="14.25" customHeight="1">
      <c r="A173" s="39" t="s">
        <v>1642</v>
      </c>
      <c r="B173" s="39" t="s">
        <v>1640</v>
      </c>
      <c r="C173" s="39" t="s">
        <v>267</v>
      </c>
      <c r="D173" s="39" t="s">
        <v>245</v>
      </c>
      <c r="E173" s="39" t="s">
        <v>243</v>
      </c>
      <c r="F173" s="39"/>
      <c r="G173" s="39" t="s">
        <v>1640</v>
      </c>
      <c r="H173" s="39" t="s">
        <v>268</v>
      </c>
      <c r="I173" s="39" t="s">
        <v>277</v>
      </c>
      <c r="J173" s="39" t="s">
        <v>2756</v>
      </c>
    </row>
    <row r="174" ht="14.25" customHeight="1">
      <c r="A174" s="38" t="s">
        <v>1642</v>
      </c>
      <c r="B174" s="38" t="s">
        <v>1640</v>
      </c>
      <c r="C174" s="38" t="s">
        <v>243</v>
      </c>
      <c r="D174" s="38" t="s">
        <v>245</v>
      </c>
      <c r="E174" s="38" t="s">
        <v>243</v>
      </c>
      <c r="F174" s="38"/>
      <c r="G174" s="38" t="s">
        <v>1640</v>
      </c>
      <c r="H174" s="38" t="s">
        <v>242</v>
      </c>
      <c r="I174" s="38" t="s">
        <v>316</v>
      </c>
      <c r="J174" s="38" t="s">
        <v>2756</v>
      </c>
    </row>
    <row r="175" ht="14.25" customHeight="1">
      <c r="A175" s="39" t="s">
        <v>1642</v>
      </c>
      <c r="B175" s="39" t="s">
        <v>1640</v>
      </c>
      <c r="C175" s="39" t="s">
        <v>346</v>
      </c>
      <c r="D175" s="39" t="s">
        <v>245</v>
      </c>
      <c r="E175" s="39" t="s">
        <v>243</v>
      </c>
      <c r="F175" s="39"/>
      <c r="G175" s="39" t="s">
        <v>1640</v>
      </c>
      <c r="H175" s="39" t="s">
        <v>242</v>
      </c>
      <c r="I175" s="39" t="s">
        <v>356</v>
      </c>
      <c r="J175" s="39" t="s">
        <v>2756</v>
      </c>
    </row>
    <row r="176" ht="14.25" customHeight="1">
      <c r="A176" s="38" t="s">
        <v>1645</v>
      </c>
      <c r="B176" s="38" t="s">
        <v>1644</v>
      </c>
      <c r="C176" s="38" t="s">
        <v>267</v>
      </c>
      <c r="D176" s="38" t="s">
        <v>245</v>
      </c>
      <c r="E176" s="38" t="s">
        <v>243</v>
      </c>
      <c r="F176" s="38"/>
      <c r="G176" s="38" t="s">
        <v>1644</v>
      </c>
      <c r="H176" s="38" t="s">
        <v>268</v>
      </c>
      <c r="I176" s="38" t="s">
        <v>277</v>
      </c>
      <c r="J176" s="38" t="s">
        <v>2756</v>
      </c>
    </row>
    <row r="177" ht="14.25" customHeight="1">
      <c r="A177" s="39" t="s">
        <v>1645</v>
      </c>
      <c r="B177" s="39" t="s">
        <v>1644</v>
      </c>
      <c r="C177" s="39" t="s">
        <v>243</v>
      </c>
      <c r="D177" s="39" t="s">
        <v>245</v>
      </c>
      <c r="E177" s="39" t="s">
        <v>243</v>
      </c>
      <c r="F177" s="39"/>
      <c r="G177" s="39" t="s">
        <v>1644</v>
      </c>
      <c r="H177" s="39" t="s">
        <v>242</v>
      </c>
      <c r="I177" s="39" t="s">
        <v>316</v>
      </c>
      <c r="J177" s="39" t="s">
        <v>2756</v>
      </c>
    </row>
    <row r="178" ht="14.25" customHeight="1">
      <c r="A178" s="38" t="s">
        <v>1645</v>
      </c>
      <c r="B178" s="38" t="s">
        <v>1644</v>
      </c>
      <c r="C178" s="38" t="s">
        <v>346</v>
      </c>
      <c r="D178" s="38" t="s">
        <v>245</v>
      </c>
      <c r="E178" s="38" t="s">
        <v>243</v>
      </c>
      <c r="F178" s="38"/>
      <c r="G178" s="38" t="s">
        <v>1644</v>
      </c>
      <c r="H178" s="38" t="s">
        <v>242</v>
      </c>
      <c r="I178" s="38" t="s">
        <v>356</v>
      </c>
      <c r="J178" s="38" t="s">
        <v>2756</v>
      </c>
    </row>
    <row r="179" ht="14.25" customHeight="1">
      <c r="A179" s="39" t="s">
        <v>1649</v>
      </c>
      <c r="B179" s="39" t="s">
        <v>1647</v>
      </c>
      <c r="C179" s="39" t="s">
        <v>267</v>
      </c>
      <c r="D179" s="39" t="s">
        <v>245</v>
      </c>
      <c r="E179" s="39" t="s">
        <v>243</v>
      </c>
      <c r="F179" s="39"/>
      <c r="G179" s="39" t="s">
        <v>1647</v>
      </c>
      <c r="H179" s="39" t="s">
        <v>268</v>
      </c>
      <c r="I179" s="39" t="s">
        <v>277</v>
      </c>
      <c r="J179" s="39" t="s">
        <v>2756</v>
      </c>
    </row>
    <row r="180" ht="14.25" customHeight="1">
      <c r="A180" s="38" t="s">
        <v>1649</v>
      </c>
      <c r="B180" s="38" t="s">
        <v>1647</v>
      </c>
      <c r="C180" s="38" t="s">
        <v>243</v>
      </c>
      <c r="D180" s="38" t="s">
        <v>245</v>
      </c>
      <c r="E180" s="38" t="s">
        <v>243</v>
      </c>
      <c r="F180" s="38"/>
      <c r="G180" s="38" t="s">
        <v>1647</v>
      </c>
      <c r="H180" s="38" t="s">
        <v>242</v>
      </c>
      <c r="I180" s="38" t="s">
        <v>316</v>
      </c>
      <c r="J180" s="38" t="s">
        <v>2756</v>
      </c>
    </row>
    <row r="181" ht="14.25" customHeight="1">
      <c r="A181" s="39" t="s">
        <v>1649</v>
      </c>
      <c r="B181" s="39" t="s">
        <v>1647</v>
      </c>
      <c r="C181" s="39" t="s">
        <v>346</v>
      </c>
      <c r="D181" s="39" t="s">
        <v>245</v>
      </c>
      <c r="E181" s="39" t="s">
        <v>243</v>
      </c>
      <c r="F181" s="39"/>
      <c r="G181" s="39" t="s">
        <v>1647</v>
      </c>
      <c r="H181" s="39" t="s">
        <v>242</v>
      </c>
      <c r="I181" s="39" t="s">
        <v>356</v>
      </c>
      <c r="J181" s="39" t="s">
        <v>2756</v>
      </c>
    </row>
    <row r="182" ht="14.25" customHeight="1">
      <c r="A182" s="38" t="s">
        <v>1652</v>
      </c>
      <c r="B182" s="38" t="s">
        <v>1651</v>
      </c>
      <c r="C182" s="38" t="s">
        <v>267</v>
      </c>
      <c r="D182" s="38" t="s">
        <v>245</v>
      </c>
      <c r="E182" s="38" t="s">
        <v>243</v>
      </c>
      <c r="F182" s="38"/>
      <c r="G182" s="38" t="s">
        <v>1651</v>
      </c>
      <c r="H182" s="38" t="s">
        <v>268</v>
      </c>
      <c r="I182" s="38" t="s">
        <v>277</v>
      </c>
      <c r="J182" s="38" t="s">
        <v>2756</v>
      </c>
    </row>
    <row r="183" ht="14.25" customHeight="1">
      <c r="A183" s="39" t="s">
        <v>1652</v>
      </c>
      <c r="B183" s="39" t="s">
        <v>1651</v>
      </c>
      <c r="C183" s="39" t="s">
        <v>243</v>
      </c>
      <c r="D183" s="39" t="s">
        <v>245</v>
      </c>
      <c r="E183" s="39" t="s">
        <v>243</v>
      </c>
      <c r="F183" s="39"/>
      <c r="G183" s="39" t="s">
        <v>1651</v>
      </c>
      <c r="H183" s="39" t="s">
        <v>242</v>
      </c>
      <c r="I183" s="39" t="s">
        <v>316</v>
      </c>
      <c r="J183" s="39" t="s">
        <v>2756</v>
      </c>
    </row>
    <row r="184" ht="14.25" customHeight="1">
      <c r="A184" s="38" t="s">
        <v>1652</v>
      </c>
      <c r="B184" s="38" t="s">
        <v>1651</v>
      </c>
      <c r="C184" s="38" t="s">
        <v>346</v>
      </c>
      <c r="D184" s="38" t="s">
        <v>245</v>
      </c>
      <c r="E184" s="38" t="s">
        <v>243</v>
      </c>
      <c r="F184" s="38"/>
      <c r="G184" s="38" t="s">
        <v>1651</v>
      </c>
      <c r="H184" s="38" t="s">
        <v>242</v>
      </c>
      <c r="I184" s="38" t="s">
        <v>356</v>
      </c>
      <c r="J184" s="38" t="s">
        <v>2756</v>
      </c>
    </row>
    <row r="185" ht="14.25" customHeight="1">
      <c r="A185" s="39" t="s">
        <v>1655</v>
      </c>
      <c r="B185" s="39" t="s">
        <v>1654</v>
      </c>
      <c r="C185" s="39" t="s">
        <v>267</v>
      </c>
      <c r="D185" s="39" t="s">
        <v>245</v>
      </c>
      <c r="E185" s="39" t="s">
        <v>243</v>
      </c>
      <c r="F185" s="39"/>
      <c r="G185" s="39" t="s">
        <v>1654</v>
      </c>
      <c r="H185" s="39" t="s">
        <v>268</v>
      </c>
      <c r="I185" s="39" t="s">
        <v>277</v>
      </c>
      <c r="J185" s="39" t="s">
        <v>2756</v>
      </c>
    </row>
    <row r="186" ht="14.25" customHeight="1">
      <c r="A186" s="38" t="s">
        <v>1655</v>
      </c>
      <c r="B186" s="38" t="s">
        <v>1654</v>
      </c>
      <c r="C186" s="38" t="s">
        <v>243</v>
      </c>
      <c r="D186" s="38" t="s">
        <v>245</v>
      </c>
      <c r="E186" s="38" t="s">
        <v>243</v>
      </c>
      <c r="F186" s="38"/>
      <c r="G186" s="38" t="s">
        <v>1654</v>
      </c>
      <c r="H186" s="38" t="s">
        <v>242</v>
      </c>
      <c r="I186" s="38" t="s">
        <v>316</v>
      </c>
      <c r="J186" s="38" t="s">
        <v>2756</v>
      </c>
    </row>
    <row r="187" ht="14.25" customHeight="1">
      <c r="A187" s="39" t="s">
        <v>1655</v>
      </c>
      <c r="B187" s="39" t="s">
        <v>1654</v>
      </c>
      <c r="C187" s="39" t="s">
        <v>346</v>
      </c>
      <c r="D187" s="39" t="s">
        <v>245</v>
      </c>
      <c r="E187" s="39" t="s">
        <v>243</v>
      </c>
      <c r="F187" s="39"/>
      <c r="G187" s="39" t="s">
        <v>1654</v>
      </c>
      <c r="H187" s="39" t="s">
        <v>242</v>
      </c>
      <c r="I187" s="39" t="s">
        <v>356</v>
      </c>
      <c r="J187" s="39" t="s">
        <v>2756</v>
      </c>
    </row>
    <row r="188" ht="14.25" customHeight="1">
      <c r="A188" s="38" t="s">
        <v>1658</v>
      </c>
      <c r="B188" s="38" t="s">
        <v>1657</v>
      </c>
      <c r="C188" s="38" t="s">
        <v>267</v>
      </c>
      <c r="D188" s="38" t="s">
        <v>245</v>
      </c>
      <c r="E188" s="38" t="s">
        <v>243</v>
      </c>
      <c r="F188" s="38"/>
      <c r="G188" s="38" t="s">
        <v>1657</v>
      </c>
      <c r="H188" s="38" t="s">
        <v>268</v>
      </c>
      <c r="I188" s="38" t="s">
        <v>277</v>
      </c>
      <c r="J188" s="38" t="s">
        <v>2756</v>
      </c>
    </row>
    <row r="189" ht="14.25" customHeight="1">
      <c r="A189" s="39" t="s">
        <v>1658</v>
      </c>
      <c r="B189" s="39" t="s">
        <v>1657</v>
      </c>
      <c r="C189" s="39" t="s">
        <v>243</v>
      </c>
      <c r="D189" s="39" t="s">
        <v>245</v>
      </c>
      <c r="E189" s="39" t="s">
        <v>243</v>
      </c>
      <c r="F189" s="39"/>
      <c r="G189" s="39" t="s">
        <v>1657</v>
      </c>
      <c r="H189" s="39" t="s">
        <v>242</v>
      </c>
      <c r="I189" s="39" t="s">
        <v>316</v>
      </c>
      <c r="J189" s="39" t="s">
        <v>2756</v>
      </c>
    </row>
    <row r="190" ht="14.25" customHeight="1">
      <c r="A190" s="38" t="s">
        <v>1658</v>
      </c>
      <c r="B190" s="38" t="s">
        <v>1657</v>
      </c>
      <c r="C190" s="38" t="s">
        <v>346</v>
      </c>
      <c r="D190" s="38" t="s">
        <v>245</v>
      </c>
      <c r="E190" s="38" t="s">
        <v>243</v>
      </c>
      <c r="F190" s="38"/>
      <c r="G190" s="38" t="s">
        <v>1657</v>
      </c>
      <c r="H190" s="38" t="s">
        <v>242</v>
      </c>
      <c r="I190" s="38" t="s">
        <v>356</v>
      </c>
      <c r="J190" s="38" t="s">
        <v>2756</v>
      </c>
    </row>
    <row r="191" ht="14.25" customHeight="1">
      <c r="A191" s="39" t="s">
        <v>1661</v>
      </c>
      <c r="B191" s="39" t="s">
        <v>1660</v>
      </c>
      <c r="C191" s="39" t="s">
        <v>267</v>
      </c>
      <c r="D191" s="39" t="s">
        <v>245</v>
      </c>
      <c r="E191" s="39" t="s">
        <v>243</v>
      </c>
      <c r="F191" s="39"/>
      <c r="G191" s="39" t="s">
        <v>1660</v>
      </c>
      <c r="H191" s="39" t="s">
        <v>268</v>
      </c>
      <c r="I191" s="39" t="s">
        <v>277</v>
      </c>
      <c r="J191" s="39" t="s">
        <v>2756</v>
      </c>
    </row>
    <row r="192" ht="14.25" customHeight="1">
      <c r="A192" s="38" t="s">
        <v>1661</v>
      </c>
      <c r="B192" s="38" t="s">
        <v>1660</v>
      </c>
      <c r="C192" s="38" t="s">
        <v>243</v>
      </c>
      <c r="D192" s="38" t="s">
        <v>245</v>
      </c>
      <c r="E192" s="38" t="s">
        <v>243</v>
      </c>
      <c r="F192" s="38"/>
      <c r="G192" s="38" t="s">
        <v>1660</v>
      </c>
      <c r="H192" s="38" t="s">
        <v>242</v>
      </c>
      <c r="I192" s="38" t="s">
        <v>316</v>
      </c>
      <c r="J192" s="38" t="s">
        <v>2756</v>
      </c>
    </row>
    <row r="193" ht="14.25" customHeight="1">
      <c r="A193" s="39" t="s">
        <v>1661</v>
      </c>
      <c r="B193" s="39" t="s">
        <v>1660</v>
      </c>
      <c r="C193" s="39" t="s">
        <v>346</v>
      </c>
      <c r="D193" s="39" t="s">
        <v>245</v>
      </c>
      <c r="E193" s="39" t="s">
        <v>243</v>
      </c>
      <c r="F193" s="39"/>
      <c r="G193" s="39" t="s">
        <v>1660</v>
      </c>
      <c r="H193" s="39" t="s">
        <v>242</v>
      </c>
      <c r="I193" s="39" t="s">
        <v>356</v>
      </c>
      <c r="J193" s="39" t="s">
        <v>2756</v>
      </c>
    </row>
    <row r="194" ht="14.25" customHeight="1">
      <c r="A194" s="38" t="s">
        <v>1664</v>
      </c>
      <c r="B194" s="38" t="s">
        <v>1660</v>
      </c>
      <c r="C194" s="38" t="s">
        <v>267</v>
      </c>
      <c r="D194" s="38" t="s">
        <v>245</v>
      </c>
      <c r="E194" s="38" t="s">
        <v>243</v>
      </c>
      <c r="F194" s="38"/>
      <c r="G194" s="38" t="s">
        <v>1660</v>
      </c>
      <c r="H194" s="38" t="s">
        <v>268</v>
      </c>
      <c r="I194" s="38" t="s">
        <v>277</v>
      </c>
      <c r="J194" s="38" t="s">
        <v>2756</v>
      </c>
    </row>
    <row r="195" ht="14.25" customHeight="1">
      <c r="A195" s="39" t="s">
        <v>1664</v>
      </c>
      <c r="B195" s="39" t="s">
        <v>1660</v>
      </c>
      <c r="C195" s="39" t="s">
        <v>243</v>
      </c>
      <c r="D195" s="39" t="s">
        <v>245</v>
      </c>
      <c r="E195" s="39" t="s">
        <v>243</v>
      </c>
      <c r="F195" s="39"/>
      <c r="G195" s="39" t="s">
        <v>1660</v>
      </c>
      <c r="H195" s="39" t="s">
        <v>242</v>
      </c>
      <c r="I195" s="39" t="s">
        <v>316</v>
      </c>
      <c r="J195" s="39" t="s">
        <v>2756</v>
      </c>
    </row>
    <row r="196" ht="14.25" customHeight="1">
      <c r="A196" s="38" t="s">
        <v>1664</v>
      </c>
      <c r="B196" s="38" t="s">
        <v>1660</v>
      </c>
      <c r="C196" s="38" t="s">
        <v>346</v>
      </c>
      <c r="D196" s="38" t="s">
        <v>245</v>
      </c>
      <c r="E196" s="38" t="s">
        <v>243</v>
      </c>
      <c r="F196" s="38"/>
      <c r="G196" s="38" t="s">
        <v>1660</v>
      </c>
      <c r="H196" s="38" t="s">
        <v>242</v>
      </c>
      <c r="I196" s="38" t="s">
        <v>356</v>
      </c>
      <c r="J196" s="38" t="s">
        <v>2756</v>
      </c>
    </row>
    <row r="197" ht="14.25" customHeight="1">
      <c r="A197" s="39" t="s">
        <v>1668</v>
      </c>
      <c r="B197" s="39" t="s">
        <v>1666</v>
      </c>
      <c r="C197" s="39" t="s">
        <v>267</v>
      </c>
      <c r="D197" s="39" t="s">
        <v>245</v>
      </c>
      <c r="E197" s="39" t="s">
        <v>243</v>
      </c>
      <c r="F197" s="39"/>
      <c r="G197" s="39" t="s">
        <v>1666</v>
      </c>
      <c r="H197" s="39" t="s">
        <v>268</v>
      </c>
      <c r="I197" s="39" t="s">
        <v>277</v>
      </c>
      <c r="J197" s="39" t="s">
        <v>2756</v>
      </c>
    </row>
    <row r="198" ht="14.25" customHeight="1">
      <c r="A198" s="38" t="s">
        <v>1668</v>
      </c>
      <c r="B198" s="38" t="s">
        <v>1666</v>
      </c>
      <c r="C198" s="38" t="s">
        <v>243</v>
      </c>
      <c r="D198" s="38" t="s">
        <v>245</v>
      </c>
      <c r="E198" s="38" t="s">
        <v>243</v>
      </c>
      <c r="F198" s="38"/>
      <c r="G198" s="38" t="s">
        <v>1666</v>
      </c>
      <c r="H198" s="38" t="s">
        <v>242</v>
      </c>
      <c r="I198" s="38" t="s">
        <v>316</v>
      </c>
      <c r="J198" s="38" t="s">
        <v>2756</v>
      </c>
    </row>
    <row r="199" ht="14.25" customHeight="1">
      <c r="A199" s="39" t="s">
        <v>1668</v>
      </c>
      <c r="B199" s="39" t="s">
        <v>1666</v>
      </c>
      <c r="C199" s="39" t="s">
        <v>346</v>
      </c>
      <c r="D199" s="39" t="s">
        <v>245</v>
      </c>
      <c r="E199" s="39" t="s">
        <v>243</v>
      </c>
      <c r="F199" s="39"/>
      <c r="G199" s="39" t="s">
        <v>1666</v>
      </c>
      <c r="H199" s="39" t="s">
        <v>242</v>
      </c>
      <c r="I199" s="39" t="s">
        <v>356</v>
      </c>
      <c r="J199" s="39" t="s">
        <v>2756</v>
      </c>
    </row>
    <row r="200" ht="14.25" customHeight="1">
      <c r="A200" s="38" t="s">
        <v>1672</v>
      </c>
      <c r="B200" s="38" t="s">
        <v>1670</v>
      </c>
      <c r="C200" s="38" t="s">
        <v>267</v>
      </c>
      <c r="D200" s="38" t="s">
        <v>245</v>
      </c>
      <c r="E200" s="38" t="s">
        <v>243</v>
      </c>
      <c r="F200" s="38"/>
      <c r="G200" s="38" t="s">
        <v>1670</v>
      </c>
      <c r="H200" s="38" t="s">
        <v>268</v>
      </c>
      <c r="I200" s="38" t="s">
        <v>277</v>
      </c>
      <c r="J200" s="38" t="s">
        <v>2756</v>
      </c>
    </row>
    <row r="201" ht="14.25" customHeight="1">
      <c r="A201" s="39" t="s">
        <v>1672</v>
      </c>
      <c r="B201" s="39" t="s">
        <v>1670</v>
      </c>
      <c r="C201" s="39" t="s">
        <v>243</v>
      </c>
      <c r="D201" s="39" t="s">
        <v>245</v>
      </c>
      <c r="E201" s="39" t="s">
        <v>243</v>
      </c>
      <c r="F201" s="39"/>
      <c r="G201" s="39" t="s">
        <v>1670</v>
      </c>
      <c r="H201" s="39" t="s">
        <v>242</v>
      </c>
      <c r="I201" s="39" t="s">
        <v>316</v>
      </c>
      <c r="J201" s="39" t="s">
        <v>2756</v>
      </c>
    </row>
    <row r="202" ht="14.25" customHeight="1">
      <c r="A202" s="38" t="s">
        <v>1672</v>
      </c>
      <c r="B202" s="38" t="s">
        <v>1670</v>
      </c>
      <c r="C202" s="38" t="s">
        <v>346</v>
      </c>
      <c r="D202" s="38" t="s">
        <v>245</v>
      </c>
      <c r="E202" s="38" t="s">
        <v>243</v>
      </c>
      <c r="F202" s="38"/>
      <c r="G202" s="38" t="s">
        <v>1670</v>
      </c>
      <c r="H202" s="38" t="s">
        <v>242</v>
      </c>
      <c r="I202" s="38" t="s">
        <v>356</v>
      </c>
      <c r="J202" s="38" t="s">
        <v>2756</v>
      </c>
    </row>
    <row r="203" ht="14.25" customHeight="1">
      <c r="A203" s="39" t="s">
        <v>1676</v>
      </c>
      <c r="B203" s="39" t="s">
        <v>1674</v>
      </c>
      <c r="C203" s="39" t="s">
        <v>267</v>
      </c>
      <c r="D203" s="39" t="s">
        <v>245</v>
      </c>
      <c r="E203" s="39" t="s">
        <v>243</v>
      </c>
      <c r="F203" s="39"/>
      <c r="G203" s="39" t="s">
        <v>1674</v>
      </c>
      <c r="H203" s="39" t="s">
        <v>268</v>
      </c>
      <c r="I203" s="39" t="s">
        <v>277</v>
      </c>
      <c r="J203" s="39" t="s">
        <v>2756</v>
      </c>
    </row>
    <row r="204" ht="14.25" customHeight="1">
      <c r="A204" s="38" t="s">
        <v>1676</v>
      </c>
      <c r="B204" s="38" t="s">
        <v>1674</v>
      </c>
      <c r="C204" s="38" t="s">
        <v>243</v>
      </c>
      <c r="D204" s="38" t="s">
        <v>245</v>
      </c>
      <c r="E204" s="38" t="s">
        <v>243</v>
      </c>
      <c r="F204" s="38"/>
      <c r="G204" s="38" t="s">
        <v>1674</v>
      </c>
      <c r="H204" s="38" t="s">
        <v>242</v>
      </c>
      <c r="I204" s="38" t="s">
        <v>316</v>
      </c>
      <c r="J204" s="38" t="s">
        <v>2756</v>
      </c>
    </row>
    <row r="205" ht="14.25" customHeight="1">
      <c r="A205" s="39" t="s">
        <v>1676</v>
      </c>
      <c r="B205" s="39" t="s">
        <v>1674</v>
      </c>
      <c r="C205" s="39" t="s">
        <v>346</v>
      </c>
      <c r="D205" s="39" t="s">
        <v>245</v>
      </c>
      <c r="E205" s="39" t="s">
        <v>243</v>
      </c>
      <c r="F205" s="39"/>
      <c r="G205" s="39" t="s">
        <v>1674</v>
      </c>
      <c r="H205" s="39" t="s">
        <v>242</v>
      </c>
      <c r="I205" s="39" t="s">
        <v>356</v>
      </c>
      <c r="J205" s="39" t="s">
        <v>2756</v>
      </c>
    </row>
    <row r="206" ht="14.25" customHeight="1">
      <c r="A206" s="38" t="s">
        <v>1679</v>
      </c>
      <c r="B206" s="38" t="s">
        <v>1678</v>
      </c>
      <c r="C206" s="38" t="s">
        <v>267</v>
      </c>
      <c r="D206" s="38" t="s">
        <v>245</v>
      </c>
      <c r="E206" s="38" t="s">
        <v>243</v>
      </c>
      <c r="F206" s="38"/>
      <c r="G206" s="38" t="s">
        <v>1678</v>
      </c>
      <c r="H206" s="38" t="s">
        <v>268</v>
      </c>
      <c r="I206" s="38" t="s">
        <v>277</v>
      </c>
      <c r="J206" s="38" t="s">
        <v>2756</v>
      </c>
    </row>
    <row r="207" ht="14.25" customHeight="1">
      <c r="A207" s="39" t="s">
        <v>1679</v>
      </c>
      <c r="B207" s="39" t="s">
        <v>1678</v>
      </c>
      <c r="C207" s="39" t="s">
        <v>243</v>
      </c>
      <c r="D207" s="39" t="s">
        <v>245</v>
      </c>
      <c r="E207" s="39" t="s">
        <v>243</v>
      </c>
      <c r="F207" s="39"/>
      <c r="G207" s="39" t="s">
        <v>1678</v>
      </c>
      <c r="H207" s="39" t="s">
        <v>242</v>
      </c>
      <c r="I207" s="39" t="s">
        <v>316</v>
      </c>
      <c r="J207" s="39" t="s">
        <v>2756</v>
      </c>
    </row>
    <row r="208" ht="14.25" customHeight="1">
      <c r="A208" s="38" t="s">
        <v>1679</v>
      </c>
      <c r="B208" s="38" t="s">
        <v>1678</v>
      </c>
      <c r="C208" s="38" t="s">
        <v>346</v>
      </c>
      <c r="D208" s="38" t="s">
        <v>245</v>
      </c>
      <c r="E208" s="38" t="s">
        <v>243</v>
      </c>
      <c r="F208" s="38"/>
      <c r="G208" s="38" t="s">
        <v>1678</v>
      </c>
      <c r="H208" s="38" t="s">
        <v>242</v>
      </c>
      <c r="I208" s="38" t="s">
        <v>356</v>
      </c>
      <c r="J208" s="38" t="s">
        <v>2756</v>
      </c>
    </row>
    <row r="209" ht="14.25" customHeight="1">
      <c r="A209" s="39" t="s">
        <v>1682</v>
      </c>
      <c r="B209" s="39" t="s">
        <v>1681</v>
      </c>
      <c r="C209" s="39" t="s">
        <v>267</v>
      </c>
      <c r="D209" s="39" t="s">
        <v>245</v>
      </c>
      <c r="E209" s="39" t="s">
        <v>243</v>
      </c>
      <c r="F209" s="39"/>
      <c r="G209" s="39" t="s">
        <v>1681</v>
      </c>
      <c r="H209" s="39" t="s">
        <v>268</v>
      </c>
      <c r="I209" s="39" t="s">
        <v>277</v>
      </c>
      <c r="J209" s="39" t="s">
        <v>2756</v>
      </c>
    </row>
    <row r="210" ht="14.25" customHeight="1">
      <c r="A210" s="38" t="s">
        <v>1682</v>
      </c>
      <c r="B210" s="38" t="s">
        <v>1681</v>
      </c>
      <c r="C210" s="38" t="s">
        <v>243</v>
      </c>
      <c r="D210" s="38" t="s">
        <v>245</v>
      </c>
      <c r="E210" s="38" t="s">
        <v>243</v>
      </c>
      <c r="F210" s="38"/>
      <c r="G210" s="38" t="s">
        <v>1681</v>
      </c>
      <c r="H210" s="38" t="s">
        <v>242</v>
      </c>
      <c r="I210" s="38" t="s">
        <v>316</v>
      </c>
      <c r="J210" s="38" t="s">
        <v>2756</v>
      </c>
    </row>
    <row r="211" ht="14.25" customHeight="1">
      <c r="A211" s="39" t="s">
        <v>1682</v>
      </c>
      <c r="B211" s="39" t="s">
        <v>1681</v>
      </c>
      <c r="C211" s="39" t="s">
        <v>346</v>
      </c>
      <c r="D211" s="39" t="s">
        <v>245</v>
      </c>
      <c r="E211" s="39" t="s">
        <v>243</v>
      </c>
      <c r="F211" s="39"/>
      <c r="G211" s="39" t="s">
        <v>1681</v>
      </c>
      <c r="H211" s="39" t="s">
        <v>242</v>
      </c>
      <c r="I211" s="39" t="s">
        <v>356</v>
      </c>
      <c r="J211" s="39" t="s">
        <v>2756</v>
      </c>
    </row>
    <row r="212" ht="14.25" customHeight="1">
      <c r="A212" s="38" t="s">
        <v>1686</v>
      </c>
      <c r="B212" s="38" t="s">
        <v>1684</v>
      </c>
      <c r="C212" s="38" t="s">
        <v>267</v>
      </c>
      <c r="D212" s="38" t="s">
        <v>245</v>
      </c>
      <c r="E212" s="38" t="s">
        <v>243</v>
      </c>
      <c r="F212" s="38"/>
      <c r="G212" s="38" t="s">
        <v>1684</v>
      </c>
      <c r="H212" s="38" t="s">
        <v>268</v>
      </c>
      <c r="I212" s="38" t="s">
        <v>277</v>
      </c>
      <c r="J212" s="38" t="s">
        <v>2756</v>
      </c>
    </row>
    <row r="213" ht="14.25" customHeight="1">
      <c r="A213" s="39" t="s">
        <v>1686</v>
      </c>
      <c r="B213" s="39" t="s">
        <v>1684</v>
      </c>
      <c r="C213" s="39" t="s">
        <v>243</v>
      </c>
      <c r="D213" s="39" t="s">
        <v>245</v>
      </c>
      <c r="E213" s="39" t="s">
        <v>243</v>
      </c>
      <c r="F213" s="39"/>
      <c r="G213" s="39" t="s">
        <v>1684</v>
      </c>
      <c r="H213" s="39" t="s">
        <v>242</v>
      </c>
      <c r="I213" s="39" t="s">
        <v>316</v>
      </c>
      <c r="J213" s="39" t="s">
        <v>2756</v>
      </c>
    </row>
    <row r="214" ht="14.25" customHeight="1">
      <c r="A214" s="38" t="s">
        <v>1686</v>
      </c>
      <c r="B214" s="38" t="s">
        <v>1684</v>
      </c>
      <c r="C214" s="38" t="s">
        <v>346</v>
      </c>
      <c r="D214" s="38" t="s">
        <v>245</v>
      </c>
      <c r="E214" s="38" t="s">
        <v>243</v>
      </c>
      <c r="F214" s="38"/>
      <c r="G214" s="38" t="s">
        <v>1684</v>
      </c>
      <c r="H214" s="38" t="s">
        <v>242</v>
      </c>
      <c r="I214" s="38" t="s">
        <v>356</v>
      </c>
      <c r="J214" s="38" t="s">
        <v>2756</v>
      </c>
    </row>
    <row r="215" ht="14.25" customHeight="1">
      <c r="A215" s="39" t="s">
        <v>1689</v>
      </c>
      <c r="B215" s="39" t="s">
        <v>1688</v>
      </c>
      <c r="C215" s="39" t="s">
        <v>267</v>
      </c>
      <c r="D215" s="39" t="s">
        <v>245</v>
      </c>
      <c r="E215" s="39" t="s">
        <v>243</v>
      </c>
      <c r="F215" s="39"/>
      <c r="G215" s="39" t="s">
        <v>1688</v>
      </c>
      <c r="H215" s="39" t="s">
        <v>268</v>
      </c>
      <c r="I215" s="39" t="s">
        <v>277</v>
      </c>
      <c r="J215" s="39" t="s">
        <v>2756</v>
      </c>
    </row>
    <row r="216" ht="14.25" customHeight="1">
      <c r="A216" s="38" t="s">
        <v>1689</v>
      </c>
      <c r="B216" s="38" t="s">
        <v>1688</v>
      </c>
      <c r="C216" s="38" t="s">
        <v>243</v>
      </c>
      <c r="D216" s="38" t="s">
        <v>245</v>
      </c>
      <c r="E216" s="38" t="s">
        <v>243</v>
      </c>
      <c r="F216" s="38"/>
      <c r="G216" s="38" t="s">
        <v>1688</v>
      </c>
      <c r="H216" s="38" t="s">
        <v>242</v>
      </c>
      <c r="I216" s="38" t="s">
        <v>316</v>
      </c>
      <c r="J216" s="38" t="s">
        <v>2756</v>
      </c>
    </row>
    <row r="217" ht="14.25" customHeight="1">
      <c r="A217" s="39" t="s">
        <v>1689</v>
      </c>
      <c r="B217" s="39" t="s">
        <v>1688</v>
      </c>
      <c r="C217" s="39" t="s">
        <v>346</v>
      </c>
      <c r="D217" s="39" t="s">
        <v>245</v>
      </c>
      <c r="E217" s="39" t="s">
        <v>243</v>
      </c>
      <c r="F217" s="39"/>
      <c r="G217" s="39" t="s">
        <v>1688</v>
      </c>
      <c r="H217" s="39" t="s">
        <v>242</v>
      </c>
      <c r="I217" s="39" t="s">
        <v>356</v>
      </c>
      <c r="J217" s="39" t="s">
        <v>2756</v>
      </c>
    </row>
    <row r="218" ht="14.25" customHeight="1">
      <c r="A218" s="38" t="s">
        <v>1693</v>
      </c>
      <c r="B218" s="38" t="s">
        <v>1691</v>
      </c>
      <c r="C218" s="38" t="s">
        <v>267</v>
      </c>
      <c r="D218" s="38" t="s">
        <v>245</v>
      </c>
      <c r="E218" s="38" t="s">
        <v>243</v>
      </c>
      <c r="F218" s="38"/>
      <c r="G218" s="38" t="s">
        <v>1691</v>
      </c>
      <c r="H218" s="38" t="s">
        <v>268</v>
      </c>
      <c r="I218" s="38" t="s">
        <v>277</v>
      </c>
      <c r="J218" s="38" t="s">
        <v>2756</v>
      </c>
    </row>
    <row r="219" ht="14.25" customHeight="1">
      <c r="A219" s="39" t="s">
        <v>1693</v>
      </c>
      <c r="B219" s="39" t="s">
        <v>1691</v>
      </c>
      <c r="C219" s="39" t="s">
        <v>243</v>
      </c>
      <c r="D219" s="39" t="s">
        <v>245</v>
      </c>
      <c r="E219" s="39" t="s">
        <v>243</v>
      </c>
      <c r="F219" s="39"/>
      <c r="G219" s="39" t="s">
        <v>1691</v>
      </c>
      <c r="H219" s="39" t="s">
        <v>242</v>
      </c>
      <c r="I219" s="39" t="s">
        <v>316</v>
      </c>
      <c r="J219" s="39" t="s">
        <v>2756</v>
      </c>
    </row>
    <row r="220" ht="14.25" customHeight="1">
      <c r="A220" s="38" t="s">
        <v>1693</v>
      </c>
      <c r="B220" s="38" t="s">
        <v>1691</v>
      </c>
      <c r="C220" s="38" t="s">
        <v>346</v>
      </c>
      <c r="D220" s="38" t="s">
        <v>245</v>
      </c>
      <c r="E220" s="38" t="s">
        <v>243</v>
      </c>
      <c r="F220" s="38"/>
      <c r="G220" s="38" t="s">
        <v>1691</v>
      </c>
      <c r="H220" s="38" t="s">
        <v>242</v>
      </c>
      <c r="I220" s="38" t="s">
        <v>356</v>
      </c>
      <c r="J220" s="38" t="s">
        <v>2756</v>
      </c>
    </row>
    <row r="221" ht="14.25" customHeight="1">
      <c r="A221" s="39" t="s">
        <v>1697</v>
      </c>
      <c r="B221" s="39" t="s">
        <v>1695</v>
      </c>
      <c r="C221" s="39" t="s">
        <v>267</v>
      </c>
      <c r="D221" s="39" t="s">
        <v>245</v>
      </c>
      <c r="E221" s="39" t="s">
        <v>243</v>
      </c>
      <c r="F221" s="39"/>
      <c r="G221" s="39" t="s">
        <v>1695</v>
      </c>
      <c r="H221" s="39" t="s">
        <v>268</v>
      </c>
      <c r="I221" s="39" t="s">
        <v>277</v>
      </c>
      <c r="J221" s="39" t="s">
        <v>2756</v>
      </c>
    </row>
    <row r="222" ht="14.25" customHeight="1">
      <c r="A222" s="38" t="s">
        <v>1697</v>
      </c>
      <c r="B222" s="38" t="s">
        <v>1695</v>
      </c>
      <c r="C222" s="38" t="s">
        <v>243</v>
      </c>
      <c r="D222" s="38" t="s">
        <v>245</v>
      </c>
      <c r="E222" s="38" t="s">
        <v>243</v>
      </c>
      <c r="F222" s="38"/>
      <c r="G222" s="38" t="s">
        <v>1695</v>
      </c>
      <c r="H222" s="38" t="s">
        <v>242</v>
      </c>
      <c r="I222" s="38" t="s">
        <v>316</v>
      </c>
      <c r="J222" s="38" t="s">
        <v>2756</v>
      </c>
    </row>
    <row r="223" ht="14.25" customHeight="1">
      <c r="A223" s="39" t="s">
        <v>1697</v>
      </c>
      <c r="B223" s="39" t="s">
        <v>1695</v>
      </c>
      <c r="C223" s="39" t="s">
        <v>346</v>
      </c>
      <c r="D223" s="39" t="s">
        <v>245</v>
      </c>
      <c r="E223" s="39" t="s">
        <v>243</v>
      </c>
      <c r="F223" s="39"/>
      <c r="G223" s="39" t="s">
        <v>1695</v>
      </c>
      <c r="H223" s="39" t="s">
        <v>242</v>
      </c>
      <c r="I223" s="39" t="s">
        <v>356</v>
      </c>
      <c r="J223" s="39" t="s">
        <v>2756</v>
      </c>
    </row>
    <row r="224" ht="14.25" customHeight="1">
      <c r="A224" s="38" t="s">
        <v>1701</v>
      </c>
      <c r="B224" s="38" t="s">
        <v>1700</v>
      </c>
      <c r="C224" s="38" t="s">
        <v>267</v>
      </c>
      <c r="D224" s="38" t="s">
        <v>245</v>
      </c>
      <c r="E224" s="38" t="s">
        <v>243</v>
      </c>
      <c r="F224" s="38"/>
      <c r="G224" s="38" t="s">
        <v>1700</v>
      </c>
      <c r="H224" s="38" t="s">
        <v>268</v>
      </c>
      <c r="I224" s="38" t="s">
        <v>277</v>
      </c>
      <c r="J224" s="38" t="s">
        <v>2756</v>
      </c>
    </row>
    <row r="225" ht="14.25" customHeight="1">
      <c r="A225" s="39" t="s">
        <v>1701</v>
      </c>
      <c r="B225" s="39" t="s">
        <v>1700</v>
      </c>
      <c r="C225" s="39" t="s">
        <v>243</v>
      </c>
      <c r="D225" s="39" t="s">
        <v>245</v>
      </c>
      <c r="E225" s="39" t="s">
        <v>243</v>
      </c>
      <c r="F225" s="39"/>
      <c r="G225" s="39" t="s">
        <v>1700</v>
      </c>
      <c r="H225" s="39" t="s">
        <v>242</v>
      </c>
      <c r="I225" s="39" t="s">
        <v>316</v>
      </c>
      <c r="J225" s="39" t="s">
        <v>2756</v>
      </c>
    </row>
    <row r="226" ht="14.25" customHeight="1">
      <c r="A226" s="38" t="s">
        <v>1701</v>
      </c>
      <c r="B226" s="38" t="s">
        <v>1700</v>
      </c>
      <c r="C226" s="38" t="s">
        <v>346</v>
      </c>
      <c r="D226" s="38" t="s">
        <v>245</v>
      </c>
      <c r="E226" s="38" t="s">
        <v>243</v>
      </c>
      <c r="F226" s="38"/>
      <c r="G226" s="38" t="s">
        <v>1700</v>
      </c>
      <c r="H226" s="38" t="s">
        <v>242</v>
      </c>
      <c r="I226" s="38" t="s">
        <v>356</v>
      </c>
      <c r="J226" s="38" t="s">
        <v>2756</v>
      </c>
    </row>
    <row r="227" ht="14.25" customHeight="1">
      <c r="A227" s="39" t="s">
        <v>1704</v>
      </c>
      <c r="B227" s="39" t="s">
        <v>1703</v>
      </c>
      <c r="C227" s="39" t="s">
        <v>267</v>
      </c>
      <c r="D227" s="39" t="s">
        <v>245</v>
      </c>
      <c r="E227" s="39" t="s">
        <v>243</v>
      </c>
      <c r="F227" s="39"/>
      <c r="G227" s="39" t="s">
        <v>1703</v>
      </c>
      <c r="H227" s="39" t="s">
        <v>268</v>
      </c>
      <c r="I227" s="39" t="s">
        <v>277</v>
      </c>
      <c r="J227" s="39" t="s">
        <v>2756</v>
      </c>
    </row>
    <row r="228" ht="14.25" customHeight="1">
      <c r="A228" s="38" t="s">
        <v>1704</v>
      </c>
      <c r="B228" s="38" t="s">
        <v>1703</v>
      </c>
      <c r="C228" s="38" t="s">
        <v>243</v>
      </c>
      <c r="D228" s="38" t="s">
        <v>245</v>
      </c>
      <c r="E228" s="38" t="s">
        <v>243</v>
      </c>
      <c r="F228" s="38"/>
      <c r="G228" s="38" t="s">
        <v>1703</v>
      </c>
      <c r="H228" s="38" t="s">
        <v>242</v>
      </c>
      <c r="I228" s="38" t="s">
        <v>316</v>
      </c>
      <c r="J228" s="38" t="s">
        <v>2756</v>
      </c>
    </row>
    <row r="229" ht="14.25" customHeight="1">
      <c r="A229" s="39" t="s">
        <v>1704</v>
      </c>
      <c r="B229" s="39" t="s">
        <v>1703</v>
      </c>
      <c r="C229" s="39" t="s">
        <v>346</v>
      </c>
      <c r="D229" s="39" t="s">
        <v>245</v>
      </c>
      <c r="E229" s="39" t="s">
        <v>243</v>
      </c>
      <c r="F229" s="39"/>
      <c r="G229" s="39" t="s">
        <v>1703</v>
      </c>
      <c r="H229" s="39" t="s">
        <v>242</v>
      </c>
      <c r="I229" s="39" t="s">
        <v>356</v>
      </c>
      <c r="J229" s="39" t="s">
        <v>2756</v>
      </c>
    </row>
    <row r="230" ht="14.25" customHeight="1">
      <c r="A230" s="38" t="s">
        <v>1718</v>
      </c>
      <c r="B230" s="38" t="s">
        <v>1715</v>
      </c>
      <c r="C230" s="38" t="s">
        <v>267</v>
      </c>
      <c r="D230" s="38" t="s">
        <v>245</v>
      </c>
      <c r="E230" s="38" t="s">
        <v>243</v>
      </c>
      <c r="F230" s="38"/>
      <c r="G230" s="38" t="s">
        <v>1715</v>
      </c>
      <c r="H230" s="38" t="s">
        <v>322</v>
      </c>
      <c r="I230" s="38" t="s">
        <v>277</v>
      </c>
      <c r="J230" s="38" t="s">
        <v>2756</v>
      </c>
    </row>
    <row r="231" ht="14.25" customHeight="1">
      <c r="A231" s="39" t="s">
        <v>1718</v>
      </c>
      <c r="B231" s="39" t="s">
        <v>1715</v>
      </c>
      <c r="C231" s="39" t="s">
        <v>243</v>
      </c>
      <c r="D231" s="39" t="s">
        <v>245</v>
      </c>
      <c r="E231" s="39" t="s">
        <v>243</v>
      </c>
      <c r="F231" s="39"/>
      <c r="G231" s="39" t="s">
        <v>1715</v>
      </c>
      <c r="H231" s="39" t="s">
        <v>322</v>
      </c>
      <c r="I231" s="39" t="s">
        <v>316</v>
      </c>
      <c r="J231" s="39" t="s">
        <v>2756</v>
      </c>
    </row>
    <row r="232" ht="14.25" customHeight="1">
      <c r="A232" s="38" t="s">
        <v>1718</v>
      </c>
      <c r="B232" s="38" t="s">
        <v>1715</v>
      </c>
      <c r="C232" s="38" t="s">
        <v>346</v>
      </c>
      <c r="D232" s="38" t="s">
        <v>245</v>
      </c>
      <c r="E232" s="38" t="s">
        <v>243</v>
      </c>
      <c r="F232" s="38"/>
      <c r="G232" s="38" t="s">
        <v>1715</v>
      </c>
      <c r="H232" s="38" t="s">
        <v>322</v>
      </c>
      <c r="I232" s="38" t="s">
        <v>356</v>
      </c>
      <c r="J232" s="38" t="s">
        <v>2756</v>
      </c>
    </row>
    <row r="233" ht="14.25" customHeight="1">
      <c r="A233" s="39" t="s">
        <v>1726</v>
      </c>
      <c r="B233" s="39" t="s">
        <v>1721</v>
      </c>
      <c r="C233" s="39" t="s">
        <v>267</v>
      </c>
      <c r="D233" s="39" t="s">
        <v>245</v>
      </c>
      <c r="E233" s="39" t="s">
        <v>243</v>
      </c>
      <c r="F233" s="39"/>
      <c r="G233" s="39" t="s">
        <v>1721</v>
      </c>
      <c r="H233" s="39" t="s">
        <v>268</v>
      </c>
      <c r="I233" s="39" t="s">
        <v>277</v>
      </c>
      <c r="J233" s="39" t="s">
        <v>2756</v>
      </c>
    </row>
    <row r="234" ht="14.25" customHeight="1">
      <c r="A234" s="38" t="s">
        <v>1726</v>
      </c>
      <c r="B234" s="38" t="s">
        <v>1721</v>
      </c>
      <c r="C234" s="38" t="s">
        <v>243</v>
      </c>
      <c r="D234" s="38" t="s">
        <v>245</v>
      </c>
      <c r="E234" s="38" t="s">
        <v>243</v>
      </c>
      <c r="F234" s="38"/>
      <c r="G234" s="38" t="s">
        <v>1721</v>
      </c>
      <c r="H234" s="38" t="s">
        <v>242</v>
      </c>
      <c r="I234" s="38" t="s">
        <v>316</v>
      </c>
      <c r="J234" s="38" t="s">
        <v>2756</v>
      </c>
    </row>
    <row r="235" ht="14.25" customHeight="1">
      <c r="A235" s="39" t="s">
        <v>1726</v>
      </c>
      <c r="B235" s="39" t="s">
        <v>1721</v>
      </c>
      <c r="C235" s="39" t="s">
        <v>346</v>
      </c>
      <c r="D235" s="39" t="s">
        <v>245</v>
      </c>
      <c r="E235" s="39" t="s">
        <v>243</v>
      </c>
      <c r="F235" s="39"/>
      <c r="G235" s="39" t="s">
        <v>1721</v>
      </c>
      <c r="H235" s="39" t="s">
        <v>242</v>
      </c>
      <c r="I235" s="39" t="s">
        <v>356</v>
      </c>
      <c r="J235" s="39" t="s">
        <v>2756</v>
      </c>
    </row>
    <row r="236" ht="14.25" customHeight="1">
      <c r="A236" s="38" t="s">
        <v>1729</v>
      </c>
      <c r="B236" s="38" t="s">
        <v>1728</v>
      </c>
      <c r="C236" s="38" t="s">
        <v>267</v>
      </c>
      <c r="D236" s="38" t="s">
        <v>245</v>
      </c>
      <c r="E236" s="38" t="s">
        <v>284</v>
      </c>
      <c r="F236" s="38"/>
      <c r="G236" s="38" t="s">
        <v>1728</v>
      </c>
      <c r="H236" s="38" t="s">
        <v>268</v>
      </c>
      <c r="I236" s="38" t="s">
        <v>277</v>
      </c>
      <c r="J236" s="38" t="s">
        <v>2756</v>
      </c>
    </row>
    <row r="237" ht="14.25" customHeight="1">
      <c r="A237" s="39" t="s">
        <v>1729</v>
      </c>
      <c r="B237" s="39" t="s">
        <v>1728</v>
      </c>
      <c r="C237" s="39" t="s">
        <v>243</v>
      </c>
      <c r="D237" s="39" t="s">
        <v>245</v>
      </c>
      <c r="E237" s="39" t="s">
        <v>284</v>
      </c>
      <c r="F237" s="39"/>
      <c r="G237" s="39" t="s">
        <v>1728</v>
      </c>
      <c r="H237" s="39" t="s">
        <v>242</v>
      </c>
      <c r="I237" s="39" t="s">
        <v>316</v>
      </c>
      <c r="J237" s="39" t="s">
        <v>2756</v>
      </c>
    </row>
    <row r="238" ht="14.25" customHeight="1">
      <c r="A238" s="38" t="s">
        <v>1729</v>
      </c>
      <c r="B238" s="38" t="s">
        <v>1728</v>
      </c>
      <c r="C238" s="38" t="s">
        <v>346</v>
      </c>
      <c r="D238" s="38" t="s">
        <v>245</v>
      </c>
      <c r="E238" s="38" t="s">
        <v>284</v>
      </c>
      <c r="F238" s="38"/>
      <c r="G238" s="38" t="s">
        <v>1728</v>
      </c>
      <c r="H238" s="38" t="s">
        <v>242</v>
      </c>
      <c r="I238" s="38" t="s">
        <v>356</v>
      </c>
      <c r="J238" s="38" t="s">
        <v>2756</v>
      </c>
    </row>
    <row r="239" ht="14.25" customHeight="1">
      <c r="A239" s="39" t="s">
        <v>1732</v>
      </c>
      <c r="B239" s="39" t="s">
        <v>1731</v>
      </c>
      <c r="C239" s="39" t="s">
        <v>267</v>
      </c>
      <c r="D239" s="39" t="s">
        <v>245</v>
      </c>
      <c r="E239" s="39" t="s">
        <v>243</v>
      </c>
      <c r="F239" s="39"/>
      <c r="G239" s="39" t="s">
        <v>1731</v>
      </c>
      <c r="H239" s="39" t="s">
        <v>268</v>
      </c>
      <c r="I239" s="39" t="s">
        <v>277</v>
      </c>
      <c r="J239" s="39" t="s">
        <v>2756</v>
      </c>
    </row>
    <row r="240" ht="14.25" customHeight="1">
      <c r="A240" s="38" t="s">
        <v>1732</v>
      </c>
      <c r="B240" s="38" t="s">
        <v>1731</v>
      </c>
      <c r="C240" s="38" t="s">
        <v>243</v>
      </c>
      <c r="D240" s="38" t="s">
        <v>245</v>
      </c>
      <c r="E240" s="38" t="s">
        <v>243</v>
      </c>
      <c r="F240" s="38"/>
      <c r="G240" s="38" t="s">
        <v>1731</v>
      </c>
      <c r="H240" s="38" t="s">
        <v>242</v>
      </c>
      <c r="I240" s="38" t="s">
        <v>316</v>
      </c>
      <c r="J240" s="38" t="s">
        <v>2756</v>
      </c>
    </row>
    <row r="241" ht="14.25" customHeight="1">
      <c r="A241" s="39" t="s">
        <v>1732</v>
      </c>
      <c r="B241" s="39" t="s">
        <v>1731</v>
      </c>
      <c r="C241" s="39" t="s">
        <v>346</v>
      </c>
      <c r="D241" s="39" t="s">
        <v>245</v>
      </c>
      <c r="E241" s="39" t="s">
        <v>243</v>
      </c>
      <c r="F241" s="39"/>
      <c r="G241" s="39" t="s">
        <v>1731</v>
      </c>
      <c r="H241" s="39" t="s">
        <v>242</v>
      </c>
      <c r="I241" s="39" t="s">
        <v>356</v>
      </c>
      <c r="J241" s="39" t="s">
        <v>2756</v>
      </c>
    </row>
    <row r="242" ht="14.25" customHeight="1">
      <c r="A242" s="38" t="s">
        <v>1736</v>
      </c>
      <c r="B242" s="38" t="s">
        <v>1734</v>
      </c>
      <c r="C242" s="38" t="s">
        <v>267</v>
      </c>
      <c r="D242" s="38" t="s">
        <v>245</v>
      </c>
      <c r="E242" s="38" t="s">
        <v>243</v>
      </c>
      <c r="F242" s="38"/>
      <c r="G242" s="38" t="s">
        <v>1734</v>
      </c>
      <c r="H242" s="38" t="s">
        <v>268</v>
      </c>
      <c r="I242" s="38" t="s">
        <v>277</v>
      </c>
      <c r="J242" s="38" t="s">
        <v>2756</v>
      </c>
    </row>
    <row r="243" ht="14.25" customHeight="1">
      <c r="A243" s="39" t="s">
        <v>1736</v>
      </c>
      <c r="B243" s="39" t="s">
        <v>1734</v>
      </c>
      <c r="C243" s="39" t="s">
        <v>243</v>
      </c>
      <c r="D243" s="39" t="s">
        <v>245</v>
      </c>
      <c r="E243" s="39" t="s">
        <v>243</v>
      </c>
      <c r="F243" s="39"/>
      <c r="G243" s="39" t="s">
        <v>1734</v>
      </c>
      <c r="H243" s="39" t="s">
        <v>242</v>
      </c>
      <c r="I243" s="39" t="s">
        <v>316</v>
      </c>
      <c r="J243" s="39" t="s">
        <v>2756</v>
      </c>
    </row>
    <row r="244" ht="14.25" customHeight="1">
      <c r="A244" s="38" t="s">
        <v>1736</v>
      </c>
      <c r="B244" s="38" t="s">
        <v>1734</v>
      </c>
      <c r="C244" s="38" t="s">
        <v>346</v>
      </c>
      <c r="D244" s="38" t="s">
        <v>245</v>
      </c>
      <c r="E244" s="38" t="s">
        <v>243</v>
      </c>
      <c r="F244" s="38"/>
      <c r="G244" s="38" t="s">
        <v>1734</v>
      </c>
      <c r="H244" s="38" t="s">
        <v>242</v>
      </c>
      <c r="I244" s="38" t="s">
        <v>356</v>
      </c>
      <c r="J244" s="38" t="s">
        <v>2756</v>
      </c>
    </row>
    <row r="245" ht="14.25" customHeight="1">
      <c r="A245" s="39" t="s">
        <v>1740</v>
      </c>
      <c r="B245" s="39" t="s">
        <v>1738</v>
      </c>
      <c r="C245" s="39" t="s">
        <v>267</v>
      </c>
      <c r="D245" s="39" t="s">
        <v>245</v>
      </c>
      <c r="E245" s="39" t="s">
        <v>243</v>
      </c>
      <c r="F245" s="39"/>
      <c r="G245" s="39" t="s">
        <v>1738</v>
      </c>
      <c r="H245" s="39" t="s">
        <v>268</v>
      </c>
      <c r="I245" s="39" t="s">
        <v>277</v>
      </c>
      <c r="J245" s="39" t="s">
        <v>2756</v>
      </c>
    </row>
    <row r="246" ht="14.25" customHeight="1">
      <c r="A246" s="38" t="s">
        <v>1740</v>
      </c>
      <c r="B246" s="38" t="s">
        <v>1738</v>
      </c>
      <c r="C246" s="38" t="s">
        <v>243</v>
      </c>
      <c r="D246" s="38" t="s">
        <v>245</v>
      </c>
      <c r="E246" s="38" t="s">
        <v>243</v>
      </c>
      <c r="F246" s="38"/>
      <c r="G246" s="38" t="s">
        <v>1738</v>
      </c>
      <c r="H246" s="38" t="s">
        <v>242</v>
      </c>
      <c r="I246" s="38" t="s">
        <v>316</v>
      </c>
      <c r="J246" s="38" t="s">
        <v>2756</v>
      </c>
    </row>
    <row r="247" ht="14.25" customHeight="1">
      <c r="A247" s="39" t="s">
        <v>1740</v>
      </c>
      <c r="B247" s="39" t="s">
        <v>1738</v>
      </c>
      <c r="C247" s="39" t="s">
        <v>346</v>
      </c>
      <c r="D247" s="39" t="s">
        <v>245</v>
      </c>
      <c r="E247" s="39" t="s">
        <v>243</v>
      </c>
      <c r="F247" s="39"/>
      <c r="G247" s="39" t="s">
        <v>1738</v>
      </c>
      <c r="H247" s="39" t="s">
        <v>242</v>
      </c>
      <c r="I247" s="39" t="s">
        <v>356</v>
      </c>
      <c r="J247" s="39" t="s">
        <v>2756</v>
      </c>
    </row>
    <row r="248" ht="14.25" customHeight="1">
      <c r="A248" s="38" t="s">
        <v>1744</v>
      </c>
      <c r="B248" s="38" t="s">
        <v>1742</v>
      </c>
      <c r="C248" s="38" t="s">
        <v>267</v>
      </c>
      <c r="D248" s="38" t="s">
        <v>245</v>
      </c>
      <c r="E248" s="38" t="s">
        <v>243</v>
      </c>
      <c r="F248" s="38"/>
      <c r="G248" s="38" t="s">
        <v>1742</v>
      </c>
      <c r="H248" s="38" t="s">
        <v>268</v>
      </c>
      <c r="I248" s="38" t="s">
        <v>277</v>
      </c>
      <c r="J248" s="38" t="s">
        <v>2756</v>
      </c>
    </row>
    <row r="249" ht="14.25" customHeight="1">
      <c r="A249" s="39" t="s">
        <v>1744</v>
      </c>
      <c r="B249" s="39" t="s">
        <v>1742</v>
      </c>
      <c r="C249" s="39" t="s">
        <v>243</v>
      </c>
      <c r="D249" s="39" t="s">
        <v>245</v>
      </c>
      <c r="E249" s="39" t="s">
        <v>243</v>
      </c>
      <c r="F249" s="39"/>
      <c r="G249" s="39" t="s">
        <v>1742</v>
      </c>
      <c r="H249" s="39" t="s">
        <v>242</v>
      </c>
      <c r="I249" s="39" t="s">
        <v>316</v>
      </c>
      <c r="J249" s="39" t="s">
        <v>2756</v>
      </c>
    </row>
    <row r="250" ht="14.25" customHeight="1">
      <c r="A250" s="38" t="s">
        <v>1744</v>
      </c>
      <c r="B250" s="38" t="s">
        <v>1742</v>
      </c>
      <c r="C250" s="38" t="s">
        <v>346</v>
      </c>
      <c r="D250" s="38" t="s">
        <v>245</v>
      </c>
      <c r="E250" s="38" t="s">
        <v>243</v>
      </c>
      <c r="F250" s="38"/>
      <c r="G250" s="38" t="s">
        <v>1742</v>
      </c>
      <c r="H250" s="38" t="s">
        <v>242</v>
      </c>
      <c r="I250" s="38" t="s">
        <v>356</v>
      </c>
      <c r="J250" s="38" t="s">
        <v>2756</v>
      </c>
    </row>
    <row r="251" ht="14.25" customHeight="1">
      <c r="A251" s="39" t="s">
        <v>1747</v>
      </c>
      <c r="B251" s="39" t="s">
        <v>1746</v>
      </c>
      <c r="C251" s="39" t="s">
        <v>267</v>
      </c>
      <c r="D251" s="39" t="s">
        <v>245</v>
      </c>
      <c r="E251" s="39" t="s">
        <v>243</v>
      </c>
      <c r="F251" s="39"/>
      <c r="G251" s="39" t="s">
        <v>1746</v>
      </c>
      <c r="H251" s="39" t="s">
        <v>268</v>
      </c>
      <c r="I251" s="39" t="s">
        <v>277</v>
      </c>
      <c r="J251" s="39" t="s">
        <v>2756</v>
      </c>
    </row>
    <row r="252" ht="14.25" customHeight="1">
      <c r="A252" s="38" t="s">
        <v>1747</v>
      </c>
      <c r="B252" s="38" t="s">
        <v>1746</v>
      </c>
      <c r="C252" s="38" t="s">
        <v>243</v>
      </c>
      <c r="D252" s="38" t="s">
        <v>245</v>
      </c>
      <c r="E252" s="38" t="s">
        <v>243</v>
      </c>
      <c r="F252" s="38"/>
      <c r="G252" s="38" t="s">
        <v>1746</v>
      </c>
      <c r="H252" s="38" t="s">
        <v>242</v>
      </c>
      <c r="I252" s="38" t="s">
        <v>316</v>
      </c>
      <c r="J252" s="38" t="s">
        <v>2756</v>
      </c>
    </row>
    <row r="253" ht="14.25" customHeight="1">
      <c r="A253" s="39" t="s">
        <v>1747</v>
      </c>
      <c r="B253" s="39" t="s">
        <v>1746</v>
      </c>
      <c r="C253" s="39" t="s">
        <v>346</v>
      </c>
      <c r="D253" s="39" t="s">
        <v>245</v>
      </c>
      <c r="E253" s="39" t="s">
        <v>243</v>
      </c>
      <c r="F253" s="39"/>
      <c r="G253" s="39" t="s">
        <v>1746</v>
      </c>
      <c r="H253" s="39" t="s">
        <v>242</v>
      </c>
      <c r="I253" s="39" t="s">
        <v>356</v>
      </c>
      <c r="J253" s="39" t="s">
        <v>2756</v>
      </c>
    </row>
    <row r="254" ht="14.25" customHeight="1">
      <c r="A254" s="38" t="s">
        <v>1768</v>
      </c>
      <c r="B254" s="38" t="s">
        <v>1767</v>
      </c>
      <c r="C254" s="38" t="s">
        <v>267</v>
      </c>
      <c r="D254" s="38" t="s">
        <v>245</v>
      </c>
      <c r="E254" s="38" t="s">
        <v>243</v>
      </c>
      <c r="F254" s="38"/>
      <c r="G254" s="38" t="s">
        <v>1767</v>
      </c>
      <c r="H254" s="38" t="s">
        <v>268</v>
      </c>
      <c r="I254" s="38" t="s">
        <v>277</v>
      </c>
      <c r="J254" s="38" t="s">
        <v>2756</v>
      </c>
    </row>
    <row r="255" ht="14.25" customHeight="1">
      <c r="A255" s="39" t="s">
        <v>1768</v>
      </c>
      <c r="B255" s="39" t="s">
        <v>1767</v>
      </c>
      <c r="C255" s="39" t="s">
        <v>243</v>
      </c>
      <c r="D255" s="39" t="s">
        <v>245</v>
      </c>
      <c r="E255" s="39" t="s">
        <v>243</v>
      </c>
      <c r="F255" s="39"/>
      <c r="G255" s="39" t="s">
        <v>1767</v>
      </c>
      <c r="H255" s="39" t="s">
        <v>242</v>
      </c>
      <c r="I255" s="39" t="s">
        <v>316</v>
      </c>
      <c r="J255" s="39" t="s">
        <v>2756</v>
      </c>
    </row>
    <row r="256" ht="14.25" customHeight="1">
      <c r="A256" s="38" t="s">
        <v>1768</v>
      </c>
      <c r="B256" s="38" t="s">
        <v>1767</v>
      </c>
      <c r="C256" s="38" t="s">
        <v>346</v>
      </c>
      <c r="D256" s="38" t="s">
        <v>245</v>
      </c>
      <c r="E256" s="38" t="s">
        <v>243</v>
      </c>
      <c r="F256" s="38"/>
      <c r="G256" s="38" t="s">
        <v>1767</v>
      </c>
      <c r="H256" s="38" t="s">
        <v>242</v>
      </c>
      <c r="I256" s="38" t="s">
        <v>356</v>
      </c>
      <c r="J256" s="38" t="s">
        <v>2756</v>
      </c>
    </row>
    <row r="257" ht="14.25" customHeight="1">
      <c r="A257" s="39" t="s">
        <v>1772</v>
      </c>
      <c r="B257" s="39" t="s">
        <v>1770</v>
      </c>
      <c r="C257" s="39" t="s">
        <v>267</v>
      </c>
      <c r="D257" s="39" t="s">
        <v>245</v>
      </c>
      <c r="E257" s="39" t="s">
        <v>243</v>
      </c>
      <c r="F257" s="39"/>
      <c r="G257" s="39" t="s">
        <v>1770</v>
      </c>
      <c r="H257" s="39" t="s">
        <v>268</v>
      </c>
      <c r="I257" s="39" t="s">
        <v>277</v>
      </c>
      <c r="J257" s="39" t="s">
        <v>2756</v>
      </c>
    </row>
    <row r="258" ht="14.25" customHeight="1">
      <c r="A258" s="38" t="s">
        <v>1772</v>
      </c>
      <c r="B258" s="38" t="s">
        <v>1770</v>
      </c>
      <c r="C258" s="38" t="s">
        <v>243</v>
      </c>
      <c r="D258" s="38" t="s">
        <v>245</v>
      </c>
      <c r="E258" s="38" t="s">
        <v>243</v>
      </c>
      <c r="F258" s="38"/>
      <c r="G258" s="38" t="s">
        <v>1770</v>
      </c>
      <c r="H258" s="38" t="s">
        <v>242</v>
      </c>
      <c r="I258" s="38" t="s">
        <v>316</v>
      </c>
      <c r="J258" s="38" t="s">
        <v>2756</v>
      </c>
    </row>
    <row r="259" ht="14.25" customHeight="1">
      <c r="A259" s="39" t="s">
        <v>1772</v>
      </c>
      <c r="B259" s="39" t="s">
        <v>1770</v>
      </c>
      <c r="C259" s="39" t="s">
        <v>346</v>
      </c>
      <c r="D259" s="39" t="s">
        <v>245</v>
      </c>
      <c r="E259" s="39" t="s">
        <v>243</v>
      </c>
      <c r="F259" s="39"/>
      <c r="G259" s="39" t="s">
        <v>1770</v>
      </c>
      <c r="H259" s="39" t="s">
        <v>242</v>
      </c>
      <c r="I259" s="39" t="s">
        <v>356</v>
      </c>
      <c r="J259" s="39" t="s">
        <v>2756</v>
      </c>
    </row>
    <row r="260" ht="14.25" customHeight="1">
      <c r="A260" s="38" t="s">
        <v>1775</v>
      </c>
      <c r="B260" s="38" t="s">
        <v>1774</v>
      </c>
      <c r="C260" s="38" t="s">
        <v>267</v>
      </c>
      <c r="D260" s="38" t="s">
        <v>245</v>
      </c>
      <c r="E260" s="38" t="s">
        <v>243</v>
      </c>
      <c r="F260" s="38"/>
      <c r="G260" s="38" t="s">
        <v>1774</v>
      </c>
      <c r="H260" s="38" t="s">
        <v>268</v>
      </c>
      <c r="I260" s="38" t="s">
        <v>277</v>
      </c>
      <c r="J260" s="38" t="s">
        <v>2756</v>
      </c>
    </row>
    <row r="261" ht="14.25" customHeight="1">
      <c r="A261" s="39" t="s">
        <v>1775</v>
      </c>
      <c r="B261" s="39" t="s">
        <v>1774</v>
      </c>
      <c r="C261" s="39" t="s">
        <v>243</v>
      </c>
      <c r="D261" s="39" t="s">
        <v>245</v>
      </c>
      <c r="E261" s="39" t="s">
        <v>243</v>
      </c>
      <c r="F261" s="39"/>
      <c r="G261" s="39" t="s">
        <v>1774</v>
      </c>
      <c r="H261" s="39" t="s">
        <v>242</v>
      </c>
      <c r="I261" s="39" t="s">
        <v>316</v>
      </c>
      <c r="J261" s="39" t="s">
        <v>2756</v>
      </c>
    </row>
    <row r="262" ht="14.25" customHeight="1">
      <c r="A262" s="38" t="s">
        <v>1775</v>
      </c>
      <c r="B262" s="38" t="s">
        <v>1774</v>
      </c>
      <c r="C262" s="38" t="s">
        <v>346</v>
      </c>
      <c r="D262" s="38" t="s">
        <v>245</v>
      </c>
      <c r="E262" s="38" t="s">
        <v>243</v>
      </c>
      <c r="F262" s="38"/>
      <c r="G262" s="38" t="s">
        <v>1774</v>
      </c>
      <c r="H262" s="38" t="s">
        <v>242</v>
      </c>
      <c r="I262" s="38" t="s">
        <v>356</v>
      </c>
      <c r="J262" s="38" t="s">
        <v>2756</v>
      </c>
    </row>
    <row r="263" ht="14.25" customHeight="1">
      <c r="A263" s="39" t="s">
        <v>1779</v>
      </c>
      <c r="B263" s="39" t="s">
        <v>1777</v>
      </c>
      <c r="C263" s="39" t="s">
        <v>267</v>
      </c>
      <c r="D263" s="39" t="s">
        <v>245</v>
      </c>
      <c r="E263" s="39" t="s">
        <v>243</v>
      </c>
      <c r="F263" s="39"/>
      <c r="G263" s="39" t="s">
        <v>1777</v>
      </c>
      <c r="H263" s="39" t="s">
        <v>268</v>
      </c>
      <c r="I263" s="39" t="s">
        <v>277</v>
      </c>
      <c r="J263" s="39" t="s">
        <v>2756</v>
      </c>
    </row>
    <row r="264" ht="14.25" customHeight="1">
      <c r="A264" s="38" t="s">
        <v>1779</v>
      </c>
      <c r="B264" s="38" t="s">
        <v>1777</v>
      </c>
      <c r="C264" s="38" t="s">
        <v>243</v>
      </c>
      <c r="D264" s="38" t="s">
        <v>245</v>
      </c>
      <c r="E264" s="38" t="s">
        <v>243</v>
      </c>
      <c r="F264" s="38"/>
      <c r="G264" s="38" t="s">
        <v>1777</v>
      </c>
      <c r="H264" s="38" t="s">
        <v>242</v>
      </c>
      <c r="I264" s="38" t="s">
        <v>316</v>
      </c>
      <c r="J264" s="38" t="s">
        <v>2756</v>
      </c>
    </row>
    <row r="265" ht="14.25" customHeight="1">
      <c r="A265" s="39" t="s">
        <v>1779</v>
      </c>
      <c r="B265" s="39" t="s">
        <v>1777</v>
      </c>
      <c r="C265" s="39" t="s">
        <v>346</v>
      </c>
      <c r="D265" s="39" t="s">
        <v>245</v>
      </c>
      <c r="E265" s="39" t="s">
        <v>243</v>
      </c>
      <c r="F265" s="39"/>
      <c r="G265" s="39" t="s">
        <v>1777</v>
      </c>
      <c r="H265" s="39" t="s">
        <v>242</v>
      </c>
      <c r="I265" s="39" t="s">
        <v>356</v>
      </c>
      <c r="J265" s="39" t="s">
        <v>2756</v>
      </c>
    </row>
    <row r="266" ht="14.25" customHeight="1">
      <c r="A266" s="38" t="s">
        <v>1782</v>
      </c>
      <c r="B266" s="38" t="s">
        <v>1781</v>
      </c>
      <c r="C266" s="38" t="s">
        <v>267</v>
      </c>
      <c r="D266" s="38" t="s">
        <v>245</v>
      </c>
      <c r="E266" s="38" t="s">
        <v>243</v>
      </c>
      <c r="F266" s="38"/>
      <c r="G266" s="38" t="s">
        <v>1781</v>
      </c>
      <c r="H266" s="38" t="s">
        <v>268</v>
      </c>
      <c r="I266" s="38" t="s">
        <v>277</v>
      </c>
      <c r="J266" s="38" t="s">
        <v>2756</v>
      </c>
    </row>
    <row r="267" ht="14.25" customHeight="1">
      <c r="A267" s="39" t="s">
        <v>1782</v>
      </c>
      <c r="B267" s="39" t="s">
        <v>1781</v>
      </c>
      <c r="C267" s="39" t="s">
        <v>243</v>
      </c>
      <c r="D267" s="39" t="s">
        <v>245</v>
      </c>
      <c r="E267" s="39" t="s">
        <v>243</v>
      </c>
      <c r="F267" s="39"/>
      <c r="G267" s="39" t="s">
        <v>1781</v>
      </c>
      <c r="H267" s="39" t="s">
        <v>242</v>
      </c>
      <c r="I267" s="39" t="s">
        <v>316</v>
      </c>
      <c r="J267" s="39" t="s">
        <v>2756</v>
      </c>
    </row>
    <row r="268" ht="14.25" customHeight="1">
      <c r="A268" s="38" t="s">
        <v>1782</v>
      </c>
      <c r="B268" s="38" t="s">
        <v>1781</v>
      </c>
      <c r="C268" s="38" t="s">
        <v>346</v>
      </c>
      <c r="D268" s="38" t="s">
        <v>245</v>
      </c>
      <c r="E268" s="38" t="s">
        <v>243</v>
      </c>
      <c r="F268" s="38"/>
      <c r="G268" s="38" t="s">
        <v>1781</v>
      </c>
      <c r="H268" s="38" t="s">
        <v>242</v>
      </c>
      <c r="I268" s="38" t="s">
        <v>356</v>
      </c>
      <c r="J268" s="38" t="s">
        <v>2756</v>
      </c>
    </row>
    <row r="269" ht="14.25" customHeight="1">
      <c r="A269" s="39" t="s">
        <v>1817</v>
      </c>
      <c r="B269" s="39" t="s">
        <v>1816</v>
      </c>
      <c r="C269" s="39" t="s">
        <v>267</v>
      </c>
      <c r="D269" s="39" t="s">
        <v>245</v>
      </c>
      <c r="E269" s="39" t="s">
        <v>243</v>
      </c>
      <c r="F269" s="39"/>
      <c r="G269" s="39" t="s">
        <v>1816</v>
      </c>
      <c r="H269" s="39" t="s">
        <v>268</v>
      </c>
      <c r="I269" s="39" t="s">
        <v>277</v>
      </c>
      <c r="J269" s="39" t="s">
        <v>2756</v>
      </c>
    </row>
    <row r="270" ht="14.25" customHeight="1">
      <c r="A270" s="38" t="s">
        <v>1817</v>
      </c>
      <c r="B270" s="38" t="s">
        <v>1816</v>
      </c>
      <c r="C270" s="38" t="s">
        <v>243</v>
      </c>
      <c r="D270" s="38" t="s">
        <v>245</v>
      </c>
      <c r="E270" s="38" t="s">
        <v>243</v>
      </c>
      <c r="F270" s="38"/>
      <c r="G270" s="38" t="s">
        <v>1816</v>
      </c>
      <c r="H270" s="38" t="s">
        <v>268</v>
      </c>
      <c r="I270" s="38" t="s">
        <v>316</v>
      </c>
      <c r="J270" s="38" t="s">
        <v>2756</v>
      </c>
    </row>
    <row r="271" ht="14.25" customHeight="1">
      <c r="A271" s="39" t="s">
        <v>1817</v>
      </c>
      <c r="B271" s="39" t="s">
        <v>1816</v>
      </c>
      <c r="C271" s="39" t="s">
        <v>346</v>
      </c>
      <c r="D271" s="39" t="s">
        <v>245</v>
      </c>
      <c r="E271" s="39" t="s">
        <v>243</v>
      </c>
      <c r="F271" s="39"/>
      <c r="G271" s="39" t="s">
        <v>1816</v>
      </c>
      <c r="H271" s="39" t="s">
        <v>242</v>
      </c>
      <c r="I271" s="39" t="s">
        <v>356</v>
      </c>
      <c r="J271" s="39" t="s">
        <v>2756</v>
      </c>
    </row>
    <row r="272" ht="14.25" customHeight="1">
      <c r="A272" s="38" t="s">
        <v>1820</v>
      </c>
      <c r="B272" s="38" t="s">
        <v>1819</v>
      </c>
      <c r="C272" s="38" t="s">
        <v>267</v>
      </c>
      <c r="D272" s="38" t="s">
        <v>245</v>
      </c>
      <c r="E272" s="38" t="s">
        <v>243</v>
      </c>
      <c r="F272" s="38"/>
      <c r="G272" s="38" t="s">
        <v>1819</v>
      </c>
      <c r="H272" s="38" t="s">
        <v>268</v>
      </c>
      <c r="I272" s="38" t="s">
        <v>277</v>
      </c>
      <c r="J272" s="38" t="s">
        <v>2756</v>
      </c>
    </row>
    <row r="273" ht="14.25" customHeight="1">
      <c r="A273" s="39" t="s">
        <v>1820</v>
      </c>
      <c r="B273" s="39" t="s">
        <v>1819</v>
      </c>
      <c r="C273" s="39" t="s">
        <v>243</v>
      </c>
      <c r="D273" s="39" t="s">
        <v>245</v>
      </c>
      <c r="E273" s="39" t="s">
        <v>243</v>
      </c>
      <c r="F273" s="39"/>
      <c r="G273" s="39" t="s">
        <v>1819</v>
      </c>
      <c r="H273" s="39" t="s">
        <v>242</v>
      </c>
      <c r="I273" s="39" t="s">
        <v>316</v>
      </c>
      <c r="J273" s="39" t="s">
        <v>2756</v>
      </c>
    </row>
    <row r="274" ht="14.25" customHeight="1">
      <c r="A274" s="38" t="s">
        <v>1820</v>
      </c>
      <c r="B274" s="38" t="s">
        <v>1819</v>
      </c>
      <c r="C274" s="38" t="s">
        <v>346</v>
      </c>
      <c r="D274" s="38" t="s">
        <v>245</v>
      </c>
      <c r="E274" s="38" t="s">
        <v>243</v>
      </c>
      <c r="F274" s="38"/>
      <c r="G274" s="38" t="s">
        <v>1819</v>
      </c>
      <c r="H274" s="38" t="s">
        <v>242</v>
      </c>
      <c r="I274" s="38" t="s">
        <v>356</v>
      </c>
      <c r="J274" s="38" t="s">
        <v>2756</v>
      </c>
    </row>
    <row r="275" ht="14.25" customHeight="1">
      <c r="A275" s="39" t="s">
        <v>1823</v>
      </c>
      <c r="B275" s="39" t="s">
        <v>1822</v>
      </c>
      <c r="C275" s="39" t="s">
        <v>267</v>
      </c>
      <c r="D275" s="39" t="s">
        <v>245</v>
      </c>
      <c r="E275" s="39" t="s">
        <v>243</v>
      </c>
      <c r="F275" s="39"/>
      <c r="G275" s="39" t="s">
        <v>1822</v>
      </c>
      <c r="H275" s="39" t="s">
        <v>268</v>
      </c>
      <c r="I275" s="39" t="s">
        <v>277</v>
      </c>
      <c r="J275" s="39" t="s">
        <v>2756</v>
      </c>
    </row>
    <row r="276" ht="14.25" customHeight="1">
      <c r="A276" s="38" t="s">
        <v>1823</v>
      </c>
      <c r="B276" s="38" t="s">
        <v>1822</v>
      </c>
      <c r="C276" s="38" t="s">
        <v>243</v>
      </c>
      <c r="D276" s="38" t="s">
        <v>245</v>
      </c>
      <c r="E276" s="38" t="s">
        <v>243</v>
      </c>
      <c r="F276" s="38"/>
      <c r="G276" s="38" t="s">
        <v>1822</v>
      </c>
      <c r="H276" s="38" t="s">
        <v>242</v>
      </c>
      <c r="I276" s="38" t="s">
        <v>316</v>
      </c>
      <c r="J276" s="38" t="s">
        <v>2756</v>
      </c>
    </row>
    <row r="277" ht="14.25" customHeight="1">
      <c r="A277" s="39" t="s">
        <v>1823</v>
      </c>
      <c r="B277" s="39" t="s">
        <v>1822</v>
      </c>
      <c r="C277" s="39" t="s">
        <v>346</v>
      </c>
      <c r="D277" s="39" t="s">
        <v>245</v>
      </c>
      <c r="E277" s="39" t="s">
        <v>243</v>
      </c>
      <c r="F277" s="39"/>
      <c r="G277" s="39" t="s">
        <v>1822</v>
      </c>
      <c r="H277" s="39" t="s">
        <v>242</v>
      </c>
      <c r="I277" s="39" t="s">
        <v>356</v>
      </c>
      <c r="J277" s="39" t="s">
        <v>2756</v>
      </c>
    </row>
    <row r="278" ht="14.25" customHeight="1">
      <c r="A278" s="38" t="s">
        <v>1827</v>
      </c>
      <c r="B278" s="38" t="s">
        <v>1825</v>
      </c>
      <c r="C278" s="38" t="s">
        <v>267</v>
      </c>
      <c r="D278" s="38" t="s">
        <v>245</v>
      </c>
      <c r="E278" s="38" t="s">
        <v>243</v>
      </c>
      <c r="F278" s="38"/>
      <c r="G278" s="38" t="s">
        <v>1825</v>
      </c>
      <c r="H278" s="38" t="s">
        <v>268</v>
      </c>
      <c r="I278" s="38" t="s">
        <v>277</v>
      </c>
      <c r="J278" s="38" t="s">
        <v>2756</v>
      </c>
    </row>
    <row r="279" ht="14.25" customHeight="1">
      <c r="A279" s="39" t="s">
        <v>1827</v>
      </c>
      <c r="B279" s="39" t="s">
        <v>1825</v>
      </c>
      <c r="C279" s="39" t="s">
        <v>243</v>
      </c>
      <c r="D279" s="39" t="s">
        <v>245</v>
      </c>
      <c r="E279" s="39" t="s">
        <v>243</v>
      </c>
      <c r="F279" s="39"/>
      <c r="G279" s="39" t="s">
        <v>1825</v>
      </c>
      <c r="H279" s="39" t="s">
        <v>242</v>
      </c>
      <c r="I279" s="39" t="s">
        <v>316</v>
      </c>
      <c r="J279" s="39" t="s">
        <v>2756</v>
      </c>
    </row>
    <row r="280" ht="14.25" customHeight="1">
      <c r="A280" s="38" t="s">
        <v>1827</v>
      </c>
      <c r="B280" s="38" t="s">
        <v>1825</v>
      </c>
      <c r="C280" s="38" t="s">
        <v>346</v>
      </c>
      <c r="D280" s="38" t="s">
        <v>245</v>
      </c>
      <c r="E280" s="38" t="s">
        <v>243</v>
      </c>
      <c r="F280" s="38"/>
      <c r="G280" s="38" t="s">
        <v>1825</v>
      </c>
      <c r="H280" s="38" t="s">
        <v>242</v>
      </c>
      <c r="I280" s="38" t="s">
        <v>356</v>
      </c>
      <c r="J280" s="38" t="s">
        <v>2756</v>
      </c>
    </row>
    <row r="281" ht="14.25" customHeight="1">
      <c r="A281" s="39" t="s">
        <v>1830</v>
      </c>
      <c r="B281" s="39" t="s">
        <v>1829</v>
      </c>
      <c r="C281" s="39" t="s">
        <v>267</v>
      </c>
      <c r="D281" s="39" t="s">
        <v>245</v>
      </c>
      <c r="E281" s="39" t="s">
        <v>243</v>
      </c>
      <c r="F281" s="39"/>
      <c r="G281" s="39" t="s">
        <v>1829</v>
      </c>
      <c r="H281" s="39" t="s">
        <v>268</v>
      </c>
      <c r="I281" s="39" t="s">
        <v>277</v>
      </c>
      <c r="J281" s="39" t="s">
        <v>2756</v>
      </c>
    </row>
    <row r="282" ht="14.25" customHeight="1">
      <c r="A282" s="38" t="s">
        <v>1830</v>
      </c>
      <c r="B282" s="38" t="s">
        <v>1829</v>
      </c>
      <c r="C282" s="38" t="s">
        <v>243</v>
      </c>
      <c r="D282" s="38" t="s">
        <v>245</v>
      </c>
      <c r="E282" s="38" t="s">
        <v>243</v>
      </c>
      <c r="F282" s="38"/>
      <c r="G282" s="38" t="s">
        <v>1829</v>
      </c>
      <c r="H282" s="38" t="s">
        <v>242</v>
      </c>
      <c r="I282" s="38" t="s">
        <v>316</v>
      </c>
      <c r="J282" s="38" t="s">
        <v>2756</v>
      </c>
    </row>
    <row r="283" ht="14.25" customHeight="1">
      <c r="A283" s="39" t="s">
        <v>1830</v>
      </c>
      <c r="B283" s="39" t="s">
        <v>1829</v>
      </c>
      <c r="C283" s="39" t="s">
        <v>346</v>
      </c>
      <c r="D283" s="39" t="s">
        <v>245</v>
      </c>
      <c r="E283" s="39" t="s">
        <v>243</v>
      </c>
      <c r="F283" s="39"/>
      <c r="G283" s="39" t="s">
        <v>1829</v>
      </c>
      <c r="H283" s="39" t="s">
        <v>242</v>
      </c>
      <c r="I283" s="39" t="s">
        <v>356</v>
      </c>
      <c r="J283" s="39" t="s">
        <v>2756</v>
      </c>
    </row>
    <row r="284" ht="14.25" customHeight="1">
      <c r="A284" s="38" t="s">
        <v>1842</v>
      </c>
      <c r="B284" s="38" t="s">
        <v>1841</v>
      </c>
      <c r="C284" s="38" t="s">
        <v>267</v>
      </c>
      <c r="D284" s="38" t="s">
        <v>245</v>
      </c>
      <c r="E284" s="38" t="s">
        <v>243</v>
      </c>
      <c r="F284" s="38"/>
      <c r="G284" s="38" t="s">
        <v>1841</v>
      </c>
      <c r="H284" s="38" t="s">
        <v>268</v>
      </c>
      <c r="I284" s="38" t="s">
        <v>277</v>
      </c>
      <c r="J284" s="38" t="s">
        <v>2756</v>
      </c>
    </row>
    <row r="285" ht="14.25" customHeight="1">
      <c r="A285" s="39" t="s">
        <v>1842</v>
      </c>
      <c r="B285" s="39" t="s">
        <v>1841</v>
      </c>
      <c r="C285" s="39" t="s">
        <v>243</v>
      </c>
      <c r="D285" s="39" t="s">
        <v>245</v>
      </c>
      <c r="E285" s="39" t="s">
        <v>243</v>
      </c>
      <c r="F285" s="39"/>
      <c r="G285" s="39" t="s">
        <v>1841</v>
      </c>
      <c r="H285" s="39" t="s">
        <v>242</v>
      </c>
      <c r="I285" s="39" t="s">
        <v>316</v>
      </c>
      <c r="J285" s="39" t="s">
        <v>2756</v>
      </c>
    </row>
    <row r="286" ht="14.25" customHeight="1">
      <c r="A286" s="38" t="s">
        <v>1842</v>
      </c>
      <c r="B286" s="38" t="s">
        <v>1841</v>
      </c>
      <c r="C286" s="38" t="s">
        <v>346</v>
      </c>
      <c r="D286" s="38" t="s">
        <v>245</v>
      </c>
      <c r="E286" s="38" t="s">
        <v>243</v>
      </c>
      <c r="F286" s="38"/>
      <c r="G286" s="38" t="s">
        <v>1841</v>
      </c>
      <c r="H286" s="38" t="s">
        <v>242</v>
      </c>
      <c r="I286" s="38" t="s">
        <v>356</v>
      </c>
      <c r="J286" s="38" t="s">
        <v>2756</v>
      </c>
    </row>
    <row r="287" ht="14.25" customHeight="1">
      <c r="A287" s="39" t="s">
        <v>1849</v>
      </c>
      <c r="B287" s="39" t="s">
        <v>1848</v>
      </c>
      <c r="C287" s="39" t="s">
        <v>267</v>
      </c>
      <c r="D287" s="39" t="s">
        <v>245</v>
      </c>
      <c r="E287" s="39" t="s">
        <v>243</v>
      </c>
      <c r="F287" s="39"/>
      <c r="G287" s="39" t="s">
        <v>1848</v>
      </c>
      <c r="H287" s="39" t="s">
        <v>268</v>
      </c>
      <c r="I287" s="39" t="s">
        <v>277</v>
      </c>
      <c r="J287" s="39" t="s">
        <v>2756</v>
      </c>
    </row>
    <row r="288" ht="14.25" customHeight="1">
      <c r="A288" s="38" t="s">
        <v>1849</v>
      </c>
      <c r="B288" s="38" t="s">
        <v>1848</v>
      </c>
      <c r="C288" s="38" t="s">
        <v>243</v>
      </c>
      <c r="D288" s="38" t="s">
        <v>245</v>
      </c>
      <c r="E288" s="38" t="s">
        <v>243</v>
      </c>
      <c r="F288" s="38"/>
      <c r="G288" s="38" t="s">
        <v>1848</v>
      </c>
      <c r="H288" s="38" t="s">
        <v>242</v>
      </c>
      <c r="I288" s="38" t="s">
        <v>316</v>
      </c>
      <c r="J288" s="38" t="s">
        <v>2756</v>
      </c>
    </row>
    <row r="289" ht="14.25" customHeight="1">
      <c r="A289" s="39" t="s">
        <v>1849</v>
      </c>
      <c r="B289" s="39" t="s">
        <v>1848</v>
      </c>
      <c r="C289" s="39" t="s">
        <v>346</v>
      </c>
      <c r="D289" s="39" t="s">
        <v>245</v>
      </c>
      <c r="E289" s="39" t="s">
        <v>243</v>
      </c>
      <c r="F289" s="39"/>
      <c r="G289" s="39" t="s">
        <v>1848</v>
      </c>
      <c r="H289" s="39" t="s">
        <v>242</v>
      </c>
      <c r="I289" s="39" t="s">
        <v>356</v>
      </c>
      <c r="J289" s="39" t="s">
        <v>2756</v>
      </c>
    </row>
    <row r="290" ht="14.25" customHeight="1">
      <c r="A290" s="38" t="s">
        <v>1863</v>
      </c>
      <c r="B290" s="38" t="s">
        <v>1861</v>
      </c>
      <c r="C290" s="38" t="s">
        <v>267</v>
      </c>
      <c r="D290" s="38" t="s">
        <v>245</v>
      </c>
      <c r="E290" s="38" t="s">
        <v>323</v>
      </c>
      <c r="F290" s="38"/>
      <c r="G290" s="38" t="s">
        <v>1861</v>
      </c>
      <c r="H290" s="38" t="s">
        <v>268</v>
      </c>
      <c r="I290" s="38" t="s">
        <v>277</v>
      </c>
      <c r="J290" s="38" t="s">
        <v>2756</v>
      </c>
    </row>
    <row r="291" ht="14.25" customHeight="1">
      <c r="A291" s="39" t="s">
        <v>1863</v>
      </c>
      <c r="B291" s="39" t="s">
        <v>1861</v>
      </c>
      <c r="C291" s="39" t="s">
        <v>243</v>
      </c>
      <c r="D291" s="39" t="s">
        <v>245</v>
      </c>
      <c r="E291" s="39" t="s">
        <v>323</v>
      </c>
      <c r="F291" s="39"/>
      <c r="G291" s="39" t="s">
        <v>1861</v>
      </c>
      <c r="H291" s="39" t="s">
        <v>268</v>
      </c>
      <c r="I291" s="39" t="s">
        <v>316</v>
      </c>
      <c r="J291" s="39" t="s">
        <v>2756</v>
      </c>
    </row>
    <row r="292" ht="14.25" customHeight="1">
      <c r="A292" s="38" t="s">
        <v>1863</v>
      </c>
      <c r="B292" s="38" t="s">
        <v>1861</v>
      </c>
      <c r="C292" s="38" t="s">
        <v>346</v>
      </c>
      <c r="D292" s="38" t="s">
        <v>245</v>
      </c>
      <c r="E292" s="38" t="s">
        <v>323</v>
      </c>
      <c r="F292" s="38"/>
      <c r="G292" s="38" t="s">
        <v>1861</v>
      </c>
      <c r="H292" s="38" t="s">
        <v>268</v>
      </c>
      <c r="I292" s="38" t="s">
        <v>356</v>
      </c>
      <c r="J292" s="38" t="s">
        <v>2756</v>
      </c>
    </row>
    <row r="293" ht="14.25" customHeight="1">
      <c r="A293" s="39" t="s">
        <v>1867</v>
      </c>
      <c r="B293" s="39" t="s">
        <v>1865</v>
      </c>
      <c r="C293" s="39" t="s">
        <v>267</v>
      </c>
      <c r="D293" s="39" t="s">
        <v>245</v>
      </c>
      <c r="E293" s="39" t="s">
        <v>243</v>
      </c>
      <c r="F293" s="39"/>
      <c r="G293" s="39" t="s">
        <v>1865</v>
      </c>
      <c r="H293" s="39" t="s">
        <v>268</v>
      </c>
      <c r="I293" s="39" t="s">
        <v>277</v>
      </c>
      <c r="J293" s="39" t="s">
        <v>2756</v>
      </c>
    </row>
    <row r="294" ht="14.25" customHeight="1">
      <c r="A294" s="38" t="s">
        <v>1867</v>
      </c>
      <c r="B294" s="38" t="s">
        <v>1865</v>
      </c>
      <c r="C294" s="38" t="s">
        <v>243</v>
      </c>
      <c r="D294" s="38" t="s">
        <v>245</v>
      </c>
      <c r="E294" s="38" t="s">
        <v>243</v>
      </c>
      <c r="F294" s="38"/>
      <c r="G294" s="38" t="s">
        <v>1865</v>
      </c>
      <c r="H294" s="38" t="s">
        <v>242</v>
      </c>
      <c r="I294" s="38" t="s">
        <v>316</v>
      </c>
      <c r="J294" s="38" t="s">
        <v>2756</v>
      </c>
    </row>
    <row r="295" ht="14.25" customHeight="1">
      <c r="A295" s="39" t="s">
        <v>1867</v>
      </c>
      <c r="B295" s="39" t="s">
        <v>1865</v>
      </c>
      <c r="C295" s="39" t="s">
        <v>346</v>
      </c>
      <c r="D295" s="39" t="s">
        <v>245</v>
      </c>
      <c r="E295" s="39" t="s">
        <v>243</v>
      </c>
      <c r="F295" s="39"/>
      <c r="G295" s="39" t="s">
        <v>1865</v>
      </c>
      <c r="H295" s="39" t="s">
        <v>242</v>
      </c>
      <c r="I295" s="39" t="s">
        <v>356</v>
      </c>
      <c r="J295" s="39" t="s">
        <v>2756</v>
      </c>
    </row>
    <row r="296" ht="14.25" customHeight="1">
      <c r="A296" s="38" t="s">
        <v>1870</v>
      </c>
      <c r="B296" s="38" t="s">
        <v>1869</v>
      </c>
      <c r="C296" s="38" t="s">
        <v>267</v>
      </c>
      <c r="D296" s="38" t="s">
        <v>245</v>
      </c>
      <c r="E296" s="38" t="s">
        <v>243</v>
      </c>
      <c r="F296" s="38"/>
      <c r="G296" s="38" t="s">
        <v>1869</v>
      </c>
      <c r="H296" s="38" t="s">
        <v>268</v>
      </c>
      <c r="I296" s="38" t="s">
        <v>277</v>
      </c>
      <c r="J296" s="38" t="s">
        <v>2756</v>
      </c>
    </row>
    <row r="297" ht="14.25" customHeight="1">
      <c r="A297" s="39" t="s">
        <v>1870</v>
      </c>
      <c r="B297" s="39" t="s">
        <v>1869</v>
      </c>
      <c r="C297" s="39" t="s">
        <v>243</v>
      </c>
      <c r="D297" s="39" t="s">
        <v>245</v>
      </c>
      <c r="E297" s="39" t="s">
        <v>243</v>
      </c>
      <c r="F297" s="39"/>
      <c r="G297" s="39" t="s">
        <v>1869</v>
      </c>
      <c r="H297" s="39" t="s">
        <v>242</v>
      </c>
      <c r="I297" s="39" t="s">
        <v>316</v>
      </c>
      <c r="J297" s="39" t="s">
        <v>2756</v>
      </c>
    </row>
    <row r="298" ht="14.25" customHeight="1">
      <c r="A298" s="38" t="s">
        <v>1870</v>
      </c>
      <c r="B298" s="38" t="s">
        <v>1869</v>
      </c>
      <c r="C298" s="38" t="s">
        <v>346</v>
      </c>
      <c r="D298" s="38" t="s">
        <v>245</v>
      </c>
      <c r="E298" s="38" t="s">
        <v>243</v>
      </c>
      <c r="F298" s="38"/>
      <c r="G298" s="38" t="s">
        <v>1869</v>
      </c>
      <c r="H298" s="38" t="s">
        <v>242</v>
      </c>
      <c r="I298" s="38" t="s">
        <v>356</v>
      </c>
      <c r="J298" s="38" t="s">
        <v>2756</v>
      </c>
    </row>
    <row r="299" ht="14.25" customHeight="1">
      <c r="A299" s="39" t="s">
        <v>1873</v>
      </c>
      <c r="B299" s="39" t="s">
        <v>1872</v>
      </c>
      <c r="C299" s="39" t="s">
        <v>267</v>
      </c>
      <c r="D299" s="39" t="s">
        <v>245</v>
      </c>
      <c r="E299" s="39" t="s">
        <v>243</v>
      </c>
      <c r="F299" s="39"/>
      <c r="G299" s="39" t="s">
        <v>1872</v>
      </c>
      <c r="H299" s="39" t="s">
        <v>268</v>
      </c>
      <c r="I299" s="39" t="s">
        <v>277</v>
      </c>
      <c r="J299" s="39" t="s">
        <v>2756</v>
      </c>
    </row>
    <row r="300" ht="14.25" customHeight="1">
      <c r="A300" s="38" t="s">
        <v>1873</v>
      </c>
      <c r="B300" s="38" t="s">
        <v>1872</v>
      </c>
      <c r="C300" s="38" t="s">
        <v>243</v>
      </c>
      <c r="D300" s="38" t="s">
        <v>245</v>
      </c>
      <c r="E300" s="38" t="s">
        <v>243</v>
      </c>
      <c r="F300" s="38"/>
      <c r="G300" s="38" t="s">
        <v>1872</v>
      </c>
      <c r="H300" s="38" t="s">
        <v>242</v>
      </c>
      <c r="I300" s="38" t="s">
        <v>316</v>
      </c>
      <c r="J300" s="38" t="s">
        <v>2756</v>
      </c>
    </row>
    <row r="301" ht="14.25" customHeight="1">
      <c r="A301" s="39" t="s">
        <v>1873</v>
      </c>
      <c r="B301" s="39" t="s">
        <v>1872</v>
      </c>
      <c r="C301" s="39" t="s">
        <v>346</v>
      </c>
      <c r="D301" s="39" t="s">
        <v>245</v>
      </c>
      <c r="E301" s="39" t="s">
        <v>243</v>
      </c>
      <c r="F301" s="39"/>
      <c r="G301" s="39" t="s">
        <v>1872</v>
      </c>
      <c r="H301" s="39" t="s">
        <v>242</v>
      </c>
      <c r="I301" s="39" t="s">
        <v>356</v>
      </c>
      <c r="J301" s="39" t="s">
        <v>2756</v>
      </c>
    </row>
    <row r="302" ht="14.25" customHeight="1">
      <c r="A302" s="38" t="s">
        <v>1896</v>
      </c>
      <c r="B302" s="38" t="s">
        <v>1894</v>
      </c>
      <c r="C302" s="38" t="s">
        <v>267</v>
      </c>
      <c r="D302" s="38" t="s">
        <v>245</v>
      </c>
      <c r="E302" s="38" t="s">
        <v>284</v>
      </c>
      <c r="F302" s="38"/>
      <c r="G302" s="38" t="s">
        <v>1894</v>
      </c>
      <c r="H302" s="38" t="s">
        <v>268</v>
      </c>
      <c r="I302" s="38" t="s">
        <v>277</v>
      </c>
      <c r="J302" s="38" t="s">
        <v>2756</v>
      </c>
    </row>
    <row r="303" ht="14.25" customHeight="1">
      <c r="A303" s="39" t="s">
        <v>1896</v>
      </c>
      <c r="B303" s="39" t="s">
        <v>1894</v>
      </c>
      <c r="C303" s="39" t="s">
        <v>243</v>
      </c>
      <c r="D303" s="39" t="s">
        <v>245</v>
      </c>
      <c r="E303" s="39" t="s">
        <v>284</v>
      </c>
      <c r="F303" s="39"/>
      <c r="G303" s="39" t="s">
        <v>1894</v>
      </c>
      <c r="H303" s="39" t="s">
        <v>242</v>
      </c>
      <c r="I303" s="39" t="s">
        <v>316</v>
      </c>
      <c r="J303" s="39" t="s">
        <v>2756</v>
      </c>
    </row>
    <row r="304" ht="14.25" customHeight="1">
      <c r="A304" s="38" t="s">
        <v>1896</v>
      </c>
      <c r="B304" s="38" t="s">
        <v>1894</v>
      </c>
      <c r="C304" s="38" t="s">
        <v>346</v>
      </c>
      <c r="D304" s="38" t="s">
        <v>245</v>
      </c>
      <c r="E304" s="38" t="s">
        <v>284</v>
      </c>
      <c r="F304" s="38"/>
      <c r="G304" s="38" t="s">
        <v>1894</v>
      </c>
      <c r="H304" s="38" t="s">
        <v>242</v>
      </c>
      <c r="I304" s="38" t="s">
        <v>356</v>
      </c>
      <c r="J304" s="38" t="s">
        <v>2756</v>
      </c>
    </row>
    <row r="305" ht="14.25" customHeight="1">
      <c r="A305" s="39" t="s">
        <v>1937</v>
      </c>
      <c r="B305" s="39" t="s">
        <v>1936</v>
      </c>
      <c r="C305" s="39" t="s">
        <v>267</v>
      </c>
      <c r="D305" s="39" t="s">
        <v>245</v>
      </c>
      <c r="E305" s="39" t="s">
        <v>243</v>
      </c>
      <c r="F305" s="39"/>
      <c r="G305" s="39" t="s">
        <v>1936</v>
      </c>
      <c r="H305" s="39" t="s">
        <v>268</v>
      </c>
      <c r="I305" s="39" t="s">
        <v>277</v>
      </c>
      <c r="J305" s="39" t="s">
        <v>2756</v>
      </c>
    </row>
    <row r="306" ht="14.25" customHeight="1">
      <c r="A306" s="38" t="s">
        <v>1937</v>
      </c>
      <c r="B306" s="38" t="s">
        <v>1936</v>
      </c>
      <c r="C306" s="38" t="s">
        <v>243</v>
      </c>
      <c r="D306" s="38" t="s">
        <v>245</v>
      </c>
      <c r="E306" s="38" t="s">
        <v>243</v>
      </c>
      <c r="F306" s="38"/>
      <c r="G306" s="38" t="s">
        <v>1936</v>
      </c>
      <c r="H306" s="38" t="s">
        <v>242</v>
      </c>
      <c r="I306" s="38" t="s">
        <v>316</v>
      </c>
      <c r="J306" s="38" t="s">
        <v>2756</v>
      </c>
    </row>
    <row r="307" ht="14.25" customHeight="1">
      <c r="A307" s="39" t="s">
        <v>1937</v>
      </c>
      <c r="B307" s="39" t="s">
        <v>1936</v>
      </c>
      <c r="C307" s="39" t="s">
        <v>346</v>
      </c>
      <c r="D307" s="39" t="s">
        <v>245</v>
      </c>
      <c r="E307" s="39" t="s">
        <v>243</v>
      </c>
      <c r="F307" s="39"/>
      <c r="G307" s="39" t="s">
        <v>1936</v>
      </c>
      <c r="H307" s="39" t="s">
        <v>242</v>
      </c>
      <c r="I307" s="39" t="s">
        <v>356</v>
      </c>
      <c r="J307" s="39" t="s">
        <v>2756</v>
      </c>
    </row>
    <row r="308" ht="14.25" customHeight="1">
      <c r="A308" s="38" t="s">
        <v>1941</v>
      </c>
      <c r="B308" s="38" t="s">
        <v>1939</v>
      </c>
      <c r="C308" s="38" t="s">
        <v>267</v>
      </c>
      <c r="D308" s="38" t="s">
        <v>245</v>
      </c>
      <c r="E308" s="38" t="s">
        <v>243</v>
      </c>
      <c r="F308" s="38"/>
      <c r="G308" s="38" t="s">
        <v>1939</v>
      </c>
      <c r="H308" s="38" t="s">
        <v>268</v>
      </c>
      <c r="I308" s="38" t="s">
        <v>277</v>
      </c>
      <c r="J308" s="38" t="s">
        <v>2756</v>
      </c>
    </row>
    <row r="309" ht="14.25" customHeight="1">
      <c r="A309" s="39" t="s">
        <v>1941</v>
      </c>
      <c r="B309" s="39" t="s">
        <v>1939</v>
      </c>
      <c r="C309" s="39" t="s">
        <v>243</v>
      </c>
      <c r="D309" s="39" t="s">
        <v>245</v>
      </c>
      <c r="E309" s="39" t="s">
        <v>243</v>
      </c>
      <c r="F309" s="39"/>
      <c r="G309" s="39" t="s">
        <v>1939</v>
      </c>
      <c r="H309" s="39" t="s">
        <v>242</v>
      </c>
      <c r="I309" s="39" t="s">
        <v>316</v>
      </c>
      <c r="J309" s="39" t="s">
        <v>2756</v>
      </c>
    </row>
    <row r="310" ht="14.25" customHeight="1">
      <c r="A310" s="38" t="s">
        <v>1941</v>
      </c>
      <c r="B310" s="38" t="s">
        <v>1939</v>
      </c>
      <c r="C310" s="38" t="s">
        <v>346</v>
      </c>
      <c r="D310" s="38" t="s">
        <v>245</v>
      </c>
      <c r="E310" s="38" t="s">
        <v>243</v>
      </c>
      <c r="F310" s="38"/>
      <c r="G310" s="38" t="s">
        <v>1939</v>
      </c>
      <c r="H310" s="38" t="s">
        <v>242</v>
      </c>
      <c r="I310" s="38" t="s">
        <v>356</v>
      </c>
      <c r="J310" s="38" t="s">
        <v>2756</v>
      </c>
    </row>
    <row r="311" ht="14.25" customHeight="1">
      <c r="A311" s="39" t="s">
        <v>1949</v>
      </c>
      <c r="B311" s="39" t="s">
        <v>1947</v>
      </c>
      <c r="C311" s="39" t="s">
        <v>267</v>
      </c>
      <c r="D311" s="39" t="s">
        <v>245</v>
      </c>
      <c r="E311" s="39" t="s">
        <v>243</v>
      </c>
      <c r="F311" s="39"/>
      <c r="G311" s="39" t="s">
        <v>1947</v>
      </c>
      <c r="H311" s="39" t="s">
        <v>268</v>
      </c>
      <c r="I311" s="39" t="s">
        <v>277</v>
      </c>
      <c r="J311" s="39" t="s">
        <v>2756</v>
      </c>
    </row>
    <row r="312" ht="14.25" customHeight="1">
      <c r="A312" s="38" t="s">
        <v>1949</v>
      </c>
      <c r="B312" s="38" t="s">
        <v>1947</v>
      </c>
      <c r="C312" s="38" t="s">
        <v>243</v>
      </c>
      <c r="D312" s="38" t="s">
        <v>245</v>
      </c>
      <c r="E312" s="38" t="s">
        <v>243</v>
      </c>
      <c r="F312" s="38"/>
      <c r="G312" s="38" t="s">
        <v>1947</v>
      </c>
      <c r="H312" s="38" t="s">
        <v>242</v>
      </c>
      <c r="I312" s="38" t="s">
        <v>316</v>
      </c>
      <c r="J312" s="38" t="s">
        <v>2756</v>
      </c>
    </row>
    <row r="313" ht="14.25" customHeight="1">
      <c r="A313" s="39" t="s">
        <v>1949</v>
      </c>
      <c r="B313" s="39" t="s">
        <v>1947</v>
      </c>
      <c r="C313" s="39" t="s">
        <v>346</v>
      </c>
      <c r="D313" s="39" t="s">
        <v>245</v>
      </c>
      <c r="E313" s="39" t="s">
        <v>243</v>
      </c>
      <c r="F313" s="39"/>
      <c r="G313" s="39" t="s">
        <v>1947</v>
      </c>
      <c r="H313" s="39" t="s">
        <v>242</v>
      </c>
      <c r="I313" s="39" t="s">
        <v>356</v>
      </c>
      <c r="J313" s="39" t="s">
        <v>2756</v>
      </c>
    </row>
    <row r="314" ht="14.25" customHeight="1">
      <c r="A314" s="38" t="s">
        <v>1963</v>
      </c>
      <c r="B314" s="38" t="s">
        <v>1960</v>
      </c>
      <c r="C314" s="38" t="s">
        <v>267</v>
      </c>
      <c r="D314" s="38" t="s">
        <v>245</v>
      </c>
      <c r="E314" s="38" t="s">
        <v>243</v>
      </c>
      <c r="F314" s="38"/>
      <c r="G314" s="38" t="s">
        <v>1960</v>
      </c>
      <c r="H314" s="38" t="s">
        <v>322</v>
      </c>
      <c r="I314" s="38" t="s">
        <v>277</v>
      </c>
      <c r="J314" s="38" t="s">
        <v>2756</v>
      </c>
    </row>
    <row r="315" ht="14.25" customHeight="1">
      <c r="A315" s="39" t="s">
        <v>1963</v>
      </c>
      <c r="B315" s="39" t="s">
        <v>1960</v>
      </c>
      <c r="C315" s="39" t="s">
        <v>243</v>
      </c>
      <c r="D315" s="39" t="s">
        <v>245</v>
      </c>
      <c r="E315" s="39" t="s">
        <v>243</v>
      </c>
      <c r="F315" s="39"/>
      <c r="G315" s="39" t="s">
        <v>1960</v>
      </c>
      <c r="H315" s="39" t="s">
        <v>322</v>
      </c>
      <c r="I315" s="39" t="s">
        <v>316</v>
      </c>
      <c r="J315" s="39" t="s">
        <v>2756</v>
      </c>
    </row>
    <row r="316" ht="14.25" customHeight="1">
      <c r="A316" s="38" t="s">
        <v>1963</v>
      </c>
      <c r="B316" s="38" t="s">
        <v>1960</v>
      </c>
      <c r="C316" s="38" t="s">
        <v>346</v>
      </c>
      <c r="D316" s="38" t="s">
        <v>245</v>
      </c>
      <c r="E316" s="38" t="s">
        <v>243</v>
      </c>
      <c r="F316" s="38"/>
      <c r="G316" s="38" t="s">
        <v>1960</v>
      </c>
      <c r="H316" s="38" t="s">
        <v>322</v>
      </c>
      <c r="I316" s="38" t="s">
        <v>356</v>
      </c>
      <c r="J316" s="38" t="s">
        <v>2756</v>
      </c>
    </row>
    <row r="317" ht="14.25" customHeight="1">
      <c r="A317" s="39" t="s">
        <v>2003</v>
      </c>
      <c r="B317" s="39" t="s">
        <v>2002</v>
      </c>
      <c r="C317" s="39" t="s">
        <v>267</v>
      </c>
      <c r="D317" s="39" t="s">
        <v>245</v>
      </c>
      <c r="E317" s="39" t="s">
        <v>243</v>
      </c>
      <c r="F317" s="39"/>
      <c r="G317" s="39" t="s">
        <v>2002</v>
      </c>
      <c r="H317" s="39" t="s">
        <v>268</v>
      </c>
      <c r="I317" s="39" t="s">
        <v>277</v>
      </c>
      <c r="J317" s="39" t="s">
        <v>2756</v>
      </c>
    </row>
    <row r="318" ht="14.25" customHeight="1">
      <c r="A318" s="38" t="s">
        <v>2003</v>
      </c>
      <c r="B318" s="38" t="s">
        <v>2002</v>
      </c>
      <c r="C318" s="38" t="s">
        <v>243</v>
      </c>
      <c r="D318" s="38" t="s">
        <v>245</v>
      </c>
      <c r="E318" s="38" t="s">
        <v>243</v>
      </c>
      <c r="F318" s="38"/>
      <c r="G318" s="38" t="s">
        <v>2002</v>
      </c>
      <c r="H318" s="38" t="s">
        <v>242</v>
      </c>
      <c r="I318" s="38" t="s">
        <v>316</v>
      </c>
      <c r="J318" s="38" t="s">
        <v>2756</v>
      </c>
    </row>
    <row r="319" ht="14.25" customHeight="1">
      <c r="A319" s="39" t="s">
        <v>2003</v>
      </c>
      <c r="B319" s="39" t="s">
        <v>2002</v>
      </c>
      <c r="C319" s="39" t="s">
        <v>346</v>
      </c>
      <c r="D319" s="39" t="s">
        <v>245</v>
      </c>
      <c r="E319" s="39" t="s">
        <v>243</v>
      </c>
      <c r="F319" s="39"/>
      <c r="G319" s="39" t="s">
        <v>2002</v>
      </c>
      <c r="H319" s="39" t="s">
        <v>242</v>
      </c>
      <c r="I319" s="39" t="s">
        <v>356</v>
      </c>
      <c r="J319" s="39" t="s">
        <v>2756</v>
      </c>
    </row>
    <row r="320" ht="14.25" customHeight="1">
      <c r="A320" s="38" t="s">
        <v>2006</v>
      </c>
      <c r="B320" s="38" t="s">
        <v>2005</v>
      </c>
      <c r="C320" s="38" t="s">
        <v>267</v>
      </c>
      <c r="D320" s="38" t="s">
        <v>245</v>
      </c>
      <c r="E320" s="38" t="s">
        <v>243</v>
      </c>
      <c r="F320" s="38"/>
      <c r="G320" s="38" t="s">
        <v>2005</v>
      </c>
      <c r="H320" s="38" t="s">
        <v>268</v>
      </c>
      <c r="I320" s="38" t="s">
        <v>277</v>
      </c>
      <c r="J320" s="38" t="s">
        <v>2756</v>
      </c>
    </row>
    <row r="321" ht="14.25" customHeight="1">
      <c r="A321" s="39" t="s">
        <v>2006</v>
      </c>
      <c r="B321" s="39" t="s">
        <v>2005</v>
      </c>
      <c r="C321" s="39" t="s">
        <v>243</v>
      </c>
      <c r="D321" s="39" t="s">
        <v>245</v>
      </c>
      <c r="E321" s="39" t="s">
        <v>243</v>
      </c>
      <c r="F321" s="39"/>
      <c r="G321" s="39" t="s">
        <v>2005</v>
      </c>
      <c r="H321" s="39" t="s">
        <v>242</v>
      </c>
      <c r="I321" s="39" t="s">
        <v>316</v>
      </c>
      <c r="J321" s="39" t="s">
        <v>2756</v>
      </c>
    </row>
    <row r="322" ht="14.25" customHeight="1">
      <c r="A322" s="38" t="s">
        <v>2006</v>
      </c>
      <c r="B322" s="38" t="s">
        <v>2005</v>
      </c>
      <c r="C322" s="38" t="s">
        <v>346</v>
      </c>
      <c r="D322" s="38" t="s">
        <v>245</v>
      </c>
      <c r="E322" s="38" t="s">
        <v>243</v>
      </c>
      <c r="F322" s="38"/>
      <c r="G322" s="38" t="s">
        <v>2005</v>
      </c>
      <c r="H322" s="38" t="s">
        <v>242</v>
      </c>
      <c r="I322" s="38" t="s">
        <v>356</v>
      </c>
      <c r="J322" s="38" t="s">
        <v>2756</v>
      </c>
    </row>
    <row r="323" ht="14.25" customHeight="1">
      <c r="A323" s="39" t="s">
        <v>2010</v>
      </c>
      <c r="B323" s="39" t="s">
        <v>2008</v>
      </c>
      <c r="C323" s="39" t="s">
        <v>267</v>
      </c>
      <c r="D323" s="39" t="s">
        <v>245</v>
      </c>
      <c r="E323" s="39" t="s">
        <v>243</v>
      </c>
      <c r="F323" s="39"/>
      <c r="G323" s="39" t="s">
        <v>2008</v>
      </c>
      <c r="H323" s="39" t="s">
        <v>268</v>
      </c>
      <c r="I323" s="39" t="s">
        <v>277</v>
      </c>
      <c r="J323" s="39" t="s">
        <v>2756</v>
      </c>
    </row>
    <row r="324" ht="14.25" customHeight="1">
      <c r="A324" s="38" t="s">
        <v>2010</v>
      </c>
      <c r="B324" s="38" t="s">
        <v>2008</v>
      </c>
      <c r="C324" s="38" t="s">
        <v>243</v>
      </c>
      <c r="D324" s="38" t="s">
        <v>245</v>
      </c>
      <c r="E324" s="38" t="s">
        <v>243</v>
      </c>
      <c r="F324" s="38"/>
      <c r="G324" s="38" t="s">
        <v>2008</v>
      </c>
      <c r="H324" s="38" t="s">
        <v>242</v>
      </c>
      <c r="I324" s="38" t="s">
        <v>316</v>
      </c>
      <c r="J324" s="38" t="s">
        <v>2756</v>
      </c>
    </row>
    <row r="325" ht="14.25" customHeight="1">
      <c r="A325" s="39" t="s">
        <v>2010</v>
      </c>
      <c r="B325" s="39" t="s">
        <v>2008</v>
      </c>
      <c r="C325" s="39" t="s">
        <v>346</v>
      </c>
      <c r="D325" s="39" t="s">
        <v>245</v>
      </c>
      <c r="E325" s="39" t="s">
        <v>243</v>
      </c>
      <c r="F325" s="39"/>
      <c r="G325" s="39" t="s">
        <v>2008</v>
      </c>
      <c r="H325" s="39" t="s">
        <v>242</v>
      </c>
      <c r="I325" s="39" t="s">
        <v>356</v>
      </c>
      <c r="J325" s="39" t="s">
        <v>2756</v>
      </c>
    </row>
    <row r="326" ht="14.25" customHeight="1">
      <c r="A326" s="38" t="s">
        <v>2013</v>
      </c>
      <c r="B326" s="38" t="s">
        <v>2012</v>
      </c>
      <c r="C326" s="38" t="s">
        <v>267</v>
      </c>
      <c r="D326" s="38" t="s">
        <v>245</v>
      </c>
      <c r="E326" s="38" t="s">
        <v>243</v>
      </c>
      <c r="F326" s="38"/>
      <c r="G326" s="38" t="s">
        <v>2012</v>
      </c>
      <c r="H326" s="38" t="s">
        <v>268</v>
      </c>
      <c r="I326" s="38" t="s">
        <v>277</v>
      </c>
      <c r="J326" s="38" t="s">
        <v>2756</v>
      </c>
    </row>
    <row r="327" ht="14.25" customHeight="1">
      <c r="A327" s="39" t="s">
        <v>2013</v>
      </c>
      <c r="B327" s="39" t="s">
        <v>2012</v>
      </c>
      <c r="C327" s="39" t="s">
        <v>243</v>
      </c>
      <c r="D327" s="39" t="s">
        <v>245</v>
      </c>
      <c r="E327" s="39" t="s">
        <v>243</v>
      </c>
      <c r="F327" s="39"/>
      <c r="G327" s="39" t="s">
        <v>2012</v>
      </c>
      <c r="H327" s="39" t="s">
        <v>242</v>
      </c>
      <c r="I327" s="39" t="s">
        <v>316</v>
      </c>
      <c r="J327" s="39" t="s">
        <v>2756</v>
      </c>
    </row>
    <row r="328" ht="14.25" customHeight="1">
      <c r="A328" s="38" t="s">
        <v>2013</v>
      </c>
      <c r="B328" s="38" t="s">
        <v>2012</v>
      </c>
      <c r="C328" s="38" t="s">
        <v>346</v>
      </c>
      <c r="D328" s="38" t="s">
        <v>245</v>
      </c>
      <c r="E328" s="38" t="s">
        <v>243</v>
      </c>
      <c r="F328" s="38"/>
      <c r="G328" s="38" t="s">
        <v>2012</v>
      </c>
      <c r="H328" s="38" t="s">
        <v>242</v>
      </c>
      <c r="I328" s="38" t="s">
        <v>356</v>
      </c>
      <c r="J328" s="38" t="s">
        <v>2756</v>
      </c>
    </row>
    <row r="329" ht="14.25" customHeight="1">
      <c r="A329" s="39" t="s">
        <v>2017</v>
      </c>
      <c r="B329" s="39" t="s">
        <v>2015</v>
      </c>
      <c r="C329" s="39" t="s">
        <v>267</v>
      </c>
      <c r="D329" s="39" t="s">
        <v>245</v>
      </c>
      <c r="E329" s="39" t="s">
        <v>323</v>
      </c>
      <c r="F329" s="39"/>
      <c r="G329" s="39" t="s">
        <v>2015</v>
      </c>
      <c r="H329" s="39" t="s">
        <v>268</v>
      </c>
      <c r="I329" s="39" t="s">
        <v>277</v>
      </c>
      <c r="J329" s="39" t="s">
        <v>2756</v>
      </c>
    </row>
    <row r="330" ht="14.25" customHeight="1">
      <c r="A330" s="38" t="s">
        <v>2017</v>
      </c>
      <c r="B330" s="38" t="s">
        <v>2015</v>
      </c>
      <c r="C330" s="38" t="s">
        <v>243</v>
      </c>
      <c r="D330" s="38" t="s">
        <v>245</v>
      </c>
      <c r="E330" s="38" t="s">
        <v>323</v>
      </c>
      <c r="F330" s="38"/>
      <c r="G330" s="38" t="s">
        <v>2015</v>
      </c>
      <c r="H330" s="38" t="s">
        <v>242</v>
      </c>
      <c r="I330" s="38" t="s">
        <v>316</v>
      </c>
      <c r="J330" s="38" t="s">
        <v>2756</v>
      </c>
    </row>
    <row r="331" ht="14.25" customHeight="1">
      <c r="A331" s="39" t="s">
        <v>2017</v>
      </c>
      <c r="B331" s="39" t="s">
        <v>2015</v>
      </c>
      <c r="C331" s="39" t="s">
        <v>346</v>
      </c>
      <c r="D331" s="39" t="s">
        <v>245</v>
      </c>
      <c r="E331" s="39" t="s">
        <v>323</v>
      </c>
      <c r="F331" s="39"/>
      <c r="G331" s="39" t="s">
        <v>2015</v>
      </c>
      <c r="H331" s="39" t="s">
        <v>242</v>
      </c>
      <c r="I331" s="39" t="s">
        <v>356</v>
      </c>
      <c r="J331" s="39" t="s">
        <v>2756</v>
      </c>
    </row>
    <row r="332" ht="14.25" customHeight="1">
      <c r="A332" s="38" t="s">
        <v>2038</v>
      </c>
      <c r="B332" s="38" t="s">
        <v>2037</v>
      </c>
      <c r="C332" s="38" t="s">
        <v>267</v>
      </c>
      <c r="D332" s="38" t="s">
        <v>245</v>
      </c>
      <c r="E332" s="38" t="s">
        <v>243</v>
      </c>
      <c r="F332" s="38"/>
      <c r="G332" s="38" t="s">
        <v>2037</v>
      </c>
      <c r="H332" s="38" t="s">
        <v>268</v>
      </c>
      <c r="I332" s="38" t="s">
        <v>277</v>
      </c>
      <c r="J332" s="38" t="s">
        <v>2756</v>
      </c>
    </row>
    <row r="333" ht="14.25" customHeight="1">
      <c r="A333" s="39" t="s">
        <v>2038</v>
      </c>
      <c r="B333" s="39" t="s">
        <v>2037</v>
      </c>
      <c r="C333" s="39" t="s">
        <v>243</v>
      </c>
      <c r="D333" s="39" t="s">
        <v>245</v>
      </c>
      <c r="E333" s="39" t="s">
        <v>243</v>
      </c>
      <c r="F333" s="39"/>
      <c r="G333" s="39" t="s">
        <v>2037</v>
      </c>
      <c r="H333" s="39" t="s">
        <v>242</v>
      </c>
      <c r="I333" s="39" t="s">
        <v>316</v>
      </c>
      <c r="J333" s="39" t="s">
        <v>2756</v>
      </c>
    </row>
    <row r="334" ht="14.25" customHeight="1">
      <c r="A334" s="38" t="s">
        <v>2038</v>
      </c>
      <c r="B334" s="38" t="s">
        <v>2037</v>
      </c>
      <c r="C334" s="38" t="s">
        <v>346</v>
      </c>
      <c r="D334" s="38" t="s">
        <v>245</v>
      </c>
      <c r="E334" s="38" t="s">
        <v>243</v>
      </c>
      <c r="F334" s="38"/>
      <c r="G334" s="38" t="s">
        <v>2037</v>
      </c>
      <c r="H334" s="38" t="s">
        <v>242</v>
      </c>
      <c r="I334" s="38" t="s">
        <v>356</v>
      </c>
      <c r="J334" s="38" t="s">
        <v>2756</v>
      </c>
    </row>
    <row r="335" ht="14.25" customHeight="1">
      <c r="A335" s="39" t="s">
        <v>2042</v>
      </c>
      <c r="B335" s="39" t="s">
        <v>2040</v>
      </c>
      <c r="C335" s="39" t="s">
        <v>267</v>
      </c>
      <c r="D335" s="39" t="s">
        <v>245</v>
      </c>
      <c r="E335" s="39" t="s">
        <v>243</v>
      </c>
      <c r="F335" s="39"/>
      <c r="G335" s="39" t="s">
        <v>2040</v>
      </c>
      <c r="H335" s="39" t="s">
        <v>268</v>
      </c>
      <c r="I335" s="39" t="s">
        <v>277</v>
      </c>
      <c r="J335" s="39" t="s">
        <v>2756</v>
      </c>
    </row>
    <row r="336" ht="14.25" customHeight="1">
      <c r="A336" s="38" t="s">
        <v>2042</v>
      </c>
      <c r="B336" s="38" t="s">
        <v>2040</v>
      </c>
      <c r="C336" s="38" t="s">
        <v>243</v>
      </c>
      <c r="D336" s="38" t="s">
        <v>245</v>
      </c>
      <c r="E336" s="38" t="s">
        <v>243</v>
      </c>
      <c r="F336" s="38"/>
      <c r="G336" s="38" t="s">
        <v>2040</v>
      </c>
      <c r="H336" s="38" t="s">
        <v>242</v>
      </c>
      <c r="I336" s="38" t="s">
        <v>316</v>
      </c>
      <c r="J336" s="38" t="s">
        <v>2756</v>
      </c>
    </row>
    <row r="337" ht="14.25" customHeight="1">
      <c r="A337" s="39" t="s">
        <v>2042</v>
      </c>
      <c r="B337" s="39" t="s">
        <v>2040</v>
      </c>
      <c r="C337" s="39" t="s">
        <v>346</v>
      </c>
      <c r="D337" s="39" t="s">
        <v>245</v>
      </c>
      <c r="E337" s="39" t="s">
        <v>243</v>
      </c>
      <c r="F337" s="39"/>
      <c r="G337" s="39" t="s">
        <v>2040</v>
      </c>
      <c r="H337" s="39" t="s">
        <v>242</v>
      </c>
      <c r="I337" s="39" t="s">
        <v>356</v>
      </c>
      <c r="J337" s="39" t="s">
        <v>2756</v>
      </c>
    </row>
    <row r="338" ht="14.25" customHeight="1">
      <c r="A338" s="38" t="s">
        <v>2046</v>
      </c>
      <c r="B338" s="38" t="s">
        <v>2044</v>
      </c>
      <c r="C338" s="38" t="s">
        <v>267</v>
      </c>
      <c r="D338" s="38" t="s">
        <v>245</v>
      </c>
      <c r="E338" s="38" t="s">
        <v>243</v>
      </c>
      <c r="F338" s="38"/>
      <c r="G338" s="38" t="s">
        <v>2044</v>
      </c>
      <c r="H338" s="38" t="s">
        <v>268</v>
      </c>
      <c r="I338" s="38" t="s">
        <v>277</v>
      </c>
      <c r="J338" s="38" t="s">
        <v>2756</v>
      </c>
    </row>
    <row r="339" ht="14.25" customHeight="1">
      <c r="A339" s="39" t="s">
        <v>2046</v>
      </c>
      <c r="B339" s="39" t="s">
        <v>2044</v>
      </c>
      <c r="C339" s="39" t="s">
        <v>243</v>
      </c>
      <c r="D339" s="39" t="s">
        <v>245</v>
      </c>
      <c r="E339" s="39" t="s">
        <v>243</v>
      </c>
      <c r="F339" s="39"/>
      <c r="G339" s="39" t="s">
        <v>2044</v>
      </c>
      <c r="H339" s="39" t="s">
        <v>242</v>
      </c>
      <c r="I339" s="39" t="s">
        <v>316</v>
      </c>
      <c r="J339" s="39" t="s">
        <v>2756</v>
      </c>
    </row>
    <row r="340" ht="14.25" customHeight="1">
      <c r="A340" s="38" t="s">
        <v>2046</v>
      </c>
      <c r="B340" s="38" t="s">
        <v>2044</v>
      </c>
      <c r="C340" s="38" t="s">
        <v>346</v>
      </c>
      <c r="D340" s="38" t="s">
        <v>245</v>
      </c>
      <c r="E340" s="38" t="s">
        <v>243</v>
      </c>
      <c r="F340" s="38"/>
      <c r="G340" s="38" t="s">
        <v>2044</v>
      </c>
      <c r="H340" s="38" t="s">
        <v>242</v>
      </c>
      <c r="I340" s="38" t="s">
        <v>356</v>
      </c>
      <c r="J340" s="38" t="s">
        <v>2756</v>
      </c>
    </row>
    <row r="341" ht="14.25" customHeight="1">
      <c r="A341" s="39" t="s">
        <v>2049</v>
      </c>
      <c r="B341" s="39" t="s">
        <v>2048</v>
      </c>
      <c r="C341" s="39" t="s">
        <v>267</v>
      </c>
      <c r="D341" s="39" t="s">
        <v>245</v>
      </c>
      <c r="E341" s="39" t="s">
        <v>243</v>
      </c>
      <c r="F341" s="39"/>
      <c r="G341" s="39" t="s">
        <v>2048</v>
      </c>
      <c r="H341" s="39" t="s">
        <v>268</v>
      </c>
      <c r="I341" s="39" t="s">
        <v>277</v>
      </c>
      <c r="J341" s="39" t="s">
        <v>2756</v>
      </c>
    </row>
    <row r="342" ht="14.25" customHeight="1">
      <c r="A342" s="38" t="s">
        <v>2049</v>
      </c>
      <c r="B342" s="38" t="s">
        <v>2048</v>
      </c>
      <c r="C342" s="38" t="s">
        <v>243</v>
      </c>
      <c r="D342" s="38" t="s">
        <v>245</v>
      </c>
      <c r="E342" s="38" t="s">
        <v>243</v>
      </c>
      <c r="F342" s="38"/>
      <c r="G342" s="38" t="s">
        <v>2048</v>
      </c>
      <c r="H342" s="38" t="s">
        <v>242</v>
      </c>
      <c r="I342" s="38" t="s">
        <v>316</v>
      </c>
      <c r="J342" s="38" t="s">
        <v>2756</v>
      </c>
    </row>
    <row r="343" ht="14.25" customHeight="1">
      <c r="A343" s="39" t="s">
        <v>2049</v>
      </c>
      <c r="B343" s="39" t="s">
        <v>2048</v>
      </c>
      <c r="C343" s="39" t="s">
        <v>346</v>
      </c>
      <c r="D343" s="39" t="s">
        <v>245</v>
      </c>
      <c r="E343" s="39" t="s">
        <v>243</v>
      </c>
      <c r="F343" s="39"/>
      <c r="G343" s="39" t="s">
        <v>2048</v>
      </c>
      <c r="H343" s="39" t="s">
        <v>242</v>
      </c>
      <c r="I343" s="39" t="s">
        <v>356</v>
      </c>
      <c r="J343" s="39" t="s">
        <v>2756</v>
      </c>
    </row>
    <row r="344" ht="14.25" customHeight="1">
      <c r="A344" s="38" t="s">
        <v>2052</v>
      </c>
      <c r="B344" s="38" t="s">
        <v>2051</v>
      </c>
      <c r="C344" s="38" t="s">
        <v>267</v>
      </c>
      <c r="D344" s="38" t="s">
        <v>245</v>
      </c>
      <c r="E344" s="38" t="s">
        <v>243</v>
      </c>
      <c r="F344" s="38"/>
      <c r="G344" s="38" t="s">
        <v>2051</v>
      </c>
      <c r="H344" s="38" t="s">
        <v>268</v>
      </c>
      <c r="I344" s="38" t="s">
        <v>277</v>
      </c>
      <c r="J344" s="38" t="s">
        <v>2756</v>
      </c>
    </row>
    <row r="345" ht="14.25" customHeight="1">
      <c r="A345" s="39" t="s">
        <v>2052</v>
      </c>
      <c r="B345" s="39" t="s">
        <v>2051</v>
      </c>
      <c r="C345" s="39" t="s">
        <v>243</v>
      </c>
      <c r="D345" s="39" t="s">
        <v>245</v>
      </c>
      <c r="E345" s="39" t="s">
        <v>243</v>
      </c>
      <c r="F345" s="39"/>
      <c r="G345" s="39" t="s">
        <v>2051</v>
      </c>
      <c r="H345" s="39" t="s">
        <v>242</v>
      </c>
      <c r="I345" s="39" t="s">
        <v>316</v>
      </c>
      <c r="J345" s="39" t="s">
        <v>2756</v>
      </c>
    </row>
    <row r="346" ht="14.25" customHeight="1">
      <c r="A346" s="38" t="s">
        <v>2052</v>
      </c>
      <c r="B346" s="38" t="s">
        <v>2051</v>
      </c>
      <c r="C346" s="38" t="s">
        <v>346</v>
      </c>
      <c r="D346" s="38" t="s">
        <v>245</v>
      </c>
      <c r="E346" s="38" t="s">
        <v>243</v>
      </c>
      <c r="F346" s="38"/>
      <c r="G346" s="38" t="s">
        <v>2051</v>
      </c>
      <c r="H346" s="38" t="s">
        <v>242</v>
      </c>
      <c r="I346" s="38" t="s">
        <v>356</v>
      </c>
      <c r="J346" s="38" t="s">
        <v>2756</v>
      </c>
    </row>
    <row r="347" ht="14.25" customHeight="1">
      <c r="A347" s="39" t="s">
        <v>2055</v>
      </c>
      <c r="B347" s="39" t="s">
        <v>2054</v>
      </c>
      <c r="C347" s="39" t="s">
        <v>267</v>
      </c>
      <c r="D347" s="39" t="s">
        <v>245</v>
      </c>
      <c r="E347" s="39" t="s">
        <v>243</v>
      </c>
      <c r="F347" s="39"/>
      <c r="G347" s="39" t="s">
        <v>2054</v>
      </c>
      <c r="H347" s="39" t="s">
        <v>268</v>
      </c>
      <c r="I347" s="39" t="s">
        <v>277</v>
      </c>
      <c r="J347" s="39" t="s">
        <v>2756</v>
      </c>
    </row>
    <row r="348" ht="14.25" customHeight="1">
      <c r="A348" s="38" t="s">
        <v>2055</v>
      </c>
      <c r="B348" s="38" t="s">
        <v>2054</v>
      </c>
      <c r="C348" s="38" t="s">
        <v>243</v>
      </c>
      <c r="D348" s="38" t="s">
        <v>245</v>
      </c>
      <c r="E348" s="38" t="s">
        <v>243</v>
      </c>
      <c r="F348" s="38"/>
      <c r="G348" s="38" t="s">
        <v>2054</v>
      </c>
      <c r="H348" s="38" t="s">
        <v>242</v>
      </c>
      <c r="I348" s="38" t="s">
        <v>316</v>
      </c>
      <c r="J348" s="38" t="s">
        <v>2756</v>
      </c>
    </row>
    <row r="349" ht="14.25" customHeight="1">
      <c r="A349" s="39" t="s">
        <v>2055</v>
      </c>
      <c r="B349" s="39" t="s">
        <v>2054</v>
      </c>
      <c r="C349" s="39" t="s">
        <v>346</v>
      </c>
      <c r="D349" s="39" t="s">
        <v>245</v>
      </c>
      <c r="E349" s="39" t="s">
        <v>243</v>
      </c>
      <c r="F349" s="39"/>
      <c r="G349" s="39" t="s">
        <v>2054</v>
      </c>
      <c r="H349" s="39" t="s">
        <v>242</v>
      </c>
      <c r="I349" s="39" t="s">
        <v>356</v>
      </c>
      <c r="J349" s="39" t="s">
        <v>2756</v>
      </c>
    </row>
    <row r="350" ht="14.25" customHeight="1">
      <c r="A350" s="38" t="s">
        <v>2058</v>
      </c>
      <c r="B350" s="38" t="s">
        <v>2057</v>
      </c>
      <c r="C350" s="38" t="s">
        <v>267</v>
      </c>
      <c r="D350" s="38" t="s">
        <v>245</v>
      </c>
      <c r="E350" s="38" t="s">
        <v>243</v>
      </c>
      <c r="F350" s="38"/>
      <c r="G350" s="38" t="s">
        <v>2057</v>
      </c>
      <c r="H350" s="38" t="s">
        <v>268</v>
      </c>
      <c r="I350" s="38" t="s">
        <v>277</v>
      </c>
      <c r="J350" s="38" t="s">
        <v>2756</v>
      </c>
    </row>
    <row r="351" ht="14.25" customHeight="1">
      <c r="A351" s="39" t="s">
        <v>2058</v>
      </c>
      <c r="B351" s="39" t="s">
        <v>2057</v>
      </c>
      <c r="C351" s="39" t="s">
        <v>243</v>
      </c>
      <c r="D351" s="39" t="s">
        <v>245</v>
      </c>
      <c r="E351" s="39" t="s">
        <v>243</v>
      </c>
      <c r="F351" s="39"/>
      <c r="G351" s="39" t="s">
        <v>2057</v>
      </c>
      <c r="H351" s="39" t="s">
        <v>242</v>
      </c>
      <c r="I351" s="39" t="s">
        <v>316</v>
      </c>
      <c r="J351" s="39" t="s">
        <v>2756</v>
      </c>
    </row>
    <row r="352" ht="14.25" customHeight="1">
      <c r="A352" s="38" t="s">
        <v>2058</v>
      </c>
      <c r="B352" s="38" t="s">
        <v>2057</v>
      </c>
      <c r="C352" s="38" t="s">
        <v>346</v>
      </c>
      <c r="D352" s="38" t="s">
        <v>245</v>
      </c>
      <c r="E352" s="38" t="s">
        <v>243</v>
      </c>
      <c r="F352" s="38"/>
      <c r="G352" s="38" t="s">
        <v>2057</v>
      </c>
      <c r="H352" s="38" t="s">
        <v>242</v>
      </c>
      <c r="I352" s="38" t="s">
        <v>356</v>
      </c>
      <c r="J352" s="38" t="s">
        <v>2756</v>
      </c>
    </row>
    <row r="353" ht="14.25" customHeight="1">
      <c r="A353" s="39" t="s">
        <v>2062</v>
      </c>
      <c r="B353" s="39" t="s">
        <v>2060</v>
      </c>
      <c r="C353" s="39" t="s">
        <v>267</v>
      </c>
      <c r="D353" s="39" t="s">
        <v>245</v>
      </c>
      <c r="E353" s="39" t="s">
        <v>243</v>
      </c>
      <c r="F353" s="39"/>
      <c r="G353" s="39" t="s">
        <v>2060</v>
      </c>
      <c r="H353" s="39" t="s">
        <v>268</v>
      </c>
      <c r="I353" s="39" t="s">
        <v>277</v>
      </c>
      <c r="J353" s="39" t="s">
        <v>2756</v>
      </c>
    </row>
    <row r="354" ht="14.25" customHeight="1">
      <c r="A354" s="38" t="s">
        <v>2062</v>
      </c>
      <c r="B354" s="38" t="s">
        <v>2060</v>
      </c>
      <c r="C354" s="38" t="s">
        <v>243</v>
      </c>
      <c r="D354" s="38" t="s">
        <v>245</v>
      </c>
      <c r="E354" s="38" t="s">
        <v>243</v>
      </c>
      <c r="F354" s="38"/>
      <c r="G354" s="38" t="s">
        <v>2060</v>
      </c>
      <c r="H354" s="38" t="s">
        <v>242</v>
      </c>
      <c r="I354" s="38" t="s">
        <v>316</v>
      </c>
      <c r="J354" s="38" t="s">
        <v>2756</v>
      </c>
    </row>
    <row r="355" ht="14.25" customHeight="1">
      <c r="A355" s="39" t="s">
        <v>2062</v>
      </c>
      <c r="B355" s="39" t="s">
        <v>2060</v>
      </c>
      <c r="C355" s="39" t="s">
        <v>346</v>
      </c>
      <c r="D355" s="39" t="s">
        <v>245</v>
      </c>
      <c r="E355" s="39" t="s">
        <v>243</v>
      </c>
      <c r="F355" s="39"/>
      <c r="G355" s="39" t="s">
        <v>2060</v>
      </c>
      <c r="H355" s="39" t="s">
        <v>242</v>
      </c>
      <c r="I355" s="39" t="s">
        <v>356</v>
      </c>
      <c r="J355" s="39" t="s">
        <v>2756</v>
      </c>
    </row>
    <row r="356" ht="14.25" customHeight="1">
      <c r="A356" s="38" t="s">
        <v>2065</v>
      </c>
      <c r="B356" s="38" t="s">
        <v>2064</v>
      </c>
      <c r="C356" s="38" t="s">
        <v>267</v>
      </c>
      <c r="D356" s="38" t="s">
        <v>245</v>
      </c>
      <c r="E356" s="38" t="s">
        <v>243</v>
      </c>
      <c r="F356" s="38"/>
      <c r="G356" s="38" t="s">
        <v>2064</v>
      </c>
      <c r="H356" s="38" t="s">
        <v>268</v>
      </c>
      <c r="I356" s="38" t="s">
        <v>277</v>
      </c>
      <c r="J356" s="38" t="s">
        <v>2756</v>
      </c>
    </row>
    <row r="357" ht="14.25" customHeight="1">
      <c r="A357" s="39" t="s">
        <v>2065</v>
      </c>
      <c r="B357" s="39" t="s">
        <v>2064</v>
      </c>
      <c r="C357" s="39" t="s">
        <v>243</v>
      </c>
      <c r="D357" s="39" t="s">
        <v>245</v>
      </c>
      <c r="E357" s="39" t="s">
        <v>243</v>
      </c>
      <c r="F357" s="39"/>
      <c r="G357" s="39" t="s">
        <v>2064</v>
      </c>
      <c r="H357" s="39" t="s">
        <v>242</v>
      </c>
      <c r="I357" s="39" t="s">
        <v>316</v>
      </c>
      <c r="J357" s="39" t="s">
        <v>2756</v>
      </c>
    </row>
    <row r="358" ht="14.25" customHeight="1">
      <c r="A358" s="38" t="s">
        <v>2065</v>
      </c>
      <c r="B358" s="38" t="s">
        <v>2064</v>
      </c>
      <c r="C358" s="38" t="s">
        <v>346</v>
      </c>
      <c r="D358" s="38" t="s">
        <v>245</v>
      </c>
      <c r="E358" s="38" t="s">
        <v>243</v>
      </c>
      <c r="F358" s="38"/>
      <c r="G358" s="38" t="s">
        <v>2064</v>
      </c>
      <c r="H358" s="38" t="s">
        <v>242</v>
      </c>
      <c r="I358" s="38" t="s">
        <v>356</v>
      </c>
      <c r="J358" s="38" t="s">
        <v>2756</v>
      </c>
    </row>
    <row r="359" ht="14.25" customHeight="1">
      <c r="A359" s="39" t="s">
        <v>2067</v>
      </c>
      <c r="B359" s="39" t="s">
        <v>452</v>
      </c>
      <c r="C359" s="39" t="s">
        <v>267</v>
      </c>
      <c r="D359" s="39" t="s">
        <v>245</v>
      </c>
      <c r="E359" s="39" t="s">
        <v>243</v>
      </c>
      <c r="F359" s="39"/>
      <c r="G359" s="39" t="s">
        <v>452</v>
      </c>
      <c r="H359" s="39" t="s">
        <v>268</v>
      </c>
      <c r="I359" s="39" t="s">
        <v>277</v>
      </c>
      <c r="J359" s="39" t="s">
        <v>2756</v>
      </c>
    </row>
    <row r="360" ht="14.25" customHeight="1">
      <c r="A360" s="38" t="s">
        <v>2067</v>
      </c>
      <c r="B360" s="38" t="s">
        <v>452</v>
      </c>
      <c r="C360" s="38" t="s">
        <v>243</v>
      </c>
      <c r="D360" s="38" t="s">
        <v>245</v>
      </c>
      <c r="E360" s="38" t="s">
        <v>243</v>
      </c>
      <c r="F360" s="38"/>
      <c r="G360" s="38" t="s">
        <v>452</v>
      </c>
      <c r="H360" s="38" t="s">
        <v>242</v>
      </c>
      <c r="I360" s="38" t="s">
        <v>316</v>
      </c>
      <c r="J360" s="38" t="s">
        <v>2756</v>
      </c>
    </row>
    <row r="361" ht="14.25" customHeight="1">
      <c r="A361" s="39" t="s">
        <v>2067</v>
      </c>
      <c r="B361" s="39" t="s">
        <v>452</v>
      </c>
      <c r="C361" s="39" t="s">
        <v>346</v>
      </c>
      <c r="D361" s="39" t="s">
        <v>245</v>
      </c>
      <c r="E361" s="39" t="s">
        <v>243</v>
      </c>
      <c r="F361" s="39"/>
      <c r="G361" s="39" t="s">
        <v>452</v>
      </c>
      <c r="H361" s="39" t="s">
        <v>242</v>
      </c>
      <c r="I361" s="39" t="s">
        <v>356</v>
      </c>
      <c r="J361" s="39" t="s">
        <v>2756</v>
      </c>
    </row>
    <row r="362" ht="14.25" customHeight="1">
      <c r="A362" s="38" t="s">
        <v>2071</v>
      </c>
      <c r="B362" s="38" t="s">
        <v>2069</v>
      </c>
      <c r="C362" s="38" t="s">
        <v>267</v>
      </c>
      <c r="D362" s="38" t="s">
        <v>245</v>
      </c>
      <c r="E362" s="38" t="s">
        <v>243</v>
      </c>
      <c r="F362" s="38"/>
      <c r="G362" s="38" t="s">
        <v>2069</v>
      </c>
      <c r="H362" s="38" t="s">
        <v>268</v>
      </c>
      <c r="I362" s="38" t="s">
        <v>277</v>
      </c>
      <c r="J362" s="38" t="s">
        <v>2756</v>
      </c>
    </row>
    <row r="363" ht="14.25" customHeight="1">
      <c r="A363" s="39" t="s">
        <v>2071</v>
      </c>
      <c r="B363" s="39" t="s">
        <v>2069</v>
      </c>
      <c r="C363" s="39" t="s">
        <v>243</v>
      </c>
      <c r="D363" s="39" t="s">
        <v>245</v>
      </c>
      <c r="E363" s="39" t="s">
        <v>243</v>
      </c>
      <c r="F363" s="39"/>
      <c r="G363" s="39" t="s">
        <v>2069</v>
      </c>
      <c r="H363" s="39" t="s">
        <v>242</v>
      </c>
      <c r="I363" s="39" t="s">
        <v>316</v>
      </c>
      <c r="J363" s="39" t="s">
        <v>2756</v>
      </c>
    </row>
    <row r="364" ht="14.25" customHeight="1">
      <c r="A364" s="38" t="s">
        <v>2071</v>
      </c>
      <c r="B364" s="38" t="s">
        <v>2069</v>
      </c>
      <c r="C364" s="38" t="s">
        <v>346</v>
      </c>
      <c r="D364" s="38" t="s">
        <v>245</v>
      </c>
      <c r="E364" s="38" t="s">
        <v>243</v>
      </c>
      <c r="F364" s="38"/>
      <c r="G364" s="38" t="s">
        <v>2069</v>
      </c>
      <c r="H364" s="38" t="s">
        <v>242</v>
      </c>
      <c r="I364" s="38" t="s">
        <v>356</v>
      </c>
      <c r="J364" s="38" t="s">
        <v>2756</v>
      </c>
    </row>
    <row r="365" ht="14.25" customHeight="1">
      <c r="A365" s="39" t="s">
        <v>2075</v>
      </c>
      <c r="B365" s="39" t="s">
        <v>2073</v>
      </c>
      <c r="C365" s="39" t="s">
        <v>267</v>
      </c>
      <c r="D365" s="39" t="s">
        <v>245</v>
      </c>
      <c r="E365" s="39" t="s">
        <v>243</v>
      </c>
      <c r="F365" s="39"/>
      <c r="G365" s="39" t="s">
        <v>2073</v>
      </c>
      <c r="H365" s="39" t="s">
        <v>268</v>
      </c>
      <c r="I365" s="39" t="s">
        <v>277</v>
      </c>
      <c r="J365" s="39" t="s">
        <v>2756</v>
      </c>
    </row>
    <row r="366" ht="14.25" customHeight="1">
      <c r="A366" s="38" t="s">
        <v>2075</v>
      </c>
      <c r="B366" s="38" t="s">
        <v>2073</v>
      </c>
      <c r="C366" s="38" t="s">
        <v>243</v>
      </c>
      <c r="D366" s="38" t="s">
        <v>245</v>
      </c>
      <c r="E366" s="38" t="s">
        <v>243</v>
      </c>
      <c r="F366" s="38"/>
      <c r="G366" s="38" t="s">
        <v>2073</v>
      </c>
      <c r="H366" s="38" t="s">
        <v>242</v>
      </c>
      <c r="I366" s="38" t="s">
        <v>316</v>
      </c>
      <c r="J366" s="38" t="s">
        <v>2756</v>
      </c>
    </row>
    <row r="367" ht="14.25" customHeight="1">
      <c r="A367" s="39" t="s">
        <v>2075</v>
      </c>
      <c r="B367" s="39" t="s">
        <v>2073</v>
      </c>
      <c r="C367" s="39" t="s">
        <v>346</v>
      </c>
      <c r="D367" s="39" t="s">
        <v>245</v>
      </c>
      <c r="E367" s="39" t="s">
        <v>243</v>
      </c>
      <c r="F367" s="39"/>
      <c r="G367" s="39" t="s">
        <v>2073</v>
      </c>
      <c r="H367" s="39" t="s">
        <v>242</v>
      </c>
      <c r="I367" s="39" t="s">
        <v>356</v>
      </c>
      <c r="J367" s="39" t="s">
        <v>2756</v>
      </c>
    </row>
    <row r="368" ht="14.25" customHeight="1">
      <c r="A368" s="38" t="s">
        <v>2078</v>
      </c>
      <c r="B368" s="38" t="s">
        <v>2077</v>
      </c>
      <c r="C368" s="38" t="s">
        <v>267</v>
      </c>
      <c r="D368" s="38" t="s">
        <v>245</v>
      </c>
      <c r="E368" s="38" t="s">
        <v>243</v>
      </c>
      <c r="F368" s="38"/>
      <c r="G368" s="38" t="s">
        <v>2077</v>
      </c>
      <c r="H368" s="38" t="s">
        <v>268</v>
      </c>
      <c r="I368" s="38" t="s">
        <v>277</v>
      </c>
      <c r="J368" s="38" t="s">
        <v>2756</v>
      </c>
    </row>
    <row r="369" ht="14.25" customHeight="1">
      <c r="A369" s="39" t="s">
        <v>2078</v>
      </c>
      <c r="B369" s="39" t="s">
        <v>2077</v>
      </c>
      <c r="C369" s="39" t="s">
        <v>243</v>
      </c>
      <c r="D369" s="39" t="s">
        <v>245</v>
      </c>
      <c r="E369" s="39" t="s">
        <v>243</v>
      </c>
      <c r="F369" s="39"/>
      <c r="G369" s="39" t="s">
        <v>2077</v>
      </c>
      <c r="H369" s="39" t="s">
        <v>242</v>
      </c>
      <c r="I369" s="39" t="s">
        <v>316</v>
      </c>
      <c r="J369" s="39" t="s">
        <v>2756</v>
      </c>
    </row>
    <row r="370" ht="14.25" customHeight="1">
      <c r="A370" s="38" t="s">
        <v>2078</v>
      </c>
      <c r="B370" s="38" t="s">
        <v>2077</v>
      </c>
      <c r="C370" s="38" t="s">
        <v>346</v>
      </c>
      <c r="D370" s="38" t="s">
        <v>245</v>
      </c>
      <c r="E370" s="38" t="s">
        <v>243</v>
      </c>
      <c r="F370" s="38"/>
      <c r="G370" s="38" t="s">
        <v>2077</v>
      </c>
      <c r="H370" s="38" t="s">
        <v>242</v>
      </c>
      <c r="I370" s="38" t="s">
        <v>356</v>
      </c>
      <c r="J370" s="38" t="s">
        <v>2756</v>
      </c>
    </row>
    <row r="371" ht="14.25" customHeight="1">
      <c r="A371" s="39" t="s">
        <v>2081</v>
      </c>
      <c r="B371" s="39" t="s">
        <v>2080</v>
      </c>
      <c r="C371" s="39" t="s">
        <v>267</v>
      </c>
      <c r="D371" s="39" t="s">
        <v>245</v>
      </c>
      <c r="E371" s="39" t="s">
        <v>243</v>
      </c>
      <c r="F371" s="39"/>
      <c r="G371" s="39" t="s">
        <v>2080</v>
      </c>
      <c r="H371" s="39" t="s">
        <v>268</v>
      </c>
      <c r="I371" s="39" t="s">
        <v>277</v>
      </c>
      <c r="J371" s="39" t="s">
        <v>2756</v>
      </c>
    </row>
    <row r="372" ht="14.25" customHeight="1">
      <c r="A372" s="38" t="s">
        <v>2081</v>
      </c>
      <c r="B372" s="38" t="s">
        <v>2080</v>
      </c>
      <c r="C372" s="38" t="s">
        <v>243</v>
      </c>
      <c r="D372" s="38" t="s">
        <v>245</v>
      </c>
      <c r="E372" s="38" t="s">
        <v>243</v>
      </c>
      <c r="F372" s="38"/>
      <c r="G372" s="38" t="s">
        <v>2080</v>
      </c>
      <c r="H372" s="38" t="s">
        <v>242</v>
      </c>
      <c r="I372" s="38" t="s">
        <v>316</v>
      </c>
      <c r="J372" s="38" t="s">
        <v>2756</v>
      </c>
    </row>
    <row r="373" ht="14.25" customHeight="1">
      <c r="A373" s="39" t="s">
        <v>2081</v>
      </c>
      <c r="B373" s="39" t="s">
        <v>2080</v>
      </c>
      <c r="C373" s="39" t="s">
        <v>346</v>
      </c>
      <c r="D373" s="39" t="s">
        <v>245</v>
      </c>
      <c r="E373" s="39" t="s">
        <v>243</v>
      </c>
      <c r="F373" s="39"/>
      <c r="G373" s="39" t="s">
        <v>2080</v>
      </c>
      <c r="H373" s="39" t="s">
        <v>242</v>
      </c>
      <c r="I373" s="39" t="s">
        <v>356</v>
      </c>
      <c r="J373" s="39" t="s">
        <v>2756</v>
      </c>
    </row>
    <row r="374" ht="14.25" customHeight="1">
      <c r="A374" s="38" t="s">
        <v>2085</v>
      </c>
      <c r="B374" s="38" t="s">
        <v>2083</v>
      </c>
      <c r="C374" s="38" t="s">
        <v>267</v>
      </c>
      <c r="D374" s="38" t="s">
        <v>245</v>
      </c>
      <c r="E374" s="38" t="s">
        <v>243</v>
      </c>
      <c r="F374" s="38"/>
      <c r="G374" s="38" t="s">
        <v>2083</v>
      </c>
      <c r="H374" s="38" t="s">
        <v>268</v>
      </c>
      <c r="I374" s="38" t="s">
        <v>277</v>
      </c>
      <c r="J374" s="38" t="s">
        <v>2756</v>
      </c>
    </row>
    <row r="375" ht="14.25" customHeight="1">
      <c r="A375" s="39" t="s">
        <v>2085</v>
      </c>
      <c r="B375" s="39" t="s">
        <v>2083</v>
      </c>
      <c r="C375" s="39" t="s">
        <v>243</v>
      </c>
      <c r="D375" s="39" t="s">
        <v>245</v>
      </c>
      <c r="E375" s="39" t="s">
        <v>243</v>
      </c>
      <c r="F375" s="39"/>
      <c r="G375" s="39" t="s">
        <v>2083</v>
      </c>
      <c r="H375" s="39" t="s">
        <v>242</v>
      </c>
      <c r="I375" s="39" t="s">
        <v>316</v>
      </c>
      <c r="J375" s="39" t="s">
        <v>2756</v>
      </c>
    </row>
    <row r="376" ht="14.25" customHeight="1">
      <c r="A376" s="38" t="s">
        <v>2085</v>
      </c>
      <c r="B376" s="38" t="s">
        <v>2083</v>
      </c>
      <c r="C376" s="38" t="s">
        <v>346</v>
      </c>
      <c r="D376" s="38" t="s">
        <v>245</v>
      </c>
      <c r="E376" s="38" t="s">
        <v>243</v>
      </c>
      <c r="F376" s="38"/>
      <c r="G376" s="38" t="s">
        <v>2083</v>
      </c>
      <c r="H376" s="38" t="s">
        <v>242</v>
      </c>
      <c r="I376" s="38" t="s">
        <v>356</v>
      </c>
      <c r="J376" s="38" t="s">
        <v>2756</v>
      </c>
    </row>
    <row r="377" ht="14.25" customHeight="1">
      <c r="A377" s="39" t="s">
        <v>2089</v>
      </c>
      <c r="B377" s="39" t="s">
        <v>2087</v>
      </c>
      <c r="C377" s="39" t="s">
        <v>267</v>
      </c>
      <c r="D377" s="39" t="s">
        <v>245</v>
      </c>
      <c r="E377" s="39" t="s">
        <v>243</v>
      </c>
      <c r="F377" s="39"/>
      <c r="G377" s="39" t="s">
        <v>2087</v>
      </c>
      <c r="H377" s="39" t="s">
        <v>268</v>
      </c>
      <c r="I377" s="39" t="s">
        <v>277</v>
      </c>
      <c r="J377" s="39" t="s">
        <v>2756</v>
      </c>
    </row>
    <row r="378" ht="14.25" customHeight="1">
      <c r="A378" s="38" t="s">
        <v>2089</v>
      </c>
      <c r="B378" s="38" t="s">
        <v>2087</v>
      </c>
      <c r="C378" s="38" t="s">
        <v>243</v>
      </c>
      <c r="D378" s="38" t="s">
        <v>245</v>
      </c>
      <c r="E378" s="38" t="s">
        <v>243</v>
      </c>
      <c r="F378" s="38"/>
      <c r="G378" s="38" t="s">
        <v>2087</v>
      </c>
      <c r="H378" s="38" t="s">
        <v>242</v>
      </c>
      <c r="I378" s="38" t="s">
        <v>316</v>
      </c>
      <c r="J378" s="38" t="s">
        <v>2756</v>
      </c>
    </row>
    <row r="379" ht="14.25" customHeight="1">
      <c r="A379" s="39" t="s">
        <v>2089</v>
      </c>
      <c r="B379" s="39" t="s">
        <v>2087</v>
      </c>
      <c r="C379" s="39" t="s">
        <v>346</v>
      </c>
      <c r="D379" s="39" t="s">
        <v>245</v>
      </c>
      <c r="E379" s="39" t="s">
        <v>243</v>
      </c>
      <c r="F379" s="39"/>
      <c r="G379" s="39" t="s">
        <v>2087</v>
      </c>
      <c r="H379" s="39" t="s">
        <v>242</v>
      </c>
      <c r="I379" s="39" t="s">
        <v>356</v>
      </c>
      <c r="J379" s="39" t="s">
        <v>2756</v>
      </c>
    </row>
    <row r="380" ht="14.25" customHeight="1">
      <c r="A380" s="38" t="s">
        <v>2093</v>
      </c>
      <c r="B380" s="38" t="s">
        <v>2091</v>
      </c>
      <c r="C380" s="38" t="s">
        <v>267</v>
      </c>
      <c r="D380" s="38" t="s">
        <v>245</v>
      </c>
      <c r="E380" s="38" t="s">
        <v>243</v>
      </c>
      <c r="F380" s="38"/>
      <c r="G380" s="38" t="s">
        <v>2091</v>
      </c>
      <c r="H380" s="38" t="s">
        <v>268</v>
      </c>
      <c r="I380" s="38" t="s">
        <v>277</v>
      </c>
      <c r="J380" s="38" t="s">
        <v>2756</v>
      </c>
    </row>
    <row r="381" ht="14.25" customHeight="1">
      <c r="A381" s="39" t="s">
        <v>2093</v>
      </c>
      <c r="B381" s="39" t="s">
        <v>2091</v>
      </c>
      <c r="C381" s="39" t="s">
        <v>243</v>
      </c>
      <c r="D381" s="39" t="s">
        <v>245</v>
      </c>
      <c r="E381" s="39" t="s">
        <v>243</v>
      </c>
      <c r="F381" s="39"/>
      <c r="G381" s="39" t="s">
        <v>2091</v>
      </c>
      <c r="H381" s="39" t="s">
        <v>242</v>
      </c>
      <c r="I381" s="39" t="s">
        <v>316</v>
      </c>
      <c r="J381" s="39" t="s">
        <v>2756</v>
      </c>
    </row>
    <row r="382" ht="14.25" customHeight="1">
      <c r="A382" s="38" t="s">
        <v>2093</v>
      </c>
      <c r="B382" s="38" t="s">
        <v>2091</v>
      </c>
      <c r="C382" s="38" t="s">
        <v>346</v>
      </c>
      <c r="D382" s="38" t="s">
        <v>245</v>
      </c>
      <c r="E382" s="38" t="s">
        <v>243</v>
      </c>
      <c r="F382" s="38"/>
      <c r="G382" s="38" t="s">
        <v>2091</v>
      </c>
      <c r="H382" s="38" t="s">
        <v>242</v>
      </c>
      <c r="I382" s="38" t="s">
        <v>356</v>
      </c>
      <c r="J382" s="38" t="s">
        <v>2756</v>
      </c>
    </row>
    <row r="383" ht="14.25" customHeight="1">
      <c r="A383" s="39" t="s">
        <v>2097</v>
      </c>
      <c r="B383" s="39" t="s">
        <v>2095</v>
      </c>
      <c r="C383" s="39" t="s">
        <v>267</v>
      </c>
      <c r="D383" s="39" t="s">
        <v>245</v>
      </c>
      <c r="E383" s="39" t="s">
        <v>243</v>
      </c>
      <c r="F383" s="39"/>
      <c r="G383" s="39" t="s">
        <v>2095</v>
      </c>
      <c r="H383" s="39" t="s">
        <v>268</v>
      </c>
      <c r="I383" s="39" t="s">
        <v>277</v>
      </c>
      <c r="J383" s="39" t="s">
        <v>2756</v>
      </c>
    </row>
    <row r="384" ht="14.25" customHeight="1">
      <c r="A384" s="38" t="s">
        <v>2097</v>
      </c>
      <c r="B384" s="38" t="s">
        <v>2095</v>
      </c>
      <c r="C384" s="38" t="s">
        <v>243</v>
      </c>
      <c r="D384" s="38" t="s">
        <v>245</v>
      </c>
      <c r="E384" s="38" t="s">
        <v>243</v>
      </c>
      <c r="F384" s="38"/>
      <c r="G384" s="38" t="s">
        <v>2095</v>
      </c>
      <c r="H384" s="38" t="s">
        <v>242</v>
      </c>
      <c r="I384" s="38" t="s">
        <v>316</v>
      </c>
      <c r="J384" s="38" t="s">
        <v>2756</v>
      </c>
    </row>
    <row r="385" ht="14.25" customHeight="1">
      <c r="A385" s="39" t="s">
        <v>2097</v>
      </c>
      <c r="B385" s="39" t="s">
        <v>2095</v>
      </c>
      <c r="C385" s="39" t="s">
        <v>346</v>
      </c>
      <c r="D385" s="39" t="s">
        <v>245</v>
      </c>
      <c r="E385" s="39" t="s">
        <v>243</v>
      </c>
      <c r="F385" s="39"/>
      <c r="G385" s="39" t="s">
        <v>2095</v>
      </c>
      <c r="H385" s="39" t="s">
        <v>242</v>
      </c>
      <c r="I385" s="39" t="s">
        <v>356</v>
      </c>
      <c r="J385" s="39" t="s">
        <v>2756</v>
      </c>
    </row>
    <row r="386" ht="14.25" customHeight="1">
      <c r="A386" s="38" t="s">
        <v>2101</v>
      </c>
      <c r="B386" s="38" t="s">
        <v>2099</v>
      </c>
      <c r="C386" s="38" t="s">
        <v>267</v>
      </c>
      <c r="D386" s="38" t="s">
        <v>245</v>
      </c>
      <c r="E386" s="38" t="s">
        <v>243</v>
      </c>
      <c r="F386" s="38"/>
      <c r="G386" s="38" t="s">
        <v>2099</v>
      </c>
      <c r="H386" s="38" t="s">
        <v>268</v>
      </c>
      <c r="I386" s="38" t="s">
        <v>277</v>
      </c>
      <c r="J386" s="38" t="s">
        <v>2756</v>
      </c>
    </row>
    <row r="387" ht="14.25" customHeight="1">
      <c r="A387" s="39" t="s">
        <v>2101</v>
      </c>
      <c r="B387" s="39" t="s">
        <v>2099</v>
      </c>
      <c r="C387" s="39" t="s">
        <v>243</v>
      </c>
      <c r="D387" s="39" t="s">
        <v>245</v>
      </c>
      <c r="E387" s="39" t="s">
        <v>243</v>
      </c>
      <c r="F387" s="39"/>
      <c r="G387" s="39" t="s">
        <v>2099</v>
      </c>
      <c r="H387" s="39" t="s">
        <v>242</v>
      </c>
      <c r="I387" s="39" t="s">
        <v>316</v>
      </c>
      <c r="J387" s="39" t="s">
        <v>2756</v>
      </c>
    </row>
    <row r="388" ht="14.25" customHeight="1">
      <c r="A388" s="38" t="s">
        <v>2101</v>
      </c>
      <c r="B388" s="38" t="s">
        <v>2099</v>
      </c>
      <c r="C388" s="38" t="s">
        <v>346</v>
      </c>
      <c r="D388" s="38" t="s">
        <v>245</v>
      </c>
      <c r="E388" s="38" t="s">
        <v>243</v>
      </c>
      <c r="F388" s="38"/>
      <c r="G388" s="38" t="s">
        <v>2099</v>
      </c>
      <c r="H388" s="38" t="s">
        <v>242</v>
      </c>
      <c r="I388" s="38" t="s">
        <v>356</v>
      </c>
      <c r="J388" s="38" t="s">
        <v>2756</v>
      </c>
    </row>
    <row r="389" ht="14.25" customHeight="1">
      <c r="A389" s="39" t="s">
        <v>2104</v>
      </c>
      <c r="B389" s="39" t="s">
        <v>2103</v>
      </c>
      <c r="C389" s="39" t="s">
        <v>267</v>
      </c>
      <c r="D389" s="39" t="s">
        <v>245</v>
      </c>
      <c r="E389" s="39" t="s">
        <v>243</v>
      </c>
      <c r="F389" s="39"/>
      <c r="G389" s="39" t="s">
        <v>2103</v>
      </c>
      <c r="H389" s="39" t="s">
        <v>268</v>
      </c>
      <c r="I389" s="39" t="s">
        <v>277</v>
      </c>
      <c r="J389" s="39" t="s">
        <v>2756</v>
      </c>
    </row>
    <row r="390" ht="14.25" customHeight="1">
      <c r="A390" s="38" t="s">
        <v>2104</v>
      </c>
      <c r="B390" s="38" t="s">
        <v>2103</v>
      </c>
      <c r="C390" s="38" t="s">
        <v>243</v>
      </c>
      <c r="D390" s="38" t="s">
        <v>245</v>
      </c>
      <c r="E390" s="38" t="s">
        <v>243</v>
      </c>
      <c r="F390" s="38"/>
      <c r="G390" s="38" t="s">
        <v>2103</v>
      </c>
      <c r="H390" s="38" t="s">
        <v>242</v>
      </c>
      <c r="I390" s="38" t="s">
        <v>316</v>
      </c>
      <c r="J390" s="38" t="s">
        <v>2756</v>
      </c>
    </row>
    <row r="391" ht="14.25" customHeight="1">
      <c r="A391" s="39" t="s">
        <v>2104</v>
      </c>
      <c r="B391" s="39" t="s">
        <v>2103</v>
      </c>
      <c r="C391" s="39" t="s">
        <v>346</v>
      </c>
      <c r="D391" s="39" t="s">
        <v>245</v>
      </c>
      <c r="E391" s="39" t="s">
        <v>243</v>
      </c>
      <c r="F391" s="39"/>
      <c r="G391" s="39" t="s">
        <v>2103</v>
      </c>
      <c r="H391" s="39" t="s">
        <v>242</v>
      </c>
      <c r="I391" s="39" t="s">
        <v>356</v>
      </c>
      <c r="J391" s="39" t="s">
        <v>2756</v>
      </c>
    </row>
    <row r="392" ht="14.25" customHeight="1">
      <c r="A392" s="38" t="s">
        <v>2108</v>
      </c>
      <c r="B392" s="38" t="s">
        <v>2106</v>
      </c>
      <c r="C392" s="38" t="s">
        <v>267</v>
      </c>
      <c r="D392" s="38" t="s">
        <v>245</v>
      </c>
      <c r="E392" s="38" t="s">
        <v>243</v>
      </c>
      <c r="F392" s="38"/>
      <c r="G392" s="38" t="s">
        <v>2106</v>
      </c>
      <c r="H392" s="38" t="s">
        <v>268</v>
      </c>
      <c r="I392" s="38" t="s">
        <v>277</v>
      </c>
      <c r="J392" s="38" t="s">
        <v>2756</v>
      </c>
    </row>
    <row r="393" ht="14.25" customHeight="1">
      <c r="A393" s="39" t="s">
        <v>2108</v>
      </c>
      <c r="B393" s="39" t="s">
        <v>2106</v>
      </c>
      <c r="C393" s="39" t="s">
        <v>243</v>
      </c>
      <c r="D393" s="39" t="s">
        <v>245</v>
      </c>
      <c r="E393" s="39" t="s">
        <v>243</v>
      </c>
      <c r="F393" s="39"/>
      <c r="G393" s="39" t="s">
        <v>2106</v>
      </c>
      <c r="H393" s="39" t="s">
        <v>242</v>
      </c>
      <c r="I393" s="39" t="s">
        <v>316</v>
      </c>
      <c r="J393" s="39" t="s">
        <v>2756</v>
      </c>
    </row>
    <row r="394" ht="14.25" customHeight="1">
      <c r="A394" s="38" t="s">
        <v>2108</v>
      </c>
      <c r="B394" s="38" t="s">
        <v>2106</v>
      </c>
      <c r="C394" s="38" t="s">
        <v>346</v>
      </c>
      <c r="D394" s="38" t="s">
        <v>245</v>
      </c>
      <c r="E394" s="38" t="s">
        <v>243</v>
      </c>
      <c r="F394" s="38"/>
      <c r="G394" s="38" t="s">
        <v>2106</v>
      </c>
      <c r="H394" s="38" t="s">
        <v>242</v>
      </c>
      <c r="I394" s="38" t="s">
        <v>356</v>
      </c>
      <c r="J394" s="38" t="s">
        <v>2756</v>
      </c>
    </row>
    <row r="395" ht="14.25" customHeight="1">
      <c r="A395" s="39" t="s">
        <v>2111</v>
      </c>
      <c r="B395" s="39" t="s">
        <v>2110</v>
      </c>
      <c r="C395" s="39" t="s">
        <v>267</v>
      </c>
      <c r="D395" s="39" t="s">
        <v>245</v>
      </c>
      <c r="E395" s="39" t="s">
        <v>243</v>
      </c>
      <c r="F395" s="39"/>
      <c r="G395" s="39" t="s">
        <v>2110</v>
      </c>
      <c r="H395" s="39" t="s">
        <v>268</v>
      </c>
      <c r="I395" s="39" t="s">
        <v>277</v>
      </c>
      <c r="J395" s="39" t="s">
        <v>2756</v>
      </c>
    </row>
    <row r="396" ht="14.25" customHeight="1">
      <c r="A396" s="38" t="s">
        <v>2111</v>
      </c>
      <c r="B396" s="38" t="s">
        <v>2110</v>
      </c>
      <c r="C396" s="38" t="s">
        <v>243</v>
      </c>
      <c r="D396" s="38" t="s">
        <v>245</v>
      </c>
      <c r="E396" s="38" t="s">
        <v>243</v>
      </c>
      <c r="F396" s="38"/>
      <c r="G396" s="38" t="s">
        <v>2110</v>
      </c>
      <c r="H396" s="38" t="s">
        <v>242</v>
      </c>
      <c r="I396" s="38" t="s">
        <v>316</v>
      </c>
      <c r="J396" s="38" t="s">
        <v>2756</v>
      </c>
    </row>
    <row r="397" ht="14.25" customHeight="1">
      <c r="A397" s="39" t="s">
        <v>2111</v>
      </c>
      <c r="B397" s="39" t="s">
        <v>2110</v>
      </c>
      <c r="C397" s="39" t="s">
        <v>346</v>
      </c>
      <c r="D397" s="39" t="s">
        <v>245</v>
      </c>
      <c r="E397" s="39" t="s">
        <v>243</v>
      </c>
      <c r="F397" s="39"/>
      <c r="G397" s="39" t="s">
        <v>2110</v>
      </c>
      <c r="H397" s="39" t="s">
        <v>242</v>
      </c>
      <c r="I397" s="39" t="s">
        <v>356</v>
      </c>
      <c r="J397" s="39" t="s">
        <v>2756</v>
      </c>
    </row>
    <row r="398" ht="14.25" customHeight="1">
      <c r="A398" s="38" t="s">
        <v>2114</v>
      </c>
      <c r="B398" s="38" t="s">
        <v>2113</v>
      </c>
      <c r="C398" s="38" t="s">
        <v>267</v>
      </c>
      <c r="D398" s="38" t="s">
        <v>245</v>
      </c>
      <c r="E398" s="38" t="s">
        <v>243</v>
      </c>
      <c r="F398" s="38"/>
      <c r="G398" s="38" t="s">
        <v>2113</v>
      </c>
      <c r="H398" s="38" t="s">
        <v>268</v>
      </c>
      <c r="I398" s="38" t="s">
        <v>277</v>
      </c>
      <c r="J398" s="38" t="s">
        <v>2756</v>
      </c>
    </row>
    <row r="399" ht="14.25" customHeight="1">
      <c r="A399" s="39" t="s">
        <v>2114</v>
      </c>
      <c r="B399" s="39" t="s">
        <v>2113</v>
      </c>
      <c r="C399" s="39" t="s">
        <v>243</v>
      </c>
      <c r="D399" s="39" t="s">
        <v>245</v>
      </c>
      <c r="E399" s="39" t="s">
        <v>243</v>
      </c>
      <c r="F399" s="39"/>
      <c r="G399" s="39" t="s">
        <v>2113</v>
      </c>
      <c r="H399" s="39" t="s">
        <v>242</v>
      </c>
      <c r="I399" s="39" t="s">
        <v>316</v>
      </c>
      <c r="J399" s="39" t="s">
        <v>2756</v>
      </c>
    </row>
    <row r="400" ht="14.25" customHeight="1">
      <c r="A400" s="38" t="s">
        <v>2114</v>
      </c>
      <c r="B400" s="38" t="s">
        <v>2113</v>
      </c>
      <c r="C400" s="38" t="s">
        <v>346</v>
      </c>
      <c r="D400" s="38" t="s">
        <v>245</v>
      </c>
      <c r="E400" s="38" t="s">
        <v>243</v>
      </c>
      <c r="F400" s="38"/>
      <c r="G400" s="38" t="s">
        <v>2113</v>
      </c>
      <c r="H400" s="38" t="s">
        <v>242</v>
      </c>
      <c r="I400" s="38" t="s">
        <v>356</v>
      </c>
      <c r="J400" s="38" t="s">
        <v>2756</v>
      </c>
    </row>
    <row r="401" ht="14.25" customHeight="1">
      <c r="A401" s="39" t="s">
        <v>2117</v>
      </c>
      <c r="B401" s="39" t="s">
        <v>2116</v>
      </c>
      <c r="C401" s="39" t="s">
        <v>267</v>
      </c>
      <c r="D401" s="39" t="s">
        <v>245</v>
      </c>
      <c r="E401" s="39" t="s">
        <v>243</v>
      </c>
      <c r="F401" s="39"/>
      <c r="G401" s="39" t="s">
        <v>2116</v>
      </c>
      <c r="H401" s="39" t="s">
        <v>268</v>
      </c>
      <c r="I401" s="39" t="s">
        <v>277</v>
      </c>
      <c r="J401" s="39" t="s">
        <v>2756</v>
      </c>
    </row>
    <row r="402" ht="14.25" customHeight="1">
      <c r="A402" s="38" t="s">
        <v>2117</v>
      </c>
      <c r="B402" s="38" t="s">
        <v>2116</v>
      </c>
      <c r="C402" s="38" t="s">
        <v>243</v>
      </c>
      <c r="D402" s="38" t="s">
        <v>245</v>
      </c>
      <c r="E402" s="38" t="s">
        <v>243</v>
      </c>
      <c r="F402" s="38"/>
      <c r="G402" s="38" t="s">
        <v>2116</v>
      </c>
      <c r="H402" s="38" t="s">
        <v>242</v>
      </c>
      <c r="I402" s="38" t="s">
        <v>316</v>
      </c>
      <c r="J402" s="38" t="s">
        <v>2756</v>
      </c>
    </row>
    <row r="403" ht="14.25" customHeight="1">
      <c r="A403" s="39" t="s">
        <v>2117</v>
      </c>
      <c r="B403" s="39" t="s">
        <v>2116</v>
      </c>
      <c r="C403" s="39" t="s">
        <v>346</v>
      </c>
      <c r="D403" s="39" t="s">
        <v>245</v>
      </c>
      <c r="E403" s="39" t="s">
        <v>243</v>
      </c>
      <c r="F403" s="39"/>
      <c r="G403" s="39" t="s">
        <v>2116</v>
      </c>
      <c r="H403" s="39" t="s">
        <v>242</v>
      </c>
      <c r="I403" s="39" t="s">
        <v>356</v>
      </c>
      <c r="J403" s="39" t="s">
        <v>2756</v>
      </c>
    </row>
    <row r="404" ht="14.25" customHeight="1">
      <c r="A404" s="38" t="s">
        <v>2121</v>
      </c>
      <c r="B404" s="38" t="s">
        <v>2119</v>
      </c>
      <c r="C404" s="38" t="s">
        <v>267</v>
      </c>
      <c r="D404" s="38" t="s">
        <v>245</v>
      </c>
      <c r="E404" s="38" t="s">
        <v>243</v>
      </c>
      <c r="F404" s="38"/>
      <c r="G404" s="38" t="s">
        <v>2119</v>
      </c>
      <c r="H404" s="38" t="s">
        <v>268</v>
      </c>
      <c r="I404" s="38" t="s">
        <v>277</v>
      </c>
      <c r="J404" s="38" t="s">
        <v>2756</v>
      </c>
    </row>
    <row r="405" ht="14.25" customHeight="1">
      <c r="A405" s="39" t="s">
        <v>2121</v>
      </c>
      <c r="B405" s="39" t="s">
        <v>2119</v>
      </c>
      <c r="C405" s="39" t="s">
        <v>243</v>
      </c>
      <c r="D405" s="39" t="s">
        <v>245</v>
      </c>
      <c r="E405" s="39" t="s">
        <v>243</v>
      </c>
      <c r="F405" s="39"/>
      <c r="G405" s="39" t="s">
        <v>2119</v>
      </c>
      <c r="H405" s="39" t="s">
        <v>242</v>
      </c>
      <c r="I405" s="39" t="s">
        <v>316</v>
      </c>
      <c r="J405" s="39" t="s">
        <v>2756</v>
      </c>
    </row>
    <row r="406" ht="14.25" customHeight="1">
      <c r="A406" s="38" t="s">
        <v>2121</v>
      </c>
      <c r="B406" s="38" t="s">
        <v>2119</v>
      </c>
      <c r="C406" s="38" t="s">
        <v>346</v>
      </c>
      <c r="D406" s="38" t="s">
        <v>245</v>
      </c>
      <c r="E406" s="38" t="s">
        <v>243</v>
      </c>
      <c r="F406" s="38"/>
      <c r="G406" s="38" t="s">
        <v>2119</v>
      </c>
      <c r="H406" s="38" t="s">
        <v>242</v>
      </c>
      <c r="I406" s="38" t="s">
        <v>356</v>
      </c>
      <c r="J406" s="38" t="s">
        <v>2756</v>
      </c>
    </row>
    <row r="407" ht="14.25" customHeight="1">
      <c r="A407" s="39" t="s">
        <v>2124</v>
      </c>
      <c r="B407" s="39" t="s">
        <v>2123</v>
      </c>
      <c r="C407" s="39" t="s">
        <v>267</v>
      </c>
      <c r="D407" s="39" t="s">
        <v>245</v>
      </c>
      <c r="E407" s="39" t="s">
        <v>243</v>
      </c>
      <c r="F407" s="39"/>
      <c r="G407" s="39" t="s">
        <v>2123</v>
      </c>
      <c r="H407" s="39" t="s">
        <v>268</v>
      </c>
      <c r="I407" s="39" t="s">
        <v>277</v>
      </c>
      <c r="J407" s="39" t="s">
        <v>2756</v>
      </c>
    </row>
    <row r="408" ht="14.25" customHeight="1">
      <c r="A408" s="38" t="s">
        <v>2124</v>
      </c>
      <c r="B408" s="38" t="s">
        <v>2123</v>
      </c>
      <c r="C408" s="38" t="s">
        <v>243</v>
      </c>
      <c r="D408" s="38" t="s">
        <v>245</v>
      </c>
      <c r="E408" s="38" t="s">
        <v>243</v>
      </c>
      <c r="F408" s="38"/>
      <c r="G408" s="38" t="s">
        <v>2123</v>
      </c>
      <c r="H408" s="38" t="s">
        <v>242</v>
      </c>
      <c r="I408" s="38" t="s">
        <v>316</v>
      </c>
      <c r="J408" s="38" t="s">
        <v>2756</v>
      </c>
    </row>
    <row r="409" ht="14.25" customHeight="1">
      <c r="A409" s="39" t="s">
        <v>2124</v>
      </c>
      <c r="B409" s="39" t="s">
        <v>2123</v>
      </c>
      <c r="C409" s="39" t="s">
        <v>346</v>
      </c>
      <c r="D409" s="39" t="s">
        <v>245</v>
      </c>
      <c r="E409" s="39" t="s">
        <v>243</v>
      </c>
      <c r="F409" s="39"/>
      <c r="G409" s="39" t="s">
        <v>2123</v>
      </c>
      <c r="H409" s="39" t="s">
        <v>242</v>
      </c>
      <c r="I409" s="39" t="s">
        <v>356</v>
      </c>
      <c r="J409" s="39" t="s">
        <v>2756</v>
      </c>
    </row>
    <row r="410" ht="14.25" customHeight="1">
      <c r="A410" s="38" t="s">
        <v>2128</v>
      </c>
      <c r="B410" s="38" t="s">
        <v>2126</v>
      </c>
      <c r="C410" s="38" t="s">
        <v>267</v>
      </c>
      <c r="D410" s="38" t="s">
        <v>245</v>
      </c>
      <c r="E410" s="38" t="s">
        <v>243</v>
      </c>
      <c r="F410" s="38"/>
      <c r="G410" s="38" t="s">
        <v>2126</v>
      </c>
      <c r="H410" s="38" t="s">
        <v>268</v>
      </c>
      <c r="I410" s="38" t="s">
        <v>277</v>
      </c>
      <c r="J410" s="38" t="s">
        <v>2756</v>
      </c>
    </row>
    <row r="411" ht="14.25" customHeight="1">
      <c r="A411" s="39" t="s">
        <v>2128</v>
      </c>
      <c r="B411" s="39" t="s">
        <v>2126</v>
      </c>
      <c r="C411" s="39" t="s">
        <v>243</v>
      </c>
      <c r="D411" s="39" t="s">
        <v>245</v>
      </c>
      <c r="E411" s="39" t="s">
        <v>243</v>
      </c>
      <c r="F411" s="39"/>
      <c r="G411" s="39" t="s">
        <v>2126</v>
      </c>
      <c r="H411" s="39" t="s">
        <v>242</v>
      </c>
      <c r="I411" s="39" t="s">
        <v>316</v>
      </c>
      <c r="J411" s="39" t="s">
        <v>2756</v>
      </c>
    </row>
    <row r="412" ht="14.25" customHeight="1">
      <c r="A412" s="38" t="s">
        <v>2128</v>
      </c>
      <c r="B412" s="38" t="s">
        <v>2126</v>
      </c>
      <c r="C412" s="38" t="s">
        <v>346</v>
      </c>
      <c r="D412" s="38" t="s">
        <v>245</v>
      </c>
      <c r="E412" s="38" t="s">
        <v>243</v>
      </c>
      <c r="F412" s="38"/>
      <c r="G412" s="38" t="s">
        <v>2126</v>
      </c>
      <c r="H412" s="38" t="s">
        <v>242</v>
      </c>
      <c r="I412" s="38" t="s">
        <v>356</v>
      </c>
      <c r="J412" s="38" t="s">
        <v>2756</v>
      </c>
    </row>
    <row r="413" ht="14.25" customHeight="1">
      <c r="A413" s="39" t="s">
        <v>2132</v>
      </c>
      <c r="B413" s="39" t="s">
        <v>2130</v>
      </c>
      <c r="C413" s="39" t="s">
        <v>267</v>
      </c>
      <c r="D413" s="39" t="s">
        <v>245</v>
      </c>
      <c r="E413" s="39" t="s">
        <v>243</v>
      </c>
      <c r="F413" s="39"/>
      <c r="G413" s="39" t="s">
        <v>2130</v>
      </c>
      <c r="H413" s="39" t="s">
        <v>268</v>
      </c>
      <c r="I413" s="39" t="s">
        <v>277</v>
      </c>
      <c r="J413" s="39" t="s">
        <v>2756</v>
      </c>
    </row>
    <row r="414" ht="14.25" customHeight="1">
      <c r="A414" s="38" t="s">
        <v>2132</v>
      </c>
      <c r="B414" s="38" t="s">
        <v>2130</v>
      </c>
      <c r="C414" s="38" t="s">
        <v>243</v>
      </c>
      <c r="D414" s="38" t="s">
        <v>245</v>
      </c>
      <c r="E414" s="38" t="s">
        <v>243</v>
      </c>
      <c r="F414" s="38"/>
      <c r="G414" s="38" t="s">
        <v>2130</v>
      </c>
      <c r="H414" s="38" t="s">
        <v>242</v>
      </c>
      <c r="I414" s="38" t="s">
        <v>316</v>
      </c>
      <c r="J414" s="38" t="s">
        <v>2756</v>
      </c>
    </row>
    <row r="415" ht="14.25" customHeight="1">
      <c r="A415" s="39" t="s">
        <v>2132</v>
      </c>
      <c r="B415" s="39" t="s">
        <v>2130</v>
      </c>
      <c r="C415" s="39" t="s">
        <v>346</v>
      </c>
      <c r="D415" s="39" t="s">
        <v>245</v>
      </c>
      <c r="E415" s="39" t="s">
        <v>243</v>
      </c>
      <c r="F415" s="39"/>
      <c r="G415" s="39" t="s">
        <v>2130</v>
      </c>
      <c r="H415" s="39" t="s">
        <v>242</v>
      </c>
      <c r="I415" s="39" t="s">
        <v>356</v>
      </c>
      <c r="J415" s="39" t="s">
        <v>2756</v>
      </c>
    </row>
    <row r="416" ht="14.25" customHeight="1">
      <c r="A416" s="38" t="s">
        <v>2136</v>
      </c>
      <c r="B416" s="38" t="s">
        <v>2134</v>
      </c>
      <c r="C416" s="38" t="s">
        <v>267</v>
      </c>
      <c r="D416" s="38" t="s">
        <v>245</v>
      </c>
      <c r="E416" s="38" t="s">
        <v>243</v>
      </c>
      <c r="F416" s="38"/>
      <c r="G416" s="38" t="s">
        <v>2134</v>
      </c>
      <c r="H416" s="38" t="s">
        <v>268</v>
      </c>
      <c r="I416" s="38" t="s">
        <v>277</v>
      </c>
      <c r="J416" s="38" t="s">
        <v>2756</v>
      </c>
    </row>
    <row r="417" ht="14.25" customHeight="1">
      <c r="A417" s="39" t="s">
        <v>2136</v>
      </c>
      <c r="B417" s="39" t="s">
        <v>2134</v>
      </c>
      <c r="C417" s="39" t="s">
        <v>243</v>
      </c>
      <c r="D417" s="39" t="s">
        <v>245</v>
      </c>
      <c r="E417" s="39" t="s">
        <v>243</v>
      </c>
      <c r="F417" s="39"/>
      <c r="G417" s="39" t="s">
        <v>2134</v>
      </c>
      <c r="H417" s="39" t="s">
        <v>242</v>
      </c>
      <c r="I417" s="39" t="s">
        <v>316</v>
      </c>
      <c r="J417" s="39" t="s">
        <v>2756</v>
      </c>
    </row>
    <row r="418" ht="14.25" customHeight="1">
      <c r="A418" s="38" t="s">
        <v>2136</v>
      </c>
      <c r="B418" s="38" t="s">
        <v>2134</v>
      </c>
      <c r="C418" s="38" t="s">
        <v>346</v>
      </c>
      <c r="D418" s="38" t="s">
        <v>245</v>
      </c>
      <c r="E418" s="38" t="s">
        <v>243</v>
      </c>
      <c r="F418" s="38"/>
      <c r="G418" s="38" t="s">
        <v>2134</v>
      </c>
      <c r="H418" s="38" t="s">
        <v>242</v>
      </c>
      <c r="I418" s="38" t="s">
        <v>356</v>
      </c>
      <c r="J418" s="38" t="s">
        <v>2756</v>
      </c>
    </row>
    <row r="419" ht="14.25" customHeight="1">
      <c r="A419" s="39" t="s">
        <v>2139</v>
      </c>
      <c r="B419" s="39" t="s">
        <v>2138</v>
      </c>
      <c r="C419" s="39" t="s">
        <v>267</v>
      </c>
      <c r="D419" s="39" t="s">
        <v>245</v>
      </c>
      <c r="E419" s="39" t="s">
        <v>243</v>
      </c>
      <c r="F419" s="39"/>
      <c r="G419" s="39" t="s">
        <v>2138</v>
      </c>
      <c r="H419" s="39" t="s">
        <v>268</v>
      </c>
      <c r="I419" s="39" t="s">
        <v>277</v>
      </c>
      <c r="J419" s="39" t="s">
        <v>2756</v>
      </c>
    </row>
    <row r="420" ht="14.25" customHeight="1">
      <c r="A420" s="38" t="s">
        <v>2139</v>
      </c>
      <c r="B420" s="38" t="s">
        <v>2138</v>
      </c>
      <c r="C420" s="38" t="s">
        <v>243</v>
      </c>
      <c r="D420" s="38" t="s">
        <v>245</v>
      </c>
      <c r="E420" s="38" t="s">
        <v>243</v>
      </c>
      <c r="F420" s="38"/>
      <c r="G420" s="38" t="s">
        <v>2138</v>
      </c>
      <c r="H420" s="38" t="s">
        <v>242</v>
      </c>
      <c r="I420" s="38" t="s">
        <v>316</v>
      </c>
      <c r="J420" s="38" t="s">
        <v>2756</v>
      </c>
    </row>
    <row r="421" ht="14.25" customHeight="1">
      <c r="A421" s="39" t="s">
        <v>2139</v>
      </c>
      <c r="B421" s="39" t="s">
        <v>2138</v>
      </c>
      <c r="C421" s="39" t="s">
        <v>346</v>
      </c>
      <c r="D421" s="39" t="s">
        <v>245</v>
      </c>
      <c r="E421" s="39" t="s">
        <v>243</v>
      </c>
      <c r="F421" s="39"/>
      <c r="G421" s="39" t="s">
        <v>2138</v>
      </c>
      <c r="H421" s="39" t="s">
        <v>242</v>
      </c>
      <c r="I421" s="39" t="s">
        <v>356</v>
      </c>
      <c r="J421" s="39" t="s">
        <v>2756</v>
      </c>
    </row>
    <row r="422" ht="14.25" customHeight="1">
      <c r="A422" s="38" t="s">
        <v>2142</v>
      </c>
      <c r="B422" s="38" t="s">
        <v>2141</v>
      </c>
      <c r="C422" s="38" t="s">
        <v>267</v>
      </c>
      <c r="D422" s="38" t="s">
        <v>245</v>
      </c>
      <c r="E422" s="38" t="s">
        <v>243</v>
      </c>
      <c r="F422" s="38"/>
      <c r="G422" s="38" t="s">
        <v>2141</v>
      </c>
      <c r="H422" s="38" t="s">
        <v>268</v>
      </c>
      <c r="I422" s="38" t="s">
        <v>277</v>
      </c>
      <c r="J422" s="38" t="s">
        <v>2756</v>
      </c>
    </row>
    <row r="423" ht="14.25" customHeight="1">
      <c r="A423" s="39" t="s">
        <v>2142</v>
      </c>
      <c r="B423" s="39" t="s">
        <v>2141</v>
      </c>
      <c r="C423" s="39" t="s">
        <v>243</v>
      </c>
      <c r="D423" s="39" t="s">
        <v>245</v>
      </c>
      <c r="E423" s="39" t="s">
        <v>243</v>
      </c>
      <c r="F423" s="39"/>
      <c r="G423" s="39" t="s">
        <v>2141</v>
      </c>
      <c r="H423" s="39" t="s">
        <v>242</v>
      </c>
      <c r="I423" s="39" t="s">
        <v>316</v>
      </c>
      <c r="J423" s="39" t="s">
        <v>2756</v>
      </c>
    </row>
    <row r="424" ht="14.25" customHeight="1">
      <c r="A424" s="38" t="s">
        <v>2142</v>
      </c>
      <c r="B424" s="38" t="s">
        <v>2141</v>
      </c>
      <c r="C424" s="38" t="s">
        <v>346</v>
      </c>
      <c r="D424" s="38" t="s">
        <v>245</v>
      </c>
      <c r="E424" s="38" t="s">
        <v>243</v>
      </c>
      <c r="F424" s="38"/>
      <c r="G424" s="38" t="s">
        <v>2141</v>
      </c>
      <c r="H424" s="38" t="s">
        <v>242</v>
      </c>
      <c r="I424" s="38" t="s">
        <v>356</v>
      </c>
      <c r="J424" s="38" t="s">
        <v>2756</v>
      </c>
    </row>
    <row r="425" ht="14.25" customHeight="1">
      <c r="A425" s="39" t="s">
        <v>2146</v>
      </c>
      <c r="B425" s="39" t="s">
        <v>2144</v>
      </c>
      <c r="C425" s="39" t="s">
        <v>267</v>
      </c>
      <c r="D425" s="39" t="s">
        <v>245</v>
      </c>
      <c r="E425" s="39" t="s">
        <v>243</v>
      </c>
      <c r="F425" s="39"/>
      <c r="G425" s="39" t="s">
        <v>2144</v>
      </c>
      <c r="H425" s="39" t="s">
        <v>268</v>
      </c>
      <c r="I425" s="39" t="s">
        <v>277</v>
      </c>
      <c r="J425" s="39" t="s">
        <v>2756</v>
      </c>
    </row>
    <row r="426" ht="14.25" customHeight="1">
      <c r="A426" s="38" t="s">
        <v>2146</v>
      </c>
      <c r="B426" s="38" t="s">
        <v>2144</v>
      </c>
      <c r="C426" s="38" t="s">
        <v>243</v>
      </c>
      <c r="D426" s="38" t="s">
        <v>245</v>
      </c>
      <c r="E426" s="38" t="s">
        <v>243</v>
      </c>
      <c r="F426" s="38"/>
      <c r="G426" s="38" t="s">
        <v>2144</v>
      </c>
      <c r="H426" s="38" t="s">
        <v>242</v>
      </c>
      <c r="I426" s="38" t="s">
        <v>316</v>
      </c>
      <c r="J426" s="38" t="s">
        <v>2756</v>
      </c>
    </row>
    <row r="427" ht="14.25" customHeight="1">
      <c r="A427" s="39" t="s">
        <v>2146</v>
      </c>
      <c r="B427" s="39" t="s">
        <v>2144</v>
      </c>
      <c r="C427" s="39" t="s">
        <v>346</v>
      </c>
      <c r="D427" s="39" t="s">
        <v>245</v>
      </c>
      <c r="E427" s="39" t="s">
        <v>243</v>
      </c>
      <c r="F427" s="39"/>
      <c r="G427" s="39" t="s">
        <v>2144</v>
      </c>
      <c r="H427" s="39" t="s">
        <v>242</v>
      </c>
      <c r="I427" s="39" t="s">
        <v>356</v>
      </c>
      <c r="J427" s="39" t="s">
        <v>2756</v>
      </c>
    </row>
    <row r="428" ht="14.25" customHeight="1">
      <c r="A428" s="38" t="s">
        <v>2149</v>
      </c>
      <c r="B428" s="38" t="s">
        <v>2148</v>
      </c>
      <c r="C428" s="38" t="s">
        <v>267</v>
      </c>
      <c r="D428" s="38" t="s">
        <v>245</v>
      </c>
      <c r="E428" s="38" t="s">
        <v>243</v>
      </c>
      <c r="F428" s="38"/>
      <c r="G428" s="38" t="s">
        <v>2148</v>
      </c>
      <c r="H428" s="38" t="s">
        <v>268</v>
      </c>
      <c r="I428" s="38" t="s">
        <v>277</v>
      </c>
      <c r="J428" s="38" t="s">
        <v>2756</v>
      </c>
    </row>
    <row r="429" ht="14.25" customHeight="1">
      <c r="A429" s="39" t="s">
        <v>2149</v>
      </c>
      <c r="B429" s="39" t="s">
        <v>2148</v>
      </c>
      <c r="C429" s="39" t="s">
        <v>243</v>
      </c>
      <c r="D429" s="39" t="s">
        <v>245</v>
      </c>
      <c r="E429" s="39" t="s">
        <v>243</v>
      </c>
      <c r="F429" s="39"/>
      <c r="G429" s="39" t="s">
        <v>2148</v>
      </c>
      <c r="H429" s="39" t="s">
        <v>242</v>
      </c>
      <c r="I429" s="39" t="s">
        <v>316</v>
      </c>
      <c r="J429" s="39" t="s">
        <v>2756</v>
      </c>
    </row>
    <row r="430" ht="14.25" customHeight="1">
      <c r="A430" s="38" t="s">
        <v>2149</v>
      </c>
      <c r="B430" s="38" t="s">
        <v>2148</v>
      </c>
      <c r="C430" s="38" t="s">
        <v>346</v>
      </c>
      <c r="D430" s="38" t="s">
        <v>245</v>
      </c>
      <c r="E430" s="38" t="s">
        <v>243</v>
      </c>
      <c r="F430" s="38"/>
      <c r="G430" s="38" t="s">
        <v>2148</v>
      </c>
      <c r="H430" s="38" t="s">
        <v>242</v>
      </c>
      <c r="I430" s="38" t="s">
        <v>356</v>
      </c>
      <c r="J430" s="38" t="s">
        <v>2756</v>
      </c>
    </row>
    <row r="431" ht="14.25" customHeight="1">
      <c r="A431" s="39" t="s">
        <v>2152</v>
      </c>
      <c r="B431" s="39" t="s">
        <v>2151</v>
      </c>
      <c r="C431" s="39" t="s">
        <v>267</v>
      </c>
      <c r="D431" s="39" t="s">
        <v>245</v>
      </c>
      <c r="E431" s="39" t="s">
        <v>243</v>
      </c>
      <c r="F431" s="39"/>
      <c r="G431" s="39" t="s">
        <v>2151</v>
      </c>
      <c r="H431" s="39" t="s">
        <v>268</v>
      </c>
      <c r="I431" s="39" t="s">
        <v>277</v>
      </c>
      <c r="J431" s="39" t="s">
        <v>2756</v>
      </c>
    </row>
    <row r="432" ht="14.25" customHeight="1">
      <c r="A432" s="38" t="s">
        <v>2152</v>
      </c>
      <c r="B432" s="38" t="s">
        <v>2151</v>
      </c>
      <c r="C432" s="38" t="s">
        <v>243</v>
      </c>
      <c r="D432" s="38" t="s">
        <v>245</v>
      </c>
      <c r="E432" s="38" t="s">
        <v>243</v>
      </c>
      <c r="F432" s="38"/>
      <c r="G432" s="38" t="s">
        <v>2151</v>
      </c>
      <c r="H432" s="38" t="s">
        <v>242</v>
      </c>
      <c r="I432" s="38" t="s">
        <v>316</v>
      </c>
      <c r="J432" s="38" t="s">
        <v>2756</v>
      </c>
    </row>
    <row r="433" ht="14.25" customHeight="1">
      <c r="A433" s="39" t="s">
        <v>2152</v>
      </c>
      <c r="B433" s="39" t="s">
        <v>2151</v>
      </c>
      <c r="C433" s="39" t="s">
        <v>346</v>
      </c>
      <c r="D433" s="39" t="s">
        <v>245</v>
      </c>
      <c r="E433" s="39" t="s">
        <v>243</v>
      </c>
      <c r="F433" s="39"/>
      <c r="G433" s="39" t="s">
        <v>2151</v>
      </c>
      <c r="H433" s="39" t="s">
        <v>242</v>
      </c>
      <c r="I433" s="39" t="s">
        <v>356</v>
      </c>
      <c r="J433" s="39" t="s">
        <v>2756</v>
      </c>
    </row>
    <row r="434" ht="14.25" customHeight="1">
      <c r="A434" s="38" t="s">
        <v>2156</v>
      </c>
      <c r="B434" s="38" t="s">
        <v>2154</v>
      </c>
      <c r="C434" s="38" t="s">
        <v>267</v>
      </c>
      <c r="D434" s="38" t="s">
        <v>245</v>
      </c>
      <c r="E434" s="38" t="s">
        <v>243</v>
      </c>
      <c r="F434" s="38"/>
      <c r="G434" s="38" t="s">
        <v>2154</v>
      </c>
      <c r="H434" s="38" t="s">
        <v>268</v>
      </c>
      <c r="I434" s="38" t="s">
        <v>277</v>
      </c>
      <c r="J434" s="38" t="s">
        <v>2756</v>
      </c>
    </row>
    <row r="435" ht="14.25" customHeight="1">
      <c r="A435" s="39" t="s">
        <v>2156</v>
      </c>
      <c r="B435" s="39" t="s">
        <v>2154</v>
      </c>
      <c r="C435" s="39" t="s">
        <v>243</v>
      </c>
      <c r="D435" s="39" t="s">
        <v>245</v>
      </c>
      <c r="E435" s="39" t="s">
        <v>243</v>
      </c>
      <c r="F435" s="39"/>
      <c r="G435" s="39" t="s">
        <v>2154</v>
      </c>
      <c r="H435" s="39" t="s">
        <v>242</v>
      </c>
      <c r="I435" s="39" t="s">
        <v>316</v>
      </c>
      <c r="J435" s="39" t="s">
        <v>2756</v>
      </c>
    </row>
    <row r="436" ht="14.25" customHeight="1">
      <c r="A436" s="38" t="s">
        <v>2156</v>
      </c>
      <c r="B436" s="38" t="s">
        <v>2154</v>
      </c>
      <c r="C436" s="38" t="s">
        <v>346</v>
      </c>
      <c r="D436" s="38" t="s">
        <v>245</v>
      </c>
      <c r="E436" s="38" t="s">
        <v>243</v>
      </c>
      <c r="F436" s="38"/>
      <c r="G436" s="38" t="s">
        <v>2154</v>
      </c>
      <c r="H436" s="38" t="s">
        <v>242</v>
      </c>
      <c r="I436" s="38" t="s">
        <v>356</v>
      </c>
      <c r="J436" s="38" t="s">
        <v>2756</v>
      </c>
    </row>
    <row r="437" ht="14.25" customHeight="1">
      <c r="A437" s="39" t="s">
        <v>2160</v>
      </c>
      <c r="B437" s="39" t="s">
        <v>2158</v>
      </c>
      <c r="C437" s="39" t="s">
        <v>267</v>
      </c>
      <c r="D437" s="39" t="s">
        <v>245</v>
      </c>
      <c r="E437" s="39" t="s">
        <v>243</v>
      </c>
      <c r="F437" s="39"/>
      <c r="G437" s="39" t="s">
        <v>2158</v>
      </c>
      <c r="H437" s="39" t="s">
        <v>268</v>
      </c>
      <c r="I437" s="39" t="s">
        <v>277</v>
      </c>
      <c r="J437" s="39" t="s">
        <v>2756</v>
      </c>
    </row>
    <row r="438" ht="14.25" customHeight="1">
      <c r="A438" s="38" t="s">
        <v>2160</v>
      </c>
      <c r="B438" s="38" t="s">
        <v>2158</v>
      </c>
      <c r="C438" s="38" t="s">
        <v>243</v>
      </c>
      <c r="D438" s="38" t="s">
        <v>245</v>
      </c>
      <c r="E438" s="38" t="s">
        <v>243</v>
      </c>
      <c r="F438" s="38"/>
      <c r="G438" s="38" t="s">
        <v>2158</v>
      </c>
      <c r="H438" s="38" t="s">
        <v>242</v>
      </c>
      <c r="I438" s="38" t="s">
        <v>316</v>
      </c>
      <c r="J438" s="38" t="s">
        <v>2756</v>
      </c>
    </row>
    <row r="439" ht="14.25" customHeight="1">
      <c r="A439" s="39" t="s">
        <v>2160</v>
      </c>
      <c r="B439" s="39" t="s">
        <v>2158</v>
      </c>
      <c r="C439" s="39" t="s">
        <v>346</v>
      </c>
      <c r="D439" s="39" t="s">
        <v>245</v>
      </c>
      <c r="E439" s="39" t="s">
        <v>243</v>
      </c>
      <c r="F439" s="39"/>
      <c r="G439" s="39" t="s">
        <v>2158</v>
      </c>
      <c r="H439" s="39" t="s">
        <v>242</v>
      </c>
      <c r="I439" s="39" t="s">
        <v>356</v>
      </c>
      <c r="J439" s="39" t="s">
        <v>2756</v>
      </c>
    </row>
    <row r="440" ht="14.25" customHeight="1">
      <c r="A440" s="38" t="s">
        <v>2164</v>
      </c>
      <c r="B440" s="38" t="s">
        <v>2162</v>
      </c>
      <c r="C440" s="38" t="s">
        <v>267</v>
      </c>
      <c r="D440" s="38" t="s">
        <v>245</v>
      </c>
      <c r="E440" s="38" t="s">
        <v>243</v>
      </c>
      <c r="F440" s="38"/>
      <c r="G440" s="38" t="s">
        <v>2162</v>
      </c>
      <c r="H440" s="38" t="s">
        <v>268</v>
      </c>
      <c r="I440" s="38" t="s">
        <v>277</v>
      </c>
      <c r="J440" s="38" t="s">
        <v>2756</v>
      </c>
    </row>
    <row r="441" ht="14.25" customHeight="1">
      <c r="A441" s="39" t="s">
        <v>2164</v>
      </c>
      <c r="B441" s="39" t="s">
        <v>2162</v>
      </c>
      <c r="C441" s="39" t="s">
        <v>243</v>
      </c>
      <c r="D441" s="39" t="s">
        <v>245</v>
      </c>
      <c r="E441" s="39" t="s">
        <v>243</v>
      </c>
      <c r="F441" s="39"/>
      <c r="G441" s="39" t="s">
        <v>2162</v>
      </c>
      <c r="H441" s="39" t="s">
        <v>242</v>
      </c>
      <c r="I441" s="39" t="s">
        <v>316</v>
      </c>
      <c r="J441" s="39" t="s">
        <v>2756</v>
      </c>
    </row>
    <row r="442" ht="14.25" customHeight="1">
      <c r="A442" s="38" t="s">
        <v>2164</v>
      </c>
      <c r="B442" s="38" t="s">
        <v>2162</v>
      </c>
      <c r="C442" s="38" t="s">
        <v>346</v>
      </c>
      <c r="D442" s="38" t="s">
        <v>245</v>
      </c>
      <c r="E442" s="38" t="s">
        <v>243</v>
      </c>
      <c r="F442" s="38"/>
      <c r="G442" s="38" t="s">
        <v>2162</v>
      </c>
      <c r="H442" s="38" t="s">
        <v>242</v>
      </c>
      <c r="I442" s="38" t="s">
        <v>356</v>
      </c>
      <c r="J442" s="38" t="s">
        <v>2756</v>
      </c>
    </row>
    <row r="443" ht="14.25" customHeight="1">
      <c r="A443" s="39" t="s">
        <v>2168</v>
      </c>
      <c r="B443" s="39" t="s">
        <v>2166</v>
      </c>
      <c r="C443" s="39" t="s">
        <v>267</v>
      </c>
      <c r="D443" s="39" t="s">
        <v>245</v>
      </c>
      <c r="E443" s="39" t="s">
        <v>243</v>
      </c>
      <c r="F443" s="39"/>
      <c r="G443" s="39" t="s">
        <v>2166</v>
      </c>
      <c r="H443" s="39" t="s">
        <v>268</v>
      </c>
      <c r="I443" s="39" t="s">
        <v>277</v>
      </c>
      <c r="J443" s="39" t="s">
        <v>2756</v>
      </c>
    </row>
    <row r="444" ht="14.25" customHeight="1">
      <c r="A444" s="38" t="s">
        <v>2168</v>
      </c>
      <c r="B444" s="38" t="s">
        <v>2166</v>
      </c>
      <c r="C444" s="38" t="s">
        <v>243</v>
      </c>
      <c r="D444" s="38" t="s">
        <v>245</v>
      </c>
      <c r="E444" s="38" t="s">
        <v>243</v>
      </c>
      <c r="F444" s="38"/>
      <c r="G444" s="38" t="s">
        <v>2166</v>
      </c>
      <c r="H444" s="38" t="s">
        <v>242</v>
      </c>
      <c r="I444" s="38" t="s">
        <v>316</v>
      </c>
      <c r="J444" s="38" t="s">
        <v>2756</v>
      </c>
    </row>
    <row r="445" ht="14.25" customHeight="1">
      <c r="A445" s="39" t="s">
        <v>2168</v>
      </c>
      <c r="B445" s="39" t="s">
        <v>2166</v>
      </c>
      <c r="C445" s="39" t="s">
        <v>346</v>
      </c>
      <c r="D445" s="39" t="s">
        <v>245</v>
      </c>
      <c r="E445" s="39" t="s">
        <v>243</v>
      </c>
      <c r="F445" s="39"/>
      <c r="G445" s="39" t="s">
        <v>2166</v>
      </c>
      <c r="H445" s="39" t="s">
        <v>242</v>
      </c>
      <c r="I445" s="39" t="s">
        <v>356</v>
      </c>
      <c r="J445" s="39" t="s">
        <v>2756</v>
      </c>
    </row>
    <row r="446" ht="14.25" customHeight="1">
      <c r="A446" s="38" t="s">
        <v>2171</v>
      </c>
      <c r="B446" s="38" t="s">
        <v>2170</v>
      </c>
      <c r="C446" s="38" t="s">
        <v>267</v>
      </c>
      <c r="D446" s="38" t="s">
        <v>245</v>
      </c>
      <c r="E446" s="38" t="s">
        <v>243</v>
      </c>
      <c r="F446" s="38"/>
      <c r="G446" s="38" t="s">
        <v>2170</v>
      </c>
      <c r="H446" s="38" t="s">
        <v>268</v>
      </c>
      <c r="I446" s="38" t="s">
        <v>277</v>
      </c>
      <c r="J446" s="38" t="s">
        <v>2756</v>
      </c>
    </row>
    <row r="447" ht="14.25" customHeight="1">
      <c r="A447" s="39" t="s">
        <v>2171</v>
      </c>
      <c r="B447" s="39" t="s">
        <v>2170</v>
      </c>
      <c r="C447" s="39" t="s">
        <v>243</v>
      </c>
      <c r="D447" s="39" t="s">
        <v>245</v>
      </c>
      <c r="E447" s="39" t="s">
        <v>243</v>
      </c>
      <c r="F447" s="39"/>
      <c r="G447" s="39" t="s">
        <v>2170</v>
      </c>
      <c r="H447" s="39" t="s">
        <v>242</v>
      </c>
      <c r="I447" s="39" t="s">
        <v>316</v>
      </c>
      <c r="J447" s="39" t="s">
        <v>2756</v>
      </c>
    </row>
    <row r="448" ht="14.25" customHeight="1">
      <c r="A448" s="38" t="s">
        <v>2171</v>
      </c>
      <c r="B448" s="38" t="s">
        <v>2170</v>
      </c>
      <c r="C448" s="38" t="s">
        <v>346</v>
      </c>
      <c r="D448" s="38" t="s">
        <v>245</v>
      </c>
      <c r="E448" s="38" t="s">
        <v>243</v>
      </c>
      <c r="F448" s="38"/>
      <c r="G448" s="38" t="s">
        <v>2170</v>
      </c>
      <c r="H448" s="38" t="s">
        <v>242</v>
      </c>
      <c r="I448" s="38" t="s">
        <v>356</v>
      </c>
      <c r="J448" s="38" t="s">
        <v>2756</v>
      </c>
    </row>
    <row r="449" ht="14.25" customHeight="1">
      <c r="A449" s="39" t="s">
        <v>2175</v>
      </c>
      <c r="B449" s="39" t="s">
        <v>2173</v>
      </c>
      <c r="C449" s="39" t="s">
        <v>267</v>
      </c>
      <c r="D449" s="39" t="s">
        <v>245</v>
      </c>
      <c r="E449" s="39" t="s">
        <v>243</v>
      </c>
      <c r="F449" s="39"/>
      <c r="G449" s="39" t="s">
        <v>2173</v>
      </c>
      <c r="H449" s="39" t="s">
        <v>268</v>
      </c>
      <c r="I449" s="39" t="s">
        <v>277</v>
      </c>
      <c r="J449" s="39" t="s">
        <v>2756</v>
      </c>
    </row>
    <row r="450" ht="14.25" customHeight="1">
      <c r="A450" s="38" t="s">
        <v>2175</v>
      </c>
      <c r="B450" s="38" t="s">
        <v>2173</v>
      </c>
      <c r="C450" s="38" t="s">
        <v>243</v>
      </c>
      <c r="D450" s="38" t="s">
        <v>245</v>
      </c>
      <c r="E450" s="38" t="s">
        <v>243</v>
      </c>
      <c r="F450" s="38"/>
      <c r="G450" s="38" t="s">
        <v>2173</v>
      </c>
      <c r="H450" s="38" t="s">
        <v>242</v>
      </c>
      <c r="I450" s="38" t="s">
        <v>316</v>
      </c>
      <c r="J450" s="38" t="s">
        <v>2756</v>
      </c>
    </row>
    <row r="451" ht="14.25" customHeight="1">
      <c r="A451" s="39" t="s">
        <v>2175</v>
      </c>
      <c r="B451" s="39" t="s">
        <v>2173</v>
      </c>
      <c r="C451" s="39" t="s">
        <v>346</v>
      </c>
      <c r="D451" s="39" t="s">
        <v>245</v>
      </c>
      <c r="E451" s="39" t="s">
        <v>243</v>
      </c>
      <c r="F451" s="39"/>
      <c r="G451" s="39" t="s">
        <v>2173</v>
      </c>
      <c r="H451" s="39" t="s">
        <v>242</v>
      </c>
      <c r="I451" s="39" t="s">
        <v>356</v>
      </c>
      <c r="J451" s="39" t="s">
        <v>2756</v>
      </c>
    </row>
    <row r="452" ht="14.25" customHeight="1">
      <c r="A452" s="38" t="s">
        <v>2178</v>
      </c>
      <c r="B452" s="38" t="s">
        <v>2177</v>
      </c>
      <c r="C452" s="38" t="s">
        <v>267</v>
      </c>
      <c r="D452" s="38" t="s">
        <v>245</v>
      </c>
      <c r="E452" s="38" t="s">
        <v>243</v>
      </c>
      <c r="F452" s="38"/>
      <c r="G452" s="38" t="s">
        <v>2177</v>
      </c>
      <c r="H452" s="38" t="s">
        <v>268</v>
      </c>
      <c r="I452" s="38" t="s">
        <v>277</v>
      </c>
      <c r="J452" s="38" t="s">
        <v>2756</v>
      </c>
    </row>
    <row r="453" ht="14.25" customHeight="1">
      <c r="A453" s="39" t="s">
        <v>2178</v>
      </c>
      <c r="B453" s="39" t="s">
        <v>2177</v>
      </c>
      <c r="C453" s="39" t="s">
        <v>243</v>
      </c>
      <c r="D453" s="39" t="s">
        <v>245</v>
      </c>
      <c r="E453" s="39" t="s">
        <v>243</v>
      </c>
      <c r="F453" s="39"/>
      <c r="G453" s="39" t="s">
        <v>2177</v>
      </c>
      <c r="H453" s="39" t="s">
        <v>242</v>
      </c>
      <c r="I453" s="39" t="s">
        <v>316</v>
      </c>
      <c r="J453" s="39" t="s">
        <v>2756</v>
      </c>
    </row>
    <row r="454" ht="14.25" customHeight="1">
      <c r="A454" s="38" t="s">
        <v>2178</v>
      </c>
      <c r="B454" s="38" t="s">
        <v>2177</v>
      </c>
      <c r="C454" s="38" t="s">
        <v>346</v>
      </c>
      <c r="D454" s="38" t="s">
        <v>245</v>
      </c>
      <c r="E454" s="38" t="s">
        <v>243</v>
      </c>
      <c r="F454" s="38"/>
      <c r="G454" s="38" t="s">
        <v>2177</v>
      </c>
      <c r="H454" s="38" t="s">
        <v>242</v>
      </c>
      <c r="I454" s="38" t="s">
        <v>356</v>
      </c>
      <c r="J454" s="38" t="s">
        <v>2756</v>
      </c>
    </row>
    <row r="455" ht="14.25" customHeight="1">
      <c r="A455" s="39" t="s">
        <v>2181</v>
      </c>
      <c r="B455" s="39" t="s">
        <v>2180</v>
      </c>
      <c r="C455" s="39" t="s">
        <v>267</v>
      </c>
      <c r="D455" s="39" t="s">
        <v>245</v>
      </c>
      <c r="E455" s="39" t="s">
        <v>243</v>
      </c>
      <c r="F455" s="39"/>
      <c r="G455" s="39" t="s">
        <v>2180</v>
      </c>
      <c r="H455" s="39" t="s">
        <v>268</v>
      </c>
      <c r="I455" s="39" t="s">
        <v>277</v>
      </c>
      <c r="J455" s="39" t="s">
        <v>2756</v>
      </c>
    </row>
    <row r="456" ht="14.25" customHeight="1">
      <c r="A456" s="38" t="s">
        <v>2181</v>
      </c>
      <c r="B456" s="38" t="s">
        <v>2180</v>
      </c>
      <c r="C456" s="38" t="s">
        <v>243</v>
      </c>
      <c r="D456" s="38" t="s">
        <v>245</v>
      </c>
      <c r="E456" s="38" t="s">
        <v>243</v>
      </c>
      <c r="F456" s="38"/>
      <c r="G456" s="38" t="s">
        <v>2180</v>
      </c>
      <c r="H456" s="38" t="s">
        <v>242</v>
      </c>
      <c r="I456" s="38" t="s">
        <v>316</v>
      </c>
      <c r="J456" s="38" t="s">
        <v>2756</v>
      </c>
    </row>
    <row r="457" ht="14.25" customHeight="1">
      <c r="A457" s="39" t="s">
        <v>2181</v>
      </c>
      <c r="B457" s="39" t="s">
        <v>2180</v>
      </c>
      <c r="C457" s="39" t="s">
        <v>346</v>
      </c>
      <c r="D457" s="39" t="s">
        <v>245</v>
      </c>
      <c r="E457" s="39" t="s">
        <v>243</v>
      </c>
      <c r="F457" s="39"/>
      <c r="G457" s="39" t="s">
        <v>2180</v>
      </c>
      <c r="H457" s="39" t="s">
        <v>242</v>
      </c>
      <c r="I457" s="39" t="s">
        <v>356</v>
      </c>
      <c r="J457" s="39" t="s">
        <v>2756</v>
      </c>
    </row>
    <row r="458" ht="14.25" customHeight="1">
      <c r="A458" s="38" t="s">
        <v>2185</v>
      </c>
      <c r="B458" s="38" t="s">
        <v>2183</v>
      </c>
      <c r="C458" s="38" t="s">
        <v>267</v>
      </c>
      <c r="D458" s="38" t="s">
        <v>245</v>
      </c>
      <c r="E458" s="38" t="s">
        <v>243</v>
      </c>
      <c r="F458" s="38"/>
      <c r="G458" s="38" t="s">
        <v>2183</v>
      </c>
      <c r="H458" s="38" t="s">
        <v>268</v>
      </c>
      <c r="I458" s="38" t="s">
        <v>277</v>
      </c>
      <c r="J458" s="38" t="s">
        <v>2756</v>
      </c>
    </row>
    <row r="459" ht="14.25" customHeight="1">
      <c r="A459" s="39" t="s">
        <v>2185</v>
      </c>
      <c r="B459" s="39" t="s">
        <v>2183</v>
      </c>
      <c r="C459" s="39" t="s">
        <v>243</v>
      </c>
      <c r="D459" s="39" t="s">
        <v>245</v>
      </c>
      <c r="E459" s="39" t="s">
        <v>243</v>
      </c>
      <c r="F459" s="39"/>
      <c r="G459" s="39" t="s">
        <v>2183</v>
      </c>
      <c r="H459" s="39" t="s">
        <v>242</v>
      </c>
      <c r="I459" s="39" t="s">
        <v>316</v>
      </c>
      <c r="J459" s="39" t="s">
        <v>2756</v>
      </c>
    </row>
    <row r="460" ht="14.25" customHeight="1">
      <c r="A460" s="38" t="s">
        <v>2185</v>
      </c>
      <c r="B460" s="38" t="s">
        <v>2183</v>
      </c>
      <c r="C460" s="38" t="s">
        <v>346</v>
      </c>
      <c r="D460" s="38" t="s">
        <v>245</v>
      </c>
      <c r="E460" s="38" t="s">
        <v>243</v>
      </c>
      <c r="F460" s="38"/>
      <c r="G460" s="38" t="s">
        <v>2183</v>
      </c>
      <c r="H460" s="38" t="s">
        <v>242</v>
      </c>
      <c r="I460" s="38" t="s">
        <v>356</v>
      </c>
      <c r="J460" s="38" t="s">
        <v>2756</v>
      </c>
    </row>
    <row r="461" ht="14.25" customHeight="1">
      <c r="A461" s="39" t="s">
        <v>2188</v>
      </c>
      <c r="B461" s="39" t="s">
        <v>2187</v>
      </c>
      <c r="C461" s="39" t="s">
        <v>267</v>
      </c>
      <c r="D461" s="39" t="s">
        <v>245</v>
      </c>
      <c r="E461" s="39" t="s">
        <v>243</v>
      </c>
      <c r="F461" s="39"/>
      <c r="G461" s="39" t="s">
        <v>2187</v>
      </c>
      <c r="H461" s="39" t="s">
        <v>268</v>
      </c>
      <c r="I461" s="39" t="s">
        <v>277</v>
      </c>
      <c r="J461" s="39" t="s">
        <v>2756</v>
      </c>
    </row>
    <row r="462" ht="14.25" customHeight="1">
      <c r="A462" s="38" t="s">
        <v>2188</v>
      </c>
      <c r="B462" s="38" t="s">
        <v>2187</v>
      </c>
      <c r="C462" s="38" t="s">
        <v>243</v>
      </c>
      <c r="D462" s="38" t="s">
        <v>245</v>
      </c>
      <c r="E462" s="38" t="s">
        <v>243</v>
      </c>
      <c r="F462" s="38"/>
      <c r="G462" s="38" t="s">
        <v>2187</v>
      </c>
      <c r="H462" s="38" t="s">
        <v>242</v>
      </c>
      <c r="I462" s="38" t="s">
        <v>316</v>
      </c>
      <c r="J462" s="38" t="s">
        <v>2756</v>
      </c>
    </row>
    <row r="463" ht="14.25" customHeight="1">
      <c r="A463" s="39" t="s">
        <v>2188</v>
      </c>
      <c r="B463" s="39" t="s">
        <v>2187</v>
      </c>
      <c r="C463" s="39" t="s">
        <v>346</v>
      </c>
      <c r="D463" s="39" t="s">
        <v>245</v>
      </c>
      <c r="E463" s="39" t="s">
        <v>243</v>
      </c>
      <c r="F463" s="39"/>
      <c r="G463" s="39" t="s">
        <v>2187</v>
      </c>
      <c r="H463" s="39" t="s">
        <v>242</v>
      </c>
      <c r="I463" s="39" t="s">
        <v>356</v>
      </c>
      <c r="J463" s="39" t="s">
        <v>2756</v>
      </c>
    </row>
    <row r="464" ht="14.25" customHeight="1">
      <c r="A464" s="38" t="s">
        <v>2191</v>
      </c>
      <c r="B464" s="38" t="s">
        <v>2190</v>
      </c>
      <c r="C464" s="38" t="s">
        <v>267</v>
      </c>
      <c r="D464" s="38" t="s">
        <v>245</v>
      </c>
      <c r="E464" s="38" t="s">
        <v>243</v>
      </c>
      <c r="F464" s="38"/>
      <c r="G464" s="38" t="s">
        <v>2190</v>
      </c>
      <c r="H464" s="38" t="s">
        <v>268</v>
      </c>
      <c r="I464" s="38" t="s">
        <v>277</v>
      </c>
      <c r="J464" s="38" t="s">
        <v>2756</v>
      </c>
    </row>
    <row r="465" ht="14.25" customHeight="1">
      <c r="A465" s="39" t="s">
        <v>2191</v>
      </c>
      <c r="B465" s="39" t="s">
        <v>2190</v>
      </c>
      <c r="C465" s="39" t="s">
        <v>243</v>
      </c>
      <c r="D465" s="39" t="s">
        <v>245</v>
      </c>
      <c r="E465" s="39" t="s">
        <v>243</v>
      </c>
      <c r="F465" s="39"/>
      <c r="G465" s="39" t="s">
        <v>2190</v>
      </c>
      <c r="H465" s="39" t="s">
        <v>242</v>
      </c>
      <c r="I465" s="39" t="s">
        <v>316</v>
      </c>
      <c r="J465" s="39" t="s">
        <v>2756</v>
      </c>
    </row>
    <row r="466" ht="14.25" customHeight="1">
      <c r="A466" s="38" t="s">
        <v>2191</v>
      </c>
      <c r="B466" s="38" t="s">
        <v>2190</v>
      </c>
      <c r="C466" s="38" t="s">
        <v>346</v>
      </c>
      <c r="D466" s="38" t="s">
        <v>245</v>
      </c>
      <c r="E466" s="38" t="s">
        <v>243</v>
      </c>
      <c r="F466" s="38"/>
      <c r="G466" s="38" t="s">
        <v>2190</v>
      </c>
      <c r="H466" s="38" t="s">
        <v>242</v>
      </c>
      <c r="I466" s="38" t="s">
        <v>356</v>
      </c>
      <c r="J466" s="38" t="s">
        <v>2756</v>
      </c>
    </row>
    <row r="467" ht="14.25" customHeight="1">
      <c r="A467" s="39" t="s">
        <v>2213</v>
      </c>
      <c r="B467" s="39" t="s">
        <v>2212</v>
      </c>
      <c r="C467" s="39" t="s">
        <v>267</v>
      </c>
      <c r="D467" s="39" t="s">
        <v>245</v>
      </c>
      <c r="E467" s="39" t="s">
        <v>243</v>
      </c>
      <c r="F467" s="39"/>
      <c r="G467" s="39" t="s">
        <v>2212</v>
      </c>
      <c r="H467" s="39" t="s">
        <v>268</v>
      </c>
      <c r="I467" s="39" t="s">
        <v>277</v>
      </c>
      <c r="J467" s="39" t="s">
        <v>2756</v>
      </c>
    </row>
    <row r="468" ht="14.25" customHeight="1">
      <c r="A468" s="38" t="s">
        <v>2213</v>
      </c>
      <c r="B468" s="38" t="s">
        <v>2212</v>
      </c>
      <c r="C468" s="38" t="s">
        <v>243</v>
      </c>
      <c r="D468" s="38" t="s">
        <v>245</v>
      </c>
      <c r="E468" s="38" t="s">
        <v>243</v>
      </c>
      <c r="F468" s="38"/>
      <c r="G468" s="38" t="s">
        <v>2212</v>
      </c>
      <c r="H468" s="38" t="s">
        <v>242</v>
      </c>
      <c r="I468" s="38" t="s">
        <v>316</v>
      </c>
      <c r="J468" s="38" t="s">
        <v>2756</v>
      </c>
    </row>
    <row r="469" ht="14.25" customHeight="1">
      <c r="A469" s="39" t="s">
        <v>2213</v>
      </c>
      <c r="B469" s="39" t="s">
        <v>2212</v>
      </c>
      <c r="C469" s="39" t="s">
        <v>346</v>
      </c>
      <c r="D469" s="39" t="s">
        <v>245</v>
      </c>
      <c r="E469" s="39" t="s">
        <v>243</v>
      </c>
      <c r="F469" s="39"/>
      <c r="G469" s="39" t="s">
        <v>2212</v>
      </c>
      <c r="H469" s="39" t="s">
        <v>242</v>
      </c>
      <c r="I469" s="39" t="s">
        <v>356</v>
      </c>
      <c r="J469" s="39" t="s">
        <v>2756</v>
      </c>
    </row>
    <row r="470" ht="14.25" customHeight="1">
      <c r="A470" s="38" t="s">
        <v>2216</v>
      </c>
      <c r="B470" s="38" t="s">
        <v>2215</v>
      </c>
      <c r="C470" s="38" t="s">
        <v>267</v>
      </c>
      <c r="D470" s="38" t="s">
        <v>245</v>
      </c>
      <c r="E470" s="38" t="s">
        <v>243</v>
      </c>
      <c r="F470" s="38"/>
      <c r="G470" s="38" t="s">
        <v>2215</v>
      </c>
      <c r="H470" s="38" t="s">
        <v>268</v>
      </c>
      <c r="I470" s="38" t="s">
        <v>277</v>
      </c>
      <c r="J470" s="38" t="s">
        <v>2756</v>
      </c>
    </row>
    <row r="471" ht="14.25" customHeight="1">
      <c r="A471" s="39" t="s">
        <v>2216</v>
      </c>
      <c r="B471" s="39" t="s">
        <v>2215</v>
      </c>
      <c r="C471" s="39" t="s">
        <v>243</v>
      </c>
      <c r="D471" s="39" t="s">
        <v>245</v>
      </c>
      <c r="E471" s="39" t="s">
        <v>243</v>
      </c>
      <c r="F471" s="39"/>
      <c r="G471" s="39" t="s">
        <v>2215</v>
      </c>
      <c r="H471" s="39" t="s">
        <v>242</v>
      </c>
      <c r="I471" s="39" t="s">
        <v>316</v>
      </c>
      <c r="J471" s="39" t="s">
        <v>2756</v>
      </c>
    </row>
    <row r="472" ht="14.25" customHeight="1">
      <c r="A472" s="38" t="s">
        <v>2216</v>
      </c>
      <c r="B472" s="38" t="s">
        <v>2215</v>
      </c>
      <c r="C472" s="38" t="s">
        <v>346</v>
      </c>
      <c r="D472" s="38" t="s">
        <v>245</v>
      </c>
      <c r="E472" s="38" t="s">
        <v>243</v>
      </c>
      <c r="F472" s="38"/>
      <c r="G472" s="38" t="s">
        <v>2215</v>
      </c>
      <c r="H472" s="38" t="s">
        <v>242</v>
      </c>
      <c r="I472" s="38" t="s">
        <v>356</v>
      </c>
      <c r="J472" s="38" t="s">
        <v>2756</v>
      </c>
    </row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J$472"/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40.0"/>
    <col customWidth="1" min="3" max="3" width="10.0"/>
    <col customWidth="1" min="4" max="4" width="20.0"/>
    <col customWidth="1" min="5" max="5" width="27.0"/>
    <col customWidth="1" min="6" max="6" width="21.0"/>
    <col customWidth="1" min="7" max="7" width="40.0"/>
    <col customWidth="1" min="8" max="8" width="21.0"/>
    <col customWidth="1" min="9" max="9" width="15.0"/>
    <col customWidth="1" min="10" max="10" width="40.0"/>
    <col customWidth="1" min="11" max="26" width="8.71"/>
  </cols>
  <sheetData>
    <row r="1" ht="14.25" customHeight="1">
      <c r="A1" s="37" t="s">
        <v>344</v>
      </c>
      <c r="B1" s="37" t="s">
        <v>485</v>
      </c>
      <c r="C1" s="37" t="s">
        <v>883</v>
      </c>
      <c r="D1" s="37" t="s">
        <v>929</v>
      </c>
      <c r="E1" s="37" t="s">
        <v>930</v>
      </c>
      <c r="F1" s="37" t="s">
        <v>931</v>
      </c>
      <c r="G1" s="37" t="s">
        <v>932</v>
      </c>
      <c r="H1" s="37" t="s">
        <v>918</v>
      </c>
      <c r="I1" s="37" t="s">
        <v>933</v>
      </c>
      <c r="J1" s="37" t="s">
        <v>116</v>
      </c>
    </row>
    <row r="2" ht="14.25" customHeight="1">
      <c r="A2" s="38" t="s">
        <v>1043</v>
      </c>
      <c r="B2" s="38" t="s">
        <v>1040</v>
      </c>
      <c r="C2" s="38" t="s">
        <v>267</v>
      </c>
      <c r="D2" s="38" t="s">
        <v>536</v>
      </c>
      <c r="E2" s="58"/>
      <c r="F2" s="58">
        <v>1.0</v>
      </c>
      <c r="G2" s="38" t="s">
        <v>1040</v>
      </c>
      <c r="H2" s="38" t="s">
        <v>242</v>
      </c>
      <c r="I2" s="38" t="s">
        <v>267</v>
      </c>
      <c r="J2" s="38" t="s">
        <v>2757</v>
      </c>
    </row>
    <row r="3" ht="14.25" customHeight="1">
      <c r="A3" s="39" t="s">
        <v>1043</v>
      </c>
      <c r="B3" s="39" t="s">
        <v>1040</v>
      </c>
      <c r="C3" s="39" t="s">
        <v>243</v>
      </c>
      <c r="D3" s="39" t="s">
        <v>536</v>
      </c>
      <c r="E3" s="59"/>
      <c r="F3" s="59">
        <v>1.0</v>
      </c>
      <c r="G3" s="39" t="s">
        <v>1040</v>
      </c>
      <c r="H3" s="39" t="s">
        <v>242</v>
      </c>
      <c r="I3" s="39" t="s">
        <v>243</v>
      </c>
      <c r="J3" s="39" t="s">
        <v>2757</v>
      </c>
    </row>
    <row r="4" ht="14.25" customHeight="1">
      <c r="A4" s="38" t="s">
        <v>1043</v>
      </c>
      <c r="B4" s="38" t="s">
        <v>1040</v>
      </c>
      <c r="C4" s="38" t="s">
        <v>346</v>
      </c>
      <c r="D4" s="38" t="s">
        <v>536</v>
      </c>
      <c r="E4" s="58"/>
      <c r="F4" s="58">
        <v>1.0</v>
      </c>
      <c r="G4" s="38" t="s">
        <v>1040</v>
      </c>
      <c r="H4" s="38" t="s">
        <v>242</v>
      </c>
      <c r="I4" s="38" t="s">
        <v>346</v>
      </c>
      <c r="J4" s="38" t="s">
        <v>2757</v>
      </c>
    </row>
    <row r="5" ht="14.25" customHeight="1">
      <c r="A5" s="39" t="s">
        <v>1050</v>
      </c>
      <c r="B5" s="39" t="s">
        <v>1045</v>
      </c>
      <c r="C5" s="39" t="s">
        <v>267</v>
      </c>
      <c r="D5" s="39" t="s">
        <v>540</v>
      </c>
      <c r="E5" s="59"/>
      <c r="F5" s="59">
        <v>1.0</v>
      </c>
      <c r="G5" s="39" t="s">
        <v>1045</v>
      </c>
      <c r="H5" s="39" t="s">
        <v>242</v>
      </c>
      <c r="I5" s="39" t="s">
        <v>267</v>
      </c>
      <c r="J5" s="39" t="s">
        <v>2757</v>
      </c>
    </row>
    <row r="6" ht="14.25" customHeight="1">
      <c r="A6" s="38" t="s">
        <v>1050</v>
      </c>
      <c r="B6" s="38" t="s">
        <v>1045</v>
      </c>
      <c r="C6" s="38" t="s">
        <v>243</v>
      </c>
      <c r="D6" s="38" t="s">
        <v>540</v>
      </c>
      <c r="E6" s="58"/>
      <c r="F6" s="58">
        <v>1.0</v>
      </c>
      <c r="G6" s="38" t="s">
        <v>1045</v>
      </c>
      <c r="H6" s="38" t="s">
        <v>242</v>
      </c>
      <c r="I6" s="38" t="s">
        <v>243</v>
      </c>
      <c r="J6" s="38" t="s">
        <v>2757</v>
      </c>
    </row>
    <row r="7" ht="14.25" customHeight="1">
      <c r="A7" s="39" t="s">
        <v>1050</v>
      </c>
      <c r="B7" s="39" t="s">
        <v>1045</v>
      </c>
      <c r="C7" s="39" t="s">
        <v>346</v>
      </c>
      <c r="D7" s="39" t="s">
        <v>540</v>
      </c>
      <c r="E7" s="59"/>
      <c r="F7" s="59">
        <v>1.0</v>
      </c>
      <c r="G7" s="39" t="s">
        <v>1045</v>
      </c>
      <c r="H7" s="39" t="s">
        <v>242</v>
      </c>
      <c r="I7" s="39" t="s">
        <v>346</v>
      </c>
      <c r="J7" s="39" t="s">
        <v>2757</v>
      </c>
    </row>
    <row r="8" ht="14.25" customHeight="1">
      <c r="A8" s="38" t="s">
        <v>1057</v>
      </c>
      <c r="B8" s="38" t="s">
        <v>1052</v>
      </c>
      <c r="C8" s="38" t="s">
        <v>267</v>
      </c>
      <c r="D8" s="38" t="s">
        <v>543</v>
      </c>
      <c r="E8" s="58"/>
      <c r="F8" s="58">
        <v>1.0</v>
      </c>
      <c r="G8" s="38" t="s">
        <v>1052</v>
      </c>
      <c r="H8" s="38" t="s">
        <v>242</v>
      </c>
      <c r="I8" s="38" t="s">
        <v>267</v>
      </c>
      <c r="J8" s="38" t="s">
        <v>2757</v>
      </c>
    </row>
    <row r="9" ht="14.25" customHeight="1">
      <c r="A9" s="39" t="s">
        <v>1057</v>
      </c>
      <c r="B9" s="39" t="s">
        <v>1052</v>
      </c>
      <c r="C9" s="39" t="s">
        <v>243</v>
      </c>
      <c r="D9" s="39" t="s">
        <v>543</v>
      </c>
      <c r="E9" s="59"/>
      <c r="F9" s="59">
        <v>1.0</v>
      </c>
      <c r="G9" s="39" t="s">
        <v>1052</v>
      </c>
      <c r="H9" s="39" t="s">
        <v>242</v>
      </c>
      <c r="I9" s="39" t="s">
        <v>243</v>
      </c>
      <c r="J9" s="39" t="s">
        <v>2757</v>
      </c>
    </row>
    <row r="10" ht="14.25" customHeight="1">
      <c r="A10" s="38" t="s">
        <v>1057</v>
      </c>
      <c r="B10" s="38" t="s">
        <v>1052</v>
      </c>
      <c r="C10" s="38" t="s">
        <v>346</v>
      </c>
      <c r="D10" s="38" t="s">
        <v>543</v>
      </c>
      <c r="E10" s="58"/>
      <c r="F10" s="58">
        <v>1.0</v>
      </c>
      <c r="G10" s="38" t="s">
        <v>1052</v>
      </c>
      <c r="H10" s="38" t="s">
        <v>242</v>
      </c>
      <c r="I10" s="38" t="s">
        <v>346</v>
      </c>
      <c r="J10" s="38" t="s">
        <v>2757</v>
      </c>
    </row>
    <row r="11" ht="14.25" customHeight="1">
      <c r="A11" s="39" t="s">
        <v>1105</v>
      </c>
      <c r="B11" s="39" t="s">
        <v>1102</v>
      </c>
      <c r="C11" s="39" t="s">
        <v>267</v>
      </c>
      <c r="D11" s="39" t="s">
        <v>545</v>
      </c>
      <c r="E11" s="59"/>
      <c r="F11" s="59">
        <v>1.0</v>
      </c>
      <c r="G11" s="39" t="s">
        <v>1102</v>
      </c>
      <c r="H11" s="39" t="s">
        <v>242</v>
      </c>
      <c r="I11" s="39" t="s">
        <v>267</v>
      </c>
      <c r="J11" s="39" t="s">
        <v>2757</v>
      </c>
    </row>
    <row r="12" ht="14.25" customHeight="1">
      <c r="A12" s="38" t="s">
        <v>1105</v>
      </c>
      <c r="B12" s="38" t="s">
        <v>1102</v>
      </c>
      <c r="C12" s="38" t="s">
        <v>243</v>
      </c>
      <c r="D12" s="38" t="s">
        <v>545</v>
      </c>
      <c r="E12" s="58"/>
      <c r="F12" s="58">
        <v>1.0</v>
      </c>
      <c r="G12" s="38" t="s">
        <v>1102</v>
      </c>
      <c r="H12" s="38" t="s">
        <v>242</v>
      </c>
      <c r="I12" s="38" t="s">
        <v>243</v>
      </c>
      <c r="J12" s="38" t="s">
        <v>2757</v>
      </c>
    </row>
    <row r="13" ht="14.25" customHeight="1">
      <c r="A13" s="39" t="s">
        <v>1105</v>
      </c>
      <c r="B13" s="39" t="s">
        <v>1102</v>
      </c>
      <c r="C13" s="39" t="s">
        <v>346</v>
      </c>
      <c r="D13" s="39" t="s">
        <v>545</v>
      </c>
      <c r="E13" s="59"/>
      <c r="F13" s="59">
        <v>1.0</v>
      </c>
      <c r="G13" s="39" t="s">
        <v>1102</v>
      </c>
      <c r="H13" s="39" t="s">
        <v>242</v>
      </c>
      <c r="I13" s="39" t="s">
        <v>346</v>
      </c>
      <c r="J13" s="39" t="s">
        <v>2757</v>
      </c>
    </row>
    <row r="14" ht="14.25" customHeight="1">
      <c r="A14" s="38" t="s">
        <v>1109</v>
      </c>
      <c r="B14" s="38" t="s">
        <v>1107</v>
      </c>
      <c r="C14" s="38" t="s">
        <v>267</v>
      </c>
      <c r="D14" s="38" t="s">
        <v>547</v>
      </c>
      <c r="E14" s="58"/>
      <c r="F14" s="58">
        <v>1.0</v>
      </c>
      <c r="G14" s="38" t="s">
        <v>1107</v>
      </c>
      <c r="H14" s="38" t="s">
        <v>242</v>
      </c>
      <c r="I14" s="38" t="s">
        <v>267</v>
      </c>
      <c r="J14" s="38" t="s">
        <v>2757</v>
      </c>
    </row>
    <row r="15" ht="14.25" customHeight="1">
      <c r="A15" s="39" t="s">
        <v>1109</v>
      </c>
      <c r="B15" s="39" t="s">
        <v>1107</v>
      </c>
      <c r="C15" s="39" t="s">
        <v>243</v>
      </c>
      <c r="D15" s="39" t="s">
        <v>547</v>
      </c>
      <c r="E15" s="59"/>
      <c r="F15" s="59">
        <v>1.0</v>
      </c>
      <c r="G15" s="39" t="s">
        <v>1107</v>
      </c>
      <c r="H15" s="39" t="s">
        <v>242</v>
      </c>
      <c r="I15" s="39" t="s">
        <v>243</v>
      </c>
      <c r="J15" s="39" t="s">
        <v>2757</v>
      </c>
    </row>
    <row r="16" ht="14.25" customHeight="1">
      <c r="A16" s="38" t="s">
        <v>1109</v>
      </c>
      <c r="B16" s="38" t="s">
        <v>1107</v>
      </c>
      <c r="C16" s="38" t="s">
        <v>346</v>
      </c>
      <c r="D16" s="38" t="s">
        <v>547</v>
      </c>
      <c r="E16" s="58"/>
      <c r="F16" s="58">
        <v>1.0</v>
      </c>
      <c r="G16" s="38" t="s">
        <v>1107</v>
      </c>
      <c r="H16" s="38" t="s">
        <v>242</v>
      </c>
      <c r="I16" s="38" t="s">
        <v>346</v>
      </c>
      <c r="J16" s="38" t="s">
        <v>2757</v>
      </c>
    </row>
    <row r="17" ht="14.25" customHeight="1">
      <c r="A17" s="39" t="s">
        <v>1121</v>
      </c>
      <c r="B17" s="39" t="s">
        <v>1116</v>
      </c>
      <c r="C17" s="39" t="s">
        <v>267</v>
      </c>
      <c r="D17" s="39" t="s">
        <v>549</v>
      </c>
      <c r="E17" s="59"/>
      <c r="F17" s="59">
        <v>1.0</v>
      </c>
      <c r="G17" s="39" t="s">
        <v>1116</v>
      </c>
      <c r="H17" s="39" t="s">
        <v>242</v>
      </c>
      <c r="I17" s="39" t="s">
        <v>267</v>
      </c>
      <c r="J17" s="39" t="s">
        <v>2757</v>
      </c>
    </row>
    <row r="18" ht="14.25" customHeight="1">
      <c r="A18" s="38" t="s">
        <v>1121</v>
      </c>
      <c r="B18" s="38" t="s">
        <v>1116</v>
      </c>
      <c r="C18" s="38" t="s">
        <v>243</v>
      </c>
      <c r="D18" s="38" t="s">
        <v>549</v>
      </c>
      <c r="E18" s="58"/>
      <c r="F18" s="58">
        <v>1.0</v>
      </c>
      <c r="G18" s="38" t="s">
        <v>1116</v>
      </c>
      <c r="H18" s="38" t="s">
        <v>242</v>
      </c>
      <c r="I18" s="38" t="s">
        <v>243</v>
      </c>
      <c r="J18" s="38" t="s">
        <v>2757</v>
      </c>
    </row>
    <row r="19" ht="14.25" customHeight="1">
      <c r="A19" s="39" t="s">
        <v>1121</v>
      </c>
      <c r="B19" s="39" t="s">
        <v>1116</v>
      </c>
      <c r="C19" s="39" t="s">
        <v>346</v>
      </c>
      <c r="D19" s="39" t="s">
        <v>549</v>
      </c>
      <c r="E19" s="59"/>
      <c r="F19" s="59">
        <v>1.0</v>
      </c>
      <c r="G19" s="39" t="s">
        <v>1116</v>
      </c>
      <c r="H19" s="39" t="s">
        <v>242</v>
      </c>
      <c r="I19" s="39" t="s">
        <v>346</v>
      </c>
      <c r="J19" s="39" t="s">
        <v>2757</v>
      </c>
    </row>
    <row r="20" ht="14.25" customHeight="1">
      <c r="A20" s="38" t="s">
        <v>1131</v>
      </c>
      <c r="B20" s="38" t="s">
        <v>1128</v>
      </c>
      <c r="C20" s="38" t="s">
        <v>267</v>
      </c>
      <c r="D20" s="38" t="s">
        <v>551</v>
      </c>
      <c r="E20" s="58"/>
      <c r="F20" s="58">
        <v>1.0</v>
      </c>
      <c r="G20" s="38" t="s">
        <v>1128</v>
      </c>
      <c r="H20" s="38" t="s">
        <v>242</v>
      </c>
      <c r="I20" s="38" t="s">
        <v>267</v>
      </c>
      <c r="J20" s="38" t="s">
        <v>2757</v>
      </c>
    </row>
    <row r="21" ht="14.25" customHeight="1">
      <c r="A21" s="39" t="s">
        <v>1131</v>
      </c>
      <c r="B21" s="39" t="s">
        <v>1128</v>
      </c>
      <c r="C21" s="39" t="s">
        <v>243</v>
      </c>
      <c r="D21" s="39" t="s">
        <v>551</v>
      </c>
      <c r="E21" s="59"/>
      <c r="F21" s="59">
        <v>1.0</v>
      </c>
      <c r="G21" s="39" t="s">
        <v>1128</v>
      </c>
      <c r="H21" s="39" t="s">
        <v>242</v>
      </c>
      <c r="I21" s="39" t="s">
        <v>243</v>
      </c>
      <c r="J21" s="39" t="s">
        <v>2757</v>
      </c>
    </row>
    <row r="22" ht="14.25" customHeight="1">
      <c r="A22" s="38" t="s">
        <v>1131</v>
      </c>
      <c r="B22" s="38" t="s">
        <v>1128</v>
      </c>
      <c r="C22" s="38" t="s">
        <v>346</v>
      </c>
      <c r="D22" s="38" t="s">
        <v>551</v>
      </c>
      <c r="E22" s="58"/>
      <c r="F22" s="58">
        <v>1.0</v>
      </c>
      <c r="G22" s="38" t="s">
        <v>1128</v>
      </c>
      <c r="H22" s="38" t="s">
        <v>242</v>
      </c>
      <c r="I22" s="38" t="s">
        <v>346</v>
      </c>
      <c r="J22" s="38" t="s">
        <v>2757</v>
      </c>
    </row>
    <row r="23" ht="14.25" customHeight="1">
      <c r="A23" s="39" t="s">
        <v>1136</v>
      </c>
      <c r="B23" s="39" t="s">
        <v>1133</v>
      </c>
      <c r="C23" s="39" t="s">
        <v>267</v>
      </c>
      <c r="D23" s="39" t="s">
        <v>553</v>
      </c>
      <c r="E23" s="59"/>
      <c r="F23" s="59">
        <v>1.0</v>
      </c>
      <c r="G23" s="39" t="s">
        <v>1133</v>
      </c>
      <c r="H23" s="39" t="s">
        <v>242</v>
      </c>
      <c r="I23" s="39" t="s">
        <v>267</v>
      </c>
      <c r="J23" s="39" t="s">
        <v>2757</v>
      </c>
    </row>
    <row r="24" ht="14.25" customHeight="1">
      <c r="A24" s="38" t="s">
        <v>1136</v>
      </c>
      <c r="B24" s="38" t="s">
        <v>1133</v>
      </c>
      <c r="C24" s="38" t="s">
        <v>243</v>
      </c>
      <c r="D24" s="38" t="s">
        <v>553</v>
      </c>
      <c r="E24" s="58"/>
      <c r="F24" s="58">
        <v>1.0</v>
      </c>
      <c r="G24" s="38" t="s">
        <v>1133</v>
      </c>
      <c r="H24" s="38" t="s">
        <v>242</v>
      </c>
      <c r="I24" s="38" t="s">
        <v>243</v>
      </c>
      <c r="J24" s="38" t="s">
        <v>2757</v>
      </c>
    </row>
    <row r="25" ht="14.25" customHeight="1">
      <c r="A25" s="39" t="s">
        <v>1136</v>
      </c>
      <c r="B25" s="39" t="s">
        <v>1133</v>
      </c>
      <c r="C25" s="39" t="s">
        <v>346</v>
      </c>
      <c r="D25" s="39" t="s">
        <v>553</v>
      </c>
      <c r="E25" s="59"/>
      <c r="F25" s="59">
        <v>1.0</v>
      </c>
      <c r="G25" s="39" t="s">
        <v>1133</v>
      </c>
      <c r="H25" s="39" t="s">
        <v>242</v>
      </c>
      <c r="I25" s="39" t="s">
        <v>346</v>
      </c>
      <c r="J25" s="39" t="s">
        <v>2757</v>
      </c>
    </row>
    <row r="26" ht="14.25" customHeight="1">
      <c r="A26" s="38" t="s">
        <v>1140</v>
      </c>
      <c r="B26" s="38" t="s">
        <v>1138</v>
      </c>
      <c r="C26" s="38" t="s">
        <v>267</v>
      </c>
      <c r="D26" s="38" t="s">
        <v>1141</v>
      </c>
      <c r="E26" s="58"/>
      <c r="F26" s="58">
        <v>1.0</v>
      </c>
      <c r="G26" s="38" t="s">
        <v>1138</v>
      </c>
      <c r="H26" s="38" t="s">
        <v>242</v>
      </c>
      <c r="I26" s="38" t="s">
        <v>267</v>
      </c>
      <c r="J26" s="38" t="s">
        <v>2757</v>
      </c>
    </row>
    <row r="27" ht="14.25" customHeight="1">
      <c r="A27" s="39" t="s">
        <v>1140</v>
      </c>
      <c r="B27" s="39" t="s">
        <v>1138</v>
      </c>
      <c r="C27" s="39" t="s">
        <v>243</v>
      </c>
      <c r="D27" s="39" t="s">
        <v>1141</v>
      </c>
      <c r="E27" s="59"/>
      <c r="F27" s="59">
        <v>1.0</v>
      </c>
      <c r="G27" s="39" t="s">
        <v>1138</v>
      </c>
      <c r="H27" s="39" t="s">
        <v>242</v>
      </c>
      <c r="I27" s="39" t="s">
        <v>243</v>
      </c>
      <c r="J27" s="39" t="s">
        <v>2757</v>
      </c>
    </row>
    <row r="28" ht="14.25" customHeight="1">
      <c r="A28" s="38" t="s">
        <v>1140</v>
      </c>
      <c r="B28" s="38" t="s">
        <v>1138</v>
      </c>
      <c r="C28" s="38" t="s">
        <v>346</v>
      </c>
      <c r="D28" s="38" t="s">
        <v>1141</v>
      </c>
      <c r="E28" s="58"/>
      <c r="F28" s="58">
        <v>1.0</v>
      </c>
      <c r="G28" s="38" t="s">
        <v>1138</v>
      </c>
      <c r="H28" s="38" t="s">
        <v>242</v>
      </c>
      <c r="I28" s="38" t="s">
        <v>346</v>
      </c>
      <c r="J28" s="38" t="s">
        <v>2757</v>
      </c>
    </row>
    <row r="29" ht="14.25" customHeight="1">
      <c r="A29" s="39" t="s">
        <v>1145</v>
      </c>
      <c r="B29" s="39" t="s">
        <v>1143</v>
      </c>
      <c r="C29" s="39" t="s">
        <v>267</v>
      </c>
      <c r="D29" s="39" t="s">
        <v>1146</v>
      </c>
      <c r="E29" s="59"/>
      <c r="F29" s="59">
        <v>1.0</v>
      </c>
      <c r="G29" s="39" t="s">
        <v>1143</v>
      </c>
      <c r="H29" s="39" t="s">
        <v>242</v>
      </c>
      <c r="I29" s="39" t="s">
        <v>267</v>
      </c>
      <c r="J29" s="39" t="s">
        <v>2757</v>
      </c>
    </row>
    <row r="30" ht="14.25" customHeight="1">
      <c r="A30" s="38" t="s">
        <v>1145</v>
      </c>
      <c r="B30" s="38" t="s">
        <v>1143</v>
      </c>
      <c r="C30" s="38" t="s">
        <v>243</v>
      </c>
      <c r="D30" s="38" t="s">
        <v>1146</v>
      </c>
      <c r="E30" s="58"/>
      <c r="F30" s="58">
        <v>1.0</v>
      </c>
      <c r="G30" s="38" t="s">
        <v>1143</v>
      </c>
      <c r="H30" s="38" t="s">
        <v>242</v>
      </c>
      <c r="I30" s="38" t="s">
        <v>243</v>
      </c>
      <c r="J30" s="38" t="s">
        <v>2757</v>
      </c>
    </row>
    <row r="31" ht="14.25" customHeight="1">
      <c r="A31" s="39" t="s">
        <v>1145</v>
      </c>
      <c r="B31" s="39" t="s">
        <v>1143</v>
      </c>
      <c r="C31" s="39" t="s">
        <v>346</v>
      </c>
      <c r="D31" s="39" t="s">
        <v>1146</v>
      </c>
      <c r="E31" s="59"/>
      <c r="F31" s="59">
        <v>1.0</v>
      </c>
      <c r="G31" s="39" t="s">
        <v>1143</v>
      </c>
      <c r="H31" s="39" t="s">
        <v>242</v>
      </c>
      <c r="I31" s="39" t="s">
        <v>346</v>
      </c>
      <c r="J31" s="39" t="s">
        <v>2757</v>
      </c>
    </row>
    <row r="32" ht="14.25" customHeight="1">
      <c r="A32" s="38" t="s">
        <v>1151</v>
      </c>
      <c r="B32" s="38" t="s">
        <v>1148</v>
      </c>
      <c r="C32" s="38" t="s">
        <v>267</v>
      </c>
      <c r="D32" s="38" t="s">
        <v>1152</v>
      </c>
      <c r="E32" s="58"/>
      <c r="F32" s="58">
        <v>1.0</v>
      </c>
      <c r="G32" s="38" t="s">
        <v>1148</v>
      </c>
      <c r="H32" s="38" t="s">
        <v>242</v>
      </c>
      <c r="I32" s="38" t="s">
        <v>267</v>
      </c>
      <c r="J32" s="38" t="s">
        <v>2757</v>
      </c>
    </row>
    <row r="33" ht="14.25" customHeight="1">
      <c r="A33" s="39" t="s">
        <v>1151</v>
      </c>
      <c r="B33" s="39" t="s">
        <v>1148</v>
      </c>
      <c r="C33" s="39" t="s">
        <v>243</v>
      </c>
      <c r="D33" s="39" t="s">
        <v>1152</v>
      </c>
      <c r="E33" s="59"/>
      <c r="F33" s="59">
        <v>1.0</v>
      </c>
      <c r="G33" s="39" t="s">
        <v>1148</v>
      </c>
      <c r="H33" s="39" t="s">
        <v>242</v>
      </c>
      <c r="I33" s="39" t="s">
        <v>243</v>
      </c>
      <c r="J33" s="39" t="s">
        <v>2757</v>
      </c>
    </row>
    <row r="34" ht="14.25" customHeight="1">
      <c r="A34" s="38" t="s">
        <v>1151</v>
      </c>
      <c r="B34" s="38" t="s">
        <v>1148</v>
      </c>
      <c r="C34" s="38" t="s">
        <v>346</v>
      </c>
      <c r="D34" s="38" t="s">
        <v>1152</v>
      </c>
      <c r="E34" s="58"/>
      <c r="F34" s="58">
        <v>1.0</v>
      </c>
      <c r="G34" s="38" t="s">
        <v>1148</v>
      </c>
      <c r="H34" s="38" t="s">
        <v>242</v>
      </c>
      <c r="I34" s="38" t="s">
        <v>346</v>
      </c>
      <c r="J34" s="38" t="s">
        <v>2757</v>
      </c>
    </row>
    <row r="35" ht="14.25" customHeight="1">
      <c r="A35" s="39" t="s">
        <v>1156</v>
      </c>
      <c r="B35" s="39" t="s">
        <v>1154</v>
      </c>
      <c r="C35" s="39" t="s">
        <v>267</v>
      </c>
      <c r="D35" s="39" t="s">
        <v>1157</v>
      </c>
      <c r="E35" s="59"/>
      <c r="F35" s="59">
        <v>1.0</v>
      </c>
      <c r="G35" s="39" t="s">
        <v>1154</v>
      </c>
      <c r="H35" s="39" t="s">
        <v>242</v>
      </c>
      <c r="I35" s="39" t="s">
        <v>267</v>
      </c>
      <c r="J35" s="39" t="s">
        <v>2757</v>
      </c>
    </row>
    <row r="36" ht="14.25" customHeight="1">
      <c r="A36" s="38" t="s">
        <v>1156</v>
      </c>
      <c r="B36" s="38" t="s">
        <v>1154</v>
      </c>
      <c r="C36" s="38" t="s">
        <v>243</v>
      </c>
      <c r="D36" s="38" t="s">
        <v>1157</v>
      </c>
      <c r="E36" s="58"/>
      <c r="F36" s="58">
        <v>1.0</v>
      </c>
      <c r="G36" s="38" t="s">
        <v>1154</v>
      </c>
      <c r="H36" s="38" t="s">
        <v>242</v>
      </c>
      <c r="I36" s="38" t="s">
        <v>243</v>
      </c>
      <c r="J36" s="38" t="s">
        <v>2757</v>
      </c>
    </row>
    <row r="37" ht="14.25" customHeight="1">
      <c r="A37" s="39" t="s">
        <v>1156</v>
      </c>
      <c r="B37" s="39" t="s">
        <v>1154</v>
      </c>
      <c r="C37" s="39" t="s">
        <v>346</v>
      </c>
      <c r="D37" s="39" t="s">
        <v>1157</v>
      </c>
      <c r="E37" s="59"/>
      <c r="F37" s="59">
        <v>1.0</v>
      </c>
      <c r="G37" s="39" t="s">
        <v>1154</v>
      </c>
      <c r="H37" s="39" t="s">
        <v>242</v>
      </c>
      <c r="I37" s="39" t="s">
        <v>346</v>
      </c>
      <c r="J37" s="39" t="s">
        <v>2757</v>
      </c>
    </row>
    <row r="38" ht="14.25" customHeight="1">
      <c r="A38" s="38" t="s">
        <v>1161</v>
      </c>
      <c r="B38" s="38" t="s">
        <v>1159</v>
      </c>
      <c r="C38" s="38" t="s">
        <v>267</v>
      </c>
      <c r="D38" s="38" t="s">
        <v>1162</v>
      </c>
      <c r="E38" s="58"/>
      <c r="F38" s="58">
        <v>1.0</v>
      </c>
      <c r="G38" s="38" t="s">
        <v>1159</v>
      </c>
      <c r="H38" s="38" t="s">
        <v>242</v>
      </c>
      <c r="I38" s="38" t="s">
        <v>267</v>
      </c>
      <c r="J38" s="38" t="s">
        <v>2757</v>
      </c>
    </row>
    <row r="39" ht="14.25" customHeight="1">
      <c r="A39" s="39" t="s">
        <v>1161</v>
      </c>
      <c r="B39" s="39" t="s">
        <v>1159</v>
      </c>
      <c r="C39" s="39" t="s">
        <v>243</v>
      </c>
      <c r="D39" s="39" t="s">
        <v>1162</v>
      </c>
      <c r="E39" s="59"/>
      <c r="F39" s="59">
        <v>1.0</v>
      </c>
      <c r="G39" s="39" t="s">
        <v>1159</v>
      </c>
      <c r="H39" s="39" t="s">
        <v>242</v>
      </c>
      <c r="I39" s="39" t="s">
        <v>243</v>
      </c>
      <c r="J39" s="39" t="s">
        <v>2757</v>
      </c>
    </row>
    <row r="40" ht="14.25" customHeight="1">
      <c r="A40" s="38" t="s">
        <v>1161</v>
      </c>
      <c r="B40" s="38" t="s">
        <v>1159</v>
      </c>
      <c r="C40" s="38" t="s">
        <v>346</v>
      </c>
      <c r="D40" s="38" t="s">
        <v>1162</v>
      </c>
      <c r="E40" s="58"/>
      <c r="F40" s="58">
        <v>1.0</v>
      </c>
      <c r="G40" s="38" t="s">
        <v>1159</v>
      </c>
      <c r="H40" s="38" t="s">
        <v>242</v>
      </c>
      <c r="I40" s="38" t="s">
        <v>346</v>
      </c>
      <c r="J40" s="38" t="s">
        <v>2757</v>
      </c>
    </row>
    <row r="41" ht="14.25" customHeight="1">
      <c r="A41" s="39" t="s">
        <v>1165</v>
      </c>
      <c r="B41" s="39" t="s">
        <v>1164</v>
      </c>
      <c r="C41" s="39" t="s">
        <v>267</v>
      </c>
      <c r="D41" s="39" t="s">
        <v>1166</v>
      </c>
      <c r="E41" s="59"/>
      <c r="F41" s="59">
        <v>1.0</v>
      </c>
      <c r="G41" s="39" t="s">
        <v>1164</v>
      </c>
      <c r="H41" s="39" t="s">
        <v>242</v>
      </c>
      <c r="I41" s="39" t="s">
        <v>267</v>
      </c>
      <c r="J41" s="39" t="s">
        <v>2757</v>
      </c>
    </row>
    <row r="42" ht="14.25" customHeight="1">
      <c r="A42" s="38" t="s">
        <v>1165</v>
      </c>
      <c r="B42" s="38" t="s">
        <v>1164</v>
      </c>
      <c r="C42" s="38" t="s">
        <v>243</v>
      </c>
      <c r="D42" s="38" t="s">
        <v>1166</v>
      </c>
      <c r="E42" s="58"/>
      <c r="F42" s="58">
        <v>1.0</v>
      </c>
      <c r="G42" s="38" t="s">
        <v>1164</v>
      </c>
      <c r="H42" s="38" t="s">
        <v>242</v>
      </c>
      <c r="I42" s="38" t="s">
        <v>243</v>
      </c>
      <c r="J42" s="38" t="s">
        <v>2757</v>
      </c>
    </row>
    <row r="43" ht="14.25" customHeight="1">
      <c r="A43" s="39" t="s">
        <v>1165</v>
      </c>
      <c r="B43" s="39" t="s">
        <v>1164</v>
      </c>
      <c r="C43" s="39" t="s">
        <v>346</v>
      </c>
      <c r="D43" s="39" t="s">
        <v>1166</v>
      </c>
      <c r="E43" s="59"/>
      <c r="F43" s="59">
        <v>1.0</v>
      </c>
      <c r="G43" s="39" t="s">
        <v>1164</v>
      </c>
      <c r="H43" s="39" t="s">
        <v>242</v>
      </c>
      <c r="I43" s="39" t="s">
        <v>346</v>
      </c>
      <c r="J43" s="39" t="s">
        <v>2757</v>
      </c>
    </row>
    <row r="44" ht="14.25" customHeight="1">
      <c r="A44" s="38" t="s">
        <v>1170</v>
      </c>
      <c r="B44" s="38" t="s">
        <v>1168</v>
      </c>
      <c r="C44" s="38" t="s">
        <v>267</v>
      </c>
      <c r="D44" s="38" t="s">
        <v>1171</v>
      </c>
      <c r="E44" s="58"/>
      <c r="F44" s="58">
        <v>1.0</v>
      </c>
      <c r="G44" s="38" t="s">
        <v>1168</v>
      </c>
      <c r="H44" s="38" t="s">
        <v>242</v>
      </c>
      <c r="I44" s="38" t="s">
        <v>267</v>
      </c>
      <c r="J44" s="38" t="s">
        <v>2757</v>
      </c>
    </row>
    <row r="45" ht="14.25" customHeight="1">
      <c r="A45" s="39" t="s">
        <v>1170</v>
      </c>
      <c r="B45" s="39" t="s">
        <v>1168</v>
      </c>
      <c r="C45" s="39" t="s">
        <v>243</v>
      </c>
      <c r="D45" s="39" t="s">
        <v>1171</v>
      </c>
      <c r="E45" s="59"/>
      <c r="F45" s="59">
        <v>1.0</v>
      </c>
      <c r="G45" s="39" t="s">
        <v>1168</v>
      </c>
      <c r="H45" s="39" t="s">
        <v>242</v>
      </c>
      <c r="I45" s="39" t="s">
        <v>243</v>
      </c>
      <c r="J45" s="39" t="s">
        <v>2757</v>
      </c>
    </row>
    <row r="46" ht="14.25" customHeight="1">
      <c r="A46" s="38" t="s">
        <v>1170</v>
      </c>
      <c r="B46" s="38" t="s">
        <v>1168</v>
      </c>
      <c r="C46" s="38" t="s">
        <v>346</v>
      </c>
      <c r="D46" s="38" t="s">
        <v>1171</v>
      </c>
      <c r="E46" s="58"/>
      <c r="F46" s="58">
        <v>1.0</v>
      </c>
      <c r="G46" s="38" t="s">
        <v>1168</v>
      </c>
      <c r="H46" s="38" t="s">
        <v>242</v>
      </c>
      <c r="I46" s="38" t="s">
        <v>346</v>
      </c>
      <c r="J46" s="38" t="s">
        <v>2757</v>
      </c>
    </row>
    <row r="47" ht="14.25" customHeight="1">
      <c r="A47" s="39" t="s">
        <v>1175</v>
      </c>
      <c r="B47" s="39" t="s">
        <v>1173</v>
      </c>
      <c r="C47" s="39" t="s">
        <v>267</v>
      </c>
      <c r="D47" s="39" t="s">
        <v>1176</v>
      </c>
      <c r="E47" s="59"/>
      <c r="F47" s="59">
        <v>1.0</v>
      </c>
      <c r="G47" s="39" t="s">
        <v>1173</v>
      </c>
      <c r="H47" s="39" t="s">
        <v>242</v>
      </c>
      <c r="I47" s="39" t="s">
        <v>267</v>
      </c>
      <c r="J47" s="39" t="s">
        <v>2757</v>
      </c>
    </row>
    <row r="48" ht="14.25" customHeight="1">
      <c r="A48" s="38" t="s">
        <v>1175</v>
      </c>
      <c r="B48" s="38" t="s">
        <v>1173</v>
      </c>
      <c r="C48" s="38" t="s">
        <v>243</v>
      </c>
      <c r="D48" s="38" t="s">
        <v>1176</v>
      </c>
      <c r="E48" s="58"/>
      <c r="F48" s="58">
        <v>1.0</v>
      </c>
      <c r="G48" s="38" t="s">
        <v>1173</v>
      </c>
      <c r="H48" s="38" t="s">
        <v>242</v>
      </c>
      <c r="I48" s="38" t="s">
        <v>243</v>
      </c>
      <c r="J48" s="38" t="s">
        <v>2757</v>
      </c>
    </row>
    <row r="49" ht="14.25" customHeight="1">
      <c r="A49" s="39" t="s">
        <v>1175</v>
      </c>
      <c r="B49" s="39" t="s">
        <v>1173</v>
      </c>
      <c r="C49" s="39" t="s">
        <v>346</v>
      </c>
      <c r="D49" s="39" t="s">
        <v>1176</v>
      </c>
      <c r="E49" s="59"/>
      <c r="F49" s="59">
        <v>1.0</v>
      </c>
      <c r="G49" s="39" t="s">
        <v>1173</v>
      </c>
      <c r="H49" s="39" t="s">
        <v>242</v>
      </c>
      <c r="I49" s="39" t="s">
        <v>346</v>
      </c>
      <c r="J49" s="39" t="s">
        <v>2757</v>
      </c>
    </row>
    <row r="50" ht="14.25" customHeight="1">
      <c r="A50" s="38" t="s">
        <v>1180</v>
      </c>
      <c r="B50" s="38" t="s">
        <v>1178</v>
      </c>
      <c r="C50" s="38" t="s">
        <v>267</v>
      </c>
      <c r="D50" s="38" t="s">
        <v>1181</v>
      </c>
      <c r="E50" s="58"/>
      <c r="F50" s="58">
        <v>1.0</v>
      </c>
      <c r="G50" s="38" t="s">
        <v>1178</v>
      </c>
      <c r="H50" s="38" t="s">
        <v>242</v>
      </c>
      <c r="I50" s="38" t="s">
        <v>267</v>
      </c>
      <c r="J50" s="38" t="s">
        <v>2757</v>
      </c>
    </row>
    <row r="51" ht="14.25" customHeight="1">
      <c r="A51" s="39" t="s">
        <v>1180</v>
      </c>
      <c r="B51" s="39" t="s">
        <v>1178</v>
      </c>
      <c r="C51" s="39" t="s">
        <v>243</v>
      </c>
      <c r="D51" s="39" t="s">
        <v>1181</v>
      </c>
      <c r="E51" s="59"/>
      <c r="F51" s="59">
        <v>1.0</v>
      </c>
      <c r="G51" s="39" t="s">
        <v>1178</v>
      </c>
      <c r="H51" s="39" t="s">
        <v>242</v>
      </c>
      <c r="I51" s="39" t="s">
        <v>243</v>
      </c>
      <c r="J51" s="39" t="s">
        <v>2757</v>
      </c>
    </row>
    <row r="52" ht="14.25" customHeight="1">
      <c r="A52" s="38" t="s">
        <v>1180</v>
      </c>
      <c r="B52" s="38" t="s">
        <v>1178</v>
      </c>
      <c r="C52" s="38" t="s">
        <v>346</v>
      </c>
      <c r="D52" s="38" t="s">
        <v>1181</v>
      </c>
      <c r="E52" s="58"/>
      <c r="F52" s="58">
        <v>1.0</v>
      </c>
      <c r="G52" s="38" t="s">
        <v>1178</v>
      </c>
      <c r="H52" s="38" t="s">
        <v>242</v>
      </c>
      <c r="I52" s="38" t="s">
        <v>346</v>
      </c>
      <c r="J52" s="38" t="s">
        <v>2757</v>
      </c>
    </row>
    <row r="53" ht="14.25" customHeight="1">
      <c r="A53" s="39" t="s">
        <v>1185</v>
      </c>
      <c r="B53" s="39" t="s">
        <v>1183</v>
      </c>
      <c r="C53" s="39" t="s">
        <v>267</v>
      </c>
      <c r="D53" s="39" t="s">
        <v>1186</v>
      </c>
      <c r="E53" s="59"/>
      <c r="F53" s="59">
        <v>1.0</v>
      </c>
      <c r="G53" s="39" t="s">
        <v>1183</v>
      </c>
      <c r="H53" s="39" t="s">
        <v>242</v>
      </c>
      <c r="I53" s="39" t="s">
        <v>267</v>
      </c>
      <c r="J53" s="39" t="s">
        <v>2757</v>
      </c>
    </row>
    <row r="54" ht="14.25" customHeight="1">
      <c r="A54" s="38" t="s">
        <v>1185</v>
      </c>
      <c r="B54" s="38" t="s">
        <v>1183</v>
      </c>
      <c r="C54" s="38" t="s">
        <v>243</v>
      </c>
      <c r="D54" s="38" t="s">
        <v>1186</v>
      </c>
      <c r="E54" s="58"/>
      <c r="F54" s="58">
        <v>1.0</v>
      </c>
      <c r="G54" s="38" t="s">
        <v>1183</v>
      </c>
      <c r="H54" s="38" t="s">
        <v>242</v>
      </c>
      <c r="I54" s="38" t="s">
        <v>243</v>
      </c>
      <c r="J54" s="38" t="s">
        <v>2757</v>
      </c>
    </row>
    <row r="55" ht="14.25" customHeight="1">
      <c r="A55" s="39" t="s">
        <v>1185</v>
      </c>
      <c r="B55" s="39" t="s">
        <v>1183</v>
      </c>
      <c r="C55" s="39" t="s">
        <v>346</v>
      </c>
      <c r="D55" s="39" t="s">
        <v>1186</v>
      </c>
      <c r="E55" s="59"/>
      <c r="F55" s="59">
        <v>1.0</v>
      </c>
      <c r="G55" s="39" t="s">
        <v>1183</v>
      </c>
      <c r="H55" s="39" t="s">
        <v>242</v>
      </c>
      <c r="I55" s="39" t="s">
        <v>346</v>
      </c>
      <c r="J55" s="39" t="s">
        <v>2757</v>
      </c>
    </row>
    <row r="56" ht="14.25" customHeight="1">
      <c r="A56" s="38" t="s">
        <v>1190</v>
      </c>
      <c r="B56" s="38" t="s">
        <v>1188</v>
      </c>
      <c r="C56" s="38" t="s">
        <v>267</v>
      </c>
      <c r="D56" s="38" t="s">
        <v>1191</v>
      </c>
      <c r="E56" s="58"/>
      <c r="F56" s="58">
        <v>1.0</v>
      </c>
      <c r="G56" s="38" t="s">
        <v>1188</v>
      </c>
      <c r="H56" s="38" t="s">
        <v>242</v>
      </c>
      <c r="I56" s="38" t="s">
        <v>267</v>
      </c>
      <c r="J56" s="38" t="s">
        <v>2757</v>
      </c>
    </row>
    <row r="57" ht="14.25" customHeight="1">
      <c r="A57" s="39" t="s">
        <v>1190</v>
      </c>
      <c r="B57" s="39" t="s">
        <v>1188</v>
      </c>
      <c r="C57" s="39" t="s">
        <v>243</v>
      </c>
      <c r="D57" s="39" t="s">
        <v>1191</v>
      </c>
      <c r="E57" s="59"/>
      <c r="F57" s="59">
        <v>1.0</v>
      </c>
      <c r="G57" s="39" t="s">
        <v>1188</v>
      </c>
      <c r="H57" s="39" t="s">
        <v>242</v>
      </c>
      <c r="I57" s="39" t="s">
        <v>243</v>
      </c>
      <c r="J57" s="39" t="s">
        <v>2757</v>
      </c>
    </row>
    <row r="58" ht="14.25" customHeight="1">
      <c r="A58" s="38" t="s">
        <v>1190</v>
      </c>
      <c r="B58" s="38" t="s">
        <v>1188</v>
      </c>
      <c r="C58" s="38" t="s">
        <v>346</v>
      </c>
      <c r="D58" s="38" t="s">
        <v>1191</v>
      </c>
      <c r="E58" s="58"/>
      <c r="F58" s="58">
        <v>1.0</v>
      </c>
      <c r="G58" s="38" t="s">
        <v>1188</v>
      </c>
      <c r="H58" s="38" t="s">
        <v>242</v>
      </c>
      <c r="I58" s="38" t="s">
        <v>346</v>
      </c>
      <c r="J58" s="38" t="s">
        <v>2757</v>
      </c>
    </row>
    <row r="59" ht="14.25" customHeight="1">
      <c r="A59" s="39" t="s">
        <v>1279</v>
      </c>
      <c r="B59" s="39" t="s">
        <v>1277</v>
      </c>
      <c r="C59" s="39" t="s">
        <v>267</v>
      </c>
      <c r="D59" s="39" t="s">
        <v>1280</v>
      </c>
      <c r="E59" s="59"/>
      <c r="F59" s="59">
        <v>1.0</v>
      </c>
      <c r="G59" s="39" t="s">
        <v>1277</v>
      </c>
      <c r="H59" s="39" t="s">
        <v>242</v>
      </c>
      <c r="I59" s="39" t="s">
        <v>267</v>
      </c>
      <c r="J59" s="39" t="s">
        <v>2757</v>
      </c>
    </row>
    <row r="60" ht="14.25" customHeight="1">
      <c r="A60" s="38" t="s">
        <v>1279</v>
      </c>
      <c r="B60" s="38" t="s">
        <v>1277</v>
      </c>
      <c r="C60" s="38" t="s">
        <v>243</v>
      </c>
      <c r="D60" s="38" t="s">
        <v>1280</v>
      </c>
      <c r="E60" s="58"/>
      <c r="F60" s="58">
        <v>1.0</v>
      </c>
      <c r="G60" s="38" t="s">
        <v>1277</v>
      </c>
      <c r="H60" s="38" t="s">
        <v>242</v>
      </c>
      <c r="I60" s="38" t="s">
        <v>243</v>
      </c>
      <c r="J60" s="38" t="s">
        <v>2757</v>
      </c>
    </row>
    <row r="61" ht="14.25" customHeight="1">
      <c r="A61" s="39" t="s">
        <v>1279</v>
      </c>
      <c r="B61" s="39" t="s">
        <v>1277</v>
      </c>
      <c r="C61" s="39" t="s">
        <v>346</v>
      </c>
      <c r="D61" s="39" t="s">
        <v>1280</v>
      </c>
      <c r="E61" s="59"/>
      <c r="F61" s="59">
        <v>1.0</v>
      </c>
      <c r="G61" s="39" t="s">
        <v>1277</v>
      </c>
      <c r="H61" s="39" t="s">
        <v>242</v>
      </c>
      <c r="I61" s="39" t="s">
        <v>346</v>
      </c>
      <c r="J61" s="39" t="s">
        <v>2757</v>
      </c>
    </row>
    <row r="62" ht="14.25" customHeight="1">
      <c r="A62" s="38" t="s">
        <v>1284</v>
      </c>
      <c r="B62" s="38" t="s">
        <v>1282</v>
      </c>
      <c r="C62" s="38" t="s">
        <v>267</v>
      </c>
      <c r="D62" s="38" t="s">
        <v>1285</v>
      </c>
      <c r="E62" s="58"/>
      <c r="F62" s="58">
        <v>1.0</v>
      </c>
      <c r="G62" s="38" t="s">
        <v>1282</v>
      </c>
      <c r="H62" s="38" t="s">
        <v>242</v>
      </c>
      <c r="I62" s="38" t="s">
        <v>267</v>
      </c>
      <c r="J62" s="38" t="s">
        <v>2757</v>
      </c>
    </row>
    <row r="63" ht="14.25" customHeight="1">
      <c r="A63" s="39" t="s">
        <v>1284</v>
      </c>
      <c r="B63" s="39" t="s">
        <v>1282</v>
      </c>
      <c r="C63" s="39" t="s">
        <v>243</v>
      </c>
      <c r="D63" s="39" t="s">
        <v>1285</v>
      </c>
      <c r="E63" s="59"/>
      <c r="F63" s="59">
        <v>1.0</v>
      </c>
      <c r="G63" s="39" t="s">
        <v>1282</v>
      </c>
      <c r="H63" s="39" t="s">
        <v>242</v>
      </c>
      <c r="I63" s="39" t="s">
        <v>243</v>
      </c>
      <c r="J63" s="39" t="s">
        <v>2757</v>
      </c>
    </row>
    <row r="64" ht="14.25" customHeight="1">
      <c r="A64" s="38" t="s">
        <v>1284</v>
      </c>
      <c r="B64" s="38" t="s">
        <v>1282</v>
      </c>
      <c r="C64" s="38" t="s">
        <v>346</v>
      </c>
      <c r="D64" s="38" t="s">
        <v>1285</v>
      </c>
      <c r="E64" s="58"/>
      <c r="F64" s="58">
        <v>1.0</v>
      </c>
      <c r="G64" s="38" t="s">
        <v>1282</v>
      </c>
      <c r="H64" s="38" t="s">
        <v>242</v>
      </c>
      <c r="I64" s="38" t="s">
        <v>346</v>
      </c>
      <c r="J64" s="38" t="s">
        <v>2757</v>
      </c>
    </row>
    <row r="65" ht="14.25" customHeight="1">
      <c r="A65" s="39" t="s">
        <v>1291</v>
      </c>
      <c r="B65" s="39" t="s">
        <v>1287</v>
      </c>
      <c r="C65" s="39" t="s">
        <v>267</v>
      </c>
      <c r="D65" s="39" t="s">
        <v>1292</v>
      </c>
      <c r="E65" s="59"/>
      <c r="F65" s="59">
        <v>1.0</v>
      </c>
      <c r="G65" s="39" t="s">
        <v>1287</v>
      </c>
      <c r="H65" s="39" t="s">
        <v>242</v>
      </c>
      <c r="I65" s="39" t="s">
        <v>267</v>
      </c>
      <c r="J65" s="39" t="s">
        <v>2757</v>
      </c>
    </row>
    <row r="66" ht="14.25" customHeight="1">
      <c r="A66" s="38" t="s">
        <v>1291</v>
      </c>
      <c r="B66" s="38" t="s">
        <v>1287</v>
      </c>
      <c r="C66" s="38" t="s">
        <v>243</v>
      </c>
      <c r="D66" s="38" t="s">
        <v>1292</v>
      </c>
      <c r="E66" s="58"/>
      <c r="F66" s="58">
        <v>1.0</v>
      </c>
      <c r="G66" s="38" t="s">
        <v>1287</v>
      </c>
      <c r="H66" s="38" t="s">
        <v>242</v>
      </c>
      <c r="I66" s="38" t="s">
        <v>243</v>
      </c>
      <c r="J66" s="38" t="s">
        <v>2757</v>
      </c>
    </row>
    <row r="67" ht="14.25" customHeight="1">
      <c r="A67" s="39" t="s">
        <v>1291</v>
      </c>
      <c r="B67" s="39" t="s">
        <v>1287</v>
      </c>
      <c r="C67" s="39" t="s">
        <v>346</v>
      </c>
      <c r="D67" s="39" t="s">
        <v>1292</v>
      </c>
      <c r="E67" s="59"/>
      <c r="F67" s="59">
        <v>1.0</v>
      </c>
      <c r="G67" s="39" t="s">
        <v>1287</v>
      </c>
      <c r="H67" s="39" t="s">
        <v>242</v>
      </c>
      <c r="I67" s="39" t="s">
        <v>346</v>
      </c>
      <c r="J67" s="39" t="s">
        <v>2757</v>
      </c>
    </row>
    <row r="68" ht="14.25" customHeight="1">
      <c r="A68" s="38" t="s">
        <v>1296</v>
      </c>
      <c r="B68" s="38" t="s">
        <v>1294</v>
      </c>
      <c r="C68" s="38" t="s">
        <v>267</v>
      </c>
      <c r="D68" s="38" t="s">
        <v>1297</v>
      </c>
      <c r="E68" s="58"/>
      <c r="F68" s="58">
        <v>1.0</v>
      </c>
      <c r="G68" s="38" t="s">
        <v>1294</v>
      </c>
      <c r="H68" s="38" t="s">
        <v>242</v>
      </c>
      <c r="I68" s="38" t="s">
        <v>267</v>
      </c>
      <c r="J68" s="38" t="s">
        <v>2757</v>
      </c>
    </row>
    <row r="69" ht="14.25" customHeight="1">
      <c r="A69" s="39" t="s">
        <v>1296</v>
      </c>
      <c r="B69" s="39" t="s">
        <v>1294</v>
      </c>
      <c r="C69" s="39" t="s">
        <v>243</v>
      </c>
      <c r="D69" s="39" t="s">
        <v>1297</v>
      </c>
      <c r="E69" s="59"/>
      <c r="F69" s="59">
        <v>1.0</v>
      </c>
      <c r="G69" s="39" t="s">
        <v>1294</v>
      </c>
      <c r="H69" s="39" t="s">
        <v>242</v>
      </c>
      <c r="I69" s="39" t="s">
        <v>243</v>
      </c>
      <c r="J69" s="39" t="s">
        <v>2757</v>
      </c>
    </row>
    <row r="70" ht="14.25" customHeight="1">
      <c r="A70" s="38" t="s">
        <v>1296</v>
      </c>
      <c r="B70" s="38" t="s">
        <v>1294</v>
      </c>
      <c r="C70" s="38" t="s">
        <v>346</v>
      </c>
      <c r="D70" s="38" t="s">
        <v>1297</v>
      </c>
      <c r="E70" s="58"/>
      <c r="F70" s="58">
        <v>1.0</v>
      </c>
      <c r="G70" s="38" t="s">
        <v>1294</v>
      </c>
      <c r="H70" s="38" t="s">
        <v>242</v>
      </c>
      <c r="I70" s="38" t="s">
        <v>346</v>
      </c>
      <c r="J70" s="38" t="s">
        <v>2757</v>
      </c>
    </row>
    <row r="71" ht="14.25" customHeight="1">
      <c r="A71" s="39" t="s">
        <v>1301</v>
      </c>
      <c r="B71" s="39" t="s">
        <v>1299</v>
      </c>
      <c r="C71" s="39" t="s">
        <v>267</v>
      </c>
      <c r="D71" s="39" t="s">
        <v>1302</v>
      </c>
      <c r="E71" s="59"/>
      <c r="F71" s="59">
        <v>1.0</v>
      </c>
      <c r="G71" s="39" t="s">
        <v>1299</v>
      </c>
      <c r="H71" s="39" t="s">
        <v>242</v>
      </c>
      <c r="I71" s="39" t="s">
        <v>267</v>
      </c>
      <c r="J71" s="39" t="s">
        <v>2757</v>
      </c>
    </row>
    <row r="72" ht="14.25" customHeight="1">
      <c r="A72" s="38" t="s">
        <v>1301</v>
      </c>
      <c r="B72" s="38" t="s">
        <v>1299</v>
      </c>
      <c r="C72" s="38" t="s">
        <v>243</v>
      </c>
      <c r="D72" s="38" t="s">
        <v>1302</v>
      </c>
      <c r="E72" s="58"/>
      <c r="F72" s="58">
        <v>1.0</v>
      </c>
      <c r="G72" s="38" t="s">
        <v>1299</v>
      </c>
      <c r="H72" s="38" t="s">
        <v>242</v>
      </c>
      <c r="I72" s="38" t="s">
        <v>243</v>
      </c>
      <c r="J72" s="38" t="s">
        <v>2757</v>
      </c>
    </row>
    <row r="73" ht="14.25" customHeight="1">
      <c r="A73" s="39" t="s">
        <v>1301</v>
      </c>
      <c r="B73" s="39" t="s">
        <v>1299</v>
      </c>
      <c r="C73" s="39" t="s">
        <v>346</v>
      </c>
      <c r="D73" s="39" t="s">
        <v>1302</v>
      </c>
      <c r="E73" s="59"/>
      <c r="F73" s="59">
        <v>1.0</v>
      </c>
      <c r="G73" s="39" t="s">
        <v>1299</v>
      </c>
      <c r="H73" s="39" t="s">
        <v>242</v>
      </c>
      <c r="I73" s="39" t="s">
        <v>346</v>
      </c>
      <c r="J73" s="39" t="s">
        <v>2757</v>
      </c>
    </row>
    <row r="74" ht="14.25" customHeight="1">
      <c r="A74" s="38" t="s">
        <v>1306</v>
      </c>
      <c r="B74" s="38" t="s">
        <v>1304</v>
      </c>
      <c r="C74" s="38" t="s">
        <v>267</v>
      </c>
      <c r="D74" s="38" t="s">
        <v>1307</v>
      </c>
      <c r="E74" s="58"/>
      <c r="F74" s="58">
        <v>1.0</v>
      </c>
      <c r="G74" s="38" t="s">
        <v>1304</v>
      </c>
      <c r="H74" s="38" t="s">
        <v>242</v>
      </c>
      <c r="I74" s="38" t="s">
        <v>267</v>
      </c>
      <c r="J74" s="38" t="s">
        <v>2757</v>
      </c>
    </row>
    <row r="75" ht="14.25" customHeight="1">
      <c r="A75" s="39" t="s">
        <v>1306</v>
      </c>
      <c r="B75" s="39" t="s">
        <v>1304</v>
      </c>
      <c r="C75" s="39" t="s">
        <v>243</v>
      </c>
      <c r="D75" s="39" t="s">
        <v>1307</v>
      </c>
      <c r="E75" s="59"/>
      <c r="F75" s="59">
        <v>1.0</v>
      </c>
      <c r="G75" s="39" t="s">
        <v>1304</v>
      </c>
      <c r="H75" s="39" t="s">
        <v>242</v>
      </c>
      <c r="I75" s="39" t="s">
        <v>243</v>
      </c>
      <c r="J75" s="39" t="s">
        <v>2757</v>
      </c>
    </row>
    <row r="76" ht="14.25" customHeight="1">
      <c r="A76" s="38" t="s">
        <v>1306</v>
      </c>
      <c r="B76" s="38" t="s">
        <v>1304</v>
      </c>
      <c r="C76" s="38" t="s">
        <v>346</v>
      </c>
      <c r="D76" s="38" t="s">
        <v>1307</v>
      </c>
      <c r="E76" s="58"/>
      <c r="F76" s="58">
        <v>1.0</v>
      </c>
      <c r="G76" s="38" t="s">
        <v>1304</v>
      </c>
      <c r="H76" s="38" t="s">
        <v>242</v>
      </c>
      <c r="I76" s="38" t="s">
        <v>346</v>
      </c>
      <c r="J76" s="38" t="s">
        <v>2757</v>
      </c>
    </row>
    <row r="77" ht="14.25" customHeight="1">
      <c r="A77" s="39" t="s">
        <v>1311</v>
      </c>
      <c r="B77" s="39" t="s">
        <v>1309</v>
      </c>
      <c r="C77" s="39" t="s">
        <v>267</v>
      </c>
      <c r="D77" s="39" t="s">
        <v>1312</v>
      </c>
      <c r="E77" s="59"/>
      <c r="F77" s="59">
        <v>1.0</v>
      </c>
      <c r="G77" s="39" t="s">
        <v>1309</v>
      </c>
      <c r="H77" s="39" t="s">
        <v>242</v>
      </c>
      <c r="I77" s="39" t="s">
        <v>267</v>
      </c>
      <c r="J77" s="39" t="s">
        <v>2757</v>
      </c>
    </row>
    <row r="78" ht="14.25" customHeight="1">
      <c r="A78" s="38" t="s">
        <v>1311</v>
      </c>
      <c r="B78" s="38" t="s">
        <v>1309</v>
      </c>
      <c r="C78" s="38" t="s">
        <v>243</v>
      </c>
      <c r="D78" s="38" t="s">
        <v>1312</v>
      </c>
      <c r="E78" s="58"/>
      <c r="F78" s="58">
        <v>1.0</v>
      </c>
      <c r="G78" s="38" t="s">
        <v>1309</v>
      </c>
      <c r="H78" s="38" t="s">
        <v>242</v>
      </c>
      <c r="I78" s="38" t="s">
        <v>243</v>
      </c>
      <c r="J78" s="38" t="s">
        <v>2757</v>
      </c>
    </row>
    <row r="79" ht="14.25" customHeight="1">
      <c r="A79" s="39" t="s">
        <v>1311</v>
      </c>
      <c r="B79" s="39" t="s">
        <v>1309</v>
      </c>
      <c r="C79" s="39" t="s">
        <v>346</v>
      </c>
      <c r="D79" s="39" t="s">
        <v>1312</v>
      </c>
      <c r="E79" s="59"/>
      <c r="F79" s="59">
        <v>1.0</v>
      </c>
      <c r="G79" s="39" t="s">
        <v>1309</v>
      </c>
      <c r="H79" s="39" t="s">
        <v>242</v>
      </c>
      <c r="I79" s="39" t="s">
        <v>346</v>
      </c>
      <c r="J79" s="39" t="s">
        <v>2757</v>
      </c>
    </row>
    <row r="80" ht="14.25" customHeight="1">
      <c r="A80" s="38" t="s">
        <v>1317</v>
      </c>
      <c r="B80" s="38" t="s">
        <v>1314</v>
      </c>
      <c r="C80" s="38" t="s">
        <v>267</v>
      </c>
      <c r="D80" s="38" t="s">
        <v>1318</v>
      </c>
      <c r="E80" s="58"/>
      <c r="F80" s="58">
        <v>1.0</v>
      </c>
      <c r="G80" s="38" t="s">
        <v>1314</v>
      </c>
      <c r="H80" s="38" t="s">
        <v>242</v>
      </c>
      <c r="I80" s="38" t="s">
        <v>267</v>
      </c>
      <c r="J80" s="38" t="s">
        <v>2757</v>
      </c>
    </row>
    <row r="81" ht="14.25" customHeight="1">
      <c r="A81" s="39" t="s">
        <v>1317</v>
      </c>
      <c r="B81" s="39" t="s">
        <v>1314</v>
      </c>
      <c r="C81" s="39" t="s">
        <v>243</v>
      </c>
      <c r="D81" s="39" t="s">
        <v>1318</v>
      </c>
      <c r="E81" s="59"/>
      <c r="F81" s="59">
        <v>1.0</v>
      </c>
      <c r="G81" s="39" t="s">
        <v>1314</v>
      </c>
      <c r="H81" s="39" t="s">
        <v>242</v>
      </c>
      <c r="I81" s="39" t="s">
        <v>243</v>
      </c>
      <c r="J81" s="39" t="s">
        <v>2757</v>
      </c>
    </row>
    <row r="82" ht="14.25" customHeight="1">
      <c r="A82" s="38" t="s">
        <v>1317</v>
      </c>
      <c r="B82" s="38" t="s">
        <v>1314</v>
      </c>
      <c r="C82" s="38" t="s">
        <v>346</v>
      </c>
      <c r="D82" s="38" t="s">
        <v>1318</v>
      </c>
      <c r="E82" s="58"/>
      <c r="F82" s="58">
        <v>1.0</v>
      </c>
      <c r="G82" s="38" t="s">
        <v>1314</v>
      </c>
      <c r="H82" s="38" t="s">
        <v>242</v>
      </c>
      <c r="I82" s="38" t="s">
        <v>346</v>
      </c>
      <c r="J82" s="38" t="s">
        <v>2757</v>
      </c>
    </row>
    <row r="83" ht="14.25" customHeight="1">
      <c r="A83" s="39" t="s">
        <v>1322</v>
      </c>
      <c r="B83" s="39" t="s">
        <v>1320</v>
      </c>
      <c r="C83" s="39" t="s">
        <v>267</v>
      </c>
      <c r="D83" s="39" t="s">
        <v>1323</v>
      </c>
      <c r="E83" s="59"/>
      <c r="F83" s="59">
        <v>1.0</v>
      </c>
      <c r="G83" s="39" t="s">
        <v>1320</v>
      </c>
      <c r="H83" s="39" t="s">
        <v>242</v>
      </c>
      <c r="I83" s="39" t="s">
        <v>267</v>
      </c>
      <c r="J83" s="39" t="s">
        <v>2757</v>
      </c>
    </row>
    <row r="84" ht="14.25" customHeight="1">
      <c r="A84" s="38" t="s">
        <v>1322</v>
      </c>
      <c r="B84" s="38" t="s">
        <v>1320</v>
      </c>
      <c r="C84" s="38" t="s">
        <v>243</v>
      </c>
      <c r="D84" s="38" t="s">
        <v>1323</v>
      </c>
      <c r="E84" s="58"/>
      <c r="F84" s="58">
        <v>1.0</v>
      </c>
      <c r="G84" s="38" t="s">
        <v>1320</v>
      </c>
      <c r="H84" s="38" t="s">
        <v>242</v>
      </c>
      <c r="I84" s="38" t="s">
        <v>243</v>
      </c>
      <c r="J84" s="38" t="s">
        <v>2757</v>
      </c>
    </row>
    <row r="85" ht="14.25" customHeight="1">
      <c r="A85" s="39" t="s">
        <v>1322</v>
      </c>
      <c r="B85" s="39" t="s">
        <v>1320</v>
      </c>
      <c r="C85" s="39" t="s">
        <v>346</v>
      </c>
      <c r="D85" s="39" t="s">
        <v>1323</v>
      </c>
      <c r="E85" s="59"/>
      <c r="F85" s="59">
        <v>1.0</v>
      </c>
      <c r="G85" s="39" t="s">
        <v>1320</v>
      </c>
      <c r="H85" s="39" t="s">
        <v>242</v>
      </c>
      <c r="I85" s="39" t="s">
        <v>346</v>
      </c>
      <c r="J85" s="39" t="s">
        <v>2757</v>
      </c>
    </row>
    <row r="86" ht="14.25" customHeight="1">
      <c r="A86" s="38" t="s">
        <v>1327</v>
      </c>
      <c r="B86" s="38" t="s">
        <v>1325</v>
      </c>
      <c r="C86" s="38" t="s">
        <v>267</v>
      </c>
      <c r="D86" s="38" t="s">
        <v>1328</v>
      </c>
      <c r="E86" s="58"/>
      <c r="F86" s="58">
        <v>1.0</v>
      </c>
      <c r="G86" s="38" t="s">
        <v>1325</v>
      </c>
      <c r="H86" s="38" t="s">
        <v>242</v>
      </c>
      <c r="I86" s="38" t="s">
        <v>267</v>
      </c>
      <c r="J86" s="38" t="s">
        <v>2757</v>
      </c>
    </row>
    <row r="87" ht="14.25" customHeight="1">
      <c r="A87" s="39" t="s">
        <v>1327</v>
      </c>
      <c r="B87" s="39" t="s">
        <v>1325</v>
      </c>
      <c r="C87" s="39" t="s">
        <v>243</v>
      </c>
      <c r="D87" s="39" t="s">
        <v>1328</v>
      </c>
      <c r="E87" s="59"/>
      <c r="F87" s="59">
        <v>1.0</v>
      </c>
      <c r="G87" s="39" t="s">
        <v>1325</v>
      </c>
      <c r="H87" s="39" t="s">
        <v>242</v>
      </c>
      <c r="I87" s="39" t="s">
        <v>243</v>
      </c>
      <c r="J87" s="39" t="s">
        <v>2757</v>
      </c>
    </row>
    <row r="88" ht="14.25" customHeight="1">
      <c r="A88" s="38" t="s">
        <v>1327</v>
      </c>
      <c r="B88" s="38" t="s">
        <v>1325</v>
      </c>
      <c r="C88" s="38" t="s">
        <v>346</v>
      </c>
      <c r="D88" s="38" t="s">
        <v>1328</v>
      </c>
      <c r="E88" s="58"/>
      <c r="F88" s="58">
        <v>1.0</v>
      </c>
      <c r="G88" s="38" t="s">
        <v>1325</v>
      </c>
      <c r="H88" s="38" t="s">
        <v>242</v>
      </c>
      <c r="I88" s="38" t="s">
        <v>346</v>
      </c>
      <c r="J88" s="38" t="s">
        <v>2757</v>
      </c>
    </row>
    <row r="89" ht="14.25" customHeight="1">
      <c r="A89" s="39" t="s">
        <v>1331</v>
      </c>
      <c r="B89" s="39" t="s">
        <v>1330</v>
      </c>
      <c r="C89" s="39" t="s">
        <v>267</v>
      </c>
      <c r="D89" s="39" t="s">
        <v>1332</v>
      </c>
      <c r="E89" s="59"/>
      <c r="F89" s="59">
        <v>1.0</v>
      </c>
      <c r="G89" s="39" t="s">
        <v>1330</v>
      </c>
      <c r="H89" s="39" t="s">
        <v>242</v>
      </c>
      <c r="I89" s="39" t="s">
        <v>267</v>
      </c>
      <c r="J89" s="39" t="s">
        <v>2757</v>
      </c>
    </row>
    <row r="90" ht="14.25" customHeight="1">
      <c r="A90" s="38" t="s">
        <v>1331</v>
      </c>
      <c r="B90" s="38" t="s">
        <v>1330</v>
      </c>
      <c r="C90" s="38" t="s">
        <v>243</v>
      </c>
      <c r="D90" s="38" t="s">
        <v>1332</v>
      </c>
      <c r="E90" s="58"/>
      <c r="F90" s="58">
        <v>1.0</v>
      </c>
      <c r="G90" s="38" t="s">
        <v>1330</v>
      </c>
      <c r="H90" s="38" t="s">
        <v>242</v>
      </c>
      <c r="I90" s="38" t="s">
        <v>243</v>
      </c>
      <c r="J90" s="38" t="s">
        <v>2757</v>
      </c>
    </row>
    <row r="91" ht="14.25" customHeight="1">
      <c r="A91" s="39" t="s">
        <v>1331</v>
      </c>
      <c r="B91" s="39" t="s">
        <v>1330</v>
      </c>
      <c r="C91" s="39" t="s">
        <v>346</v>
      </c>
      <c r="D91" s="39" t="s">
        <v>1332</v>
      </c>
      <c r="E91" s="59"/>
      <c r="F91" s="59">
        <v>1.0</v>
      </c>
      <c r="G91" s="39" t="s">
        <v>1330</v>
      </c>
      <c r="H91" s="39" t="s">
        <v>242</v>
      </c>
      <c r="I91" s="39" t="s">
        <v>346</v>
      </c>
      <c r="J91" s="39" t="s">
        <v>2757</v>
      </c>
    </row>
    <row r="92" ht="14.25" customHeight="1">
      <c r="A92" s="38" t="s">
        <v>1336</v>
      </c>
      <c r="B92" s="38" t="s">
        <v>1334</v>
      </c>
      <c r="C92" s="38" t="s">
        <v>267</v>
      </c>
      <c r="D92" s="38" t="s">
        <v>1337</v>
      </c>
      <c r="E92" s="58"/>
      <c r="F92" s="58">
        <v>1.0</v>
      </c>
      <c r="G92" s="38" t="s">
        <v>1334</v>
      </c>
      <c r="H92" s="38" t="s">
        <v>242</v>
      </c>
      <c r="I92" s="38" t="s">
        <v>267</v>
      </c>
      <c r="J92" s="38" t="s">
        <v>2757</v>
      </c>
    </row>
    <row r="93" ht="14.25" customHeight="1">
      <c r="A93" s="39" t="s">
        <v>1336</v>
      </c>
      <c r="B93" s="39" t="s">
        <v>1334</v>
      </c>
      <c r="C93" s="39" t="s">
        <v>243</v>
      </c>
      <c r="D93" s="39" t="s">
        <v>1337</v>
      </c>
      <c r="E93" s="59"/>
      <c r="F93" s="59">
        <v>1.0</v>
      </c>
      <c r="G93" s="39" t="s">
        <v>1334</v>
      </c>
      <c r="H93" s="39" t="s">
        <v>242</v>
      </c>
      <c r="I93" s="39" t="s">
        <v>243</v>
      </c>
      <c r="J93" s="39" t="s">
        <v>2757</v>
      </c>
    </row>
    <row r="94" ht="14.25" customHeight="1">
      <c r="A94" s="38" t="s">
        <v>1336</v>
      </c>
      <c r="B94" s="38" t="s">
        <v>1334</v>
      </c>
      <c r="C94" s="38" t="s">
        <v>346</v>
      </c>
      <c r="D94" s="38" t="s">
        <v>1337</v>
      </c>
      <c r="E94" s="58"/>
      <c r="F94" s="58">
        <v>1.0</v>
      </c>
      <c r="G94" s="38" t="s">
        <v>1334</v>
      </c>
      <c r="H94" s="38" t="s">
        <v>242</v>
      </c>
      <c r="I94" s="38" t="s">
        <v>346</v>
      </c>
      <c r="J94" s="38" t="s">
        <v>2757</v>
      </c>
    </row>
    <row r="95" ht="14.25" customHeight="1">
      <c r="A95" s="39" t="s">
        <v>1340</v>
      </c>
      <c r="B95" s="39" t="s">
        <v>1339</v>
      </c>
      <c r="C95" s="39" t="s">
        <v>267</v>
      </c>
      <c r="D95" s="39" t="s">
        <v>1341</v>
      </c>
      <c r="E95" s="59"/>
      <c r="F95" s="59">
        <v>1.0</v>
      </c>
      <c r="G95" s="39" t="s">
        <v>1339</v>
      </c>
      <c r="H95" s="39" t="s">
        <v>242</v>
      </c>
      <c r="I95" s="39" t="s">
        <v>267</v>
      </c>
      <c r="J95" s="39" t="s">
        <v>2757</v>
      </c>
    </row>
    <row r="96" ht="14.25" customHeight="1">
      <c r="A96" s="38" t="s">
        <v>1340</v>
      </c>
      <c r="B96" s="38" t="s">
        <v>1339</v>
      </c>
      <c r="C96" s="38" t="s">
        <v>243</v>
      </c>
      <c r="D96" s="38" t="s">
        <v>1341</v>
      </c>
      <c r="E96" s="58"/>
      <c r="F96" s="58">
        <v>1.0</v>
      </c>
      <c r="G96" s="38" t="s">
        <v>1339</v>
      </c>
      <c r="H96" s="38" t="s">
        <v>242</v>
      </c>
      <c r="I96" s="38" t="s">
        <v>243</v>
      </c>
      <c r="J96" s="38" t="s">
        <v>2757</v>
      </c>
    </row>
    <row r="97" ht="14.25" customHeight="1">
      <c r="A97" s="39" t="s">
        <v>1340</v>
      </c>
      <c r="B97" s="39" t="s">
        <v>1339</v>
      </c>
      <c r="C97" s="39" t="s">
        <v>346</v>
      </c>
      <c r="D97" s="39" t="s">
        <v>1341</v>
      </c>
      <c r="E97" s="59"/>
      <c r="F97" s="59">
        <v>1.0</v>
      </c>
      <c r="G97" s="39" t="s">
        <v>1339</v>
      </c>
      <c r="H97" s="39" t="s">
        <v>242</v>
      </c>
      <c r="I97" s="39" t="s">
        <v>346</v>
      </c>
      <c r="J97" s="39" t="s">
        <v>2757</v>
      </c>
    </row>
    <row r="98" ht="14.25" customHeight="1">
      <c r="A98" s="38" t="s">
        <v>1344</v>
      </c>
      <c r="B98" s="38" t="s">
        <v>1343</v>
      </c>
      <c r="C98" s="38" t="s">
        <v>267</v>
      </c>
      <c r="D98" s="38" t="s">
        <v>1345</v>
      </c>
      <c r="E98" s="58"/>
      <c r="F98" s="58">
        <v>1.0</v>
      </c>
      <c r="G98" s="38" t="s">
        <v>1343</v>
      </c>
      <c r="H98" s="38" t="s">
        <v>242</v>
      </c>
      <c r="I98" s="38" t="s">
        <v>267</v>
      </c>
      <c r="J98" s="38" t="s">
        <v>2757</v>
      </c>
    </row>
    <row r="99" ht="14.25" customHeight="1">
      <c r="A99" s="39" t="s">
        <v>1344</v>
      </c>
      <c r="B99" s="39" t="s">
        <v>1343</v>
      </c>
      <c r="C99" s="39" t="s">
        <v>243</v>
      </c>
      <c r="D99" s="39" t="s">
        <v>1345</v>
      </c>
      <c r="E99" s="59"/>
      <c r="F99" s="59">
        <v>1.0</v>
      </c>
      <c r="G99" s="39" t="s">
        <v>1343</v>
      </c>
      <c r="H99" s="39" t="s">
        <v>242</v>
      </c>
      <c r="I99" s="39" t="s">
        <v>243</v>
      </c>
      <c r="J99" s="39" t="s">
        <v>2757</v>
      </c>
    </row>
    <row r="100" ht="14.25" customHeight="1">
      <c r="A100" s="38" t="s">
        <v>1344</v>
      </c>
      <c r="B100" s="38" t="s">
        <v>1343</v>
      </c>
      <c r="C100" s="38" t="s">
        <v>346</v>
      </c>
      <c r="D100" s="38" t="s">
        <v>1345</v>
      </c>
      <c r="E100" s="58"/>
      <c r="F100" s="58">
        <v>1.0</v>
      </c>
      <c r="G100" s="38" t="s">
        <v>1343</v>
      </c>
      <c r="H100" s="38" t="s">
        <v>242</v>
      </c>
      <c r="I100" s="38" t="s">
        <v>346</v>
      </c>
      <c r="J100" s="38" t="s">
        <v>2757</v>
      </c>
    </row>
    <row r="101" ht="14.25" customHeight="1">
      <c r="A101" s="39" t="s">
        <v>1353</v>
      </c>
      <c r="B101" s="39" t="s">
        <v>1351</v>
      </c>
      <c r="C101" s="39" t="s">
        <v>267</v>
      </c>
      <c r="D101" s="39" t="s">
        <v>1354</v>
      </c>
      <c r="E101" s="59"/>
      <c r="F101" s="59">
        <v>1.0</v>
      </c>
      <c r="G101" s="39" t="s">
        <v>1351</v>
      </c>
      <c r="H101" s="39" t="s">
        <v>242</v>
      </c>
      <c r="I101" s="39" t="s">
        <v>267</v>
      </c>
      <c r="J101" s="39" t="s">
        <v>2757</v>
      </c>
    </row>
    <row r="102" ht="14.25" customHeight="1">
      <c r="A102" s="38" t="s">
        <v>1353</v>
      </c>
      <c r="B102" s="38" t="s">
        <v>1351</v>
      </c>
      <c r="C102" s="38" t="s">
        <v>243</v>
      </c>
      <c r="D102" s="38" t="s">
        <v>1354</v>
      </c>
      <c r="E102" s="58"/>
      <c r="F102" s="58">
        <v>1.0</v>
      </c>
      <c r="G102" s="38" t="s">
        <v>1351</v>
      </c>
      <c r="H102" s="38" t="s">
        <v>242</v>
      </c>
      <c r="I102" s="38" t="s">
        <v>243</v>
      </c>
      <c r="J102" s="38" t="s">
        <v>2757</v>
      </c>
    </row>
    <row r="103" ht="14.25" customHeight="1">
      <c r="A103" s="39" t="s">
        <v>1353</v>
      </c>
      <c r="B103" s="39" t="s">
        <v>1351</v>
      </c>
      <c r="C103" s="39" t="s">
        <v>346</v>
      </c>
      <c r="D103" s="39" t="s">
        <v>1354</v>
      </c>
      <c r="E103" s="59"/>
      <c r="F103" s="59">
        <v>1.0</v>
      </c>
      <c r="G103" s="39" t="s">
        <v>1351</v>
      </c>
      <c r="H103" s="39" t="s">
        <v>242</v>
      </c>
      <c r="I103" s="39" t="s">
        <v>346</v>
      </c>
      <c r="J103" s="39" t="s">
        <v>2757</v>
      </c>
    </row>
    <row r="104" ht="14.25" customHeight="1">
      <c r="A104" s="38" t="s">
        <v>1374</v>
      </c>
      <c r="B104" s="38" t="s">
        <v>1372</v>
      </c>
      <c r="C104" s="38" t="s">
        <v>267</v>
      </c>
      <c r="D104" s="38" t="s">
        <v>1375</v>
      </c>
      <c r="E104" s="58"/>
      <c r="F104" s="58">
        <v>1.0</v>
      </c>
      <c r="G104" s="38" t="s">
        <v>1372</v>
      </c>
      <c r="H104" s="38" t="s">
        <v>242</v>
      </c>
      <c r="I104" s="38" t="s">
        <v>267</v>
      </c>
      <c r="J104" s="38" t="s">
        <v>2757</v>
      </c>
    </row>
    <row r="105" ht="14.25" customHeight="1">
      <c r="A105" s="39" t="s">
        <v>1374</v>
      </c>
      <c r="B105" s="39" t="s">
        <v>1372</v>
      </c>
      <c r="C105" s="39" t="s">
        <v>243</v>
      </c>
      <c r="D105" s="39" t="s">
        <v>1375</v>
      </c>
      <c r="E105" s="59"/>
      <c r="F105" s="59">
        <v>1.0</v>
      </c>
      <c r="G105" s="39" t="s">
        <v>1372</v>
      </c>
      <c r="H105" s="39" t="s">
        <v>242</v>
      </c>
      <c r="I105" s="39" t="s">
        <v>243</v>
      </c>
      <c r="J105" s="39" t="s">
        <v>2757</v>
      </c>
    </row>
    <row r="106" ht="14.25" customHeight="1">
      <c r="A106" s="38" t="s">
        <v>1374</v>
      </c>
      <c r="B106" s="38" t="s">
        <v>1372</v>
      </c>
      <c r="C106" s="38" t="s">
        <v>346</v>
      </c>
      <c r="D106" s="38" t="s">
        <v>1375</v>
      </c>
      <c r="E106" s="58"/>
      <c r="F106" s="58">
        <v>1.0</v>
      </c>
      <c r="G106" s="38" t="s">
        <v>1372</v>
      </c>
      <c r="H106" s="38" t="s">
        <v>242</v>
      </c>
      <c r="I106" s="38" t="s">
        <v>346</v>
      </c>
      <c r="J106" s="38" t="s">
        <v>2757</v>
      </c>
    </row>
    <row r="107" ht="14.25" customHeight="1">
      <c r="A107" s="39" t="s">
        <v>1379</v>
      </c>
      <c r="B107" s="39" t="s">
        <v>1377</v>
      </c>
      <c r="C107" s="39" t="s">
        <v>267</v>
      </c>
      <c r="D107" s="39" t="s">
        <v>1380</v>
      </c>
      <c r="E107" s="59"/>
      <c r="F107" s="59">
        <v>1.0</v>
      </c>
      <c r="G107" s="39" t="s">
        <v>1377</v>
      </c>
      <c r="H107" s="39" t="s">
        <v>242</v>
      </c>
      <c r="I107" s="39" t="s">
        <v>267</v>
      </c>
      <c r="J107" s="39" t="s">
        <v>2757</v>
      </c>
    </row>
    <row r="108" ht="14.25" customHeight="1">
      <c r="A108" s="38" t="s">
        <v>1379</v>
      </c>
      <c r="B108" s="38" t="s">
        <v>1377</v>
      </c>
      <c r="C108" s="38" t="s">
        <v>243</v>
      </c>
      <c r="D108" s="38" t="s">
        <v>1380</v>
      </c>
      <c r="E108" s="58"/>
      <c r="F108" s="58">
        <v>1.0</v>
      </c>
      <c r="G108" s="38" t="s">
        <v>1377</v>
      </c>
      <c r="H108" s="38" t="s">
        <v>242</v>
      </c>
      <c r="I108" s="38" t="s">
        <v>243</v>
      </c>
      <c r="J108" s="38" t="s">
        <v>2757</v>
      </c>
    </row>
    <row r="109" ht="14.25" customHeight="1">
      <c r="A109" s="39" t="s">
        <v>1379</v>
      </c>
      <c r="B109" s="39" t="s">
        <v>1377</v>
      </c>
      <c r="C109" s="39" t="s">
        <v>346</v>
      </c>
      <c r="D109" s="39" t="s">
        <v>1380</v>
      </c>
      <c r="E109" s="59"/>
      <c r="F109" s="59">
        <v>1.0</v>
      </c>
      <c r="G109" s="39" t="s">
        <v>1377</v>
      </c>
      <c r="H109" s="39" t="s">
        <v>242</v>
      </c>
      <c r="I109" s="39" t="s">
        <v>346</v>
      </c>
      <c r="J109" s="39" t="s">
        <v>2757</v>
      </c>
    </row>
    <row r="110" ht="14.25" customHeight="1">
      <c r="A110" s="38" t="s">
        <v>1385</v>
      </c>
      <c r="B110" s="38" t="s">
        <v>1382</v>
      </c>
      <c r="C110" s="38" t="s">
        <v>267</v>
      </c>
      <c r="D110" s="38" t="s">
        <v>1386</v>
      </c>
      <c r="E110" s="58"/>
      <c r="F110" s="58">
        <v>1.0</v>
      </c>
      <c r="G110" s="38" t="s">
        <v>1382</v>
      </c>
      <c r="H110" s="38" t="s">
        <v>242</v>
      </c>
      <c r="I110" s="38" t="s">
        <v>267</v>
      </c>
      <c r="J110" s="38" t="s">
        <v>2757</v>
      </c>
    </row>
    <row r="111" ht="14.25" customHeight="1">
      <c r="A111" s="39" t="s">
        <v>1385</v>
      </c>
      <c r="B111" s="39" t="s">
        <v>1382</v>
      </c>
      <c r="C111" s="39" t="s">
        <v>243</v>
      </c>
      <c r="D111" s="39" t="s">
        <v>1386</v>
      </c>
      <c r="E111" s="59"/>
      <c r="F111" s="59">
        <v>1.0</v>
      </c>
      <c r="G111" s="39" t="s">
        <v>1382</v>
      </c>
      <c r="H111" s="39" t="s">
        <v>242</v>
      </c>
      <c r="I111" s="39" t="s">
        <v>243</v>
      </c>
      <c r="J111" s="39" t="s">
        <v>2757</v>
      </c>
    </row>
    <row r="112" ht="14.25" customHeight="1">
      <c r="A112" s="38" t="s">
        <v>1385</v>
      </c>
      <c r="B112" s="38" t="s">
        <v>1382</v>
      </c>
      <c r="C112" s="38" t="s">
        <v>346</v>
      </c>
      <c r="D112" s="38" t="s">
        <v>1386</v>
      </c>
      <c r="E112" s="58"/>
      <c r="F112" s="58">
        <v>1.0</v>
      </c>
      <c r="G112" s="38" t="s">
        <v>1382</v>
      </c>
      <c r="H112" s="38" t="s">
        <v>242</v>
      </c>
      <c r="I112" s="38" t="s">
        <v>346</v>
      </c>
      <c r="J112" s="38" t="s">
        <v>2757</v>
      </c>
    </row>
    <row r="113" ht="14.25" customHeight="1">
      <c r="A113" s="39" t="s">
        <v>1391</v>
      </c>
      <c r="B113" s="39" t="s">
        <v>1388</v>
      </c>
      <c r="C113" s="39" t="s">
        <v>267</v>
      </c>
      <c r="D113" s="39" t="s">
        <v>1392</v>
      </c>
      <c r="E113" s="59"/>
      <c r="F113" s="59">
        <v>1.0</v>
      </c>
      <c r="G113" s="39" t="s">
        <v>1388</v>
      </c>
      <c r="H113" s="39" t="s">
        <v>242</v>
      </c>
      <c r="I113" s="39" t="s">
        <v>267</v>
      </c>
      <c r="J113" s="39" t="s">
        <v>2757</v>
      </c>
    </row>
    <row r="114" ht="14.25" customHeight="1">
      <c r="A114" s="38" t="s">
        <v>1391</v>
      </c>
      <c r="B114" s="38" t="s">
        <v>1388</v>
      </c>
      <c r="C114" s="38" t="s">
        <v>243</v>
      </c>
      <c r="D114" s="38" t="s">
        <v>1392</v>
      </c>
      <c r="E114" s="58"/>
      <c r="F114" s="58">
        <v>1.0</v>
      </c>
      <c r="G114" s="38" t="s">
        <v>1388</v>
      </c>
      <c r="H114" s="38" t="s">
        <v>242</v>
      </c>
      <c r="I114" s="38" t="s">
        <v>243</v>
      </c>
      <c r="J114" s="38" t="s">
        <v>2757</v>
      </c>
    </row>
    <row r="115" ht="14.25" customHeight="1">
      <c r="A115" s="39" t="s">
        <v>1391</v>
      </c>
      <c r="B115" s="39" t="s">
        <v>1388</v>
      </c>
      <c r="C115" s="39" t="s">
        <v>346</v>
      </c>
      <c r="D115" s="39" t="s">
        <v>1392</v>
      </c>
      <c r="E115" s="59"/>
      <c r="F115" s="59">
        <v>1.0</v>
      </c>
      <c r="G115" s="39" t="s">
        <v>1388</v>
      </c>
      <c r="H115" s="39" t="s">
        <v>242</v>
      </c>
      <c r="I115" s="39" t="s">
        <v>346</v>
      </c>
      <c r="J115" s="39" t="s">
        <v>2757</v>
      </c>
    </row>
    <row r="116" ht="14.25" customHeight="1">
      <c r="A116" s="38" t="s">
        <v>1397</v>
      </c>
      <c r="B116" s="38" t="s">
        <v>1395</v>
      </c>
      <c r="C116" s="38" t="s">
        <v>267</v>
      </c>
      <c r="D116" s="38" t="s">
        <v>1398</v>
      </c>
      <c r="E116" s="58"/>
      <c r="F116" s="58">
        <v>1.0</v>
      </c>
      <c r="G116" s="38" t="s">
        <v>1395</v>
      </c>
      <c r="H116" s="38" t="s">
        <v>242</v>
      </c>
      <c r="I116" s="38" t="s">
        <v>267</v>
      </c>
      <c r="J116" s="38" t="s">
        <v>2757</v>
      </c>
    </row>
    <row r="117" ht="14.25" customHeight="1">
      <c r="A117" s="39" t="s">
        <v>1397</v>
      </c>
      <c r="B117" s="39" t="s">
        <v>1395</v>
      </c>
      <c r="C117" s="39" t="s">
        <v>243</v>
      </c>
      <c r="D117" s="39" t="s">
        <v>1398</v>
      </c>
      <c r="E117" s="59"/>
      <c r="F117" s="59">
        <v>1.0</v>
      </c>
      <c r="G117" s="39" t="s">
        <v>1395</v>
      </c>
      <c r="H117" s="39" t="s">
        <v>242</v>
      </c>
      <c r="I117" s="39" t="s">
        <v>243</v>
      </c>
      <c r="J117" s="39" t="s">
        <v>2757</v>
      </c>
    </row>
    <row r="118" ht="14.25" customHeight="1">
      <c r="A118" s="38" t="s">
        <v>1397</v>
      </c>
      <c r="B118" s="38" t="s">
        <v>1395</v>
      </c>
      <c r="C118" s="38" t="s">
        <v>346</v>
      </c>
      <c r="D118" s="38" t="s">
        <v>1398</v>
      </c>
      <c r="E118" s="58"/>
      <c r="F118" s="58">
        <v>1.0</v>
      </c>
      <c r="G118" s="38" t="s">
        <v>1395</v>
      </c>
      <c r="H118" s="38" t="s">
        <v>242</v>
      </c>
      <c r="I118" s="38" t="s">
        <v>346</v>
      </c>
      <c r="J118" s="38" t="s">
        <v>2757</v>
      </c>
    </row>
    <row r="119" ht="14.25" customHeight="1">
      <c r="A119" s="39" t="s">
        <v>1402</v>
      </c>
      <c r="B119" s="39" t="s">
        <v>1400</v>
      </c>
      <c r="C119" s="39" t="s">
        <v>267</v>
      </c>
      <c r="D119" s="39" t="s">
        <v>1403</v>
      </c>
      <c r="E119" s="59"/>
      <c r="F119" s="59">
        <v>1.0</v>
      </c>
      <c r="G119" s="39" t="s">
        <v>1400</v>
      </c>
      <c r="H119" s="39" t="s">
        <v>242</v>
      </c>
      <c r="I119" s="39" t="s">
        <v>267</v>
      </c>
      <c r="J119" s="39" t="s">
        <v>2757</v>
      </c>
    </row>
    <row r="120" ht="14.25" customHeight="1">
      <c r="A120" s="38" t="s">
        <v>1402</v>
      </c>
      <c r="B120" s="38" t="s">
        <v>1400</v>
      </c>
      <c r="C120" s="38" t="s">
        <v>243</v>
      </c>
      <c r="D120" s="38" t="s">
        <v>1403</v>
      </c>
      <c r="E120" s="58"/>
      <c r="F120" s="58">
        <v>1.0</v>
      </c>
      <c r="G120" s="38" t="s">
        <v>1400</v>
      </c>
      <c r="H120" s="38" t="s">
        <v>242</v>
      </c>
      <c r="I120" s="38" t="s">
        <v>243</v>
      </c>
      <c r="J120" s="38" t="s">
        <v>2757</v>
      </c>
    </row>
    <row r="121" ht="14.25" customHeight="1">
      <c r="A121" s="39" t="s">
        <v>1402</v>
      </c>
      <c r="B121" s="39" t="s">
        <v>1400</v>
      </c>
      <c r="C121" s="39" t="s">
        <v>346</v>
      </c>
      <c r="D121" s="39" t="s">
        <v>1403</v>
      </c>
      <c r="E121" s="59"/>
      <c r="F121" s="59">
        <v>1.0</v>
      </c>
      <c r="G121" s="39" t="s">
        <v>1400</v>
      </c>
      <c r="H121" s="39" t="s">
        <v>242</v>
      </c>
      <c r="I121" s="39" t="s">
        <v>346</v>
      </c>
      <c r="J121" s="39" t="s">
        <v>2757</v>
      </c>
    </row>
    <row r="122" ht="14.25" customHeight="1">
      <c r="A122" s="38" t="s">
        <v>1407</v>
      </c>
      <c r="B122" s="38" t="s">
        <v>1405</v>
      </c>
      <c r="C122" s="38" t="s">
        <v>267</v>
      </c>
      <c r="D122" s="38" t="s">
        <v>1408</v>
      </c>
      <c r="E122" s="58"/>
      <c r="F122" s="58">
        <v>1.0</v>
      </c>
      <c r="G122" s="38" t="s">
        <v>1405</v>
      </c>
      <c r="H122" s="38" t="s">
        <v>242</v>
      </c>
      <c r="I122" s="38" t="s">
        <v>267</v>
      </c>
      <c r="J122" s="38" t="s">
        <v>2757</v>
      </c>
    </row>
    <row r="123" ht="14.25" customHeight="1">
      <c r="A123" s="39" t="s">
        <v>1407</v>
      </c>
      <c r="B123" s="39" t="s">
        <v>1405</v>
      </c>
      <c r="C123" s="39" t="s">
        <v>243</v>
      </c>
      <c r="D123" s="39" t="s">
        <v>1408</v>
      </c>
      <c r="E123" s="59"/>
      <c r="F123" s="59">
        <v>1.0</v>
      </c>
      <c r="G123" s="39" t="s">
        <v>1405</v>
      </c>
      <c r="H123" s="39" t="s">
        <v>242</v>
      </c>
      <c r="I123" s="39" t="s">
        <v>243</v>
      </c>
      <c r="J123" s="39" t="s">
        <v>2757</v>
      </c>
    </row>
    <row r="124" ht="14.25" customHeight="1">
      <c r="A124" s="38" t="s">
        <v>1407</v>
      </c>
      <c r="B124" s="38" t="s">
        <v>1405</v>
      </c>
      <c r="C124" s="38" t="s">
        <v>346</v>
      </c>
      <c r="D124" s="38" t="s">
        <v>1408</v>
      </c>
      <c r="E124" s="58"/>
      <c r="F124" s="58">
        <v>1.0</v>
      </c>
      <c r="G124" s="38" t="s">
        <v>1405</v>
      </c>
      <c r="H124" s="38" t="s">
        <v>242</v>
      </c>
      <c r="I124" s="38" t="s">
        <v>346</v>
      </c>
      <c r="J124" s="38" t="s">
        <v>2757</v>
      </c>
    </row>
    <row r="125" ht="14.25" customHeight="1">
      <c r="A125" s="39" t="s">
        <v>1412</v>
      </c>
      <c r="B125" s="39" t="s">
        <v>1410</v>
      </c>
      <c r="C125" s="39" t="s">
        <v>267</v>
      </c>
      <c r="D125" s="39" t="s">
        <v>1413</v>
      </c>
      <c r="E125" s="59"/>
      <c r="F125" s="59">
        <v>1.0</v>
      </c>
      <c r="G125" s="39" t="s">
        <v>1410</v>
      </c>
      <c r="H125" s="39" t="s">
        <v>242</v>
      </c>
      <c r="I125" s="39" t="s">
        <v>267</v>
      </c>
      <c r="J125" s="39" t="s">
        <v>2757</v>
      </c>
    </row>
    <row r="126" ht="14.25" customHeight="1">
      <c r="A126" s="38" t="s">
        <v>1412</v>
      </c>
      <c r="B126" s="38" t="s">
        <v>1410</v>
      </c>
      <c r="C126" s="38" t="s">
        <v>243</v>
      </c>
      <c r="D126" s="38" t="s">
        <v>1413</v>
      </c>
      <c r="E126" s="58"/>
      <c r="F126" s="58">
        <v>1.0</v>
      </c>
      <c r="G126" s="38" t="s">
        <v>1410</v>
      </c>
      <c r="H126" s="38" t="s">
        <v>242</v>
      </c>
      <c r="I126" s="38" t="s">
        <v>243</v>
      </c>
      <c r="J126" s="38" t="s">
        <v>2757</v>
      </c>
    </row>
    <row r="127" ht="14.25" customHeight="1">
      <c r="A127" s="39" t="s">
        <v>1412</v>
      </c>
      <c r="B127" s="39" t="s">
        <v>1410</v>
      </c>
      <c r="C127" s="39" t="s">
        <v>346</v>
      </c>
      <c r="D127" s="39" t="s">
        <v>1413</v>
      </c>
      <c r="E127" s="59"/>
      <c r="F127" s="59">
        <v>1.0</v>
      </c>
      <c r="G127" s="39" t="s">
        <v>1410</v>
      </c>
      <c r="H127" s="39" t="s">
        <v>242</v>
      </c>
      <c r="I127" s="39" t="s">
        <v>346</v>
      </c>
      <c r="J127" s="39" t="s">
        <v>2757</v>
      </c>
    </row>
    <row r="128" ht="14.25" customHeight="1">
      <c r="A128" s="38" t="s">
        <v>1417</v>
      </c>
      <c r="B128" s="38" t="s">
        <v>1415</v>
      </c>
      <c r="C128" s="38" t="s">
        <v>267</v>
      </c>
      <c r="D128" s="38" t="s">
        <v>1418</v>
      </c>
      <c r="E128" s="58"/>
      <c r="F128" s="58">
        <v>1.0</v>
      </c>
      <c r="G128" s="38" t="s">
        <v>1415</v>
      </c>
      <c r="H128" s="38" t="s">
        <v>242</v>
      </c>
      <c r="I128" s="38" t="s">
        <v>267</v>
      </c>
      <c r="J128" s="38" t="s">
        <v>2757</v>
      </c>
    </row>
    <row r="129" ht="14.25" customHeight="1">
      <c r="A129" s="39" t="s">
        <v>1417</v>
      </c>
      <c r="B129" s="39" t="s">
        <v>1415</v>
      </c>
      <c r="C129" s="39" t="s">
        <v>243</v>
      </c>
      <c r="D129" s="39" t="s">
        <v>1418</v>
      </c>
      <c r="E129" s="59"/>
      <c r="F129" s="59">
        <v>1.0</v>
      </c>
      <c r="G129" s="39" t="s">
        <v>1415</v>
      </c>
      <c r="H129" s="39" t="s">
        <v>242</v>
      </c>
      <c r="I129" s="39" t="s">
        <v>243</v>
      </c>
      <c r="J129" s="39" t="s">
        <v>2757</v>
      </c>
    </row>
    <row r="130" ht="14.25" customHeight="1">
      <c r="A130" s="38" t="s">
        <v>1417</v>
      </c>
      <c r="B130" s="38" t="s">
        <v>1415</v>
      </c>
      <c r="C130" s="38" t="s">
        <v>346</v>
      </c>
      <c r="D130" s="38" t="s">
        <v>1418</v>
      </c>
      <c r="E130" s="58"/>
      <c r="F130" s="58">
        <v>1.0</v>
      </c>
      <c r="G130" s="38" t="s">
        <v>1415</v>
      </c>
      <c r="H130" s="38" t="s">
        <v>242</v>
      </c>
      <c r="I130" s="38" t="s">
        <v>346</v>
      </c>
      <c r="J130" s="38" t="s">
        <v>2757</v>
      </c>
    </row>
    <row r="131" ht="14.25" customHeight="1">
      <c r="A131" s="39" t="s">
        <v>1422</v>
      </c>
      <c r="B131" s="39" t="s">
        <v>1420</v>
      </c>
      <c r="C131" s="39" t="s">
        <v>267</v>
      </c>
      <c r="D131" s="39" t="s">
        <v>1423</v>
      </c>
      <c r="E131" s="59"/>
      <c r="F131" s="59">
        <v>1.0</v>
      </c>
      <c r="G131" s="39" t="s">
        <v>1420</v>
      </c>
      <c r="H131" s="39" t="s">
        <v>242</v>
      </c>
      <c r="I131" s="39" t="s">
        <v>267</v>
      </c>
      <c r="J131" s="39" t="s">
        <v>2757</v>
      </c>
    </row>
    <row r="132" ht="14.25" customHeight="1">
      <c r="A132" s="38" t="s">
        <v>1422</v>
      </c>
      <c r="B132" s="38" t="s">
        <v>1420</v>
      </c>
      <c r="C132" s="38" t="s">
        <v>243</v>
      </c>
      <c r="D132" s="38" t="s">
        <v>1423</v>
      </c>
      <c r="E132" s="58"/>
      <c r="F132" s="58">
        <v>1.0</v>
      </c>
      <c r="G132" s="38" t="s">
        <v>1420</v>
      </c>
      <c r="H132" s="38" t="s">
        <v>242</v>
      </c>
      <c r="I132" s="38" t="s">
        <v>243</v>
      </c>
      <c r="J132" s="38" t="s">
        <v>2757</v>
      </c>
    </row>
    <row r="133" ht="14.25" customHeight="1">
      <c r="A133" s="39" t="s">
        <v>1422</v>
      </c>
      <c r="B133" s="39" t="s">
        <v>1420</v>
      </c>
      <c r="C133" s="39" t="s">
        <v>346</v>
      </c>
      <c r="D133" s="39" t="s">
        <v>1423</v>
      </c>
      <c r="E133" s="59"/>
      <c r="F133" s="59">
        <v>1.0</v>
      </c>
      <c r="G133" s="39" t="s">
        <v>1420</v>
      </c>
      <c r="H133" s="39" t="s">
        <v>242</v>
      </c>
      <c r="I133" s="39" t="s">
        <v>346</v>
      </c>
      <c r="J133" s="39" t="s">
        <v>2757</v>
      </c>
    </row>
    <row r="134" ht="14.25" customHeight="1">
      <c r="A134" s="38" t="s">
        <v>1427</v>
      </c>
      <c r="B134" s="38" t="s">
        <v>1425</v>
      </c>
      <c r="C134" s="38" t="s">
        <v>267</v>
      </c>
      <c r="D134" s="38" t="s">
        <v>1428</v>
      </c>
      <c r="E134" s="58"/>
      <c r="F134" s="58">
        <v>1.0</v>
      </c>
      <c r="G134" s="38" t="s">
        <v>1425</v>
      </c>
      <c r="H134" s="38" t="s">
        <v>242</v>
      </c>
      <c r="I134" s="38" t="s">
        <v>267</v>
      </c>
      <c r="J134" s="38" t="s">
        <v>2757</v>
      </c>
    </row>
    <row r="135" ht="14.25" customHeight="1">
      <c r="A135" s="39" t="s">
        <v>1427</v>
      </c>
      <c r="B135" s="39" t="s">
        <v>1425</v>
      </c>
      <c r="C135" s="39" t="s">
        <v>243</v>
      </c>
      <c r="D135" s="39" t="s">
        <v>1428</v>
      </c>
      <c r="E135" s="59"/>
      <c r="F135" s="59">
        <v>1.0</v>
      </c>
      <c r="G135" s="39" t="s">
        <v>1425</v>
      </c>
      <c r="H135" s="39" t="s">
        <v>242</v>
      </c>
      <c r="I135" s="39" t="s">
        <v>243</v>
      </c>
      <c r="J135" s="39" t="s">
        <v>2757</v>
      </c>
    </row>
    <row r="136" ht="14.25" customHeight="1">
      <c r="A136" s="38" t="s">
        <v>1427</v>
      </c>
      <c r="B136" s="38" t="s">
        <v>1425</v>
      </c>
      <c r="C136" s="38" t="s">
        <v>346</v>
      </c>
      <c r="D136" s="38" t="s">
        <v>1428</v>
      </c>
      <c r="E136" s="58"/>
      <c r="F136" s="58">
        <v>1.0</v>
      </c>
      <c r="G136" s="38" t="s">
        <v>1425</v>
      </c>
      <c r="H136" s="38" t="s">
        <v>242</v>
      </c>
      <c r="I136" s="38" t="s">
        <v>346</v>
      </c>
      <c r="J136" s="38" t="s">
        <v>2757</v>
      </c>
    </row>
    <row r="137" ht="14.25" customHeight="1">
      <c r="A137" s="39" t="s">
        <v>1442</v>
      </c>
      <c r="B137" s="39" t="s">
        <v>1440</v>
      </c>
      <c r="C137" s="39" t="s">
        <v>267</v>
      </c>
      <c r="D137" s="39" t="s">
        <v>1443</v>
      </c>
      <c r="E137" s="59"/>
      <c r="F137" s="59">
        <v>1.0</v>
      </c>
      <c r="G137" s="39" t="s">
        <v>1440</v>
      </c>
      <c r="H137" s="39" t="s">
        <v>242</v>
      </c>
      <c r="I137" s="39" t="s">
        <v>267</v>
      </c>
      <c r="J137" s="39" t="s">
        <v>2757</v>
      </c>
    </row>
    <row r="138" ht="14.25" customHeight="1">
      <c r="A138" s="38" t="s">
        <v>1442</v>
      </c>
      <c r="B138" s="38" t="s">
        <v>1440</v>
      </c>
      <c r="C138" s="38" t="s">
        <v>243</v>
      </c>
      <c r="D138" s="38" t="s">
        <v>1443</v>
      </c>
      <c r="E138" s="58"/>
      <c r="F138" s="58">
        <v>1.0</v>
      </c>
      <c r="G138" s="38" t="s">
        <v>1440</v>
      </c>
      <c r="H138" s="38" t="s">
        <v>242</v>
      </c>
      <c r="I138" s="38" t="s">
        <v>243</v>
      </c>
      <c r="J138" s="38" t="s">
        <v>2757</v>
      </c>
    </row>
    <row r="139" ht="14.25" customHeight="1">
      <c r="A139" s="39" t="s">
        <v>1442</v>
      </c>
      <c r="B139" s="39" t="s">
        <v>1440</v>
      </c>
      <c r="C139" s="39" t="s">
        <v>346</v>
      </c>
      <c r="D139" s="39" t="s">
        <v>1443</v>
      </c>
      <c r="E139" s="59"/>
      <c r="F139" s="59">
        <v>1.0</v>
      </c>
      <c r="G139" s="39" t="s">
        <v>1440</v>
      </c>
      <c r="H139" s="39" t="s">
        <v>242</v>
      </c>
      <c r="I139" s="39" t="s">
        <v>346</v>
      </c>
      <c r="J139" s="39" t="s">
        <v>2757</v>
      </c>
    </row>
    <row r="140" ht="14.25" customHeight="1">
      <c r="A140" s="38" t="s">
        <v>1458</v>
      </c>
      <c r="B140" s="38" t="s">
        <v>1456</v>
      </c>
      <c r="C140" s="38" t="s">
        <v>267</v>
      </c>
      <c r="D140" s="38" t="s">
        <v>1459</v>
      </c>
      <c r="E140" s="58"/>
      <c r="F140" s="58">
        <v>1.0</v>
      </c>
      <c r="G140" s="38" t="s">
        <v>1456</v>
      </c>
      <c r="H140" s="38" t="s">
        <v>242</v>
      </c>
      <c r="I140" s="38" t="s">
        <v>267</v>
      </c>
      <c r="J140" s="38" t="s">
        <v>2757</v>
      </c>
    </row>
    <row r="141" ht="14.25" customHeight="1">
      <c r="A141" s="39" t="s">
        <v>1458</v>
      </c>
      <c r="B141" s="39" t="s">
        <v>1456</v>
      </c>
      <c r="C141" s="39" t="s">
        <v>243</v>
      </c>
      <c r="D141" s="39" t="s">
        <v>1459</v>
      </c>
      <c r="E141" s="59"/>
      <c r="F141" s="59">
        <v>1.0</v>
      </c>
      <c r="G141" s="39" t="s">
        <v>1456</v>
      </c>
      <c r="H141" s="39" t="s">
        <v>242</v>
      </c>
      <c r="I141" s="39" t="s">
        <v>243</v>
      </c>
      <c r="J141" s="39" t="s">
        <v>2757</v>
      </c>
    </row>
    <row r="142" ht="14.25" customHeight="1">
      <c r="A142" s="38" t="s">
        <v>1458</v>
      </c>
      <c r="B142" s="38" t="s">
        <v>1456</v>
      </c>
      <c r="C142" s="38" t="s">
        <v>346</v>
      </c>
      <c r="D142" s="38" t="s">
        <v>1459</v>
      </c>
      <c r="E142" s="58"/>
      <c r="F142" s="58">
        <v>1.0</v>
      </c>
      <c r="G142" s="38" t="s">
        <v>1456</v>
      </c>
      <c r="H142" s="38" t="s">
        <v>242</v>
      </c>
      <c r="I142" s="38" t="s">
        <v>346</v>
      </c>
      <c r="J142" s="38" t="s">
        <v>2757</v>
      </c>
    </row>
    <row r="143" ht="14.25" customHeight="1">
      <c r="A143" s="39" t="s">
        <v>1470</v>
      </c>
      <c r="B143" s="39" t="s">
        <v>1467</v>
      </c>
      <c r="C143" s="39" t="s">
        <v>267</v>
      </c>
      <c r="D143" s="39" t="s">
        <v>1471</v>
      </c>
      <c r="E143" s="59"/>
      <c r="F143" s="59">
        <v>1.0</v>
      </c>
      <c r="G143" s="39" t="s">
        <v>1467</v>
      </c>
      <c r="H143" s="39" t="s">
        <v>242</v>
      </c>
      <c r="I143" s="39" t="s">
        <v>267</v>
      </c>
      <c r="J143" s="39" t="s">
        <v>2757</v>
      </c>
    </row>
    <row r="144" ht="14.25" customHeight="1">
      <c r="A144" s="38" t="s">
        <v>1470</v>
      </c>
      <c r="B144" s="38" t="s">
        <v>1467</v>
      </c>
      <c r="C144" s="38" t="s">
        <v>243</v>
      </c>
      <c r="D144" s="38" t="s">
        <v>1471</v>
      </c>
      <c r="E144" s="58"/>
      <c r="F144" s="58">
        <v>1.0</v>
      </c>
      <c r="G144" s="38" t="s">
        <v>1467</v>
      </c>
      <c r="H144" s="38" t="s">
        <v>242</v>
      </c>
      <c r="I144" s="38" t="s">
        <v>243</v>
      </c>
      <c r="J144" s="38" t="s">
        <v>2757</v>
      </c>
    </row>
    <row r="145" ht="14.25" customHeight="1">
      <c r="A145" s="39" t="s">
        <v>1470</v>
      </c>
      <c r="B145" s="39" t="s">
        <v>1467</v>
      </c>
      <c r="C145" s="39" t="s">
        <v>346</v>
      </c>
      <c r="D145" s="39" t="s">
        <v>1471</v>
      </c>
      <c r="E145" s="59"/>
      <c r="F145" s="59">
        <v>1.0</v>
      </c>
      <c r="G145" s="39" t="s">
        <v>1467</v>
      </c>
      <c r="H145" s="39" t="s">
        <v>242</v>
      </c>
      <c r="I145" s="39" t="s">
        <v>346</v>
      </c>
      <c r="J145" s="39" t="s">
        <v>2757</v>
      </c>
    </row>
    <row r="146" ht="14.25" customHeight="1">
      <c r="A146" s="38" t="s">
        <v>1475</v>
      </c>
      <c r="B146" s="38" t="s">
        <v>1473</v>
      </c>
      <c r="C146" s="38" t="s">
        <v>267</v>
      </c>
      <c r="D146" s="38" t="s">
        <v>1476</v>
      </c>
      <c r="E146" s="58"/>
      <c r="F146" s="58">
        <v>1.0</v>
      </c>
      <c r="G146" s="38" t="s">
        <v>1473</v>
      </c>
      <c r="H146" s="38" t="s">
        <v>242</v>
      </c>
      <c r="I146" s="38" t="s">
        <v>267</v>
      </c>
      <c r="J146" s="38" t="s">
        <v>2757</v>
      </c>
    </row>
    <row r="147" ht="14.25" customHeight="1">
      <c r="A147" s="39" t="s">
        <v>1475</v>
      </c>
      <c r="B147" s="39" t="s">
        <v>1473</v>
      </c>
      <c r="C147" s="39" t="s">
        <v>243</v>
      </c>
      <c r="D147" s="39" t="s">
        <v>1476</v>
      </c>
      <c r="E147" s="59"/>
      <c r="F147" s="59">
        <v>1.0</v>
      </c>
      <c r="G147" s="39" t="s">
        <v>1473</v>
      </c>
      <c r="H147" s="39" t="s">
        <v>242</v>
      </c>
      <c r="I147" s="39" t="s">
        <v>243</v>
      </c>
      <c r="J147" s="39" t="s">
        <v>2757</v>
      </c>
    </row>
    <row r="148" ht="14.25" customHeight="1">
      <c r="A148" s="38" t="s">
        <v>1475</v>
      </c>
      <c r="B148" s="38" t="s">
        <v>1473</v>
      </c>
      <c r="C148" s="38" t="s">
        <v>346</v>
      </c>
      <c r="D148" s="38" t="s">
        <v>1476</v>
      </c>
      <c r="E148" s="58"/>
      <c r="F148" s="58">
        <v>1.0</v>
      </c>
      <c r="G148" s="38" t="s">
        <v>1473</v>
      </c>
      <c r="H148" s="38" t="s">
        <v>242</v>
      </c>
      <c r="I148" s="38" t="s">
        <v>346</v>
      </c>
      <c r="J148" s="38" t="s">
        <v>2757</v>
      </c>
    </row>
    <row r="149" ht="14.25" customHeight="1">
      <c r="A149" s="39" t="s">
        <v>1480</v>
      </c>
      <c r="B149" s="39" t="s">
        <v>1478</v>
      </c>
      <c r="C149" s="39" t="s">
        <v>267</v>
      </c>
      <c r="D149" s="39" t="s">
        <v>1481</v>
      </c>
      <c r="E149" s="59"/>
      <c r="F149" s="59">
        <v>1.0</v>
      </c>
      <c r="G149" s="39" t="s">
        <v>1478</v>
      </c>
      <c r="H149" s="39" t="s">
        <v>242</v>
      </c>
      <c r="I149" s="39" t="s">
        <v>267</v>
      </c>
      <c r="J149" s="39" t="s">
        <v>2757</v>
      </c>
    </row>
    <row r="150" ht="14.25" customHeight="1">
      <c r="A150" s="38" t="s">
        <v>1480</v>
      </c>
      <c r="B150" s="38" t="s">
        <v>1478</v>
      </c>
      <c r="C150" s="38" t="s">
        <v>243</v>
      </c>
      <c r="D150" s="38" t="s">
        <v>1481</v>
      </c>
      <c r="E150" s="58"/>
      <c r="F150" s="58">
        <v>1.0</v>
      </c>
      <c r="G150" s="38" t="s">
        <v>1478</v>
      </c>
      <c r="H150" s="38" t="s">
        <v>242</v>
      </c>
      <c r="I150" s="38" t="s">
        <v>243</v>
      </c>
      <c r="J150" s="38" t="s">
        <v>2757</v>
      </c>
    </row>
    <row r="151" ht="14.25" customHeight="1">
      <c r="A151" s="39" t="s">
        <v>1480</v>
      </c>
      <c r="B151" s="39" t="s">
        <v>1478</v>
      </c>
      <c r="C151" s="39" t="s">
        <v>346</v>
      </c>
      <c r="D151" s="39" t="s">
        <v>1481</v>
      </c>
      <c r="E151" s="59"/>
      <c r="F151" s="59">
        <v>1.0</v>
      </c>
      <c r="G151" s="39" t="s">
        <v>1478</v>
      </c>
      <c r="H151" s="39" t="s">
        <v>242</v>
      </c>
      <c r="I151" s="39" t="s">
        <v>346</v>
      </c>
      <c r="J151" s="39" t="s">
        <v>2757</v>
      </c>
    </row>
    <row r="152" ht="14.25" customHeight="1">
      <c r="A152" s="38" t="s">
        <v>1486</v>
      </c>
      <c r="B152" s="38" t="s">
        <v>1483</v>
      </c>
      <c r="C152" s="38" t="s">
        <v>267</v>
      </c>
      <c r="D152" s="38" t="s">
        <v>1487</v>
      </c>
      <c r="E152" s="58"/>
      <c r="F152" s="58">
        <v>1.0</v>
      </c>
      <c r="G152" s="38" t="s">
        <v>1483</v>
      </c>
      <c r="H152" s="38" t="s">
        <v>242</v>
      </c>
      <c r="I152" s="38" t="s">
        <v>267</v>
      </c>
      <c r="J152" s="38" t="s">
        <v>2757</v>
      </c>
    </row>
    <row r="153" ht="14.25" customHeight="1">
      <c r="A153" s="39" t="s">
        <v>1486</v>
      </c>
      <c r="B153" s="39" t="s">
        <v>1483</v>
      </c>
      <c r="C153" s="39" t="s">
        <v>243</v>
      </c>
      <c r="D153" s="39" t="s">
        <v>1487</v>
      </c>
      <c r="E153" s="59"/>
      <c r="F153" s="59">
        <v>1.0</v>
      </c>
      <c r="G153" s="39" t="s">
        <v>1483</v>
      </c>
      <c r="H153" s="39" t="s">
        <v>242</v>
      </c>
      <c r="I153" s="39" t="s">
        <v>243</v>
      </c>
      <c r="J153" s="39" t="s">
        <v>2757</v>
      </c>
    </row>
    <row r="154" ht="14.25" customHeight="1">
      <c r="A154" s="38" t="s">
        <v>1486</v>
      </c>
      <c r="B154" s="38" t="s">
        <v>1483</v>
      </c>
      <c r="C154" s="38" t="s">
        <v>346</v>
      </c>
      <c r="D154" s="38" t="s">
        <v>1487</v>
      </c>
      <c r="E154" s="58"/>
      <c r="F154" s="58">
        <v>1.0</v>
      </c>
      <c r="G154" s="38" t="s">
        <v>1483</v>
      </c>
      <c r="H154" s="38" t="s">
        <v>242</v>
      </c>
      <c r="I154" s="38" t="s">
        <v>346</v>
      </c>
      <c r="J154" s="38" t="s">
        <v>2757</v>
      </c>
    </row>
    <row r="155" ht="14.25" customHeight="1">
      <c r="A155" s="39" t="s">
        <v>1491</v>
      </c>
      <c r="B155" s="39" t="s">
        <v>1489</v>
      </c>
      <c r="C155" s="39" t="s">
        <v>267</v>
      </c>
      <c r="D155" s="39" t="s">
        <v>1492</v>
      </c>
      <c r="E155" s="59"/>
      <c r="F155" s="59">
        <v>1.0</v>
      </c>
      <c r="G155" s="39" t="s">
        <v>1489</v>
      </c>
      <c r="H155" s="39" t="s">
        <v>242</v>
      </c>
      <c r="I155" s="39" t="s">
        <v>267</v>
      </c>
      <c r="J155" s="39" t="s">
        <v>2757</v>
      </c>
    </row>
    <row r="156" ht="14.25" customHeight="1">
      <c r="A156" s="38" t="s">
        <v>1491</v>
      </c>
      <c r="B156" s="38" t="s">
        <v>1489</v>
      </c>
      <c r="C156" s="38" t="s">
        <v>243</v>
      </c>
      <c r="D156" s="38" t="s">
        <v>1492</v>
      </c>
      <c r="E156" s="58"/>
      <c r="F156" s="58">
        <v>1.0</v>
      </c>
      <c r="G156" s="38" t="s">
        <v>1489</v>
      </c>
      <c r="H156" s="38" t="s">
        <v>242</v>
      </c>
      <c r="I156" s="38" t="s">
        <v>243</v>
      </c>
      <c r="J156" s="38" t="s">
        <v>2757</v>
      </c>
    </row>
    <row r="157" ht="14.25" customHeight="1">
      <c r="A157" s="39" t="s">
        <v>1491</v>
      </c>
      <c r="B157" s="39" t="s">
        <v>1489</v>
      </c>
      <c r="C157" s="39" t="s">
        <v>346</v>
      </c>
      <c r="D157" s="39" t="s">
        <v>1492</v>
      </c>
      <c r="E157" s="59"/>
      <c r="F157" s="59">
        <v>1.0</v>
      </c>
      <c r="G157" s="39" t="s">
        <v>1489</v>
      </c>
      <c r="H157" s="39" t="s">
        <v>242</v>
      </c>
      <c r="I157" s="39" t="s">
        <v>346</v>
      </c>
      <c r="J157" s="39" t="s">
        <v>2757</v>
      </c>
    </row>
    <row r="158" ht="14.25" customHeight="1">
      <c r="A158" s="38" t="s">
        <v>1496</v>
      </c>
      <c r="B158" s="38" t="s">
        <v>1494</v>
      </c>
      <c r="C158" s="38" t="s">
        <v>267</v>
      </c>
      <c r="D158" s="38" t="s">
        <v>1497</v>
      </c>
      <c r="E158" s="58"/>
      <c r="F158" s="58">
        <v>1.0</v>
      </c>
      <c r="G158" s="38" t="s">
        <v>1494</v>
      </c>
      <c r="H158" s="38" t="s">
        <v>242</v>
      </c>
      <c r="I158" s="38" t="s">
        <v>267</v>
      </c>
      <c r="J158" s="38" t="s">
        <v>2757</v>
      </c>
    </row>
    <row r="159" ht="14.25" customHeight="1">
      <c r="A159" s="39" t="s">
        <v>1496</v>
      </c>
      <c r="B159" s="39" t="s">
        <v>1494</v>
      </c>
      <c r="C159" s="39" t="s">
        <v>243</v>
      </c>
      <c r="D159" s="39" t="s">
        <v>1497</v>
      </c>
      <c r="E159" s="59"/>
      <c r="F159" s="59">
        <v>1.0</v>
      </c>
      <c r="G159" s="39" t="s">
        <v>1494</v>
      </c>
      <c r="H159" s="39" t="s">
        <v>242</v>
      </c>
      <c r="I159" s="39" t="s">
        <v>243</v>
      </c>
      <c r="J159" s="39" t="s">
        <v>2757</v>
      </c>
    </row>
    <row r="160" ht="14.25" customHeight="1">
      <c r="A160" s="38" t="s">
        <v>1496</v>
      </c>
      <c r="B160" s="38" t="s">
        <v>1494</v>
      </c>
      <c r="C160" s="38" t="s">
        <v>346</v>
      </c>
      <c r="D160" s="38" t="s">
        <v>1497</v>
      </c>
      <c r="E160" s="58"/>
      <c r="F160" s="58">
        <v>1.0</v>
      </c>
      <c r="G160" s="38" t="s">
        <v>1494</v>
      </c>
      <c r="H160" s="38" t="s">
        <v>242</v>
      </c>
      <c r="I160" s="38" t="s">
        <v>346</v>
      </c>
      <c r="J160" s="38" t="s">
        <v>2757</v>
      </c>
    </row>
    <row r="161" ht="14.25" customHeight="1">
      <c r="A161" s="39" t="s">
        <v>1502</v>
      </c>
      <c r="B161" s="39" t="s">
        <v>1499</v>
      </c>
      <c r="C161" s="39" t="s">
        <v>267</v>
      </c>
      <c r="D161" s="39" t="s">
        <v>1503</v>
      </c>
      <c r="E161" s="59"/>
      <c r="F161" s="59">
        <v>1.0</v>
      </c>
      <c r="G161" s="39" t="s">
        <v>1499</v>
      </c>
      <c r="H161" s="39" t="s">
        <v>242</v>
      </c>
      <c r="I161" s="39" t="s">
        <v>267</v>
      </c>
      <c r="J161" s="39" t="s">
        <v>2757</v>
      </c>
    </row>
    <row r="162" ht="14.25" customHeight="1">
      <c r="A162" s="38" t="s">
        <v>1502</v>
      </c>
      <c r="B162" s="38" t="s">
        <v>1499</v>
      </c>
      <c r="C162" s="38" t="s">
        <v>243</v>
      </c>
      <c r="D162" s="38" t="s">
        <v>1503</v>
      </c>
      <c r="E162" s="58"/>
      <c r="F162" s="58">
        <v>1.0</v>
      </c>
      <c r="G162" s="38" t="s">
        <v>1499</v>
      </c>
      <c r="H162" s="38" t="s">
        <v>242</v>
      </c>
      <c r="I162" s="38" t="s">
        <v>243</v>
      </c>
      <c r="J162" s="38" t="s">
        <v>2757</v>
      </c>
    </row>
    <row r="163" ht="14.25" customHeight="1">
      <c r="A163" s="39" t="s">
        <v>1502</v>
      </c>
      <c r="B163" s="39" t="s">
        <v>1499</v>
      </c>
      <c r="C163" s="39" t="s">
        <v>346</v>
      </c>
      <c r="D163" s="39" t="s">
        <v>1503</v>
      </c>
      <c r="E163" s="59"/>
      <c r="F163" s="59">
        <v>1.0</v>
      </c>
      <c r="G163" s="39" t="s">
        <v>1499</v>
      </c>
      <c r="H163" s="39" t="s">
        <v>242</v>
      </c>
      <c r="I163" s="39" t="s">
        <v>346</v>
      </c>
      <c r="J163" s="39" t="s">
        <v>2757</v>
      </c>
    </row>
    <row r="164" ht="14.25" customHeight="1">
      <c r="A164" s="38" t="s">
        <v>1507</v>
      </c>
      <c r="B164" s="38" t="s">
        <v>1505</v>
      </c>
      <c r="C164" s="38" t="s">
        <v>267</v>
      </c>
      <c r="D164" s="38" t="s">
        <v>1508</v>
      </c>
      <c r="E164" s="58"/>
      <c r="F164" s="58">
        <v>1.0</v>
      </c>
      <c r="G164" s="38" t="s">
        <v>1505</v>
      </c>
      <c r="H164" s="38" t="s">
        <v>242</v>
      </c>
      <c r="I164" s="38" t="s">
        <v>267</v>
      </c>
      <c r="J164" s="38" t="s">
        <v>2757</v>
      </c>
    </row>
    <row r="165" ht="14.25" customHeight="1">
      <c r="A165" s="39" t="s">
        <v>1507</v>
      </c>
      <c r="B165" s="39" t="s">
        <v>1505</v>
      </c>
      <c r="C165" s="39" t="s">
        <v>243</v>
      </c>
      <c r="D165" s="39" t="s">
        <v>1508</v>
      </c>
      <c r="E165" s="59"/>
      <c r="F165" s="59">
        <v>1.0</v>
      </c>
      <c r="G165" s="39" t="s">
        <v>1505</v>
      </c>
      <c r="H165" s="39" t="s">
        <v>242</v>
      </c>
      <c r="I165" s="39" t="s">
        <v>243</v>
      </c>
      <c r="J165" s="39" t="s">
        <v>2757</v>
      </c>
    </row>
    <row r="166" ht="14.25" customHeight="1">
      <c r="A166" s="38" t="s">
        <v>1507</v>
      </c>
      <c r="B166" s="38" t="s">
        <v>1505</v>
      </c>
      <c r="C166" s="38" t="s">
        <v>346</v>
      </c>
      <c r="D166" s="38" t="s">
        <v>1508</v>
      </c>
      <c r="E166" s="58"/>
      <c r="F166" s="58">
        <v>1.0</v>
      </c>
      <c r="G166" s="38" t="s">
        <v>1505</v>
      </c>
      <c r="H166" s="38" t="s">
        <v>242</v>
      </c>
      <c r="I166" s="38" t="s">
        <v>346</v>
      </c>
      <c r="J166" s="38" t="s">
        <v>2757</v>
      </c>
    </row>
    <row r="167" ht="14.25" customHeight="1">
      <c r="A167" s="39" t="s">
        <v>1512</v>
      </c>
      <c r="B167" s="39" t="s">
        <v>1510</v>
      </c>
      <c r="C167" s="39" t="s">
        <v>267</v>
      </c>
      <c r="D167" s="39" t="s">
        <v>1513</v>
      </c>
      <c r="E167" s="59"/>
      <c r="F167" s="59">
        <v>1.0</v>
      </c>
      <c r="G167" s="39" t="s">
        <v>1510</v>
      </c>
      <c r="H167" s="39" t="s">
        <v>242</v>
      </c>
      <c r="I167" s="39" t="s">
        <v>267</v>
      </c>
      <c r="J167" s="39" t="s">
        <v>2757</v>
      </c>
    </row>
    <row r="168" ht="14.25" customHeight="1">
      <c r="A168" s="38" t="s">
        <v>1512</v>
      </c>
      <c r="B168" s="38" t="s">
        <v>1510</v>
      </c>
      <c r="C168" s="38" t="s">
        <v>243</v>
      </c>
      <c r="D168" s="38" t="s">
        <v>1513</v>
      </c>
      <c r="E168" s="58"/>
      <c r="F168" s="58">
        <v>1.0</v>
      </c>
      <c r="G168" s="38" t="s">
        <v>1510</v>
      </c>
      <c r="H168" s="38" t="s">
        <v>242</v>
      </c>
      <c r="I168" s="38" t="s">
        <v>243</v>
      </c>
      <c r="J168" s="38" t="s">
        <v>2757</v>
      </c>
    </row>
    <row r="169" ht="14.25" customHeight="1">
      <c r="A169" s="39" t="s">
        <v>1512</v>
      </c>
      <c r="B169" s="39" t="s">
        <v>1510</v>
      </c>
      <c r="C169" s="39" t="s">
        <v>346</v>
      </c>
      <c r="D169" s="39" t="s">
        <v>1513</v>
      </c>
      <c r="E169" s="59"/>
      <c r="F169" s="59">
        <v>1.0</v>
      </c>
      <c r="G169" s="39" t="s">
        <v>1510</v>
      </c>
      <c r="H169" s="39" t="s">
        <v>242</v>
      </c>
      <c r="I169" s="39" t="s">
        <v>346</v>
      </c>
      <c r="J169" s="39" t="s">
        <v>2757</v>
      </c>
    </row>
    <row r="170" ht="14.25" customHeight="1">
      <c r="A170" s="38" t="s">
        <v>1527</v>
      </c>
      <c r="B170" s="38" t="s">
        <v>1525</v>
      </c>
      <c r="C170" s="38" t="s">
        <v>267</v>
      </c>
      <c r="D170" s="38" t="s">
        <v>1528</v>
      </c>
      <c r="E170" s="58"/>
      <c r="F170" s="58">
        <v>1.0</v>
      </c>
      <c r="G170" s="38" t="s">
        <v>1525</v>
      </c>
      <c r="H170" s="38" t="s">
        <v>242</v>
      </c>
      <c r="I170" s="38" t="s">
        <v>267</v>
      </c>
      <c r="J170" s="38" t="s">
        <v>2757</v>
      </c>
    </row>
    <row r="171" ht="14.25" customHeight="1">
      <c r="A171" s="39" t="s">
        <v>1527</v>
      </c>
      <c r="B171" s="39" t="s">
        <v>1525</v>
      </c>
      <c r="C171" s="39" t="s">
        <v>243</v>
      </c>
      <c r="D171" s="39" t="s">
        <v>1528</v>
      </c>
      <c r="E171" s="59"/>
      <c r="F171" s="59">
        <v>1.0</v>
      </c>
      <c r="G171" s="39" t="s">
        <v>1525</v>
      </c>
      <c r="H171" s="39" t="s">
        <v>242</v>
      </c>
      <c r="I171" s="39" t="s">
        <v>243</v>
      </c>
      <c r="J171" s="39" t="s">
        <v>2757</v>
      </c>
    </row>
    <row r="172" ht="14.25" customHeight="1">
      <c r="A172" s="38" t="s">
        <v>1527</v>
      </c>
      <c r="B172" s="38" t="s">
        <v>1525</v>
      </c>
      <c r="C172" s="38" t="s">
        <v>346</v>
      </c>
      <c r="D172" s="38" t="s">
        <v>1528</v>
      </c>
      <c r="E172" s="58"/>
      <c r="F172" s="58">
        <v>1.0</v>
      </c>
      <c r="G172" s="38" t="s">
        <v>1525</v>
      </c>
      <c r="H172" s="38" t="s">
        <v>242</v>
      </c>
      <c r="I172" s="38" t="s">
        <v>346</v>
      </c>
      <c r="J172" s="38" t="s">
        <v>2757</v>
      </c>
    </row>
    <row r="173" ht="14.25" customHeight="1">
      <c r="A173" s="39" t="s">
        <v>1537</v>
      </c>
      <c r="B173" s="39" t="s">
        <v>1535</v>
      </c>
      <c r="C173" s="39" t="s">
        <v>267</v>
      </c>
      <c r="D173" s="39" t="s">
        <v>1538</v>
      </c>
      <c r="E173" s="59"/>
      <c r="F173" s="59">
        <v>1.0</v>
      </c>
      <c r="G173" s="39" t="s">
        <v>1535</v>
      </c>
      <c r="H173" s="39" t="s">
        <v>242</v>
      </c>
      <c r="I173" s="39" t="s">
        <v>267</v>
      </c>
      <c r="J173" s="39" t="s">
        <v>2757</v>
      </c>
    </row>
    <row r="174" ht="14.25" customHeight="1">
      <c r="A174" s="38" t="s">
        <v>1537</v>
      </c>
      <c r="B174" s="38" t="s">
        <v>1535</v>
      </c>
      <c r="C174" s="38" t="s">
        <v>243</v>
      </c>
      <c r="D174" s="38" t="s">
        <v>1538</v>
      </c>
      <c r="E174" s="58"/>
      <c r="F174" s="58">
        <v>1.0</v>
      </c>
      <c r="G174" s="38" t="s">
        <v>1535</v>
      </c>
      <c r="H174" s="38" t="s">
        <v>242</v>
      </c>
      <c r="I174" s="38" t="s">
        <v>243</v>
      </c>
      <c r="J174" s="38" t="s">
        <v>2757</v>
      </c>
    </row>
    <row r="175" ht="14.25" customHeight="1">
      <c r="A175" s="39" t="s">
        <v>1537</v>
      </c>
      <c r="B175" s="39" t="s">
        <v>1535</v>
      </c>
      <c r="C175" s="39" t="s">
        <v>346</v>
      </c>
      <c r="D175" s="39" t="s">
        <v>1538</v>
      </c>
      <c r="E175" s="59"/>
      <c r="F175" s="59">
        <v>1.0</v>
      </c>
      <c r="G175" s="39" t="s">
        <v>1535</v>
      </c>
      <c r="H175" s="39" t="s">
        <v>242</v>
      </c>
      <c r="I175" s="39" t="s">
        <v>346</v>
      </c>
      <c r="J175" s="39" t="s">
        <v>2757</v>
      </c>
    </row>
    <row r="176" ht="14.25" customHeight="1">
      <c r="A176" s="38" t="s">
        <v>1542</v>
      </c>
      <c r="B176" s="38" t="s">
        <v>1540</v>
      </c>
      <c r="C176" s="38" t="s">
        <v>267</v>
      </c>
      <c r="D176" s="38" t="s">
        <v>1543</v>
      </c>
      <c r="E176" s="58"/>
      <c r="F176" s="58">
        <v>1.0</v>
      </c>
      <c r="G176" s="38" t="s">
        <v>1540</v>
      </c>
      <c r="H176" s="38" t="s">
        <v>242</v>
      </c>
      <c r="I176" s="38" t="s">
        <v>267</v>
      </c>
      <c r="J176" s="38" t="s">
        <v>2757</v>
      </c>
    </row>
    <row r="177" ht="14.25" customHeight="1">
      <c r="A177" s="39" t="s">
        <v>1542</v>
      </c>
      <c r="B177" s="39" t="s">
        <v>1540</v>
      </c>
      <c r="C177" s="39" t="s">
        <v>243</v>
      </c>
      <c r="D177" s="39" t="s">
        <v>1543</v>
      </c>
      <c r="E177" s="59"/>
      <c r="F177" s="59">
        <v>1.0</v>
      </c>
      <c r="G177" s="39" t="s">
        <v>1540</v>
      </c>
      <c r="H177" s="39" t="s">
        <v>242</v>
      </c>
      <c r="I177" s="39" t="s">
        <v>243</v>
      </c>
      <c r="J177" s="39" t="s">
        <v>2757</v>
      </c>
    </row>
    <row r="178" ht="14.25" customHeight="1">
      <c r="A178" s="38" t="s">
        <v>1542</v>
      </c>
      <c r="B178" s="38" t="s">
        <v>1540</v>
      </c>
      <c r="C178" s="38" t="s">
        <v>346</v>
      </c>
      <c r="D178" s="38" t="s">
        <v>1543</v>
      </c>
      <c r="E178" s="58"/>
      <c r="F178" s="58">
        <v>1.0</v>
      </c>
      <c r="G178" s="38" t="s">
        <v>1540</v>
      </c>
      <c r="H178" s="38" t="s">
        <v>242</v>
      </c>
      <c r="I178" s="38" t="s">
        <v>346</v>
      </c>
      <c r="J178" s="38" t="s">
        <v>2757</v>
      </c>
    </row>
    <row r="179" ht="14.25" customHeight="1">
      <c r="A179" s="39" t="s">
        <v>1547</v>
      </c>
      <c r="B179" s="39" t="s">
        <v>1545</v>
      </c>
      <c r="C179" s="39" t="s">
        <v>267</v>
      </c>
      <c r="D179" s="39" t="s">
        <v>1548</v>
      </c>
      <c r="E179" s="59"/>
      <c r="F179" s="59">
        <v>1.0</v>
      </c>
      <c r="G179" s="39" t="s">
        <v>1545</v>
      </c>
      <c r="H179" s="39" t="s">
        <v>242</v>
      </c>
      <c r="I179" s="39" t="s">
        <v>267</v>
      </c>
      <c r="J179" s="39" t="s">
        <v>2757</v>
      </c>
    </row>
    <row r="180" ht="14.25" customHeight="1">
      <c r="A180" s="38" t="s">
        <v>1547</v>
      </c>
      <c r="B180" s="38" t="s">
        <v>1545</v>
      </c>
      <c r="C180" s="38" t="s">
        <v>243</v>
      </c>
      <c r="D180" s="38" t="s">
        <v>1548</v>
      </c>
      <c r="E180" s="58"/>
      <c r="F180" s="58">
        <v>1.0</v>
      </c>
      <c r="G180" s="38" t="s">
        <v>1545</v>
      </c>
      <c r="H180" s="38" t="s">
        <v>242</v>
      </c>
      <c r="I180" s="38" t="s">
        <v>243</v>
      </c>
      <c r="J180" s="38" t="s">
        <v>2757</v>
      </c>
    </row>
    <row r="181" ht="14.25" customHeight="1">
      <c r="A181" s="39" t="s">
        <v>1547</v>
      </c>
      <c r="B181" s="39" t="s">
        <v>1545</v>
      </c>
      <c r="C181" s="39" t="s">
        <v>346</v>
      </c>
      <c r="D181" s="39" t="s">
        <v>1548</v>
      </c>
      <c r="E181" s="59"/>
      <c r="F181" s="59">
        <v>1.0</v>
      </c>
      <c r="G181" s="39" t="s">
        <v>1545</v>
      </c>
      <c r="H181" s="39" t="s">
        <v>242</v>
      </c>
      <c r="I181" s="39" t="s">
        <v>346</v>
      </c>
      <c r="J181" s="39" t="s">
        <v>2757</v>
      </c>
    </row>
    <row r="182" ht="14.25" customHeight="1">
      <c r="A182" s="38" t="s">
        <v>1551</v>
      </c>
      <c r="B182" s="38" t="s">
        <v>1550</v>
      </c>
      <c r="C182" s="38" t="s">
        <v>267</v>
      </c>
      <c r="D182" s="38" t="s">
        <v>1552</v>
      </c>
      <c r="E182" s="58"/>
      <c r="F182" s="58">
        <v>1.0</v>
      </c>
      <c r="G182" s="38" t="s">
        <v>1550</v>
      </c>
      <c r="H182" s="38" t="s">
        <v>242</v>
      </c>
      <c r="I182" s="38" t="s">
        <v>267</v>
      </c>
      <c r="J182" s="38" t="s">
        <v>2757</v>
      </c>
    </row>
    <row r="183" ht="14.25" customHeight="1">
      <c r="A183" s="39" t="s">
        <v>1551</v>
      </c>
      <c r="B183" s="39" t="s">
        <v>1550</v>
      </c>
      <c r="C183" s="39" t="s">
        <v>243</v>
      </c>
      <c r="D183" s="39" t="s">
        <v>1552</v>
      </c>
      <c r="E183" s="59"/>
      <c r="F183" s="59">
        <v>1.0</v>
      </c>
      <c r="G183" s="39" t="s">
        <v>1550</v>
      </c>
      <c r="H183" s="39" t="s">
        <v>242</v>
      </c>
      <c r="I183" s="39" t="s">
        <v>243</v>
      </c>
      <c r="J183" s="39" t="s">
        <v>2757</v>
      </c>
    </row>
    <row r="184" ht="14.25" customHeight="1">
      <c r="A184" s="38" t="s">
        <v>1551</v>
      </c>
      <c r="B184" s="38" t="s">
        <v>1550</v>
      </c>
      <c r="C184" s="38" t="s">
        <v>346</v>
      </c>
      <c r="D184" s="38" t="s">
        <v>1552</v>
      </c>
      <c r="E184" s="58"/>
      <c r="F184" s="58">
        <v>1.0</v>
      </c>
      <c r="G184" s="38" t="s">
        <v>1550</v>
      </c>
      <c r="H184" s="38" t="s">
        <v>242</v>
      </c>
      <c r="I184" s="38" t="s">
        <v>346</v>
      </c>
      <c r="J184" s="38" t="s">
        <v>2757</v>
      </c>
    </row>
    <row r="185" ht="14.25" customHeight="1">
      <c r="A185" s="39" t="s">
        <v>1556</v>
      </c>
      <c r="B185" s="39" t="s">
        <v>1554</v>
      </c>
      <c r="C185" s="39" t="s">
        <v>267</v>
      </c>
      <c r="D185" s="39" t="s">
        <v>1557</v>
      </c>
      <c r="E185" s="59"/>
      <c r="F185" s="59">
        <v>1.0</v>
      </c>
      <c r="G185" s="39" t="s">
        <v>1554</v>
      </c>
      <c r="H185" s="39" t="s">
        <v>242</v>
      </c>
      <c r="I185" s="39" t="s">
        <v>267</v>
      </c>
      <c r="J185" s="39" t="s">
        <v>2757</v>
      </c>
    </row>
    <row r="186" ht="14.25" customHeight="1">
      <c r="A186" s="38" t="s">
        <v>1556</v>
      </c>
      <c r="B186" s="38" t="s">
        <v>1554</v>
      </c>
      <c r="C186" s="38" t="s">
        <v>243</v>
      </c>
      <c r="D186" s="38" t="s">
        <v>1557</v>
      </c>
      <c r="E186" s="58"/>
      <c r="F186" s="58">
        <v>1.0</v>
      </c>
      <c r="G186" s="38" t="s">
        <v>1554</v>
      </c>
      <c r="H186" s="38" t="s">
        <v>242</v>
      </c>
      <c r="I186" s="38" t="s">
        <v>243</v>
      </c>
      <c r="J186" s="38" t="s">
        <v>2757</v>
      </c>
    </row>
    <row r="187" ht="14.25" customHeight="1">
      <c r="A187" s="39" t="s">
        <v>1556</v>
      </c>
      <c r="B187" s="39" t="s">
        <v>1554</v>
      </c>
      <c r="C187" s="39" t="s">
        <v>346</v>
      </c>
      <c r="D187" s="39" t="s">
        <v>1557</v>
      </c>
      <c r="E187" s="59"/>
      <c r="F187" s="59">
        <v>1.0</v>
      </c>
      <c r="G187" s="39" t="s">
        <v>1554</v>
      </c>
      <c r="H187" s="39" t="s">
        <v>242</v>
      </c>
      <c r="I187" s="39" t="s">
        <v>346</v>
      </c>
      <c r="J187" s="39" t="s">
        <v>2757</v>
      </c>
    </row>
    <row r="188" ht="14.25" customHeight="1">
      <c r="A188" s="38" t="s">
        <v>1561</v>
      </c>
      <c r="B188" s="38" t="s">
        <v>1559</v>
      </c>
      <c r="C188" s="38" t="s">
        <v>267</v>
      </c>
      <c r="D188" s="38" t="s">
        <v>1562</v>
      </c>
      <c r="E188" s="58"/>
      <c r="F188" s="58">
        <v>1.0</v>
      </c>
      <c r="G188" s="38" t="s">
        <v>1559</v>
      </c>
      <c r="H188" s="38" t="s">
        <v>242</v>
      </c>
      <c r="I188" s="38" t="s">
        <v>267</v>
      </c>
      <c r="J188" s="38" t="s">
        <v>2757</v>
      </c>
    </row>
    <row r="189" ht="14.25" customHeight="1">
      <c r="A189" s="39" t="s">
        <v>1561</v>
      </c>
      <c r="B189" s="39" t="s">
        <v>1559</v>
      </c>
      <c r="C189" s="39" t="s">
        <v>243</v>
      </c>
      <c r="D189" s="39" t="s">
        <v>1562</v>
      </c>
      <c r="E189" s="59"/>
      <c r="F189" s="59">
        <v>1.0</v>
      </c>
      <c r="G189" s="39" t="s">
        <v>1559</v>
      </c>
      <c r="H189" s="39" t="s">
        <v>242</v>
      </c>
      <c r="I189" s="39" t="s">
        <v>243</v>
      </c>
      <c r="J189" s="39" t="s">
        <v>2757</v>
      </c>
    </row>
    <row r="190" ht="14.25" customHeight="1">
      <c r="A190" s="38" t="s">
        <v>1561</v>
      </c>
      <c r="B190" s="38" t="s">
        <v>1559</v>
      </c>
      <c r="C190" s="38" t="s">
        <v>346</v>
      </c>
      <c r="D190" s="38" t="s">
        <v>1562</v>
      </c>
      <c r="E190" s="58"/>
      <c r="F190" s="58">
        <v>1.0</v>
      </c>
      <c r="G190" s="38" t="s">
        <v>1559</v>
      </c>
      <c r="H190" s="38" t="s">
        <v>242</v>
      </c>
      <c r="I190" s="38" t="s">
        <v>346</v>
      </c>
      <c r="J190" s="38" t="s">
        <v>2757</v>
      </c>
    </row>
    <row r="191" ht="14.25" customHeight="1">
      <c r="A191" s="39" t="s">
        <v>1566</v>
      </c>
      <c r="B191" s="39" t="s">
        <v>1564</v>
      </c>
      <c r="C191" s="39" t="s">
        <v>267</v>
      </c>
      <c r="D191" s="39" t="s">
        <v>1567</v>
      </c>
      <c r="E191" s="59"/>
      <c r="F191" s="59">
        <v>1.0</v>
      </c>
      <c r="G191" s="39" t="s">
        <v>1564</v>
      </c>
      <c r="H191" s="39" t="s">
        <v>242</v>
      </c>
      <c r="I191" s="39" t="s">
        <v>267</v>
      </c>
      <c r="J191" s="39" t="s">
        <v>2757</v>
      </c>
    </row>
    <row r="192" ht="14.25" customHeight="1">
      <c r="A192" s="38" t="s">
        <v>1566</v>
      </c>
      <c r="B192" s="38" t="s">
        <v>1564</v>
      </c>
      <c r="C192" s="38" t="s">
        <v>243</v>
      </c>
      <c r="D192" s="38" t="s">
        <v>1567</v>
      </c>
      <c r="E192" s="58"/>
      <c r="F192" s="58">
        <v>1.0</v>
      </c>
      <c r="G192" s="38" t="s">
        <v>1564</v>
      </c>
      <c r="H192" s="38" t="s">
        <v>242</v>
      </c>
      <c r="I192" s="38" t="s">
        <v>243</v>
      </c>
      <c r="J192" s="38" t="s">
        <v>2757</v>
      </c>
    </row>
    <row r="193" ht="14.25" customHeight="1">
      <c r="A193" s="39" t="s">
        <v>1566</v>
      </c>
      <c r="B193" s="39" t="s">
        <v>1564</v>
      </c>
      <c r="C193" s="39" t="s">
        <v>346</v>
      </c>
      <c r="D193" s="39" t="s">
        <v>1567</v>
      </c>
      <c r="E193" s="59"/>
      <c r="F193" s="59">
        <v>1.0</v>
      </c>
      <c r="G193" s="39" t="s">
        <v>1564</v>
      </c>
      <c r="H193" s="39" t="s">
        <v>242</v>
      </c>
      <c r="I193" s="39" t="s">
        <v>346</v>
      </c>
      <c r="J193" s="39" t="s">
        <v>2757</v>
      </c>
    </row>
    <row r="194" ht="14.25" customHeight="1">
      <c r="A194" s="38" t="s">
        <v>1570</v>
      </c>
      <c r="B194" s="38" t="s">
        <v>1569</v>
      </c>
      <c r="C194" s="38" t="s">
        <v>267</v>
      </c>
      <c r="D194" s="38" t="s">
        <v>1571</v>
      </c>
      <c r="E194" s="58"/>
      <c r="F194" s="58">
        <v>1.0</v>
      </c>
      <c r="G194" s="38" t="s">
        <v>1569</v>
      </c>
      <c r="H194" s="38" t="s">
        <v>242</v>
      </c>
      <c r="I194" s="38" t="s">
        <v>267</v>
      </c>
      <c r="J194" s="38" t="s">
        <v>2757</v>
      </c>
    </row>
    <row r="195" ht="14.25" customHeight="1">
      <c r="A195" s="39" t="s">
        <v>1570</v>
      </c>
      <c r="B195" s="39" t="s">
        <v>1569</v>
      </c>
      <c r="C195" s="39" t="s">
        <v>243</v>
      </c>
      <c r="D195" s="39" t="s">
        <v>1571</v>
      </c>
      <c r="E195" s="59"/>
      <c r="F195" s="59">
        <v>1.0</v>
      </c>
      <c r="G195" s="39" t="s">
        <v>1569</v>
      </c>
      <c r="H195" s="39" t="s">
        <v>242</v>
      </c>
      <c r="I195" s="39" t="s">
        <v>243</v>
      </c>
      <c r="J195" s="39" t="s">
        <v>2757</v>
      </c>
    </row>
    <row r="196" ht="14.25" customHeight="1">
      <c r="A196" s="38" t="s">
        <v>1570</v>
      </c>
      <c r="B196" s="38" t="s">
        <v>1569</v>
      </c>
      <c r="C196" s="38" t="s">
        <v>346</v>
      </c>
      <c r="D196" s="38" t="s">
        <v>1571</v>
      </c>
      <c r="E196" s="58"/>
      <c r="F196" s="58">
        <v>1.0</v>
      </c>
      <c r="G196" s="38" t="s">
        <v>1569</v>
      </c>
      <c r="H196" s="38" t="s">
        <v>242</v>
      </c>
      <c r="I196" s="38" t="s">
        <v>346</v>
      </c>
      <c r="J196" s="38" t="s">
        <v>2757</v>
      </c>
    </row>
    <row r="197" ht="14.25" customHeight="1">
      <c r="A197" s="39" t="s">
        <v>1575</v>
      </c>
      <c r="B197" s="39" t="s">
        <v>1573</v>
      </c>
      <c r="C197" s="39" t="s">
        <v>267</v>
      </c>
      <c r="D197" s="39" t="s">
        <v>1576</v>
      </c>
      <c r="E197" s="59"/>
      <c r="F197" s="59">
        <v>1.0</v>
      </c>
      <c r="G197" s="39" t="s">
        <v>1573</v>
      </c>
      <c r="H197" s="39" t="s">
        <v>242</v>
      </c>
      <c r="I197" s="39" t="s">
        <v>267</v>
      </c>
      <c r="J197" s="39" t="s">
        <v>2757</v>
      </c>
    </row>
    <row r="198" ht="14.25" customHeight="1">
      <c r="A198" s="38" t="s">
        <v>1575</v>
      </c>
      <c r="B198" s="38" t="s">
        <v>1573</v>
      </c>
      <c r="C198" s="38" t="s">
        <v>243</v>
      </c>
      <c r="D198" s="38" t="s">
        <v>1576</v>
      </c>
      <c r="E198" s="58"/>
      <c r="F198" s="58">
        <v>1.0</v>
      </c>
      <c r="G198" s="38" t="s">
        <v>1573</v>
      </c>
      <c r="H198" s="38" t="s">
        <v>242</v>
      </c>
      <c r="I198" s="38" t="s">
        <v>243</v>
      </c>
      <c r="J198" s="38" t="s">
        <v>2757</v>
      </c>
    </row>
    <row r="199" ht="14.25" customHeight="1">
      <c r="A199" s="39" t="s">
        <v>1575</v>
      </c>
      <c r="B199" s="39" t="s">
        <v>1573</v>
      </c>
      <c r="C199" s="39" t="s">
        <v>346</v>
      </c>
      <c r="D199" s="39" t="s">
        <v>1576</v>
      </c>
      <c r="E199" s="59"/>
      <c r="F199" s="59">
        <v>1.0</v>
      </c>
      <c r="G199" s="39" t="s">
        <v>1573</v>
      </c>
      <c r="H199" s="39" t="s">
        <v>242</v>
      </c>
      <c r="I199" s="39" t="s">
        <v>346</v>
      </c>
      <c r="J199" s="39" t="s">
        <v>2757</v>
      </c>
    </row>
    <row r="200" ht="14.25" customHeight="1">
      <c r="A200" s="38" t="s">
        <v>1580</v>
      </c>
      <c r="B200" s="38" t="s">
        <v>1578</v>
      </c>
      <c r="C200" s="38" t="s">
        <v>267</v>
      </c>
      <c r="D200" s="38" t="s">
        <v>1581</v>
      </c>
      <c r="E200" s="58"/>
      <c r="F200" s="58">
        <v>1.0</v>
      </c>
      <c r="G200" s="38" t="s">
        <v>1578</v>
      </c>
      <c r="H200" s="38" t="s">
        <v>242</v>
      </c>
      <c r="I200" s="38" t="s">
        <v>267</v>
      </c>
      <c r="J200" s="38" t="s">
        <v>2757</v>
      </c>
    </row>
    <row r="201" ht="14.25" customHeight="1">
      <c r="A201" s="39" t="s">
        <v>1580</v>
      </c>
      <c r="B201" s="39" t="s">
        <v>1578</v>
      </c>
      <c r="C201" s="39" t="s">
        <v>243</v>
      </c>
      <c r="D201" s="39" t="s">
        <v>1581</v>
      </c>
      <c r="E201" s="59"/>
      <c r="F201" s="59">
        <v>1.0</v>
      </c>
      <c r="G201" s="39" t="s">
        <v>1578</v>
      </c>
      <c r="H201" s="39" t="s">
        <v>242</v>
      </c>
      <c r="I201" s="39" t="s">
        <v>243</v>
      </c>
      <c r="J201" s="39" t="s">
        <v>2757</v>
      </c>
    </row>
    <row r="202" ht="14.25" customHeight="1">
      <c r="A202" s="38" t="s">
        <v>1580</v>
      </c>
      <c r="B202" s="38" t="s">
        <v>1578</v>
      </c>
      <c r="C202" s="38" t="s">
        <v>346</v>
      </c>
      <c r="D202" s="38" t="s">
        <v>1581</v>
      </c>
      <c r="E202" s="58"/>
      <c r="F202" s="58">
        <v>1.0</v>
      </c>
      <c r="G202" s="38" t="s">
        <v>1578</v>
      </c>
      <c r="H202" s="38" t="s">
        <v>242</v>
      </c>
      <c r="I202" s="38" t="s">
        <v>346</v>
      </c>
      <c r="J202" s="38" t="s">
        <v>2757</v>
      </c>
    </row>
    <row r="203" ht="14.25" customHeight="1">
      <c r="A203" s="39" t="s">
        <v>1584</v>
      </c>
      <c r="B203" s="39" t="s">
        <v>1583</v>
      </c>
      <c r="C203" s="39" t="s">
        <v>267</v>
      </c>
      <c r="D203" s="39" t="s">
        <v>1585</v>
      </c>
      <c r="E203" s="59"/>
      <c r="F203" s="59">
        <v>1.0</v>
      </c>
      <c r="G203" s="39" t="s">
        <v>1583</v>
      </c>
      <c r="H203" s="39" t="s">
        <v>242</v>
      </c>
      <c r="I203" s="39" t="s">
        <v>267</v>
      </c>
      <c r="J203" s="39" t="s">
        <v>2757</v>
      </c>
    </row>
    <row r="204" ht="14.25" customHeight="1">
      <c r="A204" s="38" t="s">
        <v>1584</v>
      </c>
      <c r="B204" s="38" t="s">
        <v>1583</v>
      </c>
      <c r="C204" s="38" t="s">
        <v>243</v>
      </c>
      <c r="D204" s="38" t="s">
        <v>1585</v>
      </c>
      <c r="E204" s="58"/>
      <c r="F204" s="58">
        <v>1.0</v>
      </c>
      <c r="G204" s="38" t="s">
        <v>1583</v>
      </c>
      <c r="H204" s="38" t="s">
        <v>242</v>
      </c>
      <c r="I204" s="38" t="s">
        <v>243</v>
      </c>
      <c r="J204" s="38" t="s">
        <v>2757</v>
      </c>
    </row>
    <row r="205" ht="14.25" customHeight="1">
      <c r="A205" s="39" t="s">
        <v>1584</v>
      </c>
      <c r="B205" s="39" t="s">
        <v>1583</v>
      </c>
      <c r="C205" s="39" t="s">
        <v>346</v>
      </c>
      <c r="D205" s="39" t="s">
        <v>1585</v>
      </c>
      <c r="E205" s="59"/>
      <c r="F205" s="59">
        <v>1.0</v>
      </c>
      <c r="G205" s="39" t="s">
        <v>1583</v>
      </c>
      <c r="H205" s="39" t="s">
        <v>242</v>
      </c>
      <c r="I205" s="39" t="s">
        <v>346</v>
      </c>
      <c r="J205" s="39" t="s">
        <v>2757</v>
      </c>
    </row>
    <row r="206" ht="14.25" customHeight="1">
      <c r="A206" s="38" t="s">
        <v>1708</v>
      </c>
      <c r="B206" s="38" t="s">
        <v>1706</v>
      </c>
      <c r="C206" s="38" t="s">
        <v>267</v>
      </c>
      <c r="D206" s="38" t="s">
        <v>1709</v>
      </c>
      <c r="E206" s="58"/>
      <c r="F206" s="58">
        <v>1.0</v>
      </c>
      <c r="G206" s="38" t="s">
        <v>1706</v>
      </c>
      <c r="H206" s="38" t="s">
        <v>242</v>
      </c>
      <c r="I206" s="38" t="s">
        <v>267</v>
      </c>
      <c r="J206" s="38" t="s">
        <v>2757</v>
      </c>
    </row>
    <row r="207" ht="14.25" customHeight="1">
      <c r="A207" s="39" t="s">
        <v>1708</v>
      </c>
      <c r="B207" s="39" t="s">
        <v>1706</v>
      </c>
      <c r="C207" s="39" t="s">
        <v>243</v>
      </c>
      <c r="D207" s="39" t="s">
        <v>1709</v>
      </c>
      <c r="E207" s="59"/>
      <c r="F207" s="59">
        <v>1.0</v>
      </c>
      <c r="G207" s="39" t="s">
        <v>1706</v>
      </c>
      <c r="H207" s="39" t="s">
        <v>242</v>
      </c>
      <c r="I207" s="39" t="s">
        <v>243</v>
      </c>
      <c r="J207" s="39" t="s">
        <v>2757</v>
      </c>
    </row>
    <row r="208" ht="14.25" customHeight="1">
      <c r="A208" s="38" t="s">
        <v>1708</v>
      </c>
      <c r="B208" s="38" t="s">
        <v>1706</v>
      </c>
      <c r="C208" s="38" t="s">
        <v>346</v>
      </c>
      <c r="D208" s="38" t="s">
        <v>1709</v>
      </c>
      <c r="E208" s="58"/>
      <c r="F208" s="58">
        <v>1.0</v>
      </c>
      <c r="G208" s="38" t="s">
        <v>1706</v>
      </c>
      <c r="H208" s="38" t="s">
        <v>242</v>
      </c>
      <c r="I208" s="38" t="s">
        <v>346</v>
      </c>
      <c r="J208" s="38" t="s">
        <v>2757</v>
      </c>
    </row>
    <row r="209" ht="14.25" customHeight="1">
      <c r="A209" s="39" t="s">
        <v>1712</v>
      </c>
      <c r="B209" s="39" t="s">
        <v>1711</v>
      </c>
      <c r="C209" s="39" t="s">
        <v>267</v>
      </c>
      <c r="D209" s="39" t="s">
        <v>1713</v>
      </c>
      <c r="E209" s="59"/>
      <c r="F209" s="59">
        <v>1.0</v>
      </c>
      <c r="G209" s="39" t="s">
        <v>1711</v>
      </c>
      <c r="H209" s="39" t="s">
        <v>242</v>
      </c>
      <c r="I209" s="39" t="s">
        <v>267</v>
      </c>
      <c r="J209" s="39" t="s">
        <v>2757</v>
      </c>
    </row>
    <row r="210" ht="14.25" customHeight="1">
      <c r="A210" s="38" t="s">
        <v>1712</v>
      </c>
      <c r="B210" s="38" t="s">
        <v>1711</v>
      </c>
      <c r="C210" s="38" t="s">
        <v>243</v>
      </c>
      <c r="D210" s="38" t="s">
        <v>1713</v>
      </c>
      <c r="E210" s="58"/>
      <c r="F210" s="58">
        <v>1.0</v>
      </c>
      <c r="G210" s="38" t="s">
        <v>1711</v>
      </c>
      <c r="H210" s="38" t="s">
        <v>242</v>
      </c>
      <c r="I210" s="38" t="s">
        <v>243</v>
      </c>
      <c r="J210" s="38" t="s">
        <v>2757</v>
      </c>
    </row>
    <row r="211" ht="14.25" customHeight="1">
      <c r="A211" s="39" t="s">
        <v>1712</v>
      </c>
      <c r="B211" s="39" t="s">
        <v>1711</v>
      </c>
      <c r="C211" s="39" t="s">
        <v>346</v>
      </c>
      <c r="D211" s="39" t="s">
        <v>1713</v>
      </c>
      <c r="E211" s="59"/>
      <c r="F211" s="59">
        <v>1.0</v>
      </c>
      <c r="G211" s="39" t="s">
        <v>1711</v>
      </c>
      <c r="H211" s="39" t="s">
        <v>242</v>
      </c>
      <c r="I211" s="39" t="s">
        <v>346</v>
      </c>
      <c r="J211" s="39" t="s">
        <v>2757</v>
      </c>
    </row>
    <row r="212" ht="14.25" customHeight="1">
      <c r="A212" s="38" t="s">
        <v>1751</v>
      </c>
      <c r="B212" s="38" t="s">
        <v>1749</v>
      </c>
      <c r="C212" s="38" t="s">
        <v>267</v>
      </c>
      <c r="D212" s="38" t="s">
        <v>1752</v>
      </c>
      <c r="E212" s="58"/>
      <c r="F212" s="58">
        <v>1.0</v>
      </c>
      <c r="G212" s="38" t="s">
        <v>1749</v>
      </c>
      <c r="H212" s="38" t="s">
        <v>242</v>
      </c>
      <c r="I212" s="38" t="s">
        <v>267</v>
      </c>
      <c r="J212" s="38" t="s">
        <v>2757</v>
      </c>
    </row>
    <row r="213" ht="14.25" customHeight="1">
      <c r="A213" s="39" t="s">
        <v>1751</v>
      </c>
      <c r="B213" s="39" t="s">
        <v>1749</v>
      </c>
      <c r="C213" s="39" t="s">
        <v>243</v>
      </c>
      <c r="D213" s="39" t="s">
        <v>1752</v>
      </c>
      <c r="E213" s="59"/>
      <c r="F213" s="59">
        <v>1.0</v>
      </c>
      <c r="G213" s="39" t="s">
        <v>1749</v>
      </c>
      <c r="H213" s="39" t="s">
        <v>242</v>
      </c>
      <c r="I213" s="39" t="s">
        <v>243</v>
      </c>
      <c r="J213" s="39" t="s">
        <v>2757</v>
      </c>
    </row>
    <row r="214" ht="14.25" customHeight="1">
      <c r="A214" s="38" t="s">
        <v>1751</v>
      </c>
      <c r="B214" s="38" t="s">
        <v>1749</v>
      </c>
      <c r="C214" s="38" t="s">
        <v>346</v>
      </c>
      <c r="D214" s="38" t="s">
        <v>1752</v>
      </c>
      <c r="E214" s="58"/>
      <c r="F214" s="58">
        <v>1.0</v>
      </c>
      <c r="G214" s="38" t="s">
        <v>1749</v>
      </c>
      <c r="H214" s="38" t="s">
        <v>242</v>
      </c>
      <c r="I214" s="38" t="s">
        <v>346</v>
      </c>
      <c r="J214" s="38" t="s">
        <v>2757</v>
      </c>
    </row>
    <row r="215" ht="14.25" customHeight="1">
      <c r="A215" s="39" t="s">
        <v>1756</v>
      </c>
      <c r="B215" s="39" t="s">
        <v>1754</v>
      </c>
      <c r="C215" s="39" t="s">
        <v>267</v>
      </c>
      <c r="D215" s="39" t="s">
        <v>1757</v>
      </c>
      <c r="E215" s="59"/>
      <c r="F215" s="59">
        <v>1.0</v>
      </c>
      <c r="G215" s="39" t="s">
        <v>1754</v>
      </c>
      <c r="H215" s="39" t="s">
        <v>242</v>
      </c>
      <c r="I215" s="39" t="s">
        <v>267</v>
      </c>
      <c r="J215" s="39" t="s">
        <v>2757</v>
      </c>
    </row>
    <row r="216" ht="14.25" customHeight="1">
      <c r="A216" s="38" t="s">
        <v>1756</v>
      </c>
      <c r="B216" s="38" t="s">
        <v>1754</v>
      </c>
      <c r="C216" s="38" t="s">
        <v>243</v>
      </c>
      <c r="D216" s="38" t="s">
        <v>1757</v>
      </c>
      <c r="E216" s="58"/>
      <c r="F216" s="58">
        <v>1.0</v>
      </c>
      <c r="G216" s="38" t="s">
        <v>1754</v>
      </c>
      <c r="H216" s="38" t="s">
        <v>242</v>
      </c>
      <c r="I216" s="38" t="s">
        <v>243</v>
      </c>
      <c r="J216" s="38" t="s">
        <v>2757</v>
      </c>
    </row>
    <row r="217" ht="14.25" customHeight="1">
      <c r="A217" s="39" t="s">
        <v>1756</v>
      </c>
      <c r="B217" s="39" t="s">
        <v>1754</v>
      </c>
      <c r="C217" s="39" t="s">
        <v>346</v>
      </c>
      <c r="D217" s="39" t="s">
        <v>1757</v>
      </c>
      <c r="E217" s="59"/>
      <c r="F217" s="59">
        <v>1.0</v>
      </c>
      <c r="G217" s="39" t="s">
        <v>1754</v>
      </c>
      <c r="H217" s="39" t="s">
        <v>242</v>
      </c>
      <c r="I217" s="39" t="s">
        <v>346</v>
      </c>
      <c r="J217" s="39" t="s">
        <v>2757</v>
      </c>
    </row>
    <row r="218" ht="14.25" customHeight="1">
      <c r="A218" s="38" t="s">
        <v>1760</v>
      </c>
      <c r="B218" s="38" t="s">
        <v>1759</v>
      </c>
      <c r="C218" s="38" t="s">
        <v>267</v>
      </c>
      <c r="D218" s="38" t="s">
        <v>1761</v>
      </c>
      <c r="E218" s="58"/>
      <c r="F218" s="58">
        <v>1.0</v>
      </c>
      <c r="G218" s="38" t="s">
        <v>1759</v>
      </c>
      <c r="H218" s="38" t="s">
        <v>242</v>
      </c>
      <c r="I218" s="38" t="s">
        <v>267</v>
      </c>
      <c r="J218" s="38" t="s">
        <v>2757</v>
      </c>
    </row>
    <row r="219" ht="14.25" customHeight="1">
      <c r="A219" s="39" t="s">
        <v>1760</v>
      </c>
      <c r="B219" s="39" t="s">
        <v>1759</v>
      </c>
      <c r="C219" s="39" t="s">
        <v>243</v>
      </c>
      <c r="D219" s="39" t="s">
        <v>1761</v>
      </c>
      <c r="E219" s="59"/>
      <c r="F219" s="59">
        <v>1.0</v>
      </c>
      <c r="G219" s="39" t="s">
        <v>1759</v>
      </c>
      <c r="H219" s="39" t="s">
        <v>242</v>
      </c>
      <c r="I219" s="39" t="s">
        <v>243</v>
      </c>
      <c r="J219" s="39" t="s">
        <v>2757</v>
      </c>
    </row>
    <row r="220" ht="14.25" customHeight="1">
      <c r="A220" s="38" t="s">
        <v>1760</v>
      </c>
      <c r="B220" s="38" t="s">
        <v>1759</v>
      </c>
      <c r="C220" s="38" t="s">
        <v>346</v>
      </c>
      <c r="D220" s="38" t="s">
        <v>1761</v>
      </c>
      <c r="E220" s="58"/>
      <c r="F220" s="58">
        <v>1.0</v>
      </c>
      <c r="G220" s="38" t="s">
        <v>1759</v>
      </c>
      <c r="H220" s="38" t="s">
        <v>242</v>
      </c>
      <c r="I220" s="38" t="s">
        <v>346</v>
      </c>
      <c r="J220" s="38" t="s">
        <v>2757</v>
      </c>
    </row>
    <row r="221" ht="14.25" customHeight="1">
      <c r="A221" s="39" t="s">
        <v>1764</v>
      </c>
      <c r="B221" s="39" t="s">
        <v>1763</v>
      </c>
      <c r="C221" s="39" t="s">
        <v>267</v>
      </c>
      <c r="D221" s="39" t="s">
        <v>1765</v>
      </c>
      <c r="E221" s="59"/>
      <c r="F221" s="59">
        <v>1.0</v>
      </c>
      <c r="G221" s="39" t="s">
        <v>1763</v>
      </c>
      <c r="H221" s="39" t="s">
        <v>242</v>
      </c>
      <c r="I221" s="39" t="s">
        <v>267</v>
      </c>
      <c r="J221" s="39" t="s">
        <v>2757</v>
      </c>
    </row>
    <row r="222" ht="14.25" customHeight="1">
      <c r="A222" s="38" t="s">
        <v>1764</v>
      </c>
      <c r="B222" s="38" t="s">
        <v>1763</v>
      </c>
      <c r="C222" s="38" t="s">
        <v>243</v>
      </c>
      <c r="D222" s="38" t="s">
        <v>1765</v>
      </c>
      <c r="E222" s="58"/>
      <c r="F222" s="58">
        <v>1.0</v>
      </c>
      <c r="G222" s="38" t="s">
        <v>1763</v>
      </c>
      <c r="H222" s="38" t="s">
        <v>242</v>
      </c>
      <c r="I222" s="38" t="s">
        <v>243</v>
      </c>
      <c r="J222" s="38" t="s">
        <v>2757</v>
      </c>
    </row>
    <row r="223" ht="14.25" customHeight="1">
      <c r="A223" s="39" t="s">
        <v>1764</v>
      </c>
      <c r="B223" s="39" t="s">
        <v>1763</v>
      </c>
      <c r="C223" s="39" t="s">
        <v>346</v>
      </c>
      <c r="D223" s="39" t="s">
        <v>1765</v>
      </c>
      <c r="E223" s="59"/>
      <c r="F223" s="59">
        <v>1.0</v>
      </c>
      <c r="G223" s="39" t="s">
        <v>1763</v>
      </c>
      <c r="H223" s="39" t="s">
        <v>242</v>
      </c>
      <c r="I223" s="39" t="s">
        <v>346</v>
      </c>
      <c r="J223" s="39" t="s">
        <v>2757</v>
      </c>
    </row>
    <row r="224" ht="14.25" customHeight="1">
      <c r="A224" s="38" t="s">
        <v>1785</v>
      </c>
      <c r="B224" s="38" t="s">
        <v>1784</v>
      </c>
      <c r="C224" s="38" t="s">
        <v>267</v>
      </c>
      <c r="D224" s="38" t="s">
        <v>1786</v>
      </c>
      <c r="E224" s="58"/>
      <c r="F224" s="58">
        <v>1.0</v>
      </c>
      <c r="G224" s="38" t="s">
        <v>1784</v>
      </c>
      <c r="H224" s="38" t="s">
        <v>242</v>
      </c>
      <c r="I224" s="38" t="s">
        <v>267</v>
      </c>
      <c r="J224" s="38" t="s">
        <v>2757</v>
      </c>
    </row>
    <row r="225" ht="14.25" customHeight="1">
      <c r="A225" s="39" t="s">
        <v>1785</v>
      </c>
      <c r="B225" s="39" t="s">
        <v>1784</v>
      </c>
      <c r="C225" s="39" t="s">
        <v>243</v>
      </c>
      <c r="D225" s="39" t="s">
        <v>1786</v>
      </c>
      <c r="E225" s="59"/>
      <c r="F225" s="59">
        <v>1.0</v>
      </c>
      <c r="G225" s="39" t="s">
        <v>1784</v>
      </c>
      <c r="H225" s="39" t="s">
        <v>242</v>
      </c>
      <c r="I225" s="39" t="s">
        <v>243</v>
      </c>
      <c r="J225" s="39" t="s">
        <v>2757</v>
      </c>
    </row>
    <row r="226" ht="14.25" customHeight="1">
      <c r="A226" s="38" t="s">
        <v>1785</v>
      </c>
      <c r="B226" s="38" t="s">
        <v>1784</v>
      </c>
      <c r="C226" s="38" t="s">
        <v>346</v>
      </c>
      <c r="D226" s="38" t="s">
        <v>1786</v>
      </c>
      <c r="E226" s="58"/>
      <c r="F226" s="58">
        <v>1.0</v>
      </c>
      <c r="G226" s="38" t="s">
        <v>1784</v>
      </c>
      <c r="H226" s="38" t="s">
        <v>242</v>
      </c>
      <c r="I226" s="38" t="s">
        <v>346</v>
      </c>
      <c r="J226" s="38" t="s">
        <v>2757</v>
      </c>
    </row>
    <row r="227" ht="14.25" customHeight="1">
      <c r="A227" s="39" t="s">
        <v>1790</v>
      </c>
      <c r="B227" s="39" t="s">
        <v>1788</v>
      </c>
      <c r="C227" s="39" t="s">
        <v>267</v>
      </c>
      <c r="D227" s="39" t="s">
        <v>1791</v>
      </c>
      <c r="E227" s="59"/>
      <c r="F227" s="59">
        <v>1.0</v>
      </c>
      <c r="G227" s="39" t="s">
        <v>1788</v>
      </c>
      <c r="H227" s="39" t="s">
        <v>242</v>
      </c>
      <c r="I227" s="39" t="s">
        <v>267</v>
      </c>
      <c r="J227" s="39" t="s">
        <v>2757</v>
      </c>
    </row>
    <row r="228" ht="14.25" customHeight="1">
      <c r="A228" s="38" t="s">
        <v>1790</v>
      </c>
      <c r="B228" s="38" t="s">
        <v>1788</v>
      </c>
      <c r="C228" s="38" t="s">
        <v>243</v>
      </c>
      <c r="D228" s="38" t="s">
        <v>1791</v>
      </c>
      <c r="E228" s="58"/>
      <c r="F228" s="58">
        <v>1.0</v>
      </c>
      <c r="G228" s="38" t="s">
        <v>1788</v>
      </c>
      <c r="H228" s="38" t="s">
        <v>242</v>
      </c>
      <c r="I228" s="38" t="s">
        <v>243</v>
      </c>
      <c r="J228" s="38" t="s">
        <v>2757</v>
      </c>
    </row>
    <row r="229" ht="14.25" customHeight="1">
      <c r="A229" s="39" t="s">
        <v>1790</v>
      </c>
      <c r="B229" s="39" t="s">
        <v>1788</v>
      </c>
      <c r="C229" s="39" t="s">
        <v>346</v>
      </c>
      <c r="D229" s="39" t="s">
        <v>1791</v>
      </c>
      <c r="E229" s="59"/>
      <c r="F229" s="59">
        <v>1.0</v>
      </c>
      <c r="G229" s="39" t="s">
        <v>1788</v>
      </c>
      <c r="H229" s="39" t="s">
        <v>242</v>
      </c>
      <c r="I229" s="39" t="s">
        <v>346</v>
      </c>
      <c r="J229" s="39" t="s">
        <v>2757</v>
      </c>
    </row>
    <row r="230" ht="14.25" customHeight="1">
      <c r="A230" s="38" t="s">
        <v>1795</v>
      </c>
      <c r="B230" s="38" t="s">
        <v>1793</v>
      </c>
      <c r="C230" s="38" t="s">
        <v>267</v>
      </c>
      <c r="D230" s="38" t="s">
        <v>1796</v>
      </c>
      <c r="E230" s="58"/>
      <c r="F230" s="58">
        <v>1.0</v>
      </c>
      <c r="G230" s="38" t="s">
        <v>1793</v>
      </c>
      <c r="H230" s="38" t="s">
        <v>242</v>
      </c>
      <c r="I230" s="38" t="s">
        <v>267</v>
      </c>
      <c r="J230" s="38" t="s">
        <v>2757</v>
      </c>
    </row>
    <row r="231" ht="14.25" customHeight="1">
      <c r="A231" s="39" t="s">
        <v>1795</v>
      </c>
      <c r="B231" s="39" t="s">
        <v>1793</v>
      </c>
      <c r="C231" s="39" t="s">
        <v>243</v>
      </c>
      <c r="D231" s="39" t="s">
        <v>1796</v>
      </c>
      <c r="E231" s="59"/>
      <c r="F231" s="59">
        <v>1.0</v>
      </c>
      <c r="G231" s="39" t="s">
        <v>1793</v>
      </c>
      <c r="H231" s="39" t="s">
        <v>242</v>
      </c>
      <c r="I231" s="39" t="s">
        <v>243</v>
      </c>
      <c r="J231" s="39" t="s">
        <v>2757</v>
      </c>
    </row>
    <row r="232" ht="14.25" customHeight="1">
      <c r="A232" s="38" t="s">
        <v>1795</v>
      </c>
      <c r="B232" s="38" t="s">
        <v>1793</v>
      </c>
      <c r="C232" s="38" t="s">
        <v>346</v>
      </c>
      <c r="D232" s="38" t="s">
        <v>1796</v>
      </c>
      <c r="E232" s="58"/>
      <c r="F232" s="58">
        <v>1.0</v>
      </c>
      <c r="G232" s="38" t="s">
        <v>1793</v>
      </c>
      <c r="H232" s="38" t="s">
        <v>242</v>
      </c>
      <c r="I232" s="38" t="s">
        <v>346</v>
      </c>
      <c r="J232" s="38" t="s">
        <v>2757</v>
      </c>
    </row>
    <row r="233" ht="14.25" customHeight="1">
      <c r="A233" s="39" t="s">
        <v>1799</v>
      </c>
      <c r="B233" s="39" t="s">
        <v>1798</v>
      </c>
      <c r="C233" s="39" t="s">
        <v>267</v>
      </c>
      <c r="D233" s="39" t="s">
        <v>1800</v>
      </c>
      <c r="E233" s="59"/>
      <c r="F233" s="59">
        <v>1.0</v>
      </c>
      <c r="G233" s="39" t="s">
        <v>1798</v>
      </c>
      <c r="H233" s="39" t="s">
        <v>242</v>
      </c>
      <c r="I233" s="39" t="s">
        <v>267</v>
      </c>
      <c r="J233" s="39" t="s">
        <v>2757</v>
      </c>
    </row>
    <row r="234" ht="14.25" customHeight="1">
      <c r="A234" s="38" t="s">
        <v>1799</v>
      </c>
      <c r="B234" s="38" t="s">
        <v>1798</v>
      </c>
      <c r="C234" s="38" t="s">
        <v>243</v>
      </c>
      <c r="D234" s="38" t="s">
        <v>1800</v>
      </c>
      <c r="E234" s="58"/>
      <c r="F234" s="58">
        <v>1.0</v>
      </c>
      <c r="G234" s="38" t="s">
        <v>1798</v>
      </c>
      <c r="H234" s="38" t="s">
        <v>242</v>
      </c>
      <c r="I234" s="38" t="s">
        <v>243</v>
      </c>
      <c r="J234" s="38" t="s">
        <v>2757</v>
      </c>
    </row>
    <row r="235" ht="14.25" customHeight="1">
      <c r="A235" s="39" t="s">
        <v>1799</v>
      </c>
      <c r="B235" s="39" t="s">
        <v>1798</v>
      </c>
      <c r="C235" s="39" t="s">
        <v>346</v>
      </c>
      <c r="D235" s="39" t="s">
        <v>1800</v>
      </c>
      <c r="E235" s="59"/>
      <c r="F235" s="59">
        <v>1.0</v>
      </c>
      <c r="G235" s="39" t="s">
        <v>1798</v>
      </c>
      <c r="H235" s="39" t="s">
        <v>242</v>
      </c>
      <c r="I235" s="39" t="s">
        <v>346</v>
      </c>
      <c r="J235" s="39" t="s">
        <v>2757</v>
      </c>
    </row>
    <row r="236" ht="14.25" customHeight="1">
      <c r="A236" s="38" t="s">
        <v>1804</v>
      </c>
      <c r="B236" s="38" t="s">
        <v>1802</v>
      </c>
      <c r="C236" s="38" t="s">
        <v>267</v>
      </c>
      <c r="D236" s="38" t="s">
        <v>1805</v>
      </c>
      <c r="E236" s="58"/>
      <c r="F236" s="58">
        <v>1.0</v>
      </c>
      <c r="G236" s="38" t="s">
        <v>1802</v>
      </c>
      <c r="H236" s="38" t="s">
        <v>242</v>
      </c>
      <c r="I236" s="38" t="s">
        <v>267</v>
      </c>
      <c r="J236" s="38" t="s">
        <v>2757</v>
      </c>
    </row>
    <row r="237" ht="14.25" customHeight="1">
      <c r="A237" s="39" t="s">
        <v>1804</v>
      </c>
      <c r="B237" s="39" t="s">
        <v>1802</v>
      </c>
      <c r="C237" s="39" t="s">
        <v>243</v>
      </c>
      <c r="D237" s="39" t="s">
        <v>1805</v>
      </c>
      <c r="E237" s="59"/>
      <c r="F237" s="59">
        <v>1.0</v>
      </c>
      <c r="G237" s="39" t="s">
        <v>1802</v>
      </c>
      <c r="H237" s="39" t="s">
        <v>242</v>
      </c>
      <c r="I237" s="39" t="s">
        <v>243</v>
      </c>
      <c r="J237" s="39" t="s">
        <v>2757</v>
      </c>
    </row>
    <row r="238" ht="14.25" customHeight="1">
      <c r="A238" s="38" t="s">
        <v>1804</v>
      </c>
      <c r="B238" s="38" t="s">
        <v>1802</v>
      </c>
      <c r="C238" s="38" t="s">
        <v>346</v>
      </c>
      <c r="D238" s="38" t="s">
        <v>1805</v>
      </c>
      <c r="E238" s="58"/>
      <c r="F238" s="58">
        <v>1.0</v>
      </c>
      <c r="G238" s="38" t="s">
        <v>1802</v>
      </c>
      <c r="H238" s="38" t="s">
        <v>242</v>
      </c>
      <c r="I238" s="38" t="s">
        <v>346</v>
      </c>
      <c r="J238" s="38" t="s">
        <v>2757</v>
      </c>
    </row>
    <row r="239" ht="14.25" customHeight="1">
      <c r="A239" s="39" t="s">
        <v>1808</v>
      </c>
      <c r="B239" s="39" t="s">
        <v>1807</v>
      </c>
      <c r="C239" s="39" t="s">
        <v>267</v>
      </c>
      <c r="D239" s="39" t="s">
        <v>1809</v>
      </c>
      <c r="E239" s="59"/>
      <c r="F239" s="59">
        <v>1.0</v>
      </c>
      <c r="G239" s="39" t="s">
        <v>1807</v>
      </c>
      <c r="H239" s="39" t="s">
        <v>242</v>
      </c>
      <c r="I239" s="39" t="s">
        <v>267</v>
      </c>
      <c r="J239" s="39" t="s">
        <v>2757</v>
      </c>
    </row>
    <row r="240" ht="14.25" customHeight="1">
      <c r="A240" s="38" t="s">
        <v>1808</v>
      </c>
      <c r="B240" s="38" t="s">
        <v>1807</v>
      </c>
      <c r="C240" s="38" t="s">
        <v>243</v>
      </c>
      <c r="D240" s="38" t="s">
        <v>1809</v>
      </c>
      <c r="E240" s="58"/>
      <c r="F240" s="58">
        <v>1.0</v>
      </c>
      <c r="G240" s="38" t="s">
        <v>1807</v>
      </c>
      <c r="H240" s="38" t="s">
        <v>242</v>
      </c>
      <c r="I240" s="38" t="s">
        <v>243</v>
      </c>
      <c r="J240" s="38" t="s">
        <v>2757</v>
      </c>
    </row>
    <row r="241" ht="14.25" customHeight="1">
      <c r="A241" s="39" t="s">
        <v>1808</v>
      </c>
      <c r="B241" s="39" t="s">
        <v>1807</v>
      </c>
      <c r="C241" s="39" t="s">
        <v>346</v>
      </c>
      <c r="D241" s="39" t="s">
        <v>1809</v>
      </c>
      <c r="E241" s="59"/>
      <c r="F241" s="59">
        <v>1.0</v>
      </c>
      <c r="G241" s="39" t="s">
        <v>1807</v>
      </c>
      <c r="H241" s="39" t="s">
        <v>242</v>
      </c>
      <c r="I241" s="39" t="s">
        <v>346</v>
      </c>
      <c r="J241" s="39" t="s">
        <v>2757</v>
      </c>
    </row>
    <row r="242" ht="14.25" customHeight="1">
      <c r="A242" s="38" t="s">
        <v>1813</v>
      </c>
      <c r="B242" s="38" t="s">
        <v>1811</v>
      </c>
      <c r="C242" s="38" t="s">
        <v>267</v>
      </c>
      <c r="D242" s="38" t="s">
        <v>1814</v>
      </c>
      <c r="E242" s="58"/>
      <c r="F242" s="58">
        <v>1.0</v>
      </c>
      <c r="G242" s="38" t="s">
        <v>1811</v>
      </c>
      <c r="H242" s="38" t="s">
        <v>242</v>
      </c>
      <c r="I242" s="38" t="s">
        <v>267</v>
      </c>
      <c r="J242" s="38" t="s">
        <v>2757</v>
      </c>
    </row>
    <row r="243" ht="14.25" customHeight="1">
      <c r="A243" s="39" t="s">
        <v>1813</v>
      </c>
      <c r="B243" s="39" t="s">
        <v>1811</v>
      </c>
      <c r="C243" s="39" t="s">
        <v>243</v>
      </c>
      <c r="D243" s="39" t="s">
        <v>1814</v>
      </c>
      <c r="E243" s="59"/>
      <c r="F243" s="59">
        <v>1.0</v>
      </c>
      <c r="G243" s="39" t="s">
        <v>1811</v>
      </c>
      <c r="H243" s="39" t="s">
        <v>242</v>
      </c>
      <c r="I243" s="39" t="s">
        <v>243</v>
      </c>
      <c r="J243" s="39" t="s">
        <v>2757</v>
      </c>
    </row>
    <row r="244" ht="14.25" customHeight="1">
      <c r="A244" s="38" t="s">
        <v>1813</v>
      </c>
      <c r="B244" s="38" t="s">
        <v>1811</v>
      </c>
      <c r="C244" s="38" t="s">
        <v>346</v>
      </c>
      <c r="D244" s="38" t="s">
        <v>1814</v>
      </c>
      <c r="E244" s="58"/>
      <c r="F244" s="58">
        <v>1.0</v>
      </c>
      <c r="G244" s="38" t="s">
        <v>1811</v>
      </c>
      <c r="H244" s="38" t="s">
        <v>242</v>
      </c>
      <c r="I244" s="38" t="s">
        <v>346</v>
      </c>
      <c r="J244" s="38" t="s">
        <v>2757</v>
      </c>
    </row>
    <row r="245" ht="14.25" customHeight="1">
      <c r="A245" s="39" t="s">
        <v>1833</v>
      </c>
      <c r="B245" s="39" t="s">
        <v>1832</v>
      </c>
      <c r="C245" s="39" t="s">
        <v>267</v>
      </c>
      <c r="D245" s="39" t="s">
        <v>1834</v>
      </c>
      <c r="E245" s="59"/>
      <c r="F245" s="59">
        <v>1.0</v>
      </c>
      <c r="G245" s="39" t="s">
        <v>1832</v>
      </c>
      <c r="H245" s="39" t="s">
        <v>242</v>
      </c>
      <c r="I245" s="39" t="s">
        <v>267</v>
      </c>
      <c r="J245" s="39" t="s">
        <v>2757</v>
      </c>
    </row>
    <row r="246" ht="14.25" customHeight="1">
      <c r="A246" s="38" t="s">
        <v>1833</v>
      </c>
      <c r="B246" s="38" t="s">
        <v>1832</v>
      </c>
      <c r="C246" s="38" t="s">
        <v>243</v>
      </c>
      <c r="D246" s="38" t="s">
        <v>1834</v>
      </c>
      <c r="E246" s="58"/>
      <c r="F246" s="58">
        <v>1.0</v>
      </c>
      <c r="G246" s="38" t="s">
        <v>1832</v>
      </c>
      <c r="H246" s="38" t="s">
        <v>242</v>
      </c>
      <c r="I246" s="38" t="s">
        <v>243</v>
      </c>
      <c r="J246" s="38" t="s">
        <v>2757</v>
      </c>
    </row>
    <row r="247" ht="14.25" customHeight="1">
      <c r="A247" s="39" t="s">
        <v>1833</v>
      </c>
      <c r="B247" s="39" t="s">
        <v>1832</v>
      </c>
      <c r="C247" s="39" t="s">
        <v>346</v>
      </c>
      <c r="D247" s="39" t="s">
        <v>1834</v>
      </c>
      <c r="E247" s="59"/>
      <c r="F247" s="59">
        <v>1.0</v>
      </c>
      <c r="G247" s="39" t="s">
        <v>1832</v>
      </c>
      <c r="H247" s="39" t="s">
        <v>242</v>
      </c>
      <c r="I247" s="39" t="s">
        <v>346</v>
      </c>
      <c r="J247" s="39" t="s">
        <v>2757</v>
      </c>
    </row>
    <row r="248" ht="14.25" customHeight="1">
      <c r="A248" s="38" t="s">
        <v>1838</v>
      </c>
      <c r="B248" s="38" t="s">
        <v>1836</v>
      </c>
      <c r="C248" s="38" t="s">
        <v>267</v>
      </c>
      <c r="D248" s="38" t="s">
        <v>1839</v>
      </c>
      <c r="E248" s="58"/>
      <c r="F248" s="58">
        <v>1.0</v>
      </c>
      <c r="G248" s="38" t="s">
        <v>1836</v>
      </c>
      <c r="H248" s="38" t="s">
        <v>242</v>
      </c>
      <c r="I248" s="38" t="s">
        <v>267</v>
      </c>
      <c r="J248" s="38" t="s">
        <v>2757</v>
      </c>
    </row>
    <row r="249" ht="14.25" customHeight="1">
      <c r="A249" s="39" t="s">
        <v>1838</v>
      </c>
      <c r="B249" s="39" t="s">
        <v>1836</v>
      </c>
      <c r="C249" s="39" t="s">
        <v>243</v>
      </c>
      <c r="D249" s="39" t="s">
        <v>1839</v>
      </c>
      <c r="E249" s="59"/>
      <c r="F249" s="59">
        <v>1.0</v>
      </c>
      <c r="G249" s="39" t="s">
        <v>1836</v>
      </c>
      <c r="H249" s="39" t="s">
        <v>242</v>
      </c>
      <c r="I249" s="39" t="s">
        <v>243</v>
      </c>
      <c r="J249" s="39" t="s">
        <v>2757</v>
      </c>
    </row>
    <row r="250" ht="14.25" customHeight="1">
      <c r="A250" s="38" t="s">
        <v>1838</v>
      </c>
      <c r="B250" s="38" t="s">
        <v>1836</v>
      </c>
      <c r="C250" s="38" t="s">
        <v>346</v>
      </c>
      <c r="D250" s="38" t="s">
        <v>1839</v>
      </c>
      <c r="E250" s="58"/>
      <c r="F250" s="58">
        <v>1.0</v>
      </c>
      <c r="G250" s="38" t="s">
        <v>1836</v>
      </c>
      <c r="H250" s="38" t="s">
        <v>242</v>
      </c>
      <c r="I250" s="38" t="s">
        <v>346</v>
      </c>
      <c r="J250" s="38" t="s">
        <v>2757</v>
      </c>
    </row>
    <row r="251" ht="14.25" customHeight="1">
      <c r="A251" s="39" t="s">
        <v>1845</v>
      </c>
      <c r="B251" s="39" t="s">
        <v>1844</v>
      </c>
      <c r="C251" s="39" t="s">
        <v>267</v>
      </c>
      <c r="D251" s="39" t="s">
        <v>1846</v>
      </c>
      <c r="E251" s="59"/>
      <c r="F251" s="59">
        <v>1.0</v>
      </c>
      <c r="G251" s="39" t="s">
        <v>1844</v>
      </c>
      <c r="H251" s="39" t="s">
        <v>242</v>
      </c>
      <c r="I251" s="39" t="s">
        <v>267</v>
      </c>
      <c r="J251" s="39" t="s">
        <v>2757</v>
      </c>
    </row>
    <row r="252" ht="14.25" customHeight="1">
      <c r="A252" s="38" t="s">
        <v>1845</v>
      </c>
      <c r="B252" s="38" t="s">
        <v>1844</v>
      </c>
      <c r="C252" s="38" t="s">
        <v>243</v>
      </c>
      <c r="D252" s="38" t="s">
        <v>1846</v>
      </c>
      <c r="E252" s="58"/>
      <c r="F252" s="58">
        <v>1.0</v>
      </c>
      <c r="G252" s="38" t="s">
        <v>1844</v>
      </c>
      <c r="H252" s="38" t="s">
        <v>242</v>
      </c>
      <c r="I252" s="38" t="s">
        <v>243</v>
      </c>
      <c r="J252" s="38" t="s">
        <v>2757</v>
      </c>
    </row>
    <row r="253" ht="14.25" customHeight="1">
      <c r="A253" s="39" t="s">
        <v>1845</v>
      </c>
      <c r="B253" s="39" t="s">
        <v>1844</v>
      </c>
      <c r="C253" s="39" t="s">
        <v>346</v>
      </c>
      <c r="D253" s="39" t="s">
        <v>1846</v>
      </c>
      <c r="E253" s="59"/>
      <c r="F253" s="59">
        <v>1.0</v>
      </c>
      <c r="G253" s="39" t="s">
        <v>1844</v>
      </c>
      <c r="H253" s="39" t="s">
        <v>242</v>
      </c>
      <c r="I253" s="39" t="s">
        <v>346</v>
      </c>
      <c r="J253" s="39" t="s">
        <v>2757</v>
      </c>
    </row>
    <row r="254" ht="14.25" customHeight="1">
      <c r="A254" s="38" t="s">
        <v>1853</v>
      </c>
      <c r="B254" s="38" t="s">
        <v>1851</v>
      </c>
      <c r="C254" s="38" t="s">
        <v>267</v>
      </c>
      <c r="D254" s="38" t="s">
        <v>1854</v>
      </c>
      <c r="E254" s="58"/>
      <c r="F254" s="58">
        <v>1.0</v>
      </c>
      <c r="G254" s="38" t="s">
        <v>1851</v>
      </c>
      <c r="H254" s="38" t="s">
        <v>242</v>
      </c>
      <c r="I254" s="38" t="s">
        <v>267</v>
      </c>
      <c r="J254" s="38" t="s">
        <v>2757</v>
      </c>
    </row>
    <row r="255" ht="14.25" customHeight="1">
      <c r="A255" s="39" t="s">
        <v>1853</v>
      </c>
      <c r="B255" s="39" t="s">
        <v>1851</v>
      </c>
      <c r="C255" s="39" t="s">
        <v>243</v>
      </c>
      <c r="D255" s="39" t="s">
        <v>1854</v>
      </c>
      <c r="E255" s="59"/>
      <c r="F255" s="59">
        <v>1.0</v>
      </c>
      <c r="G255" s="39" t="s">
        <v>1851</v>
      </c>
      <c r="H255" s="39" t="s">
        <v>242</v>
      </c>
      <c r="I255" s="39" t="s">
        <v>243</v>
      </c>
      <c r="J255" s="39" t="s">
        <v>2757</v>
      </c>
    </row>
    <row r="256" ht="14.25" customHeight="1">
      <c r="A256" s="38" t="s">
        <v>1853</v>
      </c>
      <c r="B256" s="38" t="s">
        <v>1851</v>
      </c>
      <c r="C256" s="38" t="s">
        <v>346</v>
      </c>
      <c r="D256" s="38" t="s">
        <v>1854</v>
      </c>
      <c r="E256" s="58"/>
      <c r="F256" s="58">
        <v>1.0</v>
      </c>
      <c r="G256" s="38" t="s">
        <v>1851</v>
      </c>
      <c r="H256" s="38" t="s">
        <v>242</v>
      </c>
      <c r="I256" s="38" t="s">
        <v>346</v>
      </c>
      <c r="J256" s="38" t="s">
        <v>2757</v>
      </c>
    </row>
    <row r="257" ht="14.25" customHeight="1">
      <c r="A257" s="39" t="s">
        <v>1858</v>
      </c>
      <c r="B257" s="39" t="s">
        <v>1856</v>
      </c>
      <c r="C257" s="39" t="s">
        <v>267</v>
      </c>
      <c r="D257" s="39" t="s">
        <v>1859</v>
      </c>
      <c r="E257" s="59"/>
      <c r="F257" s="59">
        <v>1.0</v>
      </c>
      <c r="G257" s="39" t="s">
        <v>1856</v>
      </c>
      <c r="H257" s="39" t="s">
        <v>242</v>
      </c>
      <c r="I257" s="39" t="s">
        <v>267</v>
      </c>
      <c r="J257" s="39" t="s">
        <v>2757</v>
      </c>
    </row>
    <row r="258" ht="14.25" customHeight="1">
      <c r="A258" s="38" t="s">
        <v>1858</v>
      </c>
      <c r="B258" s="38" t="s">
        <v>1856</v>
      </c>
      <c r="C258" s="38" t="s">
        <v>243</v>
      </c>
      <c r="D258" s="38" t="s">
        <v>1859</v>
      </c>
      <c r="E258" s="58"/>
      <c r="F258" s="58">
        <v>1.0</v>
      </c>
      <c r="G258" s="38" t="s">
        <v>1856</v>
      </c>
      <c r="H258" s="38" t="s">
        <v>242</v>
      </c>
      <c r="I258" s="38" t="s">
        <v>243</v>
      </c>
      <c r="J258" s="38" t="s">
        <v>2757</v>
      </c>
    </row>
    <row r="259" ht="14.25" customHeight="1">
      <c r="A259" s="39" t="s">
        <v>1858</v>
      </c>
      <c r="B259" s="39" t="s">
        <v>1856</v>
      </c>
      <c r="C259" s="39" t="s">
        <v>346</v>
      </c>
      <c r="D259" s="39" t="s">
        <v>1859</v>
      </c>
      <c r="E259" s="59"/>
      <c r="F259" s="59">
        <v>1.0</v>
      </c>
      <c r="G259" s="39" t="s">
        <v>1856</v>
      </c>
      <c r="H259" s="39" t="s">
        <v>242</v>
      </c>
      <c r="I259" s="39" t="s">
        <v>346</v>
      </c>
      <c r="J259" s="39" t="s">
        <v>2757</v>
      </c>
    </row>
    <row r="260" ht="14.25" customHeight="1">
      <c r="A260" s="38" t="s">
        <v>1876</v>
      </c>
      <c r="B260" s="38" t="s">
        <v>1875</v>
      </c>
      <c r="C260" s="38" t="s">
        <v>267</v>
      </c>
      <c r="D260" s="38" t="s">
        <v>1877</v>
      </c>
      <c r="E260" s="58"/>
      <c r="F260" s="58">
        <v>1.0</v>
      </c>
      <c r="G260" s="38" t="s">
        <v>1875</v>
      </c>
      <c r="H260" s="38" t="s">
        <v>268</v>
      </c>
      <c r="I260" s="38" t="s">
        <v>267</v>
      </c>
      <c r="J260" s="38" t="s">
        <v>2757</v>
      </c>
    </row>
    <row r="261" ht="14.25" customHeight="1">
      <c r="A261" s="39" t="s">
        <v>1876</v>
      </c>
      <c r="B261" s="39" t="s">
        <v>1875</v>
      </c>
      <c r="C261" s="39" t="s">
        <v>243</v>
      </c>
      <c r="D261" s="39" t="s">
        <v>1877</v>
      </c>
      <c r="E261" s="59"/>
      <c r="F261" s="59">
        <v>1.0</v>
      </c>
      <c r="G261" s="39" t="s">
        <v>1875</v>
      </c>
      <c r="H261" s="39" t="s">
        <v>268</v>
      </c>
      <c r="I261" s="39" t="s">
        <v>243</v>
      </c>
      <c r="J261" s="39" t="s">
        <v>2757</v>
      </c>
    </row>
    <row r="262" ht="14.25" customHeight="1">
      <c r="A262" s="38" t="s">
        <v>1876</v>
      </c>
      <c r="B262" s="38" t="s">
        <v>1875</v>
      </c>
      <c r="C262" s="38" t="s">
        <v>346</v>
      </c>
      <c r="D262" s="38" t="s">
        <v>1877</v>
      </c>
      <c r="E262" s="58"/>
      <c r="F262" s="58">
        <v>1.0</v>
      </c>
      <c r="G262" s="38" t="s">
        <v>1875</v>
      </c>
      <c r="H262" s="38" t="s">
        <v>268</v>
      </c>
      <c r="I262" s="38" t="s">
        <v>346</v>
      </c>
      <c r="J262" s="38" t="s">
        <v>2757</v>
      </c>
    </row>
    <row r="263" ht="14.25" customHeight="1">
      <c r="A263" s="39" t="s">
        <v>1882</v>
      </c>
      <c r="B263" s="39" t="s">
        <v>1880</v>
      </c>
      <c r="C263" s="39" t="s">
        <v>267</v>
      </c>
      <c r="D263" s="39" t="s">
        <v>1883</v>
      </c>
      <c r="E263" s="59"/>
      <c r="F263" s="59">
        <v>1.0</v>
      </c>
      <c r="G263" s="39" t="s">
        <v>1880</v>
      </c>
      <c r="H263" s="39" t="s">
        <v>242</v>
      </c>
      <c r="I263" s="39" t="s">
        <v>267</v>
      </c>
      <c r="J263" s="39" t="s">
        <v>2757</v>
      </c>
    </row>
    <row r="264" ht="14.25" customHeight="1">
      <c r="A264" s="38" t="s">
        <v>1882</v>
      </c>
      <c r="B264" s="38" t="s">
        <v>1880</v>
      </c>
      <c r="C264" s="38" t="s">
        <v>243</v>
      </c>
      <c r="D264" s="38" t="s">
        <v>1883</v>
      </c>
      <c r="E264" s="58"/>
      <c r="F264" s="58">
        <v>1.0</v>
      </c>
      <c r="G264" s="38" t="s">
        <v>1880</v>
      </c>
      <c r="H264" s="38" t="s">
        <v>242</v>
      </c>
      <c r="I264" s="38" t="s">
        <v>243</v>
      </c>
      <c r="J264" s="38" t="s">
        <v>2757</v>
      </c>
    </row>
    <row r="265" ht="14.25" customHeight="1">
      <c r="A265" s="39" t="s">
        <v>1882</v>
      </c>
      <c r="B265" s="39" t="s">
        <v>1880</v>
      </c>
      <c r="C265" s="39" t="s">
        <v>346</v>
      </c>
      <c r="D265" s="39" t="s">
        <v>1883</v>
      </c>
      <c r="E265" s="59"/>
      <c r="F265" s="59">
        <v>1.0</v>
      </c>
      <c r="G265" s="39" t="s">
        <v>1880</v>
      </c>
      <c r="H265" s="39" t="s">
        <v>242</v>
      </c>
      <c r="I265" s="39" t="s">
        <v>346</v>
      </c>
      <c r="J265" s="39" t="s">
        <v>2757</v>
      </c>
    </row>
    <row r="266" ht="14.25" customHeight="1">
      <c r="A266" s="38" t="s">
        <v>1886</v>
      </c>
      <c r="B266" s="38" t="s">
        <v>1885</v>
      </c>
      <c r="C266" s="38" t="s">
        <v>267</v>
      </c>
      <c r="D266" s="38" t="s">
        <v>1887</v>
      </c>
      <c r="E266" s="58"/>
      <c r="F266" s="58">
        <v>1.0</v>
      </c>
      <c r="G266" s="38" t="s">
        <v>1885</v>
      </c>
      <c r="H266" s="38" t="s">
        <v>242</v>
      </c>
      <c r="I266" s="38" t="s">
        <v>267</v>
      </c>
      <c r="J266" s="38" t="s">
        <v>2757</v>
      </c>
    </row>
    <row r="267" ht="14.25" customHeight="1">
      <c r="A267" s="39" t="s">
        <v>1886</v>
      </c>
      <c r="B267" s="39" t="s">
        <v>1885</v>
      </c>
      <c r="C267" s="39" t="s">
        <v>243</v>
      </c>
      <c r="D267" s="39" t="s">
        <v>1887</v>
      </c>
      <c r="E267" s="59"/>
      <c r="F267" s="59">
        <v>1.0</v>
      </c>
      <c r="G267" s="39" t="s">
        <v>1885</v>
      </c>
      <c r="H267" s="39" t="s">
        <v>242</v>
      </c>
      <c r="I267" s="39" t="s">
        <v>243</v>
      </c>
      <c r="J267" s="39" t="s">
        <v>2757</v>
      </c>
    </row>
    <row r="268" ht="14.25" customHeight="1">
      <c r="A268" s="38" t="s">
        <v>1886</v>
      </c>
      <c r="B268" s="38" t="s">
        <v>1885</v>
      </c>
      <c r="C268" s="38" t="s">
        <v>346</v>
      </c>
      <c r="D268" s="38" t="s">
        <v>1887</v>
      </c>
      <c r="E268" s="58"/>
      <c r="F268" s="58">
        <v>1.0</v>
      </c>
      <c r="G268" s="38" t="s">
        <v>1885</v>
      </c>
      <c r="H268" s="38" t="s">
        <v>242</v>
      </c>
      <c r="I268" s="38" t="s">
        <v>346</v>
      </c>
      <c r="J268" s="38" t="s">
        <v>2757</v>
      </c>
    </row>
    <row r="269" ht="14.25" customHeight="1">
      <c r="A269" s="39" t="s">
        <v>1891</v>
      </c>
      <c r="B269" s="39" t="s">
        <v>1889</v>
      </c>
      <c r="C269" s="39" t="s">
        <v>267</v>
      </c>
      <c r="D269" s="39" t="s">
        <v>1892</v>
      </c>
      <c r="E269" s="59"/>
      <c r="F269" s="59">
        <v>1.0</v>
      </c>
      <c r="G269" s="39" t="s">
        <v>1889</v>
      </c>
      <c r="H269" s="39" t="s">
        <v>242</v>
      </c>
      <c r="I269" s="39" t="s">
        <v>267</v>
      </c>
      <c r="J269" s="39" t="s">
        <v>2757</v>
      </c>
    </row>
    <row r="270" ht="14.25" customHeight="1">
      <c r="A270" s="38" t="s">
        <v>1891</v>
      </c>
      <c r="B270" s="38" t="s">
        <v>1889</v>
      </c>
      <c r="C270" s="38" t="s">
        <v>243</v>
      </c>
      <c r="D270" s="38" t="s">
        <v>1892</v>
      </c>
      <c r="E270" s="58"/>
      <c r="F270" s="58">
        <v>1.0</v>
      </c>
      <c r="G270" s="38" t="s">
        <v>1889</v>
      </c>
      <c r="H270" s="38" t="s">
        <v>242</v>
      </c>
      <c r="I270" s="38" t="s">
        <v>243</v>
      </c>
      <c r="J270" s="38" t="s">
        <v>2757</v>
      </c>
    </row>
    <row r="271" ht="14.25" customHeight="1">
      <c r="A271" s="39" t="s">
        <v>1891</v>
      </c>
      <c r="B271" s="39" t="s">
        <v>1889</v>
      </c>
      <c r="C271" s="39" t="s">
        <v>346</v>
      </c>
      <c r="D271" s="39" t="s">
        <v>1892</v>
      </c>
      <c r="E271" s="59"/>
      <c r="F271" s="59">
        <v>1.0</v>
      </c>
      <c r="G271" s="39" t="s">
        <v>1889</v>
      </c>
      <c r="H271" s="39" t="s">
        <v>242</v>
      </c>
      <c r="I271" s="39" t="s">
        <v>346</v>
      </c>
      <c r="J271" s="39" t="s">
        <v>2757</v>
      </c>
    </row>
    <row r="272" ht="14.25" customHeight="1">
      <c r="A272" s="38" t="s">
        <v>1900</v>
      </c>
      <c r="B272" s="38" t="s">
        <v>1898</v>
      </c>
      <c r="C272" s="38" t="s">
        <v>267</v>
      </c>
      <c r="D272" s="38" t="s">
        <v>1901</v>
      </c>
      <c r="E272" s="58"/>
      <c r="F272" s="58">
        <v>1.0</v>
      </c>
      <c r="G272" s="38" t="s">
        <v>1898</v>
      </c>
      <c r="H272" s="38" t="s">
        <v>242</v>
      </c>
      <c r="I272" s="38" t="s">
        <v>267</v>
      </c>
      <c r="J272" s="38" t="s">
        <v>2757</v>
      </c>
    </row>
    <row r="273" ht="14.25" customHeight="1">
      <c r="A273" s="39" t="s">
        <v>1900</v>
      </c>
      <c r="B273" s="39" t="s">
        <v>1898</v>
      </c>
      <c r="C273" s="39" t="s">
        <v>243</v>
      </c>
      <c r="D273" s="39" t="s">
        <v>1901</v>
      </c>
      <c r="E273" s="59"/>
      <c r="F273" s="59">
        <v>1.0</v>
      </c>
      <c r="G273" s="39" t="s">
        <v>1898</v>
      </c>
      <c r="H273" s="39" t="s">
        <v>242</v>
      </c>
      <c r="I273" s="39" t="s">
        <v>243</v>
      </c>
      <c r="J273" s="39" t="s">
        <v>2757</v>
      </c>
    </row>
    <row r="274" ht="14.25" customHeight="1">
      <c r="A274" s="38" t="s">
        <v>1900</v>
      </c>
      <c r="B274" s="38" t="s">
        <v>1898</v>
      </c>
      <c r="C274" s="38" t="s">
        <v>346</v>
      </c>
      <c r="D274" s="38" t="s">
        <v>1901</v>
      </c>
      <c r="E274" s="58"/>
      <c r="F274" s="58">
        <v>1.0</v>
      </c>
      <c r="G274" s="38" t="s">
        <v>1898</v>
      </c>
      <c r="H274" s="38" t="s">
        <v>242</v>
      </c>
      <c r="I274" s="38" t="s">
        <v>346</v>
      </c>
      <c r="J274" s="38" t="s">
        <v>2757</v>
      </c>
    </row>
    <row r="275" ht="14.25" customHeight="1">
      <c r="A275" s="39" t="s">
        <v>1905</v>
      </c>
      <c r="B275" s="39" t="s">
        <v>1903</v>
      </c>
      <c r="C275" s="39" t="s">
        <v>267</v>
      </c>
      <c r="D275" s="39" t="s">
        <v>1906</v>
      </c>
      <c r="E275" s="59"/>
      <c r="F275" s="59">
        <v>1.0</v>
      </c>
      <c r="G275" s="39" t="s">
        <v>1903</v>
      </c>
      <c r="H275" s="39" t="s">
        <v>242</v>
      </c>
      <c r="I275" s="39" t="s">
        <v>267</v>
      </c>
      <c r="J275" s="39" t="s">
        <v>2757</v>
      </c>
    </row>
    <row r="276" ht="14.25" customHeight="1">
      <c r="A276" s="38" t="s">
        <v>1905</v>
      </c>
      <c r="B276" s="38" t="s">
        <v>1903</v>
      </c>
      <c r="C276" s="38" t="s">
        <v>243</v>
      </c>
      <c r="D276" s="38" t="s">
        <v>1906</v>
      </c>
      <c r="E276" s="58"/>
      <c r="F276" s="58">
        <v>1.0</v>
      </c>
      <c r="G276" s="38" t="s">
        <v>1903</v>
      </c>
      <c r="H276" s="38" t="s">
        <v>242</v>
      </c>
      <c r="I276" s="38" t="s">
        <v>243</v>
      </c>
      <c r="J276" s="38" t="s">
        <v>2757</v>
      </c>
    </row>
    <row r="277" ht="14.25" customHeight="1">
      <c r="A277" s="39" t="s">
        <v>1905</v>
      </c>
      <c r="B277" s="39" t="s">
        <v>1903</v>
      </c>
      <c r="C277" s="39" t="s">
        <v>346</v>
      </c>
      <c r="D277" s="39" t="s">
        <v>1906</v>
      </c>
      <c r="E277" s="59"/>
      <c r="F277" s="59">
        <v>1.0</v>
      </c>
      <c r="G277" s="39" t="s">
        <v>1903</v>
      </c>
      <c r="H277" s="39" t="s">
        <v>242</v>
      </c>
      <c r="I277" s="39" t="s">
        <v>346</v>
      </c>
      <c r="J277" s="39" t="s">
        <v>2757</v>
      </c>
    </row>
    <row r="278" ht="14.25" customHeight="1">
      <c r="A278" s="38" t="s">
        <v>1910</v>
      </c>
      <c r="B278" s="38" t="s">
        <v>1908</v>
      </c>
      <c r="C278" s="38" t="s">
        <v>267</v>
      </c>
      <c r="D278" s="38" t="s">
        <v>1911</v>
      </c>
      <c r="E278" s="58"/>
      <c r="F278" s="58">
        <v>1.0</v>
      </c>
      <c r="G278" s="38" t="s">
        <v>1908</v>
      </c>
      <c r="H278" s="38" t="s">
        <v>242</v>
      </c>
      <c r="I278" s="38" t="s">
        <v>267</v>
      </c>
      <c r="J278" s="38" t="s">
        <v>2757</v>
      </c>
    </row>
    <row r="279" ht="14.25" customHeight="1">
      <c r="A279" s="39" t="s">
        <v>1910</v>
      </c>
      <c r="B279" s="39" t="s">
        <v>1908</v>
      </c>
      <c r="C279" s="39" t="s">
        <v>243</v>
      </c>
      <c r="D279" s="39" t="s">
        <v>1911</v>
      </c>
      <c r="E279" s="59"/>
      <c r="F279" s="59">
        <v>1.0</v>
      </c>
      <c r="G279" s="39" t="s">
        <v>1908</v>
      </c>
      <c r="H279" s="39" t="s">
        <v>242</v>
      </c>
      <c r="I279" s="39" t="s">
        <v>243</v>
      </c>
      <c r="J279" s="39" t="s">
        <v>2757</v>
      </c>
    </row>
    <row r="280" ht="14.25" customHeight="1">
      <c r="A280" s="38" t="s">
        <v>1910</v>
      </c>
      <c r="B280" s="38" t="s">
        <v>1908</v>
      </c>
      <c r="C280" s="38" t="s">
        <v>346</v>
      </c>
      <c r="D280" s="38" t="s">
        <v>1911</v>
      </c>
      <c r="E280" s="58"/>
      <c r="F280" s="58">
        <v>1.0</v>
      </c>
      <c r="G280" s="38" t="s">
        <v>1908</v>
      </c>
      <c r="H280" s="38" t="s">
        <v>242</v>
      </c>
      <c r="I280" s="38" t="s">
        <v>346</v>
      </c>
      <c r="J280" s="38" t="s">
        <v>2757</v>
      </c>
    </row>
    <row r="281" ht="14.25" customHeight="1">
      <c r="A281" s="39" t="s">
        <v>1915</v>
      </c>
      <c r="B281" s="39" t="s">
        <v>1913</v>
      </c>
      <c r="C281" s="39" t="s">
        <v>267</v>
      </c>
      <c r="D281" s="39" t="s">
        <v>1916</v>
      </c>
      <c r="E281" s="59"/>
      <c r="F281" s="59">
        <v>1.0</v>
      </c>
      <c r="G281" s="39" t="s">
        <v>1913</v>
      </c>
      <c r="H281" s="39" t="s">
        <v>242</v>
      </c>
      <c r="I281" s="39" t="s">
        <v>267</v>
      </c>
      <c r="J281" s="39" t="s">
        <v>2757</v>
      </c>
    </row>
    <row r="282" ht="14.25" customHeight="1">
      <c r="A282" s="38" t="s">
        <v>1915</v>
      </c>
      <c r="B282" s="38" t="s">
        <v>1913</v>
      </c>
      <c r="C282" s="38" t="s">
        <v>243</v>
      </c>
      <c r="D282" s="38" t="s">
        <v>1916</v>
      </c>
      <c r="E282" s="58"/>
      <c r="F282" s="58">
        <v>1.0</v>
      </c>
      <c r="G282" s="38" t="s">
        <v>1913</v>
      </c>
      <c r="H282" s="38" t="s">
        <v>242</v>
      </c>
      <c r="I282" s="38" t="s">
        <v>243</v>
      </c>
      <c r="J282" s="38" t="s">
        <v>2757</v>
      </c>
    </row>
    <row r="283" ht="14.25" customHeight="1">
      <c r="A283" s="39" t="s">
        <v>1915</v>
      </c>
      <c r="B283" s="39" t="s">
        <v>1913</v>
      </c>
      <c r="C283" s="39" t="s">
        <v>346</v>
      </c>
      <c r="D283" s="39" t="s">
        <v>1916</v>
      </c>
      <c r="E283" s="59"/>
      <c r="F283" s="59">
        <v>1.0</v>
      </c>
      <c r="G283" s="39" t="s">
        <v>1913</v>
      </c>
      <c r="H283" s="39" t="s">
        <v>242</v>
      </c>
      <c r="I283" s="39" t="s">
        <v>346</v>
      </c>
      <c r="J283" s="39" t="s">
        <v>2757</v>
      </c>
    </row>
    <row r="284" ht="14.25" customHeight="1">
      <c r="A284" s="38" t="s">
        <v>1919</v>
      </c>
      <c r="B284" s="38" t="s">
        <v>1918</v>
      </c>
      <c r="C284" s="38" t="s">
        <v>267</v>
      </c>
      <c r="D284" s="38" t="s">
        <v>1920</v>
      </c>
      <c r="E284" s="58"/>
      <c r="F284" s="58">
        <v>1.0</v>
      </c>
      <c r="G284" s="38" t="s">
        <v>1918</v>
      </c>
      <c r="H284" s="38" t="s">
        <v>242</v>
      </c>
      <c r="I284" s="38" t="s">
        <v>267</v>
      </c>
      <c r="J284" s="38" t="s">
        <v>2757</v>
      </c>
    </row>
    <row r="285" ht="14.25" customHeight="1">
      <c r="A285" s="39" t="s">
        <v>1919</v>
      </c>
      <c r="B285" s="39" t="s">
        <v>1918</v>
      </c>
      <c r="C285" s="39" t="s">
        <v>243</v>
      </c>
      <c r="D285" s="39" t="s">
        <v>1920</v>
      </c>
      <c r="E285" s="59"/>
      <c r="F285" s="59">
        <v>1.0</v>
      </c>
      <c r="G285" s="39" t="s">
        <v>1918</v>
      </c>
      <c r="H285" s="39" t="s">
        <v>242</v>
      </c>
      <c r="I285" s="39" t="s">
        <v>243</v>
      </c>
      <c r="J285" s="39" t="s">
        <v>2757</v>
      </c>
    </row>
    <row r="286" ht="14.25" customHeight="1">
      <c r="A286" s="38" t="s">
        <v>1919</v>
      </c>
      <c r="B286" s="38" t="s">
        <v>1918</v>
      </c>
      <c r="C286" s="38" t="s">
        <v>346</v>
      </c>
      <c r="D286" s="38" t="s">
        <v>1920</v>
      </c>
      <c r="E286" s="58"/>
      <c r="F286" s="58">
        <v>1.0</v>
      </c>
      <c r="G286" s="38" t="s">
        <v>1918</v>
      </c>
      <c r="H286" s="38" t="s">
        <v>242</v>
      </c>
      <c r="I286" s="38" t="s">
        <v>346</v>
      </c>
      <c r="J286" s="38" t="s">
        <v>2757</v>
      </c>
    </row>
    <row r="287" ht="14.25" customHeight="1">
      <c r="A287" s="39" t="s">
        <v>1924</v>
      </c>
      <c r="B287" s="39" t="s">
        <v>1922</v>
      </c>
      <c r="C287" s="39" t="s">
        <v>267</v>
      </c>
      <c r="D287" s="39" t="s">
        <v>1925</v>
      </c>
      <c r="E287" s="59"/>
      <c r="F287" s="59">
        <v>1.0</v>
      </c>
      <c r="G287" s="39" t="s">
        <v>1922</v>
      </c>
      <c r="H287" s="39" t="s">
        <v>242</v>
      </c>
      <c r="I287" s="39" t="s">
        <v>267</v>
      </c>
      <c r="J287" s="39" t="s">
        <v>2757</v>
      </c>
    </row>
    <row r="288" ht="14.25" customHeight="1">
      <c r="A288" s="38" t="s">
        <v>1924</v>
      </c>
      <c r="B288" s="38" t="s">
        <v>1922</v>
      </c>
      <c r="C288" s="38" t="s">
        <v>243</v>
      </c>
      <c r="D288" s="38" t="s">
        <v>1925</v>
      </c>
      <c r="E288" s="58"/>
      <c r="F288" s="58">
        <v>1.0</v>
      </c>
      <c r="G288" s="38" t="s">
        <v>1922</v>
      </c>
      <c r="H288" s="38" t="s">
        <v>242</v>
      </c>
      <c r="I288" s="38" t="s">
        <v>243</v>
      </c>
      <c r="J288" s="38" t="s">
        <v>2757</v>
      </c>
    </row>
    <row r="289" ht="14.25" customHeight="1">
      <c r="A289" s="39" t="s">
        <v>1924</v>
      </c>
      <c r="B289" s="39" t="s">
        <v>1922</v>
      </c>
      <c r="C289" s="39" t="s">
        <v>346</v>
      </c>
      <c r="D289" s="39" t="s">
        <v>1925</v>
      </c>
      <c r="E289" s="59"/>
      <c r="F289" s="59">
        <v>1.0</v>
      </c>
      <c r="G289" s="39" t="s">
        <v>1922</v>
      </c>
      <c r="H289" s="39" t="s">
        <v>242</v>
      </c>
      <c r="I289" s="39" t="s">
        <v>346</v>
      </c>
      <c r="J289" s="39" t="s">
        <v>2757</v>
      </c>
    </row>
    <row r="290" ht="14.25" customHeight="1">
      <c r="A290" s="38" t="s">
        <v>1929</v>
      </c>
      <c r="B290" s="38" t="s">
        <v>1927</v>
      </c>
      <c r="C290" s="38" t="s">
        <v>267</v>
      </c>
      <c r="D290" s="38" t="s">
        <v>1930</v>
      </c>
      <c r="E290" s="58"/>
      <c r="F290" s="58">
        <v>1.0</v>
      </c>
      <c r="G290" s="38" t="s">
        <v>1927</v>
      </c>
      <c r="H290" s="38" t="s">
        <v>242</v>
      </c>
      <c r="I290" s="38" t="s">
        <v>267</v>
      </c>
      <c r="J290" s="38" t="s">
        <v>2757</v>
      </c>
    </row>
    <row r="291" ht="14.25" customHeight="1">
      <c r="A291" s="39" t="s">
        <v>1929</v>
      </c>
      <c r="B291" s="39" t="s">
        <v>1927</v>
      </c>
      <c r="C291" s="39" t="s">
        <v>243</v>
      </c>
      <c r="D291" s="39" t="s">
        <v>1930</v>
      </c>
      <c r="E291" s="59"/>
      <c r="F291" s="59">
        <v>1.0</v>
      </c>
      <c r="G291" s="39" t="s">
        <v>1927</v>
      </c>
      <c r="H291" s="39" t="s">
        <v>242</v>
      </c>
      <c r="I291" s="39" t="s">
        <v>243</v>
      </c>
      <c r="J291" s="39" t="s">
        <v>2757</v>
      </c>
    </row>
    <row r="292" ht="14.25" customHeight="1">
      <c r="A292" s="38" t="s">
        <v>1929</v>
      </c>
      <c r="B292" s="38" t="s">
        <v>1927</v>
      </c>
      <c r="C292" s="38" t="s">
        <v>346</v>
      </c>
      <c r="D292" s="38" t="s">
        <v>1930</v>
      </c>
      <c r="E292" s="58"/>
      <c r="F292" s="58">
        <v>1.0</v>
      </c>
      <c r="G292" s="38" t="s">
        <v>1927</v>
      </c>
      <c r="H292" s="38" t="s">
        <v>242</v>
      </c>
      <c r="I292" s="38" t="s">
        <v>346</v>
      </c>
      <c r="J292" s="38" t="s">
        <v>2757</v>
      </c>
    </row>
    <row r="293" ht="14.25" customHeight="1">
      <c r="A293" s="39" t="s">
        <v>1933</v>
      </c>
      <c r="B293" s="39" t="s">
        <v>1932</v>
      </c>
      <c r="C293" s="39" t="s">
        <v>267</v>
      </c>
      <c r="D293" s="39" t="s">
        <v>1934</v>
      </c>
      <c r="E293" s="59"/>
      <c r="F293" s="59">
        <v>1.0</v>
      </c>
      <c r="G293" s="39" t="s">
        <v>1932</v>
      </c>
      <c r="H293" s="39" t="s">
        <v>242</v>
      </c>
      <c r="I293" s="39" t="s">
        <v>267</v>
      </c>
      <c r="J293" s="39" t="s">
        <v>2757</v>
      </c>
    </row>
    <row r="294" ht="14.25" customHeight="1">
      <c r="A294" s="38" t="s">
        <v>1933</v>
      </c>
      <c r="B294" s="38" t="s">
        <v>1932</v>
      </c>
      <c r="C294" s="38" t="s">
        <v>243</v>
      </c>
      <c r="D294" s="38" t="s">
        <v>1934</v>
      </c>
      <c r="E294" s="58"/>
      <c r="F294" s="58">
        <v>1.0</v>
      </c>
      <c r="G294" s="38" t="s">
        <v>1932</v>
      </c>
      <c r="H294" s="38" t="s">
        <v>242</v>
      </c>
      <c r="I294" s="38" t="s">
        <v>243</v>
      </c>
      <c r="J294" s="38" t="s">
        <v>2757</v>
      </c>
    </row>
    <row r="295" ht="14.25" customHeight="1">
      <c r="A295" s="39" t="s">
        <v>1933</v>
      </c>
      <c r="B295" s="39" t="s">
        <v>1932</v>
      </c>
      <c r="C295" s="39" t="s">
        <v>346</v>
      </c>
      <c r="D295" s="39" t="s">
        <v>1934</v>
      </c>
      <c r="E295" s="59"/>
      <c r="F295" s="59">
        <v>1.0</v>
      </c>
      <c r="G295" s="39" t="s">
        <v>1932</v>
      </c>
      <c r="H295" s="39" t="s">
        <v>242</v>
      </c>
      <c r="I295" s="39" t="s">
        <v>346</v>
      </c>
      <c r="J295" s="39" t="s">
        <v>2757</v>
      </c>
    </row>
    <row r="296" ht="14.25" customHeight="1">
      <c r="A296" s="38" t="s">
        <v>1944</v>
      </c>
      <c r="B296" s="38" t="s">
        <v>1943</v>
      </c>
      <c r="C296" s="38" t="s">
        <v>267</v>
      </c>
      <c r="D296" s="38" t="s">
        <v>1945</v>
      </c>
      <c r="E296" s="58"/>
      <c r="F296" s="58">
        <v>1.0</v>
      </c>
      <c r="G296" s="38" t="s">
        <v>1943</v>
      </c>
      <c r="H296" s="38" t="s">
        <v>242</v>
      </c>
      <c r="I296" s="38" t="s">
        <v>267</v>
      </c>
      <c r="J296" s="38" t="s">
        <v>2757</v>
      </c>
    </row>
    <row r="297" ht="14.25" customHeight="1">
      <c r="A297" s="39" t="s">
        <v>1944</v>
      </c>
      <c r="B297" s="39" t="s">
        <v>1943</v>
      </c>
      <c r="C297" s="39" t="s">
        <v>243</v>
      </c>
      <c r="D297" s="39" t="s">
        <v>1945</v>
      </c>
      <c r="E297" s="59"/>
      <c r="F297" s="59">
        <v>1.0</v>
      </c>
      <c r="G297" s="39" t="s">
        <v>1943</v>
      </c>
      <c r="H297" s="39" t="s">
        <v>242</v>
      </c>
      <c r="I297" s="39" t="s">
        <v>243</v>
      </c>
      <c r="J297" s="39" t="s">
        <v>2757</v>
      </c>
    </row>
    <row r="298" ht="14.25" customHeight="1">
      <c r="A298" s="38" t="s">
        <v>1944</v>
      </c>
      <c r="B298" s="38" t="s">
        <v>1943</v>
      </c>
      <c r="C298" s="38" t="s">
        <v>346</v>
      </c>
      <c r="D298" s="38" t="s">
        <v>1945</v>
      </c>
      <c r="E298" s="58"/>
      <c r="F298" s="58">
        <v>1.0</v>
      </c>
      <c r="G298" s="38" t="s">
        <v>1943</v>
      </c>
      <c r="H298" s="38" t="s">
        <v>242</v>
      </c>
      <c r="I298" s="38" t="s">
        <v>346</v>
      </c>
      <c r="J298" s="38" t="s">
        <v>2757</v>
      </c>
    </row>
    <row r="299" ht="14.25" customHeight="1">
      <c r="A299" s="39" t="s">
        <v>1953</v>
      </c>
      <c r="B299" s="39" t="s">
        <v>1951</v>
      </c>
      <c r="C299" s="39" t="s">
        <v>267</v>
      </c>
      <c r="D299" s="39" t="s">
        <v>1954</v>
      </c>
      <c r="E299" s="59"/>
      <c r="F299" s="59">
        <v>1.0</v>
      </c>
      <c r="G299" s="39" t="s">
        <v>1951</v>
      </c>
      <c r="H299" s="39" t="s">
        <v>242</v>
      </c>
      <c r="I299" s="39" t="s">
        <v>267</v>
      </c>
      <c r="J299" s="39" t="s">
        <v>2757</v>
      </c>
    </row>
    <row r="300" ht="14.25" customHeight="1">
      <c r="A300" s="38" t="s">
        <v>1953</v>
      </c>
      <c r="B300" s="38" t="s">
        <v>1951</v>
      </c>
      <c r="C300" s="38" t="s">
        <v>243</v>
      </c>
      <c r="D300" s="38" t="s">
        <v>1954</v>
      </c>
      <c r="E300" s="58"/>
      <c r="F300" s="58">
        <v>1.0</v>
      </c>
      <c r="G300" s="38" t="s">
        <v>1951</v>
      </c>
      <c r="H300" s="38" t="s">
        <v>242</v>
      </c>
      <c r="I300" s="38" t="s">
        <v>243</v>
      </c>
      <c r="J300" s="38" t="s">
        <v>2757</v>
      </c>
    </row>
    <row r="301" ht="14.25" customHeight="1">
      <c r="A301" s="39" t="s">
        <v>1953</v>
      </c>
      <c r="B301" s="39" t="s">
        <v>1951</v>
      </c>
      <c r="C301" s="39" t="s">
        <v>346</v>
      </c>
      <c r="D301" s="39" t="s">
        <v>1954</v>
      </c>
      <c r="E301" s="59"/>
      <c r="F301" s="59">
        <v>1.0</v>
      </c>
      <c r="G301" s="39" t="s">
        <v>1951</v>
      </c>
      <c r="H301" s="39" t="s">
        <v>242</v>
      </c>
      <c r="I301" s="39" t="s">
        <v>346</v>
      </c>
      <c r="J301" s="39" t="s">
        <v>2757</v>
      </c>
    </row>
    <row r="302" ht="14.25" customHeight="1">
      <c r="A302" s="38" t="s">
        <v>1957</v>
      </c>
      <c r="B302" s="38" t="s">
        <v>1956</v>
      </c>
      <c r="C302" s="38" t="s">
        <v>267</v>
      </c>
      <c r="D302" s="38" t="s">
        <v>1958</v>
      </c>
      <c r="E302" s="58"/>
      <c r="F302" s="58">
        <v>1.0</v>
      </c>
      <c r="G302" s="38" t="s">
        <v>1956</v>
      </c>
      <c r="H302" s="38" t="s">
        <v>242</v>
      </c>
      <c r="I302" s="38" t="s">
        <v>267</v>
      </c>
      <c r="J302" s="38" t="s">
        <v>2757</v>
      </c>
    </row>
    <row r="303" ht="14.25" customHeight="1">
      <c r="A303" s="39" t="s">
        <v>1957</v>
      </c>
      <c r="B303" s="39" t="s">
        <v>1956</v>
      </c>
      <c r="C303" s="39" t="s">
        <v>243</v>
      </c>
      <c r="D303" s="39" t="s">
        <v>1958</v>
      </c>
      <c r="E303" s="59"/>
      <c r="F303" s="59">
        <v>1.0</v>
      </c>
      <c r="G303" s="39" t="s">
        <v>1956</v>
      </c>
      <c r="H303" s="39" t="s">
        <v>242</v>
      </c>
      <c r="I303" s="39" t="s">
        <v>243</v>
      </c>
      <c r="J303" s="39" t="s">
        <v>2757</v>
      </c>
    </row>
    <row r="304" ht="14.25" customHeight="1">
      <c r="A304" s="38" t="s">
        <v>1957</v>
      </c>
      <c r="B304" s="38" t="s">
        <v>1956</v>
      </c>
      <c r="C304" s="38" t="s">
        <v>346</v>
      </c>
      <c r="D304" s="38" t="s">
        <v>1958</v>
      </c>
      <c r="E304" s="58"/>
      <c r="F304" s="58">
        <v>1.0</v>
      </c>
      <c r="G304" s="38" t="s">
        <v>1956</v>
      </c>
      <c r="H304" s="38" t="s">
        <v>242</v>
      </c>
      <c r="I304" s="38" t="s">
        <v>346</v>
      </c>
      <c r="J304" s="38" t="s">
        <v>2757</v>
      </c>
    </row>
    <row r="305" ht="14.25" customHeight="1">
      <c r="A305" s="39" t="s">
        <v>1969</v>
      </c>
      <c r="B305" s="39" t="s">
        <v>1966</v>
      </c>
      <c r="C305" s="39" t="s">
        <v>267</v>
      </c>
      <c r="D305" s="39" t="s">
        <v>1970</v>
      </c>
      <c r="E305" s="59"/>
      <c r="F305" s="59">
        <v>1.0</v>
      </c>
      <c r="G305" s="39" t="s">
        <v>1966</v>
      </c>
      <c r="H305" s="39" t="s">
        <v>242</v>
      </c>
      <c r="I305" s="39" t="s">
        <v>267</v>
      </c>
      <c r="J305" s="39" t="s">
        <v>2757</v>
      </c>
    </row>
    <row r="306" ht="14.25" customHeight="1">
      <c r="A306" s="38" t="s">
        <v>1969</v>
      </c>
      <c r="B306" s="38" t="s">
        <v>1966</v>
      </c>
      <c r="C306" s="38" t="s">
        <v>243</v>
      </c>
      <c r="D306" s="38" t="s">
        <v>1970</v>
      </c>
      <c r="E306" s="58"/>
      <c r="F306" s="58">
        <v>1.0</v>
      </c>
      <c r="G306" s="38" t="s">
        <v>1966</v>
      </c>
      <c r="H306" s="38" t="s">
        <v>242</v>
      </c>
      <c r="I306" s="38" t="s">
        <v>243</v>
      </c>
      <c r="J306" s="38" t="s">
        <v>2757</v>
      </c>
    </row>
    <row r="307" ht="14.25" customHeight="1">
      <c r="A307" s="39" t="s">
        <v>1969</v>
      </c>
      <c r="B307" s="39" t="s">
        <v>1966</v>
      </c>
      <c r="C307" s="39" t="s">
        <v>346</v>
      </c>
      <c r="D307" s="39" t="s">
        <v>1970</v>
      </c>
      <c r="E307" s="59"/>
      <c r="F307" s="59">
        <v>1.0</v>
      </c>
      <c r="G307" s="39" t="s">
        <v>1966</v>
      </c>
      <c r="H307" s="39" t="s">
        <v>242</v>
      </c>
      <c r="I307" s="39" t="s">
        <v>346</v>
      </c>
      <c r="J307" s="39" t="s">
        <v>2757</v>
      </c>
    </row>
    <row r="308" ht="14.25" customHeight="1">
      <c r="A308" s="38" t="s">
        <v>1975</v>
      </c>
      <c r="B308" s="38" t="s">
        <v>1972</v>
      </c>
      <c r="C308" s="38" t="s">
        <v>267</v>
      </c>
      <c r="D308" s="38" t="s">
        <v>1976</v>
      </c>
      <c r="E308" s="58"/>
      <c r="F308" s="58">
        <v>1.0</v>
      </c>
      <c r="G308" s="38" t="s">
        <v>1972</v>
      </c>
      <c r="H308" s="38" t="s">
        <v>242</v>
      </c>
      <c r="I308" s="38" t="s">
        <v>267</v>
      </c>
      <c r="J308" s="38" t="s">
        <v>2757</v>
      </c>
    </row>
    <row r="309" ht="14.25" customHeight="1">
      <c r="A309" s="39" t="s">
        <v>1975</v>
      </c>
      <c r="B309" s="39" t="s">
        <v>1972</v>
      </c>
      <c r="C309" s="39" t="s">
        <v>243</v>
      </c>
      <c r="D309" s="39" t="s">
        <v>1976</v>
      </c>
      <c r="E309" s="59"/>
      <c r="F309" s="59">
        <v>1.0</v>
      </c>
      <c r="G309" s="39" t="s">
        <v>1972</v>
      </c>
      <c r="H309" s="39" t="s">
        <v>242</v>
      </c>
      <c r="I309" s="39" t="s">
        <v>243</v>
      </c>
      <c r="J309" s="39" t="s">
        <v>2757</v>
      </c>
    </row>
    <row r="310" ht="14.25" customHeight="1">
      <c r="A310" s="38" t="s">
        <v>1975</v>
      </c>
      <c r="B310" s="38" t="s">
        <v>1972</v>
      </c>
      <c r="C310" s="38" t="s">
        <v>346</v>
      </c>
      <c r="D310" s="38" t="s">
        <v>1976</v>
      </c>
      <c r="E310" s="58"/>
      <c r="F310" s="58">
        <v>1.0</v>
      </c>
      <c r="G310" s="38" t="s">
        <v>1972</v>
      </c>
      <c r="H310" s="38" t="s">
        <v>242</v>
      </c>
      <c r="I310" s="38" t="s">
        <v>346</v>
      </c>
      <c r="J310" s="38" t="s">
        <v>2757</v>
      </c>
    </row>
    <row r="311" ht="14.25" customHeight="1">
      <c r="A311" s="39" t="s">
        <v>1980</v>
      </c>
      <c r="B311" s="39" t="s">
        <v>1978</v>
      </c>
      <c r="C311" s="39" t="s">
        <v>267</v>
      </c>
      <c r="D311" s="39" t="s">
        <v>1981</v>
      </c>
      <c r="E311" s="59"/>
      <c r="F311" s="59">
        <v>1.0</v>
      </c>
      <c r="G311" s="39" t="s">
        <v>1978</v>
      </c>
      <c r="H311" s="39" t="s">
        <v>242</v>
      </c>
      <c r="I311" s="39" t="s">
        <v>267</v>
      </c>
      <c r="J311" s="39" t="s">
        <v>2757</v>
      </c>
    </row>
    <row r="312" ht="14.25" customHeight="1">
      <c r="A312" s="38" t="s">
        <v>1980</v>
      </c>
      <c r="B312" s="38" t="s">
        <v>1978</v>
      </c>
      <c r="C312" s="38" t="s">
        <v>243</v>
      </c>
      <c r="D312" s="38" t="s">
        <v>1981</v>
      </c>
      <c r="E312" s="58"/>
      <c r="F312" s="58">
        <v>1.0</v>
      </c>
      <c r="G312" s="38" t="s">
        <v>1978</v>
      </c>
      <c r="H312" s="38" t="s">
        <v>242</v>
      </c>
      <c r="I312" s="38" t="s">
        <v>243</v>
      </c>
      <c r="J312" s="38" t="s">
        <v>2757</v>
      </c>
    </row>
    <row r="313" ht="14.25" customHeight="1">
      <c r="A313" s="39" t="s">
        <v>1980</v>
      </c>
      <c r="B313" s="39" t="s">
        <v>1978</v>
      </c>
      <c r="C313" s="39" t="s">
        <v>346</v>
      </c>
      <c r="D313" s="39" t="s">
        <v>1981</v>
      </c>
      <c r="E313" s="59"/>
      <c r="F313" s="59">
        <v>1.0</v>
      </c>
      <c r="G313" s="39" t="s">
        <v>1978</v>
      </c>
      <c r="H313" s="39" t="s">
        <v>242</v>
      </c>
      <c r="I313" s="39" t="s">
        <v>346</v>
      </c>
      <c r="J313" s="39" t="s">
        <v>2757</v>
      </c>
    </row>
    <row r="314" ht="14.25" customHeight="1">
      <c r="A314" s="38" t="s">
        <v>1985</v>
      </c>
      <c r="B314" s="38" t="s">
        <v>1983</v>
      </c>
      <c r="C314" s="38" t="s">
        <v>267</v>
      </c>
      <c r="D314" s="38" t="s">
        <v>1986</v>
      </c>
      <c r="E314" s="58"/>
      <c r="F314" s="58">
        <v>1.0</v>
      </c>
      <c r="G314" s="38" t="s">
        <v>1983</v>
      </c>
      <c r="H314" s="38" t="s">
        <v>242</v>
      </c>
      <c r="I314" s="38" t="s">
        <v>267</v>
      </c>
      <c r="J314" s="38" t="s">
        <v>2757</v>
      </c>
    </row>
    <row r="315" ht="14.25" customHeight="1">
      <c r="A315" s="39" t="s">
        <v>1985</v>
      </c>
      <c r="B315" s="39" t="s">
        <v>1983</v>
      </c>
      <c r="C315" s="39" t="s">
        <v>243</v>
      </c>
      <c r="D315" s="39" t="s">
        <v>1986</v>
      </c>
      <c r="E315" s="59"/>
      <c r="F315" s="59">
        <v>1.0</v>
      </c>
      <c r="G315" s="39" t="s">
        <v>1983</v>
      </c>
      <c r="H315" s="39" t="s">
        <v>242</v>
      </c>
      <c r="I315" s="39" t="s">
        <v>243</v>
      </c>
      <c r="J315" s="39" t="s">
        <v>2757</v>
      </c>
    </row>
    <row r="316" ht="14.25" customHeight="1">
      <c r="A316" s="38" t="s">
        <v>1985</v>
      </c>
      <c r="B316" s="38" t="s">
        <v>1983</v>
      </c>
      <c r="C316" s="38" t="s">
        <v>346</v>
      </c>
      <c r="D316" s="38" t="s">
        <v>1986</v>
      </c>
      <c r="E316" s="58"/>
      <c r="F316" s="58">
        <v>1.0</v>
      </c>
      <c r="G316" s="38" t="s">
        <v>1983</v>
      </c>
      <c r="H316" s="38" t="s">
        <v>242</v>
      </c>
      <c r="I316" s="38" t="s">
        <v>346</v>
      </c>
      <c r="J316" s="38" t="s">
        <v>2757</v>
      </c>
    </row>
    <row r="317" ht="14.25" customHeight="1">
      <c r="A317" s="39" t="s">
        <v>1990</v>
      </c>
      <c r="B317" s="39" t="s">
        <v>1988</v>
      </c>
      <c r="C317" s="39" t="s">
        <v>267</v>
      </c>
      <c r="D317" s="39" t="s">
        <v>1991</v>
      </c>
      <c r="E317" s="59"/>
      <c r="F317" s="59">
        <v>1.0</v>
      </c>
      <c r="G317" s="39" t="s">
        <v>1988</v>
      </c>
      <c r="H317" s="39" t="s">
        <v>242</v>
      </c>
      <c r="I317" s="39" t="s">
        <v>267</v>
      </c>
      <c r="J317" s="39" t="s">
        <v>2757</v>
      </c>
    </row>
    <row r="318" ht="14.25" customHeight="1">
      <c r="A318" s="38" t="s">
        <v>1990</v>
      </c>
      <c r="B318" s="38" t="s">
        <v>1988</v>
      </c>
      <c r="C318" s="38" t="s">
        <v>243</v>
      </c>
      <c r="D318" s="38" t="s">
        <v>1991</v>
      </c>
      <c r="E318" s="58"/>
      <c r="F318" s="58">
        <v>1.0</v>
      </c>
      <c r="G318" s="38" t="s">
        <v>1988</v>
      </c>
      <c r="H318" s="38" t="s">
        <v>242</v>
      </c>
      <c r="I318" s="38" t="s">
        <v>243</v>
      </c>
      <c r="J318" s="38" t="s">
        <v>2757</v>
      </c>
    </row>
    <row r="319" ht="14.25" customHeight="1">
      <c r="A319" s="39" t="s">
        <v>1990</v>
      </c>
      <c r="B319" s="39" t="s">
        <v>1988</v>
      </c>
      <c r="C319" s="39" t="s">
        <v>346</v>
      </c>
      <c r="D319" s="39" t="s">
        <v>1991</v>
      </c>
      <c r="E319" s="59"/>
      <c r="F319" s="59">
        <v>1.0</v>
      </c>
      <c r="G319" s="39" t="s">
        <v>1988</v>
      </c>
      <c r="H319" s="39" t="s">
        <v>242</v>
      </c>
      <c r="I319" s="39" t="s">
        <v>346</v>
      </c>
      <c r="J319" s="39" t="s">
        <v>2757</v>
      </c>
    </row>
    <row r="320" ht="14.25" customHeight="1">
      <c r="A320" s="38" t="s">
        <v>1995</v>
      </c>
      <c r="B320" s="38" t="s">
        <v>1993</v>
      </c>
      <c r="C320" s="38" t="s">
        <v>267</v>
      </c>
      <c r="D320" s="38" t="s">
        <v>1996</v>
      </c>
      <c r="E320" s="58"/>
      <c r="F320" s="58">
        <v>1.0</v>
      </c>
      <c r="G320" s="38" t="s">
        <v>1993</v>
      </c>
      <c r="H320" s="38" t="s">
        <v>242</v>
      </c>
      <c r="I320" s="38" t="s">
        <v>267</v>
      </c>
      <c r="J320" s="38" t="s">
        <v>2757</v>
      </c>
    </row>
    <row r="321" ht="14.25" customHeight="1">
      <c r="A321" s="39" t="s">
        <v>1995</v>
      </c>
      <c r="B321" s="39" t="s">
        <v>1993</v>
      </c>
      <c r="C321" s="39" t="s">
        <v>243</v>
      </c>
      <c r="D321" s="39" t="s">
        <v>1996</v>
      </c>
      <c r="E321" s="59"/>
      <c r="F321" s="59">
        <v>1.0</v>
      </c>
      <c r="G321" s="39" t="s">
        <v>1993</v>
      </c>
      <c r="H321" s="39" t="s">
        <v>242</v>
      </c>
      <c r="I321" s="39" t="s">
        <v>243</v>
      </c>
      <c r="J321" s="39" t="s">
        <v>2757</v>
      </c>
    </row>
    <row r="322" ht="14.25" customHeight="1">
      <c r="A322" s="38" t="s">
        <v>1995</v>
      </c>
      <c r="B322" s="38" t="s">
        <v>1993</v>
      </c>
      <c r="C322" s="38" t="s">
        <v>346</v>
      </c>
      <c r="D322" s="38" t="s">
        <v>1996</v>
      </c>
      <c r="E322" s="58"/>
      <c r="F322" s="58">
        <v>1.0</v>
      </c>
      <c r="G322" s="38" t="s">
        <v>1993</v>
      </c>
      <c r="H322" s="38" t="s">
        <v>242</v>
      </c>
      <c r="I322" s="38" t="s">
        <v>346</v>
      </c>
      <c r="J322" s="38" t="s">
        <v>2757</v>
      </c>
    </row>
    <row r="323" ht="14.25" customHeight="1">
      <c r="A323" s="39" t="s">
        <v>1999</v>
      </c>
      <c r="B323" s="39" t="s">
        <v>1998</v>
      </c>
      <c r="C323" s="39" t="s">
        <v>267</v>
      </c>
      <c r="D323" s="39" t="s">
        <v>2000</v>
      </c>
      <c r="E323" s="59"/>
      <c r="F323" s="59">
        <v>1.0</v>
      </c>
      <c r="G323" s="39" t="s">
        <v>1998</v>
      </c>
      <c r="H323" s="39" t="s">
        <v>242</v>
      </c>
      <c r="I323" s="39" t="s">
        <v>267</v>
      </c>
      <c r="J323" s="39" t="s">
        <v>2757</v>
      </c>
    </row>
    <row r="324" ht="14.25" customHeight="1">
      <c r="A324" s="38" t="s">
        <v>1999</v>
      </c>
      <c r="B324" s="38" t="s">
        <v>1998</v>
      </c>
      <c r="C324" s="38" t="s">
        <v>243</v>
      </c>
      <c r="D324" s="38" t="s">
        <v>2000</v>
      </c>
      <c r="E324" s="58"/>
      <c r="F324" s="58">
        <v>1.0</v>
      </c>
      <c r="G324" s="38" t="s">
        <v>1998</v>
      </c>
      <c r="H324" s="38" t="s">
        <v>242</v>
      </c>
      <c r="I324" s="38" t="s">
        <v>243</v>
      </c>
      <c r="J324" s="38" t="s">
        <v>2757</v>
      </c>
    </row>
    <row r="325" ht="14.25" customHeight="1">
      <c r="A325" s="39" t="s">
        <v>1999</v>
      </c>
      <c r="B325" s="39" t="s">
        <v>1998</v>
      </c>
      <c r="C325" s="39" t="s">
        <v>346</v>
      </c>
      <c r="D325" s="39" t="s">
        <v>2000</v>
      </c>
      <c r="E325" s="59"/>
      <c r="F325" s="59">
        <v>1.0</v>
      </c>
      <c r="G325" s="39" t="s">
        <v>1998</v>
      </c>
      <c r="H325" s="39" t="s">
        <v>242</v>
      </c>
      <c r="I325" s="39" t="s">
        <v>346</v>
      </c>
      <c r="J325" s="39" t="s">
        <v>2757</v>
      </c>
    </row>
    <row r="326" ht="14.25" customHeight="1">
      <c r="A326" s="38" t="s">
        <v>2021</v>
      </c>
      <c r="B326" s="38" t="s">
        <v>2019</v>
      </c>
      <c r="C326" s="38" t="s">
        <v>267</v>
      </c>
      <c r="D326" s="38" t="s">
        <v>2022</v>
      </c>
      <c r="E326" s="58"/>
      <c r="F326" s="58">
        <v>1.0</v>
      </c>
      <c r="G326" s="38" t="s">
        <v>2019</v>
      </c>
      <c r="H326" s="38" t="s">
        <v>242</v>
      </c>
      <c r="I326" s="38" t="s">
        <v>267</v>
      </c>
      <c r="J326" s="38" t="s">
        <v>2757</v>
      </c>
    </row>
    <row r="327" ht="14.25" customHeight="1">
      <c r="A327" s="39" t="s">
        <v>2021</v>
      </c>
      <c r="B327" s="39" t="s">
        <v>2019</v>
      </c>
      <c r="C327" s="39" t="s">
        <v>243</v>
      </c>
      <c r="D327" s="39" t="s">
        <v>2022</v>
      </c>
      <c r="E327" s="59"/>
      <c r="F327" s="59">
        <v>1.0</v>
      </c>
      <c r="G327" s="39" t="s">
        <v>2019</v>
      </c>
      <c r="H327" s="39" t="s">
        <v>242</v>
      </c>
      <c r="I327" s="39" t="s">
        <v>243</v>
      </c>
      <c r="J327" s="39" t="s">
        <v>2757</v>
      </c>
    </row>
    <row r="328" ht="14.25" customHeight="1">
      <c r="A328" s="38" t="s">
        <v>2021</v>
      </c>
      <c r="B328" s="38" t="s">
        <v>2019</v>
      </c>
      <c r="C328" s="38" t="s">
        <v>346</v>
      </c>
      <c r="D328" s="38" t="s">
        <v>2022</v>
      </c>
      <c r="E328" s="58"/>
      <c r="F328" s="58">
        <v>1.0</v>
      </c>
      <c r="G328" s="38" t="s">
        <v>2019</v>
      </c>
      <c r="H328" s="38" t="s">
        <v>242</v>
      </c>
      <c r="I328" s="38" t="s">
        <v>346</v>
      </c>
      <c r="J328" s="38" t="s">
        <v>2757</v>
      </c>
    </row>
    <row r="329" ht="14.25" customHeight="1">
      <c r="A329" s="39" t="s">
        <v>2025</v>
      </c>
      <c r="B329" s="39" t="s">
        <v>2024</v>
      </c>
      <c r="C329" s="39" t="s">
        <v>267</v>
      </c>
      <c r="D329" s="39" t="s">
        <v>2026</v>
      </c>
      <c r="E329" s="59"/>
      <c r="F329" s="59">
        <v>1.0</v>
      </c>
      <c r="G329" s="39" t="s">
        <v>2024</v>
      </c>
      <c r="H329" s="39" t="s">
        <v>242</v>
      </c>
      <c r="I329" s="39" t="s">
        <v>267</v>
      </c>
      <c r="J329" s="39" t="s">
        <v>2757</v>
      </c>
    </row>
    <row r="330" ht="14.25" customHeight="1">
      <c r="A330" s="38" t="s">
        <v>2025</v>
      </c>
      <c r="B330" s="38" t="s">
        <v>2024</v>
      </c>
      <c r="C330" s="38" t="s">
        <v>243</v>
      </c>
      <c r="D330" s="38" t="s">
        <v>2026</v>
      </c>
      <c r="E330" s="58"/>
      <c r="F330" s="58">
        <v>1.0</v>
      </c>
      <c r="G330" s="38" t="s">
        <v>2024</v>
      </c>
      <c r="H330" s="38" t="s">
        <v>242</v>
      </c>
      <c r="I330" s="38" t="s">
        <v>243</v>
      </c>
      <c r="J330" s="38" t="s">
        <v>2757</v>
      </c>
    </row>
    <row r="331" ht="14.25" customHeight="1">
      <c r="A331" s="39" t="s">
        <v>2025</v>
      </c>
      <c r="B331" s="39" t="s">
        <v>2024</v>
      </c>
      <c r="C331" s="39" t="s">
        <v>346</v>
      </c>
      <c r="D331" s="39" t="s">
        <v>2026</v>
      </c>
      <c r="E331" s="59"/>
      <c r="F331" s="59">
        <v>1.0</v>
      </c>
      <c r="G331" s="39" t="s">
        <v>2024</v>
      </c>
      <c r="H331" s="39" t="s">
        <v>242</v>
      </c>
      <c r="I331" s="39" t="s">
        <v>346</v>
      </c>
      <c r="J331" s="39" t="s">
        <v>2757</v>
      </c>
    </row>
    <row r="332" ht="14.25" customHeight="1">
      <c r="A332" s="38" t="s">
        <v>2029</v>
      </c>
      <c r="B332" s="38" t="s">
        <v>2028</v>
      </c>
      <c r="C332" s="38" t="s">
        <v>267</v>
      </c>
      <c r="D332" s="38" t="s">
        <v>2030</v>
      </c>
      <c r="E332" s="58"/>
      <c r="F332" s="58">
        <v>1.0</v>
      </c>
      <c r="G332" s="38" t="s">
        <v>2028</v>
      </c>
      <c r="H332" s="38" t="s">
        <v>242</v>
      </c>
      <c r="I332" s="38" t="s">
        <v>267</v>
      </c>
      <c r="J332" s="38" t="s">
        <v>2757</v>
      </c>
    </row>
    <row r="333" ht="14.25" customHeight="1">
      <c r="A333" s="39" t="s">
        <v>2029</v>
      </c>
      <c r="B333" s="39" t="s">
        <v>2028</v>
      </c>
      <c r="C333" s="39" t="s">
        <v>243</v>
      </c>
      <c r="D333" s="39" t="s">
        <v>2030</v>
      </c>
      <c r="E333" s="59"/>
      <c r="F333" s="59">
        <v>1.0</v>
      </c>
      <c r="G333" s="39" t="s">
        <v>2028</v>
      </c>
      <c r="H333" s="39" t="s">
        <v>242</v>
      </c>
      <c r="I333" s="39" t="s">
        <v>243</v>
      </c>
      <c r="J333" s="39" t="s">
        <v>2757</v>
      </c>
    </row>
    <row r="334" ht="14.25" customHeight="1">
      <c r="A334" s="38" t="s">
        <v>2029</v>
      </c>
      <c r="B334" s="38" t="s">
        <v>2028</v>
      </c>
      <c r="C334" s="38" t="s">
        <v>346</v>
      </c>
      <c r="D334" s="38" t="s">
        <v>2030</v>
      </c>
      <c r="E334" s="58"/>
      <c r="F334" s="58">
        <v>1.0</v>
      </c>
      <c r="G334" s="38" t="s">
        <v>2028</v>
      </c>
      <c r="H334" s="38" t="s">
        <v>242</v>
      </c>
      <c r="I334" s="38" t="s">
        <v>346</v>
      </c>
      <c r="J334" s="38" t="s">
        <v>2757</v>
      </c>
    </row>
    <row r="335" ht="14.25" customHeight="1">
      <c r="A335" s="39" t="s">
        <v>2034</v>
      </c>
      <c r="B335" s="39" t="s">
        <v>2032</v>
      </c>
      <c r="C335" s="39" t="s">
        <v>267</v>
      </c>
      <c r="D335" s="39" t="s">
        <v>2035</v>
      </c>
      <c r="E335" s="59"/>
      <c r="F335" s="59">
        <v>1.0</v>
      </c>
      <c r="G335" s="39" t="s">
        <v>2032</v>
      </c>
      <c r="H335" s="39" t="s">
        <v>242</v>
      </c>
      <c r="I335" s="39" t="s">
        <v>267</v>
      </c>
      <c r="J335" s="39" t="s">
        <v>2757</v>
      </c>
    </row>
    <row r="336" ht="14.25" customHeight="1">
      <c r="A336" s="38" t="s">
        <v>2034</v>
      </c>
      <c r="B336" s="38" t="s">
        <v>2032</v>
      </c>
      <c r="C336" s="38" t="s">
        <v>243</v>
      </c>
      <c r="D336" s="38" t="s">
        <v>2035</v>
      </c>
      <c r="E336" s="58"/>
      <c r="F336" s="58">
        <v>1.0</v>
      </c>
      <c r="G336" s="38" t="s">
        <v>2032</v>
      </c>
      <c r="H336" s="38" t="s">
        <v>242</v>
      </c>
      <c r="I336" s="38" t="s">
        <v>243</v>
      </c>
      <c r="J336" s="38" t="s">
        <v>2757</v>
      </c>
    </row>
    <row r="337" ht="14.25" customHeight="1">
      <c r="A337" s="39" t="s">
        <v>2034</v>
      </c>
      <c r="B337" s="39" t="s">
        <v>2032</v>
      </c>
      <c r="C337" s="39" t="s">
        <v>346</v>
      </c>
      <c r="D337" s="39" t="s">
        <v>2035</v>
      </c>
      <c r="E337" s="59"/>
      <c r="F337" s="59">
        <v>1.0</v>
      </c>
      <c r="G337" s="39" t="s">
        <v>2032</v>
      </c>
      <c r="H337" s="39" t="s">
        <v>242</v>
      </c>
      <c r="I337" s="39" t="s">
        <v>346</v>
      </c>
      <c r="J337" s="39" t="s">
        <v>2757</v>
      </c>
    </row>
    <row r="338" ht="14.25" customHeight="1">
      <c r="A338" s="38" t="s">
        <v>2195</v>
      </c>
      <c r="B338" s="38" t="s">
        <v>2193</v>
      </c>
      <c r="C338" s="38" t="s">
        <v>267</v>
      </c>
      <c r="D338" s="38" t="s">
        <v>2196</v>
      </c>
      <c r="E338" s="58"/>
      <c r="F338" s="58">
        <v>1.0</v>
      </c>
      <c r="G338" s="38" t="s">
        <v>2193</v>
      </c>
      <c r="H338" s="38" t="s">
        <v>242</v>
      </c>
      <c r="I338" s="38" t="s">
        <v>267</v>
      </c>
      <c r="J338" s="38" t="s">
        <v>2757</v>
      </c>
    </row>
    <row r="339" ht="14.25" customHeight="1">
      <c r="A339" s="39" t="s">
        <v>2195</v>
      </c>
      <c r="B339" s="39" t="s">
        <v>2193</v>
      </c>
      <c r="C339" s="39" t="s">
        <v>243</v>
      </c>
      <c r="D339" s="39" t="s">
        <v>2196</v>
      </c>
      <c r="E339" s="59"/>
      <c r="F339" s="59">
        <v>1.0</v>
      </c>
      <c r="G339" s="39" t="s">
        <v>2193</v>
      </c>
      <c r="H339" s="39" t="s">
        <v>242</v>
      </c>
      <c r="I339" s="39" t="s">
        <v>243</v>
      </c>
      <c r="J339" s="39" t="s">
        <v>2757</v>
      </c>
    </row>
    <row r="340" ht="14.25" customHeight="1">
      <c r="A340" s="38" t="s">
        <v>2195</v>
      </c>
      <c r="B340" s="38" t="s">
        <v>2193</v>
      </c>
      <c r="C340" s="38" t="s">
        <v>346</v>
      </c>
      <c r="D340" s="38" t="s">
        <v>2196</v>
      </c>
      <c r="E340" s="58"/>
      <c r="F340" s="58">
        <v>1.0</v>
      </c>
      <c r="G340" s="38" t="s">
        <v>2193</v>
      </c>
      <c r="H340" s="38" t="s">
        <v>242</v>
      </c>
      <c r="I340" s="38" t="s">
        <v>346</v>
      </c>
      <c r="J340" s="38" t="s">
        <v>2757</v>
      </c>
    </row>
    <row r="341" ht="14.25" customHeight="1">
      <c r="A341" s="39" t="s">
        <v>2199</v>
      </c>
      <c r="B341" s="39" t="s">
        <v>2198</v>
      </c>
      <c r="C341" s="39" t="s">
        <v>267</v>
      </c>
      <c r="D341" s="39" t="s">
        <v>2200</v>
      </c>
      <c r="E341" s="59"/>
      <c r="F341" s="59">
        <v>1.0</v>
      </c>
      <c r="G341" s="39" t="s">
        <v>2198</v>
      </c>
      <c r="H341" s="39" t="s">
        <v>242</v>
      </c>
      <c r="I341" s="39" t="s">
        <v>267</v>
      </c>
      <c r="J341" s="39" t="s">
        <v>2757</v>
      </c>
    </row>
    <row r="342" ht="14.25" customHeight="1">
      <c r="A342" s="38" t="s">
        <v>2199</v>
      </c>
      <c r="B342" s="38" t="s">
        <v>2198</v>
      </c>
      <c r="C342" s="38" t="s">
        <v>243</v>
      </c>
      <c r="D342" s="38" t="s">
        <v>2200</v>
      </c>
      <c r="E342" s="58"/>
      <c r="F342" s="58">
        <v>1.0</v>
      </c>
      <c r="G342" s="38" t="s">
        <v>2198</v>
      </c>
      <c r="H342" s="38" t="s">
        <v>242</v>
      </c>
      <c r="I342" s="38" t="s">
        <v>243</v>
      </c>
      <c r="J342" s="38" t="s">
        <v>2757</v>
      </c>
    </row>
    <row r="343" ht="14.25" customHeight="1">
      <c r="A343" s="39" t="s">
        <v>2199</v>
      </c>
      <c r="B343" s="39" t="s">
        <v>2198</v>
      </c>
      <c r="C343" s="39" t="s">
        <v>346</v>
      </c>
      <c r="D343" s="39" t="s">
        <v>2200</v>
      </c>
      <c r="E343" s="59"/>
      <c r="F343" s="59">
        <v>1.0</v>
      </c>
      <c r="G343" s="39" t="s">
        <v>2198</v>
      </c>
      <c r="H343" s="39" t="s">
        <v>242</v>
      </c>
      <c r="I343" s="39" t="s">
        <v>346</v>
      </c>
      <c r="J343" s="39" t="s">
        <v>2757</v>
      </c>
    </row>
    <row r="344" ht="14.25" customHeight="1">
      <c r="A344" s="38" t="s">
        <v>2203</v>
      </c>
      <c r="B344" s="38" t="s">
        <v>2202</v>
      </c>
      <c r="C344" s="38" t="s">
        <v>267</v>
      </c>
      <c r="D344" s="38" t="s">
        <v>2204</v>
      </c>
      <c r="E344" s="58"/>
      <c r="F344" s="58">
        <v>1.0</v>
      </c>
      <c r="G344" s="38" t="s">
        <v>2202</v>
      </c>
      <c r="H344" s="38" t="s">
        <v>242</v>
      </c>
      <c r="I344" s="38" t="s">
        <v>267</v>
      </c>
      <c r="J344" s="38" t="s">
        <v>2757</v>
      </c>
    </row>
    <row r="345" ht="14.25" customHeight="1">
      <c r="A345" s="39" t="s">
        <v>2203</v>
      </c>
      <c r="B345" s="39" t="s">
        <v>2202</v>
      </c>
      <c r="C345" s="39" t="s">
        <v>243</v>
      </c>
      <c r="D345" s="39" t="s">
        <v>2204</v>
      </c>
      <c r="E345" s="59"/>
      <c r="F345" s="59">
        <v>1.0</v>
      </c>
      <c r="G345" s="39" t="s">
        <v>2202</v>
      </c>
      <c r="H345" s="39" t="s">
        <v>242</v>
      </c>
      <c r="I345" s="39" t="s">
        <v>243</v>
      </c>
      <c r="J345" s="39" t="s">
        <v>2757</v>
      </c>
    </row>
    <row r="346" ht="14.25" customHeight="1">
      <c r="A346" s="38" t="s">
        <v>2203</v>
      </c>
      <c r="B346" s="38" t="s">
        <v>2202</v>
      </c>
      <c r="C346" s="38" t="s">
        <v>346</v>
      </c>
      <c r="D346" s="38" t="s">
        <v>2204</v>
      </c>
      <c r="E346" s="58"/>
      <c r="F346" s="58">
        <v>1.0</v>
      </c>
      <c r="G346" s="38" t="s">
        <v>2202</v>
      </c>
      <c r="H346" s="38" t="s">
        <v>242</v>
      </c>
      <c r="I346" s="38" t="s">
        <v>346</v>
      </c>
      <c r="J346" s="38" t="s">
        <v>2757</v>
      </c>
    </row>
    <row r="347" ht="14.25" customHeight="1">
      <c r="A347" s="39" t="s">
        <v>2209</v>
      </c>
      <c r="B347" s="39" t="s">
        <v>2206</v>
      </c>
      <c r="C347" s="39" t="s">
        <v>267</v>
      </c>
      <c r="D347" s="39" t="s">
        <v>2210</v>
      </c>
      <c r="E347" s="59"/>
      <c r="F347" s="59">
        <v>1.0</v>
      </c>
      <c r="G347" s="39" t="s">
        <v>2206</v>
      </c>
      <c r="H347" s="39" t="s">
        <v>242</v>
      </c>
      <c r="I347" s="39" t="s">
        <v>267</v>
      </c>
      <c r="J347" s="39" t="s">
        <v>2757</v>
      </c>
    </row>
    <row r="348" ht="14.25" customHeight="1">
      <c r="A348" s="38" t="s">
        <v>2209</v>
      </c>
      <c r="B348" s="38" t="s">
        <v>2206</v>
      </c>
      <c r="C348" s="38" t="s">
        <v>243</v>
      </c>
      <c r="D348" s="38" t="s">
        <v>2210</v>
      </c>
      <c r="E348" s="58"/>
      <c r="F348" s="58">
        <v>1.0</v>
      </c>
      <c r="G348" s="38" t="s">
        <v>2206</v>
      </c>
      <c r="H348" s="38" t="s">
        <v>242</v>
      </c>
      <c r="I348" s="38" t="s">
        <v>243</v>
      </c>
      <c r="J348" s="38" t="s">
        <v>2757</v>
      </c>
    </row>
    <row r="349" ht="14.25" customHeight="1">
      <c r="A349" s="39" t="s">
        <v>2209</v>
      </c>
      <c r="B349" s="39" t="s">
        <v>2206</v>
      </c>
      <c r="C349" s="39" t="s">
        <v>346</v>
      </c>
      <c r="D349" s="39" t="s">
        <v>2210</v>
      </c>
      <c r="E349" s="59"/>
      <c r="F349" s="59">
        <v>1.0</v>
      </c>
      <c r="G349" s="39" t="s">
        <v>2206</v>
      </c>
      <c r="H349" s="39" t="s">
        <v>242</v>
      </c>
      <c r="I349" s="39" t="s">
        <v>346</v>
      </c>
      <c r="J349" s="39" t="s">
        <v>2757</v>
      </c>
    </row>
    <row r="350" ht="14.25" customHeight="1">
      <c r="A350" s="38" t="s">
        <v>2220</v>
      </c>
      <c r="B350" s="38" t="s">
        <v>2218</v>
      </c>
      <c r="C350" s="38" t="s">
        <v>267</v>
      </c>
      <c r="D350" s="38" t="s">
        <v>2221</v>
      </c>
      <c r="E350" s="58"/>
      <c r="F350" s="58">
        <v>1.0</v>
      </c>
      <c r="G350" s="38" t="s">
        <v>2218</v>
      </c>
      <c r="H350" s="38" t="s">
        <v>242</v>
      </c>
      <c r="I350" s="38" t="s">
        <v>267</v>
      </c>
      <c r="J350" s="38" t="s">
        <v>2757</v>
      </c>
    </row>
    <row r="351" ht="14.25" customHeight="1">
      <c r="A351" s="39" t="s">
        <v>2220</v>
      </c>
      <c r="B351" s="39" t="s">
        <v>2218</v>
      </c>
      <c r="C351" s="39" t="s">
        <v>243</v>
      </c>
      <c r="D351" s="39" t="s">
        <v>2221</v>
      </c>
      <c r="E351" s="59"/>
      <c r="F351" s="59">
        <v>1.0</v>
      </c>
      <c r="G351" s="39" t="s">
        <v>2218</v>
      </c>
      <c r="H351" s="39" t="s">
        <v>242</v>
      </c>
      <c r="I351" s="39" t="s">
        <v>243</v>
      </c>
      <c r="J351" s="39" t="s">
        <v>2757</v>
      </c>
    </row>
    <row r="352" ht="14.25" customHeight="1">
      <c r="A352" s="38" t="s">
        <v>2220</v>
      </c>
      <c r="B352" s="38" t="s">
        <v>2218</v>
      </c>
      <c r="C352" s="38" t="s">
        <v>346</v>
      </c>
      <c r="D352" s="38" t="s">
        <v>2221</v>
      </c>
      <c r="E352" s="58"/>
      <c r="F352" s="58">
        <v>1.0</v>
      </c>
      <c r="G352" s="38" t="s">
        <v>2218</v>
      </c>
      <c r="H352" s="38" t="s">
        <v>242</v>
      </c>
      <c r="I352" s="38" t="s">
        <v>346</v>
      </c>
      <c r="J352" s="38" t="s">
        <v>2757</v>
      </c>
    </row>
    <row r="353" ht="14.25" customHeight="1">
      <c r="A353" s="39" t="s">
        <v>2225</v>
      </c>
      <c r="B353" s="39" t="s">
        <v>2223</v>
      </c>
      <c r="C353" s="39" t="s">
        <v>267</v>
      </c>
      <c r="D353" s="39" t="s">
        <v>2226</v>
      </c>
      <c r="E353" s="59"/>
      <c r="F353" s="59">
        <v>1.0</v>
      </c>
      <c r="G353" s="39" t="s">
        <v>2223</v>
      </c>
      <c r="H353" s="39" t="s">
        <v>242</v>
      </c>
      <c r="I353" s="39" t="s">
        <v>267</v>
      </c>
      <c r="J353" s="39" t="s">
        <v>2757</v>
      </c>
    </row>
    <row r="354" ht="14.25" customHeight="1">
      <c r="A354" s="38" t="s">
        <v>2225</v>
      </c>
      <c r="B354" s="38" t="s">
        <v>2223</v>
      </c>
      <c r="C354" s="38" t="s">
        <v>243</v>
      </c>
      <c r="D354" s="38" t="s">
        <v>2226</v>
      </c>
      <c r="E354" s="58"/>
      <c r="F354" s="58">
        <v>1.0</v>
      </c>
      <c r="G354" s="38" t="s">
        <v>2223</v>
      </c>
      <c r="H354" s="38" t="s">
        <v>242</v>
      </c>
      <c r="I354" s="38" t="s">
        <v>243</v>
      </c>
      <c r="J354" s="38" t="s">
        <v>2757</v>
      </c>
    </row>
    <row r="355" ht="14.25" customHeight="1">
      <c r="A355" s="39" t="s">
        <v>2225</v>
      </c>
      <c r="B355" s="39" t="s">
        <v>2223</v>
      </c>
      <c r="C355" s="39" t="s">
        <v>346</v>
      </c>
      <c r="D355" s="39" t="s">
        <v>2226</v>
      </c>
      <c r="E355" s="59"/>
      <c r="F355" s="59">
        <v>1.0</v>
      </c>
      <c r="G355" s="39" t="s">
        <v>2223</v>
      </c>
      <c r="H355" s="39" t="s">
        <v>242</v>
      </c>
      <c r="I355" s="39" t="s">
        <v>346</v>
      </c>
      <c r="J355" s="39" t="s">
        <v>2757</v>
      </c>
    </row>
    <row r="356" ht="14.25" customHeight="1">
      <c r="A356" s="38" t="s">
        <v>2229</v>
      </c>
      <c r="B356" s="38" t="s">
        <v>2228</v>
      </c>
      <c r="C356" s="38" t="s">
        <v>267</v>
      </c>
      <c r="D356" s="38" t="s">
        <v>2230</v>
      </c>
      <c r="E356" s="58"/>
      <c r="F356" s="58">
        <v>1.0</v>
      </c>
      <c r="G356" s="38" t="s">
        <v>2228</v>
      </c>
      <c r="H356" s="38" t="s">
        <v>242</v>
      </c>
      <c r="I356" s="38" t="s">
        <v>267</v>
      </c>
      <c r="J356" s="38" t="s">
        <v>2757</v>
      </c>
    </row>
    <row r="357" ht="14.25" customHeight="1">
      <c r="A357" s="39" t="s">
        <v>2229</v>
      </c>
      <c r="B357" s="39" t="s">
        <v>2228</v>
      </c>
      <c r="C357" s="39" t="s">
        <v>243</v>
      </c>
      <c r="D357" s="39" t="s">
        <v>2230</v>
      </c>
      <c r="E357" s="59"/>
      <c r="F357" s="59">
        <v>1.0</v>
      </c>
      <c r="G357" s="39" t="s">
        <v>2228</v>
      </c>
      <c r="H357" s="39" t="s">
        <v>242</v>
      </c>
      <c r="I357" s="39" t="s">
        <v>243</v>
      </c>
      <c r="J357" s="39" t="s">
        <v>2757</v>
      </c>
    </row>
    <row r="358" ht="14.25" customHeight="1">
      <c r="A358" s="38" t="s">
        <v>2229</v>
      </c>
      <c r="B358" s="38" t="s">
        <v>2228</v>
      </c>
      <c r="C358" s="38" t="s">
        <v>346</v>
      </c>
      <c r="D358" s="38" t="s">
        <v>2230</v>
      </c>
      <c r="E358" s="58"/>
      <c r="F358" s="58">
        <v>1.0</v>
      </c>
      <c r="G358" s="38" t="s">
        <v>2228</v>
      </c>
      <c r="H358" s="38" t="s">
        <v>242</v>
      </c>
      <c r="I358" s="38" t="s">
        <v>346</v>
      </c>
      <c r="J358" s="38" t="s">
        <v>2757</v>
      </c>
    </row>
    <row r="359" ht="14.25" customHeight="1">
      <c r="A359" s="39" t="s">
        <v>2234</v>
      </c>
      <c r="B359" s="39" t="s">
        <v>2232</v>
      </c>
      <c r="C359" s="39" t="s">
        <v>267</v>
      </c>
      <c r="D359" s="39" t="s">
        <v>2235</v>
      </c>
      <c r="E359" s="59"/>
      <c r="F359" s="59">
        <v>1.0</v>
      </c>
      <c r="G359" s="39" t="s">
        <v>2232</v>
      </c>
      <c r="H359" s="39" t="s">
        <v>242</v>
      </c>
      <c r="I359" s="39" t="s">
        <v>267</v>
      </c>
      <c r="J359" s="39" t="s">
        <v>2757</v>
      </c>
    </row>
    <row r="360" ht="14.25" customHeight="1">
      <c r="A360" s="38" t="s">
        <v>2234</v>
      </c>
      <c r="B360" s="38" t="s">
        <v>2232</v>
      </c>
      <c r="C360" s="38" t="s">
        <v>243</v>
      </c>
      <c r="D360" s="38" t="s">
        <v>2235</v>
      </c>
      <c r="E360" s="58"/>
      <c r="F360" s="58">
        <v>1.0</v>
      </c>
      <c r="G360" s="38" t="s">
        <v>2232</v>
      </c>
      <c r="H360" s="38" t="s">
        <v>242</v>
      </c>
      <c r="I360" s="38" t="s">
        <v>243</v>
      </c>
      <c r="J360" s="38" t="s">
        <v>2757</v>
      </c>
    </row>
    <row r="361" ht="14.25" customHeight="1">
      <c r="A361" s="39" t="s">
        <v>2234</v>
      </c>
      <c r="B361" s="39" t="s">
        <v>2232</v>
      </c>
      <c r="C361" s="39" t="s">
        <v>346</v>
      </c>
      <c r="D361" s="39" t="s">
        <v>2235</v>
      </c>
      <c r="E361" s="59"/>
      <c r="F361" s="59">
        <v>1.0</v>
      </c>
      <c r="G361" s="39" t="s">
        <v>2232</v>
      </c>
      <c r="H361" s="39" t="s">
        <v>242</v>
      </c>
      <c r="I361" s="39" t="s">
        <v>346</v>
      </c>
      <c r="J361" s="39" t="s">
        <v>2757</v>
      </c>
    </row>
    <row r="362" ht="14.25" customHeight="1">
      <c r="A362" s="38" t="s">
        <v>2239</v>
      </c>
      <c r="B362" s="38" t="s">
        <v>2237</v>
      </c>
      <c r="C362" s="38" t="s">
        <v>267</v>
      </c>
      <c r="D362" s="38" t="s">
        <v>2240</v>
      </c>
      <c r="E362" s="58"/>
      <c r="F362" s="58">
        <v>1.0</v>
      </c>
      <c r="G362" s="38" t="s">
        <v>2237</v>
      </c>
      <c r="H362" s="38" t="s">
        <v>242</v>
      </c>
      <c r="I362" s="38" t="s">
        <v>267</v>
      </c>
      <c r="J362" s="38" t="s">
        <v>2757</v>
      </c>
    </row>
    <row r="363" ht="14.25" customHeight="1">
      <c r="A363" s="39" t="s">
        <v>2239</v>
      </c>
      <c r="B363" s="39" t="s">
        <v>2237</v>
      </c>
      <c r="C363" s="39" t="s">
        <v>243</v>
      </c>
      <c r="D363" s="39" t="s">
        <v>2240</v>
      </c>
      <c r="E363" s="59"/>
      <c r="F363" s="59">
        <v>1.0</v>
      </c>
      <c r="G363" s="39" t="s">
        <v>2237</v>
      </c>
      <c r="H363" s="39" t="s">
        <v>242</v>
      </c>
      <c r="I363" s="39" t="s">
        <v>243</v>
      </c>
      <c r="J363" s="39" t="s">
        <v>2757</v>
      </c>
    </row>
    <row r="364" ht="14.25" customHeight="1">
      <c r="A364" s="38" t="s">
        <v>2239</v>
      </c>
      <c r="B364" s="38" t="s">
        <v>2237</v>
      </c>
      <c r="C364" s="38" t="s">
        <v>346</v>
      </c>
      <c r="D364" s="38" t="s">
        <v>2240</v>
      </c>
      <c r="E364" s="58"/>
      <c r="F364" s="58">
        <v>1.0</v>
      </c>
      <c r="G364" s="38" t="s">
        <v>2237</v>
      </c>
      <c r="H364" s="38" t="s">
        <v>242</v>
      </c>
      <c r="I364" s="38" t="s">
        <v>346</v>
      </c>
      <c r="J364" s="38" t="s">
        <v>2757</v>
      </c>
    </row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J$364"/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40.0"/>
    <col customWidth="1" min="3" max="3" width="17.0"/>
    <col customWidth="1" min="4" max="7" width="40.0"/>
    <col customWidth="1" min="8" max="26" width="8.71"/>
  </cols>
  <sheetData>
    <row r="1" ht="14.25" customHeight="1">
      <c r="A1" s="37" t="s">
        <v>571</v>
      </c>
      <c r="B1" s="37" t="s">
        <v>2758</v>
      </c>
      <c r="C1" s="37" t="s">
        <v>2759</v>
      </c>
      <c r="D1" s="37" t="s">
        <v>2760</v>
      </c>
      <c r="E1" s="37" t="s">
        <v>2761</v>
      </c>
      <c r="F1" s="37" t="s">
        <v>2762</v>
      </c>
      <c r="G1" s="37" t="s">
        <v>2763</v>
      </c>
    </row>
    <row r="2" ht="14.25" customHeight="1">
      <c r="A2" s="38" t="s">
        <v>246</v>
      </c>
      <c r="B2" s="38" t="s">
        <v>2764</v>
      </c>
      <c r="C2" s="51">
        <v>2.0</v>
      </c>
      <c r="D2" s="38" t="s">
        <v>2765</v>
      </c>
      <c r="E2" s="38" t="s">
        <v>2766</v>
      </c>
      <c r="F2" s="38" t="s">
        <v>2767</v>
      </c>
      <c r="G2" s="38" t="s">
        <v>2768</v>
      </c>
    </row>
    <row r="3" ht="14.25" customHeight="1">
      <c r="A3" s="39" t="s">
        <v>246</v>
      </c>
      <c r="B3" s="39" t="s">
        <v>2769</v>
      </c>
      <c r="C3" s="53">
        <v>2.0</v>
      </c>
      <c r="D3" s="39" t="s">
        <v>2770</v>
      </c>
      <c r="E3" s="39" t="s">
        <v>2771</v>
      </c>
      <c r="F3" s="39" t="s">
        <v>2767</v>
      </c>
      <c r="G3" s="39" t="s">
        <v>2768</v>
      </c>
    </row>
    <row r="4" ht="14.25" customHeight="1">
      <c r="A4" s="38" t="s">
        <v>246</v>
      </c>
      <c r="B4" s="38" t="s">
        <v>2772</v>
      </c>
      <c r="C4" s="51">
        <v>2.0</v>
      </c>
      <c r="D4" s="38" t="s">
        <v>2773</v>
      </c>
      <c r="E4" s="38" t="s">
        <v>2774</v>
      </c>
      <c r="F4" s="38" t="s">
        <v>2767</v>
      </c>
      <c r="G4" s="38" t="s">
        <v>2768</v>
      </c>
    </row>
    <row r="5" ht="14.25" customHeight="1">
      <c r="A5" s="39" t="s">
        <v>246</v>
      </c>
      <c r="B5" s="39" t="s">
        <v>2775</v>
      </c>
      <c r="C5" s="53">
        <v>2.0</v>
      </c>
      <c r="D5" s="39" t="s">
        <v>2776</v>
      </c>
      <c r="E5" s="39" t="s">
        <v>2777</v>
      </c>
      <c r="F5" s="39" t="s">
        <v>2767</v>
      </c>
      <c r="G5" s="39" t="s">
        <v>2768</v>
      </c>
    </row>
    <row r="6" ht="14.25" customHeight="1">
      <c r="A6" s="38" t="s">
        <v>246</v>
      </c>
      <c r="B6" s="38" t="s">
        <v>2778</v>
      </c>
      <c r="C6" s="51">
        <v>2.0</v>
      </c>
      <c r="D6" s="38" t="s">
        <v>2779</v>
      </c>
      <c r="E6" s="38" t="s">
        <v>2780</v>
      </c>
      <c r="F6" s="38" t="s">
        <v>2767</v>
      </c>
      <c r="G6" s="38" t="s">
        <v>2768</v>
      </c>
    </row>
    <row r="7" ht="14.25" customHeight="1">
      <c r="A7" s="39" t="s">
        <v>246</v>
      </c>
      <c r="B7" s="39" t="s">
        <v>2781</v>
      </c>
      <c r="C7" s="53">
        <v>7.0</v>
      </c>
      <c r="D7" s="39" t="s">
        <v>2782</v>
      </c>
      <c r="E7" s="39" t="s">
        <v>2783</v>
      </c>
      <c r="F7" s="39" t="s">
        <v>2767</v>
      </c>
      <c r="G7" s="39" t="s">
        <v>2768</v>
      </c>
    </row>
    <row r="8" ht="14.25" customHeight="1">
      <c r="A8" s="38" t="s">
        <v>286</v>
      </c>
      <c r="B8" s="38" t="s">
        <v>2449</v>
      </c>
      <c r="C8" s="51">
        <v>2.0</v>
      </c>
      <c r="D8" s="38" t="s">
        <v>2784</v>
      </c>
      <c r="E8" s="38" t="s">
        <v>2785</v>
      </c>
      <c r="F8" s="38" t="s">
        <v>2767</v>
      </c>
      <c r="G8" s="38" t="s">
        <v>2768</v>
      </c>
    </row>
    <row r="9" ht="14.25" customHeight="1">
      <c r="A9" s="39" t="s">
        <v>286</v>
      </c>
      <c r="B9" s="39" t="s">
        <v>2462</v>
      </c>
      <c r="C9" s="53">
        <v>2.0</v>
      </c>
      <c r="D9" s="39" t="s">
        <v>2786</v>
      </c>
      <c r="E9" s="39" t="s">
        <v>2787</v>
      </c>
      <c r="F9" s="39" t="s">
        <v>2767</v>
      </c>
      <c r="G9" s="39" t="s">
        <v>2768</v>
      </c>
    </row>
    <row r="10" ht="14.25" customHeight="1">
      <c r="A10" s="38" t="s">
        <v>286</v>
      </c>
      <c r="B10" s="38" t="s">
        <v>2468</v>
      </c>
      <c r="C10" s="51">
        <v>2.0</v>
      </c>
      <c r="D10" s="38" t="s">
        <v>2788</v>
      </c>
      <c r="E10" s="38" t="s">
        <v>2789</v>
      </c>
      <c r="F10" s="38" t="s">
        <v>2767</v>
      </c>
      <c r="G10" s="38" t="s">
        <v>2768</v>
      </c>
    </row>
    <row r="11" ht="14.25" customHeight="1">
      <c r="A11" s="39" t="s">
        <v>286</v>
      </c>
      <c r="B11" s="39" t="s">
        <v>2472</v>
      </c>
      <c r="C11" s="53">
        <v>2.0</v>
      </c>
      <c r="D11" s="39" t="s">
        <v>2790</v>
      </c>
      <c r="E11" s="39" t="s">
        <v>2791</v>
      </c>
      <c r="F11" s="39" t="s">
        <v>2767</v>
      </c>
      <c r="G11" s="39" t="s">
        <v>2768</v>
      </c>
    </row>
    <row r="12" ht="14.25" customHeight="1">
      <c r="A12" s="38" t="s">
        <v>286</v>
      </c>
      <c r="B12" s="38" t="s">
        <v>2473</v>
      </c>
      <c r="C12" s="51">
        <v>2.0</v>
      </c>
      <c r="D12" s="38" t="s">
        <v>2792</v>
      </c>
      <c r="E12" s="38" t="s">
        <v>2793</v>
      </c>
      <c r="F12" s="38" t="s">
        <v>2767</v>
      </c>
      <c r="G12" s="38" t="s">
        <v>2768</v>
      </c>
    </row>
    <row r="13" ht="14.25" customHeight="1">
      <c r="A13" s="39" t="s">
        <v>286</v>
      </c>
      <c r="B13" s="39" t="s">
        <v>2490</v>
      </c>
      <c r="C13" s="53">
        <v>2.0</v>
      </c>
      <c r="D13" s="39" t="s">
        <v>2794</v>
      </c>
      <c r="E13" s="39" t="s">
        <v>2795</v>
      </c>
      <c r="F13" s="39" t="s">
        <v>2767</v>
      </c>
      <c r="G13" s="39" t="s">
        <v>2768</v>
      </c>
    </row>
    <row r="14" ht="14.25" customHeight="1">
      <c r="A14" s="38" t="s">
        <v>286</v>
      </c>
      <c r="B14" s="38" t="s">
        <v>2495</v>
      </c>
      <c r="C14" s="51">
        <v>2.0</v>
      </c>
      <c r="D14" s="38" t="s">
        <v>2796</v>
      </c>
      <c r="E14" s="38" t="s">
        <v>2797</v>
      </c>
      <c r="F14" s="38" t="s">
        <v>2767</v>
      </c>
      <c r="G14" s="38" t="s">
        <v>2768</v>
      </c>
    </row>
    <row r="15" ht="14.25" customHeight="1">
      <c r="A15" s="39" t="s">
        <v>286</v>
      </c>
      <c r="B15" s="39" t="s">
        <v>2497</v>
      </c>
      <c r="C15" s="53">
        <v>2.0</v>
      </c>
      <c r="D15" s="39" t="s">
        <v>2798</v>
      </c>
      <c r="E15" s="39" t="s">
        <v>2799</v>
      </c>
      <c r="F15" s="39" t="s">
        <v>2767</v>
      </c>
      <c r="G15" s="39" t="s">
        <v>2768</v>
      </c>
    </row>
    <row r="16" ht="14.25" customHeight="1">
      <c r="A16" s="38" t="s">
        <v>286</v>
      </c>
      <c r="B16" s="38" t="s">
        <v>2560</v>
      </c>
      <c r="C16" s="51">
        <v>2.0</v>
      </c>
      <c r="D16" s="38" t="s">
        <v>2800</v>
      </c>
      <c r="E16" s="38" t="s">
        <v>2801</v>
      </c>
      <c r="F16" s="38" t="s">
        <v>2767</v>
      </c>
      <c r="G16" s="38" t="s">
        <v>2768</v>
      </c>
    </row>
    <row r="17" ht="14.25" customHeight="1">
      <c r="A17" s="39" t="s">
        <v>2802</v>
      </c>
      <c r="B17" s="39" t="s">
        <v>1260</v>
      </c>
      <c r="C17" s="53">
        <v>1.0</v>
      </c>
      <c r="D17" s="39" t="s">
        <v>1259</v>
      </c>
      <c r="E17" s="39" t="s">
        <v>1260</v>
      </c>
      <c r="F17" s="39" t="s">
        <v>2803</v>
      </c>
      <c r="G17" s="39" t="s">
        <v>1264</v>
      </c>
    </row>
    <row r="18" ht="14.25" customHeight="1">
      <c r="A18" s="38" t="s">
        <v>2802</v>
      </c>
      <c r="B18" s="38" t="s">
        <v>1266</v>
      </c>
      <c r="C18" s="51">
        <v>1.0</v>
      </c>
      <c r="D18" s="38" t="s">
        <v>1265</v>
      </c>
      <c r="E18" s="38" t="s">
        <v>1266</v>
      </c>
      <c r="F18" s="38" t="s">
        <v>2803</v>
      </c>
      <c r="G18" s="38" t="s">
        <v>1270</v>
      </c>
    </row>
    <row r="19" ht="14.25" customHeight="1">
      <c r="A19" s="39" t="s">
        <v>2802</v>
      </c>
      <c r="B19" s="39" t="s">
        <v>1343</v>
      </c>
      <c r="C19" s="53">
        <v>1.0</v>
      </c>
      <c r="D19" s="39" t="s">
        <v>1342</v>
      </c>
      <c r="E19" s="39" t="s">
        <v>1343</v>
      </c>
      <c r="F19" s="39" t="s">
        <v>2803</v>
      </c>
      <c r="G19" s="39" t="s">
        <v>1044</v>
      </c>
    </row>
    <row r="20" ht="14.25" customHeight="1">
      <c r="A20" s="38" t="s">
        <v>2802</v>
      </c>
      <c r="B20" s="38" t="s">
        <v>1388</v>
      </c>
      <c r="C20" s="51">
        <v>1.0</v>
      </c>
      <c r="D20" s="38" t="s">
        <v>1387</v>
      </c>
      <c r="E20" s="38" t="s">
        <v>1388</v>
      </c>
      <c r="F20" s="38" t="s">
        <v>2803</v>
      </c>
      <c r="G20" s="38" t="s">
        <v>1393</v>
      </c>
    </row>
    <row r="21" ht="14.25" customHeight="1">
      <c r="A21" s="39" t="s">
        <v>2802</v>
      </c>
      <c r="B21" s="39" t="s">
        <v>1578</v>
      </c>
      <c r="C21" s="53">
        <v>1.0</v>
      </c>
      <c r="D21" s="39" t="s">
        <v>1577</v>
      </c>
      <c r="E21" s="39" t="s">
        <v>1578</v>
      </c>
      <c r="F21" s="39" t="s">
        <v>2803</v>
      </c>
      <c r="G21" s="39" t="s">
        <v>1044</v>
      </c>
    </row>
    <row r="22" ht="14.25" customHeight="1">
      <c r="A22" s="38" t="s">
        <v>2802</v>
      </c>
      <c r="B22" s="38" t="s">
        <v>1875</v>
      </c>
      <c r="C22" s="51">
        <v>1.0</v>
      </c>
      <c r="D22" s="38" t="s">
        <v>1874</v>
      </c>
      <c r="E22" s="38" t="s">
        <v>1875</v>
      </c>
      <c r="F22" s="38" t="s">
        <v>2803</v>
      </c>
      <c r="G22" s="38" t="s">
        <v>1878</v>
      </c>
    </row>
    <row r="23" ht="14.25" customHeight="1">
      <c r="A23" s="39" t="s">
        <v>2802</v>
      </c>
      <c r="B23" s="39" t="s">
        <v>1951</v>
      </c>
      <c r="C23" s="53">
        <v>1.0</v>
      </c>
      <c r="D23" s="39" t="s">
        <v>1950</v>
      </c>
      <c r="E23" s="39" t="s">
        <v>1951</v>
      </c>
      <c r="F23" s="39" t="s">
        <v>2803</v>
      </c>
      <c r="G23" s="39" t="s">
        <v>1044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23"/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40.0"/>
    <col customWidth="1" min="3" max="3" width="12.0"/>
    <col customWidth="1" min="4" max="4" width="36.0"/>
    <col customWidth="1" min="5" max="5" width="14.0"/>
    <col customWidth="1" min="6" max="6" width="19.0"/>
    <col customWidth="1" min="7" max="8" width="40.0"/>
    <col customWidth="1" min="9" max="26" width="8.71"/>
  </cols>
  <sheetData>
    <row r="1" ht="14.25" customHeight="1">
      <c r="A1" s="37" t="s">
        <v>555</v>
      </c>
      <c r="B1" s="37" t="s">
        <v>556</v>
      </c>
      <c r="C1" s="37" t="s">
        <v>1026</v>
      </c>
      <c r="D1" s="37" t="s">
        <v>1030</v>
      </c>
      <c r="E1" s="37" t="s">
        <v>428</v>
      </c>
      <c r="F1" s="37" t="s">
        <v>196</v>
      </c>
      <c r="G1" s="37" t="s">
        <v>2804</v>
      </c>
      <c r="H1" s="37" t="s">
        <v>616</v>
      </c>
    </row>
    <row r="2" ht="14.25" customHeight="1">
      <c r="A2" s="38" t="s">
        <v>563</v>
      </c>
      <c r="B2" s="38" t="s">
        <v>1035</v>
      </c>
      <c r="C2" s="38" t="s">
        <v>402</v>
      </c>
      <c r="D2" s="38" t="s">
        <v>423</v>
      </c>
      <c r="E2" s="38" t="s">
        <v>400</v>
      </c>
      <c r="F2" s="38" t="s">
        <v>335</v>
      </c>
      <c r="G2" s="38" t="s">
        <v>2805</v>
      </c>
      <c r="H2" s="38" t="s">
        <v>1039</v>
      </c>
    </row>
    <row r="3" ht="14.25" customHeight="1">
      <c r="A3" s="39" t="s">
        <v>1065</v>
      </c>
      <c r="B3" s="39" t="s">
        <v>1066</v>
      </c>
      <c r="C3" s="39" t="s">
        <v>402</v>
      </c>
      <c r="D3" s="39" t="s">
        <v>420</v>
      </c>
      <c r="E3" s="39" t="s">
        <v>361</v>
      </c>
      <c r="F3" s="39" t="s">
        <v>335</v>
      </c>
      <c r="G3" s="39" t="s">
        <v>2805</v>
      </c>
      <c r="H3" s="39" t="s">
        <v>1073</v>
      </c>
    </row>
    <row r="4" ht="14.25" customHeight="1">
      <c r="A4" s="38" t="s">
        <v>1092</v>
      </c>
      <c r="B4" s="38" t="s">
        <v>1093</v>
      </c>
      <c r="C4" s="38" t="s">
        <v>402</v>
      </c>
      <c r="D4" s="38" t="s">
        <v>420</v>
      </c>
      <c r="E4" s="38" t="s">
        <v>361</v>
      </c>
      <c r="F4" s="38" t="s">
        <v>335</v>
      </c>
      <c r="G4" s="38" t="s">
        <v>2805</v>
      </c>
      <c r="H4" s="38" t="s">
        <v>1073</v>
      </c>
    </row>
    <row r="5" ht="14.25" customHeight="1">
      <c r="A5" s="39" t="s">
        <v>1211</v>
      </c>
      <c r="B5" s="39" t="s">
        <v>1212</v>
      </c>
      <c r="C5" s="39" t="s">
        <v>402</v>
      </c>
      <c r="D5" s="39" t="s">
        <v>420</v>
      </c>
      <c r="E5" s="39" t="s">
        <v>387</v>
      </c>
      <c r="F5" s="39" t="s">
        <v>335</v>
      </c>
      <c r="G5" s="39" t="s">
        <v>2806</v>
      </c>
      <c r="H5" s="39" t="s">
        <v>1216</v>
      </c>
    </row>
    <row r="6" ht="14.25" customHeight="1">
      <c r="A6" s="38" t="s">
        <v>1238</v>
      </c>
      <c r="B6" s="38" t="s">
        <v>1239</v>
      </c>
      <c r="C6" s="38" t="s">
        <v>402</v>
      </c>
      <c r="D6" s="38" t="s">
        <v>420</v>
      </c>
      <c r="E6" s="38" t="s">
        <v>361</v>
      </c>
      <c r="F6" s="38" t="s">
        <v>335</v>
      </c>
      <c r="G6" s="38" t="s">
        <v>2805</v>
      </c>
      <c r="H6" s="38" t="s">
        <v>1073</v>
      </c>
    </row>
    <row r="7" ht="14.25" customHeight="1">
      <c r="A7" s="46" t="s">
        <v>1259</v>
      </c>
      <c r="B7" s="46" t="s">
        <v>1260</v>
      </c>
      <c r="C7" s="46" t="s">
        <v>1061</v>
      </c>
      <c r="D7" s="46" t="s">
        <v>415</v>
      </c>
      <c r="E7" s="46" t="s">
        <v>240</v>
      </c>
      <c r="F7" s="46" t="s">
        <v>293</v>
      </c>
      <c r="G7" s="46" t="s">
        <v>2807</v>
      </c>
      <c r="H7" s="46" t="s">
        <v>1264</v>
      </c>
    </row>
    <row r="8" ht="14.25" customHeight="1">
      <c r="A8" s="46" t="s">
        <v>1265</v>
      </c>
      <c r="B8" s="46" t="s">
        <v>1266</v>
      </c>
      <c r="C8" s="46" t="s">
        <v>1061</v>
      </c>
      <c r="D8" s="46" t="s">
        <v>413</v>
      </c>
      <c r="E8" s="46" t="s">
        <v>240</v>
      </c>
      <c r="F8" s="46" t="s">
        <v>293</v>
      </c>
      <c r="G8" s="46" t="s">
        <v>2807</v>
      </c>
      <c r="H8" s="46" t="s">
        <v>1270</v>
      </c>
    </row>
    <row r="9" ht="14.25" customHeight="1">
      <c r="A9" s="46" t="s">
        <v>1342</v>
      </c>
      <c r="B9" s="46" t="s">
        <v>1343</v>
      </c>
      <c r="C9" s="46" t="s">
        <v>1042</v>
      </c>
      <c r="D9" s="46" t="s">
        <v>399</v>
      </c>
      <c r="E9" s="46" t="s">
        <v>282</v>
      </c>
      <c r="F9" s="46" t="s">
        <v>293</v>
      </c>
      <c r="G9" s="46" t="s">
        <v>2807</v>
      </c>
      <c r="H9" s="46" t="s">
        <v>1044</v>
      </c>
    </row>
    <row r="10" ht="14.25" customHeight="1">
      <c r="A10" s="46" t="s">
        <v>1387</v>
      </c>
      <c r="B10" s="46" t="s">
        <v>1388</v>
      </c>
      <c r="C10" s="46" t="s">
        <v>1042</v>
      </c>
      <c r="D10" s="46" t="s">
        <v>239</v>
      </c>
      <c r="E10" s="46" t="s">
        <v>282</v>
      </c>
      <c r="F10" s="46" t="s">
        <v>293</v>
      </c>
      <c r="G10" s="46" t="s">
        <v>2807</v>
      </c>
      <c r="H10" s="46" t="s">
        <v>1393</v>
      </c>
    </row>
    <row r="11" ht="14.25" customHeight="1">
      <c r="A11" s="39" t="s">
        <v>1429</v>
      </c>
      <c r="B11" s="39" t="s">
        <v>1430</v>
      </c>
      <c r="C11" s="39" t="s">
        <v>402</v>
      </c>
      <c r="D11" s="39" t="s">
        <v>420</v>
      </c>
      <c r="E11" s="39" t="s">
        <v>361</v>
      </c>
      <c r="F11" s="39" t="s">
        <v>335</v>
      </c>
      <c r="G11" s="39" t="s">
        <v>2805</v>
      </c>
      <c r="H11" s="39" t="s">
        <v>1073</v>
      </c>
    </row>
    <row r="12" ht="14.25" customHeight="1">
      <c r="A12" s="38" t="s">
        <v>1433</v>
      </c>
      <c r="B12" s="38" t="s">
        <v>1434</v>
      </c>
      <c r="C12" s="38" t="s">
        <v>402</v>
      </c>
      <c r="D12" s="38" t="s">
        <v>421</v>
      </c>
      <c r="E12" s="38" t="s">
        <v>361</v>
      </c>
      <c r="F12" s="38" t="s">
        <v>335</v>
      </c>
      <c r="G12" s="38" t="s">
        <v>2805</v>
      </c>
      <c r="H12" s="38" t="s">
        <v>1438</v>
      </c>
    </row>
    <row r="13" ht="14.25" customHeight="1">
      <c r="A13" s="39" t="s">
        <v>1444</v>
      </c>
      <c r="B13" s="39" t="s">
        <v>1445</v>
      </c>
      <c r="C13" s="39" t="s">
        <v>402</v>
      </c>
      <c r="D13" s="39" t="s">
        <v>420</v>
      </c>
      <c r="E13" s="39" t="s">
        <v>361</v>
      </c>
      <c r="F13" s="39" t="s">
        <v>335</v>
      </c>
      <c r="G13" s="39" t="s">
        <v>2805</v>
      </c>
      <c r="H13" s="39" t="s">
        <v>1073</v>
      </c>
    </row>
    <row r="14" ht="14.25" customHeight="1">
      <c r="A14" s="46" t="s">
        <v>1577</v>
      </c>
      <c r="B14" s="46" t="s">
        <v>1578</v>
      </c>
      <c r="C14" s="46" t="s">
        <v>1042</v>
      </c>
      <c r="D14" s="46" t="s">
        <v>399</v>
      </c>
      <c r="E14" s="46" t="s">
        <v>282</v>
      </c>
      <c r="F14" s="46" t="s">
        <v>293</v>
      </c>
      <c r="G14" s="46" t="s">
        <v>2807</v>
      </c>
      <c r="H14" s="46" t="s">
        <v>1044</v>
      </c>
    </row>
    <row r="15" ht="14.25" customHeight="1">
      <c r="A15" s="39" t="s">
        <v>1714</v>
      </c>
      <c r="B15" s="39" t="s">
        <v>1715</v>
      </c>
      <c r="C15" s="39" t="s">
        <v>402</v>
      </c>
      <c r="D15" s="39" t="s">
        <v>422</v>
      </c>
      <c r="E15" s="39" t="s">
        <v>387</v>
      </c>
      <c r="F15" s="39" t="s">
        <v>335</v>
      </c>
      <c r="G15" s="39" t="s">
        <v>2806</v>
      </c>
      <c r="H15" s="39" t="s">
        <v>1719</v>
      </c>
    </row>
    <row r="16" ht="14.25" customHeight="1">
      <c r="A16" s="46" t="s">
        <v>1874</v>
      </c>
      <c r="B16" s="46" t="s">
        <v>1875</v>
      </c>
      <c r="C16" s="46" t="s">
        <v>1042</v>
      </c>
      <c r="D16" s="46" t="s">
        <v>320</v>
      </c>
      <c r="E16" s="46" t="s">
        <v>282</v>
      </c>
      <c r="F16" s="46" t="s">
        <v>293</v>
      </c>
      <c r="G16" s="46" t="s">
        <v>2807</v>
      </c>
      <c r="H16" s="46" t="s">
        <v>1878</v>
      </c>
    </row>
    <row r="17" ht="14.25" customHeight="1">
      <c r="A17" s="46" t="s">
        <v>1950</v>
      </c>
      <c r="B17" s="46" t="s">
        <v>1951</v>
      </c>
      <c r="C17" s="46" t="s">
        <v>1042</v>
      </c>
      <c r="D17" s="46" t="s">
        <v>399</v>
      </c>
      <c r="E17" s="46" t="s">
        <v>282</v>
      </c>
      <c r="F17" s="46" t="s">
        <v>293</v>
      </c>
      <c r="G17" s="46" t="s">
        <v>2807</v>
      </c>
      <c r="H17" s="46" t="s">
        <v>1044</v>
      </c>
    </row>
    <row r="18" ht="14.25" customHeight="1">
      <c r="A18" s="38" t="s">
        <v>1959</v>
      </c>
      <c r="B18" s="38" t="s">
        <v>1960</v>
      </c>
      <c r="C18" s="38" t="s">
        <v>402</v>
      </c>
      <c r="D18" s="38" t="s">
        <v>421</v>
      </c>
      <c r="E18" s="38" t="s">
        <v>387</v>
      </c>
      <c r="F18" s="38" t="s">
        <v>335</v>
      </c>
      <c r="G18" s="38" t="s">
        <v>2806</v>
      </c>
      <c r="H18" s="38" t="s">
        <v>1964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H$18"/>
  <printOptions/>
  <pageMargins bottom="1.0" footer="0.0" header="0.0" left="0.75" right="0.75" top="1.0"/>
  <pageSetup orientation="landscape"/>
  <drawing r:id="rId1"/>
</worksheet>
</file>