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" sheetId="1" state="visible" r:id="rId1"/>
    <sheet name="Печатная форма" sheetId="2" state="visible" r:id="rId2"/>
  </sheets>
  <definedNames>
    <definedName name="_xlnm._FilterDatabase" localSheetId="0" hidden="1">'Расчет'!$A$1:$M$1</definedName>
    <definedName name="_xlnm.Print_Area" localSheetId="1">'Печатная форма'!$A$1:$H$1000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1F497D"/>
      <sz val="9"/>
    </font>
    <font>
      <name val="Calibri"/>
      <b val="1"/>
      <sz val="12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sz val="10"/>
    </font>
    <font>
      <name val="Calibri"/>
      <b val="1"/>
      <sz val="10"/>
    </font>
    <font>
      <name val="Calibri"/>
      <b val="1"/>
      <i val="1"/>
      <sz val="9"/>
    </font>
    <font>
      <name val="Calibri"/>
      <b val="1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7F7F7"/>
      </patternFill>
    </fill>
    <fill>
      <patternFill patternType="solid">
        <fgColor rgb="00EEF4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hair">
        <color rgb="00AAAAAA"/>
      </left>
      <right style="hair">
        <color rgb="00AAAAAA"/>
      </right>
      <top style="hair">
        <color rgb="00AAAAAA"/>
      </top>
      <bottom style="hair">
        <color rgb="00AAAAAA"/>
      </bottom>
    </border>
    <border>
      <left style="thin">
        <color rgb="00000000"/>
      </left>
      <right style="hair">
        <color rgb="00AAAAAA"/>
      </right>
      <top style="hair">
        <color rgb="00AAAAAA"/>
      </top>
      <bottom style="hair">
        <color rgb="00AAAAAA"/>
      </bottom>
    </border>
    <border>
      <left style="hair">
        <color rgb="00AAAAAA"/>
      </left>
      <right style="thin">
        <color rgb="00000000"/>
      </right>
      <top style="hair">
        <color rgb="00AAAAAA"/>
      </top>
      <bottom style="hair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 wrapText="1"/>
    </xf>
    <xf numFmtId="4" fontId="2" fillId="0" borderId="2" applyAlignment="1" pivotButton="0" quotePrefix="0" xfId="0">
      <alignment vertical="center"/>
    </xf>
    <xf numFmtId="4" fontId="3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4" fontId="2" fillId="3" borderId="2" applyAlignment="1" pivotButton="0" quotePrefix="0" xfId="0">
      <alignment vertical="center"/>
    </xf>
    <xf numFmtId="4" fontId="3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 wrapText="1"/>
    </xf>
    <xf numFmtId="4" fontId="2" fillId="4" borderId="2" applyAlignment="1" pivotButton="0" quotePrefix="0" xfId="0">
      <alignment vertical="center"/>
    </xf>
    <xf numFmtId="4" fontId="3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0" fontId="2" fillId="5" borderId="2" applyAlignment="1" pivotButton="0" quotePrefix="0" xfId="0">
      <alignment vertical="center" wrapText="1"/>
    </xf>
    <xf numFmtId="4" fontId="2" fillId="5" borderId="2" applyAlignment="1" pivotButton="0" quotePrefix="0" xfId="0">
      <alignment vertical="center"/>
    </xf>
    <xf numFmtId="4" fontId="3" fillId="5" borderId="2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6" borderId="1" pivotButton="0" quotePrefix="0" xfId="0"/>
    <xf numFmtId="0" fontId="8" fillId="0" borderId="0" pivotButton="0" quotePrefix="0" xfId="0"/>
    <xf numFmtId="0" fontId="8" fillId="0" borderId="3" pivotButton="0" quotePrefix="0" xfId="0"/>
    <xf numFmtId="4" fontId="8" fillId="0" borderId="4" pivotButton="0" quotePrefix="0" xfId="0"/>
    <xf numFmtId="0" fontId="9" fillId="0" borderId="0" pivotButton="0" quotePrefix="0" xfId="0"/>
    <xf numFmtId="4" fontId="9" fillId="7" borderId="0" pivotButton="0" quotePrefix="0" xfId="0"/>
    <xf numFmtId="0" fontId="9" fillId="6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2" fillId="3" borderId="0" pivotButton="0" quotePrefix="0" xfId="0"/>
    <xf numFmtId="4" fontId="2" fillId="3" borderId="0" pivotButton="0" quotePrefix="0" xfId="0"/>
    <xf numFmtId="0" fontId="10" fillId="4" borderId="0" pivotButton="0" quotePrefix="0" xfId="0"/>
    <xf numFmtId="0" fontId="11" fillId="7" borderId="0" pivotButton="0" quotePrefix="0" xfId="0"/>
    <xf numFmtId="4" fontId="11" fillId="7" borderId="0" pivotButton="0" quotePrefix="0" xfId="0"/>
    <xf numFmtId="0" fontId="9" fillId="7" borderId="0" pivotButton="0" quotePrefix="0" xfId="0"/>
    <xf numFmtId="0" fontId="2" fillId="5" borderId="0" pivotButton="0" quotePrefix="0" xfId="0"/>
    <xf numFmtId="4" fontId="2" fillId="5" borderId="0" pivotButton="0" quotePrefix="0" xfId="0"/>
    <xf numFmtId="0" fontId="4" fillId="0" borderId="0" pivotButton="0" quotePrefix="0" xfId="0"/>
    <xf numFmtId="4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5" customWidth="1" min="4" max="4"/>
    <col width="20" customWidth="1" min="5" max="5"/>
    <col width="9" customWidth="1" min="6" max="6"/>
    <col width="55" customWidth="1" min="7" max="7"/>
    <col width="12" customWidth="1" min="8" max="8"/>
    <col width="10" customWidth="1" min="9" max="9"/>
    <col width="13" customWidth="1" min="10" max="10"/>
    <col width="14" customWidth="1" min="11" max="11"/>
    <col width="14" customWidth="1" min="12" max="12"/>
    <col width="40" customWidth="1" min="13" max="13"/>
  </cols>
  <sheetData>
    <row r="1" ht="28" customHeight="1">
      <c r="A1" s="1" t="inlineStr">
        <is>
          <t>print_flag</t>
        </is>
      </c>
      <c r="B1" s="1" t="inlineStr">
        <is>
          <t>section_no</t>
        </is>
      </c>
      <c r="C1" s="1" t="inlineStr">
        <is>
          <t>section_name</t>
        </is>
      </c>
      <c r="D1" s="1" t="inlineStr">
        <is>
          <t>subsection_name</t>
        </is>
      </c>
      <c r="E1" s="1" t="inlineStr">
        <is>
          <t>row_type</t>
        </is>
      </c>
      <c r="F1" s="1" t="inlineStr">
        <is>
          <t>sort_order</t>
        </is>
      </c>
      <c r="G1" s="1" t="inlineStr">
        <is>
          <t>item_name</t>
        </is>
      </c>
      <c r="H1" s="1" t="inlineStr">
        <is>
          <t>unit</t>
        </is>
      </c>
      <c r="I1" s="1" t="inlineStr">
        <is>
          <t>qty</t>
        </is>
      </c>
      <c r="J1" s="1" t="inlineStr">
        <is>
          <t>unit_price</t>
        </is>
      </c>
      <c r="K1" s="1" t="inlineStr">
        <is>
          <t>works_amount</t>
        </is>
      </c>
      <c r="L1" s="1" t="inlineStr">
        <is>
          <t>materials_amount</t>
        </is>
      </c>
      <c r="M1" s="1" t="inlineStr">
        <is>
          <t>note</t>
        </is>
      </c>
    </row>
    <row r="2">
      <c r="A2" s="2" t="inlineStr">
        <is>
          <t>да</t>
        </is>
      </c>
      <c r="B2" s="2" t="inlineStr">
        <is>
          <t>1</t>
        </is>
      </c>
      <c r="C2" s="3" t="inlineStr">
        <is>
          <t>Подготовительные земельные работы</t>
        </is>
      </c>
      <c r="D2" s="2" t="inlineStr"/>
      <c r="E2" s="2" t="inlineStr">
        <is>
          <t>work</t>
        </is>
      </c>
      <c r="F2" s="2" t="n">
        <v>1</v>
      </c>
      <c r="G2" s="3" t="inlineStr">
        <is>
          <t>Разметка и нивелировка площадей, задание вертикальных уровней и уклона (геодезическая разбивка)</t>
        </is>
      </c>
      <c r="H2" s="2" t="inlineStr">
        <is>
          <t>м.кв.</t>
        </is>
      </c>
      <c r="I2" s="4" t="n">
        <v>2540</v>
      </c>
      <c r="J2" s="4" t="n">
        <v>100</v>
      </c>
      <c r="K2" s="5">
        <f>IF(OR(E2="work",E2="section14_item"),I2*J2,0)</f>
        <v/>
      </c>
      <c r="L2" s="5">
        <f>IF(E2="material",I2*J2,IF(E2="section15_percent",I2/100*(SUMPRODUCT((E$2:E$5000="work")*(B$2:B$5000&lt;&gt;"14")*K$2:K$5000)+SUMPRODUCT((E$2:E$5000="material")*(B$2:B$5000&lt;&gt;"14")*L$2:L$5000)),IF(E2="section15_manual",J2,0)))</f>
        <v/>
      </c>
      <c r="M2" s="3" t="n"/>
    </row>
    <row r="3">
      <c r="A3" s="2" t="inlineStr">
        <is>
          <t>да</t>
        </is>
      </c>
      <c r="B3" s="2" t="inlineStr">
        <is>
          <t>1</t>
        </is>
      </c>
      <c r="C3" s="3" t="inlineStr">
        <is>
          <t>Подготовительные земельные работы</t>
        </is>
      </c>
      <c r="D3" s="2" t="inlineStr"/>
      <c r="E3" s="2" t="inlineStr">
        <is>
          <t>work</t>
        </is>
      </c>
      <c r="F3" s="2" t="n">
        <v>2</v>
      </c>
      <c r="G3" s="3" t="inlineStr">
        <is>
          <t>Выемка и перемещение грунта и щебня существующего основания для устройства мощения</t>
        </is>
      </c>
      <c r="H3" s="2" t="inlineStr">
        <is>
          <t>м.куб.</t>
        </is>
      </c>
      <c r="I3" s="4" t="n">
        <v>110</v>
      </c>
      <c r="J3" s="4" t="n">
        <v>100</v>
      </c>
      <c r="K3" s="5">
        <f>IF(OR(E3="work",E3="section14_item"),I3*J3,0)</f>
        <v/>
      </c>
      <c r="L3" s="5">
        <f>IF(E3="material",I3*J3,IF(E3="section15_percent",I3/100*(SUMPRODUCT((E$2:E$5000="work")*(B$2:B$5000&lt;&gt;"14")*K$2:K$5000)+SUMPRODUCT((E$2:E$5000="material")*(B$2:B$5000&lt;&gt;"14")*L$2:L$5000)),IF(E3="section15_manual",J3,0)))</f>
        <v/>
      </c>
      <c r="M3" s="3" t="n"/>
    </row>
    <row r="4">
      <c r="A4" s="2" t="inlineStr">
        <is>
          <t>да</t>
        </is>
      </c>
      <c r="B4" s="2" t="inlineStr">
        <is>
          <t>1</t>
        </is>
      </c>
      <c r="C4" s="3" t="inlineStr">
        <is>
          <t>Подготовительные земельные работы</t>
        </is>
      </c>
      <c r="D4" s="2" t="inlineStr"/>
      <c r="E4" s="2" t="inlineStr">
        <is>
          <t>work</t>
        </is>
      </c>
      <c r="F4" s="2" t="n">
        <v>3</v>
      </c>
      <c r="G4" s="3" t="inlineStr">
        <is>
          <t>Выемка и перемещение грунта для устройства ливневой и дренажной систем</t>
        </is>
      </c>
      <c r="H4" s="2" t="inlineStr">
        <is>
          <t>м.куб.</t>
        </is>
      </c>
      <c r="I4" s="4" t="n">
        <v>21</v>
      </c>
      <c r="J4" s="4" t="n">
        <v>100</v>
      </c>
      <c r="K4" s="5">
        <f>IF(OR(E4="work",E4="section14_item"),I4*J4,0)</f>
        <v/>
      </c>
      <c r="L4" s="5">
        <f>IF(E4="material",I4*J4,IF(E4="section15_percent",I4/100*(SUMPRODUCT((E$2:E$5000="work")*(B$2:B$5000&lt;&gt;"14")*K$2:K$5000)+SUMPRODUCT((E$2:E$5000="material")*(B$2:B$5000&lt;&gt;"14")*L$2:L$5000)),IF(E4="section15_manual",J4,0)))</f>
        <v/>
      </c>
      <c r="M4" s="3" t="n"/>
    </row>
    <row r="5">
      <c r="A5" s="2" t="inlineStr">
        <is>
          <t>да</t>
        </is>
      </c>
      <c r="B5" s="2" t="inlineStr">
        <is>
          <t>1</t>
        </is>
      </c>
      <c r="C5" s="3" t="inlineStr">
        <is>
          <t>Подготовительные земельные работы</t>
        </is>
      </c>
      <c r="D5" s="2" t="inlineStr"/>
      <c r="E5" s="2" t="inlineStr">
        <is>
          <t>work</t>
        </is>
      </c>
      <c r="F5" s="2" t="n">
        <v>4</v>
      </c>
      <c r="G5" s="3" t="inlineStr">
        <is>
          <t>Обратная засыпка песком после устройства ливневой системы</t>
        </is>
      </c>
      <c r="H5" s="2" t="inlineStr">
        <is>
          <t>м.куб.</t>
        </is>
      </c>
      <c r="I5" s="4" t="n">
        <v>12</v>
      </c>
      <c r="J5" s="4" t="n">
        <v>100</v>
      </c>
      <c r="K5" s="5">
        <f>IF(OR(E5="work",E5="section14_item"),I5*J5,0)</f>
        <v/>
      </c>
      <c r="L5" s="5">
        <f>IF(E5="material",I5*J5,IF(E5="section15_percent",I5/100*(SUMPRODUCT((E$2:E$5000="work")*(B$2:B$5000&lt;&gt;"14")*K$2:K$5000)+SUMPRODUCT((E$2:E$5000="material")*(B$2:B$5000&lt;&gt;"14")*L$2:L$5000)),IF(E5="section15_manual",J5,0)))</f>
        <v/>
      </c>
      <c r="M5" s="3" t="n"/>
    </row>
    <row r="6">
      <c r="A6" s="6" t="inlineStr">
        <is>
          <t>да</t>
        </is>
      </c>
      <c r="B6" s="6" t="inlineStr">
        <is>
          <t>1</t>
        </is>
      </c>
      <c r="C6" s="7" t="inlineStr">
        <is>
          <t>Подготовительные земельные работы</t>
        </is>
      </c>
      <c r="D6" s="6" t="inlineStr"/>
      <c r="E6" s="6" t="inlineStr">
        <is>
          <t>material</t>
        </is>
      </c>
      <c r="F6" s="6" t="n">
        <v>5</v>
      </c>
      <c r="G6" s="7" t="inlineStr">
        <is>
          <t>Песок намывной (самосвал 20м3)</t>
        </is>
      </c>
      <c r="H6" s="6" t="inlineStr">
        <is>
          <t>м.куб.</t>
        </is>
      </c>
      <c r="I6" s="8" t="n">
        <v>13.95348837209302</v>
      </c>
      <c r="J6" s="8" t="n">
        <v>100</v>
      </c>
      <c r="K6" s="9">
        <f>IF(OR(E6="work",E6="section14_item"),I6*J6,0)</f>
        <v/>
      </c>
      <c r="L6" s="9">
        <f>IF(E6="material",I6*J6,IF(E6="section15_percent",I6/100*(SUMPRODUCT((E$2:E$5000="work")*(B$2:B$5000&lt;&gt;"14")*K$2:K$5000)+SUMPRODUCT((E$2:E$5000="material")*(B$2:B$5000&lt;&gt;"14")*L$2:L$5000)),IF(E6="section15_manual",J6,0)))</f>
        <v/>
      </c>
      <c r="M6" s="7" t="inlineStr">
        <is>
          <t>10м3 - 1650р/м3</t>
        </is>
      </c>
    </row>
    <row r="7">
      <c r="A7" s="2" t="inlineStr">
        <is>
          <t>да</t>
        </is>
      </c>
      <c r="B7" s="2" t="inlineStr">
        <is>
          <t>1</t>
        </is>
      </c>
      <c r="C7" s="3" t="inlineStr">
        <is>
          <t>Подготовительные земельные работы</t>
        </is>
      </c>
      <c r="D7" s="2" t="inlineStr"/>
      <c r="E7" s="2" t="inlineStr">
        <is>
          <t>work</t>
        </is>
      </c>
      <c r="F7" s="2" t="n">
        <v>6</v>
      </c>
      <c r="G7" s="3" t="inlineStr">
        <is>
          <t>Разборка существующего покрытия</t>
        </is>
      </c>
      <c r="H7" s="2" t="inlineStr">
        <is>
          <t>м.кв.</t>
        </is>
      </c>
      <c r="I7" s="4" t="n">
        <v>250</v>
      </c>
      <c r="J7" s="4" t="n">
        <v>100</v>
      </c>
      <c r="K7" s="5">
        <f>IF(OR(E7="work",E7="section14_item"),I7*J7,0)</f>
        <v/>
      </c>
      <c r="L7" s="5">
        <f>IF(E7="material",I7*J7,IF(E7="section15_percent",I7/100*(SUMPRODUCT((E$2:E$5000="work")*(B$2:B$5000&lt;&gt;"14")*K$2:K$5000)+SUMPRODUCT((E$2:E$5000="material")*(B$2:B$5000&lt;&gt;"14")*L$2:L$5000)),IF(E7="section15_manual",J7,0)))</f>
        <v/>
      </c>
      <c r="M7" s="3" t="n"/>
    </row>
    <row r="8">
      <c r="A8" s="2" t="inlineStr">
        <is>
          <t>да</t>
        </is>
      </c>
      <c r="B8" s="2" t="inlineStr">
        <is>
          <t>1</t>
        </is>
      </c>
      <c r="C8" s="3" t="inlineStr">
        <is>
          <t>Подготовительные земельные работы</t>
        </is>
      </c>
      <c r="D8" s="2" t="inlineStr"/>
      <c r="E8" s="2" t="inlineStr">
        <is>
          <t>work</t>
        </is>
      </c>
      <c r="F8" s="2" t="n">
        <v>7</v>
      </c>
      <c r="G8" s="3" t="inlineStr">
        <is>
          <t>Погрузка грунта и мусора и вывоз</t>
        </is>
      </c>
      <c r="H8" s="2" t="inlineStr">
        <is>
          <t>м.куб.</t>
        </is>
      </c>
      <c r="I8" s="4" t="n">
        <v>131</v>
      </c>
      <c r="J8" s="4" t="n"/>
      <c r="K8" s="5">
        <f>IF(OR(E8="work",E8="section14_item"),I8*J8,0)</f>
        <v/>
      </c>
      <c r="L8" s="5">
        <f>IF(E8="material",I8*J8,IF(E8="section15_percent",I8/100*(SUMPRODUCT((E$2:E$5000="work")*(B$2:B$5000&lt;&gt;"14")*K$2:K$5000)+SUMPRODUCT((E$2:E$5000="material")*(B$2:B$5000&lt;&gt;"14")*L$2:L$5000)),IF(E8="section15_manual",J8,0)))</f>
        <v/>
      </c>
      <c r="M8" s="3" t="n"/>
    </row>
    <row r="9">
      <c r="A9" s="10" t="inlineStr">
        <is>
          <t>да</t>
        </is>
      </c>
      <c r="B9" s="10" t="inlineStr">
        <is>
          <t>1</t>
        </is>
      </c>
      <c r="C9" s="11" t="inlineStr">
        <is>
          <t>Подготовительные земельные работы</t>
        </is>
      </c>
      <c r="D9" s="10" t="inlineStr"/>
      <c r="E9" s="10" t="inlineStr">
        <is>
          <t>subsection</t>
        </is>
      </c>
      <c r="F9" s="10" t="n">
        <v>8</v>
      </c>
      <c r="G9" s="11" t="inlineStr">
        <is>
          <t>Нижняя зона участка</t>
        </is>
      </c>
      <c r="H9" s="10" t="inlineStr"/>
      <c r="I9" s="12" t="n"/>
      <c r="J9" s="12" t="n"/>
      <c r="K9" s="13">
        <f>IF(OR(E9="work",E9="section14_item"),I9*J9,0)</f>
        <v/>
      </c>
      <c r="L9" s="13">
        <f>IF(E9="material",I9*J9,IF(E9="section15_percent",I9/100*(SUMPRODUCT((E$2:E$5000="work")*(B$2:B$5000&lt;&gt;"14")*K$2:K$5000)+SUMPRODUCT((E$2:E$5000="material")*(B$2:B$5000&lt;&gt;"14")*L$2:L$5000)),IF(E9="section15_manual",J9,0)))</f>
        <v/>
      </c>
      <c r="M9" s="11" t="n"/>
    </row>
    <row r="10">
      <c r="A10" s="2" t="inlineStr">
        <is>
          <t>да</t>
        </is>
      </c>
      <c r="B10" s="2" t="inlineStr">
        <is>
          <t>1</t>
        </is>
      </c>
      <c r="C10" s="3" t="inlineStr">
        <is>
          <t>Подготовительные земельные работы</t>
        </is>
      </c>
      <c r="D10" s="2" t="inlineStr">
        <is>
          <t>Нижняя зона участка</t>
        </is>
      </c>
      <c r="E10" s="2" t="inlineStr">
        <is>
          <t>work</t>
        </is>
      </c>
      <c r="F10" s="2" t="n">
        <v>9</v>
      </c>
      <c r="G10" s="3" t="inlineStr">
        <is>
          <t>Снятие верхнего слоя покрова</t>
        </is>
      </c>
      <c r="H10" s="2" t="inlineStr">
        <is>
          <t>м.кв.</t>
        </is>
      </c>
      <c r="I10" s="4" t="n">
        <v>820</v>
      </c>
      <c r="J10" s="4" t="n">
        <v>100</v>
      </c>
      <c r="K10" s="5">
        <f>IF(OR(E10="work",E10="section14_item"),I10*J10,0)</f>
        <v/>
      </c>
      <c r="L10" s="5">
        <f>IF(E10="material",I10*J10,IF(E10="section15_percent",I10/100*(SUMPRODUCT((E$2:E$5000="work")*(B$2:B$5000&lt;&gt;"14")*K$2:K$5000)+SUMPRODUCT((E$2:E$5000="material")*(B$2:B$5000&lt;&gt;"14")*L$2:L$5000)),IF(E10="section15_manual",J10,0)))</f>
        <v/>
      </c>
      <c r="M10" s="3" t="n"/>
    </row>
    <row r="11">
      <c r="A11" s="2" t="inlineStr">
        <is>
          <t>да</t>
        </is>
      </c>
      <c r="B11" s="2" t="inlineStr">
        <is>
          <t>1</t>
        </is>
      </c>
      <c r="C11" s="3" t="inlineStr">
        <is>
          <t>Подготовительные земельные работы</t>
        </is>
      </c>
      <c r="D11" s="2" t="inlineStr">
        <is>
          <t>Нижняя зона участка</t>
        </is>
      </c>
      <c r="E11" s="2" t="inlineStr">
        <is>
          <t>work</t>
        </is>
      </c>
      <c r="F11" s="2" t="n">
        <v>10</v>
      </c>
      <c r="G11" s="3" t="inlineStr">
        <is>
          <t>Перемещение сыпучих материалов на расстояние до 50м вручную (склон) с коэффициентом сложности</t>
        </is>
      </c>
      <c r="H11" s="2" t="inlineStr">
        <is>
          <t>м.куб.</t>
        </is>
      </c>
      <c r="I11" s="4" t="n">
        <v>25</v>
      </c>
      <c r="J11" s="4" t="n">
        <v>100</v>
      </c>
      <c r="K11" s="5">
        <f>IF(OR(E11="work",E11="section14_item"),I11*J11,0)</f>
        <v/>
      </c>
      <c r="L11" s="5">
        <f>IF(E11="material",I11*J11,IF(E11="section15_percent",I11/100*(SUMPRODUCT((E$2:E$5000="work")*(B$2:B$5000&lt;&gt;"14")*K$2:K$5000)+SUMPRODUCT((E$2:E$5000="material")*(B$2:B$5000&lt;&gt;"14")*L$2:L$5000)),IF(E11="section15_manual",J11,0)))</f>
        <v/>
      </c>
      <c r="M11" s="3" t="n"/>
    </row>
    <row r="12">
      <c r="A12" s="2" t="inlineStr">
        <is>
          <t>да</t>
        </is>
      </c>
      <c r="B12" s="2" t="inlineStr">
        <is>
          <t>1</t>
        </is>
      </c>
      <c r="C12" s="3" t="inlineStr">
        <is>
          <t>Подготовительные земельные работы</t>
        </is>
      </c>
      <c r="D12" s="2" t="inlineStr">
        <is>
          <t>Нижняя зона участка</t>
        </is>
      </c>
      <c r="E12" s="2" t="inlineStr">
        <is>
          <t>work</t>
        </is>
      </c>
      <c r="F12" s="2" t="n">
        <v>11</v>
      </c>
      <c r="G12" s="3" t="inlineStr">
        <is>
          <t>Погрузка грунта и мусора и вывоз</t>
        </is>
      </c>
      <c r="H12" s="2" t="inlineStr">
        <is>
          <t>м.куб.</t>
        </is>
      </c>
      <c r="I12" s="4" t="n">
        <v>82</v>
      </c>
      <c r="J12" s="4" t="n"/>
      <c r="K12" s="5">
        <f>IF(OR(E12="work",E12="section14_item"),I12*J12,0)</f>
        <v/>
      </c>
      <c r="L12" s="5">
        <f>IF(E12="material",I12*J12,IF(E12="section15_percent",I12/100*(SUMPRODUCT((E$2:E$5000="work")*(B$2:B$5000&lt;&gt;"14")*K$2:K$5000)+SUMPRODUCT((E$2:E$5000="material")*(B$2:B$5000&lt;&gt;"14")*L$2:L$5000)),IF(E12="section15_manual",J12,0)))</f>
        <v/>
      </c>
      <c r="M12" s="3" t="n"/>
    </row>
    <row r="13">
      <c r="A13" s="2" t="inlineStr">
        <is>
          <t>да</t>
        </is>
      </c>
      <c r="B13" s="2" t="inlineStr">
        <is>
          <t>1</t>
        </is>
      </c>
      <c r="C13" s="3" t="inlineStr">
        <is>
          <t>Подготовительные земельные работы</t>
        </is>
      </c>
      <c r="D13" s="2" t="inlineStr">
        <is>
          <t>Нижняя зона участка</t>
        </is>
      </c>
      <c r="E13" s="2" t="inlineStr">
        <is>
          <t>work</t>
        </is>
      </c>
      <c r="F13" s="2" t="n">
        <v>12</v>
      </c>
      <c r="G13" s="3" t="inlineStr">
        <is>
          <t>Вертикальная планировка</t>
        </is>
      </c>
      <c r="H13" s="2" t="inlineStr">
        <is>
          <t>м.куб.</t>
        </is>
      </c>
      <c r="I13" s="4" t="n">
        <v>70</v>
      </c>
      <c r="J13" s="4" t="n">
        <v>100</v>
      </c>
      <c r="K13" s="5">
        <f>IF(OR(E13="work",E13="section14_item"),I13*J13,0)</f>
        <v/>
      </c>
      <c r="L13" s="5">
        <f>IF(E13="material",I13*J13,IF(E13="section15_percent",I13/100*(SUMPRODUCT((E$2:E$5000="work")*(B$2:B$5000&lt;&gt;"14")*K$2:K$5000)+SUMPRODUCT((E$2:E$5000="material")*(B$2:B$5000&lt;&gt;"14")*L$2:L$5000)),IF(E13="section15_manual",J13,0)))</f>
        <v/>
      </c>
      <c r="M13" s="3" t="n"/>
    </row>
    <row r="14">
      <c r="A14" s="10" t="inlineStr">
        <is>
          <t>да</t>
        </is>
      </c>
      <c r="B14" s="10" t="inlineStr">
        <is>
          <t>1</t>
        </is>
      </c>
      <c r="C14" s="11" t="inlineStr">
        <is>
          <t>Подготовительные земельные работы</t>
        </is>
      </c>
      <c r="D14" s="10" t="inlineStr"/>
      <c r="E14" s="10" t="inlineStr">
        <is>
          <t>subsection</t>
        </is>
      </c>
      <c r="F14" s="10" t="n">
        <v>13</v>
      </c>
      <c r="G14" s="11" t="inlineStr">
        <is>
          <t>Бассейн</t>
        </is>
      </c>
      <c r="H14" s="10" t="inlineStr"/>
      <c r="I14" s="12" t="n"/>
      <c r="J14" s="12" t="n"/>
      <c r="K14" s="13">
        <f>IF(OR(E14="work",E14="section14_item"),I14*J14,0)</f>
        <v/>
      </c>
      <c r="L14" s="13">
        <f>IF(E14="material",I14*J14,IF(E14="section15_percent",I14/100*(SUMPRODUCT((E$2:E$5000="work")*(B$2:B$5000&lt;&gt;"14")*K$2:K$5000)+SUMPRODUCT((E$2:E$5000="material")*(B$2:B$5000&lt;&gt;"14")*L$2:L$5000)),IF(E14="section15_manual",J14,0)))</f>
        <v/>
      </c>
      <c r="M14" s="11" t="n"/>
    </row>
    <row r="15">
      <c r="A15" s="2" t="inlineStr">
        <is>
          <t>да</t>
        </is>
      </c>
      <c r="B15" s="2" t="inlineStr">
        <is>
          <t>1</t>
        </is>
      </c>
      <c r="C15" s="3" t="inlineStr">
        <is>
          <t>Подготовительные земельные работы</t>
        </is>
      </c>
      <c r="D15" s="2" t="inlineStr">
        <is>
          <t>Бассейн</t>
        </is>
      </c>
      <c r="E15" s="2" t="inlineStr">
        <is>
          <t>work</t>
        </is>
      </c>
      <c r="F15" s="2" t="n">
        <v>14</v>
      </c>
      <c r="G15" s="3" t="inlineStr">
        <is>
          <t>Выемка и перемещение существующего грунта для устройства бассейна</t>
        </is>
      </c>
      <c r="H15" s="2" t="inlineStr">
        <is>
          <t>м.куб.</t>
        </is>
      </c>
      <c r="I15" s="4" t="n">
        <v>210</v>
      </c>
      <c r="J15" s="4" t="n">
        <v>100</v>
      </c>
      <c r="K15" s="5">
        <f>IF(OR(E15="work",E15="section14_item"),I15*J15,0)</f>
        <v/>
      </c>
      <c r="L15" s="5">
        <f>IF(E15="material",I15*J15,IF(E15="section15_percent",I15/100*(SUMPRODUCT((E$2:E$5000="work")*(B$2:B$5000&lt;&gt;"14")*K$2:K$5000)+SUMPRODUCT((E$2:E$5000="material")*(B$2:B$5000&lt;&gt;"14")*L$2:L$5000)),IF(E15="section15_manual",J15,0)))</f>
        <v/>
      </c>
      <c r="M15" s="3" t="n"/>
    </row>
    <row r="16">
      <c r="A16" s="2" t="inlineStr">
        <is>
          <t>да</t>
        </is>
      </c>
      <c r="B16" s="2" t="inlineStr">
        <is>
          <t>1</t>
        </is>
      </c>
      <c r="C16" s="3" t="inlineStr">
        <is>
          <t>Подготовительные земельные работы</t>
        </is>
      </c>
      <c r="D16" s="2" t="inlineStr">
        <is>
          <t>Бассейн</t>
        </is>
      </c>
      <c r="E16" s="2" t="inlineStr">
        <is>
          <t>work</t>
        </is>
      </c>
      <c r="F16" s="2" t="n">
        <v>15</v>
      </c>
      <c r="G16" s="3" t="inlineStr">
        <is>
          <t>Планировка грунта по склону</t>
        </is>
      </c>
      <c r="H16" s="2" t="inlineStr">
        <is>
          <t>м.куб.</t>
        </is>
      </c>
      <c r="I16" s="4" t="n">
        <v>210</v>
      </c>
      <c r="J16" s="4" t="n">
        <v>100</v>
      </c>
      <c r="K16" s="5">
        <f>IF(OR(E16="work",E16="section14_item"),I16*J16,0)</f>
        <v/>
      </c>
      <c r="L16" s="5">
        <f>IF(E16="material",I16*J16,IF(E16="section15_percent",I16/100*(SUMPRODUCT((E$2:E$5000="work")*(B$2:B$5000&lt;&gt;"14")*K$2:K$5000)+SUMPRODUCT((E$2:E$5000="material")*(B$2:B$5000&lt;&gt;"14")*L$2:L$5000)),IF(E16="section15_manual",J16,0)))</f>
        <v/>
      </c>
      <c r="M16" s="3" t="n"/>
    </row>
    <row r="17">
      <c r="A17" s="2" t="inlineStr">
        <is>
          <t>да</t>
        </is>
      </c>
      <c r="B17" s="2" t="inlineStr">
        <is>
          <t>1</t>
        </is>
      </c>
      <c r="C17" s="3" t="inlineStr">
        <is>
          <t>Подготовительные земельные работы</t>
        </is>
      </c>
      <c r="D17" s="2" t="inlineStr">
        <is>
          <t>Бассейн</t>
        </is>
      </c>
      <c r="E17" s="2" t="inlineStr">
        <is>
          <t>work</t>
        </is>
      </c>
      <c r="F17" s="2" t="n">
        <v>16</v>
      </c>
      <c r="G17" s="3" t="inlineStr">
        <is>
          <t>Обратная засыпка песком после устройства ж/б конструкций</t>
        </is>
      </c>
      <c r="H17" s="2" t="inlineStr">
        <is>
          <t>м.куб.</t>
        </is>
      </c>
      <c r="I17" s="4" t="n">
        <v>12</v>
      </c>
      <c r="J17" s="4" t="n">
        <v>100</v>
      </c>
      <c r="K17" s="5">
        <f>IF(OR(E17="work",E17="section14_item"),I17*J17,0)</f>
        <v/>
      </c>
      <c r="L17" s="5">
        <f>IF(E17="material",I17*J17,IF(E17="section15_percent",I17/100*(SUMPRODUCT((E$2:E$5000="work")*(B$2:B$5000&lt;&gt;"14")*K$2:K$5000)+SUMPRODUCT((E$2:E$5000="material")*(B$2:B$5000&lt;&gt;"14")*L$2:L$5000)),IF(E17="section15_manual",J17,0)))</f>
        <v/>
      </c>
      <c r="M17" s="3" t="n"/>
    </row>
    <row r="18">
      <c r="A18" s="6" t="inlineStr">
        <is>
          <t>да</t>
        </is>
      </c>
      <c r="B18" s="6" t="inlineStr">
        <is>
          <t>1</t>
        </is>
      </c>
      <c r="C18" s="7" t="inlineStr">
        <is>
          <t>Подготовительные земельные работы</t>
        </is>
      </c>
      <c r="D18" s="6" t="inlineStr">
        <is>
          <t>Бассейн</t>
        </is>
      </c>
      <c r="E18" s="6" t="inlineStr">
        <is>
          <t>material</t>
        </is>
      </c>
      <c r="F18" s="6" t="n">
        <v>17</v>
      </c>
      <c r="G18" s="7" t="inlineStr">
        <is>
          <t>Песок намывной (самосвал 20м3)</t>
        </is>
      </c>
      <c r="H18" s="6" t="inlineStr">
        <is>
          <t>м.куб.</t>
        </is>
      </c>
      <c r="I18" s="8" t="n">
        <v>13.95348837209302</v>
      </c>
      <c r="J18" s="8" t="n">
        <v>100</v>
      </c>
      <c r="K18" s="9">
        <f>IF(OR(E18="work",E18="section14_item"),I18*J18,0)</f>
        <v/>
      </c>
      <c r="L18" s="9">
        <f>IF(E18="material",I18*J18,IF(E18="section15_percent",I18/100*(SUMPRODUCT((E$2:E$5000="work")*(B$2:B$5000&lt;&gt;"14")*K$2:K$5000)+SUMPRODUCT((E$2:E$5000="material")*(B$2:B$5000&lt;&gt;"14")*L$2:L$5000)),IF(E18="section15_manual",J18,0)))</f>
        <v/>
      </c>
      <c r="M18" s="7" t="inlineStr">
        <is>
          <t>10м3 - 1650р/м3</t>
        </is>
      </c>
    </row>
    <row r="19">
      <c r="A19" s="6" t="inlineStr">
        <is>
          <t>да</t>
        </is>
      </c>
      <c r="B19" s="6" t="inlineStr">
        <is>
          <t>1</t>
        </is>
      </c>
      <c r="C19" s="7" t="inlineStr">
        <is>
          <t>Подготовительные земельные работы</t>
        </is>
      </c>
      <c r="D19" s="6" t="inlineStr">
        <is>
          <t>Бассейн</t>
        </is>
      </c>
      <c r="E19" s="6" t="inlineStr">
        <is>
          <t>material</t>
        </is>
      </c>
      <c r="F19" s="6" t="n">
        <v>18</v>
      </c>
      <c r="G19" s="7" t="inlineStr">
        <is>
          <t>Грунт от выемки под автомобильное мощение</t>
        </is>
      </c>
      <c r="H19" s="6" t="inlineStr">
        <is>
          <t>м.куб.</t>
        </is>
      </c>
      <c r="I19" s="8" t="n">
        <v>16.22498647917794</v>
      </c>
      <c r="J19" s="8" t="n">
        <v>100</v>
      </c>
      <c r="K19" s="9">
        <f>IF(OR(E19="work",E19="section14_item"),I19*J19,0)</f>
        <v/>
      </c>
      <c r="L19" s="9">
        <f>IF(E19="material",I19*J19,IF(E19="section15_percent",I19/100*(SUMPRODUCT((E$2:E$5000="work")*(B$2:B$5000&lt;&gt;"14")*K$2:K$5000)+SUMPRODUCT((E$2:E$5000="material")*(B$2:B$5000&lt;&gt;"14")*L$2:L$5000)),IF(E19="section15_manual",J19,0)))</f>
        <v/>
      </c>
      <c r="M19" s="7" t="n"/>
    </row>
    <row r="20">
      <c r="A20" s="2" t="inlineStr">
        <is>
          <t>да</t>
        </is>
      </c>
      <c r="B20" s="2" t="inlineStr">
        <is>
          <t>1</t>
        </is>
      </c>
      <c r="C20" s="3" t="inlineStr">
        <is>
          <t>Подготовительные земельные работы</t>
        </is>
      </c>
      <c r="D20" s="2" t="inlineStr">
        <is>
          <t>Бассейн</t>
        </is>
      </c>
      <c r="E20" s="2" t="inlineStr">
        <is>
          <t>work</t>
        </is>
      </c>
      <c r="F20" s="2" t="n">
        <v>19</v>
      </c>
      <c r="G20" s="3" t="inlineStr">
        <is>
          <t>Перемещение сыпучих материалов на расстояние до 50м вручную (склон) с коэффициентом сложности</t>
        </is>
      </c>
      <c r="H20" s="2" t="inlineStr">
        <is>
          <t>м.куб.</t>
        </is>
      </c>
      <c r="I20" s="4" t="n">
        <v>25</v>
      </c>
      <c r="J20" s="4" t="n">
        <v>100</v>
      </c>
      <c r="K20" s="5">
        <f>IF(OR(E20="work",E20="section14_item"),I20*J20,0)</f>
        <v/>
      </c>
      <c r="L20" s="5">
        <f>IF(E20="material",I20*J20,IF(E20="section15_percent",I20/100*(SUMPRODUCT((E$2:E$5000="work")*(B$2:B$5000&lt;&gt;"14")*K$2:K$5000)+SUMPRODUCT((E$2:E$5000="material")*(B$2:B$5000&lt;&gt;"14")*L$2:L$5000)),IF(E20="section15_manual",J20,0)))</f>
        <v/>
      </c>
      <c r="M20" s="3" t="n"/>
    </row>
    <row r="21">
      <c r="A21" s="2" t="inlineStr">
        <is>
          <t>да</t>
        </is>
      </c>
      <c r="B21" s="2" t="inlineStr">
        <is>
          <t>2</t>
        </is>
      </c>
      <c r="C21" s="3" t="inlineStr">
        <is>
          <t>Дренажная и ливневая системы.</t>
        </is>
      </c>
      <c r="D21" s="2" t="inlineStr"/>
      <c r="E21" s="2" t="inlineStr">
        <is>
          <t>work</t>
        </is>
      </c>
      <c r="F21" s="2" t="n">
        <v>20</v>
      </c>
      <c r="G21" s="3" t="inlineStr">
        <is>
          <t>Монтаж водоприемных колодцев 630мм с выемкой</t>
        </is>
      </c>
      <c r="H21" s="2" t="inlineStr">
        <is>
          <t>шт.</t>
        </is>
      </c>
      <c r="I21" s="4" t="n">
        <v>1</v>
      </c>
      <c r="J21" s="4" t="n">
        <v>100</v>
      </c>
      <c r="K21" s="5">
        <f>IF(OR(E21="work",E21="section14_item"),I21*J21,0)</f>
        <v/>
      </c>
      <c r="L21" s="5">
        <f>IF(E21="material",I21*J21,IF(E21="section15_percent",I21/100*(SUMPRODUCT((E$2:E$5000="work")*(B$2:B$5000&lt;&gt;"14")*K$2:K$5000)+SUMPRODUCT((E$2:E$5000="material")*(B$2:B$5000&lt;&gt;"14")*L$2:L$5000)),IF(E21="section15_manual",J21,0)))</f>
        <v/>
      </c>
      <c r="M21" s="3" t="n"/>
    </row>
    <row r="22">
      <c r="A22" s="6" t="inlineStr">
        <is>
          <t>да</t>
        </is>
      </c>
      <c r="B22" s="6" t="inlineStr">
        <is>
          <t>2</t>
        </is>
      </c>
      <c r="C22" s="7" t="inlineStr">
        <is>
          <t>Дренажная и ливневая системы.</t>
        </is>
      </c>
      <c r="D22" s="6" t="inlineStr"/>
      <c r="E22" s="6" t="inlineStr">
        <is>
          <t>material</t>
        </is>
      </c>
      <c r="F22" s="6" t="n">
        <v>21</v>
      </c>
      <c r="G22" s="7" t="inlineStr">
        <is>
          <t>Колодец фильтрационный конический 600мм h=2м с крышкой</t>
        </is>
      </c>
      <c r="H22" s="6" t="inlineStr">
        <is>
          <t>шт.</t>
        </is>
      </c>
      <c r="I22" s="8" t="n">
        <v>1</v>
      </c>
      <c r="J22" s="8" t="n">
        <v>100</v>
      </c>
      <c r="K22" s="9">
        <f>IF(OR(E22="work",E22="section14_item"),I22*J22,0)</f>
        <v/>
      </c>
      <c r="L22" s="9">
        <f>IF(E22="material",I22*J22,IF(E22="section15_percent",I22/100*(SUMPRODUCT((E$2:E$5000="work")*(B$2:B$5000&lt;&gt;"14")*K$2:K$5000)+SUMPRODUCT((E$2:E$5000="material")*(B$2:B$5000&lt;&gt;"14")*L$2:L$5000)),IF(E22="section15_manual",J22,0)))</f>
        <v/>
      </c>
      <c r="M22" s="7" t="n"/>
    </row>
    <row r="23">
      <c r="A23" s="6" t="inlineStr">
        <is>
          <t>да</t>
        </is>
      </c>
      <c r="B23" s="6" t="inlineStr">
        <is>
          <t>2</t>
        </is>
      </c>
      <c r="C23" s="7" t="inlineStr">
        <is>
          <t>Дренажная и ливневая системы.</t>
        </is>
      </c>
      <c r="D23" s="6" t="inlineStr"/>
      <c r="E23" s="6" t="inlineStr">
        <is>
          <t>material</t>
        </is>
      </c>
      <c r="F23" s="6" t="n">
        <v>22</v>
      </c>
      <c r="G23" s="7" t="inlineStr">
        <is>
          <t>Щебень гранитный фр.20-40мм (самосвал 20м3)</t>
        </is>
      </c>
      <c r="H23" s="6" t="inlineStr">
        <is>
          <t>м.куб.</t>
        </is>
      </c>
      <c r="I23" s="8" t="n">
        <v>0.5</v>
      </c>
      <c r="J23" s="8" t="n">
        <v>100</v>
      </c>
      <c r="K23" s="9">
        <f>IF(OR(E23="work",E23="section14_item"),I23*J23,0)</f>
        <v/>
      </c>
      <c r="L23" s="9">
        <f>IF(E23="material",I23*J23,IF(E23="section15_percent",I23/100*(SUMPRODUCT((E$2:E$5000="work")*(B$2:B$5000&lt;&gt;"14")*K$2:K$5000)+SUMPRODUCT((E$2:E$5000="material")*(B$2:B$5000&lt;&gt;"14")*L$2:L$5000)),IF(E23="section15_manual",J23,0)))</f>
        <v/>
      </c>
      <c r="M23" s="7" t="n"/>
    </row>
    <row r="24">
      <c r="A24" s="6" t="inlineStr">
        <is>
          <t>да</t>
        </is>
      </c>
      <c r="B24" s="6" t="inlineStr">
        <is>
          <t>2</t>
        </is>
      </c>
      <c r="C24" s="7" t="inlineStr">
        <is>
          <t>Дренажная и ливневая системы.</t>
        </is>
      </c>
      <c r="D24" s="6" t="inlineStr"/>
      <c r="E24" s="6" t="inlineStr">
        <is>
          <t>material</t>
        </is>
      </c>
      <c r="F24" s="6" t="n">
        <v>23</v>
      </c>
      <c r="G24" s="7" t="inlineStr">
        <is>
          <t>Геотекстиль плотность 200г/м2</t>
        </is>
      </c>
      <c r="H24" s="6" t="inlineStr">
        <is>
          <t>м.кв.</t>
        </is>
      </c>
      <c r="I24" s="8" t="n">
        <v>25</v>
      </c>
      <c r="J24" s="8" t="n">
        <v>100</v>
      </c>
      <c r="K24" s="9">
        <f>IF(OR(E24="work",E24="section14_item"),I24*J24,0)</f>
        <v/>
      </c>
      <c r="L24" s="9">
        <f>IF(E24="material",I24*J24,IF(E24="section15_percent",I24/100*(SUMPRODUCT((E$2:E$5000="work")*(B$2:B$5000&lt;&gt;"14")*K$2:K$5000)+SUMPRODUCT((E$2:E$5000="material")*(B$2:B$5000&lt;&gt;"14")*L$2:L$5000)),IF(E24="section15_manual",J24,0)))</f>
        <v/>
      </c>
      <c r="M24" s="7" t="n"/>
    </row>
    <row r="25">
      <c r="A25" s="2" t="inlineStr">
        <is>
          <t>да</t>
        </is>
      </c>
      <c r="B25" s="2" t="inlineStr">
        <is>
          <t>2</t>
        </is>
      </c>
      <c r="C25" s="3" t="inlineStr">
        <is>
          <t>Дренажная и ливневая системы.</t>
        </is>
      </c>
      <c r="D25" s="2" t="inlineStr"/>
      <c r="E25" s="2" t="inlineStr">
        <is>
          <t>work</t>
        </is>
      </c>
      <c r="F25" s="2" t="n">
        <v>24</v>
      </c>
      <c r="G25" s="3" t="inlineStr">
        <is>
          <t>Устройство врезок в существующий колодец</t>
        </is>
      </c>
      <c r="H25" s="2" t="inlineStr">
        <is>
          <t>шт.</t>
        </is>
      </c>
      <c r="I25" s="4" t="n">
        <v>3</v>
      </c>
      <c r="J25" s="4" t="n">
        <v>100</v>
      </c>
      <c r="K25" s="5">
        <f>IF(OR(E25="work",E25="section14_item"),I25*J25,0)</f>
        <v/>
      </c>
      <c r="L25" s="5">
        <f>IF(E25="material",I25*J25,IF(E25="section15_percent",I25/100*(SUMPRODUCT((E$2:E$5000="work")*(B$2:B$5000&lt;&gt;"14")*K$2:K$5000)+SUMPRODUCT((E$2:E$5000="material")*(B$2:B$5000&lt;&gt;"14")*L$2:L$5000)),IF(E25="section15_manual",J25,0)))</f>
        <v/>
      </c>
      <c r="M25" s="3" t="n"/>
    </row>
    <row r="26">
      <c r="A26" s="2" t="inlineStr">
        <is>
          <t>да</t>
        </is>
      </c>
      <c r="B26" s="2" t="inlineStr">
        <is>
          <t>2</t>
        </is>
      </c>
      <c r="C26" s="3" t="inlineStr">
        <is>
          <t>Дренажная и ливневая системы.</t>
        </is>
      </c>
      <c r="D26" s="2" t="inlineStr"/>
      <c r="E26" s="2" t="inlineStr">
        <is>
          <t>work</t>
        </is>
      </c>
      <c r="F26" s="2" t="n">
        <v>25</v>
      </c>
      <c r="G26" s="3" t="inlineStr">
        <is>
          <t>Монтаж колодцев инспекционных 315мм</t>
        </is>
      </c>
      <c r="H26" s="2" t="inlineStr">
        <is>
          <t>шт.</t>
        </is>
      </c>
      <c r="I26" s="4" t="n">
        <v>1</v>
      </c>
      <c r="J26" s="4" t="n">
        <v>100</v>
      </c>
      <c r="K26" s="5">
        <f>IF(OR(E26="work",E26="section14_item"),I26*J26,0)</f>
        <v/>
      </c>
      <c r="L26" s="5">
        <f>IF(E26="material",I26*J26,IF(E26="section15_percent",I26/100*(SUMPRODUCT((E$2:E$5000="work")*(B$2:B$5000&lt;&gt;"14")*K$2:K$5000)+SUMPRODUCT((E$2:E$5000="material")*(B$2:B$5000&lt;&gt;"14")*L$2:L$5000)),IF(E26="section15_manual",J26,0)))</f>
        <v/>
      </c>
      <c r="M26" s="3" t="n"/>
    </row>
    <row r="27">
      <c r="A27" s="6" t="inlineStr">
        <is>
          <t>да</t>
        </is>
      </c>
      <c r="B27" s="6" t="inlineStr">
        <is>
          <t>2</t>
        </is>
      </c>
      <c r="C27" s="7" t="inlineStr">
        <is>
          <t>Дренажная и ливневая системы.</t>
        </is>
      </c>
      <c r="D27" s="6" t="inlineStr"/>
      <c r="E27" s="6" t="inlineStr">
        <is>
          <t>material</t>
        </is>
      </c>
      <c r="F27" s="6" t="n">
        <v>26</v>
      </c>
      <c r="G27" s="7" t="inlineStr">
        <is>
          <t>Колодец инспекционный 315мм h=2м с крышкой и дном</t>
        </is>
      </c>
      <c r="H27" s="6" t="inlineStr">
        <is>
          <t>шт.</t>
        </is>
      </c>
      <c r="I27" s="8" t="n">
        <v>1</v>
      </c>
      <c r="J27" s="8" t="n">
        <v>100</v>
      </c>
      <c r="K27" s="9">
        <f>IF(OR(E27="work",E27="section14_item"),I27*J27,0)</f>
        <v/>
      </c>
      <c r="L27" s="9">
        <f>IF(E27="material",I27*J27,IF(E27="section15_percent",I27/100*(SUMPRODUCT((E$2:E$5000="work")*(B$2:B$5000&lt;&gt;"14")*K$2:K$5000)+SUMPRODUCT((E$2:E$5000="material")*(B$2:B$5000&lt;&gt;"14")*L$2:L$5000)),IF(E27="section15_manual",J27,0)))</f>
        <v/>
      </c>
      <c r="M27" s="7" t="n"/>
    </row>
    <row r="28">
      <c r="A28" s="2" t="inlineStr">
        <is>
          <t>да</t>
        </is>
      </c>
      <c r="B28" s="2" t="inlineStr">
        <is>
          <t>2</t>
        </is>
      </c>
      <c r="C28" s="3" t="inlineStr">
        <is>
          <t>Дренажная и ливневая системы.</t>
        </is>
      </c>
      <c r="D28" s="2" t="inlineStr"/>
      <c r="E28" s="2" t="inlineStr">
        <is>
          <t>work</t>
        </is>
      </c>
      <c r="F28" s="2" t="n">
        <v>27</v>
      </c>
      <c r="G28" s="3" t="inlineStr">
        <is>
          <t>Устройство дренажной системы с обратной засыпкой (глубина до 700мм)</t>
        </is>
      </c>
      <c r="H28" s="2" t="inlineStr">
        <is>
          <t>м.п.</t>
        </is>
      </c>
      <c r="I28" s="4" t="n">
        <v>42.3</v>
      </c>
      <c r="J28" s="4" t="n">
        <v>100</v>
      </c>
      <c r="K28" s="5">
        <f>IF(OR(E28="work",E28="section14_item"),I28*J28,0)</f>
        <v/>
      </c>
      <c r="L28" s="5">
        <f>IF(E28="material",I28*J28,IF(E28="section15_percent",I28/100*(SUMPRODUCT((E$2:E$5000="work")*(B$2:B$5000&lt;&gt;"14")*K$2:K$5000)+SUMPRODUCT((E$2:E$5000="material")*(B$2:B$5000&lt;&gt;"14")*L$2:L$5000)),IF(E28="section15_manual",J28,0)))</f>
        <v/>
      </c>
      <c r="M28" s="3" t="n"/>
    </row>
    <row r="29">
      <c r="A29" s="6" t="inlineStr">
        <is>
          <t>да</t>
        </is>
      </c>
      <c r="B29" s="6" t="inlineStr">
        <is>
          <t>2</t>
        </is>
      </c>
      <c r="C29" s="7" t="inlineStr">
        <is>
          <t>Дренажная и ливневая системы.</t>
        </is>
      </c>
      <c r="D29" s="6" t="inlineStr"/>
      <c r="E29" s="6" t="inlineStr">
        <is>
          <t>material</t>
        </is>
      </c>
      <c r="F29" s="6" t="n">
        <v>28</v>
      </c>
      <c r="G29" s="7" t="inlineStr">
        <is>
          <t>Геотекстиль плотность 200г/м2</t>
        </is>
      </c>
      <c r="H29" s="6" t="inlineStr">
        <is>
          <t>м.кв.</t>
        </is>
      </c>
      <c r="I29" s="8" t="n">
        <v>25</v>
      </c>
      <c r="J29" s="8" t="n">
        <v>100</v>
      </c>
      <c r="K29" s="9">
        <f>IF(OR(E29="work",E29="section14_item"),I29*J29,0)</f>
        <v/>
      </c>
      <c r="L29" s="9">
        <f>IF(E29="material",I29*J29,IF(E29="section15_percent",I29/100*(SUMPRODUCT((E$2:E$5000="work")*(B$2:B$5000&lt;&gt;"14")*K$2:K$5000)+SUMPRODUCT((E$2:E$5000="material")*(B$2:B$5000&lt;&gt;"14")*L$2:L$5000)),IF(E29="section15_manual",J29,0)))</f>
        <v/>
      </c>
      <c r="M29" s="7" t="n"/>
    </row>
    <row r="30">
      <c r="A30" s="6" t="inlineStr">
        <is>
          <t>да</t>
        </is>
      </c>
      <c r="B30" s="6" t="inlineStr">
        <is>
          <t>2</t>
        </is>
      </c>
      <c r="C30" s="7" t="inlineStr">
        <is>
          <t>Дренажная и ливневая системы.</t>
        </is>
      </c>
      <c r="D30" s="6" t="inlineStr"/>
      <c r="E30" s="6" t="inlineStr">
        <is>
          <t>material</t>
        </is>
      </c>
      <c r="F30" s="6" t="n">
        <v>29</v>
      </c>
      <c r="G30" s="7" t="inlineStr">
        <is>
          <t>Труба дренажная 110мм перфорир. в фильтре (бухта 50м)</t>
        </is>
      </c>
      <c r="H30" s="6" t="inlineStr">
        <is>
          <t>бухта</t>
        </is>
      </c>
      <c r="I30" s="8" t="n">
        <v>4</v>
      </c>
      <c r="J30" s="8" t="n">
        <v>100</v>
      </c>
      <c r="K30" s="9">
        <f>IF(OR(E30="work",E30="section14_item"),I30*J30,0)</f>
        <v/>
      </c>
      <c r="L30" s="9">
        <f>IF(E30="material",I30*J30,IF(E30="section15_percent",I30/100*(SUMPRODUCT((E$2:E$5000="work")*(B$2:B$5000&lt;&gt;"14")*K$2:K$5000)+SUMPRODUCT((E$2:E$5000="material")*(B$2:B$5000&lt;&gt;"14")*L$2:L$5000)),IF(E30="section15_manual",J30,0)))</f>
        <v/>
      </c>
      <c r="M30" s="7" t="n"/>
    </row>
    <row r="31">
      <c r="A31" s="6" t="inlineStr">
        <is>
          <t>да</t>
        </is>
      </c>
      <c r="B31" s="6" t="inlineStr">
        <is>
          <t>2</t>
        </is>
      </c>
      <c r="C31" s="7" t="inlineStr">
        <is>
          <t>Дренажная и ливневая системы.</t>
        </is>
      </c>
      <c r="D31" s="6" t="inlineStr"/>
      <c r="E31" s="6" t="inlineStr">
        <is>
          <t>material</t>
        </is>
      </c>
      <c r="F31" s="6" t="n">
        <v>30</v>
      </c>
      <c r="G31" s="7" t="inlineStr">
        <is>
          <t>Щебень гранитный фр.20-40мм (самосвал 20м3)</t>
        </is>
      </c>
      <c r="H31" s="6" t="inlineStr">
        <is>
          <t>м.куб.</t>
        </is>
      </c>
      <c r="I31" s="8" t="n">
        <v>7</v>
      </c>
      <c r="J31" s="8" t="n">
        <v>100</v>
      </c>
      <c r="K31" s="9">
        <f>IF(OR(E31="work",E31="section14_item"),I31*J31,0)</f>
        <v/>
      </c>
      <c r="L31" s="9">
        <f>IF(E31="material",I31*J31,IF(E31="section15_percent",I31/100*(SUMPRODUCT((E$2:E$5000="work")*(B$2:B$5000&lt;&gt;"14")*K$2:K$5000)+SUMPRODUCT((E$2:E$5000="material")*(B$2:B$5000&lt;&gt;"14")*L$2:L$5000)),IF(E31="section15_manual",J31,0)))</f>
        <v/>
      </c>
      <c r="M31" s="7" t="n"/>
    </row>
    <row r="32">
      <c r="A32" s="6" t="inlineStr">
        <is>
          <t>да</t>
        </is>
      </c>
      <c r="B32" s="6" t="inlineStr">
        <is>
          <t>2</t>
        </is>
      </c>
      <c r="C32" s="7" t="inlineStr">
        <is>
          <t>Дренажная и ливневая системы.</t>
        </is>
      </c>
      <c r="D32" s="6" t="inlineStr"/>
      <c r="E32" s="6" t="inlineStr">
        <is>
          <t>material</t>
        </is>
      </c>
      <c r="F32" s="6" t="n">
        <v>31</v>
      </c>
      <c r="G32" s="7" t="inlineStr">
        <is>
          <t>Песок намывной (самосвал 20м3)</t>
        </is>
      </c>
      <c r="H32" s="6" t="inlineStr">
        <is>
          <t>м.куб.</t>
        </is>
      </c>
      <c r="I32" s="8" t="n">
        <v>7</v>
      </c>
      <c r="J32" s="8" t="n">
        <v>100</v>
      </c>
      <c r="K32" s="9">
        <f>IF(OR(E32="work",E32="section14_item"),I32*J32,0)</f>
        <v/>
      </c>
      <c r="L32" s="9">
        <f>IF(E32="material",I32*J32,IF(E32="section15_percent",I32/100*(SUMPRODUCT((E$2:E$5000="work")*(B$2:B$5000&lt;&gt;"14")*K$2:K$5000)+SUMPRODUCT((E$2:E$5000="material")*(B$2:B$5000&lt;&gt;"14")*L$2:L$5000)),IF(E32="section15_manual",J32,0)))</f>
        <v/>
      </c>
      <c r="M32" s="7" t="n"/>
    </row>
    <row r="33">
      <c r="A33" s="2" t="inlineStr">
        <is>
          <t>да</t>
        </is>
      </c>
      <c r="B33" s="2" t="inlineStr">
        <is>
          <t>2</t>
        </is>
      </c>
      <c r="C33" s="3" t="inlineStr">
        <is>
          <t>Дренажная и ливневая системы.</t>
        </is>
      </c>
      <c r="D33" s="2" t="inlineStr"/>
      <c r="E33" s="2" t="inlineStr">
        <is>
          <t>work</t>
        </is>
      </c>
      <c r="F33" s="2" t="n">
        <v>32</v>
      </c>
      <c r="G33" s="3" t="inlineStr">
        <is>
          <t>Устройство ливневой системы (монтаж трубы 110мм с уклоном, монтаж соединений, врезка в инспекционные колодцы)</t>
        </is>
      </c>
      <c r="H33" s="2" t="inlineStr">
        <is>
          <t>м.п.</t>
        </is>
      </c>
      <c r="I33" s="4" t="n">
        <v>36.5</v>
      </c>
      <c r="J33" s="4" t="n">
        <v>100</v>
      </c>
      <c r="K33" s="5">
        <f>IF(OR(E33="work",E33="section14_item"),I33*J33,0)</f>
        <v/>
      </c>
      <c r="L33" s="5">
        <f>IF(E33="material",I33*J33,IF(E33="section15_percent",I33/100*(SUMPRODUCT((E$2:E$5000="work")*(B$2:B$5000&lt;&gt;"14")*K$2:K$5000)+SUMPRODUCT((E$2:E$5000="material")*(B$2:B$5000&lt;&gt;"14")*L$2:L$5000)),IF(E33="section15_manual",J33,0)))</f>
        <v/>
      </c>
      <c r="M33" s="3" t="n"/>
    </row>
    <row r="34">
      <c r="A34" s="6" t="inlineStr">
        <is>
          <t>да</t>
        </is>
      </c>
      <c r="B34" s="6" t="inlineStr">
        <is>
          <t>2</t>
        </is>
      </c>
      <c r="C34" s="7" t="inlineStr">
        <is>
          <t>Дренажная и ливневая системы.</t>
        </is>
      </c>
      <c r="D34" s="6" t="inlineStr"/>
      <c r="E34" s="6" t="inlineStr">
        <is>
          <t>material</t>
        </is>
      </c>
      <c r="F34" s="6" t="n">
        <v>33</v>
      </c>
      <c r="G34" s="7" t="inlineStr">
        <is>
          <t>Труба двустенная гофрированная d=110мм SN4</t>
        </is>
      </c>
      <c r="H34" s="6" t="inlineStr">
        <is>
          <t>м.п.</t>
        </is>
      </c>
      <c r="I34" s="8" t="n">
        <v>40.15</v>
      </c>
      <c r="J34" s="8" t="n">
        <v>100</v>
      </c>
      <c r="K34" s="9">
        <f>IF(OR(E34="work",E34="section14_item"),I34*J34,0)</f>
        <v/>
      </c>
      <c r="L34" s="9">
        <f>IF(E34="material",I34*J34,IF(E34="section15_percent",I34/100*(SUMPRODUCT((E$2:E$5000="work")*(B$2:B$5000&lt;&gt;"14")*K$2:K$5000)+SUMPRODUCT((E$2:E$5000="material")*(B$2:B$5000&lt;&gt;"14")*L$2:L$5000)),IF(E34="section15_manual",J34,0)))</f>
        <v/>
      </c>
      <c r="M34" s="7" t="n"/>
    </row>
    <row r="35">
      <c r="A35" s="6" t="inlineStr">
        <is>
          <t>да</t>
        </is>
      </c>
      <c r="B35" s="6" t="inlineStr">
        <is>
          <t>2</t>
        </is>
      </c>
      <c r="C35" s="7" t="inlineStr">
        <is>
          <t>Дренажная и ливневая системы.</t>
        </is>
      </c>
      <c r="D35" s="6" t="inlineStr"/>
      <c r="E35" s="6" t="inlineStr">
        <is>
          <t>material</t>
        </is>
      </c>
      <c r="F35" s="6" t="n">
        <v>34</v>
      </c>
      <c r="G35" s="7" t="inlineStr">
        <is>
          <t>Фасонные элементы - тройники, соединения, заглушки</t>
        </is>
      </c>
      <c r="H35" s="6" t="inlineStr">
        <is>
          <t>м.п.</t>
        </is>
      </c>
      <c r="I35" s="8" t="n">
        <v>40.15</v>
      </c>
      <c r="J35" s="8" t="n">
        <v>100</v>
      </c>
      <c r="K35" s="9">
        <f>IF(OR(E35="work",E35="section14_item"),I35*J35,0)</f>
        <v/>
      </c>
      <c r="L35" s="9">
        <f>IF(E35="material",I35*J35,IF(E35="section15_percent",I35/100*(SUMPRODUCT((E$2:E$5000="work")*(B$2:B$5000&lt;&gt;"14")*K$2:K$5000)+SUMPRODUCT((E$2:E$5000="material")*(B$2:B$5000&lt;&gt;"14")*L$2:L$5000)),IF(E35="section15_manual",J35,0)))</f>
        <v/>
      </c>
      <c r="M35" s="7" t="n"/>
    </row>
    <row r="36">
      <c r="A36" s="2" t="inlineStr">
        <is>
          <t>да</t>
        </is>
      </c>
      <c r="B36" s="2" t="inlineStr">
        <is>
          <t>2</t>
        </is>
      </c>
      <c r="C36" s="3" t="inlineStr">
        <is>
          <t>Дренажная и ливневая системы.</t>
        </is>
      </c>
      <c r="D36" s="2" t="inlineStr"/>
      <c r="E36" s="2" t="inlineStr">
        <is>
          <t>work</t>
        </is>
      </c>
      <c r="F36" s="2" t="n">
        <v>35</v>
      </c>
      <c r="G36" s="3" t="inlineStr">
        <is>
          <t>Демонтаж дождеприемников</t>
        </is>
      </c>
      <c r="H36" s="2" t="inlineStr">
        <is>
          <t>шт.</t>
        </is>
      </c>
      <c r="I36" s="4" t="n">
        <v>13</v>
      </c>
      <c r="J36" s="4" t="n">
        <v>100</v>
      </c>
      <c r="K36" s="5">
        <f>IF(OR(E36="work",E36="section14_item"),I36*J36,0)</f>
        <v/>
      </c>
      <c r="L36" s="5">
        <f>IF(E36="material",I36*J36,IF(E36="section15_percent",I36/100*(SUMPRODUCT((E$2:E$5000="work")*(B$2:B$5000&lt;&gt;"14")*K$2:K$5000)+SUMPRODUCT((E$2:E$5000="material")*(B$2:B$5000&lt;&gt;"14")*L$2:L$5000)),IF(E36="section15_manual",J36,0)))</f>
        <v/>
      </c>
      <c r="M36" s="3" t="n"/>
    </row>
    <row r="37">
      <c r="A37" s="2" t="inlineStr">
        <is>
          <t>да</t>
        </is>
      </c>
      <c r="B37" s="2" t="inlineStr">
        <is>
          <t>2</t>
        </is>
      </c>
      <c r="C37" s="3" t="inlineStr">
        <is>
          <t>Дренажная и ливневая системы.</t>
        </is>
      </c>
      <c r="D37" s="2" t="inlineStr"/>
      <c r="E37" s="2" t="inlineStr">
        <is>
          <t>work</t>
        </is>
      </c>
      <c r="F37" s="2" t="n">
        <v>36</v>
      </c>
      <c r="G37" s="3" t="inlineStr">
        <is>
          <t>Монтаж дождеприемников со встройкой в террасный настил</t>
        </is>
      </c>
      <c r="H37" s="2" t="inlineStr">
        <is>
          <t>шт.</t>
        </is>
      </c>
      <c r="I37" s="4" t="n">
        <v>3</v>
      </c>
      <c r="J37" s="4" t="n">
        <v>100</v>
      </c>
      <c r="K37" s="5">
        <f>IF(OR(E37="work",E37="section14_item"),I37*J37,0)</f>
        <v/>
      </c>
      <c r="L37" s="5">
        <f>IF(E37="material",I37*J37,IF(E37="section15_percent",I37/100*(SUMPRODUCT((E$2:E$5000="work")*(B$2:B$5000&lt;&gt;"14")*K$2:K$5000)+SUMPRODUCT((E$2:E$5000="material")*(B$2:B$5000&lt;&gt;"14")*L$2:L$5000)),IF(E37="section15_manual",J37,0)))</f>
        <v/>
      </c>
      <c r="M37" s="3" t="n"/>
    </row>
    <row r="38">
      <c r="A38" s="2" t="inlineStr">
        <is>
          <t>да</t>
        </is>
      </c>
      <c r="B38" s="2" t="inlineStr">
        <is>
          <t>2</t>
        </is>
      </c>
      <c r="C38" s="3" t="inlineStr">
        <is>
          <t>Дренажная и ливневая системы.</t>
        </is>
      </c>
      <c r="D38" s="2" t="inlineStr"/>
      <c r="E38" s="2" t="inlineStr">
        <is>
          <t>work</t>
        </is>
      </c>
      <c r="F38" s="2" t="n">
        <v>37</v>
      </c>
      <c r="G38" s="3" t="inlineStr">
        <is>
          <t>Монтаж дождеприемников с переподключением на другой диаметр</t>
        </is>
      </c>
      <c r="H38" s="2" t="inlineStr">
        <is>
          <t>шт.</t>
        </is>
      </c>
      <c r="I38" s="4" t="n">
        <v>10</v>
      </c>
      <c r="J38" s="4" t="n">
        <v>100</v>
      </c>
      <c r="K38" s="5">
        <f>IF(OR(E38="work",E38="section14_item"),I38*J38,0)</f>
        <v/>
      </c>
      <c r="L38" s="5">
        <f>IF(E38="material",I38*J38,IF(E38="section15_percent",I38/100*(SUMPRODUCT((E$2:E$5000="work")*(B$2:B$5000&lt;&gt;"14")*K$2:K$5000)+SUMPRODUCT((E$2:E$5000="material")*(B$2:B$5000&lt;&gt;"14")*L$2:L$5000)),IF(E38="section15_manual",J38,0)))</f>
        <v/>
      </c>
      <c r="M38" s="3" t="n"/>
    </row>
    <row r="39">
      <c r="A39" s="6" t="inlineStr">
        <is>
          <t>да</t>
        </is>
      </c>
      <c r="B39" s="6" t="inlineStr">
        <is>
          <t>2</t>
        </is>
      </c>
      <c r="C39" s="7" t="inlineStr">
        <is>
          <t>Дренажная и ливневая системы.</t>
        </is>
      </c>
      <c r="D39" s="6" t="inlineStr"/>
      <c r="E39" s="6" t="inlineStr">
        <is>
          <t>material</t>
        </is>
      </c>
      <c r="F39" s="6" t="n">
        <v>38</v>
      </c>
      <c r="G39" s="7" t="inlineStr">
        <is>
          <t>Дождеприемник с комплектующими и чугунной решеткой, фасонные элементы</t>
        </is>
      </c>
      <c r="H39" s="6" t="inlineStr">
        <is>
          <t>шт.</t>
        </is>
      </c>
      <c r="I39" s="8" t="n">
        <v>13</v>
      </c>
      <c r="J39" s="8" t="n">
        <v>100</v>
      </c>
      <c r="K39" s="9">
        <f>IF(OR(E39="work",E39="section14_item"),I39*J39,0)</f>
        <v/>
      </c>
      <c r="L39" s="9">
        <f>IF(E39="material",I39*J39,IF(E39="section15_percent",I39/100*(SUMPRODUCT((E$2:E$5000="work")*(B$2:B$5000&lt;&gt;"14")*K$2:K$5000)+SUMPRODUCT((E$2:E$5000="material")*(B$2:B$5000&lt;&gt;"14")*L$2:L$5000)),IF(E39="section15_manual",J39,0)))</f>
        <v/>
      </c>
      <c r="M39" s="7" t="n"/>
    </row>
    <row r="40">
      <c r="A40" s="6" t="inlineStr">
        <is>
          <t>да</t>
        </is>
      </c>
      <c r="B40" s="6" t="inlineStr">
        <is>
          <t>2</t>
        </is>
      </c>
      <c r="C40" s="7" t="inlineStr">
        <is>
          <t>Дренажная и ливневая системы.</t>
        </is>
      </c>
      <c r="D40" s="6" t="inlineStr"/>
      <c r="E40" s="6" t="inlineStr">
        <is>
          <t>material</t>
        </is>
      </c>
      <c r="F40" s="6" t="n">
        <v>39</v>
      </c>
      <c r="G40" s="7" t="inlineStr">
        <is>
          <t>Цемент М400, 50кг</t>
        </is>
      </c>
      <c r="H40" s="6" t="inlineStr">
        <is>
          <t>меш.</t>
        </is>
      </c>
      <c r="I40" s="8" t="n">
        <v>4</v>
      </c>
      <c r="J40" s="8" t="n">
        <v>100</v>
      </c>
      <c r="K40" s="9">
        <f>IF(OR(E40="work",E40="section14_item"),I40*J40,0)</f>
        <v/>
      </c>
      <c r="L40" s="9">
        <f>IF(E40="material",I40*J40,IF(E40="section15_percent",I40/100*(SUMPRODUCT((E$2:E$5000="work")*(B$2:B$5000&lt;&gt;"14")*K$2:K$5000)+SUMPRODUCT((E$2:E$5000="material")*(B$2:B$5000&lt;&gt;"14")*L$2:L$5000)),IF(E40="section15_manual",J40,0)))</f>
        <v/>
      </c>
      <c r="M40" s="7" t="n"/>
    </row>
    <row r="41">
      <c r="A41" s="2" t="inlineStr">
        <is>
          <t>да</t>
        </is>
      </c>
      <c r="B41" s="2" t="inlineStr">
        <is>
          <t>2</t>
        </is>
      </c>
      <c r="C41" s="3" t="inlineStr">
        <is>
          <t>Дренажная и ливневая системы.</t>
        </is>
      </c>
      <c r="D41" s="2" t="inlineStr"/>
      <c r="E41" s="2" t="inlineStr">
        <is>
          <t>work</t>
        </is>
      </c>
      <c r="F41" s="2" t="n">
        <v>40</v>
      </c>
      <c r="G41" s="3" t="inlineStr">
        <is>
          <t>Монтаж на раствор лотков дождеприемных с решетками и отводами к ливневой канализации</t>
        </is>
      </c>
      <c r="H41" s="2" t="inlineStr">
        <is>
          <t>м.п.</t>
        </is>
      </c>
      <c r="I41" s="4" t="n">
        <v>15</v>
      </c>
      <c r="J41" s="4" t="n">
        <v>100</v>
      </c>
      <c r="K41" s="5">
        <f>IF(OR(E41="work",E41="section14_item"),I41*J41,0)</f>
        <v/>
      </c>
      <c r="L41" s="5">
        <f>IF(E41="material",I41*J41,IF(E41="section15_percent",I41/100*(SUMPRODUCT((E$2:E$5000="work")*(B$2:B$5000&lt;&gt;"14")*K$2:K$5000)+SUMPRODUCT((E$2:E$5000="material")*(B$2:B$5000&lt;&gt;"14")*L$2:L$5000)),IF(E41="section15_manual",J41,0)))</f>
        <v/>
      </c>
      <c r="M41" s="3" t="n"/>
    </row>
    <row r="42">
      <c r="A42" s="6" t="inlineStr">
        <is>
          <t>да</t>
        </is>
      </c>
      <c r="B42" s="6" t="inlineStr">
        <is>
          <t>2</t>
        </is>
      </c>
      <c r="C42" s="7" t="inlineStr">
        <is>
          <t>Дренажная и ливневая системы.</t>
        </is>
      </c>
      <c r="D42" s="6" t="inlineStr"/>
      <c r="E42" s="6" t="inlineStr">
        <is>
          <t>material</t>
        </is>
      </c>
      <c r="F42" s="6" t="n">
        <v>41</v>
      </c>
      <c r="G42" s="7" t="inlineStr">
        <is>
          <t>Лотки пластиковые с решетками ячеистыми чугунными</t>
        </is>
      </c>
      <c r="H42" s="6" t="inlineStr">
        <is>
          <t>м.п.</t>
        </is>
      </c>
      <c r="I42" s="8" t="n">
        <v>15</v>
      </c>
      <c r="J42" s="8" t="n">
        <v>100</v>
      </c>
      <c r="K42" s="9">
        <f>IF(OR(E42="work",E42="section14_item"),I42*J42,0)</f>
        <v/>
      </c>
      <c r="L42" s="9">
        <f>IF(E42="material",I42*J42,IF(E42="section15_percent",I42/100*(SUMPRODUCT((E$2:E$5000="work")*(B$2:B$5000&lt;&gt;"14")*K$2:K$5000)+SUMPRODUCT((E$2:E$5000="material")*(B$2:B$5000&lt;&gt;"14")*L$2:L$5000)),IF(E42="section15_manual",J42,0)))</f>
        <v/>
      </c>
      <c r="M42" s="7" t="n"/>
    </row>
    <row r="43">
      <c r="A43" s="6" t="inlineStr">
        <is>
          <t>да</t>
        </is>
      </c>
      <c r="B43" s="6" t="inlineStr">
        <is>
          <t>2</t>
        </is>
      </c>
      <c r="C43" s="7" t="inlineStr">
        <is>
          <t>Дренажная и ливневая системы.</t>
        </is>
      </c>
      <c r="D43" s="6" t="inlineStr"/>
      <c r="E43" s="6" t="inlineStr">
        <is>
          <t>material</t>
        </is>
      </c>
      <c r="F43" s="6" t="n">
        <v>42</v>
      </c>
      <c r="G43" s="7" t="inlineStr">
        <is>
          <t>Цемент М400, 50кг</t>
        </is>
      </c>
      <c r="H43" s="6" t="inlineStr">
        <is>
          <t>меш.</t>
        </is>
      </c>
      <c r="I43" s="8" t="n">
        <v>4</v>
      </c>
      <c r="J43" s="8" t="n">
        <v>100</v>
      </c>
      <c r="K43" s="9">
        <f>IF(OR(E43="work",E43="section14_item"),I43*J43,0)</f>
        <v/>
      </c>
      <c r="L43" s="9">
        <f>IF(E43="material",I43*J43,IF(E43="section15_percent",I43/100*(SUMPRODUCT((E$2:E$5000="work")*(B$2:B$5000&lt;&gt;"14")*K$2:K$5000)+SUMPRODUCT((E$2:E$5000="material")*(B$2:B$5000&lt;&gt;"14")*L$2:L$5000)),IF(E43="section15_manual",J43,0)))</f>
        <v/>
      </c>
      <c r="M43" s="7" t="n"/>
    </row>
    <row r="44">
      <c r="A44" s="2" t="inlineStr">
        <is>
          <t>да</t>
        </is>
      </c>
      <c r="B44" s="2" t="inlineStr">
        <is>
          <t>2</t>
        </is>
      </c>
      <c r="C44" s="3" t="inlineStr">
        <is>
          <t>Дренажная и ливневая системы.</t>
        </is>
      </c>
      <c r="D44" s="2" t="inlineStr"/>
      <c r="E44" s="2" t="inlineStr">
        <is>
          <t>work</t>
        </is>
      </c>
      <c r="F44" s="2" t="n">
        <v>43</v>
      </c>
      <c r="G44" s="3" t="inlineStr">
        <is>
          <t>Монтаж на раствор пескоуловителей</t>
        </is>
      </c>
      <c r="H44" s="2" t="inlineStr">
        <is>
          <t>шт.</t>
        </is>
      </c>
      <c r="I44" s="4" t="n">
        <v>2</v>
      </c>
      <c r="J44" s="4" t="n">
        <v>100</v>
      </c>
      <c r="K44" s="5">
        <f>IF(OR(E44="work",E44="section14_item"),I44*J44,0)</f>
        <v/>
      </c>
      <c r="L44" s="5">
        <f>IF(E44="material",I44*J44,IF(E44="section15_percent",I44/100*(SUMPRODUCT((E$2:E$5000="work")*(B$2:B$5000&lt;&gt;"14")*K$2:K$5000)+SUMPRODUCT((E$2:E$5000="material")*(B$2:B$5000&lt;&gt;"14")*L$2:L$5000)),IF(E44="section15_manual",J44,0)))</f>
        <v/>
      </c>
      <c r="M44" s="3" t="n"/>
    </row>
    <row r="45">
      <c r="A45" s="6" t="inlineStr">
        <is>
          <t>да</t>
        </is>
      </c>
      <c r="B45" s="6" t="inlineStr">
        <is>
          <t>2</t>
        </is>
      </c>
      <c r="C45" s="7" t="inlineStr">
        <is>
          <t>Дренажная и ливневая системы.</t>
        </is>
      </c>
      <c r="D45" s="6" t="inlineStr"/>
      <c r="E45" s="6" t="inlineStr">
        <is>
          <t>material</t>
        </is>
      </c>
      <c r="F45" s="6" t="n">
        <v>44</v>
      </c>
      <c r="G45" s="7" t="inlineStr">
        <is>
          <t>Пескоуловители пластиковые с решетками ячеистыми чугунными</t>
        </is>
      </c>
      <c r="H45" s="6" t="inlineStr">
        <is>
          <t>шт.</t>
        </is>
      </c>
      <c r="I45" s="8" t="n">
        <v>15</v>
      </c>
      <c r="J45" s="8" t="n">
        <v>100</v>
      </c>
      <c r="K45" s="9">
        <f>IF(OR(E45="work",E45="section14_item"),I45*J45,0)</f>
        <v/>
      </c>
      <c r="L45" s="9">
        <f>IF(E45="material",I45*J45,IF(E45="section15_percent",I45/100*(SUMPRODUCT((E$2:E$5000="work")*(B$2:B$5000&lt;&gt;"14")*K$2:K$5000)+SUMPRODUCT((E$2:E$5000="material")*(B$2:B$5000&lt;&gt;"14")*L$2:L$5000)),IF(E45="section15_manual",J45,0)))</f>
        <v/>
      </c>
      <c r="M45" s="7" t="n"/>
    </row>
    <row r="46">
      <c r="A46" s="6" t="inlineStr">
        <is>
          <t>да</t>
        </is>
      </c>
      <c r="B46" s="6" t="inlineStr">
        <is>
          <t>2</t>
        </is>
      </c>
      <c r="C46" s="7" t="inlineStr">
        <is>
          <t>Дренажная и ливневая системы.</t>
        </is>
      </c>
      <c r="D46" s="6" t="inlineStr"/>
      <c r="E46" s="6" t="inlineStr">
        <is>
          <t>material</t>
        </is>
      </c>
      <c r="F46" s="6" t="n">
        <v>45</v>
      </c>
      <c r="G46" s="7" t="inlineStr">
        <is>
          <t>Цемент М400, 50кг</t>
        </is>
      </c>
      <c r="H46" s="6" t="inlineStr">
        <is>
          <t>меш.</t>
        </is>
      </c>
      <c r="I46" s="8" t="n">
        <v>1</v>
      </c>
      <c r="J46" s="8" t="n">
        <v>100</v>
      </c>
      <c r="K46" s="9">
        <f>IF(OR(E46="work",E46="section14_item"),I46*J46,0)</f>
        <v/>
      </c>
      <c r="L46" s="9">
        <f>IF(E46="material",I46*J46,IF(E46="section15_percent",I46/100*(SUMPRODUCT((E$2:E$5000="work")*(B$2:B$5000&lt;&gt;"14")*K$2:K$5000)+SUMPRODUCT((E$2:E$5000="material")*(B$2:B$5000&lt;&gt;"14")*L$2:L$5000)),IF(E46="section15_manual",J46,0)))</f>
        <v/>
      </c>
      <c r="M46" s="7" t="n"/>
    </row>
    <row r="47">
      <c r="A47" s="10" t="inlineStr">
        <is>
          <t>да</t>
        </is>
      </c>
      <c r="B47" s="10" t="inlineStr">
        <is>
          <t>3</t>
        </is>
      </c>
      <c r="C47" s="11" t="inlineStr">
        <is>
          <t>Монолитные железобетонные конструкции</t>
        </is>
      </c>
      <c r="D47" s="10" t="inlineStr"/>
      <c r="E47" s="10" t="inlineStr">
        <is>
          <t>subsection</t>
        </is>
      </c>
      <c r="F47" s="10" t="n">
        <v>46</v>
      </c>
      <c r="G47" s="11" t="inlineStr">
        <is>
          <t>Плита основания - 75м2</t>
        </is>
      </c>
      <c r="H47" s="10" t="inlineStr"/>
      <c r="I47" s="12" t="n"/>
      <c r="J47" s="12" t="n"/>
      <c r="K47" s="13">
        <f>IF(OR(E47="work",E47="section14_item"),I47*J47,0)</f>
        <v/>
      </c>
      <c r="L47" s="13">
        <f>IF(E47="material",I47*J47,IF(E47="section15_percent",I47/100*(SUMPRODUCT((E$2:E$5000="work")*(B$2:B$5000&lt;&gt;"14")*K$2:K$5000)+SUMPRODUCT((E$2:E$5000="material")*(B$2:B$5000&lt;&gt;"14")*L$2:L$5000)),IF(E47="section15_manual",J47,0)))</f>
        <v/>
      </c>
      <c r="M47" s="11" t="n"/>
    </row>
    <row r="48">
      <c r="A48" s="2" t="inlineStr">
        <is>
          <t>да</t>
        </is>
      </c>
      <c r="B48" s="2" t="inlineStr">
        <is>
          <t>3</t>
        </is>
      </c>
      <c r="C48" s="3" t="inlineStr">
        <is>
          <t>Монолитные железобетонные конструкции</t>
        </is>
      </c>
      <c r="D48" s="2" t="inlineStr">
        <is>
          <t>Плита основания - 75м2</t>
        </is>
      </c>
      <c r="E48" s="2" t="inlineStr">
        <is>
          <t>work</t>
        </is>
      </c>
      <c r="F48" s="2" t="n">
        <v>47</v>
      </c>
      <c r="G48" s="3" t="inlineStr">
        <is>
          <t>Устройство выравнивающих оснований из песка с трамбованием вручную</t>
        </is>
      </c>
      <c r="H48" s="2" t="inlineStr">
        <is>
          <t>м.куб.</t>
        </is>
      </c>
      <c r="I48" s="4" t="n">
        <v>9</v>
      </c>
      <c r="J48" s="4" t="n">
        <v>100</v>
      </c>
      <c r="K48" s="5">
        <f>IF(OR(E48="work",E48="section14_item"),I48*J48,0)</f>
        <v/>
      </c>
      <c r="L48" s="5">
        <f>IF(E48="material",I48*J48,IF(E48="section15_percent",I48/100*(SUMPRODUCT((E$2:E$5000="work")*(B$2:B$5000&lt;&gt;"14")*K$2:K$5000)+SUMPRODUCT((E$2:E$5000="material")*(B$2:B$5000&lt;&gt;"14")*L$2:L$5000)),IF(E48="section15_manual",J48,0)))</f>
        <v/>
      </c>
      <c r="M48" s="3" t="n"/>
    </row>
    <row r="49">
      <c r="A49" s="6" t="inlineStr">
        <is>
          <t>да</t>
        </is>
      </c>
      <c r="B49" s="6" t="inlineStr">
        <is>
          <t>3</t>
        </is>
      </c>
      <c r="C49" s="7" t="inlineStr">
        <is>
          <t>Монолитные железобетонные конструкции</t>
        </is>
      </c>
      <c r="D49" s="6" t="inlineStr">
        <is>
          <t>Плита основания - 75м2</t>
        </is>
      </c>
      <c r="E49" s="6" t="inlineStr">
        <is>
          <t>material</t>
        </is>
      </c>
      <c r="F49" s="6" t="n">
        <v>48</v>
      </c>
      <c r="G49" s="7" t="inlineStr">
        <is>
          <t>Песок намывной (самосвал 20м3)</t>
        </is>
      </c>
      <c r="H49" s="6" t="inlineStr">
        <is>
          <t>м.куб.</t>
        </is>
      </c>
      <c r="I49" s="8" t="n">
        <v>11.7</v>
      </c>
      <c r="J49" s="8" t="n">
        <v>100</v>
      </c>
      <c r="K49" s="9">
        <f>IF(OR(E49="work",E49="section14_item"),I49*J49,0)</f>
        <v/>
      </c>
      <c r="L49" s="9">
        <f>IF(E49="material",I49*J49,IF(E49="section15_percent",I49/100*(SUMPRODUCT((E$2:E$5000="work")*(B$2:B$5000&lt;&gt;"14")*K$2:K$5000)+SUMPRODUCT((E$2:E$5000="material")*(B$2:B$5000&lt;&gt;"14")*L$2:L$5000)),IF(E49="section15_manual",J49,0)))</f>
        <v/>
      </c>
      <c r="M49" s="7" t="n"/>
    </row>
    <row r="50">
      <c r="A50" s="2" t="inlineStr">
        <is>
          <t>да</t>
        </is>
      </c>
      <c r="B50" s="2" t="inlineStr">
        <is>
          <t>3</t>
        </is>
      </c>
      <c r="C50" s="3" t="inlineStr">
        <is>
          <t>Монолитные железобетонные конструкции</t>
        </is>
      </c>
      <c r="D50" s="2" t="inlineStr">
        <is>
          <t>Плита основания - 75м2</t>
        </is>
      </c>
      <c r="E50" s="2" t="inlineStr">
        <is>
          <t>work</t>
        </is>
      </c>
      <c r="F50" s="2" t="n">
        <v>49</v>
      </c>
      <c r="G50" s="3" t="inlineStr">
        <is>
          <t>Аренда виброплиты 250кг</t>
        </is>
      </c>
      <c r="H50" s="2" t="inlineStr">
        <is>
          <t>смена</t>
        </is>
      </c>
      <c r="I50" s="4" t="n">
        <v>1</v>
      </c>
      <c r="J50" s="4" t="n">
        <v>100</v>
      </c>
      <c r="K50" s="5">
        <f>IF(OR(E50="work",E50="section14_item"),I50*J50,0)</f>
        <v/>
      </c>
      <c r="L50" s="5">
        <f>IF(E50="material",I50*J50,IF(E50="section15_percent",I50/100*(SUMPRODUCT((E$2:E$5000="work")*(B$2:B$5000&lt;&gt;"14")*K$2:K$5000)+SUMPRODUCT((E$2:E$5000="material")*(B$2:B$5000&lt;&gt;"14")*L$2:L$5000)),IF(E50="section15_manual",J50,0)))</f>
        <v/>
      </c>
      <c r="M50" s="3" t="n"/>
    </row>
    <row r="51">
      <c r="A51" s="2" t="inlineStr">
        <is>
          <t>да</t>
        </is>
      </c>
      <c r="B51" s="2" t="inlineStr">
        <is>
          <t>3</t>
        </is>
      </c>
      <c r="C51" s="3" t="inlineStr">
        <is>
          <t>Монолитные железобетонные конструкции</t>
        </is>
      </c>
      <c r="D51" s="2" t="inlineStr">
        <is>
          <t>Плита основания - 75м2</t>
        </is>
      </c>
      <c r="E51" s="2" t="inlineStr">
        <is>
          <t>work</t>
        </is>
      </c>
      <c r="F51" s="2" t="n">
        <v>50</v>
      </c>
      <c r="G51" s="3" t="inlineStr">
        <is>
          <t>Укладка геотекстиля</t>
        </is>
      </c>
      <c r="H51" s="2" t="inlineStr">
        <is>
          <t>м.кв.</t>
        </is>
      </c>
      <c r="I51" s="4" t="n">
        <v>90</v>
      </c>
      <c r="J51" s="4" t="n">
        <v>100</v>
      </c>
      <c r="K51" s="5">
        <f>IF(OR(E51="work",E51="section14_item"),I51*J51,0)</f>
        <v/>
      </c>
      <c r="L51" s="5">
        <f>IF(E51="material",I51*J51,IF(E51="section15_percent",I51/100*(SUMPRODUCT((E$2:E$5000="work")*(B$2:B$5000&lt;&gt;"14")*K$2:K$5000)+SUMPRODUCT((E$2:E$5000="material")*(B$2:B$5000&lt;&gt;"14")*L$2:L$5000)),IF(E51="section15_manual",J51,0)))</f>
        <v/>
      </c>
      <c r="M51" s="3" t="n"/>
    </row>
    <row r="52">
      <c r="A52" s="6" t="inlineStr">
        <is>
          <t>да</t>
        </is>
      </c>
      <c r="B52" s="6" t="inlineStr">
        <is>
          <t>3</t>
        </is>
      </c>
      <c r="C52" s="7" t="inlineStr">
        <is>
          <t>Монолитные железобетонные конструкции</t>
        </is>
      </c>
      <c r="D52" s="6" t="inlineStr">
        <is>
          <t>Плита основания - 75м2</t>
        </is>
      </c>
      <c r="E52" s="6" t="inlineStr">
        <is>
          <t>material</t>
        </is>
      </c>
      <c r="F52" s="6" t="n">
        <v>51</v>
      </c>
      <c r="G52" s="7" t="inlineStr">
        <is>
          <t>Геотекстиль плотность 200г/м2</t>
        </is>
      </c>
      <c r="H52" s="6" t="inlineStr">
        <is>
          <t>м.кв.</t>
        </is>
      </c>
      <c r="I52" s="8" t="n">
        <v>108</v>
      </c>
      <c r="J52" s="8" t="n">
        <v>100</v>
      </c>
      <c r="K52" s="9">
        <f>IF(OR(E52="work",E52="section14_item"),I52*J52,0)</f>
        <v/>
      </c>
      <c r="L52" s="9">
        <f>IF(E52="material",I52*J52,IF(E52="section15_percent",I52/100*(SUMPRODUCT((E$2:E$5000="work")*(B$2:B$5000&lt;&gt;"14")*K$2:K$5000)+SUMPRODUCT((E$2:E$5000="material")*(B$2:B$5000&lt;&gt;"14")*L$2:L$5000)),IF(E52="section15_manual",J52,0)))</f>
        <v/>
      </c>
      <c r="M52" s="7" t="n"/>
    </row>
    <row r="53">
      <c r="A53" s="2" t="inlineStr">
        <is>
          <t>да</t>
        </is>
      </c>
      <c r="B53" s="2" t="inlineStr">
        <is>
          <t>3</t>
        </is>
      </c>
      <c r="C53" s="3" t="inlineStr">
        <is>
          <t>Монолитные железобетонные конструкции</t>
        </is>
      </c>
      <c r="D53" s="2" t="inlineStr">
        <is>
          <t>Плита основания - 75м2</t>
        </is>
      </c>
      <c r="E53" s="2" t="inlineStr">
        <is>
          <t>work</t>
        </is>
      </c>
      <c r="F53" s="2" t="n">
        <v>52</v>
      </c>
      <c r="G53" s="3" t="inlineStr">
        <is>
          <t>Устройство оснований из щебня с трамбованием, расклинцовкой вручную</t>
        </is>
      </c>
      <c r="H53" s="2" t="inlineStr">
        <is>
          <t>м.куб.</t>
        </is>
      </c>
      <c r="I53" s="4" t="n">
        <v>13.5</v>
      </c>
      <c r="J53" s="4" t="n">
        <v>100</v>
      </c>
      <c r="K53" s="5">
        <f>IF(OR(E53="work",E53="section14_item"),I53*J53,0)</f>
        <v/>
      </c>
      <c r="L53" s="5">
        <f>IF(E53="material",I53*J53,IF(E53="section15_percent",I53/100*(SUMPRODUCT((E$2:E$5000="work")*(B$2:B$5000&lt;&gt;"14")*K$2:K$5000)+SUMPRODUCT((E$2:E$5000="material")*(B$2:B$5000&lt;&gt;"14")*L$2:L$5000)),IF(E53="section15_manual",J53,0)))</f>
        <v/>
      </c>
      <c r="M53" s="3" t="n"/>
    </row>
    <row r="54">
      <c r="A54" s="6" t="inlineStr">
        <is>
          <t>да</t>
        </is>
      </c>
      <c r="B54" s="6" t="inlineStr">
        <is>
          <t>3</t>
        </is>
      </c>
      <c r="C54" s="7" t="inlineStr">
        <is>
          <t>Монолитные железобетонные конструкции</t>
        </is>
      </c>
      <c r="D54" s="6" t="inlineStr">
        <is>
          <t>Плита основания - 75м2</t>
        </is>
      </c>
      <c r="E54" s="6" t="inlineStr">
        <is>
          <t>material</t>
        </is>
      </c>
      <c r="F54" s="6" t="n">
        <v>53</v>
      </c>
      <c r="G54" s="7" t="inlineStr">
        <is>
          <t>Щебень гранитный фр.20-40мм (самосвал 20м3)</t>
        </is>
      </c>
      <c r="H54" s="6" t="inlineStr">
        <is>
          <t>м.куб.</t>
        </is>
      </c>
      <c r="I54" s="8" t="n">
        <v>18.2</v>
      </c>
      <c r="J54" s="8" t="n">
        <v>100</v>
      </c>
      <c r="K54" s="9">
        <f>IF(OR(E54="work",E54="section14_item"),I54*J54,0)</f>
        <v/>
      </c>
      <c r="L54" s="9">
        <f>IF(E54="material",I54*J54,IF(E54="section15_percent",I54/100*(SUMPRODUCT((E$2:E$5000="work")*(B$2:B$5000&lt;&gt;"14")*K$2:K$5000)+SUMPRODUCT((E$2:E$5000="material")*(B$2:B$5000&lt;&gt;"14")*L$2:L$5000)),IF(E54="section15_manual",J54,0)))</f>
        <v/>
      </c>
      <c r="M54" s="7" t="n"/>
    </row>
    <row r="55">
      <c r="A55" s="6" t="inlineStr">
        <is>
          <t>да</t>
        </is>
      </c>
      <c r="B55" s="6" t="inlineStr">
        <is>
          <t>3</t>
        </is>
      </c>
      <c r="C55" s="7" t="inlineStr">
        <is>
          <t>Монолитные железобетонные конструкции</t>
        </is>
      </c>
      <c r="D55" s="6" t="inlineStr">
        <is>
          <t>Плита основания - 75м2</t>
        </is>
      </c>
      <c r="E55" s="6" t="inlineStr">
        <is>
          <t>material</t>
        </is>
      </c>
      <c r="F55" s="6" t="n">
        <v>54</v>
      </c>
      <c r="G55" s="7" t="inlineStr">
        <is>
          <t>Щебень гранитный (фракция 5-20мм) для расклинцовки</t>
        </is>
      </c>
      <c r="H55" s="6" t="inlineStr">
        <is>
          <t>м.куб.</t>
        </is>
      </c>
      <c r="I55" s="8" t="n">
        <v>3.6</v>
      </c>
      <c r="J55" s="8" t="n">
        <v>100</v>
      </c>
      <c r="K55" s="9">
        <f>IF(OR(E55="work",E55="section14_item"),I55*J55,0)</f>
        <v/>
      </c>
      <c r="L55" s="9">
        <f>IF(E55="material",I55*J55,IF(E55="section15_percent",I55/100*(SUMPRODUCT((E$2:E$5000="work")*(B$2:B$5000&lt;&gt;"14")*K$2:K$5000)+SUMPRODUCT((E$2:E$5000="material")*(B$2:B$5000&lt;&gt;"14")*L$2:L$5000)),IF(E55="section15_manual",J55,0)))</f>
        <v/>
      </c>
      <c r="M55" s="7" t="n"/>
    </row>
    <row r="56">
      <c r="A56" s="2" t="inlineStr">
        <is>
          <t>да</t>
        </is>
      </c>
      <c r="B56" s="2" t="inlineStr">
        <is>
          <t>3</t>
        </is>
      </c>
      <c r="C56" s="3" t="inlineStr">
        <is>
          <t>Монолитные железобетонные конструкции</t>
        </is>
      </c>
      <c r="D56" s="2" t="inlineStr">
        <is>
          <t>Плита основания - 75м2</t>
        </is>
      </c>
      <c r="E56" s="2" t="inlineStr">
        <is>
          <t>work</t>
        </is>
      </c>
      <c r="F56" s="2" t="n">
        <v>55</v>
      </c>
      <c r="G56" s="3" t="inlineStr">
        <is>
          <t>Аренда виброплиты 250кг</t>
        </is>
      </c>
      <c r="H56" s="2" t="inlineStr">
        <is>
          <t>смена</t>
        </is>
      </c>
      <c r="I56" s="4" t="n">
        <v>1</v>
      </c>
      <c r="J56" s="4" t="n">
        <v>100</v>
      </c>
      <c r="K56" s="5">
        <f>IF(OR(E56="work",E56="section14_item"),I56*J56,0)</f>
        <v/>
      </c>
      <c r="L56" s="5">
        <f>IF(E56="material",I56*J56,IF(E56="section15_percent",I56/100*(SUMPRODUCT((E$2:E$5000="work")*(B$2:B$5000&lt;&gt;"14")*K$2:K$5000)+SUMPRODUCT((E$2:E$5000="material")*(B$2:B$5000&lt;&gt;"14")*L$2:L$5000)),IF(E56="section15_manual",J56,0)))</f>
        <v/>
      </c>
      <c r="M56" s="3" t="n"/>
    </row>
    <row r="57">
      <c r="A57" s="2" t="inlineStr">
        <is>
          <t>да</t>
        </is>
      </c>
      <c r="B57" s="2" t="inlineStr">
        <is>
          <t>3</t>
        </is>
      </c>
      <c r="C57" s="3" t="inlineStr">
        <is>
          <t>Монолитные железобетонные конструкции</t>
        </is>
      </c>
      <c r="D57" s="2" t="inlineStr">
        <is>
          <t>Плита основания - 75м2</t>
        </is>
      </c>
      <c r="E57" s="2" t="inlineStr">
        <is>
          <t>work</t>
        </is>
      </c>
      <c r="F57" s="2" t="n">
        <v>56</v>
      </c>
      <c r="G57" s="3" t="inlineStr">
        <is>
          <t>Перемещение сыпучих материалов на расстояние до 50м вручную (склон) с коэффициентом сложности</t>
        </is>
      </c>
      <c r="H57" s="2" t="inlineStr">
        <is>
          <t>м.куб.</t>
        </is>
      </c>
      <c r="I57" s="4" t="n">
        <v>33.5</v>
      </c>
      <c r="J57" s="4" t="n">
        <v>100</v>
      </c>
      <c r="K57" s="5">
        <f>IF(OR(E57="work",E57="section14_item"),I57*J57,0)</f>
        <v/>
      </c>
      <c r="L57" s="5">
        <f>IF(E57="material",I57*J57,IF(E57="section15_percent",I57/100*(SUMPRODUCT((E$2:E$5000="work")*(B$2:B$5000&lt;&gt;"14")*K$2:K$5000)+SUMPRODUCT((E$2:E$5000="material")*(B$2:B$5000&lt;&gt;"14")*L$2:L$5000)),IF(E57="section15_manual",J57,0)))</f>
        <v/>
      </c>
      <c r="M57" s="3" t="n"/>
    </row>
    <row r="58">
      <c r="A58" s="2" t="inlineStr">
        <is>
          <t>да</t>
        </is>
      </c>
      <c r="B58" s="2" t="inlineStr">
        <is>
          <t>3</t>
        </is>
      </c>
      <c r="C58" s="3" t="inlineStr">
        <is>
          <t>Монолитные железобетонные конструкции</t>
        </is>
      </c>
      <c r="D58" s="2" t="inlineStr">
        <is>
          <t>Плита основания - 75м2</t>
        </is>
      </c>
      <c r="E58" s="2" t="inlineStr">
        <is>
          <t>work</t>
        </is>
      </c>
      <c r="F58" s="2" t="n">
        <v>57</v>
      </c>
      <c r="G58" s="3" t="inlineStr">
        <is>
          <t>Устройство гидроизоляции подкладочной</t>
        </is>
      </c>
      <c r="H58" s="2" t="inlineStr">
        <is>
          <t>м.кв.</t>
        </is>
      </c>
      <c r="I58" s="4" t="n">
        <v>90</v>
      </c>
      <c r="J58" s="4" t="n">
        <v>100</v>
      </c>
      <c r="K58" s="5">
        <f>IF(OR(E58="work",E58="section14_item"),I58*J58,0)</f>
        <v/>
      </c>
      <c r="L58" s="5">
        <f>IF(E58="material",I58*J58,IF(E58="section15_percent",I58/100*(SUMPRODUCT((E$2:E$5000="work")*(B$2:B$5000&lt;&gt;"14")*K$2:K$5000)+SUMPRODUCT((E$2:E$5000="material")*(B$2:B$5000&lt;&gt;"14")*L$2:L$5000)),IF(E58="section15_manual",J58,0)))</f>
        <v/>
      </c>
      <c r="M58" s="3" t="n"/>
    </row>
    <row r="59">
      <c r="A59" s="6" t="inlineStr">
        <is>
          <t>да</t>
        </is>
      </c>
      <c r="B59" s="6" t="inlineStr">
        <is>
          <t>3</t>
        </is>
      </c>
      <c r="C59" s="7" t="inlineStr">
        <is>
          <t>Монолитные железобетонные конструкции</t>
        </is>
      </c>
      <c r="D59" s="6" t="inlineStr">
        <is>
          <t>Плита основания - 75м2</t>
        </is>
      </c>
      <c r="E59" s="6" t="inlineStr">
        <is>
          <t>material</t>
        </is>
      </c>
      <c r="F59" s="6" t="n">
        <v>58</v>
      </c>
      <c r="G59" s="7" t="inlineStr">
        <is>
          <t>Рубероид РКП-350 ГОСТ</t>
        </is>
      </c>
      <c r="H59" s="6" t="inlineStr">
        <is>
          <t>м.кв.</t>
        </is>
      </c>
      <c r="I59" s="8" t="n">
        <v>112.5</v>
      </c>
      <c r="J59" s="8" t="n">
        <v>100</v>
      </c>
      <c r="K59" s="9">
        <f>IF(OR(E59="work",E59="section14_item"),I59*J59,0)</f>
        <v/>
      </c>
      <c r="L59" s="9">
        <f>IF(E59="material",I59*J59,IF(E59="section15_percent",I59/100*(SUMPRODUCT((E$2:E$5000="work")*(B$2:B$5000&lt;&gt;"14")*K$2:K$5000)+SUMPRODUCT((E$2:E$5000="material")*(B$2:B$5000&lt;&gt;"14")*L$2:L$5000)),IF(E59="section15_manual",J59,0)))</f>
        <v/>
      </c>
      <c r="M59" s="7" t="n"/>
    </row>
    <row r="60">
      <c r="A60" s="2" t="inlineStr">
        <is>
          <t>да</t>
        </is>
      </c>
      <c r="B60" s="2" t="inlineStr">
        <is>
          <t>3</t>
        </is>
      </c>
      <c r="C60" s="3" t="inlineStr">
        <is>
          <t>Монолитные железобетонные конструкции</t>
        </is>
      </c>
      <c r="D60" s="2" t="inlineStr">
        <is>
          <t>Плита основания - 75м2</t>
        </is>
      </c>
      <c r="E60" s="2" t="inlineStr">
        <is>
          <t>work</t>
        </is>
      </c>
      <c r="F60" s="2" t="n">
        <v>59</v>
      </c>
      <c r="G60" s="3" t="inlineStr">
        <is>
          <t>Сборка щитов опалубки, выставление опалубки, снятие опалубки</t>
        </is>
      </c>
      <c r="H60" s="2" t="inlineStr">
        <is>
          <t>м.п.</t>
        </is>
      </c>
      <c r="I60" s="4" t="n">
        <v>99</v>
      </c>
      <c r="J60" s="4" t="n">
        <v>100</v>
      </c>
      <c r="K60" s="5">
        <f>IF(OR(E60="work",E60="section14_item"),I60*J60,0)</f>
        <v/>
      </c>
      <c r="L60" s="5">
        <f>IF(E60="material",I60*J60,IF(E60="section15_percent",I60/100*(SUMPRODUCT((E$2:E$5000="work")*(B$2:B$5000&lt;&gt;"14")*K$2:K$5000)+SUMPRODUCT((E$2:E$5000="material")*(B$2:B$5000&lt;&gt;"14")*L$2:L$5000)),IF(E60="section15_manual",J60,0)))</f>
        <v/>
      </c>
      <c r="M60" s="3" t="n"/>
    </row>
    <row r="61">
      <c r="A61" s="6" t="inlineStr">
        <is>
          <t>да</t>
        </is>
      </c>
      <c r="B61" s="6" t="inlineStr">
        <is>
          <t>3</t>
        </is>
      </c>
      <c r="C61" s="7" t="inlineStr">
        <is>
          <t>Монолитные железобетонные конструкции</t>
        </is>
      </c>
      <c r="D61" s="6" t="inlineStr">
        <is>
          <t>Плита основания - 75м2</t>
        </is>
      </c>
      <c r="E61" s="6" t="inlineStr">
        <is>
          <t>material</t>
        </is>
      </c>
      <c r="F61" s="6" t="n">
        <v>60</v>
      </c>
      <c r="G61" s="7" t="inlineStr">
        <is>
          <t>Доска обрезная 40*150*6000м ест.вл. Сорт 1-2, хв.</t>
        </is>
      </c>
      <c r="H61" s="6" t="inlineStr">
        <is>
          <t>шт.</t>
        </is>
      </c>
      <c r="I61" s="8" t="n">
        <v>40</v>
      </c>
      <c r="J61" s="8" t="n">
        <v>100</v>
      </c>
      <c r="K61" s="9">
        <f>IF(OR(E61="work",E61="section14_item"),I61*J61,0)</f>
        <v/>
      </c>
      <c r="L61" s="9">
        <f>IF(E61="material",I61*J61,IF(E61="section15_percent",I61/100*(SUMPRODUCT((E$2:E$5000="work")*(B$2:B$5000&lt;&gt;"14")*K$2:K$5000)+SUMPRODUCT((E$2:E$5000="material")*(B$2:B$5000&lt;&gt;"14")*L$2:L$5000)),IF(E61="section15_manual",J61,0)))</f>
        <v/>
      </c>
      <c r="M61" s="7" t="n"/>
    </row>
    <row r="62">
      <c r="A62" s="6" t="inlineStr">
        <is>
          <t>да</t>
        </is>
      </c>
      <c r="B62" s="6" t="inlineStr">
        <is>
          <t>3</t>
        </is>
      </c>
      <c r="C62" s="7" t="inlineStr">
        <is>
          <t>Монолитные железобетонные конструкции</t>
        </is>
      </c>
      <c r="D62" s="6" t="inlineStr">
        <is>
          <t>Плита основания - 75м2</t>
        </is>
      </c>
      <c r="E62" s="6" t="inlineStr">
        <is>
          <t>material</t>
        </is>
      </c>
      <c r="F62" s="6" t="n">
        <v>61</v>
      </c>
      <c r="G62" s="7" t="inlineStr">
        <is>
          <t>Прочие материалы (крепеж, метизы, диски пильные, эмульсия)</t>
        </is>
      </c>
      <c r="H62" s="6" t="inlineStr">
        <is>
          <t>м.кв.</t>
        </is>
      </c>
      <c r="I62" s="8" t="n">
        <v>75</v>
      </c>
      <c r="J62" s="8" t="n">
        <v>100</v>
      </c>
      <c r="K62" s="9">
        <f>IF(OR(E62="work",E62="section14_item"),I62*J62,0)</f>
        <v/>
      </c>
      <c r="L62" s="9">
        <f>IF(E62="material",I62*J62,IF(E62="section15_percent",I62/100*(SUMPRODUCT((E$2:E$5000="work")*(B$2:B$5000&lt;&gt;"14")*K$2:K$5000)+SUMPRODUCT((E$2:E$5000="material")*(B$2:B$5000&lt;&gt;"14")*L$2:L$5000)),IF(E62="section15_manual",J62,0)))</f>
        <v/>
      </c>
      <c r="M62" s="7" t="n"/>
    </row>
    <row r="63">
      <c r="A63" s="2" t="inlineStr">
        <is>
          <t>да</t>
        </is>
      </c>
      <c r="B63" s="2" t="inlineStr">
        <is>
          <t>3</t>
        </is>
      </c>
      <c r="C63" s="3" t="inlineStr">
        <is>
          <t>Монолитные железобетонные конструкции</t>
        </is>
      </c>
      <c r="D63" s="2" t="inlineStr">
        <is>
          <t>Плита основания - 75м2</t>
        </is>
      </c>
      <c r="E63" s="2" t="inlineStr">
        <is>
          <t>work</t>
        </is>
      </c>
      <c r="F63" s="2" t="n">
        <v>62</v>
      </c>
      <c r="G63" s="3" t="inlineStr">
        <is>
          <t>Устройство ж/б фундаментной плиты 250мм (армирование, заливка бетона с вибрированием)</t>
        </is>
      </c>
      <c r="H63" s="2" t="inlineStr">
        <is>
          <t>м.куб.</t>
        </is>
      </c>
      <c r="I63" s="4" t="n">
        <v>18.9</v>
      </c>
      <c r="J63" s="4" t="n">
        <v>100</v>
      </c>
      <c r="K63" s="5">
        <f>IF(OR(E63="work",E63="section14_item"),I63*J63,0)</f>
        <v/>
      </c>
      <c r="L63" s="5">
        <f>IF(E63="material",I63*J63,IF(E63="section15_percent",I63/100*(SUMPRODUCT((E$2:E$5000="work")*(B$2:B$5000&lt;&gt;"14")*K$2:K$5000)+SUMPRODUCT((E$2:E$5000="material")*(B$2:B$5000&lt;&gt;"14")*L$2:L$5000)),IF(E63="section15_manual",J63,0)))</f>
        <v/>
      </c>
      <c r="M63" s="3" t="n"/>
    </row>
    <row r="64">
      <c r="A64" s="6" t="inlineStr">
        <is>
          <t>да</t>
        </is>
      </c>
      <c r="B64" s="6" t="inlineStr">
        <is>
          <t>3</t>
        </is>
      </c>
      <c r="C64" s="7" t="inlineStr">
        <is>
          <t>Монолитные железобетонные конструкции</t>
        </is>
      </c>
      <c r="D64" s="6" t="inlineStr">
        <is>
          <t>Плита основания - 75м2</t>
        </is>
      </c>
      <c r="E64" s="6" t="inlineStr">
        <is>
          <t>material</t>
        </is>
      </c>
      <c r="F64" s="6" t="n">
        <v>63</v>
      </c>
      <c r="G64" s="7" t="inlineStr">
        <is>
          <t>Прочие материалы (крепеж, метизы, диски пильные, эмульсия)</t>
        </is>
      </c>
      <c r="H64" s="6" t="inlineStr">
        <is>
          <t>м.кв.</t>
        </is>
      </c>
      <c r="I64" s="8" t="n">
        <v>75</v>
      </c>
      <c r="J64" s="8" t="n">
        <v>100</v>
      </c>
      <c r="K64" s="9">
        <f>IF(OR(E64="work",E64="section14_item"),I64*J64,0)</f>
        <v/>
      </c>
      <c r="L64" s="9">
        <f>IF(E64="material",I64*J64,IF(E64="section15_percent",I64/100*(SUMPRODUCT((E$2:E$5000="work")*(B$2:B$5000&lt;&gt;"14")*K$2:K$5000)+SUMPRODUCT((E$2:E$5000="material")*(B$2:B$5000&lt;&gt;"14")*L$2:L$5000)),IF(E64="section15_manual",J64,0)))</f>
        <v/>
      </c>
      <c r="M64" s="7" t="n"/>
    </row>
    <row r="65">
      <c r="A65" s="6" t="inlineStr">
        <is>
          <t>да</t>
        </is>
      </c>
      <c r="B65" s="6" t="inlineStr">
        <is>
          <t>3</t>
        </is>
      </c>
      <c r="C65" s="7" t="inlineStr">
        <is>
          <t>Монолитные железобетонные конструкции</t>
        </is>
      </c>
      <c r="D65" s="6" t="inlineStr">
        <is>
          <t>Плита основания - 75м2</t>
        </is>
      </c>
      <c r="E65" s="6" t="inlineStr">
        <is>
          <t>material</t>
        </is>
      </c>
      <c r="F65" s="6" t="n">
        <v>64</v>
      </c>
      <c r="G65" s="7" t="inlineStr">
        <is>
          <t>Бетон товарный В25 W8 F150</t>
        </is>
      </c>
      <c r="H65" s="6" t="inlineStr">
        <is>
          <t>м.куб.</t>
        </is>
      </c>
      <c r="I65" s="8" t="n">
        <v>21</v>
      </c>
      <c r="J65" s="8" t="n">
        <v>100</v>
      </c>
      <c r="K65" s="9">
        <f>IF(OR(E65="work",E65="section14_item"),I65*J65,0)</f>
        <v/>
      </c>
      <c r="L65" s="9">
        <f>IF(E65="material",I65*J65,IF(E65="section15_percent",I65/100*(SUMPRODUCT((E$2:E$5000="work")*(B$2:B$5000&lt;&gt;"14")*K$2:K$5000)+SUMPRODUCT((E$2:E$5000="material")*(B$2:B$5000&lt;&gt;"14")*L$2:L$5000)),IF(E65="section15_manual",J65,0)))</f>
        <v/>
      </c>
      <c r="M65" s="7" t="n"/>
    </row>
    <row r="66">
      <c r="A66" s="2" t="inlineStr">
        <is>
          <t>да</t>
        </is>
      </c>
      <c r="B66" s="2" t="inlineStr">
        <is>
          <t>3</t>
        </is>
      </c>
      <c r="C66" s="3" t="inlineStr">
        <is>
          <t>Монолитные железобетонные конструкции</t>
        </is>
      </c>
      <c r="D66" s="2" t="inlineStr">
        <is>
          <t>Плита основания - 75м2</t>
        </is>
      </c>
      <c r="E66" s="2" t="inlineStr">
        <is>
          <t>work</t>
        </is>
      </c>
      <c r="F66" s="2" t="n">
        <v>65</v>
      </c>
      <c r="G66" s="3" t="inlineStr">
        <is>
          <t>Аренда бетононасоса</t>
        </is>
      </c>
      <c r="H66" s="2" t="inlineStr">
        <is>
          <t>маш./см.</t>
        </is>
      </c>
      <c r="I66" s="4" t="n">
        <v>1</v>
      </c>
      <c r="J66" s="4" t="n">
        <v>100</v>
      </c>
      <c r="K66" s="5">
        <f>IF(OR(E66="work",E66="section14_item"),I66*J66,0)</f>
        <v/>
      </c>
      <c r="L66" s="5">
        <f>IF(E66="material",I66*J66,IF(E66="section15_percent",I66/100*(SUMPRODUCT((E$2:E$5000="work")*(B$2:B$5000&lt;&gt;"14")*K$2:K$5000)+SUMPRODUCT((E$2:E$5000="material")*(B$2:B$5000&lt;&gt;"14")*L$2:L$5000)),IF(E66="section15_manual",J66,0)))</f>
        <v/>
      </c>
      <c r="M66" s="3" t="n"/>
    </row>
    <row r="67">
      <c r="A67" s="2" t="inlineStr">
        <is>
          <t>да</t>
        </is>
      </c>
      <c r="B67" s="2" t="inlineStr">
        <is>
          <t>3</t>
        </is>
      </c>
      <c r="C67" s="3" t="inlineStr">
        <is>
          <t>Монолитные железобетонные конструкции</t>
        </is>
      </c>
      <c r="D67" s="2" t="inlineStr">
        <is>
          <t>Плита основания - 75м2</t>
        </is>
      </c>
      <c r="E67" s="2" t="inlineStr">
        <is>
          <t>work</t>
        </is>
      </c>
      <c r="F67" s="2" t="n">
        <v>66</v>
      </c>
      <c r="G67" s="3" t="inlineStr">
        <is>
          <t>Аренда шлангов 30м</t>
        </is>
      </c>
      <c r="H67" s="2" t="inlineStr">
        <is>
          <t>маш./см.</t>
        </is>
      </c>
      <c r="I67" s="4" t="n">
        <v>1</v>
      </c>
      <c r="J67" s="4" t="n">
        <v>100</v>
      </c>
      <c r="K67" s="5">
        <f>IF(OR(E67="work",E67="section14_item"),I67*J67,0)</f>
        <v/>
      </c>
      <c r="L67" s="5">
        <f>IF(E67="material",I67*J67,IF(E67="section15_percent",I67/100*(SUMPRODUCT((E$2:E$5000="work")*(B$2:B$5000&lt;&gt;"14")*K$2:K$5000)+SUMPRODUCT((E$2:E$5000="material")*(B$2:B$5000&lt;&gt;"14")*L$2:L$5000)),IF(E67="section15_manual",J67,0)))</f>
        <v/>
      </c>
      <c r="M67" s="3" t="n"/>
    </row>
    <row r="68">
      <c r="A68" s="6" t="inlineStr">
        <is>
          <t>да</t>
        </is>
      </c>
      <c r="B68" s="6" t="inlineStr">
        <is>
          <t>3</t>
        </is>
      </c>
      <c r="C68" s="7" t="inlineStr">
        <is>
          <t>Монолитные железобетонные конструкции</t>
        </is>
      </c>
      <c r="D68" s="6" t="inlineStr">
        <is>
          <t>Плита основания - 75м2</t>
        </is>
      </c>
      <c r="E68" s="6" t="inlineStr">
        <is>
          <t>material</t>
        </is>
      </c>
      <c r="F68" s="6" t="n">
        <v>67</v>
      </c>
      <c r="G68" s="7" t="inlineStr">
        <is>
          <t>Прочие материалы (бруски, метизы,  вязальная проволока, фиксаторы для арматуры, диски алмазные, отрезные)</t>
        </is>
      </c>
      <c r="H68" s="6" t="inlineStr">
        <is>
          <t>м.кв.</t>
        </is>
      </c>
      <c r="I68" s="8" t="n">
        <v>18.9</v>
      </c>
      <c r="J68" s="8" t="n">
        <v>100</v>
      </c>
      <c r="K68" s="9">
        <f>IF(OR(E68="work",E68="section14_item"),I68*J68,0)</f>
        <v/>
      </c>
      <c r="L68" s="9">
        <f>IF(E68="material",I68*J68,IF(E68="section15_percent",I68/100*(SUMPRODUCT((E$2:E$5000="work")*(B$2:B$5000&lt;&gt;"14")*K$2:K$5000)+SUMPRODUCT((E$2:E$5000="material")*(B$2:B$5000&lt;&gt;"14")*L$2:L$5000)),IF(E68="section15_manual",J68,0)))</f>
        <v/>
      </c>
      <c r="M68" s="7" t="n"/>
    </row>
    <row r="69">
      <c r="A69" s="2" t="inlineStr">
        <is>
          <t>да</t>
        </is>
      </c>
      <c r="B69" s="2" t="inlineStr">
        <is>
          <t>3</t>
        </is>
      </c>
      <c r="C69" s="3" t="inlineStr">
        <is>
          <t>Монолитные железобетонные конструкции</t>
        </is>
      </c>
      <c r="D69" s="2" t="inlineStr">
        <is>
          <t>Плита основания - 75м2</t>
        </is>
      </c>
      <c r="E69" s="2" t="inlineStr">
        <is>
          <t>work</t>
        </is>
      </c>
      <c r="F69" s="2" t="n">
        <v>68</v>
      </c>
      <c r="G69" s="3" t="inlineStr">
        <is>
          <t>Уход за бетоном</t>
        </is>
      </c>
      <c r="H69" s="2" t="inlineStr">
        <is>
          <t>м.кв.</t>
        </is>
      </c>
      <c r="I69" s="4" t="n">
        <v>74</v>
      </c>
      <c r="J69" s="4" t="n">
        <v>100</v>
      </c>
      <c r="K69" s="5">
        <f>IF(OR(E69="work",E69="section14_item"),I69*J69,0)</f>
        <v/>
      </c>
      <c r="L69" s="5">
        <f>IF(E69="material",I69*J69,IF(E69="section15_percent",I69/100*(SUMPRODUCT((E$2:E$5000="work")*(B$2:B$5000&lt;&gt;"14")*K$2:K$5000)+SUMPRODUCT((E$2:E$5000="material")*(B$2:B$5000&lt;&gt;"14")*L$2:L$5000)),IF(E69="section15_manual",J69,0)))</f>
        <v/>
      </c>
      <c r="M69" s="3" t="n"/>
    </row>
    <row r="70">
      <c r="A70" s="6" t="inlineStr">
        <is>
          <t>да</t>
        </is>
      </c>
      <c r="B70" s="6" t="inlineStr">
        <is>
          <t>3</t>
        </is>
      </c>
      <c r="C70" s="7" t="inlineStr">
        <is>
          <t>Монолитные железобетонные конструкции</t>
        </is>
      </c>
      <c r="D70" s="6" t="inlineStr">
        <is>
          <t>Плита основания - 75м2</t>
        </is>
      </c>
      <c r="E70" s="6" t="inlineStr">
        <is>
          <t>material</t>
        </is>
      </c>
      <c r="F70" s="6" t="n">
        <v>69</v>
      </c>
      <c r="G70" s="7" t="inlineStr">
        <is>
          <t>Пленка техническая полиэтиленовая 200мк</t>
        </is>
      </c>
      <c r="H70" s="6" t="inlineStr">
        <is>
          <t>м.кв.</t>
        </is>
      </c>
      <c r="I70" s="8" t="n">
        <v>90</v>
      </c>
      <c r="J70" s="8" t="n">
        <v>100</v>
      </c>
      <c r="K70" s="9">
        <f>IF(OR(E70="work",E70="section14_item"),I70*J70,0)</f>
        <v/>
      </c>
      <c r="L70" s="9">
        <f>IF(E70="material",I70*J70,IF(E70="section15_percent",I70/100*(SUMPRODUCT((E$2:E$5000="work")*(B$2:B$5000&lt;&gt;"14")*K$2:K$5000)+SUMPRODUCT((E$2:E$5000="material")*(B$2:B$5000&lt;&gt;"14")*L$2:L$5000)),IF(E70="section15_manual",J70,0)))</f>
        <v/>
      </c>
      <c r="M70" s="7" t="n"/>
    </row>
    <row r="71">
      <c r="A71" s="2" t="inlineStr">
        <is>
          <t>да</t>
        </is>
      </c>
      <c r="B71" s="2" t="inlineStr">
        <is>
          <t>3</t>
        </is>
      </c>
      <c r="C71" s="3" t="inlineStr">
        <is>
          <t>Монолитные железобетонные конструкции</t>
        </is>
      </c>
      <c r="D71" s="2" t="inlineStr">
        <is>
          <t>Плита основания - 75м2</t>
        </is>
      </c>
      <c r="E71" s="2" t="inlineStr">
        <is>
          <t>work</t>
        </is>
      </c>
      <c r="F71" s="2" t="n">
        <v>70</v>
      </c>
      <c r="G71" s="3" t="inlineStr">
        <is>
          <t>Гидроизоляция ж/б конструкций обмазочная</t>
        </is>
      </c>
      <c r="H71" s="2" t="inlineStr">
        <is>
          <t>м.кв.</t>
        </is>
      </c>
      <c r="I71" s="4" t="n">
        <v>73</v>
      </c>
      <c r="J71" s="4" t="n">
        <v>100</v>
      </c>
      <c r="K71" s="5">
        <f>IF(OR(E71="work",E71="section14_item"),I71*J71,0)</f>
        <v/>
      </c>
      <c r="L71" s="5">
        <f>IF(E71="material",I71*J71,IF(E71="section15_percent",I71/100*(SUMPRODUCT((E$2:E$5000="work")*(B$2:B$5000&lt;&gt;"14")*K$2:K$5000)+SUMPRODUCT((E$2:E$5000="material")*(B$2:B$5000&lt;&gt;"14")*L$2:L$5000)),IF(E71="section15_manual",J71,0)))</f>
        <v/>
      </c>
      <c r="M71" s="3" t="n"/>
    </row>
    <row r="72">
      <c r="A72" s="6" t="inlineStr">
        <is>
          <t>да</t>
        </is>
      </c>
      <c r="B72" s="6" t="inlineStr">
        <is>
          <t>3</t>
        </is>
      </c>
      <c r="C72" s="7" t="inlineStr">
        <is>
          <t>Монолитные железобетонные конструкции</t>
        </is>
      </c>
      <c r="D72" s="6" t="inlineStr">
        <is>
          <t>Плита основания - 75м2</t>
        </is>
      </c>
      <c r="E72" s="6" t="inlineStr">
        <is>
          <t>material</t>
        </is>
      </c>
      <c r="F72" s="6" t="n">
        <v>71</v>
      </c>
      <c r="G72" s="7" t="inlineStr">
        <is>
          <t>Праймер битумный Bitumast 18кг/21,5л</t>
        </is>
      </c>
      <c r="H72" s="6" t="inlineStr">
        <is>
          <t>шт.</t>
        </is>
      </c>
      <c r="I72" s="8" t="n">
        <v>3</v>
      </c>
      <c r="J72" s="8" t="n">
        <v>100</v>
      </c>
      <c r="K72" s="9">
        <f>IF(OR(E72="work",E72="section14_item"),I72*J72,0)</f>
        <v/>
      </c>
      <c r="L72" s="9">
        <f>IF(E72="material",I72*J72,IF(E72="section15_percent",I72/100*(SUMPRODUCT((E$2:E$5000="work")*(B$2:B$5000&lt;&gt;"14")*K$2:K$5000)+SUMPRODUCT((E$2:E$5000="material")*(B$2:B$5000&lt;&gt;"14")*L$2:L$5000)),IF(E72="section15_manual",J72,0)))</f>
        <v/>
      </c>
      <c r="M72" s="7" t="n"/>
    </row>
    <row r="73">
      <c r="A73" s="6" t="inlineStr">
        <is>
          <t>да</t>
        </is>
      </c>
      <c r="B73" s="6" t="inlineStr">
        <is>
          <t>3</t>
        </is>
      </c>
      <c r="C73" s="7" t="inlineStr">
        <is>
          <t>Монолитные железобетонные конструкции</t>
        </is>
      </c>
      <c r="D73" s="6" t="inlineStr">
        <is>
          <t>Плита основания - 75м2</t>
        </is>
      </c>
      <c r="E73" s="6" t="inlineStr">
        <is>
          <t>material</t>
        </is>
      </c>
      <c r="F73" s="6" t="n">
        <v>72</v>
      </c>
      <c r="G73" s="7" t="inlineStr">
        <is>
          <t>Мастика гидроизоляционная Bitumast 18кг/21,5л</t>
        </is>
      </c>
      <c r="H73" s="6" t="inlineStr">
        <is>
          <t>шт.</t>
        </is>
      </c>
      <c r="I73" s="8" t="n">
        <v>4</v>
      </c>
      <c r="J73" s="8" t="n">
        <v>100</v>
      </c>
      <c r="K73" s="9">
        <f>IF(OR(E73="work",E73="section14_item"),I73*J73,0)</f>
        <v/>
      </c>
      <c r="L73" s="9">
        <f>IF(E73="material",I73*J73,IF(E73="section15_percent",I73/100*(SUMPRODUCT((E$2:E$5000="work")*(B$2:B$5000&lt;&gt;"14")*K$2:K$5000)+SUMPRODUCT((E$2:E$5000="material")*(B$2:B$5000&lt;&gt;"14")*L$2:L$5000)),IF(E73="section15_manual",J73,0)))</f>
        <v/>
      </c>
      <c r="M73" s="7" t="n"/>
    </row>
    <row r="74">
      <c r="A74" s="10" t="inlineStr">
        <is>
          <t>да</t>
        </is>
      </c>
      <c r="B74" s="10" t="inlineStr">
        <is>
          <t>3</t>
        </is>
      </c>
      <c r="C74" s="11" t="inlineStr">
        <is>
          <t>Монолитные железобетонные конструкции</t>
        </is>
      </c>
      <c r="D74" s="10" t="inlineStr"/>
      <c r="E74" s="10" t="inlineStr">
        <is>
          <t>subsection</t>
        </is>
      </c>
      <c r="F74" s="10" t="n">
        <v>73</v>
      </c>
      <c r="G74" s="11" t="inlineStr">
        <is>
          <t>Стены подпорные, стены бассейна</t>
        </is>
      </c>
      <c r="H74" s="10" t="inlineStr"/>
      <c r="I74" s="12" t="n"/>
      <c r="J74" s="12" t="n"/>
      <c r="K74" s="13">
        <f>IF(OR(E74="work",E74="section14_item"),I74*J74,0)</f>
        <v/>
      </c>
      <c r="L74" s="13">
        <f>IF(E74="material",I74*J74,IF(E74="section15_percent",I74/100*(SUMPRODUCT((E$2:E$5000="work")*(B$2:B$5000&lt;&gt;"14")*K$2:K$5000)+SUMPRODUCT((E$2:E$5000="material")*(B$2:B$5000&lt;&gt;"14")*L$2:L$5000)),IF(E74="section15_manual",J74,0)))</f>
        <v/>
      </c>
      <c r="M74" s="11" t="n"/>
    </row>
    <row r="75">
      <c r="A75" s="2" t="inlineStr">
        <is>
          <t>да</t>
        </is>
      </c>
      <c r="B75" s="2" t="inlineStr">
        <is>
          <t>3</t>
        </is>
      </c>
      <c r="C75" s="3" t="inlineStr">
        <is>
          <t>Монолитные железобетонные конструкции</t>
        </is>
      </c>
      <c r="D75" s="2" t="inlineStr">
        <is>
          <t>Стены подпорные, стены бассейна</t>
        </is>
      </c>
      <c r="E75" s="2" t="inlineStr">
        <is>
          <t>work</t>
        </is>
      </c>
      <c r="F75" s="2" t="n">
        <v>74</v>
      </c>
      <c r="G75" s="3" t="inlineStr">
        <is>
          <t>Сборка щитов опалубки, выставление опалубки, снятие опалубки</t>
        </is>
      </c>
      <c r="H75" s="2" t="inlineStr">
        <is>
          <t>м.кв.</t>
        </is>
      </c>
      <c r="I75" s="4" t="n">
        <v>206</v>
      </c>
      <c r="J75" s="4" t="n">
        <v>100</v>
      </c>
      <c r="K75" s="5">
        <f>IF(OR(E75="work",E75="section14_item"),I75*J75,0)</f>
        <v/>
      </c>
      <c r="L75" s="5">
        <f>IF(E75="material",I75*J75,IF(E75="section15_percent",I75/100*(SUMPRODUCT((E$2:E$5000="work")*(B$2:B$5000&lt;&gt;"14")*K$2:K$5000)+SUMPRODUCT((E$2:E$5000="material")*(B$2:B$5000&lt;&gt;"14")*L$2:L$5000)),IF(E75="section15_manual",J75,0)))</f>
        <v/>
      </c>
      <c r="M75" s="3" t="n"/>
    </row>
    <row r="76">
      <c r="A76" s="2" t="inlineStr">
        <is>
          <t>да</t>
        </is>
      </c>
      <c r="B76" s="2" t="inlineStr">
        <is>
          <t>3</t>
        </is>
      </c>
      <c r="C76" s="3" t="inlineStr">
        <is>
          <t>Монолитные железобетонные конструкции</t>
        </is>
      </c>
      <c r="D76" s="2" t="inlineStr">
        <is>
          <t>Стены подпорные, стены бассейна</t>
        </is>
      </c>
      <c r="E76" s="2" t="inlineStr">
        <is>
          <t>work</t>
        </is>
      </c>
      <c r="F76" s="2" t="n">
        <v>75</v>
      </c>
      <c r="G76" s="3" t="inlineStr">
        <is>
          <t>Аренда стеновой опалубки в комплекте (щиты линейные, угловые, подкосы, стойки, замки)</t>
        </is>
      </c>
      <c r="H76" s="2" t="inlineStr">
        <is>
          <t>компл.</t>
        </is>
      </c>
      <c r="I76" s="4" t="n">
        <v>1</v>
      </c>
      <c r="J76" s="4" t="n">
        <v>100</v>
      </c>
      <c r="K76" s="5">
        <f>IF(OR(E76="work",E76="section14_item"),I76*J76,0)</f>
        <v/>
      </c>
      <c r="L76" s="5">
        <f>IF(E76="material",I76*J76,IF(E76="section15_percent",I76/100*(SUMPRODUCT((E$2:E$5000="work")*(B$2:B$5000&lt;&gt;"14")*K$2:K$5000)+SUMPRODUCT((E$2:E$5000="material")*(B$2:B$5000&lt;&gt;"14")*L$2:L$5000)),IF(E76="section15_manual",J76,0)))</f>
        <v/>
      </c>
      <c r="M76" s="3" t="n"/>
    </row>
    <row r="77">
      <c r="A77" s="6" t="inlineStr">
        <is>
          <t>да</t>
        </is>
      </c>
      <c r="B77" s="6" t="inlineStr">
        <is>
          <t>3</t>
        </is>
      </c>
      <c r="C77" s="7" t="inlineStr">
        <is>
          <t>Монолитные железобетонные конструкции</t>
        </is>
      </c>
      <c r="D77" s="6" t="inlineStr">
        <is>
          <t>Стены подпорные, стены бассейна</t>
        </is>
      </c>
      <c r="E77" s="6" t="inlineStr">
        <is>
          <t>material</t>
        </is>
      </c>
      <c r="F77" s="6" t="n">
        <v>76</v>
      </c>
      <c r="G77" s="7" t="inlineStr">
        <is>
          <t>Прочие материалы (крепеж, метизы, диски пильные, эмульсия)</t>
        </is>
      </c>
      <c r="H77" s="6" t="inlineStr">
        <is>
          <t>м.кв.</t>
        </is>
      </c>
      <c r="I77" s="8" t="n">
        <v>75</v>
      </c>
      <c r="J77" s="8" t="n">
        <v>100</v>
      </c>
      <c r="K77" s="9">
        <f>IF(OR(E77="work",E77="section14_item"),I77*J77,0)</f>
        <v/>
      </c>
      <c r="L77" s="9">
        <f>IF(E77="material",I77*J77,IF(E77="section15_percent",I77/100*(SUMPRODUCT((E$2:E$5000="work")*(B$2:B$5000&lt;&gt;"14")*K$2:K$5000)+SUMPRODUCT((E$2:E$5000="material")*(B$2:B$5000&lt;&gt;"14")*L$2:L$5000)),IF(E77="section15_manual",J77,0)))</f>
        <v/>
      </c>
      <c r="M77" s="7" t="n"/>
    </row>
    <row r="78">
      <c r="A78" s="2" t="inlineStr">
        <is>
          <t>да</t>
        </is>
      </c>
      <c r="B78" s="2" t="inlineStr">
        <is>
          <t>3</t>
        </is>
      </c>
      <c r="C78" s="3" t="inlineStr">
        <is>
          <t>Монолитные железобетонные конструкции</t>
        </is>
      </c>
      <c r="D78" s="2" t="inlineStr">
        <is>
          <t>Стены подпорные, стены бассейна</t>
        </is>
      </c>
      <c r="E78" s="2" t="inlineStr">
        <is>
          <t>work</t>
        </is>
      </c>
      <c r="F78" s="2" t="n">
        <v>77</v>
      </c>
      <c r="G78" s="3" t="inlineStr">
        <is>
          <t>Устройство ж/б стен 200-250мм (армирование, заливка бетона)</t>
        </is>
      </c>
      <c r="H78" s="2" t="inlineStr">
        <is>
          <t>м.куб.</t>
        </is>
      </c>
      <c r="I78" s="4" t="n">
        <v>22</v>
      </c>
      <c r="J78" s="4" t="n">
        <v>100</v>
      </c>
      <c r="K78" s="5">
        <f>IF(OR(E78="work",E78="section14_item"),I78*J78,0)</f>
        <v/>
      </c>
      <c r="L78" s="5">
        <f>IF(E78="material",I78*J78,IF(E78="section15_percent",I78/100*(SUMPRODUCT((E$2:E$5000="work")*(B$2:B$5000&lt;&gt;"14")*K$2:K$5000)+SUMPRODUCT((E$2:E$5000="material")*(B$2:B$5000&lt;&gt;"14")*L$2:L$5000)),IF(E78="section15_manual",J78,0)))</f>
        <v/>
      </c>
      <c r="M78" s="3" t="n"/>
    </row>
    <row r="79">
      <c r="A79" s="6" t="inlineStr">
        <is>
          <t>да</t>
        </is>
      </c>
      <c r="B79" s="6" t="inlineStr">
        <is>
          <t>3</t>
        </is>
      </c>
      <c r="C79" s="7" t="inlineStr">
        <is>
          <t>Монолитные железобетонные конструкции</t>
        </is>
      </c>
      <c r="D79" s="6" t="inlineStr">
        <is>
          <t>Стены подпорные, стены бассейна</t>
        </is>
      </c>
      <c r="E79" s="6" t="inlineStr">
        <is>
          <t>material</t>
        </is>
      </c>
      <c r="F79" s="6" t="n">
        <v>78</v>
      </c>
      <c r="G79" s="7" t="inlineStr">
        <is>
          <t>Бетон товарный В25 W8 F150</t>
        </is>
      </c>
      <c r="H79" s="6" t="inlineStr">
        <is>
          <t>м.куб.</t>
        </is>
      </c>
      <c r="I79" s="8" t="n">
        <v>24.2</v>
      </c>
      <c r="J79" s="8" t="n">
        <v>100</v>
      </c>
      <c r="K79" s="9">
        <f>IF(OR(E79="work",E79="section14_item"),I79*J79,0)</f>
        <v/>
      </c>
      <c r="L79" s="9">
        <f>IF(E79="material",I79*J79,IF(E79="section15_percent",I79/100*(SUMPRODUCT((E$2:E$5000="work")*(B$2:B$5000&lt;&gt;"14")*K$2:K$5000)+SUMPRODUCT((E$2:E$5000="material")*(B$2:B$5000&lt;&gt;"14")*L$2:L$5000)),IF(E79="section15_manual",J79,0)))</f>
        <v/>
      </c>
      <c r="M79" s="7" t="n"/>
    </row>
    <row r="80">
      <c r="A80" s="2" t="inlineStr">
        <is>
          <t>да</t>
        </is>
      </c>
      <c r="B80" s="2" t="inlineStr">
        <is>
          <t>3</t>
        </is>
      </c>
      <c r="C80" s="3" t="inlineStr">
        <is>
          <t>Монолитные железобетонные конструкции</t>
        </is>
      </c>
      <c r="D80" s="2" t="inlineStr">
        <is>
          <t>Стены подпорные, стены бассейна</t>
        </is>
      </c>
      <c r="E80" s="2" t="inlineStr">
        <is>
          <t>work</t>
        </is>
      </c>
      <c r="F80" s="2" t="n">
        <v>79</v>
      </c>
      <c r="G80" s="3" t="inlineStr">
        <is>
          <t>Аренда бетононасоса</t>
        </is>
      </c>
      <c r="H80" s="2" t="inlineStr">
        <is>
          <t>маш./см.</t>
        </is>
      </c>
      <c r="I80" s="4" t="n">
        <v>1</v>
      </c>
      <c r="J80" s="4" t="n">
        <v>100</v>
      </c>
      <c r="K80" s="5">
        <f>IF(OR(E80="work",E80="section14_item"),I80*J80,0)</f>
        <v/>
      </c>
      <c r="L80" s="5">
        <f>IF(E80="material",I80*J80,IF(E80="section15_percent",I80/100*(SUMPRODUCT((E$2:E$5000="work")*(B$2:B$5000&lt;&gt;"14")*K$2:K$5000)+SUMPRODUCT((E$2:E$5000="material")*(B$2:B$5000&lt;&gt;"14")*L$2:L$5000)),IF(E80="section15_manual",J80,0)))</f>
        <v/>
      </c>
      <c r="M80" s="3" t="n"/>
    </row>
    <row r="81">
      <c r="A81" s="6" t="inlineStr">
        <is>
          <t>да</t>
        </is>
      </c>
      <c r="B81" s="6" t="inlineStr">
        <is>
          <t>3</t>
        </is>
      </c>
      <c r="C81" s="7" t="inlineStr">
        <is>
          <t>Монолитные железобетонные конструкции</t>
        </is>
      </c>
      <c r="D81" s="6" t="inlineStr">
        <is>
          <t>Стены подпорные, стены бассейна</t>
        </is>
      </c>
      <c r="E81" s="6" t="inlineStr">
        <is>
          <t>material</t>
        </is>
      </c>
      <c r="F81" s="6" t="n">
        <v>80</v>
      </c>
      <c r="G81" s="7" t="inlineStr">
        <is>
          <t>Аренда бетононасоса</t>
        </is>
      </c>
      <c r="H81" s="6" t="inlineStr">
        <is>
          <t>маш./см.</t>
        </is>
      </c>
      <c r="I81" s="8" t="n">
        <v>1</v>
      </c>
      <c r="J81" s="8" t="n">
        <v>100</v>
      </c>
      <c r="K81" s="9">
        <f>IF(OR(E81="work",E81="section14_item"),I81*J81,0)</f>
        <v/>
      </c>
      <c r="L81" s="9">
        <f>IF(E81="material",I81*J81,IF(E81="section15_percent",I81/100*(SUMPRODUCT((E$2:E$5000="work")*(B$2:B$5000&lt;&gt;"14")*K$2:K$5000)+SUMPRODUCT((E$2:E$5000="material")*(B$2:B$5000&lt;&gt;"14")*L$2:L$5000)),IF(E81="section15_manual",J81,0)))</f>
        <v/>
      </c>
      <c r="M81" s="7" t="n"/>
    </row>
    <row r="82">
      <c r="A82" s="2" t="inlineStr">
        <is>
          <t>да</t>
        </is>
      </c>
      <c r="B82" s="2" t="inlineStr">
        <is>
          <t>3</t>
        </is>
      </c>
      <c r="C82" s="3" t="inlineStr">
        <is>
          <t>Монолитные железобетонные конструкции</t>
        </is>
      </c>
      <c r="D82" s="2" t="inlineStr">
        <is>
          <t>Стены подпорные, стены бассейна</t>
        </is>
      </c>
      <c r="E82" s="2" t="inlineStr">
        <is>
          <t>work</t>
        </is>
      </c>
      <c r="F82" s="2" t="n">
        <v>81</v>
      </c>
      <c r="G82" s="3" t="inlineStr">
        <is>
          <t>Аренда шлангов 30м</t>
        </is>
      </c>
      <c r="H82" s="2" t="inlineStr">
        <is>
          <t>маш./см.</t>
        </is>
      </c>
      <c r="I82" s="4" t="n">
        <v>1</v>
      </c>
      <c r="J82" s="4" t="n">
        <v>100</v>
      </c>
      <c r="K82" s="5">
        <f>IF(OR(E82="work",E82="section14_item"),I82*J82,0)</f>
        <v/>
      </c>
      <c r="L82" s="5">
        <f>IF(E82="material",I82*J82,IF(E82="section15_percent",I82/100*(SUMPRODUCT((E$2:E$5000="work")*(B$2:B$5000&lt;&gt;"14")*K$2:K$5000)+SUMPRODUCT((E$2:E$5000="material")*(B$2:B$5000&lt;&gt;"14")*L$2:L$5000)),IF(E82="section15_manual",J82,0)))</f>
        <v/>
      </c>
      <c r="M82" s="3" t="n"/>
    </row>
    <row r="83">
      <c r="A83" s="6" t="inlineStr">
        <is>
          <t>да</t>
        </is>
      </c>
      <c r="B83" s="6" t="inlineStr">
        <is>
          <t>3</t>
        </is>
      </c>
      <c r="C83" s="7" t="inlineStr">
        <is>
          <t>Монолитные железобетонные конструкции</t>
        </is>
      </c>
      <c r="D83" s="6" t="inlineStr">
        <is>
          <t>Стены подпорные, стены бассейна</t>
        </is>
      </c>
      <c r="E83" s="6" t="inlineStr">
        <is>
          <t>material</t>
        </is>
      </c>
      <c r="F83" s="6" t="n">
        <v>82</v>
      </c>
      <c r="G83" s="7" t="inlineStr">
        <is>
          <t>Аренда шлангов 30м</t>
        </is>
      </c>
      <c r="H83" s="6" t="inlineStr">
        <is>
          <t>маш./см.</t>
        </is>
      </c>
      <c r="I83" s="8" t="n">
        <v>1</v>
      </c>
      <c r="J83" s="8" t="n">
        <v>100</v>
      </c>
      <c r="K83" s="9">
        <f>IF(OR(E83="work",E83="section14_item"),I83*J83,0)</f>
        <v/>
      </c>
      <c r="L83" s="9">
        <f>IF(E83="material",I83*J83,IF(E83="section15_percent",I83/100*(SUMPRODUCT((E$2:E$5000="work")*(B$2:B$5000&lt;&gt;"14")*K$2:K$5000)+SUMPRODUCT((E$2:E$5000="material")*(B$2:B$5000&lt;&gt;"14")*L$2:L$5000)),IF(E83="section15_manual",J83,0)))</f>
        <v/>
      </c>
      <c r="M83" s="7" t="n"/>
    </row>
    <row r="84">
      <c r="A84" s="6" t="inlineStr">
        <is>
          <t>да</t>
        </is>
      </c>
      <c r="B84" s="6" t="inlineStr">
        <is>
          <t>3</t>
        </is>
      </c>
      <c r="C84" s="7" t="inlineStr">
        <is>
          <t>Монолитные железобетонные конструкции</t>
        </is>
      </c>
      <c r="D84" s="6" t="inlineStr">
        <is>
          <t>Стены подпорные, стены бассейна</t>
        </is>
      </c>
      <c r="E84" s="6" t="inlineStr">
        <is>
          <t>material</t>
        </is>
      </c>
      <c r="F84" s="6" t="n">
        <v>83</v>
      </c>
      <c r="G84" s="7" t="inlineStr">
        <is>
          <t>Прочие материалы (бруски, метизы,  вязальная проволока, фиксаторы для арматуры, диски алмазные, отрезные)</t>
        </is>
      </c>
      <c r="H84" s="6" t="inlineStr">
        <is>
          <t>м.кв.</t>
        </is>
      </c>
      <c r="I84" s="8" t="n">
        <v>206</v>
      </c>
      <c r="J84" s="8" t="n">
        <v>100</v>
      </c>
      <c r="K84" s="9">
        <f>IF(OR(E84="work",E84="section14_item"),I84*J84,0)</f>
        <v/>
      </c>
      <c r="L84" s="9">
        <f>IF(E84="material",I84*J84,IF(E84="section15_percent",I84/100*(SUMPRODUCT((E$2:E$5000="work")*(B$2:B$5000&lt;&gt;"14")*K$2:K$5000)+SUMPRODUCT((E$2:E$5000="material")*(B$2:B$5000&lt;&gt;"14")*L$2:L$5000)),IF(E84="section15_manual",J84,0)))</f>
        <v/>
      </c>
      <c r="M84" s="7" t="n"/>
    </row>
    <row r="85">
      <c r="A85" s="2" t="inlineStr">
        <is>
          <t>да</t>
        </is>
      </c>
      <c r="B85" s="2" t="inlineStr">
        <is>
          <t>3</t>
        </is>
      </c>
      <c r="C85" s="3" t="inlineStr">
        <is>
          <t>Монолитные железобетонные конструкции</t>
        </is>
      </c>
      <c r="D85" s="2" t="inlineStr">
        <is>
          <t>Стены подпорные, стены бассейна</t>
        </is>
      </c>
      <c r="E85" s="2" t="inlineStr">
        <is>
          <t>work</t>
        </is>
      </c>
      <c r="F85" s="2" t="n">
        <v>84</v>
      </c>
      <c r="G85" s="3" t="inlineStr">
        <is>
          <t>Уход за бетоном</t>
        </is>
      </c>
      <c r="H85" s="2" t="inlineStr">
        <is>
          <t>м.кв.</t>
        </is>
      </c>
      <c r="I85" s="4" t="n">
        <v>74</v>
      </c>
      <c r="J85" s="4" t="n">
        <v>100</v>
      </c>
      <c r="K85" s="5">
        <f>IF(OR(E85="work",E85="section14_item"),I85*J85,0)</f>
        <v/>
      </c>
      <c r="L85" s="5">
        <f>IF(E85="material",I85*J85,IF(E85="section15_percent",I85/100*(SUMPRODUCT((E$2:E$5000="work")*(B$2:B$5000&lt;&gt;"14")*K$2:K$5000)+SUMPRODUCT((E$2:E$5000="material")*(B$2:B$5000&lt;&gt;"14")*L$2:L$5000)),IF(E85="section15_manual",J85,0)))</f>
        <v/>
      </c>
      <c r="M85" s="3" t="n"/>
    </row>
    <row r="86">
      <c r="A86" s="6" t="inlineStr">
        <is>
          <t>да</t>
        </is>
      </c>
      <c r="B86" s="6" t="inlineStr">
        <is>
          <t>3</t>
        </is>
      </c>
      <c r="C86" s="7" t="inlineStr">
        <is>
          <t>Монолитные железобетонные конструкции</t>
        </is>
      </c>
      <c r="D86" s="6" t="inlineStr">
        <is>
          <t>Стены подпорные, стены бассейна</t>
        </is>
      </c>
      <c r="E86" s="6" t="inlineStr">
        <is>
          <t>material</t>
        </is>
      </c>
      <c r="F86" s="6" t="n">
        <v>85</v>
      </c>
      <c r="G86" s="7" t="inlineStr">
        <is>
          <t>Пленка техническая полиэтиленовая 200мк</t>
        </is>
      </c>
      <c r="H86" s="6" t="inlineStr">
        <is>
          <t>м.кв.</t>
        </is>
      </c>
      <c r="I86" s="8" t="n">
        <v>90</v>
      </c>
      <c r="J86" s="8" t="n">
        <v>100</v>
      </c>
      <c r="K86" s="9">
        <f>IF(OR(E86="work",E86="section14_item"),I86*J86,0)</f>
        <v/>
      </c>
      <c r="L86" s="9">
        <f>IF(E86="material",I86*J86,IF(E86="section15_percent",I86/100*(SUMPRODUCT((E$2:E$5000="work")*(B$2:B$5000&lt;&gt;"14")*K$2:K$5000)+SUMPRODUCT((E$2:E$5000="material")*(B$2:B$5000&lt;&gt;"14")*L$2:L$5000)),IF(E86="section15_manual",J86,0)))</f>
        <v/>
      </c>
      <c r="M86" s="7" t="n"/>
    </row>
    <row r="87">
      <c r="A87" s="2" t="inlineStr">
        <is>
          <t>да</t>
        </is>
      </c>
      <c r="B87" s="2" t="inlineStr">
        <is>
          <t>3</t>
        </is>
      </c>
      <c r="C87" s="3" t="inlineStr">
        <is>
          <t>Монолитные железобетонные конструкции</t>
        </is>
      </c>
      <c r="D87" s="2" t="inlineStr">
        <is>
          <t>Стены подпорные, стены бассейна</t>
        </is>
      </c>
      <c r="E87" s="2" t="inlineStr">
        <is>
          <t>work</t>
        </is>
      </c>
      <c r="F87" s="2" t="n">
        <v>86</v>
      </c>
      <c r="G87" s="3" t="inlineStr">
        <is>
          <t>Гидроизоляция ж/б конструкций обмазочная</t>
        </is>
      </c>
      <c r="H87" s="2" t="inlineStr">
        <is>
          <t>м.кв.</t>
        </is>
      </c>
      <c r="I87" s="4" t="n">
        <v>73</v>
      </c>
      <c r="J87" s="4" t="n">
        <v>100</v>
      </c>
      <c r="K87" s="5">
        <f>IF(OR(E87="work",E87="section14_item"),I87*J87,0)</f>
        <v/>
      </c>
      <c r="L87" s="5">
        <f>IF(E87="material",I87*J87,IF(E87="section15_percent",I87/100*(SUMPRODUCT((E$2:E$5000="work")*(B$2:B$5000&lt;&gt;"14")*K$2:K$5000)+SUMPRODUCT((E$2:E$5000="material")*(B$2:B$5000&lt;&gt;"14")*L$2:L$5000)),IF(E87="section15_manual",J87,0)))</f>
        <v/>
      </c>
      <c r="M87" s="3" t="n"/>
    </row>
    <row r="88">
      <c r="A88" s="6" t="inlineStr">
        <is>
          <t>да</t>
        </is>
      </c>
      <c r="B88" s="6" t="inlineStr">
        <is>
          <t>3</t>
        </is>
      </c>
      <c r="C88" s="7" t="inlineStr">
        <is>
          <t>Монолитные железобетонные конструкции</t>
        </is>
      </c>
      <c r="D88" s="6" t="inlineStr">
        <is>
          <t>Стены подпорные, стены бассейна</t>
        </is>
      </c>
      <c r="E88" s="6" t="inlineStr">
        <is>
          <t>material</t>
        </is>
      </c>
      <c r="F88" s="6" t="n">
        <v>87</v>
      </c>
      <c r="G88" s="7" t="inlineStr">
        <is>
          <t>Праймер битумный Bitumast 18кг/21,5л</t>
        </is>
      </c>
      <c r="H88" s="6" t="inlineStr">
        <is>
          <t>шт.</t>
        </is>
      </c>
      <c r="I88" s="8" t="n">
        <v>3</v>
      </c>
      <c r="J88" s="8" t="n">
        <v>100</v>
      </c>
      <c r="K88" s="9">
        <f>IF(OR(E88="work",E88="section14_item"),I88*J88,0)</f>
        <v/>
      </c>
      <c r="L88" s="9">
        <f>IF(E88="material",I88*J88,IF(E88="section15_percent",I88/100*(SUMPRODUCT((E$2:E$5000="work")*(B$2:B$5000&lt;&gt;"14")*K$2:K$5000)+SUMPRODUCT((E$2:E$5000="material")*(B$2:B$5000&lt;&gt;"14")*L$2:L$5000)),IF(E88="section15_manual",J88,0)))</f>
        <v/>
      </c>
      <c r="M88" s="7" t="n"/>
    </row>
    <row r="89">
      <c r="A89" s="6" t="inlineStr">
        <is>
          <t>да</t>
        </is>
      </c>
      <c r="B89" s="6" t="inlineStr">
        <is>
          <t>3</t>
        </is>
      </c>
      <c r="C89" s="7" t="inlineStr">
        <is>
          <t>Монолитные железобетонные конструкции</t>
        </is>
      </c>
      <c r="D89" s="6" t="inlineStr">
        <is>
          <t>Стены подпорные, стены бассейна</t>
        </is>
      </c>
      <c r="E89" s="6" t="inlineStr">
        <is>
          <t>material</t>
        </is>
      </c>
      <c r="F89" s="6" t="n">
        <v>88</v>
      </c>
      <c r="G89" s="7" t="inlineStr">
        <is>
          <t>Мастика гидроизоляционная Bitumast 18кг/21,5л</t>
        </is>
      </c>
      <c r="H89" s="6" t="inlineStr">
        <is>
          <t>шт.</t>
        </is>
      </c>
      <c r="I89" s="8" t="n">
        <v>4</v>
      </c>
      <c r="J89" s="8" t="n">
        <v>100</v>
      </c>
      <c r="K89" s="9">
        <f>IF(OR(E89="work",E89="section14_item"),I89*J89,0)</f>
        <v/>
      </c>
      <c r="L89" s="9">
        <f>IF(E89="material",I89*J89,IF(E89="section15_percent",I89/100*(SUMPRODUCT((E$2:E$5000="work")*(B$2:B$5000&lt;&gt;"14")*K$2:K$5000)+SUMPRODUCT((E$2:E$5000="material")*(B$2:B$5000&lt;&gt;"14")*L$2:L$5000)),IF(E89="section15_manual",J89,0)))</f>
        <v/>
      </c>
      <c r="M89" s="7" t="n"/>
    </row>
    <row r="90">
      <c r="A90" s="2" t="inlineStr">
        <is>
          <t>да</t>
        </is>
      </c>
      <c r="B90" s="2" t="inlineStr">
        <is>
          <t>3</t>
        </is>
      </c>
      <c r="C90" s="3" t="inlineStr">
        <is>
          <t>Монолитные железобетонные конструкции</t>
        </is>
      </c>
      <c r="D90" s="2" t="inlineStr">
        <is>
          <t>Стены подпорные, стены бассейна</t>
        </is>
      </c>
      <c r="E90" s="2" t="inlineStr">
        <is>
          <t>work</t>
        </is>
      </c>
      <c r="F90" s="2" t="n">
        <v>89</v>
      </c>
      <c r="G90" s="3" t="inlineStr">
        <is>
          <t>Гидроизоляция ж/б конструкций обмазочная</t>
        </is>
      </c>
      <c r="H90" s="2" t="inlineStr">
        <is>
          <t>м.кв.</t>
        </is>
      </c>
      <c r="I90" s="4" t="n">
        <v>30.9</v>
      </c>
      <c r="J90" s="4" t="n">
        <v>100</v>
      </c>
      <c r="K90" s="5">
        <f>IF(OR(E90="work",E90="section14_item"),I90*J90,0)</f>
        <v/>
      </c>
      <c r="L90" s="5">
        <f>IF(E90="material",I90*J90,IF(E90="section15_percent",I90/100*(SUMPRODUCT((E$2:E$5000="work")*(B$2:B$5000&lt;&gt;"14")*K$2:K$5000)+SUMPRODUCT((E$2:E$5000="material")*(B$2:B$5000&lt;&gt;"14")*L$2:L$5000)),IF(E90="section15_manual",J90,0)))</f>
        <v/>
      </c>
      <c r="M90" s="3" t="n"/>
    </row>
    <row r="91">
      <c r="A91" s="6" t="inlineStr">
        <is>
          <t>да</t>
        </is>
      </c>
      <c r="B91" s="6" t="inlineStr">
        <is>
          <t>3</t>
        </is>
      </c>
      <c r="C91" s="7" t="inlineStr">
        <is>
          <t>Монолитные железобетонные конструкции</t>
        </is>
      </c>
      <c r="D91" s="6" t="inlineStr">
        <is>
          <t>Стены подпорные, стены бассейна</t>
        </is>
      </c>
      <c r="E91" s="6" t="inlineStr">
        <is>
          <t>material</t>
        </is>
      </c>
      <c r="F91" s="6" t="n">
        <v>90</v>
      </c>
      <c r="G91" s="7" t="inlineStr">
        <is>
          <t>Гидроизоляционный материал Акваблокер Bostik, 14кг</t>
        </is>
      </c>
      <c r="H91" s="6" t="inlineStr">
        <is>
          <t>шт.</t>
        </is>
      </c>
      <c r="I91" s="8" t="n">
        <v>3.5</v>
      </c>
      <c r="J91" s="8" t="n">
        <v>100</v>
      </c>
      <c r="K91" s="9">
        <f>IF(OR(E91="work",E91="section14_item"),I91*J91,0)</f>
        <v/>
      </c>
      <c r="L91" s="9">
        <f>IF(E91="material",I91*J91,IF(E91="section15_percent",I91/100*(SUMPRODUCT((E$2:E$5000="work")*(B$2:B$5000&lt;&gt;"14")*K$2:K$5000)+SUMPRODUCT((E$2:E$5000="material")*(B$2:B$5000&lt;&gt;"14")*L$2:L$5000)),IF(E91="section15_manual",J91,0)))</f>
        <v/>
      </c>
      <c r="M91" s="7" t="n"/>
    </row>
    <row r="92">
      <c r="A92" s="10" t="inlineStr">
        <is>
          <t>да</t>
        </is>
      </c>
      <c r="B92" s="10" t="inlineStr">
        <is>
          <t>3</t>
        </is>
      </c>
      <c r="C92" s="11" t="inlineStr">
        <is>
          <t>Монолитные железобетонные конструкции</t>
        </is>
      </c>
      <c r="D92" s="10" t="inlineStr"/>
      <c r="E92" s="10" t="inlineStr">
        <is>
          <t>subsection</t>
        </is>
      </c>
      <c r="F92" s="10" t="n">
        <v>91</v>
      </c>
      <c r="G92" s="11" t="inlineStr">
        <is>
          <t>Плита перекрытия (частично на основании) 76м.кв., верхняя площадка 23,5м.кв. (на основании)</t>
        </is>
      </c>
      <c r="H92" s="10" t="inlineStr"/>
      <c r="I92" s="12" t="n"/>
      <c r="J92" s="12" t="n"/>
      <c r="K92" s="13">
        <f>IF(OR(E92="work",E92="section14_item"),I92*J92,0)</f>
        <v/>
      </c>
      <c r="L92" s="13">
        <f>IF(E92="material",I92*J92,IF(E92="section15_percent",I92/100*(SUMPRODUCT((E$2:E$5000="work")*(B$2:B$5000&lt;&gt;"14")*K$2:K$5000)+SUMPRODUCT((E$2:E$5000="material")*(B$2:B$5000&lt;&gt;"14")*L$2:L$5000)),IF(E92="section15_manual",J92,0)))</f>
        <v/>
      </c>
      <c r="M92" s="11" t="n"/>
    </row>
    <row r="93">
      <c r="A93" s="2" t="inlineStr">
        <is>
          <t>да</t>
        </is>
      </c>
      <c r="B93" s="2" t="inlineStr">
        <is>
          <t>3</t>
        </is>
      </c>
      <c r="C93" s="3" t="inlineStr">
        <is>
          <t>Монолитные железобетонные конструкции</t>
        </is>
      </c>
      <c r="D93" s="2" t="inlineStr">
        <is>
          <t>Плита перекрытия (частично на основании) 76м.кв., верхняя площадка 23,5м.кв. (на основании)</t>
        </is>
      </c>
      <c r="E93" s="2" t="inlineStr">
        <is>
          <t>work</t>
        </is>
      </c>
      <c r="F93" s="2" t="n">
        <v>92</v>
      </c>
      <c r="G93" s="3" t="inlineStr">
        <is>
          <t>Устройство выравнивающих оснований из песка с трамбованием вручную</t>
        </is>
      </c>
      <c r="H93" s="2" t="inlineStr">
        <is>
          <t>м.куб.</t>
        </is>
      </c>
      <c r="I93" s="4" t="n">
        <v>8.4</v>
      </c>
      <c r="J93" s="4" t="n">
        <v>100</v>
      </c>
      <c r="K93" s="5">
        <f>IF(OR(E93="work",E93="section14_item"),I93*J93,0)</f>
        <v/>
      </c>
      <c r="L93" s="5">
        <f>IF(E93="material",I93*J93,IF(E93="section15_percent",I93/100*(SUMPRODUCT((E$2:E$5000="work")*(B$2:B$5000&lt;&gt;"14")*K$2:K$5000)+SUMPRODUCT((E$2:E$5000="material")*(B$2:B$5000&lt;&gt;"14")*L$2:L$5000)),IF(E93="section15_manual",J93,0)))</f>
        <v/>
      </c>
      <c r="M93" s="3" t="n"/>
    </row>
    <row r="94">
      <c r="A94" s="6" t="inlineStr">
        <is>
          <t>да</t>
        </is>
      </c>
      <c r="B94" s="6" t="inlineStr">
        <is>
          <t>3</t>
        </is>
      </c>
      <c r="C94" s="7" t="inlineStr">
        <is>
          <t>Монолитные железобетонные конструкции</t>
        </is>
      </c>
      <c r="D94" s="6" t="inlineStr">
        <is>
          <t>Плита перекрытия (частично на основании) 76м.кв., верхняя площадка 23,5м.кв. (на основании)</t>
        </is>
      </c>
      <c r="E94" s="6" t="inlineStr">
        <is>
          <t>material</t>
        </is>
      </c>
      <c r="F94" s="6" t="n">
        <v>93</v>
      </c>
      <c r="G94" s="7" t="inlineStr">
        <is>
          <t>Песок намывной (самосвал 20м3)</t>
        </is>
      </c>
      <c r="H94" s="6" t="inlineStr">
        <is>
          <t>м.куб.</t>
        </is>
      </c>
      <c r="I94" s="8" t="n">
        <v>11</v>
      </c>
      <c r="J94" s="8" t="n">
        <v>100</v>
      </c>
      <c r="K94" s="9">
        <f>IF(OR(E94="work",E94="section14_item"),I94*J94,0)</f>
        <v/>
      </c>
      <c r="L94" s="9">
        <f>IF(E94="material",I94*J94,IF(E94="section15_percent",I94/100*(SUMPRODUCT((E$2:E$5000="work")*(B$2:B$5000&lt;&gt;"14")*K$2:K$5000)+SUMPRODUCT((E$2:E$5000="material")*(B$2:B$5000&lt;&gt;"14")*L$2:L$5000)),IF(E94="section15_manual",J94,0)))</f>
        <v/>
      </c>
      <c r="M94" s="7" t="n"/>
    </row>
    <row r="95">
      <c r="A95" s="2" t="inlineStr">
        <is>
          <t>да</t>
        </is>
      </c>
      <c r="B95" s="2" t="inlineStr">
        <is>
          <t>3</t>
        </is>
      </c>
      <c r="C95" s="3" t="inlineStr">
        <is>
          <t>Монолитные железобетонные конструкции</t>
        </is>
      </c>
      <c r="D95" s="2" t="inlineStr">
        <is>
          <t>Плита перекрытия (частично на основании) 76м.кв., верхняя площадка 23,5м.кв. (на основании)</t>
        </is>
      </c>
      <c r="E95" s="2" t="inlineStr">
        <is>
          <t>work</t>
        </is>
      </c>
      <c r="F95" s="2" t="n">
        <v>94</v>
      </c>
      <c r="G95" s="3" t="inlineStr">
        <is>
          <t>Аренда виброплиты 250кг</t>
        </is>
      </c>
      <c r="H95" s="2" t="inlineStr">
        <is>
          <t>смена</t>
        </is>
      </c>
      <c r="I95" s="4" t="n">
        <v>0.3</v>
      </c>
      <c r="J95" s="4" t="n">
        <v>100</v>
      </c>
      <c r="K95" s="5">
        <f>IF(OR(E95="work",E95="section14_item"),I95*J95,0)</f>
        <v/>
      </c>
      <c r="L95" s="5">
        <f>IF(E95="material",I95*J95,IF(E95="section15_percent",I95/100*(SUMPRODUCT((E$2:E$5000="work")*(B$2:B$5000&lt;&gt;"14")*K$2:K$5000)+SUMPRODUCT((E$2:E$5000="material")*(B$2:B$5000&lt;&gt;"14")*L$2:L$5000)),IF(E95="section15_manual",J95,0)))</f>
        <v/>
      </c>
      <c r="M95" s="3" t="n"/>
    </row>
    <row r="96">
      <c r="A96" s="2" t="inlineStr">
        <is>
          <t>да</t>
        </is>
      </c>
      <c r="B96" s="2" t="inlineStr">
        <is>
          <t>3</t>
        </is>
      </c>
      <c r="C96" s="3" t="inlineStr">
        <is>
          <t>Монолитные железобетонные конструкции</t>
        </is>
      </c>
      <c r="D96" s="2" t="inlineStr">
        <is>
          <t>Плита перекрытия (частично на основании) 76м.кв., верхняя площадка 23,5м.кв. (на основании)</t>
        </is>
      </c>
      <c r="E96" s="2" t="inlineStr">
        <is>
          <t>work</t>
        </is>
      </c>
      <c r="F96" s="2" t="n">
        <v>95</v>
      </c>
      <c r="G96" s="3" t="inlineStr">
        <is>
          <t>Укладка геотекстиля</t>
        </is>
      </c>
      <c r="H96" s="2" t="inlineStr">
        <is>
          <t>м.кв.</t>
        </is>
      </c>
      <c r="I96" s="4" t="n">
        <v>84.40000000000001</v>
      </c>
      <c r="J96" s="4" t="n">
        <v>100</v>
      </c>
      <c r="K96" s="5">
        <f>IF(OR(E96="work",E96="section14_item"),I96*J96,0)</f>
        <v/>
      </c>
      <c r="L96" s="5">
        <f>IF(E96="material",I96*J96,IF(E96="section15_percent",I96/100*(SUMPRODUCT((E$2:E$5000="work")*(B$2:B$5000&lt;&gt;"14")*K$2:K$5000)+SUMPRODUCT((E$2:E$5000="material")*(B$2:B$5000&lt;&gt;"14")*L$2:L$5000)),IF(E96="section15_manual",J96,0)))</f>
        <v/>
      </c>
      <c r="M96" s="3" t="n"/>
    </row>
    <row r="97">
      <c r="A97" s="6" t="inlineStr">
        <is>
          <t>да</t>
        </is>
      </c>
      <c r="B97" s="6" t="inlineStr">
        <is>
          <t>3</t>
        </is>
      </c>
      <c r="C97" s="7" t="inlineStr">
        <is>
          <t>Монолитные железобетонные конструкции</t>
        </is>
      </c>
      <c r="D97" s="6" t="inlineStr">
        <is>
          <t>Плита перекрытия (частично на основании) 76м.кв., верхняя площадка 23,5м.кв. (на основании)</t>
        </is>
      </c>
      <c r="E97" s="6" t="inlineStr">
        <is>
          <t>material</t>
        </is>
      </c>
      <c r="F97" s="6" t="n">
        <v>96</v>
      </c>
      <c r="G97" s="7" t="inlineStr">
        <is>
          <t>Геотекстиль плотность 200г/м2</t>
        </is>
      </c>
      <c r="H97" s="6" t="inlineStr">
        <is>
          <t>м.кв.</t>
        </is>
      </c>
      <c r="I97" s="8" t="n">
        <v>101.2</v>
      </c>
      <c r="J97" s="8" t="n">
        <v>100</v>
      </c>
      <c r="K97" s="9">
        <f>IF(OR(E97="work",E97="section14_item"),I97*J97,0)</f>
        <v/>
      </c>
      <c r="L97" s="9">
        <f>IF(E97="material",I97*J97,IF(E97="section15_percent",I97/100*(SUMPRODUCT((E$2:E$5000="work")*(B$2:B$5000&lt;&gt;"14")*K$2:K$5000)+SUMPRODUCT((E$2:E$5000="material")*(B$2:B$5000&lt;&gt;"14")*L$2:L$5000)),IF(E97="section15_manual",J97,0)))</f>
        <v/>
      </c>
      <c r="M97" s="7" t="n"/>
    </row>
    <row r="98">
      <c r="A98" s="2" t="inlineStr">
        <is>
          <t>да</t>
        </is>
      </c>
      <c r="B98" s="2" t="inlineStr">
        <is>
          <t>3</t>
        </is>
      </c>
      <c r="C98" s="3" t="inlineStr">
        <is>
          <t>Монолитные железобетонные конструкции</t>
        </is>
      </c>
      <c r="D98" s="2" t="inlineStr">
        <is>
          <t>Плита перекрытия (частично на основании) 76м.кв., верхняя площадка 23,5м.кв. (на основании)</t>
        </is>
      </c>
      <c r="E98" s="2" t="inlineStr">
        <is>
          <t>work</t>
        </is>
      </c>
      <c r="F98" s="2" t="n">
        <v>97</v>
      </c>
      <c r="G98" s="3" t="inlineStr">
        <is>
          <t>Устройство оснований из щебня с расклинцовкой вручную</t>
        </is>
      </c>
      <c r="H98" s="2" t="inlineStr">
        <is>
          <t>м.куб.</t>
        </is>
      </c>
      <c r="I98" s="4" t="n">
        <v>12.7</v>
      </c>
      <c r="J98" s="4" t="n">
        <v>100</v>
      </c>
      <c r="K98" s="5">
        <f>IF(OR(E98="work",E98="section14_item"),I98*J98,0)</f>
        <v/>
      </c>
      <c r="L98" s="5">
        <f>IF(E98="material",I98*J98,IF(E98="section15_percent",I98/100*(SUMPRODUCT((E$2:E$5000="work")*(B$2:B$5000&lt;&gt;"14")*K$2:K$5000)+SUMPRODUCT((E$2:E$5000="material")*(B$2:B$5000&lt;&gt;"14")*L$2:L$5000)),IF(E98="section15_manual",J98,0)))</f>
        <v/>
      </c>
      <c r="M98" s="3" t="n"/>
    </row>
    <row r="99">
      <c r="A99" s="6" t="inlineStr">
        <is>
          <t>да</t>
        </is>
      </c>
      <c r="B99" s="6" t="inlineStr">
        <is>
          <t>3</t>
        </is>
      </c>
      <c r="C99" s="7" t="inlineStr">
        <is>
          <t>Монолитные железобетонные конструкции</t>
        </is>
      </c>
      <c r="D99" s="6" t="inlineStr">
        <is>
          <t>Плита перекрытия (частично на основании) 76м.кв., верхняя площадка 23,5м.кв. (на основании)</t>
        </is>
      </c>
      <c r="E99" s="6" t="inlineStr">
        <is>
          <t>material</t>
        </is>
      </c>
      <c r="F99" s="6" t="n">
        <v>98</v>
      </c>
      <c r="G99" s="7" t="inlineStr">
        <is>
          <t>Щебень гранитный фр.20-40мм (самосвал 20м3)</t>
        </is>
      </c>
      <c r="H99" s="6" t="inlineStr">
        <is>
          <t>м.куб.</t>
        </is>
      </c>
      <c r="I99" s="8" t="n">
        <v>17.1</v>
      </c>
      <c r="J99" s="8" t="n">
        <v>100</v>
      </c>
      <c r="K99" s="9">
        <f>IF(OR(E99="work",E99="section14_item"),I99*J99,0)</f>
        <v/>
      </c>
      <c r="L99" s="9">
        <f>IF(E99="material",I99*J99,IF(E99="section15_percent",I99/100*(SUMPRODUCT((E$2:E$5000="work")*(B$2:B$5000&lt;&gt;"14")*K$2:K$5000)+SUMPRODUCT((E$2:E$5000="material")*(B$2:B$5000&lt;&gt;"14")*L$2:L$5000)),IF(E99="section15_manual",J99,0)))</f>
        <v/>
      </c>
      <c r="M99" s="7" t="n"/>
    </row>
    <row r="100">
      <c r="A100" s="6" t="inlineStr">
        <is>
          <t>да</t>
        </is>
      </c>
      <c r="B100" s="6" t="inlineStr">
        <is>
          <t>3</t>
        </is>
      </c>
      <c r="C100" s="7" t="inlineStr">
        <is>
          <t>Монолитные железобетонные конструкции</t>
        </is>
      </c>
      <c r="D100" s="6" t="inlineStr">
        <is>
          <t>Плита перекрытия (частично на основании) 76м.кв., верхняя площадка 23,5м.кв. (на основании)</t>
        </is>
      </c>
      <c r="E100" s="6" t="inlineStr">
        <is>
          <t>material</t>
        </is>
      </c>
      <c r="F100" s="6" t="n">
        <v>99</v>
      </c>
      <c r="G100" s="7" t="inlineStr">
        <is>
          <t>Щебень гранитный (фракция 5-20мм) для расклинцовки</t>
        </is>
      </c>
      <c r="H100" s="6" t="inlineStr">
        <is>
          <t>м.куб.</t>
        </is>
      </c>
      <c r="I100" s="8" t="n">
        <v>3.4</v>
      </c>
      <c r="J100" s="8" t="n">
        <v>100</v>
      </c>
      <c r="K100" s="9">
        <f>IF(OR(E100="work",E100="section14_item"),I100*J100,0)</f>
        <v/>
      </c>
      <c r="L100" s="9">
        <f>IF(E100="material",I100*J100,IF(E100="section15_percent",I100/100*(SUMPRODUCT((E$2:E$5000="work")*(B$2:B$5000&lt;&gt;"14")*K$2:K$5000)+SUMPRODUCT((E$2:E$5000="material")*(B$2:B$5000&lt;&gt;"14")*L$2:L$5000)),IF(E100="section15_manual",J100,0)))</f>
        <v/>
      </c>
      <c r="M100" s="7" t="n"/>
    </row>
    <row r="101">
      <c r="A101" s="2" t="inlineStr">
        <is>
          <t>да</t>
        </is>
      </c>
      <c r="B101" s="2" t="inlineStr">
        <is>
          <t>3</t>
        </is>
      </c>
      <c r="C101" s="3" t="inlineStr">
        <is>
          <t>Монолитные железобетонные конструкции</t>
        </is>
      </c>
      <c r="D101" s="2" t="inlineStr">
        <is>
          <t>Плита перекрытия (частично на основании) 76м.кв., верхняя площадка 23,5м.кв. (на основании)</t>
        </is>
      </c>
      <c r="E101" s="2" t="inlineStr">
        <is>
          <t>work</t>
        </is>
      </c>
      <c r="F101" s="2" t="n">
        <v>100</v>
      </c>
      <c r="G101" s="3" t="inlineStr">
        <is>
          <t>Аренда виброплиты 250кг</t>
        </is>
      </c>
      <c r="H101" s="2" t="inlineStr">
        <is>
          <t>смена</t>
        </is>
      </c>
      <c r="I101" s="4" t="n">
        <v>1</v>
      </c>
      <c r="J101" s="4" t="n">
        <v>100</v>
      </c>
      <c r="K101" s="5">
        <f>IF(OR(E101="work",E101="section14_item"),I101*J101,0)</f>
        <v/>
      </c>
      <c r="L101" s="5">
        <f>IF(E101="material",I101*J101,IF(E101="section15_percent",I101/100*(SUMPRODUCT((E$2:E$5000="work")*(B$2:B$5000&lt;&gt;"14")*K$2:K$5000)+SUMPRODUCT((E$2:E$5000="material")*(B$2:B$5000&lt;&gt;"14")*L$2:L$5000)),IF(E101="section15_manual",J101,0)))</f>
        <v/>
      </c>
      <c r="M101" s="3" t="n"/>
    </row>
    <row r="102">
      <c r="A102" s="2" t="inlineStr">
        <is>
          <t>да</t>
        </is>
      </c>
      <c r="B102" s="2" t="inlineStr">
        <is>
          <t>3</t>
        </is>
      </c>
      <c r="C102" s="3" t="inlineStr">
        <is>
          <t>Монолитные железобетонные конструкции</t>
        </is>
      </c>
      <c r="D102" s="2" t="inlineStr">
        <is>
          <t>Плита перекрытия (частично на основании) 76м.кв., верхняя площадка 23,5м.кв. (на основании)</t>
        </is>
      </c>
      <c r="E102" s="2" t="inlineStr">
        <is>
          <t>work</t>
        </is>
      </c>
      <c r="F102" s="2" t="n">
        <v>101</v>
      </c>
      <c r="G102" s="3" t="inlineStr">
        <is>
          <t>Перемещение сыпучих материалов на расстояние до 50м вручную (склон) с коэффициентом сложности</t>
        </is>
      </c>
      <c r="H102" s="2" t="inlineStr">
        <is>
          <t>м.куб.</t>
        </is>
      </c>
      <c r="I102" s="4" t="n">
        <v>31.4</v>
      </c>
      <c r="J102" s="4" t="n">
        <v>100</v>
      </c>
      <c r="K102" s="5">
        <f>IF(OR(E102="work",E102="section14_item"),I102*J102,0)</f>
        <v/>
      </c>
      <c r="L102" s="5">
        <f>IF(E102="material",I102*J102,IF(E102="section15_percent",I102/100*(SUMPRODUCT((E$2:E$5000="work")*(B$2:B$5000&lt;&gt;"14")*K$2:K$5000)+SUMPRODUCT((E$2:E$5000="material")*(B$2:B$5000&lt;&gt;"14")*L$2:L$5000)),IF(E102="section15_manual",J102,0)))</f>
        <v/>
      </c>
      <c r="M102" s="3" t="n"/>
    </row>
    <row r="103">
      <c r="A103" s="2" t="inlineStr">
        <is>
          <t>да</t>
        </is>
      </c>
      <c r="B103" s="2" t="inlineStr">
        <is>
          <t>3</t>
        </is>
      </c>
      <c r="C103" s="3" t="inlineStr">
        <is>
          <t>Монолитные железобетонные конструкции</t>
        </is>
      </c>
      <c r="D103" s="2" t="inlineStr">
        <is>
          <t>Плита перекрытия (частично на основании) 76м.кв., верхняя площадка 23,5м.кв. (на основании)</t>
        </is>
      </c>
      <c r="E103" s="2" t="inlineStr">
        <is>
          <t>work</t>
        </is>
      </c>
      <c r="F103" s="2" t="n">
        <v>102</v>
      </c>
      <c r="G103" s="3" t="inlineStr">
        <is>
          <t>Устройство гидроизоляции подкладочной</t>
        </is>
      </c>
      <c r="H103" s="2" t="inlineStr">
        <is>
          <t>м.кв.</t>
        </is>
      </c>
      <c r="I103" s="4" t="n">
        <v>84.40000000000001</v>
      </c>
      <c r="J103" s="4" t="n">
        <v>100</v>
      </c>
      <c r="K103" s="5">
        <f>IF(OR(E103="work",E103="section14_item"),I103*J103,0)</f>
        <v/>
      </c>
      <c r="L103" s="5">
        <f>IF(E103="material",I103*J103,IF(E103="section15_percent",I103/100*(SUMPRODUCT((E$2:E$5000="work")*(B$2:B$5000&lt;&gt;"14")*K$2:K$5000)+SUMPRODUCT((E$2:E$5000="material")*(B$2:B$5000&lt;&gt;"14")*L$2:L$5000)),IF(E103="section15_manual",J103,0)))</f>
        <v/>
      </c>
      <c r="M103" s="3" t="n"/>
    </row>
    <row r="104">
      <c r="A104" s="6" t="inlineStr">
        <is>
          <t>да</t>
        </is>
      </c>
      <c r="B104" s="6" t="inlineStr">
        <is>
          <t>3</t>
        </is>
      </c>
      <c r="C104" s="7" t="inlineStr">
        <is>
          <t>Монолитные железобетонные конструкции</t>
        </is>
      </c>
      <c r="D104" s="6" t="inlineStr">
        <is>
          <t>Плита перекрытия (частично на основании) 76м.кв., верхняя площадка 23,5м.кв. (на основании)</t>
        </is>
      </c>
      <c r="E104" s="6" t="inlineStr">
        <is>
          <t>material</t>
        </is>
      </c>
      <c r="F104" s="6" t="n">
        <v>103</v>
      </c>
      <c r="G104" s="7" t="inlineStr">
        <is>
          <t>Рубероид РКП-350 ГОСТ</t>
        </is>
      </c>
      <c r="H104" s="6" t="inlineStr">
        <is>
          <t>м.кв.</t>
        </is>
      </c>
      <c r="I104" s="8" t="n">
        <v>105.5</v>
      </c>
      <c r="J104" s="8" t="n">
        <v>100</v>
      </c>
      <c r="K104" s="9">
        <f>IF(OR(E104="work",E104="section14_item"),I104*J104,0)</f>
        <v/>
      </c>
      <c r="L104" s="9">
        <f>IF(E104="material",I104*J104,IF(E104="section15_percent",I104/100*(SUMPRODUCT((E$2:E$5000="work")*(B$2:B$5000&lt;&gt;"14")*K$2:K$5000)+SUMPRODUCT((E$2:E$5000="material")*(B$2:B$5000&lt;&gt;"14")*L$2:L$5000)),IF(E104="section15_manual",J104,0)))</f>
        <v/>
      </c>
      <c r="M104" s="7" t="n"/>
    </row>
    <row r="105">
      <c r="A105" s="2" t="inlineStr">
        <is>
          <t>да</t>
        </is>
      </c>
      <c r="B105" s="2" t="inlineStr">
        <is>
          <t>3</t>
        </is>
      </c>
      <c r="C105" s="3" t="inlineStr">
        <is>
          <t>Монолитные железобетонные конструкции</t>
        </is>
      </c>
      <c r="D105" s="2" t="inlineStr">
        <is>
          <t>Плита перекрытия (частично на основании) 76м.кв., верхняя площадка 23,5м.кв. (на основании)</t>
        </is>
      </c>
      <c r="E105" s="2" t="inlineStr">
        <is>
          <t>work</t>
        </is>
      </c>
      <c r="F105" s="2" t="n">
        <v>104</v>
      </c>
      <c r="G105" s="3" t="inlineStr">
        <is>
          <t>Сборка щитов опалубки, выставление опалубки, снятие опалубки</t>
        </is>
      </c>
      <c r="H105" s="2" t="inlineStr">
        <is>
          <t>м.кв.</t>
        </is>
      </c>
      <c r="I105" s="4" t="n">
        <v>22.8</v>
      </c>
      <c r="J105" s="4" t="n">
        <v>100</v>
      </c>
      <c r="K105" s="5">
        <f>IF(OR(E105="work",E105="section14_item"),I105*J105,0)</f>
        <v/>
      </c>
      <c r="L105" s="5">
        <f>IF(E105="material",I105*J105,IF(E105="section15_percent",I105/100*(SUMPRODUCT((E$2:E$5000="work")*(B$2:B$5000&lt;&gt;"14")*K$2:K$5000)+SUMPRODUCT((E$2:E$5000="material")*(B$2:B$5000&lt;&gt;"14")*L$2:L$5000)),IF(E105="section15_manual",J105,0)))</f>
        <v/>
      </c>
      <c r="M105" s="3" t="n"/>
    </row>
    <row r="106">
      <c r="A106" s="6" t="inlineStr">
        <is>
          <t>да</t>
        </is>
      </c>
      <c r="B106" s="6" t="inlineStr">
        <is>
          <t>3</t>
        </is>
      </c>
      <c r="C106" s="7" t="inlineStr">
        <is>
          <t>Монолитные железобетонные конструкции</t>
        </is>
      </c>
      <c r="D106" s="6" t="inlineStr">
        <is>
          <t>Плита перекрытия (частично на основании) 76м.кв., верхняя площадка 23,5м.кв. (на основании)</t>
        </is>
      </c>
      <c r="E106" s="6" t="inlineStr">
        <is>
          <t>material</t>
        </is>
      </c>
      <c r="F106" s="6" t="n">
        <v>105</v>
      </c>
      <c r="G106" s="7" t="inlineStr">
        <is>
          <t>Фанера ламинированная 18мм, комплект опалубки перекрытий</t>
        </is>
      </c>
      <c r="H106" s="6" t="inlineStr">
        <is>
          <t>м.кв.</t>
        </is>
      </c>
      <c r="I106" s="8" t="n">
        <v>22.8</v>
      </c>
      <c r="J106" s="8" t="n">
        <v>100</v>
      </c>
      <c r="K106" s="9">
        <f>IF(OR(E106="work",E106="section14_item"),I106*J106,0)</f>
        <v/>
      </c>
      <c r="L106" s="9">
        <f>IF(E106="material",I106*J106,IF(E106="section15_percent",I106/100*(SUMPRODUCT((E$2:E$5000="work")*(B$2:B$5000&lt;&gt;"14")*K$2:K$5000)+SUMPRODUCT((E$2:E$5000="material")*(B$2:B$5000&lt;&gt;"14")*L$2:L$5000)),IF(E106="section15_manual",J106,0)))</f>
        <v/>
      </c>
      <c r="M106" s="7" t="n"/>
    </row>
    <row r="107">
      <c r="A107" s="6" t="inlineStr">
        <is>
          <t>да</t>
        </is>
      </c>
      <c r="B107" s="6" t="inlineStr">
        <is>
          <t>3</t>
        </is>
      </c>
      <c r="C107" s="7" t="inlineStr">
        <is>
          <t>Монолитные железобетонные конструкции</t>
        </is>
      </c>
      <c r="D107" s="6" t="inlineStr">
        <is>
          <t>Плита перекрытия (частично на основании) 76м.кв., верхняя площадка 23,5м.кв. (на основании)</t>
        </is>
      </c>
      <c r="E107" s="6" t="inlineStr">
        <is>
          <t>material</t>
        </is>
      </c>
      <c r="F107" s="6" t="n">
        <v>106</v>
      </c>
      <c r="G107" s="7" t="inlineStr">
        <is>
          <t>Прочие материалы (крепеж, метизы, диски пильные, эмульсия)</t>
        </is>
      </c>
      <c r="H107" s="6" t="inlineStr">
        <is>
          <t>м.кв.</t>
        </is>
      </c>
      <c r="I107" s="8" t="n">
        <v>22.8</v>
      </c>
      <c r="J107" s="8" t="n">
        <v>100</v>
      </c>
      <c r="K107" s="9">
        <f>IF(OR(E107="work",E107="section14_item"),I107*J107,0)</f>
        <v/>
      </c>
      <c r="L107" s="9">
        <f>IF(E107="material",I107*J107,IF(E107="section15_percent",I107/100*(SUMPRODUCT((E$2:E$5000="work")*(B$2:B$5000&lt;&gt;"14")*K$2:K$5000)+SUMPRODUCT((E$2:E$5000="material")*(B$2:B$5000&lt;&gt;"14")*L$2:L$5000)),IF(E107="section15_manual",J107,0)))</f>
        <v/>
      </c>
      <c r="M107" s="7" t="n"/>
    </row>
    <row r="108">
      <c r="A108" s="2" t="inlineStr">
        <is>
          <t>да</t>
        </is>
      </c>
      <c r="B108" s="2" t="inlineStr">
        <is>
          <t>3</t>
        </is>
      </c>
      <c r="C108" s="3" t="inlineStr">
        <is>
          <t>Монолитные железобетонные конструкции</t>
        </is>
      </c>
      <c r="D108" s="2" t="inlineStr">
        <is>
          <t>Плита перекрытия (частично на основании) 76м.кв., верхняя площадка 23,5м.кв. (на основании)</t>
        </is>
      </c>
      <c r="E108" s="2" t="inlineStr">
        <is>
          <t>work</t>
        </is>
      </c>
      <c r="F108" s="2" t="n">
        <v>107</v>
      </c>
      <c r="G108" s="3" t="inlineStr">
        <is>
          <t>Устройство ж/б фундаментной плиты, плиты перекрытия 200мм (армирование, заливка бетона с вибрированием)</t>
        </is>
      </c>
      <c r="H108" s="2" t="inlineStr">
        <is>
          <t>м.куб.</t>
        </is>
      </c>
      <c r="I108" s="4" t="n">
        <v>19.9</v>
      </c>
      <c r="J108" s="4" t="n">
        <v>100</v>
      </c>
      <c r="K108" s="5">
        <f>IF(OR(E108="work",E108="section14_item"),I108*J108,0)</f>
        <v/>
      </c>
      <c r="L108" s="5">
        <f>IF(E108="material",I108*J108,IF(E108="section15_percent",I108/100*(SUMPRODUCT((E$2:E$5000="work")*(B$2:B$5000&lt;&gt;"14")*K$2:K$5000)+SUMPRODUCT((E$2:E$5000="material")*(B$2:B$5000&lt;&gt;"14")*L$2:L$5000)),IF(E108="section15_manual",J108,0)))</f>
        <v/>
      </c>
      <c r="M108" s="3" t="n"/>
    </row>
    <row r="109">
      <c r="A109" s="6" t="inlineStr">
        <is>
          <t>да</t>
        </is>
      </c>
      <c r="B109" s="6" t="inlineStr">
        <is>
          <t>3</t>
        </is>
      </c>
      <c r="C109" s="7" t="inlineStr">
        <is>
          <t>Монолитные железобетонные конструкции</t>
        </is>
      </c>
      <c r="D109" s="6" t="inlineStr">
        <is>
          <t>Плита перекрытия (частично на основании) 76м.кв., верхняя площадка 23,5м.кв. (на основании)</t>
        </is>
      </c>
      <c r="E109" s="6" t="inlineStr">
        <is>
          <t>material</t>
        </is>
      </c>
      <c r="F109" s="6" t="n">
        <v>108</v>
      </c>
      <c r="G109" s="7" t="inlineStr">
        <is>
          <t>Бетон товарный В25 W8 F150</t>
        </is>
      </c>
      <c r="H109" s="6" t="inlineStr">
        <is>
          <t>м.куб.</t>
        </is>
      </c>
      <c r="I109" s="8" t="n">
        <v>21.9</v>
      </c>
      <c r="J109" s="8" t="n">
        <v>100</v>
      </c>
      <c r="K109" s="9">
        <f>IF(OR(E109="work",E109="section14_item"),I109*J109,0)</f>
        <v/>
      </c>
      <c r="L109" s="9">
        <f>IF(E109="material",I109*J109,IF(E109="section15_percent",I109/100*(SUMPRODUCT((E$2:E$5000="work")*(B$2:B$5000&lt;&gt;"14")*K$2:K$5000)+SUMPRODUCT((E$2:E$5000="material")*(B$2:B$5000&lt;&gt;"14")*L$2:L$5000)),IF(E109="section15_manual",J109,0)))</f>
        <v/>
      </c>
      <c r="M109" s="7" t="n"/>
    </row>
    <row r="110">
      <c r="A110" s="2" t="inlineStr">
        <is>
          <t>да</t>
        </is>
      </c>
      <c r="B110" s="2" t="inlineStr">
        <is>
          <t>3</t>
        </is>
      </c>
      <c r="C110" s="3" t="inlineStr">
        <is>
          <t>Монолитные железобетонные конструкции</t>
        </is>
      </c>
      <c r="D110" s="2" t="inlineStr">
        <is>
          <t>Плита перекрытия (частично на основании) 76м.кв., верхняя площадка 23,5м.кв. (на основании)</t>
        </is>
      </c>
      <c r="E110" s="2" t="inlineStr">
        <is>
          <t>work</t>
        </is>
      </c>
      <c r="F110" s="2" t="n">
        <v>109</v>
      </c>
      <c r="G110" s="3" t="inlineStr">
        <is>
          <t>Аренда бетононасоса</t>
        </is>
      </c>
      <c r="H110" s="2" t="inlineStr">
        <is>
          <t>маш./см.</t>
        </is>
      </c>
      <c r="I110" s="4" t="n">
        <v>2</v>
      </c>
      <c r="J110" s="4" t="n">
        <v>100</v>
      </c>
      <c r="K110" s="5">
        <f>IF(OR(E110="work",E110="section14_item"),I110*J110,0)</f>
        <v/>
      </c>
      <c r="L110" s="5">
        <f>IF(E110="material",I110*J110,IF(E110="section15_percent",I110/100*(SUMPRODUCT((E$2:E$5000="work")*(B$2:B$5000&lt;&gt;"14")*K$2:K$5000)+SUMPRODUCT((E$2:E$5000="material")*(B$2:B$5000&lt;&gt;"14")*L$2:L$5000)),IF(E110="section15_manual",J110,0)))</f>
        <v/>
      </c>
      <c r="M110" s="3" t="n"/>
    </row>
    <row r="111">
      <c r="A111" s="2" t="inlineStr">
        <is>
          <t>да</t>
        </is>
      </c>
      <c r="B111" s="2" t="inlineStr">
        <is>
          <t>3</t>
        </is>
      </c>
      <c r="C111" s="3" t="inlineStr">
        <is>
          <t>Монолитные железобетонные конструкции</t>
        </is>
      </c>
      <c r="D111" s="2" t="inlineStr">
        <is>
          <t>Плита перекрытия (частично на основании) 76м.кв., верхняя площадка 23,5м.кв. (на основании)</t>
        </is>
      </c>
      <c r="E111" s="2" t="inlineStr">
        <is>
          <t>work</t>
        </is>
      </c>
      <c r="F111" s="2" t="n">
        <v>110</v>
      </c>
      <c r="G111" s="3" t="inlineStr">
        <is>
          <t>Аренда шлангов 30м</t>
        </is>
      </c>
      <c r="H111" s="2" t="inlineStr">
        <is>
          <t>маш./см.</t>
        </is>
      </c>
      <c r="I111" s="4" t="n">
        <v>2</v>
      </c>
      <c r="J111" s="4" t="n">
        <v>100</v>
      </c>
      <c r="K111" s="5">
        <f>IF(OR(E111="work",E111="section14_item"),I111*J111,0)</f>
        <v/>
      </c>
      <c r="L111" s="5">
        <f>IF(E111="material",I111*J111,IF(E111="section15_percent",I111/100*(SUMPRODUCT((E$2:E$5000="work")*(B$2:B$5000&lt;&gt;"14")*K$2:K$5000)+SUMPRODUCT((E$2:E$5000="material")*(B$2:B$5000&lt;&gt;"14")*L$2:L$5000)),IF(E111="section15_manual",J111,0)))</f>
        <v/>
      </c>
      <c r="M111" s="3" t="n"/>
    </row>
    <row r="112">
      <c r="A112" s="6" t="inlineStr">
        <is>
          <t>да</t>
        </is>
      </c>
      <c r="B112" s="6" t="inlineStr">
        <is>
          <t>3</t>
        </is>
      </c>
      <c r="C112" s="7" t="inlineStr">
        <is>
          <t>Монолитные железобетонные конструкции</t>
        </is>
      </c>
      <c r="D112" s="6" t="inlineStr">
        <is>
          <t>Плита перекрытия (частично на основании) 76м.кв., верхняя площадка 23,5м.кв. (на основании)</t>
        </is>
      </c>
      <c r="E112" s="6" t="inlineStr">
        <is>
          <t>material</t>
        </is>
      </c>
      <c r="F112" s="6" t="n">
        <v>111</v>
      </c>
      <c r="G112" s="7" t="inlineStr">
        <is>
          <t>Прочие материалы (бруски, метизы,  вязальная проволока, фиксаторы для арматуры, диски алмазные, отрезные)</t>
        </is>
      </c>
      <c r="H112" s="6" t="inlineStr">
        <is>
          <t>м.кв.</t>
        </is>
      </c>
      <c r="I112" s="8" t="n">
        <v>19.9</v>
      </c>
      <c r="J112" s="8" t="n">
        <v>100</v>
      </c>
      <c r="K112" s="9">
        <f>IF(OR(E112="work",E112="section14_item"),I112*J112,0)</f>
        <v/>
      </c>
      <c r="L112" s="9">
        <f>IF(E112="material",I112*J112,IF(E112="section15_percent",I112/100*(SUMPRODUCT((E$2:E$5000="work")*(B$2:B$5000&lt;&gt;"14")*K$2:K$5000)+SUMPRODUCT((E$2:E$5000="material")*(B$2:B$5000&lt;&gt;"14")*L$2:L$5000)),IF(E112="section15_manual",J112,0)))</f>
        <v/>
      </c>
      <c r="M112" s="7" t="n"/>
    </row>
    <row r="113">
      <c r="A113" s="2" t="inlineStr">
        <is>
          <t>да</t>
        </is>
      </c>
      <c r="B113" s="2" t="inlineStr">
        <is>
          <t>3</t>
        </is>
      </c>
      <c r="C113" s="3" t="inlineStr">
        <is>
          <t>Монолитные железобетонные конструкции</t>
        </is>
      </c>
      <c r="D113" s="2" t="inlineStr">
        <is>
          <t>Плита перекрытия (частично на основании) 76м.кв., верхняя площадка 23,5м.кв. (на основании)</t>
        </is>
      </c>
      <c r="E113" s="2" t="inlineStr">
        <is>
          <t>work</t>
        </is>
      </c>
      <c r="F113" s="2" t="n">
        <v>112</v>
      </c>
      <c r="G113" s="3" t="inlineStr">
        <is>
          <t>Уход за бетоном</t>
        </is>
      </c>
      <c r="H113" s="2" t="inlineStr">
        <is>
          <t>м.кв.</t>
        </is>
      </c>
      <c r="I113" s="4" t="n">
        <v>99.5</v>
      </c>
      <c r="J113" s="4" t="n">
        <v>100</v>
      </c>
      <c r="K113" s="5">
        <f>IF(OR(E113="work",E113="section14_item"),I113*J113,0)</f>
        <v/>
      </c>
      <c r="L113" s="5">
        <f>IF(E113="material",I113*J113,IF(E113="section15_percent",I113/100*(SUMPRODUCT((E$2:E$5000="work")*(B$2:B$5000&lt;&gt;"14")*K$2:K$5000)+SUMPRODUCT((E$2:E$5000="material")*(B$2:B$5000&lt;&gt;"14")*L$2:L$5000)),IF(E113="section15_manual",J113,0)))</f>
        <v/>
      </c>
      <c r="M113" s="3" t="n"/>
    </row>
    <row r="114">
      <c r="A114" s="6" t="inlineStr">
        <is>
          <t>да</t>
        </is>
      </c>
      <c r="B114" s="6" t="inlineStr">
        <is>
          <t>3</t>
        </is>
      </c>
      <c r="C114" s="7" t="inlineStr">
        <is>
          <t>Монолитные железобетонные конструкции</t>
        </is>
      </c>
      <c r="D114" s="6" t="inlineStr">
        <is>
          <t>Плита перекрытия (частично на основании) 76м.кв., верхняя площадка 23,5м.кв. (на основании)</t>
        </is>
      </c>
      <c r="E114" s="6" t="inlineStr">
        <is>
          <t>material</t>
        </is>
      </c>
      <c r="F114" s="6" t="n">
        <v>113</v>
      </c>
      <c r="G114" s="7" t="inlineStr">
        <is>
          <t>Пленка техническая полиэтиленовая 200мк</t>
        </is>
      </c>
      <c r="H114" s="6" t="inlineStr">
        <is>
          <t>м.кв.</t>
        </is>
      </c>
      <c r="I114" s="8" t="n">
        <v>119.4</v>
      </c>
      <c r="J114" s="8" t="n">
        <v>100</v>
      </c>
      <c r="K114" s="9">
        <f>IF(OR(E114="work",E114="section14_item"),I114*J114,0)</f>
        <v/>
      </c>
      <c r="L114" s="9">
        <f>IF(E114="material",I114*J114,IF(E114="section15_percent",I114/100*(SUMPRODUCT((E$2:E$5000="work")*(B$2:B$5000&lt;&gt;"14")*K$2:K$5000)+SUMPRODUCT((E$2:E$5000="material")*(B$2:B$5000&lt;&gt;"14")*L$2:L$5000)),IF(E114="section15_manual",J114,0)))</f>
        <v/>
      </c>
      <c r="M114" s="7" t="n"/>
    </row>
    <row r="115">
      <c r="A115" s="10" t="inlineStr">
        <is>
          <t>да</t>
        </is>
      </c>
      <c r="B115" s="10" t="inlineStr">
        <is>
          <t>3</t>
        </is>
      </c>
      <c r="C115" s="11" t="inlineStr">
        <is>
          <t>Монолитные железобетонные конструкции</t>
        </is>
      </c>
      <c r="D115" s="10" t="inlineStr"/>
      <c r="E115" s="10" t="inlineStr">
        <is>
          <t>subsection</t>
        </is>
      </c>
      <c r="F115" s="10" t="n">
        <v>114</v>
      </c>
      <c r="G115" s="11" t="inlineStr">
        <is>
          <t>Лестницы - бассейн, к бассейну, на террасу, подпорная верхняя стенка</t>
        </is>
      </c>
      <c r="H115" s="10" t="inlineStr"/>
      <c r="I115" s="12" t="n"/>
      <c r="J115" s="12" t="n"/>
      <c r="K115" s="13">
        <f>IF(OR(E115="work",E115="section14_item"),I115*J115,0)</f>
        <v/>
      </c>
      <c r="L115" s="13">
        <f>IF(E115="material",I115*J115,IF(E115="section15_percent",I115/100*(SUMPRODUCT((E$2:E$5000="work")*(B$2:B$5000&lt;&gt;"14")*K$2:K$5000)+SUMPRODUCT((E$2:E$5000="material")*(B$2:B$5000&lt;&gt;"14")*L$2:L$5000)),IF(E115="section15_manual",J115,0)))</f>
        <v/>
      </c>
      <c r="M115" s="11" t="n"/>
    </row>
    <row r="116">
      <c r="A116" s="2" t="inlineStr">
        <is>
          <t>да</t>
        </is>
      </c>
      <c r="B116" s="2" t="inlineStr">
        <is>
          <t>3</t>
        </is>
      </c>
      <c r="C116" s="3" t="inlineStr">
        <is>
          <t>Монолитные железобетонные конструкции</t>
        </is>
      </c>
      <c r="D116" s="2" t="inlineStr">
        <is>
          <t>Лестницы - бассейн, к бассейну, на террасу, подпорная верхняя стенка</t>
        </is>
      </c>
      <c r="E116" s="2" t="inlineStr">
        <is>
          <t>work</t>
        </is>
      </c>
      <c r="F116" s="2" t="n">
        <v>115</v>
      </c>
      <c r="G116" s="3" t="inlineStr">
        <is>
          <t>Сборка щитов опалубки, выставление опалубки, снятие опалубки</t>
        </is>
      </c>
      <c r="H116" s="2" t="inlineStr">
        <is>
          <t>м.кв.</t>
        </is>
      </c>
      <c r="I116" s="4" t="n">
        <v>24.8</v>
      </c>
      <c r="J116" s="4" t="n">
        <v>100</v>
      </c>
      <c r="K116" s="5">
        <f>IF(OR(E116="work",E116="section14_item"),I116*J116,0)</f>
        <v/>
      </c>
      <c r="L116" s="5">
        <f>IF(E116="material",I116*J116,IF(E116="section15_percent",I116/100*(SUMPRODUCT((E$2:E$5000="work")*(B$2:B$5000&lt;&gt;"14")*K$2:K$5000)+SUMPRODUCT((E$2:E$5000="material")*(B$2:B$5000&lt;&gt;"14")*L$2:L$5000)),IF(E116="section15_manual",J116,0)))</f>
        <v/>
      </c>
      <c r="M116" s="3" t="n"/>
    </row>
    <row r="117">
      <c r="A117" s="6" t="inlineStr">
        <is>
          <t>да</t>
        </is>
      </c>
      <c r="B117" s="6" t="inlineStr">
        <is>
          <t>3</t>
        </is>
      </c>
      <c r="C117" s="7" t="inlineStr">
        <is>
          <t>Монолитные железобетонные конструкции</t>
        </is>
      </c>
      <c r="D117" s="6" t="inlineStr">
        <is>
          <t>Лестницы - бассейн, к бассейну, на террасу, подпорная верхняя стенка</t>
        </is>
      </c>
      <c r="E117" s="6" t="inlineStr">
        <is>
          <t>material</t>
        </is>
      </c>
      <c r="F117" s="6" t="n">
        <v>116</v>
      </c>
      <c r="G117" s="7" t="inlineStr">
        <is>
          <t>Фанера ламинированная 18мм,  доски</t>
        </is>
      </c>
      <c r="H117" s="6" t="inlineStr">
        <is>
          <t>м.кв.</t>
        </is>
      </c>
      <c r="I117" s="8" t="n">
        <v>24.8</v>
      </c>
      <c r="J117" s="8" t="n">
        <v>100</v>
      </c>
      <c r="K117" s="9">
        <f>IF(OR(E117="work",E117="section14_item"),I117*J117,0)</f>
        <v/>
      </c>
      <c r="L117" s="9">
        <f>IF(E117="material",I117*J117,IF(E117="section15_percent",I117/100*(SUMPRODUCT((E$2:E$5000="work")*(B$2:B$5000&lt;&gt;"14")*K$2:K$5000)+SUMPRODUCT((E$2:E$5000="material")*(B$2:B$5000&lt;&gt;"14")*L$2:L$5000)),IF(E117="section15_manual",J117,0)))</f>
        <v/>
      </c>
      <c r="M117" s="7" t="n"/>
    </row>
    <row r="118">
      <c r="A118" s="6" t="inlineStr">
        <is>
          <t>да</t>
        </is>
      </c>
      <c r="B118" s="6" t="inlineStr">
        <is>
          <t>3</t>
        </is>
      </c>
      <c r="C118" s="7" t="inlineStr">
        <is>
          <t>Монолитные железобетонные конструкции</t>
        </is>
      </c>
      <c r="D118" s="6" t="inlineStr">
        <is>
          <t>Лестницы - бассейн, к бассейну, на террасу, подпорная верхняя стенка</t>
        </is>
      </c>
      <c r="E118" s="6" t="inlineStr">
        <is>
          <t>material</t>
        </is>
      </c>
      <c r="F118" s="6" t="n">
        <v>117</v>
      </c>
      <c r="G118" s="7" t="inlineStr">
        <is>
          <t>Прочие материалы (крепеж, метизы, диски пильные, эмульсия)</t>
        </is>
      </c>
      <c r="H118" s="6" t="inlineStr">
        <is>
          <t>м.кв.</t>
        </is>
      </c>
      <c r="I118" s="8" t="n">
        <v>24.8</v>
      </c>
      <c r="J118" s="8" t="n">
        <v>100</v>
      </c>
      <c r="K118" s="9">
        <f>IF(OR(E118="work",E118="section14_item"),I118*J118,0)</f>
        <v/>
      </c>
      <c r="L118" s="9">
        <f>IF(E118="material",I118*J118,IF(E118="section15_percent",I118/100*(SUMPRODUCT((E$2:E$5000="work")*(B$2:B$5000&lt;&gt;"14")*K$2:K$5000)+SUMPRODUCT((E$2:E$5000="material")*(B$2:B$5000&lt;&gt;"14")*L$2:L$5000)),IF(E118="section15_manual",J118,0)))</f>
        <v/>
      </c>
      <c r="M118" s="7" t="n"/>
    </row>
    <row r="119">
      <c r="A119" s="2" t="inlineStr">
        <is>
          <t>да</t>
        </is>
      </c>
      <c r="B119" s="2" t="inlineStr">
        <is>
          <t>3</t>
        </is>
      </c>
      <c r="C119" s="3" t="inlineStr">
        <is>
          <t>Монолитные железобетонные конструкции</t>
        </is>
      </c>
      <c r="D119" s="2" t="inlineStr">
        <is>
          <t>Лестницы - бассейн, к бассейну, на террасу, подпорная верхняя стенка</t>
        </is>
      </c>
      <c r="E119" s="2" t="inlineStr">
        <is>
          <t>work</t>
        </is>
      </c>
      <c r="F119" s="2" t="n">
        <v>118</v>
      </c>
      <c r="G119" s="3" t="inlineStr">
        <is>
          <t>Устройство ж/б лестниц (армирование, заливка бетона)</t>
        </is>
      </c>
      <c r="H119" s="2" t="inlineStr">
        <is>
          <t>м.куб.</t>
        </is>
      </c>
      <c r="I119" s="4" t="n">
        <v>7.4</v>
      </c>
      <c r="J119" s="4" t="n">
        <v>100</v>
      </c>
      <c r="K119" s="5">
        <f>IF(OR(E119="work",E119="section14_item"),I119*J119,0)</f>
        <v/>
      </c>
      <c r="L119" s="5">
        <f>IF(E119="material",I119*J119,IF(E119="section15_percent",I119/100*(SUMPRODUCT((E$2:E$5000="work")*(B$2:B$5000&lt;&gt;"14")*K$2:K$5000)+SUMPRODUCT((E$2:E$5000="material")*(B$2:B$5000&lt;&gt;"14")*L$2:L$5000)),IF(E119="section15_manual",J119,0)))</f>
        <v/>
      </c>
      <c r="M119" s="3" t="n"/>
    </row>
    <row r="120">
      <c r="A120" s="6" t="inlineStr">
        <is>
          <t>да</t>
        </is>
      </c>
      <c r="B120" s="6" t="inlineStr">
        <is>
          <t>3</t>
        </is>
      </c>
      <c r="C120" s="7" t="inlineStr">
        <is>
          <t>Монолитные железобетонные конструкции</t>
        </is>
      </c>
      <c r="D120" s="6" t="inlineStr">
        <is>
          <t>Лестницы - бассейн, к бассейну, на террасу, подпорная верхняя стенка</t>
        </is>
      </c>
      <c r="E120" s="6" t="inlineStr">
        <is>
          <t>material</t>
        </is>
      </c>
      <c r="F120" s="6" t="n">
        <v>119</v>
      </c>
      <c r="G120" s="7" t="inlineStr">
        <is>
          <t>Бетон товарный В25 W8 F150</t>
        </is>
      </c>
      <c r="H120" s="6" t="inlineStr">
        <is>
          <t>м.куб.</t>
        </is>
      </c>
      <c r="I120" s="8" t="n">
        <v>8.1</v>
      </c>
      <c r="J120" s="8" t="n">
        <v>100</v>
      </c>
      <c r="K120" s="9">
        <f>IF(OR(E120="work",E120="section14_item"),I120*J120,0)</f>
        <v/>
      </c>
      <c r="L120" s="9">
        <f>IF(E120="material",I120*J120,IF(E120="section15_percent",I120/100*(SUMPRODUCT((E$2:E$5000="work")*(B$2:B$5000&lt;&gt;"14")*K$2:K$5000)+SUMPRODUCT((E$2:E$5000="material")*(B$2:B$5000&lt;&gt;"14")*L$2:L$5000)),IF(E120="section15_manual",J120,0)))</f>
        <v/>
      </c>
      <c r="M120" s="7" t="n"/>
    </row>
    <row r="121">
      <c r="A121" s="2" t="inlineStr">
        <is>
          <t>да</t>
        </is>
      </c>
      <c r="B121" s="2" t="inlineStr">
        <is>
          <t>3</t>
        </is>
      </c>
      <c r="C121" s="3" t="inlineStr">
        <is>
          <t>Монолитные железобетонные конструкции</t>
        </is>
      </c>
      <c r="D121" s="2" t="inlineStr">
        <is>
          <t>Лестницы - бассейн, к бассейну, на террасу, подпорная верхняя стенка</t>
        </is>
      </c>
      <c r="E121" s="2" t="inlineStr">
        <is>
          <t>work</t>
        </is>
      </c>
      <c r="F121" s="2" t="n">
        <v>120</v>
      </c>
      <c r="G121" s="3" t="inlineStr">
        <is>
          <t>Аренда бетононасоса</t>
        </is>
      </c>
      <c r="H121" s="2" t="inlineStr">
        <is>
          <t>маш./см.</t>
        </is>
      </c>
      <c r="I121" s="4" t="n">
        <v>2</v>
      </c>
      <c r="J121" s="4" t="n">
        <v>100</v>
      </c>
      <c r="K121" s="5">
        <f>IF(OR(E121="work",E121="section14_item"),I121*J121,0)</f>
        <v/>
      </c>
      <c r="L121" s="5">
        <f>IF(E121="material",I121*J121,IF(E121="section15_percent",I121/100*(SUMPRODUCT((E$2:E$5000="work")*(B$2:B$5000&lt;&gt;"14")*K$2:K$5000)+SUMPRODUCT((E$2:E$5000="material")*(B$2:B$5000&lt;&gt;"14")*L$2:L$5000)),IF(E121="section15_manual",J121,0)))</f>
        <v/>
      </c>
      <c r="M121" s="3" t="n"/>
    </row>
    <row r="122">
      <c r="A122" s="2" t="inlineStr">
        <is>
          <t>да</t>
        </is>
      </c>
      <c r="B122" s="2" t="inlineStr">
        <is>
          <t>3</t>
        </is>
      </c>
      <c r="C122" s="3" t="inlineStr">
        <is>
          <t>Монолитные железобетонные конструкции</t>
        </is>
      </c>
      <c r="D122" s="2" t="inlineStr">
        <is>
          <t>Лестницы - бассейн, к бассейну, на террасу, подпорная верхняя стенка</t>
        </is>
      </c>
      <c r="E122" s="2" t="inlineStr">
        <is>
          <t>work</t>
        </is>
      </c>
      <c r="F122" s="2" t="n">
        <v>121</v>
      </c>
      <c r="G122" s="3" t="inlineStr">
        <is>
          <t>Аренда шлангов 30м</t>
        </is>
      </c>
      <c r="H122" s="2" t="inlineStr">
        <is>
          <t>маш./см.</t>
        </is>
      </c>
      <c r="I122" s="4" t="n">
        <v>2</v>
      </c>
      <c r="J122" s="4" t="n">
        <v>100</v>
      </c>
      <c r="K122" s="5">
        <f>IF(OR(E122="work",E122="section14_item"),I122*J122,0)</f>
        <v/>
      </c>
      <c r="L122" s="5">
        <f>IF(E122="material",I122*J122,IF(E122="section15_percent",I122/100*(SUMPRODUCT((E$2:E$5000="work")*(B$2:B$5000&lt;&gt;"14")*K$2:K$5000)+SUMPRODUCT((E$2:E$5000="material")*(B$2:B$5000&lt;&gt;"14")*L$2:L$5000)),IF(E122="section15_manual",J122,0)))</f>
        <v/>
      </c>
      <c r="M122" s="3" t="n"/>
    </row>
    <row r="123">
      <c r="A123" s="6" t="inlineStr">
        <is>
          <t>да</t>
        </is>
      </c>
      <c r="B123" s="6" t="inlineStr">
        <is>
          <t>3</t>
        </is>
      </c>
      <c r="C123" s="7" t="inlineStr">
        <is>
          <t>Монолитные железобетонные конструкции</t>
        </is>
      </c>
      <c r="D123" s="6" t="inlineStr">
        <is>
          <t>Лестницы - бассейн, к бассейну, на террасу, подпорная верхняя стенка</t>
        </is>
      </c>
      <c r="E123" s="6" t="inlineStr">
        <is>
          <t>material</t>
        </is>
      </c>
      <c r="F123" s="6" t="n">
        <v>122</v>
      </c>
      <c r="G123" s="7" t="inlineStr">
        <is>
          <t>Прочие материалы (бруски, метизы,  вязальная проволока, фиксаторы для арматуры, диски алмазные, отрезные)</t>
        </is>
      </c>
      <c r="H123" s="6" t="inlineStr">
        <is>
          <t>м.кв.</t>
        </is>
      </c>
      <c r="I123" s="8" t="n">
        <v>24.8</v>
      </c>
      <c r="J123" s="8" t="n">
        <v>100</v>
      </c>
      <c r="K123" s="9">
        <f>IF(OR(E123="work",E123="section14_item"),I123*J123,0)</f>
        <v/>
      </c>
      <c r="L123" s="9">
        <f>IF(E123="material",I123*J123,IF(E123="section15_percent",I123/100*(SUMPRODUCT((E$2:E$5000="work")*(B$2:B$5000&lt;&gt;"14")*K$2:K$5000)+SUMPRODUCT((E$2:E$5000="material")*(B$2:B$5000&lt;&gt;"14")*L$2:L$5000)),IF(E123="section15_manual",J123,0)))</f>
        <v/>
      </c>
      <c r="M123" s="7" t="n"/>
    </row>
    <row r="124">
      <c r="A124" s="2" t="inlineStr">
        <is>
          <t>да</t>
        </is>
      </c>
      <c r="B124" s="2" t="inlineStr">
        <is>
          <t>3</t>
        </is>
      </c>
      <c r="C124" s="3" t="inlineStr">
        <is>
          <t>Монолитные железобетонные конструкции</t>
        </is>
      </c>
      <c r="D124" s="2" t="inlineStr">
        <is>
          <t>Лестницы - бассейн, к бассейну, на террасу, подпорная верхняя стенка</t>
        </is>
      </c>
      <c r="E124" s="2" t="inlineStr">
        <is>
          <t>work</t>
        </is>
      </c>
      <c r="F124" s="2" t="n">
        <v>123</v>
      </c>
      <c r="G124" s="3" t="inlineStr">
        <is>
          <t>Уход за бетоном</t>
        </is>
      </c>
      <c r="H124" s="2" t="inlineStr">
        <is>
          <t>м.кв.</t>
        </is>
      </c>
      <c r="I124" s="4" t="n">
        <v>24.8</v>
      </c>
      <c r="J124" s="4" t="n">
        <v>100</v>
      </c>
      <c r="K124" s="5">
        <f>IF(OR(E124="work",E124="section14_item"),I124*J124,0)</f>
        <v/>
      </c>
      <c r="L124" s="5">
        <f>IF(E124="material",I124*J124,IF(E124="section15_percent",I124/100*(SUMPRODUCT((E$2:E$5000="work")*(B$2:B$5000&lt;&gt;"14")*K$2:K$5000)+SUMPRODUCT((E$2:E$5000="material")*(B$2:B$5000&lt;&gt;"14")*L$2:L$5000)),IF(E124="section15_manual",J124,0)))</f>
        <v/>
      </c>
      <c r="M124" s="3" t="n"/>
    </row>
    <row r="125">
      <c r="A125" s="6" t="inlineStr">
        <is>
          <t>да</t>
        </is>
      </c>
      <c r="B125" s="6" t="inlineStr">
        <is>
          <t>3</t>
        </is>
      </c>
      <c r="C125" s="7" t="inlineStr">
        <is>
          <t>Монолитные железобетонные конструкции</t>
        </is>
      </c>
      <c r="D125" s="6" t="inlineStr">
        <is>
          <t>Лестницы - бассейн, к бассейну, на террасу, подпорная верхняя стенка</t>
        </is>
      </c>
      <c r="E125" s="6" t="inlineStr">
        <is>
          <t>material</t>
        </is>
      </c>
      <c r="F125" s="6" t="n">
        <v>124</v>
      </c>
      <c r="G125" s="7" t="inlineStr">
        <is>
          <t>Пленка техническая полиэтиленовая 200мк</t>
        </is>
      </c>
      <c r="H125" s="6" t="inlineStr">
        <is>
          <t>м.кв.</t>
        </is>
      </c>
      <c r="I125" s="8" t="n">
        <v>29.76</v>
      </c>
      <c r="J125" s="8" t="n">
        <v>100</v>
      </c>
      <c r="K125" s="9">
        <f>IF(OR(E125="work",E125="section14_item"),I125*J125,0)</f>
        <v/>
      </c>
      <c r="L125" s="9">
        <f>IF(E125="material",I125*J125,IF(E125="section15_percent",I125/100*(SUMPRODUCT((E$2:E$5000="work")*(B$2:B$5000&lt;&gt;"14")*K$2:K$5000)+SUMPRODUCT((E$2:E$5000="material")*(B$2:B$5000&lt;&gt;"14")*L$2:L$5000)),IF(E125="section15_manual",J125,0)))</f>
        <v/>
      </c>
      <c r="M125" s="7" t="n"/>
    </row>
    <row r="126">
      <c r="A126" s="2" t="inlineStr">
        <is>
          <t>да</t>
        </is>
      </c>
      <c r="B126" s="2" t="inlineStr">
        <is>
          <t>3</t>
        </is>
      </c>
      <c r="C126" s="3" t="inlineStr">
        <is>
          <t>Монолитные железобетонные конструкции</t>
        </is>
      </c>
      <c r="D126" s="2" t="inlineStr">
        <is>
          <t>Лестницы - бассейн, к бассейну, на террасу, подпорная верхняя стенка</t>
        </is>
      </c>
      <c r="E126" s="2" t="inlineStr">
        <is>
          <t>work</t>
        </is>
      </c>
      <c r="F126" s="2" t="n">
        <v>125</v>
      </c>
      <c r="G126" s="3" t="inlineStr">
        <is>
          <t>Гидроизоляция ж/б конструкций обмазочная</t>
        </is>
      </c>
      <c r="H126" s="2" t="inlineStr">
        <is>
          <t>м.кв.</t>
        </is>
      </c>
      <c r="I126" s="4" t="n">
        <v>5</v>
      </c>
      <c r="J126" s="4" t="n">
        <v>100</v>
      </c>
      <c r="K126" s="5">
        <f>IF(OR(E126="work",E126="section14_item"),I126*J126,0)</f>
        <v/>
      </c>
      <c r="L126" s="5">
        <f>IF(E126="material",I126*J126,IF(E126="section15_percent",I126/100*(SUMPRODUCT((E$2:E$5000="work")*(B$2:B$5000&lt;&gt;"14")*K$2:K$5000)+SUMPRODUCT((E$2:E$5000="material")*(B$2:B$5000&lt;&gt;"14")*L$2:L$5000)),IF(E126="section15_manual",J126,0)))</f>
        <v/>
      </c>
      <c r="M126" s="3" t="n"/>
    </row>
    <row r="127">
      <c r="A127" s="6" t="inlineStr">
        <is>
          <t>да</t>
        </is>
      </c>
      <c r="B127" s="6" t="inlineStr">
        <is>
          <t>3</t>
        </is>
      </c>
      <c r="C127" s="7" t="inlineStr">
        <is>
          <t>Монолитные железобетонные конструкции</t>
        </is>
      </c>
      <c r="D127" s="6" t="inlineStr">
        <is>
          <t>Лестницы - бассейн, к бассейну, на террасу, подпорная верхняя стенка</t>
        </is>
      </c>
      <c r="E127" s="6" t="inlineStr">
        <is>
          <t>material</t>
        </is>
      </c>
      <c r="F127" s="6" t="n">
        <v>126</v>
      </c>
      <c r="G127" s="7" t="inlineStr">
        <is>
          <t>Гидроизоляционный материал Акваблокер Bostik, 14кг</t>
        </is>
      </c>
      <c r="H127" s="6" t="inlineStr">
        <is>
          <t>шт.</t>
        </is>
      </c>
      <c r="I127" s="8" t="n">
        <v>0.5</v>
      </c>
      <c r="J127" s="8" t="n">
        <v>100</v>
      </c>
      <c r="K127" s="9">
        <f>IF(OR(E127="work",E127="section14_item"),I127*J127,0)</f>
        <v/>
      </c>
      <c r="L127" s="9">
        <f>IF(E127="material",I127*J127,IF(E127="section15_percent",I127/100*(SUMPRODUCT((E$2:E$5000="work")*(B$2:B$5000&lt;&gt;"14")*K$2:K$5000)+SUMPRODUCT((E$2:E$5000="material")*(B$2:B$5000&lt;&gt;"14")*L$2:L$5000)),IF(E127="section15_manual",J127,0)))</f>
        <v/>
      </c>
      <c r="M127" s="7" t="n"/>
    </row>
    <row r="128">
      <c r="A128" s="6" t="inlineStr">
        <is>
          <t>да</t>
        </is>
      </c>
      <c r="B128" s="6" t="inlineStr">
        <is>
          <t>3</t>
        </is>
      </c>
      <c r="C128" s="7" t="inlineStr">
        <is>
          <t>Монолитные железобетонные конструкции</t>
        </is>
      </c>
      <c r="D128" s="6" t="inlineStr">
        <is>
          <t>Лестницы - бассейн, к бассейну, на террасу, подпорная верхняя стенка</t>
        </is>
      </c>
      <c r="E128" s="6" t="inlineStr">
        <is>
          <t>material</t>
        </is>
      </c>
      <c r="F128" s="6" t="n">
        <v>127</v>
      </c>
      <c r="G128" s="7" t="inlineStr">
        <is>
          <t>Арматура 12мм рифленая, 6м</t>
        </is>
      </c>
      <c r="H128" s="6" t="inlineStr">
        <is>
          <t>т</t>
        </is>
      </c>
      <c r="I128" s="8" t="n">
        <v>8.300000000000001</v>
      </c>
      <c r="J128" s="8" t="n">
        <v>100</v>
      </c>
      <c r="K128" s="9">
        <f>IF(OR(E128="work",E128="section14_item"),I128*J128,0)</f>
        <v/>
      </c>
      <c r="L128" s="9">
        <f>IF(E128="material",I128*J128,IF(E128="section15_percent",I128/100*(SUMPRODUCT((E$2:E$5000="work")*(B$2:B$5000&lt;&gt;"14")*K$2:K$5000)+SUMPRODUCT((E$2:E$5000="material")*(B$2:B$5000&lt;&gt;"14")*L$2:L$5000)),IF(E128="section15_manual",J128,0)))</f>
        <v/>
      </c>
      <c r="M128" s="7" t="n"/>
    </row>
    <row r="129">
      <c r="A129" s="2" t="inlineStr">
        <is>
          <t>да</t>
        </is>
      </c>
      <c r="B129" s="2" t="inlineStr">
        <is>
          <t>3</t>
        </is>
      </c>
      <c r="C129" s="3" t="inlineStr">
        <is>
          <t>Монолитные железобетонные конструкции</t>
        </is>
      </c>
      <c r="D129" s="2" t="inlineStr">
        <is>
          <t>Лестницы - бассейн, к бассейну, на террасу, подпорная верхняя стенка</t>
        </is>
      </c>
      <c r="E129" s="2" t="inlineStr">
        <is>
          <t>work</t>
        </is>
      </c>
      <c r="F129" s="2" t="n">
        <v>128</v>
      </c>
      <c r="G129" s="3" t="inlineStr">
        <is>
          <t>Крепление стенок котлована при устройстве ж/б конструкций</t>
        </is>
      </c>
      <c r="H129" s="2" t="inlineStr">
        <is>
          <t>м.п.</t>
        </is>
      </c>
      <c r="I129" s="4" t="n">
        <v>25</v>
      </c>
      <c r="J129" s="4" t="n">
        <v>100</v>
      </c>
      <c r="K129" s="5">
        <f>IF(OR(E129="work",E129="section14_item"),I129*J129,0)</f>
        <v/>
      </c>
      <c r="L129" s="5">
        <f>IF(E129="material",I129*J129,IF(E129="section15_percent",I129/100*(SUMPRODUCT((E$2:E$5000="work")*(B$2:B$5000&lt;&gt;"14")*K$2:K$5000)+SUMPRODUCT((E$2:E$5000="material")*(B$2:B$5000&lt;&gt;"14")*L$2:L$5000)),IF(E129="section15_manual",J129,0)))</f>
        <v/>
      </c>
      <c r="M129" s="3" t="n"/>
    </row>
    <row r="130">
      <c r="A130" s="6" t="inlineStr">
        <is>
          <t>да</t>
        </is>
      </c>
      <c r="B130" s="6" t="inlineStr">
        <is>
          <t>3</t>
        </is>
      </c>
      <c r="C130" s="7" t="inlineStr">
        <is>
          <t>Монолитные железобетонные конструкции</t>
        </is>
      </c>
      <c r="D130" s="6" t="inlineStr">
        <is>
          <t>Лестницы - бассейн, к бассейну, на террасу, подпорная верхняя стенка</t>
        </is>
      </c>
      <c r="E130" s="6" t="inlineStr">
        <is>
          <t>material</t>
        </is>
      </c>
      <c r="F130" s="6" t="n">
        <v>129</v>
      </c>
      <c r="G130" s="7" t="inlineStr">
        <is>
          <t>Крепление стенок котлована при устройстве ж/б конструкций</t>
        </is>
      </c>
      <c r="H130" s="6" t="inlineStr">
        <is>
          <t>м.п.</t>
        </is>
      </c>
      <c r="I130" s="8" t="n">
        <v>25</v>
      </c>
      <c r="J130" s="8" t="n">
        <v>100</v>
      </c>
      <c r="K130" s="9">
        <f>IF(OR(E130="work",E130="section14_item"),I130*J130,0)</f>
        <v/>
      </c>
      <c r="L130" s="9">
        <f>IF(E130="material",I130*J130,IF(E130="section15_percent",I130/100*(SUMPRODUCT((E$2:E$5000="work")*(B$2:B$5000&lt;&gt;"14")*K$2:K$5000)+SUMPRODUCT((E$2:E$5000="material")*(B$2:B$5000&lt;&gt;"14")*L$2:L$5000)),IF(E130="section15_manual",J130,0)))</f>
        <v/>
      </c>
      <c r="M130" s="7" t="n"/>
    </row>
    <row r="131">
      <c r="A131" s="6" t="inlineStr">
        <is>
          <t>да</t>
        </is>
      </c>
      <c r="B131" s="6" t="inlineStr">
        <is>
          <t>3</t>
        </is>
      </c>
      <c r="C131" s="7" t="inlineStr">
        <is>
          <t>Монолитные железобетонные конструкции</t>
        </is>
      </c>
      <c r="D131" s="6" t="inlineStr">
        <is>
          <t>Лестницы - бассейн, к бассейну, на террасу, подпорная верхняя стенка</t>
        </is>
      </c>
      <c r="E131" s="6" t="inlineStr">
        <is>
          <t>material</t>
        </is>
      </c>
      <c r="F131" s="6" t="n">
        <v>130</v>
      </c>
      <c r="G131" s="7" t="inlineStr">
        <is>
          <t>Ж/б сваи забивные, фанера щиты</t>
        </is>
      </c>
      <c r="H131" s="6" t="inlineStr">
        <is>
          <t>м.п.</t>
        </is>
      </c>
      <c r="I131" s="8" t="n">
        <v>25</v>
      </c>
      <c r="J131" s="8" t="n">
        <v>100</v>
      </c>
      <c r="K131" s="9">
        <f>IF(OR(E131="work",E131="section14_item"),I131*J131,0)</f>
        <v/>
      </c>
      <c r="L131" s="9">
        <f>IF(E131="material",I131*J131,IF(E131="section15_percent",I131/100*(SUMPRODUCT((E$2:E$5000="work")*(B$2:B$5000&lt;&gt;"14")*K$2:K$5000)+SUMPRODUCT((E$2:E$5000="material")*(B$2:B$5000&lt;&gt;"14")*L$2:L$5000)),IF(E131="section15_manual",J131,0)))</f>
        <v/>
      </c>
      <c r="M131" s="7" t="n"/>
    </row>
    <row r="132">
      <c r="A132" s="2" t="inlineStr">
        <is>
          <t>да</t>
        </is>
      </c>
      <c r="B132" s="2" t="inlineStr">
        <is>
          <t>4</t>
        </is>
      </c>
      <c r="C132" s="3" t="inlineStr">
        <is>
          <t>Подпорные стенки, ступени - верхняя зона</t>
        </is>
      </c>
      <c r="D132" s="2" t="inlineStr"/>
      <c r="E132" s="2" t="inlineStr">
        <is>
          <t>work</t>
        </is>
      </c>
      <c r="F132" s="2" t="n">
        <v>131</v>
      </c>
      <c r="G132" s="3" t="inlineStr">
        <is>
          <t>Устройство выравнивающего слоя под облицовку парапета гранитными плитами</t>
        </is>
      </c>
      <c r="H132" s="2" t="inlineStr">
        <is>
          <t>м.п.</t>
        </is>
      </c>
      <c r="I132" s="4" t="n">
        <v>36</v>
      </c>
      <c r="J132" s="4" t="n">
        <v>100</v>
      </c>
      <c r="K132" s="5">
        <f>IF(OR(E132="work",E132="section14_item"),I132*J132,0)</f>
        <v/>
      </c>
      <c r="L132" s="5">
        <f>IF(E132="material",I132*J132,IF(E132="section15_percent",I132/100*(SUMPRODUCT((E$2:E$5000="work")*(B$2:B$5000&lt;&gt;"14")*K$2:K$5000)+SUMPRODUCT((E$2:E$5000="material")*(B$2:B$5000&lt;&gt;"14")*L$2:L$5000)),IF(E132="section15_manual",J132,0)))</f>
        <v/>
      </c>
      <c r="M132" s="3" t="n"/>
    </row>
    <row r="133">
      <c r="A133" s="6" t="inlineStr">
        <is>
          <t>да</t>
        </is>
      </c>
      <c r="B133" s="6" t="inlineStr">
        <is>
          <t>4</t>
        </is>
      </c>
      <c r="C133" s="7" t="inlineStr">
        <is>
          <t>Подпорные стенки, ступени - верхняя зона</t>
        </is>
      </c>
      <c r="D133" s="6" t="inlineStr"/>
      <c r="E133" s="6" t="inlineStr">
        <is>
          <t>material</t>
        </is>
      </c>
      <c r="F133" s="6" t="n">
        <v>132</v>
      </c>
      <c r="G133" s="7" t="inlineStr">
        <is>
          <t>Грунт, ЦПС М300</t>
        </is>
      </c>
      <c r="H133" s="6" t="inlineStr">
        <is>
          <t>компл.</t>
        </is>
      </c>
      <c r="I133" s="8" t="n">
        <v>1</v>
      </c>
      <c r="J133" s="8" t="n">
        <v>100</v>
      </c>
      <c r="K133" s="9">
        <f>IF(OR(E133="work",E133="section14_item"),I133*J133,0)</f>
        <v/>
      </c>
      <c r="L133" s="9">
        <f>IF(E133="material",I133*J133,IF(E133="section15_percent",I133/100*(SUMPRODUCT((E$2:E$5000="work")*(B$2:B$5000&lt;&gt;"14")*K$2:K$5000)+SUMPRODUCT((E$2:E$5000="material")*(B$2:B$5000&lt;&gt;"14")*L$2:L$5000)),IF(E133="section15_manual",J133,0)))</f>
        <v/>
      </c>
      <c r="M133" s="7" t="n"/>
    </row>
    <row r="134">
      <c r="A134" s="2" t="inlineStr">
        <is>
          <t>да</t>
        </is>
      </c>
      <c r="B134" s="2" t="inlineStr">
        <is>
          <t>4</t>
        </is>
      </c>
      <c r="C134" s="3" t="inlineStr">
        <is>
          <t>Подпорные стенки, ступени - верхняя зона</t>
        </is>
      </c>
      <c r="D134" s="2" t="inlineStr"/>
      <c r="E134" s="2" t="inlineStr">
        <is>
          <t>work</t>
        </is>
      </c>
      <c r="F134" s="2" t="n">
        <v>133</v>
      </c>
      <c r="G134" s="3" t="inlineStr">
        <is>
          <t>Герметизация примыканий полиуретановым герметиком - примыкание плит перепета по периметру</t>
        </is>
      </c>
      <c r="H134" s="2" t="inlineStr">
        <is>
          <t>м.п.</t>
        </is>
      </c>
      <c r="I134" s="4" t="n">
        <v>65</v>
      </c>
      <c r="J134" s="4" t="n">
        <v>100</v>
      </c>
      <c r="K134" s="5">
        <f>IF(OR(E134="work",E134="section14_item"),I134*J134,0)</f>
        <v/>
      </c>
      <c r="L134" s="5">
        <f>IF(E134="material",I134*J134,IF(E134="section15_percent",I134/100*(SUMPRODUCT((E$2:E$5000="work")*(B$2:B$5000&lt;&gt;"14")*K$2:K$5000)+SUMPRODUCT((E$2:E$5000="material")*(B$2:B$5000&lt;&gt;"14")*L$2:L$5000)),IF(E134="section15_manual",J134,0)))</f>
        <v/>
      </c>
      <c r="M134" s="3" t="n"/>
    </row>
    <row r="135">
      <c r="A135" s="6" t="inlineStr">
        <is>
          <t>да</t>
        </is>
      </c>
      <c r="B135" s="6" t="inlineStr">
        <is>
          <t>4</t>
        </is>
      </c>
      <c r="C135" s="7" t="inlineStr">
        <is>
          <t>Подпорные стенки, ступени - верхняя зона</t>
        </is>
      </c>
      <c r="D135" s="6" t="inlineStr"/>
      <c r="E135" s="6" t="inlineStr">
        <is>
          <t>material</t>
        </is>
      </c>
      <c r="F135" s="6" t="n">
        <v>134</v>
      </c>
      <c r="G135" s="7" t="inlineStr">
        <is>
          <t>Герметик полиуретановый, 600мл</t>
        </is>
      </c>
      <c r="H135" s="6" t="inlineStr">
        <is>
          <t>шт.</t>
        </is>
      </c>
      <c r="I135" s="8" t="n">
        <v>14</v>
      </c>
      <c r="J135" s="8" t="n">
        <v>100</v>
      </c>
      <c r="K135" s="9">
        <f>IF(OR(E135="work",E135="section14_item"),I135*J135,0)</f>
        <v/>
      </c>
      <c r="L135" s="9">
        <f>IF(E135="material",I135*J135,IF(E135="section15_percent",I135/100*(SUMPRODUCT((E$2:E$5000="work")*(B$2:B$5000&lt;&gt;"14")*K$2:K$5000)+SUMPRODUCT((E$2:E$5000="material")*(B$2:B$5000&lt;&gt;"14")*L$2:L$5000)),IF(E135="section15_manual",J135,0)))</f>
        <v/>
      </c>
      <c r="M135" s="7" t="n"/>
    </row>
    <row r="136">
      <c r="A136" s="2" t="inlineStr">
        <is>
          <t>да</t>
        </is>
      </c>
      <c r="B136" s="2" t="inlineStr">
        <is>
          <t>4</t>
        </is>
      </c>
      <c r="C136" s="3" t="inlineStr">
        <is>
          <t>Подпорные стенки, ступени - верхняя зона</t>
        </is>
      </c>
      <c r="D136" s="2" t="inlineStr"/>
      <c r="E136" s="2" t="inlineStr">
        <is>
          <t>work</t>
        </is>
      </c>
      <c r="F136" s="2" t="n">
        <v>135</v>
      </c>
      <c r="G136" s="3" t="inlineStr">
        <is>
          <t>Облицовка гранитными плитами парапета</t>
        </is>
      </c>
      <c r="H136" s="2" t="inlineStr">
        <is>
          <t>м.п.</t>
        </is>
      </c>
      <c r="I136" s="4" t="n">
        <v>36</v>
      </c>
      <c r="J136" s="4" t="n">
        <v>100</v>
      </c>
      <c r="K136" s="5">
        <f>IF(OR(E136="work",E136="section14_item"),I136*J136,0)</f>
        <v/>
      </c>
      <c r="L136" s="5">
        <f>IF(E136="material",I136*J136,IF(E136="section15_percent",I136/100*(SUMPRODUCT((E$2:E$5000="work")*(B$2:B$5000&lt;&gt;"14")*K$2:K$5000)+SUMPRODUCT((E$2:E$5000="material")*(B$2:B$5000&lt;&gt;"14")*L$2:L$5000)),IF(E136="section15_manual",J136,0)))</f>
        <v/>
      </c>
      <c r="M136" s="3" t="n"/>
    </row>
    <row r="137">
      <c r="A137" s="6" t="inlineStr">
        <is>
          <t>да</t>
        </is>
      </c>
      <c r="B137" s="6" t="inlineStr">
        <is>
          <t>4</t>
        </is>
      </c>
      <c r="C137" s="7" t="inlineStr">
        <is>
          <t>Подпорные стенки, ступени - верхняя зона</t>
        </is>
      </c>
      <c r="D137" s="6" t="inlineStr"/>
      <c r="E137" s="6" t="inlineStr">
        <is>
          <t>material</t>
        </is>
      </c>
      <c r="F137" s="6" t="n">
        <v>136</v>
      </c>
      <c r="G137" s="7" t="inlineStr">
        <is>
          <t>Плиты гранитные 1000*350*80мм (термообработанные верх, торцы, фаска, капельник)</t>
        </is>
      </c>
      <c r="H137" s="6" t="inlineStr">
        <is>
          <t>м.п.</t>
        </is>
      </c>
      <c r="I137" s="8" t="n">
        <v>36</v>
      </c>
      <c r="J137" s="8" t="n">
        <v>100</v>
      </c>
      <c r="K137" s="9">
        <f>IF(OR(E137="work",E137="section14_item"),I137*J137,0)</f>
        <v/>
      </c>
      <c r="L137" s="9">
        <f>IF(E137="material",I137*J137,IF(E137="section15_percent",I137/100*(SUMPRODUCT((E$2:E$5000="work")*(B$2:B$5000&lt;&gt;"14")*K$2:K$5000)+SUMPRODUCT((E$2:E$5000="material")*(B$2:B$5000&lt;&gt;"14")*L$2:L$5000)),IF(E137="section15_manual",J137,0)))</f>
        <v/>
      </c>
      <c r="M137" s="7" t="n"/>
    </row>
    <row r="138">
      <c r="A138" s="6" t="inlineStr">
        <is>
          <t>да</t>
        </is>
      </c>
      <c r="B138" s="6" t="inlineStr">
        <is>
          <t>4</t>
        </is>
      </c>
      <c r="C138" s="7" t="inlineStr">
        <is>
          <t>Подпорные стенки, ступени - верхняя зона</t>
        </is>
      </c>
      <c r="D138" s="6" t="inlineStr"/>
      <c r="E138" s="6" t="inlineStr">
        <is>
          <t>material</t>
        </is>
      </c>
      <c r="F138" s="6" t="n">
        <v>137</v>
      </c>
      <c r="G138" s="7" t="inlineStr">
        <is>
          <t>Диски алмазные</t>
        </is>
      </c>
      <c r="H138" s="6" t="inlineStr">
        <is>
          <t>шт.</t>
        </is>
      </c>
      <c r="I138" s="8" t="n">
        <v>1</v>
      </c>
      <c r="J138" s="8" t="n">
        <v>100</v>
      </c>
      <c r="K138" s="9">
        <f>IF(OR(E138="work",E138="section14_item"),I138*J138,0)</f>
        <v/>
      </c>
      <c r="L138" s="9">
        <f>IF(E138="material",I138*J138,IF(E138="section15_percent",I138/100*(SUMPRODUCT((E$2:E$5000="work")*(B$2:B$5000&lt;&gt;"14")*K$2:K$5000)+SUMPRODUCT((E$2:E$5000="material")*(B$2:B$5000&lt;&gt;"14")*L$2:L$5000)),IF(E138="section15_manual",J138,0)))</f>
        <v/>
      </c>
      <c r="M138" s="7" t="n"/>
    </row>
    <row r="139">
      <c r="A139" s="6" t="inlineStr">
        <is>
          <t>да</t>
        </is>
      </c>
      <c r="B139" s="6" t="inlineStr">
        <is>
          <t>4</t>
        </is>
      </c>
      <c r="C139" s="7" t="inlineStr">
        <is>
          <t>Подпорные стенки, ступени - верхняя зона</t>
        </is>
      </c>
      <c r="D139" s="6" t="inlineStr"/>
      <c r="E139" s="6" t="inlineStr">
        <is>
          <t>material</t>
        </is>
      </c>
      <c r="F139" s="6" t="n">
        <v>138</v>
      </c>
      <c r="G139" s="7" t="inlineStr">
        <is>
          <t>Клей для плитки, керамогранита, мозаики и камня Weber Vetonit Ultra fix серый (класс С2), 25кг</t>
        </is>
      </c>
      <c r="H139" s="6" t="inlineStr">
        <is>
          <t>меш.</t>
        </is>
      </c>
      <c r="I139" s="8" t="n">
        <v>10</v>
      </c>
      <c r="J139" s="8" t="n">
        <v>100</v>
      </c>
      <c r="K139" s="9">
        <f>IF(OR(E139="work",E139="section14_item"),I139*J139,0)</f>
        <v/>
      </c>
      <c r="L139" s="9">
        <f>IF(E139="material",I139*J139,IF(E139="section15_percent",I139/100*(SUMPRODUCT((E$2:E$5000="work")*(B$2:B$5000&lt;&gt;"14")*K$2:K$5000)+SUMPRODUCT((E$2:E$5000="material")*(B$2:B$5000&lt;&gt;"14")*L$2:L$5000)),IF(E139="section15_manual",J139,0)))</f>
        <v/>
      </c>
      <c r="M139" s="7" t="n"/>
    </row>
    <row r="140">
      <c r="A140" s="6" t="inlineStr">
        <is>
          <t>да</t>
        </is>
      </c>
      <c r="B140" s="6" t="inlineStr">
        <is>
          <t>4</t>
        </is>
      </c>
      <c r="C140" s="7" t="inlineStr">
        <is>
          <t>Подпорные стенки, ступени - верхняя зона</t>
        </is>
      </c>
      <c r="D140" s="6" t="inlineStr"/>
      <c r="E140" s="6" t="inlineStr">
        <is>
          <t>material</t>
        </is>
      </c>
      <c r="F140" s="6" t="n">
        <v>139</v>
      </c>
      <c r="G140" s="7" t="inlineStr">
        <is>
          <t>Затирка Литокол Старлайк 2,5кг</t>
        </is>
      </c>
      <c r="H140" s="6" t="inlineStr">
        <is>
          <t>шт.</t>
        </is>
      </c>
      <c r="I140" s="8" t="n">
        <v>2</v>
      </c>
      <c r="J140" s="8" t="n">
        <v>100</v>
      </c>
      <c r="K140" s="9">
        <f>IF(OR(E140="work",E140="section14_item"),I140*J140,0)</f>
        <v/>
      </c>
      <c r="L140" s="9">
        <f>IF(E140="material",I140*J140,IF(E140="section15_percent",I140/100*(SUMPRODUCT((E$2:E$5000="work")*(B$2:B$5000&lt;&gt;"14")*K$2:K$5000)+SUMPRODUCT((E$2:E$5000="material")*(B$2:B$5000&lt;&gt;"14")*L$2:L$5000)),IF(E140="section15_manual",J140,0)))</f>
        <v/>
      </c>
      <c r="M140" s="7" t="n"/>
    </row>
    <row r="141">
      <c r="A141" s="6" t="inlineStr">
        <is>
          <t>да</t>
        </is>
      </c>
      <c r="B141" s="6" t="inlineStr">
        <is>
          <t>4</t>
        </is>
      </c>
      <c r="C141" s="7" t="inlineStr">
        <is>
          <t>Подпорные стенки, ступени - верхняя зона</t>
        </is>
      </c>
      <c r="D141" s="6" t="inlineStr"/>
      <c r="E141" s="6" t="inlineStr">
        <is>
          <t>material</t>
        </is>
      </c>
      <c r="F141" s="6" t="n">
        <v>140</v>
      </c>
      <c r="G141" s="7" t="inlineStr">
        <is>
          <t>Доставка плит манипулятором (учтено в разделе "Орг.затраты")</t>
        </is>
      </c>
      <c r="H141" s="6" t="inlineStr">
        <is>
          <t>кол-во раз</t>
        </is>
      </c>
      <c r="I141" s="8" t="n">
        <v>1</v>
      </c>
      <c r="J141" s="8" t="n"/>
      <c r="K141" s="9">
        <f>IF(OR(E141="work",E141="section14_item"),I141*J141,0)</f>
        <v/>
      </c>
      <c r="L141" s="9">
        <f>IF(E141="material",I141*J141,IF(E141="section15_percent",I141/100*(SUMPRODUCT((E$2:E$5000="work")*(B$2:B$5000&lt;&gt;"14")*K$2:K$5000)+SUMPRODUCT((E$2:E$5000="material")*(B$2:B$5000&lt;&gt;"14")*L$2:L$5000)),IF(E141="section15_manual",J141,0)))</f>
        <v/>
      </c>
      <c r="M141" s="7" t="n"/>
    </row>
    <row r="142">
      <c r="A142" s="2" t="inlineStr">
        <is>
          <t>да</t>
        </is>
      </c>
      <c r="B142" s="2" t="inlineStr">
        <is>
          <t>4</t>
        </is>
      </c>
      <c r="C142" s="3" t="inlineStr">
        <is>
          <t>Подпорные стенки, ступени - верхняя зона</t>
        </is>
      </c>
      <c r="D142" s="2" t="inlineStr"/>
      <c r="E142" s="2" t="inlineStr">
        <is>
          <t>work</t>
        </is>
      </c>
      <c r="F142" s="2" t="n">
        <v>141</v>
      </c>
      <c r="G142" s="3" t="inlineStr">
        <is>
          <t>Облицовка гранитными плитами ступеней</t>
        </is>
      </c>
      <c r="H142" s="2" t="inlineStr">
        <is>
          <t>м.п.</t>
        </is>
      </c>
      <c r="I142" s="4" t="n">
        <v>21</v>
      </c>
      <c r="J142" s="4" t="n">
        <v>100</v>
      </c>
      <c r="K142" s="5">
        <f>IF(OR(E142="work",E142="section14_item"),I142*J142,0)</f>
        <v/>
      </c>
      <c r="L142" s="5">
        <f>IF(E142="material",I142*J142,IF(E142="section15_percent",I142/100*(SUMPRODUCT((E$2:E$5000="work")*(B$2:B$5000&lt;&gt;"14")*K$2:K$5000)+SUMPRODUCT((E$2:E$5000="material")*(B$2:B$5000&lt;&gt;"14")*L$2:L$5000)),IF(E142="section15_manual",J142,0)))</f>
        <v/>
      </c>
      <c r="M142" s="3" t="n"/>
    </row>
    <row r="143">
      <c r="A143" s="6" t="inlineStr">
        <is>
          <t>да</t>
        </is>
      </c>
      <c r="B143" s="6" t="inlineStr">
        <is>
          <t>4</t>
        </is>
      </c>
      <c r="C143" s="7" t="inlineStr">
        <is>
          <t>Подпорные стенки, ступени - верхняя зона</t>
        </is>
      </c>
      <c r="D143" s="6" t="inlineStr"/>
      <c r="E143" s="6" t="inlineStr">
        <is>
          <t>material</t>
        </is>
      </c>
      <c r="F143" s="6" t="n">
        <v>142</v>
      </c>
      <c r="G143" s="7" t="inlineStr">
        <is>
          <t>Плиты гранитные 1000*350*80мм (термообработанные верх, торцы, фаска, капельник)</t>
        </is>
      </c>
      <c r="H143" s="6" t="inlineStr">
        <is>
          <t>м.п.</t>
        </is>
      </c>
      <c r="I143" s="8" t="n">
        <v>21</v>
      </c>
      <c r="J143" s="8" t="n">
        <v>100</v>
      </c>
      <c r="K143" s="9">
        <f>IF(OR(E143="work",E143="section14_item"),I143*J143,0)</f>
        <v/>
      </c>
      <c r="L143" s="9">
        <f>IF(E143="material",I143*J143,IF(E143="section15_percent",I143/100*(SUMPRODUCT((E$2:E$5000="work")*(B$2:B$5000&lt;&gt;"14")*K$2:K$5000)+SUMPRODUCT((E$2:E$5000="material")*(B$2:B$5000&lt;&gt;"14")*L$2:L$5000)),IF(E143="section15_manual",J143,0)))</f>
        <v/>
      </c>
      <c r="M143" s="7" t="n"/>
    </row>
    <row r="144">
      <c r="A144" s="6" t="inlineStr">
        <is>
          <t>да</t>
        </is>
      </c>
      <c r="B144" s="6" t="inlineStr">
        <is>
          <t>4</t>
        </is>
      </c>
      <c r="C144" s="7" t="inlineStr">
        <is>
          <t>Подпорные стенки, ступени - верхняя зона</t>
        </is>
      </c>
      <c r="D144" s="6" t="inlineStr"/>
      <c r="E144" s="6" t="inlineStr">
        <is>
          <t>material</t>
        </is>
      </c>
      <c r="F144" s="6" t="n">
        <v>143</v>
      </c>
      <c r="G144" s="7" t="inlineStr">
        <is>
          <t>Клей для плитки, керамогранита, мозаики и камня Weber Vetonit Ultra fix серый (класс С2), 25кг</t>
        </is>
      </c>
      <c r="H144" s="6" t="inlineStr">
        <is>
          <t>меш.</t>
        </is>
      </c>
      <c r="I144" s="8" t="n">
        <v>20</v>
      </c>
      <c r="J144" s="8" t="n">
        <v>100</v>
      </c>
      <c r="K144" s="9">
        <f>IF(OR(E144="work",E144="section14_item"),I144*J144,0)</f>
        <v/>
      </c>
      <c r="L144" s="9">
        <f>IF(E144="material",I144*J144,IF(E144="section15_percent",I144/100*(SUMPRODUCT((E$2:E$5000="work")*(B$2:B$5000&lt;&gt;"14")*K$2:K$5000)+SUMPRODUCT((E$2:E$5000="material")*(B$2:B$5000&lt;&gt;"14")*L$2:L$5000)),IF(E144="section15_manual",J144,0)))</f>
        <v/>
      </c>
      <c r="M144" s="7" t="n"/>
    </row>
    <row r="145">
      <c r="A145" s="6" t="inlineStr">
        <is>
          <t>да</t>
        </is>
      </c>
      <c r="B145" s="6" t="inlineStr">
        <is>
          <t>4</t>
        </is>
      </c>
      <c r="C145" s="7" t="inlineStr">
        <is>
          <t>Подпорные стенки, ступени - верхняя зона</t>
        </is>
      </c>
      <c r="D145" s="6" t="inlineStr"/>
      <c r="E145" s="6" t="inlineStr">
        <is>
          <t>material</t>
        </is>
      </c>
      <c r="F145" s="6" t="n">
        <v>144</v>
      </c>
      <c r="G145" s="7" t="inlineStr">
        <is>
          <t>Затирка Литокол Старлайк 2,5кг</t>
        </is>
      </c>
      <c r="H145" s="6" t="inlineStr">
        <is>
          <t>шт.</t>
        </is>
      </c>
      <c r="I145" s="8" t="n">
        <v>4</v>
      </c>
      <c r="J145" s="8" t="n">
        <v>100</v>
      </c>
      <c r="K145" s="9">
        <f>IF(OR(E145="work",E145="section14_item"),I145*J145,0)</f>
        <v/>
      </c>
      <c r="L145" s="9">
        <f>IF(E145="material",I145*J145,IF(E145="section15_percent",I145/100*(SUMPRODUCT((E$2:E$5000="work")*(B$2:B$5000&lt;&gt;"14")*K$2:K$5000)+SUMPRODUCT((E$2:E$5000="material")*(B$2:B$5000&lt;&gt;"14")*L$2:L$5000)),IF(E145="section15_manual",J145,0)))</f>
        <v/>
      </c>
      <c r="M145" s="7" t="n"/>
    </row>
    <row r="146">
      <c r="A146" s="6" t="inlineStr">
        <is>
          <t>да</t>
        </is>
      </c>
      <c r="B146" s="6" t="inlineStr">
        <is>
          <t>4</t>
        </is>
      </c>
      <c r="C146" s="7" t="inlineStr">
        <is>
          <t>Подпорные стенки, ступени - верхняя зона</t>
        </is>
      </c>
      <c r="D146" s="6" t="inlineStr"/>
      <c r="E146" s="6" t="inlineStr">
        <is>
          <t>material</t>
        </is>
      </c>
      <c r="F146" s="6" t="n">
        <v>145</v>
      </c>
      <c r="G146" s="7" t="inlineStr">
        <is>
          <t>Доставка плит манипулятором (учтено в разделе "Орг.затраты")</t>
        </is>
      </c>
      <c r="H146" s="6" t="inlineStr">
        <is>
          <t>кол-во раз</t>
        </is>
      </c>
      <c r="I146" s="8" t="n">
        <v>1</v>
      </c>
      <c r="J146" s="8" t="n"/>
      <c r="K146" s="9">
        <f>IF(OR(E146="work",E146="section14_item"),I146*J146,0)</f>
        <v/>
      </c>
      <c r="L146" s="9">
        <f>IF(E146="material",I146*J146,IF(E146="section15_percent",I146/100*(SUMPRODUCT((E$2:E$5000="work")*(B$2:B$5000&lt;&gt;"14")*K$2:K$5000)+SUMPRODUCT((E$2:E$5000="material")*(B$2:B$5000&lt;&gt;"14")*L$2:L$5000)),IF(E146="section15_manual",J146,0)))</f>
        <v/>
      </c>
      <c r="M146" s="7" t="n"/>
    </row>
    <row r="147">
      <c r="A147" s="2" t="inlineStr">
        <is>
          <t>да</t>
        </is>
      </c>
      <c r="B147" s="2" t="inlineStr">
        <is>
          <t>4</t>
        </is>
      </c>
      <c r="C147" s="3" t="inlineStr">
        <is>
          <t>Подпорные стенки, ступени - верхняя зона</t>
        </is>
      </c>
      <c r="D147" s="2" t="inlineStr"/>
      <c r="E147" s="2" t="inlineStr">
        <is>
          <t>work</t>
        </is>
      </c>
      <c r="F147" s="2" t="n">
        <v>146</v>
      </c>
      <c r="G147" s="3" t="inlineStr">
        <is>
          <t>Обеспыливание, грунтование бетонного основания</t>
        </is>
      </c>
      <c r="H147" s="2" t="inlineStr">
        <is>
          <t>м.кв.</t>
        </is>
      </c>
      <c r="I147" s="4" t="n">
        <v>25</v>
      </c>
      <c r="J147" s="4" t="n">
        <v>100</v>
      </c>
      <c r="K147" s="5">
        <f>IF(OR(E147="work",E147="section14_item"),I147*J147,0)</f>
        <v/>
      </c>
      <c r="L147" s="5">
        <f>IF(E147="material",I147*J147,IF(E147="section15_percent",I147/100*(SUMPRODUCT((E$2:E$5000="work")*(B$2:B$5000&lt;&gt;"14")*K$2:K$5000)+SUMPRODUCT((E$2:E$5000="material")*(B$2:B$5000&lt;&gt;"14")*L$2:L$5000)),IF(E147="section15_manual",J147,0)))</f>
        <v/>
      </c>
      <c r="M147" s="3" t="n"/>
    </row>
    <row r="148">
      <c r="A148" s="6" t="inlineStr">
        <is>
          <t>да</t>
        </is>
      </c>
      <c r="B148" s="6" t="inlineStr">
        <is>
          <t>4</t>
        </is>
      </c>
      <c r="C148" s="7" t="inlineStr">
        <is>
          <t>Подпорные стенки, ступени - верхняя зона</t>
        </is>
      </c>
      <c r="D148" s="6" t="inlineStr"/>
      <c r="E148" s="6" t="inlineStr">
        <is>
          <t>material</t>
        </is>
      </c>
      <c r="F148" s="6" t="n">
        <v>147</v>
      </c>
      <c r="G148" s="7" t="inlineStr">
        <is>
          <t>Грунт Ceresit CT17 pro, 5л</t>
        </is>
      </c>
      <c r="H148" s="6" t="inlineStr">
        <is>
          <t>шт.</t>
        </is>
      </c>
      <c r="I148" s="8" t="n">
        <v>1</v>
      </c>
      <c r="J148" s="8" t="n">
        <v>100</v>
      </c>
      <c r="K148" s="9">
        <f>IF(OR(E148="work",E148="section14_item"),I148*J148,0)</f>
        <v/>
      </c>
      <c r="L148" s="9">
        <f>IF(E148="material",I148*J148,IF(E148="section15_percent",I148/100*(SUMPRODUCT((E$2:E$5000="work")*(B$2:B$5000&lt;&gt;"14")*K$2:K$5000)+SUMPRODUCT((E$2:E$5000="material")*(B$2:B$5000&lt;&gt;"14")*L$2:L$5000)),IF(E148="section15_manual",J148,0)))</f>
        <v/>
      </c>
      <c r="M148" s="7" t="n"/>
    </row>
    <row r="149">
      <c r="A149" s="2" t="inlineStr">
        <is>
          <t>да</t>
        </is>
      </c>
      <c r="B149" s="2" t="inlineStr">
        <is>
          <t>4</t>
        </is>
      </c>
      <c r="C149" s="3" t="inlineStr">
        <is>
          <t>Подпорные стенки, ступени - верхняя зона</t>
        </is>
      </c>
      <c r="D149" s="2" t="inlineStr"/>
      <c r="E149" s="2" t="inlineStr">
        <is>
          <t>work</t>
        </is>
      </c>
      <c r="F149" s="2" t="n">
        <v>148</v>
      </c>
      <c r="G149" s="3" t="inlineStr">
        <is>
          <t>Крепление сетки на вертикальную поверхность</t>
        </is>
      </c>
      <c r="H149" s="2" t="inlineStr">
        <is>
          <t>м.п.</t>
        </is>
      </c>
      <c r="I149" s="4" t="n">
        <v>33</v>
      </c>
      <c r="J149" s="4" t="n">
        <v>100</v>
      </c>
      <c r="K149" s="5">
        <f>IF(OR(E149="work",E149="section14_item"),I149*J149,0)</f>
        <v/>
      </c>
      <c r="L149" s="5">
        <f>IF(E149="material",I149*J149,IF(E149="section15_percent",I149/100*(SUMPRODUCT((E$2:E$5000="work")*(B$2:B$5000&lt;&gt;"14")*K$2:K$5000)+SUMPRODUCT((E$2:E$5000="material")*(B$2:B$5000&lt;&gt;"14")*L$2:L$5000)),IF(E149="section15_manual",J149,0)))</f>
        <v/>
      </c>
      <c r="M149" s="3" t="n"/>
    </row>
    <row r="150">
      <c r="A150" s="6" t="inlineStr">
        <is>
          <t>да</t>
        </is>
      </c>
      <c r="B150" s="6" t="inlineStr">
        <is>
          <t>4</t>
        </is>
      </c>
      <c r="C150" s="7" t="inlineStr">
        <is>
          <t>Подпорные стенки, ступени - верхняя зона</t>
        </is>
      </c>
      <c r="D150" s="6" t="inlineStr"/>
      <c r="E150" s="6" t="inlineStr">
        <is>
          <t>material</t>
        </is>
      </c>
      <c r="F150" s="6" t="n">
        <v>149</v>
      </c>
      <c r="G150" s="7" t="inlineStr">
        <is>
          <t>Сетка кладочная 50*50мм d=3,5-3,8мм 0,38*2м</t>
        </is>
      </c>
      <c r="H150" s="6" t="inlineStr">
        <is>
          <t>шт.</t>
        </is>
      </c>
      <c r="I150" s="8" t="n">
        <v>75</v>
      </c>
      <c r="J150" s="8" t="n">
        <v>100</v>
      </c>
      <c r="K150" s="9">
        <f>IF(OR(E150="work",E150="section14_item"),I150*J150,0)</f>
        <v/>
      </c>
      <c r="L150" s="9">
        <f>IF(E150="material",I150*J150,IF(E150="section15_percent",I150/100*(SUMPRODUCT((E$2:E$5000="work")*(B$2:B$5000&lt;&gt;"14")*K$2:K$5000)+SUMPRODUCT((E$2:E$5000="material")*(B$2:B$5000&lt;&gt;"14")*L$2:L$5000)),IF(E150="section15_manual",J150,0)))</f>
        <v/>
      </c>
      <c r="M150" s="7" t="n"/>
    </row>
    <row r="151">
      <c r="A151" s="2" t="inlineStr">
        <is>
          <t>да</t>
        </is>
      </c>
      <c r="B151" s="2" t="inlineStr">
        <is>
          <t>4</t>
        </is>
      </c>
      <c r="C151" s="3" t="inlineStr">
        <is>
          <t>Подпорные стенки, ступени - верхняя зона</t>
        </is>
      </c>
      <c r="D151" s="2" t="inlineStr"/>
      <c r="E151" s="2" t="inlineStr">
        <is>
          <t>work</t>
        </is>
      </c>
      <c r="F151" s="2" t="n">
        <v>150</v>
      </c>
      <c r="G151" s="3" t="inlineStr">
        <is>
          <t>Облицовка стен рельефным шунгитом</t>
        </is>
      </c>
      <c r="H151" s="2" t="inlineStr">
        <is>
          <t>м.п.</t>
        </is>
      </c>
      <c r="I151" s="4" t="n">
        <v>33</v>
      </c>
      <c r="J151" s="4" t="n">
        <v>100</v>
      </c>
      <c r="K151" s="5">
        <f>IF(OR(E151="work",E151="section14_item"),I151*J151,0)</f>
        <v/>
      </c>
      <c r="L151" s="5">
        <f>IF(E151="material",I151*J151,IF(E151="section15_percent",I151/100*(SUMPRODUCT((E$2:E$5000="work")*(B$2:B$5000&lt;&gt;"14")*K$2:K$5000)+SUMPRODUCT((E$2:E$5000="material")*(B$2:B$5000&lt;&gt;"14")*L$2:L$5000)),IF(E151="section15_manual",J151,0)))</f>
        <v/>
      </c>
      <c r="M151" s="3" t="n"/>
    </row>
    <row r="152">
      <c r="A152" s="6" t="inlineStr">
        <is>
          <t>да</t>
        </is>
      </c>
      <c r="B152" s="6" t="inlineStr">
        <is>
          <t>4</t>
        </is>
      </c>
      <c r="C152" s="7" t="inlineStr">
        <is>
          <t>Подпорные стенки, ступени - верхняя зона</t>
        </is>
      </c>
      <c r="D152" s="6" t="inlineStr"/>
      <c r="E152" s="6" t="inlineStr">
        <is>
          <t>material</t>
        </is>
      </c>
      <c r="F152" s="6" t="n">
        <v>151</v>
      </c>
      <c r="G152" s="7" t="inlineStr">
        <is>
          <t>Полосы из шунгита 20-30мм - мелкий, средний формат</t>
        </is>
      </c>
      <c r="H152" s="6" t="inlineStr">
        <is>
          <t>м.кв.</t>
        </is>
      </c>
      <c r="I152" s="8" t="n">
        <v>28</v>
      </c>
      <c r="J152" s="8" t="n">
        <v>100</v>
      </c>
      <c r="K152" s="9">
        <f>IF(OR(E152="work",E152="section14_item"),I152*J152,0)</f>
        <v/>
      </c>
      <c r="L152" s="9">
        <f>IF(E152="material",I152*J152,IF(E152="section15_percent",I152/100*(SUMPRODUCT((E$2:E$5000="work")*(B$2:B$5000&lt;&gt;"14")*K$2:K$5000)+SUMPRODUCT((E$2:E$5000="material")*(B$2:B$5000&lt;&gt;"14")*L$2:L$5000)),IF(E152="section15_manual",J152,0)))</f>
        <v/>
      </c>
      <c r="M152" s="7" t="n"/>
    </row>
    <row r="153">
      <c r="A153" s="6" t="inlineStr">
        <is>
          <t>да</t>
        </is>
      </c>
      <c r="B153" s="6" t="inlineStr">
        <is>
          <t>4</t>
        </is>
      </c>
      <c r="C153" s="7" t="inlineStr">
        <is>
          <t>Подпорные стенки, ступени - верхняя зона</t>
        </is>
      </c>
      <c r="D153" s="6" t="inlineStr"/>
      <c r="E153" s="6" t="inlineStr">
        <is>
          <t>material</t>
        </is>
      </c>
      <c r="F153" s="6" t="n">
        <v>152</v>
      </c>
      <c r="G153" s="7" t="inlineStr">
        <is>
          <t>Клей для плитки, керамогранита, мозаики и камня Weber Vetonit Ultra fix серый (класс С2), 25кг</t>
        </is>
      </c>
      <c r="H153" s="6" t="inlineStr">
        <is>
          <t>меш.</t>
        </is>
      </c>
      <c r="I153" s="8" t="n">
        <v>25</v>
      </c>
      <c r="J153" s="8" t="n">
        <v>100</v>
      </c>
      <c r="K153" s="9">
        <f>IF(OR(E153="work",E153="section14_item"),I153*J153,0)</f>
        <v/>
      </c>
      <c r="L153" s="9">
        <f>IF(E153="material",I153*J153,IF(E153="section15_percent",I153/100*(SUMPRODUCT((E$2:E$5000="work")*(B$2:B$5000&lt;&gt;"14")*K$2:K$5000)+SUMPRODUCT((E$2:E$5000="material")*(B$2:B$5000&lt;&gt;"14")*L$2:L$5000)),IF(E153="section15_manual",J153,0)))</f>
        <v/>
      </c>
      <c r="M153" s="7" t="n"/>
    </row>
    <row r="154">
      <c r="A154" s="6" t="inlineStr">
        <is>
          <t>да</t>
        </is>
      </c>
      <c r="B154" s="6" t="inlineStr">
        <is>
          <t>4</t>
        </is>
      </c>
      <c r="C154" s="7" t="inlineStr">
        <is>
          <t>Подпорные стенки, ступени - верхняя зона</t>
        </is>
      </c>
      <c r="D154" s="6" t="inlineStr"/>
      <c r="E154" s="6" t="inlineStr">
        <is>
          <t>material</t>
        </is>
      </c>
      <c r="F154" s="6" t="n">
        <v>153</v>
      </c>
      <c r="G154" s="7" t="inlineStr">
        <is>
          <t>Затирка Литокол Старлайк 2,5кг</t>
        </is>
      </c>
      <c r="H154" s="6" t="inlineStr">
        <is>
          <t>шт.</t>
        </is>
      </c>
      <c r="I154" s="8" t="n">
        <v>4</v>
      </c>
      <c r="J154" s="8" t="n">
        <v>100</v>
      </c>
      <c r="K154" s="9">
        <f>IF(OR(E154="work",E154="section14_item"),I154*J154,0)</f>
        <v/>
      </c>
      <c r="L154" s="9">
        <f>IF(E154="material",I154*J154,IF(E154="section15_percent",I154/100*(SUMPRODUCT((E$2:E$5000="work")*(B$2:B$5000&lt;&gt;"14")*K$2:K$5000)+SUMPRODUCT((E$2:E$5000="material")*(B$2:B$5000&lt;&gt;"14")*L$2:L$5000)),IF(E154="section15_manual",J154,0)))</f>
        <v/>
      </c>
      <c r="M154" s="7" t="n"/>
    </row>
    <row r="155">
      <c r="A155" s="6" t="inlineStr">
        <is>
          <t>да</t>
        </is>
      </c>
      <c r="B155" s="6" t="inlineStr">
        <is>
          <t>4</t>
        </is>
      </c>
      <c r="C155" s="7" t="inlineStr">
        <is>
          <t>Подпорные стенки, ступени - верхняя зона</t>
        </is>
      </c>
      <c r="D155" s="6" t="inlineStr"/>
      <c r="E155" s="6" t="inlineStr">
        <is>
          <t>material</t>
        </is>
      </c>
      <c r="F155" s="6" t="n">
        <v>154</v>
      </c>
      <c r="G155" s="7" t="inlineStr">
        <is>
          <t>Диски алмазные</t>
        </is>
      </c>
      <c r="H155" s="6" t="inlineStr">
        <is>
          <t>шт.</t>
        </is>
      </c>
      <c r="I155" s="8" t="n">
        <v>2</v>
      </c>
      <c r="J155" s="8" t="n">
        <v>100</v>
      </c>
      <c r="K155" s="9">
        <f>IF(OR(E155="work",E155="section14_item"),I155*J155,0)</f>
        <v/>
      </c>
      <c r="L155" s="9">
        <f>IF(E155="material",I155*J155,IF(E155="section15_percent",I155/100*(SUMPRODUCT((E$2:E$5000="work")*(B$2:B$5000&lt;&gt;"14")*K$2:K$5000)+SUMPRODUCT((E$2:E$5000="material")*(B$2:B$5000&lt;&gt;"14")*L$2:L$5000)),IF(E155="section15_manual",J155,0)))</f>
        <v/>
      </c>
      <c r="M155" s="7" t="n"/>
    </row>
    <row r="156">
      <c r="A156" s="2" t="inlineStr">
        <is>
          <t>да</t>
        </is>
      </c>
      <c r="B156" s="2" t="inlineStr">
        <is>
          <t>4</t>
        </is>
      </c>
      <c r="C156" s="3" t="inlineStr">
        <is>
          <t>Подпорные стенки, ступени - верхняя зона</t>
        </is>
      </c>
      <c r="D156" s="2" t="inlineStr"/>
      <c r="E156" s="2" t="inlineStr">
        <is>
          <t>work</t>
        </is>
      </c>
      <c r="F156" s="2" t="n">
        <v>155</v>
      </c>
      <c r="G156" s="3" t="inlineStr">
        <is>
          <t>Запил камня под 45 градусов</t>
        </is>
      </c>
      <c r="H156" s="2" t="inlineStr">
        <is>
          <t>м.п.</t>
        </is>
      </c>
      <c r="I156" s="4" t="n">
        <v>12</v>
      </c>
      <c r="J156" s="4" t="n">
        <v>100</v>
      </c>
      <c r="K156" s="5">
        <f>IF(OR(E156="work",E156="section14_item"),I156*J156,0)</f>
        <v/>
      </c>
      <c r="L156" s="5">
        <f>IF(E156="material",I156*J156,IF(E156="section15_percent",I156/100*(SUMPRODUCT((E$2:E$5000="work")*(B$2:B$5000&lt;&gt;"14")*K$2:K$5000)+SUMPRODUCT((E$2:E$5000="material")*(B$2:B$5000&lt;&gt;"14")*L$2:L$5000)),IF(E156="section15_manual",J156,0)))</f>
        <v/>
      </c>
      <c r="M156" s="3" t="n"/>
    </row>
    <row r="157">
      <c r="A157" s="2" t="inlineStr">
        <is>
          <t>да</t>
        </is>
      </c>
      <c r="B157" s="2" t="inlineStr">
        <is>
          <t>4</t>
        </is>
      </c>
      <c r="C157" s="3" t="inlineStr">
        <is>
          <t>Подпорные стенки, ступени - верхняя зона</t>
        </is>
      </c>
      <c r="D157" s="2" t="inlineStr"/>
      <c r="E157" s="2" t="inlineStr">
        <is>
          <t>work</t>
        </is>
      </c>
      <c r="F157" s="2" t="n">
        <v>156</v>
      </c>
      <c r="G157" s="3" t="inlineStr">
        <is>
          <t>Нанесение спец.составов (пропитка и кислота)</t>
        </is>
      </c>
      <c r="H157" s="2" t="inlineStr">
        <is>
          <t>м.п.</t>
        </is>
      </c>
      <c r="I157" s="4" t="n">
        <v>33</v>
      </c>
      <c r="J157" s="4" t="n">
        <v>100</v>
      </c>
      <c r="K157" s="5">
        <f>IF(OR(E157="work",E157="section14_item"),I157*J157,0)</f>
        <v/>
      </c>
      <c r="L157" s="5">
        <f>IF(E157="material",I157*J157,IF(E157="section15_percent",I157/100*(SUMPRODUCT((E$2:E$5000="work")*(B$2:B$5000&lt;&gt;"14")*K$2:K$5000)+SUMPRODUCT((E$2:E$5000="material")*(B$2:B$5000&lt;&gt;"14")*L$2:L$5000)),IF(E157="section15_manual",J157,0)))</f>
        <v/>
      </c>
      <c r="M157" s="3" t="n"/>
    </row>
    <row r="158">
      <c r="A158" s="6" t="inlineStr">
        <is>
          <t>да</t>
        </is>
      </c>
      <c r="B158" s="6" t="inlineStr">
        <is>
          <t>4</t>
        </is>
      </c>
      <c r="C158" s="7" t="inlineStr">
        <is>
          <t>Подпорные стенки, ступени - верхняя зона</t>
        </is>
      </c>
      <c r="D158" s="6" t="inlineStr"/>
      <c r="E158" s="6" t="inlineStr">
        <is>
          <t>material</t>
        </is>
      </c>
      <c r="F158" s="6" t="n">
        <v>157</v>
      </c>
      <c r="G158" s="7" t="inlineStr">
        <is>
          <t>Пропитка для камня, кислота для камня</t>
        </is>
      </c>
      <c r="H158" s="6" t="inlineStr">
        <is>
          <t>м.кв.</t>
        </is>
      </c>
      <c r="I158" s="8" t="n">
        <v>25</v>
      </c>
      <c r="J158" s="8" t="n">
        <v>100</v>
      </c>
      <c r="K158" s="9">
        <f>IF(OR(E158="work",E158="section14_item"),I158*J158,0)</f>
        <v/>
      </c>
      <c r="L158" s="9">
        <f>IF(E158="material",I158*J158,IF(E158="section15_percent",I158/100*(SUMPRODUCT((E$2:E$5000="work")*(B$2:B$5000&lt;&gt;"14")*K$2:K$5000)+SUMPRODUCT((E$2:E$5000="material")*(B$2:B$5000&lt;&gt;"14")*L$2:L$5000)),IF(E158="section15_manual",J158,0)))</f>
        <v/>
      </c>
      <c r="M158" s="7" t="n"/>
    </row>
    <row r="159">
      <c r="A159" s="2" t="inlineStr">
        <is>
          <t>да</t>
        </is>
      </c>
      <c r="B159" s="2" t="inlineStr">
        <is>
          <t>4</t>
        </is>
      </c>
      <c r="C159" s="3" t="inlineStr">
        <is>
          <t>Подпорные стенки, ступени - верхняя зона</t>
        </is>
      </c>
      <c r="D159" s="2" t="inlineStr"/>
      <c r="E159" s="2" t="inlineStr">
        <is>
          <t>work</t>
        </is>
      </c>
      <c r="F159" s="2" t="n">
        <v>158</v>
      </c>
      <c r="G159" s="3" t="inlineStr">
        <is>
          <t>Герметизация примыканий полиуретановым герметиком - примыкание облицовки к покрытию из керамогранита</t>
        </is>
      </c>
      <c r="H159" s="2" t="inlineStr">
        <is>
          <t>м.п.</t>
        </is>
      </c>
      <c r="I159" s="4" t="n">
        <v>33</v>
      </c>
      <c r="J159" s="4" t="n">
        <v>100</v>
      </c>
      <c r="K159" s="5">
        <f>IF(OR(E159="work",E159="section14_item"),I159*J159,0)</f>
        <v/>
      </c>
      <c r="L159" s="5">
        <f>IF(E159="material",I159*J159,IF(E159="section15_percent",I159/100*(SUMPRODUCT((E$2:E$5000="work")*(B$2:B$5000&lt;&gt;"14")*K$2:K$5000)+SUMPRODUCT((E$2:E$5000="material")*(B$2:B$5000&lt;&gt;"14")*L$2:L$5000)),IF(E159="section15_manual",J159,0)))</f>
        <v/>
      </c>
      <c r="M159" s="3" t="n"/>
    </row>
    <row r="160">
      <c r="A160" s="6" t="inlineStr">
        <is>
          <t>да</t>
        </is>
      </c>
      <c r="B160" s="6" t="inlineStr">
        <is>
          <t>4</t>
        </is>
      </c>
      <c r="C160" s="7" t="inlineStr">
        <is>
          <t>Подпорные стенки, ступени - верхняя зона</t>
        </is>
      </c>
      <c r="D160" s="6" t="inlineStr"/>
      <c r="E160" s="6" t="inlineStr">
        <is>
          <t>material</t>
        </is>
      </c>
      <c r="F160" s="6" t="n">
        <v>159</v>
      </c>
      <c r="G160" s="7" t="inlineStr">
        <is>
          <t>Герметик полиуретановый, 600мл</t>
        </is>
      </c>
      <c r="H160" s="6" t="inlineStr">
        <is>
          <t>шт.</t>
        </is>
      </c>
      <c r="I160" s="8" t="n">
        <v>8</v>
      </c>
      <c r="J160" s="8" t="n">
        <v>100</v>
      </c>
      <c r="K160" s="9">
        <f>IF(OR(E160="work",E160="section14_item"),I160*J160,0)</f>
        <v/>
      </c>
      <c r="L160" s="9">
        <f>IF(E160="material",I160*J160,IF(E160="section15_percent",I160/100*(SUMPRODUCT((E$2:E$5000="work")*(B$2:B$5000&lt;&gt;"14")*K$2:K$5000)+SUMPRODUCT((E$2:E$5000="material")*(B$2:B$5000&lt;&gt;"14")*L$2:L$5000)),IF(E160="section15_manual",J160,0)))</f>
        <v/>
      </c>
      <c r="M160" s="7" t="n"/>
    </row>
    <row r="161">
      <c r="A161" s="10" t="inlineStr">
        <is>
          <t>да</t>
        </is>
      </c>
      <c r="B161" s="10" t="inlineStr">
        <is>
          <t>5</t>
        </is>
      </c>
      <c r="C161" s="11" t="inlineStr">
        <is>
          <t>Покрытия.</t>
        </is>
      </c>
      <c r="D161" s="10" t="inlineStr"/>
      <c r="E161" s="10" t="inlineStr">
        <is>
          <t>subsection</t>
        </is>
      </c>
      <c r="F161" s="10" t="n">
        <v>160</v>
      </c>
      <c r="G161" s="11" t="inlineStr">
        <is>
          <t>Тип А1. Автомобильное покрытие из брусчатки</t>
        </is>
      </c>
      <c r="H161" s="10" t="inlineStr"/>
      <c r="I161" s="12" t="n"/>
      <c r="J161" s="12" t="n"/>
      <c r="K161" s="13">
        <f>IF(OR(E161="work",E161="section14_item"),I161*J161,0)</f>
        <v/>
      </c>
      <c r="L161" s="13">
        <f>IF(E161="material",I161*J161,IF(E161="section15_percent",I161/100*(SUMPRODUCT((E$2:E$5000="work")*(B$2:B$5000&lt;&gt;"14")*K$2:K$5000)+SUMPRODUCT((E$2:E$5000="material")*(B$2:B$5000&lt;&gt;"14")*L$2:L$5000)),IF(E161="section15_manual",J161,0)))</f>
        <v/>
      </c>
      <c r="M161" s="11" t="n"/>
    </row>
    <row r="162">
      <c r="A162" s="2" t="inlineStr">
        <is>
          <t>да</t>
        </is>
      </c>
      <c r="B162" s="2" t="inlineStr">
        <is>
          <t>5</t>
        </is>
      </c>
      <c r="C162" s="3" t="inlineStr">
        <is>
          <t>Покрытия.</t>
        </is>
      </c>
      <c r="D162" s="2" t="inlineStr">
        <is>
          <t>Тип А1. Автомобильное покрытие из брусчатки</t>
        </is>
      </c>
      <c r="E162" s="2" t="inlineStr">
        <is>
          <t>work</t>
        </is>
      </c>
      <c r="F162" s="2" t="n">
        <v>161</v>
      </c>
      <c r="G162" s="3" t="inlineStr">
        <is>
          <t>Устройство выравнивающих оснований из песка с трамбованием вручную</t>
        </is>
      </c>
      <c r="H162" s="2" t="inlineStr">
        <is>
          <t>м.куб.</t>
        </is>
      </c>
      <c r="I162" s="4" t="n">
        <v>29</v>
      </c>
      <c r="J162" s="4" t="n">
        <v>100</v>
      </c>
      <c r="K162" s="5">
        <f>IF(OR(E162="work",E162="section14_item"),I162*J162,0)</f>
        <v/>
      </c>
      <c r="L162" s="5">
        <f>IF(E162="material",I162*J162,IF(E162="section15_percent",I162/100*(SUMPRODUCT((E$2:E$5000="work")*(B$2:B$5000&lt;&gt;"14")*K$2:K$5000)+SUMPRODUCT((E$2:E$5000="material")*(B$2:B$5000&lt;&gt;"14")*L$2:L$5000)),IF(E162="section15_manual",J162,0)))</f>
        <v/>
      </c>
      <c r="M162" s="3" t="n"/>
    </row>
    <row r="163">
      <c r="A163" s="6" t="inlineStr">
        <is>
          <t>да</t>
        </is>
      </c>
      <c r="B163" s="6" t="inlineStr">
        <is>
          <t>5</t>
        </is>
      </c>
      <c r="C163" s="7" t="inlineStr">
        <is>
          <t>Покрытия.</t>
        </is>
      </c>
      <c r="D163" s="6" t="inlineStr">
        <is>
          <t>Тип А1. Автомобильное покрытие из брусчатки</t>
        </is>
      </c>
      <c r="E163" s="6" t="inlineStr">
        <is>
          <t>material</t>
        </is>
      </c>
      <c r="F163" s="6" t="n">
        <v>162</v>
      </c>
      <c r="G163" s="7" t="inlineStr">
        <is>
          <t>Песок намывной (самосвал 20м3)</t>
        </is>
      </c>
      <c r="H163" s="6" t="inlineStr">
        <is>
          <t>м.куб.</t>
        </is>
      </c>
      <c r="I163" s="8" t="n">
        <v>34.8</v>
      </c>
      <c r="J163" s="8" t="n">
        <v>100</v>
      </c>
      <c r="K163" s="9">
        <f>IF(OR(E163="work",E163="section14_item"),I163*J163,0)</f>
        <v/>
      </c>
      <c r="L163" s="9">
        <f>IF(E163="material",I163*J163,IF(E163="section15_percent",I163/100*(SUMPRODUCT((E$2:E$5000="work")*(B$2:B$5000&lt;&gt;"14")*K$2:K$5000)+SUMPRODUCT((E$2:E$5000="material")*(B$2:B$5000&lt;&gt;"14")*L$2:L$5000)),IF(E163="section15_manual",J163,0)))</f>
        <v/>
      </c>
      <c r="M163" s="7" t="n"/>
    </row>
    <row r="164">
      <c r="A164" s="2" t="inlineStr">
        <is>
          <t>да</t>
        </is>
      </c>
      <c r="B164" s="2" t="inlineStr">
        <is>
          <t>5</t>
        </is>
      </c>
      <c r="C164" s="3" t="inlineStr">
        <is>
          <t>Покрытия.</t>
        </is>
      </c>
      <c r="D164" s="2" t="inlineStr">
        <is>
          <t>Тип А1. Автомобильное покрытие из брусчатки</t>
        </is>
      </c>
      <c r="E164" s="2" t="inlineStr">
        <is>
          <t>work</t>
        </is>
      </c>
      <c r="F164" s="2" t="n">
        <v>163</v>
      </c>
      <c r="G164" s="3" t="inlineStr">
        <is>
          <t>Аренда виброплиты 250кг</t>
        </is>
      </c>
      <c r="H164" s="2" t="inlineStr">
        <is>
          <t>маш./смена</t>
        </is>
      </c>
      <c r="I164" s="4" t="n">
        <v>2</v>
      </c>
      <c r="J164" s="4" t="n">
        <v>100</v>
      </c>
      <c r="K164" s="5">
        <f>IF(OR(E164="work",E164="section14_item"),I164*J164,0)</f>
        <v/>
      </c>
      <c r="L164" s="5">
        <f>IF(E164="material",I164*J164,IF(E164="section15_percent",I164/100*(SUMPRODUCT((E$2:E$5000="work")*(B$2:B$5000&lt;&gt;"14")*K$2:K$5000)+SUMPRODUCT((E$2:E$5000="material")*(B$2:B$5000&lt;&gt;"14")*L$2:L$5000)),IF(E164="section15_manual",J164,0)))</f>
        <v/>
      </c>
      <c r="M164" s="3" t="n"/>
    </row>
    <row r="165">
      <c r="A165" s="2" t="inlineStr">
        <is>
          <t>да</t>
        </is>
      </c>
      <c r="B165" s="2" t="inlineStr">
        <is>
          <t>5</t>
        </is>
      </c>
      <c r="C165" s="3" t="inlineStr">
        <is>
          <t>Покрытия.</t>
        </is>
      </c>
      <c r="D165" s="2" t="inlineStr">
        <is>
          <t>Тип А1. Автомобильное покрытие из брусчатки</t>
        </is>
      </c>
      <c r="E165" s="2" t="inlineStr">
        <is>
          <t>work</t>
        </is>
      </c>
      <c r="F165" s="2" t="n">
        <v>164</v>
      </c>
      <c r="G165" s="3" t="inlineStr">
        <is>
          <t>Аренда мини-экскаватора</t>
        </is>
      </c>
      <c r="H165" s="2" t="inlineStr">
        <is>
          <t>маш./смена</t>
        </is>
      </c>
      <c r="I165" s="4" t="n">
        <v>2</v>
      </c>
      <c r="J165" s="4" t="n">
        <v>100</v>
      </c>
      <c r="K165" s="5">
        <f>IF(OR(E165="work",E165="section14_item"),I165*J165,0)</f>
        <v/>
      </c>
      <c r="L165" s="5">
        <f>IF(E165="material",I165*J165,IF(E165="section15_percent",I165/100*(SUMPRODUCT((E$2:E$5000="work")*(B$2:B$5000&lt;&gt;"14")*K$2:K$5000)+SUMPRODUCT((E$2:E$5000="material")*(B$2:B$5000&lt;&gt;"14")*L$2:L$5000)),IF(E165="section15_manual",J165,0)))</f>
        <v/>
      </c>
      <c r="M165" s="3" t="n"/>
    </row>
    <row r="166">
      <c r="A166" s="2" t="inlineStr">
        <is>
          <t>да</t>
        </is>
      </c>
      <c r="B166" s="2" t="inlineStr">
        <is>
          <t>5</t>
        </is>
      </c>
      <c r="C166" s="3" t="inlineStr">
        <is>
          <t>Покрытия.</t>
        </is>
      </c>
      <c r="D166" s="2" t="inlineStr">
        <is>
          <t>Тип А1. Автомобильное покрытие из брусчатки</t>
        </is>
      </c>
      <c r="E166" s="2" t="inlineStr">
        <is>
          <t>work</t>
        </is>
      </c>
      <c r="F166" s="2" t="n">
        <v>165</v>
      </c>
      <c r="G166" s="3" t="inlineStr">
        <is>
          <t>Укладка геотекстиля</t>
        </is>
      </c>
      <c r="H166" s="2" t="inlineStr">
        <is>
          <t>м.кв.</t>
        </is>
      </c>
      <c r="I166" s="4" t="n">
        <v>290</v>
      </c>
      <c r="J166" s="4" t="n">
        <v>100</v>
      </c>
      <c r="K166" s="5">
        <f>IF(OR(E166="work",E166="section14_item"),I166*J166,0)</f>
        <v/>
      </c>
      <c r="L166" s="5">
        <f>IF(E166="material",I166*J166,IF(E166="section15_percent",I166/100*(SUMPRODUCT((E$2:E$5000="work")*(B$2:B$5000&lt;&gt;"14")*K$2:K$5000)+SUMPRODUCT((E$2:E$5000="material")*(B$2:B$5000&lt;&gt;"14")*L$2:L$5000)),IF(E166="section15_manual",J166,0)))</f>
        <v/>
      </c>
      <c r="M166" s="3" t="n"/>
    </row>
    <row r="167">
      <c r="A167" s="6" t="inlineStr">
        <is>
          <t>да</t>
        </is>
      </c>
      <c r="B167" s="6" t="inlineStr">
        <is>
          <t>5</t>
        </is>
      </c>
      <c r="C167" s="7" t="inlineStr">
        <is>
          <t>Покрытия.</t>
        </is>
      </c>
      <c r="D167" s="6" t="inlineStr">
        <is>
          <t>Тип А1. Автомобильное покрытие из брусчатки</t>
        </is>
      </c>
      <c r="E167" s="6" t="inlineStr">
        <is>
          <t>material</t>
        </is>
      </c>
      <c r="F167" s="6" t="n">
        <v>166</v>
      </c>
      <c r="G167" s="7" t="inlineStr">
        <is>
          <t>Геотекстиль плотность 300г/м2</t>
        </is>
      </c>
      <c r="H167" s="6" t="inlineStr">
        <is>
          <t>м.кв.</t>
        </is>
      </c>
      <c r="I167" s="8" t="n">
        <v>377</v>
      </c>
      <c r="J167" s="8" t="n">
        <v>100</v>
      </c>
      <c r="K167" s="9">
        <f>IF(OR(E167="work",E167="section14_item"),I167*J167,0)</f>
        <v/>
      </c>
      <c r="L167" s="9">
        <f>IF(E167="material",I167*J167,IF(E167="section15_percent",I167/100*(SUMPRODUCT((E$2:E$5000="work")*(B$2:B$5000&lt;&gt;"14")*K$2:K$5000)+SUMPRODUCT((E$2:E$5000="material")*(B$2:B$5000&lt;&gt;"14")*L$2:L$5000)),IF(E167="section15_manual",J167,0)))</f>
        <v/>
      </c>
      <c r="M167" s="7" t="n"/>
    </row>
    <row r="168">
      <c r="A168" s="2" t="inlineStr">
        <is>
          <t>да</t>
        </is>
      </c>
      <c r="B168" s="2" t="inlineStr">
        <is>
          <t>5</t>
        </is>
      </c>
      <c r="C168" s="3" t="inlineStr">
        <is>
          <t>Покрытия.</t>
        </is>
      </c>
      <c r="D168" s="2" t="inlineStr">
        <is>
          <t>Тип А1. Автомобильное покрытие из брусчатки</t>
        </is>
      </c>
      <c r="E168" s="2" t="inlineStr">
        <is>
          <t>work</t>
        </is>
      </c>
      <c r="F168" s="2" t="n">
        <v>167</v>
      </c>
      <c r="G168" s="3" t="inlineStr">
        <is>
          <t>Устройство оснований из щебня с трамбованием, расклинцовкой вручную</t>
        </is>
      </c>
      <c r="H168" s="2" t="inlineStr">
        <is>
          <t>м.куб.</t>
        </is>
      </c>
      <c r="I168" s="4" t="n">
        <v>72.5</v>
      </c>
      <c r="J168" s="4" t="n">
        <v>100</v>
      </c>
      <c r="K168" s="5">
        <f>IF(OR(E168="work",E168="section14_item"),I168*J168,0)</f>
        <v/>
      </c>
      <c r="L168" s="5">
        <f>IF(E168="material",I168*J168,IF(E168="section15_percent",I168/100*(SUMPRODUCT((E$2:E$5000="work")*(B$2:B$5000&lt;&gt;"14")*K$2:K$5000)+SUMPRODUCT((E$2:E$5000="material")*(B$2:B$5000&lt;&gt;"14")*L$2:L$5000)),IF(E168="section15_manual",J168,0)))</f>
        <v/>
      </c>
      <c r="M168" s="3" t="n"/>
    </row>
    <row r="169">
      <c r="A169" s="6" t="inlineStr">
        <is>
          <t>да</t>
        </is>
      </c>
      <c r="B169" s="6" t="inlineStr">
        <is>
          <t>5</t>
        </is>
      </c>
      <c r="C169" s="7" t="inlineStr">
        <is>
          <t>Покрытия.</t>
        </is>
      </c>
      <c r="D169" s="6" t="inlineStr">
        <is>
          <t>Тип А1. Автомобильное покрытие из брусчатки</t>
        </is>
      </c>
      <c r="E169" s="6" t="inlineStr">
        <is>
          <t>material</t>
        </is>
      </c>
      <c r="F169" s="6" t="n">
        <v>168</v>
      </c>
      <c r="G169" s="7" t="inlineStr">
        <is>
          <t>Щебень гранитный фр.20-40мм (самосвал 20м3)</t>
        </is>
      </c>
      <c r="H169" s="6" t="inlineStr">
        <is>
          <t>м.куб.</t>
        </is>
      </c>
      <c r="I169" s="8" t="n">
        <v>95</v>
      </c>
      <c r="J169" s="8" t="n">
        <v>100</v>
      </c>
      <c r="K169" s="9">
        <f>IF(OR(E169="work",E169="section14_item"),I169*J169,0)</f>
        <v/>
      </c>
      <c r="L169" s="9">
        <f>IF(E169="material",I169*J169,IF(E169="section15_percent",I169/100*(SUMPRODUCT((E$2:E$5000="work")*(B$2:B$5000&lt;&gt;"14")*K$2:K$5000)+SUMPRODUCT((E$2:E$5000="material")*(B$2:B$5000&lt;&gt;"14")*L$2:L$5000)),IF(E169="section15_manual",J169,0)))</f>
        <v/>
      </c>
      <c r="M169" s="7" t="n"/>
    </row>
    <row r="170">
      <c r="A170" s="6" t="inlineStr">
        <is>
          <t>да</t>
        </is>
      </c>
      <c r="B170" s="6" t="inlineStr">
        <is>
          <t>5</t>
        </is>
      </c>
      <c r="C170" s="7" t="inlineStr">
        <is>
          <t>Покрытия.</t>
        </is>
      </c>
      <c r="D170" s="6" t="inlineStr">
        <is>
          <t>Тип А1. Автомобильное покрытие из брусчатки</t>
        </is>
      </c>
      <c r="E170" s="6" t="inlineStr">
        <is>
          <t>material</t>
        </is>
      </c>
      <c r="F170" s="6" t="n">
        <v>169</v>
      </c>
      <c r="G170" s="7" t="inlineStr">
        <is>
          <t>Щебень гранитный (фракция 5-20мм) для расклинцовки</t>
        </is>
      </c>
      <c r="H170" s="6" t="inlineStr">
        <is>
          <t>м.куб.</t>
        </is>
      </c>
      <c r="I170" s="8" t="n">
        <v>12</v>
      </c>
      <c r="J170" s="8" t="n">
        <v>100</v>
      </c>
      <c r="K170" s="9">
        <f>IF(OR(E170="work",E170="section14_item"),I170*J170,0)</f>
        <v/>
      </c>
      <c r="L170" s="9">
        <f>IF(E170="material",I170*J170,IF(E170="section15_percent",I170/100*(SUMPRODUCT((E$2:E$5000="work")*(B$2:B$5000&lt;&gt;"14")*K$2:K$5000)+SUMPRODUCT((E$2:E$5000="material")*(B$2:B$5000&lt;&gt;"14")*L$2:L$5000)),IF(E170="section15_manual",J170,0)))</f>
        <v/>
      </c>
      <c r="M170" s="7" t="n"/>
    </row>
    <row r="171">
      <c r="A171" s="2" t="inlineStr">
        <is>
          <t>да</t>
        </is>
      </c>
      <c r="B171" s="2" t="inlineStr">
        <is>
          <t>5</t>
        </is>
      </c>
      <c r="C171" s="3" t="inlineStr">
        <is>
          <t>Покрытия.</t>
        </is>
      </c>
      <c r="D171" s="2" t="inlineStr">
        <is>
          <t>Тип А1. Автомобильное покрытие из брусчатки</t>
        </is>
      </c>
      <c r="E171" s="2" t="inlineStr">
        <is>
          <t>work</t>
        </is>
      </c>
      <c r="F171" s="2" t="n">
        <v>170</v>
      </c>
      <c r="G171" s="3" t="inlineStr">
        <is>
          <t>Аренда виброплиты 250кг</t>
        </is>
      </c>
      <c r="H171" s="2" t="inlineStr">
        <is>
          <t>маш./смена</t>
        </is>
      </c>
      <c r="I171" s="4" t="n">
        <v>3</v>
      </c>
      <c r="J171" s="4" t="n">
        <v>100</v>
      </c>
      <c r="K171" s="5">
        <f>IF(OR(E171="work",E171="section14_item"),I171*J171,0)</f>
        <v/>
      </c>
      <c r="L171" s="5">
        <f>IF(E171="material",I171*J171,IF(E171="section15_percent",I171/100*(SUMPRODUCT((E$2:E$5000="work")*(B$2:B$5000&lt;&gt;"14")*K$2:K$5000)+SUMPRODUCT((E$2:E$5000="material")*(B$2:B$5000&lt;&gt;"14")*L$2:L$5000)),IF(E171="section15_manual",J171,0)))</f>
        <v/>
      </c>
      <c r="M171" s="3" t="n"/>
    </row>
    <row r="172">
      <c r="A172" s="2" t="inlineStr">
        <is>
          <t>да</t>
        </is>
      </c>
      <c r="B172" s="2" t="inlineStr">
        <is>
          <t>5</t>
        </is>
      </c>
      <c r="C172" s="3" t="inlineStr">
        <is>
          <t>Покрытия.</t>
        </is>
      </c>
      <c r="D172" s="2" t="inlineStr">
        <is>
          <t>Тип А1. Автомобильное покрытие из брусчатки</t>
        </is>
      </c>
      <c r="E172" s="2" t="inlineStr">
        <is>
          <t>work</t>
        </is>
      </c>
      <c r="F172" s="2" t="n">
        <v>171</v>
      </c>
      <c r="G172" s="3" t="inlineStr">
        <is>
          <t>Аренда мини-экскаватора</t>
        </is>
      </c>
      <c r="H172" s="2" t="inlineStr">
        <is>
          <t>маш./смена</t>
        </is>
      </c>
      <c r="I172" s="4" t="n">
        <v>3</v>
      </c>
      <c r="J172" s="4" t="n">
        <v>100</v>
      </c>
      <c r="K172" s="5">
        <f>IF(OR(E172="work",E172="section14_item"),I172*J172,0)</f>
        <v/>
      </c>
      <c r="L172" s="5">
        <f>IF(E172="material",I172*J172,IF(E172="section15_percent",I172/100*(SUMPRODUCT((E$2:E$5000="work")*(B$2:B$5000&lt;&gt;"14")*K$2:K$5000)+SUMPRODUCT((E$2:E$5000="material")*(B$2:B$5000&lt;&gt;"14")*L$2:L$5000)),IF(E172="section15_manual",J172,0)))</f>
        <v/>
      </c>
      <c r="M172" s="3" t="n"/>
    </row>
    <row r="173">
      <c r="A173" s="2" t="inlineStr">
        <is>
          <t>да</t>
        </is>
      </c>
      <c r="B173" s="2" t="inlineStr">
        <is>
          <t>5</t>
        </is>
      </c>
      <c r="C173" s="3" t="inlineStr">
        <is>
          <t>Покрытия.</t>
        </is>
      </c>
      <c r="D173" s="2" t="inlineStr">
        <is>
          <t>Тип А1. Автомобильное покрытие из брусчатки</t>
        </is>
      </c>
      <c r="E173" s="2" t="inlineStr">
        <is>
          <t>work</t>
        </is>
      </c>
      <c r="F173" s="2" t="n">
        <v>172</v>
      </c>
      <c r="G173" s="3" t="inlineStr">
        <is>
          <t>Устройство теплоизоляционного слоя из пеноплекса</t>
        </is>
      </c>
      <c r="H173" s="2" t="inlineStr">
        <is>
          <t>м.кв.</t>
        </is>
      </c>
      <c r="I173" s="4" t="n">
        <v>274.1</v>
      </c>
      <c r="J173" s="4" t="n">
        <v>100</v>
      </c>
      <c r="K173" s="5">
        <f>IF(OR(E173="work",E173="section14_item"),I173*J173,0)</f>
        <v/>
      </c>
      <c r="L173" s="5">
        <f>IF(E173="material",I173*J173,IF(E173="section15_percent",I173/100*(SUMPRODUCT((E$2:E$5000="work")*(B$2:B$5000&lt;&gt;"14")*K$2:K$5000)+SUMPRODUCT((E$2:E$5000="material")*(B$2:B$5000&lt;&gt;"14")*L$2:L$5000)),IF(E173="section15_manual",J173,0)))</f>
        <v/>
      </c>
      <c r="M173" s="3" t="n"/>
    </row>
    <row r="174">
      <c r="A174" s="6" t="inlineStr">
        <is>
          <t>да</t>
        </is>
      </c>
      <c r="B174" s="6" t="inlineStr">
        <is>
          <t>5</t>
        </is>
      </c>
      <c r="C174" s="7" t="inlineStr">
        <is>
          <t>Покрытия.</t>
        </is>
      </c>
      <c r="D174" s="6" t="inlineStr">
        <is>
          <t>Тип А1. Автомобильное покрытие из брусчатки</t>
        </is>
      </c>
      <c r="E174" s="6" t="inlineStr">
        <is>
          <t>material</t>
        </is>
      </c>
      <c r="F174" s="6" t="n">
        <v>173</v>
      </c>
      <c r="G174" s="7" t="inlineStr">
        <is>
          <t>Экструдированный пенополистирол Пеноплэкс Фундамент 50*585*1185мм</t>
        </is>
      </c>
      <c r="H174" s="6" t="inlineStr">
        <is>
          <t>лист</t>
        </is>
      </c>
      <c r="I174" s="8" t="n">
        <v>420</v>
      </c>
      <c r="J174" s="8" t="n">
        <v>100</v>
      </c>
      <c r="K174" s="9">
        <f>IF(OR(E174="work",E174="section14_item"),I174*J174,0)</f>
        <v/>
      </c>
      <c r="L174" s="9">
        <f>IF(E174="material",I174*J174,IF(E174="section15_percent",I174/100*(SUMPRODUCT((E$2:E$5000="work")*(B$2:B$5000&lt;&gt;"14")*K$2:K$5000)+SUMPRODUCT((E$2:E$5000="material")*(B$2:B$5000&lt;&gt;"14")*L$2:L$5000)),IF(E174="section15_manual",J174,0)))</f>
        <v/>
      </c>
      <c r="M174" s="7" t="n"/>
    </row>
    <row r="175">
      <c r="A175" s="2" t="inlineStr">
        <is>
          <t>да</t>
        </is>
      </c>
      <c r="B175" s="2" t="inlineStr">
        <is>
          <t>5</t>
        </is>
      </c>
      <c r="C175" s="3" t="inlineStr">
        <is>
          <t>Покрытия.</t>
        </is>
      </c>
      <c r="D175" s="2" t="inlineStr">
        <is>
          <t>Тип А1. Автомобильное покрытие из брусчатки</t>
        </is>
      </c>
      <c r="E175" s="2" t="inlineStr">
        <is>
          <t>work</t>
        </is>
      </c>
      <c r="F175" s="2" t="n">
        <v>174</v>
      </c>
      <c r="G175" s="3" t="inlineStr">
        <is>
          <t>Настил пленки</t>
        </is>
      </c>
      <c r="H175" s="2" t="inlineStr">
        <is>
          <t>м.кв.</t>
        </is>
      </c>
      <c r="I175" s="4" t="n">
        <v>274.1</v>
      </c>
      <c r="J175" s="4" t="n">
        <v>100</v>
      </c>
      <c r="K175" s="5">
        <f>IF(OR(E175="work",E175="section14_item"),I175*J175,0)</f>
        <v/>
      </c>
      <c r="L175" s="5">
        <f>IF(E175="material",I175*J175,IF(E175="section15_percent",I175/100*(SUMPRODUCT((E$2:E$5000="work")*(B$2:B$5000&lt;&gt;"14")*K$2:K$5000)+SUMPRODUCT((E$2:E$5000="material")*(B$2:B$5000&lt;&gt;"14")*L$2:L$5000)),IF(E175="section15_manual",J175,0)))</f>
        <v/>
      </c>
      <c r="M175" s="3" t="n"/>
    </row>
    <row r="176">
      <c r="A176" s="6" t="inlineStr">
        <is>
          <t>да</t>
        </is>
      </c>
      <c r="B176" s="6" t="inlineStr">
        <is>
          <t>5</t>
        </is>
      </c>
      <c r="C176" s="7" t="inlineStr">
        <is>
          <t>Покрытия.</t>
        </is>
      </c>
      <c r="D176" s="6" t="inlineStr">
        <is>
          <t>Тип А1. Автомобильное покрытие из брусчатки</t>
        </is>
      </c>
      <c r="E176" s="6" t="inlineStr">
        <is>
          <t>material</t>
        </is>
      </c>
      <c r="F176" s="6" t="n">
        <v>175</v>
      </c>
      <c r="G176" s="7" t="inlineStr">
        <is>
          <t>Пленка техническая полиэтиленовая 200мк</t>
        </is>
      </c>
      <c r="H176" s="6" t="inlineStr">
        <is>
          <t>м.кв.</t>
        </is>
      </c>
      <c r="I176" s="8" t="n">
        <v>342.625</v>
      </c>
      <c r="J176" s="8" t="n">
        <v>100</v>
      </c>
      <c r="K176" s="9">
        <f>IF(OR(E176="work",E176="section14_item"),I176*J176,0)</f>
        <v/>
      </c>
      <c r="L176" s="9">
        <f>IF(E176="material",I176*J176,IF(E176="section15_percent",I176/100*(SUMPRODUCT((E$2:E$5000="work")*(B$2:B$5000&lt;&gt;"14")*K$2:K$5000)+SUMPRODUCT((E$2:E$5000="material")*(B$2:B$5000&lt;&gt;"14")*L$2:L$5000)),IF(E176="section15_manual",J176,0)))</f>
        <v/>
      </c>
      <c r="M176" s="7" t="n"/>
    </row>
    <row r="177">
      <c r="A177" s="2" t="inlineStr">
        <is>
          <t>да</t>
        </is>
      </c>
      <c r="B177" s="2" t="inlineStr">
        <is>
          <t>5</t>
        </is>
      </c>
      <c r="C177" s="3" t="inlineStr">
        <is>
          <t>Покрытия.</t>
        </is>
      </c>
      <c r="D177" s="2" t="inlineStr">
        <is>
          <t>Тип А1. Автомобильное покрытие из брусчатки</t>
        </is>
      </c>
      <c r="E177" s="2" t="inlineStr">
        <is>
          <t>work</t>
        </is>
      </c>
      <c r="F177" s="2" t="n">
        <v>176</v>
      </c>
      <c r="G177" s="3" t="inlineStr">
        <is>
          <t>Устройство ж/б плиты 120мм по радиусу (выставление опалубки, армирование, заливка бетона, снятие опалубки)</t>
        </is>
      </c>
      <c r="H177" s="2" t="inlineStr">
        <is>
          <t>м.кв.</t>
        </is>
      </c>
      <c r="I177" s="4" t="n">
        <v>274.1</v>
      </c>
      <c r="J177" s="4" t="n">
        <v>100</v>
      </c>
      <c r="K177" s="5">
        <f>IF(OR(E177="work",E177="section14_item"),I177*J177,0)</f>
        <v/>
      </c>
      <c r="L177" s="5">
        <f>IF(E177="material",I177*J177,IF(E177="section15_percent",I177/100*(SUMPRODUCT((E$2:E$5000="work")*(B$2:B$5000&lt;&gt;"14")*K$2:K$5000)+SUMPRODUCT((E$2:E$5000="material")*(B$2:B$5000&lt;&gt;"14")*L$2:L$5000)),IF(E177="section15_manual",J177,0)))</f>
        <v/>
      </c>
      <c r="M177" s="3" t="n"/>
    </row>
    <row r="178">
      <c r="A178" s="6" t="inlineStr">
        <is>
          <t>да</t>
        </is>
      </c>
      <c r="B178" s="6" t="inlineStr">
        <is>
          <t>5</t>
        </is>
      </c>
      <c r="C178" s="7" t="inlineStr">
        <is>
          <t>Покрытия.</t>
        </is>
      </c>
      <c r="D178" s="6" t="inlineStr">
        <is>
          <t>Тип А1. Автомобильное покрытие из брусчатки</t>
        </is>
      </c>
      <c r="E178" s="6" t="inlineStr">
        <is>
          <t>material</t>
        </is>
      </c>
      <c r="F178" s="6" t="n">
        <v>177</v>
      </c>
      <c r="G178" s="7" t="inlineStr">
        <is>
          <t>Арматура 12мм рифленая, 6м</t>
        </is>
      </c>
      <c r="H178" s="6" t="inlineStr">
        <is>
          <t>т</t>
        </is>
      </c>
      <c r="I178" s="8" t="n">
        <v>4.5</v>
      </c>
      <c r="J178" s="8" t="n">
        <v>100</v>
      </c>
      <c r="K178" s="9">
        <f>IF(OR(E178="work",E178="section14_item"),I178*J178,0)</f>
        <v/>
      </c>
      <c r="L178" s="9">
        <f>IF(E178="material",I178*J178,IF(E178="section15_percent",I178/100*(SUMPRODUCT((E$2:E$5000="work")*(B$2:B$5000&lt;&gt;"14")*K$2:K$5000)+SUMPRODUCT((E$2:E$5000="material")*(B$2:B$5000&lt;&gt;"14")*L$2:L$5000)),IF(E178="section15_manual",J178,0)))</f>
        <v/>
      </c>
      <c r="M178" s="7" t="n"/>
    </row>
    <row r="179">
      <c r="A179" s="6" t="inlineStr">
        <is>
          <t>да</t>
        </is>
      </c>
      <c r="B179" s="6" t="inlineStr">
        <is>
          <t>5</t>
        </is>
      </c>
      <c r="C179" s="7" t="inlineStr">
        <is>
          <t>Покрытия.</t>
        </is>
      </c>
      <c r="D179" s="6" t="inlineStr">
        <is>
          <t>Тип А1. Автомобильное покрытие из брусчатки</t>
        </is>
      </c>
      <c r="E179" s="6" t="inlineStr">
        <is>
          <t>material</t>
        </is>
      </c>
      <c r="F179" s="6" t="n">
        <v>178</v>
      </c>
      <c r="G179" s="7" t="inlineStr">
        <is>
          <t>Бетон товарный М300 W8 F150 П4</t>
        </is>
      </c>
      <c r="H179" s="6" t="inlineStr">
        <is>
          <t>м.куб.</t>
        </is>
      </c>
      <c r="I179" s="8" t="n">
        <v>24.2</v>
      </c>
      <c r="J179" s="8" t="n">
        <v>100</v>
      </c>
      <c r="K179" s="9">
        <f>IF(OR(E179="work",E179="section14_item"),I179*J179,0)</f>
        <v/>
      </c>
      <c r="L179" s="9">
        <f>IF(E179="material",I179*J179,IF(E179="section15_percent",I179/100*(SUMPRODUCT((E$2:E$5000="work")*(B$2:B$5000&lt;&gt;"14")*K$2:K$5000)+SUMPRODUCT((E$2:E$5000="material")*(B$2:B$5000&lt;&gt;"14")*L$2:L$5000)),IF(E179="section15_manual",J179,0)))</f>
        <v/>
      </c>
      <c r="M179" s="7" t="n"/>
    </row>
    <row r="180">
      <c r="A180" s="2" t="inlineStr">
        <is>
          <t>да</t>
        </is>
      </c>
      <c r="B180" s="2" t="inlineStr">
        <is>
          <t>5</t>
        </is>
      </c>
      <c r="C180" s="3" t="inlineStr">
        <is>
          <t>Покрытия.</t>
        </is>
      </c>
      <c r="D180" s="2" t="inlineStr">
        <is>
          <t>Тип А1. Автомобильное покрытие из брусчатки</t>
        </is>
      </c>
      <c r="E180" s="2" t="inlineStr">
        <is>
          <t>work</t>
        </is>
      </c>
      <c r="F180" s="2" t="n">
        <v>179</v>
      </c>
      <c r="G180" s="3" t="inlineStr">
        <is>
          <t>Аренда бетононасоса</t>
        </is>
      </c>
      <c r="H180" s="2" t="inlineStr">
        <is>
          <t>маш./см.</t>
        </is>
      </c>
      <c r="I180" s="4" t="n">
        <v>2</v>
      </c>
      <c r="J180" s="4" t="n">
        <v>100</v>
      </c>
      <c r="K180" s="5">
        <f>IF(OR(E180="work",E180="section14_item"),I180*J180,0)</f>
        <v/>
      </c>
      <c r="L180" s="5">
        <f>IF(E180="material",I180*J180,IF(E180="section15_percent",I180/100*(SUMPRODUCT((E$2:E$5000="work")*(B$2:B$5000&lt;&gt;"14")*K$2:K$5000)+SUMPRODUCT((E$2:E$5000="material")*(B$2:B$5000&lt;&gt;"14")*L$2:L$5000)),IF(E180="section15_manual",J180,0)))</f>
        <v/>
      </c>
      <c r="M180" s="3" t="n"/>
    </row>
    <row r="181">
      <c r="A181" s="2" t="inlineStr">
        <is>
          <t>да</t>
        </is>
      </c>
      <c r="B181" s="2" t="inlineStr">
        <is>
          <t>5</t>
        </is>
      </c>
      <c r="C181" s="3" t="inlineStr">
        <is>
          <t>Покрытия.</t>
        </is>
      </c>
      <c r="D181" s="2" t="inlineStr">
        <is>
          <t>Тип А1. Автомобильное покрытие из брусчатки</t>
        </is>
      </c>
      <c r="E181" s="2" t="inlineStr">
        <is>
          <t>work</t>
        </is>
      </c>
      <c r="F181" s="2" t="n">
        <v>180</v>
      </c>
      <c r="G181" s="3" t="inlineStr">
        <is>
          <t>Аренда шлангов 30м</t>
        </is>
      </c>
      <c r="H181" s="2" t="inlineStr">
        <is>
          <t>маш./см.</t>
        </is>
      </c>
      <c r="I181" s="4" t="n">
        <v>2</v>
      </c>
      <c r="J181" s="4" t="n">
        <v>100</v>
      </c>
      <c r="K181" s="5">
        <f>IF(OR(E181="work",E181="section14_item"),I181*J181,0)</f>
        <v/>
      </c>
      <c r="L181" s="5">
        <f>IF(E181="material",I181*J181,IF(E181="section15_percent",I181/100*(SUMPRODUCT((E$2:E$5000="work")*(B$2:B$5000&lt;&gt;"14")*K$2:K$5000)+SUMPRODUCT((E$2:E$5000="material")*(B$2:B$5000&lt;&gt;"14")*L$2:L$5000)),IF(E181="section15_manual",J181,0)))</f>
        <v/>
      </c>
      <c r="M181" s="3" t="n"/>
    </row>
    <row r="182">
      <c r="A182" s="6" t="inlineStr">
        <is>
          <t>да</t>
        </is>
      </c>
      <c r="B182" s="6" t="inlineStr">
        <is>
          <t>5</t>
        </is>
      </c>
      <c r="C182" s="7" t="inlineStr">
        <is>
          <t>Покрытия.</t>
        </is>
      </c>
      <c r="D182" s="6" t="inlineStr">
        <is>
          <t>Тип А1. Автомобильное покрытие из брусчатки</t>
        </is>
      </c>
      <c r="E182" s="6" t="inlineStr">
        <is>
          <t>material</t>
        </is>
      </c>
      <c r="F182" s="6" t="n">
        <v>181</v>
      </c>
      <c r="G182" s="7" t="inlineStr">
        <is>
          <t>Опалубка (доски, бруски, крепеж)</t>
        </is>
      </c>
      <c r="H182" s="6" t="inlineStr">
        <is>
          <t>м.кв.</t>
        </is>
      </c>
      <c r="I182" s="8" t="n">
        <v>274.1</v>
      </c>
      <c r="J182" s="8" t="n">
        <v>100</v>
      </c>
      <c r="K182" s="9">
        <f>IF(OR(E182="work",E182="section14_item"),I182*J182,0)</f>
        <v/>
      </c>
      <c r="L182" s="9">
        <f>IF(E182="material",I182*J182,IF(E182="section15_percent",I182/100*(SUMPRODUCT((E$2:E$5000="work")*(B$2:B$5000&lt;&gt;"14")*K$2:K$5000)+SUMPRODUCT((E$2:E$5000="material")*(B$2:B$5000&lt;&gt;"14")*L$2:L$5000)),IF(E182="section15_manual",J182,0)))</f>
        <v/>
      </c>
      <c r="M182" s="7" t="n"/>
    </row>
    <row r="183">
      <c r="A183" s="2" t="inlineStr">
        <is>
          <t>да</t>
        </is>
      </c>
      <c r="B183" s="2" t="inlineStr">
        <is>
          <t>5</t>
        </is>
      </c>
      <c r="C183" s="3" t="inlineStr">
        <is>
          <t>Покрытия.</t>
        </is>
      </c>
      <c r="D183" s="2" t="inlineStr">
        <is>
          <t>Тип А1. Автомобильное покрытие из брусчатки</t>
        </is>
      </c>
      <c r="E183" s="2" t="inlineStr">
        <is>
          <t>work</t>
        </is>
      </c>
      <c r="F183" s="2" t="n">
        <v>182</v>
      </c>
      <c r="G183" s="3" t="inlineStr">
        <is>
          <t>Уход за бетоном</t>
        </is>
      </c>
      <c r="H183" s="2" t="inlineStr">
        <is>
          <t>м.кв.</t>
        </is>
      </c>
      <c r="I183" s="4" t="n">
        <v>274.1</v>
      </c>
      <c r="J183" s="4" t="n">
        <v>100</v>
      </c>
      <c r="K183" s="5">
        <f>IF(OR(E183="work",E183="section14_item"),I183*J183,0)</f>
        <v/>
      </c>
      <c r="L183" s="5">
        <f>IF(E183="material",I183*J183,IF(E183="section15_percent",I183/100*(SUMPRODUCT((E$2:E$5000="work")*(B$2:B$5000&lt;&gt;"14")*K$2:K$5000)+SUMPRODUCT((E$2:E$5000="material")*(B$2:B$5000&lt;&gt;"14")*L$2:L$5000)),IF(E183="section15_manual",J183,0)))</f>
        <v/>
      </c>
      <c r="M183" s="3" t="n"/>
    </row>
    <row r="184">
      <c r="A184" s="6" t="inlineStr">
        <is>
          <t>да</t>
        </is>
      </c>
      <c r="B184" s="6" t="inlineStr">
        <is>
          <t>5</t>
        </is>
      </c>
      <c r="C184" s="7" t="inlineStr">
        <is>
          <t>Покрытия.</t>
        </is>
      </c>
      <c r="D184" s="6" t="inlineStr">
        <is>
          <t>Тип А1. Автомобильное покрытие из брусчатки</t>
        </is>
      </c>
      <c r="E184" s="6" t="inlineStr">
        <is>
          <t>material</t>
        </is>
      </c>
      <c r="F184" s="6" t="n">
        <v>183</v>
      </c>
      <c r="G184" s="7" t="inlineStr">
        <is>
          <t>Пленка техническая полиэтиленовая 200мк</t>
        </is>
      </c>
      <c r="H184" s="6" t="inlineStr">
        <is>
          <t>м.кв.</t>
        </is>
      </c>
      <c r="I184" s="8" t="n">
        <v>274.1</v>
      </c>
      <c r="J184" s="8" t="n">
        <v>100</v>
      </c>
      <c r="K184" s="9">
        <f>IF(OR(E184="work",E184="section14_item"),I184*J184,0)</f>
        <v/>
      </c>
      <c r="L184" s="9">
        <f>IF(E184="material",I184*J184,IF(E184="section15_percent",I184/100*(SUMPRODUCT((E$2:E$5000="work")*(B$2:B$5000&lt;&gt;"14")*K$2:K$5000)+SUMPRODUCT((E$2:E$5000="material")*(B$2:B$5000&lt;&gt;"14")*L$2:L$5000)),IF(E184="section15_manual",J184,0)))</f>
        <v/>
      </c>
      <c r="M184" s="7" t="n"/>
    </row>
    <row r="185">
      <c r="A185" s="2" t="inlineStr">
        <is>
          <t>да</t>
        </is>
      </c>
      <c r="B185" s="2" t="inlineStr">
        <is>
          <t>5</t>
        </is>
      </c>
      <c r="C185" s="3" t="inlineStr">
        <is>
          <t>Покрытия.</t>
        </is>
      </c>
      <c r="D185" s="2" t="inlineStr">
        <is>
          <t>Тип А1. Автомобильное покрытие из брусчатки</t>
        </is>
      </c>
      <c r="E185" s="2" t="inlineStr">
        <is>
          <t>work</t>
        </is>
      </c>
      <c r="F185" s="2" t="n">
        <v>184</v>
      </c>
      <c r="G185" s="3" t="inlineStr">
        <is>
          <t>Гидроизоляция ж/б конструкций обмазочная</t>
        </is>
      </c>
      <c r="H185" s="2" t="inlineStr">
        <is>
          <t>м.кв.</t>
        </is>
      </c>
      <c r="I185" s="4" t="n">
        <v>12</v>
      </c>
      <c r="J185" s="4" t="n">
        <v>100</v>
      </c>
      <c r="K185" s="5">
        <f>IF(OR(E185="work",E185="section14_item"),I185*J185,0)</f>
        <v/>
      </c>
      <c r="L185" s="5">
        <f>IF(E185="material",I185*J185,IF(E185="section15_percent",I185/100*(SUMPRODUCT((E$2:E$5000="work")*(B$2:B$5000&lt;&gt;"14")*K$2:K$5000)+SUMPRODUCT((E$2:E$5000="material")*(B$2:B$5000&lt;&gt;"14")*L$2:L$5000)),IF(E185="section15_manual",J185,0)))</f>
        <v/>
      </c>
      <c r="M185" s="3" t="n"/>
    </row>
    <row r="186">
      <c r="A186" s="6" t="inlineStr">
        <is>
          <t>да</t>
        </is>
      </c>
      <c r="B186" s="6" t="inlineStr">
        <is>
          <t>5</t>
        </is>
      </c>
      <c r="C186" s="7" t="inlineStr">
        <is>
          <t>Покрытия.</t>
        </is>
      </c>
      <c r="D186" s="6" t="inlineStr">
        <is>
          <t>Тип А1. Автомобильное покрытие из брусчатки</t>
        </is>
      </c>
      <c r="E186" s="6" t="inlineStr">
        <is>
          <t>material</t>
        </is>
      </c>
      <c r="F186" s="6" t="n">
        <v>185</v>
      </c>
      <c r="G186" s="7" t="inlineStr">
        <is>
          <t>Праймер битумный Bitumast 18кг/21,5л</t>
        </is>
      </c>
      <c r="H186" s="6" t="inlineStr">
        <is>
          <t>шт.</t>
        </is>
      </c>
      <c r="I186" s="8" t="n">
        <v>0.5</v>
      </c>
      <c r="J186" s="8" t="n">
        <v>100</v>
      </c>
      <c r="K186" s="9">
        <f>IF(OR(E186="work",E186="section14_item"),I186*J186,0)</f>
        <v/>
      </c>
      <c r="L186" s="9">
        <f>IF(E186="material",I186*J186,IF(E186="section15_percent",I186/100*(SUMPRODUCT((E$2:E$5000="work")*(B$2:B$5000&lt;&gt;"14")*K$2:K$5000)+SUMPRODUCT((E$2:E$5000="material")*(B$2:B$5000&lt;&gt;"14")*L$2:L$5000)),IF(E186="section15_manual",J186,0)))</f>
        <v/>
      </c>
      <c r="M186" s="7" t="n"/>
    </row>
    <row r="187">
      <c r="A187" s="6" t="inlineStr">
        <is>
          <t>да</t>
        </is>
      </c>
      <c r="B187" s="6" t="inlineStr">
        <is>
          <t>5</t>
        </is>
      </c>
      <c r="C187" s="7" t="inlineStr">
        <is>
          <t>Покрытия.</t>
        </is>
      </c>
      <c r="D187" s="6" t="inlineStr">
        <is>
          <t>Тип А1. Автомобильное покрытие из брусчатки</t>
        </is>
      </c>
      <c r="E187" s="6" t="inlineStr">
        <is>
          <t>material</t>
        </is>
      </c>
      <c r="F187" s="6" t="n">
        <v>186</v>
      </c>
      <c r="G187" s="7" t="inlineStr">
        <is>
          <t>Мастика гидроизоляционная Bitumast 18кг/21,5л</t>
        </is>
      </c>
      <c r="H187" s="6" t="inlineStr">
        <is>
          <t>шт.</t>
        </is>
      </c>
      <c r="I187" s="8" t="n">
        <v>0.5</v>
      </c>
      <c r="J187" s="8" t="n">
        <v>100</v>
      </c>
      <c r="K187" s="9">
        <f>IF(OR(E187="work",E187="section14_item"),I187*J187,0)</f>
        <v/>
      </c>
      <c r="L187" s="9">
        <f>IF(E187="material",I187*J187,IF(E187="section15_percent",I187/100*(SUMPRODUCT((E$2:E$5000="work")*(B$2:B$5000&lt;&gt;"14")*K$2:K$5000)+SUMPRODUCT((E$2:E$5000="material")*(B$2:B$5000&lt;&gt;"14")*L$2:L$5000)),IF(E187="section15_manual",J187,0)))</f>
        <v/>
      </c>
      <c r="M187" s="7" t="n"/>
    </row>
    <row r="188">
      <c r="A188" s="2" t="inlineStr">
        <is>
          <t>да</t>
        </is>
      </c>
      <c r="B188" s="2" t="inlineStr">
        <is>
          <t>5</t>
        </is>
      </c>
      <c r="C188" s="3" t="inlineStr">
        <is>
          <t>Покрытия.</t>
        </is>
      </c>
      <c r="D188" s="2" t="inlineStr">
        <is>
          <t>Тип А1. Автомобильное покрытие из брусчатки</t>
        </is>
      </c>
      <c r="E188" s="2" t="inlineStr">
        <is>
          <t>work</t>
        </is>
      </c>
      <c r="F188" s="2" t="n">
        <v>187</v>
      </c>
      <c r="G188" s="3" t="inlineStr">
        <is>
          <t>Комплекс работ по устройству деформационных швов</t>
        </is>
      </c>
      <c r="H188" s="2" t="inlineStr">
        <is>
          <t>м.п.</t>
        </is>
      </c>
      <c r="I188" s="4" t="n">
        <v>14.6</v>
      </c>
      <c r="J188" s="4" t="n">
        <v>100</v>
      </c>
      <c r="K188" s="5">
        <f>IF(OR(E188="work",E188="section14_item"),I188*J188,0)</f>
        <v/>
      </c>
      <c r="L188" s="5">
        <f>IF(E188="material",I188*J188,IF(E188="section15_percent",I188/100*(SUMPRODUCT((E$2:E$5000="work")*(B$2:B$5000&lt;&gt;"14")*K$2:K$5000)+SUMPRODUCT((E$2:E$5000="material")*(B$2:B$5000&lt;&gt;"14")*L$2:L$5000)),IF(E188="section15_manual",J188,0)))</f>
        <v/>
      </c>
      <c r="M188" s="3" t="n"/>
    </row>
    <row r="189">
      <c r="A189" s="6" t="inlineStr">
        <is>
          <t>да</t>
        </is>
      </c>
      <c r="B189" s="6" t="inlineStr">
        <is>
          <t>5</t>
        </is>
      </c>
      <c r="C189" s="7" t="inlineStr">
        <is>
          <t>Покрытия.</t>
        </is>
      </c>
      <c r="D189" s="6" t="inlineStr">
        <is>
          <t>Тип А1. Автомобильное покрытие из брусчатки</t>
        </is>
      </c>
      <c r="E189" s="6" t="inlineStr">
        <is>
          <t>material</t>
        </is>
      </c>
      <c r="F189" s="6" t="n">
        <v>188</v>
      </c>
      <c r="G189" s="7" t="inlineStr">
        <is>
          <t>Шнур круглый, праймер, мастика</t>
        </is>
      </c>
      <c r="H189" s="6" t="inlineStr">
        <is>
          <t>м.п.</t>
        </is>
      </c>
      <c r="I189" s="8" t="n">
        <v>15.33</v>
      </c>
      <c r="J189" s="8" t="n">
        <v>100</v>
      </c>
      <c r="K189" s="9">
        <f>IF(OR(E189="work",E189="section14_item"),I189*J189,0)</f>
        <v/>
      </c>
      <c r="L189" s="9">
        <f>IF(E189="material",I189*J189,IF(E189="section15_percent",I189/100*(SUMPRODUCT((E$2:E$5000="work")*(B$2:B$5000&lt;&gt;"14")*K$2:K$5000)+SUMPRODUCT((E$2:E$5000="material")*(B$2:B$5000&lt;&gt;"14")*L$2:L$5000)),IF(E189="section15_manual",J189,0)))</f>
        <v/>
      </c>
      <c r="M189" s="7" t="n"/>
    </row>
    <row r="190">
      <c r="A190" s="2" t="inlineStr">
        <is>
          <t>да</t>
        </is>
      </c>
      <c r="B190" s="2" t="inlineStr">
        <is>
          <t>5</t>
        </is>
      </c>
      <c r="C190" s="3" t="inlineStr">
        <is>
          <t>Покрытия.</t>
        </is>
      </c>
      <c r="D190" s="2" t="inlineStr">
        <is>
          <t>Тип А1. Автомобильное покрытие из брусчатки</t>
        </is>
      </c>
      <c r="E190" s="2" t="inlineStr">
        <is>
          <t>work</t>
        </is>
      </c>
      <c r="F190" s="2" t="n">
        <v>189</v>
      </c>
      <c r="G190" s="3" t="inlineStr">
        <is>
          <t>Мощение гранитной брусчаткой автомобильное по радиусу с разуклонкой</t>
        </is>
      </c>
      <c r="H190" s="2" t="inlineStr">
        <is>
          <t>м.кв.</t>
        </is>
      </c>
      <c r="I190" s="4" t="n">
        <v>261.3</v>
      </c>
      <c r="J190" s="4" t="n">
        <v>100</v>
      </c>
      <c r="K190" s="5">
        <f>IF(OR(E190="work",E190="section14_item"),I190*J190,0)</f>
        <v/>
      </c>
      <c r="L190" s="5">
        <f>IF(E190="material",I190*J190,IF(E190="section15_percent",I190/100*(SUMPRODUCT((E$2:E$5000="work")*(B$2:B$5000&lt;&gt;"14")*K$2:K$5000)+SUMPRODUCT((E$2:E$5000="material")*(B$2:B$5000&lt;&gt;"14")*L$2:L$5000)),IF(E190="section15_manual",J190,0)))</f>
        <v/>
      </c>
      <c r="M190" s="3" t="n"/>
    </row>
    <row r="191">
      <c r="A191" s="2" t="inlineStr">
        <is>
          <t>да</t>
        </is>
      </c>
      <c r="B191" s="2" t="inlineStr">
        <is>
          <t>5</t>
        </is>
      </c>
      <c r="C191" s="3" t="inlineStr">
        <is>
          <t>Покрытия.</t>
        </is>
      </c>
      <c r="D191" s="2" t="inlineStr">
        <is>
          <t>Тип А1. Автомобильное покрытие из брусчатки</t>
        </is>
      </c>
      <c r="E191" s="2" t="inlineStr">
        <is>
          <t>work</t>
        </is>
      </c>
      <c r="F191" s="2" t="n">
        <v>190</v>
      </c>
      <c r="G191" s="3" t="inlineStr">
        <is>
          <t>Затирка швов плит спецсоставом</t>
        </is>
      </c>
      <c r="H191" s="2" t="inlineStr">
        <is>
          <t>м.кв.</t>
        </is>
      </c>
      <c r="I191" s="4" t="n">
        <v>261.3</v>
      </c>
      <c r="J191" s="4" t="n">
        <v>100</v>
      </c>
      <c r="K191" s="5">
        <f>IF(OR(E191="work",E191="section14_item"),I191*J191,0)</f>
        <v/>
      </c>
      <c r="L191" s="5">
        <f>IF(E191="material",I191*J191,IF(E191="section15_percent",I191/100*(SUMPRODUCT((E$2:E$5000="work")*(B$2:B$5000&lt;&gt;"14")*K$2:K$5000)+SUMPRODUCT((E$2:E$5000="material")*(B$2:B$5000&lt;&gt;"14")*L$2:L$5000)),IF(E191="section15_manual",J191,0)))</f>
        <v/>
      </c>
      <c r="M191" s="3" t="n"/>
    </row>
    <row r="192">
      <c r="A192" s="6" t="inlineStr">
        <is>
          <t>да</t>
        </is>
      </c>
      <c r="B192" s="6" t="inlineStr">
        <is>
          <t>5</t>
        </is>
      </c>
      <c r="C192" s="7" t="inlineStr">
        <is>
          <t>Покрытия.</t>
        </is>
      </c>
      <c r="D192" s="6" t="inlineStr">
        <is>
          <t>Тип А1. Автомобильное покрытие из брусчатки</t>
        </is>
      </c>
      <c r="E192" s="6" t="inlineStr">
        <is>
          <t>material</t>
        </is>
      </c>
      <c r="F192" s="6" t="n">
        <v>191</v>
      </c>
      <c r="G192" s="7" t="inlineStr">
        <is>
          <t>Гранитная брусчатка термообработанная 100*100*80мм полнопиленая</t>
        </is>
      </c>
      <c r="H192" s="6" t="inlineStr">
        <is>
          <t>м.кв.</t>
        </is>
      </c>
      <c r="I192" s="8" t="n">
        <v>274.365</v>
      </c>
      <c r="J192" s="8" t="n">
        <v>100</v>
      </c>
      <c r="K192" s="9">
        <f>IF(OR(E192="work",E192="section14_item"),I192*J192,0)</f>
        <v/>
      </c>
      <c r="L192" s="9">
        <f>IF(E192="material",I192*J192,IF(E192="section15_percent",I192/100*(SUMPRODUCT((E$2:E$5000="work")*(B$2:B$5000&lt;&gt;"14")*K$2:K$5000)+SUMPRODUCT((E$2:E$5000="material")*(B$2:B$5000&lt;&gt;"14")*L$2:L$5000)),IF(E192="section15_manual",J192,0)))</f>
        <v/>
      </c>
      <c r="M192" s="7" t="n"/>
    </row>
    <row r="193">
      <c r="A193" s="6" t="inlineStr">
        <is>
          <t>да</t>
        </is>
      </c>
      <c r="B193" s="6" t="inlineStr">
        <is>
          <t>5</t>
        </is>
      </c>
      <c r="C193" s="7" t="inlineStr">
        <is>
          <t>Покрытия.</t>
        </is>
      </c>
      <c r="D193" s="6" t="inlineStr">
        <is>
          <t>Тип А1. Автомобильное покрытие из брусчатки</t>
        </is>
      </c>
      <c r="E193" s="6" t="inlineStr">
        <is>
          <t>material</t>
        </is>
      </c>
      <c r="F193" s="6" t="n">
        <v>192</v>
      </c>
      <c r="G193" s="7" t="inlineStr">
        <is>
          <t>Флайформ МС80 WP монтажный подстилающий раствор водонепроницаемый Основит</t>
        </is>
      </c>
      <c r="H193" s="6" t="inlineStr">
        <is>
          <t>меш.</t>
        </is>
      </c>
      <c r="I193" s="8" t="n">
        <v>1150</v>
      </c>
      <c r="J193" s="8" t="n">
        <v>100</v>
      </c>
      <c r="K193" s="9">
        <f>IF(OR(E193="work",E193="section14_item"),I193*J193,0)</f>
        <v/>
      </c>
      <c r="L193" s="9">
        <f>IF(E193="material",I193*J193,IF(E193="section15_percent",I193/100*(SUMPRODUCT((E$2:E$5000="work")*(B$2:B$5000&lt;&gt;"14")*K$2:K$5000)+SUMPRODUCT((E$2:E$5000="material")*(B$2:B$5000&lt;&gt;"14")*L$2:L$5000)),IF(E193="section15_manual",J193,0)))</f>
        <v/>
      </c>
      <c r="M193" s="7" t="n"/>
    </row>
    <row r="194">
      <c r="A194" s="6" t="inlineStr">
        <is>
          <t>да</t>
        </is>
      </c>
      <c r="B194" s="6" t="inlineStr">
        <is>
          <t>5</t>
        </is>
      </c>
      <c r="C194" s="7" t="inlineStr">
        <is>
          <t>Покрытия.</t>
        </is>
      </c>
      <c r="D194" s="6" t="inlineStr">
        <is>
          <t>Тип А1. Автомобильное покрытие из брусчатки</t>
        </is>
      </c>
      <c r="E194" s="6" t="inlineStr">
        <is>
          <t>material</t>
        </is>
      </c>
      <c r="F194" s="6" t="n">
        <v>193</v>
      </c>
      <c r="G194" s="7" t="inlineStr">
        <is>
          <t>Тонкослойный клей Основит Флайформ АС6 LQ</t>
        </is>
      </c>
      <c r="H194" s="6" t="inlineStr">
        <is>
          <t>меш.</t>
        </is>
      </c>
      <c r="I194" s="8" t="n">
        <v>22</v>
      </c>
      <c r="J194" s="8" t="n">
        <v>100</v>
      </c>
      <c r="K194" s="9">
        <f>IF(OR(E194="work",E194="section14_item"),I194*J194,0)</f>
        <v/>
      </c>
      <c r="L194" s="9">
        <f>IF(E194="material",I194*J194,IF(E194="section15_percent",I194/100*(SUMPRODUCT((E$2:E$5000="work")*(B$2:B$5000&lt;&gt;"14")*K$2:K$5000)+SUMPRODUCT((E$2:E$5000="material")*(B$2:B$5000&lt;&gt;"14")*L$2:L$5000)),IF(E194="section15_manual",J194,0)))</f>
        <v/>
      </c>
      <c r="M194" s="7" t="n"/>
    </row>
    <row r="195">
      <c r="A195" s="6" t="inlineStr">
        <is>
          <t>да</t>
        </is>
      </c>
      <c r="B195" s="6" t="inlineStr">
        <is>
          <t>5</t>
        </is>
      </c>
      <c r="C195" s="7" t="inlineStr">
        <is>
          <t>Покрытия.</t>
        </is>
      </c>
      <c r="D195" s="6" t="inlineStr">
        <is>
          <t>Тип А1. Автомобильное покрытие из брусчатки</t>
        </is>
      </c>
      <c r="E195" s="6" t="inlineStr">
        <is>
          <t>material</t>
        </is>
      </c>
      <c r="F195" s="6" t="n">
        <v>194</v>
      </c>
      <c r="G195" s="7" t="inlineStr">
        <is>
          <t>Флайформ XC50 WP раствор для заполнения швов клинкерной, гранитной брусчатки, нат.камня водонепроницаемый Основит - графит</t>
        </is>
      </c>
      <c r="H195" s="6" t="inlineStr">
        <is>
          <t>меш.</t>
        </is>
      </c>
      <c r="I195" s="8" t="n">
        <v>211</v>
      </c>
      <c r="J195" s="8" t="n">
        <v>100</v>
      </c>
      <c r="K195" s="9">
        <f>IF(OR(E195="work",E195="section14_item"),I195*J195,0)</f>
        <v/>
      </c>
      <c r="L195" s="9">
        <f>IF(E195="material",I195*J195,IF(E195="section15_percent",I195/100*(SUMPRODUCT((E$2:E$5000="work")*(B$2:B$5000&lt;&gt;"14")*K$2:K$5000)+SUMPRODUCT((E$2:E$5000="material")*(B$2:B$5000&lt;&gt;"14")*L$2:L$5000)),IF(E195="section15_manual",J195,0)))</f>
        <v/>
      </c>
      <c r="M195" s="7" t="n"/>
    </row>
    <row r="196">
      <c r="A196" s="2" t="inlineStr">
        <is>
          <t>да</t>
        </is>
      </c>
      <c r="B196" s="2" t="inlineStr">
        <is>
          <t>5</t>
        </is>
      </c>
      <c r="C196" s="3" t="inlineStr">
        <is>
          <t>Покрытия.</t>
        </is>
      </c>
      <c r="D196" s="2" t="inlineStr">
        <is>
          <t>Тип А1. Автомобильное покрытие из брусчатки</t>
        </is>
      </c>
      <c r="E196" s="2" t="inlineStr">
        <is>
          <t>work</t>
        </is>
      </c>
      <c r="F196" s="2" t="n">
        <v>195</v>
      </c>
      <c r="G196" s="3" t="inlineStr">
        <is>
          <t>Укрепление крайнего ряда мощения армированным раствором</t>
        </is>
      </c>
      <c r="H196" s="2" t="inlineStr">
        <is>
          <t>м.п.</t>
        </is>
      </c>
      <c r="I196" s="4" t="n">
        <v>99.3</v>
      </c>
      <c r="J196" s="4" t="n">
        <v>100</v>
      </c>
      <c r="K196" s="5">
        <f>IF(OR(E196="work",E196="section14_item"),I196*J196,0)</f>
        <v/>
      </c>
      <c r="L196" s="5">
        <f>IF(E196="material",I196*J196,IF(E196="section15_percent",I196/100*(SUMPRODUCT((E$2:E$5000="work")*(B$2:B$5000&lt;&gt;"14")*K$2:K$5000)+SUMPRODUCT((E$2:E$5000="material")*(B$2:B$5000&lt;&gt;"14")*L$2:L$5000)),IF(E196="section15_manual",J196,0)))</f>
        <v/>
      </c>
      <c r="M196" s="3" t="n"/>
    </row>
    <row r="197">
      <c r="A197" s="6" t="inlineStr">
        <is>
          <t>да</t>
        </is>
      </c>
      <c r="B197" s="6" t="inlineStr">
        <is>
          <t>5</t>
        </is>
      </c>
      <c r="C197" s="7" t="inlineStr">
        <is>
          <t>Покрытия.</t>
        </is>
      </c>
      <c r="D197" s="6" t="inlineStr">
        <is>
          <t>Тип А1. Автомобильное покрытие из брусчатки</t>
        </is>
      </c>
      <c r="E197" s="6" t="inlineStr">
        <is>
          <t>material</t>
        </is>
      </c>
      <c r="F197" s="6" t="n">
        <v>196</v>
      </c>
      <c r="G197" s="7" t="inlineStr">
        <is>
          <t>Флайформ МС80 WP монтажный подстилающий раствор водонепроницаемый Основит</t>
        </is>
      </c>
      <c r="H197" s="6" t="inlineStr">
        <is>
          <t>меш.</t>
        </is>
      </c>
      <c r="I197" s="8" t="n">
        <v>56</v>
      </c>
      <c r="J197" s="8" t="n">
        <v>100</v>
      </c>
      <c r="K197" s="9">
        <f>IF(OR(E197="work",E197="section14_item"),I197*J197,0)</f>
        <v/>
      </c>
      <c r="L197" s="9">
        <f>IF(E197="material",I197*J197,IF(E197="section15_percent",I197/100*(SUMPRODUCT((E$2:E$5000="work")*(B$2:B$5000&lt;&gt;"14")*K$2:K$5000)+SUMPRODUCT((E$2:E$5000="material")*(B$2:B$5000&lt;&gt;"14")*L$2:L$5000)),IF(E197="section15_manual",J197,0)))</f>
        <v/>
      </c>
      <c r="M197" s="7" t="n"/>
    </row>
    <row r="198">
      <c r="A198" s="6" t="inlineStr">
        <is>
          <t>да</t>
        </is>
      </c>
      <c r="B198" s="6" t="inlineStr">
        <is>
          <t>5</t>
        </is>
      </c>
      <c r="C198" s="7" t="inlineStr">
        <is>
          <t>Покрытия.</t>
        </is>
      </c>
      <c r="D198" s="6" t="inlineStr">
        <is>
          <t>Тип А1. Автомобильное покрытие из брусчатки</t>
        </is>
      </c>
      <c r="E198" s="6" t="inlineStr">
        <is>
          <t>material</t>
        </is>
      </c>
      <c r="F198" s="6" t="n">
        <v>197</v>
      </c>
      <c r="G198" s="7" t="inlineStr">
        <is>
          <t>Арматура 8мм рифленая, 6м</t>
        </is>
      </c>
      <c r="H198" s="6" t="inlineStr">
        <is>
          <t>т</t>
        </is>
      </c>
      <c r="I198" s="8" t="n">
        <v>0.18</v>
      </c>
      <c r="J198" s="8" t="n">
        <v>100</v>
      </c>
      <c r="K198" s="9">
        <f>IF(OR(E198="work",E198="section14_item"),I198*J198,0)</f>
        <v/>
      </c>
      <c r="L198" s="9">
        <f>IF(E198="material",I198*J198,IF(E198="section15_percent",I198/100*(SUMPRODUCT((E$2:E$5000="work")*(B$2:B$5000&lt;&gt;"14")*K$2:K$5000)+SUMPRODUCT((E$2:E$5000="material")*(B$2:B$5000&lt;&gt;"14")*L$2:L$5000)),IF(E198="section15_manual",J198,0)))</f>
        <v/>
      </c>
      <c r="M198" s="7" t="n"/>
    </row>
    <row r="199">
      <c r="A199" s="2" t="inlineStr">
        <is>
          <t>да</t>
        </is>
      </c>
      <c r="B199" s="2" t="inlineStr">
        <is>
          <t>5</t>
        </is>
      </c>
      <c r="C199" s="3" t="inlineStr">
        <is>
          <t>Покрытия.</t>
        </is>
      </c>
      <c r="D199" s="2" t="inlineStr">
        <is>
          <t>Тип А1. Автомобильное покрытие из брусчатки</t>
        </is>
      </c>
      <c r="E199" s="2" t="inlineStr">
        <is>
          <t>work</t>
        </is>
      </c>
      <c r="F199" s="2" t="n">
        <v>198</v>
      </c>
      <c r="G199" s="3" t="inlineStr">
        <is>
          <t>Устройство скрытых люков в мощении</t>
        </is>
      </c>
      <c r="H199" s="2" t="inlineStr">
        <is>
          <t>шт.</t>
        </is>
      </c>
      <c r="I199" s="4" t="n">
        <v>2</v>
      </c>
      <c r="J199" s="4" t="n">
        <v>100</v>
      </c>
      <c r="K199" s="5">
        <f>IF(OR(E199="work",E199="section14_item"),I199*J199,0)</f>
        <v/>
      </c>
      <c r="L199" s="5">
        <f>IF(E199="material",I199*J199,IF(E199="section15_percent",I199/100*(SUMPRODUCT((E$2:E$5000="work")*(B$2:B$5000&lt;&gt;"14")*K$2:K$5000)+SUMPRODUCT((E$2:E$5000="material")*(B$2:B$5000&lt;&gt;"14")*L$2:L$5000)),IF(E199="section15_manual",J199,0)))</f>
        <v/>
      </c>
      <c r="M199" s="3" t="n"/>
    </row>
    <row r="200">
      <c r="A200" s="6" t="inlineStr">
        <is>
          <t>да</t>
        </is>
      </c>
      <c r="B200" s="6" t="inlineStr">
        <is>
          <t>5</t>
        </is>
      </c>
      <c r="C200" s="7" t="inlineStr">
        <is>
          <t>Покрытия.</t>
        </is>
      </c>
      <c r="D200" s="6" t="inlineStr">
        <is>
          <t>Тип А1. Автомобильное покрытие из брусчатки</t>
        </is>
      </c>
      <c r="E200" s="6" t="inlineStr">
        <is>
          <t>material</t>
        </is>
      </c>
      <c r="F200" s="6" t="n">
        <v>199</v>
      </c>
      <c r="G200" s="7" t="inlineStr">
        <is>
          <t>Люк 700*700*114 усиленный 5тн оцинкованный под тротуарную плитку на петлях с пластинами</t>
        </is>
      </c>
      <c r="H200" s="6" t="inlineStr">
        <is>
          <t>шт.</t>
        </is>
      </c>
      <c r="I200" s="8" t="n">
        <v>2</v>
      </c>
      <c r="J200" s="8" t="n">
        <v>100</v>
      </c>
      <c r="K200" s="9">
        <f>IF(OR(E200="work",E200="section14_item"),I200*J200,0)</f>
        <v/>
      </c>
      <c r="L200" s="9">
        <f>IF(E200="material",I200*J200,IF(E200="section15_percent",I200/100*(SUMPRODUCT((E$2:E$5000="work")*(B$2:B$5000&lt;&gt;"14")*K$2:K$5000)+SUMPRODUCT((E$2:E$5000="material")*(B$2:B$5000&lt;&gt;"14")*L$2:L$5000)),IF(E200="section15_manual",J200,0)))</f>
        <v/>
      </c>
      <c r="M200" s="7" t="n"/>
    </row>
    <row r="201">
      <c r="A201" s="10" t="inlineStr">
        <is>
          <t>да</t>
        </is>
      </c>
      <c r="B201" s="10" t="inlineStr">
        <is>
          <t>5</t>
        </is>
      </c>
      <c r="C201" s="11" t="inlineStr">
        <is>
          <t>Покрытия.</t>
        </is>
      </c>
      <c r="D201" s="10" t="inlineStr"/>
      <c r="E201" s="10" t="inlineStr">
        <is>
          <t>subsection</t>
        </is>
      </c>
      <c r="F201" s="10" t="n">
        <v>200</v>
      </c>
      <c r="G201" s="11" t="inlineStr">
        <is>
          <t>Тип П3. Пешеходное покрытие из керамогранита, гранита</t>
        </is>
      </c>
      <c r="H201" s="10" t="inlineStr"/>
      <c r="I201" s="12" t="n"/>
      <c r="J201" s="12" t="n"/>
      <c r="K201" s="13">
        <f>IF(OR(E201="work",E201="section14_item"),I201*J201,0)</f>
        <v/>
      </c>
      <c r="L201" s="13">
        <f>IF(E201="material",I201*J201,IF(E201="section15_percent",I201/100*(SUMPRODUCT((E$2:E$5000="work")*(B$2:B$5000&lt;&gt;"14")*K$2:K$5000)+SUMPRODUCT((E$2:E$5000="material")*(B$2:B$5000&lt;&gt;"14")*L$2:L$5000)),IF(E201="section15_manual",J201,0)))</f>
        <v/>
      </c>
      <c r="M201" s="11" t="n"/>
    </row>
    <row r="202">
      <c r="A202" s="2" t="inlineStr">
        <is>
          <t>да</t>
        </is>
      </c>
      <c r="B202" s="2" t="inlineStr">
        <is>
          <t>5</t>
        </is>
      </c>
      <c r="C202" s="3" t="inlineStr">
        <is>
          <t>Покрытия.</t>
        </is>
      </c>
      <c r="D202" s="2" t="inlineStr">
        <is>
          <t>Тип П3. Пешеходное покрытие из керамогранита, гранита</t>
        </is>
      </c>
      <c r="E202" s="2" t="inlineStr">
        <is>
          <t>work</t>
        </is>
      </c>
      <c r="F202" s="2" t="n">
        <v>201</v>
      </c>
      <c r="G202" s="3" t="inlineStr">
        <is>
          <t>Обеспыливание, грунтование бетонного основания</t>
        </is>
      </c>
      <c r="H202" s="2" t="inlineStr">
        <is>
          <t>м.кв.</t>
        </is>
      </c>
      <c r="I202" s="4" t="n">
        <v>84.40000000000001</v>
      </c>
      <c r="J202" s="4" t="n">
        <v>100</v>
      </c>
      <c r="K202" s="5">
        <f>IF(OR(E202="work",E202="section14_item"),I202*J202,0)</f>
        <v/>
      </c>
      <c r="L202" s="5">
        <f>IF(E202="material",I202*J202,IF(E202="section15_percent",I202/100*(SUMPRODUCT((E$2:E$5000="work")*(B$2:B$5000&lt;&gt;"14")*K$2:K$5000)+SUMPRODUCT((E$2:E$5000="material")*(B$2:B$5000&lt;&gt;"14")*L$2:L$5000)),IF(E202="section15_manual",J202,0)))</f>
        <v/>
      </c>
      <c r="M202" s="3" t="n"/>
    </row>
    <row r="203">
      <c r="A203" s="6" t="inlineStr">
        <is>
          <t>да</t>
        </is>
      </c>
      <c r="B203" s="6" t="inlineStr">
        <is>
          <t>5</t>
        </is>
      </c>
      <c r="C203" s="7" t="inlineStr">
        <is>
          <t>Покрытия.</t>
        </is>
      </c>
      <c r="D203" s="6" t="inlineStr">
        <is>
          <t>Тип П3. Пешеходное покрытие из керамогранита, гранита</t>
        </is>
      </c>
      <c r="E203" s="6" t="inlineStr">
        <is>
          <t>material</t>
        </is>
      </c>
      <c r="F203" s="6" t="n">
        <v>202</v>
      </c>
      <c r="G203" s="7" t="inlineStr">
        <is>
          <t>Грунт Ceresit CT17 pro, 5л</t>
        </is>
      </c>
      <c r="H203" s="6" t="inlineStr">
        <is>
          <t>шт.</t>
        </is>
      </c>
      <c r="I203" s="8" t="n">
        <v>4</v>
      </c>
      <c r="J203" s="8" t="n">
        <v>100</v>
      </c>
      <c r="K203" s="9">
        <f>IF(OR(E203="work",E203="section14_item"),I203*J203,0)</f>
        <v/>
      </c>
      <c r="L203" s="9">
        <f>IF(E203="material",I203*J203,IF(E203="section15_percent",I203/100*(SUMPRODUCT((E$2:E$5000="work")*(B$2:B$5000&lt;&gt;"14")*K$2:K$5000)+SUMPRODUCT((E$2:E$5000="material")*(B$2:B$5000&lt;&gt;"14")*L$2:L$5000)),IF(E203="section15_manual",J203,0)))</f>
        <v/>
      </c>
      <c r="M203" s="7" t="n"/>
    </row>
    <row r="204">
      <c r="A204" s="2" t="inlineStr">
        <is>
          <t>да</t>
        </is>
      </c>
      <c r="B204" s="2" t="inlineStr">
        <is>
          <t>5</t>
        </is>
      </c>
      <c r="C204" s="3" t="inlineStr">
        <is>
          <t>Покрытия.</t>
        </is>
      </c>
      <c r="D204" s="2" t="inlineStr">
        <is>
          <t>Тип П3. Пешеходное покрытие из керамогранита, гранита</t>
        </is>
      </c>
      <c r="E204" s="2" t="inlineStr">
        <is>
          <t>work</t>
        </is>
      </c>
      <c r="F204" s="2" t="n">
        <v>203</v>
      </c>
      <c r="G204" s="3" t="inlineStr">
        <is>
          <t>Облицовка керамогранитом</t>
        </is>
      </c>
      <c r="H204" s="2" t="inlineStr">
        <is>
          <t>м.кв.</t>
        </is>
      </c>
      <c r="I204" s="4" t="n">
        <v>80.09999999999999</v>
      </c>
      <c r="J204" s="4" t="n">
        <v>100</v>
      </c>
      <c r="K204" s="5">
        <f>IF(OR(E204="work",E204="section14_item"),I204*J204,0)</f>
        <v/>
      </c>
      <c r="L204" s="5">
        <f>IF(E204="material",I204*J204,IF(E204="section15_percent",I204/100*(SUMPRODUCT((E$2:E$5000="work")*(B$2:B$5000&lt;&gt;"14")*K$2:K$5000)+SUMPRODUCT((E$2:E$5000="material")*(B$2:B$5000&lt;&gt;"14")*L$2:L$5000)),IF(E204="section15_manual",J204,0)))</f>
        <v/>
      </c>
      <c r="M204" s="3" t="n"/>
    </row>
    <row r="205">
      <c r="A205" s="2" t="inlineStr">
        <is>
          <t>да</t>
        </is>
      </c>
      <c r="B205" s="2" t="inlineStr">
        <is>
          <t>5</t>
        </is>
      </c>
      <c r="C205" s="3" t="inlineStr">
        <is>
          <t>Покрытия.</t>
        </is>
      </c>
      <c r="D205" s="2" t="inlineStr">
        <is>
          <t>Тип П3. Пешеходное покрытие из керамогранита, гранита</t>
        </is>
      </c>
      <c r="E205" s="2" t="inlineStr">
        <is>
          <t>work</t>
        </is>
      </c>
      <c r="F205" s="2" t="n">
        <v>204</v>
      </c>
      <c r="G205" s="3" t="inlineStr">
        <is>
          <t>Облицовка гранитом Габбро</t>
        </is>
      </c>
      <c r="H205" s="2" t="inlineStr">
        <is>
          <t>м.кв.</t>
        </is>
      </c>
      <c r="I205" s="4" t="n">
        <v>4.3</v>
      </c>
      <c r="J205" s="4" t="n">
        <v>100</v>
      </c>
      <c r="K205" s="5">
        <f>IF(OR(E205="work",E205="section14_item"),I205*J205,0)</f>
        <v/>
      </c>
      <c r="L205" s="5">
        <f>IF(E205="material",I205*J205,IF(E205="section15_percent",I205/100*(SUMPRODUCT((E$2:E$5000="work")*(B$2:B$5000&lt;&gt;"14")*K$2:K$5000)+SUMPRODUCT((E$2:E$5000="material")*(B$2:B$5000&lt;&gt;"14")*L$2:L$5000)),IF(E205="section15_manual",J205,0)))</f>
        <v/>
      </c>
      <c r="M205" s="3" t="n"/>
    </row>
    <row r="206">
      <c r="A206" s="2" t="inlineStr">
        <is>
          <t>да</t>
        </is>
      </c>
      <c r="B206" s="2" t="inlineStr">
        <is>
          <t>5</t>
        </is>
      </c>
      <c r="C206" s="3" t="inlineStr">
        <is>
          <t>Покрытия.</t>
        </is>
      </c>
      <c r="D206" s="2" t="inlineStr">
        <is>
          <t>Тип П3. Пешеходное покрытие из керамогранита, гранита</t>
        </is>
      </c>
      <c r="E206" s="2" t="inlineStr">
        <is>
          <t>work</t>
        </is>
      </c>
      <c r="F206" s="2" t="n">
        <v>205</v>
      </c>
      <c r="G206" s="3" t="inlineStr">
        <is>
          <t>Затирка швов плит спецсоставом</t>
        </is>
      </c>
      <c r="H206" s="2" t="inlineStr">
        <is>
          <t>м.кв.</t>
        </is>
      </c>
      <c r="I206" s="4" t="n">
        <v>84.39999999999999</v>
      </c>
      <c r="J206" s="4" t="n">
        <v>100</v>
      </c>
      <c r="K206" s="5">
        <f>IF(OR(E206="work",E206="section14_item"),I206*J206,0)</f>
        <v/>
      </c>
      <c r="L206" s="5">
        <f>IF(E206="material",I206*J206,IF(E206="section15_percent",I206/100*(SUMPRODUCT((E$2:E$5000="work")*(B$2:B$5000&lt;&gt;"14")*K$2:K$5000)+SUMPRODUCT((E$2:E$5000="material")*(B$2:B$5000&lt;&gt;"14")*L$2:L$5000)),IF(E206="section15_manual",J206,0)))</f>
        <v/>
      </c>
      <c r="M206" s="3" t="n"/>
    </row>
    <row r="207">
      <c r="A207" s="6" t="inlineStr">
        <is>
          <t>да</t>
        </is>
      </c>
      <c r="B207" s="6" t="inlineStr">
        <is>
          <t>5</t>
        </is>
      </c>
      <c r="C207" s="7" t="inlineStr">
        <is>
          <t>Покрытия.</t>
        </is>
      </c>
      <c r="D207" s="6" t="inlineStr">
        <is>
          <t>Тип П3. Пешеходное покрытие из керамогранита, гранита</t>
        </is>
      </c>
      <c r="E207" s="6" t="inlineStr">
        <is>
          <t>material</t>
        </is>
      </c>
      <c r="F207" s="6" t="n">
        <v>206</v>
      </c>
      <c r="G207" s="7" t="inlineStr">
        <is>
          <t>Диски алмазные</t>
        </is>
      </c>
      <c r="H207" s="6" t="inlineStr">
        <is>
          <t>шт.</t>
        </is>
      </c>
      <c r="I207" s="8" t="n">
        <v>2</v>
      </c>
      <c r="J207" s="8" t="n">
        <v>100</v>
      </c>
      <c r="K207" s="9">
        <f>IF(OR(E207="work",E207="section14_item"),I207*J207,0)</f>
        <v/>
      </c>
      <c r="L207" s="9">
        <f>IF(E207="material",I207*J207,IF(E207="section15_percent",I207/100*(SUMPRODUCT((E$2:E$5000="work")*(B$2:B$5000&lt;&gt;"14")*K$2:K$5000)+SUMPRODUCT((E$2:E$5000="material")*(B$2:B$5000&lt;&gt;"14")*L$2:L$5000)),IF(E207="section15_manual",J207,0)))</f>
        <v/>
      </c>
      <c r="M207" s="7" t="n"/>
    </row>
    <row r="208">
      <c r="A208" s="6" t="inlineStr">
        <is>
          <t>да</t>
        </is>
      </c>
      <c r="B208" s="6" t="inlineStr">
        <is>
          <t>5</t>
        </is>
      </c>
      <c r="C208" s="7" t="inlineStr">
        <is>
          <t>Покрытия.</t>
        </is>
      </c>
      <c r="D208" s="6" t="inlineStr">
        <is>
          <t>Тип П3. Пешеходное покрытие из керамогранита, гранита</t>
        </is>
      </c>
      <c r="E208" s="6" t="inlineStr">
        <is>
          <t>material</t>
        </is>
      </c>
      <c r="F208" s="6" t="n">
        <v>207</v>
      </c>
      <c r="G208" s="7" t="inlineStr">
        <is>
          <t>Клей для плитки, керамогранита, мозаики и камня Weber Vetonit Ultra fix серый (класс С2), 25кг</t>
        </is>
      </c>
      <c r="H208" s="6" t="inlineStr">
        <is>
          <t>меш.</t>
        </is>
      </c>
      <c r="I208" s="8" t="n">
        <v>66</v>
      </c>
      <c r="J208" s="8" t="n">
        <v>100</v>
      </c>
      <c r="K208" s="9">
        <f>IF(OR(E208="work",E208="section14_item"),I208*J208,0)</f>
        <v/>
      </c>
      <c r="L208" s="9">
        <f>IF(E208="material",I208*J208,IF(E208="section15_percent",I208/100*(SUMPRODUCT((E$2:E$5000="work")*(B$2:B$5000&lt;&gt;"14")*K$2:K$5000)+SUMPRODUCT((E$2:E$5000="material")*(B$2:B$5000&lt;&gt;"14")*L$2:L$5000)),IF(E208="section15_manual",J208,0)))</f>
        <v/>
      </c>
      <c r="M208" s="7" t="n"/>
    </row>
    <row r="209">
      <c r="A209" s="6" t="inlineStr">
        <is>
          <t>да</t>
        </is>
      </c>
      <c r="B209" s="6" t="inlineStr">
        <is>
          <t>5</t>
        </is>
      </c>
      <c r="C209" s="7" t="inlineStr">
        <is>
          <t>Покрытия.</t>
        </is>
      </c>
      <c r="D209" s="6" t="inlineStr">
        <is>
          <t>Тип П3. Пешеходное покрытие из керамогранита, гранита</t>
        </is>
      </c>
      <c r="E209" s="6" t="inlineStr">
        <is>
          <t>material</t>
        </is>
      </c>
      <c r="F209" s="6" t="n">
        <v>208</v>
      </c>
      <c r="G209" s="7" t="inlineStr">
        <is>
          <t>Затирка Литокол Старлайк 2,5кг</t>
        </is>
      </c>
      <c r="H209" s="6" t="inlineStr">
        <is>
          <t>шт.</t>
        </is>
      </c>
      <c r="I209" s="8" t="n">
        <v>12</v>
      </c>
      <c r="J209" s="8" t="n">
        <v>100</v>
      </c>
      <c r="K209" s="9">
        <f>IF(OR(E209="work",E209="section14_item"),I209*J209,0)</f>
        <v/>
      </c>
      <c r="L209" s="9">
        <f>IF(E209="material",I209*J209,IF(E209="section15_percent",I209/100*(SUMPRODUCT((E$2:E$5000="work")*(B$2:B$5000&lt;&gt;"14")*K$2:K$5000)+SUMPRODUCT((E$2:E$5000="material")*(B$2:B$5000&lt;&gt;"14")*L$2:L$5000)),IF(E209="section15_manual",J209,0)))</f>
        <v/>
      </c>
      <c r="M209" s="7" t="n"/>
    </row>
    <row r="210">
      <c r="A210" s="6" t="inlineStr">
        <is>
          <t>да</t>
        </is>
      </c>
      <c r="B210" s="6" t="inlineStr">
        <is>
          <t>5</t>
        </is>
      </c>
      <c r="C210" s="7" t="inlineStr">
        <is>
          <t>Покрытия.</t>
        </is>
      </c>
      <c r="D210" s="6" t="inlineStr">
        <is>
          <t>Тип П3. Пешеходное покрытие из керамогранита, гранита</t>
        </is>
      </c>
      <c r="E210" s="6" t="inlineStr">
        <is>
          <t>material</t>
        </is>
      </c>
      <c r="F210" s="6" t="n">
        <v>209</v>
      </c>
      <c r="G210" s="7" t="inlineStr">
        <is>
          <t>Italon керамический гранит Керамогранит X2 Millenium Silver 60*60*2 структурированный ректифицированный</t>
        </is>
      </c>
      <c r="H210" s="6" t="inlineStr">
        <is>
          <t>м.кв.</t>
        </is>
      </c>
      <c r="I210" s="8" t="n">
        <v>88.62</v>
      </c>
      <c r="J210" s="8" t="n">
        <v>100</v>
      </c>
      <c r="K210" s="9">
        <f>IF(OR(E210="work",E210="section14_item"),I210*J210,0)</f>
        <v/>
      </c>
      <c r="L210" s="9">
        <f>IF(E210="material",I210*J210,IF(E210="section15_percent",I210/100*(SUMPRODUCT((E$2:E$5000="work")*(B$2:B$5000&lt;&gt;"14")*K$2:K$5000)+SUMPRODUCT((E$2:E$5000="material")*(B$2:B$5000&lt;&gt;"14")*L$2:L$5000)),IF(E210="section15_manual",J210,0)))</f>
        <v/>
      </c>
      <c r="M210" s="7" t="n"/>
    </row>
    <row r="211">
      <c r="A211" s="6" t="inlineStr">
        <is>
          <t>да</t>
        </is>
      </c>
      <c r="B211" s="6" t="inlineStr">
        <is>
          <t>5</t>
        </is>
      </c>
      <c r="C211" s="7" t="inlineStr">
        <is>
          <t>Покрытия.</t>
        </is>
      </c>
      <c r="D211" s="6" t="inlineStr">
        <is>
          <t>Тип П3. Пешеходное покрытие из керамогранита, гранита</t>
        </is>
      </c>
      <c r="E211" s="6" t="inlineStr">
        <is>
          <t>material</t>
        </is>
      </c>
      <c r="F211" s="6" t="n">
        <v>210</v>
      </c>
      <c r="G211" s="7" t="inlineStr">
        <is>
          <t>Гранитные плиты Габбро 600*600*20мм полнопиленая</t>
        </is>
      </c>
      <c r="H211" s="6" t="inlineStr">
        <is>
          <t>м.кв.</t>
        </is>
      </c>
      <c r="I211" s="8" t="n">
        <v>4.3</v>
      </c>
      <c r="J211" s="8" t="n">
        <v>100</v>
      </c>
      <c r="K211" s="9">
        <f>IF(OR(E211="work",E211="section14_item"),I211*J211,0)</f>
        <v/>
      </c>
      <c r="L211" s="9">
        <f>IF(E211="material",I211*J211,IF(E211="section15_percent",I211/100*(SUMPRODUCT((E$2:E$5000="work")*(B$2:B$5000&lt;&gt;"14")*K$2:K$5000)+SUMPRODUCT((E$2:E$5000="material")*(B$2:B$5000&lt;&gt;"14")*L$2:L$5000)),IF(E211="section15_manual",J211,0)))</f>
        <v/>
      </c>
      <c r="M211" s="7" t="n"/>
    </row>
    <row r="212">
      <c r="A212" s="10" t="inlineStr">
        <is>
          <t>да</t>
        </is>
      </c>
      <c r="B212" s="10" t="inlineStr">
        <is>
          <t>5</t>
        </is>
      </c>
      <c r="C212" s="11" t="inlineStr">
        <is>
          <t>Покрытия.</t>
        </is>
      </c>
      <c r="D212" s="10" t="inlineStr"/>
      <c r="E212" s="10" t="inlineStr">
        <is>
          <t>subsection</t>
        </is>
      </c>
      <c r="F212" s="10" t="n">
        <v>211</v>
      </c>
      <c r="G212" s="11" t="inlineStr">
        <is>
          <t>Бортик бассейна</t>
        </is>
      </c>
      <c r="H212" s="10" t="inlineStr"/>
      <c r="I212" s="12" t="n"/>
      <c r="J212" s="12" t="n"/>
      <c r="K212" s="13">
        <f>IF(OR(E212="work",E212="section14_item"),I212*J212,0)</f>
        <v/>
      </c>
      <c r="L212" s="13">
        <f>IF(E212="material",I212*J212,IF(E212="section15_percent",I212/100*(SUMPRODUCT((E$2:E$5000="work")*(B$2:B$5000&lt;&gt;"14")*K$2:K$5000)+SUMPRODUCT((E$2:E$5000="material")*(B$2:B$5000&lt;&gt;"14")*L$2:L$5000)),IF(E212="section15_manual",J212,0)))</f>
        <v/>
      </c>
      <c r="M212" s="11" t="n"/>
    </row>
    <row r="213">
      <c r="A213" s="2" t="inlineStr">
        <is>
          <t>да</t>
        </is>
      </c>
      <c r="B213" s="2" t="inlineStr">
        <is>
          <t>5</t>
        </is>
      </c>
      <c r="C213" s="3" t="inlineStr">
        <is>
          <t>Покрытия.</t>
        </is>
      </c>
      <c r="D213" s="2" t="inlineStr">
        <is>
          <t>Бортик бассейна</t>
        </is>
      </c>
      <c r="E213" s="2" t="inlineStr">
        <is>
          <t>work</t>
        </is>
      </c>
      <c r="F213" s="2" t="n">
        <v>212</v>
      </c>
      <c r="G213" s="3" t="inlineStr">
        <is>
          <t>Облицовка керамогранитом по периметру бассейна</t>
        </is>
      </c>
      <c r="H213" s="2" t="inlineStr">
        <is>
          <t>м.кв.</t>
        </is>
      </c>
      <c r="I213" s="4" t="n">
        <v>18</v>
      </c>
      <c r="J213" s="4" t="n">
        <v>100</v>
      </c>
      <c r="K213" s="5">
        <f>IF(OR(E213="work",E213="section14_item"),I213*J213,0)</f>
        <v/>
      </c>
      <c r="L213" s="5">
        <f>IF(E213="material",I213*J213,IF(E213="section15_percent",I213/100*(SUMPRODUCT((E$2:E$5000="work")*(B$2:B$5000&lt;&gt;"14")*K$2:K$5000)+SUMPRODUCT((E$2:E$5000="material")*(B$2:B$5000&lt;&gt;"14")*L$2:L$5000)),IF(E213="section15_manual",J213,0)))</f>
        <v/>
      </c>
      <c r="M213" s="3" t="n"/>
    </row>
    <row r="214">
      <c r="A214" s="2" t="inlineStr">
        <is>
          <t>да</t>
        </is>
      </c>
      <c r="B214" s="2" t="inlineStr">
        <is>
          <t>5</t>
        </is>
      </c>
      <c r="C214" s="3" t="inlineStr">
        <is>
          <t>Покрытия.</t>
        </is>
      </c>
      <c r="D214" s="2" t="inlineStr">
        <is>
          <t>Бортик бассейна</t>
        </is>
      </c>
      <c r="E214" s="2" t="inlineStr">
        <is>
          <t>work</t>
        </is>
      </c>
      <c r="F214" s="2" t="n">
        <v>213</v>
      </c>
      <c r="G214" s="3" t="inlineStr">
        <is>
          <t>Затирка швов плит спецсоставом</t>
        </is>
      </c>
      <c r="H214" s="2" t="inlineStr">
        <is>
          <t>м.кв.</t>
        </is>
      </c>
      <c r="I214" s="4" t="n">
        <v>18</v>
      </c>
      <c r="J214" s="4" t="n">
        <v>100</v>
      </c>
      <c r="K214" s="5">
        <f>IF(OR(E214="work",E214="section14_item"),I214*J214,0)</f>
        <v/>
      </c>
      <c r="L214" s="5">
        <f>IF(E214="material",I214*J214,IF(E214="section15_percent",I214/100*(SUMPRODUCT((E$2:E$5000="work")*(B$2:B$5000&lt;&gt;"14")*K$2:K$5000)+SUMPRODUCT((E$2:E$5000="material")*(B$2:B$5000&lt;&gt;"14")*L$2:L$5000)),IF(E214="section15_manual",J214,0)))</f>
        <v/>
      </c>
      <c r="M214" s="3" t="n"/>
    </row>
    <row r="215">
      <c r="A215" s="6" t="inlineStr">
        <is>
          <t>да</t>
        </is>
      </c>
      <c r="B215" s="6" t="inlineStr">
        <is>
          <t>5</t>
        </is>
      </c>
      <c r="C215" s="7" t="inlineStr">
        <is>
          <t>Покрытия.</t>
        </is>
      </c>
      <c r="D215" s="6" t="inlineStr">
        <is>
          <t>Бортик бассейна</t>
        </is>
      </c>
      <c r="E215" s="6" t="inlineStr">
        <is>
          <t>material</t>
        </is>
      </c>
      <c r="F215" s="6" t="n">
        <v>214</v>
      </c>
      <c r="G215" s="7" t="inlineStr">
        <is>
          <t>Клей для плитки, керамогранита, мозаики и камня Weber Vetonit Ultra fix серый (класс С2), 25кг</t>
        </is>
      </c>
      <c r="H215" s="6" t="inlineStr">
        <is>
          <t>меш.</t>
        </is>
      </c>
      <c r="I215" s="8" t="n">
        <v>5</v>
      </c>
      <c r="J215" s="8" t="n">
        <v>100</v>
      </c>
      <c r="K215" s="9">
        <f>IF(OR(E215="work",E215="section14_item"),I215*J215,0)</f>
        <v/>
      </c>
      <c r="L215" s="9">
        <f>IF(E215="material",I215*J215,IF(E215="section15_percent",I215/100*(SUMPRODUCT((E$2:E$5000="work")*(B$2:B$5000&lt;&gt;"14")*K$2:K$5000)+SUMPRODUCT((E$2:E$5000="material")*(B$2:B$5000&lt;&gt;"14")*L$2:L$5000)),IF(E215="section15_manual",J215,0)))</f>
        <v/>
      </c>
      <c r="M215" s="7" t="n"/>
    </row>
    <row r="216">
      <c r="A216" s="6" t="inlineStr">
        <is>
          <t>да</t>
        </is>
      </c>
      <c r="B216" s="6" t="inlineStr">
        <is>
          <t>5</t>
        </is>
      </c>
      <c r="C216" s="7" t="inlineStr">
        <is>
          <t>Покрытия.</t>
        </is>
      </c>
      <c r="D216" s="6" t="inlineStr">
        <is>
          <t>Бортик бассейна</t>
        </is>
      </c>
      <c r="E216" s="6" t="inlineStr">
        <is>
          <t>material</t>
        </is>
      </c>
      <c r="F216" s="6" t="n">
        <v>215</v>
      </c>
      <c r="G216" s="7" t="inlineStr">
        <is>
          <t>Затирка Литокол Старлайк 2,5кг</t>
        </is>
      </c>
      <c r="H216" s="6" t="inlineStr">
        <is>
          <t>шт.</t>
        </is>
      </c>
      <c r="I216" s="8" t="n">
        <v>1</v>
      </c>
      <c r="J216" s="8" t="n">
        <v>100</v>
      </c>
      <c r="K216" s="9">
        <f>IF(OR(E216="work",E216="section14_item"),I216*J216,0)</f>
        <v/>
      </c>
      <c r="L216" s="9">
        <f>IF(E216="material",I216*J216,IF(E216="section15_percent",I216/100*(SUMPRODUCT((E$2:E$5000="work")*(B$2:B$5000&lt;&gt;"14")*K$2:K$5000)+SUMPRODUCT((E$2:E$5000="material")*(B$2:B$5000&lt;&gt;"14")*L$2:L$5000)),IF(E216="section15_manual",J216,0)))</f>
        <v/>
      </c>
      <c r="M216" s="7" t="n"/>
    </row>
    <row r="217">
      <c r="A217" s="6" t="inlineStr">
        <is>
          <t>да</t>
        </is>
      </c>
      <c r="B217" s="6" t="inlineStr">
        <is>
          <t>5</t>
        </is>
      </c>
      <c r="C217" s="7" t="inlineStr">
        <is>
          <t>Покрытия.</t>
        </is>
      </c>
      <c r="D217" s="6" t="inlineStr">
        <is>
          <t>Бортик бассейна</t>
        </is>
      </c>
      <c r="E217" s="6" t="inlineStr">
        <is>
          <t>material</t>
        </is>
      </c>
      <c r="F217" s="6" t="n">
        <v>216</v>
      </c>
      <c r="G217" s="7" t="inlineStr">
        <is>
          <t>Italon керамический гранит Керамогранит X2 бортик с выемкой закругленный фронтальный 30*60 натуральный ректифицированный</t>
        </is>
      </c>
      <c r="H217" s="6" t="inlineStr">
        <is>
          <t>шт.</t>
        </is>
      </c>
      <c r="I217" s="8" t="n">
        <v>26</v>
      </c>
      <c r="J217" s="8" t="n">
        <v>100</v>
      </c>
      <c r="K217" s="9">
        <f>IF(OR(E217="work",E217="section14_item"),I217*J217,0)</f>
        <v/>
      </c>
      <c r="L217" s="9">
        <f>IF(E217="material",I217*J217,IF(E217="section15_percent",I217/100*(SUMPRODUCT((E$2:E$5000="work")*(B$2:B$5000&lt;&gt;"14")*K$2:K$5000)+SUMPRODUCT((E$2:E$5000="material")*(B$2:B$5000&lt;&gt;"14")*L$2:L$5000)),IF(E217="section15_manual",J217,0)))</f>
        <v/>
      </c>
      <c r="M217" s="7" t="n"/>
    </row>
    <row r="218">
      <c r="A218" s="6" t="inlineStr">
        <is>
          <t>да</t>
        </is>
      </c>
      <c r="B218" s="6" t="inlineStr">
        <is>
          <t>5</t>
        </is>
      </c>
      <c r="C218" s="7" t="inlineStr">
        <is>
          <t>Покрытия.</t>
        </is>
      </c>
      <c r="D218" s="6" t="inlineStr">
        <is>
          <t>Бортик бассейна</t>
        </is>
      </c>
      <c r="E218" s="6" t="inlineStr">
        <is>
          <t>material</t>
        </is>
      </c>
      <c r="F218" s="6" t="n">
        <v>217</v>
      </c>
      <c r="G218" s="7" t="inlineStr">
        <is>
          <t>Italon керамический гранит Керамогранит X2 бортик с выемкой закругленный правый, левый 30*60 натуральный ректифицированный</t>
        </is>
      </c>
      <c r="H218" s="6" t="inlineStr">
        <is>
          <t>шт.</t>
        </is>
      </c>
      <c r="I218" s="8" t="n">
        <v>4</v>
      </c>
      <c r="J218" s="8" t="n">
        <v>100</v>
      </c>
      <c r="K218" s="9">
        <f>IF(OR(E218="work",E218="section14_item"),I218*J218,0)</f>
        <v/>
      </c>
      <c r="L218" s="9">
        <f>IF(E218="material",I218*J218,IF(E218="section15_percent",I218/100*(SUMPRODUCT((E$2:E$5000="work")*(B$2:B$5000&lt;&gt;"14")*K$2:K$5000)+SUMPRODUCT((E$2:E$5000="material")*(B$2:B$5000&lt;&gt;"14")*L$2:L$5000)),IF(E218="section15_manual",J218,0)))</f>
        <v/>
      </c>
      <c r="M218" s="7" t="n"/>
    </row>
    <row r="219">
      <c r="A219" s="10" t="inlineStr">
        <is>
          <t>да</t>
        </is>
      </c>
      <c r="B219" s="10" t="inlineStr">
        <is>
          <t>5</t>
        </is>
      </c>
      <c r="C219" s="11" t="inlineStr">
        <is>
          <t>Покрытия.</t>
        </is>
      </c>
      <c r="D219" s="10" t="inlineStr"/>
      <c r="E219" s="10" t="inlineStr">
        <is>
          <t>subsection</t>
        </is>
      </c>
      <c r="F219" s="10" t="n">
        <v>218</v>
      </c>
      <c r="G219" s="11" t="inlineStr">
        <is>
          <t>Торец бетонной плиты</t>
        </is>
      </c>
      <c r="H219" s="10" t="inlineStr"/>
      <c r="I219" s="12" t="n"/>
      <c r="J219" s="12" t="n"/>
      <c r="K219" s="13">
        <f>IF(OR(E219="work",E219="section14_item"),I219*J219,0)</f>
        <v/>
      </c>
      <c r="L219" s="13">
        <f>IF(E219="material",I219*J219,IF(E219="section15_percent",I219/100*(SUMPRODUCT((E$2:E$5000="work")*(B$2:B$5000&lt;&gt;"14")*K$2:K$5000)+SUMPRODUCT((E$2:E$5000="material")*(B$2:B$5000&lt;&gt;"14")*L$2:L$5000)),IF(E219="section15_manual",J219,0)))</f>
        <v/>
      </c>
      <c r="M219" s="11" t="n"/>
    </row>
    <row r="220">
      <c r="A220" s="2" t="inlineStr">
        <is>
          <t>да</t>
        </is>
      </c>
      <c r="B220" s="2" t="inlineStr">
        <is>
          <t>5</t>
        </is>
      </c>
      <c r="C220" s="3" t="inlineStr">
        <is>
          <t>Покрытия.</t>
        </is>
      </c>
      <c r="D220" s="2" t="inlineStr">
        <is>
          <t>Торец бетонной плиты</t>
        </is>
      </c>
      <c r="E220" s="2" t="inlineStr">
        <is>
          <t>work</t>
        </is>
      </c>
      <c r="F220" s="2" t="n">
        <v>219</v>
      </c>
      <c r="G220" s="3" t="inlineStr">
        <is>
          <t>Облицовка керамогранитом по периметру бетонной плиты</t>
        </is>
      </c>
      <c r="H220" s="2" t="inlineStr">
        <is>
          <t>м.кв.</t>
        </is>
      </c>
      <c r="I220" s="4" t="n">
        <v>18</v>
      </c>
      <c r="J220" s="4" t="n">
        <v>100</v>
      </c>
      <c r="K220" s="5">
        <f>IF(OR(E220="work",E220="section14_item"),I220*J220,0)</f>
        <v/>
      </c>
      <c r="L220" s="5">
        <f>IF(E220="material",I220*J220,IF(E220="section15_percent",I220/100*(SUMPRODUCT((E$2:E$5000="work")*(B$2:B$5000&lt;&gt;"14")*K$2:K$5000)+SUMPRODUCT((E$2:E$5000="material")*(B$2:B$5000&lt;&gt;"14")*L$2:L$5000)),IF(E220="section15_manual",J220,0)))</f>
        <v/>
      </c>
      <c r="M220" s="3" t="n"/>
    </row>
    <row r="221">
      <c r="A221" s="2" t="inlineStr">
        <is>
          <t>да</t>
        </is>
      </c>
      <c r="B221" s="2" t="inlineStr">
        <is>
          <t>5</t>
        </is>
      </c>
      <c r="C221" s="3" t="inlineStr">
        <is>
          <t>Покрытия.</t>
        </is>
      </c>
      <c r="D221" s="2" t="inlineStr">
        <is>
          <t>Торец бетонной плиты</t>
        </is>
      </c>
      <c r="E221" s="2" t="inlineStr">
        <is>
          <t>work</t>
        </is>
      </c>
      <c r="F221" s="2" t="n">
        <v>220</v>
      </c>
      <c r="G221" s="3" t="inlineStr">
        <is>
          <t>Затирка швов плит спецсоставом</t>
        </is>
      </c>
      <c r="H221" s="2" t="inlineStr">
        <is>
          <t>м.кв.</t>
        </is>
      </c>
      <c r="I221" s="4" t="n">
        <v>18</v>
      </c>
      <c r="J221" s="4" t="n">
        <v>100</v>
      </c>
      <c r="K221" s="5">
        <f>IF(OR(E221="work",E221="section14_item"),I221*J221,0)</f>
        <v/>
      </c>
      <c r="L221" s="5">
        <f>IF(E221="material",I221*J221,IF(E221="section15_percent",I221/100*(SUMPRODUCT((E$2:E$5000="work")*(B$2:B$5000&lt;&gt;"14")*K$2:K$5000)+SUMPRODUCT((E$2:E$5000="material")*(B$2:B$5000&lt;&gt;"14")*L$2:L$5000)),IF(E221="section15_manual",J221,0)))</f>
        <v/>
      </c>
      <c r="M221" s="3" t="n"/>
    </row>
    <row r="222">
      <c r="A222" s="6" t="inlineStr">
        <is>
          <t>да</t>
        </is>
      </c>
      <c r="B222" s="6" t="inlineStr">
        <is>
          <t>5</t>
        </is>
      </c>
      <c r="C222" s="7" t="inlineStr">
        <is>
          <t>Покрытия.</t>
        </is>
      </c>
      <c r="D222" s="6" t="inlineStr">
        <is>
          <t>Торец бетонной плиты</t>
        </is>
      </c>
      <c r="E222" s="6" t="inlineStr">
        <is>
          <t>material</t>
        </is>
      </c>
      <c r="F222" s="6" t="n">
        <v>221</v>
      </c>
      <c r="G222" s="7" t="inlineStr">
        <is>
          <t>Клей для плитки, керамогранита, мозаики и камня Weber Vetonit Ultra fix серый (класс С2), 25кг</t>
        </is>
      </c>
      <c r="H222" s="6" t="inlineStr">
        <is>
          <t>меш.</t>
        </is>
      </c>
      <c r="I222" s="8" t="n">
        <v>5</v>
      </c>
      <c r="J222" s="8" t="n">
        <v>100</v>
      </c>
      <c r="K222" s="9">
        <f>IF(OR(E222="work",E222="section14_item"),I222*J222,0)</f>
        <v/>
      </c>
      <c r="L222" s="9">
        <f>IF(E222="material",I222*J222,IF(E222="section15_percent",I222/100*(SUMPRODUCT((E$2:E$5000="work")*(B$2:B$5000&lt;&gt;"14")*K$2:K$5000)+SUMPRODUCT((E$2:E$5000="material")*(B$2:B$5000&lt;&gt;"14")*L$2:L$5000)),IF(E222="section15_manual",J222,0)))</f>
        <v/>
      </c>
      <c r="M222" s="7" t="n"/>
    </row>
    <row r="223">
      <c r="A223" s="6" t="inlineStr">
        <is>
          <t>да</t>
        </is>
      </c>
      <c r="B223" s="6" t="inlineStr">
        <is>
          <t>5</t>
        </is>
      </c>
      <c r="C223" s="7" t="inlineStr">
        <is>
          <t>Покрытия.</t>
        </is>
      </c>
      <c r="D223" s="6" t="inlineStr">
        <is>
          <t>Торец бетонной плиты</t>
        </is>
      </c>
      <c r="E223" s="6" t="inlineStr">
        <is>
          <t>material</t>
        </is>
      </c>
      <c r="F223" s="6" t="n">
        <v>222</v>
      </c>
      <c r="G223" s="7" t="inlineStr">
        <is>
          <t>Затирка Литокол Старлайк 2,5кг</t>
        </is>
      </c>
      <c r="H223" s="6" t="inlineStr">
        <is>
          <t>шт.</t>
        </is>
      </c>
      <c r="I223" s="8" t="n">
        <v>1</v>
      </c>
      <c r="J223" s="8" t="n">
        <v>100</v>
      </c>
      <c r="K223" s="9">
        <f>IF(OR(E223="work",E223="section14_item"),I223*J223,0)</f>
        <v/>
      </c>
      <c r="L223" s="9">
        <f>IF(E223="material",I223*J223,IF(E223="section15_percent",I223/100*(SUMPRODUCT((E$2:E$5000="work")*(B$2:B$5000&lt;&gt;"14")*K$2:K$5000)+SUMPRODUCT((E$2:E$5000="material")*(B$2:B$5000&lt;&gt;"14")*L$2:L$5000)),IF(E223="section15_manual",J223,0)))</f>
        <v/>
      </c>
      <c r="M223" s="7" t="n"/>
    </row>
    <row r="224">
      <c r="A224" s="6" t="inlineStr">
        <is>
          <t>да</t>
        </is>
      </c>
      <c r="B224" s="6" t="inlineStr">
        <is>
          <t>5</t>
        </is>
      </c>
      <c r="C224" s="7" t="inlineStr">
        <is>
          <t>Покрытия.</t>
        </is>
      </c>
      <c r="D224" s="6" t="inlineStr">
        <is>
          <t>Торец бетонной плиты</t>
        </is>
      </c>
      <c r="E224" s="6" t="inlineStr">
        <is>
          <t>material</t>
        </is>
      </c>
      <c r="F224" s="6" t="n">
        <v>223</v>
      </c>
      <c r="G224" s="7" t="inlineStr">
        <is>
          <t>Italon керамический гранит Керамогранит X2 ступень фронтальная 33*60 натуральный ректифицированный</t>
        </is>
      </c>
      <c r="H224" s="6" t="inlineStr">
        <is>
          <t>шт.</t>
        </is>
      </c>
      <c r="I224" s="8" t="n">
        <v>29</v>
      </c>
      <c r="J224" s="8" t="n">
        <v>100</v>
      </c>
      <c r="K224" s="9">
        <f>IF(OR(E224="work",E224="section14_item"),I224*J224,0)</f>
        <v/>
      </c>
      <c r="L224" s="9">
        <f>IF(E224="material",I224*J224,IF(E224="section15_percent",I224/100*(SUMPRODUCT((E$2:E$5000="work")*(B$2:B$5000&lt;&gt;"14")*K$2:K$5000)+SUMPRODUCT((E$2:E$5000="material")*(B$2:B$5000&lt;&gt;"14")*L$2:L$5000)),IF(E224="section15_manual",J224,0)))</f>
        <v/>
      </c>
      <c r="M224" s="7" t="n"/>
    </row>
    <row r="225">
      <c r="A225" s="6" t="inlineStr">
        <is>
          <t>да</t>
        </is>
      </c>
      <c r="B225" s="6" t="inlineStr">
        <is>
          <t>5</t>
        </is>
      </c>
      <c r="C225" s="7" t="inlineStr">
        <is>
          <t>Покрытия.</t>
        </is>
      </c>
      <c r="D225" s="6" t="inlineStr">
        <is>
          <t>Торец бетонной плиты</t>
        </is>
      </c>
      <c r="E225" s="6" t="inlineStr">
        <is>
          <t>material</t>
        </is>
      </c>
      <c r="F225" s="6" t="n">
        <v>224</v>
      </c>
      <c r="G225" s="7" t="inlineStr">
        <is>
          <t>Italon керамический гранит Керамогранит X2 ступень угловая правая 33*60 натуральный ректифицированный</t>
        </is>
      </c>
      <c r="H225" s="6" t="inlineStr">
        <is>
          <t>шт.</t>
        </is>
      </c>
      <c r="I225" s="8" t="n">
        <v>1</v>
      </c>
      <c r="J225" s="8" t="n">
        <v>100</v>
      </c>
      <c r="K225" s="9">
        <f>IF(OR(E225="work",E225="section14_item"),I225*J225,0)</f>
        <v/>
      </c>
      <c r="L225" s="9">
        <f>IF(E225="material",I225*J225,IF(E225="section15_percent",I225/100*(SUMPRODUCT((E$2:E$5000="work")*(B$2:B$5000&lt;&gt;"14")*K$2:K$5000)+SUMPRODUCT((E$2:E$5000="material")*(B$2:B$5000&lt;&gt;"14")*L$2:L$5000)),IF(E225="section15_manual",J225,0)))</f>
        <v/>
      </c>
      <c r="M225" s="7" t="n"/>
    </row>
    <row r="226">
      <c r="A226" s="2" t="inlineStr">
        <is>
          <t>да</t>
        </is>
      </c>
      <c r="B226" s="2" t="inlineStr">
        <is>
          <t>5</t>
        </is>
      </c>
      <c r="C226" s="3" t="inlineStr">
        <is>
          <t>Покрытия.</t>
        </is>
      </c>
      <c r="D226" s="2" t="inlineStr">
        <is>
          <t>Торец бетонной плиты</t>
        </is>
      </c>
      <c r="E226" s="2" t="inlineStr">
        <is>
          <t>work</t>
        </is>
      </c>
      <c r="F226" s="2" t="n">
        <v>225</v>
      </c>
      <c r="G226" s="3" t="inlineStr">
        <is>
          <t>Обеспыливание, грунтование бетонного основания - торец плиты с запилом капельника</t>
        </is>
      </c>
      <c r="H226" s="2" t="inlineStr">
        <is>
          <t>м.п.</t>
        </is>
      </c>
      <c r="I226" s="4" t="n">
        <v>22.3</v>
      </c>
      <c r="J226" s="4" t="n">
        <v>100</v>
      </c>
      <c r="K226" s="5">
        <f>IF(OR(E226="work",E226="section14_item"),I226*J226,0)</f>
        <v/>
      </c>
      <c r="L226" s="5">
        <f>IF(E226="material",I226*J226,IF(E226="section15_percent",I226/100*(SUMPRODUCT((E$2:E$5000="work")*(B$2:B$5000&lt;&gt;"14")*K$2:K$5000)+SUMPRODUCT((E$2:E$5000="material")*(B$2:B$5000&lt;&gt;"14")*L$2:L$5000)),IF(E226="section15_manual",J226,0)))</f>
        <v/>
      </c>
      <c r="M226" s="3" t="n"/>
    </row>
    <row r="227">
      <c r="A227" s="6" t="inlineStr">
        <is>
          <t>да</t>
        </is>
      </c>
      <c r="B227" s="6" t="inlineStr">
        <is>
          <t>5</t>
        </is>
      </c>
      <c r="C227" s="7" t="inlineStr">
        <is>
          <t>Покрытия.</t>
        </is>
      </c>
      <c r="D227" s="6" t="inlineStr">
        <is>
          <t>Торец бетонной плиты</t>
        </is>
      </c>
      <c r="E227" s="6" t="inlineStr">
        <is>
          <t>material</t>
        </is>
      </c>
      <c r="F227" s="6" t="n">
        <v>226</v>
      </c>
      <c r="G227" s="7" t="inlineStr">
        <is>
          <t>Грунт Ceresit CT17 pro, 5л</t>
        </is>
      </c>
      <c r="H227" s="6" t="inlineStr">
        <is>
          <t>шт.</t>
        </is>
      </c>
      <c r="I227" s="8" t="n">
        <v>1</v>
      </c>
      <c r="J227" s="8" t="n">
        <v>100</v>
      </c>
      <c r="K227" s="9">
        <f>IF(OR(E227="work",E227="section14_item"),I227*J227,0)</f>
        <v/>
      </c>
      <c r="L227" s="9">
        <f>IF(E227="material",I227*J227,IF(E227="section15_percent",I227/100*(SUMPRODUCT((E$2:E$5000="work")*(B$2:B$5000&lt;&gt;"14")*K$2:K$5000)+SUMPRODUCT((E$2:E$5000="material")*(B$2:B$5000&lt;&gt;"14")*L$2:L$5000)),IF(E227="section15_manual",J227,0)))</f>
        <v/>
      </c>
      <c r="M227" s="7" t="n"/>
    </row>
    <row r="228">
      <c r="A228" s="2" t="inlineStr">
        <is>
          <t>да</t>
        </is>
      </c>
      <c r="B228" s="2" t="inlineStr">
        <is>
          <t>5</t>
        </is>
      </c>
      <c r="C228" s="3" t="inlineStr">
        <is>
          <t>Покрытия.</t>
        </is>
      </c>
      <c r="D228" s="2" t="inlineStr">
        <is>
          <t>Торец бетонной плиты</t>
        </is>
      </c>
      <c r="E228" s="2" t="inlineStr">
        <is>
          <t>work</t>
        </is>
      </c>
      <c r="F228" s="2" t="n">
        <v>227</v>
      </c>
      <c r="G228" s="3" t="inlineStr">
        <is>
          <t>Облицовка керамогранитом с залипом капельника - высота 230мм</t>
        </is>
      </c>
      <c r="H228" s="2" t="inlineStr">
        <is>
          <t>м.п.</t>
        </is>
      </c>
      <c r="I228" s="4" t="n">
        <v>22.3</v>
      </c>
      <c r="J228" s="4" t="n">
        <v>100</v>
      </c>
      <c r="K228" s="5">
        <f>IF(OR(E228="work",E228="section14_item"),I228*J228,0)</f>
        <v/>
      </c>
      <c r="L228" s="5">
        <f>IF(E228="material",I228*J228,IF(E228="section15_percent",I228/100*(SUMPRODUCT((E$2:E$5000="work")*(B$2:B$5000&lt;&gt;"14")*K$2:K$5000)+SUMPRODUCT((E$2:E$5000="material")*(B$2:B$5000&lt;&gt;"14")*L$2:L$5000)),IF(E228="section15_manual",J228,0)))</f>
        <v/>
      </c>
      <c r="M228" s="3" t="n"/>
    </row>
    <row r="229">
      <c r="A229" s="2" t="inlineStr">
        <is>
          <t>да</t>
        </is>
      </c>
      <c r="B229" s="2" t="inlineStr">
        <is>
          <t>5</t>
        </is>
      </c>
      <c r="C229" s="3" t="inlineStr">
        <is>
          <t>Покрытия.</t>
        </is>
      </c>
      <c r="D229" s="2" t="inlineStr">
        <is>
          <t>Торец бетонной плиты</t>
        </is>
      </c>
      <c r="E229" s="2" t="inlineStr">
        <is>
          <t>work</t>
        </is>
      </c>
      <c r="F229" s="2" t="n">
        <v>228</v>
      </c>
      <c r="G229" s="3" t="inlineStr">
        <is>
          <t>Затирка швов плит спецсоставом</t>
        </is>
      </c>
      <c r="H229" s="2" t="inlineStr">
        <is>
          <t>м.п.</t>
        </is>
      </c>
      <c r="I229" s="4" t="n">
        <v>22.3</v>
      </c>
      <c r="J229" s="4" t="n">
        <v>100</v>
      </c>
      <c r="K229" s="5">
        <f>IF(OR(E229="work",E229="section14_item"),I229*J229,0)</f>
        <v/>
      </c>
      <c r="L229" s="5">
        <f>IF(E229="material",I229*J229,IF(E229="section15_percent",I229/100*(SUMPRODUCT((E$2:E$5000="work")*(B$2:B$5000&lt;&gt;"14")*K$2:K$5000)+SUMPRODUCT((E$2:E$5000="material")*(B$2:B$5000&lt;&gt;"14")*L$2:L$5000)),IF(E229="section15_manual",J229,0)))</f>
        <v/>
      </c>
      <c r="M229" s="3" t="n"/>
    </row>
    <row r="230">
      <c r="A230" s="6" t="inlineStr">
        <is>
          <t>да</t>
        </is>
      </c>
      <c r="B230" s="6" t="inlineStr">
        <is>
          <t>5</t>
        </is>
      </c>
      <c r="C230" s="7" t="inlineStr">
        <is>
          <t>Покрытия.</t>
        </is>
      </c>
      <c r="D230" s="6" t="inlineStr">
        <is>
          <t>Торец бетонной плиты</t>
        </is>
      </c>
      <c r="E230" s="6" t="inlineStr">
        <is>
          <t>material</t>
        </is>
      </c>
      <c r="F230" s="6" t="n">
        <v>229</v>
      </c>
      <c r="G230" s="7" t="inlineStr">
        <is>
          <t>Диски алмазные</t>
        </is>
      </c>
      <c r="H230" s="6" t="inlineStr">
        <is>
          <t>шт.</t>
        </is>
      </c>
      <c r="I230" s="8" t="n">
        <v>2</v>
      </c>
      <c r="J230" s="8" t="n">
        <v>100</v>
      </c>
      <c r="K230" s="9">
        <f>IF(OR(E230="work",E230="section14_item"),I230*J230,0)</f>
        <v/>
      </c>
      <c r="L230" s="9">
        <f>IF(E230="material",I230*J230,IF(E230="section15_percent",I230/100*(SUMPRODUCT((E$2:E$5000="work")*(B$2:B$5000&lt;&gt;"14")*K$2:K$5000)+SUMPRODUCT((E$2:E$5000="material")*(B$2:B$5000&lt;&gt;"14")*L$2:L$5000)),IF(E230="section15_manual",J230,0)))</f>
        <v/>
      </c>
      <c r="M230" s="7" t="n"/>
    </row>
    <row r="231">
      <c r="A231" s="6" t="inlineStr">
        <is>
          <t>да</t>
        </is>
      </c>
      <c r="B231" s="6" t="inlineStr">
        <is>
          <t>5</t>
        </is>
      </c>
      <c r="C231" s="7" t="inlineStr">
        <is>
          <t>Покрытия.</t>
        </is>
      </c>
      <c r="D231" s="6" t="inlineStr">
        <is>
          <t>Торец бетонной плиты</t>
        </is>
      </c>
      <c r="E231" s="6" t="inlineStr">
        <is>
          <t>material</t>
        </is>
      </c>
      <c r="F231" s="6" t="n">
        <v>230</v>
      </c>
      <c r="G231" s="7" t="inlineStr">
        <is>
          <t>Клей для плитки, керамогранита, мозаики и камня Weber Vetonit Ultra fix серый (класс С2), 25кг</t>
        </is>
      </c>
      <c r="H231" s="6" t="inlineStr">
        <is>
          <t>меш.</t>
        </is>
      </c>
      <c r="I231" s="8" t="n">
        <v>4</v>
      </c>
      <c r="J231" s="8" t="n">
        <v>100</v>
      </c>
      <c r="K231" s="9">
        <f>IF(OR(E231="work",E231="section14_item"),I231*J231,0)</f>
        <v/>
      </c>
      <c r="L231" s="9">
        <f>IF(E231="material",I231*J231,IF(E231="section15_percent",I231/100*(SUMPRODUCT((E$2:E$5000="work")*(B$2:B$5000&lt;&gt;"14")*K$2:K$5000)+SUMPRODUCT((E$2:E$5000="material")*(B$2:B$5000&lt;&gt;"14")*L$2:L$5000)),IF(E231="section15_manual",J231,0)))</f>
        <v/>
      </c>
      <c r="M231" s="7" t="n"/>
    </row>
    <row r="232">
      <c r="A232" s="6" t="inlineStr">
        <is>
          <t>да</t>
        </is>
      </c>
      <c r="B232" s="6" t="inlineStr">
        <is>
          <t>5</t>
        </is>
      </c>
      <c r="C232" s="7" t="inlineStr">
        <is>
          <t>Покрытия.</t>
        </is>
      </c>
      <c r="D232" s="6" t="inlineStr">
        <is>
          <t>Торец бетонной плиты</t>
        </is>
      </c>
      <c r="E232" s="6" t="inlineStr">
        <is>
          <t>material</t>
        </is>
      </c>
      <c r="F232" s="6" t="n">
        <v>231</v>
      </c>
      <c r="G232" s="7" t="inlineStr">
        <is>
          <t>Затирка Литокол Старлайк 2,5кг</t>
        </is>
      </c>
      <c r="H232" s="6" t="inlineStr">
        <is>
          <t>шт.</t>
        </is>
      </c>
      <c r="I232" s="8" t="n">
        <v>1</v>
      </c>
      <c r="J232" s="8" t="n">
        <v>100</v>
      </c>
      <c r="K232" s="9">
        <f>IF(OR(E232="work",E232="section14_item"),I232*J232,0)</f>
        <v/>
      </c>
      <c r="L232" s="9">
        <f>IF(E232="material",I232*J232,IF(E232="section15_percent",I232/100*(SUMPRODUCT((E$2:E$5000="work")*(B$2:B$5000&lt;&gt;"14")*K$2:K$5000)+SUMPRODUCT((E$2:E$5000="material")*(B$2:B$5000&lt;&gt;"14")*L$2:L$5000)),IF(E232="section15_manual",J232,0)))</f>
        <v/>
      </c>
      <c r="M232" s="7" t="n"/>
    </row>
    <row r="233">
      <c r="A233" s="6" t="inlineStr">
        <is>
          <t>да</t>
        </is>
      </c>
      <c r="B233" s="6" t="inlineStr">
        <is>
          <t>5</t>
        </is>
      </c>
      <c r="C233" s="7" t="inlineStr">
        <is>
          <t>Покрытия.</t>
        </is>
      </c>
      <c r="D233" s="6" t="inlineStr">
        <is>
          <t>Торец бетонной плиты</t>
        </is>
      </c>
      <c r="E233" s="6" t="inlineStr">
        <is>
          <t>material</t>
        </is>
      </c>
      <c r="F233" s="6" t="n">
        <v>232</v>
      </c>
      <c r="G233" s="7" t="inlineStr">
        <is>
          <t>Italon керамический гранит Керамогранит X2 Millenium Silver 60*60*2 структурированный ректифицированный</t>
        </is>
      </c>
      <c r="H233" s="6" t="inlineStr">
        <is>
          <t>м.кв.</t>
        </is>
      </c>
      <c r="I233" s="8" t="n">
        <v>5.6</v>
      </c>
      <c r="J233" s="8" t="n">
        <v>100</v>
      </c>
      <c r="K233" s="9">
        <f>IF(OR(E233="work",E233="section14_item"),I233*J233,0)</f>
        <v/>
      </c>
      <c r="L233" s="9">
        <f>IF(E233="material",I233*J233,IF(E233="section15_percent",I233/100*(SUMPRODUCT((E$2:E$5000="work")*(B$2:B$5000&lt;&gt;"14")*K$2:K$5000)+SUMPRODUCT((E$2:E$5000="material")*(B$2:B$5000&lt;&gt;"14")*L$2:L$5000)),IF(E233="section15_manual",J233,0)))</f>
        <v/>
      </c>
      <c r="M233" s="7" t="n"/>
    </row>
    <row r="234">
      <c r="A234" s="10" t="inlineStr">
        <is>
          <t>да</t>
        </is>
      </c>
      <c r="B234" s="10" t="inlineStr">
        <is>
          <t>5</t>
        </is>
      </c>
      <c r="C234" s="11" t="inlineStr">
        <is>
          <t>Покрытия.</t>
        </is>
      </c>
      <c r="D234" s="10" t="inlineStr"/>
      <c r="E234" s="10" t="inlineStr">
        <is>
          <t>subsection</t>
        </is>
      </c>
      <c r="F234" s="10" t="n">
        <v>233</v>
      </c>
      <c r="G234" s="11" t="inlineStr">
        <is>
          <t>Зона очага</t>
        </is>
      </c>
      <c r="H234" s="10" t="inlineStr"/>
      <c r="I234" s="12" t="n"/>
      <c r="J234" s="12" t="n"/>
      <c r="K234" s="13">
        <f>IF(OR(E234="work",E234="section14_item"),I234*J234,0)</f>
        <v/>
      </c>
      <c r="L234" s="13">
        <f>IF(E234="material",I234*J234,IF(E234="section15_percent",I234/100*(SUMPRODUCT((E$2:E$5000="work")*(B$2:B$5000&lt;&gt;"14")*K$2:K$5000)+SUMPRODUCT((E$2:E$5000="material")*(B$2:B$5000&lt;&gt;"14")*L$2:L$5000)),IF(E234="section15_manual",J234,0)))</f>
        <v/>
      </c>
      <c r="M234" s="11" t="n"/>
    </row>
    <row r="235">
      <c r="A235" s="2" t="inlineStr">
        <is>
          <t>да</t>
        </is>
      </c>
      <c r="B235" s="2" t="inlineStr">
        <is>
          <t>5</t>
        </is>
      </c>
      <c r="C235" s="3" t="inlineStr">
        <is>
          <t>Покрытия.</t>
        </is>
      </c>
      <c r="D235" s="2" t="inlineStr">
        <is>
          <t>Зона очага</t>
        </is>
      </c>
      <c r="E235" s="2" t="inlineStr">
        <is>
          <t>work</t>
        </is>
      </c>
      <c r="F235" s="2" t="n">
        <v>234</v>
      </c>
      <c r="G235" s="3" t="inlineStr">
        <is>
          <t>Укладка керамогранита на регулируемые опоры (зона очага)</t>
        </is>
      </c>
      <c r="H235" s="2" t="inlineStr">
        <is>
          <t>м.кв.</t>
        </is>
      </c>
      <c r="I235" s="4" t="n">
        <v>8.4</v>
      </c>
      <c r="J235" s="4" t="n">
        <v>100</v>
      </c>
      <c r="K235" s="5">
        <f>IF(OR(E235="work",E235="section14_item"),I235*J235,0)</f>
        <v/>
      </c>
      <c r="L235" s="5">
        <f>IF(E235="material",I235*J235,IF(E235="section15_percent",I235/100*(SUMPRODUCT((E$2:E$5000="work")*(B$2:B$5000&lt;&gt;"14")*K$2:K$5000)+SUMPRODUCT((E$2:E$5000="material")*(B$2:B$5000&lt;&gt;"14")*L$2:L$5000)),IF(E235="section15_manual",J235,0)))</f>
        <v/>
      </c>
      <c r="M235" s="3" t="n"/>
    </row>
    <row r="236">
      <c r="A236" s="6" t="inlineStr">
        <is>
          <t>да</t>
        </is>
      </c>
      <c r="B236" s="6" t="inlineStr">
        <is>
          <t>5</t>
        </is>
      </c>
      <c r="C236" s="7" t="inlineStr">
        <is>
          <t>Покрытия.</t>
        </is>
      </c>
      <c r="D236" s="6" t="inlineStr">
        <is>
          <t>Зона очага</t>
        </is>
      </c>
      <c r="E236" s="6" t="inlineStr">
        <is>
          <t>material</t>
        </is>
      </c>
      <c r="F236" s="6" t="n">
        <v>235</v>
      </c>
      <c r="G236" s="7" t="inlineStr">
        <is>
          <t>Italon керамический гранит Керамогранит X2 Millenium Silver 60*60*2 структурированный ректифицированный</t>
        </is>
      </c>
      <c r="H236" s="6" t="inlineStr">
        <is>
          <t>м.кв.</t>
        </is>
      </c>
      <c r="I236" s="8" t="n">
        <v>11.928</v>
      </c>
      <c r="J236" s="8" t="n">
        <v>100</v>
      </c>
      <c r="K236" s="9">
        <f>IF(OR(E236="work",E236="section14_item"),I236*J236,0)</f>
        <v/>
      </c>
      <c r="L236" s="9">
        <f>IF(E236="material",I236*J236,IF(E236="section15_percent",I236/100*(SUMPRODUCT((E$2:E$5000="work")*(B$2:B$5000&lt;&gt;"14")*K$2:K$5000)+SUMPRODUCT((E$2:E$5000="material")*(B$2:B$5000&lt;&gt;"14")*L$2:L$5000)),IF(E236="section15_manual",J236,0)))</f>
        <v/>
      </c>
      <c r="M236" s="7" t="n"/>
    </row>
    <row r="237">
      <c r="A237" s="6" t="inlineStr">
        <is>
          <t>да</t>
        </is>
      </c>
      <c r="B237" s="6" t="inlineStr">
        <is>
          <t>5</t>
        </is>
      </c>
      <c r="C237" s="7" t="inlineStr">
        <is>
          <t>Покрытия.</t>
        </is>
      </c>
      <c r="D237" s="6" t="inlineStr">
        <is>
          <t>Зона очага</t>
        </is>
      </c>
      <c r="E237" s="6" t="inlineStr">
        <is>
          <t>material</t>
        </is>
      </c>
      <c r="F237" s="6" t="n">
        <v>236</v>
      </c>
      <c r="G237" s="7" t="inlineStr">
        <is>
          <t>Опоры регулируемые с крепежом под плитку</t>
        </is>
      </c>
      <c r="H237" s="6" t="inlineStr">
        <is>
          <t>шт.</t>
        </is>
      </c>
      <c r="I237" s="8" t="n">
        <v>52</v>
      </c>
      <c r="J237" s="8" t="n">
        <v>100</v>
      </c>
      <c r="K237" s="9">
        <f>IF(OR(E237="work",E237="section14_item"),I237*J237,0)</f>
        <v/>
      </c>
      <c r="L237" s="9">
        <f>IF(E237="material",I237*J237,IF(E237="section15_percent",I237/100*(SUMPRODUCT((E$2:E$5000="work")*(B$2:B$5000&lt;&gt;"14")*K$2:K$5000)+SUMPRODUCT((E$2:E$5000="material")*(B$2:B$5000&lt;&gt;"14")*L$2:L$5000)),IF(E237="section15_manual",J237,0)))</f>
        <v/>
      </c>
      <c r="M237" s="7" t="n"/>
    </row>
    <row r="238">
      <c r="A238" s="2" t="inlineStr">
        <is>
          <t>да</t>
        </is>
      </c>
      <c r="B238" s="2" t="inlineStr">
        <is>
          <t>5</t>
        </is>
      </c>
      <c r="C238" s="3" t="inlineStr">
        <is>
          <t>Покрытия.</t>
        </is>
      </c>
      <c r="D238" s="2" t="inlineStr">
        <is>
          <t>Зона очага</t>
        </is>
      </c>
      <c r="E238" s="2" t="inlineStr">
        <is>
          <t>work</t>
        </is>
      </c>
      <c r="F238" s="2" t="n">
        <v>237</v>
      </c>
      <c r="G238" s="3" t="inlineStr">
        <is>
          <t>Устройство покрытия из гальки - зона очага</t>
        </is>
      </c>
      <c r="H238" s="2" t="inlineStr">
        <is>
          <t>м.кв.</t>
        </is>
      </c>
      <c r="I238" s="4" t="n">
        <v>1.5</v>
      </c>
      <c r="J238" s="4" t="n">
        <v>100</v>
      </c>
      <c r="K238" s="5">
        <f>IF(OR(E238="work",E238="section14_item"),I238*J238,0)</f>
        <v/>
      </c>
      <c r="L238" s="5">
        <f>IF(E238="material",I238*J238,IF(E238="section15_percent",I238/100*(SUMPRODUCT((E$2:E$5000="work")*(B$2:B$5000&lt;&gt;"14")*K$2:K$5000)+SUMPRODUCT((E$2:E$5000="material")*(B$2:B$5000&lt;&gt;"14")*L$2:L$5000)),IF(E238="section15_manual",J238,0)))</f>
        <v/>
      </c>
      <c r="M238" s="3" t="n"/>
    </row>
    <row r="239">
      <c r="A239" s="6" t="inlineStr">
        <is>
          <t>да</t>
        </is>
      </c>
      <c r="B239" s="6" t="inlineStr">
        <is>
          <t>5</t>
        </is>
      </c>
      <c r="C239" s="7" t="inlineStr">
        <is>
          <t>Покрытия.</t>
        </is>
      </c>
      <c r="D239" s="6" t="inlineStr">
        <is>
          <t>Зона очага</t>
        </is>
      </c>
      <c r="E239" s="6" t="inlineStr">
        <is>
          <t>material</t>
        </is>
      </c>
      <c r="F239" s="6" t="n">
        <v>238</v>
      </c>
      <c r="G239" s="7" t="inlineStr">
        <is>
          <t>Галька декоративная</t>
        </is>
      </c>
      <c r="H239" s="6" t="inlineStr">
        <is>
          <t>кг</t>
        </is>
      </c>
      <c r="I239" s="8" t="n">
        <v>150</v>
      </c>
      <c r="J239" s="8" t="n">
        <v>100</v>
      </c>
      <c r="K239" s="9">
        <f>IF(OR(E239="work",E239="section14_item"),I239*J239,0)</f>
        <v/>
      </c>
      <c r="L239" s="9">
        <f>IF(E239="material",I239*J239,IF(E239="section15_percent",I239/100*(SUMPRODUCT((E$2:E$5000="work")*(B$2:B$5000&lt;&gt;"14")*K$2:K$5000)+SUMPRODUCT((E$2:E$5000="material")*(B$2:B$5000&lt;&gt;"14")*L$2:L$5000)),IF(E239="section15_manual",J239,0)))</f>
        <v/>
      </c>
      <c r="M239" s="7" t="n"/>
    </row>
    <row r="240">
      <c r="A240" s="2" t="inlineStr">
        <is>
          <t>да</t>
        </is>
      </c>
      <c r="B240" s="2" t="inlineStr">
        <is>
          <t>5</t>
        </is>
      </c>
      <c r="C240" s="3" t="inlineStr">
        <is>
          <t>Покрытия.</t>
        </is>
      </c>
      <c r="D240" s="2" t="inlineStr">
        <is>
          <t>Зона очага</t>
        </is>
      </c>
      <c r="E240" s="2" t="inlineStr">
        <is>
          <t>work</t>
        </is>
      </c>
      <c r="F240" s="2" t="n">
        <v>239</v>
      </c>
      <c r="G240" s="3" t="inlineStr">
        <is>
          <t>Устройство бордюра декоративного</t>
        </is>
      </c>
      <c r="H240" s="2" t="inlineStr">
        <is>
          <t>м.п.</t>
        </is>
      </c>
      <c r="I240" s="4" t="n">
        <v>5</v>
      </c>
      <c r="J240" s="4" t="n">
        <v>100</v>
      </c>
      <c r="K240" s="5">
        <f>IF(OR(E240="work",E240="section14_item"),I240*J240,0)</f>
        <v/>
      </c>
      <c r="L240" s="5">
        <f>IF(E240="material",I240*J240,IF(E240="section15_percent",I240/100*(SUMPRODUCT((E$2:E$5000="work")*(B$2:B$5000&lt;&gt;"14")*K$2:K$5000)+SUMPRODUCT((E$2:E$5000="material")*(B$2:B$5000&lt;&gt;"14")*L$2:L$5000)),IF(E240="section15_manual",J240,0)))</f>
        <v/>
      </c>
      <c r="M240" s="3" t="n"/>
    </row>
    <row r="241">
      <c r="A241" s="6" t="inlineStr">
        <is>
          <t>да</t>
        </is>
      </c>
      <c r="B241" s="6" t="inlineStr">
        <is>
          <t>5</t>
        </is>
      </c>
      <c r="C241" s="7" t="inlineStr">
        <is>
          <t>Покрытия.</t>
        </is>
      </c>
      <c r="D241" s="6" t="inlineStr">
        <is>
          <t>Зона очага</t>
        </is>
      </c>
      <c r="E241" s="6" t="inlineStr">
        <is>
          <t>material</t>
        </is>
      </c>
      <c r="F241" s="6" t="n">
        <v>240</v>
      </c>
      <c r="G241" s="7" t="inlineStr">
        <is>
          <t>Бордюр Г-образный из нержавеющей стали с комплектующими</t>
        </is>
      </c>
      <c r="H241" s="6" t="inlineStr">
        <is>
          <t>м.п.</t>
        </is>
      </c>
      <c r="I241" s="8" t="n">
        <v>5.5</v>
      </c>
      <c r="J241" s="8" t="n">
        <v>100</v>
      </c>
      <c r="K241" s="9">
        <f>IF(OR(E241="work",E241="section14_item"),I241*J241,0)</f>
        <v/>
      </c>
      <c r="L241" s="9">
        <f>IF(E241="material",I241*J241,IF(E241="section15_percent",I241/100*(SUMPRODUCT((E$2:E$5000="work")*(B$2:B$5000&lt;&gt;"14")*K$2:K$5000)+SUMPRODUCT((E$2:E$5000="material")*(B$2:B$5000&lt;&gt;"14")*L$2:L$5000)),IF(E241="section15_manual",J241,0)))</f>
        <v/>
      </c>
      <c r="M241" s="7" t="n"/>
    </row>
    <row r="242">
      <c r="A242" s="10" t="inlineStr">
        <is>
          <t>да</t>
        </is>
      </c>
      <c r="B242" s="10" t="inlineStr">
        <is>
          <t>5</t>
        </is>
      </c>
      <c r="C242" s="11" t="inlineStr">
        <is>
          <t>Покрытия.</t>
        </is>
      </c>
      <c r="D242" s="10" t="inlineStr"/>
      <c r="E242" s="10" t="inlineStr">
        <is>
          <t>subsection</t>
        </is>
      </c>
      <c r="F242" s="10" t="n">
        <v>241</v>
      </c>
      <c r="G242" s="11" t="inlineStr">
        <is>
          <t>Тип П2. Пешеходное покрытие плитами</t>
        </is>
      </c>
      <c r="H242" s="10" t="inlineStr"/>
      <c r="I242" s="12" t="n"/>
      <c r="J242" s="12" t="n"/>
      <c r="K242" s="13">
        <f>IF(OR(E242="work",E242="section14_item"),I242*J242,0)</f>
        <v/>
      </c>
      <c r="L242" s="13">
        <f>IF(E242="material",I242*J242,IF(E242="section15_percent",I242/100*(SUMPRODUCT((E$2:E$5000="work")*(B$2:B$5000&lt;&gt;"14")*K$2:K$5000)+SUMPRODUCT((E$2:E$5000="material")*(B$2:B$5000&lt;&gt;"14")*L$2:L$5000)),IF(E242="section15_manual",J242,0)))</f>
        <v/>
      </c>
      <c r="M242" s="11" t="n"/>
    </row>
    <row r="243">
      <c r="A243" s="2" t="inlineStr">
        <is>
          <t>да</t>
        </is>
      </c>
      <c r="B243" s="2" t="inlineStr">
        <is>
          <t>5</t>
        </is>
      </c>
      <c r="C243" s="3" t="inlineStr">
        <is>
          <t>Покрытия.</t>
        </is>
      </c>
      <c r="D243" s="2" t="inlineStr">
        <is>
          <t>Тип П2. Пешеходное покрытие плитами</t>
        </is>
      </c>
      <c r="E243" s="2" t="inlineStr">
        <is>
          <t>work</t>
        </is>
      </c>
      <c r="F243" s="2" t="n">
        <v>242</v>
      </c>
      <c r="G243" s="3" t="inlineStr">
        <is>
          <t>Устройство основания под мощение пошаговое</t>
        </is>
      </c>
      <c r="H243" s="2" t="inlineStr">
        <is>
          <t>м.кв.</t>
        </is>
      </c>
      <c r="I243" s="4" t="n">
        <v>72</v>
      </c>
      <c r="J243" s="4" t="n">
        <v>100</v>
      </c>
      <c r="K243" s="5">
        <f>IF(OR(E243="work",E243="section14_item"),I243*J243,0)</f>
        <v/>
      </c>
      <c r="L243" s="5">
        <f>IF(E243="material",I243*J243,IF(E243="section15_percent",I243/100*(SUMPRODUCT((E$2:E$5000="work")*(B$2:B$5000&lt;&gt;"14")*K$2:K$5000)+SUMPRODUCT((E$2:E$5000="material")*(B$2:B$5000&lt;&gt;"14")*L$2:L$5000)),IF(E243="section15_manual",J243,0)))</f>
        <v/>
      </c>
      <c r="M243" s="3" t="n"/>
    </row>
    <row r="244">
      <c r="A244" s="6" t="inlineStr">
        <is>
          <t>да</t>
        </is>
      </c>
      <c r="B244" s="6" t="inlineStr">
        <is>
          <t>5</t>
        </is>
      </c>
      <c r="C244" s="7" t="inlineStr">
        <is>
          <t>Покрытия.</t>
        </is>
      </c>
      <c r="D244" s="6" t="inlineStr">
        <is>
          <t>Тип П2. Пешеходное покрытие плитами</t>
        </is>
      </c>
      <c r="E244" s="6" t="inlineStr">
        <is>
          <t>material</t>
        </is>
      </c>
      <c r="F244" s="6" t="n">
        <v>243</v>
      </c>
      <c r="G244" s="7" t="inlineStr">
        <is>
          <t>Геотекстиль Мегаизол, рулон 50м2</t>
        </is>
      </c>
      <c r="H244" s="6" t="inlineStr">
        <is>
          <t>рул.</t>
        </is>
      </c>
      <c r="I244" s="8" t="n">
        <v>2</v>
      </c>
      <c r="J244" s="8" t="n">
        <v>100</v>
      </c>
      <c r="K244" s="9">
        <f>IF(OR(E244="work",E244="section14_item"),I244*J244,0)</f>
        <v/>
      </c>
      <c r="L244" s="9">
        <f>IF(E244="material",I244*J244,IF(E244="section15_percent",I244/100*(SUMPRODUCT((E$2:E$5000="work")*(B$2:B$5000&lt;&gt;"14")*K$2:K$5000)+SUMPRODUCT((E$2:E$5000="material")*(B$2:B$5000&lt;&gt;"14")*L$2:L$5000)),IF(E244="section15_manual",J244,0)))</f>
        <v/>
      </c>
      <c r="M244" s="7" t="n"/>
    </row>
    <row r="245">
      <c r="A245" s="6" t="inlineStr">
        <is>
          <t>да</t>
        </is>
      </c>
      <c r="B245" s="6" t="inlineStr">
        <is>
          <t>5</t>
        </is>
      </c>
      <c r="C245" s="7" t="inlineStr">
        <is>
          <t>Покрытия.</t>
        </is>
      </c>
      <c r="D245" s="6" t="inlineStr">
        <is>
          <t>Тип П2. Пешеходное покрытие плитами</t>
        </is>
      </c>
      <c r="E245" s="6" t="inlineStr">
        <is>
          <t>material</t>
        </is>
      </c>
      <c r="F245" s="6" t="n">
        <v>244</v>
      </c>
      <c r="G245" s="7" t="inlineStr">
        <is>
          <t>Песок намывной (самосвал 20м3)</t>
        </is>
      </c>
      <c r="H245" s="6" t="inlineStr">
        <is>
          <t>м.куб.</t>
        </is>
      </c>
      <c r="I245" s="8" t="n">
        <v>20</v>
      </c>
      <c r="J245" s="8" t="n">
        <v>100</v>
      </c>
      <c r="K245" s="9">
        <f>IF(OR(E245="work",E245="section14_item"),I245*J245,0)</f>
        <v/>
      </c>
      <c r="L245" s="9">
        <f>IF(E245="material",I245*J245,IF(E245="section15_percent",I245/100*(SUMPRODUCT((E$2:E$5000="work")*(B$2:B$5000&lt;&gt;"14")*K$2:K$5000)+SUMPRODUCT((E$2:E$5000="material")*(B$2:B$5000&lt;&gt;"14")*L$2:L$5000)),IF(E245="section15_manual",J245,0)))</f>
        <v/>
      </c>
      <c r="M245" s="7" t="n"/>
    </row>
    <row r="246">
      <c r="A246" s="2" t="inlineStr">
        <is>
          <t>да</t>
        </is>
      </c>
      <c r="B246" s="2" t="inlineStr">
        <is>
          <t>5</t>
        </is>
      </c>
      <c r="C246" s="3" t="inlineStr">
        <is>
          <t>Покрытия.</t>
        </is>
      </c>
      <c r="D246" s="2" t="inlineStr">
        <is>
          <t>Тип П2. Пешеходное покрытие плитами</t>
        </is>
      </c>
      <c r="E246" s="2" t="inlineStr">
        <is>
          <t>work</t>
        </is>
      </c>
      <c r="F246" s="2" t="n">
        <v>245</v>
      </c>
      <c r="G246" s="3" t="inlineStr">
        <is>
          <t>Мощение плитами пешеходное пошаговое</t>
        </is>
      </c>
      <c r="H246" s="2" t="inlineStr">
        <is>
          <t>м.кв.</t>
        </is>
      </c>
      <c r="I246" s="4" t="n">
        <v>35</v>
      </c>
      <c r="J246" s="4" t="n">
        <v>100</v>
      </c>
      <c r="K246" s="5">
        <f>IF(OR(E246="work",E246="section14_item"),I246*J246,0)</f>
        <v/>
      </c>
      <c r="L246" s="5">
        <f>IF(E246="material",I246*J246,IF(E246="section15_percent",I246/100*(SUMPRODUCT((E$2:E$5000="work")*(B$2:B$5000&lt;&gt;"14")*K$2:K$5000)+SUMPRODUCT((E$2:E$5000="material")*(B$2:B$5000&lt;&gt;"14")*L$2:L$5000)),IF(E246="section15_manual",J246,0)))</f>
        <v/>
      </c>
      <c r="M246" s="3" t="n"/>
    </row>
    <row r="247">
      <c r="A247" s="6" t="inlineStr">
        <is>
          <t>да</t>
        </is>
      </c>
      <c r="B247" s="6" t="inlineStr">
        <is>
          <t>5</t>
        </is>
      </c>
      <c r="C247" s="7" t="inlineStr">
        <is>
          <t>Покрытия.</t>
        </is>
      </c>
      <c r="D247" s="6" t="inlineStr">
        <is>
          <t>Тип П2. Пешеходное покрытие плитами</t>
        </is>
      </c>
      <c r="E247" s="6" t="inlineStr">
        <is>
          <t>material</t>
        </is>
      </c>
      <c r="F247" s="6" t="n">
        <v>246</v>
      </c>
      <c r="G247" s="7" t="inlineStr">
        <is>
          <t>Песчаник 40-50мм с отбором</t>
        </is>
      </c>
      <c r="H247" s="6" t="inlineStr">
        <is>
          <t>м.кв.</t>
        </is>
      </c>
      <c r="I247" s="8" t="n">
        <v>35</v>
      </c>
      <c r="J247" s="8" t="n">
        <v>100</v>
      </c>
      <c r="K247" s="9">
        <f>IF(OR(E247="work",E247="section14_item"),I247*J247,0)</f>
        <v/>
      </c>
      <c r="L247" s="9">
        <f>IF(E247="material",I247*J247,IF(E247="section15_percent",I247/100*(SUMPRODUCT((E$2:E$5000="work")*(B$2:B$5000&lt;&gt;"14")*K$2:K$5000)+SUMPRODUCT((E$2:E$5000="material")*(B$2:B$5000&lt;&gt;"14")*L$2:L$5000)),IF(E247="section15_manual",J247,0)))</f>
        <v/>
      </c>
      <c r="M247" s="7" t="n"/>
    </row>
    <row r="248">
      <c r="A248" s="6" t="inlineStr">
        <is>
          <t>да</t>
        </is>
      </c>
      <c r="B248" s="6" t="inlineStr">
        <is>
          <t>5</t>
        </is>
      </c>
      <c r="C248" s="7" t="inlineStr">
        <is>
          <t>Покрытия.</t>
        </is>
      </c>
      <c r="D248" s="6" t="inlineStr">
        <is>
          <t>Тип П2. Пешеходное покрытие плитами</t>
        </is>
      </c>
      <c r="E248" s="6" t="inlineStr">
        <is>
          <t>material</t>
        </is>
      </c>
      <c r="F248" s="6" t="n">
        <v>247</v>
      </c>
      <c r="G248" s="7" t="inlineStr">
        <is>
          <t>Доставка плит манипулятором (учтено в разделе "Орг.затраты")</t>
        </is>
      </c>
      <c r="H248" s="6" t="inlineStr">
        <is>
          <t>кол-во раз</t>
        </is>
      </c>
      <c r="I248" s="8" t="n">
        <v>1</v>
      </c>
      <c r="J248" s="8" t="n"/>
      <c r="K248" s="9">
        <f>IF(OR(E248="work",E248="section14_item"),I248*J248,0)</f>
        <v/>
      </c>
      <c r="L248" s="9">
        <f>IF(E248="material",I248*J248,IF(E248="section15_percent",I248/100*(SUMPRODUCT((E$2:E$5000="work")*(B$2:B$5000&lt;&gt;"14")*K$2:K$5000)+SUMPRODUCT((E$2:E$5000="material")*(B$2:B$5000&lt;&gt;"14")*L$2:L$5000)),IF(E248="section15_manual",J248,0)))</f>
        <v/>
      </c>
      <c r="M248" s="7" t="n"/>
    </row>
    <row r="249">
      <c r="A249" s="2" t="inlineStr">
        <is>
          <t>да</t>
        </is>
      </c>
      <c r="B249" s="2" t="inlineStr">
        <is>
          <t>5</t>
        </is>
      </c>
      <c r="C249" s="3" t="inlineStr">
        <is>
          <t>Покрытия.</t>
        </is>
      </c>
      <c r="D249" s="2" t="inlineStr">
        <is>
          <t>Тип П2. Пешеходное покрытие плитами</t>
        </is>
      </c>
      <c r="E249" s="2" t="inlineStr">
        <is>
          <t>work</t>
        </is>
      </c>
      <c r="F249" s="2" t="n">
        <v>248</v>
      </c>
      <c r="G249" s="3" t="inlineStr">
        <is>
          <t>Перемещение материалов для покрытия на расстояние до 100м вручную (с верхней в нижнюю часть)</t>
        </is>
      </c>
      <c r="H249" s="2" t="inlineStr">
        <is>
          <t>м.куб.</t>
        </is>
      </c>
      <c r="I249" s="4" t="n">
        <v>2.1</v>
      </c>
      <c r="J249" s="4" t="n">
        <v>100</v>
      </c>
      <c r="K249" s="5">
        <f>IF(OR(E249="work",E249="section14_item"),I249*J249,0)</f>
        <v/>
      </c>
      <c r="L249" s="5">
        <f>IF(E249="material",I249*J249,IF(E249="section15_percent",I249/100*(SUMPRODUCT((E$2:E$5000="work")*(B$2:B$5000&lt;&gt;"14")*K$2:K$5000)+SUMPRODUCT((E$2:E$5000="material")*(B$2:B$5000&lt;&gt;"14")*L$2:L$5000)),IF(E249="section15_manual",J249,0)))</f>
        <v/>
      </c>
      <c r="M249" s="3" t="n"/>
    </row>
    <row r="250">
      <c r="A250" s="10" t="inlineStr">
        <is>
          <t>да</t>
        </is>
      </c>
      <c r="B250" s="10" t="inlineStr">
        <is>
          <t>5</t>
        </is>
      </c>
      <c r="C250" s="11" t="inlineStr">
        <is>
          <t>Покрытия.</t>
        </is>
      </c>
      <c r="D250" s="10" t="inlineStr"/>
      <c r="E250" s="10" t="inlineStr">
        <is>
          <t>subsection</t>
        </is>
      </c>
      <c r="F250" s="10" t="n">
        <v>249</v>
      </c>
      <c r="G250" s="11" t="inlineStr">
        <is>
          <t>Тип П4. Пешеходное покрытие из отсева</t>
        </is>
      </c>
      <c r="H250" s="10" t="inlineStr"/>
      <c r="I250" s="12" t="n"/>
      <c r="J250" s="12" t="n"/>
      <c r="K250" s="13">
        <f>IF(OR(E250="work",E250="section14_item"),I250*J250,0)</f>
        <v/>
      </c>
      <c r="L250" s="13">
        <f>IF(E250="material",I250*J250,IF(E250="section15_percent",I250/100*(SUMPRODUCT((E$2:E$5000="work")*(B$2:B$5000&lt;&gt;"14")*K$2:K$5000)+SUMPRODUCT((E$2:E$5000="material")*(B$2:B$5000&lt;&gt;"14")*L$2:L$5000)),IF(E250="section15_manual",J250,0)))</f>
        <v/>
      </c>
      <c r="M250" s="11" t="n"/>
    </row>
    <row r="251">
      <c r="A251" s="2" t="inlineStr">
        <is>
          <t>да</t>
        </is>
      </c>
      <c r="B251" s="2" t="inlineStr">
        <is>
          <t>5</t>
        </is>
      </c>
      <c r="C251" s="3" t="inlineStr">
        <is>
          <t>Покрытия.</t>
        </is>
      </c>
      <c r="D251" s="2" t="inlineStr">
        <is>
          <t>Тип П4. Пешеходное покрытие из отсева</t>
        </is>
      </c>
      <c r="E251" s="2" t="inlineStr">
        <is>
          <t>work</t>
        </is>
      </c>
      <c r="F251" s="2" t="n">
        <v>250</v>
      </c>
      <c r="G251" s="3" t="inlineStr">
        <is>
          <t>Устройство основания под покрытие из отсева</t>
        </is>
      </c>
      <c r="H251" s="2" t="inlineStr">
        <is>
          <t>м.кв.</t>
        </is>
      </c>
      <c r="I251" s="4" t="n">
        <v>115.94</v>
      </c>
      <c r="J251" s="4" t="n">
        <v>100</v>
      </c>
      <c r="K251" s="5">
        <f>IF(OR(E251="work",E251="section14_item"),I251*J251,0)</f>
        <v/>
      </c>
      <c r="L251" s="5">
        <f>IF(E251="material",I251*J251,IF(E251="section15_percent",I251/100*(SUMPRODUCT((E$2:E$5000="work")*(B$2:B$5000&lt;&gt;"14")*K$2:K$5000)+SUMPRODUCT((E$2:E$5000="material")*(B$2:B$5000&lt;&gt;"14")*L$2:L$5000)),IF(E251="section15_manual",J251,0)))</f>
        <v/>
      </c>
      <c r="M251" s="3" t="n"/>
    </row>
    <row r="252">
      <c r="A252" s="6" t="inlineStr">
        <is>
          <t>да</t>
        </is>
      </c>
      <c r="B252" s="6" t="inlineStr">
        <is>
          <t>5</t>
        </is>
      </c>
      <c r="C252" s="7" t="inlineStr">
        <is>
          <t>Покрытия.</t>
        </is>
      </c>
      <c r="D252" s="6" t="inlineStr">
        <is>
          <t>Тип П4. Пешеходное покрытие из отсева</t>
        </is>
      </c>
      <c r="E252" s="6" t="inlineStr">
        <is>
          <t>material</t>
        </is>
      </c>
      <c r="F252" s="6" t="n">
        <v>251</v>
      </c>
      <c r="G252" s="7" t="inlineStr">
        <is>
          <t>Геотекстиль Мегаизол, рулон 50м2</t>
        </is>
      </c>
      <c r="H252" s="6" t="inlineStr">
        <is>
          <t>рул.</t>
        </is>
      </c>
      <c r="I252" s="8" t="n">
        <v>3</v>
      </c>
      <c r="J252" s="8" t="n">
        <v>100</v>
      </c>
      <c r="K252" s="9">
        <f>IF(OR(E252="work",E252="section14_item"),I252*J252,0)</f>
        <v/>
      </c>
      <c r="L252" s="9">
        <f>IF(E252="material",I252*J252,IF(E252="section15_percent",I252/100*(SUMPRODUCT((E$2:E$5000="work")*(B$2:B$5000&lt;&gt;"14")*K$2:K$5000)+SUMPRODUCT((E$2:E$5000="material")*(B$2:B$5000&lt;&gt;"14")*L$2:L$5000)),IF(E252="section15_manual",J252,0)))</f>
        <v/>
      </c>
      <c r="M252" s="7" t="n"/>
    </row>
    <row r="253">
      <c r="A253" s="6" t="inlineStr">
        <is>
          <t>да</t>
        </is>
      </c>
      <c r="B253" s="6" t="inlineStr">
        <is>
          <t>5</t>
        </is>
      </c>
      <c r="C253" s="7" t="inlineStr">
        <is>
          <t>Покрытия.</t>
        </is>
      </c>
      <c r="D253" s="6" t="inlineStr">
        <is>
          <t>Тип П4. Пешеходное покрытие из отсева</t>
        </is>
      </c>
      <c r="E253" s="6" t="inlineStr">
        <is>
          <t>material</t>
        </is>
      </c>
      <c r="F253" s="6" t="n">
        <v>252</v>
      </c>
      <c r="G253" s="7" t="inlineStr">
        <is>
          <t>Песок намывной (самосвал 20м3)</t>
        </is>
      </c>
      <c r="H253" s="6" t="inlineStr">
        <is>
          <t>м.куб.</t>
        </is>
      </c>
      <c r="I253" s="8" t="n">
        <v>15</v>
      </c>
      <c r="J253" s="8" t="n">
        <v>100</v>
      </c>
      <c r="K253" s="9">
        <f>IF(OR(E253="work",E253="section14_item"),I253*J253,0)</f>
        <v/>
      </c>
      <c r="L253" s="9">
        <f>IF(E253="material",I253*J253,IF(E253="section15_percent",I253/100*(SUMPRODUCT((E$2:E$5000="work")*(B$2:B$5000&lt;&gt;"14")*K$2:K$5000)+SUMPRODUCT((E$2:E$5000="material")*(B$2:B$5000&lt;&gt;"14")*L$2:L$5000)),IF(E253="section15_manual",J253,0)))</f>
        <v/>
      </c>
      <c r="M253" s="7" t="n"/>
    </row>
    <row r="254">
      <c r="A254" s="2" t="inlineStr">
        <is>
          <t>да</t>
        </is>
      </c>
      <c r="B254" s="2" t="inlineStr">
        <is>
          <t>5</t>
        </is>
      </c>
      <c r="C254" s="3" t="inlineStr">
        <is>
          <t>Покрытия.</t>
        </is>
      </c>
      <c r="D254" s="2" t="inlineStr">
        <is>
          <t>Тип П4. Пешеходное покрытие из отсева</t>
        </is>
      </c>
      <c r="E254" s="2" t="inlineStr">
        <is>
          <t>work</t>
        </is>
      </c>
      <c r="F254" s="2" t="n">
        <v>253</v>
      </c>
      <c r="G254" s="3" t="inlineStr">
        <is>
          <t>Устройство покрытия из отсева толщ. 50мм</t>
        </is>
      </c>
      <c r="H254" s="2" t="inlineStr">
        <is>
          <t>м.кв.</t>
        </is>
      </c>
      <c r="I254" s="4" t="n">
        <v>105.4</v>
      </c>
      <c r="J254" s="4" t="n">
        <v>100</v>
      </c>
      <c r="K254" s="5">
        <f>IF(OR(E254="work",E254="section14_item"),I254*J254,0)</f>
        <v/>
      </c>
      <c r="L254" s="5">
        <f>IF(E254="material",I254*J254,IF(E254="section15_percent",I254/100*(SUMPRODUCT((E$2:E$5000="work")*(B$2:B$5000&lt;&gt;"14")*K$2:K$5000)+SUMPRODUCT((E$2:E$5000="material")*(B$2:B$5000&lt;&gt;"14")*L$2:L$5000)),IF(E254="section15_manual",J254,0)))</f>
        <v/>
      </c>
      <c r="M254" s="3" t="n"/>
    </row>
    <row r="255">
      <c r="A255" s="6" t="inlineStr">
        <is>
          <t>да</t>
        </is>
      </c>
      <c r="B255" s="6" t="inlineStr">
        <is>
          <t>5</t>
        </is>
      </c>
      <c r="C255" s="7" t="inlineStr">
        <is>
          <t>Покрытия.</t>
        </is>
      </c>
      <c r="D255" s="6" t="inlineStr">
        <is>
          <t>Тип П4. Пешеходное покрытие из отсева</t>
        </is>
      </c>
      <c r="E255" s="6" t="inlineStr">
        <is>
          <t>material</t>
        </is>
      </c>
      <c r="F255" s="6" t="n">
        <v>254</v>
      </c>
      <c r="G255" s="7" t="inlineStr">
        <is>
          <t>Отсев декоративный, 50кг</t>
        </is>
      </c>
      <c r="H255" s="6" t="inlineStr">
        <is>
          <t>меш.</t>
        </is>
      </c>
      <c r="I255" s="8" t="n">
        <v>192</v>
      </c>
      <c r="J255" s="8" t="n">
        <v>100</v>
      </c>
      <c r="K255" s="9">
        <f>IF(OR(E255="work",E255="section14_item"),I255*J255,0)</f>
        <v/>
      </c>
      <c r="L255" s="9">
        <f>IF(E255="material",I255*J255,IF(E255="section15_percent",I255/100*(SUMPRODUCT((E$2:E$5000="work")*(B$2:B$5000&lt;&gt;"14")*K$2:K$5000)+SUMPRODUCT((E$2:E$5000="material")*(B$2:B$5000&lt;&gt;"14")*L$2:L$5000)),IF(E255="section15_manual",J255,0)))</f>
        <v/>
      </c>
      <c r="M255" s="7" t="n"/>
    </row>
    <row r="256">
      <c r="A256" s="2" t="inlineStr">
        <is>
          <t>да</t>
        </is>
      </c>
      <c r="B256" s="2" t="inlineStr">
        <is>
          <t>5</t>
        </is>
      </c>
      <c r="C256" s="3" t="inlineStr">
        <is>
          <t>Покрытия.</t>
        </is>
      </c>
      <c r="D256" s="2" t="inlineStr">
        <is>
          <t>Тип П4. Пешеходное покрытие из отсева</t>
        </is>
      </c>
      <c r="E256" s="2" t="inlineStr">
        <is>
          <t>work</t>
        </is>
      </c>
      <c r="F256" s="2" t="n">
        <v>255</v>
      </c>
      <c r="G256" s="3" t="inlineStr">
        <is>
          <t>Устройство бордюра декоративного</t>
        </is>
      </c>
      <c r="H256" s="2" t="inlineStr">
        <is>
          <t>м.п.</t>
        </is>
      </c>
      <c r="I256" s="4" t="n">
        <v>250.6</v>
      </c>
      <c r="J256" s="4" t="n">
        <v>100</v>
      </c>
      <c r="K256" s="5">
        <f>IF(OR(E256="work",E256="section14_item"),I256*J256,0)</f>
        <v/>
      </c>
      <c r="L256" s="5">
        <f>IF(E256="material",I256*J256,IF(E256="section15_percent",I256/100*(SUMPRODUCT((E$2:E$5000="work")*(B$2:B$5000&lt;&gt;"14")*K$2:K$5000)+SUMPRODUCT((E$2:E$5000="material")*(B$2:B$5000&lt;&gt;"14")*L$2:L$5000)),IF(E256="section15_manual",J256,0)))</f>
        <v/>
      </c>
      <c r="M256" s="3" t="n"/>
    </row>
    <row r="257">
      <c r="A257" s="6" t="inlineStr">
        <is>
          <t>да</t>
        </is>
      </c>
      <c r="B257" s="6" t="inlineStr">
        <is>
          <t>5</t>
        </is>
      </c>
      <c r="C257" s="7" t="inlineStr">
        <is>
          <t>Покрытия.</t>
        </is>
      </c>
      <c r="D257" s="6" t="inlineStr">
        <is>
          <t>Тип П4. Пешеходное покрытие из отсева</t>
        </is>
      </c>
      <c r="E257" s="6" t="inlineStr">
        <is>
          <t>material</t>
        </is>
      </c>
      <c r="F257" s="6" t="n">
        <v>256</v>
      </c>
      <c r="G257" s="7" t="inlineStr">
        <is>
          <t>Бордюр Г-образный из нержавеющей стали с комплектующими</t>
        </is>
      </c>
      <c r="H257" s="6" t="inlineStr">
        <is>
          <t>м.п.</t>
        </is>
      </c>
      <c r="I257" s="8" t="n">
        <v>275.66</v>
      </c>
      <c r="J257" s="8" t="n">
        <v>100</v>
      </c>
      <c r="K257" s="9">
        <f>IF(OR(E257="work",E257="section14_item"),I257*J257,0)</f>
        <v/>
      </c>
      <c r="L257" s="9">
        <f>IF(E257="material",I257*J257,IF(E257="section15_percent",I257/100*(SUMPRODUCT((E$2:E$5000="work")*(B$2:B$5000&lt;&gt;"14")*K$2:K$5000)+SUMPRODUCT((E$2:E$5000="material")*(B$2:B$5000&lt;&gt;"14")*L$2:L$5000)),IF(E257="section15_manual",J257,0)))</f>
        <v/>
      </c>
      <c r="M257" s="7" t="n"/>
    </row>
    <row r="258">
      <c r="A258" s="2" t="inlineStr">
        <is>
          <t>да</t>
        </is>
      </c>
      <c r="B258" s="2" t="inlineStr">
        <is>
          <t>5</t>
        </is>
      </c>
      <c r="C258" s="3" t="inlineStr">
        <is>
          <t>Покрытия.</t>
        </is>
      </c>
      <c r="D258" s="2" t="inlineStr">
        <is>
          <t>Тип П4. Пешеходное покрытие из отсева</t>
        </is>
      </c>
      <c r="E258" s="2" t="inlineStr">
        <is>
          <t>work</t>
        </is>
      </c>
      <c r="F258" s="2" t="n">
        <v>257</v>
      </c>
      <c r="G258" s="3" t="inlineStr">
        <is>
          <t>Перемещение материалов для покрытия на расстояние до 100м вручную (с верхней в нижнюю часть)</t>
        </is>
      </c>
      <c r="H258" s="2" t="inlineStr">
        <is>
          <t>м.куб.</t>
        </is>
      </c>
      <c r="I258" s="4" t="n">
        <v>6.3767</v>
      </c>
      <c r="J258" s="4" t="n">
        <v>100</v>
      </c>
      <c r="K258" s="5">
        <f>IF(OR(E258="work",E258="section14_item"),I258*J258,0)</f>
        <v/>
      </c>
      <c r="L258" s="5">
        <f>IF(E258="material",I258*J258,IF(E258="section15_percent",I258/100*(SUMPRODUCT((E$2:E$5000="work")*(B$2:B$5000&lt;&gt;"14")*K$2:K$5000)+SUMPRODUCT((E$2:E$5000="material")*(B$2:B$5000&lt;&gt;"14")*L$2:L$5000)),IF(E258="section15_manual",J258,0)))</f>
        <v/>
      </c>
      <c r="M258" s="3" t="n"/>
    </row>
    <row r="259">
      <c r="A259" s="10" t="inlineStr">
        <is>
          <t>да</t>
        </is>
      </c>
      <c r="B259" s="10" t="inlineStr">
        <is>
          <t>5</t>
        </is>
      </c>
      <c r="C259" s="11" t="inlineStr">
        <is>
          <t>Покрытия.</t>
        </is>
      </c>
      <c r="D259" s="10" t="inlineStr"/>
      <c r="E259" s="10" t="inlineStr">
        <is>
          <t>subsection</t>
        </is>
      </c>
      <c r="F259" s="10" t="n">
        <v>258</v>
      </c>
      <c r="G259" s="11" t="inlineStr">
        <is>
          <t>Тип С. Спортивное покрытие</t>
        </is>
      </c>
      <c r="H259" s="10" t="inlineStr"/>
      <c r="I259" s="12" t="n"/>
      <c r="J259" s="12" t="n"/>
      <c r="K259" s="13">
        <f>IF(OR(E259="work",E259="section14_item"),I259*J259,0)</f>
        <v/>
      </c>
      <c r="L259" s="13">
        <f>IF(E259="material",I259*J259,IF(E259="section15_percent",I259/100*(SUMPRODUCT((E$2:E$5000="work")*(B$2:B$5000&lt;&gt;"14")*K$2:K$5000)+SUMPRODUCT((E$2:E$5000="material")*(B$2:B$5000&lt;&gt;"14")*L$2:L$5000)),IF(E259="section15_manual",J259,0)))</f>
        <v/>
      </c>
      <c r="M259" s="11" t="n"/>
    </row>
    <row r="260">
      <c r="A260" s="2" t="inlineStr">
        <is>
          <t>да</t>
        </is>
      </c>
      <c r="B260" s="2" t="inlineStr">
        <is>
          <t>5</t>
        </is>
      </c>
      <c r="C260" s="3" t="inlineStr">
        <is>
          <t>Покрытия.</t>
        </is>
      </c>
      <c r="D260" s="2" t="inlineStr">
        <is>
          <t>Тип С. Спортивное покрытие</t>
        </is>
      </c>
      <c r="E260" s="2" t="inlineStr">
        <is>
          <t>work</t>
        </is>
      </c>
      <c r="F260" s="2" t="n">
        <v>259</v>
      </c>
      <c r="G260" s="3" t="inlineStr">
        <is>
          <t>Устройство основания под покрытие из отсева</t>
        </is>
      </c>
      <c r="H260" s="2" t="inlineStr">
        <is>
          <t>м.кв.</t>
        </is>
      </c>
      <c r="I260" s="4" t="n">
        <v>32</v>
      </c>
      <c r="J260" s="4" t="n">
        <v>100</v>
      </c>
      <c r="K260" s="5">
        <f>IF(OR(E260="work",E260="section14_item"),I260*J260,0)</f>
        <v/>
      </c>
      <c r="L260" s="5">
        <f>IF(E260="material",I260*J260,IF(E260="section15_percent",I260/100*(SUMPRODUCT((E$2:E$5000="work")*(B$2:B$5000&lt;&gt;"14")*K$2:K$5000)+SUMPRODUCT((E$2:E$5000="material")*(B$2:B$5000&lt;&gt;"14")*L$2:L$5000)),IF(E260="section15_manual",J260,0)))</f>
        <v/>
      </c>
      <c r="M260" s="3" t="n"/>
    </row>
    <row r="261">
      <c r="A261" s="6" t="inlineStr">
        <is>
          <t>да</t>
        </is>
      </c>
      <c r="B261" s="6" t="inlineStr">
        <is>
          <t>5</t>
        </is>
      </c>
      <c r="C261" s="7" t="inlineStr">
        <is>
          <t>Покрытия.</t>
        </is>
      </c>
      <c r="D261" s="6" t="inlineStr">
        <is>
          <t>Тип С. Спортивное покрытие</t>
        </is>
      </c>
      <c r="E261" s="6" t="inlineStr">
        <is>
          <t>material</t>
        </is>
      </c>
      <c r="F261" s="6" t="n">
        <v>260</v>
      </c>
      <c r="G261" s="7" t="inlineStr">
        <is>
          <t>Геотекстиль Мегаизол, рулон 50м2</t>
        </is>
      </c>
      <c r="H261" s="6" t="inlineStr">
        <is>
          <t>рул.</t>
        </is>
      </c>
      <c r="I261" s="8" t="n">
        <v>1</v>
      </c>
      <c r="J261" s="8" t="n">
        <v>100</v>
      </c>
      <c r="K261" s="9">
        <f>IF(OR(E261="work",E261="section14_item"),I261*J261,0)</f>
        <v/>
      </c>
      <c r="L261" s="9">
        <f>IF(E261="material",I261*J261,IF(E261="section15_percent",I261/100*(SUMPRODUCT((E$2:E$5000="work")*(B$2:B$5000&lt;&gt;"14")*K$2:K$5000)+SUMPRODUCT((E$2:E$5000="material")*(B$2:B$5000&lt;&gt;"14")*L$2:L$5000)),IF(E261="section15_manual",J261,0)))</f>
        <v/>
      </c>
      <c r="M261" s="7" t="n"/>
    </row>
    <row r="262">
      <c r="A262" s="6" t="inlineStr">
        <is>
          <t>да</t>
        </is>
      </c>
      <c r="B262" s="6" t="inlineStr">
        <is>
          <t>5</t>
        </is>
      </c>
      <c r="C262" s="7" t="inlineStr">
        <is>
          <t>Покрытия.</t>
        </is>
      </c>
      <c r="D262" s="6" t="inlineStr">
        <is>
          <t>Тип С. Спортивное покрытие</t>
        </is>
      </c>
      <c r="E262" s="6" t="inlineStr">
        <is>
          <t>material</t>
        </is>
      </c>
      <c r="F262" s="6" t="n">
        <v>261</v>
      </c>
      <c r="G262" s="7" t="inlineStr">
        <is>
          <t>Песок намывной (самосвал 20м3)</t>
        </is>
      </c>
      <c r="H262" s="6" t="inlineStr">
        <is>
          <t>м.куб.</t>
        </is>
      </c>
      <c r="I262" s="8" t="n">
        <v>4</v>
      </c>
      <c r="J262" s="8" t="n">
        <v>100</v>
      </c>
      <c r="K262" s="9">
        <f>IF(OR(E262="work",E262="section14_item"),I262*J262,0)</f>
        <v/>
      </c>
      <c r="L262" s="9">
        <f>IF(E262="material",I262*J262,IF(E262="section15_percent",I262/100*(SUMPRODUCT((E$2:E$5000="work")*(B$2:B$5000&lt;&gt;"14")*K$2:K$5000)+SUMPRODUCT((E$2:E$5000="material")*(B$2:B$5000&lt;&gt;"14")*L$2:L$5000)),IF(E262="section15_manual",J262,0)))</f>
        <v/>
      </c>
      <c r="M262" s="7" t="n"/>
    </row>
    <row r="263">
      <c r="A263" s="2" t="inlineStr">
        <is>
          <t>да</t>
        </is>
      </c>
      <c r="B263" s="2" t="inlineStr">
        <is>
          <t>5</t>
        </is>
      </c>
      <c r="C263" s="3" t="inlineStr">
        <is>
          <t>Покрытия.</t>
        </is>
      </c>
      <c r="D263" s="2" t="inlineStr">
        <is>
          <t>Тип С. Спортивное покрытие</t>
        </is>
      </c>
      <c r="E263" s="2" t="inlineStr">
        <is>
          <t>work</t>
        </is>
      </c>
      <c r="F263" s="2" t="n">
        <v>262</v>
      </c>
      <c r="G263" s="3" t="inlineStr">
        <is>
          <t>Устройство покрытия из отсева толщ. 50мм</t>
        </is>
      </c>
      <c r="H263" s="2" t="inlineStr">
        <is>
          <t>м.кв.</t>
        </is>
      </c>
      <c r="I263" s="4" t="n">
        <v>30</v>
      </c>
      <c r="J263" s="4" t="n">
        <v>100</v>
      </c>
      <c r="K263" s="5">
        <f>IF(OR(E263="work",E263="section14_item"),I263*J263,0)</f>
        <v/>
      </c>
      <c r="L263" s="5">
        <f>IF(E263="material",I263*J263,IF(E263="section15_percent",I263/100*(SUMPRODUCT((E$2:E$5000="work")*(B$2:B$5000&lt;&gt;"14")*K$2:K$5000)+SUMPRODUCT((E$2:E$5000="material")*(B$2:B$5000&lt;&gt;"14")*L$2:L$5000)),IF(E263="section15_manual",J263,0)))</f>
        <v/>
      </c>
      <c r="M263" s="3" t="n"/>
    </row>
    <row r="264">
      <c r="A264" s="6" t="inlineStr">
        <is>
          <t>да</t>
        </is>
      </c>
      <c r="B264" s="6" t="inlineStr">
        <is>
          <t>5</t>
        </is>
      </c>
      <c r="C264" s="7" t="inlineStr">
        <is>
          <t>Покрытия.</t>
        </is>
      </c>
      <c r="D264" s="6" t="inlineStr">
        <is>
          <t>Тип С. Спортивное покрытие</t>
        </is>
      </c>
      <c r="E264" s="6" t="inlineStr">
        <is>
          <t>material</t>
        </is>
      </c>
      <c r="F264" s="6" t="n">
        <v>263</v>
      </c>
      <c r="G264" s="7" t="inlineStr">
        <is>
          <t>Отсев декоративный, 50кг</t>
        </is>
      </c>
      <c r="H264" s="6" t="inlineStr">
        <is>
          <t>меш.</t>
        </is>
      </c>
      <c r="I264" s="8" t="n">
        <v>55</v>
      </c>
      <c r="J264" s="8" t="n">
        <v>100</v>
      </c>
      <c r="K264" s="9">
        <f>IF(OR(E264="work",E264="section14_item"),I264*J264,0)</f>
        <v/>
      </c>
      <c r="L264" s="9">
        <f>IF(E264="material",I264*J264,IF(E264="section15_percent",I264/100*(SUMPRODUCT((E$2:E$5000="work")*(B$2:B$5000&lt;&gt;"14")*K$2:K$5000)+SUMPRODUCT((E$2:E$5000="material")*(B$2:B$5000&lt;&gt;"14")*L$2:L$5000)),IF(E264="section15_manual",J264,0)))</f>
        <v/>
      </c>
      <c r="M264" s="7" t="n"/>
    </row>
    <row r="265">
      <c r="A265" s="2" t="inlineStr">
        <is>
          <t>да</t>
        </is>
      </c>
      <c r="B265" s="2" t="inlineStr">
        <is>
          <t>5</t>
        </is>
      </c>
      <c r="C265" s="3" t="inlineStr">
        <is>
          <t>Покрытия.</t>
        </is>
      </c>
      <c r="D265" s="2" t="inlineStr">
        <is>
          <t>Тип С. Спортивное покрытие</t>
        </is>
      </c>
      <c r="E265" s="2" t="inlineStr">
        <is>
          <t>work</t>
        </is>
      </c>
      <c r="F265" s="2" t="n">
        <v>264</v>
      </c>
      <c r="G265" s="3" t="inlineStr">
        <is>
          <t>Устройство бордюра декоративного</t>
        </is>
      </c>
      <c r="H265" s="2" t="inlineStr">
        <is>
          <t>м.п.</t>
        </is>
      </c>
      <c r="I265" s="4" t="n">
        <v>19.8</v>
      </c>
      <c r="J265" s="4" t="n">
        <v>100</v>
      </c>
      <c r="K265" s="5">
        <f>IF(OR(E265="work",E265="section14_item"),I265*J265,0)</f>
        <v/>
      </c>
      <c r="L265" s="5">
        <f>IF(E265="material",I265*J265,IF(E265="section15_percent",I265/100*(SUMPRODUCT((E$2:E$5000="work")*(B$2:B$5000&lt;&gt;"14")*K$2:K$5000)+SUMPRODUCT((E$2:E$5000="material")*(B$2:B$5000&lt;&gt;"14")*L$2:L$5000)),IF(E265="section15_manual",J265,0)))</f>
        <v/>
      </c>
      <c r="M265" s="3" t="n"/>
    </row>
    <row r="266">
      <c r="A266" s="6" t="inlineStr">
        <is>
          <t>да</t>
        </is>
      </c>
      <c r="B266" s="6" t="inlineStr">
        <is>
          <t>5</t>
        </is>
      </c>
      <c r="C266" s="7" t="inlineStr">
        <is>
          <t>Покрытия.</t>
        </is>
      </c>
      <c r="D266" s="6" t="inlineStr">
        <is>
          <t>Тип С. Спортивное покрытие</t>
        </is>
      </c>
      <c r="E266" s="6" t="inlineStr">
        <is>
          <t>material</t>
        </is>
      </c>
      <c r="F266" s="6" t="n">
        <v>265</v>
      </c>
      <c r="G266" s="7" t="inlineStr">
        <is>
          <t>Бордюр Г-образный из нержавеющей стали с комплектующими</t>
        </is>
      </c>
      <c r="H266" s="6" t="inlineStr">
        <is>
          <t>м.п.</t>
        </is>
      </c>
      <c r="I266" s="8" t="n">
        <v>21.78</v>
      </c>
      <c r="J266" s="8" t="n">
        <v>100</v>
      </c>
      <c r="K266" s="9">
        <f>IF(OR(E266="work",E266="section14_item"),I266*J266,0)</f>
        <v/>
      </c>
      <c r="L266" s="9">
        <f>IF(E266="material",I266*J266,IF(E266="section15_percent",I266/100*(SUMPRODUCT((E$2:E$5000="work")*(B$2:B$5000&lt;&gt;"14")*K$2:K$5000)+SUMPRODUCT((E$2:E$5000="material")*(B$2:B$5000&lt;&gt;"14")*L$2:L$5000)),IF(E266="section15_manual",J266,0)))</f>
        <v/>
      </c>
      <c r="M266" s="7" t="n"/>
    </row>
    <row r="267">
      <c r="A267" s="2" t="inlineStr">
        <is>
          <t>да</t>
        </is>
      </c>
      <c r="B267" s="2" t="inlineStr">
        <is>
          <t>5</t>
        </is>
      </c>
      <c r="C267" s="3" t="inlineStr">
        <is>
          <t>Покрытия.</t>
        </is>
      </c>
      <c r="D267" s="2" t="inlineStr">
        <is>
          <t>Тип С. Спортивное покрытие</t>
        </is>
      </c>
      <c r="E267" s="2" t="inlineStr">
        <is>
          <t>work</t>
        </is>
      </c>
      <c r="F267" s="2" t="n">
        <v>266</v>
      </c>
      <c r="G267" s="3" t="inlineStr">
        <is>
          <t>Комплекс работ по устройству спортивного покрытия</t>
        </is>
      </c>
      <c r="H267" s="2" t="inlineStr">
        <is>
          <t>м.кв.</t>
        </is>
      </c>
      <c r="I267" s="4" t="n">
        <v>29</v>
      </c>
      <c r="J267" s="4" t="n">
        <v>100</v>
      </c>
      <c r="K267" s="5">
        <f>IF(OR(E267="work",E267="section14_item"),I267*J267,0)</f>
        <v/>
      </c>
      <c r="L267" s="5">
        <f>IF(E267="material",I267*J267,IF(E267="section15_percent",I267/100*(SUMPRODUCT((E$2:E$5000="work")*(B$2:B$5000&lt;&gt;"14")*K$2:K$5000)+SUMPRODUCT((E$2:E$5000="material")*(B$2:B$5000&lt;&gt;"14")*L$2:L$5000)),IF(E267="section15_manual",J267,0)))</f>
        <v/>
      </c>
      <c r="M267" s="3" t="n"/>
    </row>
    <row r="268">
      <c r="A268" s="6" t="inlineStr">
        <is>
          <t>да</t>
        </is>
      </c>
      <c r="B268" s="6" t="inlineStr">
        <is>
          <t>5</t>
        </is>
      </c>
      <c r="C268" s="7" t="inlineStr">
        <is>
          <t>Покрытия.</t>
        </is>
      </c>
      <c r="D268" s="6" t="inlineStr">
        <is>
          <t>Тип С. Спортивное покрытие</t>
        </is>
      </c>
      <c r="E268" s="6" t="inlineStr">
        <is>
          <t>material</t>
        </is>
      </c>
      <c r="F268" s="6" t="n">
        <v>267</v>
      </c>
      <c r="G268" s="7" t="inlineStr">
        <is>
          <t>Спортивное покрытие (однослойное ударопоглащающее на однокомпонентном полиуретановом связующем толщиной 30мм Rubber Mulch)</t>
        </is>
      </c>
      <c r="H268" s="6" t="inlineStr">
        <is>
          <t>м.кв.</t>
        </is>
      </c>
      <c r="I268" s="8" t="n">
        <v>29</v>
      </c>
      <c r="J268" s="8" t="n">
        <v>100</v>
      </c>
      <c r="K268" s="9">
        <f>IF(OR(E268="work",E268="section14_item"),I268*J268,0)</f>
        <v/>
      </c>
      <c r="L268" s="9">
        <f>IF(E268="material",I268*J268,IF(E268="section15_percent",I268/100*(SUMPRODUCT((E$2:E$5000="work")*(B$2:B$5000&lt;&gt;"14")*K$2:K$5000)+SUMPRODUCT((E$2:E$5000="material")*(B$2:B$5000&lt;&gt;"14")*L$2:L$5000)),IF(E268="section15_manual",J268,0)))</f>
        <v/>
      </c>
      <c r="M268" s="7" t="n"/>
    </row>
    <row r="269">
      <c r="A269" s="2" t="inlineStr">
        <is>
          <t>да</t>
        </is>
      </c>
      <c r="B269" s="2" t="inlineStr">
        <is>
          <t>5</t>
        </is>
      </c>
      <c r="C269" s="3" t="inlineStr">
        <is>
          <t>Покрытия.</t>
        </is>
      </c>
      <c r="D269" s="2" t="inlineStr">
        <is>
          <t>Тип С. Спортивное покрытие</t>
        </is>
      </c>
      <c r="E269" s="2" t="inlineStr">
        <is>
          <t>work</t>
        </is>
      </c>
      <c r="F269" s="2" t="n">
        <v>268</v>
      </c>
      <c r="G269" s="3" t="inlineStr">
        <is>
          <t>Перемещение материалов для покрытия на расстояние до 100м вручную (с верхней в нижнюю часть)</t>
        </is>
      </c>
      <c r="H269" s="2" t="inlineStr">
        <is>
          <t>м.куб.</t>
        </is>
      </c>
      <c r="I269" s="4" t="n">
        <v>1.95</v>
      </c>
      <c r="J269" s="4" t="n">
        <v>100</v>
      </c>
      <c r="K269" s="5">
        <f>IF(OR(E269="work",E269="section14_item"),I269*J269,0)</f>
        <v/>
      </c>
      <c r="L269" s="5">
        <f>IF(E269="material",I269*J269,IF(E269="section15_percent",I269/100*(SUMPRODUCT((E$2:E$5000="work")*(B$2:B$5000&lt;&gt;"14")*K$2:K$5000)+SUMPRODUCT((E$2:E$5000="material")*(B$2:B$5000&lt;&gt;"14")*L$2:L$5000)),IF(E269="section15_manual",J269,0)))</f>
        <v/>
      </c>
      <c r="M269" s="3" t="n"/>
    </row>
    <row r="270">
      <c r="A270" s="10" t="inlineStr">
        <is>
          <t>да</t>
        </is>
      </c>
      <c r="B270" s="10" t="inlineStr">
        <is>
          <t>6</t>
        </is>
      </c>
      <c r="C270" s="11" t="inlineStr">
        <is>
          <t>Лестница в нижнюю часть участка</t>
        </is>
      </c>
      <c r="D270" s="10" t="inlineStr"/>
      <c r="E270" s="10" t="inlineStr">
        <is>
          <t>subsection</t>
        </is>
      </c>
      <c r="F270" s="10" t="n">
        <v>269</v>
      </c>
      <c r="G270" s="11" t="inlineStr">
        <is>
          <t>Ступени гранитные</t>
        </is>
      </c>
      <c r="H270" s="10" t="inlineStr"/>
      <c r="I270" s="12" t="n"/>
      <c r="J270" s="12" t="n"/>
      <c r="K270" s="13">
        <f>IF(OR(E270="work",E270="section14_item"),I270*J270,0)</f>
        <v/>
      </c>
      <c r="L270" s="13">
        <f>IF(E270="material",I270*J270,IF(E270="section15_percent",I270/100*(SUMPRODUCT((E$2:E$5000="work")*(B$2:B$5000&lt;&gt;"14")*K$2:K$5000)+SUMPRODUCT((E$2:E$5000="material")*(B$2:B$5000&lt;&gt;"14")*L$2:L$5000)),IF(E270="section15_manual",J270,0)))</f>
        <v/>
      </c>
      <c r="M270" s="11" t="n"/>
    </row>
    <row r="271">
      <c r="A271" s="2" t="inlineStr">
        <is>
          <t>да</t>
        </is>
      </c>
      <c r="B271" s="2" t="inlineStr">
        <is>
          <t>6</t>
        </is>
      </c>
      <c r="C271" s="3" t="inlineStr">
        <is>
          <t>Лестница в нижнюю часть участка</t>
        </is>
      </c>
      <c r="D271" s="2" t="inlineStr">
        <is>
          <t>Ступени гранитные</t>
        </is>
      </c>
      <c r="E271" s="2" t="inlineStr">
        <is>
          <t>work</t>
        </is>
      </c>
      <c r="F271" s="2" t="n">
        <v>270</v>
      </c>
      <c r="G271" s="3" t="inlineStr">
        <is>
          <t>Устройство фундаментов из свай для гранитных плит</t>
        </is>
      </c>
      <c r="H271" s="2" t="inlineStr">
        <is>
          <t>шт.</t>
        </is>
      </c>
      <c r="I271" s="4" t="n">
        <v>24</v>
      </c>
      <c r="J271" s="4" t="n">
        <v>100</v>
      </c>
      <c r="K271" s="5">
        <f>IF(OR(E271="work",E271="section14_item"),I271*J271,0)</f>
        <v/>
      </c>
      <c r="L271" s="5">
        <f>IF(E271="material",I271*J271,IF(E271="section15_percent",I271/100*(SUMPRODUCT((E$2:E$5000="work")*(B$2:B$5000&lt;&gt;"14")*K$2:K$5000)+SUMPRODUCT((E$2:E$5000="material")*(B$2:B$5000&lt;&gt;"14")*L$2:L$5000)),IF(E271="section15_manual",J271,0)))</f>
        <v/>
      </c>
      <c r="M271" s="3" t="n"/>
    </row>
    <row r="272">
      <c r="A272" s="6" t="inlineStr">
        <is>
          <t>да</t>
        </is>
      </c>
      <c r="B272" s="6" t="inlineStr">
        <is>
          <t>6</t>
        </is>
      </c>
      <c r="C272" s="7" t="inlineStr">
        <is>
          <t>Лестница в нижнюю часть участка</t>
        </is>
      </c>
      <c r="D272" s="6" t="inlineStr">
        <is>
          <t>Ступени гранитные</t>
        </is>
      </c>
      <c r="E272" s="6" t="inlineStr">
        <is>
          <t>material</t>
        </is>
      </c>
      <c r="F272" s="6" t="n">
        <v>271</v>
      </c>
      <c r="G272" s="7" t="inlineStr">
        <is>
          <t>Сваи d=76мм h=2м, оголовник усиленный, прочие материалы для монтажа</t>
        </is>
      </c>
      <c r="H272" s="6" t="inlineStr">
        <is>
          <t>шт.</t>
        </is>
      </c>
      <c r="I272" s="8" t="n">
        <v>24</v>
      </c>
      <c r="J272" s="8" t="n">
        <v>100</v>
      </c>
      <c r="K272" s="9">
        <f>IF(OR(E272="work",E272="section14_item"),I272*J272,0)</f>
        <v/>
      </c>
      <c r="L272" s="9">
        <f>IF(E272="material",I272*J272,IF(E272="section15_percent",I272/100*(SUMPRODUCT((E$2:E$5000="work")*(B$2:B$5000&lt;&gt;"14")*K$2:K$5000)+SUMPRODUCT((E$2:E$5000="material")*(B$2:B$5000&lt;&gt;"14")*L$2:L$5000)),IF(E272="section15_manual",J272,0)))</f>
        <v/>
      </c>
      <c r="M272" s="7" t="n"/>
    </row>
    <row r="273">
      <c r="A273" s="2" t="inlineStr">
        <is>
          <t>да</t>
        </is>
      </c>
      <c r="B273" s="2" t="inlineStr">
        <is>
          <t>6</t>
        </is>
      </c>
      <c r="C273" s="3" t="inlineStr">
        <is>
          <t>Лестница в нижнюю часть участка</t>
        </is>
      </c>
      <c r="D273" s="2" t="inlineStr">
        <is>
          <t>Ступени гранитные</t>
        </is>
      </c>
      <c r="E273" s="2" t="inlineStr">
        <is>
          <t>work</t>
        </is>
      </c>
      <c r="F273" s="2" t="n">
        <v>272</v>
      </c>
      <c r="G273" s="3" t="inlineStr">
        <is>
          <t>Изготовление металлокаркаса для укладки гранитных плит</t>
        </is>
      </c>
      <c r="H273" s="2" t="inlineStr">
        <is>
          <t>т</t>
        </is>
      </c>
      <c r="I273" s="4" t="n">
        <v>1.95</v>
      </c>
      <c r="J273" s="4" t="n">
        <v>100</v>
      </c>
      <c r="K273" s="5">
        <f>IF(OR(E273="work",E273="section14_item"),I273*J273,0)</f>
        <v/>
      </c>
      <c r="L273" s="5">
        <f>IF(E273="material",I273*J273,IF(E273="section15_percent",I273/100*(SUMPRODUCT((E$2:E$5000="work")*(B$2:B$5000&lt;&gt;"14")*K$2:K$5000)+SUMPRODUCT((E$2:E$5000="material")*(B$2:B$5000&lt;&gt;"14")*L$2:L$5000)),IF(E273="section15_manual",J273,0)))</f>
        <v/>
      </c>
      <c r="M273" s="3" t="n"/>
    </row>
    <row r="274">
      <c r="A274" s="2" t="inlineStr">
        <is>
          <t>да</t>
        </is>
      </c>
      <c r="B274" s="2" t="inlineStr">
        <is>
          <t>6</t>
        </is>
      </c>
      <c r="C274" s="3" t="inlineStr">
        <is>
          <t>Лестница в нижнюю часть участка</t>
        </is>
      </c>
      <c r="D274" s="2" t="inlineStr">
        <is>
          <t>Ступени гранитные</t>
        </is>
      </c>
      <c r="E274" s="2" t="inlineStr">
        <is>
          <t>work</t>
        </is>
      </c>
      <c r="F274" s="2" t="n">
        <v>273</v>
      </c>
      <c r="G274" s="3" t="inlineStr">
        <is>
          <t>Установка металлокаркаса для укладки гранитных плит</t>
        </is>
      </c>
      <c r="H274" s="2" t="inlineStr">
        <is>
          <t>т</t>
        </is>
      </c>
      <c r="I274" s="4" t="n">
        <v>1.95</v>
      </c>
      <c r="J274" s="4" t="n">
        <v>100</v>
      </c>
      <c r="K274" s="5">
        <f>IF(OR(E274="work",E274="section14_item"),I274*J274,0)</f>
        <v/>
      </c>
      <c r="L274" s="5">
        <f>IF(E274="material",I274*J274,IF(E274="section15_percent",I274/100*(SUMPRODUCT((E$2:E$5000="work")*(B$2:B$5000&lt;&gt;"14")*K$2:K$5000)+SUMPRODUCT((E$2:E$5000="material")*(B$2:B$5000&lt;&gt;"14")*L$2:L$5000)),IF(E274="section15_manual",J274,0)))</f>
        <v/>
      </c>
      <c r="M274" s="3" t="n"/>
    </row>
    <row r="275">
      <c r="A275" s="6" t="inlineStr">
        <is>
          <t>да</t>
        </is>
      </c>
      <c r="B275" s="6" t="inlineStr">
        <is>
          <t>6</t>
        </is>
      </c>
      <c r="C275" s="7" t="inlineStr">
        <is>
          <t>Лестница в нижнюю часть участка</t>
        </is>
      </c>
      <c r="D275" s="6" t="inlineStr">
        <is>
          <t>Ступени гранитные</t>
        </is>
      </c>
      <c r="E275" s="6" t="inlineStr">
        <is>
          <t>material</t>
        </is>
      </c>
      <c r="F275" s="6" t="n">
        <v>274</v>
      </c>
      <c r="G275" s="7" t="inlineStr">
        <is>
          <t>Металлические конструкции каркаса из уголка равнополочного 50*50*4мм, трубы профильной 80*60*4мм, трубы профильной 60*30*4мм, трубы профильной 40*20*2,5мм</t>
        </is>
      </c>
      <c r="H275" s="6" t="inlineStr">
        <is>
          <t>т</t>
        </is>
      </c>
      <c r="I275" s="8" t="n">
        <v>2.145</v>
      </c>
      <c r="J275" s="8" t="n">
        <v>100</v>
      </c>
      <c r="K275" s="9">
        <f>IF(OR(E275="work",E275="section14_item"),I275*J275,0)</f>
        <v/>
      </c>
      <c r="L275" s="9">
        <f>IF(E275="material",I275*J275,IF(E275="section15_percent",I275/100*(SUMPRODUCT((E$2:E$5000="work")*(B$2:B$5000&lt;&gt;"14")*K$2:K$5000)+SUMPRODUCT((E$2:E$5000="material")*(B$2:B$5000&lt;&gt;"14")*L$2:L$5000)),IF(E275="section15_manual",J275,0)))</f>
        <v/>
      </c>
      <c r="M275" s="7" t="n"/>
    </row>
    <row r="276">
      <c r="A276" s="6" t="inlineStr">
        <is>
          <t>да</t>
        </is>
      </c>
      <c r="B276" s="6" t="inlineStr">
        <is>
          <t>6</t>
        </is>
      </c>
      <c r="C276" s="7" t="inlineStr">
        <is>
          <t>Лестница в нижнюю часть участка</t>
        </is>
      </c>
      <c r="D276" s="6" t="inlineStr">
        <is>
          <t>Ступени гранитные</t>
        </is>
      </c>
      <c r="E276" s="6" t="inlineStr">
        <is>
          <t>material</t>
        </is>
      </c>
      <c r="F276" s="6" t="n">
        <v>275</v>
      </c>
      <c r="G276" s="7" t="inlineStr">
        <is>
          <t>Грунт ГФ-021 серый, диски, электроды</t>
        </is>
      </c>
      <c r="H276" s="6" t="inlineStr">
        <is>
          <t>компл.</t>
        </is>
      </c>
      <c r="I276" s="8" t="n">
        <v>1</v>
      </c>
      <c r="J276" s="8" t="n">
        <v>100</v>
      </c>
      <c r="K276" s="9">
        <f>IF(OR(E276="work",E276="section14_item"),I276*J276,0)</f>
        <v/>
      </c>
      <c r="L276" s="9">
        <f>IF(E276="material",I276*J276,IF(E276="section15_percent",I276/100*(SUMPRODUCT((E$2:E$5000="work")*(B$2:B$5000&lt;&gt;"14")*K$2:K$5000)+SUMPRODUCT((E$2:E$5000="material")*(B$2:B$5000&lt;&gt;"14")*L$2:L$5000)),IF(E276="section15_manual",J276,0)))</f>
        <v/>
      </c>
      <c r="M276" s="7" t="n"/>
    </row>
    <row r="277">
      <c r="A277" s="2" t="inlineStr">
        <is>
          <t>да</t>
        </is>
      </c>
      <c r="B277" s="2" t="inlineStr">
        <is>
          <t>6</t>
        </is>
      </c>
      <c r="C277" s="3" t="inlineStr">
        <is>
          <t>Лестница в нижнюю часть участка</t>
        </is>
      </c>
      <c r="D277" s="2" t="inlineStr">
        <is>
          <t>Ступени гранитные</t>
        </is>
      </c>
      <c r="E277" s="2" t="inlineStr">
        <is>
          <t>work</t>
        </is>
      </c>
      <c r="F277" s="2" t="n">
        <v>276</v>
      </c>
      <c r="G277" s="3" t="inlineStr">
        <is>
          <t>Установка гранитных плит (термообработанные 5 сторон толщ. 80мм Габбро) на металлокаркас</t>
        </is>
      </c>
      <c r="H277" s="2" t="inlineStr">
        <is>
          <t>шт.</t>
        </is>
      </c>
      <c r="I277" s="4" t="n">
        <v>50</v>
      </c>
      <c r="J277" s="4" t="n">
        <v>100</v>
      </c>
      <c r="K277" s="5">
        <f>IF(OR(E277="work",E277="section14_item"),I277*J277,0)</f>
        <v/>
      </c>
      <c r="L277" s="5">
        <f>IF(E277="material",I277*J277,IF(E277="section15_percent",I277/100*(SUMPRODUCT((E$2:E$5000="work")*(B$2:B$5000&lt;&gt;"14")*K$2:K$5000)+SUMPRODUCT((E$2:E$5000="material")*(B$2:B$5000&lt;&gt;"14")*L$2:L$5000)),IF(E277="section15_manual",J277,0)))</f>
        <v/>
      </c>
      <c r="M277" s="3" t="n"/>
    </row>
    <row r="278">
      <c r="A278" s="10" t="inlineStr">
        <is>
          <t>да</t>
        </is>
      </c>
      <c r="B278" s="10" t="inlineStr">
        <is>
          <t>6</t>
        </is>
      </c>
      <c r="C278" s="11" t="inlineStr">
        <is>
          <t>Лестница в нижнюю часть участка</t>
        </is>
      </c>
      <c r="D278" s="10" t="inlineStr"/>
      <c r="E278" s="10" t="inlineStr">
        <is>
          <t>subsection</t>
        </is>
      </c>
      <c r="F278" s="10" t="n">
        <v>277</v>
      </c>
      <c r="G278" s="11" t="inlineStr">
        <is>
          <t>Настил из ДПК</t>
        </is>
      </c>
      <c r="H278" s="10" t="inlineStr"/>
      <c r="I278" s="12" t="n"/>
      <c r="J278" s="12" t="n"/>
      <c r="K278" s="13">
        <f>IF(OR(E278="work",E278="section14_item"),I278*J278,0)</f>
        <v/>
      </c>
      <c r="L278" s="13">
        <f>IF(E278="material",I278*J278,IF(E278="section15_percent",I278/100*(SUMPRODUCT((E$2:E$5000="work")*(B$2:B$5000&lt;&gt;"14")*K$2:K$5000)+SUMPRODUCT((E$2:E$5000="material")*(B$2:B$5000&lt;&gt;"14")*L$2:L$5000)),IF(E278="section15_manual",J278,0)))</f>
        <v/>
      </c>
      <c r="M278" s="11" t="n"/>
    </row>
    <row r="279">
      <c r="A279" s="2" t="inlineStr">
        <is>
          <t>да</t>
        </is>
      </c>
      <c r="B279" s="2" t="inlineStr">
        <is>
          <t>6</t>
        </is>
      </c>
      <c r="C279" s="3" t="inlineStr">
        <is>
          <t>Лестница в нижнюю часть участка</t>
        </is>
      </c>
      <c r="D279" s="2" t="inlineStr">
        <is>
          <t>Настил из ДПК</t>
        </is>
      </c>
      <c r="E279" s="2" t="inlineStr">
        <is>
          <t>work</t>
        </is>
      </c>
      <c r="F279" s="2" t="n">
        <v>278</v>
      </c>
      <c r="G279" s="3" t="inlineStr">
        <is>
          <t>Устройство фундаментов из свай для настилов из ДПК</t>
        </is>
      </c>
      <c r="H279" s="2" t="inlineStr">
        <is>
          <t>шт.</t>
        </is>
      </c>
      <c r="I279" s="4" t="n">
        <v>33</v>
      </c>
      <c r="J279" s="4" t="n">
        <v>100</v>
      </c>
      <c r="K279" s="5">
        <f>IF(OR(E279="work",E279="section14_item"),I279*J279,0)</f>
        <v/>
      </c>
      <c r="L279" s="5">
        <f>IF(E279="material",I279*J279,IF(E279="section15_percent",I279/100*(SUMPRODUCT((E$2:E$5000="work")*(B$2:B$5000&lt;&gt;"14")*K$2:K$5000)+SUMPRODUCT((E$2:E$5000="material")*(B$2:B$5000&lt;&gt;"14")*L$2:L$5000)),IF(E279="section15_manual",J279,0)))</f>
        <v/>
      </c>
      <c r="M279" s="3" t="n"/>
    </row>
    <row r="280">
      <c r="A280" s="6" t="inlineStr">
        <is>
          <t>да</t>
        </is>
      </c>
      <c r="B280" s="6" t="inlineStr">
        <is>
          <t>6</t>
        </is>
      </c>
      <c r="C280" s="7" t="inlineStr">
        <is>
          <t>Лестница в нижнюю часть участка</t>
        </is>
      </c>
      <c r="D280" s="6" t="inlineStr">
        <is>
          <t>Настил из ДПК</t>
        </is>
      </c>
      <c r="E280" s="6" t="inlineStr">
        <is>
          <t>material</t>
        </is>
      </c>
      <c r="F280" s="6" t="n">
        <v>279</v>
      </c>
      <c r="G280" s="7" t="inlineStr">
        <is>
          <t>Сваи d=76мм h=2м, оголовник усиленный, прочие материалы для монтажа</t>
        </is>
      </c>
      <c r="H280" s="6" t="inlineStr">
        <is>
          <t>шт.</t>
        </is>
      </c>
      <c r="I280" s="8" t="n">
        <v>33</v>
      </c>
      <c r="J280" s="8" t="n">
        <v>100</v>
      </c>
      <c r="K280" s="9">
        <f>IF(OR(E280="work",E280="section14_item"),I280*J280,0)</f>
        <v/>
      </c>
      <c r="L280" s="9">
        <f>IF(E280="material",I280*J280,IF(E280="section15_percent",I280/100*(SUMPRODUCT((E$2:E$5000="work")*(B$2:B$5000&lt;&gt;"14")*K$2:K$5000)+SUMPRODUCT((E$2:E$5000="material")*(B$2:B$5000&lt;&gt;"14")*L$2:L$5000)),IF(E280="section15_manual",J280,0)))</f>
        <v/>
      </c>
      <c r="M280" s="7" t="n"/>
    </row>
    <row r="281">
      <c r="A281" s="2" t="inlineStr">
        <is>
          <t>да</t>
        </is>
      </c>
      <c r="B281" s="2" t="inlineStr">
        <is>
          <t>6</t>
        </is>
      </c>
      <c r="C281" s="3" t="inlineStr">
        <is>
          <t>Лестница в нижнюю часть участка</t>
        </is>
      </c>
      <c r="D281" s="2" t="inlineStr">
        <is>
          <t>Настил из ДПК</t>
        </is>
      </c>
      <c r="E281" s="2" t="inlineStr">
        <is>
          <t>work</t>
        </is>
      </c>
      <c r="F281" s="2" t="n">
        <v>280</v>
      </c>
      <c r="G281" s="3" t="inlineStr">
        <is>
          <t>Комплекс работ по устройству настилов из палубной доски - ДПК (монтаж одинарного каркаса, монтаж террасной доски)</t>
        </is>
      </c>
      <c r="H281" s="2" t="inlineStr">
        <is>
          <t>м.кв.</t>
        </is>
      </c>
      <c r="I281" s="4" t="n">
        <v>16.6</v>
      </c>
      <c r="J281" s="4" t="n">
        <v>100</v>
      </c>
      <c r="K281" s="5">
        <f>IF(OR(E281="work",E281="section14_item"),I281*J281,0)</f>
        <v/>
      </c>
      <c r="L281" s="5">
        <f>IF(E281="material",I281*J281,IF(E281="section15_percent",I281/100*(SUMPRODUCT((E$2:E$5000="work")*(B$2:B$5000&lt;&gt;"14")*K$2:K$5000)+SUMPRODUCT((E$2:E$5000="material")*(B$2:B$5000&lt;&gt;"14")*L$2:L$5000)),IF(E281="section15_manual",J281,0)))</f>
        <v/>
      </c>
      <c r="M281" s="3" t="n"/>
    </row>
    <row r="282">
      <c r="A282" s="2" t="inlineStr">
        <is>
          <t>да</t>
        </is>
      </c>
      <c r="B282" s="2" t="inlineStr">
        <is>
          <t>6</t>
        </is>
      </c>
      <c r="C282" s="3" t="inlineStr">
        <is>
          <t>Лестница в нижнюю часть участка</t>
        </is>
      </c>
      <c r="D282" s="2" t="inlineStr">
        <is>
          <t>Настил из ДПК</t>
        </is>
      </c>
      <c r="E282" s="2" t="inlineStr">
        <is>
          <t>work</t>
        </is>
      </c>
      <c r="F282" s="2" t="n">
        <v>281</v>
      </c>
      <c r="G282" s="3" t="inlineStr">
        <is>
          <t>Комплекс работ по зашивке торцов из палубной доски - ДПК (монтаж одинарного каркаса, монтаж террасной доски) глубина до 150мм</t>
        </is>
      </c>
      <c r="H282" s="2" t="inlineStr">
        <is>
          <t>м.кв.</t>
        </is>
      </c>
      <c r="I282" s="4" t="n">
        <v>28.9</v>
      </c>
      <c r="J282" s="4" t="n">
        <v>100</v>
      </c>
      <c r="K282" s="5">
        <f>IF(OR(E282="work",E282="section14_item"),I282*J282,0)</f>
        <v/>
      </c>
      <c r="L282" s="5">
        <f>IF(E282="material",I282*J282,IF(E282="section15_percent",I282/100*(SUMPRODUCT((E$2:E$5000="work")*(B$2:B$5000&lt;&gt;"14")*K$2:K$5000)+SUMPRODUCT((E$2:E$5000="material")*(B$2:B$5000&lt;&gt;"14")*L$2:L$5000)),IF(E282="section15_manual",J282,0)))</f>
        <v/>
      </c>
      <c r="M282" s="3" t="n"/>
    </row>
    <row r="283">
      <c r="A283" s="6" t="inlineStr">
        <is>
          <t>да</t>
        </is>
      </c>
      <c r="B283" s="6" t="inlineStr">
        <is>
          <t>6</t>
        </is>
      </c>
      <c r="C283" s="7" t="inlineStr">
        <is>
          <t>Лестница в нижнюю часть участка</t>
        </is>
      </c>
      <c r="D283" s="6" t="inlineStr">
        <is>
          <t>Настил из ДПК</t>
        </is>
      </c>
      <c r="E283" s="6" t="inlineStr">
        <is>
          <t>material</t>
        </is>
      </c>
      <c r="F283" s="6" t="n">
        <v>282</v>
      </c>
      <c r="G283" s="7" t="inlineStr">
        <is>
          <t>Сопутствующие материалы, крепеж, антисептик, унифлекс</t>
        </is>
      </c>
      <c r="H283" s="6" t="inlineStr">
        <is>
          <t>м.кв.</t>
        </is>
      </c>
      <c r="I283" s="8" t="n">
        <v>22.71</v>
      </c>
      <c r="J283" s="8" t="n">
        <v>100</v>
      </c>
      <c r="K283" s="9">
        <f>IF(OR(E283="work",E283="section14_item"),I283*J283,0)</f>
        <v/>
      </c>
      <c r="L283" s="9">
        <f>IF(E283="material",I283*J283,IF(E283="section15_percent",I283/100*(SUMPRODUCT((E$2:E$5000="work")*(B$2:B$5000&lt;&gt;"14")*K$2:K$5000)+SUMPRODUCT((E$2:E$5000="material")*(B$2:B$5000&lt;&gt;"14")*L$2:L$5000)),IF(E283="section15_manual",J283,0)))</f>
        <v/>
      </c>
      <c r="M283" s="7" t="n"/>
    </row>
    <row r="284">
      <c r="A284" s="6" t="inlineStr">
        <is>
          <t>да</t>
        </is>
      </c>
      <c r="B284" s="6" t="inlineStr">
        <is>
          <t>6</t>
        </is>
      </c>
      <c r="C284" s="7" t="inlineStr">
        <is>
          <t>Лестница в нижнюю часть участка</t>
        </is>
      </c>
      <c r="D284" s="6" t="inlineStr">
        <is>
          <t>Настил из ДПК</t>
        </is>
      </c>
      <c r="E284" s="6" t="inlineStr">
        <is>
          <t>material</t>
        </is>
      </c>
      <c r="F284" s="6" t="n">
        <v>283</v>
      </c>
      <c r="G284" s="7" t="inlineStr">
        <is>
          <t>Доска Bruggan Multicolor Cedar (140*19*3000мм) ДПК</t>
        </is>
      </c>
      <c r="H284" s="6" t="inlineStr">
        <is>
          <t>м.кв.</t>
        </is>
      </c>
      <c r="I284" s="8" t="n">
        <v>22.71</v>
      </c>
      <c r="J284" s="8" t="n">
        <v>100</v>
      </c>
      <c r="K284" s="9">
        <f>IF(OR(E284="work",E284="section14_item"),I284*J284,0)</f>
        <v/>
      </c>
      <c r="L284" s="9">
        <f>IF(E284="material",I284*J284,IF(E284="section15_percent",I284/100*(SUMPRODUCT((E$2:E$5000="work")*(B$2:B$5000&lt;&gt;"14")*K$2:K$5000)+SUMPRODUCT((E$2:E$5000="material")*(B$2:B$5000&lt;&gt;"14")*L$2:L$5000)),IF(E284="section15_manual",J284,0)))</f>
        <v/>
      </c>
      <c r="M284" s="7" t="n"/>
    </row>
    <row r="285">
      <c r="A285" s="6" t="inlineStr">
        <is>
          <t>да</t>
        </is>
      </c>
      <c r="B285" s="6" t="inlineStr">
        <is>
          <t>6</t>
        </is>
      </c>
      <c r="C285" s="7" t="inlineStr">
        <is>
          <t>Лестница в нижнюю часть участка</t>
        </is>
      </c>
      <c r="D285" s="6" t="inlineStr">
        <is>
          <t>Настил из ДПК</t>
        </is>
      </c>
      <c r="E285" s="6" t="inlineStr">
        <is>
          <t>material</t>
        </is>
      </c>
      <c r="F285" s="6" t="n">
        <v>284</v>
      </c>
      <c r="G285" s="7" t="inlineStr">
        <is>
          <t>Доска 145*45мм сухая строганая импрегнированная</t>
        </is>
      </c>
      <c r="H285" s="6" t="inlineStr">
        <is>
          <t>м.куб.</t>
        </is>
      </c>
      <c r="I285" s="8" t="n">
        <v>1.5</v>
      </c>
      <c r="J285" s="8" t="n">
        <v>100</v>
      </c>
      <c r="K285" s="9">
        <f>IF(OR(E285="work",E285="section14_item"),I285*J285,0)</f>
        <v/>
      </c>
      <c r="L285" s="9">
        <f>IF(E285="material",I285*J285,IF(E285="section15_percent",I285/100*(SUMPRODUCT((E$2:E$5000="work")*(B$2:B$5000&lt;&gt;"14")*K$2:K$5000)+SUMPRODUCT((E$2:E$5000="material")*(B$2:B$5000&lt;&gt;"14")*L$2:L$5000)),IF(E285="section15_manual",J285,0)))</f>
        <v/>
      </c>
      <c r="M285" s="7" t="n"/>
    </row>
    <row r="286">
      <c r="A286" s="2" t="inlineStr">
        <is>
          <t>да</t>
        </is>
      </c>
      <c r="B286" s="2" t="inlineStr">
        <is>
          <t>7</t>
        </is>
      </c>
      <c r="C286" s="3" t="inlineStr">
        <is>
          <t>Террасные настилы.</t>
        </is>
      </c>
      <c r="D286" s="2" t="inlineStr"/>
      <c r="E286" s="2" t="inlineStr">
        <is>
          <t>work</t>
        </is>
      </c>
      <c r="F286" s="2" t="n">
        <v>285</v>
      </c>
      <c r="G286" s="3" t="inlineStr">
        <is>
          <t>Устройство щебеночного покрытия 50мм</t>
        </is>
      </c>
      <c r="H286" s="2" t="inlineStr">
        <is>
          <t>м.кв.</t>
        </is>
      </c>
      <c r="I286" s="4" t="n">
        <v>57</v>
      </c>
      <c r="J286" s="4" t="n">
        <v>100</v>
      </c>
      <c r="K286" s="5">
        <f>IF(OR(E286="work",E286="section14_item"),I286*J286,0)</f>
        <v/>
      </c>
      <c r="L286" s="5">
        <f>IF(E286="material",I286*J286,IF(E286="section15_percent",I286/100*(SUMPRODUCT((E$2:E$5000="work")*(B$2:B$5000&lt;&gt;"14")*K$2:K$5000)+SUMPRODUCT((E$2:E$5000="material")*(B$2:B$5000&lt;&gt;"14")*L$2:L$5000)),IF(E286="section15_manual",J286,0)))</f>
        <v/>
      </c>
      <c r="M286" s="3" t="n"/>
    </row>
    <row r="287">
      <c r="A287" s="6" t="inlineStr">
        <is>
          <t>да</t>
        </is>
      </c>
      <c r="B287" s="6" t="inlineStr">
        <is>
          <t>7</t>
        </is>
      </c>
      <c r="C287" s="7" t="inlineStr">
        <is>
          <t>Террасные настилы.</t>
        </is>
      </c>
      <c r="D287" s="6" t="inlineStr"/>
      <c r="E287" s="6" t="inlineStr">
        <is>
          <t>material</t>
        </is>
      </c>
      <c r="F287" s="6" t="n">
        <v>286</v>
      </c>
      <c r="G287" s="7" t="inlineStr">
        <is>
          <t>Щебень гранитный фр.20-40мм (самосвал 20м3)</t>
        </is>
      </c>
      <c r="H287" s="6" t="inlineStr">
        <is>
          <t>м.куб.</t>
        </is>
      </c>
      <c r="I287" s="8" t="n">
        <v>3.42</v>
      </c>
      <c r="J287" s="8" t="n">
        <v>100</v>
      </c>
      <c r="K287" s="9">
        <f>IF(OR(E287="work",E287="section14_item"),I287*J287,0)</f>
        <v/>
      </c>
      <c r="L287" s="9">
        <f>IF(E287="material",I287*J287,IF(E287="section15_percent",I287/100*(SUMPRODUCT((E$2:E$5000="work")*(B$2:B$5000&lt;&gt;"14")*K$2:K$5000)+SUMPRODUCT((E$2:E$5000="material")*(B$2:B$5000&lt;&gt;"14")*L$2:L$5000)),IF(E287="section15_manual",J287,0)))</f>
        <v/>
      </c>
      <c r="M287" s="7" t="inlineStr">
        <is>
          <t>10м3 - 2270р/м3</t>
        </is>
      </c>
    </row>
    <row r="288">
      <c r="A288" s="6" t="inlineStr">
        <is>
          <t>да</t>
        </is>
      </c>
      <c r="B288" s="6" t="inlineStr">
        <is>
          <t>7</t>
        </is>
      </c>
      <c r="C288" s="7" t="inlineStr">
        <is>
          <t>Террасные настилы.</t>
        </is>
      </c>
      <c r="D288" s="6" t="inlineStr"/>
      <c r="E288" s="6" t="inlineStr">
        <is>
          <t>material</t>
        </is>
      </c>
      <c r="F288" s="6" t="n">
        <v>287</v>
      </c>
      <c r="G288" s="7" t="inlineStr">
        <is>
          <t>Геотекстиль Мегаизол, рулон 50м2</t>
        </is>
      </c>
      <c r="H288" s="6" t="inlineStr">
        <is>
          <t>рул.</t>
        </is>
      </c>
      <c r="I288" s="8" t="n">
        <v>5</v>
      </c>
      <c r="J288" s="8" t="n">
        <v>100</v>
      </c>
      <c r="K288" s="9">
        <f>IF(OR(E288="work",E288="section14_item"),I288*J288,0)</f>
        <v/>
      </c>
      <c r="L288" s="9">
        <f>IF(E288="material",I288*J288,IF(E288="section15_percent",I288/100*(SUMPRODUCT((E$2:E$5000="work")*(B$2:B$5000&lt;&gt;"14")*K$2:K$5000)+SUMPRODUCT((E$2:E$5000="material")*(B$2:B$5000&lt;&gt;"14")*L$2:L$5000)),IF(E288="section15_manual",J288,0)))</f>
        <v/>
      </c>
      <c r="M288" s="7" t="n"/>
    </row>
    <row r="289">
      <c r="A289" s="2" t="inlineStr">
        <is>
          <t>да</t>
        </is>
      </c>
      <c r="B289" s="2" t="inlineStr">
        <is>
          <t>7</t>
        </is>
      </c>
      <c r="C289" s="3" t="inlineStr">
        <is>
          <t>Террасные настилы.</t>
        </is>
      </c>
      <c r="D289" s="2" t="inlineStr"/>
      <c r="E289" s="2" t="inlineStr">
        <is>
          <t>work</t>
        </is>
      </c>
      <c r="F289" s="2" t="n">
        <v>288</v>
      </c>
      <c r="G289" s="3" t="inlineStr">
        <is>
          <t>Разборка существующего деревянного каркаса и настила с переносом в зону погрузки</t>
        </is>
      </c>
      <c r="H289" s="2" t="inlineStr">
        <is>
          <t>м.кв.</t>
        </is>
      </c>
      <c r="I289" s="4" t="n">
        <v>28.4</v>
      </c>
      <c r="J289" s="4" t="n">
        <v>100</v>
      </c>
      <c r="K289" s="5">
        <f>IF(OR(E289="work",E289="section14_item"),I289*J289,0)</f>
        <v/>
      </c>
      <c r="L289" s="5">
        <f>IF(E289="material",I289*J289,IF(E289="section15_percent",I289/100*(SUMPRODUCT((E$2:E$5000="work")*(B$2:B$5000&lt;&gt;"14")*K$2:K$5000)+SUMPRODUCT((E$2:E$5000="material")*(B$2:B$5000&lt;&gt;"14")*L$2:L$5000)),IF(E289="section15_manual",J289,0)))</f>
        <v/>
      </c>
      <c r="M289" s="3" t="n"/>
    </row>
    <row r="290">
      <c r="A290" s="2" t="inlineStr">
        <is>
          <t>да</t>
        </is>
      </c>
      <c r="B290" s="2" t="inlineStr">
        <is>
          <t>7</t>
        </is>
      </c>
      <c r="C290" s="3" t="inlineStr">
        <is>
          <t>Террасные настилы.</t>
        </is>
      </c>
      <c r="D290" s="2" t="inlineStr"/>
      <c r="E290" s="2" t="inlineStr">
        <is>
          <t>work</t>
        </is>
      </c>
      <c r="F290" s="2" t="n">
        <v>289</v>
      </c>
      <c r="G290" s="3" t="inlineStr">
        <is>
          <t>Устройство фундаментов из свай под террасу дл. 3-4м</t>
        </is>
      </c>
      <c r="H290" s="2" t="inlineStr">
        <is>
          <t>шт.</t>
        </is>
      </c>
      <c r="I290" s="4" t="n">
        <v>71</v>
      </c>
      <c r="J290" s="4" t="n">
        <v>100</v>
      </c>
      <c r="K290" s="5">
        <f>IF(OR(E290="work",E290="section14_item"),I290*J290,0)</f>
        <v/>
      </c>
      <c r="L290" s="5">
        <f>IF(E290="material",I290*J290,IF(E290="section15_percent",I290/100*(SUMPRODUCT((E$2:E$5000="work")*(B$2:B$5000&lt;&gt;"14")*K$2:K$5000)+SUMPRODUCT((E$2:E$5000="material")*(B$2:B$5000&lt;&gt;"14")*L$2:L$5000)),IF(E290="section15_manual",J290,0)))</f>
        <v/>
      </c>
      <c r="M290" s="3" t="n"/>
    </row>
    <row r="291">
      <c r="A291" s="6" t="inlineStr">
        <is>
          <t>да</t>
        </is>
      </c>
      <c r="B291" s="6" t="inlineStr">
        <is>
          <t>7</t>
        </is>
      </c>
      <c r="C291" s="7" t="inlineStr">
        <is>
          <t>Террасные настилы.</t>
        </is>
      </c>
      <c r="D291" s="6" t="inlineStr"/>
      <c r="E291" s="6" t="inlineStr">
        <is>
          <t>material</t>
        </is>
      </c>
      <c r="F291" s="6" t="n">
        <v>290</v>
      </c>
      <c r="G291" s="7" t="inlineStr">
        <is>
          <t>Сваи d=76мм h=2м, оголовник усиленный, прочие материалы для монтажа</t>
        </is>
      </c>
      <c r="H291" s="6" t="inlineStr">
        <is>
          <t>шт.</t>
        </is>
      </c>
      <c r="I291" s="8" t="n">
        <v>36</v>
      </c>
      <c r="J291" s="8" t="n">
        <v>100</v>
      </c>
      <c r="K291" s="9">
        <f>IF(OR(E291="work",E291="section14_item"),I291*J291,0)</f>
        <v/>
      </c>
      <c r="L291" s="9">
        <f>IF(E291="material",I291*J291,IF(E291="section15_percent",I291/100*(SUMPRODUCT((E$2:E$5000="work")*(B$2:B$5000&lt;&gt;"14")*K$2:K$5000)+SUMPRODUCT((E$2:E$5000="material")*(B$2:B$5000&lt;&gt;"14")*L$2:L$5000)),IF(E291="section15_manual",J291,0)))</f>
        <v/>
      </c>
      <c r="M291" s="7" t="n"/>
    </row>
    <row r="292">
      <c r="A292" s="6" t="inlineStr">
        <is>
          <t>да</t>
        </is>
      </c>
      <c r="B292" s="6" t="inlineStr">
        <is>
          <t>7</t>
        </is>
      </c>
      <c r="C292" s="7" t="inlineStr">
        <is>
          <t>Террасные настилы.</t>
        </is>
      </c>
      <c r="D292" s="6" t="inlineStr"/>
      <c r="E292" s="6" t="inlineStr">
        <is>
          <t>material</t>
        </is>
      </c>
      <c r="F292" s="6" t="n">
        <v>291</v>
      </c>
      <c r="G292" s="7" t="inlineStr">
        <is>
          <t>Сваи d=76мм h=3м, оголовник усиленный, прочие материалы для монтажа</t>
        </is>
      </c>
      <c r="H292" s="6" t="inlineStr">
        <is>
          <t>шт.</t>
        </is>
      </c>
      <c r="I292" s="8" t="n">
        <v>35</v>
      </c>
      <c r="J292" s="8" t="n">
        <v>100</v>
      </c>
      <c r="K292" s="9">
        <f>IF(OR(E292="work",E292="section14_item"),I292*J292,0)</f>
        <v/>
      </c>
      <c r="L292" s="9">
        <f>IF(E292="material",I292*J292,IF(E292="section15_percent",I292/100*(SUMPRODUCT((E$2:E$5000="work")*(B$2:B$5000&lt;&gt;"14")*K$2:K$5000)+SUMPRODUCT((E$2:E$5000="material")*(B$2:B$5000&lt;&gt;"14")*L$2:L$5000)),IF(E292="section15_manual",J292,0)))</f>
        <v/>
      </c>
      <c r="M292" s="7" t="n"/>
    </row>
    <row r="293">
      <c r="A293" s="2" t="inlineStr">
        <is>
          <t>да</t>
        </is>
      </c>
      <c r="B293" s="2" t="inlineStr">
        <is>
          <t>7</t>
        </is>
      </c>
      <c r="C293" s="3" t="inlineStr">
        <is>
          <t>Террасные настилы.</t>
        </is>
      </c>
      <c r="D293" s="2" t="inlineStr"/>
      <c r="E293" s="2" t="inlineStr">
        <is>
          <t>work</t>
        </is>
      </c>
      <c r="F293" s="2" t="n">
        <v>292</v>
      </c>
      <c r="G293" s="3" t="inlineStr">
        <is>
          <t>Наращивание свай дл.2м до 4м с грунтованием и окрашиванием</t>
        </is>
      </c>
      <c r="H293" s="2" t="inlineStr">
        <is>
          <t>шт.</t>
        </is>
      </c>
      <c r="I293" s="4" t="n">
        <v>36</v>
      </c>
      <c r="J293" s="4" t="n">
        <v>100</v>
      </c>
      <c r="K293" s="5">
        <f>IF(OR(E293="work",E293="section14_item"),I293*J293,0)</f>
        <v/>
      </c>
      <c r="L293" s="5">
        <f>IF(E293="material",I293*J293,IF(E293="section15_percent",I293/100*(SUMPRODUCT((E$2:E$5000="work")*(B$2:B$5000&lt;&gt;"14")*K$2:K$5000)+SUMPRODUCT((E$2:E$5000="material")*(B$2:B$5000&lt;&gt;"14")*L$2:L$5000)),IF(E293="section15_manual",J293,0)))</f>
        <v/>
      </c>
      <c r="M293" s="3" t="n"/>
    </row>
    <row r="294">
      <c r="A294" s="6" t="inlineStr">
        <is>
          <t>да</t>
        </is>
      </c>
      <c r="B294" s="6" t="inlineStr">
        <is>
          <t>7</t>
        </is>
      </c>
      <c r="C294" s="7" t="inlineStr">
        <is>
          <t>Террасные настилы.</t>
        </is>
      </c>
      <c r="D294" s="6" t="inlineStr"/>
      <c r="E294" s="6" t="inlineStr">
        <is>
          <t>material</t>
        </is>
      </c>
      <c r="F294" s="6" t="n">
        <v>293</v>
      </c>
      <c r="G294" s="7" t="inlineStr">
        <is>
          <t>Труба стальная электросварная черная 76*3мм 3м, электроды, грунт, краска</t>
        </is>
      </c>
      <c r="H294" s="6" t="inlineStr">
        <is>
          <t>шт.</t>
        </is>
      </c>
      <c r="I294" s="8" t="n">
        <v>5</v>
      </c>
      <c r="J294" s="8" t="n">
        <v>100</v>
      </c>
      <c r="K294" s="9">
        <f>IF(OR(E294="work",E294="section14_item"),I294*J294,0)</f>
        <v/>
      </c>
      <c r="L294" s="9">
        <f>IF(E294="material",I294*J294,IF(E294="section15_percent",I294/100*(SUMPRODUCT((E$2:E$5000="work")*(B$2:B$5000&lt;&gt;"14")*K$2:K$5000)+SUMPRODUCT((E$2:E$5000="material")*(B$2:B$5000&lt;&gt;"14")*L$2:L$5000)),IF(E294="section15_manual",J294,0)))</f>
        <v/>
      </c>
      <c r="M294" s="7" t="n"/>
    </row>
    <row r="295">
      <c r="A295" s="10" t="inlineStr">
        <is>
          <t>да</t>
        </is>
      </c>
      <c r="B295" s="10" t="inlineStr">
        <is>
          <t>7</t>
        </is>
      </c>
      <c r="C295" s="11" t="inlineStr">
        <is>
          <t>Террасные настилы.</t>
        </is>
      </c>
      <c r="D295" s="10" t="inlineStr"/>
      <c r="E295" s="10" t="inlineStr">
        <is>
          <t>subsection</t>
        </is>
      </c>
      <c r="F295" s="10" t="n">
        <v>294</v>
      </c>
      <c r="G295" s="11" t="inlineStr">
        <is>
          <t>Настил - зона удома и зона крыльца</t>
        </is>
      </c>
      <c r="H295" s="10" t="inlineStr"/>
      <c r="I295" s="12" t="n"/>
      <c r="J295" s="12" t="n"/>
      <c r="K295" s="13">
        <f>IF(OR(E295="work",E295="section14_item"),I295*J295,0)</f>
        <v/>
      </c>
      <c r="L295" s="13">
        <f>IF(E295="material",I295*J295,IF(E295="section15_percent",I295/100*(SUMPRODUCT((E$2:E$5000="work")*(B$2:B$5000&lt;&gt;"14")*K$2:K$5000)+SUMPRODUCT((E$2:E$5000="material")*(B$2:B$5000&lt;&gt;"14")*L$2:L$5000)),IF(E295="section15_manual",J295,0)))</f>
        <v/>
      </c>
      <c r="M295" s="11" t="n"/>
    </row>
    <row r="296">
      <c r="A296" s="2" t="inlineStr">
        <is>
          <t>да</t>
        </is>
      </c>
      <c r="B296" s="2" t="inlineStr">
        <is>
          <t>7</t>
        </is>
      </c>
      <c r="C296" s="3" t="inlineStr">
        <is>
          <t>Террасные настилы.</t>
        </is>
      </c>
      <c r="D296" s="2" t="inlineStr">
        <is>
          <t>Настил - зона удома и зона крыльца</t>
        </is>
      </c>
      <c r="E296" s="2" t="inlineStr">
        <is>
          <t>work</t>
        </is>
      </c>
      <c r="F296" s="2" t="n">
        <v>295</v>
      </c>
      <c r="G296" s="3" t="inlineStr">
        <is>
          <t>Комплекс работ по устройству настилов из палубной доски - ДПК (монтаж одинарного каркаса, монтаж террасной доски)</t>
        </is>
      </c>
      <c r="H296" s="2" t="inlineStr">
        <is>
          <t>м.кв.</t>
        </is>
      </c>
      <c r="I296" s="4" t="n">
        <v>94.5</v>
      </c>
      <c r="J296" s="4" t="n">
        <v>100</v>
      </c>
      <c r="K296" s="5">
        <f>IF(OR(E296="work",E296="section14_item"),I296*J296,0)</f>
        <v/>
      </c>
      <c r="L296" s="5">
        <f>IF(E296="material",I296*J296,IF(E296="section15_percent",I296/100*(SUMPRODUCT((E$2:E$5000="work")*(B$2:B$5000&lt;&gt;"14")*K$2:K$5000)+SUMPRODUCT((E$2:E$5000="material")*(B$2:B$5000&lt;&gt;"14")*L$2:L$5000)),IF(E296="section15_manual",J296,0)))</f>
        <v/>
      </c>
      <c r="M296" s="3" t="n"/>
    </row>
    <row r="297">
      <c r="A297" s="2" t="inlineStr">
        <is>
          <t>да</t>
        </is>
      </c>
      <c r="B297" s="2" t="inlineStr">
        <is>
          <t>7</t>
        </is>
      </c>
      <c r="C297" s="3" t="inlineStr">
        <is>
          <t>Террасные настилы.</t>
        </is>
      </c>
      <c r="D297" s="2" t="inlineStr">
        <is>
          <t>Настил - зона удома и зона крыльца</t>
        </is>
      </c>
      <c r="E297" s="2" t="inlineStr">
        <is>
          <t>work</t>
        </is>
      </c>
      <c r="F297" s="2" t="n">
        <v>296</v>
      </c>
      <c r="G297" s="3" t="inlineStr">
        <is>
          <t>Комплекс работ по зашивке торцов из палубной доски - ДПК (монтаж одинарного каркаса, монтаж террасной доски)</t>
        </is>
      </c>
      <c r="H297" s="2" t="inlineStr">
        <is>
          <t>м.п.</t>
        </is>
      </c>
      <c r="I297" s="4" t="n">
        <v>43.1</v>
      </c>
      <c r="J297" s="4" t="n">
        <v>100</v>
      </c>
      <c r="K297" s="5">
        <f>IF(OR(E297="work",E297="section14_item"),I297*J297,0)</f>
        <v/>
      </c>
      <c r="L297" s="5">
        <f>IF(E297="material",I297*J297,IF(E297="section15_percent",I297/100*(SUMPRODUCT((E$2:E$5000="work")*(B$2:B$5000&lt;&gt;"14")*K$2:K$5000)+SUMPRODUCT((E$2:E$5000="material")*(B$2:B$5000&lt;&gt;"14")*L$2:L$5000)),IF(E297="section15_manual",J297,0)))</f>
        <v/>
      </c>
      <c r="M297" s="3" t="n"/>
    </row>
    <row r="298">
      <c r="A298" s="6" t="inlineStr">
        <is>
          <t>да</t>
        </is>
      </c>
      <c r="B298" s="6" t="inlineStr">
        <is>
          <t>7</t>
        </is>
      </c>
      <c r="C298" s="7" t="inlineStr">
        <is>
          <t>Террасные настилы.</t>
        </is>
      </c>
      <c r="D298" s="6" t="inlineStr">
        <is>
          <t>Настил - зона удома и зона крыльца</t>
        </is>
      </c>
      <c r="E298" s="6" t="inlineStr">
        <is>
          <t>material</t>
        </is>
      </c>
      <c r="F298" s="6" t="n">
        <v>297</v>
      </c>
      <c r="G298" s="7" t="inlineStr">
        <is>
          <t>Сопутствующие материалы, крепеж, антисептик, унифлекс</t>
        </is>
      </c>
      <c r="H298" s="6" t="inlineStr">
        <is>
          <t>м.кв.</t>
        </is>
      </c>
      <c r="I298" s="8" t="n">
        <v>123.88</v>
      </c>
      <c r="J298" s="8" t="n">
        <v>100</v>
      </c>
      <c r="K298" s="9">
        <f>IF(OR(E298="work",E298="section14_item"),I298*J298,0)</f>
        <v/>
      </c>
      <c r="L298" s="9">
        <f>IF(E298="material",I298*J298,IF(E298="section15_percent",I298/100*(SUMPRODUCT((E$2:E$5000="work")*(B$2:B$5000&lt;&gt;"14")*K$2:K$5000)+SUMPRODUCT((E$2:E$5000="material")*(B$2:B$5000&lt;&gt;"14")*L$2:L$5000)),IF(E298="section15_manual",J298,0)))</f>
        <v/>
      </c>
      <c r="M298" s="7" t="n"/>
    </row>
    <row r="299">
      <c r="A299" s="6" t="inlineStr">
        <is>
          <t>да</t>
        </is>
      </c>
      <c r="B299" s="6" t="inlineStr">
        <is>
          <t>7</t>
        </is>
      </c>
      <c r="C299" s="7" t="inlineStr">
        <is>
          <t>Террасные настилы.</t>
        </is>
      </c>
      <c r="D299" s="6" t="inlineStr">
        <is>
          <t>Настил - зона удома и зона крыльца</t>
        </is>
      </c>
      <c r="E299" s="6" t="inlineStr">
        <is>
          <t>material</t>
        </is>
      </c>
      <c r="F299" s="6" t="n">
        <v>298</v>
      </c>
      <c r="G299" s="7" t="inlineStr">
        <is>
          <t>Доска Bruggan Multicolor Cedar (140*19*3000мм) ДПК</t>
        </is>
      </c>
      <c r="H299" s="6" t="inlineStr">
        <is>
          <t>м.кв.</t>
        </is>
      </c>
      <c r="I299" s="8" t="n">
        <v>123.88</v>
      </c>
      <c r="J299" s="8" t="n">
        <v>100</v>
      </c>
      <c r="K299" s="9">
        <f>IF(OR(E299="work",E299="section14_item"),I299*J299,0)</f>
        <v/>
      </c>
      <c r="L299" s="9">
        <f>IF(E299="material",I299*J299,IF(E299="section15_percent",I299/100*(SUMPRODUCT((E$2:E$5000="work")*(B$2:B$5000&lt;&gt;"14")*K$2:K$5000)+SUMPRODUCT((E$2:E$5000="material")*(B$2:B$5000&lt;&gt;"14")*L$2:L$5000)),IF(E299="section15_manual",J299,0)))</f>
        <v/>
      </c>
      <c r="M299" s="7" t="n"/>
    </row>
    <row r="300">
      <c r="A300" s="6" t="inlineStr">
        <is>
          <t>да</t>
        </is>
      </c>
      <c r="B300" s="6" t="inlineStr">
        <is>
          <t>7</t>
        </is>
      </c>
      <c r="C300" s="7" t="inlineStr">
        <is>
          <t>Террасные настилы.</t>
        </is>
      </c>
      <c r="D300" s="6" t="inlineStr">
        <is>
          <t>Настил - зона удома и зона крыльца</t>
        </is>
      </c>
      <c r="E300" s="6" t="inlineStr">
        <is>
          <t>material</t>
        </is>
      </c>
      <c r="F300" s="6" t="n">
        <v>299</v>
      </c>
      <c r="G300" s="7" t="inlineStr">
        <is>
          <t>Доска 145*45мм сухая строганая импрегнированная</t>
        </is>
      </c>
      <c r="H300" s="6" t="inlineStr">
        <is>
          <t>м.куб.</t>
        </is>
      </c>
      <c r="I300" s="8" t="n">
        <v>4.2</v>
      </c>
      <c r="J300" s="8" t="n">
        <v>100</v>
      </c>
      <c r="K300" s="9">
        <f>IF(OR(E300="work",E300="section14_item"),I300*J300,0)</f>
        <v/>
      </c>
      <c r="L300" s="9">
        <f>IF(E300="material",I300*J300,IF(E300="section15_percent",I300/100*(SUMPRODUCT((E$2:E$5000="work")*(B$2:B$5000&lt;&gt;"14")*K$2:K$5000)+SUMPRODUCT((E$2:E$5000="material")*(B$2:B$5000&lt;&gt;"14")*L$2:L$5000)),IF(E300="section15_manual",J300,0)))</f>
        <v/>
      </c>
      <c r="M300" s="7" t="n"/>
    </row>
    <row r="301">
      <c r="A301" s="10" t="inlineStr">
        <is>
          <t>да</t>
        </is>
      </c>
      <c r="B301" s="10" t="inlineStr">
        <is>
          <t>7</t>
        </is>
      </c>
      <c r="C301" s="11" t="inlineStr">
        <is>
          <t>Террасные настилы.</t>
        </is>
      </c>
      <c r="D301" s="10" t="inlineStr"/>
      <c r="E301" s="10" t="inlineStr">
        <is>
          <t>subsection</t>
        </is>
      </c>
      <c r="F301" s="10" t="n">
        <v>300</v>
      </c>
      <c r="G301" s="11" t="inlineStr">
        <is>
          <t>Настил - лаунж зона</t>
        </is>
      </c>
      <c r="H301" s="10" t="inlineStr"/>
      <c r="I301" s="12" t="n"/>
      <c r="J301" s="12" t="n"/>
      <c r="K301" s="13">
        <f>IF(OR(E301="work",E301="section14_item"),I301*J301,0)</f>
        <v/>
      </c>
      <c r="L301" s="13">
        <f>IF(E301="material",I301*J301,IF(E301="section15_percent",I301/100*(SUMPRODUCT((E$2:E$5000="work")*(B$2:B$5000&lt;&gt;"14")*K$2:K$5000)+SUMPRODUCT((E$2:E$5000="material")*(B$2:B$5000&lt;&gt;"14")*L$2:L$5000)),IF(E301="section15_manual",J301,0)))</f>
        <v/>
      </c>
      <c r="M301" s="11" t="n"/>
    </row>
    <row r="302">
      <c r="A302" s="2" t="inlineStr">
        <is>
          <t>да</t>
        </is>
      </c>
      <c r="B302" s="2" t="inlineStr">
        <is>
          <t>7</t>
        </is>
      </c>
      <c r="C302" s="3" t="inlineStr">
        <is>
          <t>Террасные настилы.</t>
        </is>
      </c>
      <c r="D302" s="2" t="inlineStr">
        <is>
          <t>Настил - лаунж зона</t>
        </is>
      </c>
      <c r="E302" s="2" t="inlineStr">
        <is>
          <t>work</t>
        </is>
      </c>
      <c r="F302" s="2" t="n">
        <v>301</v>
      </c>
      <c r="G302" s="3" t="inlineStr">
        <is>
          <t>Комплекс работ по устройству настилов из палубной доски - ДПК (монтаж одинарного каркаса, монтаж террасной доски)</t>
        </is>
      </c>
      <c r="H302" s="2" t="inlineStr">
        <is>
          <t>м.кв.</t>
        </is>
      </c>
      <c r="I302" s="4" t="n">
        <v>23.4</v>
      </c>
      <c r="J302" s="4" t="n">
        <v>100</v>
      </c>
      <c r="K302" s="5">
        <f>IF(OR(E302="work",E302="section14_item"),I302*J302,0)</f>
        <v/>
      </c>
      <c r="L302" s="5">
        <f>IF(E302="material",I302*J302,IF(E302="section15_percent",I302/100*(SUMPRODUCT((E$2:E$5000="work")*(B$2:B$5000&lt;&gt;"14")*K$2:K$5000)+SUMPRODUCT((E$2:E$5000="material")*(B$2:B$5000&lt;&gt;"14")*L$2:L$5000)),IF(E302="section15_manual",J302,0)))</f>
        <v/>
      </c>
      <c r="M302" s="3" t="n"/>
    </row>
    <row r="303">
      <c r="A303" s="2" t="inlineStr">
        <is>
          <t>да</t>
        </is>
      </c>
      <c r="B303" s="2" t="inlineStr">
        <is>
          <t>7</t>
        </is>
      </c>
      <c r="C303" s="3" t="inlineStr">
        <is>
          <t>Террасные настилы.</t>
        </is>
      </c>
      <c r="D303" s="2" t="inlineStr">
        <is>
          <t>Настил - лаунж зона</t>
        </is>
      </c>
      <c r="E303" s="2" t="inlineStr">
        <is>
          <t>work</t>
        </is>
      </c>
      <c r="F303" s="2" t="n">
        <v>302</v>
      </c>
      <c r="G303" s="3" t="inlineStr">
        <is>
          <t>Комплекс работ по устройству настилов из палубной доски - ДПК (монтаж одинарного каркаса, монтаж террасной доски) - сиденье</t>
        </is>
      </c>
      <c r="H303" s="2" t="inlineStr">
        <is>
          <t>м.п.</t>
        </is>
      </c>
      <c r="I303" s="4" t="n">
        <v>16</v>
      </c>
      <c r="J303" s="4" t="n">
        <v>100</v>
      </c>
      <c r="K303" s="5">
        <f>IF(OR(E303="work",E303="section14_item"),I303*J303,0)</f>
        <v/>
      </c>
      <c r="L303" s="5">
        <f>IF(E303="material",I303*J303,IF(E303="section15_percent",I303/100*(SUMPRODUCT((E$2:E$5000="work")*(B$2:B$5000&lt;&gt;"14")*K$2:K$5000)+SUMPRODUCT((E$2:E$5000="material")*(B$2:B$5000&lt;&gt;"14")*L$2:L$5000)),IF(E303="section15_manual",J303,0)))</f>
        <v/>
      </c>
      <c r="M303" s="3" t="n"/>
    </row>
    <row r="304">
      <c r="A304" s="2" t="inlineStr">
        <is>
          <t>да</t>
        </is>
      </c>
      <c r="B304" s="2" t="inlineStr">
        <is>
          <t>7</t>
        </is>
      </c>
      <c r="C304" s="3" t="inlineStr">
        <is>
          <t>Террасные настилы.</t>
        </is>
      </c>
      <c r="D304" s="2" t="inlineStr">
        <is>
          <t>Настил - лаунж зона</t>
        </is>
      </c>
      <c r="E304" s="2" t="inlineStr">
        <is>
          <t>work</t>
        </is>
      </c>
      <c r="F304" s="2" t="n">
        <v>303</v>
      </c>
      <c r="G304" s="3" t="inlineStr">
        <is>
          <t>Комплекс работ по зашивке торцов из палубной доски - ДПК (монтаж одинарного каркаса, монтаж террасной доски) глубина до 300мм - спинка</t>
        </is>
      </c>
      <c r="H304" s="2" t="inlineStr">
        <is>
          <t>м.п.</t>
        </is>
      </c>
      <c r="I304" s="4" t="n">
        <v>17.1</v>
      </c>
      <c r="J304" s="4" t="n">
        <v>100</v>
      </c>
      <c r="K304" s="5">
        <f>IF(OR(E304="work",E304="section14_item"),I304*J304,0)</f>
        <v/>
      </c>
      <c r="L304" s="5">
        <f>IF(E304="material",I304*J304,IF(E304="section15_percent",I304/100*(SUMPRODUCT((E$2:E$5000="work")*(B$2:B$5000&lt;&gt;"14")*K$2:K$5000)+SUMPRODUCT((E$2:E$5000="material")*(B$2:B$5000&lt;&gt;"14")*L$2:L$5000)),IF(E304="section15_manual",J304,0)))</f>
        <v/>
      </c>
      <c r="M304" s="3" t="n"/>
    </row>
    <row r="305">
      <c r="A305" s="2" t="inlineStr">
        <is>
          <t>да</t>
        </is>
      </c>
      <c r="B305" s="2" t="inlineStr">
        <is>
          <t>7</t>
        </is>
      </c>
      <c r="C305" s="3" t="inlineStr">
        <is>
          <t>Террасные настилы.</t>
        </is>
      </c>
      <c r="D305" s="2" t="inlineStr">
        <is>
          <t>Настил - лаунж зона</t>
        </is>
      </c>
      <c r="E305" s="2" t="inlineStr">
        <is>
          <t>work</t>
        </is>
      </c>
      <c r="F305" s="2" t="n">
        <v>304</v>
      </c>
      <c r="G305" s="3" t="inlineStr">
        <is>
          <t>Комплекс работ по устройству ступеней из палубной доски - ДПК (монтаж одинарного каркаса, монтаж террасной доски)</t>
        </is>
      </c>
      <c r="H305" s="2" t="inlineStr">
        <is>
          <t>м.п.</t>
        </is>
      </c>
      <c r="I305" s="4" t="n">
        <v>0.9</v>
      </c>
      <c r="J305" s="4" t="n">
        <v>100</v>
      </c>
      <c r="K305" s="5">
        <f>IF(OR(E305="work",E305="section14_item"),I305*J305,0)</f>
        <v/>
      </c>
      <c r="L305" s="5">
        <f>IF(E305="material",I305*J305,IF(E305="section15_percent",I305/100*(SUMPRODUCT((E$2:E$5000="work")*(B$2:B$5000&lt;&gt;"14")*K$2:K$5000)+SUMPRODUCT((E$2:E$5000="material")*(B$2:B$5000&lt;&gt;"14")*L$2:L$5000)),IF(E305="section15_manual",J305,0)))</f>
        <v/>
      </c>
      <c r="M305" s="3" t="n"/>
    </row>
    <row r="306">
      <c r="A306" s="6" t="inlineStr">
        <is>
          <t>да</t>
        </is>
      </c>
      <c r="B306" s="6" t="inlineStr">
        <is>
          <t>7</t>
        </is>
      </c>
      <c r="C306" s="7" t="inlineStr">
        <is>
          <t>Террасные настилы.</t>
        </is>
      </c>
      <c r="D306" s="6" t="inlineStr">
        <is>
          <t>Настил - лаунж зона</t>
        </is>
      </c>
      <c r="E306" s="6" t="inlineStr">
        <is>
          <t>material</t>
        </is>
      </c>
      <c r="F306" s="6" t="n">
        <v>305</v>
      </c>
      <c r="G306" s="7" t="inlineStr">
        <is>
          <t>Сопутствующие материалы, крепеж, антисептик, унифлекс</t>
        </is>
      </c>
      <c r="H306" s="6" t="inlineStr">
        <is>
          <t>м.кв.</t>
        </is>
      </c>
      <c r="I306" s="8" t="n">
        <v>49.94</v>
      </c>
      <c r="J306" s="8" t="n">
        <v>100</v>
      </c>
      <c r="K306" s="9">
        <f>IF(OR(E306="work",E306="section14_item"),I306*J306,0)</f>
        <v/>
      </c>
      <c r="L306" s="9">
        <f>IF(E306="material",I306*J306,IF(E306="section15_percent",I306/100*(SUMPRODUCT((E$2:E$5000="work")*(B$2:B$5000&lt;&gt;"14")*K$2:K$5000)+SUMPRODUCT((E$2:E$5000="material")*(B$2:B$5000&lt;&gt;"14")*L$2:L$5000)),IF(E306="section15_manual",J306,0)))</f>
        <v/>
      </c>
      <c r="M306" s="7" t="n"/>
    </row>
    <row r="307">
      <c r="A307" s="6" t="inlineStr">
        <is>
          <t>да</t>
        </is>
      </c>
      <c r="B307" s="6" t="inlineStr">
        <is>
          <t>7</t>
        </is>
      </c>
      <c r="C307" s="7" t="inlineStr">
        <is>
          <t>Террасные настилы.</t>
        </is>
      </c>
      <c r="D307" s="6" t="inlineStr">
        <is>
          <t>Настил - лаунж зона</t>
        </is>
      </c>
      <c r="E307" s="6" t="inlineStr">
        <is>
          <t>material</t>
        </is>
      </c>
      <c r="F307" s="6" t="n">
        <v>306</v>
      </c>
      <c r="G307" s="7" t="inlineStr">
        <is>
          <t>Доска Bruggan Multicolor Cedar (140*19*3000мм) ДПК</t>
        </is>
      </c>
      <c r="H307" s="6" t="inlineStr">
        <is>
          <t>м.кв.</t>
        </is>
      </c>
      <c r="I307" s="8" t="n">
        <v>49.94</v>
      </c>
      <c r="J307" s="8" t="n">
        <v>100</v>
      </c>
      <c r="K307" s="9">
        <f>IF(OR(E307="work",E307="section14_item"),I307*J307,0)</f>
        <v/>
      </c>
      <c r="L307" s="9">
        <f>IF(E307="material",I307*J307,IF(E307="section15_percent",I307/100*(SUMPRODUCT((E$2:E$5000="work")*(B$2:B$5000&lt;&gt;"14")*K$2:K$5000)+SUMPRODUCT((E$2:E$5000="material")*(B$2:B$5000&lt;&gt;"14")*L$2:L$5000)),IF(E307="section15_manual",J307,0)))</f>
        <v/>
      </c>
      <c r="M307" s="7" t="n"/>
    </row>
    <row r="308">
      <c r="A308" s="6" t="inlineStr">
        <is>
          <t>да</t>
        </is>
      </c>
      <c r="B308" s="6" t="inlineStr">
        <is>
          <t>7</t>
        </is>
      </c>
      <c r="C308" s="7" t="inlineStr">
        <is>
          <t>Террасные настилы.</t>
        </is>
      </c>
      <c r="D308" s="6" t="inlineStr">
        <is>
          <t>Настил - лаунж зона</t>
        </is>
      </c>
      <c r="E308" s="6" t="inlineStr">
        <is>
          <t>material</t>
        </is>
      </c>
      <c r="F308" s="6" t="n">
        <v>307</v>
      </c>
      <c r="G308" s="7" t="inlineStr">
        <is>
          <t>Доска 145*45мм сухая строганая импрегнированная</t>
        </is>
      </c>
      <c r="H308" s="6" t="inlineStr">
        <is>
          <t>м.куб.</t>
        </is>
      </c>
      <c r="I308" s="8" t="n">
        <v>2.5</v>
      </c>
      <c r="J308" s="8" t="n">
        <v>100</v>
      </c>
      <c r="K308" s="9">
        <f>IF(OR(E308="work",E308="section14_item"),I308*J308,0)</f>
        <v/>
      </c>
      <c r="L308" s="9">
        <f>IF(E308="material",I308*J308,IF(E308="section15_percent",I308/100*(SUMPRODUCT((E$2:E$5000="work")*(B$2:B$5000&lt;&gt;"14")*K$2:K$5000)+SUMPRODUCT((E$2:E$5000="material")*(B$2:B$5000&lt;&gt;"14")*L$2:L$5000)),IF(E308="section15_manual",J308,0)))</f>
        <v/>
      </c>
      <c r="M308" s="7" t="n"/>
    </row>
    <row r="309">
      <c r="A309" s="10" t="inlineStr">
        <is>
          <t>да</t>
        </is>
      </c>
      <c r="B309" s="10" t="inlineStr">
        <is>
          <t>7</t>
        </is>
      </c>
      <c r="C309" s="11" t="inlineStr">
        <is>
          <t>Террасные настилы.</t>
        </is>
      </c>
      <c r="D309" s="10" t="inlineStr"/>
      <c r="E309" s="10" t="inlineStr">
        <is>
          <t>subsection</t>
        </is>
      </c>
      <c r="F309" s="10" t="n">
        <v>308</v>
      </c>
      <c r="G309" s="11" t="inlineStr">
        <is>
          <t>Кашпо у лаунж зоны</t>
        </is>
      </c>
      <c r="H309" s="10" t="inlineStr"/>
      <c r="I309" s="12" t="n"/>
      <c r="J309" s="12" t="n"/>
      <c r="K309" s="13">
        <f>IF(OR(E309="work",E309="section14_item"),I309*J309,0)</f>
        <v/>
      </c>
      <c r="L309" s="13">
        <f>IF(E309="material",I309*J309,IF(E309="section15_percent",I309/100*(SUMPRODUCT((E$2:E$5000="work")*(B$2:B$5000&lt;&gt;"14")*K$2:K$5000)+SUMPRODUCT((E$2:E$5000="material")*(B$2:B$5000&lt;&gt;"14")*L$2:L$5000)),IF(E309="section15_manual",J309,0)))</f>
        <v/>
      </c>
      <c r="M309" s="11" t="n"/>
    </row>
    <row r="310">
      <c r="A310" s="2" t="inlineStr">
        <is>
          <t>да</t>
        </is>
      </c>
      <c r="B310" s="2" t="inlineStr">
        <is>
          <t>7</t>
        </is>
      </c>
      <c r="C310" s="3" t="inlineStr">
        <is>
          <t>Террасные настилы.</t>
        </is>
      </c>
      <c r="D310" s="2" t="inlineStr">
        <is>
          <t>Кашпо у лаунж зоны</t>
        </is>
      </c>
      <c r="E310" s="2" t="inlineStr">
        <is>
          <t>work</t>
        </is>
      </c>
      <c r="F310" s="2" t="n">
        <v>309</v>
      </c>
      <c r="G310" s="3" t="inlineStr">
        <is>
          <t>Комплекс работ по устройству грядок (монтаж каркаса)</t>
        </is>
      </c>
      <c r="H310" s="2" t="inlineStr">
        <is>
          <t>м.п.</t>
        </is>
      </c>
      <c r="I310" s="4" t="n">
        <v>15</v>
      </c>
      <c r="J310" s="4" t="n">
        <v>100</v>
      </c>
      <c r="K310" s="5">
        <f>IF(OR(E310="work",E310="section14_item"),I310*J310,0)</f>
        <v/>
      </c>
      <c r="L310" s="5">
        <f>IF(E310="material",I310*J310,IF(E310="section15_percent",I310/100*(SUMPRODUCT((E$2:E$5000="work")*(B$2:B$5000&lt;&gt;"14")*K$2:K$5000)+SUMPRODUCT((E$2:E$5000="material")*(B$2:B$5000&lt;&gt;"14")*L$2:L$5000)),IF(E310="section15_manual",J310,0)))</f>
        <v/>
      </c>
      <c r="M310" s="3" t="n"/>
    </row>
    <row r="311">
      <c r="A311" s="6" t="inlineStr">
        <is>
          <t>да</t>
        </is>
      </c>
      <c r="B311" s="6" t="inlineStr">
        <is>
          <t>7</t>
        </is>
      </c>
      <c r="C311" s="7" t="inlineStr">
        <is>
          <t>Террасные настилы.</t>
        </is>
      </c>
      <c r="D311" s="6" t="inlineStr">
        <is>
          <t>Кашпо у лаунж зоны</t>
        </is>
      </c>
      <c r="E311" s="6" t="inlineStr">
        <is>
          <t>material</t>
        </is>
      </c>
      <c r="F311" s="6" t="n">
        <v>310</v>
      </c>
      <c r="G311" s="7" t="inlineStr">
        <is>
          <t>Сухой брусок строганый 45*45мм импрегнированный</t>
        </is>
      </c>
      <c r="H311" s="6" t="inlineStr">
        <is>
          <t>м.п.</t>
        </is>
      </c>
      <c r="I311" s="8" t="n">
        <v>57</v>
      </c>
      <c r="J311" s="8" t="n">
        <v>100</v>
      </c>
      <c r="K311" s="9">
        <f>IF(OR(E311="work",E311="section14_item"),I311*J311,0)</f>
        <v/>
      </c>
      <c r="L311" s="9">
        <f>IF(E311="material",I311*J311,IF(E311="section15_percent",I311/100*(SUMPRODUCT((E$2:E$5000="work")*(B$2:B$5000&lt;&gt;"14")*K$2:K$5000)+SUMPRODUCT((E$2:E$5000="material")*(B$2:B$5000&lt;&gt;"14")*L$2:L$5000)),IF(E311="section15_manual",J311,0)))</f>
        <v/>
      </c>
      <c r="M311" s="7" t="n"/>
    </row>
    <row r="312">
      <c r="A312" s="6" t="inlineStr">
        <is>
          <t>да</t>
        </is>
      </c>
      <c r="B312" s="6" t="inlineStr">
        <is>
          <t>7</t>
        </is>
      </c>
      <c r="C312" s="7" t="inlineStr">
        <is>
          <t>Террасные настилы.</t>
        </is>
      </c>
      <c r="D312" s="6" t="inlineStr">
        <is>
          <t>Кашпо у лаунж зоны</t>
        </is>
      </c>
      <c r="E312" s="6" t="inlineStr">
        <is>
          <t>material</t>
        </is>
      </c>
      <c r="F312" s="6" t="n">
        <v>311</v>
      </c>
      <c r="G312" s="7" t="inlineStr">
        <is>
          <t>Доска 145*45мм сухая строганая импрегнированная</t>
        </is>
      </c>
      <c r="H312" s="6" t="inlineStr">
        <is>
          <t>м.куб.</t>
        </is>
      </c>
      <c r="I312" s="8" t="n">
        <v>0.2</v>
      </c>
      <c r="J312" s="8" t="n">
        <v>100</v>
      </c>
      <c r="K312" s="9">
        <f>IF(OR(E312="work",E312="section14_item"),I312*J312,0)</f>
        <v/>
      </c>
      <c r="L312" s="9">
        <f>IF(E312="material",I312*J312,IF(E312="section15_percent",I312/100*(SUMPRODUCT((E$2:E$5000="work")*(B$2:B$5000&lt;&gt;"14")*K$2:K$5000)+SUMPRODUCT((E$2:E$5000="material")*(B$2:B$5000&lt;&gt;"14")*L$2:L$5000)),IF(E312="section15_manual",J312,0)))</f>
        <v/>
      </c>
      <c r="M312" s="7" t="n"/>
    </row>
    <row r="313">
      <c r="A313" s="6" t="inlineStr">
        <is>
          <t>да</t>
        </is>
      </c>
      <c r="B313" s="6" t="inlineStr">
        <is>
          <t>7</t>
        </is>
      </c>
      <c r="C313" s="7" t="inlineStr">
        <is>
          <t>Террасные настилы.</t>
        </is>
      </c>
      <c r="D313" s="6" t="inlineStr">
        <is>
          <t>Кашпо у лаунж зоны</t>
        </is>
      </c>
      <c r="E313" s="6" t="inlineStr">
        <is>
          <t>material</t>
        </is>
      </c>
      <c r="F313" s="6" t="n">
        <v>312</v>
      </c>
      <c r="G313" s="7" t="inlineStr">
        <is>
          <t>Сопутствующие материалы, крепеж, антисептик, унифлекс</t>
        </is>
      </c>
      <c r="H313" s="6" t="inlineStr">
        <is>
          <t>м.кв.</t>
        </is>
      </c>
      <c r="I313" s="8" t="n">
        <v>7.5</v>
      </c>
      <c r="J313" s="8" t="n">
        <v>100</v>
      </c>
      <c r="K313" s="9">
        <f>IF(OR(E313="work",E313="section14_item"),I313*J313,0)</f>
        <v/>
      </c>
      <c r="L313" s="9">
        <f>IF(E313="material",I313*J313,IF(E313="section15_percent",I313/100*(SUMPRODUCT((E$2:E$5000="work")*(B$2:B$5000&lt;&gt;"14")*K$2:K$5000)+SUMPRODUCT((E$2:E$5000="material")*(B$2:B$5000&lt;&gt;"14")*L$2:L$5000)),IF(E313="section15_manual",J313,0)))</f>
        <v/>
      </c>
      <c r="M313" s="7" t="n"/>
    </row>
    <row r="314">
      <c r="A314" s="2" t="inlineStr">
        <is>
          <t>да</t>
        </is>
      </c>
      <c r="B314" s="2" t="inlineStr">
        <is>
          <t>7</t>
        </is>
      </c>
      <c r="C314" s="3" t="inlineStr">
        <is>
          <t>Террасные настилы.</t>
        </is>
      </c>
      <c r="D314" s="2" t="inlineStr">
        <is>
          <t>Кашпо у лаунж зоны</t>
        </is>
      </c>
      <c r="E314" s="2" t="inlineStr">
        <is>
          <t>work</t>
        </is>
      </c>
      <c r="F314" s="2" t="n">
        <v>313</v>
      </c>
      <c r="G314" s="3" t="inlineStr">
        <is>
          <t>Установка кромочной доски - зашивка по верху</t>
        </is>
      </c>
      <c r="H314" s="2" t="inlineStr">
        <is>
          <t>м.п.</t>
        </is>
      </c>
      <c r="I314" s="4" t="n">
        <v>15</v>
      </c>
      <c r="J314" s="4" t="n">
        <v>100</v>
      </c>
      <c r="K314" s="5">
        <f>IF(OR(E314="work",E314="section14_item"),I314*J314,0)</f>
        <v/>
      </c>
      <c r="L314" s="5">
        <f>IF(E314="material",I314*J314,IF(E314="section15_percent",I314/100*(SUMPRODUCT((E$2:E$5000="work")*(B$2:B$5000&lt;&gt;"14")*K$2:K$5000)+SUMPRODUCT((E$2:E$5000="material")*(B$2:B$5000&lt;&gt;"14")*L$2:L$5000)),IF(E314="section15_manual",J314,0)))</f>
        <v/>
      </c>
      <c r="M314" s="3" t="n"/>
    </row>
    <row r="315">
      <c r="A315" s="6" t="inlineStr">
        <is>
          <t>да</t>
        </is>
      </c>
      <c r="B315" s="6" t="inlineStr">
        <is>
          <t>7</t>
        </is>
      </c>
      <c r="C315" s="7" t="inlineStr">
        <is>
          <t>Террасные настилы.</t>
        </is>
      </c>
      <c r="D315" s="6" t="inlineStr">
        <is>
          <t>Кашпо у лаунж зоны</t>
        </is>
      </c>
      <c r="E315" s="6" t="inlineStr">
        <is>
          <t>material</t>
        </is>
      </c>
      <c r="F315" s="6" t="n">
        <v>314</v>
      </c>
      <c r="G315" s="7" t="inlineStr">
        <is>
          <t>Сухой брусок строганый 45*45мм импрегнированный</t>
        </is>
      </c>
      <c r="H315" s="6" t="inlineStr">
        <is>
          <t>м.п.</t>
        </is>
      </c>
      <c r="I315" s="8" t="n">
        <v>57</v>
      </c>
      <c r="J315" s="8" t="n">
        <v>100</v>
      </c>
      <c r="K315" s="9">
        <f>IF(OR(E315="work",E315="section14_item"),I315*J315,0)</f>
        <v/>
      </c>
      <c r="L315" s="9">
        <f>IF(E315="material",I315*J315,IF(E315="section15_percent",I315/100*(SUMPRODUCT((E$2:E$5000="work")*(B$2:B$5000&lt;&gt;"14")*K$2:K$5000)+SUMPRODUCT((E$2:E$5000="material")*(B$2:B$5000&lt;&gt;"14")*L$2:L$5000)),IF(E315="section15_manual",J315,0)))</f>
        <v/>
      </c>
      <c r="M315" s="7" t="n"/>
    </row>
    <row r="316">
      <c r="A316" s="6" t="inlineStr">
        <is>
          <t>да</t>
        </is>
      </c>
      <c r="B316" s="6" t="inlineStr">
        <is>
          <t>7</t>
        </is>
      </c>
      <c r="C316" s="7" t="inlineStr">
        <is>
          <t>Террасные настилы.</t>
        </is>
      </c>
      <c r="D316" s="6" t="inlineStr">
        <is>
          <t>Кашпо у лаунж зоны</t>
        </is>
      </c>
      <c r="E316" s="6" t="inlineStr">
        <is>
          <t>material</t>
        </is>
      </c>
      <c r="F316" s="6" t="n">
        <v>315</v>
      </c>
      <c r="G316" s="7" t="inlineStr">
        <is>
          <t>Доска Bruggan Multicolor Cedar (140*19*3000мм) ДПК</t>
        </is>
      </c>
      <c r="H316" s="6" t="inlineStr">
        <is>
          <t>м.кв.</t>
        </is>
      </c>
      <c r="I316" s="8" t="n">
        <v>1</v>
      </c>
      <c r="J316" s="8" t="n">
        <v>100</v>
      </c>
      <c r="K316" s="9">
        <f>IF(OR(E316="work",E316="section14_item"),I316*J316,0)</f>
        <v/>
      </c>
      <c r="L316" s="9">
        <f>IF(E316="material",I316*J316,IF(E316="section15_percent",I316/100*(SUMPRODUCT((E$2:E$5000="work")*(B$2:B$5000&lt;&gt;"14")*K$2:K$5000)+SUMPRODUCT((E$2:E$5000="material")*(B$2:B$5000&lt;&gt;"14")*L$2:L$5000)),IF(E316="section15_manual",J316,0)))</f>
        <v/>
      </c>
      <c r="M316" s="7" t="n"/>
    </row>
    <row r="317">
      <c r="A317" s="6" t="inlineStr">
        <is>
          <t>да</t>
        </is>
      </c>
      <c r="B317" s="6" t="inlineStr">
        <is>
          <t>7</t>
        </is>
      </c>
      <c r="C317" s="7" t="inlineStr">
        <is>
          <t>Террасные настилы.</t>
        </is>
      </c>
      <c r="D317" s="6" t="inlineStr">
        <is>
          <t>Кашпо у лаунж зоны</t>
        </is>
      </c>
      <c r="E317" s="6" t="inlineStr">
        <is>
          <t>material</t>
        </is>
      </c>
      <c r="F317" s="6" t="n">
        <v>316</v>
      </c>
      <c r="G317" s="7" t="inlineStr">
        <is>
          <t>Сопутствующие материалы, крепеж, антисептик, унифлекс</t>
        </is>
      </c>
      <c r="H317" s="6" t="inlineStr">
        <is>
          <t>м.п.</t>
        </is>
      </c>
      <c r="I317" s="8" t="n">
        <v>15</v>
      </c>
      <c r="J317" s="8" t="n">
        <v>100</v>
      </c>
      <c r="K317" s="9">
        <f>IF(OR(E317="work",E317="section14_item"),I317*J317,0)</f>
        <v/>
      </c>
      <c r="L317" s="9">
        <f>IF(E317="material",I317*J317,IF(E317="section15_percent",I317/100*(SUMPRODUCT((E$2:E$5000="work")*(B$2:B$5000&lt;&gt;"14")*K$2:K$5000)+SUMPRODUCT((E$2:E$5000="material")*(B$2:B$5000&lt;&gt;"14")*L$2:L$5000)),IF(E317="section15_manual",J317,0)))</f>
        <v/>
      </c>
      <c r="M317" s="7" t="n"/>
    </row>
    <row r="318">
      <c r="A318" s="2" t="inlineStr">
        <is>
          <t>да</t>
        </is>
      </c>
      <c r="B318" s="2" t="inlineStr">
        <is>
          <t>7</t>
        </is>
      </c>
      <c r="C318" s="3" t="inlineStr">
        <is>
          <t>Террасные настилы.</t>
        </is>
      </c>
      <c r="D318" s="2" t="inlineStr">
        <is>
          <t>Кашпо у лаунж зоны</t>
        </is>
      </c>
      <c r="E318" s="2" t="inlineStr">
        <is>
          <t>work</t>
        </is>
      </c>
      <c r="F318" s="2" t="n">
        <v>317</v>
      </c>
      <c r="G318" s="3" t="inlineStr">
        <is>
          <t>Облицовка внутренней поверхности плоским шифером</t>
        </is>
      </c>
      <c r="H318" s="2" t="inlineStr">
        <is>
          <t>м.п.</t>
        </is>
      </c>
      <c r="I318" s="4" t="n">
        <v>15</v>
      </c>
      <c r="J318" s="4" t="n">
        <v>100</v>
      </c>
      <c r="K318" s="5">
        <f>IF(OR(E318="work",E318="section14_item"),I318*J318,0)</f>
        <v/>
      </c>
      <c r="L318" s="5">
        <f>IF(E318="material",I318*J318,IF(E318="section15_percent",I318/100*(SUMPRODUCT((E$2:E$5000="work")*(B$2:B$5000&lt;&gt;"14")*K$2:K$5000)+SUMPRODUCT((E$2:E$5000="material")*(B$2:B$5000&lt;&gt;"14")*L$2:L$5000)),IF(E318="section15_manual",J318,0)))</f>
        <v/>
      </c>
      <c r="M318" s="3" t="n"/>
    </row>
    <row r="319">
      <c r="A319" s="6" t="inlineStr">
        <is>
          <t>да</t>
        </is>
      </c>
      <c r="B319" s="6" t="inlineStr">
        <is>
          <t>7</t>
        </is>
      </c>
      <c r="C319" s="7" t="inlineStr">
        <is>
          <t>Террасные настилы.</t>
        </is>
      </c>
      <c r="D319" s="6" t="inlineStr">
        <is>
          <t>Кашпо у лаунж зоны</t>
        </is>
      </c>
      <c r="E319" s="6" t="inlineStr">
        <is>
          <t>material</t>
        </is>
      </c>
      <c r="F319" s="6" t="n">
        <v>318</v>
      </c>
      <c r="G319" s="7" t="inlineStr">
        <is>
          <t>Плоский шифер 1500*3000*10мм непресованный, крепеж</t>
        </is>
      </c>
      <c r="H319" s="6" t="inlineStr">
        <is>
          <t>шт.</t>
        </is>
      </c>
      <c r="I319" s="8" t="n">
        <v>6</v>
      </c>
      <c r="J319" s="8" t="n">
        <v>100</v>
      </c>
      <c r="K319" s="9">
        <f>IF(OR(E319="work",E319="section14_item"),I319*J319,0)</f>
        <v/>
      </c>
      <c r="L319" s="9">
        <f>IF(E319="material",I319*J319,IF(E319="section15_percent",I319/100*(SUMPRODUCT((E$2:E$5000="work")*(B$2:B$5000&lt;&gt;"14")*K$2:K$5000)+SUMPRODUCT((E$2:E$5000="material")*(B$2:B$5000&lt;&gt;"14")*L$2:L$5000)),IF(E319="section15_manual",J319,0)))</f>
        <v/>
      </c>
      <c r="M319" s="7" t="n"/>
    </row>
    <row r="320">
      <c r="A320" s="2" t="inlineStr">
        <is>
          <t>да</t>
        </is>
      </c>
      <c r="B320" s="2" t="inlineStr">
        <is>
          <t>7</t>
        </is>
      </c>
      <c r="C320" s="3" t="inlineStr">
        <is>
          <t>Террасные настилы.</t>
        </is>
      </c>
      <c r="D320" s="2" t="inlineStr">
        <is>
          <t>Кашпо у лаунж зоны</t>
        </is>
      </c>
      <c r="E320" s="2" t="inlineStr">
        <is>
          <t>work</t>
        </is>
      </c>
      <c r="F320" s="2" t="n">
        <v>319</v>
      </c>
      <c r="G320" s="3" t="inlineStr">
        <is>
          <t>Устройство гидроизоляции обмазочной</t>
        </is>
      </c>
      <c r="H320" s="2" t="inlineStr">
        <is>
          <t>м.п.</t>
        </is>
      </c>
      <c r="I320" s="4" t="n">
        <v>15</v>
      </c>
      <c r="J320" s="4" t="n">
        <v>100</v>
      </c>
      <c r="K320" s="5">
        <f>IF(OR(E320="work",E320="section14_item"),I320*J320,0)</f>
        <v/>
      </c>
      <c r="L320" s="5">
        <f>IF(E320="material",I320*J320,IF(E320="section15_percent",I320/100*(SUMPRODUCT((E$2:E$5000="work")*(B$2:B$5000&lt;&gt;"14")*K$2:K$5000)+SUMPRODUCT((E$2:E$5000="material")*(B$2:B$5000&lt;&gt;"14")*L$2:L$5000)),IF(E320="section15_manual",J320,0)))</f>
        <v/>
      </c>
      <c r="M320" s="3" t="n"/>
    </row>
    <row r="321">
      <c r="A321" s="6" t="inlineStr">
        <is>
          <t>да</t>
        </is>
      </c>
      <c r="B321" s="6" t="inlineStr">
        <is>
          <t>7</t>
        </is>
      </c>
      <c r="C321" s="7" t="inlineStr">
        <is>
          <t>Террасные настилы.</t>
        </is>
      </c>
      <c r="D321" s="6" t="inlineStr">
        <is>
          <t>Кашпо у лаунж зоны</t>
        </is>
      </c>
      <c r="E321" s="6" t="inlineStr">
        <is>
          <t>material</t>
        </is>
      </c>
      <c r="F321" s="6" t="n">
        <v>320</v>
      </c>
      <c r="G321" s="7" t="inlineStr">
        <is>
          <t>Праймер битумный Bitumast 18кг/21,5л</t>
        </is>
      </c>
      <c r="H321" s="6" t="inlineStr">
        <is>
          <t>шт.</t>
        </is>
      </c>
      <c r="I321" s="8" t="n">
        <v>1</v>
      </c>
      <c r="J321" s="8" t="n">
        <v>100</v>
      </c>
      <c r="K321" s="9">
        <f>IF(OR(E321="work",E321="section14_item"),I321*J321,0)</f>
        <v/>
      </c>
      <c r="L321" s="9">
        <f>IF(E321="material",I321*J321,IF(E321="section15_percent",I321/100*(SUMPRODUCT((E$2:E$5000="work")*(B$2:B$5000&lt;&gt;"14")*K$2:K$5000)+SUMPRODUCT((E$2:E$5000="material")*(B$2:B$5000&lt;&gt;"14")*L$2:L$5000)),IF(E321="section15_manual",J321,0)))</f>
        <v/>
      </c>
      <c r="M321" s="7" t="n"/>
    </row>
    <row r="322">
      <c r="A322" s="6" t="inlineStr">
        <is>
          <t>да</t>
        </is>
      </c>
      <c r="B322" s="6" t="inlineStr">
        <is>
          <t>7</t>
        </is>
      </c>
      <c r="C322" s="7" t="inlineStr">
        <is>
          <t>Террасные настилы.</t>
        </is>
      </c>
      <c r="D322" s="6" t="inlineStr">
        <is>
          <t>Кашпо у лаунж зоны</t>
        </is>
      </c>
      <c r="E322" s="6" t="inlineStr">
        <is>
          <t>material</t>
        </is>
      </c>
      <c r="F322" s="6" t="n">
        <v>321</v>
      </c>
      <c r="G322" s="7" t="inlineStr">
        <is>
          <t>Мастика гидроизоляционная Bitumast 18кг/21,5л</t>
        </is>
      </c>
      <c r="H322" s="6" t="inlineStr">
        <is>
          <t>шт.</t>
        </is>
      </c>
      <c r="I322" s="8" t="n">
        <v>1</v>
      </c>
      <c r="J322" s="8" t="n">
        <v>100</v>
      </c>
      <c r="K322" s="9">
        <f>IF(OR(E322="work",E322="section14_item"),I322*J322,0)</f>
        <v/>
      </c>
      <c r="L322" s="9">
        <f>IF(E322="material",I322*J322,IF(E322="section15_percent",I322/100*(SUMPRODUCT((E$2:E$5000="work")*(B$2:B$5000&lt;&gt;"14")*K$2:K$5000)+SUMPRODUCT((E$2:E$5000="material")*(B$2:B$5000&lt;&gt;"14")*L$2:L$5000)),IF(E322="section15_manual",J322,0)))</f>
        <v/>
      </c>
      <c r="M322" s="7" t="n"/>
    </row>
    <row r="323">
      <c r="A323" s="2" t="inlineStr">
        <is>
          <t>да</t>
        </is>
      </c>
      <c r="B323" s="2" t="inlineStr">
        <is>
          <t>8</t>
        </is>
      </c>
      <c r="C323" s="3" t="inlineStr">
        <is>
          <t>Освещение.</t>
        </is>
      </c>
      <c r="D323" s="2" t="inlineStr"/>
      <c r="E323" s="2" t="inlineStr">
        <is>
          <t>work</t>
        </is>
      </c>
      <c r="F323" s="2" t="n">
        <v>322</v>
      </c>
      <c r="G323" s="3" t="inlineStr">
        <is>
          <t>Устройство траншеи 0,7м с песчаным основанием для кабеля - нижняя зона</t>
        </is>
      </c>
      <c r="H323" s="2" t="inlineStr">
        <is>
          <t>м.п.</t>
        </is>
      </c>
      <c r="I323" s="4" t="n">
        <v>110</v>
      </c>
      <c r="J323" s="4" t="n">
        <v>100</v>
      </c>
      <c r="K323" s="5">
        <f>IF(OR(E323="work",E323="section14_item"),I323*J323,0)</f>
        <v/>
      </c>
      <c r="L323" s="5">
        <f>IF(E323="material",I323*J323,IF(E323="section15_percent",I323/100*(SUMPRODUCT((E$2:E$5000="work")*(B$2:B$5000&lt;&gt;"14")*K$2:K$5000)+SUMPRODUCT((E$2:E$5000="material")*(B$2:B$5000&lt;&gt;"14")*L$2:L$5000)),IF(E323="section15_manual",J323,0)))</f>
        <v/>
      </c>
      <c r="M323" s="3" t="n"/>
    </row>
    <row r="324">
      <c r="A324" s="2" t="inlineStr">
        <is>
          <t>да</t>
        </is>
      </c>
      <c r="B324" s="2" t="inlineStr">
        <is>
          <t>8</t>
        </is>
      </c>
      <c r="C324" s="3" t="inlineStr">
        <is>
          <t>Освещение.</t>
        </is>
      </c>
      <c r="D324" s="2" t="inlineStr"/>
      <c r="E324" s="2" t="inlineStr">
        <is>
          <t>work</t>
        </is>
      </c>
      <c r="F324" s="2" t="n">
        <v>323</v>
      </c>
      <c r="G324" s="3" t="inlineStr">
        <is>
          <t>Устройство траншеи 0,7м с песчаным основанием для кабеля</t>
        </is>
      </c>
      <c r="H324" s="2" t="inlineStr">
        <is>
          <t>м.п.</t>
        </is>
      </c>
      <c r="I324" s="4" t="n">
        <v>440</v>
      </c>
      <c r="J324" s="4" t="n">
        <v>100</v>
      </c>
      <c r="K324" s="5">
        <f>IF(OR(E324="work",E324="section14_item"),I324*J324,0)</f>
        <v/>
      </c>
      <c r="L324" s="5">
        <f>IF(E324="material",I324*J324,IF(E324="section15_percent",I324/100*(SUMPRODUCT((E$2:E$5000="work")*(B$2:B$5000&lt;&gt;"14")*K$2:K$5000)+SUMPRODUCT((E$2:E$5000="material")*(B$2:B$5000&lt;&gt;"14")*L$2:L$5000)),IF(E324="section15_manual",J324,0)))</f>
        <v/>
      </c>
      <c r="M324" s="3" t="n"/>
    </row>
    <row r="325">
      <c r="A325" s="6" t="inlineStr">
        <is>
          <t>да</t>
        </is>
      </c>
      <c r="B325" s="6" t="inlineStr">
        <is>
          <t>8</t>
        </is>
      </c>
      <c r="C325" s="7" t="inlineStr">
        <is>
          <t>Освещение.</t>
        </is>
      </c>
      <c r="D325" s="6" t="inlineStr"/>
      <c r="E325" s="6" t="inlineStr">
        <is>
          <t>material</t>
        </is>
      </c>
      <c r="F325" s="6" t="n">
        <v>324</v>
      </c>
      <c r="G325" s="7" t="inlineStr">
        <is>
          <t>Песок намывной (самосвал 20м3)</t>
        </is>
      </c>
      <c r="H325" s="6" t="inlineStr">
        <is>
          <t>м.куб.</t>
        </is>
      </c>
      <c r="I325" s="8" t="n">
        <v>35</v>
      </c>
      <c r="J325" s="8" t="n">
        <v>100</v>
      </c>
      <c r="K325" s="9">
        <f>IF(OR(E325="work",E325="section14_item"),I325*J325,0)</f>
        <v/>
      </c>
      <c r="L325" s="9">
        <f>IF(E325="material",I325*J325,IF(E325="section15_percent",I325/100*(SUMPRODUCT((E$2:E$5000="work")*(B$2:B$5000&lt;&gt;"14")*K$2:K$5000)+SUMPRODUCT((E$2:E$5000="material")*(B$2:B$5000&lt;&gt;"14")*L$2:L$5000)),IF(E325="section15_manual",J325,0)))</f>
        <v/>
      </c>
      <c r="M325" s="7" t="n"/>
    </row>
    <row r="326">
      <c r="A326" s="2" t="inlineStr">
        <is>
          <t>да</t>
        </is>
      </c>
      <c r="B326" s="2" t="inlineStr">
        <is>
          <t>8</t>
        </is>
      </c>
      <c r="C326" s="3" t="inlineStr">
        <is>
          <t>Освещение.</t>
        </is>
      </c>
      <c r="D326" s="2" t="inlineStr"/>
      <c r="E326" s="2" t="inlineStr">
        <is>
          <t>work</t>
        </is>
      </c>
      <c r="F326" s="2" t="n">
        <v>325</v>
      </c>
      <c r="G326" s="3" t="inlineStr">
        <is>
          <t>Перемещение материалов для покрытия на расстояние до 100м вручную в стесненных условиях</t>
        </is>
      </c>
      <c r="H326" s="2" t="inlineStr">
        <is>
          <t>м.куб.</t>
        </is>
      </c>
      <c r="I326" s="4" t="n">
        <v>35</v>
      </c>
      <c r="J326" s="4" t="n">
        <v>100</v>
      </c>
      <c r="K326" s="5">
        <f>IF(OR(E326="work",E326="section14_item"),I326*J326,0)</f>
        <v/>
      </c>
      <c r="L326" s="5">
        <f>IF(E326="material",I326*J326,IF(E326="section15_percent",I326/100*(SUMPRODUCT((E$2:E$5000="work")*(B$2:B$5000&lt;&gt;"14")*K$2:K$5000)+SUMPRODUCT((E$2:E$5000="material")*(B$2:B$5000&lt;&gt;"14")*L$2:L$5000)),IF(E326="section15_manual",J326,0)))</f>
        <v/>
      </c>
      <c r="M326" s="3" t="n"/>
    </row>
    <row r="327">
      <c r="A327" s="2" t="inlineStr">
        <is>
          <t>да</t>
        </is>
      </c>
      <c r="B327" s="2" t="inlineStr">
        <is>
          <t>8</t>
        </is>
      </c>
      <c r="C327" s="3" t="inlineStr">
        <is>
          <t>Освещение.</t>
        </is>
      </c>
      <c r="D327" s="2" t="inlineStr"/>
      <c r="E327" s="2" t="inlineStr">
        <is>
          <t>work</t>
        </is>
      </c>
      <c r="F327" s="2" t="n">
        <v>326</v>
      </c>
      <c r="G327" s="3" t="inlineStr">
        <is>
          <t>Укладка кабеля в траншею с сигнальной лентой</t>
        </is>
      </c>
      <c r="H327" s="2" t="inlineStr">
        <is>
          <t>м.п.</t>
        </is>
      </c>
      <c r="I327" s="4" t="n">
        <v>2150</v>
      </c>
      <c r="J327" s="4" t="n">
        <v>100</v>
      </c>
      <c r="K327" s="5">
        <f>IF(OR(E327="work",E327="section14_item"),I327*J327,0)</f>
        <v/>
      </c>
      <c r="L327" s="5">
        <f>IF(E327="material",I327*J327,IF(E327="section15_percent",I327/100*(SUMPRODUCT((E$2:E$5000="work")*(B$2:B$5000&lt;&gt;"14")*K$2:K$5000)+SUMPRODUCT((E$2:E$5000="material")*(B$2:B$5000&lt;&gt;"14")*L$2:L$5000)),IF(E327="section15_manual",J327,0)))</f>
        <v/>
      </c>
      <c r="M327" s="3" t="n"/>
    </row>
    <row r="328">
      <c r="A328" s="2" t="inlineStr">
        <is>
          <t>да</t>
        </is>
      </c>
      <c r="B328" s="2" t="inlineStr">
        <is>
          <t>8</t>
        </is>
      </c>
      <c r="C328" s="3" t="inlineStr">
        <is>
          <t>Освещение.</t>
        </is>
      </c>
      <c r="D328" s="2" t="inlineStr"/>
      <c r="E328" s="2" t="inlineStr">
        <is>
          <t>work</t>
        </is>
      </c>
      <c r="F328" s="2" t="n">
        <v>327</v>
      </c>
      <c r="G328" s="3" t="inlineStr">
        <is>
          <t>Укладка силового бронированного кабеля</t>
        </is>
      </c>
      <c r="H328" s="2" t="inlineStr">
        <is>
          <t>м.п.</t>
        </is>
      </c>
      <c r="I328" s="4" t="n">
        <v>220</v>
      </c>
      <c r="J328" s="4" t="n">
        <v>100</v>
      </c>
      <c r="K328" s="5">
        <f>IF(OR(E328="work",E328="section14_item"),I328*J328,0)</f>
        <v/>
      </c>
      <c r="L328" s="5">
        <f>IF(E328="material",I328*J328,IF(E328="section15_percent",I328/100*(SUMPRODUCT((E$2:E$5000="work")*(B$2:B$5000&lt;&gt;"14")*K$2:K$5000)+SUMPRODUCT((E$2:E$5000="material")*(B$2:B$5000&lt;&gt;"14")*L$2:L$5000)),IF(E328="section15_manual",J328,0)))</f>
        <v/>
      </c>
      <c r="M328" s="3" t="n"/>
    </row>
    <row r="329">
      <c r="A329" s="2" t="inlineStr">
        <is>
          <t>да</t>
        </is>
      </c>
      <c r="B329" s="2" t="inlineStr">
        <is>
          <t>8</t>
        </is>
      </c>
      <c r="C329" s="3" t="inlineStr">
        <is>
          <t>Освещение.</t>
        </is>
      </c>
      <c r="D329" s="2" t="inlineStr"/>
      <c r="E329" s="2" t="inlineStr">
        <is>
          <t>work</t>
        </is>
      </c>
      <c r="F329" s="2" t="n">
        <v>328</v>
      </c>
      <c r="G329" s="3" t="inlineStr">
        <is>
          <t>Укладка кабеля с креплением - под настилом, для освещения подпорных стенок, в стойках ограждения</t>
        </is>
      </c>
      <c r="H329" s="2" t="inlineStr">
        <is>
          <t>м.п.</t>
        </is>
      </c>
      <c r="I329" s="4" t="n">
        <v>260</v>
      </c>
      <c r="J329" s="4" t="n">
        <v>100</v>
      </c>
      <c r="K329" s="5">
        <f>IF(OR(E329="work",E329="section14_item"),I329*J329,0)</f>
        <v/>
      </c>
      <c r="L329" s="5">
        <f>IF(E329="material",I329*J329,IF(E329="section15_percent",I329/100*(SUMPRODUCT((E$2:E$5000="work")*(B$2:B$5000&lt;&gt;"14")*K$2:K$5000)+SUMPRODUCT((E$2:E$5000="material")*(B$2:B$5000&lt;&gt;"14")*L$2:L$5000)),IF(E329="section15_manual",J329,0)))</f>
        <v/>
      </c>
      <c r="M329" s="3" t="n"/>
    </row>
    <row r="330">
      <c r="A330" s="6" t="inlineStr">
        <is>
          <t>да</t>
        </is>
      </c>
      <c r="B330" s="6" t="inlineStr">
        <is>
          <t>8</t>
        </is>
      </c>
      <c r="C330" s="7" t="inlineStr">
        <is>
          <t>Освещение.</t>
        </is>
      </c>
      <c r="D330" s="6" t="inlineStr"/>
      <c r="E330" s="6" t="inlineStr">
        <is>
          <t>material</t>
        </is>
      </c>
      <c r="F330" s="6" t="n">
        <v>329</v>
      </c>
      <c r="G330" s="7" t="inlineStr">
        <is>
          <t>Кабель ВВГнг-LS 3*2,5 (бухта 100м)</t>
        </is>
      </c>
      <c r="H330" s="6" t="inlineStr">
        <is>
          <t>шт.</t>
        </is>
      </c>
      <c r="I330" s="8" t="n">
        <v>8</v>
      </c>
      <c r="J330" s="8" t="n">
        <v>100</v>
      </c>
      <c r="K330" s="9">
        <f>IF(OR(E330="work",E330="section14_item"),I330*J330,0)</f>
        <v/>
      </c>
      <c r="L330" s="9">
        <f>IF(E330="material",I330*J330,IF(E330="section15_percent",I330/100*(SUMPRODUCT((E$2:E$5000="work")*(B$2:B$5000&lt;&gt;"14")*K$2:K$5000)+SUMPRODUCT((E$2:E$5000="material")*(B$2:B$5000&lt;&gt;"14")*L$2:L$5000)),IF(E330="section15_manual",J330,0)))</f>
        <v/>
      </c>
      <c r="M330" s="7" t="n"/>
    </row>
    <row r="331">
      <c r="A331" s="6" t="inlineStr">
        <is>
          <t>да</t>
        </is>
      </c>
      <c r="B331" s="6" t="inlineStr">
        <is>
          <t>8</t>
        </is>
      </c>
      <c r="C331" s="7" t="inlineStr">
        <is>
          <t>Освещение.</t>
        </is>
      </c>
      <c r="D331" s="6" t="inlineStr"/>
      <c r="E331" s="6" t="inlineStr">
        <is>
          <t>material</t>
        </is>
      </c>
      <c r="F331" s="6" t="n">
        <v>330</v>
      </c>
      <c r="G331" s="7" t="inlineStr">
        <is>
          <t>Кабель ВВГнг-LS 3*1,5 (бухта 100м)</t>
        </is>
      </c>
      <c r="H331" s="6" t="inlineStr">
        <is>
          <t>шт.</t>
        </is>
      </c>
      <c r="I331" s="8" t="n">
        <v>16</v>
      </c>
      <c r="J331" s="8" t="n">
        <v>100</v>
      </c>
      <c r="K331" s="9">
        <f>IF(OR(E331="work",E331="section14_item"),I331*J331,0)</f>
        <v/>
      </c>
      <c r="L331" s="9">
        <f>IF(E331="material",I331*J331,IF(E331="section15_percent",I331/100*(SUMPRODUCT((E$2:E$5000="work")*(B$2:B$5000&lt;&gt;"14")*K$2:K$5000)+SUMPRODUCT((E$2:E$5000="material")*(B$2:B$5000&lt;&gt;"14")*L$2:L$5000)),IF(E331="section15_manual",J331,0)))</f>
        <v/>
      </c>
      <c r="M331" s="7" t="n"/>
    </row>
    <row r="332">
      <c r="A332" s="6" t="inlineStr">
        <is>
          <t>да</t>
        </is>
      </c>
      <c r="B332" s="6" t="inlineStr">
        <is>
          <t>8</t>
        </is>
      </c>
      <c r="C332" s="7" t="inlineStr">
        <is>
          <t>Освещение.</t>
        </is>
      </c>
      <c r="D332" s="6" t="inlineStr"/>
      <c r="E332" s="6" t="inlineStr">
        <is>
          <t>material</t>
        </is>
      </c>
      <c r="F332" s="6" t="n">
        <v>331</v>
      </c>
      <c r="G332" s="7" t="inlineStr">
        <is>
          <t>Кабель силовой ВБШв нг(А)LS 5*4,0 0,66кВ броня</t>
        </is>
      </c>
      <c r="H332" s="6" t="inlineStr">
        <is>
          <t>м.п.</t>
        </is>
      </c>
      <c r="I332" s="8" t="n">
        <v>75</v>
      </c>
      <c r="J332" s="8" t="n">
        <v>100</v>
      </c>
      <c r="K332" s="9">
        <f>IF(OR(E332="work",E332="section14_item"),I332*J332,0)</f>
        <v/>
      </c>
      <c r="L332" s="9">
        <f>IF(E332="material",I332*J332,IF(E332="section15_percent",I332/100*(SUMPRODUCT((E$2:E$5000="work")*(B$2:B$5000&lt;&gt;"14")*K$2:K$5000)+SUMPRODUCT((E$2:E$5000="material")*(B$2:B$5000&lt;&gt;"14")*L$2:L$5000)),IF(E332="section15_manual",J332,0)))</f>
        <v/>
      </c>
      <c r="M332" s="7" t="n"/>
    </row>
    <row r="333">
      <c r="A333" s="6" t="inlineStr">
        <is>
          <t>да</t>
        </is>
      </c>
      <c r="B333" s="6" t="inlineStr">
        <is>
          <t>8</t>
        </is>
      </c>
      <c r="C333" s="7" t="inlineStr">
        <is>
          <t>Освещение.</t>
        </is>
      </c>
      <c r="D333" s="6" t="inlineStr"/>
      <c r="E333" s="6" t="inlineStr">
        <is>
          <t>material</t>
        </is>
      </c>
      <c r="F333" s="6" t="n">
        <v>332</v>
      </c>
      <c r="G333" s="7" t="inlineStr">
        <is>
          <t>Кабель силовой ВБШв нг(А)LS 3*4,0 0,66кВ броня</t>
        </is>
      </c>
      <c r="H333" s="6" t="inlineStr">
        <is>
          <t>м.п.</t>
        </is>
      </c>
      <c r="I333" s="8" t="n">
        <v>140</v>
      </c>
      <c r="J333" s="8" t="n">
        <v>100</v>
      </c>
      <c r="K333" s="9">
        <f>IF(OR(E333="work",E333="section14_item"),I333*J333,0)</f>
        <v/>
      </c>
      <c r="L333" s="9">
        <f>IF(E333="material",I333*J333,IF(E333="section15_percent",I333/100*(SUMPRODUCT((E$2:E$5000="work")*(B$2:B$5000&lt;&gt;"14")*K$2:K$5000)+SUMPRODUCT((E$2:E$5000="material")*(B$2:B$5000&lt;&gt;"14")*L$2:L$5000)),IF(E333="section15_manual",J333,0)))</f>
        <v/>
      </c>
      <c r="M333" s="7" t="n"/>
    </row>
    <row r="334">
      <c r="A334" s="6" t="inlineStr">
        <is>
          <t>да</t>
        </is>
      </c>
      <c r="B334" s="6" t="inlineStr">
        <is>
          <t>8</t>
        </is>
      </c>
      <c r="C334" s="7" t="inlineStr">
        <is>
          <t>Освещение.</t>
        </is>
      </c>
      <c r="D334" s="6" t="inlineStr"/>
      <c r="E334" s="6" t="inlineStr">
        <is>
          <t>material</t>
        </is>
      </c>
      <c r="F334" s="6" t="n">
        <v>333</v>
      </c>
      <c r="G334" s="7" t="inlineStr">
        <is>
          <t>Кабель Lapp</t>
        </is>
      </c>
      <c r="H334" s="6" t="inlineStr">
        <is>
          <t>м.п.</t>
        </is>
      </c>
      <c r="I334" s="8" t="n">
        <v>35</v>
      </c>
      <c r="J334" s="8" t="n">
        <v>100</v>
      </c>
      <c r="K334" s="9">
        <f>IF(OR(E334="work",E334="section14_item"),I334*J334,0)</f>
        <v/>
      </c>
      <c r="L334" s="9">
        <f>IF(E334="material",I334*J334,IF(E334="section15_percent",I334/100*(SUMPRODUCT((E$2:E$5000="work")*(B$2:B$5000&lt;&gt;"14")*K$2:K$5000)+SUMPRODUCT((E$2:E$5000="material")*(B$2:B$5000&lt;&gt;"14")*L$2:L$5000)),IF(E334="section15_manual",J334,0)))</f>
        <v/>
      </c>
      <c r="M334" s="7" t="n"/>
    </row>
    <row r="335">
      <c r="A335" s="6" t="inlineStr">
        <is>
          <t>да</t>
        </is>
      </c>
      <c r="B335" s="6" t="inlineStr">
        <is>
          <t>8</t>
        </is>
      </c>
      <c r="C335" s="7" t="inlineStr">
        <is>
          <t>Освещение.</t>
        </is>
      </c>
      <c r="D335" s="6" t="inlineStr"/>
      <c r="E335" s="6" t="inlineStr">
        <is>
          <t>material</t>
        </is>
      </c>
      <c r="F335" s="6" t="n">
        <v>334</v>
      </c>
      <c r="G335" s="7" t="inlineStr">
        <is>
          <t>Труба гофрированная ПНД d=20мм тяжелая с зондом (бухта 100м)</t>
        </is>
      </c>
      <c r="H335" s="6" t="inlineStr">
        <is>
          <t>шт.</t>
        </is>
      </c>
      <c r="I335" s="8" t="n">
        <v>16</v>
      </c>
      <c r="J335" s="8" t="n">
        <v>100</v>
      </c>
      <c r="K335" s="9">
        <f>IF(OR(E335="work",E335="section14_item"),I335*J335,0)</f>
        <v/>
      </c>
      <c r="L335" s="9">
        <f>IF(E335="material",I335*J335,IF(E335="section15_percent",I335/100*(SUMPRODUCT((E$2:E$5000="work")*(B$2:B$5000&lt;&gt;"14")*K$2:K$5000)+SUMPRODUCT((E$2:E$5000="material")*(B$2:B$5000&lt;&gt;"14")*L$2:L$5000)),IF(E335="section15_manual",J335,0)))</f>
        <v/>
      </c>
      <c r="M335" s="7" t="n"/>
    </row>
    <row r="336">
      <c r="A336" s="6" t="inlineStr">
        <is>
          <t>да</t>
        </is>
      </c>
      <c r="B336" s="6" t="inlineStr">
        <is>
          <t>8</t>
        </is>
      </c>
      <c r="C336" s="7" t="inlineStr">
        <is>
          <t>Освещение.</t>
        </is>
      </c>
      <c r="D336" s="6" t="inlineStr"/>
      <c r="E336" s="6" t="inlineStr">
        <is>
          <t>material</t>
        </is>
      </c>
      <c r="F336" s="6" t="n">
        <v>335</v>
      </c>
      <c r="G336" s="7" t="inlineStr">
        <is>
          <t>Труба гофрированная ПНД d=16мм тяжелая с зондом (бухта 100м)</t>
        </is>
      </c>
      <c r="H336" s="6" t="inlineStr">
        <is>
          <t>шт.</t>
        </is>
      </c>
      <c r="I336" s="8" t="n">
        <v>8</v>
      </c>
      <c r="J336" s="8" t="n">
        <v>100</v>
      </c>
      <c r="K336" s="9">
        <f>IF(OR(E336="work",E336="section14_item"),I336*J336,0)</f>
        <v/>
      </c>
      <c r="L336" s="9">
        <f>IF(E336="material",I336*J336,IF(E336="section15_percent",I336/100*(SUMPRODUCT((E$2:E$5000="work")*(B$2:B$5000&lt;&gt;"14")*K$2:K$5000)+SUMPRODUCT((E$2:E$5000="material")*(B$2:B$5000&lt;&gt;"14")*L$2:L$5000)),IF(E336="section15_manual",J336,0)))</f>
        <v/>
      </c>
      <c r="M336" s="7" t="n"/>
    </row>
    <row r="337">
      <c r="A337" s="6" t="inlineStr">
        <is>
          <t>да</t>
        </is>
      </c>
      <c r="B337" s="6" t="inlineStr">
        <is>
          <t>8</t>
        </is>
      </c>
      <c r="C337" s="7" t="inlineStr">
        <is>
          <t>Освещение.</t>
        </is>
      </c>
      <c r="D337" s="6" t="inlineStr"/>
      <c r="E337" s="6" t="inlineStr">
        <is>
          <t>material</t>
        </is>
      </c>
      <c r="F337" s="6" t="n">
        <v>336</v>
      </c>
      <c r="G337" s="7" t="inlineStr">
        <is>
          <t>Сигнальная лента 100м</t>
        </is>
      </c>
      <c r="H337" s="6" t="inlineStr">
        <is>
          <t>рул.</t>
        </is>
      </c>
      <c r="I337" s="8" t="n">
        <v>6</v>
      </c>
      <c r="J337" s="8" t="n">
        <v>100</v>
      </c>
      <c r="K337" s="9">
        <f>IF(OR(E337="work",E337="section14_item"),I337*J337,0)</f>
        <v/>
      </c>
      <c r="L337" s="9">
        <f>IF(E337="material",I337*J337,IF(E337="section15_percent",I337/100*(SUMPRODUCT((E$2:E$5000="work")*(B$2:B$5000&lt;&gt;"14")*K$2:K$5000)+SUMPRODUCT((E$2:E$5000="material")*(B$2:B$5000&lt;&gt;"14")*L$2:L$5000)),IF(E337="section15_manual",J337,0)))</f>
        <v/>
      </c>
      <c r="M337" s="7" t="n"/>
    </row>
    <row r="338">
      <c r="A338" s="2" t="inlineStr">
        <is>
          <t>да</t>
        </is>
      </c>
      <c r="B338" s="2" t="inlineStr">
        <is>
          <t>8</t>
        </is>
      </c>
      <c r="C338" s="3" t="inlineStr">
        <is>
          <t>Освещение.</t>
        </is>
      </c>
      <c r="D338" s="2" t="inlineStr"/>
      <c r="E338" s="2" t="inlineStr">
        <is>
          <t>work</t>
        </is>
      </c>
      <c r="F338" s="2" t="n">
        <v>337</v>
      </c>
      <c r="G338" s="3" t="inlineStr">
        <is>
          <t>Обратная засыпка траншеи после прокладки кабеля</t>
        </is>
      </c>
      <c r="H338" s="2" t="inlineStr">
        <is>
          <t>м.п.</t>
        </is>
      </c>
      <c r="I338" s="4" t="n">
        <v>550</v>
      </c>
      <c r="J338" s="4" t="n">
        <v>100</v>
      </c>
      <c r="K338" s="5">
        <f>IF(OR(E338="work",E338="section14_item"),I338*J338,0)</f>
        <v/>
      </c>
      <c r="L338" s="5">
        <f>IF(E338="material",I338*J338,IF(E338="section15_percent",I338/100*(SUMPRODUCT((E$2:E$5000="work")*(B$2:B$5000&lt;&gt;"14")*K$2:K$5000)+SUMPRODUCT((E$2:E$5000="material")*(B$2:B$5000&lt;&gt;"14")*L$2:L$5000)),IF(E338="section15_manual",J338,0)))</f>
        <v/>
      </c>
      <c r="M338" s="3" t="n"/>
    </row>
    <row r="339">
      <c r="A339" s="2" t="inlineStr">
        <is>
          <t>да</t>
        </is>
      </c>
      <c r="B339" s="2" t="inlineStr">
        <is>
          <t>8</t>
        </is>
      </c>
      <c r="C339" s="3" t="inlineStr">
        <is>
          <t>Освещение.</t>
        </is>
      </c>
      <c r="D339" s="2" t="inlineStr"/>
      <c r="E339" s="2" t="inlineStr">
        <is>
          <t>work</t>
        </is>
      </c>
      <c r="F339" s="2" t="n">
        <v>338</v>
      </c>
      <c r="G339" s="3" t="inlineStr">
        <is>
          <t>Монтаж и расключение коробок распределительных с заливкой компаундом</t>
        </is>
      </c>
      <c r="H339" s="2" t="inlineStr">
        <is>
          <t>шт.</t>
        </is>
      </c>
      <c r="I339" s="4" t="n">
        <v>179</v>
      </c>
      <c r="J339" s="4" t="n">
        <v>100</v>
      </c>
      <c r="K339" s="5">
        <f>IF(OR(E339="work",E339="section14_item"),I339*J339,0)</f>
        <v/>
      </c>
      <c r="L339" s="5">
        <f>IF(E339="material",I339*J339,IF(E339="section15_percent",I339/100*(SUMPRODUCT((E$2:E$5000="work")*(B$2:B$5000&lt;&gt;"14")*K$2:K$5000)+SUMPRODUCT((E$2:E$5000="material")*(B$2:B$5000&lt;&gt;"14")*L$2:L$5000)),IF(E339="section15_manual",J339,0)))</f>
        <v/>
      </c>
      <c r="M339" s="3" t="n"/>
    </row>
    <row r="340">
      <c r="A340" s="6" t="inlineStr">
        <is>
          <t>да</t>
        </is>
      </c>
      <c r="B340" s="6" t="inlineStr">
        <is>
          <t>8</t>
        </is>
      </c>
      <c r="C340" s="7" t="inlineStr">
        <is>
          <t>Освещение.</t>
        </is>
      </c>
      <c r="D340" s="6" t="inlineStr"/>
      <c r="E340" s="6" t="inlineStr">
        <is>
          <t>material</t>
        </is>
      </c>
      <c r="F340" s="6" t="n">
        <v>339</v>
      </c>
      <c r="G340" s="7" t="inlineStr">
        <is>
          <t>Коробка распределительная IP68 (для грунта)</t>
        </is>
      </c>
      <c r="H340" s="6" t="inlineStr">
        <is>
          <t>шт.</t>
        </is>
      </c>
      <c r="I340" s="8" t="n">
        <v>179</v>
      </c>
      <c r="J340" s="8" t="n">
        <v>100</v>
      </c>
      <c r="K340" s="9">
        <f>IF(OR(E340="work",E340="section14_item"),I340*J340,0)</f>
        <v/>
      </c>
      <c r="L340" s="9">
        <f>IF(E340="material",I340*J340,IF(E340="section15_percent",I340/100*(SUMPRODUCT((E$2:E$5000="work")*(B$2:B$5000&lt;&gt;"14")*K$2:K$5000)+SUMPRODUCT((E$2:E$5000="material")*(B$2:B$5000&lt;&gt;"14")*L$2:L$5000)),IF(E340="section15_manual",J340,0)))</f>
        <v/>
      </c>
      <c r="M340" s="7" t="n"/>
    </row>
    <row r="341">
      <c r="A341" s="6" t="inlineStr">
        <is>
          <t>да</t>
        </is>
      </c>
      <c r="B341" s="6" t="inlineStr">
        <is>
          <t>8</t>
        </is>
      </c>
      <c r="C341" s="7" t="inlineStr">
        <is>
          <t>Освещение.</t>
        </is>
      </c>
      <c r="D341" s="6" t="inlineStr"/>
      <c r="E341" s="6" t="inlineStr">
        <is>
          <t>material</t>
        </is>
      </c>
      <c r="F341" s="6" t="n">
        <v>340</v>
      </c>
      <c r="G341" s="7" t="inlineStr">
        <is>
          <t>Клеммники WAGO 2,3,5 входа</t>
        </is>
      </c>
      <c r="H341" s="6" t="inlineStr">
        <is>
          <t>шт.</t>
        </is>
      </c>
      <c r="I341" s="8" t="n">
        <v>522</v>
      </c>
      <c r="J341" s="8" t="n">
        <v>100</v>
      </c>
      <c r="K341" s="9">
        <f>IF(OR(E341="work",E341="section14_item"),I341*J341,0)</f>
        <v/>
      </c>
      <c r="L341" s="9">
        <f>IF(E341="material",I341*J341,IF(E341="section15_percent",I341/100*(SUMPRODUCT((E$2:E$5000="work")*(B$2:B$5000&lt;&gt;"14")*K$2:K$5000)+SUMPRODUCT((E$2:E$5000="material")*(B$2:B$5000&lt;&gt;"14")*L$2:L$5000)),IF(E341="section15_manual",J341,0)))</f>
        <v/>
      </c>
      <c r="M341" s="7" t="n"/>
    </row>
    <row r="342">
      <c r="A342" s="6" t="inlineStr">
        <is>
          <t>да</t>
        </is>
      </c>
      <c r="B342" s="6" t="inlineStr">
        <is>
          <t>8</t>
        </is>
      </c>
      <c r="C342" s="7" t="inlineStr">
        <is>
          <t>Освещение.</t>
        </is>
      </c>
      <c r="D342" s="6" t="inlineStr"/>
      <c r="E342" s="6" t="inlineStr">
        <is>
          <t>material</t>
        </is>
      </c>
      <c r="F342" s="6" t="n">
        <v>341</v>
      </c>
      <c r="G342" s="7" t="inlineStr">
        <is>
          <t>Термостойкий заливочный двухкомпонентный силиконовый компаунд</t>
        </is>
      </c>
      <c r="H342" s="6" t="inlineStr">
        <is>
          <t>шт.</t>
        </is>
      </c>
      <c r="I342" s="8" t="n">
        <v>179</v>
      </c>
      <c r="J342" s="8" t="n">
        <v>100</v>
      </c>
      <c r="K342" s="9">
        <f>IF(OR(E342="work",E342="section14_item"),I342*J342,0)</f>
        <v/>
      </c>
      <c r="L342" s="9">
        <f>IF(E342="material",I342*J342,IF(E342="section15_percent",I342/100*(SUMPRODUCT((E$2:E$5000="work")*(B$2:B$5000&lt;&gt;"14")*K$2:K$5000)+SUMPRODUCT((E$2:E$5000="material")*(B$2:B$5000&lt;&gt;"14")*L$2:L$5000)),IF(E342="section15_manual",J342,0)))</f>
        <v/>
      </c>
      <c r="M342" s="7" t="n"/>
    </row>
    <row r="343">
      <c r="A343" s="2" t="inlineStr">
        <is>
          <t>да</t>
        </is>
      </c>
      <c r="B343" s="2" t="inlineStr">
        <is>
          <t>8</t>
        </is>
      </c>
      <c r="C343" s="3" t="inlineStr">
        <is>
          <t>Освещение.</t>
        </is>
      </c>
      <c r="D343" s="2" t="inlineStr"/>
      <c r="E343" s="2" t="inlineStr">
        <is>
          <t>work</t>
        </is>
      </c>
      <c r="F343" s="2" t="n">
        <v>342</v>
      </c>
      <c r="G343" s="3" t="inlineStr">
        <is>
          <t>Устройство закладных под мощением</t>
        </is>
      </c>
      <c r="H343" s="2" t="inlineStr">
        <is>
          <t>м.п.</t>
        </is>
      </c>
      <c r="I343" s="4" t="n">
        <v>35</v>
      </c>
      <c r="J343" s="4" t="n">
        <v>100</v>
      </c>
      <c r="K343" s="5">
        <f>IF(OR(E343="work",E343="section14_item"),I343*J343,0)</f>
        <v/>
      </c>
      <c r="L343" s="5">
        <f>IF(E343="material",I343*J343,IF(E343="section15_percent",I343/100*(SUMPRODUCT((E$2:E$5000="work")*(B$2:B$5000&lt;&gt;"14")*K$2:K$5000)+SUMPRODUCT((E$2:E$5000="material")*(B$2:B$5000&lt;&gt;"14")*L$2:L$5000)),IF(E343="section15_manual",J343,0)))</f>
        <v/>
      </c>
      <c r="M343" s="3" t="n"/>
    </row>
    <row r="344">
      <c r="A344" s="6" t="inlineStr">
        <is>
          <t>да</t>
        </is>
      </c>
      <c r="B344" s="6" t="inlineStr">
        <is>
          <t>8</t>
        </is>
      </c>
      <c r="C344" s="7" t="inlineStr">
        <is>
          <t>Освещение.</t>
        </is>
      </c>
      <c r="D344" s="6" t="inlineStr"/>
      <c r="E344" s="6" t="inlineStr">
        <is>
          <t>material</t>
        </is>
      </c>
      <c r="F344" s="6" t="n">
        <v>343</v>
      </c>
      <c r="G344" s="7" t="inlineStr">
        <is>
          <t>Труба двустенная гофрированная d=110мм SN4</t>
        </is>
      </c>
      <c r="H344" s="6" t="inlineStr">
        <is>
          <t>м.п.</t>
        </is>
      </c>
      <c r="I344" s="8" t="n">
        <v>35</v>
      </c>
      <c r="J344" s="8" t="n">
        <v>100</v>
      </c>
      <c r="K344" s="9">
        <f>IF(OR(E344="work",E344="section14_item"),I344*J344,0)</f>
        <v/>
      </c>
      <c r="L344" s="9">
        <f>IF(E344="material",I344*J344,IF(E344="section15_percent",I344/100*(SUMPRODUCT((E$2:E$5000="work")*(B$2:B$5000&lt;&gt;"14")*K$2:K$5000)+SUMPRODUCT((E$2:E$5000="material")*(B$2:B$5000&lt;&gt;"14")*L$2:L$5000)),IF(E344="section15_manual",J344,0)))</f>
        <v/>
      </c>
      <c r="M344" s="7" t="n"/>
    </row>
    <row r="345">
      <c r="A345" s="2" t="inlineStr">
        <is>
          <t>да</t>
        </is>
      </c>
      <c r="B345" s="2" t="inlineStr">
        <is>
          <t>8</t>
        </is>
      </c>
      <c r="C345" s="3" t="inlineStr">
        <is>
          <t>Освещение.</t>
        </is>
      </c>
      <c r="D345" s="2" t="inlineStr"/>
      <c r="E345" s="2" t="inlineStr">
        <is>
          <t>work</t>
        </is>
      </c>
      <c r="F345" s="2" t="n">
        <v>344</v>
      </c>
      <c r="G345" s="3" t="inlineStr">
        <is>
          <t>Устройство фундаментов боллардов</t>
        </is>
      </c>
      <c r="H345" s="2" t="inlineStr">
        <is>
          <t>шт.</t>
        </is>
      </c>
      <c r="I345" s="4" t="n">
        <v>51</v>
      </c>
      <c r="J345" s="4" t="n">
        <v>100</v>
      </c>
      <c r="K345" s="5">
        <f>IF(OR(E345="work",E345="section14_item"),I345*J345,0)</f>
        <v/>
      </c>
      <c r="L345" s="5">
        <f>IF(E345="material",I345*J345,IF(E345="section15_percent",I345/100*(SUMPRODUCT((E$2:E$5000="work")*(B$2:B$5000&lt;&gt;"14")*K$2:K$5000)+SUMPRODUCT((E$2:E$5000="material")*(B$2:B$5000&lt;&gt;"14")*L$2:L$5000)),IF(E345="section15_manual",J345,0)))</f>
        <v/>
      </c>
      <c r="M345" s="3" t="n"/>
    </row>
    <row r="346">
      <c r="A346" s="6" t="inlineStr">
        <is>
          <t>да</t>
        </is>
      </c>
      <c r="B346" s="6" t="inlineStr">
        <is>
          <t>8</t>
        </is>
      </c>
      <c r="C346" s="7" t="inlineStr">
        <is>
          <t>Освещение.</t>
        </is>
      </c>
      <c r="D346" s="6" t="inlineStr"/>
      <c r="E346" s="6" t="inlineStr">
        <is>
          <t>material</t>
        </is>
      </c>
      <c r="F346" s="6" t="n">
        <v>345</v>
      </c>
      <c r="G346" s="7" t="inlineStr">
        <is>
          <t>Свая буронабивная d=160мм</t>
        </is>
      </c>
      <c r="H346" s="6" t="inlineStr">
        <is>
          <t>шт.</t>
        </is>
      </c>
      <c r="I346" s="8" t="n">
        <v>51</v>
      </c>
      <c r="J346" s="8" t="n">
        <v>100</v>
      </c>
      <c r="K346" s="9">
        <f>IF(OR(E346="work",E346="section14_item"),I346*J346,0)</f>
        <v/>
      </c>
      <c r="L346" s="9">
        <f>IF(E346="material",I346*J346,IF(E346="section15_percent",I346/100*(SUMPRODUCT((E$2:E$5000="work")*(B$2:B$5000&lt;&gt;"14")*K$2:K$5000)+SUMPRODUCT((E$2:E$5000="material")*(B$2:B$5000&lt;&gt;"14")*L$2:L$5000)),IF(E346="section15_manual",J346,0)))</f>
        <v/>
      </c>
      <c r="M346" s="7" t="n"/>
    </row>
    <row r="347">
      <c r="A347" s="2" t="inlineStr">
        <is>
          <t>да</t>
        </is>
      </c>
      <c r="B347" s="2" t="inlineStr">
        <is>
          <t>8</t>
        </is>
      </c>
      <c r="C347" s="3" t="inlineStr">
        <is>
          <t>Освещение.</t>
        </is>
      </c>
      <c r="D347" s="2" t="inlineStr"/>
      <c r="E347" s="2" t="inlineStr">
        <is>
          <t>work</t>
        </is>
      </c>
      <c r="F347" s="2" t="n">
        <v>346</v>
      </c>
      <c r="G347" s="3" t="inlineStr">
        <is>
          <t>Монтаж боллардов</t>
        </is>
      </c>
      <c r="H347" s="2" t="inlineStr">
        <is>
          <t>шт.</t>
        </is>
      </c>
      <c r="I347" s="4" t="n">
        <v>27</v>
      </c>
      <c r="J347" s="4" t="n">
        <v>100</v>
      </c>
      <c r="K347" s="5">
        <f>IF(OR(E347="work",E347="section14_item"),I347*J347,0)</f>
        <v/>
      </c>
      <c r="L347" s="5">
        <f>IF(E347="material",I347*J347,IF(E347="section15_percent",I347/100*(SUMPRODUCT((E$2:E$5000="work")*(B$2:B$5000&lt;&gt;"14")*K$2:K$5000)+SUMPRODUCT((E$2:E$5000="material")*(B$2:B$5000&lt;&gt;"14")*L$2:L$5000)),IF(E347="section15_manual",J347,0)))</f>
        <v/>
      </c>
      <c r="M347" s="3" t="n"/>
    </row>
    <row r="348">
      <c r="A348" s="6" t="inlineStr">
        <is>
          <t>да</t>
        </is>
      </c>
      <c r="B348" s="6" t="inlineStr">
        <is>
          <t>8</t>
        </is>
      </c>
      <c r="C348" s="7" t="inlineStr">
        <is>
          <t>Освещение.</t>
        </is>
      </c>
      <c r="D348" s="6" t="inlineStr"/>
      <c r="E348" s="6" t="inlineStr">
        <is>
          <t>material</t>
        </is>
      </c>
      <c r="F348" s="6" t="n">
        <v>347</v>
      </c>
      <c r="G348" s="7" t="inlineStr">
        <is>
          <t>Светильник POST S4 800 BC</t>
        </is>
      </c>
      <c r="H348" s="6" t="inlineStr">
        <is>
          <t>шт.</t>
        </is>
      </c>
      <c r="I348" s="8" t="n">
        <v>27</v>
      </c>
      <c r="J348" s="8" t="n">
        <v>100</v>
      </c>
      <c r="K348" s="9">
        <f>IF(OR(E348="work",E348="section14_item"),I348*J348,0)</f>
        <v/>
      </c>
      <c r="L348" s="9">
        <f>IF(E348="material",I348*J348,IF(E348="section15_percent",I348/100*(SUMPRODUCT((E$2:E$5000="work")*(B$2:B$5000&lt;&gt;"14")*K$2:K$5000)+SUMPRODUCT((E$2:E$5000="material")*(B$2:B$5000&lt;&gt;"14")*L$2:L$5000)),IF(E348="section15_manual",J348,0)))</f>
        <v/>
      </c>
      <c r="M348" s="7" t="n"/>
    </row>
    <row r="349">
      <c r="A349" s="6" t="inlineStr">
        <is>
          <t>да</t>
        </is>
      </c>
      <c r="B349" s="6" t="inlineStr">
        <is>
          <t>8</t>
        </is>
      </c>
      <c r="C349" s="7" t="inlineStr">
        <is>
          <t>Освещение.</t>
        </is>
      </c>
      <c r="D349" s="6" t="inlineStr"/>
      <c r="E349" s="6" t="inlineStr">
        <is>
          <t>material</t>
        </is>
      </c>
      <c r="F349" s="6" t="n">
        <v>348</v>
      </c>
      <c r="G349" s="7" t="inlineStr">
        <is>
          <t>Закладное основание для установки светильников в бетон ANCHOR BASE</t>
        </is>
      </c>
      <c r="H349" s="6" t="inlineStr">
        <is>
          <t>шт.</t>
        </is>
      </c>
      <c r="I349" s="8" t="n">
        <v>27</v>
      </c>
      <c r="J349" s="8" t="n">
        <v>100</v>
      </c>
      <c r="K349" s="9">
        <f>IF(OR(E349="work",E349="section14_item"),I349*J349,0)</f>
        <v/>
      </c>
      <c r="L349" s="9">
        <f>IF(E349="material",I349*J349,IF(E349="section15_percent",I349/100*(SUMPRODUCT((E$2:E$5000="work")*(B$2:B$5000&lt;&gt;"14")*K$2:K$5000)+SUMPRODUCT((E$2:E$5000="material")*(B$2:B$5000&lt;&gt;"14")*L$2:L$5000)),IF(E349="section15_manual",J349,0)))</f>
        <v/>
      </c>
      <c r="M349" s="7" t="n"/>
    </row>
    <row r="350">
      <c r="A350" s="2" t="inlineStr">
        <is>
          <t>да</t>
        </is>
      </c>
      <c r="B350" s="2" t="inlineStr">
        <is>
          <t>8</t>
        </is>
      </c>
      <c r="C350" s="3" t="inlineStr">
        <is>
          <t>Освещение.</t>
        </is>
      </c>
      <c r="D350" s="2" t="inlineStr"/>
      <c r="E350" s="2" t="inlineStr">
        <is>
          <t>work</t>
        </is>
      </c>
      <c r="F350" s="2" t="n">
        <v>349</v>
      </c>
      <c r="G350" s="3" t="inlineStr">
        <is>
          <t>Монтаж светильников накладных на столбы ограждения лестницы в нижнюю зону</t>
        </is>
      </c>
      <c r="H350" s="2" t="inlineStr">
        <is>
          <t>шт.</t>
        </is>
      </c>
      <c r="I350" s="4" t="n">
        <v>20</v>
      </c>
      <c r="J350" s="4" t="n">
        <v>100</v>
      </c>
      <c r="K350" s="5">
        <f>IF(OR(E350="work",E350="section14_item"),I350*J350,0)</f>
        <v/>
      </c>
      <c r="L350" s="5">
        <f>IF(E350="material",I350*J350,IF(E350="section15_percent",I350/100*(SUMPRODUCT((E$2:E$5000="work")*(B$2:B$5000&lt;&gt;"14")*K$2:K$5000)+SUMPRODUCT((E$2:E$5000="material")*(B$2:B$5000&lt;&gt;"14")*L$2:L$5000)),IF(E350="section15_manual",J350,0)))</f>
        <v/>
      </c>
      <c r="M350" s="3" t="n"/>
    </row>
    <row r="351">
      <c r="A351" s="6" t="inlineStr">
        <is>
          <t>да</t>
        </is>
      </c>
      <c r="B351" s="6" t="inlineStr">
        <is>
          <t>8</t>
        </is>
      </c>
      <c r="C351" s="7" t="inlineStr">
        <is>
          <t>Освещение.</t>
        </is>
      </c>
      <c r="D351" s="6" t="inlineStr"/>
      <c r="E351" s="6" t="inlineStr">
        <is>
          <t>material</t>
        </is>
      </c>
      <c r="F351" s="6" t="n">
        <v>350</v>
      </c>
      <c r="G351" s="7" t="inlineStr">
        <is>
          <t>Светильник PRISMA ONE 0422 BC</t>
        </is>
      </c>
      <c r="H351" s="6" t="inlineStr">
        <is>
          <t>шт.</t>
        </is>
      </c>
      <c r="I351" s="8" t="n">
        <v>20</v>
      </c>
      <c r="J351" s="8" t="n">
        <v>100</v>
      </c>
      <c r="K351" s="9">
        <f>IF(OR(E351="work",E351="section14_item"),I351*J351,0)</f>
        <v/>
      </c>
      <c r="L351" s="9">
        <f>IF(E351="material",I351*J351,IF(E351="section15_percent",I351/100*(SUMPRODUCT((E$2:E$5000="work")*(B$2:B$5000&lt;&gt;"14")*K$2:K$5000)+SUMPRODUCT((E$2:E$5000="material")*(B$2:B$5000&lt;&gt;"14")*L$2:L$5000)),IF(E351="section15_manual",J351,0)))</f>
        <v/>
      </c>
      <c r="M351" s="7" t="n"/>
    </row>
    <row r="352">
      <c r="A352" s="2" t="inlineStr">
        <is>
          <t>да</t>
        </is>
      </c>
      <c r="B352" s="2" t="inlineStr">
        <is>
          <t>8</t>
        </is>
      </c>
      <c r="C352" s="3" t="inlineStr">
        <is>
          <t>Освещение.</t>
        </is>
      </c>
      <c r="D352" s="2" t="inlineStr"/>
      <c r="E352" s="2" t="inlineStr">
        <is>
          <t>work</t>
        </is>
      </c>
      <c r="F352" s="2" t="n">
        <v>351</v>
      </c>
      <c r="G352" s="3" t="inlineStr">
        <is>
          <t>Монтаж грунтовых светильников</t>
        </is>
      </c>
      <c r="H352" s="2" t="inlineStr">
        <is>
          <t>шт.</t>
        </is>
      </c>
      <c r="I352" s="4" t="n">
        <v>49</v>
      </c>
      <c r="J352" s="4" t="n">
        <v>100</v>
      </c>
      <c r="K352" s="5">
        <f>IF(OR(E352="work",E352="section14_item"),I352*J352,0)</f>
        <v/>
      </c>
      <c r="L352" s="5">
        <f>IF(E352="material",I352*J352,IF(E352="section15_percent",I352/100*(SUMPRODUCT((E$2:E$5000="work")*(B$2:B$5000&lt;&gt;"14")*K$2:K$5000)+SUMPRODUCT((E$2:E$5000="material")*(B$2:B$5000&lt;&gt;"14")*L$2:L$5000)),IF(E352="section15_manual",J352,0)))</f>
        <v/>
      </c>
      <c r="M352" s="3" t="n"/>
    </row>
    <row r="353">
      <c r="A353" s="6" t="inlineStr">
        <is>
          <t>да</t>
        </is>
      </c>
      <c r="B353" s="6" t="inlineStr">
        <is>
          <t>8</t>
        </is>
      </c>
      <c r="C353" s="7" t="inlineStr">
        <is>
          <t>Освещение.</t>
        </is>
      </c>
      <c r="D353" s="6" t="inlineStr"/>
      <c r="E353" s="6" t="inlineStr">
        <is>
          <t>material</t>
        </is>
      </c>
      <c r="F353" s="6" t="n">
        <v>352</v>
      </c>
      <c r="G353" s="7" t="inlineStr">
        <is>
          <t>Пика установочная</t>
        </is>
      </c>
      <c r="H353" s="6" t="inlineStr">
        <is>
          <t>шт.</t>
        </is>
      </c>
      <c r="I353" s="8" t="n">
        <v>49</v>
      </c>
      <c r="J353" s="8" t="n">
        <v>100</v>
      </c>
      <c r="K353" s="9">
        <f>IF(OR(E353="work",E353="section14_item"),I353*J353,0)</f>
        <v/>
      </c>
      <c r="L353" s="9">
        <f>IF(E353="material",I353*J353,IF(E353="section15_percent",I353/100*(SUMPRODUCT((E$2:E$5000="work")*(B$2:B$5000&lt;&gt;"14")*K$2:K$5000)+SUMPRODUCT((E$2:E$5000="material")*(B$2:B$5000&lt;&gt;"14")*L$2:L$5000)),IF(E353="section15_manual",J353,0)))</f>
        <v/>
      </c>
      <c r="M353" s="7" t="n"/>
    </row>
    <row r="354">
      <c r="A354" s="6" t="inlineStr">
        <is>
          <t>да</t>
        </is>
      </c>
      <c r="B354" s="6" t="inlineStr">
        <is>
          <t>8</t>
        </is>
      </c>
      <c r="C354" s="7" t="inlineStr">
        <is>
          <t>Освещение.</t>
        </is>
      </c>
      <c r="D354" s="6" t="inlineStr"/>
      <c r="E354" s="6" t="inlineStr">
        <is>
          <t>material</t>
        </is>
      </c>
      <c r="F354" s="6" t="n">
        <v>353</v>
      </c>
      <c r="G354" s="7" t="inlineStr">
        <is>
          <t>Светильник MOPS O 0827 38гр. BC с антибликовым экраном</t>
        </is>
      </c>
      <c r="H354" s="6" t="inlineStr">
        <is>
          <t>шт.</t>
        </is>
      </c>
      <c r="I354" s="8" t="n">
        <v>49</v>
      </c>
      <c r="J354" s="8" t="n">
        <v>100</v>
      </c>
      <c r="K354" s="9">
        <f>IF(OR(E354="work",E354="section14_item"),I354*J354,0)</f>
        <v/>
      </c>
      <c r="L354" s="9">
        <f>IF(E354="material",I354*J354,IF(E354="section15_percent",I354/100*(SUMPRODUCT((E$2:E$5000="work")*(B$2:B$5000&lt;&gt;"14")*K$2:K$5000)+SUMPRODUCT((E$2:E$5000="material")*(B$2:B$5000&lt;&gt;"14")*L$2:L$5000)),IF(E354="section15_manual",J354,0)))</f>
        <v/>
      </c>
      <c r="M354" s="7" t="n"/>
    </row>
    <row r="355">
      <c r="A355" s="2" t="inlineStr">
        <is>
          <t>да</t>
        </is>
      </c>
      <c r="B355" s="2" t="inlineStr">
        <is>
          <t>8</t>
        </is>
      </c>
      <c r="C355" s="3" t="inlineStr">
        <is>
          <t>Освещение.</t>
        </is>
      </c>
      <c r="D355" s="2" t="inlineStr"/>
      <c r="E355" s="2" t="inlineStr">
        <is>
          <t>work</t>
        </is>
      </c>
      <c r="F355" s="2" t="n">
        <v>354</v>
      </c>
      <c r="G355" s="3" t="inlineStr">
        <is>
          <t>Монтаж грунтовых светильников</t>
        </is>
      </c>
      <c r="H355" s="2" t="inlineStr">
        <is>
          <t>шт.</t>
        </is>
      </c>
      <c r="I355" s="4" t="n">
        <v>27</v>
      </c>
      <c r="J355" s="4" t="n">
        <v>100</v>
      </c>
      <c r="K355" s="5">
        <f>IF(OR(E355="work",E355="section14_item"),I355*J355,0)</f>
        <v/>
      </c>
      <c r="L355" s="5">
        <f>IF(E355="material",I355*J355,IF(E355="section15_percent",I355/100*(SUMPRODUCT((E$2:E$5000="work")*(B$2:B$5000&lt;&gt;"14")*K$2:K$5000)+SUMPRODUCT((E$2:E$5000="material")*(B$2:B$5000&lt;&gt;"14")*L$2:L$5000)),IF(E355="section15_manual",J355,0)))</f>
        <v/>
      </c>
      <c r="M355" s="3" t="n"/>
    </row>
    <row r="356">
      <c r="A356" s="6" t="inlineStr">
        <is>
          <t>да</t>
        </is>
      </c>
      <c r="B356" s="6" t="inlineStr">
        <is>
          <t>8</t>
        </is>
      </c>
      <c r="C356" s="7" t="inlineStr">
        <is>
          <t>Освещение.</t>
        </is>
      </c>
      <c r="D356" s="6" t="inlineStr"/>
      <c r="E356" s="6" t="inlineStr">
        <is>
          <t>material</t>
        </is>
      </c>
      <c r="F356" s="6" t="n">
        <v>355</v>
      </c>
      <c r="G356" s="7" t="inlineStr">
        <is>
          <t>Коробка распаячная WAGO BOX IP68</t>
        </is>
      </c>
      <c r="H356" s="6" t="inlineStr">
        <is>
          <t>шт.</t>
        </is>
      </c>
      <c r="I356" s="8" t="n">
        <v>27</v>
      </c>
      <c r="J356" s="8" t="n">
        <v>100</v>
      </c>
      <c r="K356" s="9">
        <f>IF(OR(E356="work",E356="section14_item"),I356*J356,0)</f>
        <v/>
      </c>
      <c r="L356" s="9">
        <f>IF(E356="material",I356*J356,IF(E356="section15_percent",I356/100*(SUMPRODUCT((E$2:E$5000="work")*(B$2:B$5000&lt;&gt;"14")*K$2:K$5000)+SUMPRODUCT((E$2:E$5000="material")*(B$2:B$5000&lt;&gt;"14")*L$2:L$5000)),IF(E356="section15_manual",J356,0)))</f>
        <v/>
      </c>
      <c r="M356" s="7" t="n"/>
    </row>
    <row r="357">
      <c r="A357" s="6" t="inlineStr">
        <is>
          <t>да</t>
        </is>
      </c>
      <c r="B357" s="6" t="inlineStr">
        <is>
          <t>8</t>
        </is>
      </c>
      <c r="C357" s="7" t="inlineStr">
        <is>
          <t>Освещение.</t>
        </is>
      </c>
      <c r="D357" s="6" t="inlineStr"/>
      <c r="E357" s="6" t="inlineStr">
        <is>
          <t>material</t>
        </is>
      </c>
      <c r="F357" s="6" t="n">
        <v>356</v>
      </c>
      <c r="G357" s="7" t="inlineStr">
        <is>
          <t>Светильник LOCUS O 26 SPIKE 48V 0222 12гр. BC</t>
        </is>
      </c>
      <c r="H357" s="6" t="inlineStr">
        <is>
          <t>шт.</t>
        </is>
      </c>
      <c r="I357" s="8" t="n">
        <v>27</v>
      </c>
      <c r="J357" s="8" t="n">
        <v>100</v>
      </c>
      <c r="K357" s="9">
        <f>IF(OR(E357="work",E357="section14_item"),I357*J357,0)</f>
        <v/>
      </c>
      <c r="L357" s="9">
        <f>IF(E357="material",I357*J357,IF(E357="section15_percent",I357/100*(SUMPRODUCT((E$2:E$5000="work")*(B$2:B$5000&lt;&gt;"14")*K$2:K$5000)+SUMPRODUCT((E$2:E$5000="material")*(B$2:B$5000&lt;&gt;"14")*L$2:L$5000)),IF(E357="section15_manual",J357,0)))</f>
        <v/>
      </c>
      <c r="M357" s="7" t="n"/>
    </row>
    <row r="358">
      <c r="A358" s="6" t="inlineStr">
        <is>
          <t>да</t>
        </is>
      </c>
      <c r="B358" s="6" t="inlineStr">
        <is>
          <t>8</t>
        </is>
      </c>
      <c r="C358" s="7" t="inlineStr">
        <is>
          <t>Освещение.</t>
        </is>
      </c>
      <c r="D358" s="6" t="inlineStr"/>
      <c r="E358" s="6" t="inlineStr">
        <is>
          <t>material</t>
        </is>
      </c>
      <c r="F358" s="6" t="n">
        <v>357</v>
      </c>
      <c r="G358" s="7" t="inlineStr">
        <is>
          <t>Источник питания POWER SPL 250-48</t>
        </is>
      </c>
      <c r="H358" s="6" t="inlineStr">
        <is>
          <t>шт.</t>
        </is>
      </c>
      <c r="I358" s="8" t="n">
        <v>1</v>
      </c>
      <c r="J358" s="8" t="n">
        <v>100</v>
      </c>
      <c r="K358" s="9">
        <f>IF(OR(E358="work",E358="section14_item"),I358*J358,0)</f>
        <v/>
      </c>
      <c r="L358" s="9">
        <f>IF(E358="material",I358*J358,IF(E358="section15_percent",I358/100*(SUMPRODUCT((E$2:E$5000="work")*(B$2:B$5000&lt;&gt;"14")*K$2:K$5000)+SUMPRODUCT((E$2:E$5000="material")*(B$2:B$5000&lt;&gt;"14")*L$2:L$5000)),IF(E358="section15_manual",J358,0)))</f>
        <v/>
      </c>
      <c r="M358" s="7" t="n"/>
    </row>
    <row r="359">
      <c r="A359" s="2" t="inlineStr">
        <is>
          <t>да</t>
        </is>
      </c>
      <c r="B359" s="2" t="inlineStr">
        <is>
          <t>8</t>
        </is>
      </c>
      <c r="C359" s="3" t="inlineStr">
        <is>
          <t>Освещение.</t>
        </is>
      </c>
      <c r="D359" s="2" t="inlineStr"/>
      <c r="E359" s="2" t="inlineStr">
        <is>
          <t>work</t>
        </is>
      </c>
      <c r="F359" s="2" t="n">
        <v>358</v>
      </c>
      <c r="G359" s="3" t="inlineStr">
        <is>
          <t>Монтаж встроенных в настил светильников с устройством отверстий в облицовке</t>
        </is>
      </c>
      <c r="H359" s="2" t="inlineStr">
        <is>
          <t>шт.</t>
        </is>
      </c>
      <c r="I359" s="4" t="n">
        <v>13</v>
      </c>
      <c r="J359" s="4" t="n">
        <v>100</v>
      </c>
      <c r="K359" s="5">
        <f>IF(OR(E359="work",E359="section14_item"),I359*J359,0)</f>
        <v/>
      </c>
      <c r="L359" s="5">
        <f>IF(E359="material",I359*J359,IF(E359="section15_percent",I359/100*(SUMPRODUCT((E$2:E$5000="work")*(B$2:B$5000&lt;&gt;"14")*K$2:K$5000)+SUMPRODUCT((E$2:E$5000="material")*(B$2:B$5000&lt;&gt;"14")*L$2:L$5000)),IF(E359="section15_manual",J359,0)))</f>
        <v/>
      </c>
      <c r="M359" s="3" t="n"/>
    </row>
    <row r="360">
      <c r="A360" s="6" t="inlineStr">
        <is>
          <t>да</t>
        </is>
      </c>
      <c r="B360" s="6" t="inlineStr">
        <is>
          <t>8</t>
        </is>
      </c>
      <c r="C360" s="7" t="inlineStr">
        <is>
          <t>Освещение.</t>
        </is>
      </c>
      <c r="D360" s="6" t="inlineStr"/>
      <c r="E360" s="6" t="inlineStr">
        <is>
          <t>material</t>
        </is>
      </c>
      <c r="F360" s="6" t="n">
        <v>359</v>
      </c>
      <c r="G360" s="7" t="inlineStr">
        <is>
          <t>Светильник настенный STEP LIGHT SLIT R0627 BC</t>
        </is>
      </c>
      <c r="H360" s="6" t="inlineStr">
        <is>
          <t>шт.</t>
        </is>
      </c>
      <c r="I360" s="8" t="n">
        <v>13</v>
      </c>
      <c r="J360" s="8" t="n">
        <v>100</v>
      </c>
      <c r="K360" s="9">
        <f>IF(OR(E360="work",E360="section14_item"),I360*J360,0)</f>
        <v/>
      </c>
      <c r="L360" s="9">
        <f>IF(E360="material",I360*J360,IF(E360="section15_percent",I360/100*(SUMPRODUCT((E$2:E$5000="work")*(B$2:B$5000&lt;&gt;"14")*K$2:K$5000)+SUMPRODUCT((E$2:E$5000="material")*(B$2:B$5000&lt;&gt;"14")*L$2:L$5000)),IF(E360="section15_manual",J360,0)))</f>
        <v/>
      </c>
      <c r="M360" s="7" t="n"/>
    </row>
    <row r="361">
      <c r="A361" s="2" t="inlineStr">
        <is>
          <t>да</t>
        </is>
      </c>
      <c r="B361" s="2" t="inlineStr">
        <is>
          <t>8</t>
        </is>
      </c>
      <c r="C361" s="3" t="inlineStr">
        <is>
          <t>Освещение.</t>
        </is>
      </c>
      <c r="D361" s="2" t="inlineStr"/>
      <c r="E361" s="2" t="inlineStr">
        <is>
          <t>work</t>
        </is>
      </c>
      <c r="F361" s="2" t="n">
        <v>360</v>
      </c>
      <c r="G361" s="3" t="inlineStr">
        <is>
          <t>Монтаж встроенных в настил светильников с устройством отверстий в облицовке</t>
        </is>
      </c>
      <c r="H361" s="2" t="inlineStr">
        <is>
          <t>шт.</t>
        </is>
      </c>
      <c r="I361" s="4" t="n">
        <v>8</v>
      </c>
      <c r="J361" s="4" t="n">
        <v>100</v>
      </c>
      <c r="K361" s="5">
        <f>IF(OR(E361="work",E361="section14_item"),I361*J361,0)</f>
        <v/>
      </c>
      <c r="L361" s="5">
        <f>IF(E361="material",I361*J361,IF(E361="section15_percent",I361/100*(SUMPRODUCT((E$2:E$5000="work")*(B$2:B$5000&lt;&gt;"14")*K$2:K$5000)+SUMPRODUCT((E$2:E$5000="material")*(B$2:B$5000&lt;&gt;"14")*L$2:L$5000)),IF(E361="section15_manual",J361,0)))</f>
        <v/>
      </c>
      <c r="M361" s="3" t="n"/>
    </row>
    <row r="362">
      <c r="A362" s="6" t="inlineStr">
        <is>
          <t>да</t>
        </is>
      </c>
      <c r="B362" s="6" t="inlineStr">
        <is>
          <t>8</t>
        </is>
      </c>
      <c r="C362" s="7" t="inlineStr">
        <is>
          <t>Освещение.</t>
        </is>
      </c>
      <c r="D362" s="6" t="inlineStr"/>
      <c r="E362" s="6" t="inlineStr">
        <is>
          <t>material</t>
        </is>
      </c>
      <c r="F362" s="6" t="n">
        <v>361</v>
      </c>
      <c r="G362" s="7" t="inlineStr">
        <is>
          <t>Светильник настенный STEP S</t>
        </is>
      </c>
      <c r="H362" s="6" t="inlineStr">
        <is>
          <t>шт.</t>
        </is>
      </c>
      <c r="I362" s="8" t="n">
        <v>8</v>
      </c>
      <c r="J362" s="8" t="n">
        <v>100</v>
      </c>
      <c r="K362" s="9">
        <f>IF(OR(E362="work",E362="section14_item"),I362*J362,0)</f>
        <v/>
      </c>
      <c r="L362" s="9">
        <f>IF(E362="material",I362*J362,IF(E362="section15_percent",I362/100*(SUMPRODUCT((E$2:E$5000="work")*(B$2:B$5000&lt;&gt;"14")*K$2:K$5000)+SUMPRODUCT((E$2:E$5000="material")*(B$2:B$5000&lt;&gt;"14")*L$2:L$5000)),IF(E362="section15_manual",J362,0)))</f>
        <v/>
      </c>
      <c r="M362" s="7" t="n"/>
    </row>
    <row r="363">
      <c r="A363" s="2" t="inlineStr">
        <is>
          <t>да</t>
        </is>
      </c>
      <c r="B363" s="2" t="inlineStr">
        <is>
          <t>8</t>
        </is>
      </c>
      <c r="C363" s="3" t="inlineStr">
        <is>
          <t>Освещение.</t>
        </is>
      </c>
      <c r="D363" s="2" t="inlineStr"/>
      <c r="E363" s="2" t="inlineStr">
        <is>
          <t>work</t>
        </is>
      </c>
      <c r="F363" s="2" t="n">
        <v>362</v>
      </c>
      <c r="G363" s="3" t="inlineStr">
        <is>
          <t>Устройство фундаментов розеток</t>
        </is>
      </c>
      <c r="H363" s="2" t="inlineStr">
        <is>
          <t>шт.</t>
        </is>
      </c>
      <c r="I363" s="4" t="n">
        <v>3</v>
      </c>
      <c r="J363" s="4" t="n">
        <v>100</v>
      </c>
      <c r="K363" s="5">
        <f>IF(OR(E363="work",E363="section14_item"),I363*J363,0)</f>
        <v/>
      </c>
      <c r="L363" s="5">
        <f>IF(E363="material",I363*J363,IF(E363="section15_percent",I363/100*(SUMPRODUCT((E$2:E$5000="work")*(B$2:B$5000&lt;&gt;"14")*K$2:K$5000)+SUMPRODUCT((E$2:E$5000="material")*(B$2:B$5000&lt;&gt;"14")*L$2:L$5000)),IF(E363="section15_manual",J363,0)))</f>
        <v/>
      </c>
      <c r="M363" s="3" t="n"/>
    </row>
    <row r="364">
      <c r="A364" s="6" t="inlineStr">
        <is>
          <t>да</t>
        </is>
      </c>
      <c r="B364" s="6" t="inlineStr">
        <is>
          <t>8</t>
        </is>
      </c>
      <c r="C364" s="7" t="inlineStr">
        <is>
          <t>Освещение.</t>
        </is>
      </c>
      <c r="D364" s="6" t="inlineStr"/>
      <c r="E364" s="6" t="inlineStr">
        <is>
          <t>material</t>
        </is>
      </c>
      <c r="F364" s="6" t="n">
        <v>363</v>
      </c>
      <c r="G364" s="7" t="inlineStr">
        <is>
          <t>Свая буронабивная d=160мм</t>
        </is>
      </c>
      <c r="H364" s="6" t="inlineStr">
        <is>
          <t>шт.</t>
        </is>
      </c>
      <c r="I364" s="8" t="n">
        <v>3</v>
      </c>
      <c r="J364" s="8" t="n">
        <v>100</v>
      </c>
      <c r="K364" s="9">
        <f>IF(OR(E364="work",E364="section14_item"),I364*J364,0)</f>
        <v/>
      </c>
      <c r="L364" s="9">
        <f>IF(E364="material",I364*J364,IF(E364="section15_percent",I364/100*(SUMPRODUCT((E$2:E$5000="work")*(B$2:B$5000&lt;&gt;"14")*K$2:K$5000)+SUMPRODUCT((E$2:E$5000="material")*(B$2:B$5000&lt;&gt;"14")*L$2:L$5000)),IF(E364="section15_manual",J364,0)))</f>
        <v/>
      </c>
      <c r="M364" s="7" t="n"/>
    </row>
    <row r="365">
      <c r="A365" s="2" t="inlineStr">
        <is>
          <t>да</t>
        </is>
      </c>
      <c r="B365" s="2" t="inlineStr">
        <is>
          <t>8</t>
        </is>
      </c>
      <c r="C365" s="3" t="inlineStr">
        <is>
          <t>Освещение.</t>
        </is>
      </c>
      <c r="D365" s="2" t="inlineStr"/>
      <c r="E365" s="2" t="inlineStr">
        <is>
          <t>work</t>
        </is>
      </c>
      <c r="F365" s="2" t="n">
        <v>364</v>
      </c>
      <c r="G365" s="3" t="inlineStr">
        <is>
          <t>Монтаж уличных розеток-столбиков</t>
        </is>
      </c>
      <c r="H365" s="2" t="inlineStr">
        <is>
          <t>шт.</t>
        </is>
      </c>
      <c r="I365" s="4" t="n">
        <v>3</v>
      </c>
      <c r="J365" s="4" t="n">
        <v>100</v>
      </c>
      <c r="K365" s="5">
        <f>IF(OR(E365="work",E365="section14_item"),I365*J365,0)</f>
        <v/>
      </c>
      <c r="L365" s="5">
        <f>IF(E365="material",I365*J365,IF(E365="section15_percent",I365/100*(SUMPRODUCT((E$2:E$5000="work")*(B$2:B$5000&lt;&gt;"14")*K$2:K$5000)+SUMPRODUCT((E$2:E$5000="material")*(B$2:B$5000&lt;&gt;"14")*L$2:L$5000)),IF(E365="section15_manual",J365,0)))</f>
        <v/>
      </c>
      <c r="M365" s="3" t="n"/>
    </row>
    <row r="366">
      <c r="A366" s="6" t="inlineStr">
        <is>
          <t>да</t>
        </is>
      </c>
      <c r="B366" s="6" t="inlineStr">
        <is>
          <t>8</t>
        </is>
      </c>
      <c r="C366" s="7" t="inlineStr">
        <is>
          <t>Освещение.</t>
        </is>
      </c>
      <c r="D366" s="6" t="inlineStr"/>
      <c r="E366" s="6" t="inlineStr">
        <is>
          <t>material</t>
        </is>
      </c>
      <c r="F366" s="6" t="n">
        <v>365</v>
      </c>
      <c r="G366" s="7" t="inlineStr">
        <is>
          <t>Розетка уличная влагозащищенная POST ELECTRO 450 BC</t>
        </is>
      </c>
      <c r="H366" s="6" t="inlineStr">
        <is>
          <t>шт.</t>
        </is>
      </c>
      <c r="I366" s="8" t="n">
        <v>3</v>
      </c>
      <c r="J366" s="8" t="n">
        <v>100</v>
      </c>
      <c r="K366" s="9">
        <f>IF(OR(E366="work",E366="section14_item"),I366*J366,0)</f>
        <v/>
      </c>
      <c r="L366" s="9">
        <f>IF(E366="material",I366*J366,IF(E366="section15_percent",I366/100*(SUMPRODUCT((E$2:E$5000="work")*(B$2:B$5000&lt;&gt;"14")*K$2:K$5000)+SUMPRODUCT((E$2:E$5000="material")*(B$2:B$5000&lt;&gt;"14")*L$2:L$5000)),IF(E366="section15_manual",J366,0)))</f>
        <v/>
      </c>
      <c r="M366" s="7" t="n"/>
    </row>
    <row r="367">
      <c r="A367" s="6" t="inlineStr">
        <is>
          <t>да</t>
        </is>
      </c>
      <c r="B367" s="6" t="inlineStr">
        <is>
          <t>8</t>
        </is>
      </c>
      <c r="C367" s="7" t="inlineStr">
        <is>
          <t>Освещение.</t>
        </is>
      </c>
      <c r="D367" s="6" t="inlineStr"/>
      <c r="E367" s="6" t="inlineStr">
        <is>
          <t>material</t>
        </is>
      </c>
      <c r="F367" s="6" t="n">
        <v>366</v>
      </c>
      <c r="G367" s="7" t="inlineStr">
        <is>
          <t>Закладное основание для установки светильников в бетон ANCHOR BASE</t>
        </is>
      </c>
      <c r="H367" s="6" t="inlineStr">
        <is>
          <t>шт.</t>
        </is>
      </c>
      <c r="I367" s="8" t="n">
        <v>3</v>
      </c>
      <c r="J367" s="8" t="n">
        <v>100</v>
      </c>
      <c r="K367" s="9">
        <f>IF(OR(E367="work",E367="section14_item"),I367*J367,0)</f>
        <v/>
      </c>
      <c r="L367" s="9">
        <f>IF(E367="material",I367*J367,IF(E367="section15_percent",I367/100*(SUMPRODUCT((E$2:E$5000="work")*(B$2:B$5000&lt;&gt;"14")*K$2:K$5000)+SUMPRODUCT((E$2:E$5000="material")*(B$2:B$5000&lt;&gt;"14")*L$2:L$5000)),IF(E367="section15_manual",J367,0)))</f>
        <v/>
      </c>
      <c r="M367" s="7" t="n"/>
    </row>
    <row r="368">
      <c r="A368" s="2" t="inlineStr">
        <is>
          <t>да</t>
        </is>
      </c>
      <c r="B368" s="2" t="inlineStr">
        <is>
          <t>8</t>
        </is>
      </c>
      <c r="C368" s="3" t="inlineStr">
        <is>
          <t>Освещение.</t>
        </is>
      </c>
      <c r="D368" s="2" t="inlineStr"/>
      <c r="E368" s="2" t="inlineStr">
        <is>
          <t>work</t>
        </is>
      </c>
      <c r="F368" s="2" t="n">
        <v>367</v>
      </c>
      <c r="G368" s="3" t="inlineStr">
        <is>
          <t>Монтаж уличных розеток, встроенных в настил</t>
        </is>
      </c>
      <c r="H368" s="2" t="inlineStr">
        <is>
          <t>шт.</t>
        </is>
      </c>
      <c r="I368" s="4" t="n">
        <v>2</v>
      </c>
      <c r="J368" s="4" t="n">
        <v>100</v>
      </c>
      <c r="K368" s="5">
        <f>IF(OR(E368="work",E368="section14_item"),I368*J368,0)</f>
        <v/>
      </c>
      <c r="L368" s="5">
        <f>IF(E368="material",I368*J368,IF(E368="section15_percent",I368/100*(SUMPRODUCT((E$2:E$5000="work")*(B$2:B$5000&lt;&gt;"14")*K$2:K$5000)+SUMPRODUCT((E$2:E$5000="material")*(B$2:B$5000&lt;&gt;"14")*L$2:L$5000)),IF(E368="section15_manual",J368,0)))</f>
        <v/>
      </c>
      <c r="M368" s="3" t="n"/>
    </row>
    <row r="369">
      <c r="A369" s="6" t="inlineStr">
        <is>
          <t>да</t>
        </is>
      </c>
      <c r="B369" s="6" t="inlineStr">
        <is>
          <t>8</t>
        </is>
      </c>
      <c r="C369" s="7" t="inlineStr">
        <is>
          <t>Освещение.</t>
        </is>
      </c>
      <c r="D369" s="6" t="inlineStr"/>
      <c r="E369" s="6" t="inlineStr">
        <is>
          <t>material</t>
        </is>
      </c>
      <c r="F369" s="6" t="n">
        <v>368</v>
      </c>
      <c r="G369" s="7" t="inlineStr">
        <is>
          <t>Розетка уличная влагозащищенная SIMON</t>
        </is>
      </c>
      <c r="H369" s="6" t="inlineStr">
        <is>
          <t>шт.</t>
        </is>
      </c>
      <c r="I369" s="8" t="n">
        <v>2</v>
      </c>
      <c r="J369" s="8" t="n">
        <v>100</v>
      </c>
      <c r="K369" s="9">
        <f>IF(OR(E369="work",E369="section14_item"),I369*J369,0)</f>
        <v/>
      </c>
      <c r="L369" s="9">
        <f>IF(E369="material",I369*J369,IF(E369="section15_percent",I369/100*(SUMPRODUCT((E$2:E$5000="work")*(B$2:B$5000&lt;&gt;"14")*K$2:K$5000)+SUMPRODUCT((E$2:E$5000="material")*(B$2:B$5000&lt;&gt;"14")*L$2:L$5000)),IF(E369="section15_manual",J369,0)))</f>
        <v/>
      </c>
      <c r="M369" s="7" t="n"/>
    </row>
    <row r="370">
      <c r="A370" s="2" t="inlineStr">
        <is>
          <t>да</t>
        </is>
      </c>
      <c r="B370" s="2" t="inlineStr">
        <is>
          <t>8</t>
        </is>
      </c>
      <c r="C370" s="3" t="inlineStr">
        <is>
          <t>Освещение.</t>
        </is>
      </c>
      <c r="D370" s="2" t="inlineStr"/>
      <c r="E370" s="2" t="inlineStr">
        <is>
          <t>work</t>
        </is>
      </c>
      <c r="F370" s="2" t="n">
        <v>369</v>
      </c>
      <c r="G370" s="3" t="inlineStr">
        <is>
          <t>Монтаж уличных розеток накладных (подпорная стенка)</t>
        </is>
      </c>
      <c r="H370" s="2" t="inlineStr">
        <is>
          <t>шт.</t>
        </is>
      </c>
      <c r="I370" s="4" t="n">
        <v>6</v>
      </c>
      <c r="J370" s="4" t="n">
        <v>100</v>
      </c>
      <c r="K370" s="5">
        <f>IF(OR(E370="work",E370="section14_item"),I370*J370,0)</f>
        <v/>
      </c>
      <c r="L370" s="5">
        <f>IF(E370="material",I370*J370,IF(E370="section15_percent",I370/100*(SUMPRODUCT((E$2:E$5000="work")*(B$2:B$5000&lt;&gt;"14")*K$2:K$5000)+SUMPRODUCT((E$2:E$5000="material")*(B$2:B$5000&lt;&gt;"14")*L$2:L$5000)),IF(E370="section15_manual",J370,0)))</f>
        <v/>
      </c>
      <c r="M370" s="3" t="n"/>
    </row>
    <row r="371">
      <c r="A371" s="6" t="inlineStr">
        <is>
          <t>да</t>
        </is>
      </c>
      <c r="B371" s="6" t="inlineStr">
        <is>
          <t>8</t>
        </is>
      </c>
      <c r="C371" s="7" t="inlineStr">
        <is>
          <t>Освещение.</t>
        </is>
      </c>
      <c r="D371" s="6" t="inlineStr"/>
      <c r="E371" s="6" t="inlineStr">
        <is>
          <t>material</t>
        </is>
      </c>
      <c r="F371" s="6" t="n">
        <v>370</v>
      </c>
      <c r="G371" s="7" t="inlineStr">
        <is>
          <t>Розетка уличная влагозащищенная MUREVA IP65</t>
        </is>
      </c>
      <c r="H371" s="6" t="inlineStr">
        <is>
          <t>шт.</t>
        </is>
      </c>
      <c r="I371" s="8" t="n">
        <v>6</v>
      </c>
      <c r="J371" s="8" t="n">
        <v>100</v>
      </c>
      <c r="K371" s="9">
        <f>IF(OR(E371="work",E371="section14_item"),I371*J371,0)</f>
        <v/>
      </c>
      <c r="L371" s="9">
        <f>IF(E371="material",I371*J371,IF(E371="section15_percent",I371/100*(SUMPRODUCT((E$2:E$5000="work")*(B$2:B$5000&lt;&gt;"14")*K$2:K$5000)+SUMPRODUCT((E$2:E$5000="material")*(B$2:B$5000&lt;&gt;"14")*L$2:L$5000)),IF(E371="section15_manual",J371,0)))</f>
        <v/>
      </c>
      <c r="M371" s="7" t="n"/>
    </row>
    <row r="372">
      <c r="A372" s="2" t="inlineStr">
        <is>
          <t>да</t>
        </is>
      </c>
      <c r="B372" s="2" t="inlineStr">
        <is>
          <t>8</t>
        </is>
      </c>
      <c r="C372" s="3" t="inlineStr">
        <is>
          <t>Освещение.</t>
        </is>
      </c>
      <c r="D372" s="2" t="inlineStr"/>
      <c r="E372" s="2" t="inlineStr">
        <is>
          <t>work</t>
        </is>
      </c>
      <c r="F372" s="2" t="n">
        <v>371</v>
      </c>
      <c r="G372" s="3" t="inlineStr">
        <is>
          <t>Устройство фундаментов под прожектор</t>
        </is>
      </c>
      <c r="H372" s="2" t="inlineStr">
        <is>
          <t>шт.</t>
        </is>
      </c>
      <c r="I372" s="4" t="n">
        <v>1</v>
      </c>
      <c r="J372" s="4" t="n">
        <v>100</v>
      </c>
      <c r="K372" s="5">
        <f>IF(OR(E372="work",E372="section14_item"),I372*J372,0)</f>
        <v/>
      </c>
      <c r="L372" s="5">
        <f>IF(E372="material",I372*J372,IF(E372="section15_percent",I372/100*(SUMPRODUCT((E$2:E$5000="work")*(B$2:B$5000&lt;&gt;"14")*K$2:K$5000)+SUMPRODUCT((E$2:E$5000="material")*(B$2:B$5000&lt;&gt;"14")*L$2:L$5000)),IF(E372="section15_manual",J372,0)))</f>
        <v/>
      </c>
      <c r="M372" s="3" t="n"/>
    </row>
    <row r="373">
      <c r="A373" s="6" t="inlineStr">
        <is>
          <t>да</t>
        </is>
      </c>
      <c r="B373" s="6" t="inlineStr">
        <is>
          <t>8</t>
        </is>
      </c>
      <c r="C373" s="7" t="inlineStr">
        <is>
          <t>Освещение.</t>
        </is>
      </c>
      <c r="D373" s="6" t="inlineStr"/>
      <c r="E373" s="6" t="inlineStr">
        <is>
          <t>material</t>
        </is>
      </c>
      <c r="F373" s="6" t="n">
        <v>372</v>
      </c>
      <c r="G373" s="7" t="inlineStr">
        <is>
          <t>Фундамент под мачтовый светильник</t>
        </is>
      </c>
      <c r="H373" s="6" t="inlineStr">
        <is>
          <t>шт.</t>
        </is>
      </c>
      <c r="I373" s="8" t="n">
        <v>1</v>
      </c>
      <c r="J373" s="8" t="n">
        <v>100</v>
      </c>
      <c r="K373" s="9">
        <f>IF(OR(E373="work",E373="section14_item"),I373*J373,0)</f>
        <v/>
      </c>
      <c r="L373" s="9">
        <f>IF(E373="material",I373*J373,IF(E373="section15_percent",I373/100*(SUMPRODUCT((E$2:E$5000="work")*(B$2:B$5000&lt;&gt;"14")*K$2:K$5000)+SUMPRODUCT((E$2:E$5000="material")*(B$2:B$5000&lt;&gt;"14")*L$2:L$5000)),IF(E373="section15_manual",J373,0)))</f>
        <v/>
      </c>
      <c r="M373" s="7" t="n"/>
    </row>
    <row r="374">
      <c r="A374" s="2" t="inlineStr">
        <is>
          <t>да</t>
        </is>
      </c>
      <c r="B374" s="2" t="inlineStr">
        <is>
          <t>8</t>
        </is>
      </c>
      <c r="C374" s="3" t="inlineStr">
        <is>
          <t>Освещение.</t>
        </is>
      </c>
      <c r="D374" s="2" t="inlineStr"/>
      <c r="E374" s="2" t="inlineStr">
        <is>
          <t>work</t>
        </is>
      </c>
      <c r="F374" s="2" t="n">
        <v>373</v>
      </c>
      <c r="G374" s="3" t="inlineStr">
        <is>
          <t>Устройство мачтовых прожекторов</t>
        </is>
      </c>
      <c r="H374" s="2" t="inlineStr">
        <is>
          <t>шт.</t>
        </is>
      </c>
      <c r="I374" s="4" t="n">
        <v>1</v>
      </c>
      <c r="J374" s="4" t="n">
        <v>100</v>
      </c>
      <c r="K374" s="5">
        <f>IF(OR(E374="work",E374="section14_item"),I374*J374,0)</f>
        <v/>
      </c>
      <c r="L374" s="5">
        <f>IF(E374="material",I374*J374,IF(E374="section15_percent",I374/100*(SUMPRODUCT((E$2:E$5000="work")*(B$2:B$5000&lt;&gt;"14")*K$2:K$5000)+SUMPRODUCT((E$2:E$5000="material")*(B$2:B$5000&lt;&gt;"14")*L$2:L$5000)),IF(E374="section15_manual",J374,0)))</f>
        <v/>
      </c>
      <c r="M374" s="3" t="n"/>
    </row>
    <row r="375">
      <c r="A375" s="6" t="inlineStr">
        <is>
          <t>да</t>
        </is>
      </c>
      <c r="B375" s="6" t="inlineStr">
        <is>
          <t>8</t>
        </is>
      </c>
      <c r="C375" s="7" t="inlineStr">
        <is>
          <t>Освещение.</t>
        </is>
      </c>
      <c r="D375" s="6" t="inlineStr"/>
      <c r="E375" s="6" t="inlineStr">
        <is>
          <t>material</t>
        </is>
      </c>
      <c r="F375" s="6" t="n">
        <v>374</v>
      </c>
      <c r="G375" s="7" t="inlineStr">
        <is>
          <t>Светильник-прожектор мачтовый PROJECTOR 5027 50гр. BC DALI</t>
        </is>
      </c>
      <c r="H375" s="6" t="inlineStr">
        <is>
          <t>шт.</t>
        </is>
      </c>
      <c r="I375" s="8" t="n">
        <v>1</v>
      </c>
      <c r="J375" s="8" t="n">
        <v>100</v>
      </c>
      <c r="K375" s="9">
        <f>IF(OR(E375="work",E375="section14_item"),I375*J375,0)</f>
        <v/>
      </c>
      <c r="L375" s="9">
        <f>IF(E375="material",I375*J375,IF(E375="section15_percent",I375/100*(SUMPRODUCT((E$2:E$5000="work")*(B$2:B$5000&lt;&gt;"14")*K$2:K$5000)+SUMPRODUCT((E$2:E$5000="material")*(B$2:B$5000&lt;&gt;"14")*L$2:L$5000)),IF(E375="section15_manual",J375,0)))</f>
        <v/>
      </c>
      <c r="M375" s="7" t="n"/>
    </row>
    <row r="376">
      <c r="A376" s="2" t="inlineStr">
        <is>
          <t>да</t>
        </is>
      </c>
      <c r="B376" s="2" t="inlineStr">
        <is>
          <t>8</t>
        </is>
      </c>
      <c r="C376" s="3" t="inlineStr">
        <is>
          <t>Освещение.</t>
        </is>
      </c>
      <c r="D376" s="2" t="inlineStr"/>
      <c r="E376" s="2" t="inlineStr">
        <is>
          <t>work</t>
        </is>
      </c>
      <c r="F376" s="2" t="n">
        <v>375</v>
      </c>
      <c r="G376" s="3" t="inlineStr">
        <is>
          <t>Устройство фундаментов под выключатель прожектора</t>
        </is>
      </c>
      <c r="H376" s="2" t="inlineStr">
        <is>
          <t>шт.</t>
        </is>
      </c>
      <c r="I376" s="4" t="n">
        <v>1</v>
      </c>
      <c r="J376" s="4" t="n">
        <v>100</v>
      </c>
      <c r="K376" s="5">
        <f>IF(OR(E376="work",E376="section14_item"),I376*J376,0)</f>
        <v/>
      </c>
      <c r="L376" s="5">
        <f>IF(E376="material",I376*J376,IF(E376="section15_percent",I376/100*(SUMPRODUCT((E$2:E$5000="work")*(B$2:B$5000&lt;&gt;"14")*K$2:K$5000)+SUMPRODUCT((E$2:E$5000="material")*(B$2:B$5000&lt;&gt;"14")*L$2:L$5000)),IF(E376="section15_manual",J376,0)))</f>
        <v/>
      </c>
      <c r="M376" s="3" t="n"/>
    </row>
    <row r="377">
      <c r="A377" s="6" t="inlineStr">
        <is>
          <t>да</t>
        </is>
      </c>
      <c r="B377" s="6" t="inlineStr">
        <is>
          <t>8</t>
        </is>
      </c>
      <c r="C377" s="7" t="inlineStr">
        <is>
          <t>Освещение.</t>
        </is>
      </c>
      <c r="D377" s="6" t="inlineStr"/>
      <c r="E377" s="6" t="inlineStr">
        <is>
          <t>material</t>
        </is>
      </c>
      <c r="F377" s="6" t="n">
        <v>376</v>
      </c>
      <c r="G377" s="7" t="inlineStr">
        <is>
          <t>Свая буронабивная d=160мм</t>
        </is>
      </c>
      <c r="H377" s="6" t="inlineStr">
        <is>
          <t>шт.</t>
        </is>
      </c>
      <c r="I377" s="8" t="n">
        <v>1</v>
      </c>
      <c r="J377" s="8" t="n">
        <v>100</v>
      </c>
      <c r="K377" s="9">
        <f>IF(OR(E377="work",E377="section14_item"),I377*J377,0)</f>
        <v/>
      </c>
      <c r="L377" s="9">
        <f>IF(E377="material",I377*J377,IF(E377="section15_percent",I377/100*(SUMPRODUCT((E$2:E$5000="work")*(B$2:B$5000&lt;&gt;"14")*K$2:K$5000)+SUMPRODUCT((E$2:E$5000="material")*(B$2:B$5000&lt;&gt;"14")*L$2:L$5000)),IF(E377="section15_manual",J377,0)))</f>
        <v/>
      </c>
      <c r="M377" s="7" t="n"/>
    </row>
    <row r="378">
      <c r="A378" s="2" t="inlineStr">
        <is>
          <t>да</t>
        </is>
      </c>
      <c r="B378" s="2" t="inlineStr">
        <is>
          <t>8</t>
        </is>
      </c>
      <c r="C378" s="3" t="inlineStr">
        <is>
          <t>Освещение.</t>
        </is>
      </c>
      <c r="D378" s="2" t="inlineStr"/>
      <c r="E378" s="2" t="inlineStr">
        <is>
          <t>work</t>
        </is>
      </c>
      <c r="F378" s="2" t="n">
        <v>377</v>
      </c>
      <c r="G378" s="3" t="inlineStr">
        <is>
          <t>Монтаж выключателя прожектора</t>
        </is>
      </c>
      <c r="H378" s="2" t="inlineStr">
        <is>
          <t>шт.</t>
        </is>
      </c>
      <c r="I378" s="4" t="n">
        <v>1</v>
      </c>
      <c r="J378" s="4" t="n">
        <v>100</v>
      </c>
      <c r="K378" s="5">
        <f>IF(OR(E378="work",E378="section14_item"),I378*J378,0)</f>
        <v/>
      </c>
      <c r="L378" s="5">
        <f>IF(E378="material",I378*J378,IF(E378="section15_percent",I378/100*(SUMPRODUCT((E$2:E$5000="work")*(B$2:B$5000&lt;&gt;"14")*K$2:K$5000)+SUMPRODUCT((E$2:E$5000="material")*(B$2:B$5000&lt;&gt;"14")*L$2:L$5000)),IF(E378="section15_manual",J378,0)))</f>
        <v/>
      </c>
      <c r="M378" s="3" t="n"/>
    </row>
    <row r="379">
      <c r="A379" s="6" t="inlineStr">
        <is>
          <t>да</t>
        </is>
      </c>
      <c r="B379" s="6" t="inlineStr">
        <is>
          <t>8</t>
        </is>
      </c>
      <c r="C379" s="7" t="inlineStr">
        <is>
          <t>Освещение.</t>
        </is>
      </c>
      <c r="D379" s="6" t="inlineStr"/>
      <c r="E379" s="6" t="inlineStr">
        <is>
          <t>material</t>
        </is>
      </c>
      <c r="F379" s="6" t="n">
        <v>378</v>
      </c>
      <c r="G379" s="7" t="inlineStr">
        <is>
          <t>Столбик окрашеный, выключатель уличный</t>
        </is>
      </c>
      <c r="H379" s="6" t="inlineStr">
        <is>
          <t>шт.</t>
        </is>
      </c>
      <c r="I379" s="8" t="n">
        <v>1</v>
      </c>
      <c r="J379" s="8" t="n">
        <v>100</v>
      </c>
      <c r="K379" s="9">
        <f>IF(OR(E379="work",E379="section14_item"),I379*J379,0)</f>
        <v/>
      </c>
      <c r="L379" s="9">
        <f>IF(E379="material",I379*J379,IF(E379="section15_percent",I379/100*(SUMPRODUCT((E$2:E$5000="work")*(B$2:B$5000&lt;&gt;"14")*K$2:K$5000)+SUMPRODUCT((E$2:E$5000="material")*(B$2:B$5000&lt;&gt;"14")*L$2:L$5000)),IF(E379="section15_manual",J379,0)))</f>
        <v/>
      </c>
      <c r="M379" s="7" t="n"/>
    </row>
    <row r="380">
      <c r="A380" s="2" t="inlineStr">
        <is>
          <t>да</t>
        </is>
      </c>
      <c r="B380" s="2" t="inlineStr">
        <is>
          <t>8</t>
        </is>
      </c>
      <c r="C380" s="3" t="inlineStr">
        <is>
          <t>Освещение.</t>
        </is>
      </c>
      <c r="D380" s="2" t="inlineStr"/>
      <c r="E380" s="2" t="inlineStr">
        <is>
          <t>work</t>
        </is>
      </c>
      <c r="F380" s="2" t="n">
        <v>379</v>
      </c>
      <c r="G380" s="3" t="inlineStr">
        <is>
          <t>Монтаж диодной ленты подсветки</t>
        </is>
      </c>
      <c r="H380" s="2" t="inlineStr">
        <is>
          <t>м.п.</t>
        </is>
      </c>
      <c r="I380" s="4" t="n">
        <v>60</v>
      </c>
      <c r="J380" s="4" t="n">
        <v>100</v>
      </c>
      <c r="K380" s="5">
        <f>IF(OR(E380="work",E380="section14_item"),I380*J380,0)</f>
        <v/>
      </c>
      <c r="L380" s="5">
        <f>IF(E380="material",I380*J380,IF(E380="section15_percent",I380/100*(SUMPRODUCT((E$2:E$5000="work")*(B$2:B$5000&lt;&gt;"14")*K$2:K$5000)+SUMPRODUCT((E$2:E$5000="material")*(B$2:B$5000&lt;&gt;"14")*L$2:L$5000)),IF(E380="section15_manual",J380,0)))</f>
        <v/>
      </c>
      <c r="M380" s="3" t="n"/>
    </row>
    <row r="381">
      <c r="A381" s="6" t="inlineStr">
        <is>
          <t>да</t>
        </is>
      </c>
      <c r="B381" s="6" t="inlineStr">
        <is>
          <t>8</t>
        </is>
      </c>
      <c r="C381" s="7" t="inlineStr">
        <is>
          <t>Освещение.</t>
        </is>
      </c>
      <c r="D381" s="6" t="inlineStr"/>
      <c r="E381" s="6" t="inlineStr">
        <is>
          <t>material</t>
        </is>
      </c>
      <c r="F381" s="6" t="n">
        <v>380</v>
      </c>
      <c r="G381" s="7" t="inlineStr">
        <is>
          <t>Лента диодная влагозащищенная, профиль</t>
        </is>
      </c>
      <c r="H381" s="6" t="inlineStr">
        <is>
          <t>м.п.</t>
        </is>
      </c>
      <c r="I381" s="8" t="n">
        <v>60</v>
      </c>
      <c r="J381" s="8" t="n">
        <v>100</v>
      </c>
      <c r="K381" s="9">
        <f>IF(OR(E381="work",E381="section14_item"),I381*J381,0)</f>
        <v/>
      </c>
      <c r="L381" s="9">
        <f>IF(E381="material",I381*J381,IF(E381="section15_percent",I381/100*(SUMPRODUCT((E$2:E$5000="work")*(B$2:B$5000&lt;&gt;"14")*K$2:K$5000)+SUMPRODUCT((E$2:E$5000="material")*(B$2:B$5000&lt;&gt;"14")*L$2:L$5000)),IF(E381="section15_manual",J381,0)))</f>
        <v/>
      </c>
      <c r="M381" s="7" t="n"/>
    </row>
    <row r="382">
      <c r="A382" s="2" t="inlineStr">
        <is>
          <t>да</t>
        </is>
      </c>
      <c r="B382" s="2" t="inlineStr">
        <is>
          <t>8</t>
        </is>
      </c>
      <c r="C382" s="3" t="inlineStr">
        <is>
          <t>Освещение.</t>
        </is>
      </c>
      <c r="D382" s="2" t="inlineStr"/>
      <c r="E382" s="2" t="inlineStr">
        <is>
          <t>work</t>
        </is>
      </c>
      <c r="F382" s="2" t="n">
        <v>381</v>
      </c>
      <c r="G382" s="3" t="inlineStr">
        <is>
          <t>Монтаж блоков питания</t>
        </is>
      </c>
      <c r="H382" s="2" t="inlineStr">
        <is>
          <t>шт.</t>
        </is>
      </c>
      <c r="I382" s="4" t="n">
        <v>2</v>
      </c>
      <c r="J382" s="4" t="n">
        <v>100</v>
      </c>
      <c r="K382" s="5">
        <f>IF(OR(E382="work",E382="section14_item"),I382*J382,0)</f>
        <v/>
      </c>
      <c r="L382" s="5">
        <f>IF(E382="material",I382*J382,IF(E382="section15_percent",I382/100*(SUMPRODUCT((E$2:E$5000="work")*(B$2:B$5000&lt;&gt;"14")*K$2:K$5000)+SUMPRODUCT((E$2:E$5000="material")*(B$2:B$5000&lt;&gt;"14")*L$2:L$5000)),IF(E382="section15_manual",J382,0)))</f>
        <v/>
      </c>
      <c r="M382" s="3" t="n"/>
    </row>
    <row r="383">
      <c r="A383" s="6" t="inlineStr">
        <is>
          <t>да</t>
        </is>
      </c>
      <c r="B383" s="6" t="inlineStr">
        <is>
          <t>8</t>
        </is>
      </c>
      <c r="C383" s="7" t="inlineStr">
        <is>
          <t>Освещение.</t>
        </is>
      </c>
      <c r="D383" s="6" t="inlineStr"/>
      <c r="E383" s="6" t="inlineStr">
        <is>
          <t>material</t>
        </is>
      </c>
      <c r="F383" s="6" t="n">
        <v>382</v>
      </c>
      <c r="G383" s="7" t="inlineStr">
        <is>
          <t>Блок питания 200Вт</t>
        </is>
      </c>
      <c r="H383" s="6" t="inlineStr">
        <is>
          <t>шт.</t>
        </is>
      </c>
      <c r="I383" s="8" t="n">
        <v>2</v>
      </c>
      <c r="J383" s="8" t="n">
        <v>100</v>
      </c>
      <c r="K383" s="9">
        <f>IF(OR(E383="work",E383="section14_item"),I383*J383,0)</f>
        <v/>
      </c>
      <c r="L383" s="9">
        <f>IF(E383="material",I383*J383,IF(E383="section15_percent",I383/100*(SUMPRODUCT((E$2:E$5000="work")*(B$2:B$5000&lt;&gt;"14")*K$2:K$5000)+SUMPRODUCT((E$2:E$5000="material")*(B$2:B$5000&lt;&gt;"14")*L$2:L$5000)),IF(E383="section15_manual",J383,0)))</f>
        <v/>
      </c>
      <c r="M383" s="7" t="n"/>
    </row>
    <row r="384">
      <c r="A384" s="2" t="inlineStr">
        <is>
          <t>да</t>
        </is>
      </c>
      <c r="B384" s="2" t="inlineStr">
        <is>
          <t>8</t>
        </is>
      </c>
      <c r="C384" s="3" t="inlineStr">
        <is>
          <t>Освещение.</t>
        </is>
      </c>
      <c r="D384" s="2" t="inlineStr"/>
      <c r="E384" s="2" t="inlineStr">
        <is>
          <t>work</t>
        </is>
      </c>
      <c r="F384" s="2" t="n">
        <v>383</v>
      </c>
      <c r="G384" s="3" t="inlineStr">
        <is>
          <t>Монтаж и сборка щитов</t>
        </is>
      </c>
      <c r="H384" s="2" t="inlineStr">
        <is>
          <t>шт.</t>
        </is>
      </c>
      <c r="I384" s="4" t="n">
        <v>1</v>
      </c>
      <c r="J384" s="4" t="n">
        <v>100</v>
      </c>
      <c r="K384" s="5">
        <f>IF(OR(E384="work",E384="section14_item"),I384*J384,0)</f>
        <v/>
      </c>
      <c r="L384" s="5">
        <f>IF(E384="material",I384*J384,IF(E384="section15_percent",I384/100*(SUMPRODUCT((E$2:E$5000="work")*(B$2:B$5000&lt;&gt;"14")*K$2:K$5000)+SUMPRODUCT((E$2:E$5000="material")*(B$2:B$5000&lt;&gt;"14")*L$2:L$5000)),IF(E384="section15_manual",J384,0)))</f>
        <v/>
      </c>
      <c r="M384" s="3" t="n"/>
    </row>
    <row r="385">
      <c r="A385" s="6" t="inlineStr">
        <is>
          <t>да</t>
        </is>
      </c>
      <c r="B385" s="6" t="inlineStr">
        <is>
          <t>8</t>
        </is>
      </c>
      <c r="C385" s="7" t="inlineStr">
        <is>
          <t>Освещение.</t>
        </is>
      </c>
      <c r="D385" s="6" t="inlineStr"/>
      <c r="E385" s="6" t="inlineStr">
        <is>
          <t>material</t>
        </is>
      </c>
      <c r="F385" s="6" t="n">
        <v>384</v>
      </c>
      <c r="G385" s="7" t="inlineStr">
        <is>
          <t>Щит управления ландшафтным освещением (щит DKC 500*600*200 IP65, кол-во модулей 72 элементы на базе ИЕК, 3 фазы 32А, 4 управляемых канала через WI-FI + ручное, 25 выходов под защитой УЗО, огнетушитель)</t>
        </is>
      </c>
      <c r="H385" s="6" t="inlineStr">
        <is>
          <t>шт.</t>
        </is>
      </c>
      <c r="I385" s="8" t="n">
        <v>1</v>
      </c>
      <c r="J385" s="8" t="n">
        <v>100</v>
      </c>
      <c r="K385" s="9">
        <f>IF(OR(E385="work",E385="section14_item"),I385*J385,0)</f>
        <v/>
      </c>
      <c r="L385" s="9">
        <f>IF(E385="material",I385*J385,IF(E385="section15_percent",I385/100*(SUMPRODUCT((E$2:E$5000="work")*(B$2:B$5000&lt;&gt;"14")*K$2:K$5000)+SUMPRODUCT((E$2:E$5000="material")*(B$2:B$5000&lt;&gt;"14")*L$2:L$5000)),IF(E385="section15_manual",J385,0)))</f>
        <v/>
      </c>
      <c r="M385" s="7" t="n"/>
    </row>
    <row r="386">
      <c r="A386" s="6" t="inlineStr">
        <is>
          <t>да</t>
        </is>
      </c>
      <c r="B386" s="6" t="inlineStr">
        <is>
          <t>8</t>
        </is>
      </c>
      <c r="C386" s="7" t="inlineStr">
        <is>
          <t>Освещение.</t>
        </is>
      </c>
      <c r="D386" s="6" t="inlineStr"/>
      <c r="E386" s="6" t="inlineStr">
        <is>
          <t>material</t>
        </is>
      </c>
      <c r="F386" s="6" t="n">
        <v>385</v>
      </c>
      <c r="G386" s="7" t="inlineStr">
        <is>
          <t>Короб метал. Для подвода кабеля к щиту 100*100 оцинк., неперфорированный, h=1,5м</t>
        </is>
      </c>
      <c r="H386" s="6" t="inlineStr">
        <is>
          <t>компл.</t>
        </is>
      </c>
      <c r="I386" s="8" t="n">
        <v>1</v>
      </c>
      <c r="J386" s="8" t="n">
        <v>100</v>
      </c>
      <c r="K386" s="9">
        <f>IF(OR(E386="work",E386="section14_item"),I386*J386,0)</f>
        <v/>
      </c>
      <c r="L386" s="9">
        <f>IF(E386="material",I386*J386,IF(E386="section15_percent",I386/100*(SUMPRODUCT((E$2:E$5000="work")*(B$2:B$5000&lt;&gt;"14")*K$2:K$5000)+SUMPRODUCT((E$2:E$5000="material")*(B$2:B$5000&lt;&gt;"14")*L$2:L$5000)),IF(E386="section15_manual",J386,0)))</f>
        <v/>
      </c>
      <c r="M386" s="7" t="n"/>
    </row>
    <row r="387">
      <c r="A387" s="2" t="inlineStr">
        <is>
          <t>да</t>
        </is>
      </c>
      <c r="B387" s="2" t="inlineStr">
        <is>
          <t>8</t>
        </is>
      </c>
      <c r="C387" s="3" t="inlineStr">
        <is>
          <t>Освещение.</t>
        </is>
      </c>
      <c r="D387" s="2" t="inlineStr"/>
      <c r="E387" s="2" t="inlineStr">
        <is>
          <t>work</t>
        </is>
      </c>
      <c r="F387" s="2" t="n">
        <v>386</v>
      </c>
      <c r="G387" s="3" t="inlineStr">
        <is>
          <t>Покраска щита и коробов в цвет дома</t>
        </is>
      </c>
      <c r="H387" s="2" t="inlineStr">
        <is>
          <t>компл.</t>
        </is>
      </c>
      <c r="I387" s="4" t="n">
        <v>1</v>
      </c>
      <c r="J387" s="4" t="n">
        <v>100</v>
      </c>
      <c r="K387" s="5">
        <f>IF(OR(E387="work",E387="section14_item"),I387*J387,0)</f>
        <v/>
      </c>
      <c r="L387" s="5">
        <f>IF(E387="material",I387*J387,IF(E387="section15_percent",I387/100*(SUMPRODUCT((E$2:E$5000="work")*(B$2:B$5000&lt;&gt;"14")*K$2:K$5000)+SUMPRODUCT((E$2:E$5000="material")*(B$2:B$5000&lt;&gt;"14")*L$2:L$5000)),IF(E387="section15_manual",J387,0)))</f>
        <v/>
      </c>
      <c r="M387" s="3" t="n"/>
    </row>
    <row r="388">
      <c r="A388" s="2" t="inlineStr">
        <is>
          <t>да</t>
        </is>
      </c>
      <c r="B388" s="2" t="inlineStr">
        <is>
          <t>8</t>
        </is>
      </c>
      <c r="C388" s="3" t="inlineStr">
        <is>
          <t>Освещение.</t>
        </is>
      </c>
      <c r="D388" s="2" t="inlineStr"/>
      <c r="E388" s="2" t="inlineStr">
        <is>
          <t>work</t>
        </is>
      </c>
      <c r="F388" s="2" t="n">
        <v>387</v>
      </c>
      <c r="G388" s="3" t="inlineStr">
        <is>
          <t>Работы по проверке цепей, параметированию и настройке оборудования</t>
        </is>
      </c>
      <c r="H388" s="2" t="inlineStr">
        <is>
          <t>компл.</t>
        </is>
      </c>
      <c r="I388" s="4" t="n">
        <v>1</v>
      </c>
      <c r="J388" s="4" t="n">
        <v>100</v>
      </c>
      <c r="K388" s="5">
        <f>IF(OR(E388="work",E388="section14_item"),I388*J388,0)</f>
        <v/>
      </c>
      <c r="L388" s="5">
        <f>IF(E388="material",I388*J388,IF(E388="section15_percent",I388/100*(SUMPRODUCT((E$2:E$5000="work")*(B$2:B$5000&lt;&gt;"14")*K$2:K$5000)+SUMPRODUCT((E$2:E$5000="material")*(B$2:B$5000&lt;&gt;"14")*L$2:L$5000)),IF(E388="section15_manual",J388,0)))</f>
        <v/>
      </c>
      <c r="M388" s="3" t="n"/>
    </row>
    <row r="389">
      <c r="A389" s="2" t="inlineStr">
        <is>
          <t>да</t>
        </is>
      </c>
      <c r="B389" s="2" t="inlineStr">
        <is>
          <t>9</t>
        </is>
      </c>
      <c r="C389" s="3" t="inlineStr">
        <is>
          <t>Газон.</t>
        </is>
      </c>
      <c r="D389" s="2" t="inlineStr"/>
      <c r="E389" s="2" t="inlineStr">
        <is>
          <t>work</t>
        </is>
      </c>
      <c r="F389" s="2" t="n">
        <v>388</v>
      </c>
      <c r="G389" s="3" t="inlineStr">
        <is>
          <t>Укладка плодородного грунта с уплотнением до слоя 15-20см вручную под газоны</t>
        </is>
      </c>
      <c r="H389" s="2" t="inlineStr">
        <is>
          <t>м.куб.</t>
        </is>
      </c>
      <c r="I389" s="4" t="n">
        <v>50</v>
      </c>
      <c r="J389" s="4" t="n">
        <v>100</v>
      </c>
      <c r="K389" s="5">
        <f>IF(OR(E389="work",E389="section14_item"),I389*J389,0)</f>
        <v/>
      </c>
      <c r="L389" s="5">
        <f>IF(E389="material",I389*J389,IF(E389="section15_percent",I389/100*(SUMPRODUCT((E$2:E$5000="work")*(B$2:B$5000&lt;&gt;"14")*K$2:K$5000)+SUMPRODUCT((E$2:E$5000="material")*(B$2:B$5000&lt;&gt;"14")*L$2:L$5000)),IF(E389="section15_manual",J389,0)))</f>
        <v/>
      </c>
      <c r="M389" s="3" t="n"/>
    </row>
    <row r="390">
      <c r="A390" s="6" t="inlineStr">
        <is>
          <t>да</t>
        </is>
      </c>
      <c r="B390" s="6" t="inlineStr">
        <is>
          <t>9</t>
        </is>
      </c>
      <c r="C390" s="7" t="inlineStr">
        <is>
          <t>Газон.</t>
        </is>
      </c>
      <c r="D390" s="6" t="inlineStr"/>
      <c r="E390" s="6" t="inlineStr">
        <is>
          <t>material</t>
        </is>
      </c>
      <c r="F390" s="6" t="n">
        <v>389</v>
      </c>
      <c r="G390" s="7" t="inlineStr">
        <is>
          <t>Грунт плодородный</t>
        </is>
      </c>
      <c r="H390" s="6" t="inlineStr">
        <is>
          <t>м.куб.</t>
        </is>
      </c>
      <c r="I390" s="8" t="n">
        <v>58.13953488372093</v>
      </c>
      <c r="J390" s="8" t="n">
        <v>100</v>
      </c>
      <c r="K390" s="9">
        <f>IF(OR(E390="work",E390="section14_item"),I390*J390,0)</f>
        <v/>
      </c>
      <c r="L390" s="9">
        <f>IF(E390="material",I390*J390,IF(E390="section15_percent",I390/100*(SUMPRODUCT((E$2:E$5000="work")*(B$2:B$5000&lt;&gt;"14")*K$2:K$5000)+SUMPRODUCT((E$2:E$5000="material")*(B$2:B$5000&lt;&gt;"14")*L$2:L$5000)),IF(E390="section15_manual",J390,0)))</f>
        <v/>
      </c>
      <c r="M390" s="7" t="n"/>
    </row>
    <row r="391">
      <c r="A391" s="2" t="inlineStr">
        <is>
          <t>да</t>
        </is>
      </c>
      <c r="B391" s="2" t="inlineStr">
        <is>
          <t>9</t>
        </is>
      </c>
      <c r="C391" s="3" t="inlineStr">
        <is>
          <t>Газон.</t>
        </is>
      </c>
      <c r="D391" s="2" t="inlineStr"/>
      <c r="E391" s="2" t="inlineStr">
        <is>
          <t>work</t>
        </is>
      </c>
      <c r="F391" s="2" t="n">
        <v>390</v>
      </c>
      <c r="G391" s="3" t="inlineStr">
        <is>
          <t>Устройство рулонного газона (чистовая планировка и уплотнение плодородного грунта 15-20см вручную; укладка газона)</t>
        </is>
      </c>
      <c r="H391" s="2" t="inlineStr">
        <is>
          <t>м.кв.</t>
        </is>
      </c>
      <c r="I391" s="4" t="n">
        <v>226</v>
      </c>
      <c r="J391" s="4" t="n">
        <v>100</v>
      </c>
      <c r="K391" s="5">
        <f>IF(OR(E391="work",E391="section14_item"),I391*J391,0)</f>
        <v/>
      </c>
      <c r="L391" s="5">
        <f>IF(E391="material",I391*J391,IF(E391="section15_percent",I391/100*(SUMPRODUCT((E$2:E$5000="work")*(B$2:B$5000&lt;&gt;"14")*K$2:K$5000)+SUMPRODUCT((E$2:E$5000="material")*(B$2:B$5000&lt;&gt;"14")*L$2:L$5000)),IF(E391="section15_manual",J391,0)))</f>
        <v/>
      </c>
      <c r="M391" s="3" t="n"/>
    </row>
    <row r="392">
      <c r="A392" s="6" t="inlineStr">
        <is>
          <t>да</t>
        </is>
      </c>
      <c r="B392" s="6" t="inlineStr">
        <is>
          <t>9</t>
        </is>
      </c>
      <c r="C392" s="7" t="inlineStr">
        <is>
          <t>Газон.</t>
        </is>
      </c>
      <c r="D392" s="6" t="inlineStr"/>
      <c r="E392" s="6" t="inlineStr">
        <is>
          <t>material</t>
        </is>
      </c>
      <c r="F392" s="6" t="n">
        <v>391</v>
      </c>
      <c r="G392" s="7" t="inlineStr">
        <is>
          <t>Газон рулонный</t>
        </is>
      </c>
      <c r="H392" s="6" t="inlineStr">
        <is>
          <t>м.кв.</t>
        </is>
      </c>
      <c r="I392" s="8" t="n">
        <v>237.3</v>
      </c>
      <c r="J392" s="8" t="n">
        <v>100</v>
      </c>
      <c r="K392" s="9">
        <f>IF(OR(E392="work",E392="section14_item"),I392*J392,0)</f>
        <v/>
      </c>
      <c r="L392" s="9">
        <f>IF(E392="material",I392*J392,IF(E392="section15_percent",I392/100*(SUMPRODUCT((E$2:E$5000="work")*(B$2:B$5000&lt;&gt;"14")*K$2:K$5000)+SUMPRODUCT((E$2:E$5000="material")*(B$2:B$5000&lt;&gt;"14")*L$2:L$5000)),IF(E392="section15_manual",J392,0)))</f>
        <v/>
      </c>
      <c r="M392" s="7" t="n"/>
    </row>
    <row r="393">
      <c r="A393" s="2" t="inlineStr">
        <is>
          <t>да</t>
        </is>
      </c>
      <c r="B393" s="2" t="inlineStr">
        <is>
          <t>9</t>
        </is>
      </c>
      <c r="C393" s="3" t="inlineStr">
        <is>
          <t>Газон.</t>
        </is>
      </c>
      <c r="D393" s="2" t="inlineStr"/>
      <c r="E393" s="2" t="inlineStr">
        <is>
          <t>work</t>
        </is>
      </c>
      <c r="F393" s="2" t="n">
        <v>392</v>
      </c>
      <c r="G393" s="3" t="inlineStr">
        <is>
          <t>Обрезка края газона</t>
        </is>
      </c>
      <c r="H393" s="2" t="inlineStr">
        <is>
          <t>м.п.</t>
        </is>
      </c>
      <c r="I393" s="4" t="n">
        <v>226</v>
      </c>
      <c r="J393" s="4" t="n">
        <v>100</v>
      </c>
      <c r="K393" s="5">
        <f>IF(OR(E393="work",E393="section14_item"),I393*J393,0)</f>
        <v/>
      </c>
      <c r="L393" s="5">
        <f>IF(E393="material",I393*J393,IF(E393="section15_percent",I393/100*(SUMPRODUCT((E$2:E$5000="work")*(B$2:B$5000&lt;&gt;"14")*K$2:K$5000)+SUMPRODUCT((E$2:E$5000="material")*(B$2:B$5000&lt;&gt;"14")*L$2:L$5000)),IF(E393="section15_manual",J393,0)))</f>
        <v/>
      </c>
      <c r="M393" s="3" t="n"/>
    </row>
    <row r="394">
      <c r="A394" s="2" t="inlineStr">
        <is>
          <t>да</t>
        </is>
      </c>
      <c r="B394" s="2" t="inlineStr">
        <is>
          <t>10</t>
        </is>
      </c>
      <c r="C394" s="3" t="inlineStr">
        <is>
          <t>Ограждение стеклянное</t>
        </is>
      </c>
      <c r="D394" s="2" t="inlineStr"/>
      <c r="E394" s="2" t="inlineStr">
        <is>
          <t>work</t>
        </is>
      </c>
      <c r="F394" s="2" t="n">
        <v>393</v>
      </c>
      <c r="G394" s="3" t="inlineStr">
        <is>
          <t>Комплекс работ по устройству сдвижного остекленения B50</t>
        </is>
      </c>
      <c r="H394" s="2" t="inlineStr">
        <is>
          <t>м.п.</t>
        </is>
      </c>
      <c r="I394" s="4" t="n">
        <v>46.3</v>
      </c>
      <c r="J394" s="4" t="n">
        <v>100</v>
      </c>
      <c r="K394" s="5">
        <f>IF(OR(E394="work",E394="section14_item"),I394*J394,0)</f>
        <v/>
      </c>
      <c r="L394" s="5">
        <f>IF(E394="material",I394*J394,IF(E394="section15_percent",I394/100*(SUMPRODUCT((E$2:E$5000="work")*(B$2:B$5000&lt;&gt;"14")*K$2:K$5000)+SUMPRODUCT((E$2:E$5000="material")*(B$2:B$5000&lt;&gt;"14")*L$2:L$5000)),IF(E394="section15_manual",J394,0)))</f>
        <v/>
      </c>
      <c r="M394" s="3" t="n"/>
    </row>
    <row r="395">
      <c r="A395" s="6" t="inlineStr">
        <is>
          <t>да</t>
        </is>
      </c>
      <c r="B395" s="6" t="inlineStr">
        <is>
          <t>10</t>
        </is>
      </c>
      <c r="C395" s="7" t="inlineStr">
        <is>
          <t>Ограждение стеклянное</t>
        </is>
      </c>
      <c r="D395" s="6" t="inlineStr"/>
      <c r="E395" s="6" t="inlineStr">
        <is>
          <t>material</t>
        </is>
      </c>
      <c r="F395" s="6" t="n">
        <v>394</v>
      </c>
      <c r="G395" s="7" t="inlineStr">
        <is>
          <t>Стекло 6+6мм триплекс, анкерные крепления, закладные</t>
        </is>
      </c>
      <c r="H395" s="6" t="inlineStr">
        <is>
          <t>м.п.</t>
        </is>
      </c>
      <c r="I395" s="8" t="n">
        <v>46.3</v>
      </c>
      <c r="J395" s="8" t="n">
        <v>100</v>
      </c>
      <c r="K395" s="9">
        <f>IF(OR(E395="work",E395="section14_item"),I395*J395,0)</f>
        <v/>
      </c>
      <c r="L395" s="9">
        <f>IF(E395="material",I395*J395,IF(E395="section15_percent",I395/100*(SUMPRODUCT((E$2:E$5000="work")*(B$2:B$5000&lt;&gt;"14")*K$2:K$5000)+SUMPRODUCT((E$2:E$5000="material")*(B$2:B$5000&lt;&gt;"14")*L$2:L$5000)),IF(E395="section15_manual",J395,0)))</f>
        <v/>
      </c>
      <c r="M395" s="7" t="n"/>
    </row>
    <row r="396">
      <c r="A396" s="2" t="inlineStr">
        <is>
          <t>да</t>
        </is>
      </c>
      <c r="B396" s="2" t="inlineStr">
        <is>
          <t>11</t>
        </is>
      </c>
      <c r="C396" s="3" t="inlineStr">
        <is>
          <t>Автополив</t>
        </is>
      </c>
      <c r="D396" s="2" t="inlineStr"/>
      <c r="E396" s="2" t="inlineStr">
        <is>
          <t>work</t>
        </is>
      </c>
      <c r="F396" s="2" t="n">
        <v>395</v>
      </c>
      <c r="G396" s="3" t="inlineStr">
        <is>
          <t>Комплекс работ по устройству автополива</t>
        </is>
      </c>
      <c r="H396" s="2" t="inlineStr">
        <is>
          <t>компл.</t>
        </is>
      </c>
      <c r="I396" s="4" t="n">
        <v>1</v>
      </c>
      <c r="J396" s="4" t="n">
        <v>100</v>
      </c>
      <c r="K396" s="5">
        <f>IF(OR(E396="work",E396="section14_item"),I396*J396,0)</f>
        <v/>
      </c>
      <c r="L396" s="5">
        <f>IF(E396="material",I396*J396,IF(E396="section15_percent",I396/100*(SUMPRODUCT((E$2:E$5000="work")*(B$2:B$5000&lt;&gt;"14")*K$2:K$5000)+SUMPRODUCT((E$2:E$5000="material")*(B$2:B$5000&lt;&gt;"14")*L$2:L$5000)),IF(E396="section15_manual",J396,0)))</f>
        <v/>
      </c>
      <c r="M396" s="3" t="n"/>
    </row>
    <row r="397">
      <c r="A397" s="6" t="inlineStr">
        <is>
          <t>да</t>
        </is>
      </c>
      <c r="B397" s="6" t="inlineStr">
        <is>
          <t>11</t>
        </is>
      </c>
      <c r="C397" s="7" t="inlineStr">
        <is>
          <t>Автополив</t>
        </is>
      </c>
      <c r="D397" s="6" t="inlineStr"/>
      <c r="E397" s="6" t="inlineStr">
        <is>
          <t>material</t>
        </is>
      </c>
      <c r="F397" s="6" t="n">
        <v>396</v>
      </c>
      <c r="G397" s="7" t="inlineStr">
        <is>
          <t>Материалы для автополива</t>
        </is>
      </c>
      <c r="H397" s="6" t="inlineStr">
        <is>
          <t>компл.</t>
        </is>
      </c>
      <c r="I397" s="8" t="n">
        <v>1</v>
      </c>
      <c r="J397" s="8" t="n">
        <v>100</v>
      </c>
      <c r="K397" s="9">
        <f>IF(OR(E397="work",E397="section14_item"),I397*J397,0)</f>
        <v/>
      </c>
      <c r="L397" s="9">
        <f>IF(E397="material",I397*J397,IF(E397="section15_percent",I397/100*(SUMPRODUCT((E$2:E$5000="work")*(B$2:B$5000&lt;&gt;"14")*K$2:K$5000)+SUMPRODUCT((E$2:E$5000="material")*(B$2:B$5000&lt;&gt;"14")*L$2:L$5000)),IF(E397="section15_manual",J397,0)))</f>
        <v/>
      </c>
      <c r="M397" s="7" t="n"/>
    </row>
    <row r="398">
      <c r="A398" s="2" t="inlineStr">
        <is>
          <t>да</t>
        </is>
      </c>
      <c r="B398" s="2" t="inlineStr">
        <is>
          <t>12</t>
        </is>
      </c>
      <c r="C398" s="3" t="inlineStr">
        <is>
          <t>Бассейн</t>
        </is>
      </c>
      <c r="D398" s="2" t="inlineStr"/>
      <c r="E398" s="2" t="inlineStr">
        <is>
          <t>work</t>
        </is>
      </c>
      <c r="F398" s="2" t="n">
        <v>397</v>
      </c>
      <c r="G398" s="3" t="inlineStr">
        <is>
          <t>Комплекс работ по устройству бассейна</t>
        </is>
      </c>
      <c r="H398" s="2" t="inlineStr">
        <is>
          <t>компл.</t>
        </is>
      </c>
      <c r="I398" s="4" t="n">
        <v>1</v>
      </c>
      <c r="J398" s="4" t="n">
        <v>100</v>
      </c>
      <c r="K398" s="5">
        <f>IF(OR(E398="work",E398="section14_item"),I398*J398,0)</f>
        <v/>
      </c>
      <c r="L398" s="5">
        <f>IF(E398="material",I398*J398,IF(E398="section15_percent",I398/100*(SUMPRODUCT((E$2:E$5000="work")*(B$2:B$5000&lt;&gt;"14")*K$2:K$5000)+SUMPRODUCT((E$2:E$5000="material")*(B$2:B$5000&lt;&gt;"14")*L$2:L$5000)),IF(E398="section15_manual",J398,0)))</f>
        <v/>
      </c>
      <c r="M398" s="3" t="n"/>
    </row>
    <row r="399">
      <c r="A399" s="6" t="inlineStr">
        <is>
          <t>да</t>
        </is>
      </c>
      <c r="B399" s="6" t="inlineStr">
        <is>
          <t>12</t>
        </is>
      </c>
      <c r="C399" s="7" t="inlineStr">
        <is>
          <t>Бассейн</t>
        </is>
      </c>
      <c r="D399" s="6" t="inlineStr"/>
      <c r="E399" s="6" t="inlineStr">
        <is>
          <t>material</t>
        </is>
      </c>
      <c r="F399" s="6" t="n">
        <v>398</v>
      </c>
      <c r="G399" s="7" t="inlineStr">
        <is>
          <t>Автоматика и пленка</t>
        </is>
      </c>
      <c r="H399" s="6" t="inlineStr">
        <is>
          <t>компл.</t>
        </is>
      </c>
      <c r="I399" s="8" t="n">
        <v>1</v>
      </c>
      <c r="J399" s="8" t="n">
        <v>100</v>
      </c>
      <c r="K399" s="9">
        <f>IF(OR(E399="work",E399="section14_item"),I399*J399,0)</f>
        <v/>
      </c>
      <c r="L399" s="9">
        <f>IF(E399="material",I399*J399,IF(E399="section15_percent",I399/100*(SUMPRODUCT((E$2:E$5000="work")*(B$2:B$5000&lt;&gt;"14")*K$2:K$5000)+SUMPRODUCT((E$2:E$5000="material")*(B$2:B$5000&lt;&gt;"14")*L$2:L$5000)),IF(E399="section15_manual",J399,0)))</f>
        <v/>
      </c>
      <c r="M399" s="7" t="n"/>
    </row>
    <row r="400">
      <c r="A400" s="2" t="inlineStr">
        <is>
          <t>да</t>
        </is>
      </c>
      <c r="B400" s="2" t="inlineStr">
        <is>
          <t>13</t>
        </is>
      </c>
      <c r="C400" s="3" t="inlineStr">
        <is>
          <t>Антиобледенение</t>
        </is>
      </c>
      <c r="D400" s="2" t="inlineStr"/>
      <c r="E400" s="2" t="inlineStr">
        <is>
          <t>work</t>
        </is>
      </c>
      <c r="F400" s="2" t="n">
        <v>399</v>
      </c>
      <c r="G400" s="3" t="inlineStr">
        <is>
          <t>Устройство системы антиобледенения автомобильного мощения</t>
        </is>
      </c>
      <c r="H400" s="2" t="inlineStr">
        <is>
          <t>компл.</t>
        </is>
      </c>
      <c r="I400" s="4" t="n">
        <v>1</v>
      </c>
      <c r="J400" s="4" t="n">
        <v>100</v>
      </c>
      <c r="K400" s="5">
        <f>IF(OR(E400="work",E400="section14_item"),I400*J400,0)</f>
        <v/>
      </c>
      <c r="L400" s="5">
        <f>IF(E400="material",I400*J400,IF(E400="section15_percent",I400/100*(SUMPRODUCT((E$2:E$5000="work")*(B$2:B$5000&lt;&gt;"14")*K$2:K$5000)+SUMPRODUCT((E$2:E$5000="material")*(B$2:B$5000&lt;&gt;"14")*L$2:L$5000)),IF(E400="section15_manual",J400,0)))</f>
        <v/>
      </c>
      <c r="M400" s="3" t="n"/>
    </row>
    <row r="401">
      <c r="A401" s="6" t="inlineStr">
        <is>
          <t>да</t>
        </is>
      </c>
      <c r="B401" s="6" t="inlineStr">
        <is>
          <t>13</t>
        </is>
      </c>
      <c r="C401" s="7" t="inlineStr">
        <is>
          <t>Антиобледенение</t>
        </is>
      </c>
      <c r="D401" s="6" t="inlineStr"/>
      <c r="E401" s="6" t="inlineStr">
        <is>
          <t>material</t>
        </is>
      </c>
      <c r="F401" s="6" t="n">
        <v>400</v>
      </c>
      <c r="G401" s="7" t="inlineStr">
        <is>
          <t>Материалы для системы антиобледенения</t>
        </is>
      </c>
      <c r="H401" s="6" t="inlineStr">
        <is>
          <t>компл.</t>
        </is>
      </c>
      <c r="I401" s="8" t="n">
        <v>1</v>
      </c>
      <c r="J401" s="8" t="n">
        <v>100</v>
      </c>
      <c r="K401" s="9">
        <f>IF(OR(E401="work",E401="section14_item"),I401*J401,0)</f>
        <v/>
      </c>
      <c r="L401" s="9">
        <f>IF(E401="material",I401*J401,IF(E401="section15_percent",I401/100*(SUMPRODUCT((E$2:E$5000="work")*(B$2:B$5000&lt;&gt;"14")*K$2:K$5000)+SUMPRODUCT((E$2:E$5000="material")*(B$2:B$5000&lt;&gt;"14")*L$2:L$5000)),IF(E401="section15_manual",J401,0)))</f>
        <v/>
      </c>
      <c r="M401" s="7" t="n"/>
    </row>
    <row r="402">
      <c r="A402" s="2" t="inlineStr">
        <is>
          <t>да</t>
        </is>
      </c>
      <c r="B402" s="2" t="inlineStr">
        <is>
          <t>14</t>
        </is>
      </c>
      <c r="C402" s="3" t="inlineStr">
        <is>
          <t>Вывоз грунта (по факту)</t>
        </is>
      </c>
      <c r="D402" s="2" t="inlineStr"/>
      <c r="E402" s="2" t="inlineStr">
        <is>
          <t>section14_item</t>
        </is>
      </c>
      <c r="F402" s="2" t="n">
        <v>401</v>
      </c>
      <c r="G402" s="3" t="inlineStr">
        <is>
          <t>Вывоз грунта (самосвалом)</t>
        </is>
      </c>
      <c r="H402" s="2" t="inlineStr">
        <is>
          <t>м.куб.</t>
        </is>
      </c>
      <c r="I402" s="4" t="n">
        <v>213</v>
      </c>
      <c r="J402" s="4" t="n">
        <v>100</v>
      </c>
      <c r="K402" s="5">
        <f>IF(OR(E402="work",E402="section14_item"),I402*J402,0)</f>
        <v/>
      </c>
      <c r="L402" s="5">
        <f>IF(E402="material",I402*J402,IF(E402="section15_percent",I402/100*(SUMPRODUCT((E$2:E$5000="work")*(B$2:B$5000&lt;&gt;"14")*K$2:K$5000)+SUMPRODUCT((E$2:E$5000="material")*(B$2:B$5000&lt;&gt;"14")*L$2:L$5000)),IF(E402="section15_manual",J402,0)))</f>
        <v/>
      </c>
      <c r="M402" s="3" t="n"/>
    </row>
    <row r="403">
      <c r="A403" s="2" t="inlineStr">
        <is>
          <t>да</t>
        </is>
      </c>
      <c r="B403" s="2" t="inlineStr">
        <is>
          <t>14</t>
        </is>
      </c>
      <c r="C403" s="3" t="inlineStr">
        <is>
          <t>Вывоз грунта (по факту)</t>
        </is>
      </c>
      <c r="D403" s="2" t="inlineStr"/>
      <c r="E403" s="2" t="inlineStr">
        <is>
          <t>section14_item</t>
        </is>
      </c>
      <c r="F403" s="2" t="n">
        <v>402</v>
      </c>
      <c r="G403" s="3" t="inlineStr">
        <is>
          <t>Погрузка мусора в контейнер мех.</t>
        </is>
      </c>
      <c r="H403" s="2" t="inlineStr">
        <is>
          <t>м.куб.</t>
        </is>
      </c>
      <c r="I403" s="4" t="n">
        <v>213</v>
      </c>
      <c r="J403" s="4" t="n">
        <v>100</v>
      </c>
      <c r="K403" s="5">
        <f>IF(OR(E403="work",E403="section14_item"),I403*J403,0)</f>
        <v/>
      </c>
      <c r="L403" s="5">
        <f>IF(E403="material",I403*J403,IF(E403="section15_percent",I403/100*(SUMPRODUCT((E$2:E$5000="work")*(B$2:B$5000&lt;&gt;"14")*K$2:K$5000)+SUMPRODUCT((E$2:E$5000="material")*(B$2:B$5000&lt;&gt;"14")*L$2:L$5000)),IF(E403="section15_manual",J403,0)))</f>
        <v/>
      </c>
      <c r="M403" s="3" t="n"/>
    </row>
    <row r="404">
      <c r="A404" s="14" t="inlineStr">
        <is>
          <t>да</t>
        </is>
      </c>
      <c r="B404" s="14" t="inlineStr">
        <is>
          <t>15</t>
        </is>
      </c>
      <c r="C404" s="15" t="inlineStr">
        <is>
          <t>Организационные затраты (предварительно)</t>
        </is>
      </c>
      <c r="D404" s="14" t="inlineStr"/>
      <c r="E404" s="14" t="inlineStr">
        <is>
          <t>section15_percent</t>
        </is>
      </c>
      <c r="F404" s="14" t="n">
        <v>403</v>
      </c>
      <c r="G404" s="15" t="inlineStr">
        <is>
          <t>Временные бытовые условия (создание временных бытовых условий, амортизация бытовок, спецодежда, связь)</t>
        </is>
      </c>
      <c r="H404" s="14" t="inlineStr">
        <is>
          <t>%</t>
        </is>
      </c>
      <c r="I404" s="16" t="n">
        <v>6</v>
      </c>
      <c r="J404" s="16" t="n"/>
      <c r="K404" s="17">
        <f>IF(OR(E404="work",E404="section14_item"),I404*J404,0)</f>
        <v/>
      </c>
      <c r="L404" s="17">
        <f>IF(E404="material",I404*J404,IF(E404="section15_percent",I404/100*(SUMPRODUCT((E$2:E$5000="work")*(B$2:B$5000&lt;&gt;"14")*K$2:K$5000)+SUMPRODUCT((E$2:E$5000="material")*(B$2:B$5000&lt;&gt;"14")*L$2:L$5000)),IF(E404="section15_manual",J404,0)))</f>
        <v/>
      </c>
      <c r="M404" s="15" t="n"/>
    </row>
    <row r="405">
      <c r="A405" s="14" t="inlineStr">
        <is>
          <t>да</t>
        </is>
      </c>
      <c r="B405" s="14" t="inlineStr">
        <is>
          <t>15</t>
        </is>
      </c>
      <c r="C405" s="15" t="inlineStr">
        <is>
          <t>Организационные затраты (предварительно)</t>
        </is>
      </c>
      <c r="D405" s="14" t="inlineStr"/>
      <c r="E405" s="14" t="inlineStr">
        <is>
          <t>section15_percent</t>
        </is>
      </c>
      <c r="F405" s="14" t="n">
        <v>404</v>
      </c>
      <c r="G405" s="15" t="inlineStr">
        <is>
          <t>Доставки материала (предварительно)</t>
        </is>
      </c>
      <c r="H405" s="14" t="inlineStr">
        <is>
          <t>%</t>
        </is>
      </c>
      <c r="I405" s="16" t="n">
        <v>2</v>
      </c>
      <c r="J405" s="16" t="n"/>
      <c r="K405" s="17">
        <f>IF(OR(E405="work",E405="section14_item"),I405*J405,0)</f>
        <v/>
      </c>
      <c r="L405" s="17">
        <f>IF(E405="material",I405*J405,IF(E405="section15_percent",I405/100*(SUMPRODUCT((E$2:E$5000="work")*(B$2:B$5000&lt;&gt;"14")*K$2:K$5000)+SUMPRODUCT((E$2:E$5000="material")*(B$2:B$5000&lt;&gt;"14")*L$2:L$5000)),IF(E405="section15_manual",J405,0)))</f>
        <v/>
      </c>
      <c r="M405" s="15" t="n"/>
    </row>
    <row r="406">
      <c r="A406" s="14" t="inlineStr">
        <is>
          <t>да</t>
        </is>
      </c>
      <c r="B406" s="14" t="inlineStr">
        <is>
          <t>15</t>
        </is>
      </c>
      <c r="C406" s="15" t="inlineStr">
        <is>
          <t>Организационные затраты (предварительно)</t>
        </is>
      </c>
      <c r="D406" s="14" t="inlineStr"/>
      <c r="E406" s="14" t="inlineStr">
        <is>
          <t>section15_percent</t>
        </is>
      </c>
      <c r="F406" s="14" t="n">
        <v>405</v>
      </c>
      <c r="G406" s="15" t="inlineStr">
        <is>
          <t>Накладные расходы (расходные материалы, амортизация инструмента и оборудования)</t>
        </is>
      </c>
      <c r="H406" s="14" t="inlineStr">
        <is>
          <t>%</t>
        </is>
      </c>
      <c r="I406" s="16" t="n">
        <v>10</v>
      </c>
      <c r="J406" s="16" t="n"/>
      <c r="K406" s="17">
        <f>IF(OR(E406="work",E406="section14_item"),I406*J406,0)</f>
        <v/>
      </c>
      <c r="L406" s="17">
        <f>IF(E406="material",I406*J406,IF(E406="section15_percent",I406/100*(SUMPRODUCT((E$2:E$5000="work")*(B$2:B$5000&lt;&gt;"14")*K$2:K$5000)+SUMPRODUCT((E$2:E$5000="material")*(B$2:B$5000&lt;&gt;"14")*L$2:L$5000)),IF(E406="section15_manual",J406,0)))</f>
        <v/>
      </c>
      <c r="M406" s="15" t="n"/>
    </row>
    <row r="407">
      <c r="A407" s="14" t="inlineStr">
        <is>
          <t>да</t>
        </is>
      </c>
      <c r="B407" s="14" t="inlineStr">
        <is>
          <t>15</t>
        </is>
      </c>
      <c r="C407" s="15" t="inlineStr">
        <is>
          <t>Организационные затраты (предварительно)</t>
        </is>
      </c>
      <c r="D407" s="14" t="inlineStr"/>
      <c r="E407" s="14" t="inlineStr">
        <is>
          <t>section15_percent</t>
        </is>
      </c>
      <c r="F407" s="14" t="n">
        <v>406</v>
      </c>
      <c r="G407" s="15" t="inlineStr">
        <is>
          <t>Транспортные расходы</t>
        </is>
      </c>
      <c r="H407" s="14" t="inlineStr">
        <is>
          <t>%</t>
        </is>
      </c>
      <c r="I407" s="16" t="n">
        <v>5</v>
      </c>
      <c r="J407" s="16" t="n"/>
      <c r="K407" s="17">
        <f>IF(OR(E407="work",E407="section14_item"),I407*J407,0)</f>
        <v/>
      </c>
      <c r="L407" s="17">
        <f>IF(E407="material",I407*J407,IF(E407="section15_percent",I407/100*(SUMPRODUCT((E$2:E$5000="work")*(B$2:B$5000&lt;&gt;"14")*K$2:K$5000)+SUMPRODUCT((E$2:E$5000="material")*(B$2:B$5000&lt;&gt;"14")*L$2:L$5000)),IF(E407="section15_manual",J407,0)))</f>
        <v/>
      </c>
      <c r="M407" s="15" t="n"/>
    </row>
    <row r="408">
      <c r="A408" s="14" t="inlineStr">
        <is>
          <t>да</t>
        </is>
      </c>
      <c r="B408" s="14" t="inlineStr">
        <is>
          <t>15</t>
        </is>
      </c>
      <c r="C408" s="15" t="inlineStr">
        <is>
          <t>Организационные затраты (предварительно)</t>
        </is>
      </c>
      <c r="D408" s="14" t="inlineStr"/>
      <c r="E408" s="14" t="inlineStr">
        <is>
          <t>section15_manual</t>
        </is>
      </c>
      <c r="F408" s="14" t="n">
        <v>407</v>
      </c>
      <c r="G408" s="15" t="inlineStr">
        <is>
          <t>Авторское сопровождение</t>
        </is>
      </c>
      <c r="H408" s="14" t="inlineStr">
        <is>
          <t>компл.</t>
        </is>
      </c>
      <c r="I408" s="16" t="n">
        <v>1</v>
      </c>
      <c r="J408" s="16" t="n">
        <v>100</v>
      </c>
      <c r="K408" s="17">
        <f>IF(OR(E408="work",E408="section14_item"),I408*J408,0)</f>
        <v/>
      </c>
      <c r="L408" s="17">
        <f>IF(E408="material",I408*J408,IF(E408="section15_percent",I408/100*(SUMPRODUCT((E$2:E$5000="work")*(B$2:B$5000&lt;&gt;"14")*K$2:K$5000)+SUMPRODUCT((E$2:E$5000="material")*(B$2:B$5000&lt;&gt;"14")*L$2:L$5000)),IF(E408="section15_manual",J408,0)))</f>
        <v/>
      </c>
      <c r="M408" s="15" t="n"/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cols>
    <col width="4.5" customWidth="1" min="1" max="1"/>
    <col width="52" customWidth="1" min="2" max="2"/>
    <col width="11" customWidth="1" min="3" max="3"/>
    <col width="8" customWidth="1" min="4" max="4"/>
    <col width="10" customWidth="1" min="5" max="5"/>
    <col width="12" customWidth="1" min="6" max="6"/>
    <col width="12" customWidth="1" min="7" max="7"/>
    <col width="18" customWidth="1" min="8" max="8"/>
  </cols>
  <sheetData>
    <row r="1" ht="14" customHeight="1">
      <c r="C1" s="18" t="inlineStr">
        <is>
          <t>Ландшафтная студия БОТАНИК
Бухарестская ул., д. 110, к. 1
Санкт-Петербург, 192288</t>
        </is>
      </c>
    </row>
    <row r="2"/>
    <row r="3"/>
    <row r="4"/>
    <row r="5"/>
    <row r="6"/>
    <row r="8">
      <c r="B8" s="19" t="inlineStr">
        <is>
          <t xml:space="preserve">Коммерческое предложение №__________.   </t>
        </is>
      </c>
    </row>
    <row r="9">
      <c r="B9" s="20" t="inlineStr">
        <is>
          <t>Расчет цен произведен __.___.202__г. (цены действительны в течение 7 календарных дней с даты расчета).</t>
        </is>
      </c>
    </row>
    <row r="11">
      <c r="B11" s="20" t="inlineStr">
        <is>
          <t>Заказчик: ____________________________________________________________</t>
        </is>
      </c>
    </row>
    <row r="12">
      <c r="B12" s="20" t="inlineStr">
        <is>
          <t>Исполнитель: Ландшафтная студия БОТАНИК</t>
        </is>
      </c>
    </row>
    <row r="13">
      <c r="B13" s="20" t="inlineStr">
        <is>
          <t xml:space="preserve">Адрес проведения работ: </t>
        </is>
      </c>
    </row>
    <row r="15">
      <c r="B15" s="20" t="inlineStr">
        <is>
          <t>Сроки проведения работ:</t>
        </is>
      </c>
    </row>
    <row r="16">
      <c r="B16" s="20" t="inlineStr">
        <is>
          <t>начало</t>
        </is>
      </c>
    </row>
    <row r="17">
      <c r="B17" s="20" t="inlineStr">
        <is>
          <t>окончание</t>
        </is>
      </c>
    </row>
    <row r="19">
      <c r="B19" s="19" t="inlineStr">
        <is>
          <t>Работы по благоустройству.</t>
        </is>
      </c>
    </row>
    <row r="20">
      <c r="B20" s="21" t="inlineStr">
        <is>
          <t>Наименование работ</t>
        </is>
      </c>
      <c r="G20" s="21" t="inlineStr">
        <is>
          <t>Стоимость</t>
        </is>
      </c>
    </row>
    <row r="21">
      <c r="A21" s="22" t="inlineStr">
        <is>
          <t>1</t>
        </is>
      </c>
      <c r="B21" s="23" t="inlineStr">
        <is>
          <t>Подготовительные земельные работы</t>
        </is>
      </c>
      <c r="G21" s="24">
        <f>SUMIFS(Расчет!K:K,Расчет!B:B,"1",Расчет!E:E,"work")+SUMIFS(Расчет!K:K,Расчет!B:B,"1",Расчет!E:E,"section14_item")+SUMIFS(Расчет!L:L,Расчет!B:B,"1")</f>
        <v/>
      </c>
    </row>
    <row r="22">
      <c r="A22" s="22" t="inlineStr">
        <is>
          <t>2</t>
        </is>
      </c>
      <c r="B22" s="23" t="inlineStr">
        <is>
          <t>Дренажная и ливневая системы.</t>
        </is>
      </c>
      <c r="G22" s="24">
        <f>SUMIFS(Расчет!K:K,Расчет!B:B,"2",Расчет!E:E,"work")+SUMIFS(Расчет!K:K,Расчет!B:B,"2",Расчет!E:E,"section14_item")+SUMIFS(Расчет!L:L,Расчет!B:B,"2")</f>
        <v/>
      </c>
    </row>
    <row r="23">
      <c r="A23" s="22" t="inlineStr">
        <is>
          <t>3</t>
        </is>
      </c>
      <c r="B23" s="23" t="inlineStr">
        <is>
          <t>Монолитные железобетонные конструкции</t>
        </is>
      </c>
      <c r="G23" s="24">
        <f>SUMIFS(Расчет!K:K,Расчет!B:B,"3",Расчет!E:E,"work")+SUMIFS(Расчет!K:K,Расчет!B:B,"3",Расчет!E:E,"section14_item")+SUMIFS(Расчет!L:L,Расчет!B:B,"3")</f>
        <v/>
      </c>
    </row>
    <row r="24">
      <c r="A24" s="22" t="inlineStr">
        <is>
          <t>4</t>
        </is>
      </c>
      <c r="B24" s="23" t="inlineStr">
        <is>
          <t>Подпорные стенки, ступени - верхняя зона</t>
        </is>
      </c>
      <c r="G24" s="24">
        <f>SUMIFS(Расчет!K:K,Расчет!B:B,"4",Расчет!E:E,"work")+SUMIFS(Расчет!K:K,Расчет!B:B,"4",Расчет!E:E,"section14_item")+SUMIFS(Расчет!L:L,Расчет!B:B,"4")</f>
        <v/>
      </c>
    </row>
    <row r="25">
      <c r="A25" s="22" t="inlineStr">
        <is>
          <t>5</t>
        </is>
      </c>
      <c r="B25" s="23" t="inlineStr">
        <is>
          <t>Покрытия.</t>
        </is>
      </c>
      <c r="G25" s="24">
        <f>SUMIFS(Расчет!K:K,Расчет!B:B,"5",Расчет!E:E,"work")+SUMIFS(Расчет!K:K,Расчет!B:B,"5",Расчет!E:E,"section14_item")+SUMIFS(Расчет!L:L,Расчет!B:B,"5")</f>
        <v/>
      </c>
    </row>
    <row r="26">
      <c r="A26" s="22" t="inlineStr">
        <is>
          <t>6</t>
        </is>
      </c>
      <c r="B26" s="23" t="inlineStr">
        <is>
          <t>Лестница в нижнюю часть участка</t>
        </is>
      </c>
      <c r="G26" s="24">
        <f>SUMIFS(Расчет!K:K,Расчет!B:B,"6",Расчет!E:E,"work")+SUMIFS(Расчет!K:K,Расчет!B:B,"6",Расчет!E:E,"section14_item")+SUMIFS(Расчет!L:L,Расчет!B:B,"6")</f>
        <v/>
      </c>
    </row>
    <row r="27">
      <c r="A27" s="22" t="inlineStr">
        <is>
          <t>7</t>
        </is>
      </c>
      <c r="B27" s="23" t="inlineStr">
        <is>
          <t>Террасные настилы.</t>
        </is>
      </c>
      <c r="G27" s="24">
        <f>SUMIFS(Расчет!K:K,Расчет!B:B,"7",Расчет!E:E,"work")+SUMIFS(Расчет!K:K,Расчет!B:B,"7",Расчет!E:E,"section14_item")+SUMIFS(Расчет!L:L,Расчет!B:B,"7")</f>
        <v/>
      </c>
    </row>
    <row r="28">
      <c r="A28" s="22" t="inlineStr">
        <is>
          <t>8</t>
        </is>
      </c>
      <c r="B28" s="23" t="inlineStr">
        <is>
          <t>Освещение.</t>
        </is>
      </c>
      <c r="G28" s="24">
        <f>SUMIFS(Расчет!K:K,Расчет!B:B,"8",Расчет!E:E,"work")+SUMIFS(Расчет!K:K,Расчет!B:B,"8",Расчет!E:E,"section14_item")+SUMIFS(Расчет!L:L,Расчет!B:B,"8")</f>
        <v/>
      </c>
    </row>
    <row r="29">
      <c r="A29" s="22" t="inlineStr">
        <is>
          <t>9</t>
        </is>
      </c>
      <c r="B29" s="23" t="inlineStr">
        <is>
          <t>Газон.</t>
        </is>
      </c>
      <c r="G29" s="24">
        <f>SUMIFS(Расчет!K:K,Расчет!B:B,"9",Расчет!E:E,"work")+SUMIFS(Расчет!K:K,Расчет!B:B,"9",Расчет!E:E,"section14_item")+SUMIFS(Расчет!L:L,Расчет!B:B,"9")</f>
        <v/>
      </c>
    </row>
    <row r="30">
      <c r="A30" s="22" t="inlineStr">
        <is>
          <t>10</t>
        </is>
      </c>
      <c r="B30" s="23" t="inlineStr">
        <is>
          <t>Ограждение стеклянное</t>
        </is>
      </c>
      <c r="G30" s="24">
        <f>SUMIFS(Расчет!K:K,Расчет!B:B,"10",Расчет!E:E,"work")+SUMIFS(Расчет!K:K,Расчет!B:B,"10",Расчет!E:E,"section14_item")+SUMIFS(Расчет!L:L,Расчет!B:B,"10")</f>
        <v/>
      </c>
    </row>
    <row r="31">
      <c r="A31" s="22" t="inlineStr">
        <is>
          <t>11</t>
        </is>
      </c>
      <c r="B31" s="23" t="inlineStr">
        <is>
          <t>Автополив</t>
        </is>
      </c>
      <c r="G31" s="24">
        <f>SUMIFS(Расчет!K:K,Расчет!B:B,"11",Расчет!E:E,"work")+SUMIFS(Расчет!K:K,Расчет!B:B,"11",Расчет!E:E,"section14_item")+SUMIFS(Расчет!L:L,Расчет!B:B,"11")</f>
        <v/>
      </c>
    </row>
    <row r="32">
      <c r="A32" s="22" t="inlineStr">
        <is>
          <t>12</t>
        </is>
      </c>
      <c r="B32" s="23" t="inlineStr">
        <is>
          <t>Бассейн</t>
        </is>
      </c>
      <c r="G32" s="24">
        <f>SUMIFS(Расчет!K:K,Расчет!B:B,"12",Расчет!E:E,"work")+SUMIFS(Расчет!K:K,Расчет!B:B,"12",Расчет!E:E,"section14_item")+SUMIFS(Расчет!L:L,Расчет!B:B,"12")</f>
        <v/>
      </c>
    </row>
    <row r="33">
      <c r="A33" s="22" t="inlineStr">
        <is>
          <t>13</t>
        </is>
      </c>
      <c r="B33" s="23" t="inlineStr">
        <is>
          <t>Антиобледенение</t>
        </is>
      </c>
      <c r="G33" s="24">
        <f>SUMIFS(Расчет!K:K,Расчет!B:B,"13",Расчет!E:E,"work")+SUMIFS(Расчет!K:K,Расчет!B:B,"13",Расчет!E:E,"section14_item")+SUMIFS(Расчет!L:L,Расчет!B:B,"13")</f>
        <v/>
      </c>
    </row>
    <row r="34">
      <c r="A34" s="22" t="inlineStr">
        <is>
          <t>14</t>
        </is>
      </c>
      <c r="B34" s="23" t="inlineStr">
        <is>
          <t>Вывоз грунта (по факту)</t>
        </is>
      </c>
      <c r="G34" s="24">
        <f>SUMIFS(Расчет!K:K,Расчет!B:B,"14",Расчет!E:E,"work")+SUMIFS(Расчет!K:K,Расчет!B:B,"14",Расчет!E:E,"section14_item")+SUMIFS(Расчет!L:L,Расчет!B:B,"14")</f>
        <v/>
      </c>
    </row>
    <row r="35">
      <c r="A35" s="22" t="inlineStr">
        <is>
          <t>15</t>
        </is>
      </c>
      <c r="B35" s="23" t="inlineStr">
        <is>
          <t>Организационные затраты (предварительно)</t>
        </is>
      </c>
      <c r="G35" s="24">
        <f>SUMIFS(Расчет!K:K,Расчет!B:B,"15",Расчет!E:E,"work")+SUMIFS(Расчет!K:K,Расчет!B:B,"15",Расчет!E:E,"section14_item")+SUMIFS(Расчет!L:L,Расчет!B:B,"15")</f>
        <v/>
      </c>
    </row>
    <row r="36">
      <c r="B36" s="25" t="inlineStr">
        <is>
          <t>ВСЕГО по смете:</t>
        </is>
      </c>
      <c r="G36" s="26">
        <f>SUM(G21:G35)</f>
        <v/>
      </c>
    </row>
    <row r="39">
      <c r="A39" s="25" t="inlineStr">
        <is>
          <t>1.</t>
        </is>
      </c>
      <c r="B39" s="27" t="inlineStr">
        <is>
          <t>Подготовительные земельные работы</t>
        </is>
      </c>
      <c r="C39" s="27" t="inlineStr">
        <is>
          <t>Ед. изм.</t>
        </is>
      </c>
      <c r="D39" s="27" t="inlineStr">
        <is>
          <t>Кол-во</t>
        </is>
      </c>
      <c r="E39" s="27" t="inlineStr">
        <is>
          <t>Цена</t>
        </is>
      </c>
      <c r="F39" s="27" t="inlineStr">
        <is>
          <t>Работы</t>
        </is>
      </c>
      <c r="G39" s="27" t="inlineStr">
        <is>
          <t>Материалы</t>
        </is>
      </c>
      <c r="H39" s="27" t="inlineStr">
        <is>
          <t>Примечание</t>
        </is>
      </c>
    </row>
    <row r="40">
      <c r="A40" s="28" t="n">
        <v>1</v>
      </c>
      <c r="B40" s="28">
        <f>Расчет!G2</f>
        <v/>
      </c>
      <c r="C40" s="28">
        <f>Расчет!H2</f>
        <v/>
      </c>
      <c r="D40" s="29">
        <f>Расчет!I2</f>
        <v/>
      </c>
      <c r="E40" s="29">
        <f>Расчет!J2</f>
        <v/>
      </c>
      <c r="F40" s="29">
        <f>Расчет!K2</f>
        <v/>
      </c>
      <c r="G40" s="28" t="n"/>
      <c r="H40" s="28">
        <f>Расчет!M2</f>
        <v/>
      </c>
    </row>
    <row r="41">
      <c r="A41" s="28" t="n">
        <v>2</v>
      </c>
      <c r="B41" s="28">
        <f>Расчет!G3</f>
        <v/>
      </c>
      <c r="C41" s="28">
        <f>Расчет!H3</f>
        <v/>
      </c>
      <c r="D41" s="29">
        <f>Расчет!I3</f>
        <v/>
      </c>
      <c r="E41" s="29">
        <f>Расчет!J3</f>
        <v/>
      </c>
      <c r="F41" s="29">
        <f>Расчет!K3</f>
        <v/>
      </c>
      <c r="G41" s="28" t="n"/>
      <c r="H41" s="28">
        <f>Расчет!M3</f>
        <v/>
      </c>
    </row>
    <row r="42">
      <c r="A42" s="28" t="n">
        <v>3</v>
      </c>
      <c r="B42" s="28">
        <f>Расчет!G4</f>
        <v/>
      </c>
      <c r="C42" s="28">
        <f>Расчет!H4</f>
        <v/>
      </c>
      <c r="D42" s="29">
        <f>Расчет!I4</f>
        <v/>
      </c>
      <c r="E42" s="29">
        <f>Расчет!J4</f>
        <v/>
      </c>
      <c r="F42" s="29">
        <f>Расчет!K4</f>
        <v/>
      </c>
      <c r="G42" s="28" t="n"/>
      <c r="H42" s="28">
        <f>Расчет!M4</f>
        <v/>
      </c>
    </row>
    <row r="43">
      <c r="A43" s="28" t="n">
        <v>4</v>
      </c>
      <c r="B43" s="28">
        <f>Расчет!G5</f>
        <v/>
      </c>
      <c r="C43" s="28">
        <f>Расчет!H5</f>
        <v/>
      </c>
      <c r="D43" s="29">
        <f>Расчет!I5</f>
        <v/>
      </c>
      <c r="E43" s="29">
        <f>Расчет!J5</f>
        <v/>
      </c>
      <c r="F43" s="29">
        <f>Расчет!K5</f>
        <v/>
      </c>
      <c r="G43" s="28" t="n"/>
      <c r="H43" s="28">
        <f>Расчет!M5</f>
        <v/>
      </c>
    </row>
    <row r="44">
      <c r="A44" s="30" t="n"/>
      <c r="B44" s="30">
        <f>Расчет!G6</f>
        <v/>
      </c>
      <c r="C44" s="30">
        <f>Расчет!H6</f>
        <v/>
      </c>
      <c r="D44" s="31">
        <f>Расчет!I6</f>
        <v/>
      </c>
      <c r="E44" s="31">
        <f>Расчет!J6</f>
        <v/>
      </c>
      <c r="F44" s="30" t="n"/>
      <c r="G44" s="31">
        <f>Расчет!L6</f>
        <v/>
      </c>
      <c r="H44" s="30">
        <f>Расчет!M6</f>
        <v/>
      </c>
    </row>
    <row r="45">
      <c r="A45" s="28" t="n">
        <v>5</v>
      </c>
      <c r="B45" s="28">
        <f>Расчет!G7</f>
        <v/>
      </c>
      <c r="C45" s="28">
        <f>Расчет!H7</f>
        <v/>
      </c>
      <c r="D45" s="29">
        <f>Расчет!I7</f>
        <v/>
      </c>
      <c r="E45" s="29">
        <f>Расчет!J7</f>
        <v/>
      </c>
      <c r="F45" s="29">
        <f>Расчет!K7</f>
        <v/>
      </c>
      <c r="G45" s="28" t="n"/>
      <c r="H45" s="28">
        <f>Расчет!M7</f>
        <v/>
      </c>
    </row>
    <row r="46">
      <c r="A46" s="28" t="n">
        <v>6</v>
      </c>
      <c r="B46" s="28">
        <f>Расчет!G8</f>
        <v/>
      </c>
      <c r="C46" s="28">
        <f>Расчет!H8</f>
        <v/>
      </c>
      <c r="D46" s="29">
        <f>Расчет!I8</f>
        <v/>
      </c>
      <c r="E46" s="29">
        <f>Расчет!J8</f>
        <v/>
      </c>
      <c r="F46" s="29">
        <f>Расчет!K8</f>
        <v/>
      </c>
      <c r="G46" s="28" t="n"/>
      <c r="H46" s="28">
        <f>Расчет!M8</f>
        <v/>
      </c>
    </row>
    <row r="47">
      <c r="B47" s="32" t="inlineStr">
        <is>
          <t>Нижняя зона участка</t>
        </is>
      </c>
    </row>
    <row r="48">
      <c r="A48" s="28" t="n">
        <v>7</v>
      </c>
      <c r="B48" s="28">
        <f>Расчет!G10</f>
        <v/>
      </c>
      <c r="C48" s="28">
        <f>Расчет!H10</f>
        <v/>
      </c>
      <c r="D48" s="29">
        <f>Расчет!I10</f>
        <v/>
      </c>
      <c r="E48" s="29">
        <f>Расчет!J10</f>
        <v/>
      </c>
      <c r="F48" s="29">
        <f>Расчет!K10</f>
        <v/>
      </c>
      <c r="G48" s="28" t="n"/>
      <c r="H48" s="28">
        <f>Расчет!M10</f>
        <v/>
      </c>
    </row>
    <row r="49">
      <c r="A49" s="28" t="n">
        <v>8</v>
      </c>
      <c r="B49" s="28">
        <f>Расчет!G11</f>
        <v/>
      </c>
      <c r="C49" s="28">
        <f>Расчет!H11</f>
        <v/>
      </c>
      <c r="D49" s="29">
        <f>Расчет!I11</f>
        <v/>
      </c>
      <c r="E49" s="29">
        <f>Расчет!J11</f>
        <v/>
      </c>
      <c r="F49" s="29">
        <f>Расчет!K11</f>
        <v/>
      </c>
      <c r="G49" s="28" t="n"/>
      <c r="H49" s="28">
        <f>Расчет!M11</f>
        <v/>
      </c>
    </row>
    <row r="50">
      <c r="A50" s="28" t="n">
        <v>9</v>
      </c>
      <c r="B50" s="28">
        <f>Расчет!G12</f>
        <v/>
      </c>
      <c r="C50" s="28">
        <f>Расчет!H12</f>
        <v/>
      </c>
      <c r="D50" s="29">
        <f>Расчет!I12</f>
        <v/>
      </c>
      <c r="E50" s="29">
        <f>Расчет!J12</f>
        <v/>
      </c>
      <c r="F50" s="29">
        <f>Расчет!K12</f>
        <v/>
      </c>
      <c r="G50" s="28" t="n"/>
      <c r="H50" s="28">
        <f>Расчет!M12</f>
        <v/>
      </c>
    </row>
    <row r="51">
      <c r="A51" s="28" t="n">
        <v>10</v>
      </c>
      <c r="B51" s="28">
        <f>Расчет!G13</f>
        <v/>
      </c>
      <c r="C51" s="28">
        <f>Расчет!H13</f>
        <v/>
      </c>
      <c r="D51" s="29">
        <f>Расчет!I13</f>
        <v/>
      </c>
      <c r="E51" s="29">
        <f>Расчет!J13</f>
        <v/>
      </c>
      <c r="F51" s="29">
        <f>Расчет!K13</f>
        <v/>
      </c>
      <c r="G51" s="28" t="n"/>
      <c r="H51" s="28">
        <f>Расчет!M13</f>
        <v/>
      </c>
    </row>
    <row r="52">
      <c r="B52" s="32" t="inlineStr">
        <is>
          <t>Бассейн</t>
        </is>
      </c>
    </row>
    <row r="53">
      <c r="A53" s="28" t="n">
        <v>11</v>
      </c>
      <c r="B53" s="28">
        <f>Расчет!G15</f>
        <v/>
      </c>
      <c r="C53" s="28">
        <f>Расчет!H15</f>
        <v/>
      </c>
      <c r="D53" s="29">
        <f>Расчет!I15</f>
        <v/>
      </c>
      <c r="E53" s="29">
        <f>Расчет!J15</f>
        <v/>
      </c>
      <c r="F53" s="29">
        <f>Расчет!K15</f>
        <v/>
      </c>
      <c r="G53" s="28" t="n"/>
      <c r="H53" s="28">
        <f>Расчет!M15</f>
        <v/>
      </c>
    </row>
    <row r="54">
      <c r="A54" s="28" t="n">
        <v>12</v>
      </c>
      <c r="B54" s="28">
        <f>Расчет!G16</f>
        <v/>
      </c>
      <c r="C54" s="28">
        <f>Расчет!H16</f>
        <v/>
      </c>
      <c r="D54" s="29">
        <f>Расчет!I16</f>
        <v/>
      </c>
      <c r="E54" s="29">
        <f>Расчет!J16</f>
        <v/>
      </c>
      <c r="F54" s="29">
        <f>Расчет!K16</f>
        <v/>
      </c>
      <c r="G54" s="28" t="n"/>
      <c r="H54" s="28">
        <f>Расчет!M16</f>
        <v/>
      </c>
    </row>
    <row r="55">
      <c r="A55" s="28" t="n">
        <v>13</v>
      </c>
      <c r="B55" s="28">
        <f>Расчет!G17</f>
        <v/>
      </c>
      <c r="C55" s="28">
        <f>Расчет!H17</f>
        <v/>
      </c>
      <c r="D55" s="29">
        <f>Расчет!I17</f>
        <v/>
      </c>
      <c r="E55" s="29">
        <f>Расчет!J17</f>
        <v/>
      </c>
      <c r="F55" s="29">
        <f>Расчет!K17</f>
        <v/>
      </c>
      <c r="G55" s="28" t="n"/>
      <c r="H55" s="28">
        <f>Расчет!M17</f>
        <v/>
      </c>
    </row>
    <row r="56">
      <c r="A56" s="30" t="n"/>
      <c r="B56" s="30">
        <f>Расчет!G18</f>
        <v/>
      </c>
      <c r="C56" s="30">
        <f>Расчет!H18</f>
        <v/>
      </c>
      <c r="D56" s="31">
        <f>Расчет!I18</f>
        <v/>
      </c>
      <c r="E56" s="31">
        <f>Расчет!J18</f>
        <v/>
      </c>
      <c r="F56" s="30" t="n"/>
      <c r="G56" s="31">
        <f>Расчет!L18</f>
        <v/>
      </c>
      <c r="H56" s="30">
        <f>Расчет!M18</f>
        <v/>
      </c>
    </row>
    <row r="57">
      <c r="A57" s="30" t="n"/>
      <c r="B57" s="30">
        <f>Расчет!G19</f>
        <v/>
      </c>
      <c r="C57" s="30">
        <f>Расчет!H19</f>
        <v/>
      </c>
      <c r="D57" s="31">
        <f>Расчет!I19</f>
        <v/>
      </c>
      <c r="E57" s="31">
        <f>Расчет!J19</f>
        <v/>
      </c>
      <c r="F57" s="30" t="n"/>
      <c r="G57" s="31">
        <f>Расчет!L19</f>
        <v/>
      </c>
      <c r="H57" s="30">
        <f>Расчет!M19</f>
        <v/>
      </c>
    </row>
    <row r="58">
      <c r="A58" s="28" t="n">
        <v>14</v>
      </c>
      <c r="B58" s="28">
        <f>Расчет!G20</f>
        <v/>
      </c>
      <c r="C58" s="28">
        <f>Расчет!H20</f>
        <v/>
      </c>
      <c r="D58" s="29">
        <f>Расчет!I20</f>
        <v/>
      </c>
      <c r="E58" s="29">
        <f>Расчет!J20</f>
        <v/>
      </c>
      <c r="F58" s="29">
        <f>Расчет!K20</f>
        <v/>
      </c>
      <c r="G58" s="28" t="n"/>
      <c r="H58" s="28">
        <f>Расчет!M20</f>
        <v/>
      </c>
    </row>
    <row r="59">
      <c r="B59" s="33" t="inlineStr">
        <is>
          <t>ВСЕГО ПО РАЗДЕЛУ:</t>
        </is>
      </c>
      <c r="F59" s="34">
        <f>SUMIFS(Расчет!K:K,Расчет!B:B,"1",Расчет!E:E,"work")+SUMIFS(Расчет!K:K,Расчет!B:B,"1",Расчет!E:E,"section14_item")</f>
        <v/>
      </c>
      <c r="G59" s="34">
        <f>SUMIFS(Расчет!L:L,Расчет!B:B,"1",Расчет!E:E,"material")</f>
        <v/>
      </c>
    </row>
    <row r="60">
      <c r="B60" s="35" t="inlineStr">
        <is>
          <t>ИТОГО:</t>
        </is>
      </c>
      <c r="G60" s="26">
        <f>SUMIFS(Расчет!K:K,Расчет!B:B,"1",Расчет!E:E,"work")+SUMIFS(Расчет!K:K,Расчет!B:B,"1",Расчет!E:E,"section14_item")+SUMIFS(Расчет!L:L,Расчет!B:B,"1")</f>
        <v/>
      </c>
    </row>
    <row r="62">
      <c r="A62" s="25" t="inlineStr">
        <is>
          <t>2.</t>
        </is>
      </c>
      <c r="B62" s="27" t="inlineStr">
        <is>
          <t>Дренажная и ливневая системы.</t>
        </is>
      </c>
      <c r="C62" s="27" t="inlineStr">
        <is>
          <t>Ед. изм.</t>
        </is>
      </c>
      <c r="D62" s="27" t="inlineStr">
        <is>
          <t>Кол-во</t>
        </is>
      </c>
      <c r="E62" s="27" t="inlineStr">
        <is>
          <t>Цена</t>
        </is>
      </c>
      <c r="F62" s="27" t="inlineStr">
        <is>
          <t>Работы</t>
        </is>
      </c>
      <c r="G62" s="27" t="inlineStr">
        <is>
          <t>Материалы</t>
        </is>
      </c>
      <c r="H62" s="27" t="inlineStr">
        <is>
          <t>Примечание</t>
        </is>
      </c>
    </row>
    <row r="63">
      <c r="A63" s="28" t="n">
        <v>1</v>
      </c>
      <c r="B63" s="28">
        <f>Расчет!G21</f>
        <v/>
      </c>
      <c r="C63" s="28">
        <f>Расчет!H21</f>
        <v/>
      </c>
      <c r="D63" s="29">
        <f>Расчет!I21</f>
        <v/>
      </c>
      <c r="E63" s="29">
        <f>Расчет!J21</f>
        <v/>
      </c>
      <c r="F63" s="29">
        <f>Расчет!K21</f>
        <v/>
      </c>
      <c r="G63" s="28" t="n"/>
      <c r="H63" s="28">
        <f>Расчет!M21</f>
        <v/>
      </c>
    </row>
    <row r="64">
      <c r="A64" s="30" t="n"/>
      <c r="B64" s="30">
        <f>Расчет!G22</f>
        <v/>
      </c>
      <c r="C64" s="30">
        <f>Расчет!H22</f>
        <v/>
      </c>
      <c r="D64" s="31">
        <f>Расчет!I22</f>
        <v/>
      </c>
      <c r="E64" s="31">
        <f>Расчет!J22</f>
        <v/>
      </c>
      <c r="F64" s="30" t="n"/>
      <c r="G64" s="31">
        <f>Расчет!L22</f>
        <v/>
      </c>
      <c r="H64" s="30">
        <f>Расчет!M22</f>
        <v/>
      </c>
    </row>
    <row r="65">
      <c r="A65" s="30" t="n"/>
      <c r="B65" s="30">
        <f>Расчет!G23</f>
        <v/>
      </c>
      <c r="C65" s="30">
        <f>Расчет!H23</f>
        <v/>
      </c>
      <c r="D65" s="31">
        <f>Расчет!I23</f>
        <v/>
      </c>
      <c r="E65" s="31">
        <f>Расчет!J23</f>
        <v/>
      </c>
      <c r="F65" s="30" t="n"/>
      <c r="G65" s="31">
        <f>Расчет!L23</f>
        <v/>
      </c>
      <c r="H65" s="30">
        <f>Расчет!M23</f>
        <v/>
      </c>
    </row>
    <row r="66">
      <c r="A66" s="30" t="n"/>
      <c r="B66" s="30">
        <f>Расчет!G24</f>
        <v/>
      </c>
      <c r="C66" s="30">
        <f>Расчет!H24</f>
        <v/>
      </c>
      <c r="D66" s="31">
        <f>Расчет!I24</f>
        <v/>
      </c>
      <c r="E66" s="31">
        <f>Расчет!J24</f>
        <v/>
      </c>
      <c r="F66" s="30" t="n"/>
      <c r="G66" s="31">
        <f>Расчет!L24</f>
        <v/>
      </c>
      <c r="H66" s="30">
        <f>Расчет!M24</f>
        <v/>
      </c>
    </row>
    <row r="67">
      <c r="A67" s="28" t="n">
        <v>2</v>
      </c>
      <c r="B67" s="28">
        <f>Расчет!G25</f>
        <v/>
      </c>
      <c r="C67" s="28">
        <f>Расчет!H25</f>
        <v/>
      </c>
      <c r="D67" s="29">
        <f>Расчет!I25</f>
        <v/>
      </c>
      <c r="E67" s="29">
        <f>Расчет!J25</f>
        <v/>
      </c>
      <c r="F67" s="29">
        <f>Расчет!K25</f>
        <v/>
      </c>
      <c r="G67" s="28" t="n"/>
      <c r="H67" s="28">
        <f>Расчет!M25</f>
        <v/>
      </c>
    </row>
    <row r="68">
      <c r="A68" s="28" t="n">
        <v>3</v>
      </c>
      <c r="B68" s="28">
        <f>Расчет!G26</f>
        <v/>
      </c>
      <c r="C68" s="28">
        <f>Расчет!H26</f>
        <v/>
      </c>
      <c r="D68" s="29">
        <f>Расчет!I26</f>
        <v/>
      </c>
      <c r="E68" s="29">
        <f>Расчет!J26</f>
        <v/>
      </c>
      <c r="F68" s="29">
        <f>Расчет!K26</f>
        <v/>
      </c>
      <c r="G68" s="28" t="n"/>
      <c r="H68" s="28">
        <f>Расчет!M26</f>
        <v/>
      </c>
    </row>
    <row r="69">
      <c r="A69" s="30" t="n"/>
      <c r="B69" s="30">
        <f>Расчет!G27</f>
        <v/>
      </c>
      <c r="C69" s="30">
        <f>Расчет!H27</f>
        <v/>
      </c>
      <c r="D69" s="31">
        <f>Расчет!I27</f>
        <v/>
      </c>
      <c r="E69" s="31">
        <f>Расчет!J27</f>
        <v/>
      </c>
      <c r="F69" s="30" t="n"/>
      <c r="G69" s="31">
        <f>Расчет!L27</f>
        <v/>
      </c>
      <c r="H69" s="30">
        <f>Расчет!M27</f>
        <v/>
      </c>
    </row>
    <row r="70">
      <c r="A70" s="28" t="n">
        <v>4</v>
      </c>
      <c r="B70" s="28">
        <f>Расчет!G28</f>
        <v/>
      </c>
      <c r="C70" s="28">
        <f>Расчет!H28</f>
        <v/>
      </c>
      <c r="D70" s="29">
        <f>Расчет!I28</f>
        <v/>
      </c>
      <c r="E70" s="29">
        <f>Расчет!J28</f>
        <v/>
      </c>
      <c r="F70" s="29">
        <f>Расчет!K28</f>
        <v/>
      </c>
      <c r="G70" s="28" t="n"/>
      <c r="H70" s="28">
        <f>Расчет!M28</f>
        <v/>
      </c>
    </row>
    <row r="71">
      <c r="A71" s="30" t="n"/>
      <c r="B71" s="30">
        <f>Расчет!G29</f>
        <v/>
      </c>
      <c r="C71" s="30">
        <f>Расчет!H29</f>
        <v/>
      </c>
      <c r="D71" s="31">
        <f>Расчет!I29</f>
        <v/>
      </c>
      <c r="E71" s="31">
        <f>Расчет!J29</f>
        <v/>
      </c>
      <c r="F71" s="30" t="n"/>
      <c r="G71" s="31">
        <f>Расчет!L29</f>
        <v/>
      </c>
      <c r="H71" s="30">
        <f>Расчет!M29</f>
        <v/>
      </c>
    </row>
    <row r="72">
      <c r="A72" s="30" t="n"/>
      <c r="B72" s="30">
        <f>Расчет!G30</f>
        <v/>
      </c>
      <c r="C72" s="30">
        <f>Расчет!H30</f>
        <v/>
      </c>
      <c r="D72" s="31">
        <f>Расчет!I30</f>
        <v/>
      </c>
      <c r="E72" s="31">
        <f>Расчет!J30</f>
        <v/>
      </c>
      <c r="F72" s="30" t="n"/>
      <c r="G72" s="31">
        <f>Расчет!L30</f>
        <v/>
      </c>
      <c r="H72" s="30">
        <f>Расчет!M30</f>
        <v/>
      </c>
    </row>
    <row r="73">
      <c r="A73" s="30" t="n"/>
      <c r="B73" s="30">
        <f>Расчет!G31</f>
        <v/>
      </c>
      <c r="C73" s="30">
        <f>Расчет!H31</f>
        <v/>
      </c>
      <c r="D73" s="31">
        <f>Расчет!I31</f>
        <v/>
      </c>
      <c r="E73" s="31">
        <f>Расчет!J31</f>
        <v/>
      </c>
      <c r="F73" s="30" t="n"/>
      <c r="G73" s="31">
        <f>Расчет!L31</f>
        <v/>
      </c>
      <c r="H73" s="30">
        <f>Расчет!M31</f>
        <v/>
      </c>
    </row>
    <row r="74">
      <c r="A74" s="30" t="n"/>
      <c r="B74" s="30">
        <f>Расчет!G32</f>
        <v/>
      </c>
      <c r="C74" s="30">
        <f>Расчет!H32</f>
        <v/>
      </c>
      <c r="D74" s="31">
        <f>Расчет!I32</f>
        <v/>
      </c>
      <c r="E74" s="31">
        <f>Расчет!J32</f>
        <v/>
      </c>
      <c r="F74" s="30" t="n"/>
      <c r="G74" s="31">
        <f>Расчет!L32</f>
        <v/>
      </c>
      <c r="H74" s="30">
        <f>Расчет!M32</f>
        <v/>
      </c>
    </row>
    <row r="75">
      <c r="A75" s="28" t="n">
        <v>5</v>
      </c>
      <c r="B75" s="28">
        <f>Расчет!G33</f>
        <v/>
      </c>
      <c r="C75" s="28">
        <f>Расчет!H33</f>
        <v/>
      </c>
      <c r="D75" s="29">
        <f>Расчет!I33</f>
        <v/>
      </c>
      <c r="E75" s="29">
        <f>Расчет!J33</f>
        <v/>
      </c>
      <c r="F75" s="29">
        <f>Расчет!K33</f>
        <v/>
      </c>
      <c r="G75" s="28" t="n"/>
      <c r="H75" s="28">
        <f>Расчет!M33</f>
        <v/>
      </c>
    </row>
    <row r="76">
      <c r="A76" s="30" t="n"/>
      <c r="B76" s="30">
        <f>Расчет!G34</f>
        <v/>
      </c>
      <c r="C76" s="30">
        <f>Расчет!H34</f>
        <v/>
      </c>
      <c r="D76" s="31">
        <f>Расчет!I34</f>
        <v/>
      </c>
      <c r="E76" s="31">
        <f>Расчет!J34</f>
        <v/>
      </c>
      <c r="F76" s="30" t="n"/>
      <c r="G76" s="31">
        <f>Расчет!L34</f>
        <v/>
      </c>
      <c r="H76" s="30">
        <f>Расчет!M34</f>
        <v/>
      </c>
    </row>
    <row r="77">
      <c r="A77" s="30" t="n"/>
      <c r="B77" s="30">
        <f>Расчет!G35</f>
        <v/>
      </c>
      <c r="C77" s="30">
        <f>Расчет!H35</f>
        <v/>
      </c>
      <c r="D77" s="31">
        <f>Расчет!I35</f>
        <v/>
      </c>
      <c r="E77" s="31">
        <f>Расчет!J35</f>
        <v/>
      </c>
      <c r="F77" s="30" t="n"/>
      <c r="G77" s="31">
        <f>Расчет!L35</f>
        <v/>
      </c>
      <c r="H77" s="30">
        <f>Расчет!M35</f>
        <v/>
      </c>
    </row>
    <row r="78">
      <c r="A78" s="28" t="n">
        <v>6</v>
      </c>
      <c r="B78" s="28">
        <f>Расчет!G36</f>
        <v/>
      </c>
      <c r="C78" s="28">
        <f>Расчет!H36</f>
        <v/>
      </c>
      <c r="D78" s="29">
        <f>Расчет!I36</f>
        <v/>
      </c>
      <c r="E78" s="29">
        <f>Расчет!J36</f>
        <v/>
      </c>
      <c r="F78" s="29">
        <f>Расчет!K36</f>
        <v/>
      </c>
      <c r="G78" s="28" t="n"/>
      <c r="H78" s="28">
        <f>Расчет!M36</f>
        <v/>
      </c>
    </row>
    <row r="79">
      <c r="A79" s="28" t="n">
        <v>7</v>
      </c>
      <c r="B79" s="28">
        <f>Расчет!G37</f>
        <v/>
      </c>
      <c r="C79" s="28">
        <f>Расчет!H37</f>
        <v/>
      </c>
      <c r="D79" s="29">
        <f>Расчет!I37</f>
        <v/>
      </c>
      <c r="E79" s="29">
        <f>Расчет!J37</f>
        <v/>
      </c>
      <c r="F79" s="29">
        <f>Расчет!K37</f>
        <v/>
      </c>
      <c r="G79" s="28" t="n"/>
      <c r="H79" s="28">
        <f>Расчет!M37</f>
        <v/>
      </c>
    </row>
    <row r="80">
      <c r="A80" s="28" t="n">
        <v>8</v>
      </c>
      <c r="B80" s="28">
        <f>Расчет!G38</f>
        <v/>
      </c>
      <c r="C80" s="28">
        <f>Расчет!H38</f>
        <v/>
      </c>
      <c r="D80" s="29">
        <f>Расчет!I38</f>
        <v/>
      </c>
      <c r="E80" s="29">
        <f>Расчет!J38</f>
        <v/>
      </c>
      <c r="F80" s="29">
        <f>Расчет!K38</f>
        <v/>
      </c>
      <c r="G80" s="28" t="n"/>
      <c r="H80" s="28">
        <f>Расчет!M38</f>
        <v/>
      </c>
    </row>
    <row r="81">
      <c r="A81" s="30" t="n"/>
      <c r="B81" s="30">
        <f>Расчет!G39</f>
        <v/>
      </c>
      <c r="C81" s="30">
        <f>Расчет!H39</f>
        <v/>
      </c>
      <c r="D81" s="31">
        <f>Расчет!I39</f>
        <v/>
      </c>
      <c r="E81" s="31">
        <f>Расчет!J39</f>
        <v/>
      </c>
      <c r="F81" s="30" t="n"/>
      <c r="G81" s="31">
        <f>Расчет!L39</f>
        <v/>
      </c>
      <c r="H81" s="30">
        <f>Расчет!M39</f>
        <v/>
      </c>
    </row>
    <row r="82">
      <c r="A82" s="30" t="n"/>
      <c r="B82" s="30">
        <f>Расчет!G40</f>
        <v/>
      </c>
      <c r="C82" s="30">
        <f>Расчет!H40</f>
        <v/>
      </c>
      <c r="D82" s="31">
        <f>Расчет!I40</f>
        <v/>
      </c>
      <c r="E82" s="31">
        <f>Расчет!J40</f>
        <v/>
      </c>
      <c r="F82" s="30" t="n"/>
      <c r="G82" s="31">
        <f>Расчет!L40</f>
        <v/>
      </c>
      <c r="H82" s="30">
        <f>Расчет!M40</f>
        <v/>
      </c>
    </row>
    <row r="83">
      <c r="A83" s="28" t="n">
        <v>9</v>
      </c>
      <c r="B83" s="28">
        <f>Расчет!G41</f>
        <v/>
      </c>
      <c r="C83" s="28">
        <f>Расчет!H41</f>
        <v/>
      </c>
      <c r="D83" s="29">
        <f>Расчет!I41</f>
        <v/>
      </c>
      <c r="E83" s="29">
        <f>Расчет!J41</f>
        <v/>
      </c>
      <c r="F83" s="29">
        <f>Расчет!K41</f>
        <v/>
      </c>
      <c r="G83" s="28" t="n"/>
      <c r="H83" s="28">
        <f>Расчет!M41</f>
        <v/>
      </c>
    </row>
    <row r="84">
      <c r="A84" s="30" t="n"/>
      <c r="B84" s="30">
        <f>Расчет!G42</f>
        <v/>
      </c>
      <c r="C84" s="30">
        <f>Расчет!H42</f>
        <v/>
      </c>
      <c r="D84" s="31">
        <f>Расчет!I42</f>
        <v/>
      </c>
      <c r="E84" s="31">
        <f>Расчет!J42</f>
        <v/>
      </c>
      <c r="F84" s="30" t="n"/>
      <c r="G84" s="31">
        <f>Расчет!L42</f>
        <v/>
      </c>
      <c r="H84" s="30">
        <f>Расчет!M42</f>
        <v/>
      </c>
    </row>
    <row r="85">
      <c r="A85" s="30" t="n"/>
      <c r="B85" s="30">
        <f>Расчет!G43</f>
        <v/>
      </c>
      <c r="C85" s="30">
        <f>Расчет!H43</f>
        <v/>
      </c>
      <c r="D85" s="31">
        <f>Расчет!I43</f>
        <v/>
      </c>
      <c r="E85" s="31">
        <f>Расчет!J43</f>
        <v/>
      </c>
      <c r="F85" s="30" t="n"/>
      <c r="G85" s="31">
        <f>Расчет!L43</f>
        <v/>
      </c>
      <c r="H85" s="30">
        <f>Расчет!M43</f>
        <v/>
      </c>
    </row>
    <row r="86">
      <c r="A86" s="28" t="n">
        <v>10</v>
      </c>
      <c r="B86" s="28">
        <f>Расчет!G44</f>
        <v/>
      </c>
      <c r="C86" s="28">
        <f>Расчет!H44</f>
        <v/>
      </c>
      <c r="D86" s="29">
        <f>Расчет!I44</f>
        <v/>
      </c>
      <c r="E86" s="29">
        <f>Расчет!J44</f>
        <v/>
      </c>
      <c r="F86" s="29">
        <f>Расчет!K44</f>
        <v/>
      </c>
      <c r="G86" s="28" t="n"/>
      <c r="H86" s="28">
        <f>Расчет!M44</f>
        <v/>
      </c>
    </row>
    <row r="87">
      <c r="A87" s="30" t="n"/>
      <c r="B87" s="30">
        <f>Расчет!G45</f>
        <v/>
      </c>
      <c r="C87" s="30">
        <f>Расчет!H45</f>
        <v/>
      </c>
      <c r="D87" s="31">
        <f>Расчет!I45</f>
        <v/>
      </c>
      <c r="E87" s="31">
        <f>Расчет!J45</f>
        <v/>
      </c>
      <c r="F87" s="30" t="n"/>
      <c r="G87" s="31">
        <f>Расчет!L45</f>
        <v/>
      </c>
      <c r="H87" s="30">
        <f>Расчет!M45</f>
        <v/>
      </c>
    </row>
    <row r="88">
      <c r="A88" s="30" t="n"/>
      <c r="B88" s="30">
        <f>Расчет!G46</f>
        <v/>
      </c>
      <c r="C88" s="30">
        <f>Расчет!H46</f>
        <v/>
      </c>
      <c r="D88" s="31">
        <f>Расчет!I46</f>
        <v/>
      </c>
      <c r="E88" s="31">
        <f>Расчет!J46</f>
        <v/>
      </c>
      <c r="F88" s="30" t="n"/>
      <c r="G88" s="31">
        <f>Расчет!L46</f>
        <v/>
      </c>
      <c r="H88" s="30">
        <f>Расчет!M46</f>
        <v/>
      </c>
    </row>
    <row r="89">
      <c r="B89" s="33" t="inlineStr">
        <is>
          <t>ВСЕГО ПО РАЗДЕЛУ:</t>
        </is>
      </c>
      <c r="F89" s="34">
        <f>SUMIFS(Расчет!K:K,Расчет!B:B,"2",Расчет!E:E,"work")+SUMIFS(Расчет!K:K,Расчет!B:B,"2",Расчет!E:E,"section14_item")</f>
        <v/>
      </c>
      <c r="G89" s="34">
        <f>SUMIFS(Расчет!L:L,Расчет!B:B,"2",Расчет!E:E,"material")</f>
        <v/>
      </c>
    </row>
    <row r="90">
      <c r="B90" s="35" t="inlineStr">
        <is>
          <t>ИТОГО:</t>
        </is>
      </c>
      <c r="G90" s="26">
        <f>SUMIFS(Расчет!K:K,Расчет!B:B,"2",Расчет!E:E,"work")+SUMIFS(Расчет!K:K,Расчет!B:B,"2",Расчет!E:E,"section14_item")+SUMIFS(Расчет!L:L,Расчет!B:B,"2")</f>
        <v/>
      </c>
    </row>
    <row r="92">
      <c r="A92" s="25" t="inlineStr">
        <is>
          <t>3.</t>
        </is>
      </c>
      <c r="B92" s="27" t="inlineStr">
        <is>
          <t>Монолитные железобетонные конструкции</t>
        </is>
      </c>
      <c r="C92" s="27" t="inlineStr">
        <is>
          <t>Ед. изм.</t>
        </is>
      </c>
      <c r="D92" s="27" t="inlineStr">
        <is>
          <t>Кол-во</t>
        </is>
      </c>
      <c r="E92" s="27" t="inlineStr">
        <is>
          <t>Цена</t>
        </is>
      </c>
      <c r="F92" s="27" t="inlineStr">
        <is>
          <t>Работы</t>
        </is>
      </c>
      <c r="G92" s="27" t="inlineStr">
        <is>
          <t>Материалы</t>
        </is>
      </c>
      <c r="H92" s="27" t="inlineStr">
        <is>
          <t>Примечание</t>
        </is>
      </c>
    </row>
    <row r="93">
      <c r="B93" s="32" t="inlineStr">
        <is>
          <t>Плита основания - 75м2</t>
        </is>
      </c>
    </row>
    <row r="94">
      <c r="A94" s="28" t="n">
        <v>1</v>
      </c>
      <c r="B94" s="28">
        <f>Расчет!G48</f>
        <v/>
      </c>
      <c r="C94" s="28">
        <f>Расчет!H48</f>
        <v/>
      </c>
      <c r="D94" s="29">
        <f>Расчет!I48</f>
        <v/>
      </c>
      <c r="E94" s="29">
        <f>Расчет!J48</f>
        <v/>
      </c>
      <c r="F94" s="29">
        <f>Расчет!K48</f>
        <v/>
      </c>
      <c r="G94" s="28" t="n"/>
      <c r="H94" s="28">
        <f>Расчет!M48</f>
        <v/>
      </c>
    </row>
    <row r="95">
      <c r="A95" s="30" t="n"/>
      <c r="B95" s="30">
        <f>Расчет!G49</f>
        <v/>
      </c>
      <c r="C95" s="30">
        <f>Расчет!H49</f>
        <v/>
      </c>
      <c r="D95" s="31">
        <f>Расчет!I49</f>
        <v/>
      </c>
      <c r="E95" s="31">
        <f>Расчет!J49</f>
        <v/>
      </c>
      <c r="F95" s="30" t="n"/>
      <c r="G95" s="31">
        <f>Расчет!L49</f>
        <v/>
      </c>
      <c r="H95" s="30">
        <f>Расчет!M49</f>
        <v/>
      </c>
    </row>
    <row r="96">
      <c r="A96" s="28" t="n">
        <v>2</v>
      </c>
      <c r="B96" s="28">
        <f>Расчет!G50</f>
        <v/>
      </c>
      <c r="C96" s="28">
        <f>Расчет!H50</f>
        <v/>
      </c>
      <c r="D96" s="29">
        <f>Расчет!I50</f>
        <v/>
      </c>
      <c r="E96" s="29">
        <f>Расчет!J50</f>
        <v/>
      </c>
      <c r="F96" s="29">
        <f>Расчет!K50</f>
        <v/>
      </c>
      <c r="G96" s="28" t="n"/>
      <c r="H96" s="28">
        <f>Расчет!M50</f>
        <v/>
      </c>
    </row>
    <row r="97">
      <c r="A97" s="28" t="n">
        <v>3</v>
      </c>
      <c r="B97" s="28">
        <f>Расчет!G51</f>
        <v/>
      </c>
      <c r="C97" s="28">
        <f>Расчет!H51</f>
        <v/>
      </c>
      <c r="D97" s="29">
        <f>Расчет!I51</f>
        <v/>
      </c>
      <c r="E97" s="29">
        <f>Расчет!J51</f>
        <v/>
      </c>
      <c r="F97" s="29">
        <f>Расчет!K51</f>
        <v/>
      </c>
      <c r="G97" s="28" t="n"/>
      <c r="H97" s="28">
        <f>Расчет!M51</f>
        <v/>
      </c>
    </row>
    <row r="98">
      <c r="A98" s="30" t="n"/>
      <c r="B98" s="30">
        <f>Расчет!G52</f>
        <v/>
      </c>
      <c r="C98" s="30">
        <f>Расчет!H52</f>
        <v/>
      </c>
      <c r="D98" s="31">
        <f>Расчет!I52</f>
        <v/>
      </c>
      <c r="E98" s="31">
        <f>Расчет!J52</f>
        <v/>
      </c>
      <c r="F98" s="30" t="n"/>
      <c r="G98" s="31">
        <f>Расчет!L52</f>
        <v/>
      </c>
      <c r="H98" s="30">
        <f>Расчет!M52</f>
        <v/>
      </c>
    </row>
    <row r="99">
      <c r="A99" s="28" t="n">
        <v>4</v>
      </c>
      <c r="B99" s="28">
        <f>Расчет!G53</f>
        <v/>
      </c>
      <c r="C99" s="28">
        <f>Расчет!H53</f>
        <v/>
      </c>
      <c r="D99" s="29">
        <f>Расчет!I53</f>
        <v/>
      </c>
      <c r="E99" s="29">
        <f>Расчет!J53</f>
        <v/>
      </c>
      <c r="F99" s="29">
        <f>Расчет!K53</f>
        <v/>
      </c>
      <c r="G99" s="28" t="n"/>
      <c r="H99" s="28">
        <f>Расчет!M53</f>
        <v/>
      </c>
    </row>
    <row r="100">
      <c r="A100" s="30" t="n"/>
      <c r="B100" s="30">
        <f>Расчет!G54</f>
        <v/>
      </c>
      <c r="C100" s="30">
        <f>Расчет!H54</f>
        <v/>
      </c>
      <c r="D100" s="31">
        <f>Расчет!I54</f>
        <v/>
      </c>
      <c r="E100" s="31">
        <f>Расчет!J54</f>
        <v/>
      </c>
      <c r="F100" s="30" t="n"/>
      <c r="G100" s="31">
        <f>Расчет!L54</f>
        <v/>
      </c>
      <c r="H100" s="30">
        <f>Расчет!M54</f>
        <v/>
      </c>
    </row>
    <row r="101">
      <c r="A101" s="30" t="n"/>
      <c r="B101" s="30">
        <f>Расчет!G55</f>
        <v/>
      </c>
      <c r="C101" s="30">
        <f>Расчет!H55</f>
        <v/>
      </c>
      <c r="D101" s="31">
        <f>Расчет!I55</f>
        <v/>
      </c>
      <c r="E101" s="31">
        <f>Расчет!J55</f>
        <v/>
      </c>
      <c r="F101" s="30" t="n"/>
      <c r="G101" s="31">
        <f>Расчет!L55</f>
        <v/>
      </c>
      <c r="H101" s="30">
        <f>Расчет!M55</f>
        <v/>
      </c>
    </row>
    <row r="102">
      <c r="A102" s="28" t="n">
        <v>5</v>
      </c>
      <c r="B102" s="28">
        <f>Расчет!G56</f>
        <v/>
      </c>
      <c r="C102" s="28">
        <f>Расчет!H56</f>
        <v/>
      </c>
      <c r="D102" s="29">
        <f>Расчет!I56</f>
        <v/>
      </c>
      <c r="E102" s="29">
        <f>Расчет!J56</f>
        <v/>
      </c>
      <c r="F102" s="29">
        <f>Расчет!K56</f>
        <v/>
      </c>
      <c r="G102" s="28" t="n"/>
      <c r="H102" s="28">
        <f>Расчет!M56</f>
        <v/>
      </c>
    </row>
    <row r="103">
      <c r="A103" s="28" t="n">
        <v>6</v>
      </c>
      <c r="B103" s="28">
        <f>Расчет!G57</f>
        <v/>
      </c>
      <c r="C103" s="28">
        <f>Расчет!H57</f>
        <v/>
      </c>
      <c r="D103" s="29">
        <f>Расчет!I57</f>
        <v/>
      </c>
      <c r="E103" s="29">
        <f>Расчет!J57</f>
        <v/>
      </c>
      <c r="F103" s="29">
        <f>Расчет!K57</f>
        <v/>
      </c>
      <c r="G103" s="28" t="n"/>
      <c r="H103" s="28">
        <f>Расчет!M57</f>
        <v/>
      </c>
    </row>
    <row r="104">
      <c r="A104" s="28" t="n">
        <v>7</v>
      </c>
      <c r="B104" s="28">
        <f>Расчет!G58</f>
        <v/>
      </c>
      <c r="C104" s="28">
        <f>Расчет!H58</f>
        <v/>
      </c>
      <c r="D104" s="29">
        <f>Расчет!I58</f>
        <v/>
      </c>
      <c r="E104" s="29">
        <f>Расчет!J58</f>
        <v/>
      </c>
      <c r="F104" s="29">
        <f>Расчет!K58</f>
        <v/>
      </c>
      <c r="G104" s="28" t="n"/>
      <c r="H104" s="28">
        <f>Расчет!M58</f>
        <v/>
      </c>
    </row>
    <row r="105">
      <c r="A105" s="30" t="n"/>
      <c r="B105" s="30">
        <f>Расчет!G59</f>
        <v/>
      </c>
      <c r="C105" s="30">
        <f>Расчет!H59</f>
        <v/>
      </c>
      <c r="D105" s="31">
        <f>Расчет!I59</f>
        <v/>
      </c>
      <c r="E105" s="31">
        <f>Расчет!J59</f>
        <v/>
      </c>
      <c r="F105" s="30" t="n"/>
      <c r="G105" s="31">
        <f>Расчет!L59</f>
        <v/>
      </c>
      <c r="H105" s="30">
        <f>Расчет!M59</f>
        <v/>
      </c>
    </row>
    <row r="106">
      <c r="A106" s="28" t="n">
        <v>8</v>
      </c>
      <c r="B106" s="28">
        <f>Расчет!G60</f>
        <v/>
      </c>
      <c r="C106" s="28">
        <f>Расчет!H60</f>
        <v/>
      </c>
      <c r="D106" s="29">
        <f>Расчет!I60</f>
        <v/>
      </c>
      <c r="E106" s="29">
        <f>Расчет!J60</f>
        <v/>
      </c>
      <c r="F106" s="29">
        <f>Расчет!K60</f>
        <v/>
      </c>
      <c r="G106" s="28" t="n"/>
      <c r="H106" s="28">
        <f>Расчет!M60</f>
        <v/>
      </c>
    </row>
    <row r="107">
      <c r="A107" s="30" t="n"/>
      <c r="B107" s="30">
        <f>Расчет!G61</f>
        <v/>
      </c>
      <c r="C107" s="30">
        <f>Расчет!H61</f>
        <v/>
      </c>
      <c r="D107" s="31">
        <f>Расчет!I61</f>
        <v/>
      </c>
      <c r="E107" s="31">
        <f>Расчет!J61</f>
        <v/>
      </c>
      <c r="F107" s="30" t="n"/>
      <c r="G107" s="31">
        <f>Расчет!L61</f>
        <v/>
      </c>
      <c r="H107" s="30">
        <f>Расчет!M61</f>
        <v/>
      </c>
    </row>
    <row r="108">
      <c r="A108" s="30" t="n"/>
      <c r="B108" s="30">
        <f>Расчет!G62</f>
        <v/>
      </c>
      <c r="C108" s="30">
        <f>Расчет!H62</f>
        <v/>
      </c>
      <c r="D108" s="31">
        <f>Расчет!I62</f>
        <v/>
      </c>
      <c r="E108" s="31">
        <f>Расчет!J62</f>
        <v/>
      </c>
      <c r="F108" s="30" t="n"/>
      <c r="G108" s="31">
        <f>Расчет!L62</f>
        <v/>
      </c>
      <c r="H108" s="30">
        <f>Расчет!M62</f>
        <v/>
      </c>
    </row>
    <row r="109">
      <c r="A109" s="28" t="n">
        <v>9</v>
      </c>
      <c r="B109" s="28">
        <f>Расчет!G63</f>
        <v/>
      </c>
      <c r="C109" s="28">
        <f>Расчет!H63</f>
        <v/>
      </c>
      <c r="D109" s="29">
        <f>Расчет!I63</f>
        <v/>
      </c>
      <c r="E109" s="29">
        <f>Расчет!J63</f>
        <v/>
      </c>
      <c r="F109" s="29">
        <f>Расчет!K63</f>
        <v/>
      </c>
      <c r="G109" s="28" t="n"/>
      <c r="H109" s="28">
        <f>Расчет!M63</f>
        <v/>
      </c>
    </row>
    <row r="110">
      <c r="A110" s="30" t="n"/>
      <c r="B110" s="30">
        <f>Расчет!G64</f>
        <v/>
      </c>
      <c r="C110" s="30">
        <f>Расчет!H64</f>
        <v/>
      </c>
      <c r="D110" s="31">
        <f>Расчет!I64</f>
        <v/>
      </c>
      <c r="E110" s="31">
        <f>Расчет!J64</f>
        <v/>
      </c>
      <c r="F110" s="30" t="n"/>
      <c r="G110" s="31">
        <f>Расчет!L64</f>
        <v/>
      </c>
      <c r="H110" s="30">
        <f>Расчет!M64</f>
        <v/>
      </c>
    </row>
    <row r="111">
      <c r="A111" s="30" t="n"/>
      <c r="B111" s="30">
        <f>Расчет!G65</f>
        <v/>
      </c>
      <c r="C111" s="30">
        <f>Расчет!H65</f>
        <v/>
      </c>
      <c r="D111" s="31">
        <f>Расчет!I65</f>
        <v/>
      </c>
      <c r="E111" s="31">
        <f>Расчет!J65</f>
        <v/>
      </c>
      <c r="F111" s="30" t="n"/>
      <c r="G111" s="31">
        <f>Расчет!L65</f>
        <v/>
      </c>
      <c r="H111" s="30">
        <f>Расчет!M65</f>
        <v/>
      </c>
    </row>
    <row r="112">
      <c r="A112" s="28" t="n">
        <v>10</v>
      </c>
      <c r="B112" s="28">
        <f>Расчет!G66</f>
        <v/>
      </c>
      <c r="C112" s="28">
        <f>Расчет!H66</f>
        <v/>
      </c>
      <c r="D112" s="29">
        <f>Расчет!I66</f>
        <v/>
      </c>
      <c r="E112" s="29">
        <f>Расчет!J66</f>
        <v/>
      </c>
      <c r="F112" s="29">
        <f>Расчет!K66</f>
        <v/>
      </c>
      <c r="G112" s="28" t="n"/>
      <c r="H112" s="28">
        <f>Расчет!M66</f>
        <v/>
      </c>
    </row>
    <row r="113">
      <c r="A113" s="28" t="n">
        <v>11</v>
      </c>
      <c r="B113" s="28">
        <f>Расчет!G67</f>
        <v/>
      </c>
      <c r="C113" s="28">
        <f>Расчет!H67</f>
        <v/>
      </c>
      <c r="D113" s="29">
        <f>Расчет!I67</f>
        <v/>
      </c>
      <c r="E113" s="29">
        <f>Расчет!J67</f>
        <v/>
      </c>
      <c r="F113" s="29">
        <f>Расчет!K67</f>
        <v/>
      </c>
      <c r="G113" s="28" t="n"/>
      <c r="H113" s="28">
        <f>Расчет!M67</f>
        <v/>
      </c>
    </row>
    <row r="114">
      <c r="A114" s="30" t="n"/>
      <c r="B114" s="30">
        <f>Расчет!G68</f>
        <v/>
      </c>
      <c r="C114" s="30">
        <f>Расчет!H68</f>
        <v/>
      </c>
      <c r="D114" s="31">
        <f>Расчет!I68</f>
        <v/>
      </c>
      <c r="E114" s="31">
        <f>Расчет!J68</f>
        <v/>
      </c>
      <c r="F114" s="30" t="n"/>
      <c r="G114" s="31">
        <f>Расчет!L68</f>
        <v/>
      </c>
      <c r="H114" s="30">
        <f>Расчет!M68</f>
        <v/>
      </c>
    </row>
    <row r="115">
      <c r="A115" s="28" t="n">
        <v>12</v>
      </c>
      <c r="B115" s="28">
        <f>Расчет!G69</f>
        <v/>
      </c>
      <c r="C115" s="28">
        <f>Расчет!H69</f>
        <v/>
      </c>
      <c r="D115" s="29">
        <f>Расчет!I69</f>
        <v/>
      </c>
      <c r="E115" s="29">
        <f>Расчет!J69</f>
        <v/>
      </c>
      <c r="F115" s="29">
        <f>Расчет!K69</f>
        <v/>
      </c>
      <c r="G115" s="28" t="n"/>
      <c r="H115" s="28">
        <f>Расчет!M69</f>
        <v/>
      </c>
    </row>
    <row r="116">
      <c r="A116" s="30" t="n"/>
      <c r="B116" s="30">
        <f>Расчет!G70</f>
        <v/>
      </c>
      <c r="C116" s="30">
        <f>Расчет!H70</f>
        <v/>
      </c>
      <c r="D116" s="31">
        <f>Расчет!I70</f>
        <v/>
      </c>
      <c r="E116" s="31">
        <f>Расчет!J70</f>
        <v/>
      </c>
      <c r="F116" s="30" t="n"/>
      <c r="G116" s="31">
        <f>Расчет!L70</f>
        <v/>
      </c>
      <c r="H116" s="30">
        <f>Расчет!M70</f>
        <v/>
      </c>
    </row>
    <row r="117">
      <c r="A117" s="28" t="n">
        <v>13</v>
      </c>
      <c r="B117" s="28">
        <f>Расчет!G71</f>
        <v/>
      </c>
      <c r="C117" s="28">
        <f>Расчет!H71</f>
        <v/>
      </c>
      <c r="D117" s="29">
        <f>Расчет!I71</f>
        <v/>
      </c>
      <c r="E117" s="29">
        <f>Расчет!J71</f>
        <v/>
      </c>
      <c r="F117" s="29">
        <f>Расчет!K71</f>
        <v/>
      </c>
      <c r="G117" s="28" t="n"/>
      <c r="H117" s="28">
        <f>Расчет!M71</f>
        <v/>
      </c>
    </row>
    <row r="118">
      <c r="A118" s="30" t="n"/>
      <c r="B118" s="30">
        <f>Расчет!G72</f>
        <v/>
      </c>
      <c r="C118" s="30">
        <f>Расчет!H72</f>
        <v/>
      </c>
      <c r="D118" s="31">
        <f>Расчет!I72</f>
        <v/>
      </c>
      <c r="E118" s="31">
        <f>Расчет!J72</f>
        <v/>
      </c>
      <c r="F118" s="30" t="n"/>
      <c r="G118" s="31">
        <f>Расчет!L72</f>
        <v/>
      </c>
      <c r="H118" s="30">
        <f>Расчет!M72</f>
        <v/>
      </c>
    </row>
    <row r="119">
      <c r="A119" s="30" t="n"/>
      <c r="B119" s="30">
        <f>Расчет!G73</f>
        <v/>
      </c>
      <c r="C119" s="30">
        <f>Расчет!H73</f>
        <v/>
      </c>
      <c r="D119" s="31">
        <f>Расчет!I73</f>
        <v/>
      </c>
      <c r="E119" s="31">
        <f>Расчет!J73</f>
        <v/>
      </c>
      <c r="F119" s="30" t="n"/>
      <c r="G119" s="31">
        <f>Расчет!L73</f>
        <v/>
      </c>
      <c r="H119" s="30">
        <f>Расчет!M73</f>
        <v/>
      </c>
    </row>
    <row r="120">
      <c r="B120" s="32" t="inlineStr">
        <is>
          <t>Стены подпорные, стены бассейна</t>
        </is>
      </c>
    </row>
    <row r="121">
      <c r="A121" s="28" t="n">
        <v>14</v>
      </c>
      <c r="B121" s="28">
        <f>Расчет!G75</f>
        <v/>
      </c>
      <c r="C121" s="28">
        <f>Расчет!H75</f>
        <v/>
      </c>
      <c r="D121" s="29">
        <f>Расчет!I75</f>
        <v/>
      </c>
      <c r="E121" s="29">
        <f>Расчет!J75</f>
        <v/>
      </c>
      <c r="F121" s="29">
        <f>Расчет!K75</f>
        <v/>
      </c>
      <c r="G121" s="28" t="n"/>
      <c r="H121" s="28">
        <f>Расчет!M75</f>
        <v/>
      </c>
    </row>
    <row r="122">
      <c r="A122" s="28" t="n">
        <v>15</v>
      </c>
      <c r="B122" s="28">
        <f>Расчет!G76</f>
        <v/>
      </c>
      <c r="C122" s="28">
        <f>Расчет!H76</f>
        <v/>
      </c>
      <c r="D122" s="29">
        <f>Расчет!I76</f>
        <v/>
      </c>
      <c r="E122" s="29">
        <f>Расчет!J76</f>
        <v/>
      </c>
      <c r="F122" s="29">
        <f>Расчет!K76</f>
        <v/>
      </c>
      <c r="G122" s="28" t="n"/>
      <c r="H122" s="28">
        <f>Расчет!M76</f>
        <v/>
      </c>
    </row>
    <row r="123">
      <c r="A123" s="30" t="n"/>
      <c r="B123" s="30">
        <f>Расчет!G77</f>
        <v/>
      </c>
      <c r="C123" s="30">
        <f>Расчет!H77</f>
        <v/>
      </c>
      <c r="D123" s="31">
        <f>Расчет!I77</f>
        <v/>
      </c>
      <c r="E123" s="31">
        <f>Расчет!J77</f>
        <v/>
      </c>
      <c r="F123" s="30" t="n"/>
      <c r="G123" s="31">
        <f>Расчет!L77</f>
        <v/>
      </c>
      <c r="H123" s="30">
        <f>Расчет!M77</f>
        <v/>
      </c>
    </row>
    <row r="124">
      <c r="A124" s="28" t="n">
        <v>16</v>
      </c>
      <c r="B124" s="28">
        <f>Расчет!G78</f>
        <v/>
      </c>
      <c r="C124" s="28">
        <f>Расчет!H78</f>
        <v/>
      </c>
      <c r="D124" s="29">
        <f>Расчет!I78</f>
        <v/>
      </c>
      <c r="E124" s="29">
        <f>Расчет!J78</f>
        <v/>
      </c>
      <c r="F124" s="29">
        <f>Расчет!K78</f>
        <v/>
      </c>
      <c r="G124" s="28" t="n"/>
      <c r="H124" s="28">
        <f>Расчет!M78</f>
        <v/>
      </c>
    </row>
    <row r="125">
      <c r="A125" s="30" t="n"/>
      <c r="B125" s="30">
        <f>Расчет!G79</f>
        <v/>
      </c>
      <c r="C125" s="30">
        <f>Расчет!H79</f>
        <v/>
      </c>
      <c r="D125" s="31">
        <f>Расчет!I79</f>
        <v/>
      </c>
      <c r="E125" s="31">
        <f>Расчет!J79</f>
        <v/>
      </c>
      <c r="F125" s="30" t="n"/>
      <c r="G125" s="31">
        <f>Расчет!L79</f>
        <v/>
      </c>
      <c r="H125" s="30">
        <f>Расчет!M79</f>
        <v/>
      </c>
    </row>
    <row r="126">
      <c r="A126" s="28" t="n">
        <v>17</v>
      </c>
      <c r="B126" s="28">
        <f>Расчет!G80</f>
        <v/>
      </c>
      <c r="C126" s="28">
        <f>Расчет!H80</f>
        <v/>
      </c>
      <c r="D126" s="29">
        <f>Расчет!I80</f>
        <v/>
      </c>
      <c r="E126" s="29">
        <f>Расчет!J80</f>
        <v/>
      </c>
      <c r="F126" s="29">
        <f>Расчет!K80</f>
        <v/>
      </c>
      <c r="G126" s="28" t="n"/>
      <c r="H126" s="28">
        <f>Расчет!M80</f>
        <v/>
      </c>
    </row>
    <row r="127">
      <c r="A127" s="30" t="n"/>
      <c r="B127" s="30">
        <f>Расчет!G81</f>
        <v/>
      </c>
      <c r="C127" s="30">
        <f>Расчет!H81</f>
        <v/>
      </c>
      <c r="D127" s="31">
        <f>Расчет!I81</f>
        <v/>
      </c>
      <c r="E127" s="31">
        <f>Расчет!J81</f>
        <v/>
      </c>
      <c r="F127" s="30" t="n"/>
      <c r="G127" s="31">
        <f>Расчет!L81</f>
        <v/>
      </c>
      <c r="H127" s="30">
        <f>Расчет!M81</f>
        <v/>
      </c>
    </row>
    <row r="128">
      <c r="A128" s="28" t="n">
        <v>18</v>
      </c>
      <c r="B128" s="28">
        <f>Расчет!G82</f>
        <v/>
      </c>
      <c r="C128" s="28">
        <f>Расчет!H82</f>
        <v/>
      </c>
      <c r="D128" s="29">
        <f>Расчет!I82</f>
        <v/>
      </c>
      <c r="E128" s="29">
        <f>Расчет!J82</f>
        <v/>
      </c>
      <c r="F128" s="29">
        <f>Расчет!K82</f>
        <v/>
      </c>
      <c r="G128" s="28" t="n"/>
      <c r="H128" s="28">
        <f>Расчет!M82</f>
        <v/>
      </c>
    </row>
    <row r="129">
      <c r="A129" s="30" t="n"/>
      <c r="B129" s="30">
        <f>Расчет!G83</f>
        <v/>
      </c>
      <c r="C129" s="30">
        <f>Расчет!H83</f>
        <v/>
      </c>
      <c r="D129" s="31">
        <f>Расчет!I83</f>
        <v/>
      </c>
      <c r="E129" s="31">
        <f>Расчет!J83</f>
        <v/>
      </c>
      <c r="F129" s="30" t="n"/>
      <c r="G129" s="31">
        <f>Расчет!L83</f>
        <v/>
      </c>
      <c r="H129" s="30">
        <f>Расчет!M83</f>
        <v/>
      </c>
    </row>
    <row r="130">
      <c r="A130" s="30" t="n"/>
      <c r="B130" s="30">
        <f>Расчет!G84</f>
        <v/>
      </c>
      <c r="C130" s="30">
        <f>Расчет!H84</f>
        <v/>
      </c>
      <c r="D130" s="31">
        <f>Расчет!I84</f>
        <v/>
      </c>
      <c r="E130" s="31">
        <f>Расчет!J84</f>
        <v/>
      </c>
      <c r="F130" s="30" t="n"/>
      <c r="G130" s="31">
        <f>Расчет!L84</f>
        <v/>
      </c>
      <c r="H130" s="30">
        <f>Расчет!M84</f>
        <v/>
      </c>
    </row>
    <row r="131">
      <c r="A131" s="28" t="n">
        <v>19</v>
      </c>
      <c r="B131" s="28">
        <f>Расчет!G85</f>
        <v/>
      </c>
      <c r="C131" s="28">
        <f>Расчет!H85</f>
        <v/>
      </c>
      <c r="D131" s="29">
        <f>Расчет!I85</f>
        <v/>
      </c>
      <c r="E131" s="29">
        <f>Расчет!J85</f>
        <v/>
      </c>
      <c r="F131" s="29">
        <f>Расчет!K85</f>
        <v/>
      </c>
      <c r="G131" s="28" t="n"/>
      <c r="H131" s="28">
        <f>Расчет!M85</f>
        <v/>
      </c>
    </row>
    <row r="132">
      <c r="A132" s="30" t="n"/>
      <c r="B132" s="30">
        <f>Расчет!G86</f>
        <v/>
      </c>
      <c r="C132" s="30">
        <f>Расчет!H86</f>
        <v/>
      </c>
      <c r="D132" s="31">
        <f>Расчет!I86</f>
        <v/>
      </c>
      <c r="E132" s="31">
        <f>Расчет!J86</f>
        <v/>
      </c>
      <c r="F132" s="30" t="n"/>
      <c r="G132" s="31">
        <f>Расчет!L86</f>
        <v/>
      </c>
      <c r="H132" s="30">
        <f>Расчет!M86</f>
        <v/>
      </c>
    </row>
    <row r="133">
      <c r="A133" s="28" t="n">
        <v>20</v>
      </c>
      <c r="B133" s="28">
        <f>Расчет!G87</f>
        <v/>
      </c>
      <c r="C133" s="28">
        <f>Расчет!H87</f>
        <v/>
      </c>
      <c r="D133" s="29">
        <f>Расчет!I87</f>
        <v/>
      </c>
      <c r="E133" s="29">
        <f>Расчет!J87</f>
        <v/>
      </c>
      <c r="F133" s="29">
        <f>Расчет!K87</f>
        <v/>
      </c>
      <c r="G133" s="28" t="n"/>
      <c r="H133" s="28">
        <f>Расчет!M87</f>
        <v/>
      </c>
    </row>
    <row r="134">
      <c r="A134" s="30" t="n"/>
      <c r="B134" s="30">
        <f>Расчет!G88</f>
        <v/>
      </c>
      <c r="C134" s="30">
        <f>Расчет!H88</f>
        <v/>
      </c>
      <c r="D134" s="31">
        <f>Расчет!I88</f>
        <v/>
      </c>
      <c r="E134" s="31">
        <f>Расчет!J88</f>
        <v/>
      </c>
      <c r="F134" s="30" t="n"/>
      <c r="G134" s="31">
        <f>Расчет!L88</f>
        <v/>
      </c>
      <c r="H134" s="30">
        <f>Расчет!M88</f>
        <v/>
      </c>
    </row>
    <row r="135">
      <c r="A135" s="30" t="n"/>
      <c r="B135" s="30">
        <f>Расчет!G89</f>
        <v/>
      </c>
      <c r="C135" s="30">
        <f>Расчет!H89</f>
        <v/>
      </c>
      <c r="D135" s="31">
        <f>Расчет!I89</f>
        <v/>
      </c>
      <c r="E135" s="31">
        <f>Расчет!J89</f>
        <v/>
      </c>
      <c r="F135" s="30" t="n"/>
      <c r="G135" s="31">
        <f>Расчет!L89</f>
        <v/>
      </c>
      <c r="H135" s="30">
        <f>Расчет!M89</f>
        <v/>
      </c>
    </row>
    <row r="136">
      <c r="A136" s="28" t="n">
        <v>21</v>
      </c>
      <c r="B136" s="28">
        <f>Расчет!G90</f>
        <v/>
      </c>
      <c r="C136" s="28">
        <f>Расчет!H90</f>
        <v/>
      </c>
      <c r="D136" s="29">
        <f>Расчет!I90</f>
        <v/>
      </c>
      <c r="E136" s="29">
        <f>Расчет!J90</f>
        <v/>
      </c>
      <c r="F136" s="29">
        <f>Расчет!K90</f>
        <v/>
      </c>
      <c r="G136" s="28" t="n"/>
      <c r="H136" s="28">
        <f>Расчет!M90</f>
        <v/>
      </c>
    </row>
    <row r="137">
      <c r="A137" s="30" t="n"/>
      <c r="B137" s="30">
        <f>Расчет!G91</f>
        <v/>
      </c>
      <c r="C137" s="30">
        <f>Расчет!H91</f>
        <v/>
      </c>
      <c r="D137" s="31">
        <f>Расчет!I91</f>
        <v/>
      </c>
      <c r="E137" s="31">
        <f>Расчет!J91</f>
        <v/>
      </c>
      <c r="F137" s="30" t="n"/>
      <c r="G137" s="31">
        <f>Расчет!L91</f>
        <v/>
      </c>
      <c r="H137" s="30">
        <f>Расчет!M91</f>
        <v/>
      </c>
    </row>
    <row r="138">
      <c r="B138" s="32" t="inlineStr">
        <is>
          <t>Плита перекрытия (частично на основании) 76м.кв., верхняя площадка 23,5м.кв. (на основании)</t>
        </is>
      </c>
    </row>
    <row r="139">
      <c r="A139" s="28" t="n">
        <v>22</v>
      </c>
      <c r="B139" s="28">
        <f>Расчет!G93</f>
        <v/>
      </c>
      <c r="C139" s="28">
        <f>Расчет!H93</f>
        <v/>
      </c>
      <c r="D139" s="29">
        <f>Расчет!I93</f>
        <v/>
      </c>
      <c r="E139" s="29">
        <f>Расчет!J93</f>
        <v/>
      </c>
      <c r="F139" s="29">
        <f>Расчет!K93</f>
        <v/>
      </c>
      <c r="G139" s="28" t="n"/>
      <c r="H139" s="28">
        <f>Расчет!M93</f>
        <v/>
      </c>
    </row>
    <row r="140">
      <c r="A140" s="30" t="n"/>
      <c r="B140" s="30">
        <f>Расчет!G94</f>
        <v/>
      </c>
      <c r="C140" s="30">
        <f>Расчет!H94</f>
        <v/>
      </c>
      <c r="D140" s="31">
        <f>Расчет!I94</f>
        <v/>
      </c>
      <c r="E140" s="31">
        <f>Расчет!J94</f>
        <v/>
      </c>
      <c r="F140" s="30" t="n"/>
      <c r="G140" s="31">
        <f>Расчет!L94</f>
        <v/>
      </c>
      <c r="H140" s="30">
        <f>Расчет!M94</f>
        <v/>
      </c>
    </row>
    <row r="141">
      <c r="A141" s="28" t="n">
        <v>23</v>
      </c>
      <c r="B141" s="28">
        <f>Расчет!G95</f>
        <v/>
      </c>
      <c r="C141" s="28">
        <f>Расчет!H95</f>
        <v/>
      </c>
      <c r="D141" s="29">
        <f>Расчет!I95</f>
        <v/>
      </c>
      <c r="E141" s="29">
        <f>Расчет!J95</f>
        <v/>
      </c>
      <c r="F141" s="29">
        <f>Расчет!K95</f>
        <v/>
      </c>
      <c r="G141" s="28" t="n"/>
      <c r="H141" s="28">
        <f>Расчет!M95</f>
        <v/>
      </c>
    </row>
    <row r="142">
      <c r="A142" s="28" t="n">
        <v>24</v>
      </c>
      <c r="B142" s="28">
        <f>Расчет!G96</f>
        <v/>
      </c>
      <c r="C142" s="28">
        <f>Расчет!H96</f>
        <v/>
      </c>
      <c r="D142" s="29">
        <f>Расчет!I96</f>
        <v/>
      </c>
      <c r="E142" s="29">
        <f>Расчет!J96</f>
        <v/>
      </c>
      <c r="F142" s="29">
        <f>Расчет!K96</f>
        <v/>
      </c>
      <c r="G142" s="28" t="n"/>
      <c r="H142" s="28">
        <f>Расчет!M96</f>
        <v/>
      </c>
    </row>
    <row r="143">
      <c r="A143" s="30" t="n"/>
      <c r="B143" s="30">
        <f>Расчет!G97</f>
        <v/>
      </c>
      <c r="C143" s="30">
        <f>Расчет!H97</f>
        <v/>
      </c>
      <c r="D143" s="31">
        <f>Расчет!I97</f>
        <v/>
      </c>
      <c r="E143" s="31">
        <f>Расчет!J97</f>
        <v/>
      </c>
      <c r="F143" s="30" t="n"/>
      <c r="G143" s="31">
        <f>Расчет!L97</f>
        <v/>
      </c>
      <c r="H143" s="30">
        <f>Расчет!M97</f>
        <v/>
      </c>
    </row>
    <row r="144">
      <c r="A144" s="28" t="n">
        <v>25</v>
      </c>
      <c r="B144" s="28">
        <f>Расчет!G98</f>
        <v/>
      </c>
      <c r="C144" s="28">
        <f>Расчет!H98</f>
        <v/>
      </c>
      <c r="D144" s="29">
        <f>Расчет!I98</f>
        <v/>
      </c>
      <c r="E144" s="29">
        <f>Расчет!J98</f>
        <v/>
      </c>
      <c r="F144" s="29">
        <f>Расчет!K98</f>
        <v/>
      </c>
      <c r="G144" s="28" t="n"/>
      <c r="H144" s="28">
        <f>Расчет!M98</f>
        <v/>
      </c>
    </row>
    <row r="145">
      <c r="A145" s="30" t="n"/>
      <c r="B145" s="30">
        <f>Расчет!G99</f>
        <v/>
      </c>
      <c r="C145" s="30">
        <f>Расчет!H99</f>
        <v/>
      </c>
      <c r="D145" s="31">
        <f>Расчет!I99</f>
        <v/>
      </c>
      <c r="E145" s="31">
        <f>Расчет!J99</f>
        <v/>
      </c>
      <c r="F145" s="30" t="n"/>
      <c r="G145" s="31">
        <f>Расчет!L99</f>
        <v/>
      </c>
      <c r="H145" s="30">
        <f>Расчет!M99</f>
        <v/>
      </c>
    </row>
    <row r="146">
      <c r="A146" s="30" t="n"/>
      <c r="B146" s="30">
        <f>Расчет!G100</f>
        <v/>
      </c>
      <c r="C146" s="30">
        <f>Расчет!H100</f>
        <v/>
      </c>
      <c r="D146" s="31">
        <f>Расчет!I100</f>
        <v/>
      </c>
      <c r="E146" s="31">
        <f>Расчет!J100</f>
        <v/>
      </c>
      <c r="F146" s="30" t="n"/>
      <c r="G146" s="31">
        <f>Расчет!L100</f>
        <v/>
      </c>
      <c r="H146" s="30">
        <f>Расчет!M100</f>
        <v/>
      </c>
    </row>
    <row r="147">
      <c r="A147" s="28" t="n">
        <v>26</v>
      </c>
      <c r="B147" s="28">
        <f>Расчет!G101</f>
        <v/>
      </c>
      <c r="C147" s="28">
        <f>Расчет!H101</f>
        <v/>
      </c>
      <c r="D147" s="29">
        <f>Расчет!I101</f>
        <v/>
      </c>
      <c r="E147" s="29">
        <f>Расчет!J101</f>
        <v/>
      </c>
      <c r="F147" s="29">
        <f>Расчет!K101</f>
        <v/>
      </c>
      <c r="G147" s="28" t="n"/>
      <c r="H147" s="28">
        <f>Расчет!M101</f>
        <v/>
      </c>
    </row>
    <row r="148">
      <c r="A148" s="28" t="n">
        <v>27</v>
      </c>
      <c r="B148" s="28">
        <f>Расчет!G102</f>
        <v/>
      </c>
      <c r="C148" s="28">
        <f>Расчет!H102</f>
        <v/>
      </c>
      <c r="D148" s="29">
        <f>Расчет!I102</f>
        <v/>
      </c>
      <c r="E148" s="29">
        <f>Расчет!J102</f>
        <v/>
      </c>
      <c r="F148" s="29">
        <f>Расчет!K102</f>
        <v/>
      </c>
      <c r="G148" s="28" t="n"/>
      <c r="H148" s="28">
        <f>Расчет!M102</f>
        <v/>
      </c>
    </row>
    <row r="149">
      <c r="A149" s="28" t="n">
        <v>28</v>
      </c>
      <c r="B149" s="28">
        <f>Расчет!G103</f>
        <v/>
      </c>
      <c r="C149" s="28">
        <f>Расчет!H103</f>
        <v/>
      </c>
      <c r="D149" s="29">
        <f>Расчет!I103</f>
        <v/>
      </c>
      <c r="E149" s="29">
        <f>Расчет!J103</f>
        <v/>
      </c>
      <c r="F149" s="29">
        <f>Расчет!K103</f>
        <v/>
      </c>
      <c r="G149" s="28" t="n"/>
      <c r="H149" s="28">
        <f>Расчет!M103</f>
        <v/>
      </c>
    </row>
    <row r="150">
      <c r="A150" s="30" t="n"/>
      <c r="B150" s="30">
        <f>Расчет!G104</f>
        <v/>
      </c>
      <c r="C150" s="30">
        <f>Расчет!H104</f>
        <v/>
      </c>
      <c r="D150" s="31">
        <f>Расчет!I104</f>
        <v/>
      </c>
      <c r="E150" s="31">
        <f>Расчет!J104</f>
        <v/>
      </c>
      <c r="F150" s="30" t="n"/>
      <c r="G150" s="31">
        <f>Расчет!L104</f>
        <v/>
      </c>
      <c r="H150" s="30">
        <f>Расчет!M104</f>
        <v/>
      </c>
    </row>
    <row r="151">
      <c r="A151" s="28" t="n">
        <v>29</v>
      </c>
      <c r="B151" s="28">
        <f>Расчет!G105</f>
        <v/>
      </c>
      <c r="C151" s="28">
        <f>Расчет!H105</f>
        <v/>
      </c>
      <c r="D151" s="29">
        <f>Расчет!I105</f>
        <v/>
      </c>
      <c r="E151" s="29">
        <f>Расчет!J105</f>
        <v/>
      </c>
      <c r="F151" s="29">
        <f>Расчет!K105</f>
        <v/>
      </c>
      <c r="G151" s="28" t="n"/>
      <c r="H151" s="28">
        <f>Расчет!M105</f>
        <v/>
      </c>
    </row>
    <row r="152">
      <c r="A152" s="30" t="n"/>
      <c r="B152" s="30">
        <f>Расчет!G106</f>
        <v/>
      </c>
      <c r="C152" s="30">
        <f>Расчет!H106</f>
        <v/>
      </c>
      <c r="D152" s="31">
        <f>Расчет!I106</f>
        <v/>
      </c>
      <c r="E152" s="31">
        <f>Расчет!J106</f>
        <v/>
      </c>
      <c r="F152" s="30" t="n"/>
      <c r="G152" s="31">
        <f>Расчет!L106</f>
        <v/>
      </c>
      <c r="H152" s="30">
        <f>Расчет!M106</f>
        <v/>
      </c>
    </row>
    <row r="153">
      <c r="A153" s="30" t="n"/>
      <c r="B153" s="30">
        <f>Расчет!G107</f>
        <v/>
      </c>
      <c r="C153" s="30">
        <f>Расчет!H107</f>
        <v/>
      </c>
      <c r="D153" s="31">
        <f>Расчет!I107</f>
        <v/>
      </c>
      <c r="E153" s="31">
        <f>Расчет!J107</f>
        <v/>
      </c>
      <c r="F153" s="30" t="n"/>
      <c r="G153" s="31">
        <f>Расчет!L107</f>
        <v/>
      </c>
      <c r="H153" s="30">
        <f>Расчет!M107</f>
        <v/>
      </c>
    </row>
    <row r="154">
      <c r="A154" s="28" t="n">
        <v>30</v>
      </c>
      <c r="B154" s="28">
        <f>Расчет!G108</f>
        <v/>
      </c>
      <c r="C154" s="28">
        <f>Расчет!H108</f>
        <v/>
      </c>
      <c r="D154" s="29">
        <f>Расчет!I108</f>
        <v/>
      </c>
      <c r="E154" s="29">
        <f>Расчет!J108</f>
        <v/>
      </c>
      <c r="F154" s="29">
        <f>Расчет!K108</f>
        <v/>
      </c>
      <c r="G154" s="28" t="n"/>
      <c r="H154" s="28">
        <f>Расчет!M108</f>
        <v/>
      </c>
    </row>
    <row r="155">
      <c r="A155" s="30" t="n"/>
      <c r="B155" s="30">
        <f>Расчет!G109</f>
        <v/>
      </c>
      <c r="C155" s="30">
        <f>Расчет!H109</f>
        <v/>
      </c>
      <c r="D155" s="31">
        <f>Расчет!I109</f>
        <v/>
      </c>
      <c r="E155" s="31">
        <f>Расчет!J109</f>
        <v/>
      </c>
      <c r="F155" s="30" t="n"/>
      <c r="G155" s="31">
        <f>Расчет!L109</f>
        <v/>
      </c>
      <c r="H155" s="30">
        <f>Расчет!M109</f>
        <v/>
      </c>
    </row>
    <row r="156">
      <c r="A156" s="28" t="n">
        <v>31</v>
      </c>
      <c r="B156" s="28">
        <f>Расчет!G110</f>
        <v/>
      </c>
      <c r="C156" s="28">
        <f>Расчет!H110</f>
        <v/>
      </c>
      <c r="D156" s="29">
        <f>Расчет!I110</f>
        <v/>
      </c>
      <c r="E156" s="29">
        <f>Расчет!J110</f>
        <v/>
      </c>
      <c r="F156" s="29">
        <f>Расчет!K110</f>
        <v/>
      </c>
      <c r="G156" s="28" t="n"/>
      <c r="H156" s="28">
        <f>Расчет!M110</f>
        <v/>
      </c>
    </row>
    <row r="157">
      <c r="A157" s="28" t="n">
        <v>32</v>
      </c>
      <c r="B157" s="28">
        <f>Расчет!G111</f>
        <v/>
      </c>
      <c r="C157" s="28">
        <f>Расчет!H111</f>
        <v/>
      </c>
      <c r="D157" s="29">
        <f>Расчет!I111</f>
        <v/>
      </c>
      <c r="E157" s="29">
        <f>Расчет!J111</f>
        <v/>
      </c>
      <c r="F157" s="29">
        <f>Расчет!K111</f>
        <v/>
      </c>
      <c r="G157" s="28" t="n"/>
      <c r="H157" s="28">
        <f>Расчет!M111</f>
        <v/>
      </c>
    </row>
    <row r="158">
      <c r="A158" s="30" t="n"/>
      <c r="B158" s="30">
        <f>Расчет!G112</f>
        <v/>
      </c>
      <c r="C158" s="30">
        <f>Расчет!H112</f>
        <v/>
      </c>
      <c r="D158" s="31">
        <f>Расчет!I112</f>
        <v/>
      </c>
      <c r="E158" s="31">
        <f>Расчет!J112</f>
        <v/>
      </c>
      <c r="F158" s="30" t="n"/>
      <c r="G158" s="31">
        <f>Расчет!L112</f>
        <v/>
      </c>
      <c r="H158" s="30">
        <f>Расчет!M112</f>
        <v/>
      </c>
    </row>
    <row r="159">
      <c r="A159" s="28" t="n">
        <v>33</v>
      </c>
      <c r="B159" s="28">
        <f>Расчет!G113</f>
        <v/>
      </c>
      <c r="C159" s="28">
        <f>Расчет!H113</f>
        <v/>
      </c>
      <c r="D159" s="29">
        <f>Расчет!I113</f>
        <v/>
      </c>
      <c r="E159" s="29">
        <f>Расчет!J113</f>
        <v/>
      </c>
      <c r="F159" s="29">
        <f>Расчет!K113</f>
        <v/>
      </c>
      <c r="G159" s="28" t="n"/>
      <c r="H159" s="28">
        <f>Расчет!M113</f>
        <v/>
      </c>
    </row>
    <row r="160">
      <c r="A160" s="30" t="n"/>
      <c r="B160" s="30">
        <f>Расчет!G114</f>
        <v/>
      </c>
      <c r="C160" s="30">
        <f>Расчет!H114</f>
        <v/>
      </c>
      <c r="D160" s="31">
        <f>Расчет!I114</f>
        <v/>
      </c>
      <c r="E160" s="31">
        <f>Расчет!J114</f>
        <v/>
      </c>
      <c r="F160" s="30" t="n"/>
      <c r="G160" s="31">
        <f>Расчет!L114</f>
        <v/>
      </c>
      <c r="H160" s="30">
        <f>Расчет!M114</f>
        <v/>
      </c>
    </row>
    <row r="161">
      <c r="B161" s="32" t="inlineStr">
        <is>
          <t>Лестницы - бассейн, к бассейну, на террасу, подпорная верхняя стенка</t>
        </is>
      </c>
    </row>
    <row r="162">
      <c r="A162" s="28" t="n">
        <v>34</v>
      </c>
      <c r="B162" s="28">
        <f>Расчет!G116</f>
        <v/>
      </c>
      <c r="C162" s="28">
        <f>Расчет!H116</f>
        <v/>
      </c>
      <c r="D162" s="29">
        <f>Расчет!I116</f>
        <v/>
      </c>
      <c r="E162" s="29">
        <f>Расчет!J116</f>
        <v/>
      </c>
      <c r="F162" s="29">
        <f>Расчет!K116</f>
        <v/>
      </c>
      <c r="G162" s="28" t="n"/>
      <c r="H162" s="28">
        <f>Расчет!M116</f>
        <v/>
      </c>
    </row>
    <row r="163">
      <c r="A163" s="30" t="n"/>
      <c r="B163" s="30">
        <f>Расчет!G117</f>
        <v/>
      </c>
      <c r="C163" s="30">
        <f>Расчет!H117</f>
        <v/>
      </c>
      <c r="D163" s="31">
        <f>Расчет!I117</f>
        <v/>
      </c>
      <c r="E163" s="31">
        <f>Расчет!J117</f>
        <v/>
      </c>
      <c r="F163" s="30" t="n"/>
      <c r="G163" s="31">
        <f>Расчет!L117</f>
        <v/>
      </c>
      <c r="H163" s="30">
        <f>Расчет!M117</f>
        <v/>
      </c>
    </row>
    <row r="164">
      <c r="A164" s="30" t="n"/>
      <c r="B164" s="30">
        <f>Расчет!G118</f>
        <v/>
      </c>
      <c r="C164" s="30">
        <f>Расчет!H118</f>
        <v/>
      </c>
      <c r="D164" s="31">
        <f>Расчет!I118</f>
        <v/>
      </c>
      <c r="E164" s="31">
        <f>Расчет!J118</f>
        <v/>
      </c>
      <c r="F164" s="30" t="n"/>
      <c r="G164" s="31">
        <f>Расчет!L118</f>
        <v/>
      </c>
      <c r="H164" s="30">
        <f>Расчет!M118</f>
        <v/>
      </c>
    </row>
    <row r="165">
      <c r="A165" s="28" t="n">
        <v>35</v>
      </c>
      <c r="B165" s="28">
        <f>Расчет!G119</f>
        <v/>
      </c>
      <c r="C165" s="28">
        <f>Расчет!H119</f>
        <v/>
      </c>
      <c r="D165" s="29">
        <f>Расчет!I119</f>
        <v/>
      </c>
      <c r="E165" s="29">
        <f>Расчет!J119</f>
        <v/>
      </c>
      <c r="F165" s="29">
        <f>Расчет!K119</f>
        <v/>
      </c>
      <c r="G165" s="28" t="n"/>
      <c r="H165" s="28">
        <f>Расчет!M119</f>
        <v/>
      </c>
    </row>
    <row r="166">
      <c r="A166" s="30" t="n"/>
      <c r="B166" s="30">
        <f>Расчет!G120</f>
        <v/>
      </c>
      <c r="C166" s="30">
        <f>Расчет!H120</f>
        <v/>
      </c>
      <c r="D166" s="31">
        <f>Расчет!I120</f>
        <v/>
      </c>
      <c r="E166" s="31">
        <f>Расчет!J120</f>
        <v/>
      </c>
      <c r="F166" s="30" t="n"/>
      <c r="G166" s="31">
        <f>Расчет!L120</f>
        <v/>
      </c>
      <c r="H166" s="30">
        <f>Расчет!M120</f>
        <v/>
      </c>
    </row>
    <row r="167">
      <c r="A167" s="28" t="n">
        <v>36</v>
      </c>
      <c r="B167" s="28">
        <f>Расчет!G121</f>
        <v/>
      </c>
      <c r="C167" s="28">
        <f>Расчет!H121</f>
        <v/>
      </c>
      <c r="D167" s="29">
        <f>Расчет!I121</f>
        <v/>
      </c>
      <c r="E167" s="29">
        <f>Расчет!J121</f>
        <v/>
      </c>
      <c r="F167" s="29">
        <f>Расчет!K121</f>
        <v/>
      </c>
      <c r="G167" s="28" t="n"/>
      <c r="H167" s="28">
        <f>Расчет!M121</f>
        <v/>
      </c>
    </row>
    <row r="168">
      <c r="A168" s="28" t="n">
        <v>37</v>
      </c>
      <c r="B168" s="28">
        <f>Расчет!G122</f>
        <v/>
      </c>
      <c r="C168" s="28">
        <f>Расчет!H122</f>
        <v/>
      </c>
      <c r="D168" s="29">
        <f>Расчет!I122</f>
        <v/>
      </c>
      <c r="E168" s="29">
        <f>Расчет!J122</f>
        <v/>
      </c>
      <c r="F168" s="29">
        <f>Расчет!K122</f>
        <v/>
      </c>
      <c r="G168" s="28" t="n"/>
      <c r="H168" s="28">
        <f>Расчет!M122</f>
        <v/>
      </c>
    </row>
    <row r="169">
      <c r="A169" s="30" t="n"/>
      <c r="B169" s="30">
        <f>Расчет!G123</f>
        <v/>
      </c>
      <c r="C169" s="30">
        <f>Расчет!H123</f>
        <v/>
      </c>
      <c r="D169" s="31">
        <f>Расчет!I123</f>
        <v/>
      </c>
      <c r="E169" s="31">
        <f>Расчет!J123</f>
        <v/>
      </c>
      <c r="F169" s="30" t="n"/>
      <c r="G169" s="31">
        <f>Расчет!L123</f>
        <v/>
      </c>
      <c r="H169" s="30">
        <f>Расчет!M123</f>
        <v/>
      </c>
    </row>
    <row r="170">
      <c r="A170" s="28" t="n">
        <v>38</v>
      </c>
      <c r="B170" s="28">
        <f>Расчет!G124</f>
        <v/>
      </c>
      <c r="C170" s="28">
        <f>Расчет!H124</f>
        <v/>
      </c>
      <c r="D170" s="29">
        <f>Расчет!I124</f>
        <v/>
      </c>
      <c r="E170" s="29">
        <f>Расчет!J124</f>
        <v/>
      </c>
      <c r="F170" s="29">
        <f>Расчет!K124</f>
        <v/>
      </c>
      <c r="G170" s="28" t="n"/>
      <c r="H170" s="28">
        <f>Расчет!M124</f>
        <v/>
      </c>
    </row>
    <row r="171">
      <c r="A171" s="30" t="n"/>
      <c r="B171" s="30">
        <f>Расчет!G125</f>
        <v/>
      </c>
      <c r="C171" s="30">
        <f>Расчет!H125</f>
        <v/>
      </c>
      <c r="D171" s="31">
        <f>Расчет!I125</f>
        <v/>
      </c>
      <c r="E171" s="31">
        <f>Расчет!J125</f>
        <v/>
      </c>
      <c r="F171" s="30" t="n"/>
      <c r="G171" s="31">
        <f>Расчет!L125</f>
        <v/>
      </c>
      <c r="H171" s="30">
        <f>Расчет!M125</f>
        <v/>
      </c>
    </row>
    <row r="172">
      <c r="A172" s="28" t="n">
        <v>39</v>
      </c>
      <c r="B172" s="28">
        <f>Расчет!G126</f>
        <v/>
      </c>
      <c r="C172" s="28">
        <f>Расчет!H126</f>
        <v/>
      </c>
      <c r="D172" s="29">
        <f>Расчет!I126</f>
        <v/>
      </c>
      <c r="E172" s="29">
        <f>Расчет!J126</f>
        <v/>
      </c>
      <c r="F172" s="29">
        <f>Расчет!K126</f>
        <v/>
      </c>
      <c r="G172" s="28" t="n"/>
      <c r="H172" s="28">
        <f>Расчет!M126</f>
        <v/>
      </c>
    </row>
    <row r="173">
      <c r="A173" s="30" t="n"/>
      <c r="B173" s="30">
        <f>Расчет!G127</f>
        <v/>
      </c>
      <c r="C173" s="30">
        <f>Расчет!H127</f>
        <v/>
      </c>
      <c r="D173" s="31">
        <f>Расчет!I127</f>
        <v/>
      </c>
      <c r="E173" s="31">
        <f>Расчет!J127</f>
        <v/>
      </c>
      <c r="F173" s="30" t="n"/>
      <c r="G173" s="31">
        <f>Расчет!L127</f>
        <v/>
      </c>
      <c r="H173" s="30">
        <f>Расчет!M127</f>
        <v/>
      </c>
    </row>
    <row r="174">
      <c r="A174" s="30" t="n"/>
      <c r="B174" s="30">
        <f>Расчет!G128</f>
        <v/>
      </c>
      <c r="C174" s="30">
        <f>Расчет!H128</f>
        <v/>
      </c>
      <c r="D174" s="31">
        <f>Расчет!I128</f>
        <v/>
      </c>
      <c r="E174" s="31">
        <f>Расчет!J128</f>
        <v/>
      </c>
      <c r="F174" s="30" t="n"/>
      <c r="G174" s="31">
        <f>Расчет!L128</f>
        <v/>
      </c>
      <c r="H174" s="30">
        <f>Расчет!M128</f>
        <v/>
      </c>
    </row>
    <row r="175">
      <c r="A175" s="28" t="n">
        <v>40</v>
      </c>
      <c r="B175" s="28">
        <f>Расчет!G129</f>
        <v/>
      </c>
      <c r="C175" s="28">
        <f>Расчет!H129</f>
        <v/>
      </c>
      <c r="D175" s="29">
        <f>Расчет!I129</f>
        <v/>
      </c>
      <c r="E175" s="29">
        <f>Расчет!J129</f>
        <v/>
      </c>
      <c r="F175" s="29">
        <f>Расчет!K129</f>
        <v/>
      </c>
      <c r="G175" s="28" t="n"/>
      <c r="H175" s="28">
        <f>Расчет!M129</f>
        <v/>
      </c>
    </row>
    <row r="176">
      <c r="A176" s="30" t="n"/>
      <c r="B176" s="30">
        <f>Расчет!G130</f>
        <v/>
      </c>
      <c r="C176" s="30">
        <f>Расчет!H130</f>
        <v/>
      </c>
      <c r="D176" s="31">
        <f>Расчет!I130</f>
        <v/>
      </c>
      <c r="E176" s="31">
        <f>Расчет!J130</f>
        <v/>
      </c>
      <c r="F176" s="30" t="n"/>
      <c r="G176" s="31">
        <f>Расчет!L130</f>
        <v/>
      </c>
      <c r="H176" s="30">
        <f>Расчет!M130</f>
        <v/>
      </c>
    </row>
    <row r="177">
      <c r="A177" s="30" t="n"/>
      <c r="B177" s="30">
        <f>Расчет!G131</f>
        <v/>
      </c>
      <c r="C177" s="30">
        <f>Расчет!H131</f>
        <v/>
      </c>
      <c r="D177" s="31">
        <f>Расчет!I131</f>
        <v/>
      </c>
      <c r="E177" s="31">
        <f>Расчет!J131</f>
        <v/>
      </c>
      <c r="F177" s="30" t="n"/>
      <c r="G177" s="31">
        <f>Расчет!L131</f>
        <v/>
      </c>
      <c r="H177" s="30">
        <f>Расчет!M131</f>
        <v/>
      </c>
    </row>
    <row r="178">
      <c r="B178" s="33" t="inlineStr">
        <is>
          <t>ВСЕГО ПО РАЗДЕЛУ:</t>
        </is>
      </c>
      <c r="F178" s="34">
        <f>SUMIFS(Расчет!K:K,Расчет!B:B,"3",Расчет!E:E,"work")+SUMIFS(Расчет!K:K,Расчет!B:B,"3",Расчет!E:E,"section14_item")</f>
        <v/>
      </c>
      <c r="G178" s="34">
        <f>SUMIFS(Расчет!L:L,Расчет!B:B,"3",Расчет!E:E,"material")</f>
        <v/>
      </c>
    </row>
    <row r="179">
      <c r="B179" s="35" t="inlineStr">
        <is>
          <t>ИТОГО:</t>
        </is>
      </c>
      <c r="G179" s="26">
        <f>SUMIFS(Расчет!K:K,Расчет!B:B,"3",Расчет!E:E,"work")+SUMIFS(Расчет!K:K,Расчет!B:B,"3",Расчет!E:E,"section14_item")+SUMIFS(Расчет!L:L,Расчет!B:B,"3")</f>
        <v/>
      </c>
    </row>
    <row r="181">
      <c r="A181" s="25" t="inlineStr">
        <is>
          <t>4.</t>
        </is>
      </c>
      <c r="B181" s="27" t="inlineStr">
        <is>
          <t>Подпорные стенки, ступени - верхняя зона</t>
        </is>
      </c>
      <c r="C181" s="27" t="inlineStr">
        <is>
          <t>Ед. изм.</t>
        </is>
      </c>
      <c r="D181" s="27" t="inlineStr">
        <is>
          <t>Кол-во</t>
        </is>
      </c>
      <c r="E181" s="27" t="inlineStr">
        <is>
          <t>Цена</t>
        </is>
      </c>
      <c r="F181" s="27" t="inlineStr">
        <is>
          <t>Работы</t>
        </is>
      </c>
      <c r="G181" s="27" t="inlineStr">
        <is>
          <t>Материалы</t>
        </is>
      </c>
      <c r="H181" s="27" t="inlineStr">
        <is>
          <t>Примечание</t>
        </is>
      </c>
    </row>
    <row r="182">
      <c r="A182" s="28" t="n">
        <v>1</v>
      </c>
      <c r="B182" s="28">
        <f>Расчет!G132</f>
        <v/>
      </c>
      <c r="C182" s="28">
        <f>Расчет!H132</f>
        <v/>
      </c>
      <c r="D182" s="29">
        <f>Расчет!I132</f>
        <v/>
      </c>
      <c r="E182" s="29">
        <f>Расчет!J132</f>
        <v/>
      </c>
      <c r="F182" s="29">
        <f>Расчет!K132</f>
        <v/>
      </c>
      <c r="G182" s="28" t="n"/>
      <c r="H182" s="28">
        <f>Расчет!M132</f>
        <v/>
      </c>
    </row>
    <row r="183">
      <c r="A183" s="30" t="n"/>
      <c r="B183" s="30">
        <f>Расчет!G133</f>
        <v/>
      </c>
      <c r="C183" s="30">
        <f>Расчет!H133</f>
        <v/>
      </c>
      <c r="D183" s="31">
        <f>Расчет!I133</f>
        <v/>
      </c>
      <c r="E183" s="31">
        <f>Расчет!J133</f>
        <v/>
      </c>
      <c r="F183" s="30" t="n"/>
      <c r="G183" s="31">
        <f>Расчет!L133</f>
        <v/>
      </c>
      <c r="H183" s="30">
        <f>Расчет!M133</f>
        <v/>
      </c>
    </row>
    <row r="184">
      <c r="A184" s="28" t="n">
        <v>2</v>
      </c>
      <c r="B184" s="28">
        <f>Расчет!G134</f>
        <v/>
      </c>
      <c r="C184" s="28">
        <f>Расчет!H134</f>
        <v/>
      </c>
      <c r="D184" s="29">
        <f>Расчет!I134</f>
        <v/>
      </c>
      <c r="E184" s="29">
        <f>Расчет!J134</f>
        <v/>
      </c>
      <c r="F184" s="29">
        <f>Расчет!K134</f>
        <v/>
      </c>
      <c r="G184" s="28" t="n"/>
      <c r="H184" s="28">
        <f>Расчет!M134</f>
        <v/>
      </c>
    </row>
    <row r="185">
      <c r="A185" s="30" t="n"/>
      <c r="B185" s="30">
        <f>Расчет!G135</f>
        <v/>
      </c>
      <c r="C185" s="30">
        <f>Расчет!H135</f>
        <v/>
      </c>
      <c r="D185" s="31">
        <f>Расчет!I135</f>
        <v/>
      </c>
      <c r="E185" s="31">
        <f>Расчет!J135</f>
        <v/>
      </c>
      <c r="F185" s="30" t="n"/>
      <c r="G185" s="31">
        <f>Расчет!L135</f>
        <v/>
      </c>
      <c r="H185" s="30">
        <f>Расчет!M135</f>
        <v/>
      </c>
    </row>
    <row r="186">
      <c r="A186" s="28" t="n">
        <v>3</v>
      </c>
      <c r="B186" s="28">
        <f>Расчет!G136</f>
        <v/>
      </c>
      <c r="C186" s="28">
        <f>Расчет!H136</f>
        <v/>
      </c>
      <c r="D186" s="29">
        <f>Расчет!I136</f>
        <v/>
      </c>
      <c r="E186" s="29">
        <f>Расчет!J136</f>
        <v/>
      </c>
      <c r="F186" s="29">
        <f>Расчет!K136</f>
        <v/>
      </c>
      <c r="G186" s="28" t="n"/>
      <c r="H186" s="28">
        <f>Расчет!M136</f>
        <v/>
      </c>
    </row>
    <row r="187">
      <c r="A187" s="30" t="n"/>
      <c r="B187" s="30">
        <f>Расчет!G137</f>
        <v/>
      </c>
      <c r="C187" s="30">
        <f>Расчет!H137</f>
        <v/>
      </c>
      <c r="D187" s="31">
        <f>Расчет!I137</f>
        <v/>
      </c>
      <c r="E187" s="31">
        <f>Расчет!J137</f>
        <v/>
      </c>
      <c r="F187" s="30" t="n"/>
      <c r="G187" s="31">
        <f>Расчет!L137</f>
        <v/>
      </c>
      <c r="H187" s="30">
        <f>Расчет!M137</f>
        <v/>
      </c>
    </row>
    <row r="188">
      <c r="A188" s="30" t="n"/>
      <c r="B188" s="30">
        <f>Расчет!G138</f>
        <v/>
      </c>
      <c r="C188" s="30">
        <f>Расчет!H138</f>
        <v/>
      </c>
      <c r="D188" s="31">
        <f>Расчет!I138</f>
        <v/>
      </c>
      <c r="E188" s="31">
        <f>Расчет!J138</f>
        <v/>
      </c>
      <c r="F188" s="30" t="n"/>
      <c r="G188" s="31">
        <f>Расчет!L138</f>
        <v/>
      </c>
      <c r="H188" s="30">
        <f>Расчет!M138</f>
        <v/>
      </c>
    </row>
    <row r="189">
      <c r="A189" s="30" t="n"/>
      <c r="B189" s="30">
        <f>Расчет!G139</f>
        <v/>
      </c>
      <c r="C189" s="30">
        <f>Расчет!H139</f>
        <v/>
      </c>
      <c r="D189" s="31">
        <f>Расчет!I139</f>
        <v/>
      </c>
      <c r="E189" s="31">
        <f>Расчет!J139</f>
        <v/>
      </c>
      <c r="F189" s="30" t="n"/>
      <c r="G189" s="31">
        <f>Расчет!L139</f>
        <v/>
      </c>
      <c r="H189" s="30">
        <f>Расчет!M139</f>
        <v/>
      </c>
    </row>
    <row r="190">
      <c r="A190" s="30" t="n"/>
      <c r="B190" s="30">
        <f>Расчет!G140</f>
        <v/>
      </c>
      <c r="C190" s="30">
        <f>Расчет!H140</f>
        <v/>
      </c>
      <c r="D190" s="31">
        <f>Расчет!I140</f>
        <v/>
      </c>
      <c r="E190" s="31">
        <f>Расчет!J140</f>
        <v/>
      </c>
      <c r="F190" s="30" t="n"/>
      <c r="G190" s="31">
        <f>Расчет!L140</f>
        <v/>
      </c>
      <c r="H190" s="30">
        <f>Расчет!M140</f>
        <v/>
      </c>
    </row>
    <row r="191">
      <c r="A191" s="30" t="n"/>
      <c r="B191" s="30">
        <f>Расчет!G141</f>
        <v/>
      </c>
      <c r="C191" s="30">
        <f>Расчет!H141</f>
        <v/>
      </c>
      <c r="D191" s="31">
        <f>Расчет!I141</f>
        <v/>
      </c>
      <c r="E191" s="31">
        <f>Расчет!J141</f>
        <v/>
      </c>
      <c r="F191" s="30" t="n"/>
      <c r="G191" s="31">
        <f>Расчет!L141</f>
        <v/>
      </c>
      <c r="H191" s="30">
        <f>Расчет!M141</f>
        <v/>
      </c>
    </row>
    <row r="192">
      <c r="A192" s="28" t="n">
        <v>4</v>
      </c>
      <c r="B192" s="28">
        <f>Расчет!G142</f>
        <v/>
      </c>
      <c r="C192" s="28">
        <f>Расчет!H142</f>
        <v/>
      </c>
      <c r="D192" s="29">
        <f>Расчет!I142</f>
        <v/>
      </c>
      <c r="E192" s="29">
        <f>Расчет!J142</f>
        <v/>
      </c>
      <c r="F192" s="29">
        <f>Расчет!K142</f>
        <v/>
      </c>
      <c r="G192" s="28" t="n"/>
      <c r="H192" s="28">
        <f>Расчет!M142</f>
        <v/>
      </c>
    </row>
    <row r="193">
      <c r="A193" s="30" t="n"/>
      <c r="B193" s="30">
        <f>Расчет!G143</f>
        <v/>
      </c>
      <c r="C193" s="30">
        <f>Расчет!H143</f>
        <v/>
      </c>
      <c r="D193" s="31">
        <f>Расчет!I143</f>
        <v/>
      </c>
      <c r="E193" s="31">
        <f>Расчет!J143</f>
        <v/>
      </c>
      <c r="F193" s="30" t="n"/>
      <c r="G193" s="31">
        <f>Расчет!L143</f>
        <v/>
      </c>
      <c r="H193" s="30">
        <f>Расчет!M143</f>
        <v/>
      </c>
    </row>
    <row r="194">
      <c r="A194" s="30" t="n"/>
      <c r="B194" s="30">
        <f>Расчет!G144</f>
        <v/>
      </c>
      <c r="C194" s="30">
        <f>Расчет!H144</f>
        <v/>
      </c>
      <c r="D194" s="31">
        <f>Расчет!I144</f>
        <v/>
      </c>
      <c r="E194" s="31">
        <f>Расчет!J144</f>
        <v/>
      </c>
      <c r="F194" s="30" t="n"/>
      <c r="G194" s="31">
        <f>Расчет!L144</f>
        <v/>
      </c>
      <c r="H194" s="30">
        <f>Расчет!M144</f>
        <v/>
      </c>
    </row>
    <row r="195">
      <c r="A195" s="30" t="n"/>
      <c r="B195" s="30">
        <f>Расчет!G145</f>
        <v/>
      </c>
      <c r="C195" s="30">
        <f>Расчет!H145</f>
        <v/>
      </c>
      <c r="D195" s="31">
        <f>Расчет!I145</f>
        <v/>
      </c>
      <c r="E195" s="31">
        <f>Расчет!J145</f>
        <v/>
      </c>
      <c r="F195" s="30" t="n"/>
      <c r="G195" s="31">
        <f>Расчет!L145</f>
        <v/>
      </c>
      <c r="H195" s="30">
        <f>Расчет!M145</f>
        <v/>
      </c>
    </row>
    <row r="196">
      <c r="A196" s="30" t="n"/>
      <c r="B196" s="30">
        <f>Расчет!G146</f>
        <v/>
      </c>
      <c r="C196" s="30">
        <f>Расчет!H146</f>
        <v/>
      </c>
      <c r="D196" s="31">
        <f>Расчет!I146</f>
        <v/>
      </c>
      <c r="E196" s="31">
        <f>Расчет!J146</f>
        <v/>
      </c>
      <c r="F196" s="30" t="n"/>
      <c r="G196" s="31">
        <f>Расчет!L146</f>
        <v/>
      </c>
      <c r="H196" s="30">
        <f>Расчет!M146</f>
        <v/>
      </c>
    </row>
    <row r="197">
      <c r="A197" s="28" t="n">
        <v>5</v>
      </c>
      <c r="B197" s="28">
        <f>Расчет!G147</f>
        <v/>
      </c>
      <c r="C197" s="28">
        <f>Расчет!H147</f>
        <v/>
      </c>
      <c r="D197" s="29">
        <f>Расчет!I147</f>
        <v/>
      </c>
      <c r="E197" s="29">
        <f>Расчет!J147</f>
        <v/>
      </c>
      <c r="F197" s="29">
        <f>Расчет!K147</f>
        <v/>
      </c>
      <c r="G197" s="28" t="n"/>
      <c r="H197" s="28">
        <f>Расчет!M147</f>
        <v/>
      </c>
    </row>
    <row r="198">
      <c r="A198" s="30" t="n"/>
      <c r="B198" s="30">
        <f>Расчет!G148</f>
        <v/>
      </c>
      <c r="C198" s="30">
        <f>Расчет!H148</f>
        <v/>
      </c>
      <c r="D198" s="31">
        <f>Расчет!I148</f>
        <v/>
      </c>
      <c r="E198" s="31">
        <f>Расчет!J148</f>
        <v/>
      </c>
      <c r="F198" s="30" t="n"/>
      <c r="G198" s="31">
        <f>Расчет!L148</f>
        <v/>
      </c>
      <c r="H198" s="30">
        <f>Расчет!M148</f>
        <v/>
      </c>
    </row>
    <row r="199">
      <c r="A199" s="28" t="n">
        <v>6</v>
      </c>
      <c r="B199" s="28">
        <f>Расчет!G149</f>
        <v/>
      </c>
      <c r="C199" s="28">
        <f>Расчет!H149</f>
        <v/>
      </c>
      <c r="D199" s="29">
        <f>Расчет!I149</f>
        <v/>
      </c>
      <c r="E199" s="29">
        <f>Расчет!J149</f>
        <v/>
      </c>
      <c r="F199" s="29">
        <f>Расчет!K149</f>
        <v/>
      </c>
      <c r="G199" s="28" t="n"/>
      <c r="H199" s="28">
        <f>Расчет!M149</f>
        <v/>
      </c>
    </row>
    <row r="200">
      <c r="A200" s="30" t="n"/>
      <c r="B200" s="30">
        <f>Расчет!G150</f>
        <v/>
      </c>
      <c r="C200" s="30">
        <f>Расчет!H150</f>
        <v/>
      </c>
      <c r="D200" s="31">
        <f>Расчет!I150</f>
        <v/>
      </c>
      <c r="E200" s="31">
        <f>Расчет!J150</f>
        <v/>
      </c>
      <c r="F200" s="30" t="n"/>
      <c r="G200" s="31">
        <f>Расчет!L150</f>
        <v/>
      </c>
      <c r="H200" s="30">
        <f>Расчет!M150</f>
        <v/>
      </c>
    </row>
    <row r="201">
      <c r="A201" s="28" t="n">
        <v>7</v>
      </c>
      <c r="B201" s="28">
        <f>Расчет!G151</f>
        <v/>
      </c>
      <c r="C201" s="28">
        <f>Расчет!H151</f>
        <v/>
      </c>
      <c r="D201" s="29">
        <f>Расчет!I151</f>
        <v/>
      </c>
      <c r="E201" s="29">
        <f>Расчет!J151</f>
        <v/>
      </c>
      <c r="F201" s="29">
        <f>Расчет!K151</f>
        <v/>
      </c>
      <c r="G201" s="28" t="n"/>
      <c r="H201" s="28">
        <f>Расчет!M151</f>
        <v/>
      </c>
    </row>
    <row r="202">
      <c r="A202" s="30" t="n"/>
      <c r="B202" s="30">
        <f>Расчет!G152</f>
        <v/>
      </c>
      <c r="C202" s="30">
        <f>Расчет!H152</f>
        <v/>
      </c>
      <c r="D202" s="31">
        <f>Расчет!I152</f>
        <v/>
      </c>
      <c r="E202" s="31">
        <f>Расчет!J152</f>
        <v/>
      </c>
      <c r="F202" s="30" t="n"/>
      <c r="G202" s="31">
        <f>Расчет!L152</f>
        <v/>
      </c>
      <c r="H202" s="30">
        <f>Расчет!M152</f>
        <v/>
      </c>
    </row>
    <row r="203">
      <c r="A203" s="30" t="n"/>
      <c r="B203" s="30">
        <f>Расчет!G153</f>
        <v/>
      </c>
      <c r="C203" s="30">
        <f>Расчет!H153</f>
        <v/>
      </c>
      <c r="D203" s="31">
        <f>Расчет!I153</f>
        <v/>
      </c>
      <c r="E203" s="31">
        <f>Расчет!J153</f>
        <v/>
      </c>
      <c r="F203" s="30" t="n"/>
      <c r="G203" s="31">
        <f>Расчет!L153</f>
        <v/>
      </c>
      <c r="H203" s="30">
        <f>Расчет!M153</f>
        <v/>
      </c>
    </row>
    <row r="204">
      <c r="A204" s="30" t="n"/>
      <c r="B204" s="30">
        <f>Расчет!G154</f>
        <v/>
      </c>
      <c r="C204" s="30">
        <f>Расчет!H154</f>
        <v/>
      </c>
      <c r="D204" s="31">
        <f>Расчет!I154</f>
        <v/>
      </c>
      <c r="E204" s="31">
        <f>Расчет!J154</f>
        <v/>
      </c>
      <c r="F204" s="30" t="n"/>
      <c r="G204" s="31">
        <f>Расчет!L154</f>
        <v/>
      </c>
      <c r="H204" s="30">
        <f>Расчет!M154</f>
        <v/>
      </c>
    </row>
    <row r="205">
      <c r="A205" s="30" t="n"/>
      <c r="B205" s="30">
        <f>Расчет!G155</f>
        <v/>
      </c>
      <c r="C205" s="30">
        <f>Расчет!H155</f>
        <v/>
      </c>
      <c r="D205" s="31">
        <f>Расчет!I155</f>
        <v/>
      </c>
      <c r="E205" s="31">
        <f>Расчет!J155</f>
        <v/>
      </c>
      <c r="F205" s="30" t="n"/>
      <c r="G205" s="31">
        <f>Расчет!L155</f>
        <v/>
      </c>
      <c r="H205" s="30">
        <f>Расчет!M155</f>
        <v/>
      </c>
    </row>
    <row r="206">
      <c r="A206" s="28" t="n">
        <v>8</v>
      </c>
      <c r="B206" s="28">
        <f>Расчет!G156</f>
        <v/>
      </c>
      <c r="C206" s="28">
        <f>Расчет!H156</f>
        <v/>
      </c>
      <c r="D206" s="29">
        <f>Расчет!I156</f>
        <v/>
      </c>
      <c r="E206" s="29">
        <f>Расчет!J156</f>
        <v/>
      </c>
      <c r="F206" s="29">
        <f>Расчет!K156</f>
        <v/>
      </c>
      <c r="G206" s="28" t="n"/>
      <c r="H206" s="28">
        <f>Расчет!M156</f>
        <v/>
      </c>
    </row>
    <row r="207">
      <c r="A207" s="28" t="n">
        <v>9</v>
      </c>
      <c r="B207" s="28">
        <f>Расчет!G157</f>
        <v/>
      </c>
      <c r="C207" s="28">
        <f>Расчет!H157</f>
        <v/>
      </c>
      <c r="D207" s="29">
        <f>Расчет!I157</f>
        <v/>
      </c>
      <c r="E207" s="29">
        <f>Расчет!J157</f>
        <v/>
      </c>
      <c r="F207" s="29">
        <f>Расчет!K157</f>
        <v/>
      </c>
      <c r="G207" s="28" t="n"/>
      <c r="H207" s="28">
        <f>Расчет!M157</f>
        <v/>
      </c>
    </row>
    <row r="208">
      <c r="A208" s="30" t="n"/>
      <c r="B208" s="30">
        <f>Расчет!G158</f>
        <v/>
      </c>
      <c r="C208" s="30">
        <f>Расчет!H158</f>
        <v/>
      </c>
      <c r="D208" s="31">
        <f>Расчет!I158</f>
        <v/>
      </c>
      <c r="E208" s="31">
        <f>Расчет!J158</f>
        <v/>
      </c>
      <c r="F208" s="30" t="n"/>
      <c r="G208" s="31">
        <f>Расчет!L158</f>
        <v/>
      </c>
      <c r="H208" s="30">
        <f>Расчет!M158</f>
        <v/>
      </c>
    </row>
    <row r="209">
      <c r="A209" s="28" t="n">
        <v>10</v>
      </c>
      <c r="B209" s="28">
        <f>Расчет!G159</f>
        <v/>
      </c>
      <c r="C209" s="28">
        <f>Расчет!H159</f>
        <v/>
      </c>
      <c r="D209" s="29">
        <f>Расчет!I159</f>
        <v/>
      </c>
      <c r="E209" s="29">
        <f>Расчет!J159</f>
        <v/>
      </c>
      <c r="F209" s="29">
        <f>Расчет!K159</f>
        <v/>
      </c>
      <c r="G209" s="28" t="n"/>
      <c r="H209" s="28">
        <f>Расчет!M159</f>
        <v/>
      </c>
    </row>
    <row r="210">
      <c r="A210" s="30" t="n"/>
      <c r="B210" s="30">
        <f>Расчет!G160</f>
        <v/>
      </c>
      <c r="C210" s="30">
        <f>Расчет!H160</f>
        <v/>
      </c>
      <c r="D210" s="31">
        <f>Расчет!I160</f>
        <v/>
      </c>
      <c r="E210" s="31">
        <f>Расчет!J160</f>
        <v/>
      </c>
      <c r="F210" s="30" t="n"/>
      <c r="G210" s="31">
        <f>Расчет!L160</f>
        <v/>
      </c>
      <c r="H210" s="30">
        <f>Расчет!M160</f>
        <v/>
      </c>
    </row>
    <row r="211">
      <c r="B211" s="33" t="inlineStr">
        <is>
          <t>ВСЕГО ПО РАЗДЕЛУ:</t>
        </is>
      </c>
      <c r="F211" s="34">
        <f>SUMIFS(Расчет!K:K,Расчет!B:B,"4",Расчет!E:E,"work")+SUMIFS(Расчет!K:K,Расчет!B:B,"4",Расчет!E:E,"section14_item")</f>
        <v/>
      </c>
      <c r="G211" s="34">
        <f>SUMIFS(Расчет!L:L,Расчет!B:B,"4",Расчет!E:E,"material")</f>
        <v/>
      </c>
    </row>
    <row r="212">
      <c r="B212" s="35" t="inlineStr">
        <is>
          <t>ИТОГО:</t>
        </is>
      </c>
      <c r="G212" s="26">
        <f>SUMIFS(Расчет!K:K,Расчет!B:B,"4",Расчет!E:E,"work")+SUMIFS(Расчет!K:K,Расчет!B:B,"4",Расчет!E:E,"section14_item")+SUMIFS(Расчет!L:L,Расчет!B:B,"4")</f>
        <v/>
      </c>
    </row>
    <row r="214">
      <c r="A214" s="25" t="inlineStr">
        <is>
          <t>5.</t>
        </is>
      </c>
      <c r="B214" s="27" t="inlineStr">
        <is>
          <t>Покрытия.</t>
        </is>
      </c>
      <c r="C214" s="27" t="inlineStr">
        <is>
          <t>Ед. изм.</t>
        </is>
      </c>
      <c r="D214" s="27" t="inlineStr">
        <is>
          <t>Кол-во</t>
        </is>
      </c>
      <c r="E214" s="27" t="inlineStr">
        <is>
          <t>Цена</t>
        </is>
      </c>
      <c r="F214" s="27" t="inlineStr">
        <is>
          <t>Работы</t>
        </is>
      </c>
      <c r="G214" s="27" t="inlineStr">
        <is>
          <t>Материалы</t>
        </is>
      </c>
      <c r="H214" s="27" t="inlineStr">
        <is>
          <t>Примечание</t>
        </is>
      </c>
    </row>
    <row r="215">
      <c r="B215" s="32" t="inlineStr">
        <is>
          <t>Тип А1. Автомобильное покрытие из брусчатки</t>
        </is>
      </c>
    </row>
    <row r="216">
      <c r="A216" s="28" t="n">
        <v>1</v>
      </c>
      <c r="B216" s="28">
        <f>Расчет!G162</f>
        <v/>
      </c>
      <c r="C216" s="28">
        <f>Расчет!H162</f>
        <v/>
      </c>
      <c r="D216" s="29">
        <f>Расчет!I162</f>
        <v/>
      </c>
      <c r="E216" s="29">
        <f>Расчет!J162</f>
        <v/>
      </c>
      <c r="F216" s="29">
        <f>Расчет!K162</f>
        <v/>
      </c>
      <c r="G216" s="28" t="n"/>
      <c r="H216" s="28">
        <f>Расчет!M162</f>
        <v/>
      </c>
    </row>
    <row r="217">
      <c r="A217" s="30" t="n"/>
      <c r="B217" s="30">
        <f>Расчет!G163</f>
        <v/>
      </c>
      <c r="C217" s="30">
        <f>Расчет!H163</f>
        <v/>
      </c>
      <c r="D217" s="31">
        <f>Расчет!I163</f>
        <v/>
      </c>
      <c r="E217" s="31">
        <f>Расчет!J163</f>
        <v/>
      </c>
      <c r="F217" s="30" t="n"/>
      <c r="G217" s="31">
        <f>Расчет!L163</f>
        <v/>
      </c>
      <c r="H217" s="30">
        <f>Расчет!M163</f>
        <v/>
      </c>
    </row>
    <row r="218">
      <c r="A218" s="28" t="n">
        <v>2</v>
      </c>
      <c r="B218" s="28">
        <f>Расчет!G164</f>
        <v/>
      </c>
      <c r="C218" s="28">
        <f>Расчет!H164</f>
        <v/>
      </c>
      <c r="D218" s="29">
        <f>Расчет!I164</f>
        <v/>
      </c>
      <c r="E218" s="29">
        <f>Расчет!J164</f>
        <v/>
      </c>
      <c r="F218" s="29">
        <f>Расчет!K164</f>
        <v/>
      </c>
      <c r="G218" s="28" t="n"/>
      <c r="H218" s="28">
        <f>Расчет!M164</f>
        <v/>
      </c>
    </row>
    <row r="219">
      <c r="A219" s="28" t="n">
        <v>3</v>
      </c>
      <c r="B219" s="28">
        <f>Расчет!G165</f>
        <v/>
      </c>
      <c r="C219" s="28">
        <f>Расчет!H165</f>
        <v/>
      </c>
      <c r="D219" s="29">
        <f>Расчет!I165</f>
        <v/>
      </c>
      <c r="E219" s="29">
        <f>Расчет!J165</f>
        <v/>
      </c>
      <c r="F219" s="29">
        <f>Расчет!K165</f>
        <v/>
      </c>
      <c r="G219" s="28" t="n"/>
      <c r="H219" s="28">
        <f>Расчет!M165</f>
        <v/>
      </c>
    </row>
    <row r="220">
      <c r="A220" s="28" t="n">
        <v>4</v>
      </c>
      <c r="B220" s="28">
        <f>Расчет!G166</f>
        <v/>
      </c>
      <c r="C220" s="28">
        <f>Расчет!H166</f>
        <v/>
      </c>
      <c r="D220" s="29">
        <f>Расчет!I166</f>
        <v/>
      </c>
      <c r="E220" s="29">
        <f>Расчет!J166</f>
        <v/>
      </c>
      <c r="F220" s="29">
        <f>Расчет!K166</f>
        <v/>
      </c>
      <c r="G220" s="28" t="n"/>
      <c r="H220" s="28">
        <f>Расчет!M166</f>
        <v/>
      </c>
    </row>
    <row r="221">
      <c r="A221" s="30" t="n"/>
      <c r="B221" s="30">
        <f>Расчет!G167</f>
        <v/>
      </c>
      <c r="C221" s="30">
        <f>Расчет!H167</f>
        <v/>
      </c>
      <c r="D221" s="31">
        <f>Расчет!I167</f>
        <v/>
      </c>
      <c r="E221" s="31">
        <f>Расчет!J167</f>
        <v/>
      </c>
      <c r="F221" s="30" t="n"/>
      <c r="G221" s="31">
        <f>Расчет!L167</f>
        <v/>
      </c>
      <c r="H221" s="30">
        <f>Расчет!M167</f>
        <v/>
      </c>
    </row>
    <row r="222">
      <c r="A222" s="28" t="n">
        <v>5</v>
      </c>
      <c r="B222" s="28">
        <f>Расчет!G168</f>
        <v/>
      </c>
      <c r="C222" s="28">
        <f>Расчет!H168</f>
        <v/>
      </c>
      <c r="D222" s="29">
        <f>Расчет!I168</f>
        <v/>
      </c>
      <c r="E222" s="29">
        <f>Расчет!J168</f>
        <v/>
      </c>
      <c r="F222" s="29">
        <f>Расчет!K168</f>
        <v/>
      </c>
      <c r="G222" s="28" t="n"/>
      <c r="H222" s="28">
        <f>Расчет!M168</f>
        <v/>
      </c>
    </row>
    <row r="223">
      <c r="A223" s="30" t="n"/>
      <c r="B223" s="30">
        <f>Расчет!G169</f>
        <v/>
      </c>
      <c r="C223" s="30">
        <f>Расчет!H169</f>
        <v/>
      </c>
      <c r="D223" s="31">
        <f>Расчет!I169</f>
        <v/>
      </c>
      <c r="E223" s="31">
        <f>Расчет!J169</f>
        <v/>
      </c>
      <c r="F223" s="30" t="n"/>
      <c r="G223" s="31">
        <f>Расчет!L169</f>
        <v/>
      </c>
      <c r="H223" s="30">
        <f>Расчет!M169</f>
        <v/>
      </c>
    </row>
    <row r="224">
      <c r="A224" s="30" t="n"/>
      <c r="B224" s="30">
        <f>Расчет!G170</f>
        <v/>
      </c>
      <c r="C224" s="30">
        <f>Расчет!H170</f>
        <v/>
      </c>
      <c r="D224" s="31">
        <f>Расчет!I170</f>
        <v/>
      </c>
      <c r="E224" s="31">
        <f>Расчет!J170</f>
        <v/>
      </c>
      <c r="F224" s="30" t="n"/>
      <c r="G224" s="31">
        <f>Расчет!L170</f>
        <v/>
      </c>
      <c r="H224" s="30">
        <f>Расчет!M170</f>
        <v/>
      </c>
    </row>
    <row r="225">
      <c r="A225" s="28" t="n">
        <v>6</v>
      </c>
      <c r="B225" s="28">
        <f>Расчет!G171</f>
        <v/>
      </c>
      <c r="C225" s="28">
        <f>Расчет!H171</f>
        <v/>
      </c>
      <c r="D225" s="29">
        <f>Расчет!I171</f>
        <v/>
      </c>
      <c r="E225" s="29">
        <f>Расчет!J171</f>
        <v/>
      </c>
      <c r="F225" s="29">
        <f>Расчет!K171</f>
        <v/>
      </c>
      <c r="G225" s="28" t="n"/>
      <c r="H225" s="28">
        <f>Расчет!M171</f>
        <v/>
      </c>
    </row>
    <row r="226">
      <c r="A226" s="28" t="n">
        <v>7</v>
      </c>
      <c r="B226" s="28">
        <f>Расчет!G172</f>
        <v/>
      </c>
      <c r="C226" s="28">
        <f>Расчет!H172</f>
        <v/>
      </c>
      <c r="D226" s="29">
        <f>Расчет!I172</f>
        <v/>
      </c>
      <c r="E226" s="29">
        <f>Расчет!J172</f>
        <v/>
      </c>
      <c r="F226" s="29">
        <f>Расчет!K172</f>
        <v/>
      </c>
      <c r="G226" s="28" t="n"/>
      <c r="H226" s="28">
        <f>Расчет!M172</f>
        <v/>
      </c>
    </row>
    <row r="227">
      <c r="A227" s="28" t="n">
        <v>8</v>
      </c>
      <c r="B227" s="28">
        <f>Расчет!G173</f>
        <v/>
      </c>
      <c r="C227" s="28">
        <f>Расчет!H173</f>
        <v/>
      </c>
      <c r="D227" s="29">
        <f>Расчет!I173</f>
        <v/>
      </c>
      <c r="E227" s="29">
        <f>Расчет!J173</f>
        <v/>
      </c>
      <c r="F227" s="29">
        <f>Расчет!K173</f>
        <v/>
      </c>
      <c r="G227" s="28" t="n"/>
      <c r="H227" s="28">
        <f>Расчет!M173</f>
        <v/>
      </c>
    </row>
    <row r="228">
      <c r="A228" s="30" t="n"/>
      <c r="B228" s="30">
        <f>Расчет!G174</f>
        <v/>
      </c>
      <c r="C228" s="30">
        <f>Расчет!H174</f>
        <v/>
      </c>
      <c r="D228" s="31">
        <f>Расчет!I174</f>
        <v/>
      </c>
      <c r="E228" s="31">
        <f>Расчет!J174</f>
        <v/>
      </c>
      <c r="F228" s="30" t="n"/>
      <c r="G228" s="31">
        <f>Расчет!L174</f>
        <v/>
      </c>
      <c r="H228" s="30">
        <f>Расчет!M174</f>
        <v/>
      </c>
    </row>
    <row r="229">
      <c r="A229" s="28" t="n">
        <v>9</v>
      </c>
      <c r="B229" s="28">
        <f>Расчет!G175</f>
        <v/>
      </c>
      <c r="C229" s="28">
        <f>Расчет!H175</f>
        <v/>
      </c>
      <c r="D229" s="29">
        <f>Расчет!I175</f>
        <v/>
      </c>
      <c r="E229" s="29">
        <f>Расчет!J175</f>
        <v/>
      </c>
      <c r="F229" s="29">
        <f>Расчет!K175</f>
        <v/>
      </c>
      <c r="G229" s="28" t="n"/>
      <c r="H229" s="28">
        <f>Расчет!M175</f>
        <v/>
      </c>
    </row>
    <row r="230">
      <c r="A230" s="30" t="n"/>
      <c r="B230" s="30">
        <f>Расчет!G176</f>
        <v/>
      </c>
      <c r="C230" s="30">
        <f>Расчет!H176</f>
        <v/>
      </c>
      <c r="D230" s="31">
        <f>Расчет!I176</f>
        <v/>
      </c>
      <c r="E230" s="31">
        <f>Расчет!J176</f>
        <v/>
      </c>
      <c r="F230" s="30" t="n"/>
      <c r="G230" s="31">
        <f>Расчет!L176</f>
        <v/>
      </c>
      <c r="H230" s="30">
        <f>Расчет!M176</f>
        <v/>
      </c>
    </row>
    <row r="231">
      <c r="A231" s="28" t="n">
        <v>10</v>
      </c>
      <c r="B231" s="28">
        <f>Расчет!G177</f>
        <v/>
      </c>
      <c r="C231" s="28">
        <f>Расчет!H177</f>
        <v/>
      </c>
      <c r="D231" s="29">
        <f>Расчет!I177</f>
        <v/>
      </c>
      <c r="E231" s="29">
        <f>Расчет!J177</f>
        <v/>
      </c>
      <c r="F231" s="29">
        <f>Расчет!K177</f>
        <v/>
      </c>
      <c r="G231" s="28" t="n"/>
      <c r="H231" s="28">
        <f>Расчет!M177</f>
        <v/>
      </c>
    </row>
    <row r="232">
      <c r="A232" s="30" t="n"/>
      <c r="B232" s="30">
        <f>Расчет!G178</f>
        <v/>
      </c>
      <c r="C232" s="30">
        <f>Расчет!H178</f>
        <v/>
      </c>
      <c r="D232" s="31">
        <f>Расчет!I178</f>
        <v/>
      </c>
      <c r="E232" s="31">
        <f>Расчет!J178</f>
        <v/>
      </c>
      <c r="F232" s="30" t="n"/>
      <c r="G232" s="31">
        <f>Расчет!L178</f>
        <v/>
      </c>
      <c r="H232" s="30">
        <f>Расчет!M178</f>
        <v/>
      </c>
    </row>
    <row r="233">
      <c r="A233" s="30" t="n"/>
      <c r="B233" s="30">
        <f>Расчет!G179</f>
        <v/>
      </c>
      <c r="C233" s="30">
        <f>Расчет!H179</f>
        <v/>
      </c>
      <c r="D233" s="31">
        <f>Расчет!I179</f>
        <v/>
      </c>
      <c r="E233" s="31">
        <f>Расчет!J179</f>
        <v/>
      </c>
      <c r="F233" s="30" t="n"/>
      <c r="G233" s="31">
        <f>Расчет!L179</f>
        <v/>
      </c>
      <c r="H233" s="30">
        <f>Расчет!M179</f>
        <v/>
      </c>
    </row>
    <row r="234">
      <c r="A234" s="28" t="n">
        <v>11</v>
      </c>
      <c r="B234" s="28">
        <f>Расчет!G180</f>
        <v/>
      </c>
      <c r="C234" s="28">
        <f>Расчет!H180</f>
        <v/>
      </c>
      <c r="D234" s="29">
        <f>Расчет!I180</f>
        <v/>
      </c>
      <c r="E234" s="29">
        <f>Расчет!J180</f>
        <v/>
      </c>
      <c r="F234" s="29">
        <f>Расчет!K180</f>
        <v/>
      </c>
      <c r="G234" s="28" t="n"/>
      <c r="H234" s="28">
        <f>Расчет!M180</f>
        <v/>
      </c>
    </row>
    <row r="235">
      <c r="A235" s="28" t="n">
        <v>12</v>
      </c>
      <c r="B235" s="28">
        <f>Расчет!G181</f>
        <v/>
      </c>
      <c r="C235" s="28">
        <f>Расчет!H181</f>
        <v/>
      </c>
      <c r="D235" s="29">
        <f>Расчет!I181</f>
        <v/>
      </c>
      <c r="E235" s="29">
        <f>Расчет!J181</f>
        <v/>
      </c>
      <c r="F235" s="29">
        <f>Расчет!K181</f>
        <v/>
      </c>
      <c r="G235" s="28" t="n"/>
      <c r="H235" s="28">
        <f>Расчет!M181</f>
        <v/>
      </c>
    </row>
    <row r="236">
      <c r="A236" s="30" t="n"/>
      <c r="B236" s="30">
        <f>Расчет!G182</f>
        <v/>
      </c>
      <c r="C236" s="30">
        <f>Расчет!H182</f>
        <v/>
      </c>
      <c r="D236" s="31">
        <f>Расчет!I182</f>
        <v/>
      </c>
      <c r="E236" s="31">
        <f>Расчет!J182</f>
        <v/>
      </c>
      <c r="F236" s="30" t="n"/>
      <c r="G236" s="31">
        <f>Расчет!L182</f>
        <v/>
      </c>
      <c r="H236" s="30">
        <f>Расчет!M182</f>
        <v/>
      </c>
    </row>
    <row r="237">
      <c r="A237" s="28" t="n">
        <v>13</v>
      </c>
      <c r="B237" s="28">
        <f>Расчет!G183</f>
        <v/>
      </c>
      <c r="C237" s="28">
        <f>Расчет!H183</f>
        <v/>
      </c>
      <c r="D237" s="29">
        <f>Расчет!I183</f>
        <v/>
      </c>
      <c r="E237" s="29">
        <f>Расчет!J183</f>
        <v/>
      </c>
      <c r="F237" s="29">
        <f>Расчет!K183</f>
        <v/>
      </c>
      <c r="G237" s="28" t="n"/>
      <c r="H237" s="28">
        <f>Расчет!M183</f>
        <v/>
      </c>
    </row>
    <row r="238">
      <c r="A238" s="30" t="n"/>
      <c r="B238" s="30">
        <f>Расчет!G184</f>
        <v/>
      </c>
      <c r="C238" s="30">
        <f>Расчет!H184</f>
        <v/>
      </c>
      <c r="D238" s="31">
        <f>Расчет!I184</f>
        <v/>
      </c>
      <c r="E238" s="31">
        <f>Расчет!J184</f>
        <v/>
      </c>
      <c r="F238" s="30" t="n"/>
      <c r="G238" s="31">
        <f>Расчет!L184</f>
        <v/>
      </c>
      <c r="H238" s="30">
        <f>Расчет!M184</f>
        <v/>
      </c>
    </row>
    <row r="239">
      <c r="A239" s="28" t="n">
        <v>14</v>
      </c>
      <c r="B239" s="28">
        <f>Расчет!G185</f>
        <v/>
      </c>
      <c r="C239" s="28">
        <f>Расчет!H185</f>
        <v/>
      </c>
      <c r="D239" s="29">
        <f>Расчет!I185</f>
        <v/>
      </c>
      <c r="E239" s="29">
        <f>Расчет!J185</f>
        <v/>
      </c>
      <c r="F239" s="29">
        <f>Расчет!K185</f>
        <v/>
      </c>
      <c r="G239" s="28" t="n"/>
      <c r="H239" s="28">
        <f>Расчет!M185</f>
        <v/>
      </c>
    </row>
    <row r="240">
      <c r="A240" s="30" t="n"/>
      <c r="B240" s="30">
        <f>Расчет!G186</f>
        <v/>
      </c>
      <c r="C240" s="30">
        <f>Расчет!H186</f>
        <v/>
      </c>
      <c r="D240" s="31">
        <f>Расчет!I186</f>
        <v/>
      </c>
      <c r="E240" s="31">
        <f>Расчет!J186</f>
        <v/>
      </c>
      <c r="F240" s="30" t="n"/>
      <c r="G240" s="31">
        <f>Расчет!L186</f>
        <v/>
      </c>
      <c r="H240" s="30">
        <f>Расчет!M186</f>
        <v/>
      </c>
    </row>
    <row r="241">
      <c r="A241" s="30" t="n"/>
      <c r="B241" s="30">
        <f>Расчет!G187</f>
        <v/>
      </c>
      <c r="C241" s="30">
        <f>Расчет!H187</f>
        <v/>
      </c>
      <c r="D241" s="31">
        <f>Расчет!I187</f>
        <v/>
      </c>
      <c r="E241" s="31">
        <f>Расчет!J187</f>
        <v/>
      </c>
      <c r="F241" s="30" t="n"/>
      <c r="G241" s="31">
        <f>Расчет!L187</f>
        <v/>
      </c>
      <c r="H241" s="30">
        <f>Расчет!M187</f>
        <v/>
      </c>
    </row>
    <row r="242">
      <c r="A242" s="28" t="n">
        <v>15</v>
      </c>
      <c r="B242" s="28">
        <f>Расчет!G188</f>
        <v/>
      </c>
      <c r="C242" s="28">
        <f>Расчет!H188</f>
        <v/>
      </c>
      <c r="D242" s="29">
        <f>Расчет!I188</f>
        <v/>
      </c>
      <c r="E242" s="29">
        <f>Расчет!J188</f>
        <v/>
      </c>
      <c r="F242" s="29">
        <f>Расчет!K188</f>
        <v/>
      </c>
      <c r="G242" s="28" t="n"/>
      <c r="H242" s="28">
        <f>Расчет!M188</f>
        <v/>
      </c>
    </row>
    <row r="243">
      <c r="A243" s="30" t="n"/>
      <c r="B243" s="30">
        <f>Расчет!G189</f>
        <v/>
      </c>
      <c r="C243" s="30">
        <f>Расчет!H189</f>
        <v/>
      </c>
      <c r="D243" s="31">
        <f>Расчет!I189</f>
        <v/>
      </c>
      <c r="E243" s="31">
        <f>Расчет!J189</f>
        <v/>
      </c>
      <c r="F243" s="30" t="n"/>
      <c r="G243" s="31">
        <f>Расчет!L189</f>
        <v/>
      </c>
      <c r="H243" s="30">
        <f>Расчет!M189</f>
        <v/>
      </c>
    </row>
    <row r="244">
      <c r="A244" s="28" t="n">
        <v>16</v>
      </c>
      <c r="B244" s="28">
        <f>Расчет!G190</f>
        <v/>
      </c>
      <c r="C244" s="28">
        <f>Расчет!H190</f>
        <v/>
      </c>
      <c r="D244" s="29">
        <f>Расчет!I190</f>
        <v/>
      </c>
      <c r="E244" s="29">
        <f>Расчет!J190</f>
        <v/>
      </c>
      <c r="F244" s="29">
        <f>Расчет!K190</f>
        <v/>
      </c>
      <c r="G244" s="28" t="n"/>
      <c r="H244" s="28">
        <f>Расчет!M190</f>
        <v/>
      </c>
    </row>
    <row r="245">
      <c r="A245" s="28" t="n">
        <v>17</v>
      </c>
      <c r="B245" s="28">
        <f>Расчет!G191</f>
        <v/>
      </c>
      <c r="C245" s="28">
        <f>Расчет!H191</f>
        <v/>
      </c>
      <c r="D245" s="29">
        <f>Расчет!I191</f>
        <v/>
      </c>
      <c r="E245" s="29">
        <f>Расчет!J191</f>
        <v/>
      </c>
      <c r="F245" s="29">
        <f>Расчет!K191</f>
        <v/>
      </c>
      <c r="G245" s="28" t="n"/>
      <c r="H245" s="28">
        <f>Расчет!M191</f>
        <v/>
      </c>
    </row>
    <row r="246">
      <c r="A246" s="30" t="n"/>
      <c r="B246" s="30">
        <f>Расчет!G192</f>
        <v/>
      </c>
      <c r="C246" s="30">
        <f>Расчет!H192</f>
        <v/>
      </c>
      <c r="D246" s="31">
        <f>Расчет!I192</f>
        <v/>
      </c>
      <c r="E246" s="31">
        <f>Расчет!J192</f>
        <v/>
      </c>
      <c r="F246" s="30" t="n"/>
      <c r="G246" s="31">
        <f>Расчет!L192</f>
        <v/>
      </c>
      <c r="H246" s="30">
        <f>Расчет!M192</f>
        <v/>
      </c>
    </row>
    <row r="247">
      <c r="A247" s="30" t="n"/>
      <c r="B247" s="30">
        <f>Расчет!G193</f>
        <v/>
      </c>
      <c r="C247" s="30">
        <f>Расчет!H193</f>
        <v/>
      </c>
      <c r="D247" s="31">
        <f>Расчет!I193</f>
        <v/>
      </c>
      <c r="E247" s="31">
        <f>Расчет!J193</f>
        <v/>
      </c>
      <c r="F247" s="30" t="n"/>
      <c r="G247" s="31">
        <f>Расчет!L193</f>
        <v/>
      </c>
      <c r="H247" s="30">
        <f>Расчет!M193</f>
        <v/>
      </c>
    </row>
    <row r="248">
      <c r="A248" s="30" t="n"/>
      <c r="B248" s="30">
        <f>Расчет!G194</f>
        <v/>
      </c>
      <c r="C248" s="30">
        <f>Расчет!H194</f>
        <v/>
      </c>
      <c r="D248" s="31">
        <f>Расчет!I194</f>
        <v/>
      </c>
      <c r="E248" s="31">
        <f>Расчет!J194</f>
        <v/>
      </c>
      <c r="F248" s="30" t="n"/>
      <c r="G248" s="31">
        <f>Расчет!L194</f>
        <v/>
      </c>
      <c r="H248" s="30">
        <f>Расчет!M194</f>
        <v/>
      </c>
    </row>
    <row r="249">
      <c r="A249" s="30" t="n"/>
      <c r="B249" s="30">
        <f>Расчет!G195</f>
        <v/>
      </c>
      <c r="C249" s="30">
        <f>Расчет!H195</f>
        <v/>
      </c>
      <c r="D249" s="31">
        <f>Расчет!I195</f>
        <v/>
      </c>
      <c r="E249" s="31">
        <f>Расчет!J195</f>
        <v/>
      </c>
      <c r="F249" s="30" t="n"/>
      <c r="G249" s="31">
        <f>Расчет!L195</f>
        <v/>
      </c>
      <c r="H249" s="30">
        <f>Расчет!M195</f>
        <v/>
      </c>
    </row>
    <row r="250">
      <c r="A250" s="28" t="n">
        <v>18</v>
      </c>
      <c r="B250" s="28">
        <f>Расчет!G196</f>
        <v/>
      </c>
      <c r="C250" s="28">
        <f>Расчет!H196</f>
        <v/>
      </c>
      <c r="D250" s="29">
        <f>Расчет!I196</f>
        <v/>
      </c>
      <c r="E250" s="29">
        <f>Расчет!J196</f>
        <v/>
      </c>
      <c r="F250" s="29">
        <f>Расчет!K196</f>
        <v/>
      </c>
      <c r="G250" s="28" t="n"/>
      <c r="H250" s="28">
        <f>Расчет!M196</f>
        <v/>
      </c>
    </row>
    <row r="251">
      <c r="A251" s="30" t="n"/>
      <c r="B251" s="30">
        <f>Расчет!G197</f>
        <v/>
      </c>
      <c r="C251" s="30">
        <f>Расчет!H197</f>
        <v/>
      </c>
      <c r="D251" s="31">
        <f>Расчет!I197</f>
        <v/>
      </c>
      <c r="E251" s="31">
        <f>Расчет!J197</f>
        <v/>
      </c>
      <c r="F251" s="30" t="n"/>
      <c r="G251" s="31">
        <f>Расчет!L197</f>
        <v/>
      </c>
      <c r="H251" s="30">
        <f>Расчет!M197</f>
        <v/>
      </c>
    </row>
    <row r="252">
      <c r="A252" s="30" t="n"/>
      <c r="B252" s="30">
        <f>Расчет!G198</f>
        <v/>
      </c>
      <c r="C252" s="30">
        <f>Расчет!H198</f>
        <v/>
      </c>
      <c r="D252" s="31">
        <f>Расчет!I198</f>
        <v/>
      </c>
      <c r="E252" s="31">
        <f>Расчет!J198</f>
        <v/>
      </c>
      <c r="F252" s="30" t="n"/>
      <c r="G252" s="31">
        <f>Расчет!L198</f>
        <v/>
      </c>
      <c r="H252" s="30">
        <f>Расчет!M198</f>
        <v/>
      </c>
    </row>
    <row r="253">
      <c r="A253" s="28" t="n">
        <v>19</v>
      </c>
      <c r="B253" s="28">
        <f>Расчет!G199</f>
        <v/>
      </c>
      <c r="C253" s="28">
        <f>Расчет!H199</f>
        <v/>
      </c>
      <c r="D253" s="29">
        <f>Расчет!I199</f>
        <v/>
      </c>
      <c r="E253" s="29">
        <f>Расчет!J199</f>
        <v/>
      </c>
      <c r="F253" s="29">
        <f>Расчет!K199</f>
        <v/>
      </c>
      <c r="G253" s="28" t="n"/>
      <c r="H253" s="28">
        <f>Расчет!M199</f>
        <v/>
      </c>
    </row>
    <row r="254">
      <c r="A254" s="30" t="n"/>
      <c r="B254" s="30">
        <f>Расчет!G200</f>
        <v/>
      </c>
      <c r="C254" s="30">
        <f>Расчет!H200</f>
        <v/>
      </c>
      <c r="D254" s="31">
        <f>Расчет!I200</f>
        <v/>
      </c>
      <c r="E254" s="31">
        <f>Расчет!J200</f>
        <v/>
      </c>
      <c r="F254" s="30" t="n"/>
      <c r="G254" s="31">
        <f>Расчет!L200</f>
        <v/>
      </c>
      <c r="H254" s="30">
        <f>Расчет!M200</f>
        <v/>
      </c>
    </row>
    <row r="255">
      <c r="B255" s="32" t="inlineStr">
        <is>
          <t>Тип П3. Пешеходное покрытие из керамогранита, гранита</t>
        </is>
      </c>
    </row>
    <row r="256">
      <c r="A256" s="28" t="n">
        <v>20</v>
      </c>
      <c r="B256" s="28">
        <f>Расчет!G202</f>
        <v/>
      </c>
      <c r="C256" s="28">
        <f>Расчет!H202</f>
        <v/>
      </c>
      <c r="D256" s="29">
        <f>Расчет!I202</f>
        <v/>
      </c>
      <c r="E256" s="29">
        <f>Расчет!J202</f>
        <v/>
      </c>
      <c r="F256" s="29">
        <f>Расчет!K202</f>
        <v/>
      </c>
      <c r="G256" s="28" t="n"/>
      <c r="H256" s="28">
        <f>Расчет!M202</f>
        <v/>
      </c>
    </row>
    <row r="257">
      <c r="A257" s="30" t="n"/>
      <c r="B257" s="30">
        <f>Расчет!G203</f>
        <v/>
      </c>
      <c r="C257" s="30">
        <f>Расчет!H203</f>
        <v/>
      </c>
      <c r="D257" s="31">
        <f>Расчет!I203</f>
        <v/>
      </c>
      <c r="E257" s="31">
        <f>Расчет!J203</f>
        <v/>
      </c>
      <c r="F257" s="30" t="n"/>
      <c r="G257" s="31">
        <f>Расчет!L203</f>
        <v/>
      </c>
      <c r="H257" s="30">
        <f>Расчет!M203</f>
        <v/>
      </c>
    </row>
    <row r="258">
      <c r="A258" s="28" t="n">
        <v>21</v>
      </c>
      <c r="B258" s="28">
        <f>Расчет!G204</f>
        <v/>
      </c>
      <c r="C258" s="28">
        <f>Расчет!H204</f>
        <v/>
      </c>
      <c r="D258" s="29">
        <f>Расчет!I204</f>
        <v/>
      </c>
      <c r="E258" s="29">
        <f>Расчет!J204</f>
        <v/>
      </c>
      <c r="F258" s="29">
        <f>Расчет!K204</f>
        <v/>
      </c>
      <c r="G258" s="28" t="n"/>
      <c r="H258" s="28">
        <f>Расчет!M204</f>
        <v/>
      </c>
    </row>
    <row r="259">
      <c r="A259" s="28" t="n">
        <v>22</v>
      </c>
      <c r="B259" s="28">
        <f>Расчет!G205</f>
        <v/>
      </c>
      <c r="C259" s="28">
        <f>Расчет!H205</f>
        <v/>
      </c>
      <c r="D259" s="29">
        <f>Расчет!I205</f>
        <v/>
      </c>
      <c r="E259" s="29">
        <f>Расчет!J205</f>
        <v/>
      </c>
      <c r="F259" s="29">
        <f>Расчет!K205</f>
        <v/>
      </c>
      <c r="G259" s="28" t="n"/>
      <c r="H259" s="28">
        <f>Расчет!M205</f>
        <v/>
      </c>
    </row>
    <row r="260">
      <c r="A260" s="28" t="n">
        <v>23</v>
      </c>
      <c r="B260" s="28">
        <f>Расчет!G206</f>
        <v/>
      </c>
      <c r="C260" s="28">
        <f>Расчет!H206</f>
        <v/>
      </c>
      <c r="D260" s="29">
        <f>Расчет!I206</f>
        <v/>
      </c>
      <c r="E260" s="29">
        <f>Расчет!J206</f>
        <v/>
      </c>
      <c r="F260" s="29">
        <f>Расчет!K206</f>
        <v/>
      </c>
      <c r="G260" s="28" t="n"/>
      <c r="H260" s="28">
        <f>Расчет!M206</f>
        <v/>
      </c>
    </row>
    <row r="261">
      <c r="A261" s="30" t="n"/>
      <c r="B261" s="30">
        <f>Расчет!G207</f>
        <v/>
      </c>
      <c r="C261" s="30">
        <f>Расчет!H207</f>
        <v/>
      </c>
      <c r="D261" s="31">
        <f>Расчет!I207</f>
        <v/>
      </c>
      <c r="E261" s="31">
        <f>Расчет!J207</f>
        <v/>
      </c>
      <c r="F261" s="30" t="n"/>
      <c r="G261" s="31">
        <f>Расчет!L207</f>
        <v/>
      </c>
      <c r="H261" s="30">
        <f>Расчет!M207</f>
        <v/>
      </c>
    </row>
    <row r="262">
      <c r="A262" s="30" t="n"/>
      <c r="B262" s="30">
        <f>Расчет!G208</f>
        <v/>
      </c>
      <c r="C262" s="30">
        <f>Расчет!H208</f>
        <v/>
      </c>
      <c r="D262" s="31">
        <f>Расчет!I208</f>
        <v/>
      </c>
      <c r="E262" s="31">
        <f>Расчет!J208</f>
        <v/>
      </c>
      <c r="F262" s="30" t="n"/>
      <c r="G262" s="31">
        <f>Расчет!L208</f>
        <v/>
      </c>
      <c r="H262" s="30">
        <f>Расчет!M208</f>
        <v/>
      </c>
    </row>
    <row r="263">
      <c r="A263" s="30" t="n"/>
      <c r="B263" s="30">
        <f>Расчет!G209</f>
        <v/>
      </c>
      <c r="C263" s="30">
        <f>Расчет!H209</f>
        <v/>
      </c>
      <c r="D263" s="31">
        <f>Расчет!I209</f>
        <v/>
      </c>
      <c r="E263" s="31">
        <f>Расчет!J209</f>
        <v/>
      </c>
      <c r="F263" s="30" t="n"/>
      <c r="G263" s="31">
        <f>Расчет!L209</f>
        <v/>
      </c>
      <c r="H263" s="30">
        <f>Расчет!M209</f>
        <v/>
      </c>
    </row>
    <row r="264">
      <c r="A264" s="30" t="n"/>
      <c r="B264" s="30">
        <f>Расчет!G210</f>
        <v/>
      </c>
      <c r="C264" s="30">
        <f>Расчет!H210</f>
        <v/>
      </c>
      <c r="D264" s="31">
        <f>Расчет!I210</f>
        <v/>
      </c>
      <c r="E264" s="31">
        <f>Расчет!J210</f>
        <v/>
      </c>
      <c r="F264" s="30" t="n"/>
      <c r="G264" s="31">
        <f>Расчет!L210</f>
        <v/>
      </c>
      <c r="H264" s="30">
        <f>Расчет!M210</f>
        <v/>
      </c>
    </row>
    <row r="265">
      <c r="A265" s="30" t="n"/>
      <c r="B265" s="30">
        <f>Расчет!G211</f>
        <v/>
      </c>
      <c r="C265" s="30">
        <f>Расчет!H211</f>
        <v/>
      </c>
      <c r="D265" s="31">
        <f>Расчет!I211</f>
        <v/>
      </c>
      <c r="E265" s="31">
        <f>Расчет!J211</f>
        <v/>
      </c>
      <c r="F265" s="30" t="n"/>
      <c r="G265" s="31">
        <f>Расчет!L211</f>
        <v/>
      </c>
      <c r="H265" s="30">
        <f>Расчет!M211</f>
        <v/>
      </c>
    </row>
    <row r="266">
      <c r="B266" s="32" t="inlineStr">
        <is>
          <t>Бортик бассейна</t>
        </is>
      </c>
    </row>
    <row r="267">
      <c r="A267" s="28" t="n">
        <v>24</v>
      </c>
      <c r="B267" s="28">
        <f>Расчет!G213</f>
        <v/>
      </c>
      <c r="C267" s="28">
        <f>Расчет!H213</f>
        <v/>
      </c>
      <c r="D267" s="29">
        <f>Расчет!I213</f>
        <v/>
      </c>
      <c r="E267" s="29">
        <f>Расчет!J213</f>
        <v/>
      </c>
      <c r="F267" s="29">
        <f>Расчет!K213</f>
        <v/>
      </c>
      <c r="G267" s="28" t="n"/>
      <c r="H267" s="28">
        <f>Расчет!M213</f>
        <v/>
      </c>
    </row>
    <row r="268">
      <c r="A268" s="28" t="n">
        <v>25</v>
      </c>
      <c r="B268" s="28">
        <f>Расчет!G214</f>
        <v/>
      </c>
      <c r="C268" s="28">
        <f>Расчет!H214</f>
        <v/>
      </c>
      <c r="D268" s="29">
        <f>Расчет!I214</f>
        <v/>
      </c>
      <c r="E268" s="29">
        <f>Расчет!J214</f>
        <v/>
      </c>
      <c r="F268" s="29">
        <f>Расчет!K214</f>
        <v/>
      </c>
      <c r="G268" s="28" t="n"/>
      <c r="H268" s="28">
        <f>Расчет!M214</f>
        <v/>
      </c>
    </row>
    <row r="269">
      <c r="A269" s="30" t="n"/>
      <c r="B269" s="30">
        <f>Расчет!G215</f>
        <v/>
      </c>
      <c r="C269" s="30">
        <f>Расчет!H215</f>
        <v/>
      </c>
      <c r="D269" s="31">
        <f>Расчет!I215</f>
        <v/>
      </c>
      <c r="E269" s="31">
        <f>Расчет!J215</f>
        <v/>
      </c>
      <c r="F269" s="30" t="n"/>
      <c r="G269" s="31">
        <f>Расчет!L215</f>
        <v/>
      </c>
      <c r="H269" s="30">
        <f>Расчет!M215</f>
        <v/>
      </c>
    </row>
    <row r="270">
      <c r="A270" s="30" t="n"/>
      <c r="B270" s="30">
        <f>Расчет!G216</f>
        <v/>
      </c>
      <c r="C270" s="30">
        <f>Расчет!H216</f>
        <v/>
      </c>
      <c r="D270" s="31">
        <f>Расчет!I216</f>
        <v/>
      </c>
      <c r="E270" s="31">
        <f>Расчет!J216</f>
        <v/>
      </c>
      <c r="F270" s="30" t="n"/>
      <c r="G270" s="31">
        <f>Расчет!L216</f>
        <v/>
      </c>
      <c r="H270" s="30">
        <f>Расчет!M216</f>
        <v/>
      </c>
    </row>
    <row r="271">
      <c r="A271" s="30" t="n"/>
      <c r="B271" s="30">
        <f>Расчет!G217</f>
        <v/>
      </c>
      <c r="C271" s="30">
        <f>Расчет!H217</f>
        <v/>
      </c>
      <c r="D271" s="31">
        <f>Расчет!I217</f>
        <v/>
      </c>
      <c r="E271" s="31">
        <f>Расчет!J217</f>
        <v/>
      </c>
      <c r="F271" s="30" t="n"/>
      <c r="G271" s="31">
        <f>Расчет!L217</f>
        <v/>
      </c>
      <c r="H271" s="30">
        <f>Расчет!M217</f>
        <v/>
      </c>
    </row>
    <row r="272">
      <c r="A272" s="30" t="n"/>
      <c r="B272" s="30">
        <f>Расчет!G218</f>
        <v/>
      </c>
      <c r="C272" s="30">
        <f>Расчет!H218</f>
        <v/>
      </c>
      <c r="D272" s="31">
        <f>Расчет!I218</f>
        <v/>
      </c>
      <c r="E272" s="31">
        <f>Расчет!J218</f>
        <v/>
      </c>
      <c r="F272" s="30" t="n"/>
      <c r="G272" s="31">
        <f>Расчет!L218</f>
        <v/>
      </c>
      <c r="H272" s="30">
        <f>Расчет!M218</f>
        <v/>
      </c>
    </row>
    <row r="273">
      <c r="B273" s="32" t="inlineStr">
        <is>
          <t>Торец бетонной плиты</t>
        </is>
      </c>
    </row>
    <row r="274">
      <c r="A274" s="28" t="n">
        <v>26</v>
      </c>
      <c r="B274" s="28">
        <f>Расчет!G220</f>
        <v/>
      </c>
      <c r="C274" s="28">
        <f>Расчет!H220</f>
        <v/>
      </c>
      <c r="D274" s="29">
        <f>Расчет!I220</f>
        <v/>
      </c>
      <c r="E274" s="29">
        <f>Расчет!J220</f>
        <v/>
      </c>
      <c r="F274" s="29">
        <f>Расчет!K220</f>
        <v/>
      </c>
      <c r="G274" s="28" t="n"/>
      <c r="H274" s="28">
        <f>Расчет!M220</f>
        <v/>
      </c>
    </row>
    <row r="275">
      <c r="A275" s="28" t="n">
        <v>27</v>
      </c>
      <c r="B275" s="28">
        <f>Расчет!G221</f>
        <v/>
      </c>
      <c r="C275" s="28">
        <f>Расчет!H221</f>
        <v/>
      </c>
      <c r="D275" s="29">
        <f>Расчет!I221</f>
        <v/>
      </c>
      <c r="E275" s="29">
        <f>Расчет!J221</f>
        <v/>
      </c>
      <c r="F275" s="29">
        <f>Расчет!K221</f>
        <v/>
      </c>
      <c r="G275" s="28" t="n"/>
      <c r="H275" s="28">
        <f>Расчет!M221</f>
        <v/>
      </c>
    </row>
    <row r="276">
      <c r="A276" s="30" t="n"/>
      <c r="B276" s="30">
        <f>Расчет!G222</f>
        <v/>
      </c>
      <c r="C276" s="30">
        <f>Расчет!H222</f>
        <v/>
      </c>
      <c r="D276" s="31">
        <f>Расчет!I222</f>
        <v/>
      </c>
      <c r="E276" s="31">
        <f>Расчет!J222</f>
        <v/>
      </c>
      <c r="F276" s="30" t="n"/>
      <c r="G276" s="31">
        <f>Расчет!L222</f>
        <v/>
      </c>
      <c r="H276" s="30">
        <f>Расчет!M222</f>
        <v/>
      </c>
    </row>
    <row r="277">
      <c r="A277" s="30" t="n"/>
      <c r="B277" s="30">
        <f>Расчет!G223</f>
        <v/>
      </c>
      <c r="C277" s="30">
        <f>Расчет!H223</f>
        <v/>
      </c>
      <c r="D277" s="31">
        <f>Расчет!I223</f>
        <v/>
      </c>
      <c r="E277" s="31">
        <f>Расчет!J223</f>
        <v/>
      </c>
      <c r="F277" s="30" t="n"/>
      <c r="G277" s="31">
        <f>Расчет!L223</f>
        <v/>
      </c>
      <c r="H277" s="30">
        <f>Расчет!M223</f>
        <v/>
      </c>
    </row>
    <row r="278">
      <c r="A278" s="30" t="n"/>
      <c r="B278" s="30">
        <f>Расчет!G224</f>
        <v/>
      </c>
      <c r="C278" s="30">
        <f>Расчет!H224</f>
        <v/>
      </c>
      <c r="D278" s="31">
        <f>Расчет!I224</f>
        <v/>
      </c>
      <c r="E278" s="31">
        <f>Расчет!J224</f>
        <v/>
      </c>
      <c r="F278" s="30" t="n"/>
      <c r="G278" s="31">
        <f>Расчет!L224</f>
        <v/>
      </c>
      <c r="H278" s="30">
        <f>Расчет!M224</f>
        <v/>
      </c>
    </row>
    <row r="279">
      <c r="A279" s="30" t="n"/>
      <c r="B279" s="30">
        <f>Расчет!G225</f>
        <v/>
      </c>
      <c r="C279" s="30">
        <f>Расчет!H225</f>
        <v/>
      </c>
      <c r="D279" s="31">
        <f>Расчет!I225</f>
        <v/>
      </c>
      <c r="E279" s="31">
        <f>Расчет!J225</f>
        <v/>
      </c>
      <c r="F279" s="30" t="n"/>
      <c r="G279" s="31">
        <f>Расчет!L225</f>
        <v/>
      </c>
      <c r="H279" s="30">
        <f>Расчет!M225</f>
        <v/>
      </c>
    </row>
    <row r="280">
      <c r="A280" s="28" t="n">
        <v>28</v>
      </c>
      <c r="B280" s="28">
        <f>Расчет!G226</f>
        <v/>
      </c>
      <c r="C280" s="28">
        <f>Расчет!H226</f>
        <v/>
      </c>
      <c r="D280" s="29">
        <f>Расчет!I226</f>
        <v/>
      </c>
      <c r="E280" s="29">
        <f>Расчет!J226</f>
        <v/>
      </c>
      <c r="F280" s="29">
        <f>Расчет!K226</f>
        <v/>
      </c>
      <c r="G280" s="28" t="n"/>
      <c r="H280" s="28">
        <f>Расчет!M226</f>
        <v/>
      </c>
    </row>
    <row r="281">
      <c r="A281" s="30" t="n"/>
      <c r="B281" s="30">
        <f>Расчет!G227</f>
        <v/>
      </c>
      <c r="C281" s="30">
        <f>Расчет!H227</f>
        <v/>
      </c>
      <c r="D281" s="31">
        <f>Расчет!I227</f>
        <v/>
      </c>
      <c r="E281" s="31">
        <f>Расчет!J227</f>
        <v/>
      </c>
      <c r="F281" s="30" t="n"/>
      <c r="G281" s="31">
        <f>Расчет!L227</f>
        <v/>
      </c>
      <c r="H281" s="30">
        <f>Расчет!M227</f>
        <v/>
      </c>
    </row>
    <row r="282">
      <c r="A282" s="28" t="n">
        <v>29</v>
      </c>
      <c r="B282" s="28">
        <f>Расчет!G228</f>
        <v/>
      </c>
      <c r="C282" s="28">
        <f>Расчет!H228</f>
        <v/>
      </c>
      <c r="D282" s="29">
        <f>Расчет!I228</f>
        <v/>
      </c>
      <c r="E282" s="29">
        <f>Расчет!J228</f>
        <v/>
      </c>
      <c r="F282" s="29">
        <f>Расчет!K228</f>
        <v/>
      </c>
      <c r="G282" s="28" t="n"/>
      <c r="H282" s="28">
        <f>Расчет!M228</f>
        <v/>
      </c>
    </row>
    <row r="283">
      <c r="A283" s="28" t="n">
        <v>30</v>
      </c>
      <c r="B283" s="28">
        <f>Расчет!G229</f>
        <v/>
      </c>
      <c r="C283" s="28">
        <f>Расчет!H229</f>
        <v/>
      </c>
      <c r="D283" s="29">
        <f>Расчет!I229</f>
        <v/>
      </c>
      <c r="E283" s="29">
        <f>Расчет!J229</f>
        <v/>
      </c>
      <c r="F283" s="29">
        <f>Расчет!K229</f>
        <v/>
      </c>
      <c r="G283" s="28" t="n"/>
      <c r="H283" s="28">
        <f>Расчет!M229</f>
        <v/>
      </c>
    </row>
    <row r="284">
      <c r="A284" s="30" t="n"/>
      <c r="B284" s="30">
        <f>Расчет!G230</f>
        <v/>
      </c>
      <c r="C284" s="30">
        <f>Расчет!H230</f>
        <v/>
      </c>
      <c r="D284" s="31">
        <f>Расчет!I230</f>
        <v/>
      </c>
      <c r="E284" s="31">
        <f>Расчет!J230</f>
        <v/>
      </c>
      <c r="F284" s="30" t="n"/>
      <c r="G284" s="31">
        <f>Расчет!L230</f>
        <v/>
      </c>
      <c r="H284" s="30">
        <f>Расчет!M230</f>
        <v/>
      </c>
    </row>
    <row r="285">
      <c r="A285" s="30" t="n"/>
      <c r="B285" s="30">
        <f>Расчет!G231</f>
        <v/>
      </c>
      <c r="C285" s="30">
        <f>Расчет!H231</f>
        <v/>
      </c>
      <c r="D285" s="31">
        <f>Расчет!I231</f>
        <v/>
      </c>
      <c r="E285" s="31">
        <f>Расчет!J231</f>
        <v/>
      </c>
      <c r="F285" s="30" t="n"/>
      <c r="G285" s="31">
        <f>Расчет!L231</f>
        <v/>
      </c>
      <c r="H285" s="30">
        <f>Расчет!M231</f>
        <v/>
      </c>
    </row>
    <row r="286">
      <c r="A286" s="30" t="n"/>
      <c r="B286" s="30">
        <f>Расчет!G232</f>
        <v/>
      </c>
      <c r="C286" s="30">
        <f>Расчет!H232</f>
        <v/>
      </c>
      <c r="D286" s="31">
        <f>Расчет!I232</f>
        <v/>
      </c>
      <c r="E286" s="31">
        <f>Расчет!J232</f>
        <v/>
      </c>
      <c r="F286" s="30" t="n"/>
      <c r="G286" s="31">
        <f>Расчет!L232</f>
        <v/>
      </c>
      <c r="H286" s="30">
        <f>Расчет!M232</f>
        <v/>
      </c>
    </row>
    <row r="287">
      <c r="A287" s="30" t="n"/>
      <c r="B287" s="30">
        <f>Расчет!G233</f>
        <v/>
      </c>
      <c r="C287" s="30">
        <f>Расчет!H233</f>
        <v/>
      </c>
      <c r="D287" s="31">
        <f>Расчет!I233</f>
        <v/>
      </c>
      <c r="E287" s="31">
        <f>Расчет!J233</f>
        <v/>
      </c>
      <c r="F287" s="30" t="n"/>
      <c r="G287" s="31">
        <f>Расчет!L233</f>
        <v/>
      </c>
      <c r="H287" s="30">
        <f>Расчет!M233</f>
        <v/>
      </c>
    </row>
    <row r="288">
      <c r="B288" s="32" t="inlineStr">
        <is>
          <t>Зона очага</t>
        </is>
      </c>
    </row>
    <row r="289">
      <c r="A289" s="28" t="n">
        <v>31</v>
      </c>
      <c r="B289" s="28">
        <f>Расчет!G235</f>
        <v/>
      </c>
      <c r="C289" s="28">
        <f>Расчет!H235</f>
        <v/>
      </c>
      <c r="D289" s="29">
        <f>Расчет!I235</f>
        <v/>
      </c>
      <c r="E289" s="29">
        <f>Расчет!J235</f>
        <v/>
      </c>
      <c r="F289" s="29">
        <f>Расчет!K235</f>
        <v/>
      </c>
      <c r="G289" s="28" t="n"/>
      <c r="H289" s="28">
        <f>Расчет!M235</f>
        <v/>
      </c>
    </row>
    <row r="290">
      <c r="A290" s="30" t="n"/>
      <c r="B290" s="30">
        <f>Расчет!G236</f>
        <v/>
      </c>
      <c r="C290" s="30">
        <f>Расчет!H236</f>
        <v/>
      </c>
      <c r="D290" s="31">
        <f>Расчет!I236</f>
        <v/>
      </c>
      <c r="E290" s="31">
        <f>Расчет!J236</f>
        <v/>
      </c>
      <c r="F290" s="30" t="n"/>
      <c r="G290" s="31">
        <f>Расчет!L236</f>
        <v/>
      </c>
      <c r="H290" s="30">
        <f>Расчет!M236</f>
        <v/>
      </c>
    </row>
    <row r="291">
      <c r="A291" s="30" t="n"/>
      <c r="B291" s="30">
        <f>Расчет!G237</f>
        <v/>
      </c>
      <c r="C291" s="30">
        <f>Расчет!H237</f>
        <v/>
      </c>
      <c r="D291" s="31">
        <f>Расчет!I237</f>
        <v/>
      </c>
      <c r="E291" s="31">
        <f>Расчет!J237</f>
        <v/>
      </c>
      <c r="F291" s="30" t="n"/>
      <c r="G291" s="31">
        <f>Расчет!L237</f>
        <v/>
      </c>
      <c r="H291" s="30">
        <f>Расчет!M237</f>
        <v/>
      </c>
    </row>
    <row r="292">
      <c r="A292" s="28" t="n">
        <v>32</v>
      </c>
      <c r="B292" s="28">
        <f>Расчет!G238</f>
        <v/>
      </c>
      <c r="C292" s="28">
        <f>Расчет!H238</f>
        <v/>
      </c>
      <c r="D292" s="29">
        <f>Расчет!I238</f>
        <v/>
      </c>
      <c r="E292" s="29">
        <f>Расчет!J238</f>
        <v/>
      </c>
      <c r="F292" s="29">
        <f>Расчет!K238</f>
        <v/>
      </c>
      <c r="G292" s="28" t="n"/>
      <c r="H292" s="28">
        <f>Расчет!M238</f>
        <v/>
      </c>
    </row>
    <row r="293">
      <c r="A293" s="30" t="n"/>
      <c r="B293" s="30">
        <f>Расчет!G239</f>
        <v/>
      </c>
      <c r="C293" s="30">
        <f>Расчет!H239</f>
        <v/>
      </c>
      <c r="D293" s="31">
        <f>Расчет!I239</f>
        <v/>
      </c>
      <c r="E293" s="31">
        <f>Расчет!J239</f>
        <v/>
      </c>
      <c r="F293" s="30" t="n"/>
      <c r="G293" s="31">
        <f>Расчет!L239</f>
        <v/>
      </c>
      <c r="H293" s="30">
        <f>Расчет!M239</f>
        <v/>
      </c>
    </row>
    <row r="294">
      <c r="A294" s="28" t="n">
        <v>33</v>
      </c>
      <c r="B294" s="28">
        <f>Расчет!G240</f>
        <v/>
      </c>
      <c r="C294" s="28">
        <f>Расчет!H240</f>
        <v/>
      </c>
      <c r="D294" s="29">
        <f>Расчет!I240</f>
        <v/>
      </c>
      <c r="E294" s="29">
        <f>Расчет!J240</f>
        <v/>
      </c>
      <c r="F294" s="29">
        <f>Расчет!K240</f>
        <v/>
      </c>
      <c r="G294" s="28" t="n"/>
      <c r="H294" s="28">
        <f>Расчет!M240</f>
        <v/>
      </c>
    </row>
    <row r="295">
      <c r="A295" s="30" t="n"/>
      <c r="B295" s="30">
        <f>Расчет!G241</f>
        <v/>
      </c>
      <c r="C295" s="30">
        <f>Расчет!H241</f>
        <v/>
      </c>
      <c r="D295" s="31">
        <f>Расчет!I241</f>
        <v/>
      </c>
      <c r="E295" s="31">
        <f>Расчет!J241</f>
        <v/>
      </c>
      <c r="F295" s="30" t="n"/>
      <c r="G295" s="31">
        <f>Расчет!L241</f>
        <v/>
      </c>
      <c r="H295" s="30">
        <f>Расчет!M241</f>
        <v/>
      </c>
    </row>
    <row r="296">
      <c r="B296" s="32" t="inlineStr">
        <is>
          <t>Тип П2. Пешеходное покрытие плитами</t>
        </is>
      </c>
    </row>
    <row r="297">
      <c r="A297" s="28" t="n">
        <v>34</v>
      </c>
      <c r="B297" s="28">
        <f>Расчет!G243</f>
        <v/>
      </c>
      <c r="C297" s="28">
        <f>Расчет!H243</f>
        <v/>
      </c>
      <c r="D297" s="29">
        <f>Расчет!I243</f>
        <v/>
      </c>
      <c r="E297" s="29">
        <f>Расчет!J243</f>
        <v/>
      </c>
      <c r="F297" s="29">
        <f>Расчет!K243</f>
        <v/>
      </c>
      <c r="G297" s="28" t="n"/>
      <c r="H297" s="28">
        <f>Расчет!M243</f>
        <v/>
      </c>
    </row>
    <row r="298">
      <c r="A298" s="30" t="n"/>
      <c r="B298" s="30">
        <f>Расчет!G244</f>
        <v/>
      </c>
      <c r="C298" s="30">
        <f>Расчет!H244</f>
        <v/>
      </c>
      <c r="D298" s="31">
        <f>Расчет!I244</f>
        <v/>
      </c>
      <c r="E298" s="31">
        <f>Расчет!J244</f>
        <v/>
      </c>
      <c r="F298" s="30" t="n"/>
      <c r="G298" s="31">
        <f>Расчет!L244</f>
        <v/>
      </c>
      <c r="H298" s="30">
        <f>Расчет!M244</f>
        <v/>
      </c>
    </row>
    <row r="299">
      <c r="A299" s="30" t="n"/>
      <c r="B299" s="30">
        <f>Расчет!G245</f>
        <v/>
      </c>
      <c r="C299" s="30">
        <f>Расчет!H245</f>
        <v/>
      </c>
      <c r="D299" s="31">
        <f>Расчет!I245</f>
        <v/>
      </c>
      <c r="E299" s="31">
        <f>Расчет!J245</f>
        <v/>
      </c>
      <c r="F299" s="30" t="n"/>
      <c r="G299" s="31">
        <f>Расчет!L245</f>
        <v/>
      </c>
      <c r="H299" s="30">
        <f>Расчет!M245</f>
        <v/>
      </c>
    </row>
    <row r="300">
      <c r="A300" s="28" t="n">
        <v>35</v>
      </c>
      <c r="B300" s="28">
        <f>Расчет!G246</f>
        <v/>
      </c>
      <c r="C300" s="28">
        <f>Расчет!H246</f>
        <v/>
      </c>
      <c r="D300" s="29">
        <f>Расчет!I246</f>
        <v/>
      </c>
      <c r="E300" s="29">
        <f>Расчет!J246</f>
        <v/>
      </c>
      <c r="F300" s="29">
        <f>Расчет!K246</f>
        <v/>
      </c>
      <c r="G300" s="28" t="n"/>
      <c r="H300" s="28">
        <f>Расчет!M246</f>
        <v/>
      </c>
    </row>
    <row r="301">
      <c r="A301" s="30" t="n"/>
      <c r="B301" s="30">
        <f>Расчет!G247</f>
        <v/>
      </c>
      <c r="C301" s="30">
        <f>Расчет!H247</f>
        <v/>
      </c>
      <c r="D301" s="31">
        <f>Расчет!I247</f>
        <v/>
      </c>
      <c r="E301" s="31">
        <f>Расчет!J247</f>
        <v/>
      </c>
      <c r="F301" s="30" t="n"/>
      <c r="G301" s="31">
        <f>Расчет!L247</f>
        <v/>
      </c>
      <c r="H301" s="30">
        <f>Расчет!M247</f>
        <v/>
      </c>
    </row>
    <row r="302">
      <c r="A302" s="30" t="n"/>
      <c r="B302" s="30">
        <f>Расчет!G248</f>
        <v/>
      </c>
      <c r="C302" s="30">
        <f>Расчет!H248</f>
        <v/>
      </c>
      <c r="D302" s="31">
        <f>Расчет!I248</f>
        <v/>
      </c>
      <c r="E302" s="31">
        <f>Расчет!J248</f>
        <v/>
      </c>
      <c r="F302" s="30" t="n"/>
      <c r="G302" s="31">
        <f>Расчет!L248</f>
        <v/>
      </c>
      <c r="H302" s="30">
        <f>Расчет!M248</f>
        <v/>
      </c>
    </row>
    <row r="303">
      <c r="A303" s="28" t="n">
        <v>36</v>
      </c>
      <c r="B303" s="28">
        <f>Расчет!G249</f>
        <v/>
      </c>
      <c r="C303" s="28">
        <f>Расчет!H249</f>
        <v/>
      </c>
      <c r="D303" s="29">
        <f>Расчет!I249</f>
        <v/>
      </c>
      <c r="E303" s="29">
        <f>Расчет!J249</f>
        <v/>
      </c>
      <c r="F303" s="29">
        <f>Расчет!K249</f>
        <v/>
      </c>
      <c r="G303" s="28" t="n"/>
      <c r="H303" s="28">
        <f>Расчет!M249</f>
        <v/>
      </c>
    </row>
    <row r="304">
      <c r="B304" s="32" t="inlineStr">
        <is>
          <t>Тип П4. Пешеходное покрытие из отсева</t>
        </is>
      </c>
    </row>
    <row r="305">
      <c r="A305" s="28" t="n">
        <v>37</v>
      </c>
      <c r="B305" s="28">
        <f>Расчет!G251</f>
        <v/>
      </c>
      <c r="C305" s="28">
        <f>Расчет!H251</f>
        <v/>
      </c>
      <c r="D305" s="29">
        <f>Расчет!I251</f>
        <v/>
      </c>
      <c r="E305" s="29">
        <f>Расчет!J251</f>
        <v/>
      </c>
      <c r="F305" s="29">
        <f>Расчет!K251</f>
        <v/>
      </c>
      <c r="G305" s="28" t="n"/>
      <c r="H305" s="28">
        <f>Расчет!M251</f>
        <v/>
      </c>
    </row>
    <row r="306">
      <c r="A306" s="30" t="n"/>
      <c r="B306" s="30">
        <f>Расчет!G252</f>
        <v/>
      </c>
      <c r="C306" s="30">
        <f>Расчет!H252</f>
        <v/>
      </c>
      <c r="D306" s="31">
        <f>Расчет!I252</f>
        <v/>
      </c>
      <c r="E306" s="31">
        <f>Расчет!J252</f>
        <v/>
      </c>
      <c r="F306" s="30" t="n"/>
      <c r="G306" s="31">
        <f>Расчет!L252</f>
        <v/>
      </c>
      <c r="H306" s="30">
        <f>Расчет!M252</f>
        <v/>
      </c>
    </row>
    <row r="307">
      <c r="A307" s="30" t="n"/>
      <c r="B307" s="30">
        <f>Расчет!G253</f>
        <v/>
      </c>
      <c r="C307" s="30">
        <f>Расчет!H253</f>
        <v/>
      </c>
      <c r="D307" s="31">
        <f>Расчет!I253</f>
        <v/>
      </c>
      <c r="E307" s="31">
        <f>Расчет!J253</f>
        <v/>
      </c>
      <c r="F307" s="30" t="n"/>
      <c r="G307" s="31">
        <f>Расчет!L253</f>
        <v/>
      </c>
      <c r="H307" s="30">
        <f>Расчет!M253</f>
        <v/>
      </c>
    </row>
    <row r="308">
      <c r="A308" s="28" t="n">
        <v>38</v>
      </c>
      <c r="B308" s="28">
        <f>Расчет!G254</f>
        <v/>
      </c>
      <c r="C308" s="28">
        <f>Расчет!H254</f>
        <v/>
      </c>
      <c r="D308" s="29">
        <f>Расчет!I254</f>
        <v/>
      </c>
      <c r="E308" s="29">
        <f>Расчет!J254</f>
        <v/>
      </c>
      <c r="F308" s="29">
        <f>Расчет!K254</f>
        <v/>
      </c>
      <c r="G308" s="28" t="n"/>
      <c r="H308" s="28">
        <f>Расчет!M254</f>
        <v/>
      </c>
    </row>
    <row r="309">
      <c r="A309" s="30" t="n"/>
      <c r="B309" s="30">
        <f>Расчет!G255</f>
        <v/>
      </c>
      <c r="C309" s="30">
        <f>Расчет!H255</f>
        <v/>
      </c>
      <c r="D309" s="31">
        <f>Расчет!I255</f>
        <v/>
      </c>
      <c r="E309" s="31">
        <f>Расчет!J255</f>
        <v/>
      </c>
      <c r="F309" s="30" t="n"/>
      <c r="G309" s="31">
        <f>Расчет!L255</f>
        <v/>
      </c>
      <c r="H309" s="30">
        <f>Расчет!M255</f>
        <v/>
      </c>
    </row>
    <row r="310">
      <c r="A310" s="28" t="n">
        <v>39</v>
      </c>
      <c r="B310" s="28">
        <f>Расчет!G256</f>
        <v/>
      </c>
      <c r="C310" s="28">
        <f>Расчет!H256</f>
        <v/>
      </c>
      <c r="D310" s="29">
        <f>Расчет!I256</f>
        <v/>
      </c>
      <c r="E310" s="29">
        <f>Расчет!J256</f>
        <v/>
      </c>
      <c r="F310" s="29">
        <f>Расчет!K256</f>
        <v/>
      </c>
      <c r="G310" s="28" t="n"/>
      <c r="H310" s="28">
        <f>Расчет!M256</f>
        <v/>
      </c>
    </row>
    <row r="311">
      <c r="A311" s="30" t="n"/>
      <c r="B311" s="30">
        <f>Расчет!G257</f>
        <v/>
      </c>
      <c r="C311" s="30">
        <f>Расчет!H257</f>
        <v/>
      </c>
      <c r="D311" s="31">
        <f>Расчет!I257</f>
        <v/>
      </c>
      <c r="E311" s="31">
        <f>Расчет!J257</f>
        <v/>
      </c>
      <c r="F311" s="30" t="n"/>
      <c r="G311" s="31">
        <f>Расчет!L257</f>
        <v/>
      </c>
      <c r="H311" s="30">
        <f>Расчет!M257</f>
        <v/>
      </c>
    </row>
    <row r="312">
      <c r="A312" s="28" t="n">
        <v>40</v>
      </c>
      <c r="B312" s="28">
        <f>Расчет!G258</f>
        <v/>
      </c>
      <c r="C312" s="28">
        <f>Расчет!H258</f>
        <v/>
      </c>
      <c r="D312" s="29">
        <f>Расчет!I258</f>
        <v/>
      </c>
      <c r="E312" s="29">
        <f>Расчет!J258</f>
        <v/>
      </c>
      <c r="F312" s="29">
        <f>Расчет!K258</f>
        <v/>
      </c>
      <c r="G312" s="28" t="n"/>
      <c r="H312" s="28">
        <f>Расчет!M258</f>
        <v/>
      </c>
    </row>
    <row r="313">
      <c r="B313" s="32" t="inlineStr">
        <is>
          <t>Тип С. Спортивное покрытие</t>
        </is>
      </c>
    </row>
    <row r="314">
      <c r="A314" s="28" t="n">
        <v>41</v>
      </c>
      <c r="B314" s="28">
        <f>Расчет!G260</f>
        <v/>
      </c>
      <c r="C314" s="28">
        <f>Расчет!H260</f>
        <v/>
      </c>
      <c r="D314" s="29">
        <f>Расчет!I260</f>
        <v/>
      </c>
      <c r="E314" s="29">
        <f>Расчет!J260</f>
        <v/>
      </c>
      <c r="F314" s="29">
        <f>Расчет!K260</f>
        <v/>
      </c>
      <c r="G314" s="28" t="n"/>
      <c r="H314" s="28">
        <f>Расчет!M260</f>
        <v/>
      </c>
    </row>
    <row r="315">
      <c r="A315" s="30" t="n"/>
      <c r="B315" s="30">
        <f>Расчет!G261</f>
        <v/>
      </c>
      <c r="C315" s="30">
        <f>Расчет!H261</f>
        <v/>
      </c>
      <c r="D315" s="31">
        <f>Расчет!I261</f>
        <v/>
      </c>
      <c r="E315" s="31">
        <f>Расчет!J261</f>
        <v/>
      </c>
      <c r="F315" s="30" t="n"/>
      <c r="G315" s="31">
        <f>Расчет!L261</f>
        <v/>
      </c>
      <c r="H315" s="30">
        <f>Расчет!M261</f>
        <v/>
      </c>
    </row>
    <row r="316">
      <c r="A316" s="30" t="n"/>
      <c r="B316" s="30">
        <f>Расчет!G262</f>
        <v/>
      </c>
      <c r="C316" s="30">
        <f>Расчет!H262</f>
        <v/>
      </c>
      <c r="D316" s="31">
        <f>Расчет!I262</f>
        <v/>
      </c>
      <c r="E316" s="31">
        <f>Расчет!J262</f>
        <v/>
      </c>
      <c r="F316" s="30" t="n"/>
      <c r="G316" s="31">
        <f>Расчет!L262</f>
        <v/>
      </c>
      <c r="H316" s="30">
        <f>Расчет!M262</f>
        <v/>
      </c>
    </row>
    <row r="317">
      <c r="A317" s="28" t="n">
        <v>42</v>
      </c>
      <c r="B317" s="28">
        <f>Расчет!G263</f>
        <v/>
      </c>
      <c r="C317" s="28">
        <f>Расчет!H263</f>
        <v/>
      </c>
      <c r="D317" s="29">
        <f>Расчет!I263</f>
        <v/>
      </c>
      <c r="E317" s="29">
        <f>Расчет!J263</f>
        <v/>
      </c>
      <c r="F317" s="29">
        <f>Расчет!K263</f>
        <v/>
      </c>
      <c r="G317" s="28" t="n"/>
      <c r="H317" s="28">
        <f>Расчет!M263</f>
        <v/>
      </c>
    </row>
    <row r="318">
      <c r="A318" s="30" t="n"/>
      <c r="B318" s="30">
        <f>Расчет!G264</f>
        <v/>
      </c>
      <c r="C318" s="30">
        <f>Расчет!H264</f>
        <v/>
      </c>
      <c r="D318" s="31">
        <f>Расчет!I264</f>
        <v/>
      </c>
      <c r="E318" s="31">
        <f>Расчет!J264</f>
        <v/>
      </c>
      <c r="F318" s="30" t="n"/>
      <c r="G318" s="31">
        <f>Расчет!L264</f>
        <v/>
      </c>
      <c r="H318" s="30">
        <f>Расчет!M264</f>
        <v/>
      </c>
    </row>
    <row r="319">
      <c r="A319" s="28" t="n">
        <v>43</v>
      </c>
      <c r="B319" s="28">
        <f>Расчет!G265</f>
        <v/>
      </c>
      <c r="C319" s="28">
        <f>Расчет!H265</f>
        <v/>
      </c>
      <c r="D319" s="29">
        <f>Расчет!I265</f>
        <v/>
      </c>
      <c r="E319" s="29">
        <f>Расчет!J265</f>
        <v/>
      </c>
      <c r="F319" s="29">
        <f>Расчет!K265</f>
        <v/>
      </c>
      <c r="G319" s="28" t="n"/>
      <c r="H319" s="28">
        <f>Расчет!M265</f>
        <v/>
      </c>
    </row>
    <row r="320">
      <c r="A320" s="30" t="n"/>
      <c r="B320" s="30">
        <f>Расчет!G266</f>
        <v/>
      </c>
      <c r="C320" s="30">
        <f>Расчет!H266</f>
        <v/>
      </c>
      <c r="D320" s="31">
        <f>Расчет!I266</f>
        <v/>
      </c>
      <c r="E320" s="31">
        <f>Расчет!J266</f>
        <v/>
      </c>
      <c r="F320" s="30" t="n"/>
      <c r="G320" s="31">
        <f>Расчет!L266</f>
        <v/>
      </c>
      <c r="H320" s="30">
        <f>Расчет!M266</f>
        <v/>
      </c>
    </row>
    <row r="321">
      <c r="A321" s="28" t="n">
        <v>44</v>
      </c>
      <c r="B321" s="28">
        <f>Расчет!G267</f>
        <v/>
      </c>
      <c r="C321" s="28">
        <f>Расчет!H267</f>
        <v/>
      </c>
      <c r="D321" s="29">
        <f>Расчет!I267</f>
        <v/>
      </c>
      <c r="E321" s="29">
        <f>Расчет!J267</f>
        <v/>
      </c>
      <c r="F321" s="29">
        <f>Расчет!K267</f>
        <v/>
      </c>
      <c r="G321" s="28" t="n"/>
      <c r="H321" s="28">
        <f>Расчет!M267</f>
        <v/>
      </c>
    </row>
    <row r="322">
      <c r="A322" s="30" t="n"/>
      <c r="B322" s="30">
        <f>Расчет!G268</f>
        <v/>
      </c>
      <c r="C322" s="30">
        <f>Расчет!H268</f>
        <v/>
      </c>
      <c r="D322" s="31">
        <f>Расчет!I268</f>
        <v/>
      </c>
      <c r="E322" s="31">
        <f>Расчет!J268</f>
        <v/>
      </c>
      <c r="F322" s="30" t="n"/>
      <c r="G322" s="31">
        <f>Расчет!L268</f>
        <v/>
      </c>
      <c r="H322" s="30">
        <f>Расчет!M268</f>
        <v/>
      </c>
    </row>
    <row r="323">
      <c r="A323" s="28" t="n">
        <v>45</v>
      </c>
      <c r="B323" s="28">
        <f>Расчет!G269</f>
        <v/>
      </c>
      <c r="C323" s="28">
        <f>Расчет!H269</f>
        <v/>
      </c>
      <c r="D323" s="29">
        <f>Расчет!I269</f>
        <v/>
      </c>
      <c r="E323" s="29">
        <f>Расчет!J269</f>
        <v/>
      </c>
      <c r="F323" s="29">
        <f>Расчет!K269</f>
        <v/>
      </c>
      <c r="G323" s="28" t="n"/>
      <c r="H323" s="28">
        <f>Расчет!M269</f>
        <v/>
      </c>
    </row>
    <row r="324">
      <c r="B324" s="33" t="inlineStr">
        <is>
          <t>ВСЕГО ПО РАЗДЕЛУ:</t>
        </is>
      </c>
      <c r="F324" s="34">
        <f>SUMIFS(Расчет!K:K,Расчет!B:B,"5",Расчет!E:E,"work")+SUMIFS(Расчет!K:K,Расчет!B:B,"5",Расчет!E:E,"section14_item")</f>
        <v/>
      </c>
      <c r="G324" s="34">
        <f>SUMIFS(Расчет!L:L,Расчет!B:B,"5",Расчет!E:E,"material")</f>
        <v/>
      </c>
    </row>
    <row r="325">
      <c r="B325" s="35" t="inlineStr">
        <is>
          <t>ИТОГО:</t>
        </is>
      </c>
      <c r="G325" s="26">
        <f>SUMIFS(Расчет!K:K,Расчет!B:B,"5",Расчет!E:E,"work")+SUMIFS(Расчет!K:K,Расчет!B:B,"5",Расчет!E:E,"section14_item")+SUMIFS(Расчет!L:L,Расчет!B:B,"5")</f>
        <v/>
      </c>
    </row>
    <row r="327">
      <c r="A327" s="25" t="inlineStr">
        <is>
          <t>6.</t>
        </is>
      </c>
      <c r="B327" s="27" t="inlineStr">
        <is>
          <t>Лестница в нижнюю часть участка</t>
        </is>
      </c>
      <c r="C327" s="27" t="inlineStr">
        <is>
          <t>Ед. изм.</t>
        </is>
      </c>
      <c r="D327" s="27" t="inlineStr">
        <is>
          <t>Кол-во</t>
        </is>
      </c>
      <c r="E327" s="27" t="inlineStr">
        <is>
          <t>Цена</t>
        </is>
      </c>
      <c r="F327" s="27" t="inlineStr">
        <is>
          <t>Работы</t>
        </is>
      </c>
      <c r="G327" s="27" t="inlineStr">
        <is>
          <t>Материалы</t>
        </is>
      </c>
      <c r="H327" s="27" t="inlineStr">
        <is>
          <t>Примечание</t>
        </is>
      </c>
    </row>
    <row r="328">
      <c r="B328" s="32" t="inlineStr">
        <is>
          <t>Ступени гранитные</t>
        </is>
      </c>
    </row>
    <row r="329">
      <c r="A329" s="28" t="n">
        <v>1</v>
      </c>
      <c r="B329" s="28">
        <f>Расчет!G271</f>
        <v/>
      </c>
      <c r="C329" s="28">
        <f>Расчет!H271</f>
        <v/>
      </c>
      <c r="D329" s="29">
        <f>Расчет!I271</f>
        <v/>
      </c>
      <c r="E329" s="29">
        <f>Расчет!J271</f>
        <v/>
      </c>
      <c r="F329" s="29">
        <f>Расчет!K271</f>
        <v/>
      </c>
      <c r="G329" s="28" t="n"/>
      <c r="H329" s="28">
        <f>Расчет!M271</f>
        <v/>
      </c>
    </row>
    <row r="330">
      <c r="A330" s="30" t="n"/>
      <c r="B330" s="30">
        <f>Расчет!G272</f>
        <v/>
      </c>
      <c r="C330" s="30">
        <f>Расчет!H272</f>
        <v/>
      </c>
      <c r="D330" s="31">
        <f>Расчет!I272</f>
        <v/>
      </c>
      <c r="E330" s="31">
        <f>Расчет!J272</f>
        <v/>
      </c>
      <c r="F330" s="30" t="n"/>
      <c r="G330" s="31">
        <f>Расчет!L272</f>
        <v/>
      </c>
      <c r="H330" s="30">
        <f>Расчет!M272</f>
        <v/>
      </c>
    </row>
    <row r="331">
      <c r="A331" s="28" t="n">
        <v>2</v>
      </c>
      <c r="B331" s="28">
        <f>Расчет!G273</f>
        <v/>
      </c>
      <c r="C331" s="28">
        <f>Расчет!H273</f>
        <v/>
      </c>
      <c r="D331" s="29">
        <f>Расчет!I273</f>
        <v/>
      </c>
      <c r="E331" s="29">
        <f>Расчет!J273</f>
        <v/>
      </c>
      <c r="F331" s="29">
        <f>Расчет!K273</f>
        <v/>
      </c>
      <c r="G331" s="28" t="n"/>
      <c r="H331" s="28">
        <f>Расчет!M273</f>
        <v/>
      </c>
    </row>
    <row r="332">
      <c r="A332" s="28" t="n">
        <v>3</v>
      </c>
      <c r="B332" s="28">
        <f>Расчет!G274</f>
        <v/>
      </c>
      <c r="C332" s="28">
        <f>Расчет!H274</f>
        <v/>
      </c>
      <c r="D332" s="29">
        <f>Расчет!I274</f>
        <v/>
      </c>
      <c r="E332" s="29">
        <f>Расчет!J274</f>
        <v/>
      </c>
      <c r="F332" s="29">
        <f>Расчет!K274</f>
        <v/>
      </c>
      <c r="G332" s="28" t="n"/>
      <c r="H332" s="28">
        <f>Расчет!M274</f>
        <v/>
      </c>
    </row>
    <row r="333">
      <c r="A333" s="30" t="n"/>
      <c r="B333" s="30">
        <f>Расчет!G275</f>
        <v/>
      </c>
      <c r="C333" s="30">
        <f>Расчет!H275</f>
        <v/>
      </c>
      <c r="D333" s="31">
        <f>Расчет!I275</f>
        <v/>
      </c>
      <c r="E333" s="31">
        <f>Расчет!J275</f>
        <v/>
      </c>
      <c r="F333" s="30" t="n"/>
      <c r="G333" s="31">
        <f>Расчет!L275</f>
        <v/>
      </c>
      <c r="H333" s="30">
        <f>Расчет!M275</f>
        <v/>
      </c>
    </row>
    <row r="334">
      <c r="A334" s="30" t="n"/>
      <c r="B334" s="30">
        <f>Расчет!G276</f>
        <v/>
      </c>
      <c r="C334" s="30">
        <f>Расчет!H276</f>
        <v/>
      </c>
      <c r="D334" s="31">
        <f>Расчет!I276</f>
        <v/>
      </c>
      <c r="E334" s="31">
        <f>Расчет!J276</f>
        <v/>
      </c>
      <c r="F334" s="30" t="n"/>
      <c r="G334" s="31">
        <f>Расчет!L276</f>
        <v/>
      </c>
      <c r="H334" s="30">
        <f>Расчет!M276</f>
        <v/>
      </c>
    </row>
    <row r="335">
      <c r="A335" s="28" t="n">
        <v>4</v>
      </c>
      <c r="B335" s="28">
        <f>Расчет!G277</f>
        <v/>
      </c>
      <c r="C335" s="28">
        <f>Расчет!H277</f>
        <v/>
      </c>
      <c r="D335" s="29">
        <f>Расчет!I277</f>
        <v/>
      </c>
      <c r="E335" s="29">
        <f>Расчет!J277</f>
        <v/>
      </c>
      <c r="F335" s="29">
        <f>Расчет!K277</f>
        <v/>
      </c>
      <c r="G335" s="28" t="n"/>
      <c r="H335" s="28">
        <f>Расчет!M277</f>
        <v/>
      </c>
    </row>
    <row r="336">
      <c r="B336" s="32" t="inlineStr">
        <is>
          <t>Настил из ДПК</t>
        </is>
      </c>
    </row>
    <row r="337">
      <c r="A337" s="28" t="n">
        <v>5</v>
      </c>
      <c r="B337" s="28">
        <f>Расчет!G279</f>
        <v/>
      </c>
      <c r="C337" s="28">
        <f>Расчет!H279</f>
        <v/>
      </c>
      <c r="D337" s="29">
        <f>Расчет!I279</f>
        <v/>
      </c>
      <c r="E337" s="29">
        <f>Расчет!J279</f>
        <v/>
      </c>
      <c r="F337" s="29">
        <f>Расчет!K279</f>
        <v/>
      </c>
      <c r="G337" s="28" t="n"/>
      <c r="H337" s="28">
        <f>Расчет!M279</f>
        <v/>
      </c>
    </row>
    <row r="338">
      <c r="A338" s="30" t="n"/>
      <c r="B338" s="30">
        <f>Расчет!G280</f>
        <v/>
      </c>
      <c r="C338" s="30">
        <f>Расчет!H280</f>
        <v/>
      </c>
      <c r="D338" s="31">
        <f>Расчет!I280</f>
        <v/>
      </c>
      <c r="E338" s="31">
        <f>Расчет!J280</f>
        <v/>
      </c>
      <c r="F338" s="30" t="n"/>
      <c r="G338" s="31">
        <f>Расчет!L280</f>
        <v/>
      </c>
      <c r="H338" s="30">
        <f>Расчет!M280</f>
        <v/>
      </c>
    </row>
    <row r="339">
      <c r="A339" s="28" t="n">
        <v>6</v>
      </c>
      <c r="B339" s="28">
        <f>Расчет!G281</f>
        <v/>
      </c>
      <c r="C339" s="28">
        <f>Расчет!H281</f>
        <v/>
      </c>
      <c r="D339" s="29">
        <f>Расчет!I281</f>
        <v/>
      </c>
      <c r="E339" s="29">
        <f>Расчет!J281</f>
        <v/>
      </c>
      <c r="F339" s="29">
        <f>Расчет!K281</f>
        <v/>
      </c>
      <c r="G339" s="28" t="n"/>
      <c r="H339" s="28">
        <f>Расчет!M281</f>
        <v/>
      </c>
    </row>
    <row r="340">
      <c r="A340" s="28" t="n">
        <v>7</v>
      </c>
      <c r="B340" s="28">
        <f>Расчет!G282</f>
        <v/>
      </c>
      <c r="C340" s="28">
        <f>Расчет!H282</f>
        <v/>
      </c>
      <c r="D340" s="29">
        <f>Расчет!I282</f>
        <v/>
      </c>
      <c r="E340" s="29">
        <f>Расчет!J282</f>
        <v/>
      </c>
      <c r="F340" s="29">
        <f>Расчет!K282</f>
        <v/>
      </c>
      <c r="G340" s="28" t="n"/>
      <c r="H340" s="28">
        <f>Расчет!M282</f>
        <v/>
      </c>
    </row>
    <row r="341">
      <c r="A341" s="30" t="n"/>
      <c r="B341" s="30">
        <f>Расчет!G283</f>
        <v/>
      </c>
      <c r="C341" s="30">
        <f>Расчет!H283</f>
        <v/>
      </c>
      <c r="D341" s="31">
        <f>Расчет!I283</f>
        <v/>
      </c>
      <c r="E341" s="31">
        <f>Расчет!J283</f>
        <v/>
      </c>
      <c r="F341" s="30" t="n"/>
      <c r="G341" s="31">
        <f>Расчет!L283</f>
        <v/>
      </c>
      <c r="H341" s="30">
        <f>Расчет!M283</f>
        <v/>
      </c>
    </row>
    <row r="342">
      <c r="A342" s="30" t="n"/>
      <c r="B342" s="30">
        <f>Расчет!G284</f>
        <v/>
      </c>
      <c r="C342" s="30">
        <f>Расчет!H284</f>
        <v/>
      </c>
      <c r="D342" s="31">
        <f>Расчет!I284</f>
        <v/>
      </c>
      <c r="E342" s="31">
        <f>Расчет!J284</f>
        <v/>
      </c>
      <c r="F342" s="30" t="n"/>
      <c r="G342" s="31">
        <f>Расчет!L284</f>
        <v/>
      </c>
      <c r="H342" s="30">
        <f>Расчет!M284</f>
        <v/>
      </c>
    </row>
    <row r="343">
      <c r="A343" s="30" t="n"/>
      <c r="B343" s="30">
        <f>Расчет!G285</f>
        <v/>
      </c>
      <c r="C343" s="30">
        <f>Расчет!H285</f>
        <v/>
      </c>
      <c r="D343" s="31">
        <f>Расчет!I285</f>
        <v/>
      </c>
      <c r="E343" s="31">
        <f>Расчет!J285</f>
        <v/>
      </c>
      <c r="F343" s="30" t="n"/>
      <c r="G343" s="31">
        <f>Расчет!L285</f>
        <v/>
      </c>
      <c r="H343" s="30">
        <f>Расчет!M285</f>
        <v/>
      </c>
    </row>
    <row r="344">
      <c r="B344" s="33" t="inlineStr">
        <is>
          <t>ВСЕГО ПО РАЗДЕЛУ:</t>
        </is>
      </c>
      <c r="F344" s="34">
        <f>SUMIFS(Расчет!K:K,Расчет!B:B,"6",Расчет!E:E,"work")+SUMIFS(Расчет!K:K,Расчет!B:B,"6",Расчет!E:E,"section14_item")</f>
        <v/>
      </c>
      <c r="G344" s="34">
        <f>SUMIFS(Расчет!L:L,Расчет!B:B,"6",Расчет!E:E,"material")</f>
        <v/>
      </c>
    </row>
    <row r="345">
      <c r="B345" s="35" t="inlineStr">
        <is>
          <t>ИТОГО:</t>
        </is>
      </c>
      <c r="G345" s="26">
        <f>SUMIFS(Расчет!K:K,Расчет!B:B,"6",Расчет!E:E,"work")+SUMIFS(Расчет!K:K,Расчет!B:B,"6",Расчет!E:E,"section14_item")+SUMIFS(Расчет!L:L,Расчет!B:B,"6")</f>
        <v/>
      </c>
    </row>
    <row r="347">
      <c r="A347" s="25" t="inlineStr">
        <is>
          <t>7.</t>
        </is>
      </c>
      <c r="B347" s="27" t="inlineStr">
        <is>
          <t>Террасные настилы.</t>
        </is>
      </c>
      <c r="C347" s="27" t="inlineStr">
        <is>
          <t>Ед. изм.</t>
        </is>
      </c>
      <c r="D347" s="27" t="inlineStr">
        <is>
          <t>Кол-во</t>
        </is>
      </c>
      <c r="E347" s="27" t="inlineStr">
        <is>
          <t>Цена</t>
        </is>
      </c>
      <c r="F347" s="27" t="inlineStr">
        <is>
          <t>Работы</t>
        </is>
      </c>
      <c r="G347" s="27" t="inlineStr">
        <is>
          <t>Материалы</t>
        </is>
      </c>
      <c r="H347" s="27" t="inlineStr">
        <is>
          <t>Примечание</t>
        </is>
      </c>
    </row>
    <row r="348">
      <c r="A348" s="28" t="n">
        <v>1</v>
      </c>
      <c r="B348" s="28">
        <f>Расчет!G286</f>
        <v/>
      </c>
      <c r="C348" s="28">
        <f>Расчет!H286</f>
        <v/>
      </c>
      <c r="D348" s="29">
        <f>Расчет!I286</f>
        <v/>
      </c>
      <c r="E348" s="29">
        <f>Расчет!J286</f>
        <v/>
      </c>
      <c r="F348" s="29">
        <f>Расчет!K286</f>
        <v/>
      </c>
      <c r="G348" s="28" t="n"/>
      <c r="H348" s="28">
        <f>Расчет!M286</f>
        <v/>
      </c>
    </row>
    <row r="349">
      <c r="A349" s="30" t="n"/>
      <c r="B349" s="30">
        <f>Расчет!G287</f>
        <v/>
      </c>
      <c r="C349" s="30">
        <f>Расчет!H287</f>
        <v/>
      </c>
      <c r="D349" s="31">
        <f>Расчет!I287</f>
        <v/>
      </c>
      <c r="E349" s="31">
        <f>Расчет!J287</f>
        <v/>
      </c>
      <c r="F349" s="30" t="n"/>
      <c r="G349" s="31">
        <f>Расчет!L287</f>
        <v/>
      </c>
      <c r="H349" s="30">
        <f>Расчет!M287</f>
        <v/>
      </c>
    </row>
    <row r="350">
      <c r="A350" s="30" t="n"/>
      <c r="B350" s="30">
        <f>Расчет!G288</f>
        <v/>
      </c>
      <c r="C350" s="30">
        <f>Расчет!H288</f>
        <v/>
      </c>
      <c r="D350" s="31">
        <f>Расчет!I288</f>
        <v/>
      </c>
      <c r="E350" s="31">
        <f>Расчет!J288</f>
        <v/>
      </c>
      <c r="F350" s="30" t="n"/>
      <c r="G350" s="31">
        <f>Расчет!L288</f>
        <v/>
      </c>
      <c r="H350" s="30">
        <f>Расчет!M288</f>
        <v/>
      </c>
    </row>
    <row r="351">
      <c r="A351" s="28" t="n">
        <v>2</v>
      </c>
      <c r="B351" s="28">
        <f>Расчет!G289</f>
        <v/>
      </c>
      <c r="C351" s="28">
        <f>Расчет!H289</f>
        <v/>
      </c>
      <c r="D351" s="29">
        <f>Расчет!I289</f>
        <v/>
      </c>
      <c r="E351" s="29">
        <f>Расчет!J289</f>
        <v/>
      </c>
      <c r="F351" s="29">
        <f>Расчет!K289</f>
        <v/>
      </c>
      <c r="G351" s="28" t="n"/>
      <c r="H351" s="28">
        <f>Расчет!M289</f>
        <v/>
      </c>
    </row>
    <row r="352">
      <c r="A352" s="28" t="n">
        <v>3</v>
      </c>
      <c r="B352" s="28">
        <f>Расчет!G290</f>
        <v/>
      </c>
      <c r="C352" s="28">
        <f>Расчет!H290</f>
        <v/>
      </c>
      <c r="D352" s="29">
        <f>Расчет!I290</f>
        <v/>
      </c>
      <c r="E352" s="29">
        <f>Расчет!J290</f>
        <v/>
      </c>
      <c r="F352" s="29">
        <f>Расчет!K290</f>
        <v/>
      </c>
      <c r="G352" s="28" t="n"/>
      <c r="H352" s="28">
        <f>Расчет!M290</f>
        <v/>
      </c>
    </row>
    <row r="353">
      <c r="A353" s="30" t="n"/>
      <c r="B353" s="30">
        <f>Расчет!G291</f>
        <v/>
      </c>
      <c r="C353" s="30">
        <f>Расчет!H291</f>
        <v/>
      </c>
      <c r="D353" s="31">
        <f>Расчет!I291</f>
        <v/>
      </c>
      <c r="E353" s="31">
        <f>Расчет!J291</f>
        <v/>
      </c>
      <c r="F353" s="30" t="n"/>
      <c r="G353" s="31">
        <f>Расчет!L291</f>
        <v/>
      </c>
      <c r="H353" s="30">
        <f>Расчет!M291</f>
        <v/>
      </c>
    </row>
    <row r="354">
      <c r="A354" s="30" t="n"/>
      <c r="B354" s="30">
        <f>Расчет!G292</f>
        <v/>
      </c>
      <c r="C354" s="30">
        <f>Расчет!H292</f>
        <v/>
      </c>
      <c r="D354" s="31">
        <f>Расчет!I292</f>
        <v/>
      </c>
      <c r="E354" s="31">
        <f>Расчет!J292</f>
        <v/>
      </c>
      <c r="F354" s="30" t="n"/>
      <c r="G354" s="31">
        <f>Расчет!L292</f>
        <v/>
      </c>
      <c r="H354" s="30">
        <f>Расчет!M292</f>
        <v/>
      </c>
    </row>
    <row r="355">
      <c r="A355" s="28" t="n">
        <v>4</v>
      </c>
      <c r="B355" s="28">
        <f>Расчет!G293</f>
        <v/>
      </c>
      <c r="C355" s="28">
        <f>Расчет!H293</f>
        <v/>
      </c>
      <c r="D355" s="29">
        <f>Расчет!I293</f>
        <v/>
      </c>
      <c r="E355" s="29">
        <f>Расчет!J293</f>
        <v/>
      </c>
      <c r="F355" s="29">
        <f>Расчет!K293</f>
        <v/>
      </c>
      <c r="G355" s="28" t="n"/>
      <c r="H355" s="28">
        <f>Расчет!M293</f>
        <v/>
      </c>
    </row>
    <row r="356">
      <c r="A356" s="30" t="n"/>
      <c r="B356" s="30">
        <f>Расчет!G294</f>
        <v/>
      </c>
      <c r="C356" s="30">
        <f>Расчет!H294</f>
        <v/>
      </c>
      <c r="D356" s="31">
        <f>Расчет!I294</f>
        <v/>
      </c>
      <c r="E356" s="31">
        <f>Расчет!J294</f>
        <v/>
      </c>
      <c r="F356" s="30" t="n"/>
      <c r="G356" s="31">
        <f>Расчет!L294</f>
        <v/>
      </c>
      <c r="H356" s="30">
        <f>Расчет!M294</f>
        <v/>
      </c>
    </row>
    <row r="357">
      <c r="B357" s="32" t="inlineStr">
        <is>
          <t>Настил - зона удома и зона крыльца</t>
        </is>
      </c>
    </row>
    <row r="358">
      <c r="A358" s="28" t="n">
        <v>5</v>
      </c>
      <c r="B358" s="28">
        <f>Расчет!G296</f>
        <v/>
      </c>
      <c r="C358" s="28">
        <f>Расчет!H296</f>
        <v/>
      </c>
      <c r="D358" s="29">
        <f>Расчет!I296</f>
        <v/>
      </c>
      <c r="E358" s="29">
        <f>Расчет!J296</f>
        <v/>
      </c>
      <c r="F358" s="29">
        <f>Расчет!K296</f>
        <v/>
      </c>
      <c r="G358" s="28" t="n"/>
      <c r="H358" s="28">
        <f>Расчет!M296</f>
        <v/>
      </c>
    </row>
    <row r="359">
      <c r="A359" s="28" t="n">
        <v>6</v>
      </c>
      <c r="B359" s="28">
        <f>Расчет!G297</f>
        <v/>
      </c>
      <c r="C359" s="28">
        <f>Расчет!H297</f>
        <v/>
      </c>
      <c r="D359" s="29">
        <f>Расчет!I297</f>
        <v/>
      </c>
      <c r="E359" s="29">
        <f>Расчет!J297</f>
        <v/>
      </c>
      <c r="F359" s="29">
        <f>Расчет!K297</f>
        <v/>
      </c>
      <c r="G359" s="28" t="n"/>
      <c r="H359" s="28">
        <f>Расчет!M297</f>
        <v/>
      </c>
    </row>
    <row r="360">
      <c r="A360" s="30" t="n"/>
      <c r="B360" s="30">
        <f>Расчет!G298</f>
        <v/>
      </c>
      <c r="C360" s="30">
        <f>Расчет!H298</f>
        <v/>
      </c>
      <c r="D360" s="31">
        <f>Расчет!I298</f>
        <v/>
      </c>
      <c r="E360" s="31">
        <f>Расчет!J298</f>
        <v/>
      </c>
      <c r="F360" s="30" t="n"/>
      <c r="G360" s="31">
        <f>Расчет!L298</f>
        <v/>
      </c>
      <c r="H360" s="30">
        <f>Расчет!M298</f>
        <v/>
      </c>
    </row>
    <row r="361">
      <c r="A361" s="30" t="n"/>
      <c r="B361" s="30">
        <f>Расчет!G299</f>
        <v/>
      </c>
      <c r="C361" s="30">
        <f>Расчет!H299</f>
        <v/>
      </c>
      <c r="D361" s="31">
        <f>Расчет!I299</f>
        <v/>
      </c>
      <c r="E361" s="31">
        <f>Расчет!J299</f>
        <v/>
      </c>
      <c r="F361" s="30" t="n"/>
      <c r="G361" s="31">
        <f>Расчет!L299</f>
        <v/>
      </c>
      <c r="H361" s="30">
        <f>Расчет!M299</f>
        <v/>
      </c>
    </row>
    <row r="362">
      <c r="A362" s="30" t="n"/>
      <c r="B362" s="30">
        <f>Расчет!G300</f>
        <v/>
      </c>
      <c r="C362" s="30">
        <f>Расчет!H300</f>
        <v/>
      </c>
      <c r="D362" s="31">
        <f>Расчет!I300</f>
        <v/>
      </c>
      <c r="E362" s="31">
        <f>Расчет!J300</f>
        <v/>
      </c>
      <c r="F362" s="30" t="n"/>
      <c r="G362" s="31">
        <f>Расчет!L300</f>
        <v/>
      </c>
      <c r="H362" s="30">
        <f>Расчет!M300</f>
        <v/>
      </c>
    </row>
    <row r="363">
      <c r="B363" s="32" t="inlineStr">
        <is>
          <t>Настил - лаунж зона</t>
        </is>
      </c>
    </row>
    <row r="364">
      <c r="A364" s="28" t="n">
        <v>7</v>
      </c>
      <c r="B364" s="28">
        <f>Расчет!G302</f>
        <v/>
      </c>
      <c r="C364" s="28">
        <f>Расчет!H302</f>
        <v/>
      </c>
      <c r="D364" s="29">
        <f>Расчет!I302</f>
        <v/>
      </c>
      <c r="E364" s="29">
        <f>Расчет!J302</f>
        <v/>
      </c>
      <c r="F364" s="29">
        <f>Расчет!K302</f>
        <v/>
      </c>
      <c r="G364" s="28" t="n"/>
      <c r="H364" s="28">
        <f>Расчет!M302</f>
        <v/>
      </c>
    </row>
    <row r="365">
      <c r="A365" s="28" t="n">
        <v>8</v>
      </c>
      <c r="B365" s="28">
        <f>Расчет!G303</f>
        <v/>
      </c>
      <c r="C365" s="28">
        <f>Расчет!H303</f>
        <v/>
      </c>
      <c r="D365" s="29">
        <f>Расчет!I303</f>
        <v/>
      </c>
      <c r="E365" s="29">
        <f>Расчет!J303</f>
        <v/>
      </c>
      <c r="F365" s="29">
        <f>Расчет!K303</f>
        <v/>
      </c>
      <c r="G365" s="28" t="n"/>
      <c r="H365" s="28">
        <f>Расчет!M303</f>
        <v/>
      </c>
    </row>
    <row r="366">
      <c r="A366" s="28" t="n">
        <v>9</v>
      </c>
      <c r="B366" s="28">
        <f>Расчет!G304</f>
        <v/>
      </c>
      <c r="C366" s="28">
        <f>Расчет!H304</f>
        <v/>
      </c>
      <c r="D366" s="29">
        <f>Расчет!I304</f>
        <v/>
      </c>
      <c r="E366" s="29">
        <f>Расчет!J304</f>
        <v/>
      </c>
      <c r="F366" s="29">
        <f>Расчет!K304</f>
        <v/>
      </c>
      <c r="G366" s="28" t="n"/>
      <c r="H366" s="28">
        <f>Расчет!M304</f>
        <v/>
      </c>
    </row>
    <row r="367">
      <c r="A367" s="28" t="n">
        <v>10</v>
      </c>
      <c r="B367" s="28">
        <f>Расчет!G305</f>
        <v/>
      </c>
      <c r="C367" s="28">
        <f>Расчет!H305</f>
        <v/>
      </c>
      <c r="D367" s="29">
        <f>Расчет!I305</f>
        <v/>
      </c>
      <c r="E367" s="29">
        <f>Расчет!J305</f>
        <v/>
      </c>
      <c r="F367" s="29">
        <f>Расчет!K305</f>
        <v/>
      </c>
      <c r="G367" s="28" t="n"/>
      <c r="H367" s="28">
        <f>Расчет!M305</f>
        <v/>
      </c>
    </row>
    <row r="368">
      <c r="A368" s="30" t="n"/>
      <c r="B368" s="30">
        <f>Расчет!G306</f>
        <v/>
      </c>
      <c r="C368" s="30">
        <f>Расчет!H306</f>
        <v/>
      </c>
      <c r="D368" s="31">
        <f>Расчет!I306</f>
        <v/>
      </c>
      <c r="E368" s="31">
        <f>Расчет!J306</f>
        <v/>
      </c>
      <c r="F368" s="30" t="n"/>
      <c r="G368" s="31">
        <f>Расчет!L306</f>
        <v/>
      </c>
      <c r="H368" s="30">
        <f>Расчет!M306</f>
        <v/>
      </c>
    </row>
    <row r="369">
      <c r="A369" s="30" t="n"/>
      <c r="B369" s="30">
        <f>Расчет!G307</f>
        <v/>
      </c>
      <c r="C369" s="30">
        <f>Расчет!H307</f>
        <v/>
      </c>
      <c r="D369" s="31">
        <f>Расчет!I307</f>
        <v/>
      </c>
      <c r="E369" s="31">
        <f>Расчет!J307</f>
        <v/>
      </c>
      <c r="F369" s="30" t="n"/>
      <c r="G369" s="31">
        <f>Расчет!L307</f>
        <v/>
      </c>
      <c r="H369" s="30">
        <f>Расчет!M307</f>
        <v/>
      </c>
    </row>
    <row r="370">
      <c r="A370" s="30" t="n"/>
      <c r="B370" s="30">
        <f>Расчет!G308</f>
        <v/>
      </c>
      <c r="C370" s="30">
        <f>Расчет!H308</f>
        <v/>
      </c>
      <c r="D370" s="31">
        <f>Расчет!I308</f>
        <v/>
      </c>
      <c r="E370" s="31">
        <f>Расчет!J308</f>
        <v/>
      </c>
      <c r="F370" s="30" t="n"/>
      <c r="G370" s="31">
        <f>Расчет!L308</f>
        <v/>
      </c>
      <c r="H370" s="30">
        <f>Расчет!M308</f>
        <v/>
      </c>
    </row>
    <row r="371">
      <c r="B371" s="32" t="inlineStr">
        <is>
          <t>Кашпо у лаунж зоны</t>
        </is>
      </c>
    </row>
    <row r="372">
      <c r="A372" s="28" t="n">
        <v>11</v>
      </c>
      <c r="B372" s="28">
        <f>Расчет!G310</f>
        <v/>
      </c>
      <c r="C372" s="28">
        <f>Расчет!H310</f>
        <v/>
      </c>
      <c r="D372" s="29">
        <f>Расчет!I310</f>
        <v/>
      </c>
      <c r="E372" s="29">
        <f>Расчет!J310</f>
        <v/>
      </c>
      <c r="F372" s="29">
        <f>Расчет!K310</f>
        <v/>
      </c>
      <c r="G372" s="28" t="n"/>
      <c r="H372" s="28">
        <f>Расчет!M310</f>
        <v/>
      </c>
    </row>
    <row r="373">
      <c r="A373" s="30" t="n"/>
      <c r="B373" s="30">
        <f>Расчет!G311</f>
        <v/>
      </c>
      <c r="C373" s="30">
        <f>Расчет!H311</f>
        <v/>
      </c>
      <c r="D373" s="31">
        <f>Расчет!I311</f>
        <v/>
      </c>
      <c r="E373" s="31">
        <f>Расчет!J311</f>
        <v/>
      </c>
      <c r="F373" s="30" t="n"/>
      <c r="G373" s="31">
        <f>Расчет!L311</f>
        <v/>
      </c>
      <c r="H373" s="30">
        <f>Расчет!M311</f>
        <v/>
      </c>
    </row>
    <row r="374">
      <c r="A374" s="30" t="n"/>
      <c r="B374" s="30">
        <f>Расчет!G312</f>
        <v/>
      </c>
      <c r="C374" s="30">
        <f>Расчет!H312</f>
        <v/>
      </c>
      <c r="D374" s="31">
        <f>Расчет!I312</f>
        <v/>
      </c>
      <c r="E374" s="31">
        <f>Расчет!J312</f>
        <v/>
      </c>
      <c r="F374" s="30" t="n"/>
      <c r="G374" s="31">
        <f>Расчет!L312</f>
        <v/>
      </c>
      <c r="H374" s="30">
        <f>Расчет!M312</f>
        <v/>
      </c>
    </row>
    <row r="375">
      <c r="A375" s="30" t="n"/>
      <c r="B375" s="30">
        <f>Расчет!G313</f>
        <v/>
      </c>
      <c r="C375" s="30">
        <f>Расчет!H313</f>
        <v/>
      </c>
      <c r="D375" s="31">
        <f>Расчет!I313</f>
        <v/>
      </c>
      <c r="E375" s="31">
        <f>Расчет!J313</f>
        <v/>
      </c>
      <c r="F375" s="30" t="n"/>
      <c r="G375" s="31">
        <f>Расчет!L313</f>
        <v/>
      </c>
      <c r="H375" s="30">
        <f>Расчет!M313</f>
        <v/>
      </c>
    </row>
    <row r="376">
      <c r="A376" s="28" t="n">
        <v>12</v>
      </c>
      <c r="B376" s="28">
        <f>Расчет!G314</f>
        <v/>
      </c>
      <c r="C376" s="28">
        <f>Расчет!H314</f>
        <v/>
      </c>
      <c r="D376" s="29">
        <f>Расчет!I314</f>
        <v/>
      </c>
      <c r="E376" s="29">
        <f>Расчет!J314</f>
        <v/>
      </c>
      <c r="F376" s="29">
        <f>Расчет!K314</f>
        <v/>
      </c>
      <c r="G376" s="28" t="n"/>
      <c r="H376" s="28">
        <f>Расчет!M314</f>
        <v/>
      </c>
    </row>
    <row r="377">
      <c r="A377" s="30" t="n"/>
      <c r="B377" s="30">
        <f>Расчет!G315</f>
        <v/>
      </c>
      <c r="C377" s="30">
        <f>Расчет!H315</f>
        <v/>
      </c>
      <c r="D377" s="31">
        <f>Расчет!I315</f>
        <v/>
      </c>
      <c r="E377" s="31">
        <f>Расчет!J315</f>
        <v/>
      </c>
      <c r="F377" s="30" t="n"/>
      <c r="G377" s="31">
        <f>Расчет!L315</f>
        <v/>
      </c>
      <c r="H377" s="30">
        <f>Расчет!M315</f>
        <v/>
      </c>
    </row>
    <row r="378">
      <c r="A378" s="30" t="n"/>
      <c r="B378" s="30">
        <f>Расчет!G316</f>
        <v/>
      </c>
      <c r="C378" s="30">
        <f>Расчет!H316</f>
        <v/>
      </c>
      <c r="D378" s="31">
        <f>Расчет!I316</f>
        <v/>
      </c>
      <c r="E378" s="31">
        <f>Расчет!J316</f>
        <v/>
      </c>
      <c r="F378" s="30" t="n"/>
      <c r="G378" s="31">
        <f>Расчет!L316</f>
        <v/>
      </c>
      <c r="H378" s="30">
        <f>Расчет!M316</f>
        <v/>
      </c>
    </row>
    <row r="379">
      <c r="A379" s="30" t="n"/>
      <c r="B379" s="30">
        <f>Расчет!G317</f>
        <v/>
      </c>
      <c r="C379" s="30">
        <f>Расчет!H317</f>
        <v/>
      </c>
      <c r="D379" s="31">
        <f>Расчет!I317</f>
        <v/>
      </c>
      <c r="E379" s="31">
        <f>Расчет!J317</f>
        <v/>
      </c>
      <c r="F379" s="30" t="n"/>
      <c r="G379" s="31">
        <f>Расчет!L317</f>
        <v/>
      </c>
      <c r="H379" s="30">
        <f>Расчет!M317</f>
        <v/>
      </c>
    </row>
    <row r="380">
      <c r="A380" s="28" t="n">
        <v>13</v>
      </c>
      <c r="B380" s="28">
        <f>Расчет!G318</f>
        <v/>
      </c>
      <c r="C380" s="28">
        <f>Расчет!H318</f>
        <v/>
      </c>
      <c r="D380" s="29">
        <f>Расчет!I318</f>
        <v/>
      </c>
      <c r="E380" s="29">
        <f>Расчет!J318</f>
        <v/>
      </c>
      <c r="F380" s="29">
        <f>Расчет!K318</f>
        <v/>
      </c>
      <c r="G380" s="28" t="n"/>
      <c r="H380" s="28">
        <f>Расчет!M318</f>
        <v/>
      </c>
    </row>
    <row r="381">
      <c r="A381" s="30" t="n"/>
      <c r="B381" s="30">
        <f>Расчет!G319</f>
        <v/>
      </c>
      <c r="C381" s="30">
        <f>Расчет!H319</f>
        <v/>
      </c>
      <c r="D381" s="31">
        <f>Расчет!I319</f>
        <v/>
      </c>
      <c r="E381" s="31">
        <f>Расчет!J319</f>
        <v/>
      </c>
      <c r="F381" s="30" t="n"/>
      <c r="G381" s="31">
        <f>Расчет!L319</f>
        <v/>
      </c>
      <c r="H381" s="30">
        <f>Расчет!M319</f>
        <v/>
      </c>
    </row>
    <row r="382">
      <c r="A382" s="28" t="n">
        <v>14</v>
      </c>
      <c r="B382" s="28">
        <f>Расчет!G320</f>
        <v/>
      </c>
      <c r="C382" s="28">
        <f>Расчет!H320</f>
        <v/>
      </c>
      <c r="D382" s="29">
        <f>Расчет!I320</f>
        <v/>
      </c>
      <c r="E382" s="29">
        <f>Расчет!J320</f>
        <v/>
      </c>
      <c r="F382" s="29">
        <f>Расчет!K320</f>
        <v/>
      </c>
      <c r="G382" s="28" t="n"/>
      <c r="H382" s="28">
        <f>Расчет!M320</f>
        <v/>
      </c>
    </row>
    <row r="383">
      <c r="A383" s="30" t="n"/>
      <c r="B383" s="30">
        <f>Расчет!G321</f>
        <v/>
      </c>
      <c r="C383" s="30">
        <f>Расчет!H321</f>
        <v/>
      </c>
      <c r="D383" s="31">
        <f>Расчет!I321</f>
        <v/>
      </c>
      <c r="E383" s="31">
        <f>Расчет!J321</f>
        <v/>
      </c>
      <c r="F383" s="30" t="n"/>
      <c r="G383" s="31">
        <f>Расчет!L321</f>
        <v/>
      </c>
      <c r="H383" s="30">
        <f>Расчет!M321</f>
        <v/>
      </c>
    </row>
    <row r="384">
      <c r="A384" s="30" t="n"/>
      <c r="B384" s="30">
        <f>Расчет!G322</f>
        <v/>
      </c>
      <c r="C384" s="30">
        <f>Расчет!H322</f>
        <v/>
      </c>
      <c r="D384" s="31">
        <f>Расчет!I322</f>
        <v/>
      </c>
      <c r="E384" s="31">
        <f>Расчет!J322</f>
        <v/>
      </c>
      <c r="F384" s="30" t="n"/>
      <c r="G384" s="31">
        <f>Расчет!L322</f>
        <v/>
      </c>
      <c r="H384" s="30">
        <f>Расчет!M322</f>
        <v/>
      </c>
    </row>
    <row r="385">
      <c r="B385" s="33" t="inlineStr">
        <is>
          <t>ВСЕГО ПО РАЗДЕЛУ:</t>
        </is>
      </c>
      <c r="F385" s="34">
        <f>SUMIFS(Расчет!K:K,Расчет!B:B,"7",Расчет!E:E,"work")+SUMIFS(Расчет!K:K,Расчет!B:B,"7",Расчет!E:E,"section14_item")</f>
        <v/>
      </c>
      <c r="G385" s="34">
        <f>SUMIFS(Расчет!L:L,Расчет!B:B,"7",Расчет!E:E,"material")</f>
        <v/>
      </c>
    </row>
    <row r="386">
      <c r="B386" s="35" t="inlineStr">
        <is>
          <t>ИТОГО:</t>
        </is>
      </c>
      <c r="G386" s="26">
        <f>SUMIFS(Расчет!K:K,Расчет!B:B,"7",Расчет!E:E,"work")+SUMIFS(Расчет!K:K,Расчет!B:B,"7",Расчет!E:E,"section14_item")+SUMIFS(Расчет!L:L,Расчет!B:B,"7")</f>
        <v/>
      </c>
    </row>
    <row r="388">
      <c r="A388" s="25" t="inlineStr">
        <is>
          <t>8.</t>
        </is>
      </c>
      <c r="B388" s="27" t="inlineStr">
        <is>
          <t>Освещение.</t>
        </is>
      </c>
      <c r="C388" s="27" t="inlineStr">
        <is>
          <t>Ед. изм.</t>
        </is>
      </c>
      <c r="D388" s="27" t="inlineStr">
        <is>
          <t>Кол-во</t>
        </is>
      </c>
      <c r="E388" s="27" t="inlineStr">
        <is>
          <t>Цена</t>
        </is>
      </c>
      <c r="F388" s="27" t="inlineStr">
        <is>
          <t>Работы</t>
        </is>
      </c>
      <c r="G388" s="27" t="inlineStr">
        <is>
          <t>Материалы</t>
        </is>
      </c>
      <c r="H388" s="27" t="inlineStr">
        <is>
          <t>Примечание</t>
        </is>
      </c>
    </row>
    <row r="389">
      <c r="A389" s="28" t="n">
        <v>1</v>
      </c>
      <c r="B389" s="28">
        <f>Расчет!G323</f>
        <v/>
      </c>
      <c r="C389" s="28">
        <f>Расчет!H323</f>
        <v/>
      </c>
      <c r="D389" s="29">
        <f>Расчет!I323</f>
        <v/>
      </c>
      <c r="E389" s="29">
        <f>Расчет!J323</f>
        <v/>
      </c>
      <c r="F389" s="29">
        <f>Расчет!K323</f>
        <v/>
      </c>
      <c r="G389" s="28" t="n"/>
      <c r="H389" s="28">
        <f>Расчет!M323</f>
        <v/>
      </c>
    </row>
    <row r="390">
      <c r="A390" s="28" t="n">
        <v>2</v>
      </c>
      <c r="B390" s="28">
        <f>Расчет!G324</f>
        <v/>
      </c>
      <c r="C390" s="28">
        <f>Расчет!H324</f>
        <v/>
      </c>
      <c r="D390" s="29">
        <f>Расчет!I324</f>
        <v/>
      </c>
      <c r="E390" s="29">
        <f>Расчет!J324</f>
        <v/>
      </c>
      <c r="F390" s="29">
        <f>Расчет!K324</f>
        <v/>
      </c>
      <c r="G390" s="28" t="n"/>
      <c r="H390" s="28">
        <f>Расчет!M324</f>
        <v/>
      </c>
    </row>
    <row r="391">
      <c r="A391" s="30" t="n"/>
      <c r="B391" s="30">
        <f>Расчет!G325</f>
        <v/>
      </c>
      <c r="C391" s="30">
        <f>Расчет!H325</f>
        <v/>
      </c>
      <c r="D391" s="31">
        <f>Расчет!I325</f>
        <v/>
      </c>
      <c r="E391" s="31">
        <f>Расчет!J325</f>
        <v/>
      </c>
      <c r="F391" s="30" t="n"/>
      <c r="G391" s="31">
        <f>Расчет!L325</f>
        <v/>
      </c>
      <c r="H391" s="30">
        <f>Расчет!M325</f>
        <v/>
      </c>
    </row>
    <row r="392">
      <c r="A392" s="28" t="n">
        <v>3</v>
      </c>
      <c r="B392" s="28">
        <f>Расчет!G326</f>
        <v/>
      </c>
      <c r="C392" s="28">
        <f>Расчет!H326</f>
        <v/>
      </c>
      <c r="D392" s="29">
        <f>Расчет!I326</f>
        <v/>
      </c>
      <c r="E392" s="29">
        <f>Расчет!J326</f>
        <v/>
      </c>
      <c r="F392" s="29">
        <f>Расчет!K326</f>
        <v/>
      </c>
      <c r="G392" s="28" t="n"/>
      <c r="H392" s="28">
        <f>Расчет!M326</f>
        <v/>
      </c>
    </row>
    <row r="393">
      <c r="A393" s="28" t="n">
        <v>4</v>
      </c>
      <c r="B393" s="28">
        <f>Расчет!G327</f>
        <v/>
      </c>
      <c r="C393" s="28">
        <f>Расчет!H327</f>
        <v/>
      </c>
      <c r="D393" s="29">
        <f>Расчет!I327</f>
        <v/>
      </c>
      <c r="E393" s="29">
        <f>Расчет!J327</f>
        <v/>
      </c>
      <c r="F393" s="29">
        <f>Расчет!K327</f>
        <v/>
      </c>
      <c r="G393" s="28" t="n"/>
      <c r="H393" s="28">
        <f>Расчет!M327</f>
        <v/>
      </c>
    </row>
    <row r="394">
      <c r="A394" s="28" t="n">
        <v>5</v>
      </c>
      <c r="B394" s="28">
        <f>Расчет!G328</f>
        <v/>
      </c>
      <c r="C394" s="28">
        <f>Расчет!H328</f>
        <v/>
      </c>
      <c r="D394" s="29">
        <f>Расчет!I328</f>
        <v/>
      </c>
      <c r="E394" s="29">
        <f>Расчет!J328</f>
        <v/>
      </c>
      <c r="F394" s="29">
        <f>Расчет!K328</f>
        <v/>
      </c>
      <c r="G394" s="28" t="n"/>
      <c r="H394" s="28">
        <f>Расчет!M328</f>
        <v/>
      </c>
    </row>
    <row r="395">
      <c r="A395" s="28" t="n">
        <v>6</v>
      </c>
      <c r="B395" s="28">
        <f>Расчет!G329</f>
        <v/>
      </c>
      <c r="C395" s="28">
        <f>Расчет!H329</f>
        <v/>
      </c>
      <c r="D395" s="29">
        <f>Расчет!I329</f>
        <v/>
      </c>
      <c r="E395" s="29">
        <f>Расчет!J329</f>
        <v/>
      </c>
      <c r="F395" s="29">
        <f>Расчет!K329</f>
        <v/>
      </c>
      <c r="G395" s="28" t="n"/>
      <c r="H395" s="28">
        <f>Расчет!M329</f>
        <v/>
      </c>
    </row>
    <row r="396">
      <c r="A396" s="30" t="n"/>
      <c r="B396" s="30">
        <f>Расчет!G330</f>
        <v/>
      </c>
      <c r="C396" s="30">
        <f>Расчет!H330</f>
        <v/>
      </c>
      <c r="D396" s="31">
        <f>Расчет!I330</f>
        <v/>
      </c>
      <c r="E396" s="31">
        <f>Расчет!J330</f>
        <v/>
      </c>
      <c r="F396" s="30" t="n"/>
      <c r="G396" s="31">
        <f>Расчет!L330</f>
        <v/>
      </c>
      <c r="H396" s="30">
        <f>Расчет!M330</f>
        <v/>
      </c>
    </row>
    <row r="397">
      <c r="A397" s="30" t="n"/>
      <c r="B397" s="30">
        <f>Расчет!G331</f>
        <v/>
      </c>
      <c r="C397" s="30">
        <f>Расчет!H331</f>
        <v/>
      </c>
      <c r="D397" s="31">
        <f>Расчет!I331</f>
        <v/>
      </c>
      <c r="E397" s="31">
        <f>Расчет!J331</f>
        <v/>
      </c>
      <c r="F397" s="30" t="n"/>
      <c r="G397" s="31">
        <f>Расчет!L331</f>
        <v/>
      </c>
      <c r="H397" s="30">
        <f>Расчет!M331</f>
        <v/>
      </c>
    </row>
    <row r="398">
      <c r="A398" s="30" t="n"/>
      <c r="B398" s="30">
        <f>Расчет!G332</f>
        <v/>
      </c>
      <c r="C398" s="30">
        <f>Расчет!H332</f>
        <v/>
      </c>
      <c r="D398" s="31">
        <f>Расчет!I332</f>
        <v/>
      </c>
      <c r="E398" s="31">
        <f>Расчет!J332</f>
        <v/>
      </c>
      <c r="F398" s="30" t="n"/>
      <c r="G398" s="31">
        <f>Расчет!L332</f>
        <v/>
      </c>
      <c r="H398" s="30">
        <f>Расчет!M332</f>
        <v/>
      </c>
    </row>
    <row r="399">
      <c r="A399" s="30" t="n"/>
      <c r="B399" s="30">
        <f>Расчет!G333</f>
        <v/>
      </c>
      <c r="C399" s="30">
        <f>Расчет!H333</f>
        <v/>
      </c>
      <c r="D399" s="31">
        <f>Расчет!I333</f>
        <v/>
      </c>
      <c r="E399" s="31">
        <f>Расчет!J333</f>
        <v/>
      </c>
      <c r="F399" s="30" t="n"/>
      <c r="G399" s="31">
        <f>Расчет!L333</f>
        <v/>
      </c>
      <c r="H399" s="30">
        <f>Расчет!M333</f>
        <v/>
      </c>
    </row>
    <row r="400">
      <c r="A400" s="30" t="n"/>
      <c r="B400" s="30">
        <f>Расчет!G334</f>
        <v/>
      </c>
      <c r="C400" s="30">
        <f>Расчет!H334</f>
        <v/>
      </c>
      <c r="D400" s="31">
        <f>Расчет!I334</f>
        <v/>
      </c>
      <c r="E400" s="31">
        <f>Расчет!J334</f>
        <v/>
      </c>
      <c r="F400" s="30" t="n"/>
      <c r="G400" s="31">
        <f>Расчет!L334</f>
        <v/>
      </c>
      <c r="H400" s="30">
        <f>Расчет!M334</f>
        <v/>
      </c>
    </row>
    <row r="401">
      <c r="A401" s="30" t="n"/>
      <c r="B401" s="30">
        <f>Расчет!G335</f>
        <v/>
      </c>
      <c r="C401" s="30">
        <f>Расчет!H335</f>
        <v/>
      </c>
      <c r="D401" s="31">
        <f>Расчет!I335</f>
        <v/>
      </c>
      <c r="E401" s="31">
        <f>Расчет!J335</f>
        <v/>
      </c>
      <c r="F401" s="30" t="n"/>
      <c r="G401" s="31">
        <f>Расчет!L335</f>
        <v/>
      </c>
      <c r="H401" s="30">
        <f>Расчет!M335</f>
        <v/>
      </c>
    </row>
    <row r="402">
      <c r="A402" s="30" t="n"/>
      <c r="B402" s="30">
        <f>Расчет!G336</f>
        <v/>
      </c>
      <c r="C402" s="30">
        <f>Расчет!H336</f>
        <v/>
      </c>
      <c r="D402" s="31">
        <f>Расчет!I336</f>
        <v/>
      </c>
      <c r="E402" s="31">
        <f>Расчет!J336</f>
        <v/>
      </c>
      <c r="F402" s="30" t="n"/>
      <c r="G402" s="31">
        <f>Расчет!L336</f>
        <v/>
      </c>
      <c r="H402" s="30">
        <f>Расчет!M336</f>
        <v/>
      </c>
    </row>
    <row r="403">
      <c r="A403" s="30" t="n"/>
      <c r="B403" s="30">
        <f>Расчет!G337</f>
        <v/>
      </c>
      <c r="C403" s="30">
        <f>Расчет!H337</f>
        <v/>
      </c>
      <c r="D403" s="31">
        <f>Расчет!I337</f>
        <v/>
      </c>
      <c r="E403" s="31">
        <f>Расчет!J337</f>
        <v/>
      </c>
      <c r="F403" s="30" t="n"/>
      <c r="G403" s="31">
        <f>Расчет!L337</f>
        <v/>
      </c>
      <c r="H403" s="30">
        <f>Расчет!M337</f>
        <v/>
      </c>
    </row>
    <row r="404">
      <c r="A404" s="28" t="n">
        <v>7</v>
      </c>
      <c r="B404" s="28">
        <f>Расчет!G338</f>
        <v/>
      </c>
      <c r="C404" s="28">
        <f>Расчет!H338</f>
        <v/>
      </c>
      <c r="D404" s="29">
        <f>Расчет!I338</f>
        <v/>
      </c>
      <c r="E404" s="29">
        <f>Расчет!J338</f>
        <v/>
      </c>
      <c r="F404" s="29">
        <f>Расчет!K338</f>
        <v/>
      </c>
      <c r="G404" s="28" t="n"/>
      <c r="H404" s="28">
        <f>Расчет!M338</f>
        <v/>
      </c>
    </row>
    <row r="405">
      <c r="A405" s="28" t="n">
        <v>8</v>
      </c>
      <c r="B405" s="28">
        <f>Расчет!G339</f>
        <v/>
      </c>
      <c r="C405" s="28">
        <f>Расчет!H339</f>
        <v/>
      </c>
      <c r="D405" s="29">
        <f>Расчет!I339</f>
        <v/>
      </c>
      <c r="E405" s="29">
        <f>Расчет!J339</f>
        <v/>
      </c>
      <c r="F405" s="29">
        <f>Расчет!K339</f>
        <v/>
      </c>
      <c r="G405" s="28" t="n"/>
      <c r="H405" s="28">
        <f>Расчет!M339</f>
        <v/>
      </c>
    </row>
    <row r="406">
      <c r="A406" s="30" t="n"/>
      <c r="B406" s="30">
        <f>Расчет!G340</f>
        <v/>
      </c>
      <c r="C406" s="30">
        <f>Расчет!H340</f>
        <v/>
      </c>
      <c r="D406" s="31">
        <f>Расчет!I340</f>
        <v/>
      </c>
      <c r="E406" s="31">
        <f>Расчет!J340</f>
        <v/>
      </c>
      <c r="F406" s="30" t="n"/>
      <c r="G406" s="31">
        <f>Расчет!L340</f>
        <v/>
      </c>
      <c r="H406" s="30">
        <f>Расчет!M340</f>
        <v/>
      </c>
    </row>
    <row r="407">
      <c r="A407" s="30" t="n"/>
      <c r="B407" s="30">
        <f>Расчет!G341</f>
        <v/>
      </c>
      <c r="C407" s="30">
        <f>Расчет!H341</f>
        <v/>
      </c>
      <c r="D407" s="31">
        <f>Расчет!I341</f>
        <v/>
      </c>
      <c r="E407" s="31">
        <f>Расчет!J341</f>
        <v/>
      </c>
      <c r="F407" s="30" t="n"/>
      <c r="G407" s="31">
        <f>Расчет!L341</f>
        <v/>
      </c>
      <c r="H407" s="30">
        <f>Расчет!M341</f>
        <v/>
      </c>
    </row>
    <row r="408">
      <c r="A408" s="30" t="n"/>
      <c r="B408" s="30">
        <f>Расчет!G342</f>
        <v/>
      </c>
      <c r="C408" s="30">
        <f>Расчет!H342</f>
        <v/>
      </c>
      <c r="D408" s="31">
        <f>Расчет!I342</f>
        <v/>
      </c>
      <c r="E408" s="31">
        <f>Расчет!J342</f>
        <v/>
      </c>
      <c r="F408" s="30" t="n"/>
      <c r="G408" s="31">
        <f>Расчет!L342</f>
        <v/>
      </c>
      <c r="H408" s="30">
        <f>Расчет!M342</f>
        <v/>
      </c>
    </row>
    <row r="409">
      <c r="A409" s="28" t="n">
        <v>9</v>
      </c>
      <c r="B409" s="28">
        <f>Расчет!G343</f>
        <v/>
      </c>
      <c r="C409" s="28">
        <f>Расчет!H343</f>
        <v/>
      </c>
      <c r="D409" s="29">
        <f>Расчет!I343</f>
        <v/>
      </c>
      <c r="E409" s="29">
        <f>Расчет!J343</f>
        <v/>
      </c>
      <c r="F409" s="29">
        <f>Расчет!K343</f>
        <v/>
      </c>
      <c r="G409" s="28" t="n"/>
      <c r="H409" s="28">
        <f>Расчет!M343</f>
        <v/>
      </c>
    </row>
    <row r="410">
      <c r="A410" s="30" t="n"/>
      <c r="B410" s="30">
        <f>Расчет!G344</f>
        <v/>
      </c>
      <c r="C410" s="30">
        <f>Расчет!H344</f>
        <v/>
      </c>
      <c r="D410" s="31">
        <f>Расчет!I344</f>
        <v/>
      </c>
      <c r="E410" s="31">
        <f>Расчет!J344</f>
        <v/>
      </c>
      <c r="F410" s="30" t="n"/>
      <c r="G410" s="31">
        <f>Расчет!L344</f>
        <v/>
      </c>
      <c r="H410" s="30">
        <f>Расчет!M344</f>
        <v/>
      </c>
    </row>
    <row r="411">
      <c r="A411" s="28" t="n">
        <v>10</v>
      </c>
      <c r="B411" s="28">
        <f>Расчет!G345</f>
        <v/>
      </c>
      <c r="C411" s="28">
        <f>Расчет!H345</f>
        <v/>
      </c>
      <c r="D411" s="29">
        <f>Расчет!I345</f>
        <v/>
      </c>
      <c r="E411" s="29">
        <f>Расчет!J345</f>
        <v/>
      </c>
      <c r="F411" s="29">
        <f>Расчет!K345</f>
        <v/>
      </c>
      <c r="G411" s="28" t="n"/>
      <c r="H411" s="28">
        <f>Расчет!M345</f>
        <v/>
      </c>
    </row>
    <row r="412">
      <c r="A412" s="30" t="n"/>
      <c r="B412" s="30">
        <f>Расчет!G346</f>
        <v/>
      </c>
      <c r="C412" s="30">
        <f>Расчет!H346</f>
        <v/>
      </c>
      <c r="D412" s="31">
        <f>Расчет!I346</f>
        <v/>
      </c>
      <c r="E412" s="31">
        <f>Расчет!J346</f>
        <v/>
      </c>
      <c r="F412" s="30" t="n"/>
      <c r="G412" s="31">
        <f>Расчет!L346</f>
        <v/>
      </c>
      <c r="H412" s="30">
        <f>Расчет!M346</f>
        <v/>
      </c>
    </row>
    <row r="413">
      <c r="A413" s="28" t="n">
        <v>11</v>
      </c>
      <c r="B413" s="28">
        <f>Расчет!G347</f>
        <v/>
      </c>
      <c r="C413" s="28">
        <f>Расчет!H347</f>
        <v/>
      </c>
      <c r="D413" s="29">
        <f>Расчет!I347</f>
        <v/>
      </c>
      <c r="E413" s="29">
        <f>Расчет!J347</f>
        <v/>
      </c>
      <c r="F413" s="29">
        <f>Расчет!K347</f>
        <v/>
      </c>
      <c r="G413" s="28" t="n"/>
      <c r="H413" s="28">
        <f>Расчет!M347</f>
        <v/>
      </c>
    </row>
    <row r="414">
      <c r="A414" s="30" t="n"/>
      <c r="B414" s="30">
        <f>Расчет!G348</f>
        <v/>
      </c>
      <c r="C414" s="30">
        <f>Расчет!H348</f>
        <v/>
      </c>
      <c r="D414" s="31">
        <f>Расчет!I348</f>
        <v/>
      </c>
      <c r="E414" s="31">
        <f>Расчет!J348</f>
        <v/>
      </c>
      <c r="F414" s="30" t="n"/>
      <c r="G414" s="31">
        <f>Расчет!L348</f>
        <v/>
      </c>
      <c r="H414" s="30">
        <f>Расчет!M348</f>
        <v/>
      </c>
    </row>
    <row r="415">
      <c r="A415" s="30" t="n"/>
      <c r="B415" s="30">
        <f>Расчет!G349</f>
        <v/>
      </c>
      <c r="C415" s="30">
        <f>Расчет!H349</f>
        <v/>
      </c>
      <c r="D415" s="31">
        <f>Расчет!I349</f>
        <v/>
      </c>
      <c r="E415" s="31">
        <f>Расчет!J349</f>
        <v/>
      </c>
      <c r="F415" s="30" t="n"/>
      <c r="G415" s="31">
        <f>Расчет!L349</f>
        <v/>
      </c>
      <c r="H415" s="30">
        <f>Расчет!M349</f>
        <v/>
      </c>
    </row>
    <row r="416">
      <c r="A416" s="28" t="n">
        <v>12</v>
      </c>
      <c r="B416" s="28">
        <f>Расчет!G350</f>
        <v/>
      </c>
      <c r="C416" s="28">
        <f>Расчет!H350</f>
        <v/>
      </c>
      <c r="D416" s="29">
        <f>Расчет!I350</f>
        <v/>
      </c>
      <c r="E416" s="29">
        <f>Расчет!J350</f>
        <v/>
      </c>
      <c r="F416" s="29">
        <f>Расчет!K350</f>
        <v/>
      </c>
      <c r="G416" s="28" t="n"/>
      <c r="H416" s="28">
        <f>Расчет!M350</f>
        <v/>
      </c>
    </row>
    <row r="417">
      <c r="A417" s="30" t="n"/>
      <c r="B417" s="30">
        <f>Расчет!G351</f>
        <v/>
      </c>
      <c r="C417" s="30">
        <f>Расчет!H351</f>
        <v/>
      </c>
      <c r="D417" s="31">
        <f>Расчет!I351</f>
        <v/>
      </c>
      <c r="E417" s="31">
        <f>Расчет!J351</f>
        <v/>
      </c>
      <c r="F417" s="30" t="n"/>
      <c r="G417" s="31">
        <f>Расчет!L351</f>
        <v/>
      </c>
      <c r="H417" s="30">
        <f>Расчет!M351</f>
        <v/>
      </c>
    </row>
    <row r="418">
      <c r="A418" s="28" t="n">
        <v>13</v>
      </c>
      <c r="B418" s="28">
        <f>Расчет!G352</f>
        <v/>
      </c>
      <c r="C418" s="28">
        <f>Расчет!H352</f>
        <v/>
      </c>
      <c r="D418" s="29">
        <f>Расчет!I352</f>
        <v/>
      </c>
      <c r="E418" s="29">
        <f>Расчет!J352</f>
        <v/>
      </c>
      <c r="F418" s="29">
        <f>Расчет!K352</f>
        <v/>
      </c>
      <c r="G418" s="28" t="n"/>
      <c r="H418" s="28">
        <f>Расчет!M352</f>
        <v/>
      </c>
    </row>
    <row r="419">
      <c r="A419" s="30" t="n"/>
      <c r="B419" s="30">
        <f>Расчет!G353</f>
        <v/>
      </c>
      <c r="C419" s="30">
        <f>Расчет!H353</f>
        <v/>
      </c>
      <c r="D419" s="31">
        <f>Расчет!I353</f>
        <v/>
      </c>
      <c r="E419" s="31">
        <f>Расчет!J353</f>
        <v/>
      </c>
      <c r="F419" s="30" t="n"/>
      <c r="G419" s="31">
        <f>Расчет!L353</f>
        <v/>
      </c>
      <c r="H419" s="30">
        <f>Расчет!M353</f>
        <v/>
      </c>
    </row>
    <row r="420">
      <c r="A420" s="30" t="n"/>
      <c r="B420" s="30">
        <f>Расчет!G354</f>
        <v/>
      </c>
      <c r="C420" s="30">
        <f>Расчет!H354</f>
        <v/>
      </c>
      <c r="D420" s="31">
        <f>Расчет!I354</f>
        <v/>
      </c>
      <c r="E420" s="31">
        <f>Расчет!J354</f>
        <v/>
      </c>
      <c r="F420" s="30" t="n"/>
      <c r="G420" s="31">
        <f>Расчет!L354</f>
        <v/>
      </c>
      <c r="H420" s="30">
        <f>Расчет!M354</f>
        <v/>
      </c>
    </row>
    <row r="421">
      <c r="A421" s="28" t="n">
        <v>14</v>
      </c>
      <c r="B421" s="28">
        <f>Расчет!G355</f>
        <v/>
      </c>
      <c r="C421" s="28">
        <f>Расчет!H355</f>
        <v/>
      </c>
      <c r="D421" s="29">
        <f>Расчет!I355</f>
        <v/>
      </c>
      <c r="E421" s="29">
        <f>Расчет!J355</f>
        <v/>
      </c>
      <c r="F421" s="29">
        <f>Расчет!K355</f>
        <v/>
      </c>
      <c r="G421" s="28" t="n"/>
      <c r="H421" s="28">
        <f>Расчет!M355</f>
        <v/>
      </c>
    </row>
    <row r="422">
      <c r="A422" s="30" t="n"/>
      <c r="B422" s="30">
        <f>Расчет!G356</f>
        <v/>
      </c>
      <c r="C422" s="30">
        <f>Расчет!H356</f>
        <v/>
      </c>
      <c r="D422" s="31">
        <f>Расчет!I356</f>
        <v/>
      </c>
      <c r="E422" s="31">
        <f>Расчет!J356</f>
        <v/>
      </c>
      <c r="F422" s="30" t="n"/>
      <c r="G422" s="31">
        <f>Расчет!L356</f>
        <v/>
      </c>
      <c r="H422" s="30">
        <f>Расчет!M356</f>
        <v/>
      </c>
    </row>
    <row r="423">
      <c r="A423" s="30" t="n"/>
      <c r="B423" s="30">
        <f>Расчет!G357</f>
        <v/>
      </c>
      <c r="C423" s="30">
        <f>Расчет!H357</f>
        <v/>
      </c>
      <c r="D423" s="31">
        <f>Расчет!I357</f>
        <v/>
      </c>
      <c r="E423" s="31">
        <f>Расчет!J357</f>
        <v/>
      </c>
      <c r="F423" s="30" t="n"/>
      <c r="G423" s="31">
        <f>Расчет!L357</f>
        <v/>
      </c>
      <c r="H423" s="30">
        <f>Расчет!M357</f>
        <v/>
      </c>
    </row>
    <row r="424">
      <c r="A424" s="30" t="n"/>
      <c r="B424" s="30">
        <f>Расчет!G358</f>
        <v/>
      </c>
      <c r="C424" s="30">
        <f>Расчет!H358</f>
        <v/>
      </c>
      <c r="D424" s="31">
        <f>Расчет!I358</f>
        <v/>
      </c>
      <c r="E424" s="31">
        <f>Расчет!J358</f>
        <v/>
      </c>
      <c r="F424" s="30" t="n"/>
      <c r="G424" s="31">
        <f>Расчет!L358</f>
        <v/>
      </c>
      <c r="H424" s="30">
        <f>Расчет!M358</f>
        <v/>
      </c>
    </row>
    <row r="425">
      <c r="A425" s="28" t="n">
        <v>15</v>
      </c>
      <c r="B425" s="28">
        <f>Расчет!G359</f>
        <v/>
      </c>
      <c r="C425" s="28">
        <f>Расчет!H359</f>
        <v/>
      </c>
      <c r="D425" s="29">
        <f>Расчет!I359</f>
        <v/>
      </c>
      <c r="E425" s="29">
        <f>Расчет!J359</f>
        <v/>
      </c>
      <c r="F425" s="29">
        <f>Расчет!K359</f>
        <v/>
      </c>
      <c r="G425" s="28" t="n"/>
      <c r="H425" s="28">
        <f>Расчет!M359</f>
        <v/>
      </c>
    </row>
    <row r="426">
      <c r="A426" s="30" t="n"/>
      <c r="B426" s="30">
        <f>Расчет!G360</f>
        <v/>
      </c>
      <c r="C426" s="30">
        <f>Расчет!H360</f>
        <v/>
      </c>
      <c r="D426" s="31">
        <f>Расчет!I360</f>
        <v/>
      </c>
      <c r="E426" s="31">
        <f>Расчет!J360</f>
        <v/>
      </c>
      <c r="F426" s="30" t="n"/>
      <c r="G426" s="31">
        <f>Расчет!L360</f>
        <v/>
      </c>
      <c r="H426" s="30">
        <f>Расчет!M360</f>
        <v/>
      </c>
    </row>
    <row r="427">
      <c r="A427" s="28" t="n">
        <v>16</v>
      </c>
      <c r="B427" s="28">
        <f>Расчет!G361</f>
        <v/>
      </c>
      <c r="C427" s="28">
        <f>Расчет!H361</f>
        <v/>
      </c>
      <c r="D427" s="29">
        <f>Расчет!I361</f>
        <v/>
      </c>
      <c r="E427" s="29">
        <f>Расчет!J361</f>
        <v/>
      </c>
      <c r="F427" s="29">
        <f>Расчет!K361</f>
        <v/>
      </c>
      <c r="G427" s="28" t="n"/>
      <c r="H427" s="28">
        <f>Расчет!M361</f>
        <v/>
      </c>
    </row>
    <row r="428">
      <c r="A428" s="30" t="n"/>
      <c r="B428" s="30">
        <f>Расчет!G362</f>
        <v/>
      </c>
      <c r="C428" s="30">
        <f>Расчет!H362</f>
        <v/>
      </c>
      <c r="D428" s="31">
        <f>Расчет!I362</f>
        <v/>
      </c>
      <c r="E428" s="31">
        <f>Расчет!J362</f>
        <v/>
      </c>
      <c r="F428" s="30" t="n"/>
      <c r="G428" s="31">
        <f>Расчет!L362</f>
        <v/>
      </c>
      <c r="H428" s="30">
        <f>Расчет!M362</f>
        <v/>
      </c>
    </row>
    <row r="429">
      <c r="A429" s="28" t="n">
        <v>17</v>
      </c>
      <c r="B429" s="28">
        <f>Расчет!G363</f>
        <v/>
      </c>
      <c r="C429" s="28">
        <f>Расчет!H363</f>
        <v/>
      </c>
      <c r="D429" s="29">
        <f>Расчет!I363</f>
        <v/>
      </c>
      <c r="E429" s="29">
        <f>Расчет!J363</f>
        <v/>
      </c>
      <c r="F429" s="29">
        <f>Расчет!K363</f>
        <v/>
      </c>
      <c r="G429" s="28" t="n"/>
      <c r="H429" s="28">
        <f>Расчет!M363</f>
        <v/>
      </c>
    </row>
    <row r="430">
      <c r="A430" s="30" t="n"/>
      <c r="B430" s="30">
        <f>Расчет!G364</f>
        <v/>
      </c>
      <c r="C430" s="30">
        <f>Расчет!H364</f>
        <v/>
      </c>
      <c r="D430" s="31">
        <f>Расчет!I364</f>
        <v/>
      </c>
      <c r="E430" s="31">
        <f>Расчет!J364</f>
        <v/>
      </c>
      <c r="F430" s="30" t="n"/>
      <c r="G430" s="31">
        <f>Расчет!L364</f>
        <v/>
      </c>
      <c r="H430" s="30">
        <f>Расчет!M364</f>
        <v/>
      </c>
    </row>
    <row r="431">
      <c r="A431" s="28" t="n">
        <v>18</v>
      </c>
      <c r="B431" s="28">
        <f>Расчет!G365</f>
        <v/>
      </c>
      <c r="C431" s="28">
        <f>Расчет!H365</f>
        <v/>
      </c>
      <c r="D431" s="29">
        <f>Расчет!I365</f>
        <v/>
      </c>
      <c r="E431" s="29">
        <f>Расчет!J365</f>
        <v/>
      </c>
      <c r="F431" s="29">
        <f>Расчет!K365</f>
        <v/>
      </c>
      <c r="G431" s="28" t="n"/>
      <c r="H431" s="28">
        <f>Расчет!M365</f>
        <v/>
      </c>
    </row>
    <row r="432">
      <c r="A432" s="30" t="n"/>
      <c r="B432" s="30">
        <f>Расчет!G366</f>
        <v/>
      </c>
      <c r="C432" s="30">
        <f>Расчет!H366</f>
        <v/>
      </c>
      <c r="D432" s="31">
        <f>Расчет!I366</f>
        <v/>
      </c>
      <c r="E432" s="31">
        <f>Расчет!J366</f>
        <v/>
      </c>
      <c r="F432" s="30" t="n"/>
      <c r="G432" s="31">
        <f>Расчет!L366</f>
        <v/>
      </c>
      <c r="H432" s="30">
        <f>Расчет!M366</f>
        <v/>
      </c>
    </row>
    <row r="433">
      <c r="A433" s="30" t="n"/>
      <c r="B433" s="30">
        <f>Расчет!G367</f>
        <v/>
      </c>
      <c r="C433" s="30">
        <f>Расчет!H367</f>
        <v/>
      </c>
      <c r="D433" s="31">
        <f>Расчет!I367</f>
        <v/>
      </c>
      <c r="E433" s="31">
        <f>Расчет!J367</f>
        <v/>
      </c>
      <c r="F433" s="30" t="n"/>
      <c r="G433" s="31">
        <f>Расчет!L367</f>
        <v/>
      </c>
      <c r="H433" s="30">
        <f>Расчет!M367</f>
        <v/>
      </c>
    </row>
    <row r="434">
      <c r="A434" s="28" t="n">
        <v>19</v>
      </c>
      <c r="B434" s="28">
        <f>Расчет!G368</f>
        <v/>
      </c>
      <c r="C434" s="28">
        <f>Расчет!H368</f>
        <v/>
      </c>
      <c r="D434" s="29">
        <f>Расчет!I368</f>
        <v/>
      </c>
      <c r="E434" s="29">
        <f>Расчет!J368</f>
        <v/>
      </c>
      <c r="F434" s="29">
        <f>Расчет!K368</f>
        <v/>
      </c>
      <c r="G434" s="28" t="n"/>
      <c r="H434" s="28">
        <f>Расчет!M368</f>
        <v/>
      </c>
    </row>
    <row r="435">
      <c r="A435" s="30" t="n"/>
      <c r="B435" s="30">
        <f>Расчет!G369</f>
        <v/>
      </c>
      <c r="C435" s="30">
        <f>Расчет!H369</f>
        <v/>
      </c>
      <c r="D435" s="31">
        <f>Расчет!I369</f>
        <v/>
      </c>
      <c r="E435" s="31">
        <f>Расчет!J369</f>
        <v/>
      </c>
      <c r="F435" s="30" t="n"/>
      <c r="G435" s="31">
        <f>Расчет!L369</f>
        <v/>
      </c>
      <c r="H435" s="30">
        <f>Расчет!M369</f>
        <v/>
      </c>
    </row>
    <row r="436">
      <c r="A436" s="28" t="n">
        <v>20</v>
      </c>
      <c r="B436" s="28">
        <f>Расчет!G370</f>
        <v/>
      </c>
      <c r="C436" s="28">
        <f>Расчет!H370</f>
        <v/>
      </c>
      <c r="D436" s="29">
        <f>Расчет!I370</f>
        <v/>
      </c>
      <c r="E436" s="29">
        <f>Расчет!J370</f>
        <v/>
      </c>
      <c r="F436" s="29">
        <f>Расчет!K370</f>
        <v/>
      </c>
      <c r="G436" s="28" t="n"/>
      <c r="H436" s="28">
        <f>Расчет!M370</f>
        <v/>
      </c>
    </row>
    <row r="437">
      <c r="A437" s="30" t="n"/>
      <c r="B437" s="30">
        <f>Расчет!G371</f>
        <v/>
      </c>
      <c r="C437" s="30">
        <f>Расчет!H371</f>
        <v/>
      </c>
      <c r="D437" s="31">
        <f>Расчет!I371</f>
        <v/>
      </c>
      <c r="E437" s="31">
        <f>Расчет!J371</f>
        <v/>
      </c>
      <c r="F437" s="30" t="n"/>
      <c r="G437" s="31">
        <f>Расчет!L371</f>
        <v/>
      </c>
      <c r="H437" s="30">
        <f>Расчет!M371</f>
        <v/>
      </c>
    </row>
    <row r="438">
      <c r="A438" s="28" t="n">
        <v>21</v>
      </c>
      <c r="B438" s="28">
        <f>Расчет!G372</f>
        <v/>
      </c>
      <c r="C438" s="28">
        <f>Расчет!H372</f>
        <v/>
      </c>
      <c r="D438" s="29">
        <f>Расчет!I372</f>
        <v/>
      </c>
      <c r="E438" s="29">
        <f>Расчет!J372</f>
        <v/>
      </c>
      <c r="F438" s="29">
        <f>Расчет!K372</f>
        <v/>
      </c>
      <c r="G438" s="28" t="n"/>
      <c r="H438" s="28">
        <f>Расчет!M372</f>
        <v/>
      </c>
    </row>
    <row r="439">
      <c r="A439" s="30" t="n"/>
      <c r="B439" s="30">
        <f>Расчет!G373</f>
        <v/>
      </c>
      <c r="C439" s="30">
        <f>Расчет!H373</f>
        <v/>
      </c>
      <c r="D439" s="31">
        <f>Расчет!I373</f>
        <v/>
      </c>
      <c r="E439" s="31">
        <f>Расчет!J373</f>
        <v/>
      </c>
      <c r="F439" s="30" t="n"/>
      <c r="G439" s="31">
        <f>Расчет!L373</f>
        <v/>
      </c>
      <c r="H439" s="30">
        <f>Расчет!M373</f>
        <v/>
      </c>
    </row>
    <row r="440">
      <c r="A440" s="28" t="n">
        <v>22</v>
      </c>
      <c r="B440" s="28">
        <f>Расчет!G374</f>
        <v/>
      </c>
      <c r="C440" s="28">
        <f>Расчет!H374</f>
        <v/>
      </c>
      <c r="D440" s="29">
        <f>Расчет!I374</f>
        <v/>
      </c>
      <c r="E440" s="29">
        <f>Расчет!J374</f>
        <v/>
      </c>
      <c r="F440" s="29">
        <f>Расчет!K374</f>
        <v/>
      </c>
      <c r="G440" s="28" t="n"/>
      <c r="H440" s="28">
        <f>Расчет!M374</f>
        <v/>
      </c>
    </row>
    <row r="441">
      <c r="A441" s="30" t="n"/>
      <c r="B441" s="30">
        <f>Расчет!G375</f>
        <v/>
      </c>
      <c r="C441" s="30">
        <f>Расчет!H375</f>
        <v/>
      </c>
      <c r="D441" s="31">
        <f>Расчет!I375</f>
        <v/>
      </c>
      <c r="E441" s="31">
        <f>Расчет!J375</f>
        <v/>
      </c>
      <c r="F441" s="30" t="n"/>
      <c r="G441" s="31">
        <f>Расчет!L375</f>
        <v/>
      </c>
      <c r="H441" s="30">
        <f>Расчет!M375</f>
        <v/>
      </c>
    </row>
    <row r="442">
      <c r="A442" s="28" t="n">
        <v>23</v>
      </c>
      <c r="B442" s="28">
        <f>Расчет!G376</f>
        <v/>
      </c>
      <c r="C442" s="28">
        <f>Расчет!H376</f>
        <v/>
      </c>
      <c r="D442" s="29">
        <f>Расчет!I376</f>
        <v/>
      </c>
      <c r="E442" s="29">
        <f>Расчет!J376</f>
        <v/>
      </c>
      <c r="F442" s="29">
        <f>Расчет!K376</f>
        <v/>
      </c>
      <c r="G442" s="28" t="n"/>
      <c r="H442" s="28">
        <f>Расчет!M376</f>
        <v/>
      </c>
    </row>
    <row r="443">
      <c r="A443" s="30" t="n"/>
      <c r="B443" s="30">
        <f>Расчет!G377</f>
        <v/>
      </c>
      <c r="C443" s="30">
        <f>Расчет!H377</f>
        <v/>
      </c>
      <c r="D443" s="31">
        <f>Расчет!I377</f>
        <v/>
      </c>
      <c r="E443" s="31">
        <f>Расчет!J377</f>
        <v/>
      </c>
      <c r="F443" s="30" t="n"/>
      <c r="G443" s="31">
        <f>Расчет!L377</f>
        <v/>
      </c>
      <c r="H443" s="30">
        <f>Расчет!M377</f>
        <v/>
      </c>
    </row>
    <row r="444">
      <c r="A444" s="28" t="n">
        <v>24</v>
      </c>
      <c r="B444" s="28">
        <f>Расчет!G378</f>
        <v/>
      </c>
      <c r="C444" s="28">
        <f>Расчет!H378</f>
        <v/>
      </c>
      <c r="D444" s="29">
        <f>Расчет!I378</f>
        <v/>
      </c>
      <c r="E444" s="29">
        <f>Расчет!J378</f>
        <v/>
      </c>
      <c r="F444" s="29">
        <f>Расчет!K378</f>
        <v/>
      </c>
      <c r="G444" s="28" t="n"/>
      <c r="H444" s="28">
        <f>Расчет!M378</f>
        <v/>
      </c>
    </row>
    <row r="445">
      <c r="A445" s="30" t="n"/>
      <c r="B445" s="30">
        <f>Расчет!G379</f>
        <v/>
      </c>
      <c r="C445" s="30">
        <f>Расчет!H379</f>
        <v/>
      </c>
      <c r="D445" s="31">
        <f>Расчет!I379</f>
        <v/>
      </c>
      <c r="E445" s="31">
        <f>Расчет!J379</f>
        <v/>
      </c>
      <c r="F445" s="30" t="n"/>
      <c r="G445" s="31">
        <f>Расчет!L379</f>
        <v/>
      </c>
      <c r="H445" s="30">
        <f>Расчет!M379</f>
        <v/>
      </c>
    </row>
    <row r="446">
      <c r="A446" s="28" t="n">
        <v>25</v>
      </c>
      <c r="B446" s="28">
        <f>Расчет!G380</f>
        <v/>
      </c>
      <c r="C446" s="28">
        <f>Расчет!H380</f>
        <v/>
      </c>
      <c r="D446" s="29">
        <f>Расчет!I380</f>
        <v/>
      </c>
      <c r="E446" s="29">
        <f>Расчет!J380</f>
        <v/>
      </c>
      <c r="F446" s="29">
        <f>Расчет!K380</f>
        <v/>
      </c>
      <c r="G446" s="28" t="n"/>
      <c r="H446" s="28">
        <f>Расчет!M380</f>
        <v/>
      </c>
    </row>
    <row r="447">
      <c r="A447" s="30" t="n"/>
      <c r="B447" s="30">
        <f>Расчет!G381</f>
        <v/>
      </c>
      <c r="C447" s="30">
        <f>Расчет!H381</f>
        <v/>
      </c>
      <c r="D447" s="31">
        <f>Расчет!I381</f>
        <v/>
      </c>
      <c r="E447" s="31">
        <f>Расчет!J381</f>
        <v/>
      </c>
      <c r="F447" s="30" t="n"/>
      <c r="G447" s="31">
        <f>Расчет!L381</f>
        <v/>
      </c>
      <c r="H447" s="30">
        <f>Расчет!M381</f>
        <v/>
      </c>
    </row>
    <row r="448">
      <c r="A448" s="28" t="n">
        <v>26</v>
      </c>
      <c r="B448" s="28">
        <f>Расчет!G382</f>
        <v/>
      </c>
      <c r="C448" s="28">
        <f>Расчет!H382</f>
        <v/>
      </c>
      <c r="D448" s="29">
        <f>Расчет!I382</f>
        <v/>
      </c>
      <c r="E448" s="29">
        <f>Расчет!J382</f>
        <v/>
      </c>
      <c r="F448" s="29">
        <f>Расчет!K382</f>
        <v/>
      </c>
      <c r="G448" s="28" t="n"/>
      <c r="H448" s="28">
        <f>Расчет!M382</f>
        <v/>
      </c>
    </row>
    <row r="449">
      <c r="A449" s="30" t="n"/>
      <c r="B449" s="30">
        <f>Расчет!G383</f>
        <v/>
      </c>
      <c r="C449" s="30">
        <f>Расчет!H383</f>
        <v/>
      </c>
      <c r="D449" s="31">
        <f>Расчет!I383</f>
        <v/>
      </c>
      <c r="E449" s="31">
        <f>Расчет!J383</f>
        <v/>
      </c>
      <c r="F449" s="30" t="n"/>
      <c r="G449" s="31">
        <f>Расчет!L383</f>
        <v/>
      </c>
      <c r="H449" s="30">
        <f>Расчет!M383</f>
        <v/>
      </c>
    </row>
    <row r="450">
      <c r="A450" s="28" t="n">
        <v>27</v>
      </c>
      <c r="B450" s="28">
        <f>Расчет!G384</f>
        <v/>
      </c>
      <c r="C450" s="28">
        <f>Расчет!H384</f>
        <v/>
      </c>
      <c r="D450" s="29">
        <f>Расчет!I384</f>
        <v/>
      </c>
      <c r="E450" s="29">
        <f>Расчет!J384</f>
        <v/>
      </c>
      <c r="F450" s="29">
        <f>Расчет!K384</f>
        <v/>
      </c>
      <c r="G450" s="28" t="n"/>
      <c r="H450" s="28">
        <f>Расчет!M384</f>
        <v/>
      </c>
    </row>
    <row r="451">
      <c r="A451" s="30" t="n"/>
      <c r="B451" s="30">
        <f>Расчет!G385</f>
        <v/>
      </c>
      <c r="C451" s="30">
        <f>Расчет!H385</f>
        <v/>
      </c>
      <c r="D451" s="31">
        <f>Расчет!I385</f>
        <v/>
      </c>
      <c r="E451" s="31">
        <f>Расчет!J385</f>
        <v/>
      </c>
      <c r="F451" s="30" t="n"/>
      <c r="G451" s="31">
        <f>Расчет!L385</f>
        <v/>
      </c>
      <c r="H451" s="30">
        <f>Расчет!M385</f>
        <v/>
      </c>
    </row>
    <row r="452">
      <c r="A452" s="30" t="n"/>
      <c r="B452" s="30">
        <f>Расчет!G386</f>
        <v/>
      </c>
      <c r="C452" s="30">
        <f>Расчет!H386</f>
        <v/>
      </c>
      <c r="D452" s="31">
        <f>Расчет!I386</f>
        <v/>
      </c>
      <c r="E452" s="31">
        <f>Расчет!J386</f>
        <v/>
      </c>
      <c r="F452" s="30" t="n"/>
      <c r="G452" s="31">
        <f>Расчет!L386</f>
        <v/>
      </c>
      <c r="H452" s="30">
        <f>Расчет!M386</f>
        <v/>
      </c>
    </row>
    <row r="453">
      <c r="A453" s="28" t="n">
        <v>28</v>
      </c>
      <c r="B453" s="28">
        <f>Расчет!G387</f>
        <v/>
      </c>
      <c r="C453" s="28">
        <f>Расчет!H387</f>
        <v/>
      </c>
      <c r="D453" s="29">
        <f>Расчет!I387</f>
        <v/>
      </c>
      <c r="E453" s="29">
        <f>Расчет!J387</f>
        <v/>
      </c>
      <c r="F453" s="29">
        <f>Расчет!K387</f>
        <v/>
      </c>
      <c r="G453" s="28" t="n"/>
      <c r="H453" s="28">
        <f>Расчет!M387</f>
        <v/>
      </c>
    </row>
    <row r="454">
      <c r="A454" s="28" t="n">
        <v>29</v>
      </c>
      <c r="B454" s="28">
        <f>Расчет!G388</f>
        <v/>
      </c>
      <c r="C454" s="28">
        <f>Расчет!H388</f>
        <v/>
      </c>
      <c r="D454" s="29">
        <f>Расчет!I388</f>
        <v/>
      </c>
      <c r="E454" s="29">
        <f>Расчет!J388</f>
        <v/>
      </c>
      <c r="F454" s="29">
        <f>Расчет!K388</f>
        <v/>
      </c>
      <c r="G454" s="28" t="n"/>
      <c r="H454" s="28">
        <f>Расчет!M388</f>
        <v/>
      </c>
    </row>
    <row r="455">
      <c r="B455" s="33" t="inlineStr">
        <is>
          <t>ВСЕГО ПО РАЗДЕЛУ:</t>
        </is>
      </c>
      <c r="F455" s="34">
        <f>SUMIFS(Расчет!K:K,Расчет!B:B,"8",Расчет!E:E,"work")+SUMIFS(Расчет!K:K,Расчет!B:B,"8",Расчет!E:E,"section14_item")</f>
        <v/>
      </c>
      <c r="G455" s="34">
        <f>SUMIFS(Расчет!L:L,Расчет!B:B,"8",Расчет!E:E,"material")</f>
        <v/>
      </c>
    </row>
    <row r="456">
      <c r="B456" s="35" t="inlineStr">
        <is>
          <t>ИТОГО:</t>
        </is>
      </c>
      <c r="G456" s="26">
        <f>SUMIFS(Расчет!K:K,Расчет!B:B,"8",Расчет!E:E,"work")+SUMIFS(Расчет!K:K,Расчет!B:B,"8",Расчет!E:E,"section14_item")+SUMIFS(Расчет!L:L,Расчет!B:B,"8")</f>
        <v/>
      </c>
    </row>
    <row r="458">
      <c r="A458" s="25" t="inlineStr">
        <is>
          <t>9.</t>
        </is>
      </c>
      <c r="B458" s="27" t="inlineStr">
        <is>
          <t>Газон.</t>
        </is>
      </c>
      <c r="C458" s="27" t="inlineStr">
        <is>
          <t>Ед. изм.</t>
        </is>
      </c>
      <c r="D458" s="27" t="inlineStr">
        <is>
          <t>Кол-во</t>
        </is>
      </c>
      <c r="E458" s="27" t="inlineStr">
        <is>
          <t>Цена</t>
        </is>
      </c>
      <c r="F458" s="27" t="inlineStr">
        <is>
          <t>Работы</t>
        </is>
      </c>
      <c r="G458" s="27" t="inlineStr">
        <is>
          <t>Материалы</t>
        </is>
      </c>
      <c r="H458" s="27" t="inlineStr">
        <is>
          <t>Примечание</t>
        </is>
      </c>
    </row>
    <row r="459">
      <c r="A459" s="28" t="n">
        <v>1</v>
      </c>
      <c r="B459" s="28">
        <f>Расчет!G389</f>
        <v/>
      </c>
      <c r="C459" s="28">
        <f>Расчет!H389</f>
        <v/>
      </c>
      <c r="D459" s="29">
        <f>Расчет!I389</f>
        <v/>
      </c>
      <c r="E459" s="29">
        <f>Расчет!J389</f>
        <v/>
      </c>
      <c r="F459" s="29">
        <f>Расчет!K389</f>
        <v/>
      </c>
      <c r="G459" s="28" t="n"/>
      <c r="H459" s="28">
        <f>Расчет!M389</f>
        <v/>
      </c>
    </row>
    <row r="460">
      <c r="A460" s="30" t="n"/>
      <c r="B460" s="30">
        <f>Расчет!G390</f>
        <v/>
      </c>
      <c r="C460" s="30">
        <f>Расчет!H390</f>
        <v/>
      </c>
      <c r="D460" s="31">
        <f>Расчет!I390</f>
        <v/>
      </c>
      <c r="E460" s="31">
        <f>Расчет!J390</f>
        <v/>
      </c>
      <c r="F460" s="30" t="n"/>
      <c r="G460" s="31">
        <f>Расчет!L390</f>
        <v/>
      </c>
      <c r="H460" s="30">
        <f>Расчет!M390</f>
        <v/>
      </c>
    </row>
    <row r="461">
      <c r="A461" s="28" t="n">
        <v>2</v>
      </c>
      <c r="B461" s="28">
        <f>Расчет!G391</f>
        <v/>
      </c>
      <c r="C461" s="28">
        <f>Расчет!H391</f>
        <v/>
      </c>
      <c r="D461" s="29">
        <f>Расчет!I391</f>
        <v/>
      </c>
      <c r="E461" s="29">
        <f>Расчет!J391</f>
        <v/>
      </c>
      <c r="F461" s="29">
        <f>Расчет!K391</f>
        <v/>
      </c>
      <c r="G461" s="28" t="n"/>
      <c r="H461" s="28">
        <f>Расчет!M391</f>
        <v/>
      </c>
    </row>
    <row r="462">
      <c r="A462" s="30" t="n"/>
      <c r="B462" s="30">
        <f>Расчет!G392</f>
        <v/>
      </c>
      <c r="C462" s="30">
        <f>Расчет!H392</f>
        <v/>
      </c>
      <c r="D462" s="31">
        <f>Расчет!I392</f>
        <v/>
      </c>
      <c r="E462" s="31">
        <f>Расчет!J392</f>
        <v/>
      </c>
      <c r="F462" s="30" t="n"/>
      <c r="G462" s="31">
        <f>Расчет!L392</f>
        <v/>
      </c>
      <c r="H462" s="30">
        <f>Расчет!M392</f>
        <v/>
      </c>
    </row>
    <row r="463">
      <c r="A463" s="28" t="n">
        <v>3</v>
      </c>
      <c r="B463" s="28">
        <f>Расчет!G393</f>
        <v/>
      </c>
      <c r="C463" s="28">
        <f>Расчет!H393</f>
        <v/>
      </c>
      <c r="D463" s="29">
        <f>Расчет!I393</f>
        <v/>
      </c>
      <c r="E463" s="29">
        <f>Расчет!J393</f>
        <v/>
      </c>
      <c r="F463" s="29">
        <f>Расчет!K393</f>
        <v/>
      </c>
      <c r="G463" s="28" t="n"/>
      <c r="H463" s="28">
        <f>Расчет!M393</f>
        <v/>
      </c>
    </row>
    <row r="464">
      <c r="B464" s="33" t="inlineStr">
        <is>
          <t>ВСЕГО ПО РАЗДЕЛУ:</t>
        </is>
      </c>
      <c r="F464" s="34">
        <f>SUMIFS(Расчет!K:K,Расчет!B:B,"9",Расчет!E:E,"work")+SUMIFS(Расчет!K:K,Расчет!B:B,"9",Расчет!E:E,"section14_item")</f>
        <v/>
      </c>
      <c r="G464" s="34">
        <f>SUMIFS(Расчет!L:L,Расчет!B:B,"9",Расчет!E:E,"material")</f>
        <v/>
      </c>
    </row>
    <row r="465">
      <c r="B465" s="35" t="inlineStr">
        <is>
          <t>ИТОГО:</t>
        </is>
      </c>
      <c r="G465" s="26">
        <f>SUMIFS(Расчет!K:K,Расчет!B:B,"9",Расчет!E:E,"work")+SUMIFS(Расчет!K:K,Расчет!B:B,"9",Расчет!E:E,"section14_item")+SUMIFS(Расчет!L:L,Расчет!B:B,"9")</f>
        <v/>
      </c>
    </row>
    <row r="467">
      <c r="A467" s="25" t="inlineStr">
        <is>
          <t>10.</t>
        </is>
      </c>
      <c r="B467" s="27" t="inlineStr">
        <is>
          <t>Ограждение стеклянное</t>
        </is>
      </c>
      <c r="C467" s="27" t="inlineStr">
        <is>
          <t>Ед. изм.</t>
        </is>
      </c>
      <c r="D467" s="27" t="inlineStr">
        <is>
          <t>Кол-во</t>
        </is>
      </c>
      <c r="E467" s="27" t="inlineStr">
        <is>
          <t>Цена</t>
        </is>
      </c>
      <c r="F467" s="27" t="inlineStr">
        <is>
          <t>Работы</t>
        </is>
      </c>
      <c r="G467" s="27" t="inlineStr">
        <is>
          <t>Материалы</t>
        </is>
      </c>
      <c r="H467" s="27" t="inlineStr">
        <is>
          <t>Примечание</t>
        </is>
      </c>
    </row>
    <row r="468">
      <c r="A468" s="28" t="n">
        <v>1</v>
      </c>
      <c r="B468" s="28">
        <f>Расчет!G394</f>
        <v/>
      </c>
      <c r="C468" s="28">
        <f>Расчет!H394</f>
        <v/>
      </c>
      <c r="D468" s="29">
        <f>Расчет!I394</f>
        <v/>
      </c>
      <c r="E468" s="29">
        <f>Расчет!J394</f>
        <v/>
      </c>
      <c r="F468" s="29">
        <f>Расчет!K394</f>
        <v/>
      </c>
      <c r="G468" s="28" t="n"/>
      <c r="H468" s="28">
        <f>Расчет!M394</f>
        <v/>
      </c>
    </row>
    <row r="469">
      <c r="A469" s="30" t="n"/>
      <c r="B469" s="30">
        <f>Расчет!G395</f>
        <v/>
      </c>
      <c r="C469" s="30">
        <f>Расчет!H395</f>
        <v/>
      </c>
      <c r="D469" s="31">
        <f>Расчет!I395</f>
        <v/>
      </c>
      <c r="E469" s="31">
        <f>Расчет!J395</f>
        <v/>
      </c>
      <c r="F469" s="30" t="n"/>
      <c r="G469" s="31">
        <f>Расчет!L395</f>
        <v/>
      </c>
      <c r="H469" s="30">
        <f>Расчет!M395</f>
        <v/>
      </c>
    </row>
    <row r="470">
      <c r="B470" s="33" t="inlineStr">
        <is>
          <t>ВСЕГО ПО РАЗДЕЛУ:</t>
        </is>
      </c>
      <c r="F470" s="34">
        <f>SUMIFS(Расчет!K:K,Расчет!B:B,"10",Расчет!E:E,"work")+SUMIFS(Расчет!K:K,Расчет!B:B,"10",Расчет!E:E,"section14_item")</f>
        <v/>
      </c>
      <c r="G470" s="34">
        <f>SUMIFS(Расчет!L:L,Расчет!B:B,"10",Расчет!E:E,"material")</f>
        <v/>
      </c>
    </row>
    <row r="471">
      <c r="B471" s="35" t="inlineStr">
        <is>
          <t>ИТОГО:</t>
        </is>
      </c>
      <c r="G471" s="26">
        <f>SUMIFS(Расчет!K:K,Расчет!B:B,"10",Расчет!E:E,"work")+SUMIFS(Расчет!K:K,Расчет!B:B,"10",Расчет!E:E,"section14_item")+SUMIFS(Расчет!L:L,Расчет!B:B,"10")</f>
        <v/>
      </c>
    </row>
    <row r="473">
      <c r="A473" s="25" t="inlineStr">
        <is>
          <t>11.</t>
        </is>
      </c>
      <c r="B473" s="27" t="inlineStr">
        <is>
          <t>Автополив</t>
        </is>
      </c>
      <c r="C473" s="27" t="inlineStr">
        <is>
          <t>Ед. изм.</t>
        </is>
      </c>
      <c r="D473" s="27" t="inlineStr">
        <is>
          <t>Кол-во</t>
        </is>
      </c>
      <c r="E473" s="27" t="inlineStr">
        <is>
          <t>Цена</t>
        </is>
      </c>
      <c r="F473" s="27" t="inlineStr">
        <is>
          <t>Работы</t>
        </is>
      </c>
      <c r="G473" s="27" t="inlineStr">
        <is>
          <t>Материалы</t>
        </is>
      </c>
      <c r="H473" s="27" t="inlineStr">
        <is>
          <t>Примечание</t>
        </is>
      </c>
    </row>
    <row r="474">
      <c r="A474" s="28" t="n">
        <v>1</v>
      </c>
      <c r="B474" s="28">
        <f>Расчет!G396</f>
        <v/>
      </c>
      <c r="C474" s="28">
        <f>Расчет!H396</f>
        <v/>
      </c>
      <c r="D474" s="29">
        <f>Расчет!I396</f>
        <v/>
      </c>
      <c r="E474" s="29">
        <f>Расчет!J396</f>
        <v/>
      </c>
      <c r="F474" s="29">
        <f>Расчет!K396</f>
        <v/>
      </c>
      <c r="G474" s="28" t="n"/>
      <c r="H474" s="28">
        <f>Расчет!M396</f>
        <v/>
      </c>
    </row>
    <row r="475">
      <c r="A475" s="30" t="n"/>
      <c r="B475" s="30">
        <f>Расчет!G397</f>
        <v/>
      </c>
      <c r="C475" s="30">
        <f>Расчет!H397</f>
        <v/>
      </c>
      <c r="D475" s="31">
        <f>Расчет!I397</f>
        <v/>
      </c>
      <c r="E475" s="31">
        <f>Расчет!J397</f>
        <v/>
      </c>
      <c r="F475" s="30" t="n"/>
      <c r="G475" s="31">
        <f>Расчет!L397</f>
        <v/>
      </c>
      <c r="H475" s="30">
        <f>Расчет!M397</f>
        <v/>
      </c>
    </row>
    <row r="476">
      <c r="B476" s="33" t="inlineStr">
        <is>
          <t>ВСЕГО ПО РАЗДЕЛУ:</t>
        </is>
      </c>
      <c r="F476" s="34">
        <f>SUMIFS(Расчет!K:K,Расчет!B:B,"11",Расчет!E:E,"work")+SUMIFS(Расчет!K:K,Расчет!B:B,"11",Расчет!E:E,"section14_item")</f>
        <v/>
      </c>
      <c r="G476" s="34">
        <f>SUMIFS(Расчет!L:L,Расчет!B:B,"11",Расчет!E:E,"material")</f>
        <v/>
      </c>
    </row>
    <row r="477">
      <c r="B477" s="35" t="inlineStr">
        <is>
          <t>ИТОГО:</t>
        </is>
      </c>
      <c r="G477" s="26">
        <f>SUMIFS(Расчет!K:K,Расчет!B:B,"11",Расчет!E:E,"work")+SUMIFS(Расчет!K:K,Расчет!B:B,"11",Расчет!E:E,"section14_item")+SUMIFS(Расчет!L:L,Расчет!B:B,"11")</f>
        <v/>
      </c>
    </row>
    <row r="479">
      <c r="A479" s="25" t="inlineStr">
        <is>
          <t>12.</t>
        </is>
      </c>
      <c r="B479" s="27" t="inlineStr">
        <is>
          <t>Бассейн</t>
        </is>
      </c>
      <c r="C479" s="27" t="inlineStr">
        <is>
          <t>Ед. изм.</t>
        </is>
      </c>
      <c r="D479" s="27" t="inlineStr">
        <is>
          <t>Кол-во</t>
        </is>
      </c>
      <c r="E479" s="27" t="inlineStr">
        <is>
          <t>Цена</t>
        </is>
      </c>
      <c r="F479" s="27" t="inlineStr">
        <is>
          <t>Работы</t>
        </is>
      </c>
      <c r="G479" s="27" t="inlineStr">
        <is>
          <t>Материалы</t>
        </is>
      </c>
      <c r="H479" s="27" t="inlineStr">
        <is>
          <t>Примечание</t>
        </is>
      </c>
    </row>
    <row r="480">
      <c r="A480" s="28" t="n">
        <v>1</v>
      </c>
      <c r="B480" s="28">
        <f>Расчет!G398</f>
        <v/>
      </c>
      <c r="C480" s="28">
        <f>Расчет!H398</f>
        <v/>
      </c>
      <c r="D480" s="29">
        <f>Расчет!I398</f>
        <v/>
      </c>
      <c r="E480" s="29">
        <f>Расчет!J398</f>
        <v/>
      </c>
      <c r="F480" s="29">
        <f>Расчет!K398</f>
        <v/>
      </c>
      <c r="G480" s="28" t="n"/>
      <c r="H480" s="28">
        <f>Расчет!M398</f>
        <v/>
      </c>
    </row>
    <row r="481">
      <c r="A481" s="30" t="n"/>
      <c r="B481" s="30">
        <f>Расчет!G399</f>
        <v/>
      </c>
      <c r="C481" s="30">
        <f>Расчет!H399</f>
        <v/>
      </c>
      <c r="D481" s="31">
        <f>Расчет!I399</f>
        <v/>
      </c>
      <c r="E481" s="31">
        <f>Расчет!J399</f>
        <v/>
      </c>
      <c r="F481" s="30" t="n"/>
      <c r="G481" s="31">
        <f>Расчет!L399</f>
        <v/>
      </c>
      <c r="H481" s="30">
        <f>Расчет!M399</f>
        <v/>
      </c>
    </row>
    <row r="482">
      <c r="B482" s="33" t="inlineStr">
        <is>
          <t>ВСЕГО ПО РАЗДЕЛУ:</t>
        </is>
      </c>
      <c r="F482" s="34">
        <f>SUMIFS(Расчет!K:K,Расчет!B:B,"12",Расчет!E:E,"work")+SUMIFS(Расчет!K:K,Расчет!B:B,"12",Расчет!E:E,"section14_item")</f>
        <v/>
      </c>
      <c r="G482" s="34">
        <f>SUMIFS(Расчет!L:L,Расчет!B:B,"12",Расчет!E:E,"material")</f>
        <v/>
      </c>
    </row>
    <row r="483">
      <c r="B483" s="35" t="inlineStr">
        <is>
          <t>ИТОГО:</t>
        </is>
      </c>
      <c r="G483" s="26">
        <f>SUMIFS(Расчет!K:K,Расчет!B:B,"12",Расчет!E:E,"work")+SUMIFS(Расчет!K:K,Расчет!B:B,"12",Расчет!E:E,"section14_item")+SUMIFS(Расчет!L:L,Расчет!B:B,"12")</f>
        <v/>
      </c>
    </row>
    <row r="485">
      <c r="A485" s="25" t="inlineStr">
        <is>
          <t>13.</t>
        </is>
      </c>
      <c r="B485" s="27" t="inlineStr">
        <is>
          <t>Антиобледенение</t>
        </is>
      </c>
      <c r="C485" s="27" t="inlineStr">
        <is>
          <t>Ед. изм.</t>
        </is>
      </c>
      <c r="D485" s="27" t="inlineStr">
        <is>
          <t>Кол-во</t>
        </is>
      </c>
      <c r="E485" s="27" t="inlineStr">
        <is>
          <t>Цена</t>
        </is>
      </c>
      <c r="F485" s="27" t="inlineStr">
        <is>
          <t>Работы</t>
        </is>
      </c>
      <c r="G485" s="27" t="inlineStr">
        <is>
          <t>Материалы</t>
        </is>
      </c>
      <c r="H485" s="27" t="inlineStr">
        <is>
          <t>Примечание</t>
        </is>
      </c>
    </row>
    <row r="486">
      <c r="A486" s="28" t="n">
        <v>1</v>
      </c>
      <c r="B486" s="28">
        <f>Расчет!G400</f>
        <v/>
      </c>
      <c r="C486" s="28">
        <f>Расчет!H400</f>
        <v/>
      </c>
      <c r="D486" s="29">
        <f>Расчет!I400</f>
        <v/>
      </c>
      <c r="E486" s="29">
        <f>Расчет!J400</f>
        <v/>
      </c>
      <c r="F486" s="29">
        <f>Расчет!K400</f>
        <v/>
      </c>
      <c r="G486" s="28" t="n"/>
      <c r="H486" s="28">
        <f>Расчет!M400</f>
        <v/>
      </c>
    </row>
    <row r="487">
      <c r="A487" s="30" t="n"/>
      <c r="B487" s="30">
        <f>Расчет!G401</f>
        <v/>
      </c>
      <c r="C487" s="30">
        <f>Расчет!H401</f>
        <v/>
      </c>
      <c r="D487" s="31">
        <f>Расчет!I401</f>
        <v/>
      </c>
      <c r="E487" s="31">
        <f>Расчет!J401</f>
        <v/>
      </c>
      <c r="F487" s="30" t="n"/>
      <c r="G487" s="31">
        <f>Расчет!L401</f>
        <v/>
      </c>
      <c r="H487" s="30">
        <f>Расчет!M401</f>
        <v/>
      </c>
    </row>
    <row r="488">
      <c r="B488" s="33" t="inlineStr">
        <is>
          <t>ВСЕГО ПО РАЗДЕЛУ:</t>
        </is>
      </c>
      <c r="F488" s="34">
        <f>SUMIFS(Расчет!K:K,Расчет!B:B,"13",Расчет!E:E,"work")+SUMIFS(Расчет!K:K,Расчет!B:B,"13",Расчет!E:E,"section14_item")</f>
        <v/>
      </c>
      <c r="G488" s="34">
        <f>SUMIFS(Расчет!L:L,Расчет!B:B,"13",Расчет!E:E,"material")</f>
        <v/>
      </c>
    </row>
    <row r="489">
      <c r="B489" s="35" t="inlineStr">
        <is>
          <t>ИТОГО:</t>
        </is>
      </c>
      <c r="G489" s="26">
        <f>SUMIFS(Расчет!K:K,Расчет!B:B,"13",Расчет!E:E,"work")+SUMIFS(Расчет!K:K,Расчет!B:B,"13",Расчет!E:E,"section14_item")+SUMIFS(Расчет!L:L,Расчет!B:B,"13")</f>
        <v/>
      </c>
    </row>
    <row r="491">
      <c r="A491" s="25" t="inlineStr">
        <is>
          <t>14.</t>
        </is>
      </c>
      <c r="B491" s="27" t="inlineStr">
        <is>
          <t>Вывоз грунта (по факту)</t>
        </is>
      </c>
      <c r="C491" s="27" t="inlineStr">
        <is>
          <t>Ед. изм.</t>
        </is>
      </c>
      <c r="D491" s="27" t="inlineStr">
        <is>
          <t>Кол-во</t>
        </is>
      </c>
      <c r="E491" s="27" t="inlineStr">
        <is>
          <t>Цена</t>
        </is>
      </c>
      <c r="F491" s="27" t="inlineStr">
        <is>
          <t>Работы</t>
        </is>
      </c>
      <c r="G491" s="27" t="inlineStr">
        <is>
          <t>Материалы</t>
        </is>
      </c>
      <c r="H491" s="27" t="inlineStr">
        <is>
          <t>Примечание</t>
        </is>
      </c>
    </row>
    <row r="492">
      <c r="A492" s="28" t="n">
        <v>1</v>
      </c>
      <c r="B492" s="28">
        <f>Расчет!G402</f>
        <v/>
      </c>
      <c r="C492" s="28">
        <f>Расчет!H402</f>
        <v/>
      </c>
      <c r="D492" s="29">
        <f>Расчет!I402</f>
        <v/>
      </c>
      <c r="E492" s="29">
        <f>Расчет!J402</f>
        <v/>
      </c>
      <c r="F492" s="29">
        <f>Расчет!K402</f>
        <v/>
      </c>
      <c r="G492" s="28" t="n"/>
      <c r="H492" s="28" t="n"/>
    </row>
    <row r="493">
      <c r="A493" s="28" t="n">
        <v>2</v>
      </c>
      <c r="B493" s="28">
        <f>Расчет!G403</f>
        <v/>
      </c>
      <c r="C493" s="28">
        <f>Расчет!H403</f>
        <v/>
      </c>
      <c r="D493" s="29">
        <f>Расчет!I403</f>
        <v/>
      </c>
      <c r="E493" s="29">
        <f>Расчет!J403</f>
        <v/>
      </c>
      <c r="F493" s="29">
        <f>Расчет!K403</f>
        <v/>
      </c>
      <c r="G493" s="28" t="n"/>
      <c r="H493" s="28" t="n"/>
    </row>
    <row r="494">
      <c r="B494" s="33" t="inlineStr">
        <is>
          <t>ВСЕГО ПО РАЗДЕЛУ:</t>
        </is>
      </c>
      <c r="F494" s="34">
        <f>SUMIFS(Расчет!K:K,Расчет!B:B,"14",Расчет!E:E,"work")+SUMIFS(Расчет!K:K,Расчет!B:B,"14",Расчет!E:E,"section14_item")</f>
        <v/>
      </c>
      <c r="G494" s="34">
        <f>SUMIFS(Расчет!L:L,Расчет!B:B,"14",Расчет!E:E,"material")</f>
        <v/>
      </c>
    </row>
    <row r="495">
      <c r="B495" s="35" t="inlineStr">
        <is>
          <t>ИТОГО:</t>
        </is>
      </c>
      <c r="G495" s="26">
        <f>SUMIFS(Расчет!K:K,Расчет!B:B,"14",Расчет!E:E,"work")+SUMIFS(Расчет!K:K,Расчет!B:B,"14",Расчет!E:E,"section14_item")+SUMIFS(Расчет!L:L,Расчет!B:B,"14")</f>
        <v/>
      </c>
    </row>
    <row r="497">
      <c r="A497" s="25" t="inlineStr">
        <is>
          <t>15.</t>
        </is>
      </c>
      <c r="B497" s="27" t="inlineStr">
        <is>
          <t>Организационные затраты (предварительно)</t>
        </is>
      </c>
      <c r="C497" s="27" t="inlineStr">
        <is>
          <t>Ед. изм.</t>
        </is>
      </c>
      <c r="D497" s="27" t="inlineStr">
        <is>
          <t>Кол-во</t>
        </is>
      </c>
      <c r="E497" s="27" t="inlineStr">
        <is>
          <t>Цена</t>
        </is>
      </c>
      <c r="G497" s="27" t="inlineStr">
        <is>
          <t>Стоимость</t>
        </is>
      </c>
      <c r="H497" s="27" t="inlineStr">
        <is>
          <t>Примечание</t>
        </is>
      </c>
    </row>
    <row r="498">
      <c r="A498" s="36" t="n">
        <v>1</v>
      </c>
      <c r="B498" s="36">
        <f>Расчет!G404</f>
        <v/>
      </c>
      <c r="C498" s="36">
        <f>Расчет!H404</f>
        <v/>
      </c>
      <c r="D498" s="36">
        <f>Расчет!I404</f>
        <v/>
      </c>
      <c r="E498" s="36" t="n"/>
      <c r="F498" s="36" t="n"/>
      <c r="G498" s="37">
        <f>Расчет!L404</f>
        <v/>
      </c>
      <c r="H498" s="36" t="n"/>
    </row>
    <row r="499">
      <c r="A499" s="36" t="n">
        <v>2</v>
      </c>
      <c r="B499" s="36">
        <f>Расчет!G405</f>
        <v/>
      </c>
      <c r="C499" s="36">
        <f>Расчет!H405</f>
        <v/>
      </c>
      <c r="D499" s="36">
        <f>Расчет!I405</f>
        <v/>
      </c>
      <c r="E499" s="36" t="n"/>
      <c r="F499" s="36" t="n"/>
      <c r="G499" s="37">
        <f>Расчет!L405</f>
        <v/>
      </c>
      <c r="H499" s="36" t="n"/>
    </row>
    <row r="500">
      <c r="A500" s="36" t="n">
        <v>3</v>
      </c>
      <c r="B500" s="36">
        <f>Расчет!G406</f>
        <v/>
      </c>
      <c r="C500" s="36">
        <f>Расчет!H406</f>
        <v/>
      </c>
      <c r="D500" s="36">
        <f>Расчет!I406</f>
        <v/>
      </c>
      <c r="E500" s="36" t="n"/>
      <c r="F500" s="36" t="n"/>
      <c r="G500" s="37">
        <f>Расчет!L406</f>
        <v/>
      </c>
      <c r="H500" s="36" t="n"/>
    </row>
    <row r="501">
      <c r="A501" s="36" t="n">
        <v>4</v>
      </c>
      <c r="B501" s="36">
        <f>Расчет!G407</f>
        <v/>
      </c>
      <c r="C501" s="36">
        <f>Расчет!H407</f>
        <v/>
      </c>
      <c r="D501" s="36">
        <f>Расчет!I407</f>
        <v/>
      </c>
      <c r="E501" s="36" t="n"/>
      <c r="F501" s="36" t="n"/>
      <c r="G501" s="37">
        <f>Расчет!L407</f>
        <v/>
      </c>
      <c r="H501" s="36" t="n"/>
    </row>
    <row r="502">
      <c r="A502" s="36" t="n">
        <v>5</v>
      </c>
      <c r="B502" s="36">
        <f>Расчет!G408</f>
        <v/>
      </c>
      <c r="C502" s="36">
        <f>Расчет!H408</f>
        <v/>
      </c>
      <c r="D502" s="36">
        <f>Расчет!I408</f>
        <v/>
      </c>
      <c r="E502" s="36" t="n"/>
      <c r="F502" s="36" t="n"/>
      <c r="G502" s="37">
        <f>Расчет!L408</f>
        <v/>
      </c>
      <c r="H502" s="36" t="n"/>
    </row>
    <row r="503">
      <c r="B503" s="35" t="inlineStr">
        <is>
          <t>ИТОГО:</t>
        </is>
      </c>
      <c r="G503" s="26">
        <f>SUMIFS(Расчет!K:K,Расчет!B:B,"15",Расчет!E:E,"work")+SUMIFS(Расчет!K:K,Расчет!B:B,"15",Расчет!E:E,"section14_item")+SUMIFS(Расчет!L:L,Расчет!B:B,"15")</f>
        <v/>
      </c>
    </row>
    <row r="505">
      <c r="B505" s="38" t="inlineStr">
        <is>
          <t>ВСЕГО по смете:</t>
        </is>
      </c>
      <c r="G505" s="39">
        <f>SUMIFS(Расчет!K:K,Расчет!A:A,"да")+SUMIFS(Расчет!L:L,Расчет!A:A,"да")</f>
        <v/>
      </c>
    </row>
  </sheetData>
  <mergeCells count="20">
    <mergeCell ref="B288:H288"/>
    <mergeCell ref="B304:H304"/>
    <mergeCell ref="B255:H255"/>
    <mergeCell ref="B266:H266"/>
    <mergeCell ref="B313:H313"/>
    <mergeCell ref="B296:H296"/>
    <mergeCell ref="B47:H47"/>
    <mergeCell ref="B138:H138"/>
    <mergeCell ref="B336:H336"/>
    <mergeCell ref="B215:H215"/>
    <mergeCell ref="B273:H273"/>
    <mergeCell ref="B93:H93"/>
    <mergeCell ref="B357:H357"/>
    <mergeCell ref="B52:H52"/>
    <mergeCell ref="B161:H161"/>
    <mergeCell ref="B120:H120"/>
    <mergeCell ref="C1:H6"/>
    <mergeCell ref="B328:H328"/>
    <mergeCell ref="B371:H371"/>
    <mergeCell ref="B363:H363"/>
  </mergeCells>
  <pageMargins left="0.6" right="0.6" top="0.75" bottom="0.7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2026-03-25T21:22:37Z</dcterms:created>
  <dcterms:modified xsi:type="dcterms:W3CDTF">2026-03-25T21:22:39Z</dcterms:modified>
</cp:coreProperties>
</file>