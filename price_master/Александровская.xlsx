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кп\"/>
    </mc:Choice>
  </mc:AlternateContent>
  <xr:revisionPtr revIDLastSave="0" documentId="13_ncr:1_{243199C4-4632-4595-A875-57BF1DC04ECE}" xr6:coauthVersionLast="47" xr6:coauthVersionMax="47" xr10:uidLastSave="{00000000-0000-0000-0000-000000000000}"/>
  <bookViews>
    <workbookView xWindow="-108" yWindow="-108" windowWidth="23256" windowHeight="12576" xr2:uid="{9C7DCD41-7597-4184-94A9-78422495B2DE}"/>
  </bookViews>
  <sheets>
    <sheet name="Лист1" sheetId="2" r:id="rId1"/>
  </sheets>
  <definedNames>
    <definedName name="_FilterDatabase" localSheetId="0" hidden="1">Лист1!$A$2:$D$35</definedName>
    <definedName name="Excel_BuiltIn_Print_Area_1">#REF!</definedName>
    <definedName name="Print_Area" localSheetId="0">Лист1!$A$1:$D$69</definedName>
    <definedName name="_xlnm.Print_Area" localSheetId="0">Лист1!$A$1:$D$69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5" i="2" l="1"/>
  <c r="D117" i="2"/>
  <c r="D115" i="2"/>
  <c r="D104" i="2"/>
  <c r="D102" i="2"/>
  <c r="D43" i="2" l="1"/>
  <c r="D65" i="2"/>
  <c r="D16" i="2" l="1"/>
  <c r="D18" i="2"/>
</calcChain>
</file>

<file path=xl/sharedStrings.xml><?xml version="1.0" encoding="utf-8"?>
<sst xmlns="http://schemas.openxmlformats.org/spreadsheetml/2006/main" count="341" uniqueCount="171">
  <si>
    <t>м.кв.</t>
  </si>
  <si>
    <t>м.куб.</t>
  </si>
  <si>
    <t>шт.</t>
  </si>
  <si>
    <t>Подготовительные и земельные работы</t>
  </si>
  <si>
    <t>Ед. изм.</t>
  </si>
  <si>
    <t>Цена</t>
  </si>
  <si>
    <t>ИТОГО:</t>
  </si>
  <si>
    <t>Организационные затраты (предварительно)</t>
  </si>
  <si>
    <t>%</t>
  </si>
  <si>
    <t>Накладные расходы (расходные материалы, комплектация заказов, зарплата АУП и пр.)</t>
  </si>
  <si>
    <t>Транспортные расходы</t>
  </si>
  <si>
    <t>Авторское сопровождение</t>
  </si>
  <si>
    <t>меш.</t>
  </si>
  <si>
    <t>Объемы</t>
  </si>
  <si>
    <t xml:space="preserve">Площадь  основания под пешеходное мощение   </t>
  </si>
  <si>
    <t>Работа:</t>
  </si>
  <si>
    <t>м.пог.</t>
  </si>
  <si>
    <t xml:space="preserve">Уплотнение основания грунта виброплитой </t>
  </si>
  <si>
    <t>Устройство песчаного слоя дорожных одежд толщиной 0,15м</t>
  </si>
  <si>
    <t>Укладка геотекстиля</t>
  </si>
  <si>
    <t>Материалы:</t>
  </si>
  <si>
    <t xml:space="preserve">Щебень 20-40мм </t>
  </si>
  <si>
    <t xml:space="preserve">Щебень 5-20мм </t>
  </si>
  <si>
    <t>Портландцемент М400, 50кг</t>
  </si>
  <si>
    <t>Аренда виброплиты 110-130 кг</t>
  </si>
  <si>
    <t>смена</t>
  </si>
  <si>
    <t>Геотектстиль типа Дорнит 200</t>
  </si>
  <si>
    <t>Устройство монтажного слоя из отсева с добавлением цемента  (4см)</t>
  </si>
  <si>
    <t>Укрепление крайнего ряда</t>
  </si>
  <si>
    <t>ТБП КЛАССИКО Б.3.КО.6</t>
  </si>
  <si>
    <t>Диски алмазные</t>
  </si>
  <si>
    <t>Мощение</t>
  </si>
  <si>
    <t>Брусчатка пилено-колотая гранитн. 100х100х50мм</t>
  </si>
  <si>
    <t>Песок крупнозернистый намывной</t>
  </si>
  <si>
    <t>Мощение пилено-колотрой гранитной  брусчаткой 100х100х50мм</t>
  </si>
  <si>
    <t>Отсев гранитный</t>
  </si>
  <si>
    <t xml:space="preserve">Мощение ТБП 60мм </t>
  </si>
  <si>
    <t>Подрезка плитки</t>
  </si>
  <si>
    <t xml:space="preserve">Площадь  мощения </t>
  </si>
  <si>
    <t>Песок сеяный (для прометания)</t>
  </si>
  <si>
    <t xml:space="preserve">Устройство щебеночного слоя дорожных одежд толщиной 0,15м (щебнем фр.20-40) с расклинцовкой </t>
  </si>
  <si>
    <t>Перекопка  верхнего слоя почвы  с выбором корневищ и мусора внесением грунта и песка</t>
  </si>
  <si>
    <t>Обрезка плодовых деревьев (май и сентябрь)</t>
  </si>
  <si>
    <t>Вынос проекта с корректировкой по месту</t>
  </si>
  <si>
    <t>Снятие утрамбованного щебня (бывшая дорожка перед баней)</t>
  </si>
  <si>
    <t>Временные бытовые условия (+ спецодежда, связь, ТО туал.кабины)</t>
  </si>
  <si>
    <t>Доставки материалов и оборудования, погрузочно-разгрузочные работы</t>
  </si>
  <si>
    <t>Демонтаж бетоной стяжки (бывшая дорожка перед баней) с упаковкой в мешки</t>
  </si>
  <si>
    <t>Выемка кирпича и бетона (с наружной стороны забора)  с упаковкой в мешки</t>
  </si>
  <si>
    <t>Устройство газона</t>
  </si>
  <si>
    <t>Объемы:</t>
  </si>
  <si>
    <t>Общая площадь газона</t>
  </si>
  <si>
    <t>Снятие старой дернины</t>
  </si>
  <si>
    <t>Выборка ложа (-170мм) от чистовой отметки вручную (перед баней)</t>
  </si>
  <si>
    <t xml:space="preserve">м.куб. </t>
  </si>
  <si>
    <t>Устройство газонного ложа для обыкновенного газона: грунт плодородный (торфогрунт:песок:дерновая земля - 1:2:3), 160мм</t>
  </si>
  <si>
    <t>Устройство рулонного газона на подготовленном основании с обрезкой краев</t>
  </si>
  <si>
    <t>Просеивание местного грунта</t>
  </si>
  <si>
    <t>Установка ограничивающего бордюра (доска, брусок)</t>
  </si>
  <si>
    <t>м. пог</t>
  </si>
  <si>
    <t xml:space="preserve">Доска 25х100х6000 мм </t>
  </si>
  <si>
    <t xml:space="preserve">Торфогрунт питательный, 300л </t>
  </si>
  <si>
    <t>кипа</t>
  </si>
  <si>
    <t>Готовый рулонный газон "Универсальный"</t>
  </si>
  <si>
    <t>рулон 0,8м2</t>
  </si>
  <si>
    <t>Удобрение универсальн., газонное</t>
  </si>
  <si>
    <t>кг</t>
  </si>
  <si>
    <t>Вынос проекта на местность</t>
  </si>
  <si>
    <t>компл.</t>
  </si>
  <si>
    <t>Перекопка с внесением крупного песка и с дальнейшим выравниванием, выведением уклонов  и уплотнением</t>
  </si>
  <si>
    <t>Устройство поверхностного дренажного слоя из песка с прикаткой, 2см</t>
  </si>
  <si>
    <t>Устройство рулонного газона на подготовленном основании</t>
  </si>
  <si>
    <t>Обрезка краев газона криволинейная</t>
  </si>
  <si>
    <t>Установка бордюра (криволинейная)</t>
  </si>
  <si>
    <t>Разгрузка газона и перемещение по участку</t>
  </si>
  <si>
    <t>рул.</t>
  </si>
  <si>
    <t xml:space="preserve">Бордюр пластиковый, 100х8х4.5см </t>
  </si>
  <si>
    <t>Крепящий анкер для ландшафтного бордюра (количество для установки по дуге 5шт. на 1м.п.)</t>
  </si>
  <si>
    <t>Подготовительные и заключительные работы.</t>
  </si>
  <si>
    <t>Аренда вагончика</t>
  </si>
  <si>
    <t>мес.</t>
  </si>
  <si>
    <t>Завоз-вывоз вагончика</t>
  </si>
  <si>
    <t>кол-во раз</t>
  </si>
  <si>
    <t>Выезд электрика для подключения в вагончике</t>
  </si>
  <si>
    <t xml:space="preserve">Аренда обслуживание (2 раза в месяц) туалетной кабины </t>
  </si>
  <si>
    <t>Доставка/вывоз туалетной кабины</t>
  </si>
  <si>
    <t>Дополнительные работы.</t>
  </si>
  <si>
    <t>Выкопка елей 1-1,5м</t>
  </si>
  <si>
    <t>Выкопка шиповника</t>
  </si>
  <si>
    <t>Копка траншеи под кабель в песчаном грунте</t>
  </si>
  <si>
    <t>м. пог.</t>
  </si>
  <si>
    <t>Посадка розы</t>
  </si>
  <si>
    <t>Выемка строительного мусора из почвы</t>
  </si>
  <si>
    <t>Спил березы</t>
  </si>
  <si>
    <t>Устройство закладных.</t>
  </si>
  <si>
    <t>Выемка грунта вручную глубиной 400мм</t>
  </si>
  <si>
    <t>Устройство закладных из 3-х труб d=110 мм</t>
  </si>
  <si>
    <t>Обратная засыпка грунта</t>
  </si>
  <si>
    <t>Труба канализационная для наружных работ Solex SN4 d=110мм</t>
  </si>
  <si>
    <t>Расходные материалы</t>
  </si>
  <si>
    <t>Корчевка поросли механическая и ручная очистка участка от выкорчеванной поросли</t>
  </si>
  <si>
    <t>Ручная перекопка участка с удалением корней и корневищ</t>
  </si>
  <si>
    <t xml:space="preserve">Механическая планировка участка: выемка грунта </t>
  </si>
  <si>
    <t>Механическая планировка участка: снятие и подсыпка грунта</t>
  </si>
  <si>
    <t>Планировочные работы.</t>
  </si>
  <si>
    <t>1. Подготовка основания для пешеходных дорожек и площадок под мощение тротуарной плиткой.</t>
  </si>
  <si>
    <t xml:space="preserve">Выборка ложа под мощение (-450мм) от чистовой отметки в отвал (механическая) </t>
  </si>
  <si>
    <t xml:space="preserve">Уплотнение основания виброплитой </t>
  </si>
  <si>
    <t>Устройство песчаного слоя, 230мм</t>
  </si>
  <si>
    <t>Устройство несущего щебнистого слоя (120мм) из щебня 20-40мм с проливом водой и трамбовкой с расклинцовкой щебнем 5-20мм</t>
  </si>
  <si>
    <t>Аренда виброплиты 70кг</t>
  </si>
  <si>
    <t>Щебень гранитный 20-40мм</t>
  </si>
  <si>
    <t>Щебень гранитный 5-20мм (для расклинцовки)</t>
  </si>
  <si>
    <t>Геотекстильное нетканое полотно Канвалан МФ-9</t>
  </si>
  <si>
    <t>Песок намывной, крупный</t>
  </si>
  <si>
    <t xml:space="preserve">Выборка ложа под мощение (-300мм) от чистовой отметки в отвал (механическая) </t>
  </si>
  <si>
    <t>Устройство песчаного слоя (150мм)</t>
  </si>
  <si>
    <t>Устройство несущего щебнистого слоя (120мм) под пешеходное мощение из щебня 20-40мм с проливом водой и трамбовкой с расклинцовкой щебнем 5-20мм</t>
  </si>
  <si>
    <t xml:space="preserve">Установка пластикового бордюра </t>
  </si>
  <si>
    <t>Устройство монтажного слоя из отсева (40мм)</t>
  </si>
  <si>
    <t>Мощение ТБП</t>
  </si>
  <si>
    <t xml:space="preserve">Погрузочно-разгрузочные работы </t>
  </si>
  <si>
    <t>т</t>
  </si>
  <si>
    <t>Тротуарная бетонная плитка "Антик", 197x97x60мм</t>
  </si>
  <si>
    <t>Отсев гранитный 2-5мм</t>
  </si>
  <si>
    <t>Песок мелкий сеяный для швов, 50кг</t>
  </si>
  <si>
    <t>Диски алмазный</t>
  </si>
  <si>
    <t>Бордюр газонный типа Plastbort с крепежом, 45мм</t>
  </si>
  <si>
    <t>Устройство набивного финишного покрытия из отсева (40мм)</t>
  </si>
  <si>
    <t>Устройство набивного финишного покрытия из гравия (40мм) с мытьем</t>
  </si>
  <si>
    <t>Гравий карьерный 5-20мм</t>
  </si>
  <si>
    <t xml:space="preserve">Устройство монтажного слоя из отсева (40мм) </t>
  </si>
  <si>
    <t xml:space="preserve">Уплотнение виброплитой </t>
  </si>
  <si>
    <t>Мощение плитами</t>
  </si>
  <si>
    <t>Плита бетонная, 40мм</t>
  </si>
  <si>
    <t>Устройство бесшовного покрытия отмостки из резиновой крошки.</t>
  </si>
  <si>
    <t xml:space="preserve">Установка металлического бордюра </t>
  </si>
  <si>
    <t>Восстановление бетонной отмостки</t>
  </si>
  <si>
    <t>Чистка бетонной отмостки</t>
  </si>
  <si>
    <t>Грунтование бетонной отмостки в 2 слоя</t>
  </si>
  <si>
    <t>Устройство выравнивающего слоя (5-20мм)</t>
  </si>
  <si>
    <t>Устройство бесшовного покрытия отмостки из резиновой крошки, 10мм (с материалами)</t>
  </si>
  <si>
    <t>Устройство временной съемной опалубки</t>
  </si>
  <si>
    <t>Металлический бордюр</t>
  </si>
  <si>
    <t>Цемент М400, 50кг</t>
  </si>
  <si>
    <t>Сетка кладочная яч. 50х50мм d3,5-3,8мм, 0,51х2м</t>
  </si>
  <si>
    <t>Грунтовка концентрат</t>
  </si>
  <si>
    <t>л</t>
  </si>
  <si>
    <t>Ровнитель для бетона Plitonit, 25кг</t>
  </si>
  <si>
    <t>Песок строительный, 50кг</t>
  </si>
  <si>
    <t>Доска обрезная 100х25мм</t>
  </si>
  <si>
    <t>Ливневая канализация.</t>
  </si>
  <si>
    <t>Установка дождеприемника</t>
  </si>
  <si>
    <t xml:space="preserve">Устройство ливневой системы водоотвода (глубина 700мм) </t>
  </si>
  <si>
    <t>Дождеприемник пластик. 300х300х300 мм в сборе с решеткой чугунной</t>
  </si>
  <si>
    <t>Щебень гранитный 5-20мм (в основание дождеприемника)</t>
  </si>
  <si>
    <t>Герметик</t>
  </si>
  <si>
    <t>Устройство газона.</t>
  </si>
  <si>
    <t xml:space="preserve">Выборка ложа (-280мм) от чистовой отметки (механическая) </t>
  </si>
  <si>
    <t>Устройство нижнего слоя из песка (100мм)</t>
  </si>
  <si>
    <t>Устройство газонного ложа для обыкновенного газона: грунт плодородный (торфогрунт:песок:дерновая земля - 1:2:3), 150мм</t>
  </si>
  <si>
    <t>Установка бордюра Plastbort</t>
  </si>
  <si>
    <t>Разгрузка газона</t>
  </si>
  <si>
    <t>Грунт дерновый /просеивание местного грунта</t>
  </si>
  <si>
    <t>Торфогрунт нейтр., 300л</t>
  </si>
  <si>
    <t>Готовый рулонный газон бюджетный, 0.8м.кв.</t>
  </si>
  <si>
    <t>Удобрения минеральные длительного действия</t>
  </si>
  <si>
    <t>Подготовка основания под набивное покрытие.</t>
  </si>
  <si>
    <t>Мощение тротуарной бетонной плиткой (ТБП).</t>
  </si>
  <si>
    <t>Устройство набивного покрытия.</t>
  </si>
  <si>
    <t>Устройство пошаговой дорожки из бетонных плит.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</si>
</sst>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#,##0.0"/>
    <numFmt numFmtId="165" formatCode="_-* #,##0.00\ _₽_-;\-* #,##0.00\ _₽_-;_-* &quot;-&quot;??\ _₽_-;_-@_-"/>
    <numFmt numFmtId="166" formatCode="_-* #,##0.00\ [$₽-419]_-;\-* #,##0.00\ [$₽-419]_-;_-* &quot;-&quot;??\ [$₽-419]_-;_-@_-"/>
    <numFmt numFmtId="168" formatCode="0.0%"/>
    <numFmt numFmtId="169" formatCode="_-* #,##0.00_р_._-;\-* #,##0.00_р_._-;_-* &quot;-&quot;??_р_._-;_-@_-"/>
    <numFmt numFmtId="171" formatCode="_-* #,##0.00&quot;р.&quot;_-;\-* #,##0.00&quot;р.&quot;_-;_-* &quot;-&quot;??&quot;р.&quot;_-;_-@_-"/>
  </numFmts>
  <fonts count="37" x14ac:knownFonts="1"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0"/>
      <name val="Arial Cyr"/>
      <charset val="204"/>
    </font>
    <font>
      <sz val="8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Helv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charset val="204"/>
      <scheme val="minor"/>
    </font>
    <font>
      <i/>
      <sz val="12"/>
      <name val="Calibri"/>
      <family val="2"/>
      <scheme val="minor"/>
    </font>
    <font>
      <sz val="11"/>
      <name val="Calibri"/>
      <family val="2"/>
      <charset val="204"/>
    </font>
    <font>
      <sz val="10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</font>
    <font>
      <b/>
      <sz val="12"/>
      <name val="Calibri"/>
      <family val="2"/>
      <charset val="204"/>
    </font>
    <font>
      <sz val="9"/>
      <color rgb="FFFF0000"/>
      <name val="Calibri"/>
      <family val="2"/>
      <charset val="204"/>
    </font>
    <font>
      <sz val="9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0"/>
      <color rgb="FFFF000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">
    <xf numFmtId="0" fontId="0" fillId="0" borderId="0"/>
    <xf numFmtId="0" fontId="2" fillId="0" borderId="0"/>
    <xf numFmtId="166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0" fontId="12" fillId="0" borderId="0"/>
    <xf numFmtId="0" fontId="14" fillId="0" borderId="0"/>
    <xf numFmtId="9" fontId="15" fillId="0" borderId="0" applyFont="0" applyFill="0" applyBorder="0" applyAlignment="0" applyProtection="0"/>
    <xf numFmtId="0" fontId="5" fillId="0" borderId="0"/>
    <xf numFmtId="43" fontId="15" fillId="0" borderId="0" applyFont="0" applyFill="0" applyBorder="0" applyAlignment="0" applyProtection="0"/>
    <xf numFmtId="0" fontId="2" fillId="0" borderId="0"/>
    <xf numFmtId="0" fontId="8" fillId="0" borderId="0"/>
    <xf numFmtId="0" fontId="1" fillId="0" borderId="0"/>
    <xf numFmtId="169" fontId="2" fillId="0" borderId="0" applyFont="0" applyFill="0" applyBorder="0" applyAlignment="0" applyProtection="0"/>
    <xf numFmtId="0" fontId="14" fillId="0" borderId="0"/>
    <xf numFmtId="0" fontId="2" fillId="0" borderId="0"/>
    <xf numFmtId="0" fontId="1" fillId="0" borderId="0"/>
    <xf numFmtId="0" fontId="2" fillId="0" borderId="0"/>
    <xf numFmtId="0" fontId="2" fillId="0" borderId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26" fillId="0" borderId="0" applyFont="0" applyFill="0" applyBorder="0" applyAlignment="0" applyProtection="0"/>
  </cellStyleXfs>
  <cellXfs count="200">
    <xf numFmtId="0" fontId="0" fillId="0" borderId="0" xfId="0"/>
    <xf numFmtId="166" fontId="6" fillId="0" borderId="0" xfId="2" applyFont="1" applyAlignment="1">
      <alignment horizontal="center"/>
    </xf>
    <xf numFmtId="166" fontId="6" fillId="0" borderId="0" xfId="2" applyFont="1"/>
    <xf numFmtId="0" fontId="6" fillId="2" borderId="1" xfId="2" applyNumberFormat="1" applyFont="1" applyFill="1" applyBorder="1" applyAlignment="1">
      <alignment horizontal="center" vertical="center"/>
    </xf>
    <xf numFmtId="166" fontId="4" fillId="0" borderId="0" xfId="2" applyFont="1" applyAlignment="1">
      <alignment horizontal="center" vertical="center"/>
    </xf>
    <xf numFmtId="0" fontId="4" fillId="3" borderId="1" xfId="2" applyNumberFormat="1" applyFont="1" applyFill="1" applyBorder="1" applyAlignment="1">
      <alignment horizontal="center"/>
    </xf>
    <xf numFmtId="166" fontId="6" fillId="2" borderId="1" xfId="2" applyFont="1" applyFill="1" applyBorder="1" applyAlignment="1">
      <alignment horizontal="center" vertical="center"/>
    </xf>
    <xf numFmtId="3" fontId="6" fillId="2" borderId="1" xfId="2" applyNumberFormat="1" applyFont="1" applyFill="1" applyBorder="1" applyAlignment="1">
      <alignment horizontal="center" vertical="center"/>
    </xf>
    <xf numFmtId="166" fontId="6" fillId="0" borderId="0" xfId="2" applyFont="1" applyAlignment="1">
      <alignment wrapText="1"/>
    </xf>
    <xf numFmtId="0" fontId="6" fillId="0" borderId="0" xfId="2" applyNumberFormat="1" applyFont="1" applyAlignment="1">
      <alignment vertical="center"/>
    </xf>
    <xf numFmtId="0" fontId="6" fillId="2" borderId="0" xfId="2" applyNumberFormat="1" applyFont="1" applyFill="1" applyAlignment="1">
      <alignment vertical="center"/>
    </xf>
    <xf numFmtId="0" fontId="6" fillId="2" borderId="0" xfId="2" applyNumberFormat="1" applyFont="1" applyFill="1" applyAlignment="1">
      <alignment horizontal="center"/>
    </xf>
    <xf numFmtId="0" fontId="6" fillId="2" borderId="0" xfId="2" applyNumberFormat="1" applyFont="1" applyFill="1" applyAlignment="1">
      <alignment vertical="center" wrapText="1"/>
    </xf>
    <xf numFmtId="0" fontId="6" fillId="2" borderId="0" xfId="2" applyNumberFormat="1" applyFont="1" applyFill="1" applyAlignment="1">
      <alignment horizontal="center" vertical="center"/>
    </xf>
    <xf numFmtId="0" fontId="6" fillId="0" borderId="1" xfId="2" applyNumberFormat="1" applyFont="1" applyBorder="1" applyAlignment="1">
      <alignment vertical="center" wrapText="1"/>
    </xf>
    <xf numFmtId="0" fontId="6" fillId="0" borderId="1" xfId="2" applyNumberFormat="1" applyFont="1" applyBorder="1" applyAlignment="1">
      <alignment horizontal="center" vertical="center"/>
    </xf>
    <xf numFmtId="0" fontId="6" fillId="0" borderId="1" xfId="2" applyNumberFormat="1" applyFont="1" applyBorder="1" applyAlignment="1">
      <alignment horizontal="left" vertical="center" wrapText="1"/>
    </xf>
    <xf numFmtId="0" fontId="13" fillId="0" borderId="0" xfId="2" applyNumberFormat="1" applyFont="1" applyAlignment="1">
      <alignment vertical="center"/>
    </xf>
    <xf numFmtId="166" fontId="4" fillId="3" borderId="1" xfId="2" applyFont="1" applyFill="1" applyBorder="1" applyAlignment="1">
      <alignment vertical="center" wrapText="1"/>
    </xf>
    <xf numFmtId="166" fontId="6" fillId="3" borderId="1" xfId="2" applyFont="1" applyFill="1" applyBorder="1" applyAlignment="1">
      <alignment horizontal="center" vertical="center"/>
    </xf>
    <xf numFmtId="3" fontId="6" fillId="3" borderId="1" xfId="2" applyNumberFormat="1" applyFont="1" applyFill="1" applyBorder="1" applyAlignment="1">
      <alignment horizontal="center" vertical="center"/>
    </xf>
    <xf numFmtId="166" fontId="6" fillId="0" borderId="0" xfId="2" applyFont="1" applyAlignment="1">
      <alignment vertical="center"/>
    </xf>
    <xf numFmtId="0" fontId="6" fillId="2" borderId="1" xfId="2" applyNumberFormat="1" applyFont="1" applyFill="1" applyBorder="1" applyAlignment="1">
      <alignment vertical="center" wrapText="1"/>
    </xf>
    <xf numFmtId="166" fontId="6" fillId="2" borderId="0" xfId="2" applyFont="1" applyFill="1" applyAlignment="1">
      <alignment vertical="center"/>
    </xf>
    <xf numFmtId="166" fontId="4" fillId="3" borderId="1" xfId="2" applyFont="1" applyFill="1" applyBorder="1" applyAlignment="1">
      <alignment horizontal="center" vertical="center"/>
    </xf>
    <xf numFmtId="166" fontId="4" fillId="0" borderId="0" xfId="2" applyFont="1" applyAlignment="1">
      <alignment vertical="center"/>
    </xf>
    <xf numFmtId="0" fontId="7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16" fillId="2" borderId="0" xfId="2" applyNumberFormat="1" applyFont="1" applyFill="1" applyAlignment="1">
      <alignment vertical="center"/>
    </xf>
    <xf numFmtId="166" fontId="6" fillId="0" borderId="0" xfId="2" applyFont="1" applyAlignment="1">
      <alignment horizontal="center" wrapText="1"/>
    </xf>
    <xf numFmtId="3" fontId="4" fillId="3" borderId="1" xfId="2" applyNumberFormat="1" applyFont="1" applyFill="1" applyBorder="1" applyAlignment="1">
      <alignment horizontal="center" vertical="center"/>
    </xf>
    <xf numFmtId="166" fontId="6" fillId="0" borderId="1" xfId="2" applyFont="1" applyBorder="1" applyAlignment="1">
      <alignment wrapText="1"/>
    </xf>
    <xf numFmtId="3" fontId="6" fillId="0" borderId="0" xfId="0" applyNumberFormat="1" applyFont="1" applyAlignment="1">
      <alignment horizontal="center"/>
    </xf>
    <xf numFmtId="166" fontId="9" fillId="0" borderId="0" xfId="2" applyFont="1" applyAlignment="1">
      <alignment vertical="center" wrapText="1"/>
    </xf>
    <xf numFmtId="3" fontId="6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 wrapText="1"/>
    </xf>
    <xf numFmtId="3" fontId="10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2" borderId="0" xfId="2" applyNumberFormat="1" applyFont="1" applyFill="1" applyAlignment="1">
      <alignment horizontal="center" vertical="center"/>
    </xf>
    <xf numFmtId="3" fontId="9" fillId="0" borderId="0" xfId="2" applyNumberFormat="1" applyFont="1" applyAlignment="1">
      <alignment horizontal="center" vertical="center"/>
    </xf>
    <xf numFmtId="168" fontId="6" fillId="0" borderId="1" xfId="8" applyNumberFormat="1" applyFont="1" applyFill="1" applyBorder="1" applyAlignment="1">
      <alignment horizontal="center" vertical="center" wrapText="1"/>
    </xf>
    <xf numFmtId="0" fontId="4" fillId="3" borderId="1" xfId="2" applyNumberFormat="1" applyFont="1" applyFill="1" applyBorder="1" applyAlignment="1">
      <alignment horizontal="center" vertical="center" wrapText="1"/>
    </xf>
    <xf numFmtId="0" fontId="6" fillId="2" borderId="1" xfId="4" applyNumberFormat="1" applyFont="1" applyFill="1" applyBorder="1" applyAlignment="1">
      <alignment horizontal="center" vertical="center" wrapText="1"/>
    </xf>
    <xf numFmtId="0" fontId="6" fillId="3" borderId="1" xfId="2" applyNumberFormat="1" applyFont="1" applyFill="1" applyBorder="1" applyAlignment="1">
      <alignment horizontal="center" vertical="center"/>
    </xf>
    <xf numFmtId="166" fontId="9" fillId="0" borderId="0" xfId="2" applyFont="1" applyAlignment="1">
      <alignment horizontal="center" vertical="center"/>
    </xf>
    <xf numFmtId="166" fontId="9" fillId="0" borderId="0" xfId="2" applyFont="1" applyAlignment="1">
      <alignment vertical="center"/>
    </xf>
    <xf numFmtId="0" fontId="16" fillId="0" borderId="0" xfId="2" applyNumberFormat="1" applyFont="1" applyAlignment="1">
      <alignment vertical="center"/>
    </xf>
    <xf numFmtId="0" fontId="6" fillId="2" borderId="1" xfId="2" applyNumberFormat="1" applyFont="1" applyFill="1" applyBorder="1" applyAlignment="1">
      <alignment horizontal="left" vertical="center" wrapText="1"/>
    </xf>
    <xf numFmtId="168" fontId="6" fillId="2" borderId="1" xfId="8" applyNumberFormat="1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11" applyFont="1" applyFill="1" applyBorder="1" applyAlignment="1">
      <alignment horizontal="center"/>
    </xf>
    <xf numFmtId="0" fontId="6" fillId="2" borderId="0" xfId="0" applyFont="1" applyFill="1"/>
    <xf numFmtId="0" fontId="7" fillId="2" borderId="0" xfId="11" applyFont="1" applyFill="1" applyAlignment="1">
      <alignment horizontal="left" vertical="center" wrapText="1"/>
    </xf>
    <xf numFmtId="0" fontId="6" fillId="2" borderId="0" xfId="11" applyFont="1" applyFill="1" applyAlignment="1">
      <alignment horizontal="center" vertical="center" wrapText="1"/>
    </xf>
    <xf numFmtId="3" fontId="6" fillId="2" borderId="0" xfId="11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10" fillId="2" borderId="1" xfId="0" applyFont="1" applyFill="1" applyBorder="1"/>
    <xf numFmtId="0" fontId="10" fillId="2" borderId="1" xfId="11" applyFont="1" applyFill="1" applyBorder="1" applyAlignment="1">
      <alignment horizontal="left" vertical="center" wrapText="1"/>
    </xf>
    <xf numFmtId="0" fontId="10" fillId="2" borderId="1" xfId="11" applyFont="1" applyFill="1" applyBorder="1" applyAlignment="1">
      <alignment horizontal="center" vertical="center" wrapText="1"/>
    </xf>
    <xf numFmtId="3" fontId="10" fillId="2" borderId="1" xfId="11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0" fontId="4" fillId="2" borderId="0" xfId="12" applyFont="1" applyFill="1" applyAlignment="1">
      <alignment horizontal="left" wrapText="1"/>
    </xf>
    <xf numFmtId="0" fontId="6" fillId="2" borderId="0" xfId="12" applyFont="1" applyFill="1" applyAlignment="1">
      <alignment horizontal="center"/>
    </xf>
    <xf numFmtId="3" fontId="6" fillId="2" borderId="0" xfId="12" applyNumberFormat="1" applyFont="1" applyFill="1" applyAlignment="1">
      <alignment horizontal="center"/>
    </xf>
    <xf numFmtId="3" fontId="6" fillId="2" borderId="0" xfId="13" applyNumberFormat="1" applyFont="1" applyFill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6" fillId="2" borderId="1" xfId="1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13" applyFont="1" applyFill="1" applyBorder="1" applyAlignment="1">
      <alignment wrapText="1"/>
    </xf>
    <xf numFmtId="0" fontId="6" fillId="2" borderId="1" xfId="13" applyFont="1" applyFill="1" applyBorder="1" applyAlignment="1">
      <alignment horizontal="center"/>
    </xf>
    <xf numFmtId="3" fontId="6" fillId="2" borderId="1" xfId="10" applyNumberFormat="1" applyFont="1" applyFill="1" applyBorder="1" applyAlignment="1">
      <alignment horizontal="center"/>
    </xf>
    <xf numFmtId="0" fontId="4" fillId="2" borderId="0" xfId="13" applyFont="1" applyFill="1" applyAlignment="1">
      <alignment wrapText="1"/>
    </xf>
    <xf numFmtId="0" fontId="6" fillId="2" borderId="0" xfId="13" applyFont="1" applyFill="1" applyAlignment="1">
      <alignment horizontal="center"/>
    </xf>
    <xf numFmtId="0" fontId="6" fillId="2" borderId="4" xfId="1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/>
    </xf>
    <xf numFmtId="0" fontId="18" fillId="2" borderId="1" xfId="0" applyFont="1" applyFill="1" applyBorder="1" applyAlignment="1">
      <alignment vertical="center" wrapText="1"/>
    </xf>
    <xf numFmtId="0" fontId="18" fillId="2" borderId="1" xfId="13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vertical="center"/>
    </xf>
    <xf numFmtId="0" fontId="18" fillId="2" borderId="1" xfId="13" applyFont="1" applyFill="1" applyBorder="1" applyAlignment="1">
      <alignment vertical="center" wrapText="1"/>
    </xf>
    <xf numFmtId="3" fontId="18" fillId="2" borderId="1" xfId="1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vertical="center" wrapText="1"/>
    </xf>
    <xf numFmtId="0" fontId="11" fillId="0" borderId="0" xfId="12" applyFont="1" applyAlignment="1">
      <alignment horizontal="center" wrapText="1"/>
    </xf>
    <xf numFmtId="0" fontId="9" fillId="0" borderId="0" xfId="11" applyFont="1" applyAlignment="1">
      <alignment vertical="center"/>
    </xf>
    <xf numFmtId="0" fontId="6" fillId="0" borderId="0" xfId="12" applyFont="1" applyAlignment="1">
      <alignment vertical="center"/>
    </xf>
    <xf numFmtId="3" fontId="6" fillId="0" borderId="0" xfId="12" applyNumberFormat="1" applyFont="1" applyAlignment="1">
      <alignment vertical="center"/>
    </xf>
    <xf numFmtId="0" fontId="6" fillId="0" borderId="0" xfId="5" applyFont="1"/>
    <xf numFmtId="0" fontId="6" fillId="0" borderId="0" xfId="12" applyFont="1"/>
    <xf numFmtId="0" fontId="6" fillId="0" borderId="0" xfId="5" applyFont="1" applyAlignment="1">
      <alignment vertical="top"/>
    </xf>
    <xf numFmtId="0" fontId="6" fillId="0" borderId="1" xfId="5" applyFont="1" applyBorder="1" applyAlignment="1">
      <alignment vertical="center" wrapText="1"/>
    </xf>
    <xf numFmtId="0" fontId="6" fillId="0" borderId="1" xfId="12" applyFont="1" applyBorder="1" applyAlignment="1">
      <alignment horizontal="center" vertical="center"/>
    </xf>
    <xf numFmtId="3" fontId="6" fillId="0" borderId="1" xfId="5" applyNumberFormat="1" applyFont="1" applyBorder="1" applyAlignment="1">
      <alignment vertical="center"/>
    </xf>
    <xf numFmtId="3" fontId="6" fillId="0" borderId="1" xfId="12" applyNumberFormat="1" applyFont="1" applyBorder="1" applyAlignment="1">
      <alignment vertical="center"/>
    </xf>
    <xf numFmtId="0" fontId="6" fillId="0" borderId="0" xfId="5" applyFont="1" applyAlignment="1">
      <alignment vertical="center"/>
    </xf>
    <xf numFmtId="0" fontId="4" fillId="3" borderId="0" xfId="11" applyFont="1" applyFill="1" applyAlignment="1">
      <alignment vertical="center"/>
    </xf>
    <xf numFmtId="0" fontId="6" fillId="0" borderId="0" xfId="12" applyFont="1" applyAlignment="1">
      <alignment horizontal="center" vertical="center" wrapText="1"/>
    </xf>
    <xf numFmtId="166" fontId="4" fillId="3" borderId="2" xfId="2" applyFont="1" applyFill="1" applyBorder="1" applyAlignment="1">
      <alignment vertical="center" wrapText="1"/>
    </xf>
    <xf numFmtId="0" fontId="4" fillId="3" borderId="3" xfId="2" applyNumberFormat="1" applyFont="1" applyFill="1" applyBorder="1" applyAlignment="1">
      <alignment horizontal="center"/>
    </xf>
    <xf numFmtId="166" fontId="4" fillId="3" borderId="1" xfId="2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right"/>
    </xf>
    <xf numFmtId="0" fontId="21" fillId="2" borderId="0" xfId="0" applyFont="1" applyFill="1"/>
    <xf numFmtId="0" fontId="17" fillId="2" borderId="0" xfId="0" applyFont="1" applyFill="1"/>
    <xf numFmtId="0" fontId="18" fillId="2" borderId="0" xfId="0" applyFont="1" applyFill="1" applyAlignment="1">
      <alignment horizontal="right" vertical="center" wrapText="1"/>
    </xf>
    <xf numFmtId="0" fontId="18" fillId="2" borderId="1" xfId="16" applyFont="1" applyFill="1" applyBorder="1" applyAlignment="1">
      <alignment wrapText="1"/>
    </xf>
    <xf numFmtId="0" fontId="18" fillId="2" borderId="1" xfId="0" applyFont="1" applyFill="1" applyBorder="1" applyAlignment="1">
      <alignment horizontal="center"/>
    </xf>
    <xf numFmtId="3" fontId="18" fillId="2" borderId="1" xfId="17" applyNumberFormat="1" applyFont="1" applyFill="1" applyBorder="1" applyAlignment="1">
      <alignment horizontal="right"/>
    </xf>
    <xf numFmtId="3" fontId="18" fillId="2" borderId="1" xfId="14" applyNumberFormat="1" applyFont="1" applyFill="1" applyBorder="1" applyAlignment="1">
      <alignment horizontal="right" wrapText="1"/>
    </xf>
    <xf numFmtId="1" fontId="22" fillId="2" borderId="1" xfId="17" applyNumberFormat="1" applyFont="1" applyFill="1" applyBorder="1"/>
    <xf numFmtId="0" fontId="20" fillId="2" borderId="0" xfId="18" applyFont="1" applyFill="1" applyAlignment="1">
      <alignment horizontal="right" wrapText="1"/>
    </xf>
    <xf numFmtId="3" fontId="18" fillId="2" borderId="1" xfId="0" applyNumberFormat="1" applyFont="1" applyFill="1" applyBorder="1" applyAlignment="1">
      <alignment horizontal="right"/>
    </xf>
    <xf numFmtId="0" fontId="23" fillId="2" borderId="1" xfId="18" applyFont="1" applyFill="1" applyBorder="1" applyAlignment="1">
      <alignment horizontal="center" wrapText="1"/>
    </xf>
    <xf numFmtId="0" fontId="24" fillId="2" borderId="0" xfId="0" applyFont="1" applyFill="1"/>
    <xf numFmtId="0" fontId="18" fillId="2" borderId="1" xfId="17" applyFont="1" applyFill="1" applyBorder="1" applyAlignment="1">
      <alignment horizontal="center"/>
    </xf>
    <xf numFmtId="1" fontId="25" fillId="2" borderId="1" xfId="17" applyNumberFormat="1" applyFont="1" applyFill="1" applyBorder="1"/>
    <xf numFmtId="0" fontId="18" fillId="2" borderId="0" xfId="18" applyFont="1" applyFill="1" applyAlignment="1">
      <alignment wrapText="1"/>
    </xf>
    <xf numFmtId="0" fontId="18" fillId="2" borderId="1" xfId="18" applyFont="1" applyFill="1" applyBorder="1" applyAlignment="1">
      <alignment wrapText="1"/>
    </xf>
    <xf numFmtId="0" fontId="23" fillId="2" borderId="1" xfId="18" applyFont="1" applyFill="1" applyBorder="1" applyAlignment="1">
      <alignment wrapText="1"/>
    </xf>
    <xf numFmtId="0" fontId="6" fillId="2" borderId="1" xfId="19" applyFont="1" applyFill="1" applyBorder="1" applyAlignment="1">
      <alignment wrapText="1"/>
    </xf>
    <xf numFmtId="0" fontId="6" fillId="2" borderId="1" xfId="11" applyFont="1" applyFill="1" applyBorder="1" applyAlignment="1">
      <alignment horizontal="center"/>
    </xf>
    <xf numFmtId="3" fontId="6" fillId="2" borderId="1" xfId="12" applyNumberFormat="1" applyFont="1" applyFill="1" applyBorder="1" applyAlignment="1">
      <alignment horizontal="right"/>
    </xf>
    <xf numFmtId="0" fontId="23" fillId="2" borderId="3" xfId="18" applyFont="1" applyFill="1" applyBorder="1" applyAlignment="1">
      <alignment wrapText="1"/>
    </xf>
    <xf numFmtId="0" fontId="0" fillId="2" borderId="0" xfId="0" applyFill="1"/>
    <xf numFmtId="0" fontId="18" fillId="2" borderId="1" xfId="0" applyFont="1" applyFill="1" applyBorder="1" applyAlignment="1">
      <alignment wrapText="1"/>
    </xf>
    <xf numFmtId="3" fontId="18" fillId="2" borderId="1" xfId="0" applyNumberFormat="1" applyFont="1" applyFill="1" applyBorder="1"/>
    <xf numFmtId="0" fontId="18" fillId="2" borderId="1" xfId="11" applyFont="1" applyFill="1" applyBorder="1" applyAlignment="1">
      <alignment wrapText="1"/>
    </xf>
    <xf numFmtId="3" fontId="18" fillId="2" borderId="1" xfId="10" applyNumberFormat="1" applyFont="1" applyFill="1" applyBorder="1" applyAlignment="1">
      <alignment horizontal="right" wrapText="1"/>
    </xf>
    <xf numFmtId="3" fontId="18" fillId="2" borderId="1" xfId="10" applyNumberFormat="1" applyFont="1" applyFill="1" applyBorder="1" applyAlignment="1">
      <alignment wrapText="1"/>
    </xf>
    <xf numFmtId="0" fontId="18" fillId="2" borderId="1" xfId="11" applyFont="1" applyFill="1" applyBorder="1" applyAlignment="1">
      <alignment horizontal="center" wrapText="1"/>
    </xf>
    <xf numFmtId="0" fontId="27" fillId="0" borderId="1" xfId="0" applyFont="1" applyBorder="1" applyAlignment="1">
      <alignment wrapText="1"/>
    </xf>
    <xf numFmtId="0" fontId="6" fillId="2" borderId="0" xfId="11" applyFont="1" applyFill="1" applyBorder="1" applyAlignment="1">
      <alignment horizontal="center"/>
    </xf>
    <xf numFmtId="3" fontId="6" fillId="2" borderId="0" xfId="12" applyNumberFormat="1" applyFont="1" applyFill="1" applyBorder="1" applyAlignment="1">
      <alignment horizontal="right"/>
    </xf>
    <xf numFmtId="0" fontId="23" fillId="2" borderId="0" xfId="18" applyFont="1" applyFill="1" applyBorder="1" applyAlignment="1">
      <alignment wrapText="1"/>
    </xf>
    <xf numFmtId="0" fontId="28" fillId="2" borderId="0" xfId="0" applyFont="1" applyFill="1"/>
    <xf numFmtId="0" fontId="29" fillId="2" borderId="0" xfId="0" applyFont="1" applyFill="1"/>
    <xf numFmtId="0" fontId="20" fillId="2" borderId="0" xfId="0" applyFont="1" applyFill="1" applyAlignment="1">
      <alignment wrapText="1"/>
    </xf>
    <xf numFmtId="3" fontId="28" fillId="2" borderId="0" xfId="0" applyNumberFormat="1" applyFont="1" applyFill="1"/>
    <xf numFmtId="0" fontId="31" fillId="2" borderId="0" xfId="12" applyFont="1" applyFill="1"/>
    <xf numFmtId="0" fontId="31" fillId="2" borderId="0" xfId="0" applyFont="1" applyFill="1"/>
    <xf numFmtId="0" fontId="19" fillId="2" borderId="1" xfId="11" applyFont="1" applyFill="1" applyBorder="1" applyAlignment="1">
      <alignment wrapText="1"/>
    </xf>
    <xf numFmtId="0" fontId="32" fillId="2" borderId="0" xfId="0" applyFont="1" applyFill="1"/>
    <xf numFmtId="0" fontId="20" fillId="2" borderId="0" xfId="0" applyFont="1" applyFill="1"/>
    <xf numFmtId="0" fontId="33" fillId="2" borderId="0" xfId="0" applyFont="1" applyFill="1"/>
    <xf numFmtId="0" fontId="32" fillId="2" borderId="0" xfId="0" applyFont="1" applyFill="1" applyAlignment="1">
      <alignment wrapText="1"/>
    </xf>
    <xf numFmtId="0" fontId="19" fillId="2" borderId="0" xfId="0" applyFont="1" applyFill="1"/>
    <xf numFmtId="3" fontId="19" fillId="2" borderId="0" xfId="0" applyNumberFormat="1" applyFont="1" applyFill="1"/>
    <xf numFmtId="0" fontId="19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horizontal="center"/>
    </xf>
    <xf numFmtId="3" fontId="19" fillId="2" borderId="1" xfId="0" applyNumberFormat="1" applyFont="1" applyFill="1" applyBorder="1"/>
    <xf numFmtId="3" fontId="19" fillId="2" borderId="1" xfId="0" applyNumberFormat="1" applyFont="1" applyFill="1" applyBorder="1" applyAlignment="1">
      <alignment horizontal="right"/>
    </xf>
    <xf numFmtId="0" fontId="18" fillId="2" borderId="1" xfId="13" applyFont="1" applyFill="1" applyBorder="1" applyAlignment="1">
      <alignment wrapText="1"/>
    </xf>
    <xf numFmtId="0" fontId="32" fillId="2" borderId="0" xfId="0" applyFont="1" applyFill="1" applyAlignment="1">
      <alignment horizontal="center"/>
    </xf>
    <xf numFmtId="0" fontId="33" fillId="2" borderId="0" xfId="0" applyFont="1" applyFill="1" applyAlignment="1">
      <alignment horizontal="right"/>
    </xf>
    <xf numFmtId="0" fontId="18" fillId="2" borderId="1" xfId="0" applyFont="1" applyFill="1" applyBorder="1" applyAlignment="1">
      <alignment horizontal="center" wrapText="1"/>
    </xf>
    <xf numFmtId="3" fontId="18" fillId="2" borderId="1" xfId="0" applyNumberFormat="1" applyFont="1" applyFill="1" applyBorder="1" applyAlignment="1">
      <alignment horizontal="right" wrapText="1"/>
    </xf>
    <xf numFmtId="3" fontId="31" fillId="2" borderId="1" xfId="0" applyNumberFormat="1" applyFont="1" applyFill="1" applyBorder="1"/>
    <xf numFmtId="3" fontId="34" fillId="2" borderId="1" xfId="0" applyNumberFormat="1" applyFont="1" applyFill="1" applyBorder="1"/>
    <xf numFmtId="0" fontId="19" fillId="2" borderId="5" xfId="15" applyFont="1" applyFill="1" applyBorder="1" applyAlignment="1">
      <alignment wrapText="1"/>
    </xf>
    <xf numFmtId="0" fontId="17" fillId="0" borderId="0" xfId="0" applyFont="1"/>
    <xf numFmtId="0" fontId="18" fillId="0" borderId="0" xfId="0" applyFont="1"/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horizontal="center"/>
    </xf>
    <xf numFmtId="3" fontId="18" fillId="0" borderId="1" xfId="0" applyNumberFormat="1" applyFont="1" applyBorder="1"/>
    <xf numFmtId="0" fontId="18" fillId="2" borderId="0" xfId="0" applyFont="1" applyFill="1" applyAlignment="1">
      <alignment vertical="center" wrapText="1"/>
    </xf>
    <xf numFmtId="0" fontId="18" fillId="0" borderId="0" xfId="13" applyFont="1"/>
    <xf numFmtId="0" fontId="18" fillId="0" borderId="1" xfId="13" applyFont="1" applyBorder="1" applyAlignment="1">
      <alignment wrapText="1"/>
    </xf>
    <xf numFmtId="0" fontId="18" fillId="0" borderId="1" xfId="13" applyFont="1" applyBorder="1" applyAlignment="1">
      <alignment horizontal="center"/>
    </xf>
    <xf numFmtId="3" fontId="18" fillId="0" borderId="1" xfId="13" applyNumberFormat="1" applyFont="1" applyBorder="1"/>
    <xf numFmtId="3" fontId="18" fillId="0" borderId="1" xfId="0" applyNumberFormat="1" applyFont="1" applyBorder="1" applyAlignment="1">
      <alignment horizontal="right"/>
    </xf>
    <xf numFmtId="0" fontId="18" fillId="2" borderId="0" xfId="12" applyFont="1" applyFill="1"/>
    <xf numFmtId="3" fontId="18" fillId="2" borderId="0" xfId="12" applyNumberFormat="1" applyFont="1" applyFill="1"/>
    <xf numFmtId="0" fontId="18" fillId="2" borderId="1" xfId="13" applyFont="1" applyFill="1" applyBorder="1" applyAlignment="1">
      <alignment horizontal="center"/>
    </xf>
    <xf numFmtId="3" fontId="18" fillId="2" borderId="1" xfId="10" applyNumberFormat="1" applyFont="1" applyFill="1" applyBorder="1" applyAlignment="1">
      <alignment horizontal="right"/>
    </xf>
    <xf numFmtId="0" fontId="19" fillId="2" borderId="0" xfId="0" applyFont="1" applyFill="1" applyBorder="1" applyAlignment="1">
      <alignment wrapText="1"/>
    </xf>
    <xf numFmtId="0" fontId="18" fillId="2" borderId="0" xfId="0" applyFont="1" applyFill="1" applyBorder="1" applyAlignment="1">
      <alignment horizontal="center" wrapText="1"/>
    </xf>
    <xf numFmtId="3" fontId="18" fillId="2" borderId="0" xfId="0" applyNumberFormat="1" applyFont="1" applyFill="1" applyBorder="1" applyAlignment="1">
      <alignment horizontal="right" wrapText="1"/>
    </xf>
    <xf numFmtId="0" fontId="35" fillId="0" borderId="0" xfId="0" applyFont="1"/>
    <xf numFmtId="0" fontId="36" fillId="0" borderId="0" xfId="0" applyFont="1" applyAlignment="1">
      <alignment wrapText="1"/>
    </xf>
    <xf numFmtId="3" fontId="35" fillId="0" borderId="0" xfId="0" applyNumberFormat="1" applyFont="1"/>
    <xf numFmtId="0" fontId="18" fillId="2" borderId="0" xfId="0" applyFont="1" applyFill="1" applyBorder="1" applyAlignment="1">
      <alignment wrapText="1"/>
    </xf>
    <xf numFmtId="0" fontId="18" fillId="2" borderId="0" xfId="0" applyFont="1" applyFill="1" applyBorder="1" applyAlignment="1">
      <alignment horizontal="center"/>
    </xf>
    <xf numFmtId="3" fontId="18" fillId="2" borderId="0" xfId="0" applyNumberFormat="1" applyFont="1" applyFill="1" applyBorder="1"/>
    <xf numFmtId="0" fontId="4" fillId="2" borderId="1" xfId="2" applyNumberFormat="1" applyFont="1" applyFill="1" applyBorder="1" applyAlignment="1">
      <alignment horizontal="center"/>
    </xf>
    <xf numFmtId="166" fontId="4" fillId="2" borderId="1" xfId="2" applyFont="1" applyFill="1" applyBorder="1" applyAlignment="1">
      <alignment vertical="center" wrapText="1"/>
    </xf>
    <xf numFmtId="166" fontId="4" fillId="2" borderId="1" xfId="2" applyFont="1" applyFill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166" fontId="4" fillId="2" borderId="0" xfId="2" applyFont="1" applyFill="1" applyAlignment="1">
      <alignment vertical="center"/>
    </xf>
    <xf numFmtId="0" fontId="19" fillId="2" borderId="0" xfId="0" applyFont="1" applyFill="1" applyBorder="1" applyAlignment="1">
      <alignment horizontal="center"/>
    </xf>
    <xf numFmtId="3" fontId="19" fillId="2" borderId="0" xfId="0" applyNumberFormat="1" applyFont="1" applyFill="1" applyBorder="1"/>
    <xf numFmtId="0" fontId="30" fillId="2" borderId="0" xfId="0" applyFont="1" applyFill="1" applyAlignment="1">
      <alignment wrapText="1"/>
    </xf>
    <xf numFmtId="0" fontId="20" fillId="2" borderId="0" xfId="11" applyFont="1" applyFill="1"/>
  </cellXfs>
  <cellStyles count="23">
    <cellStyle name="Денежный 2" xfId="21" xr:uid="{757B0CA5-5EE6-4952-B4E7-E532AC9BF6D0}"/>
    <cellStyle name="Денежный 4" xfId="22" xr:uid="{EA47B6A1-D49B-4DCF-B54D-CCBB5C285877}"/>
    <cellStyle name="Денежный 6" xfId="20" xr:uid="{803AA667-BA88-4FA8-964A-72426EB5D199}"/>
    <cellStyle name="Обычный" xfId="0" builtinId="0"/>
    <cellStyle name="Обычный 2" xfId="2" xr:uid="{D737E52F-544E-40E5-B9A2-8434FD7F5E16}"/>
    <cellStyle name="Обычный 2 2" xfId="15" xr:uid="{3D58BA9F-1CA9-458D-9D93-4D762D5AC4C8}"/>
    <cellStyle name="Обычный 2 3" xfId="9" xr:uid="{75961859-482A-4FE7-A3B0-994A55C856CD}"/>
    <cellStyle name="Обычный 3" xfId="7" xr:uid="{390ADCBD-AD85-4260-92F6-28B457C2F67D}"/>
    <cellStyle name="Обычный 4" xfId="1" xr:uid="{17CE1CD8-22AF-4B3F-A08C-055B0FB5440C}"/>
    <cellStyle name="Обычный_Коммерческое предложение Янино 2" xfId="12" xr:uid="{974C7387-C837-47E4-8AB7-81B7AA1FB2A9}"/>
    <cellStyle name="Обычный_Мощение  пешеходных дорожек серо-зеленым песчанником" xfId="5" xr:uid="{40CE0CC8-1326-44FF-8E4B-7792F8D0C16E}"/>
    <cellStyle name="Обычный_Мощение  пешеходных дорожек серо-зеленым песчанником 2" xfId="19" xr:uid="{B4B7B6CC-886E-4E52-B919-1AE7F70DCD7D}"/>
    <cellStyle name="Обычный_Мощение  пешеходных дорожек серо-зеленым песчанником 3" xfId="18" xr:uid="{20E2257B-A942-4153-A680-85C929B1E993}"/>
    <cellStyle name="Обычный_Павловск смета 2" xfId="17" xr:uid="{60C98178-F1D5-4B69-9E8E-462A851933D2}"/>
    <cellStyle name="Обычный_последний этап  02 (3 этап) 2" xfId="11" xr:uid="{54D95C28-9385-4442-82E6-732781F1BF20}"/>
    <cellStyle name="Обычный_последний этап  02 (3 этап) 3" xfId="16" xr:uid="{543E6DE1-D5BA-4276-941A-3B0B2EA382A3}"/>
    <cellStyle name="Обычный_Резвых, спортивный газон отчет" xfId="13" xr:uid="{0ECE642B-29AE-46D4-9744-D0FDBC57B186}"/>
    <cellStyle name="Процентный" xfId="8" builtinId="5"/>
    <cellStyle name="Процентный 2" xfId="3" xr:uid="{C8743647-7057-4FA1-918F-E2B0458A0464}"/>
    <cellStyle name="Стиль 1" xfId="6" xr:uid="{FE9EA602-6D39-40DB-92F9-4C97954701F2}"/>
    <cellStyle name="Финансовый" xfId="10" builtinId="3"/>
    <cellStyle name="Финансовый 2" xfId="4" xr:uid="{E8CDB683-3C36-4BF8-BFA8-50CC067E279A}"/>
    <cellStyle name="Финансовый_Мощение  пешеходных дорожек серо-зеленым песчанником 2" xfId="14" xr:uid="{3B026474-3B09-4720-BDBF-18221DE07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69</xdr:row>
      <xdr:rowOff>0</xdr:rowOff>
    </xdr:from>
    <xdr:to>
      <xdr:col>3</xdr:col>
      <xdr:colOff>0</xdr:colOff>
      <xdr:row>69</xdr:row>
      <xdr:rowOff>0</xdr:rowOff>
    </xdr:to>
    <xdr:pic>
      <xdr:nvPicPr>
        <xdr:cNvPr id="5" name="Рисунок 4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E1CAE47E-CE5E-4909-A29E-CE047A51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050" y="4794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0</xdr:colOff>
      <xdr:row>69</xdr:row>
      <xdr:rowOff>0</xdr:rowOff>
    </xdr:to>
    <xdr:pic>
      <xdr:nvPicPr>
        <xdr:cNvPr id="6" name="Рисунок 5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AE67FF6F-006F-4B2A-9EC4-19A51F5A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050" y="47942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0</xdr:colOff>
      <xdr:row>89</xdr:row>
      <xdr:rowOff>0</xdr:rowOff>
    </xdr:to>
    <xdr:pic>
      <xdr:nvPicPr>
        <xdr:cNvPr id="2" name="Рисунок 1" descr="http://counter.yadro.ru/hit?t12.1;rhttp%3A//www.zhitov.ru/foundation_plate/;s1920*1080*24;uhttp%3A//www.zhitov.ru/foundation_plate/calculator.php%3Flang%3Dru%26mass%3D3%26B%3D200%26Y%3D4720%26X%3D1050%26T%3D25%26L%3D6000%26H%3D100%26Z%3D300%26W%3D200%26D%3D10%26R%3D2%26bet%255Bmesh%255D%3D7%26K%3D50%26bet%255Bcem%255D%3D1%26bet%255Bpes%255D%3D2%252C5%26bet%255Bsheb%255D%3D3%252C6%26cena%255Bcem%255D%3D400%26cena%255Bpes%255D%3D300%26cena%255Bsheb%255D%3D400%26cena%255Bdoska%255D%3D5500%26cena%255Barm%255D%3D18000%26color%3D1%26wdg%3D1;0.35053977907382317">
          <a:extLst>
            <a:ext uri="{FF2B5EF4-FFF2-40B4-BE49-F238E27FC236}">
              <a16:creationId xmlns:a16="http://schemas.microsoft.com/office/drawing/2014/main" id="{E2D9A182-1260-43EE-B900-2FC1CA159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0920" y="2400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671-5ADB-48DD-A9CB-B6557D77416D}">
  <sheetPr>
    <pageSetUpPr fitToPage="1"/>
  </sheetPr>
  <dimension ref="A1:IS194"/>
  <sheetViews>
    <sheetView tabSelected="1" topLeftCell="A182" zoomScale="95" zoomScaleNormal="95" workbookViewId="0">
      <selection activeCell="B182" sqref="B182"/>
    </sheetView>
  </sheetViews>
  <sheetFormatPr defaultColWidth="9.109375" defaultRowHeight="13.8" x14ac:dyDescent="0.3"/>
  <cols>
    <col min="1" max="1" width="5.33203125" style="1" customWidth="1"/>
    <col min="2" max="2" width="48.44140625" style="8" customWidth="1"/>
    <col min="3" max="3" width="16.44140625" style="1" bestFit="1" customWidth="1"/>
    <col min="4" max="4" width="8.44140625" style="41" customWidth="1"/>
    <col min="5" max="5" width="14" style="2" bestFit="1" customWidth="1"/>
    <col min="6" max="16384" width="9.109375" style="2"/>
  </cols>
  <sheetData>
    <row r="1" spans="1:4" s="52" customFormat="1" ht="16.2" customHeight="1" x14ac:dyDescent="0.3">
      <c r="A1" s="4"/>
      <c r="B1" s="40"/>
      <c r="C1" s="51"/>
      <c r="D1" s="46"/>
    </row>
    <row r="2" spans="1:4" s="21" customFormat="1" x14ac:dyDescent="0.3">
      <c r="A2" s="107">
        <v>1</v>
      </c>
      <c r="B2" s="106" t="s">
        <v>3</v>
      </c>
      <c r="C2" s="56" t="s">
        <v>4</v>
      </c>
      <c r="D2" s="20" t="s">
        <v>5</v>
      </c>
    </row>
    <row r="3" spans="1:4" s="23" customFormat="1" x14ac:dyDescent="0.3">
      <c r="A3" s="49"/>
      <c r="B3" s="22" t="s">
        <v>42</v>
      </c>
      <c r="C3" s="6" t="s">
        <v>2</v>
      </c>
      <c r="D3" s="7">
        <v>15000</v>
      </c>
    </row>
    <row r="4" spans="1:4" s="23" customFormat="1" x14ac:dyDescent="0.3">
      <c r="A4" s="49"/>
      <c r="B4" s="22" t="s">
        <v>43</v>
      </c>
      <c r="C4" s="6" t="s">
        <v>0</v>
      </c>
      <c r="D4" s="7">
        <v>40</v>
      </c>
    </row>
    <row r="5" spans="1:4" s="23" customFormat="1" ht="27.6" x14ac:dyDescent="0.3">
      <c r="A5" s="49"/>
      <c r="B5" s="22" t="s">
        <v>44</v>
      </c>
      <c r="C5" s="6" t="s">
        <v>0</v>
      </c>
      <c r="D5" s="7">
        <v>3650</v>
      </c>
    </row>
    <row r="6" spans="1:4" s="23" customFormat="1" ht="27.6" x14ac:dyDescent="0.3">
      <c r="A6" s="49"/>
      <c r="B6" s="22" t="s">
        <v>47</v>
      </c>
      <c r="C6" s="6" t="s">
        <v>16</v>
      </c>
      <c r="D6" s="7">
        <v>950</v>
      </c>
    </row>
    <row r="7" spans="1:4" s="23" customFormat="1" ht="27.6" x14ac:dyDescent="0.3">
      <c r="A7" s="49"/>
      <c r="B7" s="22" t="s">
        <v>48</v>
      </c>
      <c r="C7" s="6" t="s">
        <v>16</v>
      </c>
      <c r="D7" s="7">
        <v>1200</v>
      </c>
    </row>
    <row r="8" spans="1:4" s="23" customFormat="1" ht="27.6" x14ac:dyDescent="0.3">
      <c r="A8" s="49"/>
      <c r="B8" s="22" t="s">
        <v>41</v>
      </c>
      <c r="C8" s="6" t="s">
        <v>0</v>
      </c>
      <c r="D8" s="7">
        <v>400</v>
      </c>
    </row>
    <row r="9" spans="1:4" s="8" customFormat="1" x14ac:dyDescent="0.3">
      <c r="C9" s="36"/>
      <c r="D9" s="42"/>
    </row>
    <row r="10" spans="1:4" s="21" customFormat="1" x14ac:dyDescent="0.3">
      <c r="A10" s="5">
        <v>2</v>
      </c>
      <c r="B10" s="108" t="s">
        <v>31</v>
      </c>
      <c r="C10" s="19" t="s">
        <v>4</v>
      </c>
      <c r="D10" s="20" t="s">
        <v>5</v>
      </c>
    </row>
    <row r="11" spans="1:4" s="8" customFormat="1" x14ac:dyDescent="0.3">
      <c r="B11" s="26" t="s">
        <v>13</v>
      </c>
      <c r="C11" s="30"/>
      <c r="D11" s="39"/>
    </row>
    <row r="12" spans="1:4" s="8" customFormat="1" x14ac:dyDescent="0.3">
      <c r="A12" s="38"/>
      <c r="B12" s="27" t="s">
        <v>38</v>
      </c>
      <c r="C12" s="28" t="s">
        <v>0</v>
      </c>
      <c r="D12" s="43"/>
    </row>
    <row r="13" spans="1:4" s="8" customFormat="1" x14ac:dyDescent="0.3">
      <c r="A13" s="38"/>
      <c r="B13" s="27" t="s">
        <v>14</v>
      </c>
      <c r="C13" s="28" t="s">
        <v>0</v>
      </c>
      <c r="D13" s="43"/>
    </row>
    <row r="14" spans="1:4" s="8" customFormat="1" x14ac:dyDescent="0.3">
      <c r="B14" s="29" t="s">
        <v>15</v>
      </c>
      <c r="C14" s="30"/>
      <c r="D14" s="39"/>
    </row>
    <row r="15" spans="1:4" s="8" customFormat="1" x14ac:dyDescent="0.3">
      <c r="A15" s="38"/>
      <c r="B15" s="31" t="s">
        <v>17</v>
      </c>
      <c r="C15" s="32" t="s">
        <v>0</v>
      </c>
      <c r="D15" s="44">
        <v>80</v>
      </c>
    </row>
    <row r="16" spans="1:4" s="8" customFormat="1" ht="27.6" x14ac:dyDescent="0.3">
      <c r="A16" s="38"/>
      <c r="B16" s="31" t="s">
        <v>18</v>
      </c>
      <c r="C16" s="32" t="s">
        <v>0</v>
      </c>
      <c r="D16" s="44">
        <f>230*1.5</f>
        <v>345</v>
      </c>
    </row>
    <row r="17" spans="1:4" s="8" customFormat="1" x14ac:dyDescent="0.3">
      <c r="A17" s="38"/>
      <c r="B17" s="31" t="s">
        <v>19</v>
      </c>
      <c r="C17" s="32" t="s">
        <v>0</v>
      </c>
      <c r="D17" s="44">
        <v>40</v>
      </c>
    </row>
    <row r="18" spans="1:4" s="8" customFormat="1" ht="27.6" x14ac:dyDescent="0.3">
      <c r="A18" s="38"/>
      <c r="B18" s="31" t="s">
        <v>40</v>
      </c>
      <c r="C18" s="32" t="s">
        <v>0</v>
      </c>
      <c r="D18" s="44">
        <f>320*1.5</f>
        <v>480</v>
      </c>
    </row>
    <row r="19" spans="1:4" s="8" customFormat="1" ht="27.6" x14ac:dyDescent="0.3">
      <c r="A19" s="38"/>
      <c r="B19" s="31" t="s">
        <v>27</v>
      </c>
      <c r="C19" s="32" t="s">
        <v>0</v>
      </c>
      <c r="D19" s="44">
        <v>220</v>
      </c>
    </row>
    <row r="20" spans="1:4" s="8" customFormat="1" x14ac:dyDescent="0.3">
      <c r="A20" s="38"/>
      <c r="B20" s="31" t="s">
        <v>36</v>
      </c>
      <c r="C20" s="32" t="s">
        <v>0</v>
      </c>
      <c r="D20" s="44">
        <v>1300</v>
      </c>
    </row>
    <row r="21" spans="1:4" s="8" customFormat="1" ht="27.6" x14ac:dyDescent="0.3">
      <c r="A21" s="38"/>
      <c r="B21" s="31" t="s">
        <v>34</v>
      </c>
      <c r="C21" s="32" t="s">
        <v>0</v>
      </c>
      <c r="D21" s="44">
        <v>1980</v>
      </c>
    </row>
    <row r="22" spans="1:4" s="8" customFormat="1" x14ac:dyDescent="0.3">
      <c r="A22" s="38"/>
      <c r="B22" s="31" t="s">
        <v>28</v>
      </c>
      <c r="C22" s="32" t="s">
        <v>16</v>
      </c>
      <c r="D22" s="44">
        <v>600</v>
      </c>
    </row>
    <row r="23" spans="1:4" s="8" customFormat="1" x14ac:dyDescent="0.3">
      <c r="A23" s="38"/>
      <c r="B23" s="31" t="s">
        <v>37</v>
      </c>
      <c r="C23" s="32" t="s">
        <v>16</v>
      </c>
      <c r="D23" s="44">
        <v>700</v>
      </c>
    </row>
    <row r="24" spans="1:4" s="8" customFormat="1" x14ac:dyDescent="0.3">
      <c r="A24" s="38"/>
      <c r="B24" s="31" t="s">
        <v>24</v>
      </c>
      <c r="C24" s="32" t="s">
        <v>25</v>
      </c>
      <c r="D24" s="44">
        <v>2300</v>
      </c>
    </row>
    <row r="25" spans="1:4" s="8" customFormat="1" x14ac:dyDescent="0.3">
      <c r="B25" s="29" t="s">
        <v>20</v>
      </c>
      <c r="C25" s="33"/>
      <c r="D25" s="34"/>
    </row>
    <row r="26" spans="1:4" s="8" customFormat="1" x14ac:dyDescent="0.3">
      <c r="A26" s="38"/>
      <c r="B26" s="31" t="s">
        <v>21</v>
      </c>
      <c r="C26" s="32" t="s">
        <v>1</v>
      </c>
      <c r="D26" s="44">
        <v>2480</v>
      </c>
    </row>
    <row r="27" spans="1:4" s="8" customFormat="1" x14ac:dyDescent="0.3">
      <c r="A27" s="38"/>
      <c r="B27" s="31" t="s">
        <v>22</v>
      </c>
      <c r="C27" s="32" t="s">
        <v>1</v>
      </c>
      <c r="D27" s="44">
        <v>3300</v>
      </c>
    </row>
    <row r="28" spans="1:4" s="8" customFormat="1" x14ac:dyDescent="0.3">
      <c r="A28" s="38"/>
      <c r="B28" s="31" t="s">
        <v>33</v>
      </c>
      <c r="C28" s="32" t="s">
        <v>1</v>
      </c>
      <c r="D28" s="44">
        <v>1650</v>
      </c>
    </row>
    <row r="29" spans="1:4" s="8" customFormat="1" x14ac:dyDescent="0.3">
      <c r="A29" s="38"/>
      <c r="B29" s="31" t="s">
        <v>26</v>
      </c>
      <c r="C29" s="32" t="s">
        <v>0</v>
      </c>
      <c r="D29" s="44">
        <v>75</v>
      </c>
    </row>
    <row r="30" spans="1:4" s="8" customFormat="1" x14ac:dyDescent="0.3">
      <c r="A30" s="38"/>
      <c r="B30" s="31" t="s">
        <v>29</v>
      </c>
      <c r="C30" s="32" t="s">
        <v>0</v>
      </c>
      <c r="D30" s="44">
        <v>3025</v>
      </c>
    </row>
    <row r="31" spans="1:4" s="8" customFormat="1" x14ac:dyDescent="0.3">
      <c r="A31" s="38"/>
      <c r="B31" s="31" t="s">
        <v>32</v>
      </c>
      <c r="C31" s="32" t="s">
        <v>0</v>
      </c>
      <c r="D31" s="44">
        <v>4630</v>
      </c>
    </row>
    <row r="32" spans="1:4" s="8" customFormat="1" x14ac:dyDescent="0.3">
      <c r="A32" s="38"/>
      <c r="B32" s="31" t="s">
        <v>35</v>
      </c>
      <c r="C32" s="32" t="s">
        <v>1</v>
      </c>
      <c r="D32" s="44">
        <v>3100</v>
      </c>
    </row>
    <row r="33" spans="1:4" s="8" customFormat="1" x14ac:dyDescent="0.3">
      <c r="A33" s="38"/>
      <c r="B33" s="31" t="s">
        <v>23</v>
      </c>
      <c r="C33" s="32" t="s">
        <v>12</v>
      </c>
      <c r="D33" s="44">
        <v>605</v>
      </c>
    </row>
    <row r="34" spans="1:4" s="8" customFormat="1" x14ac:dyDescent="0.3">
      <c r="A34" s="38"/>
      <c r="B34" s="31" t="s">
        <v>39</v>
      </c>
      <c r="C34" s="32" t="s">
        <v>12</v>
      </c>
      <c r="D34" s="44">
        <v>390</v>
      </c>
    </row>
    <row r="35" spans="1:4" s="8" customFormat="1" x14ac:dyDescent="0.3">
      <c r="A35" s="38"/>
      <c r="B35" s="31" t="s">
        <v>30</v>
      </c>
      <c r="C35" s="32" t="s">
        <v>2</v>
      </c>
      <c r="D35" s="44">
        <v>4400</v>
      </c>
    </row>
    <row r="36" spans="1:4" s="195" customFormat="1" x14ac:dyDescent="0.3">
      <c r="A36" s="191"/>
      <c r="B36" s="192"/>
      <c r="C36" s="193"/>
      <c r="D36" s="194"/>
    </row>
    <row r="37" spans="1:4" s="59" customFormat="1" x14ac:dyDescent="0.3">
      <c r="A37" s="57">
        <v>3</v>
      </c>
      <c r="B37" s="58" t="s">
        <v>49</v>
      </c>
      <c r="C37" s="19" t="s">
        <v>4</v>
      </c>
      <c r="D37" s="20" t="s">
        <v>5</v>
      </c>
    </row>
    <row r="38" spans="1:4" s="59" customFormat="1" x14ac:dyDescent="0.3">
      <c r="B38" s="60" t="s">
        <v>50</v>
      </c>
      <c r="C38" s="61"/>
      <c r="D38" s="62"/>
    </row>
    <row r="39" spans="1:4" s="68" customFormat="1" x14ac:dyDescent="0.3">
      <c r="A39" s="64"/>
      <c r="B39" s="65" t="s">
        <v>51</v>
      </c>
      <c r="C39" s="66" t="s">
        <v>0</v>
      </c>
      <c r="D39" s="67"/>
    </row>
    <row r="40" spans="1:4" s="59" customFormat="1" x14ac:dyDescent="0.3">
      <c r="B40" s="69" t="s">
        <v>15</v>
      </c>
      <c r="C40" s="70"/>
      <c r="D40" s="71"/>
    </row>
    <row r="41" spans="1:4" s="59" customFormat="1" x14ac:dyDescent="0.3">
      <c r="A41" s="73"/>
      <c r="B41" s="74" t="s">
        <v>52</v>
      </c>
      <c r="C41" s="75" t="s">
        <v>0</v>
      </c>
      <c r="D41" s="76">
        <v>450</v>
      </c>
    </row>
    <row r="42" spans="1:4" s="59" customFormat="1" ht="27.6" x14ac:dyDescent="0.3">
      <c r="A42" s="73"/>
      <c r="B42" s="74" t="s">
        <v>53</v>
      </c>
      <c r="C42" s="77" t="s">
        <v>54</v>
      </c>
      <c r="D42" s="76">
        <v>2000</v>
      </c>
    </row>
    <row r="43" spans="1:4" s="59" customFormat="1" ht="41.4" x14ac:dyDescent="0.3">
      <c r="A43" s="73"/>
      <c r="B43" s="78" t="s">
        <v>55</v>
      </c>
      <c r="C43" s="79" t="s">
        <v>0</v>
      </c>
      <c r="D43" s="80">
        <f>130*1.6</f>
        <v>208</v>
      </c>
    </row>
    <row r="44" spans="1:4" s="59" customFormat="1" ht="27.6" x14ac:dyDescent="0.3">
      <c r="A44" s="73"/>
      <c r="B44" s="78" t="s">
        <v>56</v>
      </c>
      <c r="C44" s="79" t="s">
        <v>0</v>
      </c>
      <c r="D44" s="80">
        <v>240</v>
      </c>
    </row>
    <row r="45" spans="1:4" s="59" customFormat="1" ht="13.05" customHeight="1" x14ac:dyDescent="0.3">
      <c r="A45" s="73"/>
      <c r="B45" s="78" t="s">
        <v>57</v>
      </c>
      <c r="C45" s="79" t="s">
        <v>1</v>
      </c>
      <c r="D45" s="80">
        <v>1700</v>
      </c>
    </row>
    <row r="46" spans="1:4" s="59" customFormat="1" ht="13.05" customHeight="1" x14ac:dyDescent="0.3">
      <c r="A46" s="73"/>
      <c r="B46" s="78" t="s">
        <v>58</v>
      </c>
      <c r="C46" s="79" t="s">
        <v>59</v>
      </c>
      <c r="D46" s="80">
        <v>450</v>
      </c>
    </row>
    <row r="47" spans="1:4" s="85" customFormat="1" ht="14.4" x14ac:dyDescent="0.3">
      <c r="B47" s="86" t="s">
        <v>67</v>
      </c>
      <c r="C47" s="87" t="s">
        <v>68</v>
      </c>
      <c r="D47" s="88">
        <v>12000</v>
      </c>
    </row>
    <row r="48" spans="1:4" s="85" customFormat="1" ht="26.4" customHeight="1" x14ac:dyDescent="0.3">
      <c r="B48" s="86" t="s">
        <v>69</v>
      </c>
      <c r="C48" s="87" t="s">
        <v>0</v>
      </c>
      <c r="D48" s="88">
        <v>470</v>
      </c>
    </row>
    <row r="49" spans="1:249" s="85" customFormat="1" ht="13.5" customHeight="1" x14ac:dyDescent="0.3">
      <c r="B49" s="89" t="s">
        <v>70</v>
      </c>
      <c r="C49" s="87" t="s">
        <v>0</v>
      </c>
      <c r="D49" s="90">
        <v>60</v>
      </c>
    </row>
    <row r="50" spans="1:249" s="85" customFormat="1" ht="13.5" customHeight="1" x14ac:dyDescent="0.3">
      <c r="B50" s="89" t="s">
        <v>71</v>
      </c>
      <c r="C50" s="87" t="s">
        <v>0</v>
      </c>
      <c r="D50" s="90">
        <v>260</v>
      </c>
    </row>
    <row r="51" spans="1:249" s="85" customFormat="1" ht="13.5" customHeight="1" x14ac:dyDescent="0.3">
      <c r="B51" s="89" t="s">
        <v>72</v>
      </c>
      <c r="C51" s="87" t="s">
        <v>16</v>
      </c>
      <c r="D51" s="90">
        <v>220</v>
      </c>
    </row>
    <row r="52" spans="1:249" s="85" customFormat="1" ht="13.5" customHeight="1" x14ac:dyDescent="0.3">
      <c r="B52" s="89" t="s">
        <v>73</v>
      </c>
      <c r="C52" s="87" t="s">
        <v>16</v>
      </c>
      <c r="D52" s="90">
        <v>240</v>
      </c>
    </row>
    <row r="53" spans="1:249" s="85" customFormat="1" ht="13.5" customHeight="1" x14ac:dyDescent="0.3">
      <c r="B53" s="89" t="s">
        <v>74</v>
      </c>
      <c r="C53" s="87" t="s">
        <v>75</v>
      </c>
      <c r="D53" s="90">
        <v>35</v>
      </c>
    </row>
    <row r="54" spans="1:249" s="25" customFormat="1" x14ac:dyDescent="0.3">
      <c r="A54" s="59"/>
      <c r="B54" s="81" t="s">
        <v>20</v>
      </c>
      <c r="C54" s="82"/>
      <c r="D54" s="72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</row>
    <row r="55" spans="1:249" x14ac:dyDescent="0.3">
      <c r="A55" s="73"/>
      <c r="B55" s="74" t="s">
        <v>33</v>
      </c>
      <c r="C55" s="79" t="s">
        <v>1</v>
      </c>
      <c r="D55" s="80">
        <v>2600</v>
      </c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</row>
    <row r="56" spans="1:249" s="35" customFormat="1" ht="17.399999999999999" customHeight="1" x14ac:dyDescent="0.3">
      <c r="A56" s="73"/>
      <c r="B56" s="63" t="s">
        <v>60</v>
      </c>
      <c r="C56" s="79" t="s">
        <v>2</v>
      </c>
      <c r="D56" s="80">
        <v>580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</row>
    <row r="57" spans="1:249" s="53" customFormat="1" ht="17.399999999999999" customHeight="1" x14ac:dyDescent="0.3">
      <c r="A57" s="73"/>
      <c r="B57" s="83" t="s">
        <v>61</v>
      </c>
      <c r="C57" s="79" t="s">
        <v>62</v>
      </c>
      <c r="D57" s="80">
        <v>2200</v>
      </c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  <c r="GL57" s="59"/>
      <c r="GM57" s="59"/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/>
      <c r="IK57" s="59"/>
      <c r="IL57" s="59"/>
      <c r="IM57" s="59"/>
      <c r="IN57" s="59"/>
      <c r="IO57" s="59"/>
    </row>
    <row r="58" spans="1:249" s="10" customFormat="1" x14ac:dyDescent="0.3">
      <c r="A58" s="73"/>
      <c r="B58" s="78" t="s">
        <v>63</v>
      </c>
      <c r="C58" s="79" t="s">
        <v>64</v>
      </c>
      <c r="D58" s="80">
        <v>330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</row>
    <row r="59" spans="1:249" s="9" customFormat="1" x14ac:dyDescent="0.3">
      <c r="A59" s="73"/>
      <c r="B59" s="84" t="s">
        <v>65</v>
      </c>
      <c r="C59" s="79" t="s">
        <v>66</v>
      </c>
      <c r="D59" s="80">
        <v>190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/>
      <c r="IK59" s="59"/>
      <c r="IL59" s="59"/>
      <c r="IM59" s="59"/>
      <c r="IN59" s="59"/>
      <c r="IO59" s="59"/>
    </row>
    <row r="60" spans="1:249" s="85" customFormat="1" ht="12.6" customHeight="1" x14ac:dyDescent="0.3">
      <c r="B60" s="91" t="s">
        <v>76</v>
      </c>
      <c r="C60" s="87" t="s">
        <v>16</v>
      </c>
      <c r="D60" s="90">
        <v>430</v>
      </c>
    </row>
    <row r="61" spans="1:249" s="85" customFormat="1" ht="28.2" customHeight="1" x14ac:dyDescent="0.3">
      <c r="B61" s="91" t="s">
        <v>77</v>
      </c>
      <c r="C61" s="87" t="s">
        <v>2</v>
      </c>
      <c r="D61" s="90">
        <v>48</v>
      </c>
    </row>
    <row r="62" spans="1:249" x14ac:dyDescent="0.3">
      <c r="A62" s="11"/>
      <c r="B62" s="12"/>
      <c r="C62" s="13"/>
      <c r="D62" s="45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</row>
    <row r="63" spans="1:249" x14ac:dyDescent="0.3">
      <c r="A63" s="5">
        <v>4</v>
      </c>
      <c r="B63" s="48" t="s">
        <v>7</v>
      </c>
      <c r="C63" s="5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</row>
    <row r="64" spans="1:249" ht="27.6" x14ac:dyDescent="0.3">
      <c r="A64" s="15"/>
      <c r="B64" s="14" t="s">
        <v>45</v>
      </c>
      <c r="C64" s="15" t="s">
        <v>8</v>
      </c>
      <c r="D64" s="47">
        <v>1.4999999999999999E-2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</row>
    <row r="65" spans="1:249" ht="27.6" x14ac:dyDescent="0.3">
      <c r="A65" s="3"/>
      <c r="B65" s="54" t="s">
        <v>46</v>
      </c>
      <c r="C65" s="15" t="s">
        <v>8</v>
      </c>
      <c r="D65" s="55">
        <f>0.056</f>
        <v>5.6000000000000001E-2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</row>
    <row r="66" spans="1:249" ht="27.6" x14ac:dyDescent="0.3">
      <c r="A66" s="3"/>
      <c r="B66" s="54" t="s">
        <v>9</v>
      </c>
      <c r="C66" s="15" t="s">
        <v>8</v>
      </c>
      <c r="D66" s="55">
        <v>0.05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</row>
    <row r="67" spans="1:249" x14ac:dyDescent="0.3">
      <c r="A67" s="3"/>
      <c r="B67" s="54" t="s">
        <v>10</v>
      </c>
      <c r="C67" s="15" t="s">
        <v>8</v>
      </c>
      <c r="D67" s="55">
        <v>3.5999999999999997E-2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</row>
    <row r="68" spans="1:249" x14ac:dyDescent="0.3">
      <c r="A68" s="15"/>
      <c r="B68" s="16" t="s">
        <v>11</v>
      </c>
      <c r="C68" s="15" t="s">
        <v>8</v>
      </c>
      <c r="D68" s="47">
        <v>0.03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</row>
    <row r="69" spans="1:249" x14ac:dyDescent="0.3">
      <c r="A69" s="5"/>
      <c r="B69" s="18" t="s">
        <v>6</v>
      </c>
      <c r="C69" s="24"/>
      <c r="D69" s="37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</row>
    <row r="70" spans="1:249" s="97" customFormat="1" ht="15.6" x14ac:dyDescent="0.3">
      <c r="A70" s="92"/>
      <c r="B70" s="93"/>
      <c r="C70" s="94"/>
      <c r="D70" s="95"/>
      <c r="J70" s="96"/>
      <c r="K70" s="96"/>
      <c r="L70" s="96"/>
      <c r="M70" s="96"/>
    </row>
    <row r="71" spans="1:249" s="97" customFormat="1" x14ac:dyDescent="0.3">
      <c r="B71" s="104" t="s">
        <v>78</v>
      </c>
      <c r="C71" s="19" t="s">
        <v>4</v>
      </c>
      <c r="D71" s="20" t="s">
        <v>5</v>
      </c>
    </row>
    <row r="72" spans="1:249" s="98" customFormat="1" ht="13.95" customHeight="1" x14ac:dyDescent="0.3">
      <c r="B72" s="99" t="s">
        <v>79</v>
      </c>
      <c r="C72" s="100" t="s">
        <v>80</v>
      </c>
      <c r="D72" s="101">
        <v>8000</v>
      </c>
    </row>
    <row r="73" spans="1:249" s="98" customFormat="1" x14ac:dyDescent="0.3">
      <c r="B73" s="99" t="s">
        <v>81</v>
      </c>
      <c r="C73" s="100" t="s">
        <v>82</v>
      </c>
      <c r="D73" s="101">
        <v>17900</v>
      </c>
    </row>
    <row r="74" spans="1:249" s="98" customFormat="1" x14ac:dyDescent="0.3">
      <c r="B74" s="99" t="s">
        <v>83</v>
      </c>
      <c r="C74" s="100" t="s">
        <v>82</v>
      </c>
      <c r="D74" s="101">
        <v>5000</v>
      </c>
    </row>
    <row r="75" spans="1:249" s="98" customFormat="1" ht="13.95" customHeight="1" x14ac:dyDescent="0.3">
      <c r="B75" s="99" t="s">
        <v>84</v>
      </c>
      <c r="C75" s="100" t="s">
        <v>80</v>
      </c>
      <c r="D75" s="102">
        <v>11700</v>
      </c>
    </row>
    <row r="76" spans="1:249" s="98" customFormat="1" x14ac:dyDescent="0.3">
      <c r="B76" s="99" t="s">
        <v>85</v>
      </c>
      <c r="C76" s="100" t="s">
        <v>82</v>
      </c>
      <c r="D76" s="101">
        <v>3600</v>
      </c>
    </row>
    <row r="78" spans="1:249" s="97" customFormat="1" x14ac:dyDescent="0.3">
      <c r="A78" s="105"/>
      <c r="B78" s="104" t="s">
        <v>86</v>
      </c>
      <c r="C78" s="19" t="s">
        <v>4</v>
      </c>
      <c r="D78" s="20" t="s">
        <v>5</v>
      </c>
      <c r="J78" s="96"/>
      <c r="K78" s="96"/>
      <c r="L78" s="96"/>
      <c r="M78" s="96"/>
    </row>
    <row r="79" spans="1:249" s="98" customFormat="1" ht="13.95" customHeight="1" x14ac:dyDescent="0.3">
      <c r="A79" s="103"/>
      <c r="B79" s="99" t="s">
        <v>87</v>
      </c>
      <c r="C79" s="100" t="s">
        <v>2</v>
      </c>
      <c r="D79" s="101">
        <v>1800</v>
      </c>
    </row>
    <row r="80" spans="1:249" s="98" customFormat="1" x14ac:dyDescent="0.3">
      <c r="A80" s="103"/>
      <c r="B80" s="99" t="s">
        <v>88</v>
      </c>
      <c r="C80" s="100" t="s">
        <v>2</v>
      </c>
      <c r="D80" s="102">
        <v>950</v>
      </c>
    </row>
    <row r="81" spans="1:6" s="98" customFormat="1" x14ac:dyDescent="0.3">
      <c r="A81" s="103"/>
      <c r="B81" s="99" t="s">
        <v>89</v>
      </c>
      <c r="C81" s="100" t="s">
        <v>90</v>
      </c>
      <c r="D81" s="101">
        <v>50</v>
      </c>
    </row>
    <row r="82" spans="1:6" s="98" customFormat="1" ht="13.95" customHeight="1" x14ac:dyDescent="0.3">
      <c r="A82" s="103"/>
      <c r="B82" s="99" t="s">
        <v>91</v>
      </c>
      <c r="C82" s="100" t="s">
        <v>2</v>
      </c>
      <c r="D82" s="101">
        <v>950</v>
      </c>
    </row>
    <row r="83" spans="1:6" s="98" customFormat="1" ht="13.95" customHeight="1" x14ac:dyDescent="0.3">
      <c r="A83" s="103"/>
      <c r="B83" s="99" t="s">
        <v>92</v>
      </c>
      <c r="C83" s="100" t="s">
        <v>1</v>
      </c>
      <c r="D83" s="101">
        <v>3500</v>
      </c>
    </row>
    <row r="84" spans="1:6" s="98" customFormat="1" x14ac:dyDescent="0.3">
      <c r="A84" s="103"/>
      <c r="B84" s="99" t="s">
        <v>93</v>
      </c>
      <c r="C84" s="100" t="s">
        <v>2</v>
      </c>
      <c r="D84" s="101">
        <v>3800</v>
      </c>
    </row>
    <row r="86" spans="1:6" s="111" customFormat="1" ht="15.6" x14ac:dyDescent="0.3">
      <c r="A86" s="109"/>
      <c r="B86" s="110" t="s">
        <v>94</v>
      </c>
      <c r="C86" s="19" t="s">
        <v>4</v>
      </c>
      <c r="D86" s="20" t="s">
        <v>5</v>
      </c>
    </row>
    <row r="87" spans="1:6" s="111" customFormat="1" ht="14.4" x14ac:dyDescent="0.3">
      <c r="A87" s="112"/>
      <c r="B87" s="113" t="s">
        <v>95</v>
      </c>
      <c r="C87" s="114" t="s">
        <v>1</v>
      </c>
      <c r="D87" s="115">
        <v>1000</v>
      </c>
      <c r="E87" s="117"/>
    </row>
    <row r="88" spans="1:6" s="111" customFormat="1" ht="14.4" x14ac:dyDescent="0.3">
      <c r="A88" s="118"/>
      <c r="B88" s="113" t="s">
        <v>96</v>
      </c>
      <c r="C88" s="114" t="s">
        <v>16</v>
      </c>
      <c r="D88" s="116">
        <v>500</v>
      </c>
      <c r="E88" s="120"/>
      <c r="F88" s="121"/>
    </row>
    <row r="89" spans="1:6" s="111" customFormat="1" ht="14.4" x14ac:dyDescent="0.3">
      <c r="A89" s="112"/>
      <c r="B89" s="113" t="s">
        <v>97</v>
      </c>
      <c r="C89" s="122" t="s">
        <v>1</v>
      </c>
      <c r="D89" s="115">
        <v>900</v>
      </c>
      <c r="E89" s="123"/>
    </row>
    <row r="90" spans="1:6" s="111" customFormat="1" ht="28.2" customHeight="1" x14ac:dyDescent="0.3">
      <c r="A90" s="124"/>
      <c r="B90" s="125" t="s">
        <v>98</v>
      </c>
      <c r="C90" s="122" t="s">
        <v>16</v>
      </c>
      <c r="D90" s="115">
        <v>220</v>
      </c>
      <c r="E90" s="126"/>
    </row>
    <row r="91" spans="1:6" s="111" customFormat="1" ht="14.4" x14ac:dyDescent="0.3">
      <c r="A91" s="109"/>
      <c r="B91" s="127" t="s">
        <v>99</v>
      </c>
      <c r="C91" s="128"/>
      <c r="D91" s="129"/>
      <c r="E91" s="130"/>
    </row>
    <row r="92" spans="1:6" s="111" customFormat="1" ht="14.4" x14ac:dyDescent="0.3">
      <c r="A92" s="109"/>
      <c r="B92" s="127"/>
      <c r="C92" s="139"/>
      <c r="D92" s="140"/>
      <c r="E92" s="141"/>
    </row>
    <row r="93" spans="1:6" ht="14.4" x14ac:dyDescent="0.3">
      <c r="B93" s="138" t="s">
        <v>104</v>
      </c>
      <c r="C93" s="19" t="s">
        <v>4</v>
      </c>
      <c r="D93" s="20" t="s">
        <v>5</v>
      </c>
    </row>
    <row r="94" spans="1:6" s="131" customFormat="1" ht="27.6" x14ac:dyDescent="0.3">
      <c r="B94" s="132" t="s">
        <v>100</v>
      </c>
      <c r="C94" s="114" t="s">
        <v>0</v>
      </c>
      <c r="D94" s="133">
        <v>300</v>
      </c>
    </row>
    <row r="95" spans="1:6" s="131" customFormat="1" ht="13.8" customHeight="1" x14ac:dyDescent="0.3">
      <c r="B95" s="134" t="s">
        <v>101</v>
      </c>
      <c r="C95" s="114" t="s">
        <v>0</v>
      </c>
      <c r="D95" s="135">
        <v>220</v>
      </c>
    </row>
    <row r="96" spans="1:6" s="131" customFormat="1" ht="13.8" customHeight="1" x14ac:dyDescent="0.3">
      <c r="B96" s="134" t="s">
        <v>102</v>
      </c>
      <c r="C96" s="137" t="s">
        <v>1</v>
      </c>
      <c r="D96" s="135">
        <v>500</v>
      </c>
    </row>
    <row r="97" spans="2:6" s="131" customFormat="1" ht="13.8" customHeight="1" x14ac:dyDescent="0.3">
      <c r="B97" s="134" t="s">
        <v>103</v>
      </c>
      <c r="C97" s="137" t="s">
        <v>1</v>
      </c>
      <c r="D97" s="135">
        <v>400</v>
      </c>
    </row>
    <row r="99" spans="2:6" s="143" customFormat="1" ht="45" customHeight="1" x14ac:dyDescent="0.3">
      <c r="B99" s="198" t="s">
        <v>105</v>
      </c>
      <c r="C99" s="19" t="s">
        <v>4</v>
      </c>
      <c r="D99" s="20" t="s">
        <v>5</v>
      </c>
    </row>
    <row r="100" spans="2:6" s="142" customFormat="1" ht="27.6" x14ac:dyDescent="0.3">
      <c r="B100" s="132" t="s">
        <v>106</v>
      </c>
      <c r="C100" s="114" t="s">
        <v>54</v>
      </c>
      <c r="D100" s="133">
        <v>800</v>
      </c>
    </row>
    <row r="101" spans="2:6" s="142" customFormat="1" ht="14.4" x14ac:dyDescent="0.3">
      <c r="B101" s="132" t="s">
        <v>107</v>
      </c>
      <c r="C101" s="114" t="s">
        <v>0</v>
      </c>
      <c r="D101" s="133">
        <v>40</v>
      </c>
    </row>
    <row r="102" spans="2:6" s="142" customFormat="1" ht="14.4" x14ac:dyDescent="0.3">
      <c r="B102" s="132" t="s">
        <v>108</v>
      </c>
      <c r="C102" s="114" t="s">
        <v>0</v>
      </c>
      <c r="D102" s="133">
        <f>110*2.3</f>
        <v>252.99999999999997</v>
      </c>
    </row>
    <row r="103" spans="2:6" s="142" customFormat="1" ht="14.4" x14ac:dyDescent="0.3">
      <c r="B103" s="132" t="s">
        <v>19</v>
      </c>
      <c r="C103" s="114" t="s">
        <v>0</v>
      </c>
      <c r="D103" s="133">
        <v>15</v>
      </c>
    </row>
    <row r="104" spans="2:6" s="142" customFormat="1" ht="42.6" customHeight="1" x14ac:dyDescent="0.3">
      <c r="B104" s="132" t="s">
        <v>109</v>
      </c>
      <c r="C104" s="114" t="s">
        <v>0</v>
      </c>
      <c r="D104" s="133">
        <f>170*(1.2+0.5)</f>
        <v>289</v>
      </c>
      <c r="F104" s="145"/>
    </row>
    <row r="105" spans="2:6" s="142" customFormat="1" ht="17.399999999999999" customHeight="1" x14ac:dyDescent="0.3">
      <c r="B105" s="132" t="s">
        <v>110</v>
      </c>
      <c r="C105" s="114" t="s">
        <v>25</v>
      </c>
      <c r="D105" s="133">
        <v>800</v>
      </c>
    </row>
    <row r="106" spans="2:6" s="142" customFormat="1" ht="14.4" x14ac:dyDescent="0.3">
      <c r="B106" s="148" t="s">
        <v>111</v>
      </c>
      <c r="C106" s="114" t="s">
        <v>1</v>
      </c>
      <c r="D106" s="133">
        <v>1710</v>
      </c>
    </row>
    <row r="107" spans="2:6" s="142" customFormat="1" ht="14.4" x14ac:dyDescent="0.3">
      <c r="B107" s="148" t="s">
        <v>112</v>
      </c>
      <c r="C107" s="114" t="s">
        <v>1</v>
      </c>
      <c r="D107" s="133">
        <v>2090</v>
      </c>
    </row>
    <row r="108" spans="2:6" s="142" customFormat="1" ht="13.8" customHeight="1" x14ac:dyDescent="0.3">
      <c r="B108" s="148" t="s">
        <v>113</v>
      </c>
      <c r="C108" s="114" t="s">
        <v>0</v>
      </c>
      <c r="D108" s="133">
        <v>45</v>
      </c>
    </row>
    <row r="109" spans="2:6" s="142" customFormat="1" ht="14.4" x14ac:dyDescent="0.3">
      <c r="B109" s="132" t="s">
        <v>114</v>
      </c>
      <c r="C109" s="114" t="s">
        <v>1</v>
      </c>
      <c r="D109" s="133">
        <v>1050</v>
      </c>
    </row>
    <row r="110" spans="2:6" s="142" customFormat="1" ht="14.4" x14ac:dyDescent="0.3">
      <c r="B110" s="132" t="s">
        <v>99</v>
      </c>
      <c r="C110" s="114"/>
      <c r="D110" s="133"/>
    </row>
    <row r="111" spans="2:6" s="142" customFormat="1" ht="13.8" customHeight="1" x14ac:dyDescent="0.3"/>
    <row r="112" spans="2:6" s="142" customFormat="1" ht="15.6" x14ac:dyDescent="0.3">
      <c r="B112" s="150" t="s">
        <v>167</v>
      </c>
      <c r="C112" s="110"/>
      <c r="D112" s="110"/>
    </row>
    <row r="113" spans="1:253" s="142" customFormat="1" ht="27.6" x14ac:dyDescent="0.3">
      <c r="B113" s="132" t="s">
        <v>115</v>
      </c>
      <c r="C113" s="114" t="s">
        <v>54</v>
      </c>
      <c r="D113" s="133">
        <v>800</v>
      </c>
    </row>
    <row r="114" spans="1:253" s="142" customFormat="1" ht="14.4" x14ac:dyDescent="0.3">
      <c r="B114" s="132" t="s">
        <v>107</v>
      </c>
      <c r="C114" s="114" t="s">
        <v>0</v>
      </c>
      <c r="D114" s="133">
        <v>40</v>
      </c>
    </row>
    <row r="115" spans="1:253" s="142" customFormat="1" ht="14.4" x14ac:dyDescent="0.3">
      <c r="B115" s="132" t="s">
        <v>116</v>
      </c>
      <c r="C115" s="114" t="s">
        <v>0</v>
      </c>
      <c r="D115" s="133">
        <f>110*1.5</f>
        <v>165</v>
      </c>
    </row>
    <row r="116" spans="1:253" s="142" customFormat="1" ht="14.4" x14ac:dyDescent="0.3">
      <c r="B116" s="132" t="s">
        <v>19</v>
      </c>
      <c r="C116" s="114" t="s">
        <v>0</v>
      </c>
      <c r="D116" s="133">
        <v>15</v>
      </c>
    </row>
    <row r="117" spans="1:253" s="142" customFormat="1" ht="55.2" customHeight="1" x14ac:dyDescent="0.3">
      <c r="B117" s="132" t="s">
        <v>117</v>
      </c>
      <c r="C117" s="114" t="s">
        <v>0</v>
      </c>
      <c r="D117" s="133">
        <f>170*(1.2+0.5)</f>
        <v>289</v>
      </c>
    </row>
    <row r="118" spans="1:253" s="142" customFormat="1" ht="14.4" x14ac:dyDescent="0.3">
      <c r="B118" s="132" t="s">
        <v>110</v>
      </c>
      <c r="C118" s="114" t="s">
        <v>25</v>
      </c>
      <c r="D118" s="133">
        <v>650</v>
      </c>
    </row>
    <row r="119" spans="1:253" s="142" customFormat="1" ht="14.4" x14ac:dyDescent="0.3">
      <c r="B119" s="148" t="s">
        <v>111</v>
      </c>
      <c r="C119" s="114" t="s">
        <v>1</v>
      </c>
      <c r="D119" s="133">
        <v>1710</v>
      </c>
    </row>
    <row r="120" spans="1:253" s="142" customFormat="1" ht="14.4" x14ac:dyDescent="0.3">
      <c r="B120" s="148" t="s">
        <v>112</v>
      </c>
      <c r="C120" s="114" t="s">
        <v>1</v>
      </c>
      <c r="D120" s="133">
        <v>2090</v>
      </c>
    </row>
    <row r="121" spans="1:253" s="142" customFormat="1" ht="15" customHeight="1" x14ac:dyDescent="0.3">
      <c r="B121" s="148" t="s">
        <v>113</v>
      </c>
      <c r="C121" s="114" t="s">
        <v>0</v>
      </c>
      <c r="D121" s="133">
        <v>45</v>
      </c>
    </row>
    <row r="122" spans="1:253" s="142" customFormat="1" ht="14.4" x14ac:dyDescent="0.3">
      <c r="B122" s="132" t="s">
        <v>114</v>
      </c>
      <c r="C122" s="114" t="s">
        <v>1</v>
      </c>
      <c r="D122" s="133">
        <v>1050</v>
      </c>
    </row>
    <row r="123" spans="1:253" s="142" customFormat="1" ht="14.4" x14ac:dyDescent="0.3">
      <c r="B123" s="132" t="s">
        <v>99</v>
      </c>
      <c r="C123" s="114"/>
      <c r="D123" s="133"/>
    </row>
    <row r="124" spans="1:253" s="142" customFormat="1" ht="14.4" x14ac:dyDescent="0.3">
      <c r="B124" s="188"/>
      <c r="C124" s="189"/>
      <c r="D124" s="190"/>
    </row>
    <row r="125" spans="1:253" s="153" customFormat="1" x14ac:dyDescent="0.3">
      <c r="A125" s="149"/>
      <c r="B125" s="151" t="s">
        <v>168</v>
      </c>
      <c r="C125" s="152"/>
      <c r="D125" s="152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49"/>
      <c r="BS125" s="149"/>
      <c r="BT125" s="149"/>
      <c r="BU125" s="149"/>
      <c r="BV125" s="149"/>
      <c r="BW125" s="149"/>
      <c r="BX125" s="149"/>
      <c r="BY125" s="149"/>
      <c r="BZ125" s="149"/>
      <c r="CA125" s="149"/>
      <c r="CB125" s="149"/>
      <c r="CC125" s="149"/>
      <c r="CD125" s="149"/>
      <c r="CE125" s="149"/>
      <c r="CF125" s="149"/>
      <c r="CG125" s="149"/>
      <c r="CH125" s="149"/>
      <c r="CI125" s="149"/>
      <c r="CJ125" s="149"/>
      <c r="CK125" s="149"/>
      <c r="CL125" s="149"/>
      <c r="CM125" s="149"/>
      <c r="CN125" s="149"/>
      <c r="CO125" s="149"/>
      <c r="CP125" s="149"/>
      <c r="CQ125" s="149"/>
      <c r="CR125" s="149"/>
      <c r="CS125" s="149"/>
      <c r="CT125" s="149"/>
      <c r="CU125" s="149"/>
      <c r="CV125" s="149"/>
      <c r="CW125" s="149"/>
      <c r="CX125" s="149"/>
      <c r="CY125" s="149"/>
      <c r="CZ125" s="149"/>
      <c r="DA125" s="149"/>
      <c r="DB125" s="149"/>
      <c r="DC125" s="149"/>
      <c r="DD125" s="149"/>
      <c r="DE125" s="149"/>
      <c r="DF125" s="149"/>
      <c r="DG125" s="149"/>
      <c r="DH125" s="149"/>
      <c r="DI125" s="149"/>
      <c r="DJ125" s="149"/>
      <c r="DK125" s="149"/>
      <c r="DL125" s="149"/>
      <c r="DM125" s="149"/>
      <c r="DN125" s="149"/>
      <c r="DO125" s="149"/>
      <c r="DP125" s="149"/>
      <c r="DQ125" s="149"/>
      <c r="DR125" s="149"/>
      <c r="DS125" s="149"/>
      <c r="DT125" s="149"/>
      <c r="DU125" s="149"/>
      <c r="DV125" s="149"/>
      <c r="DW125" s="149"/>
      <c r="DX125" s="149"/>
      <c r="DY125" s="149"/>
      <c r="DZ125" s="149"/>
      <c r="EA125" s="149"/>
      <c r="EB125" s="149"/>
      <c r="EC125" s="149"/>
      <c r="ED125" s="149"/>
      <c r="EE125" s="149"/>
      <c r="EF125" s="149"/>
      <c r="EG125" s="149"/>
      <c r="EH125" s="149"/>
      <c r="EI125" s="149"/>
      <c r="EJ125" s="149"/>
      <c r="EK125" s="149"/>
      <c r="EL125" s="149"/>
      <c r="EM125" s="149"/>
      <c r="EN125" s="149"/>
      <c r="EO125" s="149"/>
      <c r="EP125" s="149"/>
      <c r="EQ125" s="149"/>
      <c r="ER125" s="149"/>
      <c r="ES125" s="149"/>
      <c r="ET125" s="149"/>
      <c r="EU125" s="149"/>
      <c r="EV125" s="149"/>
      <c r="EW125" s="149"/>
      <c r="EX125" s="149"/>
      <c r="EY125" s="149"/>
      <c r="EZ125" s="149"/>
      <c r="FA125" s="149"/>
      <c r="FB125" s="149"/>
      <c r="FC125" s="149"/>
      <c r="FD125" s="149"/>
      <c r="FE125" s="149"/>
      <c r="FF125" s="149"/>
      <c r="FG125" s="149"/>
      <c r="FH125" s="149"/>
      <c r="FI125" s="149"/>
      <c r="FJ125" s="149"/>
      <c r="FK125" s="149"/>
      <c r="FL125" s="149"/>
      <c r="FM125" s="149"/>
      <c r="FN125" s="149"/>
      <c r="FO125" s="149"/>
      <c r="FP125" s="149"/>
      <c r="FQ125" s="149"/>
      <c r="FR125" s="149"/>
      <c r="FS125" s="149"/>
      <c r="FT125" s="149"/>
      <c r="FU125" s="149"/>
      <c r="FV125" s="149"/>
      <c r="FW125" s="149"/>
      <c r="FX125" s="149"/>
      <c r="FY125" s="149"/>
      <c r="FZ125" s="149"/>
      <c r="GA125" s="149"/>
      <c r="GB125" s="149"/>
      <c r="GC125" s="149"/>
      <c r="GD125" s="149"/>
      <c r="GE125" s="149"/>
      <c r="GF125" s="149"/>
      <c r="GG125" s="149"/>
      <c r="GH125" s="149"/>
      <c r="GI125" s="149"/>
      <c r="GJ125" s="149"/>
      <c r="GK125" s="149"/>
      <c r="GL125" s="149"/>
      <c r="GM125" s="149"/>
      <c r="GN125" s="149"/>
      <c r="GO125" s="149"/>
      <c r="GP125" s="149"/>
      <c r="GQ125" s="149"/>
      <c r="GR125" s="149"/>
      <c r="GS125" s="149"/>
      <c r="GT125" s="149"/>
      <c r="GU125" s="149"/>
      <c r="GV125" s="149"/>
      <c r="GW125" s="149"/>
      <c r="GX125" s="149"/>
      <c r="GY125" s="149"/>
      <c r="GZ125" s="149"/>
      <c r="HA125" s="149"/>
      <c r="HB125" s="149"/>
      <c r="HC125" s="149"/>
      <c r="HD125" s="149"/>
      <c r="HE125" s="149"/>
      <c r="HF125" s="149"/>
      <c r="HG125" s="149"/>
      <c r="HH125" s="149"/>
      <c r="HI125" s="149"/>
      <c r="HJ125" s="149"/>
      <c r="HK125" s="149"/>
      <c r="HL125" s="149"/>
      <c r="HM125" s="149"/>
      <c r="HN125" s="149"/>
      <c r="HO125" s="149"/>
      <c r="HP125" s="149"/>
      <c r="HQ125" s="149"/>
      <c r="HR125" s="149"/>
      <c r="HS125" s="149"/>
      <c r="HT125" s="149"/>
      <c r="HU125" s="149"/>
      <c r="HV125" s="149"/>
      <c r="HW125" s="149"/>
      <c r="HX125" s="149"/>
      <c r="HY125" s="149"/>
      <c r="HZ125" s="149"/>
      <c r="IA125" s="149"/>
      <c r="IB125" s="149"/>
      <c r="IC125" s="149"/>
      <c r="ID125" s="149"/>
      <c r="IE125" s="149"/>
      <c r="IF125" s="149"/>
      <c r="IG125" s="149"/>
      <c r="IH125" s="149"/>
      <c r="II125" s="149"/>
      <c r="IJ125" s="149"/>
      <c r="IK125" s="149"/>
      <c r="IL125" s="149"/>
      <c r="IM125" s="149"/>
      <c r="IN125" s="149"/>
      <c r="IO125" s="149"/>
      <c r="IP125" s="149"/>
      <c r="IQ125" s="149"/>
      <c r="IR125" s="149"/>
      <c r="IS125" s="149"/>
    </row>
    <row r="126" spans="1:253" s="153" customFormat="1" x14ac:dyDescent="0.3">
      <c r="B126" s="155" t="s">
        <v>118</v>
      </c>
      <c r="C126" s="156" t="s">
        <v>90</v>
      </c>
      <c r="D126" s="157">
        <v>120</v>
      </c>
    </row>
    <row r="127" spans="1:253" s="153" customFormat="1" x14ac:dyDescent="0.3">
      <c r="B127" s="155" t="s">
        <v>119</v>
      </c>
      <c r="C127" s="156" t="s">
        <v>0</v>
      </c>
      <c r="D127" s="157">
        <v>70</v>
      </c>
    </row>
    <row r="128" spans="1:253" s="153" customFormat="1" ht="13.8" customHeight="1" x14ac:dyDescent="0.3">
      <c r="B128" s="155" t="s">
        <v>120</v>
      </c>
      <c r="C128" s="156" t="s">
        <v>0</v>
      </c>
      <c r="D128" s="157">
        <v>950</v>
      </c>
    </row>
    <row r="129" spans="1:253" s="149" customFormat="1" x14ac:dyDescent="0.3">
      <c r="A129" s="153"/>
      <c r="B129" s="132" t="s">
        <v>121</v>
      </c>
      <c r="C129" s="114" t="s">
        <v>122</v>
      </c>
      <c r="D129" s="133">
        <v>1200</v>
      </c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3"/>
      <c r="CO129" s="153"/>
      <c r="CP129" s="153"/>
      <c r="CQ129" s="153"/>
      <c r="CR129" s="153"/>
      <c r="CS129" s="153"/>
      <c r="CT129" s="153"/>
      <c r="CU129" s="153"/>
      <c r="CV129" s="153"/>
      <c r="CW129" s="153"/>
      <c r="CX129" s="153"/>
      <c r="CY129" s="153"/>
      <c r="CZ129" s="153"/>
      <c r="DA129" s="153"/>
      <c r="DB129" s="153"/>
      <c r="DC129" s="153"/>
      <c r="DD129" s="153"/>
      <c r="DE129" s="153"/>
      <c r="DF129" s="153"/>
      <c r="DG129" s="153"/>
      <c r="DH129" s="153"/>
      <c r="DI129" s="153"/>
      <c r="DJ129" s="153"/>
      <c r="DK129" s="153"/>
      <c r="DL129" s="153"/>
      <c r="DM129" s="153"/>
      <c r="DN129" s="153"/>
      <c r="DO129" s="153"/>
      <c r="DP129" s="153"/>
      <c r="DQ129" s="153"/>
      <c r="DR129" s="153"/>
      <c r="DS129" s="153"/>
      <c r="DT129" s="153"/>
      <c r="DU129" s="153"/>
      <c r="DV129" s="153"/>
      <c r="DW129" s="153"/>
      <c r="DX129" s="153"/>
      <c r="DY129" s="153"/>
      <c r="DZ129" s="153"/>
      <c r="EA129" s="153"/>
      <c r="EB129" s="153"/>
      <c r="EC129" s="153"/>
      <c r="ED129" s="153"/>
      <c r="EE129" s="153"/>
      <c r="EF129" s="153"/>
      <c r="EG129" s="153"/>
      <c r="EH129" s="153"/>
      <c r="EI129" s="153"/>
      <c r="EJ129" s="153"/>
      <c r="EK129" s="153"/>
      <c r="EL129" s="153"/>
      <c r="EM129" s="153"/>
      <c r="EN129" s="153"/>
      <c r="EO129" s="153"/>
      <c r="EP129" s="153"/>
      <c r="EQ129" s="153"/>
      <c r="ER129" s="153"/>
      <c r="ES129" s="153"/>
      <c r="ET129" s="153"/>
      <c r="EU129" s="153"/>
      <c r="EV129" s="153"/>
      <c r="EW129" s="153"/>
      <c r="EX129" s="153"/>
      <c r="EY129" s="153"/>
      <c r="EZ129" s="153"/>
      <c r="FA129" s="153"/>
      <c r="FB129" s="153"/>
      <c r="FC129" s="153"/>
      <c r="FD129" s="153"/>
      <c r="FE129" s="153"/>
      <c r="FF129" s="153"/>
      <c r="FG129" s="153"/>
      <c r="FH129" s="153"/>
      <c r="FI129" s="153"/>
      <c r="FJ129" s="153"/>
      <c r="FK129" s="153"/>
      <c r="FL129" s="153"/>
      <c r="FM129" s="153"/>
      <c r="FN129" s="153"/>
      <c r="FO129" s="153"/>
      <c r="FP129" s="153"/>
      <c r="FQ129" s="153"/>
      <c r="FR129" s="153"/>
      <c r="FS129" s="153"/>
      <c r="FT129" s="153"/>
      <c r="FU129" s="153"/>
      <c r="FV129" s="153"/>
      <c r="FW129" s="153"/>
      <c r="FX129" s="153"/>
      <c r="FY129" s="153"/>
      <c r="FZ129" s="153"/>
      <c r="GA129" s="153"/>
      <c r="GB129" s="153"/>
      <c r="GC129" s="153"/>
      <c r="GD129" s="153"/>
      <c r="GE129" s="153"/>
      <c r="GF129" s="153"/>
      <c r="GG129" s="153"/>
      <c r="GH129" s="153"/>
      <c r="GI129" s="153"/>
      <c r="GJ129" s="153"/>
      <c r="GK129" s="153"/>
      <c r="GL129" s="153"/>
      <c r="GM129" s="153"/>
      <c r="GN129" s="153"/>
      <c r="GO129" s="153"/>
      <c r="GP129" s="153"/>
      <c r="GQ129" s="153"/>
      <c r="GR129" s="153"/>
      <c r="GS129" s="153"/>
      <c r="GT129" s="153"/>
      <c r="GU129" s="153"/>
      <c r="GV129" s="153"/>
      <c r="GW129" s="153"/>
      <c r="GX129" s="153"/>
      <c r="GY129" s="153"/>
      <c r="GZ129" s="153"/>
      <c r="HA129" s="153"/>
      <c r="HB129" s="153"/>
      <c r="HC129" s="153"/>
      <c r="HD129" s="153"/>
      <c r="HE129" s="153"/>
      <c r="HF129" s="153"/>
      <c r="HG129" s="153"/>
      <c r="HH129" s="153"/>
      <c r="HI129" s="153"/>
      <c r="HJ129" s="153"/>
      <c r="HK129" s="153"/>
      <c r="HL129" s="153"/>
      <c r="HM129" s="153"/>
      <c r="HN129" s="153"/>
      <c r="HO129" s="153"/>
      <c r="HP129" s="153"/>
      <c r="HQ129" s="153"/>
      <c r="HR129" s="153"/>
      <c r="HS129" s="153"/>
      <c r="HT129" s="153"/>
      <c r="HU129" s="153"/>
      <c r="HV129" s="153"/>
      <c r="HW129" s="153"/>
      <c r="HX129" s="153"/>
      <c r="HY129" s="153"/>
      <c r="HZ129" s="153"/>
      <c r="IA129" s="153"/>
      <c r="IB129" s="153"/>
      <c r="IC129" s="153"/>
      <c r="ID129" s="153"/>
      <c r="IE129" s="153"/>
      <c r="IF129" s="153"/>
      <c r="IG129" s="153"/>
      <c r="IH129" s="153"/>
      <c r="II129" s="153"/>
      <c r="IJ129" s="153"/>
      <c r="IK129" s="153"/>
      <c r="IL129" s="153"/>
      <c r="IM129" s="153"/>
      <c r="IN129" s="153"/>
      <c r="IO129" s="153"/>
      <c r="IP129" s="153"/>
      <c r="IQ129" s="153"/>
      <c r="IR129" s="153"/>
      <c r="IS129" s="153"/>
    </row>
    <row r="130" spans="1:253" s="153" customFormat="1" x14ac:dyDescent="0.3">
      <c r="B130" s="132" t="s">
        <v>110</v>
      </c>
      <c r="C130" s="156" t="s">
        <v>25</v>
      </c>
      <c r="D130" s="158">
        <v>650</v>
      </c>
    </row>
    <row r="131" spans="1:253" s="153" customFormat="1" ht="15" customHeight="1" x14ac:dyDescent="0.3">
      <c r="B131" s="155" t="s">
        <v>123</v>
      </c>
      <c r="C131" s="156" t="s">
        <v>0</v>
      </c>
      <c r="D131" s="158">
        <v>1050</v>
      </c>
    </row>
    <row r="132" spans="1:253" s="153" customFormat="1" ht="15" customHeight="1" x14ac:dyDescent="0.3">
      <c r="B132" s="155" t="s">
        <v>124</v>
      </c>
      <c r="C132" s="156" t="s">
        <v>1</v>
      </c>
      <c r="D132" s="158">
        <v>1500</v>
      </c>
    </row>
    <row r="133" spans="1:253" s="149" customFormat="1" x14ac:dyDescent="0.3">
      <c r="A133" s="153"/>
      <c r="B133" s="132" t="s">
        <v>125</v>
      </c>
      <c r="C133" s="114" t="s">
        <v>12</v>
      </c>
      <c r="D133" s="133">
        <v>155</v>
      </c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  <c r="EB133" s="153"/>
      <c r="EC133" s="153"/>
      <c r="ED133" s="153"/>
      <c r="EE133" s="153"/>
      <c r="EF133" s="153"/>
      <c r="EG133" s="153"/>
      <c r="EH133" s="153"/>
      <c r="EI133" s="153"/>
      <c r="EJ133" s="153"/>
      <c r="EK133" s="153"/>
      <c r="EL133" s="153"/>
      <c r="EM133" s="153"/>
      <c r="EN133" s="153"/>
      <c r="EO133" s="153"/>
      <c r="EP133" s="153"/>
      <c r="EQ133" s="153"/>
      <c r="ER133" s="153"/>
      <c r="ES133" s="153"/>
      <c r="ET133" s="153"/>
      <c r="EU133" s="153"/>
      <c r="EV133" s="153"/>
      <c r="EW133" s="153"/>
      <c r="EX133" s="153"/>
      <c r="EY133" s="153"/>
      <c r="EZ133" s="153"/>
      <c r="FA133" s="153"/>
      <c r="FB133" s="153"/>
      <c r="FC133" s="153"/>
      <c r="FD133" s="153"/>
      <c r="FE133" s="153"/>
      <c r="FF133" s="153"/>
      <c r="FG133" s="153"/>
      <c r="FH133" s="153"/>
      <c r="FI133" s="153"/>
      <c r="FJ133" s="153"/>
      <c r="FK133" s="153"/>
      <c r="FL133" s="153"/>
      <c r="FM133" s="153"/>
      <c r="FN133" s="153"/>
      <c r="FO133" s="153"/>
      <c r="FP133" s="153"/>
      <c r="FQ133" s="153"/>
      <c r="FR133" s="153"/>
      <c r="FS133" s="153"/>
      <c r="FT133" s="153"/>
      <c r="FU133" s="153"/>
      <c r="FV133" s="153"/>
      <c r="FW133" s="153"/>
      <c r="FX133" s="153"/>
      <c r="FY133" s="153"/>
      <c r="FZ133" s="153"/>
      <c r="GA133" s="153"/>
      <c r="GB133" s="153"/>
      <c r="GC133" s="153"/>
      <c r="GD133" s="153"/>
      <c r="GE133" s="153"/>
      <c r="GF133" s="153"/>
      <c r="GG133" s="153"/>
      <c r="GH133" s="153"/>
      <c r="GI133" s="153"/>
      <c r="GJ133" s="153"/>
      <c r="GK133" s="153"/>
      <c r="GL133" s="153"/>
      <c r="GM133" s="153"/>
      <c r="GN133" s="153"/>
      <c r="GO133" s="153"/>
      <c r="GP133" s="153"/>
      <c r="GQ133" s="153"/>
      <c r="GR133" s="153"/>
      <c r="GS133" s="153"/>
      <c r="GT133" s="153"/>
      <c r="GU133" s="153"/>
      <c r="GV133" s="153"/>
      <c r="GW133" s="153"/>
      <c r="GX133" s="153"/>
      <c r="GY133" s="153"/>
      <c r="GZ133" s="153"/>
      <c r="HA133" s="153"/>
      <c r="HB133" s="153"/>
      <c r="HC133" s="153"/>
      <c r="HD133" s="153"/>
      <c r="HE133" s="153"/>
      <c r="HF133" s="153"/>
      <c r="HG133" s="153"/>
      <c r="HH133" s="153"/>
      <c r="HI133" s="153"/>
      <c r="HJ133" s="153"/>
      <c r="HK133" s="153"/>
      <c r="HL133" s="153"/>
      <c r="HM133" s="153"/>
      <c r="HN133" s="153"/>
      <c r="HO133" s="153"/>
      <c r="HP133" s="153"/>
      <c r="HQ133" s="153"/>
      <c r="HR133" s="153"/>
      <c r="HS133" s="153"/>
      <c r="HT133" s="153"/>
      <c r="HU133" s="153"/>
      <c r="HV133" s="153"/>
      <c r="HW133" s="153"/>
      <c r="HX133" s="153"/>
      <c r="HY133" s="153"/>
      <c r="HZ133" s="153"/>
      <c r="IA133" s="153"/>
      <c r="IB133" s="153"/>
      <c r="IC133" s="153"/>
      <c r="ID133" s="153"/>
      <c r="IE133" s="153"/>
      <c r="IF133" s="153"/>
      <c r="IG133" s="153"/>
      <c r="IH133" s="153"/>
      <c r="II133" s="153"/>
      <c r="IJ133" s="153"/>
      <c r="IK133" s="153"/>
      <c r="IL133" s="153"/>
      <c r="IM133" s="153"/>
      <c r="IN133" s="153"/>
      <c r="IO133" s="153"/>
      <c r="IP133" s="153"/>
      <c r="IQ133" s="153"/>
      <c r="IR133" s="153"/>
      <c r="IS133" s="153"/>
    </row>
    <row r="134" spans="1:253" s="153" customFormat="1" x14ac:dyDescent="0.3">
      <c r="B134" s="155" t="s">
        <v>126</v>
      </c>
      <c r="C134" s="156" t="s">
        <v>2</v>
      </c>
      <c r="D134" s="157">
        <v>3900</v>
      </c>
      <c r="E134" s="154"/>
    </row>
    <row r="135" spans="1:253" s="153" customFormat="1" x14ac:dyDescent="0.3">
      <c r="B135" s="159" t="s">
        <v>127</v>
      </c>
      <c r="C135" s="156" t="s">
        <v>16</v>
      </c>
      <c r="D135" s="157">
        <v>240</v>
      </c>
    </row>
    <row r="136" spans="1:253" s="153" customFormat="1" x14ac:dyDescent="0.3">
      <c r="B136" s="155" t="s">
        <v>99</v>
      </c>
      <c r="C136" s="156"/>
      <c r="D136" s="157"/>
    </row>
    <row r="137" spans="1:253" s="153" customFormat="1" x14ac:dyDescent="0.3">
      <c r="B137" s="182"/>
      <c r="C137" s="196"/>
      <c r="D137" s="197"/>
    </row>
    <row r="138" spans="1:253" s="153" customFormat="1" x14ac:dyDescent="0.3">
      <c r="B138" s="150" t="s">
        <v>169</v>
      </c>
      <c r="C138" s="150"/>
      <c r="D138" s="150"/>
    </row>
    <row r="139" spans="1:253" s="146" customFormat="1" ht="27.6" x14ac:dyDescent="0.3">
      <c r="A139" s="153"/>
      <c r="B139" s="155" t="s">
        <v>128</v>
      </c>
      <c r="C139" s="156" t="s">
        <v>0</v>
      </c>
      <c r="D139" s="157">
        <v>130</v>
      </c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/>
      <c r="AV139" s="153"/>
      <c r="AW139" s="153"/>
      <c r="AX139" s="153"/>
      <c r="AY139" s="153"/>
      <c r="AZ139" s="153"/>
      <c r="BA139" s="153"/>
      <c r="BB139" s="153"/>
      <c r="BC139" s="153"/>
      <c r="BD139" s="153"/>
      <c r="BE139" s="153"/>
      <c r="BF139" s="153"/>
      <c r="BG139" s="153"/>
      <c r="BH139" s="153"/>
      <c r="BI139" s="153"/>
      <c r="BJ139" s="153"/>
      <c r="BK139" s="153"/>
      <c r="BL139" s="153"/>
      <c r="BM139" s="153"/>
      <c r="BN139" s="153"/>
      <c r="BO139" s="153"/>
      <c r="BP139" s="153"/>
      <c r="BQ139" s="153"/>
      <c r="BR139" s="153"/>
      <c r="BS139" s="153"/>
      <c r="BT139" s="153"/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3"/>
      <c r="CJ139" s="153"/>
      <c r="CK139" s="153"/>
      <c r="CL139" s="153"/>
      <c r="CM139" s="153"/>
      <c r="CN139" s="153"/>
      <c r="CO139" s="153"/>
      <c r="CP139" s="153"/>
      <c r="CQ139" s="153"/>
      <c r="CR139" s="153"/>
      <c r="CS139" s="153"/>
      <c r="CT139" s="153"/>
      <c r="CU139" s="153"/>
      <c r="CV139" s="153"/>
      <c r="CW139" s="153"/>
      <c r="CX139" s="153"/>
      <c r="CY139" s="153"/>
      <c r="CZ139" s="153"/>
      <c r="DA139" s="153"/>
      <c r="DB139" s="153"/>
      <c r="DC139" s="153"/>
      <c r="DD139" s="153"/>
      <c r="DE139" s="153"/>
      <c r="DF139" s="153"/>
      <c r="DG139" s="153"/>
      <c r="DH139" s="153"/>
      <c r="DI139" s="153"/>
      <c r="DJ139" s="153"/>
      <c r="DK139" s="153"/>
      <c r="DL139" s="153"/>
      <c r="DM139" s="153"/>
      <c r="DN139" s="153"/>
      <c r="DO139" s="153"/>
      <c r="DP139" s="153"/>
      <c r="DQ139" s="153"/>
      <c r="DR139" s="153"/>
      <c r="DS139" s="153"/>
      <c r="DT139" s="153"/>
      <c r="DU139" s="153"/>
      <c r="DV139" s="153"/>
      <c r="DW139" s="153"/>
      <c r="DX139" s="153"/>
      <c r="DY139" s="153"/>
      <c r="DZ139" s="153"/>
      <c r="EA139" s="153"/>
      <c r="EB139" s="153"/>
      <c r="EC139" s="153"/>
      <c r="ED139" s="153"/>
      <c r="EE139" s="153"/>
      <c r="EF139" s="153"/>
      <c r="EG139" s="153"/>
      <c r="EH139" s="153"/>
      <c r="EI139" s="153"/>
      <c r="EJ139" s="153"/>
      <c r="EK139" s="153"/>
      <c r="EL139" s="153"/>
      <c r="EM139" s="153"/>
      <c r="EN139" s="153"/>
      <c r="EO139" s="153"/>
      <c r="EP139" s="153"/>
      <c r="EQ139" s="153"/>
      <c r="ER139" s="153"/>
      <c r="ES139" s="153"/>
      <c r="ET139" s="153"/>
      <c r="EU139" s="153"/>
      <c r="EV139" s="153"/>
      <c r="EW139" s="153"/>
      <c r="EX139" s="153"/>
      <c r="EY139" s="153"/>
      <c r="EZ139" s="153"/>
      <c r="FA139" s="153"/>
      <c r="FB139" s="153"/>
      <c r="FC139" s="153"/>
      <c r="FD139" s="153"/>
      <c r="FE139" s="153"/>
      <c r="FF139" s="153"/>
      <c r="FG139" s="153"/>
      <c r="FH139" s="153"/>
      <c r="FI139" s="153"/>
      <c r="FJ139" s="153"/>
      <c r="FK139" s="153"/>
      <c r="FL139" s="153"/>
      <c r="FM139" s="153"/>
      <c r="FN139" s="153"/>
      <c r="FO139" s="153"/>
      <c r="FP139" s="153"/>
      <c r="FQ139" s="153"/>
      <c r="FR139" s="153"/>
      <c r="FS139" s="153"/>
      <c r="FT139" s="153"/>
      <c r="FU139" s="153"/>
      <c r="FV139" s="153"/>
      <c r="FW139" s="153"/>
      <c r="FX139" s="153"/>
      <c r="FY139" s="153"/>
      <c r="FZ139" s="153"/>
      <c r="GA139" s="153"/>
      <c r="GB139" s="153"/>
      <c r="GC139" s="153"/>
      <c r="GD139" s="153"/>
      <c r="GE139" s="153"/>
      <c r="GF139" s="153"/>
      <c r="GG139" s="153"/>
      <c r="GH139" s="153"/>
      <c r="GI139" s="153"/>
      <c r="GJ139" s="153"/>
      <c r="GK139" s="153"/>
      <c r="GL139" s="153"/>
      <c r="GM139" s="153"/>
      <c r="GN139" s="153"/>
      <c r="GO139" s="153"/>
      <c r="GP139" s="153"/>
      <c r="GQ139" s="153"/>
      <c r="GR139" s="153"/>
      <c r="GS139" s="153"/>
      <c r="GT139" s="153"/>
      <c r="GU139" s="153"/>
      <c r="GV139" s="153"/>
      <c r="GW139" s="153"/>
      <c r="GX139" s="153"/>
      <c r="GY139" s="153"/>
      <c r="GZ139" s="153"/>
      <c r="HA139" s="153"/>
      <c r="HB139" s="153"/>
      <c r="HC139" s="153"/>
      <c r="HD139" s="153"/>
      <c r="HE139" s="153"/>
      <c r="HF139" s="153"/>
      <c r="HG139" s="153"/>
      <c r="HH139" s="153"/>
      <c r="HI139" s="153"/>
      <c r="HJ139" s="153"/>
      <c r="HK139" s="153"/>
      <c r="HL139" s="153"/>
      <c r="HM139" s="153"/>
      <c r="HN139" s="153"/>
      <c r="HO139" s="153"/>
      <c r="HP139" s="153"/>
      <c r="HQ139" s="153"/>
      <c r="HR139" s="153"/>
      <c r="HS139" s="153"/>
      <c r="HT139" s="153"/>
      <c r="HU139" s="153"/>
      <c r="HV139" s="153"/>
      <c r="HW139" s="153"/>
      <c r="HX139" s="153"/>
      <c r="HY139" s="153"/>
      <c r="HZ139" s="153"/>
      <c r="IA139" s="153"/>
      <c r="IB139" s="153"/>
      <c r="IC139" s="153"/>
      <c r="ID139" s="153"/>
      <c r="IE139" s="153"/>
      <c r="IF139" s="153"/>
      <c r="IG139" s="153"/>
      <c r="IH139" s="153"/>
      <c r="II139" s="153"/>
      <c r="IJ139" s="153"/>
      <c r="IK139" s="153"/>
      <c r="IL139" s="153"/>
      <c r="IM139" s="153"/>
      <c r="IN139" s="153"/>
      <c r="IO139" s="153"/>
      <c r="IP139" s="153"/>
      <c r="IQ139" s="153"/>
      <c r="IR139" s="153"/>
      <c r="IS139" s="153"/>
    </row>
    <row r="140" spans="1:253" s="147" customFormat="1" ht="27.6" x14ac:dyDescent="0.3">
      <c r="A140" s="153"/>
      <c r="B140" s="155" t="s">
        <v>129</v>
      </c>
      <c r="C140" s="156" t="s">
        <v>0</v>
      </c>
      <c r="D140" s="157">
        <v>200</v>
      </c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3"/>
      <c r="AS140" s="153"/>
      <c r="AT140" s="153"/>
      <c r="AU140" s="153"/>
      <c r="AV140" s="153"/>
      <c r="AW140" s="153"/>
      <c r="AX140" s="153"/>
      <c r="AY140" s="153"/>
      <c r="AZ140" s="153"/>
      <c r="BA140" s="153"/>
      <c r="BB140" s="153"/>
      <c r="BC140" s="153"/>
      <c r="BD140" s="153"/>
      <c r="BE140" s="153"/>
      <c r="BF140" s="153"/>
      <c r="BG140" s="153"/>
      <c r="BH140" s="153"/>
      <c r="BI140" s="153"/>
      <c r="BJ140" s="153"/>
      <c r="BK140" s="153"/>
      <c r="BL140" s="153"/>
      <c r="BM140" s="153"/>
      <c r="BN140" s="153"/>
      <c r="BO140" s="153"/>
      <c r="BP140" s="153"/>
      <c r="BQ140" s="153"/>
      <c r="BR140" s="153"/>
      <c r="BS140" s="153"/>
      <c r="BT140" s="153"/>
      <c r="BU140" s="153"/>
      <c r="BV140" s="153"/>
      <c r="BW140" s="153"/>
      <c r="BX140" s="153"/>
      <c r="BY140" s="153"/>
      <c r="BZ140" s="153"/>
      <c r="CA140" s="153"/>
      <c r="CB140" s="153"/>
      <c r="CC140" s="153"/>
      <c r="CD140" s="153"/>
      <c r="CE140" s="153"/>
      <c r="CF140" s="153"/>
      <c r="CG140" s="153"/>
      <c r="CH140" s="153"/>
      <c r="CI140" s="153"/>
      <c r="CJ140" s="153"/>
      <c r="CK140" s="153"/>
      <c r="CL140" s="153"/>
      <c r="CM140" s="153"/>
      <c r="CN140" s="153"/>
      <c r="CO140" s="153"/>
      <c r="CP140" s="153"/>
      <c r="CQ140" s="153"/>
      <c r="CR140" s="153"/>
      <c r="CS140" s="153"/>
      <c r="CT140" s="153"/>
      <c r="CU140" s="153"/>
      <c r="CV140" s="153"/>
      <c r="CW140" s="153"/>
      <c r="CX140" s="153"/>
      <c r="CY140" s="153"/>
      <c r="CZ140" s="153"/>
      <c r="DA140" s="153"/>
      <c r="DB140" s="153"/>
      <c r="DC140" s="153"/>
      <c r="DD140" s="153"/>
      <c r="DE140" s="153"/>
      <c r="DF140" s="153"/>
      <c r="DG140" s="153"/>
      <c r="DH140" s="153"/>
      <c r="DI140" s="153"/>
      <c r="DJ140" s="153"/>
      <c r="DK140" s="153"/>
      <c r="DL140" s="153"/>
      <c r="DM140" s="153"/>
      <c r="DN140" s="153"/>
      <c r="DO140" s="153"/>
      <c r="DP140" s="153"/>
      <c r="DQ140" s="153"/>
      <c r="DR140" s="153"/>
      <c r="DS140" s="153"/>
      <c r="DT140" s="153"/>
      <c r="DU140" s="153"/>
      <c r="DV140" s="153"/>
      <c r="DW140" s="153"/>
      <c r="DX140" s="153"/>
      <c r="DY140" s="153"/>
      <c r="DZ140" s="153"/>
      <c r="EA140" s="153"/>
      <c r="EB140" s="153"/>
      <c r="EC140" s="153"/>
      <c r="ED140" s="153"/>
      <c r="EE140" s="153"/>
      <c r="EF140" s="153"/>
      <c r="EG140" s="153"/>
      <c r="EH140" s="153"/>
      <c r="EI140" s="153"/>
      <c r="EJ140" s="153"/>
      <c r="EK140" s="153"/>
      <c r="EL140" s="153"/>
      <c r="EM140" s="153"/>
      <c r="EN140" s="153"/>
      <c r="EO140" s="153"/>
      <c r="EP140" s="153"/>
      <c r="EQ140" s="153"/>
      <c r="ER140" s="153"/>
      <c r="ES140" s="153"/>
      <c r="ET140" s="153"/>
      <c r="EU140" s="153"/>
      <c r="EV140" s="153"/>
      <c r="EW140" s="153"/>
      <c r="EX140" s="153"/>
      <c r="EY140" s="153"/>
      <c r="EZ140" s="153"/>
      <c r="FA140" s="153"/>
      <c r="FB140" s="153"/>
      <c r="FC140" s="153"/>
      <c r="FD140" s="153"/>
      <c r="FE140" s="153"/>
      <c r="FF140" s="153"/>
      <c r="FG140" s="153"/>
      <c r="FH140" s="153"/>
      <c r="FI140" s="153"/>
      <c r="FJ140" s="153"/>
      <c r="FK140" s="153"/>
      <c r="FL140" s="153"/>
      <c r="FM140" s="153"/>
      <c r="FN140" s="153"/>
      <c r="FO140" s="153"/>
      <c r="FP140" s="153"/>
      <c r="FQ140" s="153"/>
      <c r="FR140" s="153"/>
      <c r="FS140" s="153"/>
      <c r="FT140" s="153"/>
      <c r="FU140" s="153"/>
      <c r="FV140" s="153"/>
      <c r="FW140" s="153"/>
      <c r="FX140" s="153"/>
      <c r="FY140" s="153"/>
      <c r="FZ140" s="153"/>
      <c r="GA140" s="153"/>
      <c r="GB140" s="153"/>
      <c r="GC140" s="153"/>
      <c r="GD140" s="153"/>
      <c r="GE140" s="153"/>
      <c r="GF140" s="153"/>
      <c r="GG140" s="153"/>
      <c r="GH140" s="153"/>
      <c r="GI140" s="153"/>
      <c r="GJ140" s="153"/>
      <c r="GK140" s="153"/>
      <c r="GL140" s="153"/>
      <c r="GM140" s="153"/>
      <c r="GN140" s="153"/>
      <c r="GO140" s="153"/>
      <c r="GP140" s="153"/>
      <c r="GQ140" s="153"/>
      <c r="GR140" s="153"/>
      <c r="GS140" s="153"/>
      <c r="GT140" s="153"/>
      <c r="GU140" s="153"/>
      <c r="GV140" s="153"/>
      <c r="GW140" s="153"/>
      <c r="GX140" s="153"/>
      <c r="GY140" s="153"/>
      <c r="GZ140" s="153"/>
      <c r="HA140" s="153"/>
      <c r="HB140" s="153"/>
      <c r="HC140" s="153"/>
      <c r="HD140" s="153"/>
      <c r="HE140" s="153"/>
      <c r="HF140" s="153"/>
      <c r="HG140" s="153"/>
      <c r="HH140" s="153"/>
      <c r="HI140" s="153"/>
      <c r="HJ140" s="153"/>
      <c r="HK140" s="153"/>
      <c r="HL140" s="153"/>
      <c r="HM140" s="153"/>
      <c r="HN140" s="153"/>
      <c r="HO140" s="153"/>
      <c r="HP140" s="153"/>
      <c r="HQ140" s="153"/>
      <c r="HR140" s="153"/>
      <c r="HS140" s="153"/>
      <c r="HT140" s="153"/>
      <c r="HU140" s="153"/>
      <c r="HV140" s="153"/>
      <c r="HW140" s="153"/>
      <c r="HX140" s="153"/>
      <c r="HY140" s="153"/>
      <c r="HZ140" s="153"/>
      <c r="IA140" s="153"/>
      <c r="IB140" s="153"/>
      <c r="IC140" s="153"/>
      <c r="ID140" s="153"/>
      <c r="IE140" s="153"/>
      <c r="IF140" s="153"/>
      <c r="IG140" s="153"/>
      <c r="IH140" s="153"/>
      <c r="II140" s="153"/>
      <c r="IJ140" s="153"/>
      <c r="IK140" s="153"/>
      <c r="IL140" s="153"/>
      <c r="IM140" s="153"/>
      <c r="IN140" s="153"/>
      <c r="IO140" s="153"/>
      <c r="IP140" s="153"/>
      <c r="IQ140" s="153"/>
      <c r="IR140" s="153"/>
      <c r="IS140" s="153"/>
    </row>
    <row r="141" spans="1:253" s="153" customFormat="1" x14ac:dyDescent="0.3">
      <c r="B141" s="132" t="s">
        <v>124</v>
      </c>
      <c r="C141" s="114" t="s">
        <v>1</v>
      </c>
      <c r="D141" s="133">
        <v>1500</v>
      </c>
    </row>
    <row r="142" spans="1:253" s="153" customFormat="1" ht="24" customHeight="1" x14ac:dyDescent="0.3">
      <c r="B142" s="132" t="s">
        <v>130</v>
      </c>
      <c r="C142" s="114" t="s">
        <v>1</v>
      </c>
      <c r="D142" s="133">
        <v>8000</v>
      </c>
    </row>
    <row r="143" spans="1:253" s="153" customFormat="1" x14ac:dyDescent="0.3">
      <c r="B143" s="132" t="s">
        <v>99</v>
      </c>
      <c r="C143" s="114"/>
      <c r="D143" s="133"/>
    </row>
    <row r="144" spans="1:253" s="153" customFormat="1" x14ac:dyDescent="0.3">
      <c r="B144" s="188"/>
      <c r="C144" s="189"/>
      <c r="D144" s="190"/>
    </row>
    <row r="145" spans="1:253" s="160" customFormat="1" ht="13.8" customHeight="1" x14ac:dyDescent="0.3">
      <c r="A145" s="153"/>
      <c r="B145" s="150" t="s">
        <v>170</v>
      </c>
      <c r="C145" s="144"/>
      <c r="D145" s="144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/>
      <c r="AQ145" s="153"/>
      <c r="AR145" s="153"/>
      <c r="AS145" s="153"/>
      <c r="AT145" s="153"/>
      <c r="AU145" s="153"/>
      <c r="AV145" s="153"/>
      <c r="AW145" s="153"/>
      <c r="AX145" s="153"/>
      <c r="AY145" s="153"/>
      <c r="AZ145" s="153"/>
      <c r="BA145" s="153"/>
      <c r="BB145" s="153"/>
      <c r="BC145" s="153"/>
      <c r="BD145" s="153"/>
      <c r="BE145" s="153"/>
      <c r="BF145" s="153"/>
      <c r="BG145" s="153"/>
      <c r="BH145" s="153"/>
      <c r="BI145" s="153"/>
      <c r="BJ145" s="153"/>
      <c r="BK145" s="153"/>
      <c r="BL145" s="153"/>
      <c r="BM145" s="153"/>
      <c r="BN145" s="153"/>
      <c r="BO145" s="153"/>
      <c r="BP145" s="153"/>
      <c r="BQ145" s="153"/>
      <c r="BR145" s="153"/>
      <c r="BS145" s="153"/>
      <c r="BT145" s="153"/>
      <c r="BU145" s="153"/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3"/>
      <c r="CJ145" s="153"/>
      <c r="CK145" s="153"/>
      <c r="CL145" s="153"/>
      <c r="CM145" s="153"/>
      <c r="CN145" s="153"/>
      <c r="CO145" s="153"/>
      <c r="CP145" s="153"/>
      <c r="CQ145" s="153"/>
      <c r="CR145" s="153"/>
      <c r="CS145" s="153"/>
      <c r="CT145" s="153"/>
      <c r="CU145" s="153"/>
      <c r="CV145" s="153"/>
      <c r="CW145" s="153"/>
      <c r="CX145" s="153"/>
      <c r="CY145" s="153"/>
      <c r="CZ145" s="153"/>
      <c r="DA145" s="153"/>
      <c r="DB145" s="153"/>
      <c r="DC145" s="153"/>
      <c r="DD145" s="153"/>
      <c r="DE145" s="153"/>
      <c r="DF145" s="153"/>
      <c r="DG145" s="153"/>
      <c r="DH145" s="153"/>
      <c r="DI145" s="153"/>
      <c r="DJ145" s="153"/>
      <c r="DK145" s="153"/>
      <c r="DL145" s="153"/>
      <c r="DM145" s="153"/>
      <c r="DN145" s="153"/>
      <c r="DO145" s="153"/>
      <c r="DP145" s="153"/>
      <c r="DQ145" s="153"/>
      <c r="DR145" s="153"/>
      <c r="DS145" s="153"/>
      <c r="DT145" s="153"/>
      <c r="DU145" s="153"/>
      <c r="DV145" s="153"/>
      <c r="DW145" s="153"/>
      <c r="DX145" s="153"/>
      <c r="DY145" s="153"/>
      <c r="DZ145" s="153"/>
      <c r="EA145" s="153"/>
      <c r="EB145" s="153"/>
      <c r="EC145" s="153"/>
      <c r="ED145" s="153"/>
      <c r="EE145" s="153"/>
      <c r="EF145" s="153"/>
      <c r="EG145" s="153"/>
      <c r="EH145" s="153"/>
      <c r="EI145" s="153"/>
      <c r="EJ145" s="153"/>
      <c r="EK145" s="153"/>
      <c r="EL145" s="153"/>
      <c r="EM145" s="153"/>
      <c r="EN145" s="153"/>
      <c r="EO145" s="153"/>
      <c r="EP145" s="153"/>
      <c r="EQ145" s="153"/>
      <c r="ER145" s="153"/>
      <c r="ES145" s="153"/>
      <c r="ET145" s="153"/>
      <c r="EU145" s="153"/>
      <c r="EV145" s="153"/>
      <c r="EW145" s="153"/>
      <c r="EX145" s="153"/>
      <c r="EY145" s="153"/>
      <c r="EZ145" s="153"/>
      <c r="FA145" s="153"/>
      <c r="FB145" s="153"/>
      <c r="FC145" s="153"/>
      <c r="FD145" s="153"/>
      <c r="FE145" s="153"/>
      <c r="FF145" s="153"/>
      <c r="FG145" s="153"/>
      <c r="FH145" s="153"/>
      <c r="FI145" s="153"/>
      <c r="FJ145" s="153"/>
      <c r="FK145" s="153"/>
      <c r="FL145" s="153"/>
      <c r="FM145" s="153"/>
      <c r="FN145" s="153"/>
      <c r="FO145" s="153"/>
      <c r="FP145" s="153"/>
      <c r="FQ145" s="153"/>
      <c r="FR145" s="153"/>
      <c r="FS145" s="153"/>
      <c r="FT145" s="153"/>
      <c r="FU145" s="153"/>
      <c r="FV145" s="153"/>
      <c r="FW145" s="153"/>
      <c r="FX145" s="153"/>
      <c r="FY145" s="153"/>
      <c r="FZ145" s="153"/>
      <c r="GA145" s="153"/>
      <c r="GB145" s="153"/>
      <c r="GC145" s="153"/>
      <c r="GD145" s="153"/>
      <c r="GE145" s="153"/>
      <c r="GF145" s="153"/>
      <c r="GG145" s="153"/>
      <c r="GH145" s="153"/>
      <c r="GI145" s="153"/>
      <c r="GJ145" s="153"/>
      <c r="GK145" s="153"/>
      <c r="GL145" s="153"/>
      <c r="GM145" s="153"/>
      <c r="GN145" s="153"/>
      <c r="GO145" s="153"/>
      <c r="GP145" s="153"/>
      <c r="GQ145" s="153"/>
      <c r="GR145" s="153"/>
      <c r="GS145" s="153"/>
      <c r="GT145" s="153"/>
      <c r="GU145" s="153"/>
      <c r="GV145" s="153"/>
      <c r="GW145" s="153"/>
      <c r="GX145" s="153"/>
      <c r="GY145" s="153"/>
      <c r="GZ145" s="153"/>
      <c r="HA145" s="153"/>
      <c r="HB145" s="153"/>
      <c r="HC145" s="153"/>
      <c r="HD145" s="153"/>
      <c r="HE145" s="153"/>
      <c r="HF145" s="153"/>
      <c r="HG145" s="153"/>
      <c r="HH145" s="153"/>
      <c r="HI145" s="153"/>
      <c r="HJ145" s="153"/>
      <c r="HK145" s="153"/>
      <c r="HL145" s="153"/>
      <c r="HM145" s="153"/>
      <c r="HN145" s="153"/>
      <c r="HO145" s="153"/>
      <c r="HP145" s="153"/>
      <c r="HQ145" s="153"/>
      <c r="HR145" s="153"/>
      <c r="HS145" s="153"/>
      <c r="HT145" s="153"/>
      <c r="HU145" s="153"/>
      <c r="HV145" s="153"/>
      <c r="HW145" s="153"/>
      <c r="HX145" s="153"/>
      <c r="HY145" s="153"/>
      <c r="HZ145" s="153"/>
      <c r="IA145" s="153"/>
      <c r="IB145" s="153"/>
      <c r="IC145" s="153"/>
      <c r="ID145" s="153"/>
      <c r="IE145" s="153"/>
      <c r="IF145" s="153"/>
      <c r="IG145" s="153"/>
      <c r="IH145" s="153"/>
      <c r="II145" s="153"/>
      <c r="IJ145" s="153"/>
      <c r="IK145" s="153"/>
      <c r="IL145" s="153"/>
      <c r="IM145" s="153"/>
      <c r="IN145" s="153"/>
      <c r="IO145" s="153"/>
      <c r="IP145" s="153"/>
      <c r="IQ145" s="153"/>
      <c r="IR145" s="153"/>
      <c r="IS145" s="153"/>
    </row>
    <row r="146" spans="1:253" s="153" customFormat="1" ht="13.8" customHeight="1" x14ac:dyDescent="0.3">
      <c r="A146" s="161"/>
      <c r="B146" s="155" t="s">
        <v>131</v>
      </c>
      <c r="C146" s="156" t="s">
        <v>0</v>
      </c>
      <c r="D146" s="157">
        <v>70</v>
      </c>
    </row>
    <row r="147" spans="1:253" s="153" customFormat="1" ht="13.8" customHeight="1" x14ac:dyDescent="0.3">
      <c r="A147" s="161"/>
      <c r="B147" s="155" t="s">
        <v>132</v>
      </c>
      <c r="C147" s="156" t="s">
        <v>0</v>
      </c>
      <c r="D147" s="157">
        <v>40</v>
      </c>
    </row>
    <row r="148" spans="1:253" s="153" customFormat="1" ht="13.8" customHeight="1" x14ac:dyDescent="0.3">
      <c r="B148" s="132" t="s">
        <v>133</v>
      </c>
      <c r="C148" s="162" t="s">
        <v>0</v>
      </c>
      <c r="D148" s="119">
        <v>950</v>
      </c>
      <c r="E148" s="153">
        <v>1520</v>
      </c>
    </row>
    <row r="149" spans="1:253" s="153" customFormat="1" ht="13.8" customHeight="1" x14ac:dyDescent="0.3">
      <c r="B149" s="132" t="s">
        <v>110</v>
      </c>
      <c r="C149" s="114" t="s">
        <v>25</v>
      </c>
      <c r="D149" s="133">
        <v>650</v>
      </c>
    </row>
    <row r="150" spans="1:253" s="151" customFormat="1" ht="13.8" customHeight="1" x14ac:dyDescent="0.3">
      <c r="A150" s="153"/>
      <c r="B150" s="132" t="s">
        <v>134</v>
      </c>
      <c r="C150" s="162" t="s">
        <v>0</v>
      </c>
      <c r="D150" s="119">
        <v>2500</v>
      </c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3"/>
      <c r="BC150" s="153"/>
      <c r="BD150" s="153"/>
      <c r="BE150" s="153"/>
      <c r="BF150" s="153"/>
      <c r="BG150" s="153"/>
      <c r="BH150" s="153"/>
      <c r="BI150" s="153"/>
      <c r="BJ150" s="153"/>
      <c r="BK150" s="153"/>
      <c r="BL150" s="153"/>
      <c r="BM150" s="153"/>
      <c r="BN150" s="153"/>
      <c r="BO150" s="153"/>
      <c r="BP150" s="153"/>
      <c r="BQ150" s="153"/>
      <c r="BR150" s="153"/>
      <c r="BS150" s="153"/>
      <c r="BT150" s="153"/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3"/>
      <c r="CJ150" s="153"/>
      <c r="CK150" s="153"/>
      <c r="CL150" s="153"/>
      <c r="CM150" s="153"/>
      <c r="CN150" s="153"/>
      <c r="CO150" s="153"/>
      <c r="CP150" s="153"/>
      <c r="CQ150" s="153"/>
      <c r="CR150" s="153"/>
      <c r="CS150" s="153"/>
      <c r="CT150" s="153"/>
      <c r="CU150" s="153"/>
      <c r="CV150" s="153"/>
      <c r="CW150" s="153"/>
      <c r="CX150" s="153"/>
      <c r="CY150" s="153"/>
      <c r="CZ150" s="153"/>
      <c r="DA150" s="153"/>
      <c r="DB150" s="153"/>
      <c r="DC150" s="153"/>
      <c r="DD150" s="153"/>
      <c r="DE150" s="153"/>
      <c r="DF150" s="153"/>
      <c r="DG150" s="153"/>
      <c r="DH150" s="153"/>
      <c r="DI150" s="153"/>
      <c r="DJ150" s="153"/>
      <c r="DK150" s="153"/>
      <c r="DL150" s="153"/>
      <c r="DM150" s="153"/>
      <c r="DN150" s="153"/>
      <c r="DO150" s="153"/>
      <c r="DP150" s="153"/>
      <c r="DQ150" s="153"/>
      <c r="DR150" s="153"/>
      <c r="DS150" s="153"/>
      <c r="DT150" s="153"/>
      <c r="DU150" s="153"/>
      <c r="DV150" s="153"/>
      <c r="DW150" s="153"/>
      <c r="DX150" s="153"/>
      <c r="DY150" s="153"/>
      <c r="DZ150" s="153"/>
      <c r="EA150" s="153"/>
      <c r="EB150" s="153"/>
      <c r="EC150" s="153"/>
      <c r="ED150" s="153"/>
      <c r="EE150" s="153"/>
      <c r="EF150" s="153"/>
      <c r="EG150" s="153"/>
      <c r="EH150" s="153"/>
      <c r="EI150" s="153"/>
      <c r="EJ150" s="153"/>
      <c r="EK150" s="153"/>
      <c r="EL150" s="153"/>
      <c r="EM150" s="153"/>
      <c r="EN150" s="153"/>
      <c r="EO150" s="153"/>
      <c r="EP150" s="153"/>
      <c r="EQ150" s="153"/>
      <c r="ER150" s="153"/>
      <c r="ES150" s="153"/>
      <c r="ET150" s="153"/>
      <c r="EU150" s="153"/>
      <c r="EV150" s="153"/>
      <c r="EW150" s="153"/>
      <c r="EX150" s="153"/>
      <c r="EY150" s="153"/>
      <c r="EZ150" s="153"/>
      <c r="FA150" s="153"/>
      <c r="FB150" s="153"/>
      <c r="FC150" s="153"/>
      <c r="FD150" s="153"/>
      <c r="FE150" s="153"/>
      <c r="FF150" s="153"/>
      <c r="FG150" s="153"/>
      <c r="FH150" s="153"/>
      <c r="FI150" s="153"/>
      <c r="FJ150" s="153"/>
      <c r="FK150" s="153"/>
      <c r="FL150" s="153"/>
      <c r="FM150" s="153"/>
      <c r="FN150" s="153"/>
      <c r="FO150" s="153"/>
      <c r="FP150" s="153"/>
      <c r="FQ150" s="153"/>
      <c r="FR150" s="153"/>
      <c r="FS150" s="153"/>
      <c r="FT150" s="153"/>
      <c r="FU150" s="153"/>
      <c r="FV150" s="153"/>
      <c r="FW150" s="153"/>
      <c r="FX150" s="153"/>
      <c r="FY150" s="153"/>
      <c r="FZ150" s="153"/>
      <c r="GA150" s="153"/>
      <c r="GB150" s="153"/>
      <c r="GC150" s="153"/>
      <c r="GD150" s="153"/>
      <c r="GE150" s="153"/>
      <c r="GF150" s="153"/>
      <c r="GG150" s="153"/>
      <c r="GH150" s="153"/>
      <c r="GI150" s="153"/>
      <c r="GJ150" s="153"/>
      <c r="GK150" s="153"/>
      <c r="GL150" s="153"/>
      <c r="GM150" s="153"/>
      <c r="GN150" s="153"/>
      <c r="GO150" s="153"/>
      <c r="GP150" s="153"/>
      <c r="GQ150" s="153"/>
      <c r="GR150" s="153"/>
      <c r="GS150" s="153"/>
      <c r="GT150" s="153"/>
      <c r="GU150" s="153"/>
      <c r="GV150" s="153"/>
      <c r="GW150" s="153"/>
      <c r="GX150" s="153"/>
      <c r="GY150" s="153"/>
      <c r="GZ150" s="153"/>
      <c r="HA150" s="153"/>
      <c r="HB150" s="153"/>
      <c r="HC150" s="153"/>
      <c r="HD150" s="153"/>
      <c r="HE150" s="153"/>
      <c r="HF150" s="153"/>
      <c r="HG150" s="153"/>
      <c r="HH150" s="153"/>
      <c r="HI150" s="153"/>
      <c r="HJ150" s="153"/>
      <c r="HK150" s="153"/>
      <c r="HL150" s="153"/>
      <c r="HM150" s="153"/>
      <c r="HN150" s="153"/>
      <c r="HO150" s="153"/>
      <c r="HP150" s="153"/>
      <c r="HQ150" s="153"/>
      <c r="HR150" s="153"/>
      <c r="HS150" s="153"/>
      <c r="HT150" s="153"/>
      <c r="HU150" s="153"/>
      <c r="HV150" s="153"/>
      <c r="HW150" s="153"/>
      <c r="HX150" s="153"/>
      <c r="HY150" s="153"/>
      <c r="HZ150" s="153"/>
      <c r="IA150" s="153"/>
      <c r="IB150" s="153"/>
      <c r="IC150" s="153"/>
      <c r="ID150" s="153"/>
      <c r="IE150" s="153"/>
      <c r="IF150" s="153"/>
      <c r="IG150" s="153"/>
      <c r="IH150" s="153"/>
      <c r="II150" s="153"/>
      <c r="IJ150" s="153"/>
      <c r="IK150" s="153"/>
      <c r="IL150" s="153"/>
      <c r="IM150" s="153"/>
      <c r="IN150" s="153"/>
      <c r="IO150" s="153"/>
      <c r="IP150" s="153"/>
      <c r="IQ150" s="153"/>
      <c r="IR150" s="153"/>
      <c r="IS150" s="153"/>
    </row>
    <row r="151" spans="1:253" s="151" customFormat="1" x14ac:dyDescent="0.3">
      <c r="A151" s="161"/>
      <c r="B151" s="155" t="s">
        <v>124</v>
      </c>
      <c r="C151" s="156" t="s">
        <v>1</v>
      </c>
      <c r="D151" s="157">
        <v>1500</v>
      </c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53"/>
      <c r="CS151" s="153"/>
      <c r="CT151" s="153"/>
      <c r="CU151" s="153"/>
      <c r="CV151" s="153"/>
      <c r="CW151" s="153"/>
      <c r="CX151" s="153"/>
      <c r="CY151" s="153"/>
      <c r="CZ151" s="153"/>
      <c r="DA151" s="153"/>
      <c r="DB151" s="153"/>
      <c r="DC151" s="153"/>
      <c r="DD151" s="153"/>
      <c r="DE151" s="153"/>
      <c r="DF151" s="153"/>
      <c r="DG151" s="153"/>
      <c r="DH151" s="153"/>
      <c r="DI151" s="153"/>
      <c r="DJ151" s="153"/>
      <c r="DK151" s="153"/>
      <c r="DL151" s="153"/>
      <c r="DM151" s="153"/>
      <c r="DN151" s="153"/>
      <c r="DO151" s="153"/>
      <c r="DP151" s="153"/>
      <c r="DQ151" s="153"/>
      <c r="DR151" s="153"/>
      <c r="DS151" s="153"/>
      <c r="DT151" s="153"/>
      <c r="DU151" s="153"/>
      <c r="DV151" s="153"/>
      <c r="DW151" s="153"/>
      <c r="DX151" s="153"/>
      <c r="DY151" s="153"/>
      <c r="DZ151" s="153"/>
      <c r="EA151" s="153"/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3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3"/>
      <c r="FE151" s="153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  <c r="FR151" s="153"/>
      <c r="FS151" s="153"/>
      <c r="FT151" s="153"/>
      <c r="FU151" s="153"/>
      <c r="FV151" s="153"/>
      <c r="FW151" s="153"/>
      <c r="FX151" s="153"/>
      <c r="FY151" s="153"/>
      <c r="FZ151" s="153"/>
      <c r="GA151" s="153"/>
      <c r="GB151" s="153"/>
      <c r="GC151" s="153"/>
      <c r="GD151" s="153"/>
      <c r="GE151" s="153"/>
      <c r="GF151" s="153"/>
      <c r="GG151" s="153"/>
      <c r="GH151" s="153"/>
      <c r="GI151" s="153"/>
      <c r="GJ151" s="153"/>
      <c r="GK151" s="153"/>
      <c r="GL151" s="153"/>
      <c r="GM151" s="153"/>
      <c r="GN151" s="153"/>
      <c r="GO151" s="153"/>
      <c r="GP151" s="153"/>
      <c r="GQ151" s="153"/>
      <c r="GR151" s="153"/>
      <c r="GS151" s="153"/>
      <c r="GT151" s="153"/>
      <c r="GU151" s="153"/>
      <c r="GV151" s="153"/>
      <c r="GW151" s="153"/>
      <c r="GX151" s="153"/>
      <c r="GY151" s="153"/>
      <c r="GZ151" s="153"/>
      <c r="HA151" s="153"/>
      <c r="HB151" s="153"/>
      <c r="HC151" s="153"/>
      <c r="HD151" s="153"/>
      <c r="HE151" s="153"/>
      <c r="HF151" s="153"/>
      <c r="HG151" s="153"/>
      <c r="HH151" s="153"/>
      <c r="HI151" s="153"/>
      <c r="HJ151" s="153"/>
      <c r="HK151" s="153"/>
      <c r="HL151" s="153"/>
      <c r="HM151" s="153"/>
      <c r="HN151" s="153"/>
      <c r="HO151" s="153"/>
      <c r="HP151" s="153"/>
      <c r="HQ151" s="153"/>
      <c r="HR151" s="153"/>
      <c r="HS151" s="153"/>
      <c r="HT151" s="153"/>
      <c r="HU151" s="153"/>
      <c r="HV151" s="153"/>
      <c r="HW151" s="153"/>
      <c r="HX151" s="153"/>
      <c r="HY151" s="153"/>
      <c r="HZ151" s="153"/>
      <c r="IA151" s="153"/>
      <c r="IB151" s="153"/>
      <c r="IC151" s="153"/>
      <c r="ID151" s="153"/>
      <c r="IE151" s="153"/>
      <c r="IF151" s="153"/>
      <c r="IG151" s="153"/>
      <c r="IH151" s="153"/>
      <c r="II151" s="153"/>
      <c r="IJ151" s="153"/>
      <c r="IK151" s="153"/>
      <c r="IL151" s="153"/>
      <c r="IM151" s="153"/>
      <c r="IN151" s="153"/>
      <c r="IO151" s="153"/>
      <c r="IP151" s="153"/>
      <c r="IQ151" s="153"/>
      <c r="IR151" s="153"/>
      <c r="IS151" s="153"/>
    </row>
    <row r="152" spans="1:253" s="151" customFormat="1" x14ac:dyDescent="0.3">
      <c r="A152" s="161"/>
      <c r="B152" s="155" t="s">
        <v>99</v>
      </c>
      <c r="C152" s="162"/>
      <c r="D152" s="16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  <c r="AV152" s="153"/>
      <c r="AW152" s="153"/>
      <c r="AX152" s="153"/>
      <c r="AY152" s="153"/>
      <c r="AZ152" s="153"/>
      <c r="BA152" s="153"/>
      <c r="BB152" s="153"/>
      <c r="BC152" s="153"/>
      <c r="BD152" s="153"/>
      <c r="BE152" s="153"/>
      <c r="BF152" s="153"/>
      <c r="BG152" s="153"/>
      <c r="BH152" s="153"/>
      <c r="BI152" s="153"/>
      <c r="BJ152" s="153"/>
      <c r="BK152" s="153"/>
      <c r="BL152" s="153"/>
      <c r="BM152" s="153"/>
      <c r="BN152" s="153"/>
      <c r="BO152" s="153"/>
      <c r="BP152" s="153"/>
      <c r="BQ152" s="153"/>
      <c r="BR152" s="153"/>
      <c r="BS152" s="153"/>
      <c r="BT152" s="153"/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3"/>
      <c r="CJ152" s="153"/>
      <c r="CK152" s="153"/>
      <c r="CL152" s="153"/>
      <c r="CM152" s="153"/>
      <c r="CN152" s="153"/>
      <c r="CO152" s="153"/>
      <c r="CP152" s="153"/>
      <c r="CQ152" s="153"/>
      <c r="CR152" s="153"/>
      <c r="CS152" s="153"/>
      <c r="CT152" s="153"/>
      <c r="CU152" s="153"/>
      <c r="CV152" s="153"/>
      <c r="CW152" s="153"/>
      <c r="CX152" s="153"/>
      <c r="CY152" s="153"/>
      <c r="CZ152" s="153"/>
      <c r="DA152" s="153"/>
      <c r="DB152" s="153"/>
      <c r="DC152" s="153"/>
      <c r="DD152" s="153"/>
      <c r="DE152" s="153"/>
      <c r="DF152" s="153"/>
      <c r="DG152" s="153"/>
      <c r="DH152" s="153"/>
      <c r="DI152" s="153"/>
      <c r="DJ152" s="153"/>
      <c r="DK152" s="153"/>
      <c r="DL152" s="153"/>
      <c r="DM152" s="153"/>
      <c r="DN152" s="153"/>
      <c r="DO152" s="153"/>
      <c r="DP152" s="153"/>
      <c r="DQ152" s="153"/>
      <c r="DR152" s="153"/>
      <c r="DS152" s="153"/>
      <c r="DT152" s="153"/>
      <c r="DU152" s="153"/>
      <c r="DV152" s="153"/>
      <c r="DW152" s="153"/>
      <c r="DX152" s="153"/>
      <c r="DY152" s="153"/>
      <c r="DZ152" s="153"/>
      <c r="EA152" s="153"/>
      <c r="EB152" s="153"/>
      <c r="EC152" s="153"/>
      <c r="ED152" s="153"/>
      <c r="EE152" s="153"/>
      <c r="EF152" s="153"/>
      <c r="EG152" s="153"/>
      <c r="EH152" s="153"/>
      <c r="EI152" s="153"/>
      <c r="EJ152" s="153"/>
      <c r="EK152" s="153"/>
      <c r="EL152" s="153"/>
      <c r="EM152" s="153"/>
      <c r="EN152" s="153"/>
      <c r="EO152" s="153"/>
      <c r="EP152" s="153"/>
      <c r="EQ152" s="153"/>
      <c r="ER152" s="153"/>
      <c r="ES152" s="153"/>
      <c r="ET152" s="153"/>
      <c r="EU152" s="153"/>
      <c r="EV152" s="153"/>
      <c r="EW152" s="153"/>
      <c r="EX152" s="153"/>
      <c r="EY152" s="153"/>
      <c r="EZ152" s="153"/>
      <c r="FA152" s="153"/>
      <c r="FB152" s="153"/>
      <c r="FC152" s="153"/>
      <c r="FD152" s="153"/>
      <c r="FE152" s="153"/>
      <c r="FF152" s="153"/>
      <c r="FG152" s="153"/>
      <c r="FH152" s="153"/>
      <c r="FI152" s="153"/>
      <c r="FJ152" s="153"/>
      <c r="FK152" s="153"/>
      <c r="FL152" s="153"/>
      <c r="FM152" s="153"/>
      <c r="FN152" s="153"/>
      <c r="FO152" s="153"/>
      <c r="FP152" s="153"/>
      <c r="FQ152" s="153"/>
      <c r="FR152" s="153"/>
      <c r="FS152" s="153"/>
      <c r="FT152" s="153"/>
      <c r="FU152" s="153"/>
      <c r="FV152" s="153"/>
      <c r="FW152" s="153"/>
      <c r="FX152" s="153"/>
      <c r="FY152" s="153"/>
      <c r="FZ152" s="153"/>
      <c r="GA152" s="153"/>
      <c r="GB152" s="153"/>
      <c r="GC152" s="153"/>
      <c r="GD152" s="153"/>
      <c r="GE152" s="153"/>
      <c r="GF152" s="153"/>
      <c r="GG152" s="153"/>
      <c r="GH152" s="153"/>
      <c r="GI152" s="153"/>
      <c r="GJ152" s="153"/>
      <c r="GK152" s="153"/>
      <c r="GL152" s="153"/>
      <c r="GM152" s="153"/>
      <c r="GN152" s="153"/>
      <c r="GO152" s="153"/>
      <c r="GP152" s="153"/>
      <c r="GQ152" s="153"/>
      <c r="GR152" s="153"/>
      <c r="GS152" s="153"/>
      <c r="GT152" s="153"/>
      <c r="GU152" s="153"/>
      <c r="GV152" s="153"/>
      <c r="GW152" s="153"/>
      <c r="GX152" s="153"/>
      <c r="GY152" s="153"/>
      <c r="GZ152" s="153"/>
      <c r="HA152" s="153"/>
      <c r="HB152" s="153"/>
      <c r="HC152" s="153"/>
      <c r="HD152" s="153"/>
      <c r="HE152" s="153"/>
      <c r="HF152" s="153"/>
      <c r="HG152" s="153"/>
      <c r="HH152" s="153"/>
      <c r="HI152" s="153"/>
      <c r="HJ152" s="153"/>
      <c r="HK152" s="153"/>
      <c r="HL152" s="153"/>
      <c r="HM152" s="153"/>
      <c r="HN152" s="153"/>
      <c r="HO152" s="153"/>
      <c r="HP152" s="153"/>
      <c r="HQ152" s="153"/>
      <c r="HR152" s="153"/>
      <c r="HS152" s="153"/>
      <c r="HT152" s="153"/>
      <c r="HU152" s="153"/>
      <c r="HV152" s="153"/>
      <c r="HW152" s="153"/>
      <c r="HX152" s="153"/>
      <c r="HY152" s="153"/>
      <c r="HZ152" s="153"/>
      <c r="IA152" s="153"/>
      <c r="IB152" s="153"/>
      <c r="IC152" s="153"/>
      <c r="ID152" s="153"/>
      <c r="IE152" s="153"/>
      <c r="IF152" s="153"/>
      <c r="IG152" s="153"/>
      <c r="IH152" s="153"/>
      <c r="II152" s="153"/>
      <c r="IJ152" s="153"/>
      <c r="IK152" s="153"/>
      <c r="IL152" s="153"/>
      <c r="IM152" s="153"/>
      <c r="IN152" s="153"/>
      <c r="IO152" s="153"/>
      <c r="IP152" s="153"/>
      <c r="IQ152" s="153"/>
      <c r="IR152" s="153"/>
      <c r="IS152" s="153"/>
    </row>
    <row r="153" spans="1:253" s="151" customFormat="1" x14ac:dyDescent="0.3">
      <c r="A153" s="161"/>
      <c r="B153" s="182"/>
      <c r="C153" s="183"/>
      <c r="D153" s="184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  <c r="BE153" s="153"/>
      <c r="BF153" s="153"/>
      <c r="BG153" s="153"/>
      <c r="BH153" s="153"/>
      <c r="BI153" s="153"/>
      <c r="BJ153" s="153"/>
      <c r="BK153" s="153"/>
      <c r="BL153" s="153"/>
      <c r="BM153" s="153"/>
      <c r="BN153" s="153"/>
      <c r="BO153" s="153"/>
      <c r="BP153" s="153"/>
      <c r="BQ153" s="153"/>
      <c r="BR153" s="153"/>
      <c r="BS153" s="153"/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3"/>
      <c r="CJ153" s="153"/>
      <c r="CK153" s="153"/>
      <c r="CL153" s="153"/>
      <c r="CM153" s="153"/>
      <c r="CN153" s="153"/>
      <c r="CO153" s="153"/>
      <c r="CP153" s="153"/>
      <c r="CQ153" s="153"/>
      <c r="CR153" s="153"/>
      <c r="CS153" s="153"/>
      <c r="CT153" s="153"/>
      <c r="CU153" s="153"/>
      <c r="CV153" s="153"/>
      <c r="CW153" s="153"/>
      <c r="CX153" s="153"/>
      <c r="CY153" s="153"/>
      <c r="CZ153" s="153"/>
      <c r="DA153" s="153"/>
      <c r="DB153" s="153"/>
      <c r="DC153" s="153"/>
      <c r="DD153" s="153"/>
      <c r="DE153" s="153"/>
      <c r="DF153" s="153"/>
      <c r="DG153" s="153"/>
      <c r="DH153" s="153"/>
      <c r="DI153" s="153"/>
      <c r="DJ153" s="153"/>
      <c r="DK153" s="153"/>
      <c r="DL153" s="153"/>
      <c r="DM153" s="153"/>
      <c r="DN153" s="153"/>
      <c r="DO153" s="153"/>
      <c r="DP153" s="153"/>
      <c r="DQ153" s="153"/>
      <c r="DR153" s="153"/>
      <c r="DS153" s="153"/>
      <c r="DT153" s="153"/>
      <c r="DU153" s="153"/>
      <c r="DV153" s="153"/>
      <c r="DW153" s="153"/>
      <c r="DX153" s="153"/>
      <c r="DY153" s="153"/>
      <c r="DZ153" s="153"/>
      <c r="EA153" s="153"/>
      <c r="EB153" s="153"/>
      <c r="EC153" s="153"/>
      <c r="ED153" s="153"/>
      <c r="EE153" s="153"/>
      <c r="EF153" s="153"/>
      <c r="EG153" s="153"/>
      <c r="EH153" s="153"/>
      <c r="EI153" s="153"/>
      <c r="EJ153" s="153"/>
      <c r="EK153" s="153"/>
      <c r="EL153" s="153"/>
      <c r="EM153" s="153"/>
      <c r="EN153" s="153"/>
      <c r="EO153" s="153"/>
      <c r="EP153" s="153"/>
      <c r="EQ153" s="153"/>
      <c r="ER153" s="153"/>
      <c r="ES153" s="153"/>
      <c r="ET153" s="153"/>
      <c r="EU153" s="153"/>
      <c r="EV153" s="153"/>
      <c r="EW153" s="153"/>
      <c r="EX153" s="153"/>
      <c r="EY153" s="153"/>
      <c r="EZ153" s="153"/>
      <c r="FA153" s="153"/>
      <c r="FB153" s="153"/>
      <c r="FC153" s="153"/>
      <c r="FD153" s="153"/>
      <c r="FE153" s="153"/>
      <c r="FF153" s="153"/>
      <c r="FG153" s="153"/>
      <c r="FH153" s="153"/>
      <c r="FI153" s="153"/>
      <c r="FJ153" s="153"/>
      <c r="FK153" s="153"/>
      <c r="FL153" s="153"/>
      <c r="FM153" s="153"/>
      <c r="FN153" s="153"/>
      <c r="FO153" s="153"/>
      <c r="FP153" s="153"/>
      <c r="FQ153" s="153"/>
      <c r="FR153" s="153"/>
      <c r="FS153" s="153"/>
      <c r="FT153" s="153"/>
      <c r="FU153" s="153"/>
      <c r="FV153" s="153"/>
      <c r="FW153" s="153"/>
      <c r="FX153" s="153"/>
      <c r="FY153" s="153"/>
      <c r="FZ153" s="153"/>
      <c r="GA153" s="153"/>
      <c r="GB153" s="153"/>
      <c r="GC153" s="153"/>
      <c r="GD153" s="153"/>
      <c r="GE153" s="153"/>
      <c r="GF153" s="153"/>
      <c r="GG153" s="153"/>
      <c r="GH153" s="153"/>
      <c r="GI153" s="153"/>
      <c r="GJ153" s="153"/>
      <c r="GK153" s="153"/>
      <c r="GL153" s="153"/>
      <c r="GM153" s="153"/>
      <c r="GN153" s="153"/>
      <c r="GO153" s="153"/>
      <c r="GP153" s="153"/>
      <c r="GQ153" s="153"/>
      <c r="GR153" s="153"/>
      <c r="GS153" s="153"/>
      <c r="GT153" s="153"/>
      <c r="GU153" s="153"/>
      <c r="GV153" s="153"/>
      <c r="GW153" s="153"/>
      <c r="GX153" s="153"/>
      <c r="GY153" s="153"/>
      <c r="GZ153" s="153"/>
      <c r="HA153" s="153"/>
      <c r="HB153" s="153"/>
      <c r="HC153" s="153"/>
      <c r="HD153" s="153"/>
      <c r="HE153" s="153"/>
      <c r="HF153" s="153"/>
      <c r="HG153" s="153"/>
      <c r="HH153" s="153"/>
      <c r="HI153" s="153"/>
      <c r="HJ153" s="153"/>
      <c r="HK153" s="153"/>
      <c r="HL153" s="153"/>
      <c r="HM153" s="153"/>
      <c r="HN153" s="153"/>
      <c r="HO153" s="153"/>
      <c r="HP153" s="153"/>
      <c r="HQ153" s="153"/>
      <c r="HR153" s="153"/>
      <c r="HS153" s="153"/>
      <c r="HT153" s="153"/>
      <c r="HU153" s="153"/>
      <c r="HV153" s="153"/>
      <c r="HW153" s="153"/>
      <c r="HX153" s="153"/>
      <c r="HY153" s="153"/>
      <c r="HZ153" s="153"/>
      <c r="IA153" s="153"/>
      <c r="IB153" s="153"/>
      <c r="IC153" s="153"/>
      <c r="ID153" s="153"/>
      <c r="IE153" s="153"/>
      <c r="IF153" s="153"/>
      <c r="IG153" s="153"/>
      <c r="IH153" s="153"/>
      <c r="II153" s="153"/>
      <c r="IJ153" s="153"/>
      <c r="IK153" s="153"/>
      <c r="IL153" s="153"/>
      <c r="IM153" s="153"/>
      <c r="IN153" s="153"/>
      <c r="IO153" s="153"/>
      <c r="IP153" s="153"/>
      <c r="IQ153" s="153"/>
      <c r="IR153" s="153"/>
      <c r="IS153" s="153"/>
    </row>
    <row r="154" spans="1:253" s="142" customFormat="1" ht="15.6" x14ac:dyDescent="0.3">
      <c r="B154" s="150" t="s">
        <v>135</v>
      </c>
      <c r="C154" s="110"/>
      <c r="D154" s="110"/>
    </row>
    <row r="155" spans="1:253" s="142" customFormat="1" ht="14.4" x14ac:dyDescent="0.3">
      <c r="B155" s="155" t="s">
        <v>136</v>
      </c>
      <c r="C155" s="156" t="s">
        <v>90</v>
      </c>
      <c r="D155" s="164">
        <v>260</v>
      </c>
    </row>
    <row r="156" spans="1:253" s="142" customFormat="1" ht="14.4" x14ac:dyDescent="0.3">
      <c r="B156" s="155" t="s">
        <v>137</v>
      </c>
      <c r="C156" s="114" t="s">
        <v>0</v>
      </c>
      <c r="D156" s="133">
        <v>6500</v>
      </c>
    </row>
    <row r="157" spans="1:253" s="142" customFormat="1" ht="14.4" x14ac:dyDescent="0.3">
      <c r="B157" s="132" t="s">
        <v>138</v>
      </c>
      <c r="C157" s="114" t="s">
        <v>0</v>
      </c>
      <c r="D157" s="133">
        <v>50</v>
      </c>
    </row>
    <row r="158" spans="1:253" s="142" customFormat="1" ht="14.4" x14ac:dyDescent="0.3">
      <c r="B158" s="132" t="s">
        <v>139</v>
      </c>
      <c r="C158" s="114" t="s">
        <v>0</v>
      </c>
      <c r="D158" s="133">
        <v>60</v>
      </c>
    </row>
    <row r="159" spans="1:253" s="142" customFormat="1" ht="15.6" customHeight="1" x14ac:dyDescent="0.3">
      <c r="B159" s="132" t="s">
        <v>140</v>
      </c>
      <c r="C159" s="114" t="s">
        <v>0</v>
      </c>
      <c r="D159" s="133">
        <v>250</v>
      </c>
    </row>
    <row r="160" spans="1:253" s="142" customFormat="1" ht="14.4" x14ac:dyDescent="0.3">
      <c r="B160" s="132" t="s">
        <v>139</v>
      </c>
      <c r="C160" s="114" t="s">
        <v>0</v>
      </c>
      <c r="D160" s="133">
        <v>60</v>
      </c>
    </row>
    <row r="161" spans="2:4" s="142" customFormat="1" ht="30" customHeight="1" x14ac:dyDescent="0.3">
      <c r="B161" s="132" t="s">
        <v>141</v>
      </c>
      <c r="C161" s="114" t="s">
        <v>0</v>
      </c>
      <c r="D161" s="133">
        <v>1150</v>
      </c>
    </row>
    <row r="162" spans="2:4" s="142" customFormat="1" ht="14.4" x14ac:dyDescent="0.3">
      <c r="B162" s="132" t="s">
        <v>142</v>
      </c>
      <c r="C162" s="114" t="s">
        <v>16</v>
      </c>
      <c r="D162" s="133">
        <v>100</v>
      </c>
    </row>
    <row r="163" spans="2:4" s="153" customFormat="1" ht="25.8" customHeight="1" x14ac:dyDescent="0.3">
      <c r="B163" s="132" t="s">
        <v>121</v>
      </c>
      <c r="C163" s="114" t="s">
        <v>122</v>
      </c>
      <c r="D163" s="133">
        <v>1200</v>
      </c>
    </row>
    <row r="164" spans="2:4" s="142" customFormat="1" ht="14.4" x14ac:dyDescent="0.3">
      <c r="B164" s="148" t="s">
        <v>143</v>
      </c>
      <c r="C164" s="156" t="s">
        <v>90</v>
      </c>
      <c r="D164" s="165">
        <v>0</v>
      </c>
    </row>
    <row r="165" spans="2:4" s="142" customFormat="1" ht="14.4" x14ac:dyDescent="0.3">
      <c r="B165" s="166" t="s">
        <v>144</v>
      </c>
      <c r="C165" s="156" t="s">
        <v>12</v>
      </c>
      <c r="D165" s="133">
        <v>370</v>
      </c>
    </row>
    <row r="166" spans="2:4" s="142" customFormat="1" ht="14.4" x14ac:dyDescent="0.3">
      <c r="B166" s="148" t="s">
        <v>145</v>
      </c>
      <c r="C166" s="156" t="s">
        <v>2</v>
      </c>
      <c r="D166" s="133">
        <v>225</v>
      </c>
    </row>
    <row r="167" spans="2:4" s="142" customFormat="1" ht="14.4" x14ac:dyDescent="0.3">
      <c r="B167" s="148" t="s">
        <v>146</v>
      </c>
      <c r="C167" s="114" t="s">
        <v>147</v>
      </c>
      <c r="D167" s="133">
        <v>400</v>
      </c>
    </row>
    <row r="168" spans="2:4" s="142" customFormat="1" ht="14.4" x14ac:dyDescent="0.3">
      <c r="B168" s="148" t="s">
        <v>148</v>
      </c>
      <c r="C168" s="114" t="s">
        <v>12</v>
      </c>
      <c r="D168" s="133">
        <v>645</v>
      </c>
    </row>
    <row r="169" spans="2:4" s="142" customFormat="1" ht="14.4" x14ac:dyDescent="0.3">
      <c r="B169" s="132" t="s">
        <v>149</v>
      </c>
      <c r="C169" s="114" t="s">
        <v>12</v>
      </c>
      <c r="D169" s="133">
        <v>125</v>
      </c>
    </row>
    <row r="170" spans="2:4" s="142" customFormat="1" ht="14.4" x14ac:dyDescent="0.3">
      <c r="B170" s="132" t="s">
        <v>150</v>
      </c>
      <c r="C170" s="114" t="s">
        <v>16</v>
      </c>
      <c r="D170" s="133">
        <v>40</v>
      </c>
    </row>
    <row r="171" spans="2:4" s="142" customFormat="1" ht="14.4" x14ac:dyDescent="0.3">
      <c r="B171" s="132" t="s">
        <v>99</v>
      </c>
      <c r="C171" s="114"/>
      <c r="D171" s="133"/>
    </row>
    <row r="173" spans="2:4" s="185" customFormat="1" ht="15.75" customHeight="1" x14ac:dyDescent="0.3">
      <c r="B173" s="186" t="s">
        <v>151</v>
      </c>
      <c r="C173" s="186"/>
      <c r="D173" s="187"/>
    </row>
    <row r="174" spans="2:4" s="168" customFormat="1" x14ac:dyDescent="0.3">
      <c r="B174" s="169" t="s">
        <v>152</v>
      </c>
      <c r="C174" s="170" t="s">
        <v>2</v>
      </c>
      <c r="D174" s="171">
        <v>1500</v>
      </c>
    </row>
    <row r="175" spans="2:4" s="172" customFormat="1" ht="27.6" x14ac:dyDescent="0.3">
      <c r="B175" s="134" t="s">
        <v>153</v>
      </c>
      <c r="C175" s="137" t="s">
        <v>16</v>
      </c>
      <c r="D175" s="136">
        <v>600</v>
      </c>
    </row>
    <row r="176" spans="2:4" s="173" customFormat="1" ht="27.6" x14ac:dyDescent="0.3">
      <c r="B176" s="174" t="s">
        <v>154</v>
      </c>
      <c r="C176" s="175" t="s">
        <v>2</v>
      </c>
      <c r="D176" s="176">
        <v>1400</v>
      </c>
    </row>
    <row r="177" spans="2:4" s="167" customFormat="1" ht="27.6" x14ac:dyDescent="0.3">
      <c r="B177" s="125" t="s">
        <v>98</v>
      </c>
      <c r="C177" s="170" t="s">
        <v>16</v>
      </c>
      <c r="D177" s="171">
        <v>220</v>
      </c>
    </row>
    <row r="178" spans="2:4" s="168" customFormat="1" ht="27.6" x14ac:dyDescent="0.3">
      <c r="B178" s="169" t="s">
        <v>155</v>
      </c>
      <c r="C178" s="170" t="s">
        <v>1</v>
      </c>
      <c r="D178" s="177">
        <v>2090</v>
      </c>
    </row>
    <row r="179" spans="2:4" s="168" customFormat="1" x14ac:dyDescent="0.3">
      <c r="B179" s="169" t="s">
        <v>156</v>
      </c>
      <c r="C179" s="170" t="s">
        <v>2</v>
      </c>
      <c r="D179" s="177">
        <v>500</v>
      </c>
    </row>
    <row r="180" spans="2:4" s="168" customFormat="1" x14ac:dyDescent="0.3">
      <c r="B180" s="169" t="s">
        <v>99</v>
      </c>
      <c r="C180" s="170"/>
      <c r="D180" s="171"/>
    </row>
    <row r="182" spans="2:4" s="111" customFormat="1" ht="14.4" x14ac:dyDescent="0.3">
      <c r="B182" s="199" t="s">
        <v>157</v>
      </c>
      <c r="C182" s="178"/>
      <c r="D182" s="179"/>
    </row>
    <row r="183" spans="2:4" s="111" customFormat="1" ht="27.6" x14ac:dyDescent="0.3">
      <c r="B183" s="132" t="s">
        <v>158</v>
      </c>
      <c r="C183" s="114" t="s">
        <v>54</v>
      </c>
      <c r="D183" s="133">
        <v>800</v>
      </c>
    </row>
    <row r="184" spans="2:4" s="111" customFormat="1" ht="13.2" customHeight="1" x14ac:dyDescent="0.3">
      <c r="B184" s="159" t="s">
        <v>159</v>
      </c>
      <c r="C184" s="180" t="s">
        <v>0</v>
      </c>
      <c r="D184" s="181">
        <v>120</v>
      </c>
    </row>
    <row r="185" spans="2:4" s="111" customFormat="1" ht="40.799999999999997" customHeight="1" x14ac:dyDescent="0.3">
      <c r="B185" s="159" t="s">
        <v>160</v>
      </c>
      <c r="C185" s="180" t="s">
        <v>0</v>
      </c>
      <c r="D185" s="181">
        <f>130*1.5</f>
        <v>195</v>
      </c>
    </row>
    <row r="186" spans="2:4" s="111" customFormat="1" ht="27.6" customHeight="1" x14ac:dyDescent="0.3">
      <c r="B186" s="159" t="s">
        <v>56</v>
      </c>
      <c r="C186" s="180" t="s">
        <v>0</v>
      </c>
      <c r="D186" s="181">
        <v>220</v>
      </c>
    </row>
    <row r="187" spans="2:4" s="111" customFormat="1" ht="14.4" x14ac:dyDescent="0.3">
      <c r="B187" s="159" t="s">
        <v>161</v>
      </c>
      <c r="C187" s="180" t="s">
        <v>16</v>
      </c>
      <c r="D187" s="181">
        <v>150</v>
      </c>
    </row>
    <row r="188" spans="2:4" s="111" customFormat="1" ht="14.4" x14ac:dyDescent="0.3">
      <c r="B188" s="159" t="s">
        <v>162</v>
      </c>
      <c r="C188" s="180" t="s">
        <v>75</v>
      </c>
      <c r="D188" s="181">
        <v>20</v>
      </c>
    </row>
    <row r="189" spans="2:4" s="111" customFormat="1" ht="14.4" x14ac:dyDescent="0.3">
      <c r="B189" s="159" t="s">
        <v>163</v>
      </c>
      <c r="C189" s="180" t="s">
        <v>1</v>
      </c>
      <c r="D189" s="181">
        <v>1200</v>
      </c>
    </row>
    <row r="190" spans="2:4" s="111" customFormat="1" ht="14.4" x14ac:dyDescent="0.3">
      <c r="B190" s="132" t="s">
        <v>114</v>
      </c>
      <c r="C190" s="180" t="s">
        <v>1</v>
      </c>
      <c r="D190" s="181">
        <v>1050</v>
      </c>
    </row>
    <row r="191" spans="2:4" s="111" customFormat="1" ht="14.4" x14ac:dyDescent="0.3">
      <c r="B191" s="159" t="s">
        <v>164</v>
      </c>
      <c r="C191" s="180" t="s">
        <v>62</v>
      </c>
      <c r="D191" s="181">
        <v>845</v>
      </c>
    </row>
    <row r="192" spans="2:4" s="111" customFormat="1" ht="14.4" x14ac:dyDescent="0.3">
      <c r="B192" s="159" t="s">
        <v>165</v>
      </c>
      <c r="C192" s="180" t="s">
        <v>75</v>
      </c>
      <c r="D192" s="181">
        <v>115</v>
      </c>
    </row>
    <row r="193" spans="2:4" s="111" customFormat="1" ht="14.4" x14ac:dyDescent="0.3">
      <c r="B193" s="159" t="s">
        <v>166</v>
      </c>
      <c r="C193" s="180" t="s">
        <v>66</v>
      </c>
      <c r="D193" s="181">
        <v>615</v>
      </c>
    </row>
    <row r="194" spans="2:4" s="111" customFormat="1" ht="14.4" x14ac:dyDescent="0.3">
      <c r="B194" s="159" t="s">
        <v>127</v>
      </c>
      <c r="C194" s="180" t="s">
        <v>16</v>
      </c>
      <c r="D194" s="181">
        <v>240</v>
      </c>
    </row>
  </sheetData>
  <phoneticPr fontId="3" type="noConversion"/>
  <printOptions horizontalCentered="1"/>
  <pageMargins left="0.59055118110236227" right="0.43307086614173229" top="0.74803149606299213" bottom="0.39370078740157483" header="0.31496062992125984" footer="0.31496062992125984"/>
  <pageSetup paperSize="9" scale="73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Лист1!Print_Area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Алексей</cp:lastModifiedBy>
  <cp:lastPrinted>2025-12-10T12:57:20Z</cp:lastPrinted>
  <dcterms:created xsi:type="dcterms:W3CDTF">2023-10-01T21:49:39Z</dcterms:created>
  <dcterms:modified xsi:type="dcterms:W3CDTF">2026-03-03T08:30:43Z</dcterms:modified>
</cp:coreProperties>
</file>