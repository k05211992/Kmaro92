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616EB7C4-44A7-4603-99A0-39AA6B6E100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definedNames>
    <definedName name="_xlnm._FilterDatabase" localSheetId="0" hidden="1">Лист1!$A$113:$IR$151</definedName>
    <definedName name="_xlnm.Print_Area" localSheetId="0">Лист1!$A$1:$D$167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6" i="1" l="1"/>
  <c r="D60" i="1" l="1"/>
  <c r="D37" i="1" l="1"/>
  <c r="B98" i="1" l="1"/>
  <c r="B35" i="1" l="1"/>
</calcChain>
</file>

<file path=xl/sharedStrings.xml><?xml version="1.0" encoding="utf-8"?>
<sst xmlns="http://schemas.openxmlformats.org/spreadsheetml/2006/main" count="367" uniqueCount="207">
  <si>
    <t>шт.</t>
  </si>
  <si>
    <t>м.п.</t>
  </si>
  <si>
    <t>м.кв.</t>
  </si>
  <si>
    <t>м.куб.</t>
  </si>
  <si>
    <t>меш.</t>
  </si>
  <si>
    <t>Разметка и нивелировка площадей, задание вертикальных уровней и уклона (геодезическая разбивка)</t>
  </si>
  <si>
    <t>Разборка существующего покрытия</t>
  </si>
  <si>
    <t>Фасонные элементы - тройники, соединения, заглушки</t>
  </si>
  <si>
    <t>Демонтаж дождеприемников</t>
  </si>
  <si>
    <t>Монтаж дождеприемников со встройкой в террасный настил</t>
  </si>
  <si>
    <t>Цемент М400, 50кг</t>
  </si>
  <si>
    <t>ИТОГО:</t>
  </si>
  <si>
    <t>ВСЕГО ПО РАЗДЕЛУ:</t>
  </si>
  <si>
    <t>Цена</t>
  </si>
  <si>
    <t>Монтаж водоприемных колодцев 923мм с выемкой</t>
  </si>
  <si>
    <t>компл.</t>
  </si>
  <si>
    <t>Устройство монтажного слоя из отсева, 7см</t>
  </si>
  <si>
    <t>Мощение ТБП</t>
  </si>
  <si>
    <t>Мощение брусчаткой габбро 100*80*50мм  на отсев (пешеходная  часть)</t>
  </si>
  <si>
    <t>м.пог.</t>
  </si>
  <si>
    <t xml:space="preserve">Устройство спортивного ударопоглощающего покрытия из резиновой крошки </t>
  </si>
  <si>
    <t>Устройство гравийного покрытия</t>
  </si>
  <si>
    <t>маш./смена</t>
  </si>
  <si>
    <t>Аренда виброплиты 140кг</t>
  </si>
  <si>
    <t>Аренда виброплиты 60кг</t>
  </si>
  <si>
    <t>Брусчатка пиленная из шунгитного сланца</t>
  </si>
  <si>
    <t>Устройство дорожных одежд в парковочной зоне с расклинцовкой, трамбовкой и проливом водой</t>
  </si>
  <si>
    <t>Мощение брусчаткой габбро 80*80*80мм на отсев (проезжая часть)</t>
  </si>
  <si>
    <t xml:space="preserve">Устройство бордюра из габбро-диабаза в один ряд на бетон 80*80*80мм </t>
  </si>
  <si>
    <t>Габбро-диабаз 80*80*80мм</t>
  </si>
  <si>
    <t>Устройство декоративного бордюра из габбро-диабаза в два ряда на бетон 80*80*80мм</t>
  </si>
  <si>
    <t>Щебень гранитный 20-40мм</t>
  </si>
  <si>
    <t>Геотекстиль, 200г/м2</t>
  </si>
  <si>
    <t>Мастика битумная, 20л</t>
  </si>
  <si>
    <t>Кольцо железобетонное с днищем ДК-10.9 d1000мм</t>
  </si>
  <si>
    <t>Кольцо железобетонное паз/гребень КС10.9 d1000мм</t>
  </si>
  <si>
    <t>Крышка для железобетонного кольца ПП10 d1000мм</t>
  </si>
  <si>
    <t>Кольцо железобетонное регулировочное КО-6 d840мм</t>
  </si>
  <si>
    <t>Люк садовый пластиковый черный «ДОМИК» d800мм</t>
  </si>
  <si>
    <t>Устройство врезок в  бетонный колодец d110мм</t>
  </si>
  <si>
    <t>Устройство врезок в бетонный  колодец d160мм</t>
  </si>
  <si>
    <t>Монтаж колодцев инспекционных d315мм</t>
  </si>
  <si>
    <t>Колодец инспекционный d315мм h=1,5м с крышкой и дном</t>
  </si>
  <si>
    <t>Устройство врезок в колодец</t>
  </si>
  <si>
    <t>Муфта d110мм для врезки в колодец</t>
  </si>
  <si>
    <t>Муфта d160мм для врезки в колодец</t>
  </si>
  <si>
    <t>Труба наружной канализации d110мм SN8 1м</t>
  </si>
  <si>
    <t>Труба наружной канализации d160мм SN8 2м</t>
  </si>
  <si>
    <t xml:space="preserve">Монтаж пескоуловителей на раствор </t>
  </si>
  <si>
    <t>Лотки пластиковые ЛВ-10.16.12-ПП с решетками ячеистыми чугунными</t>
  </si>
  <si>
    <t>Дождеприемник ДП–30.30-ПП с комплектующими и чугунной решеткой, фасонные элементы</t>
  </si>
  <si>
    <t xml:space="preserve">Монтаж лотков дождеприемных с решетками и отводами к ливневой канализации на раствор </t>
  </si>
  <si>
    <t>Геотекстиль, 300г/м2</t>
  </si>
  <si>
    <t>Брусчатка ТБП (простая), 60мм</t>
  </si>
  <si>
    <t>Сланец шунгитный (рваный), 40мм</t>
  </si>
  <si>
    <t>Затирка для широких швов Camonica, 25кг</t>
  </si>
  <si>
    <t>Подготовка оснований лестниц и пандусов</t>
  </si>
  <si>
    <t>Устройство армокаркасов</t>
  </si>
  <si>
    <t>Монтаж/демонтаж опалубки</t>
  </si>
  <si>
    <t>Заливка бетона</t>
  </si>
  <si>
    <t>Бетононасос</t>
  </si>
  <si>
    <t>Доска 25х150х3000мм</t>
  </si>
  <si>
    <t>Брус 50х50х3000мм</t>
  </si>
  <si>
    <t>Метизы</t>
  </si>
  <si>
    <t>Арматура 10мм, 3м</t>
  </si>
  <si>
    <t>Проволока вязальная</t>
  </si>
  <si>
    <t xml:space="preserve">Устройство траншеи 0,7м с песчаным основанием для кабеля </t>
  </si>
  <si>
    <t>Укладка  силового бронированного кабеля с сигнальной лентой (светильники)</t>
  </si>
  <si>
    <t>Укладка силового бронированного кабеля  с сигнальной лентой (розетки)</t>
  </si>
  <si>
    <t>Укладка кабеля с креплением - под настилом, для освещения подпорных стенок, в стойках ограждения</t>
  </si>
  <si>
    <t>Кабель силовой ВБШв нг(А)LS 3*2,5 0,66кВ броня</t>
  </si>
  <si>
    <t>Кабель силовой ВБШв нг(А)LS 3*1,5 0,66кВ броня</t>
  </si>
  <si>
    <t>Сигнальная лента 100м</t>
  </si>
  <si>
    <t>рул.</t>
  </si>
  <si>
    <t>Обратная засыпка траншеи после прокладки кабеля</t>
  </si>
  <si>
    <t>Устройство закладных под мощением</t>
  </si>
  <si>
    <t>Устройство фундаментов светильников столбиков, розеток</t>
  </si>
  <si>
    <t>ЦПС М300, 25кг</t>
  </si>
  <si>
    <t>Монтаж светильников столбиков, розеток</t>
  </si>
  <si>
    <t>Светильник h=1000</t>
  </si>
  <si>
    <t>Светильник h=600</t>
  </si>
  <si>
    <t>Ландшафтная опора для установки светильников в бетон</t>
  </si>
  <si>
    <t>Paulmann Rio садовая розетка 94657, столб с двумя розетками</t>
  </si>
  <si>
    <t>ФОРС Розетка двойная наружная с заземлением с крышкой IP54 ERS22-K03-16-54-DC IEK</t>
  </si>
  <si>
    <t xml:space="preserve">Светильник </t>
  </si>
  <si>
    <t>Монтаж грунтовых светильников</t>
  </si>
  <si>
    <t>Соединитель CON T3 PIN IP68</t>
  </si>
  <si>
    <t>Монтаж встроенных в настил светильников с устройством отверстий в облицовке</t>
  </si>
  <si>
    <t>Монтаж диодной ленты подсветки</t>
  </si>
  <si>
    <t>Лента диодная влагозащищенная, профиль</t>
  </si>
  <si>
    <t>Монтаж блоков питания</t>
  </si>
  <si>
    <t>Блок питания 100Вт</t>
  </si>
  <si>
    <t>Монтаж и сборка щита</t>
  </si>
  <si>
    <t>Покраска щита и коробов в цвет дома</t>
  </si>
  <si>
    <t>Песок намывной</t>
  </si>
  <si>
    <t>Короб метал. для подвода кабеля к щиту 100*100мм оцинк., неперфорированный, h=1,5м</t>
  </si>
  <si>
    <t>Щебень гранитный 5-20мм, 50кг</t>
  </si>
  <si>
    <t>Доска террасная негофрированная, термообработанная сосна 145*28*6000мм</t>
  </si>
  <si>
    <t>Саморезы нержавеющие, 5см (1500шт.)</t>
  </si>
  <si>
    <t>уп.</t>
  </si>
  <si>
    <t>т</t>
  </si>
  <si>
    <t>Гравий колотый</t>
  </si>
  <si>
    <t>Щебень гранитный, 20-40мм</t>
  </si>
  <si>
    <t>Отсев гранитный</t>
  </si>
  <si>
    <t>Габбро-диабаз 100*80*50мм</t>
  </si>
  <si>
    <t>кг</t>
  </si>
  <si>
    <t>Материалы для разметки</t>
  </si>
  <si>
    <t>Пескоуловители пластиковые 500х160х420мм с решетками ячеистыми чугунными</t>
  </si>
  <si>
    <t>Погрузка мусора в контейнер мех.</t>
  </si>
  <si>
    <t>Организационные затраты (предварительно)</t>
  </si>
  <si>
    <t>%</t>
  </si>
  <si>
    <t>Транспортные расходы</t>
  </si>
  <si>
    <t>Авторское сопровождение</t>
  </si>
  <si>
    <t xml:space="preserve"> </t>
  </si>
  <si>
    <t>ВСЕГО по смете:</t>
  </si>
  <si>
    <t>Вывоз мусора (по факту)</t>
  </si>
  <si>
    <t>Щит управления ландшафтным освещением (щит DKC 500*600*200мм IP65, кол-во модулей 72 элементы на базе ИЕК, 3 фазы 32А, 8 выходов под защитой УЗО)</t>
  </si>
  <si>
    <t>Покрытия</t>
  </si>
  <si>
    <t>Ступени-пандусы из бетона</t>
  </si>
  <si>
    <t>Освещение</t>
  </si>
  <si>
    <t>Ливневая система</t>
  </si>
  <si>
    <t>Ед. изм.</t>
  </si>
  <si>
    <t>Доставки материалов и оборудования (предварительно)</t>
  </si>
  <si>
    <t>1.1.</t>
  </si>
  <si>
    <t>1.2.</t>
  </si>
  <si>
    <t>1.3.</t>
  </si>
  <si>
    <t>1.6.</t>
  </si>
  <si>
    <t>3.3.</t>
  </si>
  <si>
    <t>1.4.</t>
  </si>
  <si>
    <t>1.5.</t>
  </si>
  <si>
    <t>1.7.</t>
  </si>
  <si>
    <t>2.1.</t>
  </si>
  <si>
    <t>2.2.</t>
  </si>
  <si>
    <t>2.3.</t>
  </si>
  <si>
    <t>2.4.</t>
  </si>
  <si>
    <t>2.5.</t>
  </si>
  <si>
    <t>2.6.</t>
  </si>
  <si>
    <t>2.7.</t>
  </si>
  <si>
    <t>2.8.</t>
  </si>
  <si>
    <t>2.9.</t>
  </si>
  <si>
    <t>2.10.</t>
  </si>
  <si>
    <t>3.1.</t>
  </si>
  <si>
    <t>3.2.</t>
  </si>
  <si>
    <t>3.4.</t>
  </si>
  <si>
    <t>3.5.</t>
  </si>
  <si>
    <t>3.6.</t>
  </si>
  <si>
    <t>3.7.</t>
  </si>
  <si>
    <t>3.8.</t>
  </si>
  <si>
    <t>3.9.</t>
  </si>
  <si>
    <t>3.10.</t>
  </si>
  <si>
    <t>3.11.</t>
  </si>
  <si>
    <t>3.12.</t>
  </si>
  <si>
    <t>Устройство декинга</t>
  </si>
  <si>
    <t>3.14.</t>
  </si>
  <si>
    <t>3.13.</t>
  </si>
  <si>
    <t>4.1.</t>
  </si>
  <si>
    <t>4.4.</t>
  </si>
  <si>
    <t>4.3.</t>
  </si>
  <si>
    <t>5.3.</t>
  </si>
  <si>
    <t>5.1.</t>
  </si>
  <si>
    <t>5.2.</t>
  </si>
  <si>
    <t>5.4.</t>
  </si>
  <si>
    <t>5.5.</t>
  </si>
  <si>
    <t>5.6.</t>
  </si>
  <si>
    <t>5.7.</t>
  </si>
  <si>
    <t>5.8.</t>
  </si>
  <si>
    <t>5.9.</t>
  </si>
  <si>
    <t>Монтаж светильников накладных на столбы - въездная зона</t>
  </si>
  <si>
    <t>5.10.</t>
  </si>
  <si>
    <t>5.11.</t>
  </si>
  <si>
    <t>5.12.</t>
  </si>
  <si>
    <t>5.13.</t>
  </si>
  <si>
    <t>5.14.</t>
  </si>
  <si>
    <t>5.15.</t>
  </si>
  <si>
    <t>5.16.</t>
  </si>
  <si>
    <t>6.1.</t>
  </si>
  <si>
    <t>6.2.</t>
  </si>
  <si>
    <t>7.1.</t>
  </si>
  <si>
    <t>7.2.</t>
  </si>
  <si>
    <t>7.3.</t>
  </si>
  <si>
    <t>7.4.</t>
  </si>
  <si>
    <t>7.5.</t>
  </si>
  <si>
    <t>Временные бытовые условия (аренда и обустройство бытовки, спецодежда, связь)</t>
  </si>
  <si>
    <t>Накладные расходы (расходные материалы, комплектация заказов, зарплата АУП и пр.)</t>
  </si>
  <si>
    <t>Цемент М400 (для бордюра)</t>
  </si>
  <si>
    <t>Подготовительные и земельные работы</t>
  </si>
  <si>
    <t>Устройство газонного ложа</t>
  </si>
  <si>
    <t>Грунт плодородный</t>
  </si>
  <si>
    <t>Труба двустенная гофрированная d=110мм SN8</t>
  </si>
  <si>
    <t>Труба двустенная гофрированная d=110мм SN8 (для лаг)</t>
  </si>
  <si>
    <t>Бетон, миксер</t>
  </si>
  <si>
    <t>Спортивное покрытие (однослойное ударопоглощающее резиновое на однокомпонентном полиуретановом связующем толщиной 15мм )</t>
  </si>
  <si>
    <t>Диск алмазный по камню d=230ммхМ14 (гранит)</t>
  </si>
  <si>
    <t xml:space="preserve">Устройство дорожных одежд в пешеходной зоне с расклинцовкой, трамбовкой и проливом водой </t>
  </si>
  <si>
    <t>Прометание мощения отсевом/ песком</t>
  </si>
  <si>
    <t>Мощение шунгитным сланцем, рваным</t>
  </si>
  <si>
    <t>Устройство ливневой системы (монтаж трубы d110мм с уклоном, средняя глубина 700мм), копка и обратная засыпка траншеи</t>
  </si>
  <si>
    <t>Вертикальная планировка, выемка и подсыпка</t>
  </si>
  <si>
    <t>4.2.</t>
  </si>
  <si>
    <t>Мощение брусчаткой пиленной из шунгитного сланца на отсев</t>
  </si>
  <si>
    <t>Мини-геопластика: создание рельефа в лесной зоне</t>
  </si>
  <si>
    <t>Выемка и перемещение грунта для устройства твердых покрытий и газона</t>
  </si>
  <si>
    <t>Перекопка верхнего слоя почвы с выбором корневищ</t>
  </si>
  <si>
    <t>Работы по проверке цепей, параметрированию и настройке оборудования</t>
  </si>
  <si>
    <t>Торф нейтрализованный, 300л</t>
  </si>
  <si>
    <t>Вывоз грунта и мусора (пухто 27м.куб.)</t>
  </si>
  <si>
    <t>кол-во раз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</si>
</sst>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#,##0\ &quot;₽&quot;;\-#,##0\ &quot;₽&quot;"/>
    <numFmt numFmtId="6" formatCode="#,##0\ &quot;₽&quot;;[Red]\-#,##0\ &quot;₽&quot;"/>
    <numFmt numFmtId="164" formatCode="_-* #,##0.00\ _₽_-;\-* #,##0.00\ _₽_-;_-* &quot;-&quot;??\ _₽_-;_-@_-"/>
    <numFmt numFmtId="165" formatCode="_-* #,##0.00\ [$₽-419]_-;\-* #,##0.00\ [$₽-419]_-;_-* &quot;-&quot;??\ [$₽-419]_-;_-@_-"/>
    <numFmt numFmtId="166" formatCode="_-* #,##0\ [$₽-419]_-;\-* #,##0\ [$₽-419]_-;_-* &quot;-&quot;??\ [$₽-419]_-;_-@_-"/>
    <numFmt numFmtId="167" formatCode="#,##0.0"/>
    <numFmt numFmtId="172" formatCode="0.0%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name val="Helv"/>
    </font>
    <font>
      <sz val="10"/>
      <name val="Helv"/>
      <charset val="204"/>
    </font>
    <font>
      <sz val="10"/>
      <name val="Arial"/>
      <family val="2"/>
      <charset val="20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70C0"/>
      <name val="Calibri"/>
      <family val="2"/>
      <scheme val="minor"/>
    </font>
    <font>
      <u val="singleAccounting"/>
      <sz val="10"/>
      <color rgb="FF0070C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i/>
      <sz val="10"/>
      <name val="Calibri"/>
      <family val="2"/>
      <charset val="204"/>
      <scheme val="minor"/>
    </font>
    <font>
      <sz val="10"/>
      <name val="Arial Cyr"/>
      <charset val="204"/>
    </font>
    <font>
      <sz val="12"/>
      <name val="Calibri"/>
      <family val="2"/>
      <charset val="204"/>
    </font>
    <font>
      <sz val="10"/>
      <name val="Calibri"/>
      <family val="2"/>
      <charset val="204"/>
    </font>
    <font>
      <b/>
      <sz val="10"/>
      <name val="Calibri"/>
      <family val="2"/>
      <charset val="204"/>
    </font>
    <font>
      <sz val="10"/>
      <name val="Arial"/>
      <family val="2"/>
    </font>
    <font>
      <sz val="11"/>
      <color indexed="8"/>
      <name val="Calibri"/>
      <family val="2"/>
    </font>
    <font>
      <b/>
      <i/>
      <sz val="10"/>
      <name val="Calibri"/>
      <family val="2"/>
      <scheme val="minor"/>
    </font>
    <font>
      <b/>
      <i/>
      <u val="singleAccounting"/>
      <sz val="10"/>
      <color rgb="FF0070C0"/>
      <name val="Calibri"/>
      <family val="2"/>
      <scheme val="minor"/>
    </font>
    <font>
      <b/>
      <u val="singleAccounting"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u val="singleAccounting"/>
      <sz val="12"/>
      <color rgb="FF0070C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i/>
      <sz val="12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i/>
      <sz val="12"/>
      <color rgb="FF0070C0"/>
      <name val="Calibri"/>
      <family val="2"/>
      <charset val="204"/>
      <scheme val="minor"/>
    </font>
    <font>
      <sz val="1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u/>
      <sz val="10"/>
      <color rgb="FF0070C0"/>
      <name val="Calibri"/>
      <family val="2"/>
      <scheme val="minor"/>
    </font>
    <font>
      <sz val="10"/>
      <color rgb="FF0070C0"/>
      <name val="Calibri"/>
      <family val="2"/>
    </font>
    <font>
      <sz val="12"/>
      <color rgb="FF0070C0"/>
      <name val="Calibri"/>
      <family val="2"/>
    </font>
    <font>
      <u/>
      <sz val="11"/>
      <color rgb="FF0070C0"/>
      <name val="Calibri"/>
      <family val="2"/>
      <scheme val="minor"/>
    </font>
    <font>
      <i/>
      <u val="singleAccounting"/>
      <sz val="12"/>
      <color rgb="FF0070C0"/>
      <name val="Calibri"/>
      <family val="2"/>
      <charset val="204"/>
      <scheme val="minor"/>
    </font>
    <font>
      <b/>
      <u val="singleAccounting"/>
      <sz val="10"/>
      <color rgb="FF0070C0"/>
      <name val="Calibri"/>
      <family val="2"/>
      <charset val="204"/>
      <scheme val="minor"/>
    </font>
    <font>
      <b/>
      <sz val="10"/>
      <color rgb="FF0070C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1">
    <xf numFmtId="165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2" fillId="0" borderId="0" applyNumberFormat="0" applyFill="0" applyBorder="0" applyAlignment="0" applyProtection="0"/>
    <xf numFmtId="0" fontId="4" fillId="0" borderId="0"/>
    <xf numFmtId="0" fontId="16" fillId="0" borderId="0"/>
    <xf numFmtId="0" fontId="16" fillId="0" borderId="0"/>
    <xf numFmtId="0" fontId="20" fillId="0" borderId="0"/>
    <xf numFmtId="0" fontId="6" fillId="0" borderId="0"/>
    <xf numFmtId="0" fontId="20" fillId="0" borderId="0"/>
    <xf numFmtId="0" fontId="21" fillId="0" borderId="0"/>
  </cellStyleXfs>
  <cellXfs count="172">
    <xf numFmtId="165" fontId="0" fillId="0" borderId="0" xfId="0"/>
    <xf numFmtId="165" fontId="7" fillId="0" borderId="0" xfId="0" applyFont="1"/>
    <xf numFmtId="165" fontId="7" fillId="0" borderId="0" xfId="0" applyFont="1" applyAlignment="1">
      <alignment horizontal="center"/>
    </xf>
    <xf numFmtId="165" fontId="7" fillId="0" borderId="0" xfId="0" applyFont="1" applyAlignment="1">
      <alignment wrapText="1"/>
    </xf>
    <xf numFmtId="165" fontId="11" fillId="0" borderId="0" xfId="0" applyFont="1" applyAlignment="1">
      <alignment horizontal="left"/>
    </xf>
    <xf numFmtId="165" fontId="13" fillId="0" borderId="0" xfId="0" applyFont="1" applyAlignment="1">
      <alignment vertical="center"/>
    </xf>
    <xf numFmtId="165" fontId="13" fillId="0" borderId="0" xfId="0" applyFont="1" applyAlignment="1">
      <alignment horizontal="center" vertical="center"/>
    </xf>
    <xf numFmtId="165" fontId="13" fillId="0" borderId="0" xfId="0" applyFont="1" applyAlignment="1">
      <alignment vertical="center" wrapText="1"/>
    </xf>
    <xf numFmtId="165" fontId="14" fillId="3" borderId="1" xfId="0" applyFont="1" applyFill="1" applyBorder="1" applyAlignment="1">
      <alignment vertical="center" wrapText="1"/>
    </xf>
    <xf numFmtId="165" fontId="13" fillId="3" borderId="1" xfId="0" applyFont="1" applyFill="1" applyBorder="1" applyAlignment="1">
      <alignment horizontal="center" vertical="center"/>
    </xf>
    <xf numFmtId="0" fontId="13" fillId="0" borderId="0" xfId="0" applyNumberFormat="1" applyFont="1" applyAlignment="1">
      <alignment vertical="center"/>
    </xf>
    <xf numFmtId="165" fontId="15" fillId="0" borderId="0" xfId="0" applyFont="1" applyAlignment="1">
      <alignment vertical="center"/>
    </xf>
    <xf numFmtId="165" fontId="14" fillId="0" borderId="0" xfId="0" applyFont="1" applyAlignment="1">
      <alignment vertical="center"/>
    </xf>
    <xf numFmtId="165" fontId="7" fillId="0" borderId="0" xfId="0" applyFont="1" applyAlignment="1">
      <alignment horizontal="center" vertical="center"/>
    </xf>
    <xf numFmtId="165" fontId="7" fillId="0" borderId="0" xfId="0" applyFont="1" applyAlignment="1">
      <alignment vertical="center" wrapText="1"/>
    </xf>
    <xf numFmtId="165" fontId="11" fillId="0" borderId="0" xfId="0" applyFont="1" applyAlignment="1">
      <alignment horizontal="left" vertical="center"/>
    </xf>
    <xf numFmtId="165" fontId="7" fillId="0" borderId="0" xfId="0" applyFont="1" applyAlignment="1">
      <alignment vertical="center"/>
    </xf>
    <xf numFmtId="0" fontId="18" fillId="2" borderId="0" xfId="4" applyFont="1" applyFill="1" applyAlignment="1">
      <alignment vertical="center"/>
    </xf>
    <xf numFmtId="0" fontId="18" fillId="2" borderId="0" xfId="4" applyFont="1" applyFill="1" applyAlignment="1">
      <alignment horizontal="center" vertical="center"/>
    </xf>
    <xf numFmtId="0" fontId="18" fillId="2" borderId="0" xfId="5" applyFont="1" applyFill="1" applyAlignment="1">
      <alignment vertical="center" wrapText="1"/>
    </xf>
    <xf numFmtId="165" fontId="9" fillId="3" borderId="1" xfId="0" applyFont="1" applyFill="1" applyBorder="1" applyAlignment="1">
      <alignment vertical="center" wrapText="1"/>
    </xf>
    <xf numFmtId="165" fontId="7" fillId="3" borderId="1" xfId="0" applyFont="1" applyFill="1" applyBorder="1" applyAlignment="1">
      <alignment horizontal="center" vertical="center"/>
    </xf>
    <xf numFmtId="165" fontId="7" fillId="2" borderId="1" xfId="0" applyFont="1" applyFill="1" applyBorder="1" applyAlignment="1">
      <alignment horizontal="center" vertical="center"/>
    </xf>
    <xf numFmtId="165" fontId="11" fillId="2" borderId="0" xfId="0" applyFont="1" applyFill="1" applyAlignment="1">
      <alignment horizontal="left" vertical="center"/>
    </xf>
    <xf numFmtId="165" fontId="7" fillId="2" borderId="1" xfId="0" applyFont="1" applyFill="1" applyBorder="1" applyAlignment="1">
      <alignment vertical="center" wrapText="1"/>
    </xf>
    <xf numFmtId="0" fontId="7" fillId="2" borderId="1" xfId="0" applyNumberFormat="1" applyFont="1" applyFill="1" applyBorder="1" applyAlignment="1">
      <alignment horizontal="center" vertical="center"/>
    </xf>
    <xf numFmtId="165" fontId="23" fillId="0" borderId="0" xfId="0" applyFont="1" applyAlignment="1">
      <alignment horizontal="left" vertical="center"/>
    </xf>
    <xf numFmtId="165" fontId="24" fillId="0" borderId="0" xfId="0" applyFont="1" applyAlignment="1">
      <alignment horizontal="left" vertical="center"/>
    </xf>
    <xf numFmtId="165" fontId="25" fillId="0" borderId="0" xfId="0" applyFont="1" applyAlignment="1">
      <alignment vertical="center"/>
    </xf>
    <xf numFmtId="0" fontId="18" fillId="0" borderId="0" xfId="4" applyFont="1" applyAlignment="1">
      <alignment vertical="center"/>
    </xf>
    <xf numFmtId="165" fontId="17" fillId="0" borderId="0" xfId="0" applyFont="1" applyAlignment="1">
      <alignment vertical="center"/>
    </xf>
    <xf numFmtId="0" fontId="18" fillId="0" borderId="1" xfId="7" applyFont="1" applyBorder="1" applyAlignment="1">
      <alignment horizontal="center" vertical="center" wrapText="1"/>
    </xf>
    <xf numFmtId="0" fontId="18" fillId="0" borderId="0" xfId="4" applyFont="1" applyAlignment="1">
      <alignment horizontal="center" vertical="center"/>
    </xf>
    <xf numFmtId="0" fontId="18" fillId="0" borderId="1" xfId="4" applyFont="1" applyBorder="1" applyAlignment="1">
      <alignment horizontal="center" vertical="center"/>
    </xf>
    <xf numFmtId="0" fontId="18" fillId="0" borderId="0" xfId="5" applyFont="1" applyAlignment="1">
      <alignment vertical="center" wrapText="1"/>
    </xf>
    <xf numFmtId="165" fontId="18" fillId="0" borderId="0" xfId="0" applyFont="1" applyAlignment="1">
      <alignment vertical="center"/>
    </xf>
    <xf numFmtId="165" fontId="18" fillId="0" borderId="3" xfId="0" applyFont="1" applyBorder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9" fillId="0" borderId="0" xfId="0" applyNumberFormat="1" applyFont="1" applyAlignment="1">
      <alignment vertical="center" wrapText="1"/>
    </xf>
    <xf numFmtId="0" fontId="11" fillId="0" borderId="0" xfId="0" applyNumberFormat="1" applyFont="1" applyAlignment="1">
      <alignment horizontal="left" vertical="center"/>
    </xf>
    <xf numFmtId="0" fontId="10" fillId="0" borderId="0" xfId="0" applyNumberFormat="1" applyFont="1" applyAlignment="1">
      <alignment vertical="center"/>
    </xf>
    <xf numFmtId="0" fontId="7" fillId="0" borderId="0" xfId="0" applyNumberFormat="1" applyFont="1" applyAlignment="1">
      <alignment vertical="center"/>
    </xf>
    <xf numFmtId="0" fontId="9" fillId="3" borderId="1" xfId="0" applyNumberFormat="1" applyFont="1" applyFill="1" applyBorder="1" applyAlignment="1">
      <alignment vertical="center" wrapText="1"/>
    </xf>
    <xf numFmtId="0" fontId="7" fillId="3" borderId="1" xfId="0" applyNumberFormat="1" applyFont="1" applyFill="1" applyBorder="1" applyAlignment="1">
      <alignment horizontal="center" vertical="center"/>
    </xf>
    <xf numFmtId="0" fontId="11" fillId="2" borderId="0" xfId="0" applyNumberFormat="1" applyFont="1" applyFill="1" applyAlignment="1">
      <alignment horizontal="left" vertical="center"/>
    </xf>
    <xf numFmtId="0" fontId="10" fillId="2" borderId="0" xfId="0" applyNumberFormat="1" applyFont="1" applyFill="1" applyAlignment="1">
      <alignment vertical="center"/>
    </xf>
    <xf numFmtId="0" fontId="7" fillId="2" borderId="0" xfId="0" applyNumberFormat="1" applyFont="1" applyFill="1" applyAlignment="1">
      <alignment vertical="center"/>
    </xf>
    <xf numFmtId="0" fontId="7" fillId="2" borderId="1" xfId="0" applyNumberFormat="1" applyFont="1" applyFill="1" applyBorder="1" applyAlignment="1">
      <alignment vertical="center" wrapText="1"/>
    </xf>
    <xf numFmtId="0" fontId="7" fillId="2" borderId="0" xfId="0" applyNumberFormat="1" applyFont="1" applyFill="1" applyAlignment="1">
      <alignment horizontal="center" vertical="center"/>
    </xf>
    <xf numFmtId="0" fontId="7" fillId="2" borderId="0" xfId="0" applyNumberFormat="1" applyFont="1" applyFill="1" applyAlignment="1">
      <alignment vertical="center" wrapText="1"/>
    </xf>
    <xf numFmtId="0" fontId="7" fillId="0" borderId="1" xfId="0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vertical="center" wrapText="1"/>
    </xf>
    <xf numFmtId="0" fontId="7" fillId="0" borderId="1" xfId="0" applyNumberFormat="1" applyFont="1" applyBorder="1" applyAlignment="1">
      <alignment horizontal="left" vertical="center" wrapText="1"/>
    </xf>
    <xf numFmtId="0" fontId="7" fillId="0" borderId="0" xfId="0" applyNumberFormat="1" applyFont="1" applyAlignment="1">
      <alignment horizontal="left" vertical="center" wrapText="1"/>
    </xf>
    <xf numFmtId="0" fontId="7" fillId="0" borderId="0" xfId="0" applyNumberFormat="1" applyFont="1" applyAlignment="1">
      <alignment horizontal="center" vertical="center" wrapText="1"/>
    </xf>
    <xf numFmtId="0" fontId="8" fillId="0" borderId="0" xfId="0" applyNumberFormat="1" applyFont="1" applyAlignment="1">
      <alignment horizontal="center" vertical="center"/>
    </xf>
    <xf numFmtId="0" fontId="8" fillId="0" borderId="0" xfId="0" applyNumberFormat="1" applyFont="1" applyAlignment="1">
      <alignment vertical="center" wrapText="1"/>
    </xf>
    <xf numFmtId="0" fontId="26" fillId="0" borderId="0" xfId="0" applyNumberFormat="1" applyFont="1" applyAlignment="1">
      <alignment horizontal="left" vertical="center"/>
    </xf>
    <xf numFmtId="0" fontId="27" fillId="0" borderId="0" xfId="0" applyNumberFormat="1" applyFont="1" applyAlignment="1">
      <alignment vertical="center"/>
    </xf>
    <xf numFmtId="0" fontId="8" fillId="0" borderId="0" xfId="0" applyNumberFormat="1" applyFont="1" applyAlignment="1">
      <alignment vertical="center"/>
    </xf>
    <xf numFmtId="0" fontId="22" fillId="3" borderId="1" xfId="0" applyNumberFormat="1" applyFont="1" applyFill="1" applyBorder="1" applyAlignment="1">
      <alignment horizontal="center" vertical="center"/>
    </xf>
    <xf numFmtId="165" fontId="22" fillId="3" borderId="1" xfId="0" applyFont="1" applyFill="1" applyBorder="1" applyAlignment="1">
      <alignment vertical="center" wrapText="1"/>
    </xf>
    <xf numFmtId="165" fontId="22" fillId="3" borderId="1" xfId="0" applyFont="1" applyFill="1" applyBorder="1" applyAlignment="1">
      <alignment horizontal="center" vertical="center"/>
    </xf>
    <xf numFmtId="165" fontId="9" fillId="3" borderId="1" xfId="0" applyFont="1" applyFill="1" applyBorder="1" applyAlignment="1">
      <alignment horizontal="center" vertical="center"/>
    </xf>
    <xf numFmtId="165" fontId="15" fillId="3" borderId="1" xfId="0" applyFont="1" applyFill="1" applyBorder="1" applyAlignment="1">
      <alignment vertical="center" wrapText="1"/>
    </xf>
    <xf numFmtId="165" fontId="15" fillId="3" borderId="1" xfId="0" applyFont="1" applyFill="1" applyBorder="1" applyAlignment="1">
      <alignment horizontal="center" vertical="center"/>
    </xf>
    <xf numFmtId="165" fontId="14" fillId="3" borderId="1" xfId="0" applyFont="1" applyFill="1" applyBorder="1" applyAlignment="1">
      <alignment horizontal="center" vertical="center"/>
    </xf>
    <xf numFmtId="0" fontId="19" fillId="3" borderId="1" xfId="5" applyFont="1" applyFill="1" applyBorder="1" applyAlignment="1">
      <alignment vertical="center"/>
    </xf>
    <xf numFmtId="165" fontId="15" fillId="3" borderId="6" xfId="0" applyFont="1" applyFill="1" applyBorder="1" applyAlignment="1">
      <alignment vertical="center" wrapText="1"/>
    </xf>
    <xf numFmtId="165" fontId="14" fillId="3" borderId="6" xfId="0" applyFont="1" applyFill="1" applyBorder="1" applyAlignment="1">
      <alignment vertical="center" wrapText="1"/>
    </xf>
    <xf numFmtId="0" fontId="18" fillId="0" borderId="6" xfId="8" applyFont="1" applyBorder="1" applyAlignment="1">
      <alignment vertical="center" wrapText="1"/>
    </xf>
    <xf numFmtId="165" fontId="18" fillId="0" borderId="7" xfId="0" applyFont="1" applyBorder="1" applyAlignment="1">
      <alignment vertical="center" wrapText="1"/>
    </xf>
    <xf numFmtId="0" fontId="18" fillId="0" borderId="7" xfId="6" applyFont="1" applyBorder="1" applyAlignment="1">
      <alignment vertical="center" wrapText="1"/>
    </xf>
    <xf numFmtId="0" fontId="18" fillId="0" borderId="6" xfId="5" applyFont="1" applyBorder="1" applyAlignment="1">
      <alignment vertical="center" wrapText="1"/>
    </xf>
    <xf numFmtId="0" fontId="30" fillId="2" borderId="0" xfId="0" applyNumberFormat="1" applyFont="1" applyFill="1" applyAlignment="1">
      <alignment vertical="center"/>
    </xf>
    <xf numFmtId="0" fontId="28" fillId="2" borderId="0" xfId="0" applyNumberFormat="1" applyFont="1" applyFill="1" applyAlignment="1">
      <alignment vertical="center"/>
    </xf>
    <xf numFmtId="165" fontId="13" fillId="2" borderId="1" xfId="0" applyFont="1" applyFill="1" applyBorder="1" applyAlignment="1">
      <alignment vertical="center" wrapText="1"/>
    </xf>
    <xf numFmtId="165" fontId="13" fillId="2" borderId="1" xfId="0" applyFont="1" applyFill="1" applyBorder="1" applyAlignment="1">
      <alignment horizontal="center" vertical="center"/>
    </xf>
    <xf numFmtId="165" fontId="13" fillId="2" borderId="0" xfId="0" applyFont="1" applyFill="1" applyAlignment="1">
      <alignment vertical="center"/>
    </xf>
    <xf numFmtId="0" fontId="13" fillId="2" borderId="0" xfId="0" applyNumberFormat="1" applyFont="1" applyFill="1" applyAlignment="1">
      <alignment vertical="center"/>
    </xf>
    <xf numFmtId="0" fontId="13" fillId="2" borderId="1" xfId="0" applyNumberFormat="1" applyFont="1" applyFill="1" applyBorder="1" applyAlignment="1">
      <alignment vertical="center" wrapText="1"/>
    </xf>
    <xf numFmtId="0" fontId="13" fillId="2" borderId="1" xfId="0" applyNumberFormat="1" applyFont="1" applyFill="1" applyBorder="1" applyAlignment="1">
      <alignment horizontal="center" vertical="center"/>
    </xf>
    <xf numFmtId="166" fontId="13" fillId="2" borderId="0" xfId="0" applyNumberFormat="1" applyFont="1" applyFill="1" applyAlignment="1">
      <alignment vertical="center"/>
    </xf>
    <xf numFmtId="0" fontId="31" fillId="2" borderId="6" xfId="5" applyFont="1" applyFill="1" applyBorder="1" applyAlignment="1">
      <alignment vertical="center" wrapText="1"/>
    </xf>
    <xf numFmtId="0" fontId="31" fillId="2" borderId="1" xfId="7" applyFont="1" applyFill="1" applyBorder="1" applyAlignment="1">
      <alignment horizontal="center" vertical="center" wrapText="1"/>
    </xf>
    <xf numFmtId="0" fontId="31" fillId="2" borderId="0" xfId="4" applyFont="1" applyFill="1" applyAlignment="1">
      <alignment vertical="center"/>
    </xf>
    <xf numFmtId="0" fontId="31" fillId="2" borderId="6" xfId="8" applyFont="1" applyFill="1" applyBorder="1" applyAlignment="1">
      <alignment vertical="center" wrapText="1"/>
    </xf>
    <xf numFmtId="165" fontId="32" fillId="2" borderId="0" xfId="0" applyFont="1" applyFill="1" applyAlignment="1">
      <alignment vertical="center"/>
    </xf>
    <xf numFmtId="165" fontId="31" fillId="2" borderId="4" xfId="0" applyFont="1" applyFill="1" applyBorder="1" applyAlignment="1">
      <alignment horizontal="center" vertical="center"/>
    </xf>
    <xf numFmtId="0" fontId="31" fillId="2" borderId="7" xfId="6" applyFont="1" applyFill="1" applyBorder="1" applyAlignment="1">
      <alignment vertical="center" wrapText="1"/>
    </xf>
    <xf numFmtId="165" fontId="31" fillId="2" borderId="3" xfId="0" applyFont="1" applyFill="1" applyBorder="1" applyAlignment="1">
      <alignment horizontal="center" vertical="center"/>
    </xf>
    <xf numFmtId="0" fontId="31" fillId="2" borderId="1" xfId="4" applyFont="1" applyFill="1" applyBorder="1" applyAlignment="1">
      <alignment horizontal="center" vertical="center"/>
    </xf>
    <xf numFmtId="165" fontId="31" fillId="2" borderId="7" xfId="0" applyFont="1" applyFill="1" applyBorder="1" applyAlignment="1">
      <alignment vertical="center" wrapText="1"/>
    </xf>
    <xf numFmtId="165" fontId="31" fillId="2" borderId="0" xfId="0" applyFont="1" applyFill="1" applyAlignment="1">
      <alignment vertical="center"/>
    </xf>
    <xf numFmtId="165" fontId="7" fillId="2" borderId="6" xfId="0" applyFont="1" applyFill="1" applyBorder="1" applyAlignment="1">
      <alignment vertical="center" wrapText="1"/>
    </xf>
    <xf numFmtId="165" fontId="25" fillId="2" borderId="0" xfId="0" applyFont="1" applyFill="1" applyAlignment="1">
      <alignment vertical="center"/>
    </xf>
    <xf numFmtId="5" fontId="9" fillId="3" borderId="1" xfId="0" applyNumberFormat="1" applyFont="1" applyFill="1" applyBorder="1" applyAlignment="1">
      <alignment horizontal="center" vertical="center"/>
    </xf>
    <xf numFmtId="0" fontId="7" fillId="0" borderId="0" xfId="0" applyNumberFormat="1" applyFont="1" applyAlignment="1">
      <alignment horizontal="center"/>
    </xf>
    <xf numFmtId="0" fontId="9" fillId="0" borderId="0" xfId="0" applyNumberFormat="1" applyFont="1" applyAlignment="1">
      <alignment horizontal="center"/>
    </xf>
    <xf numFmtId="0" fontId="7" fillId="2" borderId="1" xfId="4" applyFont="1" applyFill="1" applyBorder="1" applyAlignment="1">
      <alignment horizontal="center" vertical="center"/>
    </xf>
    <xf numFmtId="0" fontId="12" fillId="0" borderId="0" xfId="0" applyNumberFormat="1" applyFont="1" applyAlignment="1">
      <alignment vertical="center"/>
    </xf>
    <xf numFmtId="165" fontId="31" fillId="2" borderId="1" xfId="0" applyFont="1" applyFill="1" applyBorder="1" applyAlignment="1">
      <alignment horizontal="center" vertical="center"/>
    </xf>
    <xf numFmtId="165" fontId="34" fillId="2" borderId="0" xfId="3" applyFont="1" applyFill="1" applyAlignment="1">
      <alignment horizontal="left" vertical="center"/>
    </xf>
    <xf numFmtId="165" fontId="10" fillId="2" borderId="0" xfId="0" applyFont="1" applyFill="1" applyAlignment="1">
      <alignment horizontal="left" vertical="center"/>
    </xf>
    <xf numFmtId="165" fontId="34" fillId="2" borderId="0" xfId="3" applyFont="1" applyFill="1" applyAlignment="1">
      <alignment vertical="center"/>
    </xf>
    <xf numFmtId="165" fontId="10" fillId="2" borderId="0" xfId="0" applyFont="1" applyFill="1" applyAlignment="1">
      <alignment vertical="center"/>
    </xf>
    <xf numFmtId="0" fontId="35" fillId="2" borderId="0" xfId="4" applyFont="1" applyFill="1" applyAlignment="1">
      <alignment vertical="center"/>
    </xf>
    <xf numFmtId="165" fontId="36" fillId="2" borderId="0" xfId="0" applyFont="1" applyFill="1" applyAlignment="1">
      <alignment vertical="center"/>
    </xf>
    <xf numFmtId="165" fontId="37" fillId="2" borderId="0" xfId="3" applyFont="1" applyFill="1" applyAlignment="1">
      <alignment vertical="center"/>
    </xf>
    <xf numFmtId="167" fontId="35" fillId="2" borderId="0" xfId="4" applyNumberFormat="1" applyFont="1" applyFill="1" applyAlignment="1">
      <alignment vertical="center"/>
    </xf>
    <xf numFmtId="165" fontId="35" fillId="2" borderId="0" xfId="0" applyFont="1" applyFill="1" applyAlignment="1">
      <alignment vertical="center"/>
    </xf>
    <xf numFmtId="3" fontId="35" fillId="2" borderId="0" xfId="4" applyNumberFormat="1" applyFont="1" applyFill="1" applyAlignment="1">
      <alignment vertical="center"/>
    </xf>
    <xf numFmtId="0" fontId="35" fillId="0" borderId="0" xfId="4" applyFont="1" applyAlignment="1">
      <alignment vertical="center"/>
    </xf>
    <xf numFmtId="165" fontId="36" fillId="0" borderId="0" xfId="0" applyFont="1" applyAlignment="1">
      <alignment vertical="center"/>
    </xf>
    <xf numFmtId="165" fontId="35" fillId="0" borderId="0" xfId="0" applyFont="1" applyAlignment="1">
      <alignment vertical="center"/>
    </xf>
    <xf numFmtId="0" fontId="9" fillId="3" borderId="1" xfId="0" applyNumberFormat="1" applyFont="1" applyFill="1" applyBorder="1" applyAlignment="1">
      <alignment horizontal="center" vertical="center"/>
    </xf>
    <xf numFmtId="0" fontId="7" fillId="2" borderId="1" xfId="1" applyNumberFormat="1" applyFont="1" applyFill="1" applyBorder="1" applyAlignment="1">
      <alignment horizontal="center" vertical="center" wrapText="1"/>
    </xf>
    <xf numFmtId="165" fontId="7" fillId="2" borderId="0" xfId="0" applyFont="1" applyFill="1" applyAlignment="1">
      <alignment horizontal="center" vertical="center"/>
    </xf>
    <xf numFmtId="165" fontId="7" fillId="2" borderId="0" xfId="0" applyFont="1" applyFill="1" applyAlignment="1">
      <alignment vertical="center"/>
    </xf>
    <xf numFmtId="0" fontId="33" fillId="2" borderId="0" xfId="4" applyFont="1" applyFill="1" applyAlignment="1">
      <alignment vertical="center"/>
    </xf>
    <xf numFmtId="0" fontId="7" fillId="2" borderId="0" xfId="4" applyFont="1" applyFill="1" applyAlignment="1">
      <alignment horizontal="center" vertical="center"/>
    </xf>
    <xf numFmtId="0" fontId="7" fillId="0" borderId="1" xfId="4" applyFont="1" applyBorder="1" applyAlignment="1">
      <alignment horizontal="center" vertical="center"/>
    </xf>
    <xf numFmtId="165" fontId="7" fillId="0" borderId="1" xfId="0" applyFont="1" applyBorder="1" applyAlignment="1">
      <alignment horizontal="center" vertical="center"/>
    </xf>
    <xf numFmtId="0" fontId="7" fillId="0" borderId="0" xfId="4" applyFont="1" applyAlignment="1">
      <alignment horizontal="center" vertical="center"/>
    </xf>
    <xf numFmtId="6" fontId="7" fillId="0" borderId="0" xfId="0" applyNumberFormat="1" applyFont="1"/>
    <xf numFmtId="6" fontId="7" fillId="0" borderId="0" xfId="0" applyNumberFormat="1" applyFont="1" applyAlignment="1">
      <alignment vertical="center"/>
    </xf>
    <xf numFmtId="6" fontId="13" fillId="0" borderId="0" xfId="0" applyNumberFormat="1" applyFont="1" applyAlignment="1">
      <alignment vertical="center"/>
    </xf>
    <xf numFmtId="6" fontId="14" fillId="3" borderId="1" xfId="0" applyNumberFormat="1" applyFont="1" applyFill="1" applyBorder="1" applyAlignment="1">
      <alignment vertical="center"/>
    </xf>
    <xf numFmtId="6" fontId="13" fillId="3" borderId="1" xfId="0" applyNumberFormat="1" applyFont="1" applyFill="1" applyBorder="1" applyAlignment="1">
      <alignment horizontal="center" vertical="center"/>
    </xf>
    <xf numFmtId="6" fontId="13" fillId="2" borderId="1" xfId="0" applyNumberFormat="1" applyFont="1" applyFill="1" applyBorder="1" applyAlignment="1">
      <alignment vertical="center"/>
    </xf>
    <xf numFmtId="6" fontId="15" fillId="3" borderId="1" xfId="0" applyNumberFormat="1" applyFont="1" applyFill="1" applyBorder="1" applyAlignment="1">
      <alignment vertical="center"/>
    </xf>
    <xf numFmtId="6" fontId="31" fillId="2" borderId="1" xfId="7" applyNumberFormat="1" applyFont="1" applyFill="1" applyBorder="1" applyAlignment="1">
      <alignment horizontal="right" vertical="center" wrapText="1"/>
    </xf>
    <xf numFmtId="6" fontId="31" fillId="2" borderId="1" xfId="0" applyNumberFormat="1" applyFont="1" applyFill="1" applyBorder="1" applyAlignment="1">
      <alignment vertical="center"/>
    </xf>
    <xf numFmtId="6" fontId="7" fillId="2" borderId="1" xfId="0" applyNumberFormat="1" applyFont="1" applyFill="1" applyBorder="1" applyAlignment="1">
      <alignment vertical="center"/>
    </xf>
    <xf numFmtId="6" fontId="31" fillId="2" borderId="2" xfId="0" applyNumberFormat="1" applyFont="1" applyFill="1" applyBorder="1" applyAlignment="1">
      <alignment vertical="center"/>
    </xf>
    <xf numFmtId="6" fontId="31" fillId="2" borderId="2" xfId="7" applyNumberFormat="1" applyFont="1" applyFill="1" applyBorder="1" applyAlignment="1">
      <alignment horizontal="right" vertical="center" wrapText="1"/>
    </xf>
    <xf numFmtId="6" fontId="31" fillId="2" borderId="2" xfId="4" applyNumberFormat="1" applyFont="1" applyFill="1" applyBorder="1" applyAlignment="1">
      <alignment vertical="center"/>
    </xf>
    <xf numFmtId="6" fontId="31" fillId="2" borderId="4" xfId="0" applyNumberFormat="1" applyFont="1" applyFill="1" applyBorder="1" applyAlignment="1">
      <alignment horizontal="right" vertical="center"/>
    </xf>
    <xf numFmtId="6" fontId="7" fillId="2" borderId="2" xfId="0" applyNumberFormat="1" applyFont="1" applyFill="1" applyBorder="1" applyAlignment="1">
      <alignment vertical="center"/>
    </xf>
    <xf numFmtId="6" fontId="31" fillId="2" borderId="1" xfId="4" applyNumberFormat="1" applyFont="1" applyFill="1" applyBorder="1" applyAlignment="1">
      <alignment vertical="center"/>
    </xf>
    <xf numFmtId="6" fontId="31" fillId="2" borderId="5" xfId="0" applyNumberFormat="1" applyFont="1" applyFill="1" applyBorder="1" applyAlignment="1">
      <alignment horizontal="right" vertical="center"/>
    </xf>
    <xf numFmtId="6" fontId="18" fillId="2" borderId="0" xfId="4" applyNumberFormat="1" applyFont="1" applyFill="1" applyAlignment="1">
      <alignment vertical="center"/>
    </xf>
    <xf numFmtId="6" fontId="18" fillId="0" borderId="2" xfId="7" applyNumberFormat="1" applyFont="1" applyBorder="1" applyAlignment="1">
      <alignment horizontal="right" vertical="center" wrapText="1"/>
    </xf>
    <xf numFmtId="6" fontId="18" fillId="0" borderId="4" xfId="0" applyNumberFormat="1" applyFont="1" applyBorder="1" applyAlignment="1">
      <alignment horizontal="right" vertical="center"/>
    </xf>
    <xf numFmtId="6" fontId="18" fillId="2" borderId="2" xfId="0" applyNumberFormat="1" applyFont="1" applyFill="1" applyBorder="1" applyAlignment="1">
      <alignment vertical="center"/>
    </xf>
    <xf numFmtId="6" fontId="18" fillId="0" borderId="2" xfId="4" applyNumberFormat="1" applyFont="1" applyBorder="1" applyAlignment="1">
      <alignment vertical="center"/>
    </xf>
    <xf numFmtId="6" fontId="18" fillId="0" borderId="0" xfId="4" applyNumberFormat="1" applyFont="1" applyAlignment="1">
      <alignment vertical="center"/>
    </xf>
    <xf numFmtId="6" fontId="7" fillId="3" borderId="1" xfId="0" applyNumberFormat="1" applyFont="1" applyFill="1" applyBorder="1" applyAlignment="1">
      <alignment horizontal="center" vertical="center"/>
    </xf>
    <xf numFmtId="6" fontId="22" fillId="3" borderId="1" xfId="0" applyNumberFormat="1" applyFont="1" applyFill="1" applyBorder="1" applyAlignment="1">
      <alignment vertical="center"/>
    </xf>
    <xf numFmtId="6" fontId="9" fillId="3" borderId="1" xfId="0" applyNumberFormat="1" applyFont="1" applyFill="1" applyBorder="1" applyAlignment="1">
      <alignment vertical="center"/>
    </xf>
    <xf numFmtId="6" fontId="7" fillId="2" borderId="0" xfId="0" applyNumberFormat="1" applyFont="1" applyFill="1" applyAlignment="1">
      <alignment vertical="center"/>
    </xf>
    <xf numFmtId="6" fontId="7" fillId="0" borderId="0" xfId="0" applyNumberFormat="1" applyFont="1" applyAlignment="1">
      <alignment horizontal="left" vertical="center" wrapText="1"/>
    </xf>
    <xf numFmtId="6" fontId="8" fillId="0" borderId="0" xfId="0" applyNumberFormat="1" applyFont="1" applyAlignment="1">
      <alignment vertical="center"/>
    </xf>
    <xf numFmtId="0" fontId="29" fillId="3" borderId="1" xfId="0" applyNumberFormat="1" applyFont="1" applyFill="1" applyBorder="1" applyAlignment="1">
      <alignment horizontal="center" vertical="center"/>
    </xf>
    <xf numFmtId="165" fontId="29" fillId="3" borderId="1" xfId="0" applyFont="1" applyFill="1" applyBorder="1" applyAlignment="1">
      <alignment vertical="center" wrapText="1"/>
    </xf>
    <xf numFmtId="165" fontId="29" fillId="3" borderId="1" xfId="0" applyFont="1" applyFill="1" applyBorder="1" applyAlignment="1">
      <alignment horizontal="center" vertical="center"/>
    </xf>
    <xf numFmtId="6" fontId="29" fillId="3" borderId="1" xfId="0" applyNumberFormat="1" applyFont="1" applyFill="1" applyBorder="1" applyAlignment="1">
      <alignment vertical="center"/>
    </xf>
    <xf numFmtId="0" fontId="38" fillId="2" borderId="0" xfId="0" applyNumberFormat="1" applyFont="1" applyFill="1" applyAlignment="1">
      <alignment horizontal="left" vertical="center"/>
    </xf>
    <xf numFmtId="0" fontId="14" fillId="3" borderId="1" xfId="0" applyNumberFormat="1" applyFont="1" applyFill="1" applyBorder="1" applyAlignment="1">
      <alignment horizontal="center" vertical="center"/>
    </xf>
    <xf numFmtId="0" fontId="14" fillId="3" borderId="1" xfId="0" applyNumberFormat="1" applyFont="1" applyFill="1" applyBorder="1" applyAlignment="1">
      <alignment vertical="center" wrapText="1"/>
    </xf>
    <xf numFmtId="0" fontId="39" fillId="2" borderId="0" xfId="0" applyNumberFormat="1" applyFont="1" applyFill="1" applyAlignment="1">
      <alignment horizontal="left" vertical="center"/>
    </xf>
    <xf numFmtId="0" fontId="40" fillId="2" borderId="0" xfId="0" applyNumberFormat="1" applyFont="1" applyFill="1" applyAlignment="1">
      <alignment vertical="center"/>
    </xf>
    <xf numFmtId="0" fontId="14" fillId="2" borderId="0" xfId="0" applyNumberFormat="1" applyFont="1" applyFill="1" applyAlignment="1">
      <alignment vertical="center"/>
    </xf>
    <xf numFmtId="0" fontId="31" fillId="2" borderId="8" xfId="6" applyFont="1" applyFill="1" applyBorder="1" applyAlignment="1">
      <alignment vertical="center" wrapText="1"/>
    </xf>
    <xf numFmtId="165" fontId="31" fillId="2" borderId="9" xfId="0" applyFont="1" applyFill="1" applyBorder="1" applyAlignment="1">
      <alignment horizontal="center" vertical="center"/>
    </xf>
    <xf numFmtId="0" fontId="31" fillId="2" borderId="1" xfId="6" applyFont="1" applyFill="1" applyBorder="1" applyAlignment="1">
      <alignment vertical="center" wrapText="1"/>
    </xf>
    <xf numFmtId="0" fontId="31" fillId="2" borderId="1" xfId="8" applyFont="1" applyFill="1" applyBorder="1" applyAlignment="1">
      <alignment vertical="center" wrapText="1"/>
    </xf>
    <xf numFmtId="0" fontId="31" fillId="2" borderId="1" xfId="5" applyFont="1" applyFill="1" applyBorder="1" applyAlignment="1">
      <alignment vertical="center" wrapText="1"/>
    </xf>
    <xf numFmtId="3" fontId="7" fillId="0" borderId="1" xfId="0" applyNumberFormat="1" applyFont="1" applyBorder="1" applyAlignment="1">
      <alignment horizontal="center" vertical="center"/>
    </xf>
    <xf numFmtId="3" fontId="36" fillId="2" borderId="0" xfId="0" applyNumberFormat="1" applyFont="1" applyFill="1" applyAlignment="1">
      <alignment vertical="center"/>
    </xf>
    <xf numFmtId="172" fontId="7" fillId="0" borderId="1" xfId="2" applyNumberFormat="1" applyFont="1" applyFill="1" applyBorder="1" applyAlignment="1">
      <alignment horizontal="center" vertical="center" wrapText="1"/>
    </xf>
    <xf numFmtId="172" fontId="7" fillId="0" borderId="1" xfId="2" applyNumberFormat="1" applyFont="1" applyBorder="1" applyAlignment="1">
      <alignment horizontal="center" vertical="center" wrapText="1"/>
    </xf>
  </cellXfs>
  <cellStyles count="11">
    <cellStyle name="Гиперссылка" xfId="3" builtinId="8"/>
    <cellStyle name="Обычный" xfId="0" builtinId="0"/>
    <cellStyle name="Обычный 3" xfId="10" xr:uid="{94D68D6E-5455-492E-A811-FA44E26512D2}"/>
    <cellStyle name="Обычный_Коммерческое предложение Янино 2" xfId="4" xr:uid="{5FB6584D-5759-4B8A-8385-175C4EFE8C6E}"/>
    <cellStyle name="Обычный_Коммерческое предложение Янино_огород возле теплицы" xfId="8" xr:uid="{5204D4DC-8D8A-4BBE-8A75-4D123A5B8CF9}"/>
    <cellStyle name="Обычный_Мощение  пешеходных дорожек серо-зеленым песчанником" xfId="5" xr:uid="{4E306BA3-E23B-43AC-A79F-247DC80A915B}"/>
    <cellStyle name="Обычный_огород возле теплицы" xfId="7" xr:uid="{2C4F76DD-1D6B-4A34-9450-E7D90E57DC5D}"/>
    <cellStyle name="Обычный_последний этап  02 (3 этап)" xfId="6" xr:uid="{3A52AF8B-4ABD-44C3-92FB-78BC9A812DCD}"/>
    <cellStyle name="Процентный" xfId="2" builtinId="5"/>
    <cellStyle name="Стиль 1" xfId="9" xr:uid="{CE43C9DE-E4C4-4F36-9537-8CE09A02B2C2}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R167"/>
  <sheetViews>
    <sheetView tabSelected="1" topLeftCell="A151" zoomScale="95" zoomScaleNormal="95" workbookViewId="0">
      <selection activeCell="E164" sqref="E164"/>
    </sheetView>
  </sheetViews>
  <sheetFormatPr defaultColWidth="9.109375" defaultRowHeight="15.6" x14ac:dyDescent="0.45"/>
  <cols>
    <col min="1" max="1" width="5.33203125" style="2" customWidth="1"/>
    <col min="2" max="2" width="54" style="3" customWidth="1"/>
    <col min="3" max="3" width="16" style="2" bestFit="1" customWidth="1"/>
    <col min="4" max="4" width="9.33203125" style="124" customWidth="1"/>
    <col min="5" max="5" width="56.33203125" style="4" customWidth="1"/>
    <col min="6" max="6" width="15.77734375" style="1" bestFit="1" customWidth="1"/>
    <col min="7" max="7" width="11.5546875" style="1" bestFit="1" customWidth="1"/>
    <col min="8" max="8" width="15.77734375" style="1" bestFit="1" customWidth="1"/>
    <col min="9" max="16384" width="9.109375" style="1"/>
  </cols>
  <sheetData>
    <row r="1" spans="1:10" s="5" customFormat="1" x14ac:dyDescent="0.3">
      <c r="A1" s="13"/>
      <c r="B1" s="7"/>
      <c r="C1" s="6"/>
      <c r="D1" s="126"/>
      <c r="E1" s="15"/>
    </row>
    <row r="2" spans="1:10" s="5" customFormat="1" x14ac:dyDescent="0.3">
      <c r="A2" s="115">
        <v>1</v>
      </c>
      <c r="B2" s="8" t="s">
        <v>185</v>
      </c>
      <c r="C2" s="9" t="s">
        <v>121</v>
      </c>
      <c r="D2" s="128" t="s">
        <v>13</v>
      </c>
      <c r="E2" s="15"/>
      <c r="H2" s="10"/>
      <c r="I2" s="10"/>
      <c r="J2" s="10"/>
    </row>
    <row r="3" spans="1:10" s="78" customFormat="1" ht="30.6" customHeight="1" x14ac:dyDescent="0.3">
      <c r="A3" s="116" t="s">
        <v>123</v>
      </c>
      <c r="B3" s="76" t="s">
        <v>5</v>
      </c>
      <c r="C3" s="77" t="s">
        <v>2</v>
      </c>
      <c r="D3" s="129">
        <v>30</v>
      </c>
      <c r="E3" s="23"/>
      <c r="H3" s="79"/>
      <c r="I3" s="79"/>
      <c r="J3" s="79"/>
    </row>
    <row r="4" spans="1:10" s="78" customFormat="1" ht="15.6" customHeight="1" x14ac:dyDescent="0.3">
      <c r="A4" s="116" t="s">
        <v>124</v>
      </c>
      <c r="B4" s="76" t="s">
        <v>197</v>
      </c>
      <c r="C4" s="77" t="s">
        <v>3</v>
      </c>
      <c r="D4" s="129">
        <v>1100</v>
      </c>
      <c r="E4" s="23"/>
      <c r="H4" s="79"/>
      <c r="I4" s="79"/>
      <c r="J4" s="79"/>
    </row>
    <row r="5" spans="1:10" s="78" customFormat="1" ht="15.6" customHeight="1" x14ac:dyDescent="0.3">
      <c r="A5" s="116" t="s">
        <v>125</v>
      </c>
      <c r="B5" s="76" t="s">
        <v>200</v>
      </c>
      <c r="C5" s="77" t="s">
        <v>3</v>
      </c>
      <c r="D5" s="129">
        <v>1100</v>
      </c>
      <c r="E5" s="23"/>
      <c r="H5" s="79"/>
      <c r="I5" s="79"/>
      <c r="J5" s="79"/>
    </row>
    <row r="6" spans="1:10" s="78" customFormat="1" ht="30.6" customHeight="1" x14ac:dyDescent="0.3">
      <c r="A6" s="116" t="s">
        <v>128</v>
      </c>
      <c r="B6" s="80" t="s">
        <v>201</v>
      </c>
      <c r="C6" s="77" t="s">
        <v>3</v>
      </c>
      <c r="D6" s="129">
        <v>1000</v>
      </c>
      <c r="E6" s="102"/>
    </row>
    <row r="7" spans="1:10" s="78" customFormat="1" ht="14.4" customHeight="1" x14ac:dyDescent="0.3">
      <c r="A7" s="116" t="s">
        <v>129</v>
      </c>
      <c r="B7" s="76" t="s">
        <v>6</v>
      </c>
      <c r="C7" s="77" t="s">
        <v>2</v>
      </c>
      <c r="D7" s="129">
        <v>700</v>
      </c>
      <c r="E7" s="23"/>
    </row>
    <row r="8" spans="1:10" s="78" customFormat="1" ht="14.4" customHeight="1" x14ac:dyDescent="0.3">
      <c r="A8" s="116" t="s">
        <v>126</v>
      </c>
      <c r="B8" s="80" t="s">
        <v>202</v>
      </c>
      <c r="C8" s="77" t="s">
        <v>2</v>
      </c>
      <c r="D8" s="129">
        <v>380</v>
      </c>
      <c r="E8" s="102"/>
    </row>
    <row r="9" spans="1:10" s="78" customFormat="1" ht="15.6" customHeight="1" x14ac:dyDescent="0.3">
      <c r="A9" s="116" t="s">
        <v>130</v>
      </c>
      <c r="B9" s="80" t="s">
        <v>186</v>
      </c>
      <c r="C9" s="77" t="s">
        <v>2</v>
      </c>
      <c r="D9" s="129">
        <v>680</v>
      </c>
      <c r="E9" s="23"/>
    </row>
    <row r="10" spans="1:10" s="78" customFormat="1" ht="14.4" customHeight="1" x14ac:dyDescent="0.3">
      <c r="A10" s="116"/>
      <c r="B10" s="76" t="s">
        <v>94</v>
      </c>
      <c r="C10" s="77" t="s">
        <v>3</v>
      </c>
      <c r="D10" s="129">
        <v>1620</v>
      </c>
      <c r="E10" s="23"/>
    </row>
    <row r="11" spans="1:10" s="78" customFormat="1" ht="14.4" customHeight="1" x14ac:dyDescent="0.3">
      <c r="A11" s="116"/>
      <c r="B11" s="76" t="s">
        <v>204</v>
      </c>
      <c r="C11" s="77" t="s">
        <v>0</v>
      </c>
      <c r="D11" s="129">
        <v>1200</v>
      </c>
      <c r="E11" s="23"/>
    </row>
    <row r="12" spans="1:10" s="78" customFormat="1" ht="15.6" customHeight="1" x14ac:dyDescent="0.3">
      <c r="A12" s="116"/>
      <c r="B12" s="76" t="s">
        <v>187</v>
      </c>
      <c r="C12" s="77" t="s">
        <v>3</v>
      </c>
      <c r="D12" s="129">
        <v>2300</v>
      </c>
      <c r="E12" s="23"/>
    </row>
    <row r="13" spans="1:10" s="78" customFormat="1" ht="14.4" customHeight="1" x14ac:dyDescent="0.3">
      <c r="A13" s="116"/>
      <c r="B13" s="80" t="s">
        <v>106</v>
      </c>
      <c r="C13" s="77" t="s">
        <v>15</v>
      </c>
      <c r="D13" s="129">
        <v>9000</v>
      </c>
      <c r="E13" s="23"/>
    </row>
    <row r="14" spans="1:10" s="11" customFormat="1" ht="14.4" customHeight="1" x14ac:dyDescent="0.3">
      <c r="A14" s="60"/>
      <c r="B14" s="64" t="s">
        <v>12</v>
      </c>
      <c r="C14" s="65"/>
      <c r="D14" s="130"/>
      <c r="E14" s="26"/>
    </row>
    <row r="15" spans="1:10" s="12" customFormat="1" ht="14.4" customHeight="1" x14ac:dyDescent="0.3">
      <c r="A15" s="115"/>
      <c r="B15" s="8" t="s">
        <v>11</v>
      </c>
      <c r="C15" s="66"/>
      <c r="D15" s="127"/>
      <c r="E15" s="27"/>
    </row>
    <row r="16" spans="1:10" s="5" customFormat="1" ht="14.4" customHeight="1" x14ac:dyDescent="0.3">
      <c r="A16" s="13"/>
      <c r="B16" s="7"/>
      <c r="C16" s="6"/>
      <c r="D16" s="126"/>
      <c r="E16" s="15"/>
    </row>
    <row r="17" spans="1:10" s="5" customFormat="1" ht="14.4" customHeight="1" x14ac:dyDescent="0.3">
      <c r="A17" s="115">
        <v>2</v>
      </c>
      <c r="B17" s="8" t="s">
        <v>120</v>
      </c>
      <c r="C17" s="9" t="s">
        <v>121</v>
      </c>
      <c r="D17" s="128" t="s">
        <v>13</v>
      </c>
      <c r="E17" s="15"/>
      <c r="H17" s="10"/>
      <c r="I17" s="10"/>
      <c r="J17" s="10"/>
    </row>
    <row r="18" spans="1:10" s="78" customFormat="1" ht="14.4" customHeight="1" x14ac:dyDescent="0.3">
      <c r="A18" s="116" t="s">
        <v>131</v>
      </c>
      <c r="B18" s="76" t="s">
        <v>14</v>
      </c>
      <c r="C18" s="77" t="s">
        <v>0</v>
      </c>
      <c r="D18" s="129">
        <v>15000</v>
      </c>
      <c r="E18" s="103"/>
      <c r="H18" s="79"/>
      <c r="I18" s="79"/>
      <c r="J18" s="79"/>
    </row>
    <row r="19" spans="1:10" s="78" customFormat="1" ht="14.4" customHeight="1" x14ac:dyDescent="0.3">
      <c r="A19" s="116"/>
      <c r="B19" s="76" t="s">
        <v>34</v>
      </c>
      <c r="C19" s="77" t="s">
        <v>0</v>
      </c>
      <c r="D19" s="129">
        <v>8165</v>
      </c>
      <c r="E19" s="104"/>
    </row>
    <row r="20" spans="1:10" s="78" customFormat="1" ht="14.4" customHeight="1" x14ac:dyDescent="0.3">
      <c r="A20" s="116"/>
      <c r="B20" s="76" t="s">
        <v>35</v>
      </c>
      <c r="C20" s="77" t="s">
        <v>0</v>
      </c>
      <c r="D20" s="129">
        <v>5566</v>
      </c>
      <c r="E20" s="102"/>
    </row>
    <row r="21" spans="1:10" s="78" customFormat="1" ht="14.4" customHeight="1" x14ac:dyDescent="0.3">
      <c r="A21" s="116"/>
      <c r="B21" s="76" t="s">
        <v>36</v>
      </c>
      <c r="C21" s="77" t="s">
        <v>0</v>
      </c>
      <c r="D21" s="129">
        <v>4115</v>
      </c>
      <c r="E21" s="102"/>
    </row>
    <row r="22" spans="1:10" s="78" customFormat="1" ht="14.4" customHeight="1" x14ac:dyDescent="0.3">
      <c r="A22" s="116"/>
      <c r="B22" s="76" t="s">
        <v>37</v>
      </c>
      <c r="C22" s="77" t="s">
        <v>0</v>
      </c>
      <c r="D22" s="129">
        <v>810</v>
      </c>
      <c r="E22" s="102"/>
    </row>
    <row r="23" spans="1:10" s="78" customFormat="1" ht="14.4" customHeight="1" x14ac:dyDescent="0.3">
      <c r="A23" s="116"/>
      <c r="B23" s="76" t="s">
        <v>38</v>
      </c>
      <c r="C23" s="77" t="s">
        <v>0</v>
      </c>
      <c r="D23" s="129">
        <v>3640</v>
      </c>
      <c r="E23" s="102"/>
    </row>
    <row r="24" spans="1:10" s="78" customFormat="1" ht="14.4" customHeight="1" x14ac:dyDescent="0.3">
      <c r="A24" s="25"/>
      <c r="B24" s="76" t="s">
        <v>31</v>
      </c>
      <c r="C24" s="77" t="s">
        <v>3</v>
      </c>
      <c r="D24" s="129">
        <v>2560</v>
      </c>
      <c r="E24" s="23"/>
    </row>
    <row r="25" spans="1:10" s="78" customFormat="1" ht="14.4" customHeight="1" x14ac:dyDescent="0.3">
      <c r="A25" s="25"/>
      <c r="B25" s="76" t="s">
        <v>33</v>
      </c>
      <c r="C25" s="77" t="s">
        <v>0</v>
      </c>
      <c r="D25" s="129">
        <v>3910</v>
      </c>
      <c r="E25" s="102"/>
    </row>
    <row r="26" spans="1:10" s="78" customFormat="1" ht="14.4" customHeight="1" x14ac:dyDescent="0.3">
      <c r="A26" s="25"/>
      <c r="B26" s="76" t="s">
        <v>32</v>
      </c>
      <c r="C26" s="77" t="s">
        <v>2</v>
      </c>
      <c r="D26" s="129">
        <v>75</v>
      </c>
      <c r="E26" s="102"/>
    </row>
    <row r="27" spans="1:10" s="78" customFormat="1" ht="14.4" customHeight="1" x14ac:dyDescent="0.3">
      <c r="A27" s="117"/>
      <c r="B27" s="76" t="s">
        <v>10</v>
      </c>
      <c r="C27" s="77" t="s">
        <v>4</v>
      </c>
      <c r="D27" s="129">
        <v>510</v>
      </c>
      <c r="E27" s="102"/>
    </row>
    <row r="28" spans="1:10" s="78" customFormat="1" ht="14.4" customHeight="1" x14ac:dyDescent="0.3">
      <c r="A28" s="116" t="s">
        <v>132</v>
      </c>
      <c r="B28" s="76" t="s">
        <v>39</v>
      </c>
      <c r="C28" s="77" t="s">
        <v>0</v>
      </c>
      <c r="D28" s="129">
        <v>900</v>
      </c>
      <c r="E28" s="23"/>
    </row>
    <row r="29" spans="1:10" s="78" customFormat="1" ht="14.4" customHeight="1" x14ac:dyDescent="0.3">
      <c r="A29" s="116"/>
      <c r="B29" s="76" t="s">
        <v>44</v>
      </c>
      <c r="C29" s="77" t="s">
        <v>0</v>
      </c>
      <c r="D29" s="129">
        <v>630</v>
      </c>
      <c r="E29" s="23"/>
    </row>
    <row r="30" spans="1:10" s="78" customFormat="1" ht="14.4" customHeight="1" x14ac:dyDescent="0.3">
      <c r="A30" s="116" t="s">
        <v>133</v>
      </c>
      <c r="B30" s="76" t="s">
        <v>40</v>
      </c>
      <c r="C30" s="77" t="s">
        <v>0</v>
      </c>
      <c r="D30" s="129">
        <v>1400</v>
      </c>
      <c r="E30" s="23"/>
    </row>
    <row r="31" spans="1:10" s="78" customFormat="1" ht="14.4" customHeight="1" x14ac:dyDescent="0.3">
      <c r="A31" s="116"/>
      <c r="B31" s="76" t="s">
        <v>45</v>
      </c>
      <c r="C31" s="77" t="s">
        <v>0</v>
      </c>
      <c r="D31" s="129">
        <v>1300</v>
      </c>
      <c r="E31" s="23"/>
    </row>
    <row r="32" spans="1:10" s="78" customFormat="1" ht="14.4" customHeight="1" x14ac:dyDescent="0.3">
      <c r="A32" s="116" t="s">
        <v>134</v>
      </c>
      <c r="B32" s="76" t="s">
        <v>41</v>
      </c>
      <c r="C32" s="77" t="s">
        <v>0</v>
      </c>
      <c r="D32" s="129">
        <v>3800</v>
      </c>
      <c r="E32" s="23"/>
      <c r="H32" s="79"/>
      <c r="I32" s="79"/>
      <c r="J32" s="79"/>
    </row>
    <row r="33" spans="1:8" s="78" customFormat="1" ht="14.4" customHeight="1" x14ac:dyDescent="0.3">
      <c r="A33" s="116"/>
      <c r="B33" s="76" t="s">
        <v>42</v>
      </c>
      <c r="C33" s="77" t="s">
        <v>0</v>
      </c>
      <c r="D33" s="129">
        <v>3410</v>
      </c>
      <c r="E33" s="23"/>
    </row>
    <row r="34" spans="1:8" s="78" customFormat="1" ht="14.4" customHeight="1" x14ac:dyDescent="0.3">
      <c r="A34" s="116" t="s">
        <v>135</v>
      </c>
      <c r="B34" s="76" t="s">
        <v>43</v>
      </c>
      <c r="C34" s="77" t="s">
        <v>0</v>
      </c>
      <c r="D34" s="129">
        <v>350</v>
      </c>
      <c r="E34" s="23"/>
    </row>
    <row r="35" spans="1:8" s="78" customFormat="1" ht="14.4" customHeight="1" x14ac:dyDescent="0.3">
      <c r="A35" s="116"/>
      <c r="B35" s="76" t="str">
        <f>B29</f>
        <v>Муфта d110мм для врезки в колодец</v>
      </c>
      <c r="C35" s="77" t="s">
        <v>0</v>
      </c>
      <c r="D35" s="129">
        <v>630</v>
      </c>
      <c r="E35" s="102"/>
    </row>
    <row r="36" spans="1:8" s="78" customFormat="1" ht="14.4" customHeight="1" x14ac:dyDescent="0.3">
      <c r="A36" s="25"/>
      <c r="B36" s="76" t="s">
        <v>32</v>
      </c>
      <c r="C36" s="77" t="s">
        <v>2</v>
      </c>
      <c r="D36" s="129">
        <v>75</v>
      </c>
      <c r="E36" s="102"/>
    </row>
    <row r="37" spans="1:8" s="78" customFormat="1" ht="28.2" customHeight="1" x14ac:dyDescent="0.3">
      <c r="A37" s="116" t="s">
        <v>136</v>
      </c>
      <c r="B37" s="76" t="s">
        <v>196</v>
      </c>
      <c r="C37" s="81" t="s">
        <v>1</v>
      </c>
      <c r="D37" s="129">
        <f>2*900</f>
        <v>1800</v>
      </c>
      <c r="E37" s="23"/>
      <c r="H37" s="82"/>
    </row>
    <row r="38" spans="1:8" s="78" customFormat="1" ht="14.4" customHeight="1" x14ac:dyDescent="0.3">
      <c r="A38" s="25"/>
      <c r="B38" s="76" t="s">
        <v>188</v>
      </c>
      <c r="C38" s="81" t="s">
        <v>1</v>
      </c>
      <c r="D38" s="129">
        <v>480</v>
      </c>
      <c r="E38" s="105"/>
      <c r="H38" s="82"/>
    </row>
    <row r="39" spans="1:8" s="78" customFormat="1" ht="14.4" customHeight="1" x14ac:dyDescent="0.3">
      <c r="A39" s="25"/>
      <c r="B39" s="76" t="s">
        <v>46</v>
      </c>
      <c r="C39" s="81" t="s">
        <v>0</v>
      </c>
      <c r="D39" s="129">
        <v>710</v>
      </c>
      <c r="E39" s="23"/>
      <c r="H39" s="82"/>
    </row>
    <row r="40" spans="1:8" s="78" customFormat="1" ht="14.4" customHeight="1" x14ac:dyDescent="0.3">
      <c r="A40" s="25"/>
      <c r="B40" s="76" t="s">
        <v>47</v>
      </c>
      <c r="C40" s="81" t="s">
        <v>0</v>
      </c>
      <c r="D40" s="129">
        <v>1700</v>
      </c>
      <c r="E40" s="23"/>
      <c r="H40" s="82"/>
    </row>
    <row r="41" spans="1:8" s="78" customFormat="1" ht="14.4" customHeight="1" x14ac:dyDescent="0.3">
      <c r="A41" s="25"/>
      <c r="B41" s="76" t="s">
        <v>7</v>
      </c>
      <c r="C41" s="81" t="s">
        <v>1</v>
      </c>
      <c r="D41" s="129">
        <v>200</v>
      </c>
      <c r="E41" s="23"/>
      <c r="H41" s="82"/>
    </row>
    <row r="42" spans="1:8" s="78" customFormat="1" ht="14.4" customHeight="1" x14ac:dyDescent="0.3">
      <c r="A42" s="116" t="s">
        <v>137</v>
      </c>
      <c r="B42" s="76" t="s">
        <v>8</v>
      </c>
      <c r="C42" s="77" t="s">
        <v>0</v>
      </c>
      <c r="D42" s="129">
        <v>1500</v>
      </c>
      <c r="E42" s="23"/>
      <c r="H42" s="82"/>
    </row>
    <row r="43" spans="1:8" s="78" customFormat="1" ht="14.4" customHeight="1" x14ac:dyDescent="0.3">
      <c r="A43" s="116" t="s">
        <v>138</v>
      </c>
      <c r="B43" s="76" t="s">
        <v>9</v>
      </c>
      <c r="C43" s="77" t="s">
        <v>0</v>
      </c>
      <c r="D43" s="129">
        <v>2200</v>
      </c>
      <c r="E43" s="23"/>
    </row>
    <row r="44" spans="1:8" s="78" customFormat="1" ht="28.2" customHeight="1" x14ac:dyDescent="0.3">
      <c r="A44" s="116"/>
      <c r="B44" s="76" t="s">
        <v>50</v>
      </c>
      <c r="C44" s="77" t="s">
        <v>0</v>
      </c>
      <c r="D44" s="129">
        <v>3300</v>
      </c>
      <c r="E44" s="102"/>
    </row>
    <row r="45" spans="1:8" s="78" customFormat="1" ht="14.4" customHeight="1" x14ac:dyDescent="0.3">
      <c r="A45" s="116"/>
      <c r="B45" s="76" t="s">
        <v>10</v>
      </c>
      <c r="C45" s="77" t="s">
        <v>4</v>
      </c>
      <c r="D45" s="129">
        <v>510</v>
      </c>
      <c r="E45" s="102"/>
    </row>
    <row r="46" spans="1:8" s="78" customFormat="1" ht="27" customHeight="1" x14ac:dyDescent="0.3">
      <c r="A46" s="116" t="s">
        <v>139</v>
      </c>
      <c r="B46" s="76" t="s">
        <v>51</v>
      </c>
      <c r="C46" s="77" t="s">
        <v>1</v>
      </c>
      <c r="D46" s="129">
        <v>1350</v>
      </c>
      <c r="E46" s="23"/>
    </row>
    <row r="47" spans="1:8" s="78" customFormat="1" ht="27.6" customHeight="1" x14ac:dyDescent="0.3">
      <c r="A47" s="116"/>
      <c r="B47" s="76" t="s">
        <v>49</v>
      </c>
      <c r="C47" s="77" t="s">
        <v>1</v>
      </c>
      <c r="D47" s="129">
        <v>4010</v>
      </c>
      <c r="E47" s="102"/>
    </row>
    <row r="48" spans="1:8" s="78" customFormat="1" ht="14.4" customHeight="1" x14ac:dyDescent="0.3">
      <c r="A48" s="116"/>
      <c r="B48" s="76" t="s">
        <v>10</v>
      </c>
      <c r="C48" s="77" t="s">
        <v>4</v>
      </c>
      <c r="D48" s="129">
        <v>510</v>
      </c>
      <c r="E48" s="23"/>
    </row>
    <row r="49" spans="1:10" s="78" customFormat="1" ht="14.4" customHeight="1" x14ac:dyDescent="0.3">
      <c r="A49" s="116" t="s">
        <v>140</v>
      </c>
      <c r="B49" s="76" t="s">
        <v>48</v>
      </c>
      <c r="C49" s="77" t="s">
        <v>0</v>
      </c>
      <c r="D49" s="129">
        <v>2200</v>
      </c>
      <c r="E49" s="23"/>
    </row>
    <row r="50" spans="1:10" s="78" customFormat="1" ht="27.6" customHeight="1" x14ac:dyDescent="0.3">
      <c r="A50" s="116"/>
      <c r="B50" s="76" t="s">
        <v>107</v>
      </c>
      <c r="C50" s="77" t="s">
        <v>0</v>
      </c>
      <c r="D50" s="129">
        <v>2700</v>
      </c>
      <c r="E50" s="23"/>
    </row>
    <row r="51" spans="1:10" s="78" customFormat="1" ht="14.4" customHeight="1" x14ac:dyDescent="0.3">
      <c r="A51" s="116"/>
      <c r="B51" s="76" t="s">
        <v>10</v>
      </c>
      <c r="C51" s="77" t="s">
        <v>4</v>
      </c>
      <c r="D51" s="129">
        <v>510</v>
      </c>
      <c r="E51" s="23"/>
    </row>
    <row r="52" spans="1:10" s="11" customFormat="1" ht="14.4" customHeight="1" x14ac:dyDescent="0.3">
      <c r="A52" s="60"/>
      <c r="B52" s="64" t="s">
        <v>12</v>
      </c>
      <c r="C52" s="65"/>
      <c r="D52" s="130"/>
      <c r="E52" s="26"/>
    </row>
    <row r="53" spans="1:10" s="12" customFormat="1" ht="14.4" customHeight="1" x14ac:dyDescent="0.3">
      <c r="A53" s="115"/>
      <c r="B53" s="8" t="s">
        <v>11</v>
      </c>
      <c r="C53" s="66"/>
      <c r="D53" s="127"/>
      <c r="E53" s="27"/>
    </row>
    <row r="54" spans="1:10" s="16" customFormat="1" ht="14.4" customHeight="1" x14ac:dyDescent="0.3">
      <c r="A54" s="13"/>
      <c r="B54" s="14"/>
      <c r="C54" s="13"/>
      <c r="D54" s="125"/>
      <c r="E54" s="15"/>
    </row>
    <row r="55" spans="1:10" s="5" customFormat="1" ht="14.4" customHeight="1" x14ac:dyDescent="0.3">
      <c r="A55" s="115">
        <v>3</v>
      </c>
      <c r="B55" s="67" t="s">
        <v>117</v>
      </c>
      <c r="C55" s="9" t="s">
        <v>121</v>
      </c>
      <c r="D55" s="128" t="s">
        <v>13</v>
      </c>
      <c r="E55" s="15"/>
      <c r="H55" s="10"/>
      <c r="I55" s="10"/>
      <c r="J55" s="10"/>
    </row>
    <row r="56" spans="1:10" s="87" customFormat="1" ht="28.2" customHeight="1" x14ac:dyDescent="0.3">
      <c r="A56" s="22" t="s">
        <v>141</v>
      </c>
      <c r="B56" s="86" t="s">
        <v>193</v>
      </c>
      <c r="C56" s="84" t="s">
        <v>2</v>
      </c>
      <c r="D56" s="131">
        <f>ROUNDUP((40+15+(130+170)*1.5)*1.25,-1)</f>
        <v>640</v>
      </c>
      <c r="E56" s="169"/>
    </row>
    <row r="57" spans="1:10" s="85" customFormat="1" ht="14.4" customHeight="1" x14ac:dyDescent="0.3">
      <c r="A57" s="99"/>
      <c r="B57" s="94" t="s">
        <v>32</v>
      </c>
      <c r="C57" s="88" t="s">
        <v>2</v>
      </c>
      <c r="D57" s="132">
        <v>75</v>
      </c>
      <c r="E57" s="106"/>
    </row>
    <row r="58" spans="1:10" s="85" customFormat="1" ht="14.4" customHeight="1" x14ac:dyDescent="0.3">
      <c r="A58" s="99"/>
      <c r="B58" s="89" t="s">
        <v>102</v>
      </c>
      <c r="C58" s="90" t="s">
        <v>3</v>
      </c>
      <c r="D58" s="132">
        <v>2560</v>
      </c>
      <c r="E58" s="106"/>
    </row>
    <row r="59" spans="1:10" s="95" customFormat="1" x14ac:dyDescent="0.3">
      <c r="A59" s="25"/>
      <c r="B59" s="24" t="s">
        <v>94</v>
      </c>
      <c r="C59" s="22" t="s">
        <v>3</v>
      </c>
      <c r="D59" s="133">
        <v>1620</v>
      </c>
      <c r="E59" s="23"/>
    </row>
    <row r="60" spans="1:10" s="87" customFormat="1" ht="27.6" customHeight="1" x14ac:dyDescent="0.3">
      <c r="A60" s="22" t="s">
        <v>142</v>
      </c>
      <c r="B60" s="86" t="s">
        <v>26</v>
      </c>
      <c r="C60" s="84" t="s">
        <v>2</v>
      </c>
      <c r="D60" s="131">
        <f>ROUNDUP((40+15+130*2.5+170*1.8)*1.25,-1)</f>
        <v>860</v>
      </c>
      <c r="E60" s="107"/>
    </row>
    <row r="61" spans="1:10" s="85" customFormat="1" ht="14.4" customHeight="1" x14ac:dyDescent="0.3">
      <c r="A61" s="99"/>
      <c r="B61" s="94" t="s">
        <v>52</v>
      </c>
      <c r="C61" s="88" t="s">
        <v>2</v>
      </c>
      <c r="D61" s="132">
        <v>105</v>
      </c>
      <c r="E61" s="106"/>
    </row>
    <row r="62" spans="1:10" s="85" customFormat="1" ht="14.4" customHeight="1" x14ac:dyDescent="0.3">
      <c r="A62" s="99"/>
      <c r="B62" s="89" t="s">
        <v>102</v>
      </c>
      <c r="C62" s="90" t="s">
        <v>3</v>
      </c>
      <c r="D62" s="132">
        <v>2560</v>
      </c>
      <c r="E62" s="106"/>
    </row>
    <row r="63" spans="1:10" s="95" customFormat="1" x14ac:dyDescent="0.3">
      <c r="A63" s="25"/>
      <c r="B63" s="24" t="s">
        <v>94</v>
      </c>
      <c r="C63" s="22" t="s">
        <v>3</v>
      </c>
      <c r="D63" s="133">
        <v>1620</v>
      </c>
      <c r="E63" s="23"/>
    </row>
    <row r="64" spans="1:10" s="87" customFormat="1" ht="14.4" customHeight="1" x14ac:dyDescent="0.3">
      <c r="A64" s="22" t="s">
        <v>127</v>
      </c>
      <c r="B64" s="86" t="s">
        <v>16</v>
      </c>
      <c r="C64" s="84" t="s">
        <v>2</v>
      </c>
      <c r="D64" s="131">
        <v>230</v>
      </c>
      <c r="E64" s="107"/>
    </row>
    <row r="65" spans="1:252" s="87" customFormat="1" ht="14.4" customHeight="1" x14ac:dyDescent="0.3">
      <c r="A65" s="22" t="s">
        <v>143</v>
      </c>
      <c r="B65" s="86" t="s">
        <v>17</v>
      </c>
      <c r="C65" s="84" t="s">
        <v>2</v>
      </c>
      <c r="D65" s="131">
        <v>1600</v>
      </c>
      <c r="E65" s="107"/>
    </row>
    <row r="66" spans="1:252" s="85" customFormat="1" ht="14.4" customHeight="1" x14ac:dyDescent="0.3">
      <c r="A66" s="99"/>
      <c r="B66" s="89" t="s">
        <v>53</v>
      </c>
      <c r="C66" s="90" t="s">
        <v>2</v>
      </c>
      <c r="D66" s="134">
        <v>840</v>
      </c>
      <c r="E66" s="108"/>
    </row>
    <row r="67" spans="1:252" s="87" customFormat="1" ht="14.4" customHeight="1" x14ac:dyDescent="0.3">
      <c r="A67" s="22" t="s">
        <v>144</v>
      </c>
      <c r="B67" s="86" t="s">
        <v>195</v>
      </c>
      <c r="C67" s="84" t="s">
        <v>2</v>
      </c>
      <c r="D67" s="135">
        <v>3900</v>
      </c>
      <c r="E67" s="107"/>
    </row>
    <row r="68" spans="1:252" s="85" customFormat="1" ht="14.4" customHeight="1" x14ac:dyDescent="0.3">
      <c r="A68" s="99"/>
      <c r="B68" s="163" t="s">
        <v>54</v>
      </c>
      <c r="C68" s="164" t="s">
        <v>2</v>
      </c>
      <c r="D68" s="134">
        <v>1600</v>
      </c>
      <c r="E68" s="106"/>
    </row>
    <row r="69" spans="1:252" s="85" customFormat="1" ht="14.4" customHeight="1" x14ac:dyDescent="0.3">
      <c r="A69" s="99"/>
      <c r="B69" s="165" t="s">
        <v>55</v>
      </c>
      <c r="C69" s="101" t="s">
        <v>4</v>
      </c>
      <c r="D69" s="134">
        <v>1420</v>
      </c>
      <c r="E69" s="108"/>
    </row>
    <row r="70" spans="1:252" s="87" customFormat="1" ht="14.4" customHeight="1" x14ac:dyDescent="0.3">
      <c r="A70" s="22" t="s">
        <v>145</v>
      </c>
      <c r="B70" s="166" t="s">
        <v>199</v>
      </c>
      <c r="C70" s="84" t="s">
        <v>2</v>
      </c>
      <c r="D70" s="135">
        <v>2700</v>
      </c>
      <c r="E70" s="107"/>
    </row>
    <row r="71" spans="1:252" s="85" customFormat="1" ht="14.4" customHeight="1" x14ac:dyDescent="0.3">
      <c r="A71" s="99"/>
      <c r="B71" s="165" t="s">
        <v>25</v>
      </c>
      <c r="C71" s="101" t="s">
        <v>2</v>
      </c>
      <c r="D71" s="134">
        <v>4730</v>
      </c>
      <c r="E71" s="106"/>
    </row>
    <row r="72" spans="1:252" s="85" customFormat="1" ht="27" customHeight="1" x14ac:dyDescent="0.3">
      <c r="A72" s="99" t="s">
        <v>146</v>
      </c>
      <c r="B72" s="167" t="s">
        <v>18</v>
      </c>
      <c r="C72" s="91" t="s">
        <v>2</v>
      </c>
      <c r="D72" s="136">
        <v>3400</v>
      </c>
      <c r="E72" s="106"/>
    </row>
    <row r="73" spans="1:252" s="85" customFormat="1" ht="14.4" customHeight="1" x14ac:dyDescent="0.3">
      <c r="A73" s="99"/>
      <c r="B73" s="165" t="s">
        <v>104</v>
      </c>
      <c r="C73" s="101" t="s">
        <v>2</v>
      </c>
      <c r="D73" s="134">
        <v>3850</v>
      </c>
      <c r="E73" s="106"/>
    </row>
    <row r="74" spans="1:252" s="85" customFormat="1" ht="14.4" customHeight="1" x14ac:dyDescent="0.3">
      <c r="A74" s="99"/>
      <c r="B74" s="165" t="s">
        <v>192</v>
      </c>
      <c r="C74" s="101" t="s">
        <v>0</v>
      </c>
      <c r="D74" s="134">
        <v>5700</v>
      </c>
      <c r="E74" s="106"/>
    </row>
    <row r="75" spans="1:252" s="85" customFormat="1" ht="27.6" customHeight="1" x14ac:dyDescent="0.3">
      <c r="A75" s="99" t="s">
        <v>147</v>
      </c>
      <c r="B75" s="167" t="s">
        <v>27</v>
      </c>
      <c r="C75" s="91" t="s">
        <v>2</v>
      </c>
      <c r="D75" s="136">
        <v>3700</v>
      </c>
      <c r="E75" s="106"/>
    </row>
    <row r="76" spans="1:252" s="85" customFormat="1" ht="27.6" customHeight="1" x14ac:dyDescent="0.3">
      <c r="A76" s="99" t="s">
        <v>148</v>
      </c>
      <c r="B76" s="83" t="s">
        <v>28</v>
      </c>
      <c r="C76" s="91" t="s">
        <v>19</v>
      </c>
      <c r="D76" s="136">
        <v>1400</v>
      </c>
      <c r="E76" s="109"/>
    </row>
    <row r="77" spans="1:252" s="85" customFormat="1" ht="27.6" customHeight="1" x14ac:dyDescent="0.3">
      <c r="A77" s="99" t="s">
        <v>149</v>
      </c>
      <c r="B77" s="83" t="s">
        <v>30</v>
      </c>
      <c r="C77" s="91" t="s">
        <v>19</v>
      </c>
      <c r="D77" s="136">
        <v>1900</v>
      </c>
      <c r="E77" s="109"/>
    </row>
    <row r="78" spans="1:252" s="85" customFormat="1" ht="14.4" customHeight="1" x14ac:dyDescent="0.3">
      <c r="A78" s="99"/>
      <c r="B78" s="89" t="s">
        <v>29</v>
      </c>
      <c r="C78" s="90" t="s">
        <v>2</v>
      </c>
      <c r="D78" s="134">
        <v>4620</v>
      </c>
      <c r="E78" s="106"/>
    </row>
    <row r="79" spans="1:252" s="85" customFormat="1" ht="14.4" customHeight="1" x14ac:dyDescent="0.3">
      <c r="A79" s="22"/>
      <c r="B79" s="92" t="s">
        <v>184</v>
      </c>
      <c r="C79" s="90" t="s">
        <v>4</v>
      </c>
      <c r="D79" s="137">
        <v>510</v>
      </c>
      <c r="E79" s="110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3"/>
      <c r="AO79" s="93"/>
      <c r="AP79" s="93"/>
      <c r="AQ79" s="93"/>
      <c r="AR79" s="93"/>
      <c r="AS79" s="93"/>
      <c r="AT79" s="93"/>
      <c r="AU79" s="93"/>
      <c r="AV79" s="93"/>
      <c r="AW79" s="93"/>
      <c r="AX79" s="93"/>
      <c r="AY79" s="93"/>
      <c r="AZ79" s="93"/>
      <c r="BA79" s="93"/>
      <c r="BB79" s="93"/>
      <c r="BC79" s="93"/>
      <c r="BD79" s="93"/>
      <c r="BE79" s="93"/>
      <c r="BF79" s="93"/>
      <c r="BG79" s="93"/>
      <c r="BH79" s="93"/>
      <c r="BI79" s="93"/>
      <c r="BJ79" s="93"/>
      <c r="BK79" s="93"/>
      <c r="BL79" s="93"/>
      <c r="BM79" s="93"/>
      <c r="BN79" s="93"/>
      <c r="BO79" s="93"/>
      <c r="BP79" s="93"/>
      <c r="BQ79" s="93"/>
      <c r="BR79" s="93"/>
      <c r="BS79" s="93"/>
      <c r="BT79" s="93"/>
      <c r="BU79" s="93"/>
      <c r="BV79" s="93"/>
      <c r="BW79" s="93"/>
      <c r="BX79" s="93"/>
      <c r="BY79" s="93"/>
      <c r="BZ79" s="93"/>
      <c r="CA79" s="93"/>
      <c r="CB79" s="93"/>
      <c r="CC79" s="93"/>
      <c r="CD79" s="93"/>
      <c r="CE79" s="93"/>
      <c r="CF79" s="93"/>
      <c r="CG79" s="93"/>
      <c r="CH79" s="93"/>
      <c r="CI79" s="93"/>
      <c r="CJ79" s="93"/>
      <c r="CK79" s="93"/>
      <c r="CL79" s="93"/>
      <c r="CM79" s="93"/>
      <c r="CN79" s="93"/>
      <c r="CO79" s="93"/>
      <c r="CP79" s="93"/>
      <c r="CQ79" s="93"/>
      <c r="CR79" s="93"/>
      <c r="CS79" s="93"/>
      <c r="CT79" s="93"/>
      <c r="CU79" s="93"/>
      <c r="CV79" s="93"/>
      <c r="CW79" s="93"/>
      <c r="CX79" s="93"/>
      <c r="CY79" s="93"/>
      <c r="CZ79" s="93"/>
      <c r="DA79" s="93"/>
      <c r="DB79" s="93"/>
      <c r="DC79" s="93"/>
      <c r="DD79" s="93"/>
      <c r="DE79" s="93"/>
      <c r="DF79" s="93"/>
      <c r="DG79" s="93"/>
      <c r="DH79" s="93"/>
      <c r="DI79" s="93"/>
      <c r="DJ79" s="93"/>
      <c r="DK79" s="93"/>
      <c r="DL79" s="93"/>
      <c r="DM79" s="93"/>
      <c r="DN79" s="93"/>
      <c r="DO79" s="93"/>
      <c r="DP79" s="93"/>
      <c r="DQ79" s="93"/>
      <c r="DR79" s="93"/>
      <c r="DS79" s="93"/>
      <c r="DT79" s="93"/>
      <c r="DU79" s="93"/>
      <c r="DV79" s="93"/>
      <c r="DW79" s="93"/>
      <c r="DX79" s="93"/>
      <c r="DY79" s="93"/>
      <c r="DZ79" s="93"/>
      <c r="EA79" s="93"/>
      <c r="EB79" s="93"/>
      <c r="EC79" s="93"/>
      <c r="ED79" s="93"/>
      <c r="EE79" s="93"/>
      <c r="EF79" s="93"/>
      <c r="EG79" s="93"/>
      <c r="EH79" s="93"/>
      <c r="EI79" s="93"/>
      <c r="EJ79" s="93"/>
      <c r="EK79" s="93"/>
      <c r="EL79" s="93"/>
      <c r="EM79" s="93"/>
      <c r="EN79" s="93"/>
      <c r="EO79" s="93"/>
      <c r="EP79" s="93"/>
      <c r="EQ79" s="93"/>
      <c r="ER79" s="93"/>
      <c r="ES79" s="93"/>
      <c r="ET79" s="93"/>
      <c r="EU79" s="93"/>
      <c r="EV79" s="93"/>
      <c r="EW79" s="93"/>
      <c r="EX79" s="93"/>
      <c r="EY79" s="93"/>
      <c r="EZ79" s="93"/>
      <c r="FA79" s="93"/>
      <c r="FB79" s="93"/>
      <c r="FC79" s="93"/>
      <c r="FD79" s="93"/>
      <c r="FE79" s="93"/>
      <c r="FF79" s="93"/>
      <c r="FG79" s="93"/>
      <c r="FH79" s="93"/>
      <c r="FI79" s="93"/>
      <c r="FJ79" s="93"/>
      <c r="FK79" s="93"/>
      <c r="FL79" s="93"/>
      <c r="FM79" s="93"/>
      <c r="FN79" s="93"/>
      <c r="FO79" s="93"/>
      <c r="FP79" s="93"/>
      <c r="FQ79" s="93"/>
      <c r="FR79" s="93"/>
      <c r="FS79" s="93"/>
      <c r="FT79" s="93"/>
      <c r="FU79" s="93"/>
      <c r="FV79" s="93"/>
      <c r="FW79" s="93"/>
      <c r="FX79" s="93"/>
      <c r="FY79" s="93"/>
      <c r="FZ79" s="93"/>
      <c r="GA79" s="93"/>
      <c r="GB79" s="93"/>
      <c r="GC79" s="93"/>
      <c r="GD79" s="93"/>
      <c r="GE79" s="93"/>
      <c r="GF79" s="93"/>
      <c r="GG79" s="93"/>
      <c r="GH79" s="93"/>
      <c r="GI79" s="93"/>
      <c r="GJ79" s="93"/>
      <c r="GK79" s="93"/>
      <c r="GL79" s="93"/>
      <c r="GM79" s="93"/>
      <c r="GN79" s="93"/>
      <c r="GO79" s="93"/>
      <c r="GP79" s="93"/>
      <c r="GQ79" s="93"/>
      <c r="GR79" s="93"/>
      <c r="GS79" s="93"/>
      <c r="GT79" s="93"/>
      <c r="GU79" s="93"/>
      <c r="GV79" s="93"/>
      <c r="GW79" s="93"/>
      <c r="GX79" s="93"/>
      <c r="GY79" s="93"/>
      <c r="GZ79" s="93"/>
      <c r="HA79" s="93"/>
      <c r="HB79" s="93"/>
      <c r="HC79" s="93"/>
      <c r="HD79" s="93"/>
      <c r="HE79" s="93"/>
      <c r="HF79" s="93"/>
      <c r="HG79" s="93"/>
      <c r="HH79" s="93"/>
      <c r="HI79" s="93"/>
      <c r="HJ79" s="93"/>
      <c r="HK79" s="93"/>
      <c r="HL79" s="93"/>
      <c r="HM79" s="93"/>
      <c r="HN79" s="93"/>
      <c r="HO79" s="93"/>
      <c r="HP79" s="93"/>
      <c r="HQ79" s="93"/>
      <c r="HR79" s="93"/>
      <c r="HS79" s="93"/>
      <c r="HT79" s="93"/>
      <c r="HU79" s="93"/>
      <c r="HV79" s="93"/>
      <c r="HW79" s="93"/>
      <c r="HX79" s="93"/>
      <c r="HY79" s="93"/>
      <c r="HZ79" s="93"/>
      <c r="IA79" s="93"/>
      <c r="IB79" s="93"/>
      <c r="IC79" s="93"/>
      <c r="ID79" s="93"/>
      <c r="IE79" s="93"/>
      <c r="IF79" s="93"/>
      <c r="IG79" s="93"/>
      <c r="IH79" s="93"/>
      <c r="II79" s="93"/>
      <c r="IJ79" s="93"/>
      <c r="IK79" s="93"/>
      <c r="IL79" s="93"/>
      <c r="IM79" s="93"/>
      <c r="IN79" s="93"/>
      <c r="IO79" s="93"/>
      <c r="IP79" s="93"/>
      <c r="IQ79" s="93"/>
      <c r="IR79" s="93"/>
    </row>
    <row r="80" spans="1:252" s="85" customFormat="1" ht="14.4" customHeight="1" x14ac:dyDescent="0.3">
      <c r="A80" s="99" t="s">
        <v>150</v>
      </c>
      <c r="B80" s="89" t="s">
        <v>194</v>
      </c>
      <c r="C80" s="91" t="s">
        <v>2</v>
      </c>
      <c r="D80" s="136">
        <v>150</v>
      </c>
      <c r="E80" s="106"/>
    </row>
    <row r="81" spans="1:252" s="85" customFormat="1" ht="14.4" customHeight="1" x14ac:dyDescent="0.3">
      <c r="A81" s="22"/>
      <c r="B81" s="92" t="s">
        <v>103</v>
      </c>
      <c r="C81" s="90" t="s">
        <v>3</v>
      </c>
      <c r="D81" s="137">
        <v>1900</v>
      </c>
      <c r="E81" s="110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N81" s="93"/>
      <c r="AO81" s="93"/>
      <c r="AP81" s="93"/>
      <c r="AQ81" s="93"/>
      <c r="AR81" s="93"/>
      <c r="AS81" s="93"/>
      <c r="AT81" s="93"/>
      <c r="AU81" s="93"/>
      <c r="AV81" s="93"/>
      <c r="AW81" s="93"/>
      <c r="AX81" s="93"/>
      <c r="AY81" s="93"/>
      <c r="AZ81" s="93"/>
      <c r="BA81" s="93"/>
      <c r="BB81" s="93"/>
      <c r="BC81" s="93"/>
      <c r="BD81" s="93"/>
      <c r="BE81" s="93"/>
      <c r="BF81" s="93"/>
      <c r="BG81" s="93"/>
      <c r="BH81" s="93"/>
      <c r="BI81" s="93"/>
      <c r="BJ81" s="93"/>
      <c r="BK81" s="93"/>
      <c r="BL81" s="93"/>
      <c r="BM81" s="93"/>
      <c r="BN81" s="93"/>
      <c r="BO81" s="93"/>
      <c r="BP81" s="93"/>
      <c r="BQ81" s="93"/>
      <c r="BR81" s="93"/>
      <c r="BS81" s="93"/>
      <c r="BT81" s="93"/>
      <c r="BU81" s="93"/>
      <c r="BV81" s="93"/>
      <c r="BW81" s="93"/>
      <c r="BX81" s="93"/>
      <c r="BY81" s="93"/>
      <c r="BZ81" s="93"/>
      <c r="CA81" s="93"/>
      <c r="CB81" s="93"/>
      <c r="CC81" s="93"/>
      <c r="CD81" s="93"/>
      <c r="CE81" s="93"/>
      <c r="CF81" s="93"/>
      <c r="CG81" s="93"/>
      <c r="CH81" s="93"/>
      <c r="CI81" s="93"/>
      <c r="CJ81" s="93"/>
      <c r="CK81" s="93"/>
      <c r="CL81" s="93"/>
      <c r="CM81" s="93"/>
      <c r="CN81" s="93"/>
      <c r="CO81" s="93"/>
      <c r="CP81" s="93"/>
      <c r="CQ81" s="93"/>
      <c r="CR81" s="93"/>
      <c r="CS81" s="93"/>
      <c r="CT81" s="93"/>
      <c r="CU81" s="93"/>
      <c r="CV81" s="93"/>
      <c r="CW81" s="93"/>
      <c r="CX81" s="93"/>
      <c r="CY81" s="93"/>
      <c r="CZ81" s="93"/>
      <c r="DA81" s="93"/>
      <c r="DB81" s="93"/>
      <c r="DC81" s="93"/>
      <c r="DD81" s="93"/>
      <c r="DE81" s="93"/>
      <c r="DF81" s="93"/>
      <c r="DG81" s="93"/>
      <c r="DH81" s="93"/>
      <c r="DI81" s="93"/>
      <c r="DJ81" s="93"/>
      <c r="DK81" s="93"/>
      <c r="DL81" s="93"/>
      <c r="DM81" s="93"/>
      <c r="DN81" s="93"/>
      <c r="DO81" s="93"/>
      <c r="DP81" s="93"/>
      <c r="DQ81" s="93"/>
      <c r="DR81" s="93"/>
      <c r="DS81" s="93"/>
      <c r="DT81" s="93"/>
      <c r="DU81" s="93"/>
      <c r="DV81" s="93"/>
      <c r="DW81" s="93"/>
      <c r="DX81" s="93"/>
      <c r="DY81" s="93"/>
      <c r="DZ81" s="93"/>
      <c r="EA81" s="93"/>
      <c r="EB81" s="93"/>
      <c r="EC81" s="93"/>
      <c r="ED81" s="93"/>
      <c r="EE81" s="93"/>
      <c r="EF81" s="93"/>
      <c r="EG81" s="93"/>
      <c r="EH81" s="93"/>
      <c r="EI81" s="93"/>
      <c r="EJ81" s="93"/>
      <c r="EK81" s="93"/>
      <c r="EL81" s="93"/>
      <c r="EM81" s="93"/>
      <c r="EN81" s="93"/>
      <c r="EO81" s="93"/>
      <c r="EP81" s="93"/>
      <c r="EQ81" s="93"/>
      <c r="ER81" s="93"/>
      <c r="ES81" s="93"/>
      <c r="ET81" s="93"/>
      <c r="EU81" s="93"/>
      <c r="EV81" s="93"/>
      <c r="EW81" s="93"/>
      <c r="EX81" s="93"/>
      <c r="EY81" s="93"/>
      <c r="EZ81" s="93"/>
      <c r="FA81" s="93"/>
      <c r="FB81" s="93"/>
      <c r="FC81" s="93"/>
      <c r="FD81" s="93"/>
      <c r="FE81" s="93"/>
      <c r="FF81" s="93"/>
      <c r="FG81" s="93"/>
      <c r="FH81" s="93"/>
      <c r="FI81" s="93"/>
      <c r="FJ81" s="93"/>
      <c r="FK81" s="93"/>
      <c r="FL81" s="93"/>
      <c r="FM81" s="93"/>
      <c r="FN81" s="93"/>
      <c r="FO81" s="93"/>
      <c r="FP81" s="93"/>
      <c r="FQ81" s="93"/>
      <c r="FR81" s="93"/>
      <c r="FS81" s="93"/>
      <c r="FT81" s="93"/>
      <c r="FU81" s="93"/>
      <c r="FV81" s="93"/>
      <c r="FW81" s="93"/>
      <c r="FX81" s="93"/>
      <c r="FY81" s="93"/>
      <c r="FZ81" s="93"/>
      <c r="GA81" s="93"/>
      <c r="GB81" s="93"/>
      <c r="GC81" s="93"/>
      <c r="GD81" s="93"/>
      <c r="GE81" s="93"/>
      <c r="GF81" s="93"/>
      <c r="GG81" s="93"/>
      <c r="GH81" s="93"/>
      <c r="GI81" s="93"/>
      <c r="GJ81" s="93"/>
      <c r="GK81" s="93"/>
      <c r="GL81" s="93"/>
      <c r="GM81" s="93"/>
      <c r="GN81" s="93"/>
      <c r="GO81" s="93"/>
      <c r="GP81" s="93"/>
      <c r="GQ81" s="93"/>
      <c r="GR81" s="93"/>
      <c r="GS81" s="93"/>
      <c r="GT81" s="93"/>
      <c r="GU81" s="93"/>
      <c r="GV81" s="93"/>
      <c r="GW81" s="93"/>
      <c r="GX81" s="93"/>
      <c r="GY81" s="93"/>
      <c r="GZ81" s="93"/>
      <c r="HA81" s="93"/>
      <c r="HB81" s="93"/>
      <c r="HC81" s="93"/>
      <c r="HD81" s="93"/>
      <c r="HE81" s="93"/>
      <c r="HF81" s="93"/>
      <c r="HG81" s="93"/>
      <c r="HH81" s="93"/>
      <c r="HI81" s="93"/>
      <c r="HJ81" s="93"/>
      <c r="HK81" s="93"/>
      <c r="HL81" s="93"/>
      <c r="HM81" s="93"/>
      <c r="HN81" s="93"/>
      <c r="HO81" s="93"/>
      <c r="HP81" s="93"/>
      <c r="HQ81" s="93"/>
      <c r="HR81" s="93"/>
      <c r="HS81" s="93"/>
      <c r="HT81" s="93"/>
      <c r="HU81" s="93"/>
      <c r="HV81" s="93"/>
      <c r="HW81" s="93"/>
      <c r="HX81" s="93"/>
      <c r="HY81" s="93"/>
      <c r="HZ81" s="93"/>
      <c r="IA81" s="93"/>
      <c r="IB81" s="93"/>
      <c r="IC81" s="93"/>
      <c r="ID81" s="93"/>
      <c r="IE81" s="93"/>
      <c r="IF81" s="93"/>
      <c r="IG81" s="93"/>
      <c r="IH81" s="93"/>
      <c r="II81" s="93"/>
      <c r="IJ81" s="93"/>
      <c r="IK81" s="93"/>
      <c r="IL81" s="93"/>
      <c r="IM81" s="93"/>
      <c r="IN81" s="93"/>
      <c r="IO81" s="93"/>
      <c r="IP81" s="93"/>
      <c r="IQ81" s="93"/>
      <c r="IR81" s="93"/>
    </row>
    <row r="82" spans="1:252" s="85" customFormat="1" ht="13.8" x14ac:dyDescent="0.3">
      <c r="A82" s="99" t="s">
        <v>151</v>
      </c>
      <c r="B82" s="83" t="s">
        <v>152</v>
      </c>
      <c r="C82" s="91" t="s">
        <v>2</v>
      </c>
      <c r="D82" s="136">
        <v>6500</v>
      </c>
      <c r="E82" s="106"/>
    </row>
    <row r="83" spans="1:252" s="85" customFormat="1" ht="13.8" x14ac:dyDescent="0.3">
      <c r="A83" s="99"/>
      <c r="B83" s="94" t="s">
        <v>189</v>
      </c>
      <c r="C83" s="22" t="s">
        <v>1</v>
      </c>
      <c r="D83" s="138">
        <v>480</v>
      </c>
      <c r="E83" s="105"/>
    </row>
    <row r="84" spans="1:252" s="85" customFormat="1" ht="13.8" x14ac:dyDescent="0.3">
      <c r="A84" s="99"/>
      <c r="B84" s="94" t="s">
        <v>98</v>
      </c>
      <c r="C84" s="22" t="s">
        <v>99</v>
      </c>
      <c r="D84" s="138">
        <v>1470</v>
      </c>
      <c r="E84" s="106"/>
    </row>
    <row r="85" spans="1:252" s="85" customFormat="1" ht="27.6" x14ac:dyDescent="0.3">
      <c r="A85" s="99"/>
      <c r="B85" s="94" t="s">
        <v>97</v>
      </c>
      <c r="C85" s="22" t="s">
        <v>0</v>
      </c>
      <c r="D85" s="138">
        <v>1465</v>
      </c>
      <c r="E85" s="106"/>
    </row>
    <row r="86" spans="1:252" s="85" customFormat="1" ht="27.6" customHeight="1" x14ac:dyDescent="0.3">
      <c r="A86" s="99" t="s">
        <v>154</v>
      </c>
      <c r="B86" s="83" t="s">
        <v>20</v>
      </c>
      <c r="C86" s="91" t="s">
        <v>2</v>
      </c>
      <c r="D86" s="136">
        <v>2550</v>
      </c>
      <c r="E86" s="106"/>
    </row>
    <row r="87" spans="1:252" s="93" customFormat="1" ht="43.8" customHeight="1" x14ac:dyDescent="0.3">
      <c r="A87" s="99"/>
      <c r="B87" s="89" t="s">
        <v>191</v>
      </c>
      <c r="C87" s="90" t="s">
        <v>2</v>
      </c>
      <c r="D87" s="136">
        <v>2200</v>
      </c>
      <c r="E87" s="106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85"/>
      <c r="AV87" s="85"/>
      <c r="AW87" s="85"/>
      <c r="AX87" s="85"/>
      <c r="AY87" s="85"/>
      <c r="AZ87" s="85"/>
      <c r="BA87" s="85"/>
      <c r="BB87" s="85"/>
      <c r="BC87" s="85"/>
      <c r="BD87" s="85"/>
      <c r="BE87" s="85"/>
      <c r="BF87" s="85"/>
      <c r="BG87" s="85"/>
      <c r="BH87" s="85"/>
      <c r="BI87" s="85"/>
      <c r="BJ87" s="85"/>
      <c r="BK87" s="85"/>
      <c r="BL87" s="85"/>
      <c r="BM87" s="85"/>
      <c r="BN87" s="85"/>
      <c r="BO87" s="85"/>
      <c r="BP87" s="85"/>
      <c r="BQ87" s="85"/>
      <c r="BR87" s="85"/>
      <c r="BS87" s="85"/>
      <c r="BT87" s="85"/>
      <c r="BU87" s="85"/>
      <c r="BV87" s="85"/>
      <c r="BW87" s="85"/>
      <c r="BX87" s="85"/>
      <c r="BY87" s="85"/>
      <c r="BZ87" s="85"/>
      <c r="CA87" s="85"/>
      <c r="CB87" s="85"/>
      <c r="CC87" s="85"/>
      <c r="CD87" s="85"/>
      <c r="CE87" s="85"/>
      <c r="CF87" s="85"/>
      <c r="CG87" s="85"/>
      <c r="CH87" s="85"/>
      <c r="CI87" s="85"/>
      <c r="CJ87" s="85"/>
      <c r="CK87" s="85"/>
      <c r="CL87" s="85"/>
      <c r="CM87" s="85"/>
      <c r="CN87" s="85"/>
      <c r="CO87" s="85"/>
      <c r="CP87" s="85"/>
      <c r="CQ87" s="85"/>
      <c r="CR87" s="85"/>
      <c r="CS87" s="85"/>
      <c r="CT87" s="85"/>
      <c r="CU87" s="85"/>
      <c r="CV87" s="85"/>
      <c r="CW87" s="85"/>
      <c r="CX87" s="85"/>
      <c r="CY87" s="85"/>
      <c r="CZ87" s="85"/>
      <c r="DA87" s="85"/>
      <c r="DB87" s="85"/>
      <c r="DC87" s="85"/>
      <c r="DD87" s="85"/>
      <c r="DE87" s="85"/>
      <c r="DF87" s="85"/>
      <c r="DG87" s="85"/>
      <c r="DH87" s="85"/>
      <c r="DI87" s="85"/>
      <c r="DJ87" s="85"/>
      <c r="DK87" s="85"/>
      <c r="DL87" s="85"/>
      <c r="DM87" s="85"/>
      <c r="DN87" s="85"/>
      <c r="DO87" s="85"/>
      <c r="DP87" s="85"/>
      <c r="DQ87" s="85"/>
      <c r="DR87" s="85"/>
      <c r="DS87" s="85"/>
      <c r="DT87" s="85"/>
      <c r="DU87" s="85"/>
      <c r="DV87" s="85"/>
      <c r="DW87" s="85"/>
      <c r="DX87" s="85"/>
      <c r="DY87" s="85"/>
      <c r="DZ87" s="85"/>
      <c r="EA87" s="85"/>
      <c r="EB87" s="85"/>
      <c r="EC87" s="85"/>
      <c r="ED87" s="85"/>
      <c r="EE87" s="85"/>
      <c r="EF87" s="85"/>
      <c r="EG87" s="85"/>
      <c r="EH87" s="85"/>
      <c r="EI87" s="85"/>
      <c r="EJ87" s="85"/>
      <c r="EK87" s="85"/>
      <c r="EL87" s="85"/>
      <c r="EM87" s="85"/>
      <c r="EN87" s="85"/>
      <c r="EO87" s="85"/>
      <c r="EP87" s="85"/>
      <c r="EQ87" s="85"/>
      <c r="ER87" s="85"/>
      <c r="ES87" s="85"/>
      <c r="ET87" s="85"/>
      <c r="EU87" s="85"/>
      <c r="EV87" s="85"/>
      <c r="EW87" s="85"/>
      <c r="EX87" s="85"/>
      <c r="EY87" s="85"/>
      <c r="EZ87" s="85"/>
      <c r="FA87" s="85"/>
      <c r="FB87" s="85"/>
      <c r="FC87" s="85"/>
      <c r="FD87" s="85"/>
      <c r="FE87" s="85"/>
      <c r="FF87" s="85"/>
      <c r="FG87" s="85"/>
      <c r="FH87" s="85"/>
      <c r="FI87" s="85"/>
      <c r="FJ87" s="85"/>
      <c r="FK87" s="85"/>
      <c r="FL87" s="85"/>
      <c r="FM87" s="85"/>
      <c r="FN87" s="85"/>
      <c r="FO87" s="85"/>
      <c r="FP87" s="85"/>
      <c r="FQ87" s="85"/>
      <c r="FR87" s="85"/>
      <c r="FS87" s="85"/>
      <c r="FT87" s="85"/>
      <c r="FU87" s="85"/>
      <c r="FV87" s="85"/>
      <c r="FW87" s="85"/>
      <c r="FX87" s="85"/>
      <c r="FY87" s="85"/>
      <c r="FZ87" s="85"/>
      <c r="GA87" s="85"/>
      <c r="GB87" s="85"/>
      <c r="GC87" s="85"/>
      <c r="GD87" s="85"/>
      <c r="GE87" s="85"/>
      <c r="GF87" s="85"/>
      <c r="GG87" s="85"/>
      <c r="GH87" s="85"/>
      <c r="GI87" s="85"/>
      <c r="GJ87" s="85"/>
      <c r="GK87" s="85"/>
      <c r="GL87" s="85"/>
      <c r="GM87" s="85"/>
      <c r="GN87" s="85"/>
      <c r="GO87" s="85"/>
      <c r="GP87" s="85"/>
      <c r="GQ87" s="85"/>
      <c r="GR87" s="85"/>
      <c r="GS87" s="85"/>
      <c r="GT87" s="85"/>
      <c r="GU87" s="85"/>
      <c r="GV87" s="85"/>
      <c r="GW87" s="85"/>
      <c r="GX87" s="85"/>
      <c r="GY87" s="85"/>
      <c r="GZ87" s="85"/>
      <c r="HA87" s="85"/>
      <c r="HB87" s="85"/>
      <c r="HC87" s="85"/>
      <c r="HD87" s="85"/>
      <c r="HE87" s="85"/>
      <c r="HF87" s="85"/>
      <c r="HG87" s="85"/>
      <c r="HH87" s="85"/>
      <c r="HI87" s="85"/>
      <c r="HJ87" s="85"/>
      <c r="HK87" s="85"/>
      <c r="HL87" s="85"/>
      <c r="HM87" s="85"/>
      <c r="HN87" s="85"/>
      <c r="HO87" s="85"/>
      <c r="HP87" s="85"/>
      <c r="HQ87" s="85"/>
      <c r="HR87" s="85"/>
      <c r="HS87" s="85"/>
      <c r="HT87" s="85"/>
      <c r="HU87" s="85"/>
      <c r="HV87" s="85"/>
      <c r="HW87" s="85"/>
      <c r="HX87" s="85"/>
      <c r="HY87" s="85"/>
      <c r="HZ87" s="85"/>
      <c r="IA87" s="85"/>
      <c r="IB87" s="85"/>
      <c r="IC87" s="85"/>
      <c r="ID87" s="85"/>
      <c r="IE87" s="85"/>
      <c r="IF87" s="85"/>
      <c r="IG87" s="85"/>
      <c r="IH87" s="85"/>
      <c r="II87" s="85"/>
      <c r="IJ87" s="85"/>
      <c r="IK87" s="85"/>
      <c r="IL87" s="85"/>
      <c r="IM87" s="85"/>
      <c r="IN87" s="85"/>
      <c r="IO87" s="85"/>
      <c r="IP87" s="85"/>
      <c r="IQ87" s="85"/>
      <c r="IR87" s="85"/>
    </row>
    <row r="88" spans="1:252" s="93" customFormat="1" ht="14.4" customHeight="1" x14ac:dyDescent="0.3">
      <c r="A88" s="99" t="s">
        <v>153</v>
      </c>
      <c r="B88" s="83" t="s">
        <v>21</v>
      </c>
      <c r="C88" s="91" t="s">
        <v>2</v>
      </c>
      <c r="D88" s="139">
        <v>900</v>
      </c>
      <c r="E88" s="106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85"/>
      <c r="AV88" s="85"/>
      <c r="AW88" s="85"/>
      <c r="AX88" s="85"/>
      <c r="AY88" s="85"/>
      <c r="AZ88" s="85"/>
      <c r="BA88" s="85"/>
      <c r="BB88" s="85"/>
      <c r="BC88" s="85"/>
      <c r="BD88" s="85"/>
      <c r="BE88" s="85"/>
      <c r="BF88" s="85"/>
      <c r="BG88" s="85"/>
      <c r="BH88" s="85"/>
      <c r="BI88" s="85"/>
      <c r="BJ88" s="85"/>
      <c r="BK88" s="85"/>
      <c r="BL88" s="85"/>
      <c r="BM88" s="85"/>
      <c r="BN88" s="85"/>
      <c r="BO88" s="85"/>
      <c r="BP88" s="85"/>
      <c r="BQ88" s="85"/>
      <c r="BR88" s="85"/>
      <c r="BS88" s="85"/>
      <c r="BT88" s="85"/>
      <c r="BU88" s="85"/>
      <c r="BV88" s="85"/>
      <c r="BW88" s="85"/>
      <c r="BX88" s="85"/>
      <c r="BY88" s="85"/>
      <c r="BZ88" s="85"/>
      <c r="CA88" s="85"/>
      <c r="CB88" s="85"/>
      <c r="CC88" s="85"/>
      <c r="CD88" s="85"/>
      <c r="CE88" s="85"/>
      <c r="CF88" s="85"/>
      <c r="CG88" s="85"/>
      <c r="CH88" s="85"/>
      <c r="CI88" s="85"/>
      <c r="CJ88" s="85"/>
      <c r="CK88" s="85"/>
      <c r="CL88" s="85"/>
      <c r="CM88" s="85"/>
      <c r="CN88" s="85"/>
      <c r="CO88" s="85"/>
      <c r="CP88" s="85"/>
      <c r="CQ88" s="85"/>
      <c r="CR88" s="85"/>
      <c r="CS88" s="85"/>
      <c r="CT88" s="85"/>
      <c r="CU88" s="85"/>
      <c r="CV88" s="85"/>
      <c r="CW88" s="85"/>
      <c r="CX88" s="85"/>
      <c r="CY88" s="85"/>
      <c r="CZ88" s="85"/>
      <c r="DA88" s="85"/>
      <c r="DB88" s="85"/>
      <c r="DC88" s="85"/>
      <c r="DD88" s="85"/>
      <c r="DE88" s="85"/>
      <c r="DF88" s="85"/>
      <c r="DG88" s="85"/>
      <c r="DH88" s="85"/>
      <c r="DI88" s="85"/>
      <c r="DJ88" s="85"/>
      <c r="DK88" s="85"/>
      <c r="DL88" s="85"/>
      <c r="DM88" s="85"/>
      <c r="DN88" s="85"/>
      <c r="DO88" s="85"/>
      <c r="DP88" s="85"/>
      <c r="DQ88" s="85"/>
      <c r="DR88" s="85"/>
      <c r="DS88" s="85"/>
      <c r="DT88" s="85"/>
      <c r="DU88" s="85"/>
      <c r="DV88" s="85"/>
      <c r="DW88" s="85"/>
      <c r="DX88" s="85"/>
      <c r="DY88" s="85"/>
      <c r="DZ88" s="85"/>
      <c r="EA88" s="85"/>
      <c r="EB88" s="85"/>
      <c r="EC88" s="85"/>
      <c r="ED88" s="85"/>
      <c r="EE88" s="85"/>
      <c r="EF88" s="85"/>
      <c r="EG88" s="85"/>
      <c r="EH88" s="85"/>
      <c r="EI88" s="85"/>
      <c r="EJ88" s="85"/>
      <c r="EK88" s="85"/>
      <c r="EL88" s="85"/>
      <c r="EM88" s="85"/>
      <c r="EN88" s="85"/>
      <c r="EO88" s="85"/>
      <c r="EP88" s="85"/>
      <c r="EQ88" s="85"/>
      <c r="ER88" s="85"/>
      <c r="ES88" s="85"/>
      <c r="ET88" s="85"/>
      <c r="EU88" s="85"/>
      <c r="EV88" s="85"/>
      <c r="EW88" s="85"/>
      <c r="EX88" s="85"/>
      <c r="EY88" s="85"/>
      <c r="EZ88" s="85"/>
      <c r="FA88" s="85"/>
      <c r="FB88" s="85"/>
      <c r="FC88" s="85"/>
      <c r="FD88" s="85"/>
      <c r="FE88" s="85"/>
      <c r="FF88" s="85"/>
      <c r="FG88" s="85"/>
      <c r="FH88" s="85"/>
      <c r="FI88" s="85"/>
      <c r="FJ88" s="85"/>
      <c r="FK88" s="85"/>
      <c r="FL88" s="85"/>
      <c r="FM88" s="85"/>
      <c r="FN88" s="85"/>
      <c r="FO88" s="85"/>
      <c r="FP88" s="85"/>
      <c r="FQ88" s="85"/>
      <c r="FR88" s="85"/>
      <c r="FS88" s="85"/>
      <c r="FT88" s="85"/>
      <c r="FU88" s="85"/>
      <c r="FV88" s="85"/>
      <c r="FW88" s="85"/>
      <c r="FX88" s="85"/>
      <c r="FY88" s="85"/>
      <c r="FZ88" s="85"/>
      <c r="GA88" s="85"/>
      <c r="GB88" s="85"/>
      <c r="GC88" s="85"/>
      <c r="GD88" s="85"/>
      <c r="GE88" s="85"/>
      <c r="GF88" s="85"/>
      <c r="GG88" s="85"/>
      <c r="GH88" s="85"/>
      <c r="GI88" s="85"/>
      <c r="GJ88" s="85"/>
      <c r="GK88" s="85"/>
      <c r="GL88" s="85"/>
      <c r="GM88" s="85"/>
      <c r="GN88" s="85"/>
      <c r="GO88" s="85"/>
      <c r="GP88" s="85"/>
      <c r="GQ88" s="85"/>
      <c r="GR88" s="85"/>
      <c r="GS88" s="85"/>
      <c r="GT88" s="85"/>
      <c r="GU88" s="85"/>
      <c r="GV88" s="85"/>
      <c r="GW88" s="85"/>
      <c r="GX88" s="85"/>
      <c r="GY88" s="85"/>
      <c r="GZ88" s="85"/>
      <c r="HA88" s="85"/>
      <c r="HB88" s="85"/>
      <c r="HC88" s="85"/>
      <c r="HD88" s="85"/>
      <c r="HE88" s="85"/>
      <c r="HF88" s="85"/>
      <c r="HG88" s="85"/>
      <c r="HH88" s="85"/>
      <c r="HI88" s="85"/>
      <c r="HJ88" s="85"/>
      <c r="HK88" s="85"/>
      <c r="HL88" s="85"/>
      <c r="HM88" s="85"/>
      <c r="HN88" s="85"/>
      <c r="HO88" s="85"/>
      <c r="HP88" s="85"/>
      <c r="HQ88" s="85"/>
      <c r="HR88" s="85"/>
      <c r="HS88" s="85"/>
      <c r="HT88" s="85"/>
      <c r="HU88" s="85"/>
      <c r="HV88" s="85"/>
      <c r="HW88" s="85"/>
      <c r="HX88" s="85"/>
      <c r="HY88" s="85"/>
      <c r="HZ88" s="85"/>
      <c r="IA88" s="85"/>
      <c r="IB88" s="85"/>
      <c r="IC88" s="85"/>
      <c r="ID88" s="85"/>
      <c r="IE88" s="85"/>
      <c r="IF88" s="85"/>
      <c r="IG88" s="85"/>
      <c r="IH88" s="85"/>
      <c r="II88" s="85"/>
      <c r="IJ88" s="85"/>
      <c r="IK88" s="85"/>
      <c r="IL88" s="85"/>
      <c r="IM88" s="85"/>
      <c r="IN88" s="85"/>
      <c r="IO88" s="85"/>
      <c r="IP88" s="85"/>
      <c r="IQ88" s="85"/>
      <c r="IR88" s="85"/>
    </row>
    <row r="89" spans="1:252" s="85" customFormat="1" ht="14.4" customHeight="1" x14ac:dyDescent="0.3">
      <c r="A89" s="22"/>
      <c r="B89" s="89" t="s">
        <v>101</v>
      </c>
      <c r="C89" s="90" t="s">
        <v>100</v>
      </c>
      <c r="D89" s="140">
        <v>18700</v>
      </c>
      <c r="E89" s="110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3"/>
      <c r="AO89" s="93"/>
      <c r="AP89" s="93"/>
      <c r="AQ89" s="93"/>
      <c r="AR89" s="93"/>
      <c r="AS89" s="93"/>
      <c r="AT89" s="93"/>
      <c r="AU89" s="93"/>
      <c r="AV89" s="93"/>
      <c r="AW89" s="93"/>
      <c r="AX89" s="93"/>
      <c r="AY89" s="93"/>
      <c r="AZ89" s="93"/>
      <c r="BA89" s="93"/>
      <c r="BB89" s="93"/>
      <c r="BC89" s="93"/>
      <c r="BD89" s="93"/>
      <c r="BE89" s="93"/>
      <c r="BF89" s="93"/>
      <c r="BG89" s="93"/>
      <c r="BH89" s="93"/>
      <c r="BI89" s="93"/>
      <c r="BJ89" s="93"/>
      <c r="BK89" s="93"/>
      <c r="BL89" s="93"/>
      <c r="BM89" s="93"/>
      <c r="BN89" s="93"/>
      <c r="BO89" s="93"/>
      <c r="BP89" s="93"/>
      <c r="BQ89" s="93"/>
      <c r="BR89" s="93"/>
      <c r="BS89" s="93"/>
      <c r="BT89" s="93"/>
      <c r="BU89" s="93"/>
      <c r="BV89" s="93"/>
      <c r="BW89" s="93"/>
      <c r="BX89" s="93"/>
      <c r="BY89" s="93"/>
      <c r="BZ89" s="93"/>
      <c r="CA89" s="93"/>
      <c r="CB89" s="93"/>
      <c r="CC89" s="93"/>
      <c r="CD89" s="93"/>
      <c r="CE89" s="93"/>
      <c r="CF89" s="93"/>
      <c r="CG89" s="93"/>
      <c r="CH89" s="93"/>
      <c r="CI89" s="93"/>
      <c r="CJ89" s="93"/>
      <c r="CK89" s="93"/>
      <c r="CL89" s="93"/>
      <c r="CM89" s="93"/>
      <c r="CN89" s="93"/>
      <c r="CO89" s="93"/>
      <c r="CP89" s="93"/>
      <c r="CQ89" s="93"/>
      <c r="CR89" s="93"/>
      <c r="CS89" s="93"/>
      <c r="CT89" s="93"/>
      <c r="CU89" s="93"/>
      <c r="CV89" s="93"/>
      <c r="CW89" s="93"/>
      <c r="CX89" s="93"/>
      <c r="CY89" s="93"/>
      <c r="CZ89" s="93"/>
      <c r="DA89" s="93"/>
      <c r="DB89" s="93"/>
      <c r="DC89" s="93"/>
      <c r="DD89" s="93"/>
      <c r="DE89" s="93"/>
      <c r="DF89" s="93"/>
      <c r="DG89" s="93"/>
      <c r="DH89" s="93"/>
      <c r="DI89" s="93"/>
      <c r="DJ89" s="93"/>
      <c r="DK89" s="93"/>
      <c r="DL89" s="93"/>
      <c r="DM89" s="93"/>
      <c r="DN89" s="93"/>
      <c r="DO89" s="93"/>
      <c r="DP89" s="93"/>
      <c r="DQ89" s="93"/>
      <c r="DR89" s="93"/>
      <c r="DS89" s="93"/>
      <c r="DT89" s="93"/>
      <c r="DU89" s="93"/>
      <c r="DV89" s="93"/>
      <c r="DW89" s="93"/>
      <c r="DX89" s="93"/>
      <c r="DY89" s="93"/>
      <c r="DZ89" s="93"/>
      <c r="EA89" s="93"/>
      <c r="EB89" s="93"/>
      <c r="EC89" s="93"/>
      <c r="ED89" s="93"/>
      <c r="EE89" s="93"/>
      <c r="EF89" s="93"/>
      <c r="EG89" s="93"/>
      <c r="EH89" s="93"/>
      <c r="EI89" s="93"/>
      <c r="EJ89" s="93"/>
      <c r="EK89" s="93"/>
      <c r="EL89" s="93"/>
      <c r="EM89" s="93"/>
      <c r="EN89" s="93"/>
      <c r="EO89" s="93"/>
      <c r="EP89" s="93"/>
      <c r="EQ89" s="93"/>
      <c r="ER89" s="93"/>
      <c r="ES89" s="93"/>
      <c r="ET89" s="93"/>
      <c r="EU89" s="93"/>
      <c r="EV89" s="93"/>
      <c r="EW89" s="93"/>
      <c r="EX89" s="93"/>
      <c r="EY89" s="93"/>
      <c r="EZ89" s="93"/>
      <c r="FA89" s="93"/>
      <c r="FB89" s="93"/>
      <c r="FC89" s="93"/>
      <c r="FD89" s="93"/>
      <c r="FE89" s="93"/>
      <c r="FF89" s="93"/>
      <c r="FG89" s="93"/>
      <c r="FH89" s="93"/>
      <c r="FI89" s="93"/>
      <c r="FJ89" s="93"/>
      <c r="FK89" s="93"/>
      <c r="FL89" s="93"/>
      <c r="FM89" s="93"/>
      <c r="FN89" s="93"/>
      <c r="FO89" s="93"/>
      <c r="FP89" s="93"/>
      <c r="FQ89" s="93"/>
      <c r="FR89" s="93"/>
      <c r="FS89" s="93"/>
      <c r="FT89" s="93"/>
      <c r="FU89" s="93"/>
      <c r="FV89" s="93"/>
      <c r="FW89" s="93"/>
      <c r="FX89" s="93"/>
      <c r="FY89" s="93"/>
      <c r="FZ89" s="93"/>
      <c r="GA89" s="93"/>
      <c r="GB89" s="93"/>
      <c r="GC89" s="93"/>
      <c r="GD89" s="93"/>
      <c r="GE89" s="93"/>
      <c r="GF89" s="93"/>
      <c r="GG89" s="93"/>
      <c r="GH89" s="93"/>
      <c r="GI89" s="93"/>
      <c r="GJ89" s="93"/>
      <c r="GK89" s="93"/>
      <c r="GL89" s="93"/>
      <c r="GM89" s="93"/>
      <c r="GN89" s="93"/>
      <c r="GO89" s="93"/>
      <c r="GP89" s="93"/>
      <c r="GQ89" s="93"/>
      <c r="GR89" s="93"/>
      <c r="GS89" s="93"/>
      <c r="GT89" s="93"/>
      <c r="GU89" s="93"/>
      <c r="GV89" s="93"/>
      <c r="GW89" s="93"/>
      <c r="GX89" s="93"/>
      <c r="GY89" s="93"/>
      <c r="GZ89" s="93"/>
      <c r="HA89" s="93"/>
      <c r="HB89" s="93"/>
      <c r="HC89" s="93"/>
      <c r="HD89" s="93"/>
      <c r="HE89" s="93"/>
      <c r="HF89" s="93"/>
      <c r="HG89" s="93"/>
      <c r="HH89" s="93"/>
      <c r="HI89" s="93"/>
      <c r="HJ89" s="93"/>
      <c r="HK89" s="93"/>
      <c r="HL89" s="93"/>
      <c r="HM89" s="93"/>
      <c r="HN89" s="93"/>
      <c r="HO89" s="93"/>
      <c r="HP89" s="93"/>
      <c r="HQ89" s="93"/>
      <c r="HR89" s="93"/>
      <c r="HS89" s="93"/>
      <c r="HT89" s="93"/>
      <c r="HU89" s="93"/>
      <c r="HV89" s="93"/>
      <c r="HW89" s="93"/>
      <c r="HX89" s="93"/>
      <c r="HY89" s="93"/>
      <c r="HZ89" s="93"/>
      <c r="IA89" s="93"/>
      <c r="IB89" s="93"/>
      <c r="IC89" s="93"/>
      <c r="ID89" s="93"/>
      <c r="IE89" s="93"/>
      <c r="IF89" s="93"/>
      <c r="IG89" s="93"/>
      <c r="IH89" s="93"/>
      <c r="II89" s="93"/>
      <c r="IJ89" s="93"/>
      <c r="IK89" s="93"/>
      <c r="IL89" s="93"/>
      <c r="IM89" s="93"/>
      <c r="IN89" s="93"/>
      <c r="IO89" s="93"/>
      <c r="IP89" s="93"/>
      <c r="IQ89" s="93"/>
      <c r="IR89" s="93"/>
    </row>
    <row r="90" spans="1:252" s="118" customFormat="1" ht="13.8" x14ac:dyDescent="0.3">
      <c r="A90" s="99"/>
      <c r="B90" s="83" t="s">
        <v>23</v>
      </c>
      <c r="C90" s="91" t="s">
        <v>22</v>
      </c>
      <c r="D90" s="139">
        <v>1500</v>
      </c>
      <c r="E90" s="111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85"/>
      <c r="AV90" s="85"/>
      <c r="AW90" s="85"/>
      <c r="AX90" s="85"/>
      <c r="AY90" s="85"/>
      <c r="AZ90" s="85"/>
      <c r="BA90" s="85"/>
      <c r="BB90" s="85"/>
      <c r="BC90" s="85"/>
      <c r="BD90" s="85"/>
      <c r="BE90" s="85"/>
      <c r="BF90" s="85"/>
      <c r="BG90" s="85"/>
      <c r="BH90" s="85"/>
      <c r="BI90" s="85"/>
      <c r="BJ90" s="85"/>
      <c r="BK90" s="85"/>
      <c r="BL90" s="85"/>
      <c r="BM90" s="85"/>
      <c r="BN90" s="85"/>
      <c r="BO90" s="85"/>
      <c r="BP90" s="85"/>
      <c r="BQ90" s="85"/>
      <c r="BR90" s="85"/>
      <c r="BS90" s="85"/>
      <c r="BT90" s="85"/>
      <c r="BU90" s="85"/>
      <c r="BV90" s="85"/>
      <c r="BW90" s="85"/>
      <c r="BX90" s="85"/>
      <c r="BY90" s="85"/>
      <c r="BZ90" s="85"/>
      <c r="CA90" s="85"/>
      <c r="CB90" s="85"/>
      <c r="CC90" s="85"/>
      <c r="CD90" s="85"/>
      <c r="CE90" s="85"/>
      <c r="CF90" s="85"/>
      <c r="CG90" s="85"/>
      <c r="CH90" s="85"/>
      <c r="CI90" s="85"/>
      <c r="CJ90" s="85"/>
      <c r="CK90" s="85"/>
      <c r="CL90" s="85"/>
      <c r="CM90" s="85"/>
      <c r="CN90" s="85"/>
      <c r="CO90" s="85"/>
      <c r="CP90" s="85"/>
      <c r="CQ90" s="85"/>
      <c r="CR90" s="85"/>
      <c r="CS90" s="85"/>
      <c r="CT90" s="85"/>
      <c r="CU90" s="85"/>
      <c r="CV90" s="85"/>
      <c r="CW90" s="85"/>
      <c r="CX90" s="85"/>
      <c r="CY90" s="85"/>
      <c r="CZ90" s="85"/>
      <c r="DA90" s="85"/>
      <c r="DB90" s="85"/>
      <c r="DC90" s="85"/>
      <c r="DD90" s="85"/>
      <c r="DE90" s="85"/>
      <c r="DF90" s="85"/>
      <c r="DG90" s="85"/>
      <c r="DH90" s="85"/>
      <c r="DI90" s="85"/>
      <c r="DJ90" s="85"/>
      <c r="DK90" s="85"/>
      <c r="DL90" s="85"/>
      <c r="DM90" s="85"/>
      <c r="DN90" s="85"/>
      <c r="DO90" s="85"/>
      <c r="DP90" s="85"/>
      <c r="DQ90" s="85"/>
      <c r="DR90" s="85"/>
      <c r="DS90" s="85"/>
      <c r="DT90" s="85"/>
      <c r="DU90" s="85"/>
      <c r="DV90" s="85"/>
      <c r="DW90" s="85"/>
      <c r="DX90" s="85"/>
      <c r="DY90" s="85"/>
      <c r="DZ90" s="85"/>
      <c r="EA90" s="85"/>
      <c r="EB90" s="85"/>
      <c r="EC90" s="85"/>
      <c r="ED90" s="85"/>
      <c r="EE90" s="85"/>
      <c r="EF90" s="85"/>
      <c r="EG90" s="85"/>
      <c r="EH90" s="85"/>
      <c r="EI90" s="85"/>
      <c r="EJ90" s="85"/>
      <c r="EK90" s="85"/>
      <c r="EL90" s="85"/>
      <c r="EM90" s="85"/>
      <c r="EN90" s="85"/>
      <c r="EO90" s="85"/>
      <c r="EP90" s="85"/>
      <c r="EQ90" s="85"/>
      <c r="ER90" s="85"/>
      <c r="ES90" s="85"/>
      <c r="ET90" s="85"/>
      <c r="EU90" s="85"/>
      <c r="EV90" s="85"/>
      <c r="EW90" s="85"/>
      <c r="EX90" s="85"/>
      <c r="EY90" s="85"/>
      <c r="EZ90" s="85"/>
      <c r="FA90" s="85"/>
      <c r="FB90" s="85"/>
      <c r="FC90" s="85"/>
      <c r="FD90" s="85"/>
      <c r="FE90" s="85"/>
      <c r="FF90" s="85"/>
      <c r="FG90" s="85"/>
      <c r="FH90" s="85"/>
      <c r="FI90" s="85"/>
      <c r="FJ90" s="85"/>
      <c r="FK90" s="85"/>
      <c r="FL90" s="85"/>
      <c r="FM90" s="85"/>
      <c r="FN90" s="85"/>
      <c r="FO90" s="85"/>
      <c r="FP90" s="85"/>
      <c r="FQ90" s="85"/>
      <c r="FR90" s="85"/>
      <c r="FS90" s="85"/>
      <c r="FT90" s="85"/>
      <c r="FU90" s="85"/>
      <c r="FV90" s="85"/>
      <c r="FW90" s="85"/>
      <c r="FX90" s="85"/>
      <c r="FY90" s="85"/>
      <c r="FZ90" s="85"/>
      <c r="GA90" s="85"/>
      <c r="GB90" s="85"/>
      <c r="GC90" s="85"/>
      <c r="GD90" s="85"/>
      <c r="GE90" s="85"/>
      <c r="GF90" s="85"/>
      <c r="GG90" s="85"/>
      <c r="GH90" s="85"/>
      <c r="GI90" s="85"/>
      <c r="GJ90" s="85"/>
      <c r="GK90" s="85"/>
      <c r="GL90" s="85"/>
      <c r="GM90" s="85"/>
      <c r="GN90" s="85"/>
      <c r="GO90" s="85"/>
      <c r="GP90" s="85"/>
      <c r="GQ90" s="85"/>
      <c r="GR90" s="85"/>
      <c r="GS90" s="85"/>
      <c r="GT90" s="85"/>
      <c r="GU90" s="85"/>
      <c r="GV90" s="85"/>
      <c r="GW90" s="85"/>
      <c r="GX90" s="85"/>
      <c r="GY90" s="85"/>
      <c r="GZ90" s="85"/>
      <c r="HA90" s="85"/>
      <c r="HB90" s="85"/>
      <c r="HC90" s="85"/>
      <c r="HD90" s="85"/>
      <c r="HE90" s="85"/>
      <c r="HF90" s="85"/>
      <c r="HG90" s="85"/>
      <c r="HH90" s="85"/>
      <c r="HI90" s="85"/>
      <c r="HJ90" s="85"/>
      <c r="HK90" s="85"/>
      <c r="HL90" s="85"/>
      <c r="HM90" s="85"/>
      <c r="HN90" s="85"/>
      <c r="HO90" s="85"/>
      <c r="HP90" s="85"/>
      <c r="HQ90" s="85"/>
      <c r="HR90" s="85"/>
      <c r="HS90" s="85"/>
      <c r="HT90" s="85"/>
      <c r="HU90" s="85"/>
      <c r="HV90" s="85"/>
      <c r="HW90" s="85"/>
      <c r="HX90" s="85"/>
      <c r="HY90" s="85"/>
      <c r="HZ90" s="85"/>
      <c r="IA90" s="85"/>
      <c r="IB90" s="85"/>
      <c r="IC90" s="85"/>
      <c r="ID90" s="85"/>
      <c r="IE90" s="85"/>
      <c r="IF90" s="85"/>
      <c r="IG90" s="85"/>
      <c r="IH90" s="85"/>
      <c r="II90" s="85"/>
      <c r="IJ90" s="85"/>
      <c r="IK90" s="85"/>
      <c r="IL90" s="85"/>
      <c r="IM90" s="85"/>
      <c r="IN90" s="85"/>
      <c r="IO90" s="85"/>
      <c r="IP90" s="85"/>
      <c r="IQ90" s="85"/>
      <c r="IR90" s="85"/>
    </row>
    <row r="91" spans="1:252" s="119" customFormat="1" ht="15" customHeight="1" x14ac:dyDescent="0.3">
      <c r="A91" s="99"/>
      <c r="B91" s="83" t="s">
        <v>24</v>
      </c>
      <c r="C91" s="91" t="s">
        <v>22</v>
      </c>
      <c r="D91" s="139">
        <v>900</v>
      </c>
      <c r="E91" s="106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85"/>
      <c r="AV91" s="85"/>
      <c r="AW91" s="85"/>
      <c r="AX91" s="85"/>
      <c r="AY91" s="85"/>
      <c r="AZ91" s="85"/>
      <c r="BA91" s="85"/>
      <c r="BB91" s="85"/>
      <c r="BC91" s="85"/>
      <c r="BD91" s="85"/>
      <c r="BE91" s="85"/>
      <c r="BF91" s="85"/>
      <c r="BG91" s="85"/>
      <c r="BH91" s="85"/>
      <c r="BI91" s="85"/>
      <c r="BJ91" s="85"/>
      <c r="BK91" s="85"/>
      <c r="BL91" s="85"/>
      <c r="BM91" s="85"/>
      <c r="BN91" s="85"/>
      <c r="BO91" s="85"/>
      <c r="BP91" s="85"/>
      <c r="BQ91" s="85"/>
      <c r="BR91" s="85"/>
      <c r="BS91" s="85"/>
      <c r="BT91" s="85"/>
      <c r="BU91" s="85"/>
      <c r="BV91" s="85"/>
      <c r="BW91" s="85"/>
      <c r="BX91" s="85"/>
      <c r="BY91" s="85"/>
      <c r="BZ91" s="85"/>
      <c r="CA91" s="85"/>
      <c r="CB91" s="85"/>
      <c r="CC91" s="85"/>
      <c r="CD91" s="85"/>
      <c r="CE91" s="85"/>
      <c r="CF91" s="85"/>
      <c r="CG91" s="85"/>
      <c r="CH91" s="85"/>
      <c r="CI91" s="85"/>
      <c r="CJ91" s="85"/>
      <c r="CK91" s="85"/>
      <c r="CL91" s="85"/>
      <c r="CM91" s="85"/>
      <c r="CN91" s="85"/>
      <c r="CO91" s="85"/>
      <c r="CP91" s="85"/>
      <c r="CQ91" s="85"/>
      <c r="CR91" s="85"/>
      <c r="CS91" s="85"/>
      <c r="CT91" s="85"/>
      <c r="CU91" s="85"/>
      <c r="CV91" s="85"/>
      <c r="CW91" s="85"/>
      <c r="CX91" s="85"/>
      <c r="CY91" s="85"/>
      <c r="CZ91" s="85"/>
      <c r="DA91" s="85"/>
      <c r="DB91" s="85"/>
      <c r="DC91" s="85"/>
      <c r="DD91" s="85"/>
      <c r="DE91" s="85"/>
      <c r="DF91" s="85"/>
      <c r="DG91" s="85"/>
      <c r="DH91" s="85"/>
      <c r="DI91" s="85"/>
      <c r="DJ91" s="85"/>
      <c r="DK91" s="85"/>
      <c r="DL91" s="85"/>
      <c r="DM91" s="85"/>
      <c r="DN91" s="85"/>
      <c r="DO91" s="85"/>
      <c r="DP91" s="85"/>
      <c r="DQ91" s="85"/>
      <c r="DR91" s="85"/>
      <c r="DS91" s="85"/>
      <c r="DT91" s="85"/>
      <c r="DU91" s="85"/>
      <c r="DV91" s="85"/>
      <c r="DW91" s="85"/>
      <c r="DX91" s="85"/>
      <c r="DY91" s="85"/>
      <c r="DZ91" s="85"/>
      <c r="EA91" s="85"/>
      <c r="EB91" s="85"/>
      <c r="EC91" s="85"/>
      <c r="ED91" s="85"/>
      <c r="EE91" s="85"/>
      <c r="EF91" s="85"/>
      <c r="EG91" s="85"/>
      <c r="EH91" s="85"/>
      <c r="EI91" s="85"/>
      <c r="EJ91" s="85"/>
      <c r="EK91" s="85"/>
      <c r="EL91" s="85"/>
      <c r="EM91" s="85"/>
      <c r="EN91" s="85"/>
      <c r="EO91" s="85"/>
      <c r="EP91" s="85"/>
      <c r="EQ91" s="85"/>
      <c r="ER91" s="85"/>
      <c r="ES91" s="85"/>
      <c r="ET91" s="85"/>
      <c r="EU91" s="85"/>
      <c r="EV91" s="85"/>
      <c r="EW91" s="85"/>
      <c r="EX91" s="85"/>
      <c r="EY91" s="85"/>
      <c r="EZ91" s="85"/>
      <c r="FA91" s="85"/>
      <c r="FB91" s="85"/>
      <c r="FC91" s="85"/>
      <c r="FD91" s="85"/>
      <c r="FE91" s="85"/>
      <c r="FF91" s="85"/>
      <c r="FG91" s="85"/>
      <c r="FH91" s="85"/>
      <c r="FI91" s="85"/>
      <c r="FJ91" s="85"/>
      <c r="FK91" s="85"/>
      <c r="FL91" s="85"/>
      <c r="FM91" s="85"/>
      <c r="FN91" s="85"/>
      <c r="FO91" s="85"/>
      <c r="FP91" s="85"/>
      <c r="FQ91" s="85"/>
      <c r="FR91" s="85"/>
      <c r="FS91" s="85"/>
      <c r="FT91" s="85"/>
      <c r="FU91" s="85"/>
      <c r="FV91" s="85"/>
      <c r="FW91" s="85"/>
      <c r="FX91" s="85"/>
      <c r="FY91" s="85"/>
      <c r="FZ91" s="85"/>
      <c r="GA91" s="85"/>
      <c r="GB91" s="85"/>
      <c r="GC91" s="85"/>
      <c r="GD91" s="85"/>
      <c r="GE91" s="85"/>
      <c r="GF91" s="85"/>
      <c r="GG91" s="85"/>
      <c r="GH91" s="85"/>
      <c r="GI91" s="85"/>
      <c r="GJ91" s="85"/>
      <c r="GK91" s="85"/>
      <c r="GL91" s="85"/>
      <c r="GM91" s="85"/>
      <c r="GN91" s="85"/>
      <c r="GO91" s="85"/>
      <c r="GP91" s="85"/>
      <c r="GQ91" s="85"/>
      <c r="GR91" s="85"/>
      <c r="GS91" s="85"/>
      <c r="GT91" s="85"/>
      <c r="GU91" s="85"/>
      <c r="GV91" s="85"/>
      <c r="GW91" s="85"/>
      <c r="GX91" s="85"/>
      <c r="GY91" s="85"/>
      <c r="GZ91" s="85"/>
      <c r="HA91" s="85"/>
      <c r="HB91" s="85"/>
      <c r="HC91" s="85"/>
      <c r="HD91" s="85"/>
      <c r="HE91" s="85"/>
      <c r="HF91" s="85"/>
      <c r="HG91" s="85"/>
      <c r="HH91" s="85"/>
      <c r="HI91" s="85"/>
      <c r="HJ91" s="85"/>
      <c r="HK91" s="85"/>
      <c r="HL91" s="85"/>
      <c r="HM91" s="85"/>
      <c r="HN91" s="85"/>
      <c r="HO91" s="85"/>
      <c r="HP91" s="85"/>
      <c r="HQ91" s="85"/>
      <c r="HR91" s="85"/>
      <c r="HS91" s="85"/>
      <c r="HT91" s="85"/>
      <c r="HU91" s="85"/>
      <c r="HV91" s="85"/>
      <c r="HW91" s="85"/>
      <c r="HX91" s="85"/>
      <c r="HY91" s="85"/>
      <c r="HZ91" s="85"/>
      <c r="IA91" s="85"/>
      <c r="IB91" s="85"/>
      <c r="IC91" s="85"/>
      <c r="ID91" s="85"/>
      <c r="IE91" s="85"/>
      <c r="IF91" s="85"/>
      <c r="IG91" s="85"/>
      <c r="IH91" s="85"/>
      <c r="II91" s="85"/>
      <c r="IJ91" s="85"/>
      <c r="IK91" s="85"/>
      <c r="IL91" s="85"/>
      <c r="IM91" s="85"/>
      <c r="IN91" s="85"/>
      <c r="IO91" s="85"/>
      <c r="IP91" s="85"/>
      <c r="IQ91" s="85"/>
      <c r="IR91" s="85"/>
    </row>
    <row r="92" spans="1:252" s="11" customFormat="1" ht="14.4" customHeight="1" x14ac:dyDescent="0.3">
      <c r="A92" s="60"/>
      <c r="B92" s="68" t="s">
        <v>12</v>
      </c>
      <c r="C92" s="65"/>
      <c r="D92" s="130"/>
      <c r="E92" s="26"/>
    </row>
    <row r="93" spans="1:252" s="12" customFormat="1" ht="14.4" customHeight="1" x14ac:dyDescent="0.3">
      <c r="A93" s="115"/>
      <c r="B93" s="69" t="s">
        <v>11</v>
      </c>
      <c r="C93" s="66"/>
      <c r="D93" s="127"/>
      <c r="E93" s="27"/>
    </row>
    <row r="94" spans="1:252" s="17" customFormat="1" ht="13.8" x14ac:dyDescent="0.3">
      <c r="A94" s="120"/>
      <c r="B94" s="19"/>
      <c r="C94" s="18"/>
      <c r="D94" s="141"/>
      <c r="E94" s="106"/>
    </row>
    <row r="95" spans="1:252" s="5" customFormat="1" ht="14.4" customHeight="1" x14ac:dyDescent="0.3">
      <c r="A95" s="115">
        <v>4</v>
      </c>
      <c r="B95" s="67" t="s">
        <v>118</v>
      </c>
      <c r="C95" s="9" t="s">
        <v>121</v>
      </c>
      <c r="D95" s="128" t="s">
        <v>13</v>
      </c>
      <c r="E95" s="15"/>
      <c r="H95" s="10"/>
      <c r="I95" s="10"/>
      <c r="J95" s="10"/>
    </row>
    <row r="96" spans="1:252" s="29" customFormat="1" ht="13.8" customHeight="1" x14ac:dyDescent="0.3">
      <c r="A96" s="121" t="s">
        <v>155</v>
      </c>
      <c r="B96" s="70" t="s">
        <v>56</v>
      </c>
      <c r="C96" s="31" t="s">
        <v>2</v>
      </c>
      <c r="D96" s="142">
        <v>2000</v>
      </c>
      <c r="E96" s="113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  <c r="CQ96" s="30"/>
      <c r="CR96" s="30"/>
      <c r="CS96" s="30"/>
      <c r="CT96" s="30"/>
      <c r="CU96" s="30"/>
      <c r="CV96" s="30"/>
      <c r="CW96" s="30"/>
      <c r="CX96" s="30"/>
      <c r="CY96" s="30"/>
      <c r="CZ96" s="30"/>
      <c r="DA96" s="30"/>
      <c r="DB96" s="30"/>
      <c r="DC96" s="30"/>
      <c r="DD96" s="30"/>
      <c r="DE96" s="30"/>
      <c r="DF96" s="30"/>
      <c r="DG96" s="30"/>
      <c r="DH96" s="30"/>
      <c r="DI96" s="30"/>
      <c r="DJ96" s="30"/>
      <c r="DK96" s="30"/>
      <c r="DL96" s="30"/>
      <c r="DM96" s="30"/>
      <c r="DN96" s="30"/>
      <c r="DO96" s="30"/>
      <c r="DP96" s="30"/>
      <c r="DQ96" s="30"/>
      <c r="DR96" s="30"/>
      <c r="DS96" s="30"/>
      <c r="DT96" s="30"/>
      <c r="DU96" s="30"/>
      <c r="DV96" s="30"/>
      <c r="DW96" s="30"/>
      <c r="DX96" s="30"/>
      <c r="DY96" s="30"/>
      <c r="DZ96" s="30"/>
      <c r="EA96" s="30"/>
      <c r="EB96" s="30"/>
      <c r="EC96" s="30"/>
      <c r="ED96" s="30"/>
      <c r="EE96" s="30"/>
      <c r="EF96" s="30"/>
      <c r="EG96" s="30"/>
      <c r="EH96" s="30"/>
      <c r="EI96" s="30"/>
      <c r="EJ96" s="30"/>
      <c r="EK96" s="30"/>
      <c r="EL96" s="30"/>
      <c r="EM96" s="30"/>
      <c r="EN96" s="30"/>
      <c r="EO96" s="30"/>
      <c r="EP96" s="30"/>
      <c r="EQ96" s="30"/>
      <c r="ER96" s="30"/>
      <c r="ES96" s="30"/>
      <c r="ET96" s="30"/>
      <c r="EU96" s="30"/>
      <c r="EV96" s="30"/>
      <c r="EW96" s="30"/>
      <c r="EX96" s="30"/>
      <c r="EY96" s="30"/>
      <c r="EZ96" s="30"/>
      <c r="FA96" s="30"/>
      <c r="FB96" s="30"/>
      <c r="FC96" s="30"/>
      <c r="FD96" s="30"/>
      <c r="FE96" s="30"/>
      <c r="FF96" s="30"/>
      <c r="FG96" s="30"/>
      <c r="FH96" s="30"/>
      <c r="FI96" s="30"/>
      <c r="FJ96" s="30"/>
      <c r="FK96" s="30"/>
      <c r="FL96" s="30"/>
      <c r="FM96" s="30"/>
      <c r="FN96" s="30"/>
      <c r="FO96" s="30"/>
      <c r="FP96" s="30"/>
      <c r="FQ96" s="30"/>
      <c r="FR96" s="30"/>
      <c r="FS96" s="30"/>
      <c r="FT96" s="30"/>
      <c r="FU96" s="30"/>
      <c r="FV96" s="30"/>
      <c r="FW96" s="30"/>
      <c r="FX96" s="30"/>
      <c r="FY96" s="30"/>
      <c r="FZ96" s="30"/>
      <c r="GA96" s="30"/>
      <c r="GB96" s="30"/>
      <c r="GC96" s="30"/>
      <c r="GD96" s="30"/>
      <c r="GE96" s="30"/>
      <c r="GF96" s="30"/>
      <c r="GG96" s="30"/>
      <c r="GH96" s="30"/>
      <c r="GI96" s="30"/>
      <c r="GJ96" s="30"/>
      <c r="GK96" s="30"/>
      <c r="GL96" s="30"/>
      <c r="GM96" s="30"/>
      <c r="GN96" s="30"/>
      <c r="GO96" s="30"/>
      <c r="GP96" s="30"/>
      <c r="GQ96" s="30"/>
      <c r="GR96" s="30"/>
      <c r="GS96" s="30"/>
      <c r="GT96" s="30"/>
      <c r="GU96" s="30"/>
      <c r="GV96" s="30"/>
      <c r="GW96" s="30"/>
      <c r="GX96" s="30"/>
      <c r="GY96" s="30"/>
      <c r="GZ96" s="30"/>
      <c r="HA96" s="30"/>
      <c r="HB96" s="30"/>
      <c r="HC96" s="30"/>
      <c r="HD96" s="30"/>
      <c r="HE96" s="30"/>
      <c r="HF96" s="30"/>
      <c r="HG96" s="30"/>
      <c r="HH96" s="30"/>
      <c r="HI96" s="30"/>
      <c r="HJ96" s="30"/>
      <c r="HK96" s="30"/>
      <c r="HL96" s="30"/>
      <c r="HM96" s="30"/>
      <c r="HN96" s="30"/>
      <c r="HO96" s="30"/>
      <c r="HP96" s="30"/>
      <c r="HQ96" s="30"/>
      <c r="HR96" s="30"/>
      <c r="HS96" s="30"/>
      <c r="HT96" s="30"/>
      <c r="HU96" s="30"/>
      <c r="HV96" s="30"/>
      <c r="HW96" s="30"/>
      <c r="HX96" s="30"/>
      <c r="HY96" s="30"/>
      <c r="HZ96" s="30"/>
      <c r="IA96" s="30"/>
      <c r="IB96" s="30"/>
      <c r="IC96" s="30"/>
      <c r="ID96" s="30"/>
      <c r="IE96" s="30"/>
      <c r="IF96" s="30"/>
      <c r="IG96" s="30"/>
      <c r="IH96" s="30"/>
      <c r="II96" s="30"/>
      <c r="IJ96" s="30"/>
      <c r="IK96" s="30"/>
      <c r="IL96" s="30"/>
      <c r="IM96" s="30"/>
      <c r="IN96" s="30"/>
      <c r="IO96" s="30"/>
      <c r="IP96" s="30"/>
      <c r="IQ96" s="30"/>
      <c r="IR96" s="30"/>
    </row>
    <row r="97" spans="1:252" s="29" customFormat="1" ht="13.8" x14ac:dyDescent="0.3">
      <c r="A97" s="122"/>
      <c r="B97" s="89" t="s">
        <v>102</v>
      </c>
      <c r="C97" s="36" t="s">
        <v>3</v>
      </c>
      <c r="D97" s="143">
        <v>2560</v>
      </c>
      <c r="E97" s="114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  <c r="DL97" s="35"/>
      <c r="DM97" s="35"/>
      <c r="DN97" s="35"/>
      <c r="DO97" s="35"/>
      <c r="DP97" s="35"/>
      <c r="DQ97" s="35"/>
      <c r="DR97" s="35"/>
      <c r="DS97" s="35"/>
      <c r="DT97" s="35"/>
      <c r="DU97" s="35"/>
      <c r="DV97" s="35"/>
      <c r="DW97" s="35"/>
      <c r="DX97" s="35"/>
      <c r="DY97" s="35"/>
      <c r="DZ97" s="35"/>
      <c r="EA97" s="35"/>
      <c r="EB97" s="35"/>
      <c r="EC97" s="35"/>
      <c r="ED97" s="35"/>
      <c r="EE97" s="35"/>
      <c r="EF97" s="35"/>
      <c r="EG97" s="35"/>
      <c r="EH97" s="35"/>
      <c r="EI97" s="35"/>
      <c r="EJ97" s="35"/>
      <c r="EK97" s="35"/>
      <c r="EL97" s="35"/>
      <c r="EM97" s="35"/>
      <c r="EN97" s="35"/>
      <c r="EO97" s="35"/>
      <c r="EP97" s="35"/>
      <c r="EQ97" s="35"/>
      <c r="ER97" s="35"/>
      <c r="ES97" s="35"/>
      <c r="ET97" s="35"/>
      <c r="EU97" s="35"/>
      <c r="EV97" s="35"/>
      <c r="EW97" s="35"/>
      <c r="EX97" s="35"/>
      <c r="EY97" s="35"/>
      <c r="EZ97" s="35"/>
      <c r="FA97" s="35"/>
      <c r="FB97" s="35"/>
      <c r="FC97" s="35"/>
      <c r="FD97" s="35"/>
      <c r="FE97" s="35"/>
      <c r="FF97" s="35"/>
      <c r="FG97" s="35"/>
      <c r="FH97" s="35"/>
      <c r="FI97" s="35"/>
      <c r="FJ97" s="35"/>
      <c r="FK97" s="35"/>
      <c r="FL97" s="35"/>
      <c r="FM97" s="35"/>
      <c r="FN97" s="35"/>
      <c r="FO97" s="35"/>
      <c r="FP97" s="35"/>
      <c r="FQ97" s="35"/>
      <c r="FR97" s="35"/>
      <c r="FS97" s="35"/>
      <c r="FT97" s="35"/>
      <c r="FU97" s="35"/>
      <c r="FV97" s="35"/>
      <c r="FW97" s="35"/>
      <c r="FX97" s="35"/>
      <c r="FY97" s="35"/>
      <c r="FZ97" s="35"/>
      <c r="GA97" s="35"/>
      <c r="GB97" s="35"/>
      <c r="GC97" s="35"/>
      <c r="GD97" s="35"/>
      <c r="GE97" s="35"/>
      <c r="GF97" s="35"/>
      <c r="GG97" s="35"/>
      <c r="GH97" s="35"/>
      <c r="GI97" s="35"/>
      <c r="GJ97" s="35"/>
      <c r="GK97" s="35"/>
      <c r="GL97" s="35"/>
      <c r="GM97" s="35"/>
      <c r="GN97" s="35"/>
      <c r="GO97" s="35"/>
      <c r="GP97" s="35"/>
      <c r="GQ97" s="35"/>
      <c r="GR97" s="35"/>
      <c r="GS97" s="35"/>
      <c r="GT97" s="35"/>
      <c r="GU97" s="35"/>
      <c r="GV97" s="35"/>
      <c r="GW97" s="35"/>
      <c r="GX97" s="35"/>
      <c r="GY97" s="35"/>
      <c r="GZ97" s="35"/>
      <c r="HA97" s="35"/>
      <c r="HB97" s="35"/>
      <c r="HC97" s="35"/>
      <c r="HD97" s="35"/>
      <c r="HE97" s="35"/>
      <c r="HF97" s="35"/>
      <c r="HG97" s="35"/>
      <c r="HH97" s="35"/>
      <c r="HI97" s="35"/>
      <c r="HJ97" s="35"/>
      <c r="HK97" s="35"/>
      <c r="HL97" s="35"/>
      <c r="HM97" s="35"/>
      <c r="HN97" s="35"/>
      <c r="HO97" s="35"/>
      <c r="HP97" s="35"/>
      <c r="HQ97" s="35"/>
      <c r="HR97" s="35"/>
      <c r="HS97" s="35"/>
      <c r="HT97" s="35"/>
      <c r="HU97" s="35"/>
      <c r="HV97" s="35"/>
      <c r="HW97" s="35"/>
      <c r="HX97" s="35"/>
      <c r="HY97" s="35"/>
      <c r="HZ97" s="35"/>
      <c r="IA97" s="35"/>
      <c r="IB97" s="35"/>
      <c r="IC97" s="35"/>
      <c r="ID97" s="35"/>
      <c r="IE97" s="35"/>
      <c r="IF97" s="35"/>
      <c r="IG97" s="35"/>
      <c r="IH97" s="35"/>
      <c r="II97" s="35"/>
      <c r="IJ97" s="35"/>
      <c r="IK97" s="35"/>
      <c r="IL97" s="35"/>
      <c r="IM97" s="35"/>
      <c r="IN97" s="35"/>
      <c r="IO97" s="35"/>
      <c r="IP97" s="35"/>
      <c r="IQ97" s="35"/>
      <c r="IR97" s="35"/>
    </row>
    <row r="98" spans="1:252" s="28" customFormat="1" ht="13.8" x14ac:dyDescent="0.3">
      <c r="A98" s="122"/>
      <c r="B98" s="71" t="str">
        <f>B57</f>
        <v>Геотекстиль, 200г/м2</v>
      </c>
      <c r="C98" s="36" t="s">
        <v>2</v>
      </c>
      <c r="D98" s="143">
        <v>75</v>
      </c>
      <c r="E98" s="114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  <c r="DL98" s="35"/>
      <c r="DM98" s="35"/>
      <c r="DN98" s="35"/>
      <c r="DO98" s="35"/>
      <c r="DP98" s="35"/>
      <c r="DQ98" s="35"/>
      <c r="DR98" s="35"/>
      <c r="DS98" s="35"/>
      <c r="DT98" s="35"/>
      <c r="DU98" s="35"/>
      <c r="DV98" s="35"/>
      <c r="DW98" s="35"/>
      <c r="DX98" s="35"/>
      <c r="DY98" s="35"/>
      <c r="DZ98" s="35"/>
      <c r="EA98" s="35"/>
      <c r="EB98" s="35"/>
      <c r="EC98" s="35"/>
      <c r="ED98" s="35"/>
      <c r="EE98" s="35"/>
      <c r="EF98" s="35"/>
      <c r="EG98" s="35"/>
      <c r="EH98" s="35"/>
      <c r="EI98" s="35"/>
      <c r="EJ98" s="35"/>
      <c r="EK98" s="35"/>
      <c r="EL98" s="35"/>
      <c r="EM98" s="35"/>
      <c r="EN98" s="35"/>
      <c r="EO98" s="35"/>
      <c r="EP98" s="35"/>
      <c r="EQ98" s="35"/>
      <c r="ER98" s="35"/>
      <c r="ES98" s="35"/>
      <c r="ET98" s="35"/>
      <c r="EU98" s="35"/>
      <c r="EV98" s="35"/>
      <c r="EW98" s="35"/>
      <c r="EX98" s="35"/>
      <c r="EY98" s="35"/>
      <c r="EZ98" s="35"/>
      <c r="FA98" s="35"/>
      <c r="FB98" s="35"/>
      <c r="FC98" s="35"/>
      <c r="FD98" s="35"/>
      <c r="FE98" s="35"/>
      <c r="FF98" s="35"/>
      <c r="FG98" s="35"/>
      <c r="FH98" s="35"/>
      <c r="FI98" s="35"/>
      <c r="FJ98" s="35"/>
      <c r="FK98" s="35"/>
      <c r="FL98" s="35"/>
      <c r="FM98" s="35"/>
      <c r="FN98" s="35"/>
      <c r="FO98" s="35"/>
      <c r="FP98" s="35"/>
      <c r="FQ98" s="35"/>
      <c r="FR98" s="35"/>
      <c r="FS98" s="35"/>
      <c r="FT98" s="35"/>
      <c r="FU98" s="35"/>
      <c r="FV98" s="35"/>
      <c r="FW98" s="35"/>
      <c r="FX98" s="35"/>
      <c r="FY98" s="35"/>
      <c r="FZ98" s="35"/>
      <c r="GA98" s="35"/>
      <c r="GB98" s="35"/>
      <c r="GC98" s="35"/>
      <c r="GD98" s="35"/>
      <c r="GE98" s="35"/>
      <c r="GF98" s="35"/>
      <c r="GG98" s="35"/>
      <c r="GH98" s="35"/>
      <c r="GI98" s="35"/>
      <c r="GJ98" s="35"/>
      <c r="GK98" s="35"/>
      <c r="GL98" s="35"/>
      <c r="GM98" s="35"/>
      <c r="GN98" s="35"/>
      <c r="GO98" s="35"/>
      <c r="GP98" s="35"/>
      <c r="GQ98" s="35"/>
      <c r="GR98" s="35"/>
      <c r="GS98" s="35"/>
      <c r="GT98" s="35"/>
      <c r="GU98" s="35"/>
      <c r="GV98" s="35"/>
      <c r="GW98" s="35"/>
      <c r="GX98" s="35"/>
      <c r="GY98" s="35"/>
      <c r="GZ98" s="35"/>
      <c r="HA98" s="35"/>
      <c r="HB98" s="35"/>
      <c r="HC98" s="35"/>
      <c r="HD98" s="35"/>
      <c r="HE98" s="35"/>
      <c r="HF98" s="35"/>
      <c r="HG98" s="35"/>
      <c r="HH98" s="35"/>
      <c r="HI98" s="35"/>
      <c r="HJ98" s="35"/>
      <c r="HK98" s="35"/>
      <c r="HL98" s="35"/>
      <c r="HM98" s="35"/>
      <c r="HN98" s="35"/>
      <c r="HO98" s="35"/>
      <c r="HP98" s="35"/>
      <c r="HQ98" s="35"/>
      <c r="HR98" s="35"/>
      <c r="HS98" s="35"/>
      <c r="HT98" s="35"/>
      <c r="HU98" s="35"/>
      <c r="HV98" s="35"/>
      <c r="HW98" s="35"/>
      <c r="HX98" s="35"/>
      <c r="HY98" s="35"/>
      <c r="HZ98" s="35"/>
      <c r="IA98" s="35"/>
      <c r="IB98" s="35"/>
      <c r="IC98" s="35"/>
      <c r="ID98" s="35"/>
      <c r="IE98" s="35"/>
      <c r="IF98" s="35"/>
      <c r="IG98" s="35"/>
      <c r="IH98" s="35"/>
      <c r="II98" s="35"/>
      <c r="IJ98" s="35"/>
      <c r="IK98" s="35"/>
      <c r="IL98" s="35"/>
      <c r="IM98" s="35"/>
      <c r="IN98" s="35"/>
      <c r="IO98" s="35"/>
      <c r="IP98" s="35"/>
      <c r="IQ98" s="35"/>
      <c r="IR98" s="35"/>
    </row>
    <row r="99" spans="1:252" s="29" customFormat="1" ht="13.8" customHeight="1" x14ac:dyDescent="0.3">
      <c r="A99" s="121" t="s">
        <v>198</v>
      </c>
      <c r="B99" s="70" t="s">
        <v>57</v>
      </c>
      <c r="C99" s="31" t="s">
        <v>3</v>
      </c>
      <c r="D99" s="142">
        <v>2700</v>
      </c>
      <c r="E99" s="113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30"/>
      <c r="BV99" s="30"/>
      <c r="BW99" s="30"/>
      <c r="BX99" s="30"/>
      <c r="BY99" s="30"/>
      <c r="BZ99" s="30"/>
      <c r="CA99" s="30"/>
      <c r="CB99" s="30"/>
      <c r="CC99" s="30"/>
      <c r="CD99" s="30"/>
      <c r="CE99" s="30"/>
      <c r="CF99" s="30"/>
      <c r="CG99" s="30"/>
      <c r="CH99" s="30"/>
      <c r="CI99" s="30"/>
      <c r="CJ99" s="30"/>
      <c r="CK99" s="30"/>
      <c r="CL99" s="30"/>
      <c r="CM99" s="30"/>
      <c r="CN99" s="30"/>
      <c r="CO99" s="30"/>
      <c r="CP99" s="30"/>
      <c r="CQ99" s="30"/>
      <c r="CR99" s="30"/>
      <c r="CS99" s="30"/>
      <c r="CT99" s="30"/>
      <c r="CU99" s="30"/>
      <c r="CV99" s="30"/>
      <c r="CW99" s="30"/>
      <c r="CX99" s="30"/>
      <c r="CY99" s="30"/>
      <c r="CZ99" s="30"/>
      <c r="DA99" s="30"/>
      <c r="DB99" s="30"/>
      <c r="DC99" s="30"/>
      <c r="DD99" s="30"/>
      <c r="DE99" s="30"/>
      <c r="DF99" s="30"/>
      <c r="DG99" s="30"/>
      <c r="DH99" s="30"/>
      <c r="DI99" s="30"/>
      <c r="DJ99" s="30"/>
      <c r="DK99" s="30"/>
      <c r="DL99" s="30"/>
      <c r="DM99" s="30"/>
      <c r="DN99" s="30"/>
      <c r="DO99" s="30"/>
      <c r="DP99" s="30"/>
      <c r="DQ99" s="30"/>
      <c r="DR99" s="30"/>
      <c r="DS99" s="30"/>
      <c r="DT99" s="30"/>
      <c r="DU99" s="30"/>
      <c r="DV99" s="30"/>
      <c r="DW99" s="30"/>
      <c r="DX99" s="30"/>
      <c r="DY99" s="30"/>
      <c r="DZ99" s="30"/>
      <c r="EA99" s="30"/>
      <c r="EB99" s="30"/>
      <c r="EC99" s="30"/>
      <c r="ED99" s="30"/>
      <c r="EE99" s="30"/>
      <c r="EF99" s="30"/>
      <c r="EG99" s="30"/>
      <c r="EH99" s="30"/>
      <c r="EI99" s="30"/>
      <c r="EJ99" s="30"/>
      <c r="EK99" s="30"/>
      <c r="EL99" s="30"/>
      <c r="EM99" s="30"/>
      <c r="EN99" s="30"/>
      <c r="EO99" s="30"/>
      <c r="EP99" s="30"/>
      <c r="EQ99" s="30"/>
      <c r="ER99" s="30"/>
      <c r="ES99" s="30"/>
      <c r="ET99" s="30"/>
      <c r="EU99" s="30"/>
      <c r="EV99" s="30"/>
      <c r="EW99" s="30"/>
      <c r="EX99" s="30"/>
      <c r="EY99" s="30"/>
      <c r="EZ99" s="30"/>
      <c r="FA99" s="30"/>
      <c r="FB99" s="30"/>
      <c r="FC99" s="30"/>
      <c r="FD99" s="30"/>
      <c r="FE99" s="30"/>
      <c r="FF99" s="30"/>
      <c r="FG99" s="30"/>
      <c r="FH99" s="30"/>
      <c r="FI99" s="30"/>
      <c r="FJ99" s="30"/>
      <c r="FK99" s="30"/>
      <c r="FL99" s="30"/>
      <c r="FM99" s="30"/>
      <c r="FN99" s="30"/>
      <c r="FO99" s="30"/>
      <c r="FP99" s="30"/>
      <c r="FQ99" s="30"/>
      <c r="FR99" s="30"/>
      <c r="FS99" s="30"/>
      <c r="FT99" s="30"/>
      <c r="FU99" s="30"/>
      <c r="FV99" s="30"/>
      <c r="FW99" s="30"/>
      <c r="FX99" s="30"/>
      <c r="FY99" s="30"/>
      <c r="FZ99" s="30"/>
      <c r="GA99" s="30"/>
      <c r="GB99" s="30"/>
      <c r="GC99" s="30"/>
      <c r="GD99" s="30"/>
      <c r="GE99" s="30"/>
      <c r="GF99" s="30"/>
      <c r="GG99" s="30"/>
      <c r="GH99" s="30"/>
      <c r="GI99" s="30"/>
      <c r="GJ99" s="30"/>
      <c r="GK99" s="30"/>
      <c r="GL99" s="30"/>
      <c r="GM99" s="30"/>
      <c r="GN99" s="30"/>
      <c r="GO99" s="30"/>
      <c r="GP99" s="30"/>
      <c r="GQ99" s="30"/>
      <c r="GR99" s="30"/>
      <c r="GS99" s="30"/>
      <c r="GT99" s="30"/>
      <c r="GU99" s="30"/>
      <c r="GV99" s="30"/>
      <c r="GW99" s="30"/>
      <c r="GX99" s="30"/>
      <c r="GY99" s="30"/>
      <c r="GZ99" s="30"/>
      <c r="HA99" s="30"/>
      <c r="HB99" s="30"/>
      <c r="HC99" s="30"/>
      <c r="HD99" s="30"/>
      <c r="HE99" s="30"/>
      <c r="HF99" s="30"/>
      <c r="HG99" s="30"/>
      <c r="HH99" s="30"/>
      <c r="HI99" s="30"/>
      <c r="HJ99" s="30"/>
      <c r="HK99" s="30"/>
      <c r="HL99" s="30"/>
      <c r="HM99" s="30"/>
      <c r="HN99" s="30"/>
      <c r="HO99" s="30"/>
      <c r="HP99" s="30"/>
      <c r="HQ99" s="30"/>
      <c r="HR99" s="30"/>
      <c r="HS99" s="30"/>
      <c r="HT99" s="30"/>
      <c r="HU99" s="30"/>
      <c r="HV99" s="30"/>
      <c r="HW99" s="30"/>
      <c r="HX99" s="30"/>
      <c r="HY99" s="30"/>
      <c r="HZ99" s="30"/>
      <c r="IA99" s="30"/>
      <c r="IB99" s="30"/>
      <c r="IC99" s="30"/>
      <c r="ID99" s="30"/>
      <c r="IE99" s="30"/>
      <c r="IF99" s="30"/>
      <c r="IG99" s="30"/>
      <c r="IH99" s="30"/>
      <c r="II99" s="30"/>
      <c r="IJ99" s="30"/>
      <c r="IK99" s="30"/>
      <c r="IL99" s="30"/>
      <c r="IM99" s="30"/>
      <c r="IN99" s="30"/>
      <c r="IO99" s="30"/>
      <c r="IP99" s="30"/>
      <c r="IQ99" s="30"/>
      <c r="IR99" s="30"/>
    </row>
    <row r="100" spans="1:252" s="29" customFormat="1" ht="13.8" x14ac:dyDescent="0.3">
      <c r="A100" s="121"/>
      <c r="B100" s="72" t="s">
        <v>64</v>
      </c>
      <c r="C100" s="36" t="s">
        <v>0</v>
      </c>
      <c r="D100" s="144">
        <v>199</v>
      </c>
      <c r="E100" s="112"/>
    </row>
    <row r="101" spans="1:252" s="28" customFormat="1" ht="13.8" x14ac:dyDescent="0.3">
      <c r="A101" s="122"/>
      <c r="B101" s="71" t="s">
        <v>65</v>
      </c>
      <c r="C101" s="36" t="s">
        <v>0</v>
      </c>
      <c r="D101" s="143">
        <v>1100</v>
      </c>
      <c r="E101" s="114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  <c r="DI101" s="35"/>
      <c r="DJ101" s="35"/>
      <c r="DK101" s="35"/>
      <c r="DL101" s="35"/>
      <c r="DM101" s="35"/>
      <c r="DN101" s="35"/>
      <c r="DO101" s="35"/>
      <c r="DP101" s="35"/>
      <c r="DQ101" s="35"/>
      <c r="DR101" s="35"/>
      <c r="DS101" s="35"/>
      <c r="DT101" s="35"/>
      <c r="DU101" s="35"/>
      <c r="DV101" s="35"/>
      <c r="DW101" s="35"/>
      <c r="DX101" s="35"/>
      <c r="DY101" s="35"/>
      <c r="DZ101" s="35"/>
      <c r="EA101" s="35"/>
      <c r="EB101" s="35"/>
      <c r="EC101" s="35"/>
      <c r="ED101" s="35"/>
      <c r="EE101" s="35"/>
      <c r="EF101" s="35"/>
      <c r="EG101" s="35"/>
      <c r="EH101" s="35"/>
      <c r="EI101" s="35"/>
      <c r="EJ101" s="35"/>
      <c r="EK101" s="35"/>
      <c r="EL101" s="35"/>
      <c r="EM101" s="35"/>
      <c r="EN101" s="35"/>
      <c r="EO101" s="35"/>
      <c r="EP101" s="35"/>
      <c r="EQ101" s="35"/>
      <c r="ER101" s="35"/>
      <c r="ES101" s="35"/>
      <c r="ET101" s="35"/>
      <c r="EU101" s="35"/>
      <c r="EV101" s="35"/>
      <c r="EW101" s="35"/>
      <c r="EX101" s="35"/>
      <c r="EY101" s="35"/>
      <c r="EZ101" s="35"/>
      <c r="FA101" s="35"/>
      <c r="FB101" s="35"/>
      <c r="FC101" s="35"/>
      <c r="FD101" s="35"/>
      <c r="FE101" s="35"/>
      <c r="FF101" s="35"/>
      <c r="FG101" s="35"/>
      <c r="FH101" s="35"/>
      <c r="FI101" s="35"/>
      <c r="FJ101" s="35"/>
      <c r="FK101" s="35"/>
      <c r="FL101" s="35"/>
      <c r="FM101" s="35"/>
      <c r="FN101" s="35"/>
      <c r="FO101" s="35"/>
      <c r="FP101" s="35"/>
      <c r="FQ101" s="35"/>
      <c r="FR101" s="35"/>
      <c r="FS101" s="35"/>
      <c r="FT101" s="35"/>
      <c r="FU101" s="35"/>
      <c r="FV101" s="35"/>
      <c r="FW101" s="35"/>
      <c r="FX101" s="35"/>
      <c r="FY101" s="35"/>
      <c r="FZ101" s="35"/>
      <c r="GA101" s="35"/>
      <c r="GB101" s="35"/>
      <c r="GC101" s="35"/>
      <c r="GD101" s="35"/>
      <c r="GE101" s="35"/>
      <c r="GF101" s="35"/>
      <c r="GG101" s="35"/>
      <c r="GH101" s="35"/>
      <c r="GI101" s="35"/>
      <c r="GJ101" s="35"/>
      <c r="GK101" s="35"/>
      <c r="GL101" s="35"/>
      <c r="GM101" s="35"/>
      <c r="GN101" s="35"/>
      <c r="GO101" s="35"/>
      <c r="GP101" s="35"/>
      <c r="GQ101" s="35"/>
      <c r="GR101" s="35"/>
      <c r="GS101" s="35"/>
      <c r="GT101" s="35"/>
      <c r="GU101" s="35"/>
      <c r="GV101" s="35"/>
      <c r="GW101" s="35"/>
      <c r="GX101" s="35"/>
      <c r="GY101" s="35"/>
      <c r="GZ101" s="35"/>
      <c r="HA101" s="35"/>
      <c r="HB101" s="35"/>
      <c r="HC101" s="35"/>
      <c r="HD101" s="35"/>
      <c r="HE101" s="35"/>
      <c r="HF101" s="35"/>
      <c r="HG101" s="35"/>
      <c r="HH101" s="35"/>
      <c r="HI101" s="35"/>
      <c r="HJ101" s="35"/>
      <c r="HK101" s="35"/>
      <c r="HL101" s="35"/>
      <c r="HM101" s="35"/>
      <c r="HN101" s="35"/>
      <c r="HO101" s="35"/>
      <c r="HP101" s="35"/>
      <c r="HQ101" s="35"/>
      <c r="HR101" s="35"/>
      <c r="HS101" s="35"/>
      <c r="HT101" s="35"/>
      <c r="HU101" s="35"/>
      <c r="HV101" s="35"/>
      <c r="HW101" s="35"/>
      <c r="HX101" s="35"/>
      <c r="HY101" s="35"/>
      <c r="HZ101" s="35"/>
      <c r="IA101" s="35"/>
      <c r="IB101" s="35"/>
      <c r="IC101" s="35"/>
      <c r="ID101" s="35"/>
      <c r="IE101" s="35"/>
      <c r="IF101" s="35"/>
      <c r="IG101" s="35"/>
      <c r="IH101" s="35"/>
      <c r="II101" s="35"/>
      <c r="IJ101" s="35"/>
      <c r="IK101" s="35"/>
      <c r="IL101" s="35"/>
      <c r="IM101" s="35"/>
      <c r="IN101" s="35"/>
      <c r="IO101" s="35"/>
      <c r="IP101" s="35"/>
      <c r="IQ101" s="35"/>
      <c r="IR101" s="35"/>
    </row>
    <row r="102" spans="1:252" s="29" customFormat="1" ht="13.8" customHeight="1" x14ac:dyDescent="0.3">
      <c r="A102" s="122" t="s">
        <v>157</v>
      </c>
      <c r="B102" s="70" t="s">
        <v>58</v>
      </c>
      <c r="C102" s="31" t="s">
        <v>19</v>
      </c>
      <c r="D102" s="142">
        <v>990</v>
      </c>
      <c r="E102" s="113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  <c r="CV102" s="30"/>
      <c r="CW102" s="30"/>
      <c r="CX102" s="30"/>
      <c r="CY102" s="30"/>
      <c r="CZ102" s="30"/>
      <c r="DA102" s="30"/>
      <c r="DB102" s="30"/>
      <c r="DC102" s="30"/>
      <c r="DD102" s="30"/>
      <c r="DE102" s="30"/>
      <c r="DF102" s="30"/>
      <c r="DG102" s="30"/>
      <c r="DH102" s="30"/>
      <c r="DI102" s="30"/>
      <c r="DJ102" s="30"/>
      <c r="DK102" s="30"/>
      <c r="DL102" s="30"/>
      <c r="DM102" s="30"/>
      <c r="DN102" s="30"/>
      <c r="DO102" s="30"/>
      <c r="DP102" s="30"/>
      <c r="DQ102" s="30"/>
      <c r="DR102" s="30"/>
      <c r="DS102" s="30"/>
      <c r="DT102" s="30"/>
      <c r="DU102" s="30"/>
      <c r="DV102" s="30"/>
      <c r="DW102" s="30"/>
      <c r="DX102" s="30"/>
      <c r="DY102" s="30"/>
      <c r="DZ102" s="30"/>
      <c r="EA102" s="30"/>
      <c r="EB102" s="30"/>
      <c r="EC102" s="30"/>
      <c r="ED102" s="30"/>
      <c r="EE102" s="30"/>
      <c r="EF102" s="30"/>
      <c r="EG102" s="30"/>
      <c r="EH102" s="30"/>
      <c r="EI102" s="30"/>
      <c r="EJ102" s="30"/>
      <c r="EK102" s="30"/>
      <c r="EL102" s="30"/>
      <c r="EM102" s="30"/>
      <c r="EN102" s="30"/>
      <c r="EO102" s="30"/>
      <c r="EP102" s="30"/>
      <c r="EQ102" s="30"/>
      <c r="ER102" s="30"/>
      <c r="ES102" s="30"/>
      <c r="ET102" s="30"/>
      <c r="EU102" s="30"/>
      <c r="EV102" s="30"/>
      <c r="EW102" s="30"/>
      <c r="EX102" s="30"/>
      <c r="EY102" s="30"/>
      <c r="EZ102" s="30"/>
      <c r="FA102" s="30"/>
      <c r="FB102" s="30"/>
      <c r="FC102" s="30"/>
      <c r="FD102" s="30"/>
      <c r="FE102" s="30"/>
      <c r="FF102" s="30"/>
      <c r="FG102" s="30"/>
      <c r="FH102" s="30"/>
      <c r="FI102" s="30"/>
      <c r="FJ102" s="30"/>
      <c r="FK102" s="30"/>
      <c r="FL102" s="30"/>
      <c r="FM102" s="30"/>
      <c r="FN102" s="30"/>
      <c r="FO102" s="30"/>
      <c r="FP102" s="30"/>
      <c r="FQ102" s="30"/>
      <c r="FR102" s="30"/>
      <c r="FS102" s="30"/>
      <c r="FT102" s="30"/>
      <c r="FU102" s="30"/>
      <c r="FV102" s="30"/>
      <c r="FW102" s="30"/>
      <c r="FX102" s="30"/>
      <c r="FY102" s="30"/>
      <c r="FZ102" s="30"/>
      <c r="GA102" s="30"/>
      <c r="GB102" s="30"/>
      <c r="GC102" s="30"/>
      <c r="GD102" s="30"/>
      <c r="GE102" s="30"/>
      <c r="GF102" s="30"/>
      <c r="GG102" s="30"/>
      <c r="GH102" s="30"/>
      <c r="GI102" s="30"/>
      <c r="GJ102" s="30"/>
      <c r="GK102" s="30"/>
      <c r="GL102" s="30"/>
      <c r="GM102" s="30"/>
      <c r="GN102" s="30"/>
      <c r="GO102" s="30"/>
      <c r="GP102" s="30"/>
      <c r="GQ102" s="30"/>
      <c r="GR102" s="30"/>
      <c r="GS102" s="30"/>
      <c r="GT102" s="30"/>
      <c r="GU102" s="30"/>
      <c r="GV102" s="30"/>
      <c r="GW102" s="30"/>
      <c r="GX102" s="30"/>
      <c r="GY102" s="30"/>
      <c r="GZ102" s="30"/>
      <c r="HA102" s="30"/>
      <c r="HB102" s="30"/>
      <c r="HC102" s="30"/>
      <c r="HD102" s="30"/>
      <c r="HE102" s="30"/>
      <c r="HF102" s="30"/>
      <c r="HG102" s="30"/>
      <c r="HH102" s="30"/>
      <c r="HI102" s="30"/>
      <c r="HJ102" s="30"/>
      <c r="HK102" s="30"/>
      <c r="HL102" s="30"/>
      <c r="HM102" s="30"/>
      <c r="HN102" s="30"/>
      <c r="HO102" s="30"/>
      <c r="HP102" s="30"/>
      <c r="HQ102" s="30"/>
      <c r="HR102" s="30"/>
      <c r="HS102" s="30"/>
      <c r="HT102" s="30"/>
      <c r="HU102" s="30"/>
      <c r="HV102" s="30"/>
      <c r="HW102" s="30"/>
      <c r="HX102" s="30"/>
      <c r="HY102" s="30"/>
      <c r="HZ102" s="30"/>
      <c r="IA102" s="30"/>
      <c r="IB102" s="30"/>
      <c r="IC102" s="30"/>
      <c r="ID102" s="30"/>
      <c r="IE102" s="30"/>
      <c r="IF102" s="30"/>
      <c r="IG102" s="30"/>
      <c r="IH102" s="30"/>
      <c r="II102" s="30"/>
      <c r="IJ102" s="30"/>
      <c r="IK102" s="30"/>
      <c r="IL102" s="30"/>
      <c r="IM102" s="30"/>
      <c r="IN102" s="30"/>
      <c r="IO102" s="30"/>
      <c r="IP102" s="30"/>
      <c r="IQ102" s="30"/>
      <c r="IR102" s="30"/>
    </row>
    <row r="103" spans="1:252" s="35" customFormat="1" ht="13.8" x14ac:dyDescent="0.3">
      <c r="A103" s="121"/>
      <c r="B103" s="72" t="s">
        <v>61</v>
      </c>
      <c r="C103" s="36" t="s">
        <v>0</v>
      </c>
      <c r="D103" s="144">
        <v>390</v>
      </c>
      <c r="E103" s="112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29"/>
      <c r="CC103" s="29"/>
      <c r="CD103" s="29"/>
      <c r="CE103" s="29"/>
      <c r="CF103" s="29"/>
      <c r="CG103" s="29"/>
      <c r="CH103" s="29"/>
      <c r="CI103" s="29"/>
      <c r="CJ103" s="29"/>
      <c r="CK103" s="29"/>
      <c r="CL103" s="29"/>
      <c r="CM103" s="29"/>
      <c r="CN103" s="29"/>
      <c r="CO103" s="29"/>
      <c r="CP103" s="29"/>
      <c r="CQ103" s="29"/>
      <c r="CR103" s="29"/>
      <c r="CS103" s="29"/>
      <c r="CT103" s="29"/>
      <c r="CU103" s="29"/>
      <c r="CV103" s="29"/>
      <c r="CW103" s="29"/>
      <c r="CX103" s="29"/>
      <c r="CY103" s="29"/>
      <c r="CZ103" s="29"/>
      <c r="DA103" s="29"/>
      <c r="DB103" s="29"/>
      <c r="DC103" s="29"/>
      <c r="DD103" s="29"/>
      <c r="DE103" s="29"/>
      <c r="DF103" s="29"/>
      <c r="DG103" s="29"/>
      <c r="DH103" s="29"/>
      <c r="DI103" s="29"/>
      <c r="DJ103" s="29"/>
      <c r="DK103" s="29"/>
      <c r="DL103" s="29"/>
      <c r="DM103" s="29"/>
      <c r="DN103" s="29"/>
      <c r="DO103" s="29"/>
      <c r="DP103" s="29"/>
      <c r="DQ103" s="29"/>
      <c r="DR103" s="29"/>
      <c r="DS103" s="29"/>
      <c r="DT103" s="29"/>
      <c r="DU103" s="29"/>
      <c r="DV103" s="29"/>
      <c r="DW103" s="29"/>
      <c r="DX103" s="29"/>
      <c r="DY103" s="29"/>
      <c r="DZ103" s="29"/>
      <c r="EA103" s="29"/>
      <c r="EB103" s="29"/>
      <c r="EC103" s="29"/>
      <c r="ED103" s="29"/>
      <c r="EE103" s="29"/>
      <c r="EF103" s="29"/>
      <c r="EG103" s="29"/>
      <c r="EH103" s="29"/>
      <c r="EI103" s="29"/>
      <c r="EJ103" s="29"/>
      <c r="EK103" s="29"/>
      <c r="EL103" s="29"/>
      <c r="EM103" s="29"/>
      <c r="EN103" s="29"/>
      <c r="EO103" s="29"/>
      <c r="EP103" s="29"/>
      <c r="EQ103" s="29"/>
      <c r="ER103" s="29"/>
      <c r="ES103" s="29"/>
      <c r="ET103" s="29"/>
      <c r="EU103" s="29"/>
      <c r="EV103" s="29"/>
      <c r="EW103" s="29"/>
      <c r="EX103" s="29"/>
      <c r="EY103" s="29"/>
      <c r="EZ103" s="29"/>
      <c r="FA103" s="29"/>
      <c r="FB103" s="29"/>
      <c r="FC103" s="29"/>
      <c r="FD103" s="29"/>
      <c r="FE103" s="29"/>
      <c r="FF103" s="29"/>
      <c r="FG103" s="29"/>
      <c r="FH103" s="29"/>
      <c r="FI103" s="29"/>
      <c r="FJ103" s="29"/>
      <c r="FK103" s="29"/>
      <c r="FL103" s="29"/>
      <c r="FM103" s="29"/>
      <c r="FN103" s="29"/>
      <c r="FO103" s="29"/>
      <c r="FP103" s="29"/>
      <c r="FQ103" s="29"/>
      <c r="FR103" s="29"/>
      <c r="FS103" s="29"/>
      <c r="FT103" s="29"/>
      <c r="FU103" s="29"/>
      <c r="FV103" s="29"/>
      <c r="FW103" s="29"/>
      <c r="FX103" s="29"/>
      <c r="FY103" s="29"/>
      <c r="FZ103" s="29"/>
      <c r="GA103" s="29"/>
      <c r="GB103" s="29"/>
      <c r="GC103" s="29"/>
      <c r="GD103" s="29"/>
      <c r="GE103" s="29"/>
      <c r="GF103" s="29"/>
      <c r="GG103" s="29"/>
      <c r="GH103" s="29"/>
      <c r="GI103" s="29"/>
      <c r="GJ103" s="29"/>
      <c r="GK103" s="29"/>
      <c r="GL103" s="29"/>
      <c r="GM103" s="29"/>
      <c r="GN103" s="29"/>
      <c r="GO103" s="29"/>
      <c r="GP103" s="29"/>
      <c r="GQ103" s="29"/>
      <c r="GR103" s="29"/>
      <c r="GS103" s="29"/>
      <c r="GT103" s="29"/>
      <c r="GU103" s="29"/>
      <c r="GV103" s="29"/>
      <c r="GW103" s="29"/>
      <c r="GX103" s="29"/>
      <c r="GY103" s="29"/>
      <c r="GZ103" s="29"/>
      <c r="HA103" s="29"/>
      <c r="HB103" s="29"/>
      <c r="HC103" s="29"/>
      <c r="HD103" s="29"/>
      <c r="HE103" s="29"/>
      <c r="HF103" s="29"/>
      <c r="HG103" s="29"/>
      <c r="HH103" s="29"/>
      <c r="HI103" s="29"/>
      <c r="HJ103" s="29"/>
      <c r="HK103" s="29"/>
      <c r="HL103" s="29"/>
      <c r="HM103" s="29"/>
      <c r="HN103" s="29"/>
      <c r="HO103" s="29"/>
      <c r="HP103" s="29"/>
      <c r="HQ103" s="29"/>
      <c r="HR103" s="29"/>
      <c r="HS103" s="29"/>
      <c r="HT103" s="29"/>
      <c r="HU103" s="29"/>
      <c r="HV103" s="29"/>
      <c r="HW103" s="29"/>
      <c r="HX103" s="29"/>
      <c r="HY103" s="29"/>
      <c r="HZ103" s="29"/>
      <c r="IA103" s="29"/>
      <c r="IB103" s="29"/>
      <c r="IC103" s="29"/>
      <c r="ID103" s="29"/>
      <c r="IE103" s="29"/>
      <c r="IF103" s="29"/>
      <c r="IG103" s="29"/>
      <c r="IH103" s="29"/>
      <c r="II103" s="29"/>
      <c r="IJ103" s="29"/>
      <c r="IK103" s="29"/>
      <c r="IL103" s="29"/>
      <c r="IM103" s="29"/>
      <c r="IN103" s="29"/>
      <c r="IO103" s="29"/>
      <c r="IP103" s="29"/>
      <c r="IQ103" s="29"/>
      <c r="IR103" s="29"/>
    </row>
    <row r="104" spans="1:252" s="35" customFormat="1" ht="13.35" customHeight="1" x14ac:dyDescent="0.3">
      <c r="A104" s="121"/>
      <c r="B104" s="72" t="s">
        <v>62</v>
      </c>
      <c r="C104" s="36" t="s">
        <v>0</v>
      </c>
      <c r="D104" s="144">
        <v>280</v>
      </c>
      <c r="E104" s="112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  <c r="BW104" s="29"/>
      <c r="BX104" s="29"/>
      <c r="BY104" s="29"/>
      <c r="BZ104" s="29"/>
      <c r="CA104" s="29"/>
      <c r="CB104" s="29"/>
      <c r="CC104" s="29"/>
      <c r="CD104" s="29"/>
      <c r="CE104" s="29"/>
      <c r="CF104" s="29"/>
      <c r="CG104" s="29"/>
      <c r="CH104" s="29"/>
      <c r="CI104" s="29"/>
      <c r="CJ104" s="29"/>
      <c r="CK104" s="29"/>
      <c r="CL104" s="29"/>
      <c r="CM104" s="29"/>
      <c r="CN104" s="29"/>
      <c r="CO104" s="29"/>
      <c r="CP104" s="29"/>
      <c r="CQ104" s="29"/>
      <c r="CR104" s="29"/>
      <c r="CS104" s="29"/>
      <c r="CT104" s="29"/>
      <c r="CU104" s="29"/>
      <c r="CV104" s="29"/>
      <c r="CW104" s="29"/>
      <c r="CX104" s="29"/>
      <c r="CY104" s="29"/>
      <c r="CZ104" s="29"/>
      <c r="DA104" s="29"/>
      <c r="DB104" s="29"/>
      <c r="DC104" s="29"/>
      <c r="DD104" s="29"/>
      <c r="DE104" s="29"/>
      <c r="DF104" s="29"/>
      <c r="DG104" s="29"/>
      <c r="DH104" s="29"/>
      <c r="DI104" s="29"/>
      <c r="DJ104" s="29"/>
      <c r="DK104" s="29"/>
      <c r="DL104" s="29"/>
      <c r="DM104" s="29"/>
      <c r="DN104" s="29"/>
      <c r="DO104" s="29"/>
      <c r="DP104" s="29"/>
      <c r="DQ104" s="29"/>
      <c r="DR104" s="29"/>
      <c r="DS104" s="29"/>
      <c r="DT104" s="29"/>
      <c r="DU104" s="29"/>
      <c r="DV104" s="29"/>
      <c r="DW104" s="29"/>
      <c r="DX104" s="29"/>
      <c r="DY104" s="29"/>
      <c r="DZ104" s="29"/>
      <c r="EA104" s="29"/>
      <c r="EB104" s="29"/>
      <c r="EC104" s="29"/>
      <c r="ED104" s="29"/>
      <c r="EE104" s="29"/>
      <c r="EF104" s="29"/>
      <c r="EG104" s="29"/>
      <c r="EH104" s="29"/>
      <c r="EI104" s="29"/>
      <c r="EJ104" s="29"/>
      <c r="EK104" s="29"/>
      <c r="EL104" s="29"/>
      <c r="EM104" s="29"/>
      <c r="EN104" s="29"/>
      <c r="EO104" s="29"/>
      <c r="EP104" s="29"/>
      <c r="EQ104" s="29"/>
      <c r="ER104" s="29"/>
      <c r="ES104" s="29"/>
      <c r="ET104" s="29"/>
      <c r="EU104" s="29"/>
      <c r="EV104" s="29"/>
      <c r="EW104" s="29"/>
      <c r="EX104" s="29"/>
      <c r="EY104" s="29"/>
      <c r="EZ104" s="29"/>
      <c r="FA104" s="29"/>
      <c r="FB104" s="29"/>
      <c r="FC104" s="29"/>
      <c r="FD104" s="29"/>
      <c r="FE104" s="29"/>
      <c r="FF104" s="29"/>
      <c r="FG104" s="29"/>
      <c r="FH104" s="29"/>
      <c r="FI104" s="29"/>
      <c r="FJ104" s="29"/>
      <c r="FK104" s="29"/>
      <c r="FL104" s="29"/>
      <c r="FM104" s="29"/>
      <c r="FN104" s="29"/>
      <c r="FO104" s="29"/>
      <c r="FP104" s="29"/>
      <c r="FQ104" s="29"/>
      <c r="FR104" s="29"/>
      <c r="FS104" s="29"/>
      <c r="FT104" s="29"/>
      <c r="FU104" s="29"/>
      <c r="FV104" s="29"/>
      <c r="FW104" s="29"/>
      <c r="FX104" s="29"/>
      <c r="FY104" s="29"/>
      <c r="FZ104" s="29"/>
      <c r="GA104" s="29"/>
      <c r="GB104" s="29"/>
      <c r="GC104" s="29"/>
      <c r="GD104" s="29"/>
      <c r="GE104" s="29"/>
      <c r="GF104" s="29"/>
      <c r="GG104" s="29"/>
      <c r="GH104" s="29"/>
      <c r="GI104" s="29"/>
      <c r="GJ104" s="29"/>
      <c r="GK104" s="29"/>
      <c r="GL104" s="29"/>
      <c r="GM104" s="29"/>
      <c r="GN104" s="29"/>
      <c r="GO104" s="29"/>
      <c r="GP104" s="29"/>
      <c r="GQ104" s="29"/>
      <c r="GR104" s="29"/>
      <c r="GS104" s="29"/>
      <c r="GT104" s="29"/>
      <c r="GU104" s="29"/>
      <c r="GV104" s="29"/>
      <c r="GW104" s="29"/>
      <c r="GX104" s="29"/>
      <c r="GY104" s="29"/>
      <c r="GZ104" s="29"/>
      <c r="HA104" s="29"/>
      <c r="HB104" s="29"/>
      <c r="HC104" s="29"/>
      <c r="HD104" s="29"/>
      <c r="HE104" s="29"/>
      <c r="HF104" s="29"/>
      <c r="HG104" s="29"/>
      <c r="HH104" s="29"/>
      <c r="HI104" s="29"/>
      <c r="HJ104" s="29"/>
      <c r="HK104" s="29"/>
      <c r="HL104" s="29"/>
      <c r="HM104" s="29"/>
      <c r="HN104" s="29"/>
      <c r="HO104" s="29"/>
      <c r="HP104" s="29"/>
      <c r="HQ104" s="29"/>
      <c r="HR104" s="29"/>
      <c r="HS104" s="29"/>
      <c r="HT104" s="29"/>
      <c r="HU104" s="29"/>
      <c r="HV104" s="29"/>
      <c r="HW104" s="29"/>
      <c r="HX104" s="29"/>
      <c r="HY104" s="29"/>
      <c r="HZ104" s="29"/>
      <c r="IA104" s="29"/>
      <c r="IB104" s="29"/>
      <c r="IC104" s="29"/>
      <c r="ID104" s="29"/>
      <c r="IE104" s="29"/>
      <c r="IF104" s="29"/>
      <c r="IG104" s="29"/>
      <c r="IH104" s="29"/>
      <c r="II104" s="29"/>
      <c r="IJ104" s="29"/>
      <c r="IK104" s="29"/>
      <c r="IL104" s="29"/>
      <c r="IM104" s="29"/>
      <c r="IN104" s="29"/>
      <c r="IO104" s="29"/>
      <c r="IP104" s="29"/>
      <c r="IQ104" s="29"/>
      <c r="IR104" s="29"/>
    </row>
    <row r="105" spans="1:252" s="35" customFormat="1" ht="13.35" customHeight="1" x14ac:dyDescent="0.3">
      <c r="A105" s="121"/>
      <c r="B105" s="72" t="s">
        <v>63</v>
      </c>
      <c r="C105" s="36" t="s">
        <v>105</v>
      </c>
      <c r="D105" s="144">
        <v>1100</v>
      </c>
      <c r="E105" s="112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  <c r="BV105" s="29"/>
      <c r="BW105" s="29"/>
      <c r="BX105" s="29"/>
      <c r="BY105" s="29"/>
      <c r="BZ105" s="29"/>
      <c r="CA105" s="29"/>
      <c r="CB105" s="29"/>
      <c r="CC105" s="29"/>
      <c r="CD105" s="29"/>
      <c r="CE105" s="29"/>
      <c r="CF105" s="29"/>
      <c r="CG105" s="29"/>
      <c r="CH105" s="29"/>
      <c r="CI105" s="29"/>
      <c r="CJ105" s="29"/>
      <c r="CK105" s="29"/>
      <c r="CL105" s="29"/>
      <c r="CM105" s="29"/>
      <c r="CN105" s="29"/>
      <c r="CO105" s="29"/>
      <c r="CP105" s="29"/>
      <c r="CQ105" s="29"/>
      <c r="CR105" s="29"/>
      <c r="CS105" s="29"/>
      <c r="CT105" s="29"/>
      <c r="CU105" s="29"/>
      <c r="CV105" s="29"/>
      <c r="CW105" s="29"/>
      <c r="CX105" s="29"/>
      <c r="CY105" s="29"/>
      <c r="CZ105" s="29"/>
      <c r="DA105" s="29"/>
      <c r="DB105" s="29"/>
      <c r="DC105" s="29"/>
      <c r="DD105" s="29"/>
      <c r="DE105" s="29"/>
      <c r="DF105" s="29"/>
      <c r="DG105" s="29"/>
      <c r="DH105" s="29"/>
      <c r="DI105" s="29"/>
      <c r="DJ105" s="29"/>
      <c r="DK105" s="29"/>
      <c r="DL105" s="29"/>
      <c r="DM105" s="29"/>
      <c r="DN105" s="29"/>
      <c r="DO105" s="29"/>
      <c r="DP105" s="29"/>
      <c r="DQ105" s="29"/>
      <c r="DR105" s="29"/>
      <c r="DS105" s="29"/>
      <c r="DT105" s="29"/>
      <c r="DU105" s="29"/>
      <c r="DV105" s="29"/>
      <c r="DW105" s="29"/>
      <c r="DX105" s="29"/>
      <c r="DY105" s="29"/>
      <c r="DZ105" s="29"/>
      <c r="EA105" s="29"/>
      <c r="EB105" s="29"/>
      <c r="EC105" s="29"/>
      <c r="ED105" s="29"/>
      <c r="EE105" s="29"/>
      <c r="EF105" s="29"/>
      <c r="EG105" s="29"/>
      <c r="EH105" s="29"/>
      <c r="EI105" s="29"/>
      <c r="EJ105" s="29"/>
      <c r="EK105" s="29"/>
      <c r="EL105" s="29"/>
      <c r="EM105" s="29"/>
      <c r="EN105" s="29"/>
      <c r="EO105" s="29"/>
      <c r="EP105" s="29"/>
      <c r="EQ105" s="29"/>
      <c r="ER105" s="29"/>
      <c r="ES105" s="29"/>
      <c r="ET105" s="29"/>
      <c r="EU105" s="29"/>
      <c r="EV105" s="29"/>
      <c r="EW105" s="29"/>
      <c r="EX105" s="29"/>
      <c r="EY105" s="29"/>
      <c r="EZ105" s="29"/>
      <c r="FA105" s="29"/>
      <c r="FB105" s="29"/>
      <c r="FC105" s="29"/>
      <c r="FD105" s="29"/>
      <c r="FE105" s="29"/>
      <c r="FF105" s="29"/>
      <c r="FG105" s="29"/>
      <c r="FH105" s="29"/>
      <c r="FI105" s="29"/>
      <c r="FJ105" s="29"/>
      <c r="FK105" s="29"/>
      <c r="FL105" s="29"/>
      <c r="FM105" s="29"/>
      <c r="FN105" s="29"/>
      <c r="FO105" s="29"/>
      <c r="FP105" s="29"/>
      <c r="FQ105" s="29"/>
      <c r="FR105" s="29"/>
      <c r="FS105" s="29"/>
      <c r="FT105" s="29"/>
      <c r="FU105" s="29"/>
      <c r="FV105" s="29"/>
      <c r="FW105" s="29"/>
      <c r="FX105" s="29"/>
      <c r="FY105" s="29"/>
      <c r="FZ105" s="29"/>
      <c r="GA105" s="29"/>
      <c r="GB105" s="29"/>
      <c r="GC105" s="29"/>
      <c r="GD105" s="29"/>
      <c r="GE105" s="29"/>
      <c r="GF105" s="29"/>
      <c r="GG105" s="29"/>
      <c r="GH105" s="29"/>
      <c r="GI105" s="29"/>
      <c r="GJ105" s="29"/>
      <c r="GK105" s="29"/>
      <c r="GL105" s="29"/>
      <c r="GM105" s="29"/>
      <c r="GN105" s="29"/>
      <c r="GO105" s="29"/>
      <c r="GP105" s="29"/>
      <c r="GQ105" s="29"/>
      <c r="GR105" s="29"/>
      <c r="GS105" s="29"/>
      <c r="GT105" s="29"/>
      <c r="GU105" s="29"/>
      <c r="GV105" s="29"/>
      <c r="GW105" s="29"/>
      <c r="GX105" s="29"/>
      <c r="GY105" s="29"/>
      <c r="GZ105" s="29"/>
      <c r="HA105" s="29"/>
      <c r="HB105" s="29"/>
      <c r="HC105" s="29"/>
      <c r="HD105" s="29"/>
      <c r="HE105" s="29"/>
      <c r="HF105" s="29"/>
      <c r="HG105" s="29"/>
      <c r="HH105" s="29"/>
      <c r="HI105" s="29"/>
      <c r="HJ105" s="29"/>
      <c r="HK105" s="29"/>
      <c r="HL105" s="29"/>
      <c r="HM105" s="29"/>
      <c r="HN105" s="29"/>
      <c r="HO105" s="29"/>
      <c r="HP105" s="29"/>
      <c r="HQ105" s="29"/>
      <c r="HR105" s="29"/>
      <c r="HS105" s="29"/>
      <c r="HT105" s="29"/>
      <c r="HU105" s="29"/>
      <c r="HV105" s="29"/>
      <c r="HW105" s="29"/>
      <c r="HX105" s="29"/>
      <c r="HY105" s="29"/>
      <c r="HZ105" s="29"/>
      <c r="IA105" s="29"/>
      <c r="IB105" s="29"/>
      <c r="IC105" s="29"/>
      <c r="ID105" s="29"/>
      <c r="IE105" s="29"/>
      <c r="IF105" s="29"/>
      <c r="IG105" s="29"/>
      <c r="IH105" s="29"/>
      <c r="II105" s="29"/>
      <c r="IJ105" s="29"/>
      <c r="IK105" s="29"/>
      <c r="IL105" s="29"/>
      <c r="IM105" s="29"/>
      <c r="IN105" s="29"/>
      <c r="IO105" s="29"/>
      <c r="IP105" s="29"/>
      <c r="IQ105" s="29"/>
      <c r="IR105" s="29"/>
    </row>
    <row r="106" spans="1:252" s="29" customFormat="1" x14ac:dyDescent="0.3">
      <c r="A106" s="122" t="s">
        <v>156</v>
      </c>
      <c r="B106" s="70" t="s">
        <v>59</v>
      </c>
      <c r="C106" s="31" t="s">
        <v>3</v>
      </c>
      <c r="D106" s="142">
        <v>9900</v>
      </c>
      <c r="E106" s="113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  <c r="CB106" s="30"/>
      <c r="CC106" s="30"/>
      <c r="CD106" s="3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  <c r="CU106" s="30"/>
      <c r="CV106" s="30"/>
      <c r="CW106" s="30"/>
      <c r="CX106" s="30"/>
      <c r="CY106" s="30"/>
      <c r="CZ106" s="30"/>
      <c r="DA106" s="30"/>
      <c r="DB106" s="30"/>
      <c r="DC106" s="30"/>
      <c r="DD106" s="30"/>
      <c r="DE106" s="30"/>
      <c r="DF106" s="30"/>
      <c r="DG106" s="30"/>
      <c r="DH106" s="30"/>
      <c r="DI106" s="30"/>
      <c r="DJ106" s="30"/>
      <c r="DK106" s="30"/>
      <c r="DL106" s="30"/>
      <c r="DM106" s="30"/>
      <c r="DN106" s="30"/>
      <c r="DO106" s="30"/>
      <c r="DP106" s="30"/>
      <c r="DQ106" s="30"/>
      <c r="DR106" s="30"/>
      <c r="DS106" s="30"/>
      <c r="DT106" s="30"/>
      <c r="DU106" s="30"/>
      <c r="DV106" s="30"/>
      <c r="DW106" s="30"/>
      <c r="DX106" s="30"/>
      <c r="DY106" s="30"/>
      <c r="DZ106" s="30"/>
      <c r="EA106" s="30"/>
      <c r="EB106" s="30"/>
      <c r="EC106" s="30"/>
      <c r="ED106" s="30"/>
      <c r="EE106" s="30"/>
      <c r="EF106" s="30"/>
      <c r="EG106" s="30"/>
      <c r="EH106" s="30"/>
      <c r="EI106" s="30"/>
      <c r="EJ106" s="30"/>
      <c r="EK106" s="30"/>
      <c r="EL106" s="30"/>
      <c r="EM106" s="30"/>
      <c r="EN106" s="30"/>
      <c r="EO106" s="30"/>
      <c r="EP106" s="30"/>
      <c r="EQ106" s="30"/>
      <c r="ER106" s="30"/>
      <c r="ES106" s="30"/>
      <c r="ET106" s="30"/>
      <c r="EU106" s="30"/>
      <c r="EV106" s="30"/>
      <c r="EW106" s="30"/>
      <c r="EX106" s="30"/>
      <c r="EY106" s="30"/>
      <c r="EZ106" s="30"/>
      <c r="FA106" s="30"/>
      <c r="FB106" s="30"/>
      <c r="FC106" s="30"/>
      <c r="FD106" s="30"/>
      <c r="FE106" s="30"/>
      <c r="FF106" s="30"/>
      <c r="FG106" s="30"/>
      <c r="FH106" s="30"/>
      <c r="FI106" s="30"/>
      <c r="FJ106" s="30"/>
      <c r="FK106" s="30"/>
      <c r="FL106" s="30"/>
      <c r="FM106" s="30"/>
      <c r="FN106" s="30"/>
      <c r="FO106" s="30"/>
      <c r="FP106" s="30"/>
      <c r="FQ106" s="30"/>
      <c r="FR106" s="30"/>
      <c r="FS106" s="30"/>
      <c r="FT106" s="30"/>
      <c r="FU106" s="30"/>
      <c r="FV106" s="30"/>
      <c r="FW106" s="30"/>
      <c r="FX106" s="30"/>
      <c r="FY106" s="30"/>
      <c r="FZ106" s="30"/>
      <c r="GA106" s="30"/>
      <c r="GB106" s="30"/>
      <c r="GC106" s="30"/>
      <c r="GD106" s="30"/>
      <c r="GE106" s="30"/>
      <c r="GF106" s="30"/>
      <c r="GG106" s="30"/>
      <c r="GH106" s="30"/>
      <c r="GI106" s="30"/>
      <c r="GJ106" s="30"/>
      <c r="GK106" s="30"/>
      <c r="GL106" s="30"/>
      <c r="GM106" s="30"/>
      <c r="GN106" s="30"/>
      <c r="GO106" s="30"/>
      <c r="GP106" s="30"/>
      <c r="GQ106" s="30"/>
      <c r="GR106" s="30"/>
      <c r="GS106" s="30"/>
      <c r="GT106" s="30"/>
      <c r="GU106" s="30"/>
      <c r="GV106" s="30"/>
      <c r="GW106" s="30"/>
      <c r="GX106" s="30"/>
      <c r="GY106" s="30"/>
      <c r="GZ106" s="30"/>
      <c r="HA106" s="30"/>
      <c r="HB106" s="30"/>
      <c r="HC106" s="30"/>
      <c r="HD106" s="30"/>
      <c r="HE106" s="30"/>
      <c r="HF106" s="30"/>
      <c r="HG106" s="30"/>
      <c r="HH106" s="30"/>
      <c r="HI106" s="30"/>
      <c r="HJ106" s="30"/>
      <c r="HK106" s="30"/>
      <c r="HL106" s="30"/>
      <c r="HM106" s="30"/>
      <c r="HN106" s="30"/>
      <c r="HO106" s="30"/>
      <c r="HP106" s="30"/>
      <c r="HQ106" s="30"/>
      <c r="HR106" s="30"/>
      <c r="HS106" s="30"/>
      <c r="HT106" s="30"/>
      <c r="HU106" s="30"/>
      <c r="HV106" s="30"/>
      <c r="HW106" s="30"/>
      <c r="HX106" s="30"/>
      <c r="HY106" s="30"/>
      <c r="HZ106" s="30"/>
      <c r="IA106" s="30"/>
      <c r="IB106" s="30"/>
      <c r="IC106" s="30"/>
      <c r="ID106" s="30"/>
      <c r="IE106" s="30"/>
      <c r="IF106" s="30"/>
      <c r="IG106" s="30"/>
      <c r="IH106" s="30"/>
      <c r="II106" s="30"/>
      <c r="IJ106" s="30"/>
      <c r="IK106" s="30"/>
      <c r="IL106" s="30"/>
      <c r="IM106" s="30"/>
      <c r="IN106" s="30"/>
      <c r="IO106" s="30"/>
      <c r="IP106" s="30"/>
      <c r="IQ106" s="30"/>
      <c r="IR106" s="30"/>
    </row>
    <row r="107" spans="1:252" s="29" customFormat="1" ht="13.8" x14ac:dyDescent="0.3">
      <c r="A107" s="121"/>
      <c r="B107" s="72" t="s">
        <v>190</v>
      </c>
      <c r="C107" s="36" t="s">
        <v>3</v>
      </c>
      <c r="D107" s="144">
        <v>15000</v>
      </c>
      <c r="E107" s="112"/>
    </row>
    <row r="108" spans="1:252" s="29" customFormat="1" ht="13.8" x14ac:dyDescent="0.3">
      <c r="A108" s="121"/>
      <c r="B108" s="72" t="s">
        <v>60</v>
      </c>
      <c r="C108" s="33" t="s">
        <v>22</v>
      </c>
      <c r="D108" s="144">
        <v>24000</v>
      </c>
      <c r="E108" s="112"/>
    </row>
    <row r="109" spans="1:252" s="29" customFormat="1" ht="13.8" x14ac:dyDescent="0.3">
      <c r="A109" s="121"/>
      <c r="B109" s="73" t="s">
        <v>24</v>
      </c>
      <c r="C109" s="33" t="s">
        <v>22</v>
      </c>
      <c r="D109" s="145">
        <v>900</v>
      </c>
      <c r="E109" s="112"/>
    </row>
    <row r="110" spans="1:252" s="11" customFormat="1" ht="14.4" customHeight="1" x14ac:dyDescent="0.3">
      <c r="A110" s="60"/>
      <c r="B110" s="68" t="s">
        <v>12</v>
      </c>
      <c r="C110" s="65"/>
      <c r="D110" s="130"/>
      <c r="E110" s="26"/>
    </row>
    <row r="111" spans="1:252" s="12" customFormat="1" ht="14.4" customHeight="1" x14ac:dyDescent="0.3">
      <c r="A111" s="115"/>
      <c r="B111" s="8" t="s">
        <v>11</v>
      </c>
      <c r="C111" s="66"/>
      <c r="D111" s="127"/>
      <c r="E111" s="27"/>
    </row>
    <row r="112" spans="1:252" s="29" customFormat="1" ht="13.8" x14ac:dyDescent="0.3">
      <c r="A112" s="123"/>
      <c r="B112" s="34"/>
      <c r="C112" s="32"/>
      <c r="D112" s="146"/>
      <c r="E112" s="112"/>
    </row>
    <row r="113" spans="1:5" s="28" customFormat="1" x14ac:dyDescent="0.3">
      <c r="A113" s="115">
        <v>5</v>
      </c>
      <c r="B113" s="20" t="s">
        <v>119</v>
      </c>
      <c r="C113" s="21" t="s">
        <v>121</v>
      </c>
      <c r="D113" s="147" t="s">
        <v>13</v>
      </c>
      <c r="E113" s="15"/>
    </row>
    <row r="114" spans="1:5" s="95" customFormat="1" x14ac:dyDescent="0.3">
      <c r="A114" s="25" t="s">
        <v>159</v>
      </c>
      <c r="B114" s="24" t="s">
        <v>66</v>
      </c>
      <c r="C114" s="22" t="s">
        <v>1</v>
      </c>
      <c r="D114" s="133">
        <v>900</v>
      </c>
      <c r="E114" s="23"/>
    </row>
    <row r="115" spans="1:5" s="95" customFormat="1" ht="27.6" x14ac:dyDescent="0.3">
      <c r="A115" s="25" t="s">
        <v>160</v>
      </c>
      <c r="B115" s="24" t="s">
        <v>67</v>
      </c>
      <c r="C115" s="22" t="s">
        <v>1</v>
      </c>
      <c r="D115" s="133">
        <v>150</v>
      </c>
      <c r="E115" s="23"/>
    </row>
    <row r="116" spans="1:5" s="95" customFormat="1" ht="27.6" x14ac:dyDescent="0.3">
      <c r="A116" s="25" t="s">
        <v>158</v>
      </c>
      <c r="B116" s="24" t="s">
        <v>68</v>
      </c>
      <c r="C116" s="22" t="s">
        <v>1</v>
      </c>
      <c r="D116" s="133">
        <v>150</v>
      </c>
      <c r="E116" s="23"/>
    </row>
    <row r="117" spans="1:5" s="95" customFormat="1" ht="27.6" x14ac:dyDescent="0.3">
      <c r="A117" s="25" t="s">
        <v>161</v>
      </c>
      <c r="B117" s="24" t="s">
        <v>69</v>
      </c>
      <c r="C117" s="22" t="s">
        <v>1</v>
      </c>
      <c r="D117" s="133">
        <v>180</v>
      </c>
      <c r="E117" s="23"/>
    </row>
    <row r="118" spans="1:5" s="95" customFormat="1" ht="13.8" x14ac:dyDescent="0.3">
      <c r="A118" s="25"/>
      <c r="B118" s="24" t="s">
        <v>70</v>
      </c>
      <c r="C118" s="22" t="s">
        <v>0</v>
      </c>
      <c r="D118" s="133">
        <v>190</v>
      </c>
      <c r="E118" s="102"/>
    </row>
    <row r="119" spans="1:5" s="95" customFormat="1" x14ac:dyDescent="0.3">
      <c r="A119" s="25"/>
      <c r="B119" s="24" t="s">
        <v>71</v>
      </c>
      <c r="C119" s="22" t="s">
        <v>0</v>
      </c>
      <c r="D119" s="133">
        <v>170</v>
      </c>
      <c r="E119" s="23"/>
    </row>
    <row r="120" spans="1:5" s="95" customFormat="1" x14ac:dyDescent="0.3">
      <c r="A120" s="25"/>
      <c r="B120" s="24" t="s">
        <v>72</v>
      </c>
      <c r="C120" s="22" t="s">
        <v>73</v>
      </c>
      <c r="D120" s="133">
        <v>1500</v>
      </c>
      <c r="E120" s="23"/>
    </row>
    <row r="121" spans="1:5" s="95" customFormat="1" x14ac:dyDescent="0.3">
      <c r="A121" s="25" t="s">
        <v>162</v>
      </c>
      <c r="B121" s="24" t="s">
        <v>74</v>
      </c>
      <c r="C121" s="22" t="s">
        <v>1</v>
      </c>
      <c r="D121" s="133">
        <v>400</v>
      </c>
      <c r="E121" s="23"/>
    </row>
    <row r="122" spans="1:5" s="95" customFormat="1" x14ac:dyDescent="0.3">
      <c r="A122" s="25"/>
      <c r="B122" s="24" t="s">
        <v>94</v>
      </c>
      <c r="C122" s="22" t="s">
        <v>3</v>
      </c>
      <c r="D122" s="133">
        <v>1620</v>
      </c>
      <c r="E122" s="23"/>
    </row>
    <row r="123" spans="1:5" s="95" customFormat="1" x14ac:dyDescent="0.3">
      <c r="A123" s="25" t="s">
        <v>163</v>
      </c>
      <c r="B123" s="24" t="s">
        <v>75</v>
      </c>
      <c r="C123" s="22" t="s">
        <v>1</v>
      </c>
      <c r="D123" s="133">
        <v>750</v>
      </c>
      <c r="E123" s="23"/>
    </row>
    <row r="124" spans="1:5" s="95" customFormat="1" x14ac:dyDescent="0.3">
      <c r="A124" s="25"/>
      <c r="B124" s="24" t="s">
        <v>188</v>
      </c>
      <c r="C124" s="22" t="s">
        <v>1</v>
      </c>
      <c r="D124" s="133">
        <v>480</v>
      </c>
      <c r="E124" s="23"/>
    </row>
    <row r="125" spans="1:5" s="95" customFormat="1" x14ac:dyDescent="0.3">
      <c r="A125" s="25" t="s">
        <v>164</v>
      </c>
      <c r="B125" s="24" t="s">
        <v>76</v>
      </c>
      <c r="C125" s="22" t="s">
        <v>0</v>
      </c>
      <c r="D125" s="133">
        <v>3700</v>
      </c>
      <c r="E125" s="23"/>
    </row>
    <row r="126" spans="1:5" s="95" customFormat="1" x14ac:dyDescent="0.3">
      <c r="A126" s="25"/>
      <c r="B126" s="24" t="s">
        <v>77</v>
      </c>
      <c r="C126" s="22" t="s">
        <v>0</v>
      </c>
      <c r="D126" s="133">
        <v>265</v>
      </c>
      <c r="E126" s="23"/>
    </row>
    <row r="127" spans="1:5" s="95" customFormat="1" x14ac:dyDescent="0.3">
      <c r="A127" s="25"/>
      <c r="B127" s="24" t="s">
        <v>96</v>
      </c>
      <c r="C127" s="22" t="s">
        <v>0</v>
      </c>
      <c r="D127" s="133">
        <v>340</v>
      </c>
      <c r="E127" s="23"/>
    </row>
    <row r="128" spans="1:5" s="95" customFormat="1" x14ac:dyDescent="0.3">
      <c r="A128" s="25" t="s">
        <v>165</v>
      </c>
      <c r="B128" s="24" t="s">
        <v>78</v>
      </c>
      <c r="C128" s="22" t="s">
        <v>0</v>
      </c>
      <c r="D128" s="133">
        <v>1100</v>
      </c>
      <c r="E128" s="23"/>
    </row>
    <row r="129" spans="1:5" s="95" customFormat="1" x14ac:dyDescent="0.3">
      <c r="A129" s="25"/>
      <c r="B129" s="24" t="s">
        <v>79</v>
      </c>
      <c r="C129" s="22" t="s">
        <v>0</v>
      </c>
      <c r="D129" s="133">
        <v>20000</v>
      </c>
      <c r="E129" s="23"/>
    </row>
    <row r="130" spans="1:5" s="95" customFormat="1" x14ac:dyDescent="0.3">
      <c r="A130" s="25"/>
      <c r="B130" s="24" t="s">
        <v>80</v>
      </c>
      <c r="C130" s="22" t="s">
        <v>0</v>
      </c>
      <c r="D130" s="133">
        <v>18000</v>
      </c>
      <c r="E130" s="23"/>
    </row>
    <row r="131" spans="1:5" s="95" customFormat="1" x14ac:dyDescent="0.3">
      <c r="A131" s="25"/>
      <c r="B131" s="24" t="s">
        <v>81</v>
      </c>
      <c r="C131" s="22" t="s">
        <v>0</v>
      </c>
      <c r="D131" s="133">
        <v>2150</v>
      </c>
      <c r="E131" s="23"/>
    </row>
    <row r="132" spans="1:5" s="95" customFormat="1" x14ac:dyDescent="0.3">
      <c r="A132" s="25"/>
      <c r="B132" s="24" t="s">
        <v>82</v>
      </c>
      <c r="C132" s="22" t="s">
        <v>0</v>
      </c>
      <c r="D132" s="133">
        <v>7900</v>
      </c>
      <c r="E132" s="23"/>
    </row>
    <row r="133" spans="1:5" s="95" customFormat="1" ht="27.6" x14ac:dyDescent="0.3">
      <c r="A133" s="25"/>
      <c r="B133" s="24" t="s">
        <v>83</v>
      </c>
      <c r="C133" s="22" t="s">
        <v>0</v>
      </c>
      <c r="D133" s="133">
        <v>1100</v>
      </c>
      <c r="E133" s="23"/>
    </row>
    <row r="134" spans="1:5" s="95" customFormat="1" ht="14.55" customHeight="1" x14ac:dyDescent="0.3">
      <c r="A134" s="25" t="s">
        <v>166</v>
      </c>
      <c r="B134" s="24" t="s">
        <v>167</v>
      </c>
      <c r="C134" s="22" t="s">
        <v>0</v>
      </c>
      <c r="D134" s="133">
        <v>1200</v>
      </c>
      <c r="E134" s="23"/>
    </row>
    <row r="135" spans="1:5" s="95" customFormat="1" x14ac:dyDescent="0.3">
      <c r="A135" s="25"/>
      <c r="B135" s="24" t="s">
        <v>84</v>
      </c>
      <c r="C135" s="22" t="s">
        <v>0</v>
      </c>
      <c r="D135" s="133">
        <v>12000</v>
      </c>
      <c r="E135" s="23"/>
    </row>
    <row r="136" spans="1:5" s="95" customFormat="1" x14ac:dyDescent="0.3">
      <c r="A136" s="25" t="s">
        <v>168</v>
      </c>
      <c r="B136" s="24" t="s">
        <v>85</v>
      </c>
      <c r="C136" s="22" t="s">
        <v>0</v>
      </c>
      <c r="D136" s="133">
        <v>1100</v>
      </c>
      <c r="E136" s="23"/>
    </row>
    <row r="137" spans="1:5" s="95" customFormat="1" x14ac:dyDescent="0.3">
      <c r="A137" s="25"/>
      <c r="B137" s="24" t="s">
        <v>84</v>
      </c>
      <c r="C137" s="22" t="s">
        <v>0</v>
      </c>
      <c r="D137" s="133">
        <v>15000</v>
      </c>
      <c r="E137" s="23"/>
    </row>
    <row r="138" spans="1:5" s="95" customFormat="1" x14ac:dyDescent="0.3">
      <c r="A138" s="25"/>
      <c r="B138" s="24" t="s">
        <v>86</v>
      </c>
      <c r="C138" s="22" t="s">
        <v>0</v>
      </c>
      <c r="D138" s="133">
        <v>2500</v>
      </c>
      <c r="E138" s="23"/>
    </row>
    <row r="139" spans="1:5" s="95" customFormat="1" ht="27.6" x14ac:dyDescent="0.3">
      <c r="A139" s="25" t="s">
        <v>169</v>
      </c>
      <c r="B139" s="24" t="s">
        <v>87</v>
      </c>
      <c r="C139" s="22" t="s">
        <v>0</v>
      </c>
      <c r="D139" s="133">
        <v>1500</v>
      </c>
      <c r="E139" s="23"/>
    </row>
    <row r="140" spans="1:5" s="95" customFormat="1" x14ac:dyDescent="0.3">
      <c r="A140" s="25"/>
      <c r="B140" s="24" t="s">
        <v>84</v>
      </c>
      <c r="C140" s="22" t="s">
        <v>0</v>
      </c>
      <c r="D140" s="133">
        <v>5000</v>
      </c>
      <c r="E140" s="23"/>
    </row>
    <row r="141" spans="1:5" s="95" customFormat="1" x14ac:dyDescent="0.3">
      <c r="A141" s="25" t="s">
        <v>170</v>
      </c>
      <c r="B141" s="24" t="s">
        <v>88</v>
      </c>
      <c r="C141" s="22" t="s">
        <v>1</v>
      </c>
      <c r="D141" s="133">
        <v>3000</v>
      </c>
      <c r="E141" s="23"/>
    </row>
    <row r="142" spans="1:5" s="95" customFormat="1" x14ac:dyDescent="0.3">
      <c r="A142" s="25"/>
      <c r="B142" s="24" t="s">
        <v>89</v>
      </c>
      <c r="C142" s="22" t="s">
        <v>1</v>
      </c>
      <c r="D142" s="133">
        <v>10000</v>
      </c>
      <c r="E142" s="23"/>
    </row>
    <row r="143" spans="1:5" s="95" customFormat="1" x14ac:dyDescent="0.3">
      <c r="A143" s="25" t="s">
        <v>171</v>
      </c>
      <c r="B143" s="24" t="s">
        <v>90</v>
      </c>
      <c r="C143" s="22" t="s">
        <v>0</v>
      </c>
      <c r="D143" s="133">
        <v>3500</v>
      </c>
      <c r="E143" s="23"/>
    </row>
    <row r="144" spans="1:5" s="95" customFormat="1" x14ac:dyDescent="0.3">
      <c r="A144" s="25"/>
      <c r="B144" s="24" t="s">
        <v>91</v>
      </c>
      <c r="C144" s="22" t="s">
        <v>0</v>
      </c>
      <c r="D144" s="133">
        <v>6000</v>
      </c>
      <c r="E144" s="23"/>
    </row>
    <row r="145" spans="1:252" s="95" customFormat="1" x14ac:dyDescent="0.3">
      <c r="A145" s="25" t="s">
        <v>172</v>
      </c>
      <c r="B145" s="24" t="s">
        <v>92</v>
      </c>
      <c r="C145" s="22" t="s">
        <v>0</v>
      </c>
      <c r="D145" s="133">
        <v>20000</v>
      </c>
      <c r="E145" s="23"/>
    </row>
    <row r="146" spans="1:252" s="95" customFormat="1" ht="40.950000000000003" customHeight="1" x14ac:dyDescent="0.3">
      <c r="A146" s="25"/>
      <c r="B146" s="24" t="s">
        <v>116</v>
      </c>
      <c r="C146" s="22" t="s">
        <v>0</v>
      </c>
      <c r="D146" s="133">
        <v>35000</v>
      </c>
      <c r="E146" s="23"/>
    </row>
    <row r="147" spans="1:252" s="95" customFormat="1" ht="28.05" customHeight="1" x14ac:dyDescent="0.3">
      <c r="A147" s="25"/>
      <c r="B147" s="24" t="s">
        <v>95</v>
      </c>
      <c r="C147" s="22" t="s">
        <v>15</v>
      </c>
      <c r="D147" s="133">
        <v>1000</v>
      </c>
      <c r="E147" s="23"/>
    </row>
    <row r="148" spans="1:252" s="118" customFormat="1" x14ac:dyDescent="0.3">
      <c r="A148" s="25" t="s">
        <v>173</v>
      </c>
      <c r="B148" s="24" t="s">
        <v>93</v>
      </c>
      <c r="C148" s="22" t="s">
        <v>15</v>
      </c>
      <c r="D148" s="133">
        <v>2000</v>
      </c>
      <c r="E148" s="23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  <c r="AM148" s="95"/>
      <c r="AN148" s="95"/>
      <c r="AO148" s="95"/>
      <c r="AP148" s="95"/>
      <c r="AQ148" s="95"/>
      <c r="AR148" s="95"/>
      <c r="AS148" s="95"/>
      <c r="AT148" s="95"/>
      <c r="AU148" s="95"/>
      <c r="AV148" s="95"/>
      <c r="AW148" s="95"/>
      <c r="AX148" s="95"/>
      <c r="AY148" s="95"/>
      <c r="AZ148" s="95"/>
      <c r="BA148" s="95"/>
      <c r="BB148" s="95"/>
      <c r="BC148" s="95"/>
      <c r="BD148" s="95"/>
      <c r="BE148" s="95"/>
      <c r="BF148" s="95"/>
      <c r="BG148" s="95"/>
      <c r="BH148" s="95"/>
      <c r="BI148" s="95"/>
      <c r="BJ148" s="95"/>
      <c r="BK148" s="95"/>
      <c r="BL148" s="95"/>
      <c r="BM148" s="95"/>
      <c r="BN148" s="95"/>
      <c r="BO148" s="95"/>
      <c r="BP148" s="95"/>
      <c r="BQ148" s="95"/>
      <c r="BR148" s="95"/>
      <c r="BS148" s="95"/>
      <c r="BT148" s="95"/>
      <c r="BU148" s="95"/>
      <c r="BV148" s="95"/>
      <c r="BW148" s="95"/>
      <c r="BX148" s="95"/>
      <c r="BY148" s="95"/>
      <c r="BZ148" s="95"/>
      <c r="CA148" s="95"/>
      <c r="CB148" s="95"/>
      <c r="CC148" s="95"/>
      <c r="CD148" s="95"/>
      <c r="CE148" s="95"/>
      <c r="CF148" s="95"/>
      <c r="CG148" s="95"/>
      <c r="CH148" s="95"/>
      <c r="CI148" s="95"/>
      <c r="CJ148" s="95"/>
      <c r="CK148" s="95"/>
      <c r="CL148" s="95"/>
      <c r="CM148" s="95"/>
      <c r="CN148" s="95"/>
      <c r="CO148" s="95"/>
      <c r="CP148" s="95"/>
      <c r="CQ148" s="95"/>
      <c r="CR148" s="95"/>
      <c r="CS148" s="95"/>
      <c r="CT148" s="95"/>
      <c r="CU148" s="95"/>
      <c r="CV148" s="95"/>
      <c r="CW148" s="95"/>
      <c r="CX148" s="95"/>
      <c r="CY148" s="95"/>
      <c r="CZ148" s="95"/>
      <c r="DA148" s="95"/>
      <c r="DB148" s="95"/>
      <c r="DC148" s="95"/>
      <c r="DD148" s="95"/>
      <c r="DE148" s="95"/>
      <c r="DF148" s="95"/>
      <c r="DG148" s="95"/>
      <c r="DH148" s="95"/>
      <c r="DI148" s="95"/>
      <c r="DJ148" s="95"/>
      <c r="DK148" s="95"/>
      <c r="DL148" s="95"/>
      <c r="DM148" s="95"/>
      <c r="DN148" s="95"/>
      <c r="DO148" s="95"/>
      <c r="DP148" s="95"/>
      <c r="DQ148" s="95"/>
      <c r="DR148" s="95"/>
      <c r="DS148" s="95"/>
      <c r="DT148" s="95"/>
      <c r="DU148" s="95"/>
      <c r="DV148" s="95"/>
      <c r="DW148" s="95"/>
      <c r="DX148" s="95"/>
      <c r="DY148" s="95"/>
      <c r="DZ148" s="95"/>
      <c r="EA148" s="95"/>
      <c r="EB148" s="95"/>
      <c r="EC148" s="95"/>
      <c r="ED148" s="95"/>
      <c r="EE148" s="95"/>
      <c r="EF148" s="95"/>
      <c r="EG148" s="95"/>
      <c r="EH148" s="95"/>
      <c r="EI148" s="95"/>
      <c r="EJ148" s="95"/>
      <c r="EK148" s="95"/>
      <c r="EL148" s="95"/>
      <c r="EM148" s="95"/>
      <c r="EN148" s="95"/>
      <c r="EO148" s="95"/>
      <c r="EP148" s="95"/>
      <c r="EQ148" s="95"/>
      <c r="ER148" s="95"/>
      <c r="ES148" s="95"/>
      <c r="ET148" s="95"/>
      <c r="EU148" s="95"/>
      <c r="EV148" s="95"/>
      <c r="EW148" s="95"/>
      <c r="EX148" s="95"/>
      <c r="EY148" s="95"/>
      <c r="EZ148" s="95"/>
      <c r="FA148" s="95"/>
      <c r="FB148" s="95"/>
      <c r="FC148" s="95"/>
      <c r="FD148" s="95"/>
      <c r="FE148" s="95"/>
      <c r="FF148" s="95"/>
      <c r="FG148" s="95"/>
      <c r="FH148" s="95"/>
      <c r="FI148" s="95"/>
      <c r="FJ148" s="95"/>
      <c r="FK148" s="95"/>
      <c r="FL148" s="95"/>
      <c r="FM148" s="95"/>
      <c r="FN148" s="95"/>
      <c r="FO148" s="95"/>
      <c r="FP148" s="95"/>
      <c r="FQ148" s="95"/>
      <c r="FR148" s="95"/>
      <c r="FS148" s="95"/>
      <c r="FT148" s="95"/>
      <c r="FU148" s="95"/>
      <c r="FV148" s="95"/>
      <c r="FW148" s="95"/>
      <c r="FX148" s="95"/>
      <c r="FY148" s="95"/>
      <c r="FZ148" s="95"/>
      <c r="GA148" s="95"/>
      <c r="GB148" s="95"/>
      <c r="GC148" s="95"/>
      <c r="GD148" s="95"/>
      <c r="GE148" s="95"/>
      <c r="GF148" s="95"/>
      <c r="GG148" s="95"/>
      <c r="GH148" s="95"/>
      <c r="GI148" s="95"/>
      <c r="GJ148" s="95"/>
      <c r="GK148" s="95"/>
      <c r="GL148" s="95"/>
      <c r="GM148" s="95"/>
      <c r="GN148" s="95"/>
      <c r="GO148" s="95"/>
      <c r="GP148" s="95"/>
      <c r="GQ148" s="95"/>
      <c r="GR148" s="95"/>
      <c r="GS148" s="95"/>
      <c r="GT148" s="95"/>
      <c r="GU148" s="95"/>
      <c r="GV148" s="95"/>
      <c r="GW148" s="95"/>
      <c r="GX148" s="95"/>
      <c r="GY148" s="95"/>
      <c r="GZ148" s="95"/>
      <c r="HA148" s="95"/>
      <c r="HB148" s="95"/>
      <c r="HC148" s="95"/>
      <c r="HD148" s="95"/>
      <c r="HE148" s="95"/>
      <c r="HF148" s="95"/>
      <c r="HG148" s="95"/>
      <c r="HH148" s="95"/>
      <c r="HI148" s="95"/>
      <c r="HJ148" s="95"/>
      <c r="HK148" s="95"/>
      <c r="HL148" s="95"/>
      <c r="HM148" s="95"/>
      <c r="HN148" s="95"/>
      <c r="HO148" s="95"/>
      <c r="HP148" s="95"/>
      <c r="HQ148" s="95"/>
      <c r="HR148" s="95"/>
      <c r="HS148" s="95"/>
      <c r="HT148" s="95"/>
      <c r="HU148" s="95"/>
      <c r="HV148" s="95"/>
      <c r="HW148" s="95"/>
      <c r="HX148" s="95"/>
      <c r="HY148" s="95"/>
      <c r="HZ148" s="95"/>
      <c r="IA148" s="95"/>
      <c r="IB148" s="95"/>
      <c r="IC148" s="95"/>
      <c r="ID148" s="95"/>
      <c r="IE148" s="95"/>
      <c r="IF148" s="95"/>
      <c r="IG148" s="95"/>
      <c r="IH148" s="95"/>
      <c r="II148" s="95"/>
      <c r="IJ148" s="95"/>
      <c r="IK148" s="95"/>
      <c r="IL148" s="95"/>
      <c r="IM148" s="95"/>
      <c r="IN148" s="95"/>
      <c r="IO148" s="95"/>
      <c r="IP148" s="95"/>
      <c r="IQ148" s="95"/>
      <c r="IR148" s="95"/>
    </row>
    <row r="149" spans="1:252" s="118" customFormat="1" ht="27.6" x14ac:dyDescent="0.3">
      <c r="A149" s="25" t="s">
        <v>174</v>
      </c>
      <c r="B149" s="24" t="s">
        <v>203</v>
      </c>
      <c r="C149" s="22" t="s">
        <v>15</v>
      </c>
      <c r="D149" s="133">
        <v>10000</v>
      </c>
      <c r="E149" s="23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  <c r="AM149" s="95"/>
      <c r="AN149" s="95"/>
      <c r="AO149" s="95"/>
      <c r="AP149" s="95"/>
      <c r="AQ149" s="95"/>
      <c r="AR149" s="95"/>
      <c r="AS149" s="95"/>
      <c r="AT149" s="95"/>
      <c r="AU149" s="95"/>
      <c r="AV149" s="95"/>
      <c r="AW149" s="95"/>
      <c r="AX149" s="95"/>
      <c r="AY149" s="95"/>
      <c r="AZ149" s="95"/>
      <c r="BA149" s="95"/>
      <c r="BB149" s="95"/>
      <c r="BC149" s="95"/>
      <c r="BD149" s="95"/>
      <c r="BE149" s="95"/>
      <c r="BF149" s="95"/>
      <c r="BG149" s="95"/>
      <c r="BH149" s="95"/>
      <c r="BI149" s="95"/>
      <c r="BJ149" s="95"/>
      <c r="BK149" s="95"/>
      <c r="BL149" s="95"/>
      <c r="BM149" s="95"/>
      <c r="BN149" s="95"/>
      <c r="BO149" s="95"/>
      <c r="BP149" s="95"/>
      <c r="BQ149" s="95"/>
      <c r="BR149" s="95"/>
      <c r="BS149" s="95"/>
      <c r="BT149" s="95"/>
      <c r="BU149" s="95"/>
      <c r="BV149" s="95"/>
      <c r="BW149" s="95"/>
      <c r="BX149" s="95"/>
      <c r="BY149" s="95"/>
      <c r="BZ149" s="95"/>
      <c r="CA149" s="95"/>
      <c r="CB149" s="95"/>
      <c r="CC149" s="95"/>
      <c r="CD149" s="95"/>
      <c r="CE149" s="95"/>
      <c r="CF149" s="95"/>
      <c r="CG149" s="95"/>
      <c r="CH149" s="95"/>
      <c r="CI149" s="95"/>
      <c r="CJ149" s="95"/>
      <c r="CK149" s="95"/>
      <c r="CL149" s="95"/>
      <c r="CM149" s="95"/>
      <c r="CN149" s="95"/>
      <c r="CO149" s="95"/>
      <c r="CP149" s="95"/>
      <c r="CQ149" s="95"/>
      <c r="CR149" s="95"/>
      <c r="CS149" s="95"/>
      <c r="CT149" s="95"/>
      <c r="CU149" s="95"/>
      <c r="CV149" s="95"/>
      <c r="CW149" s="95"/>
      <c r="CX149" s="95"/>
      <c r="CY149" s="95"/>
      <c r="CZ149" s="95"/>
      <c r="DA149" s="95"/>
      <c r="DB149" s="95"/>
      <c r="DC149" s="95"/>
      <c r="DD149" s="95"/>
      <c r="DE149" s="95"/>
      <c r="DF149" s="95"/>
      <c r="DG149" s="95"/>
      <c r="DH149" s="95"/>
      <c r="DI149" s="95"/>
      <c r="DJ149" s="95"/>
      <c r="DK149" s="95"/>
      <c r="DL149" s="95"/>
      <c r="DM149" s="95"/>
      <c r="DN149" s="95"/>
      <c r="DO149" s="95"/>
      <c r="DP149" s="95"/>
      <c r="DQ149" s="95"/>
      <c r="DR149" s="95"/>
      <c r="DS149" s="95"/>
      <c r="DT149" s="95"/>
      <c r="DU149" s="95"/>
      <c r="DV149" s="95"/>
      <c r="DW149" s="95"/>
      <c r="DX149" s="95"/>
      <c r="DY149" s="95"/>
      <c r="DZ149" s="95"/>
      <c r="EA149" s="95"/>
      <c r="EB149" s="95"/>
      <c r="EC149" s="95"/>
      <c r="ED149" s="95"/>
      <c r="EE149" s="95"/>
      <c r="EF149" s="95"/>
      <c r="EG149" s="95"/>
      <c r="EH149" s="95"/>
      <c r="EI149" s="95"/>
      <c r="EJ149" s="95"/>
      <c r="EK149" s="95"/>
      <c r="EL149" s="95"/>
      <c r="EM149" s="95"/>
      <c r="EN149" s="95"/>
      <c r="EO149" s="95"/>
      <c r="EP149" s="95"/>
      <c r="EQ149" s="95"/>
      <c r="ER149" s="95"/>
      <c r="ES149" s="95"/>
      <c r="ET149" s="95"/>
      <c r="EU149" s="95"/>
      <c r="EV149" s="95"/>
      <c r="EW149" s="95"/>
      <c r="EX149" s="95"/>
      <c r="EY149" s="95"/>
      <c r="EZ149" s="95"/>
      <c r="FA149" s="95"/>
      <c r="FB149" s="95"/>
      <c r="FC149" s="95"/>
      <c r="FD149" s="95"/>
      <c r="FE149" s="95"/>
      <c r="FF149" s="95"/>
      <c r="FG149" s="95"/>
      <c r="FH149" s="95"/>
      <c r="FI149" s="95"/>
      <c r="FJ149" s="95"/>
      <c r="FK149" s="95"/>
      <c r="FL149" s="95"/>
      <c r="FM149" s="95"/>
      <c r="FN149" s="95"/>
      <c r="FO149" s="95"/>
      <c r="FP149" s="95"/>
      <c r="FQ149" s="95"/>
      <c r="FR149" s="95"/>
      <c r="FS149" s="95"/>
      <c r="FT149" s="95"/>
      <c r="FU149" s="95"/>
      <c r="FV149" s="95"/>
      <c r="FW149" s="95"/>
      <c r="FX149" s="95"/>
      <c r="FY149" s="95"/>
      <c r="FZ149" s="95"/>
      <c r="GA149" s="95"/>
      <c r="GB149" s="95"/>
      <c r="GC149" s="95"/>
      <c r="GD149" s="95"/>
      <c r="GE149" s="95"/>
      <c r="GF149" s="95"/>
      <c r="GG149" s="95"/>
      <c r="GH149" s="95"/>
      <c r="GI149" s="95"/>
      <c r="GJ149" s="95"/>
      <c r="GK149" s="95"/>
      <c r="GL149" s="95"/>
      <c r="GM149" s="95"/>
      <c r="GN149" s="95"/>
      <c r="GO149" s="95"/>
      <c r="GP149" s="95"/>
      <c r="GQ149" s="95"/>
      <c r="GR149" s="95"/>
      <c r="GS149" s="95"/>
      <c r="GT149" s="95"/>
      <c r="GU149" s="95"/>
      <c r="GV149" s="95"/>
      <c r="GW149" s="95"/>
      <c r="GX149" s="95"/>
      <c r="GY149" s="95"/>
      <c r="GZ149" s="95"/>
      <c r="HA149" s="95"/>
      <c r="HB149" s="95"/>
      <c r="HC149" s="95"/>
      <c r="HD149" s="95"/>
      <c r="HE149" s="95"/>
      <c r="HF149" s="95"/>
      <c r="HG149" s="95"/>
      <c r="HH149" s="95"/>
      <c r="HI149" s="95"/>
      <c r="HJ149" s="95"/>
      <c r="HK149" s="95"/>
      <c r="HL149" s="95"/>
      <c r="HM149" s="95"/>
      <c r="HN149" s="95"/>
      <c r="HO149" s="95"/>
      <c r="HP149" s="95"/>
      <c r="HQ149" s="95"/>
      <c r="HR149" s="95"/>
      <c r="HS149" s="95"/>
      <c r="HT149" s="95"/>
      <c r="HU149" s="95"/>
      <c r="HV149" s="95"/>
      <c r="HW149" s="95"/>
      <c r="HX149" s="95"/>
      <c r="HY149" s="95"/>
      <c r="HZ149" s="95"/>
      <c r="IA149" s="95"/>
      <c r="IB149" s="95"/>
      <c r="IC149" s="95"/>
      <c r="ID149" s="95"/>
      <c r="IE149" s="95"/>
      <c r="IF149" s="95"/>
      <c r="IG149" s="95"/>
      <c r="IH149" s="95"/>
      <c r="II149" s="95"/>
      <c r="IJ149" s="95"/>
      <c r="IK149" s="95"/>
      <c r="IL149" s="95"/>
      <c r="IM149" s="95"/>
      <c r="IN149" s="95"/>
      <c r="IO149" s="95"/>
      <c r="IP149" s="95"/>
      <c r="IQ149" s="95"/>
      <c r="IR149" s="95"/>
    </row>
    <row r="150" spans="1:252" s="16" customFormat="1" x14ac:dyDescent="0.3">
      <c r="A150" s="60"/>
      <c r="B150" s="61" t="s">
        <v>12</v>
      </c>
      <c r="C150" s="62"/>
      <c r="D150" s="148"/>
      <c r="E150" s="26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  <c r="BN150" s="28"/>
      <c r="BO150" s="28"/>
      <c r="BP150" s="28"/>
      <c r="BQ150" s="28"/>
      <c r="BR150" s="28"/>
      <c r="BS150" s="28"/>
      <c r="BT150" s="28"/>
      <c r="BU150" s="28"/>
      <c r="BV150" s="28"/>
      <c r="BW150" s="28"/>
      <c r="BX150" s="28"/>
      <c r="BY150" s="28"/>
      <c r="BZ150" s="28"/>
      <c r="CA150" s="28"/>
      <c r="CB150" s="28"/>
      <c r="CC150" s="28"/>
      <c r="CD150" s="28"/>
      <c r="CE150" s="28"/>
      <c r="CF150" s="28"/>
      <c r="CG150" s="28"/>
      <c r="CH150" s="28"/>
      <c r="CI150" s="28"/>
      <c r="CJ150" s="28"/>
      <c r="CK150" s="28"/>
      <c r="CL150" s="28"/>
      <c r="CM150" s="28"/>
      <c r="CN150" s="28"/>
      <c r="CO150" s="28"/>
      <c r="CP150" s="28"/>
      <c r="CQ150" s="28"/>
      <c r="CR150" s="28"/>
      <c r="CS150" s="28"/>
      <c r="CT150" s="28"/>
      <c r="CU150" s="28"/>
      <c r="CV150" s="28"/>
      <c r="CW150" s="28"/>
      <c r="CX150" s="28"/>
      <c r="CY150" s="28"/>
      <c r="CZ150" s="28"/>
      <c r="DA150" s="28"/>
      <c r="DB150" s="28"/>
      <c r="DC150" s="28"/>
      <c r="DD150" s="28"/>
      <c r="DE150" s="28"/>
      <c r="DF150" s="28"/>
      <c r="DG150" s="28"/>
      <c r="DH150" s="28"/>
      <c r="DI150" s="28"/>
      <c r="DJ150" s="28"/>
      <c r="DK150" s="28"/>
      <c r="DL150" s="28"/>
      <c r="DM150" s="28"/>
      <c r="DN150" s="28"/>
      <c r="DO150" s="28"/>
      <c r="DP150" s="28"/>
      <c r="DQ150" s="28"/>
      <c r="DR150" s="28"/>
      <c r="DS150" s="28"/>
      <c r="DT150" s="28"/>
      <c r="DU150" s="28"/>
      <c r="DV150" s="28"/>
      <c r="DW150" s="28"/>
      <c r="DX150" s="28"/>
      <c r="DY150" s="28"/>
      <c r="DZ150" s="28"/>
      <c r="EA150" s="28"/>
      <c r="EB150" s="28"/>
      <c r="EC150" s="28"/>
      <c r="ED150" s="28"/>
      <c r="EE150" s="28"/>
      <c r="EF150" s="28"/>
      <c r="EG150" s="28"/>
      <c r="EH150" s="28"/>
      <c r="EI150" s="28"/>
      <c r="EJ150" s="28"/>
      <c r="EK150" s="28"/>
      <c r="EL150" s="28"/>
      <c r="EM150" s="28"/>
      <c r="EN150" s="28"/>
      <c r="EO150" s="28"/>
      <c r="EP150" s="28"/>
      <c r="EQ150" s="28"/>
      <c r="ER150" s="28"/>
      <c r="ES150" s="28"/>
      <c r="ET150" s="28"/>
      <c r="EU150" s="28"/>
      <c r="EV150" s="28"/>
      <c r="EW150" s="28"/>
      <c r="EX150" s="28"/>
      <c r="EY150" s="28"/>
      <c r="EZ150" s="28"/>
      <c r="FA150" s="28"/>
      <c r="FB150" s="28"/>
      <c r="FC150" s="28"/>
      <c r="FD150" s="28"/>
      <c r="FE150" s="28"/>
      <c r="FF150" s="28"/>
      <c r="FG150" s="28"/>
      <c r="FH150" s="28"/>
      <c r="FI150" s="28"/>
      <c r="FJ150" s="28"/>
      <c r="FK150" s="28"/>
      <c r="FL150" s="28"/>
      <c r="FM150" s="28"/>
      <c r="FN150" s="28"/>
      <c r="FO150" s="28"/>
      <c r="FP150" s="28"/>
      <c r="FQ150" s="28"/>
      <c r="FR150" s="28"/>
      <c r="FS150" s="28"/>
      <c r="FT150" s="28"/>
      <c r="FU150" s="28"/>
      <c r="FV150" s="28"/>
      <c r="FW150" s="28"/>
      <c r="FX150" s="28"/>
      <c r="FY150" s="28"/>
      <c r="FZ150" s="28"/>
      <c r="GA150" s="28"/>
      <c r="GB150" s="28"/>
      <c r="GC150" s="28"/>
      <c r="GD150" s="28"/>
      <c r="GE150" s="28"/>
      <c r="GF150" s="28"/>
      <c r="GG150" s="28"/>
      <c r="GH150" s="28"/>
      <c r="GI150" s="28"/>
      <c r="GJ150" s="28"/>
      <c r="GK150" s="28"/>
      <c r="GL150" s="28"/>
      <c r="GM150" s="28"/>
      <c r="GN150" s="28"/>
      <c r="GO150" s="28"/>
      <c r="GP150" s="28"/>
      <c r="GQ150" s="28"/>
      <c r="GR150" s="28"/>
      <c r="GS150" s="28"/>
      <c r="GT150" s="28"/>
      <c r="GU150" s="28"/>
      <c r="GV150" s="28"/>
      <c r="GW150" s="28"/>
      <c r="GX150" s="28"/>
      <c r="GY150" s="28"/>
      <c r="GZ150" s="28"/>
      <c r="HA150" s="28"/>
      <c r="HB150" s="28"/>
      <c r="HC150" s="28"/>
      <c r="HD150" s="28"/>
      <c r="HE150" s="28"/>
      <c r="HF150" s="28"/>
      <c r="HG150" s="28"/>
      <c r="HH150" s="28"/>
      <c r="HI150" s="28"/>
      <c r="HJ150" s="28"/>
      <c r="HK150" s="28"/>
      <c r="HL150" s="28"/>
      <c r="HM150" s="28"/>
      <c r="HN150" s="28"/>
      <c r="HO150" s="28"/>
      <c r="HP150" s="28"/>
      <c r="HQ150" s="28"/>
      <c r="HR150" s="28"/>
      <c r="HS150" s="28"/>
      <c r="HT150" s="28"/>
      <c r="HU150" s="28"/>
      <c r="HV150" s="28"/>
      <c r="HW150" s="28"/>
      <c r="HX150" s="28"/>
      <c r="HY150" s="28"/>
      <c r="HZ150" s="28"/>
      <c r="IA150" s="28"/>
      <c r="IB150" s="28"/>
      <c r="IC150" s="28"/>
      <c r="ID150" s="28"/>
      <c r="IE150" s="28"/>
      <c r="IF150" s="28"/>
      <c r="IG150" s="28"/>
      <c r="IH150" s="28"/>
      <c r="II150" s="28"/>
      <c r="IJ150" s="28"/>
      <c r="IK150" s="28"/>
      <c r="IL150" s="28"/>
      <c r="IM150" s="28"/>
      <c r="IN150" s="28"/>
      <c r="IO150" s="28"/>
      <c r="IP150" s="28"/>
      <c r="IQ150" s="28"/>
      <c r="IR150" s="28"/>
    </row>
    <row r="151" spans="1:252" s="16" customFormat="1" x14ac:dyDescent="0.3">
      <c r="A151" s="115"/>
      <c r="B151" s="20" t="s">
        <v>11</v>
      </c>
      <c r="C151" s="63"/>
      <c r="D151" s="149"/>
      <c r="E151" s="27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  <c r="BN151" s="28"/>
      <c r="BO151" s="28"/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8"/>
      <c r="CA151" s="28"/>
      <c r="CB151" s="28"/>
      <c r="CC151" s="28"/>
      <c r="CD151" s="28"/>
      <c r="CE151" s="28"/>
      <c r="CF151" s="28"/>
      <c r="CG151" s="28"/>
      <c r="CH151" s="28"/>
      <c r="CI151" s="28"/>
      <c r="CJ151" s="28"/>
      <c r="CK151" s="28"/>
      <c r="CL151" s="28"/>
      <c r="CM151" s="28"/>
      <c r="CN151" s="28"/>
      <c r="CO151" s="28"/>
      <c r="CP151" s="28"/>
      <c r="CQ151" s="28"/>
      <c r="CR151" s="28"/>
      <c r="CS151" s="28"/>
      <c r="CT151" s="28"/>
      <c r="CU151" s="28"/>
      <c r="CV151" s="28"/>
      <c r="CW151" s="28"/>
      <c r="CX151" s="28"/>
      <c r="CY151" s="28"/>
      <c r="CZ151" s="28"/>
      <c r="DA151" s="28"/>
      <c r="DB151" s="28"/>
      <c r="DC151" s="28"/>
      <c r="DD151" s="28"/>
      <c r="DE151" s="28"/>
      <c r="DF151" s="28"/>
      <c r="DG151" s="28"/>
      <c r="DH151" s="28"/>
      <c r="DI151" s="28"/>
      <c r="DJ151" s="28"/>
      <c r="DK151" s="28"/>
      <c r="DL151" s="28"/>
      <c r="DM151" s="28"/>
      <c r="DN151" s="28"/>
      <c r="DO151" s="28"/>
      <c r="DP151" s="28"/>
      <c r="DQ151" s="28"/>
      <c r="DR151" s="28"/>
      <c r="DS151" s="28"/>
      <c r="DT151" s="28"/>
      <c r="DU151" s="28"/>
      <c r="DV151" s="28"/>
      <c r="DW151" s="28"/>
      <c r="DX151" s="28"/>
      <c r="DY151" s="28"/>
      <c r="DZ151" s="28"/>
      <c r="EA151" s="28"/>
      <c r="EB151" s="28"/>
      <c r="EC151" s="28"/>
      <c r="ED151" s="28"/>
      <c r="EE151" s="28"/>
      <c r="EF151" s="28"/>
      <c r="EG151" s="28"/>
      <c r="EH151" s="28"/>
      <c r="EI151" s="28"/>
      <c r="EJ151" s="28"/>
      <c r="EK151" s="28"/>
      <c r="EL151" s="28"/>
      <c r="EM151" s="28"/>
      <c r="EN151" s="28"/>
      <c r="EO151" s="28"/>
      <c r="EP151" s="28"/>
      <c r="EQ151" s="28"/>
      <c r="ER151" s="28"/>
      <c r="ES151" s="28"/>
      <c r="ET151" s="28"/>
      <c r="EU151" s="28"/>
      <c r="EV151" s="28"/>
      <c r="EW151" s="28"/>
      <c r="EX151" s="28"/>
      <c r="EY151" s="28"/>
      <c r="EZ151" s="28"/>
      <c r="FA151" s="28"/>
      <c r="FB151" s="28"/>
      <c r="FC151" s="28"/>
      <c r="FD151" s="28"/>
      <c r="FE151" s="28"/>
      <c r="FF151" s="28"/>
      <c r="FG151" s="28"/>
      <c r="FH151" s="28"/>
      <c r="FI151" s="28"/>
      <c r="FJ151" s="28"/>
      <c r="FK151" s="28"/>
      <c r="FL151" s="28"/>
      <c r="FM151" s="28"/>
      <c r="FN151" s="28"/>
      <c r="FO151" s="28"/>
      <c r="FP151" s="28"/>
      <c r="FQ151" s="28"/>
      <c r="FR151" s="28"/>
      <c r="FS151" s="28"/>
      <c r="FT151" s="28"/>
      <c r="FU151" s="28"/>
      <c r="FV151" s="28"/>
      <c r="FW151" s="28"/>
      <c r="FX151" s="28"/>
      <c r="FY151" s="28"/>
      <c r="FZ151" s="28"/>
      <c r="GA151" s="28"/>
      <c r="GB151" s="28"/>
      <c r="GC151" s="28"/>
      <c r="GD151" s="28"/>
      <c r="GE151" s="28"/>
      <c r="GF151" s="28"/>
      <c r="GG151" s="28"/>
      <c r="GH151" s="28"/>
      <c r="GI151" s="28"/>
      <c r="GJ151" s="28"/>
      <c r="GK151" s="28"/>
      <c r="GL151" s="28"/>
      <c r="GM151" s="28"/>
      <c r="GN151" s="28"/>
      <c r="GO151" s="28"/>
      <c r="GP151" s="28"/>
      <c r="GQ151" s="28"/>
      <c r="GR151" s="28"/>
      <c r="GS151" s="28"/>
      <c r="GT151" s="28"/>
      <c r="GU151" s="28"/>
      <c r="GV151" s="28"/>
      <c r="GW151" s="28"/>
      <c r="GX151" s="28"/>
      <c r="GY151" s="28"/>
      <c r="GZ151" s="28"/>
      <c r="HA151" s="28"/>
      <c r="HB151" s="28"/>
      <c r="HC151" s="28"/>
      <c r="HD151" s="28"/>
      <c r="HE151" s="28"/>
      <c r="HF151" s="28"/>
      <c r="HG151" s="28"/>
      <c r="HH151" s="28"/>
      <c r="HI151" s="28"/>
      <c r="HJ151" s="28"/>
      <c r="HK151" s="28"/>
      <c r="HL151" s="28"/>
      <c r="HM151" s="28"/>
      <c r="HN151" s="28"/>
      <c r="HO151" s="28"/>
      <c r="HP151" s="28"/>
      <c r="HQ151" s="28"/>
      <c r="HR151" s="28"/>
      <c r="HS151" s="28"/>
      <c r="HT151" s="28"/>
      <c r="HU151" s="28"/>
      <c r="HV151" s="28"/>
      <c r="HW151" s="28"/>
      <c r="HX151" s="28"/>
      <c r="HY151" s="28"/>
      <c r="HZ151" s="28"/>
      <c r="IA151" s="28"/>
      <c r="IB151" s="28"/>
      <c r="IC151" s="28"/>
      <c r="ID151" s="28"/>
      <c r="IE151" s="28"/>
      <c r="IF151" s="28"/>
      <c r="IG151" s="28"/>
      <c r="IH151" s="28"/>
      <c r="II151" s="28"/>
      <c r="IJ151" s="28"/>
      <c r="IK151" s="28"/>
      <c r="IL151" s="28"/>
      <c r="IM151" s="28"/>
      <c r="IN151" s="28"/>
      <c r="IO151" s="28"/>
      <c r="IP151" s="28"/>
      <c r="IQ151" s="28"/>
      <c r="IR151" s="28"/>
    </row>
    <row r="152" spans="1:252" s="41" customFormat="1" x14ac:dyDescent="0.3">
      <c r="A152" s="37"/>
      <c r="B152" s="38"/>
      <c r="C152" s="37"/>
      <c r="D152" s="125"/>
      <c r="E152" s="39"/>
      <c r="F152" s="40"/>
    </row>
    <row r="153" spans="1:252" s="46" customFormat="1" x14ac:dyDescent="0.3">
      <c r="A153" s="115">
        <v>6</v>
      </c>
      <c r="B153" s="42" t="s">
        <v>115</v>
      </c>
      <c r="C153" s="43" t="s">
        <v>121</v>
      </c>
      <c r="D153" s="147" t="s">
        <v>13</v>
      </c>
      <c r="E153" s="44"/>
      <c r="F153" s="45"/>
    </row>
    <row r="154" spans="1:252" s="46" customFormat="1" ht="14.4" customHeight="1" x14ac:dyDescent="0.3">
      <c r="A154" s="25" t="s">
        <v>175</v>
      </c>
      <c r="B154" s="47" t="s">
        <v>205</v>
      </c>
      <c r="C154" s="25" t="s">
        <v>206</v>
      </c>
      <c r="D154" s="133">
        <v>32000</v>
      </c>
      <c r="E154" s="44"/>
      <c r="F154" s="45"/>
    </row>
    <row r="155" spans="1:252" s="46" customFormat="1" ht="14.4" customHeight="1" x14ac:dyDescent="0.3">
      <c r="A155" s="25" t="s">
        <v>176</v>
      </c>
      <c r="B155" s="47" t="s">
        <v>108</v>
      </c>
      <c r="C155" s="25" t="s">
        <v>3</v>
      </c>
      <c r="D155" s="133">
        <v>500</v>
      </c>
      <c r="E155" s="44"/>
      <c r="F155" s="45"/>
    </row>
    <row r="156" spans="1:252" s="162" customFormat="1" ht="14.4" customHeight="1" x14ac:dyDescent="0.3">
      <c r="A156" s="158"/>
      <c r="B156" s="159" t="s">
        <v>12</v>
      </c>
      <c r="C156" s="158"/>
      <c r="D156" s="127"/>
      <c r="E156" s="160"/>
      <c r="F156" s="161"/>
    </row>
    <row r="157" spans="1:252" s="75" customFormat="1" ht="14.4" customHeight="1" x14ac:dyDescent="0.3">
      <c r="A157" s="153"/>
      <c r="B157" s="154" t="s">
        <v>11</v>
      </c>
      <c r="C157" s="155"/>
      <c r="D157" s="156"/>
      <c r="E157" s="157"/>
      <c r="F157" s="74"/>
    </row>
    <row r="158" spans="1:252" s="46" customFormat="1" x14ac:dyDescent="0.3">
      <c r="A158" s="48"/>
      <c r="B158" s="49"/>
      <c r="C158" s="48"/>
      <c r="D158" s="150"/>
      <c r="E158" s="44"/>
      <c r="F158" s="45"/>
    </row>
    <row r="159" spans="1:252" s="41" customFormat="1" x14ac:dyDescent="0.3">
      <c r="A159" s="115">
        <v>7</v>
      </c>
      <c r="B159" s="42" t="s">
        <v>109</v>
      </c>
      <c r="C159" s="43" t="s">
        <v>121</v>
      </c>
      <c r="D159" s="96"/>
      <c r="E159" s="39"/>
      <c r="F159" s="40"/>
    </row>
    <row r="160" spans="1:252" s="41" customFormat="1" ht="26.4" customHeight="1" x14ac:dyDescent="0.3">
      <c r="A160" s="50" t="s">
        <v>177</v>
      </c>
      <c r="B160" s="51" t="s">
        <v>182</v>
      </c>
      <c r="C160" s="50" t="s">
        <v>110</v>
      </c>
      <c r="D160" s="170">
        <v>0.01</v>
      </c>
      <c r="E160" s="39"/>
      <c r="F160" s="40"/>
    </row>
    <row r="161" spans="1:6" s="41" customFormat="1" ht="15" customHeight="1" x14ac:dyDescent="0.3">
      <c r="A161" s="50" t="s">
        <v>178</v>
      </c>
      <c r="B161" s="52" t="s">
        <v>122</v>
      </c>
      <c r="C161" s="50" t="s">
        <v>110</v>
      </c>
      <c r="D161" s="170">
        <v>0.03</v>
      </c>
      <c r="E161" s="39"/>
      <c r="F161" s="40"/>
    </row>
    <row r="162" spans="1:6" s="41" customFormat="1" ht="27.6" customHeight="1" x14ac:dyDescent="0.3">
      <c r="A162" s="50" t="s">
        <v>179</v>
      </c>
      <c r="B162" s="52" t="s">
        <v>183</v>
      </c>
      <c r="C162" s="50" t="s">
        <v>110</v>
      </c>
      <c r="D162" s="171">
        <v>0.05</v>
      </c>
      <c r="E162" s="39"/>
      <c r="F162" s="40"/>
    </row>
    <row r="163" spans="1:6" s="41" customFormat="1" ht="15.6" customHeight="1" x14ac:dyDescent="0.3">
      <c r="A163" s="50" t="s">
        <v>180</v>
      </c>
      <c r="B163" s="52" t="s">
        <v>111</v>
      </c>
      <c r="C163" s="50" t="s">
        <v>110</v>
      </c>
      <c r="D163" s="171">
        <v>0.01</v>
      </c>
      <c r="E163" s="39"/>
      <c r="F163" s="40"/>
    </row>
    <row r="164" spans="1:6" s="100" customFormat="1" ht="15" customHeight="1" x14ac:dyDescent="0.3">
      <c r="A164" s="50" t="s">
        <v>181</v>
      </c>
      <c r="B164" s="52" t="s">
        <v>112</v>
      </c>
      <c r="C164" s="50" t="s">
        <v>15</v>
      </c>
      <c r="D164" s="168">
        <v>1</v>
      </c>
      <c r="E164" s="39"/>
    </row>
    <row r="165" spans="1:6" s="75" customFormat="1" ht="14.4" customHeight="1" x14ac:dyDescent="0.3">
      <c r="A165" s="153"/>
      <c r="B165" s="154" t="s">
        <v>11</v>
      </c>
      <c r="C165" s="155"/>
      <c r="D165" s="156"/>
      <c r="E165" s="157"/>
      <c r="F165" s="74"/>
    </row>
    <row r="166" spans="1:6" s="41" customFormat="1" ht="12.75" customHeight="1" x14ac:dyDescent="0.3">
      <c r="A166" s="97"/>
      <c r="B166" s="53"/>
      <c r="C166" s="54"/>
      <c r="D166" s="151"/>
      <c r="E166" s="39"/>
      <c r="F166" s="40" t="s">
        <v>113</v>
      </c>
    </row>
    <row r="167" spans="1:6" s="59" customFormat="1" ht="17.399999999999999" x14ac:dyDescent="0.3">
      <c r="A167" s="98"/>
      <c r="B167" s="56" t="s">
        <v>114</v>
      </c>
      <c r="C167" s="55"/>
      <c r="D167" s="152"/>
      <c r="E167" s="57"/>
      <c r="F167" s="58"/>
    </row>
  </sheetData>
  <phoneticPr fontId="3" type="noConversion"/>
  <printOptions horizontalCentered="1"/>
  <pageMargins left="0.62992125984251968" right="0.43307086614173229" top="0.74803149606299213" bottom="0.47244094488188981" header="0.31496062992125984" footer="0.31496062992125984"/>
  <pageSetup paperSize="8" scale="95" fitToHeight="3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2021-05-06T16:48:54Z</cp:lastPrinted>
  <dcterms:created xsi:type="dcterms:W3CDTF">2015-06-05T18:19:34Z</dcterms:created>
  <dcterms:modified xsi:type="dcterms:W3CDTF">2026-03-03T08:00:50Z</dcterms:modified>
</cp:coreProperties>
</file>