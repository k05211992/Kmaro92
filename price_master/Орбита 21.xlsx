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4кп\"/>
    </mc:Choice>
  </mc:AlternateContent>
  <xr:revisionPtr revIDLastSave="0" documentId="13_ncr:1_{C372C7B3-46E6-4AF1-BD28-277B44046B3B}" xr6:coauthVersionLast="47" xr6:coauthVersionMax="47" xr10:uidLastSave="{00000000-0000-0000-0000-000000000000}"/>
  <bookViews>
    <workbookView xWindow="-108" yWindow="-108" windowWidth="23256" windowHeight="12576" tabRatio="893" xr2:uid="{00000000-000D-0000-FFFF-FFFF00000000}"/>
  </bookViews>
  <sheets>
    <sheet name="2 мощ-е - подг-ка осн-я" sheetId="4" r:id="rId1"/>
  </sheets>
  <definedNames>
    <definedName name="_xlnm.Print_Area" localSheetId="0">'2 мощ-е - подг-ка осн-я'!$A$1:$D$43</definedName>
  </definedNames>
  <calcPr calcId="181029"/>
</workbook>
</file>

<file path=xl/calcChain.xml><?xml version="1.0" encoding="utf-8"?>
<calcChain xmlns="http://schemas.openxmlformats.org/spreadsheetml/2006/main">
  <c r="D99" i="4" l="1"/>
  <c r="D54" i="4"/>
  <c r="D30" i="4" l="1"/>
  <c r="D28" i="4"/>
  <c r="D40" i="4" s="1"/>
  <c r="D27" i="4"/>
  <c r="D39" i="4" s="1"/>
  <c r="D35" i="4" l="1"/>
  <c r="D23" i="4"/>
  <c r="D6" i="4"/>
  <c r="D25" i="4" l="1"/>
  <c r="D8" i="4"/>
  <c r="D37" i="4"/>
</calcChain>
</file>

<file path=xl/sharedStrings.xml><?xml version="1.0" encoding="utf-8"?>
<sst xmlns="http://schemas.openxmlformats.org/spreadsheetml/2006/main" count="341" uniqueCount="156">
  <si>
    <t>м.кв.</t>
  </si>
  <si>
    <t>шт.</t>
  </si>
  <si>
    <t>м.куб.</t>
  </si>
  <si>
    <t>м.пог.</t>
  </si>
  <si>
    <t>маш./смена</t>
  </si>
  <si>
    <t>наименование</t>
  </si>
  <si>
    <t>ед. изм.</t>
  </si>
  <si>
    <t>цена, руб.</t>
  </si>
  <si>
    <t>Расходные материалы</t>
  </si>
  <si>
    <t>т</t>
  </si>
  <si>
    <t>смена</t>
  </si>
  <si>
    <t>Материалы:</t>
  </si>
  <si>
    <t>Щебень гранитный 20-40мм</t>
  </si>
  <si>
    <t xml:space="preserve">м.куб. </t>
  </si>
  <si>
    <t xml:space="preserve">Уплотнение основания виброплитой </t>
  </si>
  <si>
    <t>Укладка геотекстиля</t>
  </si>
  <si>
    <t>Аренда виброплиты 70кг</t>
  </si>
  <si>
    <t xml:space="preserve">Погрузочно-разгрузочные работы </t>
  </si>
  <si>
    <t>Щебень гранитный 5-20мм (для расклинцовки)</t>
  </si>
  <si>
    <t>Песок намывной, крупный</t>
  </si>
  <si>
    <t>кипа</t>
  </si>
  <si>
    <t>Устройство рулонного газона на подготовленном основании с обрезкой краев</t>
  </si>
  <si>
    <t>Разгрузка газона</t>
  </si>
  <si>
    <t>Торфогрунт нейтр., 300л</t>
  </si>
  <si>
    <t>Доставка газона</t>
  </si>
  <si>
    <t>Вывоз мусора (грунта)</t>
  </si>
  <si>
    <t>Устройство закладных.</t>
  </si>
  <si>
    <t xml:space="preserve">Обратная засыпка с послойной трамбовкой вручную </t>
  </si>
  <si>
    <t>меш.</t>
  </si>
  <si>
    <t>рул.</t>
  </si>
  <si>
    <t>Доставка торфогрунта</t>
  </si>
  <si>
    <t>Устройство газона.</t>
  </si>
  <si>
    <t>Геотекстильное нетканое полотно Канвалан МФ-9</t>
  </si>
  <si>
    <t>Установка бордюра Plastbort</t>
  </si>
  <si>
    <t>м. пог.</t>
  </si>
  <si>
    <t>раз</t>
  </si>
  <si>
    <t>Мощение ТБП</t>
  </si>
  <si>
    <t>Тротуарная бетонная плитка "Антик", 197x97x60мм</t>
  </si>
  <si>
    <t>Устройство несущего щебнистого слоя (120мм) под пешеходное мощение из щебня 20-40мм с проливом водой и трамбовкой с расклинцовкой щебнем 5-20мм</t>
  </si>
  <si>
    <t>Отсев гранитный 2-5мм</t>
  </si>
  <si>
    <t xml:space="preserve">Устройство монтажного слоя из отсева (4см) </t>
  </si>
  <si>
    <t xml:space="preserve">Уплотнение виброплитой </t>
  </si>
  <si>
    <t>Устройство газонного ложа для обыкновенного газона: грунт плодородный (торфогрунт:песок:дерновая земля - 1:2:3), 150мм</t>
  </si>
  <si>
    <t>Доставка бордюра</t>
  </si>
  <si>
    <t>1. Подготовка основания для пешеходных дорожек и площадок под мощение тротуарной плиткой.</t>
  </si>
  <si>
    <t>Выемка корыт и подготовка пирогов мощения.</t>
  </si>
  <si>
    <t>2. Подготовка основания под набивное покрытие.</t>
  </si>
  <si>
    <t>Мощение. Укладка чистового слоя.</t>
  </si>
  <si>
    <t>1. Мощение тротуарной бетонной плиткой (ТБП).</t>
  </si>
  <si>
    <t>2. Устойство набивного покрытия.</t>
  </si>
  <si>
    <t>3. Устройство пошаговой дорожки из бетонных плит.</t>
  </si>
  <si>
    <t>кг</t>
  </si>
  <si>
    <t>Удобрения минеральные длительного действия</t>
  </si>
  <si>
    <t>Устройство несущего щебнистого слоя (120мм) из щебня 20-40мм с проливом водой и трамбовкой с расклинцовкой щебнем 5-20мм</t>
  </si>
  <si>
    <t xml:space="preserve">Установка пластикового бордюра </t>
  </si>
  <si>
    <t>Устройство монтажного слоя из отсева (4см)</t>
  </si>
  <si>
    <t>Монтаж/демонтаж опалубки</t>
  </si>
  <si>
    <t xml:space="preserve">Армирование </t>
  </si>
  <si>
    <t>Заливка бетона</t>
  </si>
  <si>
    <t>метизы</t>
  </si>
  <si>
    <t>маш.</t>
  </si>
  <si>
    <t>доставка материалов</t>
  </si>
  <si>
    <t>комп.</t>
  </si>
  <si>
    <t>окраска в цвет по RAL</t>
  </si>
  <si>
    <t>Мощение гранитной брусчаткой (без рисунка)</t>
  </si>
  <si>
    <t>компл.</t>
  </si>
  <si>
    <t xml:space="preserve">Выборка ложа под мощение (-900мм) от чистовой отметки в отвал (механическая) </t>
  </si>
  <si>
    <t>Выемка грунта под фундаментную опору глубиной до 1500мм</t>
  </si>
  <si>
    <t>бут.</t>
  </si>
  <si>
    <t>Пленка тех.</t>
  </si>
  <si>
    <t>Гидроизоляция гряд и стенок фундамента теплицы</t>
  </si>
  <si>
    <t>Мастика битумная</t>
  </si>
  <si>
    <t>Доставка материалов (геотекстиль, виброплита)</t>
  </si>
  <si>
    <t>Диск алмазный</t>
  </si>
  <si>
    <t>Бордюр пластиковый Plastbort с крепежом</t>
  </si>
  <si>
    <t>Выемка грунта глубиной 600мм (механическая)</t>
  </si>
  <si>
    <t>Устройство закладных из 3-х труб d=110мм</t>
  </si>
  <si>
    <t>Труба канализационная SN4 d=110мм</t>
  </si>
  <si>
    <t>Готовый рулонный газон бюджетный, 1м.кв.</t>
  </si>
  <si>
    <t>Устройство нижнего слоя из песка, 110мм</t>
  </si>
  <si>
    <t>Устройство фундамента для теплицы.</t>
  </si>
  <si>
    <t>Выемка грунта под фундамент глубиной до 700мм вручную</t>
  </si>
  <si>
    <t>пленка техническая 150мк</t>
  </si>
  <si>
    <t>цемент М400, 50кг</t>
  </si>
  <si>
    <t>песок намывной, крупный</t>
  </si>
  <si>
    <t>расходные материалы</t>
  </si>
  <si>
    <t>арматура рифленая, 10мм</t>
  </si>
  <si>
    <t>Аренда мотобура</t>
  </si>
  <si>
    <t>Устройство теплицы.</t>
  </si>
  <si>
    <t>монтаж алюминиевого каркаса с остеклением</t>
  </si>
  <si>
    <t xml:space="preserve">алюминиевый профиль </t>
  </si>
  <si>
    <t>Изготовление и монтаж уличных грядок</t>
  </si>
  <si>
    <t>Изготовление и монтаж грядок в теплице</t>
  </si>
  <si>
    <t>Абразив (шкурка)</t>
  </si>
  <si>
    <t>Клей по дереву, 0,5л</t>
  </si>
  <si>
    <t>Устройство несущего щебнистого слоя (250мм) под пешеходное мощение из щебня 20-40мм с проливом водой и трамбовкой с расклинцовкой щебнем 5-20мм</t>
  </si>
  <si>
    <t>4. Устройство мощения из гранитной брусчатки.</t>
  </si>
  <si>
    <t>Электроды</t>
  </si>
  <si>
    <t>упак.</t>
  </si>
  <si>
    <t>Диск по металлу</t>
  </si>
  <si>
    <t>Устройство песчаного слоя, 300мм</t>
  </si>
  <si>
    <t>Сверло по дереву 8*100мм</t>
  </si>
  <si>
    <t>Метизы</t>
  </si>
  <si>
    <t>линия подвязки</t>
  </si>
  <si>
    <t>Песок мелкий для швов, 25кг</t>
  </si>
  <si>
    <t>Устройство ограничительного бордюра из металлического уголка 50*50мм</t>
  </si>
  <si>
    <t>Мощение плитами согласно схеме раскладки</t>
  </si>
  <si>
    <t>Брусчатка гранитная, 100х100х100мм</t>
  </si>
  <si>
    <t>Уголок металл., 50*50*5мм</t>
  </si>
  <si>
    <t xml:space="preserve">Арматура рифленая, 12мм </t>
  </si>
  <si>
    <t>фанера для опалубки, 12х1220*2440мм</t>
  </si>
  <si>
    <t>доска для опалубки, 25*100*3000мм</t>
  </si>
  <si>
    <t>щебень гранитный 5-20 мм</t>
  </si>
  <si>
    <t>стекло 4мм</t>
  </si>
  <si>
    <t>Изготовление грядок.</t>
  </si>
  <si>
    <t>Доска импрегнированная 45*145*6000мм, строганая</t>
  </si>
  <si>
    <t>Доска импрегнированная 50*100*6000мм, обрезная</t>
  </si>
  <si>
    <t>кол-во раз</t>
  </si>
  <si>
    <t>Вывоз мусора (глины)</t>
  </si>
  <si>
    <t>Дополнительные работы.</t>
  </si>
  <si>
    <t>Грунт плодородный</t>
  </si>
  <si>
    <t xml:space="preserve">Плата за проезд на территорию СНТ </t>
  </si>
  <si>
    <t>Аренда торцовочной пилы</t>
  </si>
  <si>
    <t>сут.</t>
  </si>
  <si>
    <t>Устройство набивного финишного покрытия из гравия (40мм)</t>
  </si>
  <si>
    <t>Гравий (щебень гр. 20-40мм)</t>
  </si>
  <si>
    <t>Брусчатка гранитная, 100х100х50мм</t>
  </si>
  <si>
    <t>Вертикальная планировка (геопластика)</t>
  </si>
  <si>
    <t>Выемка грунта глубиной 600мм (механическая) под закладные</t>
  </si>
  <si>
    <t>Устройство песчаного слоя, 600мм</t>
  </si>
  <si>
    <t xml:space="preserve">Выборка ложа под мощение до -500мм от чистовой отметки в отвал (механическая) </t>
  </si>
  <si>
    <t xml:space="preserve">Выборка ложа под мощение (-300мм) от чистовой отметки в отвал (механическая) </t>
  </si>
  <si>
    <t>Устройство песчаного слоя, 180мм</t>
  </si>
  <si>
    <t>Геотекстильное нетканое полотно</t>
  </si>
  <si>
    <t>Плита бетонная: толщина 50мм, ширина 0,36м, длина от 1 до 1,8м</t>
  </si>
  <si>
    <t>Облицовка подпорных стенок.</t>
  </si>
  <si>
    <t>м.п.</t>
  </si>
  <si>
    <t>Монтаж каркаса на бетонную стенку</t>
  </si>
  <si>
    <t xml:space="preserve">Антисептирование пиломатериалов с обеих сторон  </t>
  </si>
  <si>
    <t>Окраска доски в один слой с фасадной стороны и торцов</t>
  </si>
  <si>
    <t>Монтаж доски</t>
  </si>
  <si>
    <t>Доска обрезн., сосна, 20х145х3000мм</t>
  </si>
  <si>
    <t>Доска обрезн., сосна, 20х125х3000мм</t>
  </si>
  <si>
    <t>Брусок сухой сосна 30х45х3000 мм сорт АВ</t>
  </si>
  <si>
    <t>Дюбель-гвоздь 8x100мм</t>
  </si>
  <si>
    <t>уп.</t>
  </si>
  <si>
    <t>Саморезы по дереву</t>
  </si>
  <si>
    <t>Пленка тех. 150мк, шир.3м</t>
  </si>
  <si>
    <t>Антисептик Pinotex Base</t>
  </si>
  <si>
    <t>л</t>
  </si>
  <si>
    <t>Краска Pinotex Extreme One.  Колеровка  утренний туман 005</t>
  </si>
  <si>
    <t>Доставка материалов</t>
  </si>
  <si>
    <t xml:space="preserve">Выборка ложа (-300мм) от чистовой отметки (механическая) </t>
  </si>
  <si>
    <t>Вывоз демонтированного бетона от подпорных стенок</t>
  </si>
  <si>
    <t>Подпиливание бетона подпорных стенок</t>
  </si>
  <si>
    <t>Демонтаж бетона подпорных стенок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</si>
</sst>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9" formatCode="_(* #,##0.0_);_(* \(#,##0.0\);_(* \-??_);_(@_)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sz val="10"/>
      <name val="Helv"/>
    </font>
    <font>
      <sz val="10"/>
      <name val="Arial Cyr"/>
      <charset val="204"/>
    </font>
    <font>
      <sz val="11"/>
      <color indexed="8"/>
      <name val="Calibri"/>
      <family val="2"/>
    </font>
    <font>
      <u/>
      <sz val="10"/>
      <color indexed="12"/>
      <name val="Arial Cyr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</font>
    <font>
      <b/>
      <i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38">
    <xf numFmtId="0" fontId="0" fillId="0" borderId="0"/>
    <xf numFmtId="0" fontId="4" fillId="0" borderId="0"/>
    <xf numFmtId="0" fontId="7" fillId="0" borderId="0"/>
    <xf numFmtId="0" fontId="6" fillId="0" borderId="0" applyNumberFormat="0" applyFill="0" applyBorder="0" applyAlignment="0" applyProtection="0">
      <alignment vertical="top"/>
      <protection locked="0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8" fillId="0" borderId="0"/>
    <xf numFmtId="0" fontId="4" fillId="0" borderId="0"/>
    <xf numFmtId="0" fontId="8" fillId="0" borderId="0"/>
    <xf numFmtId="0" fontId="9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97">
    <xf numFmtId="0" fontId="0" fillId="0" borderId="0" xfId="0"/>
    <xf numFmtId="0" fontId="10" fillId="2" borderId="1" xfId="22" applyFont="1" applyFill="1" applyBorder="1" applyAlignment="1">
      <alignment wrapText="1"/>
    </xf>
    <xf numFmtId="0" fontId="10" fillId="2" borderId="1" xfId="25" applyFont="1" applyFill="1" applyBorder="1" applyAlignment="1">
      <alignment horizontal="center"/>
    </xf>
    <xf numFmtId="3" fontId="10" fillId="2" borderId="1" xfId="20" applyNumberFormat="1" applyFont="1" applyFill="1" applyBorder="1" applyAlignment="1">
      <alignment horizontal="right"/>
    </xf>
    <xf numFmtId="0" fontId="10" fillId="2" borderId="0" xfId="22" applyFont="1" applyFill="1" applyAlignment="1">
      <alignment wrapText="1"/>
    </xf>
    <xf numFmtId="0" fontId="10" fillId="2" borderId="0" xfId="25" applyFont="1" applyFill="1" applyAlignment="1">
      <alignment horizontal="center"/>
    </xf>
    <xf numFmtId="3" fontId="10" fillId="2" borderId="0" xfId="20" applyNumberFormat="1" applyFont="1" applyFill="1" applyAlignment="1">
      <alignment horizontal="right"/>
    </xf>
    <xf numFmtId="0" fontId="10" fillId="0" borderId="0" xfId="0" applyFont="1"/>
    <xf numFmtId="0" fontId="14" fillId="2" borderId="0" xfId="0" applyFont="1" applyFill="1"/>
    <xf numFmtId="0" fontId="12" fillId="2" borderId="0" xfId="0" applyFont="1" applyFill="1" applyAlignment="1">
      <alignment wrapText="1"/>
    </xf>
    <xf numFmtId="0" fontId="15" fillId="2" borderId="0" xfId="0" applyFont="1" applyFill="1"/>
    <xf numFmtId="0" fontId="13" fillId="2" borderId="1" xfId="27" applyFont="1" applyFill="1" applyBorder="1" applyAlignment="1">
      <alignment wrapText="1"/>
    </xf>
    <xf numFmtId="0" fontId="13" fillId="2" borderId="1" xfId="27" applyFont="1" applyFill="1" applyBorder="1" applyAlignment="1">
      <alignment horizontal="center"/>
    </xf>
    <xf numFmtId="3" fontId="13" fillId="2" borderId="1" xfId="30" applyNumberFormat="1" applyFont="1" applyFill="1" applyBorder="1" applyAlignment="1">
      <alignment horizontal="right"/>
    </xf>
    <xf numFmtId="0" fontId="13" fillId="2" borderId="0" xfId="0" applyFont="1" applyFill="1" applyAlignment="1">
      <alignment horizontal="right" vertical="center" wrapText="1"/>
    </xf>
    <xf numFmtId="0" fontId="13" fillId="2" borderId="1" xfId="26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3" fontId="13" fillId="2" borderId="1" xfId="24" applyNumberFormat="1" applyFont="1" applyFill="1" applyBorder="1" applyAlignment="1">
      <alignment horizontal="right"/>
    </xf>
    <xf numFmtId="3" fontId="13" fillId="2" borderId="1" xfId="37" applyNumberFormat="1" applyFont="1" applyFill="1" applyBorder="1" applyAlignment="1">
      <alignment horizontal="right" wrapText="1"/>
    </xf>
    <xf numFmtId="0" fontId="16" fillId="2" borderId="0" xfId="23" applyFont="1" applyFill="1" applyAlignment="1">
      <alignment horizontal="right" wrapText="1"/>
    </xf>
    <xf numFmtId="3" fontId="13" fillId="2" borderId="1" xfId="0" applyNumberFormat="1" applyFont="1" applyFill="1" applyBorder="1" applyAlignment="1">
      <alignment horizontal="right"/>
    </xf>
    <xf numFmtId="0" fontId="13" fillId="2" borderId="1" xfId="24" applyFont="1" applyFill="1" applyBorder="1" applyAlignment="1">
      <alignment horizontal="center"/>
    </xf>
    <xf numFmtId="0" fontId="12" fillId="2" borderId="0" xfId="0" applyFont="1" applyFill="1" applyAlignment="1">
      <alignment horizontal="right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/>
    </xf>
    <xf numFmtId="3" fontId="10" fillId="2" borderId="1" xfId="0" applyNumberFormat="1" applyFont="1" applyFill="1" applyBorder="1"/>
    <xf numFmtId="0" fontId="10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horizontal="center" wrapText="1"/>
    </xf>
    <xf numFmtId="3" fontId="16" fillId="2" borderId="0" xfId="0" applyNumberFormat="1" applyFont="1" applyFill="1" applyAlignment="1">
      <alignment horizontal="right" wrapText="1"/>
    </xf>
    <xf numFmtId="0" fontId="10" fillId="2" borderId="1" xfId="25" applyFont="1" applyFill="1" applyBorder="1" applyAlignment="1">
      <alignment wrapText="1"/>
    </xf>
    <xf numFmtId="3" fontId="13" fillId="2" borderId="1" xfId="0" applyNumberFormat="1" applyFont="1" applyFill="1" applyBorder="1"/>
    <xf numFmtId="0" fontId="13" fillId="2" borderId="0" xfId="23" applyFont="1" applyFill="1" applyAlignment="1">
      <alignment wrapText="1"/>
    </xf>
    <xf numFmtId="0" fontId="13" fillId="2" borderId="1" xfId="23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horizontal="center"/>
    </xf>
    <xf numFmtId="3" fontId="10" fillId="0" borderId="1" xfId="0" applyNumberFormat="1" applyFont="1" applyBorder="1"/>
    <xf numFmtId="0" fontId="13" fillId="2" borderId="1" xfId="0" applyFont="1" applyFill="1" applyBorder="1" applyAlignment="1">
      <alignment wrapText="1"/>
    </xf>
    <xf numFmtId="3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right"/>
    </xf>
    <xf numFmtId="0" fontId="13" fillId="2" borderId="0" xfId="0" applyFont="1" applyFill="1"/>
    <xf numFmtId="169" fontId="13" fillId="2" borderId="0" xfId="37" applyNumberFormat="1" applyFont="1" applyFill="1"/>
    <xf numFmtId="0" fontId="10" fillId="0" borderId="2" xfId="12" applyFont="1" applyBorder="1" applyAlignment="1">
      <alignment wrapText="1"/>
    </xf>
    <xf numFmtId="0" fontId="10" fillId="0" borderId="2" xfId="12" applyFont="1" applyBorder="1" applyAlignment="1">
      <alignment horizontal="center"/>
    </xf>
    <xf numFmtId="3" fontId="10" fillId="0" borderId="5" xfId="12" applyNumberFormat="1" applyFont="1" applyBorder="1"/>
    <xf numFmtId="0" fontId="10" fillId="2" borderId="0" xfId="0" applyFont="1" applyFill="1" applyAlignment="1">
      <alignment horizontal="center"/>
    </xf>
    <xf numFmtId="0" fontId="16" fillId="0" borderId="0" xfId="0" applyFont="1"/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7" fillId="2" borderId="0" xfId="0" applyFont="1" applyFill="1"/>
    <xf numFmtId="0" fontId="16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center" wrapText="1"/>
    </xf>
    <xf numFmtId="3" fontId="10" fillId="2" borderId="0" xfId="0" applyNumberFormat="1" applyFont="1" applyFill="1"/>
    <xf numFmtId="3" fontId="16" fillId="2" borderId="0" xfId="0" applyNumberFormat="1" applyFont="1" applyFill="1" applyAlignment="1">
      <alignment horizontal="center"/>
    </xf>
    <xf numFmtId="3" fontId="10" fillId="0" borderId="0" xfId="0" applyNumberFormat="1" applyFont="1"/>
    <xf numFmtId="0" fontId="12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wrapText="1"/>
    </xf>
    <xf numFmtId="3" fontId="12" fillId="2" borderId="0" xfId="0" applyNumberFormat="1" applyFont="1" applyFill="1" applyAlignment="1">
      <alignment horizontal="center"/>
    </xf>
    <xf numFmtId="0" fontId="10" fillId="2" borderId="0" xfId="20" applyFont="1" applyFill="1"/>
    <xf numFmtId="0" fontId="15" fillId="2" borderId="0" xfId="0" applyFont="1" applyFill="1" applyAlignment="1">
      <alignment horizontal="center"/>
    </xf>
    <xf numFmtId="3" fontId="13" fillId="2" borderId="1" xfId="0" applyNumberFormat="1" applyFont="1" applyFill="1" applyBorder="1" applyAlignment="1">
      <alignment horizontal="right" wrapText="1"/>
    </xf>
    <xf numFmtId="3" fontId="13" fillId="2" borderId="0" xfId="0" applyNumberFormat="1" applyFont="1" applyFill="1" applyAlignment="1">
      <alignment horizontal="right"/>
    </xf>
    <xf numFmtId="0" fontId="16" fillId="2" borderId="0" xfId="25" applyFont="1" applyFill="1"/>
    <xf numFmtId="0" fontId="13" fillId="2" borderId="0" xfId="20" applyFont="1" applyFill="1"/>
    <xf numFmtId="3" fontId="13" fillId="2" borderId="0" xfId="20" applyNumberFormat="1" applyFont="1" applyFill="1"/>
    <xf numFmtId="0" fontId="13" fillId="2" borderId="0" xfId="27" applyFont="1" applyFill="1" applyAlignment="1">
      <alignment horizontal="center"/>
    </xf>
    <xf numFmtId="0" fontId="13" fillId="2" borderId="0" xfId="27" applyFont="1" applyFill="1" applyAlignment="1">
      <alignment wrapText="1"/>
    </xf>
    <xf numFmtId="3" fontId="13" fillId="2" borderId="0" xfId="3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169" fontId="10" fillId="0" borderId="0" xfId="36" applyNumberFormat="1" applyFont="1" applyFill="1" applyBorder="1" applyAlignment="1" applyProtection="1"/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5" fillId="0" borderId="0" xfId="21" applyFont="1" applyAlignment="1">
      <alignment vertical="center" wrapText="1"/>
    </xf>
    <xf numFmtId="0" fontId="10" fillId="0" borderId="1" xfId="12" applyFont="1" applyBorder="1" applyAlignment="1">
      <alignment wrapText="1"/>
    </xf>
    <xf numFmtId="0" fontId="10" fillId="0" borderId="4" xfId="12" applyFont="1" applyBorder="1" applyAlignment="1">
      <alignment horizontal="center"/>
    </xf>
    <xf numFmtId="3" fontId="10" fillId="0" borderId="5" xfId="12" applyNumberFormat="1" applyFont="1" applyBorder="1" applyAlignment="1">
      <alignment wrapText="1"/>
    </xf>
    <xf numFmtId="169" fontId="10" fillId="2" borderId="0" xfId="36" applyNumberFormat="1" applyFont="1" applyFill="1" applyBorder="1" applyAlignment="1" applyProtection="1"/>
    <xf numFmtId="0" fontId="10" fillId="2" borderId="1" xfId="0" applyFont="1" applyFill="1" applyBorder="1"/>
    <xf numFmtId="0" fontId="10" fillId="2" borderId="6" xfId="12" applyFont="1" applyFill="1" applyBorder="1" applyAlignment="1">
      <alignment wrapText="1"/>
    </xf>
    <xf numFmtId="0" fontId="10" fillId="2" borderId="6" xfId="12" applyFont="1" applyFill="1" applyBorder="1" applyAlignment="1">
      <alignment horizontal="center"/>
    </xf>
    <xf numFmtId="3" fontId="10" fillId="2" borderId="7" xfId="12" applyNumberFormat="1" applyFont="1" applyFill="1" applyBorder="1"/>
    <xf numFmtId="3" fontId="10" fillId="2" borderId="1" xfId="30" applyNumberFormat="1" applyFont="1" applyFill="1" applyBorder="1"/>
    <xf numFmtId="0" fontId="10" fillId="2" borderId="3" xfId="0" applyFont="1" applyFill="1" applyBorder="1" applyAlignment="1">
      <alignment horizontal="center"/>
    </xf>
    <xf numFmtId="3" fontId="10" fillId="2" borderId="1" xfId="4" applyNumberFormat="1" applyFont="1" applyFill="1" applyBorder="1" applyAlignment="1"/>
    <xf numFmtId="0" fontId="15" fillId="2" borderId="0" xfId="21" applyFont="1" applyFill="1" applyAlignment="1">
      <alignment vertical="center" wrapText="1"/>
    </xf>
    <xf numFmtId="0" fontId="10" fillId="2" borderId="1" xfId="12" applyFont="1" applyFill="1" applyBorder="1" applyAlignment="1">
      <alignment wrapText="1"/>
    </xf>
    <xf numFmtId="0" fontId="10" fillId="2" borderId="4" xfId="12" applyFont="1" applyFill="1" applyBorder="1" applyAlignment="1">
      <alignment horizontal="center"/>
    </xf>
    <xf numFmtId="3" fontId="10" fillId="2" borderId="5" xfId="12" applyNumberFormat="1" applyFont="1" applyFill="1" applyBorder="1" applyAlignment="1">
      <alignment wrapText="1"/>
    </xf>
    <xf numFmtId="3" fontId="10" fillId="2" borderId="0" xfId="30" applyNumberFormat="1" applyFont="1" applyFill="1" applyBorder="1" applyAlignment="1"/>
    <xf numFmtId="3" fontId="10" fillId="2" borderId="1" xfId="30" applyNumberFormat="1" applyFont="1" applyFill="1" applyBorder="1" applyAlignment="1"/>
  </cellXfs>
  <cellStyles count="38">
    <cellStyle name="Excel Built-in Normal" xfId="1" xr:uid="{00000000-0005-0000-0000-000000000000}"/>
    <cellStyle name="Standaard 4" xfId="2" xr:uid="{00000000-0005-0000-0000-000001000000}"/>
    <cellStyle name="Гиперссылка 3" xfId="3" xr:uid="{00000000-0005-0000-0000-000002000000}"/>
    <cellStyle name="Денежный" xfId="4" builtinId="4"/>
    <cellStyle name="Денежный 2" xfId="5" xr:uid="{00000000-0005-0000-0000-000004000000}"/>
    <cellStyle name="Денежный 2 2" xfId="6" xr:uid="{00000000-0005-0000-0000-000005000000}"/>
    <cellStyle name="Денежный 2 3" xfId="7" xr:uid="{00000000-0005-0000-0000-000006000000}"/>
    <cellStyle name="Денежный 3" xfId="8" xr:uid="{00000000-0005-0000-0000-000007000000}"/>
    <cellStyle name="Денежный 4" xfId="9" xr:uid="{00000000-0005-0000-0000-000008000000}"/>
    <cellStyle name="Денежный 5" xfId="10" xr:uid="{00000000-0005-0000-0000-000009000000}"/>
    <cellStyle name="Денежный 6" xfId="11" xr:uid="{00000000-0005-0000-0000-00000A000000}"/>
    <cellStyle name="Обычный" xfId="0" builtinId="0"/>
    <cellStyle name="Обычный 2" xfId="12" xr:uid="{00000000-0005-0000-0000-00000C000000}"/>
    <cellStyle name="Обычный 2 2" xfId="13" xr:uid="{00000000-0005-0000-0000-00000D000000}"/>
    <cellStyle name="Обычный 2 3" xfId="14" xr:uid="{00000000-0005-0000-0000-00000E000000}"/>
    <cellStyle name="Обычный 3" xfId="15" xr:uid="{00000000-0005-0000-0000-00000F000000}"/>
    <cellStyle name="Обычный 3 2" xfId="16" xr:uid="{00000000-0005-0000-0000-000010000000}"/>
    <cellStyle name="Обычный 4" xfId="17" xr:uid="{00000000-0005-0000-0000-000011000000}"/>
    <cellStyle name="Обычный 5" xfId="18" xr:uid="{00000000-0005-0000-0000-000012000000}"/>
    <cellStyle name="Обычный 6" xfId="19" xr:uid="{00000000-0005-0000-0000-000013000000}"/>
    <cellStyle name="Обычный_Коммерческое предложение Янино 2" xfId="20" xr:uid="{00000000-0005-0000-0000-000015000000}"/>
    <cellStyle name="Обычный_КП 11-33 - оценочная смета Воейково сокр" xfId="21" xr:uid="{00000000-0005-0000-0000-000017000000}"/>
    <cellStyle name="Обычный_Мощение  пешеходных дорожек серо-зеленым песчанником 2" xfId="22" xr:uid="{00000000-0005-0000-0000-000019000000}"/>
    <cellStyle name="Обычный_Мощение  пешеходных дорожек серо-зеленым песчанником 3" xfId="23" xr:uid="{00000000-0005-0000-0000-00001A000000}"/>
    <cellStyle name="Обычный_Павловск смета 2" xfId="24" xr:uid="{00000000-0005-0000-0000-00001B000000}"/>
    <cellStyle name="Обычный_последний этап  02 (3 этап) 2" xfId="25" xr:uid="{00000000-0005-0000-0000-00001C000000}"/>
    <cellStyle name="Обычный_последний этап  02 (3 этап) 3" xfId="26" xr:uid="{00000000-0005-0000-0000-00001D000000}"/>
    <cellStyle name="Обычный_Резвых, спортивный газон отчет" xfId="27" xr:uid="{00000000-0005-0000-0000-00001E000000}"/>
    <cellStyle name="Процентный 2" xfId="28" xr:uid="{00000000-0005-0000-0000-000022000000}"/>
    <cellStyle name="Стиль 1" xfId="29" xr:uid="{00000000-0005-0000-0000-000023000000}"/>
    <cellStyle name="Финансовый" xfId="30" builtinId="3"/>
    <cellStyle name="Финансовый 2" xfId="31" xr:uid="{00000000-0005-0000-0000-000025000000}"/>
    <cellStyle name="Финансовый 3" xfId="32" xr:uid="{00000000-0005-0000-0000-000026000000}"/>
    <cellStyle name="Финансовый 4" xfId="33" xr:uid="{00000000-0005-0000-0000-000027000000}"/>
    <cellStyle name="Финансовый 5" xfId="34" xr:uid="{00000000-0005-0000-0000-000028000000}"/>
    <cellStyle name="Финансовый 6" xfId="35" xr:uid="{00000000-0005-0000-0000-000029000000}"/>
    <cellStyle name="Финансовый_Мощение  пешеходных дорожек серо-зеленым песчанником" xfId="36" xr:uid="{00000000-0005-0000-0000-00002A000000}"/>
    <cellStyle name="Финансовый_Мощение  пешеходных дорожек серо-зеленым песчанником 2" xfId="37" xr:uid="{00000000-0005-0000-0000-00002B000000}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92</xdr:row>
      <xdr:rowOff>0</xdr:rowOff>
    </xdr:from>
    <xdr:to>
      <xdr:col>4</xdr:col>
      <xdr:colOff>0</xdr:colOff>
      <xdr:row>92</xdr:row>
      <xdr:rowOff>0</xdr:rowOff>
    </xdr:to>
    <xdr:pic>
      <xdr:nvPicPr>
        <xdr:cNvPr id="2" name="Рисунок 1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51D59280-245F-405E-A954-4FA60C89A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56794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0</xdr:colOff>
      <xdr:row>123</xdr:row>
      <xdr:rowOff>0</xdr:rowOff>
    </xdr:to>
    <xdr:pic>
      <xdr:nvPicPr>
        <xdr:cNvPr id="8" name="Рисунок 1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72D11451-7B9D-42C5-BEF2-669946A9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61188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0</xdr:colOff>
      <xdr:row>138</xdr:row>
      <xdr:rowOff>0</xdr:rowOff>
    </xdr:to>
    <xdr:pic>
      <xdr:nvPicPr>
        <xdr:cNvPr id="12" name="Рисунок 1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E3BFD24E-71E7-4C76-9990-6D75E623C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4960" y="273558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0</xdr:colOff>
      <xdr:row>138</xdr:row>
      <xdr:rowOff>0</xdr:rowOff>
    </xdr:from>
    <xdr:ext cx="0" cy="0"/>
    <xdr:pic>
      <xdr:nvPicPr>
        <xdr:cNvPr id="16" name="Рисунок 1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39BBF288-552C-4C50-A1DF-7B4C9913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4960" y="255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14999847407452621"/>
    <pageSetUpPr fitToPage="1"/>
  </sheetPr>
  <dimension ref="A1:IJ202"/>
  <sheetViews>
    <sheetView tabSelected="1" topLeftCell="A197" workbookViewId="0">
      <selection activeCell="F200" sqref="F200"/>
    </sheetView>
  </sheetViews>
  <sheetFormatPr defaultRowHeight="13.8" x14ac:dyDescent="0.3"/>
  <cols>
    <col min="1" max="1" width="1.88671875" style="26" customWidth="1"/>
    <col min="2" max="2" width="43.77734375" style="26" customWidth="1"/>
    <col min="3" max="3" width="14" style="26" customWidth="1"/>
    <col min="4" max="4" width="10.77734375" style="26" customWidth="1"/>
    <col min="5" max="16384" width="8.88671875" style="26"/>
  </cols>
  <sheetData>
    <row r="1" spans="2:4" x14ac:dyDescent="0.3">
      <c r="B1" s="47" t="s">
        <v>45</v>
      </c>
      <c r="C1" s="48"/>
      <c r="D1" s="48"/>
    </row>
    <row r="2" spans="2:4" ht="16.2" customHeight="1" x14ac:dyDescent="0.3">
      <c r="B2" s="50" t="s">
        <v>5</v>
      </c>
      <c r="C2" s="50" t="s">
        <v>6</v>
      </c>
      <c r="D2" s="51" t="s">
        <v>7</v>
      </c>
    </row>
    <row r="3" spans="2:4" s="10" customFormat="1" x14ac:dyDescent="0.3">
      <c r="B3" s="48" t="s">
        <v>44</v>
      </c>
      <c r="C3" s="52"/>
      <c r="D3" s="52"/>
    </row>
    <row r="4" spans="2:4" ht="27.6" x14ac:dyDescent="0.3">
      <c r="B4" s="37" t="s">
        <v>66</v>
      </c>
      <c r="C4" s="16" t="s">
        <v>13</v>
      </c>
      <c r="D4" s="31">
        <v>800</v>
      </c>
    </row>
    <row r="5" spans="2:4" x14ac:dyDescent="0.3">
      <c r="B5" s="37" t="s">
        <v>14</v>
      </c>
      <c r="C5" s="16" t="s">
        <v>0</v>
      </c>
      <c r="D5" s="31">
        <v>40</v>
      </c>
    </row>
    <row r="6" spans="2:4" x14ac:dyDescent="0.3">
      <c r="B6" s="37" t="s">
        <v>129</v>
      </c>
      <c r="C6" s="16" t="s">
        <v>0</v>
      </c>
      <c r="D6" s="31">
        <f>110*6</f>
        <v>660</v>
      </c>
    </row>
    <row r="7" spans="2:4" x14ac:dyDescent="0.3">
      <c r="B7" s="37" t="s">
        <v>15</v>
      </c>
      <c r="C7" s="16" t="s">
        <v>0</v>
      </c>
      <c r="D7" s="31">
        <v>15</v>
      </c>
    </row>
    <row r="8" spans="2:4" ht="42.6" customHeight="1" x14ac:dyDescent="0.3">
      <c r="B8" s="37" t="s">
        <v>53</v>
      </c>
      <c r="C8" s="16" t="s">
        <v>0</v>
      </c>
      <c r="D8" s="31">
        <f>170*(1.2+0.5)</f>
        <v>289</v>
      </c>
    </row>
    <row r="9" spans="2:4" x14ac:dyDescent="0.3">
      <c r="B9" s="37" t="s">
        <v>16</v>
      </c>
      <c r="C9" s="16" t="s">
        <v>10</v>
      </c>
      <c r="D9" s="31">
        <v>800</v>
      </c>
    </row>
    <row r="10" spans="2:4" x14ac:dyDescent="0.3">
      <c r="B10" s="53" t="s">
        <v>11</v>
      </c>
      <c r="C10" s="49"/>
      <c r="D10" s="56"/>
    </row>
    <row r="11" spans="2:4" ht="37.799999999999997" customHeight="1" x14ac:dyDescent="0.3">
      <c r="B11" s="30" t="s">
        <v>12</v>
      </c>
      <c r="C11" s="16" t="s">
        <v>2</v>
      </c>
      <c r="D11" s="31">
        <v>1880</v>
      </c>
    </row>
    <row r="12" spans="2:4" ht="37.799999999999997" customHeight="1" x14ac:dyDescent="0.3">
      <c r="B12" s="30" t="s">
        <v>18</v>
      </c>
      <c r="C12" s="16" t="s">
        <v>2</v>
      </c>
      <c r="D12" s="31">
        <v>2310</v>
      </c>
    </row>
    <row r="13" spans="2:4" ht="13.8" customHeight="1" x14ac:dyDescent="0.3">
      <c r="B13" s="30" t="s">
        <v>32</v>
      </c>
      <c r="C13" s="16" t="s">
        <v>0</v>
      </c>
      <c r="D13" s="31">
        <v>50</v>
      </c>
    </row>
    <row r="14" spans="2:4" x14ac:dyDescent="0.3">
      <c r="B14" s="37" t="s">
        <v>19</v>
      </c>
      <c r="C14" s="16" t="s">
        <v>2</v>
      </c>
      <c r="D14" s="31">
        <v>1050</v>
      </c>
    </row>
    <row r="15" spans="2:4" x14ac:dyDescent="0.3">
      <c r="B15" s="37" t="s">
        <v>8</v>
      </c>
      <c r="C15" s="16"/>
      <c r="D15" s="31"/>
    </row>
    <row r="16" spans="2:4" ht="6.6" customHeight="1" x14ac:dyDescent="0.3"/>
    <row r="17" spans="2:4" ht="13.95" customHeight="1" x14ac:dyDescent="0.3">
      <c r="B17" s="23" t="s">
        <v>25</v>
      </c>
      <c r="C17" s="39" t="s">
        <v>2</v>
      </c>
      <c r="D17" s="38">
        <v>1200</v>
      </c>
    </row>
    <row r="18" spans="2:4" ht="5.55" customHeight="1" x14ac:dyDescent="0.3"/>
    <row r="19" spans="2:4" x14ac:dyDescent="0.3">
      <c r="B19" s="37" t="s">
        <v>72</v>
      </c>
      <c r="C19" s="16" t="s">
        <v>4</v>
      </c>
      <c r="D19" s="31">
        <v>8000</v>
      </c>
    </row>
    <row r="20" spans="2:4" x14ac:dyDescent="0.3">
      <c r="B20" s="48" t="s">
        <v>46</v>
      </c>
      <c r="C20" s="48"/>
      <c r="D20" s="48"/>
    </row>
    <row r="21" spans="2:4" ht="27.6" x14ac:dyDescent="0.3">
      <c r="B21" s="37" t="s">
        <v>130</v>
      </c>
      <c r="C21" s="16" t="s">
        <v>13</v>
      </c>
      <c r="D21" s="31">
        <v>800</v>
      </c>
    </row>
    <row r="22" spans="2:4" x14ac:dyDescent="0.3">
      <c r="B22" s="37" t="s">
        <v>14</v>
      </c>
      <c r="C22" s="16" t="s">
        <v>0</v>
      </c>
      <c r="D22" s="31">
        <v>40</v>
      </c>
    </row>
    <row r="23" spans="2:4" x14ac:dyDescent="0.3">
      <c r="B23" s="37" t="s">
        <v>100</v>
      </c>
      <c r="C23" s="16" t="s">
        <v>0</v>
      </c>
      <c r="D23" s="31">
        <f>110*3</f>
        <v>330</v>
      </c>
    </row>
    <row r="24" spans="2:4" x14ac:dyDescent="0.3">
      <c r="B24" s="37" t="s">
        <v>15</v>
      </c>
      <c r="C24" s="16" t="s">
        <v>0</v>
      </c>
      <c r="D24" s="31">
        <v>15</v>
      </c>
    </row>
    <row r="25" spans="2:4" ht="55.2" customHeight="1" x14ac:dyDescent="0.3">
      <c r="B25" s="37" t="s">
        <v>95</v>
      </c>
      <c r="C25" s="16" t="s">
        <v>0</v>
      </c>
      <c r="D25" s="31">
        <f>170*(2.5+0.5)</f>
        <v>510</v>
      </c>
    </row>
    <row r="26" spans="2:4" x14ac:dyDescent="0.3">
      <c r="B26" s="37" t="s">
        <v>16</v>
      </c>
      <c r="C26" s="16" t="s">
        <v>10</v>
      </c>
      <c r="D26" s="31">
        <v>800</v>
      </c>
    </row>
    <row r="27" spans="2:4" ht="37.200000000000003" customHeight="1" x14ac:dyDescent="0.3">
      <c r="B27" s="30" t="s">
        <v>12</v>
      </c>
      <c r="C27" s="16" t="s">
        <v>2</v>
      </c>
      <c r="D27" s="31">
        <f>D11</f>
        <v>1880</v>
      </c>
    </row>
    <row r="28" spans="2:4" ht="37.200000000000003" customHeight="1" x14ac:dyDescent="0.3">
      <c r="B28" s="30" t="s">
        <v>18</v>
      </c>
      <c r="C28" s="16" t="s">
        <v>2</v>
      </c>
      <c r="D28" s="31">
        <f>D12</f>
        <v>2310</v>
      </c>
    </row>
    <row r="29" spans="2:4" ht="15" customHeight="1" x14ac:dyDescent="0.3">
      <c r="B29" s="30" t="s">
        <v>32</v>
      </c>
      <c r="C29" s="16" t="s">
        <v>0</v>
      </c>
      <c r="D29" s="31">
        <v>50</v>
      </c>
    </row>
    <row r="30" spans="2:4" x14ac:dyDescent="0.3">
      <c r="B30" s="37" t="s">
        <v>19</v>
      </c>
      <c r="C30" s="16" t="s">
        <v>2</v>
      </c>
      <c r="D30" s="31">
        <f>D14</f>
        <v>1050</v>
      </c>
    </row>
    <row r="31" spans="2:4" x14ac:dyDescent="0.3">
      <c r="B31" s="37" t="s">
        <v>8</v>
      </c>
      <c r="C31" s="16"/>
      <c r="D31" s="31"/>
    </row>
    <row r="32" spans="2:4" s="10" customFormat="1" x14ac:dyDescent="0.3">
      <c r="B32" s="48" t="s">
        <v>50</v>
      </c>
      <c r="C32" s="48"/>
      <c r="D32" s="48"/>
    </row>
    <row r="33" spans="1:244" s="10" customFormat="1" ht="27.6" x14ac:dyDescent="0.3">
      <c r="B33" s="37" t="s">
        <v>131</v>
      </c>
      <c r="C33" s="16" t="s">
        <v>13</v>
      </c>
      <c r="D33" s="31">
        <v>800</v>
      </c>
    </row>
    <row r="34" spans="1:244" s="10" customFormat="1" x14ac:dyDescent="0.3">
      <c r="B34" s="37" t="s">
        <v>14</v>
      </c>
      <c r="C34" s="16" t="s">
        <v>0</v>
      </c>
      <c r="D34" s="31">
        <v>40</v>
      </c>
    </row>
    <row r="35" spans="1:244" s="10" customFormat="1" x14ac:dyDescent="0.3">
      <c r="B35" s="37" t="s">
        <v>132</v>
      </c>
      <c r="C35" s="16" t="s">
        <v>0</v>
      </c>
      <c r="D35" s="31">
        <f>110*1.8</f>
        <v>198</v>
      </c>
    </row>
    <row r="36" spans="1:244" s="10" customFormat="1" x14ac:dyDescent="0.3">
      <c r="B36" s="37" t="s">
        <v>15</v>
      </c>
      <c r="C36" s="16" t="s">
        <v>0</v>
      </c>
      <c r="D36" s="31">
        <v>15</v>
      </c>
    </row>
    <row r="37" spans="1:244" s="10" customFormat="1" ht="55.2" x14ac:dyDescent="0.3">
      <c r="B37" s="37" t="s">
        <v>38</v>
      </c>
      <c r="C37" s="16" t="s">
        <v>0</v>
      </c>
      <c r="D37" s="31">
        <f>170*(1.2+0.5)</f>
        <v>289</v>
      </c>
    </row>
    <row r="38" spans="1:244" s="10" customFormat="1" x14ac:dyDescent="0.3">
      <c r="B38" s="37" t="s">
        <v>16</v>
      </c>
      <c r="C38" s="16" t="s">
        <v>10</v>
      </c>
      <c r="D38" s="31">
        <v>800</v>
      </c>
    </row>
    <row r="39" spans="1:244" s="10" customFormat="1" ht="40.200000000000003" customHeight="1" x14ac:dyDescent="0.3">
      <c r="B39" s="30" t="s">
        <v>12</v>
      </c>
      <c r="C39" s="16" t="s">
        <v>2</v>
      </c>
      <c r="D39" s="31">
        <f>D27</f>
        <v>1880</v>
      </c>
    </row>
    <row r="40" spans="1:244" s="10" customFormat="1" ht="40.200000000000003" customHeight="1" x14ac:dyDescent="0.3">
      <c r="B40" s="30" t="s">
        <v>18</v>
      </c>
      <c r="C40" s="16" t="s">
        <v>2</v>
      </c>
      <c r="D40" s="31">
        <f>D28</f>
        <v>2310</v>
      </c>
    </row>
    <row r="41" spans="1:244" s="10" customFormat="1" x14ac:dyDescent="0.3">
      <c r="B41" s="30" t="s">
        <v>32</v>
      </c>
      <c r="C41" s="16" t="s">
        <v>0</v>
      </c>
      <c r="D41" s="31">
        <v>50</v>
      </c>
    </row>
    <row r="42" spans="1:244" s="10" customFormat="1" x14ac:dyDescent="0.3">
      <c r="B42" s="37" t="s">
        <v>19</v>
      </c>
      <c r="C42" s="16" t="s">
        <v>2</v>
      </c>
      <c r="D42" s="31">
        <v>1050</v>
      </c>
    </row>
    <row r="43" spans="1:244" s="10" customFormat="1" x14ac:dyDescent="0.3">
      <c r="B43" s="37" t="s">
        <v>8</v>
      </c>
      <c r="C43" s="16"/>
      <c r="D43" s="31"/>
    </row>
    <row r="44" spans="1:244" x14ac:dyDescent="0.3">
      <c r="A44" s="22"/>
      <c r="B44" s="27" t="s">
        <v>47</v>
      </c>
      <c r="C44" s="27"/>
      <c r="D44" s="27"/>
    </row>
    <row r="45" spans="1:244" ht="39" customHeight="1" x14ac:dyDescent="0.3">
      <c r="A45" s="22"/>
      <c r="B45" s="59" t="s">
        <v>5</v>
      </c>
      <c r="C45" s="59" t="s">
        <v>6</v>
      </c>
      <c r="D45" s="60" t="s">
        <v>7</v>
      </c>
    </row>
    <row r="46" spans="1:244" x14ac:dyDescent="0.3">
      <c r="A46" s="10"/>
      <c r="B46" s="27" t="s">
        <v>48</v>
      </c>
      <c r="C46" s="61"/>
      <c r="D46" s="6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</row>
    <row r="47" spans="1:244" x14ac:dyDescent="0.3">
      <c r="B47" s="23" t="s">
        <v>54</v>
      </c>
      <c r="C47" s="24" t="s">
        <v>34</v>
      </c>
      <c r="D47" s="25">
        <v>120</v>
      </c>
    </row>
    <row r="48" spans="1:244" x14ac:dyDescent="0.3">
      <c r="B48" s="23" t="s">
        <v>55</v>
      </c>
      <c r="C48" s="24" t="s">
        <v>0</v>
      </c>
      <c r="D48" s="25">
        <v>70</v>
      </c>
    </row>
    <row r="49" spans="1:244" ht="25.2" customHeight="1" x14ac:dyDescent="0.3">
      <c r="B49" s="23" t="s">
        <v>36</v>
      </c>
      <c r="C49" s="24" t="s">
        <v>0</v>
      </c>
      <c r="D49" s="25">
        <v>950</v>
      </c>
    </row>
    <row r="50" spans="1:244" s="10" customFormat="1" x14ac:dyDescent="0.3">
      <c r="A50" s="26"/>
      <c r="B50" s="37" t="s">
        <v>17</v>
      </c>
      <c r="C50" s="16" t="s">
        <v>9</v>
      </c>
      <c r="D50" s="31">
        <v>1200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</row>
    <row r="51" spans="1:244" x14ac:dyDescent="0.3">
      <c r="B51" s="37" t="s">
        <v>16</v>
      </c>
      <c r="C51" s="24" t="s">
        <v>10</v>
      </c>
      <c r="D51" s="38">
        <v>800</v>
      </c>
    </row>
    <row r="52" spans="1:244" x14ac:dyDescent="0.3">
      <c r="B52" s="9" t="s">
        <v>11</v>
      </c>
      <c r="C52" s="58"/>
      <c r="D52" s="62"/>
    </row>
    <row r="53" spans="1:244" ht="27.45" customHeight="1" x14ac:dyDescent="0.3">
      <c r="B53" s="23" t="s">
        <v>37</v>
      </c>
      <c r="C53" s="24" t="s">
        <v>0</v>
      </c>
      <c r="D53" s="38">
        <v>1100</v>
      </c>
    </row>
    <row r="54" spans="1:244" ht="16.8" customHeight="1" x14ac:dyDescent="0.3">
      <c r="B54" s="23" t="s">
        <v>39</v>
      </c>
      <c r="C54" s="24" t="s">
        <v>2</v>
      </c>
      <c r="D54" s="38">
        <f>D71</f>
        <v>1735</v>
      </c>
    </row>
    <row r="55" spans="1:244" s="10" customFormat="1" x14ac:dyDescent="0.3">
      <c r="A55" s="26"/>
      <c r="B55" s="37" t="s">
        <v>104</v>
      </c>
      <c r="C55" s="16" t="s">
        <v>28</v>
      </c>
      <c r="D55" s="31">
        <v>125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</row>
    <row r="56" spans="1:244" x14ac:dyDescent="0.3">
      <c r="B56" s="23" t="s">
        <v>73</v>
      </c>
      <c r="C56" s="24" t="s">
        <v>1</v>
      </c>
      <c r="D56" s="25">
        <v>3900</v>
      </c>
    </row>
    <row r="57" spans="1:244" x14ac:dyDescent="0.3">
      <c r="B57" s="23" t="s">
        <v>74</v>
      </c>
      <c r="C57" s="24" t="s">
        <v>3</v>
      </c>
      <c r="D57" s="25">
        <v>320</v>
      </c>
    </row>
    <row r="58" spans="1:244" x14ac:dyDescent="0.3">
      <c r="B58" s="23" t="s">
        <v>8</v>
      </c>
      <c r="C58" s="24"/>
      <c r="D58" s="25"/>
    </row>
    <row r="59" spans="1:244" x14ac:dyDescent="0.3">
      <c r="B59" s="48" t="s">
        <v>49</v>
      </c>
      <c r="C59" s="48"/>
      <c r="D59" s="48"/>
    </row>
    <row r="60" spans="1:244" s="63" customFormat="1" ht="27.6" x14ac:dyDescent="0.3">
      <c r="A60" s="26"/>
      <c r="B60" s="23" t="s">
        <v>124</v>
      </c>
      <c r="C60" s="24" t="s">
        <v>0</v>
      </c>
      <c r="D60" s="25">
        <v>130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</row>
    <row r="61" spans="1:244" x14ac:dyDescent="0.3">
      <c r="B61" s="53" t="s">
        <v>11</v>
      </c>
      <c r="C61" s="49"/>
      <c r="D61" s="56"/>
    </row>
    <row r="62" spans="1:244" ht="13.8" customHeight="1" x14ac:dyDescent="0.3">
      <c r="B62" s="37" t="s">
        <v>125</v>
      </c>
      <c r="C62" s="16" t="s">
        <v>2</v>
      </c>
      <c r="D62" s="31">
        <v>1880</v>
      </c>
    </row>
    <row r="63" spans="1:244" x14ac:dyDescent="0.3">
      <c r="B63" s="37" t="s">
        <v>8</v>
      </c>
      <c r="C63" s="16"/>
      <c r="D63" s="31"/>
    </row>
    <row r="64" spans="1:244" s="64" customFormat="1" ht="13.8" customHeight="1" x14ac:dyDescent="0.3">
      <c r="A64" s="26"/>
      <c r="B64" s="48" t="s">
        <v>50</v>
      </c>
      <c r="C64" s="53"/>
      <c r="D64" s="53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</row>
    <row r="65" spans="1:244" ht="13.8" customHeight="1" x14ac:dyDescent="0.3">
      <c r="A65" s="22"/>
      <c r="B65" s="23" t="s">
        <v>40</v>
      </c>
      <c r="C65" s="24" t="s">
        <v>0</v>
      </c>
      <c r="D65" s="25">
        <v>80</v>
      </c>
    </row>
    <row r="66" spans="1:244" ht="13.8" customHeight="1" x14ac:dyDescent="0.3">
      <c r="A66" s="22"/>
      <c r="B66" s="23" t="s">
        <v>41</v>
      </c>
      <c r="C66" s="24" t="s">
        <v>0</v>
      </c>
      <c r="D66" s="25">
        <v>40</v>
      </c>
    </row>
    <row r="67" spans="1:244" ht="13.8" customHeight="1" x14ac:dyDescent="0.3">
      <c r="B67" s="37" t="s">
        <v>106</v>
      </c>
      <c r="C67" s="54" t="s">
        <v>0</v>
      </c>
      <c r="D67" s="20">
        <v>2900</v>
      </c>
    </row>
    <row r="68" spans="1:244" ht="13.8" customHeight="1" x14ac:dyDescent="0.3">
      <c r="B68" s="37" t="s">
        <v>16</v>
      </c>
      <c r="C68" s="16" t="s">
        <v>10</v>
      </c>
      <c r="D68" s="31">
        <v>650</v>
      </c>
    </row>
    <row r="69" spans="1:244" s="27" customFormat="1" ht="13.8" customHeight="1" x14ac:dyDescent="0.3">
      <c r="A69" s="26"/>
      <c r="B69" s="9" t="s">
        <v>11</v>
      </c>
      <c r="C69" s="28"/>
      <c r="D69" s="29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</row>
    <row r="70" spans="1:244" s="27" customFormat="1" ht="27.6" customHeight="1" x14ac:dyDescent="0.3">
      <c r="A70" s="26"/>
      <c r="B70" s="37" t="s">
        <v>134</v>
      </c>
      <c r="C70" s="54" t="s">
        <v>0</v>
      </c>
      <c r="D70" s="20">
        <v>8500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</row>
    <row r="71" spans="1:244" s="27" customFormat="1" ht="36" customHeight="1" x14ac:dyDescent="0.3">
      <c r="A71" s="22"/>
      <c r="B71" s="23" t="s">
        <v>39</v>
      </c>
      <c r="C71" s="24" t="s">
        <v>2</v>
      </c>
      <c r="D71" s="25">
        <v>1735</v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</row>
    <row r="72" spans="1:244" s="27" customFormat="1" x14ac:dyDescent="0.3">
      <c r="A72" s="22"/>
      <c r="B72" s="23" t="s">
        <v>8</v>
      </c>
      <c r="C72" s="54"/>
      <c r="D72" s="65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</row>
    <row r="73" spans="1:244" s="10" customFormat="1" x14ac:dyDescent="0.3">
      <c r="A73" s="8"/>
      <c r="B73" s="48" t="s">
        <v>96</v>
      </c>
      <c r="C73" s="53"/>
      <c r="D73" s="53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</row>
    <row r="74" spans="1:244" s="10" customFormat="1" ht="27.6" x14ac:dyDescent="0.3">
      <c r="A74" s="8"/>
      <c r="B74" s="23" t="s">
        <v>105</v>
      </c>
      <c r="C74" s="24" t="s">
        <v>3</v>
      </c>
      <c r="D74" s="25">
        <v>700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</row>
    <row r="75" spans="1:244" s="10" customFormat="1" x14ac:dyDescent="0.3">
      <c r="A75" s="8"/>
      <c r="B75" s="23" t="s">
        <v>40</v>
      </c>
      <c r="C75" s="24" t="s">
        <v>0</v>
      </c>
      <c r="D75" s="25">
        <v>80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</row>
    <row r="76" spans="1:244" s="10" customFormat="1" x14ac:dyDescent="0.3">
      <c r="A76" s="8"/>
      <c r="B76" s="23" t="s">
        <v>41</v>
      </c>
      <c r="C76" s="24" t="s">
        <v>0</v>
      </c>
      <c r="D76" s="25">
        <v>40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</row>
    <row r="77" spans="1:244" s="10" customFormat="1" x14ac:dyDescent="0.3">
      <c r="A77" s="8"/>
      <c r="B77" s="37" t="s">
        <v>64</v>
      </c>
      <c r="C77" s="54" t="s">
        <v>0</v>
      </c>
      <c r="D77" s="20">
        <v>2200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</row>
    <row r="78" spans="1:244" s="41" customFormat="1" x14ac:dyDescent="0.3">
      <c r="A78" s="14"/>
      <c r="B78" s="43" t="s">
        <v>17</v>
      </c>
      <c r="C78" s="44" t="s">
        <v>9</v>
      </c>
      <c r="D78" s="45">
        <v>1200</v>
      </c>
    </row>
    <row r="79" spans="1:244" s="10" customFormat="1" x14ac:dyDescent="0.3">
      <c r="A79" s="8"/>
      <c r="B79" s="37" t="s">
        <v>16</v>
      </c>
      <c r="C79" s="16" t="s">
        <v>10</v>
      </c>
      <c r="D79" s="31">
        <v>650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</row>
    <row r="80" spans="1:244" s="10" customFormat="1" x14ac:dyDescent="0.3">
      <c r="A80" s="8"/>
      <c r="B80" s="9" t="s">
        <v>11</v>
      </c>
      <c r="C80" s="28"/>
      <c r="D80" s="2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</row>
    <row r="81" spans="1:244" s="10" customFormat="1" x14ac:dyDescent="0.3">
      <c r="A81" s="8"/>
      <c r="B81" s="37" t="s">
        <v>126</v>
      </c>
      <c r="C81" s="54" t="s">
        <v>0</v>
      </c>
      <c r="D81" s="20">
        <v>2300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</row>
    <row r="82" spans="1:244" s="10" customFormat="1" x14ac:dyDescent="0.3">
      <c r="A82" s="8"/>
      <c r="B82" s="37" t="s">
        <v>107</v>
      </c>
      <c r="C82" s="54" t="s">
        <v>0</v>
      </c>
      <c r="D82" s="20">
        <v>2500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</row>
    <row r="83" spans="1:244" s="10" customFormat="1" x14ac:dyDescent="0.3">
      <c r="A83" s="8"/>
      <c r="B83" s="37" t="s">
        <v>108</v>
      </c>
      <c r="C83" s="54" t="s">
        <v>3</v>
      </c>
      <c r="D83" s="20">
        <v>460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</row>
    <row r="84" spans="1:244" s="10" customFormat="1" x14ac:dyDescent="0.3">
      <c r="A84" s="8"/>
      <c r="B84" s="37" t="s">
        <v>109</v>
      </c>
      <c r="C84" s="54" t="s">
        <v>3</v>
      </c>
      <c r="D84" s="20">
        <v>85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</row>
    <row r="85" spans="1:244" s="10" customFormat="1" x14ac:dyDescent="0.3">
      <c r="A85" s="8"/>
      <c r="B85" s="37" t="s">
        <v>97</v>
      </c>
      <c r="C85" s="54" t="s">
        <v>98</v>
      </c>
      <c r="D85" s="20">
        <v>690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</row>
    <row r="86" spans="1:244" s="10" customFormat="1" x14ac:dyDescent="0.3">
      <c r="A86" s="8"/>
      <c r="B86" s="37" t="s">
        <v>99</v>
      </c>
      <c r="C86" s="54" t="s">
        <v>1</v>
      </c>
      <c r="D86" s="20">
        <v>72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</row>
    <row r="87" spans="1:244" s="10" customFormat="1" x14ac:dyDescent="0.3">
      <c r="A87" s="8"/>
      <c r="B87" s="23" t="s">
        <v>39</v>
      </c>
      <c r="C87" s="24" t="s">
        <v>2</v>
      </c>
      <c r="D87" s="25">
        <v>1735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</row>
    <row r="88" spans="1:244" s="10" customFormat="1" x14ac:dyDescent="0.3">
      <c r="A88" s="8"/>
      <c r="B88" s="23" t="s">
        <v>8</v>
      </c>
      <c r="C88" s="54"/>
      <c r="D88" s="65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</row>
    <row r="89" spans="1:244" s="41" customFormat="1" x14ac:dyDescent="0.3">
      <c r="A89" s="40"/>
      <c r="B89" s="48" t="s">
        <v>26</v>
      </c>
      <c r="C89" s="42"/>
    </row>
    <row r="90" spans="1:244" s="41" customFormat="1" x14ac:dyDescent="0.3">
      <c r="A90" s="14"/>
      <c r="B90" s="15" t="s">
        <v>75</v>
      </c>
      <c r="C90" s="16" t="s">
        <v>2</v>
      </c>
      <c r="D90" s="17">
        <v>800</v>
      </c>
    </row>
    <row r="91" spans="1:244" s="41" customFormat="1" x14ac:dyDescent="0.3">
      <c r="A91" s="19"/>
      <c r="B91" s="15" t="s">
        <v>76</v>
      </c>
      <c r="C91" s="16" t="s">
        <v>3</v>
      </c>
      <c r="D91" s="18">
        <v>500</v>
      </c>
    </row>
    <row r="92" spans="1:244" s="41" customFormat="1" ht="27.6" x14ac:dyDescent="0.3">
      <c r="A92" s="14"/>
      <c r="B92" s="15" t="s">
        <v>27</v>
      </c>
      <c r="C92" s="21" t="s">
        <v>2</v>
      </c>
      <c r="D92" s="17">
        <v>900</v>
      </c>
    </row>
    <row r="93" spans="1:244" s="41" customFormat="1" ht="24" customHeight="1" x14ac:dyDescent="0.3">
      <c r="A93" s="32"/>
      <c r="B93" s="33" t="s">
        <v>77</v>
      </c>
      <c r="C93" s="21" t="s">
        <v>3</v>
      </c>
      <c r="D93" s="3">
        <v>305</v>
      </c>
    </row>
    <row r="94" spans="1:244" s="41" customFormat="1" x14ac:dyDescent="0.3">
      <c r="A94" s="40"/>
      <c r="B94" s="1" t="s">
        <v>8</v>
      </c>
      <c r="C94" s="2"/>
      <c r="D94" s="3"/>
    </row>
    <row r="95" spans="1:244" s="41" customFormat="1" x14ac:dyDescent="0.3">
      <c r="D95" s="66"/>
    </row>
    <row r="96" spans="1:244" s="41" customFormat="1" x14ac:dyDescent="0.3">
      <c r="B96" s="67" t="s">
        <v>31</v>
      </c>
      <c r="C96" s="68"/>
      <c r="D96" s="69"/>
    </row>
    <row r="97" spans="2:4" s="41" customFormat="1" ht="27.6" x14ac:dyDescent="0.3">
      <c r="B97" s="37" t="s">
        <v>152</v>
      </c>
      <c r="C97" s="16" t="s">
        <v>13</v>
      </c>
      <c r="D97" s="31">
        <v>800</v>
      </c>
    </row>
    <row r="98" spans="2:4" s="41" customFormat="1" x14ac:dyDescent="0.3">
      <c r="B98" s="11" t="s">
        <v>79</v>
      </c>
      <c r="C98" s="12" t="s">
        <v>0</v>
      </c>
      <c r="D98" s="13">
        <v>120</v>
      </c>
    </row>
    <row r="99" spans="2:4" s="41" customFormat="1" ht="54.6" customHeight="1" x14ac:dyDescent="0.3">
      <c r="B99" s="11" t="s">
        <v>42</v>
      </c>
      <c r="C99" s="12" t="s">
        <v>0</v>
      </c>
      <c r="D99" s="13">
        <f>130*1.5</f>
        <v>195</v>
      </c>
    </row>
    <row r="100" spans="2:4" s="41" customFormat="1" ht="27" customHeight="1" x14ac:dyDescent="0.3">
      <c r="B100" s="11" t="s">
        <v>21</v>
      </c>
      <c r="C100" s="12" t="s">
        <v>0</v>
      </c>
      <c r="D100" s="13">
        <v>220</v>
      </c>
    </row>
    <row r="101" spans="2:4" s="41" customFormat="1" x14ac:dyDescent="0.3">
      <c r="B101" s="11" t="s">
        <v>33</v>
      </c>
      <c r="C101" s="12" t="s">
        <v>3</v>
      </c>
      <c r="D101" s="13">
        <v>150</v>
      </c>
    </row>
    <row r="102" spans="2:4" s="41" customFormat="1" x14ac:dyDescent="0.3">
      <c r="B102" s="11" t="s">
        <v>22</v>
      </c>
      <c r="C102" s="12" t="s">
        <v>29</v>
      </c>
      <c r="D102" s="13">
        <v>20</v>
      </c>
    </row>
    <row r="103" spans="2:4" s="41" customFormat="1" x14ac:dyDescent="0.3">
      <c r="B103" s="11" t="s">
        <v>120</v>
      </c>
      <c r="C103" s="12" t="s">
        <v>2</v>
      </c>
      <c r="D103" s="13">
        <v>1200</v>
      </c>
    </row>
    <row r="104" spans="2:4" s="41" customFormat="1" x14ac:dyDescent="0.3">
      <c r="B104" s="37" t="s">
        <v>19</v>
      </c>
      <c r="C104" s="12" t="s">
        <v>2</v>
      </c>
      <c r="D104" s="13">
        <v>1050</v>
      </c>
    </row>
    <row r="105" spans="2:4" s="41" customFormat="1" x14ac:dyDescent="0.3">
      <c r="B105" s="11" t="s">
        <v>23</v>
      </c>
      <c r="C105" s="12" t="s">
        <v>20</v>
      </c>
      <c r="D105" s="13">
        <v>845</v>
      </c>
    </row>
    <row r="106" spans="2:4" s="41" customFormat="1" x14ac:dyDescent="0.3">
      <c r="B106" s="11" t="s">
        <v>78</v>
      </c>
      <c r="C106" s="12" t="s">
        <v>29</v>
      </c>
      <c r="D106" s="13">
        <v>145</v>
      </c>
    </row>
    <row r="107" spans="2:4" s="41" customFormat="1" x14ac:dyDescent="0.3">
      <c r="B107" s="11" t="s">
        <v>52</v>
      </c>
      <c r="C107" s="12" t="s">
        <v>51</v>
      </c>
      <c r="D107" s="13">
        <v>615</v>
      </c>
    </row>
    <row r="108" spans="2:4" s="41" customFormat="1" x14ac:dyDescent="0.3">
      <c r="B108" s="23" t="s">
        <v>74</v>
      </c>
      <c r="C108" s="12" t="s">
        <v>3</v>
      </c>
      <c r="D108" s="13">
        <v>320</v>
      </c>
    </row>
    <row r="109" spans="2:4" s="41" customFormat="1" x14ac:dyDescent="0.3">
      <c r="B109" s="11" t="s">
        <v>8</v>
      </c>
      <c r="C109" s="12"/>
      <c r="D109" s="13"/>
    </row>
    <row r="110" spans="2:4" s="41" customFormat="1" x14ac:dyDescent="0.3">
      <c r="B110" s="71"/>
      <c r="C110" s="70"/>
      <c r="D110" s="72"/>
    </row>
    <row r="111" spans="2:4" s="41" customFormat="1" x14ac:dyDescent="0.3">
      <c r="B111" s="11" t="s">
        <v>24</v>
      </c>
      <c r="C111" s="12" t="s">
        <v>35</v>
      </c>
      <c r="D111" s="13">
        <v>24000</v>
      </c>
    </row>
    <row r="112" spans="2:4" s="41" customFormat="1" x14ac:dyDescent="0.3">
      <c r="B112" s="11" t="s">
        <v>43</v>
      </c>
      <c r="C112" s="12" t="s">
        <v>35</v>
      </c>
      <c r="D112" s="13">
        <v>1700</v>
      </c>
    </row>
    <row r="113" spans="1:4" x14ac:dyDescent="0.3">
      <c r="B113" s="23" t="s">
        <v>30</v>
      </c>
      <c r="C113" s="12" t="s">
        <v>35</v>
      </c>
      <c r="D113" s="25">
        <v>6500</v>
      </c>
    </row>
    <row r="115" spans="1:4" s="41" customFormat="1" x14ac:dyDescent="0.3">
      <c r="A115" s="40"/>
      <c r="B115" s="48" t="s">
        <v>80</v>
      </c>
      <c r="C115" s="42"/>
    </row>
    <row r="116" spans="1:4" s="41" customFormat="1" ht="26.55" customHeight="1" x14ac:dyDescent="0.3">
      <c r="A116" s="14"/>
      <c r="B116" s="15" t="s">
        <v>81</v>
      </c>
      <c r="C116" s="16" t="s">
        <v>2</v>
      </c>
      <c r="D116" s="17">
        <v>1100</v>
      </c>
    </row>
    <row r="117" spans="1:4" s="41" customFormat="1" ht="27.6" x14ac:dyDescent="0.3">
      <c r="A117" s="14"/>
      <c r="B117" s="15" t="s">
        <v>67</v>
      </c>
      <c r="C117" s="16" t="s">
        <v>2</v>
      </c>
      <c r="D117" s="17">
        <v>1100</v>
      </c>
    </row>
    <row r="118" spans="1:4" s="41" customFormat="1" x14ac:dyDescent="0.3">
      <c r="A118" s="19"/>
      <c r="B118" s="15" t="s">
        <v>56</v>
      </c>
      <c r="C118" s="16" t="s">
        <v>3</v>
      </c>
      <c r="D118" s="18">
        <v>450</v>
      </c>
    </row>
    <row r="119" spans="1:4" s="41" customFormat="1" x14ac:dyDescent="0.3">
      <c r="A119" s="19"/>
      <c r="B119" s="15" t="s">
        <v>57</v>
      </c>
      <c r="C119" s="16" t="s">
        <v>3</v>
      </c>
      <c r="D119" s="18">
        <v>350</v>
      </c>
    </row>
    <row r="120" spans="1:4" s="41" customFormat="1" x14ac:dyDescent="0.3">
      <c r="A120" s="19"/>
      <c r="B120" s="15" t="s">
        <v>58</v>
      </c>
      <c r="C120" s="16" t="s">
        <v>2</v>
      </c>
      <c r="D120" s="18">
        <v>9500</v>
      </c>
    </row>
    <row r="121" spans="1:4" s="41" customFormat="1" ht="28.2" customHeight="1" x14ac:dyDescent="0.3">
      <c r="A121" s="14"/>
      <c r="B121" s="15" t="s">
        <v>27</v>
      </c>
      <c r="C121" s="21" t="s">
        <v>2</v>
      </c>
      <c r="D121" s="17">
        <v>900</v>
      </c>
    </row>
    <row r="122" spans="1:4" s="41" customFormat="1" x14ac:dyDescent="0.3">
      <c r="A122" s="14"/>
      <c r="B122" s="43" t="s">
        <v>17</v>
      </c>
      <c r="C122" s="44" t="s">
        <v>9</v>
      </c>
      <c r="D122" s="45">
        <v>1200</v>
      </c>
    </row>
    <row r="123" spans="1:4" s="41" customFormat="1" x14ac:dyDescent="0.3">
      <c r="A123" s="40"/>
      <c r="B123" s="1" t="s">
        <v>87</v>
      </c>
      <c r="C123" s="2" t="s">
        <v>10</v>
      </c>
      <c r="D123" s="3">
        <v>5500</v>
      </c>
    </row>
    <row r="124" spans="1:4" s="41" customFormat="1" x14ac:dyDescent="0.3">
      <c r="A124" s="32"/>
      <c r="B124" s="33" t="s">
        <v>111</v>
      </c>
      <c r="C124" s="21" t="s">
        <v>3</v>
      </c>
      <c r="D124" s="3">
        <v>70</v>
      </c>
    </row>
    <row r="125" spans="1:4" s="41" customFormat="1" ht="15" customHeight="1" x14ac:dyDescent="0.3">
      <c r="A125" s="32"/>
      <c r="B125" s="43" t="s">
        <v>110</v>
      </c>
      <c r="C125" s="21" t="s">
        <v>1</v>
      </c>
      <c r="D125" s="3">
        <v>2880</v>
      </c>
    </row>
    <row r="126" spans="1:4" s="41" customFormat="1" x14ac:dyDescent="0.3">
      <c r="A126" s="32"/>
      <c r="B126" s="33" t="s">
        <v>86</v>
      </c>
      <c r="C126" s="21" t="s">
        <v>3</v>
      </c>
      <c r="D126" s="3">
        <v>63</v>
      </c>
    </row>
    <row r="127" spans="1:4" s="41" customFormat="1" x14ac:dyDescent="0.3">
      <c r="A127" s="32"/>
      <c r="B127" s="33" t="s">
        <v>59</v>
      </c>
      <c r="C127" s="21" t="s">
        <v>51</v>
      </c>
      <c r="D127" s="3">
        <v>2000</v>
      </c>
    </row>
    <row r="128" spans="1:4" s="41" customFormat="1" ht="15" customHeight="1" x14ac:dyDescent="0.3">
      <c r="A128" s="32"/>
      <c r="B128" s="33" t="s">
        <v>82</v>
      </c>
      <c r="C128" s="21" t="s">
        <v>0</v>
      </c>
      <c r="D128" s="3">
        <v>30</v>
      </c>
    </row>
    <row r="129" spans="1:244" s="41" customFormat="1" x14ac:dyDescent="0.3">
      <c r="A129" s="32"/>
      <c r="B129" s="37" t="s">
        <v>84</v>
      </c>
      <c r="C129" s="21" t="s">
        <v>2</v>
      </c>
      <c r="D129" s="3">
        <v>1050</v>
      </c>
    </row>
    <row r="130" spans="1:244" s="41" customFormat="1" x14ac:dyDescent="0.3">
      <c r="A130" s="32"/>
      <c r="B130" s="33" t="s">
        <v>112</v>
      </c>
      <c r="C130" s="21" t="s">
        <v>2</v>
      </c>
      <c r="D130" s="3">
        <v>2090</v>
      </c>
    </row>
    <row r="131" spans="1:244" s="41" customFormat="1" x14ac:dyDescent="0.3">
      <c r="A131" s="32"/>
      <c r="B131" s="43" t="s">
        <v>83</v>
      </c>
      <c r="C131" s="21" t="s">
        <v>28</v>
      </c>
      <c r="D131" s="3">
        <v>390</v>
      </c>
    </row>
    <row r="132" spans="1:244" s="41" customFormat="1" x14ac:dyDescent="0.3">
      <c r="A132" s="40"/>
      <c r="B132" s="1" t="s">
        <v>85</v>
      </c>
      <c r="C132" s="2"/>
      <c r="D132" s="3"/>
    </row>
    <row r="133" spans="1:244" s="41" customFormat="1" x14ac:dyDescent="0.3">
      <c r="A133" s="40"/>
      <c r="B133" s="4"/>
      <c r="C133" s="5"/>
      <c r="D133" s="6"/>
    </row>
    <row r="134" spans="1:244" s="41" customFormat="1" x14ac:dyDescent="0.3">
      <c r="A134" s="40"/>
      <c r="B134" s="1" t="s">
        <v>61</v>
      </c>
      <c r="C134" s="2" t="s">
        <v>60</v>
      </c>
      <c r="D134" s="3">
        <v>2000</v>
      </c>
    </row>
    <row r="135" spans="1:244" s="41" customFormat="1" x14ac:dyDescent="0.3">
      <c r="A135" s="40"/>
      <c r="B135" s="4"/>
      <c r="C135" s="5"/>
      <c r="D135" s="6"/>
    </row>
    <row r="136" spans="1:244" s="41" customFormat="1" x14ac:dyDescent="0.3">
      <c r="A136" s="40"/>
      <c r="B136" s="48" t="s">
        <v>88</v>
      </c>
      <c r="C136" s="42"/>
    </row>
    <row r="137" spans="1:244" ht="28.2" customHeight="1" x14ac:dyDescent="0.3">
      <c r="A137" s="14"/>
      <c r="B137" s="15" t="s">
        <v>89</v>
      </c>
      <c r="C137" s="16" t="s">
        <v>62</v>
      </c>
      <c r="D137" s="17">
        <v>30000</v>
      </c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</row>
    <row r="138" spans="1:244" s="41" customFormat="1" x14ac:dyDescent="0.3">
      <c r="A138" s="19"/>
      <c r="B138" s="15" t="s">
        <v>63</v>
      </c>
      <c r="C138" s="16" t="s">
        <v>62</v>
      </c>
      <c r="D138" s="18">
        <v>26400</v>
      </c>
    </row>
    <row r="139" spans="1:244" s="41" customFormat="1" ht="21.6" customHeight="1" x14ac:dyDescent="0.3">
      <c r="A139" s="32"/>
      <c r="B139" s="33" t="s">
        <v>90</v>
      </c>
      <c r="C139" s="21" t="s">
        <v>65</v>
      </c>
      <c r="D139" s="3">
        <v>131400</v>
      </c>
    </row>
    <row r="140" spans="1:244" s="41" customFormat="1" ht="21.6" customHeight="1" x14ac:dyDescent="0.3">
      <c r="A140" s="32"/>
      <c r="B140" s="33" t="s">
        <v>113</v>
      </c>
      <c r="C140" s="21" t="s">
        <v>65</v>
      </c>
      <c r="D140" s="3">
        <v>33700</v>
      </c>
    </row>
    <row r="141" spans="1:244" s="41" customFormat="1" ht="21.6" customHeight="1" x14ac:dyDescent="0.3">
      <c r="A141" s="32"/>
      <c r="B141" s="33" t="s">
        <v>103</v>
      </c>
      <c r="C141" s="21" t="s">
        <v>1</v>
      </c>
      <c r="D141" s="3">
        <v>4000</v>
      </c>
    </row>
    <row r="142" spans="1:244" s="41" customFormat="1" x14ac:dyDescent="0.3">
      <c r="A142" s="40"/>
      <c r="B142" s="1" t="s">
        <v>85</v>
      </c>
      <c r="C142" s="2"/>
      <c r="D142" s="3"/>
    </row>
    <row r="143" spans="1:244" s="41" customFormat="1" x14ac:dyDescent="0.3">
      <c r="A143" s="40"/>
      <c r="B143" s="4"/>
      <c r="C143" s="5"/>
      <c r="D143" s="6"/>
    </row>
    <row r="144" spans="1:244" s="41" customFormat="1" x14ac:dyDescent="0.3">
      <c r="A144" s="40"/>
      <c r="B144" s="1" t="s">
        <v>61</v>
      </c>
      <c r="C144" s="2" t="s">
        <v>60</v>
      </c>
      <c r="D144" s="3">
        <v>8500</v>
      </c>
    </row>
    <row r="145" spans="1:4" s="41" customFormat="1" x14ac:dyDescent="0.3">
      <c r="A145" s="40"/>
      <c r="B145" s="4"/>
      <c r="C145" s="5"/>
      <c r="D145" s="6"/>
    </row>
    <row r="146" spans="1:4" s="7" customFormat="1" ht="15" customHeight="1" x14ac:dyDescent="0.3">
      <c r="A146" s="73"/>
      <c r="B146" s="74" t="s">
        <v>114</v>
      </c>
      <c r="C146" s="75"/>
      <c r="D146" s="57"/>
    </row>
    <row r="147" spans="1:4" s="7" customFormat="1" x14ac:dyDescent="0.3">
      <c r="B147" s="34" t="s">
        <v>91</v>
      </c>
      <c r="C147" s="77" t="s">
        <v>3</v>
      </c>
      <c r="D147" s="36">
        <v>850</v>
      </c>
    </row>
    <row r="148" spans="1:4" s="7" customFormat="1" x14ac:dyDescent="0.3">
      <c r="B148" s="34" t="s">
        <v>92</v>
      </c>
      <c r="C148" s="77" t="s">
        <v>3</v>
      </c>
      <c r="D148" s="36">
        <v>850</v>
      </c>
    </row>
    <row r="149" spans="1:4" s="7" customFormat="1" ht="28.8" customHeight="1" x14ac:dyDescent="0.3">
      <c r="B149" s="34" t="s">
        <v>70</v>
      </c>
      <c r="C149" s="77" t="s">
        <v>3</v>
      </c>
      <c r="D149" s="36">
        <v>150</v>
      </c>
    </row>
    <row r="150" spans="1:4" s="41" customFormat="1" x14ac:dyDescent="0.3">
      <c r="A150" s="14"/>
      <c r="B150" s="43" t="s">
        <v>17</v>
      </c>
      <c r="C150" s="44" t="s">
        <v>9</v>
      </c>
      <c r="D150" s="45">
        <v>1200</v>
      </c>
    </row>
    <row r="151" spans="1:4" s="7" customFormat="1" ht="25.8" customHeight="1" x14ac:dyDescent="0.3">
      <c r="B151" s="34" t="s">
        <v>115</v>
      </c>
      <c r="C151" s="35" t="s">
        <v>1</v>
      </c>
      <c r="D151" s="36">
        <v>1680</v>
      </c>
    </row>
    <row r="152" spans="1:4" s="7" customFormat="1" ht="25.8" customHeight="1" x14ac:dyDescent="0.3">
      <c r="B152" s="34" t="s">
        <v>116</v>
      </c>
      <c r="C152" s="35" t="s">
        <v>1</v>
      </c>
      <c r="D152" s="36">
        <v>1025</v>
      </c>
    </row>
    <row r="153" spans="1:4" s="7" customFormat="1" x14ac:dyDescent="0.3">
      <c r="B153" s="34" t="s">
        <v>71</v>
      </c>
      <c r="C153" s="35" t="s">
        <v>51</v>
      </c>
      <c r="D153" s="36">
        <v>330</v>
      </c>
    </row>
    <row r="154" spans="1:4" s="7" customFormat="1" x14ac:dyDescent="0.3">
      <c r="B154" s="34" t="s">
        <v>102</v>
      </c>
      <c r="C154" s="35" t="s">
        <v>51</v>
      </c>
      <c r="D154" s="36">
        <v>2000</v>
      </c>
    </row>
    <row r="155" spans="1:4" s="7" customFormat="1" x14ac:dyDescent="0.3">
      <c r="B155" s="34" t="s">
        <v>101</v>
      </c>
      <c r="C155" s="35" t="s">
        <v>1</v>
      </c>
      <c r="D155" s="36">
        <v>540</v>
      </c>
    </row>
    <row r="156" spans="1:4" s="7" customFormat="1" x14ac:dyDescent="0.3">
      <c r="B156" s="34" t="s">
        <v>93</v>
      </c>
      <c r="C156" s="35" t="s">
        <v>65</v>
      </c>
      <c r="D156" s="36">
        <v>1400</v>
      </c>
    </row>
    <row r="157" spans="1:4" s="7" customFormat="1" x14ac:dyDescent="0.3">
      <c r="B157" s="34" t="s">
        <v>94</v>
      </c>
      <c r="C157" s="35" t="s">
        <v>68</v>
      </c>
      <c r="D157" s="36">
        <v>340</v>
      </c>
    </row>
    <row r="158" spans="1:4" s="7" customFormat="1" x14ac:dyDescent="0.3">
      <c r="B158" s="34" t="s">
        <v>69</v>
      </c>
      <c r="C158" s="35" t="s">
        <v>3</v>
      </c>
      <c r="D158" s="36">
        <v>60</v>
      </c>
    </row>
    <row r="159" spans="1:4" s="7" customFormat="1" ht="13.95" customHeight="1" x14ac:dyDescent="0.3">
      <c r="A159" s="79"/>
      <c r="B159" s="80" t="s">
        <v>8</v>
      </c>
      <c r="C159" s="81"/>
      <c r="D159" s="82"/>
    </row>
    <row r="160" spans="1:4" s="7" customFormat="1" x14ac:dyDescent="0.3">
      <c r="B160" s="74" t="s">
        <v>119</v>
      </c>
      <c r="C160" s="76"/>
    </row>
    <row r="161" spans="1:241" s="41" customFormat="1" x14ac:dyDescent="0.3">
      <c r="B161" s="11" t="s">
        <v>127</v>
      </c>
      <c r="C161" s="12" t="s">
        <v>0</v>
      </c>
      <c r="D161" s="13">
        <v>360</v>
      </c>
    </row>
    <row r="162" spans="1:241" s="41" customFormat="1" ht="27.6" x14ac:dyDescent="0.3">
      <c r="A162" s="14"/>
      <c r="B162" s="15" t="s">
        <v>128</v>
      </c>
      <c r="C162" s="16" t="s">
        <v>2</v>
      </c>
      <c r="D162" s="17">
        <v>800</v>
      </c>
    </row>
    <row r="163" spans="1:241" s="41" customFormat="1" x14ac:dyDescent="0.3">
      <c r="A163" s="19"/>
      <c r="B163" s="15" t="s">
        <v>76</v>
      </c>
      <c r="C163" s="16" t="s">
        <v>3</v>
      </c>
      <c r="D163" s="18">
        <v>500</v>
      </c>
    </row>
    <row r="164" spans="1:241" s="41" customFormat="1" ht="27.6" x14ac:dyDescent="0.3">
      <c r="A164" s="14"/>
      <c r="B164" s="15" t="s">
        <v>27</v>
      </c>
      <c r="C164" s="21" t="s">
        <v>2</v>
      </c>
      <c r="D164" s="17">
        <v>900</v>
      </c>
    </row>
    <row r="165" spans="1:241" s="27" customFormat="1" x14ac:dyDescent="0.3">
      <c r="A165" s="22"/>
      <c r="B165" s="23" t="s">
        <v>122</v>
      </c>
      <c r="C165" s="24" t="s">
        <v>123</v>
      </c>
      <c r="D165" s="25">
        <v>770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/>
      <c r="GT165" s="26"/>
      <c r="GU165" s="26"/>
      <c r="GV165" s="26"/>
      <c r="GW165" s="26"/>
      <c r="GX165" s="26"/>
      <c r="GY165" s="26"/>
      <c r="GZ165" s="26"/>
      <c r="HA165" s="26"/>
      <c r="HB165" s="26"/>
      <c r="HC165" s="26"/>
      <c r="HD165" s="26"/>
      <c r="HE165" s="26"/>
      <c r="HF165" s="26"/>
      <c r="HG165" s="26"/>
      <c r="HH165" s="26"/>
      <c r="HI165" s="26"/>
      <c r="HJ165" s="26"/>
      <c r="HK165" s="26"/>
      <c r="HL165" s="26"/>
      <c r="HM165" s="26"/>
      <c r="HN165" s="26"/>
      <c r="HO165" s="26"/>
      <c r="HP165" s="26"/>
      <c r="HQ165" s="26"/>
      <c r="HR165" s="26"/>
      <c r="HS165" s="26"/>
      <c r="HT165" s="26"/>
      <c r="HU165" s="26"/>
      <c r="HV165" s="26"/>
      <c r="HW165" s="26"/>
      <c r="HX165" s="26"/>
      <c r="HY165" s="26"/>
      <c r="HZ165" s="26"/>
      <c r="IA165" s="26"/>
      <c r="IB165" s="26"/>
      <c r="IC165" s="26"/>
      <c r="ID165" s="26"/>
      <c r="IE165" s="26"/>
      <c r="IF165" s="26"/>
      <c r="IG165" s="26"/>
    </row>
    <row r="166" spans="1:241" ht="13.2" customHeight="1" x14ac:dyDescent="0.3">
      <c r="B166" s="23" t="s">
        <v>155</v>
      </c>
      <c r="C166" s="24" t="s">
        <v>2</v>
      </c>
      <c r="D166" s="25">
        <v>3900</v>
      </c>
    </row>
    <row r="167" spans="1:241" ht="13.2" customHeight="1" x14ac:dyDescent="0.3">
      <c r="B167" s="23" t="s">
        <v>154</v>
      </c>
      <c r="C167" s="24" t="s">
        <v>136</v>
      </c>
      <c r="D167" s="25">
        <v>580</v>
      </c>
    </row>
    <row r="168" spans="1:241" s="41" customFormat="1" hidden="1" x14ac:dyDescent="0.3">
      <c r="B168" s="23"/>
      <c r="C168" s="12"/>
      <c r="D168" s="13"/>
    </row>
    <row r="169" spans="1:241" s="10" customFormat="1" x14ac:dyDescent="0.3">
      <c r="A169" s="8"/>
      <c r="B169" s="9" t="s">
        <v>11</v>
      </c>
      <c r="C169" s="28"/>
      <c r="D169" s="2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</row>
    <row r="170" spans="1:241" s="10" customFormat="1" x14ac:dyDescent="0.3">
      <c r="B170" s="30" t="s">
        <v>133</v>
      </c>
      <c r="C170" s="16" t="s">
        <v>0</v>
      </c>
      <c r="D170" s="31">
        <v>50</v>
      </c>
    </row>
    <row r="171" spans="1:241" s="41" customFormat="1" ht="36" customHeight="1" x14ac:dyDescent="0.3">
      <c r="A171" s="32"/>
      <c r="B171" s="33" t="s">
        <v>77</v>
      </c>
      <c r="C171" s="21" t="s">
        <v>3</v>
      </c>
      <c r="D171" s="3">
        <v>305</v>
      </c>
    </row>
    <row r="172" spans="1:241" s="7" customFormat="1" ht="29.4" hidden="1" customHeight="1" x14ac:dyDescent="0.3">
      <c r="B172" s="34" t="s">
        <v>115</v>
      </c>
      <c r="C172" s="35" t="s">
        <v>1</v>
      </c>
      <c r="D172" s="36">
        <v>1680</v>
      </c>
    </row>
    <row r="173" spans="1:241" s="27" customFormat="1" x14ac:dyDescent="0.3">
      <c r="A173" s="22"/>
      <c r="B173" s="30" t="s">
        <v>12</v>
      </c>
      <c r="C173" s="24" t="s">
        <v>2</v>
      </c>
      <c r="D173" s="25">
        <v>1880</v>
      </c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  <c r="GR173" s="26"/>
      <c r="GS173" s="26"/>
      <c r="GT173" s="26"/>
      <c r="GU173" s="26"/>
      <c r="GV173" s="26"/>
      <c r="GW173" s="26"/>
      <c r="GX173" s="26"/>
      <c r="GY173" s="26"/>
      <c r="GZ173" s="26"/>
      <c r="HA173" s="26"/>
      <c r="HB173" s="26"/>
      <c r="HC173" s="26"/>
      <c r="HD173" s="26"/>
      <c r="HE173" s="26"/>
      <c r="HF173" s="26"/>
      <c r="HG173" s="26"/>
      <c r="HH173" s="26"/>
      <c r="HI173" s="26"/>
      <c r="HJ173" s="26"/>
      <c r="HK173" s="26"/>
      <c r="HL173" s="26"/>
      <c r="HM173" s="26"/>
      <c r="HN173" s="26"/>
      <c r="HO173" s="26"/>
      <c r="HP173" s="26"/>
      <c r="HQ173" s="26"/>
      <c r="HR173" s="26"/>
      <c r="HS173" s="26"/>
      <c r="HT173" s="26"/>
      <c r="HU173" s="26"/>
      <c r="HV173" s="26"/>
      <c r="HW173" s="26"/>
      <c r="HX173" s="26"/>
      <c r="HY173" s="26"/>
      <c r="HZ173" s="26"/>
      <c r="IA173" s="26"/>
      <c r="IB173" s="26"/>
      <c r="IC173" s="26"/>
      <c r="ID173" s="26"/>
      <c r="IE173" s="26"/>
      <c r="IF173" s="26"/>
      <c r="IG173" s="26"/>
    </row>
    <row r="174" spans="1:241" s="10" customFormat="1" hidden="1" x14ac:dyDescent="0.3">
      <c r="B174" s="37" t="s">
        <v>19</v>
      </c>
      <c r="C174" s="16" t="s">
        <v>2</v>
      </c>
      <c r="D174" s="31">
        <v>1050</v>
      </c>
    </row>
    <row r="175" spans="1:241" s="10" customFormat="1" hidden="1" x14ac:dyDescent="0.3">
      <c r="B175" s="30" t="s">
        <v>18</v>
      </c>
      <c r="C175" s="16" t="s">
        <v>2</v>
      </c>
      <c r="D175" s="31">
        <v>2090</v>
      </c>
    </row>
    <row r="176" spans="1:241" s="41" customFormat="1" x14ac:dyDescent="0.3">
      <c r="B176" s="11" t="s">
        <v>120</v>
      </c>
      <c r="C176" s="12" t="s">
        <v>2</v>
      </c>
      <c r="D176" s="13">
        <v>1200</v>
      </c>
    </row>
    <row r="177" spans="1:241" s="27" customFormat="1" x14ac:dyDescent="0.3">
      <c r="A177" s="22"/>
      <c r="B177" s="23" t="s">
        <v>39</v>
      </c>
      <c r="C177" s="24" t="s">
        <v>2</v>
      </c>
      <c r="D177" s="25">
        <v>1735</v>
      </c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EZ177" s="26"/>
      <c r="FA177" s="26"/>
      <c r="FB177" s="26"/>
      <c r="FC177" s="26"/>
      <c r="FD177" s="26"/>
      <c r="FE177" s="26"/>
      <c r="FF177" s="26"/>
      <c r="FG177" s="26"/>
      <c r="FH177" s="26"/>
      <c r="FI177" s="26"/>
      <c r="FJ177" s="26"/>
      <c r="FK177" s="26"/>
      <c r="FL177" s="26"/>
      <c r="FM177" s="26"/>
      <c r="FN177" s="26"/>
      <c r="FO177" s="26"/>
      <c r="FP177" s="26"/>
      <c r="FQ177" s="26"/>
      <c r="FR177" s="26"/>
      <c r="FS177" s="26"/>
      <c r="FT177" s="26"/>
      <c r="FU177" s="26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"/>
      <c r="HD177" s="26"/>
      <c r="HE177" s="26"/>
      <c r="HF177" s="26"/>
      <c r="HG177" s="26"/>
      <c r="HH177" s="26"/>
      <c r="HI177" s="26"/>
      <c r="HJ177" s="26"/>
      <c r="HK177" s="26"/>
      <c r="HL177" s="26"/>
      <c r="HM177" s="26"/>
      <c r="HN177" s="26"/>
      <c r="HO177" s="26"/>
      <c r="HP177" s="26"/>
      <c r="HQ177" s="26"/>
      <c r="HR177" s="26"/>
      <c r="HS177" s="26"/>
      <c r="HT177" s="26"/>
      <c r="HU177" s="26"/>
      <c r="HV177" s="26"/>
      <c r="HW177" s="26"/>
      <c r="HX177" s="26"/>
      <c r="HY177" s="26"/>
      <c r="HZ177" s="26"/>
      <c r="IA177" s="26"/>
      <c r="IB177" s="26"/>
      <c r="IC177" s="26"/>
      <c r="ID177" s="26"/>
      <c r="IE177" s="26"/>
      <c r="IF177" s="26"/>
      <c r="IG177" s="26"/>
    </row>
    <row r="178" spans="1:241" s="41" customFormat="1" hidden="1" x14ac:dyDescent="0.3">
      <c r="B178" s="23"/>
      <c r="C178" s="12"/>
      <c r="D178" s="13"/>
    </row>
    <row r="179" spans="1:241" s="41" customFormat="1" hidden="1" x14ac:dyDescent="0.3">
      <c r="B179" s="23"/>
      <c r="C179" s="12"/>
      <c r="D179" s="13"/>
    </row>
    <row r="180" spans="1:241" s="7" customFormat="1" x14ac:dyDescent="0.3">
      <c r="C180" s="76"/>
    </row>
    <row r="181" spans="1:241" x14ac:dyDescent="0.3">
      <c r="B181" s="23" t="s">
        <v>118</v>
      </c>
      <c r="C181" s="39" t="s">
        <v>2</v>
      </c>
      <c r="D181" s="38">
        <v>1200</v>
      </c>
    </row>
    <row r="182" spans="1:241" ht="27.6" x14ac:dyDescent="0.3">
      <c r="B182" s="23" t="s">
        <v>153</v>
      </c>
      <c r="C182" s="77" t="s">
        <v>117</v>
      </c>
      <c r="D182" s="38">
        <v>5300</v>
      </c>
    </row>
    <row r="183" spans="1:241" s="7" customFormat="1" x14ac:dyDescent="0.3">
      <c r="B183" s="78" t="s">
        <v>121</v>
      </c>
      <c r="C183" s="77" t="s">
        <v>117</v>
      </c>
      <c r="D183" s="78">
        <v>150</v>
      </c>
    </row>
    <row r="185" spans="1:241" ht="15" customHeight="1" x14ac:dyDescent="0.3">
      <c r="A185" s="22"/>
      <c r="B185" s="27" t="s">
        <v>135</v>
      </c>
      <c r="C185" s="83"/>
      <c r="D185" s="55"/>
    </row>
    <row r="186" spans="1:241" ht="13.2" customHeight="1" x14ac:dyDescent="0.3">
      <c r="B186" s="23" t="s">
        <v>137</v>
      </c>
      <c r="C186" s="24" t="s">
        <v>0</v>
      </c>
      <c r="D186" s="25">
        <v>450</v>
      </c>
    </row>
    <row r="187" spans="1:241" ht="14.4" customHeight="1" x14ac:dyDescent="0.3">
      <c r="B187" s="23" t="s">
        <v>138</v>
      </c>
      <c r="C187" s="24" t="s">
        <v>0</v>
      </c>
      <c r="D187" s="25">
        <v>250</v>
      </c>
    </row>
    <row r="188" spans="1:241" ht="27.6" customHeight="1" x14ac:dyDescent="0.3">
      <c r="B188" s="23" t="s">
        <v>139</v>
      </c>
      <c r="C188" s="24" t="s">
        <v>0</v>
      </c>
      <c r="D188" s="25">
        <v>250</v>
      </c>
    </row>
    <row r="189" spans="1:241" ht="13.2" customHeight="1" x14ac:dyDescent="0.3">
      <c r="B189" s="23" t="s">
        <v>140</v>
      </c>
      <c r="C189" s="24" t="s">
        <v>0</v>
      </c>
      <c r="D189" s="25">
        <v>650</v>
      </c>
    </row>
    <row r="190" spans="1:241" ht="14.4" customHeight="1" x14ac:dyDescent="0.3">
      <c r="B190" s="85" t="s">
        <v>17</v>
      </c>
      <c r="C190" s="86" t="s">
        <v>9</v>
      </c>
      <c r="D190" s="87">
        <v>1500</v>
      </c>
    </row>
    <row r="191" spans="1:241" x14ac:dyDescent="0.3">
      <c r="A191" s="22"/>
      <c r="B191" s="23" t="s">
        <v>141</v>
      </c>
      <c r="C191" s="24" t="s">
        <v>1</v>
      </c>
      <c r="D191" s="88">
        <v>560</v>
      </c>
    </row>
    <row r="192" spans="1:241" hidden="1" x14ac:dyDescent="0.3">
      <c r="B192" s="23" t="s">
        <v>142</v>
      </c>
      <c r="C192" s="24" t="s">
        <v>1</v>
      </c>
      <c r="D192" s="88">
        <v>410</v>
      </c>
    </row>
    <row r="193" spans="1:4" x14ac:dyDescent="0.3">
      <c r="A193" s="22"/>
      <c r="B193" s="23" t="s">
        <v>143</v>
      </c>
      <c r="C193" s="24" t="s">
        <v>1</v>
      </c>
      <c r="D193" s="88">
        <v>245</v>
      </c>
    </row>
    <row r="194" spans="1:4" ht="14.4" customHeight="1" x14ac:dyDescent="0.3">
      <c r="A194" s="22"/>
      <c r="B194" s="23" t="s">
        <v>144</v>
      </c>
      <c r="C194" s="24" t="s">
        <v>145</v>
      </c>
      <c r="D194" s="88">
        <v>2300</v>
      </c>
    </row>
    <row r="195" spans="1:4" x14ac:dyDescent="0.3">
      <c r="B195" s="23" t="s">
        <v>146</v>
      </c>
      <c r="C195" s="24" t="s">
        <v>145</v>
      </c>
      <c r="D195" s="25">
        <v>680</v>
      </c>
    </row>
    <row r="196" spans="1:4" x14ac:dyDescent="0.3">
      <c r="B196" s="23" t="s">
        <v>93</v>
      </c>
      <c r="C196" s="89" t="s">
        <v>65</v>
      </c>
      <c r="D196" s="25">
        <v>1400</v>
      </c>
    </row>
    <row r="197" spans="1:4" x14ac:dyDescent="0.3">
      <c r="B197" s="23" t="s">
        <v>147</v>
      </c>
      <c r="C197" s="89" t="s">
        <v>3</v>
      </c>
      <c r="D197" s="25">
        <v>60</v>
      </c>
    </row>
    <row r="198" spans="1:4" ht="15" customHeight="1" x14ac:dyDescent="0.3">
      <c r="A198" s="22"/>
      <c r="B198" s="84" t="s">
        <v>148</v>
      </c>
      <c r="C198" s="24" t="s">
        <v>149</v>
      </c>
      <c r="D198" s="90">
        <v>580</v>
      </c>
    </row>
    <row r="199" spans="1:4" ht="25.8" customHeight="1" x14ac:dyDescent="0.3">
      <c r="A199" s="22"/>
      <c r="B199" s="23" t="s">
        <v>150</v>
      </c>
      <c r="C199" s="24" t="s">
        <v>149</v>
      </c>
      <c r="D199" s="88">
        <v>1300</v>
      </c>
    </row>
    <row r="200" spans="1:4" ht="13.95" customHeight="1" x14ac:dyDescent="0.3">
      <c r="A200" s="91"/>
      <c r="B200" s="92" t="s">
        <v>8</v>
      </c>
      <c r="C200" s="93"/>
      <c r="D200" s="94"/>
    </row>
    <row r="201" spans="1:4" x14ac:dyDescent="0.3">
      <c r="A201" s="22"/>
      <c r="C201" s="46"/>
      <c r="D201" s="95"/>
    </row>
    <row r="202" spans="1:4" x14ac:dyDescent="0.3">
      <c r="A202" s="22"/>
      <c r="B202" s="84" t="s">
        <v>151</v>
      </c>
      <c r="C202" s="24" t="s">
        <v>4</v>
      </c>
      <c r="D202" s="96">
        <v>4500</v>
      </c>
    </row>
  </sheetData>
  <phoneticPr fontId="11" type="noConversion"/>
  <pageMargins left="0.51181102362204722" right="0.51181102362204722" top="0.55118110236220474" bottom="0.55118110236220474" header="0.31496062992125984" footer="0.31496062992125984"/>
  <pageSetup paperSize="9" scale="8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 мощ-е - подг-ка осн-я</vt:lpstr>
      <vt:lpstr>'2 мощ-е - подг-ка осн-я'!Область_печати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Алексей</cp:lastModifiedBy>
  <cp:lastPrinted>2021-08-23T08:47:06Z</cp:lastPrinted>
  <dcterms:created xsi:type="dcterms:W3CDTF">2019-09-24T13:53:50Z</dcterms:created>
  <dcterms:modified xsi:type="dcterms:W3CDTF">2026-03-03T08:39:25Z</dcterms:modified>
</cp:coreProperties>
</file>