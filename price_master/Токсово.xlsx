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кп\"/>
    </mc:Choice>
  </mc:AlternateContent>
  <xr:revisionPtr revIDLastSave="0" documentId="13_ncr:1_{4F184AC9-C2EC-4CC9-AED6-A697CA82AE17}" xr6:coauthVersionLast="47" xr6:coauthVersionMax="47" xr10:uidLastSave="{00000000-0000-0000-0000-000000000000}"/>
  <bookViews>
    <workbookView xWindow="-108" yWindow="-108" windowWidth="23256" windowHeight="12576" xr2:uid="{F101A8F9-21A0-4047-8355-8C47934062EF}"/>
  </bookViews>
  <sheets>
    <sheet name="дренаж" sheetId="3" r:id="rId1"/>
  </sheets>
  <definedNames>
    <definedName name="_xlnm.Print_Area" localSheetId="0">дренаж!$A$1:$D$62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3" i="3" l="1"/>
  <c r="D71" i="3"/>
  <c r="D33" i="3"/>
  <c r="D36" i="3"/>
  <c r="D39" i="3"/>
  <c r="D41" i="3"/>
  <c r="D42" i="3"/>
  <c r="D55" i="3"/>
  <c r="D77" i="3" l="1"/>
  <c r="D17" i="3" l="1"/>
</calcChain>
</file>

<file path=xl/sharedStrings.xml><?xml version="1.0" encoding="utf-8"?>
<sst xmlns="http://schemas.openxmlformats.org/spreadsheetml/2006/main" count="144" uniqueCount="62">
  <si>
    <t>наименование</t>
  </si>
  <si>
    <t>цена, руб.</t>
  </si>
  <si>
    <t>шт.</t>
  </si>
  <si>
    <t>т</t>
  </si>
  <si>
    <t>м.кв.</t>
  </si>
  <si>
    <t xml:space="preserve">Погрузочно-разгрузочные работы </t>
  </si>
  <si>
    <t>м.куб.</t>
  </si>
  <si>
    <t>меш.</t>
  </si>
  <si>
    <t>м.пог.</t>
  </si>
  <si>
    <t>кол-во раз</t>
  </si>
  <si>
    <t>компл.</t>
  </si>
  <si>
    <t>ед.изм.</t>
  </si>
  <si>
    <t>Перемещение щебня по участку</t>
  </si>
  <si>
    <t>Перемещение песка по участку</t>
  </si>
  <si>
    <t>Колодец дренажный смотровой 315/276х1000 с дном и крышкой</t>
  </si>
  <si>
    <t>Расходные материалы</t>
  </si>
  <si>
    <t>Доставка материалов</t>
  </si>
  <si>
    <t xml:space="preserve">м.куб. </t>
  </si>
  <si>
    <t xml:space="preserve">Уплотнение основания виброплитой </t>
  </si>
  <si>
    <t>Укладка геотекстиля</t>
  </si>
  <si>
    <t>Аренда виброплиты 70кг</t>
  </si>
  <si>
    <t>смена</t>
  </si>
  <si>
    <t>Песок намывной, крупный</t>
  </si>
  <si>
    <t>Устройство несущего щебнистого слоя (150мм) из щебня 20-40мм с проливом водой и трамбовкой с расклинцовкой щебнем 5-20мм (пешеходная зона)</t>
  </si>
  <si>
    <t>Устройство деревянной опалубки</t>
  </si>
  <si>
    <t>Устройство дренажа.</t>
  </si>
  <si>
    <t>Демонтаж гряд</t>
  </si>
  <si>
    <t>Демонтаж огорода и мощение амфиболитом.</t>
  </si>
  <si>
    <t>Частичный демонтаж мощения (в том числе для прокладки дренажа)</t>
  </si>
  <si>
    <t>Мощение амфиболитом. Укладка чистового слоя:</t>
  </si>
  <si>
    <t>Цемент М400, 50кг</t>
  </si>
  <si>
    <t>Геотекстильное нетканное полотно 250г/м2</t>
  </si>
  <si>
    <t>Доставка манипулятором (амфиболит)</t>
  </si>
  <si>
    <t>Амфиболит колотый 50*100*100мм</t>
  </si>
  <si>
    <t>Колодец дренажный смотровой 315/276х1500 с дном и крышкой</t>
  </si>
  <si>
    <t>Герметик</t>
  </si>
  <si>
    <t>Перемещение камня по участку</t>
  </si>
  <si>
    <t>Мощение колотым амфиболитом</t>
  </si>
  <si>
    <t>Установка дренажного колодца h=1-1,5м</t>
  </si>
  <si>
    <t>Установка дренажного колодца h=1,7-2м</t>
  </si>
  <si>
    <t>Колодец дренажный смотровой 460/400х2000мм с дном и крышкой</t>
  </si>
  <si>
    <t xml:space="preserve">Устройство дренажа на глубине 80-130см </t>
  </si>
  <si>
    <t>Выемка грунта механическая ширина 0,3м, средняя глубина 1-1,5м</t>
  </si>
  <si>
    <t>Щебень гранитный фр. 20-40мм</t>
  </si>
  <si>
    <t>Доска хвойная сырая, нестроганая 150*25*6000мм (для опалубки)</t>
  </si>
  <si>
    <t>Доставка/возврат виброплиты</t>
  </si>
  <si>
    <t>Щебень гранитный фр. 5-20мм (расклинцовка)</t>
  </si>
  <si>
    <t>Устройство монтажного слоя из отсева (4см)</t>
  </si>
  <si>
    <t>Погрузка и вывоз плохого грунта</t>
  </si>
  <si>
    <t>Восстановление  дернины после устройства дренажа</t>
  </si>
  <si>
    <t xml:space="preserve">Труба дренажная d110 SN6 </t>
  </si>
  <si>
    <t>Снятие дернины</t>
  </si>
  <si>
    <t xml:space="preserve">Устройство песчаного слоя, 250мм </t>
  </si>
  <si>
    <t>Выборка ложа под мощение (-450 мм) от чистовой отметки в отвал, механическая (пешеходная зона)</t>
  </si>
  <si>
    <t>Консервация системы полива на зиму</t>
  </si>
  <si>
    <t>Работа трактора</t>
  </si>
  <si>
    <t>Муфта 110</t>
  </si>
  <si>
    <t>Труба канализационная d110 SN8 Ostendorf</t>
  </si>
  <si>
    <t>Отсев розовый, 2-5мм</t>
  </si>
  <si>
    <t>Доставка материалов (доска, цемент)</t>
  </si>
  <si>
    <t>Дополнительные работы.</t>
  </si>
  <si>
    <t>Устройство дополнительного дренажа.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</si>
</sst>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43" formatCode="_-* #,##0.00_-;\-* #,##0.00_-;_-* &quot;-&quot;??_-;_-@_-"/>
    <numFmt numFmtId="167" formatCode="_-* #,##0.00&quot;р.&quot;_-;\-* #,##0.00&quot;р.&quot;_-;_-* &quot;-&quot;??&quot;р.&quot;_-;_-@_-"/>
    <numFmt numFmtId="168" formatCode="_-* #,##0&quot;р.&quot;_-;\-* #,##0&quot;р.&quot;_-;_-* &quot;-&quot;??&quot;р.&quot;_-;_-@_-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name val="Helv"/>
      <charset val="204"/>
    </font>
    <font>
      <sz val="10"/>
      <name val="Arial Cyr"/>
      <charset val="204"/>
    </font>
    <font>
      <sz val="1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2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name val="Helv"/>
    </font>
    <font>
      <sz val="11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Helv"/>
      <family val="2"/>
      <charset val="204"/>
    </font>
    <font>
      <sz val="10"/>
      <color rgb="FFFF0000"/>
      <name val="Calibri"/>
      <family val="2"/>
      <charset val="204"/>
      <scheme val="minor"/>
    </font>
    <font>
      <sz val="10"/>
      <color rgb="FFFF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0" fillId="0" borderId="0"/>
    <xf numFmtId="9" fontId="4" fillId="0" borderId="0" applyFont="0" applyFill="0" applyBorder="0" applyAlignment="0" applyProtection="0"/>
    <xf numFmtId="0" fontId="4" fillId="0" borderId="0"/>
    <xf numFmtId="0" fontId="11" fillId="0" borderId="0"/>
    <xf numFmtId="167" fontId="7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4" fillId="0" borderId="0"/>
    <xf numFmtId="0" fontId="3" fillId="0" borderId="0"/>
  </cellStyleXfs>
  <cellXfs count="55">
    <xf numFmtId="0" fontId="0" fillId="0" borderId="0" xfId="0"/>
    <xf numFmtId="0" fontId="5" fillId="2" borderId="0" xfId="1" applyFont="1" applyFill="1"/>
    <xf numFmtId="0" fontId="5" fillId="2" borderId="0" xfId="1" applyFont="1" applyFill="1" applyAlignment="1">
      <alignment horizontal="center"/>
    </xf>
    <xf numFmtId="3" fontId="5" fillId="2" borderId="0" xfId="1" applyNumberFormat="1" applyFont="1" applyFill="1"/>
    <xf numFmtId="0" fontId="13" fillId="2" borderId="0" xfId="1" applyFont="1" applyFill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5" fillId="0" borderId="1" xfId="3" applyFont="1" applyBorder="1" applyAlignment="1">
      <alignment horizontal="center" wrapText="1"/>
    </xf>
    <xf numFmtId="3" fontId="5" fillId="0" borderId="1" xfId="2" applyNumberFormat="1" applyFont="1" applyFill="1" applyBorder="1" applyAlignment="1">
      <alignment wrapText="1"/>
    </xf>
    <xf numFmtId="0" fontId="5" fillId="0" borderId="1" xfId="3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0" borderId="0" xfId="3" applyFont="1" applyAlignment="1">
      <alignment wrapText="1"/>
    </xf>
    <xf numFmtId="0" fontId="5" fillId="0" borderId="0" xfId="3" applyFont="1" applyAlignment="1">
      <alignment horizontal="center" wrapText="1"/>
    </xf>
    <xf numFmtId="3" fontId="5" fillId="0" borderId="0" xfId="2" applyNumberFormat="1" applyFont="1" applyFill="1" applyBorder="1" applyAlignment="1">
      <alignment wrapText="1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wrapText="1"/>
    </xf>
    <xf numFmtId="3" fontId="5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right"/>
    </xf>
    <xf numFmtId="3" fontId="5" fillId="2" borderId="1" xfId="0" applyNumberFormat="1" applyFont="1" applyFill="1" applyBorder="1"/>
    <xf numFmtId="0" fontId="5" fillId="2" borderId="1" xfId="3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5" fillId="2" borderId="1" xfId="0" applyFont="1" applyFill="1" applyBorder="1" applyAlignment="1">
      <alignment horizontal="center" wrapText="1"/>
    </xf>
    <xf numFmtId="0" fontId="8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wrapText="1"/>
    </xf>
    <xf numFmtId="3" fontId="2" fillId="0" borderId="1" xfId="0" applyNumberFormat="1" applyFont="1" applyBorder="1"/>
    <xf numFmtId="0" fontId="9" fillId="2" borderId="0" xfId="0" applyFont="1" applyFill="1" applyAlignment="1">
      <alignment horizontal="center"/>
    </xf>
    <xf numFmtId="3" fontId="9" fillId="2" borderId="0" xfId="0" applyNumberFormat="1" applyFont="1" applyFill="1" applyAlignment="1">
      <alignment horizontal="center"/>
    </xf>
    <xf numFmtId="0" fontId="8" fillId="2" borderId="0" xfId="1" applyFont="1" applyFill="1"/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center"/>
    </xf>
    <xf numFmtId="3" fontId="5" fillId="2" borderId="0" xfId="0" applyNumberFormat="1" applyFont="1" applyFill="1"/>
    <xf numFmtId="0" fontId="15" fillId="0" borderId="1" xfId="0" applyFont="1" applyBorder="1" applyAlignment="1">
      <alignment wrapText="1"/>
    </xf>
    <xf numFmtId="0" fontId="8" fillId="0" borderId="2" xfId="7" applyFont="1" applyBorder="1" applyAlignment="1">
      <alignment wrapText="1"/>
    </xf>
    <xf numFmtId="0" fontId="8" fillId="0" borderId="0" xfId="0" applyFont="1" applyAlignment="1">
      <alignment wrapText="1"/>
    </xf>
    <xf numFmtId="168" fontId="8" fillId="0" borderId="0" xfId="10" applyNumberFormat="1" applyFont="1" applyFill="1" applyAlignment="1">
      <alignment wrapText="1"/>
    </xf>
    <xf numFmtId="3" fontId="8" fillId="0" borderId="0" xfId="0" applyNumberFormat="1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2" fillId="2" borderId="1" xfId="15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12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3" fontId="12" fillId="0" borderId="1" xfId="0" applyNumberFormat="1" applyFont="1" applyBorder="1"/>
    <xf numFmtId="3" fontId="17" fillId="0" borderId="1" xfId="0" applyNumberFormat="1" applyFont="1" applyBorder="1" applyAlignment="1">
      <alignment horizontal="right"/>
    </xf>
    <xf numFmtId="3" fontId="18" fillId="2" borderId="1" xfId="0" applyNumberFormat="1" applyFont="1" applyFill="1" applyBorder="1"/>
    <xf numFmtId="0" fontId="19" fillId="0" borderId="0" xfId="0" applyFont="1"/>
  </cellXfs>
  <cellStyles count="16">
    <cellStyle name="Excel Built-in Normal" xfId="6" xr:uid="{74DC2AA0-B060-4ECB-BDCA-69E9EEA2F2A6}"/>
    <cellStyle name="Standaard 4" xfId="4" xr:uid="{F605B149-59C1-4BA2-97CB-AF28133487CA}"/>
    <cellStyle name="Денежный" xfId="10" builtinId="4"/>
    <cellStyle name="Денежный 2" xfId="12" xr:uid="{62F0FB6E-438A-440D-B8B4-FFE7F77B3153}"/>
    <cellStyle name="Денежный 2 3" xfId="8" xr:uid="{941C6F7A-606B-49E2-A081-85F75654FD7A}"/>
    <cellStyle name="Денежный 4" xfId="13" xr:uid="{7A98FC53-B3F8-4D5C-8A55-DBFC584261F2}"/>
    <cellStyle name="Обычный" xfId="0" builtinId="0"/>
    <cellStyle name="Обычный 2" xfId="14" xr:uid="{43F30460-3C40-48E7-814F-0B5CC6F37AD8}"/>
    <cellStyle name="Обычный 3 2" xfId="9" xr:uid="{E0F040D9-A905-4697-841A-48A5019082A2}"/>
    <cellStyle name="Обычный 4" xfId="1" xr:uid="{9D488D95-6D50-44D9-B6EB-228009DE7537}"/>
    <cellStyle name="Обычный_Коммерческое предложение Янино 2" xfId="7" xr:uid="{79851F99-7087-4CC2-B336-E3901EF217DF}"/>
    <cellStyle name="Обычный_последний этап  02 (3 этап) 2" xfId="3" xr:uid="{81A2348F-0318-47DA-B8BF-2134C774A298}"/>
    <cellStyle name="Обычный_Резвых, спортивный газон отчет" xfId="15" xr:uid="{42D6535C-C47B-4835-8EE1-4EAF28C79348}"/>
    <cellStyle name="Процентный 2" xfId="5" xr:uid="{16D5E5E9-43A9-48E6-BB5C-E2DBA1C0969A}"/>
    <cellStyle name="Стиль 1" xfId="11" xr:uid="{A3341E98-4C99-4DB9-91F6-519B3B8B438B}"/>
    <cellStyle name="Финансовый 6" xfId="2" xr:uid="{E1D6EDD8-7C2B-4F15-89E9-072FEFFC0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pic>
      <xdr:nvPicPr>
        <xdr:cNvPr id="2" name="Рисунок 1" descr="http://counter.yadro.ru/hit?t12.1;rhttp%3A//www.zhitov.ru/foundation_plate/;s1920*1080*24;uhttp%3A//www.zhitov.ru/foundation_plate/calculator.php%3Flang%3Dru%26mass%3D3%26B%3D200%26Y%3D4720%26X%3D1050%26T%3D25%26L%3D6000%26H%3D100%26Z%3D300%26W%3D200%26D%3D10%26R%3D2%26bet%255Bmesh%255D%3D7%26K%3D50%26bet%255Bcem%255D%3D1%26bet%255Bpes%255D%3D2%252C5%26bet%255Bsheb%255D%3D3%252C6%26cena%255Bcem%255D%3D400%26cena%255Bpes%255D%3D300%26cena%255Bsheb%255D%3D400%26cena%255Bdoska%255D%3D5500%26cena%255Barm%255D%3D18000%26color%3D1%26wdg%3D1;0.35053977907382317">
          <a:extLst>
            <a:ext uri="{FF2B5EF4-FFF2-40B4-BE49-F238E27FC236}">
              <a16:creationId xmlns:a16="http://schemas.microsoft.com/office/drawing/2014/main" id="{B1FCF63E-8F84-4B34-9AC6-054D4935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1860" y="3009138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1F76-0FD2-4B9B-9B53-F5254241A6C3}">
  <sheetPr>
    <pageSetUpPr fitToPage="1"/>
  </sheetPr>
  <dimension ref="A1:G82"/>
  <sheetViews>
    <sheetView tabSelected="1" workbookViewId="0">
      <selection activeCell="H73" sqref="H73"/>
    </sheetView>
  </sheetViews>
  <sheetFormatPr defaultColWidth="8.88671875" defaultRowHeight="13.8" x14ac:dyDescent="0.3"/>
  <cols>
    <col min="1" max="1" width="1.88671875" style="4" customWidth="1"/>
    <col min="2" max="2" width="40.33203125" style="1" customWidth="1"/>
    <col min="3" max="3" width="15.44140625" style="2" customWidth="1"/>
    <col min="4" max="4" width="11.6640625" style="2" customWidth="1"/>
    <col min="5" max="5" width="10.21875" style="3" bestFit="1" customWidth="1"/>
    <col min="6" max="6" width="7.77734375" style="3" customWidth="1"/>
    <col min="7" max="7" width="8.21875" style="3" customWidth="1"/>
    <col min="8" max="16384" width="8.88671875" style="1"/>
  </cols>
  <sheetData>
    <row r="1" spans="2:4" ht="15.6" x14ac:dyDescent="0.3">
      <c r="B1" s="38" t="s">
        <v>25</v>
      </c>
      <c r="C1" s="38"/>
      <c r="D1" s="38"/>
    </row>
    <row r="2" spans="2:4" ht="16.2" customHeight="1" x14ac:dyDescent="0.3">
      <c r="B2" s="42" t="s">
        <v>0</v>
      </c>
      <c r="C2" s="42" t="s">
        <v>11</v>
      </c>
      <c r="D2" s="43" t="s">
        <v>1</v>
      </c>
    </row>
    <row r="3" spans="2:4" x14ac:dyDescent="0.3">
      <c r="B3" s="7" t="s">
        <v>51</v>
      </c>
      <c r="C3" s="8" t="s">
        <v>4</v>
      </c>
      <c r="D3" s="9">
        <v>300</v>
      </c>
    </row>
    <row r="4" spans="2:4" ht="27" customHeight="1" x14ac:dyDescent="0.3">
      <c r="B4" s="7" t="s">
        <v>49</v>
      </c>
      <c r="C4" s="8" t="s">
        <v>4</v>
      </c>
      <c r="D4" s="9">
        <v>260</v>
      </c>
    </row>
    <row r="5" spans="2:4" ht="27.6" x14ac:dyDescent="0.3">
      <c r="B5" s="7" t="s">
        <v>42</v>
      </c>
      <c r="C5" s="8" t="s">
        <v>6</v>
      </c>
      <c r="D5" s="9">
        <v>850</v>
      </c>
    </row>
    <row r="6" spans="2:4" x14ac:dyDescent="0.3">
      <c r="B6" s="10" t="s">
        <v>41</v>
      </c>
      <c r="C6" s="8" t="s">
        <v>8</v>
      </c>
      <c r="D6" s="9">
        <v>920</v>
      </c>
    </row>
    <row r="7" spans="2:4" x14ac:dyDescent="0.3">
      <c r="B7" s="10" t="s">
        <v>38</v>
      </c>
      <c r="C7" s="8" t="s">
        <v>2</v>
      </c>
      <c r="D7" s="9">
        <v>3800</v>
      </c>
    </row>
    <row r="8" spans="2:4" x14ac:dyDescent="0.3">
      <c r="B8" s="10" t="s">
        <v>39</v>
      </c>
      <c r="C8" s="8" t="s">
        <v>2</v>
      </c>
      <c r="D8" s="9">
        <v>6500</v>
      </c>
    </row>
    <row r="9" spans="2:4" x14ac:dyDescent="0.3">
      <c r="B9" s="7" t="s">
        <v>12</v>
      </c>
      <c r="C9" s="8" t="s">
        <v>6</v>
      </c>
      <c r="D9" s="9">
        <v>800</v>
      </c>
    </row>
    <row r="10" spans="2:4" x14ac:dyDescent="0.3">
      <c r="B10" s="7" t="s">
        <v>13</v>
      </c>
      <c r="C10" s="8" t="s">
        <v>6</v>
      </c>
      <c r="D10" s="9">
        <v>600</v>
      </c>
    </row>
    <row r="11" spans="2:4" x14ac:dyDescent="0.3">
      <c r="B11" s="6" t="s">
        <v>20</v>
      </c>
      <c r="C11" s="20" t="s">
        <v>21</v>
      </c>
      <c r="D11" s="21">
        <v>800</v>
      </c>
    </row>
    <row r="12" spans="2:4" x14ac:dyDescent="0.3">
      <c r="B12" s="10" t="s">
        <v>31</v>
      </c>
      <c r="C12" s="8" t="s">
        <v>4</v>
      </c>
      <c r="D12" s="9">
        <v>73</v>
      </c>
    </row>
    <row r="13" spans="2:4" x14ac:dyDescent="0.3">
      <c r="B13" s="10" t="s">
        <v>43</v>
      </c>
      <c r="C13" s="8" t="s">
        <v>6</v>
      </c>
      <c r="D13" s="15">
        <v>1850</v>
      </c>
    </row>
    <row r="14" spans="2:4" x14ac:dyDescent="0.3">
      <c r="B14" s="6" t="s">
        <v>22</v>
      </c>
      <c r="C14" s="8" t="s">
        <v>6</v>
      </c>
      <c r="D14" s="52">
        <v>1460</v>
      </c>
    </row>
    <row r="15" spans="2:4" x14ac:dyDescent="0.3">
      <c r="B15" s="16" t="s">
        <v>50</v>
      </c>
      <c r="C15" s="8" t="s">
        <v>8</v>
      </c>
      <c r="D15" s="17">
        <v>185</v>
      </c>
    </row>
    <row r="16" spans="2:4" ht="13.2" customHeight="1" x14ac:dyDescent="0.3">
      <c r="B16" s="16" t="s">
        <v>57</v>
      </c>
      <c r="C16" s="8" t="s">
        <v>2</v>
      </c>
      <c r="D16" s="17">
        <v>760</v>
      </c>
    </row>
    <row r="17" spans="1:4" s="3" customFormat="1" x14ac:dyDescent="0.3">
      <c r="A17" s="4"/>
      <c r="B17" s="11" t="s">
        <v>56</v>
      </c>
      <c r="C17" s="8" t="s">
        <v>2</v>
      </c>
      <c r="D17" s="17">
        <f>160</f>
        <v>160</v>
      </c>
    </row>
    <row r="18" spans="1:4" ht="27.6" x14ac:dyDescent="0.3">
      <c r="B18" s="11" t="s">
        <v>14</v>
      </c>
      <c r="C18" s="8" t="s">
        <v>2</v>
      </c>
      <c r="D18" s="17">
        <v>1520</v>
      </c>
    </row>
    <row r="19" spans="1:4" ht="27.6" x14ac:dyDescent="0.3">
      <c r="B19" s="11" t="s">
        <v>34</v>
      </c>
      <c r="C19" s="8" t="s">
        <v>2</v>
      </c>
      <c r="D19" s="17">
        <v>2070</v>
      </c>
    </row>
    <row r="20" spans="1:4" ht="27.6" x14ac:dyDescent="0.3">
      <c r="B20" s="11" t="s">
        <v>40</v>
      </c>
      <c r="C20" s="8" t="s">
        <v>2</v>
      </c>
      <c r="D20" s="17">
        <v>5400</v>
      </c>
    </row>
    <row r="21" spans="1:4" x14ac:dyDescent="0.3">
      <c r="B21" s="11" t="s">
        <v>30</v>
      </c>
      <c r="C21" s="20" t="s">
        <v>7</v>
      </c>
      <c r="D21" s="22">
        <v>430</v>
      </c>
    </row>
    <row r="22" spans="1:4" x14ac:dyDescent="0.3">
      <c r="B22" s="16" t="s">
        <v>35</v>
      </c>
      <c r="C22" s="8" t="s">
        <v>2</v>
      </c>
      <c r="D22" s="17">
        <v>650</v>
      </c>
    </row>
    <row r="23" spans="1:4" x14ac:dyDescent="0.3">
      <c r="B23" s="10" t="s">
        <v>15</v>
      </c>
      <c r="C23" s="8"/>
      <c r="D23" s="9"/>
    </row>
    <row r="24" spans="1:4" x14ac:dyDescent="0.3">
      <c r="B24" s="12"/>
      <c r="C24" s="13"/>
      <c r="D24" s="14"/>
    </row>
    <row r="25" spans="1:4" ht="15.6" x14ac:dyDescent="0.3">
      <c r="B25" s="39"/>
      <c r="C25" s="40"/>
      <c r="D25" s="41"/>
    </row>
    <row r="26" spans="1:4" ht="12" customHeight="1" x14ac:dyDescent="0.3">
      <c r="B26" s="33" t="s">
        <v>27</v>
      </c>
    </row>
    <row r="27" spans="1:4" x14ac:dyDescent="0.3">
      <c r="B27" s="45" t="s">
        <v>0</v>
      </c>
      <c r="C27" s="45" t="s">
        <v>11</v>
      </c>
      <c r="D27" s="46" t="s">
        <v>1</v>
      </c>
    </row>
    <row r="28" spans="1:4" x14ac:dyDescent="0.3">
      <c r="B28" s="37" t="s">
        <v>26</v>
      </c>
      <c r="C28" s="8" t="s">
        <v>4</v>
      </c>
      <c r="D28" s="9">
        <v>650</v>
      </c>
    </row>
    <row r="29" spans="1:4" ht="27.6" x14ac:dyDescent="0.3">
      <c r="B29" s="37" t="s">
        <v>28</v>
      </c>
      <c r="C29" s="8" t="s">
        <v>4</v>
      </c>
      <c r="D29" s="9">
        <v>950</v>
      </c>
    </row>
    <row r="30" spans="1:4" ht="27.6" customHeight="1" x14ac:dyDescent="0.3">
      <c r="B30" s="6" t="s">
        <v>53</v>
      </c>
      <c r="C30" s="18" t="s">
        <v>17</v>
      </c>
      <c r="D30" s="19">
        <v>850</v>
      </c>
    </row>
    <row r="31" spans="1:4" x14ac:dyDescent="0.3">
      <c r="B31" s="6" t="s">
        <v>18</v>
      </c>
      <c r="C31" s="18" t="s">
        <v>4</v>
      </c>
      <c r="D31" s="19">
        <v>40</v>
      </c>
    </row>
    <row r="32" spans="1:4" x14ac:dyDescent="0.3">
      <c r="B32" s="7" t="s">
        <v>13</v>
      </c>
      <c r="C32" s="8" t="s">
        <v>6</v>
      </c>
      <c r="D32" s="9">
        <v>600</v>
      </c>
    </row>
    <row r="33" spans="2:4" x14ac:dyDescent="0.3">
      <c r="B33" s="6" t="s">
        <v>52</v>
      </c>
      <c r="C33" s="18" t="s">
        <v>4</v>
      </c>
      <c r="D33" s="19">
        <f>110*2.5</f>
        <v>275</v>
      </c>
    </row>
    <row r="34" spans="2:4" x14ac:dyDescent="0.3">
      <c r="B34" s="6" t="s">
        <v>19</v>
      </c>
      <c r="C34" s="18" t="s">
        <v>4</v>
      </c>
      <c r="D34" s="19">
        <v>25</v>
      </c>
    </row>
    <row r="35" spans="2:4" x14ac:dyDescent="0.3">
      <c r="B35" s="7" t="s">
        <v>12</v>
      </c>
      <c r="C35" s="8" t="s">
        <v>6</v>
      </c>
      <c r="D35" s="9">
        <v>800</v>
      </c>
    </row>
    <row r="36" spans="2:4" ht="41.4" customHeight="1" x14ac:dyDescent="0.3">
      <c r="B36" s="6" t="s">
        <v>23</v>
      </c>
      <c r="C36" s="18" t="s">
        <v>4</v>
      </c>
      <c r="D36" s="19">
        <f>200* (1.5+0.5)</f>
        <v>400</v>
      </c>
    </row>
    <row r="37" spans="2:4" x14ac:dyDescent="0.3">
      <c r="B37" s="6" t="s">
        <v>20</v>
      </c>
      <c r="C37" s="18" t="s">
        <v>21</v>
      </c>
      <c r="D37" s="19">
        <v>800</v>
      </c>
    </row>
    <row r="38" spans="2:4" x14ac:dyDescent="0.3">
      <c r="B38" s="44" t="s">
        <v>48</v>
      </c>
      <c r="C38" s="26" t="s">
        <v>6</v>
      </c>
      <c r="D38" s="21">
        <v>1100</v>
      </c>
    </row>
    <row r="39" spans="2:4" x14ac:dyDescent="0.3">
      <c r="B39" s="23" t="s">
        <v>43</v>
      </c>
      <c r="C39" s="18" t="s">
        <v>6</v>
      </c>
      <c r="D39" s="19">
        <f>дренаж!D13</f>
        <v>1850</v>
      </c>
    </row>
    <row r="40" spans="2:4" x14ac:dyDescent="0.3">
      <c r="B40" s="23" t="s">
        <v>46</v>
      </c>
      <c r="C40" s="18" t="s">
        <v>6</v>
      </c>
      <c r="D40" s="19">
        <v>2840</v>
      </c>
    </row>
    <row r="41" spans="2:4" x14ac:dyDescent="0.3">
      <c r="B41" s="10" t="s">
        <v>31</v>
      </c>
      <c r="C41" s="18" t="s">
        <v>4</v>
      </c>
      <c r="D41" s="19">
        <f>дренаж!D12</f>
        <v>73</v>
      </c>
    </row>
    <row r="42" spans="2:4" x14ac:dyDescent="0.3">
      <c r="B42" s="6" t="s">
        <v>22</v>
      </c>
      <c r="C42" s="18" t="s">
        <v>6</v>
      </c>
      <c r="D42" s="53">
        <f>дренаж!D14</f>
        <v>1460</v>
      </c>
    </row>
    <row r="43" spans="2:4" x14ac:dyDescent="0.3">
      <c r="B43" s="6" t="s">
        <v>15</v>
      </c>
      <c r="C43" s="18"/>
      <c r="D43" s="19"/>
    </row>
    <row r="44" spans="2:4" ht="9" customHeight="1" x14ac:dyDescent="0.3"/>
    <row r="45" spans="2:4" ht="15.6" x14ac:dyDescent="0.3">
      <c r="B45" s="28" t="s">
        <v>29</v>
      </c>
      <c r="C45" s="27"/>
      <c r="D45" s="27"/>
    </row>
    <row r="46" spans="2:4" x14ac:dyDescent="0.3">
      <c r="B46" s="5" t="s">
        <v>24</v>
      </c>
      <c r="C46" s="24" t="s">
        <v>8</v>
      </c>
      <c r="D46" s="30">
        <v>150</v>
      </c>
    </row>
    <row r="47" spans="2:4" x14ac:dyDescent="0.3">
      <c r="B47" s="7" t="s">
        <v>36</v>
      </c>
      <c r="C47" s="8" t="s">
        <v>6</v>
      </c>
      <c r="D47" s="9">
        <v>700</v>
      </c>
    </row>
    <row r="48" spans="2:4" x14ac:dyDescent="0.3">
      <c r="B48" s="11" t="s">
        <v>47</v>
      </c>
      <c r="C48" s="20" t="s">
        <v>4</v>
      </c>
      <c r="D48" s="22">
        <v>70</v>
      </c>
    </row>
    <row r="49" spans="2:4" x14ac:dyDescent="0.3">
      <c r="B49" s="11" t="s">
        <v>37</v>
      </c>
      <c r="C49" s="20" t="s">
        <v>4</v>
      </c>
      <c r="D49" s="22">
        <v>2300</v>
      </c>
    </row>
    <row r="50" spans="2:4" ht="12.6" customHeight="1" x14ac:dyDescent="0.3">
      <c r="B50" s="6" t="s">
        <v>5</v>
      </c>
      <c r="C50" s="18" t="s">
        <v>3</v>
      </c>
      <c r="D50" s="19">
        <v>1200</v>
      </c>
    </row>
    <row r="51" spans="2:4" x14ac:dyDescent="0.3">
      <c r="B51" s="6" t="s">
        <v>20</v>
      </c>
      <c r="C51" s="20" t="s">
        <v>21</v>
      </c>
      <c r="D51" s="21">
        <v>800</v>
      </c>
    </row>
    <row r="52" spans="2:4" ht="27.6" x14ac:dyDescent="0.3">
      <c r="B52" s="5" t="s">
        <v>44</v>
      </c>
      <c r="C52" s="24" t="s">
        <v>2</v>
      </c>
      <c r="D52" s="25">
        <v>570</v>
      </c>
    </row>
    <row r="53" spans="2:4" x14ac:dyDescent="0.3">
      <c r="B53" s="11" t="s">
        <v>33</v>
      </c>
      <c r="C53" s="20" t="s">
        <v>4</v>
      </c>
      <c r="D53" s="21">
        <v>3480</v>
      </c>
    </row>
    <row r="54" spans="2:4" x14ac:dyDescent="0.3">
      <c r="B54" s="11" t="s">
        <v>58</v>
      </c>
      <c r="C54" s="18" t="s">
        <v>7</v>
      </c>
      <c r="D54" s="21">
        <v>450</v>
      </c>
    </row>
    <row r="55" spans="2:4" x14ac:dyDescent="0.3">
      <c r="B55" s="6" t="s">
        <v>30</v>
      </c>
      <c r="C55" s="18" t="s">
        <v>7</v>
      </c>
      <c r="D55" s="19">
        <f>дренаж!D21</f>
        <v>430</v>
      </c>
    </row>
    <row r="56" spans="2:4" x14ac:dyDescent="0.3">
      <c r="B56" s="11" t="s">
        <v>15</v>
      </c>
      <c r="C56" s="20"/>
      <c r="D56" s="22"/>
    </row>
    <row r="57" spans="2:4" ht="6.6" customHeight="1" x14ac:dyDescent="0.3">
      <c r="B57" s="29"/>
      <c r="C57" s="31"/>
      <c r="D57" s="32"/>
    </row>
    <row r="58" spans="2:4" ht="15" customHeight="1" x14ac:dyDescent="0.3">
      <c r="B58" s="6" t="s">
        <v>59</v>
      </c>
      <c r="C58" s="18" t="s">
        <v>9</v>
      </c>
      <c r="D58" s="19">
        <v>3100</v>
      </c>
    </row>
    <row r="59" spans="2:4" x14ac:dyDescent="0.3">
      <c r="B59" s="6" t="s">
        <v>45</v>
      </c>
      <c r="C59" s="18" t="s">
        <v>9</v>
      </c>
      <c r="D59" s="19">
        <v>3100</v>
      </c>
    </row>
    <row r="60" spans="2:4" x14ac:dyDescent="0.3">
      <c r="B60" s="11" t="s">
        <v>32</v>
      </c>
      <c r="C60" s="18" t="s">
        <v>9</v>
      </c>
      <c r="D60" s="22">
        <v>10000</v>
      </c>
    </row>
    <row r="61" spans="2:4" x14ac:dyDescent="0.3">
      <c r="B61" s="34"/>
      <c r="C61" s="35"/>
      <c r="D61" s="36"/>
    </row>
    <row r="62" spans="2:4" ht="31.2" x14ac:dyDescent="0.3">
      <c r="B62" s="38" t="s">
        <v>61</v>
      </c>
      <c r="C62" s="38"/>
      <c r="D62" s="38"/>
    </row>
    <row r="63" spans="2:4" ht="27.6" x14ac:dyDescent="0.3">
      <c r="B63" s="7" t="s">
        <v>42</v>
      </c>
      <c r="C63" s="8" t="s">
        <v>6</v>
      </c>
      <c r="D63" s="9">
        <v>850</v>
      </c>
    </row>
    <row r="64" spans="2:4" x14ac:dyDescent="0.3">
      <c r="B64" s="10" t="s">
        <v>41</v>
      </c>
      <c r="C64" s="8" t="s">
        <v>8</v>
      </c>
      <c r="D64" s="9">
        <v>920</v>
      </c>
    </row>
    <row r="65" spans="1:4" x14ac:dyDescent="0.3">
      <c r="B65" s="10" t="s">
        <v>38</v>
      </c>
      <c r="C65" s="8" t="s">
        <v>2</v>
      </c>
      <c r="D65" s="9">
        <v>3800</v>
      </c>
    </row>
    <row r="66" spans="1:4" hidden="1" x14ac:dyDescent="0.3">
      <c r="B66" s="10"/>
      <c r="C66" s="8"/>
      <c r="D66" s="9"/>
    </row>
    <row r="67" spans="1:4" x14ac:dyDescent="0.3">
      <c r="B67" s="7" t="s">
        <v>12</v>
      </c>
      <c r="C67" s="8" t="s">
        <v>6</v>
      </c>
      <c r="D67" s="9">
        <v>800</v>
      </c>
    </row>
    <row r="68" spans="1:4" x14ac:dyDescent="0.3">
      <c r="B68" s="7" t="s">
        <v>13</v>
      </c>
      <c r="C68" s="8" t="s">
        <v>6</v>
      </c>
      <c r="D68" s="9">
        <v>600</v>
      </c>
    </row>
    <row r="69" spans="1:4" s="3" customFormat="1" x14ac:dyDescent="0.3">
      <c r="A69" s="4"/>
      <c r="B69" s="10" t="s">
        <v>31</v>
      </c>
      <c r="C69" s="8" t="s">
        <v>4</v>
      </c>
      <c r="D69" s="9">
        <v>73</v>
      </c>
    </row>
    <row r="70" spans="1:4" s="3" customFormat="1" x14ac:dyDescent="0.3">
      <c r="A70" s="4"/>
      <c r="B70" s="10" t="s">
        <v>43</v>
      </c>
      <c r="C70" s="8" t="s">
        <v>6</v>
      </c>
      <c r="D70" s="15">
        <v>2060</v>
      </c>
    </row>
    <row r="71" spans="1:4" s="3" customFormat="1" x14ac:dyDescent="0.3">
      <c r="A71" s="4"/>
      <c r="B71" s="6" t="s">
        <v>22</v>
      </c>
      <c r="C71" s="8" t="s">
        <v>6</v>
      </c>
      <c r="D71" s="15">
        <f>дренаж!D74</f>
        <v>2070</v>
      </c>
    </row>
    <row r="72" spans="1:4" x14ac:dyDescent="0.3">
      <c r="B72" s="16" t="s">
        <v>57</v>
      </c>
      <c r="C72" s="8" t="s">
        <v>2</v>
      </c>
      <c r="D72" s="17">
        <v>760</v>
      </c>
    </row>
    <row r="73" spans="1:4" s="3" customFormat="1" x14ac:dyDescent="0.3">
      <c r="A73" s="4"/>
      <c r="B73" s="11" t="s">
        <v>56</v>
      </c>
      <c r="C73" s="8" t="s">
        <v>2</v>
      </c>
      <c r="D73" s="17">
        <f>160</f>
        <v>160</v>
      </c>
    </row>
    <row r="74" spans="1:4" s="3" customFormat="1" ht="27.6" x14ac:dyDescent="0.3">
      <c r="A74" s="4"/>
      <c r="B74" s="11" t="s">
        <v>34</v>
      </c>
      <c r="C74" s="8" t="s">
        <v>2</v>
      </c>
      <c r="D74" s="17">
        <v>2070</v>
      </c>
    </row>
    <row r="75" spans="1:4" s="3" customFormat="1" x14ac:dyDescent="0.3">
      <c r="A75" s="4"/>
      <c r="B75" s="11" t="s">
        <v>30</v>
      </c>
      <c r="C75" s="20" t="s">
        <v>7</v>
      </c>
      <c r="D75" s="22">
        <v>530</v>
      </c>
    </row>
    <row r="76" spans="1:4" s="3" customFormat="1" x14ac:dyDescent="0.3">
      <c r="A76" s="4"/>
      <c r="B76" s="16" t="s">
        <v>35</v>
      </c>
      <c r="C76" s="8" t="s">
        <v>2</v>
      </c>
      <c r="D76" s="17">
        <v>650</v>
      </c>
    </row>
    <row r="77" spans="1:4" s="3" customFormat="1" x14ac:dyDescent="0.3">
      <c r="A77" s="4"/>
      <c r="B77" s="10" t="s">
        <v>15</v>
      </c>
      <c r="C77" s="8" t="s">
        <v>10</v>
      </c>
      <c r="D77" s="9" t="e">
        <f>ROUNDUP(SUM(#REF!)*0.035,-2)+200</f>
        <v>#REF!</v>
      </c>
    </row>
    <row r="78" spans="1:4" s="3" customFormat="1" x14ac:dyDescent="0.3">
      <c r="A78" s="4"/>
      <c r="B78" s="10" t="s">
        <v>16</v>
      </c>
      <c r="C78" s="8" t="s">
        <v>9</v>
      </c>
      <c r="D78" s="9">
        <v>4500</v>
      </c>
    </row>
    <row r="79" spans="1:4" s="3" customFormat="1" x14ac:dyDescent="0.3">
      <c r="A79" s="4"/>
      <c r="B79" s="12"/>
      <c r="C79" s="13"/>
      <c r="D79" s="14"/>
    </row>
    <row r="80" spans="1:4" customFormat="1" ht="15.6" x14ac:dyDescent="0.3">
      <c r="B80" s="54" t="s">
        <v>60</v>
      </c>
    </row>
    <row r="81" spans="2:4" customFormat="1" ht="14.4" x14ac:dyDescent="0.3">
      <c r="B81" s="47" t="s">
        <v>54</v>
      </c>
      <c r="C81" s="49" t="s">
        <v>10</v>
      </c>
      <c r="D81" s="51">
        <v>36000</v>
      </c>
    </row>
    <row r="82" spans="2:4" customFormat="1" ht="14.4" x14ac:dyDescent="0.3">
      <c r="B82" s="48" t="s">
        <v>55</v>
      </c>
      <c r="C82" s="50" t="s">
        <v>21</v>
      </c>
      <c r="D82" s="51">
        <v>26000</v>
      </c>
    </row>
  </sheetData>
  <pageMargins left="0.51181102362204722" right="0.51181102362204722" top="0.55118110236220474" bottom="0.55118110236220474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дренаж</vt:lpstr>
      <vt:lpstr>дренаж!Область_печати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Алексей</cp:lastModifiedBy>
  <cp:lastPrinted>2022-11-10T11:16:36Z</cp:lastPrinted>
  <dcterms:created xsi:type="dcterms:W3CDTF">2022-04-21T15:06:15Z</dcterms:created>
  <dcterms:modified xsi:type="dcterms:W3CDTF">2026-03-03T08:16:16Z</dcterms:modified>
</cp:coreProperties>
</file>